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97efac0e44d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ชื่อ 600 แหล่ง" sheetId="1" r:id="Rf9a4621b8cbb4124"/>
    <x:sheet xmlns:r="http://schemas.openxmlformats.org/officeDocument/2006/relationships" name="หลักฐานและตรวจทาน" sheetId="2" r:id="R48bd8b39b2fb42de"/>
    <x:sheet xmlns:r="http://schemas.openxmlformats.org/officeDocument/2006/relationships" name="ตรวจออนไลน์รอบใหม่" sheetId="3" r:id="Ra77d3315cd934d18"/>
    <x:sheet xmlns:r="http://schemas.openxmlformats.org/officeDocument/2006/relationships" name="ทะเบียน GMHI" sheetId="4" r:id="Rdd763f779d6840cb"/>
    <x:sheet xmlns:r="http://schemas.openxmlformats.org/officeDocument/2006/relationships" name="รายการเปลี่ยนแปลง" sheetId="5" r:id="R0970d7b5405e448b"/>
    <x:sheet xmlns:r="http://schemas.openxmlformats.org/officeDocument/2006/relationships" name="สรุปและเป้าหมาย" sheetId="6" r:id="Rd48195c668f74d61"/>
    <x:sheet xmlns:r="http://schemas.openxmlformats.org/officeDocument/2006/relationships" name="ตรวจเส้นทางต้นฉบับ" sheetId="7" r:id="Ra74a1507c73b4aee"/>
    <x:sheet xmlns:r="http://schemas.openxmlformats.org/officeDocument/2006/relationships" name="ประเมินเกณฑ์" sheetId="8" r:id="R2e7c23105f42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@"/>
    <x:numFmt numFmtId="202" formatCode="0"/>
    <x:numFmt numFmtId="203" formatCode="0.000000"/>
    <x:numFmt numFmtId="204" formatCode="0.0"/>
  </x:numFmts>
  <x:fonts count="13">
    <x:font>
      <x:sz val="11"/>
      <x:name val="Carlito"/>
    </x:font>
    <x:font>
      <x:sz val="11"/>
      <x:color rgb="FF172B4D"/>
      <x:name val="Arial"/>
    </x:font>
    <x:font>
      <x:b/>
      <x:sz val="16"/>
      <x:color rgb="FF203864"/>
      <x:name val="Arial"/>
    </x:font>
    <x:font>
      <x:i/>
      <x:sz val="10"/>
      <x:color rgb="FF64748B"/>
      <x:name val="Arial"/>
    </x:font>
    <x:font>
      <x:b/>
      <x:sz val="14"/>
      <x:color rgb="FF203864"/>
      <x:name val="Arial"/>
    </x:font>
    <x:font>
      <x:b/>
      <x:sz val="11"/>
      <x:color rgb="FFFFFFFF"/>
      <x:name val="Arial"/>
    </x:font>
    <x:font>
      <x:sz val="10"/>
      <x:color rgb="FF64748B"/>
      <x:name val="Arial"/>
    </x:font>
    <x:font>
      <x:u val="single"/>
      <x:sz val="11"/>
      <x:color rgb="FF0563C1"/>
      <x:name val="Arial"/>
    </x:font>
    <x:font>
      <x:b/>
      <x:sz val="11"/>
      <x:color rgb="FF172B4D"/>
      <x:name val="Arial"/>
    </x:font>
    <x:font>
      <x:i/>
      <x:sz val="11"/>
      <x:color rgb="FF172B4D"/>
      <x:name val="Arial"/>
    </x:font>
    <x:font>
      <x:u val="single"/>
      <x:sz val="11"/>
      <x:color rgb="FF172B4D"/>
      <x:name val="Arial"/>
    </x:font>
    <x:font>
      <x:sz val="11"/>
      <x:color rgb="FF64748B"/>
      <x:name val="Arial"/>
    </x:font>
    <x:font>
      <x:b/>
      <x:sz val="11"/>
      <x:color rgb="FF203864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FF7E0"/>
      </x:patternFill>
    </x:fill>
    <x:fill>
      <x:patternFill patternType="solid">
        <x:fgColor rgb="FF203864"/>
      </x:patternFill>
    </x:fill>
    <x:fill>
      <x:patternFill patternType="solid">
        <x:fgColor rgb="FFFFF7E0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20386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8" fillId="2" borderId="4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4">
    <x:dxf>
      <x:font>
        <x:color rgb="FF14532D"/>
      </x:font>
    </x:dxf>
    <x:dxf>
      <x:font>
        <x:b/>
        <x:color rgb="FF14532D"/>
      </x:font>
      <x:fill>
        <x:patternFill>
          <x:bgColor rgb="FFE8F2EC"/>
        </x:patternFill>
      </x:fill>
    </x:dxf>
    <x:dxf>
      <x:font>
        <x:color rgb="FF854D0E"/>
      </x:font>
      <x:fill>
        <x:patternFill>
          <x:bgColor rgb="FFFFF3D6"/>
        </x:patternFill>
      </x:fill>
    </x:dxf>
    <x:dxf>
      <x:font>
        <x:color rgb="FF334155"/>
      </x:font>
      <x:fill>
        <x:patternFill>
          <x:bgColor rgb="FFEDF1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0a8c75f7044e6" /><Relationship Type="http://schemas.openxmlformats.org/officeDocument/2006/relationships/theme" Target="/xl/theme/theme1.xml" Id="Ra4283cc8cf484bdd" /><Relationship Type="http://schemas.openxmlformats.org/officeDocument/2006/relationships/sharedStrings" Target="/xl/sharedStrings.xml" Id="R58fd78fada3741bd" /><Relationship Type="http://schemas.openxmlformats.org/officeDocument/2006/relationships/worksheet" Target="/xl/worksheets/sheet1.xml" Id="Rf9a4621b8cbb4124" /><Relationship Type="http://schemas.openxmlformats.org/officeDocument/2006/relationships/worksheet" Target="/xl/worksheets/sheet2.xml" Id="R48bd8b39b2fb42de" /><Relationship Type="http://schemas.openxmlformats.org/officeDocument/2006/relationships/worksheet" Target="/xl/worksheets/sheet3.xml" Id="Ra77d3315cd934d18" /><Relationship Type="http://schemas.openxmlformats.org/officeDocument/2006/relationships/worksheet" Target="/xl/worksheets/sheet4.xml" Id="Rdd763f779d6840cb" /><Relationship Type="http://schemas.openxmlformats.org/officeDocument/2006/relationships/worksheet" Target="/xl/worksheets/sheet5.xml" Id="R0970d7b5405e448b" /><Relationship Type="http://schemas.openxmlformats.org/officeDocument/2006/relationships/worksheet" Target="/xl/worksheets/sheet6.xml" Id="Rd48195c668f74d61" /><Relationship Type="http://schemas.openxmlformats.org/officeDocument/2006/relationships/worksheet" Target="/xl/worksheets/sheet7.xml" Id="Ra74a1507c73b4aee" /><Relationship Type="http://schemas.openxmlformats.org/officeDocument/2006/relationships/worksheet" Target="/xl/worksheets/sheet8.xml" Id="R2e7c23105f424f80" /></Relationships>
</file>

<file path=xl/tables/table1.xml><?xml version="1.0" encoding="utf-8"?>
<x:table xmlns:x="http://schemas.openxmlformats.org/spreadsheetml/2006/main" id="6" name="MuslimFriendlyPlaces" displayName="MuslimFriendlyPlaces" ref="A8:O608" headerRowCount="1" totalsRowCount="0" totalsRowShown="0">
  <x:autoFilter ref="A8:O608"/>
  <x:tableColumns count="15">
    <x:tableColumn id="1" name="ลำดับ"/>
    <x:tableColumn id="2" name="ชื่อแหล่ง"/>
    <x:tableColumn id="3" name="จังหวัด"/>
    <x:tableColumn id="4" name="กลุ่ม"/>
    <x:tableColumn id="5" name="ประเภท"/>
    <x:tableColumn id="6" name="อัพเดตวันที่"/>
    <x:tableColumn id="7" name="รหัส"/>
    <x:tableColumn id="8" name="เส้นทาง"/>
    <x:tableColumn id="9" name="ชื่อเส้นทางหรือพื้นที่เพิ่ม"/>
    <x:tableColumn id="10" name="วันตามต้นฉบับ"/>
    <x:tableColumn id="11" name="ประเภทย่อย"/>
    <x:tableColumn id="12" name="ผลประเมินตามเกณฑ์"/>
    <x:tableColumn id="13" name="ความสัมพันธ์กับเส้นทาง"/>
    <x:tableColumn id="14" name="สถานะเปิดจากหลักฐาน"/>
    <x:tableColumn id="15" name="วันที่ตรวจออนไลน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PlaceEvidence" displayName="PlaceEvidence" ref="A8:AC608" headerRowCount="1" totalsRowCount="0" totalsRowShown="0">
  <x:autoFilter ref="A8:AC608"/>
  <x:tableColumns count="29">
    <x:tableColumn id="1" name="ลำดับ"/>
    <x:tableColumn id="2" name="ชื่อแหล่ง"/>
    <x:tableColumn id="3" name="จังหวัด"/>
    <x:tableColumn id="4" name="ประเภทย่อย"/>
    <x:tableColumn id="5" name="หลักฐานเริ่มต้น"/>
    <x:tableColumn id="6" name="ข้อมูลละหมาด"/>
    <x:tableColumn id="7" name="ข้อมูลใบรับรอง"/>
    <x:tableColumn id="8" name="ประเด็นต้องยืนยัน"/>
    <x:tableColumn id="9" name="ที่อยู่"/>
    <x:tableColumn id="10" name="โทรศัพท์"/>
    <x:tableColumn id="11" name="แหล่งข้อมูล 1"/>
    <x:tableColumn id="12" name="แหล่งข้อมูล 2"/>
    <x:tableColumn id="13" name="หลักฐานเพิ่มเติม"/>
    <x:tableColumn id="14" name="วันที่ตรวจออนไลน์"/>
    <x:tableColumn id="15" name="ผลผู้เชี่ยวชาญ"/>
    <x:tableColumn id="16" name="ผลติดต่อ"/>
    <x:tableColumn id="17" name="รหัส"/>
    <x:tableColumn id="18" name="ชื่ออังกฤษ"/>
    <x:tableColumn id="19" name="อีเมล"/>
    <x:tableColumn id="20" name="เว็บไซต์หรือแหล่งหลัก"/>
    <x:tableColumn id="21" name="Facebook"/>
    <x:tableColumn id="22" name="Instagram"/>
    <x:tableColumn id="23" name="LINE"/>
    <x:tableColumn id="24" name="TikTok"/>
    <x:tableColumn id="25" name="Google Maps"/>
    <x:tableColumn id="26" name="ละติจูด"/>
    <x:tableColumn id="27" name="ลองจิจูด"/>
    <x:tableColumn id="28" name="ชื่อผู้ติดต่อ"/>
    <x:tableColumn id="29" name="แหล่งข้อมูลติดต่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OnlineRevalidation" displayName="OnlineRevalidation" ref="A8:R948" headerRowCount="1" totalsRowCount="0" totalsRowShown="0">
  <x:autoFilter ref="A8:R948"/>
  <x:tableColumns count="18">
    <x:tableColumn id="1" name="รหัส"/>
    <x:tableColumn id="2" name="ชื่อแหล่ง"/>
    <x:tableColumn id="3" name="จังหวัด"/>
    <x:tableColumn id="4" name="สถานะในชุด 600"/>
    <x:tableColumn id="5" name="ผลค้นหาซ้ำ"/>
    <x:tableColumn id="6" name="สถานะเปิดจากหลักฐาน"/>
    <x:tableColumn id="7" name="จำนวนเว็บชื่อสัมพันธ์"/>
    <x:tableColumn id="8" name="ช่องทางสังคม 1"/>
    <x:tableColumn id="9" name="ช่องทางสังคม 2"/>
    <x:tableColumn id="10" name="หน้ารีวิว 1"/>
    <x:tableColumn id="11" name="หน้ารีวิว 2"/>
    <x:tableColumn id="12" name="เว็บเพิ่มเติม 1"/>
    <x:tableColumn id="13" name="เว็บเพิ่มเติม 2"/>
    <x:tableColumn id="14" name="วันที่กิจกรรมที่พบ"/>
    <x:tableColumn id="15" name="ประเด็นต้องยืนยัน"/>
    <x:tableColumn id="16" name="วันที่ตรวจ"/>
    <x:tableColumn id="17" name="ผลยืนยันสาขาและช่องทาง"/>
    <x:tableColumn id="18" name="ผลทบทวนการเปิ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MHIRegister" displayName="GMHIRegister" ref="A8:Q37" headerRowCount="1" totalsRowCount="0" totalsRowShown="0">
  <x:autoFilter ref="A8:Q37"/>
  <x:tableColumns count="17">
    <x:tableColumn id="1" name="รหัสทะเบียน"/>
    <x:tableColumn id="2" name="ชื่อในทะเบียน"/>
    <x:tableColumn id="3" name="จังหวัด"/>
    <x:tableColumn id="4" name="ประเภท"/>
    <x:tableColumn id="5" name="ดาวในทะเบียน"/>
    <x:tableColumn id="6" name="ช่องใบรับรอง"/>
    <x:tableColumn id="7" name="ชื่อบนภาพใบรับรอง"/>
    <x:tableColumn id="8" name="เลขใบรับรองในภาพ"/>
    <x:tableColumn id="9" name="วันออก (จับคู่ชื่อ)"/>
    <x:tableColumn id="10" name="หมดอายุ (จับคู่ชื่อ)"/>
    <x:tableColumn id="11" name="ผลจับคู่ภาพ"/>
    <x:tableColumn id="12" name="ประเด็นต้องยืนยัน"/>
    <x:tableColumn id="13" name="ทะเบียนสาธารณะ"/>
    <x:tableColumn id="14" name="ภาพใบรับรอง"/>
    <x:tableColumn id="15" name="รหัสในชุด 600"/>
    <x:tableColumn id="16" name="ผลรวมชื่อซ้ำ"/>
    <x:tableColumn id="17" name="วันที่ตรวจ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9" name="RevisionLog" displayName="RevisionLog" ref="A8:G687" headerRowCount="1" totalsRowCount="0" totalsRowShown="0">
  <x:autoFilter ref="A8:G687"/>
  <x:tableColumns count="7">
    <x:tableColumn id="1" name="รหัสเดิม"/>
    <x:tableColumn id="2" name="ชื่อเดิม"/>
    <x:tableColumn id="3" name="จังหวัด"/>
    <x:tableColumn id="4" name="กลุ่มเดิม"/>
    <x:tableColumn id="5" name="การเปลี่ยนแปลง"/>
    <x:tableColumn id="6" name="รหัสที่คงไว้"/>
    <x:tableColumn id="7" name="เหตุผ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1" name="RouteSourceStops" displayName="RouteSourceStops" ref="A8:J118" headerRowCount="1" totalsRowCount="0" totalsRowShown="0">
  <x:autoFilter ref="A8:J118"/>
  <x:tableColumns count="10">
    <x:tableColumn id="1" name="เส้นทาง"/>
    <x:tableColumn id="2" name="วัน"/>
    <x:tableColumn id="3" name="ชื่อในต้นฉบับ"/>
    <x:tableColumn id="4" name="จังหวัด"/>
    <x:tableColumn id="5" name="รหัสในชุด 600"/>
    <x:tableColumn id="6" name="ชื่อในชุดหลัก"/>
    <x:tableColumn id="7" name="ผลคัดกรอง"/>
    <x:tableColumn id="8" name="ประเด็นตรวจทาน"/>
    <x:tableColumn id="9" name="แหล่งข้อมูล 1"/>
    <x:tableColumn id="10" name="แหล่งข้อมูล 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0" name="CriteriaAssessment" displayName="CriteriaAssessment" ref="A8:AI608" headerRowCount="1" totalsRowCount="0" totalsRowShown="0">
  <x:autoFilter ref="A8:AI608"/>
  <x:tableColumns count="35">
    <x:tableColumn id="1" name="รหัส"/>
    <x:tableColumn id="2" name="ชื่อแหล่ง"/>
    <x:tableColumn id="3" name="การจำหน่ายอาหาร"/>
    <x:tableColumn id="4" name="บังคับ อาหาร/การเข้าถึง"/>
    <x:tableColumn id="5" name="บังคับ ละหมาด/อาบน้ำ"/>
    <x:tableColumn id="6" name="บังคับ ข้อมูลตรงจริง"/>
    <x:tableColumn id="7" name="บังคับ แอลกอฮอล์"/>
    <x:tableColumn id="8" name="บังคับ ห้องปลอดสัตว์เลี้ยง"/>
    <x:tableColumn id="9" name="ปัจจัยศักยภาพที่ยืนยัน (จำนวน)"/>
    <x:tableColumn id="10" name="ครัวมุสลิมยังไม่รับรอง"/>
    <x:tableColumn id="11" name="1.1 ครัวรับรองและมุสลิมดูแล"/>
    <x:tableColumn id="12" name="1.2 เข้าถึงอาหารฮาลาล"/>
    <x:tableColumn id="13" name="2.1 ละหมาดและอาบน้ำละหมาด"/>
    <x:tableColumn id="14" name="2.2 ทิศกิบละ"/>
    <x:tableColumn id="15" name="2.3 อุปกรณ์ละหมาด"/>
    <x:tableColumn id="16" name="3.1 น้ำชำระ/สายฉีด"/>
    <x:tableColumn id="17" name="4.1 ข้อมูลตรงจริง"/>
    <x:tableColumn id="18" name="4.2 ข้อมูลออนไลน์"/>
    <x:tableColumn id="19" name="4.3 ภาษา"/>
    <x:tableColumn id="20" name="4.4 ประสบการณ์/เครือข่าย"/>
    <x:tableColumn id="21" name="5.1 อบรม/เข้าใจอิสลาม"/>
    <x:tableColumn id="22" name="5.2 ผู้รับผิดชอบ"/>
    <x:tableColumn id="23" name="6.1 บริการแยกเพศ"/>
    <x:tableColumn id="24" name="6.2 แอลกอฮอล์"/>
    <x:tableColumn id="25" name="6.3 รอมฎอน/อีด"/>
    <x:tableColumn id="26" name="6.4 กิจกรรมสอดคล้อง"/>
    <x:tableColumn id="27" name="คะแนนเต็มที่ใช้"/>
    <x:tableColumn id="28" name="คะแนนที่ได้"/>
    <x:tableColumn id="29" name="คะแนนปรับเป็น 100"/>
    <x:tableColumn id="30" name="ผลเงื่อนไขบังคับ"/>
    <x:tableColumn id="31" name="กลุ่มจากผลประเมิน"/>
    <x:tableColumn id="32" name="เหตุไม่ผ่านคัดเลือก"/>
    <x:tableColumn id="33" name="สิ่งที่ต้องทำ"/>
    <x:tableColumn id="34" name="ผู้ประเมิน"/>
    <x:tableColumn id="35" name="วันที่ประเมิ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4207170d204e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fe2feda2bc44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4a6ed0cdcc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bc9e328e62742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7442ef6f41545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d512478f3543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5077d9660541d5" /></Relationships>
</file>

<file path=xl/worksheets/sheet1.xml><?xml version="1.0" encoding="utf-8"?>
<x:worksheet xmlns:x="http://schemas.openxmlformats.org/spreadsheetml/2006/main">
  <x:sheetPr>
    <x:tabColor rgb="FF203864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55" hidden="0" customWidth="1"/>
    <x:col min="3" max="3" width="24" hidden="0" customWidth="1"/>
    <x:col min="4" max="4" width="42" hidden="0" customWidth="1"/>
    <x:col min="5" max="5" width="55" hidden="0" customWidth="1"/>
    <x:col min="6" max="6" width="17" hidden="0" customWidth="1"/>
    <x:col min="7" max="7" width="20" hidden="0" customWidth="1"/>
    <x:col min="8" max="8" width="13" hidden="0" customWidth="1"/>
    <x:col min="9" max="9" width="36" hidden="0" customWidth="1"/>
    <x:col min="10" max="10" width="16" hidden="0" customWidth="1"/>
    <x:col min="11" max="11" width="40" hidden="0" customWidth="1"/>
    <x:col min="12" max="12" width="25" hidden="0" customWidth="1"/>
    <x:col min="13" max="13" width="48" hidden="0" customWidth="1"/>
    <x:col min="14" max="14" width="45" hidden="0" customWidth="1"/>
    <x:col min="15" max="15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2"/>
      <x:c r="B2" s="3" t="str">
        <x:v>600 แหล่งตาม 10 เส้นทาง Muslim Friendly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2"/>
      <x:c r="B4" s="32" t="str">
        <x:v>กลุ่มเป็นข้อเสนอออนไลน์ ผลประเมินจริงอยู่แยกคอลัมน์; ททท. คัดเลือก 250 แห่งในขั้นถัดไป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 t="str">
        <x:v>จำนวนแหล่งทั้งหมด</x:v>
      </x:c>
      <x:c r="C5" s="33" t="n">
        <x:f>COUNTA(B9:B608)</x:f>
        <x:v>600</x:v>
      </x:c>
      <x:c r="D5" s="2" t="str">
        <x:v>พร้อมขาย (เสนอ)</x:v>
      </x:c>
      <x:c r="E5" s="2"/>
      <x:c r="F5" s="33" t="n">
        <x:f>COUNTIFS(D9:D608,"พร้อมขาย")</x:f>
        <x:v>130</x:v>
      </x:c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/>
      <x:c r="B6" s="2" t="str">
        <x:v>พัฒนาเพื่อพร้อมขาย</x:v>
      </x:c>
      <x:c r="C6" s="33" t="n">
        <x:f>COUNTIFS(D9:D608,"พัฒนาเพื่อพร้อมขาย")</x:f>
        <x:v>108</x:v>
      </x:c>
      <x:c r="D6" s="2" t="str">
        <x:v>มีศักยภาพ แต่ต้องพัฒนามาตรฐาน</x:v>
      </x:c>
      <x:c r="E6" s="2"/>
      <x:c r="F6" s="33" t="n">
        <x:f>COUNTIFS(D9:D608,"มีศักยภาพ แต่ต้องพัฒนามาตรฐาน")</x:f>
        <x:v>362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2"/>
      <x:c r="B7" s="19" t="str">
        <x:v>ดูแท็บ สรุปและเป้าหมาย / ตรวจเส้นทางต้นฉบับ / ประเมินเกณฑ์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6" customHeight="1">
      <x:c r="A8" s="45" t="str">
        <x:v>ลำดับ</x:v>
      </x:c>
      <x:c r="B8" s="46" t="str">
        <x:v>ชื่อแหล่ง</x:v>
      </x:c>
      <x:c r="C8" s="46" t="str">
        <x:v>จังหวัด</x:v>
      </x:c>
      <x:c r="D8" s="46" t="str">
        <x:v>กลุ่ม</x:v>
      </x:c>
      <x:c r="E8" s="46" t="str">
        <x:v>ประเภท</x:v>
      </x:c>
      <x:c r="F8" s="46" t="str">
        <x:v>อัพเดตวันที่</x:v>
      </x:c>
      <x:c r="G8" s="47" t="str">
        <x:v>รหัส</x:v>
      </x:c>
      <x:c r="H8" s="50" t="str">
        <x:v>เส้นทาง</x:v>
      </x:c>
      <x:c r="I8" s="50" t="str">
        <x:v>ชื่อเส้นทางหรือพื้นที่เพิ่ม</x:v>
      </x:c>
      <x:c r="J8" s="50" t="str">
        <x:v>วันตามต้นฉบับ</x:v>
      </x:c>
      <x:c r="K8" s="50" t="str">
        <x:v>ประเภทย่อย</x:v>
      </x:c>
      <x:c r="L8" s="50" t="str">
        <x:v>ผลประเมินตามเกณฑ์</x:v>
      </x:c>
      <x:c r="M8" s="50" t="str">
        <x:v>ความสัมพันธ์กับเส้นทาง</x:v>
      </x:c>
      <x:c r="N8" s="50" t="str">
        <x:v>สถานะเปิดจากหลักฐาน</x:v>
      </x:c>
      <x:c r="O8" s="50" t="str">
        <x:v>วันที่ตรวจออนไลน์</x:v>
      </x:c>
    </x:row>
    <x:row r="9" ht="38" customHeight="1">
      <x:c r="A9" s="9" t="n">
        <x:v>1</x:v>
      </x:c>
      <x:c r="B9" s="8" t="str">
        <x:v>มัสยิดอันซอรี</x:v>
      </x:c>
      <x:c r="C9" s="8" t="str">
        <x:v>ลำพูน</x:v>
      </x:c>
      <x:c r="D9" s="8" t="str">
        <x:v>มีศักยภาพ แต่ต้องพัฒนามาตรฐาน</x:v>
      </x:c>
      <x:c r="E9" s="8" t="str">
        <x:v>แหล่งท่องเที่ยวทางประวัติศาสตร์และวัฒนธรรม</x:v>
      </x:c>
      <x:c r="F9" s="38" t="n">
        <x:v>46316</x:v>
      </x:c>
      <x:c r="G9" s="8" t="str">
        <x:v>R26-007</x:v>
      </x:c>
      <x:c r="H9" s="39" t="str">
        <x:v>01</x:v>
      </x:c>
      <x:c r="I9" s="8" t="str">
        <x:v>From Silk Road to Lanna</x:v>
      </x:c>
      <x:c r="J9" s="8" t="str">
        <x:v>2</x:v>
      </x:c>
      <x:c r="K9" s="8" t="str">
        <x:v>มัสยิด</x:v>
      </x:c>
      <x:c r="L9" s="8" t="str">
        <x:f>INDEX('ประเมินเกณฑ์'!$AE$9:$AE$608,MATCH(G9,'ประเมินเกณฑ์'!$A$9:$A$608,0))</x:f>
        <x:v>รอประเมิน</x:v>
      </x:c>
      <x:c r="M9" s="8" t="str">
        <x:v>จุดในเอกสารเส้นทาง</x:v>
      </x:c>
      <x:c r="N9" s="8" t="str">
        <x:v>ยังไม่ยืนยันการเปิดให้บริการปัจจุบัน</x:v>
      </x:c>
      <x:c r="O9" s="40" t="n">
        <x:v>46316</x:v>
      </x:c>
    </x:row>
    <x:row r="10" ht="38" customHeight="1">
      <x:c r="A10" s="9" t="n">
        <x:v>2</x:v>
      </x:c>
      <x:c r="B10" s="8" t="str">
        <x:v>เมืองเก่าลำพูน</x:v>
      </x:c>
      <x:c r="C10" s="8" t="str">
        <x:v>ลำพูน</x:v>
      </x:c>
      <x:c r="D10" s="8" t="str">
        <x:v>มีศักยภาพ แต่ต้องพัฒนามาตรฐาน</x:v>
      </x:c>
      <x:c r="E10" s="8" t="str">
        <x:v>แหล่งท่องเที่ยวทางประวัติศาสตร์และวัฒนธรรม</x:v>
      </x:c>
      <x:c r="F10" s="38" t="n">
        <x:v>46316</x:v>
      </x:c>
      <x:c r="G10" s="8" t="str">
        <x:v>R26-009</x:v>
      </x:c>
      <x:c r="H10" s="39" t="str">
        <x:v>01</x:v>
      </x:c>
      <x:c r="I10" s="8" t="str">
        <x:v>From Silk Road to Lanna</x:v>
      </x:c>
      <x:c r="J10" s="8" t="str">
        <x:v>2</x:v>
      </x:c>
      <x:c r="K10" s="8" t="str">
        <x:v>ประวัติ</x:v>
      </x:c>
      <x:c r="L10" s="8" t="str">
        <x:f>INDEX('ประเมินเกณฑ์'!$AE$9:$AE$608,MATCH(G10,'ประเมินเกณฑ์'!$A$9:$A$608,0))</x:f>
        <x:v>รอประเมิน</x:v>
      </x:c>
      <x:c r="M10" s="8" t="str">
        <x:v>จุดในเอกสารเส้นทาง</x:v>
      </x:c>
      <x:c r="N10" s="8" t="str">
        <x:v>ยังไม่ยืนยันการเปิดให้บริการปัจจุบัน</x:v>
      </x:c>
      <x:c r="O10" s="40" t="n">
        <x:v>46316</x:v>
      </x:c>
    </x:row>
    <x:row r="11" ht="38" customHeight="1">
      <x:c r="A11" s="9" t="n">
        <x:v>3</x:v>
      </x:c>
      <x:c r="B11" s="8" t="str">
        <x:v>Easy Hotel Lamphun</x:v>
      </x:c>
      <x:c r="C11" s="8" t="str">
        <x:v>ลำพูน</x:v>
      </x:c>
      <x:c r="D11" s="8" t="str">
        <x:v>มีศักยภาพ แต่ต้องพัฒนามาตรฐาน</x:v>
      </x:c>
      <x:c r="E11" s="8" t="str">
        <x:v>ที่พัก</x:v>
      </x:c>
      <x:c r="F11" s="38" t="n">
        <x:v>46316</x:v>
      </x:c>
      <x:c r="G11" s="8" t="str">
        <x:v>R26-366</x:v>
      </x:c>
      <x:c r="H11" s="39" t="str">
        <x:v>01</x:v>
      </x:c>
      <x:c r="I11" s="8" t="str">
        <x:v>From Silk Road to Lanna</x:v>
      </x:c>
      <x:c r="J11" s="8" t="str">
        <x:v>ตัวเลือกเสริม</x:v>
      </x:c>
      <x:c r="K11" s="8" t="str">
        <x:v>ที่พัก</x:v>
      </x:c>
      <x:c r="L11" s="8" t="str">
        <x:f>INDEX('ประเมินเกณฑ์'!$AE$9:$AE$608,MATCH(G11,'ประเมินเกณฑ์'!$A$9:$A$608,0))</x:f>
        <x:v>รอประเมิน</x:v>
      </x:c>
      <x:c r="M11" s="8" t="str">
        <x:v>สถานที่ในจังหวัดเส้นทาง รอตรวจระยะทางและลำดับ</x:v>
      </x:c>
      <x:c r="N11" s="8" t="str">
        <x:v>ยังไม่ยืนยันการเปิดให้บริการปัจจุบัน</x:v>
      </x:c>
      <x:c r="O11" s="40" t="n">
        <x:v>46316</x:v>
      </x:c>
    </x:row>
    <x:row r="12" ht="38" customHeight="1">
      <x:c r="A12" s="9" t="n">
        <x:v>4</x:v>
      </x:c>
      <x:c r="B12" s="8" t="str">
        <x:v>Grand PA Hotel Resort Lamphun</x:v>
      </x:c>
      <x:c r="C12" s="8" t="str">
        <x:v>ลำพูน</x:v>
      </x:c>
      <x:c r="D12" s="8" t="str">
        <x:v>มีศักยภาพ แต่ต้องพัฒนามาตรฐาน</x:v>
      </x:c>
      <x:c r="E12" s="8" t="str">
        <x:v>ที่พัก</x:v>
      </x:c>
      <x:c r="F12" s="38" t="n">
        <x:v>46316</x:v>
      </x:c>
      <x:c r="G12" s="8" t="str">
        <x:v>R26-365</x:v>
      </x:c>
      <x:c r="H12" s="39" t="str">
        <x:v>01</x:v>
      </x:c>
      <x:c r="I12" s="8" t="str">
        <x:v>From Silk Road to Lanna</x:v>
      </x:c>
      <x:c r="J12" s="8" t="str">
        <x:v>ตัวเลือกเสริม</x:v>
      </x:c>
      <x:c r="K12" s="8" t="str">
        <x:v>ที่พัก</x:v>
      </x:c>
      <x:c r="L12" s="8" t="str">
        <x:f>INDEX('ประเมินเกณฑ์'!$AE$9:$AE$608,MATCH(G12,'ประเมินเกณฑ์'!$A$9:$A$608,0))</x:f>
        <x:v>รอประเมิน</x:v>
      </x:c>
      <x:c r="M12" s="8" t="str">
        <x:v>สถานที่ในจังหวัดเส้นทาง รอตรวจระยะทางและลำดับ</x:v>
      </x:c>
      <x:c r="N12" s="8" t="str">
        <x:v>ยังไม่ยืนยันการเปิดให้บริการปัจจุบัน</x:v>
      </x:c>
      <x:c r="O12" s="40" t="n">
        <x:v>46316</x:v>
      </x:c>
    </x:row>
    <x:row r="13" ht="38" customHeight="1">
      <x:c r="A13" s="9" t="n">
        <x:v>5</x:v>
      </x:c>
      <x:c r="B13" s="8" t="str">
        <x:v>น้ำตกก้อหลวง</x:v>
      </x:c>
      <x:c r="C13" s="8" t="str">
        <x:v>ลำพูน</x:v>
      </x:c>
      <x:c r="D13" s="8" t="str">
        <x:v>มีศักยภาพ แต่ต้องพัฒนามาตรฐาน</x:v>
      </x:c>
      <x:c r="E13" s="8" t="str">
        <x:v>แหล่งท่องเที่ยวทางธรรมชาติ</x:v>
      </x:c>
      <x:c r="F13" s="38" t="n">
        <x:v>46316</x:v>
      </x:c>
      <x:c r="G13" s="8" t="str">
        <x:v>R26-118</x:v>
      </x:c>
      <x:c r="H13" s="39" t="str">
        <x:v>01</x:v>
      </x:c>
      <x:c r="I13" s="8" t="str">
        <x:v>From Silk Road to Lanna</x:v>
      </x:c>
      <x:c r="J13" s="8" t="str">
        <x:v>ตัวเลือกเสริม</x:v>
      </x:c>
      <x:c r="K13" s="8" t="str">
        <x:v>ธรรมชาติ</x:v>
      </x:c>
      <x:c r="L13" s="8" t="str">
        <x:f>INDEX('ประเมินเกณฑ์'!$AE$9:$AE$608,MATCH(G13,'ประเมินเกณฑ์'!$A$9:$A$608,0))</x:f>
        <x:v>รอประเมิน</x:v>
      </x:c>
      <x:c r="M13" s="8" t="str">
        <x:v>สถานที่ในจังหวัดเส้นทาง รอตรวจระยะทางและลำดับ</x:v>
      </x:c>
      <x:c r="N13" s="8" t="str">
        <x:v>ยังไม่ยืนยันการเปิดให้บริการปัจจุบัน</x:v>
      </x:c>
      <x:c r="O13" s="40" t="n">
        <x:v>46316</x:v>
      </x:c>
    </x:row>
    <x:row r="14" ht="38" customHeight="1">
      <x:c r="A14" s="9" t="n">
        <x:v>6</x:v>
      </x:c>
      <x:c r="B14" s="8" t="str">
        <x:v>อุทยานแห่งชาติแม่ปิง</x:v>
      </x:c>
      <x:c r="C14" s="8" t="str">
        <x:v>ลำพูน</x:v>
      </x:c>
      <x:c r="D14" s="8" t="str">
        <x:v>มีศักยภาพ แต่ต้องพัฒนามาตรฐาน</x:v>
      </x:c>
      <x:c r="E14" s="8" t="str">
        <x:v>แหล่งท่องเที่ยวทางธรรมชาติ</x:v>
      </x:c>
      <x:c r="F14" s="38" t="n">
        <x:v>46316</x:v>
      </x:c>
      <x:c r="G14" s="8" t="str">
        <x:v>R26-117</x:v>
      </x:c>
      <x:c r="H14" s="39" t="str">
        <x:v>01</x:v>
      </x:c>
      <x:c r="I14" s="8" t="str">
        <x:v>From Silk Road to Lanna</x:v>
      </x:c>
      <x:c r="J14" s="8" t="str">
        <x:v>ตัวเลือกเสริม</x:v>
      </x:c>
      <x:c r="K14" s="8" t="str">
        <x:v>ธรรมชาติ</x:v>
      </x:c>
      <x:c r="L14" s="8" t="str">
        <x:f>INDEX('ประเมินเกณฑ์'!$AE$9:$AE$608,MATCH(G14,'ประเมินเกณฑ์'!$A$9:$A$608,0))</x:f>
        <x:v>รอประเมิน</x:v>
      </x:c>
      <x:c r="M14" s="8" t="str">
        <x:v>สถานที่ในจังหวัดเส้นทาง รอตรวจระยะทางและลำดับ</x:v>
      </x:c>
      <x:c r="N14" s="8" t="str">
        <x:v>ยังไม่ยืนยันการเปิดให้บริการปัจจุบัน</x:v>
      </x:c>
      <x:c r="O14" s="40" t="n">
        <x:v>46316</x:v>
      </x:c>
    </x:row>
    <x:row r="15" ht="38" customHeight="1">
      <x:c r="A15" s="9" t="n">
        <x:v>7</x:v>
      </x:c>
      <x:c r="B15" s="8" t="str">
        <x:v>ชุมชนบ้านดอนหลวง</x:v>
      </x:c>
      <x:c r="C15" s="8" t="str">
        <x:v>ลำพูน</x:v>
      </x:c>
      <x:c r="D15" s="8" t="str">
        <x:v>มีศักยภาพ แต่ต้องพัฒนามาตรฐาน</x:v>
      </x:c>
      <x:c r="E15" s="8" t="str">
        <x:v>ชุมชนท่องเที่ยว</x:v>
      </x:c>
      <x:c r="F15" s="38" t="n">
        <x:v>46316</x:v>
      </x:c>
      <x:c r="G15" s="8" t="str">
        <x:v>R26-119</x:v>
      </x:c>
      <x:c r="H15" s="39" t="str">
        <x:v>01</x:v>
      </x:c>
      <x:c r="I15" s="8" t="str">
        <x:v>From Silk Road to Lanna</x:v>
      </x:c>
      <x:c r="J15" s="8" t="str">
        <x:v>ตัวเลือกเสริม</x:v>
      </x:c>
      <x:c r="K15" s="8" t="str">
        <x:v>ชุมชน</x:v>
      </x:c>
      <x:c r="L15" s="8" t="str">
        <x:f>INDEX('ประเมินเกณฑ์'!$AE$9:$AE$608,MATCH(G15,'ประเมินเกณฑ์'!$A$9:$A$608,0))</x:f>
        <x:v>รอประเมิน</x:v>
      </x:c>
      <x:c r="M15" s="8" t="str">
        <x:v>สถานที่ในจังหวัดเส้นทาง รอตรวจระยะทางและลำดับ</x:v>
      </x:c>
      <x:c r="N15" s="8" t="str">
        <x:v>ยังไม่ยืนยันการเปิดให้บริการปัจจุบัน</x:v>
      </x:c>
      <x:c r="O15" s="40" t="n">
        <x:v>46316</x:v>
      </x:c>
    </x:row>
    <x:row r="16" ht="38" customHeight="1">
      <x:c r="A16" s="9" t="n">
        <x:v>8</x:v>
      </x:c>
      <x:c r="B16" s="8" t="str">
        <x:v>ชุมชนบ้านหนองเงือก</x:v>
      </x:c>
      <x:c r="C16" s="8" t="str">
        <x:v>ลำพูน</x:v>
      </x:c>
      <x:c r="D16" s="8" t="str">
        <x:v>มีศักยภาพ แต่ต้องพัฒนามาตรฐาน</x:v>
      </x:c>
      <x:c r="E16" s="8" t="str">
        <x:v>ชุมชนท่องเที่ยว</x:v>
      </x:c>
      <x:c r="F16" s="38" t="n">
        <x:v>46316</x:v>
      </x:c>
      <x:c r="G16" s="8" t="str">
        <x:v>R26-120</x:v>
      </x:c>
      <x:c r="H16" s="39" t="str">
        <x:v>01</x:v>
      </x:c>
      <x:c r="I16" s="8" t="str">
        <x:v>From Silk Road to Lanna</x:v>
      </x:c>
      <x:c r="J16" s="8" t="str">
        <x:v>ตัวเลือกเสริม</x:v>
      </x:c>
      <x:c r="K16" s="8" t="str">
        <x:v>ชุมชน</x:v>
      </x:c>
      <x:c r="L16" s="8" t="str">
        <x:f>INDEX('ประเมินเกณฑ์'!$AE$9:$AE$608,MATCH(G16,'ประเมินเกณฑ์'!$A$9:$A$608,0))</x:f>
        <x:v>รอประเมิน</x:v>
      </x:c>
      <x:c r="M16" s="8" t="str">
        <x:v>สถานที่ในจังหวัดเส้นทาง รอตรวจระยะทางและลำดับ</x:v>
      </x:c>
      <x:c r="N16" s="8" t="str">
        <x:v>ยังไม่ยืนยันการเปิดให้บริการปัจจุบัน</x:v>
      </x:c>
      <x:c r="O16" s="40" t="n">
        <x:v>46316</x:v>
      </x:c>
    </x:row>
    <x:row r="17" ht="38" customHeight="1">
      <x:c r="A17" s="9" t="n">
        <x:v>9</x:v>
      </x:c>
      <x:c r="B17" s="8" t="str">
        <x:v>ฮาบิ๊บ อาหารยูนนาน</x:v>
      </x:c>
      <x:c r="C17" s="8" t="str">
        <x:v>เชียงใหม่</x:v>
      </x:c>
      <x:c r="D17" s="8" t="str">
        <x:v>มีศักยภาพ แต่ต้องพัฒนามาตรฐาน</x:v>
      </x:c>
      <x:c r="E17" s="8" t="str">
        <x:v>ร้านอาหารและคาเฟ่</x:v>
      </x:c>
      <x:c r="F17" s="38" t="n">
        <x:v>46316</x:v>
      </x:c>
      <x:c r="G17" s="8" t="str">
        <x:v>R26-003</x:v>
      </x:c>
      <x:c r="H17" s="39" t="str">
        <x:v>01</x:v>
      </x:c>
      <x:c r="I17" s="8" t="str">
        <x:v>From Silk Road to Lanna</x:v>
      </x:c>
      <x:c r="J17" s="8" t="str">
        <x:v>1</x:v>
      </x:c>
      <x:c r="K17" s="8" t="str">
        <x:v>อาหาร</x:v>
      </x:c>
      <x:c r="L17" s="8" t="str">
        <x:f>INDEX('ประเมินเกณฑ์'!$AE$9:$AE$608,MATCH(G17,'ประเมินเกณฑ์'!$A$9:$A$608,0))</x:f>
        <x:v>รอประเมิน</x:v>
      </x:c>
      <x:c r="M17" s="8" t="str">
        <x:v>จุดในเอกสารเส้นทาง</x:v>
      </x:c>
      <x:c r="N17" s="8" t="str">
        <x:v>ยังไม่ยืนยันการเปิดให้บริการปัจจุบัน</x:v>
      </x:c>
      <x:c r="O17" s="40" t="n">
        <x:v>46316</x:v>
      </x:c>
    </x:row>
    <x:row r="18" ht="38" customHeight="1">
      <x:c r="A18" s="9" t="n">
        <x:v>10</x:v>
      </x:c>
      <x:c r="B18" s="8" t="str">
        <x:v>ถนนคนเดินท่าแพ</x:v>
      </x:c>
      <x:c r="C18" s="8" t="str">
        <x:v>เชียงใหม่</x:v>
      </x:c>
      <x:c r="D18" s="8" t="str">
        <x:v>มีศักยภาพ แต่ต้องพัฒนามาตรฐาน</x:v>
      </x:c>
      <x:c r="E18" s="8" t="str">
        <x:v>แหล่งท่องเที่ยวทางประวัติศาสตร์และวัฒนธรรม</x:v>
      </x:c>
      <x:c r="F18" s="38" t="n">
        <x:v>46316</x:v>
      </x:c>
      <x:c r="G18" s="8" t="str">
        <x:v>R26-005</x:v>
      </x:c>
      <x:c r="H18" s="39" t="str">
        <x:v>01</x:v>
      </x:c>
      <x:c r="I18" s="8" t="str">
        <x:v>From Silk Road to Lanna</x:v>
      </x:c>
      <x:c r="J18" s="8" t="str">
        <x:v>1</x:v>
      </x:c>
      <x:c r="K18" s="8" t="str">
        <x:v>ประวัติ</x:v>
      </x:c>
      <x:c r="L18" s="8" t="str">
        <x:f>INDEX('ประเมินเกณฑ์'!$AE$9:$AE$608,MATCH(G18,'ประเมินเกณฑ์'!$A$9:$A$608,0))</x:f>
        <x:v>รอประเมิน</x:v>
      </x:c>
      <x:c r="M18" s="8" t="str">
        <x:v>จุดในเอกสารเส้นทาง</x:v>
      </x:c>
      <x:c r="N18" s="8" t="str">
        <x:v>ยังไม่ยืนยันการเปิดให้บริการปัจจุบัน</x:v>
      </x:c>
      <x:c r="O18" s="40" t="n">
        <x:v>46316</x:v>
      </x:c>
    </x:row>
    <x:row r="19" ht="38" customHeight="1">
      <x:c r="A19" s="9" t="n">
        <x:v>11</x:v>
      </x:c>
      <x:c r="B19" s="8" t="str">
        <x:v>มัสยิดช้างเผือก</x:v>
      </x:c>
      <x:c r="C19" s="8" t="str">
        <x:v>เชียงใหม่</x:v>
      </x:c>
      <x:c r="D19" s="8" t="str">
        <x:v>มีศักยภาพ แต่ต้องพัฒนามาตรฐาน</x:v>
      </x:c>
      <x:c r="E19" s="8" t="str">
        <x:v>แหล่งท่องเที่ยวทางประวัติศาสตร์และวัฒนธรรม</x:v>
      </x:c>
      <x:c r="F19" s="38" t="n">
        <x:v>46316</x:v>
      </x:c>
      <x:c r="G19" s="8" t="str">
        <x:v>R26-004</x:v>
      </x:c>
      <x:c r="H19" s="39" t="str">
        <x:v>01</x:v>
      </x:c>
      <x:c r="I19" s="8" t="str">
        <x:v>From Silk Road to Lanna</x:v>
      </x:c>
      <x:c r="J19" s="8" t="str">
        <x:v>1</x:v>
      </x:c>
      <x:c r="K19" s="8" t="str">
        <x:v>มัสยิด</x:v>
      </x:c>
      <x:c r="L19" s="8" t="str">
        <x:f>INDEX('ประเมินเกณฑ์'!$AE$9:$AE$608,MATCH(G19,'ประเมินเกณฑ์'!$A$9:$A$608,0))</x:f>
        <x:v>รอประเมิน</x:v>
      </x:c>
      <x:c r="M19" s="8" t="str">
        <x:v>จุดในเอกสารเส้นทาง</x:v>
      </x:c>
      <x:c r="N19" s="8" t="str">
        <x:v>ยังไม่ยืนยันการเปิดให้บริการปัจจุบัน</x:v>
      </x:c>
      <x:c r="O19" s="40" t="n">
        <x:v>46316</x:v>
      </x:c>
    </x:row>
    <x:row r="20" ht="38" customHeight="1">
      <x:c r="A20" s="9" t="n">
        <x:v>12</x:v>
      </x:c>
      <x:c r="B20" s="8" t="str">
        <x:v>มัสยิดเฮดายาตุลอิสลาม บ้านฮ่อ</x:v>
      </x:c>
      <x:c r="C20" s="8" t="str">
        <x:v>เชียงใหม่</x:v>
      </x:c>
      <x:c r="D20" s="8" t="str">
        <x:v>มีศักยภาพ แต่ต้องพัฒนามาตรฐาน</x:v>
      </x:c>
      <x:c r="E20" s="8" t="str">
        <x:v>แหล่งท่องเที่ยวทางประวัติศาสตร์และวัฒนธรรม</x:v>
      </x:c>
      <x:c r="F20" s="38" t="n">
        <x:v>46316</x:v>
      </x:c>
      <x:c r="G20" s="8" t="str">
        <x:v>R26-002</x:v>
      </x:c>
      <x:c r="H20" s="39" t="str">
        <x:v>01</x:v>
      </x:c>
      <x:c r="I20" s="8" t="str">
        <x:v>From Silk Road to Lanna</x:v>
      </x:c>
      <x:c r="J20" s="8" t="str">
        <x:v>1</x:v>
      </x:c>
      <x:c r="K20" s="8" t="str">
        <x:v>มัสยิด</x:v>
      </x:c>
      <x:c r="L20" s="8" t="str">
        <x:f>INDEX('ประเมินเกณฑ์'!$AE$9:$AE$608,MATCH(G20,'ประเมินเกณฑ์'!$A$9:$A$608,0))</x:f>
        <x:v>รอประเมิน</x:v>
      </x:c>
      <x:c r="M20" s="8" t="str">
        <x:v>จุดในเอกสารเส้นทาง</x:v>
      </x:c>
      <x:c r="N20" s="8" t="str">
        <x:v>ยังไม่ยืนยันการเปิดให้บริการปัจจุบัน</x:v>
      </x:c>
      <x:c r="O20" s="40" t="n">
        <x:v>46316</x:v>
      </x:c>
    </x:row>
    <x:row r="21" ht="38" customHeight="1">
      <x:c r="A21" s="9" t="n">
        <x:v>13</x:v>
      </x:c>
      <x:c r="B21" s="8" t="str">
        <x:v>กาดบ้านฮ่อ</x:v>
      </x:c>
      <x:c r="C21" s="8" t="str">
        <x:v>เชียงใหม่</x:v>
      </x:c>
      <x:c r="D21" s="8" t="str">
        <x:v>มีศักยภาพ แต่ต้องพัฒนามาตรฐาน</x:v>
      </x:c>
      <x:c r="E21" s="8" t="str">
        <x:v>ชุมชนท่องเที่ยว</x:v>
      </x:c>
      <x:c r="F21" s="38" t="n">
        <x:v>46316</x:v>
      </x:c>
      <x:c r="G21" s="8" t="str">
        <x:v>R26-001</x:v>
      </x:c>
      <x:c r="H21" s="39" t="str">
        <x:v>01</x:v>
      </x:c>
      <x:c r="I21" s="8" t="str">
        <x:v>From Silk Road to Lanna</x:v>
      </x:c>
      <x:c r="J21" s="8" t="str">
        <x:v>1</x:v>
      </x:c>
      <x:c r="K21" s="8" t="str">
        <x:v>ชุมชน</x:v>
      </x:c>
      <x:c r="L21" s="8" t="str">
        <x:f>INDEX('ประเมินเกณฑ์'!$AE$9:$AE$608,MATCH(G21,'ประเมินเกณฑ์'!$A$9:$A$608,0))</x:f>
        <x:v>รอประเมิน</x:v>
      </x:c>
      <x:c r="M21" s="8" t="str">
        <x:v>จุดในเอกสารเส้นทาง</x:v>
      </x:c>
      <x:c r="N21" s="8" t="str">
        <x:v>ยังไม่ยืนยันการเปิดให้บริการปัจจุบัน</x:v>
      </x:c>
      <x:c r="O21" s="40" t="n">
        <x:v>46316</x:v>
      </x:c>
    </x:row>
    <x:row r="22" ht="38" customHeight="1">
      <x:c r="A22" s="9" t="n">
        <x:v>14</x:v>
      </x:c>
      <x:c r="B22" s="8" t="str">
        <x:v>บ้านขันโตกฮาลาล</x:v>
      </x:c>
      <x:c r="C22" s="8" t="str">
        <x:v>เชียงใหม่</x:v>
      </x:c>
      <x:c r="D22" s="8" t="str">
        <x:v>มีศักยภาพ แต่ต้องพัฒนามาตรฐาน</x:v>
      </x:c>
      <x:c r="E22" s="8" t="str">
        <x:v>ร้านอาหารและคาเฟ่</x:v>
      </x:c>
      <x:c r="F22" s="38" t="n">
        <x:v>46316</x:v>
      </x:c>
      <x:c r="G22" s="8" t="str">
        <x:v>R26-008</x:v>
      </x:c>
      <x:c r="H22" s="39" t="str">
        <x:v>01</x:v>
      </x:c>
      <x:c r="I22" s="8" t="str">
        <x:v>From Silk Road to Lanna</x:v>
      </x:c>
      <x:c r="J22" s="8" t="str">
        <x:v>2</x:v>
      </x:c>
      <x:c r="K22" s="8" t="str">
        <x:v>อาหาร</x:v>
      </x:c>
      <x:c r="L22" s="8" t="str">
        <x:f>INDEX('ประเมินเกณฑ์'!$AE$9:$AE$608,MATCH(G22,'ประเมินเกณฑ์'!$A$9:$A$608,0))</x:f>
        <x:v>รอประเมิน</x:v>
      </x:c>
      <x:c r="M22" s="8" t="str">
        <x:v>จุดในเอกสารเส้นทาง</x:v>
      </x:c>
      <x:c r="N22" s="8" t="str">
        <x:v>ยังไม่ยืนยันการเปิดให้บริการปัจจุบัน</x:v>
      </x:c>
      <x:c r="O22" s="40" t="n">
        <x:v>46316</x:v>
      </x:c>
    </x:row>
    <x:row r="23" ht="38" customHeight="1">
      <x:c r="A23" s="9" t="n">
        <x:v>15</x:v>
      </x:c>
      <x:c r="B23" s="8" t="str">
        <x:v>จริงใจมาร์เก็ต เชียงใหม่</x:v>
      </x:c>
      <x:c r="C23" s="8" t="str">
        <x:v>เชียงใหม่</x:v>
      </x:c>
      <x:c r="D23" s="8" t="str">
        <x:v>มีศักยภาพ แต่ต้องพัฒนามาตรฐาน</x:v>
      </x:c>
      <x:c r="E23" s="8" t="str">
        <x:v>ศูนย์กิจกรรมและนันทนาการ</x:v>
      </x:c>
      <x:c r="F23" s="38" t="n">
        <x:v>46316</x:v>
      </x:c>
      <x:c r="G23" s="8" t="str">
        <x:v>R26-010</x:v>
      </x:c>
      <x:c r="H23" s="39" t="str">
        <x:v>01</x:v>
      </x:c>
      <x:c r="I23" s="8" t="str">
        <x:v>From Silk Road to Lanna</x:v>
      </x:c>
      <x:c r="J23" s="8" t="str">
        <x:v>2</x:v>
      </x:c>
      <x:c r="K23" s="8" t="str">
        <x:v>กิจกรรม</x:v>
      </x:c>
      <x:c r="L23" s="8" t="str">
        <x:f>INDEX('ประเมินเกณฑ์'!$AE$9:$AE$608,MATCH(G23,'ประเมินเกณฑ์'!$A$9:$A$608,0))</x:f>
        <x:v>รอประเมิน</x:v>
      </x:c>
      <x:c r="M23" s="8" t="str">
        <x:v>จุดในเอกสารเส้นทาง</x:v>
      </x:c>
      <x:c r="N23" s="8" t="str">
        <x:v>ยังไม่ยืนยันการเปิดให้บริการปัจจุบัน</x:v>
      </x:c>
      <x:c r="O23" s="40" t="n">
        <x:v>46316</x:v>
      </x:c>
    </x:row>
    <x:row r="24" ht="38" customHeight="1">
      <x:c r="A24" s="9" t="n">
        <x:v>16</x:v>
      </x:c>
      <x:c r="B24" s="8" t="str">
        <x:v>Aba Village</x:v>
      </x:c>
      <x:c r="C24" s="8" t="str">
        <x:v>เชียงใหม่</x:v>
      </x:c>
      <x:c r="D24" s="8" t="str">
        <x:v>พร้อมขาย</x:v>
      </x:c>
      <x:c r="E24" s="8" t="str">
        <x:v>ที่พัก</x:v>
      </x:c>
      <x:c r="F24" s="38" t="n">
        <x:v>46316</x:v>
      </x:c>
      <x:c r="G24" s="8" t="str">
        <x:v>TMF-235</x:v>
      </x:c>
      <x:c r="H24" s="39" t="str">
        <x:v>01</x:v>
      </x:c>
      <x:c r="I24" s="8" t="str">
        <x:v>From Silk Road to Lanna</x:v>
      </x:c>
      <x:c r="J24" s="8" t="str">
        <x:v>ตัวเลือกเสริม</x:v>
      </x:c>
      <x:c r="K24" s="8" t="str">
        <x:v>ที่พัก (ตรวจประเภทจากชื่อและข้อมูลประกอบ)</x:v>
      </x:c>
      <x:c r="L24" s="8" t="str">
        <x:f>INDEX('ประเมินเกณฑ์'!$AE$9:$AE$608,MATCH(G24,'ประเมินเกณฑ์'!$A$9:$A$608,0))</x:f>
        <x:v>รอประเมิน</x:v>
      </x:c>
      <x:c r="M24" s="8" t="str">
        <x:v>สถานที่ในจังหวัดเส้นทาง รอตรวจระยะทางและลำดับ</x:v>
      </x:c>
      <x:c r="N24" s="8" t="str">
        <x:v>ยังไม่ยืนยันการเปิดให้บริการปัจจุบัน</x:v>
      </x:c>
      <x:c r="O24" s="40" t="n">
        <x:v>46315</x:v>
      </x:c>
    </x:row>
    <x:row r="25" ht="38" customHeight="1">
      <x:c r="A25" s="9" t="n">
        <x:v>17</x:v>
      </x:c>
      <x:c r="B25" s="8" t="str">
        <x:v>Arsh Boutique Hotel</x:v>
      </x:c>
      <x:c r="C25" s="8" t="str">
        <x:v>เชียงใหม่</x:v>
      </x:c>
      <x:c r="D25" s="8" t="str">
        <x:v>พร้อมขาย</x:v>
      </x:c>
      <x:c r="E25" s="8" t="str">
        <x:v>ที่พัก</x:v>
      </x:c>
      <x:c r="F25" s="38" t="n">
        <x:v>46316</x:v>
      </x:c>
      <x:c r="G25" s="8" t="str">
        <x:v>TMF-231</x:v>
      </x:c>
      <x:c r="H25" s="39" t="str">
        <x:v>01</x:v>
      </x:c>
      <x:c r="I25" s="8" t="str">
        <x:v>From Silk Road to Lanna</x:v>
      </x:c>
      <x:c r="J25" s="8" t="str">
        <x:v>ตัวเลือกเสริม</x:v>
      </x:c>
      <x:c r="K25" s="8" t="str">
        <x:v>โรงแรมหรือรีสอร์ท</x:v>
      </x:c>
      <x:c r="L25" s="8" t="str">
        <x:f>INDEX('ประเมินเกณฑ์'!$AE$9:$AE$608,MATCH(G25,'ประเมินเกณฑ์'!$A$9:$A$608,0))</x:f>
        <x:v>รอประเมิน</x:v>
      </x:c>
      <x:c r="M25" s="8" t="str">
        <x:v>สถานที่ในจังหวัดเส้นทาง รอตรวจระยะทางและลำดับ</x:v>
      </x:c>
      <x:c r="N25" s="8" t="str">
        <x:v>ยังไม่ยืนยันการเปิดให้บริการปัจจุบัน</x:v>
      </x:c>
      <x:c r="O25" s="40" t="n">
        <x:v>46315</x:v>
      </x:c>
    </x:row>
    <x:row r="26" ht="38" customHeight="1">
      <x:c r="A26" s="9" t="n">
        <x:v>18</x:v>
      </x:c>
      <x:c r="B26" s="8" t="str">
        <x:v>Lima Lanna Hotel</x:v>
      </x:c>
      <x:c r="C26" s="8" t="str">
        <x:v>เชียงใหม่</x:v>
      </x:c>
      <x:c r="D26" s="8" t="str">
        <x:v>พร้อมขาย</x:v>
      </x:c>
      <x:c r="E26" s="8" t="str">
        <x:v>ที่พัก</x:v>
      </x:c>
      <x:c r="F26" s="38" t="n">
        <x:v>46316</x:v>
      </x:c>
      <x:c r="G26" s="8" t="str">
        <x:v>TMF-232</x:v>
      </x:c>
      <x:c r="H26" s="39" t="str">
        <x:v>01</x:v>
      </x:c>
      <x:c r="I26" s="8" t="str">
        <x:v>From Silk Road to Lanna</x:v>
      </x:c>
      <x:c r="J26" s="8" t="str">
        <x:v>ตัวเลือกเสริม</x:v>
      </x:c>
      <x:c r="K26" s="8" t="str">
        <x:v>โรงแรมหรือรีสอร์ท</x:v>
      </x:c>
      <x:c r="L26" s="8" t="str">
        <x:f>INDEX('ประเมินเกณฑ์'!$AE$9:$AE$608,MATCH(G26,'ประเมินเกณฑ์'!$A$9:$A$608,0))</x:f>
        <x:v>รอประเมิน</x:v>
      </x:c>
      <x:c r="M26" s="8" t="str">
        <x:v>สถานที่ในจังหวัดเส้นทาง รอตรวจระยะทางและลำดับ</x:v>
      </x:c>
      <x:c r="N26" s="8" t="str">
        <x:v>ยังไม่ยืนยันการเปิดให้บริการปัจจุบัน</x:v>
      </x:c>
      <x:c r="O26" s="40" t="n">
        <x:v>46315</x:v>
      </x:c>
    </x:row>
    <x:row r="27" ht="38" customHeight="1">
      <x:c r="A27" s="9" t="n">
        <x:v>19</x:v>
      </x:c>
      <x:c r="B27" s="8" t="str">
        <x:v>U Chiang Mai</x:v>
      </x:c>
      <x:c r="C27" s="8" t="str">
        <x:v>เชียงใหม่</x:v>
      </x:c>
      <x:c r="D27" s="8" t="str">
        <x:v>มีศักยภาพ แต่ต้องพัฒนามาตรฐาน</x:v>
      </x:c>
      <x:c r="E27" s="8" t="str">
        <x:v>ที่พัก</x:v>
      </x:c>
      <x:c r="F27" s="38" t="n">
        <x:v>46316</x:v>
      </x:c>
      <x:c r="G27" s="8" t="str">
        <x:v>R26-364</x:v>
      </x:c>
      <x:c r="H27" s="39" t="str">
        <x:v>01</x:v>
      </x:c>
      <x:c r="I27" s="8" t="str">
        <x:v>From Silk Road to Lanna</x:v>
      </x:c>
      <x:c r="J27" s="8" t="str">
        <x:v>ตัวเลือกเสริม</x:v>
      </x:c>
      <x:c r="K27" s="8" t="str">
        <x:v>ที่พัก</x:v>
      </x:c>
      <x:c r="L27" s="8" t="str">
        <x:f>INDEX('ประเมินเกณฑ์'!$AE$9:$AE$608,MATCH(G27,'ประเมินเกณฑ์'!$A$9:$A$608,0))</x:f>
        <x:v>รอประเมิน</x:v>
      </x:c>
      <x:c r="M27" s="8" t="str">
        <x:v>สถานที่ในจังหวัดเส้นทาง รอตรวจระยะทางและลำดับ</x:v>
      </x:c>
      <x:c r="N27" s="8" t="str">
        <x:v>ยังไม่ยืนยันการเปิดให้บริการปัจจุบัน</x:v>
      </x:c>
      <x:c r="O27" s="40" t="n">
        <x:v>46316</x:v>
      </x:c>
    </x:row>
    <x:row r="28" ht="38" customHeight="1">
      <x:c r="A28" s="9" t="n">
        <x:v>20</x:v>
      </x:c>
      <x:c r="B28" s="8" t="str">
        <x:v>มิรา เรสซิเดนซ์ &amp; รีสอร์ท</x:v>
      </x:c>
      <x:c r="C28" s="8" t="str">
        <x:v>เชียงใหม่</x:v>
      </x:c>
      <x:c r="D28" s="8" t="str">
        <x:v>พร้อมขาย</x:v>
      </x:c>
      <x:c r="E28" s="8" t="str">
        <x:v>ที่พัก</x:v>
      </x:c>
      <x:c r="F28" s="38" t="n">
        <x:v>46316</x:v>
      </x:c>
      <x:c r="G28" s="8" t="str">
        <x:v>TMF-233</x:v>
      </x:c>
      <x:c r="H28" s="39" t="str">
        <x:v>01</x:v>
      </x:c>
      <x:c r="I28" s="8" t="str">
        <x:v>From Silk Road to Lanna</x:v>
      </x:c>
      <x:c r="J28" s="8" t="str">
        <x:v>ตัวเลือกเสริม</x:v>
      </x:c>
      <x:c r="K28" s="8" t="str">
        <x:v>โรงแรมหรือรีสอร์ท</x:v>
      </x:c>
      <x:c r="L28" s="8" t="str">
        <x:f>INDEX('ประเมินเกณฑ์'!$AE$9:$AE$608,MATCH(G28,'ประเมินเกณฑ์'!$A$9:$A$608,0))</x:f>
        <x:v>รอประเมิน</x:v>
      </x:c>
      <x:c r="M28" s="8" t="str">
        <x:v>สถานที่ในจังหวัดเส้นทาง รอตรวจระยะทางและลำดับ</x:v>
      </x:c>
      <x:c r="N28" s="8" t="str">
        <x:v>ยังไม่ยืนยันการเปิดให้บริการปัจจุบัน</x:v>
      </x:c>
      <x:c r="O28" s="40" t="n">
        <x:v>46315</x:v>
      </x:c>
    </x:row>
    <x:row r="29" ht="38" customHeight="1">
      <x:c r="A29" s="9" t="n">
        <x:v>21</x:v>
      </x:c>
      <x:c r="B29" s="8" t="str">
        <x:v>โรงแรม คาซ่า มารอค เชียงใหม่ Casa Marocc Chiangmai</x:v>
      </x:c>
      <x:c r="C29" s="8" t="str">
        <x:v>เชียงใหม่</x:v>
      </x:c>
      <x:c r="D29" s="8" t="str">
        <x:v>พร้อมขาย</x:v>
      </x:c>
      <x:c r="E29" s="8" t="str">
        <x:v>ที่พัก</x:v>
      </x:c>
      <x:c r="F29" s="38" t="n">
        <x:v>46316</x:v>
      </x:c>
      <x:c r="G29" s="8" t="str">
        <x:v>TMF-234</x:v>
      </x:c>
      <x:c r="H29" s="39" t="str">
        <x:v>01</x:v>
      </x:c>
      <x:c r="I29" s="8" t="str">
        <x:v>From Silk Road to Lanna</x:v>
      </x:c>
      <x:c r="J29" s="8" t="str">
        <x:v>ตัวเลือกเสริม</x:v>
      </x:c>
      <x:c r="K29" s="8" t="str">
        <x:v>โรงแรมหรือรีสอร์ท</x:v>
      </x:c>
      <x:c r="L29" s="8" t="str">
        <x:f>INDEX('ประเมินเกณฑ์'!$AE$9:$AE$608,MATCH(G29,'ประเมินเกณฑ์'!$A$9:$A$608,0))</x:f>
        <x:v>รอประเมิน</x:v>
      </x:c>
      <x:c r="M29" s="8" t="str">
        <x:v>สถานที่ในจังหวัดเส้นทาง รอตรวจระยะทางและลำดับ</x:v>
      </x:c>
      <x:c r="N29" s="8" t="str">
        <x:v>ยังไม่ยืนยันการเปิดให้บริการปัจจุบัน</x:v>
      </x:c>
      <x:c r="O29" s="40" t="n">
        <x:v>46315</x:v>
      </x:c>
    </x:row>
    <x:row r="30" ht="38" customHeight="1">
      <x:c r="A30" s="9" t="n">
        <x:v>22</x:v>
      </x:c>
      <x:c r="B30" s="8" t="str">
        <x:v>Ancient beef Thai Cuisine – ข้าวขาวัว</x:v>
      </x:c>
      <x:c r="C30" s="8" t="str">
        <x:v>เชียงใหม่</x:v>
      </x:c>
      <x:c r="D30" s="8" t="str">
        <x:v>มีศักยภาพ แต่ต้องพัฒนามาตรฐาน</x:v>
      </x:c>
      <x:c r="E30" s="8" t="str">
        <x:v>ร้านอาหารและคาเฟ่</x:v>
      </x:c>
      <x:c r="F30" s="38" t="n">
        <x:v>46316</x:v>
      </x:c>
      <x:c r="G30" s="8" t="str">
        <x:v>TMF-591</x:v>
      </x:c>
      <x:c r="H30" s="39" t="str">
        <x:v>01</x:v>
      </x:c>
      <x:c r="I30" s="8" t="str">
        <x:v>From Silk Road to Lanna</x:v>
      </x:c>
      <x:c r="J30" s="8" t="str">
        <x:v>ตัวเลือกเสริม</x:v>
      </x:c>
      <x:c r="K30" s="8" t="str">
        <x:v>ร้านอาหาร</x:v>
      </x:c>
      <x:c r="L30" s="8" t="str">
        <x:f>INDEX('ประเมินเกณฑ์'!$AE$9:$AE$608,MATCH(G30,'ประเมินเกณฑ์'!$A$9:$A$608,0))</x:f>
        <x:v>รอประเมิน</x:v>
      </x:c>
      <x:c r="M30" s="8" t="str">
        <x:v>สถานที่ในจังหวัดเส้นทาง รอตรวจระยะทางและลำดับ</x:v>
      </x:c>
      <x:c r="N30" s="8" t="str">
        <x:v>ยังไม่ยืนยันการเปิดให้บริการปัจจุบัน</x:v>
      </x:c>
      <x:c r="O30" s="40" t="n">
        <x:v>46315</x:v>
      </x:c>
    </x:row>
    <x:row r="31" ht="38" customHeight="1">
      <x:c r="A31" s="9" t="n">
        <x:v>23</x:v>
      </x:c>
      <x:c r="B31" s="8" t="str">
        <x:v>Everything Halal CNX</x:v>
      </x:c>
      <x:c r="C31" s="8" t="str">
        <x:v>เชียงใหม่</x:v>
      </x:c>
      <x:c r="D31" s="8" t="str">
        <x:v>พร้อมขาย</x:v>
      </x:c>
      <x:c r="E31" s="8" t="str">
        <x:v>ร้านอาหารและคาเฟ่</x:v>
      </x:c>
      <x:c r="F31" s="38" t="n">
        <x:v>46316</x:v>
      </x:c>
      <x:c r="G31" s="8" t="str">
        <x:v>TMF-236</x:v>
      </x:c>
      <x:c r="H31" s="39" t="str">
        <x:v>01</x:v>
      </x:c>
      <x:c r="I31" s="8" t="str">
        <x:v>From Silk Road to Lanna</x:v>
      </x:c>
      <x:c r="J31" s="8" t="str">
        <x:v>ตัวเลือกเสริม</x:v>
      </x:c>
      <x:c r="K31" s="8" t="str">
        <x:v>ร้านอาหาร</x:v>
      </x:c>
      <x:c r="L31" s="8" t="str">
        <x:f>INDEX('ประเมินเกณฑ์'!$AE$9:$AE$608,MATCH(G31,'ประเมินเกณฑ์'!$A$9:$A$608,0))</x:f>
        <x:v>รอประเมิน</x:v>
      </x:c>
      <x:c r="M31" s="8" t="str">
        <x:v>สถานที่ในจังหวัดเส้นทาง รอตรวจระยะทางและลำดับ</x:v>
      </x:c>
      <x:c r="N31" s="8" t="str">
        <x:v>ยังไม่ยืนยันการเปิดให้บริการปัจจุบัน</x:v>
      </x:c>
      <x:c r="O31" s="40" t="n">
        <x:v>46315</x:v>
      </x:c>
    </x:row>
    <x:row r="32" ht="38" customHeight="1">
      <x:c r="A32" s="9" t="n">
        <x:v>24</x:v>
      </x:c>
      <x:c r="B32" s="8" t="str">
        <x:v>Mme caffee</x:v>
      </x:c>
      <x:c r="C32" s="8" t="str">
        <x:v>เชียงใหม่</x:v>
      </x:c>
      <x:c r="D32" s="8" t="str">
        <x:v>มีศักยภาพ แต่ต้องพัฒนามาตรฐาน</x:v>
      </x:c>
      <x:c r="E32" s="8" t="str">
        <x:v>ร้านอาหารและคาเฟ่</x:v>
      </x:c>
      <x:c r="F32" s="38" t="n">
        <x:v>46316</x:v>
      </x:c>
      <x:c r="G32" s="8" t="str">
        <x:v>TMF-593</x:v>
      </x:c>
      <x:c r="H32" s="39" t="str">
        <x:v>01</x:v>
      </x:c>
      <x:c r="I32" s="8" t="str">
        <x:v>From Silk Road to Lanna</x:v>
      </x:c>
      <x:c r="J32" s="8" t="str">
        <x:v>ตัวเลือกเสริม</x:v>
      </x:c>
      <x:c r="K32" s="8" t="str">
        <x:v>ร้านอาหาร</x:v>
      </x:c>
      <x:c r="L32" s="8" t="str">
        <x:f>INDEX('ประเมินเกณฑ์'!$AE$9:$AE$608,MATCH(G32,'ประเมินเกณฑ์'!$A$9:$A$608,0))</x:f>
        <x:v>รอประเมิน</x:v>
      </x:c>
      <x:c r="M32" s="8" t="str">
        <x:v>สถานที่ในจังหวัดเส้นทาง รอตรวจระยะทางและลำดับ</x:v>
      </x:c>
      <x:c r="N32" s="8" t="str">
        <x:v>ยังไม่ยืนยันการเปิดให้บริการปัจจุบัน</x:v>
      </x:c>
      <x:c r="O32" s="40" t="n">
        <x:v>46315</x:v>
      </x:c>
    </x:row>
    <x:row r="33" ht="38" customHeight="1">
      <x:c r="A33" s="9" t="n">
        <x:v>25</x:v>
      </x:c>
      <x:c r="B33" s="8" t="str">
        <x:v>ก๋วยเตี๋ยวเนื้อตุ๋น ครัวมัยซาเราะห์ ครัวบังมัต</x:v>
      </x:c>
      <x:c r="C33" s="8" t="str">
        <x:v>เชียงใหม่</x:v>
      </x:c>
      <x:c r="D33" s="8" t="str">
        <x:v>พร้อมขาย</x:v>
      </x:c>
      <x:c r="E33" s="8" t="str">
        <x:v>ร้านอาหารและคาเฟ่</x:v>
      </x:c>
      <x:c r="F33" s="38" t="n">
        <x:v>46316</x:v>
      </x:c>
      <x:c r="G33" s="8" t="str">
        <x:v>TMF-237</x:v>
      </x:c>
      <x:c r="H33" s="39" t="str">
        <x:v>01</x:v>
      </x:c>
      <x:c r="I33" s="8" t="str">
        <x:v>From Silk Road to Lanna</x:v>
      </x:c>
      <x:c r="J33" s="8" t="str">
        <x:v>ตัวเลือกเสริม</x:v>
      </x:c>
      <x:c r="K33" s="8" t="str">
        <x:v>ร้านอาหาร</x:v>
      </x:c>
      <x:c r="L33" s="8" t="str">
        <x:f>INDEX('ประเมินเกณฑ์'!$AE$9:$AE$608,MATCH(G33,'ประเมินเกณฑ์'!$A$9:$A$608,0))</x:f>
        <x:v>รอประเมิน</x:v>
      </x:c>
      <x:c r="M33" s="8" t="str">
        <x:v>สถานที่ในจังหวัดเส้นทาง รอตรวจระยะทางและลำดับ</x:v>
      </x:c>
      <x:c r="N33" s="8" t="str">
        <x:v>ยังไม่ยืนยันการเปิดให้บริการปัจจุบัน</x:v>
      </x:c>
      <x:c r="O33" s="40" t="n">
        <x:v>46315</x:v>
      </x:c>
    </x:row>
    <x:row r="34" ht="38" customHeight="1">
      <x:c r="A34" s="9" t="n">
        <x:v>26</x:v>
      </x:c>
      <x:c r="B34" s="8" t="str">
        <x:v>หรอยลำนัว</x:v>
      </x:c>
      <x:c r="C34" s="8" t="str">
        <x:v>เชียงใหม่</x:v>
      </x:c>
      <x:c r="D34" s="8" t="str">
        <x:v>พร้อมขาย</x:v>
      </x:c>
      <x:c r="E34" s="8" t="str">
        <x:v>ร้านอาหารและคาเฟ่</x:v>
      </x:c>
      <x:c r="F34" s="38" t="n">
        <x:v>46316</x:v>
      </x:c>
      <x:c r="G34" s="8" t="str">
        <x:v>TMF-238</x:v>
      </x:c>
      <x:c r="H34" s="39" t="str">
        <x:v>01</x:v>
      </x:c>
      <x:c r="I34" s="8" t="str">
        <x:v>From Silk Road to Lanna</x:v>
      </x:c>
      <x:c r="J34" s="8" t="str">
        <x:v>ตัวเลือกเสริม</x:v>
      </x:c>
      <x:c r="K34" s="8" t="str">
        <x:v>ร้านอาหาร</x:v>
      </x:c>
      <x:c r="L34" s="8" t="str">
        <x:f>INDEX('ประเมินเกณฑ์'!$AE$9:$AE$608,MATCH(G34,'ประเมินเกณฑ์'!$A$9:$A$608,0))</x:f>
        <x:v>รอประเมิน</x:v>
      </x:c>
      <x:c r="M34" s="8" t="str">
        <x:v>สถานที่ในจังหวัดเส้นทาง รอตรวจระยะทางและลำดับ</x:v>
      </x:c>
      <x:c r="N34" s="8" t="str">
        <x:v>ยังไม่ยืนยันการเปิดให้บริการปัจจุบัน</x:v>
      </x:c>
      <x:c r="O34" s="40" t="n">
        <x:v>46315</x:v>
      </x:c>
    </x:row>
    <x:row r="35" ht="38" customHeight="1">
      <x:c r="A35" s="9" t="n">
        <x:v>27</x:v>
      </x:c>
      <x:c r="B35" s="8" t="str">
        <x:v>เดอะกี โรตี The gee roti</x:v>
      </x:c>
      <x:c r="C35" s="8" t="str">
        <x:v>เชียงใหม่</x:v>
      </x:c>
      <x:c r="D35" s="8" t="str">
        <x:v>พัฒนาเพื่อพร้อมขาย</x:v>
      </x:c>
      <x:c r="E35" s="8" t="str">
        <x:v>ร้านอาหารและคาเฟ่</x:v>
      </x:c>
      <x:c r="F35" s="38" t="n">
        <x:v>46316</x:v>
      </x:c>
      <x:c r="G35" s="8" t="str">
        <x:v>TMF-406</x:v>
      </x:c>
      <x:c r="H35" s="39" t="str">
        <x:v>01</x:v>
      </x:c>
      <x:c r="I35" s="8" t="str">
        <x:v>From Silk Road to Lanna</x:v>
      </x:c>
      <x:c r="J35" s="8" t="str">
        <x:v>ตัวเลือกเสริม</x:v>
      </x:c>
      <x:c r="K35" s="8" t="str">
        <x:v>คาเฟ่และร้านของหวาน</x:v>
      </x:c>
      <x:c r="L35" s="8" t="str">
        <x:f>INDEX('ประเมินเกณฑ์'!$AE$9:$AE$608,MATCH(G35,'ประเมินเกณฑ์'!$A$9:$A$608,0))</x:f>
        <x:v>รอประเมิน</x:v>
      </x:c>
      <x:c r="M35" s="8" t="str">
        <x:v>สถานที่ในจังหวัดเส้นทาง รอตรวจระยะทางและลำดับ</x:v>
      </x:c>
      <x:c r="N35" s="8" t="str">
        <x:v>ยังไม่ยืนยันการเปิดให้บริการปัจจุบัน</x:v>
      </x:c>
      <x:c r="O35" s="40" t="n">
        <x:v>46315</x:v>
      </x:c>
    </x:row>
    <x:row r="36" ht="38" customHeight="1">
      <x:c r="A36" s="9" t="n">
        <x:v>28</x:v>
      </x:c>
      <x:c r="B36" s="8" t="str">
        <x:v>เลอบิส</x:v>
      </x:c>
      <x:c r="C36" s="8" t="str">
        <x:v>เชียงใหม่</x:v>
      </x:c>
      <x:c r="D36" s="8" t="str">
        <x:v>พร้อมขาย</x:v>
      </x:c>
      <x:c r="E36" s="8" t="str">
        <x:v>ร้านอาหารและคาเฟ่</x:v>
      </x:c>
      <x:c r="F36" s="38" t="n">
        <x:v>46316</x:v>
      </x:c>
      <x:c r="G36" s="8" t="str">
        <x:v>TMF-239</x:v>
      </x:c>
      <x:c r="H36" s="39" t="str">
        <x:v>01</x:v>
      </x:c>
      <x:c r="I36" s="8" t="str">
        <x:v>From Silk Road to Lanna</x:v>
      </x:c>
      <x:c r="J36" s="8" t="str">
        <x:v>ตัวเลือกเสริม</x:v>
      </x:c>
      <x:c r="K36" s="8" t="str">
        <x:v>ร้านอาหาร</x:v>
      </x:c>
      <x:c r="L36" s="8" t="str">
        <x:f>INDEX('ประเมินเกณฑ์'!$AE$9:$AE$608,MATCH(G36,'ประเมินเกณฑ์'!$A$9:$A$608,0))</x:f>
        <x:v>รอประเมิน</x:v>
      </x:c>
      <x:c r="M36" s="8" t="str">
        <x:v>สถานที่ในจังหวัดเส้นทาง รอตรวจระยะทางและลำดับ</x:v>
      </x:c>
      <x:c r="N36" s="8" t="str">
        <x:v>ยังไม่ยืนยันการเปิดให้บริการปัจจุบัน</x:v>
      </x:c>
      <x:c r="O36" s="40" t="n">
        <x:v>46315</x:v>
      </x:c>
    </x:row>
    <x:row r="37" ht="38" customHeight="1">
      <x:c r="A37" s="9" t="n">
        <x:v>29</x:v>
      </x:c>
      <x:c r="B37" s="8" t="str">
        <x:v>ไท่ไท่ทองอินทร์</x:v>
      </x:c>
      <x:c r="C37" s="8" t="str">
        <x:v>เชียงใหม่</x:v>
      </x:c>
      <x:c r="D37" s="8" t="str">
        <x:v>พร้อมขาย</x:v>
      </x:c>
      <x:c r="E37" s="8" t="str">
        <x:v>ร้านอาหารและคาเฟ่</x:v>
      </x:c>
      <x:c r="F37" s="38" t="n">
        <x:v>46316</x:v>
      </x:c>
      <x:c r="G37" s="8" t="str">
        <x:v>TMF-240</x:v>
      </x:c>
      <x:c r="H37" s="39" t="str">
        <x:v>01</x:v>
      </x:c>
      <x:c r="I37" s="8" t="str">
        <x:v>From Silk Road to Lanna</x:v>
      </x:c>
      <x:c r="J37" s="8" t="str">
        <x:v>ตัวเลือกเสริม</x:v>
      </x:c>
      <x:c r="K37" s="8" t="str">
        <x:v>ร้านอาหาร</x:v>
      </x:c>
      <x:c r="L37" s="8" t="str">
        <x:f>INDEX('ประเมินเกณฑ์'!$AE$9:$AE$608,MATCH(G37,'ประเมินเกณฑ์'!$A$9:$A$608,0))</x:f>
        <x:v>รอประเมิน</x:v>
      </x:c>
      <x:c r="M37" s="8" t="str">
        <x:v>สถานที่ในจังหวัดเส้นทาง รอตรวจระยะทางและลำดับ</x:v>
      </x:c>
      <x:c r="N37" s="8" t="str">
        <x:v>ยังไม่ยืนยันการเปิดให้บริการปัจจุบัน</x:v>
      </x:c>
      <x:c r="O37" s="40" t="n">
        <x:v>46315</x:v>
      </x:c>
    </x:row>
    <x:row r="38" ht="38" customHeight="1">
      <x:c r="A38" s="9" t="n">
        <x:v>30</x:v>
      </x:c>
      <x:c r="B38" s="8" t="str">
        <x:v>Fah Lanna Spa Nimman Chiang Mai</x:v>
      </x:c>
      <x:c r="C38" s="8" t="str">
        <x:v>เชียงใหม่</x:v>
      </x:c>
      <x:c r="D38" s="8" t="str">
        <x:v>มีศักยภาพ แต่ต้องพัฒนามาตรฐาน</x:v>
      </x:c>
      <x:c r="E38" s="8" t="str">
        <x:v>สถานประกอบการเพื่อสุขภาพและเวลเนส</x:v>
      </x:c>
      <x:c r="F38" s="38" t="n">
        <x:v>46316</x:v>
      </x:c>
      <x:c r="G38" s="8" t="str">
        <x:v>R26-317</x:v>
      </x:c>
      <x:c r="H38" s="39" t="str">
        <x:v>01</x:v>
      </x:c>
      <x:c r="I38" s="8" t="str">
        <x:v>From Silk Road to Lanna</x:v>
      </x:c>
      <x:c r="J38" s="8" t="str">
        <x:v>ตัวเลือกเสริม</x:v>
      </x:c>
      <x:c r="K38" s="8" t="str">
        <x:v>เวลเนส</x:v>
      </x:c>
      <x:c r="L38" s="8" t="str">
        <x:f>INDEX('ประเมินเกณฑ์'!$AE$9:$AE$608,MATCH(G38,'ประเมินเกณฑ์'!$A$9:$A$608,0))</x:f>
        <x:v>รอประเมิน</x:v>
      </x:c>
      <x:c r="M38" s="8" t="str">
        <x:v>สถานที่ในจังหวัดเส้นทาง รอตรวจระยะทางและลำดับ</x:v>
      </x:c>
      <x:c r="N38" s="8" t="str">
        <x:v>ยังไม่ยืนยันการเปิดให้บริการปัจจุบัน</x:v>
      </x:c>
      <x:c r="O38" s="40" t="n">
        <x:v>46316</x:v>
      </x:c>
    </x:row>
    <x:row r="39" ht="38" customHeight="1">
      <x:c r="A39" s="9" t="n">
        <x:v>31</x:v>
      </x:c>
      <x:c r="B39" s="8" t="str">
        <x:v>Fah Lanna Spa Old City Chiang Mai</x:v>
      </x:c>
      <x:c r="C39" s="8" t="str">
        <x:v>เชียงใหม่</x:v>
      </x:c>
      <x:c r="D39" s="8" t="str">
        <x:v>มีศักยภาพ แต่ต้องพัฒนามาตรฐาน</x:v>
      </x:c>
      <x:c r="E39" s="8" t="str">
        <x:v>สถานประกอบการเพื่อสุขภาพและเวลเนส</x:v>
      </x:c>
      <x:c r="F39" s="38" t="n">
        <x:v>46316</x:v>
      </x:c>
      <x:c r="G39" s="8" t="str">
        <x:v>R26-316</x:v>
      </x:c>
      <x:c r="H39" s="39" t="str">
        <x:v>01</x:v>
      </x:c>
      <x:c r="I39" s="8" t="str">
        <x:v>From Silk Road to Lanna</x:v>
      </x:c>
      <x:c r="J39" s="8" t="str">
        <x:v>ตัวเลือกเสริม</x:v>
      </x:c>
      <x:c r="K39" s="8" t="str">
        <x:v>เวลเนส</x:v>
      </x:c>
      <x:c r="L39" s="8" t="str">
        <x:f>INDEX('ประเมินเกณฑ์'!$AE$9:$AE$608,MATCH(G39,'ประเมินเกณฑ์'!$A$9:$A$608,0))</x:f>
        <x:v>รอประเมิน</x:v>
      </x:c>
      <x:c r="M39" s="8" t="str">
        <x:v>สถานที่ในจังหวัดเส้นทาง รอตรวจระยะทางและลำดับ</x:v>
      </x:c>
      <x:c r="N39" s="8" t="str">
        <x:v>ยังไม่ยืนยันการเปิดให้บริการปัจจุบัน</x:v>
      </x:c>
      <x:c r="O39" s="40" t="n">
        <x:v>46316</x:v>
      </x:c>
    </x:row>
    <x:row r="40" ht="38" customHeight="1">
      <x:c r="A40" s="9" t="n">
        <x:v>32</x:v>
      </x:c>
      <x:c r="B40" s="8" t="str">
        <x:v>Let's Relax Spa Chiang Mai Nimman One</x:v>
      </x:c>
      <x:c r="C40" s="8" t="str">
        <x:v>เชียงใหม่</x:v>
      </x:c>
      <x:c r="D40" s="8" t="str">
        <x:v>มีศักยภาพ แต่ต้องพัฒนามาตรฐาน</x:v>
      </x:c>
      <x:c r="E40" s="8" t="str">
        <x:v>สถานประกอบการเพื่อสุขภาพและเวลเนส</x:v>
      </x:c>
      <x:c r="F40" s="38" t="n">
        <x:v>46316</x:v>
      </x:c>
      <x:c r="G40" s="8" t="str">
        <x:v>R26-278</x:v>
      </x:c>
      <x:c r="H40" s="39" t="str">
        <x:v>01</x:v>
      </x:c>
      <x:c r="I40" s="8" t="str">
        <x:v>From Silk Road to Lanna</x:v>
      </x:c>
      <x:c r="J40" s="8" t="str">
        <x:v>ตัวเลือกเสริม</x:v>
      </x:c>
      <x:c r="K40" s="8" t="str">
        <x:v>เวลเนส</x:v>
      </x:c>
      <x:c r="L40" s="8" t="str">
        <x:f>INDEX('ประเมินเกณฑ์'!$AE$9:$AE$608,MATCH(G40,'ประเมินเกณฑ์'!$A$9:$A$608,0))</x:f>
        <x:v>รอประเมิน</x:v>
      </x:c>
      <x:c r="M40" s="8" t="str">
        <x:v>สถานที่ในจังหวัดเส้นทาง รอตรวจระยะทางและลำดับ</x:v>
      </x:c>
      <x:c r="N40" s="8" t="str">
        <x:v>ยังไม่ยืนยันการเปิดให้บริการปัจจุบัน</x:v>
      </x:c>
      <x:c r="O40" s="40" t="n">
        <x:v>46316</x:v>
      </x:c>
    </x:row>
    <x:row r="41" ht="38" customHeight="1">
      <x:c r="A41" s="9" t="n">
        <x:v>33</x:v>
      </x:c>
      <x:c r="B41" s="8" t="str">
        <x:v>Let's Relax Spa Chiang Mai Thapae</x:v>
      </x:c>
      <x:c r="C41" s="8" t="str">
        <x:v>เชียงใหม่</x:v>
      </x:c>
      <x:c r="D41" s="8" t="str">
        <x:v>มีศักยภาพ แต่ต้องพัฒนามาตรฐาน</x:v>
      </x:c>
      <x:c r="E41" s="8" t="str">
        <x:v>สถานประกอบการเพื่อสุขภาพและเวลเนส</x:v>
      </x:c>
      <x:c r="F41" s="38" t="n">
        <x:v>46316</x:v>
      </x:c>
      <x:c r="G41" s="8" t="str">
        <x:v>R26-277</x:v>
      </x:c>
      <x:c r="H41" s="39" t="str">
        <x:v>01</x:v>
      </x:c>
      <x:c r="I41" s="8" t="str">
        <x:v>From Silk Road to Lanna</x:v>
      </x:c>
      <x:c r="J41" s="8" t="str">
        <x:v>ตัวเลือกเสริม</x:v>
      </x:c>
      <x:c r="K41" s="8" t="str">
        <x:v>เวลเนส</x:v>
      </x:c>
      <x:c r="L41" s="8" t="str">
        <x:f>INDEX('ประเมินเกณฑ์'!$AE$9:$AE$608,MATCH(G41,'ประเมินเกณฑ์'!$A$9:$A$608,0))</x:f>
        <x:v>รอประเมิน</x:v>
      </x:c>
      <x:c r="M41" s="8" t="str">
        <x:v>สถานที่ในจังหวัดเส้นทาง รอตรวจระยะทางและลำดับ</x:v>
      </x:c>
      <x:c r="N41" s="8" t="str">
        <x:v>ยังไม่ยืนยันการเปิดให้บริการปัจจุบัน</x:v>
      </x:c>
      <x:c r="O41" s="40" t="n">
        <x:v>46316</x:v>
      </x:c>
    </x:row>
    <x:row r="42" ht="38" customHeight="1">
      <x:c r="A42" s="9" t="n">
        <x:v>34</x:v>
      </x:c>
      <x:c r="B42" s="8" t="str">
        <x:v>RarinJinda Wellness Spa Chiang Mai</x:v>
      </x:c>
      <x:c r="C42" s="8" t="str">
        <x:v>เชียงใหม่</x:v>
      </x:c>
      <x:c r="D42" s="8" t="str">
        <x:v>มีศักยภาพ แต่ต้องพัฒนามาตรฐาน</x:v>
      </x:c>
      <x:c r="E42" s="8" t="str">
        <x:v>สถานประกอบการเพื่อสุขภาพและเวลเนส</x:v>
      </x:c>
      <x:c r="F42" s="38" t="n">
        <x:v>46316</x:v>
      </x:c>
      <x:c r="G42" s="8" t="str">
        <x:v>R26-315</x:v>
      </x:c>
      <x:c r="H42" s="39" t="str">
        <x:v>01</x:v>
      </x:c>
      <x:c r="I42" s="8" t="str">
        <x:v>From Silk Road to Lanna</x:v>
      </x:c>
      <x:c r="J42" s="8" t="str">
        <x:v>ตัวเลือกเสริม</x:v>
      </x:c>
      <x:c r="K42" s="8" t="str">
        <x:v>เวลเนส</x:v>
      </x:c>
      <x:c r="L42" s="8" t="str">
        <x:f>INDEX('ประเมินเกณฑ์'!$AE$9:$AE$608,MATCH(G42,'ประเมินเกณฑ์'!$A$9:$A$608,0))</x:f>
        <x:v>รอประเมิน</x:v>
      </x:c>
      <x:c r="M42" s="8" t="str">
        <x:v>สถานที่ในจังหวัดเส้นทาง รอตรวจระยะทางและลำดับ</x:v>
      </x:c>
      <x:c r="N42" s="8" t="str">
        <x:v>ยังไม่ยืนยันการเปิดให้บริการปัจจุบัน</x:v>
      </x:c>
      <x:c r="O42" s="40" t="n">
        <x:v>46316</x:v>
      </x:c>
    </x:row>
    <x:row r="43" ht="38" customHeight="1">
      <x:c r="A43" s="9" t="n">
        <x:v>35</x:v>
      </x:c>
      <x:c r="B43" s="8" t="str">
        <x:v>โอเอซิสสปา ล้านนา วัดพระสิงห์</x:v>
      </x:c>
      <x:c r="C43" s="8" t="str">
        <x:v>เชียงใหม่</x:v>
      </x:c>
      <x:c r="D43" s="8" t="str">
        <x:v>มีศักยภาพ แต่ต้องพัฒนามาตรฐาน</x:v>
      </x:c>
      <x:c r="E43" s="8" t="str">
        <x:v>สถานประกอบการเพื่อสุขภาพและเวลเนส</x:v>
      </x:c>
      <x:c r="F43" s="38" t="n">
        <x:v>46316</x:v>
      </x:c>
      <x:c r="G43" s="8" t="str">
        <x:v>TMF-594</x:v>
      </x:c>
      <x:c r="H43" s="39" t="str">
        <x:v>01</x:v>
      </x:c>
      <x:c r="I43" s="8" t="str">
        <x:v>From Silk Road to Lanna</x:v>
      </x:c>
      <x:c r="J43" s="8" t="str">
        <x:v>ตัวเลือกเสริม</x:v>
      </x:c>
      <x:c r="K43" s="8" t="str">
        <x:v>สปา</x:v>
      </x:c>
      <x:c r="L43" s="8" t="str">
        <x:f>INDEX('ประเมินเกณฑ์'!$AE$9:$AE$608,MATCH(G43,'ประเมินเกณฑ์'!$A$9:$A$608,0))</x:f>
        <x:v>รอประเมิน</x:v>
      </x:c>
      <x:c r="M43" s="8" t="str">
        <x:v>สถานที่ในจังหวัดเส้นทาง รอตรวจระยะทางและลำดับ</x:v>
      </x:c>
      <x:c r="N43" s="8" t="str">
        <x:v>ยังไม่ยืนยันการเปิดให้บริการปัจจุบัน</x:v>
      </x:c>
      <x:c r="O43" s="40" t="n">
        <x:v>46316</x:v>
      </x:c>
    </x:row>
    <x:row r="44" ht="38" customHeight="1">
      <x:c r="A44" s="9" t="n">
        <x:v>36</x:v>
      </x:c>
      <x:c r="B44" s="8" t="str">
        <x:v>โอเอซิสสปา แอทนิมมาน</x:v>
      </x:c>
      <x:c r="C44" s="8" t="str">
        <x:v>เชียงใหม่</x:v>
      </x:c>
      <x:c r="D44" s="8" t="str">
        <x:v>มีศักยภาพ แต่ต้องพัฒนามาตรฐาน</x:v>
      </x:c>
      <x:c r="E44" s="8" t="str">
        <x:v>สถานประกอบการเพื่อสุขภาพและเวลเนส</x:v>
      </x:c>
      <x:c r="F44" s="38" t="n">
        <x:v>46316</x:v>
      </x:c>
      <x:c r="G44" s="8" t="str">
        <x:v>TMF-595</x:v>
      </x:c>
      <x:c r="H44" s="39" t="str">
        <x:v>01</x:v>
      </x:c>
      <x:c r="I44" s="8" t="str">
        <x:v>From Silk Road to Lanna</x:v>
      </x:c>
      <x:c r="J44" s="8" t="str">
        <x:v>ตัวเลือกเสริม</x:v>
      </x:c>
      <x:c r="K44" s="8" t="str">
        <x:v>สปา</x:v>
      </x:c>
      <x:c r="L44" s="8" t="str">
        <x:f>INDEX('ประเมินเกณฑ์'!$AE$9:$AE$608,MATCH(G44,'ประเมินเกณฑ์'!$A$9:$A$608,0))</x:f>
        <x:v>รอประเมิน</x:v>
      </x:c>
      <x:c r="M44" s="8" t="str">
        <x:v>สถานที่ในจังหวัดเส้นทาง รอตรวจระยะทางและลำดับ</x:v>
      </x:c>
      <x:c r="N44" s="8" t="str">
        <x:v>ยังไม่ยืนยันการเปิดให้บริการปัจจุบัน</x:v>
      </x:c>
      <x:c r="O44" s="40" t="n">
        <x:v>46315</x:v>
      </x:c>
    </x:row>
    <x:row r="45" ht="38" customHeight="1">
      <x:c r="A45" s="9" t="n">
        <x:v>37</x:v>
      </x:c>
      <x:c r="B45" s="8" t="str">
        <x:v>Central Chiangmai</x:v>
      </x:c>
      <x:c r="C45" s="8" t="str">
        <x:v>เชียงใหม่</x:v>
      </x:c>
      <x:c r="D45" s="8" t="str">
        <x:v>มีศักยภาพ แต่ต้องพัฒนามาตรฐาน</x:v>
      </x:c>
      <x:c r="E45" s="8" t="str">
        <x:v>ศูนย์การค้า</x:v>
      </x:c>
      <x:c r="F45" s="38" t="n">
        <x:v>46316</x:v>
      </x:c>
      <x:c r="G45" s="8" t="str">
        <x:v>R26-259</x:v>
      </x:c>
      <x:c r="H45" s="39" t="str">
        <x:v>01</x:v>
      </x:c>
      <x:c r="I45" s="8" t="str">
        <x:v>From Silk Road to Lanna</x:v>
      </x:c>
      <x:c r="J45" s="8" t="str">
        <x:v>ตัวเลือกเสริม</x:v>
      </x:c>
      <x:c r="K45" s="8" t="str">
        <x:v>การค้า</x:v>
      </x:c>
      <x:c r="L45" s="8" t="str">
        <x:f>INDEX('ประเมินเกณฑ์'!$AE$9:$AE$608,MATCH(G45,'ประเมินเกณฑ์'!$A$9:$A$608,0))</x:f>
        <x:v>รอประเมิน</x:v>
      </x:c>
      <x:c r="M45" s="8" t="str">
        <x:v>สถานที่ในจังหวัดเส้นทาง รอตรวจระยะทางและลำดับ</x:v>
      </x:c>
      <x:c r="N45" s="8" t="str">
        <x:v>ยังไม่ยืนยันการเปิดให้บริการปัจจุบัน</x:v>
      </x:c>
      <x:c r="O45" s="40" t="n">
        <x:v>46316</x:v>
      </x:c>
    </x:row>
    <x:row r="46" ht="38" customHeight="1">
      <x:c r="A46" s="9" t="n">
        <x:v>38</x:v>
      </x:c>
      <x:c r="B46" s="8" t="str">
        <x:v>Central Chiangmai Airport</x:v>
      </x:c>
      <x:c r="C46" s="8" t="str">
        <x:v>เชียงใหม่</x:v>
      </x:c>
      <x:c r="D46" s="8" t="str">
        <x:v>มีศักยภาพ แต่ต้องพัฒนามาตรฐาน</x:v>
      </x:c>
      <x:c r="E46" s="8" t="str">
        <x:v>ศูนย์การค้า</x:v>
      </x:c>
      <x:c r="F46" s="38" t="n">
        <x:v>46316</x:v>
      </x:c>
      <x:c r="G46" s="8" t="str">
        <x:v>R26-261</x:v>
      </x:c>
      <x:c r="H46" s="39" t="str">
        <x:v>01</x:v>
      </x:c>
      <x:c r="I46" s="8" t="str">
        <x:v>From Silk Road to Lanna</x:v>
      </x:c>
      <x:c r="J46" s="8" t="str">
        <x:v>ตัวเลือกเสริม</x:v>
      </x:c>
      <x:c r="K46" s="8" t="str">
        <x:v>การค้า</x:v>
      </x:c>
      <x:c r="L46" s="8" t="str">
        <x:f>INDEX('ประเมินเกณฑ์'!$AE$9:$AE$608,MATCH(G46,'ประเมินเกณฑ์'!$A$9:$A$608,0))</x:f>
        <x:v>รอประเมิน</x:v>
      </x:c>
      <x:c r="M46" s="8" t="str">
        <x:v>สถานที่ในจังหวัดเส้นทาง รอตรวจระยะทางและลำดับ</x:v>
      </x:c>
      <x:c r="N46" s="8" t="str">
        <x:v>ยังไม่ยืนยันการเปิดให้บริการปัจจุบัน</x:v>
      </x:c>
      <x:c r="O46" s="40" t="n">
        <x:v>46316</x:v>
      </x:c>
    </x:row>
    <x:row r="47" ht="38" customHeight="1">
      <x:c r="A47" s="9" t="n">
        <x:v>39</x:v>
      </x:c>
      <x:c r="B47" s="8" t="str">
        <x:v>MAYA Lifestyle Shopping Center</x:v>
      </x:c>
      <x:c r="C47" s="8" t="str">
        <x:v>เชียงใหม่</x:v>
      </x:c>
      <x:c r="D47" s="8" t="str">
        <x:v>มีศักยภาพ แต่ต้องพัฒนามาตรฐาน</x:v>
      </x:c>
      <x:c r="E47" s="8" t="str">
        <x:v>ศูนย์การค้า</x:v>
      </x:c>
      <x:c r="F47" s="38" t="n">
        <x:v>46316</x:v>
      </x:c>
      <x:c r="G47" s="8" t="str">
        <x:v>R26-260</x:v>
      </x:c>
      <x:c r="H47" s="39" t="str">
        <x:v>01</x:v>
      </x:c>
      <x:c r="I47" s="8" t="str">
        <x:v>From Silk Road to Lanna</x:v>
      </x:c>
      <x:c r="J47" s="8" t="str">
        <x:v>ตัวเลือกเสริม</x:v>
      </x:c>
      <x:c r="K47" s="8" t="str">
        <x:v>การค้า</x:v>
      </x:c>
      <x:c r="L47" s="8" t="str">
        <x:f>INDEX('ประเมินเกณฑ์'!$AE$9:$AE$608,MATCH(G47,'ประเมินเกณฑ์'!$A$9:$A$608,0))</x:f>
        <x:v>รอประเมิน</x:v>
      </x:c>
      <x:c r="M47" s="8" t="str">
        <x:v>สถานที่ในจังหวัดเส้นทาง รอตรวจระยะทางและลำดับ</x:v>
      </x:c>
      <x:c r="N47" s="8" t="str">
        <x:v>ยังไม่ยืนยันการเปิดให้บริการปัจจุบัน</x:v>
      </x:c>
      <x:c r="O47" s="40" t="n">
        <x:v>46316</x:v>
      </x:c>
    </x:row>
    <x:row r="48" ht="38" customHeight="1">
      <x:c r="A48" s="9" t="n">
        <x:v>40</x:v>
      </x:c>
      <x:c r="B48" s="8" t="str">
        <x:v>สวนพฤกษศาสตร์สมเด็จพระนางเจ้าสิริกิติ์</x:v>
      </x:c>
      <x:c r="C48" s="8" t="str">
        <x:v>เชียงใหม่</x:v>
      </x:c>
      <x:c r="D48" s="8" t="str">
        <x:v>มีศักยภาพ แต่ต้องพัฒนามาตรฐาน</x:v>
      </x:c>
      <x:c r="E48" s="8" t="str">
        <x:v>แหล่งท่องเที่ยวทางธรรมชาติ</x:v>
      </x:c>
      <x:c r="F48" s="38" t="n">
        <x:v>46316</x:v>
      </x:c>
      <x:c r="G48" s="8" t="str">
        <x:v>R26-116</x:v>
      </x:c>
      <x:c r="H48" s="39" t="str">
        <x:v>01</x:v>
      </x:c>
      <x:c r="I48" s="8" t="str">
        <x:v>From Silk Road to Lanna</x:v>
      </x:c>
      <x:c r="J48" s="8" t="str">
        <x:v>ตัวเลือกเสริม</x:v>
      </x:c>
      <x:c r="K48" s="8" t="str">
        <x:v>ธรรมชาติ</x:v>
      </x:c>
      <x:c r="L48" s="8" t="str">
        <x:f>INDEX('ประเมินเกณฑ์'!$AE$9:$AE$608,MATCH(G48,'ประเมินเกณฑ์'!$A$9:$A$608,0))</x:f>
        <x:v>รอประเมิน</x:v>
      </x:c>
      <x:c r="M48" s="8" t="str">
        <x:v>สถานที่ในจังหวัดเส้นทาง รอตรวจระยะทางและลำดับ</x:v>
      </x:c>
      <x:c r="N48" s="8" t="str">
        <x:v>ยังไม่ยืนยันการเปิดให้บริการปัจจุบัน</x:v>
      </x:c>
      <x:c r="O48" s="40" t="n">
        <x:v>46316</x:v>
      </x:c>
    </x:row>
    <x:row r="49" ht="38" customHeight="1">
      <x:c r="A49" s="9" t="n">
        <x:v>41</x:v>
      </x:c>
      <x:c r="B49" s="8" t="str">
        <x:v>ชุมชนบ้านออนใต้</x:v>
      </x:c>
      <x:c r="C49" s="8" t="str">
        <x:v>เชียงใหม่</x:v>
      </x:c>
      <x:c r="D49" s="8" t="str">
        <x:v>มีศักยภาพ แต่ต้องพัฒนามาตรฐาน</x:v>
      </x:c>
      <x:c r="E49" s="8" t="str">
        <x:v>ชุมชนท่องเที่ยว</x:v>
      </x:c>
      <x:c r="F49" s="38" t="n">
        <x:v>46316</x:v>
      </x:c>
      <x:c r="G49" s="8" t="str">
        <x:v>R26-123</x:v>
      </x:c>
      <x:c r="H49" s="39" t="str">
        <x:v>01</x:v>
      </x:c>
      <x:c r="I49" s="8" t="str">
        <x:v>From Silk Road to Lanna</x:v>
      </x:c>
      <x:c r="J49" s="8" t="str">
        <x:v>ตัวเลือกเสริม</x:v>
      </x:c>
      <x:c r="K49" s="8" t="str">
        <x:v>ชุมชน</x:v>
      </x:c>
      <x:c r="L49" s="8" t="str">
        <x:f>INDEX('ประเมินเกณฑ์'!$AE$9:$AE$608,MATCH(G49,'ประเมินเกณฑ์'!$A$9:$A$608,0))</x:f>
        <x:v>รอประเมิน</x:v>
      </x:c>
      <x:c r="M49" s="8" t="str">
        <x:v>สถานที่ในจังหวัดเส้นทาง รอตรวจระยะทางและลำดับ</x:v>
      </x:c>
      <x:c r="N49" s="8" t="str">
        <x:v>ยังไม่ยืนยันการเปิดให้บริการปัจจุบัน</x:v>
      </x:c>
      <x:c r="O49" s="40" t="n">
        <x:v>46316</x:v>
      </x:c>
    </x:row>
    <x:row r="50" ht="38" customHeight="1">
      <x:c r="A50" s="9" t="n">
        <x:v>42</x:v>
      </x:c>
      <x:c r="B50" s="8" t="str">
        <x:v>สวนสัตว์เชียงใหม่</x:v>
      </x:c>
      <x:c r="C50" s="8" t="str">
        <x:v>เชียงใหม่</x:v>
      </x:c>
      <x:c r="D50" s="8" t="str">
        <x:v>มีศักยภาพ แต่ต้องพัฒนามาตรฐาน</x:v>
      </x:c>
      <x:c r="E50" s="8" t="str">
        <x:v>ศูนย์กิจกรรมและนันทนาการ</x:v>
      </x:c>
      <x:c r="F50" s="38" t="n">
        <x:v>46316</x:v>
      </x:c>
      <x:c r="G50" s="8" t="str">
        <x:v>R26-324</x:v>
      </x:c>
      <x:c r="H50" s="39" t="str">
        <x:v>01</x:v>
      </x:c>
      <x:c r="I50" s="8" t="str">
        <x:v>From Silk Road to Lanna</x:v>
      </x:c>
      <x:c r="J50" s="8" t="str">
        <x:v>ตัวเลือกเสริม</x:v>
      </x:c>
      <x:c r="K50" s="8" t="str">
        <x:v>กิจกรรม</x:v>
      </x:c>
      <x:c r="L50" s="8" t="str">
        <x:f>INDEX('ประเมินเกณฑ์'!$AE$9:$AE$608,MATCH(G50,'ประเมินเกณฑ์'!$A$9:$A$608,0))</x:f>
        <x:v>รอประเมิน</x:v>
      </x:c>
      <x:c r="M50" s="8" t="str">
        <x:v>สถานที่ในจังหวัดเส้นทาง รอตรวจระยะทางและลำดับ</x:v>
      </x:c>
      <x:c r="N50" s="8" t="str">
        <x:v>ยังไม่ยืนยันการเปิดให้บริการปัจจุบัน</x:v>
      </x:c>
      <x:c r="O50" s="40" t="n">
        <x:v>46316</x:v>
      </x:c>
    </x:row>
    <x:row r="51" ht="38" customHeight="1">
      <x:c r="A51" s="9" t="n">
        <x:v>43</x:v>
      </x:c>
      <x:c r="B51" s="8" t="str">
        <x:v>เชียงใหม่ไนท์ซาฟารี</x:v>
      </x:c>
      <x:c r="C51" s="8" t="str">
        <x:v>เชียงใหม่</x:v>
      </x:c>
      <x:c r="D51" s="8" t="str">
        <x:v>มีศักยภาพ แต่ต้องพัฒนามาตรฐาน</x:v>
      </x:c>
      <x:c r="E51" s="8" t="str">
        <x:v>ศูนย์กิจกรรมและนันทนาการ</x:v>
      </x:c>
      <x:c r="F51" s="38" t="n">
        <x:v>46316</x:v>
      </x:c>
      <x:c r="G51" s="8" t="str">
        <x:v>R26-323</x:v>
      </x:c>
      <x:c r="H51" s="39" t="str">
        <x:v>01</x:v>
      </x:c>
      <x:c r="I51" s="8" t="str">
        <x:v>From Silk Road to Lanna</x:v>
      </x:c>
      <x:c r="J51" s="8" t="str">
        <x:v>ตัวเลือกเสริม</x:v>
      </x:c>
      <x:c r="K51" s="8" t="str">
        <x:v>กิจกรรม</x:v>
      </x:c>
      <x:c r="L51" s="8" t="str">
        <x:f>INDEX('ประเมินเกณฑ์'!$AE$9:$AE$608,MATCH(G51,'ประเมินเกณฑ์'!$A$9:$A$608,0))</x:f>
        <x:v>รอประเมิน</x:v>
      </x:c>
      <x:c r="M51" s="8" t="str">
        <x:v>สถานที่ในจังหวัดเส้นทาง รอตรวจระยะทางและลำดับ</x:v>
      </x:c>
      <x:c r="N51" s="8" t="str">
        <x:v>ยังไม่ยืนยันการเปิดให้บริการปัจจุบัน</x:v>
      </x:c>
      <x:c r="O51" s="40" t="n">
        <x:v>46316</x:v>
      </x:c>
    </x:row>
    <x:row r="52" ht="38" customHeight="1">
      <x:c r="A52" s="9" t="n">
        <x:v>44</x:v>
      </x:c>
      <x:c r="B52" s="8" t="str">
        <x:v>Rasa Boutique Hotel Chiang Rai</x:v>
      </x:c>
      <x:c r="C52" s="8" t="str">
        <x:v>เชียงราย</x:v>
      </x:c>
      <x:c r="D52" s="8" t="str">
        <x:v>มีศักยภาพ แต่ต้องพัฒนามาตรฐาน</x:v>
      </x:c>
      <x:c r="E52" s="8" t="str">
        <x:v>ที่พัก</x:v>
      </x:c>
      <x:c r="F52" s="38" t="n">
        <x:v>46316</x:v>
      </x:c>
      <x:c r="G52" s="8" t="str">
        <x:v>R26-017</x:v>
      </x:c>
      <x:c r="H52" s="39" t="str">
        <x:v>02</x:v>
      </x:c>
      <x:c r="I52" s="8" t="str">
        <x:v>Highland Halal Journey</x:v>
      </x:c>
      <x:c r="J52" s="8" t="str">
        <x:v>1</x:v>
      </x:c>
      <x:c r="K52" s="8" t="str">
        <x:v>ที่พัก</x:v>
      </x:c>
      <x:c r="L52" s="8" t="str">
        <x:f>INDEX('ประเมินเกณฑ์'!$AE$9:$AE$608,MATCH(G52,'ประเมินเกณฑ์'!$A$9:$A$608,0))</x:f>
        <x:v>รอประเมิน</x:v>
      </x:c>
      <x:c r="M52" s="8" t="str">
        <x:v>จุดในเอกสารเส้นทาง</x:v>
      </x:c>
      <x:c r="N52" s="8" t="str">
        <x:v>ยังไม่ยืนยันการเปิดให้บริการปัจจุบัน</x:v>
      </x:c>
      <x:c r="O52" s="40" t="n">
        <x:v>46316</x:v>
      </x:c>
    </x:row>
    <x:row r="53" ht="38" customHeight="1">
      <x:c r="A53" s="9" t="n">
        <x:v>45</x:v>
      </x:c>
      <x:c r="B53" s="8" t="str">
        <x:v>บุหงา ตานี cafe bistro</x:v>
      </x:c>
      <x:c r="C53" s="8" t="str">
        <x:v>เชียงราย</x:v>
      </x:c>
      <x:c r="D53" s="8" t="str">
        <x:v>มีศักยภาพ แต่ต้องพัฒนามาตรฐาน</x:v>
      </x:c>
      <x:c r="E53" s="8" t="str">
        <x:v>ร้านอาหารและคาเฟ่</x:v>
      </x:c>
      <x:c r="F53" s="38" t="n">
        <x:v>46316</x:v>
      </x:c>
      <x:c r="G53" s="8" t="str">
        <x:v>R26-013</x:v>
      </x:c>
      <x:c r="H53" s="39" t="str">
        <x:v>02</x:v>
      </x:c>
      <x:c r="I53" s="8" t="str">
        <x:v>Highland Halal Journey</x:v>
      </x:c>
      <x:c r="J53" s="8" t="str">
        <x:v>1</x:v>
      </x:c>
      <x:c r="K53" s="8" t="str">
        <x:v>อาหาร</x:v>
      </x:c>
      <x:c r="L53" s="8" t="str">
        <x:f>INDEX('ประเมินเกณฑ์'!$AE$9:$AE$608,MATCH(G53,'ประเมินเกณฑ์'!$A$9:$A$608,0))</x:f>
        <x:v>รอประเมิน</x:v>
      </x:c>
      <x:c r="M53" s="8" t="str">
        <x:v>จุดในเอกสารเส้นทาง</x:v>
      </x:c>
      <x:c r="N53" s="8" t="str">
        <x:v>ยังไม่ยืนยันการเปิดให้บริการปัจจุบัน</x:v>
      </x:c>
      <x:c r="O53" s="40" t="n">
        <x:v>46316</x:v>
      </x:c>
    </x:row>
    <x:row r="54" ht="38" customHeight="1">
      <x:c r="A54" s="9" t="n">
        <x:v>46</x:v>
      </x:c>
      <x:c r="B54" s="8" t="str">
        <x:v>บ้านเนื้อฮาลาล เชียงราย</x:v>
      </x:c>
      <x:c r="C54" s="8" t="str">
        <x:v>เชียงราย</x:v>
      </x:c>
      <x:c r="D54" s="8" t="str">
        <x:v>มีศักยภาพ แต่ต้องพัฒนามาตรฐาน</x:v>
      </x:c>
      <x:c r="E54" s="8" t="str">
        <x:v>ร้านอาหารและคาเฟ่</x:v>
      </x:c>
      <x:c r="F54" s="38" t="n">
        <x:v>46316</x:v>
      </x:c>
      <x:c r="G54" s="8" t="str">
        <x:v>R26-016</x:v>
      </x:c>
      <x:c r="H54" s="39" t="str">
        <x:v>02</x:v>
      </x:c>
      <x:c r="I54" s="8" t="str">
        <x:v>Highland Halal Journey</x:v>
      </x:c>
      <x:c r="J54" s="8" t="str">
        <x:v>1</x:v>
      </x:c>
      <x:c r="K54" s="8" t="str">
        <x:v>อาหาร</x:v>
      </x:c>
      <x:c r="L54" s="8" t="str">
        <x:f>INDEX('ประเมินเกณฑ์'!$AE$9:$AE$608,MATCH(G54,'ประเมินเกณฑ์'!$A$9:$A$608,0))</x:f>
        <x:v>รอประเมิน</x:v>
      </x:c>
      <x:c r="M54" s="8" t="str">
        <x:v>จุดในเอกสารเส้นทาง</x:v>
      </x:c>
      <x:c r="N54" s="8" t="str">
        <x:v>ยังไม่ยืนยันการเปิดให้บริการปัจจุบัน</x:v>
      </x:c>
      <x:c r="O54" s="40" t="n">
        <x:v>46316</x:v>
      </x:c>
    </x:row>
    <x:row r="55" ht="38" customHeight="1">
      <x:c r="A55" s="9" t="n">
        <x:v>47</x:v>
      </x:c>
      <x:c r="B55" s="8" t="str">
        <x:v>มัสยิดกลางเชียงราย ดารุลอามาน</x:v>
      </x:c>
      <x:c r="C55" s="8" t="str">
        <x:v>เชียงราย</x:v>
      </x:c>
      <x:c r="D55" s="8" t="str">
        <x:v>มีศักยภาพ แต่ต้องพัฒนามาตรฐาน</x:v>
      </x:c>
      <x:c r="E55" s="8" t="str">
        <x:v>แหล่งท่องเที่ยวทางประวัติศาสตร์และวัฒนธรรม</x:v>
      </x:c>
      <x:c r="F55" s="38" t="n">
        <x:v>46316</x:v>
      </x:c>
      <x:c r="G55" s="8" t="str">
        <x:v>R26-012</x:v>
      </x:c>
      <x:c r="H55" s="39" t="str">
        <x:v>02</x:v>
      </x:c>
      <x:c r="I55" s="8" t="str">
        <x:v>Highland Halal Journey</x:v>
      </x:c>
      <x:c r="J55" s="8" t="str">
        <x:v>1</x:v>
      </x:c>
      <x:c r="K55" s="8" t="str">
        <x:v>มัสยิด</x:v>
      </x:c>
      <x:c r="L55" s="8" t="str">
        <x:f>INDEX('ประเมินเกณฑ์'!$AE$9:$AE$608,MATCH(G55,'ประเมินเกณฑ์'!$A$9:$A$608,0))</x:f>
        <x:v>รอประเมิน</x:v>
      </x:c>
      <x:c r="M55" s="8" t="str">
        <x:v>จุดในเอกสารเส้นทาง</x:v>
      </x:c>
      <x:c r="N55" s="8" t="str">
        <x:v>ยังไม่ยืนยันการเปิดให้บริการปัจจุบัน</x:v>
      </x:c>
      <x:c r="O55" s="40" t="n">
        <x:v>46316</x:v>
      </x:c>
    </x:row>
    <x:row r="56" ht="38" customHeight="1">
      <x:c r="A56" s="9" t="n">
        <x:v>48</x:v>
      </x:c>
      <x:c r="B56" s="8" t="str">
        <x:v>วัดร่องขุ่น</x:v>
      </x:c>
      <x:c r="C56" s="8" t="str">
        <x:v>เชียงราย</x:v>
      </x:c>
      <x:c r="D56" s="8" t="str">
        <x:v>มีศักยภาพ แต่ต้องพัฒนามาตรฐาน</x:v>
      </x:c>
      <x:c r="E56" s="8" t="str">
        <x:v>แหล่งท่องเที่ยวทางประวัติศาสตร์และวัฒนธรรม</x:v>
      </x:c>
      <x:c r="F56" s="38" t="n">
        <x:v>46316</x:v>
      </x:c>
      <x:c r="G56" s="8" t="str">
        <x:v>R26-014</x:v>
      </x:c>
      <x:c r="H56" s="39" t="str">
        <x:v>02</x:v>
      </x:c>
      <x:c r="I56" s="8" t="str">
        <x:v>Highland Halal Journey</x:v>
      </x:c>
      <x:c r="J56" s="8" t="str">
        <x:v>1</x:v>
      </x:c>
      <x:c r="K56" s="8" t="str">
        <x:v>ประวัติ</x:v>
      </x:c>
      <x:c r="L56" s="8" t="str">
        <x:f>INDEX('ประเมินเกณฑ์'!$AE$9:$AE$608,MATCH(G56,'ประเมินเกณฑ์'!$A$9:$A$608,0))</x:f>
        <x:v>รอประเมิน</x:v>
      </x:c>
      <x:c r="M56" s="8" t="str">
        <x:v>จุดในเอกสารเส้นทาง</x:v>
      </x:c>
      <x:c r="N56" s="8" t="str">
        <x:v>ยังไม่ยืนยันการเปิดให้บริการปัจจุบัน</x:v>
      </x:c>
      <x:c r="O56" s="40" t="n">
        <x:v>46316</x:v>
      </x:c>
    </x:row>
    <x:row r="57" ht="38" customHeight="1">
      <x:c r="A57" s="9" t="n">
        <x:v>49</x:v>
      </x:c>
      <x:c r="B57" s="8" t="str">
        <x:v>ดอยดินแดง เครื่องปั้นดินเผา</x:v>
      </x:c>
      <x:c r="C57" s="8" t="str">
        <x:v>เชียงราย</x:v>
      </x:c>
      <x:c r="D57" s="8" t="str">
        <x:v>มีศักยภาพ แต่ต้องพัฒนามาตรฐาน</x:v>
      </x:c>
      <x:c r="E57" s="8" t="str">
        <x:v>ศูนย์กิจกรรมและนันทนาการ</x:v>
      </x:c>
      <x:c r="F57" s="38" t="n">
        <x:v>46316</x:v>
      </x:c>
      <x:c r="G57" s="8" t="str">
        <x:v>R26-011</x:v>
      </x:c>
      <x:c r="H57" s="39" t="str">
        <x:v>02</x:v>
      </x:c>
      <x:c r="I57" s="8" t="str">
        <x:v>Highland Halal Journey</x:v>
      </x:c>
      <x:c r="J57" s="8" t="str">
        <x:v>1</x:v>
      </x:c>
      <x:c r="K57" s="8" t="str">
        <x:v>กิจกรรม</x:v>
      </x:c>
      <x:c r="L57" s="8" t="str">
        <x:f>INDEX('ประเมินเกณฑ์'!$AE$9:$AE$608,MATCH(G57,'ประเมินเกณฑ์'!$A$9:$A$608,0))</x:f>
        <x:v>รอประเมิน</x:v>
      </x:c>
      <x:c r="M57" s="8" t="str">
        <x:v>จุดในเอกสารเส้นทาง</x:v>
      </x:c>
      <x:c r="N57" s="8" t="str">
        <x:v>ยังไม่ยืนยันการเปิดให้บริการปัจจุบัน</x:v>
      </x:c>
      <x:c r="O57" s="40" t="n">
        <x:v>46316</x:v>
      </x:c>
    </x:row>
    <x:row r="58" ht="38" customHeight="1">
      <x:c r="A58" s="9" t="n">
        <x:v>50</x:v>
      </x:c>
      <x:c r="B58" s="8" t="str">
        <x:v>สิงห์ปาร์ค เชียงราย</x:v>
      </x:c>
      <x:c r="C58" s="8" t="str">
        <x:v>เชียงราย</x:v>
      </x:c>
      <x:c r="D58" s="8" t="str">
        <x:v>มีศักยภาพ แต่ต้องพัฒนามาตรฐาน</x:v>
      </x:c>
      <x:c r="E58" s="8" t="str">
        <x:v>ศูนย์กิจกรรมและนันทนาการ</x:v>
      </x:c>
      <x:c r="F58" s="38" t="n">
        <x:v>46316</x:v>
      </x:c>
      <x:c r="G58" s="8" t="str">
        <x:v>TMF-418</x:v>
      </x:c>
      <x:c r="H58" s="39" t="str">
        <x:v>02</x:v>
      </x:c>
      <x:c r="I58" s="8" t="str">
        <x:v>Highland Halal Journey</x:v>
      </x:c>
      <x:c r="J58" s="8" t="str">
        <x:v>1</x:v>
      </x:c>
      <x:c r="K58" s="8" t="str">
        <x:v>แหล่งท่องเที่ยวเชิงเกษตรและกิจกรรมกลางแจ้ง</x:v>
      </x:c>
      <x:c r="L58" s="8" t="str">
        <x:f>INDEX('ประเมินเกณฑ์'!$AE$9:$AE$608,MATCH(G58,'ประเมินเกณฑ์'!$A$9:$A$608,0))</x:f>
        <x:v>รอประเมิน</x:v>
      </x:c>
      <x:c r="M58" s="8" t="str">
        <x:v>จุดในเอกสารเส้นทาง</x:v>
      </x:c>
      <x:c r="N58" s="8" t="str">
        <x:v>ยังไม่ยืนยันการเปิดให้บริการปัจจุบัน</x:v>
      </x:c>
      <x:c r="O58" s="40" t="n">
        <x:v>46316</x:v>
      </x:c>
    </x:row>
    <x:row r="59" ht="38" customHeight="1">
      <x:c r="A59" s="9" t="n">
        <x:v>51</x:v>
      </x:c>
      <x:c r="B59" s="8" t="str">
        <x:v>Saleema Muslim Food Yunnan แม่สลอง</x:v>
      </x:c>
      <x:c r="C59" s="8" t="str">
        <x:v>เชียงราย</x:v>
      </x:c>
      <x:c r="D59" s="8" t="str">
        <x:v>มีศักยภาพ แต่ต้องพัฒนามาตรฐาน</x:v>
      </x:c>
      <x:c r="E59" s="8" t="str">
        <x:v>ร้านอาหารและคาเฟ่</x:v>
      </x:c>
      <x:c r="F59" s="38" t="n">
        <x:v>46316</x:v>
      </x:c>
      <x:c r="G59" s="8" t="str">
        <x:v>R26-021</x:v>
      </x:c>
      <x:c r="H59" s="39" t="str">
        <x:v>02</x:v>
      </x:c>
      <x:c r="I59" s="8" t="str">
        <x:v>Highland Halal Journey</x:v>
      </x:c>
      <x:c r="J59" s="8" t="str">
        <x:v>2</x:v>
      </x:c>
      <x:c r="K59" s="8" t="str">
        <x:v>อาหาร</x:v>
      </x:c>
      <x:c r="L59" s="8" t="str">
        <x:f>INDEX('ประเมินเกณฑ์'!$AE$9:$AE$608,MATCH(G59,'ประเมินเกณฑ์'!$A$9:$A$608,0))</x:f>
        <x:v>รอประเมิน</x:v>
      </x:c>
      <x:c r="M59" s="8" t="str">
        <x:v>จุดในเอกสารเส้นทาง</x:v>
      </x:c>
      <x:c r="N59" s="8" t="str">
        <x:v>ยังไม่ยืนยันการเปิดให้บริการปัจจุบัน</x:v>
      </x:c>
      <x:c r="O59" s="40" t="n">
        <x:v>46316</x:v>
      </x:c>
    </x:row>
    <x:row r="60" ht="38" customHeight="1">
      <x:c r="A60" s="9" t="n">
        <x:v>52</x:v>
      </x:c>
      <x:c r="B60" s="8" t="str">
        <x:v>ชุมชนสันติคีรี ดอยแม่สลอง</x:v>
      </x:c>
      <x:c r="C60" s="8" t="str">
        <x:v>เชียงราย</x:v>
      </x:c>
      <x:c r="D60" s="8" t="str">
        <x:v>มีศักยภาพ แต่ต้องพัฒนามาตรฐาน</x:v>
      </x:c>
      <x:c r="E60" s="8" t="str">
        <x:v>ชุมชนท่องเที่ยว</x:v>
      </x:c>
      <x:c r="F60" s="38" t="n">
        <x:v>46316</x:v>
      </x:c>
      <x:c r="G60" s="8" t="str">
        <x:v>R26-018</x:v>
      </x:c>
      <x:c r="H60" s="39" t="str">
        <x:v>02</x:v>
      </x:c>
      <x:c r="I60" s="8" t="str">
        <x:v>Highland Halal Journey</x:v>
      </x:c>
      <x:c r="J60" s="8" t="str">
        <x:v>2</x:v>
      </x:c>
      <x:c r="K60" s="8" t="str">
        <x:v>ชุมชน</x:v>
      </x:c>
      <x:c r="L60" s="8" t="str">
        <x:f>INDEX('ประเมินเกณฑ์'!$AE$9:$AE$608,MATCH(G60,'ประเมินเกณฑ์'!$A$9:$A$608,0))</x:f>
        <x:v>รอประเมิน</x:v>
      </x:c>
      <x:c r="M60" s="8" t="str">
        <x:v>จุดในเอกสารเส้นทาง</x:v>
      </x:c>
      <x:c r="N60" s="8" t="str">
        <x:v>ยังไม่ยืนยันการเปิดให้บริการปัจจุบัน</x:v>
      </x:c>
      <x:c r="O60" s="40" t="n">
        <x:v>46316</x:v>
      </x:c>
    </x:row>
    <x:row r="61" ht="38" customHeight="1">
      <x:c r="A61" s="9" t="n">
        <x:v>53</x:v>
      </x:c>
      <x:c r="B61" s="8" t="str">
        <x:v>ไร่ชา 101 ดอยแม่สลอง</x:v>
      </x:c>
      <x:c r="C61" s="8" t="str">
        <x:v>เชียงราย</x:v>
      </x:c>
      <x:c r="D61" s="8" t="str">
        <x:v>มีศักยภาพ แต่ต้องพัฒนามาตรฐาน</x:v>
      </x:c>
      <x:c r="E61" s="8" t="str">
        <x:v>ศูนย์กิจกรรมและนันทนาการ</x:v>
      </x:c>
      <x:c r="F61" s="38" t="n">
        <x:v>46316</x:v>
      </x:c>
      <x:c r="G61" s="8" t="str">
        <x:v>R26-019</x:v>
      </x:c>
      <x:c r="H61" s="39" t="str">
        <x:v>02</x:v>
      </x:c>
      <x:c r="I61" s="8" t="str">
        <x:v>Highland Halal Journey</x:v>
      </x:c>
      <x:c r="J61" s="8" t="str">
        <x:v>2</x:v>
      </x:c>
      <x:c r="K61" s="8" t="str">
        <x:v>กิจกรรม</x:v>
      </x:c>
      <x:c r="L61" s="8" t="str">
        <x:f>INDEX('ประเมินเกณฑ์'!$AE$9:$AE$608,MATCH(G61,'ประเมินเกณฑ์'!$A$9:$A$608,0))</x:f>
        <x:v>รอประเมิน</x:v>
      </x:c>
      <x:c r="M61" s="8" t="str">
        <x:v>จุดในเอกสารเส้นทาง</x:v>
      </x:c>
      <x:c r="N61" s="8" t="str">
        <x:v>ยังไม่ยืนยันการเปิดให้บริการปัจจุบัน</x:v>
      </x:c>
      <x:c r="O61" s="40" t="n">
        <x:v>46316</x:v>
      </x:c>
    </x:row>
    <x:row r="62" ht="38" customHeight="1">
      <x:c r="A62" s="9" t="n">
        <x:v>54</x:v>
      </x:c>
      <x:c r="B62" s="8" t="str">
        <x:v>ไร่ชาวังพุดตาล</x:v>
      </x:c>
      <x:c r="C62" s="8" t="str">
        <x:v>เชียงราย</x:v>
      </x:c>
      <x:c r="D62" s="8" t="str">
        <x:v>มีศักยภาพ แต่ต้องพัฒนามาตรฐาน</x:v>
      </x:c>
      <x:c r="E62" s="8" t="str">
        <x:v>ศูนย์กิจกรรมและนันทนาการ</x:v>
      </x:c>
      <x:c r="F62" s="38" t="n">
        <x:v>46316</x:v>
      </x:c>
      <x:c r="G62" s="8" t="str">
        <x:v>R26-020</x:v>
      </x:c>
      <x:c r="H62" s="39" t="str">
        <x:v>02</x:v>
      </x:c>
      <x:c r="I62" s="8" t="str">
        <x:v>Highland Halal Journey</x:v>
      </x:c>
      <x:c r="J62" s="8" t="str">
        <x:v>2</x:v>
      </x:c>
      <x:c r="K62" s="8" t="str">
        <x:v>กิจกรรม</x:v>
      </x:c>
      <x:c r="L62" s="8" t="str">
        <x:f>INDEX('ประเมินเกณฑ์'!$AE$9:$AE$608,MATCH(G62,'ประเมินเกณฑ์'!$A$9:$A$608,0))</x:f>
        <x:v>รอประเมิน</x:v>
      </x:c>
      <x:c r="M62" s="8" t="str">
        <x:v>จุดในเอกสารเส้นทาง</x:v>
      </x:c>
      <x:c r="N62" s="8" t="str">
        <x:v>ยังไม่ยืนยันการเปิดให้บริการปัจจุบัน</x:v>
      </x:c>
      <x:c r="O62" s="40" t="n">
        <x:v>46316</x:v>
      </x:c>
    </x:row>
    <x:row r="63" ht="38" customHeight="1">
      <x:c r="A63" s="9" t="n">
        <x:v>55</x:v>
      </x:c>
      <x:c r="B63" s="8" t="str">
        <x:v>Nak Nakara Hotel Chiang Rai</x:v>
      </x:c>
      <x:c r="C63" s="8" t="str">
        <x:v>เชียงราย</x:v>
      </x:c>
      <x:c r="D63" s="8" t="str">
        <x:v>มีศักยภาพ แต่ต้องพัฒนามาตรฐาน</x:v>
      </x:c>
      <x:c r="E63" s="8" t="str">
        <x:v>ที่พัก</x:v>
      </x:c>
      <x:c r="F63" s="38" t="n">
        <x:v>46316</x:v>
      </x:c>
      <x:c r="G63" s="8" t="str">
        <x:v>R26-362</x:v>
      </x:c>
      <x:c r="H63" s="39" t="str">
        <x:v>02</x:v>
      </x:c>
      <x:c r="I63" s="8" t="str">
        <x:v>Highland Halal Journey</x:v>
      </x:c>
      <x:c r="J63" s="8" t="str">
        <x:v>ตัวเลือกเสริม</x:v>
      </x:c>
      <x:c r="K63" s="8" t="str">
        <x:v>ที่พัก</x:v>
      </x:c>
      <x:c r="L63" s="8" t="str">
        <x:f>INDEX('ประเมินเกณฑ์'!$AE$9:$AE$608,MATCH(G63,'ประเมินเกณฑ์'!$A$9:$A$608,0))</x:f>
        <x:v>รอประเมิน</x:v>
      </x:c>
      <x:c r="M63" s="8" t="str">
        <x:v>สถานที่ในจังหวัดเส้นทาง รอตรวจระยะทางและลำดับ</x:v>
      </x:c>
      <x:c r="N63" s="8" t="str">
        <x:v>ยังไม่ยืนยันการเปิดให้บริการปัจจุบัน</x:v>
      </x:c>
      <x:c r="O63" s="40" t="n">
        <x:v>46316</x:v>
      </x:c>
    </x:row>
    <x:row r="64" ht="38" customHeight="1">
      <x:c r="A64" s="9" t="n">
        <x:v>56</x:v>
      </x:c>
      <x:c r="B64" s="8" t="str">
        <x:v>Sann Hotel Chiang Rai</x:v>
      </x:c>
      <x:c r="C64" s="8" t="str">
        <x:v>เชียงราย</x:v>
      </x:c>
      <x:c r="D64" s="8" t="str">
        <x:v>มีศักยภาพ แต่ต้องพัฒนามาตรฐาน</x:v>
      </x:c>
      <x:c r="E64" s="8" t="str">
        <x:v>ที่พัก</x:v>
      </x:c>
      <x:c r="F64" s="38" t="n">
        <x:v>46316</x:v>
      </x:c>
      <x:c r="G64" s="8" t="str">
        <x:v>R26-363</x:v>
      </x:c>
      <x:c r="H64" s="39" t="str">
        <x:v>02</x:v>
      </x:c>
      <x:c r="I64" s="8" t="str">
        <x:v>Highland Halal Journey</x:v>
      </x:c>
      <x:c r="J64" s="8" t="str">
        <x:v>ตัวเลือกเสริม</x:v>
      </x:c>
      <x:c r="K64" s="8" t="str">
        <x:v>ที่พัก</x:v>
      </x:c>
      <x:c r="L64" s="8" t="str">
        <x:f>INDEX('ประเมินเกณฑ์'!$AE$9:$AE$608,MATCH(G64,'ประเมินเกณฑ์'!$A$9:$A$608,0))</x:f>
        <x:v>รอประเมิน</x:v>
      </x:c>
      <x:c r="M64" s="8" t="str">
        <x:v>สถานที่ในจังหวัดเส้นทาง รอตรวจระยะทางและลำดับ</x:v>
      </x:c>
      <x:c r="N64" s="8" t="str">
        <x:v>ยังไม่ยืนยันการเปิดให้บริการปัจจุบัน</x:v>
      </x:c>
      <x:c r="O64" s="40" t="n">
        <x:v>46316</x:v>
      </x:c>
    </x:row>
    <x:row r="65" ht="38" customHeight="1">
      <x:c r="A65" s="9" t="n">
        <x:v>57</x:v>
      </x:c>
      <x:c r="B65" s="8" t="str">
        <x:v>นอร์ธผาฮี้</x:v>
      </x:c>
      <x:c r="C65" s="8" t="str">
        <x:v>เชียงราย</x:v>
      </x:c>
      <x:c r="D65" s="8" t="str">
        <x:v>พร้อมขาย</x:v>
      </x:c>
      <x:c r="E65" s="8" t="str">
        <x:v>ที่พัก</x:v>
      </x:c>
      <x:c r="F65" s="38" t="n">
        <x:v>46316</x:v>
      </x:c>
      <x:c r="G65" s="8" t="str">
        <x:v>TMF-003</x:v>
      </x:c>
      <x:c r="H65" s="39" t="str">
        <x:v>02</x:v>
      </x:c>
      <x:c r="I65" s="8" t="str">
        <x:v>Highland Halal Journey</x:v>
      </x:c>
      <x:c r="J65" s="8" t="str">
        <x:v>ตัวเลือกเสริม</x:v>
      </x:c>
      <x:c r="K65" s="8" t="str">
        <x:v>ที่พัก (ตรวจประเภทจากชื่อและข้อมูลประกอบ)</x:v>
      </x:c>
      <x:c r="L65" s="8" t="str">
        <x:f>INDEX('ประเมินเกณฑ์'!$AE$9:$AE$608,MATCH(G65,'ประเมินเกณฑ์'!$A$9:$A$608,0))</x:f>
        <x:v>รอประเมิน</x:v>
      </x:c>
      <x:c r="M65" s="8" t="str">
        <x:v>สถานที่ในจังหวัดเส้นทาง รอตรวจระยะทางและลำดับ</x:v>
      </x:c>
      <x:c r="N65" s="8" t="str">
        <x:v>ยังไม่ยืนยันการเปิดให้บริการปัจจุบัน</x:v>
      </x:c>
      <x:c r="O65" s="40" t="n">
        <x:v>46315</x:v>
      </x:c>
    </x:row>
    <x:row r="66" ht="38" customHeight="1">
      <x:c r="A66" s="9" t="n">
        <x:v>58</x:v>
      </x:c>
      <x:c r="B66" s="8" t="str">
        <x:v>บ้านหนาวดาวเดือนรีสอร์ท</x:v>
      </x:c>
      <x:c r="C66" s="8" t="str">
        <x:v>เชียงราย</x:v>
      </x:c>
      <x:c r="D66" s="8" t="str">
        <x:v>พร้อมขาย</x:v>
      </x:c>
      <x:c r="E66" s="8" t="str">
        <x:v>ที่พัก</x:v>
      </x:c>
      <x:c r="F66" s="38" t="n">
        <x:v>46316</x:v>
      </x:c>
      <x:c r="G66" s="8" t="str">
        <x:v>TMF-001</x:v>
      </x:c>
      <x:c r="H66" s="39" t="str">
        <x:v>02</x:v>
      </x:c>
      <x:c r="I66" s="8" t="str">
        <x:v>Highland Halal Journey</x:v>
      </x:c>
      <x:c r="J66" s="8" t="str">
        <x:v>ตัวเลือกเสริม</x:v>
      </x:c>
      <x:c r="K66" s="8" t="str">
        <x:v>โรงแรมหรือรีสอร์ท</x:v>
      </x:c>
      <x:c r="L66" s="8" t="str">
        <x:f>INDEX('ประเมินเกณฑ์'!$AE$9:$AE$608,MATCH(G66,'ประเมินเกณฑ์'!$A$9:$A$608,0))</x:f>
        <x:v>รอประเมิน</x:v>
      </x:c>
      <x:c r="M66" s="8" t="str">
        <x:v>สถานที่ในจังหวัดเส้นทาง รอตรวจระยะทางและลำดับ</x:v>
      </x:c>
      <x:c r="N66" s="8" t="str">
        <x:v>ยังไม่ยืนยันการเปิดให้บริการปัจจุบัน</x:v>
      </x:c>
      <x:c r="O66" s="40" t="n">
        <x:v>46315</x:v>
      </x:c>
    </x:row>
    <x:row r="67" ht="38" customHeight="1">
      <x:c r="A67" s="9" t="n">
        <x:v>59</x:v>
      </x:c>
      <x:c r="B67" s="8" t="str">
        <x:v>Sareeneen food &amp; Sweet</x:v>
      </x:c>
      <x:c r="C67" s="8" t="str">
        <x:v>เชียงราย</x:v>
      </x:c>
      <x:c r="D67" s="8" t="str">
        <x:v>พร้อมขาย</x:v>
      </x:c>
      <x:c r="E67" s="8" t="str">
        <x:v>ร้านอาหารและคาเฟ่</x:v>
      </x:c>
      <x:c r="F67" s="38" t="n">
        <x:v>46316</x:v>
      </x:c>
      <x:c r="G67" s="8" t="str">
        <x:v>TMF-002</x:v>
      </x:c>
      <x:c r="H67" s="39" t="str">
        <x:v>02</x:v>
      </x:c>
      <x:c r="I67" s="8" t="str">
        <x:v>Highland Halal Journey</x:v>
      </x:c>
      <x:c r="J67" s="8" t="str">
        <x:v>ตัวเลือกเสริม</x:v>
      </x:c>
      <x:c r="K67" s="8" t="str">
        <x:v>ร้านอาหาร</x:v>
      </x:c>
      <x:c r="L67" s="8" t="str">
        <x:f>INDEX('ประเมินเกณฑ์'!$AE$9:$AE$608,MATCH(G67,'ประเมินเกณฑ์'!$A$9:$A$608,0))</x:f>
        <x:v>รอประเมิน</x:v>
      </x:c>
      <x:c r="M67" s="8" t="str">
        <x:v>สถานที่ในจังหวัดเส้นทาง รอตรวจระยะทางและลำดับ</x:v>
      </x:c>
      <x:c r="N67" s="8" t="str">
        <x:v>ยังไม่ยืนยันการเปิดให้บริการปัจจุบัน</x:v>
      </x:c>
      <x:c r="O67" s="40" t="n">
        <x:v>46315</x:v>
      </x:c>
    </x:row>
    <x:row r="68" ht="38" customHeight="1">
      <x:c r="A68" s="9" t="n">
        <x:v>60</x:v>
      </x:c>
      <x:c r="B68" s="8" t="str">
        <x:v>ซัลมานเคบับ</x:v>
      </x:c>
      <x:c r="C68" s="8" t="str">
        <x:v>เชียงราย</x:v>
      </x:c>
      <x:c r="D68" s="8" t="str">
        <x:v>มีศักยภาพ แต่ต้องพัฒนามาตรฐาน</x:v>
      </x:c>
      <x:c r="E68" s="8" t="str">
        <x:v>ร้านอาหารและคาเฟ่</x:v>
      </x:c>
      <x:c r="F68" s="38" t="n">
        <x:v>46316</x:v>
      </x:c>
      <x:c r="G68" s="8" t="str">
        <x:v>TMF-414</x:v>
      </x:c>
      <x:c r="H68" s="39" t="str">
        <x:v>02</x:v>
      </x:c>
      <x:c r="I68" s="8" t="str">
        <x:v>Highland Halal Journey</x:v>
      </x:c>
      <x:c r="J68" s="8" t="str">
        <x:v>ตัวเลือกเสริม</x:v>
      </x:c>
      <x:c r="K68" s="8" t="str">
        <x:v>ร้านอาหาร</x:v>
      </x:c>
      <x:c r="L68" s="8" t="str">
        <x:f>INDEX('ประเมินเกณฑ์'!$AE$9:$AE$608,MATCH(G68,'ประเมินเกณฑ์'!$A$9:$A$608,0))</x:f>
        <x:v>รอประเมิน</x:v>
      </x:c>
      <x:c r="M68" s="8" t="str">
        <x:v>สถานที่ในจังหวัดเส้นทาง รอตรวจระยะทางและลำดับ</x:v>
      </x:c>
      <x:c r="N68" s="8" t="str">
        <x:v>ยังไม่ยืนยันการเปิดให้บริการปัจจุบัน</x:v>
      </x:c>
      <x:c r="O68" s="40" t="n">
        <x:v>46315</x:v>
      </x:c>
    </x:row>
    <x:row r="69" ht="38" customHeight="1">
      <x:c r="A69" s="9" t="n">
        <x:v>61</x:v>
      </x:c>
      <x:c r="B69" s="8" t="str">
        <x:v>อาหาร ซากีน่า อาหารเหนือ+อิสลาม</x:v>
      </x:c>
      <x:c r="C69" s="8" t="str">
        <x:v>เชียงราย</x:v>
      </x:c>
      <x:c r="D69" s="8" t="str">
        <x:v>พร้อมขาย</x:v>
      </x:c>
      <x:c r="E69" s="8" t="str">
        <x:v>ร้านอาหารและคาเฟ่</x:v>
      </x:c>
      <x:c r="F69" s="38" t="n">
        <x:v>46316</x:v>
      </x:c>
      <x:c r="G69" s="8" t="str">
        <x:v>TMF-004</x:v>
      </x:c>
      <x:c r="H69" s="39" t="str">
        <x:v>02</x:v>
      </x:c>
      <x:c r="I69" s="8" t="str">
        <x:v>Highland Halal Journey</x:v>
      </x:c>
      <x:c r="J69" s="8" t="str">
        <x:v>ตัวเลือกเสริม</x:v>
      </x:c>
      <x:c r="K69" s="8" t="str">
        <x:v>ร้านอาหาร</x:v>
      </x:c>
      <x:c r="L69" s="8" t="str">
        <x:f>INDEX('ประเมินเกณฑ์'!$AE$9:$AE$608,MATCH(G69,'ประเมินเกณฑ์'!$A$9:$A$608,0))</x:f>
        <x:v>รอประเมิน</x:v>
      </x:c>
      <x:c r="M69" s="8" t="str">
        <x:v>สถานที่ในจังหวัดเส้นทาง รอตรวจระยะทางและลำดับ</x:v>
      </x:c>
      <x:c r="N69" s="8" t="str">
        <x:v>ยังไม่ยืนยันการเปิดให้บริการปัจจุบัน</x:v>
      </x:c>
      <x:c r="O69" s="40" t="n">
        <x:v>46315</x:v>
      </x:c>
    </x:row>
    <x:row r="70" ht="38" customHeight="1">
      <x:c r="A70" s="9" t="n">
        <x:v>62</x:v>
      </x:c>
      <x:c r="B70" s="8" t="str">
        <x:v>โรตีซัลมา</x:v>
      </x:c>
      <x:c r="C70" s="8" t="str">
        <x:v>เชียงราย</x:v>
      </x:c>
      <x:c r="D70" s="8" t="str">
        <x:v>มีศักยภาพ แต่ต้องพัฒนามาตรฐาน</x:v>
      </x:c>
      <x:c r="E70" s="8" t="str">
        <x:v>ร้านอาหารและคาเฟ่</x:v>
      </x:c>
      <x:c r="F70" s="38" t="n">
        <x:v>46316</x:v>
      </x:c>
      <x:c r="G70" s="8" t="str">
        <x:v>TMF-417</x:v>
      </x:c>
      <x:c r="H70" s="39" t="str">
        <x:v>02</x:v>
      </x:c>
      <x:c r="I70" s="8" t="str">
        <x:v>Highland Halal Journey</x:v>
      </x:c>
      <x:c r="J70" s="8" t="str">
        <x:v>ตัวเลือกเสริม</x:v>
      </x:c>
      <x:c r="K70" s="8" t="str">
        <x:v>คาเฟ่และร้านของหวาน</x:v>
      </x:c>
      <x:c r="L70" s="8" t="str">
        <x:f>INDEX('ประเมินเกณฑ์'!$AE$9:$AE$608,MATCH(G70,'ประเมินเกณฑ์'!$A$9:$A$608,0))</x:f>
        <x:v>รอประเมิน</x:v>
      </x:c>
      <x:c r="M70" s="8" t="str">
        <x:v>สถานที่ในจังหวัดเส้นทาง รอตรวจระยะทางและลำดับ</x:v>
      </x:c>
      <x:c r="N70" s="8" t="str">
        <x:v>ยังไม่ยืนยันการเปิดให้บริการปัจจุบัน</x:v>
      </x:c>
      <x:c r="O70" s="40" t="n">
        <x:v>46315</x:v>
      </x:c>
    </x:row>
    <x:row r="71" ht="38" customHeight="1">
      <x:c r="A71" s="9" t="n">
        <x:v>63</x:v>
      </x:c>
      <x:c r="B71" s="8" t="str">
        <x:v>Anantara Spa Golden Triangle</x:v>
      </x:c>
      <x:c r="C71" s="8" t="str">
        <x:v>เชียงราย</x:v>
      </x:c>
      <x:c r="D71" s="8" t="str">
        <x:v>มีศักยภาพ แต่ต้องพัฒนามาตรฐาน</x:v>
      </x:c>
      <x:c r="E71" s="8" t="str">
        <x:v>สถานประกอบการเพื่อสุขภาพและเวลเนส</x:v>
      </x:c>
      <x:c r="F71" s="38" t="n">
        <x:v>46316</x:v>
      </x:c>
      <x:c r="G71" s="8" t="str">
        <x:v>R26-279</x:v>
      </x:c>
      <x:c r="H71" s="39" t="str">
        <x:v>02</x:v>
      </x:c>
      <x:c r="I71" s="8" t="str">
        <x:v>Highland Halal Journey</x:v>
      </x:c>
      <x:c r="J71" s="8" t="str">
        <x:v>ตัวเลือกเสริม</x:v>
      </x:c>
      <x:c r="K71" s="8" t="str">
        <x:v>เวลเนส</x:v>
      </x:c>
      <x:c r="L71" s="8" t="str">
        <x:f>INDEX('ประเมินเกณฑ์'!$AE$9:$AE$608,MATCH(G71,'ประเมินเกณฑ์'!$A$9:$A$608,0))</x:f>
        <x:v>รอประเมิน</x:v>
      </x:c>
      <x:c r="M71" s="8" t="str">
        <x:v>สถานที่ในจังหวัดเส้นทาง รอตรวจระยะทางและลำดับ</x:v>
      </x:c>
      <x:c r="N71" s="8" t="str">
        <x:v>ยังไม่ยืนยันการเปิดให้บริการปัจจุบัน</x:v>
      </x:c>
      <x:c r="O71" s="40" t="n">
        <x:v>46316</x:v>
      </x:c>
    </x:row>
    <x:row r="72" ht="38" customHeight="1">
      <x:c r="A72" s="9" t="n">
        <x:v>64</x:v>
      </x:c>
      <x:c r="B72" s="8" t="str">
        <x:v>Central Chiangrai</x:v>
      </x:c>
      <x:c r="C72" s="8" t="str">
        <x:v>เชียงราย</x:v>
      </x:c>
      <x:c r="D72" s="8" t="str">
        <x:v>มีศักยภาพ แต่ต้องพัฒนามาตรฐาน</x:v>
      </x:c>
      <x:c r="E72" s="8" t="str">
        <x:v>ศูนย์การค้า</x:v>
      </x:c>
      <x:c r="F72" s="38" t="n">
        <x:v>46316</x:v>
      </x:c>
      <x:c r="G72" s="8" t="str">
        <x:v>R26-258</x:v>
      </x:c>
      <x:c r="H72" s="39" t="str">
        <x:v>02</x:v>
      </x:c>
      <x:c r="I72" s="8" t="str">
        <x:v>Highland Halal Journey</x:v>
      </x:c>
      <x:c r="J72" s="8" t="str">
        <x:v>ตัวเลือกเสริม</x:v>
      </x:c>
      <x:c r="K72" s="8" t="str">
        <x:v>การค้า</x:v>
      </x:c>
      <x:c r="L72" s="8" t="str">
        <x:f>INDEX('ประเมินเกณฑ์'!$AE$9:$AE$608,MATCH(G72,'ประเมินเกณฑ์'!$A$9:$A$608,0))</x:f>
        <x:v>รอประเมิน</x:v>
      </x:c>
      <x:c r="M72" s="8" t="str">
        <x:v>สถานที่ในจังหวัดเส้นทาง รอตรวจระยะทางและลำดับ</x:v>
      </x:c>
      <x:c r="N72" s="8" t="str">
        <x:v>ยังไม่ยืนยันการเปิดให้บริการปัจจุบัน</x:v>
      </x:c>
      <x:c r="O72" s="40" t="n">
        <x:v>46316</x:v>
      </x:c>
    </x:row>
    <x:row r="73" ht="38" customHeight="1">
      <x:c r="A73" s="9" t="n">
        <x:v>65</x:v>
      </x:c>
      <x:c r="B73" s="8" t="str">
        <x:v>ดอยตุง สวนรุกขชาติแม่ฟ้าหลวง</x:v>
      </x:c>
      <x:c r="C73" s="8" t="str">
        <x:v>เชียงราย</x:v>
      </x:c>
      <x:c r="D73" s="8" t="str">
        <x:v>มีศักยภาพ แต่ต้องพัฒนามาตรฐาน</x:v>
      </x:c>
      <x:c r="E73" s="8" t="str">
        <x:v>แหล่งท่องเที่ยวทางธรรมชาติ</x:v>
      </x:c>
      <x:c r="F73" s="38" t="n">
        <x:v>46316</x:v>
      </x:c>
      <x:c r="G73" s="8" t="str">
        <x:v>R26-112</x:v>
      </x:c>
      <x:c r="H73" s="39" t="str">
        <x:v>02</x:v>
      </x:c>
      <x:c r="I73" s="8" t="str">
        <x:v>Highland Halal Journey</x:v>
      </x:c>
      <x:c r="J73" s="8" t="str">
        <x:v>ตัวเลือกเสริม</x:v>
      </x:c>
      <x:c r="K73" s="8" t="str">
        <x:v>ธรรมชาติ</x:v>
      </x:c>
      <x:c r="L73" s="8" t="str">
        <x:f>INDEX('ประเมินเกณฑ์'!$AE$9:$AE$608,MATCH(G73,'ประเมินเกณฑ์'!$A$9:$A$608,0))</x:f>
        <x:v>รอประเมิน</x:v>
      </x:c>
      <x:c r="M73" s="8" t="str">
        <x:v>สถานที่ในจังหวัดเส้นทาง รอตรวจระยะทางและลำดับ</x:v>
      </x:c>
      <x:c r="N73" s="8" t="str">
        <x:v>ยังไม่ยืนยันการเปิดให้บริการปัจจุบัน</x:v>
      </x:c>
      <x:c r="O73" s="40" t="n">
        <x:v>46316</x:v>
      </x:c>
    </x:row>
    <x:row r="74" ht="38" customHeight="1">
      <x:c r="A74" s="9" t="n">
        <x:v>66</x:v>
      </x:c>
      <x:c r="B74" s="8" t="str">
        <x:v>น้ำตกขุนกรณ์</x:v>
      </x:c>
      <x:c r="C74" s="8" t="str">
        <x:v>เชียงราย</x:v>
      </x:c>
      <x:c r="D74" s="8" t="str">
        <x:v>มีศักยภาพ แต่ต้องพัฒนามาตรฐาน</x:v>
      </x:c>
      <x:c r="E74" s="8" t="str">
        <x:v>แหล่งท่องเที่ยวทางธรรมชาติ</x:v>
      </x:c>
      <x:c r="F74" s="38" t="n">
        <x:v>46316</x:v>
      </x:c>
      <x:c r="G74" s="8" t="str">
        <x:v>R26-111</x:v>
      </x:c>
      <x:c r="H74" s="39" t="str">
        <x:v>02</x:v>
      </x:c>
      <x:c r="I74" s="8" t="str">
        <x:v>Highland Halal Journey</x:v>
      </x:c>
      <x:c r="J74" s="8" t="str">
        <x:v>ตัวเลือกเสริม</x:v>
      </x:c>
      <x:c r="K74" s="8" t="str">
        <x:v>ธรรมชาติ</x:v>
      </x:c>
      <x:c r="L74" s="8" t="str">
        <x:f>INDEX('ประเมินเกณฑ์'!$AE$9:$AE$608,MATCH(G74,'ประเมินเกณฑ์'!$A$9:$A$608,0))</x:f>
        <x:v>รอประเมิน</x:v>
      </x:c>
      <x:c r="M74" s="8" t="str">
        <x:v>สถานที่ในจังหวัดเส้นทาง รอตรวจระยะทางและลำดับ</x:v>
      </x:c>
      <x:c r="N74" s="8" t="str">
        <x:v>ยังไม่ยืนยันการเปิดให้บริการปัจจุบัน</x:v>
      </x:c>
      <x:c r="O74" s="40" t="n">
        <x:v>46316</x:v>
      </x:c>
    </x:row>
    <x:row r="75" ht="38" customHeight="1">
      <x:c r="A75" s="9" t="n">
        <x:v>67</x:v>
      </x:c>
      <x:c r="B75" s="8" t="str">
        <x:v>วนอุทยานภูชี้ฟ้า</x:v>
      </x:c>
      <x:c r="C75" s="8" t="str">
        <x:v>เชียงราย</x:v>
      </x:c>
      <x:c r="D75" s="8" t="str">
        <x:v>มีศักยภาพ แต่ต้องพัฒนามาตรฐาน</x:v>
      </x:c>
      <x:c r="E75" s="8" t="str">
        <x:v>แหล่งท่องเที่ยวทางธรรมชาติ</x:v>
      </x:c>
      <x:c r="F75" s="38" t="n">
        <x:v>46316</x:v>
      </x:c>
      <x:c r="G75" s="8" t="str">
        <x:v>R26-113</x:v>
      </x:c>
      <x:c r="H75" s="39" t="str">
        <x:v>02</x:v>
      </x:c>
      <x:c r="I75" s="8" t="str">
        <x:v>Highland Halal Journey</x:v>
      </x:c>
      <x:c r="J75" s="8" t="str">
        <x:v>ตัวเลือกเสริม</x:v>
      </x:c>
      <x:c r="K75" s="8" t="str">
        <x:v>ธรรมชาติ</x:v>
      </x:c>
      <x:c r="L75" s="8" t="str">
        <x:f>INDEX('ประเมินเกณฑ์'!$AE$9:$AE$608,MATCH(G75,'ประเมินเกณฑ์'!$A$9:$A$608,0))</x:f>
        <x:v>รอประเมิน</x:v>
      </x:c>
      <x:c r="M75" s="8" t="str">
        <x:v>สถานที่ในจังหวัดเส้นทาง รอตรวจระยะทางและลำดับ</x:v>
      </x:c>
      <x:c r="N75" s="8" t="str">
        <x:v>ยังไม่ยืนยันการเปิดให้บริการปัจจุบัน</x:v>
      </x:c>
      <x:c r="O75" s="40" t="n">
        <x:v>46316</x:v>
      </x:c>
    </x:row>
    <x:row r="76" ht="38" customHeight="1">
      <x:c r="A76" s="9" t="n">
        <x:v>68</x:v>
      </x:c>
      <x:c r="B76" s="8" t="str">
        <x:v>พิพิธภัณฑ์บ้านดำ</x:v>
      </x:c>
      <x:c r="C76" s="8" t="str">
        <x:v>เชียงราย</x:v>
      </x:c>
      <x:c r="D76" s="8" t="str">
        <x:v>มีศักยภาพ แต่ต้องพัฒนามาตรฐาน</x:v>
      </x:c>
      <x:c r="E76" s="8" t="str">
        <x:v>แหล่งท่องเที่ยวทางประวัติศาสตร์และวัฒนธรรม</x:v>
      </x:c>
      <x:c r="F76" s="38" t="n">
        <x:v>46316</x:v>
      </x:c>
      <x:c r="G76" s="8" t="str">
        <x:v>TMF-419</x:v>
      </x:c>
      <x:c r="H76" s="39" t="str">
        <x:v>02</x:v>
      </x:c>
      <x:c r="I76" s="8" t="str">
        <x:v>Highland Halal Journey</x:v>
      </x:c>
      <x:c r="J76" s="8" t="str">
        <x:v>ตัวเลือกเสริม</x:v>
      </x:c>
      <x:c r="K76" s="8" t="str">
        <x:v>พิพิธภัณฑ์ศิลปะ</x:v>
      </x:c>
      <x:c r="L76" s="8" t="str">
        <x:f>INDEX('ประเมินเกณฑ์'!$AE$9:$AE$608,MATCH(G76,'ประเมินเกณฑ์'!$A$9:$A$608,0))</x:f>
        <x:v>รอประเมิน</x:v>
      </x:c>
      <x:c r="M76" s="8" t="str">
        <x:v>สถานที่ในจังหวัดเส้นทาง รอตรวจระยะทางและลำดับ</x:v>
      </x:c>
      <x:c r="N76" s="8" t="str">
        <x:v>ยังไม่ยืนยันการเปิดให้บริการปัจจุบัน</x:v>
      </x:c>
      <x:c r="O76" s="40" t="n">
        <x:v>46315</x:v>
      </x:c>
    </x:row>
    <x:row r="77" ht="38" customHeight="1">
      <x:c r="A77" s="9" t="n">
        <x:v>69</x:v>
      </x:c>
      <x:c r="B77" s="8" t="str">
        <x:v>ชุมชนบ้านท่าขันทอง</x:v>
      </x:c>
      <x:c r="C77" s="8" t="str">
        <x:v>เชียงราย</x:v>
      </x:c>
      <x:c r="D77" s="8" t="str">
        <x:v>มีศักยภาพ แต่ต้องพัฒนามาตรฐาน</x:v>
      </x:c>
      <x:c r="E77" s="8" t="str">
        <x:v>ชุมชนท่องเที่ยว</x:v>
      </x:c>
      <x:c r="F77" s="38" t="n">
        <x:v>46316</x:v>
      </x:c>
      <x:c r="G77" s="8" t="str">
        <x:v>R26-125</x:v>
      </x:c>
      <x:c r="H77" s="39" t="str">
        <x:v>02</x:v>
      </x:c>
      <x:c r="I77" s="8" t="str">
        <x:v>Highland Halal Journey</x:v>
      </x:c>
      <x:c r="J77" s="8" t="str">
        <x:v>ตัวเลือกเสริม</x:v>
      </x:c>
      <x:c r="K77" s="8" t="str">
        <x:v>ชุมชน</x:v>
      </x:c>
      <x:c r="L77" s="8" t="str">
        <x:f>INDEX('ประเมินเกณฑ์'!$AE$9:$AE$608,MATCH(G77,'ประเมินเกณฑ์'!$A$9:$A$608,0))</x:f>
        <x:v>รอประเมิน</x:v>
      </x:c>
      <x:c r="M77" s="8" t="str">
        <x:v>สถานที่ในจังหวัดเส้นทาง รอตรวจระยะทางและลำดับ</x:v>
      </x:c>
      <x:c r="N77" s="8" t="str">
        <x:v>ยังไม่ยืนยันการเปิดให้บริการปัจจุบัน</x:v>
      </x:c>
      <x:c r="O77" s="40" t="n">
        <x:v>46316</x:v>
      </x:c>
    </x:row>
    <x:row r="78" ht="38" customHeight="1">
      <x:c r="A78" s="9" t="n">
        <x:v>70</x:v>
      </x:c>
      <x:c r="B78" s="8" t="str">
        <x:v>ชุมชนบ้านปางห้า</x:v>
      </x:c>
      <x:c r="C78" s="8" t="str">
        <x:v>เชียงราย</x:v>
      </x:c>
      <x:c r="D78" s="8" t="str">
        <x:v>มีศักยภาพ แต่ต้องพัฒนามาตรฐาน</x:v>
      </x:c>
      <x:c r="E78" s="8" t="str">
        <x:v>ชุมชนท่องเที่ยว</x:v>
      </x:c>
      <x:c r="F78" s="38" t="n">
        <x:v>46316</x:v>
      </x:c>
      <x:c r="G78" s="8" t="str">
        <x:v>R26-124</x:v>
      </x:c>
      <x:c r="H78" s="39" t="str">
        <x:v>02</x:v>
      </x:c>
      <x:c r="I78" s="8" t="str">
        <x:v>Highland Halal Journey</x:v>
      </x:c>
      <x:c r="J78" s="8" t="str">
        <x:v>ตัวเลือกเสริม</x:v>
      </x:c>
      <x:c r="K78" s="8" t="str">
        <x:v>ชุมชน</x:v>
      </x:c>
      <x:c r="L78" s="8" t="str">
        <x:f>INDEX('ประเมินเกณฑ์'!$AE$9:$AE$608,MATCH(G78,'ประเมินเกณฑ์'!$A$9:$A$608,0))</x:f>
        <x:v>รอประเมิน</x:v>
      </x:c>
      <x:c r="M78" s="8" t="str">
        <x:v>สถานที่ในจังหวัดเส้นทาง รอตรวจระยะทางและลำดับ</x:v>
      </x:c>
      <x:c r="N78" s="8" t="str">
        <x:v>ยังไม่ยืนยันการเปิดให้บริการปัจจุบัน</x:v>
      </x:c>
      <x:c r="O78" s="40" t="n">
        <x:v>46316</x:v>
      </x:c>
    </x:row>
    <x:row r="79" ht="38" customHeight="1">
      <x:c r="A79" s="9" t="n">
        <x:v>71</x:v>
      </x:c>
      <x:c r="B79" s="8" t="str">
        <x:v>โรงแรมอัล มีรอซ กรุงเทพ</x:v>
      </x:c>
      <x:c r="C79" s="8" t="str">
        <x:v>กรุงเทพมหานคร</x:v>
      </x:c>
      <x:c r="D79" s="8" t="str">
        <x:v>พร้อมขาย</x:v>
      </x:c>
      <x:c r="E79" s="8" t="str">
        <x:v>ที่พัก</x:v>
      </x:c>
      <x:c r="F79" s="38" t="n">
        <x:v>46316</x:v>
      </x:c>
      <x:c r="G79" s="8" t="str">
        <x:v>TMF-044</x:v>
      </x:c>
      <x:c r="H79" s="39" t="str">
        <x:v>03</x:v>
      </x:c>
      <x:c r="I79" s="8" t="str">
        <x:v>Bangkok Muslim Heritage</x:v>
      </x:c>
      <x:c r="J79" s="8" t="str">
        <x:v>1</x:v>
      </x:c>
      <x:c r="K79" s="8" t="str">
        <x:v>โรงแรมหรือรีสอร์ท</x:v>
      </x:c>
      <x:c r="L79" s="8" t="str">
        <x:f>INDEX('ประเมินเกณฑ์'!$AE$9:$AE$608,MATCH(G79,'ประเมินเกณฑ์'!$A$9:$A$608,0))</x:f>
        <x:v>รอประเมิน</x:v>
      </x:c>
      <x:c r="M79" s="8" t="str">
        <x:v>จุดในเอกสารเส้นทาง</x:v>
      </x:c>
      <x:c r="N79" s="8" t="str">
        <x:v>ยังไม่ยืนยันการเปิดให้บริการปัจจุบัน</x:v>
      </x:c>
      <x:c r="O79" s="40" t="n">
        <x:v>46316</x:v>
      </x:c>
    </x:row>
    <x:row r="80" ht="38" customHeight="1">
      <x:c r="A80" s="9" t="n">
        <x:v>72</x:v>
      </x:c>
      <x:c r="B80" s="8" t="str">
        <x:v>Beirut Restaurant สุขุมวิท 39</x:v>
      </x:c>
      <x:c r="C80" s="8" t="str">
        <x:v>กรุงเทพมหานคร</x:v>
      </x:c>
      <x:c r="D80" s="8" t="str">
        <x:v>มีศักยภาพ แต่ต้องพัฒนามาตรฐาน</x:v>
      </x:c>
      <x:c r="E80" s="8" t="str">
        <x:v>ร้านอาหารและคาเฟ่</x:v>
      </x:c>
      <x:c r="F80" s="38" t="n">
        <x:v>46316</x:v>
      </x:c>
      <x:c r="G80" s="8" t="str">
        <x:v>R26-027</x:v>
      </x:c>
      <x:c r="H80" s="39" t="str">
        <x:v>03</x:v>
      </x:c>
      <x:c r="I80" s="8" t="str">
        <x:v>Bangkok Muslim Heritage</x:v>
      </x:c>
      <x:c r="J80" s="8" t="str">
        <x:v>1</x:v>
      </x:c>
      <x:c r="K80" s="8" t="str">
        <x:v>อาหาร</x:v>
      </x:c>
      <x:c r="L80" s="8" t="str">
        <x:f>INDEX('ประเมินเกณฑ์'!$AE$9:$AE$608,MATCH(G80,'ประเมินเกณฑ์'!$A$9:$A$608,0))</x:f>
        <x:v>รอประเมิน</x:v>
      </x:c>
      <x:c r="M80" s="8" t="str">
        <x:v>จุดในเอกสารเส้นทาง</x:v>
      </x:c>
      <x:c r="N80" s="8" t="str">
        <x:v>ยังไม่ยืนยันการเปิดให้บริการปัจจุบัน</x:v>
      </x:c>
      <x:c r="O80" s="40" t="n">
        <x:v>46316</x:v>
      </x:c>
    </x:row>
    <x:row r="81" ht="38" customHeight="1">
      <x:c r="A81" s="9" t="n">
        <x:v>73</x:v>
      </x:c>
      <x:c r="B81" s="8" t="str">
        <x:v>มัสยิดต้นสน</x:v>
      </x:c>
      <x:c r="C81" s="8" t="str">
        <x:v>กรุงเทพมหานคร</x:v>
      </x:c>
      <x:c r="D81" s="8" t="str">
        <x:v>พัฒนาเพื่อพร้อมขาย</x:v>
      </x:c>
      <x:c r="E81" s="8" t="str">
        <x:v>แหล่งท่องเที่ยวทางประวัติศาสตร์และวัฒนธรรม</x:v>
      </x:c>
      <x:c r="F81" s="38" t="n">
        <x:v>46316</x:v>
      </x:c>
      <x:c r="G81" s="8" t="str">
        <x:v>TMF-295</x:v>
      </x:c>
      <x:c r="H81" s="39" t="str">
        <x:v>03</x:v>
      </x:c>
      <x:c r="I81" s="8" t="str">
        <x:v>Bangkok Muslim Heritage</x:v>
      </x:c>
      <x:c r="J81" s="8" t="str">
        <x:v>1</x:v>
      </x:c>
      <x:c r="K81" s="8" t="str">
        <x:v>มัสยิด</x:v>
      </x:c>
      <x:c r="L81" s="8" t="str">
        <x:f>INDEX('ประเมินเกณฑ์'!$AE$9:$AE$608,MATCH(G81,'ประเมินเกณฑ์'!$A$9:$A$608,0))</x:f>
        <x:v>รอประเมิน</x:v>
      </x:c>
      <x:c r="M81" s="8" t="str">
        <x:v>จุดในเอกสารเส้นทาง</x:v>
      </x:c>
      <x:c r="N81" s="8" t="str">
        <x:v>ยังไม่ยืนยันการเปิดให้บริการปัจจุบัน</x:v>
      </x:c>
      <x:c r="O81" s="40" t="n">
        <x:v>46316</x:v>
      </x:c>
    </x:row>
    <x:row r="82" ht="38" customHeight="1">
      <x:c r="A82" s="9" t="n">
        <x:v>74</x:v>
      </x:c>
      <x:c r="B82" s="8" t="str">
        <x:v>หอศิลปวัฒนธรรมแห่งกรุงเทพมหานคร</x:v>
      </x:c>
      <x:c r="C82" s="8" t="str">
        <x:v>กรุงเทพมหานคร</x:v>
      </x:c>
      <x:c r="D82" s="8" t="str">
        <x:v>มีศักยภาพ แต่ต้องพัฒนามาตรฐาน</x:v>
      </x:c>
      <x:c r="E82" s="8" t="str">
        <x:v>แหล่งท่องเที่ยวทางประวัติศาสตร์และวัฒนธรรม</x:v>
      </x:c>
      <x:c r="F82" s="38" t="n">
        <x:v>46316</x:v>
      </x:c>
      <x:c r="G82" s="8" t="str">
        <x:v>R26-025</x:v>
      </x:c>
      <x:c r="H82" s="39" t="str">
        <x:v>03</x:v>
      </x:c>
      <x:c r="I82" s="8" t="str">
        <x:v>Bangkok Muslim Heritage</x:v>
      </x:c>
      <x:c r="J82" s="8" t="str">
        <x:v>1</x:v>
      </x:c>
      <x:c r="K82" s="8" t="str">
        <x:v>ประวัติ</x:v>
      </x:c>
      <x:c r="L82" s="8" t="str">
        <x:f>INDEX('ประเมินเกณฑ์'!$AE$9:$AE$608,MATCH(G82,'ประเมินเกณฑ์'!$A$9:$A$608,0))</x:f>
        <x:v>รอประเมิน</x:v>
      </x:c>
      <x:c r="M82" s="8" t="str">
        <x:v>จุดในเอกสารเส้นทาง</x:v>
      </x:c>
      <x:c r="N82" s="8" t="str">
        <x:v>ยังไม่ยืนยันการเปิดให้บริการปัจจุบัน</x:v>
      </x:c>
      <x:c r="O82" s="40" t="n">
        <x:v>46316</x:v>
      </x:c>
    </x:row>
    <x:row r="83" ht="38" customHeight="1">
      <x:c r="A83" s="9" t="n">
        <x:v>75</x:v>
      </x:c>
      <x:c r="B83" s="8" t="str">
        <x:v>ชุมชนกุฎีขาว</x:v>
      </x:c>
      <x:c r="C83" s="8" t="str">
        <x:v>กรุงเทพมหานคร</x:v>
      </x:c>
      <x:c r="D83" s="8" t="str">
        <x:v>มีศักยภาพ แต่ต้องพัฒนามาตรฐาน</x:v>
      </x:c>
      <x:c r="E83" s="8" t="str">
        <x:v>ชุมชนท่องเที่ยว</x:v>
      </x:c>
      <x:c r="F83" s="38" t="n">
        <x:v>46316</x:v>
      </x:c>
      <x:c r="G83" s="8" t="str">
        <x:v>R26-024</x:v>
      </x:c>
      <x:c r="H83" s="39" t="str">
        <x:v>03</x:v>
      </x:c>
      <x:c r="I83" s="8" t="str">
        <x:v>Bangkok Muslim Heritage</x:v>
      </x:c>
      <x:c r="J83" s="8" t="str">
        <x:v>1</x:v>
      </x:c>
      <x:c r="K83" s="8" t="str">
        <x:v>ชุมชน</x:v>
      </x:c>
      <x:c r="L83" s="8" t="str">
        <x:f>INDEX('ประเมินเกณฑ์'!$AE$9:$AE$608,MATCH(G83,'ประเมินเกณฑ์'!$A$9:$A$608,0))</x:f>
        <x:v>รอประเมิน</x:v>
      </x:c>
      <x:c r="M83" s="8" t="str">
        <x:v>จุดในเอกสารเส้นทาง</x:v>
      </x:c>
      <x:c r="N83" s="8" t="str">
        <x:v>ยังไม่ยืนยันการเปิดให้บริการปัจจุบัน</x:v>
      </x:c>
      <x:c r="O83" s="40" t="n">
        <x:v>46316</x:v>
      </x:c>
    </x:row>
    <x:row r="84" ht="38" customHeight="1">
      <x:c r="A84" s="9" t="n">
        <x:v>76</x:v>
      </x:c>
      <x:c r="B84" s="8" t="str">
        <x:v>ชุมชนบ้านครัว</x:v>
      </x:c>
      <x:c r="C84" s="8" t="str">
        <x:v>กรุงเทพมหานคร</x:v>
      </x:c>
      <x:c r="D84" s="8" t="str">
        <x:v>มีศักยภาพ แต่ต้องพัฒนามาตรฐาน</x:v>
      </x:c>
      <x:c r="E84" s="8" t="str">
        <x:v>ชุมชนท่องเที่ยว</x:v>
      </x:c>
      <x:c r="F84" s="38" t="n">
        <x:v>46316</x:v>
      </x:c>
      <x:c r="G84" s="8" t="str">
        <x:v>R26-026</x:v>
      </x:c>
      <x:c r="H84" s="39" t="str">
        <x:v>03</x:v>
      </x:c>
      <x:c r="I84" s="8" t="str">
        <x:v>Bangkok Muslim Heritage</x:v>
      </x:c>
      <x:c r="J84" s="8" t="str">
        <x:v>1</x:v>
      </x:c>
      <x:c r="K84" s="8" t="str">
        <x:v>ชุมชน</x:v>
      </x:c>
      <x:c r="L84" s="8" t="str">
        <x:f>INDEX('ประเมินเกณฑ์'!$AE$9:$AE$608,MATCH(G84,'ประเมินเกณฑ์'!$A$9:$A$608,0))</x:f>
        <x:v>รอประเมิน</x:v>
      </x:c>
      <x:c r="M84" s="8" t="str">
        <x:v>จุดในเอกสารเส้นทาง</x:v>
      </x:c>
      <x:c r="N84" s="8" t="str">
        <x:v>ยังไม่ยืนยันการเปิดให้บริการปัจจุบัน</x:v>
      </x:c>
      <x:c r="O84" s="40" t="n">
        <x:v>46316</x:v>
      </x:c>
    </x:row>
    <x:row r="85" ht="38" customHeight="1">
      <x:c r="A85" s="9" t="n">
        <x:v>77</x:v>
      </x:c>
      <x:c r="B85" s="8" t="str">
        <x:v>FARAYA Cruise Restaurant</x:v>
      </x:c>
      <x:c r="C85" s="8" t="str">
        <x:v>กรุงเทพมหานคร</x:v>
      </x:c>
      <x:c r="D85" s="8" t="str">
        <x:v>พัฒนาเพื่อพร้อมขาย</x:v>
      </x:c>
      <x:c r="E85" s="8" t="str">
        <x:v>ร้านอาหารและคาเฟ่</x:v>
      </x:c>
      <x:c r="F85" s="38" t="n">
        <x:v>46316</x:v>
      </x:c>
      <x:c r="G85" s="8" t="str">
        <x:v>GMHI-38</x:v>
      </x:c>
      <x:c r="H85" s="39" t="str">
        <x:v>03</x:v>
      </x:c>
      <x:c r="I85" s="8" t="str">
        <x:v>Bangkok Muslim Heritage</x:v>
      </x:c>
      <x:c r="J85" s="8" t="str">
        <x:v>2</x:v>
      </x:c>
      <x:c r="K85" s="8" t="str">
        <x:v>ร้านอาหารและคาเฟ่</x:v>
      </x:c>
      <x:c r="L85" s="8" t="str">
        <x:f>INDEX('ประเมินเกณฑ์'!$AE$9:$AE$608,MATCH(G85,'ประเมินเกณฑ์'!$A$9:$A$608,0))</x:f>
        <x:v>รอประเมิน</x:v>
      </x:c>
      <x:c r="M85" s="8" t="str">
        <x:v>จุดในเอกสารเส้นทาง</x:v>
      </x:c>
      <x:c r="N85" s="8" t="str">
        <x:v>พบประกาศหยุดซ่อม 01/09–12/10/2026 ต้องยืนยันกลับมาเปิด</x:v>
      </x:c>
      <x:c r="O85" s="40" t="n">
        <x:v>46316</x:v>
      </x:c>
    </x:row>
    <x:row r="86" ht="38" customHeight="1">
      <x:c r="A86" s="9" t="n">
        <x:v>78</x:v>
      </x:c>
      <x:c r="B86" s="8" t="str">
        <x:v>Prem Yoga Ayurveda Center</x:v>
      </x:c>
      <x:c r="C86" s="8" t="str">
        <x:v>กรุงเทพมหานคร</x:v>
      </x:c>
      <x:c r="D86" s="8" t="str">
        <x:v>มีศักยภาพ แต่ต้องพัฒนามาตรฐาน</x:v>
      </x:c>
      <x:c r="E86" s="8" t="str">
        <x:v>สถานประกอบการเพื่อสุขภาพและเวลเนส</x:v>
      </x:c>
      <x:c r="F86" s="38" t="n">
        <x:v>46316</x:v>
      </x:c>
      <x:c r="G86" s="8" t="str">
        <x:v>R26-029</x:v>
      </x:c>
      <x:c r="H86" s="39" t="str">
        <x:v>03</x:v>
      </x:c>
      <x:c r="I86" s="8" t="str">
        <x:v>Bangkok Muslim Heritage</x:v>
      </x:c>
      <x:c r="J86" s="8" t="str">
        <x:v>2</x:v>
      </x:c>
      <x:c r="K86" s="8" t="str">
        <x:v>เวลเนส</x:v>
      </x:c>
      <x:c r="L86" s="8" t="str">
        <x:f>INDEX('ประเมินเกณฑ์'!$AE$9:$AE$608,MATCH(G86,'ประเมินเกณฑ์'!$A$9:$A$608,0))</x:f>
        <x:v>รอประเมิน</x:v>
      </x:c>
      <x:c r="M86" s="8" t="str">
        <x:v>จุดในเอกสารเส้นทาง</x:v>
      </x:c>
      <x:c r="N86" s="8" t="str">
        <x:v>ยังไม่ยืนยันการเปิดให้บริการปัจจุบัน</x:v>
      </x:c>
      <x:c r="O86" s="40" t="n">
        <x:v>46316</x:v>
      </x:c>
    </x:row>
    <x:row r="87" ht="38" customHeight="1">
      <x:c r="A87" s="9" t="n">
        <x:v>79</x:v>
      </x:c>
      <x:c r="B87" s="8" t="str">
        <x:v>สวนลอยฟ้าเจ้าพระยา</x:v>
      </x:c>
      <x:c r="C87" s="8" t="str">
        <x:v>กรุงเทพมหานคร</x:v>
      </x:c>
      <x:c r="D87" s="8" t="str">
        <x:v>มีศักยภาพ แต่ต้องพัฒนามาตรฐาน</x:v>
      </x:c>
      <x:c r="E87" s="8" t="str">
        <x:v>แหล่งท่องเที่ยวทางธรรมชาติ</x:v>
      </x:c>
      <x:c r="F87" s="38" t="n">
        <x:v>46316</x:v>
      </x:c>
      <x:c r="G87" s="8" t="str">
        <x:v>TMF-506</x:v>
      </x:c>
      <x:c r="H87" s="39" t="str">
        <x:v>03</x:v>
      </x:c>
      <x:c r="I87" s="8" t="str">
        <x:v>Bangkok Muslim Heritage</x:v>
      </x:c>
      <x:c r="J87" s="8" t="str">
        <x:v>2</x:v>
      </x:c>
      <x:c r="K87" s="8" t="str">
        <x:v>สวนสาธารณะหรือแหล่งธรรมชาติ</x:v>
      </x:c>
      <x:c r="L87" s="8" t="str">
        <x:f>INDEX('ประเมินเกณฑ์'!$AE$9:$AE$608,MATCH(G87,'ประเมินเกณฑ์'!$A$9:$A$608,0))</x:f>
        <x:v>รอประเมิน</x:v>
      </x:c>
      <x:c r="M87" s="8" t="str">
        <x:v>จุดในเอกสารเส้นทาง</x:v>
      </x:c>
      <x:c r="N87" s="8" t="str">
        <x:v>ยังไม่ยืนยันการเปิดให้บริการปัจจุบัน</x:v>
      </x:c>
      <x:c r="O87" s="40" t="n">
        <x:v>46316</x:v>
      </x:c>
    </x:row>
    <x:row r="88" ht="38" customHeight="1">
      <x:c r="A88" s="9" t="n">
        <x:v>80</x:v>
      </x:c>
      <x:c r="B88" s="8" t="str">
        <x:v>มัสยิดฮารูณ (เจริญกรุง)</x:v>
      </x:c>
      <x:c r="C88" s="8" t="str">
        <x:v>กรุงเทพมหานคร</x:v>
      </x:c>
      <x:c r="D88" s="8" t="str">
        <x:v>พัฒนาเพื่อพร้อมขาย</x:v>
      </x:c>
      <x:c r="E88" s="8" t="str">
        <x:v>แหล่งท่องเที่ยวทางประวัติศาสตร์และวัฒนธรรม</x:v>
      </x:c>
      <x:c r="F88" s="38" t="n">
        <x:v>46316</x:v>
      </x:c>
      <x:c r="G88" s="8" t="str">
        <x:v>TMF-323</x:v>
      </x:c>
      <x:c r="H88" s="39" t="str">
        <x:v>03</x:v>
      </x:c>
      <x:c r="I88" s="8" t="str">
        <x:v>Bangkok Muslim Heritage</x:v>
      </x:c>
      <x:c r="J88" s="8" t="str">
        <x:v>2</x:v>
      </x:c>
      <x:c r="K88" s="8" t="str">
        <x:v>มัสยิด</x:v>
      </x:c>
      <x:c r="L88" s="8" t="str">
        <x:f>INDEX('ประเมินเกณฑ์'!$AE$9:$AE$608,MATCH(G88,'ประเมินเกณฑ์'!$A$9:$A$608,0))</x:f>
        <x:v>รอประเมิน</x:v>
      </x:c>
      <x:c r="M88" s="8" t="str">
        <x:v>จุดในเอกสารเส้นทาง</x:v>
      </x:c>
      <x:c r="N88" s="8" t="str">
        <x:v>ยังไม่ยืนยันการเปิดให้บริการปัจจุบัน</x:v>
      </x:c>
      <x:c r="O88" s="40" t="n">
        <x:v>46316</x:v>
      </x:c>
    </x:row>
    <x:row r="89" ht="38" customHeight="1">
      <x:c r="A89" s="9" t="n">
        <x:v>81</x:v>
      </x:c>
      <x:c r="B89" s="8" t="str">
        <x:v>Almas Hotel Bangkok</x:v>
      </x:c>
      <x:c r="C89" s="8" t="str">
        <x:v>กรุงเทพมหานคร</x:v>
      </x:c>
      <x:c r="D89" s="8" t="str">
        <x:v>พร้อมขาย</x:v>
      </x:c>
      <x:c r="E89" s="8" t="str">
        <x:v>ที่พัก</x:v>
      </x:c>
      <x:c r="F89" s="38" t="n">
        <x:v>46316</x:v>
      </x:c>
      <x:c r="G89" s="8" t="str">
        <x:v>TMF-034</x:v>
      </x:c>
      <x:c r="H89" s="39" t="str">
        <x:v>03</x:v>
      </x:c>
      <x:c r="I89" s="8" t="str">
        <x:v>Bangkok Muslim Heritage</x:v>
      </x:c>
      <x:c r="J89" s="8" t="str">
        <x:v>ตัวเลือกเสริม</x:v>
      </x:c>
      <x:c r="K89" s="8" t="str">
        <x:v>โรงแรมหรือรีสอร์ท</x:v>
      </x:c>
      <x:c r="L89" s="8" t="str">
        <x:f>INDEX('ประเมินเกณฑ์'!$AE$9:$AE$608,MATCH(G89,'ประเมินเกณฑ์'!$A$9:$A$608,0))</x:f>
        <x:v>รอประเมิน</x:v>
      </x:c>
      <x:c r="M89" s="8" t="str">
        <x:v>สถานที่ในจังหวัดเส้นทาง รอตรวจระยะทางและลำดับ</x:v>
      </x:c>
      <x:c r="N89" s="8" t="str">
        <x:v>ยังไม่ยืนยันการเปิดให้บริการปัจจุบัน</x:v>
      </x:c>
      <x:c r="O89" s="40" t="n">
        <x:v>46315</x:v>
      </x:c>
    </x:row>
    <x:row r="90" ht="38" customHeight="1">
      <x:c r="A90" s="9" t="n">
        <x:v>82</x:v>
      </x:c>
      <x:c r="B90" s="8" t="str">
        <x:v>Amanah Bangkok</x:v>
      </x:c>
      <x:c r="C90" s="8" t="str">
        <x:v>กรุงเทพมหานคร</x:v>
      </x:c>
      <x:c r="D90" s="8" t="str">
        <x:v>พัฒนาเพื่อพร้อมขาย</x:v>
      </x:c>
      <x:c r="E90" s="8" t="str">
        <x:v>ที่พัก</x:v>
      </x:c>
      <x:c r="F90" s="38" t="n">
        <x:v>46316</x:v>
      </x:c>
      <x:c r="G90" s="8" t="str">
        <x:v>TMF-269</x:v>
      </x:c>
      <x:c r="H90" s="39" t="str">
        <x:v>03</x:v>
      </x:c>
      <x:c r="I90" s="8" t="str">
        <x:v>Bangkok Muslim Heritage</x:v>
      </x:c>
      <x:c r="J90" s="8" t="str">
        <x:v>ตัวเลือกเสริม</x:v>
      </x:c>
      <x:c r="K90" s="8" t="str">
        <x:v>โรงแรมหรือรีสอร์ท</x:v>
      </x:c>
      <x:c r="L90" s="8" t="str">
        <x:f>INDEX('ประเมินเกณฑ์'!$AE$9:$AE$608,MATCH(G90,'ประเมินเกณฑ์'!$A$9:$A$608,0))</x:f>
        <x:v>รอประเมิน</x:v>
      </x:c>
      <x:c r="M90" s="8" t="str">
        <x:v>สถานที่ในจังหวัดเส้นทาง รอตรวจระยะทางและลำดับ</x:v>
      </x:c>
      <x:c r="N90" s="8" t="str">
        <x:v>ยังไม่ยืนยันการเปิดให้บริการปัจจุบัน</x:v>
      </x:c>
      <x:c r="O90" s="40" t="n">
        <x:v>46315</x:v>
      </x:c>
    </x:row>
    <x:row r="91" ht="38" customHeight="1">
      <x:c r="A91" s="9" t="n">
        <x:v>83</x:v>
      </x:c>
      <x:c r="B91" s="8" t="str">
        <x:v>Bed By City Hotel</x:v>
      </x:c>
      <x:c r="C91" s="8" t="str">
        <x:v>กรุงเทพมหานคร</x:v>
      </x:c>
      <x:c r="D91" s="8" t="str">
        <x:v>พร้อมขาย</x:v>
      </x:c>
      <x:c r="E91" s="8" t="str">
        <x:v>ที่พัก</x:v>
      </x:c>
      <x:c r="F91" s="38" t="n">
        <x:v>46316</x:v>
      </x:c>
      <x:c r="G91" s="8" t="str">
        <x:v>TMF-035</x:v>
      </x:c>
      <x:c r="H91" s="39" t="str">
        <x:v>03</x:v>
      </x:c>
      <x:c r="I91" s="8" t="str">
        <x:v>Bangkok Muslim Heritage</x:v>
      </x:c>
      <x:c r="J91" s="8" t="str">
        <x:v>ตัวเลือกเสริม</x:v>
      </x:c>
      <x:c r="K91" s="8" t="str">
        <x:v>โรงแรมหรือรีสอร์ท</x:v>
      </x:c>
      <x:c r="L91" s="8" t="str">
        <x:f>INDEX('ประเมินเกณฑ์'!$AE$9:$AE$608,MATCH(G91,'ประเมินเกณฑ์'!$A$9:$A$608,0))</x:f>
        <x:v>รอประเมิน</x:v>
      </x:c>
      <x:c r="M91" s="8" t="str">
        <x:v>สถานที่ในจังหวัดเส้นทาง รอตรวจระยะทางและลำดับ</x:v>
      </x:c>
      <x:c r="N91" s="8" t="str">
        <x:v>ยังไม่ยืนยันการเปิดให้บริการปัจจุบัน</x:v>
      </x:c>
      <x:c r="O91" s="40" t="n">
        <x:v>46315</x:v>
      </x:c>
    </x:row>
    <x:row r="92" ht="38" customHeight="1">
      <x:c r="A92" s="9" t="n">
        <x:v>84</x:v>
      </x:c>
      <x:c r="B92" s="8" t="str">
        <x:v>Bed by Thapra Hotel</x:v>
      </x:c>
      <x:c r="C92" s="8" t="str">
        <x:v>กรุงเทพมหานคร</x:v>
      </x:c>
      <x:c r="D92" s="8" t="str">
        <x:v>พร้อมขาย</x:v>
      </x:c>
      <x:c r="E92" s="8" t="str">
        <x:v>ที่พัก</x:v>
      </x:c>
      <x:c r="F92" s="38" t="n">
        <x:v>46316</x:v>
      </x:c>
      <x:c r="G92" s="8" t="str">
        <x:v>TMF-036</x:v>
      </x:c>
      <x:c r="H92" s="39" t="str">
        <x:v>03</x:v>
      </x:c>
      <x:c r="I92" s="8" t="str">
        <x:v>Bangkok Muslim Heritage</x:v>
      </x:c>
      <x:c r="J92" s="8" t="str">
        <x:v>ตัวเลือกเสริม</x:v>
      </x:c>
      <x:c r="K92" s="8" t="str">
        <x:v>โรงแรมหรือรีสอร์ท</x:v>
      </x:c>
      <x:c r="L92" s="8" t="str">
        <x:f>INDEX('ประเมินเกณฑ์'!$AE$9:$AE$608,MATCH(G92,'ประเมินเกณฑ์'!$A$9:$A$608,0))</x:f>
        <x:v>รอประเมิน</x:v>
      </x:c>
      <x:c r="M92" s="8" t="str">
        <x:v>สถานที่ในจังหวัดเส้นทาง รอตรวจระยะทางและลำดับ</x:v>
      </x:c>
      <x:c r="N92" s="8" t="str">
        <x:v>ยังไม่ยืนยันการเปิดให้บริการปัจจุบัน</x:v>
      </x:c>
      <x:c r="O92" s="40" t="n">
        <x:v>46315</x:v>
      </x:c>
    </x:row>
    <x:row r="93" ht="38" customHeight="1">
      <x:c r="A93" s="9" t="n">
        <x:v>85</x:v>
      </x:c>
      <x:c r="B93" s="8" t="str">
        <x:v>DEWAN BANGKOK</x:v>
      </x:c>
      <x:c r="C93" s="8" t="str">
        <x:v>กรุงเทพมหานคร</x:v>
      </x:c>
      <x:c r="D93" s="8" t="str">
        <x:v>พัฒนาเพื่อพร้อมขาย</x:v>
      </x:c>
      <x:c r="E93" s="8" t="str">
        <x:v>ที่พัก</x:v>
      </x:c>
      <x:c r="F93" s="38" t="n">
        <x:v>46316</x:v>
      </x:c>
      <x:c r="G93" s="8" t="str">
        <x:v>GMHI-29</x:v>
      </x:c>
      <x:c r="H93" s="39" t="str">
        <x:v>03</x:v>
      </x:c>
      <x:c r="I93" s="8" t="str">
        <x:v>Bangkok Muslim Heritage</x:v>
      </x:c>
      <x:c r="J93" s="8" t="str">
        <x:v>ตัวเลือกเสริม</x:v>
      </x:c>
      <x:c r="K93" s="8" t="str">
        <x:v>ที่พัก</x:v>
      </x:c>
      <x:c r="L93" s="8" t="str">
        <x:f>INDEX('ประเมินเกณฑ์'!$AE$9:$AE$608,MATCH(G93,'ประเมินเกณฑ์'!$A$9:$A$608,0))</x:f>
        <x:v>รอประเมิน</x:v>
      </x:c>
      <x:c r="M93" s="8" t="str">
        <x:v>สถานที่ในจังหวัดเส้นทาง รอตรวจระยะทางและลำดับ</x:v>
      </x:c>
      <x:c r="N93" s="8" t="str">
        <x:v>ยังไม่ยืนยันการเปิดให้บริการปัจจุบัน</x:v>
      </x:c>
      <x:c r="O93" s="40" t="n">
        <x:v>46315</x:v>
      </x:c>
    </x:row>
    <x:row r="94" ht="38" customHeight="1">
      <x:c r="A94" s="9" t="n">
        <x:v>86</x:v>
      </x:c>
      <x:c r="B94" s="8" t="str">
        <x:v>Diya Hotel Srinakarin</x:v>
      </x:c>
      <x:c r="C94" s="8" t="str">
        <x:v>กรุงเทพมหานคร</x:v>
      </x:c>
      <x:c r="D94" s="8" t="str">
        <x:v>พร้อมขาย</x:v>
      </x:c>
      <x:c r="E94" s="8" t="str">
        <x:v>ที่พัก</x:v>
      </x:c>
      <x:c r="F94" s="38" t="n">
        <x:v>46316</x:v>
      </x:c>
      <x:c r="G94" s="8" t="str">
        <x:v>TMF-037</x:v>
      </x:c>
      <x:c r="H94" s="39" t="str">
        <x:v>03</x:v>
      </x:c>
      <x:c r="I94" s="8" t="str">
        <x:v>Bangkok Muslim Heritage</x:v>
      </x:c>
      <x:c r="J94" s="8" t="str">
        <x:v>ตัวเลือกเสริม</x:v>
      </x:c>
      <x:c r="K94" s="8" t="str">
        <x:v>โรงแรมหรือรีสอร์ท</x:v>
      </x:c>
      <x:c r="L94" s="8" t="str">
        <x:f>INDEX('ประเมินเกณฑ์'!$AE$9:$AE$608,MATCH(G94,'ประเมินเกณฑ์'!$A$9:$A$608,0))</x:f>
        <x:v>รอประเมิน</x:v>
      </x:c>
      <x:c r="M94" s="8" t="str">
        <x:v>สถานที่ในจังหวัดเส้นทาง รอตรวจระยะทางและลำดับ</x:v>
      </x:c>
      <x:c r="N94" s="8" t="str">
        <x:v>ยังไม่ยืนยันการเปิดให้บริการปัจจุบัน</x:v>
      </x:c>
      <x:c r="O94" s="40" t="n">
        <x:v>46315</x:v>
      </x:c>
    </x:row>
    <x:row r="95" ht="38" customHeight="1">
      <x:c r="A95" s="9" t="n">
        <x:v>87</x:v>
      </x:c>
      <x:c r="B95" s="8" t="str">
        <x:v>H-Banaat</x:v>
      </x:c>
      <x:c r="C95" s="8" t="str">
        <x:v>กรุงเทพมหานคร</x:v>
      </x:c>
      <x:c r="D95" s="8" t="str">
        <x:v>พัฒนาเพื่อพร้อมขาย</x:v>
      </x:c>
      <x:c r="E95" s="8" t="str">
        <x:v>ที่พัก</x:v>
      </x:c>
      <x:c r="F95" s="38" t="n">
        <x:v>46316</x:v>
      </x:c>
      <x:c r="G95" s="8" t="str">
        <x:v>GMHI-27</x:v>
      </x:c>
      <x:c r="H95" s="39" t="str">
        <x:v>03</x:v>
      </x:c>
      <x:c r="I95" s="8" t="str">
        <x:v>Bangkok Muslim Heritage</x:v>
      </x:c>
      <x:c r="J95" s="8" t="str">
        <x:v>ตัวเลือกเสริม</x:v>
      </x:c>
      <x:c r="K95" s="8" t="str">
        <x:v>ที่พัก</x:v>
      </x:c>
      <x:c r="L95" s="8" t="str">
        <x:f>INDEX('ประเมินเกณฑ์'!$AE$9:$AE$608,MATCH(G95,'ประเมินเกณฑ์'!$A$9:$A$608,0))</x:f>
        <x:v>รอประเมิน</x:v>
      </x:c>
      <x:c r="M95" s="8" t="str">
        <x:v>สถานที่ในจังหวัดเส้นทาง รอตรวจระยะทางและลำดับ</x:v>
      </x:c>
      <x:c r="N95" s="8" t="str">
        <x:v>ยังไม่ยืนยันการเปิดให้บริการปัจจุบัน</x:v>
      </x:c>
      <x:c r="O95" s="40" t="n">
        <x:v>46316</x:v>
      </x:c>
    </x:row>
    <x:row r="96" ht="38" customHeight="1">
      <x:c r="A96" s="9" t="n">
        <x:v>88</x:v>
      </x:c>
      <x:c r="B96" s="8" t="str">
        <x:v>Heyyyy Bangkok Hostel</x:v>
      </x:c>
      <x:c r="C96" s="8" t="str">
        <x:v>กรุงเทพมหานคร</x:v>
      </x:c>
      <x:c r="D96" s="8" t="str">
        <x:v>พร้อมขาย</x:v>
      </x:c>
      <x:c r="E96" s="8" t="str">
        <x:v>ที่พัก</x:v>
      </x:c>
      <x:c r="F96" s="38" t="n">
        <x:v>46316</x:v>
      </x:c>
      <x:c r="G96" s="8" t="str">
        <x:v>TMF-051</x:v>
      </x:c>
      <x:c r="H96" s="39" t="str">
        <x:v>03</x:v>
      </x:c>
      <x:c r="I96" s="8" t="str">
        <x:v>Bangkok Muslim Heritage</x:v>
      </x:c>
      <x:c r="J96" s="8" t="str">
        <x:v>ตัวเลือกเสริม</x:v>
      </x:c>
      <x:c r="K96" s="8" t="str">
        <x:v>ที่พัก (ตรวจประเภทจากชื่อและข้อมูลประกอบ)</x:v>
      </x:c>
      <x:c r="L96" s="8" t="str">
        <x:f>INDEX('ประเมินเกณฑ์'!$AE$9:$AE$608,MATCH(G96,'ประเมินเกณฑ์'!$A$9:$A$608,0))</x:f>
        <x:v>รอประเมิน</x:v>
      </x:c>
      <x:c r="M96" s="8" t="str">
        <x:v>สถานที่ในจังหวัดเส้นทาง รอตรวจระยะทางและลำดับ</x:v>
      </x:c>
      <x:c r="N96" s="8" t="str">
        <x:v>ยังไม่ยืนยันการเปิดให้บริการปัจจุบัน</x:v>
      </x:c>
      <x:c r="O96" s="40" t="n">
        <x:v>46315</x:v>
      </x:c>
    </x:row>
    <x:row r="97" ht="38" customHeight="1">
      <x:c r="A97" s="9" t="n">
        <x:v>89</x:v>
      </x:c>
      <x:c r="B97" s="8" t="str">
        <x:v>Lilit Banglumphu Hotel - Bangkok</x:v>
      </x:c>
      <x:c r="C97" s="8" t="str">
        <x:v>กรุงเทพมหานคร</x:v>
      </x:c>
      <x:c r="D97" s="8" t="str">
        <x:v>พร้อมขาย</x:v>
      </x:c>
      <x:c r="E97" s="8" t="str">
        <x:v>ที่พัก</x:v>
      </x:c>
      <x:c r="F97" s="38" t="n">
        <x:v>46316</x:v>
      </x:c>
      <x:c r="G97" s="8" t="str">
        <x:v>TMF-038</x:v>
      </x:c>
      <x:c r="H97" s="39" t="str">
        <x:v>03</x:v>
      </x:c>
      <x:c r="I97" s="8" t="str">
        <x:v>Bangkok Muslim Heritage</x:v>
      </x:c>
      <x:c r="J97" s="8" t="str">
        <x:v>ตัวเลือกเสริม</x:v>
      </x:c>
      <x:c r="K97" s="8" t="str">
        <x:v>โรงแรมหรือรีสอร์ท</x:v>
      </x:c>
      <x:c r="L97" s="8" t="str">
        <x:f>INDEX('ประเมินเกณฑ์'!$AE$9:$AE$608,MATCH(G97,'ประเมินเกณฑ์'!$A$9:$A$608,0))</x:f>
        <x:v>รอประเมิน</x:v>
      </x:c>
      <x:c r="M97" s="8" t="str">
        <x:v>สถานที่ในจังหวัดเส้นทาง รอตรวจระยะทางและลำดับ</x:v>
      </x:c>
      <x:c r="N97" s="8" t="str">
        <x:v>ยังไม่ยืนยันการเปิดให้บริการปัจจุบัน</x:v>
      </x:c>
      <x:c r="O97" s="40" t="n">
        <x:v>46315</x:v>
      </x:c>
    </x:row>
    <x:row r="98" ht="38" customHeight="1">
      <x:c r="A98" s="9" t="n">
        <x:v>90</x:v>
      </x:c>
      <x:c r="B98" s="8" t="str">
        <x:v>Noursabah Boutique Bed Bangkok</x:v>
      </x:c>
      <x:c r="C98" s="8" t="str">
        <x:v>กรุงเทพมหานคร</x:v>
      </x:c>
      <x:c r="D98" s="8" t="str">
        <x:v>พัฒนาเพื่อพร้อมขาย</x:v>
      </x:c>
      <x:c r="E98" s="8" t="str">
        <x:v>ที่พัก</x:v>
      </x:c>
      <x:c r="F98" s="38" t="n">
        <x:v>46316</x:v>
      </x:c>
      <x:c r="G98" s="8" t="str">
        <x:v>TMF-270</x:v>
      </x:c>
      <x:c r="H98" s="39" t="str">
        <x:v>03</x:v>
      </x:c>
      <x:c r="I98" s="8" t="str">
        <x:v>Bangkok Muslim Heritage</x:v>
      </x:c>
      <x:c r="J98" s="8" t="str">
        <x:v>ตัวเลือกเสริม</x:v>
      </x:c>
      <x:c r="K98" s="8" t="str">
        <x:v>โรงแรมหรือรีสอร์ท</x:v>
      </x:c>
      <x:c r="L98" s="8" t="str">
        <x:f>INDEX('ประเมินเกณฑ์'!$AE$9:$AE$608,MATCH(G98,'ประเมินเกณฑ์'!$A$9:$A$608,0))</x:f>
        <x:v>รอประเมิน</x:v>
      </x:c>
      <x:c r="M98" s="8" t="str">
        <x:v>สถานที่ในจังหวัดเส้นทาง รอตรวจระยะทางและลำดับ</x:v>
      </x:c>
      <x:c r="N98" s="8" t="str">
        <x:v>ยังไม่ยืนยันการเปิดให้บริการปัจจุบัน</x:v>
      </x:c>
      <x:c r="O98" s="40" t="n">
        <x:v>46315</x:v>
      </x:c>
    </x:row>
    <x:row r="99" ht="38" customHeight="1">
      <x:c r="A99" s="9" t="n">
        <x:v>91</x:v>
      </x:c>
      <x:c r="B99" s="8" t="str">
        <x:v>Nouvo City Hotel - โรงแรมนูโว ซิตี</x:v>
      </x:c>
      <x:c r="C99" s="8" t="str">
        <x:v>กรุงเทพมหานคร</x:v>
      </x:c>
      <x:c r="D99" s="8" t="str">
        <x:v>พร้อมขาย</x:v>
      </x:c>
      <x:c r="E99" s="8" t="str">
        <x:v>ที่พัก</x:v>
      </x:c>
      <x:c r="F99" s="38" t="n">
        <x:v>46316</x:v>
      </x:c>
      <x:c r="G99" s="8" t="str">
        <x:v>TMF-039</x:v>
      </x:c>
      <x:c r="H99" s="39" t="str">
        <x:v>03</x:v>
      </x:c>
      <x:c r="I99" s="8" t="str">
        <x:v>Bangkok Muslim Heritage</x:v>
      </x:c>
      <x:c r="J99" s="8" t="str">
        <x:v>ตัวเลือกเสริม</x:v>
      </x:c>
      <x:c r="K99" s="8" t="str">
        <x:v>โรงแรมหรือรีสอร์ท</x:v>
      </x:c>
      <x:c r="L99" s="8" t="str">
        <x:f>INDEX('ประเมินเกณฑ์'!$AE$9:$AE$608,MATCH(G99,'ประเมินเกณฑ์'!$A$9:$A$608,0))</x:f>
        <x:v>รอประเมิน</x:v>
      </x:c>
      <x:c r="M99" s="8" t="str">
        <x:v>สถานที่ในจังหวัดเส้นทาง รอตรวจระยะทางและลำดับ</x:v>
      </x:c>
      <x:c r="N99" s="8" t="str">
        <x:v>ยังไม่ยืนยันการเปิดให้บริการปัจจุบัน</x:v>
      </x:c>
      <x:c r="O99" s="40" t="n">
        <x:v>46315</x:v>
      </x:c>
    </x:row>
    <x:row r="100" ht="38" customHeight="1">
      <x:c r="A100" s="9" t="n">
        <x:v>92</x:v>
      </x:c>
      <x:c r="B100" s="8" t="str">
        <x:v>P-Park Residence</x:v>
      </x:c>
      <x:c r="C100" s="8" t="str">
        <x:v>กรุงเทพมหานคร</x:v>
      </x:c>
      <x:c r="D100" s="8" t="str">
        <x:v>พร้อมขาย</x:v>
      </x:c>
      <x:c r="E100" s="8" t="str">
        <x:v>ที่พัก</x:v>
      </x:c>
      <x:c r="F100" s="38" t="n">
        <x:v>46316</x:v>
      </x:c>
      <x:c r="G100" s="8" t="str">
        <x:v>TMF-062</x:v>
      </x:c>
      <x:c r="H100" s="39" t="str">
        <x:v>03</x:v>
      </x:c>
      <x:c r="I100" s="8" t="str">
        <x:v>Bangkok Muslim Heritage</x:v>
      </x:c>
      <x:c r="J100" s="8" t="str">
        <x:v>ตัวเลือกเสริม</x:v>
      </x:c>
      <x:c r="K100" s="8" t="str">
        <x:v>ที่พัก (ตรวจประเภทจากชื่อและข้อมูลประกอบ)</x:v>
      </x:c>
      <x:c r="L100" s="8" t="str">
        <x:f>INDEX('ประเมินเกณฑ์'!$AE$9:$AE$608,MATCH(G100,'ประเมินเกณฑ์'!$A$9:$A$608,0))</x:f>
        <x:v>รอประเมิน</x:v>
      </x:c>
      <x:c r="M100" s="8" t="str">
        <x:v>สถานที่ในจังหวัดเส้นทาง รอตรวจระยะทางและลำดับ</x:v>
      </x:c>
      <x:c r="N100" s="8" t="str">
        <x:v>ยังไม่ยืนยันการเปิดให้บริการปัจจุบัน</x:v>
      </x:c>
      <x:c r="O100" s="40" t="n">
        <x:v>46315</x:v>
      </x:c>
    </x:row>
    <x:row r="101" ht="38" customHeight="1">
      <x:c r="A101" s="9" t="n">
        <x:v>93</x:v>
      </x:c>
      <x:c r="B101" s="8" t="str">
        <x:v>Regent Thailand Hotel รามคำแหง22</x:v>
      </x:c>
      <x:c r="C101" s="8" t="str">
        <x:v>กรุงเทพมหานคร</x:v>
      </x:c>
      <x:c r="D101" s="8" t="str">
        <x:v>พร้อมขาย</x:v>
      </x:c>
      <x:c r="E101" s="8" t="str">
        <x:v>ที่พัก</x:v>
      </x:c>
      <x:c r="F101" s="38" t="n">
        <x:v>46316</x:v>
      </x:c>
      <x:c r="G101" s="8" t="str">
        <x:v>TMF-040</x:v>
      </x:c>
      <x:c r="H101" s="39" t="str">
        <x:v>03</x:v>
      </x:c>
      <x:c r="I101" s="8" t="str">
        <x:v>Bangkok Muslim Heritage</x:v>
      </x:c>
      <x:c r="J101" s="8" t="str">
        <x:v>ตัวเลือกเสริม</x:v>
      </x:c>
      <x:c r="K101" s="8" t="str">
        <x:v>โรงแรมหรือรีสอร์ท</x:v>
      </x:c>
      <x:c r="L101" s="8" t="str">
        <x:f>INDEX('ประเมินเกณฑ์'!$AE$9:$AE$608,MATCH(G101,'ประเมินเกณฑ์'!$A$9:$A$608,0))</x:f>
        <x:v>รอประเมิน</x:v>
      </x:c>
      <x:c r="M101" s="8" t="str">
        <x:v>สถานที่ในจังหวัดเส้นทาง รอตรวจระยะทางและลำดับ</x:v>
      </x:c>
      <x:c r="N101" s="8" t="str">
        <x:v>ยังไม่ยืนยันการเปิดให้บริการปัจจุบัน</x:v>
      </x:c>
      <x:c r="O101" s="40" t="n">
        <x:v>46315</x:v>
      </x:c>
    </x:row>
    <x:row r="102" ht="38" customHeight="1">
      <x:c r="A102" s="9" t="n">
        <x:v>94</x:v>
      </x:c>
      <x:c r="B102" s="8" t="str">
        <x:v>Rembrandt Hotel Bangkok</x:v>
      </x:c>
      <x:c r="C102" s="8" t="str">
        <x:v>กรุงเทพมหานคร</x:v>
      </x:c>
      <x:c r="D102" s="8" t="str">
        <x:v>พัฒนาเพื่อพร้อมขาย</x:v>
      </x:c>
      <x:c r="E102" s="8" t="str">
        <x:v>ที่พัก</x:v>
      </x:c>
      <x:c r="F102" s="38" t="n">
        <x:v>46316</x:v>
      </x:c>
      <x:c r="G102" s="8" t="str">
        <x:v>GMHI-2</x:v>
      </x:c>
      <x:c r="H102" s="39" t="str">
        <x:v>03</x:v>
      </x:c>
      <x:c r="I102" s="8" t="str">
        <x:v>Bangkok Muslim Heritage</x:v>
      </x:c>
      <x:c r="J102" s="8" t="str">
        <x:v>ตัวเลือกเสริม</x:v>
      </x:c>
      <x:c r="K102" s="8" t="str">
        <x:v>ที่พัก</x:v>
      </x:c>
      <x:c r="L102" s="8" t="str">
        <x:f>INDEX('ประเมินเกณฑ์'!$AE$9:$AE$608,MATCH(G102,'ประเมินเกณฑ์'!$A$9:$A$608,0))</x:f>
        <x:v>รอประเมิน</x:v>
      </x:c>
      <x:c r="M102" s="8" t="str">
        <x:v>สถานที่ในจังหวัดเส้นทาง รอตรวจระยะทางและลำดับ</x:v>
      </x:c>
      <x:c r="N102" s="8" t="str">
        <x:v>ยังไม่ยืนยันการเปิดให้บริการปัจจุบัน</x:v>
      </x:c>
      <x:c r="O102" s="40" t="n">
        <x:v>46315</x:v>
      </x:c>
    </x:row>
    <x:row r="103" ht="38" customHeight="1">
      <x:c r="A103" s="9" t="n">
        <x:v>95</x:v>
      </x:c>
      <x:c r="B103" s="8" t="str">
        <x:v>Rotinis Hostel</x:v>
      </x:c>
      <x:c r="C103" s="8" t="str">
        <x:v>กรุงเทพมหานคร</x:v>
      </x:c>
      <x:c r="D103" s="8" t="str">
        <x:v>พร้อมขาย</x:v>
      </x:c>
      <x:c r="E103" s="8" t="str">
        <x:v>ที่พัก</x:v>
      </x:c>
      <x:c r="F103" s="38" t="n">
        <x:v>46316</x:v>
      </x:c>
      <x:c r="G103" s="8" t="str">
        <x:v>TMF-065</x:v>
      </x:c>
      <x:c r="H103" s="39" t="str">
        <x:v>03</x:v>
      </x:c>
      <x:c r="I103" s="8" t="str">
        <x:v>Bangkok Muslim Heritage</x:v>
      </x:c>
      <x:c r="J103" s="8" t="str">
        <x:v>ตัวเลือกเสริม</x:v>
      </x:c>
      <x:c r="K103" s="8" t="str">
        <x:v>ที่พัก (ตรวจประเภทจากชื่อและข้อมูลประกอบ)</x:v>
      </x:c>
      <x:c r="L103" s="8" t="str">
        <x:f>INDEX('ประเมินเกณฑ์'!$AE$9:$AE$608,MATCH(G103,'ประเมินเกณฑ์'!$A$9:$A$608,0))</x:f>
        <x:v>รอประเมิน</x:v>
      </x:c>
      <x:c r="M103" s="8" t="str">
        <x:v>สถานที่ในจังหวัดเส้นทาง รอตรวจระยะทางและลำดับ</x:v>
      </x:c>
      <x:c r="N103" s="8" t="str">
        <x:v>ยังไม่ยืนยันการเปิดให้บริการปัจจุบัน</x:v>
      </x:c>
      <x:c r="O103" s="40" t="n">
        <x:v>46315</x:v>
      </x:c>
    </x:row>
    <x:row r="104" ht="38" customHeight="1">
      <x:c r="A104" s="9" t="n">
        <x:v>96</x:v>
      </x:c>
      <x:c r="B104" s="8" t="str">
        <x:v>The Cozy 77</x:v>
      </x:c>
      <x:c r="C104" s="8" t="str">
        <x:v>กรุงเทพมหานคร</x:v>
      </x:c>
      <x:c r="D104" s="8" t="str">
        <x:v>พัฒนาเพื่อพร้อมขาย</x:v>
      </x:c>
      <x:c r="E104" s="8" t="str">
        <x:v>ที่พัก</x:v>
      </x:c>
      <x:c r="F104" s="38" t="n">
        <x:v>46316</x:v>
      </x:c>
      <x:c r="G104" s="8" t="str">
        <x:v>GMHI-21</x:v>
      </x:c>
      <x:c r="H104" s="39" t="str">
        <x:v>03</x:v>
      </x:c>
      <x:c r="I104" s="8" t="str">
        <x:v>Bangkok Muslim Heritage</x:v>
      </x:c>
      <x:c r="J104" s="8" t="str">
        <x:v>ตัวเลือกเสริม</x:v>
      </x:c>
      <x:c r="K104" s="8" t="str">
        <x:v>ที่พัก</x:v>
      </x:c>
      <x:c r="L104" s="8" t="str">
        <x:f>INDEX('ประเมินเกณฑ์'!$AE$9:$AE$608,MATCH(G104,'ประเมินเกณฑ์'!$A$9:$A$608,0))</x:f>
        <x:v>รอประเมิน</x:v>
      </x:c>
      <x:c r="M104" s="8" t="str">
        <x:v>สถานที่ในจังหวัดเส้นทาง รอตรวจระยะทางและลำดับ</x:v>
      </x:c>
      <x:c r="N104" s="8" t="str">
        <x:v>ยังไม่ยืนยันการเปิดให้บริการปัจจุบัน</x:v>
      </x:c>
      <x:c r="O104" s="40" t="n">
        <x:v>46315</x:v>
      </x:c>
    </x:row>
    <x:row r="105" ht="38" customHeight="1">
      <x:c r="A105" s="9" t="n">
        <x:v>97</x:v>
      </x:c>
      <x:c r="B105" s="8" t="str">
        <x:v>The Grand Fourwings Convention Hotel Bangkok</x:v>
      </x:c>
      <x:c r="C105" s="8" t="str">
        <x:v>กรุงเทพมหานคร</x:v>
      </x:c>
      <x:c r="D105" s="8" t="str">
        <x:v>พัฒนาเพื่อพร้อมขาย</x:v>
      </x:c>
      <x:c r="E105" s="8" t="str">
        <x:v>ที่พัก</x:v>
      </x:c>
      <x:c r="F105" s="38" t="n">
        <x:v>46316</x:v>
      </x:c>
      <x:c r="G105" s="8" t="str">
        <x:v>GMHI-56</x:v>
      </x:c>
      <x:c r="H105" s="39" t="str">
        <x:v>03</x:v>
      </x:c>
      <x:c r="I105" s="8" t="str">
        <x:v>Bangkok Muslim Heritage</x:v>
      </x:c>
      <x:c r="J105" s="8" t="str">
        <x:v>ตัวเลือกเสริม</x:v>
      </x:c>
      <x:c r="K105" s="8" t="str">
        <x:v>ที่พัก</x:v>
      </x:c>
      <x:c r="L105" s="8" t="str">
        <x:f>INDEX('ประเมินเกณฑ์'!$AE$9:$AE$608,MATCH(G105,'ประเมินเกณฑ์'!$A$9:$A$608,0))</x:f>
        <x:v>รอประเมิน</x:v>
      </x:c>
      <x:c r="M105" s="8" t="str">
        <x:v>สถานที่ในจังหวัดเส้นทาง รอตรวจระยะทางและลำดับ</x:v>
      </x:c>
      <x:c r="N105" s="8" t="str">
        <x:v>ยังไม่ยืนยันการเปิดให้บริการปัจจุบัน</x:v>
      </x:c>
      <x:c r="O105" s="40" t="n">
        <x:v>46315</x:v>
      </x:c>
    </x:row>
    <x:row r="106" ht="38" customHeight="1">
      <x:c r="A106" s="9" t="n">
        <x:v>98</x:v>
      </x:c>
      <x:c r="B106" s="8" t="str">
        <x:v>The Riski Hotel &amp; Residence Bangphlat Station</x:v>
      </x:c>
      <x:c r="C106" s="8" t="str">
        <x:v>กรุงเทพมหานคร</x:v>
      </x:c>
      <x:c r="D106" s="8" t="str">
        <x:v>พร้อมขาย</x:v>
      </x:c>
      <x:c r="E106" s="8" t="str">
        <x:v>ที่พัก</x:v>
      </x:c>
      <x:c r="F106" s="38" t="n">
        <x:v>46316</x:v>
      </x:c>
      <x:c r="G106" s="8" t="str">
        <x:v>TMF-041</x:v>
      </x:c>
      <x:c r="H106" s="39" t="str">
        <x:v>03</x:v>
      </x:c>
      <x:c r="I106" s="8" t="str">
        <x:v>Bangkok Muslim Heritage</x:v>
      </x:c>
      <x:c r="J106" s="8" t="str">
        <x:v>ตัวเลือกเสริม</x:v>
      </x:c>
      <x:c r="K106" s="8" t="str">
        <x:v>โรงแรมหรือรีสอร์ท</x:v>
      </x:c>
      <x:c r="L106" s="8" t="str">
        <x:f>INDEX('ประเมินเกณฑ์'!$AE$9:$AE$608,MATCH(G106,'ประเมินเกณฑ์'!$A$9:$A$608,0))</x:f>
        <x:v>รอประเมิน</x:v>
      </x:c>
      <x:c r="M106" s="8" t="str">
        <x:v>สถานที่ในจังหวัดเส้นทาง รอตรวจระยะทางและลำดับ</x:v>
      </x:c>
      <x:c r="N106" s="8" t="str">
        <x:v>ยังไม่ยืนยันการเปิดให้บริการปัจจุบัน</x:v>
      </x:c>
      <x:c r="O106" s="40" t="n">
        <x:v>46315</x:v>
      </x:c>
    </x:row>
    <x:row r="107" ht="38" customHeight="1">
      <x:c r="A107" s="9" t="n">
        <x:v>99</x:v>
      </x:c>
      <x:c r="B107" s="8" t="str">
        <x:v>The Suan Dusit Place</x:v>
      </x:c>
      <x:c r="C107" s="8" t="str">
        <x:v>กรุงเทพมหานคร</x:v>
      </x:c>
      <x:c r="D107" s="8" t="str">
        <x:v>พัฒนาเพื่อพร้อมขาย</x:v>
      </x:c>
      <x:c r="E107" s="8" t="str">
        <x:v>ที่พัก</x:v>
      </x:c>
      <x:c r="F107" s="38" t="n">
        <x:v>46316</x:v>
      </x:c>
      <x:c r="G107" s="8" t="str">
        <x:v>GMHI-31</x:v>
      </x:c>
      <x:c r="H107" s="39" t="str">
        <x:v>03</x:v>
      </x:c>
      <x:c r="I107" s="8" t="str">
        <x:v>Bangkok Muslim Heritage</x:v>
      </x:c>
      <x:c r="J107" s="8" t="str">
        <x:v>ตัวเลือกเสริม</x:v>
      </x:c>
      <x:c r="K107" s="8" t="str">
        <x:v>ที่พัก</x:v>
      </x:c>
      <x:c r="L107" s="8" t="str">
        <x:f>INDEX('ประเมินเกณฑ์'!$AE$9:$AE$608,MATCH(G107,'ประเมินเกณฑ์'!$A$9:$A$608,0))</x:f>
        <x:v>รอประเมิน</x:v>
      </x:c>
      <x:c r="M107" s="8" t="str">
        <x:v>สถานที่ในจังหวัดเส้นทาง รอตรวจระยะทางและลำดับ</x:v>
      </x:c>
      <x:c r="N107" s="8" t="str">
        <x:v>ยังไม่ยืนยันการเปิดให้บริการปัจจุบัน</x:v>
      </x:c>
      <x:c r="O107" s="40" t="n">
        <x:v>46315</x:v>
      </x:c>
    </x:row>
    <x:row r="108" ht="38" customHeight="1">
      <x:c r="A108" s="9" t="n">
        <x:v>100</x:v>
      </x:c>
      <x:c r="B108" s="8" t="str">
        <x:v>W22 by Burasari</x:v>
      </x:c>
      <x:c r="C108" s="8" t="str">
        <x:v>กรุงเทพมหานคร</x:v>
      </x:c>
      <x:c r="D108" s="8" t="str">
        <x:v>มีศักยภาพ แต่ต้องพัฒนามาตรฐาน</x:v>
      </x:c>
      <x:c r="E108" s="8" t="str">
        <x:v>ที่พัก</x:v>
      </x:c>
      <x:c r="F108" s="38" t="n">
        <x:v>46316</x:v>
      </x:c>
      <x:c r="G108" s="8" t="str">
        <x:v>GMHI-30</x:v>
      </x:c>
      <x:c r="H108" s="39" t="str">
        <x:v>03</x:v>
      </x:c>
      <x:c r="I108" s="8" t="str">
        <x:v>Bangkok Muslim Heritage</x:v>
      </x:c>
      <x:c r="J108" s="8" t="str">
        <x:v>ตัวเลือกเสริม</x:v>
      </x:c>
      <x:c r="K108" s="8" t="str">
        <x:v>ที่พัก</x:v>
      </x:c>
      <x:c r="L108" s="8" t="str">
        <x:f>INDEX('ประเมินเกณฑ์'!$AE$9:$AE$608,MATCH(G108,'ประเมินเกณฑ์'!$A$9:$A$608,0))</x:f>
        <x:v>รอประเมิน</x:v>
      </x:c>
      <x:c r="M108" s="8" t="str">
        <x:v>สถานที่ในจังหวัดเส้นทาง รอตรวจระยะทางและลำดับ</x:v>
      </x:c>
      <x:c r="N108" s="8" t="str">
        <x:v>ยังไม่ยืนยันการเปิดให้บริการปัจจุบัน</x:v>
      </x:c>
      <x:c r="O108" s="40" t="n">
        <x:v>46315</x:v>
      </x:c>
    </x:row>
    <x:row r="109" ht="38" customHeight="1">
      <x:c r="A109" s="9" t="n">
        <x:v>101</x:v>
      </x:c>
      <x:c r="B109" s="8" t="str">
        <x:v>Zayn Hotel Bangkok</x:v>
      </x:c>
      <x:c r="C109" s="8" t="str">
        <x:v>กรุงเทพมหานคร</x:v>
      </x:c>
      <x:c r="D109" s="8" t="str">
        <x:v>พร้อมขาย</x:v>
      </x:c>
      <x:c r="E109" s="8" t="str">
        <x:v>ที่พัก</x:v>
      </x:c>
      <x:c r="F109" s="38" t="n">
        <x:v>46316</x:v>
      </x:c>
      <x:c r="G109" s="8" t="str">
        <x:v>TMF-042</x:v>
      </x:c>
      <x:c r="H109" s="39" t="str">
        <x:v>03</x:v>
      </x:c>
      <x:c r="I109" s="8" t="str">
        <x:v>Bangkok Muslim Heritage</x:v>
      </x:c>
      <x:c r="J109" s="8" t="str">
        <x:v>ตัวเลือกเสริม</x:v>
      </x:c>
      <x:c r="K109" s="8" t="str">
        <x:v>โรงแรมหรือรีสอร์ท</x:v>
      </x:c>
      <x:c r="L109" s="8" t="str">
        <x:f>INDEX('ประเมินเกณฑ์'!$AE$9:$AE$608,MATCH(G109,'ประเมินเกณฑ์'!$A$9:$A$608,0))</x:f>
        <x:v>รอประเมิน</x:v>
      </x:c>
      <x:c r="M109" s="8" t="str">
        <x:v>สถานที่ในจังหวัดเส้นทาง รอตรวจระยะทางและลำดับ</x:v>
      </x:c>
      <x:c r="N109" s="8" t="str">
        <x:v>ยังไม่ยืนยันการเปิดให้บริการปัจจุบัน</x:v>
      </x:c>
      <x:c r="O109" s="40" t="n">
        <x:v>46315</x:v>
      </x:c>
    </x:row>
    <x:row r="110" ht="38" customHeight="1">
      <x:c r="A110" s="9" t="n">
        <x:v>102</x:v>
      </x:c>
      <x:c r="B110" s="8" t="str">
        <x:v>มุสลิมโฮม2 ห้องพักรายวัน</x:v>
      </x:c>
      <x:c r="C110" s="8" t="str">
        <x:v>กรุงเทพมหานคร</x:v>
      </x:c>
      <x:c r="D110" s="8" t="str">
        <x:v>พร้อมขาย</x:v>
      </x:c>
      <x:c r="E110" s="8" t="str">
        <x:v>ที่พัก</x:v>
      </x:c>
      <x:c r="F110" s="38" t="n">
        <x:v>46316</x:v>
      </x:c>
      <x:c r="G110" s="8" t="str">
        <x:v>TMF-083</x:v>
      </x:c>
      <x:c r="H110" s="39" t="str">
        <x:v>03</x:v>
      </x:c>
      <x:c r="I110" s="8" t="str">
        <x:v>Bangkok Muslim Heritage</x:v>
      </x:c>
      <x:c r="J110" s="8" t="str">
        <x:v>ตัวเลือกเสริม</x:v>
      </x:c>
      <x:c r="K110" s="8" t="str">
        <x:v>ที่พัก (ตรวจประเภทจากชื่อและข้อมูลประกอบ)</x:v>
      </x:c>
      <x:c r="L110" s="8" t="str">
        <x:f>INDEX('ประเมินเกณฑ์'!$AE$9:$AE$608,MATCH(G110,'ประเมินเกณฑ์'!$A$9:$A$608,0))</x:f>
        <x:v>รอประเมิน</x:v>
      </x:c>
      <x:c r="M110" s="8" t="str">
        <x:v>สถานที่ในจังหวัดเส้นทาง รอตรวจระยะทางและลำดับ</x:v>
      </x:c>
      <x:c r="N110" s="8" t="str">
        <x:v>ยังไม่ยืนยันการเปิดให้บริการปัจจุบัน</x:v>
      </x:c>
      <x:c r="O110" s="40" t="n">
        <x:v>46315</x:v>
      </x:c>
    </x:row>
    <x:row r="111" ht="38" customHeight="1">
      <x:c r="A111" s="9" t="n">
        <x:v>103</x:v>
      </x:c>
      <x:c r="B111" s="8" t="str">
        <x:v>รัชดา บูทีค โฮเทล</x:v>
      </x:c>
      <x:c r="C111" s="8" t="str">
        <x:v>กรุงเทพมหานคร</x:v>
      </x:c>
      <x:c r="D111" s="8" t="str">
        <x:v>มีศักยภาพ แต่ต้องพัฒนามาตรฐาน</x:v>
      </x:c>
      <x:c r="E111" s="8" t="str">
        <x:v>ที่พัก</x:v>
      </x:c>
      <x:c r="F111" s="38" t="n">
        <x:v>46316</x:v>
      </x:c>
      <x:c r="G111" s="8" t="str">
        <x:v>TMF-475</x:v>
      </x:c>
      <x:c r="H111" s="39" t="str">
        <x:v>03</x:v>
      </x:c>
      <x:c r="I111" s="8" t="str">
        <x:v>Bangkok Muslim Heritage</x:v>
      </x:c>
      <x:c r="J111" s="8" t="str">
        <x:v>ตัวเลือกเสริม</x:v>
      </x:c>
      <x:c r="K111" s="8" t="str">
        <x:v>โรงแรมหรือรีสอร์ท</x:v>
      </x:c>
      <x:c r="L111" s="8" t="str">
        <x:f>INDEX('ประเมินเกณฑ์'!$AE$9:$AE$608,MATCH(G111,'ประเมินเกณฑ์'!$A$9:$A$608,0))</x:f>
        <x:v>รอประเมิน</x:v>
      </x:c>
      <x:c r="M111" s="8" t="str">
        <x:v>สถานที่ในจังหวัดเส้นทาง รอตรวจระยะทางและลำดับ</x:v>
      </x:c>
      <x:c r="N111" s="8" t="str">
        <x:v>ยังไม่ยืนยันการเปิดให้บริการปัจจุบัน</x:v>
      </x:c>
      <x:c r="O111" s="40" t="n">
        <x:v>46315</x:v>
      </x:c>
    </x:row>
    <x:row r="112" ht="38" customHeight="1">
      <x:c r="A112" s="9" t="n">
        <x:v>104</x:v>
      </x:c>
      <x:c r="B112" s="8" t="str">
        <x:v>โซลิแทร์ แบงค็อก สุขุมวิท 11</x:v>
      </x:c>
      <x:c r="C112" s="8" t="str">
        <x:v>กรุงเทพมหานคร</x:v>
      </x:c>
      <x:c r="D112" s="8" t="str">
        <x:v>มีศักยภาพ แต่ต้องพัฒนามาตรฐาน</x:v>
      </x:c>
      <x:c r="E112" s="8" t="str">
        <x:v>ที่พัก</x:v>
      </x:c>
      <x:c r="F112" s="38" t="n">
        <x:v>46316</x:v>
      </x:c>
      <x:c r="G112" s="8" t="str">
        <x:v>TMF-477</x:v>
      </x:c>
      <x:c r="H112" s="39" t="str">
        <x:v>03</x:v>
      </x:c>
      <x:c r="I112" s="8" t="str">
        <x:v>Bangkok Muslim Heritage</x:v>
      </x:c>
      <x:c r="J112" s="8" t="str">
        <x:v>ตัวเลือกเสริม</x:v>
      </x:c>
      <x:c r="K112" s="8" t="str">
        <x:v>โรงแรมหรือรีสอร์ท</x:v>
      </x:c>
      <x:c r="L112" s="8" t="str">
        <x:f>INDEX('ประเมินเกณฑ์'!$AE$9:$AE$608,MATCH(G112,'ประเมินเกณฑ์'!$A$9:$A$608,0))</x:f>
        <x:v>รอประเมิน</x:v>
      </x:c>
      <x:c r="M112" s="8" t="str">
        <x:v>สถานที่ในจังหวัดเส้นทาง รอตรวจระยะทางและลำดับ</x:v>
      </x:c>
      <x:c r="N112" s="8" t="str">
        <x:v>ยังไม่ยืนยันการเปิดให้บริการปัจจุบัน</x:v>
      </x:c>
      <x:c r="O112" s="40" t="n">
        <x:v>46315</x:v>
      </x:c>
    </x:row>
    <x:row r="113" ht="38" customHeight="1">
      <x:c r="A113" s="9" t="n">
        <x:v>105</x:v>
      </x:c>
      <x:c r="B113" s="8" t="str">
        <x:v>โรงแรม วิลล่า เดอร์ ข้าวสาร</x:v>
      </x:c>
      <x:c r="C113" s="8" t="str">
        <x:v>กรุงเทพมหานคร</x:v>
      </x:c>
      <x:c r="D113" s="8" t="str">
        <x:v>มีศักยภาพ แต่ต้องพัฒนามาตรฐาน</x:v>
      </x:c>
      <x:c r="E113" s="8" t="str">
        <x:v>ที่พัก</x:v>
      </x:c>
      <x:c r="F113" s="38" t="n">
        <x:v>46316</x:v>
      </x:c>
      <x:c r="G113" s="8" t="str">
        <x:v>TMF-478</x:v>
      </x:c>
      <x:c r="H113" s="39" t="str">
        <x:v>03</x:v>
      </x:c>
      <x:c r="I113" s="8" t="str">
        <x:v>Bangkok Muslim Heritage</x:v>
      </x:c>
      <x:c r="J113" s="8" t="str">
        <x:v>ตัวเลือกเสริม</x:v>
      </x:c>
      <x:c r="K113" s="8" t="str">
        <x:v>โรงแรมหรือรีสอร์ท</x:v>
      </x:c>
      <x:c r="L113" s="8" t="str">
        <x:f>INDEX('ประเมินเกณฑ์'!$AE$9:$AE$608,MATCH(G113,'ประเมินเกณฑ์'!$A$9:$A$608,0))</x:f>
        <x:v>รอประเมิน</x:v>
      </x:c>
      <x:c r="M113" s="8" t="str">
        <x:v>สถานที่ในจังหวัดเส้นทาง รอตรวจระยะทางและลำดับ</x:v>
      </x:c>
      <x:c r="N113" s="8" t="str">
        <x:v>ยังไม่ยืนยันการเปิดให้บริการปัจจุบัน</x:v>
      </x:c>
      <x:c r="O113" s="40" t="n">
        <x:v>46315</x:v>
      </x:c>
    </x:row>
    <x:row r="114" ht="38" customHeight="1">
      <x:c r="A114" s="9" t="n">
        <x:v>106</x:v>
      </x:c>
      <x:c r="B114" s="8" t="str">
        <x:v>โรงแรม อิมเพรส ห้วยขวาง</x:v>
      </x:c>
      <x:c r="C114" s="8" t="str">
        <x:v>กรุงเทพมหานคร</x:v>
      </x:c>
      <x:c r="D114" s="8" t="str">
        <x:v>มีศักยภาพ แต่ต้องพัฒนามาตรฐาน</x:v>
      </x:c>
      <x:c r="E114" s="8" t="str">
        <x:v>ที่พัก</x:v>
      </x:c>
      <x:c r="F114" s="38" t="n">
        <x:v>46316</x:v>
      </x:c>
      <x:c r="G114" s="8" t="str">
        <x:v>TMF-479</x:v>
      </x:c>
      <x:c r="H114" s="39" t="str">
        <x:v>03</x:v>
      </x:c>
      <x:c r="I114" s="8" t="str">
        <x:v>Bangkok Muslim Heritage</x:v>
      </x:c>
      <x:c r="J114" s="8" t="str">
        <x:v>ตัวเลือกเสริม</x:v>
      </x:c>
      <x:c r="K114" s="8" t="str">
        <x:v>โรงแรมหรือรีสอร์ท</x:v>
      </x:c>
      <x:c r="L114" s="8" t="str">
        <x:f>INDEX('ประเมินเกณฑ์'!$AE$9:$AE$608,MATCH(G114,'ประเมินเกณฑ์'!$A$9:$A$608,0))</x:f>
        <x:v>รอประเมิน</x:v>
      </x:c>
      <x:c r="M114" s="8" t="str">
        <x:v>สถานที่ในจังหวัดเส้นทาง รอตรวจระยะทางและลำดับ</x:v>
      </x:c>
      <x:c r="N114" s="8" t="str">
        <x:v>ยังไม่ยืนยันการเปิดให้บริการปัจจุบัน</x:v>
      </x:c>
      <x:c r="O114" s="40" t="n">
        <x:v>46315</x:v>
      </x:c>
    </x:row>
    <x:row r="115" ht="38" customHeight="1">
      <x:c r="A115" s="9" t="n">
        <x:v>107</x:v>
      </x:c>
      <x:c r="B115" s="8" t="str">
        <x:v>โรงแรม เจทูเอส ประตูน้ำ</x:v>
      </x:c>
      <x:c r="C115" s="8" t="str">
        <x:v>กรุงเทพมหานคร</x:v>
      </x:c>
      <x:c r="D115" s="8" t="str">
        <x:v>มีศักยภาพ แต่ต้องพัฒนามาตรฐาน</x:v>
      </x:c>
      <x:c r="E115" s="8" t="str">
        <x:v>ที่พัก</x:v>
      </x:c>
      <x:c r="F115" s="38" t="n">
        <x:v>46316</x:v>
      </x:c>
      <x:c r="G115" s="8" t="str">
        <x:v>TMF-480</x:v>
      </x:c>
      <x:c r="H115" s="39" t="str">
        <x:v>03</x:v>
      </x:c>
      <x:c r="I115" s="8" t="str">
        <x:v>Bangkok Muslim Heritage</x:v>
      </x:c>
      <x:c r="J115" s="8" t="str">
        <x:v>ตัวเลือกเสริม</x:v>
      </x:c>
      <x:c r="K115" s="8" t="str">
        <x:v>โรงแรมหรือรีสอร์ท</x:v>
      </x:c>
      <x:c r="L115" s="8" t="str">
        <x:f>INDEX('ประเมินเกณฑ์'!$AE$9:$AE$608,MATCH(G115,'ประเมินเกณฑ์'!$A$9:$A$608,0))</x:f>
        <x:v>รอประเมิน</x:v>
      </x:c>
      <x:c r="M115" s="8" t="str">
        <x:v>สถานที่ในจังหวัดเส้นทาง รอตรวจระยะทางและลำดับ</x:v>
      </x:c>
      <x:c r="N115" s="8" t="str">
        <x:v>ยังไม่ยืนยันการเปิดให้บริการปัจจุบัน</x:v>
      </x:c>
      <x:c r="O115" s="40" t="n">
        <x:v>46315</x:v>
      </x:c>
    </x:row>
    <x:row r="116" ht="38" customHeight="1">
      <x:c r="A116" s="9" t="n">
        <x:v>108</x:v>
      </x:c>
      <x:c r="B116" s="8" t="str">
        <x:v>โรงแรม เดอะ คอตตอน ศาลาแดง</x:v>
      </x:c>
      <x:c r="C116" s="8" t="str">
        <x:v>กรุงเทพมหานคร</x:v>
      </x:c>
      <x:c r="D116" s="8" t="str">
        <x:v>มีศักยภาพ แต่ต้องพัฒนามาตรฐาน</x:v>
      </x:c>
      <x:c r="E116" s="8" t="str">
        <x:v>ที่พัก</x:v>
      </x:c>
      <x:c r="F116" s="38" t="n">
        <x:v>46316</x:v>
      </x:c>
      <x:c r="G116" s="8" t="str">
        <x:v>TMF-483</x:v>
      </x:c>
      <x:c r="H116" s="39" t="str">
        <x:v>03</x:v>
      </x:c>
      <x:c r="I116" s="8" t="str">
        <x:v>Bangkok Muslim Heritage</x:v>
      </x:c>
      <x:c r="J116" s="8" t="str">
        <x:v>ตัวเลือกเสริม</x:v>
      </x:c>
      <x:c r="K116" s="8" t="str">
        <x:v>โรงแรมหรือรีสอร์ท</x:v>
      </x:c>
      <x:c r="L116" s="8" t="str">
        <x:f>INDEX('ประเมินเกณฑ์'!$AE$9:$AE$608,MATCH(G116,'ประเมินเกณฑ์'!$A$9:$A$608,0))</x:f>
        <x:v>รอประเมิน</x:v>
      </x:c>
      <x:c r="M116" s="8" t="str">
        <x:v>สถานที่ในจังหวัดเส้นทาง รอตรวจระยะทางและลำดับ</x:v>
      </x:c>
      <x:c r="N116" s="8" t="str">
        <x:v>ยังไม่ยืนยันการเปิดให้บริการปัจจุบัน</x:v>
      </x:c>
      <x:c r="O116" s="40" t="n">
        <x:v>46315</x:v>
      </x:c>
    </x:row>
    <x:row r="117" ht="38" customHeight="1">
      <x:c r="A117" s="9" t="n">
        <x:v>109</x:v>
      </x:c>
      <x:c r="B117" s="8" t="str">
        <x:v>โรงแรม เดอะ สยาม</x:v>
      </x:c>
      <x:c r="C117" s="8" t="str">
        <x:v>กรุงเทพมหานคร</x:v>
      </x:c>
      <x:c r="D117" s="8" t="str">
        <x:v>มีศักยภาพ แต่ต้องพัฒนามาตรฐาน</x:v>
      </x:c>
      <x:c r="E117" s="8" t="str">
        <x:v>ที่พัก</x:v>
      </x:c>
      <x:c r="F117" s="38" t="n">
        <x:v>46316</x:v>
      </x:c>
      <x:c r="G117" s="8" t="str">
        <x:v>TMF-484</x:v>
      </x:c>
      <x:c r="H117" s="39" t="str">
        <x:v>03</x:v>
      </x:c>
      <x:c r="I117" s="8" t="str">
        <x:v>Bangkok Muslim Heritage</x:v>
      </x:c>
      <x:c r="J117" s="8" t="str">
        <x:v>ตัวเลือกเสริม</x:v>
      </x:c>
      <x:c r="K117" s="8" t="str">
        <x:v>โรงแรมหรือรีสอร์ท</x:v>
      </x:c>
      <x:c r="L117" s="8" t="str">
        <x:f>INDEX('ประเมินเกณฑ์'!$AE$9:$AE$608,MATCH(G117,'ประเมินเกณฑ์'!$A$9:$A$608,0))</x:f>
        <x:v>รอประเมิน</x:v>
      </x:c>
      <x:c r="M117" s="8" t="str">
        <x:v>สถานที่ในจังหวัดเส้นทาง รอตรวจระยะทางและลำดับ</x:v>
      </x:c>
      <x:c r="N117" s="8" t="str">
        <x:v>ยังไม่ยืนยันการเปิดให้บริการปัจจุบัน</x:v>
      </x:c>
      <x:c r="O117" s="40" t="n">
        <x:v>46315</x:v>
      </x:c>
    </x:row>
    <x:row r="118" ht="38" customHeight="1">
      <x:c r="A118" s="9" t="n">
        <x:v>110</x:v>
      </x:c>
      <x:c r="B118" s="8" t="str">
        <x:v>โรงแรม เดอะ เซนต์ รีจิส กรุงเทพ</x:v>
      </x:c>
      <x:c r="C118" s="8" t="str">
        <x:v>กรุงเทพมหานคร</x:v>
      </x:c>
      <x:c r="D118" s="8" t="str">
        <x:v>มีศักยภาพ แต่ต้องพัฒนามาตรฐาน</x:v>
      </x:c>
      <x:c r="E118" s="8" t="str">
        <x:v>ที่พัก</x:v>
      </x:c>
      <x:c r="F118" s="38" t="n">
        <x:v>46316</x:v>
      </x:c>
      <x:c r="G118" s="8" t="str">
        <x:v>TMF-485</x:v>
      </x:c>
      <x:c r="H118" s="39" t="str">
        <x:v>03</x:v>
      </x:c>
      <x:c r="I118" s="8" t="str">
        <x:v>Bangkok Muslim Heritage</x:v>
      </x:c>
      <x:c r="J118" s="8" t="str">
        <x:v>ตัวเลือกเสริม</x:v>
      </x:c>
      <x:c r="K118" s="8" t="str">
        <x:v>โรงแรมหรือรีสอร์ท</x:v>
      </x:c>
      <x:c r="L118" s="8" t="str">
        <x:f>INDEX('ประเมินเกณฑ์'!$AE$9:$AE$608,MATCH(G118,'ประเมินเกณฑ์'!$A$9:$A$608,0))</x:f>
        <x:v>รอประเมิน</x:v>
      </x:c>
      <x:c r="M118" s="8" t="str">
        <x:v>สถานที่ในจังหวัดเส้นทาง รอตรวจระยะทางและลำดับ</x:v>
      </x:c>
      <x:c r="N118" s="8" t="str">
        <x:v>ยังไม่ยืนยันการเปิดให้บริการปัจจุบัน</x:v>
      </x:c>
      <x:c r="O118" s="40" t="n">
        <x:v>46315</x:v>
      </x:c>
    </x:row>
    <x:row r="119" ht="38" customHeight="1">
      <x:c r="A119" s="9" t="n">
        <x:v>111</x:v>
      </x:c>
      <x:c r="B119" s="8" t="str">
        <x:v>โรงแรม เอส รัชดา เลเชอร์</x:v>
      </x:c>
      <x:c r="C119" s="8" t="str">
        <x:v>กรุงเทพมหานคร</x:v>
      </x:c>
      <x:c r="D119" s="8" t="str">
        <x:v>มีศักยภาพ แต่ต้องพัฒนามาตรฐาน</x:v>
      </x:c>
      <x:c r="E119" s="8" t="str">
        <x:v>ที่พัก</x:v>
      </x:c>
      <x:c r="F119" s="38" t="n">
        <x:v>46316</x:v>
      </x:c>
      <x:c r="G119" s="8" t="str">
        <x:v>TMF-486</x:v>
      </x:c>
      <x:c r="H119" s="39" t="str">
        <x:v>03</x:v>
      </x:c>
      <x:c r="I119" s="8" t="str">
        <x:v>Bangkok Muslim Heritage</x:v>
      </x:c>
      <x:c r="J119" s="8" t="str">
        <x:v>ตัวเลือกเสริม</x:v>
      </x:c>
      <x:c r="K119" s="8" t="str">
        <x:v>โรงแรมหรือรีสอร์ท</x:v>
      </x:c>
      <x:c r="L119" s="8" t="str">
        <x:f>INDEX('ประเมินเกณฑ์'!$AE$9:$AE$608,MATCH(G119,'ประเมินเกณฑ์'!$A$9:$A$608,0))</x:f>
        <x:v>รอประเมิน</x:v>
      </x:c>
      <x:c r="M119" s="8" t="str">
        <x:v>สถานที่ในจังหวัดเส้นทาง รอตรวจระยะทางและลำดับ</x:v>
      </x:c>
      <x:c r="N119" s="8" t="str">
        <x:v>ยังไม่ยืนยันการเปิดให้บริการปัจจุบัน</x:v>
      </x:c>
      <x:c r="O119" s="40" t="n">
        <x:v>46315</x:v>
      </x:c>
    </x:row>
    <x:row r="120" ht="38" customHeight="1">
      <x:c r="A120" s="9" t="n">
        <x:v>112</x:v>
      </x:c>
      <x:c r="B120" s="8" t="str">
        <x:v>โรงแรมดับเบิ้ลยู กรุงเทพ</x:v>
      </x:c>
      <x:c r="C120" s="8" t="str">
        <x:v>กรุงเทพมหานคร</x:v>
      </x:c>
      <x:c r="D120" s="8" t="str">
        <x:v>มีศักยภาพ แต่ต้องพัฒนามาตรฐาน</x:v>
      </x:c>
      <x:c r="E120" s="8" t="str">
        <x:v>ที่พัก</x:v>
      </x:c>
      <x:c r="F120" s="38" t="n">
        <x:v>46316</x:v>
      </x:c>
      <x:c r="G120" s="8" t="str">
        <x:v>TMF-487</x:v>
      </x:c>
      <x:c r="H120" s="39" t="str">
        <x:v>03</x:v>
      </x:c>
      <x:c r="I120" s="8" t="str">
        <x:v>Bangkok Muslim Heritage</x:v>
      </x:c>
      <x:c r="J120" s="8" t="str">
        <x:v>ตัวเลือกเสริม</x:v>
      </x:c>
      <x:c r="K120" s="8" t="str">
        <x:v>โรงแรมหรือรีสอร์ท</x:v>
      </x:c>
      <x:c r="L120" s="8" t="str">
        <x:f>INDEX('ประเมินเกณฑ์'!$AE$9:$AE$608,MATCH(G120,'ประเมินเกณฑ์'!$A$9:$A$608,0))</x:f>
        <x:v>รอประเมิน</x:v>
      </x:c>
      <x:c r="M120" s="8" t="str">
        <x:v>สถานที่ในจังหวัดเส้นทาง รอตรวจระยะทางและลำดับ</x:v>
      </x:c>
      <x:c r="N120" s="8" t="str">
        <x:v>ยังไม่ยืนยันการเปิดให้บริการปัจจุบัน</x:v>
      </x:c>
      <x:c r="O120" s="40" t="n">
        <x:v>46315</x:v>
      </x:c>
    </x:row>
    <x:row r="121" ht="38" customHeight="1">
      <x:c r="A121" s="9" t="n">
        <x:v>113</x:v>
      </x:c>
      <x:c r="B121" s="8" t="str">
        <x:v>โรงแรมบ้านเจ้าคุณ เคหะร่มเกล้า</x:v>
      </x:c>
      <x:c r="C121" s="8" t="str">
        <x:v>กรุงเทพมหานคร</x:v>
      </x:c>
      <x:c r="D121" s="8" t="str">
        <x:v>พร้อมขาย</x:v>
      </x:c>
      <x:c r="E121" s="8" t="str">
        <x:v>ที่พัก</x:v>
      </x:c>
      <x:c r="F121" s="38" t="n">
        <x:v>46316</x:v>
      </x:c>
      <x:c r="G121" s="8" t="str">
        <x:v>TMF-043</x:v>
      </x:c>
      <x:c r="H121" s="39" t="str">
        <x:v>03</x:v>
      </x:c>
      <x:c r="I121" s="8" t="str">
        <x:v>Bangkok Muslim Heritage</x:v>
      </x:c>
      <x:c r="J121" s="8" t="str">
        <x:v>ตัวเลือกเสริม</x:v>
      </x:c>
      <x:c r="K121" s="8" t="str">
        <x:v>โรงแรมหรือรีสอร์ท</x:v>
      </x:c>
      <x:c r="L121" s="8" t="str">
        <x:f>INDEX('ประเมินเกณฑ์'!$AE$9:$AE$608,MATCH(G121,'ประเมินเกณฑ์'!$A$9:$A$608,0))</x:f>
        <x:v>รอประเมิน</x:v>
      </x:c>
      <x:c r="M121" s="8" t="str">
        <x:v>สถานที่ในจังหวัดเส้นทาง รอตรวจระยะทางและลำดับ</x:v>
      </x:c>
      <x:c r="N121" s="8" t="str">
        <x:v>ยังไม่ยืนยันการเปิดให้บริการปัจจุบัน</x:v>
      </x:c>
      <x:c r="O121" s="40" t="n">
        <x:v>46315</x:v>
      </x:c>
    </x:row>
    <x:row r="122" ht="38" customHeight="1">
      <x:c r="A122" s="9" t="n">
        <x:v>114</x:v>
      </x:c>
      <x:c r="B122" s="8" t="str">
        <x:v>Abu Ali Cuisine By Iraqi Restaurant</x:v>
      </x:c>
      <x:c r="C122" s="8" t="str">
        <x:v>กรุงเทพมหานคร</x:v>
      </x:c>
      <x:c r="D122" s="8" t="str">
        <x:v>พร้อมขาย</x:v>
      </x:c>
      <x:c r="E122" s="8" t="str">
        <x:v>ร้านอาหารและคาเฟ่</x:v>
      </x:c>
      <x:c r="F122" s="38" t="n">
        <x:v>46316</x:v>
      </x:c>
      <x:c r="G122" s="8" t="str">
        <x:v>TMF-045</x:v>
      </x:c>
      <x:c r="H122" s="39" t="str">
        <x:v>03</x:v>
      </x:c>
      <x:c r="I122" s="8" t="str">
        <x:v>Bangkok Muslim Heritage</x:v>
      </x:c>
      <x:c r="J122" s="8" t="str">
        <x:v>ตัวเลือกเสริม</x:v>
      </x:c>
      <x:c r="K122" s="8" t="str">
        <x:v>ร้านอาหาร</x:v>
      </x:c>
      <x:c r="L122" s="8" t="str">
        <x:f>INDEX('ประเมินเกณฑ์'!$AE$9:$AE$608,MATCH(G122,'ประเมินเกณฑ์'!$A$9:$A$608,0))</x:f>
        <x:v>รอประเมิน</x:v>
      </x:c>
      <x:c r="M122" s="8" t="str">
        <x:v>สถานที่ในจังหวัดเส้นทาง รอตรวจระยะทางและลำดับ</x:v>
      </x:c>
      <x:c r="N122" s="8" t="str">
        <x:v>ยังไม่ยืนยันการเปิดให้บริการปัจจุบัน</x:v>
      </x:c>
      <x:c r="O122" s="40" t="n">
        <x:v>46315</x:v>
      </x:c>
    </x:row>
    <x:row r="123" ht="38" customHeight="1">
      <x:c r="A123" s="9" t="n">
        <x:v>115</x:v>
      </x:c>
      <x:c r="B123" s="8" t="str">
        <x:v>Alinga Tea &amp; Dining - อลิงก้า</x:v>
      </x:c>
      <x:c r="C123" s="8" t="str">
        <x:v>กรุงเทพมหานคร</x:v>
      </x:c>
      <x:c r="D123" s="8" t="str">
        <x:v>พร้อมขาย</x:v>
      </x:c>
      <x:c r="E123" s="8" t="str">
        <x:v>ร้านอาหารและคาเฟ่</x:v>
      </x:c>
      <x:c r="F123" s="38" t="n">
        <x:v>46316</x:v>
      </x:c>
      <x:c r="G123" s="8" t="str">
        <x:v>TMF-046</x:v>
      </x:c>
      <x:c r="H123" s="39" t="str">
        <x:v>03</x:v>
      </x:c>
      <x:c r="I123" s="8" t="str">
        <x:v>Bangkok Muslim Heritage</x:v>
      </x:c>
      <x:c r="J123" s="8" t="str">
        <x:v>ตัวเลือกเสริม</x:v>
      </x:c>
      <x:c r="K123" s="8" t="str">
        <x:v>ร้านอาหาร</x:v>
      </x:c>
      <x:c r="L123" s="8" t="str">
        <x:f>INDEX('ประเมินเกณฑ์'!$AE$9:$AE$608,MATCH(G123,'ประเมินเกณฑ์'!$A$9:$A$608,0))</x:f>
        <x:v>รอประเมิน</x:v>
      </x:c>
      <x:c r="M123" s="8" t="str">
        <x:v>สถานที่ในจังหวัดเส้นทาง รอตรวจระยะทางและลำดับ</x:v>
      </x:c>
      <x:c r="N123" s="8" t="str">
        <x:v>ยังไม่ยืนยันการเปิดให้บริการปัจจุบัน</x:v>
      </x:c>
      <x:c r="O123" s="40" t="n">
        <x:v>46315</x:v>
      </x:c>
    </x:row>
    <x:row r="124" ht="38" customHeight="1">
      <x:c r="A124" s="9" t="n">
        <x:v>116</x:v>
      </x:c>
      <x:c r="B124" s="8" t="str">
        <x:v>Bi'halalika Roti &amp; Bistro</x:v>
      </x:c>
      <x:c r="C124" s="8" t="str">
        <x:v>กรุงเทพมหานคร</x:v>
      </x:c>
      <x:c r="D124" s="8" t="str">
        <x:v>พัฒนาเพื่อพร้อมขาย</x:v>
      </x:c>
      <x:c r="E124" s="8" t="str">
        <x:v>ร้านอาหารและคาเฟ่</x:v>
      </x:c>
      <x:c r="F124" s="38" t="n">
        <x:v>46316</x:v>
      </x:c>
      <x:c r="G124" s="8" t="str">
        <x:v>GMHI-37</x:v>
      </x:c>
      <x:c r="H124" s="39" t="str">
        <x:v>03</x:v>
      </x:c>
      <x:c r="I124" s="8" t="str">
        <x:v>Bangkok Muslim Heritage</x:v>
      </x:c>
      <x:c r="J124" s="8" t="str">
        <x:v>ตัวเลือกเสริม</x:v>
      </x:c>
      <x:c r="K124" s="8" t="str">
        <x:v>ร้านอาหารและคาเฟ่</x:v>
      </x:c>
      <x:c r="L124" s="8" t="str">
        <x:f>INDEX('ประเมินเกณฑ์'!$AE$9:$AE$608,MATCH(G124,'ประเมินเกณฑ์'!$A$9:$A$608,0))</x:f>
        <x:v>รอประเมิน</x:v>
      </x:c>
      <x:c r="M124" s="8" t="str">
        <x:v>สถานที่ในจังหวัดเส้นทาง รอตรวจระยะทางและลำดับ</x:v>
      </x:c>
      <x:c r="N124" s="8" t="str">
        <x:v>ยังไม่ยืนยันการเปิดให้บริการปัจจุบัน</x:v>
      </x:c>
      <x:c r="O124" s="40" t="n">
        <x:v>46315</x:v>
      </x:c>
    </x:row>
    <x:row r="125" ht="38" customHeight="1">
      <x:c r="A125" s="9" t="n">
        <x:v>117</x:v>
      </x:c>
      <x:c r="B125" s="8" t="str">
        <x:v>Bigbeef Premium HALAL Buffet</x:v>
      </x:c>
      <x:c r="C125" s="8" t="str">
        <x:v>กรุงเทพมหานคร</x:v>
      </x:c>
      <x:c r="D125" s="8" t="str">
        <x:v>พร้อมขาย</x:v>
      </x:c>
      <x:c r="E125" s="8" t="str">
        <x:v>ร้านอาหารและคาเฟ่</x:v>
      </x:c>
      <x:c r="F125" s="38" t="n">
        <x:v>46316</x:v>
      </x:c>
      <x:c r="G125" s="8" t="str">
        <x:v>TMF-047</x:v>
      </x:c>
      <x:c r="H125" s="39" t="str">
        <x:v>03</x:v>
      </x:c>
      <x:c r="I125" s="8" t="str">
        <x:v>Bangkok Muslim Heritage</x:v>
      </x:c>
      <x:c r="J125" s="8" t="str">
        <x:v>ตัวเลือกเสริม</x:v>
      </x:c>
      <x:c r="K125" s="8" t="str">
        <x:v>ร้านอาหาร</x:v>
      </x:c>
      <x:c r="L125" s="8" t="str">
        <x:f>INDEX('ประเมินเกณฑ์'!$AE$9:$AE$608,MATCH(G125,'ประเมินเกณฑ์'!$A$9:$A$608,0))</x:f>
        <x:v>รอประเมิน</x:v>
      </x:c>
      <x:c r="M125" s="8" t="str">
        <x:v>สถานที่ในจังหวัดเส้นทาง รอตรวจระยะทางและลำดับ</x:v>
      </x:c>
      <x:c r="N125" s="8" t="str">
        <x:v>ยังไม่ยืนยันการเปิดให้บริการปัจจุบัน</x:v>
      </x:c>
      <x:c r="O125" s="40" t="n">
        <x:v>46315</x:v>
      </x:c>
    </x:row>
    <x:row r="126" ht="38" customHeight="1">
      <x:c r="A126" s="9" t="n">
        <x:v>118</x:v>
      </x:c>
      <x:c r="B126" s="8" t="str">
        <x:v>Good Mood  Cafe and Milk  Bar</x:v>
      </x:c>
      <x:c r="C126" s="8" t="str">
        <x:v>กรุงเทพมหานคร</x:v>
      </x:c>
      <x:c r="D126" s="8" t="str">
        <x:v>พร้อมขาย</x:v>
      </x:c>
      <x:c r="E126" s="8" t="str">
        <x:v>ร้านอาหารและคาเฟ่</x:v>
      </x:c>
      <x:c r="F126" s="38" t="n">
        <x:v>46316</x:v>
      </x:c>
      <x:c r="G126" s="8" t="str">
        <x:v>TMF-049</x:v>
      </x:c>
      <x:c r="H126" s="39" t="str">
        <x:v>03</x:v>
      </x:c>
      <x:c r="I126" s="8" t="str">
        <x:v>Bangkok Muslim Heritage</x:v>
      </x:c>
      <x:c r="J126" s="8" t="str">
        <x:v>ตัวเลือกเสริม</x:v>
      </x:c>
      <x:c r="K126" s="8" t="str">
        <x:v>คาเฟ่และร้านของหวาน</x:v>
      </x:c>
      <x:c r="L126" s="8" t="str">
        <x:f>INDEX('ประเมินเกณฑ์'!$AE$9:$AE$608,MATCH(G126,'ประเมินเกณฑ์'!$A$9:$A$608,0))</x:f>
        <x:v>รอประเมิน</x:v>
      </x:c>
      <x:c r="M126" s="8" t="str">
        <x:v>สถานที่ในจังหวัดเส้นทาง รอตรวจระยะทางและลำดับ</x:v>
      </x:c>
      <x:c r="N126" s="8" t="str">
        <x:v>ยังไม่ยืนยันการเปิดให้บริการปัจจุบัน</x:v>
      </x:c>
      <x:c r="O126" s="40" t="n">
        <x:v>46315</x:v>
      </x:c>
    </x:row>
    <x:row r="127" ht="38" customHeight="1">
      <x:c r="A127" s="9" t="n">
        <x:v>119</x:v>
      </x:c>
      <x:c r="B127" s="8" t="str">
        <x:v>Hilwah น้ำแซนวิชโบราณฮาลาล</x:v>
      </x:c>
      <x:c r="C127" s="8" t="str">
        <x:v>กรุงเทพมหานคร</x:v>
      </x:c>
      <x:c r="D127" s="8" t="str">
        <x:v>พร้อมขาย</x:v>
      </x:c>
      <x:c r="E127" s="8" t="str">
        <x:v>ร้านอาหารและคาเฟ่</x:v>
      </x:c>
      <x:c r="F127" s="38" t="n">
        <x:v>46316</x:v>
      </x:c>
      <x:c r="G127" s="8" t="str">
        <x:v>TMF-245</x:v>
      </x:c>
      <x:c r="H127" s="39" t="str">
        <x:v>03</x:v>
      </x:c>
      <x:c r="I127" s="8" t="str">
        <x:v>Bangkok Muslim Heritage</x:v>
      </x:c>
      <x:c r="J127" s="8" t="str">
        <x:v>ตัวเลือกเสริม</x:v>
      </x:c>
      <x:c r="K127" s="8" t="str">
        <x:v>ร้านอาหาร</x:v>
      </x:c>
      <x:c r="L127" s="8" t="str">
        <x:f>INDEX('ประเมินเกณฑ์'!$AE$9:$AE$608,MATCH(G127,'ประเมินเกณฑ์'!$A$9:$A$608,0))</x:f>
        <x:v>รอประเมิน</x:v>
      </x:c>
      <x:c r="M127" s="8" t="str">
        <x:v>สถานที่ในจังหวัดเส้นทาง รอตรวจระยะทางและลำดับ</x:v>
      </x:c>
      <x:c r="N127" s="8" t="str">
        <x:v>ยังไม่ยืนยันการเปิดให้บริการปัจจุบัน</x:v>
      </x:c>
      <x:c r="O127" s="40" t="n">
        <x:v>46315</x:v>
      </x:c>
    </x:row>
    <x:row r="128" ht="38" customHeight="1">
      <x:c r="A128" s="9" t="n">
        <x:v>120</x:v>
      </x:c>
      <x:c r="B128" s="8" t="str">
        <x:v>Jidrid Cafe</x:v>
      </x:c>
      <x:c r="C128" s="8" t="str">
        <x:v>กรุงเทพมหานคร</x:v>
      </x:c>
      <x:c r="D128" s="8" t="str">
        <x:v>พร้อมขาย</x:v>
      </x:c>
      <x:c r="E128" s="8" t="str">
        <x:v>ร้านอาหารและคาเฟ่</x:v>
      </x:c>
      <x:c r="F128" s="38" t="n">
        <x:v>46316</x:v>
      </x:c>
      <x:c r="G128" s="8" t="str">
        <x:v>TMF-052</x:v>
      </x:c>
      <x:c r="H128" s="39" t="str">
        <x:v>03</x:v>
      </x:c>
      <x:c r="I128" s="8" t="str">
        <x:v>Bangkok Muslim Heritage</x:v>
      </x:c>
      <x:c r="J128" s="8" t="str">
        <x:v>ตัวเลือกเสริม</x:v>
      </x:c>
      <x:c r="K128" s="8" t="str">
        <x:v>คาเฟ่และร้านของหวาน</x:v>
      </x:c>
      <x:c r="L128" s="8" t="str">
        <x:f>INDEX('ประเมินเกณฑ์'!$AE$9:$AE$608,MATCH(G128,'ประเมินเกณฑ์'!$A$9:$A$608,0))</x:f>
        <x:v>รอประเมิน</x:v>
      </x:c>
      <x:c r="M128" s="8" t="str">
        <x:v>สถานที่ในจังหวัดเส้นทาง รอตรวจระยะทางและลำดับ</x:v>
      </x:c>
      <x:c r="N128" s="8" t="str">
        <x:v>ยังไม่ยืนยันการเปิดให้บริการปัจจุบัน</x:v>
      </x:c>
      <x:c r="O128" s="40" t="n">
        <x:v>46315</x:v>
      </x:c>
    </x:row>
    <x:row r="129" ht="38" customHeight="1">
      <x:c r="A129" s="9" t="n">
        <x:v>121</x:v>
      </x:c>
      <x:c r="B129" s="8" t="str">
        <x:v>Just Salt Steak</x:v>
      </x:c>
      <x:c r="C129" s="8" t="str">
        <x:v>กรุงเทพมหานคร</x:v>
      </x:c>
      <x:c r="D129" s="8" t="str">
        <x:v>พร้อมขาย</x:v>
      </x:c>
      <x:c r="E129" s="8" t="str">
        <x:v>ร้านอาหารและคาเฟ่</x:v>
      </x:c>
      <x:c r="F129" s="38" t="n">
        <x:v>46316</x:v>
      </x:c>
      <x:c r="G129" s="8" t="str">
        <x:v>GMHI-33</x:v>
      </x:c>
      <x:c r="H129" s="39" t="str">
        <x:v>03</x:v>
      </x:c>
      <x:c r="I129" s="8" t="str">
        <x:v>Bangkok Muslim Heritage</x:v>
      </x:c>
      <x:c r="J129" s="8" t="str">
        <x:v>ตัวเลือกเสริม</x:v>
      </x:c>
      <x:c r="K129" s="8" t="str">
        <x:v>ร้านอาหารและคาเฟ่</x:v>
      </x:c>
      <x:c r="L129" s="8" t="str">
        <x:f>INDEX('ประเมินเกณฑ์'!$AE$9:$AE$608,MATCH(G129,'ประเมินเกณฑ์'!$A$9:$A$608,0))</x:f>
        <x:v>รอประเมิน</x:v>
      </x:c>
      <x:c r="M129" s="8" t="str">
        <x:v>สถานที่ในจังหวัดเส้นทาง รอตรวจระยะทางและลำดับ</x:v>
      </x:c>
      <x:c r="N129" s="8" t="str">
        <x:v>ยังไม่ยืนยันการเปิดให้บริการปัจจุบัน</x:v>
      </x:c>
      <x:c r="O129" s="40" t="n">
        <x:v>46315</x:v>
      </x:c>
    </x:row>
    <x:row r="130" ht="38" customHeight="1">
      <x:c r="A130" s="9" t="n">
        <x:v>122</x:v>
      </x:c>
      <x:c r="B130" s="8" t="str">
        <x:v>KIN YOUBI HALAL</x:v>
      </x:c>
      <x:c r="C130" s="8" t="str">
        <x:v>กรุงเทพมหานคร</x:v>
      </x:c>
      <x:c r="D130" s="8" t="str">
        <x:v>พร้อมขาย</x:v>
      </x:c>
      <x:c r="E130" s="8" t="str">
        <x:v>ร้านอาหารและคาเฟ่</x:v>
      </x:c>
      <x:c r="F130" s="38" t="n">
        <x:v>46316</x:v>
      </x:c>
      <x:c r="G130" s="8" t="str">
        <x:v>TMF-053</x:v>
      </x:c>
      <x:c r="H130" s="39" t="str">
        <x:v>03</x:v>
      </x:c>
      <x:c r="I130" s="8" t="str">
        <x:v>Bangkok Muslim Heritage</x:v>
      </x:c>
      <x:c r="J130" s="8" t="str">
        <x:v>ตัวเลือกเสริม</x:v>
      </x:c>
      <x:c r="K130" s="8" t="str">
        <x:v>ร้านอาหาร</x:v>
      </x:c>
      <x:c r="L130" s="8" t="str">
        <x:f>INDEX('ประเมินเกณฑ์'!$AE$9:$AE$608,MATCH(G130,'ประเมินเกณฑ์'!$A$9:$A$608,0))</x:f>
        <x:v>รอประเมิน</x:v>
      </x:c>
      <x:c r="M130" s="8" t="str">
        <x:v>สถานที่ในจังหวัดเส้นทาง รอตรวจระยะทางและลำดับ</x:v>
      </x:c>
      <x:c r="N130" s="8" t="str">
        <x:v>ยังไม่ยืนยันการเปิดให้บริการปัจจุบัน</x:v>
      </x:c>
      <x:c r="O130" s="40" t="n">
        <x:v>46315</x:v>
      </x:c>
    </x:row>
    <x:row r="131" ht="38" customHeight="1">
      <x:c r="A131" s="9" t="n">
        <x:v>123</x:v>
      </x:c>
      <x:c r="B131" s="8" t="str">
        <x:v>LAHORE RESTAURANT สีลม</x:v>
      </x:c>
      <x:c r="C131" s="8" t="str">
        <x:v>กรุงเทพมหานคร</x:v>
      </x:c>
      <x:c r="D131" s="8" t="str">
        <x:v>พร้อมขาย</x:v>
      </x:c>
      <x:c r="E131" s="8" t="str">
        <x:v>ร้านอาหารและคาเฟ่</x:v>
      </x:c>
      <x:c r="F131" s="38" t="n">
        <x:v>46316</x:v>
      </x:c>
      <x:c r="G131" s="8" t="str">
        <x:v>TMF-054</x:v>
      </x:c>
      <x:c r="H131" s="39" t="str">
        <x:v>03</x:v>
      </x:c>
      <x:c r="I131" s="8" t="str">
        <x:v>Bangkok Muslim Heritage</x:v>
      </x:c>
      <x:c r="J131" s="8" t="str">
        <x:v>ตัวเลือกเสริม</x:v>
      </x:c>
      <x:c r="K131" s="8" t="str">
        <x:v>ร้านอาหาร</x:v>
      </x:c>
      <x:c r="L131" s="8" t="str">
        <x:f>INDEX('ประเมินเกณฑ์'!$AE$9:$AE$608,MATCH(G131,'ประเมินเกณฑ์'!$A$9:$A$608,0))</x:f>
        <x:v>รอประเมิน</x:v>
      </x:c>
      <x:c r="M131" s="8" t="str">
        <x:v>สถานที่ในจังหวัดเส้นทาง รอตรวจระยะทางและลำดับ</x:v>
      </x:c>
      <x:c r="N131" s="8" t="str">
        <x:v>ยังไม่ยืนยันการเปิดให้บริการปัจจุบัน</x:v>
      </x:c>
      <x:c r="O131" s="40" t="n">
        <x:v>46315</x:v>
      </x:c>
    </x:row>
    <x:row r="132" ht="38" customHeight="1">
      <x:c r="A132" s="9" t="n">
        <x:v>124</x:v>
      </x:c>
      <x:c r="B132" s="8" t="str">
        <x:v>Mini Coffee</x:v>
      </x:c>
      <x:c r="C132" s="8" t="str">
        <x:v>กรุงเทพมหานคร</x:v>
      </x:c>
      <x:c r="D132" s="8" t="str">
        <x:v>พร้อมขาย</x:v>
      </x:c>
      <x:c r="E132" s="8" t="str">
        <x:v>ร้านอาหารและคาเฟ่</x:v>
      </x:c>
      <x:c r="F132" s="38" t="n">
        <x:v>46316</x:v>
      </x:c>
      <x:c r="G132" s="8" t="str">
        <x:v>TMF-056</x:v>
      </x:c>
      <x:c r="H132" s="39" t="str">
        <x:v>03</x:v>
      </x:c>
      <x:c r="I132" s="8" t="str">
        <x:v>Bangkok Muslim Heritage</x:v>
      </x:c>
      <x:c r="J132" s="8" t="str">
        <x:v>ตัวเลือกเสริม</x:v>
      </x:c>
      <x:c r="K132" s="8" t="str">
        <x:v>คาเฟ่และร้านของหวาน</x:v>
      </x:c>
      <x:c r="L132" s="8" t="str">
        <x:f>INDEX('ประเมินเกณฑ์'!$AE$9:$AE$608,MATCH(G132,'ประเมินเกณฑ์'!$A$9:$A$608,0))</x:f>
        <x:v>รอประเมิน</x:v>
      </x:c>
      <x:c r="M132" s="8" t="str">
        <x:v>สถานที่ในจังหวัดเส้นทาง รอตรวจระยะทางและลำดับ</x:v>
      </x:c>
      <x:c r="N132" s="8" t="str">
        <x:v>ยังไม่ยืนยันการเปิดให้บริการปัจจุบัน</x:v>
      </x:c>
      <x:c r="O132" s="40" t="n">
        <x:v>46315</x:v>
      </x:c>
    </x:row>
    <x:row r="133" ht="38" customHeight="1">
      <x:c r="A133" s="9" t="n">
        <x:v>125</x:v>
      </x:c>
      <x:c r="B133" s="8" t="str">
        <x:v>Mom’s Restaurant</x:v>
      </x:c>
      <x:c r="C133" s="8" t="str">
        <x:v>กรุงเทพมหานคร</x:v>
      </x:c>
      <x:c r="D133" s="8" t="str">
        <x:v>พร้อมขาย</x:v>
      </x:c>
      <x:c r="E133" s="8" t="str">
        <x:v>ร้านอาหารและคาเฟ่</x:v>
      </x:c>
      <x:c r="F133" s="38" t="n">
        <x:v>46316</x:v>
      </x:c>
      <x:c r="G133" s="8" t="str">
        <x:v>TMF-057</x:v>
      </x:c>
      <x:c r="H133" s="39" t="str">
        <x:v>03</x:v>
      </x:c>
      <x:c r="I133" s="8" t="str">
        <x:v>Bangkok Muslim Heritage</x:v>
      </x:c>
      <x:c r="J133" s="8" t="str">
        <x:v>ตัวเลือกเสริม</x:v>
      </x:c>
      <x:c r="K133" s="8" t="str">
        <x:v>ร้านอาหาร</x:v>
      </x:c>
      <x:c r="L133" s="8" t="str">
        <x:f>INDEX('ประเมินเกณฑ์'!$AE$9:$AE$608,MATCH(G133,'ประเมินเกณฑ์'!$A$9:$A$608,0))</x:f>
        <x:v>รอประเมิน</x:v>
      </x:c>
      <x:c r="M133" s="8" t="str">
        <x:v>สถานที่ในจังหวัดเส้นทาง รอตรวจระยะทางและลำดับ</x:v>
      </x:c>
      <x:c r="N133" s="8" t="str">
        <x:v>ยังไม่ยืนยันการเปิดให้บริการปัจจุบัน</x:v>
      </x:c>
      <x:c r="O133" s="40" t="n">
        <x:v>46315</x:v>
      </x:c>
    </x:row>
    <x:row r="134" ht="38" customHeight="1">
      <x:c r="A134" s="9" t="n">
        <x:v>126</x:v>
      </x:c>
      <x:c r="B134" s="8" t="str">
        <x:v>Monkey Suki Halal มีนบุรีคู้ขวา</x:v>
      </x:c>
      <x:c r="C134" s="8" t="str">
        <x:v>กรุงเทพมหานคร</x:v>
      </x:c>
      <x:c r="D134" s="8" t="str">
        <x:v>พร้อมขาย</x:v>
      </x:c>
      <x:c r="E134" s="8" t="str">
        <x:v>ร้านอาหารและคาเฟ่</x:v>
      </x:c>
      <x:c r="F134" s="38" t="n">
        <x:v>46316</x:v>
      </x:c>
      <x:c r="G134" s="8" t="str">
        <x:v>TMF-058</x:v>
      </x:c>
      <x:c r="H134" s="39" t="str">
        <x:v>03</x:v>
      </x:c>
      <x:c r="I134" s="8" t="str">
        <x:v>Bangkok Muslim Heritage</x:v>
      </x:c>
      <x:c r="J134" s="8" t="str">
        <x:v>ตัวเลือกเสริม</x:v>
      </x:c>
      <x:c r="K134" s="8" t="str">
        <x:v>ร้านอาหาร</x:v>
      </x:c>
      <x:c r="L134" s="8" t="str">
        <x:f>INDEX('ประเมินเกณฑ์'!$AE$9:$AE$608,MATCH(G134,'ประเมินเกณฑ์'!$A$9:$A$608,0))</x:f>
        <x:v>รอประเมิน</x:v>
      </x:c>
      <x:c r="M134" s="8" t="str">
        <x:v>สถานที่ในจังหวัดเส้นทาง รอตรวจระยะทางและลำดับ</x:v>
      </x:c>
      <x:c r="N134" s="8" t="str">
        <x:v>ยังไม่ยืนยันการเปิดให้บริการปัจจุบัน</x:v>
      </x:c>
      <x:c r="O134" s="40" t="n">
        <x:v>46315</x:v>
      </x:c>
    </x:row>
    <x:row r="135" ht="38" customHeight="1">
      <x:c r="A135" s="9" t="n">
        <x:v>127</x:v>
      </x:c>
      <x:c r="B135" s="8" t="str">
        <x:v>Monkey Suki รามคำแหง81</x:v>
      </x:c>
      <x:c r="C135" s="8" t="str">
        <x:v>กรุงเทพมหานคร</x:v>
      </x:c>
      <x:c r="D135" s="8" t="str">
        <x:v>พร้อมขาย</x:v>
      </x:c>
      <x:c r="E135" s="8" t="str">
        <x:v>ร้านอาหารและคาเฟ่</x:v>
      </x:c>
      <x:c r="F135" s="38" t="n">
        <x:v>46316</x:v>
      </x:c>
      <x:c r="G135" s="8" t="str">
        <x:v>TMF-059</x:v>
      </x:c>
      <x:c r="H135" s="39" t="str">
        <x:v>03</x:v>
      </x:c>
      <x:c r="I135" s="8" t="str">
        <x:v>Bangkok Muslim Heritage</x:v>
      </x:c>
      <x:c r="J135" s="8" t="str">
        <x:v>ตัวเลือกเสริม</x:v>
      </x:c>
      <x:c r="K135" s="8" t="str">
        <x:v>ร้านอาหาร</x:v>
      </x:c>
      <x:c r="L135" s="8" t="str">
        <x:f>INDEX('ประเมินเกณฑ์'!$AE$9:$AE$608,MATCH(G135,'ประเมินเกณฑ์'!$A$9:$A$608,0))</x:f>
        <x:v>รอประเมิน</x:v>
      </x:c>
      <x:c r="M135" s="8" t="str">
        <x:v>สถานที่ในจังหวัดเส้นทาง รอตรวจระยะทางและลำดับ</x:v>
      </x:c>
      <x:c r="N135" s="8" t="str">
        <x:v>ยังไม่ยืนยันการเปิดให้บริการปัจจุบัน</x:v>
      </x:c>
      <x:c r="O135" s="40" t="n">
        <x:v>46315</x:v>
      </x:c>
    </x:row>
    <x:row r="136" ht="38" customHeight="1">
      <x:c r="A136" s="9" t="n">
        <x:v>128</x:v>
      </x:c>
      <x:c r="B136" s="8" t="str">
        <x:v>Monkey Suki เสรีไทย16</x:v>
      </x:c>
      <x:c r="C136" s="8" t="str">
        <x:v>กรุงเทพมหานคร</x:v>
      </x:c>
      <x:c r="D136" s="8" t="str">
        <x:v>พร้อมขาย</x:v>
      </x:c>
      <x:c r="E136" s="8" t="str">
        <x:v>ร้านอาหารและคาเฟ่</x:v>
      </x:c>
      <x:c r="F136" s="38" t="n">
        <x:v>46316</x:v>
      </x:c>
      <x:c r="G136" s="8" t="str">
        <x:v>TMF-060</x:v>
      </x:c>
      <x:c r="H136" s="39" t="str">
        <x:v>03</x:v>
      </x:c>
      <x:c r="I136" s="8" t="str">
        <x:v>Bangkok Muslim Heritage</x:v>
      </x:c>
      <x:c r="J136" s="8" t="str">
        <x:v>ตัวเลือกเสริม</x:v>
      </x:c>
      <x:c r="K136" s="8" t="str">
        <x:v>ร้านอาหาร</x:v>
      </x:c>
      <x:c r="L136" s="8" t="str">
        <x:f>INDEX('ประเมินเกณฑ์'!$AE$9:$AE$608,MATCH(G136,'ประเมินเกณฑ์'!$A$9:$A$608,0))</x:f>
        <x:v>รอประเมิน</x:v>
      </x:c>
      <x:c r="M136" s="8" t="str">
        <x:v>สถานที่ในจังหวัดเส้นทาง รอตรวจระยะทางและลำดับ</x:v>
      </x:c>
      <x:c r="N136" s="8" t="str">
        <x:v>ยังไม่ยืนยันการเปิดให้บริการปัจจุบัน</x:v>
      </x:c>
      <x:c r="O136" s="40" t="n">
        <x:v>46315</x:v>
      </x:c>
    </x:row>
    <x:row r="137" ht="38" customHeight="1">
      <x:c r="A137" s="9" t="n">
        <x:v>129</x:v>
      </x:c>
      <x:c r="B137" s="8" t="str">
        <x:v>Nes Tea Boba</x:v>
      </x:c>
      <x:c r="C137" s="8" t="str">
        <x:v>กรุงเทพมหานคร</x:v>
      </x:c>
      <x:c r="D137" s="8" t="str">
        <x:v>พร้อมขาย</x:v>
      </x:c>
      <x:c r="E137" s="8" t="str">
        <x:v>ร้านอาหารและคาเฟ่</x:v>
      </x:c>
      <x:c r="F137" s="38" t="n">
        <x:v>46316</x:v>
      </x:c>
      <x:c r="G137" s="8" t="str">
        <x:v>TMF-061</x:v>
      </x:c>
      <x:c r="H137" s="39" t="str">
        <x:v>03</x:v>
      </x:c>
      <x:c r="I137" s="8" t="str">
        <x:v>Bangkok Muslim Heritage</x:v>
      </x:c>
      <x:c r="J137" s="8" t="str">
        <x:v>ตัวเลือกเสริม</x:v>
      </x:c>
      <x:c r="K137" s="8" t="str">
        <x:v>ร้านอาหาร</x:v>
      </x:c>
      <x:c r="L137" s="8" t="str">
        <x:f>INDEX('ประเมินเกณฑ์'!$AE$9:$AE$608,MATCH(G137,'ประเมินเกณฑ์'!$A$9:$A$608,0))</x:f>
        <x:v>รอประเมิน</x:v>
      </x:c>
      <x:c r="M137" s="8" t="str">
        <x:v>สถานที่ในจังหวัดเส้นทาง รอตรวจระยะทางและลำดับ</x:v>
      </x:c>
      <x:c r="N137" s="8" t="str">
        <x:v>ยังไม่ยืนยันการเปิดให้บริการปัจจุบัน</x:v>
      </x:c>
      <x:c r="O137" s="40" t="n">
        <x:v>46315</x:v>
      </x:c>
    </x:row>
    <x:row r="138" ht="38" customHeight="1">
      <x:c r="A138" s="9" t="n">
        <x:v>130</x:v>
      </x:c>
      <x:c r="B138" s="8" t="str">
        <x:v>REEZQ Residence Phyathai</x:v>
      </x:c>
      <x:c r="C138" s="8" t="str">
        <x:v>กรุงเทพมหานคร</x:v>
      </x:c>
      <x:c r="D138" s="8" t="str">
        <x:v>พร้อมขาย</x:v>
      </x:c>
      <x:c r="E138" s="8" t="str">
        <x:v>ร้านอาหารและคาเฟ่</x:v>
      </x:c>
      <x:c r="F138" s="38" t="n">
        <x:v>46316</x:v>
      </x:c>
      <x:c r="G138" s="8" t="str">
        <x:v>TMF-063</x:v>
      </x:c>
      <x:c r="H138" s="39" t="str">
        <x:v>03</x:v>
      </x:c>
      <x:c r="I138" s="8" t="str">
        <x:v>Bangkok Muslim Heritage</x:v>
      </x:c>
      <x:c r="J138" s="8" t="str">
        <x:v>ตัวเลือกเสริม</x:v>
      </x:c>
      <x:c r="K138" s="8" t="str">
        <x:v>ร้านอาหาร</x:v>
      </x:c>
      <x:c r="L138" s="8" t="str">
        <x:f>INDEX('ประเมินเกณฑ์'!$AE$9:$AE$608,MATCH(G138,'ประเมินเกณฑ์'!$A$9:$A$608,0))</x:f>
        <x:v>รอประเมิน</x:v>
      </x:c>
      <x:c r="M138" s="8" t="str">
        <x:v>สถานที่ในจังหวัดเส้นทาง รอตรวจระยะทางและลำดับ</x:v>
      </x:c>
      <x:c r="N138" s="8" t="str">
        <x:v>ยังไม่ยืนยันการเปิดให้บริการปัจจุบัน</x:v>
      </x:c>
      <x:c r="O138" s="40" t="n">
        <x:v>46315</x:v>
      </x:c>
    </x:row>
    <x:row r="139" ht="38" customHeight="1">
      <x:c r="A139" s="9" t="n">
        <x:v>131</x:v>
      </x:c>
      <x:c r="B139" s="8" t="str">
        <x:v>The Grill</x:v>
      </x:c>
      <x:c r="C139" s="8" t="str">
        <x:v>กรุงเทพมหานคร</x:v>
      </x:c>
      <x:c r="D139" s="8" t="str">
        <x:v>พร้อมขาย</x:v>
      </x:c>
      <x:c r="E139" s="8" t="str">
        <x:v>ร้านอาหารและคาเฟ่</x:v>
      </x:c>
      <x:c r="F139" s="38" t="n">
        <x:v>46316</x:v>
      </x:c>
      <x:c r="G139" s="8" t="str">
        <x:v>GMHI-28</x:v>
      </x:c>
      <x:c r="H139" s="39" t="str">
        <x:v>03</x:v>
      </x:c>
      <x:c r="I139" s="8" t="str">
        <x:v>Bangkok Muslim Heritage</x:v>
      </x:c>
      <x:c r="J139" s="8" t="str">
        <x:v>ตัวเลือกเสริม</x:v>
      </x:c>
      <x:c r="K139" s="8" t="str">
        <x:v>ร้านอาหารและคาเฟ่</x:v>
      </x:c>
      <x:c r="L139" s="8" t="str">
        <x:f>INDEX('ประเมินเกณฑ์'!$AE$9:$AE$608,MATCH(G139,'ประเมินเกณฑ์'!$A$9:$A$608,0))</x:f>
        <x:v>รอประเมิน</x:v>
      </x:c>
      <x:c r="M139" s="8" t="str">
        <x:v>สถานที่ในจังหวัดเส้นทาง รอตรวจระยะทางและลำดับ</x:v>
      </x:c>
      <x:c r="N139" s="8" t="str">
        <x:v>ยังไม่ยืนยันการเปิดให้บริการปัจจุบัน</x:v>
      </x:c>
      <x:c r="O139" s="40" t="n">
        <x:v>46315</x:v>
      </x:c>
    </x:row>
    <x:row r="140" ht="38" customHeight="1">
      <x:c r="A140" s="9" t="n">
        <x:v>132</x:v>
      </x:c>
      <x:c r="B140" s="8" t="str">
        <x:v>สไปซี่คัก ริมน้ำ by Amdangtyphoon</x:v>
      </x:c>
      <x:c r="C140" s="8" t="str">
        <x:v>กรุงเทพมหานคร</x:v>
      </x:c>
      <x:c r="D140" s="8" t="str">
        <x:v>พร้อมขาย</x:v>
      </x:c>
      <x:c r="E140" s="8" t="str">
        <x:v>ร้านอาหารและคาเฟ่</x:v>
      </x:c>
      <x:c r="F140" s="38" t="n">
        <x:v>46316</x:v>
      </x:c>
      <x:c r="G140" s="8" t="str">
        <x:v>TMF-087</x:v>
      </x:c>
      <x:c r="H140" s="39" t="str">
        <x:v>03</x:v>
      </x:c>
      <x:c r="I140" s="8" t="str">
        <x:v>Bangkok Muslim Heritage</x:v>
      </x:c>
      <x:c r="J140" s="8" t="str">
        <x:v>ตัวเลือกเสริม</x:v>
      </x:c>
      <x:c r="K140" s="8" t="str">
        <x:v>ร้านอาหาร</x:v>
      </x:c>
      <x:c r="L140" s="8" t="str">
        <x:f>INDEX('ประเมินเกณฑ์'!$AE$9:$AE$608,MATCH(G140,'ประเมินเกณฑ์'!$A$9:$A$608,0))</x:f>
        <x:v>รอประเมิน</x:v>
      </x:c>
      <x:c r="M140" s="8" t="str">
        <x:v>สถานที่ในจังหวัดเส้นทาง รอตรวจระยะทางและลำดับ</x:v>
      </x:c>
      <x:c r="N140" s="8" t="str">
        <x:v>ยังไม่ยืนยันการเปิดให้บริการปัจจุบัน</x:v>
      </x:c>
      <x:c r="O140" s="40" t="n">
        <x:v>46316</x:v>
      </x:c>
    </x:row>
    <x:row r="141" ht="38" customHeight="1">
      <x:c r="A141" s="9" t="n">
        <x:v>133</x:v>
      </x:c>
      <x:c r="B141" s="8" t="str">
        <x:v>Divana Scentuara Spa</x:v>
      </x:c>
      <x:c r="C141" s="8" t="str">
        <x:v>กรุงเทพมหานคร</x:v>
      </x:c>
      <x:c r="D141" s="8" t="str">
        <x:v>มีศักยภาพ แต่ต้องพัฒนามาตรฐาน</x:v>
      </x:c>
      <x:c r="E141" s="8" t="str">
        <x:v>สถานประกอบการเพื่อสุขภาพและเวลเนส</x:v>
      </x:c>
      <x:c r="F141" s="38" t="n">
        <x:v>46316</x:v>
      </x:c>
      <x:c r="G141" s="8" t="str">
        <x:v>R26-314</x:v>
      </x:c>
      <x:c r="H141" s="39" t="str">
        <x:v>03</x:v>
      </x:c>
      <x:c r="I141" s="8" t="str">
        <x:v>Bangkok Muslim Heritage</x:v>
      </x:c>
      <x:c r="J141" s="8" t="str">
        <x:v>ตัวเลือกเสริม</x:v>
      </x:c>
      <x:c r="K141" s="8" t="str">
        <x:v>เวลเนส</x:v>
      </x:c>
      <x:c r="L141" s="8" t="str">
        <x:f>INDEX('ประเมินเกณฑ์'!$AE$9:$AE$608,MATCH(G141,'ประเมินเกณฑ์'!$A$9:$A$608,0))</x:f>
        <x:v>รอประเมิน</x:v>
      </x:c>
      <x:c r="M141" s="8" t="str">
        <x:v>สถานที่ในจังหวัดเส้นทาง รอตรวจระยะทางและลำดับ</x:v>
      </x:c>
      <x:c r="N141" s="8" t="str">
        <x:v>ยังไม่ยืนยันการเปิดให้บริการปัจจุบัน</x:v>
      </x:c>
      <x:c r="O141" s="40" t="n">
        <x:v>46316</x:v>
      </x:c>
    </x:row>
    <x:row r="142" ht="38" customHeight="1">
      <x:c r="A142" s="9" t="n">
        <x:v>134</x:v>
      </x:c>
      <x:c r="B142" s="8" t="str">
        <x:v>Health Land Asoke</x:v>
      </x:c>
      <x:c r="C142" s="8" t="str">
        <x:v>กรุงเทพมหานคร</x:v>
      </x:c>
      <x:c r="D142" s="8" t="str">
        <x:v>มีศักยภาพ แต่ต้องพัฒนามาตรฐาน</x:v>
      </x:c>
      <x:c r="E142" s="8" t="str">
        <x:v>สถานประกอบการเพื่อสุขภาพและเวลเนส</x:v>
      </x:c>
      <x:c r="F142" s="38" t="n">
        <x:v>46316</x:v>
      </x:c>
      <x:c r="G142" s="8" t="str">
        <x:v>R26-276</x:v>
      </x:c>
      <x:c r="H142" s="39" t="str">
        <x:v>03</x:v>
      </x:c>
      <x:c r="I142" s="8" t="str">
        <x:v>Bangkok Muslim Heritage</x:v>
      </x:c>
      <x:c r="J142" s="8" t="str">
        <x:v>ตัวเลือกเสริม</x:v>
      </x:c>
      <x:c r="K142" s="8" t="str">
        <x:v>เวลเนส</x:v>
      </x:c>
      <x:c r="L142" s="8" t="str">
        <x:f>INDEX('ประเมินเกณฑ์'!$AE$9:$AE$608,MATCH(G142,'ประเมินเกณฑ์'!$A$9:$A$608,0))</x:f>
        <x:v>รอประเมิน</x:v>
      </x:c>
      <x:c r="M142" s="8" t="str">
        <x:v>สถานที่ในจังหวัดเส้นทาง รอตรวจระยะทางและลำดับ</x:v>
      </x:c>
      <x:c r="N142" s="8" t="str">
        <x:v>ยังไม่ยืนยันการเปิดให้บริการปัจจุบัน</x:v>
      </x:c>
      <x:c r="O142" s="40" t="n">
        <x:v>46316</x:v>
      </x:c>
    </x:row>
    <x:row r="143" ht="38" customHeight="1">
      <x:c r="A143" s="9" t="n">
        <x:v>135</x:v>
      </x:c>
      <x:c r="B143" s="8" t="str">
        <x:v>Health Land Ekkamai</x:v>
      </x:c>
      <x:c r="C143" s="8" t="str">
        <x:v>กรุงเทพมหานคร</x:v>
      </x:c>
      <x:c r="D143" s="8" t="str">
        <x:v>มีศักยภาพ แต่ต้องพัฒนามาตรฐาน</x:v>
      </x:c>
      <x:c r="E143" s="8" t="str">
        <x:v>สถานประกอบการเพื่อสุขภาพและเวลเนส</x:v>
      </x:c>
      <x:c r="F143" s="38" t="n">
        <x:v>46316</x:v>
      </x:c>
      <x:c r="G143" s="8" t="str">
        <x:v>R26-318</x:v>
      </x:c>
      <x:c r="H143" s="39" t="str">
        <x:v>03</x:v>
      </x:c>
      <x:c r="I143" s="8" t="str">
        <x:v>Bangkok Muslim Heritage</x:v>
      </x:c>
      <x:c r="J143" s="8" t="str">
        <x:v>ตัวเลือกเสริม</x:v>
      </x:c>
      <x:c r="K143" s="8" t="str">
        <x:v>เวลเนส</x:v>
      </x:c>
      <x:c r="L143" s="8" t="str">
        <x:f>INDEX('ประเมินเกณฑ์'!$AE$9:$AE$608,MATCH(G143,'ประเมินเกณฑ์'!$A$9:$A$608,0))</x:f>
        <x:v>รอประเมิน</x:v>
      </x:c>
      <x:c r="M143" s="8" t="str">
        <x:v>สถานที่ในจังหวัดเส้นทาง รอตรวจระยะทางและลำดับ</x:v>
      </x:c>
      <x:c r="N143" s="8" t="str">
        <x:v>ยังไม่ยืนยันการเปิดให้บริการปัจจุบัน</x:v>
      </x:c>
      <x:c r="O143" s="40" t="n">
        <x:v>46316</x:v>
      </x:c>
    </x:row>
    <x:row r="144" ht="38" customHeight="1">
      <x:c r="A144" s="9" t="n">
        <x:v>136</x:v>
      </x:c>
      <x:c r="B144" s="8" t="str">
        <x:v>Health Land Sathorn</x:v>
      </x:c>
      <x:c r="C144" s="8" t="str">
        <x:v>กรุงเทพมหานคร</x:v>
      </x:c>
      <x:c r="D144" s="8" t="str">
        <x:v>มีศักยภาพ แต่ต้องพัฒนามาตรฐาน</x:v>
      </x:c>
      <x:c r="E144" s="8" t="str">
        <x:v>สถานประกอบการเพื่อสุขภาพและเวลเนส</x:v>
      </x:c>
      <x:c r="F144" s="38" t="n">
        <x:v>46316</x:v>
      </x:c>
      <x:c r="G144" s="8" t="str">
        <x:v>R26-275</x:v>
      </x:c>
      <x:c r="H144" s="39" t="str">
        <x:v>03</x:v>
      </x:c>
      <x:c r="I144" s="8" t="str">
        <x:v>Bangkok Muslim Heritage</x:v>
      </x:c>
      <x:c r="J144" s="8" t="str">
        <x:v>ตัวเลือกเสริม</x:v>
      </x:c>
      <x:c r="K144" s="8" t="str">
        <x:v>เวลเนส</x:v>
      </x:c>
      <x:c r="L144" s="8" t="str">
        <x:f>INDEX('ประเมินเกณฑ์'!$AE$9:$AE$608,MATCH(G144,'ประเมินเกณฑ์'!$A$9:$A$608,0))</x:f>
        <x:v>รอประเมิน</x:v>
      </x:c>
      <x:c r="M144" s="8" t="str">
        <x:v>สถานที่ในจังหวัดเส้นทาง รอตรวจระยะทางและลำดับ</x:v>
      </x:c>
      <x:c r="N144" s="8" t="str">
        <x:v>ยังไม่ยืนยันการเปิดให้บริการปัจจุบัน</x:v>
      </x:c>
      <x:c r="O144" s="40" t="n">
        <x:v>46316</x:v>
      </x:c>
    </x:row>
    <x:row r="145" ht="38" customHeight="1">
      <x:c r="A145" s="9" t="n">
        <x:v>137</x:v>
      </x:c>
      <x:c r="B145" s="8" t="str">
        <x:v>Let's Relax Spa Sukhumvit 39</x:v>
      </x:c>
      <x:c r="C145" s="8" t="str">
        <x:v>กรุงเทพมหานคร</x:v>
      </x:c>
      <x:c r="D145" s="8" t="str">
        <x:v>มีศักยภาพ แต่ต้องพัฒนามาตรฐาน</x:v>
      </x:c>
      <x:c r="E145" s="8" t="str">
        <x:v>สถานประกอบการเพื่อสุขภาพและเวลเนส</x:v>
      </x:c>
      <x:c r="F145" s="38" t="n">
        <x:v>46316</x:v>
      </x:c>
      <x:c r="G145" s="8" t="str">
        <x:v>R26-272</x:v>
      </x:c>
      <x:c r="H145" s="39" t="str">
        <x:v>03</x:v>
      </x:c>
      <x:c r="I145" s="8" t="str">
        <x:v>Bangkok Muslim Heritage</x:v>
      </x:c>
      <x:c r="J145" s="8" t="str">
        <x:v>ตัวเลือกเสริม</x:v>
      </x:c>
      <x:c r="K145" s="8" t="str">
        <x:v>เวลเนส</x:v>
      </x:c>
      <x:c r="L145" s="8" t="str">
        <x:f>INDEX('ประเมินเกณฑ์'!$AE$9:$AE$608,MATCH(G145,'ประเมินเกณฑ์'!$A$9:$A$608,0))</x:f>
        <x:v>รอประเมิน</x:v>
      </x:c>
      <x:c r="M145" s="8" t="str">
        <x:v>สถานที่ในจังหวัดเส้นทาง รอตรวจระยะทางและลำดับ</x:v>
      </x:c>
      <x:c r="N145" s="8" t="str">
        <x:v>ยังไม่ยืนยันการเปิดให้บริการปัจจุบัน</x:v>
      </x:c>
      <x:c r="O145" s="40" t="n">
        <x:v>46316</x:v>
      </x:c>
    </x:row>
    <x:row r="146" ht="38" customHeight="1">
      <x:c r="A146" s="9" t="n">
        <x:v>138</x:v>
      </x:c>
      <x:c r="B146" s="8" t="str">
        <x:v>PAÑPURI Wellness Gaysorn Tower</x:v>
      </x:c>
      <x:c r="C146" s="8" t="str">
        <x:v>กรุงเทพมหานคร</x:v>
      </x:c>
      <x:c r="D146" s="8" t="str">
        <x:v>มีศักยภาพ แต่ต้องพัฒนามาตรฐาน</x:v>
      </x:c>
      <x:c r="E146" s="8" t="str">
        <x:v>สถานประกอบการเพื่อสุขภาพและเวลเนส</x:v>
      </x:c>
      <x:c r="F146" s="38" t="n">
        <x:v>46316</x:v>
      </x:c>
      <x:c r="G146" s="8" t="str">
        <x:v>R26-313</x:v>
      </x:c>
      <x:c r="H146" s="39" t="str">
        <x:v>03</x:v>
      </x:c>
      <x:c r="I146" s="8" t="str">
        <x:v>Bangkok Muslim Heritage</x:v>
      </x:c>
      <x:c r="J146" s="8" t="str">
        <x:v>ตัวเลือกเสริม</x:v>
      </x:c>
      <x:c r="K146" s="8" t="str">
        <x:v>สปาและเวลเนส สาขาเกษรทาวเวอร์</x:v>
      </x:c>
      <x:c r="L146" s="8" t="str">
        <x:f>INDEX('ประเมินเกณฑ์'!$AE$9:$AE$608,MATCH(G146,'ประเมินเกณฑ์'!$A$9:$A$608,0))</x:f>
        <x:v>รอประเมิน</x:v>
      </x:c>
      <x:c r="M146" s="8" t="str">
        <x:v>สถานที่ในจังหวัดเส้นทาง รอตรวจระยะทางและลำดับ</x:v>
      </x:c>
      <x:c r="N146" s="8" t="str">
        <x:v>ยังไม่ยืนยันการเปิดให้บริการปัจจุบัน</x:v>
      </x:c>
      <x:c r="O146" s="40" t="n">
        <x:v>46316</x:v>
      </x:c>
    </x:row>
    <x:row r="147" ht="38" customHeight="1">
      <x:c r="A147" s="9" t="n">
        <x:v>139</x:v>
      </x:c>
      <x:c r="B147" s="8" t="str">
        <x:v>กายา บาย โอเอซิสสปา</x:v>
      </x:c>
      <x:c r="C147" s="8" t="str">
        <x:v>กรุงเทพมหานคร</x:v>
      </x:c>
      <x:c r="D147" s="8" t="str">
        <x:v>มีศักยภาพ แต่ต้องพัฒนามาตรฐาน</x:v>
      </x:c>
      <x:c r="E147" s="8" t="str">
        <x:v>สถานประกอบการเพื่อสุขภาพและเวลเนส</x:v>
      </x:c>
      <x:c r="F147" s="38" t="n">
        <x:v>46316</x:v>
      </x:c>
      <x:c r="G147" s="8" t="str">
        <x:v>TMF-500</x:v>
      </x:c>
      <x:c r="H147" s="39" t="str">
        <x:v>03</x:v>
      </x:c>
      <x:c r="I147" s="8" t="str">
        <x:v>Bangkok Muslim Heritage</x:v>
      </x:c>
      <x:c r="J147" s="8" t="str">
        <x:v>ตัวเลือกเสริม</x:v>
      </x:c>
      <x:c r="K147" s="8" t="str">
        <x:v>สปา</x:v>
      </x:c>
      <x:c r="L147" s="8" t="str">
        <x:f>INDEX('ประเมินเกณฑ์'!$AE$9:$AE$608,MATCH(G147,'ประเมินเกณฑ์'!$A$9:$A$608,0))</x:f>
        <x:v>รอประเมิน</x:v>
      </x:c>
      <x:c r="M147" s="8" t="str">
        <x:v>สถานที่ในจังหวัดเส้นทาง รอตรวจระยะทางและลำดับ</x:v>
      </x:c>
      <x:c r="N147" s="8" t="str">
        <x:v>ยังไม่ยืนยันการเปิดให้บริการปัจจุบัน</x:v>
      </x:c>
      <x:c r="O147" s="40" t="n">
        <x:v>46315</x:v>
      </x:c>
    </x:row>
    <x:row r="148" ht="38" customHeight="1">
      <x:c r="A148" s="9" t="n">
        <x:v>140</x:v>
      </x:c>
      <x:c r="B148" s="8" t="str">
        <x:v>Central Ladprao</x:v>
      </x:c>
      <x:c r="C148" s="8" t="str">
        <x:v>กรุงเทพมหานคร</x:v>
      </x:c>
      <x:c r="D148" s="8" t="str">
        <x:v>มีศักยภาพ แต่ต้องพัฒนามาตรฐาน</x:v>
      </x:c>
      <x:c r="E148" s="8" t="str">
        <x:v>ศูนย์การค้า</x:v>
      </x:c>
      <x:c r="F148" s="38" t="n">
        <x:v>46316</x:v>
      </x:c>
      <x:c r="G148" s="8" t="str">
        <x:v>R26-255</x:v>
      </x:c>
      <x:c r="H148" s="39" t="str">
        <x:v>03</x:v>
      </x:c>
      <x:c r="I148" s="8" t="str">
        <x:v>Bangkok Muslim Heritage</x:v>
      </x:c>
      <x:c r="J148" s="8" t="str">
        <x:v>ตัวเลือกเสริม</x:v>
      </x:c>
      <x:c r="K148" s="8" t="str">
        <x:v>การค้า</x:v>
      </x:c>
      <x:c r="L148" s="8" t="str">
        <x:f>INDEX('ประเมินเกณฑ์'!$AE$9:$AE$608,MATCH(G148,'ประเมินเกณฑ์'!$A$9:$A$608,0))</x:f>
        <x:v>รอประเมิน</x:v>
      </x:c>
      <x:c r="M148" s="8" t="str">
        <x:v>สถานที่ในจังหวัดเส้นทาง รอตรวจระยะทางและลำดับ</x:v>
      </x:c>
      <x:c r="N148" s="8" t="str">
        <x:v>ยังไม่ยืนยันการเปิดให้บริการปัจจุบัน</x:v>
      </x:c>
      <x:c r="O148" s="40" t="n">
        <x:v>46316</x:v>
      </x:c>
    </x:row>
    <x:row r="149" ht="38" customHeight="1">
      <x:c r="A149" s="9" t="n">
        <x:v>141</x:v>
      </x:c>
      <x:c r="B149" s="8" t="str">
        <x:v>Central Rama 9</x:v>
      </x:c>
      <x:c r="C149" s="8" t="str">
        <x:v>กรุงเทพมหานคร</x:v>
      </x:c>
      <x:c r="D149" s="8" t="str">
        <x:v>มีศักยภาพ แต่ต้องพัฒนามาตรฐาน</x:v>
      </x:c>
      <x:c r="E149" s="8" t="str">
        <x:v>ศูนย์การค้า</x:v>
      </x:c>
      <x:c r="F149" s="38" t="n">
        <x:v>46316</x:v>
      </x:c>
      <x:c r="G149" s="8" t="str">
        <x:v>R26-254</x:v>
      </x:c>
      <x:c r="H149" s="39" t="str">
        <x:v>03</x:v>
      </x:c>
      <x:c r="I149" s="8" t="str">
        <x:v>Bangkok Muslim Heritage</x:v>
      </x:c>
      <x:c r="J149" s="8" t="str">
        <x:v>ตัวเลือกเสริม</x:v>
      </x:c>
      <x:c r="K149" s="8" t="str">
        <x:v>การค้า</x:v>
      </x:c>
      <x:c r="L149" s="8" t="str">
        <x:f>INDEX('ประเมินเกณฑ์'!$AE$9:$AE$608,MATCH(G149,'ประเมินเกณฑ์'!$A$9:$A$608,0))</x:f>
        <x:v>รอประเมิน</x:v>
      </x:c>
      <x:c r="M149" s="8" t="str">
        <x:v>สถานที่ในจังหวัดเส้นทาง รอตรวจระยะทางและลำดับ</x:v>
      </x:c>
      <x:c r="N149" s="8" t="str">
        <x:v>ยังไม่ยืนยันการเปิดให้บริการปัจจุบัน</x:v>
      </x:c>
      <x:c r="O149" s="40" t="n">
        <x:v>46316</x:v>
      </x:c>
    </x:row>
    <x:row r="150" ht="38" customHeight="1">
      <x:c r="A150" s="9" t="n">
        <x:v>142</x:v>
      </x:c>
      <x:c r="B150" s="8" t="str">
        <x:v>EMQUARTIER</x:v>
      </x:c>
      <x:c r="C150" s="8" t="str">
        <x:v>กรุงเทพมหานคร</x:v>
      </x:c>
      <x:c r="D150" s="8" t="str">
        <x:v>มีศักยภาพ แต่ต้องพัฒนามาตรฐาน</x:v>
      </x:c>
      <x:c r="E150" s="8" t="str">
        <x:v>ศูนย์การค้า</x:v>
      </x:c>
      <x:c r="F150" s="38" t="n">
        <x:v>46316</x:v>
      </x:c>
      <x:c r="G150" s="8" t="str">
        <x:v>R26-252</x:v>
      </x:c>
      <x:c r="H150" s="39" t="str">
        <x:v>03</x:v>
      </x:c>
      <x:c r="I150" s="8" t="str">
        <x:v>Bangkok Muslim Heritage</x:v>
      </x:c>
      <x:c r="J150" s="8" t="str">
        <x:v>ตัวเลือกเสริม</x:v>
      </x:c>
      <x:c r="K150" s="8" t="str">
        <x:v>การค้า</x:v>
      </x:c>
      <x:c r="L150" s="8" t="str">
        <x:f>INDEX('ประเมินเกณฑ์'!$AE$9:$AE$608,MATCH(G150,'ประเมินเกณฑ์'!$A$9:$A$608,0))</x:f>
        <x:v>รอประเมิน</x:v>
      </x:c>
      <x:c r="M150" s="8" t="str">
        <x:v>สถานที่ในจังหวัดเส้นทาง รอตรวจระยะทางและลำดับ</x:v>
      </x:c>
      <x:c r="N150" s="8" t="str">
        <x:v>ยังไม่ยืนยันการเปิดให้บริการปัจจุบัน</x:v>
      </x:c>
      <x:c r="O150" s="40" t="n">
        <x:v>46316</x:v>
      </x:c>
    </x:row>
    <x:row r="151" ht="38" customHeight="1">
      <x:c r="A151" s="9" t="n">
        <x:v>143</x:v>
      </x:c>
      <x:c r="B151" s="8" t="str">
        <x:v>EMSPHERE</x:v>
      </x:c>
      <x:c r="C151" s="8" t="str">
        <x:v>กรุงเทพมหานคร</x:v>
      </x:c>
      <x:c r="D151" s="8" t="str">
        <x:v>มีศักยภาพ แต่ต้องพัฒนามาตรฐาน</x:v>
      </x:c>
      <x:c r="E151" s="8" t="str">
        <x:v>ศูนย์การค้า</x:v>
      </x:c>
      <x:c r="F151" s="38" t="n">
        <x:v>46316</x:v>
      </x:c>
      <x:c r="G151" s="8" t="str">
        <x:v>R26-253</x:v>
      </x:c>
      <x:c r="H151" s="39" t="str">
        <x:v>03</x:v>
      </x:c>
      <x:c r="I151" s="8" t="str">
        <x:v>Bangkok Muslim Heritage</x:v>
      </x:c>
      <x:c r="J151" s="8" t="str">
        <x:v>ตัวเลือกเสริม</x:v>
      </x:c>
      <x:c r="K151" s="8" t="str">
        <x:v>การค้า</x:v>
      </x:c>
      <x:c r="L151" s="8" t="str">
        <x:f>INDEX('ประเมินเกณฑ์'!$AE$9:$AE$608,MATCH(G151,'ประเมินเกณฑ์'!$A$9:$A$608,0))</x:f>
        <x:v>รอประเมิน</x:v>
      </x:c>
      <x:c r="M151" s="8" t="str">
        <x:v>สถานที่ในจังหวัดเส้นทาง รอตรวจระยะทางและลำดับ</x:v>
      </x:c>
      <x:c r="N151" s="8" t="str">
        <x:v>ยังไม่ยืนยันการเปิดให้บริการปัจจุบัน</x:v>
      </x:c>
      <x:c r="O151" s="40" t="n">
        <x:v>46316</x:v>
      </x:c>
    </x:row>
    <x:row r="152" ht="38" customHeight="1">
      <x:c r="A152" s="9" t="n">
        <x:v>144</x:v>
      </x:c>
      <x:c r="B152" s="8" t="str">
        <x:v>ICONSIAM</x:v>
      </x:c>
      <x:c r="C152" s="8" t="str">
        <x:v>กรุงเทพมหานคร</x:v>
      </x:c>
      <x:c r="D152" s="8" t="str">
        <x:v>มีศักยภาพ แต่ต้องพัฒนามาตรฐาน</x:v>
      </x:c>
      <x:c r="E152" s="8" t="str">
        <x:v>ศูนย์การค้า</x:v>
      </x:c>
      <x:c r="F152" s="38" t="n">
        <x:v>46316</x:v>
      </x:c>
      <x:c r="G152" s="8" t="str">
        <x:v>R26-249</x:v>
      </x:c>
      <x:c r="H152" s="39" t="str">
        <x:v>03</x:v>
      </x:c>
      <x:c r="I152" s="8" t="str">
        <x:v>Bangkok Muslim Heritage</x:v>
      </x:c>
      <x:c r="J152" s="8" t="str">
        <x:v>ตัวเลือกเสริม</x:v>
      </x:c>
      <x:c r="K152" s="8" t="str">
        <x:v>การค้า</x:v>
      </x:c>
      <x:c r="L152" s="8" t="str">
        <x:f>INDEX('ประเมินเกณฑ์'!$AE$9:$AE$608,MATCH(G152,'ประเมินเกณฑ์'!$A$9:$A$608,0))</x:f>
        <x:v>รอประเมิน</x:v>
      </x:c>
      <x:c r="M152" s="8" t="str">
        <x:v>สถานที่ในจังหวัดเส้นทาง รอตรวจระยะทางและลำดับ</x:v>
      </x:c>
      <x:c r="N152" s="8" t="str">
        <x:v>ยังไม่ยืนยันการเปิดให้บริการปัจจุบัน</x:v>
      </x:c>
      <x:c r="O152" s="40" t="n">
        <x:v>46316</x:v>
      </x:c>
    </x:row>
    <x:row r="153" ht="38" customHeight="1">
      <x:c r="A153" s="9" t="n">
        <x:v>145</x:v>
      </x:c>
      <x:c r="B153" s="8" t="str">
        <x:v>MBK Center</x:v>
      </x:c>
      <x:c r="C153" s="8" t="str">
        <x:v>กรุงเทพมหานคร</x:v>
      </x:c>
      <x:c r="D153" s="8" t="str">
        <x:v>มีศักยภาพ แต่ต้องพัฒนามาตรฐาน</x:v>
      </x:c>
      <x:c r="E153" s="8" t="str">
        <x:v>ศูนย์การค้า</x:v>
      </x:c>
      <x:c r="F153" s="38" t="n">
        <x:v>46316</x:v>
      </x:c>
      <x:c r="G153" s="8" t="str">
        <x:v>R26-250</x:v>
      </x:c>
      <x:c r="H153" s="39" t="str">
        <x:v>03</x:v>
      </x:c>
      <x:c r="I153" s="8" t="str">
        <x:v>Bangkok Muslim Heritage</x:v>
      </x:c>
      <x:c r="J153" s="8" t="str">
        <x:v>ตัวเลือกเสริม</x:v>
      </x:c>
      <x:c r="K153" s="8" t="str">
        <x:v>การค้า</x:v>
      </x:c>
      <x:c r="L153" s="8" t="str">
        <x:f>INDEX('ประเมินเกณฑ์'!$AE$9:$AE$608,MATCH(G153,'ประเมินเกณฑ์'!$A$9:$A$608,0))</x:f>
        <x:v>รอประเมิน</x:v>
      </x:c>
      <x:c r="M153" s="8" t="str">
        <x:v>สถานที่ในจังหวัดเส้นทาง รอตรวจระยะทางและลำดับ</x:v>
      </x:c>
      <x:c r="N153" s="8" t="str">
        <x:v>ยังไม่ยืนยันการเปิดให้บริการปัจจุบัน</x:v>
      </x:c>
      <x:c r="O153" s="40" t="n">
        <x:v>46316</x:v>
      </x:c>
    </x:row>
    <x:row r="154" ht="38" customHeight="1">
      <x:c r="A154" s="9" t="n">
        <x:v>146</x:v>
      </x:c>
      <x:c r="B154" s="8" t="str">
        <x:v>Terminal 21 Asok</x:v>
      </x:c>
      <x:c r="C154" s="8" t="str">
        <x:v>กรุงเทพมหานคร</x:v>
      </x:c>
      <x:c r="D154" s="8" t="str">
        <x:v>มีศักยภาพ แต่ต้องพัฒนามาตรฐาน</x:v>
      </x:c>
      <x:c r="E154" s="8" t="str">
        <x:v>ศูนย์การค้า</x:v>
      </x:c>
      <x:c r="F154" s="38" t="n">
        <x:v>46316</x:v>
      </x:c>
      <x:c r="G154" s="8" t="str">
        <x:v>R26-251</x:v>
      </x:c>
      <x:c r="H154" s="39" t="str">
        <x:v>03</x:v>
      </x:c>
      <x:c r="I154" s="8" t="str">
        <x:v>Bangkok Muslim Heritage</x:v>
      </x:c>
      <x:c r="J154" s="8" t="str">
        <x:v>ตัวเลือกเสริม</x:v>
      </x:c>
      <x:c r="K154" s="8" t="str">
        <x:v>การค้า</x:v>
      </x:c>
      <x:c r="L154" s="8" t="str">
        <x:f>INDEX('ประเมินเกณฑ์'!$AE$9:$AE$608,MATCH(G154,'ประเมินเกณฑ์'!$A$9:$A$608,0))</x:f>
        <x:v>รอประเมิน</x:v>
      </x:c>
      <x:c r="M154" s="8" t="str">
        <x:v>สถานที่ในจังหวัดเส้นทาง รอตรวจระยะทางและลำดับ</x:v>
      </x:c>
      <x:c r="N154" s="8" t="str">
        <x:v>ยังไม่ยืนยันการเปิดให้บริการปัจจุบัน</x:v>
      </x:c>
      <x:c r="O154" s="40" t="n">
        <x:v>46316</x:v>
      </x:c>
    </x:row>
    <x:row r="155" ht="38" customHeight="1">
      <x:c r="A155" s="9" t="n">
        <x:v>147</x:v>
      </x:c>
      <x:c r="B155" s="8" t="str">
        <x:v>The Mall Lifestore Bangkapi</x:v>
      </x:c>
      <x:c r="C155" s="8" t="str">
        <x:v>กรุงเทพมหานคร</x:v>
      </x:c>
      <x:c r="D155" s="8" t="str">
        <x:v>มีศักยภาพ แต่ต้องพัฒนามาตรฐาน</x:v>
      </x:c>
      <x:c r="E155" s="8" t="str">
        <x:v>ศูนย์การค้า</x:v>
      </x:c>
      <x:c r="F155" s="38" t="n">
        <x:v>46316</x:v>
      </x:c>
      <x:c r="G155" s="8" t="str">
        <x:v>R26-256</x:v>
      </x:c>
      <x:c r="H155" s="39" t="str">
        <x:v>03</x:v>
      </x:c>
      <x:c r="I155" s="8" t="str">
        <x:v>Bangkok Muslim Heritage</x:v>
      </x:c>
      <x:c r="J155" s="8" t="str">
        <x:v>ตัวเลือกเสริม</x:v>
      </x:c>
      <x:c r="K155" s="8" t="str">
        <x:v>การค้า</x:v>
      </x:c>
      <x:c r="L155" s="8" t="str">
        <x:f>INDEX('ประเมินเกณฑ์'!$AE$9:$AE$608,MATCH(G155,'ประเมินเกณฑ์'!$A$9:$A$608,0))</x:f>
        <x:v>รอประเมิน</x:v>
      </x:c>
      <x:c r="M155" s="8" t="str">
        <x:v>สถานที่ในจังหวัดเส้นทาง รอตรวจระยะทางและลำดับ</x:v>
      </x:c>
      <x:c r="N155" s="8" t="str">
        <x:v>ยังไม่ยืนยันการเปิดให้บริการปัจจุบัน</x:v>
      </x:c>
      <x:c r="O155" s="40" t="n">
        <x:v>46316</x:v>
      </x:c>
    </x:row>
    <x:row r="156" ht="38" customHeight="1">
      <x:c r="A156" s="9" t="n">
        <x:v>148</x:v>
      </x:c>
      <x:c r="B156" s="8" t="str">
        <x:v>สยามพารากอน</x:v>
      </x:c>
      <x:c r="C156" s="8" t="str">
        <x:v>กรุงเทพมหานคร</x:v>
      </x:c>
      <x:c r="D156" s="8" t="str">
        <x:v>พัฒนาเพื่อพร้อมขาย</x:v>
      </x:c>
      <x:c r="E156" s="8" t="str">
        <x:v>ศูนย์การค้า</x:v>
      </x:c>
      <x:c r="F156" s="38" t="n">
        <x:v>46316</x:v>
      </x:c>
      <x:c r="G156" s="8" t="str">
        <x:v>TMF-278</x:v>
      </x:c>
      <x:c r="H156" s="39" t="str">
        <x:v>03</x:v>
      </x:c>
      <x:c r="I156" s="8" t="str">
        <x:v>Bangkok Muslim Heritage</x:v>
      </x:c>
      <x:c r="J156" s="8" t="str">
        <x:v>ตัวเลือกเสริม</x:v>
      </x:c>
      <x:c r="K156" s="8" t="str">
        <x:v>ศูนย์การค้า</x:v>
      </x:c>
      <x:c r="L156" s="8" t="str">
        <x:f>INDEX('ประเมินเกณฑ์'!$AE$9:$AE$608,MATCH(G156,'ประเมินเกณฑ์'!$A$9:$A$608,0))</x:f>
        <x:v>รอประเมิน</x:v>
      </x:c>
      <x:c r="M156" s="8" t="str">
        <x:v>สถานที่ในจังหวัดเส้นทาง รอตรวจระยะทางและลำดับ</x:v>
      </x:c>
      <x:c r="N156" s="8" t="str">
        <x:v>ยังไม่ยืนยันการเปิดให้บริการปัจจุบัน</x:v>
      </x:c>
      <x:c r="O156" s="40" t="n">
        <x:v>46315</x:v>
      </x:c>
    </x:row>
    <x:row r="157" ht="38" customHeight="1">
      <x:c r="A157" s="9" t="n">
        <x:v>149</x:v>
      </x:c>
      <x:c r="B157" s="8" t="str">
        <x:v>เซ็นทรัลเวิลด์</x:v>
      </x:c>
      <x:c r="C157" s="8" t="str">
        <x:v>กรุงเทพมหานคร</x:v>
      </x:c>
      <x:c r="D157" s="8" t="str">
        <x:v>พร้อมขาย</x:v>
      </x:c>
      <x:c r="E157" s="8" t="str">
        <x:v>ศูนย์การค้า</x:v>
      </x:c>
      <x:c r="F157" s="38" t="n">
        <x:v>46316</x:v>
      </x:c>
      <x:c r="G157" s="8" t="str">
        <x:v>TMF-098</x:v>
      </x:c>
      <x:c r="H157" s="39" t="str">
        <x:v>03</x:v>
      </x:c>
      <x:c r="I157" s="8" t="str">
        <x:v>Bangkok Muslim Heritage</x:v>
      </x:c>
      <x:c r="J157" s="8" t="str">
        <x:v>ตัวเลือกเสริม</x:v>
      </x:c>
      <x:c r="K157" s="8" t="str">
        <x:v>ศูนย์การค้า</x:v>
      </x:c>
      <x:c r="L157" s="8" t="str">
        <x:f>INDEX('ประเมินเกณฑ์'!$AE$9:$AE$608,MATCH(G157,'ประเมินเกณฑ์'!$A$9:$A$608,0))</x:f>
        <x:v>รอประเมิน</x:v>
      </x:c>
      <x:c r="M157" s="8" t="str">
        <x:v>สถานที่ในจังหวัดเส้นทาง รอตรวจระยะทางและลำดับ</x:v>
      </x:c>
      <x:c r="N157" s="8" t="str">
        <x:v>ยังไม่ยืนยันการเปิดให้บริการปัจจุบัน</x:v>
      </x:c>
      <x:c r="O157" s="40" t="n">
        <x:v>46315</x:v>
      </x:c>
    </x:row>
    <x:row r="158" ht="38" customHeight="1">
      <x:c r="A158" s="9" t="n">
        <x:v>150</x:v>
      </x:c>
      <x:c r="B158" s="8" t="str">
        <x:v>พิพิธภัณฑ์เด็กกรุงเทพมหานคร แห่งที่ 2</x:v>
      </x:c>
      <x:c r="C158" s="8" t="str">
        <x:v>กรุงเทพมหานคร</x:v>
      </x:c>
      <x:c r="D158" s="8" t="str">
        <x:v>มีศักยภาพ แต่ต้องพัฒนามาตรฐาน</x:v>
      </x:c>
      <x:c r="E158" s="8" t="str">
        <x:v>แหล่งท่องเที่ยวทางประวัติศาสตร์และวัฒนธรรม</x:v>
      </x:c>
      <x:c r="F158" s="38" t="n">
        <x:v>46316</x:v>
      </x:c>
      <x:c r="G158" s="8" t="str">
        <x:v>R26-312</x:v>
      </x:c>
      <x:c r="H158" s="39" t="str">
        <x:v>03</x:v>
      </x:c>
      <x:c r="I158" s="8" t="str">
        <x:v>Bangkok Muslim Heritage</x:v>
      </x:c>
      <x:c r="J158" s="8" t="str">
        <x:v>ตัวเลือกเสริม</x:v>
      </x:c>
      <x:c r="K158" s="8" t="str">
        <x:v>พิพิธภัณฑ์หรือแหล่งเรียนรู้วัฒนธรรม</x:v>
      </x:c>
      <x:c r="L158" s="8" t="str">
        <x:f>INDEX('ประเมินเกณฑ์'!$AE$9:$AE$608,MATCH(G158,'ประเมินเกณฑ์'!$A$9:$A$608,0))</x:f>
        <x:v>รอประเมิน</x:v>
      </x:c>
      <x:c r="M158" s="8" t="str">
        <x:v>สถานที่ในจังหวัดเส้นทาง รอตรวจระยะทางและลำดับ</x:v>
      </x:c>
      <x:c r="N158" s="8" t="str">
        <x:v>ยังไม่ยืนยันการเปิดให้บริการปัจจุบัน</x:v>
      </x:c>
      <x:c r="O158" s="40" t="n">
        <x:v>46316</x:v>
      </x:c>
    </x:row>
    <x:row r="159" ht="38" customHeight="1">
      <x:c r="A159" s="9" t="n">
        <x:v>151</x:v>
      </x:c>
      <x:c r="B159" s="8" t="str">
        <x:v>มัรกัส มีนบุรี</x:v>
      </x:c>
      <x:c r="C159" s="8" t="str">
        <x:v>กรุงเทพมหานคร</x:v>
      </x:c>
      <x:c r="D159" s="8" t="str">
        <x:v>พัฒนาเพื่อพร้อมขาย</x:v>
      </x:c>
      <x:c r="E159" s="8" t="str">
        <x:v>แหล่งท่องเที่ยวทางประวัติศาสตร์และวัฒนธรรม</x:v>
      </x:c>
      <x:c r="F159" s="38" t="n">
        <x:v>46316</x:v>
      </x:c>
      <x:c r="G159" s="8" t="str">
        <x:v>TMF-279</x:v>
      </x:c>
      <x:c r="H159" s="39" t="str">
        <x:v>03</x:v>
      </x:c>
      <x:c r="I159" s="8" t="str">
        <x:v>Bangkok Muslim Heritage</x:v>
      </x:c>
      <x:c r="J159" s="8" t="str">
        <x:v>ตัวเลือกเสริม</x:v>
      </x:c>
      <x:c r="K159" s="8" t="str">
        <x:v>มัสยิด</x:v>
      </x:c>
      <x:c r="L159" s="8" t="str">
        <x:f>INDEX('ประเมินเกณฑ์'!$AE$9:$AE$608,MATCH(G159,'ประเมินเกณฑ์'!$A$9:$A$608,0))</x:f>
        <x:v>รอประเมิน</x:v>
      </x:c>
      <x:c r="M159" s="8" t="str">
        <x:v>สถานที่ในจังหวัดเส้นทาง รอตรวจระยะทางและลำดับ</x:v>
      </x:c>
      <x:c r="N159" s="8" t="str">
        <x:v>ยังไม่ยืนยันการเปิดให้บริการปัจจุบัน</x:v>
      </x:c>
      <x:c r="O159" s="40" t="n">
        <x:v>46315</x:v>
      </x:c>
    </x:row>
    <x:row r="160" ht="38" customHeight="1">
      <x:c r="A160" s="9" t="n">
        <x:v>152</x:v>
      </x:c>
      <x:c r="B160" s="8" t="str">
        <x:v>มัสยิดกมาลุ้ลอิสลาม (ทรายกองดิน)</x:v>
      </x:c>
      <x:c r="C160" s="8" t="str">
        <x:v>กรุงเทพมหานคร</x:v>
      </x:c>
      <x:c r="D160" s="8" t="str">
        <x:v>พัฒนาเพื่อพร้อมขาย</x:v>
      </x:c>
      <x:c r="E160" s="8" t="str">
        <x:v>แหล่งท่องเที่ยวทางประวัติศาสตร์และวัฒนธรรม</x:v>
      </x:c>
      <x:c r="F160" s="38" t="n">
        <x:v>46316</x:v>
      </x:c>
      <x:c r="G160" s="8" t="str">
        <x:v>TMF-280</x:v>
      </x:c>
      <x:c r="H160" s="39" t="str">
        <x:v>03</x:v>
      </x:c>
      <x:c r="I160" s="8" t="str">
        <x:v>Bangkok Muslim Heritage</x:v>
      </x:c>
      <x:c r="J160" s="8" t="str">
        <x:v>ตัวเลือกเสริม</x:v>
      </x:c>
      <x:c r="K160" s="8" t="str">
        <x:v>มัสยิด</x:v>
      </x:c>
      <x:c r="L160" s="8" t="str">
        <x:f>INDEX('ประเมินเกณฑ์'!$AE$9:$AE$608,MATCH(G160,'ประเมินเกณฑ์'!$A$9:$A$608,0))</x:f>
        <x:v>รอประเมิน</x:v>
      </x:c>
      <x:c r="M160" s="8" t="str">
        <x:v>สถานที่ในจังหวัดเส้นทาง รอตรวจระยะทางและลำดับ</x:v>
      </x:c>
      <x:c r="N160" s="8" t="str">
        <x:v>ยังไม่ยืนยันการเปิดให้บริการปัจจุบัน</x:v>
      </x:c>
      <x:c r="O160" s="40" t="n">
        <x:v>46315</x:v>
      </x:c>
    </x:row>
    <x:row r="161" ht="38" customHeight="1">
      <x:c r="A161" s="9" t="n">
        <x:v>153</x:v>
      </x:c>
      <x:c r="B161" s="8" t="str">
        <x:v>มัสยิดกมาลุ้ลเอี๊ยะห์ซาน (มัสยิดกระจก)</x:v>
      </x:c>
      <x:c r="C161" s="8" t="str">
        <x:v>กรุงเทพมหานคร</x:v>
      </x:c>
      <x:c r="D161" s="8" t="str">
        <x:v>พัฒนาเพื่อพร้อมขาย</x:v>
      </x:c>
      <x:c r="E161" s="8" t="str">
        <x:v>แหล่งท่องเที่ยวทางประวัติศาสตร์และวัฒนธรรม</x:v>
      </x:c>
      <x:c r="F161" s="38" t="n">
        <x:v>46316</x:v>
      </x:c>
      <x:c r="G161" s="8" t="str">
        <x:v>TMF-281</x:v>
      </x:c>
      <x:c r="H161" s="39" t="str">
        <x:v>03</x:v>
      </x:c>
      <x:c r="I161" s="8" t="str">
        <x:v>Bangkok Muslim Heritage</x:v>
      </x:c>
      <x:c r="J161" s="8" t="str">
        <x:v>ตัวเลือกเสริม</x:v>
      </x:c>
      <x:c r="K161" s="8" t="str">
        <x:v>มัสยิด</x:v>
      </x:c>
      <x:c r="L161" s="8" t="str">
        <x:f>INDEX('ประเมินเกณฑ์'!$AE$9:$AE$608,MATCH(G161,'ประเมินเกณฑ์'!$A$9:$A$608,0))</x:f>
        <x:v>รอประเมิน</x:v>
      </x:c>
      <x:c r="M161" s="8" t="str">
        <x:v>สถานที่ในจังหวัดเส้นทาง รอตรวจระยะทางและลำดับ</x:v>
      </x:c>
      <x:c r="N161" s="8" t="str">
        <x:v>ยังไม่ยืนยันการเปิดให้บริการปัจจุบัน</x:v>
      </x:c>
      <x:c r="O161" s="40" t="n">
        <x:v>46315</x:v>
      </x:c>
    </x:row>
    <x:row r="162" ht="38" customHeight="1">
      <x:c r="A162" s="9" t="n">
        <x:v>154</x:v>
      </x:c>
      <x:c r="B162" s="8" t="str">
        <x:v>มัสยิดซอลาฮุดดีน</x:v>
      </x:c>
      <x:c r="C162" s="8" t="str">
        <x:v>กรุงเทพมหานคร</x:v>
      </x:c>
      <x:c r="D162" s="8" t="str">
        <x:v>พัฒนาเพื่อพร้อมขาย</x:v>
      </x:c>
      <x:c r="E162" s="8" t="str">
        <x:v>แหล่งท่องเที่ยวทางประวัติศาสตร์และวัฒนธรรม</x:v>
      </x:c>
      <x:c r="F162" s="38" t="n">
        <x:v>46316</x:v>
      </x:c>
      <x:c r="G162" s="8" t="str">
        <x:v>TMF-283</x:v>
      </x:c>
      <x:c r="H162" s="39" t="str">
        <x:v>03</x:v>
      </x:c>
      <x:c r="I162" s="8" t="str">
        <x:v>Bangkok Muslim Heritage</x:v>
      </x:c>
      <x:c r="J162" s="8" t="str">
        <x:v>ตัวเลือกเสริม</x:v>
      </x:c>
      <x:c r="K162" s="8" t="str">
        <x:v>มัสยิด</x:v>
      </x:c>
      <x:c r="L162" s="8" t="str">
        <x:f>INDEX('ประเมินเกณฑ์'!$AE$9:$AE$608,MATCH(G162,'ประเมินเกณฑ์'!$A$9:$A$608,0))</x:f>
        <x:v>รอประเมิน</x:v>
      </x:c>
      <x:c r="M162" s="8" t="str">
        <x:v>สถานที่ในจังหวัดเส้นทาง รอตรวจระยะทางและลำดับ</x:v>
      </x:c>
      <x:c r="N162" s="8" t="str">
        <x:v>ยังไม่ยืนยันการเปิดให้บริการปัจจุบัน</x:v>
      </x:c>
      <x:c r="O162" s="40" t="n">
        <x:v>46315</x:v>
      </x:c>
    </x:row>
    <x:row r="163" ht="38" customHeight="1">
      <x:c r="A163" s="9" t="n">
        <x:v>155</x:v>
      </x:c>
      <x:c r="B163" s="8" t="str">
        <x:v>มัสยิดญามีอุ๊ลค็อยร๊อต (บางอุทิศใน)</x:v>
      </x:c>
      <x:c r="C163" s="8" t="str">
        <x:v>กรุงเทพมหานคร</x:v>
      </x:c>
      <x:c r="D163" s="8" t="str">
        <x:v>พัฒนาเพื่อพร้อมขาย</x:v>
      </x:c>
      <x:c r="E163" s="8" t="str">
        <x:v>แหล่งท่องเที่ยวทางประวัติศาสตร์และวัฒนธรรม</x:v>
      </x:c>
      <x:c r="F163" s="38" t="n">
        <x:v>46316</x:v>
      </x:c>
      <x:c r="G163" s="8" t="str">
        <x:v>TMF-284</x:v>
      </x:c>
      <x:c r="H163" s="39" t="str">
        <x:v>03</x:v>
      </x:c>
      <x:c r="I163" s="8" t="str">
        <x:v>Bangkok Muslim Heritage</x:v>
      </x:c>
      <x:c r="J163" s="8" t="str">
        <x:v>ตัวเลือกเสริม</x:v>
      </x:c>
      <x:c r="K163" s="8" t="str">
        <x:v>มัสยิด</x:v>
      </x:c>
      <x:c r="L163" s="8" t="str">
        <x:f>INDEX('ประเมินเกณฑ์'!$AE$9:$AE$608,MATCH(G163,'ประเมินเกณฑ์'!$A$9:$A$608,0))</x:f>
        <x:v>รอประเมิน</x:v>
      </x:c>
      <x:c r="M163" s="8" t="str">
        <x:v>สถานที่ในจังหวัดเส้นทาง รอตรวจระยะทางและลำดับ</x:v>
      </x:c>
      <x:c r="N163" s="8" t="str">
        <x:v>ยังไม่ยืนยันการเปิดให้บริการปัจจุบัน</x:v>
      </x:c>
      <x:c r="O163" s="40" t="n">
        <x:v>46315</x:v>
      </x:c>
    </x:row>
    <x:row r="164" ht="38" customHeight="1">
      <x:c r="A164" s="9" t="n">
        <x:v>156</x:v>
      </x:c>
      <x:c r="B164" s="8" t="str">
        <x:v>มัสยิดดารุล-อิหซาน</x:v>
      </x:c>
      <x:c r="C164" s="8" t="str">
        <x:v>กรุงเทพมหานคร</x:v>
      </x:c>
      <x:c r="D164" s="8" t="str">
        <x:v>พัฒนาเพื่อพร้อมขาย</x:v>
      </x:c>
      <x:c r="E164" s="8" t="str">
        <x:v>แหล่งท่องเที่ยวทางประวัติศาสตร์และวัฒนธรรม</x:v>
      </x:c>
      <x:c r="F164" s="38" t="n">
        <x:v>46316</x:v>
      </x:c>
      <x:c r="G164" s="8" t="str">
        <x:v>TMF-285</x:v>
      </x:c>
      <x:c r="H164" s="39" t="str">
        <x:v>03</x:v>
      </x:c>
      <x:c r="I164" s="8" t="str">
        <x:v>Bangkok Muslim Heritage</x:v>
      </x:c>
      <x:c r="J164" s="8" t="str">
        <x:v>ตัวเลือกเสริม</x:v>
      </x:c>
      <x:c r="K164" s="8" t="str">
        <x:v>มัสยิด</x:v>
      </x:c>
      <x:c r="L164" s="8" t="str">
        <x:f>INDEX('ประเมินเกณฑ์'!$AE$9:$AE$608,MATCH(G164,'ประเมินเกณฑ์'!$A$9:$A$608,0))</x:f>
        <x:v>รอประเมิน</x:v>
      </x:c>
      <x:c r="M164" s="8" t="str">
        <x:v>สถานที่ในจังหวัดเส้นทาง รอตรวจระยะทางและลำดับ</x:v>
      </x:c>
      <x:c r="N164" s="8" t="str">
        <x:v>ยังไม่ยืนยันการเปิดให้บริการปัจจุบัน</x:v>
      </x:c>
      <x:c r="O164" s="40" t="n">
        <x:v>46315</x:v>
      </x:c>
    </x:row>
    <x:row r="165" ht="38" customHeight="1">
      <x:c r="A165" s="9" t="n">
        <x:v>157</x:v>
      </x:c>
      <x:c r="B165" s="8" t="str">
        <x:v>มัสยิดดารุสซุนนี</x:v>
      </x:c>
      <x:c r="C165" s="8" t="str">
        <x:v>กรุงเทพมหานคร</x:v>
      </x:c>
      <x:c r="D165" s="8" t="str">
        <x:v>พัฒนาเพื่อพร้อมขาย</x:v>
      </x:c>
      <x:c r="E165" s="8" t="str">
        <x:v>แหล่งท่องเที่ยวทางประวัติศาสตร์และวัฒนธรรม</x:v>
      </x:c>
      <x:c r="F165" s="38" t="n">
        <x:v>46316</x:v>
      </x:c>
      <x:c r="G165" s="8" t="str">
        <x:v>TMF-287</x:v>
      </x:c>
      <x:c r="H165" s="39" t="str">
        <x:v>03</x:v>
      </x:c>
      <x:c r="I165" s="8" t="str">
        <x:v>Bangkok Muslim Heritage</x:v>
      </x:c>
      <x:c r="J165" s="8" t="str">
        <x:v>ตัวเลือกเสริม</x:v>
      </x:c>
      <x:c r="K165" s="8" t="str">
        <x:v>มัสยิด</x:v>
      </x:c>
      <x:c r="L165" s="8" t="str">
        <x:f>INDEX('ประเมินเกณฑ์'!$AE$9:$AE$608,MATCH(G165,'ประเมินเกณฑ์'!$A$9:$A$608,0))</x:f>
        <x:v>รอประเมิน</x:v>
      </x:c>
      <x:c r="M165" s="8" t="str">
        <x:v>สถานที่ในจังหวัดเส้นทาง รอตรวจระยะทางและลำดับ</x:v>
      </x:c>
      <x:c r="N165" s="8" t="str">
        <x:v>ยังไม่ยืนยันการเปิดให้บริการปัจจุบัน</x:v>
      </x:c>
      <x:c r="O165" s="40" t="n">
        <x:v>46315</x:v>
      </x:c>
    </x:row>
    <x:row r="166" ht="38" customHeight="1">
      <x:c r="A166" s="9" t="n">
        <x:v>158</x:v>
      </x:c>
      <x:c r="B166" s="8" t="str">
        <x:v>มัสยิดดารุสสลาม บาหยัน</x:v>
      </x:c>
      <x:c r="C166" s="8" t="str">
        <x:v>กรุงเทพมหานคร</x:v>
      </x:c>
      <x:c r="D166" s="8" t="str">
        <x:v>พัฒนาเพื่อพร้อมขาย</x:v>
      </x:c>
      <x:c r="E166" s="8" t="str">
        <x:v>แหล่งท่องเที่ยวทางประวัติศาสตร์และวัฒนธรรม</x:v>
      </x:c>
      <x:c r="F166" s="38" t="n">
        <x:v>46316</x:v>
      </x:c>
      <x:c r="G166" s="8" t="str">
        <x:v>TMF-288</x:v>
      </x:c>
      <x:c r="H166" s="39" t="str">
        <x:v>03</x:v>
      </x:c>
      <x:c r="I166" s="8" t="str">
        <x:v>Bangkok Muslim Heritage</x:v>
      </x:c>
      <x:c r="J166" s="8" t="str">
        <x:v>ตัวเลือกเสริม</x:v>
      </x:c>
      <x:c r="K166" s="8" t="str">
        <x:v>มัสยิด</x:v>
      </x:c>
      <x:c r="L166" s="8" t="str">
        <x:f>INDEX('ประเมินเกณฑ์'!$AE$9:$AE$608,MATCH(G166,'ประเมินเกณฑ์'!$A$9:$A$608,0))</x:f>
        <x:v>รอประเมิน</x:v>
      </x:c>
      <x:c r="M166" s="8" t="str">
        <x:v>สถานที่ในจังหวัดเส้นทาง รอตรวจระยะทางและลำดับ</x:v>
      </x:c>
      <x:c r="N166" s="8" t="str">
        <x:v>ยังไม่ยืนยันการเปิดให้บริการปัจจุบัน</x:v>
      </x:c>
      <x:c r="O166" s="40" t="n">
        <x:v>46315</x:v>
      </x:c>
    </x:row>
    <x:row r="167" ht="38" customHeight="1">
      <x:c r="A167" s="9" t="n">
        <x:v>159</x:v>
      </x:c>
      <x:c r="B167" s="8" t="str">
        <x:v>มัสยิดดารุสสะลาม (เจียรดับใหญ่)</x:v>
      </x:c>
      <x:c r="C167" s="8" t="str">
        <x:v>กรุงเทพมหานคร</x:v>
      </x:c>
      <x:c r="D167" s="8" t="str">
        <x:v>พัฒนาเพื่อพร้อมขาย</x:v>
      </x:c>
      <x:c r="E167" s="8" t="str">
        <x:v>แหล่งท่องเที่ยวทางประวัติศาสตร์และวัฒนธรรม</x:v>
      </x:c>
      <x:c r="F167" s="38" t="n">
        <x:v>46316</x:v>
      </x:c>
      <x:c r="G167" s="8" t="str">
        <x:v>TMF-289</x:v>
      </x:c>
      <x:c r="H167" s="39" t="str">
        <x:v>03</x:v>
      </x:c>
      <x:c r="I167" s="8" t="str">
        <x:v>Bangkok Muslim Heritage</x:v>
      </x:c>
      <x:c r="J167" s="8" t="str">
        <x:v>ตัวเลือกเสริม</x:v>
      </x:c>
      <x:c r="K167" s="8" t="str">
        <x:v>มัสยิด</x:v>
      </x:c>
      <x:c r="L167" s="8" t="str">
        <x:f>INDEX('ประเมินเกณฑ์'!$AE$9:$AE$608,MATCH(G167,'ประเมินเกณฑ์'!$A$9:$A$608,0))</x:f>
        <x:v>รอประเมิน</x:v>
      </x:c>
      <x:c r="M167" s="8" t="str">
        <x:v>สถานที่ในจังหวัดเส้นทาง รอตรวจระยะทางและลำดับ</x:v>
      </x:c>
      <x:c r="N167" s="8" t="str">
        <x:v>ยังไม่ยืนยันการเปิดให้บริการปัจจุบัน</x:v>
      </x:c>
      <x:c r="O167" s="40" t="n">
        <x:v>46315</x:v>
      </x:c>
    </x:row>
    <x:row r="168" ht="38" customHeight="1">
      <x:c r="A168" s="9" t="n">
        <x:v>160</x:v>
      </x:c>
      <x:c r="B168" s="8" t="str">
        <x:v>มัสยิดดารุ้ลฆอนี (โต๊ะนิล)</x:v>
      </x:c>
      <x:c r="C168" s="8" t="str">
        <x:v>กรุงเทพมหานคร</x:v>
      </x:c>
      <x:c r="D168" s="8" t="str">
        <x:v>พัฒนาเพื่อพร้อมขาย</x:v>
      </x:c>
      <x:c r="E168" s="8" t="str">
        <x:v>แหล่งท่องเที่ยวทางประวัติศาสตร์และวัฒนธรรม</x:v>
      </x:c>
      <x:c r="F168" s="38" t="n">
        <x:v>46316</x:v>
      </x:c>
      <x:c r="G168" s="8" t="str">
        <x:v>TMF-291</x:v>
      </x:c>
      <x:c r="H168" s="39" t="str">
        <x:v>03</x:v>
      </x:c>
      <x:c r="I168" s="8" t="str">
        <x:v>Bangkok Muslim Heritage</x:v>
      </x:c>
      <x:c r="J168" s="8" t="str">
        <x:v>ตัวเลือกเสริม</x:v>
      </x:c>
      <x:c r="K168" s="8" t="str">
        <x:v>มัสยิด</x:v>
      </x:c>
      <x:c r="L168" s="8" t="str">
        <x:f>INDEX('ประเมินเกณฑ์'!$AE$9:$AE$608,MATCH(G168,'ประเมินเกณฑ์'!$A$9:$A$608,0))</x:f>
        <x:v>รอประเมิน</x:v>
      </x:c>
      <x:c r="M168" s="8" t="str">
        <x:v>สถานที่ในจังหวัดเส้นทาง รอตรวจระยะทางและลำดับ</x:v>
      </x:c>
      <x:c r="N168" s="8" t="str">
        <x:v>ยังไม่ยืนยันการเปิดให้บริการปัจจุบัน</x:v>
      </x:c>
      <x:c r="O168" s="40" t="n">
        <x:v>46315</x:v>
      </x:c>
    </x:row>
    <x:row r="169" ht="38" customHeight="1">
      <x:c r="A169" s="9" t="n">
        <x:v>161</x:v>
      </x:c>
      <x:c r="B169" s="8" t="str">
        <x:v>มัสยิดดารุ้ลนาอีม (แบนชะโด)</x:v>
      </x:c>
      <x:c r="C169" s="8" t="str">
        <x:v>กรุงเทพมหานคร</x:v>
      </x:c>
      <x:c r="D169" s="8" t="str">
        <x:v>พัฒนาเพื่อพร้อมขาย</x:v>
      </x:c>
      <x:c r="E169" s="8" t="str">
        <x:v>แหล่งท่องเที่ยวทางประวัติศาสตร์และวัฒนธรรม</x:v>
      </x:c>
      <x:c r="F169" s="38" t="n">
        <x:v>46316</x:v>
      </x:c>
      <x:c r="G169" s="8" t="str">
        <x:v>TMF-292</x:v>
      </x:c>
      <x:c r="H169" s="39" t="str">
        <x:v>03</x:v>
      </x:c>
      <x:c r="I169" s="8" t="str">
        <x:v>Bangkok Muslim Heritage</x:v>
      </x:c>
      <x:c r="J169" s="8" t="str">
        <x:v>ตัวเลือกเสริม</x:v>
      </x:c>
      <x:c r="K169" s="8" t="str">
        <x:v>มัสยิด</x:v>
      </x:c>
      <x:c r="L169" s="8" t="str">
        <x:f>INDEX('ประเมินเกณฑ์'!$AE$9:$AE$608,MATCH(G169,'ประเมินเกณฑ์'!$A$9:$A$608,0))</x:f>
        <x:v>รอประเมิน</x:v>
      </x:c>
      <x:c r="M169" s="8" t="str">
        <x:v>สถานที่ในจังหวัดเส้นทาง รอตรวจระยะทางและลำดับ</x:v>
      </x:c>
      <x:c r="N169" s="8" t="str">
        <x:v>ยังไม่ยืนยันการเปิดให้บริการปัจจุบัน</x:v>
      </x:c>
      <x:c r="O169" s="40" t="n">
        <x:v>46315</x:v>
      </x:c>
    </x:row>
    <x:row r="170" ht="38" customHeight="1">
      <x:c r="A170" s="9" t="n">
        <x:v>162</x:v>
      </x:c>
      <x:c r="B170" s="8" t="str">
        <x:v>มัสยิดดารุ้ลมุตตะกีน</x:v>
      </x:c>
      <x:c r="C170" s="8" t="str">
        <x:v>กรุงเทพมหานคร</x:v>
      </x:c>
      <x:c r="D170" s="8" t="str">
        <x:v>พัฒนาเพื่อพร้อมขาย</x:v>
      </x:c>
      <x:c r="E170" s="8" t="str">
        <x:v>แหล่งท่องเที่ยวทางประวัติศาสตร์และวัฒนธรรม</x:v>
      </x:c>
      <x:c r="F170" s="38" t="n">
        <x:v>46316</x:v>
      </x:c>
      <x:c r="G170" s="8" t="str">
        <x:v>TMF-293</x:v>
      </x:c>
      <x:c r="H170" s="39" t="str">
        <x:v>03</x:v>
      </x:c>
      <x:c r="I170" s="8" t="str">
        <x:v>Bangkok Muslim Heritage</x:v>
      </x:c>
      <x:c r="J170" s="8" t="str">
        <x:v>ตัวเลือกเสริม</x:v>
      </x:c>
      <x:c r="K170" s="8" t="str">
        <x:v>มัสยิด</x:v>
      </x:c>
      <x:c r="L170" s="8" t="str">
        <x:f>INDEX('ประเมินเกณฑ์'!$AE$9:$AE$608,MATCH(G170,'ประเมินเกณฑ์'!$A$9:$A$608,0))</x:f>
        <x:v>รอประเมิน</x:v>
      </x:c>
      <x:c r="M170" s="8" t="str">
        <x:v>สถานที่ในจังหวัดเส้นทาง รอตรวจระยะทางและลำดับ</x:v>
      </x:c>
      <x:c r="N170" s="8" t="str">
        <x:v>ยังไม่ยืนยันการเปิดให้บริการปัจจุบัน</x:v>
      </x:c>
      <x:c r="O170" s="40" t="n">
        <x:v>46315</x:v>
      </x:c>
    </x:row>
    <x:row r="171" ht="38" customHeight="1">
      <x:c r="A171" s="9" t="n">
        <x:v>163</x:v>
      </x:c>
      <x:c r="B171" s="8" t="str">
        <x:v>มัสยิดดารุ้ลมุสลิมีน (กลิ่นชื่นอุปถัมภ์)</x:v>
      </x:c>
      <x:c r="C171" s="8" t="str">
        <x:v>กรุงเทพมหานคร</x:v>
      </x:c>
      <x:c r="D171" s="8" t="str">
        <x:v>พัฒนาเพื่อพร้อมขาย</x:v>
      </x:c>
      <x:c r="E171" s="8" t="str">
        <x:v>แหล่งท่องเที่ยวทางประวัติศาสตร์และวัฒนธรรม</x:v>
      </x:c>
      <x:c r="F171" s="38" t="n">
        <x:v>46316</x:v>
      </x:c>
      <x:c r="G171" s="8" t="str">
        <x:v>TMF-294</x:v>
      </x:c>
      <x:c r="H171" s="39" t="str">
        <x:v>03</x:v>
      </x:c>
      <x:c r="I171" s="8" t="str">
        <x:v>Bangkok Muslim Heritage</x:v>
      </x:c>
      <x:c r="J171" s="8" t="str">
        <x:v>ตัวเลือกเสริม</x:v>
      </x:c>
      <x:c r="K171" s="8" t="str">
        <x:v>มัสยิด</x:v>
      </x:c>
      <x:c r="L171" s="8" t="str">
        <x:f>INDEX('ประเมินเกณฑ์'!$AE$9:$AE$608,MATCH(G171,'ประเมินเกณฑ์'!$A$9:$A$608,0))</x:f>
        <x:v>รอประเมิน</x:v>
      </x:c>
      <x:c r="M171" s="8" t="str">
        <x:v>สถานที่ในจังหวัดเส้นทาง รอตรวจระยะทางและลำดับ</x:v>
      </x:c>
      <x:c r="N171" s="8" t="str">
        <x:v>ยังไม่ยืนยันการเปิดให้บริการปัจจุบัน</x:v>
      </x:c>
      <x:c r="O171" s="40" t="n">
        <x:v>46315</x:v>
      </x:c>
    </x:row>
    <x:row r="172" ht="38" customHeight="1">
      <x:c r="A172" s="9" t="n">
        <x:v>164</x:v>
      </x:c>
      <x:c r="B172" s="8" t="str">
        <x:v>มัสยิดนูรุดดีน (บ้านเกาะคลอง 13)</x:v>
      </x:c>
      <x:c r="C172" s="8" t="str">
        <x:v>กรุงเทพมหานคร</x:v>
      </x:c>
      <x:c r="D172" s="8" t="str">
        <x:v>พัฒนาเพื่อพร้อมขาย</x:v>
      </x:c>
      <x:c r="E172" s="8" t="str">
        <x:v>แหล่งท่องเที่ยวทางประวัติศาสตร์และวัฒนธรรม</x:v>
      </x:c>
      <x:c r="F172" s="38" t="n">
        <x:v>46316</x:v>
      </x:c>
      <x:c r="G172" s="8" t="str">
        <x:v>TMF-296</x:v>
      </x:c>
      <x:c r="H172" s="39" t="str">
        <x:v>03</x:v>
      </x:c>
      <x:c r="I172" s="8" t="str">
        <x:v>Bangkok Muslim Heritage</x:v>
      </x:c>
      <x:c r="J172" s="8" t="str">
        <x:v>ตัวเลือกเสริม</x:v>
      </x:c>
      <x:c r="K172" s="8" t="str">
        <x:v>มัสยิด</x:v>
      </x:c>
      <x:c r="L172" s="8" t="str">
        <x:f>INDEX('ประเมินเกณฑ์'!$AE$9:$AE$608,MATCH(G172,'ประเมินเกณฑ์'!$A$9:$A$608,0))</x:f>
        <x:v>รอประเมิน</x:v>
      </x:c>
      <x:c r="M172" s="8" t="str">
        <x:v>สถานที่ในจังหวัดเส้นทาง รอตรวจระยะทางและลำดับ</x:v>
      </x:c>
      <x:c r="N172" s="8" t="str">
        <x:v>ยังไม่ยืนยันการเปิดให้บริการปัจจุบัน</x:v>
      </x:c>
      <x:c r="O172" s="40" t="n">
        <x:v>46315</x:v>
      </x:c>
    </x:row>
    <x:row r="173" ht="38" customHeight="1">
      <x:c r="A173" s="9" t="n">
        <x:v>165</x:v>
      </x:c>
      <x:c r="B173" s="8" t="str">
        <x:v>มัสยิดนูรุสสะลาม กุโบร์โต๊ะเยาะห์</x:v>
      </x:c>
      <x:c r="C173" s="8" t="str">
        <x:v>กรุงเทพมหานคร</x:v>
      </x:c>
      <x:c r="D173" s="8" t="str">
        <x:v>พัฒนาเพื่อพร้อมขาย</x:v>
      </x:c>
      <x:c r="E173" s="8" t="str">
        <x:v>แหล่งท่องเที่ยวทางประวัติศาสตร์และวัฒนธรรม</x:v>
      </x:c>
      <x:c r="F173" s="38" t="n">
        <x:v>46316</x:v>
      </x:c>
      <x:c r="G173" s="8" t="str">
        <x:v>TMF-298</x:v>
      </x:c>
      <x:c r="H173" s="39" t="str">
        <x:v>03</x:v>
      </x:c>
      <x:c r="I173" s="8" t="str">
        <x:v>Bangkok Muslim Heritage</x:v>
      </x:c>
      <x:c r="J173" s="8" t="str">
        <x:v>ตัวเลือกเสริม</x:v>
      </x:c>
      <x:c r="K173" s="8" t="str">
        <x:v>มัสยิด</x:v>
      </x:c>
      <x:c r="L173" s="8" t="str">
        <x:f>INDEX('ประเมินเกณฑ์'!$AE$9:$AE$608,MATCH(G173,'ประเมินเกณฑ์'!$A$9:$A$608,0))</x:f>
        <x:v>รอประเมิน</x:v>
      </x:c>
      <x:c r="M173" s="8" t="str">
        <x:v>สถานที่ในจังหวัดเส้นทาง รอตรวจระยะทางและลำดับ</x:v>
      </x:c>
      <x:c r="N173" s="8" t="str">
        <x:v>ยังไม่ยืนยันการเปิดให้บริการปัจจุบัน</x:v>
      </x:c>
      <x:c r="O173" s="40" t="n">
        <x:v>46315</x:v>
      </x:c>
    </x:row>
    <x:row r="174" ht="38" customHeight="1">
      <x:c r="A174" s="9" t="n">
        <x:v>166</x:v>
      </x:c>
      <x:c r="B174" s="8" t="str">
        <x:v>มัสยิดนูรุ้ลอิสลาม (วังใหญ่)</x:v>
      </x:c>
      <x:c r="C174" s="8" t="str">
        <x:v>กรุงเทพมหานคร</x:v>
      </x:c>
      <x:c r="D174" s="8" t="str">
        <x:v>พัฒนาเพื่อพร้อมขาย</x:v>
      </x:c>
      <x:c r="E174" s="8" t="str">
        <x:v>แหล่งท่องเที่ยวทางประวัติศาสตร์และวัฒนธรรม</x:v>
      </x:c>
      <x:c r="F174" s="38" t="n">
        <x:v>46316</x:v>
      </x:c>
      <x:c r="G174" s="8" t="str">
        <x:v>TMF-299</x:v>
      </x:c>
      <x:c r="H174" s="39" t="str">
        <x:v>03</x:v>
      </x:c>
      <x:c r="I174" s="8" t="str">
        <x:v>Bangkok Muslim Heritage</x:v>
      </x:c>
      <x:c r="J174" s="8" t="str">
        <x:v>ตัวเลือกเสริม</x:v>
      </x:c>
      <x:c r="K174" s="8" t="str">
        <x:v>มัสยิด</x:v>
      </x:c>
      <x:c r="L174" s="8" t="str">
        <x:f>INDEX('ประเมินเกณฑ์'!$AE$9:$AE$608,MATCH(G174,'ประเมินเกณฑ์'!$A$9:$A$608,0))</x:f>
        <x:v>รอประเมิน</x:v>
      </x:c>
      <x:c r="M174" s="8" t="str">
        <x:v>สถานที่ในจังหวัดเส้นทาง รอตรวจระยะทางและลำดับ</x:v>
      </x:c>
      <x:c r="N174" s="8" t="str">
        <x:v>ยังไม่ยืนยันการเปิดให้บริการปัจจุบัน</x:v>
      </x:c>
      <x:c r="O174" s="40" t="n">
        <x:v>46315</x:v>
      </x:c>
    </x:row>
    <x:row r="175" ht="38" customHeight="1">
      <x:c r="A175" s="9" t="n">
        <x:v>167</x:v>
      </x:c>
      <x:c r="B175" s="8" t="str">
        <x:v>มัสยิดนูรุ้ลฮูดา (คลองสองต้นนุ่น)</x:v>
      </x:c>
      <x:c r="C175" s="8" t="str">
        <x:v>กรุงเทพมหานคร</x:v>
      </x:c>
      <x:c r="D175" s="8" t="str">
        <x:v>พัฒนาเพื่อพร้อมขาย</x:v>
      </x:c>
      <x:c r="E175" s="8" t="str">
        <x:v>แหล่งท่องเที่ยวทางประวัติศาสตร์และวัฒนธรรม</x:v>
      </x:c>
      <x:c r="F175" s="38" t="n">
        <x:v>46316</x:v>
      </x:c>
      <x:c r="G175" s="8" t="str">
        <x:v>TMF-300</x:v>
      </x:c>
      <x:c r="H175" s="39" t="str">
        <x:v>03</x:v>
      </x:c>
      <x:c r="I175" s="8" t="str">
        <x:v>Bangkok Muslim Heritage</x:v>
      </x:c>
      <x:c r="J175" s="8" t="str">
        <x:v>ตัวเลือกเสริม</x:v>
      </x:c>
      <x:c r="K175" s="8" t="str">
        <x:v>มัสยิด</x:v>
      </x:c>
      <x:c r="L175" s="8" t="str">
        <x:f>INDEX('ประเมินเกณฑ์'!$AE$9:$AE$608,MATCH(G175,'ประเมินเกณฑ์'!$A$9:$A$608,0))</x:f>
        <x:v>รอประเมิน</x:v>
      </x:c>
      <x:c r="M175" s="8" t="str">
        <x:v>สถานที่ในจังหวัดเส้นทาง รอตรวจระยะทางและลำดับ</x:v>
      </x:c>
      <x:c r="N175" s="8" t="str">
        <x:v>ยังไม่ยืนยันการเปิดให้บริการปัจจุบัน</x:v>
      </x:c>
      <x:c r="O175" s="40" t="n">
        <x:v>46315</x:v>
      </x:c>
    </x:row>
    <x:row r="176" ht="38" customHeight="1">
      <x:c r="A176" s="9" t="n">
        <x:v>168</x:v>
      </x:c>
      <x:c r="B176" s="8" t="str">
        <x:v>มัสยิดนูรุ้ลเอี๊ยะห์ซาน (ลำตาจีน)</x:v>
      </x:c>
      <x:c r="C176" s="8" t="str">
        <x:v>กรุงเทพมหานคร</x:v>
      </x:c>
      <x:c r="D176" s="8" t="str">
        <x:v>พัฒนาเพื่อพร้อมขาย</x:v>
      </x:c>
      <x:c r="E176" s="8" t="str">
        <x:v>แหล่งท่องเที่ยวทางประวัติศาสตร์และวัฒนธรรม</x:v>
      </x:c>
      <x:c r="F176" s="38" t="n">
        <x:v>46316</x:v>
      </x:c>
      <x:c r="G176" s="8" t="str">
        <x:v>TMF-301</x:v>
      </x:c>
      <x:c r="H176" s="39" t="str">
        <x:v>03</x:v>
      </x:c>
      <x:c r="I176" s="8" t="str">
        <x:v>Bangkok Muslim Heritage</x:v>
      </x:c>
      <x:c r="J176" s="8" t="str">
        <x:v>ตัวเลือกเสริม</x:v>
      </x:c>
      <x:c r="K176" s="8" t="str">
        <x:v>มัสยิด</x:v>
      </x:c>
      <x:c r="L176" s="8" t="str">
        <x:f>INDEX('ประเมินเกณฑ์'!$AE$9:$AE$608,MATCH(G176,'ประเมินเกณฑ์'!$A$9:$A$608,0))</x:f>
        <x:v>รอประเมิน</x:v>
      </x:c>
      <x:c r="M176" s="8" t="str">
        <x:v>สถานที่ในจังหวัดเส้นทาง รอตรวจระยะทางและลำดับ</x:v>
      </x:c>
      <x:c r="N176" s="8" t="str">
        <x:v>ยังไม่ยืนยันการเปิดให้บริการปัจจุบัน</x:v>
      </x:c>
      <x:c r="O176" s="40" t="n">
        <x:v>46315</x:v>
      </x:c>
    </x:row>
    <x:row r="177" ht="38" customHeight="1">
      <x:c r="A177" s="9" t="n">
        <x:v>169</x:v>
      </x:c>
      <x:c r="B177" s="8" t="str">
        <x:v>มัสยิดบางอ้อ</x:v>
      </x:c>
      <x:c r="C177" s="8" t="str">
        <x:v>กรุงเทพมหานคร</x:v>
      </x:c>
      <x:c r="D177" s="8" t="str">
        <x:v>พัฒนาเพื่อพร้อมขาย</x:v>
      </x:c>
      <x:c r="E177" s="8" t="str">
        <x:v>แหล่งท่องเที่ยวทางประวัติศาสตร์และวัฒนธรรม</x:v>
      </x:c>
      <x:c r="F177" s="38" t="n">
        <x:v>46316</x:v>
      </x:c>
      <x:c r="G177" s="8" t="str">
        <x:v>TMF-303</x:v>
      </x:c>
      <x:c r="H177" s="39" t="str">
        <x:v>03</x:v>
      </x:c>
      <x:c r="I177" s="8" t="str">
        <x:v>Bangkok Muslim Heritage</x:v>
      </x:c>
      <x:c r="J177" s="8" t="str">
        <x:v>ตัวเลือกเสริม</x:v>
      </x:c>
      <x:c r="K177" s="8" t="str">
        <x:v>มัสยิด</x:v>
      </x:c>
      <x:c r="L177" s="8" t="str">
        <x:f>INDEX('ประเมินเกณฑ์'!$AE$9:$AE$608,MATCH(G177,'ประเมินเกณฑ์'!$A$9:$A$608,0))</x:f>
        <x:v>รอประเมิน</x:v>
      </x:c>
      <x:c r="M177" s="8" t="str">
        <x:v>สถานที่ในจังหวัดเส้นทาง รอตรวจระยะทางและลำดับ</x:v>
      </x:c>
      <x:c r="N177" s="8" t="str">
        <x:v>ยังไม่ยืนยันการเปิดให้บริการปัจจุบัน</x:v>
      </x:c>
      <x:c r="O177" s="40" t="n">
        <x:v>46315</x:v>
      </x:c>
    </x:row>
    <x:row r="178" ht="38" customHeight="1">
      <x:c r="A178" s="9" t="n">
        <x:v>170</x:v>
      </x:c>
      <x:c r="B178" s="8" t="str">
        <x:v>มัสยิดยะมีอุ้ลมุตตะกีน (ลำหินใต้)</x:v>
      </x:c>
      <x:c r="C178" s="8" t="str">
        <x:v>กรุงเทพมหานคร</x:v>
      </x:c>
      <x:c r="D178" s="8" t="str">
        <x:v>พัฒนาเพื่อพร้อมขาย</x:v>
      </x:c>
      <x:c r="E178" s="8" t="str">
        <x:v>แหล่งท่องเที่ยวทางประวัติศาสตร์และวัฒนธรรม</x:v>
      </x:c>
      <x:c r="F178" s="38" t="n">
        <x:v>46316</x:v>
      </x:c>
      <x:c r="G178" s="8" t="str">
        <x:v>TMF-305</x:v>
      </x:c>
      <x:c r="H178" s="39" t="str">
        <x:v>03</x:v>
      </x:c>
      <x:c r="I178" s="8" t="str">
        <x:v>Bangkok Muslim Heritage</x:v>
      </x:c>
      <x:c r="J178" s="8" t="str">
        <x:v>ตัวเลือกเสริม</x:v>
      </x:c>
      <x:c r="K178" s="8" t="str">
        <x:v>มัสยิด</x:v>
      </x:c>
      <x:c r="L178" s="8" t="str">
        <x:f>INDEX('ประเมินเกณฑ์'!$AE$9:$AE$608,MATCH(G178,'ประเมินเกณฑ์'!$A$9:$A$608,0))</x:f>
        <x:v>รอประเมิน</x:v>
      </x:c>
      <x:c r="M178" s="8" t="str">
        <x:v>สถานที่ในจังหวัดเส้นทาง รอตรวจระยะทางและลำดับ</x:v>
      </x:c>
      <x:c r="N178" s="8" t="str">
        <x:v>ยังไม่ยืนยันการเปิดให้บริการปัจจุบัน</x:v>
      </x:c>
      <x:c r="O178" s="40" t="n">
        <x:v>46315</x:v>
      </x:c>
    </x:row>
    <x:row r="179" ht="38" customHeight="1">
      <x:c r="A179" s="9" t="n">
        <x:v>171</x:v>
      </x:c>
      <x:c r="B179" s="8" t="str">
        <x:v>มัสยิดยำอุลอิควาน (ลำมดตะนอย)</x:v>
      </x:c>
      <x:c r="C179" s="8" t="str">
        <x:v>กรุงเทพมหานคร</x:v>
      </x:c>
      <x:c r="D179" s="8" t="str">
        <x:v>พัฒนาเพื่อพร้อมขาย</x:v>
      </x:c>
      <x:c r="E179" s="8" t="str">
        <x:v>แหล่งท่องเที่ยวทางประวัติศาสตร์และวัฒนธรรม</x:v>
      </x:c>
      <x:c r="F179" s="38" t="n">
        <x:v>46316</x:v>
      </x:c>
      <x:c r="G179" s="8" t="str">
        <x:v>TMF-306</x:v>
      </x:c>
      <x:c r="H179" s="39" t="str">
        <x:v>03</x:v>
      </x:c>
      <x:c r="I179" s="8" t="str">
        <x:v>Bangkok Muslim Heritage</x:v>
      </x:c>
      <x:c r="J179" s="8" t="str">
        <x:v>ตัวเลือกเสริม</x:v>
      </x:c>
      <x:c r="K179" s="8" t="str">
        <x:v>มัสยิด</x:v>
      </x:c>
      <x:c r="L179" s="8" t="str">
        <x:f>INDEX('ประเมินเกณฑ์'!$AE$9:$AE$608,MATCH(G179,'ประเมินเกณฑ์'!$A$9:$A$608,0))</x:f>
        <x:v>รอประเมิน</x:v>
      </x:c>
      <x:c r="M179" s="8" t="str">
        <x:v>สถานที่ในจังหวัดเส้นทาง รอตรวจระยะทางและลำดับ</x:v>
      </x:c>
      <x:c r="N179" s="8" t="str">
        <x:v>ยังไม่ยืนยันการเปิดให้บริการปัจจุบัน</x:v>
      </x:c>
      <x:c r="O179" s="40" t="n">
        <x:v>46315</x:v>
      </x:c>
    </x:row>
    <x:row r="180" ht="38" customHeight="1">
      <x:c r="A180" s="9" t="n">
        <x:v>172</x:v>
      </x:c>
      <x:c r="B180" s="8" t="str">
        <x:v>มัสยิดสุวรรณภูมิ</x:v>
      </x:c>
      <x:c r="C180" s="8" t="str">
        <x:v>กรุงเทพมหานคร</x:v>
      </x:c>
      <x:c r="D180" s="8" t="str">
        <x:v>พัฒนาเพื่อพร้อมขาย</x:v>
      </x:c>
      <x:c r="E180" s="8" t="str">
        <x:v>แหล่งท่องเที่ยวทางประวัติศาสตร์และวัฒนธรรม</x:v>
      </x:c>
      <x:c r="F180" s="38" t="n">
        <x:v>46316</x:v>
      </x:c>
      <x:c r="G180" s="8" t="str">
        <x:v>TMF-307</x:v>
      </x:c>
      <x:c r="H180" s="39" t="str">
        <x:v>03</x:v>
      </x:c>
      <x:c r="I180" s="8" t="str">
        <x:v>Bangkok Muslim Heritage</x:v>
      </x:c>
      <x:c r="J180" s="8" t="str">
        <x:v>ตัวเลือกเสริม</x:v>
      </x:c>
      <x:c r="K180" s="8" t="str">
        <x:v>มัสยิด</x:v>
      </x:c>
      <x:c r="L180" s="8" t="str">
        <x:f>INDEX('ประเมินเกณฑ์'!$AE$9:$AE$608,MATCH(G180,'ประเมินเกณฑ์'!$A$9:$A$608,0))</x:f>
        <x:v>รอประเมิน</x:v>
      </x:c>
      <x:c r="M180" s="8" t="str">
        <x:v>สถานที่ในจังหวัดเส้นทาง รอตรวจระยะทางและลำดับ</x:v>
      </x:c>
      <x:c r="N180" s="8" t="str">
        <x:v>ยังไม่ยืนยันการเปิดให้บริการปัจจุบัน</x:v>
      </x:c>
      <x:c r="O180" s="40" t="n">
        <x:v>46315</x:v>
      </x:c>
    </x:row>
    <x:row r="181" ht="38" customHeight="1">
      <x:c r="A181" s="9" t="n">
        <x:v>173</x:v>
      </x:c>
      <x:c r="B181" s="8" t="str">
        <x:v>มัสยิดอมันนฤมิต (สาธุประดิษฐ์)</x:v>
      </x:c>
      <x:c r="C181" s="8" t="str">
        <x:v>กรุงเทพมหานคร</x:v>
      </x:c>
      <x:c r="D181" s="8" t="str">
        <x:v>พัฒนาเพื่อพร้อมขาย</x:v>
      </x:c>
      <x:c r="E181" s="8" t="str">
        <x:v>แหล่งท่องเที่ยวทางประวัติศาสตร์และวัฒนธรรม</x:v>
      </x:c>
      <x:c r="F181" s="38" t="n">
        <x:v>46316</x:v>
      </x:c>
      <x:c r="G181" s="8" t="str">
        <x:v>TMF-308</x:v>
      </x:c>
      <x:c r="H181" s="39" t="str">
        <x:v>03</x:v>
      </x:c>
      <x:c r="I181" s="8" t="str">
        <x:v>Bangkok Muslim Heritage</x:v>
      </x:c>
      <x:c r="J181" s="8" t="str">
        <x:v>ตัวเลือกเสริม</x:v>
      </x:c>
      <x:c r="K181" s="8" t="str">
        <x:v>มัสยิด</x:v>
      </x:c>
      <x:c r="L181" s="8" t="str">
        <x:f>INDEX('ประเมินเกณฑ์'!$AE$9:$AE$608,MATCH(G181,'ประเมินเกณฑ์'!$A$9:$A$608,0))</x:f>
        <x:v>รอประเมิน</x:v>
      </x:c>
      <x:c r="M181" s="8" t="str">
        <x:v>สถานที่ในจังหวัดเส้นทาง รอตรวจระยะทางและลำดับ</x:v>
      </x:c>
      <x:c r="N181" s="8" t="str">
        <x:v>ยังไม่ยืนยันการเปิดให้บริการปัจจุบัน</x:v>
      </x:c>
      <x:c r="O181" s="40" t="n">
        <x:v>46315</x:v>
      </x:c>
    </x:row>
    <x:row r="182" ht="38" customHeight="1">
      <x:c r="A182" s="9" t="n">
        <x:v>174</x:v>
      </x:c>
      <x:c r="B182" s="8" t="str">
        <x:v>มัสยิดอันนูรอยน์ (บึงขวาง)</x:v>
      </x:c>
      <x:c r="C182" s="8" t="str">
        <x:v>กรุงเทพมหานคร</x:v>
      </x:c>
      <x:c r="D182" s="8" t="str">
        <x:v>พัฒนาเพื่อพร้อมขาย</x:v>
      </x:c>
      <x:c r="E182" s="8" t="str">
        <x:v>แหล่งท่องเที่ยวทางประวัติศาสตร์และวัฒนธรรม</x:v>
      </x:c>
      <x:c r="F182" s="38" t="n">
        <x:v>46316</x:v>
      </x:c>
      <x:c r="G182" s="8" t="str">
        <x:v>TMF-310</x:v>
      </x:c>
      <x:c r="H182" s="39" t="str">
        <x:v>03</x:v>
      </x:c>
      <x:c r="I182" s="8" t="str">
        <x:v>Bangkok Muslim Heritage</x:v>
      </x:c>
      <x:c r="J182" s="8" t="str">
        <x:v>ตัวเลือกเสริม</x:v>
      </x:c>
      <x:c r="K182" s="8" t="str">
        <x:v>มัสยิด</x:v>
      </x:c>
      <x:c r="L182" s="8" t="str">
        <x:f>INDEX('ประเมินเกณฑ์'!$AE$9:$AE$608,MATCH(G182,'ประเมินเกณฑ์'!$A$9:$A$608,0))</x:f>
        <x:v>รอประเมิน</x:v>
      </x:c>
      <x:c r="M182" s="8" t="str">
        <x:v>สถานที่ในจังหวัดเส้นทาง รอตรวจระยะทางและลำดับ</x:v>
      </x:c>
      <x:c r="N182" s="8" t="str">
        <x:v>ยังไม่ยืนยันการเปิดให้บริการปัจจุบัน</x:v>
      </x:c>
      <x:c r="O182" s="40" t="n">
        <x:v>46315</x:v>
      </x:c>
    </x:row>
    <x:row r="183" ht="38" customHeight="1">
      <x:c r="A183" s="9" t="n">
        <x:v>175</x:v>
      </x:c>
      <x:c r="B183" s="8" t="str">
        <x:v>มัสยิดอัลมาดานี (มัซกัร)</x:v>
      </x:c>
      <x:c r="C183" s="8" t="str">
        <x:v>กรุงเทพมหานคร</x:v>
      </x:c>
      <x:c r="D183" s="8" t="str">
        <x:v>พัฒนาเพื่อพร้อมขาย</x:v>
      </x:c>
      <x:c r="E183" s="8" t="str">
        <x:v>แหล่งท่องเที่ยวทางประวัติศาสตร์และวัฒนธรรม</x:v>
      </x:c>
      <x:c r="F183" s="38" t="n">
        <x:v>46316</x:v>
      </x:c>
      <x:c r="G183" s="8" t="str">
        <x:v>TMF-311</x:v>
      </x:c>
      <x:c r="H183" s="39" t="str">
        <x:v>03</x:v>
      </x:c>
      <x:c r="I183" s="8" t="str">
        <x:v>Bangkok Muslim Heritage</x:v>
      </x:c>
      <x:c r="J183" s="8" t="str">
        <x:v>ตัวเลือกเสริม</x:v>
      </x:c>
      <x:c r="K183" s="8" t="str">
        <x:v>มัสยิด</x:v>
      </x:c>
      <x:c r="L183" s="8" t="str">
        <x:f>INDEX('ประเมินเกณฑ์'!$AE$9:$AE$608,MATCH(G183,'ประเมินเกณฑ์'!$A$9:$A$608,0))</x:f>
        <x:v>รอประเมิน</x:v>
      </x:c>
      <x:c r="M183" s="8" t="str">
        <x:v>สถานที่ในจังหวัดเส้นทาง รอตรวจระยะทางและลำดับ</x:v>
      </x:c>
      <x:c r="N183" s="8" t="str">
        <x:v>ยังไม่ยืนยันการเปิดให้บริการปัจจุบัน</x:v>
      </x:c>
      <x:c r="O183" s="40" t="n">
        <x:v>46315</x:v>
      </x:c>
    </x:row>
    <x:row r="184" ht="38" customHeight="1">
      <x:c r="A184" s="9" t="n">
        <x:v>176</x:v>
      </x:c>
      <x:c r="B184" s="8" t="str">
        <x:v>มัสยิดอัลยามิอะห์ (ลำอีรั้ว)</x:v>
      </x:c>
      <x:c r="C184" s="8" t="str">
        <x:v>กรุงเทพมหานคร</x:v>
      </x:c>
      <x:c r="D184" s="8" t="str">
        <x:v>พัฒนาเพื่อพร้อมขาย</x:v>
      </x:c>
      <x:c r="E184" s="8" t="str">
        <x:v>แหล่งท่องเที่ยวทางประวัติศาสตร์และวัฒนธรรม</x:v>
      </x:c>
      <x:c r="F184" s="38" t="n">
        <x:v>46316</x:v>
      </x:c>
      <x:c r="G184" s="8" t="str">
        <x:v>TMF-312</x:v>
      </x:c>
      <x:c r="H184" s="39" t="str">
        <x:v>03</x:v>
      </x:c>
      <x:c r="I184" s="8" t="str">
        <x:v>Bangkok Muslim Heritage</x:v>
      </x:c>
      <x:c r="J184" s="8" t="str">
        <x:v>ตัวเลือกเสริม</x:v>
      </x:c>
      <x:c r="K184" s="8" t="str">
        <x:v>มัสยิด</x:v>
      </x:c>
      <x:c r="L184" s="8" t="str">
        <x:f>INDEX('ประเมินเกณฑ์'!$AE$9:$AE$608,MATCH(G184,'ประเมินเกณฑ์'!$A$9:$A$608,0))</x:f>
        <x:v>รอประเมิน</x:v>
      </x:c>
      <x:c r="M184" s="8" t="str">
        <x:v>สถานที่ในจังหวัดเส้นทาง รอตรวจระยะทางและลำดับ</x:v>
      </x:c>
      <x:c r="N184" s="8" t="str">
        <x:v>ยังไม่ยืนยันการเปิดให้บริการปัจจุบัน</x:v>
      </x:c>
      <x:c r="O184" s="40" t="n">
        <x:v>46315</x:v>
      </x:c>
    </x:row>
    <x:row r="185" ht="38" customHeight="1">
      <x:c r="A185" s="9" t="n">
        <x:v>177</x:v>
      </x:c>
      <x:c r="B185" s="8" t="str">
        <x:v>มัสยิดอัลอะติ๊ก (สุเหร่าเก่า)</x:v>
      </x:c>
      <x:c r="C185" s="8" t="str">
        <x:v>กรุงเทพมหานคร</x:v>
      </x:c>
      <x:c r="D185" s="8" t="str">
        <x:v>พัฒนาเพื่อพร้อมขาย</x:v>
      </x:c>
      <x:c r="E185" s="8" t="str">
        <x:v>แหล่งท่องเที่ยวทางประวัติศาสตร์และวัฒนธรรม</x:v>
      </x:c>
      <x:c r="F185" s="38" t="n">
        <x:v>46316</x:v>
      </x:c>
      <x:c r="G185" s="8" t="str">
        <x:v>TMF-313</x:v>
      </x:c>
      <x:c r="H185" s="39" t="str">
        <x:v>03</x:v>
      </x:c>
      <x:c r="I185" s="8" t="str">
        <x:v>Bangkok Muslim Heritage</x:v>
      </x:c>
      <x:c r="J185" s="8" t="str">
        <x:v>ตัวเลือกเสริม</x:v>
      </x:c>
      <x:c r="K185" s="8" t="str">
        <x:v>มัสยิด</x:v>
      </x:c>
      <x:c r="L185" s="8" t="str">
        <x:f>INDEX('ประเมินเกณฑ์'!$AE$9:$AE$608,MATCH(G185,'ประเมินเกณฑ์'!$A$9:$A$608,0))</x:f>
        <x:v>รอประเมิน</x:v>
      </x:c>
      <x:c r="M185" s="8" t="str">
        <x:v>สถานที่ในจังหวัดเส้นทาง รอตรวจระยะทางและลำดับ</x:v>
      </x:c>
      <x:c r="N185" s="8" t="str">
        <x:v>ยังไม่ยืนยันการเปิดให้บริการปัจจุบัน</x:v>
      </x:c>
      <x:c r="O185" s="40" t="n">
        <x:v>46315</x:v>
      </x:c>
    </x:row>
    <x:row r="186" ht="38" customHeight="1">
      <x:c r="A186" s="9" t="n">
        <x:v>178</x:v>
      </x:c>
      <x:c r="B186" s="8" t="str">
        <x:v>มัสยิดอัลฮุดา</x:v>
      </x:c>
      <x:c r="C186" s="8" t="str">
        <x:v>กรุงเทพมหานคร</x:v>
      </x:c>
      <x:c r="D186" s="8" t="str">
        <x:v>พัฒนาเพื่อพร้อมขาย</x:v>
      </x:c>
      <x:c r="E186" s="8" t="str">
        <x:v>แหล่งท่องเที่ยวทางประวัติศาสตร์และวัฒนธรรม</x:v>
      </x:c>
      <x:c r="F186" s="38" t="n">
        <x:v>46316</x:v>
      </x:c>
      <x:c r="G186" s="8" t="str">
        <x:v>TMF-314</x:v>
      </x:c>
      <x:c r="H186" s="39" t="str">
        <x:v>03</x:v>
      </x:c>
      <x:c r="I186" s="8" t="str">
        <x:v>Bangkok Muslim Heritage</x:v>
      </x:c>
      <x:c r="J186" s="8" t="str">
        <x:v>ตัวเลือกเสริม</x:v>
      </x:c>
      <x:c r="K186" s="8" t="str">
        <x:v>มัสยิด</x:v>
      </x:c>
      <x:c r="L186" s="8" t="str">
        <x:f>INDEX('ประเมินเกณฑ์'!$AE$9:$AE$608,MATCH(G186,'ประเมินเกณฑ์'!$A$9:$A$608,0))</x:f>
        <x:v>รอประเมิน</x:v>
      </x:c>
      <x:c r="M186" s="8" t="str">
        <x:v>สถานที่ในจังหวัดเส้นทาง รอตรวจระยะทางและลำดับ</x:v>
      </x:c>
      <x:c r="N186" s="8" t="str">
        <x:v>ยังไม่ยืนยันการเปิดให้บริการปัจจุบัน</x:v>
      </x:c>
      <x:c r="O186" s="40" t="n">
        <x:v>46315</x:v>
      </x:c>
    </x:row>
    <x:row r="187" ht="38" customHeight="1">
      <x:c r="A187" s="9" t="n">
        <x:v>179</x:v>
      </x:c>
      <x:c r="B187" s="8" t="str">
        <x:v>มัสยิดอัลฮุสนา เจียรดับ</x:v>
      </x:c>
      <x:c r="C187" s="8" t="str">
        <x:v>กรุงเทพมหานคร</x:v>
      </x:c>
      <x:c r="D187" s="8" t="str">
        <x:v>พัฒนาเพื่อพร้อมขาย</x:v>
      </x:c>
      <x:c r="E187" s="8" t="str">
        <x:v>แหล่งท่องเที่ยวทางประวัติศาสตร์และวัฒนธรรม</x:v>
      </x:c>
      <x:c r="F187" s="38" t="n">
        <x:v>46316</x:v>
      </x:c>
      <x:c r="G187" s="8" t="str">
        <x:v>TMF-315</x:v>
      </x:c>
      <x:c r="H187" s="39" t="str">
        <x:v>03</x:v>
      </x:c>
      <x:c r="I187" s="8" t="str">
        <x:v>Bangkok Muslim Heritage</x:v>
      </x:c>
      <x:c r="J187" s="8" t="str">
        <x:v>ตัวเลือกเสริม</x:v>
      </x:c>
      <x:c r="K187" s="8" t="str">
        <x:v>มัสยิด</x:v>
      </x:c>
      <x:c r="L187" s="8" t="str">
        <x:f>INDEX('ประเมินเกณฑ์'!$AE$9:$AE$608,MATCH(G187,'ประเมินเกณฑ์'!$A$9:$A$608,0))</x:f>
        <x:v>รอประเมิน</x:v>
      </x:c>
      <x:c r="M187" s="8" t="str">
        <x:v>สถานที่ในจังหวัดเส้นทาง รอตรวจระยะทางและลำดับ</x:v>
      </x:c>
      <x:c r="N187" s="8" t="str">
        <x:v>ยังไม่ยืนยันการเปิดให้บริการปัจจุบัน</x:v>
      </x:c>
      <x:c r="O187" s="40" t="n">
        <x:v>46315</x:v>
      </x:c>
    </x:row>
    <x:row r="188" ht="38" customHeight="1">
      <x:c r="A188" s="9" t="n">
        <x:v>180</x:v>
      </x:c>
      <x:c r="B188" s="8" t="str">
        <x:v>มัสยิดอัลเอียะซาน (ลำเจดีย์)</x:v>
      </x:c>
      <x:c r="C188" s="8" t="str">
        <x:v>กรุงเทพมหานคร</x:v>
      </x:c>
      <x:c r="D188" s="8" t="str">
        <x:v>พัฒนาเพื่อพร้อมขาย</x:v>
      </x:c>
      <x:c r="E188" s="8" t="str">
        <x:v>แหล่งท่องเที่ยวทางประวัติศาสตร์และวัฒนธรรม</x:v>
      </x:c>
      <x:c r="F188" s="38" t="n">
        <x:v>46316</x:v>
      </x:c>
      <x:c r="G188" s="8" t="str">
        <x:v>TMF-316</x:v>
      </x:c>
      <x:c r="H188" s="39" t="str">
        <x:v>03</x:v>
      </x:c>
      <x:c r="I188" s="8" t="str">
        <x:v>Bangkok Muslim Heritage</x:v>
      </x:c>
      <x:c r="J188" s="8" t="str">
        <x:v>ตัวเลือกเสริม</x:v>
      </x:c>
      <x:c r="K188" s="8" t="str">
        <x:v>มัสยิด</x:v>
      </x:c>
      <x:c r="L188" s="8" t="str">
        <x:f>INDEX('ประเมินเกณฑ์'!$AE$9:$AE$608,MATCH(G188,'ประเมินเกณฑ์'!$A$9:$A$608,0))</x:f>
        <x:v>รอประเมิน</x:v>
      </x:c>
      <x:c r="M188" s="8" t="str">
        <x:v>สถานที่ในจังหวัดเส้นทาง รอตรวจระยะทางและลำดับ</x:v>
      </x:c>
      <x:c r="N188" s="8" t="str">
        <x:v>ยังไม่ยืนยันการเปิดให้บริการปัจจุบัน</x:v>
      </x:c>
      <x:c r="O188" s="40" t="n">
        <x:v>46315</x:v>
      </x:c>
    </x:row>
    <x:row r="189" ht="38" customHeight="1">
      <x:c r="A189" s="9" t="n">
        <x:v>181</x:v>
      </x:c>
      <x:c r="B189" s="8" t="str">
        <x:v>มัสยิดอัสสลาม (คลองกุ่ม)</x:v>
      </x:c>
      <x:c r="C189" s="8" t="str">
        <x:v>กรุงเทพมหานคร</x:v>
      </x:c>
      <x:c r="D189" s="8" t="str">
        <x:v>พัฒนาเพื่อพร้อมขาย</x:v>
      </x:c>
      <x:c r="E189" s="8" t="str">
        <x:v>แหล่งท่องเที่ยวทางประวัติศาสตร์และวัฒนธรรม</x:v>
      </x:c>
      <x:c r="F189" s="38" t="n">
        <x:v>46316</x:v>
      </x:c>
      <x:c r="G189" s="8" t="str">
        <x:v>TMF-318</x:v>
      </x:c>
      <x:c r="H189" s="39" t="str">
        <x:v>03</x:v>
      </x:c>
      <x:c r="I189" s="8" t="str">
        <x:v>Bangkok Muslim Heritage</x:v>
      </x:c>
      <x:c r="J189" s="8" t="str">
        <x:v>ตัวเลือกเสริม</x:v>
      </x:c>
      <x:c r="K189" s="8" t="str">
        <x:v>มัสยิด</x:v>
      </x:c>
      <x:c r="L189" s="8" t="str">
        <x:f>INDEX('ประเมินเกณฑ์'!$AE$9:$AE$608,MATCH(G189,'ประเมินเกณฑ์'!$A$9:$A$608,0))</x:f>
        <x:v>รอประเมิน</x:v>
      </x:c>
      <x:c r="M189" s="8" t="str">
        <x:v>สถานที่ในจังหวัดเส้นทาง รอตรวจระยะทางและลำดับ</x:v>
      </x:c>
      <x:c r="N189" s="8" t="str">
        <x:v>ยังไม่ยืนยันการเปิดให้บริการปัจจุบัน</x:v>
      </x:c>
      <x:c r="O189" s="40" t="n">
        <x:v>46315</x:v>
      </x:c>
    </x:row>
    <x:row r="190" ht="38" customHeight="1">
      <x:c r="A190" s="9" t="n">
        <x:v>182</x:v>
      </x:c>
      <x:c r="B190" s="8" t="str">
        <x:v>มัสยิดอิดด์ฮาดร์อูลูมุดดีน</x:v>
      </x:c>
      <x:c r="C190" s="8" t="str">
        <x:v>กรุงเทพมหานคร</x:v>
      </x:c>
      <x:c r="D190" s="8" t="str">
        <x:v>พัฒนาเพื่อพร้อมขาย</x:v>
      </x:c>
      <x:c r="E190" s="8" t="str">
        <x:v>แหล่งท่องเที่ยวทางประวัติศาสตร์และวัฒนธรรม</x:v>
      </x:c>
      <x:c r="F190" s="38" t="n">
        <x:v>46316</x:v>
      </x:c>
      <x:c r="G190" s="8" t="str">
        <x:v>TMF-320</x:v>
      </x:c>
      <x:c r="H190" s="39" t="str">
        <x:v>03</x:v>
      </x:c>
      <x:c r="I190" s="8" t="str">
        <x:v>Bangkok Muslim Heritage</x:v>
      </x:c>
      <x:c r="J190" s="8" t="str">
        <x:v>ตัวเลือกเสริม</x:v>
      </x:c>
      <x:c r="K190" s="8" t="str">
        <x:v>มัสยิด</x:v>
      </x:c>
      <x:c r="L190" s="8" t="str">
        <x:f>INDEX('ประเมินเกณฑ์'!$AE$9:$AE$608,MATCH(G190,'ประเมินเกณฑ์'!$A$9:$A$608,0))</x:f>
        <x:v>รอประเมิน</x:v>
      </x:c>
      <x:c r="M190" s="8" t="str">
        <x:v>สถานที่ในจังหวัดเส้นทาง รอตรวจระยะทางและลำดับ</x:v>
      </x:c>
      <x:c r="N190" s="8" t="str">
        <x:v>ยังไม่ยืนยันการเปิดให้บริการปัจจุบัน</x:v>
      </x:c>
      <x:c r="O190" s="40" t="n">
        <x:v>46315</x:v>
      </x:c>
    </x:row>
    <x:row r="191" ht="38" customHeight="1">
      <x:c r="A191" s="9" t="n">
        <x:v>183</x:v>
      </x:c>
      <x:c r="B191" s="8" t="str">
        <x:v>มัสยิดอิบรอฮีม (บึงเตย)</x:v>
      </x:c>
      <x:c r="C191" s="8" t="str">
        <x:v>กรุงเทพมหานคร</x:v>
      </x:c>
      <x:c r="D191" s="8" t="str">
        <x:v>พัฒนาเพื่อพร้อมขาย</x:v>
      </x:c>
      <x:c r="E191" s="8" t="str">
        <x:v>แหล่งท่องเที่ยวทางประวัติศาสตร์และวัฒนธรรม</x:v>
      </x:c>
      <x:c r="F191" s="38" t="n">
        <x:v>46316</x:v>
      </x:c>
      <x:c r="G191" s="8" t="str">
        <x:v>TMF-321</x:v>
      </x:c>
      <x:c r="H191" s="39" t="str">
        <x:v>03</x:v>
      </x:c>
      <x:c r="I191" s="8" t="str">
        <x:v>Bangkok Muslim Heritage</x:v>
      </x:c>
      <x:c r="J191" s="8" t="str">
        <x:v>ตัวเลือกเสริม</x:v>
      </x:c>
      <x:c r="K191" s="8" t="str">
        <x:v>มัสยิด</x:v>
      </x:c>
      <x:c r="L191" s="8" t="str">
        <x:f>INDEX('ประเมินเกณฑ์'!$AE$9:$AE$608,MATCH(G191,'ประเมินเกณฑ์'!$A$9:$A$608,0))</x:f>
        <x:v>รอประเมิน</x:v>
      </x:c>
      <x:c r="M191" s="8" t="str">
        <x:v>สถานที่ในจังหวัดเส้นทาง รอตรวจระยะทางและลำดับ</x:v>
      </x:c>
      <x:c r="N191" s="8" t="str">
        <x:v>ยังไม่ยืนยันการเปิดให้บริการปัจจุบัน</x:v>
      </x:c>
      <x:c r="O191" s="40" t="n">
        <x:v>46315</x:v>
      </x:c>
    </x:row>
    <x:row r="192" ht="38" customHeight="1">
      <x:c r="A192" s="9" t="n">
        <x:v>184</x:v>
      </x:c>
      <x:c r="B192" s="8" t="str">
        <x:v>มัสยิดฮาซานุดดีน (ศาลาแดง)</x:v>
      </x:c>
      <x:c r="C192" s="8" t="str">
        <x:v>กรุงเทพมหานคร</x:v>
      </x:c>
      <x:c r="D192" s="8" t="str">
        <x:v>พัฒนาเพื่อพร้อมขาย</x:v>
      </x:c>
      <x:c r="E192" s="8" t="str">
        <x:v>แหล่งท่องเที่ยวทางประวัติศาสตร์และวัฒนธรรม</x:v>
      </x:c>
      <x:c r="F192" s="38" t="n">
        <x:v>46316</x:v>
      </x:c>
      <x:c r="G192" s="8" t="str">
        <x:v>TMF-322</x:v>
      </x:c>
      <x:c r="H192" s="39" t="str">
        <x:v>03</x:v>
      </x:c>
      <x:c r="I192" s="8" t="str">
        <x:v>Bangkok Muslim Heritage</x:v>
      </x:c>
      <x:c r="J192" s="8" t="str">
        <x:v>ตัวเลือกเสริม</x:v>
      </x:c>
      <x:c r="K192" s="8" t="str">
        <x:v>มัสยิด</x:v>
      </x:c>
      <x:c r="L192" s="8" t="str">
        <x:f>INDEX('ประเมินเกณฑ์'!$AE$9:$AE$608,MATCH(G192,'ประเมินเกณฑ์'!$A$9:$A$608,0))</x:f>
        <x:v>รอประเมิน</x:v>
      </x:c>
      <x:c r="M192" s="8" t="str">
        <x:v>สถานที่ในจังหวัดเส้นทาง รอตรวจระยะทางและลำดับ</x:v>
      </x:c>
      <x:c r="N192" s="8" t="str">
        <x:v>ยังไม่ยืนยันการเปิดให้บริการปัจจุบัน</x:v>
      </x:c>
      <x:c r="O192" s="40" t="n">
        <x:v>46315</x:v>
      </x:c>
    </x:row>
    <x:row r="193" ht="38" customHeight="1">
      <x:c r="A193" s="9" t="n">
        <x:v>185</x:v>
      </x:c>
      <x:c r="B193" s="8" t="str">
        <x:v>มัสยิดเราะห์มาตุ้ลอิสลามียะห์ (บ้านเกาะ)</x:v>
      </x:c>
      <x:c r="C193" s="8" t="str">
        <x:v>กรุงเทพมหานคร</x:v>
      </x:c>
      <x:c r="D193" s="8" t="str">
        <x:v>พัฒนาเพื่อพร้อมขาย</x:v>
      </x:c>
      <x:c r="E193" s="8" t="str">
        <x:v>แหล่งท่องเที่ยวทางประวัติศาสตร์และวัฒนธรรม</x:v>
      </x:c>
      <x:c r="F193" s="38" t="n">
        <x:v>46316</x:v>
      </x:c>
      <x:c r="G193" s="8" t="str">
        <x:v>TMF-325</x:v>
      </x:c>
      <x:c r="H193" s="39" t="str">
        <x:v>03</x:v>
      </x:c>
      <x:c r="I193" s="8" t="str">
        <x:v>Bangkok Muslim Heritage</x:v>
      </x:c>
      <x:c r="J193" s="8" t="str">
        <x:v>ตัวเลือกเสริม</x:v>
      </x:c>
      <x:c r="K193" s="8" t="str">
        <x:v>มัสยิด</x:v>
      </x:c>
      <x:c r="L193" s="8" t="str">
        <x:f>INDEX('ประเมินเกณฑ์'!$AE$9:$AE$608,MATCH(G193,'ประเมินเกณฑ์'!$A$9:$A$608,0))</x:f>
        <x:v>รอประเมิน</x:v>
      </x:c>
      <x:c r="M193" s="8" t="str">
        <x:v>สถานที่ในจังหวัดเส้นทาง รอตรวจระยะทางและลำดับ</x:v>
      </x:c>
      <x:c r="N193" s="8" t="str">
        <x:v>ยังไม่ยืนยันการเปิดให้บริการปัจจุบัน</x:v>
      </x:c>
      <x:c r="O193" s="40" t="n">
        <x:v>46315</x:v>
      </x:c>
    </x:row>
    <x:row r="194" ht="38" customHeight="1">
      <x:c r="A194" s="9" t="n">
        <x:v>186</x:v>
      </x:c>
      <x:c r="B194" s="8" t="str">
        <x:v>Khun Anan Riverfront Ayutthaya</x:v>
      </x:c>
      <x:c r="C194" s="8" t="str">
        <x:v>พระนครศรีอยุธยา</x:v>
      </x:c>
      <x:c r="D194" s="8" t="str">
        <x:v>มีศักยภาพ แต่ต้องพัฒนามาตรฐาน</x:v>
      </x:c>
      <x:c r="E194" s="8" t="str">
        <x:v>ร้านอาหารและคาเฟ่</x:v>
      </x:c>
      <x:c r="F194" s="38" t="n">
        <x:v>46316</x:v>
      </x:c>
      <x:c r="G194" s="8" t="str">
        <x:v>R26-038</x:v>
      </x:c>
      <x:c r="H194" s="39" t="str">
        <x:v>04</x:v>
      </x:c>
      <x:c r="I194" s="8" t="str">
        <x:v>The Muslim Legacy</x:v>
      </x:c>
      <x:c r="J194" s="8" t="str">
        <x:v>1</x:v>
      </x:c>
      <x:c r="K194" s="8" t="str">
        <x:v>ร้านอาหารริมน้ำ</x:v>
      </x:c>
      <x:c r="L194" s="8" t="str">
        <x:f>INDEX('ประเมินเกณฑ์'!$AE$9:$AE$608,MATCH(G194,'ประเมินเกณฑ์'!$A$9:$A$608,0))</x:f>
        <x:v>รอประเมิน</x:v>
      </x:c>
      <x:c r="M194" s="8" t="str">
        <x:v>จุดในเอกสารเส้นทาง</x:v>
      </x:c>
      <x:c r="N194" s="8" t="str">
        <x:v>ยังไม่ยืนยันการเปิดให้บริการปัจจุบัน</x:v>
      </x:c>
      <x:c r="O194" s="40" t="n">
        <x:v>46316</x:v>
      </x:c>
    </x:row>
    <x:row r="195" ht="38" customHeight="1">
      <x:c r="A195" s="9" t="n">
        <x:v>187</x:v>
      </x:c>
      <x:c r="B195" s="8" t="str">
        <x:v>ก๋วยเตี๋ยวผักหวาน อยุธยา</x:v>
      </x:c>
      <x:c r="C195" s="8" t="str">
        <x:v>พระนครศรีอยุธยา</x:v>
      </x:c>
      <x:c r="D195" s="8" t="str">
        <x:v>พร้อมขาย</x:v>
      </x:c>
      <x:c r="E195" s="8" t="str">
        <x:v>ร้านอาหารและคาเฟ่</x:v>
      </x:c>
      <x:c r="F195" s="38" t="n">
        <x:v>46316</x:v>
      </x:c>
      <x:c r="G195" s="8" t="str">
        <x:v>TMF-005</x:v>
      </x:c>
      <x:c r="H195" s="39" t="str">
        <x:v>04</x:v>
      </x:c>
      <x:c r="I195" s="8" t="str">
        <x:v>The Muslim Legacy</x:v>
      </x:c>
      <x:c r="J195" s="8" t="str">
        <x:v>1</x:v>
      </x:c>
      <x:c r="K195" s="8" t="str">
        <x:v>ร้านอาหาร</x:v>
      </x:c>
      <x:c r="L195" s="8" t="str">
        <x:f>INDEX('ประเมินเกณฑ์'!$AE$9:$AE$608,MATCH(G195,'ประเมินเกณฑ์'!$A$9:$A$608,0))</x:f>
        <x:v>รอประเมิน</x:v>
      </x:c>
      <x:c r="M195" s="8" t="str">
        <x:v>จุดในเอกสารเส้นทาง</x:v>
      </x:c>
      <x:c r="N195" s="8" t="str">
        <x:v>ยังไม่ยืนยันการเปิดให้บริการปัจจุบัน</x:v>
      </x:c>
      <x:c r="O195" s="40" t="n">
        <x:v>46316</x:v>
      </x:c>
    </x:row>
    <x:row r="196" ht="38" customHeight="1">
      <x:c r="A196" s="9" t="n">
        <x:v>188</x:v>
      </x:c>
      <x:c r="B196" s="8" t="str">
        <x:v>มัสยิดยามิอุ้ลอิสลาม</x:v>
      </x:c>
      <x:c r="C196" s="8" t="str">
        <x:v>พระนครศรีอยุธยา</x:v>
      </x:c>
      <x:c r="D196" s="8" t="str">
        <x:v>มีศักยภาพ แต่ต้องพัฒนามาตรฐาน</x:v>
      </x:c>
      <x:c r="E196" s="8" t="str">
        <x:v>แหล่งท่องเที่ยวทางประวัติศาสตร์และวัฒนธรรม</x:v>
      </x:c>
      <x:c r="F196" s="38" t="n">
        <x:v>46316</x:v>
      </x:c>
      <x:c r="G196" s="8" t="str">
        <x:v>R26-034</x:v>
      </x:c>
      <x:c r="H196" s="39" t="str">
        <x:v>04</x:v>
      </x:c>
      <x:c r="I196" s="8" t="str">
        <x:v>The Muslim Legacy</x:v>
      </x:c>
      <x:c r="J196" s="8" t="str">
        <x:v>1</x:v>
      </x:c>
      <x:c r="K196" s="8" t="str">
        <x:v>มัสยิด</x:v>
      </x:c>
      <x:c r="L196" s="8" t="str">
        <x:f>INDEX('ประเมินเกณฑ์'!$AE$9:$AE$608,MATCH(G196,'ประเมินเกณฑ์'!$A$9:$A$608,0))</x:f>
        <x:v>รอประเมิน</x:v>
      </x:c>
      <x:c r="M196" s="8" t="str">
        <x:v>จุดในเอกสารเส้นทาง</x:v>
      </x:c>
      <x:c r="N196" s="8" t="str">
        <x:v>ยังไม่ยืนยันการเปิดให้บริการปัจจุบัน</x:v>
      </x:c>
      <x:c r="O196" s="40" t="n">
        <x:v>46316</x:v>
      </x:c>
    </x:row>
    <x:row r="197" ht="38" customHeight="1">
      <x:c r="A197" s="9" t="n">
        <x:v>189</x:v>
      </x:c>
      <x:c r="B197" s="8" t="str">
        <x:v>อุทยานประวัติศาสตร์พระนครศรีอยุธยา</x:v>
      </x:c>
      <x:c r="C197" s="8" t="str">
        <x:v>พระนครศรีอยุธยา</x:v>
      </x:c>
      <x:c r="D197" s="8" t="str">
        <x:v>มีศักยภาพ แต่ต้องพัฒนามาตรฐาน</x:v>
      </x:c>
      <x:c r="E197" s="8" t="str">
        <x:v>แหล่งท่องเที่ยวทางประวัติศาสตร์และวัฒนธรรม</x:v>
      </x:c>
      <x:c r="F197" s="38" t="n">
        <x:v>46316</x:v>
      </x:c>
      <x:c r="G197" s="8" t="str">
        <x:v>R26-035</x:v>
      </x:c>
      <x:c r="H197" s="39" t="str">
        <x:v>04</x:v>
      </x:c>
      <x:c r="I197" s="8" t="str">
        <x:v>The Muslim Legacy</x:v>
      </x:c>
      <x:c r="J197" s="8" t="str">
        <x:v>1</x:v>
      </x:c>
      <x:c r="K197" s="8" t="str">
        <x:v>ประวัติ</x:v>
      </x:c>
      <x:c r="L197" s="8" t="str">
        <x:f>INDEX('ประเมินเกณฑ์'!$AE$9:$AE$608,MATCH(G197,'ประเมินเกณฑ์'!$A$9:$A$608,0))</x:f>
        <x:v>รอประเมิน</x:v>
      </x:c>
      <x:c r="M197" s="8" t="str">
        <x:v>จุดในเอกสารเส้นทาง</x:v>
      </x:c>
      <x:c r="N197" s="8" t="str">
        <x:v>ยังไม่ยืนยันการเปิดให้บริการปัจจุบัน</x:v>
      </x:c>
      <x:c r="O197" s="40" t="n">
        <x:v>46316</x:v>
      </x:c>
    </x:row>
    <x:row r="198" ht="38" customHeight="1">
      <x:c r="A198" s="9" t="n">
        <x:v>190</x:v>
      </x:c>
      <x:c r="B198" s="8" t="str">
        <x:v>ชุมชนมุสลิมคลองตะเคียน</x:v>
      </x:c>
      <x:c r="C198" s="8" t="str">
        <x:v>พระนครศรีอยุธยา</x:v>
      </x:c>
      <x:c r="D198" s="8" t="str">
        <x:v>มีศักยภาพ แต่ต้องพัฒนามาตรฐาน</x:v>
      </x:c>
      <x:c r="E198" s="8" t="str">
        <x:v>ชุมชนท่องเที่ยว</x:v>
      </x:c>
      <x:c r="F198" s="38" t="n">
        <x:v>46316</x:v>
      </x:c>
      <x:c r="G198" s="8" t="str">
        <x:v>R26-033</x:v>
      </x:c>
      <x:c r="H198" s="39" t="str">
        <x:v>04</x:v>
      </x:c>
      <x:c r="I198" s="8" t="str">
        <x:v>The Muslim Legacy</x:v>
      </x:c>
      <x:c r="J198" s="8" t="str">
        <x:v>1</x:v>
      </x:c>
      <x:c r="K198" s="8" t="str">
        <x:v>ชุมชน</x:v>
      </x:c>
      <x:c r="L198" s="8" t="str">
        <x:f>INDEX('ประเมินเกณฑ์'!$AE$9:$AE$608,MATCH(G198,'ประเมินเกณฑ์'!$A$9:$A$608,0))</x:f>
        <x:v>รอประเมิน</x:v>
      </x:c>
      <x:c r="M198" s="8" t="str">
        <x:v>จุดในเอกสารเส้นทาง</x:v>
      </x:c>
      <x:c r="N198" s="8" t="str">
        <x:v>ยังไม่ยืนยันการเปิดให้บริการปัจจุบัน</x:v>
      </x:c>
      <x:c r="O198" s="40" t="n">
        <x:v>46316</x:v>
      </x:c>
    </x:row>
    <x:row r="199" ht="38" customHeight="1">
      <x:c r="A199" s="9" t="n">
        <x:v>191</x:v>
      </x:c>
      <x:c r="B199" s="8" t="str">
        <x:v>The Wonder Blue Classic Boathouse Ayutthaya</x:v>
      </x:c>
      <x:c r="C199" s="8" t="str">
        <x:v>พระนครศรีอยุธยา</x:v>
      </x:c>
      <x:c r="D199" s="8" t="str">
        <x:v>มีศักยภาพ แต่ต้องพัฒนามาตรฐาน</x:v>
      </x:c>
      <x:c r="E199" s="8" t="str">
        <x:v>ศูนย์กิจกรรมและนันทนาการ</x:v>
      </x:c>
      <x:c r="F199" s="38" t="n">
        <x:v>46316</x:v>
      </x:c>
      <x:c r="G199" s="8" t="str">
        <x:v>R26-037</x:v>
      </x:c>
      <x:c r="H199" s="39" t="str">
        <x:v>04</x:v>
      </x:c>
      <x:c r="I199" s="8" t="str">
        <x:v>The Muslim Legacy</x:v>
      </x:c>
      <x:c r="J199" s="8" t="str">
        <x:v>1</x:v>
      </x:c>
      <x:c r="K199" s="8" t="str">
        <x:v>กิจกรรม</x:v>
      </x:c>
      <x:c r="L199" s="8" t="str">
        <x:f>INDEX('ประเมินเกณฑ์'!$AE$9:$AE$608,MATCH(G199,'ประเมินเกณฑ์'!$A$9:$A$608,0))</x:f>
        <x:v>รอประเมิน</x:v>
      </x:c>
      <x:c r="M199" s="8" t="str">
        <x:v>จุดในเอกสารเส้นทาง</x:v>
      </x:c>
      <x:c r="N199" s="8" t="str">
        <x:v>ยังไม่ยืนยันการเปิดให้บริการปัจจุบัน</x:v>
      </x:c>
      <x:c r="O199" s="40" t="n">
        <x:v>46316</x:v>
      </x:c>
    </x:row>
    <x:row r="200" ht="38" customHeight="1">
      <x:c r="A200" s="9" t="n">
        <x:v>192</x:v>
      </x:c>
      <x:c r="B200" s="8" t="str">
        <x:v>ฮาลาล บ้านไม้</x:v>
      </x:c>
      <x:c r="C200" s="8" t="str">
        <x:v>พระนครศรีอยุธยา</x:v>
      </x:c>
      <x:c r="D200" s="8" t="str">
        <x:v>พร้อมขาย</x:v>
      </x:c>
      <x:c r="E200" s="8" t="str">
        <x:v>ร้านอาหารและคาเฟ่</x:v>
      </x:c>
      <x:c r="F200" s="38" t="n">
        <x:v>46316</x:v>
      </x:c>
      <x:c r="G200" s="8" t="str">
        <x:v>TMF-013</x:v>
      </x:c>
      <x:c r="H200" s="39" t="str">
        <x:v>04</x:v>
      </x:c>
      <x:c r="I200" s="8" t="str">
        <x:v>The Muslim Legacy</x:v>
      </x:c>
      <x:c r="J200" s="8" t="str">
        <x:v>2</x:v>
      </x:c>
      <x:c r="K200" s="8" t="str">
        <x:v>ร้านอาหาร</x:v>
      </x:c>
      <x:c r="L200" s="8" t="str">
        <x:f>INDEX('ประเมินเกณฑ์'!$AE$9:$AE$608,MATCH(G200,'ประเมินเกณฑ์'!$A$9:$A$608,0))</x:f>
        <x:v>รอประเมิน</x:v>
      </x:c>
      <x:c r="M200" s="8" t="str">
        <x:v>จุดในเอกสารเส้นทาง</x:v>
      </x:c>
      <x:c r="N200" s="8" t="str">
        <x:v>ยังไม่ยืนยันการเปิดให้บริการปัจจุบัน</x:v>
      </x:c>
      <x:c r="O200" s="40" t="n">
        <x:v>46316</x:v>
      </x:c>
    </x:row>
    <x:row r="201" ht="38" customHeight="1">
      <x:c r="A201" s="9" t="n">
        <x:v>193</x:v>
      </x:c>
      <x:c r="B201" s="8" t="str">
        <x:v>บ้านฮอลันดา</x:v>
      </x:c>
      <x:c r="C201" s="8" t="str">
        <x:v>พระนครศรีอยุธยา</x:v>
      </x:c>
      <x:c r="D201" s="8" t="str">
        <x:v>มีศักยภาพ แต่ต้องพัฒนามาตรฐาน</x:v>
      </x:c>
      <x:c r="E201" s="8" t="str">
        <x:v>แหล่งท่องเที่ยวทางประวัติศาสตร์และวัฒนธรรม</x:v>
      </x:c>
      <x:c r="F201" s="38" t="n">
        <x:v>46316</x:v>
      </x:c>
      <x:c r="G201" s="8" t="str">
        <x:v>R26-042</x:v>
      </x:c>
      <x:c r="H201" s="39" t="str">
        <x:v>04</x:v>
      </x:c>
      <x:c r="I201" s="8" t="str">
        <x:v>The Muslim Legacy</x:v>
      </x:c>
      <x:c r="J201" s="8" t="str">
        <x:v>2</x:v>
      </x:c>
      <x:c r="K201" s="8" t="str">
        <x:v>ประวัติ</x:v>
      </x:c>
      <x:c r="L201" s="8" t="str">
        <x:f>INDEX('ประเมินเกณฑ์'!$AE$9:$AE$608,MATCH(G201,'ประเมินเกณฑ์'!$A$9:$A$608,0))</x:f>
        <x:v>รอประเมิน</x:v>
      </x:c>
      <x:c r="M201" s="8" t="str">
        <x:v>จุดในเอกสารเส้นทาง</x:v>
      </x:c>
      <x:c r="N201" s="8" t="str">
        <x:v>ยังไม่ยืนยันการเปิดให้บริการปัจจุบัน</x:v>
      </x:c>
      <x:c r="O201" s="40" t="n">
        <x:v>46316</x:v>
      </x:c>
    </x:row>
    <x:row r="202" ht="38" customHeight="1">
      <x:c r="A202" s="9" t="n">
        <x:v>194</x:v>
      </x:c>
      <x:c r="B202" s="8" t="str">
        <x:v>หมู่บ้านญี่ปุ่น อยุธยา</x:v>
      </x:c>
      <x:c r="C202" s="8" t="str">
        <x:v>พระนครศรีอยุธยา</x:v>
      </x:c>
      <x:c r="D202" s="8" t="str">
        <x:v>มีศักยภาพ แต่ต้องพัฒนามาตรฐาน</x:v>
      </x:c>
      <x:c r="E202" s="8" t="str">
        <x:v>แหล่งท่องเที่ยวทางประวัติศาสตร์และวัฒนธรรม</x:v>
      </x:c>
      <x:c r="F202" s="38" t="n">
        <x:v>46316</x:v>
      </x:c>
      <x:c r="G202" s="8" t="str">
        <x:v>R26-041</x:v>
      </x:c>
      <x:c r="H202" s="39" t="str">
        <x:v>04</x:v>
      </x:c>
      <x:c r="I202" s="8" t="str">
        <x:v>The Muslim Legacy</x:v>
      </x:c>
      <x:c r="J202" s="8" t="str">
        <x:v>2</x:v>
      </x:c>
      <x:c r="K202" s="8" t="str">
        <x:v>ประวัติ</x:v>
      </x:c>
      <x:c r="L202" s="8" t="str">
        <x:f>INDEX('ประเมินเกณฑ์'!$AE$9:$AE$608,MATCH(G202,'ประเมินเกณฑ์'!$A$9:$A$608,0))</x:f>
        <x:v>รอประเมิน</x:v>
      </x:c>
      <x:c r="M202" s="8" t="str">
        <x:v>จุดในเอกสารเส้นทาง</x:v>
      </x:c>
      <x:c r="N202" s="8" t="str">
        <x:v>ยังไม่ยืนยันการเปิดให้บริการปัจจุบัน</x:v>
      </x:c>
      <x:c r="O202" s="40" t="n">
        <x:v>46316</x:v>
      </x:c>
    </x:row>
    <x:row r="203" ht="38" customHeight="1">
      <x:c r="A203" s="9" t="n">
        <x:v>195</x:v>
      </x:c>
      <x:c r="B203" s="8" t="str">
        <x:v>หมู่บ้านโปรตุเกส อยุธยา</x:v>
      </x:c>
      <x:c r="C203" s="8" t="str">
        <x:v>พระนครศรีอยุธยา</x:v>
      </x:c>
      <x:c r="D203" s="8" t="str">
        <x:v>มีศักยภาพ แต่ต้องพัฒนามาตรฐาน</x:v>
      </x:c>
      <x:c r="E203" s="8" t="str">
        <x:v>แหล่งท่องเที่ยวทางประวัติศาสตร์และวัฒนธรรม</x:v>
      </x:c>
      <x:c r="F203" s="38" t="n">
        <x:v>46316</x:v>
      </x:c>
      <x:c r="G203" s="8" t="str">
        <x:v>R26-043</x:v>
      </x:c>
      <x:c r="H203" s="39" t="str">
        <x:v>04</x:v>
      </x:c>
      <x:c r="I203" s="8" t="str">
        <x:v>The Muslim Legacy</x:v>
      </x:c>
      <x:c r="J203" s="8" t="str">
        <x:v>2</x:v>
      </x:c>
      <x:c r="K203" s="8" t="str">
        <x:v>ประวัติ</x:v>
      </x:c>
      <x:c r="L203" s="8" t="str">
        <x:f>INDEX('ประเมินเกณฑ์'!$AE$9:$AE$608,MATCH(G203,'ประเมินเกณฑ์'!$A$9:$A$608,0))</x:f>
        <x:v>รอประเมิน</x:v>
      </x:c>
      <x:c r="M203" s="8" t="str">
        <x:v>จุดในเอกสารเส้นทาง</x:v>
      </x:c>
      <x:c r="N203" s="8" t="str">
        <x:v>ยังไม่ยืนยันการเปิดให้บริการปัจจุบัน</x:v>
      </x:c>
      <x:c r="O203" s="40" t="n">
        <x:v>46316</x:v>
      </x:c>
    </x:row>
    <x:row r="204" ht="38" customHeight="1">
      <x:c r="A204" s="9" t="n">
        <x:v>196</x:v>
      </x:c>
      <x:c r="B204" s="8" t="str">
        <x:v>อนุสรณ์สถานท่านเฉกอะหมัด</x:v>
      </x:c>
      <x:c r="C204" s="8" t="str">
        <x:v>พระนครศรีอยุธยา</x:v>
      </x:c>
      <x:c r="D204" s="8" t="str">
        <x:v>มีศักยภาพ แต่ต้องพัฒนามาตรฐาน</x:v>
      </x:c>
      <x:c r="E204" s="8" t="str">
        <x:v>แหล่งท่องเที่ยวทางประวัติศาสตร์และวัฒนธรรม</x:v>
      </x:c>
      <x:c r="F204" s="38" t="n">
        <x:v>46316</x:v>
      </x:c>
      <x:c r="G204" s="8" t="str">
        <x:v>R26-039</x:v>
      </x:c>
      <x:c r="H204" s="39" t="str">
        <x:v>04</x:v>
      </x:c>
      <x:c r="I204" s="8" t="str">
        <x:v>The Muslim Legacy</x:v>
      </x:c>
      <x:c r="J204" s="8" t="str">
        <x:v>2</x:v>
      </x:c>
      <x:c r="K204" s="8" t="str">
        <x:v>ประวัติ</x:v>
      </x:c>
      <x:c r="L204" s="8" t="str">
        <x:f>INDEX('ประเมินเกณฑ์'!$AE$9:$AE$608,MATCH(G204,'ประเมินเกณฑ์'!$A$9:$A$608,0))</x:f>
        <x:v>รอประเมิน</x:v>
      </x:c>
      <x:c r="M204" s="8" t="str">
        <x:v>จุดในเอกสารเส้นทาง</x:v>
      </x:c>
      <x:c r="N204" s="8" t="str">
        <x:v>ยังไม่ยืนยันการเปิดให้บริการปัจจุบัน</x:v>
      </x:c>
      <x:c r="O204" s="40" t="n">
        <x:v>46316</x:v>
      </x:c>
    </x:row>
    <x:row r="205" ht="38" customHeight="1">
      <x:c r="A205" s="9" t="n">
        <x:v>197</x:v>
      </x:c>
      <x:c r="B205" s="8" t="str">
        <x:v>ชุมชนสำเภาล่ม</x:v>
      </x:c>
      <x:c r="C205" s="8" t="str">
        <x:v>พระนครศรีอยุธยา</x:v>
      </x:c>
      <x:c r="D205" s="8" t="str">
        <x:v>มีศักยภาพ แต่ต้องพัฒนามาตรฐาน</x:v>
      </x:c>
      <x:c r="E205" s="8" t="str">
        <x:v>ชุมชนท่องเที่ยว</x:v>
      </x:c>
      <x:c r="F205" s="38" t="n">
        <x:v>46316</x:v>
      </x:c>
      <x:c r="G205" s="8" t="str">
        <x:v>R26-040</x:v>
      </x:c>
      <x:c r="H205" s="39" t="str">
        <x:v>04</x:v>
      </x:c>
      <x:c r="I205" s="8" t="str">
        <x:v>The Muslim Legacy</x:v>
      </x:c>
      <x:c r="J205" s="8" t="str">
        <x:v>2</x:v>
      </x:c>
      <x:c r="K205" s="8" t="str">
        <x:v>ชุมชน</x:v>
      </x:c>
      <x:c r="L205" s="8" t="str">
        <x:f>INDEX('ประเมินเกณฑ์'!$AE$9:$AE$608,MATCH(G205,'ประเมินเกณฑ์'!$A$9:$A$608,0))</x:f>
        <x:v>รอประเมิน</x:v>
      </x:c>
      <x:c r="M205" s="8" t="str">
        <x:v>จุดในเอกสารเส้นทาง</x:v>
      </x:c>
      <x:c r="N205" s="8" t="str">
        <x:v>ยังไม่ยืนยันการเปิดให้บริการปัจจุบัน</x:v>
      </x:c>
      <x:c r="O205" s="40" t="n">
        <x:v>46316</x:v>
      </x:c>
    </x:row>
    <x:row r="206" ht="38" customHeight="1">
      <x:c r="A206" s="9" t="n">
        <x:v>198</x:v>
      </x:c>
      <x:c r="B206" s="8" t="str">
        <x:v>ศูนย์ศิลปาชีพบางไทร</x:v>
      </x:c>
      <x:c r="C206" s="8" t="str">
        <x:v>พระนครศรีอยุธยา</x:v>
      </x:c>
      <x:c r="D206" s="8" t="str">
        <x:v>มีศักยภาพ แต่ต้องพัฒนามาตรฐาน</x:v>
      </x:c>
      <x:c r="E206" s="8" t="str">
        <x:v>ศูนย์กิจกรรมและนันทนาการ</x:v>
      </x:c>
      <x:c r="F206" s="38" t="n">
        <x:v>46316</x:v>
      </x:c>
      <x:c r="G206" s="8" t="str">
        <x:v>R26-045</x:v>
      </x:c>
      <x:c r="H206" s="39" t="str">
        <x:v>04</x:v>
      </x:c>
      <x:c r="I206" s="8" t="str">
        <x:v>The Muslim Legacy</x:v>
      </x:c>
      <x:c r="J206" s="8" t="str">
        <x:v>2</x:v>
      </x:c>
      <x:c r="K206" s="8" t="str">
        <x:v>กิจกรรม</x:v>
      </x:c>
      <x:c r="L206" s="8" t="str">
        <x:f>INDEX('ประเมินเกณฑ์'!$AE$9:$AE$608,MATCH(G206,'ประเมินเกณฑ์'!$A$9:$A$608,0))</x:f>
        <x:v>รอประเมิน</x:v>
      </x:c>
      <x:c r="M206" s="8" t="str">
        <x:v>จุดในเอกสารเส้นทาง</x:v>
      </x:c>
      <x:c r="N206" s="8" t="str">
        <x:v>ยังไม่ยืนยันการเปิดให้บริการปัจจุบัน</x:v>
      </x:c>
      <x:c r="O206" s="40" t="n">
        <x:v>46316</x:v>
      </x:c>
    </x:row>
    <x:row r="207" ht="38" customHeight="1">
      <x:c r="A207" s="9" t="n">
        <x:v>199</x:v>
      </x:c>
      <x:c r="B207" s="8" t="str">
        <x:v>Classic Kameo Hotel Ayutthaya</x:v>
      </x:c>
      <x:c r="C207" s="8" t="str">
        <x:v>พระนครศรีอยุธยา</x:v>
      </x:c>
      <x:c r="D207" s="8" t="str">
        <x:v>มีศักยภาพ แต่ต้องพัฒนามาตรฐาน</x:v>
      </x:c>
      <x:c r="E207" s="8" t="str">
        <x:v>ที่พัก</x:v>
      </x:c>
      <x:c r="F207" s="38" t="n">
        <x:v>46316</x:v>
      </x:c>
      <x:c r="G207" s="8" t="str">
        <x:v>R26-368</x:v>
      </x:c>
      <x:c r="H207" s="39" t="str">
        <x:v>04</x:v>
      </x:c>
      <x:c r="I207" s="8" t="str">
        <x:v>The Muslim Legacy</x:v>
      </x:c>
      <x:c r="J207" s="8" t="str">
        <x:v>ตัวเลือกเสริม</x:v>
      </x:c>
      <x:c r="K207" s="8" t="str">
        <x:v>ที่พัก</x:v>
      </x:c>
      <x:c r="L207" s="8" t="str">
        <x:f>INDEX('ประเมินเกณฑ์'!$AE$9:$AE$608,MATCH(G207,'ประเมินเกณฑ์'!$A$9:$A$608,0))</x:f>
        <x:v>รอประเมิน</x:v>
      </x:c>
      <x:c r="M207" s="8" t="str">
        <x:v>สถานที่ในจังหวัดเส้นทาง รอตรวจระยะทางและลำดับ</x:v>
      </x:c>
      <x:c r="N207" s="8" t="str">
        <x:v>ยังไม่ยืนยันการเปิดให้บริการปัจจุบัน</x:v>
      </x:c>
      <x:c r="O207" s="40" t="n">
        <x:v>46316</x:v>
      </x:c>
    </x:row>
    <x:row r="208" ht="38" customHeight="1">
      <x:c r="A208" s="9" t="n">
        <x:v>200</x:v>
      </x:c>
      <x:c r="B208" s="8" t="str">
        <x:v>Kantary Hotel Ayutthaya</x:v>
      </x:c>
      <x:c r="C208" s="8" t="str">
        <x:v>พระนครศรีอยุธยา</x:v>
      </x:c>
      <x:c r="D208" s="8" t="str">
        <x:v>มีศักยภาพ แต่ต้องพัฒนามาตรฐาน</x:v>
      </x:c>
      <x:c r="E208" s="8" t="str">
        <x:v>ที่พัก</x:v>
      </x:c>
      <x:c r="F208" s="38" t="n">
        <x:v>46316</x:v>
      </x:c>
      <x:c r="G208" s="8" t="str">
        <x:v>R26-367</x:v>
      </x:c>
      <x:c r="H208" s="39" t="str">
        <x:v>04</x:v>
      </x:c>
      <x:c r="I208" s="8" t="str">
        <x:v>The Muslim Legacy</x:v>
      </x:c>
      <x:c r="J208" s="8" t="str">
        <x:v>ตัวเลือกเสริม</x:v>
      </x:c>
      <x:c r="K208" s="8" t="str">
        <x:v>ที่พัก</x:v>
      </x:c>
      <x:c r="L208" s="8" t="str">
        <x:f>INDEX('ประเมินเกณฑ์'!$AE$9:$AE$608,MATCH(G208,'ประเมินเกณฑ์'!$A$9:$A$608,0))</x:f>
        <x:v>รอประเมิน</x:v>
      </x:c>
      <x:c r="M208" s="8" t="str">
        <x:v>สถานที่ในจังหวัดเส้นทาง รอตรวจระยะทางและลำดับ</x:v>
      </x:c>
      <x:c r="N208" s="8" t="str">
        <x:v>ยังไม่ยืนยันการเปิดให้บริการปัจจุบัน</x:v>
      </x:c>
      <x:c r="O208" s="40" t="n">
        <x:v>46316</x:v>
      </x:c>
    </x:row>
    <x:row r="209" ht="38" customHeight="1">
      <x:c r="A209" s="9" t="n">
        <x:v>201</x:v>
      </x:c>
      <x:c r="B209" s="8" t="str">
        <x:v>ก๋วยเตี๋ยวเนื้อเปื่อย ฮาลาล ตลาดรุ่งเจริญ</x:v>
      </x:c>
      <x:c r="C209" s="8" t="str">
        <x:v>พระนครศรีอยุธยา</x:v>
      </x:c>
      <x:c r="D209" s="8" t="str">
        <x:v>มีศักยภาพ แต่ต้องพัฒนามาตรฐาน</x:v>
      </x:c>
      <x:c r="E209" s="8" t="str">
        <x:v>ร้านอาหารและคาเฟ่</x:v>
      </x:c>
      <x:c r="F209" s="38" t="n">
        <x:v>46316</x:v>
      </x:c>
      <x:c r="G209" s="8" t="str">
        <x:v>TMF-423</x:v>
      </x:c>
      <x:c r="H209" s="39" t="str">
        <x:v>04</x:v>
      </x:c>
      <x:c r="I209" s="8" t="str">
        <x:v>The Muslim Legacy</x:v>
      </x:c>
      <x:c r="J209" s="8" t="str">
        <x:v>ตัวเลือกเสริม</x:v>
      </x:c>
      <x:c r="K209" s="8" t="str">
        <x:v>ร้านอาหาร</x:v>
      </x:c>
      <x:c r="L209" s="8" t="str">
        <x:f>INDEX('ประเมินเกณฑ์'!$AE$9:$AE$608,MATCH(G209,'ประเมินเกณฑ์'!$A$9:$A$608,0))</x:f>
        <x:v>รอประเมิน</x:v>
      </x:c>
      <x:c r="M209" s="8" t="str">
        <x:v>สถานที่ในจังหวัดเส้นทาง รอตรวจระยะทางและลำดับ</x:v>
      </x:c>
      <x:c r="N209" s="8" t="str">
        <x:v>ยังไม่ยืนยันการเปิดให้บริการปัจจุบัน</x:v>
      </x:c>
      <x:c r="O209" s="40" t="n">
        <x:v>46315</x:v>
      </x:c>
    </x:row>
    <x:row r="210" ht="38" customHeight="1">
      <x:c r="A210" s="9" t="n">
        <x:v>202</x:v>
      </x:c>
      <x:c r="B210" s="8" t="str">
        <x:v>ครัวมุสลิม สาขา2 โรจนะ</x:v>
      </x:c>
      <x:c r="C210" s="8" t="str">
        <x:v>พระนครศรีอยุธยา</x:v>
      </x:c>
      <x:c r="D210" s="8" t="str">
        <x:v>มีศักยภาพ แต่ต้องพัฒนามาตรฐาน</x:v>
      </x:c>
      <x:c r="E210" s="8" t="str">
        <x:v>ร้านอาหารและคาเฟ่</x:v>
      </x:c>
      <x:c r="F210" s="38" t="n">
        <x:v>46316</x:v>
      </x:c>
      <x:c r="G210" s="8" t="str">
        <x:v>TMF-426</x:v>
      </x:c>
      <x:c r="H210" s="39" t="str">
        <x:v>04</x:v>
      </x:c>
      <x:c r="I210" s="8" t="str">
        <x:v>The Muslim Legacy</x:v>
      </x:c>
      <x:c r="J210" s="8" t="str">
        <x:v>ตัวเลือกเสริม</x:v>
      </x:c>
      <x:c r="K210" s="8" t="str">
        <x:v>ร้านอาหาร</x:v>
      </x:c>
      <x:c r="L210" s="8" t="str">
        <x:f>INDEX('ประเมินเกณฑ์'!$AE$9:$AE$608,MATCH(G210,'ประเมินเกณฑ์'!$A$9:$A$608,0))</x:f>
        <x:v>รอประเมิน</x:v>
      </x:c>
      <x:c r="M210" s="8" t="str">
        <x:v>สถานที่ในจังหวัดเส้นทาง รอตรวจระยะทางและลำดับ</x:v>
      </x:c>
      <x:c r="N210" s="8" t="str">
        <x:v>ยังไม่ยืนยันการเปิดให้บริการปัจจุบัน</x:v>
      </x:c>
      <x:c r="O210" s="40" t="n">
        <x:v>46315</x:v>
      </x:c>
    </x:row>
    <x:row r="211" ht="38" customHeight="1">
      <x:c r="A211" s="9" t="n">
        <x:v>203</x:v>
      </x:c>
      <x:c r="B211" s="8" t="str">
        <x:v>ครัวมุสลิมกรุงเก่า</x:v>
      </x:c>
      <x:c r="C211" s="8" t="str">
        <x:v>พระนครศรีอยุธยา</x:v>
      </x:c>
      <x:c r="D211" s="8" t="str">
        <x:v>พร้อมขาย</x:v>
      </x:c>
      <x:c r="E211" s="8" t="str">
        <x:v>ร้านอาหารและคาเฟ่</x:v>
      </x:c>
      <x:c r="F211" s="38" t="n">
        <x:v>46316</x:v>
      </x:c>
      <x:c r="G211" s="8" t="str">
        <x:v>TMF-007</x:v>
      </x:c>
      <x:c r="H211" s="39" t="str">
        <x:v>04</x:v>
      </x:c>
      <x:c r="I211" s="8" t="str">
        <x:v>The Muslim Legacy</x:v>
      </x:c>
      <x:c r="J211" s="8" t="str">
        <x:v>ตัวเลือกเสริม</x:v>
      </x:c>
      <x:c r="K211" s="8" t="str">
        <x:v>ร้านอาหาร</x:v>
      </x:c>
      <x:c r="L211" s="8" t="str">
        <x:f>INDEX('ประเมินเกณฑ์'!$AE$9:$AE$608,MATCH(G211,'ประเมินเกณฑ์'!$A$9:$A$608,0))</x:f>
        <x:v>รอประเมิน</x:v>
      </x:c>
      <x:c r="M211" s="8" t="str">
        <x:v>สถานที่ในจังหวัดเส้นทาง รอตรวจระยะทางและลำดับ</x:v>
      </x:c>
      <x:c r="N211" s="8" t="str">
        <x:v>ยังไม่ยืนยันการเปิดให้บริการปัจจุบัน</x:v>
      </x:c>
      <x:c r="O211" s="40" t="n">
        <x:v>46315</x:v>
      </x:c>
    </x:row>
    <x:row r="212" ht="38" customHeight="1">
      <x:c r="A212" s="9" t="n">
        <x:v>204</x:v>
      </x:c>
      <x:c r="B212" s="8" t="str">
        <x:v>บะละดี้ ขนมปังโฮมเมด Bread &amp; Bakery</x:v>
      </x:c>
      <x:c r="C212" s="8" t="str">
        <x:v>พระนครศรีอยุธยา</x:v>
      </x:c>
      <x:c r="D212" s="8" t="str">
        <x:v>พร้อมขาย</x:v>
      </x:c>
      <x:c r="E212" s="8" t="str">
        <x:v>ร้านอาหารและคาเฟ่</x:v>
      </x:c>
      <x:c r="F212" s="38" t="n">
        <x:v>46316</x:v>
      </x:c>
      <x:c r="G212" s="8" t="str">
        <x:v>TMF-008</x:v>
      </x:c>
      <x:c r="H212" s="39" t="str">
        <x:v>04</x:v>
      </x:c>
      <x:c r="I212" s="8" t="str">
        <x:v>The Muslim Legacy</x:v>
      </x:c>
      <x:c r="J212" s="8" t="str">
        <x:v>ตัวเลือกเสริม</x:v>
      </x:c>
      <x:c r="K212" s="8" t="str">
        <x:v>คาเฟ่และร้านของหวาน</x:v>
      </x:c>
      <x:c r="L212" s="8" t="str">
        <x:f>INDEX('ประเมินเกณฑ์'!$AE$9:$AE$608,MATCH(G212,'ประเมินเกณฑ์'!$A$9:$A$608,0))</x:f>
        <x:v>รอประเมิน</x:v>
      </x:c>
      <x:c r="M212" s="8" t="str">
        <x:v>สถานที่ในจังหวัดเส้นทาง รอตรวจระยะทางและลำดับ</x:v>
      </x:c>
      <x:c r="N212" s="8" t="str">
        <x:v>ยังไม่ยืนยันการเปิดให้บริการปัจจุบัน</x:v>
      </x:c>
      <x:c r="O212" s="40" t="n">
        <x:v>46315</x:v>
      </x:c>
    </x:row>
    <x:row r="213" ht="38" customHeight="1">
      <x:c r="A213" s="9" t="n">
        <x:v>205</x:v>
      </x:c>
      <x:c r="B213" s="8" t="str">
        <x:v>วนิดา ฮาลาลฟู้ด</x:v>
      </x:c>
      <x:c r="C213" s="8" t="str">
        <x:v>พระนครศรีอยุธยา</x:v>
      </x:c>
      <x:c r="D213" s="8" t="str">
        <x:v>พร้อมขาย</x:v>
      </x:c>
      <x:c r="E213" s="8" t="str">
        <x:v>ร้านอาหารและคาเฟ่</x:v>
      </x:c>
      <x:c r="F213" s="38" t="n">
        <x:v>46316</x:v>
      </x:c>
      <x:c r="G213" s="8" t="str">
        <x:v>TMF-009</x:v>
      </x:c>
      <x:c r="H213" s="39" t="str">
        <x:v>04</x:v>
      </x:c>
      <x:c r="I213" s="8" t="str">
        <x:v>The Muslim Legacy</x:v>
      </x:c>
      <x:c r="J213" s="8" t="str">
        <x:v>ตัวเลือกเสริม</x:v>
      </x:c>
      <x:c r="K213" s="8" t="str">
        <x:v>ร้านอาหาร</x:v>
      </x:c>
      <x:c r="L213" s="8" t="str">
        <x:f>INDEX('ประเมินเกณฑ์'!$AE$9:$AE$608,MATCH(G213,'ประเมินเกณฑ์'!$A$9:$A$608,0))</x:f>
        <x:v>รอประเมิน</x:v>
      </x:c>
      <x:c r="M213" s="8" t="str">
        <x:v>สถานที่ในจังหวัดเส้นทาง รอตรวจระยะทางและลำดับ</x:v>
      </x:c>
      <x:c r="N213" s="8" t="str">
        <x:v>ยังไม่ยืนยันการเปิดให้บริการปัจจุบัน</x:v>
      </x:c>
      <x:c r="O213" s="40" t="n">
        <x:v>46315</x:v>
      </x:c>
    </x:row>
    <x:row r="214" ht="38" customHeight="1">
      <x:c r="A214" s="9" t="n">
        <x:v>206</x:v>
      </x:c>
      <x:c r="B214" s="8" t="str">
        <x:v>สเต๊กครูตา มุสลิมอยุธยา</x:v>
      </x:c>
      <x:c r="C214" s="8" t="str">
        <x:v>พระนครศรีอยุธยา</x:v>
      </x:c>
      <x:c r="D214" s="8" t="str">
        <x:v>พร้อมขาย</x:v>
      </x:c>
      <x:c r="E214" s="8" t="str">
        <x:v>ร้านอาหารและคาเฟ่</x:v>
      </x:c>
      <x:c r="F214" s="38" t="n">
        <x:v>46316</x:v>
      </x:c>
      <x:c r="G214" s="8" t="str">
        <x:v>TMF-011</x:v>
      </x:c>
      <x:c r="H214" s="39" t="str">
        <x:v>04</x:v>
      </x:c>
      <x:c r="I214" s="8" t="str">
        <x:v>The Muslim Legacy</x:v>
      </x:c>
      <x:c r="J214" s="8" t="str">
        <x:v>ตัวเลือกเสริม</x:v>
      </x:c>
      <x:c r="K214" s="8" t="str">
        <x:v>ร้านอาหาร</x:v>
      </x:c>
      <x:c r="L214" s="8" t="str">
        <x:f>INDEX('ประเมินเกณฑ์'!$AE$9:$AE$608,MATCH(G214,'ประเมินเกณฑ์'!$A$9:$A$608,0))</x:f>
        <x:v>รอประเมิน</x:v>
      </x:c>
      <x:c r="M214" s="8" t="str">
        <x:v>สถานที่ในจังหวัดเส้นทาง รอตรวจระยะทางและลำดับ</x:v>
      </x:c>
      <x:c r="N214" s="8" t="str">
        <x:v>ยังไม่ยืนยันการเปิดให้บริการปัจจุบัน</x:v>
      </x:c>
      <x:c r="O214" s="40" t="n">
        <x:v>46315</x:v>
      </x:c>
    </x:row>
    <x:row r="215" ht="38" customHeight="1">
      <x:c r="A215" s="9" t="n">
        <x:v>207</x:v>
      </x:c>
      <x:c r="B215" s="8" t="str">
        <x:v>ห้องอาหาร สุใบด๊ะห์ชวนชิม สาขาไม้ตรา (อยุธยา)</x:v>
      </x:c>
      <x:c r="C215" s="8" t="str">
        <x:v>พระนครศรีอยุธยา</x:v>
      </x:c>
      <x:c r="D215" s="8" t="str">
        <x:v>พร้อมขาย</x:v>
      </x:c>
      <x:c r="E215" s="8" t="str">
        <x:v>ร้านอาหารและคาเฟ่</x:v>
      </x:c>
      <x:c r="F215" s="38" t="n">
        <x:v>46316</x:v>
      </x:c>
      <x:c r="G215" s="8" t="str">
        <x:v>TMF-012</x:v>
      </x:c>
      <x:c r="H215" s="39" t="str">
        <x:v>04</x:v>
      </x:c>
      <x:c r="I215" s="8" t="str">
        <x:v>The Muslim Legacy</x:v>
      </x:c>
      <x:c r="J215" s="8" t="str">
        <x:v>ตัวเลือกเสริม</x:v>
      </x:c>
      <x:c r="K215" s="8" t="str">
        <x:v>ร้านอาหาร</x:v>
      </x:c>
      <x:c r="L215" s="8" t="str">
        <x:f>INDEX('ประเมินเกณฑ์'!$AE$9:$AE$608,MATCH(G215,'ประเมินเกณฑ์'!$A$9:$A$608,0))</x:f>
        <x:v>รอประเมิน</x:v>
      </x:c>
      <x:c r="M215" s="8" t="str">
        <x:v>สถานที่ในจังหวัดเส้นทาง รอตรวจระยะทางและลำดับ</x:v>
      </x:c>
      <x:c r="N215" s="8" t="str">
        <x:v>ยังไม่ยืนยันการเปิดให้บริการปัจจุบัน</x:v>
      </x:c>
      <x:c r="O215" s="40" t="n">
        <x:v>46315</x:v>
      </x:c>
    </x:row>
    <x:row r="216" ht="38" customHeight="1">
      <x:c r="A216" s="9" t="n">
        <x:v>208</x:v>
      </x:c>
      <x:c r="B216" s="8" t="str">
        <x:v>อะฟาฟ อาหารมุสลิม</x:v>
      </x:c>
      <x:c r="C216" s="8" t="str">
        <x:v>พระนครศรีอยุธยา</x:v>
      </x:c>
      <x:c r="D216" s="8" t="str">
        <x:v>พัฒนาเพื่อพร้อมขาย</x:v>
      </x:c>
      <x:c r="E216" s="8" t="str">
        <x:v>ร้านอาหารและคาเฟ่</x:v>
      </x:c>
      <x:c r="F216" s="38" t="n">
        <x:v>46316</x:v>
      </x:c>
      <x:c r="G216" s="8" t="str">
        <x:v>TMF-255</x:v>
      </x:c>
      <x:c r="H216" s="39" t="str">
        <x:v>04</x:v>
      </x:c>
      <x:c r="I216" s="8" t="str">
        <x:v>The Muslim Legacy</x:v>
      </x:c>
      <x:c r="J216" s="8" t="str">
        <x:v>ตัวเลือกเสริม</x:v>
      </x:c>
      <x:c r="K216" s="8" t="str">
        <x:v>ร้านอาหาร</x:v>
      </x:c>
      <x:c r="L216" s="8" t="str">
        <x:f>INDEX('ประเมินเกณฑ์'!$AE$9:$AE$608,MATCH(G216,'ประเมินเกณฑ์'!$A$9:$A$608,0))</x:f>
        <x:v>รอประเมิน</x:v>
      </x:c>
      <x:c r="M216" s="8" t="str">
        <x:v>สถานที่ในจังหวัดเส้นทาง รอตรวจระยะทางและลำดับ</x:v>
      </x:c>
      <x:c r="N216" s="8" t="str">
        <x:v>ยังไม่ยืนยันการเปิดให้บริการปัจจุบัน</x:v>
      </x:c>
      <x:c r="O216" s="40" t="n">
        <x:v>46315</x:v>
      </x:c>
    </x:row>
    <x:row r="217" ht="38" customHeight="1">
      <x:c r="A217" s="9" t="n">
        <x:v>209</x:v>
      </x:c>
      <x:c r="B217" s="8" t="str">
        <x:v>อะฟาฟ อาหารมุสลิม สาขาบ้านสวน 3</x:v>
      </x:c>
      <x:c r="C217" s="8" t="str">
        <x:v>พระนครศรีอยุธยา</x:v>
      </x:c>
      <x:c r="D217" s="8" t="str">
        <x:v>พัฒนาเพื่อพร้อมขาย</x:v>
      </x:c>
      <x:c r="E217" s="8" t="str">
        <x:v>ร้านอาหารและคาเฟ่</x:v>
      </x:c>
      <x:c r="F217" s="38" t="n">
        <x:v>46316</x:v>
      </x:c>
      <x:c r="G217" s="8" t="str">
        <x:v>TMF-256</x:v>
      </x:c>
      <x:c r="H217" s="39" t="str">
        <x:v>04</x:v>
      </x:c>
      <x:c r="I217" s="8" t="str">
        <x:v>The Muslim Legacy</x:v>
      </x:c>
      <x:c r="J217" s="8" t="str">
        <x:v>ตัวเลือกเสริม</x:v>
      </x:c>
      <x:c r="K217" s="8" t="str">
        <x:v>ร้านอาหาร</x:v>
      </x:c>
      <x:c r="L217" s="8" t="str">
        <x:f>INDEX('ประเมินเกณฑ์'!$AE$9:$AE$608,MATCH(G217,'ประเมินเกณฑ์'!$A$9:$A$608,0))</x:f>
        <x:v>รอประเมิน</x:v>
      </x:c>
      <x:c r="M217" s="8" t="str">
        <x:v>สถานที่ในจังหวัดเส้นทาง รอตรวจระยะทางและลำดับ</x:v>
      </x:c>
      <x:c r="N217" s="8" t="str">
        <x:v>ยังไม่ยืนยันการเปิดให้บริการปัจจุบัน</x:v>
      </x:c>
      <x:c r="O217" s="40" t="n">
        <x:v>46315</x:v>
      </x:c>
    </x:row>
    <x:row r="218" ht="38" customHeight="1">
      <x:c r="A218" s="9" t="n">
        <x:v>210</x:v>
      </x:c>
      <x:c r="B218" s="8" t="str">
        <x:v>โรตีสายไหม อาบีดีน-ประนอม แสงอรุณ สาขา 2</x:v>
      </x:c>
      <x:c r="C218" s="8" t="str">
        <x:v>พระนครศรีอยุธยา</x:v>
      </x:c>
      <x:c r="D218" s="8" t="str">
        <x:v>พัฒนาเพื่อพร้อมขาย</x:v>
      </x:c>
      <x:c r="E218" s="8" t="str">
        <x:v>ร้านอาหารและคาเฟ่</x:v>
      </x:c>
      <x:c r="F218" s="38" t="n">
        <x:v>46316</x:v>
      </x:c>
      <x:c r="G218" s="8" t="str">
        <x:v>TMF-259</x:v>
      </x:c>
      <x:c r="H218" s="39" t="str">
        <x:v>04</x:v>
      </x:c>
      <x:c r="I218" s="8" t="str">
        <x:v>The Muslim Legacy</x:v>
      </x:c>
      <x:c r="J218" s="8" t="str">
        <x:v>ตัวเลือกเสริม</x:v>
      </x:c>
      <x:c r="K218" s="8" t="str">
        <x:v>คาเฟ่และร้านของหวาน</x:v>
      </x:c>
      <x:c r="L218" s="8" t="str">
        <x:f>INDEX('ประเมินเกณฑ์'!$AE$9:$AE$608,MATCH(G218,'ประเมินเกณฑ์'!$A$9:$A$608,0))</x:f>
        <x:v>รอประเมิน</x:v>
      </x:c>
      <x:c r="M218" s="8" t="str">
        <x:v>สถานที่ในจังหวัดเส้นทาง รอตรวจระยะทางและลำดับ</x:v>
      </x:c>
      <x:c r="N218" s="8" t="str">
        <x:v>ยังไม่ยืนยันการเปิดให้บริการปัจจุบัน</x:v>
      </x:c>
      <x:c r="O218" s="40" t="n">
        <x:v>46315</x:v>
      </x:c>
    </x:row>
    <x:row r="219" ht="38" customHeight="1">
      <x:c r="A219" s="9" t="n">
        <x:v>211</x:v>
      </x:c>
      <x:c r="B219" s="8" t="str">
        <x:v>ไก่ทอดหาดใหญ่ มูฮำหมัด อยุธยา สาขา 2 (ตรงข้ามวัดธรรมิกราช)</x:v>
      </x:c>
      <x:c r="C219" s="8" t="str">
        <x:v>พระนครศรีอยุธยา</x:v>
      </x:c>
      <x:c r="D219" s="8" t="str">
        <x:v>พัฒนาเพื่อพร้อมขาย</x:v>
      </x:c>
      <x:c r="E219" s="8" t="str">
        <x:v>ร้านอาหารและคาเฟ่</x:v>
      </x:c>
      <x:c r="F219" s="38" t="n">
        <x:v>46316</x:v>
      </x:c>
      <x:c r="G219" s="8" t="str">
        <x:v>TMF-260</x:v>
      </x:c>
      <x:c r="H219" s="39" t="str">
        <x:v>04</x:v>
      </x:c>
      <x:c r="I219" s="8" t="str">
        <x:v>The Muslim Legacy</x:v>
      </x:c>
      <x:c r="J219" s="8" t="str">
        <x:v>ตัวเลือกเสริม</x:v>
      </x:c>
      <x:c r="K219" s="8" t="str">
        <x:v>ร้านอาหาร</x:v>
      </x:c>
      <x:c r="L219" s="8" t="str">
        <x:f>INDEX('ประเมินเกณฑ์'!$AE$9:$AE$608,MATCH(G219,'ประเมินเกณฑ์'!$A$9:$A$608,0))</x:f>
        <x:v>รอประเมิน</x:v>
      </x:c>
      <x:c r="M219" s="8" t="str">
        <x:v>สถานที่ในจังหวัดเส้นทาง รอตรวจระยะทางและลำดับ</x:v>
      </x:c>
      <x:c r="N219" s="8" t="str">
        <x:v>ยังไม่ยืนยันการเปิดให้บริการปัจจุบัน</x:v>
      </x:c>
      <x:c r="O219" s="40" t="n">
        <x:v>46315</x:v>
      </x:c>
    </x:row>
    <x:row r="220" ht="38" customHeight="1">
      <x:c r="A220" s="9" t="n">
        <x:v>212</x:v>
      </x:c>
      <x:c r="B220" s="8" t="str">
        <x:v>ไก่ทอดหาดใหญ่ มูฮำหมัด-อยุธยา สาขา 1</x:v>
      </x:c>
      <x:c r="C220" s="8" t="str">
        <x:v>พระนครศรีอยุธยา</x:v>
      </x:c>
      <x:c r="D220" s="8" t="str">
        <x:v>พัฒนาเพื่อพร้อมขาย</x:v>
      </x:c>
      <x:c r="E220" s="8" t="str">
        <x:v>ร้านอาหารและคาเฟ่</x:v>
      </x:c>
      <x:c r="F220" s="38" t="n">
        <x:v>46316</x:v>
      </x:c>
      <x:c r="G220" s="8" t="str">
        <x:v>TMF-261</x:v>
      </x:c>
      <x:c r="H220" s="39" t="str">
        <x:v>04</x:v>
      </x:c>
      <x:c r="I220" s="8" t="str">
        <x:v>The Muslim Legacy</x:v>
      </x:c>
      <x:c r="J220" s="8" t="str">
        <x:v>ตัวเลือกเสริม</x:v>
      </x:c>
      <x:c r="K220" s="8" t="str">
        <x:v>ร้านอาหาร</x:v>
      </x:c>
      <x:c r="L220" s="8" t="str">
        <x:f>INDEX('ประเมินเกณฑ์'!$AE$9:$AE$608,MATCH(G220,'ประเมินเกณฑ์'!$A$9:$A$608,0))</x:f>
        <x:v>รอประเมิน</x:v>
      </x:c>
      <x:c r="M220" s="8" t="str">
        <x:v>สถานที่ในจังหวัดเส้นทาง รอตรวจระยะทางและลำดับ</x:v>
      </x:c>
      <x:c r="N220" s="8" t="str">
        <x:v>ยังไม่ยืนยันการเปิดให้บริการปัจจุบัน</x:v>
      </x:c>
      <x:c r="O220" s="40" t="n">
        <x:v>46315</x:v>
      </x:c>
    </x:row>
    <x:row r="221" ht="38" customHeight="1">
      <x:c r="A221" s="9" t="n">
        <x:v>213</x:v>
      </x:c>
      <x:c r="B221" s="8" t="str">
        <x:v>Central Ayutthaya</x:v>
      </x:c>
      <x:c r="C221" s="8" t="str">
        <x:v>พระนครศรีอยุธยา</x:v>
      </x:c>
      <x:c r="D221" s="8" t="str">
        <x:v>มีศักยภาพ แต่ต้องพัฒนามาตรฐาน</x:v>
      </x:c>
      <x:c r="E221" s="8" t="str">
        <x:v>ศูนย์การค้า</x:v>
      </x:c>
      <x:c r="F221" s="38" t="n">
        <x:v>46316</x:v>
      </x:c>
      <x:c r="G221" s="8" t="str">
        <x:v>R26-257</x:v>
      </x:c>
      <x:c r="H221" s="39" t="str">
        <x:v>04</x:v>
      </x:c>
      <x:c r="I221" s="8" t="str">
        <x:v>The Muslim Legacy</x:v>
      </x:c>
      <x:c r="J221" s="8" t="str">
        <x:v>ตัวเลือกเสริม</x:v>
      </x:c>
      <x:c r="K221" s="8" t="str">
        <x:v>การค้า</x:v>
      </x:c>
      <x:c r="L221" s="8" t="str">
        <x:f>INDEX('ประเมินเกณฑ์'!$AE$9:$AE$608,MATCH(G221,'ประเมินเกณฑ์'!$A$9:$A$608,0))</x:f>
        <x:v>รอประเมิน</x:v>
      </x:c>
      <x:c r="M221" s="8" t="str">
        <x:v>สถานที่ในจังหวัดเส้นทาง รอตรวจระยะทางและลำดับ</x:v>
      </x:c>
      <x:c r="N221" s="8" t="str">
        <x:v>ยังไม่ยืนยันการเปิดให้บริการปัจจุบัน</x:v>
      </x:c>
      <x:c r="O221" s="40" t="n">
        <x:v>46316</x:v>
      </x:c>
    </x:row>
    <x:row r="222" ht="38" customHeight="1">
      <x:c r="A222" s="9" t="n">
        <x:v>214</x:v>
      </x:c>
      <x:c r="B222" s="8" t="str">
        <x:v>ศูนย์ศึกษาประวัติศาสตร์อยุธยา</x:v>
      </x:c>
      <x:c r="C222" s="8" t="str">
        <x:v>พระนครศรีอยุธยา</x:v>
      </x:c>
      <x:c r="D222" s="8" t="str">
        <x:v>มีศักยภาพ แต่ต้องพัฒนามาตรฐาน</x:v>
      </x:c>
      <x:c r="E222" s="8" t="str">
        <x:v>แหล่งท่องเที่ยวทางประวัติศาสตร์และวัฒนธรรม</x:v>
      </x:c>
      <x:c r="F222" s="38" t="n">
        <x:v>46316</x:v>
      </x:c>
      <x:c r="G222" s="8" t="str">
        <x:v>TMF-440</x:v>
      </x:c>
      <x:c r="H222" s="39" t="str">
        <x:v>04</x:v>
      </x:c>
      <x:c r="I222" s="8" t="str">
        <x:v>The Muslim Legacy</x:v>
      </x:c>
      <x:c r="J222" s="8" t="str">
        <x:v>ตัวเลือกเสริม</x:v>
      </x:c>
      <x:c r="K222" s="8" t="str">
        <x:v>พิพิธภัณฑ์และศูนย์เรียนรู้</x:v>
      </x:c>
      <x:c r="L222" s="8" t="str">
        <x:f>INDEX('ประเมินเกณฑ์'!$AE$9:$AE$608,MATCH(G222,'ประเมินเกณฑ์'!$A$9:$A$608,0))</x:f>
        <x:v>รอประเมิน</x:v>
      </x:c>
      <x:c r="M222" s="8" t="str">
        <x:v>สถานที่ในจังหวัดเส้นทาง รอตรวจระยะทางและลำดับ</x:v>
      </x:c>
      <x:c r="N222" s="8" t="str">
        <x:v>ยังไม่ยืนยันการเปิดให้บริการปัจจุบัน</x:v>
      </x:c>
      <x:c r="O222" s="40" t="n">
        <x:v>46315</x:v>
      </x:c>
    </x:row>
    <x:row r="223" ht="38" customHeight="1">
      <x:c r="A223" s="9" t="n">
        <x:v>215</x:v>
      </x:c>
      <x:c r="B223" s="8" t="str">
        <x:v>ตลาดน้ำอโยธยา</x:v>
      </x:c>
      <x:c r="C223" s="8" t="str">
        <x:v>พระนครศรีอยุธยา</x:v>
      </x:c>
      <x:c r="D223" s="8" t="str">
        <x:v>มีศักยภาพ แต่ต้องพัฒนามาตรฐาน</x:v>
      </x:c>
      <x:c r="E223" s="8" t="str">
        <x:v>ศูนย์กิจกรรมและนันทนาการ</x:v>
      </x:c>
      <x:c r="F223" s="38" t="n">
        <x:v>46316</x:v>
      </x:c>
      <x:c r="G223" s="8" t="str">
        <x:v>R26-327</x:v>
      </x:c>
      <x:c r="H223" s="39" t="str">
        <x:v>04</x:v>
      </x:c>
      <x:c r="I223" s="8" t="str">
        <x:v>The Muslim Legacy</x:v>
      </x:c>
      <x:c r="J223" s="8" t="str">
        <x:v>ตัวเลือกเสริม</x:v>
      </x:c>
      <x:c r="K223" s="8" t="str">
        <x:v>กิจกรรม</x:v>
      </x:c>
      <x:c r="L223" s="8" t="str">
        <x:f>INDEX('ประเมินเกณฑ์'!$AE$9:$AE$608,MATCH(G223,'ประเมินเกณฑ์'!$A$9:$A$608,0))</x:f>
        <x:v>รอประเมิน</x:v>
      </x:c>
      <x:c r="M223" s="8" t="str">
        <x:v>สถานที่ในจังหวัดเส้นทาง รอตรวจระยะทางและลำดับ</x:v>
      </x:c>
      <x:c r="N223" s="8" t="str">
        <x:v>ยังไม่ยืนยันการเปิดให้บริการปัจจุบัน</x:v>
      </x:c>
      <x:c r="O223" s="40" t="n">
        <x:v>46316</x:v>
      </x:c>
    </x:row>
    <x:row r="224" ht="38" customHeight="1">
      <x:c r="A224" s="9" t="n">
        <x:v>216</x:v>
      </x:c>
      <x:c r="B224" s="8" t="str">
        <x:v>Sai Tharn Iyara Resort</x:v>
      </x:c>
      <x:c r="C224" s="8" t="str">
        <x:v>กาญจนบุรี</x:v>
      </x:c>
      <x:c r="D224" s="8" t="str">
        <x:v>มีศักยภาพ แต่ต้องพัฒนามาตรฐาน</x:v>
      </x:c>
      <x:c r="E224" s="8" t="str">
        <x:v>ที่พัก</x:v>
      </x:c>
      <x:c r="F224" s="38" t="n">
        <x:v>46316</x:v>
      </x:c>
      <x:c r="G224" s="8" t="str">
        <x:v>R26-049</x:v>
      </x:c>
      <x:c r="H224" s="39" t="str">
        <x:v>05</x:v>
      </x:c>
      <x:c r="I224" s="8" t="str">
        <x:v>River For (est)</x:v>
      </x:c>
      <x:c r="J224" s="8" t="str">
        <x:v>1</x:v>
      </x:c>
      <x:c r="K224" s="8" t="str">
        <x:v>ที่พัก</x:v>
      </x:c>
      <x:c r="L224" s="8" t="str">
        <x:f>INDEX('ประเมินเกณฑ์'!$AE$9:$AE$608,MATCH(G224,'ประเมินเกณฑ์'!$A$9:$A$608,0))</x:f>
        <x:v>รอประเมิน</x:v>
      </x:c>
      <x:c r="M224" s="8" t="str">
        <x:v>จุดในเอกสารเส้นทาง</x:v>
      </x:c>
      <x:c r="N224" s="8" t="str">
        <x:v>ยังไม่ยืนยันการเปิดให้บริการปัจจุบัน</x:v>
      </x:c>
      <x:c r="O224" s="40" t="n">
        <x:v>46316</x:v>
      </x:c>
    </x:row>
    <x:row r="225" ht="38" customHeight="1">
      <x:c r="A225" s="9" t="n">
        <x:v>217</x:v>
      </x:c>
      <x:c r="B225" s="8" t="str">
        <x:v>ครัวซุเบรฟาร์ม อาหารอิสลาม</x:v>
      </x:c>
      <x:c r="C225" s="8" t="str">
        <x:v>กาญจนบุรี</x:v>
      </x:c>
      <x:c r="D225" s="8" t="str">
        <x:v>มีศักยภาพ แต่ต้องพัฒนามาตรฐาน</x:v>
      </x:c>
      <x:c r="E225" s="8" t="str">
        <x:v>ร้านอาหารและคาเฟ่</x:v>
      </x:c>
      <x:c r="F225" s="38" t="n">
        <x:v>46316</x:v>
      </x:c>
      <x:c r="G225" s="8" t="str">
        <x:v>R26-047</x:v>
      </x:c>
      <x:c r="H225" s="39" t="str">
        <x:v>05</x:v>
      </x:c>
      <x:c r="I225" s="8" t="str">
        <x:v>River For (est)</x:v>
      </x:c>
      <x:c r="J225" s="8" t="str">
        <x:v>1</x:v>
      </x:c>
      <x:c r="K225" s="8" t="str">
        <x:v>อาหาร</x:v>
      </x:c>
      <x:c r="L225" s="8" t="str">
        <x:f>INDEX('ประเมินเกณฑ์'!$AE$9:$AE$608,MATCH(G225,'ประเมินเกณฑ์'!$A$9:$A$608,0))</x:f>
        <x:v>รอประเมิน</x:v>
      </x:c>
      <x:c r="M225" s="8" t="str">
        <x:v>จุดในเอกสารเส้นทาง</x:v>
      </x:c>
      <x:c r="N225" s="8" t="str">
        <x:v>ยังไม่ยืนยันการเปิดให้บริการปัจจุบัน</x:v>
      </x:c>
      <x:c r="O225" s="40" t="n">
        <x:v>46316</x:v>
      </x:c>
    </x:row>
    <x:row r="226" ht="38" customHeight="1">
      <x:c r="A226" s="9" t="n">
        <x:v>218</x:v>
      </x:c>
      <x:c r="B226" s="8" t="str">
        <x:v>น้ำตกเอราวัณ</x:v>
      </x:c>
      <x:c r="C226" s="8" t="str">
        <x:v>กาญจนบุรี</x:v>
      </x:c>
      <x:c r="D226" s="8" t="str">
        <x:v>มีศักยภาพ แต่ต้องพัฒนามาตรฐาน</x:v>
      </x:c>
      <x:c r="E226" s="8" t="str">
        <x:v>แหล่งท่องเที่ยวทางธรรมชาติ</x:v>
      </x:c>
      <x:c r="F226" s="38" t="n">
        <x:v>46316</x:v>
      </x:c>
      <x:c r="G226" s="8" t="str">
        <x:v>TMF-443</x:v>
      </x:c>
      <x:c r="H226" s="39" t="str">
        <x:v>05</x:v>
      </x:c>
      <x:c r="I226" s="8" t="str">
        <x:v>River For (est)</x:v>
      </x:c>
      <x:c r="J226" s="8" t="str">
        <x:v>1</x:v>
      </x:c>
      <x:c r="K226" s="8" t="str">
        <x:v>น้ำตกในอุทยานแห่งชาติ</x:v>
      </x:c>
      <x:c r="L226" s="8" t="str">
        <x:f>INDEX('ประเมินเกณฑ์'!$AE$9:$AE$608,MATCH(G226,'ประเมินเกณฑ์'!$A$9:$A$608,0))</x:f>
        <x:v>รอประเมิน</x:v>
      </x:c>
      <x:c r="M226" s="8" t="str">
        <x:v>จุดในเอกสารเส้นทาง</x:v>
      </x:c>
      <x:c r="N226" s="8" t="str">
        <x:v>ยังไม่ยืนยันการเปิดให้บริการปัจจุบัน</x:v>
      </x:c>
      <x:c r="O226" s="40" t="n">
        <x:v>46316</x:v>
      </x:c>
    </x:row>
    <x:row r="227" ht="38" customHeight="1">
      <x:c r="A227" s="9" t="n">
        <x:v>219</x:v>
      </x:c>
      <x:c r="B227" s="8" t="str">
        <x:v>สะพานข้ามแม่น้ำแคว</x:v>
      </x:c>
      <x:c r="C227" s="8" t="str">
        <x:v>กาญจนบุรี</x:v>
      </x:c>
      <x:c r="D227" s="8" t="str">
        <x:v>มีศักยภาพ แต่ต้องพัฒนามาตรฐาน</x:v>
      </x:c>
      <x:c r="E227" s="8" t="str">
        <x:v>แหล่งท่องเที่ยวทางประวัติศาสตร์และวัฒนธรรม</x:v>
      </x:c>
      <x:c r="F227" s="38" t="n">
        <x:v>46316</x:v>
      </x:c>
      <x:c r="G227" s="8" t="str">
        <x:v>R26-046</x:v>
      </x:c>
      <x:c r="H227" s="39" t="str">
        <x:v>05</x:v>
      </x:c>
      <x:c r="I227" s="8" t="str">
        <x:v>River For (est)</x:v>
      </x:c>
      <x:c r="J227" s="8" t="str">
        <x:v>1</x:v>
      </x:c>
      <x:c r="K227" s="8" t="str">
        <x:v>ประวัติ</x:v>
      </x:c>
      <x:c r="L227" s="8" t="str">
        <x:f>INDEX('ประเมินเกณฑ์'!$AE$9:$AE$608,MATCH(G227,'ประเมินเกณฑ์'!$A$9:$A$608,0))</x:f>
        <x:v>รอประเมิน</x:v>
      </x:c>
      <x:c r="M227" s="8" t="str">
        <x:v>จุดในเอกสารเส้นทาง</x:v>
      </x:c>
      <x:c r="N227" s="8" t="str">
        <x:v>ยังไม่ยืนยันการเปิดให้บริการปัจจุบัน</x:v>
      </x:c>
      <x:c r="O227" s="40" t="n">
        <x:v>46316</x:v>
      </x:c>
    </x:row>
    <x:row r="228" ht="38" customHeight="1">
      <x:c r="A228" s="9" t="n">
        <x:v>220</x:v>
      </x:c>
      <x:c r="B228" s="8" t="str">
        <x:v>ปางช้างไทรโยค</x:v>
      </x:c>
      <x:c r="C228" s="8" t="str">
        <x:v>กาญจนบุรี</x:v>
      </x:c>
      <x:c r="D228" s="8" t="str">
        <x:v>มีศักยภาพ แต่ต้องพัฒนามาตรฐาน</x:v>
      </x:c>
      <x:c r="E228" s="8" t="str">
        <x:v>ศูนย์กิจกรรมและนันทนาการ</x:v>
      </x:c>
      <x:c r="F228" s="38" t="n">
        <x:v>46316</x:v>
      </x:c>
      <x:c r="G228" s="8" t="str">
        <x:v>R26-050</x:v>
      </x:c>
      <x:c r="H228" s="39" t="str">
        <x:v>05</x:v>
      </x:c>
      <x:c r="I228" s="8" t="str">
        <x:v>River For (est)</x:v>
      </x:c>
      <x:c r="J228" s="8" t="str">
        <x:v>1</x:v>
      </x:c>
      <x:c r="K228" s="8" t="str">
        <x:v>กิจกรรม</x:v>
      </x:c>
      <x:c r="L228" s="8" t="str">
        <x:f>INDEX('ประเมินเกณฑ์'!$AE$9:$AE$608,MATCH(G228,'ประเมินเกณฑ์'!$A$9:$A$608,0))</x:f>
        <x:v>รอประเมิน</x:v>
      </x:c>
      <x:c r="M228" s="8" t="str">
        <x:v>จุดในเอกสารเส้นทาง</x:v>
      </x:c>
      <x:c r="N228" s="8" t="str">
        <x:v>ยังไม่ยืนยันการเปิดให้บริการปัจจุบัน</x:v>
      </x:c>
      <x:c r="O228" s="40" t="n">
        <x:v>46316</x:v>
      </x:c>
    </x:row>
    <x:row r="229" ht="38" customHeight="1">
      <x:c r="A229" s="9" t="n">
        <x:v>221</x:v>
      </x:c>
      <x:c r="B229" s="8" t="str">
        <x:v>Felix River Kwai Resort</x:v>
      </x:c>
      <x:c r="C229" s="8" t="str">
        <x:v>กาญจนบุรี</x:v>
      </x:c>
      <x:c r="D229" s="8" t="str">
        <x:v>มีศักยภาพ แต่ต้องพัฒนามาตรฐาน</x:v>
      </x:c>
      <x:c r="E229" s="8" t="str">
        <x:v>ที่พัก</x:v>
      </x:c>
      <x:c r="F229" s="38" t="n">
        <x:v>46316</x:v>
      </x:c>
      <x:c r="G229" s="8" t="str">
        <x:v>R26-369</x:v>
      </x:c>
      <x:c r="H229" s="39" t="str">
        <x:v>05</x:v>
      </x:c>
      <x:c r="I229" s="8" t="str">
        <x:v>River For (est)</x:v>
      </x:c>
      <x:c r="J229" s="8" t="str">
        <x:v>ตัวเลือกเสริม</x:v>
      </x:c>
      <x:c r="K229" s="8" t="str">
        <x:v>ที่พัก</x:v>
      </x:c>
      <x:c r="L229" s="8" t="str">
        <x:f>INDEX('ประเมินเกณฑ์'!$AE$9:$AE$608,MATCH(G229,'ประเมินเกณฑ์'!$A$9:$A$608,0))</x:f>
        <x:v>รอประเมิน</x:v>
      </x:c>
      <x:c r="M229" s="8" t="str">
        <x:v>สถานที่ในจังหวัดเส้นทาง รอตรวจระยะทางและลำดับ</x:v>
      </x:c>
      <x:c r="N229" s="8" t="str">
        <x:v>ยังไม่ยืนยันการเปิดให้บริการปัจจุบัน</x:v>
      </x:c>
      <x:c r="O229" s="40" t="n">
        <x:v>46316</x:v>
      </x:c>
    </x:row>
    <x:row r="230" ht="38" customHeight="1">
      <x:c r="A230" s="9" t="n">
        <x:v>222</x:v>
      </x:c>
      <x:c r="B230" s="8" t="str">
        <x:v>Natee The Riverfront Hotel Kanchanaburi</x:v>
      </x:c>
      <x:c r="C230" s="8" t="str">
        <x:v>กาญจนบุรี</x:v>
      </x:c>
      <x:c r="D230" s="8" t="str">
        <x:v>มีศักยภาพ แต่ต้องพัฒนามาตรฐาน</x:v>
      </x:c>
      <x:c r="E230" s="8" t="str">
        <x:v>ที่พัก</x:v>
      </x:c>
      <x:c r="F230" s="38" t="n">
        <x:v>46316</x:v>
      </x:c>
      <x:c r="G230" s="8" t="str">
        <x:v>R26-371</x:v>
      </x:c>
      <x:c r="H230" s="39" t="str">
        <x:v>05</x:v>
      </x:c>
      <x:c r="I230" s="8" t="str">
        <x:v>River For (est)</x:v>
      </x:c>
      <x:c r="J230" s="8" t="str">
        <x:v>ตัวเลือกเสริม</x:v>
      </x:c>
      <x:c r="K230" s="8" t="str">
        <x:v>ที่พัก</x:v>
      </x:c>
      <x:c r="L230" s="8" t="str">
        <x:f>INDEX('ประเมินเกณฑ์'!$AE$9:$AE$608,MATCH(G230,'ประเมินเกณฑ์'!$A$9:$A$608,0))</x:f>
        <x:v>รอประเมิน</x:v>
      </x:c>
      <x:c r="M230" s="8" t="str">
        <x:v>สถานที่ในจังหวัดเส้นทาง รอตรวจระยะทางและลำดับ</x:v>
      </x:c>
      <x:c r="N230" s="8" t="str">
        <x:v>ยังไม่ยืนยันการเปิดให้บริการปัจจุบัน</x:v>
      </x:c>
      <x:c r="O230" s="40" t="n">
        <x:v>46316</x:v>
      </x:c>
    </x:row>
    <x:row r="231" ht="38" customHeight="1">
      <x:c r="A231" s="9" t="n">
        <x:v>223</x:v>
      </x:c>
      <x:c r="B231" s="8" t="str">
        <x:v>River Kwai Resotel</x:v>
      </x:c>
      <x:c r="C231" s="8" t="str">
        <x:v>กาญจนบุรี</x:v>
      </x:c>
      <x:c r="D231" s="8" t="str">
        <x:v>มีศักยภาพ แต่ต้องพัฒนามาตรฐาน</x:v>
      </x:c>
      <x:c r="E231" s="8" t="str">
        <x:v>ที่พัก</x:v>
      </x:c>
      <x:c r="F231" s="38" t="n">
        <x:v>46316</x:v>
      </x:c>
      <x:c r="G231" s="8" t="str">
        <x:v>R26-372</x:v>
      </x:c>
      <x:c r="H231" s="39" t="str">
        <x:v>05</x:v>
      </x:c>
      <x:c r="I231" s="8" t="str">
        <x:v>River For (est)</x:v>
      </x:c>
      <x:c r="J231" s="8" t="str">
        <x:v>ตัวเลือกเสริม</x:v>
      </x:c>
      <x:c r="K231" s="8" t="str">
        <x:v>ที่พัก</x:v>
      </x:c>
      <x:c r="L231" s="8" t="str">
        <x:f>INDEX('ประเมินเกณฑ์'!$AE$9:$AE$608,MATCH(G231,'ประเมินเกณฑ์'!$A$9:$A$608,0))</x:f>
        <x:v>รอประเมิน</x:v>
      </x:c>
      <x:c r="M231" s="8" t="str">
        <x:v>สถานที่ในจังหวัดเส้นทาง รอตรวจระยะทางและลำดับ</x:v>
      </x:c>
      <x:c r="N231" s="8" t="str">
        <x:v>ยังไม่ยืนยันการเปิดให้บริการปัจจุบัน</x:v>
      </x:c>
      <x:c r="O231" s="40" t="n">
        <x:v>46316</x:v>
      </x:c>
    </x:row>
    <x:row r="232" ht="38" customHeight="1">
      <x:c r="A232" s="9" t="n">
        <x:v>224</x:v>
      </x:c>
      <x:c r="B232" s="8" t="str">
        <x:v>U Inchantree Kanchanaburi</x:v>
      </x:c>
      <x:c r="C232" s="8" t="str">
        <x:v>กาญจนบุรี</x:v>
      </x:c>
      <x:c r="D232" s="8" t="str">
        <x:v>มีศักยภาพ แต่ต้องพัฒนามาตรฐาน</x:v>
      </x:c>
      <x:c r="E232" s="8" t="str">
        <x:v>ที่พัก</x:v>
      </x:c>
      <x:c r="F232" s="38" t="n">
        <x:v>46316</x:v>
      </x:c>
      <x:c r="G232" s="8" t="str">
        <x:v>R26-370</x:v>
      </x:c>
      <x:c r="H232" s="39" t="str">
        <x:v>05</x:v>
      </x:c>
      <x:c r="I232" s="8" t="str">
        <x:v>River For (est)</x:v>
      </x:c>
      <x:c r="J232" s="8" t="str">
        <x:v>ตัวเลือกเสริม</x:v>
      </x:c>
      <x:c r="K232" s="8" t="str">
        <x:v>ที่พัก</x:v>
      </x:c>
      <x:c r="L232" s="8" t="str">
        <x:f>INDEX('ประเมินเกณฑ์'!$AE$9:$AE$608,MATCH(G232,'ประเมินเกณฑ์'!$A$9:$A$608,0))</x:f>
        <x:v>รอประเมิน</x:v>
      </x:c>
      <x:c r="M232" s="8" t="str">
        <x:v>สถานที่ในจังหวัดเส้นทาง รอตรวจระยะทางและลำดับ</x:v>
      </x:c>
      <x:c r="N232" s="8" t="str">
        <x:v>ยังไม่ยืนยันการเปิดให้บริการปัจจุบัน</x:v>
      </x:c>
      <x:c r="O232" s="40" t="n">
        <x:v>46316</x:v>
      </x:c>
    </x:row>
    <x:row r="233" ht="38" customHeight="1">
      <x:c r="A233" s="9" t="n">
        <x:v>225</x:v>
      </x:c>
      <x:c r="B233" s="8" t="str">
        <x:v>ครัวฮาลาล ณ.กาญจนบุรี</x:v>
      </x:c>
      <x:c r="C233" s="8" t="str">
        <x:v>กาญจนบุรี</x:v>
      </x:c>
      <x:c r="D233" s="8" t="str">
        <x:v>พร้อมขาย</x:v>
      </x:c>
      <x:c r="E233" s="8" t="str">
        <x:v>ร้านอาหารและคาเฟ่</x:v>
      </x:c>
      <x:c r="F233" s="38" t="n">
        <x:v>46316</x:v>
      </x:c>
      <x:c r="G233" s="8" t="str">
        <x:v>TMF-015</x:v>
      </x:c>
      <x:c r="H233" s="39" t="str">
        <x:v>05</x:v>
      </x:c>
      <x:c r="I233" s="8" t="str">
        <x:v>River For (est)</x:v>
      </x:c>
      <x:c r="J233" s="8" t="str">
        <x:v>ตัวเลือกเสริม</x:v>
      </x:c>
      <x:c r="K233" s="8" t="str">
        <x:v>ร้านอาหาร</x:v>
      </x:c>
      <x:c r="L233" s="8" t="str">
        <x:f>INDEX('ประเมินเกณฑ์'!$AE$9:$AE$608,MATCH(G233,'ประเมินเกณฑ์'!$A$9:$A$608,0))</x:f>
        <x:v>รอประเมิน</x:v>
      </x:c>
      <x:c r="M233" s="8" t="str">
        <x:v>สถานที่ในจังหวัดเส้นทาง รอตรวจระยะทางและลำดับ</x:v>
      </x:c>
      <x:c r="N233" s="8" t="str">
        <x:v>ยังไม่ยืนยันการเปิดให้บริการปัจจุบัน</x:v>
      </x:c>
      <x:c r="O233" s="40" t="n">
        <x:v>46316</x:v>
      </x:c>
    </x:row>
    <x:row r="234" ht="38" customHeight="1">
      <x:c r="A234" s="9" t="n">
        <x:v>226</x:v>
      </x:c>
      <x:c r="B234" s="8" t="str">
        <x:v>ดาดาโรตีโอ่ง กาญจนบุรี</x:v>
      </x:c>
      <x:c r="C234" s="8" t="str">
        <x:v>กาญจนบุรี</x:v>
      </x:c>
      <x:c r="D234" s="8" t="str">
        <x:v>พร้อมขาย</x:v>
      </x:c>
      <x:c r="E234" s="8" t="str">
        <x:v>ร้านอาหารและคาเฟ่</x:v>
      </x:c>
      <x:c r="F234" s="38" t="n">
        <x:v>46316</x:v>
      </x:c>
      <x:c r="G234" s="8" t="str">
        <x:v>TMF-016</x:v>
      </x:c>
      <x:c r="H234" s="39" t="str">
        <x:v>05</x:v>
      </x:c>
      <x:c r="I234" s="8" t="str">
        <x:v>River For (est)</x:v>
      </x:c>
      <x:c r="J234" s="8" t="str">
        <x:v>ตัวเลือกเสริม</x:v>
      </x:c>
      <x:c r="K234" s="8" t="str">
        <x:v>คาเฟ่และร้านของหวาน</x:v>
      </x:c>
      <x:c r="L234" s="8" t="str">
        <x:f>INDEX('ประเมินเกณฑ์'!$AE$9:$AE$608,MATCH(G234,'ประเมินเกณฑ์'!$A$9:$A$608,0))</x:f>
        <x:v>รอประเมิน</x:v>
      </x:c>
      <x:c r="M234" s="8" t="str">
        <x:v>สถานที่ในจังหวัดเส้นทาง รอตรวจระยะทางและลำดับ</x:v>
      </x:c>
      <x:c r="N234" s="8" t="str">
        <x:v>ยังไม่ยืนยันการเปิดให้บริการปัจจุบัน</x:v>
      </x:c>
      <x:c r="O234" s="40" t="n">
        <x:v>46315</x:v>
      </x:c>
    </x:row>
    <x:row r="235" ht="38" customHeight="1">
      <x:c r="A235" s="9" t="n">
        <x:v>227</x:v>
      </x:c>
      <x:c r="B235" s="8" t="str">
        <x:v>รสโบราณบ้านกาญ</x:v>
      </x:c>
      <x:c r="C235" s="8" t="str">
        <x:v>กาญจนบุรี</x:v>
      </x:c>
      <x:c r="D235" s="8" t="str">
        <x:v>มีศักยภาพ แต่ต้องพัฒนามาตรฐาน</x:v>
      </x:c>
      <x:c r="E235" s="8" t="str">
        <x:v>ร้านอาหารและคาเฟ่</x:v>
      </x:c>
      <x:c r="F235" s="38" t="n">
        <x:v>46316</x:v>
      </x:c>
      <x:c r="G235" s="8" t="str">
        <x:v>TMF-442</x:v>
      </x:c>
      <x:c r="H235" s="39" t="str">
        <x:v>05</x:v>
      </x:c>
      <x:c r="I235" s="8" t="str">
        <x:v>River For (est)</x:v>
      </x:c>
      <x:c r="J235" s="8" t="str">
        <x:v>ตัวเลือกเสริม</x:v>
      </x:c>
      <x:c r="K235" s="8" t="str">
        <x:v>ร้านอาหาร</x:v>
      </x:c>
      <x:c r="L235" s="8" t="str">
        <x:f>INDEX('ประเมินเกณฑ์'!$AE$9:$AE$608,MATCH(G235,'ประเมินเกณฑ์'!$A$9:$A$608,0))</x:f>
        <x:v>รอประเมิน</x:v>
      </x:c>
      <x:c r="M235" s="8" t="str">
        <x:v>สถานที่ในจังหวัดเส้นทาง รอตรวจระยะทางและลำดับ</x:v>
      </x:c>
      <x:c r="N235" s="8" t="str">
        <x:v>ยังไม่ยืนยันการเปิดให้บริการปัจจุบัน</x:v>
      </x:c>
      <x:c r="O235" s="40" t="n">
        <x:v>46315</x:v>
      </x:c>
    </x:row>
    <x:row r="236" ht="38" customHeight="1">
      <x:c r="A236" s="9" t="n">
        <x:v>228</x:v>
      </x:c>
      <x:c r="B236" s="8" t="str">
        <x:v>Dheva Mantra Spa Kanchanaburi</x:v>
      </x:c>
      <x:c r="C236" s="8" t="str">
        <x:v>กาญจนบุรี</x:v>
      </x:c>
      <x:c r="D236" s="8" t="str">
        <x:v>มีศักยภาพ แต่ต้องพัฒนามาตรฐาน</x:v>
      </x:c>
      <x:c r="E236" s="8" t="str">
        <x:v>สถานประกอบการเพื่อสุขภาพและเวลเนส</x:v>
      </x:c>
      <x:c r="F236" s="38" t="n">
        <x:v>46316</x:v>
      </x:c>
      <x:c r="G236" s="8" t="str">
        <x:v>R26-280</x:v>
      </x:c>
      <x:c r="H236" s="39" t="str">
        <x:v>05</x:v>
      </x:c>
      <x:c r="I236" s="8" t="str">
        <x:v>River For (est)</x:v>
      </x:c>
      <x:c r="J236" s="8" t="str">
        <x:v>ตัวเลือกเสริม</x:v>
      </x:c>
      <x:c r="K236" s="8" t="str">
        <x:v>เวลเนส</x:v>
      </x:c>
      <x:c r="L236" s="8" t="str">
        <x:f>INDEX('ประเมินเกณฑ์'!$AE$9:$AE$608,MATCH(G236,'ประเมินเกณฑ์'!$A$9:$A$608,0))</x:f>
        <x:v>รอประเมิน</x:v>
      </x:c>
      <x:c r="M236" s="8" t="str">
        <x:v>สถานที่ในจังหวัดเส้นทาง รอตรวจระยะทางและลำดับ</x:v>
      </x:c>
      <x:c r="N236" s="8" t="str">
        <x:v>ยังไม่ยืนยันการเปิดให้บริการปัจจุบัน</x:v>
      </x:c>
      <x:c r="O236" s="40" t="n">
        <x:v>46316</x:v>
      </x:c>
    </x:row>
    <x:row r="237" ht="38" customHeight="1">
      <x:c r="A237" s="9" t="n">
        <x:v>229</x:v>
      </x:c>
      <x:c r="B237" s="8" t="str">
        <x:v>Robinson Lifestyle Kanchanaburi</x:v>
      </x:c>
      <x:c r="C237" s="8" t="str">
        <x:v>กาญจนบุรี</x:v>
      </x:c>
      <x:c r="D237" s="8" t="str">
        <x:v>มีศักยภาพ แต่ต้องพัฒนามาตรฐาน</x:v>
      </x:c>
      <x:c r="E237" s="8" t="str">
        <x:v>ศูนย์การค้า</x:v>
      </x:c>
      <x:c r="F237" s="38" t="n">
        <x:v>46316</x:v>
      </x:c>
      <x:c r="G237" s="8" t="str">
        <x:v>R26-262</x:v>
      </x:c>
      <x:c r="H237" s="39" t="str">
        <x:v>05</x:v>
      </x:c>
      <x:c r="I237" s="8" t="str">
        <x:v>River For (est)</x:v>
      </x:c>
      <x:c r="J237" s="8" t="str">
        <x:v>ตัวเลือกเสริม</x:v>
      </x:c>
      <x:c r="K237" s="8" t="str">
        <x:v>การค้า</x:v>
      </x:c>
      <x:c r="L237" s="8" t="str">
        <x:f>INDEX('ประเมินเกณฑ์'!$AE$9:$AE$608,MATCH(G237,'ประเมินเกณฑ์'!$A$9:$A$608,0))</x:f>
        <x:v>รอประเมิน</x:v>
      </x:c>
      <x:c r="M237" s="8" t="str">
        <x:v>สถานที่ในจังหวัดเส้นทาง รอตรวจระยะทางและลำดับ</x:v>
      </x:c>
      <x:c r="N237" s="8" t="str">
        <x:v>ยังไม่ยืนยันการเปิดให้บริการปัจจุบัน</x:v>
      </x:c>
      <x:c r="O237" s="40" t="n">
        <x:v>46316</x:v>
      </x:c>
    </x:row>
    <x:row r="238" ht="38" customHeight="1">
      <x:c r="A238" s="9" t="n">
        <x:v>230</x:v>
      </x:c>
      <x:c r="B238" s="8" t="str">
        <x:v>ต้นจามจุรียักษ์ กาญจนบุรี</x:v>
      </x:c>
      <x:c r="C238" s="8" t="str">
        <x:v>กาญจนบุรี</x:v>
      </x:c>
      <x:c r="D238" s="8" t="str">
        <x:v>มีศักยภาพ แต่ต้องพัฒนามาตรฐาน</x:v>
      </x:c>
      <x:c r="E238" s="8" t="str">
        <x:v>แหล่งท่องเที่ยวทางธรรมชาติ</x:v>
      </x:c>
      <x:c r="F238" s="38" t="n">
        <x:v>46316</x:v>
      </x:c>
      <x:c r="G238" s="8" t="str">
        <x:v>R26-131</x:v>
      </x:c>
      <x:c r="H238" s="39" t="str">
        <x:v>05</x:v>
      </x:c>
      <x:c r="I238" s="8" t="str">
        <x:v>River For (est)</x:v>
      </x:c>
      <x:c r="J238" s="8" t="str">
        <x:v>ตัวเลือกเสริม</x:v>
      </x:c>
      <x:c r="K238" s="8" t="str">
        <x:v>ธรรมชาติ</x:v>
      </x:c>
      <x:c r="L238" s="8" t="str">
        <x:f>INDEX('ประเมินเกณฑ์'!$AE$9:$AE$608,MATCH(G238,'ประเมินเกณฑ์'!$A$9:$A$608,0))</x:f>
        <x:v>รอประเมิน</x:v>
      </x:c>
      <x:c r="M238" s="8" t="str">
        <x:v>สถานที่ในจังหวัดเส้นทาง รอตรวจระยะทางและลำดับ</x:v>
      </x:c>
      <x:c r="N238" s="8" t="str">
        <x:v>ยังไม่ยืนยันการเปิดให้บริการปัจจุบัน</x:v>
      </x:c>
      <x:c r="O238" s="40" t="n">
        <x:v>46316</x:v>
      </x:c>
    </x:row>
    <x:row r="239" ht="38" customHeight="1">
      <x:c r="A239" s="9" t="n">
        <x:v>231</x:v>
      </x:c>
      <x:c r="B239" s="8" t="str">
        <x:v>น้ำตกห้วยแม่ขมิ้น</x:v>
      </x:c>
      <x:c r="C239" s="8" t="str">
        <x:v>กาญจนบุรี</x:v>
      </x:c>
      <x:c r="D239" s="8" t="str">
        <x:v>มีศักยภาพ แต่ต้องพัฒนามาตรฐาน</x:v>
      </x:c>
      <x:c r="E239" s="8" t="str">
        <x:v>แหล่งท่องเที่ยวทางธรรมชาติ</x:v>
      </x:c>
      <x:c r="F239" s="38" t="n">
        <x:v>46316</x:v>
      </x:c>
      <x:c r="G239" s="8" t="str">
        <x:v>R26-128</x:v>
      </x:c>
      <x:c r="H239" s="39" t="str">
        <x:v>05</x:v>
      </x:c>
      <x:c r="I239" s="8" t="str">
        <x:v>River For (est)</x:v>
      </x:c>
      <x:c r="J239" s="8" t="str">
        <x:v>ตัวเลือกเสริม</x:v>
      </x:c>
      <x:c r="K239" s="8" t="str">
        <x:v>ธรรมชาติ</x:v>
      </x:c>
      <x:c r="L239" s="8" t="str">
        <x:f>INDEX('ประเมินเกณฑ์'!$AE$9:$AE$608,MATCH(G239,'ประเมินเกณฑ์'!$A$9:$A$608,0))</x:f>
        <x:v>รอประเมิน</x:v>
      </x:c>
      <x:c r="M239" s="8" t="str">
        <x:v>สถานที่ในจังหวัดเส้นทาง รอตรวจระยะทางและลำดับ</x:v>
      </x:c>
      <x:c r="N239" s="8" t="str">
        <x:v>ยังไม่ยืนยันการเปิดให้บริการปัจจุบัน</x:v>
      </x:c>
      <x:c r="O239" s="40" t="n">
        <x:v>46316</x:v>
      </x:c>
    </x:row>
    <x:row r="240" ht="38" customHeight="1">
      <x:c r="A240" s="9" t="n">
        <x:v>232</x:v>
      </x:c>
      <x:c r="B240" s="8" t="str">
        <x:v>น้ำตกไทรโยคน้อย</x:v>
      </x:c>
      <x:c r="C240" s="8" t="str">
        <x:v>กาญจนบุรี</x:v>
      </x:c>
      <x:c r="D240" s="8" t="str">
        <x:v>มีศักยภาพ แต่ต้องพัฒนามาตรฐาน</x:v>
      </x:c>
      <x:c r="E240" s="8" t="str">
        <x:v>แหล่งท่องเที่ยวทางธรรมชาติ</x:v>
      </x:c>
      <x:c r="F240" s="38" t="n">
        <x:v>46316</x:v>
      </x:c>
      <x:c r="G240" s="8" t="str">
        <x:v>R26-130</x:v>
      </x:c>
      <x:c r="H240" s="39" t="str">
        <x:v>05</x:v>
      </x:c>
      <x:c r="I240" s="8" t="str">
        <x:v>River For (est)</x:v>
      </x:c>
      <x:c r="J240" s="8" t="str">
        <x:v>ตัวเลือกเสริม</x:v>
      </x:c>
      <x:c r="K240" s="8" t="str">
        <x:v>ธรรมชาติ</x:v>
      </x:c>
      <x:c r="L240" s="8" t="str">
        <x:f>INDEX('ประเมินเกณฑ์'!$AE$9:$AE$608,MATCH(G240,'ประเมินเกณฑ์'!$A$9:$A$608,0))</x:f>
        <x:v>รอประเมิน</x:v>
      </x:c>
      <x:c r="M240" s="8" t="str">
        <x:v>สถานที่ในจังหวัดเส้นทาง รอตรวจระยะทางและลำดับ</x:v>
      </x:c>
      <x:c r="N240" s="8" t="str">
        <x:v>ยังไม่ยืนยันการเปิดให้บริการปัจจุบัน</x:v>
      </x:c>
      <x:c r="O240" s="40" t="n">
        <x:v>46316</x:v>
      </x:c>
    </x:row>
    <x:row r="241" ht="38" customHeight="1">
      <x:c r="A241" s="9" t="n">
        <x:v>233</x:v>
      </x:c>
      <x:c r="B241" s="8" t="str">
        <x:v>อุทยานแห่งชาติไทรโยค</x:v>
      </x:c>
      <x:c r="C241" s="8" t="str">
        <x:v>กาญจนบุรี</x:v>
      </x:c>
      <x:c r="D241" s="8" t="str">
        <x:v>มีศักยภาพ แต่ต้องพัฒนามาตรฐาน</x:v>
      </x:c>
      <x:c r="E241" s="8" t="str">
        <x:v>แหล่งท่องเที่ยวทางธรรมชาติ</x:v>
      </x:c>
      <x:c r="F241" s="38" t="n">
        <x:v>46316</x:v>
      </x:c>
      <x:c r="G241" s="8" t="str">
        <x:v>R26-129</x:v>
      </x:c>
      <x:c r="H241" s="39" t="str">
        <x:v>05</x:v>
      </x:c>
      <x:c r="I241" s="8" t="str">
        <x:v>River For (est)</x:v>
      </x:c>
      <x:c r="J241" s="8" t="str">
        <x:v>ตัวเลือกเสริม</x:v>
      </x:c>
      <x:c r="K241" s="8" t="str">
        <x:v>ธรรมชาติ</x:v>
      </x:c>
      <x:c r="L241" s="8" t="str">
        <x:f>INDEX('ประเมินเกณฑ์'!$AE$9:$AE$608,MATCH(G241,'ประเมินเกณฑ์'!$A$9:$A$608,0))</x:f>
        <x:v>รอประเมิน</x:v>
      </x:c>
      <x:c r="M241" s="8" t="str">
        <x:v>สถานที่ในจังหวัดเส้นทาง รอตรวจระยะทางและลำดับ</x:v>
      </x:c>
      <x:c r="N241" s="8" t="str">
        <x:v>ยังไม่ยืนยันการเปิดให้บริการปัจจุบัน</x:v>
      </x:c>
      <x:c r="O241" s="40" t="n">
        <x:v>46316</x:v>
      </x:c>
    </x:row>
    <x:row r="242" ht="38" customHeight="1">
      <x:c r="A242" s="9" t="n">
        <x:v>234</x:v>
      </x:c>
      <x:c r="B242" s="8" t="str">
        <x:v>พิพิธภัณฑ์ช่องเขาขาด</x:v>
      </x:c>
      <x:c r="C242" s="8" t="str">
        <x:v>กาญจนบุรี</x:v>
      </x:c>
      <x:c r="D242" s="8" t="str">
        <x:v>มีศักยภาพ แต่ต้องพัฒนามาตรฐาน</x:v>
      </x:c>
      <x:c r="E242" s="8" t="str">
        <x:v>แหล่งท่องเที่ยวทางประวัติศาสตร์และวัฒนธรรม</x:v>
      </x:c>
      <x:c r="F242" s="38" t="n">
        <x:v>46316</x:v>
      </x:c>
      <x:c r="G242" s="8" t="str">
        <x:v>R26-133</x:v>
      </x:c>
      <x:c r="H242" s="39" t="str">
        <x:v>05</x:v>
      </x:c>
      <x:c r="I242" s="8" t="str">
        <x:v>River For (est)</x:v>
      </x:c>
      <x:c r="J242" s="8" t="str">
        <x:v>ตัวเลือกเสริม</x:v>
      </x:c>
      <x:c r="K242" s="8" t="str">
        <x:v>ประวัติ</x:v>
      </x:c>
      <x:c r="L242" s="8" t="str">
        <x:f>INDEX('ประเมินเกณฑ์'!$AE$9:$AE$608,MATCH(G242,'ประเมินเกณฑ์'!$A$9:$A$608,0))</x:f>
        <x:v>รอประเมิน</x:v>
      </x:c>
      <x:c r="M242" s="8" t="str">
        <x:v>สถานที่ในจังหวัดเส้นทาง รอตรวจระยะทางและลำดับ</x:v>
      </x:c>
      <x:c r="N242" s="8" t="str">
        <x:v>ยังไม่ยืนยันการเปิดให้บริการปัจจุบัน</x:v>
      </x:c>
      <x:c r="O242" s="40" t="n">
        <x:v>46316</x:v>
      </x:c>
    </x:row>
    <x:row r="243" ht="38" customHeight="1">
      <x:c r="A243" s="9" t="n">
        <x:v>235</x:v>
      </x:c>
      <x:c r="B243" s="8" t="str">
        <x:v>พิพิธภัณฑ์ทางรถไฟไทย-พม่า</x:v>
      </x:c>
      <x:c r="C243" s="8" t="str">
        <x:v>กาญจนบุรี</x:v>
      </x:c>
      <x:c r="D243" s="8" t="str">
        <x:v>มีศักยภาพ แต่ต้องพัฒนามาตรฐาน</x:v>
      </x:c>
      <x:c r="E243" s="8" t="str">
        <x:v>แหล่งท่องเที่ยวทางประวัติศาสตร์และวัฒนธรรม</x:v>
      </x:c>
      <x:c r="F243" s="38" t="n">
        <x:v>46316</x:v>
      </x:c>
      <x:c r="G243" s="8" t="str">
        <x:v>R26-134</x:v>
      </x:c>
      <x:c r="H243" s="39" t="str">
        <x:v>05</x:v>
      </x:c>
      <x:c r="I243" s="8" t="str">
        <x:v>River For (est)</x:v>
      </x:c>
      <x:c r="J243" s="8" t="str">
        <x:v>ตัวเลือกเสริม</x:v>
      </x:c>
      <x:c r="K243" s="8" t="str">
        <x:v>ประวัติ</x:v>
      </x:c>
      <x:c r="L243" s="8" t="str">
        <x:f>INDEX('ประเมินเกณฑ์'!$AE$9:$AE$608,MATCH(G243,'ประเมินเกณฑ์'!$A$9:$A$608,0))</x:f>
        <x:v>รอประเมิน</x:v>
      </x:c>
      <x:c r="M243" s="8" t="str">
        <x:v>สถานที่ในจังหวัดเส้นทาง รอตรวจระยะทางและลำดับ</x:v>
      </x:c>
      <x:c r="N243" s="8" t="str">
        <x:v>ยังไม่ยืนยันการเปิดให้บริการปัจจุบัน</x:v>
      </x:c>
      <x:c r="O243" s="40" t="n">
        <x:v>46316</x:v>
      </x:c>
    </x:row>
    <x:row r="244" ht="38" customHeight="1">
      <x:c r="A244" s="9" t="n">
        <x:v>236</x:v>
      </x:c>
      <x:c r="B244" s="8" t="str">
        <x:v>ชุมชนบ้านพุองกะ</x:v>
      </x:c>
      <x:c r="C244" s="8" t="str">
        <x:v>กาญจนบุรี</x:v>
      </x:c>
      <x:c r="D244" s="8" t="str">
        <x:v>มีศักยภาพ แต่ต้องพัฒนามาตรฐาน</x:v>
      </x:c>
      <x:c r="E244" s="8" t="str">
        <x:v>ชุมชนท่องเที่ยว</x:v>
      </x:c>
      <x:c r="F244" s="38" t="n">
        <x:v>46316</x:v>
      </x:c>
      <x:c r="G244" s="8" t="str">
        <x:v>R26-137</x:v>
      </x:c>
      <x:c r="H244" s="39" t="str">
        <x:v>05</x:v>
      </x:c>
      <x:c r="I244" s="8" t="str">
        <x:v>River For (est)</x:v>
      </x:c>
      <x:c r="J244" s="8" t="str">
        <x:v>ตัวเลือกเสริม</x:v>
      </x:c>
      <x:c r="K244" s="8" t="str">
        <x:v>ชุมชน</x:v>
      </x:c>
      <x:c r="L244" s="8" t="str">
        <x:f>INDEX('ประเมินเกณฑ์'!$AE$9:$AE$608,MATCH(G244,'ประเมินเกณฑ์'!$A$9:$A$608,0))</x:f>
        <x:v>รอประเมิน</x:v>
      </x:c>
      <x:c r="M244" s="8" t="str">
        <x:v>สถานที่ในจังหวัดเส้นทาง รอตรวจระยะทางและลำดับ</x:v>
      </x:c>
      <x:c r="N244" s="8" t="str">
        <x:v>ยังไม่ยืนยันการเปิดให้บริการปัจจุบัน</x:v>
      </x:c>
      <x:c r="O244" s="40" t="n">
        <x:v>46316</x:v>
      </x:c>
    </x:row>
    <x:row r="245" ht="38" customHeight="1">
      <x:c r="A245" s="9" t="n">
        <x:v>237</x:v>
      </x:c>
      <x:c r="B245" s="8" t="str">
        <x:v>ชุมชนบ้านสามัคคีธรรม กาญจนบุรี</x:v>
      </x:c>
      <x:c r="C245" s="8" t="str">
        <x:v>กาญจนบุรี</x:v>
      </x:c>
      <x:c r="D245" s="8" t="str">
        <x:v>มีศักยภาพ แต่ต้องพัฒนามาตรฐาน</x:v>
      </x:c>
      <x:c r="E245" s="8" t="str">
        <x:v>ชุมชนท่องเที่ยว</x:v>
      </x:c>
      <x:c r="F245" s="38" t="n">
        <x:v>46316</x:v>
      </x:c>
      <x:c r="G245" s="8" t="str">
        <x:v>R26-136</x:v>
      </x:c>
      <x:c r="H245" s="39" t="str">
        <x:v>05</x:v>
      </x:c>
      <x:c r="I245" s="8" t="str">
        <x:v>River For (est)</x:v>
      </x:c>
      <x:c r="J245" s="8" t="str">
        <x:v>ตัวเลือกเสริม</x:v>
      </x:c>
      <x:c r="K245" s="8" t="str">
        <x:v>ชุมชน</x:v>
      </x:c>
      <x:c r="L245" s="8" t="str">
        <x:f>INDEX('ประเมินเกณฑ์'!$AE$9:$AE$608,MATCH(G245,'ประเมินเกณฑ์'!$A$9:$A$608,0))</x:f>
        <x:v>รอประเมิน</x:v>
      </x:c>
      <x:c r="M245" s="8" t="str">
        <x:v>สถานที่ในจังหวัดเส้นทาง รอตรวจระยะทางและลำดับ</x:v>
      </x:c>
      <x:c r="N245" s="8" t="str">
        <x:v>ยังไม่ยืนยันการเปิดให้บริการปัจจุบัน</x:v>
      </x:c>
      <x:c r="O245" s="40" t="n">
        <x:v>46316</x:v>
      </x:c>
    </x:row>
    <x:row r="246" ht="38" customHeight="1">
      <x:c r="A246" s="9" t="n">
        <x:v>238</x:v>
      </x:c>
      <x:c r="B246" s="8" t="str">
        <x:v>ชุมชนบ้านหนองขาว</x:v>
      </x:c>
      <x:c r="C246" s="8" t="str">
        <x:v>กาญจนบุรี</x:v>
      </x:c>
      <x:c r="D246" s="8" t="str">
        <x:v>มีศักยภาพ แต่ต้องพัฒนามาตรฐาน</x:v>
      </x:c>
      <x:c r="E246" s="8" t="str">
        <x:v>ชุมชนท่องเที่ยว</x:v>
      </x:c>
      <x:c r="F246" s="38" t="n">
        <x:v>46316</x:v>
      </x:c>
      <x:c r="G246" s="8" t="str">
        <x:v>R26-135</x:v>
      </x:c>
      <x:c r="H246" s="39" t="str">
        <x:v>05</x:v>
      </x:c>
      <x:c r="I246" s="8" t="str">
        <x:v>River For (est)</x:v>
      </x:c>
      <x:c r="J246" s="8" t="str">
        <x:v>ตัวเลือกเสริม</x:v>
      </x:c>
      <x:c r="K246" s="8" t="str">
        <x:v>ชุมชน</x:v>
      </x:c>
      <x:c r="L246" s="8" t="str">
        <x:f>INDEX('ประเมินเกณฑ์'!$AE$9:$AE$608,MATCH(G246,'ประเมินเกณฑ์'!$A$9:$A$608,0))</x:f>
        <x:v>รอประเมิน</x:v>
      </x:c>
      <x:c r="M246" s="8" t="str">
        <x:v>สถานที่ในจังหวัดเส้นทาง รอตรวจระยะทางและลำดับ</x:v>
      </x:c>
      <x:c r="N246" s="8" t="str">
        <x:v>ยังไม่ยืนยันการเปิดให้บริการปัจจุบัน</x:v>
      </x:c>
      <x:c r="O246" s="40" t="n">
        <x:v>46316</x:v>
      </x:c>
    </x:row>
    <x:row r="247" ht="38" customHeight="1">
      <x:c r="A247" s="9" t="n">
        <x:v>239</x:v>
      </x:c>
      <x:c r="B247" s="8" t="str">
        <x:v>ElephantsWorld</x:v>
      </x:c>
      <x:c r="C247" s="8" t="str">
        <x:v>กาญจนบุรี</x:v>
      </x:c>
      <x:c r="D247" s="8" t="str">
        <x:v>มีศักยภาพ แต่ต้องพัฒนามาตรฐาน</x:v>
      </x:c>
      <x:c r="E247" s="8" t="str">
        <x:v>ศูนย์กิจกรรมและนันทนาการ</x:v>
      </x:c>
      <x:c r="F247" s="38" t="n">
        <x:v>46316</x:v>
      </x:c>
      <x:c r="G247" s="8" t="str">
        <x:v>R26-302</x:v>
      </x:c>
      <x:c r="H247" s="39" t="str">
        <x:v>05</x:v>
      </x:c>
      <x:c r="I247" s="8" t="str">
        <x:v>River For (est)</x:v>
      </x:c>
      <x:c r="J247" s="8" t="str">
        <x:v>ตัวเลือกเสริม</x:v>
      </x:c>
      <x:c r="K247" s="8" t="str">
        <x:v>กิจกรรม</x:v>
      </x:c>
      <x:c r="L247" s="8" t="str">
        <x:f>INDEX('ประเมินเกณฑ์'!$AE$9:$AE$608,MATCH(G247,'ประเมินเกณฑ์'!$A$9:$A$608,0))</x:f>
        <x:v>รอประเมิน</x:v>
      </x:c>
      <x:c r="M247" s="8" t="str">
        <x:v>สถานที่ในจังหวัดเส้นทาง รอตรวจระยะทางและลำดับ</x:v>
      </x:c>
      <x:c r="N247" s="8" t="str">
        <x:v>ยังไม่ยืนยันการเปิดให้บริการปัจจุบัน</x:v>
      </x:c>
      <x:c r="O247" s="40" t="n">
        <x:v>46316</x:v>
      </x:c>
    </x:row>
    <x:row r="248" ht="38" customHeight="1">
      <x:c r="A248" s="9" t="n">
        <x:v>240</x:v>
      </x:c>
      <x:c r="B248" s="8" t="str">
        <x:v>ย่านเมืองเก่าราชบุรี</x:v>
      </x:c>
      <x:c r="C248" s="8" t="str">
        <x:v>ราชบุรี</x:v>
      </x:c>
      <x:c r="D248" s="8" t="str">
        <x:v>มีศักยภาพ แต่ต้องพัฒนามาตรฐาน</x:v>
      </x:c>
      <x:c r="E248" s="8" t="str">
        <x:v>แหล่งท่องเที่ยวทางประวัติศาสตร์และวัฒนธรรม</x:v>
      </x:c>
      <x:c r="F248" s="38" t="n">
        <x:v>46316</x:v>
      </x:c>
      <x:c r="G248" s="8" t="str">
        <x:v>R26-054</x:v>
      </x:c>
      <x:c r="H248" s="39" t="str">
        <x:v>05</x:v>
      </x:c>
      <x:c r="I248" s="8" t="str">
        <x:v>River For (est)</x:v>
      </x:c>
      <x:c r="J248" s="8" t="str">
        <x:v>2</x:v>
      </x:c>
      <x:c r="K248" s="8" t="str">
        <x:v>ประวัติ</x:v>
      </x:c>
      <x:c r="L248" s="8" t="str">
        <x:f>INDEX('ประเมินเกณฑ์'!$AE$9:$AE$608,MATCH(G248,'ประเมินเกณฑ์'!$A$9:$A$608,0))</x:f>
        <x:v>รอประเมิน</x:v>
      </x:c>
      <x:c r="M248" s="8" t="str">
        <x:v>จุดในเอกสารเส้นทาง</x:v>
      </x:c>
      <x:c r="N248" s="8" t="str">
        <x:v>ยังไม่ยืนยันการเปิดให้บริการปัจจุบัน</x:v>
      </x:c>
      <x:c r="O248" s="40" t="n">
        <x:v>46316</x:v>
      </x:c>
    </x:row>
    <x:row r="249" ht="38" customHeight="1">
      <x:c r="A249" s="9" t="n">
        <x:v>241</x:v>
      </x:c>
      <x:c r="B249" s="8" t="str">
        <x:v>เถ้าฮงไถ่</x:v>
      </x:c>
      <x:c r="C249" s="8" t="str">
        <x:v>ราชบุรี</x:v>
      </x:c>
      <x:c r="D249" s="8" t="str">
        <x:v>มีศักยภาพ แต่ต้องพัฒนามาตรฐาน</x:v>
      </x:c>
      <x:c r="E249" s="8" t="str">
        <x:v>ศูนย์กิจกรรมและนันทนาการ</x:v>
      </x:c>
      <x:c r="F249" s="38" t="n">
        <x:v>46316</x:v>
      </x:c>
      <x:c r="G249" s="8" t="str">
        <x:v>R26-051</x:v>
      </x:c>
      <x:c r="H249" s="39" t="str">
        <x:v>05</x:v>
      </x:c>
      <x:c r="I249" s="8" t="str">
        <x:v>River For (est)</x:v>
      </x:c>
      <x:c r="J249" s="8" t="str">
        <x:v>2</x:v>
      </x:c>
      <x:c r="K249" s="8" t="str">
        <x:v>กิจกรรม</x:v>
      </x:c>
      <x:c r="L249" s="8" t="str">
        <x:f>INDEX('ประเมินเกณฑ์'!$AE$9:$AE$608,MATCH(G249,'ประเมินเกณฑ์'!$A$9:$A$608,0))</x:f>
        <x:v>รอประเมิน</x:v>
      </x:c>
      <x:c r="M249" s="8" t="str">
        <x:v>จุดในเอกสารเส้นทาง</x:v>
      </x:c>
      <x:c r="N249" s="8" t="str">
        <x:v>ยังไม่ยืนยันการเปิดให้บริการปัจจุบัน</x:v>
      </x:c>
      <x:c r="O249" s="40" t="n">
        <x:v>46316</x:v>
      </x:c>
    </x:row>
    <x:row r="250" ht="38" customHeight="1">
      <x:c r="A250" s="9" t="n">
        <x:v>242</x:v>
      </x:c>
      <x:c r="B250" s="8" t="str">
        <x:v>เรื่องของโอ่ง Pottery Legend</x:v>
      </x:c>
      <x:c r="C250" s="8" t="str">
        <x:v>ราชบุรี</x:v>
      </x:c>
      <x:c r="D250" s="8" t="str">
        <x:v>มีศักยภาพ แต่ต้องพัฒนามาตรฐาน</x:v>
      </x:c>
      <x:c r="E250" s="8" t="str">
        <x:v>ศูนย์กิจกรรมและนันทนาการ</x:v>
      </x:c>
      <x:c r="F250" s="38" t="n">
        <x:v>46316</x:v>
      </x:c>
      <x:c r="G250" s="8" t="str">
        <x:v>R26-053</x:v>
      </x:c>
      <x:c r="H250" s="39" t="str">
        <x:v>05</x:v>
      </x:c>
      <x:c r="I250" s="8" t="str">
        <x:v>River For (est)</x:v>
      </x:c>
      <x:c r="J250" s="8" t="str">
        <x:v>2</x:v>
      </x:c>
      <x:c r="K250" s="8" t="str">
        <x:v>กิจกรรม</x:v>
      </x:c>
      <x:c r="L250" s="8" t="str">
        <x:f>INDEX('ประเมินเกณฑ์'!$AE$9:$AE$608,MATCH(G250,'ประเมินเกณฑ์'!$A$9:$A$608,0))</x:f>
        <x:v>รอประเมิน</x:v>
      </x:c>
      <x:c r="M250" s="8" t="str">
        <x:v>จุดในเอกสารเส้นทาง</x:v>
      </x:c>
      <x:c r="N250" s="8" t="str">
        <x:v>ยังไม่ยืนยันการเปิดให้บริการปัจจุบัน</x:v>
      </x:c>
      <x:c r="O250" s="40" t="n">
        <x:v>46316</x:v>
      </x:c>
    </x:row>
    <x:row r="251" ht="38" customHeight="1">
      <x:c r="A251" s="9" t="n">
        <x:v>243</x:v>
      </x:c>
      <x:c r="B251" s="8" t="str">
        <x:v>Inlaya Ratchaburi</x:v>
      </x:c>
      <x:c r="C251" s="8" t="str">
        <x:v>ราชบุรี</x:v>
      </x:c>
      <x:c r="D251" s="8" t="str">
        <x:v>มีศักยภาพ แต่ต้องพัฒนามาตรฐาน</x:v>
      </x:c>
      <x:c r="E251" s="8" t="str">
        <x:v>ที่พัก</x:v>
      </x:c>
      <x:c r="F251" s="38" t="n">
        <x:v>46316</x:v>
      </x:c>
      <x:c r="G251" s="8" t="str">
        <x:v>R26-376</x:v>
      </x:c>
      <x:c r="H251" s="39" t="str">
        <x:v>05</x:v>
      </x:c>
      <x:c r="I251" s="8" t="str">
        <x:v>River For (est)</x:v>
      </x:c>
      <x:c r="J251" s="8" t="str">
        <x:v>ตัวเลือกเสริม</x:v>
      </x:c>
      <x:c r="K251" s="8" t="str">
        <x:v>ที่พัก</x:v>
      </x:c>
      <x:c r="L251" s="8" t="str">
        <x:f>INDEX('ประเมินเกณฑ์'!$AE$9:$AE$608,MATCH(G251,'ประเมินเกณฑ์'!$A$9:$A$608,0))</x:f>
        <x:v>รอประเมิน</x:v>
      </x:c>
      <x:c r="M251" s="8" t="str">
        <x:v>สถานที่ในจังหวัดเส้นทาง รอตรวจระยะทางและลำดับ</x:v>
      </x:c>
      <x:c r="N251" s="8" t="str">
        <x:v>ยังไม่ยืนยันการเปิดให้บริการปัจจุบัน</x:v>
      </x:c>
      <x:c r="O251" s="40" t="n">
        <x:v>46316</x:v>
      </x:c>
    </x:row>
    <x:row r="252" ht="38" customHeight="1">
      <x:c r="A252" s="9" t="n">
        <x:v>244</x:v>
      </x:c>
      <x:c r="B252" s="8" t="str">
        <x:v>Le Lert Hotel Ratchaburi</x:v>
      </x:c>
      <x:c r="C252" s="8" t="str">
        <x:v>ราชบุรี</x:v>
      </x:c>
      <x:c r="D252" s="8" t="str">
        <x:v>มีศักยภาพ แต่ต้องพัฒนามาตรฐาน</x:v>
      </x:c>
      <x:c r="E252" s="8" t="str">
        <x:v>ที่พัก</x:v>
      </x:c>
      <x:c r="F252" s="38" t="n">
        <x:v>46316</x:v>
      </x:c>
      <x:c r="G252" s="8" t="str">
        <x:v>R26-375</x:v>
      </x:c>
      <x:c r="H252" s="39" t="str">
        <x:v>05</x:v>
      </x:c>
      <x:c r="I252" s="8" t="str">
        <x:v>River For (est)</x:v>
      </x:c>
      <x:c r="J252" s="8" t="str">
        <x:v>ตัวเลือกเสริม</x:v>
      </x:c>
      <x:c r="K252" s="8" t="str">
        <x:v>ที่พัก</x:v>
      </x:c>
      <x:c r="L252" s="8" t="str">
        <x:f>INDEX('ประเมินเกณฑ์'!$AE$9:$AE$608,MATCH(G252,'ประเมินเกณฑ์'!$A$9:$A$608,0))</x:f>
        <x:v>รอประเมิน</x:v>
      </x:c>
      <x:c r="M252" s="8" t="str">
        <x:v>สถานที่ในจังหวัดเส้นทาง รอตรวจระยะทางและลำดับ</x:v>
      </x:c>
      <x:c r="N252" s="8" t="str">
        <x:v>ยังไม่ยืนยันการเปิดให้บริการปัจจุบัน</x:v>
      </x:c>
      <x:c r="O252" s="40" t="n">
        <x:v>46316</x:v>
      </x:c>
    </x:row>
    <x:row r="253" ht="38" customHeight="1">
      <x:c r="A253" s="9" t="n">
        <x:v>245</x:v>
      </x:c>
      <x:c r="B253" s="8" t="str">
        <x:v>Rachabhura Hotel</x:v>
      </x:c>
      <x:c r="C253" s="8" t="str">
        <x:v>ราชบุรี</x:v>
      </x:c>
      <x:c r="D253" s="8" t="str">
        <x:v>มีศักยภาพ แต่ต้องพัฒนามาตรฐาน</x:v>
      </x:c>
      <x:c r="E253" s="8" t="str">
        <x:v>ที่พัก</x:v>
      </x:c>
      <x:c r="F253" s="38" t="n">
        <x:v>46316</x:v>
      </x:c>
      <x:c r="G253" s="8" t="str">
        <x:v>R26-374</x:v>
      </x:c>
      <x:c r="H253" s="39" t="str">
        <x:v>05</x:v>
      </x:c>
      <x:c r="I253" s="8" t="str">
        <x:v>River For (est)</x:v>
      </x:c>
      <x:c r="J253" s="8" t="str">
        <x:v>ตัวเลือกเสริม</x:v>
      </x:c>
      <x:c r="K253" s="8" t="str">
        <x:v>ที่พัก</x:v>
      </x:c>
      <x:c r="L253" s="8" t="str">
        <x:f>INDEX('ประเมินเกณฑ์'!$AE$9:$AE$608,MATCH(G253,'ประเมินเกณฑ์'!$A$9:$A$608,0))</x:f>
        <x:v>รอประเมิน</x:v>
      </x:c>
      <x:c r="M253" s="8" t="str">
        <x:v>สถานที่ในจังหวัดเส้นทาง รอตรวจระยะทางและลำดับ</x:v>
      </x:c>
      <x:c r="N253" s="8" t="str">
        <x:v>ยังไม่ยืนยันการเปิดให้บริการปัจจุบัน</x:v>
      </x:c>
      <x:c r="O253" s="40" t="n">
        <x:v>46316</x:v>
      </x:c>
    </x:row>
    <x:row r="254" ht="38" customHeight="1">
      <x:c r="A254" s="9" t="n">
        <x:v>246</x:v>
      </x:c>
      <x:c r="B254" s="8" t="str">
        <x:v>โรตีบังมิง บ้านสวน</x:v>
      </x:c>
      <x:c r="C254" s="8" t="str">
        <x:v>ราชบุรี</x:v>
      </x:c>
      <x:c r="D254" s="8" t="str">
        <x:v>พร้อมขาย</x:v>
      </x:c>
      <x:c r="E254" s="8" t="str">
        <x:v>ร้านอาหารและคาเฟ่</x:v>
      </x:c>
      <x:c r="F254" s="38" t="n">
        <x:v>46316</x:v>
      </x:c>
      <x:c r="G254" s="8" t="str">
        <x:v>TMF-018</x:v>
      </x:c>
      <x:c r="H254" s="39" t="str">
        <x:v>05</x:v>
      </x:c>
      <x:c r="I254" s="8" t="str">
        <x:v>River For (est)</x:v>
      </x:c>
      <x:c r="J254" s="8" t="str">
        <x:v>ตัวเลือกเสริม</x:v>
      </x:c>
      <x:c r="K254" s="8" t="str">
        <x:v>คาเฟ่และร้านของหวาน</x:v>
      </x:c>
      <x:c r="L254" s="8" t="str">
        <x:f>INDEX('ประเมินเกณฑ์'!$AE$9:$AE$608,MATCH(G254,'ประเมินเกณฑ์'!$A$9:$A$608,0))</x:f>
        <x:v>รอประเมิน</x:v>
      </x:c>
      <x:c r="M254" s="8" t="str">
        <x:v>สถานที่ในจังหวัดเส้นทาง รอตรวจระยะทางและลำดับ</x:v>
      </x:c>
      <x:c r="N254" s="8" t="str">
        <x:v>ยังไม่ยืนยันการเปิดให้บริการปัจจุบัน</x:v>
      </x:c>
      <x:c r="O254" s="40" t="n">
        <x:v>46315</x:v>
      </x:c>
    </x:row>
    <x:row r="255" ht="38" customHeight="1">
      <x:c r="A255" s="9" t="n">
        <x:v>247</x:v>
      </x:c>
      <x:c r="B255" s="8" t="str">
        <x:v>ไทย-มุสลิม(Thai-Muslim Restaurant)</x:v>
      </x:c>
      <x:c r="C255" s="8" t="str">
        <x:v>ราชบุรี</x:v>
      </x:c>
      <x:c r="D255" s="8" t="str">
        <x:v>พร้อมขาย</x:v>
      </x:c>
      <x:c r="E255" s="8" t="str">
        <x:v>ร้านอาหารและคาเฟ่</x:v>
      </x:c>
      <x:c r="F255" s="38" t="n">
        <x:v>46316</x:v>
      </x:c>
      <x:c r="G255" s="8" t="str">
        <x:v>TMF-019</x:v>
      </x:c>
      <x:c r="H255" s="39" t="str">
        <x:v>05</x:v>
      </x:c>
      <x:c r="I255" s="8" t="str">
        <x:v>River For (est)</x:v>
      </x:c>
      <x:c r="J255" s="8" t="str">
        <x:v>ตัวเลือกเสริม</x:v>
      </x:c>
      <x:c r="K255" s="8" t="str">
        <x:v>ร้านอาหาร</x:v>
      </x:c>
      <x:c r="L255" s="8" t="str">
        <x:f>INDEX('ประเมินเกณฑ์'!$AE$9:$AE$608,MATCH(G255,'ประเมินเกณฑ์'!$A$9:$A$608,0))</x:f>
        <x:v>รอประเมิน</x:v>
      </x:c>
      <x:c r="M255" s="8" t="str">
        <x:v>สถานที่ในจังหวัดเส้นทาง รอตรวจระยะทางและลำดับ</x:v>
      </x:c>
      <x:c r="N255" s="8" t="str">
        <x:v>ยังไม่ยืนยันการเปิดให้บริการปัจจุบัน</x:v>
      </x:c>
      <x:c r="O255" s="40" t="n">
        <x:v>46315</x:v>
      </x:c>
    </x:row>
    <x:row r="256" ht="38" customHeight="1">
      <x:c r="A256" s="9" t="n">
        <x:v>248</x:v>
      </x:c>
      <x:c r="B256" s="8" t="str">
        <x:v>ธารน้ำร้อนบ่อคลึง</x:v>
      </x:c>
      <x:c r="C256" s="8" t="str">
        <x:v>ราชบุรี</x:v>
      </x:c>
      <x:c r="D256" s="8" t="str">
        <x:v>มีศักยภาพ แต่ต้องพัฒนามาตรฐาน</x:v>
      </x:c>
      <x:c r="E256" s="8" t="str">
        <x:v>สถานประกอบการเพื่อสุขภาพและเวลเนส</x:v>
      </x:c>
      <x:c r="F256" s="38" t="n">
        <x:v>46316</x:v>
      </x:c>
      <x:c r="G256" s="8" t="str">
        <x:v>R26-281</x:v>
      </x:c>
      <x:c r="H256" s="39" t="str">
        <x:v>05</x:v>
      </x:c>
      <x:c r="I256" s="8" t="str">
        <x:v>River For (est)</x:v>
      </x:c>
      <x:c r="J256" s="8" t="str">
        <x:v>ตัวเลือกเสริม</x:v>
      </x:c>
      <x:c r="K256" s="8" t="str">
        <x:v>เวลเนส</x:v>
      </x:c>
      <x:c r="L256" s="8" t="str">
        <x:f>INDEX('ประเมินเกณฑ์'!$AE$9:$AE$608,MATCH(G256,'ประเมินเกณฑ์'!$A$9:$A$608,0))</x:f>
        <x:v>รอประเมิน</x:v>
      </x:c>
      <x:c r="M256" s="8" t="str">
        <x:v>สถานที่ในจังหวัดเส้นทาง รอตรวจระยะทางและลำดับ</x:v>
      </x:c>
      <x:c r="N256" s="8" t="str">
        <x:v>ยังไม่ยืนยันการเปิดให้บริการปัจจุบัน</x:v>
      </x:c>
      <x:c r="O256" s="40" t="n">
        <x:v>46316</x:v>
      </x:c>
    </x:row>
    <x:row r="257" ht="38" customHeight="1">
      <x:c r="A257" s="9" t="n">
        <x:v>249</x:v>
      </x:c>
      <x:c r="B257" s="8" t="str">
        <x:v>Robinson Lifestyle Ratchaburi</x:v>
      </x:c>
      <x:c r="C257" s="8" t="str">
        <x:v>ราชบุรี</x:v>
      </x:c>
      <x:c r="D257" s="8" t="str">
        <x:v>มีศักยภาพ แต่ต้องพัฒนามาตรฐาน</x:v>
      </x:c>
      <x:c r="E257" s="8" t="str">
        <x:v>ศูนย์การค้า</x:v>
      </x:c>
      <x:c r="F257" s="38" t="n">
        <x:v>46316</x:v>
      </x:c>
      <x:c r="G257" s="8" t="str">
        <x:v>R26-263</x:v>
      </x:c>
      <x:c r="H257" s="39" t="str">
        <x:v>05</x:v>
      </x:c>
      <x:c r="I257" s="8" t="str">
        <x:v>River For (est)</x:v>
      </x:c>
      <x:c r="J257" s="8" t="str">
        <x:v>ตัวเลือกเสริม</x:v>
      </x:c>
      <x:c r="K257" s="8" t="str">
        <x:v>การค้า</x:v>
      </x:c>
      <x:c r="L257" s="8" t="str">
        <x:f>INDEX('ประเมินเกณฑ์'!$AE$9:$AE$608,MATCH(G257,'ประเมินเกณฑ์'!$A$9:$A$608,0))</x:f>
        <x:v>รอประเมิน</x:v>
      </x:c>
      <x:c r="M257" s="8" t="str">
        <x:v>สถานที่ในจังหวัดเส้นทาง รอตรวจระยะทางและลำดับ</x:v>
      </x:c>
      <x:c r="N257" s="8" t="str">
        <x:v>ยังไม่ยืนยันการเปิดให้บริการปัจจุบัน</x:v>
      </x:c>
      <x:c r="O257" s="40" t="n">
        <x:v>46316</x:v>
      </x:c>
    </x:row>
    <x:row r="258" ht="38" customHeight="1">
      <x:c r="A258" s="9" t="n">
        <x:v>250</x:v>
      </x:c>
      <x:c r="B258" s="8" t="str">
        <x:v>ถ้ำเขาบิน</x:v>
      </x:c>
      <x:c r="C258" s="8" t="str">
        <x:v>ราชบุรี</x:v>
      </x:c>
      <x:c r="D258" s="8" t="str">
        <x:v>มีศักยภาพ แต่ต้องพัฒนามาตรฐาน</x:v>
      </x:c>
      <x:c r="E258" s="8" t="str">
        <x:v>แหล่งท่องเที่ยวทางธรรมชาติ</x:v>
      </x:c>
      <x:c r="F258" s="38" t="n">
        <x:v>46316</x:v>
      </x:c>
      <x:c r="G258" s="8" t="str">
        <x:v>R26-139</x:v>
      </x:c>
      <x:c r="H258" s="39" t="str">
        <x:v>05</x:v>
      </x:c>
      <x:c r="I258" s="8" t="str">
        <x:v>River For (est)</x:v>
      </x:c>
      <x:c r="J258" s="8" t="str">
        <x:v>ตัวเลือกเสริม</x:v>
      </x:c>
      <x:c r="K258" s="8" t="str">
        <x:v>ธรรมชาติ</x:v>
      </x:c>
      <x:c r="L258" s="8" t="str">
        <x:f>INDEX('ประเมินเกณฑ์'!$AE$9:$AE$608,MATCH(G258,'ประเมินเกณฑ์'!$A$9:$A$608,0))</x:f>
        <x:v>รอประเมิน</x:v>
      </x:c>
      <x:c r="M258" s="8" t="str">
        <x:v>สถานที่ในจังหวัดเส้นทาง รอตรวจระยะทางและลำดับ</x:v>
      </x:c>
      <x:c r="N258" s="8" t="str">
        <x:v>ยังไม่ยืนยันการเปิดให้บริการปัจจุบัน</x:v>
      </x:c>
      <x:c r="O258" s="40" t="n">
        <x:v>46316</x:v>
      </x:c>
    </x:row>
    <x:row r="259" ht="38" customHeight="1">
      <x:c r="A259" s="9" t="n">
        <x:v>251</x:v>
      </x:c>
      <x:c r="B259" s="8" t="str">
        <x:v>น้ำตกเก้าโจน</x:v>
      </x:c>
      <x:c r="C259" s="8" t="str">
        <x:v>ราชบุรี</x:v>
      </x:c>
      <x:c r="D259" s="8" t="str">
        <x:v>มีศักยภาพ แต่ต้องพัฒนามาตรฐาน</x:v>
      </x:c>
      <x:c r="E259" s="8" t="str">
        <x:v>แหล่งท่องเที่ยวทางธรรมชาติ</x:v>
      </x:c>
      <x:c r="F259" s="38" t="n">
        <x:v>46316</x:v>
      </x:c>
      <x:c r="G259" s="8" t="str">
        <x:v>R26-140</x:v>
      </x:c>
      <x:c r="H259" s="39" t="str">
        <x:v>05</x:v>
      </x:c>
      <x:c r="I259" s="8" t="str">
        <x:v>River For (est)</x:v>
      </x:c>
      <x:c r="J259" s="8" t="str">
        <x:v>ตัวเลือกเสริม</x:v>
      </x:c>
      <x:c r="K259" s="8" t="str">
        <x:v>ธรรมชาติ</x:v>
      </x:c>
      <x:c r="L259" s="8" t="str">
        <x:f>INDEX('ประเมินเกณฑ์'!$AE$9:$AE$608,MATCH(G259,'ประเมินเกณฑ์'!$A$9:$A$608,0))</x:f>
        <x:v>รอประเมิน</x:v>
      </x:c>
      <x:c r="M259" s="8" t="str">
        <x:v>สถานที่ในจังหวัดเส้นทาง รอตรวจระยะทางและลำดับ</x:v>
      </x:c>
      <x:c r="N259" s="8" t="str">
        <x:v>ยังไม่ยืนยันการเปิดให้บริการปัจจุบัน</x:v>
      </x:c>
      <x:c r="O259" s="40" t="n">
        <x:v>46316</x:v>
      </x:c>
    </x:row>
    <x:row r="260" ht="38" customHeight="1">
      <x:c r="A260" s="9" t="n">
        <x:v>252</x:v>
      </x:c>
      <x:c r="B260" s="8" t="str">
        <x:v>สวนพฤกษศาสตร์วรรณคดีภาคกลาง ราชบุรี</x:v>
      </x:c>
      <x:c r="C260" s="8" t="str">
        <x:v>ราชบุรี</x:v>
      </x:c>
      <x:c r="D260" s="8" t="str">
        <x:v>มีศักยภาพ แต่ต้องพัฒนามาตรฐาน</x:v>
      </x:c>
      <x:c r="E260" s="8" t="str">
        <x:v>แหล่งท่องเที่ยวทางธรรมชาติ</x:v>
      </x:c>
      <x:c r="F260" s="38" t="n">
        <x:v>46316</x:v>
      </x:c>
      <x:c r="G260" s="8" t="str">
        <x:v>R26-141</x:v>
      </x:c>
      <x:c r="H260" s="39" t="str">
        <x:v>05</x:v>
      </x:c>
      <x:c r="I260" s="8" t="str">
        <x:v>River For (est)</x:v>
      </x:c>
      <x:c r="J260" s="8" t="str">
        <x:v>ตัวเลือกเสริม</x:v>
      </x:c>
      <x:c r="K260" s="8" t="str">
        <x:v>ธรรมชาติ</x:v>
      </x:c>
      <x:c r="L260" s="8" t="str">
        <x:f>INDEX('ประเมินเกณฑ์'!$AE$9:$AE$608,MATCH(G260,'ประเมินเกณฑ์'!$A$9:$A$608,0))</x:f>
        <x:v>รอประเมิน</x:v>
      </x:c>
      <x:c r="M260" s="8" t="str">
        <x:v>สถานที่ในจังหวัดเส้นทาง รอตรวจระยะทางและลำดับ</x:v>
      </x:c>
      <x:c r="N260" s="8" t="str">
        <x:v>ยังไม่ยืนยันการเปิดให้บริการปัจจุบัน</x:v>
      </x:c>
      <x:c r="O260" s="40" t="n">
        <x:v>46316</x:v>
      </x:c>
    </x:row>
    <x:row r="261" ht="38" customHeight="1">
      <x:c r="A261" s="9" t="n">
        <x:v>253</x:v>
      </x:c>
      <x:c r="B261" s="8" t="str">
        <x:v>อุทยานหินเขางู</x:v>
      </x:c>
      <x:c r="C261" s="8" t="str">
        <x:v>ราชบุรี</x:v>
      </x:c>
      <x:c r="D261" s="8" t="str">
        <x:v>มีศักยภาพ แต่ต้องพัฒนามาตรฐาน</x:v>
      </x:c>
      <x:c r="E261" s="8" t="str">
        <x:v>แหล่งท่องเที่ยวทางธรรมชาติ</x:v>
      </x:c>
      <x:c r="F261" s="38" t="n">
        <x:v>46316</x:v>
      </x:c>
      <x:c r="G261" s="8" t="str">
        <x:v>R26-138</x:v>
      </x:c>
      <x:c r="H261" s="39" t="str">
        <x:v>05</x:v>
      </x:c>
      <x:c r="I261" s="8" t="str">
        <x:v>River For (est)</x:v>
      </x:c>
      <x:c r="J261" s="8" t="str">
        <x:v>ตัวเลือกเสริม</x:v>
      </x:c>
      <x:c r="K261" s="8" t="str">
        <x:v>ธรรมชาติ</x:v>
      </x:c>
      <x:c r="L261" s="8" t="str">
        <x:f>INDEX('ประเมินเกณฑ์'!$AE$9:$AE$608,MATCH(G261,'ประเมินเกณฑ์'!$A$9:$A$608,0))</x:f>
        <x:v>รอประเมิน</x:v>
      </x:c>
      <x:c r="M261" s="8" t="str">
        <x:v>สถานที่ในจังหวัดเส้นทาง รอตรวจระยะทางและลำดับ</x:v>
      </x:c>
      <x:c r="N261" s="8" t="str">
        <x:v>ยังไม่ยืนยันการเปิดให้บริการปัจจุบัน</x:v>
      </x:c>
      <x:c r="O261" s="40" t="n">
        <x:v>46316</x:v>
      </x:c>
    </x:row>
    <x:row r="262" ht="38" customHeight="1">
      <x:c r="A262" s="9" t="n">
        <x:v>254</x:v>
      </x:c>
      <x:c r="B262" s="8" t="str">
        <x:v>ตลาดน้ำดำเนินสะดวก</x:v>
      </x:c>
      <x:c r="C262" s="8" t="str">
        <x:v>ราชบุรี</x:v>
      </x:c>
      <x:c r="D262" s="8" t="str">
        <x:v>มีศักยภาพ แต่ต้องพัฒนามาตรฐาน</x:v>
      </x:c>
      <x:c r="E262" s="8" t="str">
        <x:v>แหล่งท่องเที่ยวทางประวัติศาสตร์และวัฒนธรรม</x:v>
      </x:c>
      <x:c r="F262" s="38" t="n">
        <x:v>46316</x:v>
      </x:c>
      <x:c r="G262" s="8" t="str">
        <x:v>TMF-444</x:v>
      </x:c>
      <x:c r="H262" s="39" t="str">
        <x:v>05</x:v>
      </x:c>
      <x:c r="I262" s="8" t="str">
        <x:v>River For (est)</x:v>
      </x:c>
      <x:c r="J262" s="8" t="str">
        <x:v>ตัวเลือกเสริม</x:v>
      </x:c>
      <x:c r="K262" s="8" t="str">
        <x:v>ตลาดน้ำและวิถีวัฒนธรรม</x:v>
      </x:c>
      <x:c r="L262" s="8" t="str">
        <x:f>INDEX('ประเมินเกณฑ์'!$AE$9:$AE$608,MATCH(G262,'ประเมินเกณฑ์'!$A$9:$A$608,0))</x:f>
        <x:v>รอประเมิน</x:v>
      </x:c>
      <x:c r="M262" s="8" t="str">
        <x:v>สถานที่ในจังหวัดเส้นทาง รอตรวจระยะทางและลำดับ</x:v>
      </x:c>
      <x:c r="N262" s="8" t="str">
        <x:v>ยังไม่ยืนยันการเปิดให้บริการปัจจุบัน</x:v>
      </x:c>
      <x:c r="O262" s="40" t="n">
        <x:v>46315</x:v>
      </x:c>
    </x:row>
    <x:row r="263" ht="38" customHeight="1">
      <x:c r="A263" s="9" t="n">
        <x:v>255</x:v>
      </x:c>
      <x:c r="B263" s="8" t="str">
        <x:v>ตลาดเก่าโคยกี๊</x:v>
      </x:c>
      <x:c r="C263" s="8" t="str">
        <x:v>ราชบุรี</x:v>
      </x:c>
      <x:c r="D263" s="8" t="str">
        <x:v>มีศักยภาพ แต่ต้องพัฒนามาตรฐาน</x:v>
      </x:c>
      <x:c r="E263" s="8" t="str">
        <x:v>แหล่งท่องเที่ยวทางประวัติศาสตร์และวัฒนธรรม</x:v>
      </x:c>
      <x:c r="F263" s="38" t="n">
        <x:v>46316</x:v>
      </x:c>
      <x:c r="G263" s="8" t="str">
        <x:v>TMF-445</x:v>
      </x:c>
      <x:c r="H263" s="39" t="str">
        <x:v>05</x:v>
      </x:c>
      <x:c r="I263" s="8" t="str">
        <x:v>River For (est)</x:v>
      </x:c>
      <x:c r="J263" s="8" t="str">
        <x:v>ตัวเลือกเสริม</x:v>
      </x:c>
      <x:c r="K263" s="8" t="str">
        <x:v>ตลาดเก่าและย่านวัฒนธรรม</x:v>
      </x:c>
      <x:c r="L263" s="8" t="str">
        <x:f>INDEX('ประเมินเกณฑ์'!$AE$9:$AE$608,MATCH(G263,'ประเมินเกณฑ์'!$A$9:$A$608,0))</x:f>
        <x:v>รอประเมิน</x:v>
      </x:c>
      <x:c r="M263" s="8" t="str">
        <x:v>สถานที่ในจังหวัดเส้นทาง รอตรวจระยะทางและลำดับ</x:v>
      </x:c>
      <x:c r="N263" s="8" t="str">
        <x:v>ยังไม่ยืนยันการเปิดให้บริการปัจจุบัน</x:v>
      </x:c>
      <x:c r="O263" s="40" t="n">
        <x:v>46316</x:v>
      </x:c>
    </x:row>
    <x:row r="264" ht="38" customHeight="1">
      <x:c r="A264" s="9" t="n">
        <x:v>256</x:v>
      </x:c>
      <x:c r="B264" s="8" t="str">
        <x:v>พิพิธภัณฑสถานแห่งชาติ ราชบุรี</x:v>
      </x:c>
      <x:c r="C264" s="8" t="str">
        <x:v>ราชบุรี</x:v>
      </x:c>
      <x:c r="D264" s="8" t="str">
        <x:v>มีศักยภาพ แต่ต้องพัฒนามาตรฐาน</x:v>
      </x:c>
      <x:c r="E264" s="8" t="str">
        <x:v>แหล่งท่องเที่ยวทางประวัติศาสตร์และวัฒนธรรม</x:v>
      </x:c>
      <x:c r="F264" s="38" t="n">
        <x:v>46316</x:v>
      </x:c>
      <x:c r="G264" s="8" t="str">
        <x:v>TMF-446</x:v>
      </x:c>
      <x:c r="H264" s="39" t="str">
        <x:v>05</x:v>
      </x:c>
      <x:c r="I264" s="8" t="str">
        <x:v>River For (est)</x:v>
      </x:c>
      <x:c r="J264" s="8" t="str">
        <x:v>ตัวเลือกเสริม</x:v>
      </x:c>
      <x:c r="K264" s="8" t="str">
        <x:v>พิพิธภัณฑ์</x:v>
      </x:c>
      <x:c r="L264" s="8" t="str">
        <x:f>INDEX('ประเมินเกณฑ์'!$AE$9:$AE$608,MATCH(G264,'ประเมินเกณฑ์'!$A$9:$A$608,0))</x:f>
        <x:v>รอประเมิน</x:v>
      </x:c>
      <x:c r="M264" s="8" t="str">
        <x:v>สถานที่ในจังหวัดเส้นทาง รอตรวจระยะทางและลำดับ</x:v>
      </x:c>
      <x:c r="N264" s="8" t="str">
        <x:v>ยังไม่ยืนยันการเปิดให้บริการปัจจุบัน</x:v>
      </x:c>
      <x:c r="O264" s="40" t="n">
        <x:v>46316</x:v>
      </x:c>
    </x:row>
    <x:row r="265" ht="38" customHeight="1">
      <x:c r="A265" s="9" t="n">
        <x:v>257</x:v>
      </x:c>
      <x:c r="B265" s="8" t="str">
        <x:v>พิพิธภัณฑ์หนังใหญ่วัดขนอน</x:v>
      </x:c>
      <x:c r="C265" s="8" t="str">
        <x:v>ราชบุรี</x:v>
      </x:c>
      <x:c r="D265" s="8" t="str">
        <x:v>มีศักยภาพ แต่ต้องพัฒนามาตรฐาน</x:v>
      </x:c>
      <x:c r="E265" s="8" t="str">
        <x:v>แหล่งท่องเที่ยวทางประวัติศาสตร์และวัฒนธรรม</x:v>
      </x:c>
      <x:c r="F265" s="38" t="n">
        <x:v>46316</x:v>
      </x:c>
      <x:c r="G265" s="8" t="str">
        <x:v>TMF-447</x:v>
      </x:c>
      <x:c r="H265" s="39" t="str">
        <x:v>05</x:v>
      </x:c>
      <x:c r="I265" s="8" t="str">
        <x:v>River For (est)</x:v>
      </x:c>
      <x:c r="J265" s="8" t="str">
        <x:v>ตัวเลือกเสริม</x:v>
      </x:c>
      <x:c r="K265" s="8" t="str">
        <x:v>พิพิธภัณฑ์ศิลปะการแสดง</x:v>
      </x:c>
      <x:c r="L265" s="8" t="str">
        <x:f>INDEX('ประเมินเกณฑ์'!$AE$9:$AE$608,MATCH(G265,'ประเมินเกณฑ์'!$A$9:$A$608,0))</x:f>
        <x:v>รอประเมิน</x:v>
      </x:c>
      <x:c r="M265" s="8" t="str">
        <x:v>สถานที่ในจังหวัดเส้นทาง รอตรวจระยะทางและลำดับ</x:v>
      </x:c>
      <x:c r="N265" s="8" t="str">
        <x:v>ยังไม่ยืนยันการเปิดให้บริการปัจจุบัน</x:v>
      </x:c>
      <x:c r="O265" s="40" t="n">
        <x:v>46315</x:v>
      </x:c>
    </x:row>
    <x:row r="266" ht="38" customHeight="1">
      <x:c r="A266" s="9" t="n">
        <x:v>258</x:v>
      </x:c>
      <x:c r="B266" s="8" t="str">
        <x:v>ชุมชนบ้านคูบัว</x:v>
      </x:c>
      <x:c r="C266" s="8" t="str">
        <x:v>ราชบุรี</x:v>
      </x:c>
      <x:c r="D266" s="8" t="str">
        <x:v>มีศักยภาพ แต่ต้องพัฒนามาตรฐาน</x:v>
      </x:c>
      <x:c r="E266" s="8" t="str">
        <x:v>ชุมชนท่องเที่ยว</x:v>
      </x:c>
      <x:c r="F266" s="38" t="n">
        <x:v>46316</x:v>
      </x:c>
      <x:c r="G266" s="8" t="str">
        <x:v>R26-143</x:v>
      </x:c>
      <x:c r="H266" s="39" t="str">
        <x:v>05</x:v>
      </x:c>
      <x:c r="I266" s="8" t="str">
        <x:v>River For (est)</x:v>
      </x:c>
      <x:c r="J266" s="8" t="str">
        <x:v>ตัวเลือกเสริม</x:v>
      </x:c>
      <x:c r="K266" s="8" t="str">
        <x:v>ชุมชน</x:v>
      </x:c>
      <x:c r="L266" s="8" t="str">
        <x:f>INDEX('ประเมินเกณฑ์'!$AE$9:$AE$608,MATCH(G266,'ประเมินเกณฑ์'!$A$9:$A$608,0))</x:f>
        <x:v>รอประเมิน</x:v>
      </x:c>
      <x:c r="M266" s="8" t="str">
        <x:v>สถานที่ในจังหวัดเส้นทาง รอตรวจระยะทางและลำดับ</x:v>
      </x:c>
      <x:c r="N266" s="8" t="str">
        <x:v>ยังไม่ยืนยันการเปิดให้บริการปัจจุบัน</x:v>
      </x:c>
      <x:c r="O266" s="40" t="n">
        <x:v>46316</x:v>
      </x:c>
    </x:row>
    <x:row r="267" ht="38" customHeight="1">
      <x:c r="A267" s="9" t="n">
        <x:v>259</x:v>
      </x:c>
      <x:c r="B267" s="8" t="str">
        <x:v>ชุมชนบ้านม่วง ราชบุรี</x:v>
      </x:c>
      <x:c r="C267" s="8" t="str">
        <x:v>ราชบุรี</x:v>
      </x:c>
      <x:c r="D267" s="8" t="str">
        <x:v>มีศักยภาพ แต่ต้องพัฒนามาตรฐาน</x:v>
      </x:c>
      <x:c r="E267" s="8" t="str">
        <x:v>ชุมชนท่องเที่ยว</x:v>
      </x:c>
      <x:c r="F267" s="38" t="n">
        <x:v>46316</x:v>
      </x:c>
      <x:c r="G267" s="8" t="str">
        <x:v>R26-144</x:v>
      </x:c>
      <x:c r="H267" s="39" t="str">
        <x:v>05</x:v>
      </x:c>
      <x:c r="I267" s="8" t="str">
        <x:v>River For (est)</x:v>
      </x:c>
      <x:c r="J267" s="8" t="str">
        <x:v>ตัวเลือกเสริม</x:v>
      </x:c>
      <x:c r="K267" s="8" t="str">
        <x:v>ชุมชน</x:v>
      </x:c>
      <x:c r="L267" s="8" t="str">
        <x:f>INDEX('ประเมินเกณฑ์'!$AE$9:$AE$608,MATCH(G267,'ประเมินเกณฑ์'!$A$9:$A$608,0))</x:f>
        <x:v>รอประเมิน</x:v>
      </x:c>
      <x:c r="M267" s="8" t="str">
        <x:v>สถานที่ในจังหวัดเส้นทาง รอตรวจระยะทางและลำดับ</x:v>
      </x:c>
      <x:c r="N267" s="8" t="str">
        <x:v>ยังไม่ยืนยันการเปิดให้บริการปัจจุบัน</x:v>
      </x:c>
      <x:c r="O267" s="40" t="n">
        <x:v>46316</x:v>
      </x:c>
    </x:row>
    <x:row r="268" ht="38" customHeight="1">
      <x:c r="A268" s="9" t="n">
        <x:v>260</x:v>
      </x:c>
      <x:c r="B268" s="8" t="str">
        <x:v>Alpaca Hill</x:v>
      </x:c>
      <x:c r="C268" s="8" t="str">
        <x:v>ราชบุรี</x:v>
      </x:c>
      <x:c r="D268" s="8" t="str">
        <x:v>มีศักยภาพ แต่ต้องพัฒนามาตรฐาน</x:v>
      </x:c>
      <x:c r="E268" s="8" t="str">
        <x:v>ศูนย์กิจกรรมและนันทนาการ</x:v>
      </x:c>
      <x:c r="F268" s="38" t="n">
        <x:v>46316</x:v>
      </x:c>
      <x:c r="G268" s="8" t="str">
        <x:v>R26-149</x:v>
      </x:c>
      <x:c r="H268" s="39" t="str">
        <x:v>05</x:v>
      </x:c>
      <x:c r="I268" s="8" t="str">
        <x:v>River For (est)</x:v>
      </x:c>
      <x:c r="J268" s="8" t="str">
        <x:v>ตัวเลือกเสริม</x:v>
      </x:c>
      <x:c r="K268" s="8" t="str">
        <x:v>กิจกรรม</x:v>
      </x:c>
      <x:c r="L268" s="8" t="str">
        <x:f>INDEX('ประเมินเกณฑ์'!$AE$9:$AE$608,MATCH(G268,'ประเมินเกณฑ์'!$A$9:$A$608,0))</x:f>
        <x:v>รอประเมิน</x:v>
      </x:c>
      <x:c r="M268" s="8" t="str">
        <x:v>สถานที่ในจังหวัดเส้นทาง รอตรวจระยะทางและลำดับ</x:v>
      </x:c>
      <x:c r="N268" s="8" t="str">
        <x:v>ยังไม่ยืนยันการเปิดให้บริการปัจจุบัน</x:v>
      </x:c>
      <x:c r="O268" s="40" t="n">
        <x:v>46316</x:v>
      </x:c>
    </x:row>
    <x:row r="269" ht="38" customHeight="1">
      <x:c r="A269" s="9" t="n">
        <x:v>261</x:v>
      </x:c>
      <x:c r="B269" s="8" t="str">
        <x:v>CORO Field</x:v>
      </x:c>
      <x:c r="C269" s="8" t="str">
        <x:v>ราชบุรี</x:v>
      </x:c>
      <x:c r="D269" s="8" t="str">
        <x:v>มีศักยภาพ แต่ต้องพัฒนามาตรฐาน</x:v>
      </x:c>
      <x:c r="E269" s="8" t="str">
        <x:v>ศูนย์กิจกรรมและนันทนาการ</x:v>
      </x:c>
      <x:c r="F269" s="38" t="n">
        <x:v>46316</x:v>
      </x:c>
      <x:c r="G269" s="8" t="str">
        <x:v>R26-303</x:v>
      </x:c>
      <x:c r="H269" s="39" t="str">
        <x:v>05</x:v>
      </x:c>
      <x:c r="I269" s="8" t="str">
        <x:v>River For (est)</x:v>
      </x:c>
      <x:c r="J269" s="8" t="str">
        <x:v>ตัวเลือกเสริม</x:v>
      </x:c>
      <x:c r="K269" s="8" t="str">
        <x:v>กิจกรรม</x:v>
      </x:c>
      <x:c r="L269" s="8" t="str">
        <x:f>INDEX('ประเมินเกณฑ์'!$AE$9:$AE$608,MATCH(G269,'ประเมินเกณฑ์'!$A$9:$A$608,0))</x:f>
        <x:v>รอประเมิน</x:v>
      </x:c>
      <x:c r="M269" s="8" t="str">
        <x:v>สถานที่ในจังหวัดเส้นทาง รอตรวจระยะทางและลำดับ</x:v>
      </x:c>
      <x:c r="N269" s="8" t="str">
        <x:v>ยังไม่ยืนยันการเปิดให้บริการปัจจุบัน</x:v>
      </x:c>
      <x:c r="O269" s="40" t="n">
        <x:v>46316</x:v>
      </x:c>
    </x:row>
    <x:row r="270" ht="38" customHeight="1">
      <x:c r="A270" s="9" t="n">
        <x:v>262</x:v>
      </x:c>
      <x:c r="B270" s="8" t="str">
        <x:v>The Scenery Vintage Farm</x:v>
      </x:c>
      <x:c r="C270" s="8" t="str">
        <x:v>ราชบุรี</x:v>
      </x:c>
      <x:c r="D270" s="8" t="str">
        <x:v>มีศักยภาพ แต่ต้องพัฒนามาตรฐาน</x:v>
      </x:c>
      <x:c r="E270" s="8" t="str">
        <x:v>ศูนย์กิจกรรมและนันทนาการ</x:v>
      </x:c>
      <x:c r="F270" s="38" t="n">
        <x:v>46316</x:v>
      </x:c>
      <x:c r="G270" s="8" t="str">
        <x:v>R26-148</x:v>
      </x:c>
      <x:c r="H270" s="39" t="str">
        <x:v>05</x:v>
      </x:c>
      <x:c r="I270" s="8" t="str">
        <x:v>River For (est)</x:v>
      </x:c>
      <x:c r="J270" s="8" t="str">
        <x:v>ตัวเลือกเสริม</x:v>
      </x:c>
      <x:c r="K270" s="8" t="str">
        <x:v>กิจกรรม</x:v>
      </x:c>
      <x:c r="L270" s="8" t="str">
        <x:f>INDEX('ประเมินเกณฑ์'!$AE$9:$AE$608,MATCH(G270,'ประเมินเกณฑ์'!$A$9:$A$608,0))</x:f>
        <x:v>รอประเมิน</x:v>
      </x:c>
      <x:c r="M270" s="8" t="str">
        <x:v>สถานที่ในจังหวัดเส้นทาง รอตรวจระยะทางและลำดับ</x:v>
      </x:c>
      <x:c r="N270" s="8" t="str">
        <x:v>ยังไม่ยืนยันการเปิดให้บริการปัจจุบัน</x:v>
      </x:c>
      <x:c r="O270" s="40" t="n">
        <x:v>46316</x:v>
      </x:c>
    </x:row>
    <x:row r="271" ht="38" customHeight="1">
      <x:c r="A271" s="9" t="n">
        <x:v>263</x:v>
      </x:c>
      <x:c r="B271" s="8" t="str">
        <x:v>สวนผึ้งไฮแลนด์</x:v>
      </x:c>
      <x:c r="C271" s="8" t="str">
        <x:v>ราชบุรี</x:v>
      </x:c>
      <x:c r="D271" s="8" t="str">
        <x:v>มีศักยภาพ แต่ต้องพัฒนามาตรฐาน</x:v>
      </x:c>
      <x:c r="E271" s="8" t="str">
        <x:v>ศูนย์กิจกรรมและนันทนาการ</x:v>
      </x:c>
      <x:c r="F271" s="38" t="n">
        <x:v>46316</x:v>
      </x:c>
      <x:c r="G271" s="8" t="str">
        <x:v>R26-147</x:v>
      </x:c>
      <x:c r="H271" s="39" t="str">
        <x:v>05</x:v>
      </x:c>
      <x:c r="I271" s="8" t="str">
        <x:v>River For (est)</x:v>
      </x:c>
      <x:c r="J271" s="8" t="str">
        <x:v>ตัวเลือกเสริม</x:v>
      </x:c>
      <x:c r="K271" s="8" t="str">
        <x:v>กิจกรรม</x:v>
      </x:c>
      <x:c r="L271" s="8" t="str">
        <x:f>INDEX('ประเมินเกณฑ์'!$AE$9:$AE$608,MATCH(G271,'ประเมินเกณฑ์'!$A$9:$A$608,0))</x:f>
        <x:v>รอประเมิน</x:v>
      </x:c>
      <x:c r="M271" s="8" t="str">
        <x:v>สถานที่ในจังหวัดเส้นทาง รอตรวจระยะทางและลำดับ</x:v>
      </x:c>
      <x:c r="N271" s="8" t="str">
        <x:v>ยังไม่ยืนยันการเปิดให้บริการปัจจุบัน</x:v>
      </x:c>
      <x:c r="O271" s="40" t="n">
        <x:v>46316</x:v>
      </x:c>
    </x:row>
    <x:row r="272" ht="38" customHeight="1">
      <x:c r="A272" s="9" t="n">
        <x:v>264</x:v>
      </x:c>
      <x:c r="B272" s="8" t="str">
        <x:v>ครัวไทรงาม ฮาลาลฟู้ด พัทยา</x:v>
      </x:c>
      <x:c r="C272" s="8" t="str">
        <x:v>ชลบุรี</x:v>
      </x:c>
      <x:c r="D272" s="8" t="str">
        <x:v>มีศักยภาพ แต่ต้องพัฒนามาตรฐาน</x:v>
      </x:c>
      <x:c r="E272" s="8" t="str">
        <x:v>ร้านอาหารและคาเฟ่</x:v>
      </x:c>
      <x:c r="F272" s="38" t="n">
        <x:v>46316</x:v>
      </x:c>
      <x:c r="G272" s="8" t="str">
        <x:v>R26-060</x:v>
      </x:c>
      <x:c r="H272" s="39" t="str">
        <x:v>06</x:v>
      </x:c>
      <x:c r="I272" s="8" t="str">
        <x:v>Eastern Seaside Delight</x:v>
      </x:c>
      <x:c r="J272" s="8" t="str">
        <x:v>1</x:v>
      </x:c>
      <x:c r="K272" s="8" t="str">
        <x:v>อาหาร</x:v>
      </x:c>
      <x:c r="L272" s="8" t="str">
        <x:f>INDEX('ประเมินเกณฑ์'!$AE$9:$AE$608,MATCH(G272,'ประเมินเกณฑ์'!$A$9:$A$608,0))</x:f>
        <x:v>รอประเมิน</x:v>
      </x:c>
      <x:c r="M272" s="8" t="str">
        <x:v>จุดในเอกสารเส้นทาง</x:v>
      </x:c>
      <x:c r="N272" s="8" t="str">
        <x:v>ยังไม่ยืนยันการเปิดให้บริการปัจจุบัน</x:v>
      </x:c>
      <x:c r="O272" s="40" t="n">
        <x:v>46316</x:v>
      </x:c>
    </x:row>
    <x:row r="273" ht="38" customHeight="1">
      <x:c r="A273" s="9" t="n">
        <x:v>265</x:v>
      </x:c>
      <x:c r="B273" s="8" t="str">
        <x:v>หาดจอมเทียน</x:v>
      </x:c>
      <x:c r="C273" s="8" t="str">
        <x:v>ชลบุรี</x:v>
      </x:c>
      <x:c r="D273" s="8" t="str">
        <x:v>มีศักยภาพ แต่ต้องพัฒนามาตรฐาน</x:v>
      </x:c>
      <x:c r="E273" s="8" t="str">
        <x:v>แหล่งท่องเที่ยวทางธรรมชาติ</x:v>
      </x:c>
      <x:c r="F273" s="38" t="n">
        <x:v>46316</x:v>
      </x:c>
      <x:c r="G273" s="8" t="str">
        <x:v>R26-059</x:v>
      </x:c>
      <x:c r="H273" s="39" t="str">
        <x:v>06</x:v>
      </x:c>
      <x:c r="I273" s="8" t="str">
        <x:v>Eastern Seaside Delight</x:v>
      </x:c>
      <x:c r="J273" s="8" t="str">
        <x:v>1</x:v>
      </x:c>
      <x:c r="K273" s="8" t="str">
        <x:v>ธรรมชาติ</x:v>
      </x:c>
      <x:c r="L273" s="8" t="str">
        <x:f>INDEX('ประเมินเกณฑ์'!$AE$9:$AE$608,MATCH(G273,'ประเมินเกณฑ์'!$A$9:$A$608,0))</x:f>
        <x:v>รอประเมิน</x:v>
      </x:c>
      <x:c r="M273" s="8" t="str">
        <x:v>จุดในเอกสารเส้นทาง</x:v>
      </x:c>
      <x:c r="N273" s="8" t="str">
        <x:v>ยังไม่ยืนยันการเปิดให้บริการปัจจุบัน</x:v>
      </x:c>
      <x:c r="O273" s="40" t="n">
        <x:v>46316</x:v>
      </x:c>
    </x:row>
    <x:row r="274" ht="38" customHeight="1">
      <x:c r="A274" s="9" t="n">
        <x:v>266</x:v>
      </x:c>
      <x:c r="B274" s="8" t="str">
        <x:v>มัสยิดนูรุลยากีน</x:v>
      </x:c>
      <x:c r="C274" s="8" t="str">
        <x:v>ชลบุรี</x:v>
      </x:c>
      <x:c r="D274" s="8" t="str">
        <x:v>พัฒนาเพื่อพร้อมขาย</x:v>
      </x:c>
      <x:c r="E274" s="8" t="str">
        <x:v>แหล่งท่องเที่ยวทางประวัติศาสตร์และวัฒนธรรม</x:v>
      </x:c>
      <x:c r="F274" s="38" t="n">
        <x:v>46316</x:v>
      </x:c>
      <x:c r="G274" s="8" t="str">
        <x:v>TMF-337</x:v>
      </x:c>
      <x:c r="H274" s="39" t="str">
        <x:v>06</x:v>
      </x:c>
      <x:c r="I274" s="8" t="str">
        <x:v>Eastern Seaside Delight</x:v>
      </x:c>
      <x:c r="J274" s="8" t="str">
        <x:v>1</x:v>
      </x:c>
      <x:c r="K274" s="8" t="str">
        <x:v>มัสยิด</x:v>
      </x:c>
      <x:c r="L274" s="8" t="str">
        <x:f>INDEX('ประเมินเกณฑ์'!$AE$9:$AE$608,MATCH(G274,'ประเมินเกณฑ์'!$A$9:$A$608,0))</x:f>
        <x:v>รอประเมิน</x:v>
      </x:c>
      <x:c r="M274" s="8" t="str">
        <x:v>จุดในเอกสารเส้นทาง</x:v>
      </x:c>
      <x:c r="N274" s="8" t="str">
        <x:v>ยังไม่ยืนยันการเปิดให้บริการปัจจุบัน</x:v>
      </x:c>
      <x:c r="O274" s="40" t="n">
        <x:v>46316</x:v>
      </x:c>
    </x:row>
    <x:row r="275" ht="38" customHeight="1">
      <x:c r="A275" s="9" t="n">
        <x:v>267</x:v>
      </x:c>
      <x:c r="B275" s="8" t="str">
        <x:v>ตลาดน้ำ 4 ภาค พัทยา</x:v>
      </x:c>
      <x:c r="C275" s="8" t="str">
        <x:v>ชลบุรี</x:v>
      </x:c>
      <x:c r="D275" s="8" t="str">
        <x:v>มีศักยภาพ แต่ต้องพัฒนามาตรฐาน</x:v>
      </x:c>
      <x:c r="E275" s="8" t="str">
        <x:v>ศูนย์กิจกรรมและนันทนาการ</x:v>
      </x:c>
      <x:c r="F275" s="38" t="n">
        <x:v>46316</x:v>
      </x:c>
      <x:c r="G275" s="8" t="str">
        <x:v>R26-056</x:v>
      </x:c>
      <x:c r="H275" s="39" t="str">
        <x:v>06</x:v>
      </x:c>
      <x:c r="I275" s="8" t="str">
        <x:v>Eastern Seaside Delight</x:v>
      </x:c>
      <x:c r="J275" s="8" t="str">
        <x:v>1</x:v>
      </x:c>
      <x:c r="K275" s="8" t="str">
        <x:v>กิจกรรม</x:v>
      </x:c>
      <x:c r="L275" s="8" t="str">
        <x:f>INDEX('ประเมินเกณฑ์'!$AE$9:$AE$608,MATCH(G275,'ประเมินเกณฑ์'!$A$9:$A$608,0))</x:f>
        <x:v>รอประเมิน</x:v>
      </x:c>
      <x:c r="M275" s="8" t="str">
        <x:v>จุดในเอกสารเส้นทาง</x:v>
      </x:c>
      <x:c r="N275" s="8" t="str">
        <x:v>ยังไม่ยืนยันการเปิดให้บริการปัจจุบัน</x:v>
      </x:c>
      <x:c r="O275" s="40" t="n">
        <x:v>46316</x:v>
      </x:c>
    </x:row>
    <x:row r="276" ht="38" customHeight="1">
      <x:c r="A276" s="9" t="n">
        <x:v>268</x:v>
      </x:c>
      <x:c r="B276" s="8" t="str">
        <x:v>สวนนงนุช พัทยา</x:v>
      </x:c>
      <x:c r="C276" s="8" t="str">
        <x:v>ชลบุรี</x:v>
      </x:c>
      <x:c r="D276" s="8" t="str">
        <x:v>มีศักยภาพ แต่ต้องพัฒนามาตรฐาน</x:v>
      </x:c>
      <x:c r="E276" s="8" t="str">
        <x:v>ศูนย์กิจกรรมและนันทนาการ</x:v>
      </x:c>
      <x:c r="F276" s="38" t="n">
        <x:v>46316</x:v>
      </x:c>
      <x:c r="G276" s="8" t="str">
        <x:v>R26-058</x:v>
      </x:c>
      <x:c r="H276" s="39" t="str">
        <x:v>06</x:v>
      </x:c>
      <x:c r="I276" s="8" t="str">
        <x:v>Eastern Seaside Delight</x:v>
      </x:c>
      <x:c r="J276" s="8" t="str">
        <x:v>1</x:v>
      </x:c>
      <x:c r="K276" s="8" t="str">
        <x:v>กิจกรรม</x:v>
      </x:c>
      <x:c r="L276" s="8" t="str">
        <x:f>INDEX('ประเมินเกณฑ์'!$AE$9:$AE$608,MATCH(G276,'ประเมินเกณฑ์'!$A$9:$A$608,0))</x:f>
        <x:v>รอประเมิน</x:v>
      </x:c>
      <x:c r="M276" s="8" t="str">
        <x:v>จุดในเอกสารเส้นทาง</x:v>
      </x:c>
      <x:c r="N276" s="8" t="str">
        <x:v>ยังไม่ยืนยันการเปิดให้บริการปัจจุบัน</x:v>
      </x:c>
      <x:c r="O276" s="40" t="n">
        <x:v>46316</x:v>
      </x:c>
    </x:row>
    <x:row r="277" ht="38" customHeight="1">
      <x:c r="A277" s="9" t="n">
        <x:v>269</x:v>
      </x:c>
      <x:c r="B277" s="8" t="str">
        <x:v>Farida House - ฟาริดาเฮ้าส์</x:v>
      </x:c>
      <x:c r="C277" s="8" t="str">
        <x:v>ชลบุรี</x:v>
      </x:c>
      <x:c r="D277" s="8" t="str">
        <x:v>พร้อมขาย</x:v>
      </x:c>
      <x:c r="E277" s="8" t="str">
        <x:v>ที่พัก</x:v>
      </x:c>
      <x:c r="F277" s="38" t="n">
        <x:v>46316</x:v>
      </x:c>
      <x:c r="G277" s="8" t="str">
        <x:v>TMF-107</x:v>
      </x:c>
      <x:c r="H277" s="39" t="str">
        <x:v>06</x:v>
      </x:c>
      <x:c r="I277" s="8" t="str">
        <x:v>Eastern Seaside Delight</x:v>
      </x:c>
      <x:c r="J277" s="8" t="str">
        <x:v>ตัวเลือกเสริม</x:v>
      </x:c>
      <x:c r="K277" s="8" t="str">
        <x:v>ที่พัก (ตรวจประเภทจากชื่อและข้อมูลประกอบ)</x:v>
      </x:c>
      <x:c r="L277" s="8" t="str">
        <x:f>INDEX('ประเมินเกณฑ์'!$AE$9:$AE$608,MATCH(G277,'ประเมินเกณฑ์'!$A$9:$A$608,0))</x:f>
        <x:v>รอประเมิน</x:v>
      </x:c>
      <x:c r="M277" s="8" t="str">
        <x:v>สถานที่ในจังหวัดเส้นทาง รอตรวจระยะทางและลำดับ</x:v>
      </x:c>
      <x:c r="N277" s="8" t="str">
        <x:v>ยังไม่ยืนยันการเปิดให้บริการปัจจุบัน</x:v>
      </x:c>
      <x:c r="O277" s="40" t="n">
        <x:v>46315</x:v>
      </x:c>
    </x:row>
    <x:row r="278" ht="38" customHeight="1">
      <x:c r="A278" s="9" t="n">
        <x:v>270</x:v>
      </x:c>
      <x:c r="B278" s="8" t="str">
        <x:v>LANA House and Hill Homestay</x:v>
      </x:c>
      <x:c r="C278" s="8" t="str">
        <x:v>ชลบุรี</x:v>
      </x:c>
      <x:c r="D278" s="8" t="str">
        <x:v>พร้อมขาย</x:v>
      </x:c>
      <x:c r="E278" s="8" t="str">
        <x:v>ที่พัก</x:v>
      </x:c>
      <x:c r="F278" s="38" t="n">
        <x:v>46316</x:v>
      </x:c>
      <x:c r="G278" s="8" t="str">
        <x:v>TMF-104</x:v>
      </x:c>
      <x:c r="H278" s="39" t="str">
        <x:v>06</x:v>
      </x:c>
      <x:c r="I278" s="8" t="str">
        <x:v>Eastern Seaside Delight</x:v>
      </x:c>
      <x:c r="J278" s="8" t="str">
        <x:v>ตัวเลือกเสริม</x:v>
      </x:c>
      <x:c r="K278" s="8" t="str">
        <x:v>โรงแรมหรือรีสอร์ท</x:v>
      </x:c>
      <x:c r="L278" s="8" t="str">
        <x:f>INDEX('ประเมินเกณฑ์'!$AE$9:$AE$608,MATCH(G278,'ประเมินเกณฑ์'!$A$9:$A$608,0))</x:f>
        <x:v>รอประเมิน</x:v>
      </x:c>
      <x:c r="M278" s="8" t="str">
        <x:v>สถานที่ในจังหวัดเส้นทาง รอตรวจระยะทางและลำดับ</x:v>
      </x:c>
      <x:c r="N278" s="8" t="str">
        <x:v>ยังไม่ยืนยันการเปิดให้บริการปัจจุบัน</x:v>
      </x:c>
      <x:c r="O278" s="40" t="n">
        <x:v>46315</x:v>
      </x:c>
    </x:row>
    <x:row r="279" ht="38" customHeight="1">
      <x:c r="A279" s="9" t="n">
        <x:v>271</x:v>
      </x:c>
      <x:c r="B279" s="8" t="str">
        <x:v>Nida House &amp; Hotel</x:v>
      </x:c>
      <x:c r="C279" s="8" t="str">
        <x:v>ชลบุรี</x:v>
      </x:c>
      <x:c r="D279" s="8" t="str">
        <x:v>พร้อมขาย</x:v>
      </x:c>
      <x:c r="E279" s="8" t="str">
        <x:v>ที่พัก</x:v>
      </x:c>
      <x:c r="F279" s="38" t="n">
        <x:v>46316</x:v>
      </x:c>
      <x:c r="G279" s="8" t="str">
        <x:v>TMF-105</x:v>
      </x:c>
      <x:c r="H279" s="39" t="str">
        <x:v>06</x:v>
      </x:c>
      <x:c r="I279" s="8" t="str">
        <x:v>Eastern Seaside Delight</x:v>
      </x:c>
      <x:c r="J279" s="8" t="str">
        <x:v>ตัวเลือกเสริม</x:v>
      </x:c>
      <x:c r="K279" s="8" t="str">
        <x:v>โรงแรมหรือรีสอร์ท</x:v>
      </x:c>
      <x:c r="L279" s="8" t="str">
        <x:f>INDEX('ประเมินเกณฑ์'!$AE$9:$AE$608,MATCH(G279,'ประเมินเกณฑ์'!$A$9:$A$608,0))</x:f>
        <x:v>รอประเมิน</x:v>
      </x:c>
      <x:c r="M279" s="8" t="str">
        <x:v>สถานที่ในจังหวัดเส้นทาง รอตรวจระยะทางและลำดับ</x:v>
      </x:c>
      <x:c r="N279" s="8" t="str">
        <x:v>ยังไม่ยืนยันการเปิดให้บริการปัจจุบัน</x:v>
      </x:c>
      <x:c r="O279" s="40" t="n">
        <x:v>46315</x:v>
      </x:c>
    </x:row>
    <x:row r="280" ht="38" customHeight="1">
      <x:c r="A280" s="9" t="n">
        <x:v>272</x:v>
      </x:c>
      <x:c r="B280" s="8" t="str">
        <x:v>Noursabah Pattaya - ณุศบา พัทยา</x:v>
      </x:c>
      <x:c r="C280" s="8" t="str">
        <x:v>ชลบุรี</x:v>
      </x:c>
      <x:c r="D280" s="8" t="str">
        <x:v>พร้อมขาย</x:v>
      </x:c>
      <x:c r="E280" s="8" t="str">
        <x:v>ที่พัก</x:v>
      </x:c>
      <x:c r="F280" s="38" t="n">
        <x:v>46316</x:v>
      </x:c>
      <x:c r="G280" s="8" t="str">
        <x:v>TMF-109</x:v>
      </x:c>
      <x:c r="H280" s="39" t="str">
        <x:v>06</x:v>
      </x:c>
      <x:c r="I280" s="8" t="str">
        <x:v>Eastern Seaside Delight</x:v>
      </x:c>
      <x:c r="J280" s="8" t="str">
        <x:v>ตัวเลือกเสริม</x:v>
      </x:c>
      <x:c r="K280" s="8" t="str">
        <x:v>ที่พัก (ตรวจประเภทจากชื่อและข้อมูลประกอบ)</x:v>
      </x:c>
      <x:c r="L280" s="8" t="str">
        <x:f>INDEX('ประเมินเกณฑ์'!$AE$9:$AE$608,MATCH(G280,'ประเมินเกณฑ์'!$A$9:$A$608,0))</x:f>
        <x:v>รอประเมิน</x:v>
      </x:c>
      <x:c r="M280" s="8" t="str">
        <x:v>สถานที่ในจังหวัดเส้นทาง รอตรวจระยะทางและลำดับ</x:v>
      </x:c>
      <x:c r="N280" s="8" t="str">
        <x:v>ยังไม่ยืนยันการเปิดให้บริการปัจจุบัน</x:v>
      </x:c>
      <x:c r="O280" s="40" t="n">
        <x:v>46315</x:v>
      </x:c>
    </x:row>
    <x:row r="281" ht="38" customHeight="1">
      <x:c r="A281" s="9" t="n">
        <x:v>273</x:v>
      </x:c>
      <x:c r="B281" s="8" t="str">
        <x:v>P-Park Hotel Pattaya</x:v>
      </x:c>
      <x:c r="C281" s="8" t="str">
        <x:v>ชลบุรี</x:v>
      </x:c>
      <x:c r="D281" s="8" t="str">
        <x:v>พร้อมขาย</x:v>
      </x:c>
      <x:c r="E281" s="8" t="str">
        <x:v>ที่พัก</x:v>
      </x:c>
      <x:c r="F281" s="38" t="n">
        <x:v>46316</x:v>
      </x:c>
      <x:c r="G281" s="8" t="str">
        <x:v>TMF-106</x:v>
      </x:c>
      <x:c r="H281" s="39" t="str">
        <x:v>06</x:v>
      </x:c>
      <x:c r="I281" s="8" t="str">
        <x:v>Eastern Seaside Delight</x:v>
      </x:c>
      <x:c r="J281" s="8" t="str">
        <x:v>ตัวเลือกเสริม</x:v>
      </x:c>
      <x:c r="K281" s="8" t="str">
        <x:v>โรงแรมหรือรีสอร์ท</x:v>
      </x:c>
      <x:c r="L281" s="8" t="str">
        <x:f>INDEX('ประเมินเกณฑ์'!$AE$9:$AE$608,MATCH(G281,'ประเมินเกณฑ์'!$A$9:$A$608,0))</x:f>
        <x:v>รอประเมิน</x:v>
      </x:c>
      <x:c r="M281" s="8" t="str">
        <x:v>สถานที่ในจังหวัดเส้นทาง รอตรวจระยะทางและลำดับ</x:v>
      </x:c>
      <x:c r="N281" s="8" t="str">
        <x:v>ยังไม่ยืนยันการเปิดให้บริการปัจจุบัน</x:v>
      </x:c>
      <x:c r="O281" s="40" t="n">
        <x:v>46315</x:v>
      </x:c>
    </x:row>
    <x:row r="282" ht="38" customHeight="1">
      <x:c r="A282" s="9" t="n">
        <x:v>274</x:v>
      </x:c>
      <x:c r="B282" s="8" t="str">
        <x:v>Pattaya Bed Boutique</x:v>
      </x:c>
      <x:c r="C282" s="8" t="str">
        <x:v>ชลบุรี</x:v>
      </x:c>
      <x:c r="D282" s="8" t="str">
        <x:v>พร้อมขาย</x:v>
      </x:c>
      <x:c r="E282" s="8" t="str">
        <x:v>ที่พัก</x:v>
      </x:c>
      <x:c r="F282" s="38" t="n">
        <x:v>46316</x:v>
      </x:c>
      <x:c r="G282" s="8" t="str">
        <x:v>TMF-110</x:v>
      </x:c>
      <x:c r="H282" s="39" t="str">
        <x:v>06</x:v>
      </x:c>
      <x:c r="I282" s="8" t="str">
        <x:v>Eastern Seaside Delight</x:v>
      </x:c>
      <x:c r="J282" s="8" t="str">
        <x:v>ตัวเลือกเสริม</x:v>
      </x:c>
      <x:c r="K282" s="8" t="str">
        <x:v>ที่พัก (ตรวจประเภทจากชื่อและข้อมูลประกอบ)</x:v>
      </x:c>
      <x:c r="L282" s="8" t="str">
        <x:f>INDEX('ประเมินเกณฑ์'!$AE$9:$AE$608,MATCH(G282,'ประเมินเกณฑ์'!$A$9:$A$608,0))</x:f>
        <x:v>รอประเมิน</x:v>
      </x:c>
      <x:c r="M282" s="8" t="str">
        <x:v>สถานที่ในจังหวัดเส้นทาง รอตรวจระยะทางและลำดับ</x:v>
      </x:c>
      <x:c r="N282" s="8" t="str">
        <x:v>ยังไม่ยืนยันการเปิดให้บริการปัจจุบัน</x:v>
      </x:c>
      <x:c r="O282" s="40" t="n">
        <x:v>46315</x:v>
      </x:c>
    </x:row>
    <x:row r="283" ht="38" customHeight="1">
      <x:c r="A283" s="9" t="n">
        <x:v>275</x:v>
      </x:c>
      <x:c r="B283" s="8" t="str">
        <x:v>Valida Cottage</x:v>
      </x:c>
      <x:c r="C283" s="8" t="str">
        <x:v>ชลบุรี</x:v>
      </x:c>
      <x:c r="D283" s="8" t="str">
        <x:v>พร้อมขาย</x:v>
      </x:c>
      <x:c r="E283" s="8" t="str">
        <x:v>ที่พัก</x:v>
      </x:c>
      <x:c r="F283" s="38" t="n">
        <x:v>46316</x:v>
      </x:c>
      <x:c r="G283" s="8" t="str">
        <x:v>TMF-111</x:v>
      </x:c>
      <x:c r="H283" s="39" t="str">
        <x:v>06</x:v>
      </x:c>
      <x:c r="I283" s="8" t="str">
        <x:v>Eastern Seaside Delight</x:v>
      </x:c>
      <x:c r="J283" s="8" t="str">
        <x:v>ตัวเลือกเสริม</x:v>
      </x:c>
      <x:c r="K283" s="8" t="str">
        <x:v>ที่พัก (ตรวจประเภทจากชื่อและข้อมูลประกอบ)</x:v>
      </x:c>
      <x:c r="L283" s="8" t="str">
        <x:f>INDEX('ประเมินเกณฑ์'!$AE$9:$AE$608,MATCH(G283,'ประเมินเกณฑ์'!$A$9:$A$608,0))</x:f>
        <x:v>รอประเมิน</x:v>
      </x:c>
      <x:c r="M283" s="8" t="str">
        <x:v>สถานที่ในจังหวัดเส้นทาง รอตรวจระยะทางและลำดับ</x:v>
      </x:c>
      <x:c r="N283" s="8" t="str">
        <x:v>ยังไม่ยืนยันการเปิดให้บริการปัจจุบัน</x:v>
      </x:c>
      <x:c r="O283" s="40" t="n">
        <x:v>46315</x:v>
      </x:c>
    </x:row>
    <x:row r="284" ht="38" customHeight="1">
      <x:c r="A284" s="9" t="n">
        <x:v>276</x:v>
      </x:c>
      <x:c r="B284" s="8" t="str">
        <x:v>เซ็นทารา แกรนด์ มิราจ บีช รีสอร์ท พัทยา</x:v>
      </x:c>
      <x:c r="C284" s="8" t="str">
        <x:v>ชลบุรี</x:v>
      </x:c>
      <x:c r="D284" s="8" t="str">
        <x:v>พัฒนาเพื่อพร้อมขาย</x:v>
      </x:c>
      <x:c r="E284" s="8" t="str">
        <x:v>ที่พัก</x:v>
      </x:c>
      <x:c r="F284" s="38" t="n">
        <x:v>46316</x:v>
      </x:c>
      <x:c r="G284" s="8" t="str">
        <x:v>TMF-329</x:v>
      </x:c>
      <x:c r="H284" s="39" t="str">
        <x:v>06</x:v>
      </x:c>
      <x:c r="I284" s="8" t="str">
        <x:v>Eastern Seaside Delight</x:v>
      </x:c>
      <x:c r="J284" s="8" t="str">
        <x:v>ตัวเลือกเสริม</x:v>
      </x:c>
      <x:c r="K284" s="8" t="str">
        <x:v>โรงแรมหรือรีสอร์ท</x:v>
      </x:c>
      <x:c r="L284" s="8" t="str">
        <x:f>INDEX('ประเมินเกณฑ์'!$AE$9:$AE$608,MATCH(G284,'ประเมินเกณฑ์'!$A$9:$A$608,0))</x:f>
        <x:v>รอประเมิน</x:v>
      </x:c>
      <x:c r="M284" s="8" t="str">
        <x:v>สถานที่ในจังหวัดเส้นทาง รอตรวจระยะทางและลำดับ</x:v>
      </x:c>
      <x:c r="N284" s="8" t="str">
        <x:v>ยังไม่ยืนยันการเปิดให้บริการปัจจุบัน</x:v>
      </x:c>
      <x:c r="O284" s="40" t="n">
        <x:v>46315</x:v>
      </x:c>
    </x:row>
    <x:row r="285" ht="38" customHeight="1">
      <x:c r="A285" s="9" t="n">
        <x:v>277</x:v>
      </x:c>
      <x:c r="B285" s="8" t="str">
        <x:v>FindyHome Sattahip Poolvilla</x:v>
      </x:c>
      <x:c r="C285" s="8" t="str">
        <x:v>ชลบุรี</x:v>
      </x:c>
      <x:c r="D285" s="8" t="str">
        <x:v>พร้อมขาย</x:v>
      </x:c>
      <x:c r="E285" s="8" t="str">
        <x:v>ร้านอาหารและคาเฟ่</x:v>
      </x:c>
      <x:c r="F285" s="38" t="n">
        <x:v>46316</x:v>
      </x:c>
      <x:c r="G285" s="8" t="str">
        <x:v>TMF-108</x:v>
      </x:c>
      <x:c r="H285" s="39" t="str">
        <x:v>06</x:v>
      </x:c>
      <x:c r="I285" s="8" t="str">
        <x:v>Eastern Seaside Delight</x:v>
      </x:c>
      <x:c r="J285" s="8" t="str">
        <x:v>ตัวเลือกเสริม</x:v>
      </x:c>
      <x:c r="K285" s="8" t="str">
        <x:v>ร้านอาหาร</x:v>
      </x:c>
      <x:c r="L285" s="8" t="str">
        <x:f>INDEX('ประเมินเกณฑ์'!$AE$9:$AE$608,MATCH(G285,'ประเมินเกณฑ์'!$A$9:$A$608,0))</x:f>
        <x:v>รอประเมิน</x:v>
      </x:c>
      <x:c r="M285" s="8" t="str">
        <x:v>สถานที่ในจังหวัดเส้นทาง รอตรวจระยะทางและลำดับ</x:v>
      </x:c>
      <x:c r="N285" s="8" t="str">
        <x:v>ยังไม่ยืนยันการเปิดให้บริการปัจจุบัน</x:v>
      </x:c>
      <x:c r="O285" s="40" t="n">
        <x:v>46315</x:v>
      </x:c>
    </x:row>
    <x:row r="286" ht="38" customHeight="1">
      <x:c r="A286" s="9" t="n">
        <x:v>278</x:v>
      </x:c>
      <x:c r="B286" s="8" t="str">
        <x:v>ข้าว-ยำ ทำถึง</x:v>
      </x:c>
      <x:c r="C286" s="8" t="str">
        <x:v>ชลบุรี</x:v>
      </x:c>
      <x:c r="D286" s="8" t="str">
        <x:v>พร้อมขาย</x:v>
      </x:c>
      <x:c r="E286" s="8" t="str">
        <x:v>ร้านอาหารและคาเฟ่</x:v>
      </x:c>
      <x:c r="F286" s="38" t="n">
        <x:v>46316</x:v>
      </x:c>
      <x:c r="G286" s="8" t="str">
        <x:v>TMF-112</x:v>
      </x:c>
      <x:c r="H286" s="39" t="str">
        <x:v>06</x:v>
      </x:c>
      <x:c r="I286" s="8" t="str">
        <x:v>Eastern Seaside Delight</x:v>
      </x:c>
      <x:c r="J286" s="8" t="str">
        <x:v>1</x:v>
      </x:c>
      <x:c r="K286" s="8" t="str">
        <x:v>ร้านอาหาร</x:v>
      </x:c>
      <x:c r="L286" s="8" t="str">
        <x:f>INDEX('ประเมินเกณฑ์'!$AE$9:$AE$608,MATCH(G286,'ประเมินเกณฑ์'!$A$9:$A$608,0))</x:f>
        <x:v>รอประเมิน</x:v>
      </x:c>
      <x:c r="M286" s="8" t="str">
        <x:v>จุดในเอกสารเส้นทาง</x:v>
      </x:c>
      <x:c r="N286" s="8" t="str">
        <x:v>ยังไม่ยืนยันการเปิดให้บริการปัจจุบัน</x:v>
      </x:c>
      <x:c r="O286" s="40" t="n">
        <x:v>46315</x:v>
      </x:c>
    </x:row>
    <x:row r="287" ht="38" customHeight="1">
      <x:c r="A287" s="9" t="n">
        <x:v>279</x:v>
      </x:c>
      <x:c r="B287" s="8" t="str">
        <x:v>Health Land Pattaya</x:v>
      </x:c>
      <x:c r="C287" s="8" t="str">
        <x:v>ชลบุรี</x:v>
      </x:c>
      <x:c r="D287" s="8" t="str">
        <x:v>มีศักยภาพ แต่ต้องพัฒนามาตรฐาน</x:v>
      </x:c>
      <x:c r="E287" s="8" t="str">
        <x:v>สถานประกอบการเพื่อสุขภาพและเวลเนส</x:v>
      </x:c>
      <x:c r="F287" s="38" t="n">
        <x:v>46316</x:v>
      </x:c>
      <x:c r="G287" s="8" t="str">
        <x:v>R26-282</x:v>
      </x:c>
      <x:c r="H287" s="39" t="str">
        <x:v>06</x:v>
      </x:c>
      <x:c r="I287" s="8" t="str">
        <x:v>Eastern Seaside Delight</x:v>
      </x:c>
      <x:c r="J287" s="8" t="str">
        <x:v>ตัวเลือกเสริม</x:v>
      </x:c>
      <x:c r="K287" s="8" t="str">
        <x:v>เวลเนส</x:v>
      </x:c>
      <x:c r="L287" s="8" t="str">
        <x:f>INDEX('ประเมินเกณฑ์'!$AE$9:$AE$608,MATCH(G287,'ประเมินเกณฑ์'!$A$9:$A$608,0))</x:f>
        <x:v>รอประเมิน</x:v>
      </x:c>
      <x:c r="M287" s="8" t="str">
        <x:v>สถานที่ในจังหวัดเส้นทาง รอตรวจระยะทางและลำดับ</x:v>
      </x:c>
      <x:c r="N287" s="8" t="str">
        <x:v>ยังไม่ยืนยันการเปิดให้บริการปัจจุบัน</x:v>
      </x:c>
      <x:c r="O287" s="40" t="n">
        <x:v>46316</x:v>
      </x:c>
    </x:row>
    <x:row r="288" ht="38" customHeight="1">
      <x:c r="A288" s="9" t="n">
        <x:v>280</x:v>
      </x:c>
      <x:c r="B288" s="8" t="str">
        <x:v>Let's Relax Onsen and Spa Pattaya</x:v>
      </x:c>
      <x:c r="C288" s="8" t="str">
        <x:v>ชลบุรี</x:v>
      </x:c>
      <x:c r="D288" s="8" t="str">
        <x:v>มีศักยภาพ แต่ต้องพัฒนามาตรฐาน</x:v>
      </x:c>
      <x:c r="E288" s="8" t="str">
        <x:v>สถานประกอบการเพื่อสุขภาพและเวลเนส</x:v>
      </x:c>
      <x:c r="F288" s="38" t="n">
        <x:v>46316</x:v>
      </x:c>
      <x:c r="G288" s="8" t="str">
        <x:v>R26-283</x:v>
      </x:c>
      <x:c r="H288" s="39" t="str">
        <x:v>06</x:v>
      </x:c>
      <x:c r="I288" s="8" t="str">
        <x:v>Eastern Seaside Delight</x:v>
      </x:c>
      <x:c r="J288" s="8" t="str">
        <x:v>ตัวเลือกเสริม</x:v>
      </x:c>
      <x:c r="K288" s="8" t="str">
        <x:v>เวลเนส</x:v>
      </x:c>
      <x:c r="L288" s="8" t="str">
        <x:f>INDEX('ประเมินเกณฑ์'!$AE$9:$AE$608,MATCH(G288,'ประเมินเกณฑ์'!$A$9:$A$608,0))</x:f>
        <x:v>รอประเมิน</x:v>
      </x:c>
      <x:c r="M288" s="8" t="str">
        <x:v>สถานที่ในจังหวัดเส้นทาง รอตรวจระยะทางและลำดับ</x:v>
      </x:c>
      <x:c r="N288" s="8" t="str">
        <x:v>ยังไม่ยืนยันการเปิดให้บริการปัจจุบัน</x:v>
      </x:c>
      <x:c r="O288" s="40" t="n">
        <x:v>46316</x:v>
      </x:c>
    </x:row>
    <x:row r="289" ht="38" customHeight="1">
      <x:c r="A289" s="9" t="n">
        <x:v>281</x:v>
      </x:c>
      <x:c r="B289" s="8" t="str">
        <x:v>Central Pattaya</x:v>
      </x:c>
      <x:c r="C289" s="8" t="str">
        <x:v>ชลบุรี</x:v>
      </x:c>
      <x:c r="D289" s="8" t="str">
        <x:v>มีศักยภาพ แต่ต้องพัฒนามาตรฐาน</x:v>
      </x:c>
      <x:c r="E289" s="8" t="str">
        <x:v>ศูนย์การค้า</x:v>
      </x:c>
      <x:c r="F289" s="38" t="n">
        <x:v>46316</x:v>
      </x:c>
      <x:c r="G289" s="8" t="str">
        <x:v>R26-264</x:v>
      </x:c>
      <x:c r="H289" s="39" t="str">
        <x:v>06</x:v>
      </x:c>
      <x:c r="I289" s="8" t="str">
        <x:v>Eastern Seaside Delight</x:v>
      </x:c>
      <x:c r="J289" s="8" t="str">
        <x:v>ตัวเลือกเสริม</x:v>
      </x:c>
      <x:c r="K289" s="8" t="str">
        <x:v>การค้า</x:v>
      </x:c>
      <x:c r="L289" s="8" t="str">
        <x:f>INDEX('ประเมินเกณฑ์'!$AE$9:$AE$608,MATCH(G289,'ประเมินเกณฑ์'!$A$9:$A$608,0))</x:f>
        <x:v>รอประเมิน</x:v>
      </x:c>
      <x:c r="M289" s="8" t="str">
        <x:v>สถานที่ในจังหวัดเส้นทาง รอตรวจระยะทางและลำดับ</x:v>
      </x:c>
      <x:c r="N289" s="8" t="str">
        <x:v>ยังไม่ยืนยันการเปิดให้บริการปัจจุบัน</x:v>
      </x:c>
      <x:c r="O289" s="40" t="n">
        <x:v>46316</x:v>
      </x:c>
    </x:row>
    <x:row r="290" ht="38" customHeight="1">
      <x:c r="A290" s="9" t="n">
        <x:v>282</x:v>
      </x:c>
      <x:c r="B290" s="8" t="str">
        <x:v>Terminal 21 Pattaya</x:v>
      </x:c>
      <x:c r="C290" s="8" t="str">
        <x:v>ชลบุรี</x:v>
      </x:c>
      <x:c r="D290" s="8" t="str">
        <x:v>มีศักยภาพ แต่ต้องพัฒนามาตรฐาน</x:v>
      </x:c>
      <x:c r="E290" s="8" t="str">
        <x:v>ศูนย์การค้า</x:v>
      </x:c>
      <x:c r="F290" s="38" t="n">
        <x:v>46316</x:v>
      </x:c>
      <x:c r="G290" s="8" t="str">
        <x:v>R26-265</x:v>
      </x:c>
      <x:c r="H290" s="39" t="str">
        <x:v>06</x:v>
      </x:c>
      <x:c r="I290" s="8" t="str">
        <x:v>Eastern Seaside Delight</x:v>
      </x:c>
      <x:c r="J290" s="8" t="str">
        <x:v>ตัวเลือกเสริม</x:v>
      </x:c>
      <x:c r="K290" s="8" t="str">
        <x:v>การค้า</x:v>
      </x:c>
      <x:c r="L290" s="8" t="str">
        <x:f>INDEX('ประเมินเกณฑ์'!$AE$9:$AE$608,MATCH(G290,'ประเมินเกณฑ์'!$A$9:$A$608,0))</x:f>
        <x:v>รอประเมิน</x:v>
      </x:c>
      <x:c r="M290" s="8" t="str">
        <x:v>สถานที่ในจังหวัดเส้นทาง รอตรวจระยะทางและลำดับ</x:v>
      </x:c>
      <x:c r="N290" s="8" t="str">
        <x:v>ยังไม่ยืนยันการเปิดให้บริการปัจจุบัน</x:v>
      </x:c>
      <x:c r="O290" s="40" t="n">
        <x:v>46316</x:v>
      </x:c>
    </x:row>
    <x:row r="291" ht="38" customHeight="1">
      <x:c r="A291" s="9" t="n">
        <x:v>283</x:v>
      </x:c>
      <x:c r="B291" s="8" t="str">
        <x:v>มัสยิดญามีอุ้ลอิสลาม</x:v>
      </x:c>
      <x:c r="C291" s="8" t="str">
        <x:v>ชลบุรี</x:v>
      </x:c>
      <x:c r="D291" s="8" t="str">
        <x:v>พัฒนาเพื่อพร้อมขาย</x:v>
      </x:c>
      <x:c r="E291" s="8" t="str">
        <x:v>แหล่งท่องเที่ยวทางประวัติศาสตร์และวัฒนธรรม</x:v>
      </x:c>
      <x:c r="F291" s="38" t="n">
        <x:v>46316</x:v>
      </x:c>
      <x:c r="G291" s="8" t="str">
        <x:v>TMF-331</x:v>
      </x:c>
      <x:c r="H291" s="39" t="str">
        <x:v>06</x:v>
      </x:c>
      <x:c r="I291" s="8" t="str">
        <x:v>Eastern Seaside Delight</x:v>
      </x:c>
      <x:c r="J291" s="8" t="str">
        <x:v>ตัวเลือกเสริม</x:v>
      </x:c>
      <x:c r="K291" s="8" t="str">
        <x:v>มัสยิด</x:v>
      </x:c>
      <x:c r="L291" s="8" t="str">
        <x:f>INDEX('ประเมินเกณฑ์'!$AE$9:$AE$608,MATCH(G291,'ประเมินเกณฑ์'!$A$9:$A$608,0))</x:f>
        <x:v>รอประเมิน</x:v>
      </x:c>
      <x:c r="M291" s="8" t="str">
        <x:v>สถานที่ในจังหวัดเส้นทาง รอตรวจระยะทางและลำดับ</x:v>
      </x:c>
      <x:c r="N291" s="8" t="str">
        <x:v>ยังไม่ยืนยันการเปิดให้บริการปัจจุบัน</x:v>
      </x:c>
      <x:c r="O291" s="40" t="n">
        <x:v>46315</x:v>
      </x:c>
    </x:row>
    <x:row r="292" ht="38" customHeight="1">
      <x:c r="A292" s="9" t="n">
        <x:v>284</x:v>
      </x:c>
      <x:c r="B292" s="8" t="str">
        <x:v>มัสยิดดารุสซิดดีกีน</x:v>
      </x:c>
      <x:c r="C292" s="8" t="str">
        <x:v>ชลบุรี</x:v>
      </x:c>
      <x:c r="D292" s="8" t="str">
        <x:v>พัฒนาเพื่อพร้อมขาย</x:v>
      </x:c>
      <x:c r="E292" s="8" t="str">
        <x:v>แหล่งท่องเที่ยวทางประวัติศาสตร์และวัฒนธรรม</x:v>
      </x:c>
      <x:c r="F292" s="38" t="n">
        <x:v>46316</x:v>
      </x:c>
      <x:c r="G292" s="8" t="str">
        <x:v>TMF-332</x:v>
      </x:c>
      <x:c r="H292" s="39" t="str">
        <x:v>06</x:v>
      </x:c>
      <x:c r="I292" s="8" t="str">
        <x:v>Eastern Seaside Delight</x:v>
      </x:c>
      <x:c r="J292" s="8" t="str">
        <x:v>ตัวเลือกเสริม</x:v>
      </x:c>
      <x:c r="K292" s="8" t="str">
        <x:v>มัสยิด</x:v>
      </x:c>
      <x:c r="L292" s="8" t="str">
        <x:f>INDEX('ประเมินเกณฑ์'!$AE$9:$AE$608,MATCH(G292,'ประเมินเกณฑ์'!$A$9:$A$608,0))</x:f>
        <x:v>รอประเมิน</x:v>
      </x:c>
      <x:c r="M292" s="8" t="str">
        <x:v>สถานที่ในจังหวัดเส้นทาง รอตรวจระยะทางและลำดับ</x:v>
      </x:c>
      <x:c r="N292" s="8" t="str">
        <x:v>ยังไม่ยืนยันการเปิดให้บริการปัจจุบัน</x:v>
      </x:c>
      <x:c r="O292" s="40" t="n">
        <x:v>46315</x:v>
      </x:c>
    </x:row>
    <x:row r="293" ht="38" customHeight="1">
      <x:c r="A293" s="9" t="n">
        <x:v>285</x:v>
      </x:c>
      <x:c r="B293" s="8" t="str">
        <x:v>มัสยิดดารุ้ลมู่ฮายีรีน</x:v>
      </x:c>
      <x:c r="C293" s="8" t="str">
        <x:v>ชลบุรี</x:v>
      </x:c>
      <x:c r="D293" s="8" t="str">
        <x:v>พัฒนาเพื่อพร้อมขาย</x:v>
      </x:c>
      <x:c r="E293" s="8" t="str">
        <x:v>แหล่งท่องเที่ยวทางประวัติศาสตร์และวัฒนธรรม</x:v>
      </x:c>
      <x:c r="F293" s="38" t="n">
        <x:v>46316</x:v>
      </x:c>
      <x:c r="G293" s="8" t="str">
        <x:v>TMF-333</x:v>
      </x:c>
      <x:c r="H293" s="39" t="str">
        <x:v>06</x:v>
      </x:c>
      <x:c r="I293" s="8" t="str">
        <x:v>Eastern Seaside Delight</x:v>
      </x:c>
      <x:c r="J293" s="8" t="str">
        <x:v>ตัวเลือกเสริม</x:v>
      </x:c>
      <x:c r="K293" s="8" t="str">
        <x:v>มัสยิด</x:v>
      </x:c>
      <x:c r="L293" s="8" t="str">
        <x:f>INDEX('ประเมินเกณฑ์'!$AE$9:$AE$608,MATCH(G293,'ประเมินเกณฑ์'!$A$9:$A$608,0))</x:f>
        <x:v>รอประเมิน</x:v>
      </x:c>
      <x:c r="M293" s="8" t="str">
        <x:v>สถานที่ในจังหวัดเส้นทาง รอตรวจระยะทางและลำดับ</x:v>
      </x:c>
      <x:c r="N293" s="8" t="str">
        <x:v>ยังไม่ยืนยันการเปิดให้บริการปัจจุบัน</x:v>
      </x:c>
      <x:c r="O293" s="40" t="n">
        <x:v>46315</x:v>
      </x:c>
    </x:row>
    <x:row r="294" ht="38" customHeight="1">
      <x:c r="A294" s="9" t="n">
        <x:v>286</x:v>
      </x:c>
      <x:c r="B294" s="8" t="str">
        <x:v>มัสยิดดารุ้ลยันนะห์</x:v>
      </x:c>
      <x:c r="C294" s="8" t="str">
        <x:v>ชลบุรี</x:v>
      </x:c>
      <x:c r="D294" s="8" t="str">
        <x:v>พัฒนาเพื่อพร้อมขาย</x:v>
      </x:c>
      <x:c r="E294" s="8" t="str">
        <x:v>แหล่งท่องเที่ยวทางประวัติศาสตร์และวัฒนธรรม</x:v>
      </x:c>
      <x:c r="F294" s="38" t="n">
        <x:v>46316</x:v>
      </x:c>
      <x:c r="G294" s="8" t="str">
        <x:v>TMF-334</x:v>
      </x:c>
      <x:c r="H294" s="39" t="str">
        <x:v>06</x:v>
      </x:c>
      <x:c r="I294" s="8" t="str">
        <x:v>Eastern Seaside Delight</x:v>
      </x:c>
      <x:c r="J294" s="8" t="str">
        <x:v>ตัวเลือกเสริม</x:v>
      </x:c>
      <x:c r="K294" s="8" t="str">
        <x:v>มัสยิด</x:v>
      </x:c>
      <x:c r="L294" s="8" t="str">
        <x:f>INDEX('ประเมินเกณฑ์'!$AE$9:$AE$608,MATCH(G294,'ประเมินเกณฑ์'!$A$9:$A$608,0))</x:f>
        <x:v>รอประเมิน</x:v>
      </x:c>
      <x:c r="M294" s="8" t="str">
        <x:v>สถานที่ในจังหวัดเส้นทาง รอตรวจระยะทางและลำดับ</x:v>
      </x:c>
      <x:c r="N294" s="8" t="str">
        <x:v>ยังไม่ยืนยันการเปิดให้บริการปัจจุบัน</x:v>
      </x:c>
      <x:c r="O294" s="40" t="n">
        <x:v>46315</x:v>
      </x:c>
    </x:row>
    <x:row r="295" ht="38" customHeight="1">
      <x:c r="A295" s="9" t="n">
        <x:v>287</x:v>
      </x:c>
      <x:c r="B295" s="8" t="str">
        <x:v>มัสยิดดารุ้ลอิบาดะฮ์ (พัทยากลาง)</x:v>
      </x:c>
      <x:c r="C295" s="8" t="str">
        <x:v>ชลบุรี</x:v>
      </x:c>
      <x:c r="D295" s="8" t="str">
        <x:v>พัฒนาเพื่อพร้อมขาย</x:v>
      </x:c>
      <x:c r="E295" s="8" t="str">
        <x:v>แหล่งท่องเที่ยวทางประวัติศาสตร์และวัฒนธรรม</x:v>
      </x:c>
      <x:c r="F295" s="38" t="n">
        <x:v>46316</x:v>
      </x:c>
      <x:c r="G295" s="8" t="str">
        <x:v>TMF-335</x:v>
      </x:c>
      <x:c r="H295" s="39" t="str">
        <x:v>06</x:v>
      </x:c>
      <x:c r="I295" s="8" t="str">
        <x:v>Eastern Seaside Delight</x:v>
      </x:c>
      <x:c r="J295" s="8" t="str">
        <x:v>ตัวเลือกเสริม</x:v>
      </x:c>
      <x:c r="K295" s="8" t="str">
        <x:v>มัสยิด</x:v>
      </x:c>
      <x:c r="L295" s="8" t="str">
        <x:f>INDEX('ประเมินเกณฑ์'!$AE$9:$AE$608,MATCH(G295,'ประเมินเกณฑ์'!$A$9:$A$608,0))</x:f>
        <x:v>รอประเมิน</x:v>
      </x:c>
      <x:c r="M295" s="8" t="str">
        <x:v>สถานที่ในจังหวัดเส้นทาง รอตรวจระยะทางและลำดับ</x:v>
      </x:c>
      <x:c r="N295" s="8" t="str">
        <x:v>ยังไม่ยืนยันการเปิดให้บริการปัจจุบัน</x:v>
      </x:c>
      <x:c r="O295" s="40" t="n">
        <x:v>46315</x:v>
      </x:c>
    </x:row>
    <x:row r="296" ht="38" customHeight="1">
      <x:c r="A296" s="9" t="n">
        <x:v>288</x:v>
      </x:c>
      <x:c r="B296" s="8" t="str">
        <x:v>มัสยิดตออะติ้ลละฮ์ (พัทยาใต้)</x:v>
      </x:c>
      <x:c r="C296" s="8" t="str">
        <x:v>ชลบุรี</x:v>
      </x:c>
      <x:c r="D296" s="8" t="str">
        <x:v>พัฒนาเพื่อพร้อมขาย</x:v>
      </x:c>
      <x:c r="E296" s="8" t="str">
        <x:v>แหล่งท่องเที่ยวทางประวัติศาสตร์และวัฒนธรรม</x:v>
      </x:c>
      <x:c r="F296" s="38" t="n">
        <x:v>46316</x:v>
      </x:c>
      <x:c r="G296" s="8" t="str">
        <x:v>TMF-336</x:v>
      </x:c>
      <x:c r="H296" s="39" t="str">
        <x:v>06</x:v>
      </x:c>
      <x:c r="I296" s="8" t="str">
        <x:v>Eastern Seaside Delight</x:v>
      </x:c>
      <x:c r="J296" s="8" t="str">
        <x:v>ตัวเลือกเสริม</x:v>
      </x:c>
      <x:c r="K296" s="8" t="str">
        <x:v>มัสยิด</x:v>
      </x:c>
      <x:c r="L296" s="8" t="str">
        <x:f>INDEX('ประเมินเกณฑ์'!$AE$9:$AE$608,MATCH(G296,'ประเมินเกณฑ์'!$A$9:$A$608,0))</x:f>
        <x:v>รอประเมิน</x:v>
      </x:c>
      <x:c r="M296" s="8" t="str">
        <x:v>สถานที่ในจังหวัดเส้นทาง รอตรวจระยะทางและลำดับ</x:v>
      </x:c>
      <x:c r="N296" s="8" t="str">
        <x:v>ยังไม่ยืนยันการเปิดให้บริการปัจจุบัน</x:v>
      </x:c>
      <x:c r="O296" s="40" t="n">
        <x:v>46315</x:v>
      </x:c>
    </x:row>
    <x:row r="297" ht="38" customHeight="1">
      <x:c r="A297" s="9" t="n">
        <x:v>289</x:v>
      </x:c>
      <x:c r="B297" s="8" t="str">
        <x:v>มัสยิดนูรุลฮิดายะห์</x:v>
      </x:c>
      <x:c r="C297" s="8" t="str">
        <x:v>ชลบุรี</x:v>
      </x:c>
      <x:c r="D297" s="8" t="str">
        <x:v>พัฒนาเพื่อพร้อมขาย</x:v>
      </x:c>
      <x:c r="E297" s="8" t="str">
        <x:v>แหล่งท่องเที่ยวทางประวัติศาสตร์และวัฒนธรรม</x:v>
      </x:c>
      <x:c r="F297" s="38" t="n">
        <x:v>46316</x:v>
      </x:c>
      <x:c r="G297" s="8" t="str">
        <x:v>TMF-338</x:v>
      </x:c>
      <x:c r="H297" s="39" t="str">
        <x:v>06</x:v>
      </x:c>
      <x:c r="I297" s="8" t="str">
        <x:v>Eastern Seaside Delight</x:v>
      </x:c>
      <x:c r="J297" s="8" t="str">
        <x:v>ตัวเลือกเสริม</x:v>
      </x:c>
      <x:c r="K297" s="8" t="str">
        <x:v>มัสยิด</x:v>
      </x:c>
      <x:c r="L297" s="8" t="str">
        <x:f>INDEX('ประเมินเกณฑ์'!$AE$9:$AE$608,MATCH(G297,'ประเมินเกณฑ์'!$A$9:$A$608,0))</x:f>
        <x:v>รอประเมิน</x:v>
      </x:c>
      <x:c r="M297" s="8" t="str">
        <x:v>สถานที่ในจังหวัดเส้นทาง รอตรวจระยะทางและลำดับ</x:v>
      </x:c>
      <x:c r="N297" s="8" t="str">
        <x:v>ยังไม่ยืนยันการเปิดให้บริการปัจจุบัน</x:v>
      </x:c>
      <x:c r="O297" s="40" t="n">
        <x:v>46315</x:v>
      </x:c>
    </x:row>
    <x:row r="298" ht="38" customHeight="1">
      <x:c r="A298" s="9" t="n">
        <x:v>290</x:v>
      </x:c>
      <x:c r="B298" s="8" t="str">
        <x:v>มัสยิดมิฟตาฮุ้นยีนาน</x:v>
      </x:c>
      <x:c r="C298" s="8" t="str">
        <x:v>ชลบุรี</x:v>
      </x:c>
      <x:c r="D298" s="8" t="str">
        <x:v>พัฒนาเพื่อพร้อมขาย</x:v>
      </x:c>
      <x:c r="E298" s="8" t="str">
        <x:v>แหล่งท่องเที่ยวทางประวัติศาสตร์และวัฒนธรรม</x:v>
      </x:c>
      <x:c r="F298" s="38" t="n">
        <x:v>46316</x:v>
      </x:c>
      <x:c r="G298" s="8" t="str">
        <x:v>TMF-339</x:v>
      </x:c>
      <x:c r="H298" s="39" t="str">
        <x:v>06</x:v>
      </x:c>
      <x:c r="I298" s="8" t="str">
        <x:v>Eastern Seaside Delight</x:v>
      </x:c>
      <x:c r="J298" s="8" t="str">
        <x:v>ตัวเลือกเสริม</x:v>
      </x:c>
      <x:c r="K298" s="8" t="str">
        <x:v>มัสยิด</x:v>
      </x:c>
      <x:c r="L298" s="8" t="str">
        <x:f>INDEX('ประเมินเกณฑ์'!$AE$9:$AE$608,MATCH(G298,'ประเมินเกณฑ์'!$A$9:$A$608,0))</x:f>
        <x:v>รอประเมิน</x:v>
      </x:c>
      <x:c r="M298" s="8" t="str">
        <x:v>สถานที่ในจังหวัดเส้นทาง รอตรวจระยะทางและลำดับ</x:v>
      </x:c>
      <x:c r="N298" s="8" t="str">
        <x:v>ยังไม่ยืนยันการเปิดให้บริการปัจจุบัน</x:v>
      </x:c>
      <x:c r="O298" s="40" t="n">
        <x:v>46315</x:v>
      </x:c>
    </x:row>
    <x:row r="299" ht="38" customHeight="1">
      <x:c r="A299" s="9" t="n">
        <x:v>291</x:v>
      </x:c>
      <x:c r="B299" s="8" t="str">
        <x:v>มัสยิดสลาม่าตุลเลาะห์</x:v>
      </x:c>
      <x:c r="C299" s="8" t="str">
        <x:v>ชลบุรี</x:v>
      </x:c>
      <x:c r="D299" s="8" t="str">
        <x:v>พัฒนาเพื่อพร้อมขาย</x:v>
      </x:c>
      <x:c r="E299" s="8" t="str">
        <x:v>แหล่งท่องเที่ยวทางประวัติศาสตร์และวัฒนธรรม</x:v>
      </x:c>
      <x:c r="F299" s="38" t="n">
        <x:v>46316</x:v>
      </x:c>
      <x:c r="G299" s="8" t="str">
        <x:v>TMF-340</x:v>
      </x:c>
      <x:c r="H299" s="39" t="str">
        <x:v>06</x:v>
      </x:c>
      <x:c r="I299" s="8" t="str">
        <x:v>Eastern Seaside Delight</x:v>
      </x:c>
      <x:c r="J299" s="8" t="str">
        <x:v>ตัวเลือกเสริม</x:v>
      </x:c>
      <x:c r="K299" s="8" t="str">
        <x:v>มัสยิด</x:v>
      </x:c>
      <x:c r="L299" s="8" t="str">
        <x:f>INDEX('ประเมินเกณฑ์'!$AE$9:$AE$608,MATCH(G299,'ประเมินเกณฑ์'!$A$9:$A$608,0))</x:f>
        <x:v>รอประเมิน</x:v>
      </x:c>
      <x:c r="M299" s="8" t="str">
        <x:v>สถานที่ในจังหวัดเส้นทาง รอตรวจระยะทางและลำดับ</x:v>
      </x:c>
      <x:c r="N299" s="8" t="str">
        <x:v>ยังไม่ยืนยันการเปิดให้บริการปัจจุบัน</x:v>
      </x:c>
      <x:c r="O299" s="40" t="n">
        <x:v>46315</x:v>
      </x:c>
    </x:row>
    <x:row r="300" ht="38" customHeight="1">
      <x:c r="A300" s="9" t="n">
        <x:v>292</x:v>
      </x:c>
      <x:c r="B300" s="8" t="str">
        <x:v>มัสยิดอัล-อิตติฮาต</x:v>
      </x:c>
      <x:c r="C300" s="8" t="str">
        <x:v>ชลบุรี</x:v>
      </x:c>
      <x:c r="D300" s="8" t="str">
        <x:v>พัฒนาเพื่อพร้อมขาย</x:v>
      </x:c>
      <x:c r="E300" s="8" t="str">
        <x:v>แหล่งท่องเที่ยวทางประวัติศาสตร์และวัฒนธรรม</x:v>
      </x:c>
      <x:c r="F300" s="38" t="n">
        <x:v>46316</x:v>
      </x:c>
      <x:c r="G300" s="8" t="str">
        <x:v>TMF-342</x:v>
      </x:c>
      <x:c r="H300" s="39" t="str">
        <x:v>06</x:v>
      </x:c>
      <x:c r="I300" s="8" t="str">
        <x:v>Eastern Seaside Delight</x:v>
      </x:c>
      <x:c r="J300" s="8" t="str">
        <x:v>ตัวเลือกเสริม</x:v>
      </x:c>
      <x:c r="K300" s="8" t="str">
        <x:v>มัสยิด</x:v>
      </x:c>
      <x:c r="L300" s="8" t="str">
        <x:f>INDEX('ประเมินเกณฑ์'!$AE$9:$AE$608,MATCH(G300,'ประเมินเกณฑ์'!$A$9:$A$608,0))</x:f>
        <x:v>รอประเมิน</x:v>
      </x:c>
      <x:c r="M300" s="8" t="str">
        <x:v>สถานที่ในจังหวัดเส้นทาง รอตรวจระยะทางและลำดับ</x:v>
      </x:c>
      <x:c r="N300" s="8" t="str">
        <x:v>ยังไม่ยืนยันการเปิดให้บริการปัจจุบัน</x:v>
      </x:c>
      <x:c r="O300" s="40" t="n">
        <x:v>46315</x:v>
      </x:c>
    </x:row>
    <x:row r="301" ht="38" customHeight="1">
      <x:c r="A301" s="9" t="n">
        <x:v>293</x:v>
      </x:c>
      <x:c r="B301" s="8" t="str">
        <x:v>มัสยิดอัล-ฮุสนา</x:v>
      </x:c>
      <x:c r="C301" s="8" t="str">
        <x:v>ชลบุรี</x:v>
      </x:c>
      <x:c r="D301" s="8" t="str">
        <x:v>พัฒนาเพื่อพร้อมขาย</x:v>
      </x:c>
      <x:c r="E301" s="8" t="str">
        <x:v>แหล่งท่องเที่ยวทางประวัติศาสตร์และวัฒนธรรม</x:v>
      </x:c>
      <x:c r="F301" s="38" t="n">
        <x:v>46316</x:v>
      </x:c>
      <x:c r="G301" s="8" t="str">
        <x:v>TMF-343</x:v>
      </x:c>
      <x:c r="H301" s="39" t="str">
        <x:v>06</x:v>
      </x:c>
      <x:c r="I301" s="8" t="str">
        <x:v>Eastern Seaside Delight</x:v>
      </x:c>
      <x:c r="J301" s="8" t="str">
        <x:v>ตัวเลือกเสริม</x:v>
      </x:c>
      <x:c r="K301" s="8" t="str">
        <x:v>มัสยิด</x:v>
      </x:c>
      <x:c r="L301" s="8" t="str">
        <x:f>INDEX('ประเมินเกณฑ์'!$AE$9:$AE$608,MATCH(G301,'ประเมินเกณฑ์'!$A$9:$A$608,0))</x:f>
        <x:v>รอประเมิน</x:v>
      </x:c>
      <x:c r="M301" s="8" t="str">
        <x:v>สถานที่ในจังหวัดเส้นทาง รอตรวจระยะทางและลำดับ</x:v>
      </x:c>
      <x:c r="N301" s="8" t="str">
        <x:v>ยังไม่ยืนยันการเปิดให้บริการปัจจุบัน</x:v>
      </x:c>
      <x:c r="O301" s="40" t="n">
        <x:v>46315</x:v>
      </x:c>
    </x:row>
    <x:row r="302" ht="38" customHeight="1">
      <x:c r="A302" s="9" t="n">
        <x:v>294</x:v>
      </x:c>
      <x:c r="B302" s="8" t="str">
        <x:v>มัสยิดอาลียิ้ลกามี่ลัยน์</x:v>
      </x:c>
      <x:c r="C302" s="8" t="str">
        <x:v>ชลบุรี</x:v>
      </x:c>
      <x:c r="D302" s="8" t="str">
        <x:v>พัฒนาเพื่อพร้อมขาย</x:v>
      </x:c>
      <x:c r="E302" s="8" t="str">
        <x:v>แหล่งท่องเที่ยวทางประวัติศาสตร์และวัฒนธรรม</x:v>
      </x:c>
      <x:c r="F302" s="38" t="n">
        <x:v>46316</x:v>
      </x:c>
      <x:c r="G302" s="8" t="str">
        <x:v>TMF-345</x:v>
      </x:c>
      <x:c r="H302" s="39" t="str">
        <x:v>06</x:v>
      </x:c>
      <x:c r="I302" s="8" t="str">
        <x:v>Eastern Seaside Delight</x:v>
      </x:c>
      <x:c r="J302" s="8" t="str">
        <x:v>ตัวเลือกเสริม</x:v>
      </x:c>
      <x:c r="K302" s="8" t="str">
        <x:v>มัสยิด</x:v>
      </x:c>
      <x:c r="L302" s="8" t="str">
        <x:f>INDEX('ประเมินเกณฑ์'!$AE$9:$AE$608,MATCH(G302,'ประเมินเกณฑ์'!$A$9:$A$608,0))</x:f>
        <x:v>รอประเมิน</x:v>
      </x:c>
      <x:c r="M302" s="8" t="str">
        <x:v>สถานที่ในจังหวัดเส้นทาง รอตรวจระยะทางและลำดับ</x:v>
      </x:c>
      <x:c r="N302" s="8" t="str">
        <x:v>ยังไม่ยืนยันการเปิดให้บริการปัจจุบัน</x:v>
      </x:c>
      <x:c r="O302" s="40" t="n">
        <x:v>46315</x:v>
      </x:c>
    </x:row>
    <x:row r="303" ht="38" customHeight="1">
      <x:c r="A303" s="9" t="n">
        <x:v>295</x:v>
      </x:c>
      <x:c r="B303" s="8" t="str">
        <x:v>มัสยิดฮารูณมุสตอฟา</x:v>
      </x:c>
      <x:c r="C303" s="8" t="str">
        <x:v>ชลบุรี</x:v>
      </x:c>
      <x:c r="D303" s="8" t="str">
        <x:v>พัฒนาเพื่อพร้อมขาย</x:v>
      </x:c>
      <x:c r="E303" s="8" t="str">
        <x:v>แหล่งท่องเที่ยวทางประวัติศาสตร์และวัฒนธรรม</x:v>
      </x:c>
      <x:c r="F303" s="38" t="n">
        <x:v>46316</x:v>
      </x:c>
      <x:c r="G303" s="8" t="str">
        <x:v>TMF-346</x:v>
      </x:c>
      <x:c r="H303" s="39" t="str">
        <x:v>06</x:v>
      </x:c>
      <x:c r="I303" s="8" t="str">
        <x:v>Eastern Seaside Delight</x:v>
      </x:c>
      <x:c r="J303" s="8" t="str">
        <x:v>ตัวเลือกเสริม</x:v>
      </x:c>
      <x:c r="K303" s="8" t="str">
        <x:v>มัสยิด</x:v>
      </x:c>
      <x:c r="L303" s="8" t="str">
        <x:f>INDEX('ประเมินเกณฑ์'!$AE$9:$AE$608,MATCH(G303,'ประเมินเกณฑ์'!$A$9:$A$608,0))</x:f>
        <x:v>รอประเมิน</x:v>
      </x:c>
      <x:c r="M303" s="8" t="str">
        <x:v>สถานที่ในจังหวัดเส้นทาง รอตรวจระยะทางและลำดับ</x:v>
      </x:c>
      <x:c r="N303" s="8" t="str">
        <x:v>ยังไม่ยืนยันการเปิดให้บริการปัจจุบัน</x:v>
      </x:c>
      <x:c r="O303" s="40" t="n">
        <x:v>46315</x:v>
      </x:c>
    </x:row>
    <x:row r="304" ht="38" customHeight="1">
      <x:c r="A304" s="9" t="n">
        <x:v>296</x:v>
      </x:c>
      <x:c r="B304" s="8" t="str">
        <x:v>มัสยิดฮิดาย่าตุสซาลีกีน</x:v>
      </x:c>
      <x:c r="C304" s="8" t="str">
        <x:v>ชลบุรี</x:v>
      </x:c>
      <x:c r="D304" s="8" t="str">
        <x:v>พัฒนาเพื่อพร้อมขาย</x:v>
      </x:c>
      <x:c r="E304" s="8" t="str">
        <x:v>แหล่งท่องเที่ยวทางประวัติศาสตร์และวัฒนธรรม</x:v>
      </x:c>
      <x:c r="F304" s="38" t="n">
        <x:v>46316</x:v>
      </x:c>
      <x:c r="G304" s="8" t="str">
        <x:v>TMF-347</x:v>
      </x:c>
      <x:c r="H304" s="39" t="str">
        <x:v>06</x:v>
      </x:c>
      <x:c r="I304" s="8" t="str">
        <x:v>Eastern Seaside Delight</x:v>
      </x:c>
      <x:c r="J304" s="8" t="str">
        <x:v>ตัวเลือกเสริม</x:v>
      </x:c>
      <x:c r="K304" s="8" t="str">
        <x:v>มัสยิด</x:v>
      </x:c>
      <x:c r="L304" s="8" t="str">
        <x:f>INDEX('ประเมินเกณฑ์'!$AE$9:$AE$608,MATCH(G304,'ประเมินเกณฑ์'!$A$9:$A$608,0))</x:f>
        <x:v>รอประเมิน</x:v>
      </x:c>
      <x:c r="M304" s="8" t="str">
        <x:v>สถานที่ในจังหวัดเส้นทาง รอตรวจระยะทางและลำดับ</x:v>
      </x:c>
      <x:c r="N304" s="8" t="str">
        <x:v>ยังไม่ยืนยันการเปิดให้บริการปัจจุบัน</x:v>
      </x:c>
      <x:c r="O304" s="40" t="n">
        <x:v>46315</x:v>
      </x:c>
    </x:row>
    <x:row r="305" ht="38" customHeight="1">
      <x:c r="A305" s="9" t="n">
        <x:v>297</x:v>
      </x:c>
      <x:c r="B305" s="8" t="str">
        <x:v>มัสยิดแซ็คมูฮำหมัดอาลี</x:v>
      </x:c>
      <x:c r="C305" s="8" t="str">
        <x:v>ชลบุรี</x:v>
      </x:c>
      <x:c r="D305" s="8" t="str">
        <x:v>พัฒนาเพื่อพร้อมขาย</x:v>
      </x:c>
      <x:c r="E305" s="8" t="str">
        <x:v>แหล่งท่องเที่ยวทางประวัติศาสตร์และวัฒนธรรม</x:v>
      </x:c>
      <x:c r="F305" s="38" t="n">
        <x:v>46316</x:v>
      </x:c>
      <x:c r="G305" s="8" t="str">
        <x:v>TMF-348</x:v>
      </x:c>
      <x:c r="H305" s="39" t="str">
        <x:v>06</x:v>
      </x:c>
      <x:c r="I305" s="8" t="str">
        <x:v>Eastern Seaside Delight</x:v>
      </x:c>
      <x:c r="J305" s="8" t="str">
        <x:v>ตัวเลือกเสริม</x:v>
      </x:c>
      <x:c r="K305" s="8" t="str">
        <x:v>มัสยิด</x:v>
      </x:c>
      <x:c r="L305" s="8" t="str">
        <x:f>INDEX('ประเมินเกณฑ์'!$AE$9:$AE$608,MATCH(G305,'ประเมินเกณฑ์'!$A$9:$A$608,0))</x:f>
        <x:v>รอประเมิน</x:v>
      </x:c>
      <x:c r="M305" s="8" t="str">
        <x:v>สถานที่ในจังหวัดเส้นทาง รอตรวจระยะทางและลำดับ</x:v>
      </x:c>
      <x:c r="N305" s="8" t="str">
        <x:v>ยังไม่ยืนยันการเปิดให้บริการปัจจุบัน</x:v>
      </x:c>
      <x:c r="O305" s="40" t="n">
        <x:v>46315</x:v>
      </x:c>
    </x:row>
    <x:row r="306" ht="38" customHeight="1">
      <x:c r="A306" s="9" t="n">
        <x:v>298</x:v>
      </x:c>
      <x:c r="B306" s="8" t="str">
        <x:v>Columbia Pictures Aquaverse</x:v>
      </x:c>
      <x:c r="C306" s="8" t="str">
        <x:v>ชลบุรี</x:v>
      </x:c>
      <x:c r="D306" s="8" t="str">
        <x:v>มีศักยภาพ แต่ต้องพัฒนามาตรฐาน</x:v>
      </x:c>
      <x:c r="E306" s="8" t="str">
        <x:v>ศูนย์กิจกรรมและนันทนาการ</x:v>
      </x:c>
      <x:c r="F306" s="38" t="n">
        <x:v>46316</x:v>
      </x:c>
      <x:c r="G306" s="8" t="str">
        <x:v>R26-160</x:v>
      </x:c>
      <x:c r="H306" s="39" t="str">
        <x:v>06</x:v>
      </x:c>
      <x:c r="I306" s="8" t="str">
        <x:v>Eastern Seaside Delight</x:v>
      </x:c>
      <x:c r="J306" s="8" t="str">
        <x:v>ตัวเลือกเสริม</x:v>
      </x:c>
      <x:c r="K306" s="8" t="str">
        <x:v>กิจกรรม</x:v>
      </x:c>
      <x:c r="L306" s="8" t="str">
        <x:f>INDEX('ประเมินเกณฑ์'!$AE$9:$AE$608,MATCH(G306,'ประเมินเกณฑ์'!$A$9:$A$608,0))</x:f>
        <x:v>รอประเมิน</x:v>
      </x:c>
      <x:c r="M306" s="8" t="str">
        <x:v>สถานที่ในจังหวัดเส้นทาง รอตรวจระยะทางและลำดับ</x:v>
      </x:c>
      <x:c r="N306" s="8" t="str">
        <x:v>ยังไม่ยืนยันการเปิดให้บริการปัจจุบัน</x:v>
      </x:c>
      <x:c r="O306" s="40" t="n">
        <x:v>46316</x:v>
      </x:c>
    </x:row>
    <x:row r="307" ht="38" customHeight="1">
      <x:c r="A307" s="9" t="n">
        <x:v>299</x:v>
      </x:c>
      <x:c r="B307" s="8" t="str">
        <x:v>Ramayana Water Park</x:v>
      </x:c>
      <x:c r="C307" s="8" t="str">
        <x:v>ชลบุรี</x:v>
      </x:c>
      <x:c r="D307" s="8" t="str">
        <x:v>มีศักยภาพ แต่ต้องพัฒนามาตรฐาน</x:v>
      </x:c>
      <x:c r="E307" s="8" t="str">
        <x:v>ศูนย์กิจกรรมและนันทนาการ</x:v>
      </x:c>
      <x:c r="F307" s="38" t="n">
        <x:v>46316</x:v>
      </x:c>
      <x:c r="G307" s="8" t="str">
        <x:v>R26-328</x:v>
      </x:c>
      <x:c r="H307" s="39" t="str">
        <x:v>06</x:v>
      </x:c>
      <x:c r="I307" s="8" t="str">
        <x:v>Eastern Seaside Delight</x:v>
      </x:c>
      <x:c r="J307" s="8" t="str">
        <x:v>ตัวเลือกเสริม</x:v>
      </x:c>
      <x:c r="K307" s="8" t="str">
        <x:v>กิจกรรม</x:v>
      </x:c>
      <x:c r="L307" s="8" t="str">
        <x:f>INDEX('ประเมินเกณฑ์'!$AE$9:$AE$608,MATCH(G307,'ประเมินเกณฑ์'!$A$9:$A$608,0))</x:f>
        <x:v>รอประเมิน</x:v>
      </x:c>
      <x:c r="M307" s="8" t="str">
        <x:v>สถานที่ในจังหวัดเส้นทาง รอตรวจระยะทางและลำดับ</x:v>
      </x:c>
      <x:c r="N307" s="8" t="str">
        <x:v>ยังไม่ยืนยันการเปิดให้บริการปัจจุบัน</x:v>
      </x:c>
      <x:c r="O307" s="40" t="n">
        <x:v>46316</x:v>
      </x:c>
    </x:row>
    <x:row r="308" ht="38" customHeight="1">
      <x:c r="A308" s="9" t="n">
        <x:v>300</x:v>
      </x:c>
      <x:c r="B308" s="8" t="str">
        <x:v>Underwater World Pattaya</x:v>
      </x:c>
      <x:c r="C308" s="8" t="str">
        <x:v>ชลบุรี</x:v>
      </x:c>
      <x:c r="D308" s="8" t="str">
        <x:v>มีศักยภาพ แต่ต้องพัฒนามาตรฐาน</x:v>
      </x:c>
      <x:c r="E308" s="8" t="str">
        <x:v>ศูนย์กิจกรรมและนันทนาการ</x:v>
      </x:c>
      <x:c r="F308" s="38" t="n">
        <x:v>46316</x:v>
      </x:c>
      <x:c r="G308" s="8" t="str">
        <x:v>R26-161</x:v>
      </x:c>
      <x:c r="H308" s="39" t="str">
        <x:v>06</x:v>
      </x:c>
      <x:c r="I308" s="8" t="str">
        <x:v>Eastern Seaside Delight</x:v>
      </x:c>
      <x:c r="J308" s="8" t="str">
        <x:v>ตัวเลือกเสริม</x:v>
      </x:c>
      <x:c r="K308" s="8" t="str">
        <x:v>กิจกรรม</x:v>
      </x:c>
      <x:c r="L308" s="8" t="str">
        <x:f>INDEX('ประเมินเกณฑ์'!$AE$9:$AE$608,MATCH(G308,'ประเมินเกณฑ์'!$A$9:$A$608,0))</x:f>
        <x:v>รอประเมิน</x:v>
      </x:c>
      <x:c r="M308" s="8" t="str">
        <x:v>สถานที่ในจังหวัดเส้นทาง รอตรวจระยะทางและลำดับ</x:v>
      </x:c>
      <x:c r="N308" s="8" t="str">
        <x:v>ยังไม่ยืนยันการเปิดให้บริการปัจจุบัน</x:v>
      </x:c>
      <x:c r="O308" s="40" t="n">
        <x:v>46316</x:v>
      </x:c>
    </x:row>
    <x:row r="309" ht="38" customHeight="1">
      <x:c r="A309" s="9" t="n">
        <x:v>301</x:v>
      </x:c>
      <x:c r="B309" s="8" t="str">
        <x:v>ส้มตำกำแพงแตก ระยอง</x:v>
      </x:c>
      <x:c r="C309" s="8" t="str">
        <x:v>ระยอง</x:v>
      </x:c>
      <x:c r="D309" s="8" t="str">
        <x:v>มีศักยภาพ แต่ต้องพัฒนามาตรฐาน</x:v>
      </x:c>
      <x:c r="E309" s="8" t="str">
        <x:v>ร้านอาหารและคาเฟ่</x:v>
      </x:c>
      <x:c r="F309" s="38" t="n">
        <x:v>46316</x:v>
      </x:c>
      <x:c r="G309" s="8" t="str">
        <x:v>R26-062</x:v>
      </x:c>
      <x:c r="H309" s="39" t="str">
        <x:v>06</x:v>
      </x:c>
      <x:c r="I309" s="8" t="str">
        <x:v>Eastern Seaside Delight</x:v>
      </x:c>
      <x:c r="J309" s="8" t="str">
        <x:v>2</x:v>
      </x:c>
      <x:c r="K309" s="8" t="str">
        <x:v>อาหาร</x:v>
      </x:c>
      <x:c r="L309" s="8" t="str">
        <x:f>INDEX('ประเมินเกณฑ์'!$AE$9:$AE$608,MATCH(G309,'ประเมินเกณฑ์'!$A$9:$A$608,0))</x:f>
        <x:v>รอประเมิน</x:v>
      </x:c>
      <x:c r="M309" s="8" t="str">
        <x:v>จุดในเอกสารเส้นทาง</x:v>
      </x:c>
      <x:c r="N309" s="8" t="str">
        <x:v>ยังไม่ยืนยันการเปิดให้บริการปัจจุบัน</x:v>
      </x:c>
      <x:c r="O309" s="40" t="n">
        <x:v>46316</x:v>
      </x:c>
    </x:row>
    <x:row r="310" ht="38" customHeight="1">
      <x:c r="A310" s="9" t="n">
        <x:v>302</x:v>
      </x:c>
      <x:c r="B310" s="8" t="str">
        <x:v>หาดแหลมเจริญ</x:v>
      </x:c>
      <x:c r="C310" s="8" t="str">
        <x:v>ระยอง</x:v>
      </x:c>
      <x:c r="D310" s="8" t="str">
        <x:v>มีศักยภาพ แต่ต้องพัฒนามาตรฐาน</x:v>
      </x:c>
      <x:c r="E310" s="8" t="str">
        <x:v>แหล่งท่องเที่ยวทางธรรมชาติ</x:v>
      </x:c>
      <x:c r="F310" s="38" t="n">
        <x:v>46316</x:v>
      </x:c>
      <x:c r="G310" s="8" t="str">
        <x:v>R26-064</x:v>
      </x:c>
      <x:c r="H310" s="39" t="str">
        <x:v>06</x:v>
      </x:c>
      <x:c r="I310" s="8" t="str">
        <x:v>Eastern Seaside Delight</x:v>
      </x:c>
      <x:c r="J310" s="8" t="str">
        <x:v>2</x:v>
      </x:c>
      <x:c r="K310" s="8" t="str">
        <x:v>ธรรมชาติ</x:v>
      </x:c>
      <x:c r="L310" s="8" t="str">
        <x:f>INDEX('ประเมินเกณฑ์'!$AE$9:$AE$608,MATCH(G310,'ประเมินเกณฑ์'!$A$9:$A$608,0))</x:f>
        <x:v>รอประเมิน</x:v>
      </x:c>
      <x:c r="M310" s="8" t="str">
        <x:v>จุดในเอกสารเส้นทาง</x:v>
      </x:c>
      <x:c r="N310" s="8" t="str">
        <x:v>ยังไม่ยืนยันการเปิดให้บริการปัจจุบัน</x:v>
      </x:c>
      <x:c r="O310" s="40" t="n">
        <x:v>46316</x:v>
      </x:c>
    </x:row>
    <x:row r="311" ht="38" customHeight="1">
      <x:c r="A311" s="9" t="n">
        <x:v>303</x:v>
      </x:c>
      <x:c r="B311" s="8" t="str">
        <x:v>ชุมชนบ้านเพ</x:v>
      </x:c>
      <x:c r="C311" s="8" t="str">
        <x:v>ระยอง</x:v>
      </x:c>
      <x:c r="D311" s="8" t="str">
        <x:v>มีศักยภาพ แต่ต้องพัฒนามาตรฐาน</x:v>
      </x:c>
      <x:c r="E311" s="8" t="str">
        <x:v>ชุมชนท่องเที่ยว</x:v>
      </x:c>
      <x:c r="F311" s="38" t="n">
        <x:v>46316</x:v>
      </x:c>
      <x:c r="G311" s="8" t="str">
        <x:v>R26-063</x:v>
      </x:c>
      <x:c r="H311" s="39" t="str">
        <x:v>06</x:v>
      </x:c>
      <x:c r="I311" s="8" t="str">
        <x:v>Eastern Seaside Delight</x:v>
      </x:c>
      <x:c r="J311" s="8" t="str">
        <x:v>2</x:v>
      </x:c>
      <x:c r="K311" s="8" t="str">
        <x:v>ชุมชน</x:v>
      </x:c>
      <x:c r="L311" s="8" t="str">
        <x:f>INDEX('ประเมินเกณฑ์'!$AE$9:$AE$608,MATCH(G311,'ประเมินเกณฑ์'!$A$9:$A$608,0))</x:f>
        <x:v>รอประเมิน</x:v>
      </x:c>
      <x:c r="M311" s="8" t="str">
        <x:v>จุดในเอกสารเส้นทาง</x:v>
      </x:c>
      <x:c r="N311" s="8" t="str">
        <x:v>ยังไม่ยืนยันการเปิดให้บริการปัจจุบัน</x:v>
      </x:c>
      <x:c r="O311" s="40" t="n">
        <x:v>46316</x:v>
      </x:c>
    </x:row>
    <x:row r="312" ht="38" customHeight="1">
      <x:c r="A312" s="9" t="n">
        <x:v>304</x:v>
      </x:c>
      <x:c r="B312" s="8" t="str">
        <x:v>สวนสุภัทราแลนด์</x:v>
      </x:c>
      <x:c r="C312" s="8" t="str">
        <x:v>ระยอง</x:v>
      </x:c>
      <x:c r="D312" s="8" t="str">
        <x:v>มีศักยภาพ แต่ต้องพัฒนามาตรฐาน</x:v>
      </x:c>
      <x:c r="E312" s="8" t="str">
        <x:v>ศูนย์กิจกรรมและนันทนาการ</x:v>
      </x:c>
      <x:c r="F312" s="38" t="n">
        <x:v>46316</x:v>
      </x:c>
      <x:c r="G312" s="8" t="str">
        <x:v>R26-061</x:v>
      </x:c>
      <x:c r="H312" s="39" t="str">
        <x:v>06</x:v>
      </x:c>
      <x:c r="I312" s="8" t="str">
        <x:v>Eastern Seaside Delight</x:v>
      </x:c>
      <x:c r="J312" s="8" t="str">
        <x:v>2</x:v>
      </x:c>
      <x:c r="K312" s="8" t="str">
        <x:v>กิจกรรม</x:v>
      </x:c>
      <x:c r="L312" s="8" t="str">
        <x:f>INDEX('ประเมินเกณฑ์'!$AE$9:$AE$608,MATCH(G312,'ประเมินเกณฑ์'!$A$9:$A$608,0))</x:f>
        <x:v>รอประเมิน</x:v>
      </x:c>
      <x:c r="M312" s="8" t="str">
        <x:v>จุดในเอกสารเส้นทาง</x:v>
      </x:c>
      <x:c r="N312" s="8" t="str">
        <x:v>ยังไม่ยืนยันการเปิดให้บริการปัจจุบัน</x:v>
      </x:c>
      <x:c r="O312" s="40" t="n">
        <x:v>46316</x:v>
      </x:c>
    </x:row>
    <x:row r="313" ht="38" customHeight="1">
      <x:c r="A313" s="9" t="n">
        <x:v>305</x:v>
      </x:c>
      <x:c r="B313" s="8" t="str">
        <x:v>Zento Cafe &amp; Pool villa</x:v>
      </x:c>
      <x:c r="C313" s="8" t="str">
        <x:v>ระยอง</x:v>
      </x:c>
      <x:c r="D313" s="8" t="str">
        <x:v>พร้อมขาย</x:v>
      </x:c>
      <x:c r="E313" s="8" t="str">
        <x:v>ร้านอาหารและคาเฟ่</x:v>
      </x:c>
      <x:c r="F313" s="38" t="n">
        <x:v>46316</x:v>
      </x:c>
      <x:c r="G313" s="8" t="str">
        <x:v>TMF-207</x:v>
      </x:c>
      <x:c r="H313" s="39" t="str">
        <x:v>06</x:v>
      </x:c>
      <x:c r="I313" s="8" t="str">
        <x:v>Eastern Seaside Delight</x:v>
      </x:c>
      <x:c r="J313" s="8" t="str">
        <x:v>ตัวเลือกเสริม</x:v>
      </x:c>
      <x:c r="K313" s="8" t="str">
        <x:v>คาเฟ่และร้านของหวาน</x:v>
      </x:c>
      <x:c r="L313" s="8" t="str">
        <x:f>INDEX('ประเมินเกณฑ์'!$AE$9:$AE$608,MATCH(G313,'ประเมินเกณฑ์'!$A$9:$A$608,0))</x:f>
        <x:v>รอประเมิน</x:v>
      </x:c>
      <x:c r="M313" s="8" t="str">
        <x:v>สถานที่ในจังหวัดเส้นทาง รอตรวจระยะทางและลำดับ</x:v>
      </x:c>
      <x:c r="N313" s="8" t="str">
        <x:v>ยังไม่ยืนยันการเปิดให้บริการปัจจุบัน</x:v>
      </x:c>
      <x:c r="O313" s="40" t="n">
        <x:v>46315</x:v>
      </x:c>
    </x:row>
    <x:row r="314" ht="38" customHeight="1">
      <x:c r="A314" s="9" t="n">
        <x:v>306</x:v>
      </x:c>
      <x:c r="B314" s="8" t="str">
        <x:v>ก๋วยเตี๋ยวเนื้อ โต๊ะจููละห์</x:v>
      </x:c>
      <x:c r="C314" s="8" t="str">
        <x:v>ระยอง</x:v>
      </x:c>
      <x:c r="D314" s="8" t="str">
        <x:v>พัฒนาเพื่อพร้อมขาย</x:v>
      </x:c>
      <x:c r="E314" s="8" t="str">
        <x:v>ร้านอาหารและคาเฟ่</x:v>
      </x:c>
      <x:c r="F314" s="38" t="n">
        <x:v>46316</x:v>
      </x:c>
      <x:c r="G314" s="8" t="str">
        <x:v>TMF-390</x:v>
      </x:c>
      <x:c r="H314" s="39" t="str">
        <x:v>06</x:v>
      </x:c>
      <x:c r="I314" s="8" t="str">
        <x:v>Eastern Seaside Delight</x:v>
      </x:c>
      <x:c r="J314" s="8" t="str">
        <x:v>ตัวเลือกเสริม</x:v>
      </x:c>
      <x:c r="K314" s="8" t="str">
        <x:v>ร้านอาหาร</x:v>
      </x:c>
      <x:c r="L314" s="8" t="str">
        <x:f>INDEX('ประเมินเกณฑ์'!$AE$9:$AE$608,MATCH(G314,'ประเมินเกณฑ์'!$A$9:$A$608,0))</x:f>
        <x:v>รอประเมิน</x:v>
      </x:c>
      <x:c r="M314" s="8" t="str">
        <x:v>สถานที่ในจังหวัดเส้นทาง รอตรวจระยะทางและลำดับ</x:v>
      </x:c>
      <x:c r="N314" s="8" t="str">
        <x:v>ยังไม่ยืนยันการเปิดให้บริการปัจจุบัน</x:v>
      </x:c>
      <x:c r="O314" s="40" t="n">
        <x:v>46315</x:v>
      </x:c>
    </x:row>
    <x:row r="315" ht="38" customHeight="1">
      <x:c r="A315" s="9" t="n">
        <x:v>307</x:v>
      </x:c>
      <x:c r="B315" s="8" t="str">
        <x:v>จูนาฮาลาล</x:v>
      </x:c>
      <x:c r="C315" s="8" t="str">
        <x:v>ระยอง</x:v>
      </x:c>
      <x:c r="D315" s="8" t="str">
        <x:v>พร้อมขาย</x:v>
      </x:c>
      <x:c r="E315" s="8" t="str">
        <x:v>ร้านอาหารและคาเฟ่</x:v>
      </x:c>
      <x:c r="F315" s="38" t="n">
        <x:v>46316</x:v>
      </x:c>
      <x:c r="G315" s="8" t="str">
        <x:v>TMF-208</x:v>
      </x:c>
      <x:c r="H315" s="39" t="str">
        <x:v>06</x:v>
      </x:c>
      <x:c r="I315" s="8" t="str">
        <x:v>Eastern Seaside Delight</x:v>
      </x:c>
      <x:c r="J315" s="8" t="str">
        <x:v>ตัวเลือกเสริม</x:v>
      </x:c>
      <x:c r="K315" s="8" t="str">
        <x:v>ร้านอาหาร</x:v>
      </x:c>
      <x:c r="L315" s="8" t="str">
        <x:f>INDEX('ประเมินเกณฑ์'!$AE$9:$AE$608,MATCH(G315,'ประเมินเกณฑ์'!$A$9:$A$608,0))</x:f>
        <x:v>รอประเมิน</x:v>
      </x:c>
      <x:c r="M315" s="8" t="str">
        <x:v>สถานที่ในจังหวัดเส้นทาง รอตรวจระยะทางและลำดับ</x:v>
      </x:c>
      <x:c r="N315" s="8" t="str">
        <x:v>ยังไม่ยืนยันการเปิดให้บริการปัจจุบัน</x:v>
      </x:c>
      <x:c r="O315" s="40" t="n">
        <x:v>46316</x:v>
      </x:c>
    </x:row>
    <x:row r="316" ht="38" customHeight="1">
      <x:c r="A316" s="9" t="n">
        <x:v>308</x:v>
      </x:c>
      <x:c r="B316" s="8" t="str">
        <x:v>ตัสกีนข้าวมันไก่มุสลิม สูตรไหหลำ</x:v>
      </x:c>
      <x:c r="C316" s="8" t="str">
        <x:v>ระยอง</x:v>
      </x:c>
      <x:c r="D316" s="8" t="str">
        <x:v>พร้อมขาย</x:v>
      </x:c>
      <x:c r="E316" s="8" t="str">
        <x:v>ร้านอาหารและคาเฟ่</x:v>
      </x:c>
      <x:c r="F316" s="38" t="n">
        <x:v>46316</x:v>
      </x:c>
      <x:c r="G316" s="8" t="str">
        <x:v>TMF-209</x:v>
      </x:c>
      <x:c r="H316" s="39" t="str">
        <x:v>06</x:v>
      </x:c>
      <x:c r="I316" s="8" t="str">
        <x:v>Eastern Seaside Delight</x:v>
      </x:c>
      <x:c r="J316" s="8" t="str">
        <x:v>ตัวเลือกเสริม</x:v>
      </x:c>
      <x:c r="K316" s="8" t="str">
        <x:v>ร้านอาหาร</x:v>
      </x:c>
      <x:c r="L316" s="8" t="str">
        <x:f>INDEX('ประเมินเกณฑ์'!$AE$9:$AE$608,MATCH(G316,'ประเมินเกณฑ์'!$A$9:$A$608,0))</x:f>
        <x:v>รอประเมิน</x:v>
      </x:c>
      <x:c r="M316" s="8" t="str">
        <x:v>สถานที่ในจังหวัดเส้นทาง รอตรวจระยะทางและลำดับ</x:v>
      </x:c>
      <x:c r="N316" s="8" t="str">
        <x:v>ยังไม่ยืนยันการเปิดให้บริการปัจจุบัน</x:v>
      </x:c>
      <x:c r="O316" s="40" t="n">
        <x:v>46315</x:v>
      </x:c>
    </x:row>
    <x:row r="317" ht="38" customHeight="1">
      <x:c r="A317" s="9" t="n">
        <x:v>309</x:v>
      </x:c>
      <x:c r="B317" s="8" t="str">
        <x:v>Quan Spa Rayong Marriott</x:v>
      </x:c>
      <x:c r="C317" s="8" t="str">
        <x:v>ระยอง</x:v>
      </x:c>
      <x:c r="D317" s="8" t="str">
        <x:v>มีศักยภาพ แต่ต้องพัฒนามาตรฐาน</x:v>
      </x:c>
      <x:c r="E317" s="8" t="str">
        <x:v>สถานประกอบการเพื่อสุขภาพและเวลเนส</x:v>
      </x:c>
      <x:c r="F317" s="38" t="n">
        <x:v>46316</x:v>
      </x:c>
      <x:c r="G317" s="8" t="str">
        <x:v>R26-284</x:v>
      </x:c>
      <x:c r="H317" s="39" t="str">
        <x:v>06</x:v>
      </x:c>
      <x:c r="I317" s="8" t="str">
        <x:v>Eastern Seaside Delight</x:v>
      </x:c>
      <x:c r="J317" s="8" t="str">
        <x:v>ตัวเลือกเสริม</x:v>
      </x:c>
      <x:c r="K317" s="8" t="str">
        <x:v>เวลเนส</x:v>
      </x:c>
      <x:c r="L317" s="8" t="str">
        <x:f>INDEX('ประเมินเกณฑ์'!$AE$9:$AE$608,MATCH(G317,'ประเมินเกณฑ์'!$A$9:$A$608,0))</x:f>
        <x:v>รอประเมิน</x:v>
      </x:c>
      <x:c r="M317" s="8" t="str">
        <x:v>สถานที่ในจังหวัดเส้นทาง รอตรวจระยะทางและลำดับ</x:v>
      </x:c>
      <x:c r="N317" s="8" t="str">
        <x:v>ยังไม่ยืนยันการเปิดให้บริการปัจจุบัน</x:v>
      </x:c>
      <x:c r="O317" s="40" t="n">
        <x:v>46316</x:v>
      </x:c>
    </x:row>
    <x:row r="318" ht="38" customHeight="1">
      <x:c r="A318" s="9" t="n">
        <x:v>310</x:v>
      </x:c>
      <x:c r="B318" s="8" t="str">
        <x:v>Central Rayong</x:v>
      </x:c>
      <x:c r="C318" s="8" t="str">
        <x:v>ระยอง</x:v>
      </x:c>
      <x:c r="D318" s="8" t="str">
        <x:v>มีศักยภาพ แต่ต้องพัฒนามาตรฐาน</x:v>
      </x:c>
      <x:c r="E318" s="8" t="str">
        <x:v>ศูนย์การค้า</x:v>
      </x:c>
      <x:c r="F318" s="38" t="n">
        <x:v>46316</x:v>
      </x:c>
      <x:c r="G318" s="8" t="str">
        <x:v>R26-266</x:v>
      </x:c>
      <x:c r="H318" s="39" t="str">
        <x:v>06</x:v>
      </x:c>
      <x:c r="I318" s="8" t="str">
        <x:v>Eastern Seaside Delight</x:v>
      </x:c>
      <x:c r="J318" s="8" t="str">
        <x:v>ตัวเลือกเสริม</x:v>
      </x:c>
      <x:c r="K318" s="8" t="str">
        <x:v>การค้า</x:v>
      </x:c>
      <x:c r="L318" s="8" t="str">
        <x:f>INDEX('ประเมินเกณฑ์'!$AE$9:$AE$608,MATCH(G318,'ประเมินเกณฑ์'!$A$9:$A$608,0))</x:f>
        <x:v>รอประเมิน</x:v>
      </x:c>
      <x:c r="M318" s="8" t="str">
        <x:v>สถานที่ในจังหวัดเส้นทาง รอตรวจระยะทางและลำดับ</x:v>
      </x:c>
      <x:c r="N318" s="8" t="str">
        <x:v>ยังไม่ยืนยันการเปิดให้บริการปัจจุบัน</x:v>
      </x:c>
      <x:c r="O318" s="40" t="n">
        <x:v>46316</x:v>
      </x:c>
    </x:row>
    <x:row r="319" ht="38" customHeight="1">
      <x:c r="A319" s="9" t="n">
        <x:v>311</x:v>
      </x:c>
      <x:c r="B319" s="8" t="str">
        <x:v>ทุ่งโปรงทอง</x:v>
      </x:c>
      <x:c r="C319" s="8" t="str">
        <x:v>ระยอง</x:v>
      </x:c>
      <x:c r="D319" s="8" t="str">
        <x:v>มีศักยภาพ แต่ต้องพัฒนามาตรฐาน</x:v>
      </x:c>
      <x:c r="E319" s="8" t="str">
        <x:v>แหล่งท่องเที่ยวทางธรรมชาติ</x:v>
      </x:c>
      <x:c r="F319" s="38" t="n">
        <x:v>46316</x:v>
      </x:c>
      <x:c r="G319" s="8" t="str">
        <x:v>R26-154</x:v>
      </x:c>
      <x:c r="H319" s="39" t="str">
        <x:v>06</x:v>
      </x:c>
      <x:c r="I319" s="8" t="str">
        <x:v>Eastern Seaside Delight</x:v>
      </x:c>
      <x:c r="J319" s="8" t="str">
        <x:v>ตัวเลือกเสริม</x:v>
      </x:c>
      <x:c r="K319" s="8" t="str">
        <x:v>ธรรมชาติ</x:v>
      </x:c>
      <x:c r="L319" s="8" t="str">
        <x:f>INDEX('ประเมินเกณฑ์'!$AE$9:$AE$608,MATCH(G319,'ประเมินเกณฑ์'!$A$9:$A$608,0))</x:f>
        <x:v>รอประเมิน</x:v>
      </x:c>
      <x:c r="M319" s="8" t="str">
        <x:v>สถานที่ในจังหวัดเส้นทาง รอตรวจระยะทางและลำดับ</x:v>
      </x:c>
      <x:c r="N319" s="8" t="str">
        <x:v>ยังไม่ยืนยันการเปิดให้บริการปัจจุบัน</x:v>
      </x:c>
      <x:c r="O319" s="40" t="n">
        <x:v>46316</x:v>
      </x:c>
    </x:row>
    <x:row r="320" ht="38" customHeight="1">
      <x:c r="A320" s="9" t="n">
        <x:v>312</x:v>
      </x:c>
      <x:c r="B320" s="8" t="str">
        <x:v>สวนพฤกษศาสตร์ระยอง</x:v>
      </x:c>
      <x:c r="C320" s="8" t="str">
        <x:v>ระยอง</x:v>
      </x:c>
      <x:c r="D320" s="8" t="str">
        <x:v>มีศักยภาพ แต่ต้องพัฒนามาตรฐาน</x:v>
      </x:c>
      <x:c r="E320" s="8" t="str">
        <x:v>แหล่งท่องเที่ยวทางธรรมชาติ</x:v>
      </x:c>
      <x:c r="F320" s="38" t="n">
        <x:v>46316</x:v>
      </x:c>
      <x:c r="G320" s="8" t="str">
        <x:v>R26-152</x:v>
      </x:c>
      <x:c r="H320" s="39" t="str">
        <x:v>06</x:v>
      </x:c>
      <x:c r="I320" s="8" t="str">
        <x:v>Eastern Seaside Delight</x:v>
      </x:c>
      <x:c r="J320" s="8" t="str">
        <x:v>ตัวเลือกเสริม</x:v>
      </x:c>
      <x:c r="K320" s="8" t="str">
        <x:v>ธรรมชาติ</x:v>
      </x:c>
      <x:c r="L320" s="8" t="str">
        <x:f>INDEX('ประเมินเกณฑ์'!$AE$9:$AE$608,MATCH(G320,'ประเมินเกณฑ์'!$A$9:$A$608,0))</x:f>
        <x:v>รอประเมิน</x:v>
      </x:c>
      <x:c r="M320" s="8" t="str">
        <x:v>สถานที่ในจังหวัดเส้นทาง รอตรวจระยะทางและลำดับ</x:v>
      </x:c>
      <x:c r="N320" s="8" t="str">
        <x:v>ยังไม่ยืนยันการเปิดให้บริการปัจจุบัน</x:v>
      </x:c>
      <x:c r="O320" s="40" t="n">
        <x:v>46316</x:v>
      </x:c>
    </x:row>
    <x:row r="321" ht="38" customHeight="1">
      <x:c r="A321" s="9" t="n">
        <x:v>313</x:v>
      </x:c>
      <x:c r="B321" s="8" t="str">
        <x:v>หาดแม่รำพึง</x:v>
      </x:c>
      <x:c r="C321" s="8" t="str">
        <x:v>ระยอง</x:v>
      </x:c>
      <x:c r="D321" s="8" t="str">
        <x:v>มีศักยภาพ แต่ต้องพัฒนามาตรฐาน</x:v>
      </x:c>
      <x:c r="E321" s="8" t="str">
        <x:v>แหล่งท่องเที่ยวทางธรรมชาติ</x:v>
      </x:c>
      <x:c r="F321" s="38" t="n">
        <x:v>46316</x:v>
      </x:c>
      <x:c r="G321" s="8" t="str">
        <x:v>R26-155</x:v>
      </x:c>
      <x:c r="H321" s="39" t="str">
        <x:v>06</x:v>
      </x:c>
      <x:c r="I321" s="8" t="str">
        <x:v>Eastern Seaside Delight</x:v>
      </x:c>
      <x:c r="J321" s="8" t="str">
        <x:v>ตัวเลือกเสริม</x:v>
      </x:c>
      <x:c r="K321" s="8" t="str">
        <x:v>ธรรมชาติ</x:v>
      </x:c>
      <x:c r="L321" s="8" t="str">
        <x:f>INDEX('ประเมินเกณฑ์'!$AE$9:$AE$608,MATCH(G321,'ประเมินเกณฑ์'!$A$9:$A$608,0))</x:f>
        <x:v>รอประเมิน</x:v>
      </x:c>
      <x:c r="M321" s="8" t="str">
        <x:v>สถานที่ในจังหวัดเส้นทาง รอตรวจระยะทางและลำดับ</x:v>
      </x:c>
      <x:c r="N321" s="8" t="str">
        <x:v>ยังไม่ยืนยันการเปิดให้บริการปัจจุบัน</x:v>
      </x:c>
      <x:c r="O321" s="40" t="n">
        <x:v>46316</x:v>
      </x:c>
    </x:row>
    <x:row r="322" ht="38" customHeight="1">
      <x:c r="A322" s="9" t="n">
        <x:v>314</x:v>
      </x:c>
      <x:c r="B322" s="8" t="str">
        <x:v>อุทยานแห่งชาติเขาแหลมหญ้า-หมู่เกาะเสม็ด</x:v>
      </x:c>
      <x:c r="C322" s="8" t="str">
        <x:v>ระยอง</x:v>
      </x:c>
      <x:c r="D322" s="8" t="str">
        <x:v>มีศักยภาพ แต่ต้องพัฒนามาตรฐาน</x:v>
      </x:c>
      <x:c r="E322" s="8" t="str">
        <x:v>แหล่งท่องเที่ยวทางธรรมชาติ</x:v>
      </x:c>
      <x:c r="F322" s="38" t="n">
        <x:v>46316</x:v>
      </x:c>
      <x:c r="G322" s="8" t="str">
        <x:v>R26-153</x:v>
      </x:c>
      <x:c r="H322" s="39" t="str">
        <x:v>06</x:v>
      </x:c>
      <x:c r="I322" s="8" t="str">
        <x:v>Eastern Seaside Delight</x:v>
      </x:c>
      <x:c r="J322" s="8" t="str">
        <x:v>ตัวเลือกเสริม</x:v>
      </x:c>
      <x:c r="K322" s="8" t="str">
        <x:v>ธรรมชาติ</x:v>
      </x:c>
      <x:c r="L322" s="8" t="str">
        <x:f>INDEX('ประเมินเกณฑ์'!$AE$9:$AE$608,MATCH(G322,'ประเมินเกณฑ์'!$A$9:$A$608,0))</x:f>
        <x:v>รอประเมิน</x:v>
      </x:c>
      <x:c r="M322" s="8" t="str">
        <x:v>สถานที่ในจังหวัดเส้นทาง รอตรวจระยะทางและลำดับ</x:v>
      </x:c>
      <x:c r="N322" s="8" t="str">
        <x:v>ยังไม่ยืนยันการเปิดให้บริการปัจจุบัน</x:v>
      </x:c>
      <x:c r="O322" s="40" t="n">
        <x:v>46316</x:v>
      </x:c>
    </x:row>
    <x:row r="323" ht="38" customHeight="1">
      <x:c r="A323" s="9" t="n">
        <x:v>315</x:v>
      </x:c>
      <x:c r="B323" s="8" t="str">
        <x:v>มัสยิดอัสซุนนะห์ จ.ระยอง</x:v>
      </x:c>
      <x:c r="C323" s="8" t="str">
        <x:v>ระยอง</x:v>
      </x:c>
      <x:c r="D323" s="8" t="str">
        <x:v>พัฒนาเพื่อพร้อมขาย</x:v>
      </x:c>
      <x:c r="E323" s="8" t="str">
        <x:v>แหล่งท่องเที่ยวทางประวัติศาสตร์และวัฒนธรรม</x:v>
      </x:c>
      <x:c r="F323" s="38" t="n">
        <x:v>46316</x:v>
      </x:c>
      <x:c r="G323" s="8" t="str">
        <x:v>TMF-391</x:v>
      </x:c>
      <x:c r="H323" s="39" t="str">
        <x:v>06</x:v>
      </x:c>
      <x:c r="I323" s="8" t="str">
        <x:v>Eastern Seaside Delight</x:v>
      </x:c>
      <x:c r="J323" s="8" t="str">
        <x:v>ตัวเลือกเสริม</x:v>
      </x:c>
      <x:c r="K323" s="8" t="str">
        <x:v>มัสยิด</x:v>
      </x:c>
      <x:c r="L323" s="8" t="str">
        <x:f>INDEX('ประเมินเกณฑ์'!$AE$9:$AE$608,MATCH(G323,'ประเมินเกณฑ์'!$A$9:$A$608,0))</x:f>
        <x:v>รอประเมิน</x:v>
      </x:c>
      <x:c r="M323" s="8" t="str">
        <x:v>สถานที่ในจังหวัดเส้นทาง รอตรวจระยะทางและลำดับ</x:v>
      </x:c>
      <x:c r="N323" s="8" t="str">
        <x:v>ยังไม่ยืนยันการเปิดให้บริการปัจจุบัน</x:v>
      </x:c>
      <x:c r="O323" s="40" t="n">
        <x:v>46315</x:v>
      </x:c>
    </x:row>
    <x:row r="324" ht="38" customHeight="1">
      <x:c r="A324" s="9" t="n">
        <x:v>316</x:v>
      </x:c>
      <x:c r="B324" s="8" t="str">
        <x:v>ชุมชนบ้านทะเลน้อย ระยอง</x:v>
      </x:c>
      <x:c r="C324" s="8" t="str">
        <x:v>ระยอง</x:v>
      </x:c>
      <x:c r="D324" s="8" t="str">
        <x:v>มีศักยภาพ แต่ต้องพัฒนามาตรฐาน</x:v>
      </x:c>
      <x:c r="E324" s="8" t="str">
        <x:v>ชุมชนท่องเที่ยว</x:v>
      </x:c>
      <x:c r="F324" s="38" t="n">
        <x:v>46316</x:v>
      </x:c>
      <x:c r="G324" s="8" t="str">
        <x:v>R26-157</x:v>
      </x:c>
      <x:c r="H324" s="39" t="str">
        <x:v>06</x:v>
      </x:c>
      <x:c r="I324" s="8" t="str">
        <x:v>Eastern Seaside Delight</x:v>
      </x:c>
      <x:c r="J324" s="8" t="str">
        <x:v>ตัวเลือกเสริม</x:v>
      </x:c>
      <x:c r="K324" s="8" t="str">
        <x:v>ชุมชน</x:v>
      </x:c>
      <x:c r="L324" s="8" t="str">
        <x:f>INDEX('ประเมินเกณฑ์'!$AE$9:$AE$608,MATCH(G324,'ประเมินเกณฑ์'!$A$9:$A$608,0))</x:f>
        <x:v>รอประเมิน</x:v>
      </x:c>
      <x:c r="M324" s="8" t="str">
        <x:v>สถานที่ในจังหวัดเส้นทาง รอตรวจระยะทางและลำดับ</x:v>
      </x:c>
      <x:c r="N324" s="8" t="str">
        <x:v>ยังไม่ยืนยันการเปิดให้บริการปัจจุบัน</x:v>
      </x:c>
      <x:c r="O324" s="40" t="n">
        <x:v>46316</x:v>
      </x:c>
    </x:row>
    <x:row r="325" ht="38" customHeight="1">
      <x:c r="A325" s="9" t="n">
        <x:v>317</x:v>
      </x:c>
      <x:c r="B325" s="8" t="str">
        <x:v>ชุมชนปากน้ำประแส</x:v>
      </x:c>
      <x:c r="C325" s="8" t="str">
        <x:v>ระยอง</x:v>
      </x:c>
      <x:c r="D325" s="8" t="str">
        <x:v>มีศักยภาพ แต่ต้องพัฒนามาตรฐาน</x:v>
      </x:c>
      <x:c r="E325" s="8" t="str">
        <x:v>ชุมชนท่องเที่ยว</x:v>
      </x:c>
      <x:c r="F325" s="38" t="n">
        <x:v>46316</x:v>
      </x:c>
      <x:c r="G325" s="8" t="str">
        <x:v>R26-156</x:v>
      </x:c>
      <x:c r="H325" s="39" t="str">
        <x:v>06</x:v>
      </x:c>
      <x:c r="I325" s="8" t="str">
        <x:v>Eastern Seaside Delight</x:v>
      </x:c>
      <x:c r="J325" s="8" t="str">
        <x:v>ตัวเลือกเสริม</x:v>
      </x:c>
      <x:c r="K325" s="8" t="str">
        <x:v>ชุมชน</x:v>
      </x:c>
      <x:c r="L325" s="8" t="str">
        <x:f>INDEX('ประเมินเกณฑ์'!$AE$9:$AE$608,MATCH(G325,'ประเมินเกณฑ์'!$A$9:$A$608,0))</x:f>
        <x:v>รอประเมิน</x:v>
      </x:c>
      <x:c r="M325" s="8" t="str">
        <x:v>สถานที่ในจังหวัดเส้นทาง รอตรวจระยะทางและลำดับ</x:v>
      </x:c>
      <x:c r="N325" s="8" t="str">
        <x:v>ยังไม่ยืนยันการเปิดให้บริการปัจจุบัน</x:v>
      </x:c>
      <x:c r="O325" s="40" t="n">
        <x:v>46316</x:v>
      </x:c>
    </x:row>
    <x:row r="326" ht="38" customHeight="1">
      <x:c r="A326" s="9" t="n">
        <x:v>318</x:v>
      </x:c>
      <x:c r="B326" s="8" t="str">
        <x:v>สวนละไม</x:v>
      </x:c>
      <x:c r="C326" s="8" t="str">
        <x:v>ระยอง</x:v>
      </x:c>
      <x:c r="D326" s="8" t="str">
        <x:v>มีศักยภาพ แต่ต้องพัฒนามาตรฐาน</x:v>
      </x:c>
      <x:c r="E326" s="8" t="str">
        <x:v>ศูนย์กิจกรรมและนันทนาการ</x:v>
      </x:c>
      <x:c r="F326" s="38" t="n">
        <x:v>46316</x:v>
      </x:c>
      <x:c r="G326" s="8" t="str">
        <x:v>R26-304</x:v>
      </x:c>
      <x:c r="H326" s="39" t="str">
        <x:v>06</x:v>
      </x:c>
      <x:c r="I326" s="8" t="str">
        <x:v>Eastern Seaside Delight</x:v>
      </x:c>
      <x:c r="J326" s="8" t="str">
        <x:v>ตัวเลือกเสริม</x:v>
      </x:c>
      <x:c r="K326" s="8" t="str">
        <x:v>กิจกรรม</x:v>
      </x:c>
      <x:c r="L326" s="8" t="str">
        <x:f>INDEX('ประเมินเกณฑ์'!$AE$9:$AE$608,MATCH(G326,'ประเมินเกณฑ์'!$A$9:$A$608,0))</x:f>
        <x:v>รอประเมิน</x:v>
      </x:c>
      <x:c r="M326" s="8" t="str">
        <x:v>สถานที่ในจังหวัดเส้นทาง รอตรวจระยะทางและลำดับ</x:v>
      </x:c>
      <x:c r="N326" s="8" t="str">
        <x:v>ยังไม่ยืนยันการเปิดให้บริการปัจจุบัน</x:v>
      </x:c>
      <x:c r="O326" s="40" t="n">
        <x:v>46316</x:v>
      </x:c>
    </x:row>
    <x:row r="327" ht="38" customHeight="1">
      <x:c r="A327" s="9" t="n">
        <x:v>319</x:v>
      </x:c>
      <x:c r="B327" s="8" t="str">
        <x:v>The Seaside Halal เกาะยอ</x:v>
      </x:c>
      <x:c r="C327" s="8" t="str">
        <x:v>สงขลา</x:v>
      </x:c>
      <x:c r="D327" s="8" t="str">
        <x:v>มีศักยภาพ แต่ต้องพัฒนามาตรฐาน</x:v>
      </x:c>
      <x:c r="E327" s="8" t="str">
        <x:v>ร้านอาหารและคาเฟ่</x:v>
      </x:c>
      <x:c r="F327" s="38" t="n">
        <x:v>46316</x:v>
      </x:c>
      <x:c r="G327" s="8" t="str">
        <x:v>R26-071</x:v>
      </x:c>
      <x:c r="H327" s="39" t="str">
        <x:v>07</x:v>
      </x:c>
      <x:c r="I327" s="8" t="str">
        <x:v>Sea, Soul &amp; Serenity</x:v>
      </x:c>
      <x:c r="J327" s="8" t="str">
        <x:v>1</x:v>
      </x:c>
      <x:c r="K327" s="8" t="str">
        <x:v>อาหาร</x:v>
      </x:c>
      <x:c r="L327" s="8" t="str">
        <x:f>INDEX('ประเมินเกณฑ์'!$AE$9:$AE$608,MATCH(G327,'ประเมินเกณฑ์'!$A$9:$A$608,0))</x:f>
        <x:v>รอประเมิน</x:v>
      </x:c>
      <x:c r="M327" s="8" t="str">
        <x:v>จุดในเอกสารเส้นทาง</x:v>
      </x:c>
      <x:c r="N327" s="8" t="str">
        <x:v>ยังไม่ยืนยันการเปิดให้บริการปัจจุบัน</x:v>
      </x:c>
      <x:c r="O327" s="40" t="n">
        <x:v>46316</x:v>
      </x:c>
    </x:row>
    <x:row r="328" ht="38" customHeight="1">
      <x:c r="A328" s="9" t="n">
        <x:v>320</x:v>
      </x:c>
      <x:c r="B328" s="8" t="str">
        <x:v>ข้าวมันไก่ไข่ฮาลาลบ้านบน</x:v>
      </x:c>
      <x:c r="C328" s="8" t="str">
        <x:v>สงขลา</x:v>
      </x:c>
      <x:c r="D328" s="8" t="str">
        <x:v>มีศักยภาพ แต่ต้องพัฒนามาตรฐาน</x:v>
      </x:c>
      <x:c r="E328" s="8" t="str">
        <x:v>ร้านอาหารและคาเฟ่</x:v>
      </x:c>
      <x:c r="F328" s="38" t="n">
        <x:v>46316</x:v>
      </x:c>
      <x:c r="G328" s="8" t="str">
        <x:v>R26-068</x:v>
      </x:c>
      <x:c r="H328" s="39" t="str">
        <x:v>07</x:v>
      </x:c>
      <x:c r="I328" s="8" t="str">
        <x:v>Sea, Soul &amp; Serenity</x:v>
      </x:c>
      <x:c r="J328" s="8" t="str">
        <x:v>1</x:v>
      </x:c>
      <x:c r="K328" s="8" t="str">
        <x:v>อาหาร</x:v>
      </x:c>
      <x:c r="L328" s="8" t="str">
        <x:f>INDEX('ประเมินเกณฑ์'!$AE$9:$AE$608,MATCH(G328,'ประเมินเกณฑ์'!$A$9:$A$608,0))</x:f>
        <x:v>รอประเมิน</x:v>
      </x:c>
      <x:c r="M328" s="8" t="str">
        <x:v>จุดในเอกสารเส้นทาง</x:v>
      </x:c>
      <x:c r="N328" s="8" t="str">
        <x:v>ยังไม่ยืนยันการเปิดให้บริการปัจจุบัน</x:v>
      </x:c>
      <x:c r="O328" s="40" t="n">
        <x:v>46316</x:v>
      </x:c>
    </x:row>
    <x:row r="329" ht="38" customHeight="1">
      <x:c r="A329" s="9" t="n">
        <x:v>321</x:v>
      </x:c>
      <x:c r="B329" s="8" t="str">
        <x:v>หาดสมิหลา</x:v>
      </x:c>
      <x:c r="C329" s="8" t="str">
        <x:v>สงขลา</x:v>
      </x:c>
      <x:c r="D329" s="8" t="str">
        <x:v>มีศักยภาพ แต่ต้องพัฒนามาตรฐาน</x:v>
      </x:c>
      <x:c r="E329" s="8" t="str">
        <x:v>แหล่งท่องเที่ยวทางธรรมชาติ</x:v>
      </x:c>
      <x:c r="F329" s="38" t="n">
        <x:v>46316</x:v>
      </x:c>
      <x:c r="G329" s="8" t="str">
        <x:v>R26-070</x:v>
      </x:c>
      <x:c r="H329" s="39" t="str">
        <x:v>07</x:v>
      </x:c>
      <x:c r="I329" s="8" t="str">
        <x:v>Sea, Soul &amp; Serenity</x:v>
      </x:c>
      <x:c r="J329" s="8" t="str">
        <x:v>1</x:v>
      </x:c>
      <x:c r="K329" s="8" t="str">
        <x:v>ธรรมชาติ</x:v>
      </x:c>
      <x:c r="L329" s="8" t="str">
        <x:f>INDEX('ประเมินเกณฑ์'!$AE$9:$AE$608,MATCH(G329,'ประเมินเกณฑ์'!$A$9:$A$608,0))</x:f>
        <x:v>รอประเมิน</x:v>
      </x:c>
      <x:c r="M329" s="8" t="str">
        <x:v>จุดในเอกสารเส้นทาง</x:v>
      </x:c>
      <x:c r="N329" s="8" t="str">
        <x:v>ยังไม่ยืนยันการเปิดให้บริการปัจจุบัน</x:v>
      </x:c>
      <x:c r="O329" s="40" t="n">
        <x:v>46316</x:v>
      </x:c>
    </x:row>
    <x:row r="330" ht="38" customHeight="1">
      <x:c r="A330" s="9" t="n">
        <x:v>322</x:v>
      </x:c>
      <x:c r="B330" s="8" t="str">
        <x:v>เขาตังกวน</x:v>
      </x:c>
      <x:c r="C330" s="8" t="str">
        <x:v>สงขลา</x:v>
      </x:c>
      <x:c r="D330" s="8" t="str">
        <x:v>มีศักยภาพ แต่ต้องพัฒนามาตรฐาน</x:v>
      </x:c>
      <x:c r="E330" s="8" t="str">
        <x:v>แหล่งท่องเที่ยวทางธรรมชาติ</x:v>
      </x:c>
      <x:c r="F330" s="38" t="n">
        <x:v>46316</x:v>
      </x:c>
      <x:c r="G330" s="8" t="str">
        <x:v>R26-069</x:v>
      </x:c>
      <x:c r="H330" s="39" t="str">
        <x:v>07</x:v>
      </x:c>
      <x:c r="I330" s="8" t="str">
        <x:v>Sea, Soul &amp; Serenity</x:v>
      </x:c>
      <x:c r="J330" s="8" t="str">
        <x:v>1</x:v>
      </x:c>
      <x:c r="K330" s="8" t="str">
        <x:v>ธรรมชาติ</x:v>
      </x:c>
      <x:c r="L330" s="8" t="str">
        <x:f>INDEX('ประเมินเกณฑ์'!$AE$9:$AE$608,MATCH(G330,'ประเมินเกณฑ์'!$A$9:$A$608,0))</x:f>
        <x:v>รอประเมิน</x:v>
      </x:c>
      <x:c r="M330" s="8" t="str">
        <x:v>จุดในเอกสารเส้นทาง</x:v>
      </x:c>
      <x:c r="N330" s="8" t="str">
        <x:v>ยังไม่ยืนยันการเปิดให้บริการปัจจุบัน</x:v>
      </x:c>
      <x:c r="O330" s="40" t="n">
        <x:v>46316</x:v>
      </x:c>
    </x:row>
    <x:row r="331" ht="38" customHeight="1">
      <x:c r="A331" s="9" t="n">
        <x:v>323</x:v>
      </x:c>
      <x:c r="B331" s="8" t="str">
        <x:v>มัสยิดกลางประจำจังหวัดสงขลา</x:v>
      </x:c>
      <x:c r="C331" s="8" t="str">
        <x:v>สงขลา</x:v>
      </x:c>
      <x:c r="D331" s="8" t="str">
        <x:v>พัฒนาเพื่อพร้อมขาย</x:v>
      </x:c>
      <x:c r="E331" s="8" t="str">
        <x:v>แหล่งท่องเที่ยวทางประวัติศาสตร์และวัฒนธรรม</x:v>
      </x:c>
      <x:c r="F331" s="38" t="n">
        <x:v>46316</x:v>
      </x:c>
      <x:c r="G331" s="8" t="str">
        <x:v>TMF-399</x:v>
      </x:c>
      <x:c r="H331" s="39" t="str">
        <x:v>07</x:v>
      </x:c>
      <x:c r="I331" s="8" t="str">
        <x:v>Sea, Soul &amp; Serenity</x:v>
      </x:c>
      <x:c r="J331" s="8" t="str">
        <x:v>1</x:v>
      </x:c>
      <x:c r="K331" s="8" t="str">
        <x:v>มัสยิด</x:v>
      </x:c>
      <x:c r="L331" s="8" t="str">
        <x:f>INDEX('ประเมินเกณฑ์'!$AE$9:$AE$608,MATCH(G331,'ประเมินเกณฑ์'!$A$9:$A$608,0))</x:f>
        <x:v>รอประเมิน</x:v>
      </x:c>
      <x:c r="M331" s="8" t="str">
        <x:v>จุดในเอกสารเส้นทาง</x:v>
      </x:c>
      <x:c r="N331" s="8" t="str">
        <x:v>ยังไม่ยืนยันการเปิดให้บริการปัจจุบัน</x:v>
      </x:c>
      <x:c r="O331" s="40" t="n">
        <x:v>46316</x:v>
      </x:c>
    </x:row>
    <x:row r="332" ht="38" customHeight="1">
      <x:c r="A332" s="9" t="n">
        <x:v>324</x:v>
      </x:c>
      <x:c r="B332" s="8" t="str">
        <x:v>ย่านเมืองเก่าสงขลา</x:v>
      </x:c>
      <x:c r="C332" s="8" t="str">
        <x:v>สงขลา</x:v>
      </x:c>
      <x:c r="D332" s="8" t="str">
        <x:v>มีศักยภาพ แต่ต้องพัฒนามาตรฐาน</x:v>
      </x:c>
      <x:c r="E332" s="8" t="str">
        <x:v>แหล่งท่องเที่ยวทางประวัติศาสตร์และวัฒนธรรม</x:v>
      </x:c>
      <x:c r="F332" s="38" t="n">
        <x:v>46316</x:v>
      </x:c>
      <x:c r="G332" s="8" t="str">
        <x:v>R26-066</x:v>
      </x:c>
      <x:c r="H332" s="39" t="str">
        <x:v>07</x:v>
      </x:c>
      <x:c r="I332" s="8" t="str">
        <x:v>Sea, Soul &amp; Serenity</x:v>
      </x:c>
      <x:c r="J332" s="8" t="str">
        <x:v>1</x:v>
      </x:c>
      <x:c r="K332" s="8" t="str">
        <x:v>ประวัติ</x:v>
      </x:c>
      <x:c r="L332" s="8" t="str">
        <x:f>INDEX('ประเมินเกณฑ์'!$AE$9:$AE$608,MATCH(G332,'ประเมินเกณฑ์'!$A$9:$A$608,0))</x:f>
        <x:v>รอประเมิน</x:v>
      </x:c>
      <x:c r="M332" s="8" t="str">
        <x:v>จุดในเอกสารเส้นทาง</x:v>
      </x:c>
      <x:c r="N332" s="8" t="str">
        <x:v>ยังไม่ยืนยันการเปิดให้บริการปัจจุบัน</x:v>
      </x:c>
      <x:c r="O332" s="40" t="n">
        <x:v>46316</x:v>
      </x:c>
    </x:row>
    <x:row r="333" ht="38" customHeight="1">
      <x:c r="A333" s="9" t="n">
        <x:v>325</x:v>
      </x:c>
      <x:c r="B333" s="8" t="str">
        <x:v>ชุมชนมัสยิดบ้านบน สงขลา</x:v>
      </x:c>
      <x:c r="C333" s="8" t="str">
        <x:v>สงขลา</x:v>
      </x:c>
      <x:c r="D333" s="8" t="str">
        <x:v>มีศักยภาพ แต่ต้องพัฒนามาตรฐาน</x:v>
      </x:c>
      <x:c r="E333" s="8" t="str">
        <x:v>ชุมชนท่องเที่ยว</x:v>
      </x:c>
      <x:c r="F333" s="38" t="n">
        <x:v>46316</x:v>
      </x:c>
      <x:c r="G333" s="8" t="str">
        <x:v>R26-067</x:v>
      </x:c>
      <x:c r="H333" s="39" t="str">
        <x:v>07</x:v>
      </x:c>
      <x:c r="I333" s="8" t="str">
        <x:v>Sea, Soul &amp; Serenity</x:v>
      </x:c>
      <x:c r="J333" s="8" t="str">
        <x:v>1</x:v>
      </x:c>
      <x:c r="K333" s="8" t="str">
        <x:v>ชุมชน</x:v>
      </x:c>
      <x:c r="L333" s="8" t="str">
        <x:f>INDEX('ประเมินเกณฑ์'!$AE$9:$AE$608,MATCH(G333,'ประเมินเกณฑ์'!$A$9:$A$608,0))</x:f>
        <x:v>รอประเมิน</x:v>
      </x:c>
      <x:c r="M333" s="8" t="str">
        <x:v>จุดในเอกสารเส้นทาง</x:v>
      </x:c>
      <x:c r="N333" s="8" t="str">
        <x:v>ยังไม่ยืนยันการเปิดให้บริการปัจจุบัน</x:v>
      </x:c>
      <x:c r="O333" s="40" t="n">
        <x:v>46316</x:v>
      </x:c>
    </x:row>
    <x:row r="334" ht="38" customHeight="1">
      <x:c r="A334" s="9" t="n">
        <x:v>326</x:v>
      </x:c>
      <x:c r="B334" s="8" t="str">
        <x:v>Alfahad Hotel</x:v>
      </x:c>
      <x:c r="C334" s="8" t="str">
        <x:v>สงขลา</x:v>
      </x:c>
      <x:c r="D334" s="8" t="str">
        <x:v>พร้อมขาย</x:v>
      </x:c>
      <x:c r="E334" s="8" t="str">
        <x:v>ที่พัก</x:v>
      </x:c>
      <x:c r="F334" s="38" t="n">
        <x:v>46316</x:v>
      </x:c>
      <x:c r="G334" s="8" t="str">
        <x:v>TMF-214</x:v>
      </x:c>
      <x:c r="H334" s="39" t="str">
        <x:v>07</x:v>
      </x:c>
      <x:c r="I334" s="8" t="str">
        <x:v>Sea, Soul &amp; Serenity</x:v>
      </x:c>
      <x:c r="J334" s="8" t="str">
        <x:v>ตัวเลือกเสริม</x:v>
      </x:c>
      <x:c r="K334" s="8" t="str">
        <x:v>โรงแรมหรือรีสอร์ท</x:v>
      </x:c>
      <x:c r="L334" s="8" t="str">
        <x:f>INDEX('ประเมินเกณฑ์'!$AE$9:$AE$608,MATCH(G334,'ประเมินเกณฑ์'!$A$9:$A$608,0))</x:f>
        <x:v>รอประเมิน</x:v>
      </x:c>
      <x:c r="M334" s="8" t="str">
        <x:v>สถานที่ในจังหวัดเส้นทาง รอตรวจระยะทางและลำดับ</x:v>
      </x:c>
      <x:c r="N334" s="8" t="str">
        <x:v>ยังไม่ยืนยันการเปิดให้บริการปัจจุบัน</x:v>
      </x:c>
      <x:c r="O334" s="40" t="n">
        <x:v>46315</x:v>
      </x:c>
    </x:row>
    <x:row r="335" ht="38" customHeight="1">
      <x:c r="A335" s="9" t="n">
        <x:v>327</x:v>
      </x:c>
      <x:c r="B335" s="8" t="str">
        <x:v>Crystal Hotel Hat Yai</x:v>
      </x:c>
      <x:c r="C335" s="8" t="str">
        <x:v>สงขลา</x:v>
      </x:c>
      <x:c r="D335" s="8" t="str">
        <x:v>พัฒนาเพื่อพร้อมขาย</x:v>
      </x:c>
      <x:c r="E335" s="8" t="str">
        <x:v>ที่พัก</x:v>
      </x:c>
      <x:c r="F335" s="38" t="n">
        <x:v>46316</x:v>
      </x:c>
      <x:c r="G335" s="8" t="str">
        <x:v>GMHI-3</x:v>
      </x:c>
      <x:c r="H335" s="39" t="str">
        <x:v>07</x:v>
      </x:c>
      <x:c r="I335" s="8" t="str">
        <x:v>Sea, Soul &amp; Serenity</x:v>
      </x:c>
      <x:c r="J335" s="8" t="str">
        <x:v>ตัวเลือกเสริม</x:v>
      </x:c>
      <x:c r="K335" s="8" t="str">
        <x:v>ที่พัก</x:v>
      </x:c>
      <x:c r="L335" s="8" t="str">
        <x:f>INDEX('ประเมินเกณฑ์'!$AE$9:$AE$608,MATCH(G335,'ประเมินเกณฑ์'!$A$9:$A$608,0))</x:f>
        <x:v>รอประเมิน</x:v>
      </x:c>
      <x:c r="M335" s="8" t="str">
        <x:v>สถานที่ในจังหวัดเส้นทาง รอตรวจระยะทางและลำดับ</x:v>
      </x:c>
      <x:c r="N335" s="8" t="str">
        <x:v>ยังไม่ยืนยันการเปิดให้บริการปัจจุบัน</x:v>
      </x:c>
      <x:c r="O335" s="40" t="n">
        <x:v>46315</x:v>
      </x:c>
    </x:row>
    <x:row r="336" ht="38" customHeight="1">
      <x:c r="A336" s="9" t="n">
        <x:v>328</x:v>
      </x:c>
      <x:c r="B336" s="8" t="str">
        <x:v>The signature hotel airport</x:v>
      </x:c>
      <x:c r="C336" s="8" t="str">
        <x:v>สงขลา</x:v>
      </x:c>
      <x:c r="D336" s="8" t="str">
        <x:v>พัฒนาเพื่อพร้อมขาย</x:v>
      </x:c>
      <x:c r="E336" s="8" t="str">
        <x:v>ที่พัก</x:v>
      </x:c>
      <x:c r="F336" s="38" t="n">
        <x:v>46316</x:v>
      </x:c>
      <x:c r="G336" s="8" t="str">
        <x:v>GMHI-20</x:v>
      </x:c>
      <x:c r="H336" s="39" t="str">
        <x:v>07</x:v>
      </x:c>
      <x:c r="I336" s="8" t="str">
        <x:v>Sea, Soul &amp; Serenity</x:v>
      </x:c>
      <x:c r="J336" s="8" t="str">
        <x:v>ตัวเลือกเสริม</x:v>
      </x:c>
      <x:c r="K336" s="8" t="str">
        <x:v>ที่พัก</x:v>
      </x:c>
      <x:c r="L336" s="8" t="str">
        <x:f>INDEX('ประเมินเกณฑ์'!$AE$9:$AE$608,MATCH(G336,'ประเมินเกณฑ์'!$A$9:$A$608,0))</x:f>
        <x:v>รอประเมิน</x:v>
      </x:c>
      <x:c r="M336" s="8" t="str">
        <x:v>สถานที่ในจังหวัดเส้นทาง รอตรวจระยะทางและลำดับ</x:v>
      </x:c>
      <x:c r="N336" s="8" t="str">
        <x:v>ยังไม่ยืนยันการเปิดให้บริการปัจจุบัน</x:v>
      </x:c>
      <x:c r="O336" s="40" t="n">
        <x:v>46315</x:v>
      </x:c>
    </x:row>
    <x:row r="337" ht="38" customHeight="1">
      <x:c r="A337" s="9" t="n">
        <x:v>329</x:v>
      </x:c>
      <x:c r="B337" s="8" t="str">
        <x:v>โรงแรม บี.พี. แกรนด์ทาวเวอร์</x:v>
      </x:c>
      <x:c r="C337" s="8" t="str">
        <x:v>สงขลา</x:v>
      </x:c>
      <x:c r="D337" s="8" t="str">
        <x:v>พัฒนาเพื่อพร้อมขาย</x:v>
      </x:c>
      <x:c r="E337" s="8" t="str">
        <x:v>ที่พัก</x:v>
      </x:c>
      <x:c r="F337" s="38" t="n">
        <x:v>46316</x:v>
      </x:c>
      <x:c r="G337" s="8" t="str">
        <x:v>TMF-394</x:v>
      </x:c>
      <x:c r="H337" s="39" t="str">
        <x:v>07</x:v>
      </x:c>
      <x:c r="I337" s="8" t="str">
        <x:v>Sea, Soul &amp; Serenity</x:v>
      </x:c>
      <x:c r="J337" s="8" t="str">
        <x:v>ตัวเลือกเสริม</x:v>
      </x:c>
      <x:c r="K337" s="8" t="str">
        <x:v>โรงแรมหรือรีสอร์ท</x:v>
      </x:c>
      <x:c r="L337" s="8" t="str">
        <x:f>INDEX('ประเมินเกณฑ์'!$AE$9:$AE$608,MATCH(G337,'ประเมินเกณฑ์'!$A$9:$A$608,0))</x:f>
        <x:v>รอประเมิน</x:v>
      </x:c>
      <x:c r="M337" s="8" t="str">
        <x:v>สถานที่ในจังหวัดเส้นทาง รอตรวจระยะทางและลำดับ</x:v>
      </x:c>
      <x:c r="N337" s="8" t="str">
        <x:v>ยังไม่ยืนยันการเปิดให้บริการปัจจุบัน</x:v>
      </x:c>
      <x:c r="O337" s="40" t="n">
        <x:v>46315</x:v>
      </x:c>
    </x:row>
    <x:row r="338" ht="38" customHeight="1">
      <x:c r="A338" s="9" t="n">
        <x:v>330</x:v>
      </x:c>
      <x:c r="B338" s="8" t="str">
        <x:v>โรงแรม หรรษา เจบี</x:v>
      </x:c>
      <x:c r="C338" s="8" t="str">
        <x:v>สงขลา</x:v>
      </x:c>
      <x:c r="D338" s="8" t="str">
        <x:v>พัฒนาเพื่อพร้อมขาย</x:v>
      </x:c>
      <x:c r="E338" s="8" t="str">
        <x:v>ที่พัก</x:v>
      </x:c>
      <x:c r="F338" s="38" t="n">
        <x:v>46316</x:v>
      </x:c>
      <x:c r="G338" s="8" t="str">
        <x:v>TMF-395</x:v>
      </x:c>
      <x:c r="H338" s="39" t="str">
        <x:v>07</x:v>
      </x:c>
      <x:c r="I338" s="8" t="str">
        <x:v>Sea, Soul &amp; Serenity</x:v>
      </x:c>
      <x:c r="J338" s="8" t="str">
        <x:v>ตัวเลือกเสริม</x:v>
      </x:c>
      <x:c r="K338" s="8" t="str">
        <x:v>โรงแรมหรือรีสอร์ท</x:v>
      </x:c>
      <x:c r="L338" s="8" t="str">
        <x:f>INDEX('ประเมินเกณฑ์'!$AE$9:$AE$608,MATCH(G338,'ประเมินเกณฑ์'!$A$9:$A$608,0))</x:f>
        <x:v>รอประเมิน</x:v>
      </x:c>
      <x:c r="M338" s="8" t="str">
        <x:v>สถานที่ในจังหวัดเส้นทาง รอตรวจระยะทางและลำดับ</x:v>
      </x:c>
      <x:c r="N338" s="8" t="str">
        <x:v>ยังไม่ยืนยันการเปิดให้บริการปัจจุบัน</x:v>
      </x:c>
      <x:c r="O338" s="40" t="n">
        <x:v>46315</x:v>
      </x:c>
    </x:row>
    <x:row r="339" ht="38" customHeight="1">
      <x:c r="A339" s="9" t="n">
        <x:v>331</x:v>
      </x:c>
      <x:c r="B339" s="8" t="str">
        <x:v>โรงแรมญันนะตีย์</x:v>
      </x:c>
      <x:c r="C339" s="8" t="str">
        <x:v>สงขลา</x:v>
      </x:c>
      <x:c r="D339" s="8" t="str">
        <x:v>พร้อมขาย</x:v>
      </x:c>
      <x:c r="E339" s="8" t="str">
        <x:v>ที่พัก</x:v>
      </x:c>
      <x:c r="F339" s="38" t="n">
        <x:v>46316</x:v>
      </x:c>
      <x:c r="G339" s="8" t="str">
        <x:v>TMF-215</x:v>
      </x:c>
      <x:c r="H339" s="39" t="str">
        <x:v>07</x:v>
      </x:c>
      <x:c r="I339" s="8" t="str">
        <x:v>Sea, Soul &amp; Serenity</x:v>
      </x:c>
      <x:c r="J339" s="8" t="str">
        <x:v>ตัวเลือกเสริม</x:v>
      </x:c>
      <x:c r="K339" s="8" t="str">
        <x:v>โรงแรมหรือรีสอร์ท</x:v>
      </x:c>
      <x:c r="L339" s="8" t="str">
        <x:f>INDEX('ประเมินเกณฑ์'!$AE$9:$AE$608,MATCH(G339,'ประเมินเกณฑ์'!$A$9:$A$608,0))</x:f>
        <x:v>รอประเมิน</x:v>
      </x:c>
      <x:c r="M339" s="8" t="str">
        <x:v>สถานที่ในจังหวัดเส้นทาง รอตรวจระยะทางและลำดับ</x:v>
      </x:c>
      <x:c r="N339" s="8" t="str">
        <x:v>ยังไม่ยืนยันการเปิดให้บริการปัจจุบัน</x:v>
      </x:c>
      <x:c r="O339" s="40" t="n">
        <x:v>46315</x:v>
      </x:c>
    </x:row>
    <x:row r="340" ht="38" customHeight="1">
      <x:c r="A340" s="9" t="n">
        <x:v>332</x:v>
      </x:c>
      <x:c r="B340" s="8" t="str">
        <x:v>โรงแรมหาดแก้ว รีสอร์ท สงขลา</x:v>
      </x:c>
      <x:c r="C340" s="8" t="str">
        <x:v>สงขลา</x:v>
      </x:c>
      <x:c r="D340" s="8" t="str">
        <x:v>พัฒนาเพื่อพร้อมขาย</x:v>
      </x:c>
      <x:c r="E340" s="8" t="str">
        <x:v>ที่พัก</x:v>
      </x:c>
      <x:c r="F340" s="38" t="n">
        <x:v>46316</x:v>
      </x:c>
      <x:c r="G340" s="8" t="str">
        <x:v>TMF-396</x:v>
      </x:c>
      <x:c r="H340" s="39" t="str">
        <x:v>07</x:v>
      </x:c>
      <x:c r="I340" s="8" t="str">
        <x:v>Sea, Soul &amp; Serenity</x:v>
      </x:c>
      <x:c r="J340" s="8" t="str">
        <x:v>ตัวเลือกเสริม</x:v>
      </x:c>
      <x:c r="K340" s="8" t="str">
        <x:v>โรงแรมหรือรีสอร์ท</x:v>
      </x:c>
      <x:c r="L340" s="8" t="str">
        <x:f>INDEX('ประเมินเกณฑ์'!$AE$9:$AE$608,MATCH(G340,'ประเมินเกณฑ์'!$A$9:$A$608,0))</x:f>
        <x:v>รอประเมิน</x:v>
      </x:c>
      <x:c r="M340" s="8" t="str">
        <x:v>สถานที่ในจังหวัดเส้นทาง รอตรวจระยะทางและลำดับ</x:v>
      </x:c>
      <x:c r="N340" s="8" t="str">
        <x:v>ยังไม่ยืนยันการเปิดให้บริการปัจจุบัน</x:v>
      </x:c>
      <x:c r="O340" s="40" t="n">
        <x:v>46315</x:v>
      </x:c>
    </x:row>
    <x:row r="341" ht="38" customHeight="1">
      <x:c r="A341" s="9" t="n">
        <x:v>333</x:v>
      </x:c>
      <x:c r="B341" s="8" t="str">
        <x:v>โรงแรมเซาท์เทอร์น แอร์พอร์ต</x:v>
      </x:c>
      <x:c r="C341" s="8" t="str">
        <x:v>สงขลา</x:v>
      </x:c>
      <x:c r="D341" s="8" t="str">
        <x:v>พัฒนาเพื่อพร้อมขาย</x:v>
      </x:c>
      <x:c r="E341" s="8" t="str">
        <x:v>ที่พัก</x:v>
      </x:c>
      <x:c r="F341" s="38" t="n">
        <x:v>46316</x:v>
      </x:c>
      <x:c r="G341" s="8" t="str">
        <x:v>TMF-397</x:v>
      </x:c>
      <x:c r="H341" s="39" t="str">
        <x:v>07</x:v>
      </x:c>
      <x:c r="I341" s="8" t="str">
        <x:v>Sea, Soul &amp; Serenity</x:v>
      </x:c>
      <x:c r="J341" s="8" t="str">
        <x:v>ตัวเลือกเสริม</x:v>
      </x:c>
      <x:c r="K341" s="8" t="str">
        <x:v>โรงแรมหรือรีสอร์ท</x:v>
      </x:c>
      <x:c r="L341" s="8" t="str">
        <x:f>INDEX('ประเมินเกณฑ์'!$AE$9:$AE$608,MATCH(G341,'ประเมินเกณฑ์'!$A$9:$A$608,0))</x:f>
        <x:v>รอประเมิน</x:v>
      </x:c>
      <x:c r="M341" s="8" t="str">
        <x:v>สถานที่ในจังหวัดเส้นทาง รอตรวจระยะทางและลำดับ</x:v>
      </x:c>
      <x:c r="N341" s="8" t="str">
        <x:v>ยังไม่ยืนยันการเปิดให้บริการปัจจุบัน</x:v>
      </x:c>
      <x:c r="O341" s="40" t="n">
        <x:v>46315</x:v>
      </x:c>
    </x:row>
    <x:row r="342" ht="38" customHeight="1">
      <x:c r="A342" s="9" t="n">
        <x:v>334</x:v>
      </x:c>
      <x:c r="B342" s="8" t="str">
        <x:v>AYAMCHON HATYAI</x:v>
      </x:c>
      <x:c r="C342" s="8" t="str">
        <x:v>สงขลา</x:v>
      </x:c>
      <x:c r="D342" s="8" t="str">
        <x:v>พัฒนาเพื่อพร้อมขาย</x:v>
      </x:c>
      <x:c r="E342" s="8" t="str">
        <x:v>ร้านอาหารและคาเฟ่</x:v>
      </x:c>
      <x:c r="F342" s="38" t="n">
        <x:v>46316</x:v>
      </x:c>
      <x:c r="G342" s="8" t="str">
        <x:v>TMF-398</x:v>
      </x:c>
      <x:c r="H342" s="39" t="str">
        <x:v>07</x:v>
      </x:c>
      <x:c r="I342" s="8" t="str">
        <x:v>Sea, Soul &amp; Serenity</x:v>
      </x:c>
      <x:c r="J342" s="8" t="str">
        <x:v>ตัวเลือกเสริม</x:v>
      </x:c>
      <x:c r="K342" s="8" t="str">
        <x:v>ร้านอาหาร</x:v>
      </x:c>
      <x:c r="L342" s="8" t="str">
        <x:f>INDEX('ประเมินเกณฑ์'!$AE$9:$AE$608,MATCH(G342,'ประเมินเกณฑ์'!$A$9:$A$608,0))</x:f>
        <x:v>รอประเมิน</x:v>
      </x:c>
      <x:c r="M342" s="8" t="str">
        <x:v>สถานที่ในจังหวัดเส้นทาง รอตรวจระยะทางและลำดับ</x:v>
      </x:c>
      <x:c r="N342" s="8" t="str">
        <x:v>ยังไม่ยืนยันการเปิดให้บริการปัจจุบัน</x:v>
      </x:c>
      <x:c r="O342" s="40" t="n">
        <x:v>46315</x:v>
      </x:c>
    </x:row>
    <x:row r="343" ht="38" customHeight="1">
      <x:c r="A343" s="9" t="n">
        <x:v>335</x:v>
      </x:c>
      <x:c r="B343" s="8" t="str">
        <x:v>Eat time อีทไทม์ - Halal food</x:v>
      </x:c>
      <x:c r="C343" s="8" t="str">
        <x:v>สงขลา</x:v>
      </x:c>
      <x:c r="D343" s="8" t="str">
        <x:v>พร้อมขาย</x:v>
      </x:c>
      <x:c r="E343" s="8" t="str">
        <x:v>ร้านอาหารและคาเฟ่</x:v>
      </x:c>
      <x:c r="F343" s="38" t="n">
        <x:v>46316</x:v>
      </x:c>
      <x:c r="G343" s="8" t="str">
        <x:v>TMF-216</x:v>
      </x:c>
      <x:c r="H343" s="39" t="str">
        <x:v>07</x:v>
      </x:c>
      <x:c r="I343" s="8" t="str">
        <x:v>Sea, Soul &amp; Serenity</x:v>
      </x:c>
      <x:c r="J343" s="8" t="str">
        <x:v>ตัวเลือกเสริม</x:v>
      </x:c>
      <x:c r="K343" s="8" t="str">
        <x:v>ร้านอาหาร</x:v>
      </x:c>
      <x:c r="L343" s="8" t="str">
        <x:f>INDEX('ประเมินเกณฑ์'!$AE$9:$AE$608,MATCH(G343,'ประเมินเกณฑ์'!$A$9:$A$608,0))</x:f>
        <x:v>รอประเมิน</x:v>
      </x:c>
      <x:c r="M343" s="8" t="str">
        <x:v>สถานที่ในจังหวัดเส้นทาง รอตรวจระยะทางและลำดับ</x:v>
      </x:c>
      <x:c r="N343" s="8" t="str">
        <x:v>ยังไม่ยืนยันการเปิดให้บริการปัจจุบัน</x:v>
      </x:c>
      <x:c r="O343" s="40" t="n">
        <x:v>46315</x:v>
      </x:c>
    </x:row>
    <x:row r="344" ht="38" customHeight="1">
      <x:c r="A344" s="9" t="n">
        <x:v>336</x:v>
      </x:c>
      <x:c r="B344" s="8" t="str">
        <x:v>Nikudake Halal Wagyu Sukiyaki</x:v>
      </x:c>
      <x:c r="C344" s="8" t="str">
        <x:v>สงขลา</x:v>
      </x:c>
      <x:c r="D344" s="8" t="str">
        <x:v>พร้อมขาย</x:v>
      </x:c>
      <x:c r="E344" s="8" t="str">
        <x:v>ร้านอาหารและคาเฟ่</x:v>
      </x:c>
      <x:c r="F344" s="38" t="n">
        <x:v>46316</x:v>
      </x:c>
      <x:c r="G344" s="8" t="str">
        <x:v>GMHI-48</x:v>
      </x:c>
      <x:c r="H344" s="39" t="str">
        <x:v>07</x:v>
      </x:c>
      <x:c r="I344" s="8" t="str">
        <x:v>Sea, Soul &amp; Serenity</x:v>
      </x:c>
      <x:c r="J344" s="8" t="str">
        <x:v>ตัวเลือกเสริม</x:v>
      </x:c>
      <x:c r="K344" s="8" t="str">
        <x:v>ร้านอาหารและคาเฟ่</x:v>
      </x:c>
      <x:c r="L344" s="8" t="str">
        <x:f>INDEX('ประเมินเกณฑ์'!$AE$9:$AE$608,MATCH(G344,'ประเมินเกณฑ์'!$A$9:$A$608,0))</x:f>
        <x:v>รอประเมิน</x:v>
      </x:c>
      <x:c r="M344" s="8" t="str">
        <x:v>สถานที่ในจังหวัดเส้นทาง รอตรวจระยะทางและลำดับ</x:v>
      </x:c>
      <x:c r="N344" s="8" t="str">
        <x:v>ยังไม่ยืนยันการเปิดให้บริการปัจจุบัน</x:v>
      </x:c>
      <x:c r="O344" s="40" t="n">
        <x:v>46315</x:v>
      </x:c>
    </x:row>
    <x:row r="345" ht="38" customHeight="1">
      <x:c r="A345" s="9" t="n">
        <x:v>337</x:v>
      </x:c>
      <x:c r="B345" s="8" t="str">
        <x:v>Ozone ลวกเส้นตำแซ่บหาดใหญ่</x:v>
      </x:c>
      <x:c r="C345" s="8" t="str">
        <x:v>สงขลา</x:v>
      </x:c>
      <x:c r="D345" s="8" t="str">
        <x:v>พร้อมขาย</x:v>
      </x:c>
      <x:c r="E345" s="8" t="str">
        <x:v>ร้านอาหารและคาเฟ่</x:v>
      </x:c>
      <x:c r="F345" s="38" t="n">
        <x:v>46316</x:v>
      </x:c>
      <x:c r="G345" s="8" t="str">
        <x:v>TMF-217</x:v>
      </x:c>
      <x:c r="H345" s="39" t="str">
        <x:v>07</x:v>
      </x:c>
      <x:c r="I345" s="8" t="str">
        <x:v>Sea, Soul &amp; Serenity</x:v>
      </x:c>
      <x:c r="J345" s="8" t="str">
        <x:v>ตัวเลือกเสริม</x:v>
      </x:c>
      <x:c r="K345" s="8" t="str">
        <x:v>ร้านอาหาร</x:v>
      </x:c>
      <x:c r="L345" s="8" t="str">
        <x:f>INDEX('ประเมินเกณฑ์'!$AE$9:$AE$608,MATCH(G345,'ประเมินเกณฑ์'!$A$9:$A$608,0))</x:f>
        <x:v>รอประเมิน</x:v>
      </x:c>
      <x:c r="M345" s="8" t="str">
        <x:v>สถานที่ในจังหวัดเส้นทาง รอตรวจระยะทางและลำดับ</x:v>
      </x:c>
      <x:c r="N345" s="8" t="str">
        <x:v>ยังไม่ยืนยันการเปิดให้บริการปัจจุบัน</x:v>
      </x:c>
      <x:c r="O345" s="40" t="n">
        <x:v>46315</x:v>
      </x:c>
    </x:row>
    <x:row r="346" ht="38" customHeight="1">
      <x:c r="A346" s="9" t="n">
        <x:v>338</x:v>
      </x:c>
      <x:c r="B346" s="8" t="str">
        <x:v>PUN Chocolate</x:v>
      </x:c>
      <x:c r="C346" s="8" t="str">
        <x:v>สงขลา</x:v>
      </x:c>
      <x:c r="D346" s="8" t="str">
        <x:v>พัฒนาเพื่อพร้อมขาย</x:v>
      </x:c>
      <x:c r="E346" s="8" t="str">
        <x:v>ร้านอาหารและคาเฟ่</x:v>
      </x:c>
      <x:c r="F346" s="38" t="n">
        <x:v>46316</x:v>
      </x:c>
      <x:c r="G346" s="8" t="str">
        <x:v>GMHI-7</x:v>
      </x:c>
      <x:c r="H346" s="39" t="str">
        <x:v>07</x:v>
      </x:c>
      <x:c r="I346" s="8" t="str">
        <x:v>Sea, Soul &amp; Serenity</x:v>
      </x:c>
      <x:c r="J346" s="8" t="str">
        <x:v>ตัวเลือกเสริม</x:v>
      </x:c>
      <x:c r="K346" s="8" t="str">
        <x:v>ร้านอาหารและคาเฟ่</x:v>
      </x:c>
      <x:c r="L346" s="8" t="str">
        <x:f>INDEX('ประเมินเกณฑ์'!$AE$9:$AE$608,MATCH(G346,'ประเมินเกณฑ์'!$A$9:$A$608,0))</x:f>
        <x:v>รอประเมิน</x:v>
      </x:c>
      <x:c r="M346" s="8" t="str">
        <x:v>สถานที่ในจังหวัดเส้นทาง รอตรวจระยะทางและลำดับ</x:v>
      </x:c>
      <x:c r="N346" s="8" t="str">
        <x:v>ยังไม่ยืนยันการเปิดให้บริการปัจจุบัน</x:v>
      </x:c>
      <x:c r="O346" s="40" t="n">
        <x:v>46315</x:v>
      </x:c>
    </x:row>
    <x:row r="347" ht="38" customHeight="1">
      <x:c r="A347" s="9" t="n">
        <x:v>339</x:v>
      </x:c>
      <x:c r="B347" s="8" t="str">
        <x:v>มิตรไมตรี dining café hatyai village</x:v>
      </x:c>
      <x:c r="C347" s="8" t="str">
        <x:v>สงขลา</x:v>
      </x:c>
      <x:c r="D347" s="8" t="str">
        <x:v>พร้อมขาย</x:v>
      </x:c>
      <x:c r="E347" s="8" t="str">
        <x:v>ร้านอาหารและคาเฟ่</x:v>
      </x:c>
      <x:c r="F347" s="38" t="n">
        <x:v>46316</x:v>
      </x:c>
      <x:c r="G347" s="8" t="str">
        <x:v>GMHI-54</x:v>
      </x:c>
      <x:c r="H347" s="39" t="str">
        <x:v>07</x:v>
      </x:c>
      <x:c r="I347" s="8" t="str">
        <x:v>Sea, Soul &amp; Serenity</x:v>
      </x:c>
      <x:c r="J347" s="8" t="str">
        <x:v>ตัวเลือกเสริม</x:v>
      </x:c>
      <x:c r="K347" s="8" t="str">
        <x:v>ร้านอาหารและคาเฟ่</x:v>
      </x:c>
      <x:c r="L347" s="8" t="str">
        <x:f>INDEX('ประเมินเกณฑ์'!$AE$9:$AE$608,MATCH(G347,'ประเมินเกณฑ์'!$A$9:$A$608,0))</x:f>
        <x:v>รอประเมิน</x:v>
      </x:c>
      <x:c r="M347" s="8" t="str">
        <x:v>สถานที่ในจังหวัดเส้นทาง รอตรวจระยะทางและลำดับ</x:v>
      </x:c>
      <x:c r="N347" s="8" t="str">
        <x:v>ยังไม่ยืนยันการเปิดให้บริการปัจจุบัน</x:v>
      </x:c>
      <x:c r="O347" s="40" t="n">
        <x:v>46315</x:v>
      </x:c>
    </x:row>
    <x:row r="348" ht="38" customHeight="1">
      <x:c r="A348" s="9" t="n">
        <x:v>340</x:v>
      </x:c>
      <x:c r="B348" s="8" t="str">
        <x:v>สภากาแฟ’36 สาขาหาดใหญ่</x:v>
      </x:c>
      <x:c r="C348" s="8" t="str">
        <x:v>สงขลา</x:v>
      </x:c>
      <x:c r="D348" s="8" t="str">
        <x:v>พร้อมขาย</x:v>
      </x:c>
      <x:c r="E348" s="8" t="str">
        <x:v>ร้านอาหารและคาเฟ่</x:v>
      </x:c>
      <x:c r="F348" s="38" t="n">
        <x:v>46316</x:v>
      </x:c>
      <x:c r="G348" s="8" t="str">
        <x:v>GMHI-47</x:v>
      </x:c>
      <x:c r="H348" s="39" t="str">
        <x:v>07</x:v>
      </x:c>
      <x:c r="I348" s="8" t="str">
        <x:v>Sea, Soul &amp; Serenity</x:v>
      </x:c>
      <x:c r="J348" s="8" t="str">
        <x:v>ตัวเลือกเสริม</x:v>
      </x:c>
      <x:c r="K348" s="8" t="str">
        <x:v>ร้านอาหารและคาเฟ่</x:v>
      </x:c>
      <x:c r="L348" s="8" t="str">
        <x:f>INDEX('ประเมินเกณฑ์'!$AE$9:$AE$608,MATCH(G348,'ประเมินเกณฑ์'!$A$9:$A$608,0))</x:f>
        <x:v>รอประเมิน</x:v>
      </x:c>
      <x:c r="M348" s="8" t="str">
        <x:v>สถานที่ในจังหวัดเส้นทาง รอตรวจระยะทางและลำดับ</x:v>
      </x:c>
      <x:c r="N348" s="8" t="str">
        <x:v>ยังไม่ยืนยันการเปิดให้บริการปัจจุบัน</x:v>
      </x:c>
      <x:c r="O348" s="40" t="n">
        <x:v>46315</x:v>
      </x:c>
    </x:row>
    <x:row r="349" ht="38" customHeight="1">
      <x:c r="A349" s="9" t="n">
        <x:v>341</x:v>
      </x:c>
      <x:c r="B349" s="8" t="str">
        <x:v>เดอบัง สเต็ก - De' Bung สาขา ถนนเพชรเกษม หาดใหญ่ใน</x:v>
      </x:c>
      <x:c r="C349" s="8" t="str">
        <x:v>สงขลา</x:v>
      </x:c>
      <x:c r="D349" s="8" t="str">
        <x:v>พร้อมขาย</x:v>
      </x:c>
      <x:c r="E349" s="8" t="str">
        <x:v>ร้านอาหารและคาเฟ่</x:v>
      </x:c>
      <x:c r="F349" s="38" t="n">
        <x:v>46316</x:v>
      </x:c>
      <x:c r="G349" s="8" t="str">
        <x:v>TMF-218</x:v>
      </x:c>
      <x:c r="H349" s="39" t="str">
        <x:v>07</x:v>
      </x:c>
      <x:c r="I349" s="8" t="str">
        <x:v>Sea, Soul &amp; Serenity</x:v>
      </x:c>
      <x:c r="J349" s="8" t="str">
        <x:v>ตัวเลือกเสริม</x:v>
      </x:c>
      <x:c r="K349" s="8" t="str">
        <x:v>ร้านอาหาร</x:v>
      </x:c>
      <x:c r="L349" s="8" t="str">
        <x:f>INDEX('ประเมินเกณฑ์'!$AE$9:$AE$608,MATCH(G349,'ประเมินเกณฑ์'!$A$9:$A$608,0))</x:f>
        <x:v>รอประเมิน</x:v>
      </x:c>
      <x:c r="M349" s="8" t="str">
        <x:v>สถานที่ในจังหวัดเส้นทาง รอตรวจระยะทางและลำดับ</x:v>
      </x:c>
      <x:c r="N349" s="8" t="str">
        <x:v>ยังไม่ยืนยันการเปิดให้บริการปัจจุบัน</x:v>
      </x:c>
      <x:c r="O349" s="40" t="n">
        <x:v>46315</x:v>
      </x:c>
    </x:row>
    <x:row r="350" ht="38" customHeight="1">
      <x:c r="A350" s="9" t="n">
        <x:v>342</x:v>
      </x:c>
      <x:c r="B350" s="8" t="str">
        <x:v>เนื้อล้วนล้วน Halal Wagyu Yakiniku Hatyai</x:v>
      </x:c>
      <x:c r="C350" s="8" t="str">
        <x:v>สงขลา</x:v>
      </x:c>
      <x:c r="D350" s="8" t="str">
        <x:v>พัฒนาเพื่อพร้อมขาย</x:v>
      </x:c>
      <x:c r="E350" s="8" t="str">
        <x:v>ร้านอาหารและคาเฟ่</x:v>
      </x:c>
      <x:c r="F350" s="38" t="n">
        <x:v>46316</x:v>
      </x:c>
      <x:c r="G350" s="8" t="str">
        <x:v>GMHI-50</x:v>
      </x:c>
      <x:c r="H350" s="39" t="str">
        <x:v>07</x:v>
      </x:c>
      <x:c r="I350" s="8" t="str">
        <x:v>Sea, Soul &amp; Serenity</x:v>
      </x:c>
      <x:c r="J350" s="8" t="str">
        <x:v>ตัวเลือกเสริม</x:v>
      </x:c>
      <x:c r="K350" s="8" t="str">
        <x:v>ร้านอาหารและคาเฟ่</x:v>
      </x:c>
      <x:c r="L350" s="8" t="str">
        <x:f>INDEX('ประเมินเกณฑ์'!$AE$9:$AE$608,MATCH(G350,'ประเมินเกณฑ์'!$A$9:$A$608,0))</x:f>
        <x:v>รอประเมิน</x:v>
      </x:c>
      <x:c r="M350" s="8" t="str">
        <x:v>สถานที่ในจังหวัดเส้นทาง รอตรวจระยะทางและลำดับ</x:v>
      </x:c>
      <x:c r="N350" s="8" t="str">
        <x:v>ยังไม่ยืนยันการเปิดให้บริการปัจจุบัน</x:v>
      </x:c>
      <x:c r="O350" s="40" t="n">
        <x:v>46315</x:v>
      </x:c>
    </x:row>
    <x:row r="351" ht="38" customHeight="1">
      <x:c r="A351" s="9" t="n">
        <x:v>343</x:v>
      </x:c>
      <x:c r="B351" s="8" t="str">
        <x:v>Reborn</x:v>
      </x:c>
      <x:c r="C351" s="8" t="str">
        <x:v>สงขลา</x:v>
      </x:c>
      <x:c r="D351" s="8" t="str">
        <x:v>พัฒนาเพื่อพร้อมขาย</x:v>
      </x:c>
      <x:c r="E351" s="8" t="str">
        <x:v>สถานประกอบการเพื่อสุขภาพและเวลเนส</x:v>
      </x:c>
      <x:c r="F351" s="38" t="n">
        <x:v>46316</x:v>
      </x:c>
      <x:c r="G351" s="8" t="str">
        <x:v>GMHI-53</x:v>
      </x:c>
      <x:c r="H351" s="39" t="str">
        <x:v>07</x:v>
      </x:c>
      <x:c r="I351" s="8" t="str">
        <x:v>Sea, Soul &amp; Serenity</x:v>
      </x:c>
      <x:c r="J351" s="8" t="str">
        <x:v>ตัวเลือกเสริม</x:v>
      </x:c>
      <x:c r="K351" s="8" t="str">
        <x:v>สถานประกอบการเพื่อสุขภาพและเวลเนส</x:v>
      </x:c>
      <x:c r="L351" s="8" t="str">
        <x:f>INDEX('ประเมินเกณฑ์'!$AE$9:$AE$608,MATCH(G351,'ประเมินเกณฑ์'!$A$9:$A$608,0))</x:f>
        <x:v>รอประเมิน</x:v>
      </x:c>
      <x:c r="M351" s="8" t="str">
        <x:v>สถานที่ในจังหวัดเส้นทาง รอตรวจระยะทางและลำดับ</x:v>
      </x:c>
      <x:c r="N351" s="8" t="str">
        <x:v>ยังไม่ยืนยันการเปิดให้บริการปัจจุบัน</x:v>
      </x:c>
      <x:c r="O351" s="40" t="n">
        <x:v>46315</x:v>
      </x:c>
    </x:row>
    <x:row r="352" ht="38" customHeight="1">
      <x:c r="A352" s="9" t="n">
        <x:v>344</x:v>
      </x:c>
      <x:c r="B352" s="8" t="str">
        <x:v>Central Hatyai</x:v>
      </x:c>
      <x:c r="C352" s="8" t="str">
        <x:v>สงขลา</x:v>
      </x:c>
      <x:c r="D352" s="8" t="str">
        <x:v>มีศักยภาพ แต่ต้องพัฒนามาตรฐาน</x:v>
      </x:c>
      <x:c r="E352" s="8" t="str">
        <x:v>ศูนย์การค้า</x:v>
      </x:c>
      <x:c r="F352" s="38" t="n">
        <x:v>46316</x:v>
      </x:c>
      <x:c r="G352" s="8" t="str">
        <x:v>R26-267</x:v>
      </x:c>
      <x:c r="H352" s="39" t="str">
        <x:v>07</x:v>
      </x:c>
      <x:c r="I352" s="8" t="str">
        <x:v>Sea, Soul &amp; Serenity</x:v>
      </x:c>
      <x:c r="J352" s="8" t="str">
        <x:v>ตัวเลือกเสริม</x:v>
      </x:c>
      <x:c r="K352" s="8" t="str">
        <x:v>การค้า</x:v>
      </x:c>
      <x:c r="L352" s="8" t="str">
        <x:f>INDEX('ประเมินเกณฑ์'!$AE$9:$AE$608,MATCH(G352,'ประเมินเกณฑ์'!$A$9:$A$608,0))</x:f>
        <x:v>รอประเมิน</x:v>
      </x:c>
      <x:c r="M352" s="8" t="str">
        <x:v>สถานที่ในจังหวัดเส้นทาง รอตรวจระยะทางและลำดับ</x:v>
      </x:c>
      <x:c r="N352" s="8" t="str">
        <x:v>ยังไม่ยืนยันการเปิดให้บริการปัจจุบัน</x:v>
      </x:c>
      <x:c r="O352" s="40" t="n">
        <x:v>46316</x:v>
      </x:c>
    </x:row>
    <x:row r="353" ht="38" customHeight="1">
      <x:c r="A353" s="9" t="n">
        <x:v>345</x:v>
      </x:c>
      <x:c r="B353" s="8" t="str">
        <x:v>สวนสัตว์สงขลา</x:v>
      </x:c>
      <x:c r="C353" s="8" t="str">
        <x:v>สงขลา</x:v>
      </x:c>
      <x:c r="D353" s="8" t="str">
        <x:v>มีศักยภาพ แต่ต้องพัฒนามาตรฐาน</x:v>
      </x:c>
      <x:c r="E353" s="8" t="str">
        <x:v>ศูนย์กิจกรรมและนันทนาการ</x:v>
      </x:c>
      <x:c r="F353" s="38" t="n">
        <x:v>46316</x:v>
      </x:c>
      <x:c r="G353" s="8" t="str">
        <x:v>R26-309</x:v>
      </x:c>
      <x:c r="H353" s="39" t="str">
        <x:v>07</x:v>
      </x:c>
      <x:c r="I353" s="8" t="str">
        <x:v>Sea, Soul &amp; Serenity</x:v>
      </x:c>
      <x:c r="J353" s="8" t="str">
        <x:v>ตัวเลือกเสริม</x:v>
      </x:c>
      <x:c r="K353" s="8" t="str">
        <x:v>กิจกรรม</x:v>
      </x:c>
      <x:c r="L353" s="8" t="str">
        <x:f>INDEX('ประเมินเกณฑ์'!$AE$9:$AE$608,MATCH(G353,'ประเมินเกณฑ์'!$A$9:$A$608,0))</x:f>
        <x:v>รอประเมิน</x:v>
      </x:c>
      <x:c r="M353" s="8" t="str">
        <x:v>สถานที่ในจังหวัดเส้นทาง รอตรวจระยะทางและลำดับ</x:v>
      </x:c>
      <x:c r="N353" s="8" t="str">
        <x:v>ยังไม่ยืนยันการเปิดให้บริการปัจจุบัน</x:v>
      </x:c>
      <x:c r="O353" s="40" t="n">
        <x:v>46316</x:v>
      </x:c>
    </x:row>
    <x:row r="354" ht="38" customHeight="1">
      <x:c r="A354" s="9" t="n">
        <x:v>346</x:v>
      </x:c>
      <x:c r="B354" s="8" t="str">
        <x:v>ปราสาทหินพันยอด</x:v>
      </x:c>
      <x:c r="C354" s="8" t="str">
        <x:v>สตูล</x:v>
      </x:c>
      <x:c r="D354" s="8" t="str">
        <x:v>มีศักยภาพ แต่ต้องพัฒนามาตรฐาน</x:v>
      </x:c>
      <x:c r="E354" s="8" t="str">
        <x:v>แหล่งท่องเที่ยวทางธรรมชาติ</x:v>
      </x:c>
      <x:c r="F354" s="38" t="n">
        <x:v>46316</x:v>
      </x:c>
      <x:c r="G354" s="8" t="str">
        <x:v>R26-072</x:v>
      </x:c>
      <x:c r="H354" s="39" t="str">
        <x:v>07</x:v>
      </x:c>
      <x:c r="I354" s="8" t="str">
        <x:v>Sea, Soul &amp; Serenity</x:v>
      </x:c>
      <x:c r="J354" s="8" t="str">
        <x:v>2</x:v>
      </x:c>
      <x:c r="K354" s="8" t="str">
        <x:v>ธรรมชาติ</x:v>
      </x:c>
      <x:c r="L354" s="8" t="str">
        <x:f>INDEX('ประเมินเกณฑ์'!$AE$9:$AE$608,MATCH(G354,'ประเมินเกณฑ์'!$A$9:$A$608,0))</x:f>
        <x:v>รอประเมิน</x:v>
      </x:c>
      <x:c r="M354" s="8" t="str">
        <x:v>จุดในเอกสารเส้นทาง</x:v>
      </x:c>
      <x:c r="N354" s="8" t="str">
        <x:v>ยังไม่ยืนยันการเปิดให้บริการปัจจุบัน</x:v>
      </x:c>
      <x:c r="O354" s="40" t="n">
        <x:v>46316</x:v>
      </x:c>
    </x:row>
    <x:row r="355" ht="38" customHeight="1">
      <x:c r="A355" s="9" t="n">
        <x:v>347</x:v>
      </x:c>
      <x:c r="B355" s="8" t="str">
        <x:v>มัสยิดมำบัง</x:v>
      </x:c>
      <x:c r="C355" s="8" t="str">
        <x:v>สตูล</x:v>
      </x:c>
      <x:c r="D355" s="8" t="str">
        <x:v>มีศักยภาพ แต่ต้องพัฒนามาตรฐาน</x:v>
      </x:c>
      <x:c r="E355" s="8" t="str">
        <x:v>แหล่งท่องเที่ยวทางประวัติศาสตร์และวัฒนธรรม</x:v>
      </x:c>
      <x:c r="F355" s="38" t="n">
        <x:v>46316</x:v>
      </x:c>
      <x:c r="G355" s="8" t="str">
        <x:v>R26-075</x:v>
      </x:c>
      <x:c r="H355" s="39" t="str">
        <x:v>07</x:v>
      </x:c>
      <x:c r="I355" s="8" t="str">
        <x:v>Sea, Soul &amp; Serenity</x:v>
      </x:c>
      <x:c r="J355" s="8" t="str">
        <x:v>2</x:v>
      </x:c>
      <x:c r="K355" s="8" t="str">
        <x:v>มัสยิด</x:v>
      </x:c>
      <x:c r="L355" s="8" t="str">
        <x:f>INDEX('ประเมินเกณฑ์'!$AE$9:$AE$608,MATCH(G355,'ประเมินเกณฑ์'!$A$9:$A$608,0))</x:f>
        <x:v>รอประเมิน</x:v>
      </x:c>
      <x:c r="M355" s="8" t="str">
        <x:v>จุดในเอกสารเส้นทาง</x:v>
      </x:c>
      <x:c r="N355" s="8" t="str">
        <x:v>ยังไม่ยืนยันการเปิดให้บริการปัจจุบัน</x:v>
      </x:c>
      <x:c r="O355" s="40" t="n">
        <x:v>46316</x:v>
      </x:c>
    </x:row>
    <x:row r="356" ht="38" customHeight="1">
      <x:c r="A356" s="9" t="n">
        <x:v>348</x:v>
      </x:c>
      <x:c r="B356" s="8" t="str">
        <x:v>ชุมชนบ้านบ่อเจ็ดลูก</x:v>
      </x:c>
      <x:c r="C356" s="8" t="str">
        <x:v>สตูล</x:v>
      </x:c>
      <x:c r="D356" s="8" t="str">
        <x:v>มีศักยภาพ แต่ต้องพัฒนามาตรฐาน</x:v>
      </x:c>
      <x:c r="E356" s="8" t="str">
        <x:v>ชุมชนท่องเที่ยว</x:v>
      </x:c>
      <x:c r="F356" s="38" t="n">
        <x:v>46316</x:v>
      </x:c>
      <x:c r="G356" s="8" t="str">
        <x:v>R26-073</x:v>
      </x:c>
      <x:c r="H356" s="39" t="str">
        <x:v>07</x:v>
      </x:c>
      <x:c r="I356" s="8" t="str">
        <x:v>Sea, Soul &amp; Serenity</x:v>
      </x:c>
      <x:c r="J356" s="8" t="str">
        <x:v>2</x:v>
      </x:c>
      <x:c r="K356" s="8" t="str">
        <x:v>ชุมชน</x:v>
      </x:c>
      <x:c r="L356" s="8" t="str">
        <x:f>INDEX('ประเมินเกณฑ์'!$AE$9:$AE$608,MATCH(G356,'ประเมินเกณฑ์'!$A$9:$A$608,0))</x:f>
        <x:v>รอประเมิน</x:v>
      </x:c>
      <x:c r="M356" s="8" t="str">
        <x:v>จุดในเอกสารเส้นทาง</x:v>
      </x:c>
      <x:c r="N356" s="8" t="str">
        <x:v>ยังไม่ยืนยันการเปิดให้บริการปัจจุบัน</x:v>
      </x:c>
      <x:c r="O356" s="40" t="n">
        <x:v>46316</x:v>
      </x:c>
    </x:row>
    <x:row r="357" ht="38" customHeight="1">
      <x:c r="A357" s="9" t="n">
        <x:v>349</x:v>
      </x:c>
      <x:c r="B357" s="8" t="str">
        <x:v>Sinkiat Thani Hotel</x:v>
      </x:c>
      <x:c r="C357" s="8" t="str">
        <x:v>สตูล</x:v>
      </x:c>
      <x:c r="D357" s="8" t="str">
        <x:v>มีศักยภาพ แต่ต้องพัฒนามาตรฐาน</x:v>
      </x:c>
      <x:c r="E357" s="8" t="str">
        <x:v>ที่พัก</x:v>
      </x:c>
      <x:c r="F357" s="38" t="n">
        <x:v>46316</x:v>
      </x:c>
      <x:c r="G357" s="8" t="str">
        <x:v>R26-384</x:v>
      </x:c>
      <x:c r="H357" s="39" t="str">
        <x:v>07</x:v>
      </x:c>
      <x:c r="I357" s="8" t="str">
        <x:v>Sea, Soul &amp; Serenity</x:v>
      </x:c>
      <x:c r="J357" s="8" t="str">
        <x:v>ตัวเลือกเสริม</x:v>
      </x:c>
      <x:c r="K357" s="8" t="str">
        <x:v>ที่พัก</x:v>
      </x:c>
      <x:c r="L357" s="8" t="str">
        <x:f>INDEX('ประเมินเกณฑ์'!$AE$9:$AE$608,MATCH(G357,'ประเมินเกณฑ์'!$A$9:$A$608,0))</x:f>
        <x:v>รอประเมิน</x:v>
      </x:c>
      <x:c r="M357" s="8" t="str">
        <x:v>สถานที่ในจังหวัดเส้นทาง รอตรวจระยะทางและลำดับ</x:v>
      </x:c>
      <x:c r="N357" s="8" t="str">
        <x:v>ยังไม่ยืนยันการเปิดให้บริการปัจจุบัน</x:v>
      </x:c>
      <x:c r="O357" s="40" t="n">
        <x:v>46316</x:v>
      </x:c>
    </x:row>
    <x:row r="358" ht="38" customHeight="1">
      <x:c r="A358" s="9" t="n">
        <x:v>350</x:v>
      </x:c>
      <x:c r="B358" s="8" t="str">
        <x:v>ไมอามี่ ซีวิว</x:v>
      </x:c>
      <x:c r="C358" s="8" t="str">
        <x:v>สตูล</x:v>
      </x:c>
      <x:c r="D358" s="8" t="str">
        <x:v>พร้อมขาย</x:v>
      </x:c>
      <x:c r="E358" s="8" t="str">
        <x:v>ที่พัก</x:v>
      </x:c>
      <x:c r="F358" s="38" t="n">
        <x:v>46316</x:v>
      </x:c>
      <x:c r="G358" s="8" t="str">
        <x:v>TMF-222</x:v>
      </x:c>
      <x:c r="H358" s="39" t="str">
        <x:v>07</x:v>
      </x:c>
      <x:c r="I358" s="8" t="str">
        <x:v>Sea, Soul &amp; Serenity</x:v>
      </x:c>
      <x:c r="J358" s="8" t="str">
        <x:v>ตัวเลือกเสริม</x:v>
      </x:c>
      <x:c r="K358" s="8" t="str">
        <x:v>ที่พัก (ตรวจประเภทจากชื่อและข้อมูลประกอบ)</x:v>
      </x:c>
      <x:c r="L358" s="8" t="str">
        <x:f>INDEX('ประเมินเกณฑ์'!$AE$9:$AE$608,MATCH(G358,'ประเมินเกณฑ์'!$A$9:$A$608,0))</x:f>
        <x:v>รอประเมิน</x:v>
      </x:c>
      <x:c r="M358" s="8" t="str">
        <x:v>สถานที่ในจังหวัดเส้นทาง รอตรวจระยะทางและลำดับ</x:v>
      </x:c>
      <x:c r="N358" s="8" t="str">
        <x:v>ยังไม่ยืนยันการเปิดให้บริการปัจจุบัน</x:v>
      </x:c>
      <x:c r="O358" s="40" t="n">
        <x:v>46315</x:v>
      </x:c>
    </x:row>
    <x:row r="359" ht="38" customHeight="1">
      <x:c r="A359" s="9" t="n">
        <x:v>351</x:v>
      </x:c>
      <x:c r="B359" s="8" t="str">
        <x:v>SP ติ่มซำฮาลาล</x:v>
      </x:c>
      <x:c r="C359" s="8" t="str">
        <x:v>สตูล</x:v>
      </x:c>
      <x:c r="D359" s="8" t="str">
        <x:v>มีศักยภาพ แต่ต้องพัฒนามาตรฐาน</x:v>
      </x:c>
      <x:c r="E359" s="8" t="str">
        <x:v>ร้านอาหารและคาเฟ่</x:v>
      </x:c>
      <x:c r="F359" s="38" t="n">
        <x:v>46316</x:v>
      </x:c>
      <x:c r="G359" s="8" t="str">
        <x:v>R26-347</x:v>
      </x:c>
      <x:c r="H359" s="39" t="str">
        <x:v>07</x:v>
      </x:c>
      <x:c r="I359" s="8" t="str">
        <x:v>Sea, Soul &amp; Serenity</x:v>
      </x:c>
      <x:c r="J359" s="8" t="str">
        <x:v>ตัวเลือกเสริม</x:v>
      </x:c>
      <x:c r="K359" s="8" t="str">
        <x:v>อาหาร</x:v>
      </x:c>
      <x:c r="L359" s="8" t="str">
        <x:f>INDEX('ประเมินเกณฑ์'!$AE$9:$AE$608,MATCH(G359,'ประเมินเกณฑ์'!$A$9:$A$608,0))</x:f>
        <x:v>รอประเมิน</x:v>
      </x:c>
      <x:c r="M359" s="8" t="str">
        <x:v>สถานที่ในจังหวัดเส้นทาง รอตรวจระยะทางและลำดับ</x:v>
      </x:c>
      <x:c r="N359" s="8" t="str">
        <x:v>ยังไม่ยืนยันการเปิดให้บริการปัจจุบัน</x:v>
      </x:c>
      <x:c r="O359" s="40" t="n">
        <x:v>46316</x:v>
      </x:c>
    </x:row>
    <x:row r="360" ht="38" customHeight="1">
      <x:c r="A360" s="9" t="n">
        <x:v>352</x:v>
      </x:c>
      <x:c r="B360" s="8" t="str">
        <x:v>ครัวฮาลาล บขส.สตูล</x:v>
      </x:c>
      <x:c r="C360" s="8" t="str">
        <x:v>สตูล</x:v>
      </x:c>
      <x:c r="D360" s="8" t="str">
        <x:v>มีศักยภาพ แต่ต้องพัฒนามาตรฐาน</x:v>
      </x:c>
      <x:c r="E360" s="8" t="str">
        <x:v>ร้านอาหารและคาเฟ่</x:v>
      </x:c>
      <x:c r="F360" s="38" t="n">
        <x:v>46316</x:v>
      </x:c>
      <x:c r="G360" s="8" t="str">
        <x:v>R26-349</x:v>
      </x:c>
      <x:c r="H360" s="39" t="str">
        <x:v>07</x:v>
      </x:c>
      <x:c r="I360" s="8" t="str">
        <x:v>Sea, Soul &amp; Serenity</x:v>
      </x:c>
      <x:c r="J360" s="8" t="str">
        <x:v>ตัวเลือกเสริม</x:v>
      </x:c>
      <x:c r="K360" s="8" t="str">
        <x:v>อาหาร</x:v>
      </x:c>
      <x:c r="L360" s="8" t="str">
        <x:f>INDEX('ประเมินเกณฑ์'!$AE$9:$AE$608,MATCH(G360,'ประเมินเกณฑ์'!$A$9:$A$608,0))</x:f>
        <x:v>รอประเมิน</x:v>
      </x:c>
      <x:c r="M360" s="8" t="str">
        <x:v>สถานที่ในจังหวัดเส้นทาง รอตรวจระยะทางและลำดับ</x:v>
      </x:c>
      <x:c r="N360" s="8" t="str">
        <x:v>ยังไม่ยืนยันการเปิดให้บริการปัจจุบัน</x:v>
      </x:c>
      <x:c r="O360" s="40" t="n">
        <x:v>46316</x:v>
      </x:c>
    </x:row>
    <x:row r="361" ht="38" customHeight="1">
      <x:c r="A361" s="9" t="n">
        <x:v>353</x:v>
      </x:c>
      <x:c r="B361" s="8" t="str">
        <x:v>บาราโรตี</x:v>
      </x:c>
      <x:c r="C361" s="8" t="str">
        <x:v>สตูล</x:v>
      </x:c>
      <x:c r="D361" s="8" t="str">
        <x:v>มีศักยภาพ แต่ต้องพัฒนามาตรฐาน</x:v>
      </x:c>
      <x:c r="E361" s="8" t="str">
        <x:v>ร้านอาหารและคาเฟ่</x:v>
      </x:c>
      <x:c r="F361" s="38" t="n">
        <x:v>46316</x:v>
      </x:c>
      <x:c r="G361" s="8" t="str">
        <x:v>R26-348</x:v>
      </x:c>
      <x:c r="H361" s="39" t="str">
        <x:v>07</x:v>
      </x:c>
      <x:c r="I361" s="8" t="str">
        <x:v>Sea, Soul &amp; Serenity</x:v>
      </x:c>
      <x:c r="J361" s="8" t="str">
        <x:v>ตัวเลือกเสริม</x:v>
      </x:c>
      <x:c r="K361" s="8" t="str">
        <x:v>อาหาร</x:v>
      </x:c>
      <x:c r="L361" s="8" t="str">
        <x:f>INDEX('ประเมินเกณฑ์'!$AE$9:$AE$608,MATCH(G361,'ประเมินเกณฑ์'!$A$9:$A$608,0))</x:f>
        <x:v>รอประเมิน</x:v>
      </x:c>
      <x:c r="M361" s="8" t="str">
        <x:v>สถานที่ในจังหวัดเส้นทาง รอตรวจระยะทางและลำดับ</x:v>
      </x:c>
      <x:c r="N361" s="8" t="str">
        <x:v>ยังไม่ยืนยันการเปิดให้บริการปัจจุบัน</x:v>
      </x:c>
      <x:c r="O361" s="40" t="n">
        <x:v>46316</x:v>
      </x:c>
    </x:row>
    <x:row r="362" ht="38" customHeight="1">
      <x:c r="A362" s="9" t="n">
        <x:v>354</x:v>
      </x:c>
      <x:c r="B362" s="8" t="str">
        <x:v>วังรายา คาเฟ่</x:v>
      </x:c>
      <x:c r="C362" s="8" t="str">
        <x:v>สตูล</x:v>
      </x:c>
      <x:c r="D362" s="8" t="str">
        <x:v>พร้อมขาย</x:v>
      </x:c>
      <x:c r="E362" s="8" t="str">
        <x:v>ร้านอาหารและคาเฟ่</x:v>
      </x:c>
      <x:c r="F362" s="38" t="n">
        <x:v>46316</x:v>
      </x:c>
      <x:c r="G362" s="8" t="str">
        <x:v>TMF-219</x:v>
      </x:c>
      <x:c r="H362" s="39" t="str">
        <x:v>07</x:v>
      </x:c>
      <x:c r="I362" s="8" t="str">
        <x:v>Sea, Soul &amp; Serenity</x:v>
      </x:c>
      <x:c r="J362" s="8" t="str">
        <x:v>ตัวเลือกเสริม</x:v>
      </x:c>
      <x:c r="K362" s="8" t="str">
        <x:v>คาเฟ่และร้านของหวาน</x:v>
      </x:c>
      <x:c r="L362" s="8" t="str">
        <x:f>INDEX('ประเมินเกณฑ์'!$AE$9:$AE$608,MATCH(G362,'ประเมินเกณฑ์'!$A$9:$A$608,0))</x:f>
        <x:v>รอประเมิน</x:v>
      </x:c>
      <x:c r="M362" s="8" t="str">
        <x:v>สถานที่ในจังหวัดเส้นทาง รอตรวจระยะทางและลำดับ</x:v>
      </x:c>
      <x:c r="N362" s="8" t="str">
        <x:v>ยังไม่ยืนยันการเปิดให้บริการปัจจุบัน</x:v>
      </x:c>
      <x:c r="O362" s="40" t="n">
        <x:v>46315</x:v>
      </x:c>
    </x:row>
    <x:row r="363" ht="38" customHeight="1">
      <x:c r="A363" s="9" t="n">
        <x:v>355</x:v>
      </x:c>
      <x:c r="B363" s="8" t="str">
        <x:v>เริน coffee beef plant</x:v>
      </x:c>
      <x:c r="C363" s="8" t="str">
        <x:v>สตูล</x:v>
      </x:c>
      <x:c r="D363" s="8" t="str">
        <x:v>พร้อมขาย</x:v>
      </x:c>
      <x:c r="E363" s="8" t="str">
        <x:v>ร้านอาหารและคาเฟ่</x:v>
      </x:c>
      <x:c r="F363" s="38" t="n">
        <x:v>46316</x:v>
      </x:c>
      <x:c r="G363" s="8" t="str">
        <x:v>TMF-220</x:v>
      </x:c>
      <x:c r="H363" s="39" t="str">
        <x:v>07</x:v>
      </x:c>
      <x:c r="I363" s="8" t="str">
        <x:v>Sea, Soul &amp; Serenity</x:v>
      </x:c>
      <x:c r="J363" s="8" t="str">
        <x:v>ตัวเลือกเสริม</x:v>
      </x:c>
      <x:c r="K363" s="8" t="str">
        <x:v>คาเฟ่และร้านของหวาน</x:v>
      </x:c>
      <x:c r="L363" s="8" t="str">
        <x:f>INDEX('ประเมินเกณฑ์'!$AE$9:$AE$608,MATCH(G363,'ประเมินเกณฑ์'!$A$9:$A$608,0))</x:f>
        <x:v>รอประเมิน</x:v>
      </x:c>
      <x:c r="M363" s="8" t="str">
        <x:v>สถานที่ในจังหวัดเส้นทาง รอตรวจระยะทางและลำดับ</x:v>
      </x:c>
      <x:c r="N363" s="8" t="str">
        <x:v>ยังไม่ยืนยันการเปิดให้บริการปัจจุบัน</x:v>
      </x:c>
      <x:c r="O363" s="40" t="n">
        <x:v>46315</x:v>
      </x:c>
    </x:row>
    <x:row r="364" ht="38" customHeight="1">
      <x:c r="A364" s="9" t="n">
        <x:v>356</x:v>
      </x:c>
      <x:c r="B364" s="8" t="str">
        <x:v>แอ่นแอ้นคาเฟ่</x:v>
      </x:c>
      <x:c r="C364" s="8" t="str">
        <x:v>สตูล</x:v>
      </x:c>
      <x:c r="D364" s="8" t="str">
        <x:v>พร้อมขาย</x:v>
      </x:c>
      <x:c r="E364" s="8" t="str">
        <x:v>ร้านอาหารและคาเฟ่</x:v>
      </x:c>
      <x:c r="F364" s="38" t="n">
        <x:v>46316</x:v>
      </x:c>
      <x:c r="G364" s="8" t="str">
        <x:v>TMF-221</x:v>
      </x:c>
      <x:c r="H364" s="39" t="str">
        <x:v>07</x:v>
      </x:c>
      <x:c r="I364" s="8" t="str">
        <x:v>Sea, Soul &amp; Serenity</x:v>
      </x:c>
      <x:c r="J364" s="8" t="str">
        <x:v>ตัวเลือกเสริม</x:v>
      </x:c>
      <x:c r="K364" s="8" t="str">
        <x:v>คาเฟ่และร้านของหวาน</x:v>
      </x:c>
      <x:c r="L364" s="8" t="str">
        <x:f>INDEX('ประเมินเกณฑ์'!$AE$9:$AE$608,MATCH(G364,'ประเมินเกณฑ์'!$A$9:$A$608,0))</x:f>
        <x:v>รอประเมิน</x:v>
      </x:c>
      <x:c r="M364" s="8" t="str">
        <x:v>สถานที่ในจังหวัดเส้นทาง รอตรวจระยะทางและลำดับ</x:v>
      </x:c>
      <x:c r="N364" s="8" t="str">
        <x:v>ยังไม่ยืนยันการเปิดให้บริการปัจจุบัน</x:v>
      </x:c>
      <x:c r="O364" s="40" t="n">
        <x:v>46315</x:v>
      </x:c>
    </x:row>
    <x:row r="365" ht="38" customHeight="1">
      <x:c r="A365" s="9" t="n">
        <x:v>357</x:v>
      </x:c>
      <x:c r="B365" s="8" t="str">
        <x:v>ถ้ำเลสเตโกดอน</x:v>
      </x:c>
      <x:c r="C365" s="8" t="str">
        <x:v>สตูล</x:v>
      </x:c>
      <x:c r="D365" s="8" t="str">
        <x:v>มีศักยภาพ แต่ต้องพัฒนามาตรฐาน</x:v>
      </x:c>
      <x:c r="E365" s="8" t="str">
        <x:v>แหล่งท่องเที่ยวทางธรรมชาติ</x:v>
      </x:c>
      <x:c r="F365" s="38" t="n">
        <x:v>46316</x:v>
      </x:c>
      <x:c r="G365" s="8" t="str">
        <x:v>R26-169</x:v>
      </x:c>
      <x:c r="H365" s="39" t="str">
        <x:v>07</x:v>
      </x:c>
      <x:c r="I365" s="8" t="str">
        <x:v>Sea, Soul &amp; Serenity</x:v>
      </x:c>
      <x:c r="J365" s="8" t="str">
        <x:v>ตัวเลือกเสริม</x:v>
      </x:c>
      <x:c r="K365" s="8" t="str">
        <x:v>ธรรมชาติ</x:v>
      </x:c>
      <x:c r="L365" s="8" t="str">
        <x:f>INDEX('ประเมินเกณฑ์'!$AE$9:$AE$608,MATCH(G365,'ประเมินเกณฑ์'!$A$9:$A$608,0))</x:f>
        <x:v>รอประเมิน</x:v>
      </x:c>
      <x:c r="M365" s="8" t="str">
        <x:v>สถานที่ในจังหวัดเส้นทาง รอตรวจระยะทางและลำดับ</x:v>
      </x:c>
      <x:c r="N365" s="8" t="str">
        <x:v>ยังไม่ยืนยันการเปิดให้บริการปัจจุบัน</x:v>
      </x:c>
      <x:c r="O365" s="40" t="n">
        <x:v>46316</x:v>
      </x:c>
    </x:row>
    <x:row r="366" ht="38" customHeight="1">
      <x:c r="A366" s="9" t="n">
        <x:v>358</x:v>
      </x:c>
      <x:c r="B366" s="8" t="str">
        <x:v>หาดปากบารา</x:v>
      </x:c>
      <x:c r="C366" s="8" t="str">
        <x:v>สตูล</x:v>
      </x:c>
      <x:c r="D366" s="8" t="str">
        <x:v>มีศักยภาพ แต่ต้องพัฒนามาตรฐาน</x:v>
      </x:c>
      <x:c r="E366" s="8" t="str">
        <x:v>แหล่งท่องเที่ยวทางธรรมชาติ</x:v>
      </x:c>
      <x:c r="F366" s="38" t="n">
        <x:v>46316</x:v>
      </x:c>
      <x:c r="G366" s="8" t="str">
        <x:v>R26-170</x:v>
      </x:c>
      <x:c r="H366" s="39" t="str">
        <x:v>07</x:v>
      </x:c>
      <x:c r="I366" s="8" t="str">
        <x:v>Sea, Soul &amp; Serenity</x:v>
      </x:c>
      <x:c r="J366" s="8" t="str">
        <x:v>ตัวเลือกเสริม</x:v>
      </x:c>
      <x:c r="K366" s="8" t="str">
        <x:v>ธรรมชาติ</x:v>
      </x:c>
      <x:c r="L366" s="8" t="str">
        <x:f>INDEX('ประเมินเกณฑ์'!$AE$9:$AE$608,MATCH(G366,'ประเมินเกณฑ์'!$A$9:$A$608,0))</x:f>
        <x:v>รอประเมิน</x:v>
      </x:c>
      <x:c r="M366" s="8" t="str">
        <x:v>สถานที่ในจังหวัดเส้นทาง รอตรวจระยะทางและลำดับ</x:v>
      </x:c>
      <x:c r="N366" s="8" t="str">
        <x:v>ยังไม่ยืนยันการเปิดให้บริการปัจจุบัน</x:v>
      </x:c>
      <x:c r="O366" s="40" t="n">
        <x:v>46316</x:v>
      </x:c>
    </x:row>
    <x:row r="367" ht="38" customHeight="1">
      <x:c r="A367" s="9" t="n">
        <x:v>359</x:v>
      </x:c>
      <x:c r="B367" s="8" t="str">
        <x:v>อุทยานแห่งชาติทะเลบัน</x:v>
      </x:c>
      <x:c r="C367" s="8" t="str">
        <x:v>สตูล</x:v>
      </x:c>
      <x:c r="D367" s="8" t="str">
        <x:v>มีศักยภาพ แต่ต้องพัฒนามาตรฐาน</x:v>
      </x:c>
      <x:c r="E367" s="8" t="str">
        <x:v>แหล่งท่องเที่ยวทางธรรมชาติ</x:v>
      </x:c>
      <x:c r="F367" s="38" t="n">
        <x:v>46316</x:v>
      </x:c>
      <x:c r="G367" s="8" t="str">
        <x:v>R26-167</x:v>
      </x:c>
      <x:c r="H367" s="39" t="str">
        <x:v>07</x:v>
      </x:c>
      <x:c r="I367" s="8" t="str">
        <x:v>Sea, Soul &amp; Serenity</x:v>
      </x:c>
      <x:c r="J367" s="8" t="str">
        <x:v>ตัวเลือกเสริม</x:v>
      </x:c>
      <x:c r="K367" s="8" t="str">
        <x:v>ธรรมชาติ</x:v>
      </x:c>
      <x:c r="L367" s="8" t="str">
        <x:f>INDEX('ประเมินเกณฑ์'!$AE$9:$AE$608,MATCH(G367,'ประเมินเกณฑ์'!$A$9:$A$608,0))</x:f>
        <x:v>รอประเมิน</x:v>
      </x:c>
      <x:c r="M367" s="8" t="str">
        <x:v>สถานที่ในจังหวัดเส้นทาง รอตรวจระยะทางและลำดับ</x:v>
      </x:c>
      <x:c r="N367" s="8" t="str">
        <x:v>ยังไม่ยืนยันการเปิดให้บริการปัจจุบัน</x:v>
      </x:c>
      <x:c r="O367" s="40" t="n">
        <x:v>46316</x:v>
      </x:c>
    </x:row>
    <x:row r="368" ht="38" customHeight="1">
      <x:c r="A368" s="9" t="n">
        <x:v>360</x:v>
      </x:c>
      <x:c r="B368" s="8" t="str">
        <x:v>อุทยานแห่งชาติหมู่เกาะเภตรา</x:v>
      </x:c>
      <x:c r="C368" s="8" t="str">
        <x:v>สตูล</x:v>
      </x:c>
      <x:c r="D368" s="8" t="str">
        <x:v>มีศักยภาพ แต่ต้องพัฒนามาตรฐาน</x:v>
      </x:c>
      <x:c r="E368" s="8" t="str">
        <x:v>แหล่งท่องเที่ยวทางธรรมชาติ</x:v>
      </x:c>
      <x:c r="F368" s="38" t="n">
        <x:v>46316</x:v>
      </x:c>
      <x:c r="G368" s="8" t="str">
        <x:v>R26-168</x:v>
      </x:c>
      <x:c r="H368" s="39" t="str">
        <x:v>07</x:v>
      </x:c>
      <x:c r="I368" s="8" t="str">
        <x:v>Sea, Soul &amp; Serenity</x:v>
      </x:c>
      <x:c r="J368" s="8" t="str">
        <x:v>ตัวเลือกเสริม</x:v>
      </x:c>
      <x:c r="K368" s="8" t="str">
        <x:v>ธรรมชาติ</x:v>
      </x:c>
      <x:c r="L368" s="8" t="str">
        <x:f>INDEX('ประเมินเกณฑ์'!$AE$9:$AE$608,MATCH(G368,'ประเมินเกณฑ์'!$A$9:$A$608,0))</x:f>
        <x:v>รอประเมิน</x:v>
      </x:c>
      <x:c r="M368" s="8" t="str">
        <x:v>สถานที่ในจังหวัดเส้นทาง รอตรวจระยะทางและลำดับ</x:v>
      </x:c>
      <x:c r="N368" s="8" t="str">
        <x:v>ยังไม่ยืนยันการเปิดให้บริการปัจจุบัน</x:v>
      </x:c>
      <x:c r="O368" s="40" t="n">
        <x:v>46316</x:v>
      </x:c>
    </x:row>
    <x:row r="369" ht="38" customHeight="1">
      <x:c r="A369" s="9" t="n">
        <x:v>361</x:v>
      </x:c>
      <x:c r="B369" s="8" t="str">
        <x:v>พิพิธภัณฑ์ช้างดึกดำบรรพ์ทุ่งหว้า</x:v>
      </x:c>
      <x:c r="C369" s="8" t="str">
        <x:v>สตูล</x:v>
      </x:c>
      <x:c r="D369" s="8" t="str">
        <x:v>มีศักยภาพ แต่ต้องพัฒนามาตรฐาน</x:v>
      </x:c>
      <x:c r="E369" s="8" t="str">
        <x:v>แหล่งท่องเที่ยวทางประวัติศาสตร์และวัฒนธรรม</x:v>
      </x:c>
      <x:c r="F369" s="38" t="n">
        <x:v>46316</x:v>
      </x:c>
      <x:c r="G369" s="8" t="str">
        <x:v>R26-175</x:v>
      </x:c>
      <x:c r="H369" s="39" t="str">
        <x:v>07</x:v>
      </x:c>
      <x:c r="I369" s="8" t="str">
        <x:v>Sea, Soul &amp; Serenity</x:v>
      </x:c>
      <x:c r="J369" s="8" t="str">
        <x:v>ตัวเลือกเสริม</x:v>
      </x:c>
      <x:c r="K369" s="8" t="str">
        <x:v>พิพิธภัณฑ์หรือแหล่งเรียนรู้วัฒนธรรม</x:v>
      </x:c>
      <x:c r="L369" s="8" t="str">
        <x:f>INDEX('ประเมินเกณฑ์'!$AE$9:$AE$608,MATCH(G369,'ประเมินเกณฑ์'!$A$9:$A$608,0))</x:f>
        <x:v>รอประเมิน</x:v>
      </x:c>
      <x:c r="M369" s="8" t="str">
        <x:v>สถานที่ในจังหวัดเส้นทาง รอตรวจระยะทางและลำดับ</x:v>
      </x:c>
      <x:c r="N369" s="8" t="str">
        <x:v>ยังไม่ยืนยันการเปิดให้บริการปัจจุบัน</x:v>
      </x:c>
      <x:c r="O369" s="40" t="n">
        <x:v>46316</x:v>
      </x:c>
    </x:row>
    <x:row r="370" ht="38" customHeight="1">
      <x:c r="A370" s="9" t="n">
        <x:v>362</x:v>
      </x:c>
      <x:c r="B370" s="8" t="str">
        <x:v>ชุมชนบ้านทุ่งหว้า</x:v>
      </x:c>
      <x:c r="C370" s="8" t="str">
        <x:v>สตูล</x:v>
      </x:c>
      <x:c r="D370" s="8" t="str">
        <x:v>มีศักยภาพ แต่ต้องพัฒนามาตรฐาน</x:v>
      </x:c>
      <x:c r="E370" s="8" t="str">
        <x:v>ชุมชนท่องเที่ยว</x:v>
      </x:c>
      <x:c r="F370" s="38" t="n">
        <x:v>46316</x:v>
      </x:c>
      <x:c r="G370" s="8" t="str">
        <x:v>R26-172</x:v>
      </x:c>
      <x:c r="H370" s="39" t="str">
        <x:v>07</x:v>
      </x:c>
      <x:c r="I370" s="8" t="str">
        <x:v>Sea, Soul &amp; Serenity</x:v>
      </x:c>
      <x:c r="J370" s="8" t="str">
        <x:v>ตัวเลือกเสริม</x:v>
      </x:c>
      <x:c r="K370" s="8" t="str">
        <x:v>ชุมชน</x:v>
      </x:c>
      <x:c r="L370" s="8" t="str">
        <x:f>INDEX('ประเมินเกณฑ์'!$AE$9:$AE$608,MATCH(G370,'ประเมินเกณฑ์'!$A$9:$A$608,0))</x:f>
        <x:v>รอประเมิน</x:v>
      </x:c>
      <x:c r="M370" s="8" t="str">
        <x:v>สถานที่ในจังหวัดเส้นทาง รอตรวจระยะทางและลำดับ</x:v>
      </x:c>
      <x:c r="N370" s="8" t="str">
        <x:v>ยังไม่ยืนยันการเปิดให้บริการปัจจุบัน</x:v>
      </x:c>
      <x:c r="O370" s="40" t="n">
        <x:v>46316</x:v>
      </x:c>
    </x:row>
    <x:row r="371" ht="38" customHeight="1">
      <x:c r="A371" s="9" t="n">
        <x:v>363</x:v>
      </x:c>
      <x:c r="B371" s="8" t="str">
        <x:v>ชุมชนบ้านบากันใหญ่</x:v>
      </x:c>
      <x:c r="C371" s="8" t="str">
        <x:v>สตูล</x:v>
      </x:c>
      <x:c r="D371" s="8" t="str">
        <x:v>มีศักยภาพ แต่ต้องพัฒนามาตรฐาน</x:v>
      </x:c>
      <x:c r="E371" s="8" t="str">
        <x:v>ชุมชนท่องเที่ยว</x:v>
      </x:c>
      <x:c r="F371" s="38" t="n">
        <x:v>46316</x:v>
      </x:c>
      <x:c r="G371" s="8" t="str">
        <x:v>R26-173</x:v>
      </x:c>
      <x:c r="H371" s="39" t="str">
        <x:v>07</x:v>
      </x:c>
      <x:c r="I371" s="8" t="str">
        <x:v>Sea, Soul &amp; Serenity</x:v>
      </x:c>
      <x:c r="J371" s="8" t="str">
        <x:v>ตัวเลือกเสริม</x:v>
      </x:c>
      <x:c r="K371" s="8" t="str">
        <x:v>ชุมชน</x:v>
      </x:c>
      <x:c r="L371" s="8" t="str">
        <x:f>INDEX('ประเมินเกณฑ์'!$AE$9:$AE$608,MATCH(G371,'ประเมินเกณฑ์'!$A$9:$A$608,0))</x:f>
        <x:v>รอประเมิน</x:v>
      </x:c>
      <x:c r="M371" s="8" t="str">
        <x:v>สถานที่ในจังหวัดเส้นทาง รอตรวจระยะทางและลำดับ</x:v>
      </x:c>
      <x:c r="N371" s="8" t="str">
        <x:v>ยังไม่ยืนยันการเปิดให้บริการปัจจุบัน</x:v>
      </x:c>
      <x:c r="O371" s="40" t="n">
        <x:v>46316</x:v>
      </x:c>
    </x:row>
    <x:row r="372" ht="38" customHeight="1">
      <x:c r="A372" s="9" t="n">
        <x:v>364</x:v>
      </x:c>
      <x:c r="B372" s="8" t="str">
        <x:v>น้ำตกร้อนคลองท่อม</x:v>
      </x:c>
      <x:c r="C372" s="8" t="str">
        <x:v>กระบี่</x:v>
      </x:c>
      <x:c r="D372" s="8" t="str">
        <x:v>มีศักยภาพ แต่ต้องพัฒนามาตรฐาน</x:v>
      </x:c>
      <x:c r="E372" s="8" t="str">
        <x:v>แหล่งท่องเที่ยวทางธรรมชาติ</x:v>
      </x:c>
      <x:c r="F372" s="38" t="n">
        <x:v>46316</x:v>
      </x:c>
      <x:c r="G372" s="8" t="str">
        <x:v>R26-077</x:v>
      </x:c>
      <x:c r="H372" s="39" t="str">
        <x:v>08</x:v>
      </x:c>
      <x:c r="I372" s="8" t="str">
        <x:v>Andaman Halal Escape</x:v>
      </x:c>
      <x:c r="J372" s="8" t="str">
        <x:v>1</x:v>
      </x:c>
      <x:c r="K372" s="8" t="str">
        <x:v>ธรรมชาติ</x:v>
      </x:c>
      <x:c r="L372" s="8" t="str">
        <x:f>INDEX('ประเมินเกณฑ์'!$AE$9:$AE$608,MATCH(G372,'ประเมินเกณฑ์'!$A$9:$A$608,0))</x:f>
        <x:v>รอประเมิน</x:v>
      </x:c>
      <x:c r="M372" s="8" t="str">
        <x:v>จุดในเอกสารเส้นทาง</x:v>
      </x:c>
      <x:c r="N372" s="8" t="str">
        <x:v>ยังไม่ยืนยันการเปิดให้บริการปัจจุบัน</x:v>
      </x:c>
      <x:c r="O372" s="40" t="n">
        <x:v>46316</x:v>
      </x:c>
    </x:row>
    <x:row r="373" ht="38" customHeight="1">
      <x:c r="A373" s="9" t="n">
        <x:v>365</x:v>
      </x:c>
      <x:c r="B373" s="8" t="str">
        <x:v>สระมรกต</x:v>
      </x:c>
      <x:c r="C373" s="8" t="str">
        <x:v>กระบี่</x:v>
      </x:c>
      <x:c r="D373" s="8" t="str">
        <x:v>มีศักยภาพ แต่ต้องพัฒนามาตรฐาน</x:v>
      </x:c>
      <x:c r="E373" s="8" t="str">
        <x:v>แหล่งท่องเที่ยวทางธรรมชาติ</x:v>
      </x:c>
      <x:c r="F373" s="38" t="n">
        <x:v>46316</x:v>
      </x:c>
      <x:c r="G373" s="8" t="str">
        <x:v>R26-079</x:v>
      </x:c>
      <x:c r="H373" s="39" t="str">
        <x:v>08</x:v>
      </x:c>
      <x:c r="I373" s="8" t="str">
        <x:v>Andaman Halal Escape</x:v>
      </x:c>
      <x:c r="J373" s="8" t="str">
        <x:v>1</x:v>
      </x:c>
      <x:c r="K373" s="8" t="str">
        <x:v>ธรรมชาติ</x:v>
      </x:c>
      <x:c r="L373" s="8" t="str">
        <x:f>INDEX('ประเมินเกณฑ์'!$AE$9:$AE$608,MATCH(G373,'ประเมินเกณฑ์'!$A$9:$A$608,0))</x:f>
        <x:v>รอประเมิน</x:v>
      </x:c>
      <x:c r="M373" s="8" t="str">
        <x:v>จุดในเอกสารเส้นทาง</x:v>
      </x:c>
      <x:c r="N373" s="8" t="str">
        <x:v>ยังไม่ยืนยันการเปิดให้บริการปัจจุบัน</x:v>
      </x:c>
      <x:c r="O373" s="40" t="n">
        <x:v>46316</x:v>
      </x:c>
    </x:row>
    <x:row r="374" ht="38" customHeight="1">
      <x:c r="A374" s="9" t="n">
        <x:v>366</x:v>
      </x:c>
      <x:c r="B374" s="8" t="str">
        <x:v>มัสยิดกลางจังหวัดกระบี่</x:v>
      </x:c>
      <x:c r="C374" s="8" t="str">
        <x:v>กระบี่</x:v>
      </x:c>
      <x:c r="D374" s="8" t="str">
        <x:v>มีศักยภาพ แต่ต้องพัฒนามาตรฐาน</x:v>
      </x:c>
      <x:c r="E374" s="8" t="str">
        <x:v>แหล่งท่องเที่ยวทางประวัติศาสตร์และวัฒนธรรม</x:v>
      </x:c>
      <x:c r="F374" s="38" t="n">
        <x:v>46316</x:v>
      </x:c>
      <x:c r="G374" s="8" t="str">
        <x:v>R26-076</x:v>
      </x:c>
      <x:c r="H374" s="39" t="str">
        <x:v>08</x:v>
      </x:c>
      <x:c r="I374" s="8" t="str">
        <x:v>Andaman Halal Escape</x:v>
      </x:c>
      <x:c r="J374" s="8" t="str">
        <x:v>1</x:v>
      </x:c>
      <x:c r="K374" s="8" t="str">
        <x:v>มัสยิด</x:v>
      </x:c>
      <x:c r="L374" s="8" t="str">
        <x:f>INDEX('ประเมินเกณฑ์'!$AE$9:$AE$608,MATCH(G374,'ประเมินเกณฑ์'!$A$9:$A$608,0))</x:f>
        <x:v>รอประเมิน</x:v>
      </x:c>
      <x:c r="M374" s="8" t="str">
        <x:v>จุดในเอกสารเส้นทาง</x:v>
      </x:c>
      <x:c r="N374" s="8" t="str">
        <x:v>ยังไม่ยืนยันการเปิดให้บริการปัจจุบัน</x:v>
      </x:c>
      <x:c r="O374" s="40" t="n">
        <x:v>46316</x:v>
      </x:c>
    </x:row>
    <x:row r="375" ht="38" customHeight="1">
      <x:c r="A375" s="9" t="n">
        <x:v>367</x:v>
      </x:c>
      <x:c r="B375" s="8" t="str">
        <x:v>Ahad Suite Ao Nang</x:v>
      </x:c>
      <x:c r="C375" s="8" t="str">
        <x:v>กระบี่</x:v>
      </x:c>
      <x:c r="D375" s="8" t="str">
        <x:v>พร้อมขาย</x:v>
      </x:c>
      <x:c r="E375" s="8" t="str">
        <x:v>ที่พัก</x:v>
      </x:c>
      <x:c r="F375" s="38" t="n">
        <x:v>46316</x:v>
      </x:c>
      <x:c r="G375" s="8" t="str">
        <x:v>TMF-031</x:v>
      </x:c>
      <x:c r="H375" s="39" t="str">
        <x:v>08</x:v>
      </x:c>
      <x:c r="I375" s="8" t="str">
        <x:v>Andaman Halal Escape</x:v>
      </x:c>
      <x:c r="J375" s="8" t="str">
        <x:v>ตัวเลือกเสริม</x:v>
      </x:c>
      <x:c r="K375" s="8" t="str">
        <x:v>ที่พัก (ตรวจประเภทจากชื่อและข้อมูลประกอบ)</x:v>
      </x:c>
      <x:c r="L375" s="8" t="str">
        <x:f>INDEX('ประเมินเกณฑ์'!$AE$9:$AE$608,MATCH(G375,'ประเมินเกณฑ์'!$A$9:$A$608,0))</x:f>
        <x:v>รอประเมิน</x:v>
      </x:c>
      <x:c r="M375" s="8" t="str">
        <x:v>สถานที่ในจังหวัดเส้นทาง รอตรวจระยะทางและลำดับ</x:v>
      </x:c>
      <x:c r="N375" s="8" t="str">
        <x:v>ยังไม่ยืนยันการเปิดให้บริการปัจจุบัน</x:v>
      </x:c>
      <x:c r="O375" s="40" t="n">
        <x:v>46315</x:v>
      </x:c>
    </x:row>
    <x:row r="376" ht="38" customHeight="1">
      <x:c r="A376" s="9" t="n">
        <x:v>368</x:v>
      </x:c>
      <x:c r="B376" s="8" t="str">
        <x:v>Alama Sea Village Resort Koh Lanta</x:v>
      </x:c>
      <x:c r="C376" s="8" t="str">
        <x:v>กระบี่</x:v>
      </x:c>
      <x:c r="D376" s="8" t="str">
        <x:v>พร้อมขาย</x:v>
      </x:c>
      <x:c r="E376" s="8" t="str">
        <x:v>ที่พัก</x:v>
      </x:c>
      <x:c r="F376" s="38" t="n">
        <x:v>46316</x:v>
      </x:c>
      <x:c r="G376" s="8" t="str">
        <x:v>TMF-020</x:v>
      </x:c>
      <x:c r="H376" s="39" t="str">
        <x:v>08</x:v>
      </x:c>
      <x:c r="I376" s="8" t="str">
        <x:v>Andaman Halal Escape</x:v>
      </x:c>
      <x:c r="J376" s="8" t="str">
        <x:v>ตัวเลือกเสริม</x:v>
      </x:c>
      <x:c r="K376" s="8" t="str">
        <x:v>โรงแรมหรือรีสอร์ท</x:v>
      </x:c>
      <x:c r="L376" s="8" t="str">
        <x:f>INDEX('ประเมินเกณฑ์'!$AE$9:$AE$608,MATCH(G376,'ประเมินเกณฑ์'!$A$9:$A$608,0))</x:f>
        <x:v>รอประเมิน</x:v>
      </x:c>
      <x:c r="M376" s="8" t="str">
        <x:v>สถานที่ในจังหวัดเส้นทาง รอตรวจระยะทางและลำดับ</x:v>
      </x:c>
      <x:c r="N376" s="8" t="str">
        <x:v>ยังไม่ยืนยันการเปิดให้บริการปัจจุบัน</x:v>
      </x:c>
      <x:c r="O376" s="40" t="n">
        <x:v>46315</x:v>
      </x:c>
    </x:row>
    <x:row r="377" ht="38" customHeight="1">
      <x:c r="A377" s="9" t="n">
        <x:v>369</x:v>
      </x:c>
      <x:c r="B377" s="8" t="str">
        <x:v>Aonang Fiore resort, Krabi Thailand</x:v>
      </x:c>
      <x:c r="C377" s="8" t="str">
        <x:v>กระบี่</x:v>
      </x:c>
      <x:c r="D377" s="8" t="str">
        <x:v>พร้อมขาย</x:v>
      </x:c>
      <x:c r="E377" s="8" t="str">
        <x:v>ที่พัก</x:v>
      </x:c>
      <x:c r="F377" s="38" t="n">
        <x:v>46316</x:v>
      </x:c>
      <x:c r="G377" s="8" t="str">
        <x:v>TMF-021</x:v>
      </x:c>
      <x:c r="H377" s="39" t="str">
        <x:v>08</x:v>
      </x:c>
      <x:c r="I377" s="8" t="str">
        <x:v>Andaman Halal Escape</x:v>
      </x:c>
      <x:c r="J377" s="8" t="str">
        <x:v>ตัวเลือกเสริม</x:v>
      </x:c>
      <x:c r="K377" s="8" t="str">
        <x:v>โรงแรมหรือรีสอร์ท</x:v>
      </x:c>
      <x:c r="L377" s="8" t="str">
        <x:f>INDEX('ประเมินเกณฑ์'!$AE$9:$AE$608,MATCH(G377,'ประเมินเกณฑ์'!$A$9:$A$608,0))</x:f>
        <x:v>รอประเมิน</x:v>
      </x:c>
      <x:c r="M377" s="8" t="str">
        <x:v>สถานที่ในจังหวัดเส้นทาง รอตรวจระยะทางและลำดับ</x:v>
      </x:c>
      <x:c r="N377" s="8" t="str">
        <x:v>ยังไม่ยืนยันการเปิดให้บริการปัจจุบัน</x:v>
      </x:c>
      <x:c r="O377" s="40" t="n">
        <x:v>46315</x:v>
      </x:c>
    </x:row>
    <x:row r="378" ht="38" customHeight="1">
      <x:c r="A378" s="9" t="n">
        <x:v>370</x:v>
      </x:c>
      <x:c r="B378" s="8" t="str">
        <x:v>Aonang Phu Pi Maan Resort &amp; Spa</x:v>
      </x:c>
      <x:c r="C378" s="8" t="str">
        <x:v>กระบี่</x:v>
      </x:c>
      <x:c r="D378" s="8" t="str">
        <x:v>พร้อมขาย</x:v>
      </x:c>
      <x:c r="E378" s="8" t="str">
        <x:v>ที่พัก</x:v>
      </x:c>
      <x:c r="F378" s="38" t="n">
        <x:v>46316</x:v>
      </x:c>
      <x:c r="G378" s="8" t="str">
        <x:v>TMF-022</x:v>
      </x:c>
      <x:c r="H378" s="39" t="str">
        <x:v>08</x:v>
      </x:c>
      <x:c r="I378" s="8" t="str">
        <x:v>Andaman Halal Escape</x:v>
      </x:c>
      <x:c r="J378" s="8" t="str">
        <x:v>ตัวเลือกเสริม</x:v>
      </x:c>
      <x:c r="K378" s="8" t="str">
        <x:v>โรงแรมหรือรีสอร์ท</x:v>
      </x:c>
      <x:c r="L378" s="8" t="str">
        <x:f>INDEX('ประเมินเกณฑ์'!$AE$9:$AE$608,MATCH(G378,'ประเมินเกณฑ์'!$A$9:$A$608,0))</x:f>
        <x:v>รอประเมิน</x:v>
      </x:c>
      <x:c r="M378" s="8" t="str">
        <x:v>สถานที่ในจังหวัดเส้นทาง รอตรวจระยะทางและลำดับ</x:v>
      </x:c>
      <x:c r="N378" s="8" t="str">
        <x:v>ยังไม่ยืนยันการเปิดให้บริการปัจจุบัน</x:v>
      </x:c>
      <x:c r="O378" s="40" t="n">
        <x:v>46315</x:v>
      </x:c>
    </x:row>
    <x:row r="379" ht="38" customHeight="1">
      <x:c r="A379" s="9" t="n">
        <x:v>371</x:v>
      </x:c>
      <x:c r="B379" s="8" t="str">
        <x:v>Railay Great View Resort &amp; Spa รีสอร์ท มุสลิม</x:v>
      </x:c>
      <x:c r="C379" s="8" t="str">
        <x:v>กระบี่</x:v>
      </x:c>
      <x:c r="D379" s="8" t="str">
        <x:v>พร้อมขาย</x:v>
      </x:c>
      <x:c r="E379" s="8" t="str">
        <x:v>ที่พัก</x:v>
      </x:c>
      <x:c r="F379" s="38" t="n">
        <x:v>46316</x:v>
      </x:c>
      <x:c r="G379" s="8" t="str">
        <x:v>TMF-024</x:v>
      </x:c>
      <x:c r="H379" s="39" t="str">
        <x:v>08</x:v>
      </x:c>
      <x:c r="I379" s="8" t="str">
        <x:v>Andaman Halal Escape</x:v>
      </x:c>
      <x:c r="J379" s="8" t="str">
        <x:v>ตัวเลือกเสริม</x:v>
      </x:c>
      <x:c r="K379" s="8" t="str">
        <x:v>โรงแรมหรือรีสอร์ท</x:v>
      </x:c>
      <x:c r="L379" s="8" t="str">
        <x:f>INDEX('ประเมินเกณฑ์'!$AE$9:$AE$608,MATCH(G379,'ประเมินเกณฑ์'!$A$9:$A$608,0))</x:f>
        <x:v>รอประเมิน</x:v>
      </x:c>
      <x:c r="M379" s="8" t="str">
        <x:v>สถานที่ในจังหวัดเส้นทาง รอตรวจระยะทางและลำดับ</x:v>
      </x:c>
      <x:c r="N379" s="8" t="str">
        <x:v>ยังไม่ยืนยันการเปิดให้บริการปัจจุบัน</x:v>
      </x:c>
      <x:c r="O379" s="40" t="n">
        <x:v>46315</x:v>
      </x:c>
    </x:row>
    <x:row r="380" ht="38" customHeight="1">
      <x:c r="A380" s="9" t="n">
        <x:v>372</x:v>
      </x:c>
      <x:c r="B380" s="8" t="str">
        <x:v>Railay Village Resort , Krabi - Thailand</x:v>
      </x:c>
      <x:c r="C380" s="8" t="str">
        <x:v>กระบี่</x:v>
      </x:c>
      <x:c r="D380" s="8" t="str">
        <x:v>พร้อมขาย</x:v>
      </x:c>
      <x:c r="E380" s="8" t="str">
        <x:v>ที่พัก</x:v>
      </x:c>
      <x:c r="F380" s="38" t="n">
        <x:v>46316</x:v>
      </x:c>
      <x:c r="G380" s="8" t="str">
        <x:v>TMF-025</x:v>
      </x:c>
      <x:c r="H380" s="39" t="str">
        <x:v>08</x:v>
      </x:c>
      <x:c r="I380" s="8" t="str">
        <x:v>Andaman Halal Escape</x:v>
      </x:c>
      <x:c r="J380" s="8" t="str">
        <x:v>ตัวเลือกเสริม</x:v>
      </x:c>
      <x:c r="K380" s="8" t="str">
        <x:v>โรงแรมหรือรีสอร์ท</x:v>
      </x:c>
      <x:c r="L380" s="8" t="str">
        <x:f>INDEX('ประเมินเกณฑ์'!$AE$9:$AE$608,MATCH(G380,'ประเมินเกณฑ์'!$A$9:$A$608,0))</x:f>
        <x:v>รอประเมิน</x:v>
      </x:c>
      <x:c r="M380" s="8" t="str">
        <x:v>สถานที่ในจังหวัดเส้นทาง รอตรวจระยะทางและลำดับ</x:v>
      </x:c>
      <x:c r="N380" s="8" t="str">
        <x:v>ยังไม่ยืนยันการเปิดให้บริการปัจจุบัน</x:v>
      </x:c>
      <x:c r="O380" s="40" t="n">
        <x:v>46315</x:v>
      </x:c>
    </x:row>
    <x:row r="381" ht="38" customHeight="1">
      <x:c r="A381" s="9" t="n">
        <x:v>373</x:v>
      </x:c>
      <x:c r="B381" s="8" t="str">
        <x:v>The tama hotel Krabi Thailand</x:v>
      </x:c>
      <x:c r="C381" s="8" t="str">
        <x:v>กระบี่</x:v>
      </x:c>
      <x:c r="D381" s="8" t="str">
        <x:v>พร้อมขาย</x:v>
      </x:c>
      <x:c r="E381" s="8" t="str">
        <x:v>ที่พัก</x:v>
      </x:c>
      <x:c r="F381" s="38" t="n">
        <x:v>46316</x:v>
      </x:c>
      <x:c r="G381" s="8" t="str">
        <x:v>TMF-026</x:v>
      </x:c>
      <x:c r="H381" s="39" t="str">
        <x:v>08</x:v>
      </x:c>
      <x:c r="I381" s="8" t="str">
        <x:v>Andaman Halal Escape</x:v>
      </x:c>
      <x:c r="J381" s="8" t="str">
        <x:v>ตัวเลือกเสริม</x:v>
      </x:c>
      <x:c r="K381" s="8" t="str">
        <x:v>โรงแรมหรือรีสอร์ท</x:v>
      </x:c>
      <x:c r="L381" s="8" t="str">
        <x:f>INDEX('ประเมินเกณฑ์'!$AE$9:$AE$608,MATCH(G381,'ประเมินเกณฑ์'!$A$9:$A$608,0))</x:f>
        <x:v>รอประเมิน</x:v>
      </x:c>
      <x:c r="M381" s="8" t="str">
        <x:v>สถานที่ในจังหวัดเส้นทาง รอตรวจระยะทางและลำดับ</x:v>
      </x:c>
      <x:c r="N381" s="8" t="str">
        <x:v>ยังไม่ยืนยันการเปิดให้บริการปัจจุบัน</x:v>
      </x:c>
      <x:c r="O381" s="40" t="n">
        <x:v>46315</x:v>
      </x:c>
    </x:row>
    <x:row r="382" ht="38" customHeight="1">
      <x:c r="A382" s="9" t="n">
        <x:v>374</x:v>
      </x:c>
      <x:c r="B382" s="8" t="str">
        <x:v>Venice Krabi Villa Resort</x:v>
      </x:c>
      <x:c r="C382" s="8" t="str">
        <x:v>กระบี่</x:v>
      </x:c>
      <x:c r="D382" s="8" t="str">
        <x:v>พัฒนาเพื่อพร้อมขาย</x:v>
      </x:c>
      <x:c r="E382" s="8" t="str">
        <x:v>ที่พัก</x:v>
      </x:c>
      <x:c r="F382" s="38" t="n">
        <x:v>46316</x:v>
      </x:c>
      <x:c r="G382" s="8" t="str">
        <x:v>TMF-263</x:v>
      </x:c>
      <x:c r="H382" s="39" t="str">
        <x:v>08</x:v>
      </x:c>
      <x:c r="I382" s="8" t="str">
        <x:v>Andaman Halal Escape</x:v>
      </x:c>
      <x:c r="J382" s="8" t="str">
        <x:v>ตัวเลือกเสริม</x:v>
      </x:c>
      <x:c r="K382" s="8" t="str">
        <x:v>โรงแรมหรือรีสอร์ท</x:v>
      </x:c>
      <x:c r="L382" s="8" t="str">
        <x:f>INDEX('ประเมินเกณฑ์'!$AE$9:$AE$608,MATCH(G382,'ประเมินเกณฑ์'!$A$9:$A$608,0))</x:f>
        <x:v>รอประเมิน</x:v>
      </x:c>
      <x:c r="M382" s="8" t="str">
        <x:v>สถานที่ในจังหวัดเส้นทาง รอตรวจระยะทางและลำดับ</x:v>
      </x:c>
      <x:c r="N382" s="8" t="str">
        <x:v>ยังไม่ยืนยันการเปิดให้บริการปัจจุบัน</x:v>
      </x:c>
      <x:c r="O382" s="40" t="n">
        <x:v>46315</x:v>
      </x:c>
    </x:row>
    <x:row r="383" ht="38" customHeight="1">
      <x:c r="A383" s="9" t="n">
        <x:v>375</x:v>
      </x:c>
      <x:c r="B383" s="8" t="str">
        <x:v>White Sand Halal House Krabi</x:v>
      </x:c>
      <x:c r="C383" s="8" t="str">
        <x:v>กระบี่</x:v>
      </x:c>
      <x:c r="D383" s="8" t="str">
        <x:v>พร้อมขาย</x:v>
      </x:c>
      <x:c r="E383" s="8" t="str">
        <x:v>ที่พัก</x:v>
      </x:c>
      <x:c r="F383" s="38" t="n">
        <x:v>46316</x:v>
      </x:c>
      <x:c r="G383" s="8" t="str">
        <x:v>TMF-032</x:v>
      </x:c>
      <x:c r="H383" s="39" t="str">
        <x:v>08</x:v>
      </x:c>
      <x:c r="I383" s="8" t="str">
        <x:v>Andaman Halal Escape</x:v>
      </x:c>
      <x:c r="J383" s="8" t="str">
        <x:v>ตัวเลือกเสริม</x:v>
      </x:c>
      <x:c r="K383" s="8" t="str">
        <x:v>ที่พัก (ตรวจประเภทจากชื่อและข้อมูลประกอบ)</x:v>
      </x:c>
      <x:c r="L383" s="8" t="str">
        <x:f>INDEX('ประเมินเกณฑ์'!$AE$9:$AE$608,MATCH(G383,'ประเมินเกณฑ์'!$A$9:$A$608,0))</x:f>
        <x:v>รอประเมิน</x:v>
      </x:c>
      <x:c r="M383" s="8" t="str">
        <x:v>สถานที่ในจังหวัดเส้นทาง รอตรวจระยะทางและลำดับ</x:v>
      </x:c>
      <x:c r="N383" s="8" t="str">
        <x:v>ยังไม่ยืนยันการเปิดให้บริการปัจจุบัน</x:v>
      </x:c>
      <x:c r="O383" s="40" t="n">
        <x:v>46315</x:v>
      </x:c>
    </x:row>
    <x:row r="384" ht="38" customHeight="1">
      <x:c r="A384" s="9" t="n">
        <x:v>376</x:v>
      </x:c>
      <x:c r="B384" s="8" t="str">
        <x:v>sunda resort, Krabi Thailand</x:v>
      </x:c>
      <x:c r="C384" s="8" t="str">
        <x:v>กระบี่</x:v>
      </x:c>
      <x:c r="D384" s="8" t="str">
        <x:v>พร้อมขาย</x:v>
      </x:c>
      <x:c r="E384" s="8" t="str">
        <x:v>ที่พัก</x:v>
      </x:c>
      <x:c r="F384" s="38" t="n">
        <x:v>46316</x:v>
      </x:c>
      <x:c r="G384" s="8" t="str">
        <x:v>TMF-027</x:v>
      </x:c>
      <x:c r="H384" s="39" t="str">
        <x:v>08</x:v>
      </x:c>
      <x:c r="I384" s="8" t="str">
        <x:v>Andaman Halal Escape</x:v>
      </x:c>
      <x:c r="J384" s="8" t="str">
        <x:v>ตัวเลือกเสริม</x:v>
      </x:c>
      <x:c r="K384" s="8" t="str">
        <x:v>โรงแรมหรือรีสอร์ท</x:v>
      </x:c>
      <x:c r="L384" s="8" t="str">
        <x:f>INDEX('ประเมินเกณฑ์'!$AE$9:$AE$608,MATCH(G384,'ประเมินเกณฑ์'!$A$9:$A$608,0))</x:f>
        <x:v>รอประเมิน</x:v>
      </x:c>
      <x:c r="M384" s="8" t="str">
        <x:v>สถานที่ในจังหวัดเส้นทาง รอตรวจระยะทางและลำดับ</x:v>
      </x:c>
      <x:c r="N384" s="8" t="str">
        <x:v>ยังไม่ยืนยันการเปิดให้บริการปัจจุบัน</x:v>
      </x:c>
      <x:c r="O384" s="40" t="n">
        <x:v>46315</x:v>
      </x:c>
    </x:row>
    <x:row r="385" ht="38" customHeight="1">
      <x:c r="A385" s="9" t="n">
        <x:v>377</x:v>
      </x:c>
      <x:c r="B385" s="8" t="str">
        <x:v>บ้านครูเฉม โฮมสเตย์เกาะปู</x:v>
      </x:c>
      <x:c r="C385" s="8" t="str">
        <x:v>กระบี่</x:v>
      </x:c>
      <x:c r="D385" s="8" t="str">
        <x:v>พร้อมขาย</x:v>
      </x:c>
      <x:c r="E385" s="8" t="str">
        <x:v>ที่พัก</x:v>
      </x:c>
      <x:c r="F385" s="38" t="n">
        <x:v>46316</x:v>
      </x:c>
      <x:c r="G385" s="8" t="str">
        <x:v>TMF-028</x:v>
      </x:c>
      <x:c r="H385" s="39" t="str">
        <x:v>08</x:v>
      </x:c>
      <x:c r="I385" s="8" t="str">
        <x:v>Andaman Halal Escape</x:v>
      </x:c>
      <x:c r="J385" s="8" t="str">
        <x:v>ตัวเลือกเสริม</x:v>
      </x:c>
      <x:c r="K385" s="8" t="str">
        <x:v>โรงแรมหรือรีสอร์ท</x:v>
      </x:c>
      <x:c r="L385" s="8" t="str">
        <x:f>INDEX('ประเมินเกณฑ์'!$AE$9:$AE$608,MATCH(G385,'ประเมินเกณฑ์'!$A$9:$A$608,0))</x:f>
        <x:v>รอประเมิน</x:v>
      </x:c>
      <x:c r="M385" s="8" t="str">
        <x:v>สถานที่ในจังหวัดเส้นทาง รอตรวจระยะทางและลำดับ</x:v>
      </x:c>
      <x:c r="N385" s="8" t="str">
        <x:v>ยังไม่ยืนยันการเปิดให้บริการปัจจุบัน</x:v>
      </x:c>
      <x:c r="O385" s="40" t="n">
        <x:v>46315</x:v>
      </x:c>
    </x:row>
    <x:row r="386" ht="38" customHeight="1">
      <x:c r="A386" s="9" t="n">
        <x:v>378</x:v>
      </x:c>
      <x:c r="B386" s="8" t="str">
        <x:v>บ้านใสใน รีสอร์ท</x:v>
      </x:c>
      <x:c r="C386" s="8" t="str">
        <x:v>กระบี่</x:v>
      </x:c>
      <x:c r="D386" s="8" t="str">
        <x:v>พัฒนาเพื่อพร้อมขาย</x:v>
      </x:c>
      <x:c r="E386" s="8" t="str">
        <x:v>ที่พัก</x:v>
      </x:c>
      <x:c r="F386" s="38" t="n">
        <x:v>46316</x:v>
      </x:c>
      <x:c r="G386" s="8" t="str">
        <x:v>TMF-264</x:v>
      </x:c>
      <x:c r="H386" s="39" t="str">
        <x:v>08</x:v>
      </x:c>
      <x:c r="I386" s="8" t="str">
        <x:v>Andaman Halal Escape</x:v>
      </x:c>
      <x:c r="J386" s="8" t="str">
        <x:v>ตัวเลือกเสริม</x:v>
      </x:c>
      <x:c r="K386" s="8" t="str">
        <x:v>โรงแรมหรือรีสอร์ท</x:v>
      </x:c>
      <x:c r="L386" s="8" t="str">
        <x:f>INDEX('ประเมินเกณฑ์'!$AE$9:$AE$608,MATCH(G386,'ประเมินเกณฑ์'!$A$9:$A$608,0))</x:f>
        <x:v>รอประเมิน</x:v>
      </x:c>
      <x:c r="M386" s="8" t="str">
        <x:v>สถานที่ในจังหวัดเส้นทาง รอตรวจระยะทางและลำดับ</x:v>
      </x:c>
      <x:c r="N386" s="8" t="str">
        <x:v>ยังไม่ยืนยันการเปิดให้บริการปัจจุบัน</x:v>
      </x:c>
      <x:c r="O386" s="40" t="n">
        <x:v>46315</x:v>
      </x:c>
    </x:row>
    <x:row r="387" ht="38" customHeight="1">
      <x:c r="A387" s="9" t="n">
        <x:v>379</x:v>
      </x:c>
      <x:c r="B387" s="8" t="str">
        <x:v>อันดามัน เพิร์ล รีสอร์ท อ่าวนาง</x:v>
      </x:c>
      <x:c r="C387" s="8" t="str">
        <x:v>กระบี่</x:v>
      </x:c>
      <x:c r="D387" s="8" t="str">
        <x:v>พร้อมขาย</x:v>
      </x:c>
      <x:c r="E387" s="8" t="str">
        <x:v>ที่พัก</x:v>
      </x:c>
      <x:c r="F387" s="38" t="n">
        <x:v>46316</x:v>
      </x:c>
      <x:c r="G387" s="8" t="str">
        <x:v>TMF-029</x:v>
      </x:c>
      <x:c r="H387" s="39" t="str">
        <x:v>08</x:v>
      </x:c>
      <x:c r="I387" s="8" t="str">
        <x:v>Andaman Halal Escape</x:v>
      </x:c>
      <x:c r="J387" s="8" t="str">
        <x:v>ตัวเลือกเสริม</x:v>
      </x:c>
      <x:c r="K387" s="8" t="str">
        <x:v>โรงแรมหรือรีสอร์ท</x:v>
      </x:c>
      <x:c r="L387" s="8" t="str">
        <x:f>INDEX('ประเมินเกณฑ์'!$AE$9:$AE$608,MATCH(G387,'ประเมินเกณฑ์'!$A$9:$A$608,0))</x:f>
        <x:v>รอประเมิน</x:v>
      </x:c>
      <x:c r="M387" s="8" t="str">
        <x:v>สถานที่ในจังหวัดเส้นทาง รอตรวจระยะทางและลำดับ</x:v>
      </x:c>
      <x:c r="N387" s="8" t="str">
        <x:v>ยังไม่ยืนยันการเปิดให้บริการปัจจุบัน</x:v>
      </x:c>
      <x:c r="O387" s="40" t="n">
        <x:v>46315</x:v>
      </x:c>
    </x:row>
    <x:row r="388" ht="38" customHeight="1">
      <x:c r="A388" s="9" t="n">
        <x:v>380</x:v>
      </x:c>
      <x:c r="B388" s="8" t="str">
        <x:v>อ่าวนาง ซิลเวอร์ ออร์คิด รีสอร์ท</x:v>
      </x:c>
      <x:c r="C388" s="8" t="str">
        <x:v>กระบี่</x:v>
      </x:c>
      <x:c r="D388" s="8" t="str">
        <x:v>พัฒนาเพื่อพร้อมขาย</x:v>
      </x:c>
      <x:c r="E388" s="8" t="str">
        <x:v>ที่พัก</x:v>
      </x:c>
      <x:c r="F388" s="38" t="n">
        <x:v>46316</x:v>
      </x:c>
      <x:c r="G388" s="8" t="str">
        <x:v>TMF-265</x:v>
      </x:c>
      <x:c r="H388" s="39" t="str">
        <x:v>08</x:v>
      </x:c>
      <x:c r="I388" s="8" t="str">
        <x:v>Andaman Halal Escape</x:v>
      </x:c>
      <x:c r="J388" s="8" t="str">
        <x:v>ตัวเลือกเสริม</x:v>
      </x:c>
      <x:c r="K388" s="8" t="str">
        <x:v>โรงแรมหรือรีสอร์ท</x:v>
      </x:c>
      <x:c r="L388" s="8" t="str">
        <x:f>INDEX('ประเมินเกณฑ์'!$AE$9:$AE$608,MATCH(G388,'ประเมินเกณฑ์'!$A$9:$A$608,0))</x:f>
        <x:v>รอประเมิน</x:v>
      </x:c>
      <x:c r="M388" s="8" t="str">
        <x:v>สถานที่ในจังหวัดเส้นทาง รอตรวจระยะทางและลำดับ</x:v>
      </x:c>
      <x:c r="N388" s="8" t="str">
        <x:v>ยังไม่ยืนยันการเปิดให้บริการปัจจุบัน</x:v>
      </x:c>
      <x:c r="O388" s="40" t="n">
        <x:v>46315</x:v>
      </x:c>
    </x:row>
    <x:row r="389" ht="38" customHeight="1">
      <x:c r="A389" s="9" t="n">
        <x:v>381</x:v>
      </x:c>
      <x:c r="B389" s="8" t="str">
        <x:v>โรงแรม กระบี่ ฟร้อนท์ เบย์ รีสอร์ท</x:v>
      </x:c>
      <x:c r="C389" s="8" t="str">
        <x:v>กระบี่</x:v>
      </x:c>
      <x:c r="D389" s="8" t="str">
        <x:v>พร้อมขาย</x:v>
      </x:c>
      <x:c r="E389" s="8" t="str">
        <x:v>ที่พัก</x:v>
      </x:c>
      <x:c r="F389" s="38" t="n">
        <x:v>46316</x:v>
      </x:c>
      <x:c r="G389" s="8" t="str">
        <x:v>TMF-030</x:v>
      </x:c>
      <x:c r="H389" s="39" t="str">
        <x:v>08</x:v>
      </x:c>
      <x:c r="I389" s="8" t="str">
        <x:v>Andaman Halal Escape</x:v>
      </x:c>
      <x:c r="J389" s="8" t="str">
        <x:v>ตัวเลือกเสริม</x:v>
      </x:c>
      <x:c r="K389" s="8" t="str">
        <x:v>โรงแรมหรือรีสอร์ท</x:v>
      </x:c>
      <x:c r="L389" s="8" t="str">
        <x:f>INDEX('ประเมินเกณฑ์'!$AE$9:$AE$608,MATCH(G389,'ประเมินเกณฑ์'!$A$9:$A$608,0))</x:f>
        <x:v>รอประเมิน</x:v>
      </x:c>
      <x:c r="M389" s="8" t="str">
        <x:v>สถานที่ในจังหวัดเส้นทาง รอตรวจระยะทางและลำดับ</x:v>
      </x:c>
      <x:c r="N389" s="8" t="str">
        <x:v>ยังไม่ยืนยันการเปิดให้บริการปัจจุบัน</x:v>
      </x:c>
      <x:c r="O389" s="40" t="n">
        <x:v>46315</x:v>
      </x:c>
    </x:row>
    <x:row r="390" ht="38" customHeight="1">
      <x:c r="A390" s="9" t="n">
        <x:v>382</x:v>
      </x:c>
      <x:c r="B390" s="8" t="str">
        <x:v>โรงแรมกระบี่เพชรไพลิน</x:v>
      </x:c>
      <x:c r="C390" s="8" t="str">
        <x:v>กระบี่</x:v>
      </x:c>
      <x:c r="D390" s="8" t="str">
        <x:v>พัฒนาเพื่อพร้อมขาย</x:v>
      </x:c>
      <x:c r="E390" s="8" t="str">
        <x:v>ที่พัก</x:v>
      </x:c>
      <x:c r="F390" s="38" t="n">
        <x:v>46316</x:v>
      </x:c>
      <x:c r="G390" s="8" t="str">
        <x:v>TMF-266</x:v>
      </x:c>
      <x:c r="H390" s="39" t="str">
        <x:v>08</x:v>
      </x:c>
      <x:c r="I390" s="8" t="str">
        <x:v>Andaman Halal Escape</x:v>
      </x:c>
      <x:c r="J390" s="8" t="str">
        <x:v>ตัวเลือกเสริม</x:v>
      </x:c>
      <x:c r="K390" s="8" t="str">
        <x:v>โรงแรมหรือรีสอร์ท</x:v>
      </x:c>
      <x:c r="L390" s="8" t="str">
        <x:f>INDEX('ประเมินเกณฑ์'!$AE$9:$AE$608,MATCH(G390,'ประเมินเกณฑ์'!$A$9:$A$608,0))</x:f>
        <x:v>รอประเมิน</x:v>
      </x:c>
      <x:c r="M390" s="8" t="str">
        <x:v>สถานที่ในจังหวัดเส้นทาง รอตรวจระยะทางและลำดับ</x:v>
      </x:c>
      <x:c r="N390" s="8" t="str">
        <x:v>ยังไม่ยืนยันการเปิดให้บริการปัจจุบัน</x:v>
      </x:c>
      <x:c r="O390" s="40" t="n">
        <x:v>46315</x:v>
      </x:c>
    </x:row>
    <x:row r="391" ht="38" customHeight="1">
      <x:c r="A391" s="9" t="n">
        <x:v>383</x:v>
      </x:c>
      <x:c r="B391" s="8" t="str">
        <x:v>โรงแรมอ่าวนางวิลล่า รีสอร์ท</x:v>
      </x:c>
      <x:c r="C391" s="8" t="str">
        <x:v>กระบี่</x:v>
      </x:c>
      <x:c r="D391" s="8" t="str">
        <x:v>พัฒนาเพื่อพร้อมขาย</x:v>
      </x:c>
      <x:c r="E391" s="8" t="str">
        <x:v>ที่พัก</x:v>
      </x:c>
      <x:c r="F391" s="38" t="n">
        <x:v>46316</x:v>
      </x:c>
      <x:c r="G391" s="8" t="str">
        <x:v>TMF-267</x:v>
      </x:c>
      <x:c r="H391" s="39" t="str">
        <x:v>08</x:v>
      </x:c>
      <x:c r="I391" s="8" t="str">
        <x:v>Andaman Halal Escape</x:v>
      </x:c>
      <x:c r="J391" s="8" t="str">
        <x:v>ตัวเลือกเสริม</x:v>
      </x:c>
      <x:c r="K391" s="8" t="str">
        <x:v>โรงแรมหรือรีสอร์ท</x:v>
      </x:c>
      <x:c r="L391" s="8" t="str">
        <x:f>INDEX('ประเมินเกณฑ์'!$AE$9:$AE$608,MATCH(G391,'ประเมินเกณฑ์'!$A$9:$A$608,0))</x:f>
        <x:v>รอประเมิน</x:v>
      </x:c>
      <x:c r="M391" s="8" t="str">
        <x:v>สถานที่ในจังหวัดเส้นทาง รอตรวจระยะทางและลำดับ</x:v>
      </x:c>
      <x:c r="N391" s="8" t="str">
        <x:v>ยังไม่ยืนยันการเปิดให้บริการปัจจุบัน</x:v>
      </x:c>
      <x:c r="O391" s="40" t="n">
        <x:v>46315</x:v>
      </x:c>
    </x:row>
    <x:row r="392" ht="38" customHeight="1">
      <x:c r="A392" s="9" t="n">
        <x:v>384</x:v>
      </x:c>
      <x:c r="B392" s="8" t="str">
        <x:v>ฮัซซานฟาร์ม</x:v>
      </x:c>
      <x:c r="C392" s="8" t="str">
        <x:v>กระบี่</x:v>
      </x:c>
      <x:c r="D392" s="8" t="str">
        <x:v>พร้อมขาย</x:v>
      </x:c>
      <x:c r="E392" s="8" t="str">
        <x:v>ร้านอาหารและคาเฟ่</x:v>
      </x:c>
      <x:c r="F392" s="38" t="n">
        <x:v>46316</x:v>
      </x:c>
      <x:c r="G392" s="8" t="str">
        <x:v>TMF-033</x:v>
      </x:c>
      <x:c r="H392" s="39" t="str">
        <x:v>08</x:v>
      </x:c>
      <x:c r="I392" s="8" t="str">
        <x:v>Andaman Halal Escape</x:v>
      </x:c>
      <x:c r="J392" s="8" t="str">
        <x:v>ตัวเลือกเสริม</x:v>
      </x:c>
      <x:c r="K392" s="8" t="str">
        <x:v>ร้านอาหาร</x:v>
      </x:c>
      <x:c r="L392" s="8" t="str">
        <x:f>INDEX('ประเมินเกณฑ์'!$AE$9:$AE$608,MATCH(G392,'ประเมินเกณฑ์'!$A$9:$A$608,0))</x:f>
        <x:v>รอประเมิน</x:v>
      </x:c>
      <x:c r="M392" s="8" t="str">
        <x:v>สถานที่ในจังหวัดเส้นทาง รอตรวจระยะทางและลำดับ</x:v>
      </x:c>
      <x:c r="N392" s="8" t="str">
        <x:v>ยังไม่ยืนยันการเปิดให้บริการปัจจุบัน</x:v>
      </x:c>
      <x:c r="O392" s="40" t="n">
        <x:v>46315</x:v>
      </x:c>
    </x:row>
    <x:row r="393" ht="38" customHeight="1">
      <x:c r="A393" s="9" t="n">
        <x:v>385</x:v>
      </x:c>
      <x:c r="B393" s="8" t="str">
        <x:v>Let's Relax Spa Krabi Centara Anda Dhevi</x:v>
      </x:c>
      <x:c r="C393" s="8" t="str">
        <x:v>กระบี่</x:v>
      </x:c>
      <x:c r="D393" s="8" t="str">
        <x:v>มีศักยภาพ แต่ต้องพัฒนามาตรฐาน</x:v>
      </x:c>
      <x:c r="E393" s="8" t="str">
        <x:v>สถานประกอบการเพื่อสุขภาพและเวลเนส</x:v>
      </x:c>
      <x:c r="F393" s="38" t="n">
        <x:v>46316</x:v>
      </x:c>
      <x:c r="G393" s="8" t="str">
        <x:v>R26-287</x:v>
      </x:c>
      <x:c r="H393" s="39" t="str">
        <x:v>08</x:v>
      </x:c>
      <x:c r="I393" s="8" t="str">
        <x:v>Andaman Halal Escape</x:v>
      </x:c>
      <x:c r="J393" s="8" t="str">
        <x:v>ตัวเลือกเสริม</x:v>
      </x:c>
      <x:c r="K393" s="8" t="str">
        <x:v>เวลเนส</x:v>
      </x:c>
      <x:c r="L393" s="8" t="str">
        <x:f>INDEX('ประเมินเกณฑ์'!$AE$9:$AE$608,MATCH(G393,'ประเมินเกณฑ์'!$A$9:$A$608,0))</x:f>
        <x:v>รอประเมิน</x:v>
      </x:c>
      <x:c r="M393" s="8" t="str">
        <x:v>สถานที่ในจังหวัดเส้นทาง รอตรวจระยะทางและลำดับ</x:v>
      </x:c>
      <x:c r="N393" s="8" t="str">
        <x:v>ยังไม่ยืนยันการเปิดให้บริการปัจจุบัน</x:v>
      </x:c>
      <x:c r="O393" s="40" t="n">
        <x:v>46316</x:v>
      </x:c>
    </x:row>
    <x:row r="394" ht="38" customHeight="1">
      <x:c r="A394" s="9" t="n">
        <x:v>386</x:v>
      </x:c>
      <x:c r="B394" s="8" t="str">
        <x:v>Wareerak Hot Spring Wellness</x:v>
      </x:c>
      <x:c r="C394" s="8" t="str">
        <x:v>กระบี่</x:v>
      </x:c>
      <x:c r="D394" s="8" t="str">
        <x:v>มีศักยภาพ แต่ต้องพัฒนามาตรฐาน</x:v>
      </x:c>
      <x:c r="E394" s="8" t="str">
        <x:v>สถานประกอบการเพื่อสุขภาพและเวลเนส</x:v>
      </x:c>
      <x:c r="F394" s="38" t="n">
        <x:v>46316</x:v>
      </x:c>
      <x:c r="G394" s="8" t="str">
        <x:v>R26-285</x:v>
      </x:c>
      <x:c r="H394" s="39" t="str">
        <x:v>08</x:v>
      </x:c>
      <x:c r="I394" s="8" t="str">
        <x:v>Andaman Halal Escape</x:v>
      </x:c>
      <x:c r="J394" s="8" t="str">
        <x:v>ตัวเลือกเสริม</x:v>
      </x:c>
      <x:c r="K394" s="8" t="str">
        <x:v>เวลเนส</x:v>
      </x:c>
      <x:c r="L394" s="8" t="str">
        <x:f>INDEX('ประเมินเกณฑ์'!$AE$9:$AE$608,MATCH(G394,'ประเมินเกณฑ์'!$A$9:$A$608,0))</x:f>
        <x:v>รอประเมิน</x:v>
      </x:c>
      <x:c r="M394" s="8" t="str">
        <x:v>สถานที่ในจังหวัดเส้นทาง รอตรวจระยะทางและลำดับ</x:v>
      </x:c>
      <x:c r="N394" s="8" t="str">
        <x:v>ยังไม่ยืนยันการเปิดให้บริการปัจจุบัน</x:v>
      </x:c>
      <x:c r="O394" s="40" t="n">
        <x:v>46316</x:v>
      </x:c>
    </x:row>
    <x:row r="395" ht="38" customHeight="1">
      <x:c r="A395" s="9" t="n">
        <x:v>387</x:v>
      </x:c>
      <x:c r="B395" s="8" t="str">
        <x:v>ท่าปอมคลองสองน้ำ</x:v>
      </x:c>
      <x:c r="C395" s="8" t="str">
        <x:v>กระบี่</x:v>
      </x:c>
      <x:c r="D395" s="8" t="str">
        <x:v>มีศักยภาพ แต่ต้องพัฒนามาตรฐาน</x:v>
      </x:c>
      <x:c r="E395" s="8" t="str">
        <x:v>แหล่งท่องเที่ยวทางธรรมชาติ</x:v>
      </x:c>
      <x:c r="F395" s="38" t="n">
        <x:v>46316</x:v>
      </x:c>
      <x:c r="G395" s="8" t="str">
        <x:v>R26-180</x:v>
      </x:c>
      <x:c r="H395" s="39" t="str">
        <x:v>08</x:v>
      </x:c>
      <x:c r="I395" s="8" t="str">
        <x:v>Andaman Halal Escape</x:v>
      </x:c>
      <x:c r="J395" s="8" t="str">
        <x:v>ตัวเลือกเสริม</x:v>
      </x:c>
      <x:c r="K395" s="8" t="str">
        <x:v>ธรรมชาติ</x:v>
      </x:c>
      <x:c r="L395" s="8" t="str">
        <x:f>INDEX('ประเมินเกณฑ์'!$AE$9:$AE$608,MATCH(G395,'ประเมินเกณฑ์'!$A$9:$A$608,0))</x:f>
        <x:v>รอประเมิน</x:v>
      </x:c>
      <x:c r="M395" s="8" t="str">
        <x:v>สถานที่ในจังหวัดเส้นทาง รอตรวจระยะทางและลำดับ</x:v>
      </x:c>
      <x:c r="N395" s="8" t="str">
        <x:v>ยังไม่ยืนยันการเปิดให้บริการปัจจุบัน</x:v>
      </x:c>
      <x:c r="O395" s="40" t="n">
        <x:v>46316</x:v>
      </x:c>
    </x:row>
    <x:row r="396" ht="38" customHeight="1">
      <x:c r="A396" s="9" t="n">
        <x:v>388</x:v>
      </x:c>
      <x:c r="B396" s="8" t="str">
        <x:v>หาดไร่เลย์</x:v>
      </x:c>
      <x:c r="C396" s="8" t="str">
        <x:v>กระบี่</x:v>
      </x:c>
      <x:c r="D396" s="8" t="str">
        <x:v>มีศักยภาพ แต่ต้องพัฒนามาตรฐาน</x:v>
      </x:c>
      <x:c r="E396" s="8" t="str">
        <x:v>แหล่งท่องเที่ยวทางธรรมชาติ</x:v>
      </x:c>
      <x:c r="F396" s="38" t="n">
        <x:v>46316</x:v>
      </x:c>
      <x:c r="G396" s="8" t="str">
        <x:v>R26-178</x:v>
      </x:c>
      <x:c r="H396" s="39" t="str">
        <x:v>08</x:v>
      </x:c>
      <x:c r="I396" s="8" t="str">
        <x:v>Andaman Halal Escape</x:v>
      </x:c>
      <x:c r="J396" s="8" t="str">
        <x:v>ตัวเลือกเสริม</x:v>
      </x:c>
      <x:c r="K396" s="8" t="str">
        <x:v>ธรรมชาติ</x:v>
      </x:c>
      <x:c r="L396" s="8" t="str">
        <x:f>INDEX('ประเมินเกณฑ์'!$AE$9:$AE$608,MATCH(G396,'ประเมินเกณฑ์'!$A$9:$A$608,0))</x:f>
        <x:v>รอประเมิน</x:v>
      </x:c>
      <x:c r="M396" s="8" t="str">
        <x:v>สถานที่ในจังหวัดเส้นทาง รอตรวจระยะทางและลำดับ</x:v>
      </x:c>
      <x:c r="N396" s="8" t="str">
        <x:v>ยังไม่ยืนยันการเปิดให้บริการปัจจุบัน</x:v>
      </x:c>
      <x:c r="O396" s="40" t="n">
        <x:v>46316</x:v>
      </x:c>
    </x:row>
    <x:row r="397" ht="38" customHeight="1">
      <x:c r="A397" s="9" t="n">
        <x:v>389</x:v>
      </x:c>
      <x:c r="B397" s="8" t="str">
        <x:v>อุทยานแห่งชาติธารโบกขรณี</x:v>
      </x:c>
      <x:c r="C397" s="8" t="str">
        <x:v>กระบี่</x:v>
      </x:c>
      <x:c r="D397" s="8" t="str">
        <x:v>มีศักยภาพ แต่ต้องพัฒนามาตรฐาน</x:v>
      </x:c>
      <x:c r="E397" s="8" t="str">
        <x:v>แหล่งท่องเที่ยวทางธรรมชาติ</x:v>
      </x:c>
      <x:c r="F397" s="38" t="n">
        <x:v>46316</x:v>
      </x:c>
      <x:c r="G397" s="8" t="str">
        <x:v>R26-176</x:v>
      </x:c>
      <x:c r="H397" s="39" t="str">
        <x:v>08</x:v>
      </x:c>
      <x:c r="I397" s="8" t="str">
        <x:v>Andaman Halal Escape</x:v>
      </x:c>
      <x:c r="J397" s="8" t="str">
        <x:v>ตัวเลือกเสริม</x:v>
      </x:c>
      <x:c r="K397" s="8" t="str">
        <x:v>ธรรมชาติ</x:v>
      </x:c>
      <x:c r="L397" s="8" t="str">
        <x:f>INDEX('ประเมินเกณฑ์'!$AE$9:$AE$608,MATCH(G397,'ประเมินเกณฑ์'!$A$9:$A$608,0))</x:f>
        <x:v>รอประเมิน</x:v>
      </x:c>
      <x:c r="M397" s="8" t="str">
        <x:v>สถานที่ในจังหวัดเส้นทาง รอตรวจระยะทางและลำดับ</x:v>
      </x:c>
      <x:c r="N397" s="8" t="str">
        <x:v>ยังไม่ยืนยันการเปิดให้บริการปัจจุบัน</x:v>
      </x:c>
      <x:c r="O397" s="40" t="n">
        <x:v>46316</x:v>
      </x:c>
    </x:row>
    <x:row r="398" ht="38" customHeight="1">
      <x:c r="A398" s="9" t="n">
        <x:v>390</x:v>
      </x:c>
      <x:c r="B398" s="8" t="str">
        <x:v>ชุมชนบ้านทุ่งหยีเพ็ง</x:v>
      </x:c>
      <x:c r="C398" s="8" t="str">
        <x:v>กระบี่</x:v>
      </x:c>
      <x:c r="D398" s="8" t="str">
        <x:v>มีศักยภาพ แต่ต้องพัฒนามาตรฐาน</x:v>
      </x:c>
      <x:c r="E398" s="8" t="str">
        <x:v>ชุมชนท่องเที่ยว</x:v>
      </x:c>
      <x:c r="F398" s="38" t="n">
        <x:v>46316</x:v>
      </x:c>
      <x:c r="G398" s="8" t="str">
        <x:v>R26-183</x:v>
      </x:c>
      <x:c r="H398" s="39" t="str">
        <x:v>08</x:v>
      </x:c>
      <x:c r="I398" s="8" t="str">
        <x:v>Andaman Halal Escape</x:v>
      </x:c>
      <x:c r="J398" s="8" t="str">
        <x:v>ตัวเลือกเสริม</x:v>
      </x:c>
      <x:c r="K398" s="8" t="str">
        <x:v>ชุมชน</x:v>
      </x:c>
      <x:c r="L398" s="8" t="str">
        <x:f>INDEX('ประเมินเกณฑ์'!$AE$9:$AE$608,MATCH(G398,'ประเมินเกณฑ์'!$A$9:$A$608,0))</x:f>
        <x:v>รอประเมิน</x:v>
      </x:c>
      <x:c r="M398" s="8" t="str">
        <x:v>สถานที่ในจังหวัดเส้นทาง รอตรวจระยะทางและลำดับ</x:v>
      </x:c>
      <x:c r="N398" s="8" t="str">
        <x:v>ยังไม่ยืนยันการเปิดให้บริการปัจจุบัน</x:v>
      </x:c>
      <x:c r="O398" s="40" t="n">
        <x:v>46316</x:v>
      </x:c>
    </x:row>
    <x:row r="399" ht="38" customHeight="1">
      <x:c r="A399" s="9" t="n">
        <x:v>391</x:v>
      </x:c>
      <x:c r="B399" s="8" t="str">
        <x:v>ชุมชนบ้านหนองทะเล</x:v>
      </x:c>
      <x:c r="C399" s="8" t="str">
        <x:v>กระบี่</x:v>
      </x:c>
      <x:c r="D399" s="8" t="str">
        <x:v>มีศักยภาพ แต่ต้องพัฒนามาตรฐาน</x:v>
      </x:c>
      <x:c r="E399" s="8" t="str">
        <x:v>ชุมชนท่องเที่ยว</x:v>
      </x:c>
      <x:c r="F399" s="38" t="n">
        <x:v>46316</x:v>
      </x:c>
      <x:c r="G399" s="8" t="str">
        <x:v>R26-184</x:v>
      </x:c>
      <x:c r="H399" s="39" t="str">
        <x:v>08</x:v>
      </x:c>
      <x:c r="I399" s="8" t="str">
        <x:v>Andaman Halal Escape</x:v>
      </x:c>
      <x:c r="J399" s="8" t="str">
        <x:v>ตัวเลือกเสริม</x:v>
      </x:c>
      <x:c r="K399" s="8" t="str">
        <x:v>ชุมชน</x:v>
      </x:c>
      <x:c r="L399" s="8" t="str">
        <x:f>INDEX('ประเมินเกณฑ์'!$AE$9:$AE$608,MATCH(G399,'ประเมินเกณฑ์'!$A$9:$A$608,0))</x:f>
        <x:v>รอประเมิน</x:v>
      </x:c>
      <x:c r="M399" s="8" t="str">
        <x:v>สถานที่ในจังหวัดเส้นทาง รอตรวจระยะทางและลำดับ</x:v>
      </x:c>
      <x:c r="N399" s="8" t="str">
        <x:v>ยังไม่ยืนยันการเปิดให้บริการปัจจุบัน</x:v>
      </x:c>
      <x:c r="O399" s="40" t="n">
        <x:v>46316</x:v>
      </x:c>
    </x:row>
    <x:row r="400" ht="38" customHeight="1">
      <x:c r="A400" s="9" t="n">
        <x:v>392</x:v>
      </x:c>
      <x:c r="B400" s="8" t="str">
        <x:v>Rimnatee Resort Trang</x:v>
      </x:c>
      <x:c r="C400" s="8" t="str">
        <x:v>ตรัง</x:v>
      </x:c>
      <x:c r="D400" s="8" t="str">
        <x:v>มีศักยภาพ แต่ต้องพัฒนามาตรฐาน</x:v>
      </x:c>
      <x:c r="E400" s="8" t="str">
        <x:v>ที่พัก</x:v>
      </x:c>
      <x:c r="F400" s="38" t="n">
        <x:v>46316</x:v>
      </x:c>
      <x:c r="G400" s="8" t="str">
        <x:v>R26-081</x:v>
      </x:c>
      <x:c r="H400" s="39" t="str">
        <x:v>08</x:v>
      </x:c>
      <x:c r="I400" s="8" t="str">
        <x:v>Andaman Halal Escape</x:v>
      </x:c>
      <x:c r="J400" s="8" t="str">
        <x:v>1</x:v>
      </x:c>
      <x:c r="K400" s="8" t="str">
        <x:v>ที่พัก</x:v>
      </x:c>
      <x:c r="L400" s="8" t="str">
        <x:f>INDEX('ประเมินเกณฑ์'!$AE$9:$AE$608,MATCH(G400,'ประเมินเกณฑ์'!$A$9:$A$608,0))</x:f>
        <x:v>รอประเมิน</x:v>
      </x:c>
      <x:c r="M400" s="8" t="str">
        <x:v>จุดในเอกสารเส้นทาง</x:v>
      </x:c>
      <x:c r="N400" s="8" t="str">
        <x:v>ยังไม่ยืนยันการเปิดให้บริการปัจจุบัน</x:v>
      </x:c>
      <x:c r="O400" s="40" t="n">
        <x:v>46316</x:v>
      </x:c>
    </x:row>
    <x:row r="401" ht="38" customHeight="1">
      <x:c r="A401" s="9" t="n">
        <x:v>393</x:v>
      </x:c>
      <x:c r="B401" s="8" t="str">
        <x:v>ถวิล Since 1998</x:v>
      </x:c>
      <x:c r="C401" s="8" t="str">
        <x:v>ตรัง</x:v>
      </x:c>
      <x:c r="D401" s="8" t="str">
        <x:v>มีศักยภาพ แต่ต้องพัฒนามาตรฐาน</x:v>
      </x:c>
      <x:c r="E401" s="8" t="str">
        <x:v>ร้านอาหารและคาเฟ่</x:v>
      </x:c>
      <x:c r="F401" s="38" t="n">
        <x:v>46316</x:v>
      </x:c>
      <x:c r="G401" s="8" t="str">
        <x:v>R26-080</x:v>
      </x:c>
      <x:c r="H401" s="39" t="str">
        <x:v>08</x:v>
      </x:c>
      <x:c r="I401" s="8" t="str">
        <x:v>Andaman Halal Escape</x:v>
      </x:c>
      <x:c r="J401" s="8" t="str">
        <x:v>1</x:v>
      </x:c>
      <x:c r="K401" s="8" t="str">
        <x:v>อาหาร</x:v>
      </x:c>
      <x:c r="L401" s="8" t="str">
        <x:f>INDEX('ประเมินเกณฑ์'!$AE$9:$AE$608,MATCH(G401,'ประเมินเกณฑ์'!$A$9:$A$608,0))</x:f>
        <x:v>รอประเมิน</x:v>
      </x:c>
      <x:c r="M401" s="8" t="str">
        <x:v>จุดในเอกสารเส้นทาง</x:v>
      </x:c>
      <x:c r="N401" s="8" t="str">
        <x:v>ยังไม่ยืนยันการเปิดให้บริการปัจจุบัน</x:v>
      </x:c>
      <x:c r="O401" s="40" t="n">
        <x:v>46316</x:v>
      </x:c>
    </x:row>
    <x:row r="402" ht="38" customHeight="1">
      <x:c r="A402" s="9" t="n">
        <x:v>394</x:v>
      </x:c>
      <x:c r="B402" s="8" t="str">
        <x:v>เตอรัง ติ่มซำ</x:v>
      </x:c>
      <x:c r="C402" s="8" t="str">
        <x:v>ตรัง</x:v>
      </x:c>
      <x:c r="D402" s="8" t="str">
        <x:v>มีศักยภาพ แต่ต้องพัฒนามาตรฐาน</x:v>
      </x:c>
      <x:c r="E402" s="8" t="str">
        <x:v>ร้านอาหารและคาเฟ่</x:v>
      </x:c>
      <x:c r="F402" s="38" t="n">
        <x:v>46316</x:v>
      </x:c>
      <x:c r="G402" s="8" t="str">
        <x:v>R26-082</x:v>
      </x:c>
      <x:c r="H402" s="39" t="str">
        <x:v>08</x:v>
      </x:c>
      <x:c r="I402" s="8" t="str">
        <x:v>Andaman Halal Escape</x:v>
      </x:c>
      <x:c r="J402" s="8" t="str">
        <x:v>2</x:v>
      </x:c>
      <x:c r="K402" s="8" t="str">
        <x:v>อาหาร</x:v>
      </x:c>
      <x:c r="L402" s="8" t="str">
        <x:f>INDEX('ประเมินเกณฑ์'!$AE$9:$AE$608,MATCH(G402,'ประเมินเกณฑ์'!$A$9:$A$608,0))</x:f>
        <x:v>รอประเมิน</x:v>
      </x:c>
      <x:c r="M402" s="8" t="str">
        <x:v>จุดในเอกสารเส้นทาง</x:v>
      </x:c>
      <x:c r="N402" s="8" t="str">
        <x:v>ยังไม่ยืนยันการเปิดให้บริการปัจจุบัน</x:v>
      </x:c>
      <x:c r="O402" s="40" t="n">
        <x:v>46316</x:v>
      </x:c>
    </x:row>
    <x:row r="403" ht="38" customHeight="1">
      <x:c r="A403" s="9" t="n">
        <x:v>395</x:v>
      </x:c>
      <x:c r="B403" s="8" t="str">
        <x:v>เสน่ห์ปู ตรัง</x:v>
      </x:c>
      <x:c r="C403" s="8" t="str">
        <x:v>ตรัง</x:v>
      </x:c>
      <x:c r="D403" s="8" t="str">
        <x:v>มีศักยภาพ แต่ต้องพัฒนามาตรฐาน</x:v>
      </x:c>
      <x:c r="E403" s="8" t="str">
        <x:v>ร้านอาหารและคาเฟ่</x:v>
      </x:c>
      <x:c r="F403" s="38" t="n">
        <x:v>46316</x:v>
      </x:c>
      <x:c r="G403" s="8" t="str">
        <x:v>R26-084</x:v>
      </x:c>
      <x:c r="H403" s="39" t="str">
        <x:v>08</x:v>
      </x:c>
      <x:c r="I403" s="8" t="str">
        <x:v>Andaman Halal Escape</x:v>
      </x:c>
      <x:c r="J403" s="8" t="str">
        <x:v>2</x:v>
      </x:c>
      <x:c r="K403" s="8" t="str">
        <x:v>อาหาร</x:v>
      </x:c>
      <x:c r="L403" s="8" t="str">
        <x:f>INDEX('ประเมินเกณฑ์'!$AE$9:$AE$608,MATCH(G403,'ประเมินเกณฑ์'!$A$9:$A$608,0))</x:f>
        <x:v>รอประเมิน</x:v>
      </x:c>
      <x:c r="M403" s="8" t="str">
        <x:v>จุดในเอกสารเส้นทาง</x:v>
      </x:c>
      <x:c r="N403" s="8" t="str">
        <x:v>ยังไม่ยืนยันการเปิดให้บริการปัจจุบัน</x:v>
      </x:c>
      <x:c r="O403" s="40" t="n">
        <x:v>46316</x:v>
      </x:c>
    </x:row>
    <x:row r="404" ht="38" customHeight="1">
      <x:c r="A404" s="9" t="n">
        <x:v>396</x:v>
      </x:c>
      <x:c r="B404" s="8" t="str">
        <x:v>ถ้ำเลเขากอบ</x:v>
      </x:c>
      <x:c r="C404" s="8" t="str">
        <x:v>ตรัง</x:v>
      </x:c>
      <x:c r="D404" s="8" t="str">
        <x:v>มีศักยภาพ แต่ต้องพัฒนามาตรฐาน</x:v>
      </x:c>
      <x:c r="E404" s="8" t="str">
        <x:v>แหล่งท่องเที่ยวทางธรรมชาติ</x:v>
      </x:c>
      <x:c r="F404" s="38" t="n">
        <x:v>46316</x:v>
      </x:c>
      <x:c r="G404" s="8" t="str">
        <x:v>R26-083</x:v>
      </x:c>
      <x:c r="H404" s="39" t="str">
        <x:v>08</x:v>
      </x:c>
      <x:c r="I404" s="8" t="str">
        <x:v>Andaman Halal Escape</x:v>
      </x:c>
      <x:c r="J404" s="8" t="str">
        <x:v>2</x:v>
      </x:c>
      <x:c r="K404" s="8" t="str">
        <x:v>ธรรมชาติ</x:v>
      </x:c>
      <x:c r="L404" s="8" t="str">
        <x:f>INDEX('ประเมินเกณฑ์'!$AE$9:$AE$608,MATCH(G404,'ประเมินเกณฑ์'!$A$9:$A$608,0))</x:f>
        <x:v>รอประเมิน</x:v>
      </x:c>
      <x:c r="M404" s="8" t="str">
        <x:v>จุดในเอกสารเส้นทาง</x:v>
      </x:c>
      <x:c r="N404" s="8" t="str">
        <x:v>ยังไม่ยืนยันการเปิดให้บริการปัจจุบัน</x:v>
      </x:c>
      <x:c r="O404" s="40" t="n">
        <x:v>46316</x:v>
      </x:c>
    </x:row>
    <x:row r="405" ht="38" customHeight="1">
      <x:c r="A405" s="9" t="n">
        <x:v>397</x:v>
      </x:c>
      <x:c r="B405" s="8" t="str">
        <x:v>ชุมชนบ้านน้ำราบ</x:v>
      </x:c>
      <x:c r="C405" s="8" t="str">
        <x:v>ตรัง</x:v>
      </x:c>
      <x:c r="D405" s="8" t="str">
        <x:v>มีศักยภาพ แต่ต้องพัฒนามาตรฐาน</x:v>
      </x:c>
      <x:c r="E405" s="8" t="str">
        <x:v>ชุมชนท่องเที่ยว</x:v>
      </x:c>
      <x:c r="F405" s="38" t="n">
        <x:v>46316</x:v>
      </x:c>
      <x:c r="G405" s="8" t="str">
        <x:v>R26-085</x:v>
      </x:c>
      <x:c r="H405" s="39" t="str">
        <x:v>08</x:v>
      </x:c>
      <x:c r="I405" s="8" t="str">
        <x:v>Andaman Halal Escape</x:v>
      </x:c>
      <x:c r="J405" s="8" t="str">
        <x:v>2</x:v>
      </x:c>
      <x:c r="K405" s="8" t="str">
        <x:v>ชุมชน</x:v>
      </x:c>
      <x:c r="L405" s="8" t="str">
        <x:f>INDEX('ประเมินเกณฑ์'!$AE$9:$AE$608,MATCH(G405,'ประเมินเกณฑ์'!$A$9:$A$608,0))</x:f>
        <x:v>รอประเมิน</x:v>
      </x:c>
      <x:c r="M405" s="8" t="str">
        <x:v>จุดในเอกสารเส้นทาง</x:v>
      </x:c>
      <x:c r="N405" s="8" t="str">
        <x:v>ยังไม่ยืนยันการเปิดให้บริการปัจจุบัน</x:v>
      </x:c>
      <x:c r="O405" s="40" t="n">
        <x:v>46316</x:v>
      </x:c>
    </x:row>
    <x:row r="406" ht="38" customHeight="1">
      <x:c r="A406" s="9" t="n">
        <x:v>398</x:v>
      </x:c>
      <x:c r="B406" s="8" t="str">
        <x:v>ParimaHotel</x:v>
      </x:c>
      <x:c r="C406" s="8" t="str">
        <x:v>ตรัง</x:v>
      </x:c>
      <x:c r="D406" s="8" t="str">
        <x:v>พัฒนาเพื่อพร้อมขาย</x:v>
      </x:c>
      <x:c r="E406" s="8" t="str">
        <x:v>ที่พัก</x:v>
      </x:c>
      <x:c r="F406" s="38" t="n">
        <x:v>46316</x:v>
      </x:c>
      <x:c r="G406" s="8" t="str">
        <x:v>GMHI-46</x:v>
      </x:c>
      <x:c r="H406" s="39" t="str">
        <x:v>08</x:v>
      </x:c>
      <x:c r="I406" s="8" t="str">
        <x:v>Andaman Halal Escape</x:v>
      </x:c>
      <x:c r="J406" s="8" t="str">
        <x:v>ตัวเลือกเสริม</x:v>
      </x:c>
      <x:c r="K406" s="8" t="str">
        <x:v>ที่พัก</x:v>
      </x:c>
      <x:c r="L406" s="8" t="str">
        <x:f>INDEX('ประเมินเกณฑ์'!$AE$9:$AE$608,MATCH(G406,'ประเมินเกณฑ์'!$A$9:$A$608,0))</x:f>
        <x:v>รอประเมิน</x:v>
      </x:c>
      <x:c r="M406" s="8" t="str">
        <x:v>สถานที่ในจังหวัดเส้นทาง รอตรวจระยะทางและลำดับ</x:v>
      </x:c>
      <x:c r="N406" s="8" t="str">
        <x:v>ยังไม่ยืนยันการเปิดให้บริการปัจจุบัน</x:v>
      </x:c>
      <x:c r="O406" s="40" t="n">
        <x:v>46315</x:v>
      </x:c>
    </x:row>
    <x:row r="407" ht="38" customHeight="1">
      <x:c r="A407" s="9" t="n">
        <x:v>399</x:v>
      </x:c>
      <x:c r="B407" s="8" t="str">
        <x:v>Rua Rasada Hotel Trang</x:v>
      </x:c>
      <x:c r="C407" s="8" t="str">
        <x:v>ตรัง</x:v>
      </x:c>
      <x:c r="D407" s="8" t="str">
        <x:v>มีศักยภาพ แต่ต้องพัฒนามาตรฐาน</x:v>
      </x:c>
      <x:c r="E407" s="8" t="str">
        <x:v>ที่พัก</x:v>
      </x:c>
      <x:c r="F407" s="38" t="n">
        <x:v>46316</x:v>
      </x:c>
      <x:c r="G407" s="8" t="str">
        <x:v>R26-386</x:v>
      </x:c>
      <x:c r="H407" s="39" t="str">
        <x:v>08</x:v>
      </x:c>
      <x:c r="I407" s="8" t="str">
        <x:v>Andaman Halal Escape</x:v>
      </x:c>
      <x:c r="J407" s="8" t="str">
        <x:v>ตัวเลือกเสริม</x:v>
      </x:c>
      <x:c r="K407" s="8" t="str">
        <x:v>ที่พัก</x:v>
      </x:c>
      <x:c r="L407" s="8" t="str">
        <x:f>INDEX('ประเมินเกณฑ์'!$AE$9:$AE$608,MATCH(G407,'ประเมินเกณฑ์'!$A$9:$A$608,0))</x:f>
        <x:v>รอประเมิน</x:v>
      </x:c>
      <x:c r="M407" s="8" t="str">
        <x:v>สถานที่ในจังหวัดเส้นทาง รอตรวจระยะทางและลำดับ</x:v>
      </x:c>
      <x:c r="N407" s="8" t="str">
        <x:v>ยังไม่ยืนยันการเปิดให้บริการปัจจุบัน</x:v>
      </x:c>
      <x:c r="O407" s="40" t="n">
        <x:v>46316</x:v>
      </x:c>
    </x:row>
    <x:row r="408" ht="38" customHeight="1">
      <x:c r="A408" s="9" t="n">
        <x:v>400</x:v>
      </x:c>
      <x:c r="B408" s="8" t="str">
        <x:v>The Three Sleep</x:v>
      </x:c>
      <x:c r="C408" s="8" t="str">
        <x:v>ตรัง</x:v>
      </x:c>
      <x:c r="D408" s="8" t="str">
        <x:v>มีศักยภาพ แต่ต้องพัฒนามาตรฐาน</x:v>
      </x:c>
      <x:c r="E408" s="8" t="str">
        <x:v>ที่พัก</x:v>
      </x:c>
      <x:c r="F408" s="38" t="n">
        <x:v>46316</x:v>
      </x:c>
      <x:c r="G408" s="8" t="str">
        <x:v>GMHI-6</x:v>
      </x:c>
      <x:c r="H408" s="39" t="str">
        <x:v>08</x:v>
      </x:c>
      <x:c r="I408" s="8" t="str">
        <x:v>Andaman Halal Escape</x:v>
      </x:c>
      <x:c r="J408" s="8" t="str">
        <x:v>ตัวเลือกเสริม</x:v>
      </x:c>
      <x:c r="K408" s="8" t="str">
        <x:v>ที่พัก</x:v>
      </x:c>
      <x:c r="L408" s="8" t="str">
        <x:f>INDEX('ประเมินเกณฑ์'!$AE$9:$AE$608,MATCH(G408,'ประเมินเกณฑ์'!$A$9:$A$608,0))</x:f>
        <x:v>รอประเมิน</x:v>
      </x:c>
      <x:c r="M408" s="8" t="str">
        <x:v>สถานที่ในจังหวัดเส้นทาง รอตรวจระยะทางและลำดับ</x:v>
      </x:c>
      <x:c r="N408" s="8" t="str">
        <x:v>ยังไม่ยืนยันการเปิดให้บริการปัจจุบัน</x:v>
      </x:c>
      <x:c r="O408" s="40" t="n">
        <x:v>46315</x:v>
      </x:c>
    </x:row>
    <x:row r="409" ht="38" customHeight="1">
      <x:c r="A409" s="9" t="n">
        <x:v>401</x:v>
      </x:c>
      <x:c r="B409" s="8" t="str">
        <x:v>ร้านทางเลือก ตรัง</x:v>
      </x:c>
      <x:c r="C409" s="8" t="str">
        <x:v>ตรัง</x:v>
      </x:c>
      <x:c r="D409" s="8" t="str">
        <x:v>มีศักยภาพ แต่ต้องพัฒนามาตรฐาน</x:v>
      </x:c>
      <x:c r="E409" s="8" t="str">
        <x:v>ร้านอาหารและคาเฟ่</x:v>
      </x:c>
      <x:c r="F409" s="38" t="n">
        <x:v>46316</x:v>
      </x:c>
      <x:c r="G409" s="8" t="str">
        <x:v>R26-357</x:v>
      </x:c>
      <x:c r="H409" s="39" t="str">
        <x:v>08</x:v>
      </x:c>
      <x:c r="I409" s="8" t="str">
        <x:v>Andaman Halal Escape</x:v>
      </x:c>
      <x:c r="J409" s="8" t="str">
        <x:v>ตัวเลือกเสริม</x:v>
      </x:c>
      <x:c r="K409" s="8" t="str">
        <x:v>อาหาร</x:v>
      </x:c>
      <x:c r="L409" s="8" t="str">
        <x:f>INDEX('ประเมินเกณฑ์'!$AE$9:$AE$608,MATCH(G409,'ประเมินเกณฑ์'!$A$9:$A$608,0))</x:f>
        <x:v>รอประเมิน</x:v>
      </x:c>
      <x:c r="M409" s="8" t="str">
        <x:v>สถานที่ในจังหวัดเส้นทาง รอตรวจระยะทางและลำดับ</x:v>
      </x:c>
      <x:c r="N409" s="8" t="str">
        <x:v>ยังไม่ยืนยันการเปิดให้บริการปัจจุบัน</x:v>
      </x:c>
      <x:c r="O409" s="40" t="n">
        <x:v>46316</x:v>
      </x:c>
    </x:row>
    <x:row r="410" ht="38" customHeight="1">
      <x:c r="A410" s="9" t="n">
        <x:v>402</x:v>
      </x:c>
      <x:c r="B410" s="8" t="str">
        <x:v>ฮานีส สวนอาหารฮาลาล</x:v>
      </x:c>
      <x:c r="C410" s="8" t="str">
        <x:v>ตรัง</x:v>
      </x:c>
      <x:c r="D410" s="8" t="str">
        <x:v>มีศักยภาพ แต่ต้องพัฒนามาตรฐาน</x:v>
      </x:c>
      <x:c r="E410" s="8" t="str">
        <x:v>ร้านอาหารและคาเฟ่</x:v>
      </x:c>
      <x:c r="F410" s="38" t="n">
        <x:v>46316</x:v>
      </x:c>
      <x:c r="G410" s="8" t="str">
        <x:v>R26-356</x:v>
      </x:c>
      <x:c r="H410" s="39" t="str">
        <x:v>08</x:v>
      </x:c>
      <x:c r="I410" s="8" t="str">
        <x:v>Andaman Halal Escape</x:v>
      </x:c>
      <x:c r="J410" s="8" t="str">
        <x:v>ตัวเลือกเสริม</x:v>
      </x:c>
      <x:c r="K410" s="8" t="str">
        <x:v>อาหาร</x:v>
      </x:c>
      <x:c r="L410" s="8" t="str">
        <x:f>INDEX('ประเมินเกณฑ์'!$AE$9:$AE$608,MATCH(G410,'ประเมินเกณฑ์'!$A$9:$A$608,0))</x:f>
        <x:v>รอประเมิน</x:v>
      </x:c>
      <x:c r="M410" s="8" t="str">
        <x:v>สถานที่ในจังหวัดเส้นทาง รอตรวจระยะทางและลำดับ</x:v>
      </x:c>
      <x:c r="N410" s="8" t="str">
        <x:v>ยังไม่ยืนยันการเปิดให้บริการปัจจุบัน</x:v>
      </x:c>
      <x:c r="O410" s="40" t="n">
        <x:v>46316</x:v>
      </x:c>
    </x:row>
    <x:row r="411" ht="38" customHeight="1">
      <x:c r="A411" s="9" t="n">
        <x:v>403</x:v>
      </x:c>
      <x:c r="B411" s="8" t="str">
        <x:v>โรตีเมืองตรัง</x:v>
      </x:c>
      <x:c r="C411" s="8" t="str">
        <x:v>ตรัง</x:v>
      </x:c>
      <x:c r="D411" s="8" t="str">
        <x:v>มีศักยภาพ แต่ต้องพัฒนามาตรฐาน</x:v>
      </x:c>
      <x:c r="E411" s="8" t="str">
        <x:v>ร้านอาหารและคาเฟ่</x:v>
      </x:c>
      <x:c r="F411" s="38" t="n">
        <x:v>46316</x:v>
      </x:c>
      <x:c r="G411" s="8" t="str">
        <x:v>R26-359</x:v>
      </x:c>
      <x:c r="H411" s="39" t="str">
        <x:v>08</x:v>
      </x:c>
      <x:c r="I411" s="8" t="str">
        <x:v>Andaman Halal Escape</x:v>
      </x:c>
      <x:c r="J411" s="8" t="str">
        <x:v>ตัวเลือกเสริม</x:v>
      </x:c>
      <x:c r="K411" s="8" t="str">
        <x:v>อาหาร</x:v>
      </x:c>
      <x:c r="L411" s="8" t="str">
        <x:f>INDEX('ประเมินเกณฑ์'!$AE$9:$AE$608,MATCH(G411,'ประเมินเกณฑ์'!$A$9:$A$608,0))</x:f>
        <x:v>รอประเมิน</x:v>
      </x:c>
      <x:c r="M411" s="8" t="str">
        <x:v>สถานที่ในจังหวัดเส้นทาง รอตรวจระยะทางและลำดับ</x:v>
      </x:c>
      <x:c r="N411" s="8" t="str">
        <x:v>ยังไม่ยืนยันการเปิดให้บริการปัจจุบัน</x:v>
      </x:c>
      <x:c r="O411" s="40" t="n">
        <x:v>46316</x:v>
      </x:c>
    </x:row>
    <x:row r="412" ht="38" customHeight="1">
      <x:c r="A412" s="9" t="n">
        <x:v>404</x:v>
      </x:c>
      <x:c r="B412" s="8" t="str">
        <x:v>Let's Relax Spa Trang Rua Rasada</x:v>
      </x:c>
      <x:c r="C412" s="8" t="str">
        <x:v>ตรัง</x:v>
      </x:c>
      <x:c r="D412" s="8" t="str">
        <x:v>มีศักยภาพ แต่ต้องพัฒนามาตรฐาน</x:v>
      </x:c>
      <x:c r="E412" s="8" t="str">
        <x:v>สถานประกอบการเพื่อสุขภาพและเวลเนส</x:v>
      </x:c>
      <x:c r="F412" s="38" t="n">
        <x:v>46316</x:v>
      </x:c>
      <x:c r="G412" s="8" t="str">
        <x:v>R26-288</x:v>
      </x:c>
      <x:c r="H412" s="39" t="str">
        <x:v>08</x:v>
      </x:c>
      <x:c r="I412" s="8" t="str">
        <x:v>Andaman Halal Escape</x:v>
      </x:c>
      <x:c r="J412" s="8" t="str">
        <x:v>ตัวเลือกเสริม</x:v>
      </x:c>
      <x:c r="K412" s="8" t="str">
        <x:v>เวลเนส</x:v>
      </x:c>
      <x:c r="L412" s="8" t="str">
        <x:f>INDEX('ประเมินเกณฑ์'!$AE$9:$AE$608,MATCH(G412,'ประเมินเกณฑ์'!$A$9:$A$608,0))</x:f>
        <x:v>รอประเมิน</x:v>
      </x:c>
      <x:c r="M412" s="8" t="str">
        <x:v>สถานที่ในจังหวัดเส้นทาง รอตรวจระยะทางและลำดับ</x:v>
      </x:c>
      <x:c r="N412" s="8" t="str">
        <x:v>ยังไม่ยืนยันการเปิดให้บริการปัจจุบัน</x:v>
      </x:c>
      <x:c r="O412" s="40" t="n">
        <x:v>46316</x:v>
      </x:c>
    </x:row>
    <x:row r="413" ht="38" customHeight="1">
      <x:c r="A413" s="9" t="n">
        <x:v>405</x:v>
      </x:c>
      <x:c r="B413" s="8" t="str">
        <x:v>น้ำตกโตนเต๊ะ</x:v>
      </x:c>
      <x:c r="C413" s="8" t="str">
        <x:v>ตรัง</x:v>
      </x:c>
      <x:c r="D413" s="8" t="str">
        <x:v>มีศักยภาพ แต่ต้องพัฒนามาตรฐาน</x:v>
      </x:c>
      <x:c r="E413" s="8" t="str">
        <x:v>แหล่งท่องเที่ยวทางธรรมชาติ</x:v>
      </x:c>
      <x:c r="F413" s="38" t="n">
        <x:v>46316</x:v>
      </x:c>
      <x:c r="G413" s="8" t="str">
        <x:v>R26-187</x:v>
      </x:c>
      <x:c r="H413" s="39" t="str">
        <x:v>08</x:v>
      </x:c>
      <x:c r="I413" s="8" t="str">
        <x:v>Andaman Halal Escape</x:v>
      </x:c>
      <x:c r="J413" s="8" t="str">
        <x:v>ตัวเลือกเสริม</x:v>
      </x:c>
      <x:c r="K413" s="8" t="str">
        <x:v>ธรรมชาติ</x:v>
      </x:c>
      <x:c r="L413" s="8" t="str">
        <x:f>INDEX('ประเมินเกณฑ์'!$AE$9:$AE$608,MATCH(G413,'ประเมินเกณฑ์'!$A$9:$A$608,0))</x:f>
        <x:v>รอประเมิน</x:v>
      </x:c>
      <x:c r="M413" s="8" t="str">
        <x:v>สถานที่ในจังหวัดเส้นทาง รอตรวจระยะทางและลำดับ</x:v>
      </x:c>
      <x:c r="N413" s="8" t="str">
        <x:v>ยังไม่ยืนยันการเปิดให้บริการปัจจุบัน</x:v>
      </x:c>
      <x:c r="O413" s="40" t="n">
        <x:v>46316</x:v>
      </x:c>
    </x:row>
    <x:row r="414" ht="38" customHeight="1">
      <x:c r="A414" s="9" t="n">
        <x:v>406</x:v>
      </x:c>
      <x:c r="B414" s="8" t="str">
        <x:v>หาดปากเมง</x:v>
      </x:c>
      <x:c r="C414" s="8" t="str">
        <x:v>ตรัง</x:v>
      </x:c>
      <x:c r="D414" s="8" t="str">
        <x:v>มีศักยภาพ แต่ต้องพัฒนามาตรฐาน</x:v>
      </x:c>
      <x:c r="E414" s="8" t="str">
        <x:v>แหล่งท่องเที่ยวทางธรรมชาติ</x:v>
      </x:c>
      <x:c r="F414" s="38" t="n">
        <x:v>46316</x:v>
      </x:c>
      <x:c r="G414" s="8" t="str">
        <x:v>R26-185</x:v>
      </x:c>
      <x:c r="H414" s="39" t="str">
        <x:v>08</x:v>
      </x:c>
      <x:c r="I414" s="8" t="str">
        <x:v>Andaman Halal Escape</x:v>
      </x:c>
      <x:c r="J414" s="8" t="str">
        <x:v>ตัวเลือกเสริม</x:v>
      </x:c>
      <x:c r="K414" s="8" t="str">
        <x:v>ธรรมชาติ</x:v>
      </x:c>
      <x:c r="L414" s="8" t="str">
        <x:f>INDEX('ประเมินเกณฑ์'!$AE$9:$AE$608,MATCH(G414,'ประเมินเกณฑ์'!$A$9:$A$608,0))</x:f>
        <x:v>รอประเมิน</x:v>
      </x:c>
      <x:c r="M414" s="8" t="str">
        <x:v>สถานที่ในจังหวัดเส้นทาง รอตรวจระยะทางและลำดับ</x:v>
      </x:c>
      <x:c r="N414" s="8" t="str">
        <x:v>ยังไม่ยืนยันการเปิดให้บริการปัจจุบัน</x:v>
      </x:c>
      <x:c r="O414" s="40" t="n">
        <x:v>46316</x:v>
      </x:c>
    </x:row>
    <x:row r="415" ht="38" customHeight="1">
      <x:c r="A415" s="9" t="n">
        <x:v>407</x:v>
      </x:c>
      <x:c r="B415" s="8" t="str">
        <x:v>อุทยานแห่งชาติหาดเจ้าไหม</x:v>
      </x:c>
      <x:c r="C415" s="8" t="str">
        <x:v>ตรัง</x:v>
      </x:c>
      <x:c r="D415" s="8" t="str">
        <x:v>มีศักยภาพ แต่ต้องพัฒนามาตรฐาน</x:v>
      </x:c>
      <x:c r="E415" s="8" t="str">
        <x:v>แหล่งท่องเที่ยวทางธรรมชาติ</x:v>
      </x:c>
      <x:c r="F415" s="38" t="n">
        <x:v>46316</x:v>
      </x:c>
      <x:c r="G415" s="8" t="str">
        <x:v>R26-186</x:v>
      </x:c>
      <x:c r="H415" s="39" t="str">
        <x:v>08</x:v>
      </x:c>
      <x:c r="I415" s="8" t="str">
        <x:v>Andaman Halal Escape</x:v>
      </x:c>
      <x:c r="J415" s="8" t="str">
        <x:v>ตัวเลือกเสริม</x:v>
      </x:c>
      <x:c r="K415" s="8" t="str">
        <x:v>ธรรมชาติ</x:v>
      </x:c>
      <x:c r="L415" s="8" t="str">
        <x:f>INDEX('ประเมินเกณฑ์'!$AE$9:$AE$608,MATCH(G415,'ประเมินเกณฑ์'!$A$9:$A$608,0))</x:f>
        <x:v>รอประเมิน</x:v>
      </x:c>
      <x:c r="M415" s="8" t="str">
        <x:v>สถานที่ในจังหวัดเส้นทาง รอตรวจระยะทางและลำดับ</x:v>
      </x:c>
      <x:c r="N415" s="8" t="str">
        <x:v>ยังไม่ยืนยันการเปิดให้บริการปัจจุบัน</x:v>
      </x:c>
      <x:c r="O415" s="40" t="n">
        <x:v>46316</x:v>
      </x:c>
    </x:row>
    <x:row r="416" ht="38" customHeight="1">
      <x:c r="A416" s="9" t="n">
        <x:v>408</x:v>
      </x:c>
      <x:c r="B416" s="8" t="str">
        <x:v>สถานีรถไฟกันตัง</x:v>
      </x:c>
      <x:c r="C416" s="8" t="str">
        <x:v>ตรัง</x:v>
      </x:c>
      <x:c r="D416" s="8" t="str">
        <x:v>มีศักยภาพ แต่ต้องพัฒนามาตรฐาน</x:v>
      </x:c>
      <x:c r="E416" s="8" t="str">
        <x:v>แหล่งท่องเที่ยวทางประวัติศาสตร์และวัฒนธรรม</x:v>
      </x:c>
      <x:c r="F416" s="38" t="n">
        <x:v>46316</x:v>
      </x:c>
      <x:c r="G416" s="8" t="str">
        <x:v>R26-192</x:v>
      </x:c>
      <x:c r="H416" s="39" t="str">
        <x:v>08</x:v>
      </x:c>
      <x:c r="I416" s="8" t="str">
        <x:v>Andaman Halal Escape</x:v>
      </x:c>
      <x:c r="J416" s="8" t="str">
        <x:v>ตัวเลือกเสริม</x:v>
      </x:c>
      <x:c r="K416" s="8" t="str">
        <x:v>พิพิธภัณฑ์หรือแหล่งเรียนรู้วัฒนธรรม</x:v>
      </x:c>
      <x:c r="L416" s="8" t="str">
        <x:f>INDEX('ประเมินเกณฑ์'!$AE$9:$AE$608,MATCH(G416,'ประเมินเกณฑ์'!$A$9:$A$608,0))</x:f>
        <x:v>รอประเมิน</x:v>
      </x:c>
      <x:c r="M416" s="8" t="str">
        <x:v>สถานที่ในจังหวัดเส้นทาง รอตรวจระยะทางและลำดับ</x:v>
      </x:c>
      <x:c r="N416" s="8" t="str">
        <x:v>ยังไม่ยืนยันการเปิดให้บริการปัจจุบัน</x:v>
      </x:c>
      <x:c r="O416" s="40" t="n">
        <x:v>46316</x:v>
      </x:c>
    </x:row>
    <x:row r="417" ht="38" customHeight="1">
      <x:c r="A417" s="9" t="n">
        <x:v>409</x:v>
      </x:c>
      <x:c r="B417" s="8" t="str">
        <x:v>ชุมชนบ้านนาหมื่นศรี</x:v>
      </x:c>
      <x:c r="C417" s="8" t="str">
        <x:v>ตรัง</x:v>
      </x:c>
      <x:c r="D417" s="8" t="str">
        <x:v>มีศักยภาพ แต่ต้องพัฒนามาตรฐาน</x:v>
      </x:c>
      <x:c r="E417" s="8" t="str">
        <x:v>ชุมชนท่องเที่ยว</x:v>
      </x:c>
      <x:c r="F417" s="38" t="n">
        <x:v>46316</x:v>
      </x:c>
      <x:c r="G417" s="8" t="str">
        <x:v>R26-188</x:v>
      </x:c>
      <x:c r="H417" s="39" t="str">
        <x:v>08</x:v>
      </x:c>
      <x:c r="I417" s="8" t="str">
        <x:v>Andaman Halal Escape</x:v>
      </x:c>
      <x:c r="J417" s="8" t="str">
        <x:v>ตัวเลือกเสริม</x:v>
      </x:c>
      <x:c r="K417" s="8" t="str">
        <x:v>ชุมชน</x:v>
      </x:c>
      <x:c r="L417" s="8" t="str">
        <x:f>INDEX('ประเมินเกณฑ์'!$AE$9:$AE$608,MATCH(G417,'ประเมินเกณฑ์'!$A$9:$A$608,0))</x:f>
        <x:v>รอประเมิน</x:v>
      </x:c>
      <x:c r="M417" s="8" t="str">
        <x:v>สถานที่ในจังหวัดเส้นทาง รอตรวจระยะทางและลำดับ</x:v>
      </x:c>
      <x:c r="N417" s="8" t="str">
        <x:v>ยังไม่ยืนยันการเปิดให้บริการปัจจุบัน</x:v>
      </x:c>
      <x:c r="O417" s="40" t="n">
        <x:v>46316</x:v>
      </x:c>
    </x:row>
    <x:row r="418" ht="38" customHeight="1">
      <x:c r="A418" s="9" t="n">
        <x:v>410</x:v>
      </x:c>
      <x:c r="B418" s="8" t="str">
        <x:v>ชุมชนบ้านมดตะนอย</x:v>
      </x:c>
      <x:c r="C418" s="8" t="str">
        <x:v>ตรัง</x:v>
      </x:c>
      <x:c r="D418" s="8" t="str">
        <x:v>มีศักยภาพ แต่ต้องพัฒนามาตรฐาน</x:v>
      </x:c>
      <x:c r="E418" s="8" t="str">
        <x:v>ชุมชนท่องเที่ยว</x:v>
      </x:c>
      <x:c r="F418" s="38" t="n">
        <x:v>46316</x:v>
      </x:c>
      <x:c r="G418" s="8" t="str">
        <x:v>R26-189</x:v>
      </x:c>
      <x:c r="H418" s="39" t="str">
        <x:v>08</x:v>
      </x:c>
      <x:c r="I418" s="8" t="str">
        <x:v>Andaman Halal Escape</x:v>
      </x:c>
      <x:c r="J418" s="8" t="str">
        <x:v>ตัวเลือกเสริม</x:v>
      </x:c>
      <x:c r="K418" s="8" t="str">
        <x:v>ชุมชน</x:v>
      </x:c>
      <x:c r="L418" s="8" t="str">
        <x:f>INDEX('ประเมินเกณฑ์'!$AE$9:$AE$608,MATCH(G418,'ประเมินเกณฑ์'!$A$9:$A$608,0))</x:f>
        <x:v>รอประเมิน</x:v>
      </x:c>
      <x:c r="M418" s="8" t="str">
        <x:v>สถานที่ในจังหวัดเส้นทาง รอตรวจระยะทางและลำดับ</x:v>
      </x:c>
      <x:c r="N418" s="8" t="str">
        <x:v>ยังไม่ยืนยันการเปิดให้บริการปัจจุบัน</x:v>
      </x:c>
      <x:c r="O418" s="40" t="n">
        <x:v>46316</x:v>
      </x:c>
    </x:row>
    <x:row r="419" ht="38" customHeight="1">
      <x:c r="A419" s="9" t="n">
        <x:v>411</x:v>
      </x:c>
      <x:c r="B419" s="8" t="str">
        <x:v>ชุมชนบ้านสุโสะ</x:v>
      </x:c>
      <x:c r="C419" s="8" t="str">
        <x:v>ตรัง</x:v>
      </x:c>
      <x:c r="D419" s="8" t="str">
        <x:v>มีศักยภาพ แต่ต้องพัฒนามาตรฐาน</x:v>
      </x:c>
      <x:c r="E419" s="8" t="str">
        <x:v>ชุมชนท่องเที่ยว</x:v>
      </x:c>
      <x:c r="F419" s="38" t="n">
        <x:v>46316</x:v>
      </x:c>
      <x:c r="G419" s="8" t="str">
        <x:v>R26-191</x:v>
      </x:c>
      <x:c r="H419" s="39" t="str">
        <x:v>08</x:v>
      </x:c>
      <x:c r="I419" s="8" t="str">
        <x:v>Andaman Halal Escape</x:v>
      </x:c>
      <x:c r="J419" s="8" t="str">
        <x:v>ตัวเลือกเสริม</x:v>
      </x:c>
      <x:c r="K419" s="8" t="str">
        <x:v>ชุมชน</x:v>
      </x:c>
      <x:c r="L419" s="8" t="str">
        <x:f>INDEX('ประเมินเกณฑ์'!$AE$9:$AE$608,MATCH(G419,'ประเมินเกณฑ์'!$A$9:$A$608,0))</x:f>
        <x:v>รอประเมิน</x:v>
      </x:c>
      <x:c r="M419" s="8" t="str">
        <x:v>สถานที่ในจังหวัดเส้นทาง รอตรวจระยะทางและลำดับ</x:v>
      </x:c>
      <x:c r="N419" s="8" t="str">
        <x:v>ยังไม่ยืนยันการเปิดให้บริการปัจจุบัน</x:v>
      </x:c>
      <x:c r="O419" s="40" t="n">
        <x:v>46316</x:v>
      </x:c>
    </x:row>
    <x:row r="420" ht="38" customHeight="1">
      <x:c r="A420" s="9" t="n">
        <x:v>412</x:v>
      </x:c>
      <x:c r="B420" s="8" t="str">
        <x:v>ชุมชนบ้านเกาะลิบง</x:v>
      </x:c>
      <x:c r="C420" s="8" t="str">
        <x:v>ตรัง</x:v>
      </x:c>
      <x:c r="D420" s="8" t="str">
        <x:v>มีศักยภาพ แต่ต้องพัฒนามาตรฐาน</x:v>
      </x:c>
      <x:c r="E420" s="8" t="str">
        <x:v>ชุมชนท่องเที่ยว</x:v>
      </x:c>
      <x:c r="F420" s="38" t="n">
        <x:v>46316</x:v>
      </x:c>
      <x:c r="G420" s="8" t="str">
        <x:v>R26-190</x:v>
      </x:c>
      <x:c r="H420" s="39" t="str">
        <x:v>08</x:v>
      </x:c>
      <x:c r="I420" s="8" t="str">
        <x:v>Andaman Halal Escape</x:v>
      </x:c>
      <x:c r="J420" s="8" t="str">
        <x:v>ตัวเลือกเสริม</x:v>
      </x:c>
      <x:c r="K420" s="8" t="str">
        <x:v>ชุมชน</x:v>
      </x:c>
      <x:c r="L420" s="8" t="str">
        <x:f>INDEX('ประเมินเกณฑ์'!$AE$9:$AE$608,MATCH(G420,'ประเมินเกณฑ์'!$A$9:$A$608,0))</x:f>
        <x:v>รอประเมิน</x:v>
      </x:c>
      <x:c r="M420" s="8" t="str">
        <x:v>สถานที่ในจังหวัดเส้นทาง รอตรวจระยะทางและลำดับ</x:v>
      </x:c>
      <x:c r="N420" s="8" t="str">
        <x:v>ยังไม่ยืนยันการเปิดให้บริการปัจจุบัน</x:v>
      </x:c>
      <x:c r="O420" s="40" t="n">
        <x:v>46316</x:v>
      </x:c>
    </x:row>
    <x:row r="421" ht="38" customHeight="1">
      <x:c r="A421" s="9" t="n">
        <x:v>413</x:v>
      </x:c>
      <x:c r="B421" s="8" t="str">
        <x:v>มิตรไมตรี Dining Cafe</x:v>
      </x:c>
      <x:c r="C421" s="8" t="str">
        <x:v>ปัตตานี</x:v>
      </x:c>
      <x:c r="D421" s="8" t="str">
        <x:v>มีศักยภาพ แต่ต้องพัฒนามาตรฐาน</x:v>
      </x:c>
      <x:c r="E421" s="8" t="str">
        <x:v>ร้านอาหารและคาเฟ่</x:v>
      </x:c>
      <x:c r="F421" s="38" t="n">
        <x:v>46316</x:v>
      </x:c>
      <x:c r="G421" s="8" t="str">
        <x:v>R26-089</x:v>
      </x:c>
      <x:c r="H421" s="39" t="str">
        <x:v>09</x:v>
      </x:c>
      <x:c r="I421" s="8" t="str">
        <x:v>Roots of Faith</x:v>
      </x:c>
      <x:c r="J421" s="8" t="str">
        <x:v>1</x:v>
      </x:c>
      <x:c r="K421" s="8" t="str">
        <x:v>อาหาร</x:v>
      </x:c>
      <x:c r="L421" s="8" t="str">
        <x:f>INDEX('ประเมินเกณฑ์'!$AE$9:$AE$608,MATCH(G421,'ประเมินเกณฑ์'!$A$9:$A$608,0))</x:f>
        <x:v>รอประเมิน</x:v>
      </x:c>
      <x:c r="M421" s="8" t="str">
        <x:v>จุดในเอกสารเส้นทาง</x:v>
      </x:c>
      <x:c r="N421" s="8" t="str">
        <x:v>ยังไม่ยืนยันการเปิดให้บริการปัจจุบัน</x:v>
      </x:c>
      <x:c r="O421" s="40" t="n">
        <x:v>46316</x:v>
      </x:c>
    </x:row>
    <x:row r="422" ht="38" customHeight="1">
      <x:c r="A422" s="9" t="n">
        <x:v>414</x:v>
      </x:c>
      <x:c r="B422" s="8" t="str">
        <x:v>หาดตะโละกาโปร์</x:v>
      </x:c>
      <x:c r="C422" s="8" t="str">
        <x:v>ปัตตานี</x:v>
      </x:c>
      <x:c r="D422" s="8" t="str">
        <x:v>มีศักยภาพ แต่ต้องพัฒนามาตรฐาน</x:v>
      </x:c>
      <x:c r="E422" s="8" t="str">
        <x:v>แหล่งท่องเที่ยวทางธรรมชาติ</x:v>
      </x:c>
      <x:c r="F422" s="38" t="n">
        <x:v>46316</x:v>
      </x:c>
      <x:c r="G422" s="8" t="str">
        <x:v>R26-092</x:v>
      </x:c>
      <x:c r="H422" s="39" t="str">
        <x:v>09</x:v>
      </x:c>
      <x:c r="I422" s="8" t="str">
        <x:v>Roots of Faith</x:v>
      </x:c>
      <x:c r="J422" s="8" t="str">
        <x:v>1</x:v>
      </x:c>
      <x:c r="K422" s="8" t="str">
        <x:v>ธรรมชาติ</x:v>
      </x:c>
      <x:c r="L422" s="8" t="str">
        <x:f>INDEX('ประเมินเกณฑ์'!$AE$9:$AE$608,MATCH(G422,'ประเมินเกณฑ์'!$A$9:$A$608,0))</x:f>
        <x:v>รอประเมิน</x:v>
      </x:c>
      <x:c r="M422" s="8" t="str">
        <x:v>จุดในเอกสารเส้นทาง</x:v>
      </x:c>
      <x:c r="N422" s="8" t="str">
        <x:v>ยังไม่ยืนยันการเปิดให้บริการปัจจุบัน</x:v>
      </x:c>
      <x:c r="O422" s="40" t="n">
        <x:v>46316</x:v>
      </x:c>
    </x:row>
    <x:row r="423" ht="38" customHeight="1">
      <x:c r="A423" s="9" t="n">
        <x:v>415</x:v>
      </x:c>
      <x:c r="B423" s="8" t="str">
        <x:v>มัสยิดกรือเซะ</x:v>
      </x:c>
      <x:c r="C423" s="8" t="str">
        <x:v>ปัตตานี</x:v>
      </x:c>
      <x:c r="D423" s="8" t="str">
        <x:v>พัฒนาเพื่อพร้อมขาย</x:v>
      </x:c>
      <x:c r="E423" s="8" t="str">
        <x:v>แหล่งท่องเที่ยวทางประวัติศาสตร์และวัฒนธรรม</x:v>
      </x:c>
      <x:c r="F423" s="38" t="n">
        <x:v>46316</x:v>
      </x:c>
      <x:c r="G423" s="8" t="str">
        <x:v>TMF-374</x:v>
      </x:c>
      <x:c r="H423" s="39" t="str">
        <x:v>09</x:v>
      </x:c>
      <x:c r="I423" s="8" t="str">
        <x:v>Roots of Faith</x:v>
      </x:c>
      <x:c r="J423" s="8" t="str">
        <x:v>1</x:v>
      </x:c>
      <x:c r="K423" s="8" t="str">
        <x:v>มัสยิด</x:v>
      </x:c>
      <x:c r="L423" s="8" t="str">
        <x:f>INDEX('ประเมินเกณฑ์'!$AE$9:$AE$608,MATCH(G423,'ประเมินเกณฑ์'!$A$9:$A$608,0))</x:f>
        <x:v>รอประเมิน</x:v>
      </x:c>
      <x:c r="M423" s="8" t="str">
        <x:v>จุดในเอกสารเส้นทาง</x:v>
      </x:c>
      <x:c r="N423" s="8" t="str">
        <x:v>ยังไม่ยืนยันการเปิดให้บริการปัจจุบัน</x:v>
      </x:c>
      <x:c r="O423" s="40" t="n">
        <x:v>46316</x:v>
      </x:c>
    </x:row>
    <x:row r="424" ht="38" customHeight="1">
      <x:c r="A424" s="9" t="n">
        <x:v>416</x:v>
      </x:c>
      <x:c r="B424" s="8" t="str">
        <x:v>มัสยิดกลางจังหวัดปัตตานี</x:v>
      </x:c>
      <x:c r="C424" s="8" t="str">
        <x:v>ปัตตานี</x:v>
      </x:c>
      <x:c r="D424" s="8" t="str">
        <x:v>พัฒนาเพื่อพร้อมขาย</x:v>
      </x:c>
      <x:c r="E424" s="8" t="str">
        <x:v>แหล่งท่องเที่ยวทางประวัติศาสตร์และวัฒนธรรม</x:v>
      </x:c>
      <x:c r="F424" s="38" t="n">
        <x:v>46316</x:v>
      </x:c>
      <x:c r="G424" s="8" t="str">
        <x:v>TMF-375</x:v>
      </x:c>
      <x:c r="H424" s="39" t="str">
        <x:v>09</x:v>
      </x:c>
      <x:c r="I424" s="8" t="str">
        <x:v>Roots of Faith</x:v>
      </x:c>
      <x:c r="J424" s="8" t="str">
        <x:v>1</x:v>
      </x:c>
      <x:c r="K424" s="8" t="str">
        <x:v>มัสยิด</x:v>
      </x:c>
      <x:c r="L424" s="8" t="str">
        <x:f>INDEX('ประเมินเกณฑ์'!$AE$9:$AE$608,MATCH(G424,'ประเมินเกณฑ์'!$A$9:$A$608,0))</x:f>
        <x:v>รอประเมิน</x:v>
      </x:c>
      <x:c r="M424" s="8" t="str">
        <x:v>จุดในเอกสารเส้นทาง</x:v>
      </x:c>
      <x:c r="N424" s="8" t="str">
        <x:v>ยังไม่ยืนยันการเปิดให้บริการปัจจุบัน</x:v>
      </x:c>
      <x:c r="O424" s="40" t="n">
        <x:v>46316</x:v>
      </x:c>
    </x:row>
    <x:row r="425" ht="38" customHeight="1">
      <x:c r="A425" s="9" t="n">
        <x:v>417</x:v>
      </x:c>
      <x:c r="B425" s="8" t="str">
        <x:v>ย่านเมืองเก่าปัตตานี</x:v>
      </x:c>
      <x:c r="C425" s="8" t="str">
        <x:v>ปัตตานี</x:v>
      </x:c>
      <x:c r="D425" s="8" t="str">
        <x:v>มีศักยภาพ แต่ต้องพัฒนามาตรฐาน</x:v>
      </x:c>
      <x:c r="E425" s="8" t="str">
        <x:v>แหล่งท่องเที่ยวทางประวัติศาสตร์และวัฒนธรรม</x:v>
      </x:c>
      <x:c r="F425" s="38" t="n">
        <x:v>46316</x:v>
      </x:c>
      <x:c r="G425" s="8" t="str">
        <x:v>R26-088</x:v>
      </x:c>
      <x:c r="H425" s="39" t="str">
        <x:v>09</x:v>
      </x:c>
      <x:c r="I425" s="8" t="str">
        <x:v>Roots of Faith</x:v>
      </x:c>
      <x:c r="J425" s="8" t="str">
        <x:v>1</x:v>
      </x:c>
      <x:c r="K425" s="8" t="str">
        <x:v>ประวัติ</x:v>
      </x:c>
      <x:c r="L425" s="8" t="str">
        <x:f>INDEX('ประเมินเกณฑ์'!$AE$9:$AE$608,MATCH(G425,'ประเมินเกณฑ์'!$A$9:$A$608,0))</x:f>
        <x:v>รอประเมิน</x:v>
      </x:c>
      <x:c r="M425" s="8" t="str">
        <x:v>จุดในเอกสารเส้นทาง</x:v>
      </x:c>
      <x:c r="N425" s="8" t="str">
        <x:v>ยังไม่ยืนยันการเปิดให้บริการปัจจุบัน</x:v>
      </x:c>
      <x:c r="O425" s="40" t="n">
        <x:v>46316</x:v>
      </x:c>
    </x:row>
    <x:row r="426" ht="38" customHeight="1">
      <x:c r="A426" s="9" t="n">
        <x:v>418</x:v>
      </x:c>
      <x:c r="B426" s="8" t="str">
        <x:v>ศาลเจ้าแม่ลิ้มกอเหนี่ยว</x:v>
      </x:c>
      <x:c r="C426" s="8" t="str">
        <x:v>ปัตตานี</x:v>
      </x:c>
      <x:c r="D426" s="8" t="str">
        <x:v>มีศักยภาพ แต่ต้องพัฒนามาตรฐาน</x:v>
      </x:c>
      <x:c r="E426" s="8" t="str">
        <x:v>แหล่งท่องเที่ยวทางประวัติศาสตร์และวัฒนธรรม</x:v>
      </x:c>
      <x:c r="F426" s="38" t="n">
        <x:v>46316</x:v>
      </x:c>
      <x:c r="G426" s="8" t="str">
        <x:v>R26-087</x:v>
      </x:c>
      <x:c r="H426" s="39" t="str">
        <x:v>09</x:v>
      </x:c>
      <x:c r="I426" s="8" t="str">
        <x:v>Roots of Faith</x:v>
      </x:c>
      <x:c r="J426" s="8" t="str">
        <x:v>1</x:v>
      </x:c>
      <x:c r="K426" s="8" t="str">
        <x:v>ประวัติ</x:v>
      </x:c>
      <x:c r="L426" s="8" t="str">
        <x:f>INDEX('ประเมินเกณฑ์'!$AE$9:$AE$608,MATCH(G426,'ประเมินเกณฑ์'!$A$9:$A$608,0))</x:f>
        <x:v>รอประเมิน</x:v>
      </x:c>
      <x:c r="M426" s="8" t="str">
        <x:v>จุดในเอกสารเส้นทาง</x:v>
      </x:c>
      <x:c r="N426" s="8" t="str">
        <x:v>ยังไม่ยืนยันการเปิดให้บริการปัจจุบัน</x:v>
      </x:c>
      <x:c r="O426" s="40" t="n">
        <x:v>46316</x:v>
      </x:c>
    </x:row>
    <x:row r="427" ht="38" customHeight="1">
      <x:c r="A427" s="9" t="n">
        <x:v>419</x:v>
      </x:c>
      <x:c r="B427" s="8" t="str">
        <x:v>ชุมชนบาราโหม</x:v>
      </x:c>
      <x:c r="C427" s="8" t="str">
        <x:v>ปัตตานี</x:v>
      </x:c>
      <x:c r="D427" s="8" t="str">
        <x:v>มีศักยภาพ แต่ต้องพัฒนามาตรฐาน</x:v>
      </x:c>
      <x:c r="E427" s="8" t="str">
        <x:v>ชุมชนท่องเที่ยว</x:v>
      </x:c>
      <x:c r="F427" s="38" t="n">
        <x:v>46316</x:v>
      </x:c>
      <x:c r="G427" s="8" t="str">
        <x:v>R26-091</x:v>
      </x:c>
      <x:c r="H427" s="39" t="str">
        <x:v>09</x:v>
      </x:c>
      <x:c r="I427" s="8" t="str">
        <x:v>Roots of Faith</x:v>
      </x:c>
      <x:c r="J427" s="8" t="str">
        <x:v>1</x:v>
      </x:c>
      <x:c r="K427" s="8" t="str">
        <x:v>ชุมชน</x:v>
      </x:c>
      <x:c r="L427" s="8" t="str">
        <x:f>INDEX('ประเมินเกณฑ์'!$AE$9:$AE$608,MATCH(G427,'ประเมินเกณฑ์'!$A$9:$A$608,0))</x:f>
        <x:v>รอประเมิน</x:v>
      </x:c>
      <x:c r="M427" s="8" t="str">
        <x:v>จุดในเอกสารเส้นทาง</x:v>
      </x:c>
      <x:c r="N427" s="8" t="str">
        <x:v>ยังไม่ยืนยันการเปิดให้บริการปัจจุบัน</x:v>
      </x:c>
      <x:c r="O427" s="40" t="n">
        <x:v>46316</x:v>
      </x:c>
    </x:row>
    <x:row r="428" ht="38" customHeight="1">
      <x:c r="A428" s="9" t="n">
        <x:v>420</x:v>
      </x:c>
      <x:c r="B428" s="8" t="str">
        <x:v>ตลาดโต้รุ่งปัตตานี</x:v>
      </x:c>
      <x:c r="C428" s="8" t="str">
        <x:v>ปัตตานี</x:v>
      </x:c>
      <x:c r="D428" s="8" t="str">
        <x:v>มีศักยภาพ แต่ต้องพัฒนามาตรฐาน</x:v>
      </x:c>
      <x:c r="E428" s="8" t="str">
        <x:v>ศูนย์กิจกรรมและนันทนาการ</x:v>
      </x:c>
      <x:c r="F428" s="38" t="n">
        <x:v>46316</x:v>
      </x:c>
      <x:c r="G428" s="8" t="str">
        <x:v>R26-093</x:v>
      </x:c>
      <x:c r="H428" s="39" t="str">
        <x:v>09</x:v>
      </x:c>
      <x:c r="I428" s="8" t="str">
        <x:v>Roots of Faith</x:v>
      </x:c>
      <x:c r="J428" s="8" t="str">
        <x:v>1</x:v>
      </x:c>
      <x:c r="K428" s="8" t="str">
        <x:v>กิจกรรม</x:v>
      </x:c>
      <x:c r="L428" s="8" t="str">
        <x:f>INDEX('ประเมินเกณฑ์'!$AE$9:$AE$608,MATCH(G428,'ประเมินเกณฑ์'!$A$9:$A$608,0))</x:f>
        <x:v>รอประเมิน</x:v>
      </x:c>
      <x:c r="M428" s="8" t="str">
        <x:v>จุดในเอกสารเส้นทาง</x:v>
      </x:c>
      <x:c r="N428" s="8" t="str">
        <x:v>ยังไม่ยืนยันการเปิดให้บริการปัจจุบัน</x:v>
      </x:c>
      <x:c r="O428" s="40" t="n">
        <x:v>46316</x:v>
      </x:c>
    </x:row>
    <x:row r="429" ht="38" customHeight="1">
      <x:c r="A429" s="9" t="n">
        <x:v>421</x:v>
      </x:c>
      <x:c r="B429" s="8" t="str">
        <x:v>Park View Resort Pattani</x:v>
      </x:c>
      <x:c r="C429" s="8" t="str">
        <x:v>ปัตตานี</x:v>
      </x:c>
      <x:c r="D429" s="8" t="str">
        <x:v>มีศักยภาพ แต่ต้องพัฒนามาตรฐาน</x:v>
      </x:c>
      <x:c r="E429" s="8" t="str">
        <x:v>ที่พัก</x:v>
      </x:c>
      <x:c r="F429" s="38" t="n">
        <x:v>46316</x:v>
      </x:c>
      <x:c r="G429" s="8" t="str">
        <x:v>R26-379</x:v>
      </x:c>
      <x:c r="H429" s="39" t="str">
        <x:v>09</x:v>
      </x:c>
      <x:c r="I429" s="8" t="str">
        <x:v>Roots of Faith</x:v>
      </x:c>
      <x:c r="J429" s="8" t="str">
        <x:v>ตัวเลือกเสริม</x:v>
      </x:c>
      <x:c r="K429" s="8" t="str">
        <x:v>ที่พัก</x:v>
      </x:c>
      <x:c r="L429" s="8" t="str">
        <x:f>INDEX('ประเมินเกณฑ์'!$AE$9:$AE$608,MATCH(G429,'ประเมินเกณฑ์'!$A$9:$A$608,0))</x:f>
        <x:v>รอประเมิน</x:v>
      </x:c>
      <x:c r="M429" s="8" t="str">
        <x:v>สถานที่ในจังหวัดเส้นทาง รอตรวจระยะทางและลำดับ</x:v>
      </x:c>
      <x:c r="N429" s="8" t="str">
        <x:v>ยังไม่ยืนยันการเปิดให้บริการปัจจุบัน</x:v>
      </x:c>
      <x:c r="O429" s="40" t="n">
        <x:v>46316</x:v>
      </x:c>
    </x:row>
    <x:row r="430" ht="38" customHeight="1">
      <x:c r="A430" s="9" t="n">
        <x:v>422</x:v>
      </x:c>
      <x:c r="B430" s="8" t="str">
        <x:v>Southern View Hotel Pattani</x:v>
      </x:c>
      <x:c r="C430" s="8" t="str">
        <x:v>ปัตตานี</x:v>
      </x:c>
      <x:c r="D430" s="8" t="str">
        <x:v>มีศักยภาพ แต่ต้องพัฒนามาตรฐาน</x:v>
      </x:c>
      <x:c r="E430" s="8" t="str">
        <x:v>ที่พัก</x:v>
      </x:c>
      <x:c r="F430" s="38" t="n">
        <x:v>46316</x:v>
      </x:c>
      <x:c r="G430" s="8" t="str">
        <x:v>R26-378</x:v>
      </x:c>
      <x:c r="H430" s="39" t="str">
        <x:v>09</x:v>
      </x:c>
      <x:c r="I430" s="8" t="str">
        <x:v>Roots of Faith</x:v>
      </x:c>
      <x:c r="J430" s="8" t="str">
        <x:v>ตัวเลือกเสริม</x:v>
      </x:c>
      <x:c r="K430" s="8" t="str">
        <x:v>ที่พัก</x:v>
      </x:c>
      <x:c r="L430" s="8" t="str">
        <x:f>INDEX('ประเมินเกณฑ์'!$AE$9:$AE$608,MATCH(G430,'ประเมินเกณฑ์'!$A$9:$A$608,0))</x:f>
        <x:v>รอประเมิน</x:v>
      </x:c>
      <x:c r="M430" s="8" t="str">
        <x:v>สถานที่ในจังหวัดเส้นทาง รอตรวจระยะทางและลำดับ</x:v>
      </x:c>
      <x:c r="N430" s="8" t="str">
        <x:v>ยังไม่ยืนยันการเปิดให้บริการปัจจุบัน</x:v>
      </x:c>
      <x:c r="O430" s="40" t="n">
        <x:v>46316</x:v>
      </x:c>
    </x:row>
    <x:row r="431" ht="38" customHeight="1">
      <x:c r="A431" s="9" t="n">
        <x:v>423</x:v>
      </x:c>
      <x:c r="B431" s="8" t="str">
        <x:v>The Wood Pattani Hotel</x:v>
      </x:c>
      <x:c r="C431" s="8" t="str">
        <x:v>ปัตตานี</x:v>
      </x:c>
      <x:c r="D431" s="8" t="str">
        <x:v>มีศักยภาพ แต่ต้องพัฒนามาตรฐาน</x:v>
      </x:c>
      <x:c r="E431" s="8" t="str">
        <x:v>ที่พัก</x:v>
      </x:c>
      <x:c r="F431" s="38" t="n">
        <x:v>46316</x:v>
      </x:c>
      <x:c r="G431" s="8" t="str">
        <x:v>R26-377</x:v>
      </x:c>
      <x:c r="H431" s="39" t="str">
        <x:v>09</x:v>
      </x:c>
      <x:c r="I431" s="8" t="str">
        <x:v>Roots of Faith</x:v>
      </x:c>
      <x:c r="J431" s="8" t="str">
        <x:v>ตัวเลือกเสริม</x:v>
      </x:c>
      <x:c r="K431" s="8" t="str">
        <x:v>ที่พัก</x:v>
      </x:c>
      <x:c r="L431" s="8" t="str">
        <x:f>INDEX('ประเมินเกณฑ์'!$AE$9:$AE$608,MATCH(G431,'ประเมินเกณฑ์'!$A$9:$A$608,0))</x:f>
        <x:v>รอประเมิน</x:v>
      </x:c>
      <x:c r="M431" s="8" t="str">
        <x:v>สถานที่ในจังหวัดเส้นทาง รอตรวจระยะทางและลำดับ</x:v>
      </x:c>
      <x:c r="N431" s="8" t="str">
        <x:v>ยังไม่ยืนยันการเปิดให้บริการปัจจุบัน</x:v>
      </x:c>
      <x:c r="O431" s="40" t="n">
        <x:v>46316</x:v>
      </x:c>
    </x:row>
    <x:row r="432" ht="38" customHeight="1">
      <x:c r="A432" s="9" t="n">
        <x:v>424</x:v>
      </x:c>
      <x:c r="B432" s="8" t="str">
        <x:v>Bagus Hot Chicken</x:v>
      </x:c>
      <x:c r="C432" s="8" t="str">
        <x:v>ปัตตานี</x:v>
      </x:c>
      <x:c r="D432" s="8" t="str">
        <x:v>มีศักยภาพ แต่ต้องพัฒนามาตรฐาน</x:v>
      </x:c>
      <x:c r="E432" s="8" t="str">
        <x:v>ร้านอาหารและคาเฟ่</x:v>
      </x:c>
      <x:c r="F432" s="38" t="n">
        <x:v>46316</x:v>
      </x:c>
      <x:c r="G432" s="8" t="str">
        <x:v>TMF-561</x:v>
      </x:c>
      <x:c r="H432" s="39" t="str">
        <x:v>09</x:v>
      </x:c>
      <x:c r="I432" s="8" t="str">
        <x:v>Roots of Faith</x:v>
      </x:c>
      <x:c r="J432" s="8" t="str">
        <x:v>ตัวเลือกเสริม</x:v>
      </x:c>
      <x:c r="K432" s="8" t="str">
        <x:v>ร้านอาหาร</x:v>
      </x:c>
      <x:c r="L432" s="8" t="str">
        <x:f>INDEX('ประเมินเกณฑ์'!$AE$9:$AE$608,MATCH(G432,'ประเมินเกณฑ์'!$A$9:$A$608,0))</x:f>
        <x:v>รอประเมิน</x:v>
      </x:c>
      <x:c r="M432" s="8" t="str">
        <x:v>สถานที่ในจังหวัดเส้นทาง รอตรวจระยะทางและลำดับ</x:v>
      </x:c>
      <x:c r="N432" s="8" t="str">
        <x:v>ยังไม่ยืนยันการเปิดให้บริการปัจจุบัน</x:v>
      </x:c>
      <x:c r="O432" s="40" t="n">
        <x:v>46315</x:v>
      </x:c>
    </x:row>
    <x:row r="433" ht="38" customHeight="1">
      <x:c r="A433" s="9" t="n">
        <x:v>425</x:v>
      </x:c>
      <x:c r="B433" s="8" t="str">
        <x:v>LEMU.CO</x:v>
      </x:c>
      <x:c r="C433" s="8" t="str">
        <x:v>ปัตตานี</x:v>
      </x:c>
      <x:c r="D433" s="8" t="str">
        <x:v>มีศักยภาพ แต่ต้องพัฒนามาตรฐาน</x:v>
      </x:c>
      <x:c r="E433" s="8" t="str">
        <x:v>ร้านอาหารและคาเฟ่</x:v>
      </x:c>
      <x:c r="F433" s="38" t="n">
        <x:v>46316</x:v>
      </x:c>
      <x:c r="G433" s="8" t="str">
        <x:v>R26-339</x:v>
      </x:c>
      <x:c r="H433" s="39" t="str">
        <x:v>09</x:v>
      </x:c>
      <x:c r="I433" s="8" t="str">
        <x:v>Roots of Faith</x:v>
      </x:c>
      <x:c r="J433" s="8" t="str">
        <x:v>ตัวเลือกเสริม</x:v>
      </x:c>
      <x:c r="K433" s="8" t="str">
        <x:v>อาหาร</x:v>
      </x:c>
      <x:c r="L433" s="8" t="str">
        <x:f>INDEX('ประเมินเกณฑ์'!$AE$9:$AE$608,MATCH(G433,'ประเมินเกณฑ์'!$A$9:$A$608,0))</x:f>
        <x:v>รอประเมิน</x:v>
      </x:c>
      <x:c r="M433" s="8" t="str">
        <x:v>สถานที่ในจังหวัดเส้นทาง รอตรวจระยะทางและลำดับ</x:v>
      </x:c>
      <x:c r="N433" s="8" t="str">
        <x:v>ยังไม่ยืนยันการเปิดให้บริการปัจจุบัน</x:v>
      </x:c>
      <x:c r="O433" s="40" t="n">
        <x:v>46316</x:v>
      </x:c>
    </x:row>
    <x:row r="434" ht="38" customHeight="1">
      <x:c r="A434" s="9" t="n">
        <x:v>426</x:v>
      </x:c>
      <x:c r="B434" s="8" t="str">
        <x:v>M.Chakir Coffee</x:v>
      </x:c>
      <x:c r="C434" s="8" t="str">
        <x:v>ปัตตานี</x:v>
      </x:c>
      <x:c r="D434" s="8" t="str">
        <x:v>มีศักยภาพ แต่ต้องพัฒนามาตรฐาน</x:v>
      </x:c>
      <x:c r="E434" s="8" t="str">
        <x:v>ร้านอาหารและคาเฟ่</x:v>
      </x:c>
      <x:c r="F434" s="38" t="n">
        <x:v>46316</x:v>
      </x:c>
      <x:c r="G434" s="8" t="str">
        <x:v>TMF-563</x:v>
      </x:c>
      <x:c r="H434" s="39" t="str">
        <x:v>09</x:v>
      </x:c>
      <x:c r="I434" s="8" t="str">
        <x:v>Roots of Faith</x:v>
      </x:c>
      <x:c r="J434" s="8" t="str">
        <x:v>ตัวเลือกเสริม</x:v>
      </x:c>
      <x:c r="K434" s="8" t="str">
        <x:v>คาเฟ่และร้านของหวาน</x:v>
      </x:c>
      <x:c r="L434" s="8" t="str">
        <x:f>INDEX('ประเมินเกณฑ์'!$AE$9:$AE$608,MATCH(G434,'ประเมินเกณฑ์'!$A$9:$A$608,0))</x:f>
        <x:v>รอประเมิน</x:v>
      </x:c>
      <x:c r="M434" s="8" t="str">
        <x:v>สถานที่ในจังหวัดเส้นทาง รอตรวจระยะทางและลำดับ</x:v>
      </x:c>
      <x:c r="N434" s="8" t="str">
        <x:v>ยังไม่ยืนยันการเปิดให้บริการปัจจุบัน</x:v>
      </x:c>
      <x:c r="O434" s="40" t="n">
        <x:v>46315</x:v>
      </x:c>
    </x:row>
    <x:row r="435" ht="38" customHeight="1">
      <x:c r="A435" s="9" t="n">
        <x:v>427</x:v>
      </x:c>
      <x:c r="B435" s="8" t="str">
        <x:v>Mama’s corner</x:v>
      </x:c>
      <x:c r="C435" s="8" t="str">
        <x:v>ปัตตานี</x:v>
      </x:c>
      <x:c r="D435" s="8" t="str">
        <x:v>มีศักยภาพ แต่ต้องพัฒนามาตรฐาน</x:v>
      </x:c>
      <x:c r="E435" s="8" t="str">
        <x:v>ร้านอาหารและคาเฟ่</x:v>
      </x:c>
      <x:c r="F435" s="38" t="n">
        <x:v>46316</x:v>
      </x:c>
      <x:c r="G435" s="8" t="str">
        <x:v>TMF-564</x:v>
      </x:c>
      <x:c r="H435" s="39" t="str">
        <x:v>09</x:v>
      </x:c>
      <x:c r="I435" s="8" t="str">
        <x:v>Roots of Faith</x:v>
      </x:c>
      <x:c r="J435" s="8" t="str">
        <x:v>ตัวเลือกเสริม</x:v>
      </x:c>
      <x:c r="K435" s="8" t="str">
        <x:v>ร้านอาหาร</x:v>
      </x:c>
      <x:c r="L435" s="8" t="str">
        <x:f>INDEX('ประเมินเกณฑ์'!$AE$9:$AE$608,MATCH(G435,'ประเมินเกณฑ์'!$A$9:$A$608,0))</x:f>
        <x:v>รอประเมิน</x:v>
      </x:c>
      <x:c r="M435" s="8" t="str">
        <x:v>สถานที่ในจังหวัดเส้นทาง รอตรวจระยะทางและลำดับ</x:v>
      </x:c>
      <x:c r="N435" s="8" t="str">
        <x:v>ยังไม่ยืนยันการเปิดให้บริการปัจจุบัน</x:v>
      </x:c>
      <x:c r="O435" s="40" t="n">
        <x:v>46315</x:v>
      </x:c>
    </x:row>
    <x:row r="436" ht="38" customHeight="1">
      <x:c r="A436" s="9" t="n">
        <x:v>428</x:v>
      </x:c>
      <x:c r="B436" s="8" t="str">
        <x:v>Roti De Forest</x:v>
      </x:c>
      <x:c r="C436" s="8" t="str">
        <x:v>ปัตตานี</x:v>
      </x:c>
      <x:c r="D436" s="8" t="str">
        <x:v>มีศักยภาพ แต่ต้องพัฒนามาตรฐาน</x:v>
      </x:c>
      <x:c r="E436" s="8" t="str">
        <x:v>ร้านอาหารและคาเฟ่</x:v>
      </x:c>
      <x:c r="F436" s="38" t="n">
        <x:v>46316</x:v>
      </x:c>
      <x:c r="G436" s="8" t="str">
        <x:v>R26-342</x:v>
      </x:c>
      <x:c r="H436" s="39" t="str">
        <x:v>09</x:v>
      </x:c>
      <x:c r="I436" s="8" t="str">
        <x:v>Roots of Faith</x:v>
      </x:c>
      <x:c r="J436" s="8" t="str">
        <x:v>ตัวเลือกเสริม</x:v>
      </x:c>
      <x:c r="K436" s="8" t="str">
        <x:v>อาหาร</x:v>
      </x:c>
      <x:c r="L436" s="8" t="str">
        <x:f>INDEX('ประเมินเกณฑ์'!$AE$9:$AE$608,MATCH(G436,'ประเมินเกณฑ์'!$A$9:$A$608,0))</x:f>
        <x:v>รอประเมิน</x:v>
      </x:c>
      <x:c r="M436" s="8" t="str">
        <x:v>สถานที่ในจังหวัดเส้นทาง รอตรวจระยะทางและลำดับ</x:v>
      </x:c>
      <x:c r="N436" s="8" t="str">
        <x:v>ยังไม่ยืนยันการเปิดให้บริการปัจจุบัน</x:v>
      </x:c>
      <x:c r="O436" s="40" t="n">
        <x:v>46316</x:v>
      </x:c>
    </x:row>
    <x:row r="437" ht="38" customHeight="1">
      <x:c r="A437" s="9" t="n">
        <x:v>429</x:v>
      </x:c>
      <x:c r="B437" s="8" t="str">
        <x:v>The seasons cafe รังมดแดง</x:v>
      </x:c>
      <x:c r="C437" s="8" t="str">
        <x:v>ปัตตานี</x:v>
      </x:c>
      <x:c r="D437" s="8" t="str">
        <x:v>พร้อมขาย</x:v>
      </x:c>
      <x:c r="E437" s="8" t="str">
        <x:v>ร้านอาหารและคาเฟ่</x:v>
      </x:c>
      <x:c r="F437" s="38" t="n">
        <x:v>46316</x:v>
      </x:c>
      <x:c r="G437" s="8" t="str">
        <x:v>TMF-185</x:v>
      </x:c>
      <x:c r="H437" s="39" t="str">
        <x:v>09</x:v>
      </x:c>
      <x:c r="I437" s="8" t="str">
        <x:v>Roots of Faith</x:v>
      </x:c>
      <x:c r="J437" s="8" t="str">
        <x:v>ตัวเลือกเสริม</x:v>
      </x:c>
      <x:c r="K437" s="8" t="str">
        <x:v>คาเฟ่และร้านของหวาน</x:v>
      </x:c>
      <x:c r="L437" s="8" t="str">
        <x:f>INDEX('ประเมินเกณฑ์'!$AE$9:$AE$608,MATCH(G437,'ประเมินเกณฑ์'!$A$9:$A$608,0))</x:f>
        <x:v>รอประเมิน</x:v>
      </x:c>
      <x:c r="M437" s="8" t="str">
        <x:v>สถานที่ในจังหวัดเส้นทาง รอตรวจระยะทางและลำดับ</x:v>
      </x:c>
      <x:c r="N437" s="8" t="str">
        <x:v>ยังไม่ยืนยันการเปิดให้บริการปัจจุบัน</x:v>
      </x:c>
      <x:c r="O437" s="40" t="n">
        <x:v>46315</x:v>
      </x:c>
    </x:row>
    <x:row r="438" ht="38" customHeight="1">
      <x:c r="A438" s="9" t="n">
        <x:v>430</x:v>
      </x:c>
      <x:c r="B438" s="8" t="str">
        <x:v>kopi pagi</x:v>
      </x:c>
      <x:c r="C438" s="8" t="str">
        <x:v>ปัตตานี</x:v>
      </x:c>
      <x:c r="D438" s="8" t="str">
        <x:v>มีศักยภาพ แต่ต้องพัฒนามาตรฐาน</x:v>
      </x:c>
      <x:c r="E438" s="8" t="str">
        <x:v>ร้านอาหารและคาเฟ่</x:v>
      </x:c>
      <x:c r="F438" s="38" t="n">
        <x:v>46316</x:v>
      </x:c>
      <x:c r="G438" s="8" t="str">
        <x:v>SRC-MAKAN-6357</x:v>
      </x:c>
      <x:c r="H438" s="39" t="str">
        <x:v>09</x:v>
      </x:c>
      <x:c r="I438" s="8" t="str">
        <x:v>Roots of Faith</x:v>
      </x:c>
      <x:c r="J438" s="8" t="str">
        <x:v>ตัวเลือกเสริม</x:v>
      </x:c>
      <x:c r="K438" s="8" t="str">
        <x:v>ร้านอาหาร</x:v>
      </x:c>
      <x:c r="L438" s="8" t="str">
        <x:f>INDEX('ประเมินเกณฑ์'!$AE$9:$AE$608,MATCH(G438,'ประเมินเกณฑ์'!$A$9:$A$608,0))</x:f>
        <x:v>รอประเมิน</x:v>
      </x:c>
      <x:c r="M438" s="8" t="str">
        <x:v>สถานที่ในจังหวัดเส้นทาง รอตรวจระยะทางและลำดับ</x:v>
      </x:c>
      <x:c r="N438" s="8" t="str">
        <x:v>ยังไม่ยืนยันการเปิดให้บริการปัจจุบัน</x:v>
      </x:c>
      <x:c r="O438" s="40" t="n">
        <x:v>46316</x:v>
      </x:c>
    </x:row>
    <x:row r="439" ht="38" customHeight="1">
      <x:c r="A439" s="9" t="n">
        <x:v>431</x:v>
      </x:c>
      <x:c r="B439" s="8" t="str">
        <x:v>ครัววังแพะ Goat Chef's Kitchen</x:v>
      </x:c>
      <x:c r="C439" s="8" t="str">
        <x:v>ปัตตานี</x:v>
      </x:c>
      <x:c r="D439" s="8" t="str">
        <x:v>พัฒนาเพื่อพร้อมขาย</x:v>
      </x:c>
      <x:c r="E439" s="8" t="str">
        <x:v>ร้านอาหารและคาเฟ่</x:v>
      </x:c>
      <x:c r="F439" s="38" t="n">
        <x:v>46316</x:v>
      </x:c>
      <x:c r="G439" s="8" t="str">
        <x:v>TMF-373</x:v>
      </x:c>
      <x:c r="H439" s="39" t="str">
        <x:v>09</x:v>
      </x:c>
      <x:c r="I439" s="8" t="str">
        <x:v>Roots of Faith</x:v>
      </x:c>
      <x:c r="J439" s="8" t="str">
        <x:v>ตัวเลือกเสริม</x:v>
      </x:c>
      <x:c r="K439" s="8" t="str">
        <x:v>ร้านอาหาร</x:v>
      </x:c>
      <x:c r="L439" s="8" t="str">
        <x:f>INDEX('ประเมินเกณฑ์'!$AE$9:$AE$608,MATCH(G439,'ประเมินเกณฑ์'!$A$9:$A$608,0))</x:f>
        <x:v>รอประเมิน</x:v>
      </x:c>
      <x:c r="M439" s="8" t="str">
        <x:v>สถานที่ในจังหวัดเส้นทาง รอตรวจระยะทางและลำดับ</x:v>
      </x:c>
      <x:c r="N439" s="8" t="str">
        <x:v>ยังไม่ยืนยันการเปิดให้บริการปัจจุบัน</x:v>
      </x:c>
      <x:c r="O439" s="40" t="n">
        <x:v>46315</x:v>
      </x:c>
    </x:row>
    <x:row r="440" ht="38" customHeight="1">
      <x:c r="A440" s="9" t="n">
        <x:v>432</x:v>
      </x:c>
      <x:c r="B440" s="8" t="str">
        <x:v>ครัวฮาลาล รูสะมิแล</x:v>
      </x:c>
      <x:c r="C440" s="8" t="str">
        <x:v>ปัตตานี</x:v>
      </x:c>
      <x:c r="D440" s="8" t="str">
        <x:v>มีศักยภาพ แต่ต้องพัฒนามาตรฐาน</x:v>
      </x:c>
      <x:c r="E440" s="8" t="str">
        <x:v>ร้านอาหารและคาเฟ่</x:v>
      </x:c>
      <x:c r="F440" s="38" t="n">
        <x:v>46316</x:v>
      </x:c>
      <x:c r="G440" s="8" t="str">
        <x:v>R26-344</x:v>
      </x:c>
      <x:c r="H440" s="39" t="str">
        <x:v>09</x:v>
      </x:c>
      <x:c r="I440" s="8" t="str">
        <x:v>Roots of Faith</x:v>
      </x:c>
      <x:c r="J440" s="8" t="str">
        <x:v>ตัวเลือกเสริม</x:v>
      </x:c>
      <x:c r="K440" s="8" t="str">
        <x:v>อาหาร</x:v>
      </x:c>
      <x:c r="L440" s="8" t="str">
        <x:f>INDEX('ประเมินเกณฑ์'!$AE$9:$AE$608,MATCH(G440,'ประเมินเกณฑ์'!$A$9:$A$608,0))</x:f>
        <x:v>รอประเมิน</x:v>
      </x:c>
      <x:c r="M440" s="8" t="str">
        <x:v>สถานที่ในจังหวัดเส้นทาง รอตรวจระยะทางและลำดับ</x:v>
      </x:c>
      <x:c r="N440" s="8" t="str">
        <x:v>ยังไม่ยืนยันการเปิดให้บริการปัจจุบัน</x:v>
      </x:c>
      <x:c r="O440" s="40" t="n">
        <x:v>46316</x:v>
      </x:c>
    </x:row>
    <x:row r="441" ht="38" customHeight="1">
      <x:c r="A441" s="9" t="n">
        <x:v>433</x:v>
      </x:c>
      <x:c r="B441" s="8" t="str">
        <x:v>ซุปช่อมาลี</x:v>
      </x:c>
      <x:c r="C441" s="8" t="str">
        <x:v>ปัตตานี</x:v>
      </x:c>
      <x:c r="D441" s="8" t="str">
        <x:v>มีศักยภาพ แต่ต้องพัฒนามาตรฐาน</x:v>
      </x:c>
      <x:c r="E441" s="8" t="str">
        <x:v>ร้านอาหารและคาเฟ่</x:v>
      </x:c>
      <x:c r="F441" s="38" t="n">
        <x:v>46316</x:v>
      </x:c>
      <x:c r="G441" s="8" t="str">
        <x:v>R26-341</x:v>
      </x:c>
      <x:c r="H441" s="39" t="str">
        <x:v>09</x:v>
      </x:c>
      <x:c r="I441" s="8" t="str">
        <x:v>Roots of Faith</x:v>
      </x:c>
      <x:c r="J441" s="8" t="str">
        <x:v>ตัวเลือกเสริม</x:v>
      </x:c>
      <x:c r="K441" s="8" t="str">
        <x:v>อาหาร</x:v>
      </x:c>
      <x:c r="L441" s="8" t="str">
        <x:f>INDEX('ประเมินเกณฑ์'!$AE$9:$AE$608,MATCH(G441,'ประเมินเกณฑ์'!$A$9:$A$608,0))</x:f>
        <x:v>รอประเมิน</x:v>
      </x:c>
      <x:c r="M441" s="8" t="str">
        <x:v>สถานที่ในจังหวัดเส้นทาง รอตรวจระยะทางและลำดับ</x:v>
      </x:c>
      <x:c r="N441" s="8" t="str">
        <x:v>ยังไม่ยืนยันการเปิดให้บริการปัจจุบัน</x:v>
      </x:c>
      <x:c r="O441" s="40" t="n">
        <x:v>46316</x:v>
      </x:c>
    </x:row>
    <x:row r="442" ht="38" customHeight="1">
      <x:c r="A442" s="9" t="n">
        <x:v>434</x:v>
      </x:c>
      <x:c r="B442" s="8" t="str">
        <x:v>ถังถังหม่าล่าทัง สาขาปัตตานี</x:v>
      </x:c>
      <x:c r="C442" s="8" t="str">
        <x:v>ปัตตานี</x:v>
      </x:c>
      <x:c r="D442" s="8" t="str">
        <x:v>มีศักยภาพ แต่ต้องพัฒนามาตรฐาน</x:v>
      </x:c>
      <x:c r="E442" s="8" t="str">
        <x:v>ร้านอาหารและคาเฟ่</x:v>
      </x:c>
      <x:c r="F442" s="38" t="n">
        <x:v>46316</x:v>
      </x:c>
      <x:c r="G442" s="8" t="str">
        <x:v>SRC-MAKAN-5805</x:v>
      </x:c>
      <x:c r="H442" s="39" t="str">
        <x:v>09</x:v>
      </x:c>
      <x:c r="I442" s="8" t="str">
        <x:v>Roots of Faith</x:v>
      </x:c>
      <x:c r="J442" s="8" t="str">
        <x:v>ตัวเลือกเสริม</x:v>
      </x:c>
      <x:c r="K442" s="8" t="str">
        <x:v>ร้านอาหาร</x:v>
      </x:c>
      <x:c r="L442" s="8" t="str">
        <x:f>INDEX('ประเมินเกณฑ์'!$AE$9:$AE$608,MATCH(G442,'ประเมินเกณฑ์'!$A$9:$A$608,0))</x:f>
        <x:v>รอประเมิน</x:v>
      </x:c>
      <x:c r="M442" s="8" t="str">
        <x:v>สถานที่ในจังหวัดเส้นทาง รอตรวจระยะทางและลำดับ</x:v>
      </x:c>
      <x:c r="N442" s="8" t="str">
        <x:v>ยังไม่ยืนยันการเปิดให้บริการปัจจุบัน</x:v>
      </x:c>
      <x:c r="O442" s="40" t="n">
        <x:v>46316</x:v>
      </x:c>
    </x:row>
    <x:row r="443" ht="38" customHeight="1">
      <x:c r="A443" s="9" t="n">
        <x:v>435</x:v>
      </x:c>
      <x:c r="B443" s="8" t="str">
        <x:v>โรตี บังหนูด</x:v>
      </x:c>
      <x:c r="C443" s="8" t="str">
        <x:v>ปัตตานี</x:v>
      </x:c>
      <x:c r="D443" s="8" t="str">
        <x:v>มีศักยภาพ แต่ต้องพัฒนามาตรฐาน</x:v>
      </x:c>
      <x:c r="E443" s="8" t="str">
        <x:v>ร้านอาหารและคาเฟ่</x:v>
      </x:c>
      <x:c r="F443" s="38" t="n">
        <x:v>46316</x:v>
      </x:c>
      <x:c r="G443" s="8" t="str">
        <x:v>SRC-MAKAN-6359</x:v>
      </x:c>
      <x:c r="H443" s="39" t="str">
        <x:v>09</x:v>
      </x:c>
      <x:c r="I443" s="8" t="str">
        <x:v>Roots of Faith</x:v>
      </x:c>
      <x:c r="J443" s="8" t="str">
        <x:v>ตัวเลือกเสริม</x:v>
      </x:c>
      <x:c r="K443" s="8" t="str">
        <x:v>คาเฟ่และร้านของหวาน</x:v>
      </x:c>
      <x:c r="L443" s="8" t="str">
        <x:f>INDEX('ประเมินเกณฑ์'!$AE$9:$AE$608,MATCH(G443,'ประเมินเกณฑ์'!$A$9:$A$608,0))</x:f>
        <x:v>รอประเมิน</x:v>
      </x:c>
      <x:c r="M443" s="8" t="str">
        <x:v>สถานที่ในจังหวัดเส้นทาง รอตรวจระยะทางและลำดับ</x:v>
      </x:c>
      <x:c r="N443" s="8" t="str">
        <x:v>ยังไม่ยืนยันการเปิดให้บริการปัจจุบัน</x:v>
      </x:c>
      <x:c r="O443" s="40" t="n">
        <x:v>46316</x:v>
      </x:c>
    </x:row>
    <x:row r="444" ht="38" customHeight="1">
      <x:c r="A444" s="9" t="n">
        <x:v>436</x:v>
      </x:c>
      <x:c r="B444" s="8" t="str">
        <x:v>โรตีแวมะ</x:v>
      </x:c>
      <x:c r="C444" s="8" t="str">
        <x:v>ปัตตานี</x:v>
      </x:c>
      <x:c r="D444" s="8" t="str">
        <x:v>มีศักยภาพ แต่ต้องพัฒนามาตรฐาน</x:v>
      </x:c>
      <x:c r="E444" s="8" t="str">
        <x:v>ร้านอาหารและคาเฟ่</x:v>
      </x:c>
      <x:c r="F444" s="38" t="n">
        <x:v>46316</x:v>
      </x:c>
      <x:c r="G444" s="8" t="str">
        <x:v>R26-340</x:v>
      </x:c>
      <x:c r="H444" s="39" t="str">
        <x:v>09</x:v>
      </x:c>
      <x:c r="I444" s="8" t="str">
        <x:v>Roots of Faith</x:v>
      </x:c>
      <x:c r="J444" s="8" t="str">
        <x:v>ตัวเลือกเสริม</x:v>
      </x:c>
      <x:c r="K444" s="8" t="str">
        <x:v>อาหาร</x:v>
      </x:c>
      <x:c r="L444" s="8" t="str">
        <x:f>INDEX('ประเมินเกณฑ์'!$AE$9:$AE$608,MATCH(G444,'ประเมินเกณฑ์'!$A$9:$A$608,0))</x:f>
        <x:v>รอประเมิน</x:v>
      </x:c>
      <x:c r="M444" s="8" t="str">
        <x:v>สถานที่ในจังหวัดเส้นทาง รอตรวจระยะทางและลำดับ</x:v>
      </x:c>
      <x:c r="N444" s="8" t="str">
        <x:v>ยังไม่ยืนยันการเปิดให้บริการปัจจุบัน</x:v>
      </x:c>
      <x:c r="O444" s="40" t="n">
        <x:v>46316</x:v>
      </x:c>
    </x:row>
    <x:row r="445" ht="38" customHeight="1">
      <x:c r="A445" s="9" t="n">
        <x:v>437</x:v>
      </x:c>
      <x:c r="B445" s="8" t="str">
        <x:v>สวนสมเด็จพระศรีนครินทร์ ปัตตานี</x:v>
      </x:c>
      <x:c r="C445" s="8" t="str">
        <x:v>ปัตตานี</x:v>
      </x:c>
      <x:c r="D445" s="8" t="str">
        <x:v>มีศักยภาพ แต่ต้องพัฒนามาตรฐาน</x:v>
      </x:c>
      <x:c r="E445" s="8" t="str">
        <x:v>แหล่งท่องเที่ยวทางธรรมชาติ</x:v>
      </x:c>
      <x:c r="F445" s="38" t="n">
        <x:v>46316</x:v>
      </x:c>
      <x:c r="G445" s="8" t="str">
        <x:v>R26-195</x:v>
      </x:c>
      <x:c r="H445" s="39" t="str">
        <x:v>09</x:v>
      </x:c>
      <x:c r="I445" s="8" t="str">
        <x:v>Roots of Faith</x:v>
      </x:c>
      <x:c r="J445" s="8" t="str">
        <x:v>ตัวเลือกเสริม</x:v>
      </x:c>
      <x:c r="K445" s="8" t="str">
        <x:v>ธรรมชาติ</x:v>
      </x:c>
      <x:c r="L445" s="8" t="str">
        <x:f>INDEX('ประเมินเกณฑ์'!$AE$9:$AE$608,MATCH(G445,'ประเมินเกณฑ์'!$A$9:$A$608,0))</x:f>
        <x:v>รอประเมิน</x:v>
      </x:c>
      <x:c r="M445" s="8" t="str">
        <x:v>สถานที่ในจังหวัดเส้นทาง รอตรวจระยะทางและลำดับ</x:v>
      </x:c>
      <x:c r="N445" s="8" t="str">
        <x:v>ยังไม่ยืนยันการเปิดให้บริการปัจจุบัน</x:v>
      </x:c>
      <x:c r="O445" s="40" t="n">
        <x:v>46316</x:v>
      </x:c>
    </x:row>
    <x:row r="446" ht="38" customHeight="1">
      <x:c r="A446" s="9" t="n">
        <x:v>438</x:v>
      </x:c>
      <x:c r="B446" s="8" t="str">
        <x:v>หาดแฆแฆ</x:v>
      </x:c>
      <x:c r="C446" s="8" t="str">
        <x:v>ปัตตานี</x:v>
      </x:c>
      <x:c r="D446" s="8" t="str">
        <x:v>มีศักยภาพ แต่ต้องพัฒนามาตรฐาน</x:v>
      </x:c>
      <x:c r="E446" s="8" t="str">
        <x:v>แหล่งท่องเที่ยวทางธรรมชาติ</x:v>
      </x:c>
      <x:c r="F446" s="38" t="n">
        <x:v>46316</x:v>
      </x:c>
      <x:c r="G446" s="8" t="str">
        <x:v>R26-193</x:v>
      </x:c>
      <x:c r="H446" s="39" t="str">
        <x:v>09</x:v>
      </x:c>
      <x:c r="I446" s="8" t="str">
        <x:v>Roots of Faith</x:v>
      </x:c>
      <x:c r="J446" s="8" t="str">
        <x:v>ตัวเลือกเสริม</x:v>
      </x:c>
      <x:c r="K446" s="8" t="str">
        <x:v>ธรรมชาติ</x:v>
      </x:c>
      <x:c r="L446" s="8" t="str">
        <x:f>INDEX('ประเมินเกณฑ์'!$AE$9:$AE$608,MATCH(G446,'ประเมินเกณฑ์'!$A$9:$A$608,0))</x:f>
        <x:v>รอประเมิน</x:v>
      </x:c>
      <x:c r="M446" s="8" t="str">
        <x:v>สถานที่ในจังหวัดเส้นทาง รอตรวจระยะทางและลำดับ</x:v>
      </x:c>
      <x:c r="N446" s="8" t="str">
        <x:v>ยังไม่ยืนยันการเปิดให้บริการปัจจุบัน</x:v>
      </x:c>
      <x:c r="O446" s="40" t="n">
        <x:v>46316</x:v>
      </x:c>
    </x:row>
    <x:row r="447" ht="38" customHeight="1">
      <x:c r="A447" s="9" t="n">
        <x:v>439</x:v>
      </x:c>
      <x:c r="B447" s="8" t="str">
        <x:v>แหลมตาชี</x:v>
      </x:c>
      <x:c r="C447" s="8" t="str">
        <x:v>ปัตตานี</x:v>
      </x:c>
      <x:c r="D447" s="8" t="str">
        <x:v>มีศักยภาพ แต่ต้องพัฒนามาตรฐาน</x:v>
      </x:c>
      <x:c r="E447" s="8" t="str">
        <x:v>แหล่งท่องเที่ยวทางธรรมชาติ</x:v>
      </x:c>
      <x:c r="F447" s="38" t="n">
        <x:v>46316</x:v>
      </x:c>
      <x:c r="G447" s="8" t="str">
        <x:v>R26-194</x:v>
      </x:c>
      <x:c r="H447" s="39" t="str">
        <x:v>09</x:v>
      </x:c>
      <x:c r="I447" s="8" t="str">
        <x:v>Roots of Faith</x:v>
      </x:c>
      <x:c r="J447" s="8" t="str">
        <x:v>ตัวเลือกเสริม</x:v>
      </x:c>
      <x:c r="K447" s="8" t="str">
        <x:v>ธรรมชาติ</x:v>
      </x:c>
      <x:c r="L447" s="8" t="str">
        <x:f>INDEX('ประเมินเกณฑ์'!$AE$9:$AE$608,MATCH(G447,'ประเมินเกณฑ์'!$A$9:$A$608,0))</x:f>
        <x:v>รอประเมิน</x:v>
      </x:c>
      <x:c r="M447" s="8" t="str">
        <x:v>สถานที่ในจังหวัดเส้นทาง รอตรวจระยะทางและลำดับ</x:v>
      </x:c>
      <x:c r="N447" s="8" t="str">
        <x:v>ยังไม่ยืนยันการเปิดให้บริการปัจจุบัน</x:v>
      </x:c>
      <x:c r="O447" s="40" t="n">
        <x:v>46316</x:v>
      </x:c>
    </x:row>
    <x:row r="448" ht="38" customHeight="1">
      <x:c r="A448" s="9" t="n">
        <x:v>440</x:v>
      </x:c>
      <x:c r="B448" s="8" t="str">
        <x:v>ชุมชนบ้านบางปู ปัตตานี</x:v>
      </x:c>
      <x:c r="C448" s="8" t="str">
        <x:v>ปัตตานี</x:v>
      </x:c>
      <x:c r="D448" s="8" t="str">
        <x:v>มีศักยภาพ แต่ต้องพัฒนามาตรฐาน</x:v>
      </x:c>
      <x:c r="E448" s="8" t="str">
        <x:v>ชุมชนท่องเที่ยว</x:v>
      </x:c>
      <x:c r="F448" s="38" t="n">
        <x:v>46316</x:v>
      </x:c>
      <x:c r="G448" s="8" t="str">
        <x:v>R26-196</x:v>
      </x:c>
      <x:c r="H448" s="39" t="str">
        <x:v>09</x:v>
      </x:c>
      <x:c r="I448" s="8" t="str">
        <x:v>Roots of Faith</x:v>
      </x:c>
      <x:c r="J448" s="8" t="str">
        <x:v>ตัวเลือกเสริม</x:v>
      </x:c>
      <x:c r="K448" s="8" t="str">
        <x:v>ชุมชน</x:v>
      </x:c>
      <x:c r="L448" s="8" t="str">
        <x:f>INDEX('ประเมินเกณฑ์'!$AE$9:$AE$608,MATCH(G448,'ประเมินเกณฑ์'!$A$9:$A$608,0))</x:f>
        <x:v>รอประเมิน</x:v>
      </x:c>
      <x:c r="M448" s="8" t="str">
        <x:v>สถานที่ในจังหวัดเส้นทาง รอตรวจระยะทางและลำดับ</x:v>
      </x:c>
      <x:c r="N448" s="8" t="str">
        <x:v>ยังไม่ยืนยันการเปิดให้บริการปัจจุบัน</x:v>
      </x:c>
      <x:c r="O448" s="40" t="n">
        <x:v>46316</x:v>
      </x:c>
    </x:row>
    <x:row r="449" ht="38" customHeight="1">
      <x:c r="A449" s="9" t="n">
        <x:v>441</x:v>
      </x:c>
      <x:c r="B449" s="8" t="str">
        <x:v>ชุมชนบ้านปะเสยะวอ</x:v>
      </x:c>
      <x:c r="C449" s="8" t="str">
        <x:v>ปัตตานี</x:v>
      </x:c>
      <x:c r="D449" s="8" t="str">
        <x:v>มีศักยภาพ แต่ต้องพัฒนามาตรฐาน</x:v>
      </x:c>
      <x:c r="E449" s="8" t="str">
        <x:v>ชุมชนท่องเที่ยว</x:v>
      </x:c>
      <x:c r="F449" s="38" t="n">
        <x:v>46316</x:v>
      </x:c>
      <x:c r="G449" s="8" t="str">
        <x:v>R26-198</x:v>
      </x:c>
      <x:c r="H449" s="39" t="str">
        <x:v>09</x:v>
      </x:c>
      <x:c r="I449" s="8" t="str">
        <x:v>Roots of Faith</x:v>
      </x:c>
      <x:c r="J449" s="8" t="str">
        <x:v>ตัวเลือกเสริม</x:v>
      </x:c>
      <x:c r="K449" s="8" t="str">
        <x:v>ชุมชน</x:v>
      </x:c>
      <x:c r="L449" s="8" t="str">
        <x:f>INDEX('ประเมินเกณฑ์'!$AE$9:$AE$608,MATCH(G449,'ประเมินเกณฑ์'!$A$9:$A$608,0))</x:f>
        <x:v>รอประเมิน</x:v>
      </x:c>
      <x:c r="M449" s="8" t="str">
        <x:v>สถานที่ในจังหวัดเส้นทาง รอตรวจระยะทางและลำดับ</x:v>
      </x:c>
      <x:c r="N449" s="8" t="str">
        <x:v>ยังไม่ยืนยันการเปิดให้บริการปัจจุบัน</x:v>
      </x:c>
      <x:c r="O449" s="40" t="n">
        <x:v>46316</x:v>
      </x:c>
    </x:row>
    <x:row r="450" ht="38" customHeight="1">
      <x:c r="A450" s="9" t="n">
        <x:v>442</x:v>
      </x:c>
      <x:c r="B450" s="8" t="str">
        <x:v>สวนขวัญเมือง</x:v>
      </x:c>
      <x:c r="C450" s="8" t="str">
        <x:v>ยะลา</x:v>
      </x:c>
      <x:c r="D450" s="8" t="str">
        <x:v>มีศักยภาพ แต่ต้องพัฒนามาตรฐาน</x:v>
      </x:c>
      <x:c r="E450" s="8" t="str">
        <x:v>แหล่งท่องเที่ยวทางธรรมชาติ</x:v>
      </x:c>
      <x:c r="F450" s="38" t="n">
        <x:v>46316</x:v>
      </x:c>
      <x:c r="G450" s="8" t="str">
        <x:v>R26-097</x:v>
      </x:c>
      <x:c r="H450" s="39" t="str">
        <x:v>09</x:v>
      </x:c>
      <x:c r="I450" s="8" t="str">
        <x:v>Roots of Faith</x:v>
      </x:c>
      <x:c r="J450" s="8" t="str">
        <x:v>2</x:v>
      </x:c>
      <x:c r="K450" s="8" t="str">
        <x:v>ธรรมชาติ</x:v>
      </x:c>
      <x:c r="L450" s="8" t="str">
        <x:f>INDEX('ประเมินเกณฑ์'!$AE$9:$AE$608,MATCH(G450,'ประเมินเกณฑ์'!$A$9:$A$608,0))</x:f>
        <x:v>รอประเมิน</x:v>
      </x:c>
      <x:c r="M450" s="8" t="str">
        <x:v>จุดในเอกสารเส้นทาง</x:v>
      </x:c>
      <x:c r="N450" s="8" t="str">
        <x:v>ยังไม่ยืนยันการเปิดให้บริการปัจจุบัน</x:v>
      </x:c>
      <x:c r="O450" s="40" t="n">
        <x:v>46316</x:v>
      </x:c>
    </x:row>
    <x:row r="451" ht="38" customHeight="1">
      <x:c r="A451" s="9" t="n">
        <x:v>443</x:v>
      </x:c>
      <x:c r="B451" s="8" t="str">
        <x:v>Yala Bird City Street Art</x:v>
      </x:c>
      <x:c r="C451" s="8" t="str">
        <x:v>ยะลา</x:v>
      </x:c>
      <x:c r="D451" s="8" t="str">
        <x:v>มีศักยภาพ แต่ต้องพัฒนามาตรฐาน</x:v>
      </x:c>
      <x:c r="E451" s="8" t="str">
        <x:v>แหล่งท่องเที่ยวทางประวัติศาสตร์และวัฒนธรรม</x:v>
      </x:c>
      <x:c r="F451" s="38" t="n">
        <x:v>46316</x:v>
      </x:c>
      <x:c r="G451" s="8" t="str">
        <x:v>R26-094</x:v>
      </x:c>
      <x:c r="H451" s="39" t="str">
        <x:v>09</x:v>
      </x:c>
      <x:c r="I451" s="8" t="str">
        <x:v>Roots of Faith</x:v>
      </x:c>
      <x:c r="J451" s="8" t="str">
        <x:v>2</x:v>
      </x:c>
      <x:c r="K451" s="8" t="str">
        <x:v>ประวัติ</x:v>
      </x:c>
      <x:c r="L451" s="8" t="str">
        <x:f>INDEX('ประเมินเกณฑ์'!$AE$9:$AE$608,MATCH(G451,'ประเมินเกณฑ์'!$A$9:$A$608,0))</x:f>
        <x:v>รอประเมิน</x:v>
      </x:c>
      <x:c r="M451" s="8" t="str">
        <x:v>จุดในเอกสารเส้นทาง</x:v>
      </x:c>
      <x:c r="N451" s="8" t="str">
        <x:v>ยังไม่ยืนยันการเปิดให้บริการปัจจุบัน</x:v>
      </x:c>
      <x:c r="O451" s="40" t="n">
        <x:v>46316</x:v>
      </x:c>
    </x:row>
    <x:row r="452" ht="38" customHeight="1">
      <x:c r="A452" s="9" t="n">
        <x:v>444</x:v>
      </x:c>
      <x:c r="B452" s="8" t="str">
        <x:v>มัสยิดกลางยะลา</x:v>
      </x:c>
      <x:c r="C452" s="8" t="str">
        <x:v>ยะลา</x:v>
      </x:c>
      <x:c r="D452" s="8" t="str">
        <x:v>มีศักยภาพ แต่ต้องพัฒนามาตรฐาน</x:v>
      </x:c>
      <x:c r="E452" s="8" t="str">
        <x:v>แหล่งท่องเที่ยวทางประวัติศาสตร์และวัฒนธรรม</x:v>
      </x:c>
      <x:c r="F452" s="38" t="n">
        <x:v>46316</x:v>
      </x:c>
      <x:c r="G452" s="8" t="str">
        <x:v>R26-095</x:v>
      </x:c>
      <x:c r="H452" s="39" t="str">
        <x:v>09</x:v>
      </x:c>
      <x:c r="I452" s="8" t="str">
        <x:v>Roots of Faith</x:v>
      </x:c>
      <x:c r="J452" s="8" t="str">
        <x:v>2</x:v>
      </x:c>
      <x:c r="K452" s="8" t="str">
        <x:v>มัสยิด</x:v>
      </x:c>
      <x:c r="L452" s="8" t="str">
        <x:f>INDEX('ประเมินเกณฑ์'!$AE$9:$AE$608,MATCH(G452,'ประเมินเกณฑ์'!$A$9:$A$608,0))</x:f>
        <x:v>รอประเมิน</x:v>
      </x:c>
      <x:c r="M452" s="8" t="str">
        <x:v>จุดในเอกสารเส้นทาง</x:v>
      </x:c>
      <x:c r="N452" s="8" t="str">
        <x:v>ยังไม่ยืนยันการเปิดให้บริการปัจจุบัน</x:v>
      </x:c>
      <x:c r="O452" s="40" t="n">
        <x:v>46316</x:v>
      </x:c>
    </x:row>
    <x:row r="453" ht="38" customHeight="1">
      <x:c r="A453" s="9" t="n">
        <x:v>445</x:v>
      </x:c>
      <x:c r="B453" s="8" t="str">
        <x:v>ตลาดเมืองใหม่ยะลา</x:v>
      </x:c>
      <x:c r="C453" s="8" t="str">
        <x:v>ยะลา</x:v>
      </x:c>
      <x:c r="D453" s="8" t="str">
        <x:v>มีศักยภาพ แต่ต้องพัฒนามาตรฐาน</x:v>
      </x:c>
      <x:c r="E453" s="8" t="str">
        <x:v>ศูนย์กิจกรรมและนันทนาการ</x:v>
      </x:c>
      <x:c r="F453" s="38" t="n">
        <x:v>46316</x:v>
      </x:c>
      <x:c r="G453" s="8" t="str">
        <x:v>R26-098</x:v>
      </x:c>
      <x:c r="H453" s="39" t="str">
        <x:v>09</x:v>
      </x:c>
      <x:c r="I453" s="8" t="str">
        <x:v>Roots of Faith</x:v>
      </x:c>
      <x:c r="J453" s="8" t="str">
        <x:v>2</x:v>
      </x:c>
      <x:c r="K453" s="8" t="str">
        <x:v>กิจกรรม</x:v>
      </x:c>
      <x:c r="L453" s="8" t="str">
        <x:f>INDEX('ประเมินเกณฑ์'!$AE$9:$AE$608,MATCH(G453,'ประเมินเกณฑ์'!$A$9:$A$608,0))</x:f>
        <x:v>รอประเมิน</x:v>
      </x:c>
      <x:c r="M453" s="8" t="str">
        <x:v>จุดในเอกสารเส้นทาง</x:v>
      </x:c>
      <x:c r="N453" s="8" t="str">
        <x:v>ยังไม่ยืนยันการเปิดให้บริการปัจจุบัน</x:v>
      </x:c>
      <x:c r="O453" s="40" t="n">
        <x:v>46316</x:v>
      </x:c>
    </x:row>
    <x:row r="454" ht="38" customHeight="1">
      <x:c r="A454" s="9" t="n">
        <x:v>446</x:v>
      </x:c>
      <x:c r="B454" s="8" t="str">
        <x:v>The Linux Garden Hotel Yala</x:v>
      </x:c>
      <x:c r="C454" s="8" t="str">
        <x:v>ยะลา</x:v>
      </x:c>
      <x:c r="D454" s="8" t="str">
        <x:v>มีศักยภาพ แต่ต้องพัฒนามาตรฐาน</x:v>
      </x:c>
      <x:c r="E454" s="8" t="str">
        <x:v>ที่พัก</x:v>
      </x:c>
      <x:c r="F454" s="38" t="n">
        <x:v>46316</x:v>
      </x:c>
      <x:c r="G454" s="8" t="str">
        <x:v>R26-380</x:v>
      </x:c>
      <x:c r="H454" s="39" t="str">
        <x:v>09</x:v>
      </x:c>
      <x:c r="I454" s="8" t="str">
        <x:v>Roots of Faith</x:v>
      </x:c>
      <x:c r="J454" s="8" t="str">
        <x:v>ตัวเลือกเสริม</x:v>
      </x:c>
      <x:c r="K454" s="8" t="str">
        <x:v>ที่พัก</x:v>
      </x:c>
      <x:c r="L454" s="8" t="str">
        <x:f>INDEX('ประเมินเกณฑ์'!$AE$9:$AE$608,MATCH(G454,'ประเมินเกณฑ์'!$A$9:$A$608,0))</x:f>
        <x:v>รอประเมิน</x:v>
      </x:c>
      <x:c r="M454" s="8" t="str">
        <x:v>สถานที่ในจังหวัดเส้นทาง รอตรวจระยะทางและลำดับ</x:v>
      </x:c>
      <x:c r="N454" s="8" t="str">
        <x:v>ยังไม่ยืนยันการเปิดให้บริการปัจจุบัน</x:v>
      </x:c>
      <x:c r="O454" s="40" t="n">
        <x:v>46316</x:v>
      </x:c>
    </x:row>
    <x:row r="455" ht="38" customHeight="1">
      <x:c r="A455" s="9" t="n">
        <x:v>447</x:v>
      </x:c>
      <x:c r="B455" s="8" t="str">
        <x:v>Yala Grand Palace Hotel</x:v>
      </x:c>
      <x:c r="C455" s="8" t="str">
        <x:v>ยะลา</x:v>
      </x:c>
      <x:c r="D455" s="8" t="str">
        <x:v>มีศักยภาพ แต่ต้องพัฒนามาตรฐาน</x:v>
      </x:c>
      <x:c r="E455" s="8" t="str">
        <x:v>ที่พัก</x:v>
      </x:c>
      <x:c r="F455" s="38" t="n">
        <x:v>46316</x:v>
      </x:c>
      <x:c r="G455" s="8" t="str">
        <x:v>R26-381</x:v>
      </x:c>
      <x:c r="H455" s="39" t="str">
        <x:v>09</x:v>
      </x:c>
      <x:c r="I455" s="8" t="str">
        <x:v>Roots of Faith</x:v>
      </x:c>
      <x:c r="J455" s="8" t="str">
        <x:v>ตัวเลือกเสริม</x:v>
      </x:c>
      <x:c r="K455" s="8" t="str">
        <x:v>ที่พัก</x:v>
      </x:c>
      <x:c r="L455" s="8" t="str">
        <x:f>INDEX('ประเมินเกณฑ์'!$AE$9:$AE$608,MATCH(G455,'ประเมินเกณฑ์'!$A$9:$A$608,0))</x:f>
        <x:v>รอประเมิน</x:v>
      </x:c>
      <x:c r="M455" s="8" t="str">
        <x:v>สถานที่ในจังหวัดเส้นทาง รอตรวจระยะทางและลำดับ</x:v>
      </x:c>
      <x:c r="N455" s="8" t="str">
        <x:v>ยังไม่ยืนยันการเปิดให้บริการปัจจุบัน</x:v>
      </x:c>
      <x:c r="O455" s="40" t="n">
        <x:v>46316</x:v>
      </x:c>
    </x:row>
    <x:row r="456" ht="38" customHeight="1">
      <x:c r="A456" s="9" t="n">
        <x:v>448</x:v>
      </x:c>
      <x:c r="B456" s="8" t="str">
        <x:v>Candy rose หมี่ไก่ฉีก</x:v>
      </x:c>
      <x:c r="C456" s="8" t="str">
        <x:v>ยะลา</x:v>
      </x:c>
      <x:c r="D456" s="8" t="str">
        <x:v>พัฒนาเพื่อพร้อมขาย</x:v>
      </x:c>
      <x:c r="E456" s="8" t="str">
        <x:v>ร้านอาหารและคาเฟ่</x:v>
      </x:c>
      <x:c r="F456" s="38" t="n">
        <x:v>46316</x:v>
      </x:c>
      <x:c r="G456" s="8" t="str">
        <x:v>TMF-383</x:v>
      </x:c>
      <x:c r="H456" s="39" t="str">
        <x:v>09</x:v>
      </x:c>
      <x:c r="I456" s="8" t="str">
        <x:v>Roots of Faith</x:v>
      </x:c>
      <x:c r="J456" s="8" t="str">
        <x:v>ตัวเลือกเสริม</x:v>
      </x:c>
      <x:c r="K456" s="8" t="str">
        <x:v>ร้านอาหาร</x:v>
      </x:c>
      <x:c r="L456" s="8" t="str">
        <x:f>INDEX('ประเมินเกณฑ์'!$AE$9:$AE$608,MATCH(G456,'ประเมินเกณฑ์'!$A$9:$A$608,0))</x:f>
        <x:v>รอประเมิน</x:v>
      </x:c>
      <x:c r="M456" s="8" t="str">
        <x:v>สถานที่ในจังหวัดเส้นทาง รอตรวจระยะทางและลำดับ</x:v>
      </x:c>
      <x:c r="N456" s="8" t="str">
        <x:v>ยังไม่ยืนยันการเปิดให้บริการปัจจุบัน</x:v>
      </x:c>
      <x:c r="O456" s="40" t="n">
        <x:v>46315</x:v>
      </x:c>
    </x:row>
    <x:row r="457" ht="38" customHeight="1">
      <x:c r="A457" s="9" t="n">
        <x:v>449</x:v>
      </x:c>
      <x:c r="B457" s="8" t="str">
        <x:v>IN Trend Co-working Cafe</x:v>
      </x:c>
      <x:c r="C457" s="8" t="str">
        <x:v>ยะลา</x:v>
      </x:c>
      <x:c r="D457" s="8" t="str">
        <x:v>พัฒนาเพื่อพร้อมขาย</x:v>
      </x:c>
      <x:c r="E457" s="8" t="str">
        <x:v>ร้านอาหารและคาเฟ่</x:v>
      </x:c>
      <x:c r="F457" s="38" t="n">
        <x:v>46316</x:v>
      </x:c>
      <x:c r="G457" s="8" t="str">
        <x:v>TMF-384</x:v>
      </x:c>
      <x:c r="H457" s="39" t="str">
        <x:v>09</x:v>
      </x:c>
      <x:c r="I457" s="8" t="str">
        <x:v>Roots of Faith</x:v>
      </x:c>
      <x:c r="J457" s="8" t="str">
        <x:v>ตัวเลือกเสริม</x:v>
      </x:c>
      <x:c r="K457" s="8" t="str">
        <x:v>คาเฟ่และร้านของหวาน</x:v>
      </x:c>
      <x:c r="L457" s="8" t="str">
        <x:f>INDEX('ประเมินเกณฑ์'!$AE$9:$AE$608,MATCH(G457,'ประเมินเกณฑ์'!$A$9:$A$608,0))</x:f>
        <x:v>รอประเมิน</x:v>
      </x:c>
      <x:c r="M457" s="8" t="str">
        <x:v>สถานที่ในจังหวัดเส้นทาง รอตรวจระยะทางและลำดับ</x:v>
      </x:c>
      <x:c r="N457" s="8" t="str">
        <x:v>ยังไม่ยืนยันการเปิดให้บริการปัจจุบัน</x:v>
      </x:c>
      <x:c r="O457" s="40" t="n">
        <x:v>46315</x:v>
      </x:c>
    </x:row>
    <x:row r="458" ht="38" customHeight="1">
      <x:c r="A458" s="9" t="n">
        <x:v>450</x:v>
      </x:c>
      <x:c r="B458" s="8" t="str">
        <x:v>Martabak Ramunrin - มาร์ตาบัค มานิส สาขายะลา</x:v>
      </x:c>
      <x:c r="C458" s="8" t="str">
        <x:v>ยะลา</x:v>
      </x:c>
      <x:c r="D458" s="8" t="str">
        <x:v>พร้อมขาย</x:v>
      </x:c>
      <x:c r="E458" s="8" t="str">
        <x:v>ร้านอาหารและคาเฟ่</x:v>
      </x:c>
      <x:c r="F458" s="38" t="n">
        <x:v>46316</x:v>
      </x:c>
      <x:c r="G458" s="8" t="str">
        <x:v>TMF-190</x:v>
      </x:c>
      <x:c r="H458" s="39" t="str">
        <x:v>09</x:v>
      </x:c>
      <x:c r="I458" s="8" t="str">
        <x:v>Roots of Faith</x:v>
      </x:c>
      <x:c r="J458" s="8" t="str">
        <x:v>ตัวเลือกเสริม</x:v>
      </x:c>
      <x:c r="K458" s="8" t="str">
        <x:v>ร้านอาหาร</x:v>
      </x:c>
      <x:c r="L458" s="8" t="str">
        <x:f>INDEX('ประเมินเกณฑ์'!$AE$9:$AE$608,MATCH(G458,'ประเมินเกณฑ์'!$A$9:$A$608,0))</x:f>
        <x:v>รอประเมิน</x:v>
      </x:c>
      <x:c r="M458" s="8" t="str">
        <x:v>สถานที่ในจังหวัดเส้นทาง รอตรวจระยะทางและลำดับ</x:v>
      </x:c>
      <x:c r="N458" s="8" t="str">
        <x:v>ยังไม่ยืนยันการเปิดให้บริการปัจจุบัน</x:v>
      </x:c>
      <x:c r="O458" s="40" t="n">
        <x:v>46315</x:v>
      </x:c>
    </x:row>
    <x:row r="459" ht="38" customHeight="1">
      <x:c r="A459" s="9" t="n">
        <x:v>451</x:v>
      </x:c>
      <x:c r="B459" s="8" t="str">
        <x:v>Once Eatery by ประเทือง</x:v>
      </x:c>
      <x:c r="C459" s="8" t="str">
        <x:v>ยะลา</x:v>
      </x:c>
      <x:c r="D459" s="8" t="str">
        <x:v>มีศักยภาพ แต่ต้องพัฒนามาตรฐาน</x:v>
      </x:c>
      <x:c r="E459" s="8" t="str">
        <x:v>ร้านอาหารและคาเฟ่</x:v>
      </x:c>
      <x:c r="F459" s="38" t="n">
        <x:v>46316</x:v>
      </x:c>
      <x:c r="G459" s="8" t="str">
        <x:v>R26-332</x:v>
      </x:c>
      <x:c r="H459" s="39" t="str">
        <x:v>09</x:v>
      </x:c>
      <x:c r="I459" s="8" t="str">
        <x:v>Roots of Faith</x:v>
      </x:c>
      <x:c r="J459" s="8" t="str">
        <x:v>ตัวเลือกเสริม</x:v>
      </x:c>
      <x:c r="K459" s="8" t="str">
        <x:v>อาหาร</x:v>
      </x:c>
      <x:c r="L459" s="8" t="str">
        <x:f>INDEX('ประเมินเกณฑ์'!$AE$9:$AE$608,MATCH(G459,'ประเมินเกณฑ์'!$A$9:$A$608,0))</x:f>
        <x:v>รอประเมิน</x:v>
      </x:c>
      <x:c r="M459" s="8" t="str">
        <x:v>สถานที่ในจังหวัดเส้นทาง รอตรวจระยะทางและลำดับ</x:v>
      </x:c>
      <x:c r="N459" s="8" t="str">
        <x:v>ยังไม่ยืนยันการเปิดให้บริการปัจจุบัน</x:v>
      </x:c>
      <x:c r="O459" s="40" t="n">
        <x:v>46316</x:v>
      </x:c>
    </x:row>
    <x:row r="460" ht="38" customHeight="1">
      <x:c r="A460" s="9" t="n">
        <x:v>452</x:v>
      </x:c>
      <x:c r="B460" s="8" t="str">
        <x:v>Orbit Coffee-ออร์บิท คอฟฟี่ ยะลา</x:v>
      </x:c>
      <x:c r="C460" s="8" t="str">
        <x:v>ยะลา</x:v>
      </x:c>
      <x:c r="D460" s="8" t="str">
        <x:v>พัฒนาเพื่อพร้อมขาย</x:v>
      </x:c>
      <x:c r="E460" s="8" t="str">
        <x:v>ร้านอาหารและคาเฟ่</x:v>
      </x:c>
      <x:c r="F460" s="38" t="n">
        <x:v>46316</x:v>
      </x:c>
      <x:c r="G460" s="8" t="str">
        <x:v>TMF-385</x:v>
      </x:c>
      <x:c r="H460" s="39" t="str">
        <x:v>09</x:v>
      </x:c>
      <x:c r="I460" s="8" t="str">
        <x:v>Roots of Faith</x:v>
      </x:c>
      <x:c r="J460" s="8" t="str">
        <x:v>ตัวเลือกเสริม</x:v>
      </x:c>
      <x:c r="K460" s="8" t="str">
        <x:v>คาเฟ่และร้านของหวาน</x:v>
      </x:c>
      <x:c r="L460" s="8" t="str">
        <x:f>INDEX('ประเมินเกณฑ์'!$AE$9:$AE$608,MATCH(G460,'ประเมินเกณฑ์'!$A$9:$A$608,0))</x:f>
        <x:v>รอประเมิน</x:v>
      </x:c>
      <x:c r="M460" s="8" t="str">
        <x:v>สถานที่ในจังหวัดเส้นทาง รอตรวจระยะทางและลำดับ</x:v>
      </x:c>
      <x:c r="N460" s="8" t="str">
        <x:v>ยังไม่ยืนยันการเปิดให้บริการปัจจุบัน</x:v>
      </x:c>
      <x:c r="O460" s="40" t="n">
        <x:v>46315</x:v>
      </x:c>
    </x:row>
    <x:row r="461" ht="38" customHeight="1">
      <x:c r="A461" s="9" t="n">
        <x:v>453</x:v>
      </x:c>
      <x:c r="B461" s="8" t="str">
        <x:v>Tokoroaster Coffee And Cycling</x:v>
      </x:c>
      <x:c r="C461" s="8" t="str">
        <x:v>ยะลา</x:v>
      </x:c>
      <x:c r="D461" s="8" t="str">
        <x:v>พร้อมขาย</x:v>
      </x:c>
      <x:c r="E461" s="8" t="str">
        <x:v>ร้านอาหารและคาเฟ่</x:v>
      </x:c>
      <x:c r="F461" s="38" t="n">
        <x:v>46316</x:v>
      </x:c>
      <x:c r="G461" s="8" t="str">
        <x:v>TMF-191</x:v>
      </x:c>
      <x:c r="H461" s="39" t="str">
        <x:v>09</x:v>
      </x:c>
      <x:c r="I461" s="8" t="str">
        <x:v>Roots of Faith</x:v>
      </x:c>
      <x:c r="J461" s="8" t="str">
        <x:v>ตัวเลือกเสริม</x:v>
      </x:c>
      <x:c r="K461" s="8" t="str">
        <x:v>คาเฟ่และร้านของหวาน</x:v>
      </x:c>
      <x:c r="L461" s="8" t="str">
        <x:f>INDEX('ประเมินเกณฑ์'!$AE$9:$AE$608,MATCH(G461,'ประเมินเกณฑ์'!$A$9:$A$608,0))</x:f>
        <x:v>รอประเมิน</x:v>
      </x:c>
      <x:c r="M461" s="8" t="str">
        <x:v>สถานที่ในจังหวัดเส้นทาง รอตรวจระยะทางและลำดับ</x:v>
      </x:c>
      <x:c r="N461" s="8" t="str">
        <x:v>ยังไม่ยืนยันการเปิดให้บริการปัจจุบัน</x:v>
      </x:c>
      <x:c r="O461" s="40" t="n">
        <x:v>46315</x:v>
      </x:c>
    </x:row>
    <x:row r="462" ht="38" customHeight="1">
      <x:c r="A462" s="9" t="n">
        <x:v>454</x:v>
      </x:c>
      <x:c r="B462" s="8" t="str">
        <x:v>Yasmeen Seafood</x:v>
      </x:c>
      <x:c r="C462" s="8" t="str">
        <x:v>ยะลา</x:v>
      </x:c>
      <x:c r="D462" s="8" t="str">
        <x:v>มีศักยภาพ แต่ต้องพัฒนามาตรฐาน</x:v>
      </x:c>
      <x:c r="E462" s="8" t="str">
        <x:v>ร้านอาหารและคาเฟ่</x:v>
      </x:c>
      <x:c r="F462" s="38" t="n">
        <x:v>46316</x:v>
      </x:c>
      <x:c r="G462" s="8" t="str">
        <x:v>R26-333</x:v>
      </x:c>
      <x:c r="H462" s="39" t="str">
        <x:v>09</x:v>
      </x:c>
      <x:c r="I462" s="8" t="str">
        <x:v>Roots of Faith</x:v>
      </x:c>
      <x:c r="J462" s="8" t="str">
        <x:v>ตัวเลือกเสริม</x:v>
      </x:c>
      <x:c r="K462" s="8" t="str">
        <x:v>อาหาร</x:v>
      </x:c>
      <x:c r="L462" s="8" t="str">
        <x:f>INDEX('ประเมินเกณฑ์'!$AE$9:$AE$608,MATCH(G462,'ประเมินเกณฑ์'!$A$9:$A$608,0))</x:f>
        <x:v>รอประเมิน</x:v>
      </x:c>
      <x:c r="M462" s="8" t="str">
        <x:v>สถานที่ในจังหวัดเส้นทาง รอตรวจระยะทางและลำดับ</x:v>
      </x:c>
      <x:c r="N462" s="8" t="str">
        <x:v>ยังไม่ยืนยันการเปิดให้บริการปัจจุบัน</x:v>
      </x:c>
      <x:c r="O462" s="40" t="n">
        <x:v>46316</x:v>
      </x:c>
    </x:row>
    <x:row r="463" ht="38" customHeight="1">
      <x:c r="A463" s="9" t="n">
        <x:v>455</x:v>
      </x:c>
      <x:c r="B463" s="8" t="str">
        <x:v>wawa_cafe</x:v>
      </x:c>
      <x:c r="C463" s="8" t="str">
        <x:v>ยะลา</x:v>
      </x:c>
      <x:c r="D463" s="8" t="str">
        <x:v>พร้อมขาย</x:v>
      </x:c>
      <x:c r="E463" s="8" t="str">
        <x:v>ร้านอาหารและคาเฟ่</x:v>
      </x:c>
      <x:c r="F463" s="38" t="n">
        <x:v>46316</x:v>
      </x:c>
      <x:c r="G463" s="8" t="str">
        <x:v>TMF-192</x:v>
      </x:c>
      <x:c r="H463" s="39" t="str">
        <x:v>09</x:v>
      </x:c>
      <x:c r="I463" s="8" t="str">
        <x:v>Roots of Faith</x:v>
      </x:c>
      <x:c r="J463" s="8" t="str">
        <x:v>ตัวเลือกเสริม</x:v>
      </x:c>
      <x:c r="K463" s="8" t="str">
        <x:v>คาเฟ่และร้านของหวาน</x:v>
      </x:c>
      <x:c r="L463" s="8" t="str">
        <x:f>INDEX('ประเมินเกณฑ์'!$AE$9:$AE$608,MATCH(G463,'ประเมินเกณฑ์'!$A$9:$A$608,0))</x:f>
        <x:v>รอประเมิน</x:v>
      </x:c>
      <x:c r="M463" s="8" t="str">
        <x:v>สถานที่ในจังหวัดเส้นทาง รอตรวจระยะทางและลำดับ</x:v>
      </x:c>
      <x:c r="N463" s="8" t="str">
        <x:v>ยังไม่ยืนยันการเปิดให้บริการปัจจุบัน</x:v>
      </x:c>
      <x:c r="O463" s="40" t="n">
        <x:v>46316</x:v>
      </x:c>
    </x:row>
    <x:row r="464" ht="38" customHeight="1">
      <x:c r="A464" s="9" t="n">
        <x:v>456</x:v>
      </x:c>
      <x:c r="B464" s="8" t="str">
        <x:v>ซูเฟียนโภชนา</x:v>
      </x:c>
      <x:c r="C464" s="8" t="str">
        <x:v>ยะลา</x:v>
      </x:c>
      <x:c r="D464" s="8" t="str">
        <x:v>พร้อมขาย</x:v>
      </x:c>
      <x:c r="E464" s="8" t="str">
        <x:v>ร้านอาหารและคาเฟ่</x:v>
      </x:c>
      <x:c r="F464" s="38" t="n">
        <x:v>46316</x:v>
      </x:c>
      <x:c r="G464" s="8" t="str">
        <x:v>TMF-196</x:v>
      </x:c>
      <x:c r="H464" s="39" t="str">
        <x:v>09</x:v>
      </x:c>
      <x:c r="I464" s="8" t="str">
        <x:v>Roots of Faith</x:v>
      </x:c>
      <x:c r="J464" s="8" t="str">
        <x:v>ตัวเลือกเสริม</x:v>
      </x:c>
      <x:c r="K464" s="8" t="str">
        <x:v>ร้านอาหาร</x:v>
      </x:c>
      <x:c r="L464" s="8" t="str">
        <x:f>INDEX('ประเมินเกณฑ์'!$AE$9:$AE$608,MATCH(G464,'ประเมินเกณฑ์'!$A$9:$A$608,0))</x:f>
        <x:v>รอประเมิน</x:v>
      </x:c>
      <x:c r="M464" s="8" t="str">
        <x:v>สถานที่ในจังหวัดเส้นทาง รอตรวจระยะทางและลำดับ</x:v>
      </x:c>
      <x:c r="N464" s="8" t="str">
        <x:v>ยังไม่ยืนยันการเปิดให้บริการปัจจุบัน</x:v>
      </x:c>
      <x:c r="O464" s="40" t="n">
        <x:v>46315</x:v>
      </x:c>
    </x:row>
    <x:row r="465" ht="38" customHeight="1">
      <x:c r="A465" s="9" t="n">
        <x:v>457</x:v>
      </x:c>
      <x:c r="B465" s="8" t="str">
        <x:v>ตะกงแกง</x:v>
      </x:c>
      <x:c r="C465" s="8" t="str">
        <x:v>ยะลา</x:v>
      </x:c>
      <x:c r="D465" s="8" t="str">
        <x:v>พร้อมขาย</x:v>
      </x:c>
      <x:c r="E465" s="8" t="str">
        <x:v>ร้านอาหารและคาเฟ่</x:v>
      </x:c>
      <x:c r="F465" s="38" t="n">
        <x:v>46316</x:v>
      </x:c>
      <x:c r="G465" s="8" t="str">
        <x:v>TMF-198</x:v>
      </x:c>
      <x:c r="H465" s="39" t="str">
        <x:v>09</x:v>
      </x:c>
      <x:c r="I465" s="8" t="str">
        <x:v>Roots of Faith</x:v>
      </x:c>
      <x:c r="J465" s="8" t="str">
        <x:v>ตัวเลือกเสริม</x:v>
      </x:c>
      <x:c r="K465" s="8" t="str">
        <x:v>ร้านอาหาร</x:v>
      </x:c>
      <x:c r="L465" s="8" t="str">
        <x:f>INDEX('ประเมินเกณฑ์'!$AE$9:$AE$608,MATCH(G465,'ประเมินเกณฑ์'!$A$9:$A$608,0))</x:f>
        <x:v>รอประเมิน</x:v>
      </x:c>
      <x:c r="M465" s="8" t="str">
        <x:v>สถานที่ในจังหวัดเส้นทาง รอตรวจระยะทางและลำดับ</x:v>
      </x:c>
      <x:c r="N465" s="8" t="str">
        <x:v>ยังไม่ยืนยันการเปิดให้บริการปัจจุบัน</x:v>
      </x:c>
      <x:c r="O465" s="40" t="n">
        <x:v>46315</x:v>
      </x:c>
    </x:row>
    <x:row r="466" ht="38" customHeight="1">
      <x:c r="A466" s="9" t="n">
        <x:v>458</x:v>
      </x:c>
      <x:c r="B466" s="8" t="str">
        <x:v>บ้านอาหารมายโฮมยะลา</x:v>
      </x:c>
      <x:c r="C466" s="8" t="str">
        <x:v>ยะลา</x:v>
      </x:c>
      <x:c r="D466" s="8" t="str">
        <x:v>มีศักยภาพ แต่ต้องพัฒนามาตรฐาน</x:v>
      </x:c>
      <x:c r="E466" s="8" t="str">
        <x:v>ร้านอาหารและคาเฟ่</x:v>
      </x:c>
      <x:c r="F466" s="38" t="n">
        <x:v>46316</x:v>
      </x:c>
      <x:c r="G466" s="8" t="str">
        <x:v>R26-335</x:v>
      </x:c>
      <x:c r="H466" s="39" t="str">
        <x:v>09</x:v>
      </x:c>
      <x:c r="I466" s="8" t="str">
        <x:v>Roots of Faith</x:v>
      </x:c>
      <x:c r="J466" s="8" t="str">
        <x:v>ตัวเลือกเสริม</x:v>
      </x:c>
      <x:c r="K466" s="8" t="str">
        <x:v>อาหาร</x:v>
      </x:c>
      <x:c r="L466" s="8" t="str">
        <x:f>INDEX('ประเมินเกณฑ์'!$AE$9:$AE$608,MATCH(G466,'ประเมินเกณฑ์'!$A$9:$A$608,0))</x:f>
        <x:v>รอประเมิน</x:v>
      </x:c>
      <x:c r="M466" s="8" t="str">
        <x:v>สถานที่ในจังหวัดเส้นทาง รอตรวจระยะทางและลำดับ</x:v>
      </x:c>
      <x:c r="N466" s="8" t="str">
        <x:v>ยังไม่ยืนยันการเปิดให้บริการปัจจุบัน</x:v>
      </x:c>
      <x:c r="O466" s="40" t="n">
        <x:v>46316</x:v>
      </x:c>
    </x:row>
    <x:row r="467" ht="38" customHeight="1">
      <x:c r="A467" s="9" t="n">
        <x:v>459</x:v>
      </x:c>
      <x:c r="B467" s="8" t="str">
        <x:v>มูฮัมหมัดฮาลีย์ ข้าวหน้าเป็ด</x:v>
      </x:c>
      <x:c r="C467" s="8" t="str">
        <x:v>ยะลา</x:v>
      </x:c>
      <x:c r="D467" s="8" t="str">
        <x:v>มีศักยภาพ แต่ต้องพัฒนามาตรฐาน</x:v>
      </x:c>
      <x:c r="E467" s="8" t="str">
        <x:v>ร้านอาหารและคาเฟ่</x:v>
      </x:c>
      <x:c r="F467" s="38" t="n">
        <x:v>46316</x:v>
      </x:c>
      <x:c r="G467" s="8" t="str">
        <x:v>R26-338</x:v>
      </x:c>
      <x:c r="H467" s="39" t="str">
        <x:v>09</x:v>
      </x:c>
      <x:c r="I467" s="8" t="str">
        <x:v>Roots of Faith</x:v>
      </x:c>
      <x:c r="J467" s="8" t="str">
        <x:v>ตัวเลือกเสริม</x:v>
      </x:c>
      <x:c r="K467" s="8" t="str">
        <x:v>อาหาร</x:v>
      </x:c>
      <x:c r="L467" s="8" t="str">
        <x:f>INDEX('ประเมินเกณฑ์'!$AE$9:$AE$608,MATCH(G467,'ประเมินเกณฑ์'!$A$9:$A$608,0))</x:f>
        <x:v>รอประเมิน</x:v>
      </x:c>
      <x:c r="M467" s="8" t="str">
        <x:v>สถานที่ในจังหวัดเส้นทาง รอตรวจระยะทางและลำดับ</x:v>
      </x:c>
      <x:c r="N467" s="8" t="str">
        <x:v>ยังไม่ยืนยันการเปิดให้บริการปัจจุบัน</x:v>
      </x:c>
      <x:c r="O467" s="40" t="n">
        <x:v>46316</x:v>
      </x:c>
    </x:row>
    <x:row r="468" ht="38" customHeight="1">
      <x:c r="A468" s="9" t="n">
        <x:v>460</x:v>
      </x:c>
      <x:c r="B468" s="8" t="str">
        <x:v>เนื้อแท้ โลตัสยะลา</x:v>
      </x:c>
      <x:c r="C468" s="8" t="str">
        <x:v>ยะลา</x:v>
      </x:c>
      <x:c r="D468" s="8" t="str">
        <x:v>มีศักยภาพ แต่ต้องพัฒนามาตรฐาน</x:v>
      </x:c>
      <x:c r="E468" s="8" t="str">
        <x:v>ร้านอาหารและคาเฟ่</x:v>
      </x:c>
      <x:c r="F468" s="38" t="n">
        <x:v>46316</x:v>
      </x:c>
      <x:c r="G468" s="8" t="str">
        <x:v>R26-337</x:v>
      </x:c>
      <x:c r="H468" s="39" t="str">
        <x:v>09</x:v>
      </x:c>
      <x:c r="I468" s="8" t="str">
        <x:v>Roots of Faith</x:v>
      </x:c>
      <x:c r="J468" s="8" t="str">
        <x:v>ตัวเลือกเสริม</x:v>
      </x:c>
      <x:c r="K468" s="8" t="str">
        <x:v>อาหาร</x:v>
      </x:c>
      <x:c r="L468" s="8" t="str">
        <x:f>INDEX('ประเมินเกณฑ์'!$AE$9:$AE$608,MATCH(G468,'ประเมินเกณฑ์'!$A$9:$A$608,0))</x:f>
        <x:v>รอประเมิน</x:v>
      </x:c>
      <x:c r="M468" s="8" t="str">
        <x:v>สถานที่ในจังหวัดเส้นทาง รอตรวจระยะทางและลำดับ</x:v>
      </x:c>
      <x:c r="N468" s="8" t="str">
        <x:v>ยังไม่ยืนยันการเปิดให้บริการปัจจุบัน</x:v>
      </x:c>
      <x:c r="O468" s="40" t="n">
        <x:v>46316</x:v>
      </x:c>
    </x:row>
    <x:row r="469" ht="38" customHeight="1">
      <x:c r="A469" s="9" t="n">
        <x:v>461</x:v>
      </x:c>
      <x:c r="B469" s="8" t="str">
        <x:v>โกกีม ก๋วยเตี๋ยวเนื้อตุ๋น</x:v>
      </x:c>
      <x:c r="C469" s="8" t="str">
        <x:v>ยะลา</x:v>
      </x:c>
      <x:c r="D469" s="8" t="str">
        <x:v>มีศักยภาพ แต่ต้องพัฒนามาตรฐาน</x:v>
      </x:c>
      <x:c r="E469" s="8" t="str">
        <x:v>ร้านอาหารและคาเฟ่</x:v>
      </x:c>
      <x:c r="F469" s="38" t="n">
        <x:v>46316</x:v>
      </x:c>
      <x:c r="G469" s="8" t="str">
        <x:v>R26-334</x:v>
      </x:c>
      <x:c r="H469" s="39" t="str">
        <x:v>09</x:v>
      </x:c>
      <x:c r="I469" s="8" t="str">
        <x:v>Roots of Faith</x:v>
      </x:c>
      <x:c r="J469" s="8" t="str">
        <x:v>ตัวเลือกเสริม</x:v>
      </x:c>
      <x:c r="K469" s="8" t="str">
        <x:v>อาหาร</x:v>
      </x:c>
      <x:c r="L469" s="8" t="str">
        <x:f>INDEX('ประเมินเกณฑ์'!$AE$9:$AE$608,MATCH(G469,'ประเมินเกณฑ์'!$A$9:$A$608,0))</x:f>
        <x:v>รอประเมิน</x:v>
      </x:c>
      <x:c r="M469" s="8" t="str">
        <x:v>สถานที่ในจังหวัดเส้นทาง รอตรวจระยะทางและลำดับ</x:v>
      </x:c>
      <x:c r="N469" s="8" t="str">
        <x:v>ยังไม่ยืนยันการเปิดให้บริการปัจจุบัน</x:v>
      </x:c>
      <x:c r="O469" s="40" t="n">
        <x:v>46316</x:v>
      </x:c>
    </x:row>
    <x:row r="470" ht="38" customHeight="1">
      <x:c r="A470" s="9" t="n">
        <x:v>462</x:v>
      </x:c>
      <x:c r="B470" s="8" t="str">
        <x:v>ทะเลหมอกอัยเยอร์เวง</x:v>
      </x:c>
      <x:c r="C470" s="8" t="str">
        <x:v>ยะลา</x:v>
      </x:c>
      <x:c r="D470" s="8" t="str">
        <x:v>มีศักยภาพ แต่ต้องพัฒนามาตรฐาน</x:v>
      </x:c>
      <x:c r="E470" s="8" t="str">
        <x:v>แหล่งท่องเที่ยวทางธรรมชาติ</x:v>
      </x:c>
      <x:c r="F470" s="38" t="n">
        <x:v>46316</x:v>
      </x:c>
      <x:c r="G470" s="8" t="str">
        <x:v>R26-200</x:v>
      </x:c>
      <x:c r="H470" s="39" t="str">
        <x:v>09</x:v>
      </x:c>
      <x:c r="I470" s="8" t="str">
        <x:v>Roots of Faith</x:v>
      </x:c>
      <x:c r="J470" s="8" t="str">
        <x:v>ตัวเลือกเสริม</x:v>
      </x:c>
      <x:c r="K470" s="8" t="str">
        <x:v>ธรรมชาติ</x:v>
      </x:c>
      <x:c r="L470" s="8" t="str">
        <x:f>INDEX('ประเมินเกณฑ์'!$AE$9:$AE$608,MATCH(G470,'ประเมินเกณฑ์'!$A$9:$A$608,0))</x:f>
        <x:v>รอประเมิน</x:v>
      </x:c>
      <x:c r="M470" s="8" t="str">
        <x:v>สถานที่ในจังหวัดเส้นทาง รอตรวจระยะทางและลำดับ</x:v>
      </x:c>
      <x:c r="N470" s="8" t="str">
        <x:v>ยังไม่ยืนยันการเปิดให้บริการปัจจุบัน</x:v>
      </x:c>
      <x:c r="O470" s="40" t="n">
        <x:v>46316</x:v>
      </x:c>
    </x:row>
    <x:row r="471" ht="38" customHeight="1">
      <x:c r="A471" s="9" t="n">
        <x:v>463</x:v>
      </x:c>
      <x:c r="B471" s="8" t="str">
        <x:v>สวนดอกไม้เมืองหนาวเบตง</x:v>
      </x:c>
      <x:c r="C471" s="8" t="str">
        <x:v>ยะลา</x:v>
      </x:c>
      <x:c r="D471" s="8" t="str">
        <x:v>มีศักยภาพ แต่ต้องพัฒนามาตรฐาน</x:v>
      </x:c>
      <x:c r="E471" s="8" t="str">
        <x:v>แหล่งท่องเที่ยวทางธรรมชาติ</x:v>
      </x:c>
      <x:c r="F471" s="38" t="n">
        <x:v>46316</x:v>
      </x:c>
      <x:c r="G471" s="8" t="str">
        <x:v>R26-201</x:v>
      </x:c>
      <x:c r="H471" s="39" t="str">
        <x:v>09</x:v>
      </x:c>
      <x:c r="I471" s="8" t="str">
        <x:v>Roots of Faith</x:v>
      </x:c>
      <x:c r="J471" s="8" t="str">
        <x:v>ตัวเลือกเสริม</x:v>
      </x:c>
      <x:c r="K471" s="8" t="str">
        <x:v>ธรรมชาติ</x:v>
      </x:c>
      <x:c r="L471" s="8" t="str">
        <x:f>INDEX('ประเมินเกณฑ์'!$AE$9:$AE$608,MATCH(G471,'ประเมินเกณฑ์'!$A$9:$A$608,0))</x:f>
        <x:v>รอประเมิน</x:v>
      </x:c>
      <x:c r="M471" s="8" t="str">
        <x:v>สถานที่ในจังหวัดเส้นทาง รอตรวจระยะทางและลำดับ</x:v>
      </x:c>
      <x:c r="N471" s="8" t="str">
        <x:v>ยังไม่ยืนยันการเปิดให้บริการปัจจุบัน</x:v>
      </x:c>
      <x:c r="O471" s="40" t="n">
        <x:v>46316</x:v>
      </x:c>
    </x:row>
    <x:row r="472" ht="38" customHeight="1">
      <x:c r="A472" s="9" t="n">
        <x:v>464</x:v>
      </x:c>
      <x:c r="B472" s="8" t="str">
        <x:v>เขื่อนบางลาง</x:v>
      </x:c>
      <x:c r="C472" s="8" t="str">
        <x:v>ยะลา</x:v>
      </x:c>
      <x:c r="D472" s="8" t="str">
        <x:v>มีศักยภาพ แต่ต้องพัฒนามาตรฐาน</x:v>
      </x:c>
      <x:c r="E472" s="8" t="str">
        <x:v>แหล่งท่องเที่ยวทางธรรมชาติ</x:v>
      </x:c>
      <x:c r="F472" s="38" t="n">
        <x:v>46316</x:v>
      </x:c>
      <x:c r="G472" s="8" t="str">
        <x:v>R26-199</x:v>
      </x:c>
      <x:c r="H472" s="39" t="str">
        <x:v>09</x:v>
      </x:c>
      <x:c r="I472" s="8" t="str">
        <x:v>Roots of Faith</x:v>
      </x:c>
      <x:c r="J472" s="8" t="str">
        <x:v>ตัวเลือกเสริม</x:v>
      </x:c>
      <x:c r="K472" s="8" t="str">
        <x:v>ธรรมชาติ</x:v>
      </x:c>
      <x:c r="L472" s="8" t="str">
        <x:f>INDEX('ประเมินเกณฑ์'!$AE$9:$AE$608,MATCH(G472,'ประเมินเกณฑ์'!$A$9:$A$608,0))</x:f>
        <x:v>รอประเมิน</x:v>
      </x:c>
      <x:c r="M472" s="8" t="str">
        <x:v>สถานที่ในจังหวัดเส้นทาง รอตรวจระยะทางและลำดับ</x:v>
      </x:c>
      <x:c r="N472" s="8" t="str">
        <x:v>ยังไม่ยืนยันการเปิดให้บริการปัจจุบัน</x:v>
      </x:c>
      <x:c r="O472" s="40" t="n">
        <x:v>46316</x:v>
      </x:c>
    </x:row>
    <x:row r="473" ht="38" customHeight="1">
      <x:c r="A473" s="9" t="n">
        <x:v>465</x:v>
      </x:c>
      <x:c r="B473" s="8" t="str">
        <x:v>ชุมชนบ้านจุฬาภรณ์พัฒนา 9</x:v>
      </x:c>
      <x:c r="C473" s="8" t="str">
        <x:v>ยะลา</x:v>
      </x:c>
      <x:c r="D473" s="8" t="str">
        <x:v>มีศักยภาพ แต่ต้องพัฒนามาตรฐาน</x:v>
      </x:c>
      <x:c r="E473" s="8" t="str">
        <x:v>ชุมชนท่องเที่ยว</x:v>
      </x:c>
      <x:c r="F473" s="38" t="n">
        <x:v>46316</x:v>
      </x:c>
      <x:c r="G473" s="8" t="str">
        <x:v>R26-202</x:v>
      </x:c>
      <x:c r="H473" s="39" t="str">
        <x:v>09</x:v>
      </x:c>
      <x:c r="I473" s="8" t="str">
        <x:v>Roots of Faith</x:v>
      </x:c>
      <x:c r="J473" s="8" t="str">
        <x:v>ตัวเลือกเสริม</x:v>
      </x:c>
      <x:c r="K473" s="8" t="str">
        <x:v>ชุมชน</x:v>
      </x:c>
      <x:c r="L473" s="8" t="str">
        <x:f>INDEX('ประเมินเกณฑ์'!$AE$9:$AE$608,MATCH(G473,'ประเมินเกณฑ์'!$A$9:$A$608,0))</x:f>
        <x:v>รอประเมิน</x:v>
      </x:c>
      <x:c r="M473" s="8" t="str">
        <x:v>สถานที่ในจังหวัดเส้นทาง รอตรวจระยะทางและลำดับ</x:v>
      </x:c>
      <x:c r="N473" s="8" t="str">
        <x:v>ยังไม่ยืนยันการเปิดให้บริการปัจจุบัน</x:v>
      </x:c>
      <x:c r="O473" s="40" t="n">
        <x:v>46316</x:v>
      </x:c>
    </x:row>
    <x:row r="474" ht="38" customHeight="1">
      <x:c r="A474" s="9" t="n">
        <x:v>466</x:v>
      </x:c>
      <x:c r="B474" s="8" t="str">
        <x:v>ชุมชนบ้านบ่อน้ำร้อน เบตง</x:v>
      </x:c>
      <x:c r="C474" s="8" t="str">
        <x:v>ยะลา</x:v>
      </x:c>
      <x:c r="D474" s="8" t="str">
        <x:v>มีศักยภาพ แต่ต้องพัฒนามาตรฐาน</x:v>
      </x:c>
      <x:c r="E474" s="8" t="str">
        <x:v>ชุมชนท่องเที่ยว</x:v>
      </x:c>
      <x:c r="F474" s="38" t="n">
        <x:v>46316</x:v>
      </x:c>
      <x:c r="G474" s="8" t="str">
        <x:v>R26-203</x:v>
      </x:c>
      <x:c r="H474" s="39" t="str">
        <x:v>09</x:v>
      </x:c>
      <x:c r="I474" s="8" t="str">
        <x:v>Roots of Faith</x:v>
      </x:c>
      <x:c r="J474" s="8" t="str">
        <x:v>ตัวเลือกเสริม</x:v>
      </x:c>
      <x:c r="K474" s="8" t="str">
        <x:v>ชุมชน</x:v>
      </x:c>
      <x:c r="L474" s="8" t="str">
        <x:f>INDEX('ประเมินเกณฑ์'!$AE$9:$AE$608,MATCH(G474,'ประเมินเกณฑ์'!$A$9:$A$608,0))</x:f>
        <x:v>รอประเมิน</x:v>
      </x:c>
      <x:c r="M474" s="8" t="str">
        <x:v>สถานที่ในจังหวัดเส้นทาง รอตรวจระยะทางและลำดับ</x:v>
      </x:c>
      <x:c r="N474" s="8" t="str">
        <x:v>ยังไม่ยืนยันการเปิดให้บริการปัจจุบัน</x:v>
      </x:c>
      <x:c r="O474" s="40" t="n">
        <x:v>46316</x:v>
      </x:c>
    </x:row>
    <x:row r="475" ht="38" customHeight="1">
      <x:c r="A475" s="9" t="n">
        <x:v>467</x:v>
      </x:c>
      <x:c r="B475" s="8" t="str">
        <x:v>ลันเบอร์เกอร์ ท่าศาลา</x:v>
      </x:c>
      <x:c r="C475" s="8" t="str">
        <x:v>นครศรีธรรมราช</x:v>
      </x:c>
      <x:c r="D475" s="8" t="str">
        <x:v>มีศักยภาพ แต่ต้องพัฒนามาตรฐาน</x:v>
      </x:c>
      <x:c r="E475" s="8" t="str">
        <x:v>ร้านอาหารและคาเฟ่</x:v>
      </x:c>
      <x:c r="F475" s="38" t="n">
        <x:v>46316</x:v>
      </x:c>
      <x:c r="G475" s="8" t="str">
        <x:v>R26-099</x:v>
      </x:c>
      <x:c r="H475" s="39" t="str">
        <x:v>10</x:v>
      </x:c>
      <x:c r="I475" s="8" t="str">
        <x:v>Green Heart of the South</x:v>
      </x:c>
      <x:c r="J475" s="8" t="str">
        <x:v>1</x:v>
      </x:c>
      <x:c r="K475" s="8" t="str">
        <x:v>อาหาร</x:v>
      </x:c>
      <x:c r="L475" s="8" t="str">
        <x:f>INDEX('ประเมินเกณฑ์'!$AE$9:$AE$608,MATCH(G475,'ประเมินเกณฑ์'!$A$9:$A$608,0))</x:f>
        <x:v>รอประเมิน</x:v>
      </x:c>
      <x:c r="M475" s="8" t="str">
        <x:v>จุดในเอกสารเส้นทาง</x:v>
      </x:c>
      <x:c r="N475" s="8" t="str">
        <x:v>ยังไม่ยืนยันการเปิดให้บริการปัจจุบัน</x:v>
      </x:c>
      <x:c r="O475" s="40" t="n">
        <x:v>46316</x:v>
      </x:c>
    </x:row>
    <x:row r="476" ht="38" customHeight="1">
      <x:c r="A476" s="9" t="n">
        <x:v>468</x:v>
      </x:c>
      <x:c r="B476" s="8" t="str">
        <x:v>มัสยิดกลางจังหวัดนครศรีธรรมราช</x:v>
      </x:c>
      <x:c r="C476" s="8" t="str">
        <x:v>นครศรีธรรมราช</x:v>
      </x:c>
      <x:c r="D476" s="8" t="str">
        <x:v>มีศักยภาพ แต่ต้องพัฒนามาตรฐาน</x:v>
      </x:c>
      <x:c r="E476" s="8" t="str">
        <x:v>แหล่งท่องเที่ยวทางประวัติศาสตร์และวัฒนธรรม</x:v>
      </x:c>
      <x:c r="F476" s="38" t="n">
        <x:v>46316</x:v>
      </x:c>
      <x:c r="G476" s="8" t="str">
        <x:v>R26-100</x:v>
      </x:c>
      <x:c r="H476" s="39" t="str">
        <x:v>10</x:v>
      </x:c>
      <x:c r="I476" s="8" t="str">
        <x:v>Green Heart of the South</x:v>
      </x:c>
      <x:c r="J476" s="8" t="str">
        <x:v>1</x:v>
      </x:c>
      <x:c r="K476" s="8" t="str">
        <x:v>มัสยิด</x:v>
      </x:c>
      <x:c r="L476" s="8" t="str">
        <x:f>INDEX('ประเมินเกณฑ์'!$AE$9:$AE$608,MATCH(G476,'ประเมินเกณฑ์'!$A$9:$A$608,0))</x:f>
        <x:v>รอประเมิน</x:v>
      </x:c>
      <x:c r="M476" s="8" t="str">
        <x:v>จุดในเอกสารเส้นทาง</x:v>
      </x:c>
      <x:c r="N476" s="8" t="str">
        <x:v>ยังไม่ยืนยันการเปิดให้บริการปัจจุบัน</x:v>
      </x:c>
      <x:c r="O476" s="40" t="n">
        <x:v>46316</x:v>
      </x:c>
    </x:row>
    <x:row r="477" ht="38" customHeight="1">
      <x:c r="A477" s="9" t="n">
        <x:v>469</x:v>
      </x:c>
      <x:c r="B477" s="8" t="str">
        <x:v>เมืองเก่านครศรีธรรมราช</x:v>
      </x:c>
      <x:c r="C477" s="8" t="str">
        <x:v>นครศรีธรรมราช</x:v>
      </x:c>
      <x:c r="D477" s="8" t="str">
        <x:v>มีศักยภาพ แต่ต้องพัฒนามาตรฐาน</x:v>
      </x:c>
      <x:c r="E477" s="8" t="str">
        <x:v>แหล่งท่องเที่ยวทางประวัติศาสตร์และวัฒนธรรม</x:v>
      </x:c>
      <x:c r="F477" s="38" t="n">
        <x:v>46316</x:v>
      </x:c>
      <x:c r="G477" s="8" t="str">
        <x:v>R26-103</x:v>
      </x:c>
      <x:c r="H477" s="39" t="str">
        <x:v>10</x:v>
      </x:c>
      <x:c r="I477" s="8" t="str">
        <x:v>Green Heart of the South</x:v>
      </x:c>
      <x:c r="J477" s="8" t="str">
        <x:v>1</x:v>
      </x:c>
      <x:c r="K477" s="8" t="str">
        <x:v>ประวัติ</x:v>
      </x:c>
      <x:c r="L477" s="8" t="str">
        <x:f>INDEX('ประเมินเกณฑ์'!$AE$9:$AE$608,MATCH(G477,'ประเมินเกณฑ์'!$A$9:$A$608,0))</x:f>
        <x:v>รอประเมิน</x:v>
      </x:c>
      <x:c r="M477" s="8" t="str">
        <x:v>จุดในเอกสารเส้นทาง</x:v>
      </x:c>
      <x:c r="N477" s="8" t="str">
        <x:v>ยังไม่ยืนยันการเปิดให้บริการปัจจุบัน</x:v>
      </x:c>
      <x:c r="O477" s="40" t="n">
        <x:v>46316</x:v>
      </x:c>
    </x:row>
    <x:row r="478" ht="38" customHeight="1">
      <x:c r="A478" s="9" t="n">
        <x:v>470</x:v>
      </x:c>
      <x:c r="B478" s="8" t="str">
        <x:v>ชุมชนบ้านคีรีวง</x:v>
      </x:c>
      <x:c r="C478" s="8" t="str">
        <x:v>นครศรีธรรมราช</x:v>
      </x:c>
      <x:c r="D478" s="8" t="str">
        <x:v>มีศักยภาพ แต่ต้องพัฒนามาตรฐาน</x:v>
      </x:c>
      <x:c r="E478" s="8" t="str">
        <x:v>ชุมชนท่องเที่ยว</x:v>
      </x:c>
      <x:c r="F478" s="38" t="n">
        <x:v>46316</x:v>
      </x:c>
      <x:c r="G478" s="8" t="str">
        <x:v>R26-101</x:v>
      </x:c>
      <x:c r="H478" s="39" t="str">
        <x:v>10</x:v>
      </x:c>
      <x:c r="I478" s="8" t="str">
        <x:v>Green Heart of the South</x:v>
      </x:c>
      <x:c r="J478" s="8" t="str">
        <x:v>1</x:v>
      </x:c>
      <x:c r="K478" s="8" t="str">
        <x:v>ชุมชน</x:v>
      </x:c>
      <x:c r="L478" s="8" t="str">
        <x:f>INDEX('ประเมินเกณฑ์'!$AE$9:$AE$608,MATCH(G478,'ประเมินเกณฑ์'!$A$9:$A$608,0))</x:f>
        <x:v>รอประเมิน</x:v>
      </x:c>
      <x:c r="M478" s="8" t="str">
        <x:v>จุดในเอกสารเส้นทาง</x:v>
      </x:c>
      <x:c r="N478" s="8" t="str">
        <x:v>ยังไม่ยืนยันการเปิดให้บริการปัจจุบัน</x:v>
      </x:c>
      <x:c r="O478" s="40" t="n">
        <x:v>46316</x:v>
      </x:c>
    </x:row>
    <x:row r="479" ht="38" customHeight="1">
      <x:c r="A479" s="9" t="n">
        <x:v>471</x:v>
      </x:c>
      <x:c r="B479" s="8" t="str">
        <x:v>KIREE มัดย้อมสีธรรมชาติบ้านคีรีวง</x:v>
      </x:c>
      <x:c r="C479" s="8" t="str">
        <x:v>นครศรีธรรมราช</x:v>
      </x:c>
      <x:c r="D479" s="8" t="str">
        <x:v>มีศักยภาพ แต่ต้องพัฒนามาตรฐาน</x:v>
      </x:c>
      <x:c r="E479" s="8" t="str">
        <x:v>ศูนย์กิจกรรมและนันทนาการ</x:v>
      </x:c>
      <x:c r="F479" s="38" t="n">
        <x:v>46316</x:v>
      </x:c>
      <x:c r="G479" s="8" t="str">
        <x:v>R26-102</x:v>
      </x:c>
      <x:c r="H479" s="39" t="str">
        <x:v>10</x:v>
      </x:c>
      <x:c r="I479" s="8" t="str">
        <x:v>Green Heart of the South</x:v>
      </x:c>
      <x:c r="J479" s="8" t="str">
        <x:v>1</x:v>
      </x:c>
      <x:c r="K479" s="8" t="str">
        <x:v>กิจกรรม</x:v>
      </x:c>
      <x:c r="L479" s="8" t="str">
        <x:f>INDEX('ประเมินเกณฑ์'!$AE$9:$AE$608,MATCH(G479,'ประเมินเกณฑ์'!$A$9:$A$608,0))</x:f>
        <x:v>รอประเมิน</x:v>
      </x:c>
      <x:c r="M479" s="8" t="str">
        <x:v>จุดในเอกสารเส้นทาง</x:v>
      </x:c>
      <x:c r="N479" s="8" t="str">
        <x:v>ยังไม่ยืนยันการเปิดให้บริการปัจจุบัน</x:v>
      </x:c>
      <x:c r="O479" s="40" t="n">
        <x:v>46316</x:v>
      </x:c>
    </x:row>
    <x:row r="480" ht="38" customHeight="1">
      <x:c r="A480" s="9" t="n">
        <x:v>472</x:v>
      </x:c>
      <x:c r="B480" s="8" t="str">
        <x:v>I Lay Resort Sichon</x:v>
      </x:c>
      <x:c r="C480" s="8" t="str">
        <x:v>นครศรีธรรมราช</x:v>
      </x:c>
      <x:c r="D480" s="8" t="str">
        <x:v>พร้อมขาย</x:v>
      </x:c>
      <x:c r="E480" s="8" t="str">
        <x:v>ที่พัก</x:v>
      </x:c>
      <x:c r="F480" s="38" t="n">
        <x:v>46316</x:v>
      </x:c>
      <x:c r="G480" s="8" t="str">
        <x:v>TMF-136</x:v>
      </x:c>
      <x:c r="H480" s="39" t="str">
        <x:v>10</x:v>
      </x:c>
      <x:c r="I480" s="8" t="str">
        <x:v>Green Heart of the South</x:v>
      </x:c>
      <x:c r="J480" s="8" t="str">
        <x:v>ตัวเลือกเสริม</x:v>
      </x:c>
      <x:c r="K480" s="8" t="str">
        <x:v>โรงแรมหรือรีสอร์ท</x:v>
      </x:c>
      <x:c r="L480" s="8" t="str">
        <x:f>INDEX('ประเมินเกณฑ์'!$AE$9:$AE$608,MATCH(G480,'ประเมินเกณฑ์'!$A$9:$A$608,0))</x:f>
        <x:v>รอประเมิน</x:v>
      </x:c>
      <x:c r="M480" s="8" t="str">
        <x:v>สถานที่ในจังหวัดเส้นทาง รอตรวจระยะทางและลำดับ</x:v>
      </x:c>
      <x:c r="N480" s="8" t="str">
        <x:v>ยังไม่ยืนยันการเปิดให้บริการปัจจุบัน</x:v>
      </x:c>
      <x:c r="O480" s="40" t="n">
        <x:v>46315</x:v>
      </x:c>
    </x:row>
    <x:row r="481" ht="38" customHeight="1">
      <x:c r="A481" s="9" t="n">
        <x:v>473</x:v>
      </x:c>
      <x:c r="B481" s="8" t="str">
        <x:v>โรงแรมทวินโลตัส จำกัด</x:v>
      </x:c>
      <x:c r="C481" s="8" t="str">
        <x:v>นครศรีธรรมราช</x:v>
      </x:c>
      <x:c r="D481" s="8" t="str">
        <x:v>พัฒนาเพื่อพร้อมขาย</x:v>
      </x:c>
      <x:c r="E481" s="8" t="str">
        <x:v>ที่พัก</x:v>
      </x:c>
      <x:c r="F481" s="38" t="n">
        <x:v>46316</x:v>
      </x:c>
      <x:c r="G481" s="8" t="str">
        <x:v>TMF-359</x:v>
      </x:c>
      <x:c r="H481" s="39" t="str">
        <x:v>10</x:v>
      </x:c>
      <x:c r="I481" s="8" t="str">
        <x:v>Green Heart of the South</x:v>
      </x:c>
      <x:c r="J481" s="8" t="str">
        <x:v>ตัวเลือกเสริม</x:v>
      </x:c>
      <x:c r="K481" s="8" t="str">
        <x:v>โรงแรมหรือรีสอร์ท</x:v>
      </x:c>
      <x:c r="L481" s="8" t="str">
        <x:f>INDEX('ประเมินเกณฑ์'!$AE$9:$AE$608,MATCH(G481,'ประเมินเกณฑ์'!$A$9:$A$608,0))</x:f>
        <x:v>รอประเมิน</x:v>
      </x:c>
      <x:c r="M481" s="8" t="str">
        <x:v>สถานที่ในจังหวัดเส้นทาง รอตรวจระยะทางและลำดับ</x:v>
      </x:c>
      <x:c r="N481" s="8" t="str">
        <x:v>ยังไม่ยืนยันการเปิดให้บริการปัจจุบัน</x:v>
      </x:c>
      <x:c r="O481" s="40" t="n">
        <x:v>46315</x:v>
      </x:c>
    </x:row>
    <x:row r="482" ht="38" customHeight="1">
      <x:c r="A482" s="9" t="n">
        <x:v>474</x:v>
      </x:c>
      <x:c r="B482" s="8" t="str">
        <x:v>Kamin Halal Kitchen House</x:v>
      </x:c>
      <x:c r="C482" s="8" t="str">
        <x:v>นครศรีธรรมราช</x:v>
      </x:c>
      <x:c r="D482" s="8" t="str">
        <x:v>พร้อมขาย</x:v>
      </x:c>
      <x:c r="E482" s="8" t="str">
        <x:v>ร้านอาหารและคาเฟ่</x:v>
      </x:c>
      <x:c r="F482" s="38" t="n">
        <x:v>46316</x:v>
      </x:c>
      <x:c r="G482" s="8" t="str">
        <x:v>TMF-138</x:v>
      </x:c>
      <x:c r="H482" s="39" t="str">
        <x:v>10</x:v>
      </x:c>
      <x:c r="I482" s="8" t="str">
        <x:v>Green Heart of the South</x:v>
      </x:c>
      <x:c r="J482" s="8" t="str">
        <x:v>ตัวเลือกเสริม</x:v>
      </x:c>
      <x:c r="K482" s="8" t="str">
        <x:v>ร้านอาหาร</x:v>
      </x:c>
      <x:c r="L482" s="8" t="str">
        <x:f>INDEX('ประเมินเกณฑ์'!$AE$9:$AE$608,MATCH(G482,'ประเมินเกณฑ์'!$A$9:$A$608,0))</x:f>
        <x:v>รอประเมิน</x:v>
      </x:c>
      <x:c r="M482" s="8" t="str">
        <x:v>สถานที่ในจังหวัดเส้นทาง รอตรวจระยะทางและลำดับ</x:v>
      </x:c>
      <x:c r="N482" s="8" t="str">
        <x:v>ยังไม่ยืนยันการเปิดให้บริการปัจจุบัน</x:v>
      </x:c>
      <x:c r="O482" s="40" t="n">
        <x:v>46315</x:v>
      </x:c>
    </x:row>
    <x:row r="483" ht="38" customHeight="1">
      <x:c r="A483" s="9" t="n">
        <x:v>475</x:v>
      </x:c>
      <x:c r="B483" s="8" t="str">
        <x:v>ของบังดี ฮาลาลช็อป นครศรีธรรมราช</x:v>
      </x:c>
      <x:c r="C483" s="8" t="str">
        <x:v>นครศรีธรรมราช</x:v>
      </x:c>
      <x:c r="D483" s="8" t="str">
        <x:v>พร้อมขาย</x:v>
      </x:c>
      <x:c r="E483" s="8" t="str">
        <x:v>ร้านอาหารและคาเฟ่</x:v>
      </x:c>
      <x:c r="F483" s="38" t="n">
        <x:v>46316</x:v>
      </x:c>
      <x:c r="G483" s="8" t="str">
        <x:v>TMF-139</x:v>
      </x:c>
      <x:c r="H483" s="39" t="str">
        <x:v>10</x:v>
      </x:c>
      <x:c r="I483" s="8" t="str">
        <x:v>Green Heart of the South</x:v>
      </x:c>
      <x:c r="J483" s="8" t="str">
        <x:v>ตัวเลือกเสริม</x:v>
      </x:c>
      <x:c r="K483" s="8" t="str">
        <x:v>ร้านอาหาร</x:v>
      </x:c>
      <x:c r="L483" s="8" t="str">
        <x:f>INDEX('ประเมินเกณฑ์'!$AE$9:$AE$608,MATCH(G483,'ประเมินเกณฑ์'!$A$9:$A$608,0))</x:f>
        <x:v>รอประเมิน</x:v>
      </x:c>
      <x:c r="M483" s="8" t="str">
        <x:v>สถานที่ในจังหวัดเส้นทาง รอตรวจระยะทางและลำดับ</x:v>
      </x:c>
      <x:c r="N483" s="8" t="str">
        <x:v>ยังไม่ยืนยันการเปิดให้บริการปัจจุบัน</x:v>
      </x:c>
      <x:c r="O483" s="40" t="n">
        <x:v>46315</x:v>
      </x:c>
    </x:row>
    <x:row r="484" ht="38" customHeight="1">
      <x:c r="A484" s="9" t="n">
        <x:v>476</x:v>
      </x:c>
      <x:c r="B484" s="8" t="str">
        <x:v>ข้าวซอยสุธินี</x:v>
      </x:c>
      <x:c r="C484" s="8" t="str">
        <x:v>นครศรีธรรมราช</x:v>
      </x:c>
      <x:c r="D484" s="8" t="str">
        <x:v>พร้อมขาย</x:v>
      </x:c>
      <x:c r="E484" s="8" t="str">
        <x:v>ร้านอาหารและคาเฟ่</x:v>
      </x:c>
      <x:c r="F484" s="38" t="n">
        <x:v>46316</x:v>
      </x:c>
      <x:c r="G484" s="8" t="str">
        <x:v>TMF-140</x:v>
      </x:c>
      <x:c r="H484" s="39" t="str">
        <x:v>10</x:v>
      </x:c>
      <x:c r="I484" s="8" t="str">
        <x:v>Green Heart of the South</x:v>
      </x:c>
      <x:c r="J484" s="8" t="str">
        <x:v>ตัวเลือกเสริม</x:v>
      </x:c>
      <x:c r="K484" s="8" t="str">
        <x:v>ร้านอาหาร</x:v>
      </x:c>
      <x:c r="L484" s="8" t="str">
        <x:f>INDEX('ประเมินเกณฑ์'!$AE$9:$AE$608,MATCH(G484,'ประเมินเกณฑ์'!$A$9:$A$608,0))</x:f>
        <x:v>รอประเมิน</x:v>
      </x:c>
      <x:c r="M484" s="8" t="str">
        <x:v>สถานที่ในจังหวัดเส้นทาง รอตรวจระยะทางและลำดับ</x:v>
      </x:c>
      <x:c r="N484" s="8" t="str">
        <x:v>ยังไม่ยืนยันการเปิดให้บริการปัจจุบัน</x:v>
      </x:c>
      <x:c r="O484" s="40" t="n">
        <x:v>46315</x:v>
      </x:c>
    </x:row>
    <x:row r="485" ht="38" customHeight="1">
      <x:c r="A485" s="9" t="n">
        <x:v>477</x:v>
      </x:c>
      <x:c r="B485" s="8" t="str">
        <x:v>ดั้งเดิม คาเฟ่ในสวนและขนมจีน</x:v>
      </x:c>
      <x:c r="C485" s="8" t="str">
        <x:v>นครศรีธรรมราช</x:v>
      </x:c>
      <x:c r="D485" s="8" t="str">
        <x:v>พร้อมขาย</x:v>
      </x:c>
      <x:c r="E485" s="8" t="str">
        <x:v>ร้านอาหารและคาเฟ่</x:v>
      </x:c>
      <x:c r="F485" s="38" t="n">
        <x:v>46316</x:v>
      </x:c>
      <x:c r="G485" s="8" t="str">
        <x:v>TMF-142</x:v>
      </x:c>
      <x:c r="H485" s="39" t="str">
        <x:v>10</x:v>
      </x:c>
      <x:c r="I485" s="8" t="str">
        <x:v>Green Heart of the South</x:v>
      </x:c>
      <x:c r="J485" s="8" t="str">
        <x:v>ตัวเลือกเสริม</x:v>
      </x:c>
      <x:c r="K485" s="8" t="str">
        <x:v>คาเฟ่และร้านของหวาน</x:v>
      </x:c>
      <x:c r="L485" s="8" t="str">
        <x:f>INDEX('ประเมินเกณฑ์'!$AE$9:$AE$608,MATCH(G485,'ประเมินเกณฑ์'!$A$9:$A$608,0))</x:f>
        <x:v>รอประเมิน</x:v>
      </x:c>
      <x:c r="M485" s="8" t="str">
        <x:v>สถานที่ในจังหวัดเส้นทาง รอตรวจระยะทางและลำดับ</x:v>
      </x:c>
      <x:c r="N485" s="8" t="str">
        <x:v>ยังไม่ยืนยันการเปิดให้บริการปัจจุบัน</x:v>
      </x:c>
      <x:c r="O485" s="40" t="n">
        <x:v>46315</x:v>
      </x:c>
    </x:row>
    <x:row r="486" ht="38" customHeight="1">
      <x:c r="A486" s="9" t="n">
        <x:v>478</x:v>
      </x:c>
      <x:c r="B486" s="8" t="str">
        <x:v>เพชรปิยะซีฟู้ด</x:v>
      </x:c>
      <x:c r="C486" s="8" t="str">
        <x:v>นครศรีธรรมราช</x:v>
      </x:c>
      <x:c r="D486" s="8" t="str">
        <x:v>พร้อมขาย</x:v>
      </x:c>
      <x:c r="E486" s="8" t="str">
        <x:v>ร้านอาหารและคาเฟ่</x:v>
      </x:c>
      <x:c r="F486" s="38" t="n">
        <x:v>46316</x:v>
      </x:c>
      <x:c r="G486" s="8" t="str">
        <x:v>TMF-143</x:v>
      </x:c>
      <x:c r="H486" s="39" t="str">
        <x:v>10</x:v>
      </x:c>
      <x:c r="I486" s="8" t="str">
        <x:v>Green Heart of the South</x:v>
      </x:c>
      <x:c r="J486" s="8" t="str">
        <x:v>ตัวเลือกเสริม</x:v>
      </x:c>
      <x:c r="K486" s="8" t="str">
        <x:v>ร้านอาหาร</x:v>
      </x:c>
      <x:c r="L486" s="8" t="str">
        <x:f>INDEX('ประเมินเกณฑ์'!$AE$9:$AE$608,MATCH(G486,'ประเมินเกณฑ์'!$A$9:$A$608,0))</x:f>
        <x:v>รอประเมิน</x:v>
      </x:c>
      <x:c r="M486" s="8" t="str">
        <x:v>สถานที่ในจังหวัดเส้นทาง รอตรวจระยะทางและลำดับ</x:v>
      </x:c>
      <x:c r="N486" s="8" t="str">
        <x:v>ยังไม่ยืนยันการเปิดให้บริการปัจจุบัน</x:v>
      </x:c>
      <x:c r="O486" s="40" t="n">
        <x:v>46315</x:v>
      </x:c>
    </x:row>
    <x:row r="487" ht="38" customHeight="1">
      <x:c r="A487" s="9" t="n">
        <x:v>479</x:v>
      </x:c>
      <x:c r="B487" s="8" t="str">
        <x:v>Central Nakhon Si</x:v>
      </x:c>
      <x:c r="C487" s="8" t="str">
        <x:v>นครศรีธรรมราช</x:v>
      </x:c>
      <x:c r="D487" s="8" t="str">
        <x:v>มีศักยภาพ แต่ต้องพัฒนามาตรฐาน</x:v>
      </x:c>
      <x:c r="E487" s="8" t="str">
        <x:v>ศูนย์การค้า</x:v>
      </x:c>
      <x:c r="F487" s="38" t="n">
        <x:v>46316</x:v>
      </x:c>
      <x:c r="G487" s="8" t="str">
        <x:v>R26-271</x:v>
      </x:c>
      <x:c r="H487" s="39" t="str">
        <x:v>10</x:v>
      </x:c>
      <x:c r="I487" s="8" t="str">
        <x:v>Green Heart of the South</x:v>
      </x:c>
      <x:c r="J487" s="8" t="str">
        <x:v>ตัวเลือกเสริม</x:v>
      </x:c>
      <x:c r="K487" s="8" t="str">
        <x:v>การค้า</x:v>
      </x:c>
      <x:c r="L487" s="8" t="str">
        <x:f>INDEX('ประเมินเกณฑ์'!$AE$9:$AE$608,MATCH(G487,'ประเมินเกณฑ์'!$A$9:$A$608,0))</x:f>
        <x:v>รอประเมิน</x:v>
      </x:c>
      <x:c r="M487" s="8" t="str">
        <x:v>สถานที่ในจังหวัดเส้นทาง รอตรวจระยะทางและลำดับ</x:v>
      </x:c>
      <x:c r="N487" s="8" t="str">
        <x:v>ยังไม่ยืนยันการเปิดให้บริการปัจจุบัน</x:v>
      </x:c>
      <x:c r="O487" s="40" t="n">
        <x:v>46316</x:v>
      </x:c>
    </x:row>
    <x:row r="488" ht="38" customHeight="1">
      <x:c r="A488" s="9" t="n">
        <x:v>480</x:v>
      </x:c>
      <x:c r="B488" s="8" t="str">
        <x:v>น้ำตกกรุงชิง</x:v>
      </x:c>
      <x:c r="C488" s="8" t="str">
        <x:v>นครศรีธรรมราช</x:v>
      </x:c>
      <x:c r="D488" s="8" t="str">
        <x:v>มีศักยภาพ แต่ต้องพัฒนามาตรฐาน</x:v>
      </x:c>
      <x:c r="E488" s="8" t="str">
        <x:v>แหล่งท่องเที่ยวทางธรรมชาติ</x:v>
      </x:c>
      <x:c r="F488" s="38" t="n">
        <x:v>46316</x:v>
      </x:c>
      <x:c r="G488" s="8" t="str">
        <x:v>R26-205</x:v>
      </x:c>
      <x:c r="H488" s="39" t="str">
        <x:v>10</x:v>
      </x:c>
      <x:c r="I488" s="8" t="str">
        <x:v>Green Heart of the South</x:v>
      </x:c>
      <x:c r="J488" s="8" t="str">
        <x:v>ตัวเลือกเสริม</x:v>
      </x:c>
      <x:c r="K488" s="8" t="str">
        <x:v>ธรรมชาติ</x:v>
      </x:c>
      <x:c r="L488" s="8" t="str">
        <x:f>INDEX('ประเมินเกณฑ์'!$AE$9:$AE$608,MATCH(G488,'ประเมินเกณฑ์'!$A$9:$A$608,0))</x:f>
        <x:v>รอประเมิน</x:v>
      </x:c>
      <x:c r="M488" s="8" t="str">
        <x:v>สถานที่ในจังหวัดเส้นทาง รอตรวจระยะทางและลำดับ</x:v>
      </x:c>
      <x:c r="N488" s="8" t="str">
        <x:v>ยังไม่ยืนยันการเปิดให้บริการปัจจุบัน</x:v>
      </x:c>
      <x:c r="O488" s="40" t="n">
        <x:v>46316</x:v>
      </x:c>
    </x:row>
    <x:row r="489" ht="38" customHeight="1">
      <x:c r="A489" s="9" t="n">
        <x:v>481</x:v>
      </x:c>
      <x:c r="B489" s="8" t="str">
        <x:v>หาดขนอม</x:v>
      </x:c>
      <x:c r="C489" s="8" t="str">
        <x:v>นครศรีธรรมราช</x:v>
      </x:c>
      <x:c r="D489" s="8" t="str">
        <x:v>มีศักยภาพ แต่ต้องพัฒนามาตรฐาน</x:v>
      </x:c>
      <x:c r="E489" s="8" t="str">
        <x:v>แหล่งท่องเที่ยวทางธรรมชาติ</x:v>
      </x:c>
      <x:c r="F489" s="38" t="n">
        <x:v>46316</x:v>
      </x:c>
      <x:c r="G489" s="8" t="str">
        <x:v>R26-206</x:v>
      </x:c>
      <x:c r="H489" s="39" t="str">
        <x:v>10</x:v>
      </x:c>
      <x:c r="I489" s="8" t="str">
        <x:v>Green Heart of the South</x:v>
      </x:c>
      <x:c r="J489" s="8" t="str">
        <x:v>ตัวเลือกเสริม</x:v>
      </x:c>
      <x:c r="K489" s="8" t="str">
        <x:v>ธรรมชาติ</x:v>
      </x:c>
      <x:c r="L489" s="8" t="str">
        <x:f>INDEX('ประเมินเกณฑ์'!$AE$9:$AE$608,MATCH(G489,'ประเมินเกณฑ์'!$A$9:$A$608,0))</x:f>
        <x:v>รอประเมิน</x:v>
      </x:c>
      <x:c r="M489" s="8" t="str">
        <x:v>สถานที่ในจังหวัดเส้นทาง รอตรวจระยะทางและลำดับ</x:v>
      </x:c>
      <x:c r="N489" s="8" t="str">
        <x:v>ยังไม่ยืนยันการเปิดให้บริการปัจจุบัน</x:v>
      </x:c>
      <x:c r="O489" s="40" t="n">
        <x:v>46316</x:v>
      </x:c>
    </x:row>
    <x:row r="490" ht="38" customHeight="1">
      <x:c r="A490" s="9" t="n">
        <x:v>482</x:v>
      </x:c>
      <x:c r="B490" s="8" t="str">
        <x:v>อุทยานแห่งชาติเขาหลวง</x:v>
      </x:c>
      <x:c r="C490" s="8" t="str">
        <x:v>นครศรีธรรมราช</x:v>
      </x:c>
      <x:c r="D490" s="8" t="str">
        <x:v>มีศักยภาพ แต่ต้องพัฒนามาตรฐาน</x:v>
      </x:c>
      <x:c r="E490" s="8" t="str">
        <x:v>แหล่งท่องเที่ยวทางธรรมชาติ</x:v>
      </x:c>
      <x:c r="F490" s="38" t="n">
        <x:v>46316</x:v>
      </x:c>
      <x:c r="G490" s="8" t="str">
        <x:v>R26-204</x:v>
      </x:c>
      <x:c r="H490" s="39" t="str">
        <x:v>10</x:v>
      </x:c>
      <x:c r="I490" s="8" t="str">
        <x:v>Green Heart of the South</x:v>
      </x:c>
      <x:c r="J490" s="8" t="str">
        <x:v>ตัวเลือกเสริม</x:v>
      </x:c>
      <x:c r="K490" s="8" t="str">
        <x:v>ธรรมชาติ</x:v>
      </x:c>
      <x:c r="L490" s="8" t="str">
        <x:f>INDEX('ประเมินเกณฑ์'!$AE$9:$AE$608,MATCH(G490,'ประเมินเกณฑ์'!$A$9:$A$608,0))</x:f>
        <x:v>รอประเมิน</x:v>
      </x:c>
      <x:c r="M490" s="8" t="str">
        <x:v>สถานที่ในจังหวัดเส้นทาง รอตรวจระยะทางและลำดับ</x:v>
      </x:c>
      <x:c r="N490" s="8" t="str">
        <x:v>ยังไม่ยืนยันการเปิดให้บริการปัจจุบัน</x:v>
      </x:c>
      <x:c r="O490" s="40" t="n">
        <x:v>46316</x:v>
      </x:c>
    </x:row>
    <x:row r="491" ht="38" customHeight="1">
      <x:c r="A491" s="9" t="n">
        <x:v>483</x:v>
      </x:c>
      <x:c r="B491" s="8" t="str">
        <x:v>บ้านหนังตะลุงสุชาติ ทรัพย์สิน</x:v>
      </x:c>
      <x:c r="C491" s="8" t="str">
        <x:v>นครศรีธรรมราช</x:v>
      </x:c>
      <x:c r="D491" s="8" t="str">
        <x:v>มีศักยภาพ แต่ต้องพัฒนามาตรฐาน</x:v>
      </x:c>
      <x:c r="E491" s="8" t="str">
        <x:v>แหล่งท่องเที่ยวทางประวัติศาสตร์และวัฒนธรรม</x:v>
      </x:c>
      <x:c r="F491" s="38" t="n">
        <x:v>46316</x:v>
      </x:c>
      <x:c r="G491" s="8" t="str">
        <x:v>R26-310</x:v>
      </x:c>
      <x:c r="H491" s="39" t="str">
        <x:v>10</x:v>
      </x:c>
      <x:c r="I491" s="8" t="str">
        <x:v>Green Heart of the South</x:v>
      </x:c>
      <x:c r="J491" s="8" t="str">
        <x:v>ตัวเลือกเสริม</x:v>
      </x:c>
      <x:c r="K491" s="8" t="str">
        <x:v>พิพิธภัณฑ์หรือแหล่งเรียนรู้วัฒนธรรม</x:v>
      </x:c>
      <x:c r="L491" s="8" t="str">
        <x:f>INDEX('ประเมินเกณฑ์'!$AE$9:$AE$608,MATCH(G491,'ประเมินเกณฑ์'!$A$9:$A$608,0))</x:f>
        <x:v>รอประเมิน</x:v>
      </x:c>
      <x:c r="M491" s="8" t="str">
        <x:v>สถานที่ในจังหวัดเส้นทาง รอตรวจระยะทางและลำดับ</x:v>
      </x:c>
      <x:c r="N491" s="8" t="str">
        <x:v>ยังไม่ยืนยันการเปิดให้บริการปัจจุบัน</x:v>
      </x:c>
      <x:c r="O491" s="40" t="n">
        <x:v>46316</x:v>
      </x:c>
    </x:row>
    <x:row r="492" ht="38" customHeight="1">
      <x:c r="A492" s="9" t="n">
        <x:v>484</x:v>
      </x:c>
      <x:c r="B492" s="8" t="str">
        <x:v>ชุมชนบ้านแหลม</x:v>
      </x:c>
      <x:c r="C492" s="8" t="str">
        <x:v>นครศรีธรรมราช</x:v>
      </x:c>
      <x:c r="D492" s="8" t="str">
        <x:v>พัฒนาเพื่อพร้อมขาย</x:v>
      </x:c>
      <x:c r="E492" s="8" t="str">
        <x:v>ชุมชนท่องเที่ยว</x:v>
      </x:c>
      <x:c r="F492" s="38" t="n">
        <x:v>46316</x:v>
      </x:c>
      <x:c r="G492" s="8" t="str">
        <x:v>TMF-358</x:v>
      </x:c>
      <x:c r="H492" s="39" t="str">
        <x:v>10</x:v>
      </x:c>
      <x:c r="I492" s="8" t="str">
        <x:v>Green Heart of the South</x:v>
      </x:c>
      <x:c r="J492" s="8" t="str">
        <x:v>ตัวเลือกเสริม</x:v>
      </x:c>
      <x:c r="K492" s="8" t="str">
        <x:v>ชุมชนมุสลิมประมงและป่าชายเลน</x:v>
      </x:c>
      <x:c r="L492" s="8" t="str">
        <x:f>INDEX('ประเมินเกณฑ์'!$AE$9:$AE$608,MATCH(G492,'ประเมินเกณฑ์'!$A$9:$A$608,0))</x:f>
        <x:v>รอประเมิน</x:v>
      </x:c>
      <x:c r="M492" s="8" t="str">
        <x:v>สถานที่ในจังหวัดเส้นทาง รอตรวจระยะทางและลำดับ</x:v>
      </x:c>
      <x:c r="N492" s="8" t="str">
        <x:v>ยังไม่ยืนยันการเปิดให้บริการปัจจุบัน</x:v>
      </x:c>
      <x:c r="O492" s="40" t="n">
        <x:v>46316</x:v>
      </x:c>
    </x:row>
    <x:row r="493" ht="38" customHeight="1">
      <x:c r="A493" s="9" t="n">
        <x:v>485</x:v>
      </x:c>
      <x:c r="B493" s="8" t="str">
        <x:v>ชุมชนบ้านแหลมประทับ</x:v>
      </x:c>
      <x:c r="C493" s="8" t="str">
        <x:v>นครศรีธรรมราช</x:v>
      </x:c>
      <x:c r="D493" s="8" t="str">
        <x:v>มีศักยภาพ แต่ต้องพัฒนามาตรฐาน</x:v>
      </x:c>
      <x:c r="E493" s="8" t="str">
        <x:v>ชุมชนท่องเที่ยว</x:v>
      </x:c>
      <x:c r="F493" s="38" t="n">
        <x:v>46316</x:v>
      </x:c>
      <x:c r="G493" s="8" t="str">
        <x:v>R26-208</x:v>
      </x:c>
      <x:c r="H493" s="39" t="str">
        <x:v>10</x:v>
      </x:c>
      <x:c r="I493" s="8" t="str">
        <x:v>Green Heart of the South</x:v>
      </x:c>
      <x:c r="J493" s="8" t="str">
        <x:v>ตัวเลือกเสริม</x:v>
      </x:c>
      <x:c r="K493" s="8" t="str">
        <x:v>ชุมชน</x:v>
      </x:c>
      <x:c r="L493" s="8" t="str">
        <x:f>INDEX('ประเมินเกณฑ์'!$AE$9:$AE$608,MATCH(G493,'ประเมินเกณฑ์'!$A$9:$A$608,0))</x:f>
        <x:v>รอประเมิน</x:v>
      </x:c>
      <x:c r="M493" s="8" t="str">
        <x:v>สถานที่ในจังหวัดเส้นทาง รอตรวจระยะทางและลำดับ</x:v>
      </x:c>
      <x:c r="N493" s="8" t="str">
        <x:v>ยังไม่ยืนยันการเปิดให้บริการปัจจุบัน</x:v>
      </x:c>
      <x:c r="O493" s="40" t="n">
        <x:v>46316</x:v>
      </x:c>
    </x:row>
    <x:row r="494" ht="38" customHeight="1">
      <x:c r="A494" s="9" t="n">
        <x:v>486</x:v>
      </x:c>
      <x:c r="B494" s="8" t="str">
        <x:v>โรงแรมศิวา รอยัล พัทลุง</x:v>
      </x:c>
      <x:c r="C494" s="8" t="str">
        <x:v>พัทลุง</x:v>
      </x:c>
      <x:c r="D494" s="8" t="str">
        <x:v>มีศักยภาพ แต่ต้องพัฒนามาตรฐาน</x:v>
      </x:c>
      <x:c r="E494" s="8" t="str">
        <x:v>ที่พัก</x:v>
      </x:c>
      <x:c r="F494" s="38" t="n">
        <x:v>46316</x:v>
      </x:c>
      <x:c r="G494" s="8" t="str">
        <x:v>R26-105</x:v>
      </x:c>
      <x:c r="H494" s="39" t="str">
        <x:v>10</x:v>
      </x:c>
      <x:c r="I494" s="8" t="str">
        <x:v>Green Heart of the South</x:v>
      </x:c>
      <x:c r="J494" s="8" t="str">
        <x:v>1</x:v>
      </x:c>
      <x:c r="K494" s="8" t="str">
        <x:v>ที่พัก</x:v>
      </x:c>
      <x:c r="L494" s="8" t="str">
        <x:f>INDEX('ประเมินเกณฑ์'!$AE$9:$AE$608,MATCH(G494,'ประเมินเกณฑ์'!$A$9:$A$608,0))</x:f>
        <x:v>รอประเมิน</x:v>
      </x:c>
      <x:c r="M494" s="8" t="str">
        <x:v>จุดในเอกสารเส้นทาง</x:v>
      </x:c>
      <x:c r="N494" s="8" t="str">
        <x:v>ยังไม่ยืนยันการเปิดให้บริการปัจจุบัน</x:v>
      </x:c>
      <x:c r="O494" s="40" t="n">
        <x:v>46316</x:v>
      </x:c>
    </x:row>
    <x:row r="495" ht="38" customHeight="1">
      <x:c r="A495" s="9" t="n">
        <x:v>487</x:v>
      </x:c>
      <x:c r="B495" s="8" t="str">
        <x:v>ร้านอาหารอิสลามซูบัยด๊ะ</x:v>
      </x:c>
      <x:c r="C495" s="8" t="str">
        <x:v>พัทลุง</x:v>
      </x:c>
      <x:c r="D495" s="8" t="str">
        <x:v>มีศักยภาพ แต่ต้องพัฒนามาตรฐาน</x:v>
      </x:c>
      <x:c r="E495" s="8" t="str">
        <x:v>ร้านอาหารและคาเฟ่</x:v>
      </x:c>
      <x:c r="F495" s="38" t="n">
        <x:v>46316</x:v>
      </x:c>
      <x:c r="G495" s="8" t="str">
        <x:v>R26-104</x:v>
      </x:c>
      <x:c r="H495" s="39" t="str">
        <x:v>10</x:v>
      </x:c>
      <x:c r="I495" s="8" t="str">
        <x:v>Green Heart of the South</x:v>
      </x:c>
      <x:c r="J495" s="8" t="str">
        <x:v>1</x:v>
      </x:c>
      <x:c r="K495" s="8" t="str">
        <x:v>อาหาร</x:v>
      </x:c>
      <x:c r="L495" s="8" t="str">
        <x:f>INDEX('ประเมินเกณฑ์'!$AE$9:$AE$608,MATCH(G495,'ประเมินเกณฑ์'!$A$9:$A$608,0))</x:f>
        <x:v>รอประเมิน</x:v>
      </x:c>
      <x:c r="M495" s="8" t="str">
        <x:v>จุดในเอกสารเส้นทาง</x:v>
      </x:c>
      <x:c r="N495" s="8" t="str">
        <x:v>ยังไม่ยืนยันการเปิดให้บริการปัจจุบัน</x:v>
      </x:c>
      <x:c r="O495" s="40" t="n">
        <x:v>46316</x:v>
      </x:c>
    </x:row>
    <x:row r="496" ht="38" customHeight="1">
      <x:c r="A496" s="9" t="n">
        <x:v>488</x:v>
      </x:c>
      <x:c r="B496" s="8" t="str">
        <x:v>ไร่ชาพันไมล์</x:v>
      </x:c>
      <x:c r="C496" s="8" t="str">
        <x:v>พัทลุง</x:v>
      </x:c>
      <x:c r="D496" s="8" t="str">
        <x:v>มีศักยภาพ แต่ต้องพัฒนามาตรฐาน</x:v>
      </x:c>
      <x:c r="E496" s="8" t="str">
        <x:v>ร้านอาหารและคาเฟ่</x:v>
      </x:c>
      <x:c r="F496" s="38" t="n">
        <x:v>46316</x:v>
      </x:c>
      <x:c r="G496" s="8" t="str">
        <x:v>R26-107</x:v>
      </x:c>
      <x:c r="H496" s="39" t="str">
        <x:v>10</x:v>
      </x:c>
      <x:c r="I496" s="8" t="str">
        <x:v>Green Heart of the South</x:v>
      </x:c>
      <x:c r="J496" s="8" t="str">
        <x:v>2</x:v>
      </x:c>
      <x:c r="K496" s="8" t="str">
        <x:v>อาหาร</x:v>
      </x:c>
      <x:c r="L496" s="8" t="str">
        <x:f>INDEX('ประเมินเกณฑ์'!$AE$9:$AE$608,MATCH(G496,'ประเมินเกณฑ์'!$A$9:$A$608,0))</x:f>
        <x:v>รอประเมิน</x:v>
      </x:c>
      <x:c r="M496" s="8" t="str">
        <x:v>จุดในเอกสารเส้นทาง</x:v>
      </x:c>
      <x:c r="N496" s="8" t="str">
        <x:v>ยังไม่ยืนยันการเปิดให้บริการปัจจุบัน</x:v>
      </x:c>
      <x:c r="O496" s="40" t="n">
        <x:v>46316</x:v>
      </x:c>
    </x:row>
    <x:row r="497" ht="38" customHeight="1">
      <x:c r="A497" s="9" t="n">
        <x:v>489</x:v>
      </x:c>
      <x:c r="B497" s="8" t="str">
        <x:v>ทะเลน้อย</x:v>
      </x:c>
      <x:c r="C497" s="8" t="str">
        <x:v>พัทลุง</x:v>
      </x:c>
      <x:c r="D497" s="8" t="str">
        <x:v>มีศักยภาพ แต่ต้องพัฒนามาตรฐาน</x:v>
      </x:c>
      <x:c r="E497" s="8" t="str">
        <x:v>แหล่งท่องเที่ยวทางธรรมชาติ</x:v>
      </x:c>
      <x:c r="F497" s="38" t="n">
        <x:v>46316</x:v>
      </x:c>
      <x:c r="G497" s="8" t="str">
        <x:v>R26-106</x:v>
      </x:c>
      <x:c r="H497" s="39" t="str">
        <x:v>10</x:v>
      </x:c>
      <x:c r="I497" s="8" t="str">
        <x:v>Green Heart of the South</x:v>
      </x:c>
      <x:c r="J497" s="8" t="str">
        <x:v>2</x:v>
      </x:c>
      <x:c r="K497" s="8" t="str">
        <x:v>ธรรมชาติ</x:v>
      </x:c>
      <x:c r="L497" s="8" t="str">
        <x:f>INDEX('ประเมินเกณฑ์'!$AE$9:$AE$608,MATCH(G497,'ประเมินเกณฑ์'!$A$9:$A$608,0))</x:f>
        <x:v>รอประเมิน</x:v>
      </x:c>
      <x:c r="M497" s="8" t="str">
        <x:v>จุดในเอกสารเส้นทาง</x:v>
      </x:c>
      <x:c r="N497" s="8" t="str">
        <x:v>ยังไม่ยืนยันการเปิดให้บริการปัจจุบัน</x:v>
      </x:c>
      <x:c r="O497" s="40" t="n">
        <x:v>46316</x:v>
      </x:c>
    </x:row>
    <x:row r="498" ht="38" customHeight="1">
      <x:c r="A498" s="9" t="n">
        <x:v>490</x:v>
      </x:c>
      <x:c r="B498" s="8" t="str">
        <x:v>มัสยิดกลางจังหวัดพัทลุง</x:v>
      </x:c>
      <x:c r="C498" s="8" t="str">
        <x:v>พัทลุง</x:v>
      </x:c>
      <x:c r="D498" s="8" t="str">
        <x:v>มีศักยภาพ แต่ต้องพัฒนามาตรฐาน</x:v>
      </x:c>
      <x:c r="E498" s="8" t="str">
        <x:v>แหล่งท่องเที่ยวทางประวัติศาสตร์และวัฒนธรรม</x:v>
      </x:c>
      <x:c r="F498" s="38" t="n">
        <x:v>46316</x:v>
      </x:c>
      <x:c r="G498" s="8" t="str">
        <x:v>R26-109</x:v>
      </x:c>
      <x:c r="H498" s="39" t="str">
        <x:v>10</x:v>
      </x:c>
      <x:c r="I498" s="8" t="str">
        <x:v>Green Heart of the South</x:v>
      </x:c>
      <x:c r="J498" s="8" t="str">
        <x:v>2</x:v>
      </x:c>
      <x:c r="K498" s="8" t="str">
        <x:v>มัสยิด</x:v>
      </x:c>
      <x:c r="L498" s="8" t="str">
        <x:f>INDEX('ประเมินเกณฑ์'!$AE$9:$AE$608,MATCH(G498,'ประเมินเกณฑ์'!$A$9:$A$608,0))</x:f>
        <x:v>รอประเมิน</x:v>
      </x:c>
      <x:c r="M498" s="8" t="str">
        <x:v>จุดในเอกสารเส้นทาง</x:v>
      </x:c>
      <x:c r="N498" s="8" t="str">
        <x:v>ยังไม่ยืนยันการเปิดให้บริการปัจจุบัน</x:v>
      </x:c>
      <x:c r="O498" s="40" t="n">
        <x:v>46316</x:v>
      </x:c>
    </x:row>
    <x:row r="499" ht="38" customHeight="1">
      <x:c r="A499" s="9" t="n">
        <x:v>491</x:v>
      </x:c>
      <x:c r="B499" s="8" t="str">
        <x:v>หลาดใต้ถุน ปากพะยูน ชุมชนบ้านกลาง</x:v>
      </x:c>
      <x:c r="C499" s="8" t="str">
        <x:v>พัทลุง</x:v>
      </x:c>
      <x:c r="D499" s="8" t="str">
        <x:v>มีศักยภาพ แต่ต้องพัฒนามาตรฐาน</x:v>
      </x:c>
      <x:c r="E499" s="8" t="str">
        <x:v>ชุมชนท่องเที่ยว</x:v>
      </x:c>
      <x:c r="F499" s="38" t="n">
        <x:v>46316</x:v>
      </x:c>
      <x:c r="G499" s="8" t="str">
        <x:v>R26-110</x:v>
      </x:c>
      <x:c r="H499" s="39" t="str">
        <x:v>10</x:v>
      </x:c>
      <x:c r="I499" s="8" t="str">
        <x:v>Green Heart of the South</x:v>
      </x:c>
      <x:c r="J499" s="8" t="str">
        <x:v>2</x:v>
      </x:c>
      <x:c r="K499" s="8" t="str">
        <x:v>ชุมชน</x:v>
      </x:c>
      <x:c r="L499" s="8" t="str">
        <x:f>INDEX('ประเมินเกณฑ์'!$AE$9:$AE$608,MATCH(G499,'ประเมินเกณฑ์'!$A$9:$A$608,0))</x:f>
        <x:v>รอประเมิน</x:v>
      </x:c>
      <x:c r="M499" s="8" t="str">
        <x:v>จุดในเอกสารเส้นทาง</x:v>
      </x:c>
      <x:c r="N499" s="8" t="str">
        <x:v>ยังไม่ยืนยันการเปิดให้บริการปัจจุบัน</x:v>
      </x:c>
      <x:c r="O499" s="40" t="n">
        <x:v>46316</x:v>
      </x:c>
    </x:row>
    <x:row r="500" ht="38" customHeight="1">
      <x:c r="A500" s="9" t="n">
        <x:v>492</x:v>
      </x:c>
      <x:c r="B500" s="8" t="str">
        <x:v>สวนเดอลอง</x:v>
      </x:c>
      <x:c r="C500" s="8" t="str">
        <x:v>พัทลุง</x:v>
      </x:c>
      <x:c r="D500" s="8" t="str">
        <x:v>มีศักยภาพ แต่ต้องพัฒนามาตรฐาน</x:v>
      </x:c>
      <x:c r="E500" s="8" t="str">
        <x:v>ศูนย์กิจกรรมและนันทนาการ</x:v>
      </x:c>
      <x:c r="F500" s="38" t="n">
        <x:v>46316</x:v>
      </x:c>
      <x:c r="G500" s="8" t="str">
        <x:v>R26-108</x:v>
      </x:c>
      <x:c r="H500" s="39" t="str">
        <x:v>10</x:v>
      </x:c>
      <x:c r="I500" s="8" t="str">
        <x:v>Green Heart of the South</x:v>
      </x:c>
      <x:c r="J500" s="8" t="str">
        <x:v>2</x:v>
      </x:c>
      <x:c r="K500" s="8" t="str">
        <x:v>กิจกรรม</x:v>
      </x:c>
      <x:c r="L500" s="8" t="str">
        <x:f>INDEX('ประเมินเกณฑ์'!$AE$9:$AE$608,MATCH(G500,'ประเมินเกณฑ์'!$A$9:$A$608,0))</x:f>
        <x:v>รอประเมิน</x:v>
      </x:c>
      <x:c r="M500" s="8" t="str">
        <x:v>จุดในเอกสารเส้นทาง</x:v>
      </x:c>
      <x:c r="N500" s="8" t="str">
        <x:v>ยังไม่ยืนยันการเปิดให้บริการปัจจุบัน</x:v>
      </x:c>
      <x:c r="O500" s="40" t="n">
        <x:v>46316</x:v>
      </x:c>
    </x:row>
    <x:row r="501" ht="38" customHeight="1">
      <x:c r="A501" s="9" t="n">
        <x:v>493</x:v>
      </x:c>
      <x:c r="B501" s="8" t="str">
        <x:v>Dusit Princess Phatthalung</x:v>
      </x:c>
      <x:c r="C501" s="8" t="str">
        <x:v>พัทลุง</x:v>
      </x:c>
      <x:c r="D501" s="8" t="str">
        <x:v>มีศักยภาพ แต่ต้องพัฒนามาตรฐาน</x:v>
      </x:c>
      <x:c r="E501" s="8" t="str">
        <x:v>ที่พัก</x:v>
      </x:c>
      <x:c r="F501" s="38" t="n">
        <x:v>46316</x:v>
      </x:c>
      <x:c r="G501" s="8" t="str">
        <x:v>R26-387</x:v>
      </x:c>
      <x:c r="H501" s="39" t="str">
        <x:v>10</x:v>
      </x:c>
      <x:c r="I501" s="8" t="str">
        <x:v>Green Heart of the South</x:v>
      </x:c>
      <x:c r="J501" s="8" t="str">
        <x:v>ตัวเลือกเสริม</x:v>
      </x:c>
      <x:c r="K501" s="8" t="str">
        <x:v>ที่พัก</x:v>
      </x:c>
      <x:c r="L501" s="8" t="str">
        <x:f>INDEX('ประเมินเกณฑ์'!$AE$9:$AE$608,MATCH(G501,'ประเมินเกณฑ์'!$A$9:$A$608,0))</x:f>
        <x:v>รอประเมิน</x:v>
      </x:c>
      <x:c r="M501" s="8" t="str">
        <x:v>สถานที่ในจังหวัดเส้นทาง รอตรวจระยะทางและลำดับ</x:v>
      </x:c>
      <x:c r="N501" s="8" t="str">
        <x:v>ยังไม่ยืนยันการเปิดให้บริการปัจจุบัน</x:v>
      </x:c>
      <x:c r="O501" s="40" t="n">
        <x:v>46316</x:v>
      </x:c>
    </x:row>
    <x:row r="502" ht="38" customHeight="1">
      <x:c r="A502" s="9" t="n">
        <x:v>494</x:v>
      </x:c>
      <x:c r="B502" s="8" t="str">
        <x:v>Sri Pakpra Boutique Resort Phatthalung</x:v>
      </x:c>
      <x:c r="C502" s="8" t="str">
        <x:v>พัทลุง</x:v>
      </x:c>
      <x:c r="D502" s="8" t="str">
        <x:v>มีศักยภาพ แต่ต้องพัฒนามาตรฐาน</x:v>
      </x:c>
      <x:c r="E502" s="8" t="str">
        <x:v>ที่พัก</x:v>
      </x:c>
      <x:c r="F502" s="38" t="n">
        <x:v>46316</x:v>
      </x:c>
      <x:c r="G502" s="8" t="str">
        <x:v>R26-388</x:v>
      </x:c>
      <x:c r="H502" s="39" t="str">
        <x:v>10</x:v>
      </x:c>
      <x:c r="I502" s="8" t="str">
        <x:v>Green Heart of the South</x:v>
      </x:c>
      <x:c r="J502" s="8" t="str">
        <x:v>ตัวเลือกเสริม</x:v>
      </x:c>
      <x:c r="K502" s="8" t="str">
        <x:v>ที่พัก</x:v>
      </x:c>
      <x:c r="L502" s="8" t="str">
        <x:f>INDEX('ประเมินเกณฑ์'!$AE$9:$AE$608,MATCH(G502,'ประเมินเกณฑ์'!$A$9:$A$608,0))</x:f>
        <x:v>รอประเมิน</x:v>
      </x:c>
      <x:c r="M502" s="8" t="str">
        <x:v>สถานที่ในจังหวัดเส้นทาง รอตรวจระยะทางและลำดับ</x:v>
      </x:c>
      <x:c r="N502" s="8" t="str">
        <x:v>ยังไม่ยืนยันการเปิดให้บริการปัจจุบัน</x:v>
      </x:c>
      <x:c r="O502" s="40" t="n">
        <x:v>46316</x:v>
      </x:c>
    </x:row>
    <x:row r="503" ht="38" customHeight="1">
      <x:c r="A503" s="9" t="n">
        <x:v>495</x:v>
      </x:c>
      <x:c r="B503" s="8" t="str">
        <x:v>MONTE พัทลุง</x:v>
      </x:c>
      <x:c r="C503" s="8" t="str">
        <x:v>พัทลุง</x:v>
      </x:c>
      <x:c r="D503" s="8" t="str">
        <x:v>มีศักยภาพ แต่ต้องพัฒนามาตรฐาน</x:v>
      </x:c>
      <x:c r="E503" s="8" t="str">
        <x:v>ร้านอาหารและคาเฟ่</x:v>
      </x:c>
      <x:c r="F503" s="38" t="n">
        <x:v>46316</x:v>
      </x:c>
      <x:c r="G503" s="8" t="str">
        <x:v>R26-352</x:v>
      </x:c>
      <x:c r="H503" s="39" t="str">
        <x:v>10</x:v>
      </x:c>
      <x:c r="I503" s="8" t="str">
        <x:v>Green Heart of the South</x:v>
      </x:c>
      <x:c r="J503" s="8" t="str">
        <x:v>ตัวเลือกเสริม</x:v>
      </x:c>
      <x:c r="K503" s="8" t="str">
        <x:v>อาหาร</x:v>
      </x:c>
      <x:c r="L503" s="8" t="str">
        <x:f>INDEX('ประเมินเกณฑ์'!$AE$9:$AE$608,MATCH(G503,'ประเมินเกณฑ์'!$A$9:$A$608,0))</x:f>
        <x:v>รอประเมิน</x:v>
      </x:c>
      <x:c r="M503" s="8" t="str">
        <x:v>สถานที่ในจังหวัดเส้นทาง รอตรวจระยะทางและลำดับ</x:v>
      </x:c>
      <x:c r="N503" s="8" t="str">
        <x:v>ยังไม่ยืนยันการเปิดให้บริการปัจจุบัน</x:v>
      </x:c>
      <x:c r="O503" s="40" t="n">
        <x:v>46316</x:v>
      </x:c>
    </x:row>
    <x:row r="504" ht="38" customHeight="1">
      <x:c r="A504" s="9" t="n">
        <x:v>496</x:v>
      </x:c>
      <x:c r="B504" s="8" t="str">
        <x:v>ก๋วยเตี๋ยวจัมโบ้อิสลาม เกะฟ็ะ</x:v>
      </x:c>
      <x:c r="C504" s="8" t="str">
        <x:v>พัทลุง</x:v>
      </x:c>
      <x:c r="D504" s="8" t="str">
        <x:v>มีศักยภาพ แต่ต้องพัฒนามาตรฐาน</x:v>
      </x:c>
      <x:c r="E504" s="8" t="str">
        <x:v>ร้านอาหารและคาเฟ่</x:v>
      </x:c>
      <x:c r="F504" s="38" t="n">
        <x:v>46316</x:v>
      </x:c>
      <x:c r="G504" s="8" t="str">
        <x:v>R26-354</x:v>
      </x:c>
      <x:c r="H504" s="39" t="str">
        <x:v>10</x:v>
      </x:c>
      <x:c r="I504" s="8" t="str">
        <x:v>Green Heart of the South</x:v>
      </x:c>
      <x:c r="J504" s="8" t="str">
        <x:v>ตัวเลือกเสริม</x:v>
      </x:c>
      <x:c r="K504" s="8" t="str">
        <x:v>อาหาร</x:v>
      </x:c>
      <x:c r="L504" s="8" t="str">
        <x:f>INDEX('ประเมินเกณฑ์'!$AE$9:$AE$608,MATCH(G504,'ประเมินเกณฑ์'!$A$9:$A$608,0))</x:f>
        <x:v>รอประเมิน</x:v>
      </x:c>
      <x:c r="M504" s="8" t="str">
        <x:v>สถานที่ในจังหวัดเส้นทาง รอตรวจระยะทางและลำดับ</x:v>
      </x:c>
      <x:c r="N504" s="8" t="str">
        <x:v>ยังไม่ยืนยันการเปิดให้บริการปัจจุบัน</x:v>
      </x:c>
      <x:c r="O504" s="40" t="n">
        <x:v>46316</x:v>
      </x:c>
    </x:row>
    <x:row r="505" ht="38" customHeight="1">
      <x:c r="A505" s="9" t="n">
        <x:v>497</x:v>
      </x:c>
      <x:c r="B505" s="8" t="str">
        <x:v>สะพานเฉลิมพระเกียรติ 80 พรรษา พัทลุง</x:v>
      </x:c>
      <x:c r="C505" s="8" t="str">
        <x:v>พัทลุง</x:v>
      </x:c>
      <x:c r="D505" s="8" t="str">
        <x:v>มีศักยภาพ แต่ต้องพัฒนามาตรฐาน</x:v>
      </x:c>
      <x:c r="E505" s="8" t="str">
        <x:v>แหล่งท่องเที่ยวทางธรรมชาติ</x:v>
      </x:c>
      <x:c r="F505" s="38" t="n">
        <x:v>46316</x:v>
      </x:c>
      <x:c r="G505" s="8" t="str">
        <x:v>R26-210</x:v>
      </x:c>
      <x:c r="H505" s="39" t="str">
        <x:v>10</x:v>
      </x:c>
      <x:c r="I505" s="8" t="str">
        <x:v>Green Heart of the South</x:v>
      </x:c>
      <x:c r="J505" s="8" t="str">
        <x:v>ตัวเลือกเสริม</x:v>
      </x:c>
      <x:c r="K505" s="8" t="str">
        <x:v>ธรรมชาติ</x:v>
      </x:c>
      <x:c r="L505" s="8" t="str">
        <x:f>INDEX('ประเมินเกณฑ์'!$AE$9:$AE$608,MATCH(G505,'ประเมินเกณฑ์'!$A$9:$A$608,0))</x:f>
        <x:v>รอประเมิน</x:v>
      </x:c>
      <x:c r="M505" s="8" t="str">
        <x:v>สถานที่ในจังหวัดเส้นทาง รอตรวจระยะทางและลำดับ</x:v>
      </x:c>
      <x:c r="N505" s="8" t="str">
        <x:v>ยังไม่ยืนยันการเปิดให้บริการปัจจุบัน</x:v>
      </x:c>
      <x:c r="O505" s="40" t="n">
        <x:v>46316</x:v>
      </x:c>
    </x:row>
    <x:row r="506" ht="38" customHeight="1">
      <x:c r="A506" s="9" t="n">
        <x:v>498</x:v>
      </x:c>
      <x:c r="B506" s="8" t="str">
        <x:v>อุทยานแห่งชาติเขาปู่-เขาย่า</x:v>
      </x:c>
      <x:c r="C506" s="8" t="str">
        <x:v>พัทลุง</x:v>
      </x:c>
      <x:c r="D506" s="8" t="str">
        <x:v>มีศักยภาพ แต่ต้องพัฒนามาตรฐาน</x:v>
      </x:c>
      <x:c r="E506" s="8" t="str">
        <x:v>แหล่งท่องเที่ยวทางธรรมชาติ</x:v>
      </x:c>
      <x:c r="F506" s="38" t="n">
        <x:v>46316</x:v>
      </x:c>
      <x:c r="G506" s="8" t="str">
        <x:v>R26-211</x:v>
      </x:c>
      <x:c r="H506" s="39" t="str">
        <x:v>10</x:v>
      </x:c>
      <x:c r="I506" s="8" t="str">
        <x:v>Green Heart of the South</x:v>
      </x:c>
      <x:c r="J506" s="8" t="str">
        <x:v>ตัวเลือกเสริม</x:v>
      </x:c>
      <x:c r="K506" s="8" t="str">
        <x:v>ธรรมชาติ</x:v>
      </x:c>
      <x:c r="L506" s="8" t="str">
        <x:f>INDEX('ประเมินเกณฑ์'!$AE$9:$AE$608,MATCH(G506,'ประเมินเกณฑ์'!$A$9:$A$608,0))</x:f>
        <x:v>รอประเมิน</x:v>
      </x:c>
      <x:c r="M506" s="8" t="str">
        <x:v>สถานที่ในจังหวัดเส้นทาง รอตรวจระยะทางและลำดับ</x:v>
      </x:c>
      <x:c r="N506" s="8" t="str">
        <x:v>ยังไม่ยืนยันการเปิดให้บริการปัจจุบัน</x:v>
      </x:c>
      <x:c r="O506" s="40" t="n">
        <x:v>46316</x:v>
      </x:c>
    </x:row>
    <x:row r="507" ht="38" customHeight="1">
      <x:c r="A507" s="9" t="n">
        <x:v>499</x:v>
      </x:c>
      <x:c r="B507" s="8" t="str">
        <x:v>ชุมชนบ้านปากประ</x:v>
      </x:c>
      <x:c r="C507" s="8" t="str">
        <x:v>พัทลุง</x:v>
      </x:c>
      <x:c r="D507" s="8" t="str">
        <x:v>มีศักยภาพ แต่ต้องพัฒนามาตรฐาน</x:v>
      </x:c>
      <x:c r="E507" s="8" t="str">
        <x:v>ชุมชนท่องเที่ยว</x:v>
      </x:c>
      <x:c r="F507" s="38" t="n">
        <x:v>46316</x:v>
      </x:c>
      <x:c r="G507" s="8" t="str">
        <x:v>R26-215</x:v>
      </x:c>
      <x:c r="H507" s="39" t="str">
        <x:v>10</x:v>
      </x:c>
      <x:c r="I507" s="8" t="str">
        <x:v>Green Heart of the South</x:v>
      </x:c>
      <x:c r="J507" s="8" t="str">
        <x:v>ตัวเลือกเสริม</x:v>
      </x:c>
      <x:c r="K507" s="8" t="str">
        <x:v>ชุมชน</x:v>
      </x:c>
      <x:c r="L507" s="8" t="str">
        <x:f>INDEX('ประเมินเกณฑ์'!$AE$9:$AE$608,MATCH(G507,'ประเมินเกณฑ์'!$A$9:$A$608,0))</x:f>
        <x:v>รอประเมิน</x:v>
      </x:c>
      <x:c r="M507" s="8" t="str">
        <x:v>สถานที่ในจังหวัดเส้นทาง รอตรวจระยะทางและลำดับ</x:v>
      </x:c>
      <x:c r="N507" s="8" t="str">
        <x:v>ยังไม่ยืนยันการเปิดให้บริการปัจจุบัน</x:v>
      </x:c>
      <x:c r="O507" s="40" t="n">
        <x:v>46316</x:v>
      </x:c>
    </x:row>
    <x:row r="508" ht="38" customHeight="1">
      <x:c r="A508" s="9" t="n">
        <x:v>500</x:v>
      </x:c>
      <x:c r="B508" s="8" t="str">
        <x:v>ชุมชนบ้านลำปำ</x:v>
      </x:c>
      <x:c r="C508" s="8" t="str">
        <x:v>พัทลุง</x:v>
      </x:c>
      <x:c r="D508" s="8" t="str">
        <x:v>มีศักยภาพ แต่ต้องพัฒนามาตรฐาน</x:v>
      </x:c>
      <x:c r="E508" s="8" t="str">
        <x:v>ชุมชนท่องเที่ยว</x:v>
      </x:c>
      <x:c r="F508" s="38" t="n">
        <x:v>46316</x:v>
      </x:c>
      <x:c r="G508" s="8" t="str">
        <x:v>R26-213</x:v>
      </x:c>
      <x:c r="H508" s="39" t="str">
        <x:v>10</x:v>
      </x:c>
      <x:c r="I508" s="8" t="str">
        <x:v>Green Heart of the South</x:v>
      </x:c>
      <x:c r="J508" s="8" t="str">
        <x:v>ตัวเลือกเสริม</x:v>
      </x:c>
      <x:c r="K508" s="8" t="str">
        <x:v>ชุมชน</x:v>
      </x:c>
      <x:c r="L508" s="8" t="str">
        <x:f>INDEX('ประเมินเกณฑ์'!$AE$9:$AE$608,MATCH(G508,'ประเมินเกณฑ์'!$A$9:$A$608,0))</x:f>
        <x:v>รอประเมิน</x:v>
      </x:c>
      <x:c r="M508" s="8" t="str">
        <x:v>สถานที่ในจังหวัดเส้นทาง รอตรวจระยะทางและลำดับ</x:v>
      </x:c>
      <x:c r="N508" s="8" t="str">
        <x:v>ยังไม่ยืนยันการเปิดให้บริการปัจจุบัน</x:v>
      </x:c>
      <x:c r="O508" s="40" t="n">
        <x:v>46316</x:v>
      </x:c>
    </x:row>
    <x:row r="509" ht="38" customHeight="1">
      <x:c r="A509" s="9" t="n">
        <x:v>501</x:v>
      </x:c>
      <x:c r="B509" s="8" t="str">
        <x:v>ชุมชนบ้านหัวป่าเขียว</x:v>
      </x:c>
      <x:c r="C509" s="8" t="str">
        <x:v>พัทลุง</x:v>
      </x:c>
      <x:c r="D509" s="8" t="str">
        <x:v>มีศักยภาพ แต่ต้องพัฒนามาตรฐาน</x:v>
      </x:c>
      <x:c r="E509" s="8" t="str">
        <x:v>ชุมชนท่องเที่ยว</x:v>
      </x:c>
      <x:c r="F509" s="38" t="n">
        <x:v>46316</x:v>
      </x:c>
      <x:c r="G509" s="8" t="str">
        <x:v>R26-331</x:v>
      </x:c>
      <x:c r="H509" s="39" t="str">
        <x:v>10</x:v>
      </x:c>
      <x:c r="I509" s="8" t="str">
        <x:v>Green Heart of the South</x:v>
      </x:c>
      <x:c r="J509" s="8" t="str">
        <x:v>ตัวเลือกเสริม</x:v>
      </x:c>
      <x:c r="K509" s="8" t="str">
        <x:v>ชุมชน</x:v>
      </x:c>
      <x:c r="L509" s="8" t="str">
        <x:f>INDEX('ประเมินเกณฑ์'!$AE$9:$AE$608,MATCH(G509,'ประเมินเกณฑ์'!$A$9:$A$608,0))</x:f>
        <x:v>รอประเมิน</x:v>
      </x:c>
      <x:c r="M509" s="8" t="str">
        <x:v>สถานที่ในจังหวัดเส้นทาง รอตรวจระยะทางและลำดับ</x:v>
      </x:c>
      <x:c r="N509" s="8" t="str">
        <x:v>ยังไม่ยืนยันการเปิดให้บริการปัจจุบัน</x:v>
      </x:c>
      <x:c r="O509" s="40" t="n">
        <x:v>46316</x:v>
      </x:c>
    </x:row>
    <x:row r="510" ht="38" customHeight="1">
      <x:c r="A510" s="9" t="n">
        <x:v>502</x:v>
      </x:c>
      <x:c r="B510" s="8" t="str">
        <x:v>นาโปแก</x:v>
      </x:c>
      <x:c r="C510" s="8" t="str">
        <x:v>พัทลุง</x:v>
      </x:c>
      <x:c r="D510" s="8" t="str">
        <x:v>มีศักยภาพ แต่ต้องพัฒนามาตรฐาน</x:v>
      </x:c>
      <x:c r="E510" s="8" t="str">
        <x:v>ศูนย์กิจกรรมและนันทนาการ</x:v>
      </x:c>
      <x:c r="F510" s="38" t="n">
        <x:v>46316</x:v>
      </x:c>
      <x:c r="G510" s="8" t="str">
        <x:v>R26-216</x:v>
      </x:c>
      <x:c r="H510" s="39" t="str">
        <x:v>10</x:v>
      </x:c>
      <x:c r="I510" s="8" t="str">
        <x:v>Green Heart of the South</x:v>
      </x:c>
      <x:c r="J510" s="8" t="str">
        <x:v>ตัวเลือกเสริม</x:v>
      </x:c>
      <x:c r="K510" s="8" t="str">
        <x:v>กิจกรรม</x:v>
      </x:c>
      <x:c r="L510" s="8" t="str">
        <x:f>INDEX('ประเมินเกณฑ์'!$AE$9:$AE$608,MATCH(G510,'ประเมินเกณฑ์'!$A$9:$A$608,0))</x:f>
        <x:v>รอประเมิน</x:v>
      </x:c>
      <x:c r="M510" s="8" t="str">
        <x:v>สถานที่ในจังหวัดเส้นทาง รอตรวจระยะทางและลำดับ</x:v>
      </x:c>
      <x:c r="N510" s="8" t="str">
        <x:v>ยังไม่ยืนยันการเปิดให้บริการปัจจุบัน</x:v>
      </x:c>
      <x:c r="O510" s="40" t="n">
        <x:v>46316</x:v>
      </x:c>
    </x:row>
    <x:row r="511" ht="38" customHeight="1">
      <x:c r="A511" s="9" t="n">
        <x:v>503</x:v>
      </x:c>
      <x:c r="B511" s="8" t="str">
        <x:v>หลาดป่าไผ่สร้างสุข</x:v>
      </x:c>
      <x:c r="C511" s="8" t="str">
        <x:v>พัทลุง</x:v>
      </x:c>
      <x:c r="D511" s="8" t="str">
        <x:v>มีศักยภาพ แต่ต้องพัฒนามาตรฐาน</x:v>
      </x:c>
      <x:c r="E511" s="8" t="str">
        <x:v>ศูนย์กิจกรรมและนันทนาการ</x:v>
      </x:c>
      <x:c r="F511" s="38" t="n">
        <x:v>46316</x:v>
      </x:c>
      <x:c r="G511" s="8" t="str">
        <x:v>R26-311</x:v>
      </x:c>
      <x:c r="H511" s="39" t="str">
        <x:v>10</x:v>
      </x:c>
      <x:c r="I511" s="8" t="str">
        <x:v>Green Heart of the South</x:v>
      </x:c>
      <x:c r="J511" s="8" t="str">
        <x:v>ตัวเลือกเสริม</x:v>
      </x:c>
      <x:c r="K511" s="8" t="str">
        <x:v>กิจกรรม</x:v>
      </x:c>
      <x:c r="L511" s="8" t="str">
        <x:f>INDEX('ประเมินเกณฑ์'!$AE$9:$AE$608,MATCH(G511,'ประเมินเกณฑ์'!$A$9:$A$608,0))</x:f>
        <x:v>รอประเมิน</x:v>
      </x:c>
      <x:c r="M511" s="8" t="str">
        <x:v>สถานที่ในจังหวัดเส้นทาง รอตรวจระยะทางและลำดับ</x:v>
      </x:c>
      <x:c r="N511" s="8" t="str">
        <x:v>ยังไม่ยืนยันการเปิดให้บริการปัจจุบัน</x:v>
      </x:c>
      <x:c r="O511" s="40" t="n">
        <x:v>46316</x:v>
      </x:c>
    </x:row>
    <x:row r="512" ht="38" customHeight="1">
      <x:c r="A512" s="9" t="n">
        <x:v>504</x:v>
      </x:c>
      <x:c r="B512" s="8" t="str">
        <x:v>PICNIC CAMP เขายายเที่ยง</x:v>
      </x:c>
      <x:c r="C512" s="8" t="str">
        <x:v>นครราชสีมา</x:v>
      </x:c>
      <x:c r="D512" s="8" t="str">
        <x:v>พร้อมขาย</x:v>
      </x:c>
      <x:c r="E512" s="8" t="str">
        <x:v>ที่พัก</x:v>
      </x:c>
      <x:c r="F512" s="38" t="n">
        <x:v>46316</x:v>
      </x:c>
      <x:c r="G512" s="8" t="str">
        <x:v>TMF-127</x:v>
      </x:c>
      <x:c r="H512" s="39" t="str">
        <x:v>เพิ่มเติม</x:v>
      </x:c>
      <x:c r="I512" s="8" t="str">
        <x:v>เพิ่มเติม เขาใหญ่–ปากช่อง</x:v>
      </x:c>
      <x:c r="J512" s="8" t="str">
        <x:v>ตัวเลือกเสริม</x:v>
      </x:c>
      <x:c r="K512" s="8" t="str">
        <x:v>ที่พัก (ตรวจประเภทจากชื่อและข้อมูลประกอบ)</x:v>
      </x:c>
      <x:c r="L512" s="8" t="str">
        <x:f>INDEX('ประเมินเกณฑ์'!$AE$9:$AE$608,MATCH(G512,'ประเมินเกณฑ์'!$A$9:$A$608,0))</x:f>
        <x:v>รอประเมิน</x:v>
      </x:c>
      <x:c r="M512" s="8" t="str">
        <x:v>พื้นที่เพิ่มเติม ตรวจอำเภอและระยะทาง</x:v>
      </x:c>
      <x:c r="N512" s="8" t="str">
        <x:v>ยังไม่ยืนยันการเปิดให้บริการปัจจุบัน</x:v>
      </x:c>
      <x:c r="O512" s="40" t="n">
        <x:v>46315</x:v>
      </x:c>
    </x:row>
    <x:row r="513" ht="38" customHeight="1">
      <x:c r="A513" s="9" t="n">
        <x:v>505</x:v>
      </x:c>
      <x:c r="B513" s="8" t="str">
        <x:v>ผาส่งตะวัน โฮมสเตย์</x:v>
      </x:c>
      <x:c r="C513" s="8" t="str">
        <x:v>นครราชสีมา</x:v>
      </x:c>
      <x:c r="D513" s="8" t="str">
        <x:v>พร้อมขาย</x:v>
      </x:c>
      <x:c r="E513" s="8" t="str">
        <x:v>ที่พัก</x:v>
      </x:c>
      <x:c r="F513" s="38" t="n">
        <x:v>46316</x:v>
      </x:c>
      <x:c r="G513" s="8" t="str">
        <x:v>TMF-122</x:v>
      </x:c>
      <x:c r="H513" s="39" t="str">
        <x:v>เพิ่มเติม</x:v>
      </x:c>
      <x:c r="I513" s="8" t="str">
        <x:v>เพิ่มเติม เขาใหญ่–ปากช่อง</x:v>
      </x:c>
      <x:c r="J513" s="8" t="str">
        <x:v>ตัวเลือกเสริม</x:v>
      </x:c>
      <x:c r="K513" s="8" t="str">
        <x:v>โรงแรมหรือรีสอร์ท</x:v>
      </x:c>
      <x:c r="L513" s="8" t="str">
        <x:f>INDEX('ประเมินเกณฑ์'!$AE$9:$AE$608,MATCH(G513,'ประเมินเกณฑ์'!$A$9:$A$608,0))</x:f>
        <x:v>รอประเมิน</x:v>
      </x:c>
      <x:c r="M513" s="8" t="str">
        <x:v>พื้นที่เพิ่มเติม ตรวจอำเภอและระยะทาง</x:v>
      </x:c>
      <x:c r="N513" s="8" t="str">
        <x:v>ยังไม่ยืนยันการเปิดให้บริการปัจจุบัน</x:v>
      </x:c>
      <x:c r="O513" s="40" t="n">
        <x:v>46315</x:v>
      </x:c>
    </x:row>
    <x:row r="514" ht="38" customHeight="1">
      <x:c r="A514" s="9" t="n">
        <x:v>506</x:v>
      </x:c>
      <x:c r="B514" s="8" t="str">
        <x:v>ภูล้านดาวแคมป์ ณ เขายายเที่ยง</x:v>
      </x:c>
      <x:c r="C514" s="8" t="str">
        <x:v>นครราชสีมา</x:v>
      </x:c>
      <x:c r="D514" s="8" t="str">
        <x:v>พร้อมขาย</x:v>
      </x:c>
      <x:c r="E514" s="8" t="str">
        <x:v>ที่พัก</x:v>
      </x:c>
      <x:c r="F514" s="38" t="n">
        <x:v>46316</x:v>
      </x:c>
      <x:c r="G514" s="8" t="str">
        <x:v>TMF-135</x:v>
      </x:c>
      <x:c r="H514" s="39" t="str">
        <x:v>เพิ่มเติม</x:v>
      </x:c>
      <x:c r="I514" s="8" t="str">
        <x:v>เพิ่มเติม เขาใหญ่–ปากช่อง</x:v>
      </x:c>
      <x:c r="J514" s="8" t="str">
        <x:v>ตัวเลือกเสริม</x:v>
      </x:c>
      <x:c r="K514" s="8" t="str">
        <x:v>ที่พัก (ตรวจประเภทจากชื่อและข้อมูลประกอบ)</x:v>
      </x:c>
      <x:c r="L514" s="8" t="str">
        <x:f>INDEX('ประเมินเกณฑ์'!$AE$9:$AE$608,MATCH(G514,'ประเมินเกณฑ์'!$A$9:$A$608,0))</x:f>
        <x:v>รอประเมิน</x:v>
      </x:c>
      <x:c r="M514" s="8" t="str">
        <x:v>พื้นที่เพิ่มเติม ตรวจอำเภอและระยะทาง</x:v>
      </x:c>
      <x:c r="N514" s="8" t="str">
        <x:v>ยังไม่ยืนยันการเปิดให้บริการปัจจุบัน</x:v>
      </x:c>
      <x:c r="O514" s="40" t="n">
        <x:v>46315</x:v>
      </x:c>
    </x:row>
    <x:row r="515" ht="38" customHeight="1">
      <x:c r="A515" s="9" t="n">
        <x:v>507</x:v>
      </x:c>
      <x:c r="B515" s="8" t="str">
        <x:v>ไร่จูซาโฮมสเตย์ เขายายเที่ยง</x:v>
      </x:c>
      <x:c r="C515" s="8" t="str">
        <x:v>นครราชสีมา</x:v>
      </x:c>
      <x:c r="D515" s="8" t="str">
        <x:v>พร้อมขาย</x:v>
      </x:c>
      <x:c r="E515" s="8" t="str">
        <x:v>ที่พัก</x:v>
      </x:c>
      <x:c r="F515" s="38" t="n">
        <x:v>46316</x:v>
      </x:c>
      <x:c r="G515" s="8" t="str">
        <x:v>TMF-123</x:v>
      </x:c>
      <x:c r="H515" s="39" t="str">
        <x:v>เพิ่มเติม</x:v>
      </x:c>
      <x:c r="I515" s="8" t="str">
        <x:v>เพิ่มเติม เขาใหญ่–ปากช่อง</x:v>
      </x:c>
      <x:c r="J515" s="8" t="str">
        <x:v>ตัวเลือกเสริม</x:v>
      </x:c>
      <x:c r="K515" s="8" t="str">
        <x:v>โรงแรมหรือรีสอร์ท</x:v>
      </x:c>
      <x:c r="L515" s="8" t="str">
        <x:f>INDEX('ประเมินเกณฑ์'!$AE$9:$AE$608,MATCH(G515,'ประเมินเกณฑ์'!$A$9:$A$608,0))</x:f>
        <x:v>รอประเมิน</x:v>
      </x:c>
      <x:c r="M515" s="8" t="str">
        <x:v>พื้นที่เพิ่มเติม ตรวจอำเภอและระยะทาง</x:v>
      </x:c>
      <x:c r="N515" s="8" t="str">
        <x:v>ยังไม่ยืนยันการเปิดให้บริการปัจจุบัน</x:v>
      </x:c>
      <x:c r="O515" s="40" t="n">
        <x:v>46315</x:v>
      </x:c>
    </x:row>
    <x:row r="516" ht="38" customHeight="1">
      <x:c r="A516" s="9" t="n">
        <x:v>508</x:v>
      </x:c>
      <x:c r="B516" s="8" t="str">
        <x:v>Barakas By Asmar อิสลามตลาดแขก อ.ปากช่อง</x:v>
      </x:c>
      <x:c r="C516" s="8" t="str">
        <x:v>นครราชสีมา</x:v>
      </x:c>
      <x:c r="D516" s="8" t="str">
        <x:v>พร้อมขาย</x:v>
      </x:c>
      <x:c r="E516" s="8" t="str">
        <x:v>ร้านอาหารและคาเฟ่</x:v>
      </x:c>
      <x:c r="F516" s="38" t="n">
        <x:v>46316</x:v>
      </x:c>
      <x:c r="G516" s="8" t="str">
        <x:v>TMF-124</x:v>
      </x:c>
      <x:c r="H516" s="39" t="str">
        <x:v>เพิ่มเติม</x:v>
      </x:c>
      <x:c r="I516" s="8" t="str">
        <x:v>เพิ่มเติม เขาใหญ่–ปากช่อง</x:v>
      </x:c>
      <x:c r="J516" s="8" t="str">
        <x:v>ตัวเลือกเสริม</x:v>
      </x:c>
      <x:c r="K516" s="8" t="str">
        <x:v>ร้านอาหาร</x:v>
      </x:c>
      <x:c r="L516" s="8" t="str">
        <x:f>INDEX('ประเมินเกณฑ์'!$AE$9:$AE$608,MATCH(G516,'ประเมินเกณฑ์'!$A$9:$A$608,0))</x:f>
        <x:v>รอประเมิน</x:v>
      </x:c>
      <x:c r="M516" s="8" t="str">
        <x:v>พื้นที่เพิ่มเติม ตรวจอำเภอและระยะทาง</x:v>
      </x:c>
      <x:c r="N516" s="8" t="str">
        <x:v>ยังไม่ยืนยันการเปิดให้บริการปัจจุบัน</x:v>
      </x:c>
      <x:c r="O516" s="40" t="n">
        <x:v>46315</x:v>
      </x:c>
    </x:row>
    <x:row r="517" ht="38" customHeight="1">
      <x:c r="A517" s="9" t="n">
        <x:v>509</x:v>
      </x:c>
      <x:c r="B517" s="8" t="str">
        <x:v>Cafe Style Chan Carpentry</x:v>
      </x:c>
      <x:c r="C517" s="8" t="str">
        <x:v>นครราชสีมา</x:v>
      </x:c>
      <x:c r="D517" s="8" t="str">
        <x:v>พร้อมขาย</x:v>
      </x:c>
      <x:c r="E517" s="8" t="str">
        <x:v>ร้านอาหารและคาเฟ่</x:v>
      </x:c>
      <x:c r="F517" s="38" t="n">
        <x:v>46316</x:v>
      </x:c>
      <x:c r="G517" s="8" t="str">
        <x:v>TMF-125</x:v>
      </x:c>
      <x:c r="H517" s="39" t="str">
        <x:v>เพิ่มเติม</x:v>
      </x:c>
      <x:c r="I517" s="8" t="str">
        <x:v>เพิ่มเติม เขาใหญ่–ปากช่อง</x:v>
      </x:c>
      <x:c r="J517" s="8" t="str">
        <x:v>ตัวเลือกเสริม</x:v>
      </x:c>
      <x:c r="K517" s="8" t="str">
        <x:v>คาเฟ่และร้านของหวาน</x:v>
      </x:c>
      <x:c r="L517" s="8" t="str">
        <x:f>INDEX('ประเมินเกณฑ์'!$AE$9:$AE$608,MATCH(G517,'ประเมินเกณฑ์'!$A$9:$A$608,0))</x:f>
        <x:v>รอประเมิน</x:v>
      </x:c>
      <x:c r="M517" s="8" t="str">
        <x:v>พื้นที่เพิ่มเติม ตรวจอำเภอและระยะทาง</x:v>
      </x:c>
      <x:c r="N517" s="8" t="str">
        <x:v>ยังไม่ยืนยันการเปิดให้บริการปัจจุบัน</x:v>
      </x:c>
      <x:c r="O517" s="40" t="n">
        <x:v>46315</x:v>
      </x:c>
    </x:row>
    <x:row r="518" ht="38" customHeight="1">
      <x:c r="A518" s="9" t="n">
        <x:v>510</x:v>
      </x:c>
      <x:c r="B518" s="8" t="str">
        <x:v>Halal ครัวบังบิ๊ก เขาใหญ่</x:v>
      </x:c>
      <x:c r="C518" s="8" t="str">
        <x:v>นครราชสีมา</x:v>
      </x:c>
      <x:c r="D518" s="8" t="str">
        <x:v>พร้อมขาย</x:v>
      </x:c>
      <x:c r="E518" s="8" t="str">
        <x:v>ร้านอาหารและคาเฟ่</x:v>
      </x:c>
      <x:c r="F518" s="38" t="n">
        <x:v>46316</x:v>
      </x:c>
      <x:c r="G518" s="8" t="str">
        <x:v>TMF-126</x:v>
      </x:c>
      <x:c r="H518" s="39" t="str">
        <x:v>เพิ่มเติม</x:v>
      </x:c>
      <x:c r="I518" s="8" t="str">
        <x:v>เพิ่มเติม เขาใหญ่–ปากช่อง</x:v>
      </x:c>
      <x:c r="J518" s="8" t="str">
        <x:v>ตัวเลือกเสริม</x:v>
      </x:c>
      <x:c r="K518" s="8" t="str">
        <x:v>ร้านอาหาร</x:v>
      </x:c>
      <x:c r="L518" s="8" t="str">
        <x:f>INDEX('ประเมินเกณฑ์'!$AE$9:$AE$608,MATCH(G518,'ประเมินเกณฑ์'!$A$9:$A$608,0))</x:f>
        <x:v>รอประเมิน</x:v>
      </x:c>
      <x:c r="M518" s="8" t="str">
        <x:v>พื้นที่เพิ่มเติม ตรวจอำเภอและระยะทาง</x:v>
      </x:c>
      <x:c r="N518" s="8" t="str">
        <x:v>ยังไม่ยืนยันการเปิดให้บริการปัจจุบัน</x:v>
      </x:c>
      <x:c r="O518" s="40" t="n">
        <x:v>46315</x:v>
      </x:c>
    </x:row>
    <x:row r="519" ht="38" customHeight="1">
      <x:c r="A519" s="9" t="n">
        <x:v>511</x:v>
      </x:c>
      <x:c r="B519" s="8" t="str">
        <x:v>SALASA HALAL KHAOYAI</x:v>
      </x:c>
      <x:c r="C519" s="8" t="str">
        <x:v>นครราชสีมา</x:v>
      </x:c>
      <x:c r="D519" s="8" t="str">
        <x:v>พร้อมขาย</x:v>
      </x:c>
      <x:c r="E519" s="8" t="str">
        <x:v>ร้านอาหารและคาเฟ่</x:v>
      </x:c>
      <x:c r="F519" s="38" t="n">
        <x:v>46316</x:v>
      </x:c>
      <x:c r="G519" s="8" t="str">
        <x:v>TMF-128</x:v>
      </x:c>
      <x:c r="H519" s="39" t="str">
        <x:v>เพิ่มเติม</x:v>
      </x:c>
      <x:c r="I519" s="8" t="str">
        <x:v>เพิ่มเติม เขาใหญ่–ปากช่อง</x:v>
      </x:c>
      <x:c r="J519" s="8" t="str">
        <x:v>ตัวเลือกเสริม</x:v>
      </x:c>
      <x:c r="K519" s="8" t="str">
        <x:v>ร้านอาหาร</x:v>
      </x:c>
      <x:c r="L519" s="8" t="str">
        <x:f>INDEX('ประเมินเกณฑ์'!$AE$9:$AE$608,MATCH(G519,'ประเมินเกณฑ์'!$A$9:$A$608,0))</x:f>
        <x:v>รอประเมิน</x:v>
      </x:c>
      <x:c r="M519" s="8" t="str">
        <x:v>พื้นที่เพิ่มเติม ตรวจอำเภอและระยะทาง</x:v>
      </x:c>
      <x:c r="N519" s="8" t="str">
        <x:v>ยังไม่ยืนยันการเปิดให้บริการปัจจุบัน</x:v>
      </x:c>
      <x:c r="O519" s="40" t="n">
        <x:v>46315</x:v>
      </x:c>
    </x:row>
    <x:row r="520" ht="38" customHeight="1">
      <x:c r="A520" s="9" t="n">
        <x:v>512</x:v>
      </x:c>
      <x:c r="B520" s="8" t="str">
        <x:v>ครัวนาคนาวา ข้าวหมกไฮโซ เขาใหญ่</x:v>
      </x:c>
      <x:c r="C520" s="8" t="str">
        <x:v>นครราชสีมา</x:v>
      </x:c>
      <x:c r="D520" s="8" t="str">
        <x:v>มีศักยภาพ แต่ต้องพัฒนามาตรฐาน</x:v>
      </x:c>
      <x:c r="E520" s="8" t="str">
        <x:v>ร้านอาหารและคาเฟ่</x:v>
      </x:c>
      <x:c r="F520" s="38" t="n">
        <x:v>46316</x:v>
      </x:c>
      <x:c r="G520" s="8" t="str">
        <x:v>R26-360</x:v>
      </x:c>
      <x:c r="H520" s="39" t="str">
        <x:v>เพิ่มเติม</x:v>
      </x:c>
      <x:c r="I520" s="8" t="str">
        <x:v>เพิ่มเติม เขาใหญ่–ปากช่อง</x:v>
      </x:c>
      <x:c r="J520" s="8" t="str">
        <x:v>ตัวเลือกเสริม</x:v>
      </x:c>
      <x:c r="K520" s="8" t="str">
        <x:v>อาหาร</x:v>
      </x:c>
      <x:c r="L520" s="8" t="str">
        <x:f>INDEX('ประเมินเกณฑ์'!$AE$9:$AE$608,MATCH(G520,'ประเมินเกณฑ์'!$A$9:$A$608,0))</x:f>
        <x:v>รอประเมิน</x:v>
      </x:c>
      <x:c r="M520" s="8" t="str">
        <x:v>พื้นที่เพิ่มเติม ตรวจอำเภอและระยะทาง</x:v>
      </x:c>
      <x:c r="N520" s="8" t="str">
        <x:v>ยังไม่ยืนยันการเปิดให้บริการปัจจุบัน</x:v>
      </x:c>
      <x:c r="O520" s="40" t="n">
        <x:v>46316</x:v>
      </x:c>
    </x:row>
    <x:row r="521" ht="38" customHeight="1">
      <x:c r="A521" s="9" t="n">
        <x:v>513</x:v>
      </x:c>
      <x:c r="B521" s="8" t="str">
        <x:v>ครัวอินดี้เขาใหญ่ อาหารปักษ์ใต้ ฮาลาล</x:v>
      </x:c>
      <x:c r="C521" s="8" t="str">
        <x:v>นครราชสีมา</x:v>
      </x:c>
      <x:c r="D521" s="8" t="str">
        <x:v>พร้อมขาย</x:v>
      </x:c>
      <x:c r="E521" s="8" t="str">
        <x:v>ร้านอาหารและคาเฟ่</x:v>
      </x:c>
      <x:c r="F521" s="38" t="n">
        <x:v>46316</x:v>
      </x:c>
      <x:c r="G521" s="8" t="str">
        <x:v>TMF-130</x:v>
      </x:c>
      <x:c r="H521" s="39" t="str">
        <x:v>เพิ่มเติม</x:v>
      </x:c>
      <x:c r="I521" s="8" t="str">
        <x:v>เพิ่มเติม เขาใหญ่–ปากช่อง</x:v>
      </x:c>
      <x:c r="J521" s="8" t="str">
        <x:v>ตัวเลือกเสริม</x:v>
      </x:c>
      <x:c r="K521" s="8" t="str">
        <x:v>ร้านอาหาร</x:v>
      </x:c>
      <x:c r="L521" s="8" t="str">
        <x:f>INDEX('ประเมินเกณฑ์'!$AE$9:$AE$608,MATCH(G521,'ประเมินเกณฑ์'!$A$9:$A$608,0))</x:f>
        <x:v>รอประเมิน</x:v>
      </x:c>
      <x:c r="M521" s="8" t="str">
        <x:v>พื้นที่เพิ่มเติม ตรวจอำเภอและระยะทาง</x:v>
      </x:c>
      <x:c r="N521" s="8" t="str">
        <x:v>ยังไม่ยืนยันการเปิดให้บริการปัจจุบัน</x:v>
      </x:c>
      <x:c r="O521" s="40" t="n">
        <x:v>46315</x:v>
      </x:c>
    </x:row>
    <x:row r="522" ht="38" customHeight="1">
      <x:c r="A522" s="9" t="n">
        <x:v>514</x:v>
      </x:c>
      <x:c r="B522" s="8" t="str">
        <x:v>บ้านกังหันวัลเล่ย์ แคมป์ปิ้ง&amp;ฮาลาลฟู้ด</x:v>
      </x:c>
      <x:c r="C522" s="8" t="str">
        <x:v>นครราชสีมา</x:v>
      </x:c>
      <x:c r="D522" s="8" t="str">
        <x:v>พร้อมขาย</x:v>
      </x:c>
      <x:c r="E522" s="8" t="str">
        <x:v>ร้านอาหารและคาเฟ่</x:v>
      </x:c>
      <x:c r="F522" s="38" t="n">
        <x:v>46316</x:v>
      </x:c>
      <x:c r="G522" s="8" t="str">
        <x:v>TMF-131</x:v>
      </x:c>
      <x:c r="H522" s="39" t="str">
        <x:v>เพิ่มเติม</x:v>
      </x:c>
      <x:c r="I522" s="8" t="str">
        <x:v>เพิ่มเติม เขาใหญ่–ปากช่อง</x:v>
      </x:c>
      <x:c r="J522" s="8" t="str">
        <x:v>ตัวเลือกเสริม</x:v>
      </x:c>
      <x:c r="K522" s="8" t="str">
        <x:v>ร้านอาหาร</x:v>
      </x:c>
      <x:c r="L522" s="8" t="str">
        <x:f>INDEX('ประเมินเกณฑ์'!$AE$9:$AE$608,MATCH(G522,'ประเมินเกณฑ์'!$A$9:$A$608,0))</x:f>
        <x:v>รอประเมิน</x:v>
      </x:c>
      <x:c r="M522" s="8" t="str">
        <x:v>พื้นที่เพิ่มเติม ตรวจอำเภอและระยะทาง</x:v>
      </x:c>
      <x:c r="N522" s="8" t="str">
        <x:v>ยังไม่ยืนยันการเปิดให้บริการปัจจุบัน</x:v>
      </x:c>
      <x:c r="O522" s="40" t="n">
        <x:v>46315</x:v>
      </x:c>
    </x:row>
    <x:row r="523" ht="38" customHeight="1">
      <x:c r="A523" s="9" t="n">
        <x:v>515</x:v>
      </x:c>
      <x:c r="B523" s="8" t="str">
        <x:v>ฟอสซิล แคมป์</x:v>
      </x:c>
      <x:c r="C523" s="8" t="str">
        <x:v>นครราชสีมา</x:v>
      </x:c>
      <x:c r="D523" s="8" t="str">
        <x:v>พร้อมขาย</x:v>
      </x:c>
      <x:c r="E523" s="8" t="str">
        <x:v>ร้านอาหารและคาเฟ่</x:v>
      </x:c>
      <x:c r="F523" s="38" t="n">
        <x:v>46316</x:v>
      </x:c>
      <x:c r="G523" s="8" t="str">
        <x:v>TMF-133</x:v>
      </x:c>
      <x:c r="H523" s="39" t="str">
        <x:v>เพิ่มเติม</x:v>
      </x:c>
      <x:c r="I523" s="8" t="str">
        <x:v>เพิ่มเติม เขาใหญ่–ปากช่อง</x:v>
      </x:c>
      <x:c r="J523" s="8" t="str">
        <x:v>ตัวเลือกเสริม</x:v>
      </x:c>
      <x:c r="K523" s="8" t="str">
        <x:v>ร้านอาหาร</x:v>
      </x:c>
      <x:c r="L523" s="8" t="str">
        <x:f>INDEX('ประเมินเกณฑ์'!$AE$9:$AE$608,MATCH(G523,'ประเมินเกณฑ์'!$A$9:$A$608,0))</x:f>
        <x:v>รอประเมิน</x:v>
      </x:c>
      <x:c r="M523" s="8" t="str">
        <x:v>พื้นที่เพิ่มเติม ตรวจอำเภอและระยะทาง</x:v>
      </x:c>
      <x:c r="N523" s="8" t="str">
        <x:v>ยังไม่ยืนยันการเปิดให้บริการปัจจุบัน</x:v>
      </x:c>
      <x:c r="O523" s="40" t="n">
        <x:v>46315</x:v>
      </x:c>
    </x:row>
    <x:row r="524" ht="38" customHeight="1">
      <x:c r="A524" s="9" t="n">
        <x:v>516</x:v>
      </x:c>
      <x:c r="B524" s="8" t="str">
        <x:v>ร้านอาหารอายะห์ ปากช่อง</x:v>
      </x:c>
      <x:c r="C524" s="8" t="str">
        <x:v>นครราชสีมา</x:v>
      </x:c>
      <x:c r="D524" s="8" t="str">
        <x:v>มีศักยภาพ แต่ต้องพัฒนามาตรฐาน</x:v>
      </x:c>
      <x:c r="E524" s="8" t="str">
        <x:v>ร้านอาหารและคาเฟ่</x:v>
      </x:c>
      <x:c r="F524" s="38" t="n">
        <x:v>46316</x:v>
      </x:c>
      <x:c r="G524" s="8" t="str">
        <x:v>R26-361</x:v>
      </x:c>
      <x:c r="H524" s="39" t="str">
        <x:v>เพิ่มเติม</x:v>
      </x:c>
      <x:c r="I524" s="8" t="str">
        <x:v>เพิ่มเติม เขาใหญ่–ปากช่อง</x:v>
      </x:c>
      <x:c r="J524" s="8" t="str">
        <x:v>ตัวเลือกเสริม</x:v>
      </x:c>
      <x:c r="K524" s="8" t="str">
        <x:v>อาหาร</x:v>
      </x:c>
      <x:c r="L524" s="8" t="str">
        <x:f>INDEX('ประเมินเกณฑ์'!$AE$9:$AE$608,MATCH(G524,'ประเมินเกณฑ์'!$A$9:$A$608,0))</x:f>
        <x:v>รอประเมิน</x:v>
      </x:c>
      <x:c r="M524" s="8" t="str">
        <x:v>พื้นที่เพิ่มเติม ตรวจอำเภอและระยะทาง</x:v>
      </x:c>
      <x:c r="N524" s="8" t="str">
        <x:v>ยังไม่ยืนยันการเปิดให้บริการปัจจุบัน</x:v>
      </x:c>
      <x:c r="O524" s="40" t="n">
        <x:v>46316</x:v>
      </x:c>
    </x:row>
    <x:row r="525" ht="38" customHeight="1">
      <x:c r="A525" s="9" t="n">
        <x:v>517</x:v>
      </x:c>
      <x:c r="B525" s="8" t="str">
        <x:v>น้ำผุดธรรมชาติบ้านท่าช้าง</x:v>
      </x:c>
      <x:c r="C525" s="8" t="str">
        <x:v>นครราชสีมา</x:v>
      </x:c>
      <x:c r="D525" s="8" t="str">
        <x:v>มีศักยภาพ แต่ต้องพัฒนามาตรฐาน</x:v>
      </x:c>
      <x:c r="E525" s="8" t="str">
        <x:v>แหล่งท่องเที่ยวทางธรรมชาติ</x:v>
      </x:c>
      <x:c r="F525" s="38" t="n">
        <x:v>46316</x:v>
      </x:c>
      <x:c r="G525" s="8" t="str">
        <x:v>R26-243</x:v>
      </x:c>
      <x:c r="H525" s="39" t="str">
        <x:v>เพิ่มเติม</x:v>
      </x:c>
      <x:c r="I525" s="8" t="str">
        <x:v>เพิ่มเติม เขาใหญ่–ปากช่อง</x:v>
      </x:c>
      <x:c r="J525" s="8" t="str">
        <x:v>ตัวเลือกเสริม</x:v>
      </x:c>
      <x:c r="K525" s="8" t="str">
        <x:v>ธรรมชาติ</x:v>
      </x:c>
      <x:c r="L525" s="8" t="str">
        <x:f>INDEX('ประเมินเกณฑ์'!$AE$9:$AE$608,MATCH(G525,'ประเมินเกณฑ์'!$A$9:$A$608,0))</x:f>
        <x:v>รอประเมิน</x:v>
      </x:c>
      <x:c r="M525" s="8" t="str">
        <x:v>พื้นที่เพิ่มเติม ตรวจอำเภอและระยะทาง</x:v>
      </x:c>
      <x:c r="N525" s="8" t="str">
        <x:v>ยังไม่ยืนยันการเปิดให้บริการปัจจุบัน</x:v>
      </x:c>
      <x:c r="O525" s="40" t="n">
        <x:v>46316</x:v>
      </x:c>
    </x:row>
    <x:row r="526" ht="38" customHeight="1">
      <x:c r="A526" s="9" t="n">
        <x:v>518</x:v>
      </x:c>
      <x:c r="B526" s="8" t="str">
        <x:v>อุทยานแห่งชาติเขาใหญ่</x:v>
      </x:c>
      <x:c r="C526" s="8" t="str">
        <x:v>นครราชสีมา</x:v>
      </x:c>
      <x:c r="D526" s="8" t="str">
        <x:v>มีศักยภาพ แต่ต้องพัฒนามาตรฐาน</x:v>
      </x:c>
      <x:c r="E526" s="8" t="str">
        <x:v>แหล่งท่องเที่ยวทางธรรมชาติ</x:v>
      </x:c>
      <x:c r="F526" s="38" t="n">
        <x:v>46316</x:v>
      </x:c>
      <x:c r="G526" s="8" t="str">
        <x:v>R26-242</x:v>
      </x:c>
      <x:c r="H526" s="39" t="str">
        <x:v>เพิ่มเติม</x:v>
      </x:c>
      <x:c r="I526" s="8" t="str">
        <x:v>เพิ่มเติม เขาใหญ่–ปากช่อง</x:v>
      </x:c>
      <x:c r="J526" s="8" t="str">
        <x:v>ตัวเลือกเสริม</x:v>
      </x:c>
      <x:c r="K526" s="8" t="str">
        <x:v>ธรรมชาติ</x:v>
      </x:c>
      <x:c r="L526" s="8" t="str">
        <x:f>INDEX('ประเมินเกณฑ์'!$AE$9:$AE$608,MATCH(G526,'ประเมินเกณฑ์'!$A$9:$A$608,0))</x:f>
        <x:v>รอประเมิน</x:v>
      </x:c>
      <x:c r="M526" s="8" t="str">
        <x:v>พื้นที่เพิ่มเติม ตรวจอำเภอและระยะทาง</x:v>
      </x:c>
      <x:c r="N526" s="8" t="str">
        <x:v>ยังไม่ยืนยันการเปิดให้บริการปัจจุบัน</x:v>
      </x:c>
      <x:c r="O526" s="40" t="n">
        <x:v>46316</x:v>
      </x:c>
    </x:row>
    <x:row r="527" ht="38" customHeight="1">
      <x:c r="A527" s="9" t="n">
        <x:v>519</x:v>
      </x:c>
      <x:c r="B527" s="8" t="str">
        <x:v>มัสยิดญันน่าตุ้ลฟิรเดาซ์ (ปากช่อง)</x:v>
      </x:c>
      <x:c r="C527" s="8" t="str">
        <x:v>นครราชสีมา</x:v>
      </x:c>
      <x:c r="D527" s="8" t="str">
        <x:v>พัฒนาเพื่อพร้อมขาย</x:v>
      </x:c>
      <x:c r="E527" s="8" t="str">
        <x:v>แหล่งท่องเที่ยวทางประวัติศาสตร์และวัฒนธรรม</x:v>
      </x:c>
      <x:c r="F527" s="38" t="n">
        <x:v>46316</x:v>
      </x:c>
      <x:c r="G527" s="8" t="str">
        <x:v>TMF-357</x:v>
      </x:c>
      <x:c r="H527" s="39" t="str">
        <x:v>เพิ่มเติม</x:v>
      </x:c>
      <x:c r="I527" s="8" t="str">
        <x:v>เพิ่มเติม เขาใหญ่–ปากช่อง</x:v>
      </x:c>
      <x:c r="J527" s="8" t="str">
        <x:v>ตัวเลือกเสริม</x:v>
      </x:c>
      <x:c r="K527" s="8" t="str">
        <x:v>มัสยิด</x:v>
      </x:c>
      <x:c r="L527" s="8" t="str">
        <x:f>INDEX('ประเมินเกณฑ์'!$AE$9:$AE$608,MATCH(G527,'ประเมินเกณฑ์'!$A$9:$A$608,0))</x:f>
        <x:v>รอประเมิน</x:v>
      </x:c>
      <x:c r="M527" s="8" t="str">
        <x:v>พื้นที่เพิ่มเติม ตรวจอำเภอและระยะทาง</x:v>
      </x:c>
      <x:c r="N527" s="8" t="str">
        <x:v>ยังไม่ยืนยันการเปิดให้บริการปัจจุบัน</x:v>
      </x:c>
      <x:c r="O527" s="40" t="n">
        <x:v>46315</x:v>
      </x:c>
    </x:row>
    <x:row r="528" ht="38" customHeight="1">
      <x:c r="A528" s="9" t="n">
        <x:v>520</x:v>
      </x:c>
      <x:c r="B528" s="8" t="str">
        <x:v>Khao Yai Speedkart</x:v>
      </x:c>
      <x:c r="C528" s="8" t="str">
        <x:v>นครราชสีมา</x:v>
      </x:c>
      <x:c r="D528" s="8" t="str">
        <x:v>มีศักยภาพ แต่ต้องพัฒนามาตรฐาน</x:v>
      </x:c>
      <x:c r="E528" s="8" t="str">
        <x:v>ศูนย์กิจกรรมและนันทนาการ</x:v>
      </x:c>
      <x:c r="F528" s="38" t="n">
        <x:v>46316</x:v>
      </x:c>
      <x:c r="G528" s="8" t="str">
        <x:v>R26-326</x:v>
      </x:c>
      <x:c r="H528" s="39" t="str">
        <x:v>เพิ่มเติม</x:v>
      </x:c>
      <x:c r="I528" s="8" t="str">
        <x:v>เพิ่มเติม เขาใหญ่–ปากช่อง</x:v>
      </x:c>
      <x:c r="J528" s="8" t="str">
        <x:v>ตัวเลือกเสริม</x:v>
      </x:c>
      <x:c r="K528" s="8" t="str">
        <x:v>กิจกรรม</x:v>
      </x:c>
      <x:c r="L528" s="8" t="str">
        <x:f>INDEX('ประเมินเกณฑ์'!$AE$9:$AE$608,MATCH(G528,'ประเมินเกณฑ์'!$A$9:$A$608,0))</x:f>
        <x:v>รอประเมิน</x:v>
      </x:c>
      <x:c r="M528" s="8" t="str">
        <x:v>พื้นที่เพิ่มเติม ตรวจอำเภอและระยะทาง</x:v>
      </x:c>
      <x:c r="N528" s="8" t="str">
        <x:v>ยังไม่ยืนยันการเปิดให้บริการปัจจุบัน</x:v>
      </x:c>
      <x:c r="O528" s="40" t="n">
        <x:v>46316</x:v>
      </x:c>
    </x:row>
    <x:row r="529" ht="38" customHeight="1">
      <x:c r="A529" s="9" t="n">
        <x:v>521</x:v>
      </x:c>
      <x:c r="B529" s="8" t="str">
        <x:v>ฟาร์มโชคชัย</x:v>
      </x:c>
      <x:c r="C529" s="8" t="str">
        <x:v>นครราชสีมา</x:v>
      </x:c>
      <x:c r="D529" s="8" t="str">
        <x:v>มีศักยภาพ แต่ต้องพัฒนามาตรฐาน</x:v>
      </x:c>
      <x:c r="E529" s="8" t="str">
        <x:v>ศูนย์กิจกรรมและนันทนาการ</x:v>
      </x:c>
      <x:c r="F529" s="38" t="n">
        <x:v>46316</x:v>
      </x:c>
      <x:c r="G529" s="8" t="str">
        <x:v>R26-244</x:v>
      </x:c>
      <x:c r="H529" s="39" t="str">
        <x:v>เพิ่มเติม</x:v>
      </x:c>
      <x:c r="I529" s="8" t="str">
        <x:v>เพิ่มเติม เขาใหญ่–ปากช่อง</x:v>
      </x:c>
      <x:c r="J529" s="8" t="str">
        <x:v>ตัวเลือกเสริม</x:v>
      </x:c>
      <x:c r="K529" s="8" t="str">
        <x:v>กิจกรรม</x:v>
      </x:c>
      <x:c r="L529" s="8" t="str">
        <x:f>INDEX('ประเมินเกณฑ์'!$AE$9:$AE$608,MATCH(G529,'ประเมินเกณฑ์'!$A$9:$A$608,0))</x:f>
        <x:v>รอประเมิน</x:v>
      </x:c>
      <x:c r="M529" s="8" t="str">
        <x:v>พื้นที่เพิ่มเติม ตรวจอำเภอและระยะทาง</x:v>
      </x:c>
      <x:c r="N529" s="8" t="str">
        <x:v>ยังไม่ยืนยันการเปิดให้บริการปัจจุบัน</x:v>
      </x:c>
      <x:c r="O529" s="40" t="n">
        <x:v>46316</x:v>
      </x:c>
    </x:row>
    <x:row r="530" ht="38" customHeight="1">
      <x:c r="A530" s="9" t="n">
        <x:v>522</x:v>
      </x:c>
      <x:c r="B530" s="8" t="str">
        <x:v>Tanyong Hotel Narathiwat</x:v>
      </x:c>
      <x:c r="C530" s="8" t="str">
        <x:v>นราธิวาส</x:v>
      </x:c>
      <x:c r="D530" s="8" t="str">
        <x:v>มีศักยภาพ แต่ต้องพัฒนามาตรฐาน</x:v>
      </x:c>
      <x:c r="E530" s="8" t="str">
        <x:v>ที่พัก</x:v>
      </x:c>
      <x:c r="F530" s="38" t="n">
        <x:v>46316</x:v>
      </x:c>
      <x:c r="G530" s="8" t="str">
        <x:v>R26-383</x:v>
      </x:c>
      <x:c r="H530" s="39" t="str">
        <x:v>เพิ่มเติม</x:v>
      </x:c>
      <x:c r="I530" s="8" t="str">
        <x:v>พื้นที่เพิ่มเติม</x:v>
      </x:c>
      <x:c r="J530" s="8" t="str">
        <x:v>ตัวเลือกเสริม</x:v>
      </x:c>
      <x:c r="K530" s="8" t="str">
        <x:v>ที่พัก</x:v>
      </x:c>
      <x:c r="L530" s="8" t="str">
        <x:f>INDEX('ประเมินเกณฑ์'!$AE$9:$AE$608,MATCH(G530,'ประเมินเกณฑ์'!$A$9:$A$608,0))</x:f>
        <x:v>รอประเมิน</x:v>
      </x:c>
      <x:c r="M530" s="8" t="str">
        <x:v>พื้นที่เพิ่มเติมตามบรีฟ/ทะเบียน GMHI</x:v>
      </x:c>
      <x:c r="N530" s="8" t="str">
        <x:v>ยังไม่ยืนยันการเปิดให้บริการปัจจุบัน</x:v>
      </x:c>
      <x:c r="O530" s="40" t="n">
        <x:v>46316</x:v>
      </x:c>
    </x:row>
    <x:row r="531" ht="38" customHeight="1">
      <x:c r="A531" s="9" t="n">
        <x:v>523</x:v>
      </x:c>
      <x:c r="B531" s="8" t="str">
        <x:v>โรงแรมอิมพีเรียล นราธิวาส</x:v>
      </x:c>
      <x:c r="C531" s="8" t="str">
        <x:v>นราธิวาส</x:v>
      </x:c>
      <x:c r="D531" s="8" t="str">
        <x:v>พัฒนาเพื่อพร้อมขาย</x:v>
      </x:c>
      <x:c r="E531" s="8" t="str">
        <x:v>ที่พัก</x:v>
      </x:c>
      <x:c r="F531" s="38" t="n">
        <x:v>46316</x:v>
      </x:c>
      <x:c r="G531" s="8" t="str">
        <x:v>TMF-365</x:v>
      </x:c>
      <x:c r="H531" s="39" t="str">
        <x:v>เพิ่มเติม</x:v>
      </x:c>
      <x:c r="I531" s="8" t="str">
        <x:v>พื้นที่เพิ่มเติม</x:v>
      </x:c>
      <x:c r="J531" s="8" t="str">
        <x:v>ตัวเลือกเสริม</x:v>
      </x:c>
      <x:c r="K531" s="8" t="str">
        <x:v>โรงแรมหรือรีสอร์ท</x:v>
      </x:c>
      <x:c r="L531" s="8" t="str">
        <x:f>INDEX('ประเมินเกณฑ์'!$AE$9:$AE$608,MATCH(G531,'ประเมินเกณฑ์'!$A$9:$A$608,0))</x:f>
        <x:v>รอประเมิน</x:v>
      </x:c>
      <x:c r="M531" s="8" t="str">
        <x:v>พื้นที่เพิ่มเติมตามบรีฟ/ทะเบียน GMHI</x:v>
      </x:c>
      <x:c r="N531" s="8" t="str">
        <x:v>ยังไม่ยืนยันการเปิดให้บริการปัจจุบัน</x:v>
      </x:c>
      <x:c r="O531" s="40" t="n">
        <x:v>46316</x:v>
      </x:c>
    </x:row>
    <x:row r="532" ht="38" customHeight="1">
      <x:c r="A532" s="9" t="n">
        <x:v>524</x:v>
      </x:c>
      <x:c r="B532" s="8" t="str">
        <x:v>กะละห์ชวนชิม</x:v>
      </x:c>
      <x:c r="C532" s="8" t="str">
        <x:v>นราธิวาส</x:v>
      </x:c>
      <x:c r="D532" s="8" t="str">
        <x:v>มีศักยภาพ แต่ต้องพัฒนามาตรฐาน</x:v>
      </x:c>
      <x:c r="E532" s="8" t="str">
        <x:v>ร้านอาหารและคาเฟ่</x:v>
      </x:c>
      <x:c r="F532" s="38" t="n">
        <x:v>46316</x:v>
      </x:c>
      <x:c r="G532" s="8" t="str">
        <x:v>R26-350</x:v>
      </x:c>
      <x:c r="H532" s="39" t="str">
        <x:v>เพิ่มเติม</x:v>
      </x:c>
      <x:c r="I532" s="8" t="str">
        <x:v>พื้นที่เพิ่มเติม</x:v>
      </x:c>
      <x:c r="J532" s="8" t="str">
        <x:v>ตัวเลือกเสริม</x:v>
      </x:c>
      <x:c r="K532" s="8" t="str">
        <x:v>อาหาร</x:v>
      </x:c>
      <x:c r="L532" s="8" t="str">
        <x:f>INDEX('ประเมินเกณฑ์'!$AE$9:$AE$608,MATCH(G532,'ประเมินเกณฑ์'!$A$9:$A$608,0))</x:f>
        <x:v>รอประเมิน</x:v>
      </x:c>
      <x:c r="M532" s="8" t="str">
        <x:v>พื้นที่เพิ่มเติมตามบรีฟ/ทะเบียน GMHI</x:v>
      </x:c>
      <x:c r="N532" s="8" t="str">
        <x:v>ยังไม่ยืนยันการเปิดให้บริการปัจจุบัน</x:v>
      </x:c>
      <x:c r="O532" s="40" t="n">
        <x:v>46316</x:v>
      </x:c>
    </x:row>
    <x:row r="533" ht="38" customHeight="1">
      <x:c r="A533" s="9" t="n">
        <x:v>525</x:v>
      </x:c>
      <x:c r="B533" s="8" t="str">
        <x:v>ป่าพรุโต๊ะแดง</x:v>
      </x:c>
      <x:c r="C533" s="8" t="str">
        <x:v>นราธิวาส</x:v>
      </x:c>
      <x:c r="D533" s="8" t="str">
        <x:v>มีศักยภาพ แต่ต้องพัฒนามาตรฐาน</x:v>
      </x:c>
      <x:c r="E533" s="8" t="str">
        <x:v>แหล่งท่องเที่ยวทางธรรมชาติ</x:v>
      </x:c>
      <x:c r="F533" s="38" t="n">
        <x:v>46316</x:v>
      </x:c>
      <x:c r="G533" s="8" t="str">
        <x:v>R26-236</x:v>
      </x:c>
      <x:c r="H533" s="39" t="str">
        <x:v>เพิ่มเติม</x:v>
      </x:c>
      <x:c r="I533" s="8" t="str">
        <x:v>พื้นที่เพิ่มเติม</x:v>
      </x:c>
      <x:c r="J533" s="8" t="str">
        <x:v>ตัวเลือกเสริม</x:v>
      </x:c>
      <x:c r="K533" s="8" t="str">
        <x:v>ธรรมชาติ</x:v>
      </x:c>
      <x:c r="L533" s="8" t="str">
        <x:f>INDEX('ประเมินเกณฑ์'!$AE$9:$AE$608,MATCH(G533,'ประเมินเกณฑ์'!$A$9:$A$608,0))</x:f>
        <x:v>รอประเมิน</x:v>
      </x:c>
      <x:c r="M533" s="8" t="str">
        <x:v>พื้นที่เพิ่มเติมตามบรีฟ/ทะเบียน GMHI</x:v>
      </x:c>
      <x:c r="N533" s="8" t="str">
        <x:v>ยังไม่ยืนยันการเปิดให้บริการปัจจุบัน</x:v>
      </x:c>
      <x:c r="O533" s="40" t="n">
        <x:v>46316</x:v>
      </x:c>
    </x:row>
    <x:row r="534" ht="38" customHeight="1">
      <x:c r="A534" s="9" t="n">
        <x:v>526</x:v>
      </x:c>
      <x:c r="B534" s="8" t="str">
        <x:v>อุทยานแห่งชาติอ่าวมะนาว-เขาตันหยง</x:v>
      </x:c>
      <x:c r="C534" s="8" t="str">
        <x:v>นราธิวาส</x:v>
      </x:c>
      <x:c r="D534" s="8" t="str">
        <x:v>มีศักยภาพ แต่ต้องพัฒนามาตรฐาน</x:v>
      </x:c>
      <x:c r="E534" s="8" t="str">
        <x:v>แหล่งท่องเที่ยวทางธรรมชาติ</x:v>
      </x:c>
      <x:c r="F534" s="38" t="n">
        <x:v>46316</x:v>
      </x:c>
      <x:c r="G534" s="8" t="str">
        <x:v>R26-235</x:v>
      </x:c>
      <x:c r="H534" s="39" t="str">
        <x:v>เพิ่มเติม</x:v>
      </x:c>
      <x:c r="I534" s="8" t="str">
        <x:v>พื้นที่เพิ่มเติม</x:v>
      </x:c>
      <x:c r="J534" s="8" t="str">
        <x:v>ตัวเลือกเสริม</x:v>
      </x:c>
      <x:c r="K534" s="8" t="str">
        <x:v>ธรรมชาติ</x:v>
      </x:c>
      <x:c r="L534" s="8" t="str">
        <x:f>INDEX('ประเมินเกณฑ์'!$AE$9:$AE$608,MATCH(G534,'ประเมินเกณฑ์'!$A$9:$A$608,0))</x:f>
        <x:v>รอประเมิน</x:v>
      </x:c>
      <x:c r="M534" s="8" t="str">
        <x:v>พื้นที่เพิ่มเติมตามบรีฟ/ทะเบียน GMHI</x:v>
      </x:c>
      <x:c r="N534" s="8" t="str">
        <x:v>ยังไม่ยืนยันการเปิดให้บริการปัจจุบัน</x:v>
      </x:c>
      <x:c r="O534" s="40" t="n">
        <x:v>46316</x:v>
      </x:c>
    </x:row>
    <x:row r="535" ht="38" customHeight="1">
      <x:c r="A535" s="9" t="n">
        <x:v>527</x:v>
      </x:c>
      <x:c r="B535" s="8" t="str">
        <x:v>มัสยิดกลางจังหวัดนราธิวาส</x:v>
      </x:c>
      <x:c r="C535" s="8" t="str">
        <x:v>นราธิวาส</x:v>
      </x:c>
      <x:c r="D535" s="8" t="str">
        <x:v>มีศักยภาพ แต่ต้องพัฒนามาตรฐาน</x:v>
      </x:c>
      <x:c r="E535" s="8" t="str">
        <x:v>แหล่งท่องเที่ยวทางประวัติศาสตร์และวัฒนธรรม</x:v>
      </x:c>
      <x:c r="F535" s="38" t="n">
        <x:v>46316</x:v>
      </x:c>
      <x:c r="G535" s="8" t="str">
        <x:v>R26-237</x:v>
      </x:c>
      <x:c r="H535" s="39" t="str">
        <x:v>เพิ่มเติม</x:v>
      </x:c>
      <x:c r="I535" s="8" t="str">
        <x:v>พื้นที่เพิ่มเติม</x:v>
      </x:c>
      <x:c r="J535" s="8" t="str">
        <x:v>ตัวเลือกเสริม</x:v>
      </x:c>
      <x:c r="K535" s="8" t="str">
        <x:v>มัสยิด</x:v>
      </x:c>
      <x:c r="L535" s="8" t="str">
        <x:f>INDEX('ประเมินเกณฑ์'!$AE$9:$AE$608,MATCH(G535,'ประเมินเกณฑ์'!$A$9:$A$608,0))</x:f>
        <x:v>รอประเมิน</x:v>
      </x:c>
      <x:c r="M535" s="8" t="str">
        <x:v>พื้นที่เพิ่มเติมตามบรีฟ/ทะเบียน GMHI</x:v>
      </x:c>
      <x:c r="N535" s="8" t="str">
        <x:v>ยังไม่ยืนยันการเปิดให้บริการปัจจุบัน</x:v>
      </x:c>
      <x:c r="O535" s="40" t="n">
        <x:v>46316</x:v>
      </x:c>
    </x:row>
    <x:row r="536" ht="38" customHeight="1">
      <x:c r="A536" s="9" t="n">
        <x:v>528</x:v>
      </x:c>
      <x:c r="B536" s="8" t="str">
        <x:v>มัสยิดวาดีลฮูเซ็น</x:v>
      </x:c>
      <x:c r="C536" s="8" t="str">
        <x:v>นราธิวาส</x:v>
      </x:c>
      <x:c r="D536" s="8" t="str">
        <x:v>พัฒนาเพื่อพร้อมขาย</x:v>
      </x:c>
      <x:c r="E536" s="8" t="str">
        <x:v>แหล่งท่องเที่ยวทางประวัติศาสตร์และวัฒนธรรม</x:v>
      </x:c>
      <x:c r="F536" s="38" t="n">
        <x:v>46316</x:v>
      </x:c>
      <x:c r="G536" s="8" t="str">
        <x:v>TMF-366</x:v>
      </x:c>
      <x:c r="H536" s="39" t="str">
        <x:v>เพิ่มเติม</x:v>
      </x:c>
      <x:c r="I536" s="8" t="str">
        <x:v>พื้นที่เพิ่มเติม</x:v>
      </x:c>
      <x:c r="J536" s="8" t="str">
        <x:v>ตัวเลือกเสริม</x:v>
      </x:c>
      <x:c r="K536" s="8" t="str">
        <x:v>มัสยิด</x:v>
      </x:c>
      <x:c r="L536" s="8" t="str">
        <x:f>INDEX('ประเมินเกณฑ์'!$AE$9:$AE$608,MATCH(G536,'ประเมินเกณฑ์'!$A$9:$A$608,0))</x:f>
        <x:v>รอประเมิน</x:v>
      </x:c>
      <x:c r="M536" s="8" t="str">
        <x:v>พื้นที่เพิ่มเติมตามบรีฟ/ทะเบียน GMHI</x:v>
      </x:c>
      <x:c r="N536" s="8" t="str">
        <x:v>ยังไม่ยืนยันการเปิดให้บริการปัจจุบัน</x:v>
      </x:c>
      <x:c r="O536" s="40" t="n">
        <x:v>46315</x:v>
      </x:c>
    </x:row>
    <x:row r="537" ht="38" customHeight="1">
      <x:c r="A537" s="9" t="n">
        <x:v>529</x:v>
      </x:c>
      <x:c r="B537" s="8" t="str">
        <x:v>ชุมชนบ้านทอน</x:v>
      </x:c>
      <x:c r="C537" s="8" t="str">
        <x:v>นราธิวาส</x:v>
      </x:c>
      <x:c r="D537" s="8" t="str">
        <x:v>มีศักยภาพ แต่ต้องพัฒนามาตรฐาน</x:v>
      </x:c>
      <x:c r="E537" s="8" t="str">
        <x:v>ชุมชนท่องเที่ยว</x:v>
      </x:c>
      <x:c r="F537" s="38" t="n">
        <x:v>46316</x:v>
      </x:c>
      <x:c r="G537" s="8" t="str">
        <x:v>R26-233</x:v>
      </x:c>
      <x:c r="H537" s="39" t="str">
        <x:v>เพิ่มเติม</x:v>
      </x:c>
      <x:c r="I537" s="8" t="str">
        <x:v>พื้นที่เพิ่มเติม</x:v>
      </x:c>
      <x:c r="J537" s="8" t="str">
        <x:v>ตัวเลือกเสริม</x:v>
      </x:c>
      <x:c r="K537" s="8" t="str">
        <x:v>ชุมชน</x:v>
      </x:c>
      <x:c r="L537" s="8" t="str">
        <x:f>INDEX('ประเมินเกณฑ์'!$AE$9:$AE$608,MATCH(G537,'ประเมินเกณฑ์'!$A$9:$A$608,0))</x:f>
        <x:v>รอประเมิน</x:v>
      </x:c>
      <x:c r="M537" s="8" t="str">
        <x:v>พื้นที่เพิ่มเติมตามบรีฟ/ทะเบียน GMHI</x:v>
      </x:c>
      <x:c r="N537" s="8" t="str">
        <x:v>ยังไม่ยืนยันการเปิดให้บริการปัจจุบัน</x:v>
      </x:c>
      <x:c r="O537" s="40" t="n">
        <x:v>46316</x:v>
      </x:c>
    </x:row>
    <x:row r="538" ht="38" customHeight="1">
      <x:c r="A538" s="9" t="n">
        <x:v>530</x:v>
      </x:c>
      <x:c r="B538" s="8" t="str">
        <x:v>ชุมชนบ้านภูเขาทอง</x:v>
      </x:c>
      <x:c r="C538" s="8" t="str">
        <x:v>นราธิวาส</x:v>
      </x:c>
      <x:c r="D538" s="8" t="str">
        <x:v>มีศักยภาพ แต่ต้องพัฒนามาตรฐาน</x:v>
      </x:c>
      <x:c r="E538" s="8" t="str">
        <x:v>ชุมชนท่องเที่ยว</x:v>
      </x:c>
      <x:c r="F538" s="38" t="n">
        <x:v>46316</x:v>
      </x:c>
      <x:c r="G538" s="8" t="str">
        <x:v>R26-234</x:v>
      </x:c>
      <x:c r="H538" s="39" t="str">
        <x:v>เพิ่มเติม</x:v>
      </x:c>
      <x:c r="I538" s="8" t="str">
        <x:v>พื้นที่เพิ่มเติม</x:v>
      </x:c>
      <x:c r="J538" s="8" t="str">
        <x:v>ตัวเลือกเสริม</x:v>
      </x:c>
      <x:c r="K538" s="8" t="str">
        <x:v>ชุมชน</x:v>
      </x:c>
      <x:c r="L538" s="8" t="str">
        <x:f>INDEX('ประเมินเกณฑ์'!$AE$9:$AE$608,MATCH(G538,'ประเมินเกณฑ์'!$A$9:$A$608,0))</x:f>
        <x:v>รอประเมิน</x:v>
      </x:c>
      <x:c r="M538" s="8" t="str">
        <x:v>พื้นที่เพิ่มเติมตามบรีฟ/ทะเบียน GMHI</x:v>
      </x:c>
      <x:c r="N538" s="8" t="str">
        <x:v>ยังไม่ยืนยันการเปิดให้บริการปัจจุบัน</x:v>
      </x:c>
      <x:c r="O538" s="40" t="n">
        <x:v>46316</x:v>
      </x:c>
    </x:row>
    <x:row r="539" ht="38" customHeight="1">
      <x:c r="A539" s="9" t="n">
        <x:v>531</x:v>
      </x:c>
      <x:c r="B539" s="8" t="str">
        <x:v>Coco Pina Boutique Resort ที่พัก&amp;คาเฟ่ประจวบ</x:v>
      </x:c>
      <x:c r="C539" s="8" t="str">
        <x:v>ประจวบคีรีขันธ์</x:v>
      </x:c>
      <x:c r="D539" s="8" t="str">
        <x:v>พร้อมขาย</x:v>
      </x:c>
      <x:c r="E539" s="8" t="str">
        <x:v>ที่พัก</x:v>
      </x:c>
      <x:c r="F539" s="38" t="n">
        <x:v>46316</x:v>
      </x:c>
      <x:c r="G539" s="8" t="str">
        <x:v>TMF-184</x:v>
      </x:c>
      <x:c r="H539" s="39" t="str">
        <x:v>เพิ่มเติม</x:v>
      </x:c>
      <x:c r="I539" s="8" t="str">
        <x:v>พื้นที่เพิ่มเติม</x:v>
      </x:c>
      <x:c r="J539" s="8" t="str">
        <x:v>ตัวเลือกเสริม</x:v>
      </x:c>
      <x:c r="K539" s="8" t="str">
        <x:v>ที่พัก (ตรวจประเภทจากชื่อและข้อมูลประกอบ)</x:v>
      </x:c>
      <x:c r="L539" s="8" t="str">
        <x:f>INDEX('ประเมินเกณฑ์'!$AE$9:$AE$608,MATCH(G539,'ประเมินเกณฑ์'!$A$9:$A$608,0))</x:f>
        <x:v>รอประเมิน</x:v>
      </x:c>
      <x:c r="M539" s="8" t="str">
        <x:v>พื้นที่เพิ่มเติมตามบรีฟ/ทะเบียน GMHI</x:v>
      </x:c>
      <x:c r="N539" s="8" t="str">
        <x:v>ยังไม่ยืนยันการเปิดให้บริการปัจจุบัน</x:v>
      </x:c>
      <x:c r="O539" s="40" t="n">
        <x:v>46315</x:v>
      </x:c>
    </x:row>
    <x:row r="540" ht="38" customHeight="1">
      <x:c r="A540" s="9" t="n">
        <x:v>532</x:v>
      </x:c>
      <x:c r="B540" s="8" t="str">
        <x:v>Rista House &amp; Resort</x:v>
      </x:c>
      <x:c r="C540" s="8" t="str">
        <x:v>ประจวบคีรีขันธ์</x:v>
      </x:c>
      <x:c r="D540" s="8" t="str">
        <x:v>พร้อมขาย</x:v>
      </x:c>
      <x:c r="E540" s="8" t="str">
        <x:v>ที่พัก</x:v>
      </x:c>
      <x:c r="F540" s="38" t="n">
        <x:v>46316</x:v>
      </x:c>
      <x:c r="G540" s="8" t="str">
        <x:v>TMF-183</x:v>
      </x:c>
      <x:c r="H540" s="39" t="str">
        <x:v>เพิ่มเติม</x:v>
      </x:c>
      <x:c r="I540" s="8" t="str">
        <x:v>พื้นที่เพิ่มเติม</x:v>
      </x:c>
      <x:c r="J540" s="8" t="str">
        <x:v>ตัวเลือกเสริม</x:v>
      </x:c>
      <x:c r="K540" s="8" t="str">
        <x:v>โรงแรมหรือรีสอร์ท</x:v>
      </x:c>
      <x:c r="L540" s="8" t="str">
        <x:f>INDEX('ประเมินเกณฑ์'!$AE$9:$AE$608,MATCH(G540,'ประเมินเกณฑ์'!$A$9:$A$608,0))</x:f>
        <x:v>รอประเมิน</x:v>
      </x:c>
      <x:c r="M540" s="8" t="str">
        <x:v>พื้นที่เพิ่มเติมตามบรีฟ/ทะเบียน GMHI</x:v>
      </x:c>
      <x:c r="N540" s="8" t="str">
        <x:v>ยังไม่ยืนยันการเปิดให้บริการปัจจุบัน</x:v>
      </x:c>
      <x:c r="O540" s="40" t="n">
        <x:v>46315</x:v>
      </x:c>
    </x:row>
    <x:row r="541" ht="38" customHeight="1">
      <x:c r="A541" s="9" t="n">
        <x:v>533</x:v>
      </x:c>
      <x:c r="B541" s="8" t="str">
        <x:v>ฟาร์ติมะห์คาเฟ่&amp;เนื้อ</x:v>
      </x:c>
      <x:c r="C541" s="8" t="str">
        <x:v>ประจวบคีรีขันธ์</x:v>
      </x:c>
      <x:c r="D541" s="8" t="str">
        <x:v>มีศักยภาพ แต่ต้องพัฒนามาตรฐาน</x:v>
      </x:c>
      <x:c r="E541" s="8" t="str">
        <x:v>ร้านอาหารและคาเฟ่</x:v>
      </x:c>
      <x:c r="F541" s="38" t="n">
        <x:v>46316</x:v>
      </x:c>
      <x:c r="G541" s="8" t="str">
        <x:v>TMF-559</x:v>
      </x:c>
      <x:c r="H541" s="39" t="str">
        <x:v>เพิ่มเติม</x:v>
      </x:c>
      <x:c r="I541" s="8" t="str">
        <x:v>พื้นที่เพิ่มเติม</x:v>
      </x:c>
      <x:c r="J541" s="8" t="str">
        <x:v>ตัวเลือกเสริม</x:v>
      </x:c>
      <x:c r="K541" s="8" t="str">
        <x:v>คาเฟ่และร้านของหวาน</x:v>
      </x:c>
      <x:c r="L541" s="8" t="str">
        <x:f>INDEX('ประเมินเกณฑ์'!$AE$9:$AE$608,MATCH(G541,'ประเมินเกณฑ์'!$A$9:$A$608,0))</x:f>
        <x:v>รอประเมิน</x:v>
      </x:c>
      <x:c r="M541" s="8" t="str">
        <x:v>พื้นที่เพิ่มเติมตามบรีฟ/ทะเบียน GMHI</x:v>
      </x:c>
      <x:c r="N541" s="8" t="str">
        <x:v>ยังไม่ยืนยันการเปิดให้บริการปัจจุบัน</x:v>
      </x:c>
      <x:c r="O541" s="40" t="n">
        <x:v>46315</x:v>
      </x:c>
    </x:row>
    <x:row r="542" ht="38" customHeight="1">
      <x:c r="A542" s="9" t="n">
        <x:v>534</x:v>
      </x:c>
      <x:c r="B542" s="8" t="str">
        <x:v>Chiva-Som Hua Hin</x:v>
      </x:c>
      <x:c r="C542" s="8" t="str">
        <x:v>ประจวบคีรีขันธ์</x:v>
      </x:c>
      <x:c r="D542" s="8" t="str">
        <x:v>มีศักยภาพ แต่ต้องพัฒนามาตรฐาน</x:v>
      </x:c>
      <x:c r="E542" s="8" t="str">
        <x:v>สถานประกอบการเพื่อสุขภาพและเวลเนส</x:v>
      </x:c>
      <x:c r="F542" s="38" t="n">
        <x:v>46316</x:v>
      </x:c>
      <x:c r="G542" s="8" t="str">
        <x:v>R26-297</x:v>
      </x:c>
      <x:c r="H542" s="39" t="str">
        <x:v>เพิ่มเติม</x:v>
      </x:c>
      <x:c r="I542" s="8" t="str">
        <x:v>พื้นที่เพิ่มเติม</x:v>
      </x:c>
      <x:c r="J542" s="8" t="str">
        <x:v>ตัวเลือกเสริม</x:v>
      </x:c>
      <x:c r="K542" s="8" t="str">
        <x:v>เวลเนส</x:v>
      </x:c>
      <x:c r="L542" s="8" t="str">
        <x:f>INDEX('ประเมินเกณฑ์'!$AE$9:$AE$608,MATCH(G542,'ประเมินเกณฑ์'!$A$9:$A$608,0))</x:f>
        <x:v>รอประเมิน</x:v>
      </x:c>
      <x:c r="M542" s="8" t="str">
        <x:v>พื้นที่เพิ่มเติมตามบรีฟ/ทะเบียน GMHI</x:v>
      </x:c>
      <x:c r="N542" s="8" t="str">
        <x:v>ยังไม่ยืนยันการเปิดให้บริการปัจจุบัน</x:v>
      </x:c>
      <x:c r="O542" s="40" t="n">
        <x:v>46316</x:v>
      </x:c>
    </x:row>
    <x:row r="543" ht="38" customHeight="1">
      <x:c r="A543" s="9" t="n">
        <x:v>535</x:v>
      </x:c>
      <x:c r="B543" s="8" t="str">
        <x:v>Let's Relax Spa Hua Hin Market Village</x:v>
      </x:c>
      <x:c r="C543" s="8" t="str">
        <x:v>ประจวบคีรีขันธ์</x:v>
      </x:c>
      <x:c r="D543" s="8" t="str">
        <x:v>มีศักยภาพ แต่ต้องพัฒนามาตรฐาน</x:v>
      </x:c>
      <x:c r="E543" s="8" t="str">
        <x:v>สถานประกอบการเพื่อสุขภาพและเวลเนส</x:v>
      </x:c>
      <x:c r="F543" s="38" t="n">
        <x:v>46316</x:v>
      </x:c>
      <x:c r="G543" s="8" t="str">
        <x:v>R26-296</x:v>
      </x:c>
      <x:c r="H543" s="39" t="str">
        <x:v>เพิ่มเติม</x:v>
      </x:c>
      <x:c r="I543" s="8" t="str">
        <x:v>พื้นที่เพิ่มเติม</x:v>
      </x:c>
      <x:c r="J543" s="8" t="str">
        <x:v>ตัวเลือกเสริม</x:v>
      </x:c>
      <x:c r="K543" s="8" t="str">
        <x:v>เวลเนส</x:v>
      </x:c>
      <x:c r="L543" s="8" t="str">
        <x:f>INDEX('ประเมินเกณฑ์'!$AE$9:$AE$608,MATCH(G543,'ประเมินเกณฑ์'!$A$9:$A$608,0))</x:f>
        <x:v>รอประเมิน</x:v>
      </x:c>
      <x:c r="M543" s="8" t="str">
        <x:v>พื้นที่เพิ่มเติมตามบรีฟ/ทะเบียน GMHI</x:v>
      </x:c>
      <x:c r="N543" s="8" t="str">
        <x:v>ยังไม่ยืนยันการเปิดให้บริการปัจจุบัน</x:v>
      </x:c>
      <x:c r="O543" s="40" t="n">
        <x:v>46316</x:v>
      </x:c>
    </x:row>
    <x:row r="544" ht="38" customHeight="1">
      <x:c r="A544" s="9" t="n">
        <x:v>536</x:v>
      </x:c>
      <x:c r="B544" s="8" t="str">
        <x:v>หาดหัวหิน</x:v>
      </x:c>
      <x:c r="C544" s="8" t="str">
        <x:v>ประจวบคีรีขันธ์</x:v>
      </x:c>
      <x:c r="D544" s="8" t="str">
        <x:v>มีศักยภาพ แต่ต้องพัฒนามาตรฐาน</x:v>
      </x:c>
      <x:c r="E544" s="8" t="str">
        <x:v>แหล่งท่องเที่ยวทางธรรมชาติ</x:v>
      </x:c>
      <x:c r="F544" s="38" t="n">
        <x:v>46316</x:v>
      </x:c>
      <x:c r="G544" s="8" t="str">
        <x:v>R26-247</x:v>
      </x:c>
      <x:c r="H544" s="39" t="str">
        <x:v>เพิ่มเติม</x:v>
      </x:c>
      <x:c r="I544" s="8" t="str">
        <x:v>พื้นที่เพิ่มเติม</x:v>
      </x:c>
      <x:c r="J544" s="8" t="str">
        <x:v>ตัวเลือกเสริม</x:v>
      </x:c>
      <x:c r="K544" s="8" t="str">
        <x:v>ธรรมชาติ</x:v>
      </x:c>
      <x:c r="L544" s="8" t="str">
        <x:f>INDEX('ประเมินเกณฑ์'!$AE$9:$AE$608,MATCH(G544,'ประเมินเกณฑ์'!$A$9:$A$608,0))</x:f>
        <x:v>รอประเมิน</x:v>
      </x:c>
      <x:c r="M544" s="8" t="str">
        <x:v>พื้นที่เพิ่มเติมตามบรีฟ/ทะเบียน GMHI</x:v>
      </x:c>
      <x:c r="N544" s="8" t="str">
        <x:v>ยังไม่ยืนยันการเปิดให้บริการปัจจุบัน</x:v>
      </x:c>
      <x:c r="O544" s="40" t="n">
        <x:v>46316</x:v>
      </x:c>
    </x:row>
    <x:row r="545" ht="38" customHeight="1">
      <x:c r="A545" s="9" t="n">
        <x:v>537</x:v>
      </x:c>
      <x:c r="B545" s="8" t="str">
        <x:v>อุทยานแห่งชาติสามร้อยยอด</x:v>
      </x:c>
      <x:c r="C545" s="8" t="str">
        <x:v>ประจวบคีรีขันธ์</x:v>
      </x:c>
      <x:c r="D545" s="8" t="str">
        <x:v>มีศักยภาพ แต่ต้องพัฒนามาตรฐาน</x:v>
      </x:c>
      <x:c r="E545" s="8" t="str">
        <x:v>แหล่งท่องเที่ยวทางธรรมชาติ</x:v>
      </x:c>
      <x:c r="F545" s="38" t="n">
        <x:v>46316</x:v>
      </x:c>
      <x:c r="G545" s="8" t="str">
        <x:v>R26-246</x:v>
      </x:c>
      <x:c r="H545" s="39" t="str">
        <x:v>เพิ่มเติม</x:v>
      </x:c>
      <x:c r="I545" s="8" t="str">
        <x:v>พื้นที่เพิ่มเติม</x:v>
      </x:c>
      <x:c r="J545" s="8" t="str">
        <x:v>ตัวเลือกเสริม</x:v>
      </x:c>
      <x:c r="K545" s="8" t="str">
        <x:v>ธรรมชาติ</x:v>
      </x:c>
      <x:c r="L545" s="8" t="str">
        <x:f>INDEX('ประเมินเกณฑ์'!$AE$9:$AE$608,MATCH(G545,'ประเมินเกณฑ์'!$A$9:$A$608,0))</x:f>
        <x:v>รอประเมิน</x:v>
      </x:c>
      <x:c r="M545" s="8" t="str">
        <x:v>พื้นที่เพิ่มเติมตามบรีฟ/ทะเบียน GMHI</x:v>
      </x:c>
      <x:c r="N545" s="8" t="str">
        <x:v>ยังไม่ยืนยันการเปิดให้บริการปัจจุบัน</x:v>
      </x:c>
      <x:c r="O545" s="40" t="n">
        <x:v>46316</x:v>
      </x:c>
    </x:row>
    <x:row r="546" ht="38" customHeight="1">
      <x:c r="A546" s="9" t="n">
        <x:v>538</x:v>
      </x:c>
      <x:c r="B546" s="8" t="str">
        <x:v>ชุมชนบ้านเขาเต่า</x:v>
      </x:c>
      <x:c r="C546" s="8" t="str">
        <x:v>ประจวบคีรีขันธ์</x:v>
      </x:c>
      <x:c r="D546" s="8" t="str">
        <x:v>มีศักยภาพ แต่ต้องพัฒนามาตรฐาน</x:v>
      </x:c>
      <x:c r="E546" s="8" t="str">
        <x:v>ชุมชนท่องเที่ยว</x:v>
      </x:c>
      <x:c r="F546" s="38" t="n">
        <x:v>46316</x:v>
      </x:c>
      <x:c r="G546" s="8" t="str">
        <x:v>R26-248</x:v>
      </x:c>
      <x:c r="H546" s="39" t="str">
        <x:v>เพิ่มเติม</x:v>
      </x:c>
      <x:c r="I546" s="8" t="str">
        <x:v>พื้นที่เพิ่มเติม</x:v>
      </x:c>
      <x:c r="J546" s="8" t="str">
        <x:v>ตัวเลือกเสริม</x:v>
      </x:c>
      <x:c r="K546" s="8" t="str">
        <x:v>ชุมชน</x:v>
      </x:c>
      <x:c r="L546" s="8" t="str">
        <x:f>INDEX('ประเมินเกณฑ์'!$AE$9:$AE$608,MATCH(G546,'ประเมินเกณฑ์'!$A$9:$A$608,0))</x:f>
        <x:v>รอประเมิน</x:v>
      </x:c>
      <x:c r="M546" s="8" t="str">
        <x:v>พื้นที่เพิ่มเติมตามบรีฟ/ทะเบียน GMHI</x:v>
      </x:c>
      <x:c r="N546" s="8" t="str">
        <x:v>ยังไม่ยืนยันการเปิดให้บริการปัจจุบัน</x:v>
      </x:c>
      <x:c r="O546" s="40" t="n">
        <x:v>46316</x:v>
      </x:c>
    </x:row>
    <x:row r="547" ht="38" customHeight="1">
      <x:c r="A547" s="9" t="n">
        <x:v>539</x:v>
      </x:c>
      <x:c r="B547" s="8" t="str">
        <x:v>ณ ณิชา รีสอร์ท</x:v>
      </x:c>
      <x:c r="C547" s="8" t="str">
        <x:v>พังงา</x:v>
      </x:c>
      <x:c r="D547" s="8" t="str">
        <x:v>พร้อมขาย</x:v>
      </x:c>
      <x:c r="E547" s="8" t="str">
        <x:v>ที่พัก</x:v>
      </x:c>
      <x:c r="F547" s="38" t="n">
        <x:v>46316</x:v>
      </x:c>
      <x:c r="G547" s="8" t="str">
        <x:v>TMF-186</x:v>
      </x:c>
      <x:c r="H547" s="39" t="str">
        <x:v>เพิ่มเติม</x:v>
      </x:c>
      <x:c r="I547" s="8" t="str">
        <x:v>พื้นที่เพิ่มเติม</x:v>
      </x:c>
      <x:c r="J547" s="8" t="str">
        <x:v>ตัวเลือกเสริม</x:v>
      </x:c>
      <x:c r="K547" s="8" t="str">
        <x:v>โรงแรมหรือรีสอร์ท</x:v>
      </x:c>
      <x:c r="L547" s="8" t="str">
        <x:f>INDEX('ประเมินเกณฑ์'!$AE$9:$AE$608,MATCH(G547,'ประเมินเกณฑ์'!$A$9:$A$608,0))</x:f>
        <x:v>รอประเมิน</x:v>
      </x:c>
      <x:c r="M547" s="8" t="str">
        <x:v>พื้นที่เพิ่มเติมตามบรีฟ/ทะเบียน GMHI</x:v>
      </x:c>
      <x:c r="N547" s="8" t="str">
        <x:v>ยังไม่ยืนยันการเปิดให้บริการปัจจุบัน</x:v>
      </x:c>
      <x:c r="O547" s="40" t="n">
        <x:v>46315</x:v>
      </x:c>
    </x:row>
    <x:row r="548" ht="38" customHeight="1">
      <x:c r="A548" s="9" t="n">
        <x:v>540</x:v>
      </x:c>
      <x:c r="B548" s="8" t="str">
        <x:v>โรงแรม เลอ เอราวัณ พังงา</x:v>
      </x:c>
      <x:c r="C548" s="8" t="str">
        <x:v>พังงา</x:v>
      </x:c>
      <x:c r="D548" s="8" t="str">
        <x:v>พัฒนาเพื่อพร้อมขาย</x:v>
      </x:c>
      <x:c r="E548" s="8" t="str">
        <x:v>ที่พัก</x:v>
      </x:c>
      <x:c r="F548" s="38" t="n">
        <x:v>46316</x:v>
      </x:c>
      <x:c r="G548" s="8" t="str">
        <x:v>TMF-376</x:v>
      </x:c>
      <x:c r="H548" s="39" t="str">
        <x:v>เพิ่มเติม</x:v>
      </x:c>
      <x:c r="I548" s="8" t="str">
        <x:v>พื้นที่เพิ่มเติม</x:v>
      </x:c>
      <x:c r="J548" s="8" t="str">
        <x:v>ตัวเลือกเสริม</x:v>
      </x:c>
      <x:c r="K548" s="8" t="str">
        <x:v>โรงแรมหรือรีสอร์ท</x:v>
      </x:c>
      <x:c r="L548" s="8" t="str">
        <x:f>INDEX('ประเมินเกณฑ์'!$AE$9:$AE$608,MATCH(G548,'ประเมินเกณฑ์'!$A$9:$A$608,0))</x:f>
        <x:v>รอประเมิน</x:v>
      </x:c>
      <x:c r="M548" s="8" t="str">
        <x:v>พื้นที่เพิ่มเติมตามบรีฟ/ทะเบียน GMHI</x:v>
      </x:c>
      <x:c r="N548" s="8" t="str">
        <x:v>ยังไม่ยืนยันการเปิดให้บริการปัจจุบัน</x:v>
      </x:c>
      <x:c r="O548" s="40" t="n">
        <x:v>46315</x:v>
      </x:c>
    </x:row>
    <x:row r="549" ht="38" customHeight="1">
      <x:c r="A549" s="9" t="n">
        <x:v>541</x:v>
      </x:c>
      <x:c r="B549" s="8" t="str">
        <x:v>โรงแรมภูงา</x:v>
      </x:c>
      <x:c r="C549" s="8" t="str">
        <x:v>พังงา</x:v>
      </x:c>
      <x:c r="D549" s="8" t="str">
        <x:v>พัฒนาเพื่อพร้อมขาย</x:v>
      </x:c>
      <x:c r="E549" s="8" t="str">
        <x:v>ที่พัก</x:v>
      </x:c>
      <x:c r="F549" s="38" t="n">
        <x:v>46316</x:v>
      </x:c>
      <x:c r="G549" s="8" t="str">
        <x:v>TMF-377</x:v>
      </x:c>
      <x:c r="H549" s="39" t="str">
        <x:v>เพิ่มเติม</x:v>
      </x:c>
      <x:c r="I549" s="8" t="str">
        <x:v>พื้นที่เพิ่มเติม</x:v>
      </x:c>
      <x:c r="J549" s="8" t="str">
        <x:v>ตัวเลือกเสริม</x:v>
      </x:c>
      <x:c r="K549" s="8" t="str">
        <x:v>โรงแรมหรือรีสอร์ท</x:v>
      </x:c>
      <x:c r="L549" s="8" t="str">
        <x:f>INDEX('ประเมินเกณฑ์'!$AE$9:$AE$608,MATCH(G549,'ประเมินเกณฑ์'!$A$9:$A$608,0))</x:f>
        <x:v>รอประเมิน</x:v>
      </x:c>
      <x:c r="M549" s="8" t="str">
        <x:v>พื้นที่เพิ่มเติมตามบรีฟ/ทะเบียน GMHI</x:v>
      </x:c>
      <x:c r="N549" s="8" t="str">
        <x:v>ยังไม่ยืนยันการเปิดให้บริการปัจจุบัน</x:v>
      </x:c>
      <x:c r="O549" s="40" t="n">
        <x:v>46315</x:v>
      </x:c>
    </x:row>
    <x:row r="550" ht="38" customHeight="1">
      <x:c r="A550" s="9" t="n">
        <x:v>542</x:v>
      </x:c>
      <x:c r="B550" s="8" t="str">
        <x:v>ครัวอารีย์บังหมาดบางพัฒน์ พังงา</x:v>
      </x:c>
      <x:c r="C550" s="8" t="str">
        <x:v>พังงา</x:v>
      </x:c>
      <x:c r="D550" s="8" t="str">
        <x:v>พร้อมขาย</x:v>
      </x:c>
      <x:c r="E550" s="8" t="str">
        <x:v>ร้านอาหารและคาเฟ่</x:v>
      </x:c>
      <x:c r="F550" s="38" t="n">
        <x:v>46316</x:v>
      </x:c>
      <x:c r="G550" s="8" t="str">
        <x:v>TMF-187</x:v>
      </x:c>
      <x:c r="H550" s="39" t="str">
        <x:v>เพิ่มเติม</x:v>
      </x:c>
      <x:c r="I550" s="8" t="str">
        <x:v>พื้นที่เพิ่มเติม</x:v>
      </x:c>
      <x:c r="J550" s="8" t="str">
        <x:v>ตัวเลือกเสริม</x:v>
      </x:c>
      <x:c r="K550" s="8" t="str">
        <x:v>ร้านอาหาร</x:v>
      </x:c>
      <x:c r="L550" s="8" t="str">
        <x:f>INDEX('ประเมินเกณฑ์'!$AE$9:$AE$608,MATCH(G550,'ประเมินเกณฑ์'!$A$9:$A$608,0))</x:f>
        <x:v>รอประเมิน</x:v>
      </x:c>
      <x:c r="M550" s="8" t="str">
        <x:v>พื้นที่เพิ่มเติมตามบรีฟ/ทะเบียน GMHI</x:v>
      </x:c>
      <x:c r="N550" s="8" t="str">
        <x:v>ยังไม่ยืนยันการเปิดให้บริการปัจจุบัน</x:v>
      </x:c>
      <x:c r="O550" s="40" t="n">
        <x:v>46315</x:v>
      </x:c>
    </x:row>
    <x:row r="551" ht="38" customHeight="1">
      <x:c r="A551" s="9" t="n">
        <x:v>543</x:v>
      </x:c>
      <x:c r="B551" s="8" t="str">
        <x:v>Devasom Spa Khao Lak</x:v>
      </x:c>
      <x:c r="C551" s="8" t="str">
        <x:v>พังงา</x:v>
      </x:c>
      <x:c r="D551" s="8" t="str">
        <x:v>มีศักยภาพ แต่ต้องพัฒนามาตรฐาน</x:v>
      </x:c>
      <x:c r="E551" s="8" t="str">
        <x:v>สถานประกอบการเพื่อสุขภาพและเวลเนส</x:v>
      </x:c>
      <x:c r="F551" s="38" t="n">
        <x:v>46316</x:v>
      </x:c>
      <x:c r="G551" s="8" t="str">
        <x:v>R26-294</x:v>
      </x:c>
      <x:c r="H551" s="39" t="str">
        <x:v>เพิ่มเติม</x:v>
      </x:c>
      <x:c r="I551" s="8" t="str">
        <x:v>พื้นที่เพิ่มเติม</x:v>
      </x:c>
      <x:c r="J551" s="8" t="str">
        <x:v>ตัวเลือกเสริม</x:v>
      </x:c>
      <x:c r="K551" s="8" t="str">
        <x:v>เวลเนส</x:v>
      </x:c>
      <x:c r="L551" s="8" t="str">
        <x:f>INDEX('ประเมินเกณฑ์'!$AE$9:$AE$608,MATCH(G551,'ประเมินเกณฑ์'!$A$9:$A$608,0))</x:f>
        <x:v>รอประเมิน</x:v>
      </x:c>
      <x:c r="M551" s="8" t="str">
        <x:v>พื้นที่เพิ่มเติมตามบรีฟ/ทะเบียน GMHI</x:v>
      </x:c>
      <x:c r="N551" s="8" t="str">
        <x:v>ยังไม่ยืนยันการเปิดให้บริการปัจจุบัน</x:v>
      </x:c>
      <x:c r="O551" s="40" t="n">
        <x:v>46316</x:v>
      </x:c>
    </x:row>
    <x:row r="552" ht="38" customHeight="1">
      <x:c r="A552" s="9" t="n">
        <x:v>544</x:v>
      </x:c>
      <x:c r="B552" s="8" t="str">
        <x:v>น้ำตกโตนช่องฟ้า</x:v>
      </x:c>
      <x:c r="C552" s="8" t="str">
        <x:v>พังงา</x:v>
      </x:c>
      <x:c r="D552" s="8" t="str">
        <x:v>มีศักยภาพ แต่ต้องพัฒนามาตรฐาน</x:v>
      </x:c>
      <x:c r="E552" s="8" t="str">
        <x:v>แหล่งท่องเที่ยวทางธรรมชาติ</x:v>
      </x:c>
      <x:c r="F552" s="38" t="n">
        <x:v>46316</x:v>
      </x:c>
      <x:c r="G552" s="8" t="str">
        <x:v>R26-228</x:v>
      </x:c>
      <x:c r="H552" s="39" t="str">
        <x:v>เพิ่มเติม</x:v>
      </x:c>
      <x:c r="I552" s="8" t="str">
        <x:v>พื้นที่เพิ่มเติม</x:v>
      </x:c>
      <x:c r="J552" s="8" t="str">
        <x:v>ตัวเลือกเสริม</x:v>
      </x:c>
      <x:c r="K552" s="8" t="str">
        <x:v>ธรรมชาติ</x:v>
      </x:c>
      <x:c r="L552" s="8" t="str">
        <x:f>INDEX('ประเมินเกณฑ์'!$AE$9:$AE$608,MATCH(G552,'ประเมินเกณฑ์'!$A$9:$A$608,0))</x:f>
        <x:v>รอประเมิน</x:v>
      </x:c>
      <x:c r="M552" s="8" t="str">
        <x:v>พื้นที่เพิ่มเติมตามบรีฟ/ทะเบียน GMHI</x:v>
      </x:c>
      <x:c r="N552" s="8" t="str">
        <x:v>ยังไม่ยืนยันการเปิดให้บริการปัจจุบัน</x:v>
      </x:c>
      <x:c r="O552" s="40" t="n">
        <x:v>46316</x:v>
      </x:c>
    </x:row>
    <x:row r="553" ht="38" customHeight="1">
      <x:c r="A553" s="9" t="n">
        <x:v>545</x:v>
      </x:c>
      <x:c r="B553" s="8" t="str">
        <x:v>หาดบางสัก</x:v>
      </x:c>
      <x:c r="C553" s="8" t="str">
        <x:v>พังงา</x:v>
      </x:c>
      <x:c r="D553" s="8" t="str">
        <x:v>มีศักยภาพ แต่ต้องพัฒนามาตรฐาน</x:v>
      </x:c>
      <x:c r="E553" s="8" t="str">
        <x:v>แหล่งท่องเที่ยวทางธรรมชาติ</x:v>
      </x:c>
      <x:c r="F553" s="38" t="n">
        <x:v>46316</x:v>
      </x:c>
      <x:c r="G553" s="8" t="str">
        <x:v>R26-227</x:v>
      </x:c>
      <x:c r="H553" s="39" t="str">
        <x:v>เพิ่มเติม</x:v>
      </x:c>
      <x:c r="I553" s="8" t="str">
        <x:v>พื้นที่เพิ่มเติม</x:v>
      </x:c>
      <x:c r="J553" s="8" t="str">
        <x:v>ตัวเลือกเสริม</x:v>
      </x:c>
      <x:c r="K553" s="8" t="str">
        <x:v>ธรรมชาติ</x:v>
      </x:c>
      <x:c r="L553" s="8" t="str">
        <x:f>INDEX('ประเมินเกณฑ์'!$AE$9:$AE$608,MATCH(G553,'ประเมินเกณฑ์'!$A$9:$A$608,0))</x:f>
        <x:v>รอประเมิน</x:v>
      </x:c>
      <x:c r="M553" s="8" t="str">
        <x:v>พื้นที่เพิ่มเติมตามบรีฟ/ทะเบียน GMHI</x:v>
      </x:c>
      <x:c r="N553" s="8" t="str">
        <x:v>ยังไม่ยืนยันการเปิดให้บริการปัจจุบัน</x:v>
      </x:c>
      <x:c r="O553" s="40" t="n">
        <x:v>46316</x:v>
      </x:c>
    </x:row>
    <x:row r="554" ht="38" customHeight="1">
      <x:c r="A554" s="9" t="n">
        <x:v>546</x:v>
      </x:c>
      <x:c r="B554" s="8" t="str">
        <x:v>อุทยานแห่งชาติอ่าวพังงา</x:v>
      </x:c>
      <x:c r="C554" s="8" t="str">
        <x:v>พังงา</x:v>
      </x:c>
      <x:c r="D554" s="8" t="str">
        <x:v>มีศักยภาพ แต่ต้องพัฒนามาตรฐาน</x:v>
      </x:c>
      <x:c r="E554" s="8" t="str">
        <x:v>แหล่งท่องเที่ยวทางธรรมชาติ</x:v>
      </x:c>
      <x:c r="F554" s="38" t="n">
        <x:v>46316</x:v>
      </x:c>
      <x:c r="G554" s="8" t="str">
        <x:v>TMF-568</x:v>
      </x:c>
      <x:c r="H554" s="39" t="str">
        <x:v>เพิ่มเติม</x:v>
      </x:c>
      <x:c r="I554" s="8" t="str">
        <x:v>พื้นที่เพิ่มเติม</x:v>
      </x:c>
      <x:c r="J554" s="8" t="str">
        <x:v>ตัวเลือกเสริม</x:v>
      </x:c>
      <x:c r="K554" s="8" t="str">
        <x:v>สวนสาธารณะหรือแหล่งธรรมชาติ</x:v>
      </x:c>
      <x:c r="L554" s="8" t="str">
        <x:f>INDEX('ประเมินเกณฑ์'!$AE$9:$AE$608,MATCH(G554,'ประเมินเกณฑ์'!$A$9:$A$608,0))</x:f>
        <x:v>รอประเมิน</x:v>
      </x:c>
      <x:c r="M554" s="8" t="str">
        <x:v>พื้นที่เพิ่มเติมตามบรีฟ/ทะเบียน GMHI</x:v>
      </x:c>
      <x:c r="N554" s="8" t="str">
        <x:v>ยังไม่ยืนยันการเปิดให้บริการปัจจุบัน</x:v>
      </x:c>
      <x:c r="O554" s="40" t="n">
        <x:v>46315</x:v>
      </x:c>
    </x:row>
    <x:row r="555" ht="38" customHeight="1">
      <x:c r="A555" s="9" t="n">
        <x:v>547</x:v>
      </x:c>
      <x:c r="B555" s="8" t="str">
        <x:v>อุทยานแห่งชาติเขาหลัก-ลำรู่</x:v>
      </x:c>
      <x:c r="C555" s="8" t="str">
        <x:v>พังงา</x:v>
      </x:c>
      <x:c r="D555" s="8" t="str">
        <x:v>มีศักยภาพ แต่ต้องพัฒนามาตรฐาน</x:v>
      </x:c>
      <x:c r="E555" s="8" t="str">
        <x:v>แหล่งท่องเที่ยวทางธรรมชาติ</x:v>
      </x:c>
      <x:c r="F555" s="38" t="n">
        <x:v>46316</x:v>
      </x:c>
      <x:c r="G555" s="8" t="str">
        <x:v>R26-226</x:v>
      </x:c>
      <x:c r="H555" s="39" t="str">
        <x:v>เพิ่มเติม</x:v>
      </x:c>
      <x:c r="I555" s="8" t="str">
        <x:v>พื้นที่เพิ่มเติม</x:v>
      </x:c>
      <x:c r="J555" s="8" t="str">
        <x:v>ตัวเลือกเสริม</x:v>
      </x:c>
      <x:c r="K555" s="8" t="str">
        <x:v>ธรรมชาติ</x:v>
      </x:c>
      <x:c r="L555" s="8" t="str">
        <x:f>INDEX('ประเมินเกณฑ์'!$AE$9:$AE$608,MATCH(G555,'ประเมินเกณฑ์'!$A$9:$A$608,0))</x:f>
        <x:v>รอประเมิน</x:v>
      </x:c>
      <x:c r="M555" s="8" t="str">
        <x:v>พื้นที่เพิ่มเติมตามบรีฟ/ทะเบียน GMHI</x:v>
      </x:c>
      <x:c r="N555" s="8" t="str">
        <x:v>ยังไม่ยืนยันการเปิดให้บริการปัจจุบัน</x:v>
      </x:c>
      <x:c r="O555" s="40" t="n">
        <x:v>46316</x:v>
      </x:c>
    </x:row>
    <x:row r="556" ht="38" customHeight="1">
      <x:c r="A556" s="9" t="n">
        <x:v>548</x:v>
      </x:c>
      <x:c r="B556" s="8" t="str">
        <x:v>ชุมชนบ้านท่าดินแดง</x:v>
      </x:c>
      <x:c r="C556" s="8" t="str">
        <x:v>พังงา</x:v>
      </x:c>
      <x:c r="D556" s="8" t="str">
        <x:v>มีศักยภาพ แต่ต้องพัฒนามาตรฐาน</x:v>
      </x:c>
      <x:c r="E556" s="8" t="str">
        <x:v>ชุมชนท่องเที่ยว</x:v>
      </x:c>
      <x:c r="F556" s="38" t="n">
        <x:v>46316</x:v>
      </x:c>
      <x:c r="G556" s="8" t="str">
        <x:v>R26-225</x:v>
      </x:c>
      <x:c r="H556" s="39" t="str">
        <x:v>เพิ่มเติม</x:v>
      </x:c>
      <x:c r="I556" s="8" t="str">
        <x:v>พื้นที่เพิ่มเติม</x:v>
      </x:c>
      <x:c r="J556" s="8" t="str">
        <x:v>ตัวเลือกเสริม</x:v>
      </x:c>
      <x:c r="K556" s="8" t="str">
        <x:v>ชุมชน</x:v>
      </x:c>
      <x:c r="L556" s="8" t="str">
        <x:f>INDEX('ประเมินเกณฑ์'!$AE$9:$AE$608,MATCH(G556,'ประเมินเกณฑ์'!$A$9:$A$608,0))</x:f>
        <x:v>รอประเมิน</x:v>
      </x:c>
      <x:c r="M556" s="8" t="str">
        <x:v>พื้นที่เพิ่มเติมตามบรีฟ/ทะเบียน GMHI</x:v>
      </x:c>
      <x:c r="N556" s="8" t="str">
        <x:v>ยังไม่ยืนยันการเปิดให้บริการปัจจุบัน</x:v>
      </x:c>
      <x:c r="O556" s="40" t="n">
        <x:v>46316</x:v>
      </x:c>
    </x:row>
    <x:row r="557" ht="38" customHeight="1">
      <x:c r="A557" s="9" t="n">
        <x:v>549</x:v>
      </x:c>
      <x:c r="B557" s="8" t="str">
        <x:v>ชุมชนบ้านสามช่องเหนือ</x:v>
      </x:c>
      <x:c r="C557" s="8" t="str">
        <x:v>พังงา</x:v>
      </x:c>
      <x:c r="D557" s="8" t="str">
        <x:v>มีศักยภาพ แต่ต้องพัฒนามาตรฐาน</x:v>
      </x:c>
      <x:c r="E557" s="8" t="str">
        <x:v>ชุมชนท่องเที่ยว</x:v>
      </x:c>
      <x:c r="F557" s="38" t="n">
        <x:v>46316</x:v>
      </x:c>
      <x:c r="G557" s="8" t="str">
        <x:v>R26-223</x:v>
      </x:c>
      <x:c r="H557" s="39" t="str">
        <x:v>เพิ่มเติม</x:v>
      </x:c>
      <x:c r="I557" s="8" t="str">
        <x:v>พื้นที่เพิ่มเติม</x:v>
      </x:c>
      <x:c r="J557" s="8" t="str">
        <x:v>ตัวเลือกเสริม</x:v>
      </x:c>
      <x:c r="K557" s="8" t="str">
        <x:v>ชุมชน</x:v>
      </x:c>
      <x:c r="L557" s="8" t="str">
        <x:f>INDEX('ประเมินเกณฑ์'!$AE$9:$AE$608,MATCH(G557,'ประเมินเกณฑ์'!$A$9:$A$608,0))</x:f>
        <x:v>รอประเมิน</x:v>
      </x:c>
      <x:c r="M557" s="8" t="str">
        <x:v>พื้นที่เพิ่มเติมตามบรีฟ/ทะเบียน GMHI</x:v>
      </x:c>
      <x:c r="N557" s="8" t="str">
        <x:v>ยังไม่ยืนยันการเปิดให้บริการปัจจุบัน</x:v>
      </x:c>
      <x:c r="O557" s="40" t="n">
        <x:v>46316</x:v>
      </x:c>
    </x:row>
    <x:row r="558" ht="38" customHeight="1">
      <x:c r="A558" s="9" t="n">
        <x:v>550</x:v>
      </x:c>
      <x:c r="B558" s="8" t="str">
        <x:v>ชุมชนบ้านโคกไคร</x:v>
      </x:c>
      <x:c r="C558" s="8" t="str">
        <x:v>พังงา</x:v>
      </x:c>
      <x:c r="D558" s="8" t="str">
        <x:v>มีศักยภาพ แต่ต้องพัฒนามาตรฐาน</x:v>
      </x:c>
      <x:c r="E558" s="8" t="str">
        <x:v>ชุมชนท่องเที่ยว</x:v>
      </x:c>
      <x:c r="F558" s="38" t="n">
        <x:v>46316</x:v>
      </x:c>
      <x:c r="G558" s="8" t="str">
        <x:v>R26-224</x:v>
      </x:c>
      <x:c r="H558" s="39" t="str">
        <x:v>เพิ่มเติม</x:v>
      </x:c>
      <x:c r="I558" s="8" t="str">
        <x:v>พื้นที่เพิ่มเติม</x:v>
      </x:c>
      <x:c r="J558" s="8" t="str">
        <x:v>ตัวเลือกเสริม</x:v>
      </x:c>
      <x:c r="K558" s="8" t="str">
        <x:v>ชุมชน</x:v>
      </x:c>
      <x:c r="L558" s="8" t="str">
        <x:f>INDEX('ประเมินเกณฑ์'!$AE$9:$AE$608,MATCH(G558,'ประเมินเกณฑ์'!$A$9:$A$608,0))</x:f>
        <x:v>รอประเมิน</x:v>
      </x:c>
      <x:c r="M558" s="8" t="str">
        <x:v>พื้นที่เพิ่มเติมตามบรีฟ/ทะเบียน GMHI</x:v>
      </x:c>
      <x:c r="N558" s="8" t="str">
        <x:v>ยังไม่ยืนยันการเปิดให้บริการปัจจุบัน</x:v>
      </x:c>
      <x:c r="O558" s="40" t="n">
        <x:v>46316</x:v>
      </x:c>
    </x:row>
    <x:row r="559" ht="38" customHeight="1">
      <x:c r="A559" s="9" t="n">
        <x:v>551</x:v>
      </x:c>
      <x:c r="B559" s="8" t="str">
        <x:v>เกาะปันหยี</x:v>
      </x:c>
      <x:c r="C559" s="8" t="str">
        <x:v>พังงา</x:v>
      </x:c>
      <x:c r="D559" s="8" t="str">
        <x:v>มีศักยภาพ แต่ต้องพัฒนามาตรฐาน</x:v>
      </x:c>
      <x:c r="E559" s="8" t="str">
        <x:v>ชุมชนท่องเที่ยว</x:v>
      </x:c>
      <x:c r="F559" s="38" t="n">
        <x:v>46316</x:v>
      </x:c>
      <x:c r="G559" s="8" t="str">
        <x:v>TMF-567</x:v>
      </x:c>
      <x:c r="H559" s="39" t="str">
        <x:v>เพิ่มเติม</x:v>
      </x:c>
      <x:c r="I559" s="8" t="str">
        <x:v>พื้นที่เพิ่มเติม</x:v>
      </x:c>
      <x:c r="J559" s="8" t="str">
        <x:v>ตัวเลือกเสริม</x:v>
      </x:c>
      <x:c r="K559" s="8" t="str">
        <x:v>ชุมชนท่องเที่ยว</x:v>
      </x:c>
      <x:c r="L559" s="8" t="str">
        <x:f>INDEX('ประเมินเกณฑ์'!$AE$9:$AE$608,MATCH(G559,'ประเมินเกณฑ์'!$A$9:$A$608,0))</x:f>
        <x:v>รอประเมิน</x:v>
      </x:c>
      <x:c r="M559" s="8" t="str">
        <x:v>พื้นที่เพิ่มเติมตามบรีฟ/ทะเบียน GMHI</x:v>
      </x:c>
      <x:c r="N559" s="8" t="str">
        <x:v>ยังไม่ยืนยันการเปิดให้บริการปัจจุบัน</x:v>
      </x:c>
      <x:c r="O559" s="40" t="n">
        <x:v>46315</x:v>
      </x:c>
    </x:row>
    <x:row r="560" ht="38" customHeight="1">
      <x:c r="A560" s="9" t="n">
        <x:v>552</x:v>
      </x:c>
      <x:c r="B560" s="8" t="str">
        <x:v>โรงแรมภูเก็ตเกรซแลนด์ รีสอร์ท แอนด์ สปา</x:v>
      </x:c>
      <x:c r="C560" s="8" t="str">
        <x:v>ภูเก็ต</x:v>
      </x:c>
      <x:c r="D560" s="8" t="str">
        <x:v>พัฒนาเพื่อพร้อมขาย</x:v>
      </x:c>
      <x:c r="E560" s="8" t="str">
        <x:v>ที่พัก</x:v>
      </x:c>
      <x:c r="F560" s="38" t="n">
        <x:v>46316</x:v>
      </x:c>
      <x:c r="G560" s="8" t="str">
        <x:v>TMF-378</x:v>
      </x:c>
      <x:c r="H560" s="39" t="str">
        <x:v>เพิ่มเติม</x:v>
      </x:c>
      <x:c r="I560" s="8" t="str">
        <x:v>เพิ่มเติม ภูเก็ต</x:v>
      </x:c>
      <x:c r="J560" s="8" t="str">
        <x:v>ตัวเลือกเสริม</x:v>
      </x:c>
      <x:c r="K560" s="8" t="str">
        <x:v>โรงแรมหรือรีสอร์ท</x:v>
      </x:c>
      <x:c r="L560" s="8" t="str">
        <x:f>INDEX('ประเมินเกณฑ์'!$AE$9:$AE$608,MATCH(G560,'ประเมินเกณฑ์'!$A$9:$A$608,0))</x:f>
        <x:v>รอประเมิน</x:v>
      </x:c>
      <x:c r="M560" s="8" t="str">
        <x:v>พื้นที่เพิ่มเติมตามบรีฟ/ทะเบียน GMHI</x:v>
      </x:c>
      <x:c r="N560" s="8" t="str">
        <x:v>ยังไม่ยืนยันการเปิดให้บริการปัจจุบัน</x:v>
      </x:c>
      <x:c r="O560" s="40" t="n">
        <x:v>46315</x:v>
      </x:c>
    </x:row>
    <x:row r="561" ht="38" customHeight="1">
      <x:c r="A561" s="9" t="n">
        <x:v>553</x:v>
      </x:c>
      <x:c r="B561" s="8" t="str">
        <x:v>โรงแรมเดอะรอยัลพาราไดซ์ ป่าตอง</x:v>
      </x:c>
      <x:c r="C561" s="8" t="str">
        <x:v>ภูเก็ต</x:v>
      </x:c>
      <x:c r="D561" s="8" t="str">
        <x:v>พัฒนาเพื่อพร้อมขาย</x:v>
      </x:c>
      <x:c r="E561" s="8" t="str">
        <x:v>ที่พัก</x:v>
      </x:c>
      <x:c r="F561" s="38" t="n">
        <x:v>46316</x:v>
      </x:c>
      <x:c r="G561" s="8" t="str">
        <x:v>TMF-379</x:v>
      </x:c>
      <x:c r="H561" s="39" t="str">
        <x:v>เพิ่มเติม</x:v>
      </x:c>
      <x:c r="I561" s="8" t="str">
        <x:v>เพิ่มเติม ภูเก็ต</x:v>
      </x:c>
      <x:c r="J561" s="8" t="str">
        <x:v>ตัวเลือกเสริม</x:v>
      </x:c>
      <x:c r="K561" s="8" t="str">
        <x:v>โรงแรมหรือรีสอร์ท</x:v>
      </x:c>
      <x:c r="L561" s="8" t="str">
        <x:f>INDEX('ประเมินเกณฑ์'!$AE$9:$AE$608,MATCH(G561,'ประเมินเกณฑ์'!$A$9:$A$608,0))</x:f>
        <x:v>รอประเมิน</x:v>
      </x:c>
      <x:c r="M561" s="8" t="str">
        <x:v>พื้นที่เพิ่มเติมตามบรีฟ/ทะเบียน GMHI</x:v>
      </x:c>
      <x:c r="N561" s="8" t="str">
        <x:v>ยังไม่ยืนยันการเปิดให้บริการปัจจุบัน</x:v>
      </x:c>
      <x:c r="O561" s="40" t="n">
        <x:v>46315</x:v>
      </x:c>
    </x:row>
    <x:row r="562" ht="38" customHeight="1">
      <x:c r="A562" s="9" t="n">
        <x:v>554</x:v>
      </x:c>
      <x:c r="B562" s="8" t="str">
        <x:v>SairaBakery ไซร่าเบเกอรี่ฮาลาล เค้กภูเก็ต</x:v>
      </x:c>
      <x:c r="C562" s="8" t="str">
        <x:v>ภูเก็ต</x:v>
      </x:c>
      <x:c r="D562" s="8" t="str">
        <x:v>มีศักยภาพ แต่ต้องพัฒนามาตรฐาน</x:v>
      </x:c>
      <x:c r="E562" s="8" t="str">
        <x:v>ร้านอาหารและคาเฟ่</x:v>
      </x:c>
      <x:c r="F562" s="38" t="n">
        <x:v>46316</x:v>
      </x:c>
      <x:c r="G562" s="8" t="str">
        <x:v>TMF-571</x:v>
      </x:c>
      <x:c r="H562" s="39" t="str">
        <x:v>เพิ่มเติม</x:v>
      </x:c>
      <x:c r="I562" s="8" t="str">
        <x:v>เพิ่มเติม ภูเก็ต</x:v>
      </x:c>
      <x:c r="J562" s="8" t="str">
        <x:v>ตัวเลือกเสริม</x:v>
      </x:c>
      <x:c r="K562" s="8" t="str">
        <x:v>คาเฟ่และร้านของหวาน</x:v>
      </x:c>
      <x:c r="L562" s="8" t="str">
        <x:f>INDEX('ประเมินเกณฑ์'!$AE$9:$AE$608,MATCH(G562,'ประเมินเกณฑ์'!$A$9:$A$608,0))</x:f>
        <x:v>รอประเมิน</x:v>
      </x:c>
      <x:c r="M562" s="8" t="str">
        <x:v>พื้นที่เพิ่มเติมตามบรีฟ/ทะเบียน GMHI</x:v>
      </x:c>
      <x:c r="N562" s="8" t="str">
        <x:v>ยังไม่ยืนยันการเปิดให้บริการปัจจุบัน</x:v>
      </x:c>
      <x:c r="O562" s="40" t="n">
        <x:v>46315</x:v>
      </x:c>
    </x:row>
    <x:row r="563" ht="38" customHeight="1">
      <x:c r="A563" s="9" t="n">
        <x:v>555</x:v>
      </x:c>
      <x:c r="B563" s="8" t="str">
        <x:v>ก๋วยเตี๋ยวเรือราไวย์ ซอยไสยวน</x:v>
      </x:c>
      <x:c r="C563" s="8" t="str">
        <x:v>ภูเก็ต</x:v>
      </x:c>
      <x:c r="D563" s="8" t="str">
        <x:v>พร้อมขาย</x:v>
      </x:c>
      <x:c r="E563" s="8" t="str">
        <x:v>ร้านอาหารและคาเฟ่</x:v>
      </x:c>
      <x:c r="F563" s="38" t="n">
        <x:v>46316</x:v>
      </x:c>
      <x:c r="G563" s="8" t="str">
        <x:v>TMF-188</x:v>
      </x:c>
      <x:c r="H563" s="39" t="str">
        <x:v>เพิ่มเติม</x:v>
      </x:c>
      <x:c r="I563" s="8" t="str">
        <x:v>เพิ่มเติม ภูเก็ต</x:v>
      </x:c>
      <x:c r="J563" s="8" t="str">
        <x:v>ตัวเลือกเสริม</x:v>
      </x:c>
      <x:c r="K563" s="8" t="str">
        <x:v>ร้านอาหาร</x:v>
      </x:c>
      <x:c r="L563" s="8" t="str">
        <x:f>INDEX('ประเมินเกณฑ์'!$AE$9:$AE$608,MATCH(G563,'ประเมินเกณฑ์'!$A$9:$A$608,0))</x:f>
        <x:v>รอประเมิน</x:v>
      </x:c>
      <x:c r="M563" s="8" t="str">
        <x:v>พื้นที่เพิ่มเติมตามบรีฟ/ทะเบียน GMHI</x:v>
      </x:c>
      <x:c r="N563" s="8" t="str">
        <x:v>ยังไม่ยืนยันการเปิดให้บริการปัจจุบัน</x:v>
      </x:c>
      <x:c r="O563" s="40" t="n">
        <x:v>46315</x:v>
      </x:c>
    </x:row>
    <x:row r="564" ht="38" customHeight="1">
      <x:c r="A564" s="9" t="n">
        <x:v>556</x:v>
      </x:c>
      <x:c r="B564" s="8" t="str">
        <x:v>ระฟ้าภูเก็ต ติ่มซำฮาลาล สาขา 2</x:v>
      </x:c>
      <x:c r="C564" s="8" t="str">
        <x:v>ภูเก็ต</x:v>
      </x:c>
      <x:c r="D564" s="8" t="str">
        <x:v>มีศักยภาพ แต่ต้องพัฒนามาตรฐาน</x:v>
      </x:c>
      <x:c r="E564" s="8" t="str">
        <x:v>ร้านอาหารและคาเฟ่</x:v>
      </x:c>
      <x:c r="F564" s="38" t="n">
        <x:v>46316</x:v>
      </x:c>
      <x:c r="G564" s="8" t="str">
        <x:v>TMF-572</x:v>
      </x:c>
      <x:c r="H564" s="39" t="str">
        <x:v>เพิ่มเติม</x:v>
      </x:c>
      <x:c r="I564" s="8" t="str">
        <x:v>เพิ่มเติม ภูเก็ต</x:v>
      </x:c>
      <x:c r="J564" s="8" t="str">
        <x:v>ตัวเลือกเสริม</x:v>
      </x:c>
      <x:c r="K564" s="8" t="str">
        <x:v>ร้านอาหาร</x:v>
      </x:c>
      <x:c r="L564" s="8" t="str">
        <x:f>INDEX('ประเมินเกณฑ์'!$AE$9:$AE$608,MATCH(G564,'ประเมินเกณฑ์'!$A$9:$A$608,0))</x:f>
        <x:v>รอประเมิน</x:v>
      </x:c>
      <x:c r="M564" s="8" t="str">
        <x:v>พื้นที่เพิ่มเติมตามบรีฟ/ทะเบียน GMHI</x:v>
      </x:c>
      <x:c r="N564" s="8" t="str">
        <x:v>ยังไม่ยืนยันการเปิดให้บริการปัจจุบัน</x:v>
      </x:c>
      <x:c r="O564" s="40" t="n">
        <x:v>46315</x:v>
      </x:c>
    </x:row>
    <x:row r="565" ht="38" customHeight="1">
      <x:c r="A565" s="9" t="n">
        <x:v>557</x:v>
      </x:c>
      <x:c r="B565" s="8" t="str">
        <x:v>อรุณโภชนา</x:v>
      </x:c>
      <x:c r="C565" s="8" t="str">
        <x:v>ภูเก็ต</x:v>
      </x:c>
      <x:c r="D565" s="8" t="str">
        <x:v>มีศักยภาพ แต่ต้องพัฒนามาตรฐาน</x:v>
      </x:c>
      <x:c r="E565" s="8" t="str">
        <x:v>ร้านอาหารและคาเฟ่</x:v>
      </x:c>
      <x:c r="F565" s="38" t="n">
        <x:v>46316</x:v>
      </x:c>
      <x:c r="G565" s="8" t="str">
        <x:v>TMF-574</x:v>
      </x:c>
      <x:c r="H565" s="39" t="str">
        <x:v>เพิ่มเติม</x:v>
      </x:c>
      <x:c r="I565" s="8" t="str">
        <x:v>เพิ่มเติม ภูเก็ต</x:v>
      </x:c>
      <x:c r="J565" s="8" t="str">
        <x:v>ตัวเลือกเสริม</x:v>
      </x:c>
      <x:c r="K565" s="8" t="str">
        <x:v>ร้านอาหาร</x:v>
      </x:c>
      <x:c r="L565" s="8" t="str">
        <x:f>INDEX('ประเมินเกณฑ์'!$AE$9:$AE$608,MATCH(G565,'ประเมินเกณฑ์'!$A$9:$A$608,0))</x:f>
        <x:v>รอประเมิน</x:v>
      </x:c>
      <x:c r="M565" s="8" t="str">
        <x:v>พื้นที่เพิ่มเติมตามบรีฟ/ทะเบียน GMHI</x:v>
      </x:c>
      <x:c r="N565" s="8" t="str">
        <x:v>ยังไม่ยืนยันการเปิดให้บริการปัจจุบัน</x:v>
      </x:c>
      <x:c r="O565" s="40" t="n">
        <x:v>46315</x:v>
      </x:c>
    </x:row>
    <x:row r="566" ht="38" customHeight="1">
      <x:c r="A566" s="9" t="n">
        <x:v>558</x:v>
      </x:c>
      <x:c r="B566" s="8" t="str">
        <x:v>ATG Southsea</x:v>
      </x:c>
      <x:c r="C566" s="8" t="str">
        <x:v>ภูเก็ต</x:v>
      </x:c>
      <x:c r="D566" s="8" t="str">
        <x:v>พัฒนาเพื่อพร้อมขาย</x:v>
      </x:c>
      <x:c r="E566" s="8" t="str">
        <x:v>สถานประกอบการเพื่อสุขภาพและเวลเนส</x:v>
      </x:c>
      <x:c r="F566" s="38" t="n">
        <x:v>46316</x:v>
      </x:c>
      <x:c r="G566" s="8" t="str">
        <x:v>GMHI-51</x:v>
      </x:c>
      <x:c r="H566" s="39" t="str">
        <x:v>เพิ่มเติม</x:v>
      </x:c>
      <x:c r="I566" s="8" t="str">
        <x:v>เพิ่มเติม ภูเก็ต</x:v>
      </x:c>
      <x:c r="J566" s="8" t="str">
        <x:v>ตัวเลือกเสริม</x:v>
      </x:c>
      <x:c r="K566" s="8" t="str">
        <x:v>สถานประกอบการเพื่อสุขภาพและเวลเนส</x:v>
      </x:c>
      <x:c r="L566" s="8" t="str">
        <x:f>INDEX('ประเมินเกณฑ์'!$AE$9:$AE$608,MATCH(G566,'ประเมินเกณฑ์'!$A$9:$A$608,0))</x:f>
        <x:v>รอประเมิน</x:v>
      </x:c>
      <x:c r="M566" s="8" t="str">
        <x:v>พื้นที่เพิ่มเติมตามบรีฟ/ทะเบียน GMHI</x:v>
      </x:c>
      <x:c r="N566" s="8" t="str">
        <x:v>ยังไม่ยืนยันการเปิดให้บริการปัจจุบัน</x:v>
      </x:c>
      <x:c r="O566" s="40" t="n">
        <x:v>46315</x:v>
      </x:c>
    </x:row>
    <x:row r="567" ht="38" customHeight="1">
      <x:c r="A567" s="9" t="n">
        <x:v>559</x:v>
      </x:c>
      <x:c r="B567" s="8" t="str">
        <x:v>Banyan Tree Spa Phuket</x:v>
      </x:c>
      <x:c r="C567" s="8" t="str">
        <x:v>ภูเก็ต</x:v>
      </x:c>
      <x:c r="D567" s="8" t="str">
        <x:v>มีศักยภาพ แต่ต้องพัฒนามาตรฐาน</x:v>
      </x:c>
      <x:c r="E567" s="8" t="str">
        <x:v>สถานประกอบการเพื่อสุขภาพและเวลเนส</x:v>
      </x:c>
      <x:c r="F567" s="38" t="n">
        <x:v>46316</x:v>
      </x:c>
      <x:c r="G567" s="8" t="str">
        <x:v>R26-293</x:v>
      </x:c>
      <x:c r="H567" s="39" t="str">
        <x:v>เพิ่มเติม</x:v>
      </x:c>
      <x:c r="I567" s="8" t="str">
        <x:v>เพิ่มเติม ภูเก็ต</x:v>
      </x:c>
      <x:c r="J567" s="8" t="str">
        <x:v>ตัวเลือกเสริม</x:v>
      </x:c>
      <x:c r="K567" s="8" t="str">
        <x:v>เวลเนส</x:v>
      </x:c>
      <x:c r="L567" s="8" t="str">
        <x:f>INDEX('ประเมินเกณฑ์'!$AE$9:$AE$608,MATCH(G567,'ประเมินเกณฑ์'!$A$9:$A$608,0))</x:f>
        <x:v>รอประเมิน</x:v>
      </x:c>
      <x:c r="M567" s="8" t="str">
        <x:v>พื้นที่เพิ่มเติมตามบรีฟ/ทะเบียน GMHI</x:v>
      </x:c>
      <x:c r="N567" s="8" t="str">
        <x:v>ยังไม่ยืนยันการเปิดให้บริการปัจจุบัน</x:v>
      </x:c>
      <x:c r="O567" s="40" t="n">
        <x:v>46316</x:v>
      </x:c>
    </x:row>
    <x:row r="568" ht="38" customHeight="1">
      <x:c r="A568" s="9" t="n">
        <x:v>560</x:v>
      </x:c>
      <x:c r="B568" s="8" t="str">
        <x:v>Icellare</x:v>
      </x:c>
      <x:c r="C568" s="8" t="str">
        <x:v>ภูเก็ต</x:v>
      </x:c>
      <x:c r="D568" s="8" t="str">
        <x:v>พัฒนาเพื่อพร้อมขาย</x:v>
      </x:c>
      <x:c r="E568" s="8" t="str">
        <x:v>สถานประกอบการเพื่อสุขภาพและเวลเนส</x:v>
      </x:c>
      <x:c r="F568" s="38" t="n">
        <x:v>46316</x:v>
      </x:c>
      <x:c r="G568" s="8" t="str">
        <x:v>GMHI-52</x:v>
      </x:c>
      <x:c r="H568" s="39" t="str">
        <x:v>เพิ่มเติม</x:v>
      </x:c>
      <x:c r="I568" s="8" t="str">
        <x:v>เพิ่มเติม ภูเก็ต</x:v>
      </x:c>
      <x:c r="J568" s="8" t="str">
        <x:v>ตัวเลือกเสริม</x:v>
      </x:c>
      <x:c r="K568" s="8" t="str">
        <x:v>สถานประกอบการเพื่อสุขภาพและเวลเนส</x:v>
      </x:c>
      <x:c r="L568" s="8" t="str">
        <x:f>INDEX('ประเมินเกณฑ์'!$AE$9:$AE$608,MATCH(G568,'ประเมินเกณฑ์'!$A$9:$A$608,0))</x:f>
        <x:v>รอประเมิน</x:v>
      </x:c>
      <x:c r="M568" s="8" t="str">
        <x:v>พื้นที่เพิ่มเติมตามบรีฟ/ทะเบียน GMHI</x:v>
      </x:c>
      <x:c r="N568" s="8" t="str">
        <x:v>ยังไม่ยืนยันการเปิดให้บริการปัจจุบัน</x:v>
      </x:c>
      <x:c r="O568" s="40" t="n">
        <x:v>46315</x:v>
      </x:c>
    </x:row>
    <x:row r="569" ht="38" customHeight="1">
      <x:c r="A569" s="9" t="n">
        <x:v>561</x:v>
      </x:c>
      <x:c r="B569" s="8" t="str">
        <x:v>Let's Relax Spa Phuket Boat Lagoon</x:v>
      </x:c>
      <x:c r="C569" s="8" t="str">
        <x:v>ภูเก็ต</x:v>
      </x:c>
      <x:c r="D569" s="8" t="str">
        <x:v>มีศักยภาพ แต่ต้องพัฒนามาตรฐาน</x:v>
      </x:c>
      <x:c r="E569" s="8" t="str">
        <x:v>สถานประกอบการเพื่อสุขภาพและเวลเนส</x:v>
      </x:c>
      <x:c r="F569" s="38" t="n">
        <x:v>46316</x:v>
      </x:c>
      <x:c r="G569" s="8" t="str">
        <x:v>R26-289</x:v>
      </x:c>
      <x:c r="H569" s="39" t="str">
        <x:v>เพิ่มเติม</x:v>
      </x:c>
      <x:c r="I569" s="8" t="str">
        <x:v>เพิ่มเติม ภูเก็ต</x:v>
      </x:c>
      <x:c r="J569" s="8" t="str">
        <x:v>ตัวเลือกเสริม</x:v>
      </x:c>
      <x:c r="K569" s="8" t="str">
        <x:v>เวลเนส</x:v>
      </x:c>
      <x:c r="L569" s="8" t="str">
        <x:f>INDEX('ประเมินเกณฑ์'!$AE$9:$AE$608,MATCH(G569,'ประเมินเกณฑ์'!$A$9:$A$608,0))</x:f>
        <x:v>รอประเมิน</x:v>
      </x:c>
      <x:c r="M569" s="8" t="str">
        <x:v>พื้นที่เพิ่มเติมตามบรีฟ/ทะเบียน GMHI</x:v>
      </x:c>
      <x:c r="N569" s="8" t="str">
        <x:v>ยังไม่ยืนยันการเปิดให้บริการปัจจุบัน</x:v>
      </x:c>
      <x:c r="O569" s="40" t="n">
        <x:v>46316</x:v>
      </x:c>
    </x:row>
    <x:row r="570" ht="38" customHeight="1">
      <x:c r="A570" s="9" t="n">
        <x:v>562</x:v>
      </x:c>
      <x:c r="B570" s="8" t="str">
        <x:v>Let's Relax Spa Phuket Patong 2nd Street</x:v>
      </x:c>
      <x:c r="C570" s="8" t="str">
        <x:v>ภูเก็ต</x:v>
      </x:c>
      <x:c r="D570" s="8" t="str">
        <x:v>มีศักยภาพ แต่ต้องพัฒนามาตรฐาน</x:v>
      </x:c>
      <x:c r="E570" s="8" t="str">
        <x:v>สถานประกอบการเพื่อสุขภาพและเวลเนส</x:v>
      </x:c>
      <x:c r="F570" s="38" t="n">
        <x:v>46316</x:v>
      </x:c>
      <x:c r="G570" s="8" t="str">
        <x:v>R26-290</x:v>
      </x:c>
      <x:c r="H570" s="39" t="str">
        <x:v>เพิ่มเติม</x:v>
      </x:c>
      <x:c r="I570" s="8" t="str">
        <x:v>เพิ่มเติม ภูเก็ต</x:v>
      </x:c>
      <x:c r="J570" s="8" t="str">
        <x:v>ตัวเลือกเสริม</x:v>
      </x:c>
      <x:c r="K570" s="8" t="str">
        <x:v>เวลเนส</x:v>
      </x:c>
      <x:c r="L570" s="8" t="str">
        <x:f>INDEX('ประเมินเกณฑ์'!$AE$9:$AE$608,MATCH(G570,'ประเมินเกณฑ์'!$A$9:$A$608,0))</x:f>
        <x:v>รอประเมิน</x:v>
      </x:c>
      <x:c r="M570" s="8" t="str">
        <x:v>พื้นที่เพิ่มเติมตามบรีฟ/ทะเบียน GMHI</x:v>
      </x:c>
      <x:c r="N570" s="8" t="str">
        <x:v>ยังไม่ยืนยันการเปิดให้บริการปัจจุบัน</x:v>
      </x:c>
      <x:c r="O570" s="40" t="n">
        <x:v>46316</x:v>
      </x:c>
    </x:row>
    <x:row r="571" ht="38" customHeight="1">
      <x:c r="A571" s="9" t="n">
        <x:v>563</x:v>
      </x:c>
      <x:c r="B571" s="8" t="str">
        <x:v>Let's Relax Spa Phuket Porto de Phuket</x:v>
      </x:c>
      <x:c r="C571" s="8" t="str">
        <x:v>ภูเก็ต</x:v>
      </x:c>
      <x:c r="D571" s="8" t="str">
        <x:v>มีศักยภาพ แต่ต้องพัฒนามาตรฐาน</x:v>
      </x:c>
      <x:c r="E571" s="8" t="str">
        <x:v>สถานประกอบการเพื่อสุขภาพและเวลเนส</x:v>
      </x:c>
      <x:c r="F571" s="38" t="n">
        <x:v>46316</x:v>
      </x:c>
      <x:c r="G571" s="8" t="str">
        <x:v>R26-291</x:v>
      </x:c>
      <x:c r="H571" s="39" t="str">
        <x:v>เพิ่มเติม</x:v>
      </x:c>
      <x:c r="I571" s="8" t="str">
        <x:v>เพิ่มเติม ภูเก็ต</x:v>
      </x:c>
      <x:c r="J571" s="8" t="str">
        <x:v>ตัวเลือกเสริม</x:v>
      </x:c>
      <x:c r="K571" s="8" t="str">
        <x:v>เวลเนส</x:v>
      </x:c>
      <x:c r="L571" s="8" t="str">
        <x:f>INDEX('ประเมินเกณฑ์'!$AE$9:$AE$608,MATCH(G571,'ประเมินเกณฑ์'!$A$9:$A$608,0))</x:f>
        <x:v>รอประเมิน</x:v>
      </x:c>
      <x:c r="M571" s="8" t="str">
        <x:v>พื้นที่เพิ่มเติมตามบรีฟ/ทะเบียน GMHI</x:v>
      </x:c>
      <x:c r="N571" s="8" t="str">
        <x:v>ยังไม่ยืนยันการเปิดให้บริการปัจจุบัน</x:v>
      </x:c>
      <x:c r="O571" s="40" t="n">
        <x:v>46316</x:v>
      </x:c>
    </x:row>
    <x:row r="572" ht="38" customHeight="1">
      <x:c r="A572" s="9" t="n">
        <x:v>564</x:v>
      </x:c>
      <x:c r="B572" s="8" t="str">
        <x:v>Sukko Spa Phuket</x:v>
      </x:c>
      <x:c r="C572" s="8" t="str">
        <x:v>ภูเก็ต</x:v>
      </x:c>
      <x:c r="D572" s="8" t="str">
        <x:v>มีศักยภาพ แต่ต้องพัฒนามาตรฐาน</x:v>
      </x:c>
      <x:c r="E572" s="8" t="str">
        <x:v>สถานประกอบการเพื่อสุขภาพและเวลเนส</x:v>
      </x:c>
      <x:c r="F572" s="38" t="n">
        <x:v>46316</x:v>
      </x:c>
      <x:c r="G572" s="8" t="str">
        <x:v>R26-292</x:v>
      </x:c>
      <x:c r="H572" s="39" t="str">
        <x:v>เพิ่มเติม</x:v>
      </x:c>
      <x:c r="I572" s="8" t="str">
        <x:v>เพิ่มเติม ภูเก็ต</x:v>
      </x:c>
      <x:c r="J572" s="8" t="str">
        <x:v>ตัวเลือกเสริม</x:v>
      </x:c>
      <x:c r="K572" s="8" t="str">
        <x:v>เวลเนส</x:v>
      </x:c>
      <x:c r="L572" s="8" t="str">
        <x:f>INDEX('ประเมินเกณฑ์'!$AE$9:$AE$608,MATCH(G572,'ประเมินเกณฑ์'!$A$9:$A$608,0))</x:f>
        <x:v>รอประเมิน</x:v>
      </x:c>
      <x:c r="M572" s="8" t="str">
        <x:v>พื้นที่เพิ่มเติมตามบรีฟ/ทะเบียน GMHI</x:v>
      </x:c>
      <x:c r="N572" s="8" t="str">
        <x:v>ยังไม่ยืนยันการเปิดให้บริการปัจจุบัน</x:v>
      </x:c>
      <x:c r="O572" s="40" t="n">
        <x:v>46316</x:v>
      </x:c>
    </x:row>
    <x:row r="573" ht="38" customHeight="1">
      <x:c r="A573" s="9" t="n">
        <x:v>565</x:v>
      </x:c>
      <x:c r="B573" s="8" t="str">
        <x:v>โอเอซิสสปา ทรอปิคอลรีทรีต ลากูน่า</x:v>
      </x:c>
      <x:c r="C573" s="8" t="str">
        <x:v>ภูเก็ต</x:v>
      </x:c>
      <x:c r="D573" s="8" t="str">
        <x:v>มีศักยภาพ แต่ต้องพัฒนามาตรฐาน</x:v>
      </x:c>
      <x:c r="E573" s="8" t="str">
        <x:v>สถานประกอบการเพื่อสุขภาพและเวลเนส</x:v>
      </x:c>
      <x:c r="F573" s="38" t="n">
        <x:v>46316</x:v>
      </x:c>
      <x:c r="G573" s="8" t="str">
        <x:v>TMF-575</x:v>
      </x:c>
      <x:c r="H573" s="39" t="str">
        <x:v>เพิ่มเติม</x:v>
      </x:c>
      <x:c r="I573" s="8" t="str">
        <x:v>เพิ่มเติม ภูเก็ต</x:v>
      </x:c>
      <x:c r="J573" s="8" t="str">
        <x:v>ตัวเลือกเสริม</x:v>
      </x:c>
      <x:c r="K573" s="8" t="str">
        <x:v>สปา</x:v>
      </x:c>
      <x:c r="L573" s="8" t="str">
        <x:f>INDEX('ประเมินเกณฑ์'!$AE$9:$AE$608,MATCH(G573,'ประเมินเกณฑ์'!$A$9:$A$608,0))</x:f>
        <x:v>รอประเมิน</x:v>
      </x:c>
      <x:c r="M573" s="8" t="str">
        <x:v>พื้นที่เพิ่มเติมตามบรีฟ/ทะเบียน GMHI</x:v>
      </x:c>
      <x:c r="N573" s="8" t="str">
        <x:v>ยังไม่ยืนยันการเปิดให้บริการปัจจุบัน</x:v>
      </x:c>
      <x:c r="O573" s="40" t="n">
        <x:v>46316</x:v>
      </x:c>
    </x:row>
    <x:row r="574" ht="38" customHeight="1">
      <x:c r="A574" s="9" t="n">
        <x:v>566</x:v>
      </x:c>
      <x:c r="B574" s="8" t="str">
        <x:v>โอเอซิสสปา สกายบรีซ กะตะ</x:v>
      </x:c>
      <x:c r="C574" s="8" t="str">
        <x:v>ภูเก็ต</x:v>
      </x:c>
      <x:c r="D574" s="8" t="str">
        <x:v>มีศักยภาพ แต่ต้องพัฒนามาตรฐาน</x:v>
      </x:c>
      <x:c r="E574" s="8" t="str">
        <x:v>สถานประกอบการเพื่อสุขภาพและเวลเนส</x:v>
      </x:c>
      <x:c r="F574" s="38" t="n">
        <x:v>46316</x:v>
      </x:c>
      <x:c r="G574" s="8" t="str">
        <x:v>TMF-576</x:v>
      </x:c>
      <x:c r="H574" s="39" t="str">
        <x:v>เพิ่มเติม</x:v>
      </x:c>
      <x:c r="I574" s="8" t="str">
        <x:v>เพิ่มเติม ภูเก็ต</x:v>
      </x:c>
      <x:c r="J574" s="8" t="str">
        <x:v>ตัวเลือกเสริม</x:v>
      </x:c>
      <x:c r="K574" s="8" t="str">
        <x:v>สปา</x:v>
      </x:c>
      <x:c r="L574" s="8" t="str">
        <x:f>INDEX('ประเมินเกณฑ์'!$AE$9:$AE$608,MATCH(G574,'ประเมินเกณฑ์'!$A$9:$A$608,0))</x:f>
        <x:v>รอประเมิน</x:v>
      </x:c>
      <x:c r="M574" s="8" t="str">
        <x:v>พื้นที่เพิ่มเติมตามบรีฟ/ทะเบียน GMHI</x:v>
      </x:c>
      <x:c r="N574" s="8" t="str">
        <x:v>ยังไม่ยืนยันการเปิดให้บริการปัจจุบัน</x:v>
      </x:c>
      <x:c r="O574" s="40" t="n">
        <x:v>46316</x:v>
      </x:c>
    </x:row>
    <x:row r="575" ht="38" customHeight="1">
      <x:c r="A575" s="9" t="n">
        <x:v>567</x:v>
      </x:c>
      <x:c r="B575" s="8" t="str">
        <x:v>โอเอซิสสปา เทอร์ควอยซ์โคฟ กมลา</x:v>
      </x:c>
      <x:c r="C575" s="8" t="str">
        <x:v>ภูเก็ต</x:v>
      </x:c>
      <x:c r="D575" s="8" t="str">
        <x:v>มีศักยภาพ แต่ต้องพัฒนามาตรฐาน</x:v>
      </x:c>
      <x:c r="E575" s="8" t="str">
        <x:v>สถานประกอบการเพื่อสุขภาพและเวลเนส</x:v>
      </x:c>
      <x:c r="F575" s="38" t="n">
        <x:v>46316</x:v>
      </x:c>
      <x:c r="G575" s="8" t="str">
        <x:v>TMF-577</x:v>
      </x:c>
      <x:c r="H575" s="39" t="str">
        <x:v>เพิ่มเติม</x:v>
      </x:c>
      <x:c r="I575" s="8" t="str">
        <x:v>เพิ่มเติม ภูเก็ต</x:v>
      </x:c>
      <x:c r="J575" s="8" t="str">
        <x:v>ตัวเลือกเสริม</x:v>
      </x:c>
      <x:c r="K575" s="8" t="str">
        <x:v>สปา</x:v>
      </x:c>
      <x:c r="L575" s="8" t="str">
        <x:f>INDEX('ประเมินเกณฑ์'!$AE$9:$AE$608,MATCH(G575,'ประเมินเกณฑ์'!$A$9:$A$608,0))</x:f>
        <x:v>รอประเมิน</x:v>
      </x:c>
      <x:c r="M575" s="8" t="str">
        <x:v>พื้นที่เพิ่มเติมตามบรีฟ/ทะเบียน GMHI</x:v>
      </x:c>
      <x:c r="N575" s="8" t="str">
        <x:v>ยังไม่ยืนยันการเปิดให้บริการปัจจุบัน</x:v>
      </x:c>
      <x:c r="O575" s="40" t="n">
        <x:v>46316</x:v>
      </x:c>
    </x:row>
    <x:row r="576" ht="38" customHeight="1">
      <x:c r="A576" s="9" t="n">
        <x:v>568</x:v>
      </x:c>
      <x:c r="B576" s="8" t="str">
        <x:v>Central Phuket</x:v>
      </x:c>
      <x:c r="C576" s="8" t="str">
        <x:v>ภูเก็ต</x:v>
      </x:c>
      <x:c r="D576" s="8" t="str">
        <x:v>มีศักยภาพ แต่ต้องพัฒนามาตรฐาน</x:v>
      </x:c>
      <x:c r="E576" s="8" t="str">
        <x:v>ศูนย์การค้า</x:v>
      </x:c>
      <x:c r="F576" s="38" t="n">
        <x:v>46316</x:v>
      </x:c>
      <x:c r="G576" s="8" t="str">
        <x:v>R26-268</x:v>
      </x:c>
      <x:c r="H576" s="39" t="str">
        <x:v>เพิ่มเติม</x:v>
      </x:c>
      <x:c r="I576" s="8" t="str">
        <x:v>เพิ่มเติม ภูเก็ต</x:v>
      </x:c>
      <x:c r="J576" s="8" t="str">
        <x:v>ตัวเลือกเสริม</x:v>
      </x:c>
      <x:c r="K576" s="8" t="str">
        <x:v>การค้า</x:v>
      </x:c>
      <x:c r="L576" s="8" t="str">
        <x:f>INDEX('ประเมินเกณฑ์'!$AE$9:$AE$608,MATCH(G576,'ประเมินเกณฑ์'!$A$9:$A$608,0))</x:f>
        <x:v>รอประเมิน</x:v>
      </x:c>
      <x:c r="M576" s="8" t="str">
        <x:v>พื้นที่เพิ่มเติมตามบรีฟ/ทะเบียน GMHI</x:v>
      </x:c>
      <x:c r="N576" s="8" t="str">
        <x:v>ยังไม่ยืนยันการเปิดให้บริการปัจจุบัน</x:v>
      </x:c>
      <x:c r="O576" s="40" t="n">
        <x:v>46316</x:v>
      </x:c>
    </x:row>
    <x:row r="577" ht="38" customHeight="1">
      <x:c r="A577" s="9" t="n">
        <x:v>569</x:v>
      </x:c>
      <x:c r="B577" s="8" t="str">
        <x:v>Jungceylon Phuket</x:v>
      </x:c>
      <x:c r="C577" s="8" t="str">
        <x:v>ภูเก็ต</x:v>
      </x:c>
      <x:c r="D577" s="8" t="str">
        <x:v>มีศักยภาพ แต่ต้องพัฒนามาตรฐาน</x:v>
      </x:c>
      <x:c r="E577" s="8" t="str">
        <x:v>ศูนย์การค้า</x:v>
      </x:c>
      <x:c r="F577" s="38" t="n">
        <x:v>46316</x:v>
      </x:c>
      <x:c r="G577" s="8" t="str">
        <x:v>R26-269</x:v>
      </x:c>
      <x:c r="H577" s="39" t="str">
        <x:v>เพิ่มเติม</x:v>
      </x:c>
      <x:c r="I577" s="8" t="str">
        <x:v>เพิ่มเติม ภูเก็ต</x:v>
      </x:c>
      <x:c r="J577" s="8" t="str">
        <x:v>ตัวเลือกเสริม</x:v>
      </x:c>
      <x:c r="K577" s="8" t="str">
        <x:v>การค้า</x:v>
      </x:c>
      <x:c r="L577" s="8" t="str">
        <x:f>INDEX('ประเมินเกณฑ์'!$AE$9:$AE$608,MATCH(G577,'ประเมินเกณฑ์'!$A$9:$A$608,0))</x:f>
        <x:v>รอประเมิน</x:v>
      </x:c>
      <x:c r="M577" s="8" t="str">
        <x:v>พื้นที่เพิ่มเติมตามบรีฟ/ทะเบียน GMHI</x:v>
      </x:c>
      <x:c r="N577" s="8" t="str">
        <x:v>ยังไม่ยืนยันการเปิดให้บริการปัจจุบัน</x:v>
      </x:c>
      <x:c r="O577" s="40" t="n">
        <x:v>46316</x:v>
      </x:c>
    </x:row>
    <x:row r="578" ht="38" customHeight="1">
      <x:c r="A578" s="9" t="n">
        <x:v>570</x:v>
      </x:c>
      <x:c r="B578" s="8" t="str">
        <x:v>จุดชมวิวเขารัง</x:v>
      </x:c>
      <x:c r="C578" s="8" t="str">
        <x:v>ภูเก็ต</x:v>
      </x:c>
      <x:c r="D578" s="8" t="str">
        <x:v>มีศักยภาพ แต่ต้องพัฒนามาตรฐาน</x:v>
      </x:c>
      <x:c r="E578" s="8" t="str">
        <x:v>แหล่งท่องเที่ยวทางธรรมชาติ</x:v>
      </x:c>
      <x:c r="F578" s="38" t="n">
        <x:v>46316</x:v>
      </x:c>
      <x:c r="G578" s="8" t="str">
        <x:v>R26-222</x:v>
      </x:c>
      <x:c r="H578" s="39" t="str">
        <x:v>เพิ่มเติม</x:v>
      </x:c>
      <x:c r="I578" s="8" t="str">
        <x:v>เพิ่มเติม ภูเก็ต</x:v>
      </x:c>
      <x:c r="J578" s="8" t="str">
        <x:v>ตัวเลือกเสริม</x:v>
      </x:c>
      <x:c r="K578" s="8" t="str">
        <x:v>ธรรมชาติ</x:v>
      </x:c>
      <x:c r="L578" s="8" t="str">
        <x:f>INDEX('ประเมินเกณฑ์'!$AE$9:$AE$608,MATCH(G578,'ประเมินเกณฑ์'!$A$9:$A$608,0))</x:f>
        <x:v>รอประเมิน</x:v>
      </x:c>
      <x:c r="M578" s="8" t="str">
        <x:v>พื้นที่เพิ่มเติมตามบรีฟ/ทะเบียน GMHI</x:v>
      </x:c>
      <x:c r="N578" s="8" t="str">
        <x:v>ยังไม่ยืนยันการเปิดให้บริการปัจจุบัน</x:v>
      </x:c>
      <x:c r="O578" s="40" t="n">
        <x:v>46316</x:v>
      </x:c>
    </x:row>
    <x:row r="579" ht="38" customHeight="1">
      <x:c r="A579" s="9" t="n">
        <x:v>571</x:v>
      </x:c>
      <x:c r="B579" s="8" t="str">
        <x:v>หาดในยาง</x:v>
      </x:c>
      <x:c r="C579" s="8" t="str">
        <x:v>ภูเก็ต</x:v>
      </x:c>
      <x:c r="D579" s="8" t="str">
        <x:v>มีศักยภาพ แต่ต้องพัฒนามาตรฐาน</x:v>
      </x:c>
      <x:c r="E579" s="8" t="str">
        <x:v>แหล่งท่องเที่ยวทางธรรมชาติ</x:v>
      </x:c>
      <x:c r="F579" s="38" t="n">
        <x:v>46316</x:v>
      </x:c>
      <x:c r="G579" s="8" t="str">
        <x:v>R26-220</x:v>
      </x:c>
      <x:c r="H579" s="39" t="str">
        <x:v>เพิ่มเติม</x:v>
      </x:c>
      <x:c r="I579" s="8" t="str">
        <x:v>เพิ่มเติม ภูเก็ต</x:v>
      </x:c>
      <x:c r="J579" s="8" t="str">
        <x:v>ตัวเลือกเสริม</x:v>
      </x:c>
      <x:c r="K579" s="8" t="str">
        <x:v>ธรรมชาติ</x:v>
      </x:c>
      <x:c r="L579" s="8" t="str">
        <x:f>INDEX('ประเมินเกณฑ์'!$AE$9:$AE$608,MATCH(G579,'ประเมินเกณฑ์'!$A$9:$A$608,0))</x:f>
        <x:v>รอประเมิน</x:v>
      </x:c>
      <x:c r="M579" s="8" t="str">
        <x:v>พื้นที่เพิ่มเติมตามบรีฟ/ทะเบียน GMHI</x:v>
      </x:c>
      <x:c r="N579" s="8" t="str">
        <x:v>ยังไม่ยืนยันการเปิดให้บริการปัจจุบัน</x:v>
      </x:c>
      <x:c r="O579" s="40" t="n">
        <x:v>46316</x:v>
      </x:c>
    </x:row>
    <x:row r="580" ht="38" customHeight="1">
      <x:c r="A580" s="9" t="n">
        <x:v>572</x:v>
      </x:c>
      <x:c r="B580" s="8" t="str">
        <x:v>อุทยานแห่งชาติสิรินาถ</x:v>
      </x:c>
      <x:c r="C580" s="8" t="str">
        <x:v>ภูเก็ต</x:v>
      </x:c>
      <x:c r="D580" s="8" t="str">
        <x:v>มีศักยภาพ แต่ต้องพัฒนามาตรฐาน</x:v>
      </x:c>
      <x:c r="E580" s="8" t="str">
        <x:v>แหล่งท่องเที่ยวทางธรรมชาติ</x:v>
      </x:c>
      <x:c r="F580" s="38" t="n">
        <x:v>46316</x:v>
      </x:c>
      <x:c r="G580" s="8" t="str">
        <x:v>R26-221</x:v>
      </x:c>
      <x:c r="H580" s="39" t="str">
        <x:v>เพิ่มเติม</x:v>
      </x:c>
      <x:c r="I580" s="8" t="str">
        <x:v>เพิ่มเติม ภูเก็ต</x:v>
      </x:c>
      <x:c r="J580" s="8" t="str">
        <x:v>ตัวเลือกเสริม</x:v>
      </x:c>
      <x:c r="K580" s="8" t="str">
        <x:v>ธรรมชาติ</x:v>
      </x:c>
      <x:c r="L580" s="8" t="str">
        <x:f>INDEX('ประเมินเกณฑ์'!$AE$9:$AE$608,MATCH(G580,'ประเมินเกณฑ์'!$A$9:$A$608,0))</x:f>
        <x:v>รอประเมิน</x:v>
      </x:c>
      <x:c r="M580" s="8" t="str">
        <x:v>พื้นที่เพิ่มเติมตามบรีฟ/ทะเบียน GMHI</x:v>
      </x:c>
      <x:c r="N580" s="8" t="str">
        <x:v>ยังไม่ยืนยันการเปิดให้บริการปัจจุบัน</x:v>
      </x:c>
      <x:c r="O580" s="40" t="n">
        <x:v>46316</x:v>
      </x:c>
    </x:row>
    <x:row r="581" ht="38" customHeight="1">
      <x:c r="A581" s="9" t="n">
        <x:v>573</x:v>
      </x:c>
      <x:c r="B581" s="8" t="str">
        <x:v>แหลมพรหมเทพ</x:v>
      </x:c>
      <x:c r="C581" s="8" t="str">
        <x:v>ภูเก็ต</x:v>
      </x:c>
      <x:c r="D581" s="8" t="str">
        <x:v>มีศักยภาพ แต่ต้องพัฒนามาตรฐาน</x:v>
      </x:c>
      <x:c r="E581" s="8" t="str">
        <x:v>แหล่งท่องเที่ยวทางธรรมชาติ</x:v>
      </x:c>
      <x:c r="F581" s="38" t="n">
        <x:v>46316</x:v>
      </x:c>
      <x:c r="G581" s="8" t="str">
        <x:v>TMF-578</x:v>
      </x:c>
      <x:c r="H581" s="39" t="str">
        <x:v>เพิ่มเติม</x:v>
      </x:c>
      <x:c r="I581" s="8" t="str">
        <x:v>เพิ่มเติม ภูเก็ต</x:v>
      </x:c>
      <x:c r="J581" s="8" t="str">
        <x:v>ตัวเลือกเสริม</x:v>
      </x:c>
      <x:c r="K581" s="8" t="str">
        <x:v>สวนสาธารณะหรือแหล่งธรรมชาติ</x:v>
      </x:c>
      <x:c r="L581" s="8" t="str">
        <x:f>INDEX('ประเมินเกณฑ์'!$AE$9:$AE$608,MATCH(G581,'ประเมินเกณฑ์'!$A$9:$A$608,0))</x:f>
        <x:v>รอประเมิน</x:v>
      </x:c>
      <x:c r="M581" s="8" t="str">
        <x:v>พื้นที่เพิ่มเติมตามบรีฟ/ทะเบียน GMHI</x:v>
      </x:c>
      <x:c r="N581" s="8" t="str">
        <x:v>ยังไม่ยืนยันการเปิดให้บริการปัจจุบัน</x:v>
      </x:c>
      <x:c r="O581" s="40" t="n">
        <x:v>46315</x:v>
      </x:c>
    </x:row>
    <x:row r="582" ht="38" customHeight="1">
      <x:c r="A582" s="9" t="n">
        <x:v>574</x:v>
      </x:c>
      <x:c r="B582" s="8" t="str">
        <x:v>ย่านเมืองเก่าภูเก็ต</x:v>
      </x:c>
      <x:c r="C582" s="8" t="str">
        <x:v>ภูเก็ต</x:v>
      </x:c>
      <x:c r="D582" s="8" t="str">
        <x:v>มีศักยภาพ แต่ต้องพัฒนามาตรฐาน</x:v>
      </x:c>
      <x:c r="E582" s="8" t="str">
        <x:v>แหล่งท่องเที่ยวทางประวัติศาสตร์และวัฒนธรรม</x:v>
      </x:c>
      <x:c r="F582" s="38" t="n">
        <x:v>46316</x:v>
      </x:c>
      <x:c r="G582" s="8" t="str">
        <x:v>TMF-579</x:v>
      </x:c>
      <x:c r="H582" s="39" t="str">
        <x:v>เพิ่มเติม</x:v>
      </x:c>
      <x:c r="I582" s="8" t="str">
        <x:v>เพิ่มเติม ภูเก็ต</x:v>
      </x:c>
      <x:c r="J582" s="8" t="str">
        <x:v>ตัวเลือกเสริม</x:v>
      </x:c>
      <x:c r="K582" s="8" t="str">
        <x:v>พิพิธภัณฑ์หรือย่านวัฒนธรรม</x:v>
      </x:c>
      <x:c r="L582" s="8" t="str">
        <x:f>INDEX('ประเมินเกณฑ์'!$AE$9:$AE$608,MATCH(G582,'ประเมินเกณฑ์'!$A$9:$A$608,0))</x:f>
        <x:v>รอประเมิน</x:v>
      </x:c>
      <x:c r="M582" s="8" t="str">
        <x:v>พื้นที่เพิ่มเติมตามบรีฟ/ทะเบียน GMHI</x:v>
      </x:c>
      <x:c r="N582" s="8" t="str">
        <x:v>ยังไม่ยืนยันการเปิดให้บริการปัจจุบัน</x:v>
      </x:c>
      <x:c r="O582" s="40" t="n">
        <x:v>46315</x:v>
      </x:c>
    </x:row>
    <x:row r="583" ht="38" customHeight="1">
      <x:c r="A583" s="9" t="n">
        <x:v>575</x:v>
      </x:c>
      <x:c r="B583" s="8" t="str">
        <x:v>ชุมชนบ้านบ่อแร่</x:v>
      </x:c>
      <x:c r="C583" s="8" t="str">
        <x:v>ภูเก็ต</x:v>
      </x:c>
      <x:c r="D583" s="8" t="str">
        <x:v>มีศักยภาพ แต่ต้องพัฒนามาตรฐาน</x:v>
      </x:c>
      <x:c r="E583" s="8" t="str">
        <x:v>ชุมชนท่องเที่ยว</x:v>
      </x:c>
      <x:c r="F583" s="38" t="n">
        <x:v>46316</x:v>
      </x:c>
      <x:c r="G583" s="8" t="str">
        <x:v>R26-218</x:v>
      </x:c>
      <x:c r="H583" s="39" t="str">
        <x:v>เพิ่มเติม</x:v>
      </x:c>
      <x:c r="I583" s="8" t="str">
        <x:v>เพิ่มเติม ภูเก็ต</x:v>
      </x:c>
      <x:c r="J583" s="8" t="str">
        <x:v>ตัวเลือกเสริม</x:v>
      </x:c>
      <x:c r="K583" s="8" t="str">
        <x:v>ชุมชน</x:v>
      </x:c>
      <x:c r="L583" s="8" t="str">
        <x:f>INDEX('ประเมินเกณฑ์'!$AE$9:$AE$608,MATCH(G583,'ประเมินเกณฑ์'!$A$9:$A$608,0))</x:f>
        <x:v>รอประเมิน</x:v>
      </x:c>
      <x:c r="M583" s="8" t="str">
        <x:v>พื้นที่เพิ่มเติมตามบรีฟ/ทะเบียน GMHI</x:v>
      </x:c>
      <x:c r="N583" s="8" t="str">
        <x:v>ยังไม่ยืนยันการเปิดให้บริการปัจจุบัน</x:v>
      </x:c>
      <x:c r="O583" s="40" t="n">
        <x:v>46316</x:v>
      </x:c>
    </x:row>
    <x:row r="584" ht="38" customHeight="1">
      <x:c r="A584" s="9" t="n">
        <x:v>576</x:v>
      </x:c>
      <x:c r="B584" s="8" t="str">
        <x:v>ชุมชนบ้านเกาะมะพร้าว</x:v>
      </x:c>
      <x:c r="C584" s="8" t="str">
        <x:v>ภูเก็ต</x:v>
      </x:c>
      <x:c r="D584" s="8" t="str">
        <x:v>มีศักยภาพ แต่ต้องพัฒนามาตรฐาน</x:v>
      </x:c>
      <x:c r="E584" s="8" t="str">
        <x:v>ชุมชนท่องเที่ยว</x:v>
      </x:c>
      <x:c r="F584" s="38" t="n">
        <x:v>46316</x:v>
      </x:c>
      <x:c r="G584" s="8" t="str">
        <x:v>R26-219</x:v>
      </x:c>
      <x:c r="H584" s="39" t="str">
        <x:v>เพิ่มเติม</x:v>
      </x:c>
      <x:c r="I584" s="8" t="str">
        <x:v>เพิ่มเติม ภูเก็ต</x:v>
      </x:c>
      <x:c r="J584" s="8" t="str">
        <x:v>ตัวเลือกเสริม</x:v>
      </x:c>
      <x:c r="K584" s="8" t="str">
        <x:v>ชุมชน</x:v>
      </x:c>
      <x:c r="L584" s="8" t="str">
        <x:f>INDEX('ประเมินเกณฑ์'!$AE$9:$AE$608,MATCH(G584,'ประเมินเกณฑ์'!$A$9:$A$608,0))</x:f>
        <x:v>รอประเมิน</x:v>
      </x:c>
      <x:c r="M584" s="8" t="str">
        <x:v>พื้นที่เพิ่มเติมตามบรีฟ/ทะเบียน GMHI</x:v>
      </x:c>
      <x:c r="N584" s="8" t="str">
        <x:v>ยังไม่ยืนยันการเปิดให้บริการปัจจุบัน</x:v>
      </x:c>
      <x:c r="O584" s="40" t="n">
        <x:v>46316</x:v>
      </x:c>
    </x:row>
    <x:row r="585" ht="38" customHeight="1">
      <x:c r="A585" s="9" t="n">
        <x:v>577</x:v>
      </x:c>
      <x:c r="B585" s="8" t="str">
        <x:v>บ้านบางโรง</x:v>
      </x:c>
      <x:c r="C585" s="8" t="str">
        <x:v>ภูเก็ต</x:v>
      </x:c>
      <x:c r="D585" s="8" t="str">
        <x:v>มีศักยภาพ แต่ต้องพัฒนามาตรฐาน</x:v>
      </x:c>
      <x:c r="E585" s="8" t="str">
        <x:v>ชุมชนท่องเที่ยว</x:v>
      </x:c>
      <x:c r="F585" s="38" t="n">
        <x:v>46316</x:v>
      </x:c>
      <x:c r="G585" s="8" t="str">
        <x:v>TMF-569</x:v>
      </x:c>
      <x:c r="H585" s="39" t="str">
        <x:v>เพิ่มเติม</x:v>
      </x:c>
      <x:c r="I585" s="8" t="str">
        <x:v>เพิ่มเติม ภูเก็ต</x:v>
      </x:c>
      <x:c r="J585" s="8" t="str">
        <x:v>ตัวเลือกเสริม</x:v>
      </x:c>
      <x:c r="K585" s="8" t="str">
        <x:v>ชุมชนท่องเที่ยว</x:v>
      </x:c>
      <x:c r="L585" s="8" t="str">
        <x:f>INDEX('ประเมินเกณฑ์'!$AE$9:$AE$608,MATCH(G585,'ประเมินเกณฑ์'!$A$9:$A$608,0))</x:f>
        <x:v>รอประเมิน</x:v>
      </x:c>
      <x:c r="M585" s="8" t="str">
        <x:v>พื้นที่เพิ่มเติมตามบรีฟ/ทะเบียน GMHI</x:v>
      </x:c>
      <x:c r="N585" s="8" t="str">
        <x:v>ยังไม่ยืนยันการเปิดให้บริการปัจจุบัน</x:v>
      </x:c>
      <x:c r="O585" s="40" t="n">
        <x:v>46316</x:v>
      </x:c>
    </x:row>
    <x:row r="586" ht="38" customHeight="1">
      <x:c r="A586" s="9" t="n">
        <x:v>578</x:v>
      </x:c>
      <x:c r="B586" s="8" t="str">
        <x:v>Aquaria Phuket</x:v>
      </x:c>
      <x:c r="C586" s="8" t="str">
        <x:v>ภูเก็ต</x:v>
      </x:c>
      <x:c r="D586" s="8" t="str">
        <x:v>มีศักยภาพ แต่ต้องพัฒนามาตรฐาน</x:v>
      </x:c>
      <x:c r="E586" s="8" t="str">
        <x:v>ศูนย์กิจกรรมและนันทนาการ</x:v>
      </x:c>
      <x:c r="F586" s="38" t="n">
        <x:v>46316</x:v>
      </x:c>
      <x:c r="G586" s="8" t="str">
        <x:v>R26-307</x:v>
      </x:c>
      <x:c r="H586" s="39" t="str">
        <x:v>เพิ่มเติม</x:v>
      </x:c>
      <x:c r="I586" s="8" t="str">
        <x:v>เพิ่มเติม ภูเก็ต</x:v>
      </x:c>
      <x:c r="J586" s="8" t="str">
        <x:v>ตัวเลือกเสริม</x:v>
      </x:c>
      <x:c r="K586" s="8" t="str">
        <x:v>กิจกรรม</x:v>
      </x:c>
      <x:c r="L586" s="8" t="str">
        <x:f>INDEX('ประเมินเกณฑ์'!$AE$9:$AE$608,MATCH(G586,'ประเมินเกณฑ์'!$A$9:$A$608,0))</x:f>
        <x:v>รอประเมิน</x:v>
      </x:c>
      <x:c r="M586" s="8" t="str">
        <x:v>พื้นที่เพิ่มเติมตามบรีฟ/ทะเบียน GMHI</x:v>
      </x:c>
      <x:c r="N586" s="8" t="str">
        <x:v>ยังไม่ยืนยันการเปิดให้บริการปัจจุบัน</x:v>
      </x:c>
      <x:c r="O586" s="40" t="n">
        <x:v>46316</x:v>
      </x:c>
    </x:row>
    <x:row r="587" ht="38" customHeight="1">
      <x:c r="A587" s="9" t="n">
        <x:v>579</x:v>
      </x:c>
      <x:c r="B587" s="8" t="str">
        <x:v>Hanuman World Phuket</x:v>
      </x:c>
      <x:c r="C587" s="8" t="str">
        <x:v>ภูเก็ต</x:v>
      </x:c>
      <x:c r="D587" s="8" t="str">
        <x:v>มีศักยภาพ แต่ต้องพัฒนามาตรฐาน</x:v>
      </x:c>
      <x:c r="E587" s="8" t="str">
        <x:v>ศูนย์กิจกรรมและนันทนาการ</x:v>
      </x:c>
      <x:c r="F587" s="38" t="n">
        <x:v>46316</x:v>
      </x:c>
      <x:c r="G587" s="8" t="str">
        <x:v>R26-305</x:v>
      </x:c>
      <x:c r="H587" s="39" t="str">
        <x:v>เพิ่มเติม</x:v>
      </x:c>
      <x:c r="I587" s="8" t="str">
        <x:v>เพิ่มเติม ภูเก็ต</x:v>
      </x:c>
      <x:c r="J587" s="8" t="str">
        <x:v>ตัวเลือกเสริม</x:v>
      </x:c>
      <x:c r="K587" s="8" t="str">
        <x:v>กิจกรรม</x:v>
      </x:c>
      <x:c r="L587" s="8" t="str">
        <x:f>INDEX('ประเมินเกณฑ์'!$AE$9:$AE$608,MATCH(G587,'ประเมินเกณฑ์'!$A$9:$A$608,0))</x:f>
        <x:v>รอประเมิน</x:v>
      </x:c>
      <x:c r="M587" s="8" t="str">
        <x:v>พื้นที่เพิ่มเติมตามบรีฟ/ทะเบียน GMHI</x:v>
      </x:c>
      <x:c r="N587" s="8" t="str">
        <x:v>ยังไม่ยืนยันการเปิดให้บริการปัจจุบัน</x:v>
      </x:c>
      <x:c r="O587" s="40" t="n">
        <x:v>46316</x:v>
      </x:c>
    </x:row>
    <x:row r="588" ht="38" customHeight="1">
      <x:c r="A588" s="9" t="n">
        <x:v>580</x:v>
      </x:c>
      <x:c r="B588" s="8" t="str">
        <x:v>Phuket Aquarium</x:v>
      </x:c>
      <x:c r="C588" s="8" t="str">
        <x:v>ภูเก็ต</x:v>
      </x:c>
      <x:c r="D588" s="8" t="str">
        <x:v>มีศักยภาพ แต่ต้องพัฒนามาตรฐาน</x:v>
      </x:c>
      <x:c r="E588" s="8" t="str">
        <x:v>ศูนย์กิจกรรมและนันทนาการ</x:v>
      </x:c>
      <x:c r="F588" s="38" t="n">
        <x:v>46316</x:v>
      </x:c>
      <x:c r="G588" s="8" t="str">
        <x:v>R26-306</x:v>
      </x:c>
      <x:c r="H588" s="39" t="str">
        <x:v>เพิ่มเติม</x:v>
      </x:c>
      <x:c r="I588" s="8" t="str">
        <x:v>เพิ่มเติม ภูเก็ต</x:v>
      </x:c>
      <x:c r="J588" s="8" t="str">
        <x:v>ตัวเลือกเสริม</x:v>
      </x:c>
      <x:c r="K588" s="8" t="str">
        <x:v>กิจกรรม</x:v>
      </x:c>
      <x:c r="L588" s="8" t="str">
        <x:f>INDEX('ประเมินเกณฑ์'!$AE$9:$AE$608,MATCH(G588,'ประเมินเกณฑ์'!$A$9:$A$608,0))</x:f>
        <x:v>รอประเมิน</x:v>
      </x:c>
      <x:c r="M588" s="8" t="str">
        <x:v>พื้นที่เพิ่มเติมตามบรีฟ/ทะเบียน GMHI</x:v>
      </x:c>
      <x:c r="N588" s="8" t="str">
        <x:v>ยังไม่ยืนยันการเปิดให้บริการปัจจุบัน</x:v>
      </x:c>
      <x:c r="O588" s="40" t="n">
        <x:v>46316</x:v>
      </x:c>
    </x:row>
    <x:row r="589" ht="38" customHeight="1">
      <x:c r="A589" s="9" t="n">
        <x:v>581</x:v>
      </x:c>
      <x:c r="B589" s="8" t="str">
        <x:v>Phuket Elephant Sanctuary</x:v>
      </x:c>
      <x:c r="C589" s="8" t="str">
        <x:v>ภูเก็ต</x:v>
      </x:c>
      <x:c r="D589" s="8" t="str">
        <x:v>มีศักยภาพ แต่ต้องพัฒนามาตรฐาน</x:v>
      </x:c>
      <x:c r="E589" s="8" t="str">
        <x:v>ศูนย์กิจกรรมและนันทนาการ</x:v>
      </x:c>
      <x:c r="F589" s="38" t="n">
        <x:v>46316</x:v>
      </x:c>
      <x:c r="G589" s="8" t="str">
        <x:v>R26-308</x:v>
      </x:c>
      <x:c r="H589" s="39" t="str">
        <x:v>เพิ่มเติม</x:v>
      </x:c>
      <x:c r="I589" s="8" t="str">
        <x:v>เพิ่มเติม ภูเก็ต</x:v>
      </x:c>
      <x:c r="J589" s="8" t="str">
        <x:v>ตัวเลือกเสริม</x:v>
      </x:c>
      <x:c r="K589" s="8" t="str">
        <x:v>กิจกรรม</x:v>
      </x:c>
      <x:c r="L589" s="8" t="str">
        <x:f>INDEX('ประเมินเกณฑ์'!$AE$9:$AE$608,MATCH(G589,'ประเมินเกณฑ์'!$A$9:$A$608,0))</x:f>
        <x:v>รอประเมิน</x:v>
      </x:c>
      <x:c r="M589" s="8" t="str">
        <x:v>พื้นที่เพิ่มเติมตามบรีฟ/ทะเบียน GMHI</x:v>
      </x:c>
      <x:c r="N589" s="8" t="str">
        <x:v>ยังไม่ยืนยันการเปิดให้บริการปัจจุบัน</x:v>
      </x:c>
      <x:c r="O589" s="40" t="n">
        <x:v>46316</x:v>
      </x:c>
    </x:row>
    <x:row r="590" ht="38" customHeight="1">
      <x:c r="A590" s="9" t="n">
        <x:v>582</x:v>
      </x:c>
      <x:c r="B590" s="8" t="str">
        <x:v>อันดามันดา ภูเก็ต</x:v>
      </x:c>
      <x:c r="C590" s="8" t="str">
        <x:v>ภูเก็ต</x:v>
      </x:c>
      <x:c r="D590" s="8" t="str">
        <x:v>พร้อมขาย</x:v>
      </x:c>
      <x:c r="E590" s="8" t="str">
        <x:v>ศูนย์กิจกรรมและนันทนาการ</x:v>
      </x:c>
      <x:c r="F590" s="38" t="n">
        <x:v>46316</x:v>
      </x:c>
      <x:c r="G590" s="8" t="str">
        <x:v>TMF-189</x:v>
      </x:c>
      <x:c r="H590" s="39" t="str">
        <x:v>เพิ่มเติม</x:v>
      </x:c>
      <x:c r="I590" s="8" t="str">
        <x:v>เพิ่มเติม ภูเก็ต</x:v>
      </x:c>
      <x:c r="J590" s="8" t="str">
        <x:v>ตัวเลือกเสริม</x:v>
      </x:c>
      <x:c r="K590" s="8" t="str">
        <x:v>สวนน้ำ</x:v>
      </x:c>
      <x:c r="L590" s="8" t="str">
        <x:f>INDEX('ประเมินเกณฑ์'!$AE$9:$AE$608,MATCH(G590,'ประเมินเกณฑ์'!$A$9:$A$608,0))</x:f>
        <x:v>รอประเมิน</x:v>
      </x:c>
      <x:c r="M590" s="8" t="str">
        <x:v>พื้นที่เพิ่มเติมตามบรีฟ/ทะเบียน GMHI</x:v>
      </x:c>
      <x:c r="N590" s="8" t="str">
        <x:v>ยังไม่ยืนยันการเปิดให้บริการปัจจุบัน</x:v>
      </x:c>
      <x:c r="O590" s="40" t="n">
        <x:v>46315</x:v>
      </x:c>
    </x:row>
    <x:row r="591" ht="38" customHeight="1">
      <x:c r="A591" s="9" t="n">
        <x:v>583</x:v>
      </x:c>
      <x:c r="B591" s="8" t="str">
        <x:v>กาแฟปากลัด</x:v>
      </x:c>
      <x:c r="C591" s="8" t="str">
        <x:v>สมุทรปราการ</x:v>
      </x:c>
      <x:c r="D591" s="8" t="str">
        <x:v>พัฒนาเพื่อพร้อมขาย</x:v>
      </x:c>
      <x:c r="E591" s="8" t="str">
        <x:v>ร้านอาหารและคาเฟ่</x:v>
      </x:c>
      <x:c r="F591" s="38" t="n">
        <x:v>46316</x:v>
      </x:c>
      <x:c r="G591" s="8" t="str">
        <x:v>TMF-401</x:v>
      </x:c>
      <x:c r="H591" s="39" t="str">
        <x:v>เพิ่มเติม</x:v>
      </x:c>
      <x:c r="I591" s="8" t="str">
        <x:v>พื้นที่เพิ่มเติม</x:v>
      </x:c>
      <x:c r="J591" s="8" t="str">
        <x:v>ตัวเลือกเสริม</x:v>
      </x:c>
      <x:c r="K591" s="8" t="str">
        <x:v>ร้านอาหาร</x:v>
      </x:c>
      <x:c r="L591" s="8" t="str">
        <x:f>INDEX('ประเมินเกณฑ์'!$AE$9:$AE$608,MATCH(G591,'ประเมินเกณฑ์'!$A$9:$A$608,0))</x:f>
        <x:v>รอประเมิน</x:v>
      </x:c>
      <x:c r="M591" s="8" t="str">
        <x:v>พื้นที่เพิ่มเติมตามบรีฟ/ทะเบียน GMHI</x:v>
      </x:c>
      <x:c r="N591" s="8" t="str">
        <x:v>ยังไม่ยืนยันการเปิดให้บริการปัจจุบัน</x:v>
      </x:c>
      <x:c r="O591" s="40" t="n">
        <x:v>46316</x:v>
      </x:c>
    </x:row>
    <x:row r="592" ht="38" customHeight="1">
      <x:c r="A592" s="9" t="n">
        <x:v>584</x:v>
      </x:c>
      <x:c r="B592" s="8" t="str">
        <x:v>ส้มตำบางกะสี</x:v>
      </x:c>
      <x:c r="C592" s="8" t="str">
        <x:v>สมุทรปราการ</x:v>
      </x:c>
      <x:c r="D592" s="8" t="str">
        <x:v>พร้อมขาย</x:v>
      </x:c>
      <x:c r="E592" s="8" t="str">
        <x:v>ร้านอาหารและคาเฟ่</x:v>
      </x:c>
      <x:c r="F592" s="38" t="n">
        <x:v>46316</x:v>
      </x:c>
      <x:c r="G592" s="8" t="str">
        <x:v>TMF-223</x:v>
      </x:c>
      <x:c r="H592" s="39" t="str">
        <x:v>เพิ่มเติม</x:v>
      </x:c>
      <x:c r="I592" s="8" t="str">
        <x:v>พื้นที่เพิ่มเติม</x:v>
      </x:c>
      <x:c r="J592" s="8" t="str">
        <x:v>ตัวเลือกเสริม</x:v>
      </x:c>
      <x:c r="K592" s="8" t="str">
        <x:v>ร้านอาหาร</x:v>
      </x:c>
      <x:c r="L592" s="8" t="str">
        <x:f>INDEX('ประเมินเกณฑ์'!$AE$9:$AE$608,MATCH(G592,'ประเมินเกณฑ์'!$A$9:$A$608,0))</x:f>
        <x:v>รอประเมิน</x:v>
      </x:c>
      <x:c r="M592" s="8" t="str">
        <x:v>พื้นที่เพิ่มเติมตามบรีฟ/ทะเบียน GMHI</x:v>
      </x:c>
      <x:c r="N592" s="8" t="str">
        <x:v>ยังไม่ยืนยันการเปิดให้บริการปัจจุบัน</x:v>
      </x:c>
      <x:c r="O592" s="40" t="n">
        <x:v>46315</x:v>
      </x:c>
    </x:row>
    <x:row r="593" ht="38" customHeight="1">
      <x:c r="A593" s="9" t="n">
        <x:v>585</x:v>
      </x:c>
      <x:c r="B593" s="8" t="str">
        <x:v>แมนดาริน สุกี้&amp;ติ่มซำ สาขา เมกาบางนา</x:v>
      </x:c>
      <x:c r="C593" s="8" t="str">
        <x:v>สมุทรปราการ</x:v>
      </x:c>
      <x:c r="D593" s="8" t="str">
        <x:v>พร้อมขาย</x:v>
      </x:c>
      <x:c r="E593" s="8" t="str">
        <x:v>ร้านอาหารและคาเฟ่</x:v>
      </x:c>
      <x:c r="F593" s="38" t="n">
        <x:v>46316</x:v>
      </x:c>
      <x:c r="G593" s="8" t="str">
        <x:v>TMF-224</x:v>
      </x:c>
      <x:c r="H593" s="39" t="str">
        <x:v>เพิ่มเติม</x:v>
      </x:c>
      <x:c r="I593" s="8" t="str">
        <x:v>พื้นที่เพิ่มเติม</x:v>
      </x:c>
      <x:c r="J593" s="8" t="str">
        <x:v>ตัวเลือกเสริม</x:v>
      </x:c>
      <x:c r="K593" s="8" t="str">
        <x:v>ร้านอาหาร</x:v>
      </x:c>
      <x:c r="L593" s="8" t="str">
        <x:f>INDEX('ประเมินเกณฑ์'!$AE$9:$AE$608,MATCH(G593,'ประเมินเกณฑ์'!$A$9:$A$608,0))</x:f>
        <x:v>รอประเมิน</x:v>
      </x:c>
      <x:c r="M593" s="8" t="str">
        <x:v>พื้นที่เพิ่มเติมตามบรีฟ/ทะเบียน GMHI</x:v>
      </x:c>
      <x:c r="N593" s="8" t="str">
        <x:v>ยังไม่ยืนยันการเปิดให้บริการปัจจุบัน</x:v>
      </x:c>
      <x:c r="O593" s="40" t="n">
        <x:v>46316</x:v>
      </x:c>
    </x:row>
    <x:row r="594" ht="38" customHeight="1">
      <x:c r="A594" s="9" t="n">
        <x:v>586</x:v>
      </x:c>
      <x:c r="B594" s="8" t="str">
        <x:v>โรตี ข้าวหมก Salute</x:v>
      </x:c>
      <x:c r="C594" s="8" t="str">
        <x:v>สมุทรปราการ</x:v>
      </x:c>
      <x:c r="D594" s="8" t="str">
        <x:v>พร้อมขาย</x:v>
      </x:c>
      <x:c r="E594" s="8" t="str">
        <x:v>ร้านอาหารและคาเฟ่</x:v>
      </x:c>
      <x:c r="F594" s="38" t="n">
        <x:v>46316</x:v>
      </x:c>
      <x:c r="G594" s="8" t="str">
        <x:v>TMF-225</x:v>
      </x:c>
      <x:c r="H594" s="39" t="str">
        <x:v>เพิ่มเติม</x:v>
      </x:c>
      <x:c r="I594" s="8" t="str">
        <x:v>พื้นที่เพิ่มเติม</x:v>
      </x:c>
      <x:c r="J594" s="8" t="str">
        <x:v>ตัวเลือกเสริม</x:v>
      </x:c>
      <x:c r="K594" s="8" t="str">
        <x:v>คาเฟ่และร้านของหวาน</x:v>
      </x:c>
      <x:c r="L594" s="8" t="str">
        <x:f>INDEX('ประเมินเกณฑ์'!$AE$9:$AE$608,MATCH(G594,'ประเมินเกณฑ์'!$A$9:$A$608,0))</x:f>
        <x:v>รอประเมิน</x:v>
      </x:c>
      <x:c r="M594" s="8" t="str">
        <x:v>พื้นที่เพิ่มเติมตามบรีฟ/ทะเบียน GMHI</x:v>
      </x:c>
      <x:c r="N594" s="8" t="str">
        <x:v>ยังไม่ยืนยันการเปิดให้บริการปัจจุบัน</x:v>
      </x:c>
      <x:c r="O594" s="40" t="n">
        <x:v>46315</x:v>
      </x:c>
    </x:row>
    <x:row r="595" ht="38" customHeight="1">
      <x:c r="A595" s="9" t="n">
        <x:v>587</x:v>
      </x:c>
      <x:c r="B595" s="8" t="str">
        <x:v>RAKxa Wellness Bang Krachao</x:v>
      </x:c>
      <x:c r="C595" s="8" t="str">
        <x:v>สมุทรปราการ</x:v>
      </x:c>
      <x:c r="D595" s="8" t="str">
        <x:v>มีศักยภาพ แต่ต้องพัฒนามาตรฐาน</x:v>
      </x:c>
      <x:c r="E595" s="8" t="str">
        <x:v>สถานประกอบการเพื่อสุขภาพและเวลเนส</x:v>
      </x:c>
      <x:c r="F595" s="38" t="n">
        <x:v>46316</x:v>
      </x:c>
      <x:c r="G595" s="8" t="str">
        <x:v>R26-300</x:v>
      </x:c>
      <x:c r="H595" s="39" t="str">
        <x:v>เพิ่มเติม</x:v>
      </x:c>
      <x:c r="I595" s="8" t="str">
        <x:v>พื้นที่เพิ่มเติม</x:v>
      </x:c>
      <x:c r="J595" s="8" t="str">
        <x:v>ตัวเลือกเสริม</x:v>
      </x:c>
      <x:c r="K595" s="8" t="str">
        <x:v>เวลเนส</x:v>
      </x:c>
      <x:c r="L595" s="8" t="str">
        <x:f>INDEX('ประเมินเกณฑ์'!$AE$9:$AE$608,MATCH(G595,'ประเมินเกณฑ์'!$A$9:$A$608,0))</x:f>
        <x:v>รอประเมิน</x:v>
      </x:c>
      <x:c r="M595" s="8" t="str">
        <x:v>พื้นที่เพิ่มเติมตามบรีฟ/ทะเบียน GMHI</x:v>
      </x:c>
      <x:c r="N595" s="8" t="str">
        <x:v>ยังไม่ยืนยันการเปิดให้บริการปัจจุบัน</x:v>
      </x:c>
      <x:c r="O595" s="40" t="n">
        <x:v>46316</x:v>
      </x:c>
    </x:row>
    <x:row r="596" ht="38" customHeight="1">
      <x:c r="A596" s="9" t="n">
        <x:v>588</x:v>
      </x:c>
      <x:c r="B596" s="8" t="str">
        <x:v>Mega Bangna</x:v>
      </x:c>
      <x:c r="C596" s="8" t="str">
        <x:v>สมุทรปราการ</x:v>
      </x:c>
      <x:c r="D596" s="8" t="str">
        <x:v>มีศักยภาพ แต่ต้องพัฒนามาตรฐาน</x:v>
      </x:c>
      <x:c r="E596" s="8" t="str">
        <x:v>ศูนย์การค้า</x:v>
      </x:c>
      <x:c r="F596" s="38" t="n">
        <x:v>46316</x:v>
      </x:c>
      <x:c r="G596" s="8" t="str">
        <x:v>R26-270</x:v>
      </x:c>
      <x:c r="H596" s="39" t="str">
        <x:v>เพิ่มเติม</x:v>
      </x:c>
      <x:c r="I596" s="8" t="str">
        <x:v>พื้นที่เพิ่มเติม</x:v>
      </x:c>
      <x:c r="J596" s="8" t="str">
        <x:v>ตัวเลือกเสริม</x:v>
      </x:c>
      <x:c r="K596" s="8" t="str">
        <x:v>การค้า</x:v>
      </x:c>
      <x:c r="L596" s="8" t="str">
        <x:f>INDEX('ประเมินเกณฑ์'!$AE$9:$AE$608,MATCH(G596,'ประเมินเกณฑ์'!$A$9:$A$608,0))</x:f>
        <x:v>รอประเมิน</x:v>
      </x:c>
      <x:c r="M596" s="8" t="str">
        <x:v>พื้นที่เพิ่มเติมตามบรีฟ/ทะเบียน GMHI</x:v>
      </x:c>
      <x:c r="N596" s="8" t="str">
        <x:v>ยังไม่ยืนยันการเปิดให้บริการปัจจุบัน</x:v>
      </x:c>
      <x:c r="O596" s="40" t="n">
        <x:v>46316</x:v>
      </x:c>
    </x:row>
    <x:row r="597" ht="38" customHeight="1">
      <x:c r="A597" s="9" t="n">
        <x:v>589</x:v>
      </x:c>
      <x:c r="B597" s="8" t="str">
        <x:v>สถานตากอากาศบางปู</x:v>
      </x:c>
      <x:c r="C597" s="8" t="str">
        <x:v>สมุทรปราการ</x:v>
      </x:c>
      <x:c r="D597" s="8" t="str">
        <x:v>มีศักยภาพ แต่ต้องพัฒนามาตรฐาน</x:v>
      </x:c>
      <x:c r="E597" s="8" t="str">
        <x:v>แหล่งท่องเที่ยวทางธรรมชาติ</x:v>
      </x:c>
      <x:c r="F597" s="38" t="n">
        <x:v>46316</x:v>
      </x:c>
      <x:c r="G597" s="8" t="str">
        <x:v>R26-238</x:v>
      </x:c>
      <x:c r="H597" s="39" t="str">
        <x:v>เพิ่มเติม</x:v>
      </x:c>
      <x:c r="I597" s="8" t="str">
        <x:v>พื้นที่เพิ่มเติม</x:v>
      </x:c>
      <x:c r="J597" s="8" t="str">
        <x:v>ตัวเลือกเสริม</x:v>
      </x:c>
      <x:c r="K597" s="8" t="str">
        <x:v>ธรรมชาติ</x:v>
      </x:c>
      <x:c r="L597" s="8" t="str">
        <x:f>INDEX('ประเมินเกณฑ์'!$AE$9:$AE$608,MATCH(G597,'ประเมินเกณฑ์'!$A$9:$A$608,0))</x:f>
        <x:v>รอประเมิน</x:v>
      </x:c>
      <x:c r="M597" s="8" t="str">
        <x:v>พื้นที่เพิ่มเติมตามบรีฟ/ทะเบียน GMHI</x:v>
      </x:c>
      <x:c r="N597" s="8" t="str">
        <x:v>ยังไม่ยืนยันการเปิดให้บริการปัจจุบัน</x:v>
      </x:c>
      <x:c r="O597" s="40" t="n">
        <x:v>46316</x:v>
      </x:c>
    </x:row>
    <x:row r="598" ht="38" customHeight="1">
      <x:c r="A598" s="9" t="n">
        <x:v>590</x:v>
      </x:c>
      <x:c r="B598" s="8" t="str">
        <x:v>สวนศรีนครเขื่อนขันธ์</x:v>
      </x:c>
      <x:c r="C598" s="8" t="str">
        <x:v>สมุทรปราการ</x:v>
      </x:c>
      <x:c r="D598" s="8" t="str">
        <x:v>มีศักยภาพ แต่ต้องพัฒนามาตรฐาน</x:v>
      </x:c>
      <x:c r="E598" s="8" t="str">
        <x:v>แหล่งท่องเที่ยวทางธรรมชาติ</x:v>
      </x:c>
      <x:c r="F598" s="38" t="n">
        <x:v>46316</x:v>
      </x:c>
      <x:c r="G598" s="8" t="str">
        <x:v>R26-239</x:v>
      </x:c>
      <x:c r="H598" s="39" t="str">
        <x:v>เพิ่มเติม</x:v>
      </x:c>
      <x:c r="I598" s="8" t="str">
        <x:v>พื้นที่เพิ่มเติม</x:v>
      </x:c>
      <x:c r="J598" s="8" t="str">
        <x:v>ตัวเลือกเสริม</x:v>
      </x:c>
      <x:c r="K598" s="8" t="str">
        <x:v>ธรรมชาติ</x:v>
      </x:c>
      <x:c r="L598" s="8" t="str">
        <x:f>INDEX('ประเมินเกณฑ์'!$AE$9:$AE$608,MATCH(G598,'ประเมินเกณฑ์'!$A$9:$A$608,0))</x:f>
        <x:v>รอประเมิน</x:v>
      </x:c>
      <x:c r="M598" s="8" t="str">
        <x:v>พื้นที่เพิ่มเติมตามบรีฟ/ทะเบียน GMHI</x:v>
      </x:c>
      <x:c r="N598" s="8" t="str">
        <x:v>ยังไม่ยืนยันการเปิดให้บริการปัจจุบัน</x:v>
      </x:c>
      <x:c r="O598" s="40" t="n">
        <x:v>46316</x:v>
      </x:c>
    </x:row>
    <x:row r="599" ht="38" customHeight="1">
      <x:c r="A599" s="9" t="n">
        <x:v>591</x:v>
      </x:c>
      <x:c r="B599" s="8" t="str">
        <x:v>เมืองโบราณ สมุทรปราการ</x:v>
      </x:c>
      <x:c r="C599" s="8" t="str">
        <x:v>สมุทรปราการ</x:v>
      </x:c>
      <x:c r="D599" s="8" t="str">
        <x:v>มีศักยภาพ แต่ต้องพัฒนามาตรฐาน</x:v>
      </x:c>
      <x:c r="E599" s="8" t="str">
        <x:v>แหล่งท่องเที่ยวทางประวัติศาสตร์และวัฒนธรรม</x:v>
      </x:c>
      <x:c r="F599" s="38" t="n">
        <x:v>46316</x:v>
      </x:c>
      <x:c r="G599" s="8" t="str">
        <x:v>R26-241</x:v>
      </x:c>
      <x:c r="H599" s="39" t="str">
        <x:v>เพิ่มเติม</x:v>
      </x:c>
      <x:c r="I599" s="8" t="str">
        <x:v>พื้นที่เพิ่มเติม</x:v>
      </x:c>
      <x:c r="J599" s="8" t="str">
        <x:v>ตัวเลือกเสริม</x:v>
      </x:c>
      <x:c r="K599" s="8" t="str">
        <x:v>ประวัติ</x:v>
      </x:c>
      <x:c r="L599" s="8" t="str">
        <x:f>INDEX('ประเมินเกณฑ์'!$AE$9:$AE$608,MATCH(G599,'ประเมินเกณฑ์'!$A$9:$A$608,0))</x:f>
        <x:v>รอประเมิน</x:v>
      </x:c>
      <x:c r="M599" s="8" t="str">
        <x:v>พื้นที่เพิ่มเติมตามบรีฟ/ทะเบียน GMHI</x:v>
      </x:c>
      <x:c r="N599" s="8" t="str">
        <x:v>ยังไม่ยืนยันการเปิดให้บริการปัจจุบัน</x:v>
      </x:c>
      <x:c r="O599" s="40" t="n">
        <x:v>46316</x:v>
      </x:c>
    </x:row>
    <x:row r="600" ht="38" customHeight="1">
      <x:c r="A600" s="9" t="n">
        <x:v>592</x:v>
      </x:c>
      <x:c r="B600" s="8" t="str">
        <x:v>ชุมชนบางกะเจ้า</x:v>
      </x:c>
      <x:c r="C600" s="8" t="str">
        <x:v>สมุทรปราการ</x:v>
      </x:c>
      <x:c r="D600" s="8" t="str">
        <x:v>มีศักยภาพ แต่ต้องพัฒนามาตรฐาน</x:v>
      </x:c>
      <x:c r="E600" s="8" t="str">
        <x:v>ชุมชนท่องเที่ยว</x:v>
      </x:c>
      <x:c r="F600" s="38" t="n">
        <x:v>46316</x:v>
      </x:c>
      <x:c r="G600" s="8" t="str">
        <x:v>R26-240</x:v>
      </x:c>
      <x:c r="H600" s="39" t="str">
        <x:v>เพิ่มเติม</x:v>
      </x:c>
      <x:c r="I600" s="8" t="str">
        <x:v>พื้นที่เพิ่มเติม</x:v>
      </x:c>
      <x:c r="J600" s="8" t="str">
        <x:v>ตัวเลือกเสริม</x:v>
      </x:c>
      <x:c r="K600" s="8" t="str">
        <x:v>ชุมชน</x:v>
      </x:c>
      <x:c r="L600" s="8" t="str">
        <x:f>INDEX('ประเมินเกณฑ์'!$AE$9:$AE$608,MATCH(G600,'ประเมินเกณฑ์'!$A$9:$A$608,0))</x:f>
        <x:v>รอประเมิน</x:v>
      </x:c>
      <x:c r="M600" s="8" t="str">
        <x:v>พื้นที่เพิ่มเติมตามบรีฟ/ทะเบียน GMHI</x:v>
      </x:c>
      <x:c r="N600" s="8" t="str">
        <x:v>ยังไม่ยืนยันการเปิดให้บริการปัจจุบัน</x:v>
      </x:c>
      <x:c r="O600" s="40" t="n">
        <x:v>46316</x:v>
      </x:c>
    </x:row>
    <x:row r="601" ht="38" customHeight="1">
      <x:c r="A601" s="9" t="n">
        <x:v>593</x:v>
      </x:c>
      <x:c r="B601" s="8" t="str">
        <x:v>ฟาร์มจระเข้และสวนสัตว์สมุทรปราการ</x:v>
      </x:c>
      <x:c r="C601" s="8" t="str">
        <x:v>สมุทรปราการ</x:v>
      </x:c>
      <x:c r="D601" s="8" t="str">
        <x:v>มีศักยภาพ แต่ต้องพัฒนามาตรฐาน</x:v>
      </x:c>
      <x:c r="E601" s="8" t="str">
        <x:v>ศูนย์กิจกรรมและนันทนาการ</x:v>
      </x:c>
      <x:c r="F601" s="38" t="n">
        <x:v>46316</x:v>
      </x:c>
      <x:c r="G601" s="8" t="str">
        <x:v>R26-322</x:v>
      </x:c>
      <x:c r="H601" s="39" t="str">
        <x:v>เพิ่มเติม</x:v>
      </x:c>
      <x:c r="I601" s="8" t="str">
        <x:v>พื้นที่เพิ่มเติม</x:v>
      </x:c>
      <x:c r="J601" s="8" t="str">
        <x:v>ตัวเลือกเสริม</x:v>
      </x:c>
      <x:c r="K601" s="8" t="str">
        <x:v>กิจกรรม</x:v>
      </x:c>
      <x:c r="L601" s="8" t="str">
        <x:f>INDEX('ประเมินเกณฑ์'!$AE$9:$AE$608,MATCH(G601,'ประเมินเกณฑ์'!$A$9:$A$608,0))</x:f>
        <x:v>รอประเมิน</x:v>
      </x:c>
      <x:c r="M601" s="8" t="str">
        <x:v>พื้นที่เพิ่มเติมตามบรีฟ/ทะเบียน GMHI</x:v>
      </x:c>
      <x:c r="N601" s="8" t="str">
        <x:v>ยังไม่ยืนยันการเปิดให้บริการปัจจุบัน</x:v>
      </x:c>
      <x:c r="O601" s="40" t="n">
        <x:v>46316</x:v>
      </x:c>
    </x:row>
    <x:row r="602" ht="38" customHeight="1">
      <x:c r="A602" s="9" t="n">
        <x:v>594</x:v>
      </x:c>
      <x:c r="B602" s="8" t="str">
        <x:v>Aasia's kitchen</x:v>
      </x:c>
      <x:c r="C602" s="8" t="str">
        <x:v>สุราษฎร์ธานี</x:v>
      </x:c>
      <x:c r="D602" s="8" t="str">
        <x:v>พร้อมขาย</x:v>
      </x:c>
      <x:c r="E602" s="8" t="str">
        <x:v>ร้านอาหารและคาเฟ่</x:v>
      </x:c>
      <x:c r="F602" s="38" t="n">
        <x:v>46316</x:v>
      </x:c>
      <x:c r="G602" s="8" t="str">
        <x:v>TMF-228</x:v>
      </x:c>
      <x:c r="H602" s="39" t="str">
        <x:v>เพิ่มเติม</x:v>
      </x:c>
      <x:c r="I602" s="8" t="str">
        <x:v>พื้นที่เพิ่มเติม</x:v>
      </x:c>
      <x:c r="J602" s="8" t="str">
        <x:v>ตัวเลือกเสริม</x:v>
      </x:c>
      <x:c r="K602" s="8" t="str">
        <x:v>ร้านอาหาร</x:v>
      </x:c>
      <x:c r="L602" s="8" t="str">
        <x:f>INDEX('ประเมินเกณฑ์'!$AE$9:$AE$608,MATCH(G602,'ประเมินเกณฑ์'!$A$9:$A$608,0))</x:f>
        <x:v>รอประเมิน</x:v>
      </x:c>
      <x:c r="M602" s="8" t="str">
        <x:v>พื้นที่เพิ่มเติมตามบรีฟ/ทะเบียน GMHI</x:v>
      </x:c>
      <x:c r="N602" s="8" t="str">
        <x:v>ยังไม่ยืนยันการเปิดให้บริการปัจจุบัน</x:v>
      </x:c>
      <x:c r="O602" s="40" t="n">
        <x:v>46315</x:v>
      </x:c>
    </x:row>
    <x:row r="603" ht="38" customHeight="1">
      <x:c r="A603" s="9" t="n">
        <x:v>595</x:v>
      </x:c>
      <x:c r="B603" s="8" t="str">
        <x:v>Tamarind Springs Forest Spa Koh Samui</x:v>
      </x:c>
      <x:c r="C603" s="8" t="str">
        <x:v>สุราษฎร์ธานี</x:v>
      </x:c>
      <x:c r="D603" s="8" t="str">
        <x:v>มีศักยภาพ แต่ต้องพัฒนามาตรฐาน</x:v>
      </x:c>
      <x:c r="E603" s="8" t="str">
        <x:v>สถานประกอบการเพื่อสุขภาพและเวลเนส</x:v>
      </x:c>
      <x:c r="F603" s="38" t="n">
        <x:v>46316</x:v>
      </x:c>
      <x:c r="G603" s="8" t="str">
        <x:v>R26-298</x:v>
      </x:c>
      <x:c r="H603" s="39" t="str">
        <x:v>เพิ่มเติม</x:v>
      </x:c>
      <x:c r="I603" s="8" t="str">
        <x:v>พื้นที่เพิ่มเติม</x:v>
      </x:c>
      <x:c r="J603" s="8" t="str">
        <x:v>ตัวเลือกเสริม</x:v>
      </x:c>
      <x:c r="K603" s="8" t="str">
        <x:v>เวลเนส</x:v>
      </x:c>
      <x:c r="L603" s="8" t="str">
        <x:f>INDEX('ประเมินเกณฑ์'!$AE$9:$AE$608,MATCH(G603,'ประเมินเกณฑ์'!$A$9:$A$608,0))</x:f>
        <x:v>รอประเมิน</x:v>
      </x:c>
      <x:c r="M603" s="8" t="str">
        <x:v>พื้นที่เพิ่มเติมตามบรีฟ/ทะเบียน GMHI</x:v>
      </x:c>
      <x:c r="N603" s="8" t="str">
        <x:v>ยังไม่ยืนยันการเปิดให้บริการปัจจุบัน</x:v>
      </x:c>
      <x:c r="O603" s="40" t="n">
        <x:v>46316</x:v>
      </x:c>
    </x:row>
    <x:row r="604" ht="38" customHeight="1">
      <x:c r="A604" s="9" t="n">
        <x:v>596</x:v>
      </x:c>
      <x:c r="B604" s="8" t="str">
        <x:v>อุทยานแห่งชาติเขาสก</x:v>
      </x:c>
      <x:c r="C604" s="8" t="str">
        <x:v>สุราษฎร์ธานี</x:v>
      </x:c>
      <x:c r="D604" s="8" t="str">
        <x:v>มีศักยภาพ แต่ต้องพัฒนามาตรฐาน</x:v>
      </x:c>
      <x:c r="E604" s="8" t="str">
        <x:v>แหล่งท่องเที่ยวทางธรรมชาติ</x:v>
      </x:c>
      <x:c r="F604" s="38" t="n">
        <x:v>46316</x:v>
      </x:c>
      <x:c r="G604" s="8" t="str">
        <x:v>R26-231</x:v>
      </x:c>
      <x:c r="H604" s="39" t="str">
        <x:v>เพิ่มเติม</x:v>
      </x:c>
      <x:c r="I604" s="8" t="str">
        <x:v>พื้นที่เพิ่มเติม</x:v>
      </x:c>
      <x:c r="J604" s="8" t="str">
        <x:v>ตัวเลือกเสริม</x:v>
      </x:c>
      <x:c r="K604" s="8" t="str">
        <x:v>ธรรมชาติ</x:v>
      </x:c>
      <x:c r="L604" s="8" t="str">
        <x:f>INDEX('ประเมินเกณฑ์'!$AE$9:$AE$608,MATCH(G604,'ประเมินเกณฑ์'!$A$9:$A$608,0))</x:f>
        <x:v>รอประเมิน</x:v>
      </x:c>
      <x:c r="M604" s="8" t="str">
        <x:v>พื้นที่เพิ่มเติมตามบรีฟ/ทะเบียน GMHI</x:v>
      </x:c>
      <x:c r="N604" s="8" t="str">
        <x:v>ยังไม่ยืนยันการเปิดให้บริการปัจจุบัน</x:v>
      </x:c>
      <x:c r="O604" s="40" t="n">
        <x:v>46316</x:v>
      </x:c>
    </x:row>
    <x:row r="605" ht="38" customHeight="1">
      <x:c r="A605" s="9" t="n">
        <x:v>597</x:v>
      </x:c>
      <x:c r="B605" s="8" t="str">
        <x:v>เขื่อนรัชชประภา</x:v>
      </x:c>
      <x:c r="C605" s="8" t="str">
        <x:v>สุราษฎร์ธานี</x:v>
      </x:c>
      <x:c r="D605" s="8" t="str">
        <x:v>มีศักยภาพ แต่ต้องพัฒนามาตรฐาน</x:v>
      </x:c>
      <x:c r="E605" s="8" t="str">
        <x:v>แหล่งท่องเที่ยวทางธรรมชาติ</x:v>
      </x:c>
      <x:c r="F605" s="38" t="n">
        <x:v>46316</x:v>
      </x:c>
      <x:c r="G605" s="8" t="str">
        <x:v>R26-232</x:v>
      </x:c>
      <x:c r="H605" s="39" t="str">
        <x:v>เพิ่มเติม</x:v>
      </x:c>
      <x:c r="I605" s="8" t="str">
        <x:v>พื้นที่เพิ่มเติม</x:v>
      </x:c>
      <x:c r="J605" s="8" t="str">
        <x:v>ตัวเลือกเสริม</x:v>
      </x:c>
      <x:c r="K605" s="8" t="str">
        <x:v>ธรรมชาติ</x:v>
      </x:c>
      <x:c r="L605" s="8" t="str">
        <x:f>INDEX('ประเมินเกณฑ์'!$AE$9:$AE$608,MATCH(G605,'ประเมินเกณฑ์'!$A$9:$A$608,0))</x:f>
        <x:v>รอประเมิน</x:v>
      </x:c>
      <x:c r="M605" s="8" t="str">
        <x:v>พื้นที่เพิ่มเติมตามบรีฟ/ทะเบียน GMHI</x:v>
      </x:c>
      <x:c r="N605" s="8" t="str">
        <x:v>ยังไม่ยืนยันการเปิดให้บริการปัจจุบัน</x:v>
      </x:c>
      <x:c r="O605" s="40" t="n">
        <x:v>46316</x:v>
      </x:c>
    </x:row>
    <x:row r="606" ht="38" customHeight="1">
      <x:c r="A606" s="9" t="n">
        <x:v>598</x:v>
      </x:c>
      <x:c r="B606" s="8" t="str">
        <x:v>ชุมชนบ้านพุมเรียง</x:v>
      </x:c>
      <x:c r="C606" s="8" t="str">
        <x:v>สุราษฎร์ธานี</x:v>
      </x:c>
      <x:c r="D606" s="8" t="str">
        <x:v>มีศักยภาพ แต่ต้องพัฒนามาตรฐาน</x:v>
      </x:c>
      <x:c r="E606" s="8" t="str">
        <x:v>ชุมชนท่องเที่ยว</x:v>
      </x:c>
      <x:c r="F606" s="38" t="n">
        <x:v>46316</x:v>
      </x:c>
      <x:c r="G606" s="8" t="str">
        <x:v>R26-229</x:v>
      </x:c>
      <x:c r="H606" s="39" t="str">
        <x:v>เพิ่มเติม</x:v>
      </x:c>
      <x:c r="I606" s="8" t="str">
        <x:v>พื้นที่เพิ่มเติม</x:v>
      </x:c>
      <x:c r="J606" s="8" t="str">
        <x:v>ตัวเลือกเสริม</x:v>
      </x:c>
      <x:c r="K606" s="8" t="str">
        <x:v>ชุมชน</x:v>
      </x:c>
      <x:c r="L606" s="8" t="str">
        <x:f>INDEX('ประเมินเกณฑ์'!$AE$9:$AE$608,MATCH(G606,'ประเมินเกณฑ์'!$A$9:$A$608,0))</x:f>
        <x:v>รอประเมิน</x:v>
      </x:c>
      <x:c r="M606" s="8" t="str">
        <x:v>พื้นที่เพิ่มเติมตามบรีฟ/ทะเบียน GMHI</x:v>
      </x:c>
      <x:c r="N606" s="8" t="str">
        <x:v>ยังไม่ยืนยันการเปิดให้บริการปัจจุบัน</x:v>
      </x:c>
      <x:c r="O606" s="40" t="n">
        <x:v>46316</x:v>
      </x:c>
    </x:row>
    <x:row r="607" ht="38" customHeight="1">
      <x:c r="A607" s="9" t="n">
        <x:v>599</x:v>
      </x:c>
      <x:c r="B607" s="8" t="str">
        <x:v>ชุมชนบ้านลีเล็ด</x:v>
      </x:c>
      <x:c r="C607" s="8" t="str">
        <x:v>สุราษฎร์ธานี</x:v>
      </x:c>
      <x:c r="D607" s="8" t="str">
        <x:v>มีศักยภาพ แต่ต้องพัฒนามาตรฐาน</x:v>
      </x:c>
      <x:c r="E607" s="8" t="str">
        <x:v>ชุมชนท่องเที่ยว</x:v>
      </x:c>
      <x:c r="F607" s="38" t="n">
        <x:v>46316</x:v>
      </x:c>
      <x:c r="G607" s="8" t="str">
        <x:v>R26-230</x:v>
      </x:c>
      <x:c r="H607" s="39" t="str">
        <x:v>เพิ่มเติม</x:v>
      </x:c>
      <x:c r="I607" s="8" t="str">
        <x:v>พื้นที่เพิ่มเติม</x:v>
      </x:c>
      <x:c r="J607" s="8" t="str">
        <x:v>ตัวเลือกเสริม</x:v>
      </x:c>
      <x:c r="K607" s="8" t="str">
        <x:v>ชุมชน</x:v>
      </x:c>
      <x:c r="L607" s="8" t="str">
        <x:f>INDEX('ประเมินเกณฑ์'!$AE$9:$AE$608,MATCH(G607,'ประเมินเกณฑ์'!$A$9:$A$608,0))</x:f>
        <x:v>รอประเมิน</x:v>
      </x:c>
      <x:c r="M607" s="8" t="str">
        <x:v>พื้นที่เพิ่มเติมตามบรีฟ/ทะเบียน GMHI</x:v>
      </x:c>
      <x:c r="N607" s="8" t="str">
        <x:v>ยังไม่ยืนยันการเปิดให้บริการปัจจุบัน</x:v>
      </x:c>
      <x:c r="O607" s="40" t="n">
        <x:v>46316</x:v>
      </x:c>
    </x:row>
    <x:row r="608" ht="38" customHeight="1">
      <x:c r="A608" s="9" t="n">
        <x:v>600</x:v>
      </x:c>
      <x:c r="B608" s="8" t="str">
        <x:v>Amman Unique Hotel</x:v>
      </x:c>
      <x:c r="C608" s="8" t="str">
        <x:v>อุดรธานี</x:v>
      </x:c>
      <x:c r="D608" s="8" t="str">
        <x:v>พร้อมขาย</x:v>
      </x:c>
      <x:c r="E608" s="8" t="str">
        <x:v>ที่พัก</x:v>
      </x:c>
      <x:c r="F608" s="38" t="n">
        <x:v>46316</x:v>
      </x:c>
      <x:c r="G608" s="8" t="str">
        <x:v>GMHI-36</x:v>
      </x:c>
      <x:c r="H608" s="39" t="str">
        <x:v>เพิ่มเติม</x:v>
      </x:c>
      <x:c r="I608" s="8" t="str">
        <x:v>พื้นที่เพิ่มเติม</x:v>
      </x:c>
      <x:c r="J608" s="8" t="str">
        <x:v>ตัวเลือกเสริม</x:v>
      </x:c>
      <x:c r="K608" s="8" t="str">
        <x:v>ที่พัก</x:v>
      </x:c>
      <x:c r="L608" s="8" t="str">
        <x:f>INDEX('ประเมินเกณฑ์'!$AE$9:$AE$608,MATCH(G608,'ประเมินเกณฑ์'!$A$9:$A$608,0))</x:f>
        <x:v>รอประเมิน</x:v>
      </x:c>
      <x:c r="M608" s="8" t="str">
        <x:v>พื้นที่เพิ่มเติมตามบรีฟ/ทะเบียน GMHI</x:v>
      </x:c>
      <x:c r="N608" s="8" t="str">
        <x:v>ยังไม่ยืนยันการเปิดให้บริการปัจจุบัน</x:v>
      </x:c>
      <x:c r="O608" s="40" t="n">
        <x:v>46315</x:v>
      </x:c>
    </x:row>
  </x:sheetData>
  <x:conditionalFormatting sqref="D9:D608">
    <x:cfRule type="containsText" dxfId="0" priority="1" operator="containsText" text="พร้อมขาย"/>
    <x:cfRule type="expression" dxfId="1" priority="2">
      <x:formula>$D9="พร้อมขาย"</x:formula>
    </x:cfRule>
    <x:cfRule type="expression" dxfId="2" priority="3">
      <x:formula>$D9="พัฒนาเพื่อพร้อมขาย"</x:formula>
    </x:cfRule>
    <x:cfRule type="expression" dxfId="3" priority="4">
      <x:formula>$D9="มีศักยภาพ แต่ต้องพัฒนามาตรฐาน"</x:formula>
    </x:cfRule>
  </x:conditionalFormatting>
  <x:dataValidations count="2">
    <x:dataValidation type="list" sqref="D9:D608">
      <x:formula1>"พร้อมขาย,พัฒนาเพื่อพร้อมขาย,มีศักยภาพ แต่ต้องพัฒนามาตรฐาน"</x:formula1>
    </x:dataValidation>
    <x:dataValidation type="list" sqref="H9:H608">
      <x:formula1>"01,02,03,04,05,06,07,08,09,10,เพิ่มเติม"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4207170d204e9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52" hidden="0" customWidth="1"/>
    <x:col min="3" max="3" width="24" hidden="0" customWidth="1"/>
    <x:col min="4" max="4" width="30" hidden="0" customWidth="1"/>
    <x:col min="5" max="5" width="65" hidden="0" customWidth="1"/>
    <x:col min="6" max="6" width="25" hidden="0" customWidth="1"/>
    <x:col min="7" max="7" width="65" hidden="0" customWidth="1"/>
    <x:col min="8" max="8" width="85" hidden="0" customWidth="1"/>
    <x:col min="9" max="9" width="65" hidden="0" customWidth="1"/>
    <x:col min="10" max="10" width="27" hidden="0" customWidth="1"/>
    <x:col min="11" max="11" width="43" hidden="0" customWidth="1"/>
    <x:col min="12" max="12" width="43" hidden="0" customWidth="1"/>
    <x:col min="13" max="13" width="60" hidden="0" customWidth="1"/>
    <x:col min="14" max="14" width="18" hidden="0" customWidth="1"/>
    <x:col min="15" max="15" width="25" hidden="0" customWidth="1"/>
    <x:col min="16" max="16" width="25" hidden="0" customWidth="1"/>
    <x:col min="17" max="17" width="20" hidden="0" customWidth="1"/>
    <x:col min="18" max="18" width="43" hidden="0" customWidth="1"/>
    <x:col min="19" max="19" width="35" hidden="0" customWidth="1"/>
    <x:col min="20" max="20" width="40" hidden="0" customWidth="1"/>
    <x:col min="21" max="21" width="40" hidden="0" customWidth="1"/>
    <x:col min="22" max="22" width="35" hidden="0" customWidth="1"/>
    <x:col min="23" max="23" width="35" hidden="0" customWidth="1"/>
    <x:col min="24" max="24" width="35" hidden="0" customWidth="1"/>
    <x:col min="25" max="25" width="40" hidden="0" customWidth="1"/>
    <x:col min="26" max="26" width="18" hidden="0" customWidth="1"/>
    <x:col min="27" max="27" width="18" hidden="0" customWidth="1"/>
    <x:col min="28" max="28" width="30" hidden="0" customWidth="1"/>
    <x:col min="29" max="29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>
      <x:c r="A2" s="2"/>
      <x:c r="B2" s="3" t="str">
        <x:v>หลักฐาน ช่องทางติดต่อ และงานตรวจทาน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>
      <x:c r="A4" s="2"/>
      <x:c r="B4" s="32" t="str">
        <x:v>วันที่ตรวจเว็บเป็นวันค้นข้อมูล ช่องทางสังคมและเบอร์ติดต่อยังต้องยืนยันเจ้าของและสาขา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>
      <x:c r="A5" s="2"/>
      <x:c r="B5" s="2" t="str">
        <x:v>ข้อมูลที่ไม่พบคงเป็นไม่ทราบ การมีชื่อในทะเบียน GMHI ไม่แทนใบรับรองอาหารฮาลาล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>
      <x:c r="A6" s="2"/>
      <x:c r="B6" s="2" t="str">
        <x:v>มัสยิดจัดอยู่ในประเภทแหล่งท่องเที่ยวทางประวัติศาสตร์และวัฒนธรรม; Makan Verify ไม่ใช่ใบรับรองจาก กอท.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</x:row>
    <x:row r="8" ht="36" customHeight="1">
      <x:c r="A8" s="45" t="str">
        <x:v>ลำดับ</x:v>
      </x:c>
      <x:c r="B8" s="46" t="str">
        <x:v>ชื่อแหล่ง</x:v>
      </x:c>
      <x:c r="C8" s="46" t="str">
        <x:v>จังหวัด</x:v>
      </x:c>
      <x:c r="D8" s="46" t="str">
        <x:v>ประเภทย่อย</x:v>
      </x:c>
      <x:c r="E8" s="46" t="str">
        <x:v>หลักฐานเริ่มต้น</x:v>
      </x:c>
      <x:c r="F8" s="46" t="str">
        <x:v>ข้อมูลละหมาด</x:v>
      </x:c>
      <x:c r="G8" s="46" t="str">
        <x:v>ข้อมูลใบรับรอง</x:v>
      </x:c>
      <x:c r="H8" s="46" t="str">
        <x:v>ประเด็นต้องยืนยัน</x:v>
      </x:c>
      <x:c r="I8" s="46" t="str">
        <x:v>ที่อยู่</x:v>
      </x:c>
      <x:c r="J8" s="46" t="str">
        <x:v>โทรศัพท์</x:v>
      </x:c>
      <x:c r="K8" s="46" t="str">
        <x:v>แหล่งข้อมูล 1</x:v>
      </x:c>
      <x:c r="L8" s="46" t="str">
        <x:v>แหล่งข้อมูล 2</x:v>
      </x:c>
      <x:c r="M8" s="46" t="str">
        <x:v>หลักฐานเพิ่มเติม</x:v>
      </x:c>
      <x:c r="N8" s="46" t="str">
        <x:v>วันที่ตรวจออนไลน์</x:v>
      </x:c>
      <x:c r="O8" s="46" t="str">
        <x:v>ผลผู้เชี่ยวชาญ</x:v>
      </x:c>
      <x:c r="P8" s="47" t="str">
        <x:v>ผลติดต่อ</x:v>
      </x:c>
      <x:c r="Q8" s="50" t="str">
        <x:v>รหัส</x:v>
      </x:c>
      <x:c r="R8" s="50" t="str">
        <x:v>ชื่ออังกฤษ</x:v>
      </x:c>
      <x:c r="S8" s="50" t="str">
        <x:v>อีเมล</x:v>
      </x:c>
      <x:c r="T8" s="50" t="str">
        <x:v>เว็บไซต์หรือแหล่งหลัก</x:v>
      </x:c>
      <x:c r="U8" s="50" t="str">
        <x:v>Facebook</x:v>
      </x:c>
      <x:c r="V8" s="50" t="str">
        <x:v>Instagram</x:v>
      </x:c>
      <x:c r="W8" s="50" t="str">
        <x:v>LINE</x:v>
      </x:c>
      <x:c r="X8" s="50" t="str">
        <x:v>TikTok</x:v>
      </x:c>
      <x:c r="Y8" s="50" t="str">
        <x:v>Google Maps</x:v>
      </x:c>
      <x:c r="Z8" s="50" t="str">
        <x:v>ละติจูด</x:v>
      </x:c>
      <x:c r="AA8" s="50" t="str">
        <x:v>ลองจิจูด</x:v>
      </x:c>
      <x:c r="AB8" s="50" t="str">
        <x:v>ชื่อผู้ติดต่อ</x:v>
      </x:c>
      <x:c r="AC8" s="50" t="str">
        <x:v>แหล่งข้อมูลติดต่อ</x:v>
      </x:c>
    </x:row>
    <x:row r="9" ht="88" customHeight="1">
      <x:c r="A9" s="54" t="n">
        <x:v>1</x:v>
      </x:c>
      <x:c r="B9" s="20" t="str">
        <x:v>มัสยิดอันซอรี</x:v>
      </x:c>
      <x:c r="C9" s="20" t="str">
        <x:v>ลำพูน</x:v>
      </x:c>
      <x:c r="D9" s="20" t="str">
        <x:v>มัสยิด</x:v>
      </x:c>
      <x:c r="E9" s="20" t="str">
        <x:v>พบข้อมูลชื่อตรงจาก มัสยิดครบวงจร มัสยิดอัล-อันซอรี่ จ.ลำพูน - YouTube; เป็นหลักฐานตัวตน/ประเภท ยังไม่ยืนยันบริการมุสลิมครบเกณฑ์</x:v>
      </x:c>
      <x:c r="F9" s="20" t="str">
        <x:v>ไม่ทราบ</x:v>
      </x:c>
      <x:c r="G9" s="20" t="str">
        <x:v>ยังไม่ยืนยันใบรับรองและวันหมดอายุ</x:v>
      </x:c>
      <x:c r="H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9" s="20" t="str">
        <x:v>ยังไม่ยืนยันที่อยู่ละเอียด ดูลิงก์แหล่งข้อมูลและ Google Maps</x:v>
      </x:c>
      <x:c r="J9" s="21" t="str">
        <x:v>ยังไม่พบหรือยังไม่ยืนยัน</x:v>
      </x:c>
      <x:c r="K9" s="51" t="str">
        <x:v>https://www.youtube.com/watch?v=iIUwIHMYRVg</x:v>
      </x:c>
      <x:c r="L9" s="51" t="str">
        <x:v>https://www.lovethailand.org/travel/th/4-%E0%B8%A5%E0%B8%B3%E0%B8%9E%E0%B8%B9%E0%B8%99/8364-%E0%B8%A1%E0%B8%B1%E0%B8%AA%E0%B8%A2%E0%B8%B4%E0%B8%94%E0%B8%AD%E0%B8%B1%E0%B8%A5%E0%B8%AD%E0%B8%B1%E0%B8%99%E0%B8%8B%E0%B8%AD%E0%B8%A3%E0%B8%B5.html</x:v>
      </x:c>
      <x:c r="M9" s="20" t="str">
        <x:v>พบแหล่งต่างเว็บไซต์ มัสยิดอัลอันซอรี ลำพูน | ข้อมูลเที่ยวและการเดินทาง | Lovethailand.org</x:v>
      </x:c>
      <x:c r="N9" s="28" t="n">
        <x:v>46316</x:v>
      </x:c>
      <x:c r="O9" s="57" t="str">
        <x:v>ยังไม่ตรวจ</x:v>
      </x:c>
      <x:c r="P9" s="57" t="str">
        <x:v>ยังไม่ติดต่อ</x:v>
      </x:c>
      <x:c r="Q9" s="20" t="str">
        <x:v>R26-007</x:v>
      </x:c>
      <x:c r="R9" s="20" t="str"/>
      <x:c r="S9" s="20" t="str"/>
      <x:c r="T9" s="20" t="str">
        <x:v>https://www.youtube.com/watch?v=iIUwIHMYRVg</x:v>
      </x:c>
      <x:c r="U9" s="20" t="str"/>
      <x:c r="V9" s="20" t="str"/>
      <x:c r="W9" s="20" t="str"/>
      <x:c r="X9" s="20" t="str"/>
      <x:c r="Y9" s="20" t="str">
        <x:v>https://www.google.com/maps/search/?api=1&amp;query=%E0%B8%A1%E0%B8%B1%E0%B8%AA%E0%B8%A2%E0%B8%B4%E0%B8%94%E0%B8%AD%E0%B8%B1%E0%B8%99%E0%B8%8B%E0%B8%AD%E0%B8%A3%E0%B8%B5%20%E0%B8%A5%E0%B8%B3%E0%B8%9E%E0%B8%B9%E0%B8%99</x:v>
      </x:c>
      <x:c r="Z9" s="56" t="n">
        <x:v>18.571098</x:v>
      </x:c>
      <x:c r="AA9" s="56" t="n">
        <x:v>99.020271</x:v>
      </x:c>
      <x:c r="AB9" s="57" t="str"/>
      <x:c r="AC9" s="20" t="str">
        <x:v>https://www.youtube.com/watch?v=iIUwIHMYRVg</x:v>
      </x:c>
    </x:row>
    <x:row r="10" ht="88" customHeight="1">
      <x:c r="A10" s="54" t="n">
        <x:v>2</x:v>
      </x:c>
      <x:c r="B10" s="20" t="str">
        <x:v>เมืองเก่าลำพูน</x:v>
      </x:c>
      <x:c r="C10" s="20" t="str">
        <x:v>ลำพูน</x:v>
      </x:c>
      <x:c r="D10" s="20" t="str">
        <x:v>ประวัติ</x:v>
      </x:c>
      <x:c r="E10" s="20" t="str">
        <x:v>พบข้อมูลชื่อตรงจาก เมืองเก่าลำพูน; เป็นหลักฐานตัวตน/ประเภท ยังไม่ยืนยันบริการมุสลิมครบเกณฑ์</x:v>
      </x:c>
      <x:c r="F10" s="20" t="str">
        <x:v>ไม่ทราบ</x:v>
      </x:c>
      <x:c r="G10" s="20" t="str">
        <x:v>ยังไม่ยืนยันใบรับรองและวันหมดอายุ</x:v>
      </x:c>
      <x:c r="H10" s="20" t="str">
        <x:v>ตรวจการเปิด ตัวตนสาขา ช่องทางติดต่อ และเงื่อนไขบังคับตามประเภท</x:v>
      </x:c>
      <x:c r="I10" s="20" t="str">
        <x:v>ยังไม่ยืนยันที่อยู่ละเอียด ดูลิงก์แหล่งข้อมูลและ Google Maps</x:v>
      </x:c>
      <x:c r="J10" s="21" t="str">
        <x:v>ยังไม่พบหรือยังไม่ยืนยัน</x:v>
      </x:c>
      <x:c r="K10" s="51" t="str">
        <x:v>https://nced.onep.go.th/knowledge/oldtown/scenario_oldtown.pdf</x:v>
      </x:c>
      <x:c r="L10" s="51" t="str">
        <x:v>https://lamphun.prd.go.th/th/content/category/detail/id/33/iid/552170</x:v>
      </x:c>
      <x:c r="M10" s="20" t="str">
        <x:v>พบแหล่งต่างเว็บไซต์ ผู้ว่าฯ ลำพูน ประชุมติดตามความก้าวหน้าโครงการพัฒนาภูมิทัศน์เมืองเก่าลำพูน มุ่งอนุรักษ์อัตลักษณ์เมืองเก่า ควบคู่ยกระดับคุณภาพชีวิตประชาชน</x:v>
      </x:c>
      <x:c r="N10" s="28" t="n">
        <x:v>46316</x:v>
      </x:c>
      <x:c r="O10" s="57" t="str">
        <x:v>ยังไม่ตรวจ</x:v>
      </x:c>
      <x:c r="P10" s="57" t="str">
        <x:v>ยังไม่ติดต่อ</x:v>
      </x:c>
      <x:c r="Q10" s="20" t="str">
        <x:v>R26-009</x:v>
      </x:c>
      <x:c r="R10" s="20" t="str"/>
      <x:c r="S10" s="20" t="str"/>
      <x:c r="T10" s="20" t="str">
        <x:v>https://nced.onep.go.th/knowledge/oldtown/scenario_oldtown.pdf</x:v>
      </x:c>
      <x:c r="U10" s="20" t="str"/>
      <x:c r="V10" s="20" t="str"/>
      <x:c r="W10" s="20" t="str"/>
      <x:c r="X10" s="20" t="str"/>
      <x:c r="Y10" s="20" t="str">
        <x:v>https://www.google.com/maps/search/?api=1&amp;query=%E0%B9%80%E0%B8%A1%E0%B8%B7%E0%B8%AD%E0%B8%87%E0%B9%80%E0%B8%81%E0%B9%88%E0%B8%B2%E0%B8%A5%E0%B8%B3%E0%B8%9E%E0%B8%B9%E0%B8%99%20%E0%B8%A5%E0%B8%B3%E0%B8%9E%E0%B8%B9%E0%B8%99</x:v>
      </x:c>
      <x:c r="Z10" s="56" t="str"/>
      <x:c r="AA10" s="56" t="str"/>
      <x:c r="AB10" s="57" t="str"/>
      <x:c r="AC10" s="20" t="str">
        <x:v>https://nced.onep.go.th/knowledge/oldtown/scenario_oldtown.pdf</x:v>
      </x:c>
    </x:row>
    <x:row r="11" ht="88" customHeight="1">
      <x:c r="A11" s="54" t="n">
        <x:v>3</x:v>
      </x:c>
      <x:c r="B11" s="20" t="str">
        <x:v>Easy Hotel Lamphun</x:v>
      </x:c>
      <x:c r="C11" s="20" t="str">
        <x:v>ลำพูน</x:v>
      </x:c>
      <x:c r="D11" s="20" t="str">
        <x:v>ที่พัก</x:v>
      </x:c>
      <x:c r="E11" s="20" t="str">
        <x:v>พบข้อมูลชื่อตรงจาก ที่พักนอนสบายราคาถููกเมืองลำพูน อีซี่ โฮเต็ล (Easy Hotel Lamphun) แนะนำเลยว่าดีจริง - YouTube; เป็นหลักฐานตัวตน/ประเภท ยังไม่ยืนยันบริการมุสลิมครบเกณฑ์</x:v>
      </x:c>
      <x:c r="F11" s="20" t="str">
        <x:v>ไม่ทราบ</x:v>
      </x:c>
      <x:c r="G11" s="20" t="str">
        <x:v>ยังไม่ยืนยันใบรับรองและวันหมดอายุ</x:v>
      </x:c>
      <x:c r="H11" s="20" t="str">
        <x:v>ตรวจการเปิด ตัวตนสาขา ช่องทางติดต่อ และเงื่อนไขบังคับตามประเภท</x:v>
      </x:c>
      <x:c r="I11" s="20" t="str">
        <x:v>ยังไม่ยืนยันที่อยู่ละเอียด ดูลิงก์แหล่งข้อมูลและ Google Maps</x:v>
      </x:c>
      <x:c r="J11" s="21" t="str">
        <x:v>ยังไม่พบหรือยังไม่ยืนยัน</x:v>
      </x:c>
      <x:c r="K11" s="51" t="str">
        <x:v>https://www.youtube.com/watch?v=oLsr3E2eYzE</x:v>
      </x:c>
      <x:c r="L11" s="51" t="str">
        <x:v>https://www.google.com.pk/travel/hotels/entity/CgoIm9CS-v7-x94SEAE</x:v>
      </x:c>
      <x:c r="M11" s="20" t="str">
        <x:v>พบแหล่งต่างเว็บไซต์ Easy Hotel 1 Lamphun – Google hotels</x:v>
      </x:c>
      <x:c r="N11" s="28" t="n">
        <x:v>46316</x:v>
      </x:c>
      <x:c r="O11" s="57" t="str">
        <x:v>ยังไม่ตรวจ</x:v>
      </x:c>
      <x:c r="P11" s="57" t="str">
        <x:v>ยังไม่ติดต่อ</x:v>
      </x:c>
      <x:c r="Q11" s="20" t="str">
        <x:v>R26-366</x:v>
      </x:c>
      <x:c r="R11" s="20" t="str">
        <x:v>Easy Hotel Lamphun</x:v>
      </x:c>
      <x:c r="S11" s="20" t="str"/>
      <x:c r="T11" s="20" t="str">
        <x:v>https://www.youtube.com/watch?v=oLsr3E2eYzE</x:v>
      </x:c>
      <x:c r="U11" s="20" t="str"/>
      <x:c r="V11" s="20" t="str"/>
      <x:c r="W11" s="20" t="str"/>
      <x:c r="X11" s="20" t="str"/>
      <x:c r="Y11" s="20" t="str">
        <x:v>https://www.google.com/maps/search/?api=1&amp;query=Easy%20Hotel%20Lamphun%20%E0%B8%A5%E0%B8%B3%E0%B8%9E%E0%B8%B9%E0%B8%99</x:v>
      </x:c>
      <x:c r="Z11" s="56" t="str"/>
      <x:c r="AA11" s="56" t="str"/>
      <x:c r="AB11" s="57" t="str"/>
      <x:c r="AC11" s="20" t="str">
        <x:v>https://www.youtube.com/watch?v=oLsr3E2eYzE</x:v>
      </x:c>
    </x:row>
    <x:row r="12" ht="88" customHeight="1">
      <x:c r="A12" s="54" t="n">
        <x:v>4</x:v>
      </x:c>
      <x:c r="B12" s="20" t="str">
        <x:v>Grand PA Hotel Resort Lamphun</x:v>
      </x:c>
      <x:c r="C12" s="20" t="str">
        <x:v>ลำพูน</x:v>
      </x:c>
      <x:c r="D12" s="20" t="str">
        <x:v>ที่พัก</x:v>
      </x:c>
      <x:c r="E12" s="20" t="str">
        <x:v>พบข้อมูลชื่อตรงจาก GRAND PA Hotel &amp; Resort, Lamphun - Book On Official Website; เป็นหลักฐานตัวตน/ประเภท ยังไม่ยืนยันบริการมุสลิมครบเกณฑ์</x:v>
      </x:c>
      <x:c r="F12" s="20" t="str">
        <x:v>ไม่ทราบ</x:v>
      </x:c>
      <x:c r="G12" s="20" t="str">
        <x:v>ยังไม่ยืนยันใบรับรองและวันหมดอายุ</x:v>
      </x:c>
      <x:c r="H12" s="20" t="str">
        <x:v>ตรวจการเปิด ตัวตนสาขา ช่องทางติดต่อ และเงื่อนไขบังคับตามประเภท</x:v>
      </x:c>
      <x:c r="I12" s="20" t="str">
        <x:v>ยังไม่ยืนยันที่อยู่ละเอียด ดูลิงก์แหล่งข้อมูลและ Google Maps</x:v>
      </x:c>
      <x:c r="J12" s="21" t="str">
        <x:v>+6653511888</x:v>
      </x:c>
      <x:c r="K12" s="51" t="str">
        <x:v>https://grandpahotellamphunchiangmai.com/</x:v>
      </x:c>
      <x:c r="L12" s="51" t="str">
        <x:v>https://www.google.co.th/travel/hotels/entity/CgsI-66cvbbyqcq1ARAB</x:v>
      </x:c>
      <x:c r="M12" s="20" t="str">
        <x:v>พบแหล่งต่างเว็บไซต์ โรงแรมแกรนด์ปา แอนด์ รีสอร์ท ลำพูน-เชียงใหม่ | GRAND PA Hotel &amp; Resort Lamphun-ChiangMai - โรงแรมใน Google</x:v>
      </x:c>
      <x:c r="N12" s="28" t="n">
        <x:v>46316</x:v>
      </x:c>
      <x:c r="O12" s="57" t="str">
        <x:v>ยังไม่ตรวจ</x:v>
      </x:c>
      <x:c r="P12" s="57" t="str">
        <x:v>ยังไม่ติดต่อ</x:v>
      </x:c>
      <x:c r="Q12" s="20" t="str">
        <x:v>R26-365</x:v>
      </x:c>
      <x:c r="R12" s="20" t="str">
        <x:v>Grand PA Hotel Resort Lamphun</x:v>
      </x:c>
      <x:c r="S12" s="20" t="str">
        <x:v>grandpahotellamphun@hotmail.com</x:v>
      </x:c>
      <x:c r="T12" s="20" t="str">
        <x:v>https://grandpahotellamphunchiangmai.com/</x:v>
      </x:c>
      <x:c r="U12" s="20" t="str">
        <x:v>https://www.facebook.com/Grandpahotel.010/</x:v>
      </x:c>
      <x:c r="V12" s="20" t="str"/>
      <x:c r="W12" s="20" t="str">
        <x:v>https://page.line.me/109ukoyr</x:v>
      </x:c>
      <x:c r="X12" s="20" t="str">
        <x:v>https://www.tiktok.com/@grandpahotel01/</x:v>
      </x:c>
      <x:c r="Y12" s="20" t="str">
        <x:v>https://www.google.com/maps/search/?api=1&amp;query=Grand%20PA%20Hotel%20Resort%20Lamphun%20%E0%B8%A5%E0%B8%B3%E0%B8%9E%E0%B8%B9%E0%B8%99</x:v>
      </x:c>
      <x:c r="Z12" s="56" t="n">
        <x:v>18.559452</x:v>
      </x:c>
      <x:c r="AA12" s="56" t="n">
        <x:v>99.037841</x:v>
      </x:c>
      <x:c r="AB12" s="57" t="str"/>
      <x:c r="AC12" s="20" t="str">
        <x:v>https://grandpahotellamphunchiangmai.com/</x:v>
      </x:c>
    </x:row>
    <x:row r="13" ht="88" customHeight="1">
      <x:c r="A13" s="54" t="n">
        <x:v>5</x:v>
      </x:c>
      <x:c r="B13" s="20" t="str">
        <x:v>น้ำตกก้อหลวง</x:v>
      </x:c>
      <x:c r="C13" s="20" t="str">
        <x:v>ลำพูน</x:v>
      </x:c>
      <x:c r="D13" s="20" t="str">
        <x:v>ธรรมชาติ</x:v>
      </x:c>
      <x:c r="E13" s="20" t="str">
        <x:v>พบข้อมูลชื่อตรงจาก น้ำตกก้อหลวง อุทยานแห่งชาติแม่ปิง; เป็นหลักฐานตัวตน/ประเภท ยังไม่ยืนยันบริการมุสลิมครบเกณฑ์</x:v>
      </x:c>
      <x:c r="F13" s="20" t="str">
        <x:v>ไม่ทราบ</x:v>
      </x:c>
      <x:c r="G13" s="20" t="str">
        <x:v>ยังไม่ยืนยันใบรับรองและวันหมดอายุ</x:v>
      </x:c>
      <x:c r="H13" s="20" t="str">
        <x:v>ตรวจการเปิด ตัวตนสาขา ช่องทางติดต่อ และเงื่อนไขบังคับตามประเภท</x:v>
      </x:c>
      <x:c r="I13" s="20" t="str">
        <x:v>ยังไม่ยืนยันที่อยู่ละเอียด ดูลิงก์แหล่งข้อมูลและ Google Maps</x:v>
      </x:c>
      <x:c r="J13" s="21" t="str">
        <x:v>ยังไม่พบหรือยังไม่ยืนยัน</x:v>
      </x:c>
      <x:c r="K13" s="51" t="str">
        <x:v>https://www.thailandtourismdirectory.go.th/attraction/104791</x:v>
      </x:c>
      <x:c r="L13" s="51" t="str">
        <x:v>https://lamphun.go.th/th/attractions/56/Wong%20Luang%20Waterfall</x:v>
      </x:c>
      <x:c r="M13" s="20" t="str">
        <x:v>พบแหล่งต่างเว็บไซต์ น้ำตกก้อหลวง</x:v>
      </x:c>
      <x:c r="N13" s="28" t="n">
        <x:v>46316</x:v>
      </x:c>
      <x:c r="O13" s="57" t="str">
        <x:v>ยังไม่ตรวจ</x:v>
      </x:c>
      <x:c r="P13" s="57" t="str">
        <x:v>ยังไม่ติดต่อ</x:v>
      </x:c>
      <x:c r="Q13" s="20" t="str">
        <x:v>R26-118</x:v>
      </x:c>
      <x:c r="R13" s="20" t="str"/>
      <x:c r="S13" s="20" t="str"/>
      <x:c r="T13" s="20" t="str">
        <x:v>https://www.thailandtourismdirectory.go.th/attraction/104791</x:v>
      </x:c>
      <x:c r="U13" s="20" t="str"/>
      <x:c r="V13" s="20" t="str"/>
      <x:c r="W13" s="20" t="str"/>
      <x:c r="X13" s="20" t="str"/>
      <x:c r="Y13" s="20" t="str">
        <x:v>https://www.google.com/maps/search/?api=1&amp;query=%E0%B8%99%E0%B9%89%E0%B8%B3%E0%B8%95%E0%B8%81%E0%B8%81%E0%B9%89%E0%B8%AD%E0%B8%AB%E0%B8%A5%E0%B8%A7%E0%B8%87%20%E0%B8%A5%E0%B8%B3%E0%B8%9E%E0%B8%B9%E0%B8%99</x:v>
      </x:c>
      <x:c r="Z13" s="56" t="n">
        <x:v>17.58422</x:v>
      </x:c>
      <x:c r="AA13" s="56" t="n">
        <x:v>98.81785</x:v>
      </x:c>
      <x:c r="AB13" s="57" t="str"/>
      <x:c r="AC13" s="20" t="str">
        <x:v>https://www.thailandtourismdirectory.go.th/attraction/104791</x:v>
      </x:c>
    </x:row>
    <x:row r="14" ht="88" customHeight="1">
      <x:c r="A14" s="54" t="n">
        <x:v>6</x:v>
      </x:c>
      <x:c r="B14" s="20" t="str">
        <x:v>อุทยานแห่งชาติแม่ปิง</x:v>
      </x:c>
      <x:c r="C14" s="20" t="str">
        <x:v>ลำพูน</x:v>
      </x:c>
      <x:c r="D14" s="20" t="str">
        <x:v>ธรรมชาติ</x:v>
      </x:c>
      <x:c r="E14" s="20" t="str">
        <x:v>พบข้อมูลชื่อตรงจาก กรมอุทยานฯ เปิดรับฟังความคิดเห็นขยายเขตอุทยานแห่งชาติแม่ปิง ครอบคลุมพื้นที่ 3 จังหวัด; เป็นหลักฐานตัวตน/ประเภท ยังไม่ยืนยันบริการมุสลิมครบเกณฑ์</x:v>
      </x:c>
      <x:c r="F14" s="20" t="str">
        <x:v>ไม่ทราบ</x:v>
      </x:c>
      <x:c r="G14" s="20" t="str">
        <x:v>ยังไม่ยืนยันใบรับรองและวันหมดอายุ</x:v>
      </x:c>
      <x:c r="H14" s="20" t="str">
        <x:v>ตรวจการเปิด ตัวตนสาขา ช่องทางติดต่อ และเงื่อนไขบังคับตามประเภท</x:v>
      </x:c>
      <x:c r="I14" s="20" t="str">
        <x:v>ยังไม่ยืนยันที่อยู่ละเอียด ดูลิงก์แหล่งข้อมูลและ Google Maps</x:v>
      </x:c>
      <x:c r="J14" s="21" t="str">
        <x:v>ยังไม่พบหรือยังไม่ยืนยัน</x:v>
      </x:c>
      <x:c r="K14" s="51" t="str">
        <x:v>https://news.dnp.go.th/news/48281</x:v>
      </x:c>
      <x:c r="L14" s="51" t="str">
        <x:v>https://thailandtourismdirectory.go.th/attraction/4976</x:v>
      </x:c>
      <x:c r="M14" s="20" t="str">
        <x:v>พบแหล่งต่างเว็บไซต์ อุทยานแห่งชาติแม่ปิง</x:v>
      </x:c>
      <x:c r="N14" s="28" t="n">
        <x:v>46316</x:v>
      </x:c>
      <x:c r="O14" s="57" t="str">
        <x:v>ยังไม่ตรวจ</x:v>
      </x:c>
      <x:c r="P14" s="57" t="str">
        <x:v>ยังไม่ติดต่อ</x:v>
      </x:c>
      <x:c r="Q14" s="20" t="str">
        <x:v>R26-117</x:v>
      </x:c>
      <x:c r="R14" s="20" t="str"/>
      <x:c r="S14" s="20" t="str"/>
      <x:c r="T14" s="20" t="str">
        <x:v>https://news.dnp.go.th/news/48281</x:v>
      </x:c>
      <x:c r="U14" s="20" t="str"/>
      <x:c r="V14" s="20" t="str"/>
      <x:c r="W14" s="20" t="str"/>
      <x:c r="X14" s="20" t="str"/>
      <x:c r="Y14" s="20" t="str">
        <x:v>https://www.google.com/maps/search/?api=1&amp;query=%E0%B8%AD%E0%B8%B8%E0%B8%97%E0%B8%A2%E0%B8%B2%E0%B8%99%E0%B9%81%E0%B8%AB%E0%B9%88%E0%B8%87%E0%B8%8A%E0%B8%B2%E0%B8%95%E0%B8%B4%E0%B9%81%E0%B8%A1%E0%B9%88%E0%B8%9B%E0%B8%B4%E0%B8%87%20%E0%B8%A5%E0%B8%B3%E0%B8%9E%E0%B8%B9%E0%B8%99</x:v>
      </x:c>
      <x:c r="Z14" s="56" t="n">
        <x:v>17.671624</x:v>
      </x:c>
      <x:c r="AA14" s="56" t="n">
        <x:v>98.870005</x:v>
      </x:c>
      <x:c r="AB14" s="57" t="str"/>
      <x:c r="AC14" s="20" t="str">
        <x:v>https://news.dnp.go.th/news/48281</x:v>
      </x:c>
    </x:row>
    <x:row r="15" ht="88" customHeight="1">
      <x:c r="A15" s="54" t="n">
        <x:v>7</x:v>
      </x:c>
      <x:c r="B15" s="20" t="str">
        <x:v>ชุมชนบ้านดอนหลวง</x:v>
      </x:c>
      <x:c r="C15" s="20" t="str">
        <x:v>ลำพูน</x:v>
      </x:c>
      <x:c r="D15" s="20" t="str">
        <x:v>ชุมชน</x:v>
      </x:c>
      <x:c r="E15" s="20" t="str">
        <x:v>พบข้อมูลชื่อตรงจาก วิถีชาวยองบ้านดอนหลวง จ.ลำพูน ชุมชนที่รักษาอัตลักษณ์พื้นถิ่นให้คงอยู่; เป็นหลักฐานตัวตน/ประเภท ยังไม่ยืนยันบริการมุสลิมครบเกณฑ์</x:v>
      </x:c>
      <x:c r="F15" s="20" t="str">
        <x:v>ไม่ทราบ</x:v>
      </x:c>
      <x:c r="G15" s="20" t="str">
        <x:v>ยังไม่ยืนยันใบรับรองและวันหมดอายุ</x:v>
      </x:c>
      <x:c r="H15" s="20" t="str">
        <x:v>ตรวจการเปิด ตัวตนสาขา ช่องทางติดต่อ และเงื่อนไขบังคับตามประเภท</x:v>
      </x:c>
      <x:c r="I15" s="20" t="str">
        <x:v>ยังไม่ยืนยันที่อยู่ละเอียด ดูลิงก์แหล่งข้อมูลและ Google Maps</x:v>
      </x:c>
      <x:c r="J15" s="21" t="str">
        <x:v>ยังไม่พบหรือยังไม่ยืนยัน</x:v>
      </x:c>
      <x:c r="K15" s="51" t="str">
        <x:v>https://www.dasta.or.th/th/article/293</x:v>
      </x:c>
      <x:c r="L15" s="51" t="str">
        <x:v>https://wikicommunity.sac.or.th/community/1964</x:v>
      </x:c>
      <x:c r="M15" s="20" t="str">
        <x:v>พบแหล่งต่างเว็บไซต์ บ้านดอนหลวง</x:v>
      </x:c>
      <x:c r="N15" s="28" t="n">
        <x:v>46316</x:v>
      </x:c>
      <x:c r="O15" s="57" t="str">
        <x:v>ยังไม่ตรวจ</x:v>
      </x:c>
      <x:c r="P15" s="57" t="str">
        <x:v>ยังไม่ติดต่อ</x:v>
      </x:c>
      <x:c r="Q15" s="20" t="str">
        <x:v>R26-119</x:v>
      </x:c>
      <x:c r="R15" s="20" t="str"/>
      <x:c r="S15" s="20" t="str"/>
      <x:c r="T15" s="20" t="str">
        <x:v>https://www.dasta.or.th/th/article/293</x:v>
      </x:c>
      <x:c r="U15" s="20" t="str"/>
      <x:c r="V15" s="20" t="str"/>
      <x:c r="W15" s="20" t="str"/>
      <x:c r="X15" s="20" t="str"/>
      <x:c r="Y15" s="20" t="str">
        <x:v>https://www.google.com/maps/search/?api=1&amp;query=%E0%B8%8A%E0%B8%B8%E0%B8%A1%E0%B8%8A%E0%B8%99%E0%B8%9A%E0%B9%89%E0%B8%B2%E0%B8%99%E0%B8%94%E0%B8%AD%E0%B8%99%E0%B8%AB%E0%B8%A5%E0%B8%A7%E0%B8%87%20%E0%B8%A5%E0%B8%B3%E0%B8%9E%E0%B8%B9%E0%B8%99</x:v>
      </x:c>
      <x:c r="Z15" s="56" t="n">
        <x:v>18.494354</x:v>
      </x:c>
      <x:c r="AA15" s="56" t="n">
        <x:v>98.915995</x:v>
      </x:c>
      <x:c r="AB15" s="57" t="str"/>
      <x:c r="AC15" s="20" t="str">
        <x:v>https://www.dasta.or.th/th/article/293</x:v>
      </x:c>
    </x:row>
    <x:row r="16" ht="88" customHeight="1">
      <x:c r="A16" s="54" t="n">
        <x:v>8</x:v>
      </x:c>
      <x:c r="B16" s="20" t="str">
        <x:v>ชุมชนบ้านหนองเงือก</x:v>
      </x:c>
      <x:c r="C16" s="20" t="str">
        <x:v>ลำพูน</x:v>
      </x:c>
      <x:c r="D16" s="20" t="str">
        <x:v>ชุมชน</x:v>
      </x:c>
      <x:c r="E16" s="20" t="str">
        <x:v>พบข้อมูลชื่อตรงจาก บ้านหนองเงือก “หมู่บ้านสิ่งทอนาโน” – สถาบันการจัดการเทคโนโลยีและนวัตกรรมเกษตร; เป็นหลักฐานตัวตน/ประเภท ยังไม่ยืนยันบริการมุสลิมครบเกณฑ์</x:v>
      </x:c>
      <x:c r="F16" s="20" t="str">
        <x:v>ไม่ทราบ</x:v>
      </x:c>
      <x:c r="G16" s="20" t="str">
        <x:v>ยังไม่ยืนยันใบรับรองและวันหมดอายุ</x:v>
      </x:c>
      <x:c r="H16" s="20" t="str">
        <x:v>ตรวจการเปิด ตัวตนสาขา ช่องทางติดต่อ และเงื่อนไขบังคับตามประเภท</x:v>
      </x:c>
      <x:c r="I16" s="20" t="str">
        <x:v>ยังไม่ยืนยันที่อยู่ละเอียด ดูลิงก์แหล่งข้อมูลและ Google Maps</x:v>
      </x:c>
      <x:c r="J16" s="21" t="str">
        <x:v>ยังไม่พบหรือยังไม่ยืนยัน</x:v>
      </x:c>
      <x:c r="K16" s="51" t="str">
        <x:v>https://www.nstda.or.th/agritec/?p=4533</x:v>
      </x:c>
      <x:c r="L16" s="51" t="str">
        <x:v>https://wikicommunity.sac.or.th/community/2199</x:v>
      </x:c>
      <x:c r="M16" s="20" t="str">
        <x:v>พบแหล่งต่างเว็บไซต์ บ้านหนองเงือก</x:v>
      </x:c>
      <x:c r="N16" s="28" t="n">
        <x:v>46316</x:v>
      </x:c>
      <x:c r="O16" s="57" t="str">
        <x:v>ยังไม่ตรวจ</x:v>
      </x:c>
      <x:c r="P16" s="57" t="str">
        <x:v>ยังไม่ติดต่อ</x:v>
      </x:c>
      <x:c r="Q16" s="20" t="str">
        <x:v>R26-120</x:v>
      </x:c>
      <x:c r="R16" s="20" t="str"/>
      <x:c r="S16" s="20" t="str"/>
      <x:c r="T16" s="20" t="str">
        <x:v>https://www.nstda.or.th/agritec/?p=4533</x:v>
      </x:c>
      <x:c r="U16" s="20" t="str"/>
      <x:c r="V16" s="20" t="str"/>
      <x:c r="W16" s="20" t="str"/>
      <x:c r="X16" s="20" t="str"/>
      <x:c r="Y16" s="20" t="str">
        <x:v>https://www.google.com/maps/search/?api=1&amp;query=%E0%B8%8A%E0%B8%B8%E0%B8%A1%E0%B8%8A%E0%B8%99%E0%B8%9A%E0%B9%89%E0%B8%B2%E0%B8%99%E0%B8%AB%E0%B8%99%E0%B8%AD%E0%B8%87%E0%B9%80%E0%B8%87%E0%B8%B7%E0%B8%AD%E0%B8%81%20%E0%B8%A5%E0%B8%B3%E0%B8%9E%E0%B8%B9%E0%B8%99</x:v>
      </x:c>
      <x:c r="Z16" s="56" t="n">
        <x:v>18.484014</x:v>
      </x:c>
      <x:c r="AA16" s="56" t="n">
        <x:v>98.9089</x:v>
      </x:c>
      <x:c r="AB16" s="57" t="str"/>
      <x:c r="AC16" s="20" t="str">
        <x:v>https://www.nstda.or.th/agritec/?p=4533</x:v>
      </x:c>
    </x:row>
    <x:row r="17" ht="88" customHeight="1">
      <x:c r="A17" s="54" t="n">
        <x:v>9</x:v>
      </x:c>
      <x:c r="B17" s="20" t="str">
        <x:v>ฮาบิ๊บ อาหารยูนนาน</x:v>
      </x:c>
      <x:c r="C17" s="20" t="str">
        <x:v>เชียงใหม่</x:v>
      </x:c>
      <x:c r="D17" s="20" t="str">
        <x:v>อาหาร</x:v>
      </x:c>
      <x:c r="E17" s="20" t="str">
        <x:v>พบข้อมูลชื่อตรงจาก ร้าน ฮาบี๊บ อาหารยูนนาน เชียงใหม่ | รีวิวร้านอาหาร; เป็นหลักฐานตัวตน/ประเภท ยังไม่ยืนยันบริการมุสลิมครบเกณฑ์</x:v>
      </x:c>
      <x:c r="F17" s="20" t="str">
        <x:v>ไม่ทราบ</x:v>
      </x:c>
      <x:c r="G17" s="20" t="str">
        <x:v>ยังไม่ยืนยันใบรับรองและวันหมดอายุ</x:v>
      </x:c>
      <x:c r="H17" s="20" t="str">
        <x:v>ตรวจการเปิด ตัวตนสาขา ช่องทางติดต่อ และเงื่อนไขบังคับตามประเภท</x:v>
      </x:c>
      <x:c r="I17" s="20" t="str">
        <x:v>ยังไม่ยืนยันที่อยู่ละเอียด ดูลิงก์แหล่งข้อมูลและ Google Maps</x:v>
      </x:c>
      <x:c r="J17" s="21" t="str">
        <x:v>ยังไม่พบหรือยังไม่ยืนยัน</x:v>
      </x:c>
      <x:c r="K17" s="51" t="str">
        <x:v>https://www.wongnai.com/restaurants/465814oP-%E0%B8%AE%E0%B8%B2%E0%B8%9A%E0%B8%B5%E0%B9%8A%E0%B8%9A-%E0%B8%AD%E0%B8%B2%E0%B8%AB%E0%B8%B2%E0%B8%A3%E0%B8%A2%E0%B8%B9%E0%B8%99%E0%B8%99%E0%B8%B2%E0%B8%99-%E0%B9%80%E0%B8%8A%E0%B8%B5%E0%B8%A2%E0%B8%87%E0%B9%83%E0%B8%AB%E0%B8%A1%E0%B9%88</x:v>
      </x:c>
      <x:c r="L17" s="51" t="str">
        <x:v>https://www.bester-eats.com/area/PRO1/ARE1/SUB15/</x:v>
      </x:c>
      <x:c r="M17" s="20" t="str">
        <x:v>พบแหล่งต่างเว็บไซต์ รวม 50 ร้านอาหารแนะนำในย่าน วัดเกต - BESTER EATS</x:v>
      </x:c>
      <x:c r="N17" s="28" t="n">
        <x:v>46316</x:v>
      </x:c>
      <x:c r="O17" s="57" t="str">
        <x:v>ยังไม่ตรวจ</x:v>
      </x:c>
      <x:c r="P17" s="57" t="str">
        <x:v>ยังไม่ติดต่อ</x:v>
      </x:c>
      <x:c r="Q17" s="20" t="str">
        <x:v>R26-003</x:v>
      </x:c>
      <x:c r="R17" s="20" t="str"/>
      <x:c r="S17" s="20" t="str"/>
      <x:c r="T17" s="20" t="str">
        <x:v>https://www.wongnai.com/restaurants/465814oP-%E0%B8%AE%E0%B8%B2%E0%B8%9A%E0%B8%B5%E0%B9%8A%E0%B8%9A-%E0%B8%AD%E0%B8%B2%E0%B8%AB%E0%B8%B2%E0%B8%A3%E0%B8%A2%E0%B8%B9%E0%B8%99%E0%B8%99%E0%B8%B2%E0%B8%99-%E0%B9%80%E0%B8%8A%E0%B8%B5%E0%B8%A2%E0%B8%87%E0%B9%83%E0%B8%AB%E0%B8%A1%E0%B9%88</x:v>
      </x:c>
      <x:c r="U17" s="20" t="str"/>
      <x:c r="V17" s="20" t="str"/>
      <x:c r="W17" s="20" t="str"/>
      <x:c r="X17" s="20" t="str"/>
      <x:c r="Y17" s="20" t="str">
        <x:v>https://www.google.com/maps/search/?api=1&amp;query=%E0%B8%AE%E0%B8%B2%E0%B8%9A%E0%B8%B4%E0%B9%8A%E0%B8%9A%20%E0%B8%AD%E0%B8%B2%E0%B8%AB%E0%B8%B2%E0%B8%A3%E0%B8%A2%E0%B8%B9%E0%B8%99%E0%B8%99%E0%B8%B2%E0%B8%99%20%E0%B9%80%E0%B8%8A%E0%B8%B5%E0%B8%A2%E0%B8%87%E0%B9%83%E0%B8%AB%E0%B8%A1%E0%B9%88</x:v>
      </x:c>
      <x:c r="Z17" s="56" t="str"/>
      <x:c r="AA17" s="56" t="str"/>
      <x:c r="AB17" s="57" t="str"/>
      <x:c r="AC17" s="20" t="str">
        <x:v>https://www.wongnai.com/restaurants/465814oP-%E0%B8%AE%E0%B8%B2%E0%B8%9A%E0%B8%B5%E0%B9%8A%E0%B8%9A-%E0%B8%AD%E0%B8%B2%E0%B8%AB%E0%B8%B2%E0%B8%A3%E0%B8%A2%E0%B8%B9%E0%B8%99%E0%B8%99%E0%B8%B2%E0%B8%99-%E0%B9%80%E0%B8%8A%E0%B8%B5%E0%B8%A2%E0%B8%87%E0%B9%83%E0%B8%AB%E0%B8%A1%E0%B9%88</x:v>
      </x:c>
    </x:row>
    <x:row r="18" ht="88" customHeight="1">
      <x:c r="A18" s="54" t="n">
        <x:v>10</x:v>
      </x:c>
      <x:c r="B18" s="20" t="str">
        <x:v>ถนนคนเดินท่าแพ</x:v>
      </x:c>
      <x:c r="C18" s="20" t="str">
        <x:v>เชียงใหม่</x:v>
      </x:c>
      <x:c r="D18" s="20" t="str">
        <x:v>ประวัติ</x:v>
      </x:c>
      <x:c r="E18" s="20" t="str">
        <x:v>พบข้อมูลชื่อตรงจาก ประวัติถนนคนเดินท่าแพ; เป็นหลักฐานตัวตน/ประเภท ยังไม่ยืนยันบริการมุสลิมครบเกณฑ์</x:v>
      </x:c>
      <x:c r="F18" s="20" t="str">
        <x:v>ไม่ทราบ</x:v>
      </x:c>
      <x:c r="G18" s="20" t="str">
        <x:v>ยังไม่ยืนยันใบรับรองและวันหมดอายุ</x:v>
      </x:c>
      <x:c r="H18" s="20" t="str">
        <x:v>ตรวจการเปิด ตัวตนสาขา ช่องทางติดต่อ และเงื่อนไขบังคับตามประเภท</x:v>
      </x:c>
      <x:c r="I18" s="20" t="str">
        <x:v>ยังไม่ยืนยันที่อยู่ละเอียด ดูลิงก์แหล่งข้อมูลและ Google Maps</x:v>
      </x:c>
      <x:c r="J18" s="21" t="str">
        <x:v>ยังไม่พบหรือยังไม่ยืนยัน</x:v>
      </x:c>
      <x:c r="K18" s="51" t="str">
        <x:v>https://www.cmcity.go.th/News/8198-%E0%B8%9B%E0%B8%A3%E0%B8%B0%E0%B8%A7%E0%B8%B1%E0%B8%95%E0%B8%B4.html</x:v>
      </x:c>
      <x:c r="L18" s="51" t="str">
        <x:v>https://icoh.anamai.moph.go.th/web-upload/migrated/files/icoh/n1174_05247296402e0581a03f727b2c9d5898_article_20200302120639.pdf</x:v>
      </x:c>
      <x:c r="M18" s="20" t="str">
        <x:v>พบแหล่งต่างเว็บไซต์ ๑. ถนนคนเดินท่าแพ (วันอาทิตย์)</x:v>
      </x:c>
      <x:c r="N18" s="28" t="n">
        <x:v>46316</x:v>
      </x:c>
      <x:c r="O18" s="57" t="str">
        <x:v>ยังไม่ตรวจ</x:v>
      </x:c>
      <x:c r="P18" s="57" t="str">
        <x:v>ยังไม่ติดต่อ</x:v>
      </x:c>
      <x:c r="Q18" s="20" t="str">
        <x:v>R26-005</x:v>
      </x:c>
      <x:c r="R18" s="20" t="str"/>
      <x:c r="S18" s="20" t="str"/>
      <x:c r="T18" s="20" t="str">
        <x:v>https://www.cmcity.go.th/News/8198-%E0%B8%9B%E0%B8%A3%E0%B8%B0%E0%B8%A7%E0%B8%B1%E0%B8%95%E0%B8%B4.html</x:v>
      </x:c>
      <x:c r="U18" s="20" t="str"/>
      <x:c r="V18" s="20" t="str"/>
      <x:c r="W18" s="20" t="str"/>
      <x:c r="X18" s="20" t="str"/>
      <x:c r="Y18" s="20" t="str">
        <x:v>https://www.google.com/maps/search/?api=1&amp;query=%E0%B8%96%E0%B8%99%E0%B8%99%E0%B8%84%E0%B8%99%E0%B9%80%E0%B8%94%E0%B8%B4%E0%B8%99%E0%B8%97%E0%B9%88%E0%B8%B2%E0%B9%81%E0%B8%9E%20%E0%B9%80%E0%B8%8A%E0%B8%B5%E0%B8%A2%E0%B8%87%E0%B9%83%E0%B8%AB%E0%B8%A1%E0%B9%88</x:v>
      </x:c>
      <x:c r="Z18" s="56" t="str"/>
      <x:c r="AA18" s="56" t="str"/>
      <x:c r="AB18" s="57" t="str"/>
      <x:c r="AC18" s="20" t="str">
        <x:v>https://www.cmcity.go.th/News/8198-%E0%B8%9B%E0%B8%A3%E0%B8%B0%E0%B8%A7%E0%B8%B1%E0%B8%95%E0%B8%B4.html</x:v>
      </x:c>
    </x:row>
    <x:row r="19" ht="88" customHeight="1">
      <x:c r="A19" s="54" t="n">
        <x:v>11</x:v>
      </x:c>
      <x:c r="B19" s="20" t="str">
        <x:v>มัสยิดช้างเผือก</x:v>
      </x:c>
      <x:c r="C19" s="20" t="str">
        <x:v>เชียงใหม่</x:v>
      </x:c>
      <x:c r="D19" s="20" t="str">
        <x:v>มัสยิด</x:v>
      </x:c>
      <x:c r="E19" s="20" t="str">
        <x:v>พบข้อมูลชื่อตรงจาก รมช. มหาดไทย เปิดมัสยิดช้างเผือก จังหวัดเชียงใหม่; เป็นหลักฐานตัวตน/ประเภท ยังไม่ยืนยันบริการมุสลิมครบเกณฑ์</x:v>
      </x:c>
      <x:c r="F19" s="20" t="str">
        <x:v>ไม่ทราบ</x:v>
      </x:c>
      <x:c r="G19" s="20" t="str">
        <x:v>ยังไม่ยืนยันใบรับรองและวันหมดอายุ</x:v>
      </x:c>
      <x:c r="H1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9" s="20" t="str">
        <x:v>ยังไม่ยืนยันที่อยู่ละเอียด ดูลิงก์แหล่งข้อมูลและ Google Maps</x:v>
      </x:c>
      <x:c r="J19" s="21" t="str">
        <x:v>ยังไม่พบหรือยังไม่ยืนยัน</x:v>
      </x:c>
      <x:c r="K19" s="51" t="str">
        <x:v>https://chiangmai.prd.go.th/th/content/category/detail/id/9/iid/252247</x:v>
      </x:c>
      <x:c r="L19" s="51" t="str">
        <x:v>https://chaangpeuak.go.th/%E0%B8%AA%E0%B8%A0%E0%B8%B2%E0%B8%9E%E0%B8%97%E0%B8%B1%E0%B9%88%E0%B8%A7%E0%B9%84%E0%B8%9B/</x:v>
      </x:c>
      <x:c r="M19" s="20" t="str">
        <x:v>พบแหล่งต่างเว็บไซต์ สภาพทั่วไป – องค์การบริหารส่วนตำบลช้างเผือก</x:v>
      </x:c>
      <x:c r="N19" s="28" t="n">
        <x:v>46316</x:v>
      </x:c>
      <x:c r="O19" s="57" t="str">
        <x:v>ยังไม่ตรวจ</x:v>
      </x:c>
      <x:c r="P19" s="57" t="str">
        <x:v>ยังไม่ติดต่อ</x:v>
      </x:c>
      <x:c r="Q19" s="20" t="str">
        <x:v>R26-004</x:v>
      </x:c>
      <x:c r="R19" s="20" t="str"/>
      <x:c r="S19" s="20" t="str"/>
      <x:c r="T19" s="20" t="str">
        <x:v>https://chiangmai.prd.go.th/th/content/category/detail/id/9/iid/252247</x:v>
      </x:c>
      <x:c r="U19" s="20" t="str"/>
      <x:c r="V19" s="20" t="str"/>
      <x:c r="W19" s="20" t="str"/>
      <x:c r="X19" s="20" t="str"/>
      <x:c r="Y19" s="20" t="str">
        <x:v>https://www.google.com/maps/search/?api=1&amp;query=%E0%B8%A1%E0%B8%B1%E0%B8%AA%E0%B8%A2%E0%B8%B4%E0%B8%94%E0%B8%8A%E0%B9%89%E0%B8%B2%E0%B8%87%E0%B9%80%E0%B8%9C%E0%B8%B7%E0%B8%AD%E0%B8%81%20%E0%B9%80%E0%B8%8A%E0%B8%B5%E0%B8%A2%E0%B8%87%E0%B9%83%E0%B8%AB%E0%B8%A1%E0%B9%88</x:v>
      </x:c>
      <x:c r="Z19" s="56" t="n">
        <x:v>18.7965607</x:v>
      </x:c>
      <x:c r="AA19" s="56" t="n">
        <x:v>98.986523</x:v>
      </x:c>
      <x:c r="AB19" s="57" t="str"/>
      <x:c r="AC19" s="20" t="str">
        <x:v>https://chiangmai.prd.go.th/th/content/category/detail/id/9/iid/252247</x:v>
      </x:c>
    </x:row>
    <x:row r="20" ht="88" customHeight="1">
      <x:c r="A20" s="54" t="n">
        <x:v>12</x:v>
      </x:c>
      <x:c r="B20" s="20" t="str">
        <x:v>มัสยิดเฮดายาตุลอิสลาม บ้านฮ่อ</x:v>
      </x:c>
      <x:c r="C20" s="20" t="str">
        <x:v>เชียงใหม่</x:v>
      </x:c>
      <x:c r="D20" s="20" t="str">
        <x:v>มัสยิด</x:v>
      </x:c>
      <x:c r="E20" s="20" t="str">
        <x:v>พบข้อมูลชื่อตรงจาก ประวัติชุมชนมุสลิมบ้านฮ่อ มัสยิดเฮดายาตุ้ลอิสลามบ้านฮ่อ เชียงใหม่ - สังคมมุสลิม ภาคเหนือ; เป็นหลักฐานตัวตน/ประเภท ยังไม่ยืนยันบริการมุสลิมครบเกณฑ์</x:v>
      </x:c>
      <x:c r="F20" s="20" t="str">
        <x:v>ไม่ทราบ</x:v>
      </x:c>
      <x:c r="G20" s="20" t="str">
        <x:v>ยังไม่ยืนยันใบรับรองและวันหมดอายุ</x:v>
      </x:c>
      <x:c r="H20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0" s="20" t="str">
        <x:v>ยังไม่ยืนยันที่อยู่ละเอียด ดูลิงก์แหล่งข้อมูลและ Google Maps</x:v>
      </x:c>
      <x:c r="J20" s="21" t="str">
        <x:v>ยังไม่พบหรือยังไม่ยืนยัน</x:v>
      </x:c>
      <x:c r="K20" s="51" t="str">
        <x:v>https://www.gotoknow.org/posts/217762</x:v>
      </x:c>
      <x:c r="L20" s="51" t="str">
        <x:v>https://www.youtube.com/watch?v=Xs1RyR4jtCk</x:v>
      </x:c>
      <x:c r="M20" s="20" t="str">
        <x:v>พบแหล่งต่างเว็บไซต์ เปิดตัวสมาคมสตรีล้านนา ที่มัสยิดเฮดายาตุ้ลอิสลามบ้านฮ่อเชียงใหม่ - YouTube</x:v>
      </x:c>
      <x:c r="N20" s="28" t="n">
        <x:v>46316</x:v>
      </x:c>
      <x:c r="O20" s="57" t="str">
        <x:v>ยังไม่ตรวจ</x:v>
      </x:c>
      <x:c r="P20" s="57" t="str">
        <x:v>ยังไม่ติดต่อ</x:v>
      </x:c>
      <x:c r="Q20" s="20" t="str">
        <x:v>R26-002</x:v>
      </x:c>
      <x:c r="R20" s="20" t="str"/>
      <x:c r="S20" s="20" t="str"/>
      <x:c r="T20" s="20" t="str">
        <x:v>https://www.gotoknow.org/posts/217762</x:v>
      </x:c>
      <x:c r="U20" s="20" t="str"/>
      <x:c r="V20" s="20" t="str"/>
      <x:c r="W20" s="20" t="str"/>
      <x:c r="X20" s="20" t="str"/>
      <x:c r="Y20" s="20" t="str">
        <x:v>https://www.google.com/maps/search/?api=1&amp;query=%E0%B8%A1%E0%B8%B1%E0%B8%AA%E0%B8%A2%E0%B8%B4%E0%B8%94%E0%B9%80%E0%B8%AE%E0%B8%94%E0%B8%B2%E0%B8%A2%E0%B8%B2%E0%B8%95%E0%B8%B8%E0%B8%A5%E0%B8%AD%E0%B8%B4%E0%B8%AA%E0%B8%A5%E0%B8%B2%E0%B8%A1%20%E0%B8%9A%E0%B9%89%E0%B8%B2%E0%B8%99%E0%B8%AE%E0%B9%88%E0%B8%AD%20%E0%B9%80%E0%B8%8A%E0%B8%B5%E0%B8%A2%E0%B8%87%E0%B9%83%E0%B8%AB%E0%B8%A1%E0%B9%88</x:v>
      </x:c>
      <x:c r="Z20" s="56" t="str"/>
      <x:c r="AA20" s="56" t="str"/>
      <x:c r="AB20" s="57" t="str"/>
      <x:c r="AC20" s="20" t="str">
        <x:v>https://www.gotoknow.org/posts/217762</x:v>
      </x:c>
    </x:row>
    <x:row r="21" ht="88" customHeight="1">
      <x:c r="A21" s="54" t="n">
        <x:v>13</x:v>
      </x:c>
      <x:c r="B21" s="20" t="str">
        <x:v>กาดบ้านฮ่อ</x:v>
      </x:c>
      <x:c r="C21" s="20" t="str">
        <x:v>เชียงใหม่</x:v>
      </x:c>
      <x:c r="D21" s="20" t="str">
        <x:v>ชุมชน</x:v>
      </x:c>
      <x:c r="E21" s="20" t="str">
        <x:v>พบข้อมูลชื่อตรงจาก กาดบ้านฮ่อ ตลาดเช้าที่มีความน่าตื่นตาตื่นใจกับอาหารแปลกใหม่ของขายเยอะกับพี่น้องชาวไตและมุสลิม - YouTube; เป็นหลักฐานตัวตน/ประเภท ยังไม่ยืนยันบริการมุสลิมครบเกณฑ์</x:v>
      </x:c>
      <x:c r="F21" s="20" t="str">
        <x:v>ไม่ทราบ</x:v>
      </x:c>
      <x:c r="G21" s="20" t="str">
        <x:v>ยังไม่ยืนยันใบรับรองและวันหมดอายุ</x:v>
      </x:c>
      <x:c r="H21" s="20" t="str">
        <x:v>ตรวจการเปิด ตัวตนสาขา ช่องทางติดต่อ และเงื่อนไขบังคับตามประเภท</x:v>
      </x:c>
      <x:c r="I21" s="20" t="str">
        <x:v>ยังไม่ยืนยันที่อยู่ละเอียด ดูลิงก์แหล่งข้อมูลและ Google Maps</x:v>
      </x:c>
      <x:c r="J21" s="21" t="str">
        <x:v>ยังไม่พบหรือยังไม่ยืนยัน</x:v>
      </x:c>
      <x:c r="K21" s="51" t="str">
        <x:v>https://www.youtube.com/watch?v=ZSPXhRo4Uoc</x:v>
      </x:c>
      <x:c r="L21" s="51" t="str">
        <x:v>https://krua.co/food_story/yunnan-flea-market-cnx</x:v>
      </x:c>
      <x:c r="M21" s="20" t="str">
        <x:v>พบแหล่งต่างเว็บไซต์ กาดบ้านฮ่อ เชียงใหม่ ในกระแสของความเปลี่ยนแปลง by KRUA.CO</x:v>
      </x:c>
      <x:c r="N21" s="28" t="n">
        <x:v>46316</x:v>
      </x:c>
      <x:c r="O21" s="57" t="str">
        <x:v>ยังไม่ตรวจ</x:v>
      </x:c>
      <x:c r="P21" s="57" t="str">
        <x:v>ยังไม่ติดต่อ</x:v>
      </x:c>
      <x:c r="Q21" s="20" t="str">
        <x:v>R26-001</x:v>
      </x:c>
      <x:c r="R21" s="20" t="str"/>
      <x:c r="S21" s="20" t="str"/>
      <x:c r="T21" s="20" t="str">
        <x:v>https://www.youtube.com/watch?v=ZSPXhRo4Uoc</x:v>
      </x:c>
      <x:c r="U21" s="20" t="str"/>
      <x:c r="V21" s="20" t="str"/>
      <x:c r="W21" s="20" t="str"/>
      <x:c r="X21" s="20" t="str"/>
      <x:c r="Y21" s="20" t="str">
        <x:v>https://www.google.com/maps/search/?api=1&amp;query=%E0%B8%81%E0%B8%B2%E0%B8%94%E0%B8%9A%E0%B9%89%E0%B8%B2%E0%B8%99%E0%B8%AE%E0%B9%88%E0%B8%AD%20%E0%B9%80%E0%B8%8A%E0%B8%B5%E0%B8%A2%E0%B8%87%E0%B9%83%E0%B8%AB%E0%B8%A1%E0%B9%88</x:v>
      </x:c>
      <x:c r="Z21" s="56" t="str"/>
      <x:c r="AA21" s="56" t="str"/>
      <x:c r="AB21" s="57" t="str"/>
      <x:c r="AC21" s="20" t="str">
        <x:v>https://www.youtube.com/watch?v=ZSPXhRo4Uoc</x:v>
      </x:c>
    </x:row>
    <x:row r="22" ht="88" customHeight="1">
      <x:c r="A22" s="54" t="n">
        <x:v>14</x:v>
      </x:c>
      <x:c r="B22" s="20" t="str">
        <x:v>บ้านขันโตกฮาลาล</x:v>
      </x:c>
      <x:c r="C22" s="20" t="str">
        <x:v>เชียงใหม่</x:v>
      </x:c>
      <x:c r="D22" s="20" t="str">
        <x:v>อาหาร</x:v>
      </x:c>
      <x:c r="E22" s="20" t="str">
        <x:v>พบข้อมูลชื่อตรงจาก บ้านขันโตกฮาลาล | Makan Halal Guide; เป็นหลักฐานตัวตน/ประเภท ยังไม่ยืนยันบริการมุสลิมครบเกณฑ์</x:v>
      </x:c>
      <x:c r="F22" s="20" t="str">
        <x:v>ไม่ทราบ</x:v>
      </x:c>
      <x:c r="G22" s="20" t="str">
        <x:v>ยังไม่ยืนยันใบรับรองและวันหมดอายุ</x:v>
      </x:c>
      <x:c r="H22" s="20" t="str">
        <x:v>ตรวจการเปิด ตัวตนสาขา ช่องทางติดต่อ และเงื่อนไขบังคับตามประเภท</x:v>
      </x:c>
      <x:c r="I22" s="20" t="str">
        <x:v>ยังไม่ยืนยันที่อยู่ละเอียด ดูลิงก์แหล่งข้อมูลและ Google Maps</x:v>
      </x:c>
      <x:c r="J22" s="21" t="str">
        <x:v>ยังไม่พบหรือยังไม่ยืนยัน</x:v>
      </x:c>
      <x:c r="K22" s="51" t="str">
        <x:v>https://makanhalalguide.com/shop/detail/257</x:v>
      </x:c>
      <x:c r="L22" s="51" t="str">
        <x:v>https://www.youtube.com/watch?v=ArckI0-M7RA</x:v>
      </x:c>
      <x:c r="M22" s="20" t="str">
        <x:v>พบแหล่งต่างเว็บไซต์ บ้านขันโตกฮาลาล อาหารขันโตกมุสลิมล้านนาแห่งเดียวในเชียงใหม่ - YouTube</x:v>
      </x:c>
      <x:c r="N22" s="28" t="n">
        <x:v>46316</x:v>
      </x:c>
      <x:c r="O22" s="57" t="str">
        <x:v>ยังไม่ตรวจ</x:v>
      </x:c>
      <x:c r="P22" s="57" t="str">
        <x:v>ยังไม่ติดต่อ</x:v>
      </x:c>
      <x:c r="Q22" s="20" t="str">
        <x:v>R26-008</x:v>
      </x:c>
      <x:c r="R22" s="20" t="str"/>
      <x:c r="S22" s="20" t="str"/>
      <x:c r="T22" s="20" t="str">
        <x:v>https://makanhalalguide.com/shop/detail/257</x:v>
      </x:c>
      <x:c r="U22" s="20" t="str"/>
      <x:c r="V22" s="20" t="str"/>
      <x:c r="W22" s="20" t="str"/>
      <x:c r="X22" s="20" t="str"/>
      <x:c r="Y22" s="20" t="str">
        <x:v>https://www.google.com/maps/search/?api=1&amp;query=%E0%B8%9A%E0%B9%89%E0%B8%B2%E0%B8%99%E0%B8%82%E0%B8%B1%E0%B8%99%E0%B9%82%E0%B8%95%E0%B8%81%E0%B8%AE%E0%B8%B2%E0%B8%A5%E0%B8%B2%E0%B8%A5%20%E0%B9%80%E0%B8%8A%E0%B8%B5%E0%B8%A2%E0%B8%87%E0%B9%83%E0%B8%AB%E0%B8%A1%E0%B9%88</x:v>
      </x:c>
      <x:c r="Z22" s="56" t="str"/>
      <x:c r="AA22" s="56" t="str"/>
      <x:c r="AB22" s="57" t="str"/>
      <x:c r="AC22" s="20" t="str">
        <x:v>https://makanhalalguide.com/shop/detail/257</x:v>
      </x:c>
    </x:row>
    <x:row r="23" ht="88" customHeight="1">
      <x:c r="A23" s="54" t="n">
        <x:v>15</x:v>
      </x:c>
      <x:c r="B23" s="20" t="str">
        <x:v>จริงใจมาร์เก็ต เชียงใหม่</x:v>
      </x:c>
      <x:c r="C23" s="20" t="str">
        <x:v>เชียงใหม่</x:v>
      </x:c>
      <x:c r="D23" s="20" t="str">
        <x:v>กิจกรรม</x:v>
      </x:c>
      <x:c r="E23" s="20" t="str">
        <x:v>พบข้อมูลชื่อตรงจาก จริงใจมาร์เก็ตเชียงใหม่; เป็นหลักฐานตัวตน/ประเภท ยังไม่ยืนยันบริการมุสลิมครบเกณฑ์</x:v>
      </x:c>
      <x:c r="F23" s="20" t="str">
        <x:v>ไม่ทราบ</x:v>
      </x:c>
      <x:c r="G23" s="20" t="str">
        <x:v>ยังไม่ยืนยันใบรับรองและวันหมดอายุ</x:v>
      </x:c>
      <x:c r="H23" s="20" t="str">
        <x:v>ตรวจการเปิด ตัวตนสาขา ช่องทางติดต่อ และเงื่อนไขบังคับตามประเภท</x:v>
      </x:c>
      <x:c r="I23" s="20" t="str">
        <x:v>ยังไม่ยืนยันที่อยู่ละเอียด ดูลิงก์แหล่งข้อมูลและ Google Maps</x:v>
      </x:c>
      <x:c r="J23" s="21" t="str">
        <x:v>ยังไม่พบหรือยังไม่ยืนยัน</x:v>
      </x:c>
      <x:c r="K23" s="51" t="str">
        <x:v>https://thai.tourismthailand.org/Articles/%E0%B8%88%E0%B8%A3%E0%B8%B4%E0%B8%87%E0%B9%83%E0%B8%88%E0%B8%A1%E0%B8%B2%E0%B8%A3%E0%B9%8C%E0%B9%80%E0%B8%81%E0%B9%87%E0%B8%95%E0%B9%80%E0%B8%8A%E0%B8%B5%E0%B8%A2%E0%B8%87%E0%B9%83%E0%B8%AB%E0%B8%A1%E0%B9%88</x:v>
      </x:c>
      <x:c r="L23" s="51" t="str">
        <x:v>https://www.wongnai.com/reviews/c772a07e39cc40fb817ae19d1e93d850</x:v>
      </x:c>
      <x:c r="M23" s="20" t="str">
        <x:v>พบแหล่งต่างเว็บไซต์ รีวิว จริงใจ มาร์เก็ต เชียงใหม่ - ตลาดเช้าที่น่าเดินที่สุดในเชียงใหม่</x:v>
      </x:c>
      <x:c r="N23" s="28" t="n">
        <x:v>46316</x:v>
      </x:c>
      <x:c r="O23" s="57" t="str">
        <x:v>ยังไม่ตรวจ</x:v>
      </x:c>
      <x:c r="P23" s="57" t="str">
        <x:v>ยังไม่ติดต่อ</x:v>
      </x:c>
      <x:c r="Q23" s="20" t="str">
        <x:v>R26-010</x:v>
      </x:c>
      <x:c r="R23" s="20" t="str"/>
      <x:c r="S23" s="20" t="str"/>
      <x:c r="T23" s="20" t="str">
        <x:v>https://thai.tourismthailand.org/Articles/%E0%B8%88%E0%B8%A3%E0%B8%B4%E0%B8%87%E0%B9%83%E0%B8%88%E0%B8%A1%E0%B8%B2%E0%B8%A3%E0%B9%8C%E0%B9%80%E0%B8%81%E0%B9%87%E0%B8%95%E0%B9%80%E0%B8%8A%E0%B8%B5%E0%B8%A2%E0%B8%87%E0%B9%83%E0%B8%AB%E0%B8%A1%E0%B9%88</x:v>
      </x:c>
      <x:c r="U23" s="20" t="str"/>
      <x:c r="V23" s="20" t="str"/>
      <x:c r="W23" s="20" t="str"/>
      <x:c r="X23" s="20" t="str"/>
      <x:c r="Y23" s="20" t="str">
        <x:v>https://www.google.com/maps/search/?api=1&amp;query=%E0%B8%88%E0%B8%A3%E0%B8%B4%E0%B8%87%E0%B9%83%E0%B8%88%E0%B8%A1%E0%B8%B2%E0%B8%A3%E0%B9%8C%E0%B9%80%E0%B8%81%E0%B9%87%E0%B8%95%20%E0%B9%80%E0%B8%8A%E0%B8%B5%E0%B8%A2%E0%B8%87%E0%B9%83%E0%B8%AB%E0%B8%A1%E0%B9%88%20%E0%B9%80%E0%B8%8A%E0%B8%B5%E0%B8%A2%E0%B8%87%E0%B9%83%E0%B8%AB%E0%B8%A1%E0%B9%88</x:v>
      </x:c>
      <x:c r="Z23" s="56" t="str"/>
      <x:c r="AA23" s="56" t="str"/>
      <x:c r="AB23" s="57" t="str"/>
      <x:c r="AC23" s="20" t="str">
        <x:v>https://thai.tourismthailand.org/Articles/%E0%B8%88%E0%B8%A3%E0%B8%B4%E0%B8%87%E0%B9%83%E0%B8%88%E0%B8%A1%E0%B8%B2%E0%B8%A3%E0%B9%8C%E0%B9%80%E0%B8%81%E0%B9%87%E0%B8%95%E0%B9%80%E0%B8%8A%E0%B8%B5%E0%B8%A2%E0%B8%87%E0%B9%83%E0%B8%AB%E0%B8%A1%E0%B9%88</x:v>
      </x:c>
    </x:row>
    <x:row r="24" ht="88" customHeight="1">
      <x:c r="A24" s="54" t="n">
        <x:v>16</x:v>
      </x:c>
      <x:c r="B24" s="20" t="str">
        <x:v>Aba Village</x:v>
      </x:c>
      <x:c r="C24" s="20" t="str">
        <x:v>เชียงใหม่</x:v>
      </x:c>
      <x:c r="D24" s="20" t="str">
        <x:v>ที่พัก (ตรวจประเภทจากชื่อและข้อมูลประกอบ)</x:v>
      </x:c>
      <x:c r="E24" s="20" t="str">
        <x:v>Makan Verify; ระบุมีห้องละหมาด</x:v>
      </x:c>
      <x:c r="F24" s="20" t="str">
        <x:v>มีข้อมูลระบุ แต่รอยืนยัน</x:v>
      </x:c>
      <x:c r="G24" s="20" t="str">
        <x:v>ยังไม่พบเอกสารรับรองและวันหมดอายุ</x:v>
      </x:c>
      <x:c r="H24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24" s="20" t="str">
        <x:v>1 ถนน ซอยเวียงพิงค์ ตำบลช้างคลาน เมือง เชียงใหม่ 50100</x:v>
      </x:c>
      <x:c r="J24" s="21" t="str">
        <x:v>0956743121</x:v>
      </x:c>
      <x:c r="K24" s="51" t="str">
        <x:v>https://makanhalalguide.com/shop/detail/5180</x:v>
      </x:c>
      <x:c r="L24" s="51" t="str">
        <x:v>https://www.google.co.th/travel/hotels/entity/ChoIy7vRv-bR8b7WARoNL2cvMTF2ZjIwOGRxbhAB?ap=ugEGcHJpY2Vz&amp;gl=th&amp;hl=en&amp;ts=CAEaBAoCGgAqBAoAGgA</x:v>
      </x:c>
      <x:c r="M24" s="20" t="str">
        <x:v>ผลค้นหาชื่อสัมพันธ์จากแหล่งเพิ่มเติม ต้องยืนยันสาขาและข้อมูลปัจจุบัน</x:v>
      </x:c>
      <x:c r="N24" s="28" t="n">
        <x:v>46315</x:v>
      </x:c>
      <x:c r="O24" s="57" t="str">
        <x:v>ยังไม่ตรวจ</x:v>
      </x:c>
      <x:c r="P24" s="57" t="str">
        <x:v>ยังไม่ติดต่อ</x:v>
      </x:c>
      <x:c r="Q24" s="20" t="str">
        <x:v>TMF-235</x:v>
      </x:c>
      <x:c r="R24" s="20" t="str">
        <x:v>Aba Village</x:v>
      </x:c>
      <x:c r="S24" s="20" t="str"/>
      <x:c r="T24" s="20" t="str">
        <x:v>https://makanhalalguide.com/shop/detail/5180</x:v>
      </x:c>
      <x:c r="U24" s="20" t="str"/>
      <x:c r="V24" s="20" t="str"/>
      <x:c r="W24" s="20" t="str"/>
      <x:c r="X24" s="20" t="str"/>
      <x:c r="Y24" s="20" t="str">
        <x:v>https://www.google.com/maps/search/?api=1&amp;query=Aba%20Village%20%E0%B9%80%E0%B8%8A%E0%B8%B5%E0%B8%A2%E0%B8%87%E0%B9%83%E0%B8%AB%E0%B8%A1%E0%B9%88</x:v>
      </x:c>
      <x:c r="Z24" s="56" t="n">
        <x:v>18.772165</x:v>
      </x:c>
      <x:c r="AA24" s="56" t="n">
        <x:v>98.993356</x:v>
      </x:c>
      <x:c r="AB24" s="57" t="str"/>
      <x:c r="AC24" s="20" t="str">
        <x:v>https://makanhalalguide.com/shop/detail/5180</x:v>
      </x:c>
    </x:row>
    <x:row r="25" ht="88" customHeight="1">
      <x:c r="A25" s="54" t="n">
        <x:v>17</x:v>
      </x:c>
      <x:c r="B25" s="20" t="str">
        <x:v>Arsh Boutique Hotel</x:v>
      </x:c>
      <x:c r="C25" s="20" t="str">
        <x:v>เชียงใหม่</x:v>
      </x:c>
      <x:c r="D25" s="20" t="str">
        <x:v>โรงแรมหรือรีสอร์ท</x:v>
      </x:c>
      <x:c r="E25" s="20" t="str">
        <x:v>Makan Verify; ระบุมีห้องละหมาด</x:v>
      </x:c>
      <x:c r="F25" s="20" t="str">
        <x:v>มีข้อมูลระบุ แต่รอยืนยัน</x:v>
      </x:c>
      <x:c r="G25" s="20" t="str">
        <x:v>ยังไม่พบเอกสารรับรองและวันหมดอายุ</x:v>
      </x:c>
      <x:c r="H2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5" s="20" t="str">
        <x:v>11 ถนน ซอยเวียงพิงค์ ตำบลช้างคลาน เมือง เชียงใหม่ 50100</x:v>
      </x:c>
      <x:c r="J25" s="21" t="str">
        <x:v>0947627999</x:v>
      </x:c>
      <x:c r="K25" s="51" t="str">
        <x:v>https://makanhalalguide.com/shop/detail/5375</x:v>
      </x:c>
      <x:c r="L25" s="51" t="str">
        <x:v>https://www.google.com.sa/travel/hotels/entity/ChoIwNjwyoOvmPDBARoNL2cvMTF0Yno0bjFsNRAB?ap=MAA&amp;gl=th&amp;gsas=1&amp;hl=th&amp;rp=OAFIAg&amp;ts=CAESCgoCCAMKAggDEAAabwpREk0yJDB4MzBkYTNhOWUzNWU0OGExNToweDQwMzQ2YzVmYThiODlmMDol4LiV4Liz4Lia4LilIOC4nuC4o-C4sOC4quC4tOC4h-C4q-C5jBoAEhoSFAoHCOkPEAgYBBIHCOkPEAgYBRgBMgIQACoJCgU6A1RIQhoA&amp;un=1</x:v>
      </x:c>
      <x:c r="M25" s="20" t="str">
        <x:v>ผลค้นหาชื่อสัมพันธ์จากแหล่งเพิ่มเติม ต้องยืนยันสาขาและข้อมูลปัจจุบัน</x:v>
      </x:c>
      <x:c r="N25" s="28" t="n">
        <x:v>46315</x:v>
      </x:c>
      <x:c r="O25" s="57" t="str">
        <x:v>ยังไม่ตรวจ</x:v>
      </x:c>
      <x:c r="P25" s="57" t="str">
        <x:v>ยังไม่ติดต่อ</x:v>
      </x:c>
      <x:c r="Q25" s="20" t="str">
        <x:v>TMF-231</x:v>
      </x:c>
      <x:c r="R25" s="20" t="str">
        <x:v>Arsh Boutique Hotel</x:v>
      </x:c>
      <x:c r="S25" s="20" t="str"/>
      <x:c r="T25" s="20" t="str">
        <x:v>https://makanhalalguide.com/shop/detail/5375</x:v>
      </x:c>
      <x:c r="U25" s="20" t="str"/>
      <x:c r="V25" s="20" t="str"/>
      <x:c r="W25" s="20" t="str"/>
      <x:c r="X25" s="20" t="str"/>
      <x:c r="Y25" s="20" t="str">
        <x:v>https://www.google.com/maps/search/?api=1&amp;query=Arsh%20Boutique%20Hotel%20%E0%B9%80%E0%B8%8A%E0%B8%B5%E0%B8%A2%E0%B8%87%E0%B9%83%E0%B8%AB%E0%B8%A1%E0%B9%88</x:v>
      </x:c>
      <x:c r="Z25" s="56" t="n">
        <x:v>18.77219</x:v>
      </x:c>
      <x:c r="AA25" s="56" t="n">
        <x:v>98.992223</x:v>
      </x:c>
      <x:c r="AB25" s="57" t="str"/>
      <x:c r="AC25" s="20" t="str">
        <x:v>https://makanhalalguide.com/shop/detail/5375</x:v>
      </x:c>
    </x:row>
    <x:row r="26" ht="88" customHeight="1">
      <x:c r="A26" s="54" t="n">
        <x:v>18</x:v>
      </x:c>
      <x:c r="B26" s="20" t="str">
        <x:v>Lima Lanna Hotel</x:v>
      </x:c>
      <x:c r="C26" s="20" t="str">
        <x:v>เชียงใหม่</x:v>
      </x:c>
      <x:c r="D26" s="20" t="str">
        <x:v>โรงแรมหรือรีสอร์ท</x:v>
      </x:c>
      <x:c r="E26" s="20" t="str">
        <x:v>Makan Verify; ระบุมีห้องละหมาด</x:v>
      </x:c>
      <x:c r="F26" s="20" t="str">
        <x:v>มีข้อมูลระบุ แต่รอยืนยัน</x:v>
      </x:c>
      <x:c r="G26" s="20" t="str">
        <x:v>ยังไม่พบเอกสารรับรองและวันหมดอายุ</x:v>
      </x:c>
      <x:c r="H2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6" s="20" t="str">
        <x:v>277/2 ถ. ช้างคลาน ตำบลช้างคลาน อำเภอเมืองเชียงใหม่ เชียงใหม่ 50100</x:v>
      </x:c>
      <x:c r="J26" s="21" t="str">
        <x:v>0974579761</x:v>
      </x:c>
      <x:c r="K26" s="51" t="str">
        <x:v>https://makanhalalguide.com/shop/detail/5377</x:v>
      </x:c>
      <x:c r="L26" s="51" t="str">
        <x:v>https://www.booking.com/hotel/th/lima-lanna.html</x:v>
      </x:c>
      <x:c r="M26" s="20" t="str">
        <x:v>ผลค้นหาชื่อสัมพันธ์จากแหล่งเพิ่มเติม ต้องยืนยันสาขาและข้อมูลปัจจุบัน</x:v>
      </x:c>
      <x:c r="N26" s="28" t="n">
        <x:v>46315</x:v>
      </x:c>
      <x:c r="O26" s="57" t="str">
        <x:v>ยังไม่ตรวจ</x:v>
      </x:c>
      <x:c r="P26" s="57" t="str">
        <x:v>ยังไม่ติดต่อ</x:v>
      </x:c>
      <x:c r="Q26" s="20" t="str">
        <x:v>TMF-232</x:v>
      </x:c>
      <x:c r="R26" s="20" t="str">
        <x:v>Lima Lanna Hotel</x:v>
      </x:c>
      <x:c r="S26" s="20" t="str"/>
      <x:c r="T26" s="20" t="str">
        <x:v>https://makanhalalguide.com/shop/detail/5377</x:v>
      </x:c>
      <x:c r="U26" s="20" t="str"/>
      <x:c r="V26" s="20" t="str"/>
      <x:c r="W26" s="20" t="str"/>
      <x:c r="X26" s="20" t="str"/>
      <x:c r="Y26" s="20" t="str">
        <x:v>https://www.google.com/maps/search/?api=1&amp;query=Lima%20Lanna%20Hotel%20%E0%B9%80%E0%B8%8A%E0%B8%B5%E0%B8%A2%E0%B8%87%E0%B9%83%E0%B8%AB%E0%B8%A1%E0%B9%88</x:v>
      </x:c>
      <x:c r="Z26" s="56" t="n">
        <x:v>18.769514</x:v>
      </x:c>
      <x:c r="AA26" s="56" t="n">
        <x:v>98.997625</x:v>
      </x:c>
      <x:c r="AB26" s="57" t="str"/>
      <x:c r="AC26" s="20" t="str">
        <x:v>https://makanhalalguide.com/shop/detail/5377</x:v>
      </x:c>
    </x:row>
    <x:row r="27" ht="88" customHeight="1">
      <x:c r="A27" s="54" t="n">
        <x:v>19</x:v>
      </x:c>
      <x:c r="B27" s="20" t="str">
        <x:v>U Chiang Mai</x:v>
      </x:c>
      <x:c r="C27" s="20" t="str">
        <x:v>เชียงใหม่</x:v>
      </x:c>
      <x:c r="D27" s="20" t="str">
        <x:v>ที่พัก</x:v>
      </x:c>
      <x:c r="E27" s="20" t="str">
        <x:v>พบข้อมูลชื่อตรงจาก **** ยู เชียงใหม่, เชียงใหม่ ****; เป็นหลักฐานตัวตน/ประเภท ยังไม่ยืนยันบริการมุสลิมครบเกณฑ์</x:v>
      </x:c>
      <x:c r="F27" s="20" t="str">
        <x:v>ไม่ทราบ</x:v>
      </x:c>
      <x:c r="G27" s="20" t="str">
        <x:v>ยังไม่ยืนยันใบรับรองและวันหมดอายุ</x:v>
      </x:c>
      <x:c r="H27" s="20" t="str">
        <x:v>ตรวจการเปิด ตัวตนสาขา ช่องทางติดต่อ และเงื่อนไขบังคับตามประเภท</x:v>
      </x:c>
      <x:c r="I27" s="20" t="str">
        <x:v>ยังไม่ยืนยันที่อยู่ละเอียด ดูลิงก์แหล่งข้อมูลและ Google Maps</x:v>
      </x:c>
      <x:c r="J27" s="21" t="str">
        <x:v>ยังไม่พบหรือยังไม่ยืนยัน</x:v>
      </x:c>
      <x:c r="K27" s="51" t="str">
        <x:v>https://u.chiangmaithotel.com/th/</x:v>
      </x:c>
      <x:c r="L27" s="51" t="str">
        <x:v>https://www.whanjai.com/u-chiang-mai/</x:v>
      </x:c>
      <x:c r="M27" s="20" t="str">
        <x:v>พบแหล่งต่างเว็บไซต์ ยู เชียงใหม่ / U Chiang Mai - WHANJAI : WHANJAI</x:v>
      </x:c>
      <x:c r="N27" s="28" t="n">
        <x:v>46316</x:v>
      </x:c>
      <x:c r="O27" s="57" t="str">
        <x:v>ยังไม่ตรวจ</x:v>
      </x:c>
      <x:c r="P27" s="57" t="str">
        <x:v>ยังไม่ติดต่อ</x:v>
      </x:c>
      <x:c r="Q27" s="20" t="str">
        <x:v>R26-364</x:v>
      </x:c>
      <x:c r="R27" s="20" t="str">
        <x:v>U Chiang Mai</x:v>
      </x:c>
      <x:c r="S27" s="20" t="str"/>
      <x:c r="T27" s="20" t="str">
        <x:v>https://u.chiangmaithotel.com/th/</x:v>
      </x:c>
      <x:c r="U27" s="20" t="str"/>
      <x:c r="V27" s="20" t="str"/>
      <x:c r="W27" s="20" t="str"/>
      <x:c r="X27" s="20" t="str"/>
      <x:c r="Y27" s="20" t="str">
        <x:v>https://www.google.com/maps/search/?api=1&amp;query=U%20Chiang%20Mai%20%E0%B9%80%E0%B8%8A%E0%B8%B5%E0%B8%A2%E0%B8%87%E0%B9%83%E0%B8%AB%E0%B8%A1%E0%B9%88</x:v>
      </x:c>
      <x:c r="Z27" s="56" t="n">
        <x:v>18.7884704</x:v>
      </x:c>
      <x:c r="AA27" s="56" t="n">
        <x:v>98.9869866</x:v>
      </x:c>
      <x:c r="AB27" s="57" t="str"/>
      <x:c r="AC27" s="20" t="str">
        <x:v>https://u.chiangmaithotel.com/th/</x:v>
      </x:c>
    </x:row>
    <x:row r="28" ht="88" customHeight="1">
      <x:c r="A28" s="54" t="n">
        <x:v>20</x:v>
      </x:c>
      <x:c r="B28" s="20" t="str">
        <x:v>มิรา เรสซิเดนซ์ &amp; รีสอร์ท</x:v>
      </x:c>
      <x:c r="C28" s="20" t="str">
        <x:v>เชียงใหม่</x:v>
      </x:c>
      <x:c r="D28" s="20" t="str">
        <x:v>โรงแรมหรือรีสอร์ท</x:v>
      </x:c>
      <x:c r="E28" s="20" t="str">
        <x:v>Makan Verify; ระบุมีห้องละหมาด</x:v>
      </x:c>
      <x:c r="F28" s="20" t="str">
        <x:v>มีข้อมูลระบุ แต่รอยืนยัน</x:v>
      </x:c>
      <x:c r="G28" s="20" t="str">
        <x:v>ยังไม่พบเอกสารรับรองและวันหมดอายุ</x:v>
      </x:c>
      <x:c r="H2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8" s="20" t="str">
        <x:v>74/5 ถนนบ้านแพะ ท่าศาลา เมือง เชียงใหม่ 50000</x:v>
      </x:c>
      <x:c r="J28" s="21" t="str">
        <x:v>0631148430</x:v>
      </x:c>
      <x:c r="K28" s="51" t="str">
        <x:v>https://makanhalalguide.com/shop/detail/5374</x:v>
      </x:c>
      <x:c r="L28" s="51" t="str">
        <x:v>https://www.wongnai.com/hotels/338511cq-mira-residence-resort</x:v>
      </x:c>
      <x:c r="M28" s="20" t="str">
        <x:v>ผลค้นหาชื่อสัมพันธ์จากแหล่งเพิ่มเติม ต้องยืนยันสาขาและข้อมูลปัจจุบัน</x:v>
      </x:c>
      <x:c r="N28" s="28" t="n">
        <x:v>46315</x:v>
      </x:c>
      <x:c r="O28" s="57" t="str">
        <x:v>ยังไม่ตรวจ</x:v>
      </x:c>
      <x:c r="P28" s="57" t="str">
        <x:v>ยังไม่ติดต่อ</x:v>
      </x:c>
      <x:c r="Q28" s="20" t="str">
        <x:v>TMF-233</x:v>
      </x:c>
      <x:c r="R28" s="20" t="str"/>
      <x:c r="S28" s="20" t="str"/>
      <x:c r="T28" s="20" t="str">
        <x:v>https://makanhalalguide.com/shop/detail/5374</x:v>
      </x:c>
      <x:c r="U28" s="20" t="str"/>
      <x:c r="V28" s="20" t="str"/>
      <x:c r="W28" s="20" t="str"/>
      <x:c r="X28" s="20" t="str"/>
      <x:c r="Y28" s="20" t="str">
        <x:v>https://www.google.com/maps/search/?api=1&amp;query=%E0%B8%A1%E0%B8%B4%E0%B8%A3%E0%B8%B2%20%E0%B9%80%E0%B8%A3%E0%B8%AA%E0%B8%8B%E0%B8%B4%E0%B9%80%E0%B8%94%E0%B8%99%E0%B8%8B%E0%B9%8C%20%26%20%E0%B8%A3%E0%B8%B5%E0%B8%AA%E0%B8%AD%E0%B8%A3%E0%B9%8C%E0%B8%97%20%E0%B9%80%E0%B8%8A%E0%B8%B5%E0%B8%A2%E0%B8%87%E0%B9%83%E0%B8%AB%E0%B8%A1%E0%B9%88</x:v>
      </x:c>
      <x:c r="Z28" s="56" t="n">
        <x:v>18.777982</x:v>
      </x:c>
      <x:c r="AA28" s="56" t="n">
        <x:v>99.022265</x:v>
      </x:c>
      <x:c r="AB28" s="57" t="str"/>
      <x:c r="AC28" s="20" t="str">
        <x:v>https://makanhalalguide.com/shop/detail/5374</x:v>
      </x:c>
    </x:row>
    <x:row r="29" ht="88" customHeight="1">
      <x:c r="A29" s="54" t="n">
        <x:v>21</x:v>
      </x:c>
      <x:c r="B29" s="20" t="str">
        <x:v>โรงแรม คาซ่า มารอค เชียงใหม่ Casa Marocc Chiangmai</x:v>
      </x:c>
      <x:c r="C29" s="20" t="str">
        <x:v>เชียงใหม่</x:v>
      </x:c>
      <x:c r="D29" s="20" t="str">
        <x:v>โรงแรมหรือรีสอร์ท</x:v>
      </x:c>
      <x:c r="E29" s="20" t="str">
        <x:v>Makan Verify; ระบุมีห้องละหมาด</x:v>
      </x:c>
      <x:c r="F29" s="20" t="str">
        <x:v>มีข้อมูลระบุ แต่รอยืนยัน</x:v>
      </x:c>
      <x:c r="G29" s="20" t="str">
        <x:v>ยังไม่พบเอกสารรับรองและวันหมดอายุ</x:v>
      </x:c>
      <x:c r="H2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9" s="20" t="str">
        <x:v>324 ถนน เจริญประเทศ ตำบลช้างคลาน อำเภอเมืองเชียงใหม่ เชียงใหม่ 50100</x:v>
      </x:c>
      <x:c r="J29" s="21" t="str">
        <x:v>0610023030</x:v>
      </x:c>
      <x:c r="K29" s="51" t="str">
        <x:v>https://makanhalalguide.com/shop/detail/5376</x:v>
      </x:c>
      <x:c r="L29" s="51" t="str">
        <x:v>https://www.thaithurkic.com/u-e-u-e-u-e-u-e-u-e-u-e-u-e-u-e-u-e-b-u_56g-053-272-709</x:v>
      </x:c>
      <x:c r="M29" s="20" t="str">
        <x:v>ผลค้นหาชื่อสัมพันธ์จากแหล่งเพิ่มเติม ต้องยืนยันสาขาและข้อมูลปัจจุบัน</x:v>
      </x:c>
      <x:c r="N29" s="28" t="n">
        <x:v>46315</x:v>
      </x:c>
      <x:c r="O29" s="57" t="str">
        <x:v>ยังไม่ตรวจ</x:v>
      </x:c>
      <x:c r="P29" s="57" t="str">
        <x:v>ยังไม่ติดต่อ</x:v>
      </x:c>
      <x:c r="Q29" s="20" t="str">
        <x:v>TMF-234</x:v>
      </x:c>
      <x:c r="R29" s="20" t="str"/>
      <x:c r="S29" s="20" t="str"/>
      <x:c r="T29" s="20" t="str">
        <x:v>https://makanhalalguide.com/shop/detail/5376</x:v>
      </x:c>
      <x:c r="U29" s="20" t="str"/>
      <x:c r="V29" s="20" t="str"/>
      <x:c r="W29" s="20" t="str"/>
      <x:c r="X29" s="20" t="str"/>
      <x:c r="Y29" s="20" t="str">
        <x:v>https://www.google.com/maps/search/?api=1&amp;query=%E0%B9%82%E0%B8%A3%E0%B8%87%E0%B9%81%E0%B8%A3%E0%B8%A1%20%E0%B8%84%E0%B8%B2%E0%B8%8B%E0%B9%88%E0%B8%B2%20%E0%B8%A1%E0%B8%B2%E0%B8%A3%E0%B8%AD%E0%B8%84%20%E0%B9%80%E0%B8%8A%E0%B8%B5%E0%B8%A2%E0%B8%87%E0%B9%83%E0%B8%AB%E0%B8%A1%E0%B9%88%20Casa%20Marocc%20Chiangmai%20%E0%B9%80%E0%B8%8A%E0%B8%B5%E0%B8%A2%E0%B8%87%E0%B9%83%E0%B8%AB%E0%B8%A1%E0%B9%88</x:v>
      </x:c>
      <x:c r="Z29" s="56" t="n">
        <x:v>18.770267</x:v>
      </x:c>
      <x:c r="AA29" s="56" t="n">
        <x:v>98.999734</x:v>
      </x:c>
      <x:c r="AB29" s="57" t="str"/>
      <x:c r="AC29" s="20" t="str">
        <x:v>https://makanhalalguide.com/shop/detail/5376</x:v>
      </x:c>
    </x:row>
    <x:row r="30" ht="88" customHeight="1">
      <x:c r="A30" s="54" t="n">
        <x:v>22</x:v>
      </x:c>
      <x:c r="B30" s="20" t="str">
        <x:v>Ancient beef Thai Cuisine – ข้าวขาวัว</x:v>
      </x:c>
      <x:c r="C30" s="20" t="str">
        <x:v>เชียงใหม่</x:v>
      </x:c>
      <x:c r="D30" s="20" t="str">
        <x:v>ร้านอาหาร</x:v>
      </x:c>
      <x:c r="E30" s="20" t="str">
        <x:v>มีรายชื่อใน Makan Halal Guide; ช่องห้องละหมาดไม่ได้ทำเครื่องหมายว่ามี</x:v>
      </x:c>
      <x:c r="F30" s="20" t="str">
        <x:v>แหล่งเดิมไม่ระบุว่ามี</x:v>
      </x:c>
      <x:c r="G30" s="20" t="str">
        <x:v>ยังไม่พบเอกสารรับรองและวันหมดอายุ</x:v>
      </x:c>
      <x:c r="H30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30" s="20" t="str">
        <x:v>95ถนนเจริญประเทศ ใกล้มัสยิดบ้านฮ่อ ตำบลช้างคลานอำเภอเมืองเชียงใหม่ จังหวัดเชียงใหม่ 50100</x:v>
      </x:c>
      <x:c r="J30" s="21" t="str">
        <x:v>0946467334</x:v>
      </x:c>
      <x:c r="K30" s="51" t="str">
        <x:v>https://makanhalalguide.com/shop/detail/5113</x:v>
      </x:c>
      <x:c r="L30" s="51" t="str">
        <x:v>https://hk.trip.com/restaurant/thailand/chiang-mai/detail/ancient-beef-thai-cuisine-145029096/</x:v>
      </x:c>
      <x:c r="M30" s="20" t="str">
        <x:v>ผลค้นหาชื่อสัมพันธ์จากแหล่งเพิ่มเติม ต้องยืนยันสาขาและข้อมูลปัจจุบัน</x:v>
      </x:c>
      <x:c r="N30" s="28" t="n">
        <x:v>46315</x:v>
      </x:c>
      <x:c r="O30" s="57" t="str">
        <x:v>ยังไม่ตรวจ</x:v>
      </x:c>
      <x:c r="P30" s="57" t="str">
        <x:v>ยังไม่ติดต่อ</x:v>
      </x:c>
      <x:c r="Q30" s="20" t="str">
        <x:v>TMF-591</x:v>
      </x:c>
      <x:c r="R30" s="20" t="str"/>
      <x:c r="S30" s="20" t="str"/>
      <x:c r="T30" s="20" t="str">
        <x:v>https://makanhalalguide.com/shop/detail/5113</x:v>
      </x:c>
      <x:c r="U30" s="20" t="str"/>
      <x:c r="V30" s="20" t="str"/>
      <x:c r="W30" s="20" t="str"/>
      <x:c r="X30" s="20" t="str"/>
      <x:c r="Y30" s="20" t="str">
        <x:v>https://www.google.com/maps/search/?api=1&amp;query=Ancient%20beef%20Thai%20Cuisine%20%E2%80%93%20%E0%B8%82%E0%B9%89%E0%B8%B2%E0%B8%A7%E0%B8%82%E0%B8%B2%E0%B8%A7%E0%B8%B1%E0%B8%A7%20%E0%B9%80%E0%B8%8A%E0%B8%B5%E0%B8%A2%E0%B8%87%E0%B9%83%E0%B8%AB%E0%B8%A1%E0%B9%88</x:v>
      </x:c>
      <x:c r="Z30" s="56" t="n">
        <x:v>18.782871</x:v>
      </x:c>
      <x:c r="AA30" s="56" t="n">
        <x:v>99.003149</x:v>
      </x:c>
      <x:c r="AB30" s="57" t="str"/>
      <x:c r="AC30" s="20" t="str">
        <x:v>https://makanhalalguide.com/shop/detail/5113</x:v>
      </x:c>
    </x:row>
    <x:row r="31" ht="88" customHeight="1">
      <x:c r="A31" s="54" t="n">
        <x:v>23</x:v>
      </x:c>
      <x:c r="B31" s="20" t="str">
        <x:v>Everything Halal CNX</x:v>
      </x:c>
      <x:c r="C31" s="20" t="str">
        <x:v>เชียงใหม่</x:v>
      </x:c>
      <x:c r="D31" s="20" t="str">
        <x:v>ร้านอาหาร</x:v>
      </x:c>
      <x:c r="E31" s="20" t="str">
        <x:v>มีรายชื่อใน Makan Halal Guide; ระบุมีห้องละหมาด</x:v>
      </x:c>
      <x:c r="F31" s="20" t="str">
        <x:v>มีข้อมูลระบุ แต่รอยืนยัน</x:v>
      </x:c>
      <x:c r="G31" s="20" t="str">
        <x:v>ยังไม่พบเอกสารรับรองและวันหมดอายุ</x:v>
      </x:c>
      <x:c r="H3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1" s="20" t="str">
        <x:v>73/5 ถนน เจริญประเทศ ตำบล ช้างม่อย อำเภอเมืองเชียงใหม่ เชียงใหม่ 50100</x:v>
      </x:c>
      <x:c r="J31" s="21" t="str">
        <x:v>0654648876</x:v>
      </x:c>
      <x:c r="K31" s="51" t="str">
        <x:v>https://makanhalalguide.com/shop/detail/5601</x:v>
      </x:c>
      <x:c r="L31" s="51" t="str">
        <x:v>https://www.tripadvisor.com/Restaurant_Review-g293917-d33013107-Reviews-Everything_Halal_Cnx-Chiang_Mai.html</x:v>
      </x:c>
      <x:c r="M31" s="20" t="str">
        <x:v>ผลค้นหาชื่อสัมพันธ์จากแหล่งเพิ่มเติม ต้องยืนยันสาขาและข้อมูลปัจจุบัน</x:v>
      </x:c>
      <x:c r="N31" s="28" t="n">
        <x:v>46315</x:v>
      </x:c>
      <x:c r="O31" s="57" t="str">
        <x:v>ยังไม่ตรวจ</x:v>
      </x:c>
      <x:c r="P31" s="57" t="str">
        <x:v>ยังไม่ติดต่อ</x:v>
      </x:c>
      <x:c r="Q31" s="20" t="str">
        <x:v>TMF-236</x:v>
      </x:c>
      <x:c r="R31" s="20" t="str">
        <x:v>Everything Halal CNX</x:v>
      </x:c>
      <x:c r="S31" s="20" t="str"/>
      <x:c r="T31" s="20" t="str">
        <x:v>https://makanhalalguide.com/shop/detail/5601</x:v>
      </x:c>
      <x:c r="U31" s="20" t="str"/>
      <x:c r="V31" s="20" t="str"/>
      <x:c r="W31" s="20" t="str"/>
      <x:c r="X31" s="20" t="str"/>
      <x:c r="Y31" s="20" t="str">
        <x:v>https://www.google.com/maps/search/?api=1&amp;query=Everything%20Halal%20CNX%20%E0%B9%80%E0%B8%8A%E0%B8%B5%E0%B8%A2%E0%B8%87%E0%B9%83%E0%B8%AB%E0%B8%A1%E0%B9%88</x:v>
      </x:c>
      <x:c r="Z31" s="56" t="n">
        <x:v>18.784225</x:v>
      </x:c>
      <x:c r="AA31" s="56" t="n">
        <x:v>99.003213</x:v>
      </x:c>
      <x:c r="AB31" s="57" t="str"/>
      <x:c r="AC31" s="20" t="str">
        <x:v>https://makanhalalguide.com/shop/detail/5601</x:v>
      </x:c>
    </x:row>
    <x:row r="32" ht="88" customHeight="1">
      <x:c r="A32" s="54" t="n">
        <x:v>24</x:v>
      </x:c>
      <x:c r="B32" s="20" t="str">
        <x:v>Mme caffee</x:v>
      </x:c>
      <x:c r="C32" s="20" t="str">
        <x:v>เชียงใหม่</x:v>
      </x:c>
      <x:c r="D32" s="20" t="str">
        <x:v>ร้านอาหาร</x:v>
      </x:c>
      <x:c r="E32" s="20" t="str">
        <x:v>มีรายชื่อใน Makan Halal Guide; ช่องห้องละหมาดไม่ได้ทำเครื่องหมายว่ามี</x:v>
      </x:c>
      <x:c r="F32" s="20" t="str">
        <x:v>แหล่งเดิมไม่ระบุว่ามี</x:v>
      </x:c>
      <x:c r="G32" s="20" t="str">
        <x:v>ยังไม่พบเอกสารรับรองและวันหมดอายุ</x:v>
      </x:c>
      <x:c r="H32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32" s="20" t="str">
        <x:v>541 ถนนเชียงใหม่-ลำพูนตำบลวัดเกต อำเภอเมือง จังหวัดเชียงใหม่ 50000</x:v>
      </x:c>
      <x:c r="J32" s="21" t="str">
        <x:v>0817710603</x:v>
      </x:c>
      <x:c r="K32" s="51" t="str">
        <x:v>https://makanhalalguide.com/shop/detail/5109</x:v>
      </x:c>
      <x:c r="L32" s="51" t="str">
        <x:v>https://www.thaithurkic.com/mme-coffee-081-771-0603</x:v>
      </x:c>
      <x:c r="M32" s="20" t="str">
        <x:v>ผลค้นหาชื่อสัมพันธ์จากแหล่งเพิ่มเติม ต้องยืนยันสาขาและข้อมูลปัจจุบัน</x:v>
      </x:c>
      <x:c r="N32" s="28" t="n">
        <x:v>46315</x:v>
      </x:c>
      <x:c r="O32" s="57" t="str">
        <x:v>ยังไม่ตรวจ</x:v>
      </x:c>
      <x:c r="P32" s="57" t="str">
        <x:v>ยังไม่ติดต่อ</x:v>
      </x:c>
      <x:c r="Q32" s="20" t="str">
        <x:v>TMF-593</x:v>
      </x:c>
      <x:c r="R32" s="20" t="str">
        <x:v>Mme caffee</x:v>
      </x:c>
      <x:c r="S32" s="20" t="str"/>
      <x:c r="T32" s="20" t="str">
        <x:v>https://makanhalalguide.com/shop/detail/5109</x:v>
      </x:c>
      <x:c r="U32" s="20" t="str"/>
      <x:c r="V32" s="20" t="str"/>
      <x:c r="W32" s="20" t="str"/>
      <x:c r="X32" s="20" t="str"/>
      <x:c r="Y32" s="20" t="str">
        <x:v>https://www.google.com/maps/search/?api=1&amp;query=Mme%20caffee%20%E0%B9%80%E0%B8%8A%E0%B8%B5%E0%B8%A2%E0%B8%87%E0%B9%83%E0%B8%AB%E0%B8%A1%E0%B9%88</x:v>
      </x:c>
      <x:c r="Z32" s="56" t="n">
        <x:v>18.760806</x:v>
      </x:c>
      <x:c r="AA32" s="56" t="n">
        <x:v>99.006469</x:v>
      </x:c>
      <x:c r="AB32" s="57" t="str"/>
      <x:c r="AC32" s="20" t="str">
        <x:v>https://makanhalalguide.com/shop/detail/5109</x:v>
      </x:c>
    </x:row>
    <x:row r="33" ht="88" customHeight="1">
      <x:c r="A33" s="54" t="n">
        <x:v>25</x:v>
      </x:c>
      <x:c r="B33" s="20" t="str">
        <x:v>ก๋วยเตี๋ยวเนื้อตุ๋น ครัวมัยซาเราะห์ ครัวบังมัต</x:v>
      </x:c>
      <x:c r="C33" s="20" t="str">
        <x:v>เชียงใหม่</x:v>
      </x:c>
      <x:c r="D33" s="20" t="str">
        <x:v>ร้านอาหาร</x:v>
      </x:c>
      <x:c r="E33" s="20" t="str">
        <x:v>มีรายชื่อใน Makan Halal Guide; ระบุมีห้องละหมาด</x:v>
      </x:c>
      <x:c r="F33" s="20" t="str">
        <x:v>มีข้อมูลระบุ แต่รอยืนยัน</x:v>
      </x:c>
      <x:c r="G33" s="20" t="str">
        <x:v>ยังไม่พบเอกสารรับรองและวันหมดอายุ</x:v>
      </x:c>
      <x:c r="H3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3" s="20" t="str">
        <x:v>67/2 ม.14 ต.สุเทพ อ.เมือง เชียงใหม่ 50200 (ร้านอยู่หลัง มช  ซอยวัดอุโมงค์)</x:v>
      </x:c>
      <x:c r="J33" s="21" t="str">
        <x:v>0839144655</x:v>
      </x:c>
      <x:c r="K33" s="51" t="str">
        <x:v>https://makanhalalguide.com/shop/detail/5315</x:v>
      </x:c>
      <x:c r="L33" s="51" t="str">
        <x:v>https://www.waze.com/live-map/directions/th/%E0%B8%88.%E0%B9%80%E0%B8%8A%E0%B8%B5%E0%B8%A2%E0%B8%87%E0%B9%83%E0%B8%AB%E0%B8%A1%E0%B9%88/stewed-beef-krua-bungmaad-halalfood?to=place.ChIJP_VT4fA72jAR6k8PTTXv3Q0</x:v>
      </x:c>
      <x:c r="M33" s="20" t="str">
        <x:v>ผลค้นหาชื่อสัมพันธ์จากแหล่งเพิ่มเติม ต้องยืนยันสาขาและข้อมูลปัจจุบัน</x:v>
      </x:c>
      <x:c r="N33" s="28" t="n">
        <x:v>46315</x:v>
      </x:c>
      <x:c r="O33" s="57" t="str">
        <x:v>ยังไม่ตรวจ</x:v>
      </x:c>
      <x:c r="P33" s="57" t="str">
        <x:v>ยังไม่ติดต่อ</x:v>
      </x:c>
      <x:c r="Q33" s="20" t="str">
        <x:v>TMF-237</x:v>
      </x:c>
      <x:c r="R33" s="20" t="str"/>
      <x:c r="S33" s="20" t="str"/>
      <x:c r="T33" s="20" t="str">
        <x:v>https://makanhalalguide.com/shop/detail/5315</x:v>
      </x:c>
      <x:c r="U33" s="20" t="str"/>
      <x:c r="V33" s="20" t="str"/>
      <x:c r="W33" s="20" t="str"/>
      <x:c r="X33" s="20" t="str"/>
      <x:c r="Y33" s="20" t="str">
        <x:v>https://www.google.com/maps/search/?api=1&amp;query=%E0%B8%81%E0%B9%8B%E0%B8%A7%E0%B8%A2%E0%B9%80%E0%B8%95%E0%B8%B5%E0%B9%8B%E0%B8%A2%E0%B8%A7%E0%B9%80%E0%B8%99%E0%B8%B7%E0%B9%89%E0%B8%AD%E0%B8%95%E0%B8%B8%E0%B9%8B%E0%B8%99%20%E0%B8%84%E0%B8%A3%E0%B8%B1%E0%B8%A7%E0%B8%A1%E0%B8%B1%E0%B8%A2%E0%B8%8B%E0%B8%B2%E0%B9%80%E0%B8%A3%E0%B8%B2%E0%B8%B0%E0%B8%AB%E0%B9%8C%20%E0%B8%84%E0%B8%A3%E0%B8%B1%E0%B8%A7%E0%B8%9A%E0%B8%B1%E0%B8%87%E0%B8%A1%E0%B8%B1%E0%B8%95%20%E0%B9%80%E0%B8%8A%E0%B8%B5%E0%B8%A2%E0%B8%87%E0%B9%83%E0%B8%AB%E0%B8%A1%E0%B9%88</x:v>
      </x:c>
      <x:c r="Z33" s="56" t="n">
        <x:v>18.786944</x:v>
      </x:c>
      <x:c r="AA33" s="56" t="n">
        <x:v>98.952528</x:v>
      </x:c>
      <x:c r="AB33" s="57" t="str"/>
      <x:c r="AC33" s="20" t="str">
        <x:v>https://makanhalalguide.com/shop/detail/5315</x:v>
      </x:c>
    </x:row>
    <x:row r="34" ht="88" customHeight="1">
      <x:c r="A34" s="54" t="n">
        <x:v>26</x:v>
      </x:c>
      <x:c r="B34" s="20" t="str">
        <x:v>หรอยลำนัว</x:v>
      </x:c>
      <x:c r="C34" s="20" t="str">
        <x:v>เชียงใหม่</x:v>
      </x:c>
      <x:c r="D34" s="20" t="str">
        <x:v>ร้านอาหาร</x:v>
      </x:c>
      <x:c r="E34" s="20" t="str">
        <x:v>มีรายชื่อใน Makan Halal Guide; ระบุมีห้องละหมาด</x:v>
      </x:c>
      <x:c r="F34" s="20" t="str">
        <x:v>มีข้อมูลระบุ แต่รอยืนยัน</x:v>
      </x:c>
      <x:c r="G34" s="20" t="str">
        <x:v>ยังไม่พบเอกสารรับรองและวันหมดอายุ</x:v>
      </x:c>
      <x:c r="H3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4" s="20" t="str">
        <x:v>ซอยแม่ย่อยใต้ หมู่ 2 น้อย, ตำบล สันทรายน้อย อำเภอสันทราย เชียงใหม่ 50210</x:v>
      </x:c>
      <x:c r="J34" s="21" t="str">
        <x:v>0821231522</x:v>
      </x:c>
      <x:c r="K34" s="51" t="str">
        <x:v>https://makanhalalguide.com/shop/detail/6351</x:v>
      </x:c>
      <x:c r="L34" s="51" t="str">
        <x:v>https://www.wongnai.com/restaurants/3756411jJ-%E0%B8%AB%E0%B8%A3%E0%B8%AD%E0%B8%A2-%E0%B8%A5%E0%B8%B3-%E0%B8%99%E0%B8%B1%E0%B8%A7-meta-mall/menu?menuGroupId=items</x:v>
      </x:c>
      <x:c r="M34" s="20" t="str">
        <x:v>ผลค้นหาชื่อสัมพันธ์จากแหล่งเพิ่มเติม ต้องยืนยันสาขาและข้อมูลปัจจุบัน</x:v>
      </x:c>
      <x:c r="N34" s="28" t="n">
        <x:v>46315</x:v>
      </x:c>
      <x:c r="O34" s="57" t="str">
        <x:v>ยังไม่ตรวจ</x:v>
      </x:c>
      <x:c r="P34" s="57" t="str">
        <x:v>ยังไม่ติดต่อ</x:v>
      </x:c>
      <x:c r="Q34" s="20" t="str">
        <x:v>TMF-238</x:v>
      </x:c>
      <x:c r="R34" s="20" t="str"/>
      <x:c r="S34" s="20" t="str"/>
      <x:c r="T34" s="20" t="str">
        <x:v>https://makanhalalguide.com/shop/detail/6351</x:v>
      </x:c>
      <x:c r="U34" s="20" t="str"/>
      <x:c r="V34" s="20" t="str"/>
      <x:c r="W34" s="20" t="str"/>
      <x:c r="X34" s="20" t="str"/>
      <x:c r="Y34" s="20" t="str">
        <x:v>https://www.google.com/maps/search/?api=1&amp;query=%E0%B8%AB%E0%B8%A3%E0%B8%AD%E0%B8%A2%E0%B8%A5%E0%B8%B3%E0%B8%99%E0%B8%B1%E0%B8%A7%20%E0%B9%80%E0%B8%8A%E0%B8%B5%E0%B8%A2%E0%B8%87%E0%B9%83%E0%B8%AB%E0%B8%A1%E0%B9%88</x:v>
      </x:c>
      <x:c r="Z34" s="56" t="n">
        <x:v>18.822634</x:v>
      </x:c>
      <x:c r="AA34" s="56" t="n">
        <x:v>99.041949</x:v>
      </x:c>
      <x:c r="AB34" s="57" t="str"/>
      <x:c r="AC34" s="20" t="str">
        <x:v>https://makanhalalguide.com/shop/detail/6351</x:v>
      </x:c>
    </x:row>
    <x:row r="35" ht="88" customHeight="1">
      <x:c r="A35" s="54" t="n">
        <x:v>27</x:v>
      </x:c>
      <x:c r="B35" s="20" t="str">
        <x:v>เดอะกี โรตี The gee roti</x:v>
      </x:c>
      <x:c r="C35" s="20" t="str">
        <x:v>เชียงใหม่</x:v>
      </x:c>
      <x:c r="D35" s="20" t="str">
        <x:v>คาเฟ่และร้านของหวาน</x:v>
      </x:c>
      <x:c r="E35" s="20" t="str">
        <x:v>Makan Verify; ช่องห้องละหมาดไม่ได้ทำเครื่องหมายว่ามี</x:v>
      </x:c>
      <x:c r="F35" s="20" t="str">
        <x:v>แหล่งเดิมไม่ระบุว่ามี</x:v>
      </x:c>
      <x:c r="G35" s="20" t="str">
        <x:v>ยังไม่พบเอกสารรับรองและวันหมดอายุ</x:v>
      </x:c>
      <x:c r="H35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35" s="20" t="str">
        <x:v>ลานจอดรถ ถ้ำเชียงดาว ตำบล เชียงดาว อำเภอเชียงดาว จังหวัดเชียงใหม่  50170</x:v>
      </x:c>
      <x:c r="J35" s="21" t="str">
        <x:v>0806723831</x:v>
      </x:c>
      <x:c r="K35" s="51" t="str">
        <x:v>https://makanhalalguide.com/shop/detail/5900</x:v>
      </x:c>
      <x:c r="L35" s="51" t="str">
        <x:v>https://restaurantguru.com/%E0%B8%A3%E0%B9%89%E0%B8%B2%E0%B8%99%E0%B9%80%E0%B8%94%E0%B8%AD%E0%B8%B0%E0%B8%81%E0%B8%B5-%E0%B9%82%E0%B8%A3%E0%B8%95%E0%B8%B5-%E0%B8%8A%E0%B8%B2%E0%B8%8A%E0%B8%B1%E0%B8%81-Chiang-Dao</x:v>
      </x:c>
      <x:c r="M35" s="20" t="str">
        <x:v>ผลค้นหาชื่อสัมพันธ์จากแหล่งเพิ่มเติม ต้องยืนยันสาขาและข้อมูลปัจจุบัน</x:v>
      </x:c>
      <x:c r="N35" s="28" t="n">
        <x:v>46315</x:v>
      </x:c>
      <x:c r="O35" s="57" t="str">
        <x:v>ยังไม่ตรวจ</x:v>
      </x:c>
      <x:c r="P35" s="57" t="str">
        <x:v>ยังไม่ติดต่อ</x:v>
      </x:c>
      <x:c r="Q35" s="20" t="str">
        <x:v>TMF-406</x:v>
      </x:c>
      <x:c r="R35" s="20" t="str"/>
      <x:c r="S35" s="20" t="str"/>
      <x:c r="T35" s="20" t="str">
        <x:v>https://makanhalalguide.com/shop/detail/5900</x:v>
      </x:c>
      <x:c r="U35" s="20" t="str"/>
      <x:c r="V35" s="20" t="str"/>
      <x:c r="W35" s="20" t="str"/>
      <x:c r="X35" s="20" t="str"/>
      <x:c r="Y35" s="20" t="str">
        <x:v>https://www.google.com/maps/search/?api=1&amp;query=%E0%B9%80%E0%B8%94%E0%B8%AD%E0%B8%B0%E0%B8%81%E0%B8%B5%20%E0%B9%82%E0%B8%A3%E0%B8%95%E0%B8%B5%20The%20gee%20roti%20%E0%B9%80%E0%B8%8A%E0%B8%B5%E0%B8%A2%E0%B8%87%E0%B9%83%E0%B8%AB%E0%B8%A1%E0%B9%88</x:v>
      </x:c>
      <x:c r="Z35" s="56" t="n">
        <x:v>19.394192</x:v>
      </x:c>
      <x:c r="AA35" s="56" t="n">
        <x:v>98.929358</x:v>
      </x:c>
      <x:c r="AB35" s="57" t="str"/>
      <x:c r="AC35" s="20" t="str">
        <x:v>https://makanhalalguide.com/shop/detail/5900</x:v>
      </x:c>
    </x:row>
    <x:row r="36" ht="88" customHeight="1">
      <x:c r="A36" s="54" t="n">
        <x:v>28</x:v>
      </x:c>
      <x:c r="B36" s="20" t="str">
        <x:v>เลอบิส</x:v>
      </x:c>
      <x:c r="C36" s="20" t="str">
        <x:v>เชียงใหม่</x:v>
      </x:c>
      <x:c r="D36" s="20" t="str">
        <x:v>ร้านอาหาร</x:v>
      </x:c>
      <x:c r="E36" s="20" t="str">
        <x:v>Makan Verify; ระบุมีห้องละหมาด</x:v>
      </x:c>
      <x:c r="F36" s="20" t="str">
        <x:v>มีข้อมูลระบุ แต่รอยืนยัน</x:v>
      </x:c>
      <x:c r="G36" s="20" t="str">
        <x:v>ยังไม่พบเอกสารรับรองและวันหมดอายุ</x:v>
      </x:c>
      <x:c r="H3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6" s="20" t="str">
        <x:v>166 26 ซอย ประชาสัมพันธ์ 2 ตำบลช้างคลาน อำเภอเมืองเชียงใหม่ เชียงใหม่ 50100</x:v>
      </x:c>
      <x:c r="J36" s="21" t="str">
        <x:v>0927757895</x:v>
      </x:c>
      <x:c r="K36" s="51" t="str">
        <x:v>https://makanhalalguide.com/shop/detail/5185</x:v>
      </x:c>
      <x:c r="L36" s="51" t="str">
        <x:v>https://www.thaimiceconnect.com/business/detail/20239</x:v>
      </x:c>
      <x:c r="M36" s="20" t="str">
        <x:v>ผลค้นหาชื่อสัมพันธ์จากแหล่งเพิ่มเติม ต้องยืนยันสาขาและข้อมูลปัจจุบัน</x:v>
      </x:c>
      <x:c r="N36" s="28" t="n">
        <x:v>46315</x:v>
      </x:c>
      <x:c r="O36" s="57" t="str">
        <x:v>ยังไม่ตรวจ</x:v>
      </x:c>
      <x:c r="P36" s="57" t="str">
        <x:v>ยังไม่ติดต่อ</x:v>
      </x:c>
      <x:c r="Q36" s="20" t="str">
        <x:v>TMF-239</x:v>
      </x:c>
      <x:c r="R36" s="20" t="str"/>
      <x:c r="S36" s="20" t="str"/>
      <x:c r="T36" s="20" t="str">
        <x:v>https://makanhalalguide.com/shop/detail/5185</x:v>
      </x:c>
      <x:c r="U36" s="20" t="str"/>
      <x:c r="V36" s="20" t="str"/>
      <x:c r="W36" s="20" t="str"/>
      <x:c r="X36" s="20" t="str"/>
      <x:c r="Y36" s="20" t="str">
        <x:v>https://www.google.com/maps/search/?api=1&amp;query=%E0%B9%80%E0%B8%A5%E0%B8%AD%E0%B8%9A%E0%B8%B4%E0%B8%AA%20%E0%B9%80%E0%B8%8A%E0%B8%B5%E0%B8%A2%E0%B8%87%E0%B9%83%E0%B8%AB%E0%B8%A1%E0%B9%88</x:v>
      </x:c>
      <x:c r="Z36" s="56" t="n">
        <x:v>18.776256</x:v>
      </x:c>
      <x:c r="AA36" s="56" t="n">
        <x:v>98.996236</x:v>
      </x:c>
      <x:c r="AB36" s="57" t="str"/>
      <x:c r="AC36" s="20" t="str">
        <x:v>https://makanhalalguide.com/shop/detail/5185</x:v>
      </x:c>
    </x:row>
    <x:row r="37" ht="88" customHeight="1">
      <x:c r="A37" s="54" t="n">
        <x:v>29</x:v>
      </x:c>
      <x:c r="B37" s="20" t="str">
        <x:v>ไท่ไท่ทองอินทร์</x:v>
      </x:c>
      <x:c r="C37" s="20" t="str">
        <x:v>เชียงใหม่</x:v>
      </x:c>
      <x:c r="D37" s="20" t="str">
        <x:v>ร้านอาหาร</x:v>
      </x:c>
      <x:c r="E37" s="20" t="str">
        <x:v>มีรายชื่อใน Makan Halal Guide; ระบุมีห้องละหมาด</x:v>
      </x:c>
      <x:c r="F37" s="20" t="str">
        <x:v>มีข้อมูลระบุ แต่รอยืนยัน</x:v>
      </x:c>
      <x:c r="G37" s="20" t="str">
        <x:v>ยังไม่พบเอกสารรับรองและวันหมดอายุ</x:v>
      </x:c>
      <x:c r="H3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7" s="20" t="str">
        <x:v>ถนนแก้วนวรัฐซอย 3 ตำบลวัดเกต อำเภอเมืองเชียงใหม่ เชียงใหม่ 50000</x:v>
      </x:c>
      <x:c r="J37" s="21" t="str">
        <x:v>0636525384</x:v>
      </x:c>
      <x:c r="K37" s="51" t="str">
        <x:v>https://makanhalalguide.com/shop/detail/5738</x:v>
      </x:c>
      <x:c r="L37" s="51" t="str">
        <x:v>https://www.thic.or.th/th/tourist/detail/tourist/2</x:v>
      </x:c>
      <x:c r="M37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N37" s="28" t="n">
        <x:v>46315</x:v>
      </x:c>
      <x:c r="O37" s="57" t="str">
        <x:v>ยังไม่ตรวจ</x:v>
      </x:c>
      <x:c r="P37" s="57" t="str">
        <x:v>ยังไม่ติดต่อ</x:v>
      </x:c>
      <x:c r="Q37" s="20" t="str">
        <x:v>TMF-240</x:v>
      </x:c>
      <x:c r="R37" s="20" t="str"/>
      <x:c r="S37" s="20" t="str"/>
      <x:c r="T37" s="20" t="str">
        <x:v>https://makanhalalguide.com/shop/detail/5738</x:v>
      </x:c>
      <x:c r="U37" s="20" t="str"/>
      <x:c r="V37" s="20" t="str"/>
      <x:c r="W37" s="20" t="str"/>
      <x:c r="X37" s="20" t="str"/>
      <x:c r="Y37" s="20" t="str">
        <x:v>https://www.google.com/maps/search/?api=1&amp;query=%E0%B9%84%E0%B8%97%E0%B9%88%E0%B9%84%E0%B8%97%E0%B9%88%E0%B8%97%E0%B8%AD%E0%B8%87%E0%B8%AD%E0%B8%B4%E0%B8%99%E0%B8%97%E0%B8%A3%E0%B9%8C%20%E0%B9%80%E0%B8%8A%E0%B8%B5%E0%B8%A2%E0%B8%87%E0%B9%83%E0%B8%AB%E0%B8%A1%E0%B9%88</x:v>
      </x:c>
      <x:c r="Z37" s="56" t="n">
        <x:v>18.793309</x:v>
      </x:c>
      <x:c r="AA37" s="56" t="n">
        <x:v>99.005207</x:v>
      </x:c>
      <x:c r="AB37" s="57" t="str"/>
      <x:c r="AC37" s="20" t="str">
        <x:v>https://makanhalalguide.com/shop/detail/5738</x:v>
      </x:c>
    </x:row>
    <x:row r="38" ht="88" customHeight="1">
      <x:c r="A38" s="54" t="n">
        <x:v>30</x:v>
      </x:c>
      <x:c r="B38" s="20" t="str">
        <x:v>Fah Lanna Spa Nimman Chiang Mai</x:v>
      </x:c>
      <x:c r="C38" s="20" t="str">
        <x:v>เชียงใหม่</x:v>
      </x:c>
      <x:c r="D38" s="20" t="str">
        <x:v>เวลเนส</x:v>
      </x:c>
      <x:c r="E38" s="20" t="str">
        <x:v>พบข้อมูลชื่อตรงจาก Fah Lanna Spa Experience – Nimman Branch Chiang Mai; เป็นหลักฐานตัวตน/ประเภท ยังไม่ยืนยันบริการมุสลิมครบเกณฑ์</x:v>
      </x:c>
      <x:c r="F38" s="20" t="str">
        <x:v>ไม่ทราบ</x:v>
      </x:c>
      <x:c r="G38" s="20" t="str">
        <x:v>ยังไม่ยืนยันใบรับรองและวันหมดอายุ</x:v>
      </x:c>
      <x:c r="H38" s="20" t="str">
        <x:v>ตรวจการเปิด ตัวตนสาขา ช่องทางติดต่อ และเงื่อนไขบังคับตามประเภท</x:v>
      </x:c>
      <x:c r="I38" s="20" t="str">
        <x:v>ยังไม่ยืนยันที่อยู่ละเอียด ดูลิงก์แหล่งข้อมูลและ Google Maps</x:v>
      </x:c>
      <x:c r="J38" s="21" t="str">
        <x:v>ยังไม่พบหรือยังไม่ยืนยัน</x:v>
      </x:c>
      <x:c r="K38" s="51" t="str">
        <x:v>https://www.agoda.com/activities/detail/th/chiang-mai/fah-lanna-spa-nimman-chiang-mai</x:v>
      </x:c>
      <x:c r="L38" s="51" t="str">
        <x:v>https://thailandnightlife.net/th/shop/chiang-mai/nimman/massage/fahlanna-spa-chiangmai</x:v>
      </x:c>
      <x:c r="M38" s="20" t="str">
        <x:v>พบแหล่งต่างเว็บไซต์ fahlanna spa ChiangMai - เชียงใหม่ นวดแผนไทย | ThailandNightlife</x:v>
      </x:c>
      <x:c r="N38" s="28" t="n">
        <x:v>46316</x:v>
      </x:c>
      <x:c r="O38" s="57" t="str">
        <x:v>ยังไม่ตรวจ</x:v>
      </x:c>
      <x:c r="P38" s="57" t="str">
        <x:v>ยังไม่ติดต่อ</x:v>
      </x:c>
      <x:c r="Q38" s="20" t="str">
        <x:v>R26-317</x:v>
      </x:c>
      <x:c r="R38" s="20" t="str">
        <x:v>Fah Lanna Spa Nimman Chiang Mai</x:v>
      </x:c>
      <x:c r="S38" s="20" t="str"/>
      <x:c r="T38" s="20" t="str">
        <x:v>https://www.agoda.com/activities/detail/th/chiang-mai/fah-lanna-spa-nimman-chiang-mai</x:v>
      </x:c>
      <x:c r="U38" s="20" t="str"/>
      <x:c r="V38" s="20" t="str"/>
      <x:c r="W38" s="20" t="str"/>
      <x:c r="X38" s="20" t="str"/>
      <x:c r="Y38" s="20" t="str">
        <x:v>https://www.google.com/maps/search/?api=1&amp;query=Fah%20Lanna%20Spa%20Nimman%20Chiang%20Mai%20%E0%B9%80%E0%B8%8A%E0%B8%B5%E0%B8%A2%E0%B8%87%E0%B9%83%E0%B8%AB%E0%B8%A1%E0%B9%88</x:v>
      </x:c>
      <x:c r="Z38" s="56" t="n">
        <x:v>18.795538</x:v>
      </x:c>
      <x:c r="AA38" s="56" t="n">
        <x:v>98.965697</x:v>
      </x:c>
      <x:c r="AB38" s="57" t="str"/>
      <x:c r="AC38" s="20" t="str">
        <x:v>https://www.agoda.com/activities/detail/th/chiang-mai/fah-lanna-spa-nimman-chiang-mai</x:v>
      </x:c>
    </x:row>
    <x:row r="39" ht="88" customHeight="1">
      <x:c r="A39" s="54" t="n">
        <x:v>31</x:v>
      </x:c>
      <x:c r="B39" s="20" t="str">
        <x:v>Fah Lanna Spa Old City Chiang Mai</x:v>
      </x:c>
      <x:c r="C39" s="20" t="str">
        <x:v>เชียงใหม่</x:v>
      </x:c>
      <x:c r="D39" s="20" t="str">
        <x:v>เวลเนส</x:v>
      </x:c>
      <x:c r="E39" s="20" t="str">
        <x:v>พบข้อมูลชื่อตรงจาก บริการสปาที่ Fah Lanna Spa เชียงใหม่ - Klook; เป็นหลักฐานตัวตน/ประเภท ยังไม่ยืนยันบริการมุสลิมครบเกณฑ์</x:v>
      </x:c>
      <x:c r="F39" s="20" t="str">
        <x:v>ไม่ทราบ</x:v>
      </x:c>
      <x:c r="G39" s="20" t="str">
        <x:v>ยังไม่ยืนยันใบรับรองและวันหมดอายุ</x:v>
      </x:c>
      <x:c r="H39" s="20" t="str">
        <x:v>ตรวจการเปิด ตัวตนสาขา ช่องทางติดต่อ และเงื่อนไขบังคับตามประเภท</x:v>
      </x:c>
      <x:c r="I39" s="20" t="str">
        <x:v>ยังไม่ยืนยันที่อยู่ละเอียด ดูลิงก์แหล่งข้อมูลและ Google Maps</x:v>
      </x:c>
      <x:c r="J39" s="21" t="str">
        <x:v>ยังไม่พบหรือยังไม่ยืนยัน</x:v>
      </x:c>
      <x:c r="K39" s="51" t="str">
        <x:v>https://www.klook.com/th/activity/711-fah-lanna-spa-chiangmai/</x:v>
      </x:c>
      <x:c r="L39" s="51" t="str">
        <x:v>https://chiangmaitourreviews.com/traditional-thai-massage-at-award-winning-fah-lanna-spa-old-city-branch/</x:v>
      </x:c>
      <x:c r="M39" s="20" t="str">
        <x:v>พบผลค้นชื่อสัมพันธ์เพิ่มเติม ต้องยืนยันสาขาและเจ้าของช่องทาง</x:v>
      </x:c>
      <x:c r="N39" s="28" t="n">
        <x:v>46316</x:v>
      </x:c>
      <x:c r="O39" s="57" t="str">
        <x:v>ยังไม่ตรวจ</x:v>
      </x:c>
      <x:c r="P39" s="57" t="str">
        <x:v>ยังไม่ติดต่อ</x:v>
      </x:c>
      <x:c r="Q39" s="20" t="str">
        <x:v>R26-316</x:v>
      </x:c>
      <x:c r="R39" s="20" t="str">
        <x:v>Fah Lanna Spa Old City Chiang Mai</x:v>
      </x:c>
      <x:c r="S39" s="20" t="str"/>
      <x:c r="T39" s="20" t="str">
        <x:v>https://www.klook.com/th/activity/711-fah-lanna-spa-chiangmai/</x:v>
      </x:c>
      <x:c r="U39" s="20" t="str"/>
      <x:c r="V39" s="20" t="str"/>
      <x:c r="W39" s="20" t="str"/>
      <x:c r="X39" s="20" t="str"/>
      <x:c r="Y39" s="20" t="str">
        <x:v>https://www.google.com/maps/search/?api=1&amp;query=Fah%20Lanna%20Spa%20Old%20City%20Chiang%20Mai%20%E0%B9%80%E0%B8%8A%E0%B8%B5%E0%B8%A2%E0%B8%87%E0%B9%83%E0%B8%AB%E0%B8%A1%E0%B9%88</x:v>
      </x:c>
      <x:c r="Z39" s="56" t="str"/>
      <x:c r="AA39" s="56" t="str"/>
      <x:c r="AB39" s="57" t="str"/>
      <x:c r="AC39" s="20" t="str">
        <x:v>https://www.klook.com/th/activity/711-fah-lanna-spa-chiangmai/</x:v>
      </x:c>
    </x:row>
    <x:row r="40" ht="88" customHeight="1">
      <x:c r="A40" s="54" t="n">
        <x:v>32</x:v>
      </x:c>
      <x:c r="B40" s="20" t="str">
        <x:v>Let's Relax Spa Chiang Mai Nimman One</x:v>
      </x:c>
      <x:c r="C40" s="20" t="str">
        <x:v>เชียงใหม่</x:v>
      </x:c>
      <x:c r="D40" s="20" t="str">
        <x:v>เวลเนส</x:v>
      </x:c>
      <x:c r="E40" s="20" t="str">
        <x:v>พบข้อมูลชื่อตรงจาก Let's Relax Spa Chiang Mai Nimman Soi 3 | Let's Relax Spa; เป็นหลักฐานตัวตน/ประเภท ยังไม่ยืนยันบริการมุสลิมครบเกณฑ์</x:v>
      </x:c>
      <x:c r="F40" s="20" t="str">
        <x:v>ไม่ทราบ</x:v>
      </x:c>
      <x:c r="G40" s="20" t="str">
        <x:v>ยังไม่ยืนยันใบรับรองและวันหมดอายุ</x:v>
      </x:c>
      <x:c r="H40" s="20" t="str">
        <x:v>ตรวจการเปิด ตัวตนสาขา ช่องทางติดต่อ และเงื่อนไขบังคับตามประเภท</x:v>
      </x:c>
      <x:c r="I40" s="20" t="str">
        <x:v>ยังไม่ยืนยันที่อยู่ละเอียด ดูลิงก์แหล่งข้อมูลและ Google Maps</x:v>
      </x:c>
      <x:c r="J40" s="21" t="str">
        <x:v>+66 63906 2456 / +66 52076089</x:v>
      </x:c>
      <x:c r="K40" s="51" t="str">
        <x:v>https://letsrelaxspa.com/branches/chiangmai-nimman-soi-3/</x:v>
      </x:c>
      <x:c r="L40" s="51" t="str">
        <x:v>https://travelpz.com/activities/k/2142-let-s-relax-spa-chiang-mai-one-nimman-experience-in-chiang-mai</x:v>
      </x:c>
      <x:c r="M40" s="20" t="str">
        <x:v>พบผลค้นชื่อสัมพันธ์เพิ่มเติม ต้องยืนยันสาขาและเจ้าของช่องทาง</x:v>
      </x:c>
      <x:c r="N40" s="28" t="n">
        <x:v>46316</x:v>
      </x:c>
      <x:c r="O40" s="57" t="str">
        <x:v>ยังไม่ตรวจ</x:v>
      </x:c>
      <x:c r="P40" s="57" t="str">
        <x:v>ยังไม่ติดต่อ</x:v>
      </x:c>
      <x:c r="Q40" s="20" t="str">
        <x:v>R26-278</x:v>
      </x:c>
      <x:c r="R40" s="20" t="str">
        <x:v>Let's Relax Spa Chiang Mai Nimman One</x:v>
      </x:c>
      <x:c r="S40" s="20" t="str"/>
      <x:c r="T40" s="20" t="str">
        <x:v>https://letsrelaxspa.com/branches/chiangmai-nimman-soi-3/</x:v>
      </x:c>
      <x:c r="U40" s="20" t="str">
        <x:v>https://www.facebook.com/letsrelaxspa.official/</x:v>
      </x:c>
      <x:c r="V40" s="20" t="str">
        <x:v>https://www.instagram.com/letsrelaxspa.official/?hl=en</x:v>
      </x:c>
      <x:c r="W40" s="20" t="str"/>
      <x:c r="X40" s="20" t="str"/>
      <x:c r="Y40" s="20" t="str">
        <x:v>https://www.google.com/maps/search/?api=1&amp;query=Let%27s%20Relax%20Spa%20Chiang%20Mai%20Nimman%20One%20%E0%B9%80%E0%B8%8A%E0%B8%B5%E0%B8%A2%E0%B8%87%E0%B9%83%E0%B8%AB%E0%B8%A1%E0%B9%88</x:v>
      </x:c>
      <x:c r="Z40" s="56" t="str"/>
      <x:c r="AA40" s="56" t="str"/>
      <x:c r="AB40" s="57" t="str"/>
      <x:c r="AC40" s="20" t="str">
        <x:v>https://letsrelaxspa.com/branches/chiangmai-nimman-soi-3/</x:v>
      </x:c>
    </x:row>
    <x:row r="41" ht="88" customHeight="1">
      <x:c r="A41" s="54" t="n">
        <x:v>33</x:v>
      </x:c>
      <x:c r="B41" s="20" t="str">
        <x:v>Let's Relax Spa Chiang Mai Thapae</x:v>
      </x:c>
      <x:c r="C41" s="20" t="str">
        <x:v>เชียงใหม่</x:v>
      </x:c>
      <x:c r="D41" s="20" t="str">
        <x:v>เวลเนส</x:v>
      </x:c>
      <x:c r="E41" s="20" t="str">
        <x:v>พบข้อมูลชื่อตรงจาก เล็ทส์ รีแลกซ์ สปา ท่าแพ เชียงใหม่ | Let's Relax Spa; เป็นหลักฐานตัวตน/ประเภท ยังไม่ยืนยันบริการมุสลิมครบเกณฑ์</x:v>
      </x:c>
      <x:c r="F41" s="20" t="str">
        <x:v>ไม่ทราบ</x:v>
      </x:c>
      <x:c r="G41" s="20" t="str">
        <x:v>ยังไม่ยืนยันใบรับรองและวันหมดอายุ</x:v>
      </x:c>
      <x:c r="H41" s="20" t="str">
        <x:v>ตรวจการเปิด ตัวตนสาขา ช่องทางติดต่อ และเงื่อนไขบังคับตามประเภท</x:v>
      </x:c>
      <x:c r="I41" s="20" t="str">
        <x:v>ยังไม่ยืนยันที่อยู่ละเอียด ดูลิงก์แหล่งข้อมูลและ Google Maps</x:v>
      </x:c>
      <x:c r="J41" s="21" t="str">
        <x:v>+66 9 5204 3751 / +66 5327 1339</x:v>
      </x:c>
      <x:c r="K41" s="51" t="str">
        <x:v>https://letsrelaxspa.com/th/branches/chiang-mai-thapae/</x:v>
      </x:c>
      <x:c r="L41" s="51" t="str">
        <x:v>https://www.wongnai.com/businesses/224296ZL-let-s-relax-spa-chiang-mai-thapae</x:v>
      </x:c>
      <x:c r="M41" s="20" t="str">
        <x:v>พบแหล่งต่างเว็บไซต์ ร้าน Let's Relax Spa (เล๊ท รีแลกซ์ สปา) Chiang Mai Thapae</x:v>
      </x:c>
      <x:c r="N41" s="28" t="n">
        <x:v>46316</x:v>
      </x:c>
      <x:c r="O41" s="57" t="str">
        <x:v>ยังไม่ตรวจ</x:v>
      </x:c>
      <x:c r="P41" s="57" t="str">
        <x:v>ยังไม่ติดต่อ</x:v>
      </x:c>
      <x:c r="Q41" s="20" t="str">
        <x:v>R26-277</x:v>
      </x:c>
      <x:c r="R41" s="20" t="str">
        <x:v>Let's Relax Spa Chiang Mai Thapae</x:v>
      </x:c>
      <x:c r="S41" s="20" t="str"/>
      <x:c r="T41" s="20" t="str">
        <x:v>https://letsrelaxspa.com/th/branches/chiang-mai-thapae/</x:v>
      </x:c>
      <x:c r="U41" s="20" t="str">
        <x:v>https://www.facebook.com/letsrelaxspa.official/</x:v>
      </x:c>
      <x:c r="V41" s="20" t="str">
        <x:v>https://www.instagram.com/letsrelaxspa.official/?hl=en</x:v>
      </x:c>
      <x:c r="W41" s="20" t="str"/>
      <x:c r="X41" s="20" t="str"/>
      <x:c r="Y41" s="20" t="str">
        <x:v>https://www.google.com/maps/search/?api=1&amp;query=Let%27s%20Relax%20Spa%20Chiang%20Mai%20Thapae%20%E0%B9%80%E0%B8%8A%E0%B8%B5%E0%B8%A2%E0%B8%87%E0%B9%83%E0%B8%AB%E0%B8%A1%E0%B9%88</x:v>
      </x:c>
      <x:c r="Z41" s="56" t="str"/>
      <x:c r="AA41" s="56" t="str"/>
      <x:c r="AB41" s="57" t="str"/>
      <x:c r="AC41" s="20" t="str">
        <x:v>https://letsrelaxspa.com/th/branches/chiang-mai-thapae/</x:v>
      </x:c>
    </x:row>
    <x:row r="42" ht="88" customHeight="1">
      <x:c r="A42" s="54" t="n">
        <x:v>34</x:v>
      </x:c>
      <x:c r="B42" s="20" t="str">
        <x:v>RarinJinda Wellness Spa Chiang Mai</x:v>
      </x:c>
      <x:c r="C42" s="20" t="str">
        <x:v>เชียงใหม่</x:v>
      </x:c>
      <x:c r="D42" s="20" t="str">
        <x:v>เวลเนส</x:v>
      </x:c>
      <x:c r="E42" s="20" t="str">
        <x:v>พบข้อมูลชื่อตรงจาก RarinJinda Wellness Spa Resort Chiang Mai Thailand; เป็นหลักฐานตัวตน/ประเภท ยังไม่ยืนยันบริการมุสลิมครบเกณฑ์</x:v>
      </x:c>
      <x:c r="F42" s="20" t="str">
        <x:v>ไม่ทราบ</x:v>
      </x:c>
      <x:c r="G42" s="20" t="str">
        <x:v>ยังไม่ยืนยันใบรับรองและวันหมดอายุ</x:v>
      </x:c>
      <x:c r="H42" s="20" t="str">
        <x:v>ตรวจการเปิด ตัวตนสาขา ช่องทางติดต่อ และเงื่อนไขบังคับตามประเภท</x:v>
      </x:c>
      <x:c r="I42" s="20" t="str">
        <x:v>ยังไม่ยืนยันที่อยู่ละเอียด ดูลิงก์แหล่งข้อมูลและ Google Maps</x:v>
      </x:c>
      <x:c r="J42" s="21" t="str">
        <x:v>053-247000</x:v>
      </x:c>
      <x:c r="K42" s="51" t="str">
        <x:v>https://rarinjinda.com/spa/chiangmai</x:v>
      </x:c>
      <x:c r="L42" s="51" t="str">
        <x:v>https://project.namfah.com/rarinjinda/spa/chiangmai</x:v>
      </x:c>
      <x:c r="M42" s="20" t="str">
        <x:v>พบแหล่งต่างเว็บไซต์ RarinJinda Wellness Spa Resort Chiang Mai Thailand</x:v>
      </x:c>
      <x:c r="N42" s="28" t="n">
        <x:v>46316</x:v>
      </x:c>
      <x:c r="O42" s="57" t="str">
        <x:v>ยังไม่ตรวจ</x:v>
      </x:c>
      <x:c r="P42" s="57" t="str">
        <x:v>ยังไม่ติดต่อ</x:v>
      </x:c>
      <x:c r="Q42" s="20" t="str">
        <x:v>R26-315</x:v>
      </x:c>
      <x:c r="R42" s="20" t="str">
        <x:v>RarinJinda Wellness Spa Chiang Mai</x:v>
      </x:c>
      <x:c r="S42" s="20" t="str"/>
      <x:c r="T42" s="20" t="str">
        <x:v>https://rarinjinda.com/spa/chiangmai</x:v>
      </x:c>
      <x:c r="U42" s="20" t="str">
        <x:v>https://www.facebook.com/rarinjinda.official</x:v>
      </x:c>
      <x:c r="V42" s="20" t="str"/>
      <x:c r="W42" s="20" t="str"/>
      <x:c r="X42" s="20" t="str"/>
      <x:c r="Y42" s="20" t="str">
        <x:v>https://www.google.com/maps/search/?api=1&amp;query=RarinJinda%20Wellness%20Spa%20Chiang%20Mai%20%E0%B9%80%E0%B8%8A%E0%B8%B5%E0%B8%A2%E0%B8%87%E0%B9%83%E0%B8%AB%E0%B8%A1%E0%B9%88</x:v>
      </x:c>
      <x:c r="Z42" s="56" t="n">
        <x:v>18.789744</x:v>
      </x:c>
      <x:c r="AA42" s="56" t="n">
        <x:v>99.004655</x:v>
      </x:c>
      <x:c r="AB42" s="57" t="str"/>
      <x:c r="AC42" s="20" t="str">
        <x:v>https://rarinjinda.com/spa/chiangmai</x:v>
      </x:c>
    </x:row>
    <x:row r="43" ht="88" customHeight="1">
      <x:c r="A43" s="54" t="n">
        <x:v>35</x:v>
      </x:c>
      <x:c r="B43" s="20" t="str">
        <x:v>โอเอซิสสปา ล้านนา วัดพระสิงห์</x:v>
      </x:c>
      <x:c r="C43" s="20" t="str">
        <x:v>เชียงใหม่</x:v>
      </x:c>
      <x:c r="D43" s="20" t="str">
        <x:v>สปา</x:v>
      </x:c>
      <x:c r="E43" s="20" t="str">
        <x:v>ผู้ประกอบการระบุสาขา ต้องพัฒนาหลักฐานบริการมุสลิมและผลิตภัณฑ์ที่ไม่มีส่วนผสมต้องห้าม</x:v>
      </x:c>
      <x:c r="F43" s="20" t="str">
        <x:v>ไม่ทราบ</x:v>
      </x:c>
      <x:c r="G43" s="20" t="str">
        <x:v>ยังไม่พบเอกสารรับรองและวันหมดอายุ</x:v>
      </x:c>
      <x:c r="H43" s="20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I43" s="20" t="str">
        <x:v>ยังไม่ยืนยันที่อยู่ละเอียด ดูลิงก์แหล่งข้อมูลและ Google Maps</x:v>
      </x:c>
      <x:c r="J43" s="21" t="str">
        <x:v>ยังไม่พบหรือยังไม่ยืนยัน</x:v>
      </x:c>
      <x:c r="K43" s="51" t="str">
        <x:v>https://oasisspa.net/en/destination/chiangmai/Lanna_Wat_Prasing/</x:v>
      </x:c>
      <x:c r="L43" s="51" t="str">
        <x:v>https://www.tripadvisor.com/Attraction_Review-g293917-d1638189-Reviews-Oasis_Spa_Lanna-Chiang_Mai.html</x:v>
      </x:c>
      <x:c r="M43" s="20" t="str">
        <x:v>พบหน้ารีวิวชื่อตรง ต้องตรวจวันรีวิวล่าสุดและสาขากับผู้ประกอบการ</x:v>
      </x:c>
      <x:c r="N43" s="28" t="n">
        <x:v>46316</x:v>
      </x:c>
      <x:c r="O43" s="57" t="str">
        <x:v>ยังไม่ตรวจ</x:v>
      </x:c>
      <x:c r="P43" s="57" t="str">
        <x:v>ยังไม่ติดต่อ</x:v>
      </x:c>
      <x:c r="Q43" s="20" t="str">
        <x:v>TMF-594</x:v>
      </x:c>
      <x:c r="R43" s="20" t="str"/>
      <x:c r="S43" s="20" t="str"/>
      <x:c r="T43" s="20" t="str">
        <x:v>https://oasisspa.net/en/destination/chiangmai/Lanna_Wat_Prasing/</x:v>
      </x:c>
      <x:c r="U43" s="20" t="str"/>
      <x:c r="V43" s="20" t="str"/>
      <x:c r="W43" s="20" t="str"/>
      <x:c r="X43" s="20" t="str"/>
      <x:c r="Y43" s="20" t="str">
        <x:v>https://www.google.com/maps/search/?api=1&amp;query=%E0%B9%82%E0%B8%AD%E0%B9%80%E0%B8%AD%E0%B8%8B%E0%B8%B4%E0%B8%AA%E0%B8%AA%E0%B8%9B%E0%B8%B2%20%E0%B8%A5%E0%B9%89%E0%B8%B2%E0%B8%99%E0%B8%99%E0%B8%B2%20%E0%B8%A7%E0%B8%B1%E0%B8%94%E0%B8%9E%E0%B8%A3%E0%B8%B0%E0%B8%AA%E0%B8%B4%E0%B8%87%E0%B8%AB%E0%B9%8C%20%E0%B9%80%E0%B8%8A%E0%B8%B5%E0%B8%A2%E0%B8%87%E0%B9%83%E0%B8%AB%E0%B8%A1%E0%B9%88</x:v>
      </x:c>
      <x:c r="Z43" s="56" t="n">
        <x:v>18.787398</x:v>
      </x:c>
      <x:c r="AA43" s="56" t="n">
        <x:v>98.98199</x:v>
      </x:c>
      <x:c r="AB43" s="57" t="str"/>
      <x:c r="AC43" s="20" t="str">
        <x:v>https://oasisspa.net/en/destination/chiangmai/Lanna_Wat_Prasing/</x:v>
      </x:c>
    </x:row>
    <x:row r="44" ht="88" customHeight="1">
      <x:c r="A44" s="54" t="n">
        <x:v>36</x:v>
      </x:c>
      <x:c r="B44" s="20" t="str">
        <x:v>โอเอซิสสปา แอทนิมมาน</x:v>
      </x:c>
      <x:c r="C44" s="20" t="str">
        <x:v>เชียงใหม่</x:v>
      </x:c>
      <x:c r="D44" s="20" t="str">
        <x:v>สปา</x:v>
      </x:c>
      <x:c r="E44" s="20" t="str">
        <x:v>ผู้ประกอบการระบุสถานที่ให้บริการสปา ต้องตรวจผู้ให้บริการเพศเดียวกัน ผลิตภัณฑ์ และศาสนกิจ</x:v>
      </x:c>
      <x:c r="F44" s="20" t="str">
        <x:v>ไม่ทราบ</x:v>
      </x:c>
      <x:c r="G44" s="20" t="str">
        <x:v>ยังไม่พบเอกสารรับรองและวันหมดอายุ</x:v>
      </x:c>
      <x:c r="H44" s="20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I44" s="20" t="str">
        <x:v>ยังไม่ยืนยันที่อยู่ละเอียด ดูลิงก์แหล่งข้อมูลและ Google Maps</x:v>
      </x:c>
      <x:c r="J44" s="21" t="str">
        <x:v>ยังไม่พบหรือยังไม่ยืนยัน</x:v>
      </x:c>
      <x:c r="K44" s="51" t="str">
        <x:v>https://oasisspa.net/en/destination/chiangmai/Nimman/</x:v>
      </x:c>
      <x:c r="L44" s="51" t="str">
        <x:v>https://www.voy-y.com/2024/05/blog-post_32.html</x:v>
      </x:c>
      <x:c r="M44" s="20" t="str">
        <x:v>ผลค้นหาชื่อสัมพันธ์จากแหล่งเพิ่มเติม ต้องยืนยันสาขาและข้อมูลปัจจุบัน</x:v>
      </x:c>
      <x:c r="N44" s="28" t="n">
        <x:v>46315</x:v>
      </x:c>
      <x:c r="O44" s="57" t="str">
        <x:v>ยังไม่ตรวจ</x:v>
      </x:c>
      <x:c r="P44" s="57" t="str">
        <x:v>ยังไม่ติดต่อ</x:v>
      </x:c>
      <x:c r="Q44" s="20" t="str">
        <x:v>TMF-595</x:v>
      </x:c>
      <x:c r="R44" s="20" t="str"/>
      <x:c r="S44" s="20" t="str"/>
      <x:c r="T44" s="20" t="str">
        <x:v>https://oasisspa.net/en/destination/chiangmai/Nimman/</x:v>
      </x:c>
      <x:c r="U44" s="20" t="str"/>
      <x:c r="V44" s="20" t="str"/>
      <x:c r="W44" s="20" t="str"/>
      <x:c r="X44" s="20" t="str"/>
      <x:c r="Y44" s="20" t="str">
        <x:v>https://www.google.com/maps/search/?api=1&amp;query=%E0%B9%82%E0%B8%AD%E0%B9%80%E0%B8%AD%E0%B8%8B%E0%B8%B4%E0%B8%AA%E0%B8%AA%E0%B8%9B%E0%B8%B2%20%E0%B9%81%E0%B8%AD%E0%B8%97%E0%B8%99%E0%B8%B4%E0%B8%A1%E0%B8%A1%E0%B8%B2%E0%B8%99%20%E0%B9%80%E0%B8%8A%E0%B8%B5%E0%B8%A2%E0%B8%87%E0%B9%83%E0%B8%AB%E0%B8%A1%E0%B9%88</x:v>
      </x:c>
      <x:c r="Z44" s="56" t="n">
        <x:v>18.798297</x:v>
      </x:c>
      <x:c r="AA44" s="56" t="n">
        <x:v>98.968203</x:v>
      </x:c>
      <x:c r="AB44" s="57" t="str"/>
      <x:c r="AC44" s="20" t="str">
        <x:v>https://oasisspa.net/en/destination/chiangmai/Nimman/</x:v>
      </x:c>
    </x:row>
    <x:row r="45" ht="88" customHeight="1">
      <x:c r="A45" s="54" t="n">
        <x:v>37</x:v>
      </x:c>
      <x:c r="B45" s="20" t="str">
        <x:v>Central Chiangmai</x:v>
      </x:c>
      <x:c r="C45" s="20" t="str">
        <x:v>เชียงใหม่</x:v>
      </x:c>
      <x:c r="D45" s="20" t="str">
        <x:v>การค้า</x:v>
      </x:c>
      <x:c r="E45" s="20" t="str">
        <x:v>พบข้อมูลชื่อตรงจาก Central Chiangmai; เป็นหลักฐานตัวตน/ประเภท ยังไม่ยืนยันบริการมุสลิมครบเกณฑ์</x:v>
      </x:c>
      <x:c r="F45" s="20" t="str">
        <x:v>ไม่ทราบ</x:v>
      </x:c>
      <x:c r="G45" s="20" t="str">
        <x:v>ยังไม่ยืนยันใบรับรองและวันหมดอายุ</x:v>
      </x:c>
      <x:c r="H45" s="20" t="str">
        <x:v>ตรวจการเปิด ตัวตนสาขา ช่องทางติดต่อ และเงื่อนไขบังคับตามประเภท</x:v>
      </x:c>
      <x:c r="I45" s="20" t="str">
        <x:v>ยังไม่ยืนยันที่อยู่ละเอียด ดูลิงก์แหล่งข้อมูลและ Google Maps</x:v>
      </x:c>
      <x:c r="J45" s="21" t="str">
        <x:v>053-998-999</x:v>
      </x:c>
      <x:c r="K45" s="51" t="str">
        <x:v>https://www.centralchiangmai.com/</x:v>
      </x:c>
      <x:c r="L45" s="51" t="str">
        <x:v>https://shoppingcenter.centralpattana.co.th/th/branch/central-chiangmai/tourist</x:v>
      </x:c>
      <x:c r="M45" s="20" t="str">
        <x:v>พบแหล่งต่างเว็บไซต์ เซ็นทรัล เชียงใหม่</x:v>
      </x:c>
      <x:c r="N45" s="28" t="n">
        <x:v>46316</x:v>
      </x:c>
      <x:c r="O45" s="57" t="str">
        <x:v>ยังไม่ตรวจ</x:v>
      </x:c>
      <x:c r="P45" s="57" t="str">
        <x:v>ยังไม่ติดต่อ</x:v>
      </x:c>
      <x:c r="Q45" s="20" t="str">
        <x:v>R26-259</x:v>
      </x:c>
      <x:c r="R45" s="20" t="str">
        <x:v>Central Chiangmai</x:v>
      </x:c>
      <x:c r="S45" s="20" t="str">
        <x:v>prom.cmi@centralpattana.co.th</x:v>
      </x:c>
      <x:c r="T45" s="20" t="str">
        <x:v>https://www.centralchiangmai.com/</x:v>
      </x:c>
      <x:c r="U45" s="20" t="str">
        <x:v>https://www.facebook.com/CentralChiangmai</x:v>
      </x:c>
      <x:c r="V45" s="20" t="str">
        <x:v>https://www.instagram.com/central_chiangmai/</x:v>
      </x:c>
      <x:c r="W45" s="20" t="str">
        <x:v>https://lin.ee/v67TfJO</x:v>
      </x:c>
      <x:c r="X45" s="20" t="str">
        <x:v>https://www.tiktok.com/@centralchiangmai</x:v>
      </x:c>
      <x:c r="Y45" s="20" t="str">
        <x:v>https://www.google.com/maps/search/?api=1&amp;query=Central%20Chiangmai%20%E0%B9%80%E0%B8%8A%E0%B8%B5%E0%B8%A2%E0%B8%87%E0%B9%83%E0%B8%AB%E0%B8%A1%E0%B9%88</x:v>
      </x:c>
      <x:c r="Z45" s="56" t="n">
        <x:v>18.80656</x:v>
      </x:c>
      <x:c r="AA45" s="56" t="n">
        <x:v>99.016</x:v>
      </x:c>
      <x:c r="AB45" s="57" t="str"/>
      <x:c r="AC45" s="20" t="str">
        <x:v>https://www.centralchiangmai.com/</x:v>
      </x:c>
    </x:row>
    <x:row r="46" ht="88" customHeight="1">
      <x:c r="A46" s="54" t="n">
        <x:v>38</x:v>
      </x:c>
      <x:c r="B46" s="20" t="str">
        <x:v>Central Chiangmai Airport</x:v>
      </x:c>
      <x:c r="C46" s="20" t="str">
        <x:v>เชียงใหม่</x:v>
      </x:c>
      <x:c r="D46" s="20" t="str">
        <x:v>การค้า</x:v>
      </x:c>
      <x:c r="E46" s="20" t="str">
        <x:v>พบข้อมูลชื่อตรงจาก Central Chiangmai Airport; เป็นหลักฐานตัวตน/ประเภท ยังไม่ยืนยันบริการมุสลิมครบเกณฑ์</x:v>
      </x:c>
      <x:c r="F46" s="20" t="str">
        <x:v>ไม่ทราบ</x:v>
      </x:c>
      <x:c r="G46" s="20" t="str">
        <x:v>ยังไม่ยืนยันใบรับรองและวันหมดอายุ</x:v>
      </x:c>
      <x:c r="H46" s="20" t="str">
        <x:v>ตรวจการเปิด ตัวตนสาขา ช่องทางติดต่อ และเงื่อนไขบังคับตามประเภท</x:v>
      </x:c>
      <x:c r="I46" s="20" t="str">
        <x:v>ยังไม่ยืนยันที่อยู่ละเอียด ดูลิงก์แหล่งข้อมูลและ Google Maps</x:v>
      </x:c>
      <x:c r="J46" s="21" t="str">
        <x:v>053-999-199</x:v>
      </x:c>
      <x:c r="K46" s="51" t="str">
        <x:v>https://www.centralchiangmaiairport.com/</x:v>
      </x:c>
      <x:c r="L46" s="51" t="str">
        <x:v>https://en.wikipedia.org/wiki/Central_Chiangmai_Airport</x:v>
      </x:c>
      <x:c r="M46" s="20" t="str">
        <x:v>พบแหล่งต่างเว็บไซต์ Central Chiangmai Airport</x:v>
      </x:c>
      <x:c r="N46" s="28" t="n">
        <x:v>46316</x:v>
      </x:c>
      <x:c r="O46" s="57" t="str">
        <x:v>ยังไม่ตรวจ</x:v>
      </x:c>
      <x:c r="P46" s="57" t="str">
        <x:v>ยังไม่ติดต่อ</x:v>
      </x:c>
      <x:c r="Q46" s="20" t="str">
        <x:v>R26-261</x:v>
      </x:c>
      <x:c r="R46" s="20" t="str">
        <x:v>Central Chiangmai Airport</x:v>
      </x:c>
      <x:c r="S46" s="20" t="str">
        <x:v>Prom.CM@centralpattana.co.th</x:v>
      </x:c>
      <x:c r="T46" s="20" t="str">
        <x:v>https://www.centralchiangmaiairport.com/</x:v>
      </x:c>
      <x:c r="U46" s="20" t="str">
        <x:v>https://www.facebook.com/CentralChiangmaiAirport</x:v>
      </x:c>
      <x:c r="V46" s="20" t="str">
        <x:v>https://www.instagram.com/centralplaza_chiangmai_airport/</x:v>
      </x:c>
      <x:c r="W46" s="20" t="str"/>
      <x:c r="X46" s="20" t="str">
        <x:v>https://www.tiktok.com/@centralchiangmaiairport</x:v>
      </x:c>
      <x:c r="Y46" s="20" t="str">
        <x:v>https://www.google.com/maps/search/?api=1&amp;query=Central%20Chiangmai%20Airport%20%E0%B9%80%E0%B8%8A%E0%B8%B5%E0%B8%A2%E0%B8%87%E0%B9%83%E0%B8%AB%E0%B8%A1%E0%B9%88</x:v>
      </x:c>
      <x:c r="Z46" s="56" t="n">
        <x:v>18.769236</x:v>
      </x:c>
      <x:c r="AA46" s="56" t="n">
        <x:v>98.975721</x:v>
      </x:c>
      <x:c r="AB46" s="57" t="str"/>
      <x:c r="AC46" s="20" t="str">
        <x:v>https://www.centralchiangmaiairport.com/</x:v>
      </x:c>
    </x:row>
    <x:row r="47" ht="88" customHeight="1">
      <x:c r="A47" s="54" t="n">
        <x:v>39</x:v>
      </x:c>
      <x:c r="B47" s="20" t="str">
        <x:v>MAYA Lifestyle Shopping Center</x:v>
      </x:c>
      <x:c r="C47" s="20" t="str">
        <x:v>เชียงใหม่</x:v>
      </x:c>
      <x:c r="D47" s="20" t="str">
        <x:v>การค้า</x:v>
      </x:c>
      <x:c r="E47" s="20" t="str">
        <x:v>พบข้อมูลชื่อตรงจาก MAYA Lifestyle Shopping Center; เป็นหลักฐานตัวตน/ประเภท ยังไม่ยืนยันบริการมุสลิมครบเกณฑ์</x:v>
      </x:c>
      <x:c r="F47" s="20" t="str">
        <x:v>ไม่ทราบ</x:v>
      </x:c>
      <x:c r="G47" s="20" t="str">
        <x:v>ยังไม่ยืนยันใบรับรองและวันหมดอายุ</x:v>
      </x:c>
      <x:c r="H47" s="20" t="str">
        <x:v>ตรวจการเปิด ตัวตนสาขา ช่องทางติดต่อ และเงื่อนไขบังคับตามประเภท</x:v>
      </x:c>
      <x:c r="I47" s="20" t="str">
        <x:v>ยังไม่ยืนยันที่อยู่ละเอียด ดูลิงก์แหล่งข้อมูลและ Google Maps</x:v>
      </x:c>
      <x:c r="J47" s="21" t="str">
        <x:v>ยังไม่พบหรือยังไม่ยืนยัน</x:v>
      </x:c>
      <x:c r="K47" s="51" t="str">
        <x:v>https://www.tourismthailand.org/Shop/maya-lifestyle-shopping-center</x:v>
      </x:c>
      <x:c r="L47" s="51" t="str">
        <x:v>https://mayashoppingcenter.com/</x:v>
      </x:c>
      <x:c r="M47" s="20" t="str">
        <x:v>พบแหล่งต่างเว็บไซต์ MAYA Lifestyle Shopping Center</x:v>
      </x:c>
      <x:c r="N47" s="28" t="n">
        <x:v>46316</x:v>
      </x:c>
      <x:c r="O47" s="57" t="str">
        <x:v>ยังไม่ตรวจ</x:v>
      </x:c>
      <x:c r="P47" s="57" t="str">
        <x:v>ยังไม่ติดต่อ</x:v>
      </x:c>
      <x:c r="Q47" s="20" t="str">
        <x:v>R26-260</x:v>
      </x:c>
      <x:c r="R47" s="20" t="str">
        <x:v>MAYA Lifestyle Shopping Center</x:v>
      </x:c>
      <x:c r="S47" s="20" t="str"/>
      <x:c r="T47" s="20" t="str">
        <x:v>https://www.tourismthailand.org/Shop/maya-lifestyle-shopping-center</x:v>
      </x:c>
      <x:c r="U47" s="20" t="str">
        <x:v>https://www.facebook.com/maya.chiangmai</x:v>
      </x:c>
      <x:c r="V47" s="20" t="str">
        <x:v>https://www.instagram.com/mayachiangmai</x:v>
      </x:c>
      <x:c r="W47" s="20" t="str">
        <x:v>https://lin.ee/WZY9fNx</x:v>
      </x:c>
      <x:c r="X47" s="20" t="str"/>
      <x:c r="Y47" s="20" t="str">
        <x:v>https://www.google.com/maps/search/?api=1&amp;query=MAYA%20Lifestyle%20Shopping%20Center%20%E0%B9%80%E0%B8%8A%E0%B8%B5%E0%B8%A2%E0%B8%87%E0%B9%83%E0%B8%AB%E0%B8%A1%E0%B9%88</x:v>
      </x:c>
      <x:c r="Z47" s="56" t="n">
        <x:v>18.8024324</x:v>
      </x:c>
      <x:c r="AA47" s="56" t="n">
        <x:v>98.967298</x:v>
      </x:c>
      <x:c r="AB47" s="57" t="str"/>
      <x:c r="AC47" s="20" t="str">
        <x:v>https://www.tourismthailand.org/Shop/maya-lifestyle-shopping-center</x:v>
      </x:c>
    </x:row>
    <x:row r="48" ht="88" customHeight="1">
      <x:c r="A48" s="54" t="n">
        <x:v>40</x:v>
      </x:c>
      <x:c r="B48" s="20" t="str">
        <x:v>สวนพฤกษศาสตร์สมเด็จพระนางเจ้าสิริกิติ์</x:v>
      </x:c>
      <x:c r="C48" s="20" t="str">
        <x:v>เชียงใหม่</x:v>
      </x:c>
      <x:c r="D48" s="20" t="str">
        <x:v>ธรรมชาติ</x:v>
      </x:c>
      <x:c r="E48" s="20" t="str">
        <x:v>พบข้อมูลชื่อตรงจาก สวนพฤกษศาสตร์สมเด็จพระนางเจ้าสิริกิติ์; เป็นหลักฐานตัวตน/ประเภท ยังไม่ยืนยันบริการมุสลิมครบเกณฑ์</x:v>
      </x:c>
      <x:c r="F48" s="20" t="str">
        <x:v>ไม่ทราบ</x:v>
      </x:c>
      <x:c r="G48" s="20" t="str">
        <x:v>ยังไม่ยืนยันใบรับรองและวันหมดอายุ</x:v>
      </x:c>
      <x:c r="H48" s="20" t="str">
        <x:v>ตรวจการเปิด ตัวตนสาขา ช่องทางติดต่อ และเงื่อนไขบังคับตามประเภท</x:v>
      </x:c>
      <x:c r="I48" s="20" t="str">
        <x:v>ยังไม่ยืนยันที่อยู่ละเอียด ดูลิงก์แหล่งข้อมูลและ Google Maps</x:v>
      </x:c>
      <x:c r="J48" s="21" t="str">
        <x:v>ยังไม่พบหรือยังไม่ยืนยัน</x:v>
      </x:c>
      <x:c r="K48" s="51" t="str">
        <x:v>https://www.thailandtourismdirectory.go.th/th/attraction/2107</x:v>
      </x:c>
      <x:c r="L48" s="51" t="str">
        <x:v>https://cbtthailand.dasta.or.th/webapp/relattraction/content/1611/</x:v>
      </x:c>
      <x:c r="M48" s="20" t="str">
        <x:v>พบแหล่งต่างเว็บไซต์ สวนพฤกษศาสตร์สมเด็จพระนางเจ้าสิริกิติ์ | CBT Thailand</x:v>
      </x:c>
      <x:c r="N48" s="28" t="n">
        <x:v>46316</x:v>
      </x:c>
      <x:c r="O48" s="57" t="str">
        <x:v>ยังไม่ตรวจ</x:v>
      </x:c>
      <x:c r="P48" s="57" t="str">
        <x:v>ยังไม่ติดต่อ</x:v>
      </x:c>
      <x:c r="Q48" s="20" t="str">
        <x:v>R26-116</x:v>
      </x:c>
      <x:c r="R48" s="20" t="str"/>
      <x:c r="S48" s="20" t="str"/>
      <x:c r="T48" s="20" t="str">
        <x:v>https://www.thailandtourismdirectory.go.th/th/attraction/2107</x:v>
      </x:c>
      <x:c r="U48" s="20" t="str"/>
      <x:c r="V48" s="20" t="str"/>
      <x:c r="W48" s="20" t="str"/>
      <x:c r="X48" s="20" t="str"/>
      <x:c r="Y48" s="20" t="str">
        <x:v>https://www.google.com/maps/search/?api=1&amp;query=%E0%B8%AA%E0%B8%A7%E0%B8%99%E0%B8%9E%E0%B8%A4%E0%B8%81%E0%B8%A9%E0%B8%A8%E0%B8%B2%E0%B8%AA%E0%B8%95%E0%B8%A3%E0%B9%8C%E0%B8%AA%E0%B8%A1%E0%B9%80%E0%B8%94%E0%B9%87%E0%B8%88%E0%B8%9E%E0%B8%A3%E0%B8%B0%E0%B8%99%E0%B8%B2%E0%B8%87%E0%B9%80%E0%B8%88%E0%B9%89%E0%B8%B2%E0%B8%AA%E0%B8%B4%E0%B8%A3%E0%B8%B4%E0%B8%81%E0%B8%B4%E0%B8%95%E0%B8%B4%E0%B9%8C%20%E0%B9%80%E0%B8%8A%E0%B8%B5%E0%B8%A2%E0%B8%87%E0%B9%83%E0%B8%AB%E0%B8%A1%E0%B9%88</x:v>
      </x:c>
      <x:c r="Z48" s="56" t="n">
        <x:v>18.900324</x:v>
      </x:c>
      <x:c r="AA48" s="56" t="n">
        <x:v>98.860558</x:v>
      </x:c>
      <x:c r="AB48" s="57" t="str"/>
      <x:c r="AC48" s="20" t="str">
        <x:v>https://www.thailandtourismdirectory.go.th/th/attraction/2107</x:v>
      </x:c>
    </x:row>
    <x:row r="49" ht="88" customHeight="1">
      <x:c r="A49" s="54" t="n">
        <x:v>41</x:v>
      </x:c>
      <x:c r="B49" s="20" t="str">
        <x:v>ชุมชนบ้านออนใต้</x:v>
      </x:c>
      <x:c r="C49" s="20" t="str">
        <x:v>เชียงใหม่</x:v>
      </x:c>
      <x:c r="D49" s="20" t="str">
        <x:v>ชุมชน</x:v>
      </x:c>
      <x:c r="E49" s="20" t="str">
        <x:v>พบข้อมูลชื่อตรงจาก บ้านออนใต้ สันกำแพง - Dark Sky | เขตอนุรักษ์ท้องฟ้ามืด; เป็นหลักฐานตัวตน/ประเภท ยังไม่ยืนยันบริการมุสลิมครบเกณฑ์</x:v>
      </x:c>
      <x:c r="F49" s="20" t="str">
        <x:v>ไม่ทราบ</x:v>
      </x:c>
      <x:c r="G49" s="20" t="str">
        <x:v>ยังไม่ยืนยันใบรับรองและวันหมดอายุ</x:v>
      </x:c>
      <x:c r="H49" s="20" t="str">
        <x:v>ตรวจการเปิด ตัวตนสาขา ช่องทางติดต่อ และเงื่อนไขบังคับตามประเภท</x:v>
      </x:c>
      <x:c r="I49" s="20" t="str">
        <x:v>ยังไม่ยืนยันที่อยู่ละเอียด ดูลิงก์แหล่งข้อมูลและ Google Maps</x:v>
      </x:c>
      <x:c r="J49" s="21" t="str">
        <x:v>ยังไม่พบหรือยังไม่ยืนยัน</x:v>
      </x:c>
      <x:c r="K49" s="51" t="str">
        <x:v>https://darksky.narit.or.th/darksky/north/ontaisan/</x:v>
      </x:c>
      <x:c r="L49" s="51" t="str">
        <x:v>https://www.youtube.com/watch?v=Ysp9e9pgK4c</x:v>
      </x:c>
      <x:c r="M49" s="20" t="str">
        <x:v>พบแหล่งต่างเว็บไซต์ อุตสาหกรรมท่องเที่ยวบ้านออนใต้ อ.สันกำแพง จ.เชียงใหม่ : สถานีร้องเรียน (29 ส.ค. 62) - YouTube</x:v>
      </x:c>
      <x:c r="N49" s="28" t="n">
        <x:v>46316</x:v>
      </x:c>
      <x:c r="O49" s="57" t="str">
        <x:v>ยังไม่ตรวจ</x:v>
      </x:c>
      <x:c r="P49" s="57" t="str">
        <x:v>ยังไม่ติดต่อ</x:v>
      </x:c>
      <x:c r="Q49" s="20" t="str">
        <x:v>R26-123</x:v>
      </x:c>
      <x:c r="R49" s="20" t="str"/>
      <x:c r="S49" s="20" t="str"/>
      <x:c r="T49" s="20" t="str">
        <x:v>https://darksky.narit.or.th/darksky/north/ontaisan/</x:v>
      </x:c>
      <x:c r="U49" s="20" t="str"/>
      <x:c r="V49" s="20" t="str"/>
      <x:c r="W49" s="20" t="str"/>
      <x:c r="X49" s="20" t="str"/>
      <x:c r="Y49" s="20" t="str">
        <x:v>https://www.google.com/maps/search/?api=1&amp;query=%E0%B8%8A%E0%B8%B8%E0%B8%A1%E0%B8%8A%E0%B8%99%E0%B8%9A%E0%B9%89%E0%B8%B2%E0%B8%99%E0%B8%AD%E0%B8%AD%E0%B8%99%E0%B9%83%E0%B8%95%E0%B9%89%20%E0%B9%80%E0%B8%8A%E0%B8%B5%E0%B8%A2%E0%B8%87%E0%B9%83%E0%B8%AB%E0%B8%A1%E0%B9%88</x:v>
      </x:c>
      <x:c r="Z49" s="56" t="str"/>
      <x:c r="AA49" s="56" t="str"/>
      <x:c r="AB49" s="57" t="str"/>
      <x:c r="AC49" s="20" t="str">
        <x:v>https://darksky.narit.or.th/darksky/north/ontaisan/</x:v>
      </x:c>
    </x:row>
    <x:row r="50" ht="88" customHeight="1">
      <x:c r="A50" s="54" t="n">
        <x:v>42</x:v>
      </x:c>
      <x:c r="B50" s="20" t="str">
        <x:v>สวนสัตว์เชียงใหม่</x:v>
      </x:c>
      <x:c r="C50" s="20" t="str">
        <x:v>เชียงใหม่</x:v>
      </x:c>
      <x:c r="D50" s="20" t="str">
        <x:v>กิจกรรม</x:v>
      </x:c>
      <x:c r="E50" s="20" t="str">
        <x:v>พบข้อมูลชื่อตรงจาก สวนสัตว์เชียงใหม่; เป็นหลักฐานตัวตน/ประเภท ยังไม่ยืนยันบริการมุสลิมครบเกณฑ์</x:v>
      </x:c>
      <x:c r="F50" s="20" t="str">
        <x:v>ไม่ทราบ</x:v>
      </x:c>
      <x:c r="G50" s="20" t="str">
        <x:v>ยังไม่ยืนยันใบรับรองและวันหมดอายุ</x:v>
      </x:c>
      <x:c r="H50" s="20" t="str">
        <x:v>ตรวจการเปิด ตัวตนสาขา ช่องทางติดต่อ และเงื่อนไขบังคับตามประเภท</x:v>
      </x:c>
      <x:c r="I50" s="20" t="str">
        <x:v>ยังไม่ยืนยันที่อยู่ละเอียด ดูลิงก์แหล่งข้อมูลและ Google Maps</x:v>
      </x:c>
      <x:c r="J50" s="21" t="str">
        <x:v>ยังไม่พบหรือยังไม่ยืนยัน</x:v>
      </x:c>
      <x:c r="K50" s="51" t="str">
        <x:v>https://www.thailandtourismdirectory.go.th/attraction/339</x:v>
      </x:c>
      <x:c r="L50" s="51" t="str">
        <x:v>https://chiangmaiaquarium.com/</x:v>
      </x:c>
      <x:c r="M50" s="20" t="str">
        <x:v>พบแหล่งต่างเว็บไซต์ Chiangmai Zoo Aquarium | เชียงใหม่ ซู อควาเรียม ศูนย์แสดงพันธุ์สัตว์น้ำ สวนสัตว์เชียงใหม่ – ศูนย์แสดงพันธุ์สัตว์น้ำ ทะเลบนยอดดอย แหล่งท่องเที่ยว อุโมงค์ปลาใต้น้ำที่ยาวที่สุดในเอเชียตะวันออกเฉียงใต้</x:v>
      </x:c>
      <x:c r="N50" s="28" t="n">
        <x:v>46316</x:v>
      </x:c>
      <x:c r="O50" s="57" t="str">
        <x:v>ยังไม่ตรวจ</x:v>
      </x:c>
      <x:c r="P50" s="57" t="str">
        <x:v>ยังไม่ติดต่อ</x:v>
      </x:c>
      <x:c r="Q50" s="20" t="str">
        <x:v>R26-324</x:v>
      </x:c>
      <x:c r="R50" s="20" t="str"/>
      <x:c r="S50" s="20" t="str"/>
      <x:c r="T50" s="20" t="str">
        <x:v>https://www.thailandtourismdirectory.go.th/attraction/339</x:v>
      </x:c>
      <x:c r="U50" s="20" t="str"/>
      <x:c r="V50" s="20" t="str"/>
      <x:c r="W50" s="20" t="str"/>
      <x:c r="X50" s="20" t="str"/>
      <x:c r="Y50" s="20" t="str">
        <x:v>https://www.google.com/maps/search/?api=1&amp;query=%E0%B8%AA%E0%B8%A7%E0%B8%99%E0%B8%AA%E0%B8%B1%E0%B8%95%E0%B8%A7%E0%B9%8C%E0%B9%80%E0%B8%8A%E0%B8%B5%E0%B8%A2%E0%B8%87%E0%B9%83%E0%B8%AB%E0%B8%A1%E0%B9%88%20%E0%B9%80%E0%B8%8A%E0%B8%B5%E0%B8%A2%E0%B8%87%E0%B9%83%E0%B8%AB%E0%B8%A1%E0%B9%88</x:v>
      </x:c>
      <x:c r="Z50" s="56" t="n">
        <x:v>18.809694</x:v>
      </x:c>
      <x:c r="AA50" s="56" t="n">
        <x:v>98.947592</x:v>
      </x:c>
      <x:c r="AB50" s="57" t="str"/>
      <x:c r="AC50" s="20" t="str">
        <x:v>https://www.thailandtourismdirectory.go.th/attraction/339</x:v>
      </x:c>
    </x:row>
    <x:row r="51" ht="88" customHeight="1">
      <x:c r="A51" s="54" t="n">
        <x:v>43</x:v>
      </x:c>
      <x:c r="B51" s="20" t="str">
        <x:v>เชียงใหม่ไนท์ซาฟารี</x:v>
      </x:c>
      <x:c r="C51" s="20" t="str">
        <x:v>เชียงใหม่</x:v>
      </x:c>
      <x:c r="D51" s="20" t="str">
        <x:v>กิจกรรม</x:v>
      </x:c>
      <x:c r="E51" s="20" t="str">
        <x:v>พบข้อมูลชื่อตรงจาก เชียงใหม่ไนท์ซาฟารี; เป็นหลักฐานตัวตน/ประเภท ยังไม่ยืนยันบริการมุสลิมครบเกณฑ์</x:v>
      </x:c>
      <x:c r="F51" s="20" t="str">
        <x:v>ไม่ทราบ</x:v>
      </x:c>
      <x:c r="G51" s="20" t="str">
        <x:v>ยังไม่ยืนยันใบรับรองและวันหมดอายุ</x:v>
      </x:c>
      <x:c r="H51" s="20" t="str">
        <x:v>ตรวจการเปิด ตัวตนสาขา ช่องทางติดต่อ และเงื่อนไขบังคับตามประเภท</x:v>
      </x:c>
      <x:c r="I51" s="20" t="str">
        <x:v>ยังไม่ยืนยันที่อยู่ละเอียด ดูลิงก์แหล่งข้อมูลและ Google Maps</x:v>
      </x:c>
      <x:c r="J51" s="21" t="str">
        <x:v>ยังไม่พบหรือยังไม่ยืนยัน</x:v>
      </x:c>
      <x:c r="K51" s="51" t="str">
        <x:v>https://www.maehia.go.th/upload/20251119114042.pdf</x:v>
      </x:c>
      <x:c r="L51" s="51" t="str">
        <x:v>https://pinkanakorn.or.th/wp-content/uploads/2024/04/O11.pdf</x:v>
      </x:c>
      <x:c r="M51" s="20" t="str">
        <x:v>พบแหล่งต่างเว็บไซต์ แนวทางการให้บริการสำนักงานเชียงใหม่ไนท์ซาฟารีฝ่ายการตลาด</x:v>
      </x:c>
      <x:c r="N51" s="28" t="n">
        <x:v>46316</x:v>
      </x:c>
      <x:c r="O51" s="57" t="str">
        <x:v>ยังไม่ตรวจ</x:v>
      </x:c>
      <x:c r="P51" s="57" t="str">
        <x:v>ยังไม่ติดต่อ</x:v>
      </x:c>
      <x:c r="Q51" s="20" t="str">
        <x:v>R26-323</x:v>
      </x:c>
      <x:c r="R51" s="20" t="str"/>
      <x:c r="S51" s="20" t="str"/>
      <x:c r="T51" s="20" t="str">
        <x:v>https://www.maehia.go.th/upload/20251119114042.pdf</x:v>
      </x:c>
      <x:c r="U51" s="20" t="str"/>
      <x:c r="V51" s="20" t="str"/>
      <x:c r="W51" s="20" t="str">
        <x:v>https://page.line.me/jzi1178d</x:v>
      </x:c>
      <x:c r="X51" s="20" t="str"/>
      <x:c r="Y51" s="20" t="str">
        <x:v>https://www.google.com/maps/search/?api=1&amp;query=%E0%B9%80%E0%B8%8A%E0%B8%B5%E0%B8%A2%E0%B8%87%E0%B9%83%E0%B8%AB%E0%B8%A1%E0%B9%88%E0%B9%84%E0%B8%99%E0%B8%97%E0%B9%8C%E0%B8%8B%E0%B8%B2%E0%B8%9F%E0%B8%B2%E0%B8%A3%E0%B8%B5%20%E0%B9%80%E0%B8%8A%E0%B8%B5%E0%B8%A2%E0%B8%87%E0%B9%83%E0%B8%AB%E0%B8%A1%E0%B9%88</x:v>
      </x:c>
      <x:c r="Z51" s="56" t="str"/>
      <x:c r="AA51" s="56" t="str"/>
      <x:c r="AB51" s="57" t="str"/>
      <x:c r="AC51" s="20" t="str">
        <x:v>https://www.maehia.go.th/upload/20251119114042.pdf</x:v>
      </x:c>
    </x:row>
    <x:row r="52" ht="88" customHeight="1">
      <x:c r="A52" s="54" t="n">
        <x:v>44</x:v>
      </x:c>
      <x:c r="B52" s="20" t="str">
        <x:v>Rasa Boutique Hotel Chiang Rai</x:v>
      </x:c>
      <x:c r="C52" s="20" t="str">
        <x:v>เชียงราย</x:v>
      </x:c>
      <x:c r="D52" s="20" t="str">
        <x:v>ที่พัก</x:v>
      </x:c>
      <x:c r="E52" s="20" t="str">
        <x:v>พบข้อมูลชื่อตรงจาก Rasa Boutique Hotel Chiang Rai | Moroccan-Inspired Boutique Hotel, Pool &amp; Dining; เป็นหลักฐานตัวตน/ประเภท ยังไม่ยืนยันบริการมุสลิมครบเกณฑ์</x:v>
      </x:c>
      <x:c r="F52" s="20" t="str">
        <x:v>ไม่ทราบ</x:v>
      </x:c>
      <x:c r="G52" s="20" t="str">
        <x:v>ยังไม่ยืนยันใบรับรองและวันหมดอายุ</x:v>
      </x:c>
      <x:c r="H52" s="20" t="str">
        <x:v>ตรวจการเปิด ตัวตนสาขา ช่องทางติดต่อ และเงื่อนไขบังคับตามประเภท</x:v>
      </x:c>
      <x:c r="I52" s="20" t="str">
        <x:v>ยังไม่ยืนยันที่อยู่ละเอียด ดูลิงก์แหล่งข้อมูลและ Google Maps</x:v>
      </x:c>
      <x:c r="J52" s="21" t="str">
        <x:v>+6653717454</x:v>
      </x:c>
      <x:c r="K52" s="51" t="str">
        <x:v>https://rasahotel.com/</x:v>
      </x:c>
      <x:c r="L52" s="51" t="str">
        <x:v>https://www.booking.com/hotel/th/rasa-boutique-chiang-rai.html</x:v>
      </x:c>
      <x:c r="M52" s="20" t="str">
        <x:v>พบแหล่งต่างเว็บไซต์ Rasa Boutique Hotel Chiang Rai, Chiang Rai (updated prices 2026)</x:v>
      </x:c>
      <x:c r="N52" s="28" t="n">
        <x:v>46316</x:v>
      </x:c>
      <x:c r="O52" s="57" t="str">
        <x:v>ยังไม่ตรวจ</x:v>
      </x:c>
      <x:c r="P52" s="57" t="str">
        <x:v>ยังไม่ติดต่อ</x:v>
      </x:c>
      <x:c r="Q52" s="20" t="str">
        <x:v>R26-017</x:v>
      </x:c>
      <x:c r="R52" s="20" t="str">
        <x:v>Rasa Boutique Hotel Chiang Rai</x:v>
      </x:c>
      <x:c r="S52" s="20" t="str"/>
      <x:c r="T52" s="20" t="str">
        <x:v>https://rasahotel.com/</x:v>
      </x:c>
      <x:c r="U52" s="20" t="str"/>
      <x:c r="V52" s="20" t="str"/>
      <x:c r="W52" s="20" t="str"/>
      <x:c r="X52" s="20" t="str"/>
      <x:c r="Y52" s="20" t="str">
        <x:v>https://www.google.com/maps/search/?api=1&amp;query=Rasa%20Boutique%20Hotel%20Chiang%20Rai%20%E0%B9%80%E0%B8%8A%E0%B8%B5%E0%B8%A2%E0%B8%87%E0%B8%A3%E0%B8%B2%E0%B8%A2</x:v>
      </x:c>
      <x:c r="Z52" s="56" t="n">
        <x:v>19.9071</x:v>
      </x:c>
      <x:c r="AA52" s="56" t="n">
        <x:v>99.8309</x:v>
      </x:c>
      <x:c r="AB52" s="57" t="str"/>
      <x:c r="AC52" s="20" t="str">
        <x:v>https://rasahotel.com/</x:v>
      </x:c>
    </x:row>
    <x:row r="53" ht="88" customHeight="1">
      <x:c r="A53" s="54" t="n">
        <x:v>45</x:v>
      </x:c>
      <x:c r="B53" s="20" t="str">
        <x:v>บุหงา ตานี cafe bistro</x:v>
      </x:c>
      <x:c r="C53" s="20" t="str">
        <x:v>เชียงราย</x:v>
      </x:c>
      <x:c r="D53" s="20" t="str">
        <x:v>อาหาร</x:v>
      </x:c>
      <x:c r="E53" s="20" t="str">
        <x:v>พบข้อมูลชื่อตรงจาก บุหงา ตานี Cafe‘ &amp; Bistro Map - Wiang, Chiang Rai Province, Thailand; เป็นหลักฐานตัวตน/ประเภท ยังไม่ยืนยันบริการมุสลิมครบเกณฑ์</x:v>
      </x:c>
      <x:c r="F53" s="20" t="str">
        <x:v>ไม่ทราบ</x:v>
      </x:c>
      <x:c r="G53" s="20" t="str">
        <x:v>ยังไม่ยืนยันใบรับรองและวันหมดอายุ</x:v>
      </x:c>
      <x:c r="H53" s="20" t="str">
        <x:v>ตรวจการเปิด ตัวตนสาขา ช่องทางติดต่อ และเงื่อนไขบังคับตามประเภท</x:v>
      </x:c>
      <x:c r="I53" s="20" t="str">
        <x:v>ยังไม่ยืนยันที่อยู่ละเอียด ดูลิงก์แหล่งข้อมูลและ Google Maps</x:v>
      </x:c>
      <x:c r="J53" s="21" t="str">
        <x:v>ยังไม่พบหรือยังไม่ยืนยัน</x:v>
      </x:c>
      <x:c r="K53" s="51" t="str">
        <x:v>https://mapcarta.com/N8440021025</x:v>
      </x:c>
      <x:c r="L53" s="51" t="str">
        <x:v>https://www.lemon8-app.com/%40varisa.ck/7185227914152034817?region=th</x:v>
      </x:c>
      <x:c r="M53" s="20" t="str">
        <x:v>พบแหล่งต่างเว็บไซต์ บุหงา ตานี คาเฟ่ฮาลาลบรรยากาศดีในเชียงราย ราคานักเรียนที่ต้องลอง</x:v>
      </x:c>
      <x:c r="N53" s="28" t="n">
        <x:v>46316</x:v>
      </x:c>
      <x:c r="O53" s="57" t="str">
        <x:v>ยังไม่ตรวจ</x:v>
      </x:c>
      <x:c r="P53" s="57" t="str">
        <x:v>ยังไม่ติดต่อ</x:v>
      </x:c>
      <x:c r="Q53" s="20" t="str">
        <x:v>R26-013</x:v>
      </x:c>
      <x:c r="R53" s="20" t="str"/>
      <x:c r="S53" s="20" t="str"/>
      <x:c r="T53" s="20" t="str">
        <x:v>https://mapcarta.com/N8440021025</x:v>
      </x:c>
      <x:c r="U53" s="20" t="str"/>
      <x:c r="V53" s="20" t="str"/>
      <x:c r="W53" s="20" t="str"/>
      <x:c r="X53" s="20" t="str"/>
      <x:c r="Y53" s="20" t="str">
        <x:v>https://www.google.com/maps/search/?api=1&amp;query=%E0%B8%9A%E0%B8%B8%E0%B8%AB%E0%B8%87%E0%B8%B2%20%E0%B8%95%E0%B8%B2%E0%B8%99%E0%B8%B5%20cafe%20bistro%20%E0%B9%80%E0%B8%8A%E0%B8%B5%E0%B8%A2%E0%B8%87%E0%B8%A3%E0%B8%B2%E0%B8%A2</x:v>
      </x:c>
      <x:c r="Z53" s="56" t="n">
        <x:v>19.906715</x:v>
      </x:c>
      <x:c r="AA53" s="56" t="n">
        <x:v>99.825065</x:v>
      </x:c>
      <x:c r="AB53" s="57" t="str"/>
      <x:c r="AC53" s="20" t="str">
        <x:v>https://mapcarta.com/N8440021025</x:v>
      </x:c>
    </x:row>
    <x:row r="54" ht="88" customHeight="1">
      <x:c r="A54" s="54" t="n">
        <x:v>46</x:v>
      </x:c>
      <x:c r="B54" s="20" t="str">
        <x:v>บ้านเนื้อฮาลาล เชียงราย</x:v>
      </x:c>
      <x:c r="C54" s="20" t="str">
        <x:v>เชียงราย</x:v>
      </x:c>
      <x:c r="D54" s="20" t="str">
        <x:v>อาหาร</x:v>
      </x:c>
      <x:c r="E54" s="20" t="str">
        <x:v>พบข้อมูลชื่อตรงจาก รีวิว บ้านเนื้อฮาลาลเชียงราย - - ร้านเนื้อย่างฮาลาล เชียงราย; เป็นหลักฐานตัวตน/ประเภท ยังไม่ยืนยันบริการมุสลิมครบเกณฑ์</x:v>
      </x:c>
      <x:c r="F54" s="20" t="str">
        <x:v>ไม่ทราบ</x:v>
      </x:c>
      <x:c r="G54" s="20" t="str">
        <x:v>ยังไม่ยืนยันใบรับรองและวันหมดอายุ</x:v>
      </x:c>
      <x:c r="H54" s="20" t="str">
        <x:v>ตรวจการเปิด ตัวตนสาขา ช่องทางติดต่อ และเงื่อนไขบังคับตามประเภท</x:v>
      </x:c>
      <x:c r="I54" s="20" t="str">
        <x:v>ยังไม่ยืนยันที่อยู่ละเอียด ดูลิงก์แหล่งข้อมูลและ Google Maps</x:v>
      </x:c>
      <x:c r="J54" s="21" t="str">
        <x:v>ยังไม่พบหรือยังไม่ยืนยัน</x:v>
      </x:c>
      <x:c r="K54" s="51" t="str">
        <x:v>https://www.wongnai.com/reviews/22dc925868bb43e4a6a531cefee92fd8</x:v>
      </x:c>
      <x:c r="L54" s="51" t="str">
        <x:v>https://www.lemon8-app.com/%40armsapareview/7590601900031230471?region=th</x:v>
      </x:c>
      <x:c r="M54" s="20" t="str">
        <x:v>พบแหล่งต่างเว็บไซต์ บ้านเนื้อฮาลาล เชียงราย: บุฟเฟ่ต์เนื้อพรีเมียม ใกล้ตัวเมือง (รีวิวร้านเนื้อใกล้ฉัน)</x:v>
      </x:c>
      <x:c r="N54" s="28" t="n">
        <x:v>46316</x:v>
      </x:c>
      <x:c r="O54" s="57" t="str">
        <x:v>ยังไม่ตรวจ</x:v>
      </x:c>
      <x:c r="P54" s="57" t="str">
        <x:v>ยังไม่ติดต่อ</x:v>
      </x:c>
      <x:c r="Q54" s="20" t="str">
        <x:v>R26-016</x:v>
      </x:c>
      <x:c r="R54" s="20" t="str"/>
      <x:c r="S54" s="20" t="str"/>
      <x:c r="T54" s="20" t="str">
        <x:v>https://www.wongnai.com/reviews/22dc925868bb43e4a6a531cefee92fd8</x:v>
      </x:c>
      <x:c r="U54" s="20" t="str"/>
      <x:c r="V54" s="20" t="str"/>
      <x:c r="W54" s="20" t="str"/>
      <x:c r="X54" s="20" t="str"/>
      <x:c r="Y54" s="20" t="str">
        <x:v>https://www.google.com/maps/search/?api=1&amp;query=%E0%B8%9A%E0%B9%89%E0%B8%B2%E0%B8%99%E0%B9%80%E0%B8%99%E0%B8%B7%E0%B9%89%E0%B8%AD%E0%B8%AE%E0%B8%B2%E0%B8%A5%E0%B8%B2%E0%B8%A5%20%E0%B9%80%E0%B8%8A%E0%B8%B5%E0%B8%A2%E0%B8%87%E0%B8%A3%E0%B8%B2%E0%B8%A2%20%E0%B9%80%E0%B8%8A%E0%B8%B5%E0%B8%A2%E0%B8%87%E0%B8%A3%E0%B8%B2%E0%B8%A2</x:v>
      </x:c>
      <x:c r="Z54" s="56" t="str"/>
      <x:c r="AA54" s="56" t="str"/>
      <x:c r="AB54" s="57" t="str"/>
      <x:c r="AC54" s="20" t="str">
        <x:v>https://www.wongnai.com/reviews/22dc925868bb43e4a6a531cefee92fd8</x:v>
      </x:c>
    </x:row>
    <x:row r="55" ht="88" customHeight="1">
      <x:c r="A55" s="54" t="n">
        <x:v>47</x:v>
      </x:c>
      <x:c r="B55" s="20" t="str">
        <x:v>มัสยิดกลางเชียงราย ดารุลอามาน</x:v>
      </x:c>
      <x:c r="C55" s="20" t="str">
        <x:v>เชียงราย</x:v>
      </x:c>
      <x:c r="D55" s="20" t="str">
        <x:v>มัสยิด</x:v>
      </x:c>
      <x:c r="E55" s="20" t="str">
        <x:v>พบข้อมูลชื่อตรงจาก สลามเมืองไทย EP47 มัสยิดดารุลอามาน มัสยิดกลาง  จ.เชียงราย โดดเด่น สไตล์ศิลปะจีนและอิสลาม - YouTube; เป็นหลักฐานตัวตน/ประเภท ยังไม่ยืนยันบริการมุสลิมครบเกณฑ์</x:v>
      </x:c>
      <x:c r="F55" s="20" t="str">
        <x:v>ไม่ทราบ</x:v>
      </x:c>
      <x:c r="G55" s="20" t="str">
        <x:v>ยังไม่ยืนยันใบรับรองและวันหมดอายุ</x:v>
      </x:c>
      <x:c r="H5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55" s="20" t="str">
        <x:v>ยังไม่ยืนยันที่อยู่ละเอียด ดูลิงก์แหล่งข้อมูลและ Google Maps</x:v>
      </x:c>
      <x:c r="J55" s="21" t="str">
        <x:v>ยังไม่พบหรือยังไม่ยืนยัน</x:v>
      </x:c>
      <x:c r="K55" s="51" t="str">
        <x:v>https://www.youtube.com/watch?v=ZBF-DU8o8qc</x:v>
      </x:c>
      <x:c r="L55" s="51" t="str">
        <x:v>https://muslimchiangmainews.blogspot.com/2019/11/blog-post_14.html</x:v>
      </x:c>
      <x:c r="M55" s="20" t="str">
        <x:v>พบแหล่งต่างเว็บไซต์ มัสยิดดารุล อามานอาคารมัสยิดอัตลักษณ์จีนมุสลิมกลางเมืองเชียงราย</x:v>
      </x:c>
      <x:c r="N55" s="28" t="n">
        <x:v>46316</x:v>
      </x:c>
      <x:c r="O55" s="57" t="str">
        <x:v>ยังไม่ตรวจ</x:v>
      </x:c>
      <x:c r="P55" s="57" t="str">
        <x:v>ยังไม่ติดต่อ</x:v>
      </x:c>
      <x:c r="Q55" s="20" t="str">
        <x:v>R26-012</x:v>
      </x:c>
      <x:c r="R55" s="20" t="str"/>
      <x:c r="S55" s="20" t="str"/>
      <x:c r="T55" s="20" t="str">
        <x:v>https://www.youtube.com/watch?v=ZBF-DU8o8qc</x:v>
      </x:c>
      <x:c r="U55" s="20" t="str"/>
      <x:c r="V55" s="20" t="str"/>
      <x:c r="W55" s="20" t="str"/>
      <x:c r="X55" s="20" t="str"/>
      <x:c r="Y55" s="20" t="str">
        <x:v>https://www.google.com/maps/search/?api=1&amp;query=%E0%B8%A1%E0%B8%B1%E0%B8%AA%E0%B8%A2%E0%B8%B4%E0%B8%94%E0%B8%81%E0%B8%A5%E0%B8%B2%E0%B8%87%E0%B9%80%E0%B8%8A%E0%B8%B5%E0%B8%A2%E0%B8%87%E0%B8%A3%E0%B8%B2%E0%B8%A2%20%E0%B8%94%E0%B8%B2%E0%B8%A3%E0%B8%B8%E0%B8%A5%E0%B8%AD%E0%B8%B2%E0%B8%A1%E0%B8%B2%E0%B8%99%20%E0%B9%80%E0%B8%8A%E0%B8%B5%E0%B8%A2%E0%B8%87%E0%B8%A3%E0%B8%B2%E0%B8%A2</x:v>
      </x:c>
      <x:c r="Z55" s="56" t="str"/>
      <x:c r="AA55" s="56" t="str"/>
      <x:c r="AB55" s="57" t="str"/>
      <x:c r="AC55" s="20" t="str">
        <x:v>https://www.youtube.com/watch?v=ZBF-DU8o8qc</x:v>
      </x:c>
    </x:row>
    <x:row r="56" ht="88" customHeight="1">
      <x:c r="A56" s="54" t="n">
        <x:v>48</x:v>
      </x:c>
      <x:c r="B56" s="20" t="str">
        <x:v>วัดร่องขุ่น</x:v>
      </x:c>
      <x:c r="C56" s="20" t="str">
        <x:v>เชียงราย</x:v>
      </x:c>
      <x:c r="D56" s="20" t="str">
        <x:v>ประวัติ</x:v>
      </x:c>
      <x:c r="E56" s="20" t="str">
        <x:v>พบข้อมูลชื่อตรงจาก วัดร่องขุ่น : Wat Rong Khun Temple - สำนักงานการท่องเที่ยวและกีฬาจังหวัดเชียงราย; เป็นหลักฐานตัวตน/ประเภท ยังไม่ยืนยันบริการมุสลิมครบเกณฑ์</x:v>
      </x:c>
      <x:c r="F56" s="20" t="str">
        <x:v>ไม่ทราบ</x:v>
      </x:c>
      <x:c r="G56" s="20" t="str">
        <x:v>ยังไม่ยืนยันใบรับรองและวันหมดอายุ</x:v>
      </x:c>
      <x:c r="H56" s="20" t="str">
        <x:v>ตรวจการเปิด ตัวตนสาขา ช่องทางติดต่อ และเงื่อนไขบังคับตามประเภท</x:v>
      </x:c>
      <x:c r="I56" s="20" t="str">
        <x:v>ยังไม่ยืนยันที่อยู่ละเอียด ดูลิงก์แหล่งข้อมูลและ Google Maps</x:v>
      </x:c>
      <x:c r="J56" s="21" t="str">
        <x:v>ยังไม่พบหรือยังไม่ยืนยัน</x:v>
      </x:c>
      <x:c r="K56" s="51" t="str">
        <x:v>https://chiangrai.mots.go.th/news/1507</x:v>
      </x:c>
      <x:c r="L56" s="51" t="str">
        <x:v>https://www.chiangraicity.go.th/travel/detail/109</x:v>
      </x:c>
      <x:c r="M56" s="20" t="str">
        <x:v>พบแหล่งต่างเว็บไซต์ วัดร่องขุ่น</x:v>
      </x:c>
      <x:c r="N56" s="28" t="n">
        <x:v>46316</x:v>
      </x:c>
      <x:c r="O56" s="57" t="str">
        <x:v>ยังไม่ตรวจ</x:v>
      </x:c>
      <x:c r="P56" s="57" t="str">
        <x:v>ยังไม่ติดต่อ</x:v>
      </x:c>
      <x:c r="Q56" s="20" t="str">
        <x:v>R26-014</x:v>
      </x:c>
      <x:c r="R56" s="20" t="str"/>
      <x:c r="S56" s="20" t="str"/>
      <x:c r="T56" s="20" t="str">
        <x:v>https://chiangrai.mots.go.th/news/1507</x:v>
      </x:c>
      <x:c r="U56" s="20" t="str"/>
      <x:c r="V56" s="20" t="str"/>
      <x:c r="W56" s="20" t="str"/>
      <x:c r="X56" s="20" t="str"/>
      <x:c r="Y56" s="20" t="str">
        <x:v>https://www.google.com/maps/search/?api=1&amp;query=%E0%B8%A7%E0%B8%B1%E0%B8%94%E0%B8%A3%E0%B9%88%E0%B8%AD%E0%B8%87%E0%B8%82%E0%B8%B8%E0%B9%88%E0%B8%99%20%E0%B9%80%E0%B8%8A%E0%B8%B5%E0%B8%A2%E0%B8%87%E0%B8%A3%E0%B8%B2%E0%B8%A2</x:v>
      </x:c>
      <x:c r="Z56" s="56" t="n">
        <x:v>19.82417</x:v>
      </x:c>
      <x:c r="AA56" s="56" t="n">
        <x:v>99.763649</x:v>
      </x:c>
      <x:c r="AB56" s="57" t="str"/>
      <x:c r="AC56" s="20" t="str">
        <x:v>https://chiangrai.mots.go.th/news/1507</x:v>
      </x:c>
    </x:row>
    <x:row r="57" ht="88" customHeight="1">
      <x:c r="A57" s="54" t="n">
        <x:v>49</x:v>
      </x:c>
      <x:c r="B57" s="20" t="str">
        <x:v>ดอยดินแดง เครื่องปั้นดินเผา</x:v>
      </x:c>
      <x:c r="C57" s="20" t="str">
        <x:v>เชียงราย</x:v>
      </x:c>
      <x:c r="D57" s="20" t="str">
        <x:v>กิจกรรม</x:v>
      </x:c>
      <x:c r="E57" s="20" t="str">
        <x:v>พบข้อมูลชื่อตรงจาก ดอยดินแดง เครื่องปั้นดินเผา (Doy Din Dang Pottery) - YouTube; เป็นหลักฐานตัวตน/ประเภท ยังไม่ยืนยันบริการมุสลิมครบเกณฑ์</x:v>
      </x:c>
      <x:c r="F57" s="20" t="str">
        <x:v>ไม่ทราบ</x:v>
      </x:c>
      <x:c r="G57" s="20" t="str">
        <x:v>ยังไม่ยืนยันใบรับรองและวันหมดอายุ</x:v>
      </x:c>
      <x:c r="H57" s="20" t="str">
        <x:v>ตรวจการเปิด ตัวตนสาขา ช่องทางติดต่อ และเงื่อนไขบังคับตามประเภท</x:v>
      </x:c>
      <x:c r="I57" s="20" t="str">
        <x:v>ยังไม่ยืนยันที่อยู่ละเอียด ดูลิงก์แหล่งข้อมูลและ Google Maps</x:v>
      </x:c>
      <x:c r="J57" s="21" t="str">
        <x:v>ยังไม่พบหรือยังไม่ยืนยัน</x:v>
      </x:c>
      <x:c r="K57" s="51" t="str">
        <x:v>https://www.youtube.com/watch?v=F7fgbxwlxkY</x:v>
      </x:c>
      <x:c r="L57" s="51" t="str">
        <x:v>https://sites.google.com/view/doydindang/%E0%B8%95%E0%B8%94%E0%B8%95%E0%B8%AD</x:v>
      </x:c>
      <x:c r="M57" s="20" t="str">
        <x:v>พบแหล่งต่างเว็บไซต์ Doy Din Dang - ติดต่อ</x:v>
      </x:c>
      <x:c r="N57" s="28" t="n">
        <x:v>46316</x:v>
      </x:c>
      <x:c r="O57" s="57" t="str">
        <x:v>ยังไม่ตรวจ</x:v>
      </x:c>
      <x:c r="P57" s="57" t="str">
        <x:v>ยังไม่ติดต่อ</x:v>
      </x:c>
      <x:c r="Q57" s="20" t="str">
        <x:v>R26-011</x:v>
      </x:c>
      <x:c r="R57" s="20" t="str"/>
      <x:c r="S57" s="20" t="str"/>
      <x:c r="T57" s="20" t="str">
        <x:v>https://www.youtube.com/watch?v=F7fgbxwlxkY</x:v>
      </x:c>
      <x:c r="U57" s="20" t="str"/>
      <x:c r="V57" s="20" t="str"/>
      <x:c r="W57" s="20" t="str"/>
      <x:c r="X57" s="20" t="str"/>
      <x:c r="Y57" s="20" t="str">
        <x:v>https://www.google.com/maps/search/?api=1&amp;query=%E0%B8%94%E0%B8%AD%E0%B8%A2%E0%B8%94%E0%B8%B4%E0%B8%99%E0%B9%81%E0%B8%94%E0%B8%87%20%E0%B9%80%E0%B8%84%E0%B8%A3%E0%B8%B7%E0%B9%88%E0%B8%AD%E0%B8%87%E0%B8%9B%E0%B8%B1%E0%B9%89%E0%B8%99%E0%B8%94%E0%B8%B4%E0%B8%99%E0%B9%80%E0%B8%9C%E0%B8%B2%20%E0%B9%80%E0%B8%8A%E0%B8%B5%E0%B8%A2%E0%B8%87%E0%B8%A3%E0%B8%B2%E0%B8%A2</x:v>
      </x:c>
      <x:c r="Z57" s="56" t="str"/>
      <x:c r="AA57" s="56" t="str"/>
      <x:c r="AB57" s="57" t="str"/>
      <x:c r="AC57" s="20" t="str">
        <x:v>https://www.youtube.com/watch?v=F7fgbxwlxkY</x:v>
      </x:c>
    </x:row>
    <x:row r="58" ht="88" customHeight="1">
      <x:c r="A58" s="54" t="n">
        <x:v>50</x:v>
      </x:c>
      <x:c r="B58" s="20" t="str">
        <x:v>สิงห์ปาร์ค เชียงราย</x:v>
      </x:c>
      <x:c r="C58" s="20" t="str">
        <x:v>เชียงราย</x:v>
      </x:c>
      <x:c r="D58" s="20" t="str">
        <x:v>แหล่งท่องเที่ยวเชิงเกษตรและกิจกรรมกลางแจ้ง</x:v>
      </x:c>
      <x:c r="E58" s="20" t="str">
        <x:v>ททท. ระบุเป็นแหล่งท่องเที่ยวเชิงเกษตรและธรรมชาติ ต้องตรวจอาหารฮาลาลและพื้นที่ละหมาด</x:v>
      </x:c>
      <x:c r="F58" s="20" t="str">
        <x:v>ไม่ทราบ</x:v>
      </x:c>
      <x:c r="G58" s="20" t="str">
        <x:v>ยังไม่พบเอกสารรับรองและวันหมดอายุ</x:v>
      </x:c>
      <x:c r="H58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58" s="20" t="str">
        <x:v>ยังไม่ยืนยันที่อยู่ละเอียด ดูลิงก์แหล่งข้อมูลและ Google Maps</x:v>
      </x:c>
      <x:c r="J58" s="21" t="str">
        <x:v>ยังไม่พบหรือยังไม่ยืนยัน</x:v>
      </x:c>
      <x:c r="K58" s="51" t="str">
        <x:v>https://www.tourismthailand.org/Attraction/singha-park-chiangrai</x:v>
      </x:c>
      <x:c r="L58" s="51" t="str">
        <x:v>https://th.trip.com/travel-guide/attraction/chiang-rai/singha-park-chiang-rai-15056939?curr=JPY&amp;locale=th-TH&amp;rankingId=10070000551130</x:v>
      </x:c>
      <x:c r="M58" s="20" t="str">
        <x:v>ผลค้นหาชื่อสัมพันธ์จากแหล่งเพิ่มเติม ต้องยืนยันสาขาและข้อมูลปัจจุบัน</x:v>
      </x:c>
      <x:c r="N58" s="28" t="n">
        <x:v>46316</x:v>
      </x:c>
      <x:c r="O58" s="57" t="str">
        <x:v>ยังไม่ตรวจ</x:v>
      </x:c>
      <x:c r="P58" s="57" t="str">
        <x:v>ยังไม่ติดต่อ</x:v>
      </x:c>
      <x:c r="Q58" s="20" t="str">
        <x:v>TMF-418</x:v>
      </x:c>
      <x:c r="R58" s="20" t="str"/>
      <x:c r="S58" s="20" t="str"/>
      <x:c r="T58" s="20" t="str">
        <x:v>https://www.tourismthailand.org/Attraction/singha-park-chiangrai</x:v>
      </x:c>
      <x:c r="U58" s="20" t="str"/>
      <x:c r="V58" s="20" t="str"/>
      <x:c r="W58" s="20" t="str"/>
      <x:c r="X58" s="20" t="str"/>
      <x:c r="Y58" s="20" t="str">
        <x:v>https://www.google.com/maps/search/?api=1&amp;query=%E0%B8%AA%E0%B8%B4%E0%B8%87%E0%B8%AB%E0%B9%8C%E0%B8%9B%E0%B8%B2%E0%B8%A3%E0%B9%8C%E0%B8%84%20%E0%B9%80%E0%B8%8A%E0%B8%B5%E0%B8%A2%E0%B8%87%E0%B8%A3%E0%B8%B2%E0%B8%A2%20%E0%B9%80%E0%B8%8A%E0%B8%B5%E0%B8%A2%E0%B8%87%E0%B8%A3%E0%B8%B2%E0%B8%A2</x:v>
      </x:c>
      <x:c r="Z58" s="56" t="n">
        <x:v>19.860213</x:v>
      </x:c>
      <x:c r="AA58" s="56" t="n">
        <x:v>99.731382</x:v>
      </x:c>
      <x:c r="AB58" s="57" t="str"/>
      <x:c r="AC58" s="20" t="str">
        <x:v>https://www.tourismthailand.org/Attraction/singha-park-chiangrai</x:v>
      </x:c>
    </x:row>
    <x:row r="59" ht="88" customHeight="1">
      <x:c r="A59" s="54" t="n">
        <x:v>51</x:v>
      </x:c>
      <x:c r="B59" s="20" t="str">
        <x:v>Saleema Muslim Food Yunnan แม่สลอง</x:v>
      </x:c>
      <x:c r="C59" s="20" t="str">
        <x:v>เชียงราย</x:v>
      </x:c>
      <x:c r="D59" s="20" t="str">
        <x:v>อาหาร</x:v>
      </x:c>
      <x:c r="E59" s="20" t="str">
        <x:v>พบข้อมูลชื่อตรงจาก Saleema Muslim Food (ร้านอาหารซาลีมา) | Makan Halal Guide; เป็นหลักฐานตัวตน/ประเภท ยังไม่ยืนยันบริการมุสลิมครบเกณฑ์</x:v>
      </x:c>
      <x:c r="F59" s="20" t="str">
        <x:v>ไม่ทราบ</x:v>
      </x:c>
      <x:c r="G59" s="20" t="str">
        <x:v>ยังไม่ยืนยันใบรับรองและวันหมดอายุ</x:v>
      </x:c>
      <x:c r="H59" s="20" t="str">
        <x:v>ตรวจการเปิด ตัวตนสาขา ช่องทางติดต่อ และเงื่อนไขบังคับตามประเภท</x:v>
      </x:c>
      <x:c r="I59" s="20" t="str">
        <x:v>ยังไม่ยืนยันที่อยู่ละเอียด ดูลิงก์แหล่งข้อมูลและ Google Maps</x:v>
      </x:c>
      <x:c r="J59" s="21" t="str">
        <x:v>ยังไม่พบหรือยังไม่ยืนยัน</x:v>
      </x:c>
      <x:c r="K59" s="51" t="str">
        <x:v>https://makanhalalguide.com/shop/detail/784</x:v>
      </x:c>
      <x:c r="L59" s="51" t="str">
        <x:v>https://www.thaithurkic.com/saleema-muslim-food-081-104-7373</x:v>
      </x:c>
      <x:c r="M59" s="20" t="str">
        <x:v>พบแหล่งต่างเว็บไซต์ Saleema Muslim Food | 081 104 7373 | เทศบาลนครเชียงราย</x:v>
      </x:c>
      <x:c r="N59" s="28" t="n">
        <x:v>46316</x:v>
      </x:c>
      <x:c r="O59" s="57" t="str">
        <x:v>ยังไม่ตรวจ</x:v>
      </x:c>
      <x:c r="P59" s="57" t="str">
        <x:v>ยังไม่ติดต่อ</x:v>
      </x:c>
      <x:c r="Q59" s="20" t="str">
        <x:v>R26-021</x:v>
      </x:c>
      <x:c r="R59" s="20" t="str"/>
      <x:c r="S59" s="20" t="str"/>
      <x:c r="T59" s="20" t="str">
        <x:v>https://makanhalalguide.com/shop/detail/784</x:v>
      </x:c>
      <x:c r="U59" s="20" t="str"/>
      <x:c r="V59" s="20" t="str"/>
      <x:c r="W59" s="20" t="str"/>
      <x:c r="X59" s="20" t="str"/>
      <x:c r="Y59" s="20" t="str">
        <x:v>https://www.google.com/maps/search/?api=1&amp;query=Saleema%20Muslim%20Food%20Yunnan%20%E0%B9%81%E0%B8%A1%E0%B9%88%E0%B8%AA%E0%B8%A5%E0%B8%AD%E0%B8%87%20%E0%B9%80%E0%B8%8A%E0%B8%B5%E0%B8%A2%E0%B8%87%E0%B8%A3%E0%B8%B2%E0%B8%A2</x:v>
      </x:c>
      <x:c r="Z59" s="56" t="str"/>
      <x:c r="AA59" s="56" t="str"/>
      <x:c r="AB59" s="57" t="str"/>
      <x:c r="AC59" s="20" t="str">
        <x:v>https://makanhalalguide.com/shop/detail/784</x:v>
      </x:c>
    </x:row>
    <x:row r="60" ht="88" customHeight="1">
      <x:c r="A60" s="54" t="n">
        <x:v>52</x:v>
      </x:c>
      <x:c r="B60" s="20" t="str">
        <x:v>ชุมชนสันติคีรี ดอยแม่สลอง</x:v>
      </x:c>
      <x:c r="C60" s="20" t="str">
        <x:v>เชียงราย</x:v>
      </x:c>
      <x:c r="D60" s="20" t="str">
        <x:v>ชุมชน</x:v>
      </x:c>
      <x:c r="E60" s="20" t="str">
        <x:v>พบข้อมูลชื่อตรงจาก สันติคีรี ประวัติศาสตร์ ชาติพันธุ์ กับวิถีชีวิตและเศรษฐกิจ – สถาบันพัฒนาองค์กรชุมชน (องค์การมหาชน); เป็นหลักฐานตัวตน/ประเภท ยังไม่ยืนยันบริการมุสลิมครบเกณฑ์</x:v>
      </x:c>
      <x:c r="F60" s="20" t="str">
        <x:v>ไม่ทราบ</x:v>
      </x:c>
      <x:c r="G60" s="20" t="str">
        <x:v>ยังไม่ยืนยันใบรับรองและวันหมดอายุ</x:v>
      </x:c>
      <x:c r="H60" s="20" t="str">
        <x:v>ตรวจการเปิด ตัวตนสาขา ช่องทางติดต่อ และเงื่อนไขบังคับตามประเภท</x:v>
      </x:c>
      <x:c r="I60" s="20" t="str">
        <x:v>ยังไม่ยืนยันที่อยู่ละเอียด ดูลิงก์แหล่งข้อมูลและ Google Maps</x:v>
      </x:c>
      <x:c r="J60" s="21" t="str">
        <x:v>ยังไม่พบหรือยังไม่ยืนยัน</x:v>
      </x:c>
      <x:c r="K60" s="51" t="str">
        <x:v>https://web.codi.or.th/20190829-8169/</x:v>
      </x:c>
      <x:c r="L60" s="51" t="str">
        <x:v>https://wikicommunity.sac.or.th/community/2439</x:v>
      </x:c>
      <x:c r="M60" s="20" t="str">
        <x:v>พบแหล่งต่างเว็บไซต์ บ้านสันติคีรี</x:v>
      </x:c>
      <x:c r="N60" s="28" t="n">
        <x:v>46316</x:v>
      </x:c>
      <x:c r="O60" s="57" t="str">
        <x:v>ยังไม่ตรวจ</x:v>
      </x:c>
      <x:c r="P60" s="57" t="str">
        <x:v>ยังไม่ติดต่อ</x:v>
      </x:c>
      <x:c r="Q60" s="20" t="str">
        <x:v>R26-018</x:v>
      </x:c>
      <x:c r="R60" s="20" t="str"/>
      <x:c r="S60" s="20" t="str"/>
      <x:c r="T60" s="20" t="str">
        <x:v>https://web.codi.or.th/20190829-8169/</x:v>
      </x:c>
      <x:c r="U60" s="20" t="str"/>
      <x:c r="V60" s="20" t="str"/>
      <x:c r="W60" s="20" t="str"/>
      <x:c r="X60" s="20" t="str"/>
      <x:c r="Y60" s="20" t="str">
        <x:v>https://www.google.com/maps/search/?api=1&amp;query=%E0%B8%8A%E0%B8%B8%E0%B8%A1%E0%B8%8A%E0%B8%99%E0%B8%AA%E0%B8%B1%E0%B8%99%E0%B8%95%E0%B8%B4%E0%B8%84%E0%B8%B5%E0%B8%A3%E0%B8%B5%20%E0%B8%94%E0%B8%AD%E0%B8%A2%E0%B9%81%E0%B8%A1%E0%B9%88%E0%B8%AA%E0%B8%A5%E0%B8%AD%E0%B8%87%20%E0%B9%80%E0%B8%8A%E0%B8%B5%E0%B8%A2%E0%B8%87%E0%B8%A3%E0%B8%B2%E0%B8%A2</x:v>
      </x:c>
      <x:c r="Z60" s="56" t="n">
        <x:v>20.159327</x:v>
      </x:c>
      <x:c r="AA60" s="56" t="n">
        <x:v>99.622581</x:v>
      </x:c>
      <x:c r="AB60" s="57" t="str"/>
      <x:c r="AC60" s="20" t="str">
        <x:v>https://web.codi.or.th/20190829-8169/</x:v>
      </x:c>
    </x:row>
    <x:row r="61" ht="88" customHeight="1">
      <x:c r="A61" s="54" t="n">
        <x:v>53</x:v>
      </x:c>
      <x:c r="B61" s="20" t="str">
        <x:v>ไร่ชา 101 ดอยแม่สลอง</x:v>
      </x:c>
      <x:c r="C61" s="20" t="str">
        <x:v>เชียงราย</x:v>
      </x:c>
      <x:c r="D61" s="20" t="str">
        <x:v>กิจกรรม</x:v>
      </x:c>
      <x:c r="E61" s="20" t="str">
        <x:v>พบข้อมูลชื่อตรงจาก ไร่ชา 101 ดอยแม่สลอง - สำนักงานการท่องเที่ยวและกีฬาจังหวัดเชียงราย; เป็นหลักฐานตัวตน/ประเภท ยังไม่ยืนยันบริการมุสลิมครบเกณฑ์</x:v>
      </x:c>
      <x:c r="F61" s="20" t="str">
        <x:v>ไม่ทราบ</x:v>
      </x:c>
      <x:c r="G61" s="20" t="str">
        <x:v>ยังไม่ยืนยันใบรับรองและวันหมดอายุ</x:v>
      </x:c>
      <x:c r="H61" s="20" t="str">
        <x:v>ตรวจการเปิด ตัวตนสาขา ช่องทางติดต่อ และเงื่อนไขบังคับตามประเภท</x:v>
      </x:c>
      <x:c r="I61" s="20" t="str">
        <x:v>ยังไม่ยืนยันที่อยู่ละเอียด ดูลิงก์แหล่งข้อมูลและ Google Maps</x:v>
      </x:c>
      <x:c r="J61" s="21" t="str">
        <x:v>ยังไม่พบหรือยังไม่ยืนยัน</x:v>
      </x:c>
      <x:c r="K61" s="51" t="str">
        <x:v>https://chiangrai.mots.go.th/news/1682</x:v>
      </x:c>
      <x:c r="L61" s="51" t="str">
        <x:v>https://www.koratcity.go.th/wp-content/uploads/2021/02/%E0%B8%9C%E0%B8%A5%E0%B8%81%E0%B8%B2%E0%B8%A3%E0%B8%9B%E0%B8%8F%E0%B8%B4%E0%B8%9A%E0%B8%B1%E0%B8%95%E0%B8%B4%E0%B8%87%E0%B8%B2%E0%B8%99%E0%B8%95%E0%B8%B2%E0%B8%A1%E0%B8%99%E0%B9%82%E0%B8%A2%E0%B8%9A%E0%B8%B2%E0%B8%A263.pdf</x:v>
      </x:c>
      <x:c r="M61" s="20" t="str">
        <x:v>พบแหล่งต่างเว็บไซต์ ภาพกิจกรรมการศึกษาดูงาน “ไร่ชา 101 ดอยแม่สลอง</x:v>
      </x:c>
      <x:c r="N61" s="28" t="n">
        <x:v>46316</x:v>
      </x:c>
      <x:c r="O61" s="57" t="str">
        <x:v>ยังไม่ตรวจ</x:v>
      </x:c>
      <x:c r="P61" s="57" t="str">
        <x:v>ยังไม่ติดต่อ</x:v>
      </x:c>
      <x:c r="Q61" s="20" t="str">
        <x:v>R26-019</x:v>
      </x:c>
      <x:c r="R61" s="20" t="str"/>
      <x:c r="S61" s="20" t="str"/>
      <x:c r="T61" s="20" t="str">
        <x:v>https://chiangrai.mots.go.th/news/1682</x:v>
      </x:c>
      <x:c r="U61" s="20" t="str"/>
      <x:c r="V61" s="20" t="str"/>
      <x:c r="W61" s="20" t="str"/>
      <x:c r="X61" s="20" t="str"/>
      <x:c r="Y61" s="20" t="str">
        <x:v>https://www.google.com/maps/search/?api=1&amp;query=%E0%B9%84%E0%B8%A3%E0%B9%88%E0%B8%8A%E0%B8%B2%20101%20%E0%B8%94%E0%B8%AD%E0%B8%A2%E0%B9%81%E0%B8%A1%E0%B9%88%E0%B8%AA%E0%B8%A5%E0%B8%AD%E0%B8%87%20%E0%B9%80%E0%B8%8A%E0%B8%B5%E0%B8%A2%E0%B8%87%E0%B8%A3%E0%B8%B2%E0%B8%A2</x:v>
      </x:c>
      <x:c r="Z61" s="56" t="n">
        <x:v>19.82448</x:v>
      </x:c>
      <x:c r="AA61" s="56" t="n">
        <x:v>99.766716</x:v>
      </x:c>
      <x:c r="AB61" s="57" t="str"/>
      <x:c r="AC61" s="20" t="str">
        <x:v>https://chiangrai.mots.go.th/news/1682</x:v>
      </x:c>
    </x:row>
    <x:row r="62" ht="88" customHeight="1">
      <x:c r="A62" s="54" t="n">
        <x:v>54</x:v>
      </x:c>
      <x:c r="B62" s="20" t="str">
        <x:v>ไร่ชาวังพุดตาล</x:v>
      </x:c>
      <x:c r="C62" s="20" t="str">
        <x:v>เชียงราย</x:v>
      </x:c>
      <x:c r="D62" s="20" t="str">
        <x:v>กิจกรรม</x:v>
      </x:c>
      <x:c r="E62" s="20" t="str">
        <x:v>พบข้อมูลชื่อตรงจาก ไร่ชาวังพุดตาล ชาหอม มุมถ่ายรูปสร้างใหม่สวยมากครับ - YouTube; เป็นหลักฐานตัวตน/ประเภท ยังไม่ยืนยันบริการมุสลิมครบเกณฑ์</x:v>
      </x:c>
      <x:c r="F62" s="20" t="str">
        <x:v>ไม่ทราบ</x:v>
      </x:c>
      <x:c r="G62" s="20" t="str">
        <x:v>ยังไม่ยืนยันใบรับรองและวันหมดอายุ</x:v>
      </x:c>
      <x:c r="H62" s="20" t="str">
        <x:v>ตรวจการเปิด ตัวตนสาขา ช่องทางติดต่อ และเงื่อนไขบังคับตามประเภท</x:v>
      </x:c>
      <x:c r="I62" s="20" t="str">
        <x:v>ยังไม่ยืนยันที่อยู่ละเอียด ดูลิงก์แหล่งข้อมูลและ Google Maps</x:v>
      </x:c>
      <x:c r="J62" s="21" t="str">
        <x:v>ยังไม่พบหรือยังไม่ยืนยัน</x:v>
      </x:c>
      <x:c r="K62" s="51" t="str">
        <x:v>https://www.youtube.com/watch?v=A-EEYAxtTOk</x:v>
      </x:c>
      <x:c r="L62" s="51" t="str">
        <x:v>https://tfind-travel.com/place/wang-put-tan-tea-plantation-chiang-rai/</x:v>
      </x:c>
      <x:c r="M62" s="20" t="str">
        <x:v>พบแหล่งต่างเว็บไซต์ ไร่ชาวังพุดตาล เชียงราย | tfind-travel.com</x:v>
      </x:c>
      <x:c r="N62" s="28" t="n">
        <x:v>46316</x:v>
      </x:c>
      <x:c r="O62" s="57" t="str">
        <x:v>ยังไม่ตรวจ</x:v>
      </x:c>
      <x:c r="P62" s="57" t="str">
        <x:v>ยังไม่ติดต่อ</x:v>
      </x:c>
      <x:c r="Q62" s="20" t="str">
        <x:v>R26-020</x:v>
      </x:c>
      <x:c r="R62" s="20" t="str"/>
      <x:c r="S62" s="20" t="str"/>
      <x:c r="T62" s="20" t="str">
        <x:v>https://www.youtube.com/watch?v=A-EEYAxtTOk</x:v>
      </x:c>
      <x:c r="U62" s="20" t="str"/>
      <x:c r="V62" s="20" t="str"/>
      <x:c r="W62" s="20" t="str"/>
      <x:c r="X62" s="20" t="str"/>
      <x:c r="Y62" s="20" t="str">
        <x:v>https://www.google.com/maps/search/?api=1&amp;query=%E0%B9%84%E0%B8%A3%E0%B9%88%E0%B8%8A%E0%B8%B2%E0%B8%A7%E0%B8%B1%E0%B8%87%E0%B8%9E%E0%B8%B8%E0%B8%94%E0%B8%95%E0%B8%B2%E0%B8%A5%20%E0%B9%80%E0%B8%8A%E0%B8%B5%E0%B8%A2%E0%B8%87%E0%B8%A3%E0%B8%B2%E0%B8%A2</x:v>
      </x:c>
      <x:c r="Z62" s="56" t="str"/>
      <x:c r="AA62" s="56" t="str"/>
      <x:c r="AB62" s="57" t="str"/>
      <x:c r="AC62" s="20" t="str">
        <x:v>https://www.youtube.com/watch?v=A-EEYAxtTOk</x:v>
      </x:c>
    </x:row>
    <x:row r="63" ht="88" customHeight="1">
      <x:c r="A63" s="54" t="n">
        <x:v>55</x:v>
      </x:c>
      <x:c r="B63" s="20" t="str">
        <x:v>Nak Nakara Hotel Chiang Rai</x:v>
      </x:c>
      <x:c r="C63" s="20" t="str">
        <x:v>เชียงราย</x:v>
      </x:c>
      <x:c r="D63" s="20" t="str">
        <x:v>ที่พัก</x:v>
      </x:c>
      <x:c r="E63" s="20" t="str">
        <x:v>พบข้อมูลชื่อตรงจาก Nak Nakara Hotel - Chiang Rai | Thailand; เป็นหลักฐานตัวตน/ประเภท ยังไม่ยืนยันบริการมุสลิมครบเกณฑ์</x:v>
      </x:c>
      <x:c r="F63" s="20" t="str">
        <x:v>ไม่ทราบ</x:v>
      </x:c>
      <x:c r="G63" s="20" t="str">
        <x:v>ยังไม่ยืนยันใบรับรองและวันหมดอายุ</x:v>
      </x:c>
      <x:c r="H63" s="20" t="str">
        <x:v>ตรวจการเปิด ตัวตนสาขา ช่องทางติดต่อ และเงื่อนไขบังคับตามประเภท</x:v>
      </x:c>
      <x:c r="I63" s="20" t="str">
        <x:v>ยังไม่ยืนยันที่อยู่ละเอียด ดูลิงก์แหล่งข้อมูลและ Google Maps</x:v>
      </x:c>
      <x:c r="J63" s="21" t="str">
        <x:v>ยังไม่พบหรือยังไม่ยืนยัน</x:v>
      </x:c>
      <x:c r="K63" s="51" t="str">
        <x:v>https://naknakarahotel.com/</x:v>
      </x:c>
      <x:c r="L63" s="51" t="str">
        <x:v>https://www.booking.com/hotel/th/nak-nakara.html</x:v>
      </x:c>
      <x:c r="M63" s="20" t="str">
        <x:v>พบแหล่งต่างเว็บไซต์ Nak Nakara Hotel, Chiang Rai (updated prices 2026)</x:v>
      </x:c>
      <x:c r="N63" s="28" t="n">
        <x:v>46316</x:v>
      </x:c>
      <x:c r="O63" s="57" t="str">
        <x:v>ยังไม่ตรวจ</x:v>
      </x:c>
      <x:c r="P63" s="57" t="str">
        <x:v>ยังไม่ติดต่อ</x:v>
      </x:c>
      <x:c r="Q63" s="20" t="str">
        <x:v>R26-362</x:v>
      </x:c>
      <x:c r="R63" s="20" t="str">
        <x:v>Nak Nakara Hotel Chiang Rai</x:v>
      </x:c>
      <x:c r="S63" s="20" t="str"/>
      <x:c r="T63" s="20" t="str">
        <x:v>https://naknakarahotel.com/</x:v>
      </x:c>
      <x:c r="U63" s="20" t="str"/>
      <x:c r="V63" s="20" t="str"/>
      <x:c r="W63" s="20" t="str"/>
      <x:c r="X63" s="20" t="str"/>
      <x:c r="Y63" s="20" t="str">
        <x:v>https://www.google.com/maps/search/?api=1&amp;query=Nak%20Nakara%20Hotel%20Chiang%20Rai%20%E0%B9%80%E0%B8%8A%E0%B8%B5%E0%B8%A2%E0%B8%87%E0%B8%A3%E0%B8%B2%E0%B8%A2</x:v>
      </x:c>
      <x:c r="Z63" s="56" t="n">
        <x:v>19.9104521</x:v>
      </x:c>
      <x:c r="AA63" s="56" t="n">
        <x:v>99.8355071</x:v>
      </x:c>
      <x:c r="AB63" s="57" t="str"/>
      <x:c r="AC63" s="20" t="str">
        <x:v>https://naknakarahotel.com/</x:v>
      </x:c>
    </x:row>
    <x:row r="64" ht="88" customHeight="1">
      <x:c r="A64" s="54" t="n">
        <x:v>56</x:v>
      </x:c>
      <x:c r="B64" s="20" t="str">
        <x:v>Sann Hotel Chiang Rai</x:v>
      </x:c>
      <x:c r="C64" s="20" t="str">
        <x:v>เชียงราย</x:v>
      </x:c>
      <x:c r="D64" s="20" t="str">
        <x:v>ที่พัก</x:v>
      </x:c>
      <x:c r="E64" s="20" t="str">
        <x:v>พบข้อมูลชื่อตรงจาก Chiang Rai; เป็นหลักฐานตัวตน/ประเภท ยังไม่ยืนยันบริการมุสลิมครบเกณฑ์</x:v>
      </x:c>
      <x:c r="F64" s="20" t="str">
        <x:v>ไม่ทราบ</x:v>
      </x:c>
      <x:c r="G64" s="20" t="str">
        <x:v>ยังไม่ยืนยันใบรับรองและวันหมดอายุ</x:v>
      </x:c>
      <x:c r="H64" s="20" t="str">
        <x:v>ตรวจการเปิด ตัวตนสาขา ช่องทางติดต่อ และเงื่อนไขบังคับตามประเภท</x:v>
      </x:c>
      <x:c r="I64" s="20" t="str">
        <x:v>ยังไม่ยืนยันที่อยู่ละเอียด ดูลิงก์แหล่งข้อมูลและ Google Maps</x:v>
      </x:c>
      <x:c r="J64" s="21" t="str">
        <x:v>ยังไม่พบหรือยังไม่ยืนยัน</x:v>
      </x:c>
      <x:c r="K64" s="51" t="str">
        <x:v>https://en.wikipedia.org/wiki/Chiang_Rai</x:v>
      </x:c>
      <x:c r="L64" s="51" t="str">
        <x:v>https://www.booking.com/hotel/th/sann.html</x:v>
      </x:c>
      <x:c r="M64" s="20" t="str">
        <x:v>พบแหล่งต่างเว็บไซต์ Sann Hotel, Chiang Rai (updated prices 2026)</x:v>
      </x:c>
      <x:c r="N64" s="28" t="n">
        <x:v>46316</x:v>
      </x:c>
      <x:c r="O64" s="57" t="str">
        <x:v>ยังไม่ตรวจ</x:v>
      </x:c>
      <x:c r="P64" s="57" t="str">
        <x:v>ยังไม่ติดต่อ</x:v>
      </x:c>
      <x:c r="Q64" s="20" t="str">
        <x:v>R26-363</x:v>
      </x:c>
      <x:c r="R64" s="20" t="str">
        <x:v>Sann Hotel Chiang Rai</x:v>
      </x:c>
      <x:c r="S64" s="20" t="str"/>
      <x:c r="T64" s="20" t="str">
        <x:v>https://en.wikipedia.org/wiki/Chiang_Rai</x:v>
      </x:c>
      <x:c r="U64" s="20" t="str"/>
      <x:c r="V64" s="20" t="str"/>
      <x:c r="W64" s="20" t="str"/>
      <x:c r="X64" s="20" t="str"/>
      <x:c r="Y64" s="20" t="str">
        <x:v>https://www.google.com/maps/search/?api=1&amp;query=Sann%20Hotel%20Chiang%20Rai%20%E0%B9%80%E0%B8%8A%E0%B8%B5%E0%B8%A2%E0%B8%87%E0%B8%A3%E0%B8%B2%E0%B8%A2</x:v>
      </x:c>
      <x:c r="Z64" s="56" t="n">
        <x:v>19.909444</x:v>
      </x:c>
      <x:c r="AA64" s="56" t="n">
        <x:v>99.8275</x:v>
      </x:c>
      <x:c r="AB64" s="57" t="str"/>
      <x:c r="AC64" s="20" t="str">
        <x:v>https://en.wikipedia.org/wiki/Chiang_Rai</x:v>
      </x:c>
    </x:row>
    <x:row r="65" ht="88" customHeight="1">
      <x:c r="A65" s="54" t="n">
        <x:v>57</x:v>
      </x:c>
      <x:c r="B65" s="20" t="str">
        <x:v>นอร์ธผาฮี้</x:v>
      </x:c>
      <x:c r="C65" s="20" t="str">
        <x:v>เชียงราย</x:v>
      </x:c>
      <x:c r="D65" s="20" t="str">
        <x:v>ที่พัก (ตรวจประเภทจากชื่อและข้อมูลประกอบ)</x:v>
      </x:c>
      <x:c r="E65" s="20" t="str">
        <x:v>Makan Verify; ระบุมีห้องละหมาด</x:v>
      </x:c>
      <x:c r="F65" s="20" t="str">
        <x:v>มีข้อมูลระบุ แต่รอยืนยัน</x:v>
      </x:c>
      <x:c r="G65" s="20" t="str">
        <x:v>ยังไม่พบเอกสารรับรองและวันหมดอายุ</x:v>
      </x:c>
      <x:c r="H65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65" s="20" t="str">
        <x:v>บ้านผาฮี้ 55 หมู่10 อำเภอแม่สาย เชียงราย 57130</x:v>
      </x:c>
      <x:c r="J65" s="21" t="str">
        <x:v>0637604761</x:v>
      </x:c>
      <x:c r="K65" s="51" t="str">
        <x:v>https://makanhalalguide.com/shop/detail/5380</x:v>
      </x:c>
      <x:c r="L65" s="51" t="str">
        <x:v>https://www.lemon8-app.com/%401998_nsr/7392912828019016193?region=th</x:v>
      </x:c>
      <x:c r="M65" s="20" t="str">
        <x:v>ผลค้นหาชื่อสัมพันธ์จากแหล่งเพิ่มเติม ต้องยืนยันสาขาและข้อมูลปัจจุบัน</x:v>
      </x:c>
      <x:c r="N65" s="28" t="n">
        <x:v>46315</x:v>
      </x:c>
      <x:c r="O65" s="57" t="str">
        <x:v>ยังไม่ตรวจ</x:v>
      </x:c>
      <x:c r="P65" s="57" t="str">
        <x:v>ยังไม่ติดต่อ</x:v>
      </x:c>
      <x:c r="Q65" s="20" t="str">
        <x:v>TMF-003</x:v>
      </x:c>
      <x:c r="R65" s="20" t="str"/>
      <x:c r="S65" s="20" t="str"/>
      <x:c r="T65" s="20" t="str">
        <x:v>https://makanhalalguide.com/shop/detail/5380</x:v>
      </x:c>
      <x:c r="U65" s="20" t="str"/>
      <x:c r="V65" s="20" t="str"/>
      <x:c r="W65" s="20" t="str"/>
      <x:c r="X65" s="20" t="str"/>
      <x:c r="Y65" s="20" t="str">
        <x:v>https://www.google.com/maps/search/?api=1&amp;query=%E0%B8%99%E0%B8%AD%E0%B8%A3%E0%B9%8C%E0%B8%98%E0%B8%9C%E0%B8%B2%E0%B8%AE%E0%B8%B5%E0%B9%89%20%E0%B9%80%E0%B8%8A%E0%B8%B5%E0%B8%A2%E0%B8%87%E0%B8%A3%E0%B8%B2%E0%B8%A2</x:v>
      </x:c>
      <x:c r="Z65" s="56" t="n">
        <x:v>20.349347</x:v>
      </x:c>
      <x:c r="AA65" s="56" t="n">
        <x:v>99.829321</x:v>
      </x:c>
      <x:c r="AB65" s="57" t="str"/>
      <x:c r="AC65" s="20" t="str">
        <x:v>https://makanhalalguide.com/shop/detail/5380</x:v>
      </x:c>
    </x:row>
    <x:row r="66" ht="88" customHeight="1">
      <x:c r="A66" s="54" t="n">
        <x:v>58</x:v>
      </x:c>
      <x:c r="B66" s="20" t="str">
        <x:v>บ้านหนาวดาวเดือนรีสอร์ท</x:v>
      </x:c>
      <x:c r="C66" s="20" t="str">
        <x:v>เชียงราย</x:v>
      </x:c>
      <x:c r="D66" s="20" t="str">
        <x:v>โรงแรมหรือรีสอร์ท</x:v>
      </x:c>
      <x:c r="E66" s="20" t="str">
        <x:v>Makan Verify; ระบุมีห้องละหมาด</x:v>
      </x:c>
      <x:c r="F66" s="20" t="str">
        <x:v>มีข้อมูลระบุ แต่รอยืนยัน</x:v>
      </x:c>
      <x:c r="G66" s="20" t="str">
        <x:v>ยังไม่พบเอกสารรับรองและวันหมดอายุ</x:v>
      </x:c>
      <x:c r="H6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66" s="20" t="str">
        <x:v>86 ม 5 ซอย 13 ต เวียงพา งคำ แม่สาย, เชียงราย 57130</x:v>
      </x:c>
      <x:c r="J66" s="21" t="str">
        <x:v>0873038359</x:v>
      </x:c>
      <x:c r="K66" s="51" t="str">
        <x:v>https://makanhalalguide.com/shop/detail/5378</x:v>
      </x:c>
      <x:c r="L66" s="51" t="str">
        <x:v>https://www.booking.com/hotel/th/baanhnaawdaaweduue-nriis-rth.html?dist=0&amp;keep_landing=1&amp;sb_price_type=total&amp;type=total</x:v>
      </x:c>
      <x:c r="M66" s="20" t="str">
        <x:v>ผลค้นหาชื่อสัมพันธ์จากแหล่งเพิ่มเติม ต้องยืนยันสาขาและข้อมูลปัจจุบัน</x:v>
      </x:c>
      <x:c r="N66" s="28" t="n">
        <x:v>46315</x:v>
      </x:c>
      <x:c r="O66" s="57" t="str">
        <x:v>ยังไม่ตรวจ</x:v>
      </x:c>
      <x:c r="P66" s="57" t="str">
        <x:v>ยังไม่ติดต่อ</x:v>
      </x:c>
      <x:c r="Q66" s="20" t="str">
        <x:v>TMF-001</x:v>
      </x:c>
      <x:c r="R66" s="20" t="str"/>
      <x:c r="S66" s="20" t="str"/>
      <x:c r="T66" s="20" t="str">
        <x:v>https://makanhalalguide.com/shop/detail/5378</x:v>
      </x:c>
      <x:c r="U66" s="20" t="str"/>
      <x:c r="V66" s="20" t="str"/>
      <x:c r="W66" s="20" t="str"/>
      <x:c r="X66" s="20" t="str"/>
      <x:c r="Y66" s="20" t="str">
        <x:v>https://www.google.com/maps/search/?api=1&amp;query=%E0%B8%9A%E0%B9%89%E0%B8%B2%E0%B8%99%E0%B8%AB%E0%B8%99%E0%B8%B2%E0%B8%A7%E0%B8%94%E0%B8%B2%E0%B8%A7%E0%B9%80%E0%B8%94%E0%B8%B7%E0%B8%AD%E0%B8%99%E0%B8%A3%E0%B8%B5%E0%B8%AA%E0%B8%AD%E0%B8%A3%E0%B9%8C%E0%B8%97%20%E0%B9%80%E0%B8%8A%E0%B8%B5%E0%B8%A2%E0%B8%87%E0%B8%A3%E0%B8%B2%E0%B8%A2</x:v>
      </x:c>
      <x:c r="Z66" s="56" t="n">
        <x:v>20.413077</x:v>
      </x:c>
      <x:c r="AA66" s="56" t="n">
        <x:v>99.883453</x:v>
      </x:c>
      <x:c r="AB66" s="57" t="str"/>
      <x:c r="AC66" s="20" t="str">
        <x:v>https://makanhalalguide.com/shop/detail/5378</x:v>
      </x:c>
    </x:row>
    <x:row r="67" ht="88" customHeight="1">
      <x:c r="A67" s="54" t="n">
        <x:v>59</x:v>
      </x:c>
      <x:c r="B67" s="20" t="str">
        <x:v>Sareeneen food &amp; Sweet</x:v>
      </x:c>
      <x:c r="C67" s="20" t="str">
        <x:v>เชียงราย</x:v>
      </x:c>
      <x:c r="D67" s="20" t="str">
        <x:v>ร้านอาหาร</x:v>
      </x:c>
      <x:c r="E67" s="20" t="str">
        <x:v>มีรายชื่อใน Makan Halal Guide; ระบุมีห้องละหมาด</x:v>
      </x:c>
      <x:c r="F67" s="20" t="str">
        <x:v>มีข้อมูลระบุ แต่รอยืนยัน</x:v>
      </x:c>
      <x:c r="G67" s="20" t="str">
        <x:v>ยังไม่พบเอกสารรับรองและวันหมดอายุ</x:v>
      </x:c>
      <x:c r="H6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67" s="20" t="str">
        <x:v>ตรงข้ามขนส่งเก่า ถนนประสพสุข ตำบลเวียง อำเภอเมืองเชียงราย จังหวัดเชียงราย 57000</x:v>
      </x:c>
      <x:c r="J67" s="21" t="str">
        <x:v>0805136368</x:v>
      </x:c>
      <x:c r="K67" s="51" t="str">
        <x:v>https://makanhalalguide.com/shop/detail/706</x:v>
      </x:c>
      <x:c r="L67" s="51" t="str">
        <x:v>https://www.tripadvisor.com/Restaurant_Review-g297920-d14087267-Reviews-Sareeneen_Food_Sweet-Chiang_Rai_Chiang_Rai_Province.html</x:v>
      </x:c>
      <x:c r="M67" s="20" t="str">
        <x:v>ผลค้นหาชื่อสัมพันธ์จากแหล่งเพิ่มเติม ต้องยืนยันสาขาและข้อมูลปัจจุบัน</x:v>
      </x:c>
      <x:c r="N67" s="28" t="n">
        <x:v>46315</x:v>
      </x:c>
      <x:c r="O67" s="57" t="str">
        <x:v>ยังไม่ตรวจ</x:v>
      </x:c>
      <x:c r="P67" s="57" t="str">
        <x:v>ยังไม่ติดต่อ</x:v>
      </x:c>
      <x:c r="Q67" s="20" t="str">
        <x:v>TMF-002</x:v>
      </x:c>
      <x:c r="R67" s="20" t="str">
        <x:v>Sareeneen food &amp; Sweet</x:v>
      </x:c>
      <x:c r="S67" s="20" t="str"/>
      <x:c r="T67" s="20" t="str">
        <x:v>https://makanhalalguide.com/shop/detail/706</x:v>
      </x:c>
      <x:c r="U67" s="20" t="str"/>
      <x:c r="V67" s="20" t="str"/>
      <x:c r="W67" s="20" t="str"/>
      <x:c r="X67" s="20" t="str"/>
      <x:c r="Y67" s="20" t="str">
        <x:v>https://www.google.com/maps/search/?api=1&amp;query=Sareeneen%20food%20%26%20Sweet%20%E0%B9%80%E0%B8%8A%E0%B8%B5%E0%B8%A2%E0%B8%87%E0%B8%A3%E0%B8%B2%E0%B8%A2</x:v>
      </x:c>
      <x:c r="Z67" s="56" t="n">
        <x:v>19.904264</x:v>
      </x:c>
      <x:c r="AA67" s="56" t="n">
        <x:v>99.832828</x:v>
      </x:c>
      <x:c r="AB67" s="57" t="str"/>
      <x:c r="AC67" s="20" t="str">
        <x:v>https://makanhalalguide.com/shop/detail/706</x:v>
      </x:c>
    </x:row>
    <x:row r="68" ht="88" customHeight="1">
      <x:c r="A68" s="54" t="n">
        <x:v>60</x:v>
      </x:c>
      <x:c r="B68" s="20" t="str">
        <x:v>ซัลมานเคบับ</x:v>
      </x:c>
      <x:c r="C68" s="20" t="str">
        <x:v>เชียงราย</x:v>
      </x:c>
      <x:c r="D68" s="20" t="str">
        <x:v>ร้านอาหาร</x:v>
      </x:c>
      <x:c r="E68" s="20" t="str">
        <x:v>มีรายชื่อใน Makan Halal Guide; ช่องห้องละหมาดไม่ได้ทำเครื่องหมายว่ามี</x:v>
      </x:c>
      <x:c r="F68" s="20" t="str">
        <x:v>แหล่งเดิมไม่ระบุว่ามี</x:v>
      </x:c>
      <x:c r="G68" s="20" t="str">
        <x:v>ยังไม่พบเอกสารรับรองและวันหมดอายุ</x:v>
      </x:c>
      <x:c r="H68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68" s="20" t="str">
        <x:v>ถนนเรื่องนครหน้า7-11 วัดมิ่งเมือง ใกล้กับหอนาฬิกาตำบลเวียง อำเภอเมืองเชียงราย จังหวัดเชียงราย 57000</x:v>
      </x:c>
      <x:c r="J68" s="21" t="str">
        <x:v>0826250012</x:v>
      </x:c>
      <x:c r="K68" s="51" t="str">
        <x:v>https://makanhalalguide.com/shop/detail/5103</x:v>
      </x:c>
      <x:c r="L68" s="51" t="str">
        <x:v>https://shopee.co.th/%E0%B8%8B%E0%B8%B1%E0%B8%A5%E0%B8%A1%E0%B8%B2%E0%B8%99%E0%B9%80%E0%B8%84%E0%B8%9A%E0%B8%B1%E0%B8%9A-%E0%B9%81%E0%B8%9B%E0%B9%89%E0%B8%87%E0%B9%80%E0%B8%84%E0%B8%9A%E0%B8%B1%E0%B8%9A%28%E0%B8%95%E0%B8%AD%E0%B8%95%E0%B8%B4%E0%B8%8D%E0%B9%88%E0%B8%B2%29-i.1623822504.43021547171</x:v>
      </x:c>
      <x:c r="M68" s="20" t="str">
        <x:v>ผลค้นหาชื่อสัมพันธ์จากแหล่งเพิ่มเติม ต้องยืนยันสาขาและข้อมูลปัจจุบัน</x:v>
      </x:c>
      <x:c r="N68" s="28" t="n">
        <x:v>46315</x:v>
      </x:c>
      <x:c r="O68" s="57" t="str">
        <x:v>ยังไม่ตรวจ</x:v>
      </x:c>
      <x:c r="P68" s="57" t="str">
        <x:v>ยังไม่ติดต่อ</x:v>
      </x:c>
      <x:c r="Q68" s="20" t="str">
        <x:v>TMF-414</x:v>
      </x:c>
      <x:c r="R68" s="20" t="str"/>
      <x:c r="S68" s="20" t="str"/>
      <x:c r="T68" s="20" t="str">
        <x:v>https://makanhalalguide.com/shop/detail/5103</x:v>
      </x:c>
      <x:c r="U68" s="20" t="str"/>
      <x:c r="V68" s="20" t="str"/>
      <x:c r="W68" s="20" t="str"/>
      <x:c r="X68" s="20" t="str"/>
      <x:c r="Y68" s="20" t="str">
        <x:v>https://www.google.com/maps/search/?api=1&amp;query=%E0%B8%8B%E0%B8%B1%E0%B8%A5%E0%B8%A1%E0%B8%B2%E0%B8%99%E0%B9%80%E0%B8%84%E0%B8%9A%E0%B8%B1%E0%B8%9A%20%E0%B9%80%E0%B8%8A%E0%B8%B5%E0%B8%A2%E0%B8%87%E0%B8%A3%E0%B8%B2%E0%B8%A2</x:v>
      </x:c>
      <x:c r="Z68" s="56" t="n">
        <x:v>19.906741</x:v>
      </x:c>
      <x:c r="AA68" s="56" t="n">
        <x:v>99.826718</x:v>
      </x:c>
      <x:c r="AB68" s="57" t="str"/>
      <x:c r="AC68" s="20" t="str">
        <x:v>https://makanhalalguide.com/shop/detail/5103</x:v>
      </x:c>
    </x:row>
    <x:row r="69" ht="88" customHeight="1">
      <x:c r="A69" s="54" t="n">
        <x:v>61</x:v>
      </x:c>
      <x:c r="B69" s="20" t="str">
        <x:v>อาหาร ซากีน่า อาหารเหนือ+อิสลาม</x:v>
      </x:c>
      <x:c r="C69" s="20" t="str">
        <x:v>เชียงราย</x:v>
      </x:c>
      <x:c r="D69" s="20" t="str">
        <x:v>ร้านอาหาร</x:v>
      </x:c>
      <x:c r="E69" s="20" t="str">
        <x:v>มีรายชื่อใน Makan Halal Guide; ระบุมีห้องละหมาด</x:v>
      </x:c>
      <x:c r="F69" s="20" t="str">
        <x:v>มีข้อมูลระบุ แต่รอยืนยัน</x:v>
      </x:c>
      <x:c r="G69" s="20" t="str">
        <x:v>ยังไม่พบเอกสารรับรองและวันหมดอายุ</x:v>
      </x:c>
      <x:c r="H6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69" s="20" t="str">
        <x:v>ถนนพหลโยธิน (ปากทางเข้าวัดร่องเสือเต้น) ตำบลบ้านดู่ อำเภอเมืองเชียงราย จังหวัดเชียงราย 57100</x:v>
      </x:c>
      <x:c r="J69" s="21" t="str">
        <x:v>0819937311</x:v>
      </x:c>
      <x:c r="K69" s="51" t="str">
        <x:v>https://makanhalalguide.com/shop/detail/789</x:v>
      </x:c>
      <x:c r="L69" s="51" t="str">
        <x:v>https://12781456633969640052.googlegroups.com/attach/79e53a13222de133/List%20of%20Halal%20Restaurants%20and%20Hotels%20in%20Thailand%201%5B1%5D.pdf?part=0.1&amp;vt=ANaJVrEMfzPOF22L_HrDovyCPHcg4sDQCYrHXKOD24KMBzyqVt2nRz0bjoEqazHr8U8cQn50yd6Fczg773gxTXLGP4D6UZa7-pGau35icgrnU74_OEB2YeU</x:v>
      </x:c>
      <x:c r="M69" s="20" t="str">
        <x:v>ผลค้นหาชื่อสัมพันธ์จากแหล่งเพิ่มเติม ต้องยืนยันสาขาและข้อมูลปัจจุบัน</x:v>
      </x:c>
      <x:c r="N69" s="28" t="n">
        <x:v>46315</x:v>
      </x:c>
      <x:c r="O69" s="57" t="str">
        <x:v>ยังไม่ตรวจ</x:v>
      </x:c>
      <x:c r="P69" s="57" t="str">
        <x:v>ยังไม่ติดต่อ</x:v>
      </x:c>
      <x:c r="Q69" s="20" t="str">
        <x:v>TMF-004</x:v>
      </x:c>
      <x:c r="R69" s="20" t="str"/>
      <x:c r="S69" s="20" t="str"/>
      <x:c r="T69" s="20" t="str">
        <x:v>https://makanhalalguide.com/shop/detail/789</x:v>
      </x:c>
      <x:c r="U69" s="20" t="str"/>
      <x:c r="V69" s="20" t="str"/>
      <x:c r="W69" s="20" t="str"/>
      <x:c r="X69" s="20" t="str"/>
      <x:c r="Y69" s="20" t="str">
        <x:v>https://www.google.com/maps/search/?api=1&amp;query=%E0%B8%AD%E0%B8%B2%E0%B8%AB%E0%B8%B2%E0%B8%A3%20%E0%B8%8B%E0%B8%B2%E0%B8%81%E0%B8%B5%E0%B8%99%E0%B9%88%E0%B8%B2%20%E0%B8%AD%E0%B8%B2%E0%B8%AB%E0%B8%B2%E0%B8%A3%E0%B9%80%E0%B8%AB%E0%B8%99%E0%B8%B7%E0%B8%AD%2B%E0%B8%AD%E0%B8%B4%E0%B8%AA%E0%B8%A5%E0%B8%B2%E0%B8%A1%20%E0%B9%80%E0%B8%8A%E0%B8%B5%E0%B8%A2%E0%B8%87%E0%B8%A3%E0%B8%B2%E0%B8%A2</x:v>
      </x:c>
      <x:c r="Z69" s="56" t="n">
        <x:v>19.925183</x:v>
      </x:c>
      <x:c r="AA69" s="56" t="n">
        <x:v>99.844399</x:v>
      </x:c>
      <x:c r="AB69" s="57" t="str"/>
      <x:c r="AC69" s="20" t="str">
        <x:v>https://makanhalalguide.com/shop/detail/789</x:v>
      </x:c>
    </x:row>
    <x:row r="70" ht="88" customHeight="1">
      <x:c r="A70" s="54" t="n">
        <x:v>62</x:v>
      </x:c>
      <x:c r="B70" s="20" t="str">
        <x:v>โรตีซัลมา</x:v>
      </x:c>
      <x:c r="C70" s="20" t="str">
        <x:v>เชียงราย</x:v>
      </x:c>
      <x:c r="D70" s="20" t="str">
        <x:v>คาเฟ่และร้านของหวาน</x:v>
      </x:c>
      <x:c r="E70" s="20" t="str">
        <x:v>มีรายชื่อใน Makan Halal Guide; ช่องห้องละหมาดไม่ได้ทำเครื่องหมายว่ามี</x:v>
      </x:c>
      <x:c r="F70" s="20" t="str">
        <x:v>แหล่งเดิมไม่ระบุว่ามี</x:v>
      </x:c>
      <x:c r="G70" s="20" t="str">
        <x:v>ยังไม่พบเอกสารรับรองและวันหมดอายุ</x:v>
      </x:c>
      <x:c r="H70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70" s="20" t="str">
        <x:v>หมู่27หน้าตลาดสด ห้วยสัก  ตำบลห้วยสัก อำเภอเมืองเชียงราย จังหวัดเชียงราย 57000</x:v>
      </x:c>
      <x:c r="J70" s="21" t="str">
        <x:v>0991323189</x:v>
      </x:c>
      <x:c r="K70" s="51" t="str">
        <x:v>https://makanhalalguide.com/shop/detail/6370</x:v>
      </x:c>
      <x:c r="L70" s="51" t="str">
        <x:v>https://halaman-kuning.cybo.com/TH/chiang-rai-chiang-rai/restoran-halal</x:v>
      </x:c>
      <x:c r="M70" s="20" t="str">
        <x:v>ผลค้นหาชื่อสัมพันธ์จากแหล่งเพิ่มเติม ต้องยืนยันสาขาและข้อมูลปัจจุบัน</x:v>
      </x:c>
      <x:c r="N70" s="28" t="n">
        <x:v>46315</x:v>
      </x:c>
      <x:c r="O70" s="57" t="str">
        <x:v>ยังไม่ตรวจ</x:v>
      </x:c>
      <x:c r="P70" s="57" t="str">
        <x:v>ยังไม่ติดต่อ</x:v>
      </x:c>
      <x:c r="Q70" s="20" t="str">
        <x:v>TMF-417</x:v>
      </x:c>
      <x:c r="R70" s="20" t="str"/>
      <x:c r="S70" s="20" t="str"/>
      <x:c r="T70" s="20" t="str">
        <x:v>https://makanhalalguide.com/shop/detail/6370</x:v>
      </x:c>
      <x:c r="U70" s="20" t="str"/>
      <x:c r="V70" s="20" t="str"/>
      <x:c r="W70" s="20" t="str"/>
      <x:c r="X70" s="20" t="str"/>
      <x:c r="Y70" s="20" t="str">
        <x:v>https://www.google.com/maps/search/?api=1&amp;query=%E0%B9%82%E0%B8%A3%E0%B8%95%E0%B8%B5%E0%B8%8B%E0%B8%B1%E0%B8%A5%E0%B8%A1%E0%B8%B2%20%E0%B9%80%E0%B8%8A%E0%B8%B5%E0%B8%A2%E0%B8%87%E0%B8%A3%E0%B8%B2%E0%B8%A2</x:v>
      </x:c>
      <x:c r="Z70" s="56" t="n">
        <x:v>19.778478</x:v>
      </x:c>
      <x:c r="AA70" s="56" t="n">
        <x:v>99.910396</x:v>
      </x:c>
      <x:c r="AB70" s="57" t="str"/>
      <x:c r="AC70" s="20" t="str">
        <x:v>https://makanhalalguide.com/shop/detail/6370</x:v>
      </x:c>
    </x:row>
    <x:row r="71" ht="88" customHeight="1">
      <x:c r="A71" s="54" t="n">
        <x:v>63</x:v>
      </x:c>
      <x:c r="B71" s="20" t="str">
        <x:v>Anantara Spa Golden Triangle</x:v>
      </x:c>
      <x:c r="C71" s="20" t="str">
        <x:v>เชียงราย</x:v>
      </x:c>
      <x:c r="D71" s="20" t="str">
        <x:v>เวลเนส</x:v>
      </x:c>
      <x:c r="E71" s="20" t="str">
        <x:v>พบข้อมูลชื่อตรงจาก โรงแรมอนันตรา สามเหลี่ยมทองคำ เชียงราย|  Anantara Golden Triangle| ประสบการณ์นอนเต้นท์แบบ Luxury 🏕️🐘 - YouTube; เป็นหลักฐานตัวตน/ประเภท ยังไม่ยืนยันบริการมุสลิมครบเกณฑ์</x:v>
      </x:c>
      <x:c r="F71" s="20" t="str">
        <x:v>ไม่ทราบ</x:v>
      </x:c>
      <x:c r="G71" s="20" t="str">
        <x:v>ยังไม่ยืนยันใบรับรองและวันหมดอายุ</x:v>
      </x:c>
      <x:c r="H71" s="20" t="str">
        <x:v>ตรวจการเปิด ตัวตนสาขา ช่องทางติดต่อ และเงื่อนไขบังคับตามประเภท</x:v>
      </x:c>
      <x:c r="I71" s="20" t="str">
        <x:v>ยังไม่ยืนยันที่อยู่ละเอียด ดูลิงก์แหล่งข้อมูลและ Google Maps</x:v>
      </x:c>
      <x:c r="J71" s="21" t="str">
        <x:v>ยังไม่พบหรือยังไม่ยืนยัน</x:v>
      </x:c>
      <x:c r="K71" s="51" t="str">
        <x:v>https://www.youtube.com/watch?v=tMJqwQjArBw</x:v>
      </x:c>
      <x:c r="L71" s="51" t="str">
        <x:v>https://www.architecturaldigest.com/story/bensley-article-082004</x:v>
      </x:c>
      <x:c r="M71" s="20" t="str">
        <x:v>พบแหล่งต่างเว็บไซต์ Anantara Golden Triangle</x:v>
      </x:c>
      <x:c r="N71" s="28" t="n">
        <x:v>46316</x:v>
      </x:c>
      <x:c r="O71" s="57" t="str">
        <x:v>ยังไม่ตรวจ</x:v>
      </x:c>
      <x:c r="P71" s="57" t="str">
        <x:v>ยังไม่ติดต่อ</x:v>
      </x:c>
      <x:c r="Q71" s="20" t="str">
        <x:v>R26-279</x:v>
      </x:c>
      <x:c r="R71" s="20" t="str">
        <x:v>Anantara Spa Golden Triangle</x:v>
      </x:c>
      <x:c r="S71" s="20" t="str"/>
      <x:c r="T71" s="20" t="str">
        <x:v>https://www.youtube.com/watch?v=tMJqwQjArBw</x:v>
      </x:c>
      <x:c r="U71" s="20" t="str"/>
      <x:c r="V71" s="20" t="str"/>
      <x:c r="W71" s="20" t="str"/>
      <x:c r="X71" s="20" t="str"/>
      <x:c r="Y71" s="20" t="str">
        <x:v>https://www.google.com/maps/search/?api=1&amp;query=Anantara%20Spa%20Golden%20Triangle%20%E0%B9%80%E0%B8%8A%E0%B8%B5%E0%B8%A2%E0%B8%87%E0%B8%A3%E0%B8%B2%E0%B8%A2</x:v>
      </x:c>
      <x:c r="Z71" s="56" t="str"/>
      <x:c r="AA71" s="56" t="str"/>
      <x:c r="AB71" s="57" t="str"/>
      <x:c r="AC71" s="20" t="str">
        <x:v>https://www.youtube.com/watch?v=tMJqwQjArBw</x:v>
      </x:c>
    </x:row>
    <x:row r="72" ht="88" customHeight="1">
      <x:c r="A72" s="54" t="n">
        <x:v>64</x:v>
      </x:c>
      <x:c r="B72" s="20" t="str">
        <x:v>Central Chiangrai</x:v>
      </x:c>
      <x:c r="C72" s="20" t="str">
        <x:v>เชียงราย</x:v>
      </x:c>
      <x:c r="D72" s="20" t="str">
        <x:v>การค้า</x:v>
      </x:c>
      <x:c r="E72" s="20" t="str">
        <x:v>พบข้อมูลชื่อตรงจาก Central Chiangrai | LINE Official Account; เป็นหลักฐานตัวตน/ประเภท ยังไม่ยืนยันบริการมุสลิมครบเกณฑ์</x:v>
      </x:c>
      <x:c r="F72" s="20" t="str">
        <x:v>ไม่ทราบ</x:v>
      </x:c>
      <x:c r="G72" s="20" t="str">
        <x:v>ยังไม่ยืนยันใบรับรองและวันหมดอายุ</x:v>
      </x:c>
      <x:c r="H72" s="20" t="str">
        <x:v>ตรวจการเปิด ตัวตนสาขา ช่องทางติดต่อ และเงื่อนไขบังคับตามประเภท</x:v>
      </x:c>
      <x:c r="I72" s="20" t="str">
        <x:v>ยังไม่ยืนยันที่อยู่ละเอียด ดูลิงก์แหล่งข้อมูลและ Google Maps</x:v>
      </x:c>
      <x:c r="J72" s="21" t="str">
        <x:v>05202 0999</x:v>
      </x:c>
      <x:c r="K72" s="51" t="str">
        <x:v>https://page.line.me/405zhitb</x:v>
      </x:c>
      <x:c r="L72" s="51" t="str">
        <x:v>https://www.centralchiangrai.com/en</x:v>
      </x:c>
      <x:c r="M72" s="20" t="str">
        <x:v>พบแหล่งต่างเว็บไซต์ Central Chiangrai — Shopping, dining and visitor information</x:v>
      </x:c>
      <x:c r="N72" s="28" t="n">
        <x:v>46316</x:v>
      </x:c>
      <x:c r="O72" s="57" t="str">
        <x:v>ยังไม่ตรวจ</x:v>
      </x:c>
      <x:c r="P72" s="57" t="str">
        <x:v>ยังไม่ติดต่อ</x:v>
      </x:c>
      <x:c r="Q72" s="20" t="str">
        <x:v>R26-258</x:v>
      </x:c>
      <x:c r="R72" s="20" t="str">
        <x:v>Central Chiangrai</x:v>
      </x:c>
      <x:c r="S72" s="20" t="str">
        <x:v>prom.cr@centralpattana.co.th</x:v>
      </x:c>
      <x:c r="T72" s="20" t="str">
        <x:v>https://page.line.me/405zhitb</x:v>
      </x:c>
      <x:c r="U72" s="20" t="str">
        <x:v>https://www.facebook.com/CentralChiangraiFanpage</x:v>
      </x:c>
      <x:c r="V72" s="20" t="str">
        <x:v>https://www.instagram.com/Central_Chiangrai</x:v>
      </x:c>
      <x:c r="W72" s="20" t="str">
        <x:v>https://page.line.me/405zhitb</x:v>
      </x:c>
      <x:c r="X72" s="20" t="str">
        <x:v>https://www.tiktok.com/@central_chiangrai</x:v>
      </x:c>
      <x:c r="Y72" s="20" t="str">
        <x:v>https://www.google.com/maps/search/?api=1&amp;query=Central%20Chiangrai%20%E0%B9%80%E0%B8%8A%E0%B8%B5%E0%B8%A2%E0%B8%87%E0%B8%A3%E0%B8%B2%E0%B8%A2</x:v>
      </x:c>
      <x:c r="Z72" s="56" t="str"/>
      <x:c r="AA72" s="56" t="str"/>
      <x:c r="AB72" s="57" t="str"/>
      <x:c r="AC72" s="20" t="str">
        <x:v>https://www.centralchiangrai.com/en</x:v>
      </x:c>
    </x:row>
    <x:row r="73" ht="88" customHeight="1">
      <x:c r="A73" s="54" t="n">
        <x:v>65</x:v>
      </x:c>
      <x:c r="B73" s="20" t="str">
        <x:v>ดอยตุง สวนรุกขชาติแม่ฟ้าหลวง</x:v>
      </x:c>
      <x:c r="C73" s="20" t="str">
        <x:v>เชียงราย</x:v>
      </x:c>
      <x:c r="D73" s="20" t="str">
        <x:v>ธรรมชาติ</x:v>
      </x:c>
      <x:c r="E73" s="20" t="str">
        <x:v>พบข้อมูลชื่อตรงจาก พระตำหนักดอยตุง อ.แม่ฟ้าหลวง; เป็นหลักฐานตัวตน/ประเภท ยังไม่ยืนยันบริการมุสลิมครบเกณฑ์</x:v>
      </x:c>
      <x:c r="F73" s="20" t="str">
        <x:v>ไม่ทราบ</x:v>
      </x:c>
      <x:c r="G73" s="20" t="str">
        <x:v>ยังไม่ยืนยันใบรับรองและวันหมดอายุ</x:v>
      </x:c>
      <x:c r="H73" s="20" t="str">
        <x:v>ตรวจการเปิด ตัวตนสาขา ช่องทางติดต่อ และเงื่อนไขบังคับตามประเภท</x:v>
      </x:c>
      <x:c r="I73" s="20" t="str">
        <x:v>ยังไม่ยืนยันที่อยู่ละเอียด ดูลิงก์แหล่งข้อมูลและ Google Maps</x:v>
      </x:c>
      <x:c r="J73" s="21" t="str">
        <x:v>ยังไม่พบหรือยังไม่ยืนยัน</x:v>
      </x:c>
      <x:c r="K73" s="51" t="str">
        <x:v>https://chiangraipao.go.th/travel/detail/308</x:v>
      </x:c>
      <x:c r="L73" s="51" t="str">
        <x:v>https://thai.tourismthailand.org/Attraction/%E0%B8%9E%E0%B8%A3%E0%B8%B0%E0%B8%95%E0%B8%B3%E0%B8%AB%E0%B8%99%E0%B8%B1%E0%B8%81%E0%B8%94%E0%B8%AD%E0%B8%A2%E0%B8%95%E0%B8%B8%E0%B8%87</x:v>
      </x:c>
      <x:c r="M73" s="20" t="str">
        <x:v>พบแหล่งต่างเว็บไซต์ พระตำหนักดอยตุง</x:v>
      </x:c>
      <x:c r="N73" s="28" t="n">
        <x:v>46316</x:v>
      </x:c>
      <x:c r="O73" s="57" t="str">
        <x:v>ยังไม่ตรวจ</x:v>
      </x:c>
      <x:c r="P73" s="57" t="str">
        <x:v>ยังไม่ติดต่อ</x:v>
      </x:c>
      <x:c r="Q73" s="20" t="str">
        <x:v>R26-112</x:v>
      </x:c>
      <x:c r="R73" s="20" t="str"/>
      <x:c r="S73" s="20" t="str"/>
      <x:c r="T73" s="20" t="str">
        <x:v>https://chiangraipao.go.th/travel/detail/308</x:v>
      </x:c>
      <x:c r="U73" s="20" t="str"/>
      <x:c r="V73" s="20" t="str"/>
      <x:c r="W73" s="20" t="str"/>
      <x:c r="X73" s="20" t="str"/>
      <x:c r="Y73" s="20" t="str">
        <x:v>https://www.google.com/maps/search/?api=1&amp;query=%E0%B8%94%E0%B8%AD%E0%B8%A2%E0%B8%95%E0%B8%B8%E0%B8%87%20%E0%B8%AA%E0%B8%A7%E0%B8%99%E0%B8%A3%E0%B8%B8%E0%B8%81%E0%B8%82%E0%B8%8A%E0%B8%B2%E0%B8%95%E0%B8%B4%E0%B9%81%E0%B8%A1%E0%B9%88%E0%B8%9F%E0%B9%89%E0%B8%B2%E0%B8%AB%E0%B8%A5%E0%B8%A7%E0%B8%87%20%E0%B9%80%E0%B8%8A%E0%B8%B5%E0%B8%A2%E0%B8%87%E0%B8%A3%E0%B8%B2%E0%B8%A2</x:v>
      </x:c>
      <x:c r="Z73" s="56" t="n">
        <x:v>20.275666</x:v>
      </x:c>
      <x:c r="AA73" s="56" t="n">
        <x:v>99.700975</x:v>
      </x:c>
      <x:c r="AB73" s="57" t="str"/>
      <x:c r="AC73" s="20" t="str">
        <x:v>https://chiangraipao.go.th/travel/detail/308</x:v>
      </x:c>
    </x:row>
    <x:row r="74" ht="88" customHeight="1">
      <x:c r="A74" s="54" t="n">
        <x:v>66</x:v>
      </x:c>
      <x:c r="B74" s="20" t="str">
        <x:v>น้ำตกขุนกรณ์</x:v>
      </x:c>
      <x:c r="C74" s="20" t="str">
        <x:v>เชียงราย</x:v>
      </x:c>
      <x:c r="D74" s="20" t="str">
        <x:v>ธรรมชาติ</x:v>
      </x:c>
      <x:c r="E74" s="20" t="str">
        <x:v>พบข้อมูลชื่อตรงจาก น้ำตกขุนกรณ์เป็นน้ำตกที่สูงและสวยงามที่สุดอีกแห่งหนึ่งในจังหวัดเชียงรายความสูง ๗๐ เมตร สามารถว่ายน้ำเล่นได้ลักษณะเป็นแอ่งถ้วยค่อย ๆ ลึกการท่องเที่ยวการเดินทางจากบริเวณลานจอดรถไปถึงตัวน้ำตกขุนกรณ์ระยะทางประมาณ ๑,๕๐๐ เมตรพื้นที่บริเวณน้ำตกอยู่ในความรับผิดชอบและการดูแลโดยหน่วยพิทักษ์อุทยานแห่งชาติลำน้ำกกที่ ๑ น้ำตกขุนกรณ์; เป็นหลักฐานตัวตน/ประเภท ยังไม่ยืนยันบริการมุสลิมครบเกณฑ์</x:v>
      </x:c>
      <x:c r="F74" s="20" t="str">
        <x:v>ไม่ทราบ</x:v>
      </x:c>
      <x:c r="G74" s="20" t="str">
        <x:v>ยังไม่ยืนยันใบรับรองและวันหมดอายุ</x:v>
      </x:c>
      <x:c r="H74" s="20" t="str">
        <x:v>ตรวจการเปิด ตัวตนสาขา ช่องทางติดต่อ และเงื่อนไขบังคับตามประเภท</x:v>
      </x:c>
      <x:c r="I74" s="20" t="str">
        <x:v>ยังไม่ยืนยันที่อยู่ละเอียด ดูลิงก์แหล่งข้อมูลและ Google Maps</x:v>
      </x:c>
      <x:c r="J74" s="21" t="str">
        <x:v>ยังไม่พบหรือยังไม่ยืนยัน</x:v>
      </x:c>
      <x:c r="K74" s="51" t="str">
        <x:v>https://www.maekorn.go.th/info.pdf</x:v>
      </x:c>
      <x:c r="L74" s="51" t="str">
        <x:v>https://chiangraicity.go.th/travel/detail/114</x:v>
      </x:c>
      <x:c r="M74" s="20" t="str">
        <x:v>พบแหล่งต่างเว็บไซต์ น้ำตกขุนกรณ์</x:v>
      </x:c>
      <x:c r="N74" s="28" t="n">
        <x:v>46316</x:v>
      </x:c>
      <x:c r="O74" s="57" t="str">
        <x:v>ยังไม่ตรวจ</x:v>
      </x:c>
      <x:c r="P74" s="57" t="str">
        <x:v>ยังไม่ติดต่อ</x:v>
      </x:c>
      <x:c r="Q74" s="20" t="str">
        <x:v>R26-111</x:v>
      </x:c>
      <x:c r="R74" s="20" t="str"/>
      <x:c r="S74" s="20" t="str"/>
      <x:c r="T74" s="20" t="str">
        <x:v>https://www.maekorn.go.th/info.pdf</x:v>
      </x:c>
      <x:c r="U74" s="20" t="str"/>
      <x:c r="V74" s="20" t="str"/>
      <x:c r="W74" s="20" t="str"/>
      <x:c r="X74" s="20" t="str"/>
      <x:c r="Y74" s="20" t="str">
        <x:v>https://www.google.com/maps/search/?api=1&amp;query=%E0%B8%99%E0%B9%89%E0%B8%B3%E0%B8%95%E0%B8%81%E0%B8%82%E0%B8%B8%E0%B8%99%E0%B8%81%E0%B8%A3%E0%B8%93%E0%B9%8C%20%E0%B9%80%E0%B8%8A%E0%B8%B5%E0%B8%A2%E0%B8%87%E0%B8%A3%E0%B8%B2%E0%B8%A2</x:v>
      </x:c>
      <x:c r="Z74" s="56" t="n">
        <x:v>19.875931</x:v>
      </x:c>
      <x:c r="AA74" s="56" t="n">
        <x:v>99.626065</x:v>
      </x:c>
      <x:c r="AB74" s="57" t="str"/>
      <x:c r="AC74" s="20" t="str">
        <x:v>https://www.maekorn.go.th/info.pdf</x:v>
      </x:c>
    </x:row>
    <x:row r="75" ht="88" customHeight="1">
      <x:c r="A75" s="54" t="n">
        <x:v>67</x:v>
      </x:c>
      <x:c r="B75" s="20" t="str">
        <x:v>วนอุทยานภูชี้ฟ้า</x:v>
      </x:c>
      <x:c r="C75" s="20" t="str">
        <x:v>เชียงราย</x:v>
      </x:c>
      <x:c r="D75" s="20" t="str">
        <x:v>ธรรมชาติ</x:v>
      </x:c>
      <x:c r="E75" s="20" t="str">
        <x:v>พบข้อมูลชื่อตรงจาก วนอุทยานภูชี้ฟ้า; เป็นหลักฐานตัวตน/ประเภท ยังไม่ยืนยันบริการมุสลิมครบเกณฑ์</x:v>
      </x:c>
      <x:c r="F75" s="20" t="str">
        <x:v>ไม่ทราบ</x:v>
      </x:c>
      <x:c r="G75" s="20" t="str">
        <x:v>ยังไม่ยืนยันใบรับรองและวันหมดอายุ</x:v>
      </x:c>
      <x:c r="H75" s="20" t="str">
        <x:v>ตรวจการเปิด ตัวตนสาขา ช่องทางติดต่อ และเงื่อนไขบังคับตามประเภท</x:v>
      </x:c>
      <x:c r="I75" s="20" t="str">
        <x:v>ยังไม่ยืนยันที่อยู่ละเอียด ดูลิงก์แหล่งข้อมูลและ Google Maps</x:v>
      </x:c>
      <x:c r="J75" s="21" t="str">
        <x:v>ยังไม่พบหรือยังไม่ยืนยัน</x:v>
      </x:c>
      <x:c r="K75" s="51" t="str">
        <x:v>https://www.thailandtourismdirectory.go.th/attraction/5120</x:v>
      </x:c>
      <x:c r="L75" s="51" t="str">
        <x:v>https://cbtthailand.dasta.or.th/webapp/relattraction/content/3278/</x:v>
      </x:c>
      <x:c r="M75" s="20" t="str">
        <x:v>พบแหล่งต่างเว็บไซต์ วนอุทยานภูชี้ฟ้า | CBT Thailand</x:v>
      </x:c>
      <x:c r="N75" s="28" t="n">
        <x:v>46316</x:v>
      </x:c>
      <x:c r="O75" s="57" t="str">
        <x:v>ยังไม่ตรวจ</x:v>
      </x:c>
      <x:c r="P75" s="57" t="str">
        <x:v>ยังไม่ติดต่อ</x:v>
      </x:c>
      <x:c r="Q75" s="20" t="str">
        <x:v>R26-113</x:v>
      </x:c>
      <x:c r="R75" s="20" t="str"/>
      <x:c r="S75" s="20" t="str"/>
      <x:c r="T75" s="20" t="str">
        <x:v>https://www.thailandtourismdirectory.go.th/attraction/5120</x:v>
      </x:c>
      <x:c r="U75" s="20" t="str"/>
      <x:c r="V75" s="20" t="str"/>
      <x:c r="W75" s="20" t="str"/>
      <x:c r="X75" s="20" t="str"/>
      <x:c r="Y75" s="20" t="str">
        <x:v>https://www.google.com/maps/search/?api=1&amp;query=%E0%B8%A7%E0%B8%99%E0%B8%AD%E0%B8%B8%E0%B8%97%E0%B8%A2%E0%B8%B2%E0%B8%99%E0%B8%A0%E0%B8%B9%E0%B8%8A%E0%B8%B5%E0%B9%89%E0%B8%9F%E0%B9%89%E0%B8%B2%20%E0%B9%80%E0%B8%8A%E0%B8%B5%E0%B8%A2%E0%B8%87%E0%B8%A3%E0%B8%B2%E0%B8%A2</x:v>
      </x:c>
      <x:c r="Z75" s="56" t="n">
        <x:v>19.850674</x:v>
      </x:c>
      <x:c r="AA75" s="56" t="n">
        <x:v>100.453242</x:v>
      </x:c>
      <x:c r="AB75" s="57" t="str"/>
      <x:c r="AC75" s="20" t="str">
        <x:v>https://www.thailandtourismdirectory.go.th/attraction/5120</x:v>
      </x:c>
    </x:row>
    <x:row r="76" ht="88" customHeight="1">
      <x:c r="A76" s="54" t="n">
        <x:v>68</x:v>
      </x:c>
      <x:c r="B76" s="20" t="str">
        <x:v>พิพิธภัณฑ์บ้านดำ</x:v>
      </x:c>
      <x:c r="C76" s="20" t="str">
        <x:v>เชียงราย</x:v>
      </x:c>
      <x:c r="D76" s="20" t="str">
        <x:v>พิพิธภัณฑ์ศิลปะ</x:v>
      </x:c>
      <x:c r="E76" s="20" t="str">
        <x:v>ททท. ระบุเป็นแหล่งท่องเที่ยวศิลปะในเชียงราย ยังไม่พบข้อมูลบริการมุสลิมเฉพาะแห่ง</x:v>
      </x:c>
      <x:c r="F76" s="20" t="str">
        <x:v>ไม่ทราบ</x:v>
      </x:c>
      <x:c r="G76" s="20" t="str">
        <x:v>ยังไม่พบเอกสารรับรองและวันหมดอายุ</x:v>
      </x:c>
      <x:c r="H76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76" s="20" t="str">
        <x:v>ยังไม่ยืนยันที่อยู่ละเอียด ดูลิงก์แหล่งข้อมูลและ Google Maps</x:v>
      </x:c>
      <x:c r="J76" s="21" t="str">
        <x:v>ยังไม่พบหรือยังไม่ยืนยัน</x:v>
      </x:c>
      <x:c r="K76" s="51" t="str">
        <x:v>https://www.tourismthailand.org/Destinations/Provinces/chiang-rai/102</x:v>
      </x:c>
      <x:c r="L76" s="51" t="str">
        <x:v>https://www.wongnai.com/reviews/e276bb3a9b6c4f8c9d45677e12500826</x:v>
      </x:c>
      <x:c r="M76" s="20" t="str">
        <x:v>ผลค้นหาชื่อสัมพันธ์จากแหล่งเพิ่มเติม ต้องยืนยันสาขาและข้อมูลปัจจุบัน</x:v>
      </x:c>
      <x:c r="N76" s="28" t="n">
        <x:v>46315</x:v>
      </x:c>
      <x:c r="O76" s="57" t="str">
        <x:v>ยังไม่ตรวจ</x:v>
      </x:c>
      <x:c r="P76" s="57" t="str">
        <x:v>ยังไม่ติดต่อ</x:v>
      </x:c>
      <x:c r="Q76" s="20" t="str">
        <x:v>TMF-419</x:v>
      </x:c>
      <x:c r="R76" s="20" t="str"/>
      <x:c r="S76" s="20" t="str"/>
      <x:c r="T76" s="20" t="str">
        <x:v>https://www.tourismthailand.org/Destinations/Provinces/chiang-rai/102</x:v>
      </x:c>
      <x:c r="U76" s="20" t="str"/>
      <x:c r="V76" s="20" t="str"/>
      <x:c r="W76" s="20" t="str"/>
      <x:c r="X76" s="20" t="str"/>
      <x:c r="Y76" s="20" t="str">
        <x:v>https://www.google.com/maps/search/?api=1&amp;query=%E0%B8%9E%E0%B8%B4%E0%B8%9E%E0%B8%B4%E0%B8%98%E0%B8%A0%E0%B8%B1%E0%B8%93%E0%B8%91%E0%B9%8C%E0%B8%9A%E0%B9%89%E0%B8%B2%E0%B8%99%E0%B8%94%E0%B8%B3%20%E0%B9%80%E0%B8%8A%E0%B8%B5%E0%B8%A2%E0%B8%87%E0%B8%A3%E0%B8%B2%E0%B8%A2</x:v>
      </x:c>
      <x:c r="Z76" s="56" t="n">
        <x:v>19.99115</x:v>
      </x:c>
      <x:c r="AA76" s="56" t="n">
        <x:v>99.861115</x:v>
      </x:c>
      <x:c r="AB76" s="57" t="str"/>
      <x:c r="AC76" s="20" t="str">
        <x:v>https://www.tourismthailand.org/Destinations/Provinces/chiang-rai/102</x:v>
      </x:c>
    </x:row>
    <x:row r="77" ht="88" customHeight="1">
      <x:c r="A77" s="54" t="n">
        <x:v>69</x:v>
      </x:c>
      <x:c r="B77" s="20" t="str">
        <x:v>ชุมชนบ้านท่าขันทอง</x:v>
      </x:c>
      <x:c r="C77" s="20" t="str">
        <x:v>เชียงราย</x:v>
      </x:c>
      <x:c r="D77" s="20" t="str">
        <x:v>ชุมชน</x:v>
      </x:c>
      <x:c r="E77" s="20" t="str">
        <x:v>พบข้อมูลชื่อตรงจาก ชุมชนบ้านท่าขันทอง; เป็นหลักฐานตัวตน/ประเภท ยังไม่ยืนยันบริการมุสลิมครบเกณฑ์</x:v>
      </x:c>
      <x:c r="F77" s="20" t="str">
        <x:v>ไม่ทราบ</x:v>
      </x:c>
      <x:c r="G77" s="20" t="str">
        <x:v>ยังไม่ยืนยันใบรับรองและวันหมดอายุ</x:v>
      </x:c>
      <x:c r="H77" s="20" t="str">
        <x:v>ตรวจการเปิด ตัวตนสาขา ช่องทางติดต่อ และเงื่อนไขบังคับตามประเภท</x:v>
      </x:c>
      <x:c r="I77" s="20" t="str">
        <x:v>ยังไม่ยืนยันที่อยู่ละเอียด ดูลิงก์แหล่งข้อมูลและ Google Maps</x:v>
      </x:c>
      <x:c r="J77" s="21" t="str">
        <x:v>ยังไม่พบหรือยังไม่ยืนยัน</x:v>
      </x:c>
      <x:c r="K77" s="51" t="str">
        <x:v>https://chiangrai.mots.go.th/news/461</x:v>
      </x:c>
      <x:c r="L77" s="51" t="str">
        <x:v>https://wikicommunity.sac.or.th/community/1377</x:v>
      </x:c>
      <x:c r="M77" s="20" t="str">
        <x:v>พบแหล่งต่างเว็บไซต์ บ้านท่าขันทอง</x:v>
      </x:c>
      <x:c r="N77" s="28" t="n">
        <x:v>46316</x:v>
      </x:c>
      <x:c r="O77" s="57" t="str">
        <x:v>ยังไม่ตรวจ</x:v>
      </x:c>
      <x:c r="P77" s="57" t="str">
        <x:v>ยังไม่ติดต่อ</x:v>
      </x:c>
      <x:c r="Q77" s="20" t="str">
        <x:v>R26-125</x:v>
      </x:c>
      <x:c r="R77" s="20" t="str"/>
      <x:c r="S77" s="20" t="str"/>
      <x:c r="T77" s="20" t="str">
        <x:v>https://chiangrai.mots.go.th/news/461</x:v>
      </x:c>
      <x:c r="U77" s="20" t="str"/>
      <x:c r="V77" s="20" t="str"/>
      <x:c r="W77" s="20" t="str"/>
      <x:c r="X77" s="20" t="str"/>
      <x:c r="Y77" s="20" t="str">
        <x:v>https://www.google.com/maps/search/?api=1&amp;query=%E0%B8%8A%E0%B8%B8%E0%B8%A1%E0%B8%8A%E0%B8%99%E0%B8%9A%E0%B9%89%E0%B8%B2%E0%B8%99%E0%B8%97%E0%B9%88%E0%B8%B2%E0%B8%82%E0%B8%B1%E0%B8%99%E0%B8%97%E0%B8%AD%E0%B8%87%20%E0%B9%80%E0%B8%8A%E0%B8%B5%E0%B8%A2%E0%B8%87%E0%B8%A3%E0%B8%B2%E0%B8%A2</x:v>
      </x:c>
      <x:c r="Z77" s="56" t="n">
        <x:v>20.275595</x:v>
      </x:c>
      <x:c r="AA77" s="56" t="n">
        <x:v>100.179215</x:v>
      </x:c>
      <x:c r="AB77" s="57" t="str"/>
      <x:c r="AC77" s="20" t="str">
        <x:v>https://chiangrai.mots.go.th/news/461</x:v>
      </x:c>
    </x:row>
    <x:row r="78" ht="88" customHeight="1">
      <x:c r="A78" s="54" t="n">
        <x:v>70</x:v>
      </x:c>
      <x:c r="B78" s="20" t="str">
        <x:v>ชุมชนบ้านปางห้า</x:v>
      </x:c>
      <x:c r="C78" s="20" t="str">
        <x:v>เชียงราย</x:v>
      </x:c>
      <x:c r="D78" s="20" t="str">
        <x:v>ชุมชน</x:v>
      </x:c>
      <x:c r="E78" s="20" t="str">
        <x:v>พบข้อมูลชื่อตรงจาก บ้านปางห้า; เป็นหลักฐานตัวตน/ประเภท ยังไม่ยืนยันบริการมุสลิมครบเกณฑ์</x:v>
      </x:c>
      <x:c r="F78" s="20" t="str">
        <x:v>ไม่ทราบ</x:v>
      </x:c>
      <x:c r="G78" s="20" t="str">
        <x:v>ยังไม่ยืนยันใบรับรองและวันหมดอายุ</x:v>
      </x:c>
      <x:c r="H78" s="20" t="str">
        <x:v>ตรวจการเปิด ตัวตนสาขา ช่องทางติดต่อ และเงื่อนไขบังคับตามประเภท</x:v>
      </x:c>
      <x:c r="I78" s="20" t="str">
        <x:v>ยังไม่ยืนยันที่อยู่ละเอียด ดูลิงก์แหล่งข้อมูลและ Google Maps</x:v>
      </x:c>
      <x:c r="J78" s="21" t="str">
        <x:v>ยังไม่พบหรือยังไม่ยืนยัน</x:v>
      </x:c>
      <x:c r="K78" s="51" t="str">
        <x:v>https://wikicommunity.sac.or.th/community/2387</x:v>
      </x:c>
      <x:c r="L78" s="51" t="str">
        <x:v>https://www.thaipbs.or.th/program/Banrao/episodes/91632</x:v>
      </x:c>
      <x:c r="M78" s="20" t="str">
        <x:v>พบแหล่งต่างเว็บไซต์ ที่นี่บ้านเรา - เรียนรู้ชุมชนบ้านปางห้า | Thai PBS รายการไทยพีบีเอส</x:v>
      </x:c>
      <x:c r="N78" s="28" t="n">
        <x:v>46316</x:v>
      </x:c>
      <x:c r="O78" s="57" t="str">
        <x:v>ยังไม่ตรวจ</x:v>
      </x:c>
      <x:c r="P78" s="57" t="str">
        <x:v>ยังไม่ติดต่อ</x:v>
      </x:c>
      <x:c r="Q78" s="20" t="str">
        <x:v>R26-124</x:v>
      </x:c>
      <x:c r="R78" s="20" t="str"/>
      <x:c r="S78" s="20" t="str"/>
      <x:c r="T78" s="20" t="str">
        <x:v>https://wikicommunity.sac.or.th/community/2387</x:v>
      </x:c>
      <x:c r="U78" s="20" t="str"/>
      <x:c r="V78" s="20" t="str"/>
      <x:c r="W78" s="20" t="str"/>
      <x:c r="X78" s="20" t="str"/>
      <x:c r="Y78" s="20" t="str">
        <x:v>https://www.google.com/maps/search/?api=1&amp;query=%E0%B8%8A%E0%B8%B8%E0%B8%A1%E0%B8%8A%E0%B8%99%E0%B8%9A%E0%B9%89%E0%B8%B2%E0%B8%99%E0%B8%9B%E0%B8%B2%E0%B8%87%E0%B8%AB%E0%B9%89%E0%B8%B2%20%E0%B9%80%E0%B8%8A%E0%B8%B5%E0%B8%A2%E0%B8%87%E0%B8%A3%E0%B8%B2%E0%B8%A2</x:v>
      </x:c>
      <x:c r="Z78" s="56" t="n">
        <x:v>20.433919</x:v>
      </x:c>
      <x:c r="AA78" s="56" t="n">
        <x:v>99.966547</x:v>
      </x:c>
      <x:c r="AB78" s="57" t="str"/>
      <x:c r="AC78" s="20" t="str">
        <x:v>https://wikicommunity.sac.or.th/community/2387</x:v>
      </x:c>
    </x:row>
    <x:row r="79" ht="88" customHeight="1">
      <x:c r="A79" s="54" t="n">
        <x:v>71</x:v>
      </x:c>
      <x:c r="B79" s="20" t="str">
        <x:v>โรงแรมอัล มีรอซ กรุงเทพ</x:v>
      </x:c>
      <x:c r="C79" s="20" t="str">
        <x:v>กรุงเทพมหานคร</x:v>
      </x:c>
      <x:c r="D79" s="20" t="str">
        <x:v>โรงแรมหรือรีสอร์ท</x:v>
      </x:c>
      <x:c r="E79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79" s="20" t="str">
        <x:v>มีข้อมูลระบุ แต่รอยืนยัน</x:v>
      </x:c>
      <x:c r="G79" s="20" t="str">
        <x:v>ผู้ประกอบการระบุอาหารได้รับรองฮาลาล ยังต้องตรวจใบรับรองและวันหมดอายุ</x:v>
      </x:c>
      <x:c r="H7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 / แก้เส้นทาง: โรงแรมอยู่รามคำแหง ไม่ใช่สุขุมวิท</x:v>
      </x:c>
      <x:c r="I79" s="20" t="str">
        <x:v>1093/99 ถ. รามคำแหง แขวงลาดพร้าว เขตลาดพร้าว กรุงเทพมหานคร 10240</x:v>
      </x:c>
      <x:c r="J79" s="21" t="str">
        <x:v>Line :</x:v>
      </x:c>
      <x:c r="K79" s="51" t="str">
        <x:v>https://www.thic.or.th/th/tourist/detail/accommodation/538</x:v>
      </x:c>
      <x:c r="L79" s="51" t="str">
        <x:v>https://www.almerozhotel.com/th/hotel/about-us</x:v>
      </x:c>
      <x:c r="M79" s="20" t="str">
        <x:v>ผู้ประกอบการระบุอาหารได้รับรองฮาลาล ไม่มีแอลกอฮอล์ มีทิศกิบลัตและพรมละหมาดในห้อง</x:v>
      </x:c>
      <x:c r="N79" s="28" t="n">
        <x:v>46316</x:v>
      </x:c>
      <x:c r="O79" s="57" t="str">
        <x:v>ยังไม่ตรวจ</x:v>
      </x:c>
      <x:c r="P79" s="57" t="str">
        <x:v>ยังไม่ติดต่อ</x:v>
      </x:c>
      <x:c r="Q79" s="20" t="str">
        <x:v>TMF-044</x:v>
      </x:c>
      <x:c r="R79" s="20" t="str"/>
      <x:c r="S79" s="20" t="str">
        <x:v>info@almerozhotel.com</x:v>
      </x:c>
      <x:c r="T79" s="20" t="str">
        <x:v>https://www.thic.or.th/th/tourist/detail/accommodation/538</x:v>
      </x:c>
      <x:c r="U79" s="20" t="str">
        <x:v>https://www.facebook.com/almeroz.bangkok?fref=ts</x:v>
      </x:c>
      <x:c r="V79" s="20" t="str">
        <x:v>https://www.instagram.com/almerozhotelbangkok/</x:v>
      </x:c>
      <x:c r="W79" s="20" t="str"/>
      <x:c r="X79" s="20" t="str">
        <x:v>https://www.tiktok.com/@almerozhotel?is_from_webapp=1&amp;sender_device=pc</x:v>
      </x:c>
      <x:c r="Y79" s="20" t="str">
        <x:v>https://www.google.com/maps/search/?api=1&amp;query=%E0%B9%82%E0%B8%A3%E0%B8%87%E0%B9%81%E0%B8%A3%E0%B8%A1%E0%B8%AD%E0%B8%B1%E0%B8%A5%20%E0%B8%A1%E0%B8%B5%E0%B8%A3%E0%B8%AD%E0%B8%8B%20%E0%B8%81%E0%B8%A3%E0%B8%B8%E0%B8%87%E0%B9%80%E0%B8%97%E0%B8%9E%20%E0%B8%81%E0%B8%A3%E0%B8%B8%E0%B8%87%E0%B9%80%E0%B8%97%E0%B8%9E%E0%B8%A1%E0%B8%AB%E0%B8%B2%E0%B8%99%E0%B8%84%E0%B8%A3</x:v>
      </x:c>
      <x:c r="Z79" s="56" t="n">
        <x:v>13.74608</x:v>
      </x:c>
      <x:c r="AA79" s="56" t="n">
        <x:v>100.60385</x:v>
      </x:c>
      <x:c r="AB79" s="57" t="str"/>
      <x:c r="AC79" s="20" t="str">
        <x:v>https://www.almerozhotel.com/</x:v>
      </x:c>
    </x:row>
    <x:row r="80" ht="88" customHeight="1">
      <x:c r="A80" s="54" t="n">
        <x:v>72</x:v>
      </x:c>
      <x:c r="B80" s="20" t="str">
        <x:v>Beirut Restaurant สุขุมวิท 39</x:v>
      </x:c>
      <x:c r="C80" s="20" t="str">
        <x:v>กรุงเทพมหานคร</x:v>
      </x:c>
      <x:c r="D80" s="20" t="str">
        <x:v>อาหาร</x:v>
      </x:c>
      <x:c r="E80" s="20" t="str">
        <x:v>พบข้อมูลชื่อตรงจาก รีวิว Beirut Lebanese Restaurant สุขุมวิท 39 - อาหารเลบานอลรสชาติกลมกล่อม แต่ไม่แตกต่างจากตะวันออกกลางเพื่อนบ้านข้างเคียงเท่าไหร่นัก; เป็นหลักฐานตัวตน/ประเภท ยังไม่ยืนยันบริการมุสลิมครบเกณฑ์</x:v>
      </x:c>
      <x:c r="F80" s="20" t="str">
        <x:v>ไม่ทราบ</x:v>
      </x:c>
      <x:c r="G80" s="20" t="str">
        <x:v>ยังไม่ยืนยันใบรับรองและวันหมดอายุ</x:v>
      </x:c>
      <x:c r="H80" s="20" t="str">
        <x:v>ตรวจการเปิด ตัวตนสาขา ช่องทางติดต่อ และเงื่อนไขบังคับตามประเภท</x:v>
      </x:c>
      <x:c r="I80" s="20" t="str">
        <x:v>ยังไม่ยืนยันที่อยู่ละเอียด ดูลิงก์แหล่งข้อมูลและ Google Maps</x:v>
      </x:c>
      <x:c r="J80" s="21" t="str">
        <x:v>ยังไม่พบหรือยังไม่ยืนยัน</x:v>
      </x:c>
      <x:c r="K80" s="51" t="str">
        <x:v>https://www.wongnai.com/reviews/5af2c6b5063f4427b165bad77ef47bc6</x:v>
      </x:c>
      <x:c r="L80" s="51" t="str">
        <x:v>https://www.beirut-restaurant.com/</x:v>
      </x:c>
      <x:c r="M80" s="20" t="str">
        <x:v>พบแหล่งต่างเว็บไซต์ Home | Beirut Restaurant</x:v>
      </x:c>
      <x:c r="N80" s="28" t="n">
        <x:v>46316</x:v>
      </x:c>
      <x:c r="O80" s="57" t="str">
        <x:v>ยังไม่ตรวจ</x:v>
      </x:c>
      <x:c r="P80" s="57" t="str">
        <x:v>ยังไม่ติดต่อ</x:v>
      </x:c>
      <x:c r="Q80" s="20" t="str">
        <x:v>R26-027</x:v>
      </x:c>
      <x:c r="R80" s="20" t="str"/>
      <x:c r="S80" s="20" t="str"/>
      <x:c r="T80" s="20" t="str">
        <x:v>https://www.wongnai.com/reviews/5af2c6b5063f4427b165bad77ef47bc6</x:v>
      </x:c>
      <x:c r="U80" s="20" t="str">
        <x:v>https://www.facebook.com/BeirutBangkoklebanese</x:v>
      </x:c>
      <x:c r="V80" s="20" t="str">
        <x:v>https://www.instagram.com/beirutrestaurantth</x:v>
      </x:c>
      <x:c r="W80" s="20" t="str"/>
      <x:c r="X80" s="20" t="str"/>
      <x:c r="Y80" s="20" t="str">
        <x:v>https://www.google.com/maps/search/?api=1&amp;query=Beirut%20Restaurant%20%E0%B8%AA%E0%B8%B8%E0%B8%82%E0%B8%B8%E0%B8%A1%E0%B8%A7%E0%B8%B4%E0%B8%97%2039%20%E0%B8%81%E0%B8%A3%E0%B8%B8%E0%B8%87%E0%B9%80%E0%B8%97%E0%B8%9E%E0%B8%A1%E0%B8%AB%E0%B8%B2%E0%B8%99%E0%B8%84%E0%B8%A3</x:v>
      </x:c>
      <x:c r="Z80" s="56" t="str"/>
      <x:c r="AA80" s="56" t="str"/>
      <x:c r="AB80" s="57" t="str"/>
      <x:c r="AC80" s="20" t="str">
        <x:v>https://www.wongnai.com/reviews/5af2c6b5063f4427b165bad77ef47bc6</x:v>
      </x:c>
    </x:row>
    <x:row r="81" ht="88" customHeight="1">
      <x:c r="A81" s="54" t="n">
        <x:v>73</x:v>
      </x:c>
      <x:c r="B81" s="20" t="str">
        <x:v>มัสยิดต้นสน</x:v>
      </x:c>
      <x:c r="C81" s="20" t="str">
        <x:v>กรุงเทพมหานคร</x:v>
      </x:c>
      <x:c r="D81" s="20" t="str">
        <x:v>มัสยิด</x:v>
      </x:c>
      <x:c r="E8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81" s="20" t="str">
        <x:v>มีข้อมูลระบุ แต่รอยืนยัน</x:v>
      </x:c>
      <x:c r="G81" s="20" t="str">
        <x:v>ยังไม่พบเอกสารรับรองและวันหมดอายุ</x:v>
      </x:c>
      <x:c r="H8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81" s="20" t="str">
        <x:v>447 ถนนอรุณอมรินทร์ แขวงวัดอรุณ เขตบางกอกใหญ่ กรุงเทพมหานคร 10600</x:v>
      </x:c>
      <x:c r="J81" s="21" t="str">
        <x:v>02-466-5326</x:v>
      </x:c>
      <x:c r="K81" s="51" t="str">
        <x:v>https://www.thic.or.th/th/tourist/detail/mosques/43</x:v>
      </x:c>
      <x:c r="L81" s="51" t="str">
        <x:v>https://th.trip.com/travel-guide/attraction/bangkok/ton-son-mosque-97364728/</x:v>
      </x:c>
      <x:c r="M81" s="20" t="str">
        <x:v>ผลค้นหาชื่อสัมพันธ์จากแหล่งเพิ่มเติม ต้องยืนยันสาขาและข้อมูลปัจจุบัน</x:v>
      </x:c>
      <x:c r="N81" s="28" t="n">
        <x:v>46316</x:v>
      </x:c>
      <x:c r="O81" s="57" t="str">
        <x:v>ยังไม่ตรวจ</x:v>
      </x:c>
      <x:c r="P81" s="57" t="str">
        <x:v>ยังไม่ติดต่อ</x:v>
      </x:c>
      <x:c r="Q81" s="20" t="str">
        <x:v>TMF-295</x:v>
      </x:c>
      <x:c r="R81" s="20" t="str"/>
      <x:c r="S81" s="20" t="str"/>
      <x:c r="T81" s="20" t="str">
        <x:v>https://www.thic.or.th/th/tourist/detail/mosques/43</x:v>
      </x:c>
      <x:c r="U81" s="20" t="str"/>
      <x:c r="V81" s="20" t="str"/>
      <x:c r="W81" s="20" t="str"/>
      <x:c r="X81" s="20" t="str"/>
      <x:c r="Y81" s="20" t="str">
        <x:v>https://www.google.com/maps/search/?api=1&amp;query=%E0%B8%A1%E0%B8%B1%E0%B8%AA%E0%B8%A2%E0%B8%B4%E0%B8%94%E0%B8%95%E0%B9%89%E0%B8%99%E0%B8%AA%E0%B8%99%20%E0%B8%81%E0%B8%A3%E0%B8%B8%E0%B8%87%E0%B9%80%E0%B8%97%E0%B8%9E%E0%B8%A1%E0%B8%AB%E0%B8%B2%E0%B8%99%E0%B8%84%E0%B8%A3</x:v>
      </x:c>
      <x:c r="Z81" s="56" t="n">
        <x:v>13.739989</x:v>
      </x:c>
      <x:c r="AA81" s="56" t="n">
        <x:v>100.486185</x:v>
      </x:c>
      <x:c r="AB81" s="57" t="str"/>
      <x:c r="AC81" s="20" t="str">
        <x:v>https://www.thic.or.th/th/tourist/detail/mosques/43</x:v>
      </x:c>
    </x:row>
    <x:row r="82" ht="88" customHeight="1">
      <x:c r="A82" s="54" t="n">
        <x:v>74</x:v>
      </x:c>
      <x:c r="B82" s="20" t="str">
        <x:v>หอศิลปวัฒนธรรมแห่งกรุงเทพมหานคร</x:v>
      </x:c>
      <x:c r="C82" s="20" t="str">
        <x:v>กรุงเทพมหานคร</x:v>
      </x:c>
      <x:c r="D82" s="20" t="str">
        <x:v>ประวัติ</x:v>
      </x:c>
      <x:c r="E82" s="20" t="str">
        <x:v>พบข้อมูลชื่อตรงจาก หอศิลปวัฒนธรรมแห่งกรุงเทพมหานคร - Bangkok Art and Culture Centre; เป็นหลักฐานตัวตน/ประเภท ยังไม่ยืนยันบริการมุสลิมครบเกณฑ์</x:v>
      </x:c>
      <x:c r="F82" s="20" t="str">
        <x:v>ไม่ทราบ</x:v>
      </x:c>
      <x:c r="G82" s="20" t="str">
        <x:v>ยังไม่ยืนยันใบรับรองและวันหมดอายุ</x:v>
      </x:c>
      <x:c r="H82" s="20" t="str">
        <x:v>ตรวจการเปิด ตัวตนสาขา ช่องทางติดต่อ และเงื่อนไขบังคับตามประเภท</x:v>
      </x:c>
      <x:c r="I82" s="20" t="str">
        <x:v>ยังไม่ยืนยันที่อยู่ละเอียด ดูลิงก์แหล่งข้อมูลและ Google Maps</x:v>
      </x:c>
      <x:c r="J82" s="21" t="str">
        <x:v>ยังไม่พบหรือยังไม่ยืนยัน</x:v>
      </x:c>
      <x:c r="K82" s="51" t="str">
        <x:v>https://www.bacc.or.th/publication/61871</x:v>
      </x:c>
      <x:c r="L82" s="51" t="str">
        <x:v>https://publicspace.bangkok.go.th/Spaces/Info/C2D5D7EB-8309-4CD8-A709-144D8C1C3A70</x:v>
      </x:c>
      <x:c r="M82" s="20" t="str">
        <x:v>พบแหล่งต่างเว็บไซต์ หอศิลปวัฒนธรรมแห่งกรุงเทพมหานคร BACC | แพลตฟอร์มจองพื้นที่สาธารณะ</x:v>
      </x:c>
      <x:c r="N82" s="28" t="n">
        <x:v>46316</x:v>
      </x:c>
      <x:c r="O82" s="57" t="str">
        <x:v>ยังไม่ตรวจ</x:v>
      </x:c>
      <x:c r="P82" s="57" t="str">
        <x:v>ยังไม่ติดต่อ</x:v>
      </x:c>
      <x:c r="Q82" s="20" t="str">
        <x:v>R26-025</x:v>
      </x:c>
      <x:c r="R82" s="20" t="str"/>
      <x:c r="S82" s="20" t="str"/>
      <x:c r="T82" s="20" t="str">
        <x:v>https://www.bacc.or.th/publication/61871</x:v>
      </x:c>
      <x:c r="U82" s="20" t="str"/>
      <x:c r="V82" s="20" t="str"/>
      <x:c r="W82" s="20" t="str"/>
      <x:c r="X82" s="20" t="str"/>
      <x:c r="Y82" s="20" t="str">
        <x:v>https://www.google.com/maps/search/?api=1&amp;query=%E0%B8%AB%E0%B8%AD%E0%B8%A8%E0%B8%B4%E0%B8%A5%E0%B8%9B%E0%B8%A7%E0%B8%B1%E0%B8%92%E0%B8%99%E0%B8%98%E0%B8%A3%E0%B8%A3%E0%B8%A1%E0%B9%81%E0%B8%AB%E0%B9%88%E0%B8%87%E0%B8%81%E0%B8%A3%E0%B8%B8%E0%B8%87%E0%B9%80%E0%B8%97%E0%B8%9E%E0%B8%A1%E0%B8%AB%E0%B8%B2%E0%B8%99%E0%B8%84%E0%B8%A3%20%E0%B8%81%E0%B8%A3%E0%B8%B8%E0%B8%87%E0%B9%80%E0%B8%97%E0%B8%9E%E0%B8%A1%E0%B8%AB%E0%B8%B2%E0%B8%99%E0%B8%84%E0%B8%A3</x:v>
      </x:c>
      <x:c r="Z82" s="56" t="n">
        <x:v>13.746778</x:v>
      </x:c>
      <x:c r="AA82" s="56" t="n">
        <x:v>100.5302625</x:v>
      </x:c>
      <x:c r="AB82" s="57" t="str"/>
      <x:c r="AC82" s="20" t="str">
        <x:v>https://www.bacc.or.th/publication/61871</x:v>
      </x:c>
    </x:row>
    <x:row r="83" ht="88" customHeight="1">
      <x:c r="A83" s="54" t="n">
        <x:v>75</x:v>
      </x:c>
      <x:c r="B83" s="20" t="str">
        <x:v>ชุมชนกุฎีขาว</x:v>
      </x:c>
      <x:c r="C83" s="20" t="str">
        <x:v>กรุงเทพมหานคร</x:v>
      </x:c>
      <x:c r="D83" s="20" t="str">
        <x:v>ชุมชน</x:v>
      </x:c>
      <x:c r="E83" s="20" t="str">
        <x:v>พบข้อมูลชื่อตรงจาก กุฎีขาว; เป็นหลักฐานตัวตน/ประเภท ยังไม่ยืนยันบริการมุสลิมครบเกณฑ์</x:v>
      </x:c>
      <x:c r="F83" s="20" t="str">
        <x:v>ไม่ทราบ</x:v>
      </x:c>
      <x:c r="G83" s="20" t="str">
        <x:v>ยังไม่ยืนยันใบรับรองและวันหมดอายุ</x:v>
      </x:c>
      <x:c r="H83" s="20" t="str">
        <x:v>ตรวจการเปิด ตัวตนสาขา ช่องทางติดต่อ และเงื่อนไขบังคับตามประเภท</x:v>
      </x:c>
      <x:c r="I83" s="20" t="str">
        <x:v>ยังไม่ยืนยันที่อยู่ละเอียด ดูลิงก์แหล่งข้อมูลและ Google Maps</x:v>
      </x:c>
      <x:c r="J83" s="21" t="str">
        <x:v>ยังไม่พบหรือยังไม่ยืนยัน</x:v>
      </x:c>
      <x:c r="K83" s="51" t="str">
        <x:v>https://wikicommunity.sac.or.th/community/822</x:v>
      </x:c>
      <x:c r="L83" s="51" t="str">
        <x:v>https://www.niems.go.th/1/Upload/migrate/File/255612021324347624_VGyLj7jmr6cVVFLg.pdf</x:v>
      </x:c>
      <x:c r="M83" s="20" t="str">
        <x:v>พบแหล่งต่างเว็บไซต์ กรมการปกครองกระทรวงมหาดไทย</x:v>
      </x:c>
      <x:c r="N83" s="28" t="n">
        <x:v>46316</x:v>
      </x:c>
      <x:c r="O83" s="57" t="str">
        <x:v>ยังไม่ตรวจ</x:v>
      </x:c>
      <x:c r="P83" s="57" t="str">
        <x:v>ยังไม่ติดต่อ</x:v>
      </x:c>
      <x:c r="Q83" s="20" t="str">
        <x:v>R26-024</x:v>
      </x:c>
      <x:c r="R83" s="20" t="str"/>
      <x:c r="S83" s="20" t="str"/>
      <x:c r="T83" s="20" t="str">
        <x:v>https://wikicommunity.sac.or.th/community/822</x:v>
      </x:c>
      <x:c r="U83" s="20" t="str"/>
      <x:c r="V83" s="20" t="str"/>
      <x:c r="W83" s="20" t="str"/>
      <x:c r="X83" s="20" t="str"/>
      <x:c r="Y83" s="20" t="str">
        <x:v>https://www.google.com/maps/search/?api=1&amp;query=%E0%B8%8A%E0%B8%B8%E0%B8%A1%E0%B8%8A%E0%B8%99%E0%B8%81%E0%B8%B8%E0%B8%8E%E0%B8%B5%E0%B8%82%E0%B8%B2%E0%B8%A7%20%E0%B8%81%E0%B8%A3%E0%B8%B8%E0%B8%87%E0%B9%80%E0%B8%97%E0%B8%9E%E0%B8%A1%E0%B8%AB%E0%B8%B2%E0%B8%99%E0%B8%84%E0%B8%A3</x:v>
      </x:c>
      <x:c r="Z83" s="56" t="n">
        <x:v>13.738204</x:v>
      </x:c>
      <x:c r="AA83" s="56" t="n">
        <x:v>100.489386</x:v>
      </x:c>
      <x:c r="AB83" s="57" t="str"/>
      <x:c r="AC83" s="20" t="str">
        <x:v>https://wikicommunity.sac.or.th/community/822</x:v>
      </x:c>
    </x:row>
    <x:row r="84" ht="88" customHeight="1">
      <x:c r="A84" s="54" t="n">
        <x:v>76</x:v>
      </x:c>
      <x:c r="B84" s="20" t="str">
        <x:v>ชุมชนบ้านครัว</x:v>
      </x:c>
      <x:c r="C84" s="20" t="str">
        <x:v>กรุงเทพมหานคร</x:v>
      </x:c>
      <x:c r="D84" s="20" t="str">
        <x:v>ชุมชน</x:v>
      </x:c>
      <x:c r="E84" s="20" t="str">
        <x:v>พบข้อมูลชื่อตรงจาก บ้านครัว; เป็นหลักฐานตัวตน/ประเภท ยังไม่ยืนยันบริการมุสลิมครบเกณฑ์</x:v>
      </x:c>
      <x:c r="F84" s="20" t="str">
        <x:v>ไม่ทราบ</x:v>
      </x:c>
      <x:c r="G84" s="20" t="str">
        <x:v>ยังไม่ยืนยันใบรับรองและวันหมดอายุ</x:v>
      </x:c>
      <x:c r="H84" s="20" t="str">
        <x:v>ตรวจการเปิด ตัวตนสาขา ช่องทางติดต่อ และเงื่อนไขบังคับตามประเภท</x:v>
      </x:c>
      <x:c r="I84" s="20" t="str">
        <x:v>ยังไม่ยืนยันที่อยู่ละเอียด ดูลิงก์แหล่งข้อมูลและ Google Maps</x:v>
      </x:c>
      <x:c r="J84" s="21" t="str">
        <x:v>ยังไม่พบหรือยังไม่ยืนยัน</x:v>
      </x:c>
      <x:c r="K84" s="51" t="str">
        <x:v>https://wikicommunity.sac.or.th/community/466</x:v>
      </x:c>
      <x:c r="L84" s="51" t="str">
        <x:v>https://cbtthailand.dasta.or.th/webapp/relattraction/content/3422/</x:v>
      </x:c>
      <x:c r="M84" s="20" t="str">
        <x:v>พบแหล่งต่างเว็บไซต์ ชุมชนบ้านครัวเหนือ | CBT Thailand</x:v>
      </x:c>
      <x:c r="N84" s="28" t="n">
        <x:v>46316</x:v>
      </x:c>
      <x:c r="O84" s="57" t="str">
        <x:v>ยังไม่ตรวจ</x:v>
      </x:c>
      <x:c r="P84" s="57" t="str">
        <x:v>ยังไม่ติดต่อ</x:v>
      </x:c>
      <x:c r="Q84" s="20" t="str">
        <x:v>R26-026</x:v>
      </x:c>
      <x:c r="R84" s="20" t="str"/>
      <x:c r="S84" s="20" t="str"/>
      <x:c r="T84" s="20" t="str">
        <x:v>https://wikicommunity.sac.or.th/community/466</x:v>
      </x:c>
      <x:c r="U84" s="20" t="str"/>
      <x:c r="V84" s="20" t="str"/>
      <x:c r="W84" s="20" t="str"/>
      <x:c r="X84" s="20" t="str"/>
      <x:c r="Y84" s="20" t="str">
        <x:v>https://www.google.com/maps/search/?api=1&amp;query=%E0%B8%8A%E0%B8%B8%E0%B8%A1%E0%B8%8A%E0%B8%99%E0%B8%9A%E0%B9%89%E0%B8%B2%E0%B8%99%E0%B8%84%E0%B8%A3%E0%B8%B1%E0%B8%A7%20%E0%B8%81%E0%B8%A3%E0%B8%B8%E0%B8%87%E0%B9%80%E0%B8%97%E0%B8%9E%E0%B8%A1%E0%B8%AB%E0%B8%B2%E0%B8%99%E0%B8%84%E0%B8%A3</x:v>
      </x:c>
      <x:c r="Z84" s="56" t="n">
        <x:v>13.751746</x:v>
      </x:c>
      <x:c r="AA84" s="56" t="n">
        <x:v>100.522362</x:v>
      </x:c>
      <x:c r="AB84" s="57" t="str"/>
      <x:c r="AC84" s="20" t="str">
        <x:v>https://wikicommunity.sac.or.th/community/466</x:v>
      </x:c>
    </x:row>
    <x:row r="85" ht="88" customHeight="1">
      <x:c r="A85" s="54" t="n">
        <x:v>77</x:v>
      </x:c>
      <x:c r="B85" s="20" t="str">
        <x:v>FARAYA Cruise Restaurant</x:v>
      </x:c>
      <x:c r="C85" s="20" t="str">
        <x:v>กรุงเทพมหานคร</x:v>
      </x:c>
      <x:c r="D85" s="20" t="str">
        <x:v>ร้านอาหารและคาเฟ่</x:v>
      </x:c>
      <x:c r="E85" s="20" t="str">
        <x:v>มีชื่อในทะเบียนสาธารณะ GMHI; ข้อมูลบริการตามทะเบียนยังต้องยืนยันกับผู้ประกอบการ</x:v>
      </x:c>
      <x:c r="F85" s="20" t="str">
        <x:v>ไม่ทราบ</x:v>
      </x:c>
      <x:c r="G85" s="20" t="str">
        <x:v>ทะเบียน GMHI 7 ดาว; ช่องใบรับรอง: ไม่ระบุ; ยังต้องยืนยันใบรับรองอาหารฮาลาลและวันหมดอายุแยกต่างหาก</x:v>
      </x:c>
      <x:c r="H85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เว็บไซต์ Riverside ระบุชื่อ Faraya และการรับรองอาหารฮาลาล / ผู้ขายตั๋วแจ้งหยุดซ่อม 1 ก.ย.–12 ต.ค. 2026 ยังไม่ยืนยันกลับมาเปิด / KKday ระบุเช็กอินเอเชียทีคตั้งแต่ 16 มิ.ย. 2026 ต้องยืนยันจุดขึ้นเรือปัจจุบัน / ต้องยืนยันกลับมาให้บริการหลังประกาศซ่อมบำรุง และท่าเรือที่ใช้จริง</x:v>
      </x:c>
      <x:c r="I85" s="20" t="str">
        <x:v>ยังไม่ระบุในทะเบียน ต้องยืนยันสถานที่และจุดรับบริการ</x:v>
      </x:c>
      <x:c r="J85" s="21" t="str">
        <x:v>ยังไม่พบหรือยังไม่ยืนยัน</x:v>
      </x:c>
      <x:c r="K85" s="51" t="str">
        <x:v>https://gmhi.co/th-th/services/FARAYA%20Cruise%20Restaurant-38</x:v>
      </x:c>
      <x:c r="L85" s="51" t="str">
        <x:v>https://www.riversidebangkok.com/cruises/</x:v>
      </x:c>
      <x:c r="M85" s="20" t="str">
        <x:v>เว็บไซต์ Riverside ระบุชื่อ Faraya และการรับรองอาหารฮาลาล / ผู้ขายตั๋วแจ้งหยุดซ่อม 1 ก.ย.–12 ต.ค. 2026 ยังไม่ยืนยันกลับมาเปิด / KKday ระบุเช็กอินเอเชียทีคตั้งแต่ 16 มิ.ย. 2026 ต้องยืนยันจุดขึ้นเรือปัจจุบัน</x:v>
      </x:c>
      <x:c r="N85" s="28" t="n">
        <x:v>46316</x:v>
      </x:c>
      <x:c r="O85" s="57" t="str">
        <x:v>ยังไม่ตรวจ</x:v>
      </x:c>
      <x:c r="P85" s="57" t="str">
        <x:v>ยังไม่ติดต่อ</x:v>
      </x:c>
      <x:c r="Q85" s="20" t="str">
        <x:v>GMHI-38</x:v>
      </x:c>
      <x:c r="R85" s="20" t="str">
        <x:v>FARAYA Cruise Restaurant</x:v>
      </x:c>
      <x:c r="S85" s="20" t="str"/>
      <x:c r="T85" s="20" t="str">
        <x:v>https://gmhi.co/th-th/services/FARAYA%20Cruise%20Restaurant-38</x:v>
      </x:c>
      <x:c r="U85" s="20" t="str"/>
      <x:c r="V85" s="20" t="str"/>
      <x:c r="W85" s="20" t="str"/>
      <x:c r="X85" s="20" t="str"/>
      <x:c r="Y85" s="20" t="str">
        <x:v>https://www.google.com/maps/search/?api=1&amp;query=FARAYA%20Cruise%20Restaurant%20%E0%B8%81%E0%B8%A3%E0%B8%B8%E0%B8%87%E0%B9%80%E0%B8%97%E0%B8%9E%E0%B8%A1%E0%B8%AB%E0%B8%B2%E0%B8%99%E0%B8%84%E0%B8%A3</x:v>
      </x:c>
      <x:c r="Z85" s="56" t="str"/>
      <x:c r="AA85" s="56" t="str"/>
      <x:c r="AB85" s="57" t="str"/>
      <x:c r="AC85" s="20" t="str">
        <x:v>https://gmhi.co/th-th/services/FARAYA%20Cruise%20Restaurant-38</x:v>
      </x:c>
    </x:row>
    <x:row r="86" ht="88" customHeight="1">
      <x:c r="A86" s="54" t="n">
        <x:v>78</x:v>
      </x:c>
      <x:c r="B86" s="20" t="str">
        <x:v>Prem Yoga Ayurveda Center</x:v>
      </x:c>
      <x:c r="C86" s="20" t="str">
        <x:v>กรุงเทพมหานคร</x:v>
      </x:c>
      <x:c r="D86" s="20" t="str">
        <x:v>เวลเนส</x:v>
      </x:c>
      <x:c r="E86" s="20" t="str">
        <x:v>พบข้อมูลชื่อตรงจาก Prem Yoga &amp; Ayurveda; เป็นหลักฐานตัวตน/ประเภท ยังไม่ยืนยันบริการมุสลิมครบเกณฑ์</x:v>
      </x:c>
      <x:c r="F86" s="20" t="str">
        <x:v>ไม่ทราบ</x:v>
      </x:c>
      <x:c r="G86" s="20" t="str">
        <x:v>ยังไม่ยืนยันใบรับรองและวันหมดอายุ</x:v>
      </x:c>
      <x:c r="H86" s="20" t="str">
        <x:v>ตรวจการเปิด ตัวตนสาขา ช่องทางติดต่อ และเงื่อนไขบังคับตามประเภท</x:v>
      </x:c>
      <x:c r="I86" s="20" t="str">
        <x:v>ยังไม่ยืนยันที่อยู่ละเอียด ดูลิงก์แหล่งข้อมูลและ Google Maps</x:v>
      </x:c>
      <x:c r="J86" s="21" t="str">
        <x:v>+66850196143</x:v>
      </x:c>
      <x:c r="K86" s="51" t="str">
        <x:v>https://www.reddit.com/r/u_elvawoodj/comments/faayru</x:v>
      </x:c>
      <x:c r="L86" s="51" t="str">
        <x:v>https://premyogaayurveda.com/</x:v>
      </x:c>
      <x:c r="M86" s="20" t="str">
        <x:v>พบแหล่งต่างเว็บไซต์ Ayurveda Centre and Yoga Classes in Bangkok | Prem Yoga</x:v>
      </x:c>
      <x:c r="N86" s="28" t="n">
        <x:v>46316</x:v>
      </x:c>
      <x:c r="O86" s="57" t="str">
        <x:v>ยังไม่ตรวจ</x:v>
      </x:c>
      <x:c r="P86" s="57" t="str">
        <x:v>ยังไม่ติดต่อ</x:v>
      </x:c>
      <x:c r="Q86" s="20" t="str">
        <x:v>R26-029</x:v>
      </x:c>
      <x:c r="R86" s="20" t="str">
        <x:v>Prem Yoga Ayurveda Center</x:v>
      </x:c>
      <x:c r="S86" s="20" t="str">
        <x:v>info@premyogaayurveda.com</x:v>
      </x:c>
      <x:c r="T86" s="20" t="str">
        <x:v>https://www.reddit.com/r/u_elvawoodj/comments/faayru</x:v>
      </x:c>
      <x:c r="U86" s="20" t="str">
        <x:v>https://www.facebook.com/premyogprana</x:v>
      </x:c>
      <x:c r="V86" s="20" t="str">
        <x:v>https://www.instagram.com/prem.and.yoga.ayurveda</x:v>
      </x:c>
      <x:c r="W86" s="20" t="str"/>
      <x:c r="X86" s="20" t="str"/>
      <x:c r="Y86" s="20" t="str">
        <x:v>https://www.google.com/maps/search/?api=1&amp;query=Prem%20Yoga%20Ayurveda%20Center%20%E0%B8%81%E0%B8%A3%E0%B8%B8%E0%B8%87%E0%B9%80%E0%B8%97%E0%B8%9E%E0%B8%A1%E0%B8%AB%E0%B8%B2%E0%B8%99%E0%B8%84%E0%B8%A3</x:v>
      </x:c>
      <x:c r="Z86" s="56" t="n">
        <x:v>13.724376</x:v>
      </x:c>
      <x:c r="AA86" s="56" t="n">
        <x:v>100.572411</x:v>
      </x:c>
      <x:c r="AB86" s="57" t="str"/>
      <x:c r="AC86" s="20" t="str">
        <x:v>https://premyogaayurveda.com/</x:v>
      </x:c>
    </x:row>
    <x:row r="87" ht="88" customHeight="1">
      <x:c r="A87" s="54" t="n">
        <x:v>79</x:v>
      </x:c>
      <x:c r="B87" s="20" t="str">
        <x:v>สวนลอยฟ้าเจ้าพระยา</x:v>
      </x:c>
      <x:c r="C87" s="20" t="str">
        <x:v>กรุงเทพมหานคร</x:v>
      </x:c>
      <x:c r="D87" s="20" t="str">
        <x:v>สวนสาธารณะหรือแหล่งธรรมชาติ</x:v>
      </x:c>
      <x:c r="E87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87" s="20" t="str">
        <x:v>ไม่ทราบ</x:v>
      </x:c>
      <x:c r="G87" s="20" t="str">
        <x:v>ยังไม่พบเอกสารรับรองและวันหมดอายุ</x:v>
      </x:c>
      <x:c r="H87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87" s="20" t="str">
        <x:v>แขวงสำราญราษฎร์ เขตพระนคร กรุงเทพมหานคร 10200</x:v>
      </x:c>
      <x:c r="J87" s="21" t="str">
        <x:v>Line :</x:v>
      </x:c>
      <x:c r="K87" s="51" t="str">
        <x:v>https://www.thic.or.th/th/tourist/detail/tourist/365</x:v>
      </x:c>
      <x:c r="L87" s="51" t="str">
        <x:v>https://www.wongnai.com/attractions/588174Pz-%E0%B8%AA%E0%B8%A7%E0%B8%99%E0%B8%A5%E0%B8%AD%E0%B8%A2%E0%B8%9F%E0%B9%89%E0%B8%B2%E0%B9%80%E0%B8%88%E0%B9%89%E0%B8%B2%E0%B8%9E%E0%B8%A3%E0%B8%B0%E0%B8%A2%E0%B8%B2</x:v>
      </x:c>
      <x:c r="M87" s="20" t="str">
        <x:v>ผลค้นหาชื่อสัมพันธ์จากแหล่งเพิ่มเติม ต้องยืนยันสาขาและข้อมูลปัจจุบัน</x:v>
      </x:c>
      <x:c r="N87" s="28" t="n">
        <x:v>46316</x:v>
      </x:c>
      <x:c r="O87" s="57" t="str">
        <x:v>ยังไม่ตรวจ</x:v>
      </x:c>
      <x:c r="P87" s="57" t="str">
        <x:v>ยังไม่ติดต่อ</x:v>
      </x:c>
      <x:c r="Q87" s="20" t="str">
        <x:v>TMF-506</x:v>
      </x:c>
      <x:c r="R87" s="20" t="str"/>
      <x:c r="S87" s="20" t="str"/>
      <x:c r="T87" s="20" t="str">
        <x:v>https://www.thic.or.th/th/tourist/detail/tourist/365</x:v>
      </x:c>
      <x:c r="U87" s="20" t="str"/>
      <x:c r="V87" s="20" t="str"/>
      <x:c r="W87" s="20" t="str"/>
      <x:c r="X87" s="20" t="str"/>
      <x:c r="Y87" s="20" t="str">
        <x:v>https://www.google.com/maps/search/?api=1&amp;query=%E0%B8%AA%E0%B8%A7%E0%B8%99%E0%B8%A5%E0%B8%AD%E0%B8%A2%E0%B8%9F%E0%B9%89%E0%B8%B2%E0%B9%80%E0%B8%88%E0%B9%89%E0%B8%B2%E0%B8%9E%E0%B8%A3%E0%B8%B0%E0%B8%A2%E0%B8%B2%20%E0%B8%81%E0%B8%A3%E0%B8%B8%E0%B8%87%E0%B9%80%E0%B8%97%E0%B8%9E%E0%B8%A1%E0%B8%AB%E0%B8%B2%E0%B8%99%E0%B8%84%E0%B8%A3</x:v>
      </x:c>
      <x:c r="Z87" s="56" t="n">
        <x:v>13.73902</x:v>
      </x:c>
      <x:c r="AA87" s="56" t="n">
        <x:v>100.49849</x:v>
      </x:c>
      <x:c r="AB87" s="57" t="str"/>
      <x:c r="AC87" s="20" t="str">
        <x:v>https://www.thic.or.th/th/tourist/detail/tourist/365</x:v>
      </x:c>
    </x:row>
    <x:row r="88" ht="88" customHeight="1">
      <x:c r="A88" s="54" t="n">
        <x:v>80</x:v>
      </x:c>
      <x:c r="B88" s="20" t="str">
        <x:v>มัสยิดฮารูณ (เจริญกรุง)</x:v>
      </x:c>
      <x:c r="C88" s="20" t="str">
        <x:v>กรุงเทพมหานคร</x:v>
      </x:c>
      <x:c r="D88" s="20" t="str">
        <x:v>มัสยิด</x:v>
      </x:c>
      <x:c r="E88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88" s="20" t="str">
        <x:v>มีข้อมูลระบุ แต่รอยืนยัน</x:v>
      </x:c>
      <x:c r="G88" s="20" t="str">
        <x:v>ยังไม่พบเอกสารรับรองและวันหมดอายุ</x:v>
      </x:c>
      <x:c r="H88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88" s="20" t="str">
        <x:v>25 ซอย เจริญกรุง 36 ถนนเจริญกรุง แขวงบางรัก เขตบางรัก กรุงเทพมหานคร 10500</x:v>
      </x:c>
      <x:c r="J88" s="21" t="str">
        <x:v>08 1488 8154</x:v>
      </x:c>
      <x:c r="K88" s="51" t="str">
        <x:v>https://www.thic.or.th/th/tourist/detail/mosques/465</x:v>
      </x:c>
      <x:c r="L88" s="51" t="str">
        <x:v>https://masjid.islamicbangkok.or.th/masjid/id/10129</x:v>
      </x:c>
      <x:c r="M88" s="20" t="str">
        <x:v>ผลค้นหาชื่อสัมพันธ์จากแหล่งเพิ่มเติม ต้องยืนยันสาขาและข้อมูลปัจจุบัน</x:v>
      </x:c>
      <x:c r="N88" s="28" t="n">
        <x:v>46316</x:v>
      </x:c>
      <x:c r="O88" s="57" t="str">
        <x:v>ยังไม่ตรวจ</x:v>
      </x:c>
      <x:c r="P88" s="57" t="str">
        <x:v>ยังไม่ติดต่อ</x:v>
      </x:c>
      <x:c r="Q88" s="20" t="str">
        <x:v>TMF-323</x:v>
      </x:c>
      <x:c r="R88" s="20" t="str"/>
      <x:c r="S88" s="20" t="str"/>
      <x:c r="T88" s="20" t="str">
        <x:v>https://www.thic.or.th/th/tourist/detail/mosques/465</x:v>
      </x:c>
      <x:c r="U88" s="20" t="str"/>
      <x:c r="V88" s="20" t="str"/>
      <x:c r="W88" s="20" t="str"/>
      <x:c r="X88" s="20" t="str"/>
      <x:c r="Y88" s="20" t="str">
        <x:v>https://www.google.com/maps/search/?api=1&amp;query=%E0%B8%A1%E0%B8%B1%E0%B8%AA%E0%B8%A2%E0%B8%B4%E0%B8%94%E0%B8%AE%E0%B8%B2%E0%B8%A3%E0%B8%B9%E0%B8%93%20%28%E0%B9%80%E0%B8%88%E0%B8%A3%E0%B8%B4%E0%B8%8D%E0%B8%81%E0%B8%A3%E0%B8%B8%E0%B8%87%29%20%E0%B8%81%E0%B8%A3%E0%B8%B8%E0%B8%87%E0%B9%80%E0%B8%97%E0%B8%9E%E0%B8%A1%E0%B8%AB%E0%B8%B2%E0%B8%99%E0%B8%84%E0%B8%A3</x:v>
      </x:c>
      <x:c r="Z88" s="56" t="n">
        <x:v>13.725714</x:v>
      </x:c>
      <x:c r="AA88" s="56" t="n">
        <x:v>100.513675</x:v>
      </x:c>
      <x:c r="AB88" s="57" t="str"/>
      <x:c r="AC88" s="20" t="str">
        <x:v>https://www.thic.or.th/th/tourist/detail/mosques/465</x:v>
      </x:c>
    </x:row>
    <x:row r="89" ht="88" customHeight="1">
      <x:c r="A89" s="54" t="n">
        <x:v>81</x:v>
      </x:c>
      <x:c r="B89" s="20" t="str">
        <x:v>Almas Hotel Bangkok</x:v>
      </x:c>
      <x:c r="C89" s="20" t="str">
        <x:v>กรุงเทพมหานคร</x:v>
      </x:c>
      <x:c r="D89" s="20" t="str">
        <x:v>โรงแรมหรือรีสอร์ท</x:v>
      </x:c>
      <x:c r="E89" s="20" t="str">
        <x:v>Makan Verify; ระบุมีห้องละหมาด</x:v>
      </x:c>
      <x:c r="F89" s="20" t="str">
        <x:v>มีข้อมูลระบุ แต่รอยืนยัน</x:v>
      </x:c>
      <x:c r="G89" s="20" t="str">
        <x:v>ยังไม่พบเอกสารรับรองและวันหมดอายุ</x:v>
      </x:c>
      <x:c r="H8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89" s="20" t="str">
        <x:v>ซอย รามคำแหง 5 แขวงสวนหลวง เขตสวนหลวง กรุงเทพมหานคร 10250</x:v>
      </x:c>
      <x:c r="J89" s="21" t="str">
        <x:v>020902753</x:v>
      </x:c>
      <x:c r="K89" s="51" t="str">
        <x:v>https://makanhalalguide.com/shop/detail/5368</x:v>
      </x:c>
      <x:c r="L89" s="51" t="str">
        <x:v>https://www.google.com/travel/hotels/entity/CgsIqqD7wbSsmOHXARAB?ap=SABoAQ&amp;g2lb=2502548%2C2503771%2C2503781%2C2504033%2C4258168%2C4270442%2C4284970%2C4291517%2C4306835%2C4515404%2C4597339%2C4649665%2C4703207%2C4718358%2C4722900%2C4723331%2C4741665%2C4757164%2C4758493%2C4762561%2C4779784%2C4786958%2C4787395%2C4790928%2C4794648%2C4798451%2C4800883&amp;gl=th&amp;hl=th-TH&amp;q=%E0%B8%97%E0%B8%B5%E0%B9%88%E0%B8%9E%E0%B8%B1%E0%B8%81+%E0%B9%83%E0%B8%81%E0%B8%A5%E0%B9%89%E0%B9%82%E0%B8%A3%E0%B8%87%E0%B9%80%E0%B8%A3%E0%B8%B5%E0%B8%A2%E0%B8%99%E0%B9%80%E0%B8%AD%E0%B8%AD%E0%B8%B2%E0%B8%A3%E0%B9%8C%E0%B8%9E%E0%B8%B5%E0%B8%81%E0%B8%B2%E0%B8%A3%E0%B8%9A%E0%B8%B1%E0%B8%8D%E0%B8%8A%E0%B8%B5&amp;rp=OAFAAEgCogFK4LmC4Lij4LiH4LmA4Lij4Li14Lii4LiZIOC5gOC4reC4reC4suC4o-C5jOC4nuC4tSDguIHguLLguKPguJrguLHguI3guIrguLU&amp;ssta=1&amp;ts=CAESCgoCCAMKAggDEAAabgpQEkw6SuC5guC4o-C4h-C5gOC4o-C4teC4ouC4mSDguYDguK3guK3guLLguKPguYzguJ7guLUg4LiB4Liy4Lij4Lia4Lix4LiN4LiK4Li1GgASGhIUCgcI5g8QBxgMEgcI5g8QBxgNGAEyAhAAKgsKBygBOgNUSEIaAA</x:v>
      </x:c>
      <x:c r="M89" s="20" t="str">
        <x:v>ผลค้นหาชื่อสัมพันธ์จากแหล่งเพิ่มเติม ต้องยืนยันสาขาและข้อมูลปัจจุบัน</x:v>
      </x:c>
      <x:c r="N89" s="28" t="n">
        <x:v>46315</x:v>
      </x:c>
      <x:c r="O89" s="57" t="str">
        <x:v>ยังไม่ตรวจ</x:v>
      </x:c>
      <x:c r="P89" s="57" t="str">
        <x:v>ยังไม่ติดต่อ</x:v>
      </x:c>
      <x:c r="Q89" s="20" t="str">
        <x:v>TMF-034</x:v>
      </x:c>
      <x:c r="R89" s="20" t="str">
        <x:v>Almas Hotel Bangkok</x:v>
      </x:c>
      <x:c r="S89" s="20" t="str"/>
      <x:c r="T89" s="20" t="str">
        <x:v>https://makanhalalguide.com/shop/detail/5368</x:v>
      </x:c>
      <x:c r="U89" s="20" t="str"/>
      <x:c r="V89" s="20" t="str"/>
      <x:c r="W89" s="20" t="str"/>
      <x:c r="X89" s="20" t="str"/>
      <x:c r="Y89" s="20" t="str">
        <x:v>https://www.google.com/maps/search/?api=1&amp;query=Almas%20Hotel%20Bangkok%20%E0%B8%81%E0%B8%A3%E0%B8%B8%E0%B8%87%E0%B9%80%E0%B8%97%E0%B8%9E%E0%B8%A1%E0%B8%AB%E0%B8%B2%E0%B8%99%E0%B8%84%E0%B8%A3</x:v>
      </x:c>
      <x:c r="Z89" s="56" t="n">
        <x:v>13.746911</x:v>
      </x:c>
      <x:c r="AA89" s="56" t="n">
        <x:v>100.60256</x:v>
      </x:c>
      <x:c r="AB89" s="57" t="str"/>
      <x:c r="AC89" s="20" t="str">
        <x:v>https://makanhalalguide.com/shop/detail/5368</x:v>
      </x:c>
    </x:row>
    <x:row r="90" ht="88" customHeight="1">
      <x:c r="A90" s="54" t="n">
        <x:v>82</x:v>
      </x:c>
      <x:c r="B90" s="20" t="str">
        <x:v>Amanah Bangkok</x:v>
      </x:c>
      <x:c r="C90" s="20" t="str">
        <x:v>กรุงเทพมหานคร</x:v>
      </x:c>
      <x:c r="D90" s="20" t="str">
        <x:v>โรงแรมหรือรีสอร์ท</x:v>
      </x:c>
      <x:c r="E90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90" s="20" t="str">
        <x:v>ไม่ทราบ</x:v>
      </x:c>
      <x:c r="G90" s="20" t="str">
        <x:v>ยังไม่พบเอกสารรับรองและวันหมดอายุ</x:v>
      </x:c>
      <x:c r="H90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90" s="20" t="str">
        <x:v>แขวงวัดกัลยาณ์ เขตธนบุรี กรุงเทพมหานคร 10600</x:v>
      </x:c>
      <x:c r="J90" s="21" t="str">
        <x:v>Line :</x:v>
      </x:c>
      <x:c r="K90" s="51" t="str">
        <x:v>https://www.thic.or.th/th/tourist/detail/accommodation/547</x:v>
      </x:c>
      <x:c r="L90" s="51" t="str">
        <x:v>https://www.google.co.th/travel/hotels/entity/ChkI44rK8ors98Z2Gg0vZy8xMWoxamIxNHJwEAE</x:v>
      </x:c>
      <x:c r="M90" s="20" t="str">
        <x:v>ผลค้นหาชื่อสัมพันธ์จากแหล่งเพิ่มเติม ต้องยืนยันสาขาและข้อมูลปัจจุบัน</x:v>
      </x:c>
      <x:c r="N90" s="28" t="n">
        <x:v>46315</x:v>
      </x:c>
      <x:c r="O90" s="57" t="str">
        <x:v>ยังไม่ตรวจ</x:v>
      </x:c>
      <x:c r="P90" s="57" t="str">
        <x:v>ยังไม่ติดต่อ</x:v>
      </x:c>
      <x:c r="Q90" s="20" t="str">
        <x:v>TMF-269</x:v>
      </x:c>
      <x:c r="R90" s="20" t="str">
        <x:v>Amanah Bangkok</x:v>
      </x:c>
      <x:c r="S90" s="20" t="str"/>
      <x:c r="T90" s="20" t="str">
        <x:v>https://www.thic.or.th/th/tourist/detail/accommodation/547</x:v>
      </x:c>
      <x:c r="U90" s="20" t="str"/>
      <x:c r="V90" s="20" t="str"/>
      <x:c r="W90" s="20" t="str"/>
      <x:c r="X90" s="20" t="str"/>
      <x:c r="Y90" s="20" t="str">
        <x:v>https://www.google.com/maps/search/?api=1&amp;query=Amanah%20Bangkok%20%E0%B8%81%E0%B8%A3%E0%B8%B8%E0%B8%87%E0%B9%80%E0%B8%97%E0%B8%9E%E0%B8%A1%E0%B8%AB%E0%B8%B2%E0%B8%99%E0%B8%84%E0%B8%A3</x:v>
      </x:c>
      <x:c r="Z90" s="56" t="n">
        <x:v>13.72333</x:v>
      </x:c>
      <x:c r="AA90" s="56" t="n">
        <x:v>100.49088</x:v>
      </x:c>
      <x:c r="AB90" s="57" t="str"/>
      <x:c r="AC90" s="20" t="str">
        <x:v>https://www.thic.or.th/th/tourist/detail/accommodation/547</x:v>
      </x:c>
    </x:row>
    <x:row r="91" ht="88" customHeight="1">
      <x:c r="A91" s="54" t="n">
        <x:v>83</x:v>
      </x:c>
      <x:c r="B91" s="20" t="str">
        <x:v>Bed By City Hotel</x:v>
      </x:c>
      <x:c r="C91" s="20" t="str">
        <x:v>กรุงเทพมหานคร</x:v>
      </x:c>
      <x:c r="D91" s="20" t="str">
        <x:v>โรงแรมหรือรีสอร์ท</x:v>
      </x:c>
      <x:c r="E91" s="20" t="str">
        <x:v>Makan Verify; ระบุมีห้องละหมาด</x:v>
      </x:c>
      <x:c r="F91" s="20" t="str">
        <x:v>มีข้อมูลระบุ แต่รอยืนยัน</x:v>
      </x:c>
      <x:c r="G91" s="20" t="str">
        <x:v>ยังไม่พบเอกสารรับรองและวันหมดอายุ</x:v>
      </x:c>
      <x:c r="H9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91" s="20" t="str">
        <x:v>59/1-5 ซอย สุขสันต์ แขวงสี่พระยา เขตบางรัก กรุงเทพมหานคร 10500</x:v>
      </x:c>
      <x:c r="J91" s="21" t="str">
        <x:v>026370021</x:v>
      </x:c>
      <x:c r="K91" s="51" t="str">
        <x:v>https://makanhalalguide.com/shop/detail/5364</x:v>
      </x:c>
      <x:c r="L91" s="51" t="str">
        <x:v>https://www.booking.com/hotel/th/bed-by-sam-yan.th.html</x:v>
      </x:c>
      <x:c r="M91" s="20" t="str">
        <x:v>ผลค้นหาชื่อสัมพันธ์จากแหล่งเพิ่มเติม ต้องยืนยันสาขาและข้อมูลปัจจุบัน</x:v>
      </x:c>
      <x:c r="N91" s="28" t="n">
        <x:v>46315</x:v>
      </x:c>
      <x:c r="O91" s="57" t="str">
        <x:v>ยังไม่ตรวจ</x:v>
      </x:c>
      <x:c r="P91" s="57" t="str">
        <x:v>ยังไม่ติดต่อ</x:v>
      </x:c>
      <x:c r="Q91" s="20" t="str">
        <x:v>TMF-035</x:v>
      </x:c>
      <x:c r="R91" s="20" t="str">
        <x:v>Bed By City Hotel</x:v>
      </x:c>
      <x:c r="S91" s="20" t="str"/>
      <x:c r="T91" s="20" t="str">
        <x:v>https://makanhalalguide.com/shop/detail/5364</x:v>
      </x:c>
      <x:c r="U91" s="20" t="str"/>
      <x:c r="V91" s="20" t="str"/>
      <x:c r="W91" s="20" t="str"/>
      <x:c r="X91" s="20" t="str"/>
      <x:c r="Y91" s="20" t="str">
        <x:v>https://www.google.com/maps/search/?api=1&amp;query=Bed%20By%20City%20Hotel%20%E0%B8%81%E0%B8%A3%E0%B8%B8%E0%B8%87%E0%B9%80%E0%B8%97%E0%B8%9E%E0%B8%A1%E0%B8%AB%E0%B8%B2%E0%B8%99%E0%B8%84%E0%B8%A3</x:v>
      </x:c>
      <x:c r="Z91" s="56" t="n">
        <x:v>13.730868</x:v>
      </x:c>
      <x:c r="AA91" s="56" t="n">
        <x:v>100.527991</x:v>
      </x:c>
      <x:c r="AB91" s="57" t="str"/>
      <x:c r="AC91" s="20" t="str">
        <x:v>https://makanhalalguide.com/shop/detail/5364</x:v>
      </x:c>
    </x:row>
    <x:row r="92" ht="88" customHeight="1">
      <x:c r="A92" s="54" t="n">
        <x:v>84</x:v>
      </x:c>
      <x:c r="B92" s="20" t="str">
        <x:v>Bed by Thapra Hotel</x:v>
      </x:c>
      <x:c r="C92" s="20" t="str">
        <x:v>กรุงเทพมหานคร</x:v>
      </x:c>
      <x:c r="D92" s="20" t="str">
        <x:v>โรงแรมหรือรีสอร์ท</x:v>
      </x:c>
      <x:c r="E92" s="20" t="str">
        <x:v>Makan Verify; ระบุมีห้องละหมาด</x:v>
      </x:c>
      <x:c r="F92" s="20" t="str">
        <x:v>มีข้อมูลระบุ แต่รอยืนยัน</x:v>
      </x:c>
      <x:c r="G92" s="20" t="str">
        <x:v>ยังไม่พบเอกสารรับรองและวันหมดอายุ</x:v>
      </x:c>
      <x:c r="H9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92" s="20" t="str">
        <x:v>134/12-14 Phet Kasem Rd., Soi 26/1 Pak Khlong Phasi Charoen, Bangkok, Thailand, Bangkok</x:v>
      </x:c>
      <x:c r="J92" s="21" t="str">
        <x:v>028686888</x:v>
      </x:c>
      <x:c r="K92" s="51" t="str">
        <x:v>https://makanhalalguide.com/shop/detail/5212</x:v>
      </x:c>
      <x:c r="L92" s="51" t="str">
        <x:v>https://www.google.com/travel/hotels/entity/CgoI3_ng14qnndQGEAE</x:v>
      </x:c>
      <x:c r="M92" s="20" t="str">
        <x:v>ผลค้นหาชื่อสัมพันธ์จากแหล่งเพิ่มเติม ต้องยืนยันสาขาและข้อมูลปัจจุบัน</x:v>
      </x:c>
      <x:c r="N92" s="28" t="n">
        <x:v>46315</x:v>
      </x:c>
      <x:c r="O92" s="57" t="str">
        <x:v>ยังไม่ตรวจ</x:v>
      </x:c>
      <x:c r="P92" s="57" t="str">
        <x:v>ยังไม่ติดต่อ</x:v>
      </x:c>
      <x:c r="Q92" s="20" t="str">
        <x:v>TMF-036</x:v>
      </x:c>
      <x:c r="R92" s="20" t="str">
        <x:v>Bed by Thapra Hotel</x:v>
      </x:c>
      <x:c r="S92" s="20" t="str"/>
      <x:c r="T92" s="20" t="str">
        <x:v>https://makanhalalguide.com/shop/detail/5212</x:v>
      </x:c>
      <x:c r="U92" s="20" t="str"/>
      <x:c r="V92" s="20" t="str"/>
      <x:c r="W92" s="20" t="str"/>
      <x:c r="X92" s="20" t="str"/>
      <x:c r="Y92" s="20" t="str">
        <x:v>https://www.google.com/maps/search/?api=1&amp;query=Bed%20by%20Thapra%20Hotel%20%E0%B8%81%E0%B8%A3%E0%B8%B8%E0%B8%87%E0%B9%80%E0%B8%97%E0%B8%9E%E0%B8%A1%E0%B8%AB%E0%B8%B2%E0%B8%99%E0%B8%84%E0%B8%A3</x:v>
      </x:c>
      <x:c r="Z92" s="56" t="n">
        <x:v>13.723546</x:v>
      </x:c>
      <x:c r="AA92" s="56" t="n">
        <x:v>100.462768</x:v>
      </x:c>
      <x:c r="AB92" s="57" t="str"/>
      <x:c r="AC92" s="20" t="str">
        <x:v>https://makanhalalguide.com/shop/detail/5212</x:v>
      </x:c>
    </x:row>
    <x:row r="93" ht="88" customHeight="1">
      <x:c r="A93" s="54" t="n">
        <x:v>85</x:v>
      </x:c>
      <x:c r="B93" s="20" t="str">
        <x:v>DEWAN BANGKOK</x:v>
      </x:c>
      <x:c r="C93" s="20" t="str">
        <x:v>กรุงเทพมหานคร</x:v>
      </x:c>
      <x:c r="D93" s="20" t="str">
        <x:v>ที่พัก</x:v>
      </x:c>
      <x:c r="E93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</x:v>
      </x:c>
      <x:c r="F93" s="20" t="str">
        <x:v>แหล่งเดิมไม่ระบุว่ามี</x:v>
      </x:c>
      <x:c r="G93" s="20" t="str">
        <x:v>ทะเบียน GMHI 5 ดาว; ช่องใบรับรอง: GMHI; ยังต้องยืนยันใบรับรองอาหารฮาลาลและวันหมดอายุแยกต่างหาก</x:v>
      </x:c>
      <x:c r="H93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93" s="20" t="str">
        <x:v>110 Tanee Road , Talardyod, Khaosan, Bangkok, Thailand, 10200</x:v>
      </x:c>
      <x:c r="J93" s="21" t="str">
        <x:v>ยังไม่พบหรือยังไม่ยืนยัน</x:v>
      </x:c>
      <x:c r="K93" s="51" t="str">
        <x:v>https://gmhi.co/th-th/services/DEWAN%20BANGKOK-29</x:v>
      </x:c>
      <x:c r="L93" s="51" t="str">
        <x:v>https://lodgelens.com/hotels/dewan-bangkok</x:v>
      </x:c>
      <x:c r="M93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93" s="28" t="n">
        <x:v>46315</x:v>
      </x:c>
      <x:c r="O93" s="57" t="str">
        <x:v>ยังไม่ตรวจ</x:v>
      </x:c>
      <x:c r="P93" s="57" t="str">
        <x:v>ยังไม่ติดต่อ</x:v>
      </x:c>
      <x:c r="Q93" s="20" t="str">
        <x:v>GMHI-29</x:v>
      </x:c>
      <x:c r="R93" s="20" t="str">
        <x:v>DEWAN BANGKOK</x:v>
      </x:c>
      <x:c r="S93" s="20" t="str"/>
      <x:c r="T93" s="20" t="str">
        <x:v>https://gmhi.co/th-th/services/DEWAN%20BANGKOK-29</x:v>
      </x:c>
      <x:c r="U93" s="20" t="str"/>
      <x:c r="V93" s="20" t="str"/>
      <x:c r="W93" s="20" t="str"/>
      <x:c r="X93" s="20" t="str"/>
      <x:c r="Y93" s="20" t="str">
        <x:v>https://www.google.com/maps/search/?api=1&amp;query=DEWAN%20BANGKOK%20%E0%B8%81%E0%B8%A3%E0%B8%B8%E0%B8%87%E0%B9%80%E0%B8%97%E0%B8%9E%E0%B8%A1%E0%B8%AB%E0%B8%B2%E0%B8%99%E0%B8%84%E0%B8%A3</x:v>
      </x:c>
      <x:c r="Z93" s="56" t="n">
        <x:v>13.760157</x:v>
      </x:c>
      <x:c r="AA93" s="56" t="n">
        <x:v>100.498302</x:v>
      </x:c>
      <x:c r="AB93" s="57" t="str"/>
      <x:c r="AC93" s="20" t="str">
        <x:v>https://gmhi.co/th-th/services/DEWAN%20BANGKOK-29</x:v>
      </x:c>
    </x:row>
    <x:row r="94" ht="88" customHeight="1">
      <x:c r="A94" s="54" t="n">
        <x:v>86</x:v>
      </x:c>
      <x:c r="B94" s="20" t="str">
        <x:v>Diya Hotel Srinakarin</x:v>
      </x:c>
      <x:c r="C94" s="20" t="str">
        <x:v>กรุงเทพมหานคร</x:v>
      </x:c>
      <x:c r="D94" s="20" t="str">
        <x:v>โรงแรมหรือรีสอร์ท</x:v>
      </x:c>
      <x:c r="E94" s="20" t="str">
        <x:v>Makan Verify; ระบุมีห้องละหมาด</x:v>
      </x:c>
      <x:c r="F94" s="20" t="str">
        <x:v>มีข้อมูลระบุ แต่รอยืนยัน</x:v>
      </x:c>
      <x:c r="G94" s="20" t="str">
        <x:v>ยังไม่พบเอกสารรับรองและวันหมดอายุ</x:v>
      </x:c>
      <x:c r="H9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94" s="20" t="str">
        <x:v>597 2 ถ. ศรีนครินทร์ แขวงพัฒนาการ เขตสวนหลวง กรุงเทพมหานคร 10250</x:v>
      </x:c>
      <x:c r="J94" s="21" t="str">
        <x:v>0811422711</x:v>
      </x:c>
      <x:c r="K94" s="51" t="str">
        <x:v>https://makanhalalguide.com/shop/detail/5362</x:v>
      </x:c>
      <x:c r="L94" s="51" t="str">
        <x:v>https://www.thic.or.th/th/tourist/detail/accommodation/542</x:v>
      </x:c>
      <x:c r="M94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N94" s="28" t="n">
        <x:v>46315</x:v>
      </x:c>
      <x:c r="O94" s="57" t="str">
        <x:v>ยังไม่ตรวจ</x:v>
      </x:c>
      <x:c r="P94" s="57" t="str">
        <x:v>ยังไม่ติดต่อ</x:v>
      </x:c>
      <x:c r="Q94" s="20" t="str">
        <x:v>TMF-037</x:v>
      </x:c>
      <x:c r="R94" s="20" t="str">
        <x:v>Diya Hotel Srinakarin</x:v>
      </x:c>
      <x:c r="S94" s="20" t="str"/>
      <x:c r="T94" s="20" t="str">
        <x:v>https://makanhalalguide.com/shop/detail/5362</x:v>
      </x:c>
      <x:c r="U94" s="20" t="str"/>
      <x:c r="V94" s="20" t="str"/>
      <x:c r="W94" s="20" t="str"/>
      <x:c r="X94" s="20" t="str"/>
      <x:c r="Y94" s="20" t="str">
        <x:v>https://www.google.com/maps/search/?api=1&amp;query=Diya%20Hotel%20Srinakarin%20%E0%B8%81%E0%B8%A3%E0%B8%B8%E0%B8%87%E0%B9%80%E0%B8%97%E0%B8%9E%E0%B8%A1%E0%B8%AB%E0%B8%B2%E0%B8%99%E0%B8%84%E0%B8%A3</x:v>
      </x:c>
      <x:c r="Z94" s="56" t="n">
        <x:v>13.737286</x:v>
      </x:c>
      <x:c r="AA94" s="56" t="n">
        <x:v>100.641864</x:v>
      </x:c>
      <x:c r="AB94" s="57" t="str"/>
      <x:c r="AC94" s="20" t="str">
        <x:v>https://makanhalalguide.com/shop/detail/5362</x:v>
      </x:c>
    </x:row>
    <x:row r="95" ht="88" customHeight="1">
      <x:c r="A95" s="54" t="n">
        <x:v>87</x:v>
      </x:c>
      <x:c r="B95" s="20" t="str">
        <x:v>H-Banaat</x:v>
      </x:c>
      <x:c r="C95" s="20" t="str">
        <x:v>กรุงเทพมหานคร</x:v>
      </x:c>
      <x:c r="D95" s="20" t="str">
        <x:v>ที่พัก</x:v>
      </x:c>
      <x:c r="E95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95" s="20" t="str">
        <x:v>มีข้อมูลระบุ แต่รอยืนยัน</x:v>
      </x:c>
      <x:c r="G95" s="20" t="str">
        <x:v>ทะเบียน GMHI 4 ดาว; ช่องใบรับรอง: GMHI; ยังต้องยืนยันใบรับรองอาหารฮาลาลและวันหมดอายุแยกต่างหาก</x:v>
      </x:c>
      <x:c r="H95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I95" s="20" t="str">
        <x:v>67 Soi Charan Sanitwong 92 Bang Ao,ฺ Bang Phalt, Bangkok</x:v>
      </x:c>
      <x:c r="J95" s="21" t="str">
        <x:v>ยังไม่พบหรือยังไม่ยืนยัน</x:v>
      </x:c>
      <x:c r="K95" s="51" t="str">
        <x:v>https://gmhi.co/th-th/services/H-Banaat-27</x:v>
      </x:c>
      <x:c r="L95" s="51" t="str">
        <x:v>https://thailandaddict.com/review-h-banaat-hotel-bangkok</x:v>
      </x:c>
      <x:c r="M95" s="20" t="str">
        <x:v>พบผลค้นชื่อสัมพันธ์เพิ่มเติม ต้องยืนยันสาขาและเจ้าของช่องทาง</x:v>
      </x:c>
      <x:c r="N95" s="28" t="n">
        <x:v>46316</x:v>
      </x:c>
      <x:c r="O95" s="57" t="str">
        <x:v>ยังไม่ตรวจ</x:v>
      </x:c>
      <x:c r="P95" s="57" t="str">
        <x:v>ยังไม่ติดต่อ</x:v>
      </x:c>
      <x:c r="Q95" s="20" t="str">
        <x:v>GMHI-27</x:v>
      </x:c>
      <x:c r="R95" s="20" t="str">
        <x:v>H-Banaat</x:v>
      </x:c>
      <x:c r="S95" s="20" t="str"/>
      <x:c r="T95" s="20" t="str">
        <x:v>https://gmhi.co/th-th/services/H-Banaat-27</x:v>
      </x:c>
      <x:c r="U95" s="20" t="str"/>
      <x:c r="V95" s="20" t="str"/>
      <x:c r="W95" s="20" t="str"/>
      <x:c r="X95" s="20" t="str"/>
      <x:c r="Y95" s="20" t="str">
        <x:v>https://www.google.com/maps/search/?api=1&amp;query=H-Banaat%20%E0%B8%81%E0%B8%A3%E0%B8%B8%E0%B8%87%E0%B9%80%E0%B8%97%E0%B8%9E%E0%B8%A1%E0%B8%AB%E0%B8%B2%E0%B8%99%E0%B8%84%E0%B8%A3</x:v>
      </x:c>
      <x:c r="Z95" s="56" t="n">
        <x:v>13.8002502</x:v>
      </x:c>
      <x:c r="AA95" s="56" t="n">
        <x:v>100.5120694</x:v>
      </x:c>
      <x:c r="AB95" s="57" t="str"/>
      <x:c r="AC95" s="20" t="str">
        <x:v>https://gmhi.co/th-th/services/H-Banaat-27</x:v>
      </x:c>
    </x:row>
    <x:row r="96" ht="88" customHeight="1">
      <x:c r="A96" s="54" t="n">
        <x:v>88</x:v>
      </x:c>
      <x:c r="B96" s="20" t="str">
        <x:v>Heyyyy Bangkok Hostel</x:v>
      </x:c>
      <x:c r="C96" s="20" t="str">
        <x:v>กรุงเทพมหานคร</x:v>
      </x:c>
      <x:c r="D96" s="20" t="str">
        <x:v>ที่พัก (ตรวจประเภทจากชื่อและข้อมูลประกอบ)</x:v>
      </x:c>
      <x:c r="E96" s="20" t="str">
        <x:v>Makan Verify; ระบุมีห้องละหมาด</x:v>
      </x:c>
      <x:c r="F96" s="20" t="str">
        <x:v>มีข้อมูลระบุ แต่รอยืนยัน</x:v>
      </x:c>
      <x:c r="G96" s="20" t="str">
        <x:v>ยังไม่พบเอกสารรับรองและวันหมดอายุ</x:v>
      </x:c>
      <x:c r="H96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96" s="20" t="str">
        <x:v>2485-2487 พัฒนาการ 49 แขวงสวนหลวง เขตสวนหลวง กรุงเทพฯ 10250 (อยู่ระหว่างซอยพัฒนาการ 47-49 หลังร้านมีต้นไม้เยอะๆ หน้าร้านจะเป็นป้ายสีดำ heyyyybangkok)</x:v>
      </x:c>
      <x:c r="J96" s="21" t="str">
        <x:v>0646810608</x:v>
      </x:c>
      <x:c r="K96" s="51" t="str">
        <x:v>https://makanhalalguide.com/shop/detail/5205</x:v>
      </x:c>
      <x:c r="L96" s="51" t="str">
        <x:v>https://www.google.co.th/travel/hotels/entity/ChkIm7-M5uzQtsgtGg0vZy8xMWNzNWZfbnExEAE?ap=MABIAboBBnByaWNlcw&amp;g2lb=4181926%2C4208993%2C4209587%2C4207631%2C4215917&amp;gl=jp&amp;hl=en&amp;rp=OAE&amp;tcfs=EjUKCS9tLzA4cnRibhIOU3VraHVtdml0IFJvYWQaGAoKMjAxOC0xMi0xMxIKMjAxOC0xMi0xNCIYCgoyMDE4LTEyLTEzEgoyMDE4LTEyLTE0UgA&amp;ts=CAEaBAoCGgAqBAoAGgA&amp;un=0</x:v>
      </x:c>
      <x:c r="M96" s="20" t="str">
        <x:v>ผลค้นหาชื่อสัมพันธ์จากแหล่งเพิ่มเติม ต้องยืนยันสาขาและข้อมูลปัจจุบัน</x:v>
      </x:c>
      <x:c r="N96" s="28" t="n">
        <x:v>46315</x:v>
      </x:c>
      <x:c r="O96" s="57" t="str">
        <x:v>ยังไม่ตรวจ</x:v>
      </x:c>
      <x:c r="P96" s="57" t="str">
        <x:v>ยังไม่ติดต่อ</x:v>
      </x:c>
      <x:c r="Q96" s="20" t="str">
        <x:v>TMF-051</x:v>
      </x:c>
      <x:c r="R96" s="20" t="str">
        <x:v>Heyyyy Bangkok Hostel</x:v>
      </x:c>
      <x:c r="S96" s="20" t="str"/>
      <x:c r="T96" s="20" t="str">
        <x:v>https://makanhalalguide.com/shop/detail/5205</x:v>
      </x:c>
      <x:c r="U96" s="20" t="str"/>
      <x:c r="V96" s="20" t="str"/>
      <x:c r="W96" s="20" t="str"/>
      <x:c r="X96" s="20" t="str"/>
      <x:c r="Y96" s="20" t="str">
        <x:v>https://www.google.com/maps/search/?api=1&amp;query=Heyyyy%20Bangkok%20Hostel%20%E0%B8%81%E0%B8%A3%E0%B8%B8%E0%B8%87%E0%B9%80%E0%B8%97%E0%B8%9E%E0%B8%A1%E0%B8%AB%E0%B8%B2%E0%B8%99%E0%B8%84%E0%B8%A3</x:v>
      </x:c>
      <x:c r="Z96" s="56" t="n">
        <x:v>13.735846</x:v>
      </x:c>
      <x:c r="AA96" s="56" t="n">
        <x:v>100.639481</x:v>
      </x:c>
      <x:c r="AB96" s="57" t="str"/>
      <x:c r="AC96" s="20" t="str">
        <x:v>https://makanhalalguide.com/shop/detail/5205</x:v>
      </x:c>
    </x:row>
    <x:row r="97" ht="88" customHeight="1">
      <x:c r="A97" s="54" t="n">
        <x:v>89</x:v>
      </x:c>
      <x:c r="B97" s="20" t="str">
        <x:v>Lilit Banglumphu Hotel - Bangkok</x:v>
      </x:c>
      <x:c r="C97" s="20" t="str">
        <x:v>กรุงเทพมหานคร</x:v>
      </x:c>
      <x:c r="D97" s="20" t="str">
        <x:v>โรงแรมหรือรีสอร์ท</x:v>
      </x:c>
      <x:c r="E97" s="20" t="str">
        <x:v>Makan Verify; ระบุมีห้องละหมาด</x:v>
      </x:c>
      <x:c r="F97" s="20" t="str">
        <x:v>มีข้อมูลระบุ แต่รอยืนยัน</x:v>
      </x:c>
      <x:c r="G97" s="20" t="str">
        <x:v>ยังไม่พบเอกสารรับรองและวันหมดอายุ</x:v>
      </x:c>
      <x:c r="H9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97" s="20" t="str">
        <x:v>55 ถนนพระสุเมรุ 8 ตรอก บ้านหล่อ บ้านพันธม พระนคร กรุงเทพมหานคร 10200</x:v>
      </x:c>
      <x:c r="J97" s="21" t="str">
        <x:v>020266949</x:v>
      </x:c>
      <x:c r="K97" s="51" t="str">
        <x:v>https://makanhalalguide.com/shop/detail/5140</x:v>
      </x:c>
      <x:c r="L97" s="51" t="str">
        <x:v>https://www.google.co.th/travel/hotels/entity/ChoI9_ijnImJoKHLARoNL2cvMTF0bnhmenF0axAB?ap=SAE&amp;g2lb=4181926%2C4208993%2C4209587%2C4207631%2C4215917&amp;gl=jp&amp;hl=en&amp;q=hotel+around+the+ambassador+bangkok+hotel+sukhumvit+soi+11&amp;rp=OAFAAA&amp;tcfs=EjUKCS9tLzA4cnRibhIOU3VraHVtdml0IFJvYWQaGAoKMjAxOC0xMi0xMxIKMjAxOC0xMi0xNCIYCgoyMDE4LTEyLTEzEgoyMDE4LTEyLTE0UgA&amp;ts=CAEaIgoCGgASHBIUCgcI6g8QBRgLEgcI6g8QBRgQGAUyAhAAOAEqCQoFOgNKUFkaAA&amp;un=0</x:v>
      </x:c>
      <x:c r="M97" s="20" t="str">
        <x:v>ผลค้นหาชื่อสัมพันธ์จากแหล่งเพิ่มเติม ต้องยืนยันสาขาและข้อมูลปัจจุบัน</x:v>
      </x:c>
      <x:c r="N97" s="28" t="n">
        <x:v>46315</x:v>
      </x:c>
      <x:c r="O97" s="57" t="str">
        <x:v>ยังไม่ตรวจ</x:v>
      </x:c>
      <x:c r="P97" s="57" t="str">
        <x:v>ยังไม่ติดต่อ</x:v>
      </x:c>
      <x:c r="Q97" s="20" t="str">
        <x:v>TMF-038</x:v>
      </x:c>
      <x:c r="R97" s="20" t="str">
        <x:v>Lilit Banglumphu Hotel - Bangkok</x:v>
      </x:c>
      <x:c r="S97" s="20" t="str"/>
      <x:c r="T97" s="20" t="str">
        <x:v>https://makanhalalguide.com/shop/detail/5140</x:v>
      </x:c>
      <x:c r="U97" s="20" t="str"/>
      <x:c r="V97" s="20" t="str"/>
      <x:c r="W97" s="20" t="str"/>
      <x:c r="X97" s="20" t="str"/>
      <x:c r="Y97" s="20" t="str">
        <x:v>https://www.google.com/maps/search/?api=1&amp;query=Lilit%20Banglumphu%20Hotel%20-%20Bangkok%20%E0%B8%81%E0%B8%A3%E0%B8%B8%E0%B8%87%E0%B9%80%E0%B8%97%E0%B8%9E%E0%B8%A1%E0%B8%AB%E0%B8%B2%E0%B8%99%E0%B8%84%E0%B8%A3</x:v>
      </x:c>
      <x:c r="Z97" s="56" t="n">
        <x:v>13.761639</x:v>
      </x:c>
      <x:c r="AA97" s="56" t="n">
        <x:v>100.501183</x:v>
      </x:c>
      <x:c r="AB97" s="57" t="str"/>
      <x:c r="AC97" s="20" t="str">
        <x:v>https://makanhalalguide.com/shop/detail/5140</x:v>
      </x:c>
    </x:row>
    <x:row r="98" ht="88" customHeight="1">
      <x:c r="A98" s="54" t="n">
        <x:v>90</x:v>
      </x:c>
      <x:c r="B98" s="20" t="str">
        <x:v>Noursabah Boutique Bed Bangkok</x:v>
      </x:c>
      <x:c r="C98" s="20" t="str">
        <x:v>กรุงเทพมหานคร</x:v>
      </x:c>
      <x:c r="D98" s="20" t="str">
        <x:v>โรงแรมหรือรีสอร์ท</x:v>
      </x:c>
      <x:c r="E98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98" s="20" t="str">
        <x:v>ไม่ทราบ</x:v>
      </x:c>
      <x:c r="G98" s="20" t="str">
        <x:v>ยังไม่พบเอกสารรับรองและวันหมดอายุ</x:v>
      </x:c>
      <x:c r="H98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98" s="20" t="str">
        <x:v>แขวงคลองเตย เขตคลองเตย กรุงเทพมหานคร 10110</x:v>
      </x:c>
      <x:c r="J98" s="21" t="str">
        <x:v>Line :</x:v>
      </x:c>
      <x:c r="K98" s="51" t="str">
        <x:v>https://www.thic.or.th/th/tourist/detail/accommodation/546</x:v>
      </x:c>
      <x:c r="L98" s="51" t="str">
        <x:v>https://www.booking.com/hotel/th/noursabah-bed-bangkok-nusbaa.th.html</x:v>
      </x:c>
      <x:c r="M98" s="20" t="str">
        <x:v>ผลค้นหาชื่อสัมพันธ์จากแหล่งเพิ่มเติม ต้องยืนยันสาขาและข้อมูลปัจจุบัน</x:v>
      </x:c>
      <x:c r="N98" s="28" t="n">
        <x:v>46315</x:v>
      </x:c>
      <x:c r="O98" s="57" t="str">
        <x:v>ยังไม่ตรวจ</x:v>
      </x:c>
      <x:c r="P98" s="57" t="str">
        <x:v>ยังไม่ติดต่อ</x:v>
      </x:c>
      <x:c r="Q98" s="20" t="str">
        <x:v>TMF-270</x:v>
      </x:c>
      <x:c r="R98" s="20" t="str">
        <x:v>Noursabah Boutique Bed Bangkok</x:v>
      </x:c>
      <x:c r="S98" s="20" t="str"/>
      <x:c r="T98" s="20" t="str">
        <x:v>https://www.thic.or.th/th/tourist/detail/accommodation/546</x:v>
      </x:c>
      <x:c r="U98" s="20" t="str"/>
      <x:c r="V98" s="20" t="str"/>
      <x:c r="W98" s="20" t="str"/>
      <x:c r="X98" s="20" t="str"/>
      <x:c r="Y98" s="20" t="str">
        <x:v>https://www.google.com/maps/search/?api=1&amp;query=Noursabah%20Boutique%20Bed%20Bangkok%20%E0%B8%81%E0%B8%A3%E0%B8%B8%E0%B8%87%E0%B9%80%E0%B8%97%E0%B8%9E%E0%B8%A1%E0%B8%AB%E0%B8%B2%E0%B8%99%E0%B8%84%E0%B8%A3</x:v>
      </x:c>
      <x:c r="Z98" s="56" t="n">
        <x:v>13.75595</x:v>
      </x:c>
      <x:c r="AA98" s="56" t="n">
        <x:v>100.53016</x:v>
      </x:c>
      <x:c r="AB98" s="57" t="str"/>
      <x:c r="AC98" s="20" t="str">
        <x:v>https://www.thic.or.th/th/tourist/detail/accommodation/546</x:v>
      </x:c>
    </x:row>
    <x:row r="99" ht="88" customHeight="1">
      <x:c r="A99" s="54" t="n">
        <x:v>91</x:v>
      </x:c>
      <x:c r="B99" s="20" t="str">
        <x:v>Nouvo City Hotel - โรงแรมนูโว ซิตี</x:v>
      </x:c>
      <x:c r="C99" s="20" t="str">
        <x:v>กรุงเทพมหานคร</x:v>
      </x:c>
      <x:c r="D99" s="20" t="str">
        <x:v>โรงแรมหรือรีสอร์ท</x:v>
      </x:c>
      <x:c r="E99" s="20" t="str">
        <x:v>Makan Verify; ระบุมีห้องละหมาด</x:v>
      </x:c>
      <x:c r="F99" s="20" t="str">
        <x:v>มีข้อมูลระบุ แต่รอยืนยัน</x:v>
      </x:c>
      <x:c r="G99" s="20" t="str">
        <x:v>ยังไม่พบเอกสารรับรองและวันหมดอายุ</x:v>
      </x:c>
      <x:c r="H9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99" s="20" t="str">
        <x:v>2 ซ.สามเสน 2 ถ.สามเสน พระนคร, บางลำพู, เขตพระนคร, กรุงเทพฯ, 10200</x:v>
      </x:c>
      <x:c r="J99" s="21" t="str">
        <x:v>022827500</x:v>
      </x:c>
      <x:c r="K99" s="51" t="str">
        <x:v>https://makanhalalguide.com/shop/detail/5179</x:v>
      </x:c>
      <x:c r="L99" s="51" t="str">
        <x:v>https://www.nouvocityhotel.com/</x:v>
      </x:c>
      <x:c r="M99" s="20" t="str">
        <x:v>โรงแรมที่ดำเนินการด้านฮาลาล ต้องตรวจเอกสารรับรองปัจจุบัน พื้นที่ละหมาด และเงื่อนไขที่พัก</x:v>
      </x:c>
      <x:c r="N99" s="28" t="n">
        <x:v>46315</x:v>
      </x:c>
      <x:c r="O99" s="57" t="str">
        <x:v>ยังไม่ตรวจ</x:v>
      </x:c>
      <x:c r="P99" s="57" t="str">
        <x:v>ยังไม่ติดต่อ</x:v>
      </x:c>
      <x:c r="Q99" s="20" t="str">
        <x:v>TMF-039</x:v>
      </x:c>
      <x:c r="R99" s="20" t="str"/>
      <x:c r="S99" s="20" t="str"/>
      <x:c r="T99" s="20" t="str">
        <x:v>https://makanhalalguide.com/shop/detail/5179</x:v>
      </x:c>
      <x:c r="U99" s="20" t="str"/>
      <x:c r="V99" s="20" t="str"/>
      <x:c r="W99" s="20" t="str"/>
      <x:c r="X99" s="20" t="str"/>
      <x:c r="Y99" s="20" t="str">
        <x:v>https://www.google.com/maps/search/?api=1&amp;query=Nouvo%20City%20Hotel%20-%20%E0%B9%82%E0%B8%A3%E0%B8%87%E0%B9%81%E0%B8%A3%E0%B8%A1%E0%B8%99%E0%B8%B9%E0%B9%82%E0%B8%A7%20%E0%B8%8B%E0%B8%B4%E0%B8%95%E0%B8%B5%20%E0%B8%81%E0%B8%A3%E0%B8%B8%E0%B8%87%E0%B9%80%E0%B8%97%E0%B8%9E%E0%B8%A1%E0%B8%AB%E0%B8%B2%E0%B8%99%E0%B8%84%E0%B8%A3</x:v>
      </x:c>
      <x:c r="Z99" s="56" t="n">
        <x:v>13.762856</x:v>
      </x:c>
      <x:c r="AA99" s="56" t="n">
        <x:v>100.498787</x:v>
      </x:c>
      <x:c r="AB99" s="57" t="str"/>
      <x:c r="AC99" s="20" t="str">
        <x:v>https://makanhalalguide.com/shop/detail/5179</x:v>
      </x:c>
    </x:row>
    <x:row r="100" ht="88" customHeight="1">
      <x:c r="A100" s="54" t="n">
        <x:v>92</x:v>
      </x:c>
      <x:c r="B100" s="20" t="str">
        <x:v>P-Park Residence</x:v>
      </x:c>
      <x:c r="C100" s="20" t="str">
        <x:v>กรุงเทพมหานคร</x:v>
      </x:c>
      <x:c r="D100" s="20" t="str">
        <x:v>ที่พัก (ตรวจประเภทจากชื่อและข้อมูลประกอบ)</x:v>
      </x:c>
      <x:c r="E100" s="20" t="str">
        <x:v>Makan Verify; ระบุมีห้องละหมาด</x:v>
      </x:c>
      <x:c r="F100" s="20" t="str">
        <x:v>มีข้อมูลระบุ แต่รอยืนยัน</x:v>
      </x:c>
      <x:c r="G100" s="20" t="str">
        <x:v>ยังไม่พบเอกสารรับรองและวันหมดอายุ</x:v>
      </x:c>
      <x:c r="H100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 / ที่อยู่และพิกัด P-Park Residence ขัดแย้ง ต้องยืนยันสาขา</x:v>
      </x:c>
      <x:c r="I100" s="20" t="str">
        <x:v>ตึกพีปาร์คเรซซิเด็นซ์ ซอย จรัญสนิทวงศ์ 95/2 ถนนจรัญสนิทวงศ์ ซอยจรัญสนิทวงศ์ 95/2 ตำบลบางอ้อ อำเภอบางพลัด Bangkok 10700</x:v>
      </x:c>
      <x:c r="J100" s="21" t="str">
        <x:v>023201488</x:v>
      </x:c>
      <x:c r="K100" s="51" t="str">
        <x:v>https://makanhalalguide.com/shop/detail/5363</x:v>
      </x:c>
      <x:c r="L100" s="51" t="str">
        <x:v>https://th.tripadvisor.com/Hotel_Review-g293916-d2145999-Reviews-P_Park_Residence_Charansanitwong-Bangkok.html</x:v>
      </x:c>
      <x:c r="M100" s="20" t="str">
        <x:v>ผลค้นหาชื่อสัมพันธ์จากแหล่งเพิ่มเติม ต้องยืนยันสาขาและข้อมูลปัจจุบัน</x:v>
      </x:c>
      <x:c r="N100" s="28" t="n">
        <x:v>46315</x:v>
      </x:c>
      <x:c r="O100" s="57" t="str">
        <x:v>ยังไม่ตรวจ</x:v>
      </x:c>
      <x:c r="P100" s="57" t="str">
        <x:v>ยังไม่ติดต่อ</x:v>
      </x:c>
      <x:c r="Q100" s="20" t="str">
        <x:v>TMF-062</x:v>
      </x:c>
      <x:c r="R100" s="20" t="str">
        <x:v>P-Park Residence</x:v>
      </x:c>
      <x:c r="S100" s="20" t="str"/>
      <x:c r="T100" s="20" t="str">
        <x:v>https://makanhalalguide.com/shop/detail/5363</x:v>
      </x:c>
      <x:c r="U100" s="20" t="str"/>
      <x:c r="V100" s="20" t="str"/>
      <x:c r="W100" s="20" t="str"/>
      <x:c r="X100" s="20" t="str"/>
      <x:c r="Y100" s="20" t="str">
        <x:v>https://www.google.com/maps/search/?api=1&amp;query=P-Park%20Residence%20%E0%B8%81%E0%B8%A3%E0%B8%B8%E0%B8%87%E0%B9%80%E0%B8%97%E0%B8%9E%E0%B8%A1%E0%B8%AB%E0%B8%B2%E0%B8%99%E0%B8%84%E0%B8%A3</x:v>
      </x:c>
      <x:c r="Z100" s="56" t="str"/>
      <x:c r="AA100" s="56" t="str"/>
      <x:c r="AB100" s="57" t="str"/>
      <x:c r="AC100" s="20" t="str">
        <x:v>https://makanhalalguide.com/shop/detail/5363</x:v>
      </x:c>
    </x:row>
    <x:row r="101" ht="88" customHeight="1">
      <x:c r="A101" s="54" t="n">
        <x:v>93</x:v>
      </x:c>
      <x:c r="B101" s="20" t="str">
        <x:v>Regent Thailand Hotel รามคำแหง22</x:v>
      </x:c>
      <x:c r="C101" s="20" t="str">
        <x:v>กรุงเทพมหานคร</x:v>
      </x:c>
      <x:c r="D101" s="20" t="str">
        <x:v>โรงแรมหรือรีสอร์ท</x:v>
      </x:c>
      <x:c r="E101" s="20" t="str">
        <x:v>Makan Verify; ระบุมีห้องละหมาด</x:v>
      </x:c>
      <x:c r="F101" s="20" t="str">
        <x:v>มีข้อมูลระบุ แต่รอยืนยัน</x:v>
      </x:c>
      <x:c r="G101" s="20" t="str">
        <x:v>ยังไม่พบเอกสารรับรองและวันหมดอายุ / มีชื่อในทะเบียน GMHI 5 ดาว; ยังต้องยืนยันใบอาหารฮาลาลและวันหมดอายุแยกกัน</x:v>
      </x:c>
      <x:c r="H10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01" s="20" t="str">
        <x:v>4 ซ. รามคำแหง 22 แขวงหัวหมาก แขวงบางกะปิ กรุงเทพมหานคร 10240</x:v>
      </x:c>
      <x:c r="J101" s="21" t="str">
        <x:v>023184440</x:v>
      </x:c>
      <x:c r="K101" s="51" t="str">
        <x:v>https://makanhalalguide.com/shop/detail/5182</x:v>
      </x:c>
      <x:c r="L101" s="51" t="str">
        <x:v>https://salehere.co.th/articles/accommodation-near-rajamangala-stadium</x:v>
      </x:c>
      <x:c r="M101" s="20" t="str">
        <x:v>ผลค้นหาชื่อสัมพันธ์จากแหล่งเพิ่มเติม ต้องยืนยันสาขาและข้อมูลปัจจุบัน</x:v>
      </x:c>
      <x:c r="N101" s="28" t="n">
        <x:v>46315</x:v>
      </x:c>
      <x:c r="O101" s="57" t="str">
        <x:v>ยังไม่ตรวจ</x:v>
      </x:c>
      <x:c r="P101" s="57" t="str">
        <x:v>ยังไม่ติดต่อ</x:v>
      </x:c>
      <x:c r="Q101" s="20" t="str">
        <x:v>TMF-040</x:v>
      </x:c>
      <x:c r="R101" s="20" t="str"/>
      <x:c r="S101" s="20" t="str"/>
      <x:c r="T101" s="20" t="str">
        <x:v>https://makanhalalguide.com/shop/detail/5182</x:v>
      </x:c>
      <x:c r="U101" s="20" t="str"/>
      <x:c r="V101" s="20" t="str"/>
      <x:c r="W101" s="20" t="str"/>
      <x:c r="X101" s="20" t="str"/>
      <x:c r="Y101" s="20" t="str">
        <x:v>https://www.google.com/maps/search/?api=1&amp;query=Regent%20Thailand%20Hotel%20%E0%B8%A3%E0%B8%B2%E0%B8%A1%E0%B8%84%E0%B8%B3%E0%B9%81%E0%B8%AB%E0%B8%8722%20%E0%B8%81%E0%B8%A3%E0%B8%B8%E0%B8%87%E0%B9%80%E0%B8%97%E0%B8%9E%E0%B8%A1%E0%B8%AB%E0%B8%B2%E0%B8%99%E0%B8%84%E0%B8%A3</x:v>
      </x:c>
      <x:c r="Z101" s="56" t="n">
        <x:v>13.754454</x:v>
      </x:c>
      <x:c r="AA101" s="56" t="n">
        <x:v>100.610631</x:v>
      </x:c>
      <x:c r="AB101" s="57" t="str"/>
      <x:c r="AC101" s="20" t="str">
        <x:v>https://makanhalalguide.com/shop/detail/5182</x:v>
      </x:c>
    </x:row>
    <x:row r="102" ht="88" customHeight="1">
      <x:c r="A102" s="54" t="n">
        <x:v>94</x:v>
      </x:c>
      <x:c r="B102" s="20" t="str">
        <x:v>Rembrandt Hotel Bangkok</x:v>
      </x:c>
      <x:c r="C102" s="20" t="str">
        <x:v>กรุงเทพมหานคร</x:v>
      </x:c>
      <x:c r="D102" s="20" t="str">
        <x:v>ที่พัก</x:v>
      </x:c>
      <x:c r="E102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102" s="20" t="str">
        <x:v>มีข้อมูลระบุ แต่รอยืนยัน</x:v>
      </x:c>
      <x:c r="G102" s="20" t="str">
        <x:v>ทะเบียน GMHI 4 ดาว; ช่องใบรับรอง: GMHI; ยังต้องยืนยันใบรับรองอาหารฮาลาลและวันหมดอายุแยกต่างหาก</x:v>
      </x:c>
      <x:c r="H102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ยังไม่ยืนยันวันที่โพสต์/รีวิวล่าสุดและการเปิดให้บริการปัจจุบัน</x:v>
      </x:c>
      <x:c r="I102" s="20" t="str">
        <x:v>19 Sukhumvit Soi 18, Klong Toei, Bangkok 10110</x:v>
      </x:c>
      <x:c r="J102" s="21" t="str">
        <x:v>ยังไม่พบหรือยังไม่ยืนยัน</x:v>
      </x:c>
      <x:c r="K102" s="51" t="str">
        <x:v>https://gmhi.co/th-th/services/Rembrandt%20Hotel%20Bangkok-2</x:v>
      </x:c>
      <x:c r="L102" s="51" t="str">
        <x:v>https://rembrandthotelbangkok.com/rembrandt-hotel-bangkok-faq/</x:v>
      </x:c>
      <x:c r="M102" s="20" t="str">
        <x:v>ยังไม่ยืนยันวันที่โพสต์/รีวิวล่าสุดและการเปิดให้บริการปัจจุบัน</x:v>
      </x:c>
      <x:c r="N102" s="28" t="n">
        <x:v>46315</x:v>
      </x:c>
      <x:c r="O102" s="57" t="str">
        <x:v>ยังไม่ตรวจ</x:v>
      </x:c>
      <x:c r="P102" s="57" t="str">
        <x:v>ยังไม่ติดต่อ</x:v>
      </x:c>
      <x:c r="Q102" s="20" t="str">
        <x:v>GMHI-2</x:v>
      </x:c>
      <x:c r="R102" s="20" t="str">
        <x:v>Rembrandt Hotel Bangkok</x:v>
      </x:c>
      <x:c r="S102" s="20" t="str"/>
      <x:c r="T102" s="20" t="str">
        <x:v>https://gmhi.co/th-th/services/Rembrandt%20Hotel%20Bangkok-2</x:v>
      </x:c>
      <x:c r="U102" s="20" t="str"/>
      <x:c r="V102" s="20" t="str"/>
      <x:c r="W102" s="20" t="str"/>
      <x:c r="X102" s="20" t="str"/>
      <x:c r="Y102" s="20" t="str">
        <x:v>https://www.google.com/maps/search/?api=1&amp;query=Rembrandt%20Hotel%20Bangkok%20%E0%B8%81%E0%B8%A3%E0%B8%B8%E0%B8%87%E0%B9%80%E0%B8%97%E0%B8%9E%E0%B8%A1%E0%B8%AB%E0%B8%B2%E0%B8%99%E0%B8%84%E0%B8%A3</x:v>
      </x:c>
      <x:c r="Z102" s="56" t="n">
        <x:v>13.7324897</x:v>
      </x:c>
      <x:c r="AA102" s="56" t="n">
        <x:v>100.5629099</x:v>
      </x:c>
      <x:c r="AB102" s="57" t="str"/>
      <x:c r="AC102" s="20" t="str">
        <x:v>https://gmhi.co/th-th/services/Rembrandt%20Hotel%20Bangkok-2</x:v>
      </x:c>
    </x:row>
    <x:row r="103" ht="88" customHeight="1">
      <x:c r="A103" s="54" t="n">
        <x:v>95</x:v>
      </x:c>
      <x:c r="B103" s="20" t="str">
        <x:v>Rotinis Hostel</x:v>
      </x:c>
      <x:c r="C103" s="20" t="str">
        <x:v>กรุงเทพมหานคร</x:v>
      </x:c>
      <x:c r="D103" s="20" t="str">
        <x:v>ที่พัก (ตรวจประเภทจากชื่อและข้อมูลประกอบ)</x:v>
      </x:c>
      <x:c r="E103" s="20" t="str">
        <x:v>Makan Verify; ระบุมีห้องละหมาด</x:v>
      </x:c>
      <x:c r="F103" s="20" t="str">
        <x:v>มีข้อมูลระบุ แต่รอยืนยัน</x:v>
      </x:c>
      <x:c r="G103" s="20" t="str">
        <x:v>ยังไม่พบเอกสารรับรองและวันหมดอายุ</x:v>
      </x:c>
      <x:c r="H103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103" s="20" t="str">
        <x:v>497/7 ถ. เพชรบุรี แขวงทุ่งพญาไท เขตราชเทวี กรุงเทพมหานคร 10400</x:v>
      </x:c>
      <x:c r="J103" s="21" t="str">
        <x:v>0645525666</x:v>
      </x:c>
      <x:c r="K103" s="51" t="str">
        <x:v>https://makanhalalguide.com/shop/detail/5369</x:v>
      </x:c>
      <x:c r="L103" s="51" t="str">
        <x:v>https://restaurantguru.com/Rotinis-Cafe-and-Hostel-Bangkok</x:v>
      </x:c>
      <x:c r="M103" s="20" t="str">
        <x:v>ผลค้นหาชื่อสัมพันธ์จากแหล่งเพิ่มเติม ต้องยืนยันสาขาและข้อมูลปัจจุบัน</x:v>
      </x:c>
      <x:c r="N103" s="28" t="n">
        <x:v>46315</x:v>
      </x:c>
      <x:c r="O103" s="57" t="str">
        <x:v>ยังไม่ตรวจ</x:v>
      </x:c>
      <x:c r="P103" s="57" t="str">
        <x:v>ยังไม่ติดต่อ</x:v>
      </x:c>
      <x:c r="Q103" s="20" t="str">
        <x:v>TMF-065</x:v>
      </x:c>
      <x:c r="R103" s="20" t="str">
        <x:v>Rotinis Hostel</x:v>
      </x:c>
      <x:c r="S103" s="20" t="str"/>
      <x:c r="T103" s="20" t="str">
        <x:v>https://makanhalalguide.com/shop/detail/5369</x:v>
      </x:c>
      <x:c r="U103" s="20" t="str"/>
      <x:c r="V103" s="20" t="str"/>
      <x:c r="W103" s="20" t="str"/>
      <x:c r="X103" s="20" t="str"/>
      <x:c r="Y103" s="20" t="str">
        <x:v>https://www.google.com/maps/search/?api=1&amp;query=Rotinis%20Hostel%20%E0%B8%81%E0%B8%A3%E0%B8%B8%E0%B8%87%E0%B9%80%E0%B8%97%E0%B8%9E%E0%B8%A1%E0%B8%AB%E0%B8%B2%E0%B8%99%E0%B8%84%E0%B8%A3</x:v>
      </x:c>
      <x:c r="Z103" s="56" t="n">
        <x:v>13.753249</x:v>
      </x:c>
      <x:c r="AA103" s="56" t="n">
        <x:v>100.530647</x:v>
      </x:c>
      <x:c r="AB103" s="57" t="str"/>
      <x:c r="AC103" s="20" t="str">
        <x:v>https://makanhalalguide.com/shop/detail/5369</x:v>
      </x:c>
    </x:row>
    <x:row r="104" ht="88" customHeight="1">
      <x:c r="A104" s="54" t="n">
        <x:v>96</x:v>
      </x:c>
      <x:c r="B104" s="20" t="str">
        <x:v>The Cozy 77</x:v>
      </x:c>
      <x:c r="C104" s="20" t="str">
        <x:v>กรุงเทพมหานคร</x:v>
      </x:c>
      <x:c r="D104" s="20" t="str">
        <x:v>ที่พัก</x:v>
      </x:c>
      <x:c r="E104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104" s="20" t="str">
        <x:v>มีข้อมูลระบุ แต่รอยืนยัน</x:v>
      </x:c>
      <x:c r="G104" s="20" t="str">
        <x:v>ทะเบียน GMHI 4 ดาว; ช่องใบรับรอง: GMHI; ยังต้องยืนยันใบรับรองอาหารฮาลาลและวันหมดอายุแยกต่างหาก</x:v>
      </x:c>
      <x:c r="H104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104" s="20" t="str">
        <x:v>2 Charan Sanitwong 77 Alley, Bang Phlat, Bangkok 10700</x:v>
      </x:c>
      <x:c r="J104" s="21" t="str">
        <x:v>ยังไม่พบหรือยังไม่ยืนยัน</x:v>
      </x:c>
      <x:c r="K104" s="51" t="str">
        <x:v>https://gmhi.co/th-th/services/The%20Cozy%2077-21</x:v>
      </x:c>
      <x:c r="L104" s="51" t="str">
        <x:v>https://www.booking.com/hotel/th/the-cozy-77.th.html</x:v>
      </x:c>
      <x:c r="M104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104" s="28" t="n">
        <x:v>46315</x:v>
      </x:c>
      <x:c r="O104" s="57" t="str">
        <x:v>ยังไม่ตรวจ</x:v>
      </x:c>
      <x:c r="P104" s="57" t="str">
        <x:v>ยังไม่ติดต่อ</x:v>
      </x:c>
      <x:c r="Q104" s="20" t="str">
        <x:v>GMHI-21</x:v>
      </x:c>
      <x:c r="R104" s="20" t="str">
        <x:v>The Cozy 77</x:v>
      </x:c>
      <x:c r="S104" s="20" t="str"/>
      <x:c r="T104" s="20" t="str">
        <x:v>https://gmhi.co/th-th/services/The%20Cozy%2077-21</x:v>
      </x:c>
      <x:c r="U104" s="20" t="str"/>
      <x:c r="V104" s="20" t="str"/>
      <x:c r="W104" s="20" t="str"/>
      <x:c r="X104" s="20" t="str"/>
      <x:c r="Y104" s="20" t="str">
        <x:v>https://www.google.com/maps/search/?api=1&amp;query=The%20Cozy%2077%20%E0%B8%81%E0%B8%A3%E0%B8%B8%E0%B8%87%E0%B9%80%E0%B8%97%E0%B8%9E%E0%B8%A1%E0%B8%AB%E0%B8%B2%E0%B8%99%E0%B8%84%E0%B8%A3</x:v>
      </x:c>
      <x:c r="Z104" s="56" t="n">
        <x:v>13.7890319</x:v>
      </x:c>
      <x:c r="AA104" s="56" t="n">
        <x:v>100.5011839</x:v>
      </x:c>
      <x:c r="AB104" s="57" t="str"/>
      <x:c r="AC104" s="20" t="str">
        <x:v>https://gmhi.co/th-th/services/The%20Cozy%2077-21</x:v>
      </x:c>
    </x:row>
    <x:row r="105" ht="88" customHeight="1">
      <x:c r="A105" s="54" t="n">
        <x:v>97</x:v>
      </x:c>
      <x:c r="B105" s="20" t="str">
        <x:v>The Grand Fourwings Convention Hotel Bangkok</x:v>
      </x:c>
      <x:c r="C105" s="20" t="str">
        <x:v>กรุงเทพมหานคร</x:v>
      </x:c>
      <x:c r="D105" s="20" t="str">
        <x:v>ที่พัก</x:v>
      </x:c>
      <x:c r="E105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105" s="20" t="str">
        <x:v>มีข้อมูลระบุ แต่รอยืนยัน</x:v>
      </x:c>
      <x:c r="G105" s="20" t="str">
        <x:v>ทะเบียน GMHI ไม่ระบุดาว; ช่องใบรับรอง: GMHI; ยังต้องยืนยันใบรับรองอาหารฮาลาลและวันหมดอายุแยกต่างหาก</x:v>
      </x:c>
      <x:c r="H105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105" s="20" t="str">
        <x:v>333 Srinakarin Road, Hua Mak, Bang Kapi, Bangkok 10240, Thailand
</x:v>
      </x:c>
      <x:c r="J105" s="21" t="str">
        <x:v>ยังไม่พบหรือยังไม่ยืนยัน</x:v>
      </x:c>
      <x:c r="K105" s="51" t="str">
        <x:v>https://gmhi.co/th-th/services/The%20Grand%20Fourwings%20Convention%20Hotel%20Bangkok-56</x:v>
      </x:c>
      <x:c r="L105" s="51" t="str">
        <x:v>https://www.trip.com/hotels/bangkok-hotel-detail-702928/the-grand-fourwings-convention-hotel-bangkok/review.html</x:v>
      </x:c>
      <x:c r="M105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105" s="28" t="n">
        <x:v>46315</x:v>
      </x:c>
      <x:c r="O105" s="57" t="str">
        <x:v>ยังไม่ตรวจ</x:v>
      </x:c>
      <x:c r="P105" s="57" t="str">
        <x:v>ยังไม่ติดต่อ</x:v>
      </x:c>
      <x:c r="Q105" s="20" t="str">
        <x:v>GMHI-56</x:v>
      </x:c>
      <x:c r="R105" s="20" t="str">
        <x:v>The Grand Fourwings Convention Hotel Bangkok</x:v>
      </x:c>
      <x:c r="S105" s="20" t="str"/>
      <x:c r="T105" s="20" t="str">
        <x:v>https://gmhi.co/th-th/services/The%20Grand%20Fourwings%20Convention%20Hotel%20Bangkok-56</x:v>
      </x:c>
      <x:c r="U105" s="20" t="str"/>
      <x:c r="V105" s="20" t="str"/>
      <x:c r="W105" s="20" t="str"/>
      <x:c r="X105" s="20" t="str"/>
      <x:c r="Y105" s="20" t="str">
        <x:v>https://www.google.com/maps/search/?api=1&amp;query=The%20Grand%20Fourwings%20Convention%20Hotel%20Bangkok%20%E0%B8%81%E0%B8%A3%E0%B8%B8%E0%B8%87%E0%B9%80%E0%B8%97%E0%B8%9E%E0%B8%A1%E0%B8%AB%E0%B8%B2%E0%B8%99%E0%B8%84%E0%B8%A3</x:v>
      </x:c>
      <x:c r="Z105" s="56" t="n">
        <x:v>13.7540761</x:v>
      </x:c>
      <x:c r="AA105" s="56" t="n">
        <x:v>100.6462729</x:v>
      </x:c>
      <x:c r="AB105" s="57" t="str"/>
      <x:c r="AC105" s="20" t="str">
        <x:v>https://gmhi.co/th-th/services/The%20Grand%20Fourwings%20Convention%20Hotel%20Bangkok-56</x:v>
      </x:c>
    </x:row>
    <x:row r="106" ht="88" customHeight="1">
      <x:c r="A106" s="54" t="n">
        <x:v>98</x:v>
      </x:c>
      <x:c r="B106" s="20" t="str">
        <x:v>The Riski Hotel &amp; Residence Bangphlat Station</x:v>
      </x:c>
      <x:c r="C106" s="20" t="str">
        <x:v>กรุงเทพมหานคร</x:v>
      </x:c>
      <x:c r="D106" s="20" t="str">
        <x:v>โรงแรมหรือรีสอร์ท</x:v>
      </x:c>
      <x:c r="E106" s="20" t="str">
        <x:v>Makan Verify; ระบุมีห้องละหมาด</x:v>
      </x:c>
      <x:c r="F106" s="20" t="str">
        <x:v>มีข้อมูลระบุ แต่รอยืนยัน</x:v>
      </x:c>
      <x:c r="G106" s="20" t="str">
        <x:v>ยังไม่พบเอกสารรับรองและวันหมดอายุ / มีชื่อในทะเบียน GMHI 5 ดาว; ยังต้องยืนยันใบอาหารฮาลาลและวันหมดอายุแยกกัน</x:v>
      </x:c>
      <x:c r="H10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06" s="20" t="str">
        <x:v>359 ซอย 77/1 แขวงบางพลัด เขตบางพลัด กรุงเทพมหานคร 10700</x:v>
      </x:c>
      <x:c r="J106" s="21" t="str">
        <x:v>0981905090</x:v>
      </x:c>
      <x:c r="K106" s="51" t="str">
        <x:v>https://makanhalalguide.com/shop/detail/5189</x:v>
      </x:c>
      <x:c r="L106" s="51" t="str">
        <x:v>https://th.tripadvisor.com/Hotel_Review-g293916-d23829611-Reviews-The_Riski_Hotel_Residence_Bangphlat_Station-Bangkok.html</x:v>
      </x:c>
      <x:c r="M106" s="20" t="str">
        <x:v>ผลค้นหาชื่อสัมพันธ์จากแหล่งเพิ่มเติม ต้องยืนยันสาขาและข้อมูลปัจจุบัน</x:v>
      </x:c>
      <x:c r="N106" s="28" t="n">
        <x:v>46315</x:v>
      </x:c>
      <x:c r="O106" s="57" t="str">
        <x:v>ยังไม่ตรวจ</x:v>
      </x:c>
      <x:c r="P106" s="57" t="str">
        <x:v>ยังไม่ติดต่อ</x:v>
      </x:c>
      <x:c r="Q106" s="20" t="str">
        <x:v>TMF-041</x:v>
      </x:c>
      <x:c r="R106" s="20" t="str">
        <x:v>The Riski Hotel &amp; Residence Bangphlat Station</x:v>
      </x:c>
      <x:c r="S106" s="20" t="str"/>
      <x:c r="T106" s="20" t="str">
        <x:v>https://makanhalalguide.com/shop/detail/5189</x:v>
      </x:c>
      <x:c r="U106" s="20" t="str"/>
      <x:c r="V106" s="20" t="str"/>
      <x:c r="W106" s="20" t="str"/>
      <x:c r="X106" s="20" t="str"/>
      <x:c r="Y106" s="20" t="str">
        <x:v>https://www.google.com/maps/search/?api=1&amp;query=The%20Riski%20Hotel%20%26%20Residence%20Bangphlat%20Station%20%E0%B8%81%E0%B8%A3%E0%B8%B8%E0%B8%87%E0%B9%80%E0%B8%97%E0%B8%9E%E0%B8%A1%E0%B8%AB%E0%B8%B2%E0%B8%99%E0%B8%84%E0%B8%A3</x:v>
      </x:c>
      <x:c r="Z106" s="56" t="n">
        <x:v>13.790211</x:v>
      </x:c>
      <x:c r="AA106" s="56" t="n">
        <x:v>100.50022</x:v>
      </x:c>
      <x:c r="AB106" s="57" t="str"/>
      <x:c r="AC106" s="20" t="str">
        <x:v>https://makanhalalguide.com/shop/detail/5189</x:v>
      </x:c>
    </x:row>
    <x:row r="107" ht="88" customHeight="1">
      <x:c r="A107" s="54" t="n">
        <x:v>99</x:v>
      </x:c>
      <x:c r="B107" s="20" t="str">
        <x:v>The Suan Dusit Place</x:v>
      </x:c>
      <x:c r="C107" s="20" t="str">
        <x:v>กรุงเทพมหานคร</x:v>
      </x:c>
      <x:c r="D107" s="20" t="str">
        <x:v>ที่พัก</x:v>
      </x:c>
      <x:c r="E107" s="20" t="str">
        <x:v>มีชื่อในทะเบียนสาธารณะ GMHI; ข้อมูลบริการตามทะเบียนยังต้องยืนยันกับผู้ประกอบการ</x:v>
      </x:c>
      <x:c r="F107" s="20" t="str">
        <x:v>แหล่งเดิมไม่ระบุว่ามี</x:v>
      </x:c>
      <x:c r="G107" s="20" t="str">
        <x:v>ทะเบียน GMHI 4 ดาว; ช่องใบรับรอง: ไม่ระบุ; ยังต้องยืนยันใบรับรองอาหารฮาลาลและวันหมดอายุแยกต่างหาก</x:v>
      </x:c>
      <x:c r="H107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I107" s="20" t="str">
        <x:v> 295 ถ. นครราชสีมา แขวงวชิรพยาบาล เขตดุสิต กรุงเทพมหานคร 10300</x:v>
      </x:c>
      <x:c r="J107" s="21" t="str">
        <x:v>ยังไม่พบหรือยังไม่ยืนยัน</x:v>
      </x:c>
      <x:c r="K107" s="51" t="str">
        <x:v>https://gmhi.co/th-th/services/The%20Suan%20Dusit%20Place-31</x:v>
      </x:c>
      <x:c r="L107" s="51" t="str">
        <x:v>https://www.skyscanner.co.th/hotels/thailand/bangkok-hotels/the-suan-dusit-place/ht-178867022</x:v>
      </x:c>
      <x:c r="M107" s="20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N107" s="28" t="n">
        <x:v>46315</x:v>
      </x:c>
      <x:c r="O107" s="57" t="str">
        <x:v>ยังไม่ตรวจ</x:v>
      </x:c>
      <x:c r="P107" s="57" t="str">
        <x:v>ยังไม่ติดต่อ</x:v>
      </x:c>
      <x:c r="Q107" s="20" t="str">
        <x:v>GMHI-31</x:v>
      </x:c>
      <x:c r="R107" s="20" t="str">
        <x:v>The Suan Dusit Place</x:v>
      </x:c>
      <x:c r="S107" s="20" t="str"/>
      <x:c r="T107" s="20" t="str">
        <x:v>https://gmhi.co/th-th/services/The%20Suan%20Dusit%20Place-31</x:v>
      </x:c>
      <x:c r="U107" s="20" t="str"/>
      <x:c r="V107" s="20" t="str"/>
      <x:c r="W107" s="20" t="str"/>
      <x:c r="X107" s="20" t="str"/>
      <x:c r="Y107" s="20" t="str">
        <x:v>https://www.google.com/maps/search/?api=1&amp;query=The%20Suan%20Dusit%20Place%20%E0%B8%81%E0%B8%A3%E0%B8%B8%E0%B8%87%E0%B9%80%E0%B8%97%E0%B8%9E%E0%B8%A1%E0%B8%AB%E0%B8%B2%E0%B8%99%E0%B8%84%E0%B8%A3</x:v>
      </x:c>
      <x:c r="Z107" s="56" t="n">
        <x:v>13.7754914</x:v>
      </x:c>
      <x:c r="AA107" s="56" t="n">
        <x:v>100.5108948</x:v>
      </x:c>
      <x:c r="AB107" s="57" t="str"/>
      <x:c r="AC107" s="20" t="str">
        <x:v>https://gmhi.co/th-th/services/The%20Suan%20Dusit%20Place-31</x:v>
      </x:c>
    </x:row>
    <x:row r="108" ht="88" customHeight="1">
      <x:c r="A108" s="54" t="n">
        <x:v>100</x:v>
      </x:c>
      <x:c r="B108" s="20" t="str">
        <x:v>W22 by Burasari</x:v>
      </x:c>
      <x:c r="C108" s="20" t="str">
        <x:v>กรุงเทพมหานคร</x:v>
      </x:c>
      <x:c r="D108" s="20" t="str">
        <x:v>ที่พัก</x:v>
      </x:c>
      <x:c r="E108" s="20" t="str">
        <x:v>มีชื่อในทะเบียนสาธารณะ GMHI; ข้อมูลบริการตามทะเบียนยังต้องยืนยันกับผู้ประกอบการ</x:v>
      </x:c>
      <x:c r="F108" s="20" t="str">
        <x:v>ไม่ทราบ</x:v>
      </x:c>
      <x:c r="G108" s="20" t="str">
        <x:v>ทะเบียน GMHI 4 ดาว; ช่องใบรับรอง: ไม่ระบุ; ยังต้องยืนยันใบรับรองอาหารฮาลาลและวันหมดอายุแยกต่างหาก</x:v>
      </x:c>
      <x:c r="H108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108" s="20" t="str">
        <x:v>422 ถ. มิตรพันธ์ แขวงป้อมปราบ เขตป้อมปราบศัตรูพ่าย กรุงเทพมหานคร 10100</x:v>
      </x:c>
      <x:c r="J108" s="21" t="str">
        <x:v>ยังไม่พบหรือยังไม่ยืนยัน</x:v>
      </x:c>
      <x:c r="K108" s="51" t="str">
        <x:v>https://gmhi.co/th-th/services/W22%20by%20Burasari-30</x:v>
      </x:c>
      <x:c r="L108" s="51" t="str">
        <x:v>https://www.booking.com/hotel/th/w22.th.html</x:v>
      </x:c>
      <x:c r="M108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108" s="28" t="n">
        <x:v>46315</x:v>
      </x:c>
      <x:c r="O108" s="57" t="str">
        <x:v>ยังไม่ตรวจ</x:v>
      </x:c>
      <x:c r="P108" s="57" t="str">
        <x:v>ยังไม่ติดต่อ</x:v>
      </x:c>
      <x:c r="Q108" s="20" t="str">
        <x:v>GMHI-30</x:v>
      </x:c>
      <x:c r="R108" s="20" t="str">
        <x:v>W22 by Burasari</x:v>
      </x:c>
      <x:c r="S108" s="20" t="str"/>
      <x:c r="T108" s="20" t="str">
        <x:v>https://gmhi.co/th-th/services/W22%20by%20Burasari-30</x:v>
      </x:c>
      <x:c r="U108" s="20" t="str"/>
      <x:c r="V108" s="20" t="str"/>
      <x:c r="W108" s="20" t="str"/>
      <x:c r="X108" s="20" t="str"/>
      <x:c r="Y108" s="20" t="str">
        <x:v>https://www.google.com/maps/search/?api=1&amp;query=W22%20by%20Burasari%20%E0%B8%81%E0%B8%A3%E0%B8%B8%E0%B8%87%E0%B9%80%E0%B8%97%E0%B8%9E%E0%B8%A1%E0%B8%AB%E0%B8%B2%E0%B8%99%E0%B8%84%E0%B8%A3</x:v>
      </x:c>
      <x:c r="Z108" s="56" t="n">
        <x:v>13.7416524</x:v>
      </x:c>
      <x:c r="AA108" s="56" t="n">
        <x:v>100.512883</x:v>
      </x:c>
      <x:c r="AB108" s="57" t="str"/>
      <x:c r="AC108" s="20" t="str">
        <x:v>https://gmhi.co/th-th/services/W22%20by%20Burasari-30</x:v>
      </x:c>
    </x:row>
    <x:row r="109" ht="88" customHeight="1">
      <x:c r="A109" s="54" t="n">
        <x:v>101</x:v>
      </x:c>
      <x:c r="B109" s="20" t="str">
        <x:v>Zayn Hotel Bangkok</x:v>
      </x:c>
      <x:c r="C109" s="20" t="str">
        <x:v>กรุงเทพมหานคร</x:v>
      </x:c>
      <x:c r="D109" s="20" t="str">
        <x:v>โรงแรมหรือรีสอร์ท</x:v>
      </x:c>
      <x:c r="E109" s="20" t="str">
        <x:v>Makan Verify; ระบุมีห้องละหมาด</x:v>
      </x:c>
      <x:c r="F109" s="20" t="str">
        <x:v>มีข้อมูลระบุ แต่รอยืนยัน</x:v>
      </x:c>
      <x:c r="G109" s="20" t="str">
        <x:v>ยังไม่พบเอกสารรับรองและวันหมดอายุ</x:v>
      </x:c>
      <x:c r="H10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09" s="20" t="str">
        <x:v>593 595 ถ. ศรีนครินทร์ แขวงสวนหลวง เขตสวนหลวง กรุงเทพมหานคร 10250</x:v>
      </x:c>
      <x:c r="J109" s="21" t="str">
        <x:v>023222455</x:v>
      </x:c>
      <x:c r="K109" s="51" t="str">
        <x:v>https://makanhalalguide.com/shop/detail/5188</x:v>
      </x:c>
      <x:c r="L109" s="51" t="str">
        <x:v>https://www.thic.or.th/th/tourist/detail/accommodation/540</x:v>
      </x:c>
      <x:c r="M109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N109" s="28" t="n">
        <x:v>46315</x:v>
      </x:c>
      <x:c r="O109" s="57" t="str">
        <x:v>ยังไม่ตรวจ</x:v>
      </x:c>
      <x:c r="P109" s="57" t="str">
        <x:v>ยังไม่ติดต่อ</x:v>
      </x:c>
      <x:c r="Q109" s="20" t="str">
        <x:v>TMF-042</x:v>
      </x:c>
      <x:c r="R109" s="20" t="str">
        <x:v>Zayn Hotel Bangkok</x:v>
      </x:c>
      <x:c r="S109" s="20" t="str"/>
      <x:c r="T109" s="20" t="str">
        <x:v>https://makanhalalguide.com/shop/detail/5188</x:v>
      </x:c>
      <x:c r="U109" s="20" t="str"/>
      <x:c r="V109" s="20" t="str"/>
      <x:c r="W109" s="20" t="str"/>
      <x:c r="X109" s="20" t="str"/>
      <x:c r="Y109" s="20" t="str">
        <x:v>https://www.google.com/maps/search/?api=1&amp;query=Zayn%20Hotel%20Bangkok%20%E0%B8%81%E0%B8%A3%E0%B8%B8%E0%B8%87%E0%B9%80%E0%B8%97%E0%B8%9E%E0%B8%A1%E0%B8%AB%E0%B8%B2%E0%B8%99%E0%B8%84%E0%B8%A3</x:v>
      </x:c>
      <x:c r="Z109" s="56" t="n">
        <x:v>13.737443</x:v>
      </x:c>
      <x:c r="AA109" s="56" t="n">
        <x:v>100.639426</x:v>
      </x:c>
      <x:c r="AB109" s="57" t="str"/>
      <x:c r="AC109" s="20" t="str">
        <x:v>https://makanhalalguide.com/shop/detail/5188</x:v>
      </x:c>
    </x:row>
    <x:row r="110" ht="88" customHeight="1">
      <x:c r="A110" s="54" t="n">
        <x:v>102</x:v>
      </x:c>
      <x:c r="B110" s="20" t="str">
        <x:v>มุสลิมโฮม2 ห้องพักรายวัน</x:v>
      </x:c>
      <x:c r="C110" s="20" t="str">
        <x:v>กรุงเทพมหานคร</x:v>
      </x:c>
      <x:c r="D110" s="20" t="str">
        <x:v>ที่พัก (ตรวจประเภทจากชื่อและข้อมูลประกอบ)</x:v>
      </x:c>
      <x:c r="E110" s="20" t="str">
        <x:v>Makan Verify; ระบุมีห้องละหมาด</x:v>
      </x:c>
      <x:c r="F110" s="20" t="str">
        <x:v>มีข้อมูลระบุ แต่รอยืนยัน</x:v>
      </x:c>
      <x:c r="G110" s="20" t="str">
        <x:v>ยังไม่พบเอกสารรับรองและวันหมดอายุ</x:v>
      </x:c>
      <x:c r="H110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110" s="20" t="str">
        <x:v>ซอยรามคำแหง 59 ถนนรามคำแหง แขวงหัวหมาก บางกะปิ กรุงเทพมหานคร 10240</x:v>
      </x:c>
      <x:c r="J110" s="21" t="str">
        <x:v>023186020</x:v>
      </x:c>
      <x:c r="K110" s="51" t="str">
        <x:v>https://makanhalalguide.com/shop/detail/5365</x:v>
      </x:c>
      <x:c r="L110" s="51" t="str">
        <x:v>https://www.thic.or.th/th/tourist/detail/accommodation/544</x:v>
      </x:c>
      <x:c r="M110" s="20" t="str">
        <x:v>รวมรายชื่อ Muslimhome2 ที่ซ้ำกันเป็นสถานที่เดียว; ต้องตรวจที่อยู่จริงอีกครั้ง</x:v>
      </x:c>
      <x:c r="N110" s="28" t="n">
        <x:v>46315</x:v>
      </x:c>
      <x:c r="O110" s="57" t="str">
        <x:v>ยังไม่ตรวจ</x:v>
      </x:c>
      <x:c r="P110" s="57" t="str">
        <x:v>ยังไม่ติดต่อ</x:v>
      </x:c>
      <x:c r="Q110" s="20" t="str">
        <x:v>TMF-083</x:v>
      </x:c>
      <x:c r="R110" s="20" t="str"/>
      <x:c r="S110" s="20" t="str"/>
      <x:c r="T110" s="20" t="str">
        <x:v>https://makanhalalguide.com/shop/detail/5365</x:v>
      </x:c>
      <x:c r="U110" s="20" t="str"/>
      <x:c r="V110" s="20" t="str"/>
      <x:c r="W110" s="20" t="str"/>
      <x:c r="X110" s="20" t="str"/>
      <x:c r="Y110" s="20" t="str">
        <x:v>https://www.google.com/maps/search/?api=1&amp;query=%E0%B8%A1%E0%B8%B8%E0%B8%AA%E0%B8%A5%E0%B8%B4%E0%B8%A1%E0%B9%82%E0%B8%AE%E0%B8%A12%20%E0%B8%AB%E0%B9%89%E0%B8%AD%E0%B8%87%E0%B8%9E%E0%B8%B1%E0%B8%81%E0%B8%A3%E0%B8%B2%E0%B8%A2%E0%B8%A7%E0%B8%B1%E0%B8%99%20%E0%B8%81%E0%B8%A3%E0%B8%B8%E0%B8%87%E0%B9%80%E0%B8%97%E0%B8%9E%E0%B8%A1%E0%B8%AB%E0%B8%B2%E0%B8%99%E0%B8%84%E0%B8%A3</x:v>
      </x:c>
      <x:c r="Z110" s="56" t="n">
        <x:v>13.760611</x:v>
      </x:c>
      <x:c r="AA110" s="56" t="n">
        <x:v>100.62195</x:v>
      </x:c>
      <x:c r="AB110" s="57" t="str"/>
      <x:c r="AC110" s="20" t="str">
        <x:v>https://makanhalalguide.com/shop/detail/5365</x:v>
      </x:c>
    </x:row>
    <x:row r="111" ht="88" customHeight="1">
      <x:c r="A111" s="54" t="n">
        <x:v>103</x:v>
      </x:c>
      <x:c r="B111" s="20" t="str">
        <x:v>รัชดา บูทีค โฮเทล</x:v>
      </x:c>
      <x:c r="C111" s="20" t="str">
        <x:v>กรุงเทพมหานคร</x:v>
      </x:c>
      <x:c r="D111" s="20" t="str">
        <x:v>โรงแรมหรือรีสอร์ท</x:v>
      </x:c>
      <x:c r="E111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1" s="20" t="str">
        <x:v>ไม่ทราบ</x:v>
      </x:c>
      <x:c r="G111" s="20" t="str">
        <x:v>ยังไม่พบเอกสารรับรองและวันหมดอายุ</x:v>
      </x:c>
      <x:c r="H111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1" s="20" t="str">
        <x:v>แขวงห้วยขวาง เขตห้วยขวาง กรุงเทพมหานคร 10310</x:v>
      </x:c>
      <x:c r="J111" s="21" t="str">
        <x:v>Line :</x:v>
      </x:c>
      <x:c r="K111" s="51" t="str">
        <x:v>https://www.thic.or.th/th/tourist/detail/accommodation/715</x:v>
      </x:c>
      <x:c r="L111" s="51" t="str">
        <x:v>https://www.google.co.th/travel/hotels/entity/ChoIsf6R3LXmyLT1ARoNL2cvMTFmZnYyenF2NBAB?rp=OAHCAhwiGg0AANBBEhMI08OWm4nIiAMVakKrAh2Pyihm&amp;ts=CAEaIgoCGgASHBIUCgcI6g8QChgeEgcI6g8QCxgGGAcyAhAAOAEqBAoAGgA</x:v>
      </x:c>
      <x:c r="M111" s="20" t="str">
        <x:v>ผลค้นหาชื่อสัมพันธ์จากแหล่งเพิ่มเติม ต้องยืนยันสาขาและข้อมูลปัจจุบัน</x:v>
      </x:c>
      <x:c r="N111" s="28" t="n">
        <x:v>46315</x:v>
      </x:c>
      <x:c r="O111" s="57" t="str">
        <x:v>ยังไม่ตรวจ</x:v>
      </x:c>
      <x:c r="P111" s="57" t="str">
        <x:v>ยังไม่ติดต่อ</x:v>
      </x:c>
      <x:c r="Q111" s="20" t="str">
        <x:v>TMF-475</x:v>
      </x:c>
      <x:c r="R111" s="20" t="str"/>
      <x:c r="S111" s="20" t="str"/>
      <x:c r="T111" s="20" t="str">
        <x:v>https://www.thic.or.th/th/tourist/detail/accommodation/715</x:v>
      </x:c>
      <x:c r="U111" s="20" t="str"/>
      <x:c r="V111" s="20" t="str"/>
      <x:c r="W111" s="20" t="str"/>
      <x:c r="X111" s="20" t="str"/>
      <x:c r="Y111" s="20" t="str">
        <x:v>https://www.google.com/maps/search/?api=1&amp;query=%E0%B8%A3%E0%B8%B1%E0%B8%8A%E0%B8%94%E0%B8%B2%20%E0%B8%9A%E0%B8%B9%E0%B8%97%E0%B8%B5%E0%B8%84%20%E0%B9%82%E0%B8%AE%E0%B9%80%E0%B8%97%E0%B8%A5%20%E0%B8%81%E0%B8%A3%E0%B8%B8%E0%B8%87%E0%B9%80%E0%B8%97%E0%B8%9E%E0%B8%A1%E0%B8%AB%E0%B8%B2%E0%B8%99%E0%B8%84%E0%B8%A3</x:v>
      </x:c>
      <x:c r="Z111" s="56" t="n">
        <x:v>13.77286</x:v>
      </x:c>
      <x:c r="AA111" s="56" t="n">
        <x:v>100.57068</x:v>
      </x:c>
      <x:c r="AB111" s="57" t="str"/>
      <x:c r="AC111" s="20" t="str">
        <x:v>https://www.thic.or.th/th/tourist/detail/accommodation/715</x:v>
      </x:c>
    </x:row>
    <x:row r="112" ht="88" customHeight="1">
      <x:c r="A112" s="54" t="n">
        <x:v>104</x:v>
      </x:c>
      <x:c r="B112" s="20" t="str">
        <x:v>โซลิแทร์ แบงค็อก สุขุมวิท 11</x:v>
      </x:c>
      <x:c r="C112" s="20" t="str">
        <x:v>กรุงเทพมหานคร</x:v>
      </x:c>
      <x:c r="D112" s="20" t="str">
        <x:v>โรงแรมหรือรีสอร์ท</x:v>
      </x:c>
      <x:c r="E112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2" s="20" t="str">
        <x:v>ไม่ทราบ</x:v>
      </x:c>
      <x:c r="G112" s="20" t="str">
        <x:v>ยังไม่พบเอกสารรับรองและวันหมดอายุ</x:v>
      </x:c>
      <x:c r="H112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2" s="20" t="str">
        <x:v>แขวงบางจาก เขตพระโขนง กรุงเทพมหานคร 10110</x:v>
      </x:c>
      <x:c r="J112" s="21" t="str">
        <x:v>Line :</x:v>
      </x:c>
      <x:c r="K112" s="51" t="str">
        <x:v>https://www.thic.or.th/th/tourist/detail/accommodation/662</x:v>
      </x:c>
      <x:c r="L112" s="51" t="str">
        <x:v>https://xn--12c7bhaw4iemu7j3c5c.com/hotel/2272/solitaire-bangkok-sukhumvit-11/</x:v>
      </x:c>
      <x:c r="M112" s="20" t="str">
        <x:v>ผลค้นหาชื่อสัมพันธ์จากแหล่งเพิ่มเติม ต้องยืนยันสาขาและข้อมูลปัจจุบัน</x:v>
      </x:c>
      <x:c r="N112" s="28" t="n">
        <x:v>46315</x:v>
      </x:c>
      <x:c r="O112" s="57" t="str">
        <x:v>ยังไม่ตรวจ</x:v>
      </x:c>
      <x:c r="P112" s="57" t="str">
        <x:v>ยังไม่ติดต่อ</x:v>
      </x:c>
      <x:c r="Q112" s="20" t="str">
        <x:v>TMF-477</x:v>
      </x:c>
      <x:c r="R112" s="20" t="str"/>
      <x:c r="S112" s="20" t="str"/>
      <x:c r="T112" s="20" t="str">
        <x:v>https://www.thic.or.th/th/tourist/detail/accommodation/662</x:v>
      </x:c>
      <x:c r="U112" s="20" t="str"/>
      <x:c r="V112" s="20" t="str"/>
      <x:c r="W112" s="20" t="str"/>
      <x:c r="X112" s="20" t="str"/>
      <x:c r="Y112" s="20" t="str">
        <x:v>https://www.google.com/maps/search/?api=1&amp;query=%E0%B9%82%E0%B8%8B%E0%B8%A5%E0%B8%B4%E0%B9%81%E0%B8%97%E0%B8%A3%E0%B9%8C%20%E0%B9%81%E0%B8%9A%E0%B8%87%E0%B8%84%E0%B9%87%E0%B8%AD%E0%B8%81%20%E0%B8%AA%E0%B8%B8%E0%B8%82%E0%B8%B8%E0%B8%A1%E0%B8%A7%E0%B8%B4%E0%B8%97%2011%20%E0%B8%81%E0%B8%A3%E0%B8%B8%E0%B8%87%E0%B9%80%E0%B8%97%E0%B8%9E%E0%B8%A1%E0%B8%AB%E0%B8%B2%E0%B8%99%E0%B8%84%E0%B8%A3</x:v>
      </x:c>
      <x:c r="Z112" s="56" t="n">
        <x:v>13.74532</x:v>
      </x:c>
      <x:c r="AA112" s="56" t="n">
        <x:v>100.5575</x:v>
      </x:c>
      <x:c r="AB112" s="57" t="str"/>
      <x:c r="AC112" s="20" t="str">
        <x:v>https://www.thic.or.th/th/tourist/detail/accommodation/662</x:v>
      </x:c>
    </x:row>
    <x:row r="113" ht="88" customHeight="1">
      <x:c r="A113" s="54" t="n">
        <x:v>105</x:v>
      </x:c>
      <x:c r="B113" s="20" t="str">
        <x:v>โรงแรม วิลล่า เดอร์ ข้าวสาร</x:v>
      </x:c>
      <x:c r="C113" s="20" t="str">
        <x:v>กรุงเทพมหานคร</x:v>
      </x:c>
      <x:c r="D113" s="20" t="str">
        <x:v>โรงแรมหรือรีสอร์ท</x:v>
      </x:c>
      <x:c r="E113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3" s="20" t="str">
        <x:v>ไม่ทราบ</x:v>
      </x:c>
      <x:c r="G113" s="20" t="str">
        <x:v>ยังไม่พบเอกสารรับรองและวันหมดอายุ</x:v>
      </x:c>
      <x:c r="H113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3" s="20" t="str">
        <x:v>แขวงชนะสงคราม เขตพระนคร กรุงเทพมหานคร 10200</x:v>
      </x:c>
      <x:c r="J113" s="21" t="str">
        <x:v>Line :</x:v>
      </x:c>
      <x:c r="K113" s="51" t="str">
        <x:v>https://www.thic.or.th/th/tourist/detail/accommodation/702</x:v>
      </x:c>
      <x:c r="L113" s="51" t="str">
        <x:v>https://www.google.co.th/travel/hotels/entity/ChoImpGG2u33lsOrARoNL2cvMTFmZmxfMzJkbBAB?ap=ugEGcHJpY2Vz&amp;rp=OAHCAhwiGg0AABhCEhMItp2z16CilgMVpN6fCR1_PA2E&amp;ts=CAEaBAoCGgAqBAoAGgA</x:v>
      </x:c>
      <x:c r="M113" s="20" t="str">
        <x:v>ผลค้นหาชื่อสัมพันธ์จากแหล่งเพิ่มเติม ต้องยืนยันสาขาและข้อมูลปัจจุบัน</x:v>
      </x:c>
      <x:c r="N113" s="28" t="n">
        <x:v>46315</x:v>
      </x:c>
      <x:c r="O113" s="57" t="str">
        <x:v>ยังไม่ตรวจ</x:v>
      </x:c>
      <x:c r="P113" s="57" t="str">
        <x:v>ยังไม่ติดต่อ</x:v>
      </x:c>
      <x:c r="Q113" s="20" t="str">
        <x:v>TMF-478</x:v>
      </x:c>
      <x:c r="R113" s="20" t="str"/>
      <x:c r="S113" s="20" t="str"/>
      <x:c r="T113" s="20" t="str">
        <x:v>https://www.thic.or.th/th/tourist/detail/accommodation/702</x:v>
      </x:c>
      <x:c r="U113" s="20" t="str"/>
      <x:c r="V113" s="20" t="str"/>
      <x:c r="W113" s="20" t="str"/>
      <x:c r="X113" s="20" t="str"/>
      <x:c r="Y113" s="20" t="str">
        <x:v>https://www.google.com/maps/search/?api=1&amp;query=%E0%B9%82%E0%B8%A3%E0%B8%87%E0%B9%81%E0%B8%A3%E0%B8%A1%20%E0%B8%A7%E0%B8%B4%E0%B8%A5%E0%B8%A5%E0%B9%88%E0%B8%B2%20%E0%B9%80%E0%B8%94%E0%B8%AD%E0%B8%A3%E0%B9%8C%20%E0%B8%82%E0%B9%89%E0%B8%B2%E0%B8%A7%E0%B8%AA%E0%B8%B2%E0%B8%A3%20%E0%B8%81%E0%B8%A3%E0%B8%B8%E0%B8%87%E0%B9%80%E0%B8%97%E0%B8%9E%E0%B8%A1%E0%B8%AB%E0%B8%B2%E0%B8%99%E0%B8%84%E0%B8%A3</x:v>
      </x:c>
      <x:c r="Z113" s="56" t="n">
        <x:v>13.75879</x:v>
      </x:c>
      <x:c r="AA113" s="56" t="n">
        <x:v>100.49514</x:v>
      </x:c>
      <x:c r="AB113" s="57" t="str"/>
      <x:c r="AC113" s="20" t="str">
        <x:v>https://www.thic.or.th/th/tourist/detail/accommodation/702</x:v>
      </x:c>
    </x:row>
    <x:row r="114" ht="88" customHeight="1">
      <x:c r="A114" s="54" t="n">
        <x:v>106</x:v>
      </x:c>
      <x:c r="B114" s="20" t="str">
        <x:v>โรงแรม อิมเพรส ห้วยขวาง</x:v>
      </x:c>
      <x:c r="C114" s="20" t="str">
        <x:v>กรุงเทพมหานคร</x:v>
      </x:c>
      <x:c r="D114" s="20" t="str">
        <x:v>โรงแรมหรือรีสอร์ท</x:v>
      </x:c>
      <x:c r="E114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4" s="20" t="str">
        <x:v>ไม่ทราบ</x:v>
      </x:c>
      <x:c r="G114" s="20" t="str">
        <x:v>ยังไม่พบเอกสารรับรองและวันหมดอายุ</x:v>
      </x:c>
      <x:c r="H114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4" s="20" t="str">
        <x:v>แขวงห้วยขวาง เขตห้วยขวาง กรุงเทพมหานคร 10310</x:v>
      </x:c>
      <x:c r="J114" s="21" t="str">
        <x:v>Line :</x:v>
      </x:c>
      <x:c r="K114" s="51" t="str">
        <x:v>https://www.thic.or.th/th/tourist/detail/accommodation/719</x:v>
      </x:c>
      <x:c r="L114" s="51" t="str">
        <x:v>https://www.google.com/travel/hotels/entity/ChoI_4rc1MSgz6ilARoNL2cvMTF5djczNWg1dBAB</x:v>
      </x:c>
      <x:c r="M114" s="20" t="str">
        <x:v>ผลค้นหาชื่อสัมพันธ์จากแหล่งเพิ่มเติม ต้องยืนยันสาขาและข้อมูลปัจจุบัน</x:v>
      </x:c>
      <x:c r="N114" s="28" t="n">
        <x:v>46315</x:v>
      </x:c>
      <x:c r="O114" s="57" t="str">
        <x:v>ยังไม่ตรวจ</x:v>
      </x:c>
      <x:c r="P114" s="57" t="str">
        <x:v>ยังไม่ติดต่อ</x:v>
      </x:c>
      <x:c r="Q114" s="20" t="str">
        <x:v>TMF-479</x:v>
      </x:c>
      <x:c r="R114" s="20" t="str"/>
      <x:c r="S114" s="20" t="str"/>
      <x:c r="T114" s="20" t="str">
        <x:v>https://www.thic.or.th/th/tourist/detail/accommodation/719</x:v>
      </x:c>
      <x:c r="U114" s="20" t="str"/>
      <x:c r="V114" s="20" t="str"/>
      <x:c r="W114" s="20" t="str"/>
      <x:c r="X114" s="20" t="str"/>
      <x:c r="Y114" s="20" t="str">
        <x:v>https://www.google.com/maps/search/?api=1&amp;query=%E0%B9%82%E0%B8%A3%E0%B8%87%E0%B9%81%E0%B8%A3%E0%B8%A1%20%E0%B8%AD%E0%B8%B4%E0%B8%A1%E0%B9%80%E0%B8%9E%E0%B8%A3%E0%B8%AA%20%E0%B8%AB%E0%B9%89%E0%B8%A7%E0%B8%A2%E0%B8%82%E0%B8%A7%E0%B8%B2%E0%B8%87%20%E0%B8%81%E0%B8%A3%E0%B8%B8%E0%B8%87%E0%B9%80%E0%B8%97%E0%B8%9E%E0%B8%A1%E0%B8%AB%E0%B8%B2%E0%B8%99%E0%B8%84%E0%B8%A3</x:v>
      </x:c>
      <x:c r="Z114" s="56" t="n">
        <x:v>13.78437</x:v>
      </x:c>
      <x:c r="AA114" s="56" t="n">
        <x:v>100.56764</x:v>
      </x:c>
      <x:c r="AB114" s="57" t="str"/>
      <x:c r="AC114" s="20" t="str">
        <x:v>https://www.thic.or.th/th/tourist/detail/accommodation/719</x:v>
      </x:c>
    </x:row>
    <x:row r="115" ht="88" customHeight="1">
      <x:c r="A115" s="54" t="n">
        <x:v>107</x:v>
      </x:c>
      <x:c r="B115" s="20" t="str">
        <x:v>โรงแรม เจทูเอส ประตูน้ำ</x:v>
      </x:c>
      <x:c r="C115" s="20" t="str">
        <x:v>กรุงเทพมหานคร</x:v>
      </x:c>
      <x:c r="D115" s="20" t="str">
        <x:v>โรงแรมหรือรีสอร์ท</x:v>
      </x:c>
      <x:c r="E115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5" s="20" t="str">
        <x:v>ไม่ทราบ</x:v>
      </x:c>
      <x:c r="G115" s="20" t="str">
        <x:v>ยังไม่พบเอกสารรับรองและวันหมดอายุ</x:v>
      </x:c>
      <x:c r="H115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5" s="20" t="str">
        <x:v>แขวงรองเมือง เขตปทุมวัน กรุงเทพมหานคร 10330</x:v>
      </x:c>
      <x:c r="J115" s="21" t="str">
        <x:v>Line :</x:v>
      </x:c>
      <x:c r="K115" s="51" t="str">
        <x:v>https://www.thic.or.th/th/tourist/detail/accommodation/734</x:v>
      </x:c>
      <x:c r="L115" s="51" t="str">
        <x:v>https://www.expedia.co.th/Bangkok-Hotels-J-Two-S-Pratunam-Hotel.h8032473.Hotel-Information?rfrr=HOT.HIS.question.link.click</x:v>
      </x:c>
      <x:c r="M115" s="20" t="str">
        <x:v>ผลค้นหาชื่อสัมพันธ์จากแหล่งเพิ่มเติม ต้องยืนยันสาขาและข้อมูลปัจจุบัน</x:v>
      </x:c>
      <x:c r="N115" s="28" t="n">
        <x:v>46315</x:v>
      </x:c>
      <x:c r="O115" s="57" t="str">
        <x:v>ยังไม่ตรวจ</x:v>
      </x:c>
      <x:c r="P115" s="57" t="str">
        <x:v>ยังไม่ติดต่อ</x:v>
      </x:c>
      <x:c r="Q115" s="20" t="str">
        <x:v>TMF-480</x:v>
      </x:c>
      <x:c r="R115" s="20" t="str"/>
      <x:c r="S115" s="20" t="str"/>
      <x:c r="T115" s="20" t="str">
        <x:v>https://www.thic.or.th/th/tourist/detail/accommodation/734</x:v>
      </x:c>
      <x:c r="U115" s="20" t="str"/>
      <x:c r="V115" s="20" t="str"/>
      <x:c r="W115" s="20" t="str"/>
      <x:c r="X115" s="20" t="str"/>
      <x:c r="Y115" s="20" t="str">
        <x:v>https://www.google.com/maps/search/?api=1&amp;query=%E0%B9%82%E0%B8%A3%E0%B8%87%E0%B9%81%E0%B8%A3%E0%B8%A1%20%E0%B9%80%E0%B8%88%E0%B8%97%E0%B8%B9%E0%B9%80%E0%B8%AD%E0%B8%AA%20%E0%B8%9B%E0%B8%A3%E0%B8%B0%E0%B8%95%E0%B8%B9%E0%B8%99%E0%B9%89%E0%B8%B3%20%E0%B8%81%E0%B8%A3%E0%B8%B8%E0%B8%87%E0%B9%80%E0%B8%97%E0%B8%9E%E0%B8%A1%E0%B8%AB%E0%B8%B2%E0%B8%99%E0%B8%84%E0%B8%A3</x:v>
      </x:c>
      <x:c r="Z115" s="56" t="n">
        <x:v>13.7552</x:v>
      </x:c>
      <x:c r="AA115" s="56" t="n">
        <x:v>100.5384</x:v>
      </x:c>
      <x:c r="AB115" s="57" t="str"/>
      <x:c r="AC115" s="20" t="str">
        <x:v>https://www.thic.or.th/th/tourist/detail/accommodation/734</x:v>
      </x:c>
    </x:row>
    <x:row r="116" ht="88" customHeight="1">
      <x:c r="A116" s="54" t="n">
        <x:v>108</x:v>
      </x:c>
      <x:c r="B116" s="20" t="str">
        <x:v>โรงแรม เดอะ คอตตอน ศาลาแดง</x:v>
      </x:c>
      <x:c r="C116" s="20" t="str">
        <x:v>กรุงเทพมหานคร</x:v>
      </x:c>
      <x:c r="D116" s="20" t="str">
        <x:v>โรงแรมหรือรีสอร์ท</x:v>
      </x:c>
      <x:c r="E116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6" s="20" t="str">
        <x:v>ไม่ทราบ</x:v>
      </x:c>
      <x:c r="G116" s="20" t="str">
        <x:v>ยังไม่พบเอกสารรับรองและวันหมดอายุ</x:v>
      </x:c>
      <x:c r="H116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6" s="20" t="str">
        <x:v>แขวงสีลม เขตสาทร กรุงเทพมหานคร 10500</x:v>
      </x:c>
      <x:c r="J116" s="21" t="str">
        <x:v>Line :</x:v>
      </x:c>
      <x:c r="K116" s="51" t="str">
        <x:v>https://www.thic.or.th/th/tourist/detail/accommodation/682</x:v>
      </x:c>
      <x:c r="L116" s="51" t="str">
        <x:v>https://www.google.co.th/travel/hotels/entity/ChoIh5ugpOfOruWUARoNL2cvMTFqM2hzMDd6bRAB</x:v>
      </x:c>
      <x:c r="M116" s="20" t="str">
        <x:v>ผลค้นหาชื่อสัมพันธ์จากแหล่งเพิ่มเติม ต้องยืนยันสาขาและข้อมูลปัจจุบัน</x:v>
      </x:c>
      <x:c r="N116" s="28" t="n">
        <x:v>46315</x:v>
      </x:c>
      <x:c r="O116" s="57" t="str">
        <x:v>ยังไม่ตรวจ</x:v>
      </x:c>
      <x:c r="P116" s="57" t="str">
        <x:v>ยังไม่ติดต่อ</x:v>
      </x:c>
      <x:c r="Q116" s="20" t="str">
        <x:v>TMF-483</x:v>
      </x:c>
      <x:c r="R116" s="20" t="str"/>
      <x:c r="S116" s="20" t="str"/>
      <x:c r="T116" s="20" t="str">
        <x:v>https://www.thic.or.th/th/tourist/detail/accommodation/682</x:v>
      </x:c>
      <x:c r="U116" s="20" t="str"/>
      <x:c r="V116" s="20" t="str"/>
      <x:c r="W116" s="20" t="str"/>
      <x:c r="X116" s="20" t="str"/>
      <x:c r="Y116" s="20" t="str">
        <x:v>https://www.google.com/maps/search/?api=1&amp;query=%E0%B9%82%E0%B8%A3%E0%B8%87%E0%B9%81%E0%B8%A3%E0%B8%A1%20%E0%B9%80%E0%B8%94%E0%B8%AD%E0%B8%B0%20%E0%B8%84%E0%B8%AD%E0%B8%95%E0%B8%95%E0%B8%AD%E0%B8%99%20%E0%B8%A8%E0%B8%B2%E0%B8%A5%E0%B8%B2%E0%B9%81%E0%B8%94%E0%B8%87%20%E0%B8%81%E0%B8%A3%E0%B8%B8%E0%B8%87%E0%B9%80%E0%B8%97%E0%B8%9E%E0%B8%A1%E0%B8%AB%E0%B8%B2%E0%B8%99%E0%B8%84%E0%B8%A3</x:v>
      </x:c>
      <x:c r="Z116" s="56" t="n">
        <x:v>13.72599</x:v>
      </x:c>
      <x:c r="AA116" s="56" t="n">
        <x:v>100.54178</x:v>
      </x:c>
      <x:c r="AB116" s="57" t="str"/>
      <x:c r="AC116" s="20" t="str">
        <x:v>https://www.thic.or.th/th/tourist/detail/accommodation/682</x:v>
      </x:c>
    </x:row>
    <x:row r="117" ht="88" customHeight="1">
      <x:c r="A117" s="54" t="n">
        <x:v>109</x:v>
      </x:c>
      <x:c r="B117" s="20" t="str">
        <x:v>โรงแรม เดอะ สยาม</x:v>
      </x:c>
      <x:c r="C117" s="20" t="str">
        <x:v>กรุงเทพมหานคร</x:v>
      </x:c>
      <x:c r="D117" s="20" t="str">
        <x:v>โรงแรมหรือรีสอร์ท</x:v>
      </x:c>
      <x:c r="E117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7" s="20" t="str">
        <x:v>ไม่ทราบ</x:v>
      </x:c>
      <x:c r="G117" s="20" t="str">
        <x:v>ยังไม่พบเอกสารรับรองและวันหมดอายุ</x:v>
      </x:c>
      <x:c r="H117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7" s="20" t="str">
        <x:v>แขวงคลองสาน เขตคลองสาน กรุงเทพมหานคร 10600</x:v>
      </x:c>
      <x:c r="J117" s="21" t="str">
        <x:v>Line :</x:v>
      </x:c>
      <x:c r="K117" s="51" t="str">
        <x:v>https://www.thic.or.th/th/tourist/detail/accommodation/668</x:v>
      </x:c>
      <x:c r="L117" s="51" t="str">
        <x:v>https://th.tripadvisor.com/Hotel_Review-g293916-d2553477-Reviews-The_Siam-Bangkok.html</x:v>
      </x:c>
      <x:c r="M117" s="20" t="str">
        <x:v>ผลค้นหาชื่อสัมพันธ์จากแหล่งเพิ่มเติม ต้องยืนยันสาขาและข้อมูลปัจจุบัน</x:v>
      </x:c>
      <x:c r="N117" s="28" t="n">
        <x:v>46315</x:v>
      </x:c>
      <x:c r="O117" s="57" t="str">
        <x:v>ยังไม่ตรวจ</x:v>
      </x:c>
      <x:c r="P117" s="57" t="str">
        <x:v>ยังไม่ติดต่อ</x:v>
      </x:c>
      <x:c r="Q117" s="20" t="str">
        <x:v>TMF-484</x:v>
      </x:c>
      <x:c r="R117" s="20" t="str"/>
      <x:c r="S117" s="20" t="str"/>
      <x:c r="T117" s="20" t="str">
        <x:v>https://www.thic.or.th/th/tourist/detail/accommodation/668</x:v>
      </x:c>
      <x:c r="U117" s="20" t="str"/>
      <x:c r="V117" s="20" t="str"/>
      <x:c r="W117" s="20" t="str"/>
      <x:c r="X117" s="20" t="str"/>
      <x:c r="Y117" s="20" t="str">
        <x:v>https://www.google.com/maps/search/?api=1&amp;query=%E0%B9%82%E0%B8%A3%E0%B8%87%E0%B9%81%E0%B8%A3%E0%B8%A1%20%E0%B9%80%E0%B8%94%E0%B8%AD%E0%B8%B0%20%E0%B8%AA%E0%B8%A2%E0%B8%B2%E0%B8%A1%20%E0%B8%81%E0%B8%A3%E0%B8%B8%E0%B8%87%E0%B9%80%E0%B8%97%E0%B8%9E%E0%B8%A1%E0%B8%AB%E0%B8%B2%E0%B8%99%E0%B8%84%E0%B8%A3</x:v>
      </x:c>
      <x:c r="Z117" s="56" t="n">
        <x:v>13.78114</x:v>
      </x:c>
      <x:c r="AA117" s="56" t="n">
        <x:v>100.50599</x:v>
      </x:c>
      <x:c r="AB117" s="57" t="str"/>
      <x:c r="AC117" s="20" t="str">
        <x:v>https://www.thic.or.th/th/tourist/detail/accommodation/668</x:v>
      </x:c>
    </x:row>
    <x:row r="118" ht="88" customHeight="1">
      <x:c r="A118" s="54" t="n">
        <x:v>110</x:v>
      </x:c>
      <x:c r="B118" s="20" t="str">
        <x:v>โรงแรม เดอะ เซนต์ รีจิส กรุงเทพ</x:v>
      </x:c>
      <x:c r="C118" s="20" t="str">
        <x:v>กรุงเทพมหานคร</x:v>
      </x:c>
      <x:c r="D118" s="20" t="str">
        <x:v>โรงแรมหรือรีสอร์ท</x:v>
      </x:c>
      <x:c r="E118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8" s="20" t="str">
        <x:v>ไม่ทราบ</x:v>
      </x:c>
      <x:c r="G118" s="20" t="str">
        <x:v>ยังไม่พบเอกสารรับรองและวันหมดอายุ</x:v>
      </x:c>
      <x:c r="H118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8" s="20" t="str">
        <x:v>แขวงทุ่งวัดดอน เขตสาทร กรุงเทพมหานคร 10120</x:v>
      </x:c>
      <x:c r="J118" s="21" t="str">
        <x:v>Line :</x:v>
      </x:c>
      <x:c r="K118" s="51" t="str">
        <x:v>https://www.thic.or.th/th/tourist/detail/accommodation/690</x:v>
      </x:c>
      <x:c r="L118" s="51" t="str">
        <x:v>https://www.booking.com/hotel/th/the-st-regis-bangkok.th.html</x:v>
      </x:c>
      <x:c r="M118" s="20" t="str">
        <x:v>ผลค้นหาชื่อสัมพันธ์จากแหล่งเพิ่มเติม ต้องยืนยันสาขาและข้อมูลปัจจุบัน</x:v>
      </x:c>
      <x:c r="N118" s="28" t="n">
        <x:v>46315</x:v>
      </x:c>
      <x:c r="O118" s="57" t="str">
        <x:v>ยังไม่ตรวจ</x:v>
      </x:c>
      <x:c r="P118" s="57" t="str">
        <x:v>ยังไม่ติดต่อ</x:v>
      </x:c>
      <x:c r="Q118" s="20" t="str">
        <x:v>TMF-485</x:v>
      </x:c>
      <x:c r="R118" s="20" t="str"/>
      <x:c r="S118" s="20" t="str"/>
      <x:c r="T118" s="20" t="str">
        <x:v>https://www.thic.or.th/th/tourist/detail/accommodation/690</x:v>
      </x:c>
      <x:c r="U118" s="20" t="str"/>
      <x:c r="V118" s="20" t="str"/>
      <x:c r="W118" s="20" t="str"/>
      <x:c r="X118" s="20" t="str"/>
      <x:c r="Y118" s="20" t="str">
        <x:v>https://www.google.com/maps/search/?api=1&amp;query=%E0%B9%82%E0%B8%A3%E0%B8%87%E0%B9%81%E0%B8%A3%E0%B8%A1%20%E0%B9%80%E0%B8%94%E0%B8%AD%E0%B8%B0%20%E0%B9%80%E0%B8%8B%E0%B8%99%E0%B8%95%E0%B9%8C%20%E0%B8%A3%E0%B8%B5%E0%B8%88%E0%B8%B4%E0%B8%AA%20%E0%B8%81%E0%B8%A3%E0%B8%B8%E0%B8%87%E0%B9%80%E0%B8%97%E0%B8%9E%20%E0%B8%81%E0%B8%A3%E0%B8%B8%E0%B8%87%E0%B9%80%E0%B8%97%E0%B8%9E%E0%B8%A1%E0%B8%AB%E0%B8%B2%E0%B8%99%E0%B8%84%E0%B8%A3</x:v>
      </x:c>
      <x:c r="Z118" s="56" t="n">
        <x:v>13.73999</x:v>
      </x:c>
      <x:c r="AA118" s="56" t="n">
        <x:v>100.53988</x:v>
      </x:c>
      <x:c r="AB118" s="57" t="str"/>
      <x:c r="AC118" s="20" t="str">
        <x:v>https://www.thic.or.th/th/tourist/detail/accommodation/690</x:v>
      </x:c>
    </x:row>
    <x:row r="119" ht="88" customHeight="1">
      <x:c r="A119" s="54" t="n">
        <x:v>111</x:v>
      </x:c>
      <x:c r="B119" s="20" t="str">
        <x:v>โรงแรม เอส รัชดา เลเชอร์</x:v>
      </x:c>
      <x:c r="C119" s="20" t="str">
        <x:v>กรุงเทพมหานคร</x:v>
      </x:c>
      <x:c r="D119" s="20" t="str">
        <x:v>โรงแรมหรือรีสอร์ท</x:v>
      </x:c>
      <x:c r="E119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19" s="20" t="str">
        <x:v>ไม่ทราบ</x:v>
      </x:c>
      <x:c r="G119" s="20" t="str">
        <x:v>ยังไม่พบเอกสารรับรองและวันหมดอายุ</x:v>
      </x:c>
      <x:c r="H119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19" s="20" t="str">
        <x:v>แขวงคลองเตยเหนือ เขตวัฒนา กรุงเทพมหานคร 10110</x:v>
      </x:c>
      <x:c r="J119" s="21" t="str">
        <x:v>Line :</x:v>
      </x:c>
      <x:c r="K119" s="51" t="str">
        <x:v>https://www.thic.or.th/th/tourist/detail/accommodation/723</x:v>
      </x:c>
      <x:c r="L119" s="51" t="str">
        <x:v>https://www.google.co.th/travel/hotels/entity/CgsI5tK_pZSH8IjsARAB?rp=OAHCAhwiGg0AAEhCEhMI1cakw-_MlgMVNrIDAB2YBhP2&amp;ts=CAESCgoCCAMKAggDEAAaIAoCGgASGhIUCgcI6g8QCxgGEgcI6g8QCxgNGAcyAhAAKgkKBToDVVNEGgA</x:v>
      </x:c>
      <x:c r="M119" s="20" t="str">
        <x:v>ผลค้นหาชื่อสัมพันธ์จากแหล่งเพิ่มเติม ต้องยืนยันสาขาและข้อมูลปัจจุบัน</x:v>
      </x:c>
      <x:c r="N119" s="28" t="n">
        <x:v>46315</x:v>
      </x:c>
      <x:c r="O119" s="57" t="str">
        <x:v>ยังไม่ตรวจ</x:v>
      </x:c>
      <x:c r="P119" s="57" t="str">
        <x:v>ยังไม่ติดต่อ</x:v>
      </x:c>
      <x:c r="Q119" s="20" t="str">
        <x:v>TMF-486</x:v>
      </x:c>
      <x:c r="R119" s="20" t="str"/>
      <x:c r="S119" s="20" t="str"/>
      <x:c r="T119" s="20" t="str">
        <x:v>https://www.thic.or.th/th/tourist/detail/accommodation/723</x:v>
      </x:c>
      <x:c r="U119" s="20" t="str"/>
      <x:c r="V119" s="20" t="str"/>
      <x:c r="W119" s="20" t="str"/>
      <x:c r="X119" s="20" t="str"/>
      <x:c r="Y119" s="20" t="str">
        <x:v>https://www.google.com/maps/search/?api=1&amp;query=%E0%B9%82%E0%B8%A3%E0%B8%87%E0%B9%81%E0%B8%A3%E0%B8%A1%20%E0%B9%80%E0%B8%AD%E0%B8%AA%20%E0%B8%A3%E0%B8%B1%E0%B8%8A%E0%B8%94%E0%B8%B2%20%E0%B9%80%E0%B8%A5%E0%B9%80%E0%B8%8A%E0%B8%AD%E0%B8%A3%E0%B9%8C%20%E0%B8%81%E0%B8%A3%E0%B8%B8%E0%B8%87%E0%B9%80%E0%B8%97%E0%B8%9E%E0%B8%A1%E0%B8%AB%E0%B8%B2%E0%B8%99%E0%B8%84%E0%B8%A3</x:v>
      </x:c>
      <x:c r="Z119" s="56" t="n">
        <x:v>13.76686</x:v>
      </x:c>
      <x:c r="AA119" s="56" t="n">
        <x:v>100.58292</x:v>
      </x:c>
      <x:c r="AB119" s="57" t="str"/>
      <x:c r="AC119" s="20" t="str">
        <x:v>https://www.thic.or.th/th/tourist/detail/accommodation/723</x:v>
      </x:c>
    </x:row>
    <x:row r="120" ht="88" customHeight="1">
      <x:c r="A120" s="54" t="n">
        <x:v>112</x:v>
      </x:c>
      <x:c r="B120" s="20" t="str">
        <x:v>โรงแรมดับเบิ้ลยู กรุงเทพ</x:v>
      </x:c>
      <x:c r="C120" s="20" t="str">
        <x:v>กรุงเทพมหานคร</x:v>
      </x:c>
      <x:c r="D120" s="20" t="str">
        <x:v>โรงแรมหรือรีสอร์ท</x:v>
      </x:c>
      <x:c r="E120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120" s="20" t="str">
        <x:v>ไม่ทราบ</x:v>
      </x:c>
      <x:c r="G120" s="20" t="str">
        <x:v>ยังไม่พบเอกสารรับรองและวันหมดอายุ</x:v>
      </x:c>
      <x:c r="H120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120" s="20" t="str">
        <x:v>แขวง*พระโขนง เขตพระโขนง กรุงเทพมหานคร 10110</x:v>
      </x:c>
      <x:c r="J120" s="21" t="str">
        <x:v>Line :</x:v>
      </x:c>
      <x:c r="K120" s="51" t="str">
        <x:v>https://www.thic.or.th/th/tourist/detail/accommodation/649</x:v>
      </x:c>
      <x:c r="L120" s="51" t="str">
        <x:v>https://www.booking.com/hotel/th/w-bangkok.th.html</x:v>
      </x:c>
      <x:c r="M120" s="20" t="str">
        <x:v>ผลค้นหาชื่อสัมพันธ์จากแหล่งเพิ่มเติม ต้องยืนยันสาขาและข้อมูลปัจจุบัน</x:v>
      </x:c>
      <x:c r="N120" s="28" t="n">
        <x:v>46315</x:v>
      </x:c>
      <x:c r="O120" s="57" t="str">
        <x:v>ยังไม่ตรวจ</x:v>
      </x:c>
      <x:c r="P120" s="57" t="str">
        <x:v>ยังไม่ติดต่อ</x:v>
      </x:c>
      <x:c r="Q120" s="20" t="str">
        <x:v>TMF-487</x:v>
      </x:c>
      <x:c r="R120" s="20" t="str"/>
      <x:c r="S120" s="20" t="str"/>
      <x:c r="T120" s="20" t="str">
        <x:v>https://www.thic.or.th/th/tourist/detail/accommodation/649</x:v>
      </x:c>
      <x:c r="U120" s="20" t="str"/>
      <x:c r="V120" s="20" t="str"/>
      <x:c r="W120" s="20" t="str"/>
      <x:c r="X120" s="20" t="str"/>
      <x:c r="Y120" s="20" t="str">
        <x:v>https://www.google.com/maps/search/?api=1&amp;query=%E0%B9%82%E0%B8%A3%E0%B8%87%E0%B9%81%E0%B8%A3%E0%B8%A1%E0%B8%94%E0%B8%B1%E0%B8%9A%E0%B9%80%E0%B8%9A%E0%B8%B4%E0%B9%89%E0%B8%A5%E0%B8%A2%E0%B8%B9%20%E0%B8%81%E0%B8%A3%E0%B8%B8%E0%B8%87%E0%B9%80%E0%B8%97%E0%B8%9E%20%E0%B8%81%E0%B8%A3%E0%B8%B8%E0%B8%87%E0%B9%80%E0%B8%97%E0%B8%9E%E0%B8%A1%E0%B8%AB%E0%B8%B2%E0%B8%99%E0%B8%84%E0%B8%A3</x:v>
      </x:c>
      <x:c r="Z120" s="56" t="str"/>
      <x:c r="AA120" s="56" t="str"/>
      <x:c r="AB120" s="57" t="str"/>
      <x:c r="AC120" s="20" t="str">
        <x:v>https://www.thic.or.th/th/tourist/detail/accommodation/649</x:v>
      </x:c>
    </x:row>
    <x:row r="121" ht="88" customHeight="1">
      <x:c r="A121" s="54" t="n">
        <x:v>113</x:v>
      </x:c>
      <x:c r="B121" s="20" t="str">
        <x:v>โรงแรมบ้านเจ้าคุณ เคหะร่มเกล้า</x:v>
      </x:c>
      <x:c r="C121" s="20" t="str">
        <x:v>กรุงเทพมหานคร</x:v>
      </x:c>
      <x:c r="D121" s="20" t="str">
        <x:v>โรงแรมหรือรีสอร์ท</x:v>
      </x:c>
      <x:c r="E121" s="20" t="str">
        <x:v>Makan Verify; ระบุมีห้องละหมาด</x:v>
      </x:c>
      <x:c r="F121" s="20" t="str">
        <x:v>มีข้อมูลระบุ แต่รอยืนยัน</x:v>
      </x:c>
      <x:c r="G121" s="20" t="str">
        <x:v>ยังไม่พบเอกสารรับรองและวันหมดอายุ</x:v>
      </x:c>
      <x:c r="H12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1" s="20" t="str">
        <x:v>1253 1 ถ. เคหะร่มเกล้า แขวงคลองสองต้นนุ่น เขตลาดกระบัง กรุงเทพมหานคร 10520</x:v>
      </x:c>
      <x:c r="J121" s="21" t="str">
        <x:v>0927502000</x:v>
      </x:c>
      <x:c r="K121" s="51" t="str">
        <x:v>https://makanhalalguide.com/shop/detail/6104</x:v>
      </x:c>
      <x:c r="L121" s="51" t="str">
        <x:v>https://www.renthub.in.th/%E0%B9%82%E0%B8%A3%E0%B8%87%E0%B9%81%E0%B8%A3%E0%B8%A1%E0%B8%9A%E0%B9%89%E0%B8%B2%E0%B8%99%E0%B9%80%E0%B8%88%E0%B9%89%E0%B8%B2%E0%B8%84%E0%B8%B8%E0%B8%93</x:v>
      </x:c>
      <x:c r="M121" s="20" t="str">
        <x:v>ผลค้นหาชื่อสัมพันธ์จากแหล่งเพิ่มเติม ต้องยืนยันสาขาและข้อมูลปัจจุบัน</x:v>
      </x:c>
      <x:c r="N121" s="28" t="n">
        <x:v>46315</x:v>
      </x:c>
      <x:c r="O121" s="57" t="str">
        <x:v>ยังไม่ตรวจ</x:v>
      </x:c>
      <x:c r="P121" s="57" t="str">
        <x:v>ยังไม่ติดต่อ</x:v>
      </x:c>
      <x:c r="Q121" s="20" t="str">
        <x:v>TMF-043</x:v>
      </x:c>
      <x:c r="R121" s="20" t="str"/>
      <x:c r="S121" s="20" t="str"/>
      <x:c r="T121" s="20" t="str">
        <x:v>https://makanhalalguide.com/shop/detail/6104</x:v>
      </x:c>
      <x:c r="U121" s="20" t="str"/>
      <x:c r="V121" s="20" t="str"/>
      <x:c r="W121" s="20" t="str"/>
      <x:c r="X121" s="20" t="str"/>
      <x:c r="Y121" s="20" t="str">
        <x:v>https://www.google.com/maps/search/?api=1&amp;query=%E0%B9%82%E0%B8%A3%E0%B8%87%E0%B9%81%E0%B8%A3%E0%B8%A1%E0%B8%9A%E0%B9%89%E0%B8%B2%E0%B8%99%E0%B9%80%E0%B8%88%E0%B9%89%E0%B8%B2%E0%B8%84%E0%B8%B8%E0%B8%93%20%E0%B9%80%E0%B8%84%E0%B8%AB%E0%B8%B0%E0%B8%A3%E0%B9%88%E0%B8%A1%E0%B9%80%E0%B8%81%E0%B8%A5%E0%B9%89%E0%B8%B2%20%E0%B8%81%E0%B8%A3%E0%B8%B8%E0%B8%87%E0%B9%80%E0%B8%97%E0%B8%9E%E0%B8%A1%E0%B8%AB%E0%B8%B2%E0%B8%99%E0%B8%84%E0%B8%A3</x:v>
      </x:c>
      <x:c r="Z121" s="56" t="n">
        <x:v>13.767304</x:v>
      </x:c>
      <x:c r="AA121" s="56" t="n">
        <x:v>100.719789</x:v>
      </x:c>
      <x:c r="AB121" s="57" t="str"/>
      <x:c r="AC121" s="20" t="str">
        <x:v>https://makanhalalguide.com/shop/detail/6104</x:v>
      </x:c>
    </x:row>
    <x:row r="122" ht="88" customHeight="1">
      <x:c r="A122" s="54" t="n">
        <x:v>114</x:v>
      </x:c>
      <x:c r="B122" s="20" t="str">
        <x:v>Abu Ali Cuisine By Iraqi Restaurant</x:v>
      </x:c>
      <x:c r="C122" s="20" t="str">
        <x:v>กรุงเทพมหานคร</x:v>
      </x:c>
      <x:c r="D122" s="20" t="str">
        <x:v>ร้านอาหาร</x:v>
      </x:c>
      <x:c r="E122" s="20" t="str">
        <x:v>Makan Verify; ระบุมีห้องละหมาด</x:v>
      </x:c>
      <x:c r="F122" s="20" t="str">
        <x:v>มีข้อมูลระบุ แต่รอยืนยัน</x:v>
      </x:c>
      <x:c r="G122" s="20" t="str">
        <x:v>ยังไม่พบเอกสารรับรองและวันหมดอายุ</x:v>
      </x:c>
      <x:c r="H12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2" s="20" t="str">
        <x:v>181 ห้อง B4 โครงการ ECO PARK พัฒนาการ 32 แขวง/เขต สวนหลวง กรุงเทพ 10250</x:v>
      </x:c>
      <x:c r="J122" s="21" t="str">
        <x:v>0970899994</x:v>
      </x:c>
      <x:c r="K122" s="51" t="str">
        <x:v>https://makanhalalguide.com/shop/detail/6100</x:v>
      </x:c>
      <x:c r="L122" s="51" t="str">
        <x:v>https://www.wongnai.com/restaurants/3287656yj-abu-ali-cuisine-by-iraqi-restaurant-%D9%85%D8%B7%D8%B9%D9%85-%D8%A3%D8%A8%D9%88-%D8%B9%D9%84%D9%8A</x:v>
      </x:c>
      <x:c r="M122" s="20" t="str">
        <x:v>ผลค้นหาชื่อสัมพันธ์จากแหล่งเพิ่มเติม ต้องยืนยันสาขาและข้อมูลปัจจุบัน</x:v>
      </x:c>
      <x:c r="N122" s="28" t="n">
        <x:v>46315</x:v>
      </x:c>
      <x:c r="O122" s="57" t="str">
        <x:v>ยังไม่ตรวจ</x:v>
      </x:c>
      <x:c r="P122" s="57" t="str">
        <x:v>ยังไม่ติดต่อ</x:v>
      </x:c>
      <x:c r="Q122" s="20" t="str">
        <x:v>TMF-045</x:v>
      </x:c>
      <x:c r="R122" s="20" t="str">
        <x:v>Abu Ali Cuisine By Iraqi Restaurant</x:v>
      </x:c>
      <x:c r="S122" s="20" t="str"/>
      <x:c r="T122" s="20" t="str">
        <x:v>https://makanhalalguide.com/shop/detail/6100</x:v>
      </x:c>
      <x:c r="U122" s="20" t="str"/>
      <x:c r="V122" s="20" t="str"/>
      <x:c r="W122" s="20" t="str"/>
      <x:c r="X122" s="20" t="str"/>
      <x:c r="Y122" s="20" t="str">
        <x:v>https://www.google.com/maps/search/?api=1&amp;query=Abu%20Ali%20Cuisine%20By%20Iraqi%20Restaurant%20%E0%B8%81%E0%B8%A3%E0%B8%B8%E0%B8%87%E0%B9%80%E0%B8%97%E0%B8%9E%E0%B8%A1%E0%B8%AB%E0%B8%B2%E0%B8%99%E0%B8%84%E0%B8%A3</x:v>
      </x:c>
      <x:c r="Z122" s="56" t="n">
        <x:v>13.716325</x:v>
      </x:c>
      <x:c r="AA122" s="56" t="n">
        <x:v>100.696732</x:v>
      </x:c>
      <x:c r="AB122" s="57" t="str"/>
      <x:c r="AC122" s="20" t="str">
        <x:v>https://makanhalalguide.com/shop/detail/6100</x:v>
      </x:c>
    </x:row>
    <x:row r="123" ht="88" customHeight="1">
      <x:c r="A123" s="54" t="n">
        <x:v>115</x:v>
      </x:c>
      <x:c r="B123" s="20" t="str">
        <x:v>Alinga Tea &amp; Dining - อลิงก้า</x:v>
      </x:c>
      <x:c r="C123" s="20" t="str">
        <x:v>กรุงเทพมหานคร</x:v>
      </x:c>
      <x:c r="D123" s="20" t="str">
        <x:v>ร้านอาหาร</x:v>
      </x:c>
      <x:c r="E123" s="20" t="str">
        <x:v>Makan Verify; ระบุมีห้องละหมาด</x:v>
      </x:c>
      <x:c r="F123" s="20" t="str">
        <x:v>มีข้อมูลระบุ แต่รอยืนยัน</x:v>
      </x:c>
      <x:c r="G123" s="20" t="str">
        <x:v>ยังไม่พบเอกสารรับรองและวันหมดอายุ</x:v>
      </x:c>
      <x:c r="H12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3" s="20" t="str">
        <x:v>ซอยอับดุรเราะฮ์มาน (ริมถนนพระราม 9 อยู่ถัดจากซอยพระรามเก้า 39 ประมาณ 100 ม.) ถนนพระราม 9 แขวงหัวหมาก เขตบางกะปิ กรุงเทพมหานคร 10240</x:v>
      </x:c>
      <x:c r="J123" s="21" t="str">
        <x:v>0661681277</x:v>
      </x:c>
      <x:c r="K123" s="51" t="str">
        <x:v>https://makanhalalguide.com/shop/detail/5347</x:v>
      </x:c>
      <x:c r="L123" s="51" t="str">
        <x:v>https://www.wongnai.com/restaurants/3230208Qb-alinga-tea-dining-%E0%B8%AD%E0%B8%A5%E0%B8%B4%E0%B8%87%E0%B8%81%E0%B8%B2</x:v>
      </x:c>
      <x:c r="M123" s="20" t="str">
        <x:v>ผลค้นหาชื่อสัมพันธ์จากแหล่งเพิ่มเติม ต้องยืนยันสาขาและข้อมูลปัจจุบัน</x:v>
      </x:c>
      <x:c r="N123" s="28" t="n">
        <x:v>46315</x:v>
      </x:c>
      <x:c r="O123" s="57" t="str">
        <x:v>ยังไม่ตรวจ</x:v>
      </x:c>
      <x:c r="P123" s="57" t="str">
        <x:v>ยังไม่ติดต่อ</x:v>
      </x:c>
      <x:c r="Q123" s="20" t="str">
        <x:v>TMF-046</x:v>
      </x:c>
      <x:c r="R123" s="20" t="str"/>
      <x:c r="S123" s="20" t="str"/>
      <x:c r="T123" s="20" t="str">
        <x:v>https://makanhalalguide.com/shop/detail/5347</x:v>
      </x:c>
      <x:c r="U123" s="20" t="str"/>
      <x:c r="V123" s="20" t="str"/>
      <x:c r="W123" s="20" t="str"/>
      <x:c r="X123" s="20" t="str"/>
      <x:c r="Y123" s="20" t="str">
        <x:v>https://www.google.com/maps/search/?api=1&amp;query=Alinga%20Tea%20%26%20Dining%20-%20%E0%B8%AD%E0%B8%A5%E0%B8%B4%E0%B8%87%E0%B8%81%E0%B9%89%E0%B8%B2%20%E0%B8%81%E0%B8%A3%E0%B8%B8%E0%B8%87%E0%B9%80%E0%B8%97%E0%B8%9E%E0%B8%A1%E0%B8%AB%E0%B8%B2%E0%B8%99%E0%B8%84%E0%B8%A3</x:v>
      </x:c>
      <x:c r="Z123" s="56" t="n">
        <x:v>13.744504</x:v>
      </x:c>
      <x:c r="AA123" s="56" t="n">
        <x:v>100.611394</x:v>
      </x:c>
      <x:c r="AB123" s="57" t="str"/>
      <x:c r="AC123" s="20" t="str">
        <x:v>https://makanhalalguide.com/shop/detail/5347</x:v>
      </x:c>
    </x:row>
    <x:row r="124" ht="88" customHeight="1">
      <x:c r="A124" s="54" t="n">
        <x:v>116</x:v>
      </x:c>
      <x:c r="B124" s="20" t="str">
        <x:v>Bi'halalika Roti &amp; Bistro</x:v>
      </x:c>
      <x:c r="C124" s="20" t="str">
        <x:v>กรุงเทพมหานคร</x:v>
      </x:c>
      <x:c r="D124" s="20" t="str">
        <x:v>ร้านอาหารและคาเฟ่</x:v>
      </x:c>
      <x:c r="E124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124" s="20" t="str">
        <x:v>มีข้อมูลระบุ แต่รอยืนยัน</x:v>
      </x:c>
      <x:c r="G124" s="20" t="str">
        <x:v>ทะเบียน GMHI 7 ดาว; ช่องใบรับรอง: ไม่ระบุ; ยังต้องยืนยันใบรับรองอาหารฮาลาลและวันหมดอายุแยกต่างหาก</x:v>
      </x:c>
      <x:c r="H124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ยังไม่ยืนยันวันที่โพสต์/รีวิวล่าสุดและการเปิดให้บริการปัจจุบัน</x:v>
      </x:c>
      <x:c r="I124" s="20" t="str">
        <x:v>796  ปากซอยปรีดีพนมยงค์32 ถ.สุขุมวิท71 แขวงคลองตันเหนือ  เขตวัฒนา , Bangkok, Thailand, 10110</x:v>
      </x:c>
      <x:c r="J124" s="21" t="str">
        <x:v>ยังไม่พบหรือยังไม่ยืนยัน</x:v>
      </x:c>
      <x:c r="K124" s="51" t="str">
        <x:v>https://gmhi.co/th-th/services/Bi%27halalika%20Roti%20%26%20Bistro-37</x:v>
      </x:c>
      <x:c r="L124" s="51" t="str">
        <x:v>https://th.tripadvisor.com/Restaurant_Review-g293916-d32710368-Reviews-Bi_halalika_Roti_Bistro-Bangkok.html</x:v>
      </x:c>
      <x:c r="M124" s="20" t="str">
        <x:v>ยังไม่ยืนยันวันที่โพสต์/รีวิวล่าสุดและการเปิดให้บริการปัจจุบัน</x:v>
      </x:c>
      <x:c r="N124" s="28" t="n">
        <x:v>46315</x:v>
      </x:c>
      <x:c r="O124" s="57" t="str">
        <x:v>ยังไม่ตรวจ</x:v>
      </x:c>
      <x:c r="P124" s="57" t="str">
        <x:v>ยังไม่ติดต่อ</x:v>
      </x:c>
      <x:c r="Q124" s="20" t="str">
        <x:v>GMHI-37</x:v>
      </x:c>
      <x:c r="R124" s="20" t="str">
        <x:v>Bi'halalika Roti &amp; Bistro</x:v>
      </x:c>
      <x:c r="S124" s="20" t="str"/>
      <x:c r="T124" s="20" t="str">
        <x:v>https://gmhi.co/th-th/services/Bi%27halalika%20Roti%20%26%20Bistro-37</x:v>
      </x:c>
      <x:c r="U124" s="20" t="str"/>
      <x:c r="V124" s="20" t="str"/>
      <x:c r="W124" s="20" t="str"/>
      <x:c r="X124" s="20" t="str"/>
      <x:c r="Y124" s="20" t="str">
        <x:v>https://www.google.com/maps/search/?api=1&amp;query=Bi%27halalika%20Roti%20%26%20Bistro%20%E0%B8%81%E0%B8%A3%E0%B8%B8%E0%B8%87%E0%B9%80%E0%B8%97%E0%B8%9E%E0%B8%A1%E0%B8%AB%E0%B8%B2%E0%B8%99%E0%B8%84%E0%B8%A3</x:v>
      </x:c>
      <x:c r="Z124" s="56" t="n">
        <x:v>13.7282375</x:v>
      </x:c>
      <x:c r="AA124" s="56" t="n">
        <x:v>100.5961688</x:v>
      </x:c>
      <x:c r="AB124" s="57" t="str"/>
      <x:c r="AC124" s="20" t="str">
        <x:v>https://gmhi.co/th-th/services/Bi%27halalika%20Roti%20%26%20Bistro-37</x:v>
      </x:c>
    </x:row>
    <x:row r="125" ht="88" customHeight="1">
      <x:c r="A125" s="54" t="n">
        <x:v>117</x:v>
      </x:c>
      <x:c r="B125" s="20" t="str">
        <x:v>Bigbeef Premium HALAL Buffet</x:v>
      </x:c>
      <x:c r="C125" s="20" t="str">
        <x:v>กรุงเทพมหานคร</x:v>
      </x:c>
      <x:c r="D125" s="20" t="str">
        <x:v>ร้านอาหาร</x:v>
      </x:c>
      <x:c r="E125" s="20" t="str">
        <x:v>Makan Verify; ระบุมีห้องละหมาด</x:v>
      </x:c>
      <x:c r="F125" s="20" t="str">
        <x:v>มีข้อมูลระบุ แต่รอยืนยัน</x:v>
      </x:c>
      <x:c r="G125" s="20" t="str">
        <x:v>ยังไม่พบเอกสารรับรองและวันหมดอายุ</x:v>
      </x:c>
      <x:c r="H12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5" s="20" t="str">
        <x:v>102 ถนน เชื่อมสัมพันธ์ แขวงกระทุ่มราย เขตหนองจอก กรุงเทพมหานคร 10530</x:v>
      </x:c>
      <x:c r="J125" s="21" t="str">
        <x:v>0653010902</x:v>
      </x:c>
      <x:c r="K125" s="51" t="str">
        <x:v>https://makanhalalguide.com/shop/detail/5495</x:v>
      </x:c>
      <x:c r="L125" s="51" t="str">
        <x:v>https://www.lemon8-app.com/%40lawaekni/7556956457258729992?region=th</x:v>
      </x:c>
      <x:c r="M125" s="20" t="str">
        <x:v>ผลค้นหาชื่อสัมพันธ์จากแหล่งเพิ่มเติม ต้องยืนยันสาขาและข้อมูลปัจจุบัน</x:v>
      </x:c>
      <x:c r="N125" s="28" t="n">
        <x:v>46315</x:v>
      </x:c>
      <x:c r="O125" s="57" t="str">
        <x:v>ยังไม่ตรวจ</x:v>
      </x:c>
      <x:c r="P125" s="57" t="str">
        <x:v>ยังไม่ติดต่อ</x:v>
      </x:c>
      <x:c r="Q125" s="20" t="str">
        <x:v>TMF-047</x:v>
      </x:c>
      <x:c r="R125" s="20" t="str">
        <x:v>Bigbeef Premium HALAL Buffet</x:v>
      </x:c>
      <x:c r="S125" s="20" t="str"/>
      <x:c r="T125" s="20" t="str">
        <x:v>https://makanhalalguide.com/shop/detail/5495</x:v>
      </x:c>
      <x:c r="U125" s="20" t="str"/>
      <x:c r="V125" s="20" t="str"/>
      <x:c r="W125" s="20" t="str"/>
      <x:c r="X125" s="20" t="str"/>
      <x:c r="Y125" s="20" t="str">
        <x:v>https://www.google.com/maps/search/?api=1&amp;query=Bigbeef%20Premium%20HALAL%20Buffet%20%E0%B8%81%E0%B8%A3%E0%B8%B8%E0%B8%87%E0%B9%80%E0%B8%97%E0%B8%9E%E0%B8%A1%E0%B8%AB%E0%B8%B2%E0%B8%99%E0%B8%84%E0%B8%A3</x:v>
      </x:c>
      <x:c r="Z125" s="56" t="n">
        <x:v>13.847263</x:v>
      </x:c>
      <x:c r="AA125" s="56" t="n">
        <x:v>100.858014</x:v>
      </x:c>
      <x:c r="AB125" s="57" t="str"/>
      <x:c r="AC125" s="20" t="str">
        <x:v>https://makanhalalguide.com/shop/detail/5495</x:v>
      </x:c>
    </x:row>
    <x:row r="126" ht="88" customHeight="1">
      <x:c r="A126" s="54" t="n">
        <x:v>118</x:v>
      </x:c>
      <x:c r="B126" s="20" t="str">
        <x:v>Good Mood  Cafe and Milk  Bar</x:v>
      </x:c>
      <x:c r="C126" s="20" t="str">
        <x:v>กรุงเทพมหานคร</x:v>
      </x:c>
      <x:c r="D126" s="20" t="str">
        <x:v>คาเฟ่และร้านของหวาน</x:v>
      </x:c>
      <x:c r="E126" s="20" t="str">
        <x:v>Makan Verify; ระบุมีห้องละหมาด</x:v>
      </x:c>
      <x:c r="F126" s="20" t="str">
        <x:v>มีข้อมูลระบุ แต่รอยืนยัน</x:v>
      </x:c>
      <x:c r="G126" s="20" t="str">
        <x:v>ยังไม่พบเอกสารรับรองและวันหมดอายุ</x:v>
      </x:c>
      <x:c r="H12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6" s="20" t="str">
        <x:v>ปากซอยสายไหม18 ถนนสายไหม แขวง/เขต สายไหม กรุงเทพฯ 10220</x:v>
      </x:c>
      <x:c r="J126" s="21" t="str">
        <x:v>0808302340</x:v>
      </x:c>
      <x:c r="K126" s="51" t="str">
        <x:v>https://makanhalalguide.com/shop/detail/5246</x:v>
      </x:c>
      <x:c r="L126" s="51" t="str">
        <x:v>https://restaurantguru.com/Good-Mood-Cafe-and-Milk-Bar-Bangkok</x:v>
      </x:c>
      <x:c r="M126" s="20" t="str">
        <x:v>ผลค้นหาชื่อสัมพันธ์จากแหล่งเพิ่มเติม ต้องยืนยันสาขาและข้อมูลปัจจุบัน</x:v>
      </x:c>
      <x:c r="N126" s="28" t="n">
        <x:v>46315</x:v>
      </x:c>
      <x:c r="O126" s="57" t="str">
        <x:v>ยังไม่ตรวจ</x:v>
      </x:c>
      <x:c r="P126" s="57" t="str">
        <x:v>ยังไม่ติดต่อ</x:v>
      </x:c>
      <x:c r="Q126" s="20" t="str">
        <x:v>TMF-049</x:v>
      </x:c>
      <x:c r="R126" s="20" t="str">
        <x:v>Good Mood  Cafe and Milk  Bar</x:v>
      </x:c>
      <x:c r="S126" s="20" t="str"/>
      <x:c r="T126" s="20" t="str">
        <x:v>https://makanhalalguide.com/shop/detail/5246</x:v>
      </x:c>
      <x:c r="U126" s="20" t="str"/>
      <x:c r="V126" s="20" t="str"/>
      <x:c r="W126" s="20" t="str"/>
      <x:c r="X126" s="20" t="str"/>
      <x:c r="Y126" s="20" t="str">
        <x:v>https://www.google.com/maps/search/?api=1&amp;query=Good%20Mood%20%20Cafe%20and%20Milk%20%20Bar%20%E0%B8%81%E0%B8%A3%E0%B8%B8%E0%B8%87%E0%B9%80%E0%B8%97%E0%B8%9E%E0%B8%A1%E0%B8%AB%E0%B8%B2%E0%B8%99%E0%B8%84%E0%B8%A3</x:v>
      </x:c>
      <x:c r="Z126" s="56" t="n">
        <x:v>13.921807</x:v>
      </x:c>
      <x:c r="AA126" s="56" t="n">
        <x:v>100.641106</x:v>
      </x:c>
      <x:c r="AB126" s="57" t="str"/>
      <x:c r="AC126" s="20" t="str">
        <x:v>https://makanhalalguide.com/shop/detail/5246</x:v>
      </x:c>
    </x:row>
    <x:row r="127" ht="88" customHeight="1">
      <x:c r="A127" s="54" t="n">
        <x:v>119</x:v>
      </x:c>
      <x:c r="B127" s="20" t="str">
        <x:v>Hilwah น้ำแซนวิชโบราณฮาลาล</x:v>
      </x:c>
      <x:c r="C127" s="20" t="str">
        <x:v>กรุงเทพมหานคร</x:v>
      </x:c>
      <x:c r="D127" s="20" t="str">
        <x:v>ร้านอาหาร</x:v>
      </x:c>
      <x:c r="E127" s="20" t="str">
        <x:v>Makan Verify; ระบุมีห้องละหมาด</x:v>
      </x:c>
      <x:c r="F127" s="20" t="str">
        <x:v>มีข้อมูลระบุ แต่รอยืนยัน</x:v>
      </x:c>
      <x:c r="G127" s="20" t="str">
        <x:v>ยังไม่พบเอกสารรับรองและวันหมดอายุ</x:v>
      </x:c>
      <x:c r="H12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7" s="20" t="str">
        <x:v>9 ซ.พีพาร์ค ถ.ศรีนครินทร์ พัฒนาการ สวนหลวง กทม. (เจอป้ายศูนย์อิสลามศึกษามัสยิดดาริสสลาม เลี้ยวซ้ายเข้ามาได้เลยค่ะ จอดรอใต้หอส้มได้ค่ะ มีตู้กดน้ำ)</x:v>
      </x:c>
      <x:c r="J127" s="21" t="str">
        <x:v>0649699884</x:v>
      </x:c>
      <x:c r="K127" s="51" t="str">
        <x:v>https://makanhalalguide.com/shop/detail/6164</x:v>
      </x:c>
      <x:c r="L127" s="51" t="str">
        <x:v>https://market.kapook.com/view-4fa8db18d000002</x:v>
      </x:c>
      <x:c r="M127" s="20" t="str">
        <x:v>ผลค้นหาชื่อสัมพันธ์จากแหล่งเพิ่มเติม ต้องยืนยันสาขาและข้อมูลปัจจุบัน</x:v>
      </x:c>
      <x:c r="N127" s="28" t="n">
        <x:v>46315</x:v>
      </x:c>
      <x:c r="O127" s="57" t="str">
        <x:v>ยังไม่ตรวจ</x:v>
      </x:c>
      <x:c r="P127" s="57" t="str">
        <x:v>ยังไม่ติดต่อ</x:v>
      </x:c>
      <x:c r="Q127" s="20" t="str">
        <x:v>TMF-245</x:v>
      </x:c>
      <x:c r="R127" s="20" t="str"/>
      <x:c r="S127" s="20" t="str"/>
      <x:c r="T127" s="20" t="str">
        <x:v>https://makanhalalguide.com/shop/detail/6164</x:v>
      </x:c>
      <x:c r="U127" s="20" t="str"/>
      <x:c r="V127" s="20" t="str"/>
      <x:c r="W127" s="20" t="str"/>
      <x:c r="X127" s="20" t="str"/>
      <x:c r="Y127" s="20" t="str">
        <x:v>https://www.google.com/maps/search/?api=1&amp;query=Hilwah%20%E0%B8%99%E0%B9%89%E0%B8%B3%E0%B9%81%E0%B8%8B%E0%B8%99%E0%B8%A7%E0%B8%B4%E0%B8%8A%E0%B9%82%E0%B8%9A%E0%B8%A3%E0%B8%B2%E0%B8%93%E0%B8%AE%E0%B8%B2%E0%B8%A5%E0%B8%B2%E0%B8%A5%20%E0%B8%81%E0%B8%A3%E0%B8%B8%E0%B8%87%E0%B9%80%E0%B8%97%E0%B8%9E%E0%B8%A1%E0%B8%AB%E0%B8%B2%E0%B8%99%E0%B8%84%E0%B8%A3</x:v>
      </x:c>
      <x:c r="Z127" s="56" t="n">
        <x:v>13.736754</x:v>
      </x:c>
      <x:c r="AA127" s="56" t="n">
        <x:v>100.643351</x:v>
      </x:c>
      <x:c r="AB127" s="57" t="str"/>
      <x:c r="AC127" s="20" t="str">
        <x:v>https://makanhalalguide.com/shop/detail/6164</x:v>
      </x:c>
    </x:row>
    <x:row r="128" ht="88" customHeight="1">
      <x:c r="A128" s="54" t="n">
        <x:v>120</x:v>
      </x:c>
      <x:c r="B128" s="20" t="str">
        <x:v>Jidrid Cafe</x:v>
      </x:c>
      <x:c r="C128" s="20" t="str">
        <x:v>กรุงเทพมหานคร</x:v>
      </x:c>
      <x:c r="D128" s="20" t="str">
        <x:v>คาเฟ่และร้านของหวาน</x:v>
      </x:c>
      <x:c r="E128" s="20" t="str">
        <x:v>Makan Verify; ระบุมีห้องละหมาด</x:v>
      </x:c>
      <x:c r="F128" s="20" t="str">
        <x:v>มีข้อมูลระบุ แต่รอยืนยัน</x:v>
      </x:c>
      <x:c r="G128" s="20" t="str">
        <x:v>ยังไม่พบเอกสารรับรองและวันหมดอายุ</x:v>
      </x:c>
      <x:c r="H12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28" s="20" t="str">
        <x:v>16 ซอยราษฎร์อุทิศ 23 แขวงแสนแสบ เขตมีนบุรี กรุงเทพมหานคร 10510</x:v>
      </x:c>
      <x:c r="J128" s="21" t="str">
        <x:v>0813037911</x:v>
      </x:c>
      <x:c r="K128" s="51" t="str">
        <x:v>https://makanhalalguide.com/shop/detail/5784</x:v>
      </x:c>
      <x:c r="L128" s="51" t="str">
        <x:v>https://restaurantguru.com/Jidrid-Cafe-Bangkok</x:v>
      </x:c>
      <x:c r="M128" s="20" t="str">
        <x:v>ผลค้นหาชื่อสัมพันธ์จากแหล่งเพิ่มเติม ต้องยืนยันสาขาและข้อมูลปัจจุบัน</x:v>
      </x:c>
      <x:c r="N128" s="28" t="n">
        <x:v>46315</x:v>
      </x:c>
      <x:c r="O128" s="57" t="str">
        <x:v>ยังไม่ตรวจ</x:v>
      </x:c>
      <x:c r="P128" s="57" t="str">
        <x:v>ยังไม่ติดต่อ</x:v>
      </x:c>
      <x:c r="Q128" s="20" t="str">
        <x:v>TMF-052</x:v>
      </x:c>
      <x:c r="R128" s="20" t="str">
        <x:v>Jidrid Cafe</x:v>
      </x:c>
      <x:c r="S128" s="20" t="str"/>
      <x:c r="T128" s="20" t="str">
        <x:v>https://makanhalalguide.com/shop/detail/5784</x:v>
      </x:c>
      <x:c r="U128" s="20" t="str"/>
      <x:c r="V128" s="20" t="str"/>
      <x:c r="W128" s="20" t="str"/>
      <x:c r="X128" s="20" t="str"/>
      <x:c r="Y128" s="20" t="str">
        <x:v>https://www.google.com/maps/search/?api=1&amp;query=Jidrid%20Cafe%20%E0%B8%81%E0%B8%A3%E0%B8%B8%E0%B8%87%E0%B9%80%E0%B8%97%E0%B8%9E%E0%B8%A1%E0%B8%AB%E0%B8%B2%E0%B8%99%E0%B8%84%E0%B8%A3</x:v>
      </x:c>
      <x:c r="Z128" s="56" t="n">
        <x:v>13.833001</x:v>
      </x:c>
      <x:c r="AA128" s="56" t="n">
        <x:v>100.772319</x:v>
      </x:c>
      <x:c r="AB128" s="57" t="str"/>
      <x:c r="AC128" s="20" t="str">
        <x:v>https://makanhalalguide.com/shop/detail/5784</x:v>
      </x:c>
    </x:row>
    <x:row r="129" ht="88" customHeight="1">
      <x:c r="A129" s="54" t="n">
        <x:v>121</x:v>
      </x:c>
      <x:c r="B129" s="20" t="str">
        <x:v>Just Salt Steak</x:v>
      </x:c>
      <x:c r="C129" s="20" t="str">
        <x:v>กรุงเทพมหานคร</x:v>
      </x:c>
      <x:c r="D129" s="20" t="str">
        <x:v>ร้านอาหารและคาเฟ่</x:v>
      </x:c>
      <x:c r="E129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129" s="20" t="str">
        <x:v>มีข้อมูลระบุ แต่รอยืนยัน</x:v>
      </x:c>
      <x:c r="G129" s="20" t="str">
        <x:v>ทะเบียน GMHI 5 ดาว; ช่องใบรับรอง: GMHI; ยังต้องยืนยันใบรับรองอาหารฮาลาลและวันหมดอายุแยกต่างหาก</x:v>
      </x:c>
      <x:c r="H129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129" s="20" t="str">
        <x:v>2nd floor, Plubpla, 123 Soi ramkmheang53, แขวงพลับพลา เขตวังทองหลาง กรุงเทพมหานคร 10310</x:v>
      </x:c>
      <x:c r="J129" s="21" t="str">
        <x:v>ยังไม่พบหรือยังไม่ยืนยัน</x:v>
      </x:c>
      <x:c r="K129" s="51" t="str">
        <x:v>https://gmhi.co/th-th/services/Just%20Salt%20Steak-33</x:v>
      </x:c>
      <x:c r="L129" s="51" t="str">
        <x:v>https://www.wongnai.com/restaurants/490824MB-the-grill-just-salt-steak</x:v>
      </x:c>
      <x:c r="M129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129" s="28" t="n">
        <x:v>46315</x:v>
      </x:c>
      <x:c r="O129" s="57" t="str">
        <x:v>ยังไม่ตรวจ</x:v>
      </x:c>
      <x:c r="P129" s="57" t="str">
        <x:v>ยังไม่ติดต่อ</x:v>
      </x:c>
      <x:c r="Q129" s="20" t="str">
        <x:v>GMHI-33</x:v>
      </x:c>
      <x:c r="R129" s="20" t="str">
        <x:v>Just Salt Steak</x:v>
      </x:c>
      <x:c r="S129" s="20" t="str"/>
      <x:c r="T129" s="20" t="str">
        <x:v>https://gmhi.co/th-th/services/Just%20Salt%20Steak-33</x:v>
      </x:c>
      <x:c r="U129" s="20" t="str"/>
      <x:c r="V129" s="20" t="str"/>
      <x:c r="W129" s="20" t="str"/>
      <x:c r="X129" s="20" t="str"/>
      <x:c r="Y129" s="20" t="str">
        <x:v>https://www.google.com/maps/search/?api=1&amp;query=Just%20Salt%20Steak%20%E0%B8%81%E0%B8%A3%E0%B8%B8%E0%B8%87%E0%B9%80%E0%B8%97%E0%B8%9E%E0%B8%A1%E0%B8%AB%E0%B8%B2%E0%B8%99%E0%B8%84%E0%B8%A3</x:v>
      </x:c>
      <x:c r="Z129" s="56" t="n">
        <x:v>13.7702512</x:v>
      </x:c>
      <x:c r="AA129" s="56" t="n">
        <x:v>100.6179321</x:v>
      </x:c>
      <x:c r="AB129" s="57" t="str"/>
      <x:c r="AC129" s="20" t="str">
        <x:v>https://gmhi.co/th-th/services/Just%20Salt%20Steak-33</x:v>
      </x:c>
    </x:row>
    <x:row r="130" ht="88" customHeight="1">
      <x:c r="A130" s="54" t="n">
        <x:v>122</x:v>
      </x:c>
      <x:c r="B130" s="20" t="str">
        <x:v>KIN YOUBI HALAL</x:v>
      </x:c>
      <x:c r="C130" s="20" t="str">
        <x:v>กรุงเทพมหานคร</x:v>
      </x:c>
      <x:c r="D130" s="20" t="str">
        <x:v>ร้านอาหาร</x:v>
      </x:c>
      <x:c r="E130" s="20" t="str">
        <x:v>Makan Verify; ระบุมีห้องละหมาด</x:v>
      </x:c>
      <x:c r="F130" s="20" t="str">
        <x:v>มีข้อมูลระบุ แต่รอยืนยัน</x:v>
      </x:c>
      <x:c r="G130" s="20" t="str">
        <x:v>ยังไม่พบเอกสารรับรองและวันหมดอายุ</x:v>
      </x:c>
      <x:c r="H13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0" s="20" t="str">
        <x:v>พระราม 9 ซอย 39/1 หรือ รามคำแหง 24 แยก 2 (ติดกับร้านระเบียงบัง) แขวงหัวหมาก บางกะปิ กรุงเทพมหานคร 10240</x:v>
      </x:c>
      <x:c r="J130" s="21" t="str">
        <x:v>023004720</x:v>
      </x:c>
      <x:c r="K130" s="51" t="str">
        <x:v>https://makanhalalguide.com/shop/detail/5289</x:v>
      </x:c>
      <x:c r="L130" s="51" t="str">
        <x:v>https://www.lemon8-app.com/%40nasto_11/7557749980883157522?region=th</x:v>
      </x:c>
      <x:c r="M130" s="20" t="str">
        <x:v>ผลค้นหาชื่อสัมพันธ์จากแหล่งเพิ่มเติม ต้องยืนยันสาขาและข้อมูลปัจจุบัน</x:v>
      </x:c>
      <x:c r="N130" s="28" t="n">
        <x:v>46315</x:v>
      </x:c>
      <x:c r="O130" s="57" t="str">
        <x:v>ยังไม่ตรวจ</x:v>
      </x:c>
      <x:c r="P130" s="57" t="str">
        <x:v>ยังไม่ติดต่อ</x:v>
      </x:c>
      <x:c r="Q130" s="20" t="str">
        <x:v>TMF-053</x:v>
      </x:c>
      <x:c r="R130" s="20" t="str">
        <x:v>KIN YOUBI HALAL</x:v>
      </x:c>
      <x:c r="S130" s="20" t="str"/>
      <x:c r="T130" s="20" t="str">
        <x:v>https://makanhalalguide.com/shop/detail/5289</x:v>
      </x:c>
      <x:c r="U130" s="20" t="str"/>
      <x:c r="V130" s="20" t="str"/>
      <x:c r="W130" s="20" t="str"/>
      <x:c r="X130" s="20" t="str"/>
      <x:c r="Y130" s="20" t="str">
        <x:v>https://www.google.com/maps/search/?api=1&amp;query=KIN%20YOUBI%20HALAL%20%E0%B8%81%E0%B8%A3%E0%B8%B8%E0%B8%87%E0%B9%80%E0%B8%97%E0%B8%9E%E0%B8%A1%E0%B8%AB%E0%B8%B2%E0%B8%99%E0%B8%84%E0%B8%A3</x:v>
      </x:c>
      <x:c r="Z130" s="56" t="n">
        <x:v>13.745438</x:v>
      </x:c>
      <x:c r="AA130" s="56" t="n">
        <x:v>100.61613</x:v>
      </x:c>
      <x:c r="AB130" s="57" t="str"/>
      <x:c r="AC130" s="20" t="str">
        <x:v>https://makanhalalguide.com/shop/detail/5289</x:v>
      </x:c>
    </x:row>
    <x:row r="131" ht="88" customHeight="1">
      <x:c r="A131" s="54" t="n">
        <x:v>123</x:v>
      </x:c>
      <x:c r="B131" s="20" t="str">
        <x:v>LAHORE RESTAURANT สีลม</x:v>
      </x:c>
      <x:c r="C131" s="20" t="str">
        <x:v>กรุงเทพมหานคร</x:v>
      </x:c>
      <x:c r="D131" s="20" t="str">
        <x:v>ร้านอาหาร</x:v>
      </x:c>
      <x:c r="E131" s="20" t="str">
        <x:v>Makan Verify; ระบุมีห้องละหมาด</x:v>
      </x:c>
      <x:c r="F131" s="20" t="str">
        <x:v>มีข้อมูลระบุ แต่รอยืนยัน</x:v>
      </x:c>
      <x:c r="G131" s="20" t="str">
        <x:v>ยังไม่พบเอกสารรับรองและวันหมดอายุ</x:v>
      </x:c>
      <x:c r="H13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1" s="20" t="str">
        <x:v>154/2-3 ถนนสีลม แขวงสุริยวงศ์ เขตบางรัก กรุงเทพมหานคร 10500</x:v>
      </x:c>
      <x:c r="J131" s="21" t="str">
        <x:v>0818753034</x:v>
      </x:c>
      <x:c r="K131" s="51" t="str">
        <x:v>https://makanhalalguide.com/shop/detail/4921</x:v>
      </x:c>
      <x:c r="L131" s="51" t="str">
        <x:v>https://xn--l3cga1amo9al2e5c0fqf.cybo.com/TH/%E0%B8%81%E0%B8%A3%E0%B8%B8%E0%B8%87%E0%B9%80%E0%B8%97%E0%B8%9E%E0%B8%A1%E0%B8%AB%E0%B8%B2%E0%B8%99%E0%B8%84%E0%B8%A3-%E0%B8%81%E0%B8%A3%E0%B8%B8%E0%B8%87%E0%B9%80%E0%B8%97%E0%B8%9E%E0%B8%A1%E0%B8%AB%E0%B8%B2%E0%B8%99%E0%B8%84%E0%B8%A3/%E0%B8%A3%E0%B9%89%E0%B8%B2%E0%B8%99%E0%B8%AD%E0%B8%B2%E0%B8%AB%E0%B8%B2%E0%B8%A3%E0%B8%95%E0%B8%B8%E0%B8%A3%E0%B8%81%E0%B8%B5</x:v>
      </x:c>
      <x:c r="M131" s="20" t="str">
        <x:v>ผลค้นหาชื่อสัมพันธ์จากแหล่งเพิ่มเติม ต้องยืนยันสาขาและข้อมูลปัจจุบัน</x:v>
      </x:c>
      <x:c r="N131" s="28" t="n">
        <x:v>46315</x:v>
      </x:c>
      <x:c r="O131" s="57" t="str">
        <x:v>ยังไม่ตรวจ</x:v>
      </x:c>
      <x:c r="P131" s="57" t="str">
        <x:v>ยังไม่ติดต่อ</x:v>
      </x:c>
      <x:c r="Q131" s="20" t="str">
        <x:v>TMF-054</x:v>
      </x:c>
      <x:c r="R131" s="20" t="str"/>
      <x:c r="S131" s="20" t="str"/>
      <x:c r="T131" s="20" t="str">
        <x:v>https://makanhalalguide.com/shop/detail/4921</x:v>
      </x:c>
      <x:c r="U131" s="20" t="str"/>
      <x:c r="V131" s="20" t="str"/>
      <x:c r="W131" s="20" t="str"/>
      <x:c r="X131" s="20" t="str"/>
      <x:c r="Y131" s="20" t="str">
        <x:v>https://www.google.com/maps/search/?api=1&amp;query=LAHORE%20RESTAURANT%20%E0%B8%AA%E0%B8%B5%E0%B8%A5%E0%B8%A1%20%E0%B8%81%E0%B8%A3%E0%B8%B8%E0%B8%87%E0%B9%80%E0%B8%97%E0%B8%9E%E0%B8%A1%E0%B8%AB%E0%B8%B2%E0%B8%99%E0%B8%84%E0%B8%A3</x:v>
      </x:c>
      <x:c r="Z131" s="56" t="n">
        <x:v>13.726235</x:v>
      </x:c>
      <x:c r="AA131" s="56" t="n">
        <x:v>100.527533</x:v>
      </x:c>
      <x:c r="AB131" s="57" t="str"/>
      <x:c r="AC131" s="20" t="str">
        <x:v>https://makanhalalguide.com/shop/detail/4921</x:v>
      </x:c>
    </x:row>
    <x:row r="132" ht="88" customHeight="1">
      <x:c r="A132" s="54" t="n">
        <x:v>124</x:v>
      </x:c>
      <x:c r="B132" s="20" t="str">
        <x:v>Mini Coffee</x:v>
      </x:c>
      <x:c r="C132" s="20" t="str">
        <x:v>กรุงเทพมหานคร</x:v>
      </x:c>
      <x:c r="D132" s="20" t="str">
        <x:v>คาเฟ่และร้านของหวาน</x:v>
      </x:c>
      <x:c r="E132" s="20" t="str">
        <x:v>Makan Verify; ระบุมีห้องละหมาด</x:v>
      </x:c>
      <x:c r="F132" s="20" t="str">
        <x:v>มีข้อมูลระบุ แต่รอยืนยัน</x:v>
      </x:c>
      <x:c r="G132" s="20" t="str">
        <x:v>ยังไม่พบเอกสารรับรองและวันหมดอายุ</x:v>
      </x:c>
      <x:c r="H13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2" s="20" t="str">
        <x:v>37 ซอยอ่อนุช 65 ถนนอ่อนนุช แขวง/เขตประเวศ กรุงเทพ 10250 (กลางซอยอ่อนนุช65 ร้านอยู่ด้านซ้ายมือ รั้วสีส้ม)</x:v>
      </x:c>
      <x:c r="J132" s="21" t="str">
        <x:v>0922569599</x:v>
      </x:c>
      <x:c r="K132" s="51" t="str">
        <x:v>https://makanhalalguide.com/shop/detail/4796</x:v>
      </x:c>
      <x:c r="L132" s="51" t="str">
        <x:v>https://www.wongnai.com/restaurants/1315287sp-mini-coffee-onecoffee</x:v>
      </x:c>
      <x:c r="M132" s="20" t="str">
        <x:v>ผลค้นหาชื่อสัมพันธ์จากแหล่งเพิ่มเติม ต้องยืนยันสาขาและข้อมูลปัจจุบัน</x:v>
      </x:c>
      <x:c r="N132" s="28" t="n">
        <x:v>46315</x:v>
      </x:c>
      <x:c r="O132" s="57" t="str">
        <x:v>ยังไม่ตรวจ</x:v>
      </x:c>
      <x:c r="P132" s="57" t="str">
        <x:v>ยังไม่ติดต่อ</x:v>
      </x:c>
      <x:c r="Q132" s="20" t="str">
        <x:v>TMF-056</x:v>
      </x:c>
      <x:c r="R132" s="20" t="str">
        <x:v>Mini Coffee</x:v>
      </x:c>
      <x:c r="S132" s="20" t="str"/>
      <x:c r="T132" s="20" t="str">
        <x:v>https://makanhalalguide.com/shop/detail/4796</x:v>
      </x:c>
      <x:c r="U132" s="20" t="str"/>
      <x:c r="V132" s="20" t="str"/>
      <x:c r="W132" s="20" t="str"/>
      <x:c r="X132" s="20" t="str"/>
      <x:c r="Y132" s="20" t="str">
        <x:v>https://www.google.com/maps/search/?api=1&amp;query=Mini%20Coffee%20%E0%B8%81%E0%B8%A3%E0%B8%B8%E0%B8%87%E0%B9%80%E0%B8%97%E0%B8%9E%E0%B8%A1%E0%B8%AB%E0%B8%B2%E0%B8%99%E0%B8%84%E0%B8%A3</x:v>
      </x:c>
      <x:c r="Z132" s="56" t="n">
        <x:v>13.723067</x:v>
      </x:c>
      <x:c r="AA132" s="56" t="n">
        <x:v>100.681612</x:v>
      </x:c>
      <x:c r="AB132" s="57" t="str"/>
      <x:c r="AC132" s="20" t="str">
        <x:v>https://makanhalalguide.com/shop/detail/4796</x:v>
      </x:c>
    </x:row>
    <x:row r="133" ht="88" customHeight="1">
      <x:c r="A133" s="54" t="n">
        <x:v>125</x:v>
      </x:c>
      <x:c r="B133" s="20" t="str">
        <x:v>Mom’s Restaurant</x:v>
      </x:c>
      <x:c r="C133" s="20" t="str">
        <x:v>กรุงเทพมหานคร</x:v>
      </x:c>
      <x:c r="D133" s="20" t="str">
        <x:v>ร้านอาหาร</x:v>
      </x:c>
      <x:c r="E133" s="20" t="str">
        <x:v>Makan Verify; ระบุมีห้องละหมาด</x:v>
      </x:c>
      <x:c r="F133" s="20" t="str">
        <x:v>มีข้อมูลระบุ แต่รอยืนยัน</x:v>
      </x:c>
      <x:c r="G133" s="20" t="str">
        <x:v>ยังไม่พบเอกสารรับรองและวันหมดอายุ</x:v>
      </x:c>
      <x:c r="H13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3" s="20" t="str">
        <x:v>218/4 ซอยประดิพัทธ์ 18 ถนนประดิพัทธ์ เขตพญาไท เขตพญาไท กรุงเทพฯ 10400</x:v>
      </x:c>
      <x:c r="J133" s="21" t="str">
        <x:v>0808677970</x:v>
      </x:c>
      <x:c r="K133" s="51" t="str">
        <x:v>https://makanhalalguide.com/shop/detail/5031</x:v>
      </x:c>
      <x:c r="L133" s="51" t="str">
        <x:v>https://www.wongnai.com/restaurants/568727NN-%E0%B8%84%E0%B8%A3%E0%B8%B1%E0%B8%A7%E0%B8%84%E0%B8%B8%E0%B8%93%E0%B9%81%E0%B8%A1%E0%B9%88-mom-s-restaurant</x:v>
      </x:c>
      <x:c r="M133" s="20" t="str">
        <x:v>ผลค้นหาชื่อสัมพันธ์จากแหล่งเพิ่มเติม ต้องยืนยันสาขาและข้อมูลปัจจุบัน</x:v>
      </x:c>
      <x:c r="N133" s="28" t="n">
        <x:v>46315</x:v>
      </x:c>
      <x:c r="O133" s="57" t="str">
        <x:v>ยังไม่ตรวจ</x:v>
      </x:c>
      <x:c r="P133" s="57" t="str">
        <x:v>ยังไม่ติดต่อ</x:v>
      </x:c>
      <x:c r="Q133" s="20" t="str">
        <x:v>TMF-057</x:v>
      </x:c>
      <x:c r="R133" s="20" t="str">
        <x:v>Mom’s Restaurant</x:v>
      </x:c>
      <x:c r="S133" s="20" t="str"/>
      <x:c r="T133" s="20" t="str">
        <x:v>https://makanhalalguide.com/shop/detail/5031</x:v>
      </x:c>
      <x:c r="U133" s="20" t="str"/>
      <x:c r="V133" s="20" t="str"/>
      <x:c r="W133" s="20" t="str"/>
      <x:c r="X133" s="20" t="str"/>
      <x:c r="Y133" s="20" t="str">
        <x:v>https://www.google.com/maps/search/?api=1&amp;query=Mom%E2%80%99s%20Restaurant%20%E0%B8%81%E0%B8%A3%E0%B8%B8%E0%B8%87%E0%B9%80%E0%B8%97%E0%B8%9E%E0%B8%A1%E0%B8%AB%E0%B8%B2%E0%B8%99%E0%B8%84%E0%B8%A3</x:v>
      </x:c>
      <x:c r="Z133" s="56" t="n">
        <x:v>13.790224</x:v>
      </x:c>
      <x:c r="AA133" s="56" t="n">
        <x:v>100.54463</x:v>
      </x:c>
      <x:c r="AB133" s="57" t="str"/>
      <x:c r="AC133" s="20" t="str">
        <x:v>https://makanhalalguide.com/shop/detail/5031</x:v>
      </x:c>
    </x:row>
    <x:row r="134" ht="88" customHeight="1">
      <x:c r="A134" s="54" t="n">
        <x:v>126</x:v>
      </x:c>
      <x:c r="B134" s="20" t="str">
        <x:v>Monkey Suki Halal มีนบุรีคู้ขวา</x:v>
      </x:c>
      <x:c r="C134" s="20" t="str">
        <x:v>กรุงเทพมหานคร</x:v>
      </x:c>
      <x:c r="D134" s="20" t="str">
        <x:v>ร้านอาหาร</x:v>
      </x:c>
      <x:c r="E134" s="20" t="str">
        <x:v>Makan Verify; ระบุมีห้องละหมาด</x:v>
      </x:c>
      <x:c r="F134" s="20" t="str">
        <x:v>มีข้อมูลระบุ แต่รอยืนยัน</x:v>
      </x:c>
      <x:c r="G134" s="20" t="str">
        <x:v>ยังไม่พบเอกสารรับรองและวันหมดอายุ</x:v>
      </x:c>
      <x:c r="H13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4" s="20" t="str">
        <x:v>4 ถ. ราษฎร์อุทิศ แขวงแสนแสบ เขตมีนบุรี กรุงเทพมหานคร 10510</x:v>
      </x:c>
      <x:c r="J134" s="21" t="str">
        <x:v>0638040672</x:v>
      </x:c>
      <x:c r="K134" s="51" t="str">
        <x:v>https://makanhalalguide.com/shop/detail/6280</x:v>
      </x:c>
      <x:c r="L134" s="51" t="str">
        <x:v>https://ru.restaurantguru.com/%E0%B8%A3%E0%B8%B2%E0%B8%A2%E0%B8%B2%E0%B8%8B%E0%B8%B5%E0%B8%9F%E0%B8%B9%E0%B9%89%E0%B8%94and%E0%B8%88%E0%B8%B4%E0%B9%89%E0%B8%A1%E0%B8%88%E0%B8%B8%E0%B9%88%E0%B8%A1-Bangkok</x:v>
      </x:c>
      <x:c r="M134" s="20" t="str">
        <x:v>ผลค้นหาชื่อสัมพันธ์จากแหล่งเพิ่มเติม ต้องยืนยันสาขาและข้อมูลปัจจุบัน</x:v>
      </x:c>
      <x:c r="N134" s="28" t="n">
        <x:v>46315</x:v>
      </x:c>
      <x:c r="O134" s="57" t="str">
        <x:v>ยังไม่ตรวจ</x:v>
      </x:c>
      <x:c r="P134" s="57" t="str">
        <x:v>ยังไม่ติดต่อ</x:v>
      </x:c>
      <x:c r="Q134" s="20" t="str">
        <x:v>TMF-058</x:v>
      </x:c>
      <x:c r="R134" s="20" t="str"/>
      <x:c r="S134" s="20" t="str"/>
      <x:c r="T134" s="20" t="str">
        <x:v>https://makanhalalguide.com/shop/detail/6280</x:v>
      </x:c>
      <x:c r="U134" s="20" t="str"/>
      <x:c r="V134" s="20" t="str"/>
      <x:c r="W134" s="20" t="str"/>
      <x:c r="X134" s="20" t="str"/>
      <x:c r="Y134" s="20" t="str">
        <x:v>https://www.google.com/maps/search/?api=1&amp;query=Monkey%20Suki%20Halal%20%E0%B8%A1%E0%B8%B5%E0%B8%99%E0%B8%9A%E0%B8%B8%E0%B8%A3%E0%B8%B5%E0%B8%84%E0%B8%B9%E0%B9%89%E0%B8%82%E0%B8%A7%E0%B8%B2%20%E0%B8%81%E0%B8%A3%E0%B8%B8%E0%B8%87%E0%B9%80%E0%B8%97%E0%B8%9E%E0%B8%A1%E0%B8%AB%E0%B8%B2%E0%B8%99%E0%B8%84%E0%B8%A3</x:v>
      </x:c>
      <x:c r="Z134" s="56" t="n">
        <x:v>13.835964</x:v>
      </x:c>
      <x:c r="AA134" s="56" t="n">
        <x:v>100.702478</x:v>
      </x:c>
      <x:c r="AB134" s="57" t="str"/>
      <x:c r="AC134" s="20" t="str">
        <x:v>https://makanhalalguide.com/shop/detail/6280</x:v>
      </x:c>
    </x:row>
    <x:row r="135" ht="88" customHeight="1">
      <x:c r="A135" s="54" t="n">
        <x:v>127</x:v>
      </x:c>
      <x:c r="B135" s="20" t="str">
        <x:v>Monkey Suki รามคำแหง81</x:v>
      </x:c>
      <x:c r="C135" s="20" t="str">
        <x:v>กรุงเทพมหานคร</x:v>
      </x:c>
      <x:c r="D135" s="20" t="str">
        <x:v>ร้านอาหาร</x:v>
      </x:c>
      <x:c r="E135" s="20" t="str">
        <x:v>Makan Verify; ระบุมีห้องละหมาด</x:v>
      </x:c>
      <x:c r="F135" s="20" t="str">
        <x:v>มีข้อมูลระบุ แต่รอยืนยัน</x:v>
      </x:c>
      <x:c r="G135" s="20" t="str">
        <x:v>ยังไม่พบเอกสารรับรองและวันหมดอายุ</x:v>
      </x:c>
      <x:c r="H13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5" s="20" t="str">
        <x:v>2 ซอย รามคำแหง 81 แขวงหัวหมาก บางกะปิ กรุงเทพมหานคร 10240</x:v>
      </x:c>
      <x:c r="J135" s="21" t="str">
        <x:v>0623903012</x:v>
      </x:c>
      <x:c r="K135" s="51" t="str">
        <x:v>https://makanhalalguide.com/shop/detail/6278</x:v>
      </x:c>
      <x:c r="L135" s="51" t="str">
        <x:v>https://ru.restaurantguru.com/Monkey-Suki-%E0%B8%A3%E0%B8%B2%E0%B8%A1%E0%B8%84%E0%B8%B3%E0%B9%81%E0%B8%AB%E0%B8%8781-Bangkok</x:v>
      </x:c>
      <x:c r="M135" s="20" t="str">
        <x:v>ผลค้นหาชื่อสัมพันธ์จากแหล่งเพิ่มเติม ต้องยืนยันสาขาและข้อมูลปัจจุบัน</x:v>
      </x:c>
      <x:c r="N135" s="28" t="n">
        <x:v>46315</x:v>
      </x:c>
      <x:c r="O135" s="57" t="str">
        <x:v>ยังไม่ตรวจ</x:v>
      </x:c>
      <x:c r="P135" s="57" t="str">
        <x:v>ยังไม่ติดต่อ</x:v>
      </x:c>
      <x:c r="Q135" s="20" t="str">
        <x:v>TMF-059</x:v>
      </x:c>
      <x:c r="R135" s="20" t="str"/>
      <x:c r="S135" s="20" t="str"/>
      <x:c r="T135" s="20" t="str">
        <x:v>https://makanhalalguide.com/shop/detail/6278</x:v>
      </x:c>
      <x:c r="U135" s="20" t="str"/>
      <x:c r="V135" s="20" t="str"/>
      <x:c r="W135" s="20" t="str"/>
      <x:c r="X135" s="20" t="str"/>
      <x:c r="Y135" s="20" t="str">
        <x:v>https://www.google.com/maps/search/?api=1&amp;query=Monkey%20Suki%20%E0%B8%A3%E0%B8%B2%E0%B8%A1%E0%B8%84%E0%B8%B3%E0%B9%81%E0%B8%AB%E0%B8%8781%20%E0%B8%81%E0%B8%A3%E0%B8%B8%E0%B8%87%E0%B9%80%E0%B8%97%E0%B8%9E%E0%B8%A1%E0%B8%AB%E0%B8%B2%E0%B8%99%E0%B8%84%E0%B8%A3</x:v>
      </x:c>
      <x:c r="Z135" s="56" t="n">
        <x:v>13.756461</x:v>
      </x:c>
      <x:c r="AA135" s="56" t="n">
        <x:v>100.479368</x:v>
      </x:c>
      <x:c r="AB135" s="57" t="str"/>
      <x:c r="AC135" s="20" t="str">
        <x:v>https://makanhalalguide.com/shop/detail/6278</x:v>
      </x:c>
    </x:row>
    <x:row r="136" ht="88" customHeight="1">
      <x:c r="A136" s="54" t="n">
        <x:v>128</x:v>
      </x:c>
      <x:c r="B136" s="20" t="str">
        <x:v>Monkey Suki เสรีไทย16</x:v>
      </x:c>
      <x:c r="C136" s="20" t="str">
        <x:v>กรุงเทพมหานคร</x:v>
      </x:c>
      <x:c r="D136" s="20" t="str">
        <x:v>ร้านอาหาร</x:v>
      </x:c>
      <x:c r="E136" s="20" t="str">
        <x:v>Makan Verify; ระบุมีห้องละหมาด</x:v>
      </x:c>
      <x:c r="F136" s="20" t="str">
        <x:v>มีข้อมูลระบุ แต่รอยืนยัน</x:v>
      </x:c>
      <x:c r="G136" s="20" t="str">
        <x:v>ยังไม่พบเอกสารรับรองและวันหมดอายุ</x:v>
      </x:c>
      <x:c r="H13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6" s="20" t="str">
        <x:v>662 แขวงคลองกุ่ม เขตบึงกุ่ม กรุงเทพมหานคร 10230</x:v>
      </x:c>
      <x:c r="J136" s="21" t="str">
        <x:v>0000000011</x:v>
      </x:c>
      <x:c r="K136" s="51" t="str">
        <x:v>https://makanhalalguide.com/shop/detail/6279</x:v>
      </x:c>
      <x:c r="L136" s="51" t="str">
        <x:v>https://www.lemon8-app.com/%40ma_ma1999/7541322394812727826?region=th</x:v>
      </x:c>
      <x:c r="M136" s="20" t="str">
        <x:v>ผลค้นหาชื่อสัมพันธ์จากแหล่งเพิ่มเติม ต้องยืนยันสาขาและข้อมูลปัจจุบัน</x:v>
      </x:c>
      <x:c r="N136" s="28" t="n">
        <x:v>46315</x:v>
      </x:c>
      <x:c r="O136" s="57" t="str">
        <x:v>ยังไม่ตรวจ</x:v>
      </x:c>
      <x:c r="P136" s="57" t="str">
        <x:v>ยังไม่ติดต่อ</x:v>
      </x:c>
      <x:c r="Q136" s="20" t="str">
        <x:v>TMF-060</x:v>
      </x:c>
      <x:c r="R136" s="20" t="str"/>
      <x:c r="S136" s="20" t="str"/>
      <x:c r="T136" s="20" t="str">
        <x:v>https://makanhalalguide.com/shop/detail/6279</x:v>
      </x:c>
      <x:c r="U136" s="20" t="str"/>
      <x:c r="V136" s="20" t="str"/>
      <x:c r="W136" s="20" t="str"/>
      <x:c r="X136" s="20" t="str"/>
      <x:c r="Y136" s="20" t="str">
        <x:v>https://www.google.com/maps/search/?api=1&amp;query=Monkey%20Suki%20%E0%B9%80%E0%B8%AA%E0%B8%A3%E0%B8%B5%E0%B9%84%E0%B8%97%E0%B8%A216%20%E0%B8%81%E0%B8%A3%E0%B8%B8%E0%B8%87%E0%B9%80%E0%B8%97%E0%B8%9E%E0%B8%A1%E0%B8%AB%E0%B8%B2%E0%B8%99%E0%B8%84%E0%B8%A3</x:v>
      </x:c>
      <x:c r="Z136" s="56" t="n">
        <x:v>13.78068</x:v>
      </x:c>
      <x:c r="AA136" s="56" t="n">
        <x:v>100.593468</x:v>
      </x:c>
      <x:c r="AB136" s="57" t="str"/>
      <x:c r="AC136" s="20" t="str">
        <x:v>https://makanhalalguide.com/shop/detail/6279</x:v>
      </x:c>
    </x:row>
    <x:row r="137" ht="88" customHeight="1">
      <x:c r="A137" s="54" t="n">
        <x:v>129</x:v>
      </x:c>
      <x:c r="B137" s="20" t="str">
        <x:v>Nes Tea Boba</x:v>
      </x:c>
      <x:c r="C137" s="20" t="str">
        <x:v>กรุงเทพมหานคร</x:v>
      </x:c>
      <x:c r="D137" s="20" t="str">
        <x:v>ร้านอาหาร</x:v>
      </x:c>
      <x:c r="E137" s="20" t="str">
        <x:v>Makan Verify; ระบุมีห้องละหมาด</x:v>
      </x:c>
      <x:c r="F137" s="20" t="str">
        <x:v>มีข้อมูลระบุ แต่รอยืนยัน</x:v>
      </x:c>
      <x:c r="G137" s="20" t="str">
        <x:v>ยังไม่พบเอกสารรับรองและวันหมดอายุ</x:v>
      </x:c>
      <x:c r="H13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7" s="20" t="str">
        <x:v> ถ. โชคชัย 4 แขวงสะพานสอง วังทองหลาง กรุงเทพมหานคร 10310</x:v>
      </x:c>
      <x:c r="J137" s="21" t="str">
        <x:v>0838041809</x:v>
      </x:c>
      <x:c r="K137" s="51" t="str">
        <x:v>https://makanhalalguide.com/shop/detail/6286</x:v>
      </x:c>
      <x:c r="L137" s="51" t="str">
        <x:v>https://www.wongnai.com/restaurants/3752916kb-nes-tea-boba-%E0%B8%8A%E0%B8%B2%E0%B9%83%E0%B8%95%E0%B9%89-%E0%B8%8A%E0%B8%B2%E0%B8%99%E0%B8%A1%E0%B9%84%E0%B8%95%E0%B9%89%E0%B8%AB%E0%B8%A7%E0%B8%B1%E0%B8%99%E0%B8%9E%E0%B8%A3%E0%B8%B5%E0%B9%80%E0%B8%A1%E0%B8%B5%E0%B8%A2%E0%B8%A1-%E0%B8%AA%E0%B8%B2%E0%B8%82%E0%B8%B2%E0%B8%8B%E0%B8%AD%E0%B8%A2%E0%B9%80%E0%B8%9E%E0%B8%8A%E0%B8%A3%E0%B8%9A%E0%B8%B8%E0%B8%A3%E0%B8%B5-7</x:v>
      </x:c>
      <x:c r="M137" s="20" t="str">
        <x:v>ผลค้นหาชื่อสัมพันธ์จากแหล่งเพิ่มเติม ต้องยืนยันสาขาและข้อมูลปัจจุบัน</x:v>
      </x:c>
      <x:c r="N137" s="28" t="n">
        <x:v>46315</x:v>
      </x:c>
      <x:c r="O137" s="57" t="str">
        <x:v>ยังไม่ตรวจ</x:v>
      </x:c>
      <x:c r="P137" s="57" t="str">
        <x:v>ยังไม่ติดต่อ</x:v>
      </x:c>
      <x:c r="Q137" s="20" t="str">
        <x:v>TMF-061</x:v>
      </x:c>
      <x:c r="R137" s="20" t="str">
        <x:v>Nes Tea Boba</x:v>
      </x:c>
      <x:c r="S137" s="20" t="str"/>
      <x:c r="T137" s="20" t="str">
        <x:v>https://makanhalalguide.com/shop/detail/6286</x:v>
      </x:c>
      <x:c r="U137" s="20" t="str"/>
      <x:c r="V137" s="20" t="str"/>
      <x:c r="W137" s="20" t="str"/>
      <x:c r="X137" s="20" t="str"/>
      <x:c r="Y137" s="20" t="str">
        <x:v>https://www.google.com/maps/search/?api=1&amp;query=Nes%20Tea%20Boba%20%E0%B8%81%E0%B8%A3%E0%B8%B8%E0%B8%87%E0%B9%80%E0%B8%97%E0%B8%9E%E0%B8%A1%E0%B8%AB%E0%B8%B2%E0%B8%99%E0%B8%84%E0%B8%A3</x:v>
      </x:c>
      <x:c r="Z137" s="56" t="n">
        <x:v>13.795507</x:v>
      </x:c>
      <x:c r="AA137" s="56" t="n">
        <x:v>100.59517</x:v>
      </x:c>
      <x:c r="AB137" s="57" t="str"/>
      <x:c r="AC137" s="20" t="str">
        <x:v>https://makanhalalguide.com/shop/detail/6286</x:v>
      </x:c>
    </x:row>
    <x:row r="138" ht="88" customHeight="1">
      <x:c r="A138" s="54" t="n">
        <x:v>130</x:v>
      </x:c>
      <x:c r="B138" s="20" t="str">
        <x:v>REEZQ Residence Phyathai</x:v>
      </x:c>
      <x:c r="C138" s="20" t="str">
        <x:v>กรุงเทพมหานคร</x:v>
      </x:c>
      <x:c r="D138" s="20" t="str">
        <x:v>ร้านอาหาร</x:v>
      </x:c>
      <x:c r="E138" s="20" t="str">
        <x:v>Makan Verify; ระบุมีห้องละหมาด</x:v>
      </x:c>
      <x:c r="F138" s="20" t="str">
        <x:v>มีข้อมูลระบุ แต่รอยืนยัน</x:v>
      </x:c>
      <x:c r="G138" s="20" t="str">
        <x:v>ยังไม่พบเอกสารรับรองและวันหมดอายุ</x:v>
      </x:c>
      <x:c r="H13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38" s="20" t="str">
        <x:v>ซ. เพชรบุรี 5 แขวงทุ่งพญาไท เขตราชเทวี กรุงเทพมหานคร 10400</x:v>
      </x:c>
      <x:c r="J138" s="21" t="str">
        <x:v>0996211115</x:v>
      </x:c>
      <x:c r="K138" s="51" t="str">
        <x:v>https://makanhalalguide.com/shop/detail/5370</x:v>
      </x:c>
      <x:c r="L138" s="51" t="str">
        <x:v>https://www.renthub.in.th/en/reezq-residence</x:v>
      </x:c>
      <x:c r="M138" s="20" t="str">
        <x:v>ผลค้นหาชื่อสัมพันธ์จากแหล่งเพิ่มเติม ต้องยืนยันสาขาและข้อมูลปัจจุบัน</x:v>
      </x:c>
      <x:c r="N138" s="28" t="n">
        <x:v>46315</x:v>
      </x:c>
      <x:c r="O138" s="57" t="str">
        <x:v>ยังไม่ตรวจ</x:v>
      </x:c>
      <x:c r="P138" s="57" t="str">
        <x:v>ยังไม่ติดต่อ</x:v>
      </x:c>
      <x:c r="Q138" s="20" t="str">
        <x:v>TMF-063</x:v>
      </x:c>
      <x:c r="R138" s="20" t="str">
        <x:v>REEZQ Residence Phyathai</x:v>
      </x:c>
      <x:c r="S138" s="20" t="str"/>
      <x:c r="T138" s="20" t="str">
        <x:v>https://makanhalalguide.com/shop/detail/5370</x:v>
      </x:c>
      <x:c r="U138" s="20" t="str"/>
      <x:c r="V138" s="20" t="str"/>
      <x:c r="W138" s="20" t="str"/>
      <x:c r="X138" s="20" t="str"/>
      <x:c r="Y138" s="20" t="str">
        <x:v>https://www.google.com/maps/search/?api=1&amp;query=REEZQ%20Residence%20Phyathai%20%E0%B8%81%E0%B8%A3%E0%B8%B8%E0%B8%87%E0%B9%80%E0%B8%97%E0%B8%9E%E0%B8%A1%E0%B8%AB%E0%B8%B2%E0%B8%99%E0%B8%84%E0%B8%A3</x:v>
      </x:c>
      <x:c r="Z138" s="56" t="n">
        <x:v>13.755317</x:v>
      </x:c>
      <x:c r="AA138" s="56" t="n">
        <x:v>100.526125</x:v>
      </x:c>
      <x:c r="AB138" s="57" t="str"/>
      <x:c r="AC138" s="20" t="str">
        <x:v>https://makanhalalguide.com/shop/detail/5370</x:v>
      </x:c>
    </x:row>
    <x:row r="139" ht="88" customHeight="1">
      <x:c r="A139" s="54" t="n">
        <x:v>131</x:v>
      </x:c>
      <x:c r="B139" s="20" t="str">
        <x:v>The Grill</x:v>
      </x:c>
      <x:c r="C139" s="20" t="str">
        <x:v>กรุงเทพมหานคร</x:v>
      </x:c>
      <x:c r="D139" s="20" t="str">
        <x:v>ร้านอาหารและคาเฟ่</x:v>
      </x:c>
      <x:c r="E139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139" s="20" t="str">
        <x:v>มีข้อมูลระบุ แต่รอยืนยัน</x:v>
      </x:c>
      <x:c r="G139" s="20" t="str">
        <x:v>ทะเบียน GMHI 5 ดาว; ช่องใบรับรอง: GMHI; ยังต้องยืนยันใบรับรองอาหารฮาลาลและวันหมดอายุแยกต่างหาก</x:v>
      </x:c>
      <x:c r="H139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จำกัดการจับคู่เฉพาะ The Grill รามคำแหง 53 / ตัด The Grill Tokyo สยามพารากอนออกจากหลักฐาน / พบชื่อบัญชี Instagram และรีวิวสาขาที่สัมพันธ์กับชื่อ ยังต้องยืนยันเจ้าของบัญชีและวันที่เปิดปัจจุบัน</x:v>
      </x:c>
      <x:c r="I139" s="20" t="str">
        <x:v>The Grill is a Halal-certified Yakiniku, Shabu, and Sushi buffet restaurant located in Soi Ramkhamhaeng 53 (Lat Phrao 112), Bangkok.</x:v>
      </x:c>
      <x:c r="J139" s="21" t="str">
        <x:v>ยังไม่พบหรือยังไม่ยืนยัน</x:v>
      </x:c>
      <x:c r="K139" s="51" t="str">
        <x:v>https://gmhi.co/th-th/services/The%20Grill-28</x:v>
      </x:c>
      <x:c r="L139" s="51" t="str">
        <x:v>https://makanhalalguide.com/stories/detail/The-Grill-Halal-Buffet-ramkhumhang53/300</x:v>
      </x:c>
      <x:c r="M139" s="20" t="str">
        <x:v>จำกัดการจับคู่เฉพาะ The Grill รามคำแหง 53 / ตัด The Grill Tokyo สยามพารากอนออกจากหลักฐาน / พบชื่อบัญชี Instagram และรีวิวสาขาที่สัมพันธ์กับชื่อ ยังต้องยืนยันเจ้าของบัญชีและวันที่เปิดปัจจุบัน</x:v>
      </x:c>
      <x:c r="N139" s="28" t="n">
        <x:v>46315</x:v>
      </x:c>
      <x:c r="O139" s="57" t="str">
        <x:v>ยังไม่ตรวจ</x:v>
      </x:c>
      <x:c r="P139" s="57" t="str">
        <x:v>ยังไม่ติดต่อ</x:v>
      </x:c>
      <x:c r="Q139" s="20" t="str">
        <x:v>GMHI-28</x:v>
      </x:c>
      <x:c r="R139" s="20" t="str">
        <x:v>The Grill</x:v>
      </x:c>
      <x:c r="S139" s="20" t="str"/>
      <x:c r="T139" s="20" t="str">
        <x:v>https://gmhi.co/th-th/services/The%20Grill-28</x:v>
      </x:c>
      <x:c r="U139" s="20" t="str"/>
      <x:c r="V139" s="20" t="str"/>
      <x:c r="W139" s="20" t="str"/>
      <x:c r="X139" s="20" t="str"/>
      <x:c r="Y139" s="20" t="str">
        <x:v>https://www.google.com/maps/search/?api=1&amp;query=The%20Grill%20%E0%B8%81%E0%B8%A3%E0%B8%B8%E0%B8%87%E0%B9%80%E0%B8%97%E0%B8%9E%E0%B8%A1%E0%B8%AB%E0%B8%B2%E0%B8%99%E0%B8%84%E0%B8%A3</x:v>
      </x:c>
      <x:c r="Z139" s="56" t="n">
        <x:v>13.7400732</x:v>
      </x:c>
      <x:c r="AA139" s="56" t="n">
        <x:v>100.5528673</x:v>
      </x:c>
      <x:c r="AB139" s="57" t="str"/>
      <x:c r="AC139" s="20" t="str">
        <x:v>https://gmhi.co/th-th/services/The%20Grill-28</x:v>
      </x:c>
    </x:row>
    <x:row r="140" ht="88" customHeight="1">
      <x:c r="A140" s="54" t="n">
        <x:v>132</x:v>
      </x:c>
      <x:c r="B140" s="20" t="str">
        <x:v>สไปซี่คัก ริมน้ำ by Amdangtyphoon</x:v>
      </x:c>
      <x:c r="C140" s="20" t="str">
        <x:v>กรุงเทพมหานคร</x:v>
      </x:c>
      <x:c r="D140" s="20" t="str">
        <x:v>ร้านอาหาร</x:v>
      </x:c>
      <x:c r="E140" s="20" t="str">
        <x:v>Makan Verify; ระบุมีห้องละหมาด</x:v>
      </x:c>
      <x:c r="F140" s="20" t="str">
        <x:v>มีข้อมูลระบุ แต่รอยืนยัน</x:v>
      </x:c>
      <x:c r="G140" s="20" t="str">
        <x:v>ยังไม่พบเอกสารรับรองและวันหมดอายุ / มีชื่อในทะเบียน GMHI 6 ดาว; ยังต้องยืนยันใบอาหารฮาลาลและวันหมดอายุแยกกัน</x:v>
      </x:c>
      <x:c r="H14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40" s="20" t="str">
        <x:v>เลขที่ 160,162 ซ.จรัญสนิทวงศ์ 86/1 แขวงบางอ้อ เขตบางพลัด กรุงเทพฯ 10700</x:v>
      </x:c>
      <x:c r="J140" s="21" t="str">
        <x:v>0641945228</x:v>
      </x:c>
      <x:c r="K140" s="51" t="str">
        <x:v>https://makanhalalguide.com/shop/detail/5312</x:v>
      </x:c>
      <x:c r="L140" s="51" t="str">
        <x:v>https://www.wongnai.com/reviews/acd075064c874a3d9001225688174007</x:v>
      </x:c>
      <x:c r="M140" s="20" t="str">
        <x:v>พบหน้ารีวิวชื่อตรง ต้องตรวจวันรีวิวล่าสุดและสาขากับผู้ประกอบการ</x:v>
      </x:c>
      <x:c r="N140" s="28" t="n">
        <x:v>46316</x:v>
      </x:c>
      <x:c r="O140" s="57" t="str">
        <x:v>ยังไม่ตรวจ</x:v>
      </x:c>
      <x:c r="P140" s="57" t="str">
        <x:v>ยังไม่ติดต่อ</x:v>
      </x:c>
      <x:c r="Q140" s="20" t="str">
        <x:v>TMF-087</x:v>
      </x:c>
      <x:c r="R140" s="20" t="str"/>
      <x:c r="S140" s="20" t="str"/>
      <x:c r="T140" s="20" t="str">
        <x:v>https://makanhalalguide.com/shop/detail/5312</x:v>
      </x:c>
      <x:c r="U140" s="20" t="str"/>
      <x:c r="V140" s="20" t="str"/>
      <x:c r="W140" s="20" t="str"/>
      <x:c r="X140" s="20" t="str"/>
      <x:c r="Y140" s="20" t="str">
        <x:v>https://www.google.com/maps/search/?api=1&amp;query=%E0%B8%AA%E0%B9%84%E0%B8%9B%E0%B8%8B%E0%B8%B5%E0%B9%88%E0%B8%84%E0%B8%B1%E0%B8%81%20%E0%B8%A3%E0%B8%B4%E0%B8%A1%E0%B8%99%E0%B9%89%E0%B8%B3%20by%20Amdangtyphoon%20%E0%B8%81%E0%B8%A3%E0%B8%B8%E0%B8%87%E0%B9%80%E0%B8%97%E0%B8%9E%E0%B8%A1%E0%B8%AB%E0%B8%B2%E0%B8%99%E0%B8%84%E0%B8%A3</x:v>
      </x:c>
      <x:c r="Z140" s="56" t="n">
        <x:v>13.795706</x:v>
      </x:c>
      <x:c r="AA140" s="56" t="n">
        <x:v>100.51254</x:v>
      </x:c>
      <x:c r="AB140" s="57" t="str"/>
      <x:c r="AC140" s="20" t="str">
        <x:v>https://makanhalalguide.com/shop/detail/5312</x:v>
      </x:c>
    </x:row>
    <x:row r="141" ht="88" customHeight="1">
      <x:c r="A141" s="54" t="n">
        <x:v>133</x:v>
      </x:c>
      <x:c r="B141" s="20" t="str">
        <x:v>Divana Scentuara Spa</x:v>
      </x:c>
      <x:c r="C141" s="20" t="str">
        <x:v>กรุงเทพมหานคร</x:v>
      </x:c>
      <x:c r="D141" s="20" t="str">
        <x:v>เวลเนส</x:v>
      </x:c>
      <x:c r="E141" s="20" t="str">
        <x:v>พบข้อมูลชื่อตรงจาก ร้าน Divana Scentuara Spa ชิดลม; เป็นหลักฐานตัวตน/ประเภท ยังไม่ยืนยันบริการมุสลิมครบเกณฑ์</x:v>
      </x:c>
      <x:c r="F141" s="20" t="str">
        <x:v>ไม่ทราบ</x:v>
      </x:c>
      <x:c r="G141" s="20" t="str">
        <x:v>ยังไม่ยืนยันใบรับรองและวันหมดอายุ</x:v>
      </x:c>
      <x:c r="H141" s="20" t="str">
        <x:v>ตรวจการเปิด ตัวตนสาขา ช่องทางติดต่อ และเงื่อนไขบังคับตามประเภท</x:v>
      </x:c>
      <x:c r="I141" s="20" t="str">
        <x:v>ยังไม่ยืนยันที่อยู่ละเอียด ดูลิงก์แหล่งข้อมูลและ Google Maps</x:v>
      </x:c>
      <x:c r="J141" s="21" t="str">
        <x:v>ยังไม่พบหรือยังไม่ยืนยัน</x:v>
      </x:c>
      <x:c r="K141" s="51" t="str">
        <x:v>https://www.wongnai.com/businesses/576890zz-divana-scentuara-spa</x:v>
      </x:c>
      <x:c r="L141" s="51" t="str">
        <x:v>https://www.divanawellness.com/branches-divana-scentuara-spa-chidlom/</x:v>
      </x:c>
      <x:c r="M141" s="20" t="str">
        <x:v>พบแหล่งต่างเว็บไซต์ Divana Scentuara Spa Chidlom | Luxury Spa in Bangkok</x:v>
      </x:c>
      <x:c r="N141" s="28" t="n">
        <x:v>46316</x:v>
      </x:c>
      <x:c r="O141" s="57" t="str">
        <x:v>ยังไม่ตรวจ</x:v>
      </x:c>
      <x:c r="P141" s="57" t="str">
        <x:v>ยังไม่ติดต่อ</x:v>
      </x:c>
      <x:c r="Q141" s="20" t="str">
        <x:v>R26-314</x:v>
      </x:c>
      <x:c r="R141" s="20" t="str">
        <x:v>Divana Scentuara Spa</x:v>
      </x:c>
      <x:c r="S141" s="20" t="str"/>
      <x:c r="T141" s="20" t="str">
        <x:v>https://www.wongnai.com/businesses/576890zz-divana-scentuara-spa</x:v>
      </x:c>
      <x:c r="U141" s="20" t="str"/>
      <x:c r="V141" s="20" t="str"/>
      <x:c r="W141" s="20" t="str"/>
      <x:c r="X141" s="20" t="str"/>
      <x:c r="Y141" s="20" t="str">
        <x:v>https://www.google.com/maps/search/?api=1&amp;query=Divana%20Scentuara%20Spa%20%E0%B8%81%E0%B8%A3%E0%B8%B8%E0%B8%87%E0%B9%80%E0%B8%97%E0%B8%9E%E0%B8%A1%E0%B8%AB%E0%B8%B2%E0%B8%99%E0%B8%84%E0%B8%A3</x:v>
      </x:c>
      <x:c r="Z141" s="56" t="str"/>
      <x:c r="AA141" s="56" t="str"/>
      <x:c r="AB141" s="57" t="str"/>
      <x:c r="AC141" s="20" t="str">
        <x:v>https://www.wongnai.com/businesses/576890zz-divana-scentuara-spa</x:v>
      </x:c>
    </x:row>
    <x:row r="142" ht="88" customHeight="1">
      <x:c r="A142" s="54" t="n">
        <x:v>134</x:v>
      </x:c>
      <x:c r="B142" s="20" t="str">
        <x:v>Health Land Asoke</x:v>
      </x:c>
      <x:c r="C142" s="20" t="str">
        <x:v>กรุงเทพมหานคร</x:v>
      </x:c>
      <x:c r="D142" s="20" t="str">
        <x:v>เวลเนส</x:v>
      </x:c>
      <x:c r="E142" s="20" t="str">
        <x:v>พบข้อมูลชื่อตรงจาก Health Land Spa - Asoke - Vitalithai; เป็นหลักฐานตัวตน/ประเภท ยังไม่ยืนยันบริการมุสลิมครบเกณฑ์</x:v>
      </x:c>
      <x:c r="F142" s="20" t="str">
        <x:v>ไม่ทราบ</x:v>
      </x:c>
      <x:c r="G142" s="20" t="str">
        <x:v>ยังไม่ยืนยันใบรับรองและวันหมดอายุ</x:v>
      </x:c>
      <x:c r="H142" s="20" t="str">
        <x:v>ตรวจการเปิด ตัวตนสาขา ช่องทางติดต่อ และเงื่อนไขบังคับตามประเภท</x:v>
      </x:c>
      <x:c r="I142" s="20" t="str">
        <x:v>ยังไม่ยืนยันที่อยู่ละเอียด ดูลิงก์แหล่งข้อมูลและ Google Maps</x:v>
      </x:c>
      <x:c r="J142" s="21" t="str">
        <x:v>ยังไม่พบหรือยังไม่ยืนยัน</x:v>
      </x:c>
      <x:c r="K142" s="51" t="str">
        <x:v>https://vitalithai.com/recovery-health-land-spa-asoke/</x:v>
      </x:c>
      <x:c r="L142" s="51" t="str">
        <x:v>https://www.thaigle.com/activities/spa/spa-health-land-asoke-cwbabw</x:v>
      </x:c>
      <x:c r="M142" s="20" t="str">
        <x:v>พบแหล่งต่างเว็บไซต์ Health Land Asoke — Spa &amp; Massage in Bangkok 2026 | ★4.2 (8,012 Reviews) | Thaigle</x:v>
      </x:c>
      <x:c r="N142" s="28" t="n">
        <x:v>46316</x:v>
      </x:c>
      <x:c r="O142" s="57" t="str">
        <x:v>ยังไม่ตรวจ</x:v>
      </x:c>
      <x:c r="P142" s="57" t="str">
        <x:v>ยังไม่ติดต่อ</x:v>
      </x:c>
      <x:c r="Q142" s="20" t="str">
        <x:v>R26-276</x:v>
      </x:c>
      <x:c r="R142" s="20" t="str">
        <x:v>Health Land Asoke</x:v>
      </x:c>
      <x:c r="S142" s="20" t="str"/>
      <x:c r="T142" s="20" t="str">
        <x:v>https://vitalithai.com/recovery-health-land-spa-asoke/</x:v>
      </x:c>
      <x:c r="U142" s="20" t="str"/>
      <x:c r="V142" s="20" t="str"/>
      <x:c r="W142" s="20" t="str"/>
      <x:c r="X142" s="20" t="str"/>
      <x:c r="Y142" s="20" t="str">
        <x:v>https://www.google.com/maps/search/?api=1&amp;query=Health%20Land%20Asoke%20%E0%B8%81%E0%B8%A3%E0%B8%B8%E0%B8%87%E0%B9%80%E0%B8%97%E0%B8%9E%E0%B8%A1%E0%B8%AB%E0%B8%B2%E0%B8%99%E0%B8%84%E0%B8%A3</x:v>
      </x:c>
      <x:c r="Z142" s="56" t="n">
        <x:v>13.740865</x:v>
      </x:c>
      <x:c r="AA142" s="56" t="n">
        <x:v>100.560925</x:v>
      </x:c>
      <x:c r="AB142" s="57" t="str"/>
      <x:c r="AC142" s="20" t="str">
        <x:v>https://vitalithai.com/recovery-health-land-spa-asoke/</x:v>
      </x:c>
    </x:row>
    <x:row r="143" ht="88" customHeight="1">
      <x:c r="A143" s="54" t="n">
        <x:v>135</x:v>
      </x:c>
      <x:c r="B143" s="20" t="str">
        <x:v>Health Land Ekkamai</x:v>
      </x:c>
      <x:c r="C143" s="20" t="str">
        <x:v>กรุงเทพมหานคร</x:v>
      </x:c>
      <x:c r="D143" s="20" t="str">
        <x:v>เวลเนส</x:v>
      </x:c>
      <x:c r="E143" s="20" t="str">
        <x:v>พบข้อมูลชื่อตรงจาก Health Land; เป็นหลักฐานตัวตน/ประเภท ยังไม่ยืนยันบริการมุสลิมครบเกณฑ์</x:v>
      </x:c>
      <x:c r="F143" s="20" t="str">
        <x:v>ไม่ทราบ</x:v>
      </x:c>
      <x:c r="G143" s="20" t="str">
        <x:v>ยังไม่ยืนยันใบรับรองและวันหมดอายุ</x:v>
      </x:c>
      <x:c r="H143" s="20" t="str">
        <x:v>ตรวจการเปิด ตัวตนสาขา ช่องทางติดต่อ และเงื่อนไขบังคับตามประเภท</x:v>
      </x:c>
      <x:c r="I143" s="20" t="str">
        <x:v>ยังไม่ยืนยันที่อยู่ละเอียด ดูลิงก์แหล่งข้อมูลและ Google Maps</x:v>
      </x:c>
      <x:c r="J143" s="21" t="str">
        <x:v>+66023922233 / +66022611110</x:v>
      </x:c>
      <x:c r="K143" s="51" t="str">
        <x:v>https://www.healthlandspa.com/en/location/bangkok/ekkamai</x:v>
      </x:c>
      <x:c r="L143" s="51" t="str">
        <x:v>https://www.google.com/maps/search/Spa%2BTreatment%2Bat%2BHealth%2BLand%2C%2BBangkok%2C%2BThailand</x:v>
      </x:c>
      <x:c r="M143" s="20" t="str">
        <x:v>พบแหล่งต่างเว็บไซต์ Spa+Treatment+at+Health+Land,+Bangkok,+Thailand - Google Maps</x:v>
      </x:c>
      <x:c r="N143" s="28" t="n">
        <x:v>46316</x:v>
      </x:c>
      <x:c r="O143" s="57" t="str">
        <x:v>ยังไม่ตรวจ</x:v>
      </x:c>
      <x:c r="P143" s="57" t="str">
        <x:v>ยังไม่ติดต่อ</x:v>
      </x:c>
      <x:c r="Q143" s="20" t="str">
        <x:v>R26-318</x:v>
      </x:c>
      <x:c r="R143" s="20" t="str">
        <x:v>Health Land Ekkamai</x:v>
      </x:c>
      <x:c r="S143" s="20" t="str"/>
      <x:c r="T143" s="20" t="str">
        <x:v>https://www.healthlandspa.com/en/location/bangkok/ekkamai</x:v>
      </x:c>
      <x:c r="U143" s="20" t="str">
        <x:v>https://www.facebook.com/healthlandspa.official</x:v>
      </x:c>
      <x:c r="V143" s="20" t="str">
        <x:v>https://instagram.com/healthland.official</x:v>
      </x:c>
      <x:c r="W143" s="20" t="str">
        <x:v>https://lin.ee/JHGLoLt</x:v>
      </x:c>
      <x:c r="X143" s="20" t="str"/>
      <x:c r="Y143" s="20" t="str">
        <x:v>https://www.google.com/maps/search/?api=1&amp;query=Health%20Land%20Ekkamai%20%E0%B8%81%E0%B8%A3%E0%B8%B8%E0%B8%87%E0%B9%80%E0%B8%97%E0%B8%9E%E0%B8%A1%E0%B8%AB%E0%B8%B2%E0%B8%99%E0%B8%84%E0%B8%A3</x:v>
      </x:c>
      <x:c r="Z143" s="56" t="n">
        <x:v>13.7288755</x:v>
      </x:c>
      <x:c r="AA143" s="56" t="n">
        <x:v>100.5862694</x:v>
      </x:c>
      <x:c r="AB143" s="57" t="str"/>
      <x:c r="AC143" s="20" t="str">
        <x:v>https://www.healthlandspa.com/en/location/bangkok/ekkamai</x:v>
      </x:c>
    </x:row>
    <x:row r="144" ht="88" customHeight="1">
      <x:c r="A144" s="54" t="n">
        <x:v>136</x:v>
      </x:c>
      <x:c r="B144" s="20" t="str">
        <x:v>Health Land Sathorn</x:v>
      </x:c>
      <x:c r="C144" s="20" t="str">
        <x:v>กรุงเทพมหานคร</x:v>
      </x:c>
      <x:c r="D144" s="20" t="str">
        <x:v>เวลเนส</x:v>
      </x:c>
      <x:c r="E144" s="20" t="str">
        <x:v>พบข้อมูลชื่อตรงจาก Health Land Sathorn Map - Building - Si Lom, Thailand; เป็นหลักฐานตัวตน/ประเภท ยังไม่ยืนยันบริการมุสลิมครบเกณฑ์</x:v>
      </x:c>
      <x:c r="F144" s="20" t="str">
        <x:v>ไม่ทราบ</x:v>
      </x:c>
      <x:c r="G144" s="20" t="str">
        <x:v>ยังไม่ยืนยันใบรับรองและวันหมดอายุ</x:v>
      </x:c>
      <x:c r="H144" s="20" t="str">
        <x:v>ตรวจการเปิด ตัวตนสาขา ช่องทางติดต่อ และเงื่อนไขบังคับตามประเภท</x:v>
      </x:c>
      <x:c r="I144" s="20" t="str">
        <x:v>ยังไม่ยืนยันที่อยู่ละเอียด ดูลิงก์แหล่งข้อมูลและ Google Maps</x:v>
      </x:c>
      <x:c r="J144" s="21" t="str">
        <x:v>ยังไม่พบหรือยังไม่ยืนยัน</x:v>
      </x:c>
      <x:c r="K144" s="51" t="str">
        <x:v>https://mapcarta.com/W40089341</x:v>
      </x:c>
      <x:c r="L144" s="51" t="str">
        <x:v>https://www.thaithurkic.com/health-land-sathorn-02-637-8883</x:v>
      </x:c>
      <x:c r="M144" s="20" t="str">
        <x:v>พบแหล่งต่างเว็บไซต์ Health Land Sathorn | 02 637 8883 | กรุงเทพมหานคร</x:v>
      </x:c>
      <x:c r="N144" s="28" t="n">
        <x:v>46316</x:v>
      </x:c>
      <x:c r="O144" s="57" t="str">
        <x:v>ยังไม่ตรวจ</x:v>
      </x:c>
      <x:c r="P144" s="57" t="str">
        <x:v>ยังไม่ติดต่อ</x:v>
      </x:c>
      <x:c r="Q144" s="20" t="str">
        <x:v>R26-275</x:v>
      </x:c>
      <x:c r="R144" s="20" t="str">
        <x:v>Health Land Sathorn</x:v>
      </x:c>
      <x:c r="S144" s="20" t="str"/>
      <x:c r="T144" s="20" t="str">
        <x:v>https://mapcarta.com/W40089341</x:v>
      </x:c>
      <x:c r="U144" s="20" t="str"/>
      <x:c r="V144" s="20" t="str"/>
      <x:c r="W144" s="20" t="str"/>
      <x:c r="X144" s="20" t="str"/>
      <x:c r="Y144" s="20" t="str">
        <x:v>https://www.google.com/maps/search/?api=1&amp;query=Health%20Land%20Sathorn%20%E0%B8%81%E0%B8%A3%E0%B8%B8%E0%B8%87%E0%B9%80%E0%B8%97%E0%B8%9E%E0%B8%A1%E0%B8%AB%E0%B8%B2%E0%B8%99%E0%B8%84%E0%B8%A3</x:v>
      </x:c>
      <x:c r="Z144" s="56" t="n">
        <x:v>13.721298</x:v>
      </x:c>
      <x:c r="AA144" s="56" t="n">
        <x:v>100.526433</x:v>
      </x:c>
      <x:c r="AB144" s="57" t="str"/>
      <x:c r="AC144" s="20" t="str">
        <x:v>https://mapcarta.com/W40089341</x:v>
      </x:c>
    </x:row>
    <x:row r="145" ht="88" customHeight="1">
      <x:c r="A145" s="54" t="n">
        <x:v>137</x:v>
      </x:c>
      <x:c r="B145" s="20" t="str">
        <x:v>Let's Relax Spa Sukhumvit 39</x:v>
      </x:c>
      <x:c r="C145" s="20" t="str">
        <x:v>กรุงเทพมหานคร</x:v>
      </x:c>
      <x:c r="D145" s="20" t="str">
        <x:v>เวลเนส</x:v>
      </x:c>
      <x:c r="E145" s="20" t="str">
        <x:v>พบข้อมูลชื่อตรงจาก Let's Relax Spa Bangkok Sukhumvit 39 | Let's Relax Spa; เป็นหลักฐานตัวตน/ประเภท ยังไม่ยืนยันบริการมุสลิมครบเกณฑ์</x:v>
      </x:c>
      <x:c r="F145" s="20" t="str">
        <x:v>ไม่ทราบ</x:v>
      </x:c>
      <x:c r="G145" s="20" t="str">
        <x:v>ยังไม่ยืนยันใบรับรองและวันหมดอายุ</x:v>
      </x:c>
      <x:c r="H145" s="20" t="str">
        <x:v>ตรวจการเปิด ตัวตนสาขา ช่องทางติดต่อ และเงื่อนไขบังคับตามประเภท</x:v>
      </x:c>
      <x:c r="I145" s="20" t="str">
        <x:v>ยังไม่ยืนยันที่อยู่ละเอียด ดูลิงก์แหล่งข้อมูลและ Google Maps</x:v>
      </x:c>
      <x:c r="J145" s="21" t="str">
        <x:v>+66 9 5364 8271 / +66 2662 6935</x:v>
      </x:c>
      <x:c r="K145" s="51" t="str">
        <x:v>https://letsrelaxspa.com/branches/bangkok-sukhumvit-39/</x:v>
      </x:c>
      <x:c r="L145" s="51" t="str">
        <x:v>https://www.wongnai.com/businesses/227262rt-let-s-relax-spa-sukhumvit-39</x:v>
      </x:c>
      <x:c r="M145" s="20" t="str">
        <x:v>พบแหล่งต่างเว็บไซต์ ร้าน Let's Relax Spa Sukhumvit 39</x:v>
      </x:c>
      <x:c r="N145" s="28" t="n">
        <x:v>46316</x:v>
      </x:c>
      <x:c r="O145" s="57" t="str">
        <x:v>ยังไม่ตรวจ</x:v>
      </x:c>
      <x:c r="P145" s="57" t="str">
        <x:v>ยังไม่ติดต่อ</x:v>
      </x:c>
      <x:c r="Q145" s="20" t="str">
        <x:v>R26-272</x:v>
      </x:c>
      <x:c r="R145" s="20" t="str">
        <x:v>Let's Relax Spa Sukhumvit 39</x:v>
      </x:c>
      <x:c r="S145" s="20" t="str"/>
      <x:c r="T145" s="20" t="str">
        <x:v>https://letsrelaxspa.com/branches/bangkok-sukhumvit-39/</x:v>
      </x:c>
      <x:c r="U145" s="20" t="str">
        <x:v>https://www.facebook.com/letsrelaxspa.official/</x:v>
      </x:c>
      <x:c r="V145" s="20" t="str">
        <x:v>https://www.instagram.com/letsrelaxspa.official/?hl=en</x:v>
      </x:c>
      <x:c r="W145" s="20" t="str"/>
      <x:c r="X145" s="20" t="str"/>
      <x:c r="Y145" s="20" t="str">
        <x:v>https://www.google.com/maps/search/?api=1&amp;query=Let%27s%20Relax%20Spa%20Sukhumvit%2039%20%E0%B8%81%E0%B8%A3%E0%B8%B8%E0%B8%87%E0%B9%80%E0%B8%97%E0%B8%9E%E0%B8%A1%E0%B8%AB%E0%B8%B2%E0%B8%99%E0%B8%84%E0%B8%A3</x:v>
      </x:c>
      <x:c r="Z145" s="56" t="str"/>
      <x:c r="AA145" s="56" t="str"/>
      <x:c r="AB145" s="57" t="str"/>
      <x:c r="AC145" s="20" t="str">
        <x:v>https://letsrelaxspa.com/branches/bangkok-sukhumvit-39/</x:v>
      </x:c>
    </x:row>
    <x:row r="146" ht="88" customHeight="1">
      <x:c r="A146" s="54" t="n">
        <x:v>138</x:v>
      </x:c>
      <x:c r="B146" s="20" t="str">
        <x:v>PAÑPURI Wellness Gaysorn Tower</x:v>
      </x:c>
      <x:c r="C146" s="20" t="str">
        <x:v>กรุงเทพมหานคร</x:v>
      </x:c>
      <x:c r="D146" s="20" t="str">
        <x:v>สปาและเวลเนส สาขาเกษรทาวเวอร์</x:v>
      </x:c>
      <x:c r="E146" s="20" t="str">
        <x:v>พบข้อมูลชื่อตรงจาก Panpuri Wellness; เป็นหลักฐานตัวตน/ประเภท ยังไม่ยืนยันบริการมุสลิมครบเกณฑ์</x:v>
      </x:c>
      <x:c r="F146" s="20" t="str">
        <x:v>ไม่ทราบ</x:v>
      </x:c>
      <x:c r="G146" s="20" t="str">
        <x:v>ยังไม่ยืนยันใบรับรองและวันหมดอายุ</x:v>
      </x:c>
      <x:c r="H146" s="20" t="str">
        <x:v>ตรวจการเปิด ตัวตนสาขา ช่องทางติดต่อ และเงื่อนไขบังคับตามประเภท</x:v>
      </x:c>
      <x:c r="I146" s="20" t="str">
        <x:v>ยังไม่ยืนยันที่อยู่ละเอียด ดูลิงก์แหล่งข้อมูลและ Google Maps</x:v>
      </x:c>
      <x:c r="J146" s="21" t="str">
        <x:v>ยังไม่พบหรือยังไม่ยืนยัน</x:v>
      </x:c>
      <x:c r="K146" s="51" t="str">
        <x:v>https://image.mfa.go.th/mfa/0/uK8Kxy2oDV/E_Brochure_TAT_2024_English_Version.pdf</x:v>
      </x:c>
      <x:c r="L146" s="51" t="str">
        <x:v>https://panpuriwellness.com/wellness/panpuri-wellness-gaysorn-tower/</x:v>
      </x:c>
      <x:c r="M146" s="20" t="str">
        <x:v>พบแหล่งต่างเว็บไซต์ PAÑPURI WELLNESS Gaysorn Tower - Holistic Wellness Destination Bangkok</x:v>
      </x:c>
      <x:c r="N146" s="28" t="n">
        <x:v>46316</x:v>
      </x:c>
      <x:c r="O146" s="57" t="str">
        <x:v>ยังไม่ตรวจ</x:v>
      </x:c>
      <x:c r="P146" s="57" t="str">
        <x:v>ยังไม่ติดต่อ</x:v>
      </x:c>
      <x:c r="Q146" s="20" t="str">
        <x:v>R26-313</x:v>
      </x:c>
      <x:c r="R146" s="20" t="str">
        <x:v>PAÑPURI Wellness Gaysorn Tower</x:v>
      </x:c>
      <x:c r="S146" s="20" t="str"/>
      <x:c r="T146" s="20" t="str">
        <x:v>https://image.mfa.go.th/mfa/0/uK8Kxy2oDV/E_Brochure_TAT_2024_English_Version.pdf</x:v>
      </x:c>
      <x:c r="U146" s="20" t="str">
        <x:v>https://www.facebook.com/panpuriofficial/</x:v>
      </x:c>
      <x:c r="V146" s="20" t="str">
        <x:v>https://www.instagram.com/panpuriwellness/</x:v>
      </x:c>
      <x:c r="W146" s="20" t="str"/>
      <x:c r="X146" s="20" t="str"/>
      <x:c r="Y146" s="20" t="str">
        <x:v>https://www.google.com/maps/search/?api=1&amp;query=PA%C3%91PURI%20Wellness%20Gaysorn%20Tower%20%E0%B8%81%E0%B8%A3%E0%B8%B8%E0%B8%87%E0%B9%80%E0%B8%97%E0%B8%9E%E0%B8%A1%E0%B8%AB%E0%B8%B2%E0%B8%99%E0%B8%84%E0%B8%A3</x:v>
      </x:c>
      <x:c r="Z146" s="56" t="n">
        <x:v>13.745994</x:v>
      </x:c>
      <x:c r="AA146" s="56" t="n">
        <x:v>100.540863</x:v>
      </x:c>
      <x:c r="AB146" s="57" t="str"/>
      <x:c r="AC146" s="20" t="str">
        <x:v>https://image.mfa.go.th/mfa/0/uK8Kxy2oDV/E_Brochure_TAT_2024_English_Version.pdf</x:v>
      </x:c>
    </x:row>
    <x:row r="147" ht="88" customHeight="1">
      <x:c r="A147" s="54" t="n">
        <x:v>139</x:v>
      </x:c>
      <x:c r="B147" s="20" t="str">
        <x:v>กายา บาย โอเอซิสสปา</x:v>
      </x:c>
      <x:c r="C147" s="20" t="str">
        <x:v>กรุงเทพมหานคร</x:v>
      </x:c>
      <x:c r="D147" s="20" t="str">
        <x:v>สปา</x:v>
      </x:c>
      <x:c r="E147" s="20" t="str">
        <x:v>ผู้ประกอบการระบุสถานที่สปา ยังไม่พบหลักฐานข้อกำหนดมุสลิมครบถ้วน</x:v>
      </x:c>
      <x:c r="F147" s="20" t="str">
        <x:v>ไม่ทราบ</x:v>
      </x:c>
      <x:c r="G147" s="20" t="str">
        <x:v>ยังไม่พบเอกสารรับรองและวันหมดอายุ</x:v>
      </x:c>
      <x:c r="H147" s="20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I147" s="20" t="str">
        <x:v>ยังไม่ยืนยันที่อยู่ละเอียด ดูลิงก์แหล่งข้อมูลและ Google Maps</x:v>
      </x:c>
      <x:c r="J147" s="21" t="str">
        <x:v>ยังไม่พบหรือยังไม่ยืนยัน</x:v>
      </x:c>
      <x:c r="K147" s="51" t="str">
        <x:v>https://oasisspa.net/en/destination/</x:v>
      </x:c>
      <x:c r="L147" s="51" t="str">
        <x:v>https://www.gowabi.com/th/provider/gaaya-by-oasis-spa</x:v>
      </x:c>
      <x:c r="M147" s="20" t="str">
        <x:v>ผลค้นหาชื่อสัมพันธ์จากแหล่งเพิ่มเติม ต้องยืนยันสาขาและข้อมูลปัจจุบัน</x:v>
      </x:c>
      <x:c r="N147" s="28" t="n">
        <x:v>46315</x:v>
      </x:c>
      <x:c r="O147" s="57" t="str">
        <x:v>ยังไม่ตรวจ</x:v>
      </x:c>
      <x:c r="P147" s="57" t="str">
        <x:v>ยังไม่ติดต่อ</x:v>
      </x:c>
      <x:c r="Q147" s="20" t="str">
        <x:v>TMF-500</x:v>
      </x:c>
      <x:c r="R147" s="20" t="str"/>
      <x:c r="S147" s="20" t="str"/>
      <x:c r="T147" s="20" t="str">
        <x:v>https://oasisspa.net/en/destination/</x:v>
      </x:c>
      <x:c r="U147" s="20" t="str"/>
      <x:c r="V147" s="20" t="str"/>
      <x:c r="W147" s="20" t="str"/>
      <x:c r="X147" s="20" t="str"/>
      <x:c r="Y147" s="20" t="str">
        <x:v>https://www.google.com/maps/search/?api=1&amp;query=%E0%B8%81%E0%B8%B2%E0%B8%A2%E0%B8%B2%20%E0%B8%9A%E0%B8%B2%E0%B8%A2%20%E0%B9%82%E0%B8%AD%E0%B9%80%E0%B8%AD%E0%B8%8B%E0%B8%B4%E0%B8%AA%E0%B8%AA%E0%B8%9B%E0%B8%B2%20%E0%B8%81%E0%B8%A3%E0%B8%B8%E0%B8%87%E0%B9%80%E0%B8%97%E0%B8%9E%E0%B8%A1%E0%B8%AB%E0%B8%B2%E0%B8%99%E0%B8%84%E0%B8%A3</x:v>
      </x:c>
      <x:c r="Z147" s="56" t="str"/>
      <x:c r="AA147" s="56" t="str"/>
      <x:c r="AB147" s="57" t="str"/>
      <x:c r="AC147" s="20" t="str">
        <x:v>https://oasisspa.net/en/destination/</x:v>
      </x:c>
    </x:row>
    <x:row r="148" ht="88" customHeight="1">
      <x:c r="A148" s="54" t="n">
        <x:v>140</x:v>
      </x:c>
      <x:c r="B148" s="20" t="str">
        <x:v>Central Ladprao</x:v>
      </x:c>
      <x:c r="C148" s="20" t="str">
        <x:v>กรุงเทพมหานคร</x:v>
      </x:c>
      <x:c r="D148" s="20" t="str">
        <x:v>การค้า</x:v>
      </x:c>
      <x:c r="E148" s="20" t="str">
        <x:v>พบข้อมูลชื่อตรงจาก Central Ladprao; เป็นหลักฐานตัวตน/ประเภท ยังไม่ยืนยันบริการมุสลิมครบเกณฑ์</x:v>
      </x:c>
      <x:c r="F148" s="20" t="str">
        <x:v>ไม่ทราบ</x:v>
      </x:c>
      <x:c r="G148" s="20" t="str">
        <x:v>ยังไม่ยืนยันใบรับรองและวันหมดอายุ</x:v>
      </x:c>
      <x:c r="H148" s="20" t="str">
        <x:v>ตรวจการเปิด ตัวตนสาขา ช่องทางติดต่อ และเงื่อนไขบังคับตามประเภท</x:v>
      </x:c>
      <x:c r="I148" s="20" t="str">
        <x:v>ยังไม่ยืนยันที่อยู่ละเอียด ดูลิงก์แหล่งข้อมูลและ Google Maps</x:v>
      </x:c>
      <x:c r="J148" s="21" t="str">
        <x:v>ยังไม่พบหรือยังไม่ยืนยัน</x:v>
      </x:c>
      <x:c r="K148" s="51" t="str">
        <x:v>https://www.centralladprao.com/en</x:v>
      </x:c>
      <x:c r="L148" s="51" t="str">
        <x:v>https://en.wikipedia.org/wiki/Central_Ladprao</x:v>
      </x:c>
      <x:c r="M148" s="20" t="str">
        <x:v>พบแหล่งต่างเว็บไซต์ Central Ladprao</x:v>
      </x:c>
      <x:c r="N148" s="28" t="n">
        <x:v>46316</x:v>
      </x:c>
      <x:c r="O148" s="57" t="str">
        <x:v>ยังไม่ตรวจ</x:v>
      </x:c>
      <x:c r="P148" s="57" t="str">
        <x:v>ยังไม่ติดต่อ</x:v>
      </x:c>
      <x:c r="Q148" s="20" t="str">
        <x:v>R26-255</x:v>
      </x:c>
      <x:c r="R148" s="20" t="str">
        <x:v>Central Ladprao</x:v>
      </x:c>
      <x:c r="S148" s="20" t="str"/>
      <x:c r="T148" s="20" t="str">
        <x:v>https://www.centralladprao.com/en</x:v>
      </x:c>
      <x:c r="U148" s="20" t="str"/>
      <x:c r="V148" s="20" t="str"/>
      <x:c r="W148" s="20" t="str"/>
      <x:c r="X148" s="20" t="str"/>
      <x:c r="Y148" s="20" t="str">
        <x:v>https://www.google.com/maps/search/?api=1&amp;query=Central%20Ladprao%20%E0%B8%81%E0%B8%A3%E0%B8%B8%E0%B8%87%E0%B9%80%E0%B8%97%E0%B8%9E%E0%B8%A1%E0%B8%AB%E0%B8%B2%E0%B8%99%E0%B8%84%E0%B8%A3</x:v>
      </x:c>
      <x:c r="Z148" s="56" t="n">
        <x:v>13.816145</x:v>
      </x:c>
      <x:c r="AA148" s="56" t="n">
        <x:v>100.558168</x:v>
      </x:c>
      <x:c r="AB148" s="57" t="str"/>
      <x:c r="AC148" s="20" t="str">
        <x:v>https://www.centralladprao.com/en</x:v>
      </x:c>
    </x:row>
    <x:row r="149" ht="88" customHeight="1">
      <x:c r="A149" s="54" t="n">
        <x:v>141</x:v>
      </x:c>
      <x:c r="B149" s="20" t="str">
        <x:v>Central Rama 9</x:v>
      </x:c>
      <x:c r="C149" s="20" t="str">
        <x:v>กรุงเทพมหานคร</x:v>
      </x:c>
      <x:c r="D149" s="20" t="str">
        <x:v>การค้า</x:v>
      </x:c>
      <x:c r="E149" s="20" t="str">
        <x:v>พบข้อมูลชื่อตรงจาก Central Rama 9 — ช้อปปิ้ง ร้านอาหาร และข้อมูลการเดินทาง; เป็นหลักฐานตัวตน/ประเภท ยังไม่ยืนยันบริการมุสลิมครบเกณฑ์</x:v>
      </x:c>
      <x:c r="F149" s="20" t="str">
        <x:v>ไม่ทราบ</x:v>
      </x:c>
      <x:c r="G149" s="20" t="str">
        <x:v>ยังไม่ยืนยันใบรับรองและวันหมดอายุ</x:v>
      </x:c>
      <x:c r="H149" s="20" t="str">
        <x:v>ตรวจการเปิด ตัวตนสาขา ช่องทางติดต่อ และเงื่อนไขบังคับตามประเภท</x:v>
      </x:c>
      <x:c r="I149" s="20" t="str">
        <x:v>ยังไม่ยืนยันที่อยู่ละเอียด ดูลิงก์แหล่งข้อมูลและ Google Maps</x:v>
      </x:c>
      <x:c r="J149" s="21" t="str">
        <x:v>ยังไม่พบหรือยังไม่ยืนยัน</x:v>
      </x:c>
      <x:c r="K149" s="51" t="str">
        <x:v>https://www.centralrama9.com/th</x:v>
      </x:c>
      <x:c r="L149" s="51" t="str">
        <x:v>https://en.wikipedia.org/wiki/Central_Rama_9</x:v>
      </x:c>
      <x:c r="M149" s="20" t="str">
        <x:v>พบแหล่งต่างเว็บไซต์ Central Rama 9</x:v>
      </x:c>
      <x:c r="N149" s="28" t="n">
        <x:v>46316</x:v>
      </x:c>
      <x:c r="O149" s="57" t="str">
        <x:v>ยังไม่ตรวจ</x:v>
      </x:c>
      <x:c r="P149" s="57" t="str">
        <x:v>ยังไม่ติดต่อ</x:v>
      </x:c>
      <x:c r="Q149" s="20" t="str">
        <x:v>R26-254</x:v>
      </x:c>
      <x:c r="R149" s="20" t="str">
        <x:v>Central Rama 9</x:v>
      </x:c>
      <x:c r="S149" s="20" t="str"/>
      <x:c r="T149" s="20" t="str">
        <x:v>https://www.centralrama9.com/th</x:v>
      </x:c>
      <x:c r="U149" s="20" t="str"/>
      <x:c r="V149" s="20" t="str"/>
      <x:c r="W149" s="20" t="str"/>
      <x:c r="X149" s="20" t="str"/>
      <x:c r="Y149" s="20" t="str">
        <x:v>https://www.google.com/maps/search/?api=1&amp;query=Central%20Rama%209%20%E0%B8%81%E0%B8%A3%E0%B8%B8%E0%B8%87%E0%B9%80%E0%B8%97%E0%B8%9E%E0%B8%A1%E0%B8%AB%E0%B8%B2%E0%B8%99%E0%B8%84%E0%B8%A3</x:v>
      </x:c>
      <x:c r="Z149" s="56" t="n">
        <x:v>13.758357</x:v>
      </x:c>
      <x:c r="AA149" s="56" t="n">
        <x:v>100.566093</x:v>
      </x:c>
      <x:c r="AB149" s="57" t="str"/>
      <x:c r="AC149" s="20" t="str">
        <x:v>https://www.centralrama9.com/th</x:v>
      </x:c>
    </x:row>
    <x:row r="150" ht="88" customHeight="1">
      <x:c r="A150" s="54" t="n">
        <x:v>142</x:v>
      </x:c>
      <x:c r="B150" s="20" t="str">
        <x:v>EMQUARTIER</x:v>
      </x:c>
      <x:c r="C150" s="20" t="str">
        <x:v>กรุงเทพมหานคร</x:v>
      </x:c>
      <x:c r="D150" s="20" t="str">
        <x:v>การค้า</x:v>
      </x:c>
      <x:c r="E150" s="20" t="str">
        <x:v>พบข้อมูลชื่อตรงจาก EmQuartier; เป็นหลักฐานตัวตน/ประเภท ยังไม่ยืนยันบริการมุสลิมครบเกณฑ์</x:v>
      </x:c>
      <x:c r="F150" s="20" t="str">
        <x:v>ไม่ทราบ</x:v>
      </x:c>
      <x:c r="G150" s="20" t="str">
        <x:v>ยังไม่ยืนยันใบรับรองและวันหมดอายุ</x:v>
      </x:c>
      <x:c r="H150" s="20" t="str">
        <x:v>ตรวจการเปิด ตัวตนสาขา ช่องทางติดต่อ และเงื่อนไขบังคับตามประเภท</x:v>
      </x:c>
      <x:c r="I150" s="20" t="str">
        <x:v>ยังไม่ยืนยันที่อยู่ละเอียด ดูลิงก์แหล่งข้อมูลและ Google Maps</x:v>
      </x:c>
      <x:c r="J150" s="21" t="str">
        <x:v>ยังไม่พบหรือยังไม่ยืนยัน</x:v>
      </x:c>
      <x:c r="K150" s="51" t="str">
        <x:v>https://en.wikipedia.org/wiki/EmQuartier</x:v>
      </x:c>
      <x:c r="L150" s="51" t="str">
        <x:v>https://www.youtube.com/watch?v=EwQFRYG8hqM</x:v>
      </x:c>
      <x:c r="M150" s="20" t="str">
        <x:v>พบแหล่งต่างเว็บไซต์ เอ็มควอเทียร์ ห้างหรูกลางใจเมืองกรุงเทพมหานคร​l​ EMQUARTIER - YouTube</x:v>
      </x:c>
      <x:c r="N150" s="28" t="n">
        <x:v>46316</x:v>
      </x:c>
      <x:c r="O150" s="57" t="str">
        <x:v>ยังไม่ตรวจ</x:v>
      </x:c>
      <x:c r="P150" s="57" t="str">
        <x:v>ยังไม่ติดต่อ</x:v>
      </x:c>
      <x:c r="Q150" s="20" t="str">
        <x:v>R26-252</x:v>
      </x:c>
      <x:c r="R150" s="20" t="str">
        <x:v>EMQUARTIER</x:v>
      </x:c>
      <x:c r="S150" s="20" t="str"/>
      <x:c r="T150" s="20" t="str">
        <x:v>https://en.wikipedia.org/wiki/EmQuartier</x:v>
      </x:c>
      <x:c r="U150" s="20" t="str"/>
      <x:c r="V150" s="20" t="str"/>
      <x:c r="W150" s="20" t="str"/>
      <x:c r="X150" s="20" t="str"/>
      <x:c r="Y150" s="20" t="str">
        <x:v>https://www.google.com/maps/search/?api=1&amp;query=EMQUARTIER%20%E0%B8%81%E0%B8%A3%E0%B8%B8%E0%B8%87%E0%B9%80%E0%B8%97%E0%B8%9E%E0%B8%A1%E0%B8%AB%E0%B8%B2%E0%B8%99%E0%B8%84%E0%B8%A3</x:v>
      </x:c>
      <x:c r="Z150" s="56" t="n">
        <x:v>13.7315</x:v>
      </x:c>
      <x:c r="AA150" s="56" t="n">
        <x:v>100.5692</x:v>
      </x:c>
      <x:c r="AB150" s="57" t="str"/>
      <x:c r="AC150" s="20" t="str">
        <x:v>https://en.wikipedia.org/wiki/EmQuartier</x:v>
      </x:c>
    </x:row>
    <x:row r="151" ht="88" customHeight="1">
      <x:c r="A151" s="54" t="n">
        <x:v>143</x:v>
      </x:c>
      <x:c r="B151" s="20" t="str">
        <x:v>EMSPHERE</x:v>
      </x:c>
      <x:c r="C151" s="20" t="str">
        <x:v>กรุงเทพมหานคร</x:v>
      </x:c>
      <x:c r="D151" s="20" t="str">
        <x:v>การค้า</x:v>
      </x:c>
      <x:c r="E151" s="20" t="str">
        <x:v>พบข้อมูลชื่อตรงจาก Home - Emsphere; เป็นหลักฐานตัวตน/ประเภท ยังไม่ยืนยันบริการมุสลิมครบเกณฑ์</x:v>
      </x:c>
      <x:c r="F151" s="20" t="str">
        <x:v>ไม่ทราบ</x:v>
      </x:c>
      <x:c r="G151" s="20" t="str">
        <x:v>ยังไม่ยืนยันใบรับรองและวันหมดอายุ</x:v>
      </x:c>
      <x:c r="H151" s="20" t="str">
        <x:v>ตรวจการเปิด ตัวตนสาขา ช่องทางติดต่อ และเงื่อนไขบังคับตามประเภท</x:v>
      </x:c>
      <x:c r="I151" s="20" t="str">
        <x:v>ยังไม่ยืนยันที่อยู่ละเอียด ดูลิงก์แหล่งข้อมูลและ Google Maps</x:v>
      </x:c>
      <x:c r="J151" s="21" t="str">
        <x:v>ยังไม่พบหรือยังไม่ยืนยัน</x:v>
      </x:c>
      <x:c r="K151" s="51" t="str">
        <x:v>https://emsphere.co.th/en/</x:v>
      </x:c>
      <x:c r="L151" s="51" t="str">
        <x:v>https://www.gplace.com/968188</x:v>
      </x:c>
      <x:c r="M151" s="20" t="str">
        <x:v>พบแหล่งต่างเว็บไซต์ เอ็มสเฟียร์ (EMSPHERE), กรุงเทพฯ</x:v>
      </x:c>
      <x:c r="N151" s="28" t="n">
        <x:v>46316</x:v>
      </x:c>
      <x:c r="O151" s="57" t="str">
        <x:v>ยังไม่ตรวจ</x:v>
      </x:c>
      <x:c r="P151" s="57" t="str">
        <x:v>ยังไม่ติดต่อ</x:v>
      </x:c>
      <x:c r="Q151" s="20" t="str">
        <x:v>R26-253</x:v>
      </x:c>
      <x:c r="R151" s="20" t="str">
        <x:v>EMSPHERE</x:v>
      </x:c>
      <x:c r="S151" s="20" t="str"/>
      <x:c r="T151" s="20" t="str">
        <x:v>https://emsphere.co.th/en/</x:v>
      </x:c>
      <x:c r="U151" s="20" t="str">
        <x:v>https://www.facebook.com/profile.php?id=100089919767974&amp;sk=about</x:v>
      </x:c>
      <x:c r="V151" s="20" t="str">
        <x:v>https://www.instagram.com/theemsphere/</x:v>
      </x:c>
      <x:c r="W151" s="20" t="str">
        <x:v>https://line.me/R/ti/p/@002tiecc?ts=04291958&amp;oat_content=url</x:v>
      </x:c>
      <x:c r="X151" s="20" t="str"/>
      <x:c r="Y151" s="20" t="str">
        <x:v>https://www.google.com/maps/search/?api=1&amp;query=EMSPHERE%20%E0%B8%81%E0%B8%A3%E0%B8%B8%E0%B8%87%E0%B9%80%E0%B8%97%E0%B8%9E%E0%B8%A1%E0%B8%AB%E0%B8%B2%E0%B8%99%E0%B8%84%E0%B8%A3</x:v>
      </x:c>
      <x:c r="Z151" s="56" t="n">
        <x:v>13.7306163</x:v>
      </x:c>
      <x:c r="AA151" s="56" t="n">
        <x:v>100.5664563</x:v>
      </x:c>
      <x:c r="AB151" s="57" t="str"/>
      <x:c r="AC151" s="20" t="str">
        <x:v>https://emsphere.co.th/en/</x:v>
      </x:c>
    </x:row>
    <x:row r="152" ht="88" customHeight="1">
      <x:c r="A152" s="54" t="n">
        <x:v>144</x:v>
      </x:c>
      <x:c r="B152" s="20" t="str">
        <x:v>ICONSIAM</x:v>
      </x:c>
      <x:c r="C152" s="20" t="str">
        <x:v>กรุงเทพมหานคร</x:v>
      </x:c>
      <x:c r="D152" s="20" t="str">
        <x:v>การค้า</x:v>
      </x:c>
      <x:c r="E152" s="20" t="str">
        <x:v>พบข้อมูลชื่อตรงจาก ไอคอนสยาม | สมาคมการค้าธุรกิจในแม่น้ำเจ้าพระยา; เป็นหลักฐานตัวตน/ประเภท ยังไม่ยืนยันบริการมุสลิมครบเกณฑ์</x:v>
      </x:c>
      <x:c r="F152" s="20" t="str">
        <x:v>ไม่ทราบ</x:v>
      </x:c>
      <x:c r="G152" s="20" t="str">
        <x:v>ยังไม่ยืนยันใบรับรองและวันหมดอายุ</x:v>
      </x:c>
      <x:c r="H152" s="20" t="str">
        <x:v>ตรวจการเปิด ตัวตนสาขา ช่องทางติดต่อ และเงื่อนไขบังคับตามประเภท</x:v>
      </x:c>
      <x:c r="I152" s="20" t="str">
        <x:v>ยังไม่ยืนยันที่อยู่ละเอียด ดูลิงก์แหล่งข้อมูลและ Google Maps</x:v>
      </x:c>
      <x:c r="J152" s="21" t="str">
        <x:v>ยังไม่พบหรือยังไม่ยืนยัน</x:v>
      </x:c>
      <x:c r="K152" s="51" t="str">
        <x:v>https://www.crta.or.th/2023/08/15/iconsiam/</x:v>
      </x:c>
      <x:c r="L152" s="51" t="str">
        <x:v>https://elibrary.tsri.or.th/fullP/RDG61T0129/RDG61T0129V03/RDG61T0129V03_full.pdf</x:v>
      </x:c>
      <x:c r="M152" s="20" t="str">
        <x:v>พบแหล่งต่างเว็บไซต์ (1) ICONSIAM เป็นโครงการพัฒนาพื้นที่เชิงพาณิชยกรรมแบบผสมบนพื้นที่ 50 ไร่ริมแม่น้ำเจ้าพระยา บริเวณซอยเจริญนคร 5 และอีก 5 ไร่บริเวณฝั่งตรงข้าม ถนนเจริญนคร ใกล้ปากซอยเจริญนคร 4 ในพื้นที่แขวงคลองต้นไทร เขตคลองสาน กรุงเทพมหานคร เกิดจากการร่วมมือกันระหว่างสยามพิวรรธน์ เครือเจริญโภคภัณฑ์ และ แมกโนเลีย ควอลิตี้ ดีเวล็อปเม้นต์ คอร์ปอเรชั่น มีพิธีเปิดโครงการในวันที่ 9 พฤศจิกายน พ.ศ. 2561 ที่ผ่านมา โครงการประกอบด้วยอาคารศูนย์การค้าขนาดใหญ่ริมแม่น้ำเจ้าพระยาจำนวนสองอาคารเชื่อมต่อกัน ซึ่งมีพื้นที่ขายรวมกันมากเป็นอันดับที่ 2 ของประเทศไทย รองจากเซ็นทรัลพลาซา เวสต์เกต, อาคารชุดเพื่อการพักอาศัย 2 อาคาร ซึ่งหนึ่งในนั้นเป็นอาคารที่สูงที่สุดในประเทศไทย และอาคารศูนย์การค้าขนาดกลางที่เชื่อมต่อกับอาคารโรงแรม โดยพื้นที่ทั้งหมดเชื่อมต่อกันด้วยถนนภายในโครงการและสถานีรถไฟฟ้าสายสีทอง</x:v>
      </x:c>
      <x:c r="N152" s="28" t="n">
        <x:v>46316</x:v>
      </x:c>
      <x:c r="O152" s="57" t="str">
        <x:v>ยังไม่ตรวจ</x:v>
      </x:c>
      <x:c r="P152" s="57" t="str">
        <x:v>ยังไม่ติดต่อ</x:v>
      </x:c>
      <x:c r="Q152" s="20" t="str">
        <x:v>R26-249</x:v>
      </x:c>
      <x:c r="R152" s="20" t="str">
        <x:v>ICONSIAM</x:v>
      </x:c>
      <x:c r="S152" s="20" t="str"/>
      <x:c r="T152" s="20" t="str">
        <x:v>https://www.crta.or.th/2023/08/15/iconsiam/</x:v>
      </x:c>
      <x:c r="U152" s="20" t="str"/>
      <x:c r="V152" s="20" t="str"/>
      <x:c r="W152" s="20" t="str"/>
      <x:c r="X152" s="20" t="str"/>
      <x:c r="Y152" s="20" t="str">
        <x:v>https://www.google.com/maps/search/?api=1&amp;query=ICONSIAM%20%E0%B8%81%E0%B8%A3%E0%B8%B8%E0%B8%87%E0%B9%80%E0%B8%97%E0%B8%9E%E0%B8%A1%E0%B8%AB%E0%B8%B2%E0%B8%99%E0%B8%84%E0%B8%A3</x:v>
      </x:c>
      <x:c r="Z152" s="56" t="n">
        <x:v>13.7268227</x:v>
      </x:c>
      <x:c r="AA152" s="56" t="n">
        <x:v>100.510294</x:v>
      </x:c>
      <x:c r="AB152" s="57" t="str"/>
      <x:c r="AC152" s="20" t="str">
        <x:v>https://www.crta.or.th/2023/08/15/iconsiam/</x:v>
      </x:c>
    </x:row>
    <x:row r="153" ht="88" customHeight="1">
      <x:c r="A153" s="54" t="n">
        <x:v>145</x:v>
      </x:c>
      <x:c r="B153" s="20" t="str">
        <x:v>MBK Center</x:v>
      </x:c>
      <x:c r="C153" s="20" t="str">
        <x:v>กรุงเทพมหานคร</x:v>
      </x:c>
      <x:c r="D153" s="20" t="str">
        <x:v>การค้า</x:v>
      </x:c>
      <x:c r="E153" s="20" t="str">
        <x:v>พบข้อมูลชื่อตรงจาก MBK Center; เป็นหลักฐานตัวตน/ประเภท ยังไม่ยืนยันบริการมุสลิมครบเกณฑ์</x:v>
      </x:c>
      <x:c r="F153" s="20" t="str">
        <x:v>ไม่ทราบ</x:v>
      </x:c>
      <x:c r="G153" s="20" t="str">
        <x:v>ยังไม่ยืนยันใบรับรองและวันหมดอายุ</x:v>
      </x:c>
      <x:c r="H153" s="20" t="str">
        <x:v>ตรวจการเปิด ตัวตนสาขา ช่องทางติดต่อ และเงื่อนไขบังคับตามประเภท</x:v>
      </x:c>
      <x:c r="I153" s="20" t="str">
        <x:v>ยังไม่ยืนยันที่อยู่ละเอียด ดูลิงก์แหล่งข้อมูลและ Google Maps</x:v>
      </x:c>
      <x:c r="J153" s="21" t="str">
        <x:v>ยังไม่พบหรือยังไม่ยืนยัน</x:v>
      </x:c>
      <x:c r="K153" s="51" t="str">
        <x:v>https://en.wikipedia.org/wiki/MBK_Center</x:v>
      </x:c>
      <x:c r="L153" s="51" t="str">
        <x:v>https://www.mbk-center.co.th/directory/shop/LET-S-RELAX/</x:v>
      </x:c>
      <x:c r="M153" s="20" t="str">
        <x:v>พบแหล่งต่างเว็บไซต์ เลทรีแล๊กซ์ - ศูนย์การค้า เอ็ม บี เค เซ็นเตอร์ | MBK Center</x:v>
      </x:c>
      <x:c r="N153" s="28" t="n">
        <x:v>46316</x:v>
      </x:c>
      <x:c r="O153" s="57" t="str">
        <x:v>ยังไม่ตรวจ</x:v>
      </x:c>
      <x:c r="P153" s="57" t="str">
        <x:v>ยังไม่ติดต่อ</x:v>
      </x:c>
      <x:c r="Q153" s="20" t="str">
        <x:v>R26-250</x:v>
      </x:c>
      <x:c r="R153" s="20" t="str">
        <x:v>MBK Center</x:v>
      </x:c>
      <x:c r="S153" s="20" t="str"/>
      <x:c r="T153" s="20" t="str">
        <x:v>https://en.wikipedia.org/wiki/MBK_Center</x:v>
      </x:c>
      <x:c r="U153" s="20" t="str"/>
      <x:c r="V153" s="20" t="str"/>
      <x:c r="W153" s="20" t="str"/>
      <x:c r="X153" s="20" t="str"/>
      <x:c r="Y153" s="20" t="str">
        <x:v>https://www.google.com/maps/search/?api=1&amp;query=MBK%20Center%20%E0%B8%81%E0%B8%A3%E0%B8%B8%E0%B8%87%E0%B9%80%E0%B8%97%E0%B8%9E%E0%B8%A1%E0%B8%AB%E0%B8%B2%E0%B8%99%E0%B8%84%E0%B8%A3</x:v>
      </x:c>
      <x:c r="Z153" s="56" t="n">
        <x:v>13.745556</x:v>
      </x:c>
      <x:c r="AA153" s="56" t="n">
        <x:v>100.53</x:v>
      </x:c>
      <x:c r="AB153" s="57" t="str"/>
      <x:c r="AC153" s="20" t="str">
        <x:v>https://en.wikipedia.org/wiki/MBK_Center</x:v>
      </x:c>
    </x:row>
    <x:row r="154" ht="88" customHeight="1">
      <x:c r="A154" s="54" t="n">
        <x:v>146</x:v>
      </x:c>
      <x:c r="B154" s="20" t="str">
        <x:v>Terminal 21 Asok</x:v>
      </x:c>
      <x:c r="C154" s="20" t="str">
        <x:v>กรุงเทพมหานคร</x:v>
      </x:c>
      <x:c r="D154" s="20" t="str">
        <x:v>การค้า</x:v>
      </x:c>
      <x:c r="E154" s="20" t="str">
        <x:v>พบข้อมูลชื่อตรงจาก Let's Relax Spa Bangkok Terminal 21 Asok | Let's Relax Spa; เป็นหลักฐานตัวตน/ประเภท ยังไม่ยืนยันบริการมุสลิมครบเกณฑ์</x:v>
      </x:c>
      <x:c r="F154" s="20" t="str">
        <x:v>ไม่ทราบ</x:v>
      </x:c>
      <x:c r="G154" s="20" t="str">
        <x:v>ยังไม่ยืนยันใบรับรองและวันหมดอายุ</x:v>
      </x:c>
      <x:c r="H154" s="20" t="str">
        <x:v>ตรวจการเปิด ตัวตนสาขา ช่องทางติดต่อ และเงื่อนไขบังคับตามประเภท</x:v>
      </x:c>
      <x:c r="I154" s="20" t="str">
        <x:v>ยังไม่ยืนยันที่อยู่ละเอียด ดูลิงก์แหล่งข้อมูลและ Google Maps</x:v>
      </x:c>
      <x:c r="J154" s="21" t="str">
        <x:v>+66 9 5364 8272 / +66 2108 0555</x:v>
      </x:c>
      <x:c r="K154" s="51" t="str">
        <x:v>https://letsrelaxspa.com/branches/bangkok-terminal-21-asok/</x:v>
      </x:c>
      <x:c r="L154" s="51" t="str">
        <x:v>https://en.wikipedia.org/wiki/Terminal_21</x:v>
      </x:c>
      <x:c r="M154" s="20" t="str">
        <x:v>พบแหล่งต่างเว็บไซต์ Terminal 21</x:v>
      </x:c>
      <x:c r="N154" s="28" t="n">
        <x:v>46316</x:v>
      </x:c>
      <x:c r="O154" s="57" t="str">
        <x:v>ยังไม่ตรวจ</x:v>
      </x:c>
      <x:c r="P154" s="57" t="str">
        <x:v>ยังไม่ติดต่อ</x:v>
      </x:c>
      <x:c r="Q154" s="20" t="str">
        <x:v>R26-251</x:v>
      </x:c>
      <x:c r="R154" s="20" t="str">
        <x:v>Terminal 21 Asok</x:v>
      </x:c>
      <x:c r="S154" s="20" t="str"/>
      <x:c r="T154" s="20" t="str">
        <x:v>https://letsrelaxspa.com/branches/bangkok-terminal-21-asok/</x:v>
      </x:c>
      <x:c r="U154" s="20" t="str">
        <x:v>https://www.facebook.com/letsrelaxspa.official/</x:v>
      </x:c>
      <x:c r="V154" s="20" t="str">
        <x:v>https://www.instagram.com/letsrelaxspa.official/?hl=en</x:v>
      </x:c>
      <x:c r="W154" s="20" t="str"/>
      <x:c r="X154" s="20" t="str"/>
      <x:c r="Y154" s="20" t="str">
        <x:v>https://www.google.com/maps/search/?api=1&amp;query=Terminal%2021%20Asok%20%E0%B8%81%E0%B8%A3%E0%B8%B8%E0%B8%87%E0%B9%80%E0%B8%97%E0%B8%9E%E0%B8%A1%E0%B8%AB%E0%B8%B2%E0%B8%99%E0%B8%84%E0%B8%A3</x:v>
      </x:c>
      <x:c r="Z154" s="56" t="n">
        <x:v>13.7375</x:v>
      </x:c>
      <x:c r="AA154" s="56" t="n">
        <x:v>100.560556</x:v>
      </x:c>
      <x:c r="AB154" s="57" t="str"/>
      <x:c r="AC154" s="20" t="str">
        <x:v>https://letsrelaxspa.com/branches/bangkok-terminal-21-asok/</x:v>
      </x:c>
    </x:row>
    <x:row r="155" ht="88" customHeight="1">
      <x:c r="A155" s="54" t="n">
        <x:v>147</x:v>
      </x:c>
      <x:c r="B155" s="20" t="str">
        <x:v>The Mall Lifestore Bangkapi</x:v>
      </x:c>
      <x:c r="C155" s="20" t="str">
        <x:v>กรุงเทพมหานคร</x:v>
      </x:c>
      <x:c r="D155" s="20" t="str">
        <x:v>การค้า</x:v>
      </x:c>
      <x:c r="E155" s="20" t="str">
        <x:v>พบข้อมูลชื่อตรงจาก The Mall Lifestore Bangkapi - 3522 Lat Phrao Road, Khwaeng Khlong Chan, Khet Bang Kapi | Corner; เป็นหลักฐานตัวตน/ประเภท ยังไม่ยืนยันบริการมุสลิมครบเกณฑ์</x:v>
      </x:c>
      <x:c r="F155" s="20" t="str">
        <x:v>ไม่ทราบ</x:v>
      </x:c>
      <x:c r="G155" s="20" t="str">
        <x:v>ยังไม่ยืนยันใบรับรองและวันหมดอายุ</x:v>
      </x:c>
      <x:c r="H155" s="20" t="str">
        <x:v>ตรวจการเปิด ตัวตนสาขา ช่องทางติดต่อ และเงื่อนไขบังคับตามประเภท</x:v>
      </x:c>
      <x:c r="I155" s="20" t="str">
        <x:v>ยังไม่ยืนยันที่อยู่ละเอียด ดูลิงก์แหล่งข้อมูลและ Google Maps</x:v>
      </x:c>
      <x:c r="J155" s="21" t="str">
        <x:v>ยังไม่พบหรือยังไม่ยืนยัน</x:v>
      </x:c>
      <x:c r="K155" s="51" t="str">
        <x:v>https://www.corner.inc/place/pDKXPmPWBN8t</x:v>
      </x:c>
      <x:c r="L155" s="51" t="str">
        <x:v>https://www.youtube.com/watch?v=cWcxT3Q4ibc</x:v>
      </x:c>
      <x:c r="M155" s="20" t="str">
        <x:v>พบแหล่งต่างเว็บไซต์ เดอะมอลล์ไลฟ์สโตร์ บางกะปิ | The Mall Lifestore Bangkapi - YouTube</x:v>
      </x:c>
      <x:c r="N155" s="28" t="n">
        <x:v>46316</x:v>
      </x:c>
      <x:c r="O155" s="57" t="str">
        <x:v>ยังไม่ตรวจ</x:v>
      </x:c>
      <x:c r="P155" s="57" t="str">
        <x:v>ยังไม่ติดต่อ</x:v>
      </x:c>
      <x:c r="Q155" s="20" t="str">
        <x:v>R26-256</x:v>
      </x:c>
      <x:c r="R155" s="20" t="str">
        <x:v>The Mall Lifestore Bangkapi</x:v>
      </x:c>
      <x:c r="S155" s="20" t="str"/>
      <x:c r="T155" s="20" t="str">
        <x:v>https://www.corner.inc/place/pDKXPmPWBN8t</x:v>
      </x:c>
      <x:c r="U155" s="20" t="str"/>
      <x:c r="V155" s="20" t="str"/>
      <x:c r="W155" s="20" t="str"/>
      <x:c r="X155" s="20" t="str"/>
      <x:c r="Y155" s="20" t="str">
        <x:v>https://www.google.com/maps/search/?api=1&amp;query=The%20Mall%20Lifestore%20Bangkapi%20%E0%B8%81%E0%B8%A3%E0%B8%B8%E0%B8%87%E0%B9%80%E0%B8%97%E0%B8%9E%E0%B8%A1%E0%B8%AB%E0%B8%B2%E0%B8%99%E0%B8%84%E0%B8%A3</x:v>
      </x:c>
      <x:c r="Z155" s="56" t="n">
        <x:v>13.7657911</x:v>
      </x:c>
      <x:c r="AA155" s="56" t="n">
        <x:v>100.6426729</x:v>
      </x:c>
      <x:c r="AB155" s="57" t="str"/>
      <x:c r="AC155" s="20" t="str">
        <x:v>https://www.corner.inc/place/pDKXPmPWBN8t</x:v>
      </x:c>
    </x:row>
    <x:row r="156" ht="88" customHeight="1">
      <x:c r="A156" s="54" t="n">
        <x:v>148</x:v>
      </x:c>
      <x:c r="B156" s="20" t="str">
        <x:v>สยามพารากอน</x:v>
      </x:c>
      <x:c r="C156" s="20" t="str">
        <x:v>กรุงเทพมหานคร</x:v>
      </x:c>
      <x:c r="D156" s="20" t="str">
        <x:v>ศูนย์การค้า</x:v>
      </x:c>
      <x:c r="E156" s="20" t="str">
        <x:v>ผู้ประกอบการระบุห้องละหมาดชั้น B1 เปิดทุกวัน ต้องยืนยันร้านฮาลาลที่ได้รับรองและที่อาบน้ำละหมาด</x:v>
      </x:c>
      <x:c r="F156" s="20" t="str">
        <x:v>มีข้อมูลระบุ แต่รอยืนยัน</x:v>
      </x:c>
      <x:c r="G156" s="20" t="str">
        <x:v>ยังไม่พบเอกสารรับรองและวันหมดอายุ</x:v>
      </x:c>
      <x:c r="H156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156" s="20" t="str">
        <x:v>ยังไม่ยืนยันที่อยู่ละเอียด ดูลิงก์แหล่งข้อมูลและ Google Maps</x:v>
      </x:c>
      <x:c r="J156" s="21" t="str">
        <x:v>ยังไม่พบหรือยังไม่ยืนยัน</x:v>
      </x:c>
      <x:c r="K156" s="51" t="str">
        <x:v>https://tourist.onesiam.com/en/inspired/4595/explore-exclusive-services-and-facilities/</x:v>
      </x:c>
      <x:c r="L156" s="51" t="str">
        <x:v>https://th.tripadvisor.com/Attraction_Review-g293916-d600199-Reviews-Siam_Paragon-Bangkok.html</x:v>
      </x:c>
      <x:c r="M156" s="20" t="str">
        <x:v>ผลค้นหาชื่อสัมพันธ์จากแหล่งเพิ่มเติม ต้องยืนยันสาขาและข้อมูลปัจจุบัน</x:v>
      </x:c>
      <x:c r="N156" s="28" t="n">
        <x:v>46315</x:v>
      </x:c>
      <x:c r="O156" s="57" t="str">
        <x:v>ยังไม่ตรวจ</x:v>
      </x:c>
      <x:c r="P156" s="57" t="str">
        <x:v>ยังไม่ติดต่อ</x:v>
      </x:c>
      <x:c r="Q156" s="20" t="str">
        <x:v>TMF-278</x:v>
      </x:c>
      <x:c r="R156" s="20" t="str"/>
      <x:c r="S156" s="20" t="str"/>
      <x:c r="T156" s="20" t="str">
        <x:v>https://tourist.onesiam.com/en/inspired/4595/explore-exclusive-services-and-facilities/</x:v>
      </x:c>
      <x:c r="U156" s="20" t="str"/>
      <x:c r="V156" s="20" t="str"/>
      <x:c r="W156" s="20" t="str"/>
      <x:c r="X156" s="20" t="str"/>
      <x:c r="Y156" s="20" t="str">
        <x:v>https://www.google.com/maps/search/?api=1&amp;query=%E0%B8%AA%E0%B8%A2%E0%B8%B2%E0%B8%A1%E0%B8%9E%E0%B8%B2%E0%B8%A3%E0%B8%B2%E0%B8%81%E0%B8%AD%E0%B8%99%20%E0%B8%81%E0%B8%A3%E0%B8%B8%E0%B8%87%E0%B9%80%E0%B8%97%E0%B8%9E%E0%B8%A1%E0%B8%AB%E0%B8%B2%E0%B8%99%E0%B8%84%E0%B8%A3</x:v>
      </x:c>
      <x:c r="Z156" s="56" t="n">
        <x:v>13.746778</x:v>
      </x:c>
      <x:c r="AA156" s="56" t="n">
        <x:v>100.534954</x:v>
      </x:c>
      <x:c r="AB156" s="57" t="str"/>
      <x:c r="AC156" s="20" t="str">
        <x:v>https://tourist.onesiam.com/en/inspired/4595/explore-exclusive-services-and-facilities/</x:v>
      </x:c>
    </x:row>
    <x:row r="157" ht="88" customHeight="1">
      <x:c r="A157" s="54" t="n">
        <x:v>149</x:v>
      </x:c>
      <x:c r="B157" s="20" t="str">
        <x:v>เซ็นทรัลเวิลด์</x:v>
      </x:c>
      <x:c r="C157" s="20" t="str">
        <x:v>กรุงเทพมหานคร</x:v>
      </x:c>
      <x:c r="D157" s="20" t="str">
        <x:v>ศูนย์การค้า</x:v>
      </x:c>
      <x:c r="E157" s="20" t="str">
        <x:v>ผู้ประกอบการระบุห้องละหมาดชั้น 1 โซน Eden และตัวเลือกร้านฮาลาล ยังต้องตรวจใบรับรองร้านและที่อาบน้ำละหมาด</x:v>
      </x:c>
      <x:c r="F157" s="20" t="str">
        <x:v>มีข้อมูลระบุ แต่รอยืนยัน</x:v>
      </x:c>
      <x:c r="G157" s="20" t="str">
        <x:v>ยังไม่พบเอกสารรับรองและวันหมดอายุ</x:v>
      </x:c>
      <x:c r="H15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57" s="20" t="str">
        <x:v>ยังไม่ยืนยันที่อยู่ละเอียด ดูลิงก์แหล่งข้อมูลและ Google Maps</x:v>
      </x:c>
      <x:c r="J157" s="21" t="str">
        <x:v>ยังไม่พบหรือยังไม่ยืนยัน</x:v>
      </x:c>
      <x:c r="K157" s="51" t="str">
        <x:v>https://centralworld.co.th/en/news/CTW-A-Practical-Muslim-Traveller</x:v>
      </x:c>
      <x:c r="L157" s="51" t="str">
        <x:v>https://th.tripadvisor.com/Attraction_Review-g293916-d549670-Reviews-CentralWorld-Bangkok.html</x:v>
      </x:c>
      <x:c r="M157" s="20" t="str">
        <x:v>ผลค้นหาชื่อสัมพันธ์จากแหล่งเพิ่มเติม ต้องยืนยันสาขาและข้อมูลปัจจุบัน</x:v>
      </x:c>
      <x:c r="N157" s="28" t="n">
        <x:v>46315</x:v>
      </x:c>
      <x:c r="O157" s="57" t="str">
        <x:v>ยังไม่ตรวจ</x:v>
      </x:c>
      <x:c r="P157" s="57" t="str">
        <x:v>ยังไม่ติดต่อ</x:v>
      </x:c>
      <x:c r="Q157" s="20" t="str">
        <x:v>TMF-098</x:v>
      </x:c>
      <x:c r="R157" s="20" t="str"/>
      <x:c r="S157" s="20" t="str"/>
      <x:c r="T157" s="20" t="str">
        <x:v>https://centralworld.co.th/en/news/CTW-A-Practical-Muslim-Traveller</x:v>
      </x:c>
      <x:c r="U157" s="20" t="str"/>
      <x:c r="V157" s="20" t="str"/>
      <x:c r="W157" s="20" t="str"/>
      <x:c r="X157" s="20" t="str"/>
      <x:c r="Y157" s="20" t="str">
        <x:v>https://www.google.com/maps/search/?api=1&amp;query=%E0%B9%80%E0%B8%8B%E0%B9%87%E0%B8%99%E0%B8%97%E0%B8%A3%E0%B8%B1%E0%B8%A5%E0%B9%80%E0%B8%A7%E0%B8%B4%E0%B8%A5%E0%B8%94%E0%B9%8C%20%E0%B8%81%E0%B8%A3%E0%B8%B8%E0%B8%87%E0%B9%80%E0%B8%97%E0%B8%9E%E0%B8%A1%E0%B8%AB%E0%B8%B2%E0%B8%99%E0%B8%84%E0%B8%A3</x:v>
      </x:c>
      <x:c r="Z157" s="56" t="n">
        <x:v>13.746577</x:v>
      </x:c>
      <x:c r="AA157" s="56" t="n">
        <x:v>100.539041</x:v>
      </x:c>
      <x:c r="AB157" s="57" t="str"/>
      <x:c r="AC157" s="20" t="str">
        <x:v>https://centralworld.co.th/en/news/CTW-A-Practical-Muslim-Traveller</x:v>
      </x:c>
    </x:row>
    <x:row r="158" ht="88" customHeight="1">
      <x:c r="A158" s="54" t="n">
        <x:v>150</x:v>
      </x:c>
      <x:c r="B158" s="20" t="str">
        <x:v>พิพิธภัณฑ์เด็กกรุงเทพมหานคร แห่งที่ 2</x:v>
      </x:c>
      <x:c r="C158" s="20" t="str">
        <x:v>กรุงเทพมหานคร</x:v>
      </x:c>
      <x:c r="D158" s="20" t="str">
        <x:v>พิพิธภัณฑ์หรือแหล่งเรียนรู้วัฒนธรรม</x:v>
      </x:c>
      <x:c r="E158" s="20" t="str">
        <x:v>พบข้อมูลชื่อตรงจาก จาก ‘พิพิธภัณฑ์เด็กกรุงเทพมหานคร แห่งที่ 2 ทุ่งครุ’ สู่ ศูนย์การเรียนรู้สำหรับครอบครัว; เป็นหลักฐานตัวตน/ประเภท ยังไม่ยืนยันบริการมุสลิมครบเกณฑ์</x:v>
      </x:c>
      <x:c r="F158" s="20" t="str">
        <x:v>ไม่ทราบ</x:v>
      </x:c>
      <x:c r="G158" s="20" t="str">
        <x:v>ยังไม่ยืนยันใบรับรองและวันหมดอายุ</x:v>
      </x:c>
      <x:c r="H158" s="20" t="str">
        <x:v>ตรวจการเปิด ตัวตนสาขา ช่องทางติดต่อ และเงื่อนไขบังคับตามประเภท</x:v>
      </x:c>
      <x:c r="I158" s="20" t="str">
        <x:v>ยังไม่ยืนยันที่อยู่ละเอียด ดูลิงก์แหล่งข้อมูลและ Google Maps</x:v>
      </x:c>
      <x:c r="J158" s="21" t="str">
        <x:v>ยังไม่พบหรือยังไม่ยืนยัน</x:v>
      </x:c>
      <x:c r="K158" s="51" t="str">
        <x:v>https://opencontract.bangkok.go.th/main.html?itemId=0034</x:v>
      </x:c>
      <x:c r="L158" s="51" t="str">
        <x:v>https://www.museumthailand.com/index.php/museum/bangkok-family-center-thungkhru-2</x:v>
      </x:c>
      <x:c r="M158" s="20" t="str">
        <x:v>พบแหล่งต่างเว็บไซต์ พิพิธภัณฑ์เด็กกรุงเทพมหานครแห่งที่ 2 (ทุ่งครุ) — Museum Thailand</x:v>
      </x:c>
      <x:c r="N158" s="28" t="n">
        <x:v>46316</x:v>
      </x:c>
      <x:c r="O158" s="57" t="str">
        <x:v>ยังไม่ตรวจ</x:v>
      </x:c>
      <x:c r="P158" s="57" t="str">
        <x:v>ยังไม่ติดต่อ</x:v>
      </x:c>
      <x:c r="Q158" s="20" t="str">
        <x:v>R26-312</x:v>
      </x:c>
      <x:c r="R158" s="20" t="str"/>
      <x:c r="S158" s="20" t="str"/>
      <x:c r="T158" s="20" t="str">
        <x:v>https://opencontract.bangkok.go.th/main.html?itemId=0034</x:v>
      </x:c>
      <x:c r="U158" s="20" t="str"/>
      <x:c r="V158" s="20" t="str"/>
      <x:c r="W158" s="20" t="str"/>
      <x:c r="X158" s="20" t="str"/>
      <x:c r="Y158" s="20" t="str">
        <x:v>https://www.google.com/maps/search/?api=1&amp;query=%E0%B8%9E%E0%B8%B4%E0%B8%9E%E0%B8%B4%E0%B8%98%E0%B8%A0%E0%B8%B1%E0%B8%93%E0%B8%91%E0%B9%8C%E0%B9%80%E0%B8%94%E0%B9%87%E0%B8%81%E0%B8%81%E0%B8%A3%E0%B8%B8%E0%B8%87%E0%B9%80%E0%B8%97%E0%B8%9E%E0%B8%A1%E0%B8%AB%E0%B8%B2%E0%B8%99%E0%B8%84%E0%B8%A3%20%E0%B9%81%E0%B8%AB%E0%B9%88%E0%B8%87%E0%B8%97%E0%B8%B5%E0%B9%88%202%20%E0%B8%81%E0%B8%A3%E0%B8%B8%E0%B8%87%E0%B9%80%E0%B8%97%E0%B8%9E%E0%B8%A1%E0%B8%AB%E0%B8%B2%E0%B8%99%E0%B8%84%E0%B8%A3</x:v>
      </x:c>
      <x:c r="Z158" s="56" t="n">
        <x:v>13.648145</x:v>
      </x:c>
      <x:c r="AA158" s="56" t="n">
        <x:v>100.492336</x:v>
      </x:c>
      <x:c r="AB158" s="57" t="str"/>
      <x:c r="AC158" s="20" t="str">
        <x:v>https://opencontract.bangkok.go.th/main.html?itemId=0034</x:v>
      </x:c>
    </x:row>
    <x:row r="159" ht="88" customHeight="1">
      <x:c r="A159" s="54" t="n">
        <x:v>151</x:v>
      </x:c>
      <x:c r="B159" s="20" t="str">
        <x:v>มัรกัส มีนบุรี</x:v>
      </x:c>
      <x:c r="C159" s="20" t="str">
        <x:v>กรุงเทพมหานคร</x:v>
      </x:c>
      <x:c r="D159" s="20" t="str">
        <x:v>มัสยิด</x:v>
      </x:c>
      <x:c r="E159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59" s="20" t="str">
        <x:v>มีข้อมูลระบุ แต่รอยืนยัน</x:v>
      </x:c>
      <x:c r="G159" s="20" t="str">
        <x:v>ยังไม่พบเอกสารรับรองและวันหมดอายุ</x:v>
      </x:c>
      <x:c r="H15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59" s="20" t="str">
        <x:v>292 ถนนราษฎร์อุทิศ แขวงแสนแสบ เขตมีนบุรี กรุงเทพมหานคร 10510</x:v>
      </x:c>
      <x:c r="J159" s="21" t="str">
        <x:v>02-543-8586</x:v>
      </x:c>
      <x:c r="K159" s="51" t="str">
        <x:v>https://www.thic.or.th/th/tourist/detail/mosques/181</x:v>
      </x:c>
      <x:c r="L159" s="51" t="str">
        <x:v>https://ae.trip.com/travel-guide/attraction/bangkok/alami-shura-markaz-bangkok-thailand-141703714</x:v>
      </x:c>
      <x:c r="M159" s="20" t="str">
        <x:v>ผลค้นหาชื่อสัมพันธ์จากแหล่งเพิ่มเติม ต้องยืนยันสาขาและข้อมูลปัจจุบัน</x:v>
      </x:c>
      <x:c r="N159" s="28" t="n">
        <x:v>46315</x:v>
      </x:c>
      <x:c r="O159" s="57" t="str">
        <x:v>ยังไม่ตรวจ</x:v>
      </x:c>
      <x:c r="P159" s="57" t="str">
        <x:v>ยังไม่ติดต่อ</x:v>
      </x:c>
      <x:c r="Q159" s="20" t="str">
        <x:v>TMF-279</x:v>
      </x:c>
      <x:c r="R159" s="20" t="str"/>
      <x:c r="S159" s="20" t="str"/>
      <x:c r="T159" s="20" t="str">
        <x:v>https://www.thic.or.th/th/tourist/detail/mosques/181</x:v>
      </x:c>
      <x:c r="U159" s="20" t="str"/>
      <x:c r="V159" s="20" t="str"/>
      <x:c r="W159" s="20" t="str"/>
      <x:c r="X159" s="20" t="str"/>
      <x:c r="Y159" s="20" t="str">
        <x:v>https://www.google.com/maps/search/?api=1&amp;query=%E0%B8%A1%E0%B8%B1%E0%B8%A3%E0%B8%81%E0%B8%B1%E0%B8%AA%20%E0%B8%A1%E0%B8%B5%E0%B8%99%E0%B8%9A%E0%B8%B8%E0%B8%A3%E0%B8%B5%20%E0%B8%81%E0%B8%A3%E0%B8%B8%E0%B8%87%E0%B9%80%E0%B8%97%E0%B8%9E%E0%B8%A1%E0%B8%AB%E0%B8%B2%E0%B8%99%E0%B8%84%E0%B8%A3</x:v>
      </x:c>
      <x:c r="Z159" s="56" t="n">
        <x:v>13.834883</x:v>
      </x:c>
      <x:c r="AA159" s="56" t="n">
        <x:v>100.775375</x:v>
      </x:c>
      <x:c r="AB159" s="57" t="str"/>
      <x:c r="AC159" s="20" t="str">
        <x:v>https://www.thic.or.th/th/tourist/detail/mosques/181</x:v>
      </x:c>
    </x:row>
    <x:row r="160" ht="88" customHeight="1">
      <x:c r="A160" s="54" t="n">
        <x:v>152</x:v>
      </x:c>
      <x:c r="B160" s="20" t="str">
        <x:v>มัสยิดกมาลุ้ลอิสลาม (ทรายกองดิน)</x:v>
      </x:c>
      <x:c r="C160" s="20" t="str">
        <x:v>กรุงเทพมหานคร</x:v>
      </x:c>
      <x:c r="D160" s="20" t="str">
        <x:v>มัสยิด</x:v>
      </x:c>
      <x:c r="E160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0" s="20" t="str">
        <x:v>มีข้อมูลระบุ แต่รอยืนยัน</x:v>
      </x:c>
      <x:c r="G160" s="20" t="str">
        <x:v>ยังไม่พบเอกสารรับรองและวันหมดอายุ</x:v>
      </x:c>
      <x:c r="H160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0" s="20" t="str">
        <x:v>ซอย ประชาร่วมใจ 48 แขวงทรายกองดินใต้ เขตคลองสามวา กรุงเทพมหานคร 10510</x:v>
      </x:c>
      <x:c r="J160" s="21" t="str">
        <x:v>+66 2 916 8779</x:v>
      </x:c>
      <x:c r="K160" s="51" t="str">
        <x:v>https://www.thic.or.th/th/tourist/detail/mosques/309</x:v>
      </x:c>
      <x:c r="L160" s="51" t="str">
        <x:v>https://wikicommunity.sac.or.th/community/1858</x:v>
      </x:c>
      <x:c r="M160" s="20" t="str">
        <x:v>ผลค้นหาชื่อสัมพันธ์จากแหล่งเพิ่มเติม ต้องยืนยันสาขาและข้อมูลปัจจุบัน</x:v>
      </x:c>
      <x:c r="N160" s="28" t="n">
        <x:v>46315</x:v>
      </x:c>
      <x:c r="O160" s="57" t="str">
        <x:v>ยังไม่ตรวจ</x:v>
      </x:c>
      <x:c r="P160" s="57" t="str">
        <x:v>ยังไม่ติดต่อ</x:v>
      </x:c>
      <x:c r="Q160" s="20" t="str">
        <x:v>TMF-280</x:v>
      </x:c>
      <x:c r="R160" s="20" t="str"/>
      <x:c r="S160" s="20" t="str"/>
      <x:c r="T160" s="20" t="str">
        <x:v>https://www.thic.or.th/th/tourist/detail/mosques/309</x:v>
      </x:c>
      <x:c r="U160" s="20" t="str"/>
      <x:c r="V160" s="20" t="str"/>
      <x:c r="W160" s="20" t="str"/>
      <x:c r="X160" s="20" t="str"/>
      <x:c r="Y160" s="20" t="str">
        <x:v>https://www.google.com/maps/search/?api=1&amp;query=%E0%B8%A1%E0%B8%B1%E0%B8%AA%E0%B8%A2%E0%B8%B4%E0%B8%94%E0%B8%81%E0%B8%A1%E0%B8%B2%E0%B8%A5%E0%B8%B8%E0%B9%89%E0%B8%A5%E0%B8%AD%E0%B8%B4%E0%B8%AA%E0%B8%A5%E0%B8%B2%E0%B8%A1%20%28%E0%B8%97%E0%B8%A3%E0%B8%B2%E0%B8%A2%E0%B8%81%E0%B8%AD%E0%B8%87%E0%B8%94%E0%B8%B4%E0%B8%99%29%20%E0%B8%81%E0%B8%A3%E0%B8%B8%E0%B8%87%E0%B9%80%E0%B8%97%E0%B8%9E%E0%B8%A1%E0%B8%AB%E0%B8%B2%E0%B8%99%E0%B8%84%E0%B8%A3</x:v>
      </x:c>
      <x:c r="Z160" s="56" t="n">
        <x:v>13.835654</x:v>
      </x:c>
      <x:c r="AA160" s="56" t="n">
        <x:v>100.770842</x:v>
      </x:c>
      <x:c r="AB160" s="57" t="str"/>
      <x:c r="AC160" s="20" t="str">
        <x:v>https://www.thic.or.th/th/tourist/detail/mosques/309</x:v>
      </x:c>
    </x:row>
    <x:row r="161" ht="88" customHeight="1">
      <x:c r="A161" s="54" t="n">
        <x:v>153</x:v>
      </x:c>
      <x:c r="B161" s="20" t="str">
        <x:v>มัสยิดกมาลุ้ลเอี๊ยะห์ซาน (มัสยิดกระจก)</x:v>
      </x:c>
      <x:c r="C161" s="20" t="str">
        <x:v>กรุงเทพมหานคร</x:v>
      </x:c>
      <x:c r="D161" s="20" t="str">
        <x:v>มัสยิด</x:v>
      </x:c>
      <x:c r="E16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1" s="20" t="str">
        <x:v>มีข้อมูลระบุ แต่รอยืนยัน</x:v>
      </x:c>
      <x:c r="G161" s="20" t="str">
        <x:v>ยังไม่พบเอกสารรับรองและวันหมดอายุ</x:v>
      </x:c>
      <x:c r="H16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1" s="20" t="str">
        <x:v>35 ซ. ราษฎร์อุทิศ 26 แขวงแสนแสบ เขตมีนบุรี กรุงเทพมหานคร 10510</x:v>
      </x:c>
      <x:c r="J161" s="21" t="str">
        <x:v>083-609-8336</x:v>
      </x:c>
      <x:c r="K161" s="51" t="str">
        <x:v>https://www.thic.or.th/th/tourist/detail/mosques/183</x:v>
      </x:c>
      <x:c r="L161" s="51" t="str">
        <x:v>https://th.trip.com/travel-guide/attraction/bangkok/kamalul-yassan-mosque-141566692</x:v>
      </x:c>
      <x:c r="M161" s="20" t="str">
        <x:v>ผลค้นหาชื่อสัมพันธ์จากแหล่งเพิ่มเติม ต้องยืนยันสาขาและข้อมูลปัจจุบัน</x:v>
      </x:c>
      <x:c r="N161" s="28" t="n">
        <x:v>46315</x:v>
      </x:c>
      <x:c r="O161" s="57" t="str">
        <x:v>ยังไม่ตรวจ</x:v>
      </x:c>
      <x:c r="P161" s="57" t="str">
        <x:v>ยังไม่ติดต่อ</x:v>
      </x:c>
      <x:c r="Q161" s="20" t="str">
        <x:v>TMF-281</x:v>
      </x:c>
      <x:c r="R161" s="20" t="str"/>
      <x:c r="S161" s="20" t="str"/>
      <x:c r="T161" s="20" t="str">
        <x:v>https://www.thic.or.th/th/tourist/detail/mosques/183</x:v>
      </x:c>
      <x:c r="U161" s="20" t="str"/>
      <x:c r="V161" s="20" t="str"/>
      <x:c r="W161" s="20" t="str"/>
      <x:c r="X161" s="20" t="str"/>
      <x:c r="Y161" s="20" t="str">
        <x:v>https://www.google.com/maps/search/?api=1&amp;query=%E0%B8%A1%E0%B8%B1%E0%B8%AA%E0%B8%A2%E0%B8%B4%E0%B8%94%E0%B8%81%E0%B8%A1%E0%B8%B2%E0%B8%A5%E0%B8%B8%E0%B9%89%E0%B8%A5%E0%B9%80%E0%B8%AD%E0%B8%B5%E0%B9%8A%E0%B8%A2%E0%B8%B0%E0%B8%AB%E0%B9%8C%E0%B8%8B%E0%B8%B2%E0%B8%99%20%28%E0%B8%A1%E0%B8%B1%E0%B8%AA%E0%B8%A2%E0%B8%B4%E0%B8%94%E0%B8%81%E0%B8%A3%E0%B8%B0%E0%B8%88%E0%B8%81%29%20%E0%B8%81%E0%B8%A3%E0%B8%B8%E0%B8%87%E0%B9%80%E0%B8%97%E0%B8%9E%E0%B8%A1%E0%B8%AB%E0%B8%B2%E0%B8%99%E0%B8%84%E0%B8%A3</x:v>
      </x:c>
      <x:c r="Z161" s="56" t="n">
        <x:v>13.827394</x:v>
      </x:c>
      <x:c r="AA161" s="56" t="n">
        <x:v>100.768329</x:v>
      </x:c>
      <x:c r="AB161" s="57" t="str"/>
      <x:c r="AC161" s="20" t="str">
        <x:v>https://www.thic.or.th/th/tourist/detail/mosques/183</x:v>
      </x:c>
    </x:row>
    <x:row r="162" ht="88" customHeight="1">
      <x:c r="A162" s="54" t="n">
        <x:v>154</x:v>
      </x:c>
      <x:c r="B162" s="20" t="str">
        <x:v>มัสยิดซอลาฮุดดีน</x:v>
      </x:c>
      <x:c r="C162" s="20" t="str">
        <x:v>กรุงเทพมหานคร</x:v>
      </x:c>
      <x:c r="D162" s="20" t="str">
        <x:v>มัสยิด</x:v>
      </x:c>
      <x:c r="E162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2" s="20" t="str">
        <x:v>มีข้อมูลระบุ แต่รอยืนยัน</x:v>
      </x:c>
      <x:c r="G162" s="20" t="str">
        <x:v>ยังไม่พบเอกสารรับรองและวันหมดอายุ</x:v>
      </x:c>
      <x:c r="H16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2" s="20" t="str">
        <x:v>15/1 หมู่ที่ 9 ถนนสังฆสันติสุข แขวงหนองจอก เขตหนองจอก กรุงเทพมหานคร 10530</x:v>
      </x:c>
      <x:c r="J162" s="21" t="str">
        <x:v>02-952-3513</x:v>
      </x:c>
      <x:c r="K162" s="51" t="str">
        <x:v>https://www.thic.or.th/th/tourist/detail/mosques/315</x:v>
      </x:c>
      <x:c r="L162" s="51" t="str">
        <x:v>https://masjid.islamicbangkok.or.th/masjid/id/18419</x:v>
      </x:c>
      <x:c r="M162" s="20" t="str">
        <x:v>ผลค้นหาชื่อสัมพันธ์จากแหล่งเพิ่มเติม ต้องยืนยันสาขาและข้อมูลปัจจุบัน</x:v>
      </x:c>
      <x:c r="N162" s="28" t="n">
        <x:v>46315</x:v>
      </x:c>
      <x:c r="O162" s="57" t="str">
        <x:v>ยังไม่ตรวจ</x:v>
      </x:c>
      <x:c r="P162" s="57" t="str">
        <x:v>ยังไม่ติดต่อ</x:v>
      </x:c>
      <x:c r="Q162" s="20" t="str">
        <x:v>TMF-283</x:v>
      </x:c>
      <x:c r="R162" s="20" t="str"/>
      <x:c r="S162" s="20" t="str"/>
      <x:c r="T162" s="20" t="str">
        <x:v>https://www.thic.or.th/th/tourist/detail/mosques/315</x:v>
      </x:c>
      <x:c r="U162" s="20" t="str"/>
      <x:c r="V162" s="20" t="str"/>
      <x:c r="W162" s="20" t="str"/>
      <x:c r="X162" s="20" t="str"/>
      <x:c r="Y162" s="20" t="str">
        <x:v>https://www.google.com/maps/search/?api=1&amp;query=%E0%B8%A1%E0%B8%B1%E0%B8%AA%E0%B8%A2%E0%B8%B4%E0%B8%94%E0%B8%8B%E0%B8%AD%E0%B8%A5%E0%B8%B2%E0%B8%AE%E0%B8%B8%E0%B8%94%E0%B8%94%E0%B8%B5%E0%B8%99%20%E0%B8%81%E0%B8%A3%E0%B8%B8%E0%B8%87%E0%B9%80%E0%B8%97%E0%B8%9E%E0%B8%A1%E0%B8%AB%E0%B8%B2%E0%B8%99%E0%B8%84%E0%B8%A3</x:v>
      </x:c>
      <x:c r="Z162" s="56" t="n">
        <x:v>13.858242</x:v>
      </x:c>
      <x:c r="AA162" s="56" t="n">
        <x:v>100.859589</x:v>
      </x:c>
      <x:c r="AB162" s="57" t="str"/>
      <x:c r="AC162" s="20" t="str">
        <x:v>https://www.thic.or.th/th/tourist/detail/mosques/315</x:v>
      </x:c>
    </x:row>
    <x:row r="163" ht="88" customHeight="1">
      <x:c r="A163" s="54" t="n">
        <x:v>155</x:v>
      </x:c>
      <x:c r="B163" s="20" t="str">
        <x:v>มัสยิดญามีอุ๊ลค็อยร๊อต (บางอุทิศใน)</x:v>
      </x:c>
      <x:c r="C163" s="20" t="str">
        <x:v>กรุงเทพมหานคร</x:v>
      </x:c>
      <x:c r="D163" s="20" t="str">
        <x:v>มัสยิด</x:v>
      </x:c>
      <x:c r="E16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3" s="20" t="str">
        <x:v>มีข้อมูลระบุ แต่รอยืนยัน</x:v>
      </x:c>
      <x:c r="G163" s="20" t="str">
        <x:v>ยังไม่พบเอกสารรับรองและวันหมดอายุ</x:v>
      </x:c>
      <x:c r="H16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3" s="20" t="str">
        <x:v>208/1 ซอยบางอุทิศ ถนนเจริญกรุง95 แขวงวัดพระยาไกร เขตบางคอแหลม กรุงเทพมหานคร 10120</x:v>
      </x:c>
      <x:c r="J163" s="21" t="str">
        <x:v>08 6505 7055</x:v>
      </x:c>
      <x:c r="K163" s="51" t="str">
        <x:v>https://www.thic.or.th/th/tourist/detail/mosques/521</x:v>
      </x:c>
      <x:c r="L163" s="51" t="str">
        <x:v>https://masjid.islamicbangkok.or.th/masjid/id/39639</x:v>
      </x:c>
      <x:c r="M163" s="20" t="str">
        <x:v>ผลค้นหาชื่อสัมพันธ์จากแหล่งเพิ่มเติม ต้องยืนยันสาขาและข้อมูลปัจจุบัน</x:v>
      </x:c>
      <x:c r="N163" s="28" t="n">
        <x:v>46315</x:v>
      </x:c>
      <x:c r="O163" s="57" t="str">
        <x:v>ยังไม่ตรวจ</x:v>
      </x:c>
      <x:c r="P163" s="57" t="str">
        <x:v>ยังไม่ติดต่อ</x:v>
      </x:c>
      <x:c r="Q163" s="20" t="str">
        <x:v>TMF-284</x:v>
      </x:c>
      <x:c r="R163" s="20" t="str"/>
      <x:c r="S163" s="20" t="str"/>
      <x:c r="T163" s="20" t="str">
        <x:v>https://www.thic.or.th/th/tourist/detail/mosques/521</x:v>
      </x:c>
      <x:c r="U163" s="20" t="str"/>
      <x:c r="V163" s="20" t="str"/>
      <x:c r="W163" s="20" t="str"/>
      <x:c r="X163" s="20" t="str"/>
      <x:c r="Y163" s="20" t="str">
        <x:v>https://www.google.com/maps/search/?api=1&amp;query=%E0%B8%A1%E0%B8%B1%E0%B8%AA%E0%B8%A2%E0%B8%B4%E0%B8%94%E0%B8%8D%E0%B8%B2%E0%B8%A1%E0%B8%B5%E0%B8%AD%E0%B8%B8%E0%B9%8A%E0%B8%A5%E0%B8%84%E0%B9%87%E0%B8%AD%E0%B8%A2%E0%B8%A3%E0%B9%8A%E0%B8%AD%E0%B8%95%20%28%E0%B8%9A%E0%B8%B2%E0%B8%87%E0%B8%AD%E0%B8%B8%E0%B8%97%E0%B8%B4%E0%B8%A8%E0%B9%83%E0%B8%99%29%20%E0%B8%81%E0%B8%A3%E0%B8%B8%E0%B8%87%E0%B9%80%E0%B8%97%E0%B8%9E%E0%B8%A1%E0%B8%AB%E0%B8%B2%E0%B8%99%E0%B8%84%E0%B8%A3</x:v>
      </x:c>
      <x:c r="Z163" s="56" t="n">
        <x:v>13.699899</x:v>
      </x:c>
      <x:c r="AA163" s="56" t="n">
        <x:v>100.505975</x:v>
      </x:c>
      <x:c r="AB163" s="57" t="str"/>
      <x:c r="AC163" s="20" t="str">
        <x:v>https://www.thic.or.th/th/tourist/detail/mosques/521</x:v>
      </x:c>
    </x:row>
    <x:row r="164" ht="88" customHeight="1">
      <x:c r="A164" s="54" t="n">
        <x:v>156</x:v>
      </x:c>
      <x:c r="B164" s="20" t="str">
        <x:v>มัสยิดดารุล-อิหซาน</x:v>
      </x:c>
      <x:c r="C164" s="20" t="str">
        <x:v>กรุงเทพมหานคร</x:v>
      </x:c>
      <x:c r="D164" s="20" t="str">
        <x:v>มัสยิด</x:v>
      </x:c>
      <x:c r="E16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4" s="20" t="str">
        <x:v>มีข้อมูลระบุ แต่รอยืนยัน</x:v>
      </x:c>
      <x:c r="G164" s="20" t="str">
        <x:v>ยังไม่พบเอกสารรับรองและวันหมดอายุ</x:v>
      </x:c>
      <x:c r="H16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4" s="20" t="str">
        <x:v>33/7 ซอยจรัญสนิทวงศ์ 94 แขวงบางอ้อ เขตบางพลัด กรุงเทพมหานคร 10700</x:v>
      </x:c>
      <x:c r="J164" s="21" t="str">
        <x:v>0 2435 8073</x:v>
      </x:c>
      <x:c r="K164" s="51" t="str">
        <x:v>https://www.thic.or.th/th/tourist/detail/mosques/513</x:v>
      </x:c>
      <x:c r="L164" s="51" t="str">
        <x:v>https://www.cicot.or.th/th/mosque/detail/241/2/%E0%B8%A1%E0%B8%B1%E0%B8%AA%E0%B8%A2%E0%B8%B4%E0%B8%94%E0%B8%94%E0%B8%B2%E0%B8%A3%E0%B8%B8%E0%B8%A5-%E0%B8%AD%E0%B8%B4%E0%B8%AB%E0%B8%8B%E0%B8%B2%E0%B8%99</x:v>
      </x:c>
      <x:c r="M164" s="20" t="str">
        <x:v>ผลค้นหาชื่อสัมพันธ์จากแหล่งเพิ่มเติม ต้องยืนยันสาขาและข้อมูลปัจจุบัน</x:v>
      </x:c>
      <x:c r="N164" s="28" t="n">
        <x:v>46315</x:v>
      </x:c>
      <x:c r="O164" s="57" t="str">
        <x:v>ยังไม่ตรวจ</x:v>
      </x:c>
      <x:c r="P164" s="57" t="str">
        <x:v>ยังไม่ติดต่อ</x:v>
      </x:c>
      <x:c r="Q164" s="20" t="str">
        <x:v>TMF-285</x:v>
      </x:c>
      <x:c r="R164" s="20" t="str"/>
      <x:c r="S164" s="20" t="str"/>
      <x:c r="T164" s="20" t="str">
        <x:v>https://www.thic.or.th/th/tourist/detail/mosques/513</x:v>
      </x:c>
      <x:c r="U164" s="20" t="str"/>
      <x:c r="V164" s="20" t="str"/>
      <x:c r="W164" s="20" t="str"/>
      <x:c r="X164" s="20" t="str"/>
      <x:c r="Y164" s="20" t="str">
        <x:v>https://www.google.com/maps/search/?api=1&amp;query=%E0%B8%A1%E0%B8%B1%E0%B8%AA%E0%B8%A2%E0%B8%B4%E0%B8%94%E0%B8%94%E0%B8%B2%E0%B8%A3%E0%B8%B8%E0%B8%A5-%E0%B8%AD%E0%B8%B4%E0%B8%AB%E0%B8%8B%E0%B8%B2%E0%B8%99%20%E0%B8%81%E0%B8%A3%E0%B8%B8%E0%B8%87%E0%B9%80%E0%B8%97%E0%B8%9E%E0%B8%A1%E0%B8%AB%E0%B8%B2%E0%B8%99%E0%B8%84%E0%B8%A3</x:v>
      </x:c>
      <x:c r="Z164" s="56" t="n">
        <x:v>13.802817</x:v>
      </x:c>
      <x:c r="AA164" s="56" t="n">
        <x:v>100.51555</x:v>
      </x:c>
      <x:c r="AB164" s="57" t="str"/>
      <x:c r="AC164" s="20" t="str">
        <x:v>https://www.thic.or.th/th/tourist/detail/mosques/513</x:v>
      </x:c>
    </x:row>
    <x:row r="165" ht="88" customHeight="1">
      <x:c r="A165" s="54" t="n">
        <x:v>157</x:v>
      </x:c>
      <x:c r="B165" s="20" t="str">
        <x:v>มัสยิดดารุสซุนนี</x:v>
      </x:c>
      <x:c r="C165" s="20" t="str">
        <x:v>กรุงเทพมหานคร</x:v>
      </x:c>
      <x:c r="D165" s="20" t="str">
        <x:v>มัสยิด</x:v>
      </x:c>
      <x:c r="E165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5" s="20" t="str">
        <x:v>มีข้อมูลระบุ แต่รอยืนยัน</x:v>
      </x:c>
      <x:c r="G165" s="20" t="str">
        <x:v>ยังไม่พบเอกสารรับรองและวันหมดอายุ</x:v>
      </x:c>
      <x:c r="H16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5" s="20" t="str">
        <x:v>30/7 หมู่ 9 ซอยมิตรไมตรี 3 ถนน มิตรไมตรี แขวงหนองจอก เขตหนองจอก กรุงเทพมหานคร 10530</x:v>
      </x:c>
      <x:c r="J165" s="21" t="str">
        <x:v>ยังไม่พบหรือยังไม่ยืนยัน</x:v>
      </x:c>
      <x:c r="K165" s="51" t="str">
        <x:v>https://www.thic.or.th/th/tourist/detail/mosques/314</x:v>
      </x:c>
      <x:c r="L165" s="51" t="str">
        <x:v>https://bangkok.worldplaces.me/th/review/197547794.html</x:v>
      </x:c>
      <x:c r="M165" s="20" t="str">
        <x:v>ผลค้นหาชื่อสัมพันธ์จากแหล่งเพิ่มเติม ต้องยืนยันสาขาและข้อมูลปัจจุบัน</x:v>
      </x:c>
      <x:c r="N165" s="28" t="n">
        <x:v>46315</x:v>
      </x:c>
      <x:c r="O165" s="57" t="str">
        <x:v>ยังไม่ตรวจ</x:v>
      </x:c>
      <x:c r="P165" s="57" t="str">
        <x:v>ยังไม่ติดต่อ</x:v>
      </x:c>
      <x:c r="Q165" s="20" t="str">
        <x:v>TMF-287</x:v>
      </x:c>
      <x:c r="R165" s="20" t="str"/>
      <x:c r="S165" s="20" t="str"/>
      <x:c r="T165" s="20" t="str">
        <x:v>https://www.thic.or.th/th/tourist/detail/mosques/314</x:v>
      </x:c>
      <x:c r="U165" s="20" t="str"/>
      <x:c r="V165" s="20" t="str"/>
      <x:c r="W165" s="20" t="str"/>
      <x:c r="X165" s="20" t="str"/>
      <x:c r="Y165" s="20" t="str">
        <x:v>https://www.google.com/maps/search/?api=1&amp;query=%E0%B8%A1%E0%B8%B1%E0%B8%AA%E0%B8%A2%E0%B8%B4%E0%B8%94%E0%B8%94%E0%B8%B2%E0%B8%A3%E0%B8%B8%E0%B8%AA%E0%B8%8B%E0%B8%B8%E0%B8%99%E0%B8%99%E0%B8%B5%20%E0%B8%81%E0%B8%A3%E0%B8%B8%E0%B8%87%E0%B9%80%E0%B8%97%E0%B8%9E%E0%B8%A1%E0%B8%AB%E0%B8%B2%E0%B8%99%E0%B8%84%E0%B8%A3</x:v>
      </x:c>
      <x:c r="Z165" s="56" t="n">
        <x:v>13.858275</x:v>
      </x:c>
      <x:c r="AA165" s="56" t="n">
        <x:v>100.85203</x:v>
      </x:c>
      <x:c r="AB165" s="57" t="str"/>
      <x:c r="AC165" s="20" t="str">
        <x:v>https://www.thic.or.th/th/tourist/detail/mosques/314</x:v>
      </x:c>
    </x:row>
    <x:row r="166" ht="88" customHeight="1">
      <x:c r="A166" s="54" t="n">
        <x:v>158</x:v>
      </x:c>
      <x:c r="B166" s="20" t="str">
        <x:v>มัสยิดดารุสสลาม บาหยัน</x:v>
      </x:c>
      <x:c r="C166" s="20" t="str">
        <x:v>กรุงเทพมหานคร</x:v>
      </x:c>
      <x:c r="D166" s="20" t="str">
        <x:v>มัสยิด</x:v>
      </x:c>
      <x:c r="E166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6" s="20" t="str">
        <x:v>มีข้อมูลระบุ แต่รอยืนยัน</x:v>
      </x:c>
      <x:c r="G166" s="20" t="str">
        <x:v>ยังไม่พบเอกสารรับรองและวันหมดอายุ</x:v>
      </x:c>
      <x:c r="H16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6" s="20" t="str">
        <x:v>59/1 ถ. เลียบวารี แขวงโคกแฝด เขตหนองจอก กรุงเทพมหานคร 10530</x:v>
      </x:c>
      <x:c r="J166" s="21" t="str">
        <x:v>ยังไม่พบหรือยังไม่ยืนยัน</x:v>
      </x:c>
      <x:c r="K166" s="51" t="str">
        <x:v>https://www.thic.or.th/th/tourist/detail/mosques/305</x:v>
      </x:c>
      <x:c r="L166" s="51" t="str">
        <x:v>https://masjid.islamicbangkok.or.th/masjid/id/12674</x:v>
      </x:c>
      <x:c r="M166" s="20" t="str">
        <x:v>ผลค้นหาชื่อสัมพันธ์จากแหล่งเพิ่มเติม ต้องยืนยันสาขาและข้อมูลปัจจุบัน</x:v>
      </x:c>
      <x:c r="N166" s="28" t="n">
        <x:v>46315</x:v>
      </x:c>
      <x:c r="O166" s="57" t="str">
        <x:v>ยังไม่ตรวจ</x:v>
      </x:c>
      <x:c r="P166" s="57" t="str">
        <x:v>ยังไม่ติดต่อ</x:v>
      </x:c>
      <x:c r="Q166" s="20" t="str">
        <x:v>TMF-288</x:v>
      </x:c>
      <x:c r="R166" s="20" t="str"/>
      <x:c r="S166" s="20" t="str"/>
      <x:c r="T166" s="20" t="str">
        <x:v>https://www.thic.or.th/th/tourist/detail/mosques/305</x:v>
      </x:c>
      <x:c r="U166" s="20" t="str"/>
      <x:c r="V166" s="20" t="str"/>
      <x:c r="W166" s="20" t="str"/>
      <x:c r="X166" s="20" t="str"/>
      <x:c r="Y166" s="20" t="str">
        <x:v>https://www.google.com/maps/search/?api=1&amp;query=%E0%B8%A1%E0%B8%B1%E0%B8%AA%E0%B8%A2%E0%B8%B4%E0%B8%94%E0%B8%94%E0%B8%B2%E0%B8%A3%E0%B8%B8%E0%B8%AA%E0%B8%AA%E0%B8%A5%E0%B8%B2%E0%B8%A1%20%E0%B8%9A%E0%B8%B2%E0%B8%AB%E0%B8%A2%E0%B8%B1%E0%B8%99%20%E0%B8%81%E0%B8%A3%E0%B8%B8%E0%B8%87%E0%B9%80%E0%B8%97%E0%B8%9E%E0%B8%A1%E0%B8%AB%E0%B8%B2%E0%B8%99%E0%B8%84%E0%B8%A3</x:v>
      </x:c>
      <x:c r="Z166" s="56" t="n">
        <x:v>13.854546</x:v>
      </x:c>
      <x:c r="AA166" s="56" t="n">
        <x:v>100.823239</x:v>
      </x:c>
      <x:c r="AB166" s="57" t="str"/>
      <x:c r="AC166" s="20" t="str">
        <x:v>https://www.thic.or.th/th/tourist/detail/mosques/305</x:v>
      </x:c>
    </x:row>
    <x:row r="167" ht="88" customHeight="1">
      <x:c r="A167" s="54" t="n">
        <x:v>159</x:v>
      </x:c>
      <x:c r="B167" s="20" t="str">
        <x:v>มัสยิดดารุสสะลาม (เจียรดับใหญ่)</x:v>
      </x:c>
      <x:c r="C167" s="20" t="str">
        <x:v>กรุงเทพมหานคร</x:v>
      </x:c>
      <x:c r="D167" s="20" t="str">
        <x:v>มัสยิด</x:v>
      </x:c>
      <x:c r="E167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7" s="20" t="str">
        <x:v>มีข้อมูลระบุ แต่รอยืนยัน</x:v>
      </x:c>
      <x:c r="G167" s="20" t="str">
        <x:v>ยังไม่พบเอกสารรับรองและวันหมดอายุ</x:v>
      </x:c>
      <x:c r="H167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7" s="20" t="str">
        <x:v>32 หมู่ 1 ถนนเลียบวารี แขวงโคกแฝด เขตหนองจอก กรุงเทพมหานคร 10530</x:v>
      </x:c>
      <x:c r="J167" s="21" t="str">
        <x:v>0 2543 1248</x:v>
      </x:c>
      <x:c r="K167" s="51" t="str">
        <x:v>https://www.thic.or.th/th/tourist/detail/mosques/449</x:v>
      </x:c>
      <x:c r="L167" s="51" t="str">
        <x:v>https://masjid.islamicbangkok.or.th/masjid/id/12674</x:v>
      </x:c>
      <x:c r="M167" s="20" t="str">
        <x:v>ผลค้นหาชื่อสัมพันธ์จากแหล่งเพิ่มเติม ต้องยืนยันสาขาและข้อมูลปัจจุบัน</x:v>
      </x:c>
      <x:c r="N167" s="28" t="n">
        <x:v>46315</x:v>
      </x:c>
      <x:c r="O167" s="57" t="str">
        <x:v>ยังไม่ตรวจ</x:v>
      </x:c>
      <x:c r="P167" s="57" t="str">
        <x:v>ยังไม่ติดต่อ</x:v>
      </x:c>
      <x:c r="Q167" s="20" t="str">
        <x:v>TMF-289</x:v>
      </x:c>
      <x:c r="R167" s="20" t="str"/>
      <x:c r="S167" s="20" t="str"/>
      <x:c r="T167" s="20" t="str">
        <x:v>https://www.thic.or.th/th/tourist/detail/mosques/449</x:v>
      </x:c>
      <x:c r="U167" s="20" t="str"/>
      <x:c r="V167" s="20" t="str"/>
      <x:c r="W167" s="20" t="str"/>
      <x:c r="X167" s="20" t="str"/>
      <x:c r="Y167" s="20" t="str">
        <x:v>https://www.google.com/maps/search/?api=1&amp;query=%E0%B8%A1%E0%B8%B1%E0%B8%AA%E0%B8%A2%E0%B8%B4%E0%B8%94%E0%B8%94%E0%B8%B2%E0%B8%A3%E0%B8%B8%E0%B8%AA%E0%B8%AA%E0%B8%B0%E0%B8%A5%E0%B8%B2%E0%B8%A1%20%28%E0%B9%80%E0%B8%88%E0%B8%B5%E0%B8%A2%E0%B8%A3%E0%B8%94%E0%B8%B1%E0%B8%9A%E0%B9%83%E0%B8%AB%E0%B8%8D%E0%B9%88%29%20%E0%B8%81%E0%B8%A3%E0%B8%B8%E0%B8%87%E0%B9%80%E0%B8%97%E0%B8%9E%E0%B8%A1%E0%B8%AB%E0%B8%B2%E0%B8%99%E0%B8%84%E0%B8%A3</x:v>
      </x:c>
      <x:c r="Z167" s="56" t="n">
        <x:v>13.854408</x:v>
      </x:c>
      <x:c r="AA167" s="56" t="n">
        <x:v>100.823739</x:v>
      </x:c>
      <x:c r="AB167" s="57" t="str"/>
      <x:c r="AC167" s="20" t="str">
        <x:v>https://www.thic.or.th/th/tourist/detail/mosques/449</x:v>
      </x:c>
    </x:row>
    <x:row r="168" ht="88" customHeight="1">
      <x:c r="A168" s="54" t="n">
        <x:v>160</x:v>
      </x:c>
      <x:c r="B168" s="20" t="str">
        <x:v>มัสยิดดารุ้ลฆอนี (โต๊ะนิล)</x:v>
      </x:c>
      <x:c r="C168" s="20" t="str">
        <x:v>กรุงเทพมหานคร</x:v>
      </x:c>
      <x:c r="D168" s="20" t="str">
        <x:v>มัสยิด</x:v>
      </x:c>
      <x:c r="E168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8" s="20" t="str">
        <x:v>มีข้อมูลระบุ แต่รอยืนยัน</x:v>
      </x:c>
      <x:c r="G168" s="20" t="str">
        <x:v>ยังไม่พบเอกสารรับรองและวันหมดอายุ</x:v>
      </x:c>
      <x:c r="H168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8" s="20" t="str">
        <x:v>60 หมู่ 10 ถนนสังฆสันติสุข แขวงกระทุ่มราย เขตหนองจอก กรุงเทพมหานคร 10530</x:v>
      </x:c>
      <x:c r="J168" s="21" t="str">
        <x:v>+66 85 981 8413</x:v>
      </x:c>
      <x:c r="K168" s="51" t="str">
        <x:v>https://www.thic.or.th/th/tourist/detail/mosques/324</x:v>
      </x:c>
      <x:c r="L168" s="51" t="str">
        <x:v>https://th.trip.com/travel-guide/attraction/bangkok/darun-khoni-mosque-144009979/?curr=USD&amp;locale=en-TH</x:v>
      </x:c>
      <x:c r="M168" s="20" t="str">
        <x:v>ผลค้นหาชื่อสัมพันธ์จากแหล่งเพิ่มเติม ต้องยืนยันสาขาและข้อมูลปัจจุบัน</x:v>
      </x:c>
      <x:c r="N168" s="28" t="n">
        <x:v>46315</x:v>
      </x:c>
      <x:c r="O168" s="57" t="str">
        <x:v>ยังไม่ตรวจ</x:v>
      </x:c>
      <x:c r="P168" s="57" t="str">
        <x:v>ยังไม่ติดต่อ</x:v>
      </x:c>
      <x:c r="Q168" s="20" t="str">
        <x:v>TMF-291</x:v>
      </x:c>
      <x:c r="R168" s="20" t="str"/>
      <x:c r="S168" s="20" t="str"/>
      <x:c r="T168" s="20" t="str">
        <x:v>https://www.thic.or.th/th/tourist/detail/mosques/324</x:v>
      </x:c>
      <x:c r="U168" s="20" t="str"/>
      <x:c r="V168" s="20" t="str"/>
      <x:c r="W168" s="20" t="str"/>
      <x:c r="X168" s="20" t="str"/>
      <x:c r="Y168" s="20" t="str">
        <x:v>https://www.google.com/maps/search/?api=1&amp;query=%E0%B8%A1%E0%B8%B1%E0%B8%AA%E0%B8%A2%E0%B8%B4%E0%B8%94%E0%B8%94%E0%B8%B2%E0%B8%A3%E0%B8%B8%E0%B9%89%E0%B8%A5%E0%B8%86%E0%B8%AD%E0%B8%99%E0%B8%B5%20%28%E0%B9%82%E0%B8%95%E0%B9%8A%E0%B8%B0%E0%B8%99%E0%B8%B4%E0%B8%A5%29%20%E0%B8%81%E0%B8%A3%E0%B8%B8%E0%B8%87%E0%B9%80%E0%B8%97%E0%B8%9E%E0%B8%A1%E0%B8%AB%E0%B8%B2%E0%B8%99%E0%B8%84%E0%B8%A3</x:v>
      </x:c>
      <x:c r="Z168" s="56" t="n">
        <x:v>13.835054</x:v>
      </x:c>
      <x:c r="AA168" s="56" t="n">
        <x:v>100.907595</x:v>
      </x:c>
      <x:c r="AB168" s="57" t="str"/>
      <x:c r="AC168" s="20" t="str">
        <x:v>https://www.thic.or.th/th/tourist/detail/mosques/324</x:v>
      </x:c>
    </x:row>
    <x:row r="169" ht="88" customHeight="1">
      <x:c r="A169" s="54" t="n">
        <x:v>161</x:v>
      </x:c>
      <x:c r="B169" s="20" t="str">
        <x:v>มัสยิดดารุ้ลนาอีม (แบนชะโด)</x:v>
      </x:c>
      <x:c r="C169" s="20" t="str">
        <x:v>กรุงเทพมหานคร</x:v>
      </x:c>
      <x:c r="D169" s="20" t="str">
        <x:v>มัสยิด</x:v>
      </x:c>
      <x:c r="E169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69" s="20" t="str">
        <x:v>มีข้อมูลระบุ แต่รอยืนยัน</x:v>
      </x:c>
      <x:c r="G169" s="20" t="str">
        <x:v>ยังไม่พบเอกสารรับรองและวันหมดอายุ</x:v>
      </x:c>
      <x:c r="H16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69" s="20" t="str">
        <x:v>35 หมู่ 4 ซอยแบนชะโด ถนนประชาร่วมใจ แขวงคู้ฝั่งเหนือ เขตหนองจอก กรุงเทพมหานคร 10530</x:v>
      </x:c>
      <x:c r="J169" s="21" t="str">
        <x:v>0 2906 1785</x:v>
      </x:c>
      <x:c r="K169" s="51" t="str">
        <x:v>https://www.thic.or.th/th/tourist/detail/mosques/454</x:v>
      </x:c>
      <x:c r="L169" s="51" t="str">
        <x:v>https://www.thic.or.th/th/tourist/detail/mosques/311</x:v>
      </x:c>
      <x:c r="M169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N169" s="28" t="n">
        <x:v>46315</x:v>
      </x:c>
      <x:c r="O169" s="57" t="str">
        <x:v>ยังไม่ตรวจ</x:v>
      </x:c>
      <x:c r="P169" s="57" t="str">
        <x:v>ยังไม่ติดต่อ</x:v>
      </x:c>
      <x:c r="Q169" s="20" t="str">
        <x:v>TMF-292</x:v>
      </x:c>
      <x:c r="R169" s="20" t="str"/>
      <x:c r="S169" s="20" t="str"/>
      <x:c r="T169" s="20" t="str">
        <x:v>https://www.thic.or.th/th/tourist/detail/mosques/454</x:v>
      </x:c>
      <x:c r="U169" s="20" t="str"/>
      <x:c r="V169" s="20" t="str"/>
      <x:c r="W169" s="20" t="str"/>
      <x:c r="X169" s="20" t="str"/>
      <x:c r="Y169" s="20" t="str">
        <x:v>https://www.google.com/maps/search/?api=1&amp;query=%E0%B8%A1%E0%B8%B1%E0%B8%AA%E0%B8%A2%E0%B8%B4%E0%B8%94%E0%B8%94%E0%B8%B2%E0%B8%A3%E0%B8%B8%E0%B9%89%E0%B8%A5%E0%B8%99%E0%B8%B2%E0%B8%AD%E0%B8%B5%E0%B8%A1%20%28%E0%B9%81%E0%B8%9A%E0%B8%99%E0%B8%8A%E0%B8%B0%E0%B9%82%E0%B8%94%29%20%E0%B8%81%E0%B8%A3%E0%B8%B8%E0%B8%87%E0%B9%80%E0%B8%97%E0%B8%9E%E0%B8%A1%E0%B8%AB%E0%B8%B2%E0%B8%99%E0%B8%84%E0%B8%A3</x:v>
      </x:c>
      <x:c r="Z169" s="56" t="n">
        <x:v>13.879399</x:v>
      </x:c>
      <x:c r="AA169" s="56" t="n">
        <x:v>100.788215</x:v>
      </x:c>
      <x:c r="AB169" s="57" t="str"/>
      <x:c r="AC169" s="20" t="str">
        <x:v>https://www.thic.or.th/th/tourist/detail/mosques/454</x:v>
      </x:c>
    </x:row>
    <x:row r="170" ht="88" customHeight="1">
      <x:c r="A170" s="54" t="n">
        <x:v>162</x:v>
      </x:c>
      <x:c r="B170" s="20" t="str">
        <x:v>มัสยิดดารุ้ลมุตตะกีน</x:v>
      </x:c>
      <x:c r="C170" s="20" t="str">
        <x:v>กรุงเทพมหานคร</x:v>
      </x:c>
      <x:c r="D170" s="20" t="str">
        <x:v>มัสยิด</x:v>
      </x:c>
      <x:c r="E170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0" s="20" t="str">
        <x:v>มีข้อมูลระบุ แต่รอยืนยัน</x:v>
      </x:c>
      <x:c r="G170" s="20" t="str">
        <x:v>ยังไม่พบเอกสารรับรองและวันหมดอายุ</x:v>
      </x:c>
      <x:c r="H170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0" s="20" t="str">
        <x:v>เลขที่ 18 หมู่ 11 แขวงโคกแฝด เขตหนองจอก กรุงเทพมหานคร 10530</x:v>
      </x:c>
      <x:c r="J170" s="21" t="str">
        <x:v>0937658919</x:v>
      </x:c>
      <x:c r="K170" s="51" t="str">
        <x:v>https://www.thic.or.th/th/tourist/detail/mosques/303</x:v>
      </x:c>
      <x:c r="L170" s="51" t="str">
        <x:v>https://th.trip.com/travel-guide/attraction/bangkok/darul-muttageen-mosque-141901653?poiType=3</x:v>
      </x:c>
      <x:c r="M170" s="20" t="str">
        <x:v>ผลค้นหาชื่อสัมพันธ์จากแหล่งเพิ่มเติม ต้องยืนยันสาขาและข้อมูลปัจจุบัน</x:v>
      </x:c>
      <x:c r="N170" s="28" t="n">
        <x:v>46315</x:v>
      </x:c>
      <x:c r="O170" s="57" t="str">
        <x:v>ยังไม่ตรวจ</x:v>
      </x:c>
      <x:c r="P170" s="57" t="str">
        <x:v>ยังไม่ติดต่อ</x:v>
      </x:c>
      <x:c r="Q170" s="20" t="str">
        <x:v>TMF-293</x:v>
      </x:c>
      <x:c r="R170" s="20" t="str"/>
      <x:c r="S170" s="20" t="str"/>
      <x:c r="T170" s="20" t="str">
        <x:v>https://www.thic.or.th/th/tourist/detail/mosques/303</x:v>
      </x:c>
      <x:c r="U170" s="20" t="str"/>
      <x:c r="V170" s="20" t="str"/>
      <x:c r="W170" s="20" t="str"/>
      <x:c r="X170" s="20" t="str"/>
      <x:c r="Y170" s="20" t="str">
        <x:v>https://www.google.com/maps/search/?api=1&amp;query=%E0%B8%A1%E0%B8%B1%E0%B8%AA%E0%B8%A2%E0%B8%B4%E0%B8%94%E0%B8%94%E0%B8%B2%E0%B8%A3%E0%B8%B8%E0%B9%89%E0%B8%A5%E0%B8%A1%E0%B8%B8%E0%B8%95%E0%B8%95%E0%B8%B0%E0%B8%81%E0%B8%B5%E0%B8%99%20%E0%B8%81%E0%B8%A3%E0%B8%B8%E0%B8%87%E0%B9%80%E0%B8%97%E0%B8%9E%E0%B8%A1%E0%B8%AB%E0%B8%B2%E0%B8%99%E0%B8%84%E0%B8%A3</x:v>
      </x:c>
      <x:c r="Z170" s="56" t="n">
        <x:v>13.852986</x:v>
      </x:c>
      <x:c r="AA170" s="56" t="n">
        <x:v>100.804009</x:v>
      </x:c>
      <x:c r="AB170" s="57" t="str"/>
      <x:c r="AC170" s="20" t="str">
        <x:v>https://www.thic.or.th/th/tourist/detail/mosques/303</x:v>
      </x:c>
    </x:row>
    <x:row r="171" ht="88" customHeight="1">
      <x:c r="A171" s="54" t="n">
        <x:v>163</x:v>
      </x:c>
      <x:c r="B171" s="20" t="str">
        <x:v>มัสยิดดารุ้ลมุสลิมีน (กลิ่นชื่นอุปถัมภ์)</x:v>
      </x:c>
      <x:c r="C171" s="20" t="str">
        <x:v>กรุงเทพมหานคร</x:v>
      </x:c>
      <x:c r="D171" s="20" t="str">
        <x:v>มัสยิด</x:v>
      </x:c>
      <x:c r="E17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1" s="20" t="str">
        <x:v>มีข้อมูลระบุ แต่รอยืนยัน</x:v>
      </x:c>
      <x:c r="G171" s="20" t="str">
        <x:v>ยังไม่พบเอกสารรับรองและวันหมดอายุ</x:v>
      </x:c>
      <x:c r="H17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1" s="20" t="str">
        <x:v>196/2 ซอยชื่นจิตร ถนนช่องนนทรี แขวงช่องนนทรี เขตยานนาวา กรุงเทพมหานคร 10120</x:v>
      </x:c>
      <x:c r="J171" s="21" t="str">
        <x:v>0 2321 6528</x:v>
      </x:c>
      <x:c r="K171" s="51" t="str">
        <x:v>https://www.thic.or.th/th/tourist/detail/mosques/501</x:v>
      </x:c>
      <x:c r="L171" s="51" t="str">
        <x:v>https://masjid.islamicbangkok.or.th/masjid/id/21757</x:v>
      </x:c>
      <x:c r="M171" s="20" t="str">
        <x:v>ผลค้นหาชื่อสัมพันธ์จากแหล่งเพิ่มเติม ต้องยืนยันสาขาและข้อมูลปัจจุบัน</x:v>
      </x:c>
      <x:c r="N171" s="28" t="n">
        <x:v>46315</x:v>
      </x:c>
      <x:c r="O171" s="57" t="str">
        <x:v>ยังไม่ตรวจ</x:v>
      </x:c>
      <x:c r="P171" s="57" t="str">
        <x:v>ยังไม่ติดต่อ</x:v>
      </x:c>
      <x:c r="Q171" s="20" t="str">
        <x:v>TMF-294</x:v>
      </x:c>
      <x:c r="R171" s="20" t="str"/>
      <x:c r="S171" s="20" t="str"/>
      <x:c r="T171" s="20" t="str">
        <x:v>https://www.thic.or.th/th/tourist/detail/mosques/501</x:v>
      </x:c>
      <x:c r="U171" s="20" t="str"/>
      <x:c r="V171" s="20" t="str"/>
      <x:c r="W171" s="20" t="str"/>
      <x:c r="X171" s="20" t="str"/>
      <x:c r="Y171" s="20" t="str">
        <x:v>https://www.google.com/maps/search/?api=1&amp;query=%E0%B8%A1%E0%B8%B1%E0%B8%AA%E0%B8%A2%E0%B8%B4%E0%B8%94%E0%B8%94%E0%B8%B2%E0%B8%A3%E0%B8%B8%E0%B9%89%E0%B8%A5%E0%B8%A1%E0%B8%B8%E0%B8%AA%E0%B8%A5%E0%B8%B4%E0%B8%A1%E0%B8%B5%E0%B8%99%20%28%E0%B8%81%E0%B8%A5%E0%B8%B4%E0%B9%88%E0%B8%99%E0%B8%8A%E0%B8%B7%E0%B9%88%E0%B8%99%E0%B8%AD%E0%B8%B8%E0%B8%9B%E0%B8%96%E0%B8%B1%E0%B8%A1%E0%B8%A0%E0%B9%8C%29%20%E0%B8%81%E0%B8%A3%E0%B8%B8%E0%B8%87%E0%B9%80%E0%B8%97%E0%B8%9E%E0%B8%A1%E0%B8%AB%E0%B8%B2%E0%B8%99%E0%B8%84%E0%B8%A3</x:v>
      </x:c>
      <x:c r="Z171" s="56" t="n">
        <x:v>13.692748</x:v>
      </x:c>
      <x:c r="AA171" s="56" t="n">
        <x:v>100.542798</x:v>
      </x:c>
      <x:c r="AB171" s="57" t="str"/>
      <x:c r="AC171" s="20" t="str">
        <x:v>https://www.thic.or.th/th/tourist/detail/mosques/501</x:v>
      </x:c>
    </x:row>
    <x:row r="172" ht="88" customHeight="1">
      <x:c r="A172" s="54" t="n">
        <x:v>164</x:v>
      </x:c>
      <x:c r="B172" s="20" t="str">
        <x:v>มัสยิดนูรุดดีน (บ้านเกาะคลอง 13)</x:v>
      </x:c>
      <x:c r="C172" s="20" t="str">
        <x:v>กรุงเทพมหานคร</x:v>
      </x:c>
      <x:c r="D172" s="20" t="str">
        <x:v>มัสยิด</x:v>
      </x:c>
      <x:c r="E172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2" s="20" t="str">
        <x:v>มีข้อมูลระบุ แต่รอยืนยัน</x:v>
      </x:c>
      <x:c r="G172" s="20" t="str">
        <x:v>ยังไม่พบเอกสารรับรองและวันหมดอายุ</x:v>
      </x:c>
      <x:c r="H17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2" s="20" t="str">
        <x:v>9/2 หมู่ 1 ถนนเลียบคลอง 13 แขวงหนองจอก เขตหนองจอก กรุงเทพมหานคร 10530</x:v>
      </x:c>
      <x:c r="J172" s="21" t="str">
        <x:v>0 2989 9225</x:v>
      </x:c>
      <x:c r="K172" s="51" t="str">
        <x:v>https://www.thic.or.th/th/tourist/detail/mosques/444</x:v>
      </x:c>
      <x:c r="L172" s="51" t="str">
        <x:v>https://masjid.islamicbangkok.or.th/masjid/id/23403</x:v>
      </x:c>
      <x:c r="M172" s="20" t="str">
        <x:v>ผลค้นหาชื่อสัมพันธ์จากแหล่งเพิ่มเติม ต้องยืนยันสาขาและข้อมูลปัจจุบัน</x:v>
      </x:c>
      <x:c r="N172" s="28" t="n">
        <x:v>46315</x:v>
      </x:c>
      <x:c r="O172" s="57" t="str">
        <x:v>ยังไม่ตรวจ</x:v>
      </x:c>
      <x:c r="P172" s="57" t="str">
        <x:v>ยังไม่ติดต่อ</x:v>
      </x:c>
      <x:c r="Q172" s="20" t="str">
        <x:v>TMF-296</x:v>
      </x:c>
      <x:c r="R172" s="20" t="str"/>
      <x:c r="S172" s="20" t="str"/>
      <x:c r="T172" s="20" t="str">
        <x:v>https://www.thic.or.th/th/tourist/detail/mosques/444</x:v>
      </x:c>
      <x:c r="U172" s="20" t="str"/>
      <x:c r="V172" s="20" t="str"/>
      <x:c r="W172" s="20" t="str"/>
      <x:c r="X172" s="20" t="str"/>
      <x:c r="Y172" s="20" t="str">
        <x:v>https://www.google.com/maps/search/?api=1&amp;query=%E0%B8%A1%E0%B8%B1%E0%B8%AA%E0%B8%A2%E0%B8%B4%E0%B8%94%E0%B8%99%E0%B8%B9%E0%B8%A3%E0%B8%B8%E0%B8%94%E0%B8%94%E0%B8%B5%E0%B8%99%20%28%E0%B8%9A%E0%B9%89%E0%B8%B2%E0%B8%99%E0%B9%80%E0%B8%81%E0%B8%B2%E0%B8%B0%E0%B8%84%E0%B8%A5%E0%B8%AD%E0%B8%87%2013%29%20%E0%B8%81%E0%B8%A3%E0%B8%B8%E0%B8%87%E0%B9%80%E0%B8%97%E0%B8%9E%E0%B8%A1%E0%B8%AB%E0%B8%B2%E0%B8%99%E0%B8%84%E0%B8%A3</x:v>
      </x:c>
      <x:c r="Z172" s="56" t="n">
        <x:v>13.873606</x:v>
      </x:c>
      <x:c r="AA172" s="56" t="n">
        <x:v>100.883186</x:v>
      </x:c>
      <x:c r="AB172" s="57" t="str"/>
      <x:c r="AC172" s="20" t="str">
        <x:v>https://www.thic.or.th/th/tourist/detail/mosques/444</x:v>
      </x:c>
    </x:row>
    <x:row r="173" ht="88" customHeight="1">
      <x:c r="A173" s="54" t="n">
        <x:v>165</x:v>
      </x:c>
      <x:c r="B173" s="20" t="str">
        <x:v>มัสยิดนูรุสสะลาม กุโบร์โต๊ะเยาะห์</x:v>
      </x:c>
      <x:c r="C173" s="20" t="str">
        <x:v>กรุงเทพมหานคร</x:v>
      </x:c>
      <x:c r="D173" s="20" t="str">
        <x:v>มัสยิด</x:v>
      </x:c>
      <x:c r="E17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3" s="20" t="str">
        <x:v>มีข้อมูลระบุ แต่รอยืนยัน</x:v>
      </x:c>
      <x:c r="G173" s="20" t="str">
        <x:v>ยังไม่พบเอกสารรับรองและวันหมดอายุ</x:v>
      </x:c>
      <x:c r="H17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3" s="20" t="str">
        <x:v>19/12 หมู่ 1 แขวงโคกแฝด เขตหนองจอก กรุงเทพมหานคร 10530</x:v>
      </x:c>
      <x:c r="J173" s="21" t="str">
        <x:v>ยังไม่พบหรือยังไม่ยืนยัน</x:v>
      </x:c>
      <x:c r="K173" s="51" t="str">
        <x:v>https://www.thic.or.th/th/tourist/detail/mosques/304</x:v>
      </x:c>
      <x:c r="L173" s="51" t="str">
        <x:v>https://masjid.islamicbangkok.or.th/masjid/id/78441</x:v>
      </x:c>
      <x:c r="M173" s="20" t="str">
        <x:v>ผลค้นหาชื่อสัมพันธ์จากแหล่งเพิ่มเติม ต้องยืนยันสาขาและข้อมูลปัจจุบัน</x:v>
      </x:c>
      <x:c r="N173" s="28" t="n">
        <x:v>46315</x:v>
      </x:c>
      <x:c r="O173" s="57" t="str">
        <x:v>ยังไม่ตรวจ</x:v>
      </x:c>
      <x:c r="P173" s="57" t="str">
        <x:v>ยังไม่ติดต่อ</x:v>
      </x:c>
      <x:c r="Q173" s="20" t="str">
        <x:v>TMF-298</x:v>
      </x:c>
      <x:c r="R173" s="20" t="str"/>
      <x:c r="S173" s="20" t="str"/>
      <x:c r="T173" s="20" t="str">
        <x:v>https://www.thic.or.th/th/tourist/detail/mosques/304</x:v>
      </x:c>
      <x:c r="U173" s="20" t="str"/>
      <x:c r="V173" s="20" t="str"/>
      <x:c r="W173" s="20" t="str"/>
      <x:c r="X173" s="20" t="str"/>
      <x:c r="Y173" s="20" t="str">
        <x:v>https://www.google.com/maps/search/?api=1&amp;query=%E0%B8%A1%E0%B8%B1%E0%B8%AA%E0%B8%A2%E0%B8%B4%E0%B8%94%E0%B8%99%E0%B8%B9%E0%B8%A3%E0%B8%B8%E0%B8%AA%E0%B8%AA%E0%B8%B0%E0%B8%A5%E0%B8%B2%E0%B8%A1%20%E0%B8%81%E0%B8%B8%E0%B9%82%E0%B8%9A%E0%B8%A3%E0%B9%8C%E0%B9%82%E0%B8%95%E0%B9%8A%E0%B8%B0%E0%B9%80%E0%B8%A2%E0%B8%B2%E0%B8%B0%E0%B8%AB%E0%B9%8C%20%E0%B8%81%E0%B8%A3%E0%B8%B8%E0%B8%87%E0%B9%80%E0%B8%97%E0%B8%9E%E0%B8%A1%E0%B8%AB%E0%B8%B2%E0%B8%99%E0%B8%84%E0%B8%A3</x:v>
      </x:c>
      <x:c r="Z173" s="56" t="n">
        <x:v>13.851303</x:v>
      </x:c>
      <x:c r="AA173" s="56" t="n">
        <x:v>100.803922</x:v>
      </x:c>
      <x:c r="AB173" s="57" t="str"/>
      <x:c r="AC173" s="20" t="str">
        <x:v>https://www.thic.or.th/th/tourist/detail/mosques/304</x:v>
      </x:c>
    </x:row>
    <x:row r="174" ht="88" customHeight="1">
      <x:c r="A174" s="54" t="n">
        <x:v>166</x:v>
      </x:c>
      <x:c r="B174" s="20" t="str">
        <x:v>มัสยิดนูรุ้ลอิสลาม (วังใหญ่)</x:v>
      </x:c>
      <x:c r="C174" s="20" t="str">
        <x:v>กรุงเทพมหานคร</x:v>
      </x:c>
      <x:c r="D174" s="20" t="str">
        <x:v>มัสยิด</x:v>
      </x:c>
      <x:c r="E17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4" s="20" t="str">
        <x:v>มีข้อมูลระบุ แต่รอยืนยัน</x:v>
      </x:c>
      <x:c r="G174" s="20" t="str">
        <x:v>ยังไม่พบเอกสารรับรองและวันหมดอายุ</x:v>
      </x:c>
      <x:c r="H17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4" s="20" t="str">
        <x:v>50 ซอยกรีฑา15 แยก 4 ถนนกรีฑา 10240 แขวงหัวหมาก เขตบางกะปิ กรุงเทพมหานคร 10240</x:v>
      </x:c>
      <x:c r="J174" s="21" t="str">
        <x:v>08 1812 1869</x:v>
      </x:c>
      <x:c r="K174" s="51" t="str">
        <x:v>https://www.thic.or.th/th/tourist/detail/mosques/469</x:v>
      </x:c>
      <x:c r="L174" s="51" t="str">
        <x:v>https://masjid.islamicbangkok.or.th/masjid/id/99049</x:v>
      </x:c>
      <x:c r="M174" s="20" t="str">
        <x:v>ผลค้นหาชื่อสัมพันธ์จากแหล่งเพิ่มเติม ต้องยืนยันสาขาและข้อมูลปัจจุบัน</x:v>
      </x:c>
      <x:c r="N174" s="28" t="n">
        <x:v>46315</x:v>
      </x:c>
      <x:c r="O174" s="57" t="str">
        <x:v>ยังไม่ตรวจ</x:v>
      </x:c>
      <x:c r="P174" s="57" t="str">
        <x:v>ยังไม่ติดต่อ</x:v>
      </x:c>
      <x:c r="Q174" s="20" t="str">
        <x:v>TMF-299</x:v>
      </x:c>
      <x:c r="R174" s="20" t="str"/>
      <x:c r="S174" s="20" t="str"/>
      <x:c r="T174" s="20" t="str">
        <x:v>https://www.thic.or.th/th/tourist/detail/mosques/469</x:v>
      </x:c>
      <x:c r="U174" s="20" t="str"/>
      <x:c r="V174" s="20" t="str"/>
      <x:c r="W174" s="20" t="str"/>
      <x:c r="X174" s="20" t="str"/>
      <x:c r="Y174" s="20" t="str">
        <x:v>https://www.google.com/maps/search/?api=1&amp;query=%E0%B8%A1%E0%B8%B1%E0%B8%AA%E0%B8%A2%E0%B8%B4%E0%B8%94%E0%B8%99%E0%B8%B9%E0%B8%A3%E0%B8%B8%E0%B9%89%E0%B8%A5%E0%B8%AD%E0%B8%B4%E0%B8%AA%E0%B8%A5%E0%B8%B2%E0%B8%A1%20%28%E0%B8%A7%E0%B8%B1%E0%B8%87%E0%B9%83%E0%B8%AB%E0%B8%8D%E0%B9%88%29%20%E0%B8%81%E0%B8%A3%E0%B8%B8%E0%B8%87%E0%B9%80%E0%B8%97%E0%B8%9E%E0%B8%A1%E0%B8%AB%E0%B8%B2%E0%B8%99%E0%B8%84%E0%B8%A3</x:v>
      </x:c>
      <x:c r="Z174" s="56" t="n">
        <x:v>13.749839</x:v>
      </x:c>
      <x:c r="AA174" s="56" t="n">
        <x:v>100.674477</x:v>
      </x:c>
      <x:c r="AB174" s="57" t="str"/>
      <x:c r="AC174" s="20" t="str">
        <x:v>https://www.thic.or.th/th/tourist/detail/mosques/469</x:v>
      </x:c>
    </x:row>
    <x:row r="175" ht="88" customHeight="1">
      <x:c r="A175" s="54" t="n">
        <x:v>167</x:v>
      </x:c>
      <x:c r="B175" s="20" t="str">
        <x:v>มัสยิดนูรุ้ลฮูดา (คลองสองต้นนุ่น)</x:v>
      </x:c>
      <x:c r="C175" s="20" t="str">
        <x:v>กรุงเทพมหานคร</x:v>
      </x:c>
      <x:c r="D175" s="20" t="str">
        <x:v>มัสยิด</x:v>
      </x:c>
      <x:c r="E175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5" s="20" t="str">
        <x:v>มีข้อมูลระบุ แต่รอยืนยัน</x:v>
      </x:c>
      <x:c r="G175" s="20" t="str">
        <x:v>ยังไม่พบเอกสารรับรองและวันหมดอายุ</x:v>
      </x:c>
      <x:c r="H17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5" s="20" t="str">
        <x:v>หมู่ 5 ซอยร่มเกล้า 14 ถนนร่มเกล้า แขวงมีนบุรี เขตมีนบุรี กรุงเทพมหานคร 10510</x:v>
      </x:c>
      <x:c r="J175" s="21" t="str">
        <x:v>0 2517 5617</x:v>
      </x:c>
      <x:c r="K175" s="51" t="str">
        <x:v>https://www.thic.or.th/th/tourist/detail/mosques/478</x:v>
      </x:c>
      <x:c r="L175" s="51" t="str">
        <x:v>https://masjid.islamicbangkok.or.th/masjid/id/20210</x:v>
      </x:c>
      <x:c r="M175" s="20" t="str">
        <x:v>ผลค้นหาชื่อสัมพันธ์จากแหล่งเพิ่มเติม ต้องยืนยันสาขาและข้อมูลปัจจุบัน</x:v>
      </x:c>
      <x:c r="N175" s="28" t="n">
        <x:v>46315</x:v>
      </x:c>
      <x:c r="O175" s="57" t="str">
        <x:v>ยังไม่ตรวจ</x:v>
      </x:c>
      <x:c r="P175" s="57" t="str">
        <x:v>ยังไม่ติดต่อ</x:v>
      </x:c>
      <x:c r="Q175" s="20" t="str">
        <x:v>TMF-300</x:v>
      </x:c>
      <x:c r="R175" s="20" t="str"/>
      <x:c r="S175" s="20" t="str"/>
      <x:c r="T175" s="20" t="str">
        <x:v>https://www.thic.or.th/th/tourist/detail/mosques/478</x:v>
      </x:c>
      <x:c r="U175" s="20" t="str"/>
      <x:c r="V175" s="20" t="str"/>
      <x:c r="W175" s="20" t="str"/>
      <x:c r="X175" s="20" t="str"/>
      <x:c r="Y175" s="20" t="str">
        <x:v>https://www.google.com/maps/search/?api=1&amp;query=%E0%B8%A1%E0%B8%B1%E0%B8%AA%E0%B8%A2%E0%B8%B4%E0%B8%94%E0%B8%99%E0%B8%B9%E0%B8%A3%E0%B8%B8%E0%B9%89%E0%B8%A5%E0%B8%AE%E0%B8%B9%E0%B8%94%E0%B8%B2%20%28%E0%B8%84%E0%B8%A5%E0%B8%AD%E0%B8%87%E0%B8%AA%E0%B8%AD%E0%B8%87%E0%B8%95%E0%B9%89%E0%B8%99%E0%B8%99%E0%B8%B8%E0%B9%88%E0%B8%99%29%20%E0%B8%81%E0%B8%A3%E0%B8%B8%E0%B8%87%E0%B9%80%E0%B8%97%E0%B8%9E%E0%B8%A1%E0%B8%AB%E0%B8%B2%E0%B8%99%E0%B8%84%E0%B8%A3</x:v>
      </x:c>
      <x:c r="Z175" s="56" t="n">
        <x:v>13.777544</x:v>
      </x:c>
      <x:c r="AA175" s="56" t="n">
        <x:v>100.739435</x:v>
      </x:c>
      <x:c r="AB175" s="57" t="str"/>
      <x:c r="AC175" s="20" t="str">
        <x:v>https://www.thic.or.th/th/tourist/detail/mosques/478</x:v>
      </x:c>
    </x:row>
    <x:row r="176" ht="88" customHeight="1">
      <x:c r="A176" s="54" t="n">
        <x:v>168</x:v>
      </x:c>
      <x:c r="B176" s="20" t="str">
        <x:v>มัสยิดนูรุ้ลเอี๊ยะห์ซาน (ลำตาจีน)</x:v>
      </x:c>
      <x:c r="C176" s="20" t="str">
        <x:v>กรุงเทพมหานคร</x:v>
      </x:c>
      <x:c r="D176" s="20" t="str">
        <x:v>มัสยิด</x:v>
      </x:c>
      <x:c r="E176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6" s="20" t="str">
        <x:v>มีข้อมูลระบุ แต่รอยืนยัน</x:v>
      </x:c>
      <x:c r="G176" s="20" t="str">
        <x:v>ยังไม่พบเอกสารรับรองและวันหมดอายุ</x:v>
      </x:c>
      <x:c r="H17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6" s="20" t="str">
        <x:v>29 หมู่7 ซอยลำไทร ถนนเชื่อมสัมพันธ์ แขวงโคกแฝด เขตหนองจอก กรุงเทพมหานคร 10530</x:v>
      </x:c>
      <x:c r="J176" s="21" t="str">
        <x:v>0 2988 0793</x:v>
      </x:c>
      <x:c r="K176" s="51" t="str">
        <x:v>https://www.thic.or.th/th/tourist/detail/mosques/426</x:v>
      </x:c>
      <x:c r="L176" s="51" t="str">
        <x:v>https://masjid.islamicbangkok.or.th/masjid/id/14152</x:v>
      </x:c>
      <x:c r="M176" s="20" t="str">
        <x:v>ผลค้นหาชื่อสัมพันธ์จากแหล่งเพิ่มเติม ต้องยืนยันสาขาและข้อมูลปัจจุบัน</x:v>
      </x:c>
      <x:c r="N176" s="28" t="n">
        <x:v>46315</x:v>
      </x:c>
      <x:c r="O176" s="57" t="str">
        <x:v>ยังไม่ตรวจ</x:v>
      </x:c>
      <x:c r="P176" s="57" t="str">
        <x:v>ยังไม่ติดต่อ</x:v>
      </x:c>
      <x:c r="Q176" s="20" t="str">
        <x:v>TMF-301</x:v>
      </x:c>
      <x:c r="R176" s="20" t="str"/>
      <x:c r="S176" s="20" t="str"/>
      <x:c r="T176" s="20" t="str">
        <x:v>https://www.thic.or.th/th/tourist/detail/mosques/426</x:v>
      </x:c>
      <x:c r="U176" s="20" t="str"/>
      <x:c r="V176" s="20" t="str"/>
      <x:c r="W176" s="20" t="str"/>
      <x:c r="X176" s="20" t="str"/>
      <x:c r="Y176" s="20" t="str">
        <x:v>https://www.google.com/maps/search/?api=1&amp;query=%E0%B8%A1%E0%B8%B1%E0%B8%AA%E0%B8%A2%E0%B8%B4%E0%B8%94%E0%B8%99%E0%B8%B9%E0%B8%A3%E0%B8%B8%E0%B9%89%E0%B8%A5%E0%B9%80%E0%B8%AD%E0%B8%B5%E0%B9%8A%E0%B8%A2%E0%B8%B0%E0%B8%AB%E0%B9%8C%E0%B8%8B%E0%B8%B2%E0%B8%99%20%28%E0%B8%A5%E0%B8%B3%E0%B8%95%E0%B8%B2%E0%B8%88%E0%B8%B5%E0%B8%99%29%20%E0%B8%81%E0%B8%A3%E0%B8%B8%E0%B8%87%E0%B9%80%E0%B8%97%E0%B8%9E%E0%B8%A1%E0%B8%AB%E0%B8%B2%E0%B8%99%E0%B8%84%E0%B8%A3</x:v>
      </x:c>
      <x:c r="Z176" s="56" t="n">
        <x:v>13.836268</x:v>
      </x:c>
      <x:c r="AA176" s="56" t="n">
        <x:v>100.83355</x:v>
      </x:c>
      <x:c r="AB176" s="57" t="str"/>
      <x:c r="AC176" s="20" t="str">
        <x:v>https://www.thic.or.th/th/tourist/detail/mosques/426</x:v>
      </x:c>
    </x:row>
    <x:row r="177" ht="88" customHeight="1">
      <x:c r="A177" s="54" t="n">
        <x:v>169</x:v>
      </x:c>
      <x:c r="B177" s="20" t="str">
        <x:v>มัสยิดบางอ้อ</x:v>
      </x:c>
      <x:c r="C177" s="20" t="str">
        <x:v>กรุงเทพมหานคร</x:v>
      </x:c>
      <x:c r="D177" s="20" t="str">
        <x:v>มัสยิด</x:v>
      </x:c>
      <x:c r="E177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7" s="20" t="str">
        <x:v>มีข้อมูลระบุ แต่รอยืนยัน</x:v>
      </x:c>
      <x:c r="G177" s="20" t="str">
        <x:v>ยังไม่พบเอกสารรับรองและวันหมดอายุ</x:v>
      </x:c>
      <x:c r="H177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7" s="20" t="str">
        <x:v>143 ซอยจรัญสนิทวงศ์ 86 แขวงบางอ้อ เขตบางพลัด กรุงเทพมหานคร 10700</x:v>
      </x:c>
      <x:c r="J177" s="21" t="str">
        <x:v>0-2423-0480</x:v>
      </x:c>
      <x:c r="K177" s="51" t="str">
        <x:v>https://www.thic.or.th/th/tourist/detail/mosques/44</x:v>
      </x:c>
      <x:c r="L177" s="51" t="str">
        <x:v>https://www.wongnai.com/attractions/482482lM</x:v>
      </x:c>
      <x:c r="M177" s="20" t="str">
        <x:v>ผลค้นหาชื่อสัมพันธ์จากแหล่งเพิ่มเติม ต้องยืนยันสาขาและข้อมูลปัจจุบัน</x:v>
      </x:c>
      <x:c r="N177" s="28" t="n">
        <x:v>46315</x:v>
      </x:c>
      <x:c r="O177" s="57" t="str">
        <x:v>ยังไม่ตรวจ</x:v>
      </x:c>
      <x:c r="P177" s="57" t="str">
        <x:v>ยังไม่ติดต่อ</x:v>
      </x:c>
      <x:c r="Q177" s="20" t="str">
        <x:v>TMF-303</x:v>
      </x:c>
      <x:c r="R177" s="20" t="str"/>
      <x:c r="S177" s="20" t="str"/>
      <x:c r="T177" s="20" t="str">
        <x:v>https://www.thic.or.th/th/tourist/detail/mosques/44</x:v>
      </x:c>
      <x:c r="U177" s="20" t="str"/>
      <x:c r="V177" s="20" t="str"/>
      <x:c r="W177" s="20" t="str"/>
      <x:c r="X177" s="20" t="str"/>
      <x:c r="Y177" s="20" t="str">
        <x:v>https://www.google.com/maps/search/?api=1&amp;query=%E0%B8%A1%E0%B8%B1%E0%B8%AA%E0%B8%A2%E0%B8%B4%E0%B8%94%E0%B8%9A%E0%B8%B2%E0%B8%87%E0%B8%AD%E0%B9%89%E0%B8%AD%20%E0%B8%81%E0%B8%A3%E0%B8%B8%E0%B8%87%E0%B9%80%E0%B8%97%E0%B8%9E%E0%B8%A1%E0%B8%AB%E0%B8%B2%E0%B8%99%E0%B8%84%E0%B8%A3</x:v>
      </x:c>
      <x:c r="Z177" s="56" t="n">
        <x:v>13.794696</x:v>
      </x:c>
      <x:c r="AA177" s="56" t="n">
        <x:v>100.508714</x:v>
      </x:c>
      <x:c r="AB177" s="57" t="str"/>
      <x:c r="AC177" s="20" t="str">
        <x:v>https://www.thic.or.th/th/tourist/detail/mosques/44</x:v>
      </x:c>
    </x:row>
    <x:row r="178" ht="88" customHeight="1">
      <x:c r="A178" s="54" t="n">
        <x:v>170</x:v>
      </x:c>
      <x:c r="B178" s="20" t="str">
        <x:v>มัสยิดยะมีอุ้ลมุตตะกีน (ลำหินใต้)</x:v>
      </x:c>
      <x:c r="C178" s="20" t="str">
        <x:v>กรุงเทพมหานคร</x:v>
      </x:c>
      <x:c r="D178" s="20" t="str">
        <x:v>มัสยิด</x:v>
      </x:c>
      <x:c r="E178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8" s="20" t="str">
        <x:v>มีข้อมูลระบุ แต่รอยืนยัน</x:v>
      </x:c>
      <x:c r="G178" s="20" t="str">
        <x:v>ยังไม่พบเอกสารรับรองและวันหมดอายุ</x:v>
      </x:c>
      <x:c r="H178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8" s="20" t="str">
        <x:v>23 หมู่ 10 ซอยเลียบคลองลำต้นไทร แขวงโคกแฝด เขตหนองจอก กรุงเทพมหานคร 10530</x:v>
      </x:c>
      <x:c r="J178" s="21" t="str">
        <x:v>0 2989 8327</x:v>
      </x:c>
      <x:c r="K178" s="51" t="str">
        <x:v>https://www.thic.or.th/th/tourist/detail/mosques/420</x:v>
      </x:c>
      <x:c r="L178" s="51" t="str">
        <x:v>https://masjid.islamicbangkok.or.th/masjid/id/95463</x:v>
      </x:c>
      <x:c r="M178" s="20" t="str">
        <x:v>ผลค้นหาชื่อสัมพันธ์จากแหล่งเพิ่มเติม ต้องยืนยันสาขาและข้อมูลปัจจุบัน</x:v>
      </x:c>
      <x:c r="N178" s="28" t="n">
        <x:v>46315</x:v>
      </x:c>
      <x:c r="O178" s="57" t="str">
        <x:v>ยังไม่ตรวจ</x:v>
      </x:c>
      <x:c r="P178" s="57" t="str">
        <x:v>ยังไม่ติดต่อ</x:v>
      </x:c>
      <x:c r="Q178" s="20" t="str">
        <x:v>TMF-305</x:v>
      </x:c>
      <x:c r="R178" s="20" t="str"/>
      <x:c r="S178" s="20" t="str"/>
      <x:c r="T178" s="20" t="str">
        <x:v>https://www.thic.or.th/th/tourist/detail/mosques/420</x:v>
      </x:c>
      <x:c r="U178" s="20" t="str"/>
      <x:c r="V178" s="20" t="str"/>
      <x:c r="W178" s="20" t="str"/>
      <x:c r="X178" s="20" t="str"/>
      <x:c r="Y178" s="20" t="str">
        <x:v>https://www.google.com/maps/search/?api=1&amp;query=%E0%B8%A1%E0%B8%B1%E0%B8%AA%E0%B8%A2%E0%B8%B4%E0%B8%94%E0%B8%A2%E0%B8%B0%E0%B8%A1%E0%B8%B5%E0%B8%AD%E0%B8%B8%E0%B9%89%E0%B8%A5%E0%B8%A1%E0%B8%B8%E0%B8%95%E0%B8%95%E0%B8%B0%E0%B8%81%E0%B8%B5%E0%B8%99%20%28%E0%B8%A5%E0%B8%B3%E0%B8%AB%E0%B8%B4%E0%B8%99%E0%B9%83%E0%B8%95%E0%B9%89%29%20%E0%B8%81%E0%B8%A3%E0%B8%B8%E0%B8%87%E0%B9%80%E0%B8%97%E0%B8%9E%E0%B8%A1%E0%B8%AB%E0%B8%B2%E0%B8%99%E0%B8%84%E0%B8%A3</x:v>
      </x:c>
      <x:c r="Z178" s="56" t="n">
        <x:v>13.825605</x:v>
      </x:c>
      <x:c r="AA178" s="56" t="n">
        <x:v>100.806542</x:v>
      </x:c>
      <x:c r="AB178" s="57" t="str"/>
      <x:c r="AC178" s="20" t="str">
        <x:v>https://www.thic.or.th/th/tourist/detail/mosques/420</x:v>
      </x:c>
    </x:row>
    <x:row r="179" ht="88" customHeight="1">
      <x:c r="A179" s="54" t="n">
        <x:v>171</x:v>
      </x:c>
      <x:c r="B179" s="20" t="str">
        <x:v>มัสยิดยำอุลอิควาน (ลำมดตะนอย)</x:v>
      </x:c>
      <x:c r="C179" s="20" t="str">
        <x:v>กรุงเทพมหานคร</x:v>
      </x:c>
      <x:c r="D179" s="20" t="str">
        <x:v>มัสยิด</x:v>
      </x:c>
      <x:c r="E179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79" s="20" t="str">
        <x:v>มีข้อมูลระบุ แต่รอยืนยัน</x:v>
      </x:c>
      <x:c r="G179" s="20" t="str">
        <x:v>ยังไม่พบเอกสารรับรองและวันหมดอายุ</x:v>
      </x:c>
      <x:c r="H17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79" s="20" t="str">
        <x:v>29/2 หมู่ 6 ซอยร่วมพัฒนา ถนนสุวิทวงศ์ แขวงลำต้อยติ่ง เขตหนองจอก กรุงเทพมหานคร 10530</x:v>
      </x:c>
      <x:c r="J179" s="21" t="str">
        <x:v>0 2988 7207</x:v>
      </x:c>
      <x:c r="K179" s="51" t="str">
        <x:v>https://www.thic.or.th/th/tourist/detail/mosques/450</x:v>
      </x:c>
      <x:c r="L179" s="51" t="str">
        <x:v>https://masjid.islamicbangkok.or.th/masjid/id/27615</x:v>
      </x:c>
      <x:c r="M179" s="20" t="str">
        <x:v>ผลค้นหาชื่อสัมพันธ์จากแหล่งเพิ่มเติม ต้องยืนยันสาขาและข้อมูลปัจจุบัน</x:v>
      </x:c>
      <x:c r="N179" s="28" t="n">
        <x:v>46315</x:v>
      </x:c>
      <x:c r="O179" s="57" t="str">
        <x:v>ยังไม่ตรวจ</x:v>
      </x:c>
      <x:c r="P179" s="57" t="str">
        <x:v>ยังไม่ติดต่อ</x:v>
      </x:c>
      <x:c r="Q179" s="20" t="str">
        <x:v>TMF-306</x:v>
      </x:c>
      <x:c r="R179" s="20" t="str"/>
      <x:c r="S179" s="20" t="str"/>
      <x:c r="T179" s="20" t="str">
        <x:v>https://www.thic.or.th/th/tourist/detail/mosques/450</x:v>
      </x:c>
      <x:c r="U179" s="20" t="str"/>
      <x:c r="V179" s="20" t="str"/>
      <x:c r="W179" s="20" t="str"/>
      <x:c r="X179" s="20" t="str"/>
      <x:c r="Y179" s="20" t="str">
        <x:v>https://www.google.com/maps/search/?api=1&amp;query=%E0%B8%A1%E0%B8%B1%E0%B8%AA%E0%B8%A2%E0%B8%B4%E0%B8%94%E0%B8%A2%E0%B8%B3%E0%B8%AD%E0%B8%B8%E0%B8%A5%E0%B8%AD%E0%B8%B4%E0%B8%84%E0%B8%A7%E0%B8%B2%E0%B8%99%20%28%E0%B8%A5%E0%B8%B3%E0%B8%A1%E0%B8%94%E0%B8%95%E0%B8%B0%E0%B8%99%E0%B8%AD%E0%B8%A2%29%20%E0%B8%81%E0%B8%A3%E0%B8%B8%E0%B8%87%E0%B9%80%E0%B8%97%E0%B8%9E%E0%B8%A1%E0%B8%AB%E0%B8%B2%E0%B8%99%E0%B8%84%E0%B8%A3</x:v>
      </x:c>
      <x:c r="Z179" s="56" t="n">
        <x:v>13.786183</x:v>
      </x:c>
      <x:c r="AA179" s="56" t="n">
        <x:v>100.859596</x:v>
      </x:c>
      <x:c r="AB179" s="57" t="str"/>
      <x:c r="AC179" s="20" t="str">
        <x:v>https://www.thic.or.th/th/tourist/detail/mosques/450</x:v>
      </x:c>
    </x:row>
    <x:row r="180" ht="88" customHeight="1">
      <x:c r="A180" s="54" t="n">
        <x:v>172</x:v>
      </x:c>
      <x:c r="B180" s="20" t="str">
        <x:v>มัสยิดสุวรรณภูมิ</x:v>
      </x:c>
      <x:c r="C180" s="20" t="str">
        <x:v>กรุงเทพมหานคร</x:v>
      </x:c>
      <x:c r="D180" s="20" t="str">
        <x:v>มัสยิด</x:v>
      </x:c>
      <x:c r="E180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0" s="20" t="str">
        <x:v>มีข้อมูลระบุ แต่รอยืนยัน</x:v>
      </x:c>
      <x:c r="G180" s="20" t="str">
        <x:v>ยังไม่พบเอกสารรับรองและวันหมดอายุ</x:v>
      </x:c>
      <x:c r="H180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0" s="20" t="str">
        <x:v>447 ซอยเจริญนคร 7 ถนนเจริญนคร แขวงคลองต้นไทร เขตคลองสาน กรุงเทพมหานคร 10600</x:v>
      </x:c>
      <x:c r="J180" s="21" t="str">
        <x:v>0 2861 2797</x:v>
      </x:c>
      <x:c r="K180" s="51" t="str">
        <x:v>https://www.thic.or.th/th/tourist/detail/mosques/508</x:v>
      </x:c>
      <x:c r="L180" s="51" t="str">
        <x:v>https://masjid.islamicbangkok.or.th/masjid/id/23672</x:v>
      </x:c>
      <x:c r="M180" s="20" t="str">
        <x:v>ผลค้นหาชื่อสัมพันธ์จากแหล่งเพิ่มเติม ต้องยืนยันสาขาและข้อมูลปัจจุบัน</x:v>
      </x:c>
      <x:c r="N180" s="28" t="n">
        <x:v>46315</x:v>
      </x:c>
      <x:c r="O180" s="57" t="str">
        <x:v>ยังไม่ตรวจ</x:v>
      </x:c>
      <x:c r="P180" s="57" t="str">
        <x:v>ยังไม่ติดต่อ</x:v>
      </x:c>
      <x:c r="Q180" s="20" t="str">
        <x:v>TMF-307</x:v>
      </x:c>
      <x:c r="R180" s="20" t="str"/>
      <x:c r="S180" s="20" t="str"/>
      <x:c r="T180" s="20" t="str">
        <x:v>https://www.thic.or.th/th/tourist/detail/mosques/508</x:v>
      </x:c>
      <x:c r="U180" s="20" t="str"/>
      <x:c r="V180" s="20" t="str"/>
      <x:c r="W180" s="20" t="str"/>
      <x:c r="X180" s="20" t="str"/>
      <x:c r="Y180" s="20" t="str">
        <x:v>https://www.google.com/maps/search/?api=1&amp;query=%E0%B8%A1%E0%B8%B1%E0%B8%AA%E0%B8%A2%E0%B8%B4%E0%B8%94%E0%B8%AA%E0%B8%B8%E0%B8%A7%E0%B8%A3%E0%B8%A3%E0%B8%93%E0%B8%A0%E0%B8%B9%E0%B8%A1%E0%B8%B4%20%E0%B8%81%E0%B8%A3%E0%B8%B8%E0%B8%87%E0%B9%80%E0%B8%97%E0%B8%9E%E0%B8%A1%E0%B8%AB%E0%B8%B2%E0%B8%99%E0%B8%84%E0%B8%A3</x:v>
      </x:c>
      <x:c r="Z180" s="56" t="n">
        <x:v>13.724908</x:v>
      </x:c>
      <x:c r="AA180" s="56" t="n">
        <x:v>100.510887</x:v>
      </x:c>
      <x:c r="AB180" s="57" t="str"/>
      <x:c r="AC180" s="20" t="str">
        <x:v>https://www.thic.or.th/th/tourist/detail/mosques/508</x:v>
      </x:c>
    </x:row>
    <x:row r="181" ht="88" customHeight="1">
      <x:c r="A181" s="54" t="n">
        <x:v>173</x:v>
      </x:c>
      <x:c r="B181" s="20" t="str">
        <x:v>มัสยิดอมันนฤมิต (สาธุประดิษฐ์)</x:v>
      </x:c>
      <x:c r="C181" s="20" t="str">
        <x:v>กรุงเทพมหานคร</x:v>
      </x:c>
      <x:c r="D181" s="20" t="str">
        <x:v>มัสยิด</x:v>
      </x:c>
      <x:c r="E18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1" s="20" t="str">
        <x:v>มีข้อมูลระบุ แต่รอยืนยัน</x:v>
      </x:c>
      <x:c r="G181" s="20" t="str">
        <x:v>ยังไม่พบเอกสารรับรองและวันหมดอายุ</x:v>
      </x:c>
      <x:c r="H18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1" s="20" t="str">
        <x:v>1264 ซอยวัดไผ่เงิน ถนนจันทน์ แขวงบางโคล่ เขตบางคอแหลม กรุงเทพมหานคร 10120</x:v>
      </x:c>
      <x:c r="J181" s="21" t="str">
        <x:v>0 2212 4247</x:v>
      </x:c>
      <x:c r="K181" s="51" t="str">
        <x:v>https://www.thic.or.th/th/tourist/detail/mosques/520</x:v>
      </x:c>
      <x:c r="L181" s="51" t="str">
        <x:v>https://masjid.islamicbangkok.or.th/masjid/id/27374</x:v>
      </x:c>
      <x:c r="M181" s="20" t="str">
        <x:v>ผลค้นหาชื่อสัมพันธ์จากแหล่งเพิ่มเติม ต้องยืนยันสาขาและข้อมูลปัจจุบัน</x:v>
      </x:c>
      <x:c r="N181" s="28" t="n">
        <x:v>46315</x:v>
      </x:c>
      <x:c r="O181" s="57" t="str">
        <x:v>ยังไม่ตรวจ</x:v>
      </x:c>
      <x:c r="P181" s="57" t="str">
        <x:v>ยังไม่ติดต่อ</x:v>
      </x:c>
      <x:c r="Q181" s="20" t="str">
        <x:v>TMF-308</x:v>
      </x:c>
      <x:c r="R181" s="20" t="str"/>
      <x:c r="S181" s="20" t="str"/>
      <x:c r="T181" s="20" t="str">
        <x:v>https://www.thic.or.th/th/tourist/detail/mosques/520</x:v>
      </x:c>
      <x:c r="U181" s="20" t="str"/>
      <x:c r="V181" s="20" t="str"/>
      <x:c r="W181" s="20" t="str"/>
      <x:c r="X181" s="20" t="str"/>
      <x:c r="Y181" s="20" t="str">
        <x:v>https://www.google.com/maps/search/?api=1&amp;query=%E0%B8%A1%E0%B8%B1%E0%B8%AA%E0%B8%A2%E0%B8%B4%E0%B8%94%E0%B8%AD%E0%B8%A1%E0%B8%B1%E0%B8%99%E0%B8%99%E0%B8%A4%E0%B8%A1%E0%B8%B4%E0%B8%95%20%28%E0%B8%AA%E0%B8%B2%E0%B8%98%E0%B8%B8%E0%B8%9B%E0%B8%A3%E0%B8%B0%E0%B8%94%E0%B8%B4%E0%B8%A9%E0%B8%90%E0%B9%8C%29%20%E0%B8%81%E0%B8%A3%E0%B8%B8%E0%B8%87%E0%B9%80%E0%B8%97%E0%B8%9E%E0%B8%A1%E0%B8%AB%E0%B8%B2%E0%B8%99%E0%B8%84%E0%B8%A3</x:v>
      </x:c>
      <x:c r="Z181" s="56" t="n">
        <x:v>13.694529</x:v>
      </x:c>
      <x:c r="AA181" s="56" t="n">
        <x:v>100.526733</x:v>
      </x:c>
      <x:c r="AB181" s="57" t="str"/>
      <x:c r="AC181" s="20" t="str">
        <x:v>https://www.thic.or.th/th/tourist/detail/mosques/520</x:v>
      </x:c>
    </x:row>
    <x:row r="182" ht="88" customHeight="1">
      <x:c r="A182" s="54" t="n">
        <x:v>174</x:v>
      </x:c>
      <x:c r="B182" s="20" t="str">
        <x:v>มัสยิดอันนูรอยน์ (บึงขวาง)</x:v>
      </x:c>
      <x:c r="C182" s="20" t="str">
        <x:v>กรุงเทพมหานคร</x:v>
      </x:c>
      <x:c r="D182" s="20" t="str">
        <x:v>มัสยิด</x:v>
      </x:c>
      <x:c r="E182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2" s="20" t="str">
        <x:v>มีข้อมูลระบุ แต่รอยืนยัน</x:v>
      </x:c>
      <x:c r="G182" s="20" t="str">
        <x:v>ยังไม่พบเอกสารรับรองและวันหมดอายุ</x:v>
      </x:c>
      <x:c r="H18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2" s="20" t="str">
        <x:v>22/3 หมู่ที่ 4 ถนนบึงขวาง แขวงแสนแสบ เขตมีนบุรี กรุงเทพมหานคร 10510</x:v>
      </x:c>
      <x:c r="J182" s="21" t="str">
        <x:v>08 9137 0903</x:v>
      </x:c>
      <x:c r="K182" s="51" t="str">
        <x:v>https://www.thic.or.th/th/tourist/detail/mosques/481</x:v>
      </x:c>
      <x:c r="L182" s="51" t="str">
        <x:v>https://th.trip.com/travel-guide/attraction/bangkok/an-nurayn-mosque-141399981</x:v>
      </x:c>
      <x:c r="M182" s="20" t="str">
        <x:v>ผลค้นหาชื่อสัมพันธ์จากแหล่งเพิ่มเติม ต้องยืนยันสาขาและข้อมูลปัจจุบัน</x:v>
      </x:c>
      <x:c r="N182" s="28" t="n">
        <x:v>46315</x:v>
      </x:c>
      <x:c r="O182" s="57" t="str">
        <x:v>ยังไม่ตรวจ</x:v>
      </x:c>
      <x:c r="P182" s="57" t="str">
        <x:v>ยังไม่ติดต่อ</x:v>
      </x:c>
      <x:c r="Q182" s="20" t="str">
        <x:v>TMF-310</x:v>
      </x:c>
      <x:c r="R182" s="20" t="str"/>
      <x:c r="S182" s="20" t="str"/>
      <x:c r="T182" s="20" t="str">
        <x:v>https://www.thic.or.th/th/tourist/detail/mosques/481</x:v>
      </x:c>
      <x:c r="U182" s="20" t="str"/>
      <x:c r="V182" s="20" t="str"/>
      <x:c r="W182" s="20" t="str"/>
      <x:c r="X182" s="20" t="str"/>
      <x:c r="Y182" s="20" t="str">
        <x:v>https://www.google.com/maps/search/?api=1&amp;query=%E0%B8%A1%E0%B8%B1%E0%B8%AA%E0%B8%A2%E0%B8%B4%E0%B8%94%E0%B8%AD%E0%B8%B1%E0%B8%99%E0%B8%99%E0%B8%B9%E0%B8%A3%E0%B8%AD%E0%B8%A2%E0%B8%99%E0%B9%8C%20%28%E0%B8%9A%E0%B8%B6%E0%B8%87%E0%B8%82%E0%B8%A7%E0%B8%B2%E0%B8%87%29%20%E0%B8%81%E0%B8%A3%E0%B8%B8%E0%B8%87%E0%B9%80%E0%B8%97%E0%B8%9E%E0%B8%A1%E0%B8%AB%E0%B8%B2%E0%B8%99%E0%B8%84%E0%B8%A3</x:v>
      </x:c>
      <x:c r="Z182" s="56" t="n">
        <x:v>13.805158</x:v>
      </x:c>
      <x:c r="AA182" s="56" t="n">
        <x:v>100.759653</x:v>
      </x:c>
      <x:c r="AB182" s="57" t="str"/>
      <x:c r="AC182" s="20" t="str">
        <x:v>https://www.thic.or.th/th/tourist/detail/mosques/481</x:v>
      </x:c>
    </x:row>
    <x:row r="183" ht="88" customHeight="1">
      <x:c r="A183" s="54" t="n">
        <x:v>175</x:v>
      </x:c>
      <x:c r="B183" s="20" t="str">
        <x:v>มัสยิดอัลมาดานี (มัซกัร)</x:v>
      </x:c>
      <x:c r="C183" s="20" t="str">
        <x:v>กรุงเทพมหานคร</x:v>
      </x:c>
      <x:c r="D183" s="20" t="str">
        <x:v>มัสยิด</x:v>
      </x:c>
      <x:c r="E18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3" s="20" t="str">
        <x:v>มีข้อมูลระบุ แต่รอยืนยัน</x:v>
      </x:c>
      <x:c r="G183" s="20" t="str">
        <x:v>ยังไม่พบเอกสารรับรองและวันหมดอายุ</x:v>
      </x:c>
      <x:c r="H18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3" s="20" t="str">
        <x:v>2/1 หมู่ที่ 8 ถนนราษฎร์อุทิศ แขวงแสนแสบ เขตมีนบุรี กรุงเทพมหานคร 10510</x:v>
      </x:c>
      <x:c r="J183" s="21" t="str">
        <x:v>08 5080 9496</x:v>
      </x:c>
      <x:c r="K183" s="51" t="str">
        <x:v>https://www.thic.or.th/th/tourist/detail/mosques/483</x:v>
      </x:c>
      <x:c r="L183" s="51" t="str">
        <x:v>https://masjid.islamicbangkok.or.th/masjid/id/28103</x:v>
      </x:c>
      <x:c r="M183" s="20" t="str">
        <x:v>ผลค้นหาชื่อสัมพันธ์จากแหล่งเพิ่มเติม ต้องยืนยันสาขาและข้อมูลปัจจุบัน</x:v>
      </x:c>
      <x:c r="N183" s="28" t="n">
        <x:v>46315</x:v>
      </x:c>
      <x:c r="O183" s="57" t="str">
        <x:v>ยังไม่ตรวจ</x:v>
      </x:c>
      <x:c r="P183" s="57" t="str">
        <x:v>ยังไม่ติดต่อ</x:v>
      </x:c>
      <x:c r="Q183" s="20" t="str">
        <x:v>TMF-311</x:v>
      </x:c>
      <x:c r="R183" s="20" t="str"/>
      <x:c r="S183" s="20" t="str"/>
      <x:c r="T183" s="20" t="str">
        <x:v>https://www.thic.or.th/th/tourist/detail/mosques/483</x:v>
      </x:c>
      <x:c r="U183" s="20" t="str"/>
      <x:c r="V183" s="20" t="str"/>
      <x:c r="W183" s="20" t="str"/>
      <x:c r="X183" s="20" t="str"/>
      <x:c r="Y183" s="20" t="str">
        <x:v>https://www.google.com/maps/search/?api=1&amp;query=%E0%B8%A1%E0%B8%B1%E0%B8%AA%E0%B8%A2%E0%B8%B4%E0%B8%94%E0%B8%AD%E0%B8%B1%E0%B8%A5%E0%B8%A1%E0%B8%B2%E0%B8%94%E0%B8%B2%E0%B8%99%E0%B8%B5%20%28%E0%B8%A1%E0%B8%B1%E0%B8%8B%E0%B8%81%E0%B8%B1%E0%B8%A3%29%20%E0%B8%81%E0%B8%A3%E0%B8%B8%E0%B8%87%E0%B9%80%E0%B8%97%E0%B8%9E%E0%B8%A1%E0%B8%AB%E0%B8%B2%E0%B8%99%E0%B8%84%E0%B8%A3</x:v>
      </x:c>
      <x:c r="Z183" s="56" t="n">
        <x:v>13.833781</x:v>
      </x:c>
      <x:c r="AA183" s="56" t="n">
        <x:v>100.778524</x:v>
      </x:c>
      <x:c r="AB183" s="57" t="str"/>
      <x:c r="AC183" s="20" t="str">
        <x:v>https://www.thic.or.th/th/tourist/detail/mosques/483</x:v>
      </x:c>
    </x:row>
    <x:row r="184" ht="88" customHeight="1">
      <x:c r="A184" s="54" t="n">
        <x:v>176</x:v>
      </x:c>
      <x:c r="B184" s="20" t="str">
        <x:v>มัสยิดอัลยามิอะห์ (ลำอีรั้ว)</x:v>
      </x:c>
      <x:c r="C184" s="20" t="str">
        <x:v>กรุงเทพมหานคร</x:v>
      </x:c>
      <x:c r="D184" s="20" t="str">
        <x:v>มัสยิด</x:v>
      </x:c>
      <x:c r="E18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4" s="20" t="str">
        <x:v>มีข้อมูลระบุ แต่รอยืนยัน</x:v>
      </x:c>
      <x:c r="G184" s="20" t="str">
        <x:v>ยังไม่พบเอกสารรับรองและวันหมดอายุ</x:v>
      </x:c>
      <x:c r="H18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4" s="20" t="str">
        <x:v>52 หมู่ 7 ซอยเชื่อมสัมพันธ์22 แขวงโคกแฝด เขตหนองจอก กรุงเทพมหานคร 10530</x:v>
      </x:c>
      <x:c r="J184" s="21" t="str">
        <x:v>0 2988 0937</x:v>
      </x:c>
      <x:c r="K184" s="51" t="str">
        <x:v>https://www.thic.or.th/th/tourist/detail/mosques/440</x:v>
      </x:c>
      <x:c r="L184" s="51" t="str">
        <x:v>https://masjid.islamicbangkok.or.th/masjid/id/10162</x:v>
      </x:c>
      <x:c r="M184" s="20" t="str">
        <x:v>ผลค้นหาชื่อสัมพันธ์จากแหล่งเพิ่มเติม ต้องยืนยันสาขาและข้อมูลปัจจุบัน</x:v>
      </x:c>
      <x:c r="N184" s="28" t="n">
        <x:v>46315</x:v>
      </x:c>
      <x:c r="O184" s="57" t="str">
        <x:v>ยังไม่ตรวจ</x:v>
      </x:c>
      <x:c r="P184" s="57" t="str">
        <x:v>ยังไม่ติดต่อ</x:v>
      </x:c>
      <x:c r="Q184" s="20" t="str">
        <x:v>TMF-312</x:v>
      </x:c>
      <x:c r="R184" s="20" t="str"/>
      <x:c r="S184" s="20" t="str"/>
      <x:c r="T184" s="20" t="str">
        <x:v>https://www.thic.or.th/th/tourist/detail/mosques/440</x:v>
      </x:c>
      <x:c r="U184" s="20" t="str"/>
      <x:c r="V184" s="20" t="str"/>
      <x:c r="W184" s="20" t="str"/>
      <x:c r="X184" s="20" t="str"/>
      <x:c r="Y184" s="20" t="str">
        <x:v>https://www.google.com/maps/search/?api=1&amp;query=%E0%B8%A1%E0%B8%B1%E0%B8%AA%E0%B8%A2%E0%B8%B4%E0%B8%94%E0%B8%AD%E0%B8%B1%E0%B8%A5%E0%B8%A2%E0%B8%B2%E0%B8%A1%E0%B8%B4%E0%B8%AD%E0%B8%B0%E0%B8%AB%E0%B9%8C%20%28%E0%B8%A5%E0%B8%B3%E0%B8%AD%E0%B8%B5%E0%B8%A3%E0%B8%B1%E0%B9%89%E0%B8%A7%29%20%E0%B8%81%E0%B8%A3%E0%B8%B8%E0%B8%87%E0%B9%80%E0%B8%97%E0%B8%9E%E0%B8%A1%E0%B8%AB%E0%B8%B2%E0%B8%99%E0%B8%84%E0%B8%A3</x:v>
      </x:c>
      <x:c r="Z184" s="56" t="n">
        <x:v>13.819347</x:v>
      </x:c>
      <x:c r="AA184" s="56" t="n">
        <x:v>100.831419</x:v>
      </x:c>
      <x:c r="AB184" s="57" t="str"/>
      <x:c r="AC184" s="20" t="str">
        <x:v>https://www.thic.or.th/th/tourist/detail/mosques/440</x:v>
      </x:c>
    </x:row>
    <x:row r="185" ht="88" customHeight="1">
      <x:c r="A185" s="54" t="n">
        <x:v>177</x:v>
      </x:c>
      <x:c r="B185" s="20" t="str">
        <x:v>มัสยิดอัลอะติ๊ก (สุเหร่าเก่า)</x:v>
      </x:c>
      <x:c r="C185" s="20" t="str">
        <x:v>กรุงเทพมหานคร</x:v>
      </x:c>
      <x:c r="D185" s="20" t="str">
        <x:v>มัสยิด</x:v>
      </x:c>
      <x:c r="E185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5" s="20" t="str">
        <x:v>มีข้อมูลระบุ แต่รอยืนยัน</x:v>
      </x:c>
      <x:c r="G185" s="20" t="str">
        <x:v>ยังไม่พบเอกสารรับรองและวันหมดอายุ</x:v>
      </x:c>
      <x:c r="H18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5" s="20" t="str">
        <x:v>454 ถนนเจริญกรุง แขวงวัดพระยาไกร เขตบางคอแหลม กรุงเทพมหานคร 10120</x:v>
      </x:c>
      <x:c r="J185" s="21" t="str">
        <x:v>0 2688 2229</x:v>
      </x:c>
      <x:c r="K185" s="51" t="str">
        <x:v>https://www.thic.or.th/th/tourist/detail/mosques/524</x:v>
      </x:c>
      <x:c r="L185" s="51" t="str">
        <x:v>https://masjid.islamicbangkok.or.th/masjid/id/31008</x:v>
      </x:c>
      <x:c r="M185" s="20" t="str">
        <x:v>ผลค้นหาชื่อสัมพันธ์จากแหล่งเพิ่มเติม ต้องยืนยันสาขาและข้อมูลปัจจุบัน</x:v>
      </x:c>
      <x:c r="N185" s="28" t="n">
        <x:v>46315</x:v>
      </x:c>
      <x:c r="O185" s="57" t="str">
        <x:v>ยังไม่ตรวจ</x:v>
      </x:c>
      <x:c r="P185" s="57" t="str">
        <x:v>ยังไม่ติดต่อ</x:v>
      </x:c>
      <x:c r="Q185" s="20" t="str">
        <x:v>TMF-313</x:v>
      </x:c>
      <x:c r="R185" s="20" t="str"/>
      <x:c r="S185" s="20" t="str"/>
      <x:c r="T185" s="20" t="str">
        <x:v>https://www.thic.or.th/th/tourist/detail/mosques/524</x:v>
      </x:c>
      <x:c r="U185" s="20" t="str"/>
      <x:c r="V185" s="20" t="str"/>
      <x:c r="W185" s="20" t="str"/>
      <x:c r="X185" s="20" t="str"/>
      <x:c r="Y185" s="20" t="str">
        <x:v>https://www.google.com/maps/search/?api=1&amp;query=%E0%B8%A1%E0%B8%B1%E0%B8%AA%E0%B8%A2%E0%B8%B4%E0%B8%94%E0%B8%AD%E0%B8%B1%E0%B8%A5%E0%B8%AD%E0%B8%B0%E0%B8%95%E0%B8%B4%E0%B9%8A%E0%B8%81%20%28%E0%B8%AA%E0%B8%B8%E0%B9%80%E0%B8%AB%E0%B8%A3%E0%B9%88%E0%B8%B2%E0%B9%80%E0%B8%81%E0%B9%88%E0%B8%B2%29%20%E0%B8%81%E0%B8%A3%E0%B8%B8%E0%B8%87%E0%B9%80%E0%B8%97%E0%B8%9E%E0%B8%A1%E0%B8%AB%E0%B8%B2%E0%B8%99%E0%B8%84%E0%B8%A3</x:v>
      </x:c>
      <x:c r="Z185" s="56" t="n">
        <x:v>13.698056</x:v>
      </x:c>
      <x:c r="AA185" s="56" t="n">
        <x:v>100.502866</x:v>
      </x:c>
      <x:c r="AB185" s="57" t="str"/>
      <x:c r="AC185" s="20" t="str">
        <x:v>https://www.thic.or.th/th/tourist/detail/mosques/524</x:v>
      </x:c>
    </x:row>
    <x:row r="186" ht="88" customHeight="1">
      <x:c r="A186" s="54" t="n">
        <x:v>178</x:v>
      </x:c>
      <x:c r="B186" s="20" t="str">
        <x:v>มัสยิดอัลฮุดา</x:v>
      </x:c>
      <x:c r="C186" s="20" t="str">
        <x:v>กรุงเทพมหานคร</x:v>
      </x:c>
      <x:c r="D186" s="20" t="str">
        <x:v>มัสยิด</x:v>
      </x:c>
      <x:c r="E186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6" s="20" t="str">
        <x:v>มีข้อมูลระบุ แต่รอยืนยัน</x:v>
      </x:c>
      <x:c r="G186" s="20" t="str">
        <x:v>ยังไม่พบเอกสารรับรองและวันหมดอายุ</x:v>
      </x:c>
      <x:c r="H18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6" s="20" t="str">
        <x:v>30/2 ถ. มิตรไมตรี แขวงหนองจอก เขตหนองจอก กรุงเทพมหานคร 10530</x:v>
      </x:c>
      <x:c r="J186" s="21" t="str">
        <x:v>ยังไม่พบหรือยังไม่ยืนยัน</x:v>
      </x:c>
      <x:c r="K186" s="51" t="str">
        <x:v>https://www.thic.or.th/th/tourist/detail/mosques/313</x:v>
      </x:c>
      <x:c r="L186" s="51" t="str">
        <x:v>https://th.trip.com/travel-guide/attraction/bangkok/al-huda-mosque-144755946</x:v>
      </x:c>
      <x:c r="M186" s="20" t="str">
        <x:v>ผลค้นหาชื่อสัมพันธ์จากแหล่งเพิ่มเติม ต้องยืนยันสาขาและข้อมูลปัจจุบัน</x:v>
      </x:c>
      <x:c r="N186" s="28" t="n">
        <x:v>46315</x:v>
      </x:c>
      <x:c r="O186" s="57" t="str">
        <x:v>ยังไม่ตรวจ</x:v>
      </x:c>
      <x:c r="P186" s="57" t="str">
        <x:v>ยังไม่ติดต่อ</x:v>
      </x:c>
      <x:c r="Q186" s="20" t="str">
        <x:v>TMF-314</x:v>
      </x:c>
      <x:c r="R186" s="20" t="str"/>
      <x:c r="S186" s="20" t="str"/>
      <x:c r="T186" s="20" t="str">
        <x:v>https://www.thic.or.th/th/tourist/detail/mosques/313</x:v>
      </x:c>
      <x:c r="U186" s="20" t="str"/>
      <x:c r="V186" s="20" t="str"/>
      <x:c r="W186" s="20" t="str"/>
      <x:c r="X186" s="20" t="str"/>
      <x:c r="Y186" s="20" t="str">
        <x:v>https://www.google.com/maps/search/?api=1&amp;query=%E0%B8%A1%E0%B8%B1%E0%B8%AA%E0%B8%A2%E0%B8%B4%E0%B8%94%E0%B8%AD%E0%B8%B1%E0%B8%A5%E0%B8%AE%E0%B8%B8%E0%B8%94%E0%B8%B2%20%E0%B8%81%E0%B8%A3%E0%B8%B8%E0%B8%87%E0%B9%80%E0%B8%97%E0%B8%9E%E0%B8%A1%E0%B8%AB%E0%B8%B2%E0%B8%99%E0%B8%84%E0%B8%A3</x:v>
      </x:c>
      <x:c r="Z186" s="56" t="str"/>
      <x:c r="AA186" s="56" t="str"/>
      <x:c r="AB186" s="57" t="str"/>
      <x:c r="AC186" s="20" t="str">
        <x:v>https://www.thic.or.th/th/tourist/detail/mosques/313</x:v>
      </x:c>
    </x:row>
    <x:row r="187" ht="88" customHeight="1">
      <x:c r="A187" s="54" t="n">
        <x:v>179</x:v>
      </x:c>
      <x:c r="B187" s="20" t="str">
        <x:v>มัสยิดอัลฮุสนา เจียรดับ</x:v>
      </x:c>
      <x:c r="C187" s="20" t="str">
        <x:v>กรุงเทพมหานคร</x:v>
      </x:c>
      <x:c r="D187" s="20" t="str">
        <x:v>มัสยิด</x:v>
      </x:c>
      <x:c r="E187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7" s="20" t="str">
        <x:v>มีข้อมูลระบุ แต่รอยืนยัน</x:v>
      </x:c>
      <x:c r="G187" s="20" t="str">
        <x:v>ยังไม่พบเอกสารรับรองและวันหมดอายุ</x:v>
      </x:c>
      <x:c r="H187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7" s="20" t="str">
        <x:v>35 ถ. มิตรไมตรี แขวงหนองจอก เขตหนองจอก กรุงเทพมหานคร 10530</x:v>
      </x:c>
      <x:c r="J187" s="21" t="str">
        <x:v>+6629886561</x:v>
      </x:c>
      <x:c r="K187" s="51" t="str">
        <x:v>https://www.thic.or.th/th/tourist/detail/mosques/316</x:v>
      </x:c>
      <x:c r="L187" s="51" t="str">
        <x:v>https://au.trip.com/travel-guide/attraction/bangkok/masjid-al-husna-141315442?poiType=3</x:v>
      </x:c>
      <x:c r="M187" s="20" t="str">
        <x:v>ผลค้นหาชื่อสัมพันธ์จากแหล่งเพิ่มเติม ต้องยืนยันสาขาและข้อมูลปัจจุบัน</x:v>
      </x:c>
      <x:c r="N187" s="28" t="n">
        <x:v>46315</x:v>
      </x:c>
      <x:c r="O187" s="57" t="str">
        <x:v>ยังไม่ตรวจ</x:v>
      </x:c>
      <x:c r="P187" s="57" t="str">
        <x:v>ยังไม่ติดต่อ</x:v>
      </x:c>
      <x:c r="Q187" s="20" t="str">
        <x:v>TMF-315</x:v>
      </x:c>
      <x:c r="R187" s="20" t="str"/>
      <x:c r="S187" s="20" t="str"/>
      <x:c r="T187" s="20" t="str">
        <x:v>https://www.thic.or.th/th/tourist/detail/mosques/316</x:v>
      </x:c>
      <x:c r="U187" s="20" t="str"/>
      <x:c r="V187" s="20" t="str"/>
      <x:c r="W187" s="20" t="str"/>
      <x:c r="X187" s="20" t="str"/>
      <x:c r="Y187" s="20" t="str">
        <x:v>https://www.google.com/maps/search/?api=1&amp;query=%E0%B8%A1%E0%B8%B1%E0%B8%AA%E0%B8%A2%E0%B8%B4%E0%B8%94%E0%B8%AD%E0%B8%B1%E0%B8%A5%E0%B8%AE%E0%B8%B8%E0%B8%AA%E0%B8%99%E0%B8%B2%20%E0%B9%80%E0%B8%88%E0%B8%B5%E0%B8%A2%E0%B8%A3%E0%B8%94%E0%B8%B1%E0%B8%9A%20%E0%B8%81%E0%B8%A3%E0%B8%B8%E0%B8%87%E0%B9%80%E0%B8%97%E0%B8%9E%E0%B8%A1%E0%B8%AB%E0%B8%B2%E0%B8%99%E0%B8%84%E0%B8%A3</x:v>
      </x:c>
      <x:c r="Z187" s="56" t="n">
        <x:v>13.856464</x:v>
      </x:c>
      <x:c r="AA187" s="56" t="n">
        <x:v>100.830714</x:v>
      </x:c>
      <x:c r="AB187" s="57" t="str"/>
      <x:c r="AC187" s="20" t="str">
        <x:v>https://www.thic.or.th/th/tourist/detail/mosques/316</x:v>
      </x:c>
    </x:row>
    <x:row r="188" ht="88" customHeight="1">
      <x:c r="A188" s="54" t="n">
        <x:v>180</x:v>
      </x:c>
      <x:c r="B188" s="20" t="str">
        <x:v>มัสยิดอัลเอียะซาน (ลำเจดีย์)</x:v>
      </x:c>
      <x:c r="C188" s="20" t="str">
        <x:v>กรุงเทพมหานคร</x:v>
      </x:c>
      <x:c r="D188" s="20" t="str">
        <x:v>มัสยิด</x:v>
      </x:c>
      <x:c r="E188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8" s="20" t="str">
        <x:v>มีข้อมูลระบุ แต่รอยืนยัน</x:v>
      </x:c>
      <x:c r="G188" s="20" t="str">
        <x:v>ยังไม่พบเอกสารรับรองและวันหมดอายุ</x:v>
      </x:c>
      <x:c r="H188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8" s="20" t="str">
        <x:v>5 ซอยโรงเรียนลำเจดีย์ ถนนคู้–คลองสิบ แขวงคู้ฝั่งเหนือ เขตหนองจอก กรุงเทพมหานคร 10530</x:v>
      </x:c>
      <x:c r="J188" s="21" t="str">
        <x:v>08 9442 6134</x:v>
      </x:c>
      <x:c r="K188" s="51" t="str">
        <x:v>https://www.thic.or.th/th/tourist/detail/mosques/451</x:v>
      </x:c>
      <x:c r="L188" s="51" t="str">
        <x:v>https://masjid.islamicbangkok.or.th/masjid/id/75220</x:v>
      </x:c>
      <x:c r="M188" s="20" t="str">
        <x:v>ผลค้นหาชื่อสัมพันธ์จากแหล่งเพิ่มเติม ต้องยืนยันสาขาและข้อมูลปัจจุบัน</x:v>
      </x:c>
      <x:c r="N188" s="28" t="n">
        <x:v>46315</x:v>
      </x:c>
      <x:c r="O188" s="57" t="str">
        <x:v>ยังไม่ตรวจ</x:v>
      </x:c>
      <x:c r="P188" s="57" t="str">
        <x:v>ยังไม่ติดต่อ</x:v>
      </x:c>
      <x:c r="Q188" s="20" t="str">
        <x:v>TMF-316</x:v>
      </x:c>
      <x:c r="R188" s="20" t="str"/>
      <x:c r="S188" s="20" t="str"/>
      <x:c r="T188" s="20" t="str">
        <x:v>https://www.thic.or.th/th/tourist/detail/mosques/451</x:v>
      </x:c>
      <x:c r="U188" s="20" t="str"/>
      <x:c r="V188" s="20" t="str"/>
      <x:c r="W188" s="20" t="str"/>
      <x:c r="X188" s="20" t="str"/>
      <x:c r="Y188" s="20" t="str">
        <x:v>https://www.google.com/maps/search/?api=1&amp;query=%E0%B8%A1%E0%B8%B1%E0%B8%AA%E0%B8%A2%E0%B8%B4%E0%B8%94%E0%B8%AD%E0%B8%B1%E0%B8%A5%E0%B9%80%E0%B8%AD%E0%B8%B5%E0%B8%A2%E0%B8%B0%E0%B8%8B%E0%B8%B2%E0%B8%99%20%28%E0%B8%A5%E0%B8%B3%E0%B9%80%E0%B8%88%E0%B8%94%E0%B8%B5%E0%B8%A2%E0%B9%8C%29%20%E0%B8%81%E0%B8%A3%E0%B8%B8%E0%B8%87%E0%B9%80%E0%B8%97%E0%B8%9E%E0%B8%A1%E0%B8%AB%E0%B8%B2%E0%B8%99%E0%B8%84%E0%B8%A3</x:v>
      </x:c>
      <x:c r="Z188" s="56" t="n">
        <x:v>13.878327</x:v>
      </x:c>
      <x:c r="AA188" s="56" t="n">
        <x:v>100.819485</x:v>
      </x:c>
      <x:c r="AB188" s="57" t="str"/>
      <x:c r="AC188" s="20" t="str">
        <x:v>https://www.thic.or.th/th/tourist/detail/mosques/451</x:v>
      </x:c>
    </x:row>
    <x:row r="189" ht="88" customHeight="1">
      <x:c r="A189" s="54" t="n">
        <x:v>181</x:v>
      </x:c>
      <x:c r="B189" s="20" t="str">
        <x:v>มัสยิดอัสสลาม (คลองกุ่ม)</x:v>
      </x:c>
      <x:c r="C189" s="20" t="str">
        <x:v>กรุงเทพมหานคร</x:v>
      </x:c>
      <x:c r="D189" s="20" t="str">
        <x:v>มัสยิด</x:v>
      </x:c>
      <x:c r="E189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89" s="20" t="str">
        <x:v>มีข้อมูลระบุ แต่รอยืนยัน</x:v>
      </x:c>
      <x:c r="G189" s="20" t="str">
        <x:v>ยังไม่พบเอกสารรับรองและวันหมดอายุ</x:v>
      </x:c>
      <x:c r="H18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89" s="20" t="str">
        <x:v>61/2 หมู่ 4 ซอยเสรีไทย24 ถนนเสรีไทย 10240 แขวงคลองกุ่ม เขตบึงกุ่ม กรุงเทพมหานคร 10240</x:v>
      </x:c>
      <x:c r="J189" s="21" t="str">
        <x:v>0 2373 9250</x:v>
      </x:c>
      <x:c r="K189" s="51" t="str">
        <x:v>https://www.thic.or.th/th/tourist/detail/mosques/518</x:v>
      </x:c>
      <x:c r="L189" s="51" t="str">
        <x:v>https://masjid.islamicbangkok.or.th/masjid/id/18594</x:v>
      </x:c>
      <x:c r="M189" s="20" t="str">
        <x:v>ผลค้นหาชื่อสัมพันธ์จากแหล่งเพิ่มเติม ต้องยืนยันสาขาและข้อมูลปัจจุบัน</x:v>
      </x:c>
      <x:c r="N189" s="28" t="n">
        <x:v>46315</x:v>
      </x:c>
      <x:c r="O189" s="57" t="str">
        <x:v>ยังไม่ตรวจ</x:v>
      </x:c>
      <x:c r="P189" s="57" t="str">
        <x:v>ยังไม่ติดต่อ</x:v>
      </x:c>
      <x:c r="Q189" s="20" t="str">
        <x:v>TMF-318</x:v>
      </x:c>
      <x:c r="R189" s="20" t="str"/>
      <x:c r="S189" s="20" t="str"/>
      <x:c r="T189" s="20" t="str">
        <x:v>https://www.thic.or.th/th/tourist/detail/mosques/518</x:v>
      </x:c>
      <x:c r="U189" s="20" t="str"/>
      <x:c r="V189" s="20" t="str"/>
      <x:c r="W189" s="20" t="str"/>
      <x:c r="X189" s="20" t="str"/>
      <x:c r="Y189" s="20" t="str">
        <x:v>https://www.google.com/maps/search/?api=1&amp;query=%E0%B8%A1%E0%B8%B1%E0%B8%AA%E0%B8%A2%E0%B8%B4%E0%B8%94%E0%B8%AD%E0%B8%B1%E0%B8%AA%E0%B8%AA%E0%B8%A5%E0%B8%B2%E0%B8%A1%20%28%E0%B8%84%E0%B8%A5%E0%B8%AD%E0%B8%87%E0%B8%81%E0%B8%B8%E0%B9%88%E0%B8%A1%29%20%E0%B8%81%E0%B8%A3%E0%B8%B8%E0%B8%87%E0%B9%80%E0%B8%97%E0%B8%9E%E0%B8%A1%E0%B8%AB%E0%B8%B2%E0%B8%99%E0%B8%84%E0%B8%A3</x:v>
      </x:c>
      <x:c r="Z189" s="56" t="n">
        <x:v>13.780964</x:v>
      </x:c>
      <x:c r="AA189" s="56" t="n">
        <x:v>100.673839</x:v>
      </x:c>
      <x:c r="AB189" s="57" t="str"/>
      <x:c r="AC189" s="20" t="str">
        <x:v>https://www.thic.or.th/th/tourist/detail/mosques/518</x:v>
      </x:c>
    </x:row>
    <x:row r="190" ht="88" customHeight="1">
      <x:c r="A190" s="54" t="n">
        <x:v>182</x:v>
      </x:c>
      <x:c r="B190" s="20" t="str">
        <x:v>มัสยิดอิดด์ฮาดร์อูลูมุดดีน</x:v>
      </x:c>
      <x:c r="C190" s="20" t="str">
        <x:v>กรุงเทพมหานคร</x:v>
      </x:c>
      <x:c r="D190" s="20" t="str">
        <x:v>มัสยิด</x:v>
      </x:c>
      <x:c r="E190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90" s="20" t="str">
        <x:v>มีข้อมูลระบุ แต่รอยืนยัน</x:v>
      </x:c>
      <x:c r="G190" s="20" t="str">
        <x:v>ยังไม่พบเอกสารรับรองและวันหมดอายุ</x:v>
      </x:c>
      <x:c r="H190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90" s="20" t="str">
        <x:v>29/1 ถนนราชอุทิศ17 ถนนราชอุทิศ แขวงแสนแสบ เขตมีนบุรี กรุงเทพมหานคร 10510</x:v>
      </x:c>
      <x:c r="J190" s="21" t="str">
        <x:v>02-543-8531</x:v>
      </x:c>
      <x:c r="K190" s="51" t="str">
        <x:v>https://www.thic.or.th/th/tourist/detail/mosques/184</x:v>
      </x:c>
      <x:c r="L190" s="51" t="str">
        <x:v>https://th.trip.com/travel-guide/attraction/bangkok/izhar-ulumuddin-mosque-141676410</x:v>
      </x:c>
      <x:c r="M190" s="20" t="str">
        <x:v>ผลค้นหาชื่อสัมพันธ์จากแหล่งเพิ่มเติม ต้องยืนยันสาขาและข้อมูลปัจจุบัน</x:v>
      </x:c>
      <x:c r="N190" s="28" t="n">
        <x:v>46315</x:v>
      </x:c>
      <x:c r="O190" s="57" t="str">
        <x:v>ยังไม่ตรวจ</x:v>
      </x:c>
      <x:c r="P190" s="57" t="str">
        <x:v>ยังไม่ติดต่อ</x:v>
      </x:c>
      <x:c r="Q190" s="20" t="str">
        <x:v>TMF-320</x:v>
      </x:c>
      <x:c r="R190" s="20" t="str"/>
      <x:c r="S190" s="20" t="str"/>
      <x:c r="T190" s="20" t="str">
        <x:v>https://www.thic.or.th/th/tourist/detail/mosques/184</x:v>
      </x:c>
      <x:c r="U190" s="20" t="str"/>
      <x:c r="V190" s="20" t="str"/>
      <x:c r="W190" s="20" t="str"/>
      <x:c r="X190" s="20" t="str"/>
      <x:c r="Y190" s="20" t="str">
        <x:v>https://www.google.com/maps/search/?api=1&amp;query=%E0%B8%A1%E0%B8%B1%E0%B8%AA%E0%B8%A2%E0%B8%B4%E0%B8%94%E0%B8%AD%E0%B8%B4%E0%B8%94%E0%B8%94%E0%B9%8C%E0%B8%AE%E0%B8%B2%E0%B8%94%E0%B8%A3%E0%B9%8C%E0%B8%AD%E0%B8%B9%E0%B8%A5%E0%B8%B9%E0%B8%A1%E0%B8%B8%E0%B8%94%E0%B8%94%E0%B8%B5%E0%B8%99%20%E0%B8%81%E0%B8%A3%E0%B8%B8%E0%B8%87%E0%B9%80%E0%B8%97%E0%B8%9E%E0%B8%A1%E0%B8%AB%E0%B8%B2%E0%B8%99%E0%B8%84%E0%B8%A3</x:v>
      </x:c>
      <x:c r="Z190" s="56" t="n">
        <x:v>13.830594</x:v>
      </x:c>
      <x:c r="AA190" s="56" t="n">
        <x:v>100.763826</x:v>
      </x:c>
      <x:c r="AB190" s="57" t="str"/>
      <x:c r="AC190" s="20" t="str">
        <x:v>https://www.thic.or.th/th/tourist/detail/mosques/184</x:v>
      </x:c>
    </x:row>
    <x:row r="191" ht="88" customHeight="1">
      <x:c r="A191" s="54" t="n">
        <x:v>183</x:v>
      </x:c>
      <x:c r="B191" s="20" t="str">
        <x:v>มัสยิดอิบรอฮีม (บึงเตย)</x:v>
      </x:c>
      <x:c r="C191" s="20" t="str">
        <x:v>กรุงเทพมหานคร</x:v>
      </x:c>
      <x:c r="D191" s="20" t="str">
        <x:v>มัสยิด</x:v>
      </x:c>
      <x:c r="E19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91" s="20" t="str">
        <x:v>มีข้อมูลระบุ แต่รอยืนยัน</x:v>
      </x:c>
      <x:c r="G191" s="20" t="str">
        <x:v>ยังไม่พบเอกสารรับรองและวันหมดอายุ</x:v>
      </x:c>
      <x:c r="H19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91" s="20" t="str">
        <x:v>44 หมู่ 3 ถนนประชาสำราญ แขวงหนองจอก เขตหนองจอก กรุงเทพมหานคร 10530</x:v>
      </x:c>
      <x:c r="J191" s="21" t="str">
        <x:v>0 2989 2042</x:v>
      </x:c>
      <x:c r="K191" s="51" t="str">
        <x:v>https://www.thic.or.th/th/tourist/detail/mosques/433</x:v>
      </x:c>
      <x:c r="L191" s="51" t="str">
        <x:v>https://www.cicot.or.th/th/mosque/detail/399/2/%E0%B8%A1%E0%B8%B1%E0%B8%AA%E0%B8%A2%E0%B8%B4%E0%B8%94%E0%B8%AD%E0%B8%B4%E0%B8%9A%E0%B8%A3%E0%B8%AD%E0%B8%AE%E0%B8%B5%E0%B8%A1-%E0%B8%9A%E0%B8%B6%E0%B8%87%E0%B9%80%E0%B8%95%E0%B8%A2</x:v>
      </x:c>
      <x:c r="M191" s="20" t="str">
        <x:v>ผลค้นหาชื่อสัมพันธ์จากแหล่งเพิ่มเติม ต้องยืนยันสาขาและข้อมูลปัจจุบัน</x:v>
      </x:c>
      <x:c r="N191" s="28" t="n">
        <x:v>46315</x:v>
      </x:c>
      <x:c r="O191" s="57" t="str">
        <x:v>ยังไม่ตรวจ</x:v>
      </x:c>
      <x:c r="P191" s="57" t="str">
        <x:v>ยังไม่ติดต่อ</x:v>
      </x:c>
      <x:c r="Q191" s="20" t="str">
        <x:v>TMF-321</x:v>
      </x:c>
      <x:c r="R191" s="20" t="str"/>
      <x:c r="S191" s="20" t="str"/>
      <x:c r="T191" s="20" t="str">
        <x:v>https://www.thic.or.th/th/tourist/detail/mosques/433</x:v>
      </x:c>
      <x:c r="U191" s="20" t="str"/>
      <x:c r="V191" s="20" t="str"/>
      <x:c r="W191" s="20" t="str"/>
      <x:c r="X191" s="20" t="str"/>
      <x:c r="Y191" s="20" t="str">
        <x:v>https://www.google.com/maps/search/?api=1&amp;query=%E0%B8%A1%E0%B8%B1%E0%B8%AA%E0%B8%A2%E0%B8%B4%E0%B8%94%E0%B8%AD%E0%B8%B4%E0%B8%9A%E0%B8%A3%E0%B8%AD%E0%B8%AE%E0%B8%B5%E0%B8%A1%20%28%E0%B8%9A%E0%B8%B6%E0%B8%87%E0%B9%80%E0%B8%95%E0%B8%A2%29%20%E0%B8%81%E0%B8%A3%E0%B8%B8%E0%B8%87%E0%B9%80%E0%B8%97%E0%B8%9E%E0%B8%A1%E0%B8%AB%E0%B8%B2%E0%B8%99%E0%B8%84%E0%B8%A3</x:v>
      </x:c>
      <x:c r="Z191" s="56" t="n">
        <x:v>13.87128</x:v>
      </x:c>
      <x:c r="AA191" s="56" t="n">
        <x:v>100.865979</x:v>
      </x:c>
      <x:c r="AB191" s="57" t="str"/>
      <x:c r="AC191" s="20" t="str">
        <x:v>https://www.thic.or.th/th/tourist/detail/mosques/433</x:v>
      </x:c>
    </x:row>
    <x:row r="192" ht="88" customHeight="1">
      <x:c r="A192" s="54" t="n">
        <x:v>184</x:v>
      </x:c>
      <x:c r="B192" s="20" t="str">
        <x:v>มัสยิดฮาซานุดดีน (ศาลาแดง)</x:v>
      </x:c>
      <x:c r="C192" s="20" t="str">
        <x:v>กรุงเทพมหานคร</x:v>
      </x:c>
      <x:c r="D192" s="20" t="str">
        <x:v>มัสยิด</x:v>
      </x:c>
      <x:c r="E192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92" s="20" t="str">
        <x:v>มีข้อมูลระบุ แต่รอยืนยัน</x:v>
      </x:c>
      <x:c r="G192" s="20" t="str">
        <x:v>ยังไม่พบเอกสารรับรองและวันหมดอายุ</x:v>
      </x:c>
      <x:c r="H19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92" s="20" t="str">
        <x:v>32/3 หมู่ 5 ถนนผดุงพันธ์ แขวงหนองจอก เขตหนองจอก กรุงเทพมหานคร 10530</x:v>
      </x:c>
      <x:c r="J192" s="21" t="str">
        <x:v>08 9182 1424</x:v>
      </x:c>
      <x:c r="K192" s="51" t="str">
        <x:v>https://www.thic.or.th/th/tourist/detail/mosques/443</x:v>
      </x:c>
      <x:c r="L192" s="51" t="str">
        <x:v>https://masjid.islamicbangkok.or.th/masjid/id/23076</x:v>
      </x:c>
      <x:c r="M192" s="20" t="str">
        <x:v>ผลค้นหาชื่อสัมพันธ์จากแหล่งเพิ่มเติม ต้องยืนยันสาขาและข้อมูลปัจจุบัน</x:v>
      </x:c>
      <x:c r="N192" s="28" t="n">
        <x:v>46315</x:v>
      </x:c>
      <x:c r="O192" s="57" t="str">
        <x:v>ยังไม่ตรวจ</x:v>
      </x:c>
      <x:c r="P192" s="57" t="str">
        <x:v>ยังไม่ติดต่อ</x:v>
      </x:c>
      <x:c r="Q192" s="20" t="str">
        <x:v>TMF-322</x:v>
      </x:c>
      <x:c r="R192" s="20" t="str"/>
      <x:c r="S192" s="20" t="str"/>
      <x:c r="T192" s="20" t="str">
        <x:v>https://www.thic.or.th/th/tourist/detail/mosques/443</x:v>
      </x:c>
      <x:c r="U192" s="20" t="str"/>
      <x:c r="V192" s="20" t="str"/>
      <x:c r="W192" s="20" t="str"/>
      <x:c r="X192" s="20" t="str"/>
      <x:c r="Y192" s="20" t="str">
        <x:v>https://www.google.com/maps/search/?api=1&amp;query=%E0%B8%A1%E0%B8%B1%E0%B8%AA%E0%B8%A2%E0%B8%B4%E0%B8%94%E0%B8%AE%E0%B8%B2%E0%B8%8B%E0%B8%B2%E0%B8%99%E0%B8%B8%E0%B8%94%E0%B8%94%E0%B8%B5%E0%B8%99%20%28%E0%B8%A8%E0%B8%B2%E0%B8%A5%E0%B8%B2%E0%B9%81%E0%B8%94%E0%B8%87%29%20%E0%B8%81%E0%B8%A3%E0%B8%B8%E0%B8%87%E0%B9%80%E0%B8%97%E0%B8%9E%E0%B8%A1%E0%B8%AB%E0%B8%B2%E0%B8%99%E0%B8%84%E0%B8%A3</x:v>
      </x:c>
      <x:c r="Z192" s="56" t="n">
        <x:v>13.850084</x:v>
      </x:c>
      <x:c r="AA192" s="56" t="n">
        <x:v>100.896871</x:v>
      </x:c>
      <x:c r="AB192" s="57" t="str"/>
      <x:c r="AC192" s="20" t="str">
        <x:v>https://www.thic.or.th/th/tourist/detail/mosques/443</x:v>
      </x:c>
    </x:row>
    <x:row r="193" ht="88" customHeight="1">
      <x:c r="A193" s="54" t="n">
        <x:v>185</x:v>
      </x:c>
      <x:c r="B193" s="20" t="str">
        <x:v>มัสยิดเราะห์มาตุ้ลอิสลามียะห์ (บ้านเกาะ)</x:v>
      </x:c>
      <x:c r="C193" s="20" t="str">
        <x:v>กรุงเทพมหานคร</x:v>
      </x:c>
      <x:c r="D193" s="20" t="str">
        <x:v>มัสยิด</x:v>
      </x:c>
      <x:c r="E19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193" s="20" t="str">
        <x:v>มีข้อมูลระบุ แต่รอยืนยัน</x:v>
      </x:c>
      <x:c r="G193" s="20" t="str">
        <x:v>ยังไม่พบเอกสารรับรองและวันหมดอายุ</x:v>
      </x:c>
      <x:c r="H19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93" s="20" t="str">
        <x:v>59 ซอย สุวินทวงศ์ 7 แขวงแสนแสบ เขตมีนบุรี กรุงเทพมหานคร 10510</x:v>
      </x:c>
      <x:c r="J193" s="21" t="str">
        <x:v>02-914-8299</x:v>
      </x:c>
      <x:c r="K193" s="51" t="str">
        <x:v>https://www.thic.or.th/th/tourist/detail/mosques/182</x:v>
      </x:c>
      <x:c r="L193" s="51" t="str">
        <x:v>https://masjid.islamicbangkok.or.th/masjid/id/40512</x:v>
      </x:c>
      <x:c r="M193" s="20" t="str">
        <x:v>ผลค้นหาชื่อสัมพันธ์จากแหล่งเพิ่มเติม ต้องยืนยันสาขาและข้อมูลปัจจุบัน</x:v>
      </x:c>
      <x:c r="N193" s="28" t="n">
        <x:v>46315</x:v>
      </x:c>
      <x:c r="O193" s="57" t="str">
        <x:v>ยังไม่ตรวจ</x:v>
      </x:c>
      <x:c r="P193" s="57" t="str">
        <x:v>ยังไม่ติดต่อ</x:v>
      </x:c>
      <x:c r="Q193" s="20" t="str">
        <x:v>TMF-325</x:v>
      </x:c>
      <x:c r="R193" s="20" t="str"/>
      <x:c r="S193" s="20" t="str"/>
      <x:c r="T193" s="20" t="str">
        <x:v>https://www.thic.or.th/th/tourist/detail/mosques/182</x:v>
      </x:c>
      <x:c r="U193" s="20" t="str"/>
      <x:c r="V193" s="20" t="str"/>
      <x:c r="W193" s="20" t="str"/>
      <x:c r="X193" s="20" t="str"/>
      <x:c r="Y193" s="20" t="str">
        <x:v>https://www.google.com/maps/search/?api=1&amp;query=%E0%B8%A1%E0%B8%B1%E0%B8%AA%E0%B8%A2%E0%B8%B4%E0%B8%94%E0%B9%80%E0%B8%A3%E0%B8%B2%E0%B8%B0%E0%B8%AB%E0%B9%8C%E0%B8%A1%E0%B8%B2%E0%B8%95%E0%B8%B8%E0%B9%89%E0%B8%A5%E0%B8%AD%E0%B8%B4%E0%B8%AA%E0%B8%A5%E0%B8%B2%E0%B8%A1%E0%B8%B5%E0%B8%A2%E0%B8%B0%E0%B8%AB%E0%B9%8C%20%28%E0%B8%9A%E0%B9%89%E0%B8%B2%E0%B8%99%E0%B9%80%E0%B8%81%E0%B8%B2%E0%B8%B0%29%20%E0%B8%81%E0%B8%A3%E0%B8%B8%E0%B8%87%E0%B9%80%E0%B8%97%E0%B8%9E%E0%B8%A1%E0%B8%AB%E0%B8%B2%E0%B8%99%E0%B8%84%E0%B8%A3</x:v>
      </x:c>
      <x:c r="Z193" s="56" t="n">
        <x:v>13.823597</x:v>
      </x:c>
      <x:c r="AA193" s="56" t="n">
        <x:v>100.778628</x:v>
      </x:c>
      <x:c r="AB193" s="57" t="str"/>
      <x:c r="AC193" s="20" t="str">
        <x:v>https://www.thic.or.th/th/tourist/detail/mosques/182</x:v>
      </x:c>
    </x:row>
    <x:row r="194" ht="88" customHeight="1">
      <x:c r="A194" s="54" t="n">
        <x:v>186</x:v>
      </x:c>
      <x:c r="B194" s="20" t="str">
        <x:v>Khun Anan Riverfront Ayutthaya</x:v>
      </x:c>
      <x:c r="C194" s="20" t="str">
        <x:v>พระนครศรีอยุธยา</x:v>
      </x:c>
      <x:c r="D194" s="20" t="str">
        <x:v>ร้านอาหารริมน้ำ</x:v>
      </x:c>
      <x:c r="E194" s="20" t="str">
        <x:v>พบข้อมูลชื่อตรงจาก Khun Anan Riverfront-Halal, Ayutthaya, Thailand - Reviews, Ratings, Tips and Why You Should Go – Wanderlog; เป็นหลักฐานตัวตน/ประเภท ยังไม่ยืนยันบริการมุสลิมครบเกณฑ์</x:v>
      </x:c>
      <x:c r="F194" s="20" t="str">
        <x:v>ไม่ทราบ</x:v>
      </x:c>
      <x:c r="G194" s="20" t="str">
        <x:v>ยังไม่ยืนยันใบรับรองและวันหมดอายุ</x:v>
      </x:c>
      <x:c r="H194" s="20" t="str">
        <x:v>ต้นฉบับระบุเข้าพัก แต่แหล่งออนไลน์ระบุร้านอาหาร ต้องจัดที่พักแยกและยืนยันใบฮาลาล</x:v>
      </x:c>
      <x:c r="I194" s="20" t="str">
        <x:v>ยังไม่ยืนยันที่อยู่ละเอียด ดูลิงก์แหล่งข้อมูลและ Google Maps</x:v>
      </x:c>
      <x:c r="J194" s="21" t="str">
        <x:v>ยังไม่พบหรือยังไม่ยืนยัน</x:v>
      </x:c>
      <x:c r="K194" s="51" t="str">
        <x:v>https://wanderlog.com/place/details/8431891/khun-anan-riverfront-halal</x:v>
      </x:c>
      <x:c r="L194" s="51" t="str">
        <x:v>https://es.restaurantguru.com/%E0%B8%81%E0%B9%8B%E0%B8%A7%E0%B8%A2%E0%B9%80%E0%B8%95%E0%B8%B5%E0%B9%8B%E0%B8%A2%E0%B8%A7%E0%B8%A7%E0%B8%B1%E0%B8%99%E0%B8%AD%E0%B8%B2%E0%B8%97%E0%B8%B4%E0%B8%95%E0%B8%A2%E0%B9%8C-Ban-Krot</x:v>
      </x:c>
      <x:c r="M194" s="20" t="str">
        <x:v>พบแหล่งต่างเว็บไซต์ Khun Anan Riverfront-Halal, Ban Krot - Menú del restaurante, precios y reseñas</x:v>
      </x:c>
      <x:c r="N194" s="28" t="n">
        <x:v>46316</x:v>
      </x:c>
      <x:c r="O194" s="57" t="str">
        <x:v>ยังไม่ตรวจ</x:v>
      </x:c>
      <x:c r="P194" s="57" t="str">
        <x:v>ยังไม่ติดต่อ</x:v>
      </x:c>
      <x:c r="Q194" s="20" t="str">
        <x:v>R26-038</x:v>
      </x:c>
      <x:c r="R194" s="20" t="str">
        <x:v>Khun Anan Riverfront Ayutthaya</x:v>
      </x:c>
      <x:c r="S194" s="20" t="str"/>
      <x:c r="T194" s="20" t="str">
        <x:v>https://wanderlog.com/place/details/8431891/khun-anan-riverfront-halal</x:v>
      </x:c>
      <x:c r="U194" s="20" t="str"/>
      <x:c r="V194" s="20" t="str"/>
      <x:c r="W194" s="20" t="str"/>
      <x:c r="X194" s="20" t="str"/>
      <x:c r="Y194" s="20" t="str">
        <x:v>https://www.google.com/maps/search/?api=1&amp;query=Khun%20Anan%20Riverfront%20Ayutthaya%20%E0%B8%9E%E0%B8%A3%E0%B8%B0%E0%B8%99%E0%B8%84%E0%B8%A3%E0%B8%A8%E0%B8%A3%E0%B8%B5%E0%B8%AD%E0%B8%A2%E0%B8%B8%E0%B8%98%E0%B8%A2%E0%B8%B2</x:v>
      </x:c>
      <x:c r="Z194" s="56" t="n">
        <x:v>14.299939</x:v>
      </x:c>
      <x:c r="AA194" s="56" t="n">
        <x:v>100.56413</x:v>
      </x:c>
      <x:c r="AB194" s="57" t="str"/>
      <x:c r="AC194" s="20" t="str">
        <x:v>https://wanderlog.com/place/details/8431891/khun-anan-riverfront-halal</x:v>
      </x:c>
    </x:row>
    <x:row r="195" ht="88" customHeight="1">
      <x:c r="A195" s="54" t="n">
        <x:v>187</x:v>
      </x:c>
      <x:c r="B195" s="20" t="str">
        <x:v>ก๋วยเตี๋ยวผักหวาน อยุธยา</x:v>
      </x:c>
      <x:c r="C195" s="20" t="str">
        <x:v>พระนครศรีอยุธยา</x:v>
      </x:c>
      <x:c r="D195" s="20" t="str">
        <x:v>ร้านอาหาร</x:v>
      </x:c>
      <x:c r="E195" s="20" t="str">
        <x:v>มีรายชื่อใน Makan Halal Guide; ระบุมีห้องละหมาด</x:v>
      </x:c>
      <x:c r="F195" s="20" t="str">
        <x:v>มีข้อมูลระบุ แต่รอยืนยัน</x:v>
      </x:c>
      <x:c r="G195" s="20" t="str">
        <x:v>ยังไม่พบเอกสารรับรองและวันหมดอายุ</x:v>
      </x:c>
      <x:c r="H19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195" s="20" t="str">
        <x:v>หน้าวัดสุวรรณดารารามฯ ซอย4 ตำบลหอรัตนไชย อำเภอ พระนครศรีอยุธยา จังหวัดพระนครศรีอยุธยา 13000</x:v>
      </x:c>
      <x:c r="J195" s="21" t="str">
        <x:v>0895399427</x:v>
      </x:c>
      <x:c r="K195" s="51" t="str">
        <x:v>https://makanhalalguide.com/shop/detail/1286</x:v>
      </x:c>
      <x:c r="L195" s="51" t="str">
        <x:v>https://www.wongnai.com/restaurants/8993sS-%E0%B8%81%E0%B9%8B%E0%B8%A7%E0%B8%A2%E0%B9%80%E0%B8%95%E0%B8%B5%E0%B9%8B%E0%B8%A2%E0%B8%A7%E0%B8%9C%E0%B8%B1%E0%B8%81%E0%B8%AB%E0%B8%A7%E0%B8%B2%E0%B8%99%E0%B8%AD%E0%B8%A2%E0%B8%B8%E0%B8%98%E0%B8%A2%E0%B8%B2/reviews</x:v>
      </x:c>
      <x:c r="M195" s="20" t="str">
        <x:v>ผลค้นหาชื่อสัมพันธ์จากแหล่งเพิ่มเติม ต้องยืนยันสาขาและข้อมูลปัจจุบัน</x:v>
      </x:c>
      <x:c r="N195" s="28" t="n">
        <x:v>46316</x:v>
      </x:c>
      <x:c r="O195" s="57" t="str">
        <x:v>ยังไม่ตรวจ</x:v>
      </x:c>
      <x:c r="P195" s="57" t="str">
        <x:v>ยังไม่ติดต่อ</x:v>
      </x:c>
      <x:c r="Q195" s="20" t="str">
        <x:v>TMF-005</x:v>
      </x:c>
      <x:c r="R195" s="20" t="str"/>
      <x:c r="S195" s="20" t="str"/>
      <x:c r="T195" s="20" t="str">
        <x:v>https://makanhalalguide.com/shop/detail/1286</x:v>
      </x:c>
      <x:c r="U195" s="20" t="str"/>
      <x:c r="V195" s="20" t="str"/>
      <x:c r="W195" s="20" t="str"/>
      <x:c r="X195" s="20" t="str"/>
      <x:c r="Y195" s="20" t="str">
        <x:v>https://www.google.com/maps/search/?api=1&amp;query=%E0%B8%81%E0%B9%8B%E0%B8%A7%E0%B8%A2%E0%B9%80%E0%B8%95%E0%B8%B5%E0%B9%8B%E0%B8%A2%E0%B8%A7%E0%B8%9C%E0%B8%B1%E0%B8%81%E0%B8%AB%E0%B8%A7%E0%B8%B2%E0%B8%99%20%E0%B8%AD%E0%B8%A2%E0%B8%B8%E0%B8%98%E0%B8%A2%E0%B8%B2%20%E0%B8%9E%E0%B8%A3%E0%B8%B0%E0%B8%99%E0%B8%84%E0%B8%A3%E0%B8%A8%E0%B8%A3%E0%B8%B5%E0%B8%AD%E0%B8%A2%E0%B8%B8%E0%B8%98%E0%B8%A2%E0%B8%B2</x:v>
      </x:c>
      <x:c r="Z195" s="56" t="n">
        <x:v>14.348293</x:v>
      </x:c>
      <x:c r="AA195" s="56" t="n">
        <x:v>100.580481</x:v>
      </x:c>
      <x:c r="AB195" s="57" t="str"/>
      <x:c r="AC195" s="20" t="str">
        <x:v>https://makanhalalguide.com/shop/detail/1286</x:v>
      </x:c>
    </x:row>
    <x:row r="196" ht="88" customHeight="1">
      <x:c r="A196" s="54" t="n">
        <x:v>188</x:v>
      </x:c>
      <x:c r="B196" s="20" t="str">
        <x:v>มัสยิดยามิอุ้ลอิสลาม</x:v>
      </x:c>
      <x:c r="C196" s="20" t="str">
        <x:v>พระนครศรีอยุธยา</x:v>
      </x:c>
      <x:c r="D196" s="20" t="str">
        <x:v>มัสยิด</x:v>
      </x:c>
      <x:c r="E196" s="20" t="str">
        <x:v>พบข้อมูลชื่อตรงจาก มัสยิดยามิอุ้ลอิสลาม (คลองตัน) | ระบบบริหารจัดการข้อมูลมุสลิม สำนักงานคณะกรรมการอิสลามประจำกรุงเทพมหานคร; เป็นหลักฐานตัวตน/ประเภท ยังไม่ยืนยันบริการมุสลิมครบเกณฑ์</x:v>
      </x:c>
      <x:c r="F196" s="20" t="str">
        <x:v>ไม่ทราบ</x:v>
      </x:c>
      <x:c r="G196" s="20" t="str">
        <x:v>ยังไม่ยืนยันใบรับรองและวันหมดอายุ</x:v>
      </x:c>
      <x:c r="H19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196" s="20" t="str">
        <x:v>ยังไม่ยืนยันที่อยู่ละเอียด ดูลิงก์แหล่งข้อมูลและ Google Maps</x:v>
      </x:c>
      <x:c r="J196" s="21" t="str">
        <x:v>ยังไม่พบหรือยังไม่ยืนยัน</x:v>
      </x:c>
      <x:c r="K196" s="51" t="str">
        <x:v>https://masjid.islamicbangkok.or.th/masjid/id/87686</x:v>
      </x:c>
      <x:c r="L196" s="51" t="str">
        <x:v>https://www.cicot.or.th/th/mosque/detail/2325/2/%E0%B8%A1%E0%B8%B1%E0%B8%AA%E0%B8%A2%E0%B8%B4%E0%B8%94%E0%B8%A2%E0%B8%B2%E0%B8%A1%E0%B8%B5%E0%B8%AD%E0%B8%B8%E0%B9%89%E0%B8%A5%E0%B8%AD%E0%B8%B4%E0%B8%AA%E0%B8%A5%E0%B8%B2%E0%B8%A1</x:v>
      </x:c>
      <x:c r="M196" s="20" t="str">
        <x:v>พบแหล่งต่างเว็บไซต์ ทำเนียบมัสยิด | CICOT.OR.TH</x:v>
      </x:c>
      <x:c r="N196" s="28" t="n">
        <x:v>46316</x:v>
      </x:c>
      <x:c r="O196" s="57" t="str">
        <x:v>ยังไม่ตรวจ</x:v>
      </x:c>
      <x:c r="P196" s="57" t="str">
        <x:v>ยังไม่ติดต่อ</x:v>
      </x:c>
      <x:c r="Q196" s="20" t="str">
        <x:v>R26-034</x:v>
      </x:c>
      <x:c r="R196" s="20" t="str"/>
      <x:c r="S196" s="20" t="str"/>
      <x:c r="T196" s="20" t="str">
        <x:v>https://masjid.islamicbangkok.or.th/masjid/id/87686</x:v>
      </x:c>
      <x:c r="U196" s="20" t="str"/>
      <x:c r="V196" s="20" t="str"/>
      <x:c r="W196" s="20" t="str"/>
      <x:c r="X196" s="20" t="str"/>
      <x:c r="Y196" s="20" t="str">
        <x:v>https://www.google.com/maps/search/?api=1&amp;query=%E0%B8%A1%E0%B8%B1%E0%B8%AA%E0%B8%A2%E0%B8%B4%E0%B8%94%E0%B8%A2%E0%B8%B2%E0%B8%A1%E0%B8%B4%E0%B8%AD%E0%B8%B8%E0%B9%89%E0%B8%A5%E0%B8%AD%E0%B8%B4%E0%B8%AA%E0%B8%A5%E0%B8%B2%E0%B8%A1%20%E0%B8%9E%E0%B8%A3%E0%B8%B0%E0%B8%99%E0%B8%84%E0%B8%A3%E0%B8%A8%E0%B8%A3%E0%B8%B5%E0%B8%AD%E0%B8%A2%E0%B8%B8%E0%B8%98%E0%B8%A2%E0%B8%B2</x:v>
      </x:c>
      <x:c r="Z196" s="56" t="n">
        <x:v>14.3235587</x:v>
      </x:c>
      <x:c r="AA196" s="56" t="n">
        <x:v>100.5636362</x:v>
      </x:c>
      <x:c r="AB196" s="57" t="str"/>
      <x:c r="AC196" s="20" t="str">
        <x:v>https://masjid.islamicbangkok.or.th/masjid/id/87686</x:v>
      </x:c>
    </x:row>
    <x:row r="197" ht="88" customHeight="1">
      <x:c r="A197" s="54" t="n">
        <x:v>189</x:v>
      </x:c>
      <x:c r="B197" s="20" t="str">
        <x:v>อุทยานประวัติศาสตร์พระนครศรีอยุธยา</x:v>
      </x:c>
      <x:c r="C197" s="20" t="str">
        <x:v>พระนครศรีอยุธยา</x:v>
      </x:c>
      <x:c r="D197" s="20" t="str">
        <x:v>ประวัติ</x:v>
      </x:c>
      <x:c r="E197" s="20" t="str">
        <x:v>พบข้อมูลชื่อตรงจาก อุทยานประวัติศาสตร์พระนครศรีอยุธยา; เป็นหลักฐานตัวตน/ประเภท ยังไม่ยืนยันบริการมุสลิมครบเกณฑ์</x:v>
      </x:c>
      <x:c r="F197" s="20" t="str">
        <x:v>ไม่ทราบ</x:v>
      </x:c>
      <x:c r="G197" s="20" t="str">
        <x:v>ยังไม่ยืนยันใบรับรองและวันหมดอายุ</x:v>
      </x:c>
      <x:c r="H197" s="20" t="str">
        <x:v>ตรวจการเปิด ตัวตนสาขา ช่องทางติดต่อ และเงื่อนไขบังคับตามประเภท</x:v>
      </x:c>
      <x:c r="I197" s="20" t="str">
        <x:v>ยังไม่ยืนยันที่อยู่ละเอียด ดูลิงก์แหล่งข้อมูลและ Google Maps</x:v>
      </x:c>
      <x:c r="J197" s="21" t="str">
        <x:v>ยังไม่พบหรือยังไม่ยืนยัน</x:v>
      </x:c>
      <x:c r="K197" s="51" t="str">
        <x:v>https://www.thailandtourismdirectory.go.th/th/attraction/1461</x:v>
      </x:c>
      <x:c r="L197" s="51" t="str">
        <x:v>https://tfo.dot.go.th/th/locations/the-ayutthaya-historical-park/</x:v>
      </x:c>
      <x:c r="M197" s="20" t="str">
        <x:v>พบแหล่งต่างเว็บไซต์ อุทยานประวัติศาสตร์พระนครศรีอยุธยา - TFO</x:v>
      </x:c>
      <x:c r="N197" s="28" t="n">
        <x:v>46316</x:v>
      </x:c>
      <x:c r="O197" s="57" t="str">
        <x:v>ยังไม่ตรวจ</x:v>
      </x:c>
      <x:c r="P197" s="57" t="str">
        <x:v>ยังไม่ติดต่อ</x:v>
      </x:c>
      <x:c r="Q197" s="20" t="str">
        <x:v>R26-035</x:v>
      </x:c>
      <x:c r="R197" s="20" t="str"/>
      <x:c r="S197" s="20" t="str"/>
      <x:c r="T197" s="20" t="str">
        <x:v>https://www.thailandtourismdirectory.go.th/th/attraction/1461</x:v>
      </x:c>
      <x:c r="U197" s="20" t="str"/>
      <x:c r="V197" s="20" t="str"/>
      <x:c r="W197" s="20" t="str"/>
      <x:c r="X197" s="20" t="str"/>
      <x:c r="Y197" s="20" t="str">
        <x:v>https://www.google.com/maps/search/?api=1&amp;query=%E0%B8%AD%E0%B8%B8%E0%B8%97%E0%B8%A2%E0%B8%B2%E0%B8%99%E0%B8%9B%E0%B8%A3%E0%B8%B0%E0%B8%A7%E0%B8%B1%E0%B8%95%E0%B8%B4%E0%B8%A8%E0%B8%B2%E0%B8%AA%E0%B8%95%E0%B8%A3%E0%B9%8C%E0%B8%9E%E0%B8%A3%E0%B8%B0%E0%B8%99%E0%B8%84%E0%B8%A3%E0%B8%A8%E0%B8%A3%E0%B8%B5%E0%B8%AD%E0%B8%A2%E0%B8%B8%E0%B8%98%E0%B8%A2%E0%B8%B2%20%E0%B8%9E%E0%B8%A3%E0%B8%B0%E0%B8%99%E0%B8%84%E0%B8%A3%E0%B8%A8%E0%B8%A3%E0%B8%B5%E0%B8%AD%E0%B8%A2%E0%B8%B8%E0%B8%98%E0%B8%A2%E0%B8%B2</x:v>
      </x:c>
      <x:c r="Z197" s="56" t="n">
        <x:v>14.355526</x:v>
      </x:c>
      <x:c r="AA197" s="56" t="n">
        <x:v>100.558543</x:v>
      </x:c>
      <x:c r="AB197" s="57" t="str"/>
      <x:c r="AC197" s="20" t="str">
        <x:v>https://www.thailandtourismdirectory.go.th/th/attraction/1461</x:v>
      </x:c>
    </x:row>
    <x:row r="198" ht="88" customHeight="1">
      <x:c r="A198" s="54" t="n">
        <x:v>190</x:v>
      </x:c>
      <x:c r="B198" s="20" t="str">
        <x:v>ชุมชนมุสลิมคลองตะเคียน</x:v>
      </x:c>
      <x:c r="C198" s="20" t="str">
        <x:v>พระนครศรีอยุธยา</x:v>
      </x:c>
      <x:c r="D198" s="20" t="str">
        <x:v>ชุมชน</x:v>
      </x:c>
      <x:c r="E198" s="20" t="str">
        <x:v>พบข้อมูลชื่อตรงจาก #อีหม่ามพาชิม Ep.28🎊 มัสยิดกุฎีช่อฟ้า ชุมชนมุสลิมคลองตะเคียน - YouTube; เป็นหลักฐานตัวตน/ประเภท ยังไม่ยืนยันบริการมุสลิมครบเกณฑ์</x:v>
      </x:c>
      <x:c r="F198" s="20" t="str">
        <x:v>ไม่ทราบ</x:v>
      </x:c>
      <x:c r="G198" s="20" t="str">
        <x:v>ยังไม่ยืนยันใบรับรองและวันหมดอายุ</x:v>
      </x:c>
      <x:c r="H198" s="20" t="str">
        <x:v>ตรวจการเปิด ตัวตนสาขา ช่องทางติดต่อ และเงื่อนไขบังคับตามประเภท</x:v>
      </x:c>
      <x:c r="I198" s="20" t="str">
        <x:v>ยังไม่ยืนยันที่อยู่ละเอียด ดูลิงก์แหล่งข้อมูลและ Google Maps</x:v>
      </x:c>
      <x:c r="J198" s="21" t="str">
        <x:v>ยังไม่พบหรือยังไม่ยืนยัน</x:v>
      </x:c>
      <x:c r="K198" s="51" t="str">
        <x:v>https://www.youtube.com/watch?v=DiJNgn5-hiA</x:v>
      </x:c>
      <x:c r="L198" s="51" t="str">
        <x:v>https://so02.tci-thaijo.org/index.php/jas/article/view/247119</x:v>
      </x:c>
      <x:c r="M198" s="20" t="str">
        <x:v>พบแหล่งต่างเว็บไซต์ อิหม่ามกับการประนีประนอมข้อพิพาทด้วยกฎหมายอิสลาม: กลุ่มมุสลิมคลองตะเคียน สำเภาล่ม จังหวัดพระนครศรีอยุธยา | วารสารวิชาการอยุธยาศึกษา</x:v>
      </x:c>
      <x:c r="N198" s="28" t="n">
        <x:v>46316</x:v>
      </x:c>
      <x:c r="O198" s="57" t="str">
        <x:v>ยังไม่ตรวจ</x:v>
      </x:c>
      <x:c r="P198" s="57" t="str">
        <x:v>ยังไม่ติดต่อ</x:v>
      </x:c>
      <x:c r="Q198" s="20" t="str">
        <x:v>R26-033</x:v>
      </x:c>
      <x:c r="R198" s="20" t="str"/>
      <x:c r="S198" s="20" t="str"/>
      <x:c r="T198" s="20" t="str">
        <x:v>https://www.youtube.com/watch?v=DiJNgn5-hiA</x:v>
      </x:c>
      <x:c r="U198" s="20" t="str"/>
      <x:c r="V198" s="20" t="str"/>
      <x:c r="W198" s="20" t="str"/>
      <x:c r="X198" s="20" t="str"/>
      <x:c r="Y198" s="20" t="str">
        <x:v>https://www.google.com/maps/search/?api=1&amp;query=%E0%B8%8A%E0%B8%B8%E0%B8%A1%E0%B8%8A%E0%B8%99%E0%B8%A1%E0%B8%B8%E0%B8%AA%E0%B8%A5%E0%B8%B4%E0%B8%A1%E0%B8%84%E0%B8%A5%E0%B8%AD%E0%B8%87%E0%B8%95%E0%B8%B0%E0%B9%80%E0%B8%84%E0%B8%B5%E0%B8%A2%E0%B8%99%20%E0%B8%9E%E0%B8%A3%E0%B8%B0%E0%B8%99%E0%B8%84%E0%B8%A3%E0%B8%A8%E0%B8%A3%E0%B8%B5%E0%B8%AD%E0%B8%A2%E0%B8%B8%E0%B8%98%E0%B8%A2%E0%B8%B2</x:v>
      </x:c>
      <x:c r="Z198" s="56" t="str"/>
      <x:c r="AA198" s="56" t="str"/>
      <x:c r="AB198" s="57" t="str"/>
      <x:c r="AC198" s="20" t="str">
        <x:v>https://www.youtube.com/watch?v=DiJNgn5-hiA</x:v>
      </x:c>
    </x:row>
    <x:row r="199" ht="88" customHeight="1">
      <x:c r="A199" s="54" t="n">
        <x:v>191</x:v>
      </x:c>
      <x:c r="B199" s="20" t="str">
        <x:v>The Wonder Blue Classic Boathouse Ayutthaya</x:v>
      </x:c>
      <x:c r="C199" s="20" t="str">
        <x:v>พระนครศรีอยุธยา</x:v>
      </x:c>
      <x:c r="D199" s="20" t="str">
        <x:v>กิจกรรม</x:v>
      </x:c>
      <x:c r="E199" s="20" t="str">
        <x:v>พบข้อมูลชื่อตรงจาก THE WONDER BLUE CLASSIC BOATHOUSE AYUTTHAYA - True Properties; เป็นหลักฐานตัวตน/ประเภท ยังไม่ยืนยันบริการมุสลิมครบเกณฑ์</x:v>
      </x:c>
      <x:c r="F199" s="20" t="str">
        <x:v>ไม่ทราบ</x:v>
      </x:c>
      <x:c r="G199" s="20" t="str">
        <x:v>ยังไม่ยืนยันใบรับรองและวันหมดอายุ</x:v>
      </x:c>
      <x:c r="H199" s="20" t="str">
        <x:v>ตรวจการเปิด ตัวตนสาขา ช่องทางติดต่อ และเงื่อนไขบังคับตามประเภท</x:v>
      </x:c>
      <x:c r="I199" s="20" t="str">
        <x:v>ยังไม่ยืนยันที่อยู่ละเอียด ดูลิงก์แหล่งข้อมูลและ Google Maps</x:v>
      </x:c>
      <x:c r="J199" s="21" t="str">
        <x:v>ยังไม่พบหรือยังไม่ยืนยัน</x:v>
      </x:c>
      <x:c r="K199" s="51" t="str">
        <x:v>https://www.trueproperties.co.th/5-7-popup/</x:v>
      </x:c>
      <x:c r="L199" s="51" t="str">
        <x:v>https://www.wearecp.com/trueleasing-2025-02-25/</x:v>
      </x:c>
      <x:c r="M199" s="20" t="str">
        <x:v>พบแหล่งต่างเว็บไซต์ ทรู ลีสซิ่ง ต่อยอดธุรกิจผู้ให้บริการรถเช่าทุกประเภท พร้อมเสริมแกร่งการท่องเที่ยวอยุธยา เผยโฉม แลนด์มาร์คแห่งใหม่ “The Wonder Blue Classic Boathouse Ayutthaya” โบตเฮาส์ล่องเรือคลาสสิค ใจกลางเมืองมรดกโลก One-Stop-Destination จบครบในที่เดียว -</x:v>
      </x:c>
      <x:c r="N199" s="28" t="n">
        <x:v>46316</x:v>
      </x:c>
      <x:c r="O199" s="57" t="str">
        <x:v>ยังไม่ตรวจ</x:v>
      </x:c>
      <x:c r="P199" s="57" t="str">
        <x:v>ยังไม่ติดต่อ</x:v>
      </x:c>
      <x:c r="Q199" s="20" t="str">
        <x:v>R26-037</x:v>
      </x:c>
      <x:c r="R199" s="20" t="str">
        <x:v>The Wonder Blue Classic Boathouse Ayutthaya</x:v>
      </x:c>
      <x:c r="S199" s="20" t="str"/>
      <x:c r="T199" s="20" t="str">
        <x:v>https://www.trueproperties.co.th/5-7-popup/</x:v>
      </x:c>
      <x:c r="U199" s="20" t="str"/>
      <x:c r="V199" s="20" t="str"/>
      <x:c r="W199" s="20" t="str"/>
      <x:c r="X199" s="20" t="str"/>
      <x:c r="Y199" s="20" t="str">
        <x:v>https://www.google.com/maps/search/?api=1&amp;query=The%20Wonder%20Blue%20Classic%20Boathouse%20Ayutthaya%20%E0%B8%9E%E0%B8%A3%E0%B8%B0%E0%B8%99%E0%B8%84%E0%B8%A3%E0%B8%A8%E0%B8%A3%E0%B8%B5%E0%B8%AD%E0%B8%A2%E0%B8%B8%E0%B8%98%E0%B8%A2%E0%B8%B2</x:v>
      </x:c>
      <x:c r="Z199" s="56" t="str"/>
      <x:c r="AA199" s="56" t="str"/>
      <x:c r="AB199" s="57" t="str"/>
      <x:c r="AC199" s="20" t="str">
        <x:v>https://www.trueproperties.co.th/5-7-popup/</x:v>
      </x:c>
    </x:row>
    <x:row r="200" ht="88" customHeight="1">
      <x:c r="A200" s="54" t="n">
        <x:v>192</x:v>
      </x:c>
      <x:c r="B200" s="20" t="str">
        <x:v>ฮาลาล บ้านไม้</x:v>
      </x:c>
      <x:c r="C200" s="20" t="str">
        <x:v>พระนครศรีอยุธยา</x:v>
      </x:c>
      <x:c r="D200" s="20" t="str">
        <x:v>ร้านอาหาร</x:v>
      </x:c>
      <x:c r="E200" s="20" t="str">
        <x:v>มีรายชื่อใน Makan Halal Guide; ระบุมีห้องละหมาด</x:v>
      </x:c>
      <x:c r="F200" s="20" t="str">
        <x:v>มีข้อมูลระบุ แต่รอยืนยัน</x:v>
      </x:c>
      <x:c r="G200" s="20" t="str">
        <x:v>ยังไม่พบเอกสารรับรองและวันหมดอายุ</x:v>
      </x:c>
      <x:c r="H20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00" s="20" t="str">
        <x:v>72/1 ถนนอู่ทอง ตำบลทวาสุกรี อำเภอพระนครศรีอยุธยา จังหวัดพระนครศรีอยุธยา 13000</x:v>
      </x:c>
      <x:c r="J200" s="21" t="str">
        <x:v>0985647297</x:v>
      </x:c>
      <x:c r="K200" s="51" t="str">
        <x:v>https://makanhalalguide.com/shop/detail/4875</x:v>
      </x:c>
      <x:c r="L200" s="51" t="str">
        <x:v>https://halaman-kuning.cybo.com/TH/phra-nakhon-si-ayutthaya/restoran-halal</x:v>
      </x:c>
      <x:c r="M200" s="20" t="str">
        <x:v>ผลค้นหาชื่อสัมพันธ์จากแหล่งเพิ่มเติม ต้องยืนยันสาขาและข้อมูลปัจจุบัน</x:v>
      </x:c>
      <x:c r="N200" s="28" t="n">
        <x:v>46316</x:v>
      </x:c>
      <x:c r="O200" s="57" t="str">
        <x:v>ยังไม่ตรวจ</x:v>
      </x:c>
      <x:c r="P200" s="57" t="str">
        <x:v>ยังไม่ติดต่อ</x:v>
      </x:c>
      <x:c r="Q200" s="20" t="str">
        <x:v>TMF-013</x:v>
      </x:c>
      <x:c r="R200" s="20" t="str"/>
      <x:c r="S200" s="20" t="str"/>
      <x:c r="T200" s="20" t="str">
        <x:v>https://makanhalalguide.com/shop/detail/4875</x:v>
      </x:c>
      <x:c r="U200" s="20" t="str"/>
      <x:c r="V200" s="20" t="str"/>
      <x:c r="W200" s="20" t="str"/>
      <x:c r="X200" s="20" t="str"/>
      <x:c r="Y200" s="20" t="str">
        <x:v>https://www.google.com/maps/search/?api=1&amp;query=%E0%B8%AE%E0%B8%B2%E0%B8%A5%E0%B8%B2%E0%B8%A5%20%E0%B8%9A%E0%B9%89%E0%B8%B2%E0%B8%99%E0%B9%84%E0%B8%A1%E0%B9%89%20%E0%B8%9E%E0%B8%A3%E0%B8%B0%E0%B8%99%E0%B8%84%E0%B8%A3%E0%B8%A8%E0%B8%A3%E0%B8%B5%E0%B8%AD%E0%B8%A2%E0%B8%B8%E0%B8%98%E0%B8%A2%E0%B8%B2</x:v>
      </x:c>
      <x:c r="Z200" s="56" t="n">
        <x:v>14.361411</x:v>
      </x:c>
      <x:c r="AA200" s="56" t="n">
        <x:v>100.558783</x:v>
      </x:c>
      <x:c r="AB200" s="57" t="str"/>
      <x:c r="AC200" s="20" t="str">
        <x:v>https://makanhalalguide.com/shop/detail/4875</x:v>
      </x:c>
    </x:row>
    <x:row r="201" ht="88" customHeight="1">
      <x:c r="A201" s="54" t="n">
        <x:v>193</x:v>
      </x:c>
      <x:c r="B201" s="20" t="str">
        <x:v>บ้านฮอลันดา</x:v>
      </x:c>
      <x:c r="C201" s="20" t="str">
        <x:v>พระนครศรีอยุธยา</x:v>
      </x:c>
      <x:c r="D201" s="20" t="str">
        <x:v>ประวัติ</x:v>
      </x:c>
      <x:c r="E201" s="20" t="str">
        <x:v>พบข้อมูลชื่อตรงจาก หมู่บ้านฮอลันดา; เป็นหลักฐานตัวตน/ประเภท ยังไม่ยืนยันบริการมุสลิมครบเกณฑ์</x:v>
      </x:c>
      <x:c r="F201" s="20" t="str">
        <x:v>ไม่ทราบ</x:v>
      </x:c>
      <x:c r="G201" s="20" t="str">
        <x:v>ยังไม่ยืนยันใบรับรองและวันหมดอายุ</x:v>
      </x:c>
      <x:c r="H201" s="20" t="str">
        <x:v>ตรวจการเปิด ตัวตนสาขา ช่องทางติดต่อ และเงื่อนไขบังคับตามประเภท</x:v>
      </x:c>
      <x:c r="I201" s="20" t="str">
        <x:v>ยังไม่ยืนยันที่อยู่ละเอียด ดูลิงก์แหล่งข้อมูลและ Google Maps</x:v>
      </x:c>
      <x:c r="J201" s="21" t="str">
        <x:v>ยังไม่พบหรือยังไม่ยืนยัน</x:v>
      </x:c>
      <x:c r="K201" s="51" t="str">
        <x:v>https://www.thailandtourismdirectory.go.th/attraction/547</x:v>
      </x:c>
      <x:c r="L201" s="51" t="str">
        <x:v>https://go.ayutthaya.go.th/%E0%B9%81%E0%B8%99%E0%B8%B0%E0%B8%99%E0%B8%B3%E0%B8%97%E0%B8%B5%E0%B9%88%E0%B9%80%E0%B8%97%E0%B8%B5%E0%B9%88%E0%B8%A2%E0%B8%A7/%E0%B8%AD%E0%B8%B7%E0%B9%88%E0%B8%99%E0%B9%86/%E0%B9%81%E0%B8%AD%E0%B8%94%E0%B8%A1%E0%B8%B4%E0%B8%99%E0%B8%9E%E0%B8%B2%E0%B9%80%E0%B8%97%E0%B8%B5%E0%B9%88%E0%B8%A2%E0%B8%A7-%E0%B8%9E%E0%B8%B2%E0%B8%A3%E0%B8%B5%E0%B8%A7%E0%B8%B4%E0%B8%A7-%E0%B8%9A/</x:v>
      </x:c>
      <x:c r="M201" s="20" t="str">
        <x:v>พบแหล่งต่างเว็บไซต์ แอดมินพาเที่ยว พารีวิว บ้านฮอลันดา – Go Ayutthaya</x:v>
      </x:c>
      <x:c r="N201" s="28" t="n">
        <x:v>46316</x:v>
      </x:c>
      <x:c r="O201" s="57" t="str">
        <x:v>ยังไม่ตรวจ</x:v>
      </x:c>
      <x:c r="P201" s="57" t="str">
        <x:v>ยังไม่ติดต่อ</x:v>
      </x:c>
      <x:c r="Q201" s="20" t="str">
        <x:v>R26-042</x:v>
      </x:c>
      <x:c r="R201" s="20" t="str"/>
      <x:c r="S201" s="20" t="str"/>
      <x:c r="T201" s="20" t="str">
        <x:v>https://www.thailandtourismdirectory.go.th/attraction/547</x:v>
      </x:c>
      <x:c r="U201" s="20" t="str"/>
      <x:c r="V201" s="20" t="str"/>
      <x:c r="W201" s="20" t="str"/>
      <x:c r="X201" s="20" t="str"/>
      <x:c r="Y201" s="20" t="str">
        <x:v>https://www.google.com/maps/search/?api=1&amp;query=%E0%B8%9A%E0%B9%89%E0%B8%B2%E0%B8%99%E0%B8%AE%E0%B8%AD%E0%B8%A5%E0%B8%B1%E0%B8%99%E0%B8%94%E0%B8%B2%20%E0%B8%9E%E0%B8%A3%E0%B8%B0%E0%B8%99%E0%B8%84%E0%B8%A3%E0%B8%A8%E0%B8%A3%E0%B8%B5%E0%B8%AD%E0%B8%A2%E0%B8%B8%E0%B8%98%E0%B8%A2%E0%B8%B2</x:v>
      </x:c>
      <x:c r="Z201" s="56" t="n">
        <x:v>14.340505</x:v>
      </x:c>
      <x:c r="AA201" s="56" t="n">
        <x:v>100.577234</x:v>
      </x:c>
      <x:c r="AB201" s="57" t="str"/>
      <x:c r="AC201" s="20" t="str">
        <x:v>https://www.thailandtourismdirectory.go.th/attraction/547</x:v>
      </x:c>
    </x:row>
    <x:row r="202" ht="88" customHeight="1">
      <x:c r="A202" s="54" t="n">
        <x:v>194</x:v>
      </x:c>
      <x:c r="B202" s="20" t="str">
        <x:v>หมู่บ้านญี่ปุ่น อยุธยา</x:v>
      </x:c>
      <x:c r="C202" s="20" t="str">
        <x:v>พระนครศรีอยุธยา</x:v>
      </x:c>
      <x:c r="D202" s="20" t="str">
        <x:v>ประวัติ</x:v>
      </x:c>
      <x:c r="E202" s="20" t="str">
        <x:v>พบข้อมูลชื่อตรงจาก หมู่บ้านญี่ปุ่น; เป็นหลักฐานตัวตน/ประเภท ยังไม่ยืนยันบริการมุสลิมครบเกณฑ์</x:v>
      </x:c>
      <x:c r="F202" s="20" t="str">
        <x:v>ไม่ทราบ</x:v>
      </x:c>
      <x:c r="G202" s="20" t="str">
        <x:v>ยังไม่ยืนยันใบรับรองและวันหมดอายุ</x:v>
      </x:c>
      <x:c r="H202" s="20" t="str">
        <x:v>ตรวจการเปิด ตัวตนสาขา ช่องทางติดต่อ และเงื่อนไขบังคับตามประเภท</x:v>
      </x:c>
      <x:c r="I202" s="20" t="str">
        <x:v>ยังไม่ยืนยันที่อยู่ละเอียด ดูลิงก์แหล่งข้อมูลและ Google Maps</x:v>
      </x:c>
      <x:c r="J202" s="21" t="str">
        <x:v>ยังไม่พบหรือยังไม่ยืนยัน</x:v>
      </x:c>
      <x:c r="K202" s="51" t="str">
        <x:v>https://www.thailandtourismdirectory.go.th/th/attraction/1463</x:v>
      </x:c>
      <x:c r="L202" s="51" t="str">
        <x:v>https://japanesevillage.org/</x:v>
      </x:c>
      <x:c r="M202" s="20" t="str">
        <x:v>พบแหล่งต่างเว็บไซต์ japanese village ayutthaya หมูบ้านญี่ปุ่น อยุธยา</x:v>
      </x:c>
      <x:c r="N202" s="28" t="n">
        <x:v>46316</x:v>
      </x:c>
      <x:c r="O202" s="57" t="str">
        <x:v>ยังไม่ตรวจ</x:v>
      </x:c>
      <x:c r="P202" s="57" t="str">
        <x:v>ยังไม่ติดต่อ</x:v>
      </x:c>
      <x:c r="Q202" s="20" t="str">
        <x:v>R26-041</x:v>
      </x:c>
      <x:c r="R202" s="20" t="str"/>
      <x:c r="S202" s="20" t="str"/>
      <x:c r="T202" s="20" t="str">
        <x:v>https://www.thailandtourismdirectory.go.th/th/attraction/1463</x:v>
      </x:c>
      <x:c r="U202" s="20" t="str"/>
      <x:c r="V202" s="20" t="str"/>
      <x:c r="W202" s="20" t="str"/>
      <x:c r="X202" s="20" t="str"/>
      <x:c r="Y202" s="20" t="str">
        <x:v>https://www.google.com/maps/search/?api=1&amp;query=%E0%B8%AB%E0%B8%A1%E0%B8%B9%E0%B9%88%E0%B8%9A%E0%B9%89%E0%B8%B2%E0%B8%99%E0%B8%8D%E0%B8%B5%E0%B9%88%E0%B8%9B%E0%B8%B8%E0%B9%88%E0%B8%99%20%E0%B8%AD%E0%B8%A2%E0%B8%B8%E0%B8%98%E0%B8%A2%E0%B8%B2%20%E0%B8%9E%E0%B8%A3%E0%B8%B0%E0%B8%99%E0%B8%84%E0%B8%A3%E0%B8%A8%E0%B8%A3%E0%B8%B5%E0%B8%AD%E0%B8%A2%E0%B8%B8%E0%B8%98%E0%B8%A2%E0%B8%B2</x:v>
      </x:c>
      <x:c r="Z202" s="56" t="n">
        <x:v>14.332763</x:v>
      </x:c>
      <x:c r="AA202" s="56" t="n">
        <x:v>100.577549</x:v>
      </x:c>
      <x:c r="AB202" s="57" t="str"/>
      <x:c r="AC202" s="20" t="str">
        <x:v>https://www.thailandtourismdirectory.go.th/th/attraction/1463</x:v>
      </x:c>
    </x:row>
    <x:row r="203" ht="88" customHeight="1">
      <x:c r="A203" s="54" t="n">
        <x:v>195</x:v>
      </x:c>
      <x:c r="B203" s="20" t="str">
        <x:v>หมู่บ้านโปรตุเกส อยุธยา</x:v>
      </x:c>
      <x:c r="C203" s="20" t="str">
        <x:v>พระนครศรีอยุธยา</x:v>
      </x:c>
      <x:c r="D203" s="20" t="str">
        <x:v>ประวัติ</x:v>
      </x:c>
      <x:c r="E203" s="20" t="str">
        <x:v>พบข้อมูลชื่อตรงจาก หมู่บ้านโปรตุเกส อยุธยา ท่องเที่ยว สถานที่ท่องเที่ยว; เป็นหลักฐานตัวตน/ประเภท ยังไม่ยืนยันบริการมุสลิมครบเกณฑ์</x:v>
      </x:c>
      <x:c r="F203" s="20" t="str">
        <x:v>ไม่ทราบ</x:v>
      </x:c>
      <x:c r="G203" s="20" t="str">
        <x:v>ยังไม่ยืนยันใบรับรองและวันหมดอายุ</x:v>
      </x:c>
      <x:c r="H203" s="20" t="str">
        <x:v>ตรวจการเปิด ตัวตนสาขา ช่องทางติดต่อ และเงื่อนไขบังคับตามประเภท</x:v>
      </x:c>
      <x:c r="I203" s="20" t="str">
        <x:v>ยังไม่ยืนยันที่อยู่ละเอียด ดูลิงก์แหล่งข้อมูลและ Google Maps</x:v>
      </x:c>
      <x:c r="J203" s="21" t="str">
        <x:v>ยังไม่พบหรือยังไม่ยืนยัน</x:v>
      </x:c>
      <x:c r="K203" s="51" t="str">
        <x:v>https://www.thai-tour.com/place/1527</x:v>
      </x:c>
      <x:c r="L203" s="51" t="str">
        <x:v>https://www.tatmediaassets.com/file/1357670</x:v>
      </x:c>
      <x:c r="M203" s="20" t="str">
        <x:v>พบแหล่งต่างเว็บไซต์ Ayutthaya-Portuguese Village (บ้านโปรตุเกส) 221780CU.jpg | TAT Media Assets - TAT Media Assets</x:v>
      </x:c>
      <x:c r="N203" s="28" t="n">
        <x:v>46316</x:v>
      </x:c>
      <x:c r="O203" s="57" t="str">
        <x:v>ยังไม่ตรวจ</x:v>
      </x:c>
      <x:c r="P203" s="57" t="str">
        <x:v>ยังไม่ติดต่อ</x:v>
      </x:c>
      <x:c r="Q203" s="20" t="str">
        <x:v>R26-043</x:v>
      </x:c>
      <x:c r="R203" s="20" t="str"/>
      <x:c r="S203" s="20" t="str"/>
      <x:c r="T203" s="20" t="str">
        <x:v>https://www.thai-tour.com/place/1527</x:v>
      </x:c>
      <x:c r="U203" s="20" t="str"/>
      <x:c r="V203" s="20" t="str"/>
      <x:c r="W203" s="20" t="str"/>
      <x:c r="X203" s="20" t="str"/>
      <x:c r="Y203" s="20" t="str">
        <x:v>https://www.google.com/maps/search/?api=1&amp;query=%E0%B8%AB%E0%B8%A1%E0%B8%B9%E0%B9%88%E0%B8%9A%E0%B9%89%E0%B8%B2%E0%B8%99%E0%B9%82%E0%B8%9B%E0%B8%A3%E0%B8%95%E0%B8%B8%E0%B9%80%E0%B8%81%E0%B8%AA%20%E0%B8%AD%E0%B8%A2%E0%B8%B8%E0%B8%98%E0%B8%A2%E0%B8%B2%20%E0%B8%9E%E0%B8%A3%E0%B8%B0%E0%B8%99%E0%B8%84%E0%B8%A3%E0%B8%A8%E0%B8%A3%E0%B8%B5%E0%B8%AD%E0%B8%A2%E0%B8%B8%E0%B8%98%E0%B8%A2%E0%B8%B2</x:v>
      </x:c>
      <x:c r="Z203" s="56" t="n">
        <x:v>14.3336999</x:v>
      </x:c>
      <x:c r="AA203" s="56" t="n">
        <x:v>100.5747693</x:v>
      </x:c>
      <x:c r="AB203" s="57" t="str"/>
      <x:c r="AC203" s="20" t="str">
        <x:v>https://www.thai-tour.com/place/1527</x:v>
      </x:c>
    </x:row>
    <x:row r="204" ht="88" customHeight="1">
      <x:c r="A204" s="54" t="n">
        <x:v>196</x:v>
      </x:c>
      <x:c r="B204" s="20" t="str">
        <x:v>อนุสรณ์สถานท่านเฉกอะหมัด</x:v>
      </x:c>
      <x:c r="C204" s="20" t="str">
        <x:v>พระนครศรีอยุธยา</x:v>
      </x:c>
      <x:c r="D204" s="20" t="str">
        <x:v>ประวัติ</x:v>
      </x:c>
      <x:c r="E204" s="20" t="str">
        <x:v>พบข้อมูลชื่อตรงจาก อยุธยา จัดพิธีเยี่ยมสถานฝังศพและทำบุญอุทิศส่วนกุศล แด่เจ้าพระยาบวรราชนายก (เฉกอะหมัด) ครั้งที่ 45 ประจำปี 2567; เป็นหลักฐานตัวตน/ประเภท ยังไม่ยืนยันบริการมุสลิมครบเกณฑ์</x:v>
      </x:c>
      <x:c r="F204" s="20" t="str">
        <x:v>ไม่ทราบ</x:v>
      </x:c>
      <x:c r="G204" s="20" t="str">
        <x:v>ยังไม่ยืนยันใบรับรองและวันหมดอายุ</x:v>
      </x:c>
      <x:c r="H204" s="20" t="str">
        <x:v>ตรวจการเปิด ตัวตนสาขา ช่องทางติดต่อ และเงื่อนไขบังคับตามประเภท</x:v>
      </x:c>
      <x:c r="I204" s="20" t="str">
        <x:v>ยังไม่ยืนยันที่อยู่ละเอียด ดูลิงก์แหล่งข้อมูลและ Google Maps</x:v>
      </x:c>
      <x:c r="J204" s="21" t="str">
        <x:v>ยังไม่พบหรือยังไม่ยืนยัน</x:v>
      </x:c>
      <x:c r="K204" s="51" t="str">
        <x:v>https://ayutthaya.prd.go.th/th/content/category/detail/id/9/iid/342110</x:v>
      </x:c>
      <x:c r="L204" s="51" t="str">
        <x:v>https://masjid.islamicbangkok.or.th/masjid/news/4638118267</x:v>
      </x:c>
      <x:c r="M204" s="20" t="str">
        <x:v>พบแหล่งต่างเว็บไซต์ บทบาทของมุสลิมชีอะห์ตั้งแต่อดีตจนถึงปัจจุบัน | ระบบบริหารจัดการข้อมูลมุสลิม สำนักงานคณะกรรมการอิสลามประจำกรุงเทพมหานคร</x:v>
      </x:c>
      <x:c r="N204" s="28" t="n">
        <x:v>46316</x:v>
      </x:c>
      <x:c r="O204" s="57" t="str">
        <x:v>ยังไม่ตรวจ</x:v>
      </x:c>
      <x:c r="P204" s="57" t="str">
        <x:v>ยังไม่ติดต่อ</x:v>
      </x:c>
      <x:c r="Q204" s="20" t="str">
        <x:v>R26-039</x:v>
      </x:c>
      <x:c r="R204" s="20" t="str"/>
      <x:c r="S204" s="20" t="str"/>
      <x:c r="T204" s="20" t="str">
        <x:v>https://ayutthaya.prd.go.th/th/content/category/detail/id/9/iid/342110</x:v>
      </x:c>
      <x:c r="U204" s="20" t="str"/>
      <x:c r="V204" s="20" t="str"/>
      <x:c r="W204" s="20" t="str"/>
      <x:c r="X204" s="20" t="str"/>
      <x:c r="Y204" s="20" t="str">
        <x:v>https://www.google.com/maps/search/?api=1&amp;query=%E0%B8%AD%E0%B8%99%E0%B8%B8%E0%B8%AA%E0%B8%A3%E0%B8%93%E0%B9%8C%E0%B8%AA%E0%B8%96%E0%B8%B2%E0%B8%99%E0%B8%97%E0%B9%88%E0%B8%B2%E0%B8%99%E0%B9%80%E0%B8%89%E0%B8%81%E0%B8%AD%E0%B8%B0%E0%B8%AB%E0%B8%A1%E0%B8%B1%E0%B8%94%20%E0%B8%9E%E0%B8%A3%E0%B8%B0%E0%B8%99%E0%B8%84%E0%B8%A3%E0%B8%A8%E0%B8%A3%E0%B8%B5%E0%B8%AD%E0%B8%A2%E0%B8%B8%E0%B8%98%E0%B8%A2%E0%B8%B2</x:v>
      </x:c>
      <x:c r="Z204" s="56" t="str"/>
      <x:c r="AA204" s="56" t="str"/>
      <x:c r="AB204" s="57" t="str"/>
      <x:c r="AC204" s="20" t="str">
        <x:v>https://ayutthaya.prd.go.th/th/content/category/detail/id/9/iid/342110</x:v>
      </x:c>
    </x:row>
    <x:row r="205" ht="88" customHeight="1">
      <x:c r="A205" s="54" t="n">
        <x:v>197</x:v>
      </x:c>
      <x:c r="B205" s="20" t="str">
        <x:v>ชุมชนสำเภาล่ม</x:v>
      </x:c>
      <x:c r="C205" s="20" t="str">
        <x:v>พระนครศรีอยุธยา</x:v>
      </x:c>
      <x:c r="D205" s="20" t="str">
        <x:v>ชุมชน</x:v>
      </x:c>
      <x:c r="E205" s="20" t="str">
        <x:v>พบข้อมูลชื่อตรงจาก เทศบาลตำบลสำเภาล่ม (ทต.สำเภาล่ม); เป็นหลักฐานตัวตน/ประเภท ยังไม่ยืนยันบริการมุสลิมครบเกณฑ์</x:v>
      </x:c>
      <x:c r="F205" s="20" t="str">
        <x:v>ไม่ทราบ</x:v>
      </x:c>
      <x:c r="G205" s="20" t="str">
        <x:v>ยังไม่ยืนยันใบรับรองและวันหมดอายุ</x:v>
      </x:c>
      <x:c r="H205" s="20" t="str">
        <x:v>ตรวจการเปิด ตัวตนสาขา ช่องทางติดต่อ และเงื่อนไขบังคับตามประเภท</x:v>
      </x:c>
      <x:c r="I205" s="20" t="str">
        <x:v>ยังไม่ยืนยันที่อยู่ละเอียด ดูลิงก์แหล่งข้อมูลและ Google Maps</x:v>
      </x:c>
      <x:c r="J205" s="21" t="str">
        <x:v>ยังไม่พบหรือยังไม่ยืนยัน</x:v>
      </x:c>
      <x:c r="K205" s="51" t="str">
        <x:v>https://www.samphaolom.go.th/</x:v>
      </x:c>
      <x:c r="L205" s="51" t="str">
        <x:v>https://www.pakkran.go.th/17391386/%E0%B8%A7%E0%B8%B1%E0%B8%94%E0%B8%AA%E0%B8%B3%E0%B9%80%E0%B8%A0%E0%B8%B2%E0%B8%A5%E0%B9%88%E0%B8%A1-%E0%B8%97%E0%B8%B3%E0%B9%83%E0%B8%AB%E0%B8%A1%E0%B9%88</x:v>
      </x:c>
      <x:c r="M205" s="20" t="str">
        <x:v>พบแหล่งต่างเว็บไซต์ วัดสำเภาล่ม (ทำใหม่)</x:v>
      </x:c>
      <x:c r="N205" s="28" t="n">
        <x:v>46316</x:v>
      </x:c>
      <x:c r="O205" s="57" t="str">
        <x:v>ยังไม่ตรวจ</x:v>
      </x:c>
      <x:c r="P205" s="57" t="str">
        <x:v>ยังไม่ติดต่อ</x:v>
      </x:c>
      <x:c r="Q205" s="20" t="str">
        <x:v>R26-040</x:v>
      </x:c>
      <x:c r="R205" s="20" t="str"/>
      <x:c r="S205" s="20" t="str"/>
      <x:c r="T205" s="20" t="str">
        <x:v>https://www.samphaolom.go.th/</x:v>
      </x:c>
      <x:c r="U205" s="20" t="str"/>
      <x:c r="V205" s="20" t="str"/>
      <x:c r="W205" s="20" t="str"/>
      <x:c r="X205" s="20" t="str"/>
      <x:c r="Y205" s="20" t="str">
        <x:v>https://www.google.com/maps/search/?api=1&amp;query=%E0%B8%8A%E0%B8%B8%E0%B8%A1%E0%B8%8A%E0%B8%99%E0%B8%AA%E0%B8%B3%E0%B9%80%E0%B8%A0%E0%B8%B2%E0%B8%A5%E0%B9%88%E0%B8%A1%20%E0%B8%9E%E0%B8%A3%E0%B8%B0%E0%B8%99%E0%B8%84%E0%B8%A3%E0%B8%A8%E0%B8%A3%E0%B8%B5%E0%B8%AD%E0%B8%A2%E0%B8%B8%E0%B8%98%E0%B8%A2%E0%B8%B2</x:v>
      </x:c>
      <x:c r="Z205" s="56" t="str"/>
      <x:c r="AA205" s="56" t="str"/>
      <x:c r="AB205" s="57" t="str"/>
      <x:c r="AC205" s="20" t="str">
        <x:v>https://www.samphaolom.go.th/</x:v>
      </x:c>
    </x:row>
    <x:row r="206" ht="88" customHeight="1">
      <x:c r="A206" s="54" t="n">
        <x:v>198</x:v>
      </x:c>
      <x:c r="B206" s="20" t="str">
        <x:v>ศูนย์ศิลปาชีพบางไทร</x:v>
      </x:c>
      <x:c r="C206" s="20" t="str">
        <x:v>พระนครศรีอยุธยา</x:v>
      </x:c>
      <x:c r="D206" s="20" t="str">
        <x:v>กิจกรรม</x:v>
      </x:c>
      <x:c r="E206" s="20" t="str">
        <x:v>พบข้อมูลชื่อตรงจาก ศูนย์ศิลปาชีพบางไทร; เป็นหลักฐานตัวตน/ประเภท ยังไม่ยืนยันบริการมุสลิมครบเกณฑ์</x:v>
      </x:c>
      <x:c r="F206" s="20" t="str">
        <x:v>ไม่ทราบ</x:v>
      </x:c>
      <x:c r="G206" s="20" t="str">
        <x:v>ยังไม่ยืนยันใบรับรองและวันหมดอายุ</x:v>
      </x:c>
      <x:c r="H206" s="20" t="str">
        <x:v>ตรวจการเปิด ตัวตนสาขา ช่องทางติดต่อ และเงื่อนไขบังคับตามประเภท</x:v>
      </x:c>
      <x:c r="I206" s="20" t="str">
        <x:v>ยังไม่ยืนยันที่อยู่ละเอียด ดูลิงก์แหล่งข้อมูลและ Google Maps</x:v>
      </x:c>
      <x:c r="J206" s="21" t="str">
        <x:v>ยังไม่พบหรือยังไม่ยืนยัน</x:v>
      </x:c>
      <x:c r="K206" s="51" t="str">
        <x:v>https://ayutthayacity.go.th/travel_activity/detail/6</x:v>
      </x:c>
      <x:c r="L206" s="51" t="str">
        <x:v>https://cbtthailand.dasta.or.th/webapp/relattraction/content/1355/</x:v>
      </x:c>
      <x:c r="M206" s="20" t="str">
        <x:v>พบแหล่งต่างเว็บไซต์ ศูนย์ศิลปาชีพบางไทร | CBT Thailand</x:v>
      </x:c>
      <x:c r="N206" s="28" t="n">
        <x:v>46316</x:v>
      </x:c>
      <x:c r="O206" s="57" t="str">
        <x:v>ยังไม่ตรวจ</x:v>
      </x:c>
      <x:c r="P206" s="57" t="str">
        <x:v>ยังไม่ติดต่อ</x:v>
      </x:c>
      <x:c r="Q206" s="20" t="str">
        <x:v>R26-045</x:v>
      </x:c>
      <x:c r="R206" s="20" t="str"/>
      <x:c r="S206" s="20" t="str"/>
      <x:c r="T206" s="20" t="str">
        <x:v>https://ayutthayacity.go.th/travel_activity/detail/6</x:v>
      </x:c>
      <x:c r="U206" s="20" t="str"/>
      <x:c r="V206" s="20" t="str"/>
      <x:c r="W206" s="20" t="str"/>
      <x:c r="X206" s="20" t="str"/>
      <x:c r="Y206" s="20" t="str">
        <x:v>https://www.google.com/maps/search/?api=1&amp;query=%E0%B8%A8%E0%B8%B9%E0%B8%99%E0%B8%A2%E0%B9%8C%E0%B8%A8%E0%B8%B4%E0%B8%A5%E0%B8%9B%E0%B8%B2%E0%B8%8A%E0%B8%B5%E0%B8%9E%E0%B8%9A%E0%B8%B2%E0%B8%87%E0%B9%84%E0%B8%97%E0%B8%A3%20%E0%B8%9E%E0%B8%A3%E0%B8%B0%E0%B8%99%E0%B8%84%E0%B8%A3%E0%B8%A8%E0%B8%A3%E0%B8%B5%E0%B8%AD%E0%B8%A2%E0%B8%B8%E0%B8%98%E0%B8%A2%E0%B8%B2</x:v>
      </x:c>
      <x:c r="Z206" s="56" t="n">
        <x:v>14.1543567</x:v>
      </x:c>
      <x:c r="AA206" s="56" t="n">
        <x:v>100.5181267</x:v>
      </x:c>
      <x:c r="AB206" s="57" t="str"/>
      <x:c r="AC206" s="20" t="str">
        <x:v>https://ayutthayacity.go.th/travel_activity/detail/6</x:v>
      </x:c>
    </x:row>
    <x:row r="207" ht="88" customHeight="1">
      <x:c r="A207" s="54" t="n">
        <x:v>199</x:v>
      </x:c>
      <x:c r="B207" s="20" t="str">
        <x:v>Classic Kameo Hotel Ayutthaya</x:v>
      </x:c>
      <x:c r="C207" s="20" t="str">
        <x:v>พระนครศรีอยุธยา</x:v>
      </x:c>
      <x:c r="D207" s="20" t="str">
        <x:v>ที่พัก</x:v>
      </x:c>
      <x:c r="E207" s="20" t="str">
        <x:v>พบข้อมูลชื่อตรงจาก Rate | Classic Kameo, Ayutthaya; เป็นหลักฐานตัวตน/ประเภท ยังไม่ยืนยันบริการมุสลิมครบเกณฑ์</x:v>
      </x:c>
      <x:c r="F207" s="20" t="str">
        <x:v>ไม่ทราบ</x:v>
      </x:c>
      <x:c r="G207" s="20" t="str">
        <x:v>ยังไม่ยืนยันใบรับรองและวันหมดอายุ</x:v>
      </x:c>
      <x:c r="H207" s="20" t="str">
        <x:v>ตรวจการเปิด ตัวตนสาขา ช่องทางติดต่อ และเงื่อนไขบังคับตามประเภท</x:v>
      </x:c>
      <x:c r="I207" s="20" t="str">
        <x:v>ยังไม่ยืนยันที่อยู่ละเอียด ดูลิงก์แหล่งข้อมูลและ Google Maps</x:v>
      </x:c>
      <x:c r="J207" s="21" t="str">
        <x:v>ยังไม่พบหรือยังไม่ยืนยัน</x:v>
      </x:c>
      <x:c r="K207" s="51" t="str">
        <x:v>https://www.kameocollection.com/classickameo-ayutthaya/rate/</x:v>
      </x:c>
      <x:c r="L207" s="51" t="str">
        <x:v>https://www.wongnai.com/hotels/322250cL-classic-kameo-ayutthaya</x:v>
      </x:c>
      <x:c r="M207" s="20" t="str">
        <x:v>พบแหล่งต่างเว็บไซต์ Classic Kameo Ayutthaya (Classic Kameo Ayutthaya) - รีวิวที่พัก</x:v>
      </x:c>
      <x:c r="N207" s="28" t="n">
        <x:v>46316</x:v>
      </x:c>
      <x:c r="O207" s="57" t="str">
        <x:v>ยังไม่ตรวจ</x:v>
      </x:c>
      <x:c r="P207" s="57" t="str">
        <x:v>ยังไม่ติดต่อ</x:v>
      </x:c>
      <x:c r="Q207" s="20" t="str">
        <x:v>R26-368</x:v>
      </x:c>
      <x:c r="R207" s="20" t="str">
        <x:v>Classic Kameo Hotel Ayutthaya</x:v>
      </x:c>
      <x:c r="S207" s="20" t="str"/>
      <x:c r="T207" s="20" t="str">
        <x:v>https://www.kameocollection.com/classickameo-ayutthaya/rate/</x:v>
      </x:c>
      <x:c r="U207" s="20" t="str">
        <x:v>https://www.facebook.com/capekantaryhotels/</x:v>
      </x:c>
      <x:c r="V207" s="20" t="str">
        <x:v>https://www.instagram.com/capeandkantary/</x:v>
      </x:c>
      <x:c r="W207" s="20" t="str"/>
      <x:c r="X207" s="20" t="str"/>
      <x:c r="Y207" s="20" t="str">
        <x:v>https://www.google.com/maps/search/?api=1&amp;query=Classic%20Kameo%20Hotel%20Ayutthaya%20%E0%B8%9E%E0%B8%A3%E0%B8%B0%E0%B8%99%E0%B8%84%E0%B8%A3%E0%B8%A8%E0%B8%A3%E0%B8%B5%E0%B8%AD%E0%B8%A2%E0%B8%B8%E0%B8%98%E0%B8%A2%E0%B8%B2</x:v>
      </x:c>
      <x:c r="Z207" s="56" t="n">
        <x:v>14.3549886</x:v>
      </x:c>
      <x:c r="AA207" s="56" t="n">
        <x:v>100.5966196</x:v>
      </x:c>
      <x:c r="AB207" s="57" t="str"/>
      <x:c r="AC207" s="20" t="str">
        <x:v>https://www.kameocollection.com/classickameo-ayutthaya/rate/</x:v>
      </x:c>
    </x:row>
    <x:row r="208" ht="88" customHeight="1">
      <x:c r="A208" s="54" t="n">
        <x:v>200</x:v>
      </x:c>
      <x:c r="B208" s="20" t="str">
        <x:v>Kantary Hotel Ayutthaya</x:v>
      </x:c>
      <x:c r="C208" s="20" t="str">
        <x:v>พระนครศรีอยุธยา</x:v>
      </x:c>
      <x:c r="D208" s="20" t="str">
        <x:v>ที่พัก</x:v>
      </x:c>
      <x:c r="E208" s="20" t="str">
        <x:v>พบข้อมูลชื่อตรงจาก ว้าว! โรงแรมสวยพักในอยุธยา แคนทารี โฮเทล อยุธยา (Kantary Hotel Ayutthaya Thailand) - YouTube; เป็นหลักฐานตัวตน/ประเภท ยังไม่ยืนยันบริการมุสลิมครบเกณฑ์</x:v>
      </x:c>
      <x:c r="F208" s="20" t="str">
        <x:v>ไม่ทราบ</x:v>
      </x:c>
      <x:c r="G208" s="20" t="str">
        <x:v>ยังไม่ยืนยันใบรับรองและวันหมดอายุ</x:v>
      </x:c>
      <x:c r="H208" s="20" t="str">
        <x:v>ตรวจการเปิด ตัวตนสาขา ช่องทางติดต่อ และเงื่อนไขบังคับตามประเภท</x:v>
      </x:c>
      <x:c r="I208" s="20" t="str">
        <x:v>ยังไม่ยืนยันที่อยู่ละเอียด ดูลิงก์แหล่งข้อมูลและ Google Maps</x:v>
      </x:c>
      <x:c r="J208" s="21" t="str">
        <x:v>ยังไม่พบหรือยังไม่ยืนยัน</x:v>
      </x:c>
      <x:c r="K208" s="51" t="str">
        <x:v>https://www.youtube.com/watch?v=riqwgrVEnJQ</x:v>
      </x:c>
      <x:c r="L208" s="51" t="str">
        <x:v>https://www.kantaryhotel-ayutthaya.com/index.php</x:v>
      </x:c>
      <x:c r="M208" s="20" t="str">
        <x:v>พบแหล่งต่างเว็บไซต์ Home| Kantary Hotel, Ayutthaya</x:v>
      </x:c>
      <x:c r="N208" s="28" t="n">
        <x:v>46316</x:v>
      </x:c>
      <x:c r="O208" s="57" t="str">
        <x:v>ยังไม่ตรวจ</x:v>
      </x:c>
      <x:c r="P208" s="57" t="str">
        <x:v>ยังไม่ติดต่อ</x:v>
      </x:c>
      <x:c r="Q208" s="20" t="str">
        <x:v>R26-367</x:v>
      </x:c>
      <x:c r="R208" s="20" t="str">
        <x:v>Kantary Hotel Ayutthaya</x:v>
      </x:c>
      <x:c r="S208" s="20" t="str"/>
      <x:c r="T208" s="20" t="str">
        <x:v>https://www.youtube.com/watch?v=riqwgrVEnJQ</x:v>
      </x:c>
      <x:c r="U208" s="20" t="str"/>
      <x:c r="V208" s="20" t="str"/>
      <x:c r="W208" s="20" t="str"/>
      <x:c r="X208" s="20" t="str"/>
      <x:c r="Y208" s="20" t="str">
        <x:v>https://www.google.com/maps/search/?api=1&amp;query=Kantary%20Hotel%20Ayutthaya%20%E0%B8%9E%E0%B8%A3%E0%B8%B0%E0%B8%99%E0%B8%84%E0%B8%A3%E0%B8%A8%E0%B8%A3%E0%B8%B5%E0%B8%AD%E0%B8%A2%E0%B8%B8%E0%B8%98%E0%B8%A2%E0%B8%B2</x:v>
      </x:c>
      <x:c r="Z208" s="56" t="n">
        <x:v>14.3455732</x:v>
      </x:c>
      <x:c r="AA208" s="56" t="n">
        <x:v>100.606536</x:v>
      </x:c>
      <x:c r="AB208" s="57" t="str"/>
      <x:c r="AC208" s="20" t="str">
        <x:v>https://www.youtube.com/watch?v=riqwgrVEnJQ</x:v>
      </x:c>
    </x:row>
    <x:row r="209" ht="88" customHeight="1">
      <x:c r="A209" s="54" t="n">
        <x:v>201</x:v>
      </x:c>
      <x:c r="B209" s="20" t="str">
        <x:v>ก๋วยเตี๋ยวเนื้อเปื่อย ฮาลาล ตลาดรุ่งเจริญ</x:v>
      </x:c>
      <x:c r="C209" s="20" t="str">
        <x:v>พระนครศรีอยุธยา</x:v>
      </x:c>
      <x:c r="D209" s="20" t="str">
        <x:v>ร้านอาหาร</x:v>
      </x:c>
      <x:c r="E209" s="20" t="str">
        <x:v>มีรายชื่อใน Makan Halal Guide; ช่องห้องละหมาดไม่ได้ทำเครื่องหมายว่ามี</x:v>
      </x:c>
      <x:c r="F209" s="20" t="str">
        <x:v>แหล่งเดิมไม่ระบุว่ามี</x:v>
      </x:c>
      <x:c r="G209" s="20" t="str">
        <x:v>ยังไม่พบเอกสารรับรองและวันหมดอายุ</x:v>
      </x:c>
      <x:c r="H209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09" s="20" t="str">
        <x:v>ตลาดรุ่งเจริญ วงเวียนหน้า ร.ร.อยุธยาวิทยาลัย ต.ประตูชัย อ.พระนครศรีอยุธยา จ.พระนครศรีอยุธยา 13000</x:v>
      </x:c>
      <x:c r="J209" s="21" t="str">
        <x:v>0936692295</x:v>
      </x:c>
      <x:c r="K209" s="51" t="str">
        <x:v>https://makanhalalguide.com/shop/detail/6369</x:v>
      </x:c>
      <x:c r="L209" s="51" t="str">
        <x:v>https://www.wongnai.com/restaurants/1752722vi-%E0%B9%80%E0%B8%99%E0%B8%B7%E0%B9%89%E0%B8%AD%E0%B9%80%E0%B8%9B%E0%B8%B7%E0%B9%88%E0%B8%B4%E0%B8%AD%E0%B8%A2%E0%B8%AE%E0%B8%B2%E0%B8%A5%E0%B8%B2%E0%B8%A5-%E0%B8%AD%E0%B8%B2%E0%B8%AB%E0%B8%B2%E0%B8%A3%E0%B8%AE%E0%B8%B2%E0%B8%A5%E0%B8%B2%E0%B8%A5</x:v>
      </x:c>
      <x:c r="M209" s="20" t="str">
        <x:v>ผลค้นหาชื่อสัมพันธ์จากแหล่งเพิ่มเติม ต้องยืนยันสาขาและข้อมูลปัจจุบัน</x:v>
      </x:c>
      <x:c r="N209" s="28" t="n">
        <x:v>46315</x:v>
      </x:c>
      <x:c r="O209" s="57" t="str">
        <x:v>ยังไม่ตรวจ</x:v>
      </x:c>
      <x:c r="P209" s="57" t="str">
        <x:v>ยังไม่ติดต่อ</x:v>
      </x:c>
      <x:c r="Q209" s="20" t="str">
        <x:v>TMF-423</x:v>
      </x:c>
      <x:c r="R209" s="20" t="str"/>
      <x:c r="S209" s="20" t="str"/>
      <x:c r="T209" s="20" t="str">
        <x:v>https://makanhalalguide.com/shop/detail/6369</x:v>
      </x:c>
      <x:c r="U209" s="20" t="str"/>
      <x:c r="V209" s="20" t="str"/>
      <x:c r="W209" s="20" t="str"/>
      <x:c r="X209" s="20" t="str"/>
      <x:c r="Y209" s="20" t="str">
        <x:v>https://www.google.com/maps/search/?api=1&amp;query=%E0%B8%81%E0%B9%8B%E0%B8%A7%E0%B8%A2%E0%B9%80%E0%B8%95%E0%B8%B5%E0%B9%8B%E0%B8%A2%E0%B8%A7%E0%B9%80%E0%B8%99%E0%B8%B7%E0%B9%89%E0%B8%AD%E0%B9%80%E0%B8%9B%E0%B8%B7%E0%B9%88%E0%B8%AD%E0%B8%A2%20%E0%B8%AE%E0%B8%B2%E0%B8%A5%E0%B8%B2%E0%B8%A5%20%E0%B8%95%E0%B8%A5%E0%B8%B2%E0%B8%94%E0%B8%A3%E0%B8%B8%E0%B9%88%E0%B8%87%E0%B9%80%E0%B8%88%E0%B8%A3%E0%B8%B4%E0%B8%8D%20%E0%B8%9E%E0%B8%A3%E0%B8%B0%E0%B8%99%E0%B8%84%E0%B8%A3%E0%B8%A8%E0%B8%A3%E0%B8%B5%E0%B8%AD%E0%B8%A2%E0%B8%B8%E0%B8%98%E0%B8%A2%E0%B8%B2</x:v>
      </x:c>
      <x:c r="Z209" s="56" t="n">
        <x:v>14.353193</x:v>
      </x:c>
      <x:c r="AA209" s="56" t="n">
        <x:v>100.569449</x:v>
      </x:c>
      <x:c r="AB209" s="57" t="str"/>
      <x:c r="AC209" s="20" t="str">
        <x:v>https://makanhalalguide.com/shop/detail/6369</x:v>
      </x:c>
    </x:row>
    <x:row r="210" ht="88" customHeight="1">
      <x:c r="A210" s="54" t="n">
        <x:v>202</x:v>
      </x:c>
      <x:c r="B210" s="20" t="str">
        <x:v>ครัวมุสลิม สาขา2 โรจนะ</x:v>
      </x:c>
      <x:c r="C210" s="20" t="str">
        <x:v>พระนครศรีอยุธยา</x:v>
      </x:c>
      <x:c r="D210" s="20" t="str">
        <x:v>ร้านอาหาร</x:v>
      </x:c>
      <x:c r="E210" s="20" t="str">
        <x:v>มีรายชื่อใน Makan Halal Guide; ช่องห้องละหมาดไม่ได้ทำเครื่องหมายว่ามี</x:v>
      </x:c>
      <x:c r="F210" s="20" t="str">
        <x:v>แหล่งเดิมไม่ระบุว่ามี</x:v>
      </x:c>
      <x:c r="G210" s="20" t="str">
        <x:v>ยังไม่พบเอกสารรับรองและวันหมดอายุ</x:v>
      </x:c>
      <x:c r="H210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10" s="20" t="str">
        <x:v>สถานี PTT ถนน โรจนะ ตำบล คานหาม อำเภออุทัย จังหวัดพระนครศรีอยุธยา 13210</x:v>
      </x:c>
      <x:c r="J210" s="21" t="str">
        <x:v>0627010292</x:v>
      </x:c>
      <x:c r="K210" s="51" t="str">
        <x:v>https://makanhalalguide.com/shop/detail/6253</x:v>
      </x:c>
      <x:c r="L210" s="51" t="str">
        <x:v>https://go.ayutthaya.go.th/%E0%B9%81%E0%B8%99%E0%B8%B0%E0%B8%99%E0%B8%B3%E0%B8%A3%E0%B9%89%E0%B8%B2%E0%B8%99%E0%B8%AD%E0%B8%B2%E0%B8%AB%E0%B8%B2%E0%B8%A3/%E0%B8%84%E0%B8%A3%E0%B8%B1%E0%B8%A7%E0%B8%A1%E0%B8%B8%E0%B8%AA%E0%B8%A5%E0%B8%B4%E0%B8%A1-%E0%B8%AA%E0%B8%B2%E0%B8%82%E0%B8%B2-2-%E0%B9%82%E0%B8%A3%E0%B8%88%E0%B8%99%E0%B8%B0-%E0%B9%80%E0%B8%99/</x:v>
      </x:c>
      <x:c r="M210" s="20" t="str">
        <x:v>ผลค้นหาชื่อสัมพันธ์จากแหล่งเพิ่มเติม ต้องยืนยันสาขาและข้อมูลปัจจุบัน</x:v>
      </x:c>
      <x:c r="N210" s="28" t="n">
        <x:v>46315</x:v>
      </x:c>
      <x:c r="O210" s="57" t="str">
        <x:v>ยังไม่ตรวจ</x:v>
      </x:c>
      <x:c r="P210" s="57" t="str">
        <x:v>ยังไม่ติดต่อ</x:v>
      </x:c>
      <x:c r="Q210" s="20" t="str">
        <x:v>TMF-426</x:v>
      </x:c>
      <x:c r="R210" s="20" t="str"/>
      <x:c r="S210" s="20" t="str"/>
      <x:c r="T210" s="20" t="str">
        <x:v>https://makanhalalguide.com/shop/detail/6253</x:v>
      </x:c>
      <x:c r="U210" s="20" t="str"/>
      <x:c r="V210" s="20" t="str"/>
      <x:c r="W210" s="20" t="str"/>
      <x:c r="X210" s="20" t="str"/>
      <x:c r="Y210" s="20" t="str">
        <x:v>https://www.google.com/maps/search/?api=1&amp;query=%E0%B8%84%E0%B8%A3%E0%B8%B1%E0%B8%A7%E0%B8%A1%E0%B8%B8%E0%B8%AA%E0%B8%A5%E0%B8%B4%E0%B8%A1%20%E0%B8%AA%E0%B8%B2%E0%B8%82%E0%B8%B22%20%E0%B9%82%E0%B8%A3%E0%B8%88%E0%B8%99%E0%B8%B0%20%E0%B8%9E%E0%B8%A3%E0%B8%B0%E0%B8%99%E0%B8%84%E0%B8%A3%E0%B8%A8%E0%B8%A3%E0%B8%B5%E0%B8%AD%E0%B8%A2%E0%B8%B8%E0%B8%98%E0%B8%A2%E0%B8%B2</x:v>
      </x:c>
      <x:c r="Z210" s="56" t="n">
        <x:v>14.32125</x:v>
      </x:c>
      <x:c r="AA210" s="56" t="n">
        <x:v>100.633315</x:v>
      </x:c>
      <x:c r="AB210" s="57" t="str"/>
      <x:c r="AC210" s="20" t="str">
        <x:v>https://makanhalalguide.com/shop/detail/6253</x:v>
      </x:c>
    </x:row>
    <x:row r="211" ht="88" customHeight="1">
      <x:c r="A211" s="54" t="n">
        <x:v>203</x:v>
      </x:c>
      <x:c r="B211" s="20" t="str">
        <x:v>ครัวมุสลิมกรุงเก่า</x:v>
      </x:c>
      <x:c r="C211" s="20" t="str">
        <x:v>พระนครศรีอยุธยา</x:v>
      </x:c>
      <x:c r="D211" s="20" t="str">
        <x:v>ร้านอาหาร</x:v>
      </x:c>
      <x:c r="E211" s="20" t="str">
        <x:v>Makan Verify; ระบุมีห้องละหมาด</x:v>
      </x:c>
      <x:c r="F211" s="20" t="str">
        <x:v>มีข้อมูลระบุ แต่รอยืนยัน</x:v>
      </x:c>
      <x:c r="G211" s="20" t="str">
        <x:v>ยังไม่พบเอกสารรับรองและวันหมดอายุ</x:v>
      </x:c>
      <x:c r="H21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11" s="20" t="str">
        <x:v>33/5 ตำบลบ้านป้อม อำเภอพระนครศรีอยุธยา จังหวัดพระนครศรีอยุธยา 13000</x:v>
      </x:c>
      <x:c r="J211" s="21" t="str">
        <x:v>0819477753</x:v>
      </x:c>
      <x:c r="K211" s="51" t="str">
        <x:v>https://makanhalalguide.com/shop/detail/5287</x:v>
      </x:c>
      <x:c r="L211" s="51" t="str">
        <x:v>https://www.wongnai.com/restaurants/188522BB-%E0%B8%84%E0%B8%A3%E0%B8%B1%E0%B8%A7%E0%B8%A1%E0%B8%B8%E0%B8%AA%E0%B8%A5%E0%B8%B4%E0%B8%A1%E0%B8%81%E0%B8%A3%E0%B8%B8%E0%B8%87%E0%B9%80%E0%B8%81%E0%B9%88%E0%B8%B2</x:v>
      </x:c>
      <x:c r="M211" s="20" t="str">
        <x:v>ผลค้นหาชื่อสัมพันธ์จากแหล่งเพิ่มเติม ต้องยืนยันสาขาและข้อมูลปัจจุบัน</x:v>
      </x:c>
      <x:c r="N211" s="28" t="n">
        <x:v>46315</x:v>
      </x:c>
      <x:c r="O211" s="57" t="str">
        <x:v>ยังไม่ตรวจ</x:v>
      </x:c>
      <x:c r="P211" s="57" t="str">
        <x:v>ยังไม่ติดต่อ</x:v>
      </x:c>
      <x:c r="Q211" s="20" t="str">
        <x:v>TMF-007</x:v>
      </x:c>
      <x:c r="R211" s="20" t="str"/>
      <x:c r="S211" s="20" t="str"/>
      <x:c r="T211" s="20" t="str">
        <x:v>https://makanhalalguide.com/shop/detail/5287</x:v>
      </x:c>
      <x:c r="U211" s="20" t="str"/>
      <x:c r="V211" s="20" t="str"/>
      <x:c r="W211" s="20" t="str"/>
      <x:c r="X211" s="20" t="str"/>
      <x:c r="Y211" s="20" t="str">
        <x:v>https://www.google.com/maps/search/?api=1&amp;query=%E0%B8%84%E0%B8%A3%E0%B8%B1%E0%B8%A7%E0%B8%A1%E0%B8%B8%E0%B8%AA%E0%B8%A5%E0%B8%B4%E0%B8%A1%E0%B8%81%E0%B8%A3%E0%B8%B8%E0%B8%87%E0%B9%80%E0%B8%81%E0%B9%88%E0%B8%B2%20%E0%B8%9E%E0%B8%A3%E0%B8%B0%E0%B8%99%E0%B8%84%E0%B8%A3%E0%B8%A8%E0%B8%A3%E0%B8%B5%E0%B8%AD%E0%B8%A2%E0%B8%B8%E0%B8%98%E0%B8%A2%E0%B8%B2</x:v>
      </x:c>
      <x:c r="Z211" s="56" t="n">
        <x:v>14.353389</x:v>
      </x:c>
      <x:c r="AA211" s="56" t="n">
        <x:v>100.536098</x:v>
      </x:c>
      <x:c r="AB211" s="57" t="str"/>
      <x:c r="AC211" s="20" t="str">
        <x:v>https://makanhalalguide.com/shop/detail/5287</x:v>
      </x:c>
    </x:row>
    <x:row r="212" ht="88" customHeight="1">
      <x:c r="A212" s="54" t="n">
        <x:v>204</x:v>
      </x:c>
      <x:c r="B212" s="20" t="str">
        <x:v>บะละดี้ ขนมปังโฮมเมด Bread &amp; Bakery</x:v>
      </x:c>
      <x:c r="C212" s="20" t="str">
        <x:v>พระนครศรีอยุธยา</x:v>
      </x:c>
      <x:c r="D212" s="20" t="str">
        <x:v>คาเฟ่และร้านของหวาน</x:v>
      </x:c>
      <x:c r="E212" s="20" t="str">
        <x:v>มีรายชื่อใน Makan Halal Guide; ระบุมีห้องละหมาด</x:v>
      </x:c>
      <x:c r="F212" s="20" t="str">
        <x:v>มีข้อมูลระบุ แต่รอยืนยัน</x:v>
      </x:c>
      <x:c r="G212" s="20" t="str">
        <x:v>ยังไม่พบเอกสารรับรองและวันหมดอายุ</x:v>
      </x:c>
      <x:c r="H21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12" s="20" t="str">
        <x:v>ตำบล ลุมพลี อำเภอ พระนครศรีอยุธยา จังหวัดพระนครศรีอยุธยา 13000</x:v>
      </x:c>
      <x:c r="J212" s="21" t="str">
        <x:v>0628921419</x:v>
      </x:c>
      <x:c r="K212" s="51" t="str">
        <x:v>https://makanhalalguide.com/shop/detail/6264</x:v>
      </x:c>
      <x:c r="L212" s="51" t="str">
        <x:v>https://happynew.day/vendor/ranbaladi-khanompanghommet-bread-bakery</x:v>
      </x:c>
      <x:c r="M212" s="20" t="str">
        <x:v>ผลค้นหาชื่อสัมพันธ์จากแหล่งเพิ่มเติม ต้องยืนยันสาขาและข้อมูลปัจจุบัน</x:v>
      </x:c>
      <x:c r="N212" s="28" t="n">
        <x:v>46315</x:v>
      </x:c>
      <x:c r="O212" s="57" t="str">
        <x:v>ยังไม่ตรวจ</x:v>
      </x:c>
      <x:c r="P212" s="57" t="str">
        <x:v>ยังไม่ติดต่อ</x:v>
      </x:c>
      <x:c r="Q212" s="20" t="str">
        <x:v>TMF-008</x:v>
      </x:c>
      <x:c r="R212" s="20" t="str"/>
      <x:c r="S212" s="20" t="str"/>
      <x:c r="T212" s="20" t="str">
        <x:v>https://makanhalalguide.com/shop/detail/6264</x:v>
      </x:c>
      <x:c r="U212" s="20" t="str"/>
      <x:c r="V212" s="20" t="str"/>
      <x:c r="W212" s="20" t="str"/>
      <x:c r="X212" s="20" t="str"/>
      <x:c r="Y212" s="20" t="str">
        <x:v>https://www.google.com/maps/search/?api=1&amp;query=%E0%B8%9A%E0%B8%B0%E0%B8%A5%E0%B8%B0%E0%B8%94%E0%B8%B5%E0%B9%89%20%E0%B8%82%E0%B8%99%E0%B8%A1%E0%B8%9B%E0%B8%B1%E0%B8%87%E0%B9%82%E0%B8%AE%E0%B8%A1%E0%B9%80%E0%B8%A1%E0%B8%94%20Bread%20%26%20Bakery%20%E0%B8%9E%E0%B8%A3%E0%B8%B0%E0%B8%99%E0%B8%84%E0%B8%A3%E0%B8%A8%E0%B8%A3%E0%B8%B5%E0%B8%AD%E0%B8%A2%E0%B8%B8%E0%B8%98%E0%B8%A2%E0%B8%B2</x:v>
      </x:c>
      <x:c r="Z212" s="56" t="n">
        <x:v>14.378395</x:v>
      </x:c>
      <x:c r="AA212" s="56" t="n">
        <x:v>100.545863</x:v>
      </x:c>
      <x:c r="AB212" s="57" t="str"/>
      <x:c r="AC212" s="20" t="str">
        <x:v>https://makanhalalguide.com/shop/detail/6264</x:v>
      </x:c>
    </x:row>
    <x:row r="213" ht="88" customHeight="1">
      <x:c r="A213" s="54" t="n">
        <x:v>205</x:v>
      </x:c>
      <x:c r="B213" s="20" t="str">
        <x:v>วนิดา ฮาลาลฟู้ด</x:v>
      </x:c>
      <x:c r="C213" s="20" t="str">
        <x:v>พระนครศรีอยุธยา</x:v>
      </x:c>
      <x:c r="D213" s="20" t="str">
        <x:v>ร้านอาหาร</x:v>
      </x:c>
      <x:c r="E213" s="20" t="str">
        <x:v>เว็บไซต์จังหวัดระบุร้านอาหารฮาลาลและมีห้องละหมาด ต้องขอใบรับรองที่ยังไม่หมดอายุและยืนยันสถานะปัจจุบัน</x:v>
      </x:c>
      <x:c r="F213" s="20" t="str">
        <x:v>มีข้อมูลระบุ แต่รอยืนยัน</x:v>
      </x:c>
      <x:c r="G213" s="20" t="str">
        <x:v>ยังไม่พบเอกสารรับรองและวันหมดอายุ</x:v>
      </x:c>
      <x:c r="H21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13" s="20" t="str">
        <x:v>ยังไม่ยืนยันที่อยู่ละเอียด ดูลิงก์แหล่งข้อมูลและ Google Maps</x:v>
      </x:c>
      <x:c r="J213" s="21" t="str">
        <x:v>ยังไม่พบหรือยังไม่ยืนยัน</x:v>
      </x:c>
      <x:c r="K213" s="51" t="str">
        <x:v>https://go.ayutthaya.go.th/restaurants/wanida-halal-food/</x:v>
      </x:c>
      <x:c r="L213" s="51" t="str">
        <x:v>https://thi.worldorgs.com/%E0%B9%81%E0%B8%84%E0%B8%95%E0%B8%95%E0%B8%B2%E0%B8%A5%E0%B9%87%E0%B8%AD%E0%B8%81/%E0%B8%AD%E0%B8%B3%E0%B9%80%E0%B8%A0%E0%B8%AD-%E0%B8%9E%E0%B8%A3%E0%B8%B0%E0%B8%99%E0%B8%84%E0%B8%A3%E0%B8%A8%E0%B8%A3%E0%B8%B5%E0%B8%AD%E0%B8%A2%E0%B8%B8%E0%B8%98%E0%B8%A2%E0%B8%B2/%E0%B8%A3%E0%B9%89%E0%B8%B2%E0%B8%99%E0%B8%84%E0%B9%89%E0%B8%B2/%E0%B8%84%E0%B8%A3%E0%B8%B1%E0%B8%A7%E0%B8%A7%E0%B8%99%E0%B8%B4%E0%B8%94%E0%B8%B2-%E0%B8%AE%E0%B8%B2%E0%B8%A5%E0%B8%B2%E0%B8%A5%E0%B8%9F%E0%B8%B9%E0%B9%89%E0%B8%94</x:v>
      </x:c>
      <x:c r="M213" s="20" t="str">
        <x:v>ผลค้นหาชื่อสัมพันธ์จากแหล่งเพิ่มเติม ต้องยืนยันสาขาและข้อมูลปัจจุบัน</x:v>
      </x:c>
      <x:c r="N213" s="28" t="n">
        <x:v>46315</x:v>
      </x:c>
      <x:c r="O213" s="57" t="str">
        <x:v>ยังไม่ตรวจ</x:v>
      </x:c>
      <x:c r="P213" s="57" t="str">
        <x:v>ยังไม่ติดต่อ</x:v>
      </x:c>
      <x:c r="Q213" s="20" t="str">
        <x:v>TMF-009</x:v>
      </x:c>
      <x:c r="R213" s="20" t="str"/>
      <x:c r="S213" s="20" t="str"/>
      <x:c r="T213" s="20" t="str">
        <x:v>https://go.ayutthaya.go.th/restaurants/wanida-halal-food/</x:v>
      </x:c>
      <x:c r="U213" s="20" t="str"/>
      <x:c r="V213" s="20" t="str"/>
      <x:c r="W213" s="20" t="str"/>
      <x:c r="X213" s="20" t="str"/>
      <x:c r="Y213" s="20" t="str">
        <x:v>https://www.google.com/maps/search/?api=1&amp;query=%E0%B8%A7%E0%B8%99%E0%B8%B4%E0%B8%94%E0%B8%B2%20%E0%B8%AE%E0%B8%B2%E0%B8%A5%E0%B8%B2%E0%B8%A5%E0%B8%9F%E0%B8%B9%E0%B9%89%E0%B8%94%20%E0%B8%9E%E0%B8%A3%E0%B8%B0%E0%B8%99%E0%B8%84%E0%B8%A3%E0%B8%A8%E0%B8%A3%E0%B8%B5%E0%B8%AD%E0%B8%A2%E0%B8%B8%E0%B8%98%E0%B8%A2%E0%B8%B2</x:v>
      </x:c>
      <x:c r="Z213" s="56" t="str"/>
      <x:c r="AA213" s="56" t="str"/>
      <x:c r="AB213" s="57" t="str"/>
      <x:c r="AC213" s="20" t="str">
        <x:v>https://go.ayutthaya.go.th/restaurants/wanida-halal-food/</x:v>
      </x:c>
    </x:row>
    <x:row r="214" ht="88" customHeight="1">
      <x:c r="A214" s="54" t="n">
        <x:v>206</x:v>
      </x:c>
      <x:c r="B214" s="20" t="str">
        <x:v>สเต๊กครูตา มุสลิมอยุธยา</x:v>
      </x:c>
      <x:c r="C214" s="20" t="str">
        <x:v>พระนครศรีอยุธยา</x:v>
      </x:c>
      <x:c r="D214" s="20" t="str">
        <x:v>ร้านอาหาร</x:v>
      </x:c>
      <x:c r="E214" s="20" t="str">
        <x:v>มีรายชื่อใน Makan Halal Guide; ระบุมีห้องละหมาด</x:v>
      </x:c>
      <x:c r="F214" s="20" t="str">
        <x:v>มีข้อมูลระบุ แต่รอยืนยัน</x:v>
      </x:c>
      <x:c r="G214" s="20" t="str">
        <x:v>ยังไม่พบเอกสารรับรองและวันหมดอายุ</x:v>
      </x:c>
      <x:c r="H21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14" s="20" t="str">
        <x:v>ถนนอู่ทอง ตำบลประตูชัย อำเภอพระนครศรีอยุธยา จังหวัดพระนครศรีอยุธยา 13000</x:v>
      </x:c>
      <x:c r="J214" s="21" t="str">
        <x:v>0896730755</x:v>
      </x:c>
      <x:c r="K214" s="51" t="str">
        <x:v>https://makanhalalguide.com/shop/detail/1265</x:v>
      </x:c>
      <x:c r="L214" s="51" t="str">
        <x:v>https://www.wongnai.com/restaurants/761553wN-%E0%B8%AA%E0%B9%80%E0%B8%95%E0%B9%87%E0%B8%81-%E0%B8%84%E0%B8%A3%E0%B8%B9%E0%B8%95%E0%B8%B2-%E0%B8%AA%E0%B9%80%E0%B8%95%E0%B9%87%E0%B8%81-%E0%B8%84%E0%B8%A3%E0%B8%B9%E0%B8%95%E0%B8%B2</x:v>
      </x:c>
      <x:c r="M214" s="20" t="str">
        <x:v>ผลค้นหาชื่อสัมพันธ์จากแหล่งเพิ่มเติม ต้องยืนยันสาขาและข้อมูลปัจจุบัน</x:v>
      </x:c>
      <x:c r="N214" s="28" t="n">
        <x:v>46315</x:v>
      </x:c>
      <x:c r="O214" s="57" t="str">
        <x:v>ยังไม่ตรวจ</x:v>
      </x:c>
      <x:c r="P214" s="57" t="str">
        <x:v>ยังไม่ติดต่อ</x:v>
      </x:c>
      <x:c r="Q214" s="20" t="str">
        <x:v>TMF-011</x:v>
      </x:c>
      <x:c r="R214" s="20" t="str"/>
      <x:c r="S214" s="20" t="str"/>
      <x:c r="T214" s="20" t="str">
        <x:v>https://makanhalalguide.com/shop/detail/1265</x:v>
      </x:c>
      <x:c r="U214" s="20" t="str"/>
      <x:c r="V214" s="20" t="str"/>
      <x:c r="W214" s="20" t="str"/>
      <x:c r="X214" s="20" t="str"/>
      <x:c r="Y214" s="20" t="str">
        <x:v>https://www.google.com/maps/search/?api=1&amp;query=%E0%B8%AA%E0%B9%80%E0%B8%95%E0%B9%8A%E0%B8%81%E0%B8%84%E0%B8%A3%E0%B8%B9%E0%B8%95%E0%B8%B2%20%E0%B8%A1%E0%B8%B8%E0%B8%AA%E0%B8%A5%E0%B8%B4%E0%B8%A1%E0%B8%AD%E0%B8%A2%E0%B8%B8%E0%B8%98%E0%B8%A2%E0%B8%B2%20%E0%B8%9E%E0%B8%A3%E0%B8%B0%E0%B8%99%E0%B8%84%E0%B8%A3%E0%B8%A8%E0%B8%A3%E0%B8%B5%E0%B8%AD%E0%B8%A2%E0%B8%B8%E0%B8%98%E0%B8%A2%E0%B8%B2</x:v>
      </x:c>
      <x:c r="Z214" s="56" t="n">
        <x:v>14.343775</x:v>
      </x:c>
      <x:c r="AA214" s="56" t="n">
        <x:v>100.562388</x:v>
      </x:c>
      <x:c r="AB214" s="57" t="str"/>
      <x:c r="AC214" s="20" t="str">
        <x:v>https://makanhalalguide.com/shop/detail/1265</x:v>
      </x:c>
    </x:row>
    <x:row r="215" ht="88" customHeight="1">
      <x:c r="A215" s="54" t="n">
        <x:v>207</x:v>
      </x:c>
      <x:c r="B215" s="20" t="str">
        <x:v>ห้องอาหาร สุใบด๊ะห์ชวนชิม สาขาไม้ตรา (อยุธยา)</x:v>
      </x:c>
      <x:c r="C215" s="20" t="str">
        <x:v>พระนครศรีอยุธยา</x:v>
      </x:c>
      <x:c r="D215" s="20" t="str">
        <x:v>ร้านอาหาร</x:v>
      </x:c>
      <x:c r="E215" s="20" t="str">
        <x:v>มีรายชื่อใน Makan Halal Guide; ระบุมีห้องละหมาด</x:v>
      </x:c>
      <x:c r="F215" s="20" t="str">
        <x:v>มีข้อมูลระบุ แต่รอยืนยัน</x:v>
      </x:c>
      <x:c r="G215" s="20" t="str">
        <x:v>ยังไม่พบเอกสารรับรองและวันหมดอายุ</x:v>
      </x:c>
      <x:c r="H21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15" s="20" t="str">
        <x:v>85/8 ซอยคลองพระยาบันลือ ตำบลไม้ตรา อำเภอบางไทร จังหวัดพระนครศรีอยุธยา 13190</x:v>
      </x:c>
      <x:c r="J215" s="21" t="str">
        <x:v>0841497408</x:v>
      </x:c>
      <x:c r="K215" s="51" t="str">
        <x:v>https://makanhalalguide.com/shop/detail/5138</x:v>
      </x:c>
      <x:c r="L215" s="51" t="str">
        <x:v>https://lacarte.menu/restaurants/bang-sai/hngaahaarsaibdahchwnchm-saakhaa2aimtraa</x:v>
      </x:c>
      <x:c r="M215" s="20" t="str">
        <x:v>ผลค้นหาชื่อสัมพันธ์จากแหล่งเพิ่มเติม ต้องยืนยันสาขาและข้อมูลปัจจุบัน</x:v>
      </x:c>
      <x:c r="N215" s="28" t="n">
        <x:v>46315</x:v>
      </x:c>
      <x:c r="O215" s="57" t="str">
        <x:v>ยังไม่ตรวจ</x:v>
      </x:c>
      <x:c r="P215" s="57" t="str">
        <x:v>ยังไม่ติดต่อ</x:v>
      </x:c>
      <x:c r="Q215" s="20" t="str">
        <x:v>TMF-012</x:v>
      </x:c>
      <x:c r="R215" s="20" t="str"/>
      <x:c r="S215" s="20" t="str"/>
      <x:c r="T215" s="20" t="str">
        <x:v>https://makanhalalguide.com/shop/detail/5138</x:v>
      </x:c>
      <x:c r="U215" s="20" t="str"/>
      <x:c r="V215" s="20" t="str"/>
      <x:c r="W215" s="20" t="str"/>
      <x:c r="X215" s="20" t="str"/>
      <x:c r="Y215" s="20" t="str">
        <x:v>https://www.google.com/maps/search/?api=1&amp;query=%E0%B8%AB%E0%B9%89%E0%B8%AD%E0%B8%87%E0%B8%AD%E0%B8%B2%E0%B8%AB%E0%B8%B2%E0%B8%A3%20%E0%B8%AA%E0%B8%B8%E0%B9%83%E0%B8%9A%E0%B8%94%E0%B9%8A%E0%B8%B0%E0%B8%AB%E0%B9%8C%E0%B8%8A%E0%B8%A7%E0%B8%99%E0%B8%8A%E0%B8%B4%E0%B8%A1%20%E0%B8%AA%E0%B8%B2%E0%B8%82%E0%B8%B2%E0%B9%84%E0%B8%A1%E0%B9%89%E0%B8%95%E0%B8%A3%E0%B8%B2%20%28%E0%B8%AD%E0%B8%A2%E0%B8%B8%E0%B8%98%E0%B8%A2%E0%B8%B2%29%20%E0%B8%9E%E0%B8%A3%E0%B8%B0%E0%B8%99%E0%B8%84%E0%B8%A3%E0%B8%A8%E0%B8%A3%E0%B8%B5%E0%B8%AD%E0%B8%A2%E0%B8%B8%E0%B8%98%E0%B8%A2%E0%B8%B2</x:v>
      </x:c>
      <x:c r="Z215" s="56" t="n">
        <x:v>14.156115</x:v>
      </x:c>
      <x:c r="AA215" s="56" t="n">
        <x:v>100.486338</x:v>
      </x:c>
      <x:c r="AB215" s="57" t="str"/>
      <x:c r="AC215" s="20" t="str">
        <x:v>https://makanhalalguide.com/shop/detail/5138</x:v>
      </x:c>
    </x:row>
    <x:row r="216" ht="88" customHeight="1">
      <x:c r="A216" s="54" t="n">
        <x:v>208</x:v>
      </x:c>
      <x:c r="B216" s="20" t="str">
        <x:v>อะฟาฟ อาหารมุสลิม</x:v>
      </x:c>
      <x:c r="C216" s="20" t="str">
        <x:v>พระนครศรีอยุธยา</x:v>
      </x:c>
      <x:c r="D216" s="20" t="str">
        <x:v>ร้านอาหาร</x:v>
      </x:c>
      <x:c r="E216" s="20" t="str">
        <x:v>Makan Verify; ช่องห้องละหมาดไม่ได้ทำเครื่องหมายว่ามี</x:v>
      </x:c>
      <x:c r="F216" s="20" t="str">
        <x:v>แหล่งเดิมไม่ระบุว่ามี</x:v>
      </x:c>
      <x:c r="G216" s="20" t="str">
        <x:v>ยังไม่พบเอกสารรับรองและวันหมดอายุ</x:v>
      </x:c>
      <x:c r="H216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16" s="20" t="str">
        <x:v>80 ตำบลสนับทึบ  อำเภอวังน้อย จังหวัดพระนครศรีอยุธยา13170</x:v>
      </x:c>
      <x:c r="J216" s="21" t="str">
        <x:v>0627300806</x:v>
      </x:c>
      <x:c r="K216" s="51" t="str">
        <x:v>https://makanhalalguide.com/shop/detail/5820</x:v>
      </x:c>
      <x:c r="L216" s="51" t="str">
        <x:v>https://www.wongnai.com/reviews/b306e02e27ca47b1a5c0108bb0bc43ef</x:v>
      </x:c>
      <x:c r="M216" s="20" t="str">
        <x:v>ผลค้นหาชื่อสัมพันธ์จากแหล่งเพิ่มเติม ต้องยืนยันสาขาและข้อมูลปัจจุบัน</x:v>
      </x:c>
      <x:c r="N216" s="28" t="n">
        <x:v>46315</x:v>
      </x:c>
      <x:c r="O216" s="57" t="str">
        <x:v>ยังไม่ตรวจ</x:v>
      </x:c>
      <x:c r="P216" s="57" t="str">
        <x:v>ยังไม่ติดต่อ</x:v>
      </x:c>
      <x:c r="Q216" s="20" t="str">
        <x:v>TMF-255</x:v>
      </x:c>
      <x:c r="R216" s="20" t="str"/>
      <x:c r="S216" s="20" t="str"/>
      <x:c r="T216" s="20" t="str">
        <x:v>https://makanhalalguide.com/shop/detail/5820</x:v>
      </x:c>
      <x:c r="U216" s="20" t="str"/>
      <x:c r="V216" s="20" t="str"/>
      <x:c r="W216" s="20" t="str"/>
      <x:c r="X216" s="20" t="str"/>
      <x:c r="Y216" s="20" t="str">
        <x:v>https://www.google.com/maps/search/?api=1&amp;query=%E0%B8%AD%E0%B8%B0%E0%B8%9F%E0%B8%B2%E0%B8%9F%20%E0%B8%AD%E0%B8%B2%E0%B8%AB%E0%B8%B2%E0%B8%A3%E0%B8%A1%E0%B8%B8%E0%B8%AA%E0%B8%A5%E0%B8%B4%E0%B8%A1%20%E0%B8%9E%E0%B8%A3%E0%B8%B0%E0%B8%99%E0%B8%84%E0%B8%A3%E0%B8%A8%E0%B8%A3%E0%B8%B5%E0%B8%AD%E0%B8%A2%E0%B8%B8%E0%B8%98%E0%B8%A2%E0%B8%B2</x:v>
      </x:c>
      <x:c r="Z216" s="56" t="n">
        <x:v>14.279564</x:v>
      </x:c>
      <x:c r="AA216" s="56" t="n">
        <x:v>100.80942</x:v>
      </x:c>
      <x:c r="AB216" s="57" t="str"/>
      <x:c r="AC216" s="20" t="str">
        <x:v>https://makanhalalguide.com/shop/detail/5820</x:v>
      </x:c>
    </x:row>
    <x:row r="217" ht="88" customHeight="1">
      <x:c r="A217" s="54" t="n">
        <x:v>209</x:v>
      </x:c>
      <x:c r="B217" s="20" t="str">
        <x:v>อะฟาฟ อาหารมุสลิม สาขาบ้านสวน 3</x:v>
      </x:c>
      <x:c r="C217" s="20" t="str">
        <x:v>พระนครศรีอยุธยา</x:v>
      </x:c>
      <x:c r="D217" s="20" t="str">
        <x:v>ร้านอาหาร</x:v>
      </x:c>
      <x:c r="E217" s="20" t="str">
        <x:v>Makan Verify; ช่องห้องละหมาดไม่ได้ทำเครื่องหมายว่ามี</x:v>
      </x:c>
      <x:c r="F217" s="20" t="str">
        <x:v>แหล่งเดิมไม่ระบุว่ามี</x:v>
      </x:c>
      <x:c r="G217" s="20" t="str">
        <x:v>ยังไม่พบเอกสารรับรองและวันหมดอายุ</x:v>
      </x:c>
      <x:c r="H217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17" s="20" t="str">
        <x:v>ตำบลสนับทึบ อำเภอวังน้อย จังหวัดพระนครศรีอยุธยา 13170</x:v>
      </x:c>
      <x:c r="J217" s="21" t="str">
        <x:v>0634388720</x:v>
      </x:c>
      <x:c r="K217" s="51" t="str">
        <x:v>https://makanhalalguide.com/shop/detail/6095</x:v>
      </x:c>
      <x:c r="L217" s="51" t="str">
        <x:v>https://www.wongnai.com/reviews/b306e02e27ca47b1a5c0108bb0bc43ef</x:v>
      </x:c>
      <x:c r="M217" s="20" t="str">
        <x:v>ผลค้นหาชื่อสัมพันธ์จากแหล่งเพิ่มเติม ต้องยืนยันสาขาและข้อมูลปัจจุบัน</x:v>
      </x:c>
      <x:c r="N217" s="28" t="n">
        <x:v>46315</x:v>
      </x:c>
      <x:c r="O217" s="57" t="str">
        <x:v>ยังไม่ตรวจ</x:v>
      </x:c>
      <x:c r="P217" s="57" t="str">
        <x:v>ยังไม่ติดต่อ</x:v>
      </x:c>
      <x:c r="Q217" s="20" t="str">
        <x:v>TMF-256</x:v>
      </x:c>
      <x:c r="R217" s="20" t="str"/>
      <x:c r="S217" s="20" t="str"/>
      <x:c r="T217" s="20" t="str">
        <x:v>https://makanhalalguide.com/shop/detail/6095</x:v>
      </x:c>
      <x:c r="U217" s="20" t="str"/>
      <x:c r="V217" s="20" t="str"/>
      <x:c r="W217" s="20" t="str"/>
      <x:c r="X217" s="20" t="str"/>
      <x:c r="Y217" s="20" t="str">
        <x:v>https://www.google.com/maps/search/?api=1&amp;query=%E0%B8%AD%E0%B8%B0%E0%B8%9F%E0%B8%B2%E0%B8%9F%20%E0%B8%AD%E0%B8%B2%E0%B8%AB%E0%B8%B2%E0%B8%A3%E0%B8%A1%E0%B8%B8%E0%B8%AA%E0%B8%A5%E0%B8%B4%E0%B8%A1%20%E0%B8%AA%E0%B8%B2%E0%B8%82%E0%B8%B2%E0%B8%9A%E0%B9%89%E0%B8%B2%E0%B8%99%E0%B8%AA%E0%B8%A7%E0%B8%99%203%20%E0%B8%9E%E0%B8%A3%E0%B8%B0%E0%B8%99%E0%B8%84%E0%B8%A3%E0%B8%A8%E0%B8%A3%E0%B8%B5%E0%B8%AD%E0%B8%A2%E0%B8%B8%E0%B8%98%E0%B8%A2%E0%B8%B2</x:v>
      </x:c>
      <x:c r="Z217" s="56" t="n">
        <x:v>14.288915</x:v>
      </x:c>
      <x:c r="AA217" s="56" t="n">
        <x:v>100.81937</x:v>
      </x:c>
      <x:c r="AB217" s="57" t="str"/>
      <x:c r="AC217" s="20" t="str">
        <x:v>https://makanhalalguide.com/shop/detail/6095</x:v>
      </x:c>
    </x:row>
    <x:row r="218" ht="88" customHeight="1">
      <x:c r="A218" s="54" t="n">
        <x:v>210</x:v>
      </x:c>
      <x:c r="B218" s="20" t="str">
        <x:v>โรตีสายไหม อาบีดีน-ประนอม แสงอรุณ สาขา 2</x:v>
      </x:c>
      <x:c r="C218" s="20" t="str">
        <x:v>พระนครศรีอยุธยา</x:v>
      </x:c>
      <x:c r="D218" s="20" t="str">
        <x:v>คาเฟ่และร้านของหวาน</x:v>
      </x:c>
      <x:c r="E218" s="20" t="str">
        <x:v>Makan Verify; ช่องห้องละหมาดไม่ได้ทำเครื่องหมายว่ามี</x:v>
      </x:c>
      <x:c r="F218" s="20" t="str">
        <x:v>แหล่งเดิมไม่ระบุว่ามี</x:v>
      </x:c>
      <x:c r="G218" s="20" t="str">
        <x:v>ยังไม่พบเอกสารรับรองและวันหมดอายุ</x:v>
      </x:c>
      <x:c r="H218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18" s="20" t="str">
        <x:v>จ 7/3 หมู่8 ต.ประตูชัย อ ถ. อู่ทอง อำเภอ พระนครศรีอยุธยา จังหวัดพระนครศรีอยุธยา 13000</x:v>
      </x:c>
      <x:c r="J218" s="21" t="str">
        <x:v>0879721372</x:v>
      </x:c>
      <x:c r="K218" s="51" t="str">
        <x:v>https://makanhalalguide.com/shop/detail/6361</x:v>
      </x:c>
      <x:c r="L218" s="51" t="str">
        <x:v>https://www.wongnai.com/reviews/409a0dfdb89549eb9a3c6bac70f0df73</x:v>
      </x:c>
      <x:c r="M218" s="20" t="str">
        <x:v>ผลค้นหาชื่อสัมพันธ์จากแหล่งเพิ่มเติม ต้องยืนยันสาขาและข้อมูลปัจจุบัน</x:v>
      </x:c>
      <x:c r="N218" s="28" t="n">
        <x:v>46315</x:v>
      </x:c>
      <x:c r="O218" s="57" t="str">
        <x:v>ยังไม่ตรวจ</x:v>
      </x:c>
      <x:c r="P218" s="57" t="str">
        <x:v>ยังไม่ติดต่อ</x:v>
      </x:c>
      <x:c r="Q218" s="20" t="str">
        <x:v>TMF-259</x:v>
      </x:c>
      <x:c r="R218" s="20" t="str"/>
      <x:c r="S218" s="20" t="str"/>
      <x:c r="T218" s="20" t="str">
        <x:v>https://makanhalalguide.com/shop/detail/6361</x:v>
      </x:c>
      <x:c r="U218" s="20" t="str"/>
      <x:c r="V218" s="20" t="str"/>
      <x:c r="W218" s="20" t="str"/>
      <x:c r="X218" s="20" t="str"/>
      <x:c r="Y218" s="20" t="str">
        <x:v>https://www.google.com/maps/search/?api=1&amp;query=%E0%B9%82%E0%B8%A3%E0%B8%95%E0%B8%B5%E0%B8%AA%E0%B8%B2%E0%B8%A2%E0%B9%84%E0%B8%AB%E0%B8%A1%20%E0%B8%AD%E0%B8%B2%E0%B8%9A%E0%B8%B5%E0%B8%94%E0%B8%B5%E0%B8%99-%E0%B8%9B%E0%B8%A3%E0%B8%B0%E0%B8%99%E0%B8%AD%E0%B8%A1%20%E0%B9%81%E0%B8%AA%E0%B8%87%E0%B8%AD%E0%B8%A3%E0%B8%B8%E0%B8%93%20%E0%B8%AA%E0%B8%B2%E0%B8%82%E0%B8%B2%202%20%E0%B8%9E%E0%B8%A3%E0%B8%B0%E0%B8%99%E0%B8%84%E0%B8%A3%E0%B8%A8%E0%B8%A3%E0%B8%B5%E0%B8%AD%E0%B8%A2%E0%B8%B8%E0%B8%98%E0%B8%A2%E0%B8%B2</x:v>
      </x:c>
      <x:c r="Z218" s="56" t="n">
        <x:v>14.347439</x:v>
      </x:c>
      <x:c r="AA218" s="56" t="n">
        <x:v>100.545028</x:v>
      </x:c>
      <x:c r="AB218" s="57" t="str"/>
      <x:c r="AC218" s="20" t="str">
        <x:v>https://makanhalalguide.com/shop/detail/6361</x:v>
      </x:c>
    </x:row>
    <x:row r="219" ht="88" customHeight="1">
      <x:c r="A219" s="54" t="n">
        <x:v>211</x:v>
      </x:c>
      <x:c r="B219" s="20" t="str">
        <x:v>ไก่ทอดหาดใหญ่ มูฮำหมัด อยุธยา สาขา 2 (ตรงข้ามวัดธรรมิกราช)</x:v>
      </x:c>
      <x:c r="C219" s="20" t="str">
        <x:v>พระนครศรีอยุธยา</x:v>
      </x:c>
      <x:c r="D219" s="20" t="str">
        <x:v>ร้านอาหาร</x:v>
      </x:c>
      <x:c r="E219" s="20" t="str">
        <x:v>Makan Verify; ช่องห้องละหมาดไม่ได้ทำเครื่องหมายว่ามี</x:v>
      </x:c>
      <x:c r="F219" s="20" t="str">
        <x:v>แหล่งเดิมไม่ระบุว่ามี</x:v>
      </x:c>
      <x:c r="G219" s="20" t="str">
        <x:v>ยังไม่พบเอกสารรับรองและวันหมดอายุ</x:v>
      </x:c>
      <x:c r="H219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19" s="20" t="str">
        <x:v>118 ถ. อู่ทอง ตพบลท่าวาสุกรี อำเภอ พระนครศรีอยุธยา จังหวัดพระนครศรีอยุธยา 13000 (ตรงข้ามวัดธรรมิกราช)</x:v>
      </x:c>
      <x:c r="J219" s="21" t="str">
        <x:v>0863445566</x:v>
      </x:c>
      <x:c r="K219" s="51" t="str">
        <x:v>https://makanhalalguide.com/shop/detail/5218</x:v>
      </x:c>
      <x:c r="L219" s="51" t="str">
        <x:v>https://www.wongnai.com/restaurants/3354563by-%E0%B9%84%E0%B8%81%E0%B9%88%E0%B8%97%E0%B8%AD%E0%B8%94%E0%B8%AB%E0%B8%B2%E0%B8%94%E0%B9%83%E0%B8%AB%E0%B8%8D%E0%B9%88-%E0%B8%A1%E0%B8%B9%E0%B8%AE%E0%B8%B3%E0%B8%AB%E0%B8%A1%E0%B8%B1%E0%B8%94-%E0%B8%AD%E0%B8%A2%E0%B8%B8%E0%B8%98%E0%B8%A2%E0%B8%B2-%E0%B8%95%E0%B8%A3%E0%B8%87%E0%B8%82%E0%B9%89%E0%B8%B2%E0%B8%A1%E0%B8%A7%E0%B8%B1%E0%B8%94%E0%B8%98%E0%B8%A3%E0%B8%A3%E0%B8%A1%E0%B8%B4%E0%B8%81%E0%B8%B2%E0%B8%A3%E0%B8%B2%E0%B8%8A</x:v>
      </x:c>
      <x:c r="M219" s="20" t="str">
        <x:v>ผลค้นหาชื่อสัมพันธ์จากแหล่งเพิ่มเติม ต้องยืนยันสาขาและข้อมูลปัจจุบัน</x:v>
      </x:c>
      <x:c r="N219" s="28" t="n">
        <x:v>46315</x:v>
      </x:c>
      <x:c r="O219" s="57" t="str">
        <x:v>ยังไม่ตรวจ</x:v>
      </x:c>
      <x:c r="P219" s="57" t="str">
        <x:v>ยังไม่ติดต่อ</x:v>
      </x:c>
      <x:c r="Q219" s="20" t="str">
        <x:v>TMF-260</x:v>
      </x:c>
      <x:c r="R219" s="20" t="str"/>
      <x:c r="S219" s="20" t="str"/>
      <x:c r="T219" s="20" t="str">
        <x:v>https://makanhalalguide.com/shop/detail/5218</x:v>
      </x:c>
      <x:c r="U219" s="20" t="str"/>
      <x:c r="V219" s="20" t="str"/>
      <x:c r="W219" s="20" t="str"/>
      <x:c r="X219" s="20" t="str"/>
      <x:c r="Y219" s="20" t="str">
        <x:v>https://www.google.com/maps/search/?api=1&amp;query=%E0%B9%84%E0%B8%81%E0%B9%88%E0%B8%97%E0%B8%AD%E0%B8%94%E0%B8%AB%E0%B8%B2%E0%B8%94%E0%B9%83%E0%B8%AB%E0%B8%8D%E0%B9%88%20%E0%B8%A1%E0%B8%B9%E0%B8%AE%E0%B8%B3%E0%B8%AB%E0%B8%A1%E0%B8%B1%E0%B8%94%20%E0%B8%AD%E0%B8%A2%E0%B8%B8%E0%B8%98%E0%B8%A2%E0%B8%B2%20%E0%B8%AA%E0%B8%B2%E0%B8%82%E0%B8%B2%202%20%28%E0%B8%95%E0%B8%A3%E0%B8%87%E0%B8%82%E0%B9%89%E0%B8%B2%E0%B8%A1%E0%B8%A7%E0%B8%B1%E0%B8%94%E0%B8%98%E0%B8%A3%E0%B8%A3%E0%B8%A1%E0%B8%B4%E0%B8%81%E0%B8%A3%E0%B8%B2%E0%B8%8A%29%20%E0%B8%9E%E0%B8%A3%E0%B8%B0%E0%B8%99%E0%B8%84%E0%B8%A3%E0%B8%A8%E0%B8%A3%E0%B8%B5%E0%B8%AD%E0%B8%A2%E0%B8%B8%E0%B8%98%E0%B8%A2%E0%B8%B2</x:v>
      </x:c>
      <x:c r="Z219" s="56" t="n">
        <x:v>14.360277</x:v>
      </x:c>
      <x:c r="AA219" s="56" t="n">
        <x:v>100.562003</x:v>
      </x:c>
      <x:c r="AB219" s="57" t="str"/>
      <x:c r="AC219" s="20" t="str">
        <x:v>https://makanhalalguide.com/shop/detail/5218</x:v>
      </x:c>
    </x:row>
    <x:row r="220" ht="88" customHeight="1">
      <x:c r="A220" s="54" t="n">
        <x:v>212</x:v>
      </x:c>
      <x:c r="B220" s="20" t="str">
        <x:v>ไก่ทอดหาดใหญ่ มูฮำหมัด-อยุธยา สาขา 1</x:v>
      </x:c>
      <x:c r="C220" s="20" t="str">
        <x:v>พระนครศรีอยุธยา</x:v>
      </x:c>
      <x:c r="D220" s="20" t="str">
        <x:v>ร้านอาหาร</x:v>
      </x:c>
      <x:c r="E220" s="20" t="str">
        <x:v>Makan Verify; ช่องห้องละหมาดไม่ได้ทำเครื่องหมายว่ามี</x:v>
      </x:c>
      <x:c r="F220" s="20" t="str">
        <x:v>แหล่งเดิมไม่ระบุว่ามี</x:v>
      </x:c>
      <x:c r="G220" s="20" t="str">
        <x:v>ยังไม่พบเอกสารรับรองและวันหมดอายุ</x:v>
      </x:c>
      <x:c r="H220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20" s="20" t="str">
        <x:v>ประตูชัย ตำบล ประตูชัย อำเภอ พระนครศรีอยุธยา จังหวัดพระนครศรีอยุธยา 13000</x:v>
      </x:c>
      <x:c r="J220" s="21" t="str">
        <x:v>0860282337</x:v>
      </x:c>
      <x:c r="K220" s="51" t="str">
        <x:v>https://makanhalalguide.com/shop/detail/5217</x:v>
      </x:c>
      <x:c r="L220" s="51" t="str">
        <x:v>https://restaurantguru.com/%E0%B8%A1%E0%B8%B9%E0%B8%AE%E0%B8%B3%E0%B8%AB%E0%B8%A1%E0%B8%B1%E0%B8%94-%E0%B9%84%E0%B8%81%E0%B9%88%E0%B8%97%E0%B8%AD%E0%B8%94%E0%B8%AA%E0%B8%B9%E0%B8%95%E0%B8%A3%E0%B8%AB%E0%B8%B2%E0%B8%94%E0%B9%83%E0%B8%AB%E0%B8%8D%E0%B9%88-%E0%B8%88%E0%B8%B2%E0%B8%81%E0%B8%9B%E0%B8%B2%E0%B8%87%E0%B8%8A%E0%B9%89%E0%B8%B2%E0%B8%87%E0%B8%AD%E0%B8%A2%E0%B8%B8%E0%B8%98%E0%B8%A2%E0%B8%B2-Phra-Nakhon-Si-Ayutthaya</x:v>
      </x:c>
      <x:c r="M220" s="20" t="str">
        <x:v>ผลค้นหาชื่อสัมพันธ์จากแหล่งเพิ่มเติม ต้องยืนยันสาขาและข้อมูลปัจจุบัน</x:v>
      </x:c>
      <x:c r="N220" s="28" t="n">
        <x:v>46315</x:v>
      </x:c>
      <x:c r="O220" s="57" t="str">
        <x:v>ยังไม่ตรวจ</x:v>
      </x:c>
      <x:c r="P220" s="57" t="str">
        <x:v>ยังไม่ติดต่อ</x:v>
      </x:c>
      <x:c r="Q220" s="20" t="str">
        <x:v>TMF-261</x:v>
      </x:c>
      <x:c r="R220" s="20" t="str"/>
      <x:c r="S220" s="20" t="str"/>
      <x:c r="T220" s="20" t="str">
        <x:v>https://makanhalalguide.com/shop/detail/5217</x:v>
      </x:c>
      <x:c r="U220" s="20" t="str"/>
      <x:c r="V220" s="20" t="str"/>
      <x:c r="W220" s="20" t="str"/>
      <x:c r="X220" s="20" t="str"/>
      <x:c r="Y220" s="20" t="str">
        <x:v>https://www.google.com/maps/search/?api=1&amp;query=%E0%B9%84%E0%B8%81%E0%B9%88%E0%B8%97%E0%B8%AD%E0%B8%94%E0%B8%AB%E0%B8%B2%E0%B8%94%E0%B9%83%E0%B8%AB%E0%B8%8D%E0%B9%88%20%E0%B8%A1%E0%B8%B9%E0%B8%AE%E0%B8%B3%E0%B8%AB%E0%B8%A1%E0%B8%B1%E0%B8%94-%E0%B8%AD%E0%B8%A2%E0%B8%B8%E0%B8%98%E0%B8%A2%E0%B8%B2%20%E0%B8%AA%E0%B8%B2%E0%B8%82%E0%B8%B2%201%20%E0%B8%9E%E0%B8%A3%E0%B8%B0%E0%B8%99%E0%B8%84%E0%B8%A3%E0%B8%A8%E0%B8%A3%E0%B8%B5%E0%B8%AD%E0%B8%A2%E0%B8%B8%E0%B8%98%E0%B8%A2%E0%B8%B2</x:v>
      </x:c>
      <x:c r="Z220" s="56" t="n">
        <x:v>14.340808</x:v>
      </x:c>
      <x:c r="AA220" s="56" t="n">
        <x:v>100.552228</x:v>
      </x:c>
      <x:c r="AB220" s="57" t="str"/>
      <x:c r="AC220" s="20" t="str">
        <x:v>https://makanhalalguide.com/shop/detail/5217</x:v>
      </x:c>
    </x:row>
    <x:row r="221" ht="88" customHeight="1">
      <x:c r="A221" s="54" t="n">
        <x:v>213</x:v>
      </x:c>
      <x:c r="B221" s="20" t="str">
        <x:v>Central Ayutthaya</x:v>
      </x:c>
      <x:c r="C221" s="20" t="str">
        <x:v>พระนครศรีอยุธยา</x:v>
      </x:c>
      <x:c r="D221" s="20" t="str">
        <x:v>การค้า</x:v>
      </x:c>
      <x:c r="E221" s="20" t="str">
        <x:v>พบข้อมูลชื่อตรงจาก Central Ayutthaya; เป็นหลักฐานตัวตน/ประเภท ยังไม่ยืนยันบริการมุสลิมครบเกณฑ์</x:v>
      </x:c>
      <x:c r="F221" s="20" t="str">
        <x:v>ไม่ทราบ</x:v>
      </x:c>
      <x:c r="G221" s="20" t="str">
        <x:v>ยังไม่ยืนยันใบรับรองและวันหมดอายุ</x:v>
      </x:c>
      <x:c r="H221" s="20" t="str">
        <x:v>ตรวจการเปิด ตัวตนสาขา ช่องทางติดต่อ และเงื่อนไขบังคับตามประเภท</x:v>
      </x:c>
      <x:c r="I221" s="20" t="str">
        <x:v>ยังไม่ยืนยันที่อยู่ละเอียด ดูลิงก์แหล่งข้อมูลและ Google Maps</x:v>
      </x:c>
      <x:c r="J221" s="21" t="str">
        <x:v>05952555</x:v>
      </x:c>
      <x:c r="K221" s="51" t="str">
        <x:v>https://www.centralayutthaya.com/en</x:v>
      </x:c>
      <x:c r="L221" s="51" t="str">
        <x:v>https://www.jetts.co.th/central-ayutthaya/</x:v>
      </x:c>
      <x:c r="M221" s="20" t="str">
        <x:v>พบแหล่งต่างเว็บไซต์ Central Ayutthaya - Jetts Thailand - Jetts 24 Hours Fitness</x:v>
      </x:c>
      <x:c r="N221" s="28" t="n">
        <x:v>46316</x:v>
      </x:c>
      <x:c r="O221" s="57" t="str">
        <x:v>ยังไม่ตรวจ</x:v>
      </x:c>
      <x:c r="P221" s="57" t="str">
        <x:v>ยังไม่ติดต่อ</x:v>
      </x:c>
      <x:c r="Q221" s="20" t="str">
        <x:v>R26-257</x:v>
      </x:c>
      <x:c r="R221" s="20" t="str">
        <x:v>Central Ayutthaya</x:v>
      </x:c>
      <x:c r="S221" s="20" t="str">
        <x:v>prom.AYY@centralpattana.co.th</x:v>
      </x:c>
      <x:c r="T221" s="20" t="str">
        <x:v>https://www.centralayutthaya.com/en</x:v>
      </x:c>
      <x:c r="U221" s="20" t="str">
        <x:v>https://www.facebook.com/CentralAyutthaya</x:v>
      </x:c>
      <x:c r="V221" s="20" t="str">
        <x:v>https://www.instagram.com/Central_Ayutthaya</x:v>
      </x:c>
      <x:c r="W221" s="20" t="str"/>
      <x:c r="X221" s="20" t="str">
        <x:v>https://www.tiktok.com/@central_ayutthaya</x:v>
      </x:c>
      <x:c r="Y221" s="20" t="str">
        <x:v>https://www.google.com/maps/search/?api=1&amp;query=Central%20Ayutthaya%20%E0%B8%9E%E0%B8%A3%E0%B8%B0%E0%B8%99%E0%B8%84%E0%B8%A3%E0%B8%A8%E0%B8%A3%E0%B8%B5%E0%B8%AD%E0%B8%A2%E0%B8%B8%E0%B8%98%E0%B8%A2%E0%B8%B2</x:v>
      </x:c>
      <x:c r="Z221" s="56" t="n">
        <x:v>14.331633</x:v>
      </x:c>
      <x:c r="AA221" s="56" t="n">
        <x:v>100.60939</x:v>
      </x:c>
      <x:c r="AB221" s="57" t="str"/>
      <x:c r="AC221" s="20" t="str">
        <x:v>https://www.centralayutthaya.com/en</x:v>
      </x:c>
    </x:row>
    <x:row r="222" ht="88" customHeight="1">
      <x:c r="A222" s="54" t="n">
        <x:v>214</x:v>
      </x:c>
      <x:c r="B222" s="20" t="str">
        <x:v>ศูนย์ศึกษาประวัติศาสตร์อยุธยา</x:v>
      </x:c>
      <x:c r="C222" s="20" t="str">
        <x:v>พระนครศรีอยุธยา</x:v>
      </x:c>
      <x:c r="D222" s="20" t="str">
        <x:v>พิพิธภัณฑ์และศูนย์เรียนรู้</x:v>
      </x:c>
      <x:c r="E222" s="20" t="str">
        <x:v>ฐานข้อมูลกระทรวงการท่องเที่ยวฯ ระบุแหล่งเรียนรู้ประวัติศาสตร์ ต้องจัดข้อมูลร้านฮาลาลและจุดละหมาด</x:v>
      </x:c>
      <x:c r="F222" s="20" t="str">
        <x:v>ไม่ทราบ</x:v>
      </x:c>
      <x:c r="G222" s="20" t="str">
        <x:v>ยังไม่พบเอกสารรับรองและวันหมดอายุ</x:v>
      </x:c>
      <x:c r="H222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222" s="20" t="str">
        <x:v>ยังไม่ยืนยันที่อยู่ละเอียด ดูลิงก์แหล่งข้อมูลและ Google Maps</x:v>
      </x:c>
      <x:c r="J222" s="21" t="str">
        <x:v>ยังไม่พบหรือยังไม่ยืนยัน</x:v>
      </x:c>
      <x:c r="K222" s="51" t="str">
        <x:v>https://www.thailandtourismdirectory.go.th/en/attraction/1467</x:v>
      </x:c>
      <x:c r="L222" s="51" t="str">
        <x:v>https://th.tripadvisor.com/Attraction_Review-g303897-d2146207-Reviews-Ayutthaya_Historical_Study_Centre-Ayutthaya_Ayutthaya_Province.html</x:v>
      </x:c>
      <x:c r="M222" s="20" t="str">
        <x:v>ผลค้นหาชื่อสัมพันธ์จากแหล่งเพิ่มเติม ต้องยืนยันสาขาและข้อมูลปัจจุบัน</x:v>
      </x:c>
      <x:c r="N222" s="28" t="n">
        <x:v>46315</x:v>
      </x:c>
      <x:c r="O222" s="57" t="str">
        <x:v>ยังไม่ตรวจ</x:v>
      </x:c>
      <x:c r="P222" s="57" t="str">
        <x:v>ยังไม่ติดต่อ</x:v>
      </x:c>
      <x:c r="Q222" s="20" t="str">
        <x:v>TMF-440</x:v>
      </x:c>
      <x:c r="R222" s="20" t="str"/>
      <x:c r="S222" s="20" t="str"/>
      <x:c r="T222" s="20" t="str">
        <x:v>https://www.thailandtourismdirectory.go.th/en/attraction/1467</x:v>
      </x:c>
      <x:c r="U222" s="20" t="str"/>
      <x:c r="V222" s="20" t="str"/>
      <x:c r="W222" s="20" t="str"/>
      <x:c r="X222" s="20" t="str"/>
      <x:c r="Y222" s="20" t="str">
        <x:v>https://www.google.com/maps/search/?api=1&amp;query=%E0%B8%A8%E0%B8%B9%E0%B8%99%E0%B8%A2%E0%B9%8C%E0%B8%A8%E0%B8%B6%E0%B8%81%E0%B8%A9%E0%B8%B2%E0%B8%9B%E0%B8%A3%E0%B8%B0%E0%B8%A7%E0%B8%B1%E0%B8%95%E0%B8%B4%E0%B8%A8%E0%B8%B2%E0%B8%AA%E0%B8%95%E0%B8%A3%E0%B9%8C%E0%B8%AD%E0%B8%A2%E0%B8%B8%E0%B8%98%E0%B8%A2%E0%B8%B2%20%E0%B8%9E%E0%B8%A3%E0%B8%B0%E0%B8%99%E0%B8%84%E0%B8%A3%E0%B8%A8%E0%B8%A3%E0%B8%B5%E0%B8%AD%E0%B8%A2%E0%B8%B8%E0%B8%98%E0%B8%A2%E0%B8%B2</x:v>
      </x:c>
      <x:c r="Z222" s="56" t="n">
        <x:v>14.349497</x:v>
      </x:c>
      <x:c r="AA222" s="56" t="n">
        <x:v>100.565676</x:v>
      </x:c>
      <x:c r="AB222" s="57" t="str"/>
      <x:c r="AC222" s="20" t="str">
        <x:v>https://www.thailandtourismdirectory.go.th/en/attraction/1467</x:v>
      </x:c>
    </x:row>
    <x:row r="223" ht="88" customHeight="1">
      <x:c r="A223" s="54" t="n">
        <x:v>215</x:v>
      </x:c>
      <x:c r="B223" s="20" t="str">
        <x:v>ตลาดน้ำอโยธยา</x:v>
      </x:c>
      <x:c r="C223" s="20" t="str">
        <x:v>พระนครศรีอยุธยา</x:v>
      </x:c>
      <x:c r="D223" s="20" t="str">
        <x:v>กิจกรรม</x:v>
      </x:c>
      <x:c r="E223" s="20" t="str">
        <x:v>พบข้อมูลชื่อตรงจาก ตลาดน้ำอโยธยา; เป็นหลักฐานตัวตน/ประเภท ยังไม่ยืนยันบริการมุสลิมครบเกณฑ์</x:v>
      </x:c>
      <x:c r="F223" s="20" t="str">
        <x:v>ไม่ทราบ</x:v>
      </x:c>
      <x:c r="G223" s="20" t="str">
        <x:v>ยังไม่ยืนยันใบรับรองและวันหมดอายุ</x:v>
      </x:c>
      <x:c r="H223" s="20" t="str">
        <x:v>ตรวจการเปิด ตัวตนสาขา ช่องทางติดต่อ และเงื่อนไขบังคับตามประเภท</x:v>
      </x:c>
      <x:c r="I223" s="20" t="str">
        <x:v>ยังไม่ยืนยันที่อยู่ละเอียด ดูลิงก์แหล่งข้อมูลและ Google Maps</x:v>
      </x:c>
      <x:c r="J223" s="21" t="str">
        <x:v>ยังไม่พบหรือยังไม่ยืนยัน</x:v>
      </x:c>
      <x:c r="K223" s="51" t="str">
        <x:v>https://news.ayutthaya.go.th/travel/detail/70</x:v>
      </x:c>
      <x:c r="L223" s="51" t="str">
        <x:v>https://www.ayothayafloatingmarket.in.th/</x:v>
      </x:c>
      <x:c r="M223" s="20" t="str">
        <x:v>พบแหล่งต่างเว็บไซต์ ตลาดน้ำอโยธยา</x:v>
      </x:c>
      <x:c r="N223" s="28" t="n">
        <x:v>46316</x:v>
      </x:c>
      <x:c r="O223" s="57" t="str">
        <x:v>ยังไม่ตรวจ</x:v>
      </x:c>
      <x:c r="P223" s="57" t="str">
        <x:v>ยังไม่ติดต่อ</x:v>
      </x:c>
      <x:c r="Q223" s="20" t="str">
        <x:v>R26-327</x:v>
      </x:c>
      <x:c r="R223" s="20" t="str"/>
      <x:c r="S223" s="20" t="str"/>
      <x:c r="T223" s="20" t="str">
        <x:v>https://news.ayutthaya.go.th/travel/detail/70</x:v>
      </x:c>
      <x:c r="U223" s="20" t="str"/>
      <x:c r="V223" s="20" t="str"/>
      <x:c r="W223" s="20" t="str"/>
      <x:c r="X223" s="20" t="str"/>
      <x:c r="Y223" s="20" t="str">
        <x:v>https://www.google.com/maps/search/?api=1&amp;query=%E0%B8%95%E0%B8%A5%E0%B8%B2%E0%B8%94%E0%B8%99%E0%B9%89%E0%B8%B3%E0%B8%AD%E0%B9%82%E0%B8%A2%E0%B8%98%E0%B8%A2%E0%B8%B2%20%E0%B8%9E%E0%B8%A3%E0%B8%B0%E0%B8%99%E0%B8%84%E0%B8%A3%E0%B8%A8%E0%B8%A3%E0%B8%B5%E0%B8%AD%E0%B8%A2%E0%B8%B8%E0%B8%98%E0%B8%A2%E0%B8%B2</x:v>
      </x:c>
      <x:c r="Z223" s="56" t="n">
        <x:v>14.359034</x:v>
      </x:c>
      <x:c r="AA223" s="56" t="n">
        <x:v>100.587262</x:v>
      </x:c>
      <x:c r="AB223" s="57" t="str"/>
      <x:c r="AC223" s="20" t="str">
        <x:v>https://news.ayutthaya.go.th/travel/detail/70</x:v>
      </x:c>
    </x:row>
    <x:row r="224" ht="88" customHeight="1">
      <x:c r="A224" s="54" t="n">
        <x:v>216</x:v>
      </x:c>
      <x:c r="B224" s="20" t="str">
        <x:v>Sai Tharn Iyara Resort</x:v>
      </x:c>
      <x:c r="C224" s="20" t="str">
        <x:v>กาญจนบุรี</x:v>
      </x:c>
      <x:c r="D224" s="20" t="str">
        <x:v>ที่พัก</x:v>
      </x:c>
      <x:c r="E224" s="20" t="str">
        <x:v>พบข้อมูลชื่อตรงจาก Saitharniyara Resort – สายธารไอยรารีสอร์ท ไทรโยค กาญจนบุรี; เป็นหลักฐานตัวตน/ประเภท ยังไม่ยืนยันบริการมุสลิมครบเกณฑ์</x:v>
      </x:c>
      <x:c r="F224" s="20" t="str">
        <x:v>ไม่ทราบ</x:v>
      </x:c>
      <x:c r="G224" s="20" t="str">
        <x:v>ยังไม่ยืนยันใบรับรองและวันหมดอายุ</x:v>
      </x:c>
      <x:c r="H224" s="20" t="str">
        <x:v>ตรวจการเปิด ตัวตนสาขา ช่องทางติดต่อ และเงื่อนไขบังคับตามประเภท</x:v>
      </x:c>
      <x:c r="I224" s="20" t="str">
        <x:v>ยังไม่ยืนยันที่อยู่ละเอียด ดูลิงก์แหล่งข้อมูลและ Google Maps</x:v>
      </x:c>
      <x:c r="J224" s="21" t="str">
        <x:v>ยังไม่พบหรือยังไม่ยืนยัน</x:v>
      </x:c>
      <x:c r="K224" s="51" t="str">
        <x:v>https://saitharniyararesort.com/</x:v>
      </x:c>
      <x:c r="L224" s="51" t="str">
        <x:v>https://www.booking.com/hotel/th/saitharn-iyara-resort.html</x:v>
      </x:c>
      <x:c r="M224" s="20" t="str">
        <x:v>พบแหล่งต่างเว็บไซต์ Saitharn Iyara Resort, Sai Yok (updated prices)</x:v>
      </x:c>
      <x:c r="N224" s="28" t="n">
        <x:v>46316</x:v>
      </x:c>
      <x:c r="O224" s="57" t="str">
        <x:v>ยังไม่ตรวจ</x:v>
      </x:c>
      <x:c r="P224" s="57" t="str">
        <x:v>ยังไม่ติดต่อ</x:v>
      </x:c>
      <x:c r="Q224" s="20" t="str">
        <x:v>R26-049</x:v>
      </x:c>
      <x:c r="R224" s="20" t="str">
        <x:v>Sai Tharn Iyara Resort</x:v>
      </x:c>
      <x:c r="S224" s="20" t="str"/>
      <x:c r="T224" s="20" t="str">
        <x:v>https://saitharniyararesort.com/</x:v>
      </x:c>
      <x:c r="U224" s="20" t="str"/>
      <x:c r="V224" s="20" t="str"/>
      <x:c r="W224" s="20" t="str">
        <x:v>https://page.line.me/qxr9260p</x:v>
      </x:c>
      <x:c r="X224" s="20" t="str"/>
      <x:c r="Y224" s="20" t="str">
        <x:v>https://www.google.com/maps/search/?api=1&amp;query=Sai%20Tharn%20Iyara%20Resort%20%E0%B8%81%E0%B8%B2%E0%B8%8D%E0%B8%88%E0%B8%99%E0%B8%9A%E0%B8%B8%E0%B8%A3%E0%B8%B5</x:v>
      </x:c>
      <x:c r="Z224" s="56" t="str"/>
      <x:c r="AA224" s="56" t="str"/>
      <x:c r="AB224" s="57" t="str"/>
      <x:c r="AC224" s="20" t="str">
        <x:v>https://saitharniyararesort.com/</x:v>
      </x:c>
    </x:row>
    <x:row r="225" ht="88" customHeight="1">
      <x:c r="A225" s="54" t="n">
        <x:v>217</x:v>
      </x:c>
      <x:c r="B225" s="20" t="str">
        <x:v>ครัวซุเบรฟาร์ม อาหารอิสลาม</x:v>
      </x:c>
      <x:c r="C225" s="20" t="str">
        <x:v>กาญจนบุรี</x:v>
      </x:c>
      <x:c r="D225" s="20" t="str">
        <x:v>อาหาร</x:v>
      </x:c>
      <x:c r="E225" s="20" t="str">
        <x:v>พบข้อมูลชื่อตรงจาก ครัวซุเบรฟาร์ม อาหารอิสลาม[ครัวซุเบรฟาร์ม อาหารอิสลาม]; เป็นหลักฐานตัวตน/ประเภท ยังไม่ยืนยันบริการมุสลิมครบเกณฑ์</x:v>
      </x:c>
      <x:c r="F225" s="20" t="str">
        <x:v>ไม่ทราบ</x:v>
      </x:c>
      <x:c r="G225" s="20" t="str">
        <x:v>ยังไม่ยืนยันใบรับรองและวันหมดอายุ</x:v>
      </x:c>
      <x:c r="H225" s="20" t="str">
        <x:v>ตรวจการเปิด ตัวตนสาขา ช่องทางติดต่อ และเงื่อนไขบังคับตามประเภท</x:v>
      </x:c>
      <x:c r="I225" s="20" t="str">
        <x:v>ยังไม่ยืนยันที่อยู่ละเอียด ดูลิงก์แหล่งข้อมูลและ Google Maps</x:v>
      </x:c>
      <x:c r="J225" s="21" t="str">
        <x:v>ยังไม่พบหรือยังไม่ยืนยัน</x:v>
      </x:c>
      <x:c r="K225" s="51" t="str">
        <x:v>https://www.ryoiireview.com/restaurant/view/14916</x:v>
      </x:c>
      <x:c r="L225" s="51" t="str">
        <x:v>https://www.wongnai.com/delivery/businesses/1054260Dd/order</x:v>
      </x:c>
      <x:c r="M225" s="20" t="str">
        <x:v>พบแหล่งต่างเว็บไซต์ ครัวซุเบรฟาร์ม อาหารอิสลาม - สั่งอาหารเดลิเวอรี | Wongnai x LINE MAN</x:v>
      </x:c>
      <x:c r="N225" s="28" t="n">
        <x:v>46316</x:v>
      </x:c>
      <x:c r="O225" s="57" t="str">
        <x:v>ยังไม่ตรวจ</x:v>
      </x:c>
      <x:c r="P225" s="57" t="str">
        <x:v>ยังไม่ติดต่อ</x:v>
      </x:c>
      <x:c r="Q225" s="20" t="str">
        <x:v>R26-047</x:v>
      </x:c>
      <x:c r="R225" s="20" t="str"/>
      <x:c r="S225" s="20" t="str"/>
      <x:c r="T225" s="20" t="str">
        <x:v>https://www.ryoiireview.com/restaurant/view/14916</x:v>
      </x:c>
      <x:c r="U225" s="20" t="str"/>
      <x:c r="V225" s="20" t="str"/>
      <x:c r="W225" s="20" t="str"/>
      <x:c r="X225" s="20" t="str"/>
      <x:c r="Y225" s="20" t="str">
        <x:v>https://www.google.com/maps/search/?api=1&amp;query=%E0%B8%84%E0%B8%A3%E0%B8%B1%E0%B8%A7%E0%B8%8B%E0%B8%B8%E0%B9%80%E0%B8%9A%E0%B8%A3%E0%B8%9F%E0%B8%B2%E0%B8%A3%E0%B9%8C%E0%B8%A1%20%E0%B8%AD%E0%B8%B2%E0%B8%AB%E0%B8%B2%E0%B8%A3%E0%B8%AD%E0%B8%B4%E0%B8%AA%E0%B8%A5%E0%B8%B2%E0%B8%A1%20%E0%B8%81%E0%B8%B2%E0%B8%8D%E0%B8%88%E0%B8%99%E0%B8%9A%E0%B8%B8%E0%B8%A3%E0%B8%B5</x:v>
      </x:c>
      <x:c r="Z225" s="56" t="str"/>
      <x:c r="AA225" s="56" t="str"/>
      <x:c r="AB225" s="57" t="str"/>
      <x:c r="AC225" s="20" t="str">
        <x:v>https://www.ryoiireview.com/restaurant/view/14916</x:v>
      </x:c>
    </x:row>
    <x:row r="226" ht="88" customHeight="1">
      <x:c r="A226" s="54" t="n">
        <x:v>218</x:v>
      </x:c>
      <x:c r="B226" s="20" t="str">
        <x:v>น้ำตกเอราวัณ</x:v>
      </x:c>
      <x:c r="C226" s="20" t="str">
        <x:v>กาญจนบุรี</x:v>
      </x:c>
      <x:c r="D226" s="20" t="str">
        <x:v>น้ำตกในอุทยานแห่งชาติ</x:v>
      </x:c>
      <x:c r="E226" s="20" t="str">
        <x:v>ททท. ระบุแหล่งท่องเที่ยวในกาญจนบุรี ยังต้องยืนยันร้านฮาลาลและจุดละหมาดที่เข้าถึงได้จริง</x:v>
      </x:c>
      <x:c r="F226" s="20" t="str">
        <x:v>ไม่ทราบ</x:v>
      </x:c>
      <x:c r="G226" s="20" t="str">
        <x:v>ยังไม่พบเอกสารรับรองและวันหมดอายุ</x:v>
      </x:c>
      <x:c r="H226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226" s="20" t="str">
        <x:v>ยังไม่ยืนยันที่อยู่ละเอียด ดูลิงก์แหล่งข้อมูลและ Google Maps</x:v>
      </x:c>
      <x:c r="J226" s="21" t="str">
        <x:v>ยังไม่พบหรือยังไม่ยืนยัน</x:v>
      </x:c>
      <x:c r="K226" s="51" t="str">
        <x:v>https://www.tourismthailand.org/Attraction/erawan-waterfall</x:v>
      </x:c>
      <x:c r="L226" s="51" t="str">
        <x:v>https://th.trip.com/travel-guide/attraction/si-sawat/erawan-falls-23914248/?curr=THB&amp;locale=th-TH</x:v>
      </x:c>
      <x:c r="M226" s="20" t="str">
        <x:v>ผลค้นหาชื่อสัมพันธ์จากแหล่งเพิ่มเติม ต้องยืนยันสาขาและข้อมูลปัจจุบัน</x:v>
      </x:c>
      <x:c r="N226" s="28" t="n">
        <x:v>46316</x:v>
      </x:c>
      <x:c r="O226" s="57" t="str">
        <x:v>ยังไม่ตรวจ</x:v>
      </x:c>
      <x:c r="P226" s="57" t="str">
        <x:v>ยังไม่ติดต่อ</x:v>
      </x:c>
      <x:c r="Q226" s="20" t="str">
        <x:v>TMF-443</x:v>
      </x:c>
      <x:c r="R226" s="20" t="str"/>
      <x:c r="S226" s="20" t="str"/>
      <x:c r="T226" s="20" t="str">
        <x:v>https://www.tourismthailand.org/Attraction/erawan-waterfall</x:v>
      </x:c>
      <x:c r="U226" s="20" t="str"/>
      <x:c r="V226" s="20" t="str"/>
      <x:c r="W226" s="20" t="str"/>
      <x:c r="X226" s="20" t="str"/>
      <x:c r="Y226" s="20" t="str">
        <x:v>https://www.google.com/maps/search/?api=1&amp;query=%E0%B8%99%E0%B9%89%E0%B8%B3%E0%B8%95%E0%B8%81%E0%B9%80%E0%B8%AD%E0%B8%A3%E0%B8%B2%E0%B8%A7%E0%B8%B1%E0%B8%93%20%E0%B8%81%E0%B8%B2%E0%B8%8D%E0%B8%88%E0%B8%99%E0%B8%9A%E0%B8%B8%E0%B8%A3%E0%B8%B5</x:v>
      </x:c>
      <x:c r="Z226" s="56" t="n">
        <x:v>14.368287</x:v>
      </x:c>
      <x:c r="AA226" s="56" t="n">
        <x:v>99.144297</x:v>
      </x:c>
      <x:c r="AB226" s="57" t="str"/>
      <x:c r="AC226" s="20" t="str">
        <x:v>https://www.tourismthailand.org/Attraction/erawan-waterfall</x:v>
      </x:c>
    </x:row>
    <x:row r="227" ht="88" customHeight="1">
      <x:c r="A227" s="54" t="n">
        <x:v>219</x:v>
      </x:c>
      <x:c r="B227" s="20" t="str">
        <x:v>สะพานข้ามแม่น้ำแคว</x:v>
      </x:c>
      <x:c r="C227" s="20" t="str">
        <x:v>กาญจนบุรี</x:v>
      </x:c>
      <x:c r="D227" s="20" t="str">
        <x:v>ประวัติ</x:v>
      </x:c>
      <x:c r="E227" s="20" t="str">
        <x:v>พบข้อมูลชื่อตรงจาก สะพานข้ามแม่น้ำแคว - สำนักงานการท่องเที่ยวและกีฬาจังหวัดกาญจนบุรี; เป็นหลักฐานตัวตน/ประเภท ยังไม่ยืนยันบริการมุสลิมครบเกณฑ์</x:v>
      </x:c>
      <x:c r="F227" s="20" t="str">
        <x:v>ไม่ทราบ</x:v>
      </x:c>
      <x:c r="G227" s="20" t="str">
        <x:v>ยังไม่ยืนยันใบรับรองและวันหมดอายุ</x:v>
      </x:c>
      <x:c r="H227" s="20" t="str">
        <x:v>ตรวจการเปิด ตัวตนสาขา ช่องทางติดต่อ และเงื่อนไขบังคับตามประเภท</x:v>
      </x:c>
      <x:c r="I227" s="20" t="str">
        <x:v>ยังไม่ยืนยันที่อยู่ละเอียด ดูลิงก์แหล่งข้อมูลและ Google Maps</x:v>
      </x:c>
      <x:c r="J227" s="21" t="str">
        <x:v>ยังไม่พบหรือยังไม่ยืนยัน</x:v>
      </x:c>
      <x:c r="K227" s="51" t="str">
        <x:v>https://kanchanaburi.mots.go.th/news/410</x:v>
      </x:c>
      <x:c r="L227" s="51" t="str">
        <x:v>https://ww2.kanchanaburi.go.th/travel_top/detail/8</x:v>
      </x:c>
      <x:c r="M227" s="20" t="str">
        <x:v>พบแหล่งต่างเว็บไซต์ สะพานข้ามแม่น้ำแคว</x:v>
      </x:c>
      <x:c r="N227" s="28" t="n">
        <x:v>46316</x:v>
      </x:c>
      <x:c r="O227" s="57" t="str">
        <x:v>ยังไม่ตรวจ</x:v>
      </x:c>
      <x:c r="P227" s="57" t="str">
        <x:v>ยังไม่ติดต่อ</x:v>
      </x:c>
      <x:c r="Q227" s="20" t="str">
        <x:v>R26-046</x:v>
      </x:c>
      <x:c r="R227" s="20" t="str"/>
      <x:c r="S227" s="20" t="str"/>
      <x:c r="T227" s="20" t="str">
        <x:v>https://kanchanaburi.mots.go.th/news/410</x:v>
      </x:c>
      <x:c r="U227" s="20" t="str"/>
      <x:c r="V227" s="20" t="str"/>
      <x:c r="W227" s="20" t="str"/>
      <x:c r="X227" s="20" t="str"/>
      <x:c r="Y227" s="20" t="str">
        <x:v>https://www.google.com/maps/search/?api=1&amp;query=%E0%B8%AA%E0%B8%B0%E0%B8%9E%E0%B8%B2%E0%B8%99%E0%B8%82%E0%B9%89%E0%B8%B2%E0%B8%A1%E0%B9%81%E0%B8%A1%E0%B9%88%E0%B8%99%E0%B9%89%E0%B8%B3%E0%B9%81%E0%B8%84%E0%B8%A7%20%E0%B8%81%E0%B8%B2%E0%B8%8D%E0%B8%88%E0%B8%99%E0%B8%9A%E0%B8%B8%E0%B8%A3%E0%B8%B5</x:v>
      </x:c>
      <x:c r="Z227" s="56" t="n">
        <x:v>14.041799</x:v>
      </x:c>
      <x:c r="AA227" s="56" t="n">
        <x:v>99.504081</x:v>
      </x:c>
      <x:c r="AB227" s="57" t="str"/>
      <x:c r="AC227" s="20" t="str">
        <x:v>https://kanchanaburi.mots.go.th/news/410</x:v>
      </x:c>
    </x:row>
    <x:row r="228" ht="88" customHeight="1">
      <x:c r="A228" s="54" t="n">
        <x:v>220</x:v>
      </x:c>
      <x:c r="B228" s="20" t="str">
        <x:v>ปางช้างไทรโยค</x:v>
      </x:c>
      <x:c r="C228" s="20" t="str">
        <x:v>กาญจนบุรี</x:v>
      </x:c>
      <x:c r="D228" s="20" t="str">
        <x:v>กิจกรรม</x:v>
      </x:c>
      <x:c r="E228" s="20" t="str">
        <x:v>พบข้อมูลชื่อตรงจาก ปางช้างไทรโยค | CBT Thailand; เป็นหลักฐานตัวตน/ประเภท ยังไม่ยืนยันบริการมุสลิมครบเกณฑ์</x:v>
      </x:c>
      <x:c r="F228" s="20" t="str">
        <x:v>ไม่ทราบ</x:v>
      </x:c>
      <x:c r="G228" s="20" t="str">
        <x:v>ยังไม่ยืนยันใบรับรองและวันหมดอายุ</x:v>
      </x:c>
      <x:c r="H228" s="20" t="str">
        <x:v>ตรวจการเปิด ตัวตนสาขา ช่องทางติดต่อ และเงื่อนไขบังคับตามประเภท</x:v>
      </x:c>
      <x:c r="I228" s="20" t="str">
        <x:v>ยังไม่ยืนยันที่อยู่ละเอียด ดูลิงก์แหล่งข้อมูลและ Google Maps</x:v>
      </x:c>
      <x:c r="J228" s="21" t="str">
        <x:v>ยังไม่พบหรือยังไม่ยืนยัน</x:v>
      </x:c>
      <x:c r="K228" s="51" t="str">
        <x:v>https://cbtthailand.dasta.or.th/webapp/relattraction/content/3837/</x:v>
      </x:c>
      <x:c r="L228" s="51" t="str">
        <x:v>https://www.youtube.com/watch?v=8ri-91EjMOM</x:v>
      </x:c>
      <x:c r="M228" s="20" t="str">
        <x:v>พบแหล่งต่างเว็บไซต์ ปางช้างไทรโยค กาญจนบุรี | Sai Yok Elephant Haven, Kanchanaburi, Thailand | Nok Scots Life - YouTube</x:v>
      </x:c>
      <x:c r="N228" s="28" t="n">
        <x:v>46316</x:v>
      </x:c>
      <x:c r="O228" s="57" t="str">
        <x:v>ยังไม่ตรวจ</x:v>
      </x:c>
      <x:c r="P228" s="57" t="str">
        <x:v>ยังไม่ติดต่อ</x:v>
      </x:c>
      <x:c r="Q228" s="20" t="str">
        <x:v>R26-050</x:v>
      </x:c>
      <x:c r="R228" s="20" t="str"/>
      <x:c r="S228" s="20" t="str"/>
      <x:c r="T228" s="20" t="str">
        <x:v>https://cbtthailand.dasta.or.th/webapp/relattraction/content/3837/</x:v>
      </x:c>
      <x:c r="U228" s="20" t="str"/>
      <x:c r="V228" s="20" t="str"/>
      <x:c r="W228" s="20" t="str"/>
      <x:c r="X228" s="20" t="str"/>
      <x:c r="Y228" s="20" t="str">
        <x:v>https://www.google.com/maps/search/?api=1&amp;query=%E0%B8%9B%E0%B8%B2%E0%B8%87%E0%B8%8A%E0%B9%89%E0%B8%B2%E0%B8%87%E0%B9%84%E0%B8%97%E0%B8%A3%E0%B9%82%E0%B8%A2%E0%B8%84%20%E0%B8%81%E0%B8%B2%E0%B8%8D%E0%B8%88%E0%B8%99%E0%B8%9A%E0%B8%B8%E0%B8%A3%E0%B8%B5</x:v>
      </x:c>
      <x:c r="Z228" s="56" t="str"/>
      <x:c r="AA228" s="56" t="str"/>
      <x:c r="AB228" s="57" t="str"/>
      <x:c r="AC228" s="20" t="str">
        <x:v>https://cbtthailand.dasta.or.th/webapp/relattraction/content/3837/</x:v>
      </x:c>
    </x:row>
    <x:row r="229" ht="88" customHeight="1">
      <x:c r="A229" s="54" t="n">
        <x:v>221</x:v>
      </x:c>
      <x:c r="B229" s="20" t="str">
        <x:v>Felix River Kwai Resort</x:v>
      </x:c>
      <x:c r="C229" s="20" t="str">
        <x:v>กาญจนบุรี</x:v>
      </x:c>
      <x:c r="D229" s="20" t="str">
        <x:v>ที่พัก</x:v>
      </x:c>
      <x:c r="E229" s="20" t="str">
        <x:v>พบข้อมูลชื่อตรงจาก FAQ Kanchanaburi Resort - felix river kwai resort kanchanaburi situated on the peaceful south bank of Kwai River; เป็นหลักฐานตัวตน/ประเภท ยังไม่ยืนยันบริการมุสลิมครบเกณฑ์</x:v>
      </x:c>
      <x:c r="F229" s="20" t="str">
        <x:v>ไม่ทราบ</x:v>
      </x:c>
      <x:c r="G229" s="20" t="str">
        <x:v>ยังไม่ยืนยันใบรับรองและวันหมดอายุ</x:v>
      </x:c>
      <x:c r="H229" s="20" t="str">
        <x:v>ตรวจการเปิด ตัวตนสาขา ช่องทางติดต่อ และเงื่อนไขบังคับตามประเภท</x:v>
      </x:c>
      <x:c r="I229" s="20" t="str">
        <x:v>ยังไม่ยืนยันที่อยู่ละเอียด ดูลิงก์แหล่งข้อมูลและ Google Maps</x:v>
      </x:c>
      <x:c r="J229" s="21" t="str">
        <x:v>ยังไม่พบหรือยังไม่ยืนยัน</x:v>
      </x:c>
      <x:c r="K229" s="51" t="str">
        <x:v>https://www.felixriverkwai.com/faq/</x:v>
      </x:c>
      <x:c r="L229" s="51" t="str">
        <x:v>https://www.youtube.com/watch?v=XexEl1Zzdj8</x:v>
      </x:c>
      <x:c r="M229" s="20" t="str">
        <x:v>พบแหล่งต่างเว็บไซต์ ไปไหน​มา​ไหน​ : รีวิว​ที่พัก​กาญจนบุรี​ Felix​ river​ ​kwai​ resort​ใกล้สะพานข้าม​แม่​นำ​้​แคว​ EP3 - YouTube</x:v>
      </x:c>
      <x:c r="N229" s="28" t="n">
        <x:v>46316</x:v>
      </x:c>
      <x:c r="O229" s="57" t="str">
        <x:v>ยังไม่ตรวจ</x:v>
      </x:c>
      <x:c r="P229" s="57" t="str">
        <x:v>ยังไม่ติดต่อ</x:v>
      </x:c>
      <x:c r="Q229" s="20" t="str">
        <x:v>R26-369</x:v>
      </x:c>
      <x:c r="R229" s="20" t="str">
        <x:v>Felix River Kwai Resort</x:v>
      </x:c>
      <x:c r="S229" s="20" t="str"/>
      <x:c r="T229" s="20" t="str">
        <x:v>https://www.felixriverkwai.com/faq/</x:v>
      </x:c>
      <x:c r="U229" s="20" t="str"/>
      <x:c r="V229" s="20" t="str"/>
      <x:c r="W229" s="20" t="str"/>
      <x:c r="X229" s="20" t="str"/>
      <x:c r="Y229" s="20" t="str">
        <x:v>https://www.google.com/maps/search/?api=1&amp;query=Felix%20River%20Kwai%20Resort%20%E0%B8%81%E0%B8%B2%E0%B8%8D%E0%B8%88%E0%B8%99%E0%B8%9A%E0%B8%B8%E0%B8%A3%E0%B8%B5</x:v>
      </x:c>
      <x:c r="Z229" s="56" t="n">
        <x:v>14.0421489</x:v>
      </x:c>
      <x:c r="AA229" s="56" t="n">
        <x:v>99.5002771</x:v>
      </x:c>
      <x:c r="AB229" s="57" t="str"/>
      <x:c r="AC229" s="20" t="str">
        <x:v>https://www.felixriverkwai.com/faq/</x:v>
      </x:c>
    </x:row>
    <x:row r="230" ht="88" customHeight="1">
      <x:c r="A230" s="54" t="n">
        <x:v>222</x:v>
      </x:c>
      <x:c r="B230" s="20" t="str">
        <x:v>Natee The Riverfront Hotel Kanchanaburi</x:v>
      </x:c>
      <x:c r="C230" s="20" t="str">
        <x:v>กาญจนบุรี</x:v>
      </x:c>
      <x:c r="D230" s="20" t="str">
        <x:v>ที่พัก</x:v>
      </x:c>
      <x:c r="E230" s="20" t="str">
        <x:v>พบข้อมูลชื่อตรงจาก Natee The Riverfront | Hotel Kanchanaburi; เป็นหลักฐานตัวตน/ประเภท ยังไม่ยืนยันบริการมุสลิมครบเกณฑ์</x:v>
      </x:c>
      <x:c r="F230" s="20" t="str">
        <x:v>ไม่ทราบ</x:v>
      </x:c>
      <x:c r="G230" s="20" t="str">
        <x:v>ยังไม่ยืนยันใบรับรองและวันหมดอายุ</x:v>
      </x:c>
      <x:c r="H230" s="20" t="str">
        <x:v>ตรวจการเปิด ตัวตนสาขา ช่องทางติดต่อ และเงื่อนไขบังคับตามประเภท</x:v>
      </x:c>
      <x:c r="I230" s="20" t="str">
        <x:v>ยังไม่ยืนยันที่อยู่ละเอียด ดูลิงก์แหล่งข้อมูลและ Google Maps</x:v>
      </x:c>
      <x:c r="J230" s="21" t="str">
        <x:v>ยังไม่พบหรือยังไม่ยืนยัน</x:v>
      </x:c>
      <x:c r="K230" s="51" t="str">
        <x:v>https://www.nateetheriverfront.com/</x:v>
      </x:c>
      <x:c r="L230" s="51" t="str">
        <x:v>https://www.youtube.com/watch?v=E6Ba7wnTqvg</x:v>
      </x:c>
      <x:c r="M230" s="20" t="str">
        <x:v>พบแหล่งต่างเว็บไซต์ NATEE The Riverfront Hotel Kanchanaburi #ที่พักกาญจนบุรี - YouTube</x:v>
      </x:c>
      <x:c r="N230" s="28" t="n">
        <x:v>46316</x:v>
      </x:c>
      <x:c r="O230" s="57" t="str">
        <x:v>ยังไม่ตรวจ</x:v>
      </x:c>
      <x:c r="P230" s="57" t="str">
        <x:v>ยังไม่ติดต่อ</x:v>
      </x:c>
      <x:c r="Q230" s="20" t="str">
        <x:v>R26-371</x:v>
      </x:c>
      <x:c r="R230" s="20" t="str">
        <x:v>Natee The Riverfront Hotel Kanchanaburi</x:v>
      </x:c>
      <x:c r="S230" s="20" t="str"/>
      <x:c r="T230" s="20" t="str">
        <x:v>https://www.nateetheriverfront.com/</x:v>
      </x:c>
      <x:c r="U230" s="20" t="str">
        <x:v>https://www.facebook.com/NateeTheRiverfront/</x:v>
      </x:c>
      <x:c r="V230" s="20" t="str">
        <x:v>https://www.instagram.com/nateetheriverfront/</x:v>
      </x:c>
      <x:c r="W230" s="20" t="str">
        <x:v>https://line.me/R/ti/p/%40nateetheriverfront</x:v>
      </x:c>
      <x:c r="X230" s="20" t="str"/>
      <x:c r="Y230" s="20" t="str">
        <x:v>https://www.google.com/maps/search/?api=1&amp;query=Natee%20The%20Riverfront%20Hotel%20Kanchanaburi%20%E0%B8%81%E0%B8%B2%E0%B8%8D%E0%B8%88%E0%B8%99%E0%B8%9A%E0%B8%B8%E0%B8%A3%E0%B8%B5</x:v>
      </x:c>
      <x:c r="Z230" s="56" t="n">
        <x:v>14.033162</x:v>
      </x:c>
      <x:c r="AA230" s="56" t="n">
        <x:v>99.516991</x:v>
      </x:c>
      <x:c r="AB230" s="57" t="str"/>
      <x:c r="AC230" s="20" t="str">
        <x:v>https://www.nateetheriverfront.com/</x:v>
      </x:c>
    </x:row>
    <x:row r="231" ht="88" customHeight="1">
      <x:c r="A231" s="54" t="n">
        <x:v>223</x:v>
      </x:c>
      <x:c r="B231" s="20" t="str">
        <x:v>River Kwai Resotel</x:v>
      </x:c>
      <x:c r="C231" s="20" t="str">
        <x:v>กาญจนบุรี</x:v>
      </x:c>
      <x:c r="D231" s="20" t="str">
        <x:v>ที่พัก</x:v>
      </x:c>
      <x:c r="E231" s="20" t="str">
        <x:v>พบข้อมูลชื่อตรงจาก River Kwai Resotel | LINE Official Account; เป็นหลักฐานตัวตน/ประเภท ยังไม่ยืนยันบริการมุสลิมครบเกณฑ์</x:v>
      </x:c>
      <x:c r="F231" s="20" t="str">
        <x:v>ไม่ทราบ</x:v>
      </x:c>
      <x:c r="G231" s="20" t="str">
        <x:v>ยังไม่ยืนยันใบรับรองและวันหมดอายุ</x:v>
      </x:c>
      <x:c r="H231" s="20" t="str">
        <x:v>ตรวจการเปิด ตัวตนสาขา ช่องทางติดต่อ และเงื่อนไขบังคับตามประเภท</x:v>
      </x:c>
      <x:c r="I231" s="20" t="str">
        <x:v>ยังไม่ยืนยันที่อยู่ละเอียด ดูลิงก์แหล่งข้อมูลและ Google Maps</x:v>
      </x:c>
      <x:c r="J231" s="21" t="str">
        <x:v>+6626425497 / +66817345238</x:v>
      </x:c>
      <x:c r="K231" s="51" t="str">
        <x:v>https://page.line.me/338jvbjs</x:v>
      </x:c>
      <x:c r="L231" s="51" t="str">
        <x:v>https://www.riverkwairesotel.net/</x:v>
      </x:c>
      <x:c r="M231" s="20" t="str">
        <x:v>พบแหล่งต่างเว็บไซต์ River Kwai Resotel-Jungle Riverfront Resort In Kanchanaburi</x:v>
      </x:c>
      <x:c r="N231" s="28" t="n">
        <x:v>46316</x:v>
      </x:c>
      <x:c r="O231" s="57" t="str">
        <x:v>ยังไม่ตรวจ</x:v>
      </x:c>
      <x:c r="P231" s="57" t="str">
        <x:v>ยังไม่ติดต่อ</x:v>
      </x:c>
      <x:c r="Q231" s="20" t="str">
        <x:v>R26-372</x:v>
      </x:c>
      <x:c r="R231" s="20" t="str">
        <x:v>River Kwai Resotel</x:v>
      </x:c>
      <x:c r="S231" s="20" t="str"/>
      <x:c r="T231" s="20" t="str">
        <x:v>https://page.line.me/338jvbjs</x:v>
      </x:c>
      <x:c r="U231" s="20" t="str">
        <x:v>https://www.facebook.com/RiverKwaiResotel</x:v>
      </x:c>
      <x:c r="V231" s="20" t="str">
        <x:v>https://www.instagram.com/riverkwairesotel/</x:v>
      </x:c>
      <x:c r="W231" s="20" t="str">
        <x:v>https://page.line.me/338jvbjs</x:v>
      </x:c>
      <x:c r="X231" s="20" t="str"/>
      <x:c r="Y231" s="20" t="str">
        <x:v>https://www.google.com/maps/search/?api=1&amp;query=River%20Kwai%20Resotel%20%E0%B8%81%E0%B8%B2%E0%B8%8D%E0%B8%88%E0%B8%99%E0%B8%9A%E0%B8%B8%E0%B8%A3%E0%B8%B5</x:v>
      </x:c>
      <x:c r="Z231" s="56" t="n">
        <x:v>14.300389</x:v>
      </x:c>
      <x:c r="AA231" s="56" t="n">
        <x:v>98.9862585</x:v>
      </x:c>
      <x:c r="AB231" s="57" t="str"/>
      <x:c r="AC231" s="20" t="str">
        <x:v>https://www.riverkwairesotel.net/</x:v>
      </x:c>
    </x:row>
    <x:row r="232" ht="88" customHeight="1">
      <x:c r="A232" s="54" t="n">
        <x:v>224</x:v>
      </x:c>
      <x:c r="B232" s="20" t="str">
        <x:v>U Inchantree Kanchanaburi</x:v>
      </x:c>
      <x:c r="C232" s="20" t="str">
        <x:v>กาญจนบุรี</x:v>
      </x:c>
      <x:c r="D232" s="20" t="str">
        <x:v>ที่พัก</x:v>
      </x:c>
      <x:c r="E232" s="20" t="str">
        <x:v>พบข้อมูลชื่อตรงจาก รีวิว โรงแรม ยู อิน จัน ท รี กาญจนบุรี (U Inchantree Kanchanaburi Hotel) ที่พักกาญจนบุรี ริมน้ำ - YouTube; เป็นหลักฐานตัวตน/ประเภท ยังไม่ยืนยันบริการมุสลิมครบเกณฑ์</x:v>
      </x:c>
      <x:c r="F232" s="20" t="str">
        <x:v>ไม่ทราบ</x:v>
      </x:c>
      <x:c r="G232" s="20" t="str">
        <x:v>ยังไม่ยืนยันใบรับรองและวันหมดอายุ</x:v>
      </x:c>
      <x:c r="H232" s="20" t="str">
        <x:v>ตรวจการเปิด ตัวตนสาขา ช่องทางติดต่อ และเงื่อนไขบังคับตามประเภท</x:v>
      </x:c>
      <x:c r="I232" s="20" t="str">
        <x:v>ยังไม่ยืนยันที่อยู่ละเอียด ดูลิงก์แหล่งข้อมูลและ Google Maps</x:v>
      </x:c>
      <x:c r="J232" s="21" t="str">
        <x:v>ยังไม่พบหรือยังไม่ยืนยัน</x:v>
      </x:c>
      <x:c r="K232" s="51" t="str">
        <x:v>https://www.youtube.com/watch?v=_FqBw_5tJvg</x:v>
      </x:c>
      <x:c r="L232" s="51" t="str">
        <x:v>https://www.uhotelsresorts.com/uinchantreekanchanaburi</x:v>
      </x:c>
      <x:c r="M232" s="20" t="str">
        <x:v>พบแหล่งต่างเว็บไซต์ U Inchantree Kanchanaburi River Kwai Hotel | Official Website</x:v>
      </x:c>
      <x:c r="N232" s="28" t="n">
        <x:v>46316</x:v>
      </x:c>
      <x:c r="O232" s="57" t="str">
        <x:v>ยังไม่ตรวจ</x:v>
      </x:c>
      <x:c r="P232" s="57" t="str">
        <x:v>ยังไม่ติดต่อ</x:v>
      </x:c>
      <x:c r="Q232" s="20" t="str">
        <x:v>R26-370</x:v>
      </x:c>
      <x:c r="R232" s="20" t="str">
        <x:v>U Inchantree Kanchanaburi</x:v>
      </x:c>
      <x:c r="S232" s="20" t="str"/>
      <x:c r="T232" s="20" t="str">
        <x:v>https://www.youtube.com/watch?v=_FqBw_5tJvg</x:v>
      </x:c>
      <x:c r="U232" s="20" t="str"/>
      <x:c r="V232" s="20" t="str"/>
      <x:c r="W232" s="20" t="str"/>
      <x:c r="X232" s="20" t="str"/>
      <x:c r="Y232" s="20" t="str">
        <x:v>https://www.google.com/maps/search/?api=1&amp;query=U%20Inchantree%20Kanchanaburi%20%E0%B8%81%E0%B8%B2%E0%B8%8D%E0%B8%88%E0%B8%99%E0%B8%9A%E0%B8%B8%E0%B8%A3%E0%B8%B5</x:v>
      </x:c>
      <x:c r="Z232" s="56" t="str"/>
      <x:c r="AA232" s="56" t="str"/>
      <x:c r="AB232" s="57" t="str"/>
      <x:c r="AC232" s="20" t="str">
        <x:v>https://www.youtube.com/watch?v=_FqBw_5tJvg</x:v>
      </x:c>
    </x:row>
    <x:row r="233" ht="88" customHeight="1">
      <x:c r="A233" s="54" t="n">
        <x:v>225</x:v>
      </x:c>
      <x:c r="B233" s="20" t="str">
        <x:v>ครัวฮาลาล ณ.กาญจนบุรี</x:v>
      </x:c>
      <x:c r="C233" s="20" t="str">
        <x:v>กาญจนบุรี</x:v>
      </x:c>
      <x:c r="D233" s="20" t="str">
        <x:v>ร้านอาหาร</x:v>
      </x:c>
      <x:c r="E233" s="20" t="str">
        <x:v>Makan Verify; ระบุมีห้องละหมาด</x:v>
      </x:c>
      <x:c r="F233" s="20" t="str">
        <x:v>มีข้อมูลระบุ แต่รอยืนยัน</x:v>
      </x:c>
      <x:c r="G233" s="20" t="str">
        <x:v>ยังไม่พบเอกสารรับรองและวันหมดอายุ</x:v>
      </x:c>
      <x:c r="H23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33" s="20" t="str">
        <x:v>ถนนลาดหญ้า-เอราวัณ ตำบลช่องสะเดา อำเภอเมืองกาญจนบุรี จังหวัดกาญจนบุรี 71190</x:v>
      </x:c>
      <x:c r="J233" s="21" t="str">
        <x:v>0982677716</x:v>
      </x:c>
      <x:c r="K233" s="51" t="str">
        <x:v>https://makanhalalguide.com/shop/detail/610</x:v>
      </x:c>
      <x:c r="L233" s="51" t="str">
        <x:v>https://www.youtube.com/watch?v=Ooi8bkcnNgA</x:v>
      </x:c>
      <x:c r="M233" s="20" t="str">
        <x:v>พบผลค้นชื่อสัมพันธ์เพิ่มเติม ต้องยืนยันสาขาและเจ้าของช่องทาง</x:v>
      </x:c>
      <x:c r="N233" s="28" t="n">
        <x:v>46316</x:v>
      </x:c>
      <x:c r="O233" s="57" t="str">
        <x:v>ยังไม่ตรวจ</x:v>
      </x:c>
      <x:c r="P233" s="57" t="str">
        <x:v>ยังไม่ติดต่อ</x:v>
      </x:c>
      <x:c r="Q233" s="20" t="str">
        <x:v>TMF-015</x:v>
      </x:c>
      <x:c r="R233" s="20" t="str"/>
      <x:c r="S233" s="20" t="str"/>
      <x:c r="T233" s="20" t="str">
        <x:v>https://makanhalalguide.com/shop/detail/610</x:v>
      </x:c>
      <x:c r="U233" s="20" t="str"/>
      <x:c r="V233" s="20" t="str"/>
      <x:c r="W233" s="20" t="str"/>
      <x:c r="X233" s="20" t="str"/>
      <x:c r="Y233" s="20" t="str">
        <x:v>https://www.google.com/maps/search/?api=1&amp;query=%E0%B8%84%E0%B8%A3%E0%B8%B1%E0%B8%A7%E0%B8%AE%E0%B8%B2%E0%B8%A5%E0%B8%B2%E0%B8%A5%20%E0%B8%93.%E0%B8%81%E0%B8%B2%E0%B8%8D%E0%B8%88%E0%B8%99%E0%B8%9A%E0%B8%B8%E0%B8%A3%E0%B8%B5%20%E0%B8%81%E0%B8%B2%E0%B8%8D%E0%B8%88%E0%B8%99%E0%B8%9A%E0%B8%B8%E0%B8%A3%E0%B8%B5</x:v>
      </x:c>
      <x:c r="Z233" s="56" t="n">
        <x:v>14.293124</x:v>
      </x:c>
      <x:c r="AA233" s="56" t="n">
        <x:v>99.219675</x:v>
      </x:c>
      <x:c r="AB233" s="57" t="str"/>
      <x:c r="AC233" s="20" t="str">
        <x:v>https://makanhalalguide.com/shop/detail/610</x:v>
      </x:c>
    </x:row>
    <x:row r="234" ht="88" customHeight="1">
      <x:c r="A234" s="54" t="n">
        <x:v>226</x:v>
      </x:c>
      <x:c r="B234" s="20" t="str">
        <x:v>ดาดาโรตีโอ่ง กาญจนบุรี</x:v>
      </x:c>
      <x:c r="C234" s="20" t="str">
        <x:v>กาญจนบุรี</x:v>
      </x:c>
      <x:c r="D234" s="20" t="str">
        <x:v>คาเฟ่และร้านของหวาน</x:v>
      </x:c>
      <x:c r="E234" s="20" t="str">
        <x:v>Makan Verify; ระบุมีห้องละหมาด</x:v>
      </x:c>
      <x:c r="F234" s="20" t="str">
        <x:v>มีข้อมูลระบุ แต่รอยืนยัน</x:v>
      </x:c>
      <x:c r="G234" s="20" t="str">
        <x:v>ยังไม่พบเอกสารรับรองและวันหมดอายุ</x:v>
      </x:c>
      <x:c r="H23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34" s="20" t="str">
        <x:v>ถนนลาดหญ้า-เอราวัณ ตำบลช่องสะเดา อำเภอเมืองกาญจนบุรี จังหวัดกาญจนบุรี 71190</x:v>
      </x:c>
      <x:c r="J234" s="21" t="str">
        <x:v>0895018527</x:v>
      </x:c>
      <x:c r="K234" s="51" t="str">
        <x:v>https://makanhalalguide.com/shop/detail/1700</x:v>
      </x:c>
      <x:c r="L234" s="51" t="str">
        <x:v>https://www.wongnai.com/restaurants/270059PV-%E0%B8%94%E0%B8%B2%E0%B8%94%E0%B8%B2-%E0%B9%82%E0%B8%A3%E0%B8%95%E0%B8%B5%E0%B9%82%E0%B8%AD%E0%B9%88%E0%B8%87-%E0%B8%81%E0%B8%B2%E0%B8%8D%E0%B8%88%E0%B8%99%E0%B8%9A%E0%B8%B8%E0%B8%A3%E0%B8%B5/menu/photos/cbd3d47b1e47426e9b2ee92c055c31ff</x:v>
      </x:c>
      <x:c r="M234" s="20" t="str">
        <x:v>ผลค้นหาชื่อสัมพันธ์จากแหล่งเพิ่มเติม ต้องยืนยันสาขาและข้อมูลปัจจุบัน</x:v>
      </x:c>
      <x:c r="N234" s="28" t="n">
        <x:v>46315</x:v>
      </x:c>
      <x:c r="O234" s="57" t="str">
        <x:v>ยังไม่ตรวจ</x:v>
      </x:c>
      <x:c r="P234" s="57" t="str">
        <x:v>ยังไม่ติดต่อ</x:v>
      </x:c>
      <x:c r="Q234" s="20" t="str">
        <x:v>TMF-016</x:v>
      </x:c>
      <x:c r="R234" s="20" t="str"/>
      <x:c r="S234" s="20" t="str"/>
      <x:c r="T234" s="20" t="str">
        <x:v>https://makanhalalguide.com/shop/detail/1700</x:v>
      </x:c>
      <x:c r="U234" s="20" t="str"/>
      <x:c r="V234" s="20" t="str"/>
      <x:c r="W234" s="20" t="str"/>
      <x:c r="X234" s="20" t="str"/>
      <x:c r="Y234" s="20" t="str">
        <x:v>https://www.google.com/maps/search/?api=1&amp;query=%E0%B8%94%E0%B8%B2%E0%B8%94%E0%B8%B2%E0%B9%82%E0%B8%A3%E0%B8%95%E0%B8%B5%E0%B9%82%E0%B8%AD%E0%B9%88%E0%B8%87%20%E0%B8%81%E0%B8%B2%E0%B8%8D%E0%B8%88%E0%B8%99%E0%B8%9A%E0%B8%B8%E0%B8%A3%E0%B8%B5%20%E0%B8%81%E0%B8%B2%E0%B8%8D%E0%B8%88%E0%B8%99%E0%B8%9A%E0%B8%B8%E0%B8%A3%E0%B8%B5</x:v>
      </x:c>
      <x:c r="Z234" s="56" t="n">
        <x:v>14.292935</x:v>
      </x:c>
      <x:c r="AA234" s="56" t="n">
        <x:v>99.219904</x:v>
      </x:c>
      <x:c r="AB234" s="57" t="str"/>
      <x:c r="AC234" s="20" t="str">
        <x:v>https://makanhalalguide.com/shop/detail/1700</x:v>
      </x:c>
    </x:row>
    <x:row r="235" ht="88" customHeight="1">
      <x:c r="A235" s="54" t="n">
        <x:v>227</x:v>
      </x:c>
      <x:c r="B235" s="20" t="str">
        <x:v>รสโบราณบ้านกาญ</x:v>
      </x:c>
      <x:c r="C235" s="20" t="str">
        <x:v>กาญจนบุรี</x:v>
      </x:c>
      <x:c r="D235" s="20" t="str">
        <x:v>ร้านอาหาร</x:v>
      </x:c>
      <x:c r="E235" s="20" t="str">
        <x:v>มีรายชื่อใน Makan Halal Guide; ช่องห้องละหมาดไม่ได้ทำเครื่องหมายว่ามี</x:v>
      </x:c>
      <x:c r="F235" s="20" t="str">
        <x:v>แหล่งเดิมไม่ระบุว่ามี</x:v>
      </x:c>
      <x:c r="G235" s="20" t="str">
        <x:v>ยังไม่พบเอกสารรับรองและวันหมดอายุ</x:v>
      </x:c>
      <x:c r="H235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235" s="20" t="str">
        <x:v>346/3 หมู่ 1 ต.ลาดหญ้า อ.เมืองกาญนบุรี .กาญจนบุรี 71190</x:v>
      </x:c>
      <x:c r="J235" s="21" t="str">
        <x:v>0922827982</x:v>
      </x:c>
      <x:c r="K235" s="51" t="str">
        <x:v>https://makanhalalguide.com/shop/detail/6287</x:v>
      </x:c>
      <x:c r="L235" s="51" t="str">
        <x:v>https://www.wongnai.com/restaurants/3531683lL-%E0%B8%A3%E0%B8%AA%E0%B9%82%E0%B8%9A%E0%B8%A3%E0%B8%B2%E0%B8%93-%E0%B8%9A%E0%B9%89%E0%B8%B2%E0%B8%99%E0%B8%81%E0%B8%B2%E0%B8%8D-%E0%B8%A5%E0%B8%B2%E0%B8%94%E0%B8%AB%E0%B8%8D%E0%B9%89%E0%B8%B2-%E0%B8%81%E0%B8%B2%E0%B8%8D%E0%B8%88%E0%B8%99%E0%B8%9A%E0%B8%B8%E0%B8%A3%E0%B8%B5</x:v>
      </x:c>
      <x:c r="M235" s="20" t="str">
        <x:v>ผลค้นหาชื่อสัมพันธ์จากแหล่งเพิ่มเติม ต้องยืนยันสาขาและข้อมูลปัจจุบัน</x:v>
      </x:c>
      <x:c r="N235" s="28" t="n">
        <x:v>46315</x:v>
      </x:c>
      <x:c r="O235" s="57" t="str">
        <x:v>ยังไม่ตรวจ</x:v>
      </x:c>
      <x:c r="P235" s="57" t="str">
        <x:v>ยังไม่ติดต่อ</x:v>
      </x:c>
      <x:c r="Q235" s="20" t="str">
        <x:v>TMF-442</x:v>
      </x:c>
      <x:c r="R235" s="20" t="str"/>
      <x:c r="S235" s="20" t="str"/>
      <x:c r="T235" s="20" t="str">
        <x:v>https://makanhalalguide.com/shop/detail/6287</x:v>
      </x:c>
      <x:c r="U235" s="20" t="str"/>
      <x:c r="V235" s="20" t="str"/>
      <x:c r="W235" s="20" t="str"/>
      <x:c r="X235" s="20" t="str"/>
      <x:c r="Y235" s="20" t="str">
        <x:v>https://www.google.com/maps/search/?api=1&amp;query=%E0%B8%A3%E0%B8%AA%E0%B9%82%E0%B8%9A%E0%B8%A3%E0%B8%B2%E0%B8%93%E0%B8%9A%E0%B9%89%E0%B8%B2%E0%B8%99%E0%B8%81%E0%B8%B2%E0%B8%8D%20%E0%B8%81%E0%B8%B2%E0%B8%8D%E0%B8%88%E0%B8%99%E0%B8%9A%E0%B8%B8%E0%B8%A3%E0%B8%B5</x:v>
      </x:c>
      <x:c r="Z235" s="56" t="n">
        <x:v>14.094098</x:v>
      </x:c>
      <x:c r="AA235" s="56" t="n">
        <x:v>99.423266</x:v>
      </x:c>
      <x:c r="AB235" s="57" t="str"/>
      <x:c r="AC235" s="20" t="str">
        <x:v>https://makanhalalguide.com/shop/detail/6287</x:v>
      </x:c>
    </x:row>
    <x:row r="236" ht="88" customHeight="1">
      <x:c r="A236" s="54" t="n">
        <x:v>228</x:v>
      </x:c>
      <x:c r="B236" s="20" t="str">
        <x:v>Dheva Mantra Spa Kanchanaburi</x:v>
      </x:c>
      <x:c r="C236" s="20" t="str">
        <x:v>กาญจนบุรี</x:v>
      </x:c>
      <x:c r="D236" s="20" t="str">
        <x:v>เวลเนส</x:v>
      </x:c>
      <x:c r="E236" s="20" t="str">
        <x:v>พบข้อมูลชื่อตรงจาก Contact us &amp; Location | Dheva Mantra Resort, Kanchanaburi; เป็นหลักฐานตัวตน/ประเภท ยังไม่ยืนยันบริการมุสลิมครบเกณฑ์</x:v>
      </x:c>
      <x:c r="F236" s="20" t="str">
        <x:v>ไม่ทราบ</x:v>
      </x:c>
      <x:c r="G236" s="20" t="str">
        <x:v>ยังไม่ยืนยันใบรับรองและวันหมดอายุ</x:v>
      </x:c>
      <x:c r="H236" s="20" t="str">
        <x:v>ตรวจการเปิด ตัวตนสาขา ช่องทางติดต่อ และเงื่อนไขบังคับตามประเภท</x:v>
      </x:c>
      <x:c r="I236" s="20" t="str">
        <x:v>ยังไม่ยืนยันที่อยู่ละเอียด ดูลิงก์แหล่งข้อมูลและ Google Maps</x:v>
      </x:c>
      <x:c r="J236" s="21" t="str">
        <x:v>ยังไม่พบหรือยังไม่ยืนยัน</x:v>
      </x:c>
      <x:c r="K236" s="51" t="str">
        <x:v>https://dhevamantraresort.com/contact-us/</x:v>
      </x:c>
      <x:c r="L236" s="51" t="str">
        <x:v>https://www.booking.com/hotel/th/dheva-mantra-resort-spa.html</x:v>
      </x:c>
      <x:c r="M236" s="20" t="str">
        <x:v>พบแหล่งต่างเว็บไซต์ Dheva Mantra Resort, Kanchanaburi City (updated prices 2026)</x:v>
      </x:c>
      <x:c r="N236" s="28" t="n">
        <x:v>46316</x:v>
      </x:c>
      <x:c r="O236" s="57" t="str">
        <x:v>ยังไม่ตรวจ</x:v>
      </x:c>
      <x:c r="P236" s="57" t="str">
        <x:v>ยังไม่ติดต่อ</x:v>
      </x:c>
      <x:c r="Q236" s="20" t="str">
        <x:v>R26-280</x:v>
      </x:c>
      <x:c r="R236" s="20" t="str">
        <x:v>Dheva Mantra Spa Kanchanaburi</x:v>
      </x:c>
      <x:c r="S236" s="20" t="str"/>
      <x:c r="T236" s="20" t="str">
        <x:v>https://dhevamantraresort.com/contact-us/</x:v>
      </x:c>
      <x:c r="U236" s="20" t="str"/>
      <x:c r="V236" s="20" t="str"/>
      <x:c r="W236" s="20" t="str"/>
      <x:c r="X236" s="20" t="str"/>
      <x:c r="Y236" s="20" t="str">
        <x:v>https://www.google.com/maps/search/?api=1&amp;query=Dheva%20Mantra%20Spa%20Kanchanaburi%20%E0%B8%81%E0%B8%B2%E0%B8%8D%E0%B8%88%E0%B8%99%E0%B8%9A%E0%B8%B8%E0%B8%A3%E0%B8%B5</x:v>
      </x:c>
      <x:c r="Z236" s="56" t="str"/>
      <x:c r="AA236" s="56" t="str"/>
      <x:c r="AB236" s="57" t="str"/>
      <x:c r="AC236" s="20" t="str">
        <x:v>https://dhevamantraresort.com/contact-us/</x:v>
      </x:c>
    </x:row>
    <x:row r="237" ht="88" customHeight="1">
      <x:c r="A237" s="54" t="n">
        <x:v>229</x:v>
      </x:c>
      <x:c r="B237" s="20" t="str">
        <x:v>Robinson Lifestyle Kanchanaburi</x:v>
      </x:c>
      <x:c r="C237" s="20" t="str">
        <x:v>กาญจนบุรี</x:v>
      </x:c>
      <x:c r="D237" s="20" t="str">
        <x:v>การค้า</x:v>
      </x:c>
      <x:c r="E237" s="20" t="str">
        <x:v>พบข้อมูลชื่อตรงจาก พช กาญจนบุรี นำผลิตภัณฑ์ OTOP ร่วมในงานRobinson Lifestyle Kanchanaburi พลิกโฉมครั้งใหญ่ ยกระดับสู่ศูนย์กลางชีวิตที่สมบูรณ์แบบแห่งภาคตะวันตก; เป็นหลักฐานตัวตน/ประเภท ยังไม่ยืนยันบริการมุสลิมครบเกณฑ์</x:v>
      </x:c>
      <x:c r="F237" s="20" t="str">
        <x:v>ไม่ทราบ</x:v>
      </x:c>
      <x:c r="G237" s="20" t="str">
        <x:v>ยังไม่ยืนยันใบรับรองและวันหมดอายุ</x:v>
      </x:c>
      <x:c r="H237" s="20" t="str">
        <x:v>ตรวจการเปิด ตัวตนสาขา ช่องทางติดต่อ และเงื่อนไขบังคับตามประเภท</x:v>
      </x:c>
      <x:c r="I237" s="20" t="str">
        <x:v>ยังไม่ยืนยันที่อยู่ละเอียด ดูลิงก์แหล่งข้อมูลและ Google Maps</x:v>
      </x:c>
      <x:c r="J237" s="21" t="str">
        <x:v>ยังไม่พบหรือยังไม่ยืนยัน</x:v>
      </x:c>
      <x:c r="K237" s="51" t="str">
        <x:v>https://kanchanaburi.cdd.go.th/th/content/category/detail/id/8/iid/344981</x:v>
      </x:c>
      <x:c r="L237" s="51" t="str">
        <x:v>https://www.owndays.com/th/th/shops/291</x:v>
      </x:c>
      <x:c r="M237" s="20" t="str">
        <x:v>พบแหล่งต่างเว็บไซต์ OWNDAYS Robinson Lifestyle Kanchanaburi ｜Glasses（Spectacles/Eyeglasses, Sunglasses</x:v>
      </x:c>
      <x:c r="N237" s="28" t="n">
        <x:v>46316</x:v>
      </x:c>
      <x:c r="O237" s="57" t="str">
        <x:v>ยังไม่ตรวจ</x:v>
      </x:c>
      <x:c r="P237" s="57" t="str">
        <x:v>ยังไม่ติดต่อ</x:v>
      </x:c>
      <x:c r="Q237" s="20" t="str">
        <x:v>R26-262</x:v>
      </x:c>
      <x:c r="R237" s="20" t="str">
        <x:v>Robinson Lifestyle Kanchanaburi</x:v>
      </x:c>
      <x:c r="S237" s="20" t="str"/>
      <x:c r="T237" s="20" t="str">
        <x:v>https://kanchanaburi.cdd.go.th/th/content/category/detail/id/8/iid/344981</x:v>
      </x:c>
      <x:c r="U237" s="20" t="str"/>
      <x:c r="V237" s="20" t="str"/>
      <x:c r="W237" s="20" t="str"/>
      <x:c r="X237" s="20" t="str"/>
      <x:c r="Y237" s="20" t="str">
        <x:v>https://www.google.com/maps/search/?api=1&amp;query=Robinson%20Lifestyle%20Kanchanaburi%20%E0%B8%81%E0%B8%B2%E0%B8%8D%E0%B8%88%E0%B8%99%E0%B8%9A%E0%B8%B8%E0%B8%A3%E0%B8%B5</x:v>
      </x:c>
      <x:c r="Z237" s="56" t="n">
        <x:v>14.004484</x:v>
      </x:c>
      <x:c r="AA237" s="56" t="n">
        <x:v>99.546883</x:v>
      </x:c>
      <x:c r="AB237" s="57" t="str"/>
      <x:c r="AC237" s="20" t="str">
        <x:v>https://kanchanaburi.cdd.go.th/th/content/category/detail/id/8/iid/344981</x:v>
      </x:c>
    </x:row>
    <x:row r="238" ht="88" customHeight="1">
      <x:c r="A238" s="54" t="n">
        <x:v>230</x:v>
      </x:c>
      <x:c r="B238" s="20" t="str">
        <x:v>ต้นจามจุรียักษ์ กาญจนบุรี</x:v>
      </x:c>
      <x:c r="C238" s="20" t="str">
        <x:v>กาญจนบุรี</x:v>
      </x:c>
      <x:c r="D238" s="20" t="str">
        <x:v>ธรรมชาติ</x:v>
      </x:c>
      <x:c r="E238" s="20" t="str">
        <x:v>พบข้อมูลชื่อตรงจาก ต้นจามจุรียักษ์ กาญจนบุรี; เป็นหลักฐานตัวตน/ประเภท ยังไม่ยืนยันบริการมุสลิมครบเกณฑ์</x:v>
      </x:c>
      <x:c r="F238" s="20" t="str">
        <x:v>ไม่ทราบ</x:v>
      </x:c>
      <x:c r="G238" s="20" t="str">
        <x:v>ยังไม่ยืนยันใบรับรองและวันหมดอายุ</x:v>
      </x:c>
      <x:c r="H238" s="20" t="str">
        <x:v>ตรวจการเปิด ตัวตนสาขา ช่องทางติดต่อ และเงื่อนไขบังคับตามประเภท</x:v>
      </x:c>
      <x:c r="I238" s="20" t="str">
        <x:v>ยังไม่ยืนยันที่อยู่ละเอียด ดูลิงก์แหล่งข้อมูลและ Google Maps</x:v>
      </x:c>
      <x:c r="J238" s="21" t="str">
        <x:v>ยังไม่พบหรือยังไม่ยืนยัน</x:v>
      </x:c>
      <x:c r="K238" s="51" t="str">
        <x:v>https://www.thailandtourismdirectory.go.th/th/attraction/101134</x:v>
      </x:c>
      <x:c r="L238" s="51" t="str">
        <x:v>https://api.tat.or.th/upload/live/multimedia/8971/E-Brochure_Kanchanaburi_%28Th%29.pdf</x:v>
      </x:c>
      <x:c r="M238" s="20" t="str">
        <x:v>พบแหล่งต่างเว็บไซต์ ต้นจามจุรียักษ์</x:v>
      </x:c>
      <x:c r="N238" s="28" t="n">
        <x:v>46316</x:v>
      </x:c>
      <x:c r="O238" s="57" t="str">
        <x:v>ยังไม่ตรวจ</x:v>
      </x:c>
      <x:c r="P238" s="57" t="str">
        <x:v>ยังไม่ติดต่อ</x:v>
      </x:c>
      <x:c r="Q238" s="20" t="str">
        <x:v>R26-131</x:v>
      </x:c>
      <x:c r="R238" s="20" t="str"/>
      <x:c r="S238" s="20" t="str"/>
      <x:c r="T238" s="20" t="str">
        <x:v>https://www.thailandtourismdirectory.go.th/th/attraction/101134</x:v>
      </x:c>
      <x:c r="U238" s="20" t="str"/>
      <x:c r="V238" s="20" t="str"/>
      <x:c r="W238" s="20" t="str"/>
      <x:c r="X238" s="20" t="str"/>
      <x:c r="Y238" s="20" t="str">
        <x:v>https://www.google.com/maps/search/?api=1&amp;query=%E0%B8%95%E0%B9%89%E0%B8%99%E0%B8%88%E0%B8%B2%E0%B8%A1%E0%B8%88%E0%B8%B8%E0%B8%A3%E0%B8%B5%E0%B8%A2%E0%B8%B1%E0%B8%81%E0%B8%A9%E0%B9%8C%20%E0%B8%81%E0%B8%B2%E0%B8%8D%E0%B8%88%E0%B8%99%E0%B8%9A%E0%B8%B8%E0%B8%A3%E0%B8%B5%20%E0%B8%81%E0%B8%B2%E0%B8%8D%E0%B8%88%E0%B8%99%E0%B8%9A%E0%B8%B8%E0%B8%A3%E0%B8%B5</x:v>
      </x:c>
      <x:c r="Z238" s="56" t="n">
        <x:v>13.96323</x:v>
      </x:c>
      <x:c r="AA238" s="56" t="n">
        <x:v>99.52841</x:v>
      </x:c>
      <x:c r="AB238" s="57" t="str"/>
      <x:c r="AC238" s="20" t="str">
        <x:v>https://www.thailandtourismdirectory.go.th/th/attraction/101134</x:v>
      </x:c>
    </x:row>
    <x:row r="239" ht="88" customHeight="1">
      <x:c r="A239" s="54" t="n">
        <x:v>231</x:v>
      </x:c>
      <x:c r="B239" s="20" t="str">
        <x:v>น้ำตกห้วยแม่ขมิ้น</x:v>
      </x:c>
      <x:c r="C239" s="20" t="str">
        <x:v>กาญจนบุรี</x:v>
      </x:c>
      <x:c r="D239" s="20" t="str">
        <x:v>ธรรมชาติ</x:v>
      </x:c>
      <x:c r="E239" s="20" t="str">
        <x:v>พบข้อมูลชื่อตรงจาก น้ำตกห้วยแม่ขมิ้น - สำนักงานการท่องเที่ยวและกีฬาจังหวัดกาญจนบุรี; เป็นหลักฐานตัวตน/ประเภท ยังไม่ยืนยันบริการมุสลิมครบเกณฑ์</x:v>
      </x:c>
      <x:c r="F239" s="20" t="str">
        <x:v>ไม่ทราบ</x:v>
      </x:c>
      <x:c r="G239" s="20" t="str">
        <x:v>ยังไม่ยืนยันใบรับรองและวันหมดอายุ</x:v>
      </x:c>
      <x:c r="H239" s="20" t="str">
        <x:v>ตรวจการเปิด ตัวตนสาขา ช่องทางติดต่อ และเงื่อนไขบังคับตามประเภท</x:v>
      </x:c>
      <x:c r="I239" s="20" t="str">
        <x:v>ยังไม่ยืนยันที่อยู่ละเอียด ดูลิงก์แหล่งข้อมูลและ Google Maps</x:v>
      </x:c>
      <x:c r="J239" s="21" t="str">
        <x:v>ยังไม่พบหรือยังไม่ยืนยัน</x:v>
      </x:c>
      <x:c r="K239" s="51" t="str">
        <x:v>https://kanchanaburi.mots.go.th/news/567</x:v>
      </x:c>
      <x:c r="L239" s="51" t="str">
        <x:v>https://ww2.kanchanaburi.go.th/travel_top/detail/4</x:v>
      </x:c>
      <x:c r="M239" s="20" t="str">
        <x:v>พบแหล่งต่างเว็บไซต์ น้ำตกห้วยแม่ขมิ้น</x:v>
      </x:c>
      <x:c r="N239" s="28" t="n">
        <x:v>46316</x:v>
      </x:c>
      <x:c r="O239" s="57" t="str">
        <x:v>ยังไม่ตรวจ</x:v>
      </x:c>
      <x:c r="P239" s="57" t="str">
        <x:v>ยังไม่ติดต่อ</x:v>
      </x:c>
      <x:c r="Q239" s="20" t="str">
        <x:v>R26-128</x:v>
      </x:c>
      <x:c r="R239" s="20" t="str"/>
      <x:c r="S239" s="20" t="str"/>
      <x:c r="T239" s="20" t="str">
        <x:v>https://kanchanaburi.mots.go.th/news/567</x:v>
      </x:c>
      <x:c r="U239" s="20" t="str"/>
      <x:c r="V239" s="20" t="str"/>
      <x:c r="W239" s="20" t="str"/>
      <x:c r="X239" s="20" t="str"/>
      <x:c r="Y239" s="20" t="str">
        <x:v>https://www.google.com/maps/search/?api=1&amp;query=%E0%B8%99%E0%B9%89%E0%B8%B3%E0%B8%95%E0%B8%81%E0%B8%AB%E0%B9%89%E0%B8%A7%E0%B8%A2%E0%B9%81%E0%B8%A1%E0%B9%88%E0%B8%82%E0%B8%A1%E0%B8%B4%E0%B9%89%E0%B8%99%20%E0%B8%81%E0%B8%B2%E0%B8%8D%E0%B8%88%E0%B8%99%E0%B8%9A%E0%B8%B8%E0%B8%A3%E0%B8%B5</x:v>
      </x:c>
      <x:c r="Z239" s="56" t="n">
        <x:v>14.638259</x:v>
      </x:c>
      <x:c r="AA239" s="56" t="n">
        <x:v>98.986605</x:v>
      </x:c>
      <x:c r="AB239" s="57" t="str"/>
      <x:c r="AC239" s="20" t="str">
        <x:v>https://kanchanaburi.mots.go.th/news/567</x:v>
      </x:c>
    </x:row>
    <x:row r="240" ht="88" customHeight="1">
      <x:c r="A240" s="54" t="n">
        <x:v>232</x:v>
      </x:c>
      <x:c r="B240" s="20" t="str">
        <x:v>น้ำตกไทรโยคน้อย</x:v>
      </x:c>
      <x:c r="C240" s="20" t="str">
        <x:v>กาญจนบุรี</x:v>
      </x:c>
      <x:c r="D240" s="20" t="str">
        <x:v>ธรรมชาติ</x:v>
      </x:c>
      <x:c r="E240" s="20" t="str">
        <x:v>พบข้อมูลชื่อตรงจาก เทศบาลตำบลน้ำตกไทรโยคน้อย อ.ไทรโยค จ.กาญจนบุรี; เป็นหลักฐานตัวตน/ประเภท ยังไม่ยืนยันบริการมุสลิมครบเกณฑ์</x:v>
      </x:c>
      <x:c r="F240" s="20" t="str">
        <x:v>ไม่ทราบ</x:v>
      </x:c>
      <x:c r="G240" s="20" t="str">
        <x:v>ยังไม่ยืนยันใบรับรองและวันหมดอายุ</x:v>
      </x:c>
      <x:c r="H240" s="20" t="str">
        <x:v>ตรวจการเปิด ตัวตนสาขา ช่องทางติดต่อ และเงื่อนไขบังคับตามประเภท</x:v>
      </x:c>
      <x:c r="I240" s="20" t="str">
        <x:v>ยังไม่ยืนยันที่อยู่ละเอียด ดูลิงก์แหล่งข้อมูลและ Google Maps</x:v>
      </x:c>
      <x:c r="J240" s="21" t="str">
        <x:v>ยังไม่พบหรือยังไม่ยืนยัน</x:v>
      </x:c>
      <x:c r="K240" s="51" t="str">
        <x:v>https://www.namtoksaiyoknoi.go.th/main/about</x:v>
      </x:c>
      <x:c r="L240" s="51" t="str">
        <x:v>https://cbtthailand.dasta.or.th/webapp/relattraction/content/2684/</x:v>
      </x:c>
      <x:c r="M240" s="20" t="str">
        <x:v>พบแหล่งต่างเว็บไซต์ น้ำตกไทรโยคน้อย | CBT Thailand</x:v>
      </x:c>
      <x:c r="N240" s="28" t="n">
        <x:v>46316</x:v>
      </x:c>
      <x:c r="O240" s="57" t="str">
        <x:v>ยังไม่ตรวจ</x:v>
      </x:c>
      <x:c r="P240" s="57" t="str">
        <x:v>ยังไม่ติดต่อ</x:v>
      </x:c>
      <x:c r="Q240" s="20" t="str">
        <x:v>R26-130</x:v>
      </x:c>
      <x:c r="R240" s="20" t="str"/>
      <x:c r="S240" s="20" t="str"/>
      <x:c r="T240" s="20" t="str">
        <x:v>https://www.namtoksaiyoknoi.go.th/main/about</x:v>
      </x:c>
      <x:c r="U240" s="20" t="str"/>
      <x:c r="V240" s="20" t="str"/>
      <x:c r="W240" s="20" t="str"/>
      <x:c r="X240" s="20" t="str"/>
      <x:c r="Y240" s="20" t="str">
        <x:v>https://www.google.com/maps/search/?api=1&amp;query=%E0%B8%99%E0%B9%89%E0%B8%B3%E0%B8%95%E0%B8%81%E0%B9%84%E0%B8%97%E0%B8%A3%E0%B9%82%E0%B8%A2%E0%B8%84%E0%B8%99%E0%B9%89%E0%B8%AD%E0%B8%A2%20%E0%B8%81%E0%B8%B2%E0%B8%8D%E0%B8%88%E0%B8%99%E0%B8%9A%E0%B8%B8%E0%B8%A3%E0%B8%B5</x:v>
      </x:c>
      <x:c r="Z240" s="56" t="n">
        <x:v>14.2384377</x:v>
      </x:c>
      <x:c r="AA240" s="56" t="n">
        <x:v>99.0582973</x:v>
      </x:c>
      <x:c r="AB240" s="57" t="str"/>
      <x:c r="AC240" s="20" t="str">
        <x:v>https://www.namtoksaiyoknoi.go.th/main/about</x:v>
      </x:c>
    </x:row>
    <x:row r="241" ht="88" customHeight="1">
      <x:c r="A241" s="54" t="n">
        <x:v>233</x:v>
      </x:c>
      <x:c r="B241" s="20" t="str">
        <x:v>อุทยานแห่งชาติไทรโยค</x:v>
      </x:c>
      <x:c r="C241" s="20" t="str">
        <x:v>กาญจนบุรี</x:v>
      </x:c>
      <x:c r="D241" s="20" t="str">
        <x:v>ธรรมชาติ</x:v>
      </x:c>
      <x:c r="E241" s="20" t="str">
        <x:v>พบข้อมูลชื่อตรงจาก เทศบาลตำบลไทรโยค ( ทต. ไทรโยค ) อำเภอไทรโยค จังหวัดกาญจนบุรี; เป็นหลักฐานตัวตน/ประเภท ยังไม่ยืนยันบริการมุสลิมครบเกณฑ์</x:v>
      </x:c>
      <x:c r="F241" s="20" t="str">
        <x:v>ไม่ทราบ</x:v>
      </x:c>
      <x:c r="G241" s="20" t="str">
        <x:v>ยังไม่ยืนยันใบรับรองและวันหมดอายุ</x:v>
      </x:c>
      <x:c r="H241" s="20" t="str">
        <x:v>ตรวจการเปิด ตัวตนสาขา ช่องทางติดต่อ และเงื่อนไขบังคับตามประเภท</x:v>
      </x:c>
      <x:c r="I241" s="20" t="str">
        <x:v>ยังไม่ยืนยันที่อยู่ละเอียด ดูลิงก์แหล่งข้อมูลและ Google Maps</x:v>
      </x:c>
      <x:c r="J241" s="21" t="str">
        <x:v>ยังไม่พบหรือยังไม่ยืนยัน</x:v>
      </x:c>
      <x:c r="K241" s="51" t="str">
        <x:v>https://saiyok.go.th/public/</x:v>
      </x:c>
      <x:c r="L241" s="51" t="str">
        <x:v>https://news.dnp.go.th/news/25146</x:v>
      </x:c>
      <x:c r="M241" s="20" t="str">
        <x:v>พบแหล่งต่างเว็บไซต์ กรมอุทยานฯ เปิดรับฟังความเห็นขยายพื้นที่ ‘อุทยานแห่งชาติไทรโยค’ จังหวัดกาญจนบุรี</x:v>
      </x:c>
      <x:c r="N241" s="28" t="n">
        <x:v>46316</x:v>
      </x:c>
      <x:c r="O241" s="57" t="str">
        <x:v>ยังไม่ตรวจ</x:v>
      </x:c>
      <x:c r="P241" s="57" t="str">
        <x:v>ยังไม่ติดต่อ</x:v>
      </x:c>
      <x:c r="Q241" s="20" t="str">
        <x:v>R26-129</x:v>
      </x:c>
      <x:c r="R241" s="20" t="str"/>
      <x:c r="S241" s="20" t="str"/>
      <x:c r="T241" s="20" t="str">
        <x:v>https://saiyok.go.th/public/</x:v>
      </x:c>
      <x:c r="U241" s="20" t="str"/>
      <x:c r="V241" s="20" t="str"/>
      <x:c r="W241" s="20" t="str"/>
      <x:c r="X241" s="20" t="str"/>
      <x:c r="Y241" s="20" t="str">
        <x:v>https://www.google.com/maps/search/?api=1&amp;query=%E0%B8%AD%E0%B8%B8%E0%B8%97%E0%B8%A2%E0%B8%B2%E0%B8%99%E0%B9%81%E0%B8%AB%E0%B9%88%E0%B8%87%E0%B8%8A%E0%B8%B2%E0%B8%95%E0%B8%B4%E0%B9%84%E0%B8%97%E0%B8%A3%E0%B9%82%E0%B8%A2%E0%B8%84%20%E0%B8%81%E0%B8%B2%E0%B8%8D%E0%B8%88%E0%B8%99%E0%B8%9A%E0%B8%B8%E0%B8%A3%E0%B8%B5</x:v>
      </x:c>
      <x:c r="Z241" s="56" t="n">
        <x:v>14.37608</x:v>
      </x:c>
      <x:c r="AA241" s="56" t="n">
        <x:v>98.728991</x:v>
      </x:c>
      <x:c r="AB241" s="57" t="str"/>
      <x:c r="AC241" s="20" t="str">
        <x:v>https://saiyok.go.th/public/</x:v>
      </x:c>
    </x:row>
    <x:row r="242" ht="88" customHeight="1">
      <x:c r="A242" s="54" t="n">
        <x:v>234</x:v>
      </x:c>
      <x:c r="B242" s="20" t="str">
        <x:v>พิพิธภัณฑ์ช่องเขาขาด</x:v>
      </x:c>
      <x:c r="C242" s="20" t="str">
        <x:v>กาญจนบุรี</x:v>
      </x:c>
      <x:c r="D242" s="20" t="str">
        <x:v>ประวัติ</x:v>
      </x:c>
      <x:c r="E242" s="20" t="str">
        <x:v>พบข้อมูลชื่อตรงจาก พิพิธภัณฑ์ช่องเขาขาด; เป็นหลักฐานตัวตน/ประเภท ยังไม่ยืนยันบริการมุสลิมครบเกณฑ์</x:v>
      </x:c>
      <x:c r="F242" s="20" t="str">
        <x:v>ไม่ทราบ</x:v>
      </x:c>
      <x:c r="G242" s="20" t="str">
        <x:v>ยังไม่ยืนยันใบรับรองและวันหมดอายุ</x:v>
      </x:c>
      <x:c r="H242" s="20" t="str">
        <x:v>ตรวจการเปิด ตัวตนสาขา ช่องทางติดต่อ และเงื่อนไขบังคับตามประเภท</x:v>
      </x:c>
      <x:c r="I242" s="20" t="str">
        <x:v>ยังไม่ยืนยันที่อยู่ละเอียด ดูลิงก์แหล่งข้อมูลและ Google Maps</x:v>
      </x:c>
      <x:c r="J242" s="21" t="str">
        <x:v>ยังไม่พบหรือยังไม่ยืนยัน</x:v>
      </x:c>
      <x:c r="K242" s="51" t="str">
        <x:v>https://www.hellfirepass.in.th/hell-fire-pass-memorial</x:v>
      </x:c>
      <x:c r="L242" s="51" t="str">
        <x:v>https://www.museumthailand.com/index.php/museum/chong-khaokhat-museum-the-hellfire-pass-memorial-museum</x:v>
      </x:c>
      <x:c r="M242" s="20" t="str">
        <x:v>พบแหล่งต่างเว็บไซต์ พิพิธภัณฑ์ช่องเขาขาด — Museum Thailand</x:v>
      </x:c>
      <x:c r="N242" s="28" t="n">
        <x:v>46316</x:v>
      </x:c>
      <x:c r="O242" s="57" t="str">
        <x:v>ยังไม่ตรวจ</x:v>
      </x:c>
      <x:c r="P242" s="57" t="str">
        <x:v>ยังไม่ติดต่อ</x:v>
      </x:c>
      <x:c r="Q242" s="20" t="str">
        <x:v>R26-133</x:v>
      </x:c>
      <x:c r="R242" s="20" t="str"/>
      <x:c r="S242" s="20" t="str"/>
      <x:c r="T242" s="20" t="str">
        <x:v>https://www.hellfirepass.in.th/hell-fire-pass-memorial</x:v>
      </x:c>
      <x:c r="U242" s="20" t="str"/>
      <x:c r="V242" s="20" t="str"/>
      <x:c r="W242" s="20" t="str"/>
      <x:c r="X242" s="20" t="str"/>
      <x:c r="Y242" s="20" t="str">
        <x:v>https://www.google.com/maps/search/?api=1&amp;query=%E0%B8%9E%E0%B8%B4%E0%B8%9E%E0%B8%B4%E0%B8%98%E0%B8%A0%E0%B8%B1%E0%B8%93%E0%B8%91%E0%B9%8C%E0%B8%8A%E0%B9%88%E0%B8%AD%E0%B8%87%E0%B9%80%E0%B8%82%E0%B8%B2%E0%B8%82%E0%B8%B2%E0%B8%94%20%E0%B8%81%E0%B8%B2%E0%B8%8D%E0%B8%88%E0%B8%99%E0%B8%9A%E0%B8%B8%E0%B8%A3%E0%B8%B5</x:v>
      </x:c>
      <x:c r="Z242" s="56" t="n">
        <x:v>14.352635</x:v>
      </x:c>
      <x:c r="AA242" s="56" t="n">
        <x:v>98.954775</x:v>
      </x:c>
      <x:c r="AB242" s="57" t="str"/>
      <x:c r="AC242" s="20" t="str">
        <x:v>https://www.hellfirepass.in.th/hell-fire-pass-memorial</x:v>
      </x:c>
    </x:row>
    <x:row r="243" ht="88" customHeight="1">
      <x:c r="A243" s="54" t="n">
        <x:v>235</x:v>
      </x:c>
      <x:c r="B243" s="20" t="str">
        <x:v>พิพิธภัณฑ์ทางรถไฟไทย-พม่า</x:v>
      </x:c>
      <x:c r="C243" s="20" t="str">
        <x:v>กาญจนบุรี</x:v>
      </x:c>
      <x:c r="D243" s="20" t="str">
        <x:v>ประวัติ</x:v>
      </x:c>
      <x:c r="E243" s="20" t="str">
        <x:v>พบข้อมูลชื่อตรงจาก พิพิธภัณฑ์ทางรถไฟไทย-พม่า | CBT Thailand; เป็นหลักฐานตัวตน/ประเภท ยังไม่ยืนยันบริการมุสลิมครบเกณฑ์</x:v>
      </x:c>
      <x:c r="F243" s="20" t="str">
        <x:v>ไม่ทราบ</x:v>
      </x:c>
      <x:c r="G243" s="20" t="str">
        <x:v>ยังไม่ยืนยันใบรับรองและวันหมดอายุ</x:v>
      </x:c>
      <x:c r="H243" s="20" t="str">
        <x:v>ตรวจการเปิด ตัวตนสาขา ช่องทางติดต่อ และเงื่อนไขบังคับตามประเภท</x:v>
      </x:c>
      <x:c r="I243" s="20" t="str">
        <x:v>ยังไม่ยืนยันที่อยู่ละเอียด ดูลิงก์แหล่งข้อมูลและ Google Maps</x:v>
      </x:c>
      <x:c r="J243" s="21" t="str">
        <x:v>ยังไม่พบหรือยังไม่ยืนยัน</x:v>
      </x:c>
      <x:c r="K243" s="51" t="str">
        <x:v>https://cbtthailand.dasta.or.th/webapp/relattraction/content/1757/</x:v>
      </x:c>
      <x:c r="L243" s="51" t="str">
        <x:v>https://elibrary.tsri.or.th/fullP/RDG5850034/RDG5850034V03/RDG5850034V03_full.pdf</x:v>
      </x:c>
      <x:c r="M243" s="20" t="str">
        <x:v>พบแหล่งต่างเว็บไซต์ 4.2.5 สถานที่ที่ 5 พิพิธภัณฑ์ทางรถไฟไทย–พม่า</x:v>
      </x:c>
      <x:c r="N243" s="28" t="n">
        <x:v>46316</x:v>
      </x:c>
      <x:c r="O243" s="57" t="str">
        <x:v>ยังไม่ตรวจ</x:v>
      </x:c>
      <x:c r="P243" s="57" t="str">
        <x:v>ยังไม่ติดต่อ</x:v>
      </x:c>
      <x:c r="Q243" s="20" t="str">
        <x:v>R26-134</x:v>
      </x:c>
      <x:c r="R243" s="20" t="str"/>
      <x:c r="S243" s="20" t="str"/>
      <x:c r="T243" s="20" t="str">
        <x:v>https://cbtthailand.dasta.or.th/webapp/relattraction/content/1757/</x:v>
      </x:c>
      <x:c r="U243" s="20" t="str"/>
      <x:c r="V243" s="20" t="str"/>
      <x:c r="W243" s="20" t="str"/>
      <x:c r="X243" s="20" t="str"/>
      <x:c r="Y243" s="20" t="str">
        <x:v>https://www.google.com/maps/search/?api=1&amp;query=%E0%B8%9E%E0%B8%B4%E0%B8%9E%E0%B8%B4%E0%B8%98%E0%B8%A0%E0%B8%B1%E0%B8%93%E0%B8%91%E0%B9%8C%E0%B8%97%E0%B8%B2%E0%B8%87%E0%B8%A3%E0%B8%96%E0%B9%84%E0%B8%9F%E0%B9%84%E0%B8%97%E0%B8%A2-%E0%B8%9E%E0%B8%A1%E0%B9%88%E0%B8%B2%20%E0%B8%81%E0%B8%B2%E0%B8%8D%E0%B8%88%E0%B8%99%E0%B8%9A%E0%B8%B8%E0%B8%A3%E0%B8%B5</x:v>
      </x:c>
      <x:c r="Z243" s="56" t="str"/>
      <x:c r="AA243" s="56" t="str"/>
      <x:c r="AB243" s="57" t="str"/>
      <x:c r="AC243" s="20" t="str">
        <x:v>https://cbtthailand.dasta.or.th/webapp/relattraction/content/1757/</x:v>
      </x:c>
    </x:row>
    <x:row r="244" ht="88" customHeight="1">
      <x:c r="A244" s="54" t="n">
        <x:v>236</x:v>
      </x:c>
      <x:c r="B244" s="20" t="str">
        <x:v>ชุมชนบ้านพุองกะ</x:v>
      </x:c>
      <x:c r="C244" s="20" t="str">
        <x:v>กาญจนบุรี</x:v>
      </x:c>
      <x:c r="D244" s="20" t="str">
        <x:v>ชุมชน</x:v>
      </x:c>
      <x:c r="E244" s="20" t="str">
        <x:v>พบข้อมูลชื่อตรงจาก บ้านพุองกะ; เป็นหลักฐานตัวตน/ประเภท ยังไม่ยืนยันบริการมุสลิมครบเกณฑ์</x:v>
      </x:c>
      <x:c r="F244" s="20" t="str">
        <x:v>ไม่ทราบ</x:v>
      </x:c>
      <x:c r="G244" s="20" t="str">
        <x:v>ยังไม่ยืนยันใบรับรองและวันหมดอายุ</x:v>
      </x:c>
      <x:c r="H244" s="20" t="str">
        <x:v>ตรวจการเปิด ตัวตนสาขา ช่องทางติดต่อ และเงื่อนไขบังคับตามประเภท</x:v>
      </x:c>
      <x:c r="I244" s="20" t="str">
        <x:v>ยังไม่ยืนยันที่อยู่ละเอียด ดูลิงก์แหล่งข้อมูลและ Google Maps</x:v>
      </x:c>
      <x:c r="J244" s="21" t="str">
        <x:v>ยังไม่พบหรือยังไม่ยืนยัน</x:v>
      </x:c>
      <x:c r="K244" s="51" t="str">
        <x:v>https://wikicommunity.sac.or.th/community/819</x:v>
      </x:c>
      <x:c r="L244" s="51" t="str">
        <x:v>https://www.thailandtourismdirectory.go.th/attraction/101271</x:v>
      </x:c>
      <x:c r="M244" s="20" t="str">
        <x:v>พบแหล่งต่างเว็บไซต์ แหล่งท่องเที่ยวชุมชนบ้านพุองกะ</x:v>
      </x:c>
      <x:c r="N244" s="28" t="n">
        <x:v>46316</x:v>
      </x:c>
      <x:c r="O244" s="57" t="str">
        <x:v>ยังไม่ตรวจ</x:v>
      </x:c>
      <x:c r="P244" s="57" t="str">
        <x:v>ยังไม่ติดต่อ</x:v>
      </x:c>
      <x:c r="Q244" s="20" t="str">
        <x:v>R26-137</x:v>
      </x:c>
      <x:c r="R244" s="20" t="str"/>
      <x:c r="S244" s="20" t="str"/>
      <x:c r="T244" s="20" t="str">
        <x:v>https://wikicommunity.sac.or.th/community/819</x:v>
      </x:c>
      <x:c r="U244" s="20" t="str"/>
      <x:c r="V244" s="20" t="str"/>
      <x:c r="W244" s="20" t="str"/>
      <x:c r="X244" s="20" t="str"/>
      <x:c r="Y244" s="20" t="str">
        <x:v>https://www.google.com/maps/search/?api=1&amp;query=%E0%B8%8A%E0%B8%B8%E0%B8%A1%E0%B8%8A%E0%B8%99%E0%B8%9A%E0%B9%89%E0%B8%B2%E0%B8%99%E0%B8%9E%E0%B8%B8%E0%B8%AD%E0%B8%87%E0%B8%81%E0%B8%B0%20%E0%B8%81%E0%B8%B2%E0%B8%8D%E0%B8%88%E0%B8%99%E0%B8%9A%E0%B8%B8%E0%B8%A3%E0%B8%B5</x:v>
      </x:c>
      <x:c r="Z244" s="56" t="n">
        <x:v>14.27027</x:v>
      </x:c>
      <x:c r="AA244" s="56" t="n">
        <x:v>99.03061</x:v>
      </x:c>
      <x:c r="AB244" s="57" t="str"/>
      <x:c r="AC244" s="20" t="str">
        <x:v>https://wikicommunity.sac.or.th/community/819</x:v>
      </x:c>
    </x:row>
    <x:row r="245" ht="88" customHeight="1">
      <x:c r="A245" s="54" t="n">
        <x:v>237</x:v>
      </x:c>
      <x:c r="B245" s="20" t="str">
        <x:v>ชุมชนบ้านสามัคคีธรรม กาญจนบุรี</x:v>
      </x:c>
      <x:c r="C245" s="20" t="str">
        <x:v>กาญจนบุรี</x:v>
      </x:c>
      <x:c r="D245" s="20" t="str">
        <x:v>ชุมชน</x:v>
      </x:c>
      <x:c r="E245" s="20" t="str">
        <x:v>พบข้อมูลชื่อตรงจาก ชุมชนบ้านสามัคคีธรรม จังหวัดกาญจนบุรี - YouTube; เป็นหลักฐานตัวตน/ประเภท ยังไม่ยืนยันบริการมุสลิมครบเกณฑ์</x:v>
      </x:c>
      <x:c r="F245" s="20" t="str">
        <x:v>ไม่ทราบ</x:v>
      </x:c>
      <x:c r="G245" s="20" t="str">
        <x:v>ยังไม่ยืนยันใบรับรองและวันหมดอายุ</x:v>
      </x:c>
      <x:c r="H245" s="20" t="str">
        <x:v>ตรวจการเปิด ตัวตนสาขา ช่องทางติดต่อ และเงื่อนไขบังคับตามประเภท</x:v>
      </x:c>
      <x:c r="I245" s="20" t="str">
        <x:v>ยังไม่ยืนยันที่อยู่ละเอียด ดูลิงก์แหล่งข้อมูลและ Google Maps</x:v>
      </x:c>
      <x:c r="J245" s="21" t="str">
        <x:v>ยังไม่พบหรือยังไม่ยืนยัน</x:v>
      </x:c>
      <x:c r="K245" s="51" t="str">
        <x:v>https://www.youtube.com/watch?v=PoucpLIrGZQ</x:v>
      </x:c>
      <x:c r="L245" s="51" t="str">
        <x:v>https://www.tripniceday.com/place/%E0%B8%9A%E0%B9%89%E0%B8%B2%E0%B8%99%E0%B8%AA%E0%B8%B2%E0%B8%A1%E0%B8%B1%E0%B8%84%E0%B8%84%E0%B8%B5%E0%B8%98%E0%B8%A3%E0%B8%A3%E0%B8%A1-%E0%B8%88%E0%B8%B1%E0%B8%87%E0%B8%AB%E0%B8%A7%E0%B8%B1%E0%B8%94%E0%B8%81%E0%B8%B2%E0%B8%8D%E0%B8%88%E0%B8%99%E0%B8%9A%E0%B8%B8%E0%B8%A3%E0%B8%B5</x:v>
      </x:c>
      <x:c r="M245" s="20" t="str">
        <x:v>พบแหล่งต่างเว็บไซต์ บ้านสามัคคีธรรม จังหวัดกาญจนบุรี | ดูข้อมูลที่เที่ยวบน TripNiceDay</x:v>
      </x:c>
      <x:c r="N245" s="28" t="n">
        <x:v>46316</x:v>
      </x:c>
      <x:c r="O245" s="57" t="str">
        <x:v>ยังไม่ตรวจ</x:v>
      </x:c>
      <x:c r="P245" s="57" t="str">
        <x:v>ยังไม่ติดต่อ</x:v>
      </x:c>
      <x:c r="Q245" s="20" t="str">
        <x:v>R26-136</x:v>
      </x:c>
      <x:c r="R245" s="20" t="str"/>
      <x:c r="S245" s="20" t="str"/>
      <x:c r="T245" s="20" t="str">
        <x:v>https://www.youtube.com/watch?v=PoucpLIrGZQ</x:v>
      </x:c>
      <x:c r="U245" s="20" t="str"/>
      <x:c r="V245" s="20" t="str"/>
      <x:c r="W245" s="20" t="str"/>
      <x:c r="X245" s="20" t="str"/>
      <x:c r="Y245" s="20" t="str">
        <x:v>https://www.google.com/maps/search/?api=1&amp;query=%E0%B8%8A%E0%B8%B8%E0%B8%A1%E0%B8%8A%E0%B8%99%E0%B8%9A%E0%B9%89%E0%B8%B2%E0%B8%99%E0%B8%AA%E0%B8%B2%E0%B8%A1%E0%B8%B1%E0%B8%84%E0%B8%84%E0%B8%B5%E0%B8%98%E0%B8%A3%E0%B8%A3%E0%B8%A1%20%E0%B8%81%E0%B8%B2%E0%B8%8D%E0%B8%88%E0%B8%99%E0%B8%9A%E0%B8%B8%E0%B8%A3%E0%B8%B5%20%E0%B8%81%E0%B8%B2%E0%B8%8D%E0%B8%88%E0%B8%99%E0%B8%9A%E0%B8%B8%E0%B8%A3%E0%B8%B5</x:v>
      </x:c>
      <x:c r="Z245" s="56" t="n">
        <x:v>14.096998</x:v>
      </x:c>
      <x:c r="AA245" s="56" t="n">
        <x:v>99.061946</x:v>
      </x:c>
      <x:c r="AB245" s="57" t="str"/>
      <x:c r="AC245" s="20" t="str">
        <x:v>https://www.youtube.com/watch?v=PoucpLIrGZQ</x:v>
      </x:c>
    </x:row>
    <x:row r="246" ht="88" customHeight="1">
      <x:c r="A246" s="54" t="n">
        <x:v>238</x:v>
      </x:c>
      <x:c r="B246" s="20" t="str">
        <x:v>ชุมชนบ้านหนองขาว</x:v>
      </x:c>
      <x:c r="C246" s="20" t="str">
        <x:v>กาญจนบุรี</x:v>
      </x:c>
      <x:c r="D246" s="20" t="str">
        <x:v>ชุมชน</x:v>
      </x:c>
      <x:c r="E246" s="20" t="str">
        <x:v>พบข้อมูลชื่อตรงจาก บ้านหนองขาว; เป็นหลักฐานตัวตน/ประเภท ยังไม่ยืนยันบริการมุสลิมครบเกณฑ์</x:v>
      </x:c>
      <x:c r="F246" s="20" t="str">
        <x:v>ไม่ทราบ</x:v>
      </x:c>
      <x:c r="G246" s="20" t="str">
        <x:v>ยังไม่ยืนยันใบรับรองและวันหมดอายุ</x:v>
      </x:c>
      <x:c r="H246" s="20" t="str">
        <x:v>ตรวจการเปิด ตัวตนสาขา ช่องทางติดต่อ และเงื่อนไขบังคับตามประเภท</x:v>
      </x:c>
      <x:c r="I246" s="20" t="str">
        <x:v>ยังไม่ยืนยันที่อยู่ละเอียด ดูลิงก์แหล่งข้อมูลและ Google Maps</x:v>
      </x:c>
      <x:c r="J246" s="21" t="str">
        <x:v>ยังไม่พบหรือยังไม่ยืนยัน</x:v>
      </x:c>
      <x:c r="K246" s="51" t="str">
        <x:v>https://wikicommunity.sac.or.th/community/855</x:v>
      </x:c>
      <x:c r="L246" s="51" t="str">
        <x:v>https://thamuang.cdd.go.th/th/content/page/index/id/338152</x:v>
      </x:c>
      <x:c r="M246" s="20" t="str">
        <x:v>พบแหล่งต่างเว็บไซต์ ชิญชวนเที่ยว! ชุมชนท่องเที่ยว OTOP นวัตวิถี บ้านหนองขาว ตำบลหนองขาว อำเภอท่าม่วง จังหวัดกาญจนบุรี</x:v>
      </x:c>
      <x:c r="N246" s="28" t="n">
        <x:v>46316</x:v>
      </x:c>
      <x:c r="O246" s="57" t="str">
        <x:v>ยังไม่ตรวจ</x:v>
      </x:c>
      <x:c r="P246" s="57" t="str">
        <x:v>ยังไม่ติดต่อ</x:v>
      </x:c>
      <x:c r="Q246" s="20" t="str">
        <x:v>R26-135</x:v>
      </x:c>
      <x:c r="R246" s="20" t="str"/>
      <x:c r="S246" s="20" t="str"/>
      <x:c r="T246" s="20" t="str">
        <x:v>https://wikicommunity.sac.or.th/community/855</x:v>
      </x:c>
      <x:c r="U246" s="20" t="str"/>
      <x:c r="V246" s="20" t="str"/>
      <x:c r="W246" s="20" t="str"/>
      <x:c r="X246" s="20" t="str"/>
      <x:c r="Y246" s="20" t="str">
        <x:v>https://www.google.com/maps/search/?api=1&amp;query=%E0%B8%8A%E0%B8%B8%E0%B8%A1%E0%B8%8A%E0%B8%99%E0%B8%9A%E0%B9%89%E0%B8%B2%E0%B8%99%E0%B8%AB%E0%B8%99%E0%B8%AD%E0%B8%87%E0%B8%82%E0%B8%B2%E0%B8%A7%20%E0%B8%81%E0%B8%B2%E0%B8%8D%E0%B8%88%E0%B8%99%E0%B8%9A%E0%B8%B8%E0%B8%A3%E0%B8%B5</x:v>
      </x:c>
      <x:c r="Z246" s="56" t="n">
        <x:v>14.054707</x:v>
      </x:c>
      <x:c r="AA246" s="56" t="n">
        <x:v>99.629455</x:v>
      </x:c>
      <x:c r="AB246" s="57" t="str"/>
      <x:c r="AC246" s="20" t="str">
        <x:v>https://wikicommunity.sac.or.th/community/855</x:v>
      </x:c>
    </x:row>
    <x:row r="247" ht="88" customHeight="1">
      <x:c r="A247" s="54" t="n">
        <x:v>239</x:v>
      </x:c>
      <x:c r="B247" s="20" t="str">
        <x:v>ElephantsWorld</x:v>
      </x:c>
      <x:c r="C247" s="20" t="str">
        <x:v>กาญจนบุรี</x:v>
      </x:c>
      <x:c r="D247" s="20" t="str">
        <x:v>กิจกรรม</x:v>
      </x:c>
      <x:c r="E247" s="20" t="str">
        <x:v>พบข้อมูลชื่อตรงจาก Home • ElephantsWorld; เป็นหลักฐานตัวตน/ประเภท ยังไม่ยืนยันบริการมุสลิมครบเกณฑ์</x:v>
      </x:c>
      <x:c r="F247" s="20" t="str">
        <x:v>ไม่ทราบ</x:v>
      </x:c>
      <x:c r="G247" s="20" t="str">
        <x:v>ยังไม่ยืนยันใบรับรองและวันหมดอายุ</x:v>
      </x:c>
      <x:c r="H247" s="20" t="str">
        <x:v>ตรวจการเปิด ตัวตนสาขา ช่องทางติดต่อ และเงื่อนไขบังคับตามประเภท</x:v>
      </x:c>
      <x:c r="I247" s="20" t="str">
        <x:v>ยังไม่ยืนยันที่อยู่ละเอียด ดูลิงก์แหล่งข้อมูลและ Google Maps</x:v>
      </x:c>
      <x:c r="J247" s="21" t="str">
        <x:v>ยังไม่พบหรือยังไม่ยืนยัน</x:v>
      </x:c>
      <x:c r="K247" s="51" t="str">
        <x:v>https://www.elephantsworld.org/</x:v>
      </x:c>
      <x:c r="L247" s="51" t="str">
        <x:v>https://www.talontiew.com/elephantsworld/</x:v>
      </x:c>
      <x:c r="M247" s="20" t="str">
        <x:v>พบแหล่งต่างเว็บไซต์ บ้าน ช.ช้างชรา ElephantsWorld – ตะลอนเที่ยวดอทคอม | ตะลอนเที่ยวดอทคอม</x:v>
      </x:c>
      <x:c r="N247" s="28" t="n">
        <x:v>46316</x:v>
      </x:c>
      <x:c r="O247" s="57" t="str">
        <x:v>ยังไม่ตรวจ</x:v>
      </x:c>
      <x:c r="P247" s="57" t="str">
        <x:v>ยังไม่ติดต่อ</x:v>
      </x:c>
      <x:c r="Q247" s="20" t="str">
        <x:v>R26-302</x:v>
      </x:c>
      <x:c r="R247" s="20" t="str">
        <x:v>ElephantsWorld</x:v>
      </x:c>
      <x:c r="S247" s="20" t="str"/>
      <x:c r="T247" s="20" t="str">
        <x:v>https://www.elephantsworld.org/</x:v>
      </x:c>
      <x:c r="U247" s="20" t="str">
        <x:v>https://www.facebook.com/elephantsworld</x:v>
      </x:c>
      <x:c r="V247" s="20" t="str">
        <x:v>https://www.instagram.com/elephantsworld_official?igsh=MWVyYzlia3c1OXh1MA==</x:v>
      </x:c>
      <x:c r="W247" s="20" t="str"/>
      <x:c r="X247" s="20" t="str"/>
      <x:c r="Y247" s="20" t="str">
        <x:v>https://www.google.com/maps/search/?api=1&amp;query=ElephantsWorld%20%E0%B8%81%E0%B8%B2%E0%B8%8D%E0%B8%88%E0%B8%99%E0%B8%9A%E0%B8%B8%E0%B8%A3%E0%B8%B5</x:v>
      </x:c>
      <x:c r="Z247" s="56" t="str"/>
      <x:c r="AA247" s="56" t="str"/>
      <x:c r="AB247" s="57" t="str"/>
      <x:c r="AC247" s="20" t="str">
        <x:v>https://www.elephantsworld.org/</x:v>
      </x:c>
    </x:row>
    <x:row r="248" ht="88" customHeight="1">
      <x:c r="A248" s="54" t="n">
        <x:v>240</x:v>
      </x:c>
      <x:c r="B248" s="20" t="str">
        <x:v>ย่านเมืองเก่าราชบุรี</x:v>
      </x:c>
      <x:c r="C248" s="20" t="str">
        <x:v>ราชบุรี</x:v>
      </x:c>
      <x:c r="D248" s="20" t="str">
        <x:v>ประวัติ</x:v>
      </x:c>
      <x:c r="E248" s="20" t="str">
        <x:v>พบข้อมูลชื่อตรงจาก เมืองเก่าราชบุรี; เป็นหลักฐานตัวตน/ประเภท ยังไม่ยืนยันบริการมุสลิมครบเกณฑ์</x:v>
      </x:c>
      <x:c r="F248" s="20" t="str">
        <x:v>ไม่ทราบ</x:v>
      </x:c>
      <x:c r="G248" s="20" t="str">
        <x:v>ยังไม่ยืนยันใบรับรองและวันหมดอายุ</x:v>
      </x:c>
      <x:c r="H248" s="20" t="str">
        <x:v>ตรวจการเปิด ตัวตนสาขา ช่องทางติดต่อ และเงื่อนไขบังคับตามประเภท</x:v>
      </x:c>
      <x:c r="I248" s="20" t="str">
        <x:v>ยังไม่ยืนยันที่อยู่ละเอียด ดูลิงก์แหล่งข้อมูลและ Google Maps</x:v>
      </x:c>
      <x:c r="J248" s="21" t="str">
        <x:v>ยังไม่พบหรือยังไม่ยืนยัน</x:v>
      </x:c>
      <x:c r="K248" s="51" t="str">
        <x:v>https://nced.onep.go.th/opendata/2568/oldtown36_announce/ratburi.pdf</x:v>
      </x:c>
      <x:c r="L248" s="51" t="str">
        <x:v>https://wikicommunity.sac.or.th/community/2453</x:v>
      </x:c>
      <x:c r="M248" s="20" t="str">
        <x:v>พบแหล่งต่างเว็บไซต์ ตลาดเก่าราชบุรี</x:v>
      </x:c>
      <x:c r="N248" s="28" t="n">
        <x:v>46316</x:v>
      </x:c>
      <x:c r="O248" s="57" t="str">
        <x:v>ยังไม่ตรวจ</x:v>
      </x:c>
      <x:c r="P248" s="57" t="str">
        <x:v>ยังไม่ติดต่อ</x:v>
      </x:c>
      <x:c r="Q248" s="20" t="str">
        <x:v>R26-054</x:v>
      </x:c>
      <x:c r="R248" s="20" t="str"/>
      <x:c r="S248" s="20" t="str"/>
      <x:c r="T248" s="20" t="str">
        <x:v>https://nced.onep.go.th/opendata/2568/oldtown36_announce/ratburi.pdf</x:v>
      </x:c>
      <x:c r="U248" s="20" t="str"/>
      <x:c r="V248" s="20" t="str"/>
      <x:c r="W248" s="20" t="str"/>
      <x:c r="X248" s="20" t="str"/>
      <x:c r="Y248" s="20" t="str">
        <x:v>https://www.google.com/maps/search/?api=1&amp;query=%E0%B8%A2%E0%B9%88%E0%B8%B2%E0%B8%99%E0%B9%80%E0%B8%A1%E0%B8%B7%E0%B8%AD%E0%B8%87%E0%B9%80%E0%B8%81%E0%B9%88%E0%B8%B2%E0%B8%A3%E0%B8%B2%E0%B8%8A%E0%B8%9A%E0%B8%B8%E0%B8%A3%E0%B8%B5%20%E0%B8%A3%E0%B8%B2%E0%B8%8A%E0%B8%9A%E0%B8%B8%E0%B8%A3%E0%B8%B5</x:v>
      </x:c>
      <x:c r="Z248" s="56" t="n">
        <x:v>13.540591</x:v>
      </x:c>
      <x:c r="AA248" s="56" t="n">
        <x:v>99.822052</x:v>
      </x:c>
      <x:c r="AB248" s="57" t="str"/>
      <x:c r="AC248" s="20" t="str">
        <x:v>https://nced.onep.go.th/opendata/2568/oldtown36_announce/ratburi.pdf</x:v>
      </x:c>
    </x:row>
    <x:row r="249" ht="88" customHeight="1">
      <x:c r="A249" s="54" t="n">
        <x:v>241</x:v>
      </x:c>
      <x:c r="B249" s="20" t="str">
        <x:v>เถ้าฮงไถ่</x:v>
      </x:c>
      <x:c r="C249" s="20" t="str">
        <x:v>ราชบุรี</x:v>
      </x:c>
      <x:c r="D249" s="20" t="str">
        <x:v>กิจกรรม</x:v>
      </x:c>
      <x:c r="E249" s="20" t="str">
        <x:v>พบข้อมูลชื่อตรงจาก เถ้า ฮง ไถ่; เป็นหลักฐานตัวตน/ประเภท ยังไม่ยืนยันบริการมุสลิมครบเกณฑ์</x:v>
      </x:c>
      <x:c r="F249" s="20" t="str">
        <x:v>ไม่ทราบ</x:v>
      </x:c>
      <x:c r="G249" s="20" t="str">
        <x:v>ยังไม่ยืนยันใบรับรองและวันหมดอายุ</x:v>
      </x:c>
      <x:c r="H249" s="20" t="str">
        <x:v>ตรวจการเปิด ตัวตนสาขา ช่องทางติดต่อ และเงื่อนไขบังคับตามประเภท</x:v>
      </x:c>
      <x:c r="I249" s="20" t="str">
        <x:v>ยังไม่ยืนยันที่อยู่ละเอียด ดูลิงก์แหล่งข้อมูลและ Google Maps</x:v>
      </x:c>
      <x:c r="J249" s="21" t="str">
        <x:v>ยังไม่พบหรือยังไม่ยืนยัน</x:v>
      </x:c>
      <x:c r="K249" s="51" t="str">
        <x:v>https://www.thailandtourismdirectory.go.th/th/attraction/22285</x:v>
      </x:c>
      <x:c r="L249" s="51" t="str">
        <x:v>https://thai.tourismthailand.org/Attraction/%E0%B9%80%E0%B8%96%E0%B9%89%E0%B8%B2%E0%B8%AE%E0%B8%87%E0%B9%84%E0%B8%96%E0%B9%88</x:v>
      </x:c>
      <x:c r="M249" s="20" t="str">
        <x:v>พบแหล่งต่างเว็บไซต์ เถ้าฮงไถ่</x:v>
      </x:c>
      <x:c r="N249" s="28" t="n">
        <x:v>46316</x:v>
      </x:c>
      <x:c r="O249" s="57" t="str">
        <x:v>ยังไม่ตรวจ</x:v>
      </x:c>
      <x:c r="P249" s="57" t="str">
        <x:v>ยังไม่ติดต่อ</x:v>
      </x:c>
      <x:c r="Q249" s="20" t="str">
        <x:v>R26-051</x:v>
      </x:c>
      <x:c r="R249" s="20" t="str"/>
      <x:c r="S249" s="20" t="str"/>
      <x:c r="T249" s="20" t="str">
        <x:v>https://www.thailandtourismdirectory.go.th/th/attraction/22285</x:v>
      </x:c>
      <x:c r="U249" s="20" t="str"/>
      <x:c r="V249" s="20" t="str"/>
      <x:c r="W249" s="20" t="str"/>
      <x:c r="X249" s="20" t="str"/>
      <x:c r="Y249" s="20" t="str">
        <x:v>https://www.google.com/maps/search/?api=1&amp;query=%E0%B9%80%E0%B8%96%E0%B9%89%E0%B8%B2%E0%B8%AE%E0%B8%87%E0%B9%84%E0%B8%96%E0%B9%88%20%E0%B8%A3%E0%B8%B2%E0%B8%8A%E0%B8%9A%E0%B8%B8%E0%B8%A3%E0%B8%B5</x:v>
      </x:c>
      <x:c r="Z249" s="56" t="n">
        <x:v>13.544189</x:v>
      </x:c>
      <x:c r="AA249" s="56" t="n">
        <x:v>99.804453</x:v>
      </x:c>
      <x:c r="AB249" s="57" t="str"/>
      <x:c r="AC249" s="20" t="str">
        <x:v>https://www.thailandtourismdirectory.go.th/th/attraction/22285</x:v>
      </x:c>
    </x:row>
    <x:row r="250" ht="88" customHeight="1">
      <x:c r="A250" s="54" t="n">
        <x:v>242</x:v>
      </x:c>
      <x:c r="B250" s="20" t="str">
        <x:v>เรื่องของโอ่ง Pottery Legend</x:v>
      </x:c>
      <x:c r="C250" s="20" t="str">
        <x:v>ราชบุรี</x:v>
      </x:c>
      <x:c r="D250" s="20" t="str">
        <x:v>กิจกรรม</x:v>
      </x:c>
      <x:c r="E250" s="20" t="str">
        <x:v>พบข้อมูลชื่อตรงจาก เรื่องของโอ่ง Pottery Legend — เวิร์กชอป ราชบุรี — Activy; เป็นหลักฐานตัวตน/ประเภท ยังไม่ยืนยันบริการมุสลิมครบเกณฑ์</x:v>
      </x:c>
      <x:c r="F250" s="20" t="str">
        <x:v>ไม่ทราบ</x:v>
      </x:c>
      <x:c r="G250" s="20" t="str">
        <x:v>ยังไม่ยืนยันใบรับรองและวันหมดอายุ</x:v>
      </x:c>
      <x:c r="H250" s="20" t="str">
        <x:v>ตรวจการเปิด ตัวตนสาขา ช่องทางติดต่อ และเงื่อนไขบังคับตามประเภท</x:v>
      </x:c>
      <x:c r="I250" s="20" t="str">
        <x:v>ยังไม่ยืนยันที่อยู่ละเอียด ดูลิงก์แหล่งข้อมูลและ Google Maps</x:v>
      </x:c>
      <x:c r="J250" s="21" t="str">
        <x:v>ยังไม่พบหรือยังไม่ยืนยัน</x:v>
      </x:c>
      <x:c r="K250" s="51" t="str">
        <x:v>https://activy.co/th/a/a0926</x:v>
      </x:c>
      <x:c r="L250" s="51" t="str">
        <x:v>https://www.youtube.com/watch?v=92J2dykJg9A</x:v>
      </x:c>
      <x:c r="M250" s="20" t="str">
        <x:v>พบแหล่งต่างเว็บไซต์ 63 11 23 เรื่องของโอ่ง (Pottery Legend) - YouTube</x:v>
      </x:c>
      <x:c r="N250" s="28" t="n">
        <x:v>46316</x:v>
      </x:c>
      <x:c r="O250" s="57" t="str">
        <x:v>ยังไม่ตรวจ</x:v>
      </x:c>
      <x:c r="P250" s="57" t="str">
        <x:v>ยังไม่ติดต่อ</x:v>
      </x:c>
      <x:c r="Q250" s="20" t="str">
        <x:v>R26-053</x:v>
      </x:c>
      <x:c r="R250" s="20" t="str"/>
      <x:c r="S250" s="20" t="str"/>
      <x:c r="T250" s="20" t="str">
        <x:v>https://activy.co/th/a/a0926</x:v>
      </x:c>
      <x:c r="U250" s="20" t="str"/>
      <x:c r="V250" s="20" t="str"/>
      <x:c r="W250" s="20" t="str"/>
      <x:c r="X250" s="20" t="str"/>
      <x:c r="Y250" s="20" t="str">
        <x:v>https://www.google.com/maps/search/?api=1&amp;query=%E0%B9%80%E0%B8%A3%E0%B8%B7%E0%B9%88%E0%B8%AD%E0%B8%87%E0%B8%82%E0%B8%AD%E0%B8%87%E0%B9%82%E0%B8%AD%E0%B9%88%E0%B8%87%20Pottery%20Legend%20%E0%B8%A3%E0%B8%B2%E0%B8%8A%E0%B8%9A%E0%B8%B8%E0%B8%A3%E0%B8%B5</x:v>
      </x:c>
      <x:c r="Z250" s="56" t="str"/>
      <x:c r="AA250" s="56" t="str"/>
      <x:c r="AB250" s="57" t="str"/>
      <x:c r="AC250" s="20" t="str">
        <x:v>https://activy.co/th/a/a0926</x:v>
      </x:c>
    </x:row>
    <x:row r="251" ht="88" customHeight="1">
      <x:c r="A251" s="54" t="n">
        <x:v>243</x:v>
      </x:c>
      <x:c r="B251" s="20" t="str">
        <x:v>Inlaya Ratchaburi</x:v>
      </x:c>
      <x:c r="C251" s="20" t="str">
        <x:v>ราชบุรี</x:v>
      </x:c>
      <x:c r="D251" s="20" t="str">
        <x:v>ที่พัก</x:v>
      </x:c>
      <x:c r="E251" s="20" t="str">
        <x:v>พบข้อมูลชื่อตรงจาก INLAYA | Thailand; เป็นหลักฐานตัวตน/ประเภท ยังไม่ยืนยันบริการมุสลิมครบเกณฑ์</x:v>
      </x:c>
      <x:c r="F251" s="20" t="str">
        <x:v>ไม่ทราบ</x:v>
      </x:c>
      <x:c r="G251" s="20" t="str">
        <x:v>ยังไม่ยืนยันใบรับรองและวันหมดอายุ</x:v>
      </x:c>
      <x:c r="H251" s="20" t="str">
        <x:v>ตรวจการเปิด ตัวตนสาขา ช่องทางติดต่อ และเงื่อนไขบังคับตามประเภท</x:v>
      </x:c>
      <x:c r="I251" s="20" t="str">
        <x:v>ยังไม่ยืนยันที่อยู่ละเอียด ดูลิงก์แหล่งข้อมูลและ Google Maps</x:v>
      </x:c>
      <x:c r="J251" s="21" t="str">
        <x:v>+668794875 / +6632206179</x:v>
      </x:c>
      <x:c r="K251" s="51" t="str">
        <x:v>https://www.inlayaratchaburi.com/</x:v>
      </x:c>
      <x:c r="L251" s="51" t="str">
        <x:v>https://en.wikipedia.org/wiki/Ratchaburi</x:v>
      </x:c>
      <x:c r="M251" s="20" t="str">
        <x:v>พบแหล่งต่างเว็บไซต์ Ratchaburi</x:v>
      </x:c>
      <x:c r="N251" s="28" t="n">
        <x:v>46316</x:v>
      </x:c>
      <x:c r="O251" s="57" t="str">
        <x:v>ยังไม่ตรวจ</x:v>
      </x:c>
      <x:c r="P251" s="57" t="str">
        <x:v>ยังไม่ติดต่อ</x:v>
      </x:c>
      <x:c r="Q251" s="20" t="str">
        <x:v>R26-376</x:v>
      </x:c>
      <x:c r="R251" s="20" t="str">
        <x:v>Inlaya Ratchaburi</x:v>
      </x:c>
      <x:c r="S251" s="20" t="str"/>
      <x:c r="T251" s="20" t="str">
        <x:v>https://www.inlayaratchaburi.com/</x:v>
      </x:c>
      <x:c r="U251" s="20" t="str">
        <x:v>https://www.facebook.com/inlayaratchaburi</x:v>
      </x:c>
      <x:c r="V251" s="20" t="str">
        <x:v>https://www.instagram.com/inlaya.ig</x:v>
      </x:c>
      <x:c r="W251" s="20" t="str">
        <x:v>https://lin.ee/Zqq4zX95</x:v>
      </x:c>
      <x:c r="X251" s="20" t="str"/>
      <x:c r="Y251" s="20" t="str">
        <x:v>https://www.google.com/maps/search/?api=1&amp;query=Inlaya%20Ratchaburi%20%E0%B8%A3%E0%B8%B2%E0%B8%8A%E0%B8%9A%E0%B8%B8%E0%B8%A3%E0%B8%B5</x:v>
      </x:c>
      <x:c r="Z251" s="56" t="n">
        <x:v>13.581707</x:v>
      </x:c>
      <x:c r="AA251" s="56" t="n">
        <x:v>99.732509</x:v>
      </x:c>
      <x:c r="AB251" s="57" t="str"/>
      <x:c r="AC251" s="20" t="str">
        <x:v>https://www.inlayaratchaburi.com/</x:v>
      </x:c>
    </x:row>
    <x:row r="252" ht="88" customHeight="1">
      <x:c r="A252" s="54" t="n">
        <x:v>244</x:v>
      </x:c>
      <x:c r="B252" s="20" t="str">
        <x:v>Le Lert Hotel Ratchaburi</x:v>
      </x:c>
      <x:c r="C252" s="20" t="str">
        <x:v>ราชบุรี</x:v>
      </x:c>
      <x:c r="D252" s="20" t="str">
        <x:v>ที่พัก</x:v>
      </x:c>
      <x:c r="E252" s="20" t="str">
        <x:v>พบข้อมูลชื่อตรงจาก Le Lert Hotel Ratchaburi, Ratchaburi (updated prices 2026); เป็นหลักฐานตัวตน/ประเภท ยังไม่ยืนยันบริการมุสลิมครบเกณฑ์</x:v>
      </x:c>
      <x:c r="F252" s="20" t="str">
        <x:v>ไม่ทราบ</x:v>
      </x:c>
      <x:c r="G252" s="20" t="str">
        <x:v>ยังไม่ยืนยันใบรับรองและวันหมดอายุ</x:v>
      </x:c>
      <x:c r="H252" s="20" t="str">
        <x:v>ตรวจการเปิด ตัวตนสาขา ช่องทางติดต่อ และเงื่อนไขบังคับตามประเภท</x:v>
      </x:c>
      <x:c r="I252" s="20" t="str">
        <x:v>ยังไม่ยืนยันที่อยู่ละเอียด ดูลิงก์แหล่งข้อมูลและ Google Maps</x:v>
      </x:c>
      <x:c r="J252" s="21" t="str">
        <x:v>ยังไม่พบหรือยังไม่ยืนยัน</x:v>
      </x:c>
      <x:c r="K252" s="51" t="str">
        <x:v>https://www.booking.com/hotel/th/le-lert-ratchaburi.html</x:v>
      </x:c>
      <x:c r="L252" s="51" t="str">
        <x:v>https://th.hotels.com/ho2800903840/le-lert-hotel-ratchaburi-rachburi-thiy/?equalTargetTab=tab-0</x:v>
      </x:c>
      <x:c r="M252" s="20" t="str">
        <x:v>พบแหล่งต่างเว็บไซต์ โรงแรมเลอเลิศ ราชบุรี - โรงแรมใน ราชบุรี | Hotels.com</x:v>
      </x:c>
      <x:c r="N252" s="28" t="n">
        <x:v>46316</x:v>
      </x:c>
      <x:c r="O252" s="57" t="str">
        <x:v>ยังไม่ตรวจ</x:v>
      </x:c>
      <x:c r="P252" s="57" t="str">
        <x:v>ยังไม่ติดต่อ</x:v>
      </x:c>
      <x:c r="Q252" s="20" t="str">
        <x:v>R26-375</x:v>
      </x:c>
      <x:c r="R252" s="20" t="str">
        <x:v>Le Lert Hotel Ratchaburi</x:v>
      </x:c>
      <x:c r="S252" s="20" t="str"/>
      <x:c r="T252" s="20" t="str">
        <x:v>https://www.booking.com/hotel/th/le-lert-ratchaburi.html</x:v>
      </x:c>
      <x:c r="U252" s="20" t="str"/>
      <x:c r="V252" s="20" t="str"/>
      <x:c r="W252" s="20" t="str"/>
      <x:c r="X252" s="20" t="str"/>
      <x:c r="Y252" s="20" t="str">
        <x:v>https://www.google.com/maps/search/?api=1&amp;query=Le%20Lert%20Hotel%20Ratchaburi%20%E0%B8%A3%E0%B8%B2%E0%B8%8A%E0%B8%9A%E0%B8%B8%E0%B8%A3%E0%B8%B5</x:v>
      </x:c>
      <x:c r="Z252" s="56" t="str"/>
      <x:c r="AA252" s="56" t="str"/>
      <x:c r="AB252" s="57" t="str"/>
      <x:c r="AC252" s="20" t="str">
        <x:v>https://www.booking.com/hotel/th/le-lert-ratchaburi.html</x:v>
      </x:c>
    </x:row>
    <x:row r="253" ht="88" customHeight="1">
      <x:c r="A253" s="54" t="n">
        <x:v>245</x:v>
      </x:c>
      <x:c r="B253" s="20" t="str">
        <x:v>Rachabhura Hotel</x:v>
      </x:c>
      <x:c r="C253" s="20" t="str">
        <x:v>ราชบุรี</x:v>
      </x:c>
      <x:c r="D253" s="20" t="str">
        <x:v>ที่พัก</x:v>
      </x:c>
      <x:c r="E253" s="20" t="str">
        <x:v>พบข้อมูลชื่อตรงจาก Rachabura Hotel ราชาบุระ ที่พักพูลวิลล่า ประชุมสัมมนา ราชบุรี – ติดแม่น้ำแม่กลอง; เป็นหลักฐานตัวตน/ประเภท ยังไม่ยืนยันบริการมุสลิมครบเกณฑ์</x:v>
      </x:c>
      <x:c r="F253" s="20" t="str">
        <x:v>ไม่ทราบ</x:v>
      </x:c>
      <x:c r="G253" s="20" t="str">
        <x:v>ยังไม่ยืนยันใบรับรองและวันหมดอายุ</x:v>
      </x:c>
      <x:c r="H253" s="20" t="str">
        <x:v>ตรวจการเปิด ตัวตนสาขา ช่องทางติดต่อ และเงื่อนไขบังคับตามประเภท</x:v>
      </x:c>
      <x:c r="I253" s="20" t="str">
        <x:v>ยังไม่ยืนยันที่อยู่ละเอียด ดูลิงก์แหล่งข้อมูลและ Google Maps</x:v>
      </x:c>
      <x:c r="J253" s="21" t="str">
        <x:v>66032919999</x:v>
      </x:c>
      <x:c r="K253" s="51" t="str">
        <x:v>https://rachabhurahotel.com/en/</x:v>
      </x:c>
      <x:c r="L253" s="51" t="str">
        <x:v>https://www.youtube.com/watch?v=1W25rn_KB6s</x:v>
      </x:c>
      <x:c r="M253" s="20" t="str">
        <x:v>พบแหล่งต่างเว็บไซต์ โรงแรม ราชาบุระ (Rachabhura) ราชบุรี - YouTube</x:v>
      </x:c>
      <x:c r="N253" s="28" t="n">
        <x:v>46316</x:v>
      </x:c>
      <x:c r="O253" s="57" t="str">
        <x:v>ยังไม่ตรวจ</x:v>
      </x:c>
      <x:c r="P253" s="57" t="str">
        <x:v>ยังไม่ติดต่อ</x:v>
      </x:c>
      <x:c r="Q253" s="20" t="str">
        <x:v>R26-374</x:v>
      </x:c>
      <x:c r="R253" s="20" t="str">
        <x:v>Rachabhura Hotel</x:v>
      </x:c>
      <x:c r="S253" s="20" t="str">
        <x:v>fom@rachabhurahotel.com</x:v>
      </x:c>
      <x:c r="T253" s="20" t="str">
        <x:v>https://rachabhurahotel.com/en/</x:v>
      </x:c>
      <x:c r="U253" s="20" t="str">
        <x:v>https://www.facebook.com/rachabhurahotel/</x:v>
      </x:c>
      <x:c r="V253" s="20" t="str">
        <x:v>https://www.instagram.com/rachabhurahotel/?igshid=takvd9hn6dw2</x:v>
      </x:c>
      <x:c r="W253" s="20" t="str"/>
      <x:c r="X253" s="20" t="str"/>
      <x:c r="Y253" s="20" t="str">
        <x:v>https://www.google.com/maps/search/?api=1&amp;query=Rachabhura%20Hotel%20%E0%B8%A3%E0%B8%B2%E0%B8%8A%E0%B8%9A%E0%B8%B8%E0%B8%A3%E0%B8%B5</x:v>
      </x:c>
      <x:c r="Z253" s="56" t="str"/>
      <x:c r="AA253" s="56" t="str"/>
      <x:c r="AB253" s="57" t="str"/>
      <x:c r="AC253" s="20" t="str">
        <x:v>https://rachabhurahotel.com/en/</x:v>
      </x:c>
    </x:row>
    <x:row r="254" ht="88" customHeight="1">
      <x:c r="A254" s="54" t="n">
        <x:v>246</x:v>
      </x:c>
      <x:c r="B254" s="20" t="str">
        <x:v>โรตีบังมิง บ้านสวน</x:v>
      </x:c>
      <x:c r="C254" s="20" t="str">
        <x:v>ราชบุรี</x:v>
      </x:c>
      <x:c r="D254" s="20" t="str">
        <x:v>คาเฟ่และร้านของหวาน</x:v>
      </x:c>
      <x:c r="E254" s="20" t="str">
        <x:v>มีรายชื่อใน Makan Halal Guide; ระบุมีห้องละหมาด</x:v>
      </x:c>
      <x:c r="F254" s="20" t="str">
        <x:v>มีข้อมูลระบุ แต่รอยืนยัน</x:v>
      </x:c>
      <x:c r="G254" s="20" t="str">
        <x:v>ยังไม่พบเอกสารรับรองและวันหมดอายุ</x:v>
      </x:c>
      <x:c r="H25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54" s="20" t="str">
        <x:v>ตำบลนางแก้ว อำเภอโพธาราม ราชบุรี 70120 เส้นวัดเขาดิน-หัวรอ ถ้ามาจากโพธาราม ผ่านหน้าวัดเขาช่องพราน เจอแยกไฟแดงที่ 2 ให้เลี้ยวซ้าย ตรงมาประมาณ 1 กิโลเมตร ร้านจะอยู่ซ้ายมือ</x:v>
      </x:c>
      <x:c r="J254" s="21" t="str">
        <x:v>0806546063</x:v>
      </x:c>
      <x:c r="K254" s="51" t="str">
        <x:v>https://makanhalalguide.com/shop/detail/5837</x:v>
      </x:c>
      <x:c r="L254" s="51" t="str">
        <x:v>https://www.lemon8-app.com/%40chomlisa.log/7454075536081207815?region=th</x:v>
      </x:c>
      <x:c r="M254" s="20" t="str">
        <x:v>ผลค้นหาชื่อสัมพันธ์จากแหล่งเพิ่มเติม ต้องยืนยันสาขาและข้อมูลปัจจุบัน</x:v>
      </x:c>
      <x:c r="N254" s="28" t="n">
        <x:v>46315</x:v>
      </x:c>
      <x:c r="O254" s="57" t="str">
        <x:v>ยังไม่ตรวจ</x:v>
      </x:c>
      <x:c r="P254" s="57" t="str">
        <x:v>ยังไม่ติดต่อ</x:v>
      </x:c>
      <x:c r="Q254" s="20" t="str">
        <x:v>TMF-018</x:v>
      </x:c>
      <x:c r="R254" s="20" t="str"/>
      <x:c r="S254" s="20" t="str"/>
      <x:c r="T254" s="20" t="str">
        <x:v>https://makanhalalguide.com/shop/detail/5837</x:v>
      </x:c>
      <x:c r="U254" s="20" t="str"/>
      <x:c r="V254" s="20" t="str"/>
      <x:c r="W254" s="20" t="str"/>
      <x:c r="X254" s="20" t="str"/>
      <x:c r="Y254" s="20" t="str">
        <x:v>https://www.google.com/maps/search/?api=1&amp;query=%E0%B9%82%E0%B8%A3%E0%B8%95%E0%B8%B5%E0%B8%9A%E0%B8%B1%E0%B8%87%E0%B8%A1%E0%B8%B4%E0%B8%87%20%E0%B8%9A%E0%B9%89%E0%B8%B2%E0%B8%99%E0%B8%AA%E0%B8%A7%E0%B8%99%20%E0%B8%A3%E0%B8%B2%E0%B8%8A%E0%B8%9A%E0%B8%B8%E0%B8%A3%E0%B8%B5</x:v>
      </x:c>
      <x:c r="Z254" s="56" t="n">
        <x:v>13.693626</x:v>
      </x:c>
      <x:c r="AA254" s="56" t="n">
        <x:v>99.774492</x:v>
      </x:c>
      <x:c r="AB254" s="57" t="str"/>
      <x:c r="AC254" s="20" t="str">
        <x:v>https://makanhalalguide.com/shop/detail/5837</x:v>
      </x:c>
    </x:row>
    <x:row r="255" ht="88" customHeight="1">
      <x:c r="A255" s="54" t="n">
        <x:v>247</x:v>
      </x:c>
      <x:c r="B255" s="20" t="str">
        <x:v>ไทย-มุสลิม(Thai-Muslim Restaurant)</x:v>
      </x:c>
      <x:c r="C255" s="20" t="str">
        <x:v>ราชบุรี</x:v>
      </x:c>
      <x:c r="D255" s="20" t="str">
        <x:v>ร้านอาหาร</x:v>
      </x:c>
      <x:c r="E255" s="20" t="str">
        <x:v>มีรายชื่อใน Makan Halal Guide; ระบุมีห้องละหมาด</x:v>
      </x:c>
      <x:c r="F255" s="20" t="str">
        <x:v>มีข้อมูลระบุ แต่รอยืนยัน</x:v>
      </x:c>
      <x:c r="G255" s="20" t="str">
        <x:v>ยังไม่พบเอกสารรับรองและวันหมดอายุ</x:v>
      </x:c>
      <x:c r="H25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55" s="20" t="str">
        <x:v>48 ถนนอุดมศิริ ตำบลหน้าเมือง อำเภอเมือง จังหวัดราชบุรี 70000</x:v>
      </x:c>
      <x:c r="J255" s="21" t="str">
        <x:v>0805265106</x:v>
      </x:c>
      <x:c r="K255" s="51" t="str">
        <x:v>https://makanhalalguide.com/shop/detail/2728</x:v>
      </x:c>
      <x:c r="L255" s="51" t="str">
        <x:v>https://www.wongnai.com/restaurants/103556Sr-%E0%B8%A3%E0%B9%89%E0%B8%B2%E0%B8%99%E0%B8%AD%E0%B8%B2%E0%B8%AB%E0%B8%B2%E0%B8%A3%E0%B9%84%E0%B8%97%E0%B8%A2-%E0%B8%A1%E0%B8%B8%E0%B8%AA%E0%B8%A5%E0%B8%B4%E0%B8%A1</x:v>
      </x:c>
      <x:c r="M255" s="20" t="str">
        <x:v>ผลค้นหาชื่อสัมพันธ์จากแหล่งเพิ่มเติม ต้องยืนยันสาขาและข้อมูลปัจจุบัน</x:v>
      </x:c>
      <x:c r="N255" s="28" t="n">
        <x:v>46315</x:v>
      </x:c>
      <x:c r="O255" s="57" t="str">
        <x:v>ยังไม่ตรวจ</x:v>
      </x:c>
      <x:c r="P255" s="57" t="str">
        <x:v>ยังไม่ติดต่อ</x:v>
      </x:c>
      <x:c r="Q255" s="20" t="str">
        <x:v>TMF-019</x:v>
      </x:c>
      <x:c r="R255" s="20" t="str"/>
      <x:c r="S255" s="20" t="str"/>
      <x:c r="T255" s="20" t="str">
        <x:v>https://makanhalalguide.com/shop/detail/2728</x:v>
      </x:c>
      <x:c r="U255" s="20" t="str"/>
      <x:c r="V255" s="20" t="str"/>
      <x:c r="W255" s="20" t="str"/>
      <x:c r="X255" s="20" t="str"/>
      <x:c r="Y255" s="20" t="str">
        <x:v>https://www.google.com/maps/search/?api=1&amp;query=%E0%B9%84%E0%B8%97%E0%B8%A2-%E0%B8%A1%E0%B8%B8%E0%B8%AA%E0%B8%A5%E0%B8%B4%E0%B8%A1%28Thai-Muslim%20Restaurant%29%20%E0%B8%A3%E0%B8%B2%E0%B8%8A%E0%B8%9A%E0%B8%B8%E0%B8%A3%E0%B8%B5</x:v>
      </x:c>
      <x:c r="Z255" s="56" t="n">
        <x:v>13.528745</x:v>
      </x:c>
      <x:c r="AA255" s="56" t="n">
        <x:v>99.821041</x:v>
      </x:c>
      <x:c r="AB255" s="57" t="str"/>
      <x:c r="AC255" s="20" t="str">
        <x:v>https://makanhalalguide.com/shop/detail/2728</x:v>
      </x:c>
    </x:row>
    <x:row r="256" ht="88" customHeight="1">
      <x:c r="A256" s="54" t="n">
        <x:v>248</x:v>
      </x:c>
      <x:c r="B256" s="20" t="str">
        <x:v>ธารน้ำร้อนบ่อคลึง</x:v>
      </x:c>
      <x:c r="C256" s="20" t="str">
        <x:v>ราชบุรี</x:v>
      </x:c>
      <x:c r="D256" s="20" t="str">
        <x:v>เวลเนส</x:v>
      </x:c>
      <x:c r="E256" s="20" t="str">
        <x:v>พบข้อมูลชื่อตรงจาก ธารน้ำร้อนบ่อคลึง; เป็นหลักฐานตัวตน/ประเภท ยังไม่ยืนยันบริการมุสลิมครบเกณฑ์</x:v>
      </x:c>
      <x:c r="F256" s="20" t="str">
        <x:v>ไม่ทราบ</x:v>
      </x:c>
      <x:c r="G256" s="20" t="str">
        <x:v>ยังไม่ยืนยันใบรับรองและวันหมดอายุ</x:v>
      </x:c>
      <x:c r="H256" s="20" t="str">
        <x:v>ตรวจการเปิด ตัวตนสาขา ช่องทางติดต่อ และเงื่อนไขบังคับตามประเภท</x:v>
      </x:c>
      <x:c r="I256" s="20" t="str">
        <x:v>ยังไม่ยืนยันที่อยู่ละเอียด ดูลิงก์แหล่งข้อมูลและ Google Maps</x:v>
      </x:c>
      <x:c r="J256" s="21" t="str">
        <x:v>ยังไม่พบหรือยังไม่ยืนยัน</x:v>
      </x:c>
      <x:c r="K256" s="51" t="str">
        <x:v>https://www.thailandtourismdirectory.go.th/th/attraction/1517</x:v>
      </x:c>
      <x:c r="L256" s="51" t="str">
        <x:v>https://thai.tourismthailand.org/Attraction/%E0%B8%98%E0%B8%B2%E0%B8%A3%E0%B8%99%E0%B9%89%E0%B8%B3%E0%B8%A3%E0%B9%89%E0%B8%AD%E0%B8%99%E0%B8%9A%E0%B9%88%E0%B8%AD%E0%B8%84%E0%B8%A5%E0%B8%B6%E0%B8%87</x:v>
      </x:c>
      <x:c r="M256" s="20" t="str">
        <x:v>พบแหล่งต่างเว็บไซต์ ธารน้ำร้อนบ่อคลึง</x:v>
      </x:c>
      <x:c r="N256" s="28" t="n">
        <x:v>46316</x:v>
      </x:c>
      <x:c r="O256" s="57" t="str">
        <x:v>ยังไม่ตรวจ</x:v>
      </x:c>
      <x:c r="P256" s="57" t="str">
        <x:v>ยังไม่ติดต่อ</x:v>
      </x:c>
      <x:c r="Q256" s="20" t="str">
        <x:v>R26-281</x:v>
      </x:c>
      <x:c r="R256" s="20" t="str"/>
      <x:c r="S256" s="20" t="str"/>
      <x:c r="T256" s="20" t="str">
        <x:v>https://www.thailandtourismdirectory.go.th/th/attraction/1517</x:v>
      </x:c>
      <x:c r="U256" s="20" t="str"/>
      <x:c r="V256" s="20" t="str"/>
      <x:c r="W256" s="20" t="str"/>
      <x:c r="X256" s="20" t="str"/>
      <x:c r="Y256" s="20" t="str">
        <x:v>https://www.google.com/maps/search/?api=1&amp;query=%E0%B8%98%E0%B8%B2%E0%B8%A3%E0%B8%99%E0%B9%89%E0%B8%B3%E0%B8%A3%E0%B9%89%E0%B8%AD%E0%B8%99%E0%B8%9A%E0%B9%88%E0%B8%AD%E0%B8%84%E0%B8%A5%E0%B8%B6%E0%B8%87%20%E0%B8%A3%E0%B8%B2%E0%B8%8A%E0%B8%9A%E0%B8%B8%E0%B8%A3%E0%B8%B5</x:v>
      </x:c>
      <x:c r="Z256" s="56" t="n">
        <x:v>13.519783</x:v>
      </x:c>
      <x:c r="AA256" s="56" t="n">
        <x:v>99.246351</x:v>
      </x:c>
      <x:c r="AB256" s="57" t="str"/>
      <x:c r="AC256" s="20" t="str">
        <x:v>https://www.thailandtourismdirectory.go.th/th/attraction/1517</x:v>
      </x:c>
    </x:row>
    <x:row r="257" ht="88" customHeight="1">
      <x:c r="A257" s="54" t="n">
        <x:v>249</x:v>
      </x:c>
      <x:c r="B257" s="20" t="str">
        <x:v>Robinson Lifestyle Ratchaburi</x:v>
      </x:c>
      <x:c r="C257" s="20" t="str">
        <x:v>ราชบุรี</x:v>
      </x:c>
      <x:c r="D257" s="20" t="str">
        <x:v>การค้า</x:v>
      </x:c>
      <x:c r="E257" s="20" t="str">
        <x:v>พบข้อมูลชื่อตรงจาก Robinson Lifestyle; เป็นหลักฐานตัวตน/ประเภท ยังไม่ยืนยันบริการมุสลิมครบเกณฑ์</x:v>
      </x:c>
      <x:c r="F257" s="20" t="str">
        <x:v>ไม่ทราบ</x:v>
      </x:c>
      <x:c r="G257" s="20" t="str">
        <x:v>ยังไม่ยืนยันใบรับรองและวันหมดอายุ</x:v>
      </x:c>
      <x:c r="H257" s="20" t="str">
        <x:v>ตรวจการเปิด ตัวตนสาขา ช่องทางติดต่อ และเงื่อนไขบังคับตามประเภท</x:v>
      </x:c>
      <x:c r="I257" s="20" t="str">
        <x:v>ยังไม่ยืนยันที่อยู่ละเอียด ดูลิงก์แหล่งข้อมูลและ Google Maps</x:v>
      </x:c>
      <x:c r="J257" s="21" t="str">
        <x:v>ยังไม่พบหรือยังไม่ยืนยัน</x:v>
      </x:c>
      <x:c r="K257" s="51" t="str">
        <x:v>https://en.wikipedia.org/wiki/Robinson_Lifestyle</x:v>
      </x:c>
      <x:c r="L257" s="51" t="str">
        <x:v>https://amazingthailand.com/robinson-lifestyle-ratchaburi</x:v>
      </x:c>
      <x:c r="M257" s="20" t="str">
        <x:v>พบแหล่งต่างเว็บไซต์ Robinson Lifestyle Ratchaburi - Amazing Thailand</x:v>
      </x:c>
      <x:c r="N257" s="28" t="n">
        <x:v>46316</x:v>
      </x:c>
      <x:c r="O257" s="57" t="str">
        <x:v>ยังไม่ตรวจ</x:v>
      </x:c>
      <x:c r="P257" s="57" t="str">
        <x:v>ยังไม่ติดต่อ</x:v>
      </x:c>
      <x:c r="Q257" s="20" t="str">
        <x:v>R26-263</x:v>
      </x:c>
      <x:c r="R257" s="20" t="str">
        <x:v>Robinson Lifestyle Ratchaburi</x:v>
      </x:c>
      <x:c r="S257" s="20" t="str"/>
      <x:c r="T257" s="20" t="str">
        <x:v>https://en.wikipedia.org/wiki/Robinson_Lifestyle</x:v>
      </x:c>
      <x:c r="U257" s="20" t="str"/>
      <x:c r="V257" s="20" t="str"/>
      <x:c r="W257" s="20" t="str"/>
      <x:c r="X257" s="20" t="str"/>
      <x:c r="Y257" s="20" t="str">
        <x:v>https://www.google.com/maps/search/?api=1&amp;query=Robinson%20Lifestyle%20Ratchaburi%20%E0%B8%A3%E0%B8%B2%E0%B8%8A%E0%B8%9A%E0%B8%B8%E0%B8%A3%E0%B8%B5</x:v>
      </x:c>
      <x:c r="Z257" s="56" t="str"/>
      <x:c r="AA257" s="56" t="str"/>
      <x:c r="AB257" s="57" t="str"/>
      <x:c r="AC257" s="20" t="str">
        <x:v>https://en.wikipedia.org/wiki/Robinson_Lifestyle</x:v>
      </x:c>
    </x:row>
    <x:row r="258" ht="88" customHeight="1">
      <x:c r="A258" s="54" t="n">
        <x:v>250</x:v>
      </x:c>
      <x:c r="B258" s="20" t="str">
        <x:v>ถ้ำเขาบิน</x:v>
      </x:c>
      <x:c r="C258" s="20" t="str">
        <x:v>ราชบุรี</x:v>
      </x:c>
      <x:c r="D258" s="20" t="str">
        <x:v>ธรรมชาติ</x:v>
      </x:c>
      <x:c r="E258" s="20" t="str">
        <x:v>พบข้อมูลชื่อตรงจาก ถ้ำเขาบิน; เป็นหลักฐานตัวตน/ประเภท ยังไม่ยืนยันบริการมุสลิมครบเกณฑ์</x:v>
      </x:c>
      <x:c r="F258" s="20" t="str">
        <x:v>ไม่ทราบ</x:v>
      </x:c>
      <x:c r="G258" s="20" t="str">
        <x:v>ยังไม่ยืนยันใบรับรองและวันหมดอายุ</x:v>
      </x:c>
      <x:c r="H258" s="20" t="str">
        <x:v>ตรวจการเปิด ตัวตนสาขา ช่องทางติดต่อ และเงื่อนไขบังคับตามประเภท</x:v>
      </x:c>
      <x:c r="I258" s="20" t="str">
        <x:v>ยังไม่ยืนยันที่อยู่ละเอียด ดูลิงก์แหล่งข้อมูลและ Google Maps</x:v>
      </x:c>
      <x:c r="J258" s="21" t="str">
        <x:v>ยังไม่พบหรือยังไม่ยืนยัน</x:v>
      </x:c>
      <x:c r="K258" s="51" t="str">
        <x:v>https://www.thailandtourismdirectory.go.th/th/attraction/1507</x:v>
      </x:c>
      <x:c r="L258" s="51" t="str">
        <x:v>https://cbtthailand.dasta.or.th/webapp/relattraction/content/1205/</x:v>
      </x:c>
      <x:c r="M258" s="20" t="str">
        <x:v>พบแหล่งต่างเว็บไซต์ ถ้ำเขาบิน | CBT Thailand</x:v>
      </x:c>
      <x:c r="N258" s="28" t="n">
        <x:v>46316</x:v>
      </x:c>
      <x:c r="O258" s="57" t="str">
        <x:v>ยังไม่ตรวจ</x:v>
      </x:c>
      <x:c r="P258" s="57" t="str">
        <x:v>ยังไม่ติดต่อ</x:v>
      </x:c>
      <x:c r="Q258" s="20" t="str">
        <x:v>R26-139</x:v>
      </x:c>
      <x:c r="R258" s="20" t="str"/>
      <x:c r="S258" s="20" t="str"/>
      <x:c r="T258" s="20" t="str">
        <x:v>https://www.thailandtourismdirectory.go.th/th/attraction/1507</x:v>
      </x:c>
      <x:c r="U258" s="20" t="str"/>
      <x:c r="V258" s="20" t="str"/>
      <x:c r="W258" s="20" t="str"/>
      <x:c r="X258" s="20" t="str"/>
      <x:c r="Y258" s="20" t="str">
        <x:v>https://www.google.com/maps/search/?api=1&amp;query=%E0%B8%96%E0%B9%89%E0%B8%B3%E0%B9%80%E0%B8%82%E0%B8%B2%E0%B8%9A%E0%B8%B4%E0%B8%99%20%E0%B8%A3%E0%B8%B2%E0%B8%8A%E0%B8%9A%E0%B8%B8%E0%B8%A3%E0%B8%B5</x:v>
      </x:c>
      <x:c r="Z258" s="56" t="n">
        <x:v>13.592952</x:v>
      </x:c>
      <x:c r="AA258" s="56" t="n">
        <x:v>99.667218</x:v>
      </x:c>
      <x:c r="AB258" s="57" t="str"/>
      <x:c r="AC258" s="20" t="str">
        <x:v>https://www.thailandtourismdirectory.go.th/th/attraction/1507</x:v>
      </x:c>
    </x:row>
    <x:row r="259" ht="88" customHeight="1">
      <x:c r="A259" s="54" t="n">
        <x:v>251</x:v>
      </x:c>
      <x:c r="B259" s="20" t="str">
        <x:v>น้ำตกเก้าโจน</x:v>
      </x:c>
      <x:c r="C259" s="20" t="str">
        <x:v>ราชบุรี</x:v>
      </x:c>
      <x:c r="D259" s="20" t="str">
        <x:v>ธรรมชาติ</x:v>
      </x:c>
      <x:c r="E259" s="20" t="str">
        <x:v>พบข้อมูลชื่อตรงจาก น้ำตกเก้าชั้น หรือน้ำตกเก้าโจน; เป็นหลักฐานตัวตน/ประเภท ยังไม่ยืนยันบริการมุสลิมครบเกณฑ์</x:v>
      </x:c>
      <x:c r="F259" s="20" t="str">
        <x:v>ไม่ทราบ</x:v>
      </x:c>
      <x:c r="G259" s="20" t="str">
        <x:v>ยังไม่ยืนยันใบรับรองและวันหมดอายุ</x:v>
      </x:c>
      <x:c r="H259" s="20" t="str">
        <x:v>ตรวจการเปิด ตัวตนสาขา ช่องทางติดต่อ และเงื่อนไขบังคับตามประเภท</x:v>
      </x:c>
      <x:c r="I259" s="20" t="str">
        <x:v>ยังไม่ยืนยันที่อยู่ละเอียด ดูลิงก์แหล่งข้อมูลและ Google Maps</x:v>
      </x:c>
      <x:c r="J259" s="21" t="str">
        <x:v>ยังไม่พบหรือยังไม่ยืนยัน</x:v>
      </x:c>
      <x:c r="K259" s="51" t="str">
        <x:v>https://api.tat.or.th/upload/live/multimedia/8979/E-Brochure_Ratchaburi_%28Th%29.pdf</x:v>
      </x:c>
      <x:c r="L259" s="51" t="str">
        <x:v>https://www.youtube.com/watch?v=rD0vQjC1CY8</x:v>
      </x:c>
      <x:c r="M259" s="20" t="str">
        <x:v>พบแหล่งต่างเว็บไซต์ น้ำตกเก้าชั้น(น้ำตกเก้าโจน)อ.สวนผึ้ง จ.ราชบุรี - YouTube</x:v>
      </x:c>
      <x:c r="N259" s="28" t="n">
        <x:v>46316</x:v>
      </x:c>
      <x:c r="O259" s="57" t="str">
        <x:v>ยังไม่ตรวจ</x:v>
      </x:c>
      <x:c r="P259" s="57" t="str">
        <x:v>ยังไม่ติดต่อ</x:v>
      </x:c>
      <x:c r="Q259" s="20" t="str">
        <x:v>R26-140</x:v>
      </x:c>
      <x:c r="R259" s="20" t="str"/>
      <x:c r="S259" s="20" t="str"/>
      <x:c r="T259" s="20" t="str">
        <x:v>https://api.tat.or.th/upload/live/multimedia/8979/E-Brochure_Ratchaburi_%28Th%29.pdf</x:v>
      </x:c>
      <x:c r="U259" s="20" t="str"/>
      <x:c r="V259" s="20" t="str"/>
      <x:c r="W259" s="20" t="str"/>
      <x:c r="X259" s="20" t="str"/>
      <x:c r="Y259" s="20" t="str">
        <x:v>https://www.google.com/maps/search/?api=1&amp;query=%E0%B8%99%E0%B9%89%E0%B8%B3%E0%B8%95%E0%B8%81%E0%B9%80%E0%B8%81%E0%B9%89%E0%B8%B2%E0%B9%82%E0%B8%88%E0%B8%99%20%E0%B8%A3%E0%B8%B2%E0%B8%8A%E0%B8%9A%E0%B8%B8%E0%B8%A3%E0%B8%B5</x:v>
      </x:c>
      <x:c r="Z259" s="56" t="n">
        <x:v>13.5249509</x:v>
      </x:c>
      <x:c r="AA259" s="56" t="n">
        <x:v>99.2392105</x:v>
      </x:c>
      <x:c r="AB259" s="57" t="str"/>
      <x:c r="AC259" s="20" t="str">
        <x:v>https://api.tat.or.th/upload/live/multimedia/8979/E-Brochure_Ratchaburi_%28Th%29.pdf</x:v>
      </x:c>
    </x:row>
    <x:row r="260" ht="88" customHeight="1">
      <x:c r="A260" s="54" t="n">
        <x:v>252</x:v>
      </x:c>
      <x:c r="B260" s="20" t="str">
        <x:v>สวนพฤกษศาสตร์วรรณคดีภาคกลาง ราชบุรี</x:v>
      </x:c>
      <x:c r="C260" s="20" t="str">
        <x:v>ราชบุรี</x:v>
      </x:c>
      <x:c r="D260" s="20" t="str">
        <x:v>ธรรมชาติ</x:v>
      </x:c>
      <x:c r="E260" s="20" t="str">
        <x:v>พบข้อมูลชื่อตรงจาก สวนพฤกษศาสตร์วรรณคดีภาคกลาง ราชบุรี | ข้อมูลเที่ยวและการเดินทาง | Lovethailand.org; เป็นหลักฐานตัวตน/ประเภท ยังไม่ยืนยันบริการมุสลิมครบเกณฑ์</x:v>
      </x:c>
      <x:c r="F260" s="20" t="str">
        <x:v>ไม่ทราบ</x:v>
      </x:c>
      <x:c r="G260" s="20" t="str">
        <x:v>ยังไม่ยืนยันใบรับรองและวันหมดอายุ</x:v>
      </x:c>
      <x:c r="H260" s="20" t="str">
        <x:v>ตรวจการเปิด ตัวตนสาขา ช่องทางติดต่อ และเงื่อนไขบังคับตามประเภท</x:v>
      </x:c>
      <x:c r="I260" s="20" t="str">
        <x:v>ยังไม่ยืนยันที่อยู่ละเอียด ดูลิงก์แหล่งข้อมูลและ Google Maps</x:v>
      </x:c>
      <x:c r="J260" s="21" t="str">
        <x:v>ยังไม่พบหรือยังไม่ยืนยัน</x:v>
      </x:c>
      <x:c r="K260" s="51" t="str">
        <x:v>https://www.lovethailand.org/travel/8-phrae/13-%E0%B8%A3%E0%B8%B2%E0%B8%8A%E0%B8%9A%E0%B8%B8%E0%B8%A3%E0%B8%B5/1560-%E0%B8%AA%E0%B8%A7%E0%B8%99%E0%B8%9E%E0%B8%A4%E0%B8%81%E0%B8%A9%E0%B8%A8%E0%B8%B2%E0%B8%AA%E0%B8%95%E0%B8%A3%E0%B9%8C%E0%B8%A7%E0%B8%A3%E0%B8%A3%E0%B8%93%E0%B8%84%E0%B8%94%E0%B8%B5%E0%B8%A0%E0%B8%B2%E0%B8%84%E0%B8%81%E0%B8%A5%E0%B8%B2%E0%B8%87.html</x:v>
      </x:c>
      <x:c r="L260" s="51" t="str">
        <x:v>https://www.sanook.com/travel/653331/</x:v>
      </x:c>
      <x:c r="M260" s="20" t="str">
        <x:v>พบแหล่งต่างเว็บไซต์ สวนพฤกศาสตร์วรรณคดีภาคกลาง</x:v>
      </x:c>
      <x:c r="N260" s="28" t="n">
        <x:v>46316</x:v>
      </x:c>
      <x:c r="O260" s="57" t="str">
        <x:v>ยังไม่ตรวจ</x:v>
      </x:c>
      <x:c r="P260" s="57" t="str">
        <x:v>ยังไม่ติดต่อ</x:v>
      </x:c>
      <x:c r="Q260" s="20" t="str">
        <x:v>R26-141</x:v>
      </x:c>
      <x:c r="R260" s="20" t="str"/>
      <x:c r="S260" s="20" t="str"/>
      <x:c r="T260" s="20" t="str">
        <x:v>https://www.lovethailand.org/travel/8-phrae/13-%E0%B8%A3%E0%B8%B2%E0%B8%8A%E0%B8%9A%E0%B8%B8%E0%B8%A3%E0%B8%B5/1560-%E0%B8%AA%E0%B8%A7%E0%B8%99%E0%B8%9E%E0%B8%A4%E0%B8%81%E0%B8%A9%E0%B8%A8%E0%B8%B2%E0%B8%AA%E0%B8%95%E0%B8%A3%E0%B9%8C%E0%B8%A7%E0%B8%A3%E0%B8%A3%E0%B8%93%E0%B8%84%E0%B8%94%E0%B8%B5%E0%B8%A0%E0%B8%B2%E0%B8%84%E0%B8%81%E0%B8%A5%E0%B8%B2%E0%B8%87.html</x:v>
      </x:c>
      <x:c r="U260" s="20" t="str"/>
      <x:c r="V260" s="20" t="str"/>
      <x:c r="W260" s="20" t="str"/>
      <x:c r="X260" s="20" t="str"/>
      <x:c r="Y260" s="20" t="str">
        <x:v>https://www.google.com/maps/search/?api=1&amp;query=%E0%B8%AA%E0%B8%A7%E0%B8%99%E0%B8%9E%E0%B8%A4%E0%B8%81%E0%B8%A9%E0%B8%A8%E0%B8%B2%E0%B8%AA%E0%B8%95%E0%B8%A3%E0%B9%8C%E0%B8%A7%E0%B8%A3%E0%B8%A3%E0%B8%93%E0%B8%84%E0%B8%94%E0%B8%B5%E0%B8%A0%E0%B8%B2%E0%B8%84%E0%B8%81%E0%B8%A5%E0%B8%B2%E0%B8%87%20%E0%B8%A3%E0%B8%B2%E0%B8%8A%E0%B8%9A%E0%B8%B8%E0%B8%A3%E0%B8%B5%20%E0%B8%A3%E0%B8%B2%E0%B8%8A%E0%B8%9A%E0%B8%B8%E0%B8%A3%E0%B8%B5</x:v>
      </x:c>
      <x:c r="Z260" s="56" t="n">
        <x:v>13.606181</x:v>
      </x:c>
      <x:c r="AA260" s="56" t="n">
        <x:v>99.66314</x:v>
      </x:c>
      <x:c r="AB260" s="57" t="str"/>
      <x:c r="AC260" s="20" t="str">
        <x:v>https://www.lovethailand.org/travel/8-phrae/13-%E0%B8%A3%E0%B8%B2%E0%B8%8A%E0%B8%9A%E0%B8%B8%E0%B8%A3%E0%B8%B5/1560-%E0%B8%AA%E0%B8%A7%E0%B8%99%E0%B8%9E%E0%B8%A4%E0%B8%81%E0%B8%A9%E0%B8%A8%E0%B8%B2%E0%B8%AA%E0%B8%95%E0%B8%A3%E0%B9%8C%E0%B8%A7%E0%B8%A3%E0%B8%A3%E0%B8%93%E0%B8%84%E0%B8%94%E0%B8%B5%E0%B8%A0%E0%B8%B2%E0%B8%84%E0%B8%81%E0%B8%A5%E0%B8%B2%E0%B8%87.html</x:v>
      </x:c>
    </x:row>
    <x:row r="261" ht="88" customHeight="1">
      <x:c r="A261" s="54" t="n">
        <x:v>253</x:v>
      </x:c>
      <x:c r="B261" s="20" t="str">
        <x:v>อุทยานหินเขางู</x:v>
      </x:c>
      <x:c r="C261" s="20" t="str">
        <x:v>ราชบุรี</x:v>
      </x:c>
      <x:c r="D261" s="20" t="str">
        <x:v>ธรรมชาติ</x:v>
      </x:c>
      <x:c r="E261" s="20" t="str">
        <x:v>พบข้อมูลชื่อตรงจาก อุทยานหินเขางู อำเภอเมือง จังหวัดราชบุรี - สำนักงานการท่องเที่ยวและกีฬาจังหวัดราชบุรี; เป็นหลักฐานตัวตน/ประเภท ยังไม่ยืนยันบริการมุสลิมครบเกณฑ์</x:v>
      </x:c>
      <x:c r="F261" s="20" t="str">
        <x:v>ไม่ทราบ</x:v>
      </x:c>
      <x:c r="G261" s="20" t="str">
        <x:v>ยังไม่ยืนยันใบรับรองและวันหมดอายุ</x:v>
      </x:c>
      <x:c r="H261" s="20" t="str">
        <x:v>ตรวจการเปิด ตัวตนสาขา ช่องทางติดต่อ และเงื่อนไขบังคับตามประเภท</x:v>
      </x:c>
      <x:c r="I261" s="20" t="str">
        <x:v>ยังไม่ยืนยันที่อยู่ละเอียด ดูลิงก์แหล่งข้อมูลและ Google Maps</x:v>
      </x:c>
      <x:c r="J261" s="21" t="str">
        <x:v>ยังไม่พบหรือยังไม่ยืนยัน</x:v>
      </x:c>
      <x:c r="K261" s="51" t="str">
        <x:v>https://ratchaburi.mots.go.th/news/462</x:v>
      </x:c>
      <x:c r="L261" s="51" t="str">
        <x:v>https://tfo.dot.go.th/th/locations/khao-ngu-stone-park/</x:v>
      </x:c>
      <x:c r="M261" s="20" t="str">
        <x:v>พบแหล่งต่างเว็บไซต์ อุทยานหินเขางู - TFO</x:v>
      </x:c>
      <x:c r="N261" s="28" t="n">
        <x:v>46316</x:v>
      </x:c>
      <x:c r="O261" s="57" t="str">
        <x:v>ยังไม่ตรวจ</x:v>
      </x:c>
      <x:c r="P261" s="57" t="str">
        <x:v>ยังไม่ติดต่อ</x:v>
      </x:c>
      <x:c r="Q261" s="20" t="str">
        <x:v>R26-138</x:v>
      </x:c>
      <x:c r="R261" s="20" t="str"/>
      <x:c r="S261" s="20" t="str"/>
      <x:c r="T261" s="20" t="str">
        <x:v>https://ratchaburi.mots.go.th/news/462</x:v>
      </x:c>
      <x:c r="U261" s="20" t="str"/>
      <x:c r="V261" s="20" t="str"/>
      <x:c r="W261" s="20" t="str"/>
      <x:c r="X261" s="20" t="str"/>
      <x:c r="Y261" s="20" t="str">
        <x:v>https://www.google.com/maps/search/?api=1&amp;query=%E0%B8%AD%E0%B8%B8%E0%B8%97%E0%B8%A2%E0%B8%B2%E0%B8%99%E0%B8%AB%E0%B8%B4%E0%B8%99%E0%B9%80%E0%B8%82%E0%B8%B2%E0%B8%87%E0%B8%B9%20%E0%B8%A3%E0%B8%B2%E0%B8%8A%E0%B8%9A%E0%B8%B8%E0%B8%A3%E0%B8%B5</x:v>
      </x:c>
      <x:c r="Z261" s="56" t="n">
        <x:v>13.530344</x:v>
      </x:c>
      <x:c r="AA261" s="56" t="n">
        <x:v>99.812347</x:v>
      </x:c>
      <x:c r="AB261" s="57" t="str"/>
      <x:c r="AC261" s="20" t="str">
        <x:v>https://ratchaburi.mots.go.th/news/462</x:v>
      </x:c>
    </x:row>
    <x:row r="262" ht="88" customHeight="1">
      <x:c r="A262" s="54" t="n">
        <x:v>254</x:v>
      </x:c>
      <x:c r="B262" s="20" t="str">
        <x:v>ตลาดน้ำดำเนินสะดวก</x:v>
      </x:c>
      <x:c r="C262" s="20" t="str">
        <x:v>ราชบุรี</x:v>
      </x:c>
      <x:c r="D262" s="20" t="str">
        <x:v>ตลาดน้ำและวิถีวัฒนธรรม</x:v>
      </x:c>
      <x:c r="E262" s="20" t="str">
        <x:v>ททท. ระบุตลาดน้ำในราชบุรี ต้องกำหนดผู้ให้บริการอาหารฮาลาลและจุดละหมาดที่ตรวจสอบได้</x:v>
      </x:c>
      <x:c r="F262" s="20" t="str">
        <x:v>ไม่ทราบ</x:v>
      </x:c>
      <x:c r="G262" s="20" t="str">
        <x:v>ยังไม่พบเอกสารรับรองและวันหมดอายุ</x:v>
      </x:c>
      <x:c r="H262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262" s="20" t="str">
        <x:v>ยังไม่ยืนยันที่อยู่ละเอียด ดูลิงก์แหล่งข้อมูลและ Google Maps</x:v>
      </x:c>
      <x:c r="J262" s="21" t="str">
        <x:v>ยังไม่พบหรือยังไม่ยืนยัน</x:v>
      </x:c>
      <x:c r="K262" s="51" t="str">
        <x:v>https://www.tourismthailand.org/Destinations/Provinces/ratchaburi/232</x:v>
      </x:c>
      <x:c r="L262" s="51" t="str">
        <x:v>https://www.wongnai.com/reviews/15b419bbf09b47458ef3b2dc55f377db</x:v>
      </x:c>
      <x:c r="M262" s="20" t="str">
        <x:v>ผลค้นหาชื่อสัมพันธ์จากแหล่งเพิ่มเติม ต้องยืนยันสาขาและข้อมูลปัจจุบัน</x:v>
      </x:c>
      <x:c r="N262" s="28" t="n">
        <x:v>46315</x:v>
      </x:c>
      <x:c r="O262" s="57" t="str">
        <x:v>ยังไม่ตรวจ</x:v>
      </x:c>
      <x:c r="P262" s="57" t="str">
        <x:v>ยังไม่ติดต่อ</x:v>
      </x:c>
      <x:c r="Q262" s="20" t="str">
        <x:v>TMF-444</x:v>
      </x:c>
      <x:c r="R262" s="20" t="str"/>
      <x:c r="S262" s="20" t="str"/>
      <x:c r="T262" s="20" t="str">
        <x:v>https://www.tourismthailand.org/Destinations/Provinces/ratchaburi/232</x:v>
      </x:c>
      <x:c r="U262" s="20" t="str"/>
      <x:c r="V262" s="20" t="str"/>
      <x:c r="W262" s="20" t="str"/>
      <x:c r="X262" s="20" t="str"/>
      <x:c r="Y262" s="20" t="str">
        <x:v>https://www.google.com/maps/search/?api=1&amp;query=%E0%B8%95%E0%B8%A5%E0%B8%B2%E0%B8%94%E0%B8%99%E0%B9%89%E0%B8%B3%E0%B8%94%E0%B8%B3%E0%B9%80%E0%B8%99%E0%B8%B4%E0%B8%99%E0%B8%AA%E0%B8%B0%E0%B8%94%E0%B8%A7%E0%B8%81%20%E0%B8%A3%E0%B8%B2%E0%B8%8A%E0%B8%9A%E0%B8%B8%E0%B8%A3%E0%B8%B5</x:v>
      </x:c>
      <x:c r="Z262" s="56" t="n">
        <x:v>13.519762</x:v>
      </x:c>
      <x:c r="AA262" s="56" t="n">
        <x:v>99.959352</x:v>
      </x:c>
      <x:c r="AB262" s="57" t="str"/>
      <x:c r="AC262" s="20" t="str">
        <x:v>https://www.tourismthailand.org/Destinations/Provinces/ratchaburi/232</x:v>
      </x:c>
    </x:row>
    <x:row r="263" ht="88" customHeight="1">
      <x:c r="A263" s="54" t="n">
        <x:v>255</x:v>
      </x:c>
      <x:c r="B263" s="20" t="str">
        <x:v>ตลาดเก่าโคยกี๊</x:v>
      </x:c>
      <x:c r="C263" s="20" t="str">
        <x:v>ราชบุรี</x:v>
      </x:c>
      <x:c r="D263" s="20" t="str">
        <x:v>ตลาดเก่าและย่านวัฒนธรรม</x:v>
      </x:c>
      <x:c r="E263" s="20" t="str">
        <x:v>ททท. แนะนำตลาดเก่าโคยกี๊ ต้องจัดทำเส้นทางอาหารฮาลาลและข้อมูลละหมาด</x:v>
      </x:c>
      <x:c r="F263" s="20" t="str">
        <x:v>ไม่ทราบ</x:v>
      </x:c>
      <x:c r="G263" s="20" t="str">
        <x:v>ยังไม่พบเอกสารรับรองและวันหมดอายุ</x:v>
      </x:c>
      <x:c r="H263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263" s="20" t="str">
        <x:v>ยังไม่ยืนยันที่อยู่ละเอียด ดูลิงก์แหล่งข้อมูลและ Google Maps</x:v>
      </x:c>
      <x:c r="J263" s="21" t="str">
        <x:v>ยังไม่พบหรือยังไม่ยืนยัน</x:v>
      </x:c>
      <x:c r="K263" s="51" t="str">
        <x:v>https://www.tourismthailand.org/Articles/https-www-tourismthailand-org-articles-4must-seesitesinratchaburi</x:v>
      </x:c>
      <x:c r="L263" s="51" t="str">
        <x:v>https://www.wongnai.com/reviews/bc4e06b366bd4446ba0329e82b2152d2</x:v>
      </x:c>
      <x:c r="M263" s="20" t="str">
        <x:v>ผลค้นหาชื่อสัมพันธ์จากแหล่งเพิ่มเติม ต้องยืนยันสาขาและข้อมูลปัจจุบัน</x:v>
      </x:c>
      <x:c r="N263" s="28" t="n">
        <x:v>46316</x:v>
      </x:c>
      <x:c r="O263" s="57" t="str">
        <x:v>ยังไม่ตรวจ</x:v>
      </x:c>
      <x:c r="P263" s="57" t="str">
        <x:v>ยังไม่ติดต่อ</x:v>
      </x:c>
      <x:c r="Q263" s="20" t="str">
        <x:v>TMF-445</x:v>
      </x:c>
      <x:c r="R263" s="20" t="str"/>
      <x:c r="S263" s="20" t="str"/>
      <x:c r="T263" s="20" t="str">
        <x:v>https://www.tourismthailand.org/Articles/https-www-tourismthailand-org-articles-4must-seesitesinratchaburi</x:v>
      </x:c>
      <x:c r="U263" s="20" t="str"/>
      <x:c r="V263" s="20" t="str"/>
      <x:c r="W263" s="20" t="str"/>
      <x:c r="X263" s="20" t="str"/>
      <x:c r="Y263" s="20" t="str">
        <x:v>https://www.google.com/maps/search/?api=1&amp;query=%E0%B8%95%E0%B8%A5%E0%B8%B2%E0%B8%94%E0%B9%80%E0%B8%81%E0%B9%88%E0%B8%B2%E0%B9%82%E0%B8%84%E0%B8%A2%E0%B8%81%E0%B8%B5%E0%B9%8A%20%E0%B8%A3%E0%B8%B2%E0%B8%8A%E0%B8%9A%E0%B8%B8%E0%B8%A3%E0%B8%B5</x:v>
      </x:c>
      <x:c r="Z263" s="56" t="str"/>
      <x:c r="AA263" s="56" t="str"/>
      <x:c r="AB263" s="57" t="str"/>
      <x:c r="AC263" s="20" t="str">
        <x:v>https://www.tourismthailand.org/Articles/https-www-tourismthailand-org-articles-4must-seesitesinratchaburi</x:v>
      </x:c>
    </x:row>
    <x:row r="264" ht="88" customHeight="1">
      <x:c r="A264" s="54" t="n">
        <x:v>256</x:v>
      </x:c>
      <x:c r="B264" s="20" t="str">
        <x:v>พิพิธภัณฑสถานแห่งชาติ ราชบุรี</x:v>
      </x:c>
      <x:c r="C264" s="20" t="str">
        <x:v>ราชบุรี</x:v>
      </x:c>
      <x:c r="D264" s="20" t="str">
        <x:v>พิพิธภัณฑ์</x:v>
      </x:c>
      <x:c r="E264" s="20" t="str">
        <x:v>ททท. ระบุเป็นแหล่งประวัติศาสตร์ของจังหวัด ยังต้องพัฒนาข้อมูลและสิ่งอำนวยความสะดวกสำหรับมุสลิม</x:v>
      </x:c>
      <x:c r="F264" s="20" t="str">
        <x:v>ไม่ทราบ</x:v>
      </x:c>
      <x:c r="G264" s="20" t="str">
        <x:v>ยังไม่พบเอกสารรับรองและวันหมดอายุ</x:v>
      </x:c>
      <x:c r="H264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264" s="20" t="str">
        <x:v>ยังไม่ยืนยันที่อยู่ละเอียด ดูลิงก์แหล่งข้อมูลและ Google Maps</x:v>
      </x:c>
      <x:c r="J264" s="21" t="str">
        <x:v>ยังไม่พบหรือยังไม่ยืนยัน</x:v>
      </x:c>
      <x:c r="K264" s="51" t="str">
        <x:v>https://thai.tourismthailand.org/Destinations/Provinces/ราชบุรี/232</x:v>
      </x:c>
      <x:c r="L264" s="51" t="str">
        <x:v>https://th.tripadvisor.com/Attraction_Review-g1028727-d12285502-Reviews-Ratchaburi_National_Museum-Ratchaburi_Ratchaburi_Province.html</x:v>
      </x:c>
      <x:c r="M264" s="20" t="str">
        <x:v>ผลค้นหาชื่อสัมพันธ์จากแหล่งเพิ่มเติม ต้องยืนยันสาขาและข้อมูลปัจจุบัน</x:v>
      </x:c>
      <x:c r="N264" s="28" t="n">
        <x:v>46316</x:v>
      </x:c>
      <x:c r="O264" s="57" t="str">
        <x:v>ยังไม่ตรวจ</x:v>
      </x:c>
      <x:c r="P264" s="57" t="str">
        <x:v>ยังไม่ติดต่อ</x:v>
      </x:c>
      <x:c r="Q264" s="20" t="str">
        <x:v>TMF-446</x:v>
      </x:c>
      <x:c r="R264" s="20" t="str"/>
      <x:c r="S264" s="20" t="str"/>
      <x:c r="T264" s="20" t="str">
        <x:v>https://thai.tourismthailand.org/Destinations/Provinces/ราชบุรี/232</x:v>
      </x:c>
      <x:c r="U264" s="20" t="str"/>
      <x:c r="V264" s="20" t="str"/>
      <x:c r="W264" s="20" t="str"/>
      <x:c r="X264" s="20" t="str"/>
      <x:c r="Y264" s="20" t="str">
        <x:v>https://www.google.com/maps/search/?api=1&amp;query=%E0%B8%9E%E0%B8%B4%E0%B8%9E%E0%B8%B4%E0%B8%98%E0%B8%A0%E0%B8%B1%E0%B8%93%E0%B8%91%E0%B8%AA%E0%B8%96%E0%B8%B2%E0%B8%99%E0%B9%81%E0%B8%AB%E0%B9%88%E0%B8%87%E0%B8%8A%E0%B8%B2%E0%B8%95%E0%B8%B4%20%E0%B8%A3%E0%B8%B2%E0%B8%8A%E0%B8%9A%E0%B8%B8%E0%B8%A3%E0%B8%B5%20%E0%B8%A3%E0%B8%B2%E0%B8%8A%E0%B8%9A%E0%B8%B8%E0%B8%A3%E0%B8%B5</x:v>
      </x:c>
      <x:c r="Z264" s="56" t="n">
        <x:v>13.5410266</x:v>
      </x:c>
      <x:c r="AA264" s="56" t="n">
        <x:v>99.817885</x:v>
      </x:c>
      <x:c r="AB264" s="57" t="str"/>
      <x:c r="AC264" s="20" t="str">
        <x:v>https://thai.tourismthailand.org/Destinations/Provinces/ราชบุรี/232</x:v>
      </x:c>
    </x:row>
    <x:row r="265" ht="88" customHeight="1">
      <x:c r="A265" s="54" t="n">
        <x:v>257</x:v>
      </x:c>
      <x:c r="B265" s="20" t="str">
        <x:v>พิพิธภัณฑ์หนังใหญ่วัดขนอน</x:v>
      </x:c>
      <x:c r="C265" s="20" t="str">
        <x:v>ราชบุรี</x:v>
      </x:c>
      <x:c r="D265" s="20" t="str">
        <x:v>พิพิธภัณฑ์ศิลปะการแสดง</x:v>
      </x:c>
      <x:c r="E265" s="20" t="str">
        <x:v>ททท. ระบุพิพิธภัณฑ์หนังใหญ่ เสนอเข้าชมด้านวัฒนธรรมโดยสมัครใจ ต้องตรวจสิ่งอำนวยความสะดวกมุสลิม</x:v>
      </x:c>
      <x:c r="F265" s="20" t="str">
        <x:v>ไม่ทราบ</x:v>
      </x:c>
      <x:c r="G265" s="20" t="str">
        <x:v>ยังไม่พบเอกสารรับรองและวันหมดอายุ</x:v>
      </x:c>
      <x:c r="H265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265" s="20" t="str">
        <x:v>ยังไม่ยืนยันที่อยู่ละเอียด ดูลิงก์แหล่งข้อมูลและ Google Maps</x:v>
      </x:c>
      <x:c r="J265" s="21" t="str">
        <x:v>ยังไม่พบหรือยังไม่ยืนยัน</x:v>
      </x:c>
      <x:c r="K265" s="51" t="str">
        <x:v>https://thai.tourismthailand.org/Articles/10-ratchaburi</x:v>
      </x:c>
      <x:c r="L265" s="51" t="str">
        <x:v>https://th.trip.com/travel-guide/attraction/photharam/wat-khanon-nang-yai-museum-56038888?poiType=3&amp;scene=gsDestination</x:v>
      </x:c>
      <x:c r="M265" s="20" t="str">
        <x:v>ผลค้นหาชื่อสัมพันธ์จากแหล่งเพิ่มเติม ต้องยืนยันสาขาและข้อมูลปัจจุบัน</x:v>
      </x:c>
      <x:c r="N265" s="28" t="n">
        <x:v>46315</x:v>
      </x:c>
      <x:c r="O265" s="57" t="str">
        <x:v>ยังไม่ตรวจ</x:v>
      </x:c>
      <x:c r="P265" s="57" t="str">
        <x:v>ยังไม่ติดต่อ</x:v>
      </x:c>
      <x:c r="Q265" s="20" t="str">
        <x:v>TMF-447</x:v>
      </x:c>
      <x:c r="R265" s="20" t="str"/>
      <x:c r="S265" s="20" t="str"/>
      <x:c r="T265" s="20" t="str">
        <x:v>https://thai.tourismthailand.org/Articles/10-ratchaburi</x:v>
      </x:c>
      <x:c r="U265" s="20" t="str"/>
      <x:c r="V265" s="20" t="str"/>
      <x:c r="W265" s="20" t="str"/>
      <x:c r="X265" s="20" t="str"/>
      <x:c r="Y265" s="20" t="str">
        <x:v>https://www.google.com/maps/search/?api=1&amp;query=%E0%B8%9E%E0%B8%B4%E0%B8%9E%E0%B8%B4%E0%B8%98%E0%B8%A0%E0%B8%B1%E0%B8%93%E0%B8%91%E0%B9%8C%E0%B8%AB%E0%B8%99%E0%B8%B1%E0%B8%87%E0%B9%83%E0%B8%AB%E0%B8%8D%E0%B9%88%E0%B8%A7%E0%B8%B1%E0%B8%94%E0%B8%82%E0%B8%99%E0%B8%AD%E0%B8%99%20%E0%B8%A3%E0%B8%B2%E0%B8%8A%E0%B8%9A%E0%B8%B8%E0%B8%A3%E0%B8%B5</x:v>
      </x:c>
      <x:c r="Z265" s="56" t="str"/>
      <x:c r="AA265" s="56" t="str"/>
      <x:c r="AB265" s="57" t="str"/>
      <x:c r="AC265" s="20" t="str">
        <x:v>https://thai.tourismthailand.org/Articles/10-ratchaburi</x:v>
      </x:c>
    </x:row>
    <x:row r="266" ht="88" customHeight="1">
      <x:c r="A266" s="54" t="n">
        <x:v>258</x:v>
      </x:c>
      <x:c r="B266" s="20" t="str">
        <x:v>ชุมชนบ้านคูบัว</x:v>
      </x:c>
      <x:c r="C266" s="20" t="str">
        <x:v>ราชบุรี</x:v>
      </x:c>
      <x:c r="D266" s="20" t="str">
        <x:v>ชุมชน</x:v>
      </x:c>
      <x:c r="E266" s="20" t="str">
        <x:v>พบข้อมูลชื่อตรงจาก จิปาถะภัณฑ์สถานบ้านคูบัว จ.ราชบุรี : มหกรรมพิพิธภัณฑ์ท้องถิ่นภาคกลาง | Exhibition; เป็นหลักฐานตัวตน/ประเภท ยังไม่ยืนยันบริการมุสลิมครบเกณฑ์</x:v>
      </x:c>
      <x:c r="F266" s="20" t="str">
        <x:v>ไม่ทราบ</x:v>
      </x:c>
      <x:c r="G266" s="20" t="str">
        <x:v>ยังไม่ยืนยันใบรับรองและวันหมดอายุ</x:v>
      </x:c>
      <x:c r="H266" s="20" t="str">
        <x:v>ตรวจการเปิด ตัวตนสาขา ช่องทางติดต่อ และเงื่อนไขบังคับตามประเภท</x:v>
      </x:c>
      <x:c r="I266" s="20" t="str">
        <x:v>ยังไม่ยืนยันที่อยู่ละเอียด ดูลิงก์แหล่งข้อมูลและ Google Maps</x:v>
      </x:c>
      <x:c r="J266" s="21" t="str">
        <x:v>ยังไม่พบหรือยังไม่ยืนยัน</x:v>
      </x:c>
      <x:c r="K266" s="51" t="str">
        <x:v>https://museum-central.sac.or.th/jipathapan.php</x:v>
      </x:c>
      <x:c r="L266" s="51" t="str">
        <x:v>https://www.thaipbs.or.th/program/TuaThin/episodes/60196</x:v>
      </x:c>
      <x:c r="M266" s="20" t="str">
        <x:v>พบแหล่งต่างเว็บไซต์ ทั่วถิ่นแดนไทย - เดินตามวิถีไทยวน บ้านคูบัว จ.ราชบุรี | Thai PBS รายการไทยพีบีเอส</x:v>
      </x:c>
      <x:c r="N266" s="28" t="n">
        <x:v>46316</x:v>
      </x:c>
      <x:c r="O266" s="57" t="str">
        <x:v>ยังไม่ตรวจ</x:v>
      </x:c>
      <x:c r="P266" s="57" t="str">
        <x:v>ยังไม่ติดต่อ</x:v>
      </x:c>
      <x:c r="Q266" s="20" t="str">
        <x:v>R26-143</x:v>
      </x:c>
      <x:c r="R266" s="20" t="str"/>
      <x:c r="S266" s="20" t="str"/>
      <x:c r="T266" s="20" t="str">
        <x:v>https://museum-central.sac.or.th/jipathapan.php</x:v>
      </x:c>
      <x:c r="U266" s="20" t="str"/>
      <x:c r="V266" s="20" t="str"/>
      <x:c r="W266" s="20" t="str"/>
      <x:c r="X266" s="20" t="str"/>
      <x:c r="Y266" s="20" t="str">
        <x:v>https://www.google.com/maps/search/?api=1&amp;query=%E0%B8%8A%E0%B8%B8%E0%B8%A1%E0%B8%8A%E0%B8%99%E0%B8%9A%E0%B9%89%E0%B8%B2%E0%B8%99%E0%B8%84%E0%B8%B9%E0%B8%9A%E0%B8%B1%E0%B8%A7%20%E0%B8%A3%E0%B8%B2%E0%B8%8A%E0%B8%9A%E0%B8%B8%E0%B8%A3%E0%B8%B5</x:v>
      </x:c>
      <x:c r="Z266" s="56" t="str"/>
      <x:c r="AA266" s="56" t="str"/>
      <x:c r="AB266" s="57" t="str"/>
      <x:c r="AC266" s="20" t="str">
        <x:v>https://museum-central.sac.or.th/jipathapan.php</x:v>
      </x:c>
    </x:row>
    <x:row r="267" ht="88" customHeight="1">
      <x:c r="A267" s="54" t="n">
        <x:v>259</x:v>
      </x:c>
      <x:c r="B267" s="20" t="str">
        <x:v>ชุมชนบ้านม่วง ราชบุรี</x:v>
      </x:c>
      <x:c r="C267" s="20" t="str">
        <x:v>ราชบุรี</x:v>
      </x:c>
      <x:c r="D267" s="20" t="str">
        <x:v>ชุมชน</x:v>
      </x:c>
      <x:c r="E267" s="20" t="str">
        <x:v>พบข้อมูลชื่อตรงจาก อบต.บ้านม่วง - องค์การบริหารส่วนตำบลบ้านม่วง จังหวัดราชบุรี - Banmuang Subdistrict Administrative Organization Ratchaburi; เป็นหลักฐานตัวตน/ประเภท ยังไม่ยืนยันบริการมุสลิมครบเกณฑ์</x:v>
      </x:c>
      <x:c r="F267" s="20" t="str">
        <x:v>ไม่ทราบ</x:v>
      </x:c>
      <x:c r="G267" s="20" t="str">
        <x:v>ยังไม่ยืนยันใบรับรองและวันหมดอายุ</x:v>
      </x:c>
      <x:c r="H267" s="20" t="str">
        <x:v>ตรวจการเปิด ตัวตนสาขา ช่องทางติดต่อ และเงื่อนไขบังคับตามประเภท</x:v>
      </x:c>
      <x:c r="I267" s="20" t="str">
        <x:v>ยังไม่ยืนยันที่อยู่ละเอียด ดูลิงก์แหล่งข้อมูลและ Google Maps</x:v>
      </x:c>
      <x:c r="J267" s="21" t="str">
        <x:v>ยังไม่พบหรือยังไม่ยืนยัน</x:v>
      </x:c>
      <x:c r="K267" s="51" t="str">
        <x:v>https://banmuang.go.th/site/index.php</x:v>
      </x:c>
      <x:c r="L267" s="51" t="str">
        <x:v>https://www.nakhonchumlocal.go.th/view_file.php?id=1335</x:v>
      </x:c>
      <x:c r="M267" s="20" t="str">
        <x:v>พบแหล่งต่างเว็บไซต์ องค์การบริหารส่วนตำบลนครชุมน์ องค์การบริหารส่วนตำบลนครชุมน์ หมู่ที่ 8 ตำบลนครชุมน์ อำเภอบ้านโป่ง จังหวัดราชบุรี 70110 โทรศัพท์ / โทรสาร (032) 301058 ต่อ 11 อีเมล. info@wiangphraogo.th / อีเมลกลาง. saraban@wiangphraogo.th</x:v>
      </x:c>
      <x:c r="N267" s="28" t="n">
        <x:v>46316</x:v>
      </x:c>
      <x:c r="O267" s="57" t="str">
        <x:v>ยังไม่ตรวจ</x:v>
      </x:c>
      <x:c r="P267" s="57" t="str">
        <x:v>ยังไม่ติดต่อ</x:v>
      </x:c>
      <x:c r="Q267" s="20" t="str">
        <x:v>R26-144</x:v>
      </x:c>
      <x:c r="R267" s="20" t="str"/>
      <x:c r="S267" s="20" t="str"/>
      <x:c r="T267" s="20" t="str">
        <x:v>https://banmuang.go.th/site/index.php</x:v>
      </x:c>
      <x:c r="U267" s="20" t="str"/>
      <x:c r="V267" s="20" t="str"/>
      <x:c r="W267" s="20" t="str"/>
      <x:c r="X267" s="20" t="str"/>
      <x:c r="Y267" s="20" t="str">
        <x:v>https://www.google.com/maps/search/?api=1&amp;query=%E0%B8%8A%E0%B8%B8%E0%B8%A1%E0%B8%8A%E0%B8%99%E0%B8%9A%E0%B9%89%E0%B8%B2%E0%B8%99%E0%B8%A1%E0%B9%88%E0%B8%A7%E0%B8%87%20%E0%B8%A3%E0%B8%B2%E0%B8%8A%E0%B8%9A%E0%B8%B8%E0%B8%A3%E0%B8%B5%20%E0%B8%A3%E0%B8%B2%E0%B8%8A%E0%B8%9A%E0%B8%B8%E0%B8%A3%E0%B8%B5</x:v>
      </x:c>
      <x:c r="Z267" s="56" t="n">
        <x:v>13.767431</x:v>
      </x:c>
      <x:c r="AA267" s="56" t="n">
        <x:v>99.839298</x:v>
      </x:c>
      <x:c r="AB267" s="57" t="str"/>
      <x:c r="AC267" s="20" t="str">
        <x:v>https://banmuang.go.th/site/index.php</x:v>
      </x:c>
    </x:row>
    <x:row r="268" ht="88" customHeight="1">
      <x:c r="A268" s="54" t="n">
        <x:v>260</x:v>
      </x:c>
      <x:c r="B268" s="20" t="str">
        <x:v>Alpaca Hill</x:v>
      </x:c>
      <x:c r="C268" s="20" t="str">
        <x:v>ราชบุรี</x:v>
      </x:c>
      <x:c r="D268" s="20" t="str">
        <x:v>กิจกรรม</x:v>
      </x:c>
      <x:c r="E268" s="20" t="str">
        <x:v>พบข้อมูลชื่อตรงจาก องค์การบริหารส่วนจังหวัดราชบุรี; เป็นหลักฐานตัวตน/ประเภท ยังไม่ยืนยันบริการมุสลิมครบเกณฑ์</x:v>
      </x:c>
      <x:c r="F268" s="20" t="str">
        <x:v>ไม่ทราบ</x:v>
      </x:c>
      <x:c r="G268" s="20" t="str">
        <x:v>ยังไม่ยืนยันใบรับรองและวันหมดอายุ</x:v>
      </x:c>
      <x:c r="H268" s="20" t="str">
        <x:v>ตรวจการเปิด ตัวตนสาขา ช่องทางติดต่อ และเงื่อนไขบังคับตามประเภท</x:v>
      </x:c>
      <x:c r="I268" s="20" t="str">
        <x:v>ยังไม่ยืนยันที่อยู่ละเอียด ดูลิงก์แหล่งข้อมูลและ Google Maps</x:v>
      </x:c>
      <x:c r="J268" s="21" t="str">
        <x:v>ยังไม่พบหรือยังไม่ยืนยัน</x:v>
      </x:c>
      <x:c r="K268" s="51" t="str">
        <x:v>https://ratchaburipao.go.th/travel-single.php?slug=alpaca-hill</x:v>
      </x:c>
      <x:c r="L268" s="51" t="str">
        <x:v>https://www.gplace.com/177445</x:v>
      </x:c>
      <x:c r="M268" s="20" t="str">
        <x:v>พบแหล่งต่างเว็บไซต์ อัลปาก้าฮิลล์ (Alpaca Hill), ราชบุรี</x:v>
      </x:c>
      <x:c r="N268" s="28" t="n">
        <x:v>46316</x:v>
      </x:c>
      <x:c r="O268" s="57" t="str">
        <x:v>ยังไม่ตรวจ</x:v>
      </x:c>
      <x:c r="P268" s="57" t="str">
        <x:v>ยังไม่ติดต่อ</x:v>
      </x:c>
      <x:c r="Q268" s="20" t="str">
        <x:v>R26-149</x:v>
      </x:c>
      <x:c r="R268" s="20" t="str">
        <x:v>Alpaca Hill</x:v>
      </x:c>
      <x:c r="S268" s="20" t="str"/>
      <x:c r="T268" s="20" t="str">
        <x:v>https://ratchaburipao.go.th/travel-single.php?slug=alpaca-hill</x:v>
      </x:c>
      <x:c r="U268" s="20" t="str"/>
      <x:c r="V268" s="20" t="str"/>
      <x:c r="W268" s="20" t="str"/>
      <x:c r="X268" s="20" t="str"/>
      <x:c r="Y268" s="20" t="str">
        <x:v>https://www.google.com/maps/search/?api=1&amp;query=Alpaca%20Hill%20%E0%B8%A3%E0%B8%B2%E0%B8%8A%E0%B8%9A%E0%B8%B8%E0%B8%A3%E0%B8%B5</x:v>
      </x:c>
      <x:c r="Z268" s="56" t="n">
        <x:v>13.7093479</x:v>
      </x:c>
      <x:c r="AA268" s="56" t="n">
        <x:v>99.203632</x:v>
      </x:c>
      <x:c r="AB268" s="57" t="str"/>
      <x:c r="AC268" s="20" t="str">
        <x:v>https://ratchaburipao.go.th/travel-single.php?slug=alpaca-hill</x:v>
      </x:c>
    </x:row>
    <x:row r="269" ht="88" customHeight="1">
      <x:c r="A269" s="54" t="n">
        <x:v>261</x:v>
      </x:c>
      <x:c r="B269" s="20" t="str">
        <x:v>CORO Field</x:v>
      </x:c>
      <x:c r="C269" s="20" t="str">
        <x:v>ราชบุรี</x:v>
      </x:c>
      <x:c r="D269" s="20" t="str">
        <x:v>กิจกรรม</x:v>
      </x:c>
      <x:c r="E269" s="20" t="str">
        <x:v>พบข้อมูลชื่อตรงจาก องค์การบริหารส่วนจังหวัดราชบุรี; เป็นหลักฐานตัวตน/ประเภท ยังไม่ยืนยันบริการมุสลิมครบเกณฑ์</x:v>
      </x:c>
      <x:c r="F269" s="20" t="str">
        <x:v>ไม่ทราบ</x:v>
      </x:c>
      <x:c r="G269" s="20" t="str">
        <x:v>ยังไม่ยืนยันใบรับรองและวันหมดอายุ</x:v>
      </x:c>
      <x:c r="H269" s="20" t="str">
        <x:v>ตรวจการเปิด ตัวตนสาขา ช่องทางติดต่อ และเงื่อนไขบังคับตามประเภท</x:v>
      </x:c>
      <x:c r="I269" s="20" t="str">
        <x:v>ยังไม่ยืนยันที่อยู่ละเอียด ดูลิงก์แหล่งข้อมูลและ Google Maps</x:v>
      </x:c>
      <x:c r="J269" s="21" t="str">
        <x:v>ยังไม่พบหรือยังไม่ยืนยัน</x:v>
      </x:c>
      <x:c r="K269" s="51" t="str">
        <x:v>https://www.ratchaburipao.go.th/travel-single.php?slug=coro-field</x:v>
      </x:c>
      <x:c r="L269" s="51" t="str">
        <x:v>https://www.youtube.com/watch?v=1pC3Z-NbB5U</x:v>
      </x:c>
      <x:c r="M269" s="20" t="str">
        <x:v>พบแหล่งต่างเว็บไซต์ ฟาร์มเมล่อน ไอเดียญี่ปุ่น เปิดเพลงให้เมล่อนฟัง!!?? Coro field ราชบุรี~ | อาสาพาไปหลง - YouTube</x:v>
      </x:c>
      <x:c r="N269" s="28" t="n">
        <x:v>46316</x:v>
      </x:c>
      <x:c r="O269" s="57" t="str">
        <x:v>ยังไม่ตรวจ</x:v>
      </x:c>
      <x:c r="P269" s="57" t="str">
        <x:v>ยังไม่ติดต่อ</x:v>
      </x:c>
      <x:c r="Q269" s="20" t="str">
        <x:v>R26-303</x:v>
      </x:c>
      <x:c r="R269" s="20" t="str">
        <x:v>CORO Field</x:v>
      </x:c>
      <x:c r="S269" s="20" t="str"/>
      <x:c r="T269" s="20" t="str">
        <x:v>https://www.ratchaburipao.go.th/travel-single.php?slug=coro-field</x:v>
      </x:c>
      <x:c r="U269" s="20" t="str"/>
      <x:c r="V269" s="20" t="str"/>
      <x:c r="W269" s="20" t="str"/>
      <x:c r="X269" s="20" t="str"/>
      <x:c r="Y269" s="20" t="str">
        <x:v>https://www.google.com/maps/search/?api=1&amp;query=CORO%20Field%20%E0%B8%A3%E0%B8%B2%E0%B8%8A%E0%B8%9A%E0%B8%B8%E0%B8%A3%E0%B8%B5</x:v>
      </x:c>
      <x:c r="Z269" s="56" t="n">
        <x:v>13.5445223</x:v>
      </x:c>
      <x:c r="AA269" s="56" t="n">
        <x:v>99.4242165</x:v>
      </x:c>
      <x:c r="AB269" s="57" t="str"/>
      <x:c r="AC269" s="20" t="str">
        <x:v>https://www.ratchaburipao.go.th/travel-single.php?slug=coro-field</x:v>
      </x:c>
    </x:row>
    <x:row r="270" ht="88" customHeight="1">
      <x:c r="A270" s="54" t="n">
        <x:v>262</x:v>
      </x:c>
      <x:c r="B270" s="20" t="str">
        <x:v>The Scenery Vintage Farm</x:v>
      </x:c>
      <x:c r="C270" s="20" t="str">
        <x:v>ราชบุรี</x:v>
      </x:c>
      <x:c r="D270" s="20" t="str">
        <x:v>กิจกรรม</x:v>
      </x:c>
      <x:c r="E270" s="20" t="str">
        <x:v>พบข้อมูลชื่อตรงจาก องค์การบริหารส่วนจังหวัดราชบุรี; เป็นหลักฐานตัวตน/ประเภท ยังไม่ยืนยันบริการมุสลิมครบเกณฑ์</x:v>
      </x:c>
      <x:c r="F270" s="20" t="str">
        <x:v>ไม่ทราบ</x:v>
      </x:c>
      <x:c r="G270" s="20" t="str">
        <x:v>ยังไม่ยืนยันใบรับรองและวันหมดอายุ</x:v>
      </x:c>
      <x:c r="H270" s="20" t="str">
        <x:v>ตรวจการเปิด ตัวตนสาขา ช่องทางติดต่อ และเงื่อนไขบังคับตามประเภท</x:v>
      </x:c>
      <x:c r="I270" s="20" t="str">
        <x:v>ยังไม่ยืนยันที่อยู่ละเอียด ดูลิงก์แหล่งข้อมูลและ Google Maps</x:v>
      </x:c>
      <x:c r="J270" s="21" t="str">
        <x:v>ยังไม่พบหรือยังไม่ยืนยัน</x:v>
      </x:c>
      <x:c r="K270" s="51" t="str">
        <x:v>https://ratchaburipao.go.th/travel-single.php?slug=the-scenery-vintage-farm</x:v>
      </x:c>
      <x:c r="L270" s="51" t="str">
        <x:v>https://www.youtube.com/watch?v=8-WsRcrxgtQ</x:v>
      </x:c>
      <x:c r="M270" s="20" t="str">
        <x:v>พบแหล่งต่างเว็บไซต์ น้องบีม | เที่ยวราชบุรี สวนผึ้งไฮแลนด์ The Scenery Vintage Farm คลิปเต็ม - YouTube</x:v>
      </x:c>
      <x:c r="N270" s="28" t="n">
        <x:v>46316</x:v>
      </x:c>
      <x:c r="O270" s="57" t="str">
        <x:v>ยังไม่ตรวจ</x:v>
      </x:c>
      <x:c r="P270" s="57" t="str">
        <x:v>ยังไม่ติดต่อ</x:v>
      </x:c>
      <x:c r="Q270" s="20" t="str">
        <x:v>R26-148</x:v>
      </x:c>
      <x:c r="R270" s="20" t="str">
        <x:v>The Scenery Vintage Farm</x:v>
      </x:c>
      <x:c r="S270" s="20" t="str"/>
      <x:c r="T270" s="20" t="str">
        <x:v>https://ratchaburipao.go.th/travel-single.php?slug=the-scenery-vintage-farm</x:v>
      </x:c>
      <x:c r="U270" s="20" t="str"/>
      <x:c r="V270" s="20" t="str"/>
      <x:c r="W270" s="20" t="str"/>
      <x:c r="X270" s="20" t="str"/>
      <x:c r="Y270" s="20" t="str">
        <x:v>https://www.google.com/maps/search/?api=1&amp;query=The%20Scenery%20Vintage%20Farm%20%E0%B8%A3%E0%B8%B2%E0%B8%8A%E0%B8%9A%E0%B8%B8%E0%B8%A3%E0%B8%B5</x:v>
      </x:c>
      <x:c r="Z270" s="56" t="n">
        <x:v>13.5095839</x:v>
      </x:c>
      <x:c r="AA270" s="56" t="n">
        <x:v>99.2896389</x:v>
      </x:c>
      <x:c r="AB270" s="57" t="str"/>
      <x:c r="AC270" s="20" t="str">
        <x:v>https://ratchaburipao.go.th/travel-single.php?slug=the-scenery-vintage-farm</x:v>
      </x:c>
    </x:row>
    <x:row r="271" ht="88" customHeight="1">
      <x:c r="A271" s="54" t="n">
        <x:v>263</x:v>
      </x:c>
      <x:c r="B271" s="20" t="str">
        <x:v>สวนผึ้งไฮแลนด์</x:v>
      </x:c>
      <x:c r="C271" s="20" t="str">
        <x:v>ราชบุรี</x:v>
      </x:c>
      <x:c r="D271" s="20" t="str">
        <x:v>กิจกรรม</x:v>
      </x:c>
      <x:c r="E271" s="20" t="str">
        <x:v>พบข้อมูลชื่อตรงจาก สวนผึ้ง ไฮแลนด์; เป็นหลักฐานตัวตน/ประเภท ยังไม่ยืนยันบริการมุสลิมครบเกณฑ์</x:v>
      </x:c>
      <x:c r="F271" s="20" t="str">
        <x:v>ไม่ทราบ</x:v>
      </x:c>
      <x:c r="G271" s="20" t="str">
        <x:v>ยังไม่ยืนยันใบรับรองและวันหมดอายุ</x:v>
      </x:c>
      <x:c r="H271" s="20" t="str">
        <x:v>ตรวจการเปิด ตัวตนสาขา ช่องทางติดต่อ และเงื่อนไขบังคับตามประเภท</x:v>
      </x:c>
      <x:c r="I271" s="20" t="str">
        <x:v>ยังไม่ยืนยันที่อยู่ละเอียด ดูลิงก์แหล่งข้อมูลและ Google Maps</x:v>
      </x:c>
      <x:c r="J271" s="21" t="str">
        <x:v>ยังไม่พบหรือยังไม่ยืนยัน</x:v>
      </x:c>
      <x:c r="K271" s="51" t="str">
        <x:v>https://www.thailandtourismdirectory.go.th/th/attraction/99451</x:v>
      </x:c>
      <x:c r="L271" s="51" t="str">
        <x:v>https://www.youtube.com/watch?v=oDakQNZUtDQ</x:v>
      </x:c>
      <x:c r="M271" s="20" t="str">
        <x:v>พบแหล่งต่างเว็บไซต์ เที่ยวสวนผึ้งไฮแลนด์ จ.ราชบุรี  ให้อาหารบ่อปลาคาร์ฟ เล่นสนุกซิปไลน์ กิจกรรมกับครอบครัว - YouTube</x:v>
      </x:c>
      <x:c r="N271" s="28" t="n">
        <x:v>46316</x:v>
      </x:c>
      <x:c r="O271" s="57" t="str">
        <x:v>ยังไม่ตรวจ</x:v>
      </x:c>
      <x:c r="P271" s="57" t="str">
        <x:v>ยังไม่ติดต่อ</x:v>
      </x:c>
      <x:c r="Q271" s="20" t="str">
        <x:v>R26-147</x:v>
      </x:c>
      <x:c r="R271" s="20" t="str"/>
      <x:c r="S271" s="20" t="str"/>
      <x:c r="T271" s="20" t="str">
        <x:v>https://www.thailandtourismdirectory.go.th/th/attraction/99451</x:v>
      </x:c>
      <x:c r="U271" s="20" t="str"/>
      <x:c r="V271" s="20" t="str"/>
      <x:c r="W271" s="20" t="str"/>
      <x:c r="X271" s="20" t="str"/>
      <x:c r="Y271" s="20" t="str">
        <x:v>https://www.google.com/maps/search/?api=1&amp;query=%E0%B8%AA%E0%B8%A7%E0%B8%99%E0%B8%9C%E0%B8%B6%E0%B9%89%E0%B8%87%E0%B9%84%E0%B8%AE%E0%B9%81%E0%B8%A5%E0%B8%99%E0%B8%94%E0%B9%8C%20%E0%B8%A3%E0%B8%B2%E0%B8%8A%E0%B8%9A%E0%B8%B8%E0%B8%A3%E0%B8%B5</x:v>
      </x:c>
      <x:c r="Z271" s="56" t="n">
        <x:v>13.544037</x:v>
      </x:c>
      <x:c r="AA271" s="56" t="n">
        <x:v>99.3174</x:v>
      </x:c>
      <x:c r="AB271" s="57" t="str"/>
      <x:c r="AC271" s="20" t="str">
        <x:v>https://www.thailandtourismdirectory.go.th/th/attraction/99451</x:v>
      </x:c>
    </x:row>
    <x:row r="272" ht="88" customHeight="1">
      <x:c r="A272" s="54" t="n">
        <x:v>264</x:v>
      </x:c>
      <x:c r="B272" s="20" t="str">
        <x:v>ครัวไทรงาม ฮาลาลฟู้ด พัทยา</x:v>
      </x:c>
      <x:c r="C272" s="20" t="str">
        <x:v>ชลบุรี</x:v>
      </x:c>
      <x:c r="D272" s="20" t="str">
        <x:v>อาหาร</x:v>
      </x:c>
      <x:c r="E272" s="20" t="str">
        <x:v>พบข้อมูลชื่อตรงจาก ครัวไทรงาม ฮาลาลฟู้ด พัทยา - YouTube; เป็นหลักฐานตัวตน/ประเภท ยังไม่ยืนยันบริการมุสลิมครบเกณฑ์</x:v>
      </x:c>
      <x:c r="F272" s="20" t="str">
        <x:v>ไม่ทราบ</x:v>
      </x:c>
      <x:c r="G272" s="20" t="str">
        <x:v>ยังไม่ยืนยันใบรับรองและวันหมดอายุ</x:v>
      </x:c>
      <x:c r="H272" s="20" t="str">
        <x:v>ตรวจการเปิด ตัวตนสาขา ช่องทางติดต่อ และเงื่อนไขบังคับตามประเภท</x:v>
      </x:c>
      <x:c r="I272" s="20" t="str">
        <x:v>ยังไม่ยืนยันที่อยู่ละเอียด ดูลิงก์แหล่งข้อมูลและ Google Maps</x:v>
      </x:c>
      <x:c r="J272" s="21" t="str">
        <x:v>ยังไม่พบหรือยังไม่ยืนยัน</x:v>
      </x:c>
      <x:c r="K272" s="51" t="str">
        <x:v>https://www.youtube.com/watch?v=kXz8-rtbe9Q</x:v>
      </x:c>
      <x:c r="L272" s="51" t="str">
        <x:v>https://www.tripniceday.com/place/%E0%B8%84%E0%B8%A3%E0%B8%B1%E0%B8%A7%E0%B9%84%E0%B8%97%E0%B8%A3%E0%B8%87%E0%B8%B2%E0%B8%A1-%E0%B8%AE%E0%B8%B2%E0%B8%A5%E0%B8%B2%E0%B8%A5%E0%B8%9F%E0%B8%B9%E0%B9%8A%E0%B8%94-%E0%B8%9E%E0%B8%B1%E0%B8%97%E0%B8%A2%E0%B8%B2</x:v>
      </x:c>
      <x:c r="M272" s="20" t="str">
        <x:v>พบแหล่งต่างเว็บไซต์ ครัวไทรงาม ฮาลาลฟู๊ด พัทยา | ดูข้อมูลที่เที่ยวบน TripNiceDay</x:v>
      </x:c>
      <x:c r="N272" s="28" t="n">
        <x:v>46316</x:v>
      </x:c>
      <x:c r="O272" s="57" t="str">
        <x:v>ยังไม่ตรวจ</x:v>
      </x:c>
      <x:c r="P272" s="57" t="str">
        <x:v>ยังไม่ติดต่อ</x:v>
      </x:c>
      <x:c r="Q272" s="20" t="str">
        <x:v>R26-060</x:v>
      </x:c>
      <x:c r="R272" s="20" t="str"/>
      <x:c r="S272" s="20" t="str"/>
      <x:c r="T272" s="20" t="str">
        <x:v>https://www.youtube.com/watch?v=kXz8-rtbe9Q</x:v>
      </x:c>
      <x:c r="U272" s="20" t="str"/>
      <x:c r="V272" s="20" t="str"/>
      <x:c r="W272" s="20" t="str"/>
      <x:c r="X272" s="20" t="str"/>
      <x:c r="Y272" s="20" t="str">
        <x:v>https://www.google.com/maps/search/?api=1&amp;query=%E0%B8%84%E0%B8%A3%E0%B8%B1%E0%B8%A7%E0%B9%84%E0%B8%97%E0%B8%A3%E0%B8%87%E0%B8%B2%E0%B8%A1%20%E0%B8%AE%E0%B8%B2%E0%B8%A5%E0%B8%B2%E0%B8%A5%E0%B8%9F%E0%B8%B9%E0%B9%89%E0%B8%94%20%E0%B8%9E%E0%B8%B1%E0%B8%97%E0%B8%A2%E0%B8%B2%20%E0%B8%8A%E0%B8%A5%E0%B8%9A%E0%B8%B8%E0%B8%A3%E0%B8%B5</x:v>
      </x:c>
      <x:c r="Z272" s="56" t="str"/>
      <x:c r="AA272" s="56" t="str"/>
      <x:c r="AB272" s="57" t="str"/>
      <x:c r="AC272" s="20" t="str">
        <x:v>https://www.youtube.com/watch?v=kXz8-rtbe9Q</x:v>
      </x:c>
    </x:row>
    <x:row r="273" ht="88" customHeight="1">
      <x:c r="A273" s="54" t="n">
        <x:v>265</x:v>
      </x:c>
      <x:c r="B273" s="20" t="str">
        <x:v>หาดจอมเทียน</x:v>
      </x:c>
      <x:c r="C273" s="20" t="str">
        <x:v>ชลบุรี</x:v>
      </x:c>
      <x:c r="D273" s="20" t="str">
        <x:v>ธรรมชาติ</x:v>
      </x:c>
      <x:c r="E273" s="20" t="str">
        <x:v>พบข้อมูลชื่อตรงจาก หาดจอมเทียน; เป็นหลักฐานตัวตน/ประเภท ยังไม่ยืนยันบริการมุสลิมครบเกณฑ์</x:v>
      </x:c>
      <x:c r="F273" s="20" t="str">
        <x:v>ไม่ทราบ</x:v>
      </x:c>
      <x:c r="G273" s="20" t="str">
        <x:v>ยังไม่ยืนยันใบรับรองและวันหมดอายุ</x:v>
      </x:c>
      <x:c r="H273" s="20" t="str">
        <x:v>ตรวจการเปิด ตัวตนสาขา ช่องทางติดต่อ และเงื่อนไขบังคับตามประเภท</x:v>
      </x:c>
      <x:c r="I273" s="20" t="str">
        <x:v>ยังไม่ยืนยันที่อยู่ละเอียด ดูลิงก์แหล่งข้อมูลและ Google Maps</x:v>
      </x:c>
      <x:c r="J273" s="21" t="str">
        <x:v>ยังไม่พบหรือยังไม่ยืนยัน</x:v>
      </x:c>
      <x:c r="K273" s="51" t="str">
        <x:v>https://nongpruecity.go.th/travel_activity/detail/11/data.html</x:v>
      </x:c>
      <x:c r="L273" s="51" t="str">
        <x:v>https://cbtthailand.dasta.or.th/webapp/relattraction/content/2719/</x:v>
      </x:c>
      <x:c r="M273" s="20" t="str">
        <x:v>พบแหล่งต่างเว็บไซต์ หาดจอมเทียน | CBT Thailand</x:v>
      </x:c>
      <x:c r="N273" s="28" t="n">
        <x:v>46316</x:v>
      </x:c>
      <x:c r="O273" s="57" t="str">
        <x:v>ยังไม่ตรวจ</x:v>
      </x:c>
      <x:c r="P273" s="57" t="str">
        <x:v>ยังไม่ติดต่อ</x:v>
      </x:c>
      <x:c r="Q273" s="20" t="str">
        <x:v>R26-059</x:v>
      </x:c>
      <x:c r="R273" s="20" t="str"/>
      <x:c r="S273" s="20" t="str"/>
      <x:c r="T273" s="20" t="str">
        <x:v>https://nongpruecity.go.th/travel_activity/detail/11/data.html</x:v>
      </x:c>
      <x:c r="U273" s="20" t="str"/>
      <x:c r="V273" s="20" t="str"/>
      <x:c r="W273" s="20" t="str"/>
      <x:c r="X273" s="20" t="str"/>
      <x:c r="Y273" s="20" t="str">
        <x:v>https://www.google.com/maps/search/?api=1&amp;query=%E0%B8%AB%E0%B8%B2%E0%B8%94%E0%B8%88%E0%B8%AD%E0%B8%A1%E0%B9%80%E0%B8%97%E0%B8%B5%E0%B8%A2%E0%B8%99%20%E0%B8%8A%E0%B8%A5%E0%B8%9A%E0%B8%B8%E0%B8%A3%E0%B8%B5</x:v>
      </x:c>
      <x:c r="Z273" s="56" t="n">
        <x:v>12.886415</x:v>
      </x:c>
      <x:c r="AA273" s="56" t="n">
        <x:v>100.877513</x:v>
      </x:c>
      <x:c r="AB273" s="57" t="str"/>
      <x:c r="AC273" s="20" t="str">
        <x:v>https://nongpruecity.go.th/travel_activity/detail/11/data.html</x:v>
      </x:c>
    </x:row>
    <x:row r="274" ht="88" customHeight="1">
      <x:c r="A274" s="54" t="n">
        <x:v>266</x:v>
      </x:c>
      <x:c r="B274" s="20" t="str">
        <x:v>มัสยิดนูรุลยากีน</x:v>
      </x:c>
      <x:c r="C274" s="20" t="str">
        <x:v>ชลบุรี</x:v>
      </x:c>
      <x:c r="D274" s="20" t="str">
        <x:v>มัสยิด</x:v>
      </x:c>
      <x:c r="E27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74" s="20" t="str">
        <x:v>มีข้อมูลระบุ แต่รอยืนยัน</x:v>
      </x:c>
      <x:c r="G274" s="20" t="str">
        <x:v>ยังไม่พบเอกสารรับรองและวันหมดอายุ</x:v>
      </x:c>
      <x:c r="H27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74" s="20" t="str">
        <x:v>หมู่ที่ 5 ต.หนองปรือ อ.บางละมุง จ.ชลบุรี 20150 ตำบลหนองปรือ อำเภอบางละมุง จังหวัดชลบุรี 20150</x:v>
      </x:c>
      <x:c r="J274" s="21" t="str">
        <x:v>089-5440110</x:v>
      </x:c>
      <x:c r="K274" s="51" t="str">
        <x:v>https://www.thic.or.th/th/tourist/detail/mosques/246</x:v>
      </x:c>
      <x:c r="L274" s="51" t="str">
        <x:v>https://www.picoc.or.th/mosque/detail/28</x:v>
      </x:c>
      <x:c r="M274" s="20" t="str">
        <x:v>ผลค้นหาชื่อสัมพันธ์จากแหล่งเพิ่มเติม ต้องยืนยันสาขาและข้อมูลปัจจุบัน</x:v>
      </x:c>
      <x:c r="N274" s="28" t="n">
        <x:v>46316</x:v>
      </x:c>
      <x:c r="O274" s="57" t="str">
        <x:v>ยังไม่ตรวจ</x:v>
      </x:c>
      <x:c r="P274" s="57" t="str">
        <x:v>ยังไม่ติดต่อ</x:v>
      </x:c>
      <x:c r="Q274" s="20" t="str">
        <x:v>TMF-337</x:v>
      </x:c>
      <x:c r="R274" s="20" t="str"/>
      <x:c r="S274" s="20" t="str"/>
      <x:c r="T274" s="20" t="str">
        <x:v>https://www.thic.or.th/th/tourist/detail/mosques/246</x:v>
      </x:c>
      <x:c r="U274" s="20" t="str"/>
      <x:c r="V274" s="20" t="str"/>
      <x:c r="W274" s="20" t="str"/>
      <x:c r="X274" s="20" t="str"/>
      <x:c r="Y274" s="20" t="str">
        <x:v>https://www.google.com/maps/search/?api=1&amp;query=%E0%B8%A1%E0%B8%B1%E0%B8%AA%E0%B8%A2%E0%B8%B4%E0%B8%94%E0%B8%99%E0%B8%B9%E0%B8%A3%E0%B8%B8%E0%B8%A5%E0%B8%A2%E0%B8%B2%E0%B8%81%E0%B8%B5%E0%B8%99%20%E0%B8%8A%E0%B8%A5%E0%B8%9A%E0%B8%B8%E0%B8%A3%E0%B8%B5</x:v>
      </x:c>
      <x:c r="Z274" s="56" t="n">
        <x:v>12.930721</x:v>
      </x:c>
      <x:c r="AA274" s="56" t="n">
        <x:v>100.910285</x:v>
      </x:c>
      <x:c r="AB274" s="57" t="str"/>
      <x:c r="AC274" s="20" t="str">
        <x:v>https://www.thic.or.th/th/tourist/detail/mosques/246</x:v>
      </x:c>
    </x:row>
    <x:row r="275" ht="88" customHeight="1">
      <x:c r="A275" s="54" t="n">
        <x:v>267</x:v>
      </x:c>
      <x:c r="B275" s="20" t="str">
        <x:v>ตลาดน้ำ 4 ภาค พัทยา</x:v>
      </x:c>
      <x:c r="C275" s="20" t="str">
        <x:v>ชลบุรี</x:v>
      </x:c>
      <x:c r="D275" s="20" t="str">
        <x:v>กิจกรรม</x:v>
      </x:c>
      <x:c r="E275" s="20" t="str">
        <x:v>พบข้อมูลชื่อตรงจาก ตลาดน้ำ 4 ภาค พัทยา | CBT Thailand; เป็นหลักฐานตัวตน/ประเภท ยังไม่ยืนยันบริการมุสลิมครบเกณฑ์</x:v>
      </x:c>
      <x:c r="F275" s="20" t="str">
        <x:v>ไม่ทราบ</x:v>
      </x:c>
      <x:c r="G275" s="20" t="str">
        <x:v>ยังไม่ยืนยันใบรับรองและวันหมดอายุ</x:v>
      </x:c>
      <x:c r="H275" s="20" t="str">
        <x:v>ตรวจการเปิด ตัวตนสาขา ช่องทางติดต่อ และเงื่อนไขบังคับตามประเภท</x:v>
      </x:c>
      <x:c r="I275" s="20" t="str">
        <x:v>ยังไม่ยืนยันที่อยู่ละเอียด ดูลิงก์แหล่งข้อมูลและ Google Maps</x:v>
      </x:c>
      <x:c r="J275" s="21" t="str">
        <x:v>ยังไม่พบหรือยังไม่ยืนยัน</x:v>
      </x:c>
      <x:c r="K275" s="51" t="str">
        <x:v>https://cbtthailand.dasta.or.th/webapp/relattraction/content/1567/</x:v>
      </x:c>
      <x:c r="L275" s="51" t="str">
        <x:v>https://thai.tourismthailand.org/Attraction/%E0%B8%95%E0%B8%A5%E0%B8%B2%E0%B8%94%E0%B8%99%E0%B9%89%E0%B8%B3-4-%E0%B8%A0%E0%B8%B2%E0%B8%84-%E0%B8%9E%E0%B8%B1%E0%B8%97%E0%B8%A2%E0%B8%B2</x:v>
      </x:c>
      <x:c r="M275" s="20" t="str">
        <x:v>พบแหล่งต่างเว็บไซต์ ตลาดน้ำ 4 ภาค พัทยา</x:v>
      </x:c>
      <x:c r="N275" s="28" t="n">
        <x:v>46316</x:v>
      </x:c>
      <x:c r="O275" s="57" t="str">
        <x:v>ยังไม่ตรวจ</x:v>
      </x:c>
      <x:c r="P275" s="57" t="str">
        <x:v>ยังไม่ติดต่อ</x:v>
      </x:c>
      <x:c r="Q275" s="20" t="str">
        <x:v>R26-056</x:v>
      </x:c>
      <x:c r="R275" s="20" t="str"/>
      <x:c r="S275" s="20" t="str"/>
      <x:c r="T275" s="20" t="str">
        <x:v>https://cbtthailand.dasta.or.th/webapp/relattraction/content/1567/</x:v>
      </x:c>
      <x:c r="U275" s="20" t="str"/>
      <x:c r="V275" s="20" t="str"/>
      <x:c r="W275" s="20" t="str"/>
      <x:c r="X275" s="20" t="str"/>
      <x:c r="Y275" s="20" t="str">
        <x:v>https://www.google.com/maps/search/?api=1&amp;query=%E0%B8%95%E0%B8%A5%E0%B8%B2%E0%B8%94%E0%B8%99%E0%B9%89%E0%B8%B3%204%20%E0%B8%A0%E0%B8%B2%E0%B8%84%20%E0%B8%9E%E0%B8%B1%E0%B8%97%E0%B8%A2%E0%B8%B2%20%E0%B8%8A%E0%B8%A5%E0%B8%9A%E0%B8%B8%E0%B8%A3%E0%B8%B5</x:v>
      </x:c>
      <x:c r="Z275" s="56" t="n">
        <x:v>12.8696752</x:v>
      </x:c>
      <x:c r="AA275" s="56" t="n">
        <x:v>100.909609</x:v>
      </x:c>
      <x:c r="AB275" s="57" t="str"/>
      <x:c r="AC275" s="20" t="str">
        <x:v>https://cbtthailand.dasta.or.th/webapp/relattraction/content/1567/</x:v>
      </x:c>
    </x:row>
    <x:row r="276" ht="88" customHeight="1">
      <x:c r="A276" s="54" t="n">
        <x:v>268</x:v>
      </x:c>
      <x:c r="B276" s="20" t="str">
        <x:v>สวนนงนุช พัทยา</x:v>
      </x:c>
      <x:c r="C276" s="20" t="str">
        <x:v>ชลบุรี</x:v>
      </x:c>
      <x:c r="D276" s="20" t="str">
        <x:v>กิจกรรม</x:v>
      </x:c>
      <x:c r="E276" s="20" t="str">
        <x:v>พบข้อมูลชื่อตรงจาก สวนนงนุชพัทยา - รีวิวสถานที่ท่องเที่ยว; เป็นหลักฐานตัวตน/ประเภท ยังไม่ยืนยันบริการมุสลิมครบเกณฑ์</x:v>
      </x:c>
      <x:c r="F276" s="20" t="str">
        <x:v>ไม่ทราบ</x:v>
      </x:c>
      <x:c r="G276" s="20" t="str">
        <x:v>ยังไม่ยืนยันใบรับรองและวันหมดอายุ</x:v>
      </x:c>
      <x:c r="H276" s="20" t="str">
        <x:v>ตรวจการเปิด ตัวตนสาขา ช่องทางติดต่อ และเงื่อนไขบังคับตามประเภท</x:v>
      </x:c>
      <x:c r="I276" s="20" t="str">
        <x:v>ยังไม่ยืนยันที่อยู่ละเอียด ดูลิงก์แหล่งข้อมูลและ Google Maps</x:v>
      </x:c>
      <x:c r="J276" s="21" t="str">
        <x:v>ยังไม่พบหรือยังไม่ยืนยัน</x:v>
      </x:c>
      <x:c r="K276" s="51" t="str">
        <x:v>https://www.wongnai.com/attractions/324378uL</x:v>
      </x:c>
      <x:c r="L276" s="51" t="str">
        <x:v>https://www.nongnoochpattaya.com/th/services</x:v>
      </x:c>
      <x:c r="M276" s="20" t="str">
        <x:v>พบแหล่งต่างเว็บไซต์ สวนนงนุช พัทยา สถานที่ท่องเที่ยวสวนสวยระดับโลก</x:v>
      </x:c>
      <x:c r="N276" s="28" t="n">
        <x:v>46316</x:v>
      </x:c>
      <x:c r="O276" s="57" t="str">
        <x:v>ยังไม่ตรวจ</x:v>
      </x:c>
      <x:c r="P276" s="57" t="str">
        <x:v>ยังไม่ติดต่อ</x:v>
      </x:c>
      <x:c r="Q276" s="20" t="str">
        <x:v>R26-058</x:v>
      </x:c>
      <x:c r="R276" s="20" t="str"/>
      <x:c r="S276" s="20" t="str"/>
      <x:c r="T276" s="20" t="str">
        <x:v>https://www.wongnai.com/attractions/324378uL</x:v>
      </x:c>
      <x:c r="U276" s="20" t="str"/>
      <x:c r="V276" s="20" t="str"/>
      <x:c r="W276" s="20" t="str"/>
      <x:c r="X276" s="20" t="str"/>
      <x:c r="Y276" s="20" t="str">
        <x:v>https://www.google.com/maps/search/?api=1&amp;query=%E0%B8%AA%E0%B8%A7%E0%B8%99%E0%B8%99%E0%B8%87%E0%B8%99%E0%B8%B8%E0%B8%8A%20%E0%B8%9E%E0%B8%B1%E0%B8%97%E0%B8%A2%E0%B8%B2%20%E0%B8%8A%E0%B8%A5%E0%B8%9A%E0%B8%B8%E0%B8%A3%E0%B8%B5</x:v>
      </x:c>
      <x:c r="Z276" s="56" t="str"/>
      <x:c r="AA276" s="56" t="str"/>
      <x:c r="AB276" s="57" t="str"/>
      <x:c r="AC276" s="20" t="str">
        <x:v>https://www.wongnai.com/attractions/324378uL</x:v>
      </x:c>
    </x:row>
    <x:row r="277" ht="88" customHeight="1">
      <x:c r="A277" s="54" t="n">
        <x:v>269</x:v>
      </x:c>
      <x:c r="B277" s="20" t="str">
        <x:v>Farida House - ฟาริดาเฮ้าส์</x:v>
      </x:c>
      <x:c r="C277" s="20" t="str">
        <x:v>ชลบุรี</x:v>
      </x:c>
      <x:c r="D277" s="20" t="str">
        <x:v>ที่พัก (ตรวจประเภทจากชื่อและข้อมูลประกอบ)</x:v>
      </x:c>
      <x:c r="E277" s="20" t="str">
        <x:v>มีรายชื่อใน Makan Halal Guide; ระบุมีห้องละหมาด</x:v>
      </x:c>
      <x:c r="F277" s="20" t="str">
        <x:v>มีข้อมูลระบุ แต่รอยืนยัน</x:v>
      </x:c>
      <x:c r="G277" s="20" t="str">
        <x:v>ยังไม่พบเอกสารรับรองและวันหมดอายุ</x:v>
      </x:c>
      <x:c r="H277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277" s="20" t="str">
        <x:v>59, 5 ตำบล สัตหีบ อำเภอสัตหีบ ชลบุรี 20180</x:v>
      </x:c>
      <x:c r="J277" s="21" t="str">
        <x:v>0996982347</x:v>
      </x:c>
      <x:c r="K277" s="51" t="str">
        <x:v>https://makanhalalguide.com/shop/detail/5775</x:v>
      </x:c>
      <x:c r="L277" s="51" t="str">
        <x:v>https://www.google.com/travel/hotels/entity/CgoInoHF0I7-2YV3EAE</x:v>
      </x:c>
      <x:c r="M277" s="20" t="str">
        <x:v>ผลค้นหาชื่อสัมพันธ์จากแหล่งเพิ่มเติม ต้องยืนยันสาขาและข้อมูลปัจจุบัน</x:v>
      </x:c>
      <x:c r="N277" s="28" t="n">
        <x:v>46315</x:v>
      </x:c>
      <x:c r="O277" s="57" t="str">
        <x:v>ยังไม่ตรวจ</x:v>
      </x:c>
      <x:c r="P277" s="57" t="str">
        <x:v>ยังไม่ติดต่อ</x:v>
      </x:c>
      <x:c r="Q277" s="20" t="str">
        <x:v>TMF-107</x:v>
      </x:c>
      <x:c r="R277" s="20" t="str"/>
      <x:c r="S277" s="20" t="str"/>
      <x:c r="T277" s="20" t="str">
        <x:v>https://makanhalalguide.com/shop/detail/5775</x:v>
      </x:c>
      <x:c r="U277" s="20" t="str"/>
      <x:c r="V277" s="20" t="str"/>
      <x:c r="W277" s="20" t="str"/>
      <x:c r="X277" s="20" t="str"/>
      <x:c r="Y277" s="20" t="str">
        <x:v>https://www.google.com/maps/search/?api=1&amp;query=Farida%20House%20-%20%E0%B8%9F%E0%B8%B2%E0%B8%A3%E0%B8%B4%E0%B8%94%E0%B8%B2%E0%B9%80%E0%B8%AE%E0%B9%89%E0%B8%B2%E0%B8%AA%E0%B9%8C%20%E0%B8%8A%E0%B8%A5%E0%B8%9A%E0%B8%B8%E0%B8%A3%E0%B8%B5</x:v>
      </x:c>
      <x:c r="Z277" s="56" t="n">
        <x:v>12.666741</x:v>
      </x:c>
      <x:c r="AA277" s="56" t="n">
        <x:v>100.930541</x:v>
      </x:c>
      <x:c r="AB277" s="57" t="str"/>
      <x:c r="AC277" s="20" t="str">
        <x:v>https://makanhalalguide.com/shop/detail/5775</x:v>
      </x:c>
    </x:row>
    <x:row r="278" ht="88" customHeight="1">
      <x:c r="A278" s="54" t="n">
        <x:v>270</x:v>
      </x:c>
      <x:c r="B278" s="20" t="str">
        <x:v>LANA House and Hill Homestay</x:v>
      </x:c>
      <x:c r="C278" s="20" t="str">
        <x:v>ชลบุรี</x:v>
      </x:c>
      <x:c r="D278" s="20" t="str">
        <x:v>โรงแรมหรือรีสอร์ท</x:v>
      </x:c>
      <x:c r="E278" s="20" t="str">
        <x:v>Makan Verify; ระบุมีห้องละหมาด</x:v>
      </x:c>
      <x:c r="F278" s="20" t="str">
        <x:v>มีข้อมูลระบุ แต่รอยืนยัน</x:v>
      </x:c>
      <x:c r="G278" s="20" t="str">
        <x:v>ยังไม่พบเอกสารรับรองและวันหมดอายุ</x:v>
      </x:c>
      <x:c r="H27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78" s="20" t="str">
        <x:v>เลขที่ 28/14 อำเภอสัตหีบ ชลบุรี 20180</x:v>
      </x:c>
      <x:c r="J278" s="21" t="str">
        <x:v>0863033362</x:v>
      </x:c>
      <x:c r="K278" s="51" t="str">
        <x:v>https://makanhalalguide.com/shop/detail/5391</x:v>
      </x:c>
      <x:c r="L278" s="51" t="str">
        <x:v>https://dinogo.com/hotels/25026-muslim-accommodation-sattahip-lana-house-and-hill-homestay</x:v>
      </x:c>
      <x:c r="M278" s="20" t="str">
        <x:v>ผลค้นหาชื่อสัมพันธ์จากแหล่งเพิ่มเติม ต้องยืนยันสาขาและข้อมูลปัจจุบัน</x:v>
      </x:c>
      <x:c r="N278" s="28" t="n">
        <x:v>46315</x:v>
      </x:c>
      <x:c r="O278" s="57" t="str">
        <x:v>ยังไม่ตรวจ</x:v>
      </x:c>
      <x:c r="P278" s="57" t="str">
        <x:v>ยังไม่ติดต่อ</x:v>
      </x:c>
      <x:c r="Q278" s="20" t="str">
        <x:v>TMF-104</x:v>
      </x:c>
      <x:c r="R278" s="20" t="str">
        <x:v>LANA House and Hill Homestay</x:v>
      </x:c>
      <x:c r="S278" s="20" t="str"/>
      <x:c r="T278" s="20" t="str">
        <x:v>https://makanhalalguide.com/shop/detail/5391</x:v>
      </x:c>
      <x:c r="U278" s="20" t="str"/>
      <x:c r="V278" s="20" t="str"/>
      <x:c r="W278" s="20" t="str"/>
      <x:c r="X278" s="20" t="str"/>
      <x:c r="Y278" s="20" t="str">
        <x:v>https://www.google.com/maps/search/?api=1&amp;query=LANA%20House%20and%20Hill%20Homestay%20%E0%B8%8A%E0%B8%A5%E0%B8%9A%E0%B8%B8%E0%B8%A3%E0%B8%B5</x:v>
      </x:c>
      <x:c r="Z278" s="56" t="n">
        <x:v>12.707837</x:v>
      </x:c>
      <x:c r="AA278" s="56" t="n">
        <x:v>100.898393</x:v>
      </x:c>
      <x:c r="AB278" s="57" t="str"/>
      <x:c r="AC278" s="20" t="str">
        <x:v>https://makanhalalguide.com/shop/detail/5391</x:v>
      </x:c>
    </x:row>
    <x:row r="279" ht="88" customHeight="1">
      <x:c r="A279" s="54" t="n">
        <x:v>271</x:v>
      </x:c>
      <x:c r="B279" s="20" t="str">
        <x:v>Nida House &amp; Hotel</x:v>
      </x:c>
      <x:c r="C279" s="20" t="str">
        <x:v>ชลบุรี</x:v>
      </x:c>
      <x:c r="D279" s="20" t="str">
        <x:v>โรงแรมหรือรีสอร์ท</x:v>
      </x:c>
      <x:c r="E279" s="20" t="str">
        <x:v>Makan Verify; ระบุมีห้องละหมาด</x:v>
      </x:c>
      <x:c r="F279" s="20" t="str">
        <x:v>มีข้อมูลระบุ แต่รอยืนยัน</x:v>
      </x:c>
      <x:c r="G279" s="20" t="str">
        <x:v>ยังไม่พบเอกสารรับรองและวันหมดอายุ</x:v>
      </x:c>
      <x:c r="H27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79" s="20" t="str">
        <x:v>31/20 หมู่ 2 ต อำเภอบางละมุง ชลบุรี 20150</x:v>
      </x:c>
      <x:c r="J279" s="21" t="str">
        <x:v>0619499297</x:v>
      </x:c>
      <x:c r="K279" s="51" t="str">
        <x:v>https://makanhalalguide.com/shop/detail/5191</x:v>
      </x:c>
      <x:c r="L279" s="51" t="str">
        <x:v>https://www.heresmoreinfoon.com/halal-travel-halal-food-in-bangkok-pattaya-thailand/</x:v>
      </x:c>
      <x:c r="M279" s="20" t="str">
        <x:v>ผลค้นหาชื่อสัมพันธ์จากแหล่งเพิ่มเติม ต้องยืนยันสาขาและข้อมูลปัจจุบัน</x:v>
      </x:c>
      <x:c r="N279" s="28" t="n">
        <x:v>46315</x:v>
      </x:c>
      <x:c r="O279" s="57" t="str">
        <x:v>ยังไม่ตรวจ</x:v>
      </x:c>
      <x:c r="P279" s="57" t="str">
        <x:v>ยังไม่ติดต่อ</x:v>
      </x:c>
      <x:c r="Q279" s="20" t="str">
        <x:v>TMF-105</x:v>
      </x:c>
      <x:c r="R279" s="20" t="str">
        <x:v>Nida House &amp; Hotel</x:v>
      </x:c>
      <x:c r="S279" s="20" t="str"/>
      <x:c r="T279" s="20" t="str">
        <x:v>https://makanhalalguide.com/shop/detail/5191</x:v>
      </x:c>
      <x:c r="U279" s="20" t="str"/>
      <x:c r="V279" s="20" t="str"/>
      <x:c r="W279" s="20" t="str"/>
      <x:c r="X279" s="20" t="str"/>
      <x:c r="Y279" s="20" t="str">
        <x:v>https://www.google.com/maps/search/?api=1&amp;query=Nida%20House%20%26%20Hotel%20%E0%B8%8A%E0%B8%A5%E0%B8%9A%E0%B8%B8%E0%B8%A3%E0%B8%B5</x:v>
      </x:c>
      <x:c r="Z279" s="56" t="n">
        <x:v>12.983924</x:v>
      </x:c>
      <x:c r="AA279" s="56" t="n">
        <x:v>100.917886</x:v>
      </x:c>
      <x:c r="AB279" s="57" t="str"/>
      <x:c r="AC279" s="20" t="str">
        <x:v>https://makanhalalguide.com/shop/detail/5191</x:v>
      </x:c>
    </x:row>
    <x:row r="280" ht="88" customHeight="1">
      <x:c r="A280" s="54" t="n">
        <x:v>272</x:v>
      </x:c>
      <x:c r="B280" s="20" t="str">
        <x:v>Noursabah Pattaya - ณุศบา พัทยา</x:v>
      </x:c>
      <x:c r="C280" s="20" t="str">
        <x:v>ชลบุรี</x:v>
      </x:c>
      <x:c r="D280" s="20" t="str">
        <x:v>ที่พัก (ตรวจประเภทจากชื่อและข้อมูลประกอบ)</x:v>
      </x:c>
      <x:c r="E280" s="20" t="str">
        <x:v>Makan Verify; ระบุมีห้องละหมาด</x:v>
      </x:c>
      <x:c r="F280" s="20" t="str">
        <x:v>มีข้อมูลระบุ แต่รอยืนยัน</x:v>
      </x:c>
      <x:c r="G280" s="20" t="str">
        <x:v>ยังไม่พบเอกสารรับรองและวันหมดอายุ</x:v>
      </x:c>
      <x:c r="H280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280" s="20" t="str">
        <x:v>43/71ถนน พัทยาใต้ ซอย 10 อำเภอบางละมุง ชลบุรี 20150</x:v>
      </x:c>
      <x:c r="J280" s="21" t="str">
        <x:v>0802790790</x:v>
      </x:c>
      <x:c r="K280" s="51" t="str">
        <x:v>https://makanhalalguide.com/shop/detail/5194</x:v>
      </x:c>
      <x:c r="L280" s="51" t="str">
        <x:v>https://www.wongnai.com/hotels/343251nS-%E0%B8%93%E0%B8%B8%E0%B8%A8%E0%B8%9A%E0%B8%B2-%E0%B8%9E%E0%B8%B1%E0%B8%97%E0%B8%A2%E0%B8%B2</x:v>
      </x:c>
      <x:c r="M280" s="20" t="str">
        <x:v>ผลค้นหาชื่อสัมพันธ์จากแหล่งเพิ่มเติม ต้องยืนยันสาขาและข้อมูลปัจจุบัน</x:v>
      </x:c>
      <x:c r="N280" s="28" t="n">
        <x:v>46315</x:v>
      </x:c>
      <x:c r="O280" s="57" t="str">
        <x:v>ยังไม่ตรวจ</x:v>
      </x:c>
      <x:c r="P280" s="57" t="str">
        <x:v>ยังไม่ติดต่อ</x:v>
      </x:c>
      <x:c r="Q280" s="20" t="str">
        <x:v>TMF-109</x:v>
      </x:c>
      <x:c r="R280" s="20" t="str"/>
      <x:c r="S280" s="20" t="str"/>
      <x:c r="T280" s="20" t="str">
        <x:v>https://makanhalalguide.com/shop/detail/5194</x:v>
      </x:c>
      <x:c r="U280" s="20" t="str"/>
      <x:c r="V280" s="20" t="str"/>
      <x:c r="W280" s="20" t="str"/>
      <x:c r="X280" s="20" t="str"/>
      <x:c r="Y280" s="20" t="str">
        <x:v>https://www.google.com/maps/search/?api=1&amp;query=Noursabah%20Pattaya%20-%20%E0%B8%93%E0%B8%B8%E0%B8%A8%E0%B8%9A%E0%B8%B2%20%E0%B8%9E%E0%B8%B1%E0%B8%97%E0%B8%A2%E0%B8%B2%20%E0%B8%8A%E0%B8%A5%E0%B8%9A%E0%B8%B8%E0%B8%A3%E0%B8%B5</x:v>
      </x:c>
      <x:c r="Z280" s="56" t="n">
        <x:v>12.922127</x:v>
      </x:c>
      <x:c r="AA280" s="56" t="n">
        <x:v>100.888006</x:v>
      </x:c>
      <x:c r="AB280" s="57" t="str"/>
      <x:c r="AC280" s="20" t="str">
        <x:v>https://makanhalalguide.com/shop/detail/5194</x:v>
      </x:c>
    </x:row>
    <x:row r="281" ht="88" customHeight="1">
      <x:c r="A281" s="54" t="n">
        <x:v>273</x:v>
      </x:c>
      <x:c r="B281" s="20" t="str">
        <x:v>P-Park Hotel Pattaya</x:v>
      </x:c>
      <x:c r="C281" s="20" t="str">
        <x:v>ชลบุรี</x:v>
      </x:c>
      <x:c r="D281" s="20" t="str">
        <x:v>โรงแรมหรือรีสอร์ท</x:v>
      </x:c>
      <x:c r="E281" s="20" t="str">
        <x:v>มีรายชื่อใน Makan Halal Guide; ระบุมีห้องละหมาด</x:v>
      </x:c>
      <x:c r="F281" s="20" t="str">
        <x:v>มีข้อมูลระบุ แต่รอยืนยัน</x:v>
      </x:c>
      <x:c r="G281" s="20" t="str">
        <x:v>ยังไม่พบเอกสารรับรองและวันหมดอายุ</x:v>
      </x:c>
      <x:c r="H28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81" s="20" t="str">
        <x:v>291 7 เมืองพัทยา อำเภอบางละมุง ชลบุรี 20150</x:v>
      </x:c>
      <x:c r="J281" s="21" t="str">
        <x:v>038195221</x:v>
      </x:c>
      <x:c r="K281" s="51" t="str">
        <x:v>https://makanhalalguide.com/shop/detail/5776</x:v>
      </x:c>
      <x:c r="L281" s="51" t="str">
        <x:v>https://www.wongnai.com/hotels/3217115GX-p-park-hotel-pattaya/reviews</x:v>
      </x:c>
      <x:c r="M281" s="20" t="str">
        <x:v>ผลค้นหาชื่อสัมพันธ์จากแหล่งเพิ่มเติม ต้องยืนยันสาขาและข้อมูลปัจจุบัน</x:v>
      </x:c>
      <x:c r="N281" s="28" t="n">
        <x:v>46315</x:v>
      </x:c>
      <x:c r="O281" s="57" t="str">
        <x:v>ยังไม่ตรวจ</x:v>
      </x:c>
      <x:c r="P281" s="57" t="str">
        <x:v>ยังไม่ติดต่อ</x:v>
      </x:c>
      <x:c r="Q281" s="20" t="str">
        <x:v>TMF-106</x:v>
      </x:c>
      <x:c r="R281" s="20" t="str">
        <x:v>P-Park Hotel Pattaya</x:v>
      </x:c>
      <x:c r="S281" s="20" t="str"/>
      <x:c r="T281" s="20" t="str">
        <x:v>https://makanhalalguide.com/shop/detail/5776</x:v>
      </x:c>
      <x:c r="U281" s="20" t="str"/>
      <x:c r="V281" s="20" t="str"/>
      <x:c r="W281" s="20" t="str"/>
      <x:c r="X281" s="20" t="str"/>
      <x:c r="Y281" s="20" t="str">
        <x:v>https://www.google.com/maps/search/?api=1&amp;query=P-Park%20Hotel%20Pattaya%20%E0%B8%8A%E0%B8%A5%E0%B8%9A%E0%B8%B8%E0%B8%A3%E0%B8%B5</x:v>
      </x:c>
      <x:c r="Z281" s="56" t="n">
        <x:v>12.956103</x:v>
      </x:c>
      <x:c r="AA281" s="56" t="n">
        <x:v>100.903643</x:v>
      </x:c>
      <x:c r="AB281" s="57" t="str"/>
      <x:c r="AC281" s="20" t="str">
        <x:v>https://makanhalalguide.com/shop/detail/5776</x:v>
      </x:c>
    </x:row>
    <x:row r="282" ht="88" customHeight="1">
      <x:c r="A282" s="54" t="n">
        <x:v>274</x:v>
      </x:c>
      <x:c r="B282" s="20" t="str">
        <x:v>Pattaya Bed Boutique</x:v>
      </x:c>
      <x:c r="C282" s="20" t="str">
        <x:v>ชลบุรี</x:v>
      </x:c>
      <x:c r="D282" s="20" t="str">
        <x:v>ที่พัก (ตรวจประเภทจากชื่อและข้อมูลประกอบ)</x:v>
      </x:c>
      <x:c r="E282" s="20" t="str">
        <x:v>Makan Verify; ระบุมีห้องละหมาด</x:v>
      </x:c>
      <x:c r="F282" s="20" t="str">
        <x:v>มีข้อมูลระบุ แต่รอยืนยัน</x:v>
      </x:c>
      <x:c r="G282" s="20" t="str">
        <x:v>ยังไม่พบเอกสารรับรองและวันหมดอายุ</x:v>
      </x:c>
      <x:c r="H282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282" s="20" t="str">
        <x:v>164/38 ม 6 ต หนองปรือ อ บางละมุง จ ชลบุรี 20150 (อยู่ซอยสยามคันทรีคลับ , Pattaya, Thailand, Chon Buri)</x:v>
      </x:c>
      <x:c r="J282" s="21" t="str">
        <x:v>0627304937</x:v>
      </x:c>
      <x:c r="K282" s="51" t="str">
        <x:v>https://makanhalalguide.com/shop/detail/5390</x:v>
      </x:c>
      <x:c r="L282" s="51" t="str">
        <x:v>https://www.google.co.th/travel/hotels/entity/ChkInc3eicH38fgJGg0vZy8xMWcwbXY4bXA5EAE?rp=OAHCAhwiGg0AAIhBEhMIn-WQtvOFjwMVAiGtBh0aeQCB&amp;ts=CAEaIgoCGgASHBIUCgcI6g8QCRgCEgcI6g8QCRgEGAIyAhAAOAEqBAoAGgA</x:v>
      </x:c>
      <x:c r="M282" s="20" t="str">
        <x:v>ผลค้นหาชื่อสัมพันธ์จากแหล่งเพิ่มเติม ต้องยืนยันสาขาและข้อมูลปัจจุบัน</x:v>
      </x:c>
      <x:c r="N282" s="28" t="n">
        <x:v>46315</x:v>
      </x:c>
      <x:c r="O282" s="57" t="str">
        <x:v>ยังไม่ตรวจ</x:v>
      </x:c>
      <x:c r="P282" s="57" t="str">
        <x:v>ยังไม่ติดต่อ</x:v>
      </x:c>
      <x:c r="Q282" s="20" t="str">
        <x:v>TMF-110</x:v>
      </x:c>
      <x:c r="R282" s="20" t="str">
        <x:v>Pattaya Bed Boutique</x:v>
      </x:c>
      <x:c r="S282" s="20" t="str"/>
      <x:c r="T282" s="20" t="str">
        <x:v>https://makanhalalguide.com/shop/detail/5390</x:v>
      </x:c>
      <x:c r="U282" s="20" t="str"/>
      <x:c r="V282" s="20" t="str"/>
      <x:c r="W282" s="20" t="str"/>
      <x:c r="X282" s="20" t="str"/>
      <x:c r="Y282" s="20" t="str">
        <x:v>https://www.google.com/maps/search/?api=1&amp;query=Pattaya%20Bed%20Boutique%20%E0%B8%8A%E0%B8%A5%E0%B8%9A%E0%B8%B8%E0%B8%A3%E0%B8%B5</x:v>
      </x:c>
      <x:c r="Z282" s="56" t="n">
        <x:v>12.937454</x:v>
      </x:c>
      <x:c r="AA282" s="56" t="n">
        <x:v>100.926703</x:v>
      </x:c>
      <x:c r="AB282" s="57" t="str"/>
      <x:c r="AC282" s="20" t="str">
        <x:v>https://makanhalalguide.com/shop/detail/5390</x:v>
      </x:c>
    </x:row>
    <x:row r="283" ht="88" customHeight="1">
      <x:c r="A283" s="54" t="n">
        <x:v>275</x:v>
      </x:c>
      <x:c r="B283" s="20" t="str">
        <x:v>Valida Cottage</x:v>
      </x:c>
      <x:c r="C283" s="20" t="str">
        <x:v>ชลบุรี</x:v>
      </x:c>
      <x:c r="D283" s="20" t="str">
        <x:v>ที่พัก (ตรวจประเภทจากชื่อและข้อมูลประกอบ)</x:v>
      </x:c>
      <x:c r="E283" s="20" t="str">
        <x:v>Makan Verify; ระบุมีห้องละหมาด</x:v>
      </x:c>
      <x:c r="F283" s="20" t="str">
        <x:v>มีข้อมูลระบุ แต่รอยืนยัน</x:v>
      </x:c>
      <x:c r="G283" s="20" t="str">
        <x:v>ยังไม่พบเอกสารรับรองและวันหมดอายุ</x:v>
      </x:c>
      <x:c r="H283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283" s="20" t="str">
        <x:v>449 161 ซอย กอไผ่ 9 เมืองพัทยา อำเภอบางละมุง ชลบุรี 20150</x:v>
      </x:c>
      <x:c r="J283" s="21" t="str">
        <x:v>0831991002</x:v>
      </x:c>
      <x:c r="K283" s="51" t="str">
        <x:v>https://makanhalalguide.com/shop/detail/5183</x:v>
      </x:c>
      <x:c r="L283" s="51" t="str">
        <x:v>https://www.google.com.sa/travel/hotels/entity/ChkIp5j2-tKmlb1cGg0vZy8xMWZ3ZGtramhwEAE?ap=MAA&amp;g2lb=2502548%2C4254308%2C4258168%2C4260007%2C4274032%2C4305595%2C4306835%2C4308216%2C4308983%2C4314846%2C4315873%2C4317915%2C4323314%2C4328159%2C4329288%2C4270859%2C4284970%2C4291517%2C4292955%2C4316256&amp;gl=th&amp;gsas=1&amp;hl=th&amp;rp=OAFIAg&amp;ts=CAESCgoCCAMKAggDEAAaZgpIEkQyJTB4MzA0ZDhkZjc0NzQyNGRiMToweDllZDcyYzg4MDc1N2U4MDI6G-C4m-C4o-C4sOC5gOC4l-C4qOC5hOC4l-C4ohoAEhoSFAoHCOgPEAIYCxIHCOgPEAIYDBgBMgIQACoJCgU6A1RIQhoA&amp;un=1</x:v>
      </x:c>
      <x:c r="M283" s="20" t="str">
        <x:v>ผลค้นหาชื่อสัมพันธ์จากแหล่งเพิ่มเติม ต้องยืนยันสาขาและข้อมูลปัจจุบัน</x:v>
      </x:c>
      <x:c r="N283" s="28" t="n">
        <x:v>46315</x:v>
      </x:c>
      <x:c r="O283" s="57" t="str">
        <x:v>ยังไม่ตรวจ</x:v>
      </x:c>
      <x:c r="P283" s="57" t="str">
        <x:v>ยังไม่ติดต่อ</x:v>
      </x:c>
      <x:c r="Q283" s="20" t="str">
        <x:v>TMF-111</x:v>
      </x:c>
      <x:c r="R283" s="20" t="str">
        <x:v>Valida Cottage</x:v>
      </x:c>
      <x:c r="S283" s="20" t="str"/>
      <x:c r="T283" s="20" t="str">
        <x:v>https://makanhalalguide.com/shop/detail/5183</x:v>
      </x:c>
      <x:c r="U283" s="20" t="str"/>
      <x:c r="V283" s="20" t="str"/>
      <x:c r="W283" s="20" t="str"/>
      <x:c r="X283" s="20" t="str"/>
      <x:c r="Y283" s="20" t="str">
        <x:v>https://www.google.com/maps/search/?api=1&amp;query=Valida%20Cottage%20%E0%B8%8A%E0%B8%A5%E0%B8%9A%E0%B8%B8%E0%B8%A3%E0%B8%B5</x:v>
      </x:c>
      <x:c r="Z283" s="56" t="n">
        <x:v>12.915141</x:v>
      </x:c>
      <x:c r="AA283" s="56" t="n">
        <x:v>100.885206</x:v>
      </x:c>
      <x:c r="AB283" s="57" t="str"/>
      <x:c r="AC283" s="20" t="str">
        <x:v>https://makanhalalguide.com/shop/detail/5183</x:v>
      </x:c>
    </x:row>
    <x:row r="284" ht="88" customHeight="1">
      <x:c r="A284" s="54" t="n">
        <x:v>276</x:v>
      </x:c>
      <x:c r="B284" s="20" t="str">
        <x:v>เซ็นทารา แกรนด์ มิราจ บีช รีสอร์ท พัทยา</x:v>
      </x:c>
      <x:c r="C284" s="20" t="str">
        <x:v>ชลบุรี</x:v>
      </x:c>
      <x:c r="D284" s="20" t="str">
        <x:v>โรงแรมหรือรีสอร์ท</x:v>
      </x:c>
      <x:c r="E284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284" s="20" t="str">
        <x:v>ไม่ทราบ</x:v>
      </x:c>
      <x:c r="G284" s="20" t="str">
        <x:v>ยังไม่พบเอกสารรับรองและวันหมดอายุ</x:v>
      </x:c>
      <x:c r="H284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284" s="20" t="str">
        <x:v>277 หมู่ที่ 5 ถ.พัทยา นาเกลือ ตำบลนาเกลือ อำเภอบางละมุง จังหวัดชลบุรี 20150 ตำบลนาเกลือ อำเภอบางละมุง จังหวัดชลบุรี 20150</x:v>
      </x:c>
      <x:c r="J284" s="21" t="str">
        <x:v>0926626514</x:v>
      </x:c>
      <x:c r="K284" s="51" t="str">
        <x:v>https://www.thic.or.th/th/tourist/detail/accommodation/211</x:v>
      </x:c>
      <x:c r="L284" s="51" t="str">
        <x:v>https://www.google.co.th/travel/hotels/%E0%B8%95%E0%B8%B3%E0%B8%9A%E0%B8%A5%E0%B9%81%E0%B8%AA%E0%B8%99%E0%B8%AA%E0%B8%B8%E0%B8%82/entity/ChgIwfa6sbToga4rGgwvZy8xMWgwYmxudGcQAQ?rp=OAHCAgIiAA&amp;ts=CAEaBAoCGgAqBAoAGgA</x:v>
      </x:c>
      <x:c r="M284" s="20" t="str">
        <x:v>ผลค้นหาชื่อสัมพันธ์จากแหล่งเพิ่มเติม ต้องยืนยันสาขาและข้อมูลปัจจุบัน</x:v>
      </x:c>
      <x:c r="N284" s="28" t="n">
        <x:v>46315</x:v>
      </x:c>
      <x:c r="O284" s="57" t="str">
        <x:v>ยังไม่ตรวจ</x:v>
      </x:c>
      <x:c r="P284" s="57" t="str">
        <x:v>ยังไม่ติดต่อ</x:v>
      </x:c>
      <x:c r="Q284" s="20" t="str">
        <x:v>TMF-329</x:v>
      </x:c>
      <x:c r="R284" s="20" t="str"/>
      <x:c r="S284" s="20" t="str"/>
      <x:c r="T284" s="20" t="str">
        <x:v>https://www.thic.or.th/th/tourist/detail/accommodation/211</x:v>
      </x:c>
      <x:c r="U284" s="20" t="str"/>
      <x:c r="V284" s="20" t="str"/>
      <x:c r="W284" s="20" t="str"/>
      <x:c r="X284" s="20" t="str"/>
      <x:c r="Y284" s="20" t="str">
        <x:v>https://www.google.com/maps/search/?api=1&amp;query=%E0%B9%80%E0%B8%8B%E0%B9%87%E0%B8%99%E0%B8%97%E0%B8%B2%E0%B8%A3%E0%B8%B2%20%E0%B9%81%E0%B8%81%E0%B8%A3%E0%B8%99%E0%B8%94%E0%B9%8C%20%E0%B8%A1%E0%B8%B4%E0%B8%A3%E0%B8%B2%E0%B8%88%20%E0%B8%9A%E0%B8%B5%E0%B8%8A%20%E0%B8%A3%E0%B8%B5%E0%B8%AA%E0%B8%AD%E0%B8%A3%E0%B9%8C%E0%B8%97%20%E0%B8%9E%E0%B8%B1%E0%B8%97%E0%B8%A2%E0%B8%B2%20%E0%B8%8A%E0%B8%A5%E0%B8%9A%E0%B8%B8%E0%B8%A3%E0%B8%B5</x:v>
      </x:c>
      <x:c r="Z284" s="56" t="str"/>
      <x:c r="AA284" s="56" t="str"/>
      <x:c r="AB284" s="57" t="str"/>
      <x:c r="AC284" s="20" t="str">
        <x:v>https://www.thic.or.th/th/tourist/detail/accommodation/211</x:v>
      </x:c>
    </x:row>
    <x:row r="285" ht="88" customHeight="1">
      <x:c r="A285" s="54" t="n">
        <x:v>277</x:v>
      </x:c>
      <x:c r="B285" s="20" t="str">
        <x:v>FindyHome Sattahip Poolvilla</x:v>
      </x:c>
      <x:c r="C285" s="20" t="str">
        <x:v>ชลบุรี</x:v>
      </x:c>
      <x:c r="D285" s="20" t="str">
        <x:v>ร้านอาหาร</x:v>
      </x:c>
      <x:c r="E285" s="20" t="str">
        <x:v>Makan Verify; ระบุมีห้องละหมาด</x:v>
      </x:c>
      <x:c r="F285" s="20" t="str">
        <x:v>มีข้อมูลระบุ แต่รอยืนยัน</x:v>
      </x:c>
      <x:c r="G285" s="20" t="str">
        <x:v>ยังไม่พบเอกสารรับรองและวันหมดอายุ</x:v>
      </x:c>
      <x:c r="H28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85" s="20" t="str">
        <x:v>118 67 หมู่ 10 ตำบล บางเสร่ อำเภอสัตหีบ ชลบุรี 20250</x:v>
      </x:c>
      <x:c r="J285" s="21" t="str">
        <x:v>0886860340</x:v>
      </x:c>
      <x:c r="K285" s="51" t="str">
        <x:v>https://makanhalalguide.com/shop/detail/5389</x:v>
      </x:c>
      <x:c r="L285" s="51" t="str">
        <x:v>https://www.poolvillaclub.com/poolvillas-in-sattahip/amp/</x:v>
      </x:c>
      <x:c r="M285" s="20" t="str">
        <x:v>ผลค้นหาชื่อสัมพันธ์จากแหล่งเพิ่มเติม ต้องยืนยันสาขาและข้อมูลปัจจุบัน</x:v>
      </x:c>
      <x:c r="N285" s="28" t="n">
        <x:v>46315</x:v>
      </x:c>
      <x:c r="O285" s="57" t="str">
        <x:v>ยังไม่ตรวจ</x:v>
      </x:c>
      <x:c r="P285" s="57" t="str">
        <x:v>ยังไม่ติดต่อ</x:v>
      </x:c>
      <x:c r="Q285" s="20" t="str">
        <x:v>TMF-108</x:v>
      </x:c>
      <x:c r="R285" s="20" t="str">
        <x:v>FindyHome Sattahip Poolvilla</x:v>
      </x:c>
      <x:c r="S285" s="20" t="str"/>
      <x:c r="T285" s="20" t="str">
        <x:v>https://makanhalalguide.com/shop/detail/5389</x:v>
      </x:c>
      <x:c r="U285" s="20" t="str"/>
      <x:c r="V285" s="20" t="str"/>
      <x:c r="W285" s="20" t="str"/>
      <x:c r="X285" s="20" t="str"/>
      <x:c r="Y285" s="20" t="str">
        <x:v>https://www.google.com/maps/search/?api=1&amp;query=FindyHome%20Sattahip%20Poolvilla%20%E0%B8%8A%E0%B8%A5%E0%B8%9A%E0%B8%B8%E0%B8%A3%E0%B8%B5</x:v>
      </x:c>
      <x:c r="Z285" s="56" t="n">
        <x:v>12.737047</x:v>
      </x:c>
      <x:c r="AA285" s="56" t="n">
        <x:v>100.901766</x:v>
      </x:c>
      <x:c r="AB285" s="57" t="str"/>
      <x:c r="AC285" s="20" t="str">
        <x:v>https://makanhalalguide.com/shop/detail/5389</x:v>
      </x:c>
    </x:row>
    <x:row r="286" ht="88" customHeight="1">
      <x:c r="A286" s="54" t="n">
        <x:v>278</x:v>
      </x:c>
      <x:c r="B286" s="20" t="str">
        <x:v>ข้าว-ยำ ทำถึง</x:v>
      </x:c>
      <x:c r="C286" s="20" t="str">
        <x:v>ชลบุรี</x:v>
      </x:c>
      <x:c r="D286" s="20" t="str">
        <x:v>ร้านอาหาร</x:v>
      </x:c>
      <x:c r="E286" s="20" t="str">
        <x:v>มีรายชื่อใน Makan Halal Guide; ระบุมีห้องละหมาด</x:v>
      </x:c>
      <x:c r="F286" s="20" t="str">
        <x:v>มีข้อมูลระบุ แต่รอยืนยัน</x:v>
      </x:c>
      <x:c r="G286" s="20" t="str">
        <x:v>ยังไม่พบเอกสารรับรองและวันหมดอายุ</x:v>
      </x:c>
      <x:c r="H28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286" s="20" t="str">
        <x:v>มาบยายเลีย 43 เลขที่ 155/98 ม.6 อำเภอบางละมุง ชลบุรี 20150</x:v>
      </x:c>
      <x:c r="J286" s="21" t="str">
        <x:v>0927918316</x:v>
      </x:c>
      <x:c r="K286" s="51" t="str">
        <x:v>https://makanhalalguide.com/shop/detail/5935</x:v>
      </x:c>
      <x:c r="L286" s="51" t="str">
        <x:v>https://www.lemon8-app.com/%40cianacia/7555534823125778961?region=th</x:v>
      </x:c>
      <x:c r="M286" s="20" t="str">
        <x:v>ผลค้นหาชื่อสัมพันธ์จากแหล่งเพิ่มเติม ต้องยืนยันสาขาและข้อมูลปัจจุบัน</x:v>
      </x:c>
      <x:c r="N286" s="28" t="n">
        <x:v>46315</x:v>
      </x:c>
      <x:c r="O286" s="57" t="str">
        <x:v>ยังไม่ตรวจ</x:v>
      </x:c>
      <x:c r="P286" s="57" t="str">
        <x:v>ยังไม่ติดต่อ</x:v>
      </x:c>
      <x:c r="Q286" s="20" t="str">
        <x:v>TMF-112</x:v>
      </x:c>
      <x:c r="R286" s="20" t="str"/>
      <x:c r="S286" s="20" t="str"/>
      <x:c r="T286" s="20" t="str">
        <x:v>https://makanhalalguide.com/shop/detail/5935</x:v>
      </x:c>
      <x:c r="U286" s="20" t="str"/>
      <x:c r="V286" s="20" t="str"/>
      <x:c r="W286" s="20" t="str"/>
      <x:c r="X286" s="20" t="str"/>
      <x:c r="Y286" s="20" t="str">
        <x:v>https://www.google.com/maps/search/?api=1&amp;query=%E0%B8%82%E0%B9%89%E0%B8%B2%E0%B8%A7-%E0%B8%A2%E0%B8%B3%20%E0%B8%97%E0%B8%B3%E0%B8%96%E0%B8%B6%E0%B8%87%20%E0%B8%8A%E0%B8%A5%E0%B8%9A%E0%B8%B8%E0%B8%A3%E0%B8%B5</x:v>
      </x:c>
      <x:c r="Z286" s="56" t="n">
        <x:v>12.931748</x:v>
      </x:c>
      <x:c r="AA286" s="56" t="n">
        <x:v>100.926218</x:v>
      </x:c>
      <x:c r="AB286" s="57" t="str"/>
      <x:c r="AC286" s="20" t="str">
        <x:v>https://makanhalalguide.com/shop/detail/5935</x:v>
      </x:c>
    </x:row>
    <x:row r="287" ht="88" customHeight="1">
      <x:c r="A287" s="54" t="n">
        <x:v>279</x:v>
      </x:c>
      <x:c r="B287" s="20" t="str">
        <x:v>Health Land Pattaya</x:v>
      </x:c>
      <x:c r="C287" s="20" t="str">
        <x:v>ชลบุรี</x:v>
      </x:c>
      <x:c r="D287" s="20" t="str">
        <x:v>เวลเนส</x:v>
      </x:c>
      <x:c r="E287" s="20" t="str">
        <x:v>พบข้อมูลชื่อตรงจาก Health Land Resort &amp; Spa Pattaya | FTI e-Privileges | ส.อ.ท. FTI; เป็นหลักฐานตัวตน/ประเภท ยังไม่ยืนยันบริการมุสลิมครบเกณฑ์</x:v>
      </x:c>
      <x:c r="F287" s="20" t="str">
        <x:v>ไม่ทราบ</x:v>
      </x:c>
      <x:c r="G287" s="20" t="str">
        <x:v>ยังไม่ยืนยันใบรับรองและวันหมดอายุ</x:v>
      </x:c>
      <x:c r="H287" s="20" t="str">
        <x:v>ตรวจการเปิด ตัวตนสาขา ช่องทางติดต่อ และเงื่อนไขบังคับตามประเภท</x:v>
      </x:c>
      <x:c r="I287" s="20" t="str">
        <x:v>ยังไม่ยืนยันที่อยู่ละเอียด ดูลิงก์แหล่งข้อมูลและ Google Maps</x:v>
      </x:c>
      <x:c r="J287" s="21" t="str">
        <x:v>ยังไม่พบหรือยังไม่ยืนยัน</x:v>
      </x:c>
      <x:c r="K287" s="51" t="str">
        <x:v>https://fti.or.th/benefits/fti-e-privileges/170</x:v>
      </x:c>
      <x:c r="L287" s="51" t="str">
        <x:v>https://www.gotopattaya.com/en/venues/health-land-pattaya-sukhumvit-road</x:v>
      </x:c>
      <x:c r="M287" s="20" t="str">
        <x:v>พบแหล่งต่างเว็บไซต์ Health Land Pattaya Sukhumvit Road - Sukhumvit Road · Nong Prue</x:v>
      </x:c>
      <x:c r="N287" s="28" t="n">
        <x:v>46316</x:v>
      </x:c>
      <x:c r="O287" s="57" t="str">
        <x:v>ยังไม่ตรวจ</x:v>
      </x:c>
      <x:c r="P287" s="57" t="str">
        <x:v>ยังไม่ติดต่อ</x:v>
      </x:c>
      <x:c r="Q287" s="20" t="str">
        <x:v>R26-282</x:v>
      </x:c>
      <x:c r="R287" s="20" t="str">
        <x:v>Health Land Pattaya</x:v>
      </x:c>
      <x:c r="S287" s="20" t="str"/>
      <x:c r="T287" s="20" t="str">
        <x:v>https://fti.or.th/benefits/fti-e-privileges/170</x:v>
      </x:c>
      <x:c r="U287" s="20" t="str"/>
      <x:c r="V287" s="20" t="str"/>
      <x:c r="W287" s="20" t="str"/>
      <x:c r="X287" s="20" t="str"/>
      <x:c r="Y287" s="20" t="str">
        <x:v>https://www.google.com/maps/search/?api=1&amp;query=Health%20Land%20Pattaya%20%E0%B8%8A%E0%B8%A5%E0%B8%9A%E0%B8%B8%E0%B8%A3%E0%B8%B5</x:v>
      </x:c>
      <x:c r="Z287" s="56" t="n">
        <x:v>12.910397</x:v>
      </x:c>
      <x:c r="AA287" s="56" t="n">
        <x:v>100.895532</x:v>
      </x:c>
      <x:c r="AB287" s="57" t="str"/>
      <x:c r="AC287" s="20" t="str">
        <x:v>https://fti.or.th/benefits/fti-e-privileges/170</x:v>
      </x:c>
    </x:row>
    <x:row r="288" ht="88" customHeight="1">
      <x:c r="A288" s="54" t="n">
        <x:v>280</x:v>
      </x:c>
      <x:c r="B288" s="20" t="str">
        <x:v>Let's Relax Onsen and Spa Pattaya</x:v>
      </x:c>
      <x:c r="C288" s="20" t="str">
        <x:v>ชลบุรี</x:v>
      </x:c>
      <x:c r="D288" s="20" t="str">
        <x:v>เวลเนส</x:v>
      </x:c>
      <x:c r="E288" s="20" t="str">
        <x:v>พบข้อมูลชื่อตรงจาก Let's Relax Onsen and Spa Pattaya | Let's Relax Spa; เป็นหลักฐานตัวตน/ประเภท ยังไม่ยืนยันบริการมุสลิมครบเกณฑ์</x:v>
      </x:c>
      <x:c r="F288" s="20" t="str">
        <x:v>ไม่ทราบ</x:v>
      </x:c>
      <x:c r="G288" s="20" t="str">
        <x:v>ยังไม่ยืนยันใบรับรองและวันหมดอายุ</x:v>
      </x:c>
      <x:c r="H288" s="20" t="str">
        <x:v>ตรวจการเปิด ตัวตนสาขา ช่องทางติดต่อ และเงื่อนไขบังคับตามประเภท</x:v>
      </x:c>
      <x:c r="I288" s="20" t="str">
        <x:v>ยังไม่ยืนยันที่อยู่ละเอียด ดูลิงก์แหล่งข้อมูลและ Google Maps</x:v>
      </x:c>
      <x:c r="J288" s="21" t="str">
        <x:v>ยังไม่พบหรือยังไม่ยืนยัน</x:v>
      </x:c>
      <x:c r="K288" s="51" t="str">
        <x:v>https://letsrelaxspa.com/branches/pattaya-onsen-and-spa/</x:v>
      </x:c>
      <x:c r="L288" s="51" t="str">
        <x:v>https://www.youtube.com/watch?v=ievqQQtG4mU</x:v>
      </x:c>
      <x:c r="M288" s="20" t="str">
        <x:v>พบแหล่งต่างเว็บไซต์ รีวิว Let’s Relax Onsen &amp; Spa Pattaya (Grande Centre Point Space) - YouTube</x:v>
      </x:c>
      <x:c r="N288" s="28" t="n">
        <x:v>46316</x:v>
      </x:c>
      <x:c r="O288" s="57" t="str">
        <x:v>ยังไม่ตรวจ</x:v>
      </x:c>
      <x:c r="P288" s="57" t="str">
        <x:v>ยังไม่ติดต่อ</x:v>
      </x:c>
      <x:c r="Q288" s="20" t="str">
        <x:v>R26-283</x:v>
      </x:c>
      <x:c r="R288" s="20" t="str">
        <x:v>Let's Relax Onsen and Spa Pattaya</x:v>
      </x:c>
      <x:c r="S288" s="20" t="str"/>
      <x:c r="T288" s="20" t="str">
        <x:v>https://letsrelaxspa.com/branches/pattaya-onsen-and-spa/</x:v>
      </x:c>
      <x:c r="U288" s="20" t="str"/>
      <x:c r="V288" s="20" t="str"/>
      <x:c r="W288" s="20" t="str"/>
      <x:c r="X288" s="20" t="str"/>
      <x:c r="Y288" s="20" t="str">
        <x:v>https://www.google.com/maps/search/?api=1&amp;query=Let%27s%20Relax%20Onsen%20and%20Spa%20Pattaya%20%E0%B8%8A%E0%B8%A5%E0%B8%9A%E0%B8%B8%E0%B8%A3%E0%B8%B5</x:v>
      </x:c>
      <x:c r="Z288" s="56" t="str"/>
      <x:c r="AA288" s="56" t="str"/>
      <x:c r="AB288" s="57" t="str"/>
      <x:c r="AC288" s="20" t="str">
        <x:v>https://letsrelaxspa.com/branches/pattaya-onsen-and-spa/</x:v>
      </x:c>
    </x:row>
    <x:row r="289" ht="88" customHeight="1">
      <x:c r="A289" s="54" t="n">
        <x:v>281</x:v>
      </x:c>
      <x:c r="B289" s="20" t="str">
        <x:v>Central Pattaya</x:v>
      </x:c>
      <x:c r="C289" s="20" t="str">
        <x:v>ชลบุรี</x:v>
      </x:c>
      <x:c r="D289" s="20" t="str">
        <x:v>การค้า</x:v>
      </x:c>
      <x:c r="E289" s="20" t="str">
        <x:v>พบข้อมูลชื่อตรงจาก Central Pattaya; เป็นหลักฐานตัวตน/ประเภท ยังไม่ยืนยันบริการมุสลิมครบเกณฑ์</x:v>
      </x:c>
      <x:c r="F289" s="20" t="str">
        <x:v>ไม่ทราบ</x:v>
      </x:c>
      <x:c r="G289" s="20" t="str">
        <x:v>ยังไม่ยืนยันใบรับรองและวันหมดอายุ</x:v>
      </x:c>
      <x:c r="H289" s="20" t="str">
        <x:v>ตรวจการเปิด ตัวตนสาขา ช่องทางติดต่อ และเงื่อนไขบังคับตามประเภท</x:v>
      </x:c>
      <x:c r="I289" s="20" t="str">
        <x:v>ยังไม่ยืนยันที่อยู่ละเอียด ดูลิงก์แหล่งข้อมูลและ Google Maps</x:v>
      </x:c>
      <x:c r="J289" s="21" t="str">
        <x:v>033 003 999</x:v>
      </x:c>
      <x:c r="K289" s="51" t="str">
        <x:v>https://www.centralpattaya.com/</x:v>
      </x:c>
      <x:c r="L289" s="51" t="str">
        <x:v>https://en.wikipedia.org/wiki/Central_Pattaya</x:v>
      </x:c>
      <x:c r="M289" s="20" t="str">
        <x:v>พบแหล่งต่างเว็บไซต์ Central Pattaya</x:v>
      </x:c>
      <x:c r="N289" s="28" t="n">
        <x:v>46316</x:v>
      </x:c>
      <x:c r="O289" s="57" t="str">
        <x:v>ยังไม่ตรวจ</x:v>
      </x:c>
      <x:c r="P289" s="57" t="str">
        <x:v>ยังไม่ติดต่อ</x:v>
      </x:c>
      <x:c r="Q289" s="20" t="str">
        <x:v>R26-264</x:v>
      </x:c>
      <x:c r="R289" s="20" t="str">
        <x:v>Central Pattaya</x:v>
      </x:c>
      <x:c r="S289" s="20" t="str">
        <x:v>prom.cpb@centralpattana.co.th</x:v>
      </x:c>
      <x:c r="T289" s="20" t="str">
        <x:v>https://www.centralpattaya.com/</x:v>
      </x:c>
      <x:c r="U289" s="20" t="str">
        <x:v>https://www.facebook.com/CentralPattayaBeach</x:v>
      </x:c>
      <x:c r="V289" s="20" t="str">
        <x:v>https://www.instagram.com/central_pattaya/</x:v>
      </x:c>
      <x:c r="W289" s="20" t="str"/>
      <x:c r="X289" s="20" t="str">
        <x:v>https://www.tiktok.com/@central_pattaya</x:v>
      </x:c>
      <x:c r="Y289" s="20" t="str">
        <x:v>https://www.google.com/maps/search/?api=1&amp;query=Central%20Pattaya%20%E0%B8%8A%E0%B8%A5%E0%B8%9A%E0%B8%B8%E0%B8%A3%E0%B8%B5</x:v>
      </x:c>
      <x:c r="Z289" s="56" t="n">
        <x:v>12.934444</x:v>
      </x:c>
      <x:c r="AA289" s="56" t="n">
        <x:v>100.883889</x:v>
      </x:c>
      <x:c r="AB289" s="57" t="str"/>
      <x:c r="AC289" s="20" t="str">
        <x:v>https://www.centralpattaya.com/</x:v>
      </x:c>
    </x:row>
    <x:row r="290" ht="88" customHeight="1">
      <x:c r="A290" s="54" t="n">
        <x:v>282</x:v>
      </x:c>
      <x:c r="B290" s="20" t="str">
        <x:v>Terminal 21 Pattaya</x:v>
      </x:c>
      <x:c r="C290" s="20" t="str">
        <x:v>ชลบุรี</x:v>
      </x:c>
      <x:c r="D290" s="20" t="str">
        <x:v>การค้า</x:v>
      </x:c>
      <x:c r="E290" s="20" t="str">
        <x:v>พบข้อมูลชื่อตรงจาก Home - Terminal 21 Pattaya; เป็นหลักฐานตัวตน/ประเภท ยังไม่ยืนยันบริการมุสลิมครบเกณฑ์</x:v>
      </x:c>
      <x:c r="F290" s="20" t="str">
        <x:v>ไม่ทราบ</x:v>
      </x:c>
      <x:c r="G290" s="20" t="str">
        <x:v>ยังไม่ยืนยันใบรับรองและวันหมดอายุ</x:v>
      </x:c>
      <x:c r="H290" s="20" t="str">
        <x:v>ตรวจการเปิด ตัวตนสาขา ช่องทางติดต่อ และเงื่อนไขบังคับตามประเภท</x:v>
      </x:c>
      <x:c r="I290" s="20" t="str">
        <x:v>ยังไม่ยืนยันที่อยู่ละเอียด ดูลิงก์แหล่งข้อมูลและ Google Maps</x:v>
      </x:c>
      <x:c r="J290" s="21" t="str">
        <x:v>ยังไม่พบหรือยังไม่ยืนยัน</x:v>
      </x:c>
      <x:c r="K290" s="51" t="str">
        <x:v>https://www.terminal21.co.th/pattaya/</x:v>
      </x:c>
      <x:c r="L290" s="51" t="str">
        <x:v>https://www.movenpickpattayanajomtien.com/th/places/terminal-21-pattaya/</x:v>
      </x:c>
      <x:c r="M290" s="20" t="str">
        <x:v>พบแหล่งต่างเว็บไซต์ เทอร์มินอล 21 พัทยา – ศูนย์การค้าระดับโลก</x:v>
      </x:c>
      <x:c r="N290" s="28" t="n">
        <x:v>46316</x:v>
      </x:c>
      <x:c r="O290" s="57" t="str">
        <x:v>ยังไม่ตรวจ</x:v>
      </x:c>
      <x:c r="P290" s="57" t="str">
        <x:v>ยังไม่ติดต่อ</x:v>
      </x:c>
      <x:c r="Q290" s="20" t="str">
        <x:v>R26-265</x:v>
      </x:c>
      <x:c r="R290" s="20" t="str">
        <x:v>Terminal 21 Pattaya</x:v>
      </x:c>
      <x:c r="S290" s="20" t="str"/>
      <x:c r="T290" s="20" t="str">
        <x:v>https://www.terminal21.co.th/pattaya/</x:v>
      </x:c>
      <x:c r="U290" s="20" t="str">
        <x:v>https://www.facebook.com/Terminal21Pattaya/</x:v>
      </x:c>
      <x:c r="V290" s="20" t="str">
        <x:v>https://www.instagram.com/terminal21pattaya/</x:v>
      </x:c>
      <x:c r="W290" s="20" t="str">
        <x:v>https://page.line.me/nyy5843p</x:v>
      </x:c>
      <x:c r="X290" s="20" t="str">
        <x:v>https://www.tiktok.com/@terminal21pattaya</x:v>
      </x:c>
      <x:c r="Y290" s="20" t="str">
        <x:v>https://www.google.com/maps/search/?api=1&amp;query=Terminal%2021%20Pattaya%20%E0%B8%8A%E0%B8%A5%E0%B8%9A%E0%B8%B8%E0%B8%A3%E0%B8%B5</x:v>
      </x:c>
      <x:c r="Z290" s="56" t="str"/>
      <x:c r="AA290" s="56" t="str"/>
      <x:c r="AB290" s="57" t="str"/>
      <x:c r="AC290" s="20" t="str">
        <x:v>https://www.terminal21.co.th/pattaya/</x:v>
      </x:c>
    </x:row>
    <x:row r="291" ht="88" customHeight="1">
      <x:c r="A291" s="54" t="n">
        <x:v>283</x:v>
      </x:c>
      <x:c r="B291" s="20" t="str">
        <x:v>มัสยิดญามีอุ้ลอิสลาม</x:v>
      </x:c>
      <x:c r="C291" s="20" t="str">
        <x:v>ชลบุรี</x:v>
      </x:c>
      <x:c r="D291" s="20" t="str">
        <x:v>มัสยิด</x:v>
      </x:c>
      <x:c r="E29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1" s="20" t="str">
        <x:v>มีข้อมูลระบุ แต่รอยืนยัน</x:v>
      </x:c>
      <x:c r="G291" s="20" t="str">
        <x:v>ยังไม่พบเอกสารรับรองและวันหมดอายุ</x:v>
      </x:c>
      <x:c r="H29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1" s="20" t="str">
        <x:v>หมู่ที่ 6 ต.หนองปรือ อ.บางละมุง จ.ชลบุรี 20150 ตำบลหนองปรือ อำเภอบางละมุง จังหวัดชลบุรี 20150</x:v>
      </x:c>
      <x:c r="J291" s="21" t="str">
        <x:v>089-6006609</x:v>
      </x:c>
      <x:c r="K291" s="51" t="str">
        <x:v>https://www.thic.or.th/th/tourist/detail/mosques/251</x:v>
      </x:c>
      <x:c r="L291" s="51" t="str">
        <x:v>https://www.cicot.or.th/th/mosque/detail/511/5</x:v>
      </x:c>
      <x:c r="M291" s="20" t="str">
        <x:v>ผลค้นหาชื่อสัมพันธ์จากแหล่งเพิ่มเติม ต้องยืนยันสาขาและข้อมูลปัจจุบัน</x:v>
      </x:c>
      <x:c r="N291" s="28" t="n">
        <x:v>46315</x:v>
      </x:c>
      <x:c r="O291" s="57" t="str">
        <x:v>ยังไม่ตรวจ</x:v>
      </x:c>
      <x:c r="P291" s="57" t="str">
        <x:v>ยังไม่ติดต่อ</x:v>
      </x:c>
      <x:c r="Q291" s="20" t="str">
        <x:v>TMF-331</x:v>
      </x:c>
      <x:c r="R291" s="20" t="str"/>
      <x:c r="S291" s="20" t="str"/>
      <x:c r="T291" s="20" t="str">
        <x:v>https://www.thic.or.th/th/tourist/detail/mosques/251</x:v>
      </x:c>
      <x:c r="U291" s="20" t="str"/>
      <x:c r="V291" s="20" t="str"/>
      <x:c r="W291" s="20" t="str"/>
      <x:c r="X291" s="20" t="str"/>
      <x:c r="Y291" s="20" t="str">
        <x:v>https://www.google.com/maps/search/?api=1&amp;query=%E0%B8%A1%E0%B8%B1%E0%B8%AA%E0%B8%A2%E0%B8%B4%E0%B8%94%E0%B8%8D%E0%B8%B2%E0%B8%A1%E0%B8%B5%E0%B8%AD%E0%B8%B8%E0%B9%89%E0%B8%A5%E0%B8%AD%E0%B8%B4%E0%B8%AA%E0%B8%A5%E0%B8%B2%E0%B8%A1%20%E0%B8%8A%E0%B8%A5%E0%B8%9A%E0%B8%B8%E0%B8%A3%E0%B8%B5</x:v>
      </x:c>
      <x:c r="Z291" s="56" t="n">
        <x:v>12.944477</x:v>
      </x:c>
      <x:c r="AA291" s="56" t="n">
        <x:v>100.922768</x:v>
      </x:c>
      <x:c r="AB291" s="57" t="str"/>
      <x:c r="AC291" s="20" t="str">
        <x:v>https://www.thic.or.th/th/tourist/detail/mosques/251</x:v>
      </x:c>
    </x:row>
    <x:row r="292" ht="88" customHeight="1">
      <x:c r="A292" s="54" t="n">
        <x:v>284</x:v>
      </x:c>
      <x:c r="B292" s="20" t="str">
        <x:v>มัสยิดดารุสซิดดีกีน</x:v>
      </x:c>
      <x:c r="C292" s="20" t="str">
        <x:v>ชลบุรี</x:v>
      </x:c>
      <x:c r="D292" s="20" t="str">
        <x:v>มัสยิด</x:v>
      </x:c>
      <x:c r="E292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2" s="20" t="str">
        <x:v>มีข้อมูลระบุ แต่รอยืนยัน</x:v>
      </x:c>
      <x:c r="G292" s="20" t="str">
        <x:v>ยังไม่พบเอกสารรับรองและวันหมดอายุ</x:v>
      </x:c>
      <x:c r="H29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2" s="20" t="str">
        <x:v>เลขที่ 17 หมู่ที่ 5 ต.นาวังหิน อ.พนัสนิคม จ.ชลบุรี 20140 ตำบลนาวังหิน อำเภอพนัสนิคม จังหวัดชลบุรี 20140</x:v>
      </x:c>
      <x:c r="J292" s="21" t="str">
        <x:v>088-8408188</x:v>
      </x:c>
      <x:c r="K292" s="51" t="str">
        <x:v>https://www.thic.or.th/th/tourist/detail/mosques/254</x:v>
      </x:c>
      <x:c r="L292" s="51" t="str">
        <x:v>https://www.cicot.or.th/th/mosque/lists/3/5</x:v>
      </x:c>
      <x:c r="M292" s="20" t="str">
        <x:v>ผลค้นหาชื่อสัมพันธ์จากแหล่งเพิ่มเติม ต้องยืนยันสาขาและข้อมูลปัจจุบัน</x:v>
      </x:c>
      <x:c r="N292" s="28" t="n">
        <x:v>46315</x:v>
      </x:c>
      <x:c r="O292" s="57" t="str">
        <x:v>ยังไม่ตรวจ</x:v>
      </x:c>
      <x:c r="P292" s="57" t="str">
        <x:v>ยังไม่ติดต่อ</x:v>
      </x:c>
      <x:c r="Q292" s="20" t="str">
        <x:v>TMF-332</x:v>
      </x:c>
      <x:c r="R292" s="20" t="str"/>
      <x:c r="S292" s="20" t="str"/>
      <x:c r="T292" s="20" t="str">
        <x:v>https://www.thic.or.th/th/tourist/detail/mosques/254</x:v>
      </x:c>
      <x:c r="U292" s="20" t="str"/>
      <x:c r="V292" s="20" t="str"/>
      <x:c r="W292" s="20" t="str"/>
      <x:c r="X292" s="20" t="str"/>
      <x:c r="Y292" s="20" t="str">
        <x:v>https://www.google.com/maps/search/?api=1&amp;query=%E0%B8%A1%E0%B8%B1%E0%B8%AA%E0%B8%A2%E0%B8%B4%E0%B8%94%E0%B8%94%E0%B8%B2%E0%B8%A3%E0%B8%B8%E0%B8%AA%E0%B8%8B%E0%B8%B4%E0%B8%94%E0%B8%94%E0%B8%B5%E0%B8%81%E0%B8%B5%E0%B8%99%20%E0%B8%8A%E0%B8%A5%E0%B8%9A%E0%B8%B8%E0%B8%A3%E0%B8%B5</x:v>
      </x:c>
      <x:c r="Z292" s="56" t="n">
        <x:v>13.446765</x:v>
      </x:c>
      <x:c r="AA292" s="56" t="n">
        <x:v>101.292797</x:v>
      </x:c>
      <x:c r="AB292" s="57" t="str"/>
      <x:c r="AC292" s="20" t="str">
        <x:v>https://www.thic.or.th/th/tourist/detail/mosques/254</x:v>
      </x:c>
    </x:row>
    <x:row r="293" ht="88" customHeight="1">
      <x:c r="A293" s="54" t="n">
        <x:v>285</x:v>
      </x:c>
      <x:c r="B293" s="20" t="str">
        <x:v>มัสยิดดารุ้ลมู่ฮายีรีน</x:v>
      </x:c>
      <x:c r="C293" s="20" t="str">
        <x:v>ชลบุรี</x:v>
      </x:c>
      <x:c r="D293" s="20" t="str">
        <x:v>มัสยิด</x:v>
      </x:c>
      <x:c r="E29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3" s="20" t="str">
        <x:v>มีข้อมูลระบุ แต่รอยืนยัน</x:v>
      </x:c>
      <x:c r="G293" s="20" t="str">
        <x:v>ยังไม่พบเอกสารรับรองและวันหมดอายุ</x:v>
      </x:c>
      <x:c r="H29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3" s="20" t="str">
        <x:v>เลขที่ 225/1 หมู่ที่ 1 ต.วัดสุวรรณ อ.บ่อทอง จ.ชลบุรี 20270 ตำบลวัดสุวรรณ อำเภอบ่อทอง จังหวัดชลบุรี 20270</x:v>
      </x:c>
      <x:c r="J293" s="21" t="str">
        <x:v>087-9411880</x:v>
      </x:c>
      <x:c r="K293" s="51" t="str">
        <x:v>https://www.thic.or.th/th/tourist/detail/mosques/259</x:v>
      </x:c>
      <x:c r="L293" s="51" t="str">
        <x:v>https://picoc.or.th/mosque/detail/19</x:v>
      </x:c>
      <x:c r="M293" s="20" t="str">
        <x:v>ผลค้นหาชื่อสัมพันธ์จากแหล่งเพิ่มเติม ต้องยืนยันสาขาและข้อมูลปัจจุบัน</x:v>
      </x:c>
      <x:c r="N293" s="28" t="n">
        <x:v>46315</x:v>
      </x:c>
      <x:c r="O293" s="57" t="str">
        <x:v>ยังไม่ตรวจ</x:v>
      </x:c>
      <x:c r="P293" s="57" t="str">
        <x:v>ยังไม่ติดต่อ</x:v>
      </x:c>
      <x:c r="Q293" s="20" t="str">
        <x:v>TMF-333</x:v>
      </x:c>
      <x:c r="R293" s="20" t="str"/>
      <x:c r="S293" s="20" t="str"/>
      <x:c r="T293" s="20" t="str">
        <x:v>https://www.thic.or.th/th/tourist/detail/mosques/259</x:v>
      </x:c>
      <x:c r="U293" s="20" t="str"/>
      <x:c r="V293" s="20" t="str"/>
      <x:c r="W293" s="20" t="str"/>
      <x:c r="X293" s="20" t="str"/>
      <x:c r="Y293" s="20" t="str">
        <x:v>https://www.google.com/maps/search/?api=1&amp;query=%E0%B8%A1%E0%B8%B1%E0%B8%AA%E0%B8%A2%E0%B8%B4%E0%B8%94%E0%B8%94%E0%B8%B2%E0%B8%A3%E0%B8%B8%E0%B9%89%E0%B8%A5%E0%B8%A1%E0%B8%B9%E0%B9%88%E0%B8%AE%E0%B8%B2%E0%B8%A2%E0%B8%B5%E0%B8%A3%E0%B8%B5%E0%B8%99%20%E0%B8%8A%E0%B8%A5%E0%B8%9A%E0%B8%B8%E0%B8%A3%E0%B8%B5</x:v>
      </x:c>
      <x:c r="Z293" s="56" t="n">
        <x:v>13.319724</x:v>
      </x:c>
      <x:c r="AA293" s="56" t="n">
        <x:v>101.378045</x:v>
      </x:c>
      <x:c r="AB293" s="57" t="str"/>
      <x:c r="AC293" s="20" t="str">
        <x:v>https://www.thic.or.th/th/tourist/detail/mosques/259</x:v>
      </x:c>
    </x:row>
    <x:row r="294" ht="88" customHeight="1">
      <x:c r="A294" s="54" t="n">
        <x:v>286</x:v>
      </x:c>
      <x:c r="B294" s="20" t="str">
        <x:v>มัสยิดดารุ้ลยันนะห์</x:v>
      </x:c>
      <x:c r="C294" s="20" t="str">
        <x:v>ชลบุรี</x:v>
      </x:c>
      <x:c r="D294" s="20" t="str">
        <x:v>มัสยิด</x:v>
      </x:c>
      <x:c r="E29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4" s="20" t="str">
        <x:v>มีข้อมูลระบุ แต่รอยืนยัน</x:v>
      </x:c>
      <x:c r="G294" s="20" t="str">
        <x:v>ยังไม่พบเอกสารรับรองและวันหมดอายุ</x:v>
      </x:c>
      <x:c r="H29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4" s="20" t="str">
        <x:v>หมู่ที่ 6 ต.เกาะจันทร์ อ.เกาะจันทร์ จ.ชลบุรี 20240 ตำบลเกาะจันทร์ อำเภอเกาะจันทร์ จังหวัดชลบุรี 20240</x:v>
      </x:c>
      <x:c r="J294" s="21" t="str">
        <x:v>080-3052711</x:v>
      </x:c>
      <x:c r="K294" s="51" t="str">
        <x:v>https://www.thic.or.th/th/tourist/detail/mosques/256</x:v>
      </x:c>
      <x:c r="L294" s="51" t="str">
        <x:v>https://www.picoc.or.th/mosque/detail/21</x:v>
      </x:c>
      <x:c r="M294" s="20" t="str">
        <x:v>ผลค้นหาชื่อสัมพันธ์จากแหล่งเพิ่มเติม ต้องยืนยันสาขาและข้อมูลปัจจุบัน</x:v>
      </x:c>
      <x:c r="N294" s="28" t="n">
        <x:v>46315</x:v>
      </x:c>
      <x:c r="O294" s="57" t="str">
        <x:v>ยังไม่ตรวจ</x:v>
      </x:c>
      <x:c r="P294" s="57" t="str">
        <x:v>ยังไม่ติดต่อ</x:v>
      </x:c>
      <x:c r="Q294" s="20" t="str">
        <x:v>TMF-334</x:v>
      </x:c>
      <x:c r="R294" s="20" t="str"/>
      <x:c r="S294" s="20" t="str"/>
      <x:c r="T294" s="20" t="str">
        <x:v>https://www.thic.or.th/th/tourist/detail/mosques/256</x:v>
      </x:c>
      <x:c r="U294" s="20" t="str"/>
      <x:c r="V294" s="20" t="str"/>
      <x:c r="W294" s="20" t="str"/>
      <x:c r="X294" s="20" t="str"/>
      <x:c r="Y294" s="20" t="str">
        <x:v>https://www.google.com/maps/search/?api=1&amp;query=%E0%B8%A1%E0%B8%B1%E0%B8%AA%E0%B8%A2%E0%B8%B4%E0%B8%94%E0%B8%94%E0%B8%B2%E0%B8%A3%E0%B8%B8%E0%B9%89%E0%B8%A5%E0%B8%A2%E0%B8%B1%E0%B8%99%E0%B8%99%E0%B8%B0%E0%B8%AB%E0%B9%8C%20%E0%B8%8A%E0%B8%A5%E0%B8%9A%E0%B8%B8%E0%B8%A3%E0%B8%B5</x:v>
      </x:c>
      <x:c r="Z294" s="56" t="str"/>
      <x:c r="AA294" s="56" t="str"/>
      <x:c r="AB294" s="57" t="str"/>
      <x:c r="AC294" s="20" t="str">
        <x:v>https://www.thic.or.th/th/tourist/detail/mosques/256</x:v>
      </x:c>
    </x:row>
    <x:row r="295" ht="88" customHeight="1">
      <x:c r="A295" s="54" t="n">
        <x:v>287</x:v>
      </x:c>
      <x:c r="B295" s="20" t="str">
        <x:v>มัสยิดดารุ้ลอิบาดะฮ์ (พัทยากลาง)</x:v>
      </x:c>
      <x:c r="C295" s="20" t="str">
        <x:v>ชลบุรี</x:v>
      </x:c>
      <x:c r="D295" s="20" t="str">
        <x:v>มัสยิด</x:v>
      </x:c>
      <x:c r="E295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5" s="20" t="str">
        <x:v>มีข้อมูลระบุ แต่รอยืนยัน</x:v>
      </x:c>
      <x:c r="G295" s="20" t="str">
        <x:v>ยังไม่พบเอกสารรับรองและวันหมดอายุ</x:v>
      </x:c>
      <x:c r="H29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5" s="20" t="str">
        <x:v>หมู่ที่ 9 ต.หนองปรือ อ.บางละมุง จ.ชลบุรี 20260 ตำบลหนองปรือ อำเภอบางละมุง จังหวัดชลบุรี 20150</x:v>
      </x:c>
      <x:c r="J295" s="21" t="str">
        <x:v>081-3145518</x:v>
      </x:c>
      <x:c r="K295" s="51" t="str">
        <x:v>https://www.thic.or.th/th/tourist/detail/mosques/248</x:v>
      </x:c>
      <x:c r="L295" s="51" t="str">
        <x:v>https://www.cicot.or.th/th/mosque/detail/490/5/%E0%B8%A1%E0%B8%B1%E0%B8%AA%E0%B8%A2%E0%B8%B4%E0%B8%94%E0%B8%94%E0%B8%B2%E0%B8%A3%E0%B8%B8%E0%B9%89%E0%B8%A5%E0%B8%AD%E0%B8%B4%E0%B8%9A%E0%B8%B2%E0%B8%94%E0%B8%B0%E0%B8%AE%E0%B9%8C-%E0%B8%9E%E0%B8%B1%E0%B8%97%E0%B8%A2%E0%B8%B2%E0%B8%81%E0%B8%A5%E0%B8%B2%E0%B8%87</x:v>
      </x:c>
      <x:c r="M295" s="20" t="str">
        <x:v>ผลค้นหาชื่อสัมพันธ์จากแหล่งเพิ่มเติม ต้องยืนยันสาขาและข้อมูลปัจจุบัน</x:v>
      </x:c>
      <x:c r="N295" s="28" t="n">
        <x:v>46315</x:v>
      </x:c>
      <x:c r="O295" s="57" t="str">
        <x:v>ยังไม่ตรวจ</x:v>
      </x:c>
      <x:c r="P295" s="57" t="str">
        <x:v>ยังไม่ติดต่อ</x:v>
      </x:c>
      <x:c r="Q295" s="20" t="str">
        <x:v>TMF-335</x:v>
      </x:c>
      <x:c r="R295" s="20" t="str"/>
      <x:c r="S295" s="20" t="str"/>
      <x:c r="T295" s="20" t="str">
        <x:v>https://www.thic.or.th/th/tourist/detail/mosques/248</x:v>
      </x:c>
      <x:c r="U295" s="20" t="str"/>
      <x:c r="V295" s="20" t="str"/>
      <x:c r="W295" s="20" t="str"/>
      <x:c r="X295" s="20" t="str"/>
      <x:c r="Y295" s="20" t="str">
        <x:v>https://www.google.com/maps/search/?api=1&amp;query=%E0%B8%A1%E0%B8%B1%E0%B8%AA%E0%B8%A2%E0%B8%B4%E0%B8%94%E0%B8%94%E0%B8%B2%E0%B8%A3%E0%B8%B8%E0%B9%89%E0%B8%A5%E0%B8%AD%E0%B8%B4%E0%B8%9A%E0%B8%B2%E0%B8%94%E0%B8%B0%E0%B8%AE%E0%B9%8C%20%28%E0%B8%9E%E0%B8%B1%E0%B8%97%E0%B8%A2%E0%B8%B2%E0%B8%81%E0%B8%A5%E0%B8%B2%E0%B8%87%29%20%E0%B8%8A%E0%B8%A5%E0%B8%9A%E0%B8%B8%E0%B8%A3%E0%B8%B5</x:v>
      </x:c>
      <x:c r="Z295" s="56" t="n">
        <x:v>12.933975</x:v>
      </x:c>
      <x:c r="AA295" s="56" t="n">
        <x:v>100.89806</x:v>
      </x:c>
      <x:c r="AB295" s="57" t="str"/>
      <x:c r="AC295" s="20" t="str">
        <x:v>https://www.thic.or.th/th/tourist/detail/mosques/248</x:v>
      </x:c>
    </x:row>
    <x:row r="296" ht="88" customHeight="1">
      <x:c r="A296" s="54" t="n">
        <x:v>288</x:v>
      </x:c>
      <x:c r="B296" s="20" t="str">
        <x:v>มัสยิดตออะติ้ลละฮ์ (พัทยาใต้)</x:v>
      </x:c>
      <x:c r="C296" s="20" t="str">
        <x:v>ชลบุรี</x:v>
      </x:c>
      <x:c r="D296" s="20" t="str">
        <x:v>มัสยิด</x:v>
      </x:c>
      <x:c r="E296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6" s="20" t="str">
        <x:v>มีข้อมูลระบุ แต่รอยืนยัน</x:v>
      </x:c>
      <x:c r="G296" s="20" t="str">
        <x:v>ยังไม่พบเอกสารรับรองและวันหมดอายุ</x:v>
      </x:c>
      <x:c r="H29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6" s="20" t="str">
        <x:v>เลขที่ 58 หมูที่ 10 ต.หนองปรือ อ.บางละมุง จ.ชลบุรี 20260 ตำบลหนองปรือ อำเภอบางละมุง จังหวัดชลบุรี 20150</x:v>
      </x:c>
      <x:c r="J296" s="21" t="str">
        <x:v>089-9388786</x:v>
      </x:c>
      <x:c r="K296" s="51" t="str">
        <x:v>https://www.thic.or.th/th/tourist/detail/mosques/255</x:v>
      </x:c>
      <x:c r="L296" s="51" t="str">
        <x:v>https://www.picoc.or.th/mosque/detail/23</x:v>
      </x:c>
      <x:c r="M296" s="20" t="str">
        <x:v>ผลค้นหาชื่อสัมพันธ์จากแหล่งเพิ่มเติม ต้องยืนยันสาขาและข้อมูลปัจจุบัน</x:v>
      </x:c>
      <x:c r="N296" s="28" t="n">
        <x:v>46315</x:v>
      </x:c>
      <x:c r="O296" s="57" t="str">
        <x:v>ยังไม่ตรวจ</x:v>
      </x:c>
      <x:c r="P296" s="57" t="str">
        <x:v>ยังไม่ติดต่อ</x:v>
      </x:c>
      <x:c r="Q296" s="20" t="str">
        <x:v>TMF-336</x:v>
      </x:c>
      <x:c r="R296" s="20" t="str"/>
      <x:c r="S296" s="20" t="str"/>
      <x:c r="T296" s="20" t="str">
        <x:v>https://www.thic.or.th/th/tourist/detail/mosques/255</x:v>
      </x:c>
      <x:c r="U296" s="20" t="str"/>
      <x:c r="V296" s="20" t="str"/>
      <x:c r="W296" s="20" t="str"/>
      <x:c r="X296" s="20" t="str"/>
      <x:c r="Y296" s="20" t="str">
        <x:v>https://www.google.com/maps/search/?api=1&amp;query=%E0%B8%A1%E0%B8%B1%E0%B8%AA%E0%B8%A2%E0%B8%B4%E0%B8%94%E0%B8%95%E0%B8%AD%E0%B8%AD%E0%B8%B0%E0%B8%95%E0%B8%B4%E0%B9%89%E0%B8%A5%E0%B8%A5%E0%B8%B0%E0%B8%AE%E0%B9%8C%20%28%E0%B8%9E%E0%B8%B1%E0%B8%97%E0%B8%A2%E0%B8%B2%E0%B9%83%E0%B8%95%E0%B9%89%29%20%E0%B8%8A%E0%B8%A5%E0%B8%9A%E0%B8%B8%E0%B8%A3%E0%B8%B5</x:v>
      </x:c>
      <x:c r="Z296" s="56" t="n">
        <x:v>12.920605</x:v>
      </x:c>
      <x:c r="AA296" s="56" t="n">
        <x:v>100.886019</x:v>
      </x:c>
      <x:c r="AB296" s="57" t="str"/>
      <x:c r="AC296" s="20" t="str">
        <x:v>https://www.thic.or.th/th/tourist/detail/mosques/255</x:v>
      </x:c>
    </x:row>
    <x:row r="297" ht="88" customHeight="1">
      <x:c r="A297" s="54" t="n">
        <x:v>289</x:v>
      </x:c>
      <x:c r="B297" s="20" t="str">
        <x:v>มัสยิดนูรุลฮิดายะห์</x:v>
      </x:c>
      <x:c r="C297" s="20" t="str">
        <x:v>ชลบุรี</x:v>
      </x:c>
      <x:c r="D297" s="20" t="str">
        <x:v>มัสยิด</x:v>
      </x:c>
      <x:c r="E297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7" s="20" t="str">
        <x:v>มีข้อมูลระบุ แต่รอยืนยัน</x:v>
      </x:c>
      <x:c r="G297" s="20" t="str">
        <x:v>ยังไม่พบเอกสารรับรองและวันหมดอายุ</x:v>
      </x:c>
      <x:c r="H297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7" s="20" t="str">
        <x:v>เลขที่ 9 หมู่ที่ 2 ต.หมอนนาง อ.พนัสนิคม จ.ชลบุรี 20140 ตำบลหมอนนาง อำเภอพนัสนิคม จังหวัดชลบุรี 20140</x:v>
      </x:c>
      <x:c r="J297" s="21" t="str">
        <x:v>099-1578778</x:v>
      </x:c>
      <x:c r="K297" s="51" t="str">
        <x:v>https://www.thic.or.th/th/tourist/detail/mosques/260</x:v>
      </x:c>
      <x:c r="L297" s="51" t="str">
        <x:v>https://www.cicot.or.th/th/mosque/detail/497/5/%E0%B8%A1%E0%B8%B1%E0%B8%AA%E0%B8%A2%E0%B8%B4%E0%B8%94%E0%B8%99%E0%B8%B9%E0%B8%A3%E0%B8%B8%E0%B8%A5%E0%B8%AE%E0%B8%B4%E0%B8%94%E0%B8%B2%E0%B8%A2%E0%B8%B0%E0%B8%AB%E0%B9%8C</x:v>
      </x:c>
      <x:c r="M297" s="20" t="str">
        <x:v>ผลค้นหาชื่อสัมพันธ์จากแหล่งเพิ่มเติม ต้องยืนยันสาขาและข้อมูลปัจจุบัน</x:v>
      </x:c>
      <x:c r="N297" s="28" t="n">
        <x:v>46315</x:v>
      </x:c>
      <x:c r="O297" s="57" t="str">
        <x:v>ยังไม่ตรวจ</x:v>
      </x:c>
      <x:c r="P297" s="57" t="str">
        <x:v>ยังไม่ติดต่อ</x:v>
      </x:c>
      <x:c r="Q297" s="20" t="str">
        <x:v>TMF-338</x:v>
      </x:c>
      <x:c r="R297" s="20" t="str"/>
      <x:c r="S297" s="20" t="str"/>
      <x:c r="T297" s="20" t="str">
        <x:v>https://www.thic.or.th/th/tourist/detail/mosques/260</x:v>
      </x:c>
      <x:c r="U297" s="20" t="str"/>
      <x:c r="V297" s="20" t="str"/>
      <x:c r="W297" s="20" t="str"/>
      <x:c r="X297" s="20" t="str"/>
      <x:c r="Y297" s="20" t="str">
        <x:v>https://www.google.com/maps/search/?api=1&amp;query=%E0%B8%A1%E0%B8%B1%E0%B8%AA%E0%B8%A2%E0%B8%B4%E0%B8%94%E0%B8%99%E0%B8%B9%E0%B8%A3%E0%B8%B8%E0%B8%A5%E0%B8%AE%E0%B8%B4%E0%B8%94%E0%B8%B2%E0%B8%A2%E0%B8%B0%E0%B8%AB%E0%B9%8C%20%E0%B8%8A%E0%B8%A5%E0%B8%9A%E0%B8%B8%E0%B8%A3%E0%B8%B5</x:v>
      </x:c>
      <x:c r="Z297" s="56" t="n">
        <x:v>13.404415</x:v>
      </x:c>
      <x:c r="AA297" s="56" t="n">
        <x:v>101.23006</x:v>
      </x:c>
      <x:c r="AB297" s="57" t="str"/>
      <x:c r="AC297" s="20" t="str">
        <x:v>https://www.thic.or.th/th/tourist/detail/mosques/260</x:v>
      </x:c>
    </x:row>
    <x:row r="298" ht="88" customHeight="1">
      <x:c r="A298" s="54" t="n">
        <x:v>290</x:v>
      </x:c>
      <x:c r="B298" s="20" t="str">
        <x:v>มัสยิดมิฟตาฮุ้นยีนาน</x:v>
      </x:c>
      <x:c r="C298" s="20" t="str">
        <x:v>ชลบุรี</x:v>
      </x:c>
      <x:c r="D298" s="20" t="str">
        <x:v>มัสยิด</x:v>
      </x:c>
      <x:c r="E298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8" s="20" t="str">
        <x:v>มีข้อมูลระบุ แต่รอยืนยัน</x:v>
      </x:c>
      <x:c r="G298" s="20" t="str">
        <x:v>ยังไม่พบเอกสารรับรองและวันหมดอายุ</x:v>
      </x:c>
      <x:c r="H298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8" s="20" t="str">
        <x:v>เลขที่ 9 หมู่ที่ 10 ต.หนองเหียง อ.พนัสนิคม จ.ชลบุรี 20140 ตำบลหนองปรือ อำเภอพนัสนิคม จังหวัดชลบุรี 20140</x:v>
      </x:c>
      <x:c r="J298" s="21" t="str">
        <x:v>084-5992812</x:v>
      </x:c>
      <x:c r="K298" s="51" t="str">
        <x:v>https://www.thic.or.th/th/tourist/detail/mosques/252</x:v>
      </x:c>
      <x:c r="L298" s="51" t="str">
        <x:v>https://www.cicot.or.th/th/mosque/lists/208</x:v>
      </x:c>
      <x:c r="M298" s="20" t="str">
        <x:v>ผลค้นหาชื่อสัมพันธ์จากแหล่งเพิ่มเติม ต้องยืนยันสาขาและข้อมูลปัจจุบัน</x:v>
      </x:c>
      <x:c r="N298" s="28" t="n">
        <x:v>46315</x:v>
      </x:c>
      <x:c r="O298" s="57" t="str">
        <x:v>ยังไม่ตรวจ</x:v>
      </x:c>
      <x:c r="P298" s="57" t="str">
        <x:v>ยังไม่ติดต่อ</x:v>
      </x:c>
      <x:c r="Q298" s="20" t="str">
        <x:v>TMF-339</x:v>
      </x:c>
      <x:c r="R298" s="20" t="str"/>
      <x:c r="S298" s="20" t="str"/>
      <x:c r="T298" s="20" t="str">
        <x:v>https://www.thic.or.th/th/tourist/detail/mosques/252</x:v>
      </x:c>
      <x:c r="U298" s="20" t="str"/>
      <x:c r="V298" s="20" t="str"/>
      <x:c r="W298" s="20" t="str"/>
      <x:c r="X298" s="20" t="str"/>
      <x:c r="Y298" s="20" t="str">
        <x:v>https://www.google.com/maps/search/?api=1&amp;query=%E0%B8%A1%E0%B8%B1%E0%B8%AA%E0%B8%A2%E0%B8%B4%E0%B8%94%E0%B8%A1%E0%B8%B4%E0%B8%9F%E0%B8%95%E0%B8%B2%E0%B8%AE%E0%B8%B8%E0%B9%89%E0%B8%99%E0%B8%A2%E0%B8%B5%E0%B8%99%E0%B8%B2%E0%B8%99%20%E0%B8%8A%E0%B8%A5%E0%B8%9A%E0%B8%B8%E0%B8%A3%E0%B8%B5</x:v>
      </x:c>
      <x:c r="Z298" s="56" t="n">
        <x:v>13.48693</x:v>
      </x:c>
      <x:c r="AA298" s="56" t="n">
        <x:v>101.329241</x:v>
      </x:c>
      <x:c r="AB298" s="57" t="str"/>
      <x:c r="AC298" s="20" t="str">
        <x:v>https://www.thic.or.th/th/tourist/detail/mosques/252</x:v>
      </x:c>
    </x:row>
    <x:row r="299" ht="88" customHeight="1">
      <x:c r="A299" s="54" t="n">
        <x:v>291</x:v>
      </x:c>
      <x:c r="B299" s="20" t="str">
        <x:v>มัสยิดสลาม่าตุลเลาะห์</x:v>
      </x:c>
      <x:c r="C299" s="20" t="str">
        <x:v>ชลบุรี</x:v>
      </x:c>
      <x:c r="D299" s="20" t="str">
        <x:v>มัสยิด</x:v>
      </x:c>
      <x:c r="E299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299" s="20" t="str">
        <x:v>มีข้อมูลระบุ แต่รอยืนยัน</x:v>
      </x:c>
      <x:c r="G299" s="20" t="str">
        <x:v>ยังไม่พบเอกสารรับรองและวันหมดอายุ</x:v>
      </x:c>
      <x:c r="H299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299" s="20" t="str">
        <x:v>หมู่ที่ 6 ต.สุรศักดิ์ อ.ศรีราชา จ.ชลบุรี 20110 ตำบลสุรศักดิ์ อำเภอศรีราชา จังหวัดชลบุรี 20110</x:v>
      </x:c>
      <x:c r="J299" s="21" t="str">
        <x:v>099-9437336</x:v>
      </x:c>
      <x:c r="K299" s="51" t="str">
        <x:v>https://www.thic.or.th/th/tourist/detail/mosques/245</x:v>
      </x:c>
      <x:c r="L299" s="51" t="str">
        <x:v>https://www.cicot.or.th/th/mosque/detail/493/5</x:v>
      </x:c>
      <x:c r="M299" s="20" t="str">
        <x:v>ผลค้นหาชื่อสัมพันธ์จากแหล่งเพิ่มเติม ต้องยืนยันสาขาและข้อมูลปัจจุบัน</x:v>
      </x:c>
      <x:c r="N299" s="28" t="n">
        <x:v>46315</x:v>
      </x:c>
      <x:c r="O299" s="57" t="str">
        <x:v>ยังไม่ตรวจ</x:v>
      </x:c>
      <x:c r="P299" s="57" t="str">
        <x:v>ยังไม่ติดต่อ</x:v>
      </x:c>
      <x:c r="Q299" s="20" t="str">
        <x:v>TMF-340</x:v>
      </x:c>
      <x:c r="R299" s="20" t="str"/>
      <x:c r="S299" s="20" t="str"/>
      <x:c r="T299" s="20" t="str">
        <x:v>https://www.thic.or.th/th/tourist/detail/mosques/245</x:v>
      </x:c>
      <x:c r="U299" s="20" t="str"/>
      <x:c r="V299" s="20" t="str"/>
      <x:c r="W299" s="20" t="str"/>
      <x:c r="X299" s="20" t="str"/>
      <x:c r="Y299" s="20" t="str">
        <x:v>https://www.google.com/maps/search/?api=1&amp;query=%E0%B8%A1%E0%B8%B1%E0%B8%AA%E0%B8%A2%E0%B8%B4%E0%B8%94%E0%B8%AA%E0%B8%A5%E0%B8%B2%E0%B8%A1%E0%B9%88%E0%B8%B2%E0%B8%95%E0%B8%B8%E0%B8%A5%E0%B9%80%E0%B8%A5%E0%B8%B2%E0%B8%B0%E0%B8%AB%E0%B9%8C%20%E0%B8%8A%E0%B8%A5%E0%B8%9A%E0%B8%B8%E0%B8%A3%E0%B8%B5</x:v>
      </x:c>
      <x:c r="Z299" s="56" t="n">
        <x:v>13.16669</x:v>
      </x:c>
      <x:c r="AA299" s="56" t="n">
        <x:v>101.000123</x:v>
      </x:c>
      <x:c r="AB299" s="57" t="str"/>
      <x:c r="AC299" s="20" t="str">
        <x:v>https://www.thic.or.th/th/tourist/detail/mosques/245</x:v>
      </x:c>
    </x:row>
    <x:row r="300" ht="88" customHeight="1">
      <x:c r="A300" s="54" t="n">
        <x:v>292</x:v>
      </x:c>
      <x:c r="B300" s="20" t="str">
        <x:v>มัสยิดอัล-อิตติฮาต</x:v>
      </x:c>
      <x:c r="C300" s="20" t="str">
        <x:v>ชลบุรี</x:v>
      </x:c>
      <x:c r="D300" s="20" t="str">
        <x:v>มัสยิด</x:v>
      </x:c>
      <x:c r="E300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00" s="20" t="str">
        <x:v>มีข้อมูลระบุ แต่รอยืนยัน</x:v>
      </x:c>
      <x:c r="G300" s="20" t="str">
        <x:v>ยังไม่พบเอกสารรับรองและวันหมดอายุ</x:v>
      </x:c>
      <x:c r="H300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00" s="20" t="str">
        <x:v>เลขที่ 1 หมู่ที่ 5 ต.บ่อวิน อ.ศรีราชา จ.ชลบุรี 20230 ตำบลบ่อวิน อำเภอศรีราชา จังหวัดชลบุรี 20230</x:v>
      </x:c>
      <x:c r="J300" s="21" t="str">
        <x:v>089-3895968</x:v>
      </x:c>
      <x:c r="K300" s="51" t="str">
        <x:v>https://www.thic.or.th/th/tourist/detail/mosques/257</x:v>
      </x:c>
      <x:c r="L300" s="51" t="str">
        <x:v>https://www.picoc.or.th/mosque/detail/11</x:v>
      </x:c>
      <x:c r="M300" s="20" t="str">
        <x:v>ผลค้นหาชื่อสัมพันธ์จากแหล่งเพิ่มเติม ต้องยืนยันสาขาและข้อมูลปัจจุบัน</x:v>
      </x:c>
      <x:c r="N300" s="28" t="n">
        <x:v>46315</x:v>
      </x:c>
      <x:c r="O300" s="57" t="str">
        <x:v>ยังไม่ตรวจ</x:v>
      </x:c>
      <x:c r="P300" s="57" t="str">
        <x:v>ยังไม่ติดต่อ</x:v>
      </x:c>
      <x:c r="Q300" s="20" t="str">
        <x:v>TMF-342</x:v>
      </x:c>
      <x:c r="R300" s="20" t="str"/>
      <x:c r="S300" s="20" t="str"/>
      <x:c r="T300" s="20" t="str">
        <x:v>https://www.thic.or.th/th/tourist/detail/mosques/257</x:v>
      </x:c>
      <x:c r="U300" s="20" t="str"/>
      <x:c r="V300" s="20" t="str"/>
      <x:c r="W300" s="20" t="str"/>
      <x:c r="X300" s="20" t="str"/>
      <x:c r="Y300" s="20" t="str">
        <x:v>https://www.google.com/maps/search/?api=1&amp;query=%E0%B8%A1%E0%B8%B1%E0%B8%AA%E0%B8%A2%E0%B8%B4%E0%B8%94%E0%B8%AD%E0%B8%B1%E0%B8%A5-%E0%B8%AD%E0%B8%B4%E0%B8%95%E0%B8%95%E0%B8%B4%E0%B8%AE%E0%B8%B2%E0%B8%95%20%E0%B8%8A%E0%B8%A5%E0%B8%9A%E0%B8%B8%E0%B8%A3%E0%B8%B5</x:v>
      </x:c>
      <x:c r="Z300" s="56" t="n">
        <x:v>13.055365</x:v>
      </x:c>
      <x:c r="AA300" s="56" t="n">
        <x:v>101.050388</x:v>
      </x:c>
      <x:c r="AB300" s="57" t="str"/>
      <x:c r="AC300" s="20" t="str">
        <x:v>https://www.thic.or.th/th/tourist/detail/mosques/257</x:v>
      </x:c>
    </x:row>
    <x:row r="301" ht="88" customHeight="1">
      <x:c r="A301" s="54" t="n">
        <x:v>293</x:v>
      </x:c>
      <x:c r="B301" s="20" t="str">
        <x:v>มัสยิดอัล-ฮุสนา</x:v>
      </x:c>
      <x:c r="C301" s="20" t="str">
        <x:v>ชลบุรี</x:v>
      </x:c>
      <x:c r="D301" s="20" t="str">
        <x:v>มัสยิด</x:v>
      </x:c>
      <x:c r="E30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01" s="20" t="str">
        <x:v>มีข้อมูลระบุ แต่รอยืนยัน</x:v>
      </x:c>
      <x:c r="G301" s="20" t="str">
        <x:v>ยังไม่พบเอกสารรับรองและวันหมดอายุ</x:v>
      </x:c>
      <x:c r="H30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01" s="20" t="str">
        <x:v>เลขที่ 18 หมู่ที่ 13 ต.หนองเหียง อ.พนัสนิคม จ.ชลบุรี 20140 ตำบลพนัสนิคม อำเภอพนัสนิคม จังหวัดชลบุรี 20140</x:v>
      </x:c>
      <x:c r="J301" s="21" t="str">
        <x:v>085-0844841</x:v>
      </x:c>
      <x:c r="K301" s="51" t="str">
        <x:v>https://www.thic.or.th/th/tourist/detail/mosques/253</x:v>
      </x:c>
      <x:c r="L301" s="51" t="str">
        <x:v>https://www.picoc.or.th/mosque/detail/15</x:v>
      </x:c>
      <x:c r="M301" s="20" t="str">
        <x:v>ผลค้นหาชื่อสัมพันธ์จากแหล่งเพิ่มเติม ต้องยืนยันสาขาและข้อมูลปัจจุบัน</x:v>
      </x:c>
      <x:c r="N301" s="28" t="n">
        <x:v>46315</x:v>
      </x:c>
      <x:c r="O301" s="57" t="str">
        <x:v>ยังไม่ตรวจ</x:v>
      </x:c>
      <x:c r="P301" s="57" t="str">
        <x:v>ยังไม่ติดต่อ</x:v>
      </x:c>
      <x:c r="Q301" s="20" t="str">
        <x:v>TMF-343</x:v>
      </x:c>
      <x:c r="R301" s="20" t="str"/>
      <x:c r="S301" s="20" t="str"/>
      <x:c r="T301" s="20" t="str">
        <x:v>https://www.thic.or.th/th/tourist/detail/mosques/253</x:v>
      </x:c>
      <x:c r="U301" s="20" t="str"/>
      <x:c r="V301" s="20" t="str"/>
      <x:c r="W301" s="20" t="str"/>
      <x:c r="X301" s="20" t="str"/>
      <x:c r="Y301" s="20" t="str">
        <x:v>https://www.google.com/maps/search/?api=1&amp;query=%E0%B8%A1%E0%B8%B1%E0%B8%AA%E0%B8%A2%E0%B8%B4%E0%B8%94%E0%B8%AD%E0%B8%B1%E0%B8%A5-%E0%B8%AE%E0%B8%B8%E0%B8%AA%E0%B8%99%E0%B8%B2%20%E0%B8%8A%E0%B8%A5%E0%B8%9A%E0%B8%B8%E0%B8%A3%E0%B8%B5</x:v>
      </x:c>
      <x:c r="Z301" s="56" t="str"/>
      <x:c r="AA301" s="56" t="str"/>
      <x:c r="AB301" s="57" t="str"/>
      <x:c r="AC301" s="20" t="str">
        <x:v>https://www.thic.or.th/th/tourist/detail/mosques/253</x:v>
      </x:c>
    </x:row>
    <x:row r="302" ht="88" customHeight="1">
      <x:c r="A302" s="54" t="n">
        <x:v>294</x:v>
      </x:c>
      <x:c r="B302" s="20" t="str">
        <x:v>มัสยิดอาลียิ้ลกามี่ลัยน์</x:v>
      </x:c>
      <x:c r="C302" s="20" t="str">
        <x:v>ชลบุรี</x:v>
      </x:c>
      <x:c r="D302" s="20" t="str">
        <x:v>มัสยิด</x:v>
      </x:c>
      <x:c r="E302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02" s="20" t="str">
        <x:v>มีข้อมูลระบุ แต่รอยืนยัน</x:v>
      </x:c>
      <x:c r="G302" s="20" t="str">
        <x:v>ยังไม่พบเอกสารรับรองและวันหมดอายุ</x:v>
      </x:c>
      <x:c r="H30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02" s="20" t="str">
        <x:v>หมู่ที่ 2 ต.สุรศักดิ์ อ.ศรีราชา จ.ชลบุรี 20110 ตำบลสุรศักดิ์ อำเภอศรีราชา จังหวัดชลบุรี 20110</x:v>
      </x:c>
      <x:c r="J302" s="21" t="str">
        <x:v>087-6141622</x:v>
      </x:c>
      <x:c r="K302" s="51" t="str">
        <x:v>https://www.thic.or.th/th/tourist/detail/mosques/244</x:v>
      </x:c>
      <x:c r="L302" s="51" t="str">
        <x:v>https://www.cicot.or.th/th/mosque/lists/209</x:v>
      </x:c>
      <x:c r="M302" s="20" t="str">
        <x:v>ผลค้นหาชื่อสัมพันธ์จากแหล่งเพิ่มเติม ต้องยืนยันสาขาและข้อมูลปัจจุบัน</x:v>
      </x:c>
      <x:c r="N302" s="28" t="n">
        <x:v>46315</x:v>
      </x:c>
      <x:c r="O302" s="57" t="str">
        <x:v>ยังไม่ตรวจ</x:v>
      </x:c>
      <x:c r="P302" s="57" t="str">
        <x:v>ยังไม่ติดต่อ</x:v>
      </x:c>
      <x:c r="Q302" s="20" t="str">
        <x:v>TMF-345</x:v>
      </x:c>
      <x:c r="R302" s="20" t="str"/>
      <x:c r="S302" s="20" t="str"/>
      <x:c r="T302" s="20" t="str">
        <x:v>https://www.thic.or.th/th/tourist/detail/mosques/244</x:v>
      </x:c>
      <x:c r="U302" s="20" t="str"/>
      <x:c r="V302" s="20" t="str"/>
      <x:c r="W302" s="20" t="str"/>
      <x:c r="X302" s="20" t="str"/>
      <x:c r="Y302" s="20" t="str">
        <x:v>https://www.google.com/maps/search/?api=1&amp;query=%E0%B8%A1%E0%B8%B1%E0%B8%AA%E0%B8%A2%E0%B8%B4%E0%B8%94%E0%B8%AD%E0%B8%B2%E0%B8%A5%E0%B8%B5%E0%B8%A2%E0%B8%B4%E0%B9%89%E0%B8%A5%E0%B8%81%E0%B8%B2%E0%B8%A1%E0%B8%B5%E0%B9%88%E0%B8%A5%E0%B8%B1%E0%B8%A2%E0%B8%99%E0%B9%8C%20%E0%B8%8A%E0%B8%A5%E0%B8%9A%E0%B8%B8%E0%B8%A3%E0%B8%B5</x:v>
      </x:c>
      <x:c r="Z302" s="56" t="n">
        <x:v>13.15266</x:v>
      </x:c>
      <x:c r="AA302" s="56" t="n">
        <x:v>100.94874</x:v>
      </x:c>
      <x:c r="AB302" s="57" t="str"/>
      <x:c r="AC302" s="20" t="str">
        <x:v>https://www.thic.or.th/th/tourist/detail/mosques/244</x:v>
      </x:c>
    </x:row>
    <x:row r="303" ht="88" customHeight="1">
      <x:c r="A303" s="54" t="n">
        <x:v>295</x:v>
      </x:c>
      <x:c r="B303" s="20" t="str">
        <x:v>มัสยิดฮารูณมุสตอฟา</x:v>
      </x:c>
      <x:c r="C303" s="20" t="str">
        <x:v>ชลบุรี</x:v>
      </x:c>
      <x:c r="D303" s="20" t="str">
        <x:v>มัสยิด</x:v>
      </x:c>
      <x:c r="E30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03" s="20" t="str">
        <x:v>มีข้อมูลระบุ แต่รอยืนยัน</x:v>
      </x:c>
      <x:c r="G303" s="20" t="str">
        <x:v>ยังไม่พบเอกสารรับรองและวันหมดอายุ</x:v>
      </x:c>
      <x:c r="H30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03" s="20" t="str">
        <x:v>เลขที่ 453 หมู่ที่ 7 ต.เกาะจันทร์ อ.เกาะจันทร์ จ.ชลบุรี 20240 ตำบลเกาะจันทร์ อำเภอเกาะจันทร์ จังหวัดชลบุรี 20240</x:v>
      </x:c>
      <x:c r="J303" s="21" t="str">
        <x:v>084-7253285</x:v>
      </x:c>
      <x:c r="K303" s="51" t="str">
        <x:v>https://www.thic.or.th/th/tourist/detail/mosques/258</x:v>
      </x:c>
      <x:c r="L303" s="51" t="str">
        <x:v>https://www.cicot.or.th/th/mosque/detail/503/5/%E0%B8%A1%E0%B8%B1%E0%B8%AA%E0%B8%A2%E0%B8%B4%E0%B8%94%E0%B8%AE%E0%B8%B2%E0%B8%A3%E0%B8%B9%E0%B8%93%E0%B8%A1%E0%B8%B8%E0%B8%AA%E0%B8%95%E0%B8%AD%E0%B8%9F%E0%B8%B2</x:v>
      </x:c>
      <x:c r="M303" s="20" t="str">
        <x:v>ผลค้นหาชื่อสัมพันธ์จากแหล่งเพิ่มเติม ต้องยืนยันสาขาและข้อมูลปัจจุบัน</x:v>
      </x:c>
      <x:c r="N303" s="28" t="n">
        <x:v>46315</x:v>
      </x:c>
      <x:c r="O303" s="57" t="str">
        <x:v>ยังไม่ตรวจ</x:v>
      </x:c>
      <x:c r="P303" s="57" t="str">
        <x:v>ยังไม่ติดต่อ</x:v>
      </x:c>
      <x:c r="Q303" s="20" t="str">
        <x:v>TMF-346</x:v>
      </x:c>
      <x:c r="R303" s="20" t="str"/>
      <x:c r="S303" s="20" t="str"/>
      <x:c r="T303" s="20" t="str">
        <x:v>https://www.thic.or.th/th/tourist/detail/mosques/258</x:v>
      </x:c>
      <x:c r="U303" s="20" t="str"/>
      <x:c r="V303" s="20" t="str"/>
      <x:c r="W303" s="20" t="str"/>
      <x:c r="X303" s="20" t="str"/>
      <x:c r="Y303" s="20" t="str">
        <x:v>https://www.google.com/maps/search/?api=1&amp;query=%E0%B8%A1%E0%B8%B1%E0%B8%AA%E0%B8%A2%E0%B8%B4%E0%B8%94%E0%B8%AE%E0%B8%B2%E0%B8%A3%E0%B8%B9%E0%B8%93%E0%B8%A1%E0%B8%B8%E0%B8%AA%E0%B8%95%E0%B8%AD%E0%B8%9F%E0%B8%B2%20%E0%B8%8A%E0%B8%A5%E0%B8%9A%E0%B8%B8%E0%B8%A3%E0%B8%B5</x:v>
      </x:c>
      <x:c r="Z303" s="56" t="n">
        <x:v>13.412968</x:v>
      </x:c>
      <x:c r="AA303" s="56" t="n">
        <x:v>101.376823</x:v>
      </x:c>
      <x:c r="AB303" s="57" t="str"/>
      <x:c r="AC303" s="20" t="str">
        <x:v>https://www.thic.or.th/th/tourist/detail/mosques/258</x:v>
      </x:c>
    </x:row>
    <x:row r="304" ht="88" customHeight="1">
      <x:c r="A304" s="54" t="n">
        <x:v>296</x:v>
      </x:c>
      <x:c r="B304" s="20" t="str">
        <x:v>มัสยิดฮิดาย่าตุสซาลีกีน</x:v>
      </x:c>
      <x:c r="C304" s="20" t="str">
        <x:v>ชลบุรี</x:v>
      </x:c>
      <x:c r="D304" s="20" t="str">
        <x:v>มัสยิด</x:v>
      </x:c>
      <x:c r="E30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04" s="20" t="str">
        <x:v>มีข้อมูลระบุ แต่รอยืนยัน</x:v>
      </x:c>
      <x:c r="G304" s="20" t="str">
        <x:v>ยังไม่พบเอกสารรับรองและวันหมดอายุ</x:v>
      </x:c>
      <x:c r="H30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04" s="20" t="str">
        <x:v>เลขที่ 133 หมู่ที่ 6 ต.นาเกลือ อ.บางละมุง จ.ชลบุรี 20150 ตำบลนาเกลือ อำเภอบางละมุง จังหวัดชลบุรี 20150</x:v>
      </x:c>
      <x:c r="J304" s="21" t="str">
        <x:v>089-2478358</x:v>
      </x:c>
      <x:c r="K304" s="51" t="str">
        <x:v>https://www.thic.or.th/th/tourist/detail/mosques/247</x:v>
      </x:c>
      <x:c r="L304" s="51" t="str">
        <x:v>https://www.cicot.or.th/th/mosque/detail/491/5/%E0%B8%A1%E0%B8%B1%E0%B8%AA%E0%B8%A2%E0%B8%B4%E0%B8%94%E0%B8%AE%E0%B8%B4%E0%B8%94%E0%B8%B2%E0%B8%A2%E0%B9%88%E0%B8%B2%E0%B8%95%E0%B8%B8%E0%B8%AA%E0%B8%8B%E0%B8%B2%E0%B8%A5%E0%B8%B5%E0%B8%81%E0%B8%B5%E0%B8%99</x:v>
      </x:c>
      <x:c r="M304" s="20" t="str">
        <x:v>ผลค้นหาชื่อสัมพันธ์จากแหล่งเพิ่มเติม ต้องยืนยันสาขาและข้อมูลปัจจุบัน</x:v>
      </x:c>
      <x:c r="N304" s="28" t="n">
        <x:v>46315</x:v>
      </x:c>
      <x:c r="O304" s="57" t="str">
        <x:v>ยังไม่ตรวจ</x:v>
      </x:c>
      <x:c r="P304" s="57" t="str">
        <x:v>ยังไม่ติดต่อ</x:v>
      </x:c>
      <x:c r="Q304" s="20" t="str">
        <x:v>TMF-347</x:v>
      </x:c>
      <x:c r="R304" s="20" t="str"/>
      <x:c r="S304" s="20" t="str"/>
      <x:c r="T304" s="20" t="str">
        <x:v>https://www.thic.or.th/th/tourist/detail/mosques/247</x:v>
      </x:c>
      <x:c r="U304" s="20" t="str"/>
      <x:c r="V304" s="20" t="str"/>
      <x:c r="W304" s="20" t="str"/>
      <x:c r="X304" s="20" t="str"/>
      <x:c r="Y304" s="20" t="str">
        <x:v>https://www.google.com/maps/search/?api=1&amp;query=%E0%B8%A1%E0%B8%B1%E0%B8%AA%E0%B8%A2%E0%B8%B4%E0%B8%94%E0%B8%AE%E0%B8%B4%E0%B8%94%E0%B8%B2%E0%B8%A2%E0%B9%88%E0%B8%B2%E0%B8%95%E0%B8%B8%E0%B8%AA%E0%B8%8B%E0%B8%B2%E0%B8%A5%E0%B8%B5%E0%B8%81%E0%B8%B5%E0%B8%99%20%E0%B8%8A%E0%B8%A5%E0%B8%9A%E0%B8%B8%E0%B8%A3%E0%B8%B5</x:v>
      </x:c>
      <x:c r="Z304" s="56" t="n">
        <x:v>12.960278</x:v>
      </x:c>
      <x:c r="AA304" s="56" t="n">
        <x:v>100.905475</x:v>
      </x:c>
      <x:c r="AB304" s="57" t="str"/>
      <x:c r="AC304" s="20" t="str">
        <x:v>https://www.thic.or.th/th/tourist/detail/mosques/247</x:v>
      </x:c>
    </x:row>
    <x:row r="305" ht="88" customHeight="1">
      <x:c r="A305" s="54" t="n">
        <x:v>297</x:v>
      </x:c>
      <x:c r="B305" s="20" t="str">
        <x:v>มัสยิดแซ็คมูฮำหมัดอาลี</x:v>
      </x:c>
      <x:c r="C305" s="20" t="str">
        <x:v>ชลบุรี</x:v>
      </x:c>
      <x:c r="D305" s="20" t="str">
        <x:v>มัสยิด</x:v>
      </x:c>
      <x:c r="E305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05" s="20" t="str">
        <x:v>มีข้อมูลระบุ แต่รอยืนยัน</x:v>
      </x:c>
      <x:c r="G305" s="20" t="str">
        <x:v>ยังไม่พบเอกสารรับรองและวันหมดอายุ</x:v>
      </x:c>
      <x:c r="H30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05" s="20" t="str">
        <x:v>หมู่ที่ 6 ต.หนองปรือ อ.บางละมุง จ.ชลบุรี 20150 ตำบลหนองปรือ อำเภอบางละมุง จังหวัดชลบุรี 20150</x:v>
      </x:c>
      <x:c r="J305" s="21" t="str">
        <x:v>084-6609783</x:v>
      </x:c>
      <x:c r="K305" s="51" t="str">
        <x:v>https://www.thic.or.th/th/tourist/detail/mosques/249</x:v>
      </x:c>
      <x:c r="L305" s="51" t="str">
        <x:v>https://www.cicot.or.th/th/mosque/detail/510/5/%E0%B8%A1%E0%B8%B1%E0%B8%AA%E0%B8%A2%E0%B8%B4%E0%B8%94%E0%B9%81%E0%B8%8B%E0%B9%87%E0%B8%84%E0%B8%A1%E0%B8%B9%E0%B8%AE%E0%B8%B3%E0%B8%AB%E0%B8%A1%E0%B8%B1%E0%B8%94%E0%B8%AD%E0%B8%B2%E0%B8%A5%E0%B8%B5</x:v>
      </x:c>
      <x:c r="M305" s="20" t="str">
        <x:v>ผลค้นหาชื่อสัมพันธ์จากแหล่งเพิ่มเติม ต้องยืนยันสาขาและข้อมูลปัจจุบัน</x:v>
      </x:c>
      <x:c r="N305" s="28" t="n">
        <x:v>46315</x:v>
      </x:c>
      <x:c r="O305" s="57" t="str">
        <x:v>ยังไม่ตรวจ</x:v>
      </x:c>
      <x:c r="P305" s="57" t="str">
        <x:v>ยังไม่ติดต่อ</x:v>
      </x:c>
      <x:c r="Q305" s="20" t="str">
        <x:v>TMF-348</x:v>
      </x:c>
      <x:c r="R305" s="20" t="str"/>
      <x:c r="S305" s="20" t="str"/>
      <x:c r="T305" s="20" t="str">
        <x:v>https://www.thic.or.th/th/tourist/detail/mosques/249</x:v>
      </x:c>
      <x:c r="U305" s="20" t="str"/>
      <x:c r="V305" s="20" t="str"/>
      <x:c r="W305" s="20" t="str"/>
      <x:c r="X305" s="20" t="str"/>
      <x:c r="Y305" s="20" t="str">
        <x:v>https://www.google.com/maps/search/?api=1&amp;query=%E0%B8%A1%E0%B8%B1%E0%B8%AA%E0%B8%A2%E0%B8%B4%E0%B8%94%E0%B9%81%E0%B8%8B%E0%B9%87%E0%B8%84%E0%B8%A1%E0%B8%B9%E0%B8%AE%E0%B8%B3%E0%B8%AB%E0%B8%A1%E0%B8%B1%E0%B8%94%E0%B8%AD%E0%B8%B2%E0%B8%A5%E0%B8%B5%20%E0%B8%8A%E0%B8%A5%E0%B8%9A%E0%B8%B8%E0%B8%A3%E0%B8%B5</x:v>
      </x:c>
      <x:c r="Z305" s="56" t="n">
        <x:v>12.936426</x:v>
      </x:c>
      <x:c r="AA305" s="56" t="n">
        <x:v>100.907596</x:v>
      </x:c>
      <x:c r="AB305" s="57" t="str"/>
      <x:c r="AC305" s="20" t="str">
        <x:v>https://www.thic.or.th/th/tourist/detail/mosques/249</x:v>
      </x:c>
    </x:row>
    <x:row r="306" ht="88" customHeight="1">
      <x:c r="A306" s="54" t="n">
        <x:v>298</x:v>
      </x:c>
      <x:c r="B306" s="20" t="str">
        <x:v>Columbia Pictures Aquaverse</x:v>
      </x:c>
      <x:c r="C306" s="20" t="str">
        <x:v>ชลบุรี</x:v>
      </x:c>
      <x:c r="D306" s="20" t="str">
        <x:v>กิจกรรม</x:v>
      </x:c>
      <x:c r="E306" s="20" t="str">
        <x:v>พบข้อมูลชื่อตรงจาก Columbia Pictures Aquaverse; เป็นหลักฐานตัวตน/ประเภท ยังไม่ยืนยันบริการมุสลิมครบเกณฑ์</x:v>
      </x:c>
      <x:c r="F306" s="20" t="str">
        <x:v>ไม่ทราบ</x:v>
      </x:c>
      <x:c r="G306" s="20" t="str">
        <x:v>ยังไม่ยืนยันใบรับรองและวันหมดอายุ</x:v>
      </x:c>
      <x:c r="H306" s="20" t="str">
        <x:v>ตรวจการเปิด ตัวตนสาขา ช่องทางติดต่อ และเงื่อนไขบังคับตามประเภท</x:v>
      </x:c>
      <x:c r="I306" s="20" t="str">
        <x:v>ยังไม่ยืนยันที่อยู่ละเอียด ดูลิงก์แหล่งข้อมูลและ Google Maps</x:v>
      </x:c>
      <x:c r="J306" s="21" t="str">
        <x:v>ยังไม่พบหรือยังไม่ยืนยัน</x:v>
      </x:c>
      <x:c r="K306" s="51" t="str">
        <x:v>https://www.tourismthailand.org/Entertainment/columbia-pictures-aquaverse</x:v>
      </x:c>
      <x:c r="L306" s="51" t="str">
        <x:v>https://columbiapicturesaquaverse.com/</x:v>
      </x:c>
      <x:c r="M306" s="20" t="str">
        <x:v>พบแหล่งต่างเว็บไซต์ Columbia Pictures Aquaverse - Pattaya's No.1 Theme Park - English</x:v>
      </x:c>
      <x:c r="N306" s="28" t="n">
        <x:v>46316</x:v>
      </x:c>
      <x:c r="O306" s="57" t="str">
        <x:v>ยังไม่ตรวจ</x:v>
      </x:c>
      <x:c r="P306" s="57" t="str">
        <x:v>ยังไม่ติดต่อ</x:v>
      </x:c>
      <x:c r="Q306" s="20" t="str">
        <x:v>R26-160</x:v>
      </x:c>
      <x:c r="R306" s="20" t="str">
        <x:v>Columbia Pictures Aquaverse</x:v>
      </x:c>
      <x:c r="S306" s="20" t="str"/>
      <x:c r="T306" s="20" t="str">
        <x:v>https://www.tourismthailand.org/Entertainment/columbia-pictures-aquaverse</x:v>
      </x:c>
      <x:c r="U306" s="20" t="str"/>
      <x:c r="V306" s="20" t="str"/>
      <x:c r="W306" s="20" t="str">
        <x:v>https://page.line.me/das1327d</x:v>
      </x:c>
      <x:c r="X306" s="20" t="str"/>
      <x:c r="Y306" s="20" t="str">
        <x:v>https://www.google.com/maps/search/?api=1&amp;query=Columbia%20Pictures%20Aquaverse%20%E0%B8%8A%E0%B8%A5%E0%B8%9A%E0%B8%B8%E0%B8%A3%E0%B8%B5</x:v>
      </x:c>
      <x:c r="Z306" s="56" t="str"/>
      <x:c r="AA306" s="56" t="str"/>
      <x:c r="AB306" s="57" t="str"/>
      <x:c r="AC306" s="20" t="str">
        <x:v>https://www.tourismthailand.org/Entertainment/columbia-pictures-aquaverse</x:v>
      </x:c>
    </x:row>
    <x:row r="307" ht="88" customHeight="1">
      <x:c r="A307" s="54" t="n">
        <x:v>299</x:v>
      </x:c>
      <x:c r="B307" s="20" t="str">
        <x:v>Ramayana Water Park</x:v>
      </x:c>
      <x:c r="C307" s="20" t="str">
        <x:v>ชลบุรี</x:v>
      </x:c>
      <x:c r="D307" s="20" t="str">
        <x:v>กิจกรรม</x:v>
      </x:c>
      <x:c r="E307" s="20" t="str">
        <x:v>พบข้อมูลชื่อตรงจาก Ramayana Water Park, Pattaya; เป็นหลักฐานตัวตน/ประเภท ยังไม่ยืนยันบริการมุสลิมครบเกณฑ์</x:v>
      </x:c>
      <x:c r="F307" s="20" t="str">
        <x:v>ไม่ทราบ</x:v>
      </x:c>
      <x:c r="G307" s="20" t="str">
        <x:v>ยังไม่ยืนยันใบรับรองและวันหมดอายุ</x:v>
      </x:c>
      <x:c r="H307" s="20" t="str">
        <x:v>ตรวจการเปิด ตัวตนสาขา ช่องทางติดต่อ และเงื่อนไขบังคับตามประเภท</x:v>
      </x:c>
      <x:c r="I307" s="20" t="str">
        <x:v>ยังไม่ยืนยันที่อยู่ละเอียด ดูลิงก์แหล่งข้อมูลและ Google Maps</x:v>
      </x:c>
      <x:c r="J307" s="21" t="str">
        <x:v>ยังไม่พบหรือยังไม่ยืนยัน</x:v>
      </x:c>
      <x:c r="K307" s="51" t="str">
        <x:v>https://www.tourismthailand.org/Attraction/ramayana-water-park-pattaya</x:v>
      </x:c>
      <x:c r="L307" s="51" t="str">
        <x:v>https://www.ramayanawaterpark.cn/</x:v>
      </x:c>
      <x:c r="M307" s="20" t="str">
        <x:v>พบแหล่งต่างเว็บไซต์ 主页</x:v>
      </x:c>
      <x:c r="N307" s="28" t="n">
        <x:v>46316</x:v>
      </x:c>
      <x:c r="O307" s="57" t="str">
        <x:v>ยังไม่ตรวจ</x:v>
      </x:c>
      <x:c r="P307" s="57" t="str">
        <x:v>ยังไม่ติดต่อ</x:v>
      </x:c>
      <x:c r="Q307" s="20" t="str">
        <x:v>R26-328</x:v>
      </x:c>
      <x:c r="R307" s="20" t="str">
        <x:v>Ramayana Water Park</x:v>
      </x:c>
      <x:c r="S307" s="20" t="str"/>
      <x:c r="T307" s="20" t="str">
        <x:v>https://www.tourismthailand.org/Attraction/ramayana-water-park-pattaya</x:v>
      </x:c>
      <x:c r="U307" s="20" t="str"/>
      <x:c r="V307" s="20" t="str"/>
      <x:c r="W307" s="20" t="str"/>
      <x:c r="X307" s="20" t="str"/>
      <x:c r="Y307" s="20" t="str">
        <x:v>https://www.google.com/maps/search/?api=1&amp;query=Ramayana%20Water%20Park%20%E0%B8%8A%E0%B8%A5%E0%B8%9A%E0%B8%B8%E0%B8%A3%E0%B8%B5</x:v>
      </x:c>
      <x:c r="Z307" s="56" t="str"/>
      <x:c r="AA307" s="56" t="str"/>
      <x:c r="AB307" s="57" t="str"/>
      <x:c r="AC307" s="20" t="str">
        <x:v>https://www.tourismthailand.org/Attraction/ramayana-water-park-pattaya</x:v>
      </x:c>
    </x:row>
    <x:row r="308" ht="88" customHeight="1">
      <x:c r="A308" s="54" t="n">
        <x:v>300</x:v>
      </x:c>
      <x:c r="B308" s="20" t="str">
        <x:v>Underwater World Pattaya</x:v>
      </x:c>
      <x:c r="C308" s="20" t="str">
        <x:v>ชลบุรี</x:v>
      </x:c>
      <x:c r="D308" s="20" t="str">
        <x:v>กิจกรรม</x:v>
      </x:c>
      <x:c r="E308" s="20" t="str">
        <x:v>พบข้อมูลชื่อตรงจาก Underwater World Pattaya; เป็นหลักฐานตัวตน/ประเภท ยังไม่ยืนยันบริการมุสลิมครบเกณฑ์</x:v>
      </x:c>
      <x:c r="F308" s="20" t="str">
        <x:v>ไม่ทราบ</x:v>
      </x:c>
      <x:c r="G308" s="20" t="str">
        <x:v>ยังไม่ยืนยันใบรับรองและวันหมดอายุ</x:v>
      </x:c>
      <x:c r="H308" s="20" t="str">
        <x:v>ตรวจการเปิด ตัวตนสาขา ช่องทางติดต่อ และเงื่อนไขบังคับตามประเภท</x:v>
      </x:c>
      <x:c r="I308" s="20" t="str">
        <x:v>ยังไม่ยืนยันที่อยู่ละเอียด ดูลิงก์แหล่งข้อมูลและ Google Maps</x:v>
      </x:c>
      <x:c r="J308" s="21" t="str">
        <x:v>ยังไม่พบหรือยังไม่ยืนยัน</x:v>
      </x:c>
      <x:c r="K308" s="51" t="str">
        <x:v>https://www.thailandtourismdirectory.go.th/en/attraction/1697</x:v>
      </x:c>
      <x:c r="L308" s="51" t="str">
        <x:v>https://underwaterworld-booking.pro/visit</x:v>
      </x:c>
      <x:c r="M308" s="20" t="str">
        <x:v>พบแหล่งต่างเว็บไซต์ Visit | Underwater World Pattaya</x:v>
      </x:c>
      <x:c r="N308" s="28" t="n">
        <x:v>46316</x:v>
      </x:c>
      <x:c r="O308" s="57" t="str">
        <x:v>ยังไม่ตรวจ</x:v>
      </x:c>
      <x:c r="P308" s="57" t="str">
        <x:v>ยังไม่ติดต่อ</x:v>
      </x:c>
      <x:c r="Q308" s="20" t="str">
        <x:v>R26-161</x:v>
      </x:c>
      <x:c r="R308" s="20" t="str">
        <x:v>Underwater World Pattaya</x:v>
      </x:c>
      <x:c r="S308" s="20" t="str"/>
      <x:c r="T308" s="20" t="str">
        <x:v>https://www.thailandtourismdirectory.go.th/en/attraction/1697</x:v>
      </x:c>
      <x:c r="U308" s="20" t="str"/>
      <x:c r="V308" s="20" t="str"/>
      <x:c r="W308" s="20" t="str"/>
      <x:c r="X308" s="20" t="str"/>
      <x:c r="Y308" s="20" t="str">
        <x:v>https://www.google.com/maps/search/?api=1&amp;query=Underwater%20World%20Pattaya%20%E0%B8%8A%E0%B8%A5%E0%B8%9A%E0%B8%B8%E0%B8%A3%E0%B8%B5</x:v>
      </x:c>
      <x:c r="Z308" s="56" t="n">
        <x:v>12.89669</x:v>
      </x:c>
      <x:c r="AA308" s="56" t="n">
        <x:v>100.89606</x:v>
      </x:c>
      <x:c r="AB308" s="57" t="str"/>
      <x:c r="AC308" s="20" t="str">
        <x:v>https://www.thailandtourismdirectory.go.th/en/attraction/1697</x:v>
      </x:c>
    </x:row>
    <x:row r="309" ht="88" customHeight="1">
      <x:c r="A309" s="54" t="n">
        <x:v>301</x:v>
      </x:c>
      <x:c r="B309" s="20" t="str">
        <x:v>ส้มตำกำแพงแตก ระยอง</x:v>
      </x:c>
      <x:c r="C309" s="20" t="str">
        <x:v>ระยอง</x:v>
      </x:c>
      <x:c r="D309" s="20" t="str">
        <x:v>อาหาร</x:v>
      </x:c>
      <x:c r="E309" s="20" t="str">
        <x:v>พบข้อมูลชื่อตรงจาก รีวิวส้มตำกำแพงแตก ระยอง 2026: ส้มตำอิสลามรสจัดจ้าน นัวร์แซ่บถึงใจ; เป็นหลักฐานตัวตน/ประเภท ยังไม่ยืนยันบริการมุสลิมครบเกณฑ์</x:v>
      </x:c>
      <x:c r="F309" s="20" t="str">
        <x:v>ไม่ทราบ</x:v>
      </x:c>
      <x:c r="G309" s="20" t="str">
        <x:v>ยังไม่ยืนยันใบรับรองและวันหมดอายุ</x:v>
      </x:c>
      <x:c r="H309" s="20" t="str">
        <x:v>ตรวจการเปิด ตัวตนสาขา ช่องทางติดต่อ และเงื่อนไขบังคับตามประเภท</x:v>
      </x:c>
      <x:c r="I309" s="20" t="str">
        <x:v>ยังไม่ยืนยันที่อยู่ละเอียด ดูลิงก์แหล่งข้อมูลและ Google Maps</x:v>
      </x:c>
      <x:c r="J309" s="21" t="str">
        <x:v>ยังไม่พบหรือยังไม่ยืนยัน</x:v>
      </x:c>
      <x:c r="K309" s="51" t="str">
        <x:v>https://www.lemon8-app.com/%40fonhiw/7677030595478454805?region=th</x:v>
      </x:c>
      <x:c r="L309" s="51" t="str">
        <x:v>https://www.wongnai.com/restaurants/266276fb-%E0%B8%AA%E0%B9%89%E0%B8%A1%E0%B8%95%E0%B8%B3%E0%B8%81%E0%B8%B3%E0%B9%81%E0%B8%9E%E0%B8%87%E0%B9%81%E0%B8%95%E0%B8%81/menu</x:v>
      </x:c>
      <x:c r="M309" s="20" t="str">
        <x:v>พบแหล่งต่างเว็บไซต์ เมนูของร้านอาหาร ส้มตำกำแพงแตก</x:v>
      </x:c>
      <x:c r="N309" s="28" t="n">
        <x:v>46316</x:v>
      </x:c>
      <x:c r="O309" s="57" t="str">
        <x:v>ยังไม่ตรวจ</x:v>
      </x:c>
      <x:c r="P309" s="57" t="str">
        <x:v>ยังไม่ติดต่อ</x:v>
      </x:c>
      <x:c r="Q309" s="20" t="str">
        <x:v>R26-062</x:v>
      </x:c>
      <x:c r="R309" s="20" t="str"/>
      <x:c r="S309" s="20" t="str"/>
      <x:c r="T309" s="20" t="str">
        <x:v>https://www.lemon8-app.com/%40fonhiw/7677030595478454805?region=th</x:v>
      </x:c>
      <x:c r="U309" s="20" t="str"/>
      <x:c r="V309" s="20" t="str"/>
      <x:c r="W309" s="20" t="str"/>
      <x:c r="X309" s="20" t="str"/>
      <x:c r="Y309" s="20" t="str">
        <x:v>https://www.google.com/maps/search/?api=1&amp;query=%E0%B8%AA%E0%B9%89%E0%B8%A1%E0%B8%95%E0%B8%B3%E0%B8%81%E0%B8%B3%E0%B9%81%E0%B8%9E%E0%B8%87%E0%B9%81%E0%B8%95%E0%B8%81%20%E0%B8%A3%E0%B8%B0%E0%B8%A2%E0%B8%AD%E0%B8%87%20%E0%B8%A3%E0%B8%B0%E0%B8%A2%E0%B8%AD%E0%B8%87</x:v>
      </x:c>
      <x:c r="Z309" s="56" t="str"/>
      <x:c r="AA309" s="56" t="str"/>
      <x:c r="AB309" s="57" t="str"/>
      <x:c r="AC309" s="20" t="str">
        <x:v>https://www.lemon8-app.com/%40fonhiw/7677030595478454805?region=th</x:v>
      </x:c>
    </x:row>
    <x:row r="310" ht="88" customHeight="1">
      <x:c r="A310" s="54" t="n">
        <x:v>302</x:v>
      </x:c>
      <x:c r="B310" s="20" t="str">
        <x:v>หาดแหลมเจริญ</x:v>
      </x:c>
      <x:c r="C310" s="20" t="str">
        <x:v>ระยอง</x:v>
      </x:c>
      <x:c r="D310" s="20" t="str">
        <x:v>ธรรมชาติ</x:v>
      </x:c>
      <x:c r="E310" s="20" t="str">
        <x:v>พบข้อมูลชื่อตรงจาก ❖ หาดแหลมเจริญ อยู่ที่ตำบลปากน้ำ ห่างจากตัวเมืองระยองมาทางใต้ 5 กิโลเมตร เป็นสถานที่ท่องเที่ยวชายทะเลที่อยู่ใกล้ตัวเมืองระยองมากที่สุด เป็นแหล่งผลิตน้ำปลาที่มีชื่อเสียง และเป็นที่ตั้งของชุมชนชาวประมง บริเวณนี้ยังมีร้านจำหน่ายอาหารทะเล และนักท่องเที่ยวนิยมไปรับประทานอาหารกันในช่วงเย็นด้วย; เป็นหลักฐานตัวตน/ประเภท ยังไม่ยืนยันบริการมุสลิมครบเกณฑ์</x:v>
      </x:c>
      <x:c r="F310" s="20" t="str">
        <x:v>ไม่ทราบ</x:v>
      </x:c>
      <x:c r="G310" s="20" t="str">
        <x:v>ยังไม่ยืนยันใบรับรองและวันหมดอายุ</x:v>
      </x:c>
      <x:c r="H310" s="20" t="str">
        <x:v>ตรวจการเปิด ตัวตนสาขา ช่องทางติดต่อ และเงื่อนไขบังคับตามประเภท</x:v>
      </x:c>
      <x:c r="I310" s="20" t="str">
        <x:v>ยังไม่ยืนยันที่อยู่ละเอียด ดูลิงก์แหล่งข้อมูลและ Google Maps</x:v>
      </x:c>
      <x:c r="J310" s="21" t="str">
        <x:v>ยังไม่พบหรือยังไม่ยืนยัน</x:v>
      </x:c>
      <x:c r="K310" s="51" t="str">
        <x:v>https://www.opsmoac.go.th/rayong-dwl-files-452791791049</x:v>
      </x:c>
      <x:c r="L310" s="51" t="str">
        <x:v>https://www.thailandtourismdirectory.go.th/th/attraction/1777</x:v>
      </x:c>
      <x:c r="M310" s="20" t="str">
        <x:v>พบแหล่งต่างเว็บไซต์ หาดแหลมเจริญ</x:v>
      </x:c>
      <x:c r="N310" s="28" t="n">
        <x:v>46316</x:v>
      </x:c>
      <x:c r="O310" s="57" t="str">
        <x:v>ยังไม่ตรวจ</x:v>
      </x:c>
      <x:c r="P310" s="57" t="str">
        <x:v>ยังไม่ติดต่อ</x:v>
      </x:c>
      <x:c r="Q310" s="20" t="str">
        <x:v>R26-064</x:v>
      </x:c>
      <x:c r="R310" s="20" t="str"/>
      <x:c r="S310" s="20" t="str"/>
      <x:c r="T310" s="20" t="str">
        <x:v>https://www.opsmoac.go.th/rayong-dwl-files-452791791049</x:v>
      </x:c>
      <x:c r="U310" s="20" t="str"/>
      <x:c r="V310" s="20" t="str"/>
      <x:c r="W310" s="20" t="str"/>
      <x:c r="X310" s="20" t="str"/>
      <x:c r="Y310" s="20" t="str">
        <x:v>https://www.google.com/maps/search/?api=1&amp;query=%E0%B8%AB%E0%B8%B2%E0%B8%94%E0%B9%81%E0%B8%AB%E0%B8%A5%E0%B8%A1%E0%B9%80%E0%B8%88%E0%B8%A3%E0%B8%B4%E0%B8%8D%20%E0%B8%A3%E0%B8%B0%E0%B8%A2%E0%B8%AD%E0%B8%87</x:v>
      </x:c>
      <x:c r="Z310" s="56" t="str"/>
      <x:c r="AA310" s="56" t="str"/>
      <x:c r="AB310" s="57" t="str"/>
      <x:c r="AC310" s="20" t="str">
        <x:v>https://www.opsmoac.go.th/rayong-dwl-files-452791791049</x:v>
      </x:c>
    </x:row>
    <x:row r="311" ht="88" customHeight="1">
      <x:c r="A311" s="54" t="n">
        <x:v>303</x:v>
      </x:c>
      <x:c r="B311" s="20" t="str">
        <x:v>ชุมชนบ้านเพ</x:v>
      </x:c>
      <x:c r="C311" s="20" t="str">
        <x:v>ระยอง</x:v>
      </x:c>
      <x:c r="D311" s="20" t="str">
        <x:v>ชุมชน</x:v>
      </x:c>
      <x:c r="E311" s="20" t="str">
        <x:v>พบข้อมูลชื่อตรงจาก บ้านเพ; เป็นหลักฐานตัวตน/ประเภท ยังไม่ยืนยันบริการมุสลิมครบเกณฑ์</x:v>
      </x:c>
      <x:c r="F311" s="20" t="str">
        <x:v>ไม่ทราบ</x:v>
      </x:c>
      <x:c r="G311" s="20" t="str">
        <x:v>ยังไม่ยืนยันใบรับรองและวันหมดอายุ</x:v>
      </x:c>
      <x:c r="H311" s="20" t="str">
        <x:v>ตรวจการเปิด ตัวตนสาขา ช่องทางติดต่อ และเงื่อนไขบังคับตามประเภท</x:v>
      </x:c>
      <x:c r="I311" s="20" t="str">
        <x:v>ยังไม่ยืนยันที่อยู่ละเอียด ดูลิงก์แหล่งข้อมูลและ Google Maps</x:v>
      </x:c>
      <x:c r="J311" s="21" t="str">
        <x:v>ยังไม่พบหรือยังไม่ยืนยัน</x:v>
      </x:c>
      <x:c r="K311" s="51" t="str">
        <x:v>https://wikicommunity.sac.or.th/community/1072</x:v>
      </x:c>
      <x:c r="L311" s="51" t="str">
        <x:v>https://www.thailandtourismdirectory.go.th/attraction/3761</x:v>
      </x:c>
      <x:c r="M311" s="20" t="str">
        <x:v>พบแหล่งต่างเว็บไซต์ ตลาดบ้านเพ</x:v>
      </x:c>
      <x:c r="N311" s="28" t="n">
        <x:v>46316</x:v>
      </x:c>
      <x:c r="O311" s="57" t="str">
        <x:v>ยังไม่ตรวจ</x:v>
      </x:c>
      <x:c r="P311" s="57" t="str">
        <x:v>ยังไม่ติดต่อ</x:v>
      </x:c>
      <x:c r="Q311" s="20" t="str">
        <x:v>R26-063</x:v>
      </x:c>
      <x:c r="R311" s="20" t="str"/>
      <x:c r="S311" s="20" t="str"/>
      <x:c r="T311" s="20" t="str">
        <x:v>https://wikicommunity.sac.or.th/community/1072</x:v>
      </x:c>
      <x:c r="U311" s="20" t="str"/>
      <x:c r="V311" s="20" t="str"/>
      <x:c r="W311" s="20" t="str"/>
      <x:c r="X311" s="20" t="str"/>
      <x:c r="Y311" s="20" t="str">
        <x:v>https://www.google.com/maps/search/?api=1&amp;query=%E0%B8%8A%E0%B8%B8%E0%B8%A1%E0%B8%8A%E0%B8%99%E0%B8%9A%E0%B9%89%E0%B8%B2%E0%B8%99%E0%B9%80%E0%B8%9E%20%E0%B8%A3%E0%B8%B0%E0%B8%A2%E0%B8%AD%E0%B8%87</x:v>
      </x:c>
      <x:c r="Z311" s="56" t="n">
        <x:v>12.622428</x:v>
      </x:c>
      <x:c r="AA311" s="56" t="n">
        <x:v>101.430855</x:v>
      </x:c>
      <x:c r="AB311" s="57" t="str"/>
      <x:c r="AC311" s="20" t="str">
        <x:v>https://wikicommunity.sac.or.th/community/1072</x:v>
      </x:c>
    </x:row>
    <x:row r="312" ht="88" customHeight="1">
      <x:c r="A312" s="54" t="n">
        <x:v>304</x:v>
      </x:c>
      <x:c r="B312" s="20" t="str">
        <x:v>สวนสุภัทราแลนด์</x:v>
      </x:c>
      <x:c r="C312" s="20" t="str">
        <x:v>ระยอง</x:v>
      </x:c>
      <x:c r="D312" s="20" t="str">
        <x:v>กิจกรรม</x:v>
      </x:c>
      <x:c r="E312" s="20" t="str">
        <x:v>พบข้อมูลชื่อตรงจาก เที่ยวชมสวนสุภัทราแลนด์; เป็นหลักฐานตัวตน/ประเภท ยังไม่ยืนยันบริการมุสลิมครบเกณฑ์</x:v>
      </x:c>
      <x:c r="F312" s="20" t="str">
        <x:v>ไม่ทราบ</x:v>
      </x:c>
      <x:c r="G312" s="20" t="str">
        <x:v>ยังไม่ยืนยันใบรับรองและวันหมดอายุ</x:v>
      </x:c>
      <x:c r="H312" s="20" t="str">
        <x:v>ตรวจการเปิด ตัวตนสาขา ช่องทางติดต่อ และเงื่อนไขบังคับตามประเภท</x:v>
      </x:c>
      <x:c r="I312" s="20" t="str">
        <x:v>ยังไม่ยืนยันที่อยู่ละเอียด ดูลิงก์แหล่งข้อมูลและ Google Maps</x:v>
      </x:c>
      <x:c r="J312" s="21" t="str">
        <x:v>ยังไม่พบหรือยังไม่ยืนยัน</x:v>
      </x:c>
      <x:c r="K312" s="51" t="str">
        <x:v>https://www.thailandtourismdirectory.go.th/activities/102553</x:v>
      </x:c>
      <x:c r="L312" s="51" t="str">
        <x:v>https://cbtthailand.dasta.or.th/webapp/relattraction/content/1277/</x:v>
      </x:c>
      <x:c r="M312" s="20" t="str">
        <x:v>พบแหล่งต่างเว็บไซต์ สวนสุภัทราแลนด์ | CBT Thailand</x:v>
      </x:c>
      <x:c r="N312" s="28" t="n">
        <x:v>46316</x:v>
      </x:c>
      <x:c r="O312" s="57" t="str">
        <x:v>ยังไม่ตรวจ</x:v>
      </x:c>
      <x:c r="P312" s="57" t="str">
        <x:v>ยังไม่ติดต่อ</x:v>
      </x:c>
      <x:c r="Q312" s="20" t="str">
        <x:v>R26-061</x:v>
      </x:c>
      <x:c r="R312" s="20" t="str"/>
      <x:c r="S312" s="20" t="str"/>
      <x:c r="T312" s="20" t="str">
        <x:v>https://www.thailandtourismdirectory.go.th/activities/102553</x:v>
      </x:c>
      <x:c r="U312" s="20" t="str"/>
      <x:c r="V312" s="20" t="str"/>
      <x:c r="W312" s="20" t="str"/>
      <x:c r="X312" s="20" t="str"/>
      <x:c r="Y312" s="20" t="str">
        <x:v>https://www.google.com/maps/search/?api=1&amp;query=%E0%B8%AA%E0%B8%A7%E0%B8%99%E0%B8%AA%E0%B8%B8%E0%B8%A0%E0%B8%B1%E0%B8%97%E0%B8%A3%E0%B8%B2%E0%B9%81%E0%B8%A5%E0%B8%99%E0%B8%94%E0%B9%8C%20%E0%B8%A3%E0%B8%B0%E0%B8%A2%E0%B8%AD%E0%B8%87</x:v>
      </x:c>
      <x:c r="Z312" s="56" t="n">
        <x:v>12.799762</x:v>
      </x:c>
      <x:c r="AA312" s="56" t="n">
        <x:v>101.230712</x:v>
      </x:c>
      <x:c r="AB312" s="57" t="str"/>
      <x:c r="AC312" s="20" t="str">
        <x:v>https://www.thailandtourismdirectory.go.th/activities/102553</x:v>
      </x:c>
    </x:row>
    <x:row r="313" ht="88" customHeight="1">
      <x:c r="A313" s="54" t="n">
        <x:v>305</x:v>
      </x:c>
      <x:c r="B313" s="20" t="str">
        <x:v>Zento Cafe &amp; Pool villa</x:v>
      </x:c>
      <x:c r="C313" s="20" t="str">
        <x:v>ระยอง</x:v>
      </x:c>
      <x:c r="D313" s="20" t="str">
        <x:v>คาเฟ่และร้านของหวาน</x:v>
      </x:c>
      <x:c r="E313" s="20" t="str">
        <x:v>มีรายชื่อใน Makan Halal Guide; ระบุมีห้องละหมาด</x:v>
      </x:c>
      <x:c r="F313" s="20" t="str">
        <x:v>มีข้อมูลระบุ แต่รอยืนยัน</x:v>
      </x:c>
      <x:c r="G313" s="20" t="str">
        <x:v>ยังไม่พบเอกสารรับรองและวันหมดอายุ</x:v>
      </x:c>
      <x:c r="H31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13" s="20" t="str">
        <x:v>ถนนวโนภาส ซอย 8 อำเภอเมืองระยอง ระยอง 21160</x:v>
      </x:c>
      <x:c r="J313" s="21" t="str">
        <x:v>0984360724</x:v>
      </x:c>
      <x:c r="K313" s="51" t="str">
        <x:v>https://makanhalalguide.com/shop/detail/5961</x:v>
      </x:c>
      <x:c r="L313" s="51" t="str">
        <x:v>https://www.lemon8-app.com/%40anpan_mn/7563126694253560337?region=th</x:v>
      </x:c>
      <x:c r="M313" s="20" t="str">
        <x:v>ผลค้นหาชื่อสัมพันธ์จากแหล่งเพิ่มเติม ต้องยืนยันสาขาและข้อมูลปัจจุบัน</x:v>
      </x:c>
      <x:c r="N313" s="28" t="n">
        <x:v>46315</x:v>
      </x:c>
      <x:c r="O313" s="57" t="str">
        <x:v>ยังไม่ตรวจ</x:v>
      </x:c>
      <x:c r="P313" s="57" t="str">
        <x:v>ยังไม่ติดต่อ</x:v>
      </x:c>
      <x:c r="Q313" s="20" t="str">
        <x:v>TMF-207</x:v>
      </x:c>
      <x:c r="R313" s="20" t="str">
        <x:v>Zento Cafe &amp; Pool villa</x:v>
      </x:c>
      <x:c r="S313" s="20" t="str"/>
      <x:c r="T313" s="20" t="str">
        <x:v>https://makanhalalguide.com/shop/detail/5961</x:v>
      </x:c>
      <x:c r="U313" s="20" t="str"/>
      <x:c r="V313" s="20" t="str"/>
      <x:c r="W313" s="20" t="str"/>
      <x:c r="X313" s="20" t="str"/>
      <x:c r="Y313" s="20" t="str">
        <x:v>https://www.google.com/maps/search/?api=1&amp;query=Zento%20Cafe%20%26%20Pool%20villa%20%E0%B8%A3%E0%B8%B0%E0%B8%A2%E0%B8%AD%E0%B8%87</x:v>
      </x:c>
      <x:c r="Z313" s="56" t="n">
        <x:v>12.637281</x:v>
      </x:c>
      <x:c r="AA313" s="56" t="n">
        <x:v>101.493115</x:v>
      </x:c>
      <x:c r="AB313" s="57" t="str"/>
      <x:c r="AC313" s="20" t="str">
        <x:v>https://makanhalalguide.com/shop/detail/5961</x:v>
      </x:c>
    </x:row>
    <x:row r="314" ht="88" customHeight="1">
      <x:c r="A314" s="54" t="n">
        <x:v>306</x:v>
      </x:c>
      <x:c r="B314" s="20" t="str">
        <x:v>ก๋วยเตี๋ยวเนื้อ โต๊ะจููละห์</x:v>
      </x:c>
      <x:c r="C314" s="20" t="str">
        <x:v>ระยอง</x:v>
      </x:c>
      <x:c r="D314" s="20" t="str">
        <x:v>ร้านอาหาร</x:v>
      </x:c>
      <x:c r="E314" s="20" t="str">
        <x:v>Makan Verify; ช่องห้องละหมาดไม่ได้ทำเครื่องหมายว่ามี</x:v>
      </x:c>
      <x:c r="F314" s="20" t="str">
        <x:v>แหล่งเดิมไม่ระบุว่ามี</x:v>
      </x:c>
      <x:c r="G314" s="20" t="str">
        <x:v>ยังไม่พบเอกสารรับรองและวันหมดอายุ</x:v>
      </x:c>
      <x:c r="H314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314" s="20" t="str">
        <x:v>23 ซ.ไตรลักษณ์ ถ เทอดไท-มุสลิม ต.มาบตาพุด อ.เมือง ระยอง 21150</x:v>
      </x:c>
      <x:c r="J314" s="21" t="str">
        <x:v>0839991496</x:v>
      </x:c>
      <x:c r="K314" s="51" t="str">
        <x:v>https://makanhalalguide.com/shop/detail/6149</x:v>
      </x:c>
      <x:c r="L314" s="51" t="str">
        <x:v>https://restaurantguru.com/%E0%B8%A3%E0%B9%89%E0%B8%B2%E0%B8%99%E0%B8%81%E0%B9%8B%E0%B8%A7%E0%B8%A2%E0%B9%80%E0%B8%95%E0%B8%B5%E0%B9%8B%E0%B8%A2%E0%B8%A7%E0%B9%80%E0%B8%99%E0%B8%B7%E0%B9%89%E0%B8%AD-%E0%B9%82%E0%B8%95%E0%B9%8A%E0%B8%B0%E0%B8%88%E0%B8%B9%E0%B8%B9%E0%B8%A5%E0%B8%B0%E0%B8%AB%E0%B9%8C-Map-Ta-Phut</x:v>
      </x:c>
      <x:c r="M314" s="20" t="str">
        <x:v>ผลค้นหาชื่อสัมพันธ์จากแหล่งเพิ่มเติม ต้องยืนยันสาขาและข้อมูลปัจจุบัน</x:v>
      </x:c>
      <x:c r="N314" s="28" t="n">
        <x:v>46315</x:v>
      </x:c>
      <x:c r="O314" s="57" t="str">
        <x:v>ยังไม่ตรวจ</x:v>
      </x:c>
      <x:c r="P314" s="57" t="str">
        <x:v>ยังไม่ติดต่อ</x:v>
      </x:c>
      <x:c r="Q314" s="20" t="str">
        <x:v>TMF-390</x:v>
      </x:c>
      <x:c r="R314" s="20" t="str"/>
      <x:c r="S314" s="20" t="str"/>
      <x:c r="T314" s="20" t="str">
        <x:v>https://makanhalalguide.com/shop/detail/6149</x:v>
      </x:c>
      <x:c r="U314" s="20" t="str"/>
      <x:c r="V314" s="20" t="str"/>
      <x:c r="W314" s="20" t="str"/>
      <x:c r="X314" s="20" t="str"/>
      <x:c r="Y314" s="20" t="str">
        <x:v>https://www.google.com/maps/search/?api=1&amp;query=%E0%B8%81%E0%B9%8B%E0%B8%A7%E0%B8%A2%E0%B9%80%E0%B8%95%E0%B8%B5%E0%B9%8B%E0%B8%A2%E0%B8%A7%E0%B9%80%E0%B8%99%E0%B8%B7%E0%B9%89%E0%B8%AD%20%E0%B9%82%E0%B8%95%E0%B9%8A%E0%B8%B0%E0%B8%88%E0%B8%B9%E0%B8%B9%E0%B8%A5%E0%B8%B0%E0%B8%AB%E0%B9%8C%20%E0%B8%A3%E0%B8%B0%E0%B8%A2%E0%B8%AD%E0%B8%87</x:v>
      </x:c>
      <x:c r="Z314" s="56" t="n">
        <x:v>12.725679</x:v>
      </x:c>
      <x:c r="AA314" s="56" t="n">
        <x:v>101.159024</x:v>
      </x:c>
      <x:c r="AB314" s="57" t="str"/>
      <x:c r="AC314" s="20" t="str">
        <x:v>https://makanhalalguide.com/shop/detail/6149</x:v>
      </x:c>
    </x:row>
    <x:row r="315" ht="88" customHeight="1">
      <x:c r="A315" s="54" t="n">
        <x:v>307</x:v>
      </x:c>
      <x:c r="B315" s="20" t="str">
        <x:v>จูนาฮาลาล</x:v>
      </x:c>
      <x:c r="C315" s="20" t="str">
        <x:v>ระยอง</x:v>
      </x:c>
      <x:c r="D315" s="20" t="str">
        <x:v>ร้านอาหาร</x:v>
      </x:c>
      <x:c r="E315" s="20" t="str">
        <x:v>Makan Verify; ระบุมีห้องละหมาด</x:v>
      </x:c>
      <x:c r="F315" s="20" t="str">
        <x:v>มีข้อมูลระบุ แต่รอยืนยัน</x:v>
      </x:c>
      <x:c r="G315" s="20" t="str">
        <x:v>ยังไม่พบเอกสารรับรองและวันหมดอายุ</x:v>
      </x:c>
      <x:c r="H31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15" s="20" t="str">
        <x:v>ริมถนนติดกับชูชาติ ซุปเปอร์สโตร์ ตำบลตะพง อำเภอเมืองระยอง ระยอง 21160</x:v>
      </x:c>
      <x:c r="J315" s="21" t="str">
        <x:v>0902893978</x:v>
      </x:c>
      <x:c r="K315" s="51" t="str">
        <x:v>https://makanhalalguide.com/shop/detail/6126</x:v>
      </x:c>
      <x:c r="L315" s="51" t="str">
        <x:v>https://www.lemon8-app.com/%40nongnamnaaeat/7496465616056959505?region=th</x:v>
      </x:c>
      <x:c r="M315" s="20" t="str">
        <x:v>พบผลค้นชื่อสัมพันธ์เพิ่มเติม ต้องยืนยันสาขาและเจ้าของช่องทาง</x:v>
      </x:c>
      <x:c r="N315" s="28" t="n">
        <x:v>46316</x:v>
      </x:c>
      <x:c r="O315" s="57" t="str">
        <x:v>ยังไม่ตรวจ</x:v>
      </x:c>
      <x:c r="P315" s="57" t="str">
        <x:v>ยังไม่ติดต่อ</x:v>
      </x:c>
      <x:c r="Q315" s="20" t="str">
        <x:v>TMF-208</x:v>
      </x:c>
      <x:c r="R315" s="20" t="str"/>
      <x:c r="S315" s="20" t="str"/>
      <x:c r="T315" s="20" t="str">
        <x:v>https://makanhalalguide.com/shop/detail/6126</x:v>
      </x:c>
      <x:c r="U315" s="20" t="str"/>
      <x:c r="V315" s="20" t="str"/>
      <x:c r="W315" s="20" t="str"/>
      <x:c r="X315" s="20" t="str"/>
      <x:c r="Y315" s="20" t="str">
        <x:v>https://www.google.com/maps/search/?api=1&amp;query=%E0%B8%88%E0%B8%B9%E0%B8%99%E0%B8%B2%E0%B8%AE%E0%B8%B2%E0%B8%A5%E0%B8%B2%E0%B8%A5%20%E0%B8%A3%E0%B8%B0%E0%B8%A2%E0%B8%AD%E0%B8%87</x:v>
      </x:c>
      <x:c r="Z315" s="56" t="n">
        <x:v>12.640104</x:v>
      </x:c>
      <x:c r="AA315" s="56" t="n">
        <x:v>101.388362</x:v>
      </x:c>
      <x:c r="AB315" s="57" t="str"/>
      <x:c r="AC315" s="20" t="str">
        <x:v>https://makanhalalguide.com/shop/detail/6126</x:v>
      </x:c>
    </x:row>
    <x:row r="316" ht="88" customHeight="1">
      <x:c r="A316" s="54" t="n">
        <x:v>308</x:v>
      </x:c>
      <x:c r="B316" s="20" t="str">
        <x:v>ตัสกีนข้าวมันไก่มุสลิม สูตรไหหลำ</x:v>
      </x:c>
      <x:c r="C316" s="20" t="str">
        <x:v>ระยอง</x:v>
      </x:c>
      <x:c r="D316" s="20" t="str">
        <x:v>ร้านอาหาร</x:v>
      </x:c>
      <x:c r="E316" s="20" t="str">
        <x:v>Makan Verify; ระบุมีห้องละหมาด</x:v>
      </x:c>
      <x:c r="F316" s="20" t="str">
        <x:v>มีข้อมูลระบุ แต่รอยืนยัน</x:v>
      </x:c>
      <x:c r="G316" s="20" t="str">
        <x:v>ยังไม่พบเอกสารรับรองและวันหมดอายุ</x:v>
      </x:c>
      <x:c r="H31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16" s="20" t="str">
        <x:v>ร้านอยู่ตรง 4 แยกกระเฉดตรงเข้ามาประมาณ 600  ตำบลกะเฉด อำเภอเมืองระยอง 21100</x:v>
      </x:c>
      <x:c r="J316" s="21" t="str">
        <x:v>0901205374</x:v>
      </x:c>
      <x:c r="K316" s="51" t="str">
        <x:v>https://makanhalalguide.com/shop/detail/6124</x:v>
      </x:c>
      <x:c r="L316" s="51" t="str">
        <x:v>https://www.lemon8-app.com/%40tumrakhongthankhun/7645099750262145543?region=th</x:v>
      </x:c>
      <x:c r="M316" s="20" t="str">
        <x:v>ผลค้นหาชื่อสัมพันธ์จากแหล่งเพิ่มเติม ต้องยืนยันสาขาและข้อมูลปัจจุบัน</x:v>
      </x:c>
      <x:c r="N316" s="28" t="n">
        <x:v>46315</x:v>
      </x:c>
      <x:c r="O316" s="57" t="str">
        <x:v>ยังไม่ตรวจ</x:v>
      </x:c>
      <x:c r="P316" s="57" t="str">
        <x:v>ยังไม่ติดต่อ</x:v>
      </x:c>
      <x:c r="Q316" s="20" t="str">
        <x:v>TMF-209</x:v>
      </x:c>
      <x:c r="R316" s="20" t="str"/>
      <x:c r="S316" s="20" t="str"/>
      <x:c r="T316" s="20" t="str">
        <x:v>https://makanhalalguide.com/shop/detail/6124</x:v>
      </x:c>
      <x:c r="U316" s="20" t="str"/>
      <x:c r="V316" s="20" t="str"/>
      <x:c r="W316" s="20" t="str"/>
      <x:c r="X316" s="20" t="str"/>
      <x:c r="Y316" s="20" t="str">
        <x:v>https://www.google.com/maps/search/?api=1&amp;query=%E0%B8%95%E0%B8%B1%E0%B8%AA%E0%B8%81%E0%B8%B5%E0%B8%99%E0%B8%82%E0%B9%89%E0%B8%B2%E0%B8%A7%E0%B8%A1%E0%B8%B1%E0%B8%99%E0%B9%84%E0%B8%81%E0%B9%88%E0%B8%A1%E0%B8%B8%E0%B8%AA%E0%B8%A5%E0%B8%B4%E0%B8%A1%20%E0%B8%AA%E0%B8%B9%E0%B8%95%E0%B8%A3%E0%B9%84%E0%B8%AB%E0%B8%AB%E0%B8%A5%E0%B8%B3%20%E0%B8%A3%E0%B8%B0%E0%B8%A2%E0%B8%AD%E0%B8%87</x:v>
      </x:c>
      <x:c r="Z316" s="56" t="n">
        <x:v>12.669027</x:v>
      </x:c>
      <x:c r="AA316" s="56" t="n">
        <x:v>101.502082</x:v>
      </x:c>
      <x:c r="AB316" s="57" t="str"/>
      <x:c r="AC316" s="20" t="str">
        <x:v>https://makanhalalguide.com/shop/detail/6124</x:v>
      </x:c>
    </x:row>
    <x:row r="317" ht="88" customHeight="1">
      <x:c r="A317" s="54" t="n">
        <x:v>309</x:v>
      </x:c>
      <x:c r="B317" s="20" t="str">
        <x:v>Quan Spa Rayong Marriott</x:v>
      </x:c>
      <x:c r="C317" s="20" t="str">
        <x:v>ระยอง</x:v>
      </x:c>
      <x:c r="D317" s="20" t="str">
        <x:v>เวลเนส</x:v>
      </x:c>
      <x:c r="E317" s="20" t="str">
        <x:v>พบข้อมูลชื่อตรงจาก รีสอร์ทริมหาดส่วนตัวและสปาหรู | โรงแรมระยอง แมริออท รีสอร์ท แอนด์ สปา; เป็นหลักฐานตัวตน/ประเภท ยังไม่ยืนยันบริการมุสลิมครบเกณฑ์</x:v>
      </x:c>
      <x:c r="F317" s="20" t="str">
        <x:v>ไม่ทราบ</x:v>
      </x:c>
      <x:c r="G317" s="20" t="str">
        <x:v>ยังไม่ยืนยันใบรับรองและวันหมดอายุ</x:v>
      </x:c>
      <x:c r="H317" s="20" t="str">
        <x:v>ตรวจการเปิด ตัวตนสาขา ช่องทางติดต่อ และเงื่อนไขบังคับตามประเภท</x:v>
      </x:c>
      <x:c r="I317" s="20" t="str">
        <x:v>ยังไม่ยืนยันที่อยู่ละเอียด ดูลิงก์แหล่งข้อมูลและ Google Maps</x:v>
      </x:c>
      <x:c r="J317" s="21" t="str">
        <x:v>ยังไม่พบหรือยังไม่ยืนยัน</x:v>
      </x:c>
      <x:c r="K317" s="51" t="str">
        <x:v>https://www.marriott.com/th/hotels/bkkrr-rayong-marriott-resort-and-spa/</x:v>
      </x:c>
      <x:c r="L317" s="51" t="str">
        <x:v>https://www.thailandtourismdirectory.go.th/spas/100097</x:v>
      </x:c>
      <x:c r="M317" s="20" t="str">
        <x:v>พบผลค้นชื่อสัมพันธ์เพิ่มเติม ต้องยืนยันสาขาและเจ้าของช่องทาง</x:v>
      </x:c>
      <x:c r="N317" s="28" t="n">
        <x:v>46316</x:v>
      </x:c>
      <x:c r="O317" s="57" t="str">
        <x:v>ยังไม่ตรวจ</x:v>
      </x:c>
      <x:c r="P317" s="57" t="str">
        <x:v>ยังไม่ติดต่อ</x:v>
      </x:c>
      <x:c r="Q317" s="20" t="str">
        <x:v>R26-284</x:v>
      </x:c>
      <x:c r="R317" s="20" t="str">
        <x:v>Quan Spa Rayong Marriott</x:v>
      </x:c>
      <x:c r="S317" s="20" t="str"/>
      <x:c r="T317" s="20" t="str">
        <x:v>https://www.marriott.com/th/hotels/bkkrr-rayong-marriott-resort-and-spa/</x:v>
      </x:c>
      <x:c r="U317" s="20" t="str"/>
      <x:c r="V317" s="20" t="str"/>
      <x:c r="W317" s="20" t="str"/>
      <x:c r="X317" s="20" t="str"/>
      <x:c r="Y317" s="20" t="str">
        <x:v>https://www.google.com/maps/search/?api=1&amp;query=Quan%20Spa%20Rayong%20Marriott%20%E0%B8%A3%E0%B8%B0%E0%B8%A2%E0%B8%AD%E0%B8%87</x:v>
      </x:c>
      <x:c r="Z317" s="56" t="n">
        <x:v>12.659202</x:v>
      </x:c>
      <x:c r="AA317" s="56" t="n">
        <x:v>101.499901</x:v>
      </x:c>
      <x:c r="AB317" s="57" t="str"/>
      <x:c r="AC317" s="20" t="str">
        <x:v>https://www.marriott.com/th/hotels/bkkrr-rayong-marriott-resort-and-spa/</x:v>
      </x:c>
    </x:row>
    <x:row r="318" ht="88" customHeight="1">
      <x:c r="A318" s="54" t="n">
        <x:v>310</x:v>
      </x:c>
      <x:c r="B318" s="20" t="str">
        <x:v>Central Rayong</x:v>
      </x:c>
      <x:c r="C318" s="20" t="str">
        <x:v>ระยอง</x:v>
      </x:c>
      <x:c r="D318" s="20" t="str">
        <x:v>การค้า</x:v>
      </x:c>
      <x:c r="E318" s="20" t="str">
        <x:v>พบข้อมูลชื่อตรงจาก พาเที่ยวเซ็นทรัลระยอง Central Rayong - YouTube; เป็นหลักฐานตัวตน/ประเภท ยังไม่ยืนยันบริการมุสลิมครบเกณฑ์</x:v>
      </x:c>
      <x:c r="F318" s="20" t="str">
        <x:v>ไม่ทราบ</x:v>
      </x:c>
      <x:c r="G318" s="20" t="str">
        <x:v>ยังไม่ยืนยันใบรับรองและวันหมดอายุ</x:v>
      </x:c>
      <x:c r="H318" s="20" t="str">
        <x:v>ตรวจการเปิด ตัวตนสาขา ช่องทางติดต่อ และเงื่อนไขบังคับตามประเภท</x:v>
      </x:c>
      <x:c r="I318" s="20" t="str">
        <x:v>ยังไม่ยืนยันที่อยู่ละเอียด ดูลิงก์แหล่งข้อมูลและ Google Maps</x:v>
      </x:c>
      <x:c r="J318" s="21" t="str">
        <x:v>ยังไม่พบหรือยังไม่ยืนยัน</x:v>
      </x:c>
      <x:c r="K318" s="51" t="str">
        <x:v>https://www.youtube.com/watch?v=rl3vk1VC-co</x:v>
      </x:c>
      <x:c r="L318" s="51" t="str">
        <x:v>https://www.majorcineplex.com/cinema/major-rayong/</x:v>
      </x:c>
      <x:c r="M318" s="20" t="str">
        <x:v>พบแหล่งต่างเว็บไซต์ เช็ครอบหนัง เช็ครอบฉาย โรงภาพยนตร์ เมเจอร์ เซ็นทรัล ระยอง Major Central Rayong</x:v>
      </x:c>
      <x:c r="N318" s="28" t="n">
        <x:v>46316</x:v>
      </x:c>
      <x:c r="O318" s="57" t="str">
        <x:v>ยังไม่ตรวจ</x:v>
      </x:c>
      <x:c r="P318" s="57" t="str">
        <x:v>ยังไม่ติดต่อ</x:v>
      </x:c>
      <x:c r="Q318" s="20" t="str">
        <x:v>R26-266</x:v>
      </x:c>
      <x:c r="R318" s="20" t="str">
        <x:v>Central Rayong</x:v>
      </x:c>
      <x:c r="S318" s="20" t="str"/>
      <x:c r="T318" s="20" t="str">
        <x:v>https://www.youtube.com/watch?v=rl3vk1VC-co</x:v>
      </x:c>
      <x:c r="U318" s="20" t="str"/>
      <x:c r="V318" s="20" t="str"/>
      <x:c r="W318" s="20" t="str"/>
      <x:c r="X318" s="20" t="str"/>
      <x:c r="Y318" s="20" t="str">
        <x:v>https://www.google.com/maps/search/?api=1&amp;query=Central%20Rayong%20%E0%B8%A3%E0%B8%B0%E0%B8%A2%E0%B8%AD%E0%B8%87</x:v>
      </x:c>
      <x:c r="Z318" s="56" t="n">
        <x:v>12.6960229</x:v>
      </x:c>
      <x:c r="AA318" s="56" t="n">
        <x:v>101.2684258</x:v>
      </x:c>
      <x:c r="AB318" s="57" t="str"/>
      <x:c r="AC318" s="20" t="str">
        <x:v>https://www.youtube.com/watch?v=rl3vk1VC-co</x:v>
      </x:c>
    </x:row>
    <x:row r="319" ht="88" customHeight="1">
      <x:c r="A319" s="54" t="n">
        <x:v>311</x:v>
      </x:c>
      <x:c r="B319" s="20" t="str">
        <x:v>ทุ่งโปรงทอง</x:v>
      </x:c>
      <x:c r="C319" s="20" t="str">
        <x:v>ระยอง</x:v>
      </x:c>
      <x:c r="D319" s="20" t="str">
        <x:v>ธรรมชาติ</x:v>
      </x:c>
      <x:c r="E319" s="20" t="str">
        <x:v>พบข้อมูลชื่อตรงจาก เดินเที่ยวทุ่งโปรงทอง | CBT Thailand; เป็นหลักฐานตัวตน/ประเภท ยังไม่ยืนยันบริการมุสลิมครบเกณฑ์</x:v>
      </x:c>
      <x:c r="F319" s="20" t="str">
        <x:v>ไม่ทราบ</x:v>
      </x:c>
      <x:c r="G319" s="20" t="str">
        <x:v>ยังไม่ยืนยันใบรับรองและวันหมดอายุ</x:v>
      </x:c>
      <x:c r="H319" s="20" t="str">
        <x:v>ตรวจการเปิด ตัวตนสาขา ช่องทางติดต่อ และเงื่อนไขบังคับตามประเภท</x:v>
      </x:c>
      <x:c r="I319" s="20" t="str">
        <x:v>ยังไม่ยืนยันที่อยู่ละเอียด ดูลิงก์แหล่งข้อมูลและ Google Maps</x:v>
      </x:c>
      <x:c r="J319" s="21" t="str">
        <x:v>ยังไม่พบหรือยังไม่ยืนยัน</x:v>
      </x:c>
      <x:c r="K319" s="51" t="str">
        <x:v>https://cbtthailand.dasta.or.th/webapp/attraction/content/86/</x:v>
      </x:c>
      <x:c r="L319" s="51" t="str">
        <x:v>https://api.tat.or.th/upload/live/multimedia/8987/Provincial_eBook_Rayong_%28Th%29.pdf</x:v>
      </x:c>
      <x:c r="M319" s="20" t="str">
        <x:v>พบแหล่งต่างเว็บไซต์ ทุ่งโปรงทอง</x:v>
      </x:c>
      <x:c r="N319" s="28" t="n">
        <x:v>46316</x:v>
      </x:c>
      <x:c r="O319" s="57" t="str">
        <x:v>ยังไม่ตรวจ</x:v>
      </x:c>
      <x:c r="P319" s="57" t="str">
        <x:v>ยังไม่ติดต่อ</x:v>
      </x:c>
      <x:c r="Q319" s="20" t="str">
        <x:v>R26-154</x:v>
      </x:c>
      <x:c r="R319" s="20" t="str"/>
      <x:c r="S319" s="20" t="str"/>
      <x:c r="T319" s="20" t="str">
        <x:v>https://cbtthailand.dasta.or.th/webapp/attraction/content/86/</x:v>
      </x:c>
      <x:c r="U319" s="20" t="str"/>
      <x:c r="V319" s="20" t="str"/>
      <x:c r="W319" s="20" t="str"/>
      <x:c r="X319" s="20" t="str"/>
      <x:c r="Y319" s="20" t="str">
        <x:v>https://www.google.com/maps/search/?api=1&amp;query=%E0%B8%97%E0%B8%B8%E0%B9%88%E0%B8%87%E0%B9%82%E0%B8%9B%E0%B8%A3%E0%B8%87%E0%B8%97%E0%B8%AD%E0%B8%87%20%E0%B8%A3%E0%B8%B0%E0%B8%A2%E0%B8%AD%E0%B8%87</x:v>
      </x:c>
      <x:c r="Z319" s="56" t="n">
        <x:v>12.7067171</x:v>
      </x:c>
      <x:c r="AA319" s="56" t="n">
        <x:v>101.7162373</x:v>
      </x:c>
      <x:c r="AB319" s="57" t="str"/>
      <x:c r="AC319" s="20" t="str">
        <x:v>https://cbtthailand.dasta.or.th/webapp/attraction/content/86/</x:v>
      </x:c>
    </x:row>
    <x:row r="320" ht="88" customHeight="1">
      <x:c r="A320" s="54" t="n">
        <x:v>312</x:v>
      </x:c>
      <x:c r="B320" s="20" t="str">
        <x:v>สวนพฤกษศาสตร์ระยอง</x:v>
      </x:c>
      <x:c r="C320" s="20" t="str">
        <x:v>ระยอง</x:v>
      </x:c>
      <x:c r="D320" s="20" t="str">
        <x:v>ธรรมชาติ</x:v>
      </x:c>
      <x:c r="E320" s="20" t="str">
        <x:v>พบข้อมูลชื่อตรงจาก สวนพฤกษศาสตร์ระยอง; เป็นหลักฐานตัวตน/ประเภท ยังไม่ยืนยันบริการมุสลิมครบเกณฑ์</x:v>
      </x:c>
      <x:c r="F320" s="20" t="str">
        <x:v>ไม่ทราบ</x:v>
      </x:c>
      <x:c r="G320" s="20" t="str">
        <x:v>ยังไม่ยืนยันใบรับรองและวันหมดอายุ</x:v>
      </x:c>
      <x:c r="H320" s="20" t="str">
        <x:v>ตรวจการเปิด ตัวตนสาขา ช่องทางติดต่อ และเงื่อนไขบังคับตามประเภท</x:v>
      </x:c>
      <x:c r="I320" s="20" t="str">
        <x:v>ยังไม่ยืนยันที่อยู่ละเอียด ดูลิงก์แหล่งข้อมูลและ Google Maps</x:v>
      </x:c>
      <x:c r="J320" s="21" t="str">
        <x:v>ยังไม่พบหรือยังไม่ยืนยัน</x:v>
      </x:c>
      <x:c r="K320" s="51" t="str">
        <x:v>https://www.rayong-pao.go.th/th/travel/g/6/detail-news/84.html</x:v>
      </x:c>
      <x:c r="L320" s="51" t="str">
        <x:v>https://cbtthailand.dasta.or.th/webapp/relattraction/content/3413/</x:v>
      </x:c>
      <x:c r="M320" s="20" t="str">
        <x:v>พบแหล่งต่างเว็บไซต์ สวนพฤกษศาสตร์ระยอง | CBT Thailand</x:v>
      </x:c>
      <x:c r="N320" s="28" t="n">
        <x:v>46316</x:v>
      </x:c>
      <x:c r="O320" s="57" t="str">
        <x:v>ยังไม่ตรวจ</x:v>
      </x:c>
      <x:c r="P320" s="57" t="str">
        <x:v>ยังไม่ติดต่อ</x:v>
      </x:c>
      <x:c r="Q320" s="20" t="str">
        <x:v>R26-152</x:v>
      </x:c>
      <x:c r="R320" s="20" t="str"/>
      <x:c r="S320" s="20" t="str"/>
      <x:c r="T320" s="20" t="str">
        <x:v>https://www.rayong-pao.go.th/th/travel/g/6/detail-news/84.html</x:v>
      </x:c>
      <x:c r="U320" s="20" t="str"/>
      <x:c r="V320" s="20" t="str"/>
      <x:c r="W320" s="20" t="str"/>
      <x:c r="X320" s="20" t="str"/>
      <x:c r="Y320" s="20" t="str">
        <x:v>https://www.google.com/maps/search/?api=1&amp;query=%E0%B8%AA%E0%B8%A7%E0%B8%99%E0%B8%9E%E0%B8%A4%E0%B8%81%E0%B8%A9%E0%B8%A8%E0%B8%B2%E0%B8%AA%E0%B8%95%E0%B8%A3%E0%B9%8C%E0%B8%A3%E0%B8%B0%E0%B8%A2%E0%B8%AD%E0%B8%87%20%E0%B8%A3%E0%B8%B0%E0%B8%A2%E0%B8%AD%E0%B8%87</x:v>
      </x:c>
      <x:c r="Z320" s="56" t="n">
        <x:v>12.6548421</x:v>
      </x:c>
      <x:c r="AA320" s="56" t="n">
        <x:v>101.5456882</x:v>
      </x:c>
      <x:c r="AB320" s="57" t="str"/>
      <x:c r="AC320" s="20" t="str">
        <x:v>https://www.rayong-pao.go.th/th/travel/g/6/detail-news/84.html</x:v>
      </x:c>
    </x:row>
    <x:row r="321" ht="88" customHeight="1">
      <x:c r="A321" s="54" t="n">
        <x:v>313</x:v>
      </x:c>
      <x:c r="B321" s="20" t="str">
        <x:v>หาดแม่รำพึง</x:v>
      </x:c>
      <x:c r="C321" s="20" t="str">
        <x:v>ระยอง</x:v>
      </x:c>
      <x:c r="D321" s="20" t="str">
        <x:v>ธรรมชาติ</x:v>
      </x:c>
      <x:c r="E321" s="20" t="str">
        <x:v>พบข้อมูลชื่อตรงจาก หาดแม่รำพึง; เป็นหลักฐานตัวตน/ประเภท ยังไม่ยืนยันบริการมุสลิมครบเกณฑ์</x:v>
      </x:c>
      <x:c r="F321" s="20" t="str">
        <x:v>ไม่ทราบ</x:v>
      </x:c>
      <x:c r="G321" s="20" t="str">
        <x:v>ยังไม่ยืนยันใบรับรองและวันหมดอายุ</x:v>
      </x:c>
      <x:c r="H321" s="20" t="str">
        <x:v>ตรวจการเปิด ตัวตนสาขา ช่องทางติดต่อ และเงื่อนไขบังคับตามประเภท</x:v>
      </x:c>
      <x:c r="I321" s="20" t="str">
        <x:v>ยังไม่ยืนยันที่อยู่ละเอียด ดูลิงก์แหล่งข้อมูลและ Google Maps</x:v>
      </x:c>
      <x:c r="J321" s="21" t="str">
        <x:v>ยังไม่พบหรือยังไม่ยืนยัน</x:v>
      </x:c>
      <x:c r="K321" s="51" t="str">
        <x:v>https://www.thailandtourismdirectory.go.th/attraction/3091</x:v>
      </x:c>
      <x:c r="L321" s="51" t="str">
        <x:v>https://www.rayong-pao.go.th/th/grouppage/news_detail/22329</x:v>
      </x:c>
      <x:c r="M321" s="20" t="str">
        <x:v>พบแหล่งต่างเว็บไซต์ หาดแม่รำพึง</x:v>
      </x:c>
      <x:c r="N321" s="28" t="n">
        <x:v>46316</x:v>
      </x:c>
      <x:c r="O321" s="57" t="str">
        <x:v>ยังไม่ตรวจ</x:v>
      </x:c>
      <x:c r="P321" s="57" t="str">
        <x:v>ยังไม่ติดต่อ</x:v>
      </x:c>
      <x:c r="Q321" s="20" t="str">
        <x:v>R26-155</x:v>
      </x:c>
      <x:c r="R321" s="20" t="str"/>
      <x:c r="S321" s="20" t="str"/>
      <x:c r="T321" s="20" t="str">
        <x:v>https://www.thailandtourismdirectory.go.th/attraction/3091</x:v>
      </x:c>
      <x:c r="U321" s="20" t="str"/>
      <x:c r="V321" s="20" t="str"/>
      <x:c r="W321" s="20" t="str"/>
      <x:c r="X321" s="20" t="str"/>
      <x:c r="Y321" s="20" t="str">
        <x:v>https://www.google.com/maps/search/?api=1&amp;query=%E0%B8%AB%E0%B8%B2%E0%B8%94%E0%B9%81%E0%B8%A1%E0%B9%88%E0%B8%A3%E0%B8%B3%E0%B8%9E%E0%B8%B6%E0%B8%87%20%E0%B8%A3%E0%B8%B0%E0%B8%A2%E0%B8%AD%E0%B8%87</x:v>
      </x:c>
      <x:c r="Z321" s="56" t="n">
        <x:v>12.610806</x:v>
      </x:c>
      <x:c r="AA321" s="56" t="n">
        <x:v>101.384289</x:v>
      </x:c>
      <x:c r="AB321" s="57" t="str"/>
      <x:c r="AC321" s="20" t="str">
        <x:v>https://www.thailandtourismdirectory.go.th/attraction/3091</x:v>
      </x:c>
    </x:row>
    <x:row r="322" ht="88" customHeight="1">
      <x:c r="A322" s="54" t="n">
        <x:v>314</x:v>
      </x:c>
      <x:c r="B322" s="20" t="str">
        <x:v>อุทยานแห่งชาติเขาแหลมหญ้า-หมู่เกาะเสม็ด</x:v>
      </x:c>
      <x:c r="C322" s="20" t="str">
        <x:v>ระยอง</x:v>
      </x:c>
      <x:c r="D322" s="20" t="str">
        <x:v>ธรรมชาติ</x:v>
      </x:c>
      <x:c r="E322" s="20" t="str">
        <x:v>พบข้อมูลชื่อตรงจาก อุทยานแห่งชาติเขาแหลมหญ้า - หมู่เกาะเสม็ด; เป็นหลักฐานตัวตน/ประเภท ยังไม่ยืนยันบริการมุสลิมครบเกณฑ์</x:v>
      </x:c>
      <x:c r="F322" s="20" t="str">
        <x:v>ไม่ทราบ</x:v>
      </x:c>
      <x:c r="G322" s="20" t="str">
        <x:v>ยังไม่ยืนยันใบรับรองและวันหมดอายุ</x:v>
      </x:c>
      <x:c r="H322" s="20" t="str">
        <x:v>ตรวจการเปิด ตัวตนสาขา ช่องทางติดต่อ และเงื่อนไขบังคับตามประเภท</x:v>
      </x:c>
      <x:c r="I322" s="20" t="str">
        <x:v>ยังไม่ยืนยันที่อยู่ละเอียด ดูลิงก์แหล่งข้อมูลและ Google Maps</x:v>
      </x:c>
      <x:c r="J322" s="21" t="str">
        <x:v>ยังไม่พบหรือยังไม่ยืนยัน</x:v>
      </x:c>
      <x:c r="K322" s="51" t="str">
        <x:v>https://www.thailandtourismdirectory.go.th/th/attraction/1776</x:v>
      </x:c>
      <x:c r="L322" s="51" t="str">
        <x:v>https://www.rayong-pao.go.th/th/travel/g/6/detail-news/18204.html</x:v>
      </x:c>
      <x:c r="M322" s="20" t="str">
        <x:v>พบแหล่งต่างเว็บไซต์ อุทยานแห่งชาติเขาแหลมหญ้า - หมู่เกาะเสม็ด</x:v>
      </x:c>
      <x:c r="N322" s="28" t="n">
        <x:v>46316</x:v>
      </x:c>
      <x:c r="O322" s="57" t="str">
        <x:v>ยังไม่ตรวจ</x:v>
      </x:c>
      <x:c r="P322" s="57" t="str">
        <x:v>ยังไม่ติดต่อ</x:v>
      </x:c>
      <x:c r="Q322" s="20" t="str">
        <x:v>R26-153</x:v>
      </x:c>
      <x:c r="R322" s="20" t="str"/>
      <x:c r="S322" s="20" t="str"/>
      <x:c r="T322" s="20" t="str">
        <x:v>https://www.thailandtourismdirectory.go.th/th/attraction/1776</x:v>
      </x:c>
      <x:c r="U322" s="20" t="str"/>
      <x:c r="V322" s="20" t="str"/>
      <x:c r="W322" s="20" t="str"/>
      <x:c r="X322" s="20" t="str"/>
      <x:c r="Y322" s="20" t="str">
        <x:v>https://www.google.com/maps/search/?api=1&amp;query=%E0%B8%AD%E0%B8%B8%E0%B8%97%E0%B8%A2%E0%B8%B2%E0%B8%99%E0%B9%81%E0%B8%AB%E0%B9%88%E0%B8%87%E0%B8%8A%E0%B8%B2%E0%B8%95%E0%B8%B4%E0%B9%80%E0%B8%82%E0%B8%B2%E0%B9%81%E0%B8%AB%E0%B8%A5%E0%B8%A1%E0%B8%AB%E0%B8%8D%E0%B9%89%E0%B8%B2-%E0%B8%AB%E0%B8%A1%E0%B8%B9%E0%B9%88%E0%B9%80%E0%B8%81%E0%B8%B2%E0%B8%B0%E0%B9%80%E0%B8%AA%E0%B8%A1%E0%B9%87%E0%B8%94%20%E0%B8%A3%E0%B8%B0%E0%B8%A2%E0%B8%AD%E0%B8%87</x:v>
      </x:c>
      <x:c r="Z322" s="56" t="str"/>
      <x:c r="AA322" s="56" t="str"/>
      <x:c r="AB322" s="57" t="str"/>
      <x:c r="AC322" s="20" t="str">
        <x:v>https://www.thailandtourismdirectory.go.th/th/attraction/1776</x:v>
      </x:c>
    </x:row>
    <x:row r="323" ht="88" customHeight="1">
      <x:c r="A323" s="54" t="n">
        <x:v>315</x:v>
      </x:c>
      <x:c r="B323" s="20" t="str">
        <x:v>มัสยิดอัสซุนนะห์ จ.ระยอง</x:v>
      </x:c>
      <x:c r="C323" s="20" t="str">
        <x:v>ระยอง</x:v>
      </x:c>
      <x:c r="D323" s="20" t="str">
        <x:v>มัสยิด</x:v>
      </x:c>
      <x:c r="E32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23" s="20" t="str">
        <x:v>มีข้อมูลระบุ แต่รอยืนยัน</x:v>
      </x:c>
      <x:c r="G323" s="20" t="str">
        <x:v>ยังไม่พบเอกสารรับรองและวันหมดอายุ</x:v>
      </x:c>
      <x:c r="H32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23" s="20" t="str">
        <x:v>ถนนสมุทรเจดีย์ ตำบลปากน้ำ อำเภอเมืองระยอง จังหวัดระยอง 21000</x:v>
      </x:c>
      <x:c r="J323" s="21" t="str">
        <x:v>0877400852</x:v>
      </x:c>
      <x:c r="K323" s="51" t="str">
        <x:v>https://www.thic.or.th/th/tourist/detail/mosques/323</x:v>
      </x:c>
      <x:c r="L323" s="51" t="str">
        <x:v>https://xn--l3cga1amo9al2e5c0fqf.cybo.com/TH/%E0%B9%80%E0%B8%97%E0%B8%A8%E0%B8%9A%E0%B8%B2%E0%B8%A5%E0%B8%99%E0%B8%84%E0%B8%A3%E0%B8%A3%E0%B8%B0%E0%B8%A2%E0%B8%AD%E0%B8%87/%E0%B8%A1%E0%B8%B1%E0%B8%AA%E0%B8%A2%E0%B8%B4%E0%B8%94</x:v>
      </x:c>
      <x:c r="M323" s="20" t="str">
        <x:v>ผลค้นหาชื่อสัมพันธ์จากแหล่งเพิ่มเติม ต้องยืนยันสาขาและข้อมูลปัจจุบัน</x:v>
      </x:c>
      <x:c r="N323" s="28" t="n">
        <x:v>46315</x:v>
      </x:c>
      <x:c r="O323" s="57" t="str">
        <x:v>ยังไม่ตรวจ</x:v>
      </x:c>
      <x:c r="P323" s="57" t="str">
        <x:v>ยังไม่ติดต่อ</x:v>
      </x:c>
      <x:c r="Q323" s="20" t="str">
        <x:v>TMF-391</x:v>
      </x:c>
      <x:c r="R323" s="20" t="str"/>
      <x:c r="S323" s="20" t="str"/>
      <x:c r="T323" s="20" t="str">
        <x:v>https://www.thic.or.th/th/tourist/detail/mosques/323</x:v>
      </x:c>
      <x:c r="U323" s="20" t="str"/>
      <x:c r="V323" s="20" t="str"/>
      <x:c r="W323" s="20" t="str"/>
      <x:c r="X323" s="20" t="str"/>
      <x:c r="Y323" s="20" t="str">
        <x:v>https://www.google.com/maps/search/?api=1&amp;query=%E0%B8%A1%E0%B8%B1%E0%B8%AA%E0%B8%A2%E0%B8%B4%E0%B8%94%E0%B8%AD%E0%B8%B1%E0%B8%AA%E0%B8%8B%E0%B8%B8%E0%B8%99%E0%B8%99%E0%B8%B0%E0%B8%AB%E0%B9%8C%20%E0%B8%88.%E0%B8%A3%E0%B8%B0%E0%B8%A2%E0%B8%AD%E0%B8%87%20%E0%B8%A3%E0%B8%B0%E0%B8%A2%E0%B8%AD%E0%B8%87</x:v>
      </x:c>
      <x:c r="Z323" s="56" t="n">
        <x:v>12.665621</x:v>
      </x:c>
      <x:c r="AA323" s="56" t="n">
        <x:v>101.242748</x:v>
      </x:c>
      <x:c r="AB323" s="57" t="str"/>
      <x:c r="AC323" s="20" t="str">
        <x:v>https://www.thic.or.th/th/tourist/detail/mosques/323</x:v>
      </x:c>
    </x:row>
    <x:row r="324" ht="88" customHeight="1">
      <x:c r="A324" s="54" t="n">
        <x:v>316</x:v>
      </x:c>
      <x:c r="B324" s="20" t="str">
        <x:v>ชุมชนบ้านทะเลน้อย ระยอง</x:v>
      </x:c>
      <x:c r="C324" s="20" t="str">
        <x:v>ระยอง</x:v>
      </x:c>
      <x:c r="D324" s="20" t="str">
        <x:v>ชุมชน</x:v>
      </x:c>
      <x:c r="E324" s="20" t="str">
        <x:v>พบข้อมูลชื่อตรงจาก ชุมชนท่องเที่ยวบ้านทะเลน้อย; เป็นหลักฐานตัวตน/ประเภท ยังไม่ยืนยันบริการมุสลิมครบเกณฑ์</x:v>
      </x:c>
      <x:c r="F324" s="20" t="str">
        <x:v>ไม่ทราบ</x:v>
      </x:c>
      <x:c r="G324" s="20" t="str">
        <x:v>ยังไม่ยืนยันใบรับรองและวันหมดอายุ</x:v>
      </x:c>
      <x:c r="H324" s="20" t="str">
        <x:v>ตรวจการเปิด ตัวตนสาขา ช่องทางติดต่อ และเงื่อนไขบังคับตามประเภท</x:v>
      </x:c>
      <x:c r="I324" s="20" t="str">
        <x:v>ยังไม่ยืนยันที่อยู่ละเอียด ดูลิงก์แหล่งข้อมูลและ Google Maps</x:v>
      </x:c>
      <x:c r="J324" s="21" t="str">
        <x:v>ยังไม่พบหรือยังไม่ยืนยัน</x:v>
      </x:c>
      <x:c r="K324" s="51" t="str">
        <x:v>https://www.thailandtourismdirectory.go.th/attraction/94226</x:v>
      </x:c>
      <x:c r="L324" s="51" t="str">
        <x:v>https://thailand.go.th/useful-information-detail/001_02_219</x:v>
      </x:c>
      <x:c r="M324" s="20" t="str">
        <x:v>พบแหล่งต่างเว็บไซต์ วันเดย์ทริปเส้นทางท่องเที่ยวชุมชน บ้านทะเลน้อยระยอง - THAILAND.GO.TH</x:v>
      </x:c>
      <x:c r="N324" s="28" t="n">
        <x:v>46316</x:v>
      </x:c>
      <x:c r="O324" s="57" t="str">
        <x:v>ยังไม่ตรวจ</x:v>
      </x:c>
      <x:c r="P324" s="57" t="str">
        <x:v>ยังไม่ติดต่อ</x:v>
      </x:c>
      <x:c r="Q324" s="20" t="str">
        <x:v>R26-157</x:v>
      </x:c>
      <x:c r="R324" s="20" t="str"/>
      <x:c r="S324" s="20" t="str"/>
      <x:c r="T324" s="20" t="str">
        <x:v>https://www.thailandtourismdirectory.go.th/attraction/94226</x:v>
      </x:c>
      <x:c r="U324" s="20" t="str"/>
      <x:c r="V324" s="20" t="str"/>
      <x:c r="W324" s="20" t="str"/>
      <x:c r="X324" s="20" t="str"/>
      <x:c r="Y324" s="20" t="str">
        <x:v>https://www.google.com/maps/search/?api=1&amp;query=%E0%B8%8A%E0%B8%B8%E0%B8%A1%E0%B8%8A%E0%B8%99%E0%B8%9A%E0%B9%89%E0%B8%B2%E0%B8%99%E0%B8%97%E0%B8%B0%E0%B9%80%E0%B8%A5%E0%B8%99%E0%B9%89%E0%B8%AD%E0%B8%A2%20%E0%B8%A3%E0%B8%B0%E0%B8%A2%E0%B8%AD%E0%B8%87%20%E0%B8%A3%E0%B8%B0%E0%B8%A2%E0%B8%AD%E0%B8%87</x:v>
      </x:c>
      <x:c r="Z324" s="56" t="n">
        <x:v>12.736487</x:v>
      </x:c>
      <x:c r="AA324" s="56" t="n">
        <x:v>101.677149</x:v>
      </x:c>
      <x:c r="AB324" s="57" t="str"/>
      <x:c r="AC324" s="20" t="str">
        <x:v>https://www.thailandtourismdirectory.go.th/attraction/94226</x:v>
      </x:c>
    </x:row>
    <x:row r="325" ht="88" customHeight="1">
      <x:c r="A325" s="54" t="n">
        <x:v>317</x:v>
      </x:c>
      <x:c r="B325" s="20" t="str">
        <x:v>ชุมชนปากน้ำประแส</x:v>
      </x:c>
      <x:c r="C325" s="20" t="str">
        <x:v>ระยอง</x:v>
      </x:c>
      <x:c r="D325" s="20" t="str">
        <x:v>ชุมชน</x:v>
      </x:c>
      <x:c r="E325" s="20" t="str">
        <x:v>พบข้อมูลชื่อตรงจาก บ้านพอเพียงชนบทแก้ไขปัญหาคนจน ด้วยสภาองค์กรชุมชนตำบลปากน้ำประแส – สถาบันพัฒนาองค์กรชุมชน (องค์การมหาชน); เป็นหลักฐานตัวตน/ประเภท ยังไม่ยืนยันบริการมุสลิมครบเกณฑ์</x:v>
      </x:c>
      <x:c r="F325" s="20" t="str">
        <x:v>ไม่ทราบ</x:v>
      </x:c>
      <x:c r="G325" s="20" t="str">
        <x:v>ยังไม่ยืนยันใบรับรองและวันหมดอายุ</x:v>
      </x:c>
      <x:c r="H325" s="20" t="str">
        <x:v>ตรวจการเปิด ตัวตนสาขา ช่องทางติดต่อ และเงื่อนไขบังคับตามประเภท</x:v>
      </x:c>
      <x:c r="I325" s="20" t="str">
        <x:v>ยังไม่ยืนยันที่อยู่ละเอียด ดูลิงก์แหล่งข้อมูลและ Google Maps</x:v>
      </x:c>
      <x:c r="J325" s="21" t="str">
        <x:v>ยังไม่พบหรือยังไม่ยืนยัน</x:v>
      </x:c>
      <x:c r="K325" s="51" t="str">
        <x:v>https://web.codi.or.th/20190830-8229/</x:v>
      </x:c>
      <x:c r="L325" s="51" t="str">
        <x:v>https://wikicommunity.sac.or.th/community/420</x:v>
      </x:c>
      <x:c r="M325" s="20" t="str">
        <x:v>พบแหล่งต่างเว็บไซต์ ปากน้ำประแส</x:v>
      </x:c>
      <x:c r="N325" s="28" t="n">
        <x:v>46316</x:v>
      </x:c>
      <x:c r="O325" s="57" t="str">
        <x:v>ยังไม่ตรวจ</x:v>
      </x:c>
      <x:c r="P325" s="57" t="str">
        <x:v>ยังไม่ติดต่อ</x:v>
      </x:c>
      <x:c r="Q325" s="20" t="str">
        <x:v>R26-156</x:v>
      </x:c>
      <x:c r="R325" s="20" t="str"/>
      <x:c r="S325" s="20" t="str"/>
      <x:c r="T325" s="20" t="str">
        <x:v>https://web.codi.or.th/20190830-8229/</x:v>
      </x:c>
      <x:c r="U325" s="20" t="str"/>
      <x:c r="V325" s="20" t="str"/>
      <x:c r="W325" s="20" t="str"/>
      <x:c r="X325" s="20" t="str"/>
      <x:c r="Y325" s="20" t="str">
        <x:v>https://www.google.com/maps/search/?api=1&amp;query=%E0%B8%8A%E0%B8%B8%E0%B8%A1%E0%B8%8A%E0%B8%99%E0%B8%9B%E0%B8%B2%E0%B8%81%E0%B8%99%E0%B9%89%E0%B8%B3%E0%B8%9B%E0%B8%A3%E0%B8%B0%E0%B9%81%E0%B8%AA%20%E0%B8%A3%E0%B8%B0%E0%B8%A2%E0%B8%AD%E0%B8%87</x:v>
      </x:c>
      <x:c r="Z325" s="56" t="n">
        <x:v>12.707113</x:v>
      </x:c>
      <x:c r="AA325" s="56" t="n">
        <x:v>101.705589</x:v>
      </x:c>
      <x:c r="AB325" s="57" t="str"/>
      <x:c r="AC325" s="20" t="str">
        <x:v>https://web.codi.or.th/20190830-8229/</x:v>
      </x:c>
    </x:row>
    <x:row r="326" ht="88" customHeight="1">
      <x:c r="A326" s="54" t="n">
        <x:v>318</x:v>
      </x:c>
      <x:c r="B326" s="20" t="str">
        <x:v>สวนละไม</x:v>
      </x:c>
      <x:c r="C326" s="20" t="str">
        <x:v>ระยอง</x:v>
      </x:c>
      <x:c r="D326" s="20" t="str">
        <x:v>กิจกรรม</x:v>
      </x:c>
      <x:c r="E326" s="20" t="str">
        <x:v>พบข้อมูลชื่อตรงจาก สวนละไม; เป็นหลักฐานตัวตน/ประเภท ยังไม่ยืนยันบริการมุสลิมครบเกณฑ์</x:v>
      </x:c>
      <x:c r="F326" s="20" t="str">
        <x:v>ไม่ทราบ</x:v>
      </x:c>
      <x:c r="G326" s="20" t="str">
        <x:v>ยังไม่ยืนยันใบรับรองและวันหมดอายุ</x:v>
      </x:c>
      <x:c r="H326" s="20" t="str">
        <x:v>ตรวจการเปิด ตัวตนสาขา ช่องทางติดต่อ และเงื่อนไขบังคับตามประเภท</x:v>
      </x:c>
      <x:c r="I326" s="20" t="str">
        <x:v>ยังไม่ยืนยันที่อยู่ละเอียด ดูลิงก์แหล่งข้อมูลและ Google Maps</x:v>
      </x:c>
      <x:c r="J326" s="21" t="str">
        <x:v>ยังไม่พบหรือยังไม่ยืนยัน</x:v>
      </x:c>
      <x:c r="K326" s="51" t="str">
        <x:v>https://www.thailandtourismdirectory.go.th/attraction/4684</x:v>
      </x:c>
      <x:c r="L326" s="51" t="str">
        <x:v>https://www.rayong-pao.go.th/th/travel/g/6/detail-news/20687.html</x:v>
      </x:c>
      <x:c r="M326" s="20" t="str">
        <x:v>พบแหล่งต่างเว็บไซต์ สวนละไม</x:v>
      </x:c>
      <x:c r="N326" s="28" t="n">
        <x:v>46316</x:v>
      </x:c>
      <x:c r="O326" s="57" t="str">
        <x:v>ยังไม่ตรวจ</x:v>
      </x:c>
      <x:c r="P326" s="57" t="str">
        <x:v>ยังไม่ติดต่อ</x:v>
      </x:c>
      <x:c r="Q326" s="20" t="str">
        <x:v>R26-304</x:v>
      </x:c>
      <x:c r="R326" s="20" t="str"/>
      <x:c r="S326" s="20" t="str"/>
      <x:c r="T326" s="20" t="str">
        <x:v>https://www.thailandtourismdirectory.go.th/attraction/4684</x:v>
      </x:c>
      <x:c r="U326" s="20" t="str"/>
      <x:c r="V326" s="20" t="str"/>
      <x:c r="W326" s="20" t="str"/>
      <x:c r="X326" s="20" t="str"/>
      <x:c r="Y326" s="20" t="str">
        <x:v>https://www.google.com/maps/search/?api=1&amp;query=%E0%B8%AA%E0%B8%A7%E0%B8%99%E0%B8%A5%E0%B8%B0%E0%B9%84%E0%B8%A1%20%E0%B8%A3%E0%B8%B0%E0%B8%A2%E0%B8%AD%E0%B8%87</x:v>
      </x:c>
      <x:c r="Z326" s="56" t="n">
        <x:v>12.995535</x:v>
      </x:c>
      <x:c r="AA326" s="56" t="n">
        <x:v>101.436284</x:v>
      </x:c>
      <x:c r="AB326" s="57" t="str"/>
      <x:c r="AC326" s="20" t="str">
        <x:v>https://www.thailandtourismdirectory.go.th/attraction/4684</x:v>
      </x:c>
    </x:row>
    <x:row r="327" ht="88" customHeight="1">
      <x:c r="A327" s="54" t="n">
        <x:v>319</x:v>
      </x:c>
      <x:c r="B327" s="20" t="str">
        <x:v>The Seaside Halal เกาะยอ</x:v>
      </x:c>
      <x:c r="C327" s="20" t="str">
        <x:v>สงขลา</x:v>
      </x:c>
      <x:c r="D327" s="20" t="str">
        <x:v>อาหาร</x:v>
      </x:c>
      <x:c r="E327" s="20" t="str">
        <x:v>พบข้อมูลชื่อตรงจาก The Seaside Halal; เป็นหลักฐานตัวตน/ประเภท ยังไม่ยืนยันบริการมุสลิมครบเกณฑ์</x:v>
      </x:c>
      <x:c r="F327" s="20" t="str">
        <x:v>ไม่ทราบ</x:v>
      </x:c>
      <x:c r="G327" s="20" t="str">
        <x:v>ยังไม่ยืนยันใบรับรองและวันหมดอายุ</x:v>
      </x:c>
      <x:c r="H327" s="20" t="str">
        <x:v>ตรวจการเปิด ตัวตนสาขา ช่องทางติดต่อ และเงื่อนไขบังคับตามประเภท</x:v>
      </x:c>
      <x:c r="I327" s="20" t="str">
        <x:v>ยังไม่ยืนยันที่อยู่ละเอียด ดูลิงก์แหล่งข้อมูลและ Google Maps</x:v>
      </x:c>
      <x:c r="J327" s="21" t="str">
        <x:v>ยังไม่พบหรือยังไม่ยืนยัน</x:v>
      </x:c>
      <x:c r="K327" s="51" t="str">
        <x:v>https://thesesidehalal.songkhlafoodcity.com/</x:v>
      </x:c>
      <x:c r="L327" s="51" t="str">
        <x:v>https://th.tripadvisor.com/Restaurant_Review-g2301765-d23820594-Reviews-The_Seaside_Halal-Ko_Yo_Songkhla_Province.html</x:v>
      </x:c>
      <x:c r="M327" s="20" t="str">
        <x:v>พบแหล่งต่างเว็บไซต์ The Seaside Halal, เกาะยอ - รีวิวร้านอาหาร - Tripadvisor</x:v>
      </x:c>
      <x:c r="N327" s="28" t="n">
        <x:v>46316</x:v>
      </x:c>
      <x:c r="O327" s="57" t="str">
        <x:v>ยังไม่ตรวจ</x:v>
      </x:c>
      <x:c r="P327" s="57" t="str">
        <x:v>ยังไม่ติดต่อ</x:v>
      </x:c>
      <x:c r="Q327" s="20" t="str">
        <x:v>R26-071</x:v>
      </x:c>
      <x:c r="R327" s="20" t="str"/>
      <x:c r="S327" s="20" t="str"/>
      <x:c r="T327" s="20" t="str">
        <x:v>https://thesesidehalal.songkhlafoodcity.com/</x:v>
      </x:c>
      <x:c r="U327" s="20" t="str"/>
      <x:c r="V327" s="20" t="str"/>
      <x:c r="W327" s="20" t="str"/>
      <x:c r="X327" s="20" t="str"/>
      <x:c r="Y327" s="20" t="str">
        <x:v>https://www.google.com/maps/search/?api=1&amp;query=The%20Seaside%20Halal%20%E0%B9%80%E0%B8%81%E0%B8%B2%E0%B8%B0%E0%B8%A2%E0%B8%AD%20%E0%B8%AA%E0%B8%87%E0%B8%82%E0%B8%A5%E0%B8%B2</x:v>
      </x:c>
      <x:c r="Z327" s="56" t="str"/>
      <x:c r="AA327" s="56" t="str"/>
      <x:c r="AB327" s="57" t="str"/>
      <x:c r="AC327" s="20" t="str">
        <x:v>https://thesesidehalal.songkhlafoodcity.com/</x:v>
      </x:c>
    </x:row>
    <x:row r="328" ht="88" customHeight="1">
      <x:c r="A328" s="54" t="n">
        <x:v>320</x:v>
      </x:c>
      <x:c r="B328" s="20" t="str">
        <x:v>ข้าวมันไก่ไข่ฮาลาลบ้านบน</x:v>
      </x:c>
      <x:c r="C328" s="20" t="str">
        <x:v>สงขลา</x:v>
      </x:c>
      <x:c r="D328" s="20" t="str">
        <x:v>อาหาร</x:v>
      </x:c>
      <x:c r="E328" s="20" t="str">
        <x:v>พบข้อมูลชื่อตรงจาก ร้าน ข้าวมันไก่ไข่ฮาลาลบ้านบน | รีวิวร้านอาหาร; เป็นหลักฐานตัวตน/ประเภท ยังไม่ยืนยันบริการมุสลิมครบเกณฑ์</x:v>
      </x:c>
      <x:c r="F328" s="20" t="str">
        <x:v>ไม่ทราบ</x:v>
      </x:c>
      <x:c r="G328" s="20" t="str">
        <x:v>ยังไม่ยืนยันใบรับรองและวันหมดอายุ</x:v>
      </x:c>
      <x:c r="H328" s="20" t="str">
        <x:v>ตรวจการเปิด ตัวตนสาขา ช่องทางติดต่อ และเงื่อนไขบังคับตามประเภท / ยังไม่มีแหล่งออนไลน์อิสระที่สองชัดเจน ต้องติดต่อยืนยันก่อนใช้เป็นจุดหลัก</x:v>
      </x:c>
      <x:c r="I328" s="20" t="str">
        <x:v>ยังไม่ยืนยันที่อยู่ละเอียด ดูลิงก์แหล่งข้อมูลและ Google Maps</x:v>
      </x:c>
      <x:c r="J328" s="21" t="str">
        <x:v>ยังไม่พบหรือยังไม่ยืนยัน</x:v>
      </x:c>
      <x:c r="K328" s="51" t="str">
        <x:v>https://www.wongnai.com/restaurants/948857US-%E0%B8%82%E0%B9%89%E0%B8%B2%E0%B8%A7%E0%B8%A1%E0%B8%B1%E0%B8%99%E0%B9%84%E0%B8%81%E0%B9%88%E0%B9%84%E0%B8%82%E0%B9%88%E0%B8%AE%E0%B8%B2%E0%B8%A5%E0%B8%B2%E0%B8%A5%E0%B8%9A%E0%B9%89%E0%B8%B2%E0%B8%99%E0%B8%9A%E0%B8%99</x:v>
      </x:c>
      <x:c r="L328" s="51" t="str"/>
      <x:c r="M328" s="20" t="str">
        <x:v>ยังไม่พบแหล่งออนไลน์อิสระที่สองชัดเจน</x:v>
      </x:c>
      <x:c r="N328" s="28" t="n">
        <x:v>46316</x:v>
      </x:c>
      <x:c r="O328" s="57" t="str">
        <x:v>ยังไม่ตรวจ</x:v>
      </x:c>
      <x:c r="P328" s="57" t="str">
        <x:v>ยังไม่ติดต่อ</x:v>
      </x:c>
      <x:c r="Q328" s="20" t="str">
        <x:v>R26-068</x:v>
      </x:c>
      <x:c r="R328" s="20" t="str"/>
      <x:c r="S328" s="20" t="str"/>
      <x:c r="T328" s="20" t="str">
        <x:v>https://www.wongnai.com/restaurants/948857US-%E0%B8%82%E0%B9%89%E0%B8%B2%E0%B8%A7%E0%B8%A1%E0%B8%B1%E0%B8%99%E0%B9%84%E0%B8%81%E0%B9%88%E0%B9%84%E0%B8%82%E0%B9%88%E0%B8%AE%E0%B8%B2%E0%B8%A5%E0%B8%B2%E0%B8%A5%E0%B8%9A%E0%B9%89%E0%B8%B2%E0%B8%99%E0%B8%9A%E0%B8%99</x:v>
      </x:c>
      <x:c r="U328" s="20" t="str"/>
      <x:c r="V328" s="20" t="str"/>
      <x:c r="W328" s="20" t="str"/>
      <x:c r="X328" s="20" t="str"/>
      <x:c r="Y328" s="20" t="str">
        <x:v>https://www.google.com/maps/search/?api=1&amp;query=%E0%B8%82%E0%B9%89%E0%B8%B2%E0%B8%A7%E0%B8%A1%E0%B8%B1%E0%B8%99%E0%B9%84%E0%B8%81%E0%B9%88%E0%B9%84%E0%B8%82%E0%B9%88%E0%B8%AE%E0%B8%B2%E0%B8%A5%E0%B8%B2%E0%B8%A5%E0%B8%9A%E0%B9%89%E0%B8%B2%E0%B8%99%E0%B8%9A%E0%B8%99%20%E0%B8%AA%E0%B8%87%E0%B8%82%E0%B8%A5%E0%B8%B2</x:v>
      </x:c>
      <x:c r="Z328" s="56" t="str"/>
      <x:c r="AA328" s="56" t="str"/>
      <x:c r="AB328" s="57" t="str"/>
      <x:c r="AC328" s="20" t="str">
        <x:v>https://www.wongnai.com/restaurants/948857US-%E0%B8%82%E0%B9%89%E0%B8%B2%E0%B8%A7%E0%B8%A1%E0%B8%B1%E0%B8%99%E0%B9%84%E0%B8%81%E0%B9%88%E0%B9%84%E0%B8%82%E0%B9%88%E0%B8%AE%E0%B8%B2%E0%B8%A5%E0%B8%B2%E0%B8%A5%E0%B8%9A%E0%B9%89%E0%B8%B2%E0%B8%99%E0%B8%9A%E0%B8%99</x:v>
      </x:c>
    </x:row>
    <x:row r="329" ht="88" customHeight="1">
      <x:c r="A329" s="54" t="n">
        <x:v>321</x:v>
      </x:c>
      <x:c r="B329" s="20" t="str">
        <x:v>หาดสมิหลา</x:v>
      </x:c>
      <x:c r="C329" s="20" t="str">
        <x:v>สงขลา</x:v>
      </x:c>
      <x:c r="D329" s="20" t="str">
        <x:v>ธรรมชาติ</x:v>
      </x:c>
      <x:c r="E329" s="20" t="str">
        <x:v>พบข้อมูลชื่อตรงจาก หาดสมิหลา - สำนักงานการท่องเที่ยวและกีฬาจังหวัดสงขลา; เป็นหลักฐานตัวตน/ประเภท ยังไม่ยืนยันบริการมุสลิมครบเกณฑ์</x:v>
      </x:c>
      <x:c r="F329" s="20" t="str">
        <x:v>ไม่ทราบ</x:v>
      </x:c>
      <x:c r="G329" s="20" t="str">
        <x:v>ยังไม่ยืนยันใบรับรองและวันหมดอายุ</x:v>
      </x:c>
      <x:c r="H329" s="20" t="str">
        <x:v>ตรวจการเปิด ตัวตนสาขา ช่องทางติดต่อ และเงื่อนไขบังคับตามประเภท</x:v>
      </x:c>
      <x:c r="I329" s="20" t="str">
        <x:v>ยังไม่ยืนยันที่อยู่ละเอียด ดูลิงก์แหล่งข้อมูลและ Google Maps</x:v>
      </x:c>
      <x:c r="J329" s="21" t="str">
        <x:v>ยังไม่พบหรือยังไม่ยืนยัน</x:v>
      </x:c>
      <x:c r="K329" s="51" t="str">
        <x:v>https://songkhla.mots.go.th/news/394</x:v>
      </x:c>
      <x:c r="L329" s="51" t="str">
        <x:v>https://thailandaddict.com/samila-beach</x:v>
      </x:c>
      <x:c r="M329" s="20" t="str">
        <x:v>พบแหล่งต่างเว็บไซต์ หาดสมิหลา สงขลา 2026 — นางเงือกทอง เกาะหนูเกาะแมว ทิวสน จุดดูพระอาทิตย์ตก | ThailandAddict</x:v>
      </x:c>
      <x:c r="N329" s="28" t="n">
        <x:v>46316</x:v>
      </x:c>
      <x:c r="O329" s="57" t="str">
        <x:v>ยังไม่ตรวจ</x:v>
      </x:c>
      <x:c r="P329" s="57" t="str">
        <x:v>ยังไม่ติดต่อ</x:v>
      </x:c>
      <x:c r="Q329" s="20" t="str">
        <x:v>R26-070</x:v>
      </x:c>
      <x:c r="R329" s="20" t="str"/>
      <x:c r="S329" s="20" t="str"/>
      <x:c r="T329" s="20" t="str">
        <x:v>https://songkhla.mots.go.th/news/394</x:v>
      </x:c>
      <x:c r="U329" s="20" t="str"/>
      <x:c r="V329" s="20" t="str"/>
      <x:c r="W329" s="20" t="str"/>
      <x:c r="X329" s="20" t="str"/>
      <x:c r="Y329" s="20" t="str">
        <x:v>https://www.google.com/maps/search/?api=1&amp;query=%E0%B8%AB%E0%B8%B2%E0%B8%94%E0%B8%AA%E0%B8%A1%E0%B8%B4%E0%B8%AB%E0%B8%A5%E0%B8%B2%20%E0%B8%AA%E0%B8%87%E0%B8%82%E0%B8%A5%E0%B8%B2</x:v>
      </x:c>
      <x:c r="Z329" s="56" t="n">
        <x:v>7.213512</x:v>
      </x:c>
      <x:c r="AA329" s="56" t="n">
        <x:v>100.589717</x:v>
      </x:c>
      <x:c r="AB329" s="57" t="str"/>
      <x:c r="AC329" s="20" t="str">
        <x:v>https://songkhla.mots.go.th/news/394</x:v>
      </x:c>
    </x:row>
    <x:row r="330" ht="88" customHeight="1">
      <x:c r="A330" s="54" t="n">
        <x:v>322</x:v>
      </x:c>
      <x:c r="B330" s="20" t="str">
        <x:v>เขาตังกวน</x:v>
      </x:c>
      <x:c r="C330" s="20" t="str">
        <x:v>สงขลา</x:v>
      </x:c>
      <x:c r="D330" s="20" t="str">
        <x:v>ธรรมชาติ</x:v>
      </x:c>
      <x:c r="E330" s="20" t="str">
        <x:v>พบข้อมูลชื่อตรงจาก เขาตังกวน - สำนักงานการท่องเที่ยวและกีฬาจังหวัดสงขลา; เป็นหลักฐานตัวตน/ประเภท ยังไม่ยืนยันบริการมุสลิมครบเกณฑ์</x:v>
      </x:c>
      <x:c r="F330" s="20" t="str">
        <x:v>ไม่ทราบ</x:v>
      </x:c>
      <x:c r="G330" s="20" t="str">
        <x:v>ยังไม่ยืนยันใบรับรองและวันหมดอายุ</x:v>
      </x:c>
      <x:c r="H330" s="20" t="str">
        <x:v>ตรวจการเปิด ตัวตนสาขา ช่องทางติดต่อ และเงื่อนไขบังคับตามประเภท</x:v>
      </x:c>
      <x:c r="I330" s="20" t="str">
        <x:v>ยังไม่ยืนยันที่อยู่ละเอียด ดูลิงก์แหล่งข้อมูลและ Google Maps</x:v>
      </x:c>
      <x:c r="J330" s="21" t="str">
        <x:v>ยังไม่พบหรือยังไม่ยืนยัน</x:v>
      </x:c>
      <x:c r="K330" s="51" t="str">
        <x:v>https://songkhla.mots.go.th/news/393</x:v>
      </x:c>
      <x:c r="L330" s="51" t="str">
        <x:v>https://www.songkhlacity.go.th/2020/travel/detail/7/data.html</x:v>
      </x:c>
      <x:c r="M330" s="20" t="str">
        <x:v>พบแหล่งต่างเว็บไซต์ เขาตังกวน</x:v>
      </x:c>
      <x:c r="N330" s="28" t="n">
        <x:v>46316</x:v>
      </x:c>
      <x:c r="O330" s="57" t="str">
        <x:v>ยังไม่ตรวจ</x:v>
      </x:c>
      <x:c r="P330" s="57" t="str">
        <x:v>ยังไม่ติดต่อ</x:v>
      </x:c>
      <x:c r="Q330" s="20" t="str">
        <x:v>R26-069</x:v>
      </x:c>
      <x:c r="R330" s="20" t="str"/>
      <x:c r="S330" s="20" t="str"/>
      <x:c r="T330" s="20" t="str">
        <x:v>https://songkhla.mots.go.th/news/393</x:v>
      </x:c>
      <x:c r="U330" s="20" t="str"/>
      <x:c r="V330" s="20" t="str"/>
      <x:c r="W330" s="20" t="str"/>
      <x:c r="X330" s="20" t="str"/>
      <x:c r="Y330" s="20" t="str">
        <x:v>https://www.google.com/maps/search/?api=1&amp;query=%E0%B9%80%E0%B8%82%E0%B8%B2%E0%B8%95%E0%B8%B1%E0%B8%87%E0%B8%81%E0%B8%A7%E0%B8%99%20%E0%B8%AA%E0%B8%87%E0%B8%82%E0%B8%A5%E0%B8%B2</x:v>
      </x:c>
      <x:c r="Z330" s="56" t="n">
        <x:v>7.210695</x:v>
      </x:c>
      <x:c r="AA330" s="56" t="n">
        <x:v>100.589308</x:v>
      </x:c>
      <x:c r="AB330" s="57" t="str"/>
      <x:c r="AC330" s="20" t="str">
        <x:v>https://songkhla.mots.go.th/news/393</x:v>
      </x:c>
    </x:row>
    <x:row r="331" ht="88" customHeight="1">
      <x:c r="A331" s="54" t="n">
        <x:v>323</x:v>
      </x:c>
      <x:c r="B331" s="20" t="str">
        <x:v>มัสยิดกลางประจำจังหวัดสงขลา</x:v>
      </x:c>
      <x:c r="C331" s="20" t="str">
        <x:v>สงขลา</x:v>
      </x:c>
      <x:c r="D331" s="20" t="str">
        <x:v>มัสยิด</x:v>
      </x:c>
      <x:c r="E331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331" s="20" t="str">
        <x:v>มีข้อมูลระบุ แต่รอยืนยัน</x:v>
      </x:c>
      <x:c r="G331" s="20" t="str">
        <x:v>ยังไม่พบเอกสารรับรองและวันหมดอายุ</x:v>
      </x:c>
      <x:c r="H331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31" s="20" t="str">
        <x:v>ถนนลพบุรีราเมศวร์ ตำบลคลองแห อำเภอหาดใหญ่ จังหวัดสงขลา 90110</x:v>
      </x:c>
      <x:c r="J331" s="21" t="str">
        <x:v>081-954-2437</x:v>
      </x:c>
      <x:c r="K331" s="51" t="str">
        <x:v>https://www.thic.or.th/th/tourist/detail/mosques/47</x:v>
      </x:c>
      <x:c r="L331" s="51" t="str">
        <x:v>https://th.trip.com/travel-guide/attraction/hat-yai/the-central-mosque-of-songkhla-61871424/?curr=THB&amp;locale=th-TH</x:v>
      </x:c>
      <x:c r="M331" s="20" t="str">
        <x:v>ผลค้นหาชื่อสัมพันธ์จากแหล่งเพิ่มเติม ต้องยืนยันสาขาและข้อมูลปัจจุบัน</x:v>
      </x:c>
      <x:c r="N331" s="28" t="n">
        <x:v>46316</x:v>
      </x:c>
      <x:c r="O331" s="57" t="str">
        <x:v>ยังไม่ตรวจ</x:v>
      </x:c>
      <x:c r="P331" s="57" t="str">
        <x:v>ยังไม่ติดต่อ</x:v>
      </x:c>
      <x:c r="Q331" s="20" t="str">
        <x:v>TMF-399</x:v>
      </x:c>
      <x:c r="R331" s="20" t="str"/>
      <x:c r="S331" s="20" t="str"/>
      <x:c r="T331" s="20" t="str">
        <x:v>https://www.thic.or.th/th/tourist/detail/mosques/47</x:v>
      </x:c>
      <x:c r="U331" s="20" t="str"/>
      <x:c r="V331" s="20" t="str"/>
      <x:c r="W331" s="20" t="str"/>
      <x:c r="X331" s="20" t="str"/>
      <x:c r="Y331" s="20" t="str">
        <x:v>https://www.google.com/maps/search/?api=1&amp;query=%E0%B8%A1%E0%B8%B1%E0%B8%AA%E0%B8%A2%E0%B8%B4%E0%B8%94%E0%B8%81%E0%B8%A5%E0%B8%B2%E0%B8%87%E0%B8%9B%E0%B8%A3%E0%B8%B0%E0%B8%88%E0%B8%B3%E0%B8%88%E0%B8%B1%E0%B8%87%E0%B8%AB%E0%B8%A7%E0%B8%B1%E0%B8%94%E0%B8%AA%E0%B8%87%E0%B8%82%E0%B8%A5%E0%B8%B2%20%E0%B8%AA%E0%B8%87%E0%B8%82%E0%B8%A5%E0%B8%B2</x:v>
      </x:c>
      <x:c r="Z331" s="56" t="n">
        <x:v>7.075993</x:v>
      </x:c>
      <x:c r="AA331" s="56" t="n">
        <x:v>100.491524</x:v>
      </x:c>
      <x:c r="AB331" s="57" t="str"/>
      <x:c r="AC331" s="20" t="str">
        <x:v>https://www.thic.or.th/th/tourist/detail/mosques/47</x:v>
      </x:c>
    </x:row>
    <x:row r="332" ht="88" customHeight="1">
      <x:c r="A332" s="54" t="n">
        <x:v>324</x:v>
      </x:c>
      <x:c r="B332" s="20" t="str">
        <x:v>ย่านเมืองเก่าสงขลา</x:v>
      </x:c>
      <x:c r="C332" s="20" t="str">
        <x:v>สงขลา</x:v>
      </x:c>
      <x:c r="D332" s="20" t="str">
        <x:v>ประวัติ</x:v>
      </x:c>
      <x:c r="E332" s="20" t="str">
        <x:v>พบข้อมูลชื่อตรงจาก ย่านเมืองเก่าสงขลา; เป็นหลักฐานตัวตน/ประเภท ยังไม่ยืนยันบริการมุสลิมครบเกณฑ์</x:v>
      </x:c>
      <x:c r="F332" s="20" t="str">
        <x:v>ไม่ทราบ</x:v>
      </x:c>
      <x:c r="G332" s="20" t="str">
        <x:v>ยังไม่ยืนยันใบรับรองและวันหมดอายุ</x:v>
      </x:c>
      <x:c r="H332" s="20" t="str">
        <x:v>ตรวจการเปิด ตัวตนสาขา ช่องทางติดต่อ และเงื่อนไขบังคับตามประเภท</x:v>
      </x:c>
      <x:c r="I332" s="20" t="str">
        <x:v>ยังไม่ยืนยันที่อยู่ละเอียด ดูลิงก์แหล่งข้อมูลและ Google Maps</x:v>
      </x:c>
      <x:c r="J332" s="21" t="str">
        <x:v>ยังไม่พบหรือยังไม่ยืนยัน</x:v>
      </x:c>
      <x:c r="K332" s="51" t="str">
        <x:v>https://wikicommunity.sac.or.th/community/349</x:v>
      </x:c>
      <x:c r="L332" s="51" t="str">
        <x:v>https://www.thailandtourismdirectory.go.th/attraction/379</x:v>
      </x:c>
      <x:c r="M332" s="20" t="str">
        <x:v>พบแหล่งต่างเว็บไซต์ ถนนวัฒนธรรม ย่านเมืองเก่าสงขลา</x:v>
      </x:c>
      <x:c r="N332" s="28" t="n">
        <x:v>46316</x:v>
      </x:c>
      <x:c r="O332" s="57" t="str">
        <x:v>ยังไม่ตรวจ</x:v>
      </x:c>
      <x:c r="P332" s="57" t="str">
        <x:v>ยังไม่ติดต่อ</x:v>
      </x:c>
      <x:c r="Q332" s="20" t="str">
        <x:v>R26-066</x:v>
      </x:c>
      <x:c r="R332" s="20" t="str"/>
      <x:c r="S332" s="20" t="str"/>
      <x:c r="T332" s="20" t="str">
        <x:v>https://wikicommunity.sac.or.th/community/349</x:v>
      </x:c>
      <x:c r="U332" s="20" t="str"/>
      <x:c r="V332" s="20" t="str"/>
      <x:c r="W332" s="20" t="str"/>
      <x:c r="X332" s="20" t="str"/>
      <x:c r="Y332" s="20" t="str">
        <x:v>https://www.google.com/maps/search/?api=1&amp;query=%E0%B8%A2%E0%B9%88%E0%B8%B2%E0%B8%99%E0%B9%80%E0%B8%A1%E0%B8%B7%E0%B8%AD%E0%B8%87%E0%B9%80%E0%B8%81%E0%B9%88%E0%B8%B2%E0%B8%AA%E0%B8%87%E0%B8%82%E0%B8%A5%E0%B8%B2%20%E0%B8%AA%E0%B8%87%E0%B8%82%E0%B8%A5%E0%B8%B2</x:v>
      </x:c>
      <x:c r="Z332" s="56" t="n">
        <x:v>7.196265</x:v>
      </x:c>
      <x:c r="AA332" s="56" t="n">
        <x:v>100.590658</x:v>
      </x:c>
      <x:c r="AB332" s="57" t="str"/>
      <x:c r="AC332" s="20" t="str">
        <x:v>https://wikicommunity.sac.or.th/community/349</x:v>
      </x:c>
    </x:row>
    <x:row r="333" ht="88" customHeight="1">
      <x:c r="A333" s="54" t="n">
        <x:v>325</x:v>
      </x:c>
      <x:c r="B333" s="20" t="str">
        <x:v>ชุมชนมัสยิดบ้านบน สงขลา</x:v>
      </x:c>
      <x:c r="C333" s="20" t="str">
        <x:v>สงขลา</x:v>
      </x:c>
      <x:c r="D333" s="20" t="str">
        <x:v>ชุมชน</x:v>
      </x:c>
      <x:c r="E333" s="20" t="str">
        <x:v>พบข้อมูลชื่อตรงจาก มัสยิดบ้านบน; เป็นหลักฐานตัวตน/ประเภท ยังไม่ยืนยันบริการมุสลิมครบเกณฑ์</x:v>
      </x:c>
      <x:c r="F333" s="20" t="str">
        <x:v>ไม่ทราบ</x:v>
      </x:c>
      <x:c r="G333" s="20" t="str">
        <x:v>ยังไม่ยืนยันใบรับรองและวันหมดอายุ</x:v>
      </x:c>
      <x:c r="H333" s="20" t="str">
        <x:v>ตรวจการเปิด ตัวตนสาขา ช่องทางติดต่อ และเงื่อนไขบังคับตามประเภท</x:v>
      </x:c>
      <x:c r="I333" s="20" t="str">
        <x:v>ยังไม่ยืนยันที่อยู่ละเอียด ดูลิงก์แหล่งข้อมูลและ Google Maps</x:v>
      </x:c>
      <x:c r="J333" s="21" t="str">
        <x:v>ยังไม่พบหรือยังไม่ยืนยัน</x:v>
      </x:c>
      <x:c r="K333" s="51" t="str">
        <x:v>https://wikicommunity.sac.or.th/community/1779</x:v>
      </x:c>
      <x:c r="L333" s="51" t="str">
        <x:v>https://songkhla.prd.go.th/th/content/category/detail/id/33/iid/105473</x:v>
      </x:c>
      <x:c r="M333" s="20" t="str">
        <x:v>พบแหล่งต่างเว็บไซต์ จังหวัดสงขลา เปิดพื้นที่นิทรรศการมัสยิดบ้านบน เดินหน้าผลักดันการท่องเที่ยวย่านเมืองเก่าสงขลา พร้อมยกระดับให้เป็นแหล่งเรียนรู้ทางประวัติศาสตร์ที่สำคัญของชุมชน</x:v>
      </x:c>
      <x:c r="N333" s="28" t="n">
        <x:v>46316</x:v>
      </x:c>
      <x:c r="O333" s="57" t="str">
        <x:v>ยังไม่ตรวจ</x:v>
      </x:c>
      <x:c r="P333" s="57" t="str">
        <x:v>ยังไม่ติดต่อ</x:v>
      </x:c>
      <x:c r="Q333" s="20" t="str">
        <x:v>R26-067</x:v>
      </x:c>
      <x:c r="R333" s="20" t="str"/>
      <x:c r="S333" s="20" t="str"/>
      <x:c r="T333" s="20" t="str">
        <x:v>https://wikicommunity.sac.or.th/community/1779</x:v>
      </x:c>
      <x:c r="U333" s="20" t="str"/>
      <x:c r="V333" s="20" t="str"/>
      <x:c r="W333" s="20" t="str"/>
      <x:c r="X333" s="20" t="str"/>
      <x:c r="Y333" s="20" t="str">
        <x:v>https://www.google.com/maps/search/?api=1&amp;query=%E0%B8%8A%E0%B8%B8%E0%B8%A1%E0%B8%8A%E0%B8%99%E0%B8%A1%E0%B8%B1%E0%B8%AA%E0%B8%A2%E0%B8%B4%E0%B8%94%E0%B8%9A%E0%B9%89%E0%B8%B2%E0%B8%99%E0%B8%9A%E0%B8%99%20%E0%B8%AA%E0%B8%87%E0%B8%82%E0%B8%A5%E0%B8%B2%20%E0%B8%AA%E0%B8%87%E0%B8%82%E0%B8%A5%E0%B8%B2</x:v>
      </x:c>
      <x:c r="Z333" s="56" t="n">
        <x:v>7.192872</x:v>
      </x:c>
      <x:c r="AA333" s="56" t="n">
        <x:v>100.590865</x:v>
      </x:c>
      <x:c r="AB333" s="57" t="str"/>
      <x:c r="AC333" s="20" t="str">
        <x:v>https://wikicommunity.sac.or.th/community/1779</x:v>
      </x:c>
    </x:row>
    <x:row r="334" ht="88" customHeight="1">
      <x:c r="A334" s="54" t="n">
        <x:v>326</x:v>
      </x:c>
      <x:c r="B334" s="20" t="str">
        <x:v>Alfahad Hotel</x:v>
      </x:c>
      <x:c r="C334" s="20" t="str">
        <x:v>สงขลา</x:v>
      </x:c>
      <x:c r="D334" s="20" t="str">
        <x:v>โรงแรมหรือรีสอร์ท</x:v>
      </x:c>
      <x:c r="E334" s="20" t="str">
        <x:v>Makan Verify; ระบุมีห้องละหมาด</x:v>
      </x:c>
      <x:c r="F334" s="20" t="str">
        <x:v>มีข้อมูลระบุ แต่รอยืนยัน</x:v>
      </x:c>
      <x:c r="G334" s="20" t="str">
        <x:v>ยังไม่พบเอกสารรับรองและวันหมดอายุ</x:v>
      </x:c>
      <x:c r="H33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34" s="20" t="str">
        <x:v>132 หมู่ที่1 ถนน เลี่ยงเมือง ตำบล ควนลัง อำเภอหาดใหญ่ สงขลา</x:v>
      </x:c>
      <x:c r="J334" s="21" t="str">
        <x:v>074273799</x:v>
      </x:c>
      <x:c r="K334" s="51" t="str">
        <x:v>https://makanhalalguide.com/shop/detail/5397</x:v>
      </x:c>
      <x:c r="L334" s="51" t="str">
        <x:v>https://in.trip.com/hotels/hat-yai-hotel-detail-46125423/alfahad-hotel/review.html</x:v>
      </x:c>
      <x:c r="M334" s="20" t="str">
        <x:v>ผลค้นหาชื่อสัมพันธ์จากแหล่งเพิ่มเติม ต้องยืนยันสาขาและข้อมูลปัจจุบัน</x:v>
      </x:c>
      <x:c r="N334" s="28" t="n">
        <x:v>46315</x:v>
      </x:c>
      <x:c r="O334" s="57" t="str">
        <x:v>ยังไม่ตรวจ</x:v>
      </x:c>
      <x:c r="P334" s="57" t="str">
        <x:v>ยังไม่ติดต่อ</x:v>
      </x:c>
      <x:c r="Q334" s="20" t="str">
        <x:v>TMF-214</x:v>
      </x:c>
      <x:c r="R334" s="20" t="str">
        <x:v>Alfahad Hotel</x:v>
      </x:c>
      <x:c r="S334" s="20" t="str"/>
      <x:c r="T334" s="20" t="str">
        <x:v>https://makanhalalguide.com/shop/detail/5397</x:v>
      </x:c>
      <x:c r="U334" s="20" t="str"/>
      <x:c r="V334" s="20" t="str"/>
      <x:c r="W334" s="20" t="str"/>
      <x:c r="X334" s="20" t="str"/>
      <x:c r="Y334" s="20" t="str">
        <x:v>https://www.google.com/maps/search/?api=1&amp;query=Alfahad%20Hotel%20%E0%B8%AA%E0%B8%87%E0%B8%82%E0%B8%A5%E0%B8%B2</x:v>
      </x:c>
      <x:c r="Z334" s="56" t="n">
        <x:v>6.982588</x:v>
      </x:c>
      <x:c r="AA334" s="56" t="n">
        <x:v>100.455495</x:v>
      </x:c>
      <x:c r="AB334" s="57" t="str"/>
      <x:c r="AC334" s="20" t="str">
        <x:v>https://makanhalalguide.com/shop/detail/5397</x:v>
      </x:c>
    </x:row>
    <x:row r="335" ht="88" customHeight="1">
      <x:c r="A335" s="54" t="n">
        <x:v>327</x:v>
      </x:c>
      <x:c r="B335" s="20" t="str">
        <x:v>Crystal Hotel Hat Yai</x:v>
      </x:c>
      <x:c r="C335" s="20" t="str">
        <x:v>สงขลา</x:v>
      </x:c>
      <x:c r="D335" s="20" t="str">
        <x:v>ที่พัก</x:v>
      </x:c>
      <x:c r="E335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335" s="20" t="str">
        <x:v>มีข้อมูลระบุ แต่รอยืนยัน</x:v>
      </x:c>
      <x:c r="G335" s="20" t="str">
        <x:v>ทะเบียน GMHI 4 ดาว; ช่องใบรับรอง: GMHI; ยังต้องยืนยันใบรับรองอาหารฮาลาลและวันหมดอายุแยกต่างหาก</x:v>
      </x:c>
      <x:c r="H335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335" s="20" t="str">
        <x:v>4 Soi 27, Kanchanawanit Road, Kho Hong Subdistrict, Hat Yai District, Songkhla 90110</x:v>
      </x:c>
      <x:c r="J335" s="21" t="str">
        <x:v>ยังไม่พบหรือยังไม่ยืนยัน</x:v>
      </x:c>
      <x:c r="K335" s="51" t="str">
        <x:v>https://gmhi.co/th-th/services/Crystal%20Hotel%20Hat%20Yai-3</x:v>
      </x:c>
      <x:c r="L335" s="51" t="str">
        <x:v>https://www.crystalhotelhatyai.com/contact-us.html</x:v>
      </x:c>
      <x:c r="M335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335" s="28" t="n">
        <x:v>46315</x:v>
      </x:c>
      <x:c r="O335" s="57" t="str">
        <x:v>ยังไม่ตรวจ</x:v>
      </x:c>
      <x:c r="P335" s="57" t="str">
        <x:v>ยังไม่ติดต่อ</x:v>
      </x:c>
      <x:c r="Q335" s="20" t="str">
        <x:v>GMHI-3</x:v>
      </x:c>
      <x:c r="R335" s="20" t="str">
        <x:v>Crystal Hotel Hat Yai</x:v>
      </x:c>
      <x:c r="S335" s="20" t="str"/>
      <x:c r="T335" s="20" t="str">
        <x:v>https://gmhi.co/th-th/services/Crystal%20Hotel%20Hat%20Yai-3</x:v>
      </x:c>
      <x:c r="U335" s="20" t="str"/>
      <x:c r="V335" s="20" t="str"/>
      <x:c r="W335" s="20" t="str"/>
      <x:c r="X335" s="20" t="str"/>
      <x:c r="Y335" s="20" t="str">
        <x:v>https://www.google.com/maps/search/?api=1&amp;query=Crystal%20Hotel%20Hat%20Yai%20%E0%B8%AA%E0%B8%87%E0%B8%82%E0%B8%A5%E0%B8%B2</x:v>
      </x:c>
      <x:c r="Z335" s="56" t="n">
        <x:v>6.9917191</x:v>
      </x:c>
      <x:c r="AA335" s="56" t="n">
        <x:v>100.4853914</x:v>
      </x:c>
      <x:c r="AB335" s="57" t="str"/>
      <x:c r="AC335" s="20" t="str">
        <x:v>https://gmhi.co/th-th/services/Crystal%20Hotel%20Hat%20Yai-3</x:v>
      </x:c>
    </x:row>
    <x:row r="336" ht="88" customHeight="1">
      <x:c r="A336" s="54" t="n">
        <x:v>328</x:v>
      </x:c>
      <x:c r="B336" s="20" t="str">
        <x:v>The signature hotel airport</x:v>
      </x:c>
      <x:c r="C336" s="20" t="str">
        <x:v>สงขลา</x:v>
      </x:c>
      <x:c r="D336" s="20" t="str">
        <x:v>ที่พัก</x:v>
      </x:c>
      <x:c r="E336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336" s="20" t="str">
        <x:v>มีข้อมูลระบุ แต่รอยืนยัน</x:v>
      </x:c>
      <x:c r="G336" s="20" t="str">
        <x:v>ทะเบียน GMHI 4 ดาว; ช่องใบรับรอง: GMHI; ยังต้องยืนยันใบรับรองอาหารฮาลาลและวันหมดอายุแยกต่างหาก</x:v>
      </x:c>
      <x:c r="H336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336" s="20" t="str">
        <x:v>2447 Moo 6, Airport - Lopburi Ramesuan Tumboon Khuan Lang, Hatyai, Songkhla 90110, Hat Yai International Airport, Hat Yai, Thailand, 90110</x:v>
      </x:c>
      <x:c r="J336" s="21" t="str">
        <x:v>ยังไม่พบหรือยังไม่ยืนยัน</x:v>
      </x:c>
      <x:c r="K336" s="51" t="str">
        <x:v>https://gmhi.co/th-th/services/The%20signature%20hotel%20airport-20</x:v>
      </x:c>
      <x:c r="L336" s="51" t="str">
        <x:v>https://www.tripadvisor.com/Hotel_Review-g297921-d23453920-Reviews-The_Signature_Hotel_Airport-Hat_Yai_Hat_Yai_District_Songkhla_Province.html</x:v>
      </x:c>
      <x:c r="M336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336" s="28" t="n">
        <x:v>46315</x:v>
      </x:c>
      <x:c r="O336" s="57" t="str">
        <x:v>ยังไม่ตรวจ</x:v>
      </x:c>
      <x:c r="P336" s="57" t="str">
        <x:v>ยังไม่ติดต่อ</x:v>
      </x:c>
      <x:c r="Q336" s="20" t="str">
        <x:v>GMHI-20</x:v>
      </x:c>
      <x:c r="R336" s="20" t="str">
        <x:v>The signature hotel airport</x:v>
      </x:c>
      <x:c r="S336" s="20" t="str"/>
      <x:c r="T336" s="20" t="str">
        <x:v>https://gmhi.co/th-th/services/The%20signature%20hotel%20airport-20</x:v>
      </x:c>
      <x:c r="U336" s="20" t="str"/>
      <x:c r="V336" s="20" t="str"/>
      <x:c r="W336" s="20" t="str"/>
      <x:c r="X336" s="20" t="str"/>
      <x:c r="Y336" s="20" t="str">
        <x:v>https://www.google.com/maps/search/?api=1&amp;query=The%20signature%20hotel%20airport%20%E0%B8%AA%E0%B8%87%E0%B8%82%E0%B8%A5%E0%B8%B2</x:v>
      </x:c>
      <x:c r="Z336" s="56" t="n">
        <x:v>6.9403621</x:v>
      </x:c>
      <x:c r="AA336" s="56" t="n">
        <x:v>100.4039088</x:v>
      </x:c>
      <x:c r="AB336" s="57" t="str"/>
      <x:c r="AC336" s="20" t="str">
        <x:v>https://gmhi.co/th-th/services/The%20signature%20hotel%20airport-20</x:v>
      </x:c>
    </x:row>
    <x:row r="337" ht="88" customHeight="1">
      <x:c r="A337" s="54" t="n">
        <x:v>329</x:v>
      </x:c>
      <x:c r="B337" s="20" t="str">
        <x:v>โรงแรม บี.พี. แกรนด์ทาวเวอร์</x:v>
      </x:c>
      <x:c r="C337" s="20" t="str">
        <x:v>สงขลา</x:v>
      </x:c>
      <x:c r="D337" s="20" t="str">
        <x:v>โรงแรมหรือรีสอร์ท</x:v>
      </x:c>
      <x:c r="E337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37" s="20" t="str">
        <x:v>ไม่ทราบ</x:v>
      </x:c>
      <x:c r="G337" s="20" t="str">
        <x:v>ยังไม่พบเอกสารรับรองและวันหมดอายุ</x:v>
      </x:c>
      <x:c r="H337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37" s="20" t="str">
        <x:v>74 ถนนเสน่หานุสรณ์ ตำบลหาดใหญ่ อำเภอหาดใหญ่ จังหวัดสงขลา 90110 ตำบลหาดใหญ่ อำเภอหาดใหญ่ จังหวัดสงขลา 90110</x:v>
      </x:c>
      <x:c r="J337" s="21" t="str">
        <x:v>074-355655</x:v>
      </x:c>
      <x:c r="K337" s="51" t="str">
        <x:v>https://www.thic.or.th/th/tourist/detail/accommodation/215</x:v>
      </x:c>
      <x:c r="L337" s="51" t="str">
        <x:v>https://th.tripadvisor.com/Hotel_Review-g297921-d1230765-Reviews-BP_Grand_Tower_Hotel-Hat_Yai_Songkhla_Province.html</x:v>
      </x:c>
      <x:c r="M337" s="20" t="str">
        <x:v>ผลค้นหาชื่อสัมพันธ์จากแหล่งเพิ่มเติม ต้องยืนยันสาขาและข้อมูลปัจจุบัน</x:v>
      </x:c>
      <x:c r="N337" s="28" t="n">
        <x:v>46315</x:v>
      </x:c>
      <x:c r="O337" s="57" t="str">
        <x:v>ยังไม่ตรวจ</x:v>
      </x:c>
      <x:c r="P337" s="57" t="str">
        <x:v>ยังไม่ติดต่อ</x:v>
      </x:c>
      <x:c r="Q337" s="20" t="str">
        <x:v>TMF-394</x:v>
      </x:c>
      <x:c r="R337" s="20" t="str"/>
      <x:c r="S337" s="20" t="str"/>
      <x:c r="T337" s="20" t="str">
        <x:v>https://www.thic.or.th/th/tourist/detail/accommodation/215</x:v>
      </x:c>
      <x:c r="U337" s="20" t="str"/>
      <x:c r="V337" s="20" t="str"/>
      <x:c r="W337" s="20" t="str"/>
      <x:c r="X337" s="20" t="str"/>
      <x:c r="Y337" s="20" t="str">
        <x:v>https://www.google.com/maps/search/?api=1&amp;query=%E0%B9%82%E0%B8%A3%E0%B8%87%E0%B9%81%E0%B8%A3%E0%B8%A1%20%E0%B8%9A%E0%B8%B5.%E0%B8%9E%E0%B8%B5.%20%E0%B9%81%E0%B8%81%E0%B8%A3%E0%B8%99%E0%B8%94%E0%B9%8C%E0%B8%97%E0%B8%B2%E0%B8%A7%E0%B9%80%E0%B8%A7%E0%B8%AD%E0%B8%A3%E0%B9%8C%20%E0%B8%AA%E0%B8%87%E0%B8%82%E0%B8%A5%E0%B8%B2</x:v>
      </x:c>
      <x:c r="Z337" s="56" t="n">
        <x:v>7.002284</x:v>
      </x:c>
      <x:c r="AA337" s="56" t="n">
        <x:v>100.469671</x:v>
      </x:c>
      <x:c r="AB337" s="57" t="str"/>
      <x:c r="AC337" s="20" t="str">
        <x:v>https://www.thic.or.th/th/tourist/detail/accommodation/215</x:v>
      </x:c>
    </x:row>
    <x:row r="338" ht="88" customHeight="1">
      <x:c r="A338" s="54" t="n">
        <x:v>330</x:v>
      </x:c>
      <x:c r="B338" s="20" t="str">
        <x:v>โรงแรม หรรษา เจบี</x:v>
      </x:c>
      <x:c r="C338" s="20" t="str">
        <x:v>สงขลา</x:v>
      </x:c>
      <x:c r="D338" s="20" t="str">
        <x:v>โรงแรมหรือรีสอร์ท</x:v>
      </x:c>
      <x:c r="E338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38" s="20" t="str">
        <x:v>ไม่ทราบ</x:v>
      </x:c>
      <x:c r="G338" s="20" t="str">
        <x:v>ยังไม่พบเอกสารรับรองและวันหมดอายุ</x:v>
      </x:c>
      <x:c r="H338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38" s="20" t="str">
        <x:v>99 ถนนจุติอนุสรณ์ ตำบลหาดใหญ่ อำเภอหาดใหญ่ จังหวัดสงขลา 90110 ตำบลหาดใหญ่ อำเภอหาดใหญ่ จังหวัดสงขลา 90110</x:v>
      </x:c>
      <x:c r="J338" s="21" t="str">
        <x:v>074-234301-9</x:v>
      </x:c>
      <x:c r="K338" s="51" t="str">
        <x:v>https://www.thic.or.th/th/tourist/detail/accommodation/214</x:v>
      </x:c>
      <x:c r="L338" s="51" t="str">
        <x:v>https://th.trip.com/hotels/hat-yai-hotel-detail-1512414/hansa-jb-hotel-hatyai/review.html</x:v>
      </x:c>
      <x:c r="M338" s="20" t="str">
        <x:v>ผลค้นหาชื่อสัมพันธ์จากแหล่งเพิ่มเติม ต้องยืนยันสาขาและข้อมูลปัจจุบัน</x:v>
      </x:c>
      <x:c r="N338" s="28" t="n">
        <x:v>46315</x:v>
      </x:c>
      <x:c r="O338" s="57" t="str">
        <x:v>ยังไม่ตรวจ</x:v>
      </x:c>
      <x:c r="P338" s="57" t="str">
        <x:v>ยังไม่ติดต่อ</x:v>
      </x:c>
      <x:c r="Q338" s="20" t="str">
        <x:v>TMF-395</x:v>
      </x:c>
      <x:c r="R338" s="20" t="str"/>
      <x:c r="S338" s="20" t="str"/>
      <x:c r="T338" s="20" t="str">
        <x:v>https://www.thic.or.th/th/tourist/detail/accommodation/214</x:v>
      </x:c>
      <x:c r="U338" s="20" t="str"/>
      <x:c r="V338" s="20" t="str"/>
      <x:c r="W338" s="20" t="str"/>
      <x:c r="X338" s="20" t="str"/>
      <x:c r="Y338" s="20" t="str">
        <x:v>https://www.google.com/maps/search/?api=1&amp;query=%E0%B9%82%E0%B8%A3%E0%B8%87%E0%B9%81%E0%B8%A3%E0%B8%A1%20%E0%B8%AB%E0%B8%A3%E0%B8%A3%E0%B8%A9%E0%B8%B2%20%E0%B9%80%E0%B8%88%E0%B8%9A%E0%B8%B5%20%E0%B8%AA%E0%B8%87%E0%B8%82%E0%B8%A5%E0%B8%B2</x:v>
      </x:c>
      <x:c r="Z338" s="56" t="n">
        <x:v>7.013376</x:v>
      </x:c>
      <x:c r="AA338" s="56" t="n">
        <x:v>100.473112</x:v>
      </x:c>
      <x:c r="AB338" s="57" t="str"/>
      <x:c r="AC338" s="20" t="str">
        <x:v>https://www.thic.or.th/th/tourist/detail/accommodation/214</x:v>
      </x:c>
    </x:row>
    <x:row r="339" ht="88" customHeight="1">
      <x:c r="A339" s="54" t="n">
        <x:v>331</x:v>
      </x:c>
      <x:c r="B339" s="20" t="str">
        <x:v>โรงแรมญันนะตีย์</x:v>
      </x:c>
      <x:c r="C339" s="20" t="str">
        <x:v>สงขลา</x:v>
      </x:c>
      <x:c r="D339" s="20" t="str">
        <x:v>โรงแรมหรือรีสอร์ท</x:v>
      </x:c>
      <x:c r="E339" s="20" t="str">
        <x:v>Makan Verify; ระบุมีห้องละหมาด</x:v>
      </x:c>
      <x:c r="F339" s="20" t="str">
        <x:v>มีข้อมูลระบุ แต่รอยืนยัน</x:v>
      </x:c>
      <x:c r="G339" s="20" t="str">
        <x:v>ยังไม่พบเอกสารรับรองและวันหมดอายุ</x:v>
      </x:c>
      <x:c r="H33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39" s="20" t="str">
        <x:v>186 ถนน นิพัทธ์อุทิศ ๓ ตำบล หาดใหญ่ อำเภอหาดใหญ่ สงขลา 90110</x:v>
      </x:c>
      <x:c r="J339" s="21" t="str">
        <x:v>074355700</x:v>
      </x:c>
      <x:c r="K339" s="51" t="str">
        <x:v>https://makanhalalguide.com/shop/detail/5396</x:v>
      </x:c>
      <x:c r="L339" s="51" t="str">
        <x:v>https://www.google.co.th/travel/hotels/entity/ChkIxbmqhYqO3usVGg0vZy8xMWgwa3Qya215EAE?rp=OAHCAhwiGg0AAAxCEhMInrfmlbeplgMVrz2tBh0i0xKB&amp;ts=CAEaIAoCGgASGhIUCgcI6g8QCRgHEgcI6g8QCRgIGAEyAhAAKgkKBToDVVNEGgA</x:v>
      </x:c>
      <x:c r="M339" s="20" t="str">
        <x:v>ผลค้นหาชื่อสัมพันธ์จากแหล่งเพิ่มเติม ต้องยืนยันสาขาและข้อมูลปัจจุบัน</x:v>
      </x:c>
      <x:c r="N339" s="28" t="n">
        <x:v>46315</x:v>
      </x:c>
      <x:c r="O339" s="57" t="str">
        <x:v>ยังไม่ตรวจ</x:v>
      </x:c>
      <x:c r="P339" s="57" t="str">
        <x:v>ยังไม่ติดต่อ</x:v>
      </x:c>
      <x:c r="Q339" s="20" t="str">
        <x:v>TMF-215</x:v>
      </x:c>
      <x:c r="R339" s="20" t="str"/>
      <x:c r="S339" s="20" t="str"/>
      <x:c r="T339" s="20" t="str">
        <x:v>https://makanhalalguide.com/shop/detail/5396</x:v>
      </x:c>
      <x:c r="U339" s="20" t="str"/>
      <x:c r="V339" s="20" t="str"/>
      <x:c r="W339" s="20" t="str"/>
      <x:c r="X339" s="20" t="str"/>
      <x:c r="Y339" s="20" t="str">
        <x:v>https://www.google.com/maps/search/?api=1&amp;query=%E0%B9%82%E0%B8%A3%E0%B8%87%E0%B9%81%E0%B8%A3%E0%B8%A1%E0%B8%8D%E0%B8%B1%E0%B8%99%E0%B8%99%E0%B8%B0%E0%B8%95%E0%B8%B5%E0%B8%A2%E0%B9%8C%20%E0%B8%AA%E0%B8%87%E0%B8%82%E0%B8%A5%E0%B8%B2</x:v>
      </x:c>
      <x:c r="Z339" s="56" t="n">
        <x:v>7.000747</x:v>
      </x:c>
      <x:c r="AA339" s="56" t="n">
        <x:v>100.47092</x:v>
      </x:c>
      <x:c r="AB339" s="57" t="str"/>
      <x:c r="AC339" s="20" t="str">
        <x:v>https://makanhalalguide.com/shop/detail/5396</x:v>
      </x:c>
    </x:row>
    <x:row r="340" ht="88" customHeight="1">
      <x:c r="A340" s="54" t="n">
        <x:v>332</x:v>
      </x:c>
      <x:c r="B340" s="20" t="str">
        <x:v>โรงแรมหาดแก้ว รีสอร์ท สงขลา</x:v>
      </x:c>
      <x:c r="C340" s="20" t="str">
        <x:v>สงขลา</x:v>
      </x:c>
      <x:c r="D340" s="20" t="str">
        <x:v>โรงแรมหรือรีสอร์ท</x:v>
      </x:c>
      <x:c r="E340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40" s="20" t="str">
        <x:v>ไม่ทราบ</x:v>
      </x:c>
      <x:c r="G340" s="20" t="str">
        <x:v>ยังไม่พบเอกสารรับรองและวันหมดอายุ</x:v>
      </x:c>
      <x:c r="H340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40" s="20" t="str">
        <x:v>163 ม.1 ตำบลชิงโค อำเภอสิงหนคร จังหวัดสงขลา 90280 ตำบลชิงโค อำเภอสิงหนคร จังหวัดสงขลา 90280</x:v>
      </x:c>
      <x:c r="J340" s="21" t="str">
        <x:v>081-2754700</x:v>
      </x:c>
      <x:c r="K340" s="51" t="str">
        <x:v>https://www.thic.or.th/th/tourist/detail/accommodation/202</x:v>
      </x:c>
      <x:c r="L340" s="51" t="str">
        <x:v>https://www.thaithurkic.com/%E0%B9%82%E0%B8%A3%E0%B8%87%E0%B9%81%E0%B8%A3%E0%B8%A1%E0%B8%AB%E0%B8%B2%E0%B8%94%E0%B9%81%E0%B8%81%E0%B9%89%E0%B8%A7%E0%B8%A3%E0%B8%B5%E0%B8%AA%E0%B8%AD%E0%B8%A3%E0%B9%8C%E0%B8%97-%E0%B8%AA%E0%B8%87%E0%B8%82%E0%B8%A5%E0%B8%B2_13-089-738-1079</x:v>
      </x:c>
      <x:c r="M340" s="20" t="str">
        <x:v>ผลค้นหาชื่อสัมพันธ์จากแหล่งเพิ่มเติม ต้องยืนยันสาขาและข้อมูลปัจจุบัน</x:v>
      </x:c>
      <x:c r="N340" s="28" t="n">
        <x:v>46315</x:v>
      </x:c>
      <x:c r="O340" s="57" t="str">
        <x:v>ยังไม่ตรวจ</x:v>
      </x:c>
      <x:c r="P340" s="57" t="str">
        <x:v>ยังไม่ติดต่อ</x:v>
      </x:c>
      <x:c r="Q340" s="20" t="str">
        <x:v>TMF-396</x:v>
      </x:c>
      <x:c r="R340" s="20" t="str"/>
      <x:c r="S340" s="20" t="str"/>
      <x:c r="T340" s="20" t="str">
        <x:v>https://www.thic.or.th/th/tourist/detail/accommodation/202</x:v>
      </x:c>
      <x:c r="U340" s="20" t="str"/>
      <x:c r="V340" s="20" t="str"/>
      <x:c r="W340" s="20" t="str"/>
      <x:c r="X340" s="20" t="str"/>
      <x:c r="Y340" s="20" t="str">
        <x:v>https://www.google.com/maps/search/?api=1&amp;query=%E0%B9%82%E0%B8%A3%E0%B8%87%E0%B9%81%E0%B8%A3%E0%B8%A1%E0%B8%AB%E0%B8%B2%E0%B8%94%E0%B9%81%E0%B8%81%E0%B9%89%E0%B8%A7%20%E0%B8%A3%E0%B8%B5%E0%B8%AA%E0%B8%AD%E0%B8%A3%E0%B9%8C%E0%B8%97%20%E0%B8%AA%E0%B8%87%E0%B8%82%E0%B8%A5%E0%B8%B2%20%E0%B8%AA%E0%B8%87%E0%B8%82%E0%B8%A5%E0%B8%B2</x:v>
      </x:c>
      <x:c r="Z340" s="56" t="n">
        <x:v>7.253332</x:v>
      </x:c>
      <x:c r="AA340" s="56" t="n">
        <x:v>100.548943</x:v>
      </x:c>
      <x:c r="AB340" s="57" t="str"/>
      <x:c r="AC340" s="20" t="str">
        <x:v>https://www.thic.or.th/th/tourist/detail/accommodation/202</x:v>
      </x:c>
    </x:row>
    <x:row r="341" ht="88" customHeight="1">
      <x:c r="A341" s="54" t="n">
        <x:v>333</x:v>
      </x:c>
      <x:c r="B341" s="20" t="str">
        <x:v>โรงแรมเซาท์เทอร์น แอร์พอร์ต</x:v>
      </x:c>
      <x:c r="C341" s="20" t="str">
        <x:v>สงขลา</x:v>
      </x:c>
      <x:c r="D341" s="20" t="str">
        <x:v>โรงแรมหรือรีสอร์ท</x:v>
      </x:c>
      <x:c r="E341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41" s="20" t="str">
        <x:v>ไม่ทราบ</x:v>
      </x:c>
      <x:c r="G341" s="20" t="str">
        <x:v>ยังไม่พบเอกสารรับรองและวันหมดอายุ</x:v>
      </x:c>
      <x:c r="H341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41" s="20" t="str">
        <x:v>2129 หมู่ 6 ถ.สนามบิน-ลพบุรีราเมศวร์ ตำบลควนลัง อำเภอหาดใหญ่ จังหวัดสงขลา 90110 ตำบลควนลัง อำเภอหาดใหญ่ จังหวัดสงขลา 90110</x:v>
      </x:c>
      <x:c r="J341" s="21" t="str">
        <x:v>074 802 038</x:v>
      </x:c>
      <x:c r="K341" s="51" t="str">
        <x:v>https://www.thic.or.th/th/tourist/detail/accommodation/208</x:v>
      </x:c>
      <x:c r="L341" s="51" t="str">
        <x:v>https://www.lemon8-app.com/%40hellosongkhla/7619262329806111253?region=us</x:v>
      </x:c>
      <x:c r="M341" s="20" t="str">
        <x:v>ผลค้นหาชื่อสัมพันธ์จากแหล่งเพิ่มเติม ต้องยืนยันสาขาและข้อมูลปัจจุบัน</x:v>
      </x:c>
      <x:c r="N341" s="28" t="n">
        <x:v>46315</x:v>
      </x:c>
      <x:c r="O341" s="57" t="str">
        <x:v>ยังไม่ตรวจ</x:v>
      </x:c>
      <x:c r="P341" s="57" t="str">
        <x:v>ยังไม่ติดต่อ</x:v>
      </x:c>
      <x:c r="Q341" s="20" t="str">
        <x:v>TMF-397</x:v>
      </x:c>
      <x:c r="R341" s="20" t="str"/>
      <x:c r="S341" s="20" t="str"/>
      <x:c r="T341" s="20" t="str">
        <x:v>https://www.thic.or.th/th/tourist/detail/accommodation/208</x:v>
      </x:c>
      <x:c r="U341" s="20" t="str"/>
      <x:c r="V341" s="20" t="str"/>
      <x:c r="W341" s="20" t="str"/>
      <x:c r="X341" s="20" t="str"/>
      <x:c r="Y341" s="20" t="str">
        <x:v>https://www.google.com/maps/search/?api=1&amp;query=%E0%B9%82%E0%B8%A3%E0%B8%87%E0%B9%81%E0%B8%A3%E0%B8%A1%E0%B9%80%E0%B8%8B%E0%B8%B2%E0%B8%97%E0%B9%8C%E0%B9%80%E0%B8%97%E0%B8%AD%E0%B8%A3%E0%B9%8C%E0%B8%99%20%E0%B9%81%E0%B8%AD%E0%B8%A3%E0%B9%8C%E0%B8%9E%E0%B8%AD%E0%B8%A3%E0%B9%8C%E0%B8%95%20%E0%B8%AA%E0%B8%87%E0%B8%82%E0%B8%A5%E0%B8%B2</x:v>
      </x:c>
      <x:c r="Z341" s="56" t="n">
        <x:v>6.946423</x:v>
      </x:c>
      <x:c r="AA341" s="56" t="n">
        <x:v>100.409773</x:v>
      </x:c>
      <x:c r="AB341" s="57" t="str"/>
      <x:c r="AC341" s="20" t="str">
        <x:v>https://www.thic.or.th/th/tourist/detail/accommodation/208</x:v>
      </x:c>
    </x:row>
    <x:row r="342" ht="88" customHeight="1">
      <x:c r="A342" s="54" t="n">
        <x:v>334</x:v>
      </x:c>
      <x:c r="B342" s="20" t="str">
        <x:v>AYAMCHON HATYAI</x:v>
      </x:c>
      <x:c r="C342" s="20" t="str">
        <x:v>สงขลา</x:v>
      </x:c>
      <x:c r="D342" s="20" t="str">
        <x:v>ร้านอาหาร</x:v>
      </x:c>
      <x:c r="E342" s="20" t="str">
        <x:v>Makan Verify; ช่องห้องละหมาดไม่ได้ทำเครื่องหมายว่ามี</x:v>
      </x:c>
      <x:c r="F342" s="20" t="str">
        <x:v>แหล่งเดิมไม่ระบุว่ามี</x:v>
      </x:c>
      <x:c r="G342" s="20" t="str">
        <x:v>ยังไม่พบเอกสารรับรองและวันหมดอายุ</x:v>
      </x:c>
      <x:c r="H342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342" s="20" t="str">
        <x:v>555 ถนน ศุภสารรังสรรค์ ตำบล หาดใหญ่ อำเภอหาดใหญ่ สงขลา 90110</x:v>
      </x:c>
      <x:c r="J342" s="21" t="str">
        <x:v>0829615458</x:v>
      </x:c>
      <x:c r="K342" s="51" t="str">
        <x:v>https://makanhalalguide.com/shop/detail/5612</x:v>
      </x:c>
      <x:c r="L342" s="51" t="str">
        <x:v>https://www.wongnai.com/restaurants/2984951qD-ayamchon-%E0%B8%8A%E0%B9%88%E0%B8%AD%E0%B8%87%E0%B9%80%E0%B8%82%E0%B8%B2-%E0%B8%AB%E0%B8%B2%E0%B8%94%E0%B9%83%E0%B8%AB%E0%B8%8D%E0%B9%88?_st=cD0xMzY7Yj0yOTg0OTUxO2FkPWZhbHNlO3Q9MTc4MDI5ODEyMzg4OTtyaT0xWDdiWVUzeVN3ZmRuak9GcXJicVBOcFNYMVphbHY7aT0xWDcxMW5wWXhycFNqeVVqd2pBR1E3MlJscHNTbWY7d3JlZj1zcjs%3D</x:v>
      </x:c>
      <x:c r="M342" s="20" t="str">
        <x:v>ผลค้นหาชื่อสัมพันธ์จากแหล่งเพิ่มเติม ต้องยืนยันสาขาและข้อมูลปัจจุบัน</x:v>
      </x:c>
      <x:c r="N342" s="28" t="n">
        <x:v>46315</x:v>
      </x:c>
      <x:c r="O342" s="57" t="str">
        <x:v>ยังไม่ตรวจ</x:v>
      </x:c>
      <x:c r="P342" s="57" t="str">
        <x:v>ยังไม่ติดต่อ</x:v>
      </x:c>
      <x:c r="Q342" s="20" t="str">
        <x:v>TMF-398</x:v>
      </x:c>
      <x:c r="R342" s="20" t="str">
        <x:v>AYAMCHON HATYAI</x:v>
      </x:c>
      <x:c r="S342" s="20" t="str"/>
      <x:c r="T342" s="20" t="str">
        <x:v>https://makanhalalguide.com/shop/detail/5612</x:v>
      </x:c>
      <x:c r="U342" s="20" t="str"/>
      <x:c r="V342" s="20" t="str"/>
      <x:c r="W342" s="20" t="str"/>
      <x:c r="X342" s="20" t="str"/>
      <x:c r="Y342" s="20" t="str">
        <x:v>https://www.google.com/maps/search/?api=1&amp;query=AYAMCHON%20HATYAI%20%E0%B8%AA%E0%B8%87%E0%B8%82%E0%B8%A5%E0%B8%B2</x:v>
      </x:c>
      <x:c r="Z342" s="56" t="n">
        <x:v>7.009083</x:v>
      </x:c>
      <x:c r="AA342" s="56" t="n">
        <x:v>100.486215</x:v>
      </x:c>
      <x:c r="AB342" s="57" t="str"/>
      <x:c r="AC342" s="20" t="str">
        <x:v>https://makanhalalguide.com/shop/detail/5612</x:v>
      </x:c>
    </x:row>
    <x:row r="343" ht="88" customHeight="1">
      <x:c r="A343" s="54" t="n">
        <x:v>335</x:v>
      </x:c>
      <x:c r="B343" s="20" t="str">
        <x:v>Eat time อีทไทม์ - Halal food</x:v>
      </x:c>
      <x:c r="C343" s="20" t="str">
        <x:v>สงขลา</x:v>
      </x:c>
      <x:c r="D343" s="20" t="str">
        <x:v>ร้านอาหาร</x:v>
      </x:c>
      <x:c r="E343" s="20" t="str">
        <x:v>มีรายชื่อใน Makan Halal Guide; ระบุมีห้องละหมาด</x:v>
      </x:c>
      <x:c r="F343" s="20" t="str">
        <x:v>มีข้อมูลระบุ แต่รอยืนยัน</x:v>
      </x:c>
      <x:c r="G343" s="20" t="str">
        <x:v>ยังไม่พบเอกสารรับรองและวันหมดอายุ</x:v>
      </x:c>
      <x:c r="H34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43" s="20" t="str">
        <x:v>360 หมู่ที่ 11 ท่าช้าง ตำบล ท่าช้าง อำเภอบางกล่ำ สงขลา 90110</x:v>
      </x:c>
      <x:c r="J343" s="21" t="str">
        <x:v>0817383301</x:v>
      </x:c>
      <x:c r="K343" s="51" t="str">
        <x:v>https://makanhalalguide.com/shop/detail/5423</x:v>
      </x:c>
      <x:c r="L343" s="51" t="str">
        <x:v>https://www.wongnai.com/restaurants/3060019WK-eat-time-halal-food-1</x:v>
      </x:c>
      <x:c r="M343" s="20" t="str">
        <x:v>ผลค้นหาชื่อสัมพันธ์จากแหล่งเพิ่มเติม ต้องยืนยันสาขาและข้อมูลปัจจุบัน</x:v>
      </x:c>
      <x:c r="N343" s="28" t="n">
        <x:v>46315</x:v>
      </x:c>
      <x:c r="O343" s="57" t="str">
        <x:v>ยังไม่ตรวจ</x:v>
      </x:c>
      <x:c r="P343" s="57" t="str">
        <x:v>ยังไม่ติดต่อ</x:v>
      </x:c>
      <x:c r="Q343" s="20" t="str">
        <x:v>TMF-216</x:v>
      </x:c>
      <x:c r="R343" s="20" t="str"/>
      <x:c r="S343" s="20" t="str"/>
      <x:c r="T343" s="20" t="str">
        <x:v>https://makanhalalguide.com/shop/detail/5423</x:v>
      </x:c>
      <x:c r="U343" s="20" t="str"/>
      <x:c r="V343" s="20" t="str"/>
      <x:c r="W343" s="20" t="str"/>
      <x:c r="X343" s="20" t="str"/>
      <x:c r="Y343" s="20" t="str">
        <x:v>https://www.google.com/maps/search/?api=1&amp;query=Eat%20time%20%E0%B8%AD%E0%B8%B5%E0%B8%97%E0%B9%84%E0%B8%97%E0%B8%A1%E0%B9%8C%20-%20Halal%20food%20%E0%B8%AA%E0%B8%87%E0%B8%82%E0%B8%A5%E0%B8%B2</x:v>
      </x:c>
      <x:c r="Z343" s="56" t="n">
        <x:v>7.023009</x:v>
      </x:c>
      <x:c r="AA343" s="56" t="n">
        <x:v>100.4489</x:v>
      </x:c>
      <x:c r="AB343" s="57" t="str"/>
      <x:c r="AC343" s="20" t="str">
        <x:v>https://makanhalalguide.com/shop/detail/5423</x:v>
      </x:c>
    </x:row>
    <x:row r="344" ht="88" customHeight="1">
      <x:c r="A344" s="54" t="n">
        <x:v>336</x:v>
      </x:c>
      <x:c r="B344" s="20" t="str">
        <x:v>Nikudake Halal Wagyu Sukiyaki</x:v>
      </x:c>
      <x:c r="C344" s="20" t="str">
        <x:v>สงขลา</x:v>
      </x:c>
      <x:c r="D344" s="20" t="str">
        <x:v>ร้านอาหารและคาเฟ่</x:v>
      </x:c>
      <x:c r="E344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344" s="20" t="str">
        <x:v>มีข้อมูลระบุ แต่รอยืนยัน</x:v>
      </x:c>
      <x:c r="G344" s="20" t="str">
        <x:v>ทะเบียน GMHI 6 ดาว; ช่องใบรับรอง: GMHI; ยังต้องยืนยันใบรับรองอาหารฮาลาลและวันหมดอายุแยกต่างหาก / ชื่อตรงกับรายการ</x:v>
      </x:c>
      <x:c r="H344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344" s="20" t="str">
        <x:v>478 Suphasan Rangsan Road, Hat Yai, Hat Yai District, Songkhla 90110, Thailand</x:v>
      </x:c>
      <x:c r="J344" s="21" t="str">
        <x:v>ยังไม่พบหรือยังไม่ยืนยัน</x:v>
      </x:c>
      <x:c r="K344" s="51" t="str">
        <x:v>https://gmhi.co/th-th/services/Nikudake%20Halal%20Wagyu%20Sukiyaki-48</x:v>
      </x:c>
      <x:c r="L344" s="51" t="str">
        <x:v>https://www.wongnai.com/restaurants/3188830oR-nikudake-halal-wagyu-sukiyaki-hatyai</x:v>
      </x:c>
      <x:c r="M344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344" s="28" t="n">
        <x:v>46315</x:v>
      </x:c>
      <x:c r="O344" s="57" t="str">
        <x:v>ยังไม่ตรวจ</x:v>
      </x:c>
      <x:c r="P344" s="57" t="str">
        <x:v>ยังไม่ติดต่อ</x:v>
      </x:c>
      <x:c r="Q344" s="20" t="str">
        <x:v>GMHI-48</x:v>
      </x:c>
      <x:c r="R344" s="20" t="str">
        <x:v>Nikudake Halal Wagyu Sukiyaki</x:v>
      </x:c>
      <x:c r="S344" s="20" t="str"/>
      <x:c r="T344" s="20" t="str">
        <x:v>https://gmhi.co/th-th/services/Nikudake%20Halal%20Wagyu%20Sukiyaki-48</x:v>
      </x:c>
      <x:c r="U344" s="20" t="str"/>
      <x:c r="V344" s="20" t="str"/>
      <x:c r="W344" s="20" t="str"/>
      <x:c r="X344" s="20" t="str"/>
      <x:c r="Y344" s="20" t="str">
        <x:v>https://www.google.com/maps/search/?api=1&amp;query=Nikudake%20Halal%20Wagyu%20Sukiyaki%20%E0%B8%AA%E0%B8%87%E0%B8%82%E0%B8%A5%E0%B8%B2</x:v>
      </x:c>
      <x:c r="Z344" s="56" t="n">
        <x:v>7.0086636</x:v>
      </x:c>
      <x:c r="AA344" s="56" t="n">
        <x:v>100.4867215</x:v>
      </x:c>
      <x:c r="AB344" s="57" t="str"/>
      <x:c r="AC344" s="20" t="str">
        <x:v>https://gmhi.co/th-th/services/Nikudake%20Halal%20Wagyu%20Sukiyaki-48</x:v>
      </x:c>
    </x:row>
    <x:row r="345" ht="88" customHeight="1">
      <x:c r="A345" s="54" t="n">
        <x:v>337</x:v>
      </x:c>
      <x:c r="B345" s="20" t="str">
        <x:v>Ozone ลวกเส้นตำแซ่บหาดใหญ่</x:v>
      </x:c>
      <x:c r="C345" s="20" t="str">
        <x:v>สงขลา</x:v>
      </x:c>
      <x:c r="D345" s="20" t="str">
        <x:v>ร้านอาหาร</x:v>
      </x:c>
      <x:c r="E345" s="20" t="str">
        <x:v>มีรายชื่อใน Makan Halal Guide; ระบุมีห้องละหมาด</x:v>
      </x:c>
      <x:c r="F345" s="20" t="str">
        <x:v>มีข้อมูลระบุ แต่รอยืนยัน</x:v>
      </x:c>
      <x:c r="G345" s="20" t="str">
        <x:v>ยังไม่พบเอกสารรับรองและวันหมดอายุ</x:v>
      </x:c>
      <x:c r="H34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45" s="20" t="str">
        <x:v>140 89 อำเภอหาดใหญ่ สงขลา 90110</x:v>
      </x:c>
      <x:c r="J345" s="21" t="str">
        <x:v>0981477460</x:v>
      </x:c>
      <x:c r="K345" s="51" t="str">
        <x:v>https://makanhalalguide.com/shop/detail/5951</x:v>
      </x:c>
      <x:c r="L345" s="51" t="str">
        <x:v>https://www.ryoiireview.com/article/food-hatyai-thailand/</x:v>
      </x:c>
      <x:c r="M345" s="20" t="str">
        <x:v>ผลค้นหาชื่อสัมพันธ์จากแหล่งเพิ่มเติม ต้องยืนยันสาขาและข้อมูลปัจจุบัน</x:v>
      </x:c>
      <x:c r="N345" s="28" t="n">
        <x:v>46315</x:v>
      </x:c>
      <x:c r="O345" s="57" t="str">
        <x:v>ยังไม่ตรวจ</x:v>
      </x:c>
      <x:c r="P345" s="57" t="str">
        <x:v>ยังไม่ติดต่อ</x:v>
      </x:c>
      <x:c r="Q345" s="20" t="str">
        <x:v>TMF-217</x:v>
      </x:c>
      <x:c r="R345" s="20" t="str"/>
      <x:c r="S345" s="20" t="str"/>
      <x:c r="T345" s="20" t="str">
        <x:v>https://makanhalalguide.com/shop/detail/5951</x:v>
      </x:c>
      <x:c r="U345" s="20" t="str"/>
      <x:c r="V345" s="20" t="str"/>
      <x:c r="W345" s="20" t="str"/>
      <x:c r="X345" s="20" t="str"/>
      <x:c r="Y345" s="20" t="str">
        <x:v>https://www.google.com/maps/search/?api=1&amp;query=Ozone%20%E0%B8%A5%E0%B8%A7%E0%B8%81%E0%B9%80%E0%B8%AA%E0%B9%89%E0%B8%99%E0%B8%95%E0%B8%B3%E0%B9%81%E0%B8%8B%E0%B9%88%E0%B8%9A%E0%B8%AB%E0%B8%B2%E0%B8%94%E0%B9%83%E0%B8%AB%E0%B8%8D%E0%B9%88%20%E0%B8%AA%E0%B8%87%E0%B8%82%E0%B8%A5%E0%B8%B2</x:v>
      </x:c>
      <x:c r="Z345" s="56" t="n">
        <x:v>7.031112</x:v>
      </x:c>
      <x:c r="AA345" s="56" t="n">
        <x:v>100.470159</x:v>
      </x:c>
      <x:c r="AB345" s="57" t="str"/>
      <x:c r="AC345" s="20" t="str">
        <x:v>https://makanhalalguide.com/shop/detail/5951</x:v>
      </x:c>
    </x:row>
    <x:row r="346" ht="88" customHeight="1">
      <x:c r="A346" s="54" t="n">
        <x:v>338</x:v>
      </x:c>
      <x:c r="B346" s="20" t="str">
        <x:v>PUN Chocolate</x:v>
      </x:c>
      <x:c r="C346" s="20" t="str">
        <x:v>สงขลา</x:v>
      </x:c>
      <x:c r="D346" s="20" t="str">
        <x:v>ร้านอาหารและคาเฟ่</x:v>
      </x:c>
      <x:c r="E346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</x:v>
      </x:c>
      <x:c r="F346" s="20" t="str">
        <x:v>แหล่งเดิมไม่ระบุว่ามี</x:v>
      </x:c>
      <x:c r="G346" s="20" t="str">
        <x:v>ทะเบียน GMHI 3 ดาว; ช่องใบรับรอง: GMHI; ยังต้องยืนยันใบรับรองอาหารฮาลาลและวันหมดอายุแยกต่างหาก</x:v>
      </x:c>
      <x:c r="H346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346" s="20" t="str">
        <x:v>Hat Yai District, Songkhla Province</x:v>
      </x:c>
      <x:c r="J346" s="21" t="str">
        <x:v>ยังไม่พบหรือยังไม่ยืนยัน</x:v>
      </x:c>
      <x:c r="K346" s="51" t="str">
        <x:v>https://gmhi.co/th-th/services/PUN%20Chocolate-7</x:v>
      </x:c>
      <x:c r="L346" s="51" t="str">
        <x:v>https://www.tasteatlas.com/pun-chocolate-dark-chocolate-72-cocoa-songkhla-origin</x:v>
      </x:c>
      <x:c r="M346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346" s="28" t="n">
        <x:v>46315</x:v>
      </x:c>
      <x:c r="O346" s="57" t="str">
        <x:v>ยังไม่ตรวจ</x:v>
      </x:c>
      <x:c r="P346" s="57" t="str">
        <x:v>ยังไม่ติดต่อ</x:v>
      </x:c>
      <x:c r="Q346" s="20" t="str">
        <x:v>GMHI-7</x:v>
      </x:c>
      <x:c r="R346" s="20" t="str">
        <x:v>PUN Chocolate</x:v>
      </x:c>
      <x:c r="S346" s="20" t="str"/>
      <x:c r="T346" s="20" t="str">
        <x:v>https://gmhi.co/th-th/services/PUN%20Chocolate-7</x:v>
      </x:c>
      <x:c r="U346" s="20" t="str"/>
      <x:c r="V346" s="20" t="str"/>
      <x:c r="W346" s="20" t="str"/>
      <x:c r="X346" s="20" t="str"/>
      <x:c r="Y346" s="20" t="str">
        <x:v>https://www.google.com/maps/search/?api=1&amp;query=PUN%20Chocolate%20%E0%B8%AA%E0%B8%87%E0%B8%82%E0%B8%A5%E0%B8%B2</x:v>
      </x:c>
      <x:c r="Z346" s="56" t="n">
        <x:v>7.0138159</x:v>
      </x:c>
      <x:c r="AA346" s="56" t="n">
        <x:v>100.4924622</x:v>
      </x:c>
      <x:c r="AB346" s="57" t="str"/>
      <x:c r="AC346" s="20" t="str">
        <x:v>https://gmhi.co/th-th/services/PUN%20Chocolate-7</x:v>
      </x:c>
    </x:row>
    <x:row r="347" ht="88" customHeight="1">
      <x:c r="A347" s="54" t="n">
        <x:v>339</x:v>
      </x:c>
      <x:c r="B347" s="20" t="str">
        <x:v>มิตรไมตรี dining café hatyai village</x:v>
      </x:c>
      <x:c r="C347" s="20" t="str">
        <x:v>สงขลา</x:v>
      </x:c>
      <x:c r="D347" s="20" t="str">
        <x:v>ร้านอาหารและคาเฟ่</x:v>
      </x:c>
      <x:c r="E347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347" s="20" t="str">
        <x:v>มีข้อมูลระบุ แต่รอยืนยัน</x:v>
      </x:c>
      <x:c r="G347" s="20" t="str">
        <x:v>ทะเบียน GMHI 7 ดาว; ช่องใบรับรอง: GMHI; ยังต้องยืนยันใบรับรองอาหารฮาลาลและวันหมดอายุแยกต่างหาก / ชื่อตรงกับรายการ แต่ระดับดาวต่างกัน</x:v>
      </x:c>
      <x:c r="H347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347" s="20" t="str">
        <x:v>538 Kanchanavanich Road, Kho Hong Subdistrict, Hat Yai District, Songkhla 90110, Thailand</x:v>
      </x:c>
      <x:c r="J347" s="21" t="str">
        <x:v>ยังไม่พบหรือยังไม่ยืนยัน</x:v>
      </x:c>
      <x:c r="K347" s="51" t="str">
        <x:v>https://gmhi.co/th-th/services/%E0%B8%A1%E0%B8%B4%E0%B8%95%E0%B8%A3%E0%B9%84%E0%B8%A1%E0%B8%95%E0%B8%A3%E0%B8%B5%20dining%20caf%C3%A9%20hatyai%20village-54</x:v>
      </x:c>
      <x:c r="L347" s="51" t="str">
        <x:v>https://www.havehalalwilltravel.com/halal-restaurants/detail/%E0%B8%A1%E0%B8%95%E0%B8%A3%E0%B9%84%E0%B8%A1%E0%B8%95%E0%B8%A3-dining-caf%C3%A9-hatyai-village</x:v>
      </x:c>
      <x:c r="M347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347" s="28" t="n">
        <x:v>46315</x:v>
      </x:c>
      <x:c r="O347" s="57" t="str">
        <x:v>ยังไม่ตรวจ</x:v>
      </x:c>
      <x:c r="P347" s="57" t="str">
        <x:v>ยังไม่ติดต่อ</x:v>
      </x:c>
      <x:c r="Q347" s="20" t="str">
        <x:v>GMHI-54</x:v>
      </x:c>
      <x:c r="R347" s="20" t="str"/>
      <x:c r="S347" s="20" t="str"/>
      <x:c r="T347" s="20" t="str">
        <x:v>https://gmhi.co/th-th/services/%E0%B8%A1%E0%B8%B4%E0%B8%95%E0%B8%A3%E0%B9%84%E0%B8%A1%E0%B8%95%E0%B8%A3%E0%B8%B5%20dining%20caf%C3%A9%20hatyai%20village-54</x:v>
      </x:c>
      <x:c r="U347" s="20" t="str"/>
      <x:c r="V347" s="20" t="str"/>
      <x:c r="W347" s="20" t="str"/>
      <x:c r="X347" s="20" t="str"/>
      <x:c r="Y347" s="20" t="str">
        <x:v>https://www.google.com/maps/search/?api=1&amp;query=%E0%B8%A1%E0%B8%B4%E0%B8%95%E0%B8%A3%E0%B9%84%E0%B8%A1%E0%B8%95%E0%B8%A3%E0%B8%B5%20dining%20caf%C3%A9%20hatyai%20village%20%E0%B8%AA%E0%B8%87%E0%B8%82%E0%B8%A5%E0%B8%B2</x:v>
      </x:c>
      <x:c r="Z347" s="56" t="n">
        <x:v>7.0296707</x:v>
      </x:c>
      <x:c r="AA347" s="56" t="n">
        <x:v>100.4994162</x:v>
      </x:c>
      <x:c r="AB347" s="57" t="str"/>
      <x:c r="AC347" s="20" t="str">
        <x:v>https://gmhi.co/th-th/services/%E0%B8%A1%E0%B8%B4%E0%B8%95%E0%B8%A3%E0%B9%84%E0%B8%A1%E0%B8%95%E0%B8%A3%E0%B8%B5%20dining%20caf%C3%A9%20hatyai%20village-54</x:v>
      </x:c>
    </x:row>
    <x:row r="348" ht="88" customHeight="1">
      <x:c r="A348" s="54" t="n">
        <x:v>340</x:v>
      </x:c>
      <x:c r="B348" s="20" t="str">
        <x:v>สภากาแฟ’36 สาขาหาดใหญ่</x:v>
      </x:c>
      <x:c r="C348" s="20" t="str">
        <x:v>สงขลา</x:v>
      </x:c>
      <x:c r="D348" s="20" t="str">
        <x:v>ร้านอาหารและคาเฟ่</x:v>
      </x:c>
      <x:c r="E348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348" s="20" t="str">
        <x:v>มีข้อมูลระบุ แต่รอยืนยัน</x:v>
      </x:c>
      <x:c r="G348" s="20" t="str">
        <x:v>ทะเบียน GMHI 6 ดาว; ช่องใบรับรอง: GMHI; ยังต้องยืนยันใบรับรองอาหารฮาลาลและวันหมดอายุแยกต่างหาก / ชื่อตรงกับรายการ</x:v>
      </x:c>
      <x:c r="H348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ยังไม่ยืนยันวันที่โพสต์/รีวิวล่าสุดและการเปิดให้บริการปัจจุบัน</x:v>
      </x:c>
      <x:c r="I348" s="20" t="str">
        <x:v>555 Suphasan Rangsan Road, Hat Yai Subdistrict, Hat Yai District, Songkhla 90110, Thailand</x:v>
      </x:c>
      <x:c r="J348" s="21" t="str">
        <x:v>ยังไม่พบหรือยังไม่ยืนยัน</x:v>
      </x:c>
      <x:c r="K348" s="51" t="str">
        <x:v>https://gmhi.co/th-th/services/%E0%B8%AA%E0%B8%A0%E0%B8%B2%E0%B8%81%E0%B8%B2%E0%B9%81%E0%B8%9F%E2%80%9936%20%E0%B8%AA%E0%B8%B2%E0%B8%82%E0%B8%B2%E0%B8%AB%E0%B8%B2%E0%B8%94%E0%B9%83%E0%B8%AB%E0%B8%8D%E0%B9%88-47</x:v>
      </x:c>
      <x:c r="L348" s="51" t="str">
        <x:v>https://www.lemon8-app.com/%40dselatango/7444760123899200018?region=th</x:v>
      </x:c>
      <x:c r="M348" s="20" t="str">
        <x:v>ยังไม่ยืนยันวันที่โพสต์/รีวิวล่าสุดและการเปิดให้บริการปัจจุบัน</x:v>
      </x:c>
      <x:c r="N348" s="28" t="n">
        <x:v>46315</x:v>
      </x:c>
      <x:c r="O348" s="57" t="str">
        <x:v>ยังไม่ตรวจ</x:v>
      </x:c>
      <x:c r="P348" s="57" t="str">
        <x:v>ยังไม่ติดต่อ</x:v>
      </x:c>
      <x:c r="Q348" s="20" t="str">
        <x:v>GMHI-47</x:v>
      </x:c>
      <x:c r="R348" s="20" t="str"/>
      <x:c r="S348" s="20" t="str"/>
      <x:c r="T348" s="20" t="str">
        <x:v>https://gmhi.co/th-th/services/%E0%B8%AA%E0%B8%A0%E0%B8%B2%E0%B8%81%E0%B8%B2%E0%B9%81%E0%B8%9F%E2%80%9936%20%E0%B8%AA%E0%B8%B2%E0%B8%82%E0%B8%B2%E0%B8%AB%E0%B8%B2%E0%B8%94%E0%B9%83%E0%B8%AB%E0%B8%8D%E0%B9%88-47</x:v>
      </x:c>
      <x:c r="U348" s="20" t="str"/>
      <x:c r="V348" s="20" t="str"/>
      <x:c r="W348" s="20" t="str"/>
      <x:c r="X348" s="20" t="str"/>
      <x:c r="Y348" s="20" t="str">
        <x:v>https://www.google.com/maps/search/?api=1&amp;query=%E0%B8%AA%E0%B8%A0%E0%B8%B2%E0%B8%81%E0%B8%B2%E0%B9%81%E0%B8%9F%E2%80%9936%20%E0%B8%AA%E0%B8%B2%E0%B8%82%E0%B8%B2%E0%B8%AB%E0%B8%B2%E0%B8%94%E0%B9%83%E0%B8%AB%E0%B8%8D%E0%B9%88%20%E0%B8%AA%E0%B8%87%E0%B8%82%E0%B8%A5%E0%B8%B2</x:v>
      </x:c>
      <x:c r="Z348" s="56" t="n">
        <x:v>7.008882</x:v>
      </x:c>
      <x:c r="AA348" s="56" t="n">
        <x:v>100.4862376</x:v>
      </x:c>
      <x:c r="AB348" s="57" t="str"/>
      <x:c r="AC348" s="20" t="str">
        <x:v>https://gmhi.co/th-th/services/%E0%B8%AA%E0%B8%A0%E0%B8%B2%E0%B8%81%E0%B8%B2%E0%B9%81%E0%B8%9F%E2%80%9936%20%E0%B8%AA%E0%B8%B2%E0%B8%82%E0%B8%B2%E0%B8%AB%E0%B8%B2%E0%B8%94%E0%B9%83%E0%B8%AB%E0%B8%8D%E0%B9%88-47</x:v>
      </x:c>
    </x:row>
    <x:row r="349" ht="88" customHeight="1">
      <x:c r="A349" s="54" t="n">
        <x:v>341</x:v>
      </x:c>
      <x:c r="B349" s="20" t="str">
        <x:v>เดอบัง สเต็ก - De' Bung สาขา ถนนเพชรเกษม หาดใหญ่ใน</x:v>
      </x:c>
      <x:c r="C349" s="20" t="str">
        <x:v>สงขลา</x:v>
      </x:c>
      <x:c r="D349" s="20" t="str">
        <x:v>ร้านอาหาร</x:v>
      </x:c>
      <x:c r="E349" s="20" t="str">
        <x:v>Makan Verify; ระบุมีห้องละหมาด</x:v>
      </x:c>
      <x:c r="F349" s="20" t="str">
        <x:v>มีข้อมูลระบุ แต่รอยืนยัน</x:v>
      </x:c>
      <x:c r="G349" s="20" t="str">
        <x:v>ยังไม่พบเอกสารรับรองและวันหมดอายุ</x:v>
      </x:c>
      <x:c r="H34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49" s="20" t="str">
        <x:v>38-39 ถนนเพชรเกษม หาดใหญ่ใน ตำบลหาดใหญ่ อำเภอหาดใหญ่ จังหวัดสงขลา 90110</x:v>
      </x:c>
      <x:c r="J349" s="21" t="str">
        <x:v>0611787346</x:v>
      </x:c>
      <x:c r="K349" s="51" t="str">
        <x:v>https://makanhalalguide.com/shop/detail/4955</x:v>
      </x:c>
      <x:c r="L349" s="51" t="str">
        <x:v>https://www.hatyaifocus.com/forums-detail/3463/</x:v>
      </x:c>
      <x:c r="M349" s="20" t="str">
        <x:v>ผลค้นหาชื่อสัมพันธ์จากแหล่งเพิ่มเติม ต้องยืนยันสาขาและข้อมูลปัจจุบัน</x:v>
      </x:c>
      <x:c r="N349" s="28" t="n">
        <x:v>46315</x:v>
      </x:c>
      <x:c r="O349" s="57" t="str">
        <x:v>ยังไม่ตรวจ</x:v>
      </x:c>
      <x:c r="P349" s="57" t="str">
        <x:v>ยังไม่ติดต่อ</x:v>
      </x:c>
      <x:c r="Q349" s="20" t="str">
        <x:v>TMF-218</x:v>
      </x:c>
      <x:c r="R349" s="20" t="str"/>
      <x:c r="S349" s="20" t="str"/>
      <x:c r="T349" s="20" t="str">
        <x:v>https://makanhalalguide.com/shop/detail/4955</x:v>
      </x:c>
      <x:c r="U349" s="20" t="str"/>
      <x:c r="V349" s="20" t="str"/>
      <x:c r="W349" s="20" t="str"/>
      <x:c r="X349" s="20" t="str"/>
      <x:c r="Y349" s="20" t="str">
        <x:v>https://www.google.com/maps/search/?api=1&amp;query=%E0%B9%80%E0%B8%94%E0%B8%AD%E0%B8%9A%E0%B8%B1%E0%B8%87%20%E0%B8%AA%E0%B9%80%E0%B8%95%E0%B9%87%E0%B8%81%20-%20De%27%20Bung%20%E0%B8%AA%E0%B8%B2%E0%B8%82%E0%B8%B2%20%E0%B8%96%E0%B8%99%E0%B8%99%E0%B9%80%E0%B8%9E%E0%B8%8A%E0%B8%A3%E0%B9%80%E0%B8%81%E0%B8%A9%E0%B8%A1%20%E0%B8%AB%E0%B8%B2%E0%B8%94%E0%B9%83%E0%B8%AB%E0%B8%8D%E0%B9%88%E0%B9%83%E0%B8%99%20%E0%B8%AA%E0%B8%87%E0%B8%82%E0%B8%A5%E0%B8%B2</x:v>
      </x:c>
      <x:c r="Z349" s="56" t="n">
        <x:v>7.003701</x:v>
      </x:c>
      <x:c r="AA349" s="56" t="n">
        <x:v>100.45682</x:v>
      </x:c>
      <x:c r="AB349" s="57" t="str"/>
      <x:c r="AC349" s="20" t="str">
        <x:v>https://makanhalalguide.com/shop/detail/4955</x:v>
      </x:c>
    </x:row>
    <x:row r="350" ht="88" customHeight="1">
      <x:c r="A350" s="54" t="n">
        <x:v>342</x:v>
      </x:c>
      <x:c r="B350" s="20" t="str">
        <x:v>เนื้อล้วนล้วน Halal Wagyu Yakiniku Hatyai</x:v>
      </x:c>
      <x:c r="C350" s="20" t="str">
        <x:v>สงขลา</x:v>
      </x:c>
      <x:c r="D350" s="20" t="str">
        <x:v>ร้านอาหารและคาเฟ่</x:v>
      </x:c>
      <x:c r="E350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350" s="20" t="str">
        <x:v>มีข้อมูลระบุ แต่รอยืนยัน</x:v>
      </x:c>
      <x:c r="G350" s="20" t="str">
        <x:v>ทะเบียน GMHI 6 ดาว; ช่องใบรับรอง: GMHI; ยังต้องยืนยันใบรับรองอาหารฮาลาลและวันหมดอายุแยกต่างหาก / ชื่อในภาพต่างจากชื่อในทะเบียน</x:v>
      </x:c>
      <x:c r="H350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I350" s="20" t="str">
        <x:v>448 Suphasan Rangsan Road, Hat Yai Subdistrict, Hat Yai District, Songkhla 90110, Thailand</x:v>
      </x:c>
      <x:c r="J350" s="21" t="str">
        <x:v>ยังไม่พบหรือยังไม่ยืนยัน</x:v>
      </x:c>
      <x:c r="K350" s="51" t="str">
        <x:v>https://gmhi.co/th-th/services/%E0%B9%80%E0%B8%99%E0%B8%B7%E0%B9%89%E0%B8%AD%E0%B8%A5%E0%B9%89%E0%B8%A7%E0%B8%99%E0%B8%A5%E0%B9%89%E0%B8%A7%E0%B8%99%20Halal%20Wagyu%20Yakiniku%20Hatyai-50</x:v>
      </x:c>
      <x:c r="L350" s="51" t="str">
        <x:v>https://friendsbusy.com/judcheckin/%E0%B9%80%E0%B8%99%E0%B8%B7%E0%B9%89%E0%B8%AD%E0%B8%A5%E0%B9%89%E0%B8%A7%E0%B8%99%E0%B8%A5%E0%B9%89%E0%B8%A7%E0%B8%99-halal-wagyu-yakiniku-hatyai/</x:v>
      </x:c>
      <x:c r="M350" s="20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N350" s="28" t="n">
        <x:v>46315</x:v>
      </x:c>
      <x:c r="O350" s="57" t="str">
        <x:v>ยังไม่ตรวจ</x:v>
      </x:c>
      <x:c r="P350" s="57" t="str">
        <x:v>ยังไม่ติดต่อ</x:v>
      </x:c>
      <x:c r="Q350" s="20" t="str">
        <x:v>GMHI-50</x:v>
      </x:c>
      <x:c r="R350" s="20" t="str"/>
      <x:c r="S350" s="20" t="str"/>
      <x:c r="T350" s="20" t="str">
        <x:v>https://gmhi.co/th-th/services/%E0%B9%80%E0%B8%99%E0%B8%B7%E0%B9%89%E0%B8%AD%E0%B8%A5%E0%B9%89%E0%B8%A7%E0%B8%99%E0%B8%A5%E0%B9%89%E0%B8%A7%E0%B8%99%20Halal%20Wagyu%20Yakiniku%20Hatyai-50</x:v>
      </x:c>
      <x:c r="U350" s="20" t="str"/>
      <x:c r="V350" s="20" t="str"/>
      <x:c r="W350" s="20" t="str"/>
      <x:c r="X350" s="20" t="str"/>
      <x:c r="Y350" s="20" t="str">
        <x:v>https://www.google.com/maps/search/?api=1&amp;query=%E0%B9%80%E0%B8%99%E0%B8%B7%E0%B9%89%E0%B8%AD%E0%B8%A5%E0%B9%89%E0%B8%A7%E0%B8%99%E0%B8%A5%E0%B9%89%E0%B8%A7%E0%B8%99%20Halal%20Wagyu%20Yakiniku%20Hatyai%20%E0%B8%AA%E0%B8%87%E0%B8%82%E0%B8%A5%E0%B8%B2</x:v>
      </x:c>
      <x:c r="Z350" s="56" t="n">
        <x:v>7.0086621</x:v>
      </x:c>
      <x:c r="AA350" s="56" t="n">
        <x:v>100.4860599</x:v>
      </x:c>
      <x:c r="AB350" s="57" t="str"/>
      <x:c r="AC350" s="20" t="str">
        <x:v>https://gmhi.co/th-th/services/%E0%B9%80%E0%B8%99%E0%B8%B7%E0%B9%89%E0%B8%AD%E0%B8%A5%E0%B9%89%E0%B8%A7%E0%B8%99%E0%B8%A5%E0%B9%89%E0%B8%A7%E0%B8%99%20Halal%20Wagyu%20Yakiniku%20Hatyai-50</x:v>
      </x:c>
    </x:row>
    <x:row r="351" ht="88" customHeight="1">
      <x:c r="A351" s="54" t="n">
        <x:v>343</x:v>
      </x:c>
      <x:c r="B351" s="20" t="str">
        <x:v>Reborn</x:v>
      </x:c>
      <x:c r="C351" s="20" t="str">
        <x:v>สงขลา</x:v>
      </x:c>
      <x:c r="D351" s="20" t="str">
        <x:v>สถานประกอบการเพื่อสุขภาพและเวลเนส</x:v>
      </x:c>
      <x:c r="E351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351" s="20" t="str">
        <x:v>มีข้อมูลระบุ แต่รอยืนยัน</x:v>
      </x:c>
      <x:c r="G351" s="20" t="str">
        <x:v>ทะเบียน GMHI 7 ดาว; ช่องใบรับรอง: GMHI; ยังต้องยืนยันใบรับรองอาหารฮาลาลและวันหมดอายุแยกต่างหาก</x:v>
      </x:c>
      <x:c r="H351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พบเว็บไซต์ศูนย์และรายชื่อสถานฟื้นฟูของหน่วยงานรัฐในอำเภอสิงหนคร สงขลา / เป็นศูนย์ฟื้นฟูเฉพาะทาง ต้องให้ผู้เชี่ยวชาญตรวจความเหมาะสมกับขอบเขตโครงการท่องเที่ยว / ยังไม่ยืนยันรีวิวหรือกิจกรรมล่าสุด</x:v>
      </x:c>
      <x:c r="I351" s="20" t="str">
        <x:v>Sathing Mo Subdistrict, Singhanakhon District, Songkhla 90280, Thailand
</x:v>
      </x:c>
      <x:c r="J351" s="21" t="str">
        <x:v>ยังไม่พบหรือยังไม่ยืนยัน</x:v>
      </x:c>
      <x:c r="K351" s="51" t="str">
        <x:v>https://gmhi.co/th-th/services/Reborn-53</x:v>
      </x:c>
      <x:c r="L351" s="51" t="str">
        <x:v>https://www.reborninthailand.com/rrc/</x:v>
      </x:c>
      <x:c r="M351" s="20" t="str">
        <x:v>พบเว็บไซต์ศูนย์และรายชื่อสถานฟื้นฟูของหน่วยงานรัฐในอำเภอสิงหนคร สงขลา / เป็นศูนย์ฟื้นฟูเฉพาะทาง ต้องให้ผู้เชี่ยวชาญตรวจความเหมาะสมกับขอบเขตโครงการท่องเที่ยว / ยังไม่ยืนยันรีวิวหรือกิจกรรมล่าสุด</x:v>
      </x:c>
      <x:c r="N351" s="28" t="n">
        <x:v>46315</x:v>
      </x:c>
      <x:c r="O351" s="57" t="str">
        <x:v>ยังไม่ตรวจ</x:v>
      </x:c>
      <x:c r="P351" s="57" t="str">
        <x:v>ยังไม่ติดต่อ</x:v>
      </x:c>
      <x:c r="Q351" s="20" t="str">
        <x:v>GMHI-53</x:v>
      </x:c>
      <x:c r="R351" s="20" t="str">
        <x:v>Reborn</x:v>
      </x:c>
      <x:c r="S351" s="20" t="str"/>
      <x:c r="T351" s="20" t="str">
        <x:v>https://gmhi.co/th-th/services/Reborn-53</x:v>
      </x:c>
      <x:c r="U351" s="20" t="str"/>
      <x:c r="V351" s="20" t="str"/>
      <x:c r="W351" s="20" t="str"/>
      <x:c r="X351" s="20" t="str"/>
      <x:c r="Y351" s="20" t="str">
        <x:v>https://www.google.com/maps/search/?api=1&amp;query=Reborn%20%E0%B8%AA%E0%B8%87%E0%B8%82%E0%B8%A5%E0%B8%B2</x:v>
      </x:c>
      <x:c r="Z351" s="56" t="n">
        <x:v>7.2290829</x:v>
      </x:c>
      <x:c r="AA351" s="56" t="n">
        <x:v>100.5512138</x:v>
      </x:c>
      <x:c r="AB351" s="57" t="str"/>
      <x:c r="AC351" s="20" t="str">
        <x:v>https://gmhi.co/th-th/services/Reborn-53</x:v>
      </x:c>
    </x:row>
    <x:row r="352" ht="88" customHeight="1">
      <x:c r="A352" s="54" t="n">
        <x:v>344</x:v>
      </x:c>
      <x:c r="B352" s="20" t="str">
        <x:v>Central Hatyai</x:v>
      </x:c>
      <x:c r="C352" s="20" t="str">
        <x:v>สงขลา</x:v>
      </x:c>
      <x:c r="D352" s="20" t="str">
        <x:v>การค้า</x:v>
      </x:c>
      <x:c r="E352" s="20" t="str">
        <x:v>พบข้อมูลชื่อตรงจาก Central Hatyai — ช้อปปิ้ง ร้านอาหาร และข้อมูลการเดินทาง; เป็นหลักฐานตัวตน/ประเภท ยังไม่ยืนยันบริการมุสลิมครบเกณฑ์</x:v>
      </x:c>
      <x:c r="F352" s="20" t="str">
        <x:v>ไม่ทราบ</x:v>
      </x:c>
      <x:c r="G352" s="20" t="str">
        <x:v>ยังไม่ยืนยันใบรับรองและวันหมดอายุ</x:v>
      </x:c>
      <x:c r="H352" s="20" t="str">
        <x:v>ตรวจการเปิด ตัวตนสาขา ช่องทางติดต่อ และเงื่อนไขบังคับตามประเภท</x:v>
      </x:c>
      <x:c r="I352" s="20" t="str">
        <x:v>ยังไม่ยืนยันที่อยู่ละเอียด ดูลิงก์แหล่งข้อมูลและ Google Maps</x:v>
      </x:c>
      <x:c r="J352" s="21" t="str">
        <x:v>074 801 555</x:v>
      </x:c>
      <x:c r="K352" s="51" t="str">
        <x:v>https://www.centralhatyai.com/th</x:v>
      </x:c>
      <x:c r="L352" s="51" t="str">
        <x:v>https://shoppingcenter.centralpattana.co.th/branch/central-hatyai/contact-us</x:v>
      </x:c>
      <x:c r="M352" s="20" t="str">
        <x:v>พบแหล่งต่างเว็บไซต์ Central Hatyai</x:v>
      </x:c>
      <x:c r="N352" s="28" t="n">
        <x:v>46316</x:v>
      </x:c>
      <x:c r="O352" s="57" t="str">
        <x:v>ยังไม่ตรวจ</x:v>
      </x:c>
      <x:c r="P352" s="57" t="str">
        <x:v>ยังไม่ติดต่อ</x:v>
      </x:c>
      <x:c r="Q352" s="20" t="str">
        <x:v>R26-267</x:v>
      </x:c>
      <x:c r="R352" s="20" t="str">
        <x:v>Central Hatyai</x:v>
      </x:c>
      <x:c r="S352" s="20" t="str">
        <x:v>prom.hyi@centralpattana.co.th</x:v>
      </x:c>
      <x:c r="T352" s="20" t="str">
        <x:v>https://www.centralhatyai.com/th</x:v>
      </x:c>
      <x:c r="U352" s="20" t="str">
        <x:v>https://www.facebook.com/CentralHatyaiFanpage</x:v>
      </x:c>
      <x:c r="V352" s="20" t="str">
        <x:v>https://www.instagram.com/central_hatyai</x:v>
      </x:c>
      <x:c r="W352" s="20" t="str">
        <x:v>https://lin.ee/nBJaCSf</x:v>
      </x:c>
      <x:c r="X352" s="20" t="str">
        <x:v>https://www.tiktok.com/@central.hatyai</x:v>
      </x:c>
      <x:c r="Y352" s="20" t="str">
        <x:v>https://www.google.com/maps/search/?api=1&amp;query=Central%20Hatyai%20%E0%B8%AA%E0%B8%87%E0%B8%82%E0%B8%A5%E0%B8%B2</x:v>
      </x:c>
      <x:c r="Z352" s="56" t="n">
        <x:v>6.9918582</x:v>
      </x:c>
      <x:c r="AA352" s="56" t="n">
        <x:v>100.4829622</x:v>
      </x:c>
      <x:c r="AB352" s="57" t="str"/>
      <x:c r="AC352" s="20" t="str">
        <x:v>https://www.centralhatyai.com/th</x:v>
      </x:c>
    </x:row>
    <x:row r="353" ht="88" customHeight="1">
      <x:c r="A353" s="54" t="n">
        <x:v>345</x:v>
      </x:c>
      <x:c r="B353" s="20" t="str">
        <x:v>สวนสัตว์สงขลา</x:v>
      </x:c>
      <x:c r="C353" s="20" t="str">
        <x:v>สงขลา</x:v>
      </x:c>
      <x:c r="D353" s="20" t="str">
        <x:v>กิจกรรม</x:v>
      </x:c>
      <x:c r="E353" s="20" t="str">
        <x:v>พบข้อมูลชื่อตรงจาก สวนสัตว์สงขลา; เป็นหลักฐานตัวตน/ประเภท ยังไม่ยืนยันบริการมุสลิมครบเกณฑ์</x:v>
      </x:c>
      <x:c r="F353" s="20" t="str">
        <x:v>ไม่ทราบ</x:v>
      </x:c>
      <x:c r="G353" s="20" t="str">
        <x:v>ยังไม่ยืนยันใบรับรองและวันหมดอายุ</x:v>
      </x:c>
      <x:c r="H353" s="20" t="str">
        <x:v>ตรวจการเปิด ตัวตนสาขา ช่องทางติดต่อ และเงื่อนไขบังคับตามประเภท</x:v>
      </x:c>
      <x:c r="I353" s="20" t="str">
        <x:v>ยังไม่ยืนยันที่อยู่ละเอียด ดูลิงก์แหล่งข้อมูลและ Google Maps</x:v>
      </x:c>
      <x:c r="J353" s="21" t="str">
        <x:v>ยังไม่พบหรือยังไม่ยืนยัน</x:v>
      </x:c>
      <x:c r="K353" s="51" t="str">
        <x:v>https://www.krc.go.th/travel/detail/4/data.html</x:v>
      </x:c>
      <x:c r="L353" s="51" t="str">
        <x:v>https://songkhla.prd.go.th/th/content/category/detail/id/297/iid/168530</x:v>
      </x:c>
      <x:c r="M353" s="20" t="str">
        <x:v>พบแหล่งต่างเว็บไซต์ สวนสัตว์สงขลา</x:v>
      </x:c>
      <x:c r="N353" s="28" t="n">
        <x:v>46316</x:v>
      </x:c>
      <x:c r="O353" s="57" t="str">
        <x:v>ยังไม่ตรวจ</x:v>
      </x:c>
      <x:c r="P353" s="57" t="str">
        <x:v>ยังไม่ติดต่อ</x:v>
      </x:c>
      <x:c r="Q353" s="20" t="str">
        <x:v>R26-309</x:v>
      </x:c>
      <x:c r="R353" s="20" t="str"/>
      <x:c r="S353" s="20" t="str"/>
      <x:c r="T353" s="20" t="str">
        <x:v>https://www.krc.go.th/travel/detail/4/data.html</x:v>
      </x:c>
      <x:c r="U353" s="20" t="str"/>
      <x:c r="V353" s="20" t="str"/>
      <x:c r="W353" s="20" t="str"/>
      <x:c r="X353" s="20" t="str"/>
      <x:c r="Y353" s="20" t="str">
        <x:v>https://www.google.com/maps/search/?api=1&amp;query=%E0%B8%AA%E0%B8%A7%E0%B8%99%E0%B8%AA%E0%B8%B1%E0%B8%95%E0%B8%A7%E0%B9%8C%E0%B8%AA%E0%B8%87%E0%B8%82%E0%B8%A5%E0%B8%B2%20%E0%B8%AA%E0%B8%87%E0%B8%82%E0%B8%A5%E0%B8%B2</x:v>
      </x:c>
      <x:c r="Z353" s="56" t="n">
        <x:v>7.166842</x:v>
      </x:c>
      <x:c r="AA353" s="56" t="n">
        <x:v>100.611251</x:v>
      </x:c>
      <x:c r="AB353" s="57" t="str"/>
      <x:c r="AC353" s="20" t="str">
        <x:v>https://www.krc.go.th/travel/detail/4/data.html</x:v>
      </x:c>
    </x:row>
    <x:row r="354" ht="88" customHeight="1">
      <x:c r="A354" s="54" t="n">
        <x:v>346</x:v>
      </x:c>
      <x:c r="B354" s="20" t="str">
        <x:v>ปราสาทหินพันยอด</x:v>
      </x:c>
      <x:c r="C354" s="20" t="str">
        <x:v>สตูล</x:v>
      </x:c>
      <x:c r="D354" s="20" t="str">
        <x:v>ธรรมชาติ</x:v>
      </x:c>
      <x:c r="E354" s="20" t="str">
        <x:v>พบข้อมูลชื่อตรงจาก ปราสาทหินพันยอด; เป็นหลักฐานตัวตน/ประเภท ยังไม่ยืนยันบริการมุสลิมครบเกณฑ์</x:v>
      </x:c>
      <x:c r="F354" s="20" t="str">
        <x:v>ไม่ทราบ</x:v>
      </x:c>
      <x:c r="G354" s="20" t="str">
        <x:v>ยังไม่ยืนยันใบรับรองและวันหมดอายุ</x:v>
      </x:c>
      <x:c r="H354" s="20" t="str">
        <x:v>ตรวจการเปิด ตัวตนสาขา ช่องทางติดต่อ และเงื่อนไขบังคับตามประเภท</x:v>
      </x:c>
      <x:c r="I354" s="20" t="str">
        <x:v>ยังไม่ยืนยันที่อยู่ละเอียด ดูลิงก์แหล่งข้อมูลและ Google Maps</x:v>
      </x:c>
      <x:c r="J354" s="21" t="str">
        <x:v>ยังไม่พบหรือยังไม่ยืนยัน</x:v>
      </x:c>
      <x:c r="K354" s="51" t="str">
        <x:v>https://www.satun.go.th/travel/detail/4</x:v>
      </x:c>
      <x:c r="L354" s="51" t="str">
        <x:v>https://www.thaipbs.or.th/news/gallery/133</x:v>
      </x:c>
      <x:c r="M354" s="20" t="str">
        <x:v>พบแหล่งต่างเว็บไซต์ ปราสาทหินพันยอด แหล่งท่องเที่ยวอุทยานธรณีโลก จ.สตูล | Thai PBS News ข่าวไทยพีบีเอส</x:v>
      </x:c>
      <x:c r="N354" s="28" t="n">
        <x:v>46316</x:v>
      </x:c>
      <x:c r="O354" s="57" t="str">
        <x:v>ยังไม่ตรวจ</x:v>
      </x:c>
      <x:c r="P354" s="57" t="str">
        <x:v>ยังไม่ติดต่อ</x:v>
      </x:c>
      <x:c r="Q354" s="20" t="str">
        <x:v>R26-072</x:v>
      </x:c>
      <x:c r="R354" s="20" t="str"/>
      <x:c r="S354" s="20" t="str"/>
      <x:c r="T354" s="20" t="str">
        <x:v>https://www.satun.go.th/travel/detail/4</x:v>
      </x:c>
      <x:c r="U354" s="20" t="str"/>
      <x:c r="V354" s="20" t="str"/>
      <x:c r="W354" s="20" t="str"/>
      <x:c r="X354" s="20" t="str"/>
      <x:c r="Y354" s="20" t="str">
        <x:v>https://www.google.com/maps/search/?api=1&amp;query=%E0%B8%9B%E0%B8%A3%E0%B8%B2%E0%B8%AA%E0%B8%B2%E0%B8%97%E0%B8%AB%E0%B8%B4%E0%B8%99%E0%B8%9E%E0%B8%B1%E0%B8%99%E0%B8%A2%E0%B8%AD%E0%B8%94%20%E0%B8%AA%E0%B8%95%E0%B8%B9%E0%B8%A5</x:v>
      </x:c>
      <x:c r="Z354" s="56" t="n">
        <x:v>6.852997</x:v>
      </x:c>
      <x:c r="AA354" s="56" t="n">
        <x:v>99.695323</x:v>
      </x:c>
      <x:c r="AB354" s="57" t="str"/>
      <x:c r="AC354" s="20" t="str">
        <x:v>https://www.satun.go.th/travel/detail/4</x:v>
      </x:c>
    </x:row>
    <x:row r="355" ht="88" customHeight="1">
      <x:c r="A355" s="54" t="n">
        <x:v>347</x:v>
      </x:c>
      <x:c r="B355" s="20" t="str">
        <x:v>มัสยิดมำบัง</x:v>
      </x:c>
      <x:c r="C355" s="20" t="str">
        <x:v>สตูล</x:v>
      </x:c>
      <x:c r="D355" s="20" t="str">
        <x:v>มัสยิด</x:v>
      </x:c>
      <x:c r="E355" s="20" t="str">
        <x:v>พบข้อมูลชื่อตรงจาก มัสยิดมำบัง; เป็นหลักฐานตัวตน/ประเภท ยังไม่ยืนยันบริการมุสลิมครบเกณฑ์</x:v>
      </x:c>
      <x:c r="F355" s="20" t="str">
        <x:v>ไม่ทราบ</x:v>
      </x:c>
      <x:c r="G355" s="20" t="str">
        <x:v>ยังไม่ยืนยันใบรับรองและวันหมดอายุ</x:v>
      </x:c>
      <x:c r="H35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55" s="20" t="str">
        <x:v>ยังไม่ยืนยันที่อยู่ละเอียด ดูลิงก์แหล่งข้อมูลและ Google Maps</x:v>
      </x:c>
      <x:c r="J355" s="21" t="str">
        <x:v>ยังไม่พบหรือยังไม่ยืนยัน</x:v>
      </x:c>
      <x:c r="K355" s="51" t="str">
        <x:v>https://www.thailandtourismdirectory.go.th/attraction/21236</x:v>
      </x:c>
      <x:c r="L355" s="51" t="str">
        <x:v>https://webapi.satunpao.go.th/uploads/news-docs/1743740621955-706547210.pdf</x:v>
      </x:c>
      <x:c r="M355" s="20" t="str">
        <x:v>พบแหล่งต่างเว็บไซต์ - มัลยิดกลางจังหวัดสตูล หรือที่รู้จักกันอีกชื่อหนึ่งว่า มัสยิดมำบัง สร้างขึ้นตั้งแต่สมัยพระยา สมันตรัฐบุรินทร์ (ตนกูมูฮำหมัดอาเก็ม) เป็นเจ้าเมืองสตูล ชื่อมำบังตั้งตามชื่อเมืองสตูลในสมัยนั้น ต่อมาในปี พ.ศ.2517 ได้รื้อทั้งและดำเนินการก่อสร้างใหม่บนเนื้อที่เดิมเป็นอาคารคอนกรีตเสริมเหล็กและพระบาทสมเด็จพระเจ้าอยู่หัวได้เสด็จฯ มาทรงเปิด เมื่อวันที่ 20 กันยายน พ.ศ. 2522</x:v>
      </x:c>
      <x:c r="N355" s="28" t="n">
        <x:v>46316</x:v>
      </x:c>
      <x:c r="O355" s="57" t="str">
        <x:v>ยังไม่ตรวจ</x:v>
      </x:c>
      <x:c r="P355" s="57" t="str">
        <x:v>ยังไม่ติดต่อ</x:v>
      </x:c>
      <x:c r="Q355" s="20" t="str">
        <x:v>R26-075</x:v>
      </x:c>
      <x:c r="R355" s="20" t="str"/>
      <x:c r="S355" s="20" t="str"/>
      <x:c r="T355" s="20" t="str">
        <x:v>https://www.thailandtourismdirectory.go.th/attraction/21236</x:v>
      </x:c>
      <x:c r="U355" s="20" t="str"/>
      <x:c r="V355" s="20" t="str"/>
      <x:c r="W355" s="20" t="str"/>
      <x:c r="X355" s="20" t="str"/>
      <x:c r="Y355" s="20" t="str">
        <x:v>https://www.google.com/maps/search/?api=1&amp;query=%E0%B8%A1%E0%B8%B1%E0%B8%AA%E0%B8%A2%E0%B8%B4%E0%B8%94%E0%B8%A1%E0%B8%B3%E0%B8%9A%E0%B8%B1%E0%B8%87%20%E0%B8%AA%E0%B8%95%E0%B8%B9%E0%B8%A5</x:v>
      </x:c>
      <x:c r="Z355" s="56" t="n">
        <x:v>6.614935</x:v>
      </x:c>
      <x:c r="AA355" s="56" t="n">
        <x:v>100.06606</x:v>
      </x:c>
      <x:c r="AB355" s="57" t="str"/>
      <x:c r="AC355" s="20" t="str">
        <x:v>https://www.thailandtourismdirectory.go.th/attraction/21236</x:v>
      </x:c>
    </x:row>
    <x:row r="356" ht="88" customHeight="1">
      <x:c r="A356" s="54" t="n">
        <x:v>348</x:v>
      </x:c>
      <x:c r="B356" s="20" t="str">
        <x:v>ชุมชนบ้านบ่อเจ็ดลูก</x:v>
      </x:c>
      <x:c r="C356" s="20" t="str">
        <x:v>สตูล</x:v>
      </x:c>
      <x:c r="D356" s="20" t="str">
        <x:v>ชุมชน</x:v>
      </x:c>
      <x:c r="E356" s="20" t="str">
        <x:v>พบข้อมูลชื่อตรงจาก บ้านบ่อเจ็ดลูก; เป็นหลักฐานตัวตน/ประเภท ยังไม่ยืนยันบริการมุสลิมครบเกณฑ์</x:v>
      </x:c>
      <x:c r="F356" s="20" t="str">
        <x:v>ไม่ทราบ</x:v>
      </x:c>
      <x:c r="G356" s="20" t="str">
        <x:v>ยังไม่ยืนยันใบรับรองและวันหมดอายุ</x:v>
      </x:c>
      <x:c r="H356" s="20" t="str">
        <x:v>ตรวจการเปิด ตัวตนสาขา ช่องทางติดต่อ และเงื่อนไขบังคับตามประเภท</x:v>
      </x:c>
      <x:c r="I356" s="20" t="str">
        <x:v>ยังไม่ยืนยันที่อยู่ละเอียด ดูลิงก์แหล่งข้อมูลและ Google Maps</x:v>
      </x:c>
      <x:c r="J356" s="21" t="str">
        <x:v>ยังไม่พบหรือยังไม่ยืนยัน</x:v>
      </x:c>
      <x:c r="K356" s="51" t="str">
        <x:v>https://wikicommunity.sac.or.th/community/2436</x:v>
      </x:c>
      <x:c r="L356" s="51" t="str">
        <x:v>https://www.thailandtourismdirectory.go.th/attraction/21604</x:v>
      </x:c>
      <x:c r="M356" s="20" t="str">
        <x:v>พบแหล่งต่างเว็บไซต์ ชุมชนท่องเที่ยวบ้านบ่อเจ็ดลูก</x:v>
      </x:c>
      <x:c r="N356" s="28" t="n">
        <x:v>46316</x:v>
      </x:c>
      <x:c r="O356" s="57" t="str">
        <x:v>ยังไม่ตรวจ</x:v>
      </x:c>
      <x:c r="P356" s="57" t="str">
        <x:v>ยังไม่ติดต่อ</x:v>
      </x:c>
      <x:c r="Q356" s="20" t="str">
        <x:v>R26-073</x:v>
      </x:c>
      <x:c r="R356" s="20" t="str"/>
      <x:c r="S356" s="20" t="str"/>
      <x:c r="T356" s="20" t="str">
        <x:v>https://wikicommunity.sac.or.th/community/2436</x:v>
      </x:c>
      <x:c r="U356" s="20" t="str"/>
      <x:c r="V356" s="20" t="str"/>
      <x:c r="W356" s="20" t="str"/>
      <x:c r="X356" s="20" t="str"/>
      <x:c r="Y356" s="20" t="str">
        <x:v>https://www.google.com/maps/search/?api=1&amp;query=%E0%B8%8A%E0%B8%B8%E0%B8%A1%E0%B8%8A%E0%B8%99%E0%B8%9A%E0%B9%89%E0%B8%B2%E0%B8%99%E0%B8%9A%E0%B9%88%E0%B8%AD%E0%B9%80%E0%B8%88%E0%B9%87%E0%B8%94%E0%B8%A5%E0%B8%B9%E0%B8%81%20%E0%B8%AA%E0%B8%95%E0%B8%B9%E0%B8%A5</x:v>
      </x:c>
      <x:c r="Z356" s="56" t="n">
        <x:v>6.87476</x:v>
      </x:c>
      <x:c r="AA356" s="56" t="n">
        <x:v>99.691199</x:v>
      </x:c>
      <x:c r="AB356" s="57" t="str"/>
      <x:c r="AC356" s="20" t="str">
        <x:v>https://wikicommunity.sac.or.th/community/2436</x:v>
      </x:c>
    </x:row>
    <x:row r="357" ht="88" customHeight="1">
      <x:c r="A357" s="54" t="n">
        <x:v>349</x:v>
      </x:c>
      <x:c r="B357" s="20" t="str">
        <x:v>Sinkiat Thani Hotel</x:v>
      </x:c>
      <x:c r="C357" s="20" t="str">
        <x:v>สตูล</x:v>
      </x:c>
      <x:c r="D357" s="20" t="str">
        <x:v>ที่พัก</x:v>
      </x:c>
      <x:c r="E357" s="20" t="str">
        <x:v>พบข้อมูลชื่อตรงจาก Sinkiat Thani Hotel โรงแรมสินเกียรติธานี; เป็นหลักฐานตัวตน/ประเภท ยังไม่ยืนยันบริการมุสลิมครบเกณฑ์</x:v>
      </x:c>
      <x:c r="F357" s="20" t="str">
        <x:v>ไม่ทราบ</x:v>
      </x:c>
      <x:c r="G357" s="20" t="str">
        <x:v>ยังไม่ยืนยันใบรับรองและวันหมดอายุ</x:v>
      </x:c>
      <x:c r="H357" s="20" t="str">
        <x:v>ตรวจการเปิด ตัวตนสาขา ช่องทางติดต่อ และเงื่อนไขบังคับตามประเภท</x:v>
      </x:c>
      <x:c r="I357" s="20" t="str">
        <x:v>ยังไม่ยืนยันที่อยู่ละเอียด ดูลิงก์แหล่งข้อมูลและ Google Maps</x:v>
      </x:c>
      <x:c r="J357" s="21" t="str">
        <x:v>ยังไม่พบหรือยังไม่ยืนยัน</x:v>
      </x:c>
      <x:c r="K357" s="51" t="str">
        <x:v>https://www.sinkiathotel.com/</x:v>
      </x:c>
      <x:c r="L357" s="51" t="str">
        <x:v>https://www.booking.com/hotel/th/sinkiat-thani.html</x:v>
      </x:c>
      <x:c r="M357" s="20" t="str">
        <x:v>พบแหล่งต่างเว็บไซต์ Sinkiat Thani Hotel, Satun (updated prices 2026)</x:v>
      </x:c>
      <x:c r="N357" s="28" t="n">
        <x:v>46316</x:v>
      </x:c>
      <x:c r="O357" s="57" t="str">
        <x:v>ยังไม่ตรวจ</x:v>
      </x:c>
      <x:c r="P357" s="57" t="str">
        <x:v>ยังไม่ติดต่อ</x:v>
      </x:c>
      <x:c r="Q357" s="20" t="str">
        <x:v>R26-384</x:v>
      </x:c>
      <x:c r="R357" s="20" t="str">
        <x:v>Sinkiat Thani Hotel</x:v>
      </x:c>
      <x:c r="S357" s="20" t="str"/>
      <x:c r="T357" s="20" t="str">
        <x:v>https://www.sinkiathotel.com/</x:v>
      </x:c>
      <x:c r="U357" s="20" t="str"/>
      <x:c r="V357" s="20" t="str"/>
      <x:c r="W357" s="20" t="str"/>
      <x:c r="X357" s="20" t="str"/>
      <x:c r="Y357" s="20" t="str">
        <x:v>https://www.google.com/maps/search/?api=1&amp;query=Sinkiat%20Thani%20Hotel%20%E0%B8%AA%E0%B8%95%E0%B8%B9%E0%B8%A5</x:v>
      </x:c>
      <x:c r="Z357" s="56" t="str"/>
      <x:c r="AA357" s="56" t="str"/>
      <x:c r="AB357" s="57" t="str"/>
      <x:c r="AC357" s="20" t="str">
        <x:v>https://www.sinkiathotel.com/</x:v>
      </x:c>
    </x:row>
    <x:row r="358" ht="88" customHeight="1">
      <x:c r="A358" s="54" t="n">
        <x:v>350</x:v>
      </x:c>
      <x:c r="B358" s="20" t="str">
        <x:v>ไมอามี่ ซีวิว</x:v>
      </x:c>
      <x:c r="C358" s="20" t="str">
        <x:v>สตูล</x:v>
      </x:c>
      <x:c r="D358" s="20" t="str">
        <x:v>ที่พัก (ตรวจประเภทจากชื่อและข้อมูลประกอบ)</x:v>
      </x:c>
      <x:c r="E358" s="20" t="str">
        <x:v>มีรายชื่อใน Makan Halal Guide; ระบุมีห้องละหมาด</x:v>
      </x:c>
      <x:c r="F358" s="20" t="str">
        <x:v>มีข้อมูลระบุ แต่รอยืนยัน</x:v>
      </x:c>
      <x:c r="G358" s="20" t="str">
        <x:v>ยังไม่พบเอกสารรับรองและวันหมดอายุ</x:v>
      </x:c>
      <x:c r="H358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358" s="20" t="str">
        <x:v>1440 หมู่ 2 ตำบลปากน้ำ อำเภอละงู จังหวัดสตูล 91110 (ตรงข้ามมัสยิดปากบารา)</x:v>
      </x:c>
      <x:c r="J358" s="21" t="str">
        <x:v>0651233945</x:v>
      </x:c>
      <x:c r="K358" s="51" t="str">
        <x:v>https://makanhalalguide.com/shop/detail/5159</x:v>
      </x:c>
      <x:c r="L358" s="51" t="str">
        <x:v>https://www.lemon8-app.com/%40after.wedding.journey/7669034679094100500?region=th</x:v>
      </x:c>
      <x:c r="M358" s="20" t="str">
        <x:v>ผลค้นหาชื่อสัมพันธ์จากแหล่งเพิ่มเติม ต้องยืนยันสาขาและข้อมูลปัจจุบัน</x:v>
      </x:c>
      <x:c r="N358" s="28" t="n">
        <x:v>46315</x:v>
      </x:c>
      <x:c r="O358" s="57" t="str">
        <x:v>ยังไม่ตรวจ</x:v>
      </x:c>
      <x:c r="P358" s="57" t="str">
        <x:v>ยังไม่ติดต่อ</x:v>
      </x:c>
      <x:c r="Q358" s="20" t="str">
        <x:v>TMF-222</x:v>
      </x:c>
      <x:c r="R358" s="20" t="str"/>
      <x:c r="S358" s="20" t="str"/>
      <x:c r="T358" s="20" t="str">
        <x:v>https://makanhalalguide.com/shop/detail/5159</x:v>
      </x:c>
      <x:c r="U358" s="20" t="str"/>
      <x:c r="V358" s="20" t="str"/>
      <x:c r="W358" s="20" t="str"/>
      <x:c r="X358" s="20" t="str"/>
      <x:c r="Y358" s="20" t="str">
        <x:v>https://www.google.com/maps/search/?api=1&amp;query=%E0%B9%84%E0%B8%A1%E0%B8%AD%E0%B8%B2%E0%B8%A1%E0%B8%B5%E0%B9%88%20%E0%B8%8B%E0%B8%B5%E0%B8%A7%E0%B8%B4%E0%B8%A7%20%E0%B8%AA%E0%B8%95%E0%B8%B9%E0%B8%A5</x:v>
      </x:c>
      <x:c r="Z358" s="56" t="n">
        <x:v>6.853221</x:v>
      </x:c>
      <x:c r="AA358" s="56" t="n">
        <x:v>99.727812</x:v>
      </x:c>
      <x:c r="AB358" s="57" t="str"/>
      <x:c r="AC358" s="20" t="str">
        <x:v>https://makanhalalguide.com/shop/detail/5159</x:v>
      </x:c>
    </x:row>
    <x:row r="359" ht="88" customHeight="1">
      <x:c r="A359" s="54" t="n">
        <x:v>351</x:v>
      </x:c>
      <x:c r="B359" s="20" t="str">
        <x:v>SP ติ่มซำฮาลาล</x:v>
      </x:c>
      <x:c r="C359" s="20" t="str">
        <x:v>สตูล</x:v>
      </x:c>
      <x:c r="D359" s="20" t="str">
        <x:v>อาหาร</x:v>
      </x:c>
      <x:c r="E359" s="20" t="str">
        <x:v>พบข้อมูลชื่อตรงจาก รีวิว SP ติ่มซำ ฮาลาล by โรงเตี๊ยมมุสลิม สะท้อนรสชาติและความอร่อยที่สตูล; เป็นหลักฐานตัวตน/ประเภท ยังไม่ยืนยันบริการมุสลิมครบเกณฑ์</x:v>
      </x:c>
      <x:c r="F359" s="20" t="str">
        <x:v>ไม่ทราบ</x:v>
      </x:c>
      <x:c r="G359" s="20" t="str">
        <x:v>ยังไม่ยืนยันใบรับรองและวันหมดอายุ</x:v>
      </x:c>
      <x:c r="H359" s="20" t="str">
        <x:v>ตรวจการเปิด ตัวตนสาขา ช่องทางติดต่อ และเงื่อนไขบังคับตามประเภท</x:v>
      </x:c>
      <x:c r="I359" s="20" t="str">
        <x:v>ยังไม่ยืนยันที่อยู่ละเอียด ดูลิงก์แหล่งข้อมูลและ Google Maps</x:v>
      </x:c>
      <x:c r="J359" s="21" t="str">
        <x:v>ยังไม่พบหรือยังไม่ยืนยัน</x:v>
      </x:c>
      <x:c r="K359" s="51" t="str">
        <x:v>https://www.lemon8-app.com/%40nanaphatttt/7653811458740699668?region=th</x:v>
      </x:c>
      <x:c r="L359" s="51" t="str">
        <x:v>https://www.wongnai.com/restaurants/1020059Cp-sp-%E0%B8%95%E0%B8%B4%E0%B9%88%E0%B8%A1%E0%B8%8B%E0%B8%B3%E0%B8%AE%E0%B8%B2%E0%B8%A5%E0%B8%B2%E0%B8%A5</x:v>
      </x:c>
      <x:c r="M359" s="20" t="str">
        <x:v>พบแหล่งต่างเว็บไซต์ ร้าน SP ติ่มซำฮาลาล | รีวิวร้านอาหาร</x:v>
      </x:c>
      <x:c r="N359" s="28" t="n">
        <x:v>46316</x:v>
      </x:c>
      <x:c r="O359" s="57" t="str">
        <x:v>ยังไม่ตรวจ</x:v>
      </x:c>
      <x:c r="P359" s="57" t="str">
        <x:v>ยังไม่ติดต่อ</x:v>
      </x:c>
      <x:c r="Q359" s="20" t="str">
        <x:v>R26-347</x:v>
      </x:c>
      <x:c r="R359" s="20" t="str"/>
      <x:c r="S359" s="20" t="str"/>
      <x:c r="T359" s="20" t="str">
        <x:v>https://www.lemon8-app.com/%40nanaphatttt/7653811458740699668?region=th</x:v>
      </x:c>
      <x:c r="U359" s="20" t="str"/>
      <x:c r="V359" s="20" t="str"/>
      <x:c r="W359" s="20" t="str"/>
      <x:c r="X359" s="20" t="str"/>
      <x:c r="Y359" s="20" t="str">
        <x:v>https://www.google.com/maps/search/?api=1&amp;query=SP%20%E0%B8%95%E0%B8%B4%E0%B9%88%E0%B8%A1%E0%B8%8B%E0%B8%B3%E0%B8%AE%E0%B8%B2%E0%B8%A5%E0%B8%B2%E0%B8%A5%20%E0%B8%AA%E0%B8%95%E0%B8%B9%E0%B8%A5</x:v>
      </x:c>
      <x:c r="Z359" s="56" t="str"/>
      <x:c r="AA359" s="56" t="str"/>
      <x:c r="AB359" s="57" t="str"/>
      <x:c r="AC359" s="20" t="str">
        <x:v>https://www.lemon8-app.com/%40nanaphatttt/7653811458740699668?region=th</x:v>
      </x:c>
    </x:row>
    <x:row r="360" ht="88" customHeight="1">
      <x:c r="A360" s="54" t="n">
        <x:v>352</x:v>
      </x:c>
      <x:c r="B360" s="20" t="str">
        <x:v>ครัวฮาลาล บขส.สตูล</x:v>
      </x:c>
      <x:c r="C360" s="20" t="str">
        <x:v>สตูล</x:v>
      </x:c>
      <x:c r="D360" s="20" t="str">
        <x:v>อาหาร</x:v>
      </x:c>
      <x:c r="E360" s="20" t="str">
        <x:v>พบข้อมูลชื่อตรงจาก ครัวฮาลาล บขส.สตูล | 089 658 6678 | Satun; เป็นหลักฐานตัวตน/ประเภท ยังไม่ยืนยันบริการมุสลิมครบเกณฑ์</x:v>
      </x:c>
      <x:c r="F360" s="20" t="str">
        <x:v>ไม่ทราบ</x:v>
      </x:c>
      <x:c r="G360" s="20" t="str">
        <x:v>ยังไม่ยืนยันใบรับรองและวันหมดอายุ</x:v>
      </x:c>
      <x:c r="H360" s="20" t="str">
        <x:v>ตรวจการเปิด ตัวตนสาขา ช่องทางติดต่อ และเงื่อนไขบังคับตามประเภท</x:v>
      </x:c>
      <x:c r="I360" s="20" t="str">
        <x:v>ยังไม่ยืนยันที่อยู่ละเอียด ดูลิงก์แหล่งข้อมูลและ Google Maps</x:v>
      </x:c>
      <x:c r="J360" s="21" t="str">
        <x:v>ยังไม่พบหรือยังไม่ยืนยัน</x:v>
      </x:c>
      <x:c r="K360" s="51" t="str">
        <x:v>https://www.thaithurkic.com/%E0%B8%84%E0%B8%A3%E0%B8%B1%E0%B8%A7%E0%B8%AE%E0%B8%B2%E0%B8%A5%E0%B8%B2%E0%B8%A5-%E0%B8%9A%E0%B8%82%E0%B8%AA-%E0%B8%AA%E0%B8%95%E0%B8%B9%E0%B8%A5-089-658-6678</x:v>
      </x:c>
      <x:c r="L360" s="51" t="str">
        <x:v>https://www.wongnai.com/restaurants/1001959lF-%E0%B8%84%E0%B8%A3%E0%B8%B1%E0%B8%A7%E0%B8%AE%E0%B8%B2%E0%B8%A5%E0%B8%B2%E0%B8%A5-%E0%B8%9A%E0%B8%82%E0%B8%AA-%E0%B8%AA%E0%B8%95%E0%B8%B9%E0%B8%A5</x:v>
      </x:c>
      <x:c r="M360" s="20" t="str">
        <x:v>พบแหล่งต่างเว็บไซต์ ร้าน ครัวฮาลาล บขส. สตูล | รีวิวร้านอาหาร</x:v>
      </x:c>
      <x:c r="N360" s="28" t="n">
        <x:v>46316</x:v>
      </x:c>
      <x:c r="O360" s="57" t="str">
        <x:v>ยังไม่ตรวจ</x:v>
      </x:c>
      <x:c r="P360" s="57" t="str">
        <x:v>ยังไม่ติดต่อ</x:v>
      </x:c>
      <x:c r="Q360" s="20" t="str">
        <x:v>R26-349</x:v>
      </x:c>
      <x:c r="R360" s="20" t="str"/>
      <x:c r="S360" s="20" t="str"/>
      <x:c r="T360" s="20" t="str">
        <x:v>https://www.thaithurkic.com/%E0%B8%84%E0%B8%A3%E0%B8%B1%E0%B8%A7%E0%B8%AE%E0%B8%B2%E0%B8%A5%E0%B8%B2%E0%B8%A5-%E0%B8%9A%E0%B8%82%E0%B8%AA-%E0%B8%AA%E0%B8%95%E0%B8%B9%E0%B8%A5-089-658-6678</x:v>
      </x:c>
      <x:c r="U360" s="20" t="str"/>
      <x:c r="V360" s="20" t="str"/>
      <x:c r="W360" s="20" t="str"/>
      <x:c r="X360" s="20" t="str"/>
      <x:c r="Y360" s="20" t="str">
        <x:v>https://www.google.com/maps/search/?api=1&amp;query=%E0%B8%84%E0%B8%A3%E0%B8%B1%E0%B8%A7%E0%B8%AE%E0%B8%B2%E0%B8%A5%E0%B8%B2%E0%B8%A5%20%E0%B8%9A%E0%B8%82%E0%B8%AA.%E0%B8%AA%E0%B8%95%E0%B8%B9%E0%B8%A5%20%E0%B8%AA%E0%B8%95%E0%B8%B9%E0%B8%A5</x:v>
      </x:c>
      <x:c r="Z360" s="56" t="str"/>
      <x:c r="AA360" s="56" t="str"/>
      <x:c r="AB360" s="57" t="str"/>
      <x:c r="AC360" s="20" t="str">
        <x:v>https://www.thaithurkic.com/%E0%B8%84%E0%B8%A3%E0%B8%B1%E0%B8%A7%E0%B8%AE%E0%B8%B2%E0%B8%A5%E0%B8%B2%E0%B8%A5-%E0%B8%9A%E0%B8%82%E0%B8%AA-%E0%B8%AA%E0%B8%95%E0%B8%B9%E0%B8%A5-089-658-6678</x:v>
      </x:c>
    </x:row>
    <x:row r="361" ht="88" customHeight="1">
      <x:c r="A361" s="54" t="n">
        <x:v>353</x:v>
      </x:c>
      <x:c r="B361" s="20" t="str">
        <x:v>บาราโรตี</x:v>
      </x:c>
      <x:c r="C361" s="20" t="str">
        <x:v>สตูล</x:v>
      </x:c>
      <x:c r="D361" s="20" t="str">
        <x:v>อาหาร</x:v>
      </x:c>
      <x:c r="E361" s="20" t="str">
        <x:v>พบข้อมูลชื่อตรงจาก บาราโรตี; เป็นหลักฐานตัวตน/ประเภท ยังไม่ยืนยันบริการมุสลิมครบเกณฑ์</x:v>
      </x:c>
      <x:c r="F361" s="20" t="str">
        <x:v>ไม่ทราบ</x:v>
      </x:c>
      <x:c r="G361" s="20" t="str">
        <x:v>ยังไม่ยืนยันใบรับรองและวันหมดอายุ</x:v>
      </x:c>
      <x:c r="H361" s="20" t="str">
        <x:v>ตรวจการเปิด ตัวตนสาขา ช่องทางติดต่อ และเงื่อนไขบังคับตามประเภท</x:v>
      </x:c>
      <x:c r="I361" s="20" t="str">
        <x:v>ยังไม่ยืนยันที่อยู่ละเอียด ดูลิงก์แหล่งข้อมูลและ Google Maps</x:v>
      </x:c>
      <x:c r="J361" s="21" t="str">
        <x:v>ยังไม่พบหรือยังไม่ยืนยัน</x:v>
      </x:c>
      <x:c r="K361" s="51" t="str">
        <x:v>https://www.satun.go.th/food/detail/54/data.html</x:v>
      </x:c>
      <x:c r="L361" s="51" t="str">
        <x:v>https://www.sanook.com/travel/1398855/</x:v>
      </x:c>
      <x:c r="M361" s="20" t="str">
        <x:v>พบแหล่งต่างเว็บไซต์ บาราโรตี ความอร่อย..ต้องห้ามพลาด จ.สตูล</x:v>
      </x:c>
      <x:c r="N361" s="28" t="n">
        <x:v>46316</x:v>
      </x:c>
      <x:c r="O361" s="57" t="str">
        <x:v>ยังไม่ตรวจ</x:v>
      </x:c>
      <x:c r="P361" s="57" t="str">
        <x:v>ยังไม่ติดต่อ</x:v>
      </x:c>
      <x:c r="Q361" s="20" t="str">
        <x:v>R26-348</x:v>
      </x:c>
      <x:c r="R361" s="20" t="str"/>
      <x:c r="S361" s="20" t="str"/>
      <x:c r="T361" s="20" t="str">
        <x:v>https://www.satun.go.th/food/detail/54/data.html</x:v>
      </x:c>
      <x:c r="U361" s="20" t="str"/>
      <x:c r="V361" s="20" t="str"/>
      <x:c r="W361" s="20" t="str"/>
      <x:c r="X361" s="20" t="str"/>
      <x:c r="Y361" s="20" t="str">
        <x:v>https://www.google.com/maps/search/?api=1&amp;query=%E0%B8%9A%E0%B8%B2%E0%B8%A3%E0%B8%B2%E0%B9%82%E0%B8%A3%E0%B8%95%E0%B8%B5%20%E0%B8%AA%E0%B8%95%E0%B8%B9%E0%B8%A5</x:v>
      </x:c>
      <x:c r="Z361" s="56" t="n">
        <x:v>6.854637</x:v>
      </x:c>
      <x:c r="AA361" s="56" t="n">
        <x:v>99.725452</x:v>
      </x:c>
      <x:c r="AB361" s="57" t="str"/>
      <x:c r="AC361" s="20" t="str">
        <x:v>https://www.satun.go.th/food/detail/54/data.html</x:v>
      </x:c>
    </x:row>
    <x:row r="362" ht="88" customHeight="1">
      <x:c r="A362" s="54" t="n">
        <x:v>354</x:v>
      </x:c>
      <x:c r="B362" s="20" t="str">
        <x:v>วังรายา คาเฟ่</x:v>
      </x:c>
      <x:c r="C362" s="20" t="str">
        <x:v>สตูล</x:v>
      </x:c>
      <x:c r="D362" s="20" t="str">
        <x:v>คาเฟ่และร้านของหวาน</x:v>
      </x:c>
      <x:c r="E362" s="20" t="str">
        <x:v>มีรายชื่อใน Makan Halal Guide; ระบุมีห้องละหมาด</x:v>
      </x:c>
      <x:c r="F362" s="20" t="str">
        <x:v>มีข้อมูลระบุ แต่รอยืนยัน</x:v>
      </x:c>
      <x:c r="G362" s="20" t="str">
        <x:v>ยังไม่พบเอกสารรับรองและวันหมดอายุ</x:v>
      </x:c>
      <x:c r="H36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62" s="20" t="str">
        <x:v>398 ม.1 ถ.พัฒนาวิถี ต.ควนโดน อ.ควนโดน จ.สตูล 91160</x:v>
      </x:c>
      <x:c r="J362" s="21" t="str">
        <x:v>0929496124</x:v>
      </x:c>
      <x:c r="K362" s="51" t="str">
        <x:v>https://makanhalalguide.com/shop/detail/5346</x:v>
      </x:c>
      <x:c r="L362" s="51" t="str">
        <x:v>https://www.wongnai.com/restaurants/2640326eD-%E0%B8%A7%E0%B8%B1%E0%B8%87%E0%B8%A3%E0%B8%B2%E0%B8%A2%E0%B8%B2-%E0%B8%84%E0%B8%B2%E0%B9%80%E0%B8%9F%E0%B9%88</x:v>
      </x:c>
      <x:c r="M362" s="20" t="str">
        <x:v>ผลค้นหาชื่อสัมพันธ์จากแหล่งเพิ่มเติม ต้องยืนยันสาขาและข้อมูลปัจจุบัน</x:v>
      </x:c>
      <x:c r="N362" s="28" t="n">
        <x:v>46315</x:v>
      </x:c>
      <x:c r="O362" s="57" t="str">
        <x:v>ยังไม่ตรวจ</x:v>
      </x:c>
      <x:c r="P362" s="57" t="str">
        <x:v>ยังไม่ติดต่อ</x:v>
      </x:c>
      <x:c r="Q362" s="20" t="str">
        <x:v>TMF-219</x:v>
      </x:c>
      <x:c r="R362" s="20" t="str"/>
      <x:c r="S362" s="20" t="str"/>
      <x:c r="T362" s="20" t="str">
        <x:v>https://makanhalalguide.com/shop/detail/5346</x:v>
      </x:c>
      <x:c r="U362" s="20" t="str"/>
      <x:c r="V362" s="20" t="str"/>
      <x:c r="W362" s="20" t="str"/>
      <x:c r="X362" s="20" t="str"/>
      <x:c r="Y362" s="20" t="str">
        <x:v>https://www.google.com/maps/search/?api=1&amp;query=%E0%B8%A7%E0%B8%B1%E0%B8%87%E0%B8%A3%E0%B8%B2%E0%B8%A2%E0%B8%B2%20%E0%B8%84%E0%B8%B2%E0%B9%80%E0%B8%9F%E0%B9%88%20%E0%B8%AA%E0%B8%95%E0%B8%B9%E0%B8%A5</x:v>
      </x:c>
      <x:c r="Z362" s="56" t="n">
        <x:v>6.790698</x:v>
      </x:c>
      <x:c r="AA362" s="56" t="n">
        <x:v>100.074534</x:v>
      </x:c>
      <x:c r="AB362" s="57" t="str"/>
      <x:c r="AC362" s="20" t="str">
        <x:v>https://makanhalalguide.com/shop/detail/5346</x:v>
      </x:c>
    </x:row>
    <x:row r="363" ht="88" customHeight="1">
      <x:c r="A363" s="54" t="n">
        <x:v>355</x:v>
      </x:c>
      <x:c r="B363" s="20" t="str">
        <x:v>เริน coffee beef plant</x:v>
      </x:c>
      <x:c r="C363" s="20" t="str">
        <x:v>สตูล</x:v>
      </x:c>
      <x:c r="D363" s="20" t="str">
        <x:v>คาเฟ่และร้านของหวาน</x:v>
      </x:c>
      <x:c r="E363" s="20" t="str">
        <x:v>มีรายชื่อใน Makan Halal Guide; ระบุมีห้องละหมาด</x:v>
      </x:c>
      <x:c r="F363" s="20" t="str">
        <x:v>มีข้อมูลระบุ แต่รอยืนยัน</x:v>
      </x:c>
      <x:c r="G363" s="20" t="str">
        <x:v>ยังไม่พบเอกสารรับรองและวันหมดอายุ</x:v>
      </x:c>
      <x:c r="H36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63" s="20" t="str">
        <x:v>304 ม.6 ตำบล ปากน้ำ อำเภอละงู สตูล 91110</x:v>
      </x:c>
      <x:c r="J363" s="21" t="str">
        <x:v>0869624522</x:v>
      </x:c>
      <x:c r="K363" s="51" t="str">
        <x:v>https://makanhalalguide.com/shop/detail/5640</x:v>
      </x:c>
      <x:c r="L363" s="51" t="str">
        <x:v>https://www.wongnai.com/restaurants/429467oj-%E0%B9%80%E0%B8%A3%E0%B8%B4%E0%B8%99-coffee-beef-plant-%E0%B8%8B%E0%B8%AD%E0%B8%A2%E0%B8%97%E0%B9%88%E0%B8%B2%E0%B8%A1%E0%B8%B2%E0%B8%A5%E0%B8%B1%E0%B8%A2</x:v>
      </x:c>
      <x:c r="M363" s="20" t="str">
        <x:v>ผลค้นหาชื่อสัมพันธ์จากแหล่งเพิ่มเติม ต้องยืนยันสาขาและข้อมูลปัจจุบัน</x:v>
      </x:c>
      <x:c r="N363" s="28" t="n">
        <x:v>46315</x:v>
      </x:c>
      <x:c r="O363" s="57" t="str">
        <x:v>ยังไม่ตรวจ</x:v>
      </x:c>
      <x:c r="P363" s="57" t="str">
        <x:v>ยังไม่ติดต่อ</x:v>
      </x:c>
      <x:c r="Q363" s="20" t="str">
        <x:v>TMF-220</x:v>
      </x:c>
      <x:c r="R363" s="20" t="str"/>
      <x:c r="S363" s="20" t="str"/>
      <x:c r="T363" s="20" t="str">
        <x:v>https://makanhalalguide.com/shop/detail/5640</x:v>
      </x:c>
      <x:c r="U363" s="20" t="str"/>
      <x:c r="V363" s="20" t="str"/>
      <x:c r="W363" s="20" t="str"/>
      <x:c r="X363" s="20" t="str"/>
      <x:c r="Y363" s="20" t="str">
        <x:v>https://www.google.com/maps/search/?api=1&amp;query=%E0%B9%80%E0%B8%A3%E0%B8%B4%E0%B8%99%20coffee%20beef%20plant%20%E0%B8%AA%E0%B8%95%E0%B8%B9%E0%B8%A5</x:v>
      </x:c>
      <x:c r="Z363" s="56" t="n">
        <x:v>6.84875</x:v>
      </x:c>
      <x:c r="AA363" s="56" t="n">
        <x:v>99.746112</x:v>
      </x:c>
      <x:c r="AB363" s="57" t="str"/>
      <x:c r="AC363" s="20" t="str">
        <x:v>https://makanhalalguide.com/shop/detail/5640</x:v>
      </x:c>
    </x:row>
    <x:row r="364" ht="88" customHeight="1">
      <x:c r="A364" s="54" t="n">
        <x:v>356</x:v>
      </x:c>
      <x:c r="B364" s="20" t="str">
        <x:v>แอ่นแอ้นคาเฟ่</x:v>
      </x:c>
      <x:c r="C364" s="20" t="str">
        <x:v>สตูล</x:v>
      </x:c>
      <x:c r="D364" s="20" t="str">
        <x:v>คาเฟ่และร้านของหวาน</x:v>
      </x:c>
      <x:c r="E364" s="20" t="str">
        <x:v>มีรายชื่อใน Makan Halal Guide; ระบุมีห้องละหมาด</x:v>
      </x:c>
      <x:c r="F364" s="20" t="str">
        <x:v>มีข้อมูลระบุ แต่รอยืนยัน</x:v>
      </x:c>
      <x:c r="G364" s="20" t="str">
        <x:v>ยังไม่พบเอกสารรับรองและวันหมดอายุ</x:v>
      </x:c>
      <x:c r="H36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64" s="20" t="str">
        <x:v>96 ม.8 ต.ฉลุง อ.เมือง จ.สตูล 91140 (ริมทางไปละงูก่อนถึงนกน้ำ)</x:v>
      </x:c>
      <x:c r="J364" s="21" t="str">
        <x:v>0830200802</x:v>
      </x:c>
      <x:c r="K364" s="51" t="str">
        <x:v>https://makanhalalguide.com/shop/detail/5168</x:v>
      </x:c>
      <x:c r="L364" s="51" t="str">
        <x:v>https://www.tatstar.org/company/STAR-A00177</x:v>
      </x:c>
      <x:c r="M364" s="20" t="str">
        <x:v>ผลค้นหาชื่อสัมพันธ์จากแหล่งเพิ่มเติม ต้องยืนยันสาขาและข้อมูลปัจจุบัน</x:v>
      </x:c>
      <x:c r="N364" s="28" t="n">
        <x:v>46315</x:v>
      </x:c>
      <x:c r="O364" s="57" t="str">
        <x:v>ยังไม่ตรวจ</x:v>
      </x:c>
      <x:c r="P364" s="57" t="str">
        <x:v>ยังไม่ติดต่อ</x:v>
      </x:c>
      <x:c r="Q364" s="20" t="str">
        <x:v>TMF-221</x:v>
      </x:c>
      <x:c r="R364" s="20" t="str"/>
      <x:c r="S364" s="20" t="str"/>
      <x:c r="T364" s="20" t="str">
        <x:v>https://makanhalalguide.com/shop/detail/5168</x:v>
      </x:c>
      <x:c r="U364" s="20" t="str"/>
      <x:c r="V364" s="20" t="str"/>
      <x:c r="W364" s="20" t="str"/>
      <x:c r="X364" s="20" t="str"/>
      <x:c r="Y364" s="20" t="str">
        <x:v>https://www.google.com/maps/search/?api=1&amp;query=%E0%B9%81%E0%B8%AD%E0%B9%88%E0%B8%99%E0%B9%81%E0%B8%AD%E0%B9%89%E0%B8%99%E0%B8%84%E0%B8%B2%E0%B9%80%E0%B8%9F%E0%B9%88%20%E0%B8%AA%E0%B8%95%E0%B8%B9%E0%B8%A5</x:v>
      </x:c>
      <x:c r="Z364" s="56" t="n">
        <x:v>6.736163</x:v>
      </x:c>
      <x:c r="AA364" s="56" t="n">
        <x:v>100.04666</x:v>
      </x:c>
      <x:c r="AB364" s="57" t="str"/>
      <x:c r="AC364" s="20" t="str">
        <x:v>https://makanhalalguide.com/shop/detail/5168</x:v>
      </x:c>
    </x:row>
    <x:row r="365" ht="88" customHeight="1">
      <x:c r="A365" s="54" t="n">
        <x:v>357</x:v>
      </x:c>
      <x:c r="B365" s="20" t="str">
        <x:v>ถ้ำเลสเตโกดอน</x:v>
      </x:c>
      <x:c r="C365" s="20" t="str">
        <x:v>สตูล</x:v>
      </x:c>
      <x:c r="D365" s="20" t="str">
        <x:v>ธรรมชาติ</x:v>
      </x:c>
      <x:c r="E365" s="20" t="str">
        <x:v>พบข้อมูลชื่อตรงจาก ช้างสเตโกดอนแห่งถ้ำเลสเตโกดอน มรดกจากยุคน้ำแข็ง - นิตยสารสาระวิทย์ โดย สวทช.; เป็นหลักฐานตัวตน/ประเภท ยังไม่ยืนยันบริการมุสลิมครบเกณฑ์</x:v>
      </x:c>
      <x:c r="F365" s="20" t="str">
        <x:v>ไม่ทราบ</x:v>
      </x:c>
      <x:c r="G365" s="20" t="str">
        <x:v>ยังไม่ยืนยันใบรับรองและวันหมดอายุ</x:v>
      </x:c>
      <x:c r="H365" s="20" t="str">
        <x:v>ตรวจการเปิด ตัวตนสาขา ช่องทางติดต่อ และเงื่อนไขบังคับตามประเภท</x:v>
      </x:c>
      <x:c r="I365" s="20" t="str">
        <x:v>ยังไม่ยืนยันที่อยู่ละเอียด ดูลิงก์แหล่งข้อมูลและ Google Maps</x:v>
      </x:c>
      <x:c r="J365" s="21" t="str">
        <x:v>ยังไม่พบหรือยังไม่ยืนยัน</x:v>
      </x:c>
      <x:c r="K365" s="51" t="str">
        <x:v>https://www.nstda.or.th/sci2pub/stegodon/</x:v>
      </x:c>
      <x:c r="L365" s="51" t="str">
        <x:v>https://www.thaipbs.or.th/program/TuaThin/episodes/34557</x:v>
      </x:c>
      <x:c r="M365" s="20" t="str">
        <x:v>พบแหล่งต่างเว็บไซต์ ทั่วถิ่นแดนไทย - รอยยิ้มแห่งขุนเขา ถ้ำเลสเตโกดอน จ.สตูล | Thai PBS รายการไทยพีบีเอส</x:v>
      </x:c>
      <x:c r="N365" s="28" t="n">
        <x:v>46316</x:v>
      </x:c>
      <x:c r="O365" s="57" t="str">
        <x:v>ยังไม่ตรวจ</x:v>
      </x:c>
      <x:c r="P365" s="57" t="str">
        <x:v>ยังไม่ติดต่อ</x:v>
      </x:c>
      <x:c r="Q365" s="20" t="str">
        <x:v>R26-169</x:v>
      </x:c>
      <x:c r="R365" s="20" t="str"/>
      <x:c r="S365" s="20" t="str"/>
      <x:c r="T365" s="20" t="str">
        <x:v>https://www.nstda.or.th/sci2pub/stegodon/</x:v>
      </x:c>
      <x:c r="U365" s="20" t="str"/>
      <x:c r="V365" s="20" t="str"/>
      <x:c r="W365" s="20" t="str"/>
      <x:c r="X365" s="20" t="str"/>
      <x:c r="Y365" s="20" t="str">
        <x:v>https://www.google.com/maps/search/?api=1&amp;query=%E0%B8%96%E0%B9%89%E0%B8%B3%E0%B9%80%E0%B8%A5%E0%B8%AA%E0%B9%80%E0%B8%95%E0%B9%82%E0%B8%81%E0%B8%94%E0%B8%AD%E0%B8%99%20%E0%B8%AA%E0%B8%95%E0%B8%B9%E0%B8%A5</x:v>
      </x:c>
      <x:c r="Z365" s="56" t="str"/>
      <x:c r="AA365" s="56" t="str"/>
      <x:c r="AB365" s="57" t="str"/>
      <x:c r="AC365" s="20" t="str">
        <x:v>https://www.nstda.or.th/sci2pub/stegodon/</x:v>
      </x:c>
    </x:row>
    <x:row r="366" ht="88" customHeight="1">
      <x:c r="A366" s="54" t="n">
        <x:v>358</x:v>
      </x:c>
      <x:c r="B366" s="20" t="str">
        <x:v>หาดปากบารา</x:v>
      </x:c>
      <x:c r="C366" s="20" t="str">
        <x:v>สตูล</x:v>
      </x:c>
      <x:c r="D366" s="20" t="str">
        <x:v>ธรรมชาติ</x:v>
      </x:c>
      <x:c r="E366" s="20" t="str">
        <x:v>พบข้อมูลชื่อตรงจาก หาดปากบารา | CBT Thailand; เป็นหลักฐานตัวตน/ประเภท ยังไม่ยืนยันบริการมุสลิมครบเกณฑ์</x:v>
      </x:c>
      <x:c r="F366" s="20" t="str">
        <x:v>ไม่ทราบ</x:v>
      </x:c>
      <x:c r="G366" s="20" t="str">
        <x:v>ยังไม่ยืนยันใบรับรองและวันหมดอายุ</x:v>
      </x:c>
      <x:c r="H366" s="20" t="str">
        <x:v>ตรวจการเปิด ตัวตนสาขา ช่องทางติดต่อ และเงื่อนไขบังคับตามประเภท</x:v>
      </x:c>
      <x:c r="I366" s="20" t="str">
        <x:v>ยังไม่ยืนยันที่อยู่ละเอียด ดูลิงก์แหล่งข้อมูลและ Google Maps</x:v>
      </x:c>
      <x:c r="J366" s="21" t="str">
        <x:v>ยังไม่พบหรือยังไม่ยืนยัน</x:v>
      </x:c>
      <x:c r="K366" s="51" t="str">
        <x:v>https://cbtthailand.dasta.or.th/webapp/relattraction/content/1332/</x:v>
      </x:c>
      <x:c r="L366" s="51" t="str">
        <x:v>https://secretary.mots.go.th/tourist/images/download/article/article_20170505115256.pdf</x:v>
      </x:c>
      <x:c r="M366" s="20" t="str">
        <x:v>พบแหล่งต่างเว็บไซต์ - หาดปากบารา</x:v>
      </x:c>
      <x:c r="N366" s="28" t="n">
        <x:v>46316</x:v>
      </x:c>
      <x:c r="O366" s="57" t="str">
        <x:v>ยังไม่ตรวจ</x:v>
      </x:c>
      <x:c r="P366" s="57" t="str">
        <x:v>ยังไม่ติดต่อ</x:v>
      </x:c>
      <x:c r="Q366" s="20" t="str">
        <x:v>R26-170</x:v>
      </x:c>
      <x:c r="R366" s="20" t="str"/>
      <x:c r="S366" s="20" t="str"/>
      <x:c r="T366" s="20" t="str">
        <x:v>https://cbtthailand.dasta.or.th/webapp/relattraction/content/1332/</x:v>
      </x:c>
      <x:c r="U366" s="20" t="str"/>
      <x:c r="V366" s="20" t="str"/>
      <x:c r="W366" s="20" t="str"/>
      <x:c r="X366" s="20" t="str"/>
      <x:c r="Y366" s="20" t="str">
        <x:v>https://www.google.com/maps/search/?api=1&amp;query=%E0%B8%AB%E0%B8%B2%E0%B8%94%E0%B8%9B%E0%B8%B2%E0%B8%81%E0%B8%9A%E0%B8%B2%E0%B8%A3%E0%B8%B2%20%E0%B8%AA%E0%B8%95%E0%B8%B9%E0%B8%A5</x:v>
      </x:c>
      <x:c r="Z366" s="56" t="str"/>
      <x:c r="AA366" s="56" t="str"/>
      <x:c r="AB366" s="57" t="str"/>
      <x:c r="AC366" s="20" t="str">
        <x:v>https://cbtthailand.dasta.or.th/webapp/relattraction/content/1332/</x:v>
      </x:c>
    </x:row>
    <x:row r="367" ht="88" customHeight="1">
      <x:c r="A367" s="54" t="n">
        <x:v>359</x:v>
      </x:c>
      <x:c r="B367" s="20" t="str">
        <x:v>อุทยานแห่งชาติทะเลบัน</x:v>
      </x:c>
      <x:c r="C367" s="20" t="str">
        <x:v>สตูล</x:v>
      </x:c>
      <x:c r="D367" s="20" t="str">
        <x:v>ธรรมชาติ</x:v>
      </x:c>
      <x:c r="E367" s="20" t="str">
        <x:v>พบข้อมูลชื่อตรงจาก วันที่ 19 สิงหาคม 2569 (เวลา 09.30 น.) นายณัฐกฤษณ์ พลเพชร ผู้อำนวยการสำนักงานทรัพยากรธรรมชาติและสิ่งแวดล้อมจังหวัดสตูล เป็นประธานการประชุมคณะกรรมการที่ปรึกษาอุทยานแห่งชาติทะเลบัน (PAC) ครั้งที่ 3/2569 ณ ห้องประชุมอุทยานแห่งชาติทะเลบัน หมู่ที่ 4 ตำบลวังประจัน อำเภอควนโดน จังหวัดสตูล - สำนักงานทรัพยากรธรรมชาติและสิ่งแวดล้อมจังหวัดสตูล; เป็นหลักฐานตัวตน/ประเภท ยังไม่ยืนยันบริการมุสลิมครบเกณฑ์</x:v>
      </x:c>
      <x:c r="F367" s="20" t="str">
        <x:v>ไม่ทราบ</x:v>
      </x:c>
      <x:c r="G367" s="20" t="str">
        <x:v>ยังไม่ยืนยันใบรับรองและวันหมดอายุ</x:v>
      </x:c>
      <x:c r="H367" s="20" t="str">
        <x:v>ตรวจการเปิด ตัวตนสาขา ช่องทางติดต่อ และเงื่อนไขบังคับตามประเภท</x:v>
      </x:c>
      <x:c r="I367" s="20" t="str">
        <x:v>ยังไม่ยืนยันที่อยู่ละเอียด ดูลิงก์แหล่งข้อมูลและ Google Maps</x:v>
      </x:c>
      <x:c r="J367" s="21" t="str">
        <x:v>ยังไม่พบหรือยังไม่ยืนยัน</x:v>
      </x:c>
      <x:c r="K367" s="51" t="str">
        <x:v>https://satun.mnre.go.th/th/news/detail/255869</x:v>
      </x:c>
      <x:c r="L367" s="51" t="str">
        <x:v>https://www.thailandtourismdirectory.go.th/th/attraction/21149</x:v>
      </x:c>
      <x:c r="M367" s="20" t="str">
        <x:v>พบแหล่งต่างเว็บไซต์ อุทยานแห่งชาติทะเลบัน</x:v>
      </x:c>
      <x:c r="N367" s="28" t="n">
        <x:v>46316</x:v>
      </x:c>
      <x:c r="O367" s="57" t="str">
        <x:v>ยังไม่ตรวจ</x:v>
      </x:c>
      <x:c r="P367" s="57" t="str">
        <x:v>ยังไม่ติดต่อ</x:v>
      </x:c>
      <x:c r="Q367" s="20" t="str">
        <x:v>R26-167</x:v>
      </x:c>
      <x:c r="R367" s="20" t="str"/>
      <x:c r="S367" s="20" t="str"/>
      <x:c r="T367" s="20" t="str">
        <x:v>https://satun.mnre.go.th/th/news/detail/255869</x:v>
      </x:c>
      <x:c r="U367" s="20" t="str"/>
      <x:c r="V367" s="20" t="str"/>
      <x:c r="W367" s="20" t="str"/>
      <x:c r="X367" s="20" t="str"/>
      <x:c r="Y367" s="20" t="str">
        <x:v>https://www.google.com/maps/search/?api=1&amp;query=%E0%B8%AD%E0%B8%B8%E0%B8%97%E0%B8%A2%E0%B8%B2%E0%B8%99%E0%B9%81%E0%B8%AB%E0%B9%88%E0%B8%87%E0%B8%8A%E0%B8%B2%E0%B8%95%E0%B8%B4%E0%B8%97%E0%B8%B0%E0%B9%80%E0%B8%A5%E0%B8%9A%E0%B8%B1%E0%B8%99%20%E0%B8%AA%E0%B8%95%E0%B8%B9%E0%B8%A5</x:v>
      </x:c>
      <x:c r="Z367" s="56" t="n">
        <x:v>6.710379</x:v>
      </x:c>
      <x:c r="AA367" s="56" t="n">
        <x:v>100.170902</x:v>
      </x:c>
      <x:c r="AB367" s="57" t="str"/>
      <x:c r="AC367" s="20" t="str">
        <x:v>https://satun.mnre.go.th/th/news/detail/255869</x:v>
      </x:c>
    </x:row>
    <x:row r="368" ht="88" customHeight="1">
      <x:c r="A368" s="54" t="n">
        <x:v>360</x:v>
      </x:c>
      <x:c r="B368" s="20" t="str">
        <x:v>อุทยานแห่งชาติหมู่เกาะเภตรา</x:v>
      </x:c>
      <x:c r="C368" s="20" t="str">
        <x:v>สตูล</x:v>
      </x:c>
      <x:c r="D368" s="20" t="str">
        <x:v>ธรรมชาติ</x:v>
      </x:c>
      <x:c r="E368" s="20" t="str">
        <x:v>พบข้อมูลชื่อตรงจาก เกาะเภตรา; เป็นหลักฐานตัวตน/ประเภท ยังไม่ยืนยันบริการมุสลิมครบเกณฑ์</x:v>
      </x:c>
      <x:c r="F368" s="20" t="str">
        <x:v>ไม่ทราบ</x:v>
      </x:c>
      <x:c r="G368" s="20" t="str">
        <x:v>ยังไม่ยืนยันใบรับรองและวันหมดอายุ</x:v>
      </x:c>
      <x:c r="H368" s="20" t="str">
        <x:v>ตรวจการเปิด ตัวตนสาขา ช่องทางติดต่อ และเงื่อนไขบังคับตามประเภท</x:v>
      </x:c>
      <x:c r="I368" s="20" t="str">
        <x:v>ยังไม่ยืนยันที่อยู่ละเอียด ดูลิงก์แหล่งข้อมูลและ Google Maps</x:v>
      </x:c>
      <x:c r="J368" s="21" t="str">
        <x:v>ยังไม่พบหรือยังไม่ยืนยัน</x:v>
      </x:c>
      <x:c r="K368" s="51" t="str">
        <x:v>https://www.satun.go.th/travel/detail/22</x:v>
      </x:c>
      <x:c r="L368" s="51" t="str">
        <x:v>https://www.thailandtourismdirectory.go.th/attraction/21426</x:v>
      </x:c>
      <x:c r="M368" s="20" t="str">
        <x:v>พบแหล่งต่างเว็บไซต์ อุทยานแห่งชาติหมู่เกาะเภตรา</x:v>
      </x:c>
      <x:c r="N368" s="28" t="n">
        <x:v>46316</x:v>
      </x:c>
      <x:c r="O368" s="57" t="str">
        <x:v>ยังไม่ตรวจ</x:v>
      </x:c>
      <x:c r="P368" s="57" t="str">
        <x:v>ยังไม่ติดต่อ</x:v>
      </x:c>
      <x:c r="Q368" s="20" t="str">
        <x:v>R26-168</x:v>
      </x:c>
      <x:c r="R368" s="20" t="str"/>
      <x:c r="S368" s="20" t="str"/>
      <x:c r="T368" s="20" t="str">
        <x:v>https://www.satun.go.th/travel/detail/22</x:v>
      </x:c>
      <x:c r="U368" s="20" t="str"/>
      <x:c r="V368" s="20" t="str"/>
      <x:c r="W368" s="20" t="str"/>
      <x:c r="X368" s="20" t="str"/>
      <x:c r="Y368" s="20" t="str">
        <x:v>https://www.google.com/maps/search/?api=1&amp;query=%E0%B8%AD%E0%B8%B8%E0%B8%97%E0%B8%A2%E0%B8%B2%E0%B8%99%E0%B9%81%E0%B8%AB%E0%B9%88%E0%B8%87%E0%B8%8A%E0%B8%B2%E0%B8%95%E0%B8%B4%E0%B8%AB%E0%B8%A1%E0%B8%B9%E0%B9%88%E0%B9%80%E0%B8%81%E0%B8%B2%E0%B8%B0%E0%B9%80%E0%B8%A0%E0%B8%95%E0%B8%A3%E0%B8%B2%20%E0%B8%AA%E0%B8%95%E0%B8%B9%E0%B8%A5</x:v>
      </x:c>
      <x:c r="Z368" s="56" t="n">
        <x:v>6.835761</x:v>
      </x:c>
      <x:c r="AA368" s="56" t="n">
        <x:v>99.752426</x:v>
      </x:c>
      <x:c r="AB368" s="57" t="str"/>
      <x:c r="AC368" s="20" t="str">
        <x:v>https://www.satun.go.th/travel/detail/22</x:v>
      </x:c>
    </x:row>
    <x:row r="369" ht="88" customHeight="1">
      <x:c r="A369" s="54" t="n">
        <x:v>361</x:v>
      </x:c>
      <x:c r="B369" s="20" t="str">
        <x:v>พิพิธภัณฑ์ช้างดึกดำบรรพ์ทุ่งหว้า</x:v>
      </x:c>
      <x:c r="C369" s="20" t="str">
        <x:v>สตูล</x:v>
      </x:c>
      <x:c r="D369" s="20" t="str">
        <x:v>พิพิธภัณฑ์หรือแหล่งเรียนรู้วัฒนธรรม</x:v>
      </x:c>
      <x:c r="E369" s="20" t="str">
        <x:v>พบข้อมูลชื่อตรงจาก พิพิธภัณฑ์ช้างดึกดำบรรพ์ทุ่งหว้า | CBT Thailand; เป็นหลักฐานตัวตน/ประเภท ยังไม่ยืนยันบริการมุสลิมครบเกณฑ์</x:v>
      </x:c>
      <x:c r="F369" s="20" t="str">
        <x:v>ไม่ทราบ</x:v>
      </x:c>
      <x:c r="G369" s="20" t="str">
        <x:v>ยังไม่ยืนยันใบรับรองและวันหมดอายุ</x:v>
      </x:c>
      <x:c r="H369" s="20" t="str">
        <x:v>ตรวจการเปิด ตัวตนสาขา ช่องทางติดต่อ และเงื่อนไขบังคับตามประเภท</x:v>
      </x:c>
      <x:c r="I369" s="20" t="str">
        <x:v>ยังไม่ยืนยันที่อยู่ละเอียด ดูลิงก์แหล่งข้อมูลและ Google Maps</x:v>
      </x:c>
      <x:c r="J369" s="21" t="str">
        <x:v>ยังไม่พบหรือยังไม่ยืนยัน</x:v>
      </x:c>
      <x:c r="K369" s="51" t="str">
        <x:v>https://cbtthailand.dasta.or.th/webapp/relattraction/content/1754/</x:v>
      </x:c>
      <x:c r="L369" s="51" t="str">
        <x:v>https://www.dmr.go.th/wp-content/uploads/2022/10/article_20160923103033-1.pdf</x:v>
      </x:c>
      <x:c r="M369" s="20" t="str">
        <x:v>พบแหล่งต่างเว็บไซต์ พิพิธภัณฑ์ช้างดึกดำบรรพ์ทุ่งหว้า จังหวัดสตูล</x:v>
      </x:c>
      <x:c r="N369" s="28" t="n">
        <x:v>46316</x:v>
      </x:c>
      <x:c r="O369" s="57" t="str">
        <x:v>ยังไม่ตรวจ</x:v>
      </x:c>
      <x:c r="P369" s="57" t="str">
        <x:v>ยังไม่ติดต่อ</x:v>
      </x:c>
      <x:c r="Q369" s="20" t="str">
        <x:v>R26-175</x:v>
      </x:c>
      <x:c r="R369" s="20" t="str"/>
      <x:c r="S369" s="20" t="str"/>
      <x:c r="T369" s="20" t="str">
        <x:v>https://cbtthailand.dasta.or.th/webapp/relattraction/content/1754/</x:v>
      </x:c>
      <x:c r="U369" s="20" t="str"/>
      <x:c r="V369" s="20" t="str"/>
      <x:c r="W369" s="20" t="str"/>
      <x:c r="X369" s="20" t="str"/>
      <x:c r="Y369" s="20" t="str">
        <x:v>https://www.google.com/maps/search/?api=1&amp;query=%E0%B8%9E%E0%B8%B4%E0%B8%9E%E0%B8%B4%E0%B8%98%E0%B8%A0%E0%B8%B1%E0%B8%93%E0%B8%91%E0%B9%8C%E0%B8%8A%E0%B9%89%E0%B8%B2%E0%B8%87%E0%B8%94%E0%B8%B6%E0%B8%81%E0%B8%94%E0%B8%B3%E0%B8%9A%E0%B8%A3%E0%B8%A3%E0%B8%9E%E0%B9%8C%E0%B8%97%E0%B8%B8%E0%B9%88%E0%B8%87%E0%B8%AB%E0%B8%A7%E0%B9%89%E0%B8%B2%20%E0%B8%AA%E0%B8%95%E0%B8%B9%E0%B8%A5</x:v>
      </x:c>
      <x:c r="Z369" s="56" t="str"/>
      <x:c r="AA369" s="56" t="str"/>
      <x:c r="AB369" s="57" t="str"/>
      <x:c r="AC369" s="20" t="str">
        <x:v>https://cbtthailand.dasta.or.th/webapp/relattraction/content/1754/</x:v>
      </x:c>
    </x:row>
    <x:row r="370" ht="88" customHeight="1">
      <x:c r="A370" s="54" t="n">
        <x:v>362</x:v>
      </x:c>
      <x:c r="B370" s="20" t="str">
        <x:v>ชุมชนบ้านทุ่งหว้า</x:v>
      </x:c>
      <x:c r="C370" s="20" t="str">
        <x:v>สตูล</x:v>
      </x:c>
      <x:c r="D370" s="20" t="str">
        <x:v>ชุมชน</x:v>
      </x:c>
      <x:c r="E370" s="20" t="str">
        <x:v>พบข้อมูลชื่อตรงจาก เทศบาลตำบลทุ่งหว้า อำเภอทุ่งหว้า จังหวัดสตูล; เป็นหลักฐานตัวตน/ประเภท ยังไม่ยืนยันบริการมุสลิมครบเกณฑ์</x:v>
      </x:c>
      <x:c r="F370" s="20" t="str">
        <x:v>ไม่ทราบ</x:v>
      </x:c>
      <x:c r="G370" s="20" t="str">
        <x:v>ยังไม่ยืนยันใบรับรองและวันหมดอายุ</x:v>
      </x:c>
      <x:c r="H370" s="20" t="str">
        <x:v>ตรวจการเปิด ตัวตนสาขา ช่องทางติดต่อ และเงื่อนไขบังคับตามประเภท</x:v>
      </x:c>
      <x:c r="I370" s="20" t="str">
        <x:v>ยังไม่ยืนยันที่อยู่ละเอียด ดูลิงก์แหล่งข้อมูลและ Google Maps</x:v>
      </x:c>
      <x:c r="J370" s="21" t="str">
        <x:v>ยังไม่พบหรือยังไม่ยืนยัน</x:v>
      </x:c>
      <x:c r="K370" s="51" t="str">
        <x:v>https://thungwacity.go.th/index/</x:v>
      </x:c>
      <x:c r="L370" s="51" t="str">
        <x:v>https://cbtthailand.dasta.or.th/webapp/community/content/67/</x:v>
      </x:c>
      <x:c r="M370" s="20" t="str">
        <x:v>พบแหล่งต่างเว็บไซต์ กลุ่มท่องเที่ยวชุมชนตำบลทุ่งหว้า | CBT Thailand</x:v>
      </x:c>
      <x:c r="N370" s="28" t="n">
        <x:v>46316</x:v>
      </x:c>
      <x:c r="O370" s="57" t="str">
        <x:v>ยังไม่ตรวจ</x:v>
      </x:c>
      <x:c r="P370" s="57" t="str">
        <x:v>ยังไม่ติดต่อ</x:v>
      </x:c>
      <x:c r="Q370" s="20" t="str">
        <x:v>R26-172</x:v>
      </x:c>
      <x:c r="R370" s="20" t="str"/>
      <x:c r="S370" s="20" t="str"/>
      <x:c r="T370" s="20" t="str">
        <x:v>https://thungwacity.go.th/index/</x:v>
      </x:c>
      <x:c r="U370" s="20" t="str"/>
      <x:c r="V370" s="20" t="str"/>
      <x:c r="W370" s="20" t="str"/>
      <x:c r="X370" s="20" t="str"/>
      <x:c r="Y370" s="20" t="str">
        <x:v>https://www.google.com/maps/search/?api=1&amp;query=%E0%B8%8A%E0%B8%B8%E0%B8%A1%E0%B8%8A%E0%B8%99%E0%B8%9A%E0%B9%89%E0%B8%B2%E0%B8%99%E0%B8%97%E0%B8%B8%E0%B9%88%E0%B8%87%E0%B8%AB%E0%B8%A7%E0%B9%89%E0%B8%B2%20%E0%B8%AA%E0%B8%95%E0%B8%B9%E0%B8%A5</x:v>
      </x:c>
      <x:c r="Z370" s="56" t="n">
        <x:v>7.108922</x:v>
      </x:c>
      <x:c r="AA370" s="56" t="n">
        <x:v>99.755865</x:v>
      </x:c>
      <x:c r="AB370" s="57" t="str"/>
      <x:c r="AC370" s="20" t="str">
        <x:v>https://thungwacity.go.th/index/</x:v>
      </x:c>
    </x:row>
    <x:row r="371" ht="88" customHeight="1">
      <x:c r="A371" s="54" t="n">
        <x:v>363</x:v>
      </x:c>
      <x:c r="B371" s="20" t="str">
        <x:v>ชุมชนบ้านบากันใหญ่</x:v>
      </x:c>
      <x:c r="C371" s="20" t="str">
        <x:v>สตูล</x:v>
      </x:c>
      <x:c r="D371" s="20" t="str">
        <x:v>ชุมชน</x:v>
      </x:c>
      <x:c r="E371" s="20" t="str">
        <x:v>พบข้อมูลชื่อตรงจาก บ้านบากันใหญ่; เป็นหลักฐานตัวตน/ประเภท ยังไม่ยืนยันบริการมุสลิมครบเกณฑ์</x:v>
      </x:c>
      <x:c r="F371" s="20" t="str">
        <x:v>ไม่ทราบ</x:v>
      </x:c>
      <x:c r="G371" s="20" t="str">
        <x:v>ยังไม่ยืนยันใบรับรองและวันหมดอายุ</x:v>
      </x:c>
      <x:c r="H371" s="20" t="str">
        <x:v>ตรวจการเปิด ตัวตนสาขา ช่องทางติดต่อ และเงื่อนไขบังคับตามประเภท</x:v>
      </x:c>
      <x:c r="I371" s="20" t="str">
        <x:v>ยังไม่ยืนยันที่อยู่ละเอียด ดูลิงก์แหล่งข้อมูลและ Google Maps</x:v>
      </x:c>
      <x:c r="J371" s="21" t="str">
        <x:v>ยังไม่พบหรือยังไม่ยืนยัน</x:v>
      </x:c>
      <x:c r="K371" s="51" t="str">
        <x:v>https://wikicommunity.sac.or.th/community/2637</x:v>
      </x:c>
      <x:c r="L371" s="51" t="str">
        <x:v>https://nbtworld.prd.go.th/th/news/detail/TCATG201019101840151</x:v>
      </x:c>
      <x:c r="M371" s="20" t="str">
        <x:v>พบแหล่งต่างเว็บไซต์ ศูนย์เรียนรู้ชุมชนบ้านบากันใหญ่ จังหวัดสตูล กำหนดเปิดม่านบากันใหญ่ ...</x:v>
      </x:c>
      <x:c r="N371" s="28" t="n">
        <x:v>46316</x:v>
      </x:c>
      <x:c r="O371" s="57" t="str">
        <x:v>ยังไม่ตรวจ</x:v>
      </x:c>
      <x:c r="P371" s="57" t="str">
        <x:v>ยังไม่ติดต่อ</x:v>
      </x:c>
      <x:c r="Q371" s="20" t="str">
        <x:v>R26-173</x:v>
      </x:c>
      <x:c r="R371" s="20" t="str"/>
      <x:c r="S371" s="20" t="str"/>
      <x:c r="T371" s="20" t="str">
        <x:v>https://wikicommunity.sac.or.th/community/2637</x:v>
      </x:c>
      <x:c r="U371" s="20" t="str"/>
      <x:c r="V371" s="20" t="str"/>
      <x:c r="W371" s="20" t="str"/>
      <x:c r="X371" s="20" t="str"/>
      <x:c r="Y371" s="20" t="str">
        <x:v>https://www.google.com/maps/search/?api=1&amp;query=%E0%B8%8A%E0%B8%B8%E0%B8%A1%E0%B8%8A%E0%B8%99%E0%B8%9A%E0%B9%89%E0%B8%B2%E0%B8%99%E0%B8%9A%E0%B8%B2%E0%B8%81%E0%B8%B1%E0%B8%99%E0%B9%83%E0%B8%AB%E0%B8%8D%E0%B9%88%20%E0%B8%AA%E0%B8%95%E0%B8%B9%E0%B8%A5</x:v>
      </x:c>
      <x:c r="Z371" s="56" t="n">
        <x:v>6.712711</x:v>
      </x:c>
      <x:c r="AA371" s="56" t="n">
        <x:v>99.845584</x:v>
      </x:c>
      <x:c r="AB371" s="57" t="str"/>
      <x:c r="AC371" s="20" t="str">
        <x:v>https://wikicommunity.sac.or.th/community/2637</x:v>
      </x:c>
    </x:row>
    <x:row r="372" ht="88" customHeight="1">
      <x:c r="A372" s="54" t="n">
        <x:v>364</x:v>
      </x:c>
      <x:c r="B372" s="20" t="str">
        <x:v>น้ำตกร้อนคลองท่อม</x:v>
      </x:c>
      <x:c r="C372" s="20" t="str">
        <x:v>กระบี่</x:v>
      </x:c>
      <x:c r="D372" s="20" t="str">
        <x:v>ธรรมชาติ</x:v>
      </x:c>
      <x:c r="E372" s="20" t="str">
        <x:v>พบข้อมูลชื่อตรงจาก น้ำตกร้อน คลองท่อม; เป็นหลักฐานตัวตน/ประเภท ยังไม่ยืนยันบริการมุสลิมครบเกณฑ์</x:v>
      </x:c>
      <x:c r="F372" s="20" t="str">
        <x:v>ไม่ทราบ</x:v>
      </x:c>
      <x:c r="G372" s="20" t="str">
        <x:v>ยังไม่ยืนยันใบรับรองและวันหมดอายุ</x:v>
      </x:c>
      <x:c r="H372" s="20" t="str">
        <x:v>ตรวจการเปิด ตัวตนสาขา ช่องทางติดต่อ และเงื่อนไขบังคับตามประเภท</x:v>
      </x:c>
      <x:c r="I372" s="20" t="str">
        <x:v>ยังไม่ยืนยันที่อยู่ละเอียด ดูลิงก์แหล่งข้อมูลและ Google Maps</x:v>
      </x:c>
      <x:c r="J372" s="21" t="str">
        <x:v>ยังไม่พบหรือยังไม่ยืนยัน</x:v>
      </x:c>
      <x:c r="K372" s="51" t="str">
        <x:v>https://www.thailandtourismdirectory.go.th/attraction/99172</x:v>
      </x:c>
      <x:c r="L372" s="51" t="str">
        <x:v>https://cbtthailand.dasta.or.th/webapp/relattraction/content/2698/</x:v>
      </x:c>
      <x:c r="M372" s="20" t="str">
        <x:v>พบแหล่งต่างเว็บไซต์ น้ำตกร้อนคลองท่อม | CBT Thailand</x:v>
      </x:c>
      <x:c r="N372" s="28" t="n">
        <x:v>46316</x:v>
      </x:c>
      <x:c r="O372" s="57" t="str">
        <x:v>ยังไม่ตรวจ</x:v>
      </x:c>
      <x:c r="P372" s="57" t="str">
        <x:v>ยังไม่ติดต่อ</x:v>
      </x:c>
      <x:c r="Q372" s="20" t="str">
        <x:v>R26-077</x:v>
      </x:c>
      <x:c r="R372" s="20" t="str"/>
      <x:c r="S372" s="20" t="str"/>
      <x:c r="T372" s="20" t="str">
        <x:v>https://www.thailandtourismdirectory.go.th/attraction/99172</x:v>
      </x:c>
      <x:c r="U372" s="20" t="str"/>
      <x:c r="V372" s="20" t="str"/>
      <x:c r="W372" s="20" t="str"/>
      <x:c r="X372" s="20" t="str"/>
      <x:c r="Y372" s="20" t="str">
        <x:v>https://www.google.com/maps/search/?api=1&amp;query=%E0%B8%99%E0%B9%89%E0%B8%B3%E0%B8%95%E0%B8%81%E0%B8%A3%E0%B9%89%E0%B8%AD%E0%B8%99%E0%B8%84%E0%B8%A5%E0%B8%AD%E0%B8%87%E0%B8%97%E0%B9%88%E0%B8%AD%E0%B8%A1%20%E0%B8%81%E0%B8%A3%E0%B8%B0%E0%B8%9A%E0%B8%B5%E0%B9%88</x:v>
      </x:c>
      <x:c r="Z372" s="56" t="n">
        <x:v>7.935253</x:v>
      </x:c>
      <x:c r="AA372" s="56" t="n">
        <x:v>99.207914</x:v>
      </x:c>
      <x:c r="AB372" s="57" t="str"/>
      <x:c r="AC372" s="20" t="str">
        <x:v>https://www.thailandtourismdirectory.go.th/attraction/99172</x:v>
      </x:c>
    </x:row>
    <x:row r="373" ht="88" customHeight="1">
      <x:c r="A373" s="54" t="n">
        <x:v>365</x:v>
      </x:c>
      <x:c r="B373" s="20" t="str">
        <x:v>สระมรกต</x:v>
      </x:c>
      <x:c r="C373" s="20" t="str">
        <x:v>กระบี่</x:v>
      </x:c>
      <x:c r="D373" s="20" t="str">
        <x:v>ธรรมชาติ</x:v>
      </x:c>
      <x:c r="E373" s="20" t="str">
        <x:v>พบข้อมูลชื่อตรงจาก สระมรกต; เป็นหลักฐานตัวตน/ประเภท ยังไม่ยืนยันบริการมุสลิมครบเกณฑ์</x:v>
      </x:c>
      <x:c r="F373" s="20" t="str">
        <x:v>ไม่ทราบ</x:v>
      </x:c>
      <x:c r="G373" s="20" t="str">
        <x:v>ยังไม่ยืนยันใบรับรองและวันหมดอายุ</x:v>
      </x:c>
      <x:c r="H373" s="20" t="str">
        <x:v>ตรวจการเปิด ตัวตนสาขา ช่องทางติดต่อ และเงื่อนไขบังคับตามประเภท</x:v>
      </x:c>
      <x:c r="I373" s="20" t="str">
        <x:v>ยังไม่ยืนยันที่อยู่ละเอียด ดูลิงก์แหล่งข้อมูลและ Google Maps</x:v>
      </x:c>
      <x:c r="J373" s="21" t="str">
        <x:v>ยังไม่พบหรือยังไม่ยืนยัน</x:v>
      </x:c>
      <x:c r="K373" s="51" t="str">
        <x:v>https://www.thailandtourismdirectory.go.th/attraction/97955</x:v>
      </x:c>
      <x:c r="L373" s="51" t="str">
        <x:v>https://cbtthailand.dasta.or.th/webapp/relattraction/content/994/</x:v>
      </x:c>
      <x:c r="M373" s="20" t="str">
        <x:v>พบแหล่งต่างเว็บไซต์ สระมรกต | CBT Thailand</x:v>
      </x:c>
      <x:c r="N373" s="28" t="n">
        <x:v>46316</x:v>
      </x:c>
      <x:c r="O373" s="57" t="str">
        <x:v>ยังไม่ตรวจ</x:v>
      </x:c>
      <x:c r="P373" s="57" t="str">
        <x:v>ยังไม่ติดต่อ</x:v>
      </x:c>
      <x:c r="Q373" s="20" t="str">
        <x:v>R26-079</x:v>
      </x:c>
      <x:c r="R373" s="20" t="str"/>
      <x:c r="S373" s="20" t="str"/>
      <x:c r="T373" s="20" t="str">
        <x:v>https://www.thailandtourismdirectory.go.th/attraction/97955</x:v>
      </x:c>
      <x:c r="U373" s="20" t="str"/>
      <x:c r="V373" s="20" t="str"/>
      <x:c r="W373" s="20" t="str"/>
      <x:c r="X373" s="20" t="str"/>
      <x:c r="Y373" s="20" t="str">
        <x:v>https://www.google.com/maps/search/?api=1&amp;query=%E0%B8%AA%E0%B8%A3%E0%B8%B0%E0%B8%A1%E0%B8%A3%E0%B8%81%E0%B8%95%20%E0%B8%81%E0%B8%A3%E0%B8%B0%E0%B8%9A%E0%B8%B5%E0%B9%88</x:v>
      </x:c>
      <x:c r="Z373" s="56" t="n">
        <x:v>7.925077</x:v>
      </x:c>
      <x:c r="AA373" s="56" t="n">
        <x:v>99.268151</x:v>
      </x:c>
      <x:c r="AB373" s="57" t="str"/>
      <x:c r="AC373" s="20" t="str">
        <x:v>https://www.thailandtourismdirectory.go.th/attraction/97955</x:v>
      </x:c>
    </x:row>
    <x:row r="374" ht="88" customHeight="1">
      <x:c r="A374" s="54" t="n">
        <x:v>366</x:v>
      </x:c>
      <x:c r="B374" s="20" t="str">
        <x:v>มัสยิดกลางจังหวัดกระบี่</x:v>
      </x:c>
      <x:c r="C374" s="20" t="str">
        <x:v>กระบี่</x:v>
      </x:c>
      <x:c r="D374" s="20" t="str">
        <x:v>มัสยิด</x:v>
      </x:c>
      <x:c r="E374" s="20" t="str">
        <x:v>พบข้อมูลชื่อตรงจาก นอกจากนี้ นักท่องเที่ยวสามารถแวะละหมาดได้ตามมัสยิดที่ตั้งอยู่ใกล้ถนนสายหลัก หรืออาจแวะได้ที่มัสยิดกลางจังหวัดกระบี่ซึ่งอยู่ในเส้นทางหลักเช่นกัน พื้นที่จังหวัดกระบี่ พังงา และภูเก็ตมีประชาชนที่นับถือศาสนาอิสลามจำนวนมากทำให้มีมัสยิดที่กระจายอยู่ในพื้นที่ใกล้เคียงกับแหล่งท่องเที่ยว จากข้อมูลของสำนักงานคณะกรรมการอิสลามประจำจังหวัดของแต่ละจังหวัดได้ระบุจำนวนมัสยิดในแต่ละจังหวัดได้ตามตารางที่ 4.1; เป็นหลักฐานตัวตน/ประเภท ยังไม่ยืนยันบริการมุสลิมครบเกณฑ์</x:v>
      </x:c>
      <x:c r="F374" s="20" t="str">
        <x:v>ไม่ทราบ</x:v>
      </x:c>
      <x:c r="G374" s="20" t="str">
        <x:v>ยังไม่ยืนยันใบรับรองและวันหมดอายุ</x:v>
      </x:c>
      <x:c r="H37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374" s="20" t="str">
        <x:v>ยังไม่ยืนยันที่อยู่ละเอียด ดูลิงก์แหล่งข้อมูลและ Google Maps</x:v>
      </x:c>
      <x:c r="J374" s="21" t="str">
        <x:v>ยังไม่พบหรือยังไม่ยืนยัน</x:v>
      </x:c>
      <x:c r="K374" s="51" t="str">
        <x:v>https://elibrary.tsri.or.th/fullP/RDG60T0033/RDG60T0033V01/RDG60T0033V01_full.pdf</x:v>
      </x:c>
      <x:c r="L374" s="51" t="str">
        <x:v>https://www.mots.go.th/download/TourismData/BestRouteOfMuslimGroupInThailand.pdf</x:v>
      </x:c>
      <x:c r="M374" s="20" t="str">
        <x:v>พบแหล่งต่างเว็บไซต์ | สุดยอดเสนทางการทองเที่ยวกลุมมุสลิมในประเทศไทย สำนักงานปล ัดกระทรวงการท องเที่ยวและกีฬา  |</x:v>
      </x:c>
      <x:c r="N374" s="28" t="n">
        <x:v>46316</x:v>
      </x:c>
      <x:c r="O374" s="57" t="str">
        <x:v>ยังไม่ตรวจ</x:v>
      </x:c>
      <x:c r="P374" s="57" t="str">
        <x:v>ยังไม่ติดต่อ</x:v>
      </x:c>
      <x:c r="Q374" s="20" t="str">
        <x:v>R26-076</x:v>
      </x:c>
      <x:c r="R374" s="20" t="str"/>
      <x:c r="S374" s="20" t="str"/>
      <x:c r="T374" s="20" t="str">
        <x:v>https://elibrary.tsri.or.th/fullP/RDG60T0033/RDG60T0033V01/RDG60T0033V01_full.pdf</x:v>
      </x:c>
      <x:c r="U374" s="20" t="str"/>
      <x:c r="V374" s="20" t="str"/>
      <x:c r="W374" s="20" t="str"/>
      <x:c r="X374" s="20" t="str"/>
      <x:c r="Y374" s="20" t="str">
        <x:v>https://www.google.com/maps/search/?api=1&amp;query=%E0%B8%A1%E0%B8%B1%E0%B8%AA%E0%B8%A2%E0%B8%B4%E0%B8%94%E0%B8%81%E0%B8%A5%E0%B8%B2%E0%B8%87%E0%B8%88%E0%B8%B1%E0%B8%87%E0%B8%AB%E0%B8%A7%E0%B8%B1%E0%B8%94%E0%B8%81%E0%B8%A3%E0%B8%B0%E0%B8%9A%E0%B8%B5%E0%B9%88%20%E0%B8%81%E0%B8%A3%E0%B8%B0%E0%B8%9A%E0%B8%B5%E0%B9%88</x:v>
      </x:c>
      <x:c r="Z374" s="56" t="str"/>
      <x:c r="AA374" s="56" t="str"/>
      <x:c r="AB374" s="57" t="str"/>
      <x:c r="AC374" s="20" t="str">
        <x:v>https://elibrary.tsri.or.th/fullP/RDG60T0033/RDG60T0033V01/RDG60T0033V01_full.pdf</x:v>
      </x:c>
    </x:row>
    <x:row r="375" ht="88" customHeight="1">
      <x:c r="A375" s="54" t="n">
        <x:v>367</x:v>
      </x:c>
      <x:c r="B375" s="20" t="str">
        <x:v>Ahad Suite Ao Nang</x:v>
      </x:c>
      <x:c r="C375" s="20" t="str">
        <x:v>กระบี่</x:v>
      </x:c>
      <x:c r="D375" s="20" t="str">
        <x:v>ที่พัก (ตรวจประเภทจากชื่อและข้อมูลประกอบ)</x:v>
      </x:c>
      <x:c r="E375" s="20" t="str">
        <x:v>Makan Verify; ระบุมีห้องละหมาด</x:v>
      </x:c>
      <x:c r="F375" s="20" t="str">
        <x:v>มีข้อมูลระบุ แต่รอยืนยัน</x:v>
      </x:c>
      <x:c r="G375" s="20" t="str">
        <x:v>ยังไม่พบเอกสารรับรองและวันหมดอายุ</x:v>
      </x:c>
      <x:c r="H375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375" s="20" t="str">
        <x:v>Klong Heang Sol 5 , Ao Nang, Mueng, Krabi 81000, Thailand, Krabi, Thailand, Krabi</x:v>
      </x:c>
      <x:c r="J375" s="21" t="str">
        <x:v>0967792273</x:v>
      </x:c>
      <x:c r="K375" s="51" t="str">
        <x:v>https://makanhalalguide.com/shop/detail/5388</x:v>
      </x:c>
      <x:c r="L375" s="51" t="str">
        <x:v>https://www.agoda.com/en-sg/ahad-suite-ao-nang-by-ma/reviews/krabi-th.html</x:v>
      </x:c>
      <x:c r="M375" s="20" t="str">
        <x:v>ผลค้นหาชื่อสัมพันธ์จากแหล่งเพิ่มเติม ต้องยืนยันสาขาและข้อมูลปัจจุบัน</x:v>
      </x:c>
      <x:c r="N375" s="28" t="n">
        <x:v>46315</x:v>
      </x:c>
      <x:c r="O375" s="57" t="str">
        <x:v>ยังไม่ตรวจ</x:v>
      </x:c>
      <x:c r="P375" s="57" t="str">
        <x:v>ยังไม่ติดต่อ</x:v>
      </x:c>
      <x:c r="Q375" s="20" t="str">
        <x:v>TMF-031</x:v>
      </x:c>
      <x:c r="R375" s="20" t="str">
        <x:v>Ahad Suite Ao Nang</x:v>
      </x:c>
      <x:c r="S375" s="20" t="str"/>
      <x:c r="T375" s="20" t="str">
        <x:v>https://makanhalalguide.com/shop/detail/5388</x:v>
      </x:c>
      <x:c r="U375" s="20" t="str"/>
      <x:c r="V375" s="20" t="str"/>
      <x:c r="W375" s="20" t="str"/>
      <x:c r="X375" s="20" t="str"/>
      <x:c r="Y375" s="20" t="str">
        <x:v>https://www.google.com/maps/search/?api=1&amp;query=Ahad%20Suite%20Ao%20Nang%20%E0%B8%81%E0%B8%A3%E0%B8%B0%E0%B8%9A%E0%B8%B5%E0%B9%88</x:v>
      </x:c>
      <x:c r="Z375" s="56" t="n">
        <x:v>8.046011</x:v>
      </x:c>
      <x:c r="AA375" s="56" t="n">
        <x:v>98.817648</x:v>
      </x:c>
      <x:c r="AB375" s="57" t="str"/>
      <x:c r="AC375" s="20" t="str">
        <x:v>https://makanhalalguide.com/shop/detail/5388</x:v>
      </x:c>
    </x:row>
    <x:row r="376" ht="88" customHeight="1">
      <x:c r="A376" s="54" t="n">
        <x:v>368</x:v>
      </x:c>
      <x:c r="B376" s="20" t="str">
        <x:v>Alama Sea Village Resort Koh Lanta</x:v>
      </x:c>
      <x:c r="C376" s="20" t="str">
        <x:v>กระบี่</x:v>
      </x:c>
      <x:c r="D376" s="20" t="str">
        <x:v>โรงแรมหรือรีสอร์ท</x:v>
      </x:c>
      <x:c r="E376" s="20" t="str">
        <x:v>Makan Verify; ระบุมีห้องละหมาด</x:v>
      </x:c>
      <x:c r="F376" s="20" t="str">
        <x:v>มีข้อมูลระบุ แต่รอยืนยัน</x:v>
      </x:c>
      <x:c r="G376" s="20" t="str">
        <x:v>ยังไม่พบเอกสารรับรองและวันหมดอายุ</x:v>
      </x:c>
      <x:c r="H37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76" s="20" t="str">
        <x:v>333 ตำบล เกาะลันตาใหญ่ อำเภอเกาะลันตา กระบี่ 81550</x:v>
      </x:c>
      <x:c r="J376" s="21" t="str">
        <x:v>075665151</x:v>
      </x:c>
      <x:c r="K376" s="51" t="str">
        <x:v>https://makanhalalguide.com/shop/detail/5412</x:v>
      </x:c>
      <x:c r="L376" s="51" t="str">
        <x:v>https://www.agoda.com/alama-sea-village-resort/hotel/koh-lanta-th.html</x:v>
      </x:c>
      <x:c r="M376" s="20" t="str">
        <x:v>ผลค้นหาชื่อสัมพันธ์จากแหล่งเพิ่มเติม ต้องยืนยันสาขาและข้อมูลปัจจุบัน</x:v>
      </x:c>
      <x:c r="N376" s="28" t="n">
        <x:v>46315</x:v>
      </x:c>
      <x:c r="O376" s="57" t="str">
        <x:v>ยังไม่ตรวจ</x:v>
      </x:c>
      <x:c r="P376" s="57" t="str">
        <x:v>ยังไม่ติดต่อ</x:v>
      </x:c>
      <x:c r="Q376" s="20" t="str">
        <x:v>TMF-020</x:v>
      </x:c>
      <x:c r="R376" s="20" t="str">
        <x:v>Alama Sea Village Resort Koh Lanta</x:v>
      </x:c>
      <x:c r="S376" s="20" t="str"/>
      <x:c r="T376" s="20" t="str">
        <x:v>https://makanhalalguide.com/shop/detail/5412</x:v>
      </x:c>
      <x:c r="U376" s="20" t="str"/>
      <x:c r="V376" s="20" t="str"/>
      <x:c r="W376" s="20" t="str"/>
      <x:c r="X376" s="20" t="str"/>
      <x:c r="Y376" s="20" t="str">
        <x:v>https://www.google.com/maps/search/?api=1&amp;query=Alama%20Sea%20Village%20Resort%20Koh%20Lanta%20%E0%B8%81%E0%B8%A3%E0%B8%B0%E0%B8%9A%E0%B8%B5%E0%B9%88</x:v>
      </x:c>
      <x:c r="Z376" s="56" t="n">
        <x:v>7.500243</x:v>
      </x:c>
      <x:c r="AA376" s="56" t="n">
        <x:v>99.069174</x:v>
      </x:c>
      <x:c r="AB376" s="57" t="str"/>
      <x:c r="AC376" s="20" t="str">
        <x:v>https://makanhalalguide.com/shop/detail/5412</x:v>
      </x:c>
    </x:row>
    <x:row r="377" ht="88" customHeight="1">
      <x:c r="A377" s="54" t="n">
        <x:v>369</x:v>
      </x:c>
      <x:c r="B377" s="20" t="str">
        <x:v>Aonang Fiore resort, Krabi Thailand</x:v>
      </x:c>
      <x:c r="C377" s="20" t="str">
        <x:v>กระบี่</x:v>
      </x:c>
      <x:c r="D377" s="20" t="str">
        <x:v>โรงแรมหรือรีสอร์ท</x:v>
      </x:c>
      <x:c r="E377" s="20" t="str">
        <x:v>Makan Verify; ระบุมีห้องละหมาด</x:v>
      </x:c>
      <x:c r="F377" s="20" t="str">
        <x:v>มีข้อมูลระบุ แต่รอยืนยัน</x:v>
      </x:c>
      <x:c r="G377" s="20" t="str">
        <x:v>ยังไม่พบเอกสารรับรองและวันหมดอายุ</x:v>
      </x:c>
      <x:c r="H37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77" s="20" t="str">
        <x:v>764, ตำบล อ่าวนาง Muang, กระบี่ 81180</x:v>
      </x:c>
      <x:c r="J377" s="21" t="str">
        <x:v>0630811693</x:v>
      </x:c>
      <x:c r="K377" s="51" t="str">
        <x:v>https://makanhalalguide.com/shop/detail/5407</x:v>
      </x:c>
      <x:c r="L377" s="51" t="str">
        <x:v>https://www.tripadvisor.com/Hotel_Review-g1507054-d10006885-Reviews-Aonang_Fiore_Resort-Ao_Nang_Krabi_Province.html</x:v>
      </x:c>
      <x:c r="M377" s="20" t="str">
        <x:v>ผลค้นหาชื่อสัมพันธ์จากแหล่งเพิ่มเติม ต้องยืนยันสาขาและข้อมูลปัจจุบัน</x:v>
      </x:c>
      <x:c r="N377" s="28" t="n">
        <x:v>46315</x:v>
      </x:c>
      <x:c r="O377" s="57" t="str">
        <x:v>ยังไม่ตรวจ</x:v>
      </x:c>
      <x:c r="P377" s="57" t="str">
        <x:v>ยังไม่ติดต่อ</x:v>
      </x:c>
      <x:c r="Q377" s="20" t="str">
        <x:v>TMF-021</x:v>
      </x:c>
      <x:c r="R377" s="20" t="str">
        <x:v>Aonang Fiore resort, Krabi Thailand</x:v>
      </x:c>
      <x:c r="S377" s="20" t="str"/>
      <x:c r="T377" s="20" t="str">
        <x:v>https://makanhalalguide.com/shop/detail/5407</x:v>
      </x:c>
      <x:c r="U377" s="20" t="str"/>
      <x:c r="V377" s="20" t="str"/>
      <x:c r="W377" s="20" t="str"/>
      <x:c r="X377" s="20" t="str"/>
      <x:c r="Y377" s="20" t="str">
        <x:v>https://www.google.com/maps/search/?api=1&amp;query=Aonang%20Fiore%20resort%2C%20Krabi%20Thailand%20%E0%B8%81%E0%B8%A3%E0%B8%B0%E0%B8%9A%E0%B8%B5%E0%B9%88</x:v>
      </x:c>
      <x:c r="Z377" s="56" t="n">
        <x:v>8.041313</x:v>
      </x:c>
      <x:c r="AA377" s="56" t="n">
        <x:v>98.835762</x:v>
      </x:c>
      <x:c r="AB377" s="57" t="str"/>
      <x:c r="AC377" s="20" t="str">
        <x:v>https://makanhalalguide.com/shop/detail/5407</x:v>
      </x:c>
    </x:row>
    <x:row r="378" ht="88" customHeight="1">
      <x:c r="A378" s="54" t="n">
        <x:v>370</x:v>
      </x:c>
      <x:c r="B378" s="20" t="str">
        <x:v>Aonang Phu Pi Maan Resort &amp; Spa</x:v>
      </x:c>
      <x:c r="C378" s="20" t="str">
        <x:v>กระบี่</x:v>
      </x:c>
      <x:c r="D378" s="20" t="str">
        <x:v>โรงแรมหรือรีสอร์ท</x:v>
      </x:c>
      <x:c r="E378" s="20" t="str">
        <x:v>Makan Verify; ระบุมีห้องละหมาด</x:v>
      </x:c>
      <x:c r="F378" s="20" t="str">
        <x:v>มีข้อมูลระบุ แต่รอยืนยัน</x:v>
      </x:c>
      <x:c r="G378" s="20" t="str">
        <x:v>ยังไม่พบเอกสารรับรองและวันหมดอายุ</x:v>
      </x:c>
      <x:c r="H37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78" s="20" t="str">
        <x:v>86, 8 ตำบล อ่าวนาง อำเภอเมืองกระบี่ กระบี่ 81180</x:v>
      </x:c>
      <x:c r="J378" s="21" t="str">
        <x:v>075637111</x:v>
      </x:c>
      <x:c r="K378" s="51" t="str">
        <x:v>https://makanhalalguide.com/shop/detail/5402</x:v>
      </x:c>
      <x:c r="L378" s="51" t="str">
        <x:v>https://www.trip.com/hotels/krabi-hotel-detail-709733/aonang-phu-pi-maan-resort-spa/review.html</x:v>
      </x:c>
      <x:c r="M378" s="20" t="str">
        <x:v>ผลค้นหาชื่อสัมพันธ์จากแหล่งเพิ่มเติม ต้องยืนยันสาขาและข้อมูลปัจจุบัน</x:v>
      </x:c>
      <x:c r="N378" s="28" t="n">
        <x:v>46315</x:v>
      </x:c>
      <x:c r="O378" s="57" t="str">
        <x:v>ยังไม่ตรวจ</x:v>
      </x:c>
      <x:c r="P378" s="57" t="str">
        <x:v>ยังไม่ติดต่อ</x:v>
      </x:c>
      <x:c r="Q378" s="20" t="str">
        <x:v>TMF-022</x:v>
      </x:c>
      <x:c r="R378" s="20" t="str">
        <x:v>Aonang Phu Pi Maan Resort &amp; Spa</x:v>
      </x:c>
      <x:c r="S378" s="20" t="str"/>
      <x:c r="T378" s="20" t="str">
        <x:v>https://makanhalalguide.com/shop/detail/5402</x:v>
      </x:c>
      <x:c r="U378" s="20" t="str"/>
      <x:c r="V378" s="20" t="str"/>
      <x:c r="W378" s="20" t="str"/>
      <x:c r="X378" s="20" t="str"/>
      <x:c r="Y378" s="20" t="str">
        <x:v>https://www.google.com/maps/search/?api=1&amp;query=Aonang%20Phu%20Pi%20Maan%20Resort%20%26%20Spa%20%E0%B8%81%E0%B8%A3%E0%B8%B0%E0%B8%9A%E0%B8%B5%E0%B9%88</x:v>
      </x:c>
      <x:c r="Z378" s="56" t="n">
        <x:v>8.037099</x:v>
      </x:c>
      <x:c r="AA378" s="56" t="n">
        <x:v>98.830907</x:v>
      </x:c>
      <x:c r="AB378" s="57" t="str"/>
      <x:c r="AC378" s="20" t="str">
        <x:v>https://makanhalalguide.com/shop/detail/5402</x:v>
      </x:c>
    </x:row>
    <x:row r="379" ht="88" customHeight="1">
      <x:c r="A379" s="54" t="n">
        <x:v>371</x:v>
      </x:c>
      <x:c r="B379" s="20" t="str">
        <x:v>Railay Great View Resort &amp; Spa รีสอร์ท มุสลิม</x:v>
      </x:c>
      <x:c r="C379" s="20" t="str">
        <x:v>กระบี่</x:v>
      </x:c>
      <x:c r="D379" s="20" t="str">
        <x:v>โรงแรมหรือรีสอร์ท</x:v>
      </x:c>
      <x:c r="E379" s="20" t="str">
        <x:v>Makan Verify; ระบุมีห้องละหมาด</x:v>
      </x:c>
      <x:c r="F379" s="20" t="str">
        <x:v>มีข้อมูลระบุ แต่รอยืนยัน</x:v>
      </x:c>
      <x:c r="G379" s="20" t="str">
        <x:v>ยังไม่พบเอกสารรับรองและวันหมดอายุ</x:v>
      </x:c>
      <x:c r="H37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79" s="20" t="str">
        <x:v>588 Moo 2, Ao Nang , Maung, Krabi กระบี่ 81000</x:v>
      </x:c>
      <x:c r="J379" s="21" t="str">
        <x:v>0986705131</x:v>
      </x:c>
      <x:c r="K379" s="51" t="str">
        <x:v>https://makanhalalguide.com/shop/detail/5404</x:v>
      </x:c>
      <x:c r="L379" s="51" t="str">
        <x:v>https://chillpainai.com/scoop/12845</x:v>
      </x:c>
      <x:c r="M379" s="20" t="str">
        <x:v>ผลค้นหาชื่อสัมพันธ์จากแหล่งเพิ่มเติม ต้องยืนยันสาขาและข้อมูลปัจจุบัน</x:v>
      </x:c>
      <x:c r="N379" s="28" t="n">
        <x:v>46315</x:v>
      </x:c>
      <x:c r="O379" s="57" t="str">
        <x:v>ยังไม่ตรวจ</x:v>
      </x:c>
      <x:c r="P379" s="57" t="str">
        <x:v>ยังไม่ติดต่อ</x:v>
      </x:c>
      <x:c r="Q379" s="20" t="str">
        <x:v>TMF-024</x:v>
      </x:c>
      <x:c r="R379" s="20" t="str"/>
      <x:c r="S379" s="20" t="str"/>
      <x:c r="T379" s="20" t="str">
        <x:v>https://makanhalalguide.com/shop/detail/5404</x:v>
      </x:c>
      <x:c r="U379" s="20" t="str"/>
      <x:c r="V379" s="20" t="str"/>
      <x:c r="W379" s="20" t="str"/>
      <x:c r="X379" s="20" t="str"/>
      <x:c r="Y379" s="20" t="str">
        <x:v>https://www.google.com/maps/search/?api=1&amp;query=Railay%20Great%20View%20Resort%20%26%20Spa%20%E0%B8%A3%E0%B8%B5%E0%B8%AA%E0%B8%AD%E0%B8%A3%E0%B9%8C%E0%B8%97%20%E0%B8%A1%E0%B8%B8%E0%B8%AA%E0%B8%A5%E0%B8%B4%E0%B8%A1%20%E0%B8%81%E0%B8%A3%E0%B8%B0%E0%B8%9A%E0%B8%B5%E0%B9%88</x:v>
      </x:c>
      <x:c r="Z379" s="56" t="n">
        <x:v>8.013508</x:v>
      </x:c>
      <x:c r="AA379" s="56" t="n">
        <x:v>98.846338</x:v>
      </x:c>
      <x:c r="AB379" s="57" t="str"/>
      <x:c r="AC379" s="20" t="str">
        <x:v>https://makanhalalguide.com/shop/detail/5404</x:v>
      </x:c>
    </x:row>
    <x:row r="380" ht="88" customHeight="1">
      <x:c r="A380" s="54" t="n">
        <x:v>372</x:v>
      </x:c>
      <x:c r="B380" s="20" t="str">
        <x:v>Railay Village Resort , Krabi - Thailand</x:v>
      </x:c>
      <x:c r="C380" s="20" t="str">
        <x:v>กระบี่</x:v>
      </x:c>
      <x:c r="D380" s="20" t="str">
        <x:v>โรงแรมหรือรีสอร์ท</x:v>
      </x:c>
      <x:c r="E380" s="20" t="str">
        <x:v>Makan Verify; ระบุมีห้องละหมาด</x:v>
      </x:c>
      <x:c r="F380" s="20" t="str">
        <x:v>มีข้อมูลระบุ แต่รอยืนยัน</x:v>
      </x:c>
      <x:c r="G380" s="20" t="str">
        <x:v>ยังไม่พบเอกสารรับรองและวันหมดอายุ</x:v>
      </x:c>
      <x:c r="H38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80" s="20" t="str">
        <x:v>544 Moo 2 Ao Nang ,, Muang, อำเภอเมืองกระบี่ กระบี่ 81000</x:v>
      </x:c>
      <x:c r="J380" s="21" t="str">
        <x:v>075819413</x:v>
      </x:c>
      <x:c r="K380" s="51" t="str">
        <x:v>https://makanhalalguide.com/shop/detail/5410</x:v>
      </x:c>
      <x:c r="L380" s="51" t="str">
        <x:v>https://www.tripadvisor.com/Hotel_Review-g1507054-d781689-Reviews-Railay_Village_Resort_Spa-Ao_Nang_Krabi_Province.html</x:v>
      </x:c>
      <x:c r="M380" s="20" t="str">
        <x:v>ผลค้นหาชื่อสัมพันธ์จากแหล่งเพิ่มเติม ต้องยืนยันสาขาและข้อมูลปัจจุบัน</x:v>
      </x:c>
      <x:c r="N380" s="28" t="n">
        <x:v>46315</x:v>
      </x:c>
      <x:c r="O380" s="57" t="str">
        <x:v>ยังไม่ตรวจ</x:v>
      </x:c>
      <x:c r="P380" s="57" t="str">
        <x:v>ยังไม่ติดต่อ</x:v>
      </x:c>
      <x:c r="Q380" s="20" t="str">
        <x:v>TMF-025</x:v>
      </x:c>
      <x:c r="R380" s="20" t="str">
        <x:v>Railay Village Resort , Krabi - Thailand</x:v>
      </x:c>
      <x:c r="S380" s="20" t="str"/>
      <x:c r="T380" s="20" t="str">
        <x:v>https://makanhalalguide.com/shop/detail/5410</x:v>
      </x:c>
      <x:c r="U380" s="20" t="str"/>
      <x:c r="V380" s="20" t="str"/>
      <x:c r="W380" s="20" t="str"/>
      <x:c r="X380" s="20" t="str"/>
      <x:c r="Y380" s="20" t="str">
        <x:v>https://www.google.com/maps/search/?api=1&amp;query=Railay%20Village%20Resort%20%2C%20Krabi%20-%20Thailand%20%E0%B8%81%E0%B8%A3%E0%B8%B0%E0%B8%9A%E0%B8%B5%E0%B9%88</x:v>
      </x:c>
      <x:c r="Z380" s="56" t="n">
        <x:v>8.011383</x:v>
      </x:c>
      <x:c r="AA380" s="56" t="n">
        <x:v>98.837696</x:v>
      </x:c>
      <x:c r="AB380" s="57" t="str"/>
      <x:c r="AC380" s="20" t="str">
        <x:v>https://makanhalalguide.com/shop/detail/5410</x:v>
      </x:c>
    </x:row>
    <x:row r="381" ht="88" customHeight="1">
      <x:c r="A381" s="54" t="n">
        <x:v>373</x:v>
      </x:c>
      <x:c r="B381" s="20" t="str">
        <x:v>The tama hotel Krabi Thailand</x:v>
      </x:c>
      <x:c r="C381" s="20" t="str">
        <x:v>กระบี่</x:v>
      </x:c>
      <x:c r="D381" s="20" t="str">
        <x:v>โรงแรมหรือรีสอร์ท</x:v>
      </x:c>
      <x:c r="E381" s="20" t="str">
        <x:v>มีรายชื่อใน Makan Halal Guide; ระบุมีห้องละหมาด</x:v>
      </x:c>
      <x:c r="F381" s="20" t="str">
        <x:v>มีข้อมูลระบุ แต่รอยืนยัน</x:v>
      </x:c>
      <x:c r="G381" s="20" t="str">
        <x:v>ยังไม่พบเอกสารรับรองและวันหมดอายุ</x:v>
      </x:c>
      <x:c r="H38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81" s="20" t="str">
        <x:v>340 Moo 5 Sai-Thai, Muang, Krabi, Ban Ao Nam Mao, KR 81000</x:v>
      </x:c>
      <x:c r="J381" s="21" t="str">
        <x:v>075662106</x:v>
      </x:c>
      <x:c r="K381" s="51" t="str">
        <x:v>https://makanhalalguide.com/shop/detail/5777</x:v>
      </x:c>
      <x:c r="L381" s="51" t="str">
        <x:v>https://www.agoda.com/en-in/the-tama-hotel/hotel/krabi-th.html</x:v>
      </x:c>
      <x:c r="M381" s="20" t="str">
        <x:v>ผลค้นหาชื่อสัมพันธ์จากแหล่งเพิ่มเติม ต้องยืนยันสาขาและข้อมูลปัจจุบัน</x:v>
      </x:c>
      <x:c r="N381" s="28" t="n">
        <x:v>46315</x:v>
      </x:c>
      <x:c r="O381" s="57" t="str">
        <x:v>ยังไม่ตรวจ</x:v>
      </x:c>
      <x:c r="P381" s="57" t="str">
        <x:v>ยังไม่ติดต่อ</x:v>
      </x:c>
      <x:c r="Q381" s="20" t="str">
        <x:v>TMF-026</x:v>
      </x:c>
      <x:c r="R381" s="20" t="str">
        <x:v>The tama hotel Krabi Thailand</x:v>
      </x:c>
      <x:c r="S381" s="20" t="str"/>
      <x:c r="T381" s="20" t="str">
        <x:v>https://makanhalalguide.com/shop/detail/5777</x:v>
      </x:c>
      <x:c r="U381" s="20" t="str"/>
      <x:c r="V381" s="20" t="str"/>
      <x:c r="W381" s="20" t="str"/>
      <x:c r="X381" s="20" t="str"/>
      <x:c r="Y381" s="20" t="str">
        <x:v>https://www.google.com/maps/search/?api=1&amp;query=The%20tama%20hotel%20Krabi%20Thailand%20%E0%B8%81%E0%B8%A3%E0%B8%B0%E0%B8%9A%E0%B8%B5%E0%B9%88</x:v>
      </x:c>
      <x:c r="Z381" s="56" t="n">
        <x:v>8.034473</x:v>
      </x:c>
      <x:c r="AA381" s="56" t="n">
        <x:v>98.861112</x:v>
      </x:c>
      <x:c r="AB381" s="57" t="str"/>
      <x:c r="AC381" s="20" t="str">
        <x:v>https://makanhalalguide.com/shop/detail/5777</x:v>
      </x:c>
    </x:row>
    <x:row r="382" ht="88" customHeight="1">
      <x:c r="A382" s="54" t="n">
        <x:v>374</x:v>
      </x:c>
      <x:c r="B382" s="20" t="str">
        <x:v>Venice Krabi Villa Resort</x:v>
      </x:c>
      <x:c r="C382" s="20" t="str">
        <x:v>กระบี่</x:v>
      </x:c>
      <x:c r="D382" s="20" t="str">
        <x:v>โรงแรมหรือรีสอร์ท</x:v>
      </x:c>
      <x:c r="E382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382" s="20" t="str">
        <x:v>ไม่ทราบ</x:v>
      </x:c>
      <x:c r="G382" s="20" t="str">
        <x:v>ยังไม่พบเอกสารรับรองและวันหมดอายุ</x:v>
      </x:c>
      <x:c r="H382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82" s="20" t="str">
        <x:v>478 ตำบลไสไทย อำเภอเมืองกระบี่ จังหวัดกระบี่ 81000</x:v>
      </x:c>
      <x:c r="J382" s="21" t="str">
        <x:v>075662222</x:v>
      </x:c>
      <x:c r="K382" s="51" t="str">
        <x:v>https://www.thic.or.th/th/tourist/detail/tourist/3</x:v>
      </x:c>
      <x:c r="L382" s="51" t="str">
        <x:v>https://www.google.co.th/travel/hotels/entity/CgsIitz_veKr3o3TARAB</x:v>
      </x:c>
      <x:c r="M382" s="20" t="str">
        <x:v>ผลค้นหาชื่อสัมพันธ์จากแหล่งเพิ่มเติม ต้องยืนยันสาขาและข้อมูลปัจจุบัน</x:v>
      </x:c>
      <x:c r="N382" s="28" t="n">
        <x:v>46315</x:v>
      </x:c>
      <x:c r="O382" s="57" t="str">
        <x:v>ยังไม่ตรวจ</x:v>
      </x:c>
      <x:c r="P382" s="57" t="str">
        <x:v>ยังไม่ติดต่อ</x:v>
      </x:c>
      <x:c r="Q382" s="20" t="str">
        <x:v>TMF-263</x:v>
      </x:c>
      <x:c r="R382" s="20" t="str">
        <x:v>Venice Krabi Villa Resort</x:v>
      </x:c>
      <x:c r="S382" s="20" t="str"/>
      <x:c r="T382" s="20" t="str">
        <x:v>https://www.thic.or.th/th/tourist/detail/tourist/3</x:v>
      </x:c>
      <x:c r="U382" s="20" t="str"/>
      <x:c r="V382" s="20" t="str"/>
      <x:c r="W382" s="20" t="str"/>
      <x:c r="X382" s="20" t="str"/>
      <x:c r="Y382" s="20" t="str">
        <x:v>https://www.google.com/maps/search/?api=1&amp;query=Venice%20Krabi%20Villa%20Resort%20%E0%B8%81%E0%B8%A3%E0%B8%B0%E0%B8%9A%E0%B8%B5%E0%B9%88</x:v>
      </x:c>
      <x:c r="Z382" s="56" t="n">
        <x:v>8.037528</x:v>
      </x:c>
      <x:c r="AA382" s="56" t="n">
        <x:v>98.863041</x:v>
      </x:c>
      <x:c r="AB382" s="57" t="str"/>
      <x:c r="AC382" s="20" t="str">
        <x:v>https://www.thic.or.th/th/tourist/detail/tourist/3</x:v>
      </x:c>
    </x:row>
    <x:row r="383" ht="88" customHeight="1">
      <x:c r="A383" s="54" t="n">
        <x:v>375</x:v>
      </x:c>
      <x:c r="B383" s="20" t="str">
        <x:v>White Sand Halal House Krabi</x:v>
      </x:c>
      <x:c r="C383" s="20" t="str">
        <x:v>กระบี่</x:v>
      </x:c>
      <x:c r="D383" s="20" t="str">
        <x:v>ที่พัก (ตรวจประเภทจากชื่อและข้อมูลประกอบ)</x:v>
      </x:c>
      <x:c r="E383" s="20" t="str">
        <x:v>Makan Verify; ระบุมีห้องละหมาด</x:v>
      </x:c>
      <x:c r="F383" s="20" t="str">
        <x:v>มีข้อมูลระบุ แต่รอยืนยัน</x:v>
      </x:c>
      <x:c r="G383" s="20" t="str">
        <x:v>ยังไม่พบเอกสารรับรองและวันหมดอายุ</x:v>
      </x:c>
      <x:c r="H383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383" s="20" t="str">
        <x:v>231 หนองทะเล ตำบล หนองทะเล เมือง กระบี่ 81180</x:v>
      </x:c>
      <x:c r="J383" s="21" t="str">
        <x:v>0959251642</x:v>
      </x:c>
      <x:c r="K383" s="51" t="str">
        <x:v>https://makanhalalguide.com/shop/detail/5413</x:v>
      </x:c>
      <x:c r="L383" s="51" t="str">
        <x:v>https://www.google.co.th/travel/hotels/entity/ChoIvKWU5_GhzsLrARoNL2cvMTFjMmp2Y3BoNBAB</x:v>
      </x:c>
      <x:c r="M383" s="20" t="str">
        <x:v>ผลค้นหาชื่อสัมพันธ์จากแหล่งเพิ่มเติม ต้องยืนยันสาขาและข้อมูลปัจจุบัน</x:v>
      </x:c>
      <x:c r="N383" s="28" t="n">
        <x:v>46315</x:v>
      </x:c>
      <x:c r="O383" s="57" t="str">
        <x:v>ยังไม่ตรวจ</x:v>
      </x:c>
      <x:c r="P383" s="57" t="str">
        <x:v>ยังไม่ติดต่อ</x:v>
      </x:c>
      <x:c r="Q383" s="20" t="str">
        <x:v>TMF-032</x:v>
      </x:c>
      <x:c r="R383" s="20" t="str">
        <x:v>White Sand Halal House Krabi</x:v>
      </x:c>
      <x:c r="S383" s="20" t="str"/>
      <x:c r="T383" s="20" t="str">
        <x:v>https://makanhalalguide.com/shop/detail/5413</x:v>
      </x:c>
      <x:c r="U383" s="20" t="str"/>
      <x:c r="V383" s="20" t="str"/>
      <x:c r="W383" s="20" t="str"/>
      <x:c r="X383" s="20" t="str"/>
      <x:c r="Y383" s="20" t="str">
        <x:v>https://www.google.com/maps/search/?api=1&amp;query=White%20Sand%20Halal%20House%20Krabi%20%E0%B8%81%E0%B8%A3%E0%B8%B0%E0%B8%9A%E0%B8%B5%E0%B9%88</x:v>
      </x:c>
      <x:c r="Z383" s="56" t="n">
        <x:v>8.065171</x:v>
      </x:c>
      <x:c r="AA383" s="56" t="n">
        <x:v>98.743142</x:v>
      </x:c>
      <x:c r="AB383" s="57" t="str"/>
      <x:c r="AC383" s="20" t="str">
        <x:v>https://makanhalalguide.com/shop/detail/5413</x:v>
      </x:c>
    </x:row>
    <x:row r="384" ht="88" customHeight="1">
      <x:c r="A384" s="54" t="n">
        <x:v>376</x:v>
      </x:c>
      <x:c r="B384" s="20" t="str">
        <x:v>sunda resort, Krabi Thailand</x:v>
      </x:c>
      <x:c r="C384" s="20" t="str">
        <x:v>กระบี่</x:v>
      </x:c>
      <x:c r="D384" s="20" t="str">
        <x:v>โรงแรมหรือรีสอร์ท</x:v>
      </x:c>
      <x:c r="E384" s="20" t="str">
        <x:v>Makan Verify; ระบุมีห้องละหมาด</x:v>
      </x:c>
      <x:c r="F384" s="20" t="str">
        <x:v>มีข้อมูลระบุ แต่รอยืนยัน</x:v>
      </x:c>
      <x:c r="G384" s="20" t="str">
        <x:v>ยังไม่พบเอกสารรับรองและวันหมดอายุ</x:v>
      </x:c>
      <x:c r="H38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84" s="20" t="str">
        <x:v>19 Moo 3, Aonang, Muang, เมือง, กระบี่ 81180</x:v>
      </x:c>
      <x:c r="J384" s="21" t="str">
        <x:v>0892309019</x:v>
      </x:c>
      <x:c r="K384" s="51" t="str">
        <x:v>https://makanhalalguide.com/shop/detail/5411</x:v>
      </x:c>
      <x:c r="L384" s="51" t="str">
        <x:v>https://www.thic.or.th/th/tourist/detail/accommodation/24</x:v>
      </x:c>
      <x:c r="M384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N384" s="28" t="n">
        <x:v>46315</x:v>
      </x:c>
      <x:c r="O384" s="57" t="str">
        <x:v>ยังไม่ตรวจ</x:v>
      </x:c>
      <x:c r="P384" s="57" t="str">
        <x:v>ยังไม่ติดต่อ</x:v>
      </x:c>
      <x:c r="Q384" s="20" t="str">
        <x:v>TMF-027</x:v>
      </x:c>
      <x:c r="R384" s="20" t="str">
        <x:v>sunda resort, Krabi Thailand</x:v>
      </x:c>
      <x:c r="S384" s="20" t="str"/>
      <x:c r="T384" s="20" t="str">
        <x:v>https://makanhalalguide.com/shop/detail/5411</x:v>
      </x:c>
      <x:c r="U384" s="20" t="str"/>
      <x:c r="V384" s="20" t="str"/>
      <x:c r="W384" s="20" t="str"/>
      <x:c r="X384" s="20" t="str"/>
      <x:c r="Y384" s="20" t="str">
        <x:v>https://www.google.com/maps/search/?api=1&amp;query=sunda%20resort%2C%20Krabi%20Thailand%20%E0%B8%81%E0%B8%A3%E0%B8%B0%E0%B8%9A%E0%B8%B5%E0%B9%88</x:v>
      </x:c>
      <x:c r="Z384" s="56" t="n">
        <x:v>8.048112</x:v>
      </x:c>
      <x:c r="AA384" s="56" t="n">
        <x:v>98.814505</x:v>
      </x:c>
      <x:c r="AB384" s="57" t="str"/>
      <x:c r="AC384" s="20" t="str">
        <x:v>https://makanhalalguide.com/shop/detail/5411</x:v>
      </x:c>
    </x:row>
    <x:row r="385" ht="88" customHeight="1">
      <x:c r="A385" s="54" t="n">
        <x:v>377</x:v>
      </x:c>
      <x:c r="B385" s="20" t="str">
        <x:v>บ้านครูเฉม โฮมสเตย์เกาะปู</x:v>
      </x:c>
      <x:c r="C385" s="20" t="str">
        <x:v>กระบี่</x:v>
      </x:c>
      <x:c r="D385" s="20" t="str">
        <x:v>โรงแรมหรือรีสอร์ท</x:v>
      </x:c>
      <x:c r="E385" s="20" t="str">
        <x:v>Makan Verify; ระบุมีห้องละหมาด</x:v>
      </x:c>
      <x:c r="F385" s="20" t="str">
        <x:v>มีข้อมูลระบุ แต่รอยืนยัน</x:v>
      </x:c>
      <x:c r="G385" s="20" t="str">
        <x:v>ยังไม่พบเอกสารรับรองและวันหมดอายุ</x:v>
      </x:c>
      <x:c r="H38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85" s="20" t="str">
        <x:v>23/1 ม.2 ต.เกาะศรีบอยา อำเภอเหนือคลอง กระบี่ 81130</x:v>
      </x:c>
      <x:c r="J385" s="21" t="str">
        <x:v>0862926683</x:v>
      </x:c>
      <x:c r="K385" s="51" t="str">
        <x:v>https://makanhalalguide.com/shop/detail/5406</x:v>
      </x:c>
      <x:c r="L385" s="51" t="str">
        <x:v>https://www.google.co.th/travel/hotels/entity/ChoI_sXDqev98p7VARoNL2cvMTFuMGt6ajhmdBAB</x:v>
      </x:c>
      <x:c r="M385" s="20" t="str">
        <x:v>ผลค้นหาชื่อสัมพันธ์จากแหล่งเพิ่มเติม ต้องยืนยันสาขาและข้อมูลปัจจุบัน</x:v>
      </x:c>
      <x:c r="N385" s="28" t="n">
        <x:v>46315</x:v>
      </x:c>
      <x:c r="O385" s="57" t="str">
        <x:v>ยังไม่ตรวจ</x:v>
      </x:c>
      <x:c r="P385" s="57" t="str">
        <x:v>ยังไม่ติดต่อ</x:v>
      </x:c>
      <x:c r="Q385" s="20" t="str">
        <x:v>TMF-028</x:v>
      </x:c>
      <x:c r="R385" s="20" t="str"/>
      <x:c r="S385" s="20" t="str"/>
      <x:c r="T385" s="20" t="str">
        <x:v>https://makanhalalguide.com/shop/detail/5406</x:v>
      </x:c>
      <x:c r="U385" s="20" t="str"/>
      <x:c r="V385" s="20" t="str"/>
      <x:c r="W385" s="20" t="str"/>
      <x:c r="X385" s="20" t="str"/>
      <x:c r="Y385" s="20" t="str">
        <x:v>https://www.google.com/maps/search/?api=1&amp;query=%E0%B8%9A%E0%B9%89%E0%B8%B2%E0%B8%99%E0%B8%84%E0%B8%A3%E0%B8%B9%E0%B9%80%E0%B8%89%E0%B8%A1%20%E0%B9%82%E0%B8%AE%E0%B8%A1%E0%B8%AA%E0%B9%80%E0%B8%95%E0%B8%A2%E0%B9%8C%E0%B9%80%E0%B8%81%E0%B8%B2%E0%B8%B0%E0%B8%9B%E0%B8%B9%20%E0%B8%81%E0%B8%A3%E0%B8%B0%E0%B8%9A%E0%B8%B5%E0%B9%88</x:v>
      </x:c>
      <x:c r="Z385" s="56" t="n">
        <x:v>7.848185</x:v>
      </x:c>
      <x:c r="AA385" s="56" t="n">
        <x:v>98.974449</x:v>
      </x:c>
      <x:c r="AB385" s="57" t="str"/>
      <x:c r="AC385" s="20" t="str">
        <x:v>https://makanhalalguide.com/shop/detail/5406</x:v>
      </x:c>
    </x:row>
    <x:row r="386" ht="88" customHeight="1">
      <x:c r="A386" s="54" t="n">
        <x:v>378</x:v>
      </x:c>
      <x:c r="B386" s="20" t="str">
        <x:v>บ้านใสใน รีสอร์ท</x:v>
      </x:c>
      <x:c r="C386" s="20" t="str">
        <x:v>กระบี่</x:v>
      </x:c>
      <x:c r="D386" s="20" t="str">
        <x:v>โรงแรมหรือรีสอร์ท</x:v>
      </x:c>
      <x:c r="E386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86" s="20" t="str">
        <x:v>ไม่ทราบ</x:v>
      </x:c>
      <x:c r="G386" s="20" t="str">
        <x:v>ยังไม่พบเอกสารรับรองและวันหมดอายุ</x:v>
      </x:c>
      <x:c r="H386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86" s="20" t="str">
        <x:v>99/9 หมู่ 2 ถนนเพชรเกษม ตำบลอ่าวนาง อำเภอเมืองกระบี่ จังหวัดกระบี่ 81000</x:v>
      </x:c>
      <x:c r="J386" s="21" t="str">
        <x:v>075 637 555</x:v>
      </x:c>
      <x:c r="K386" s="51" t="str">
        <x:v>https://www.thic.or.th/th/tourist/detail/accommodation/26</x:v>
      </x:c>
      <x:c r="L386" s="51" t="str">
        <x:v>https://th.hotels.com/ho442182/ban-s-n-risxrth-krabi-thiy/</x:v>
      </x:c>
      <x:c r="M386" s="20" t="str">
        <x:v>ผลค้นหาชื่อสัมพันธ์จากแหล่งเพิ่มเติม ต้องยืนยันสาขาและข้อมูลปัจจุบัน</x:v>
      </x:c>
      <x:c r="N386" s="28" t="n">
        <x:v>46315</x:v>
      </x:c>
      <x:c r="O386" s="57" t="str">
        <x:v>ยังไม่ตรวจ</x:v>
      </x:c>
      <x:c r="P386" s="57" t="str">
        <x:v>ยังไม่ติดต่อ</x:v>
      </x:c>
      <x:c r="Q386" s="20" t="str">
        <x:v>TMF-264</x:v>
      </x:c>
      <x:c r="R386" s="20" t="str"/>
      <x:c r="S386" s="20" t="str"/>
      <x:c r="T386" s="20" t="str">
        <x:v>https://www.thic.or.th/th/tourist/detail/accommodation/26</x:v>
      </x:c>
      <x:c r="U386" s="20" t="str"/>
      <x:c r="V386" s="20" t="str"/>
      <x:c r="W386" s="20" t="str"/>
      <x:c r="X386" s="20" t="str"/>
      <x:c r="Y386" s="20" t="str">
        <x:v>https://www.google.com/maps/search/?api=1&amp;query=%E0%B8%9A%E0%B9%89%E0%B8%B2%E0%B8%99%E0%B9%83%E0%B8%AA%E0%B9%83%E0%B8%99%20%E0%B8%A3%E0%B8%B5%E0%B8%AA%E0%B8%AD%E0%B8%A3%E0%B9%8C%E0%B8%97%20%E0%B8%81%E0%B8%A3%E0%B8%B0%E0%B8%9A%E0%B8%B5%E0%B9%88</x:v>
      </x:c>
      <x:c r="Z386" s="56" t="n">
        <x:v>8.031892</x:v>
      </x:c>
      <x:c r="AA386" s="56" t="n">
        <x:v>98.833682</x:v>
      </x:c>
      <x:c r="AB386" s="57" t="str"/>
      <x:c r="AC386" s="20" t="str">
        <x:v>https://www.thic.or.th/th/tourist/detail/accommodation/26</x:v>
      </x:c>
    </x:row>
    <x:row r="387" ht="88" customHeight="1">
      <x:c r="A387" s="54" t="n">
        <x:v>379</x:v>
      </x:c>
      <x:c r="B387" s="20" t="str">
        <x:v>อันดามัน เพิร์ล รีสอร์ท อ่าวนาง</x:v>
      </x:c>
      <x:c r="C387" s="20" t="str">
        <x:v>กระบี่</x:v>
      </x:c>
      <x:c r="D387" s="20" t="str">
        <x:v>โรงแรมหรือรีสอร์ท</x:v>
      </x:c>
      <x:c r="E387" s="20" t="str">
        <x:v>Makan Verify; ระบุมีห้องละหมาด</x:v>
      </x:c>
      <x:c r="F387" s="20" t="str">
        <x:v>มีข้อมูลระบุ แต่รอยืนยัน</x:v>
      </x:c>
      <x:c r="G387" s="20" t="str">
        <x:v>ยังไม่พบเอกสารรับรองและวันหมดอายุ</x:v>
      </x:c>
      <x:c r="H38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87" s="20" t="str">
        <x:v>754-754/1 Aonang11/1, ตำบล อ่าวนาง อำเภอเมืองกระบี่ กระบี่ 81000</x:v>
      </x:c>
      <x:c r="J387" s="21" t="str">
        <x:v>075810377</x:v>
      </x:c>
      <x:c r="K387" s="51" t="str">
        <x:v>https://makanhalalguide.com/shop/detail/5408</x:v>
      </x:c>
      <x:c r="L387" s="51" t="str">
        <x:v>https://www.aonang.go.th/storage/uploads/177821015899.pdf</x:v>
      </x:c>
      <x:c r="M387" s="20" t="str">
        <x:v>ผลค้นหาชื่อสัมพันธ์จากแหล่งเพิ่มเติม ต้องยืนยันสาขาและข้อมูลปัจจุบัน</x:v>
      </x:c>
      <x:c r="N387" s="28" t="n">
        <x:v>46315</x:v>
      </x:c>
      <x:c r="O387" s="57" t="str">
        <x:v>ยังไม่ตรวจ</x:v>
      </x:c>
      <x:c r="P387" s="57" t="str">
        <x:v>ยังไม่ติดต่อ</x:v>
      </x:c>
      <x:c r="Q387" s="20" t="str">
        <x:v>TMF-029</x:v>
      </x:c>
      <x:c r="R387" s="20" t="str"/>
      <x:c r="S387" s="20" t="str"/>
      <x:c r="T387" s="20" t="str">
        <x:v>https://makanhalalguide.com/shop/detail/5408</x:v>
      </x:c>
      <x:c r="U387" s="20" t="str"/>
      <x:c r="V387" s="20" t="str"/>
      <x:c r="W387" s="20" t="str"/>
      <x:c r="X387" s="20" t="str"/>
      <x:c r="Y387" s="20" t="str">
        <x:v>https://www.google.com/maps/search/?api=1&amp;query=%E0%B8%AD%E0%B8%B1%E0%B8%99%E0%B8%94%E0%B8%B2%E0%B8%A1%E0%B8%B1%E0%B8%99%20%E0%B9%80%E0%B8%9E%E0%B8%B4%E0%B8%A3%E0%B9%8C%E0%B8%A5%20%E0%B8%A3%E0%B8%B5%E0%B8%AA%E0%B8%AD%E0%B8%A3%E0%B9%8C%E0%B8%97%20%E0%B8%AD%E0%B9%88%E0%B8%B2%E0%B8%A7%E0%B8%99%E0%B8%B2%E0%B8%87%20%E0%B8%81%E0%B8%A3%E0%B8%B0%E0%B8%9A%E0%B8%B5%E0%B9%88</x:v>
      </x:c>
      <x:c r="Z387" s="56" t="n">
        <x:v>8.031307</x:v>
      </x:c>
      <x:c r="AA387" s="56" t="n">
        <x:v>98.831953</x:v>
      </x:c>
      <x:c r="AB387" s="57" t="str"/>
      <x:c r="AC387" s="20" t="str">
        <x:v>https://makanhalalguide.com/shop/detail/5408</x:v>
      </x:c>
    </x:row>
    <x:row r="388" ht="88" customHeight="1">
      <x:c r="A388" s="54" t="n">
        <x:v>380</x:v>
      </x:c>
      <x:c r="B388" s="20" t="str">
        <x:v>อ่าวนาง ซิลเวอร์ ออร์คิด รีสอร์ท</x:v>
      </x:c>
      <x:c r="C388" s="20" t="str">
        <x:v>กระบี่</x:v>
      </x:c>
      <x:c r="D388" s="20" t="str">
        <x:v>โรงแรมหรือรีสอร์ท</x:v>
      </x:c>
      <x:c r="E388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88" s="20" t="str">
        <x:v>ไม่ทราบ</x:v>
      </x:c>
      <x:c r="G388" s="20" t="str">
        <x:v>ยังไม่พบเอกสารรับรองและวันหมดอายุ</x:v>
      </x:c>
      <x:c r="H388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88" s="20" t="str">
        <x:v>125 หมู่ 2 ถนนเพชรเกษม ตำบลอ่าวนาง อำเภอเมืองกระบี่ จังหวัดกระบี่ 81000</x:v>
      </x:c>
      <x:c r="J388" s="21" t="str">
        <x:v>075 637 777</x:v>
      </x:c>
      <x:c r="K388" s="51" t="str">
        <x:v>https://www.thic.or.th/th/tourist/detail/accommodation/25</x:v>
      </x:c>
      <x:c r="L388" s="51" t="str">
        <x:v>https://th.hotels.com/ho471122/xaw-nang-silwexr-xxr-khid-risxrth-krabi-thiy/</x:v>
      </x:c>
      <x:c r="M388" s="20" t="str">
        <x:v>ผลค้นหาชื่อสัมพันธ์จากแหล่งเพิ่มเติม ต้องยืนยันสาขาและข้อมูลปัจจุบัน</x:v>
      </x:c>
      <x:c r="N388" s="28" t="n">
        <x:v>46315</x:v>
      </x:c>
      <x:c r="O388" s="57" t="str">
        <x:v>ยังไม่ตรวจ</x:v>
      </x:c>
      <x:c r="P388" s="57" t="str">
        <x:v>ยังไม่ติดต่อ</x:v>
      </x:c>
      <x:c r="Q388" s="20" t="str">
        <x:v>TMF-265</x:v>
      </x:c>
      <x:c r="R388" s="20" t="str"/>
      <x:c r="S388" s="20" t="str"/>
      <x:c r="T388" s="20" t="str">
        <x:v>https://www.thic.or.th/th/tourist/detail/accommodation/25</x:v>
      </x:c>
      <x:c r="U388" s="20" t="str"/>
      <x:c r="V388" s="20" t="str"/>
      <x:c r="W388" s="20" t="str"/>
      <x:c r="X388" s="20" t="str"/>
      <x:c r="Y388" s="20" t="str">
        <x:v>https://www.google.com/maps/search/?api=1&amp;query=%E0%B8%AD%E0%B9%88%E0%B8%B2%E0%B8%A7%E0%B8%99%E0%B8%B2%E0%B8%87%20%E0%B8%8B%E0%B8%B4%E0%B8%A5%E0%B9%80%E0%B8%A7%E0%B8%AD%E0%B8%A3%E0%B9%8C%20%E0%B8%AD%E0%B8%AD%E0%B8%A3%E0%B9%8C%E0%B8%84%E0%B8%B4%E0%B8%94%20%E0%B8%A3%E0%B8%B5%E0%B8%AA%E0%B8%AD%E0%B8%A3%E0%B9%8C%E0%B8%97%20%E0%B8%81%E0%B8%A3%E0%B8%B0%E0%B8%9A%E0%B8%B5%E0%B9%88</x:v>
      </x:c>
      <x:c r="Z388" s="56" t="n">
        <x:v>8.031477</x:v>
      </x:c>
      <x:c r="AA388" s="56" t="n">
        <x:v>98.830608</x:v>
      </x:c>
      <x:c r="AB388" s="57" t="str"/>
      <x:c r="AC388" s="20" t="str">
        <x:v>https://www.thic.or.th/th/tourist/detail/accommodation/25</x:v>
      </x:c>
    </x:row>
    <x:row r="389" ht="88" customHeight="1">
      <x:c r="A389" s="54" t="n">
        <x:v>381</x:v>
      </x:c>
      <x:c r="B389" s="20" t="str">
        <x:v>โรงแรม กระบี่ ฟร้อนท์ เบย์ รีสอร์ท</x:v>
      </x:c>
      <x:c r="C389" s="20" t="str">
        <x:v>กระบี่</x:v>
      </x:c>
      <x:c r="D389" s="20" t="str">
        <x:v>โรงแรมหรือรีสอร์ท</x:v>
      </x:c>
      <x:c r="E389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89" s="20" t="str">
        <x:v>ไม่ทราบ</x:v>
      </x:c>
      <x:c r="G389" s="20" t="str">
        <x:v>ทะเบียนครัวฮาลาลรับรองถึง 01/01/2570; ยังต้องตรวจเงื่อนไขที่พักอื่น</x:v>
      </x:c>
      <x:c r="H38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89" s="20" t="str">
        <x:v>140/1 หมู่ 7 ตำบลไสไทย อำเภอเมืองกระบี่ จังหวัดกระบี่ 81000 ตำบลไสไทย อำเภอเมืองกระบี่ จังหวัดกระบี่ 81000</x:v>
      </x:c>
      <x:c r="J389" s="21" t="str">
        <x:v>075-626777</x:v>
      </x:c>
      <x:c r="K389" s="51" t="str">
        <x:v>https://www.thic.or.th/th/tourist/detail/accommodation/213</x:v>
      </x:c>
      <x:c r="L389" s="51" t="str">
        <x:v>https://halalthai.or.th/th/product/detail/344435</x:v>
      </x:c>
      <x:c r="M389" s="20" t="str">
        <x:v>ทะเบียนครัวฮาลาล กอท.ฮล.100D9410010658 ระบุรับรองถึง 01/01/2570</x:v>
      </x:c>
      <x:c r="N389" s="28" t="n">
        <x:v>46315</x:v>
      </x:c>
      <x:c r="O389" s="57" t="str">
        <x:v>ยังไม่ตรวจ</x:v>
      </x:c>
      <x:c r="P389" s="57" t="str">
        <x:v>ยังไม่ติดต่อ</x:v>
      </x:c>
      <x:c r="Q389" s="20" t="str">
        <x:v>TMF-030</x:v>
      </x:c>
      <x:c r="R389" s="20" t="str"/>
      <x:c r="S389" s="20" t="str"/>
      <x:c r="T389" s="20" t="str">
        <x:v>https://www.thic.or.th/th/tourist/detail/accommodation/213</x:v>
      </x:c>
      <x:c r="U389" s="20" t="str"/>
      <x:c r="V389" s="20" t="str"/>
      <x:c r="W389" s="20" t="str"/>
      <x:c r="X389" s="20" t="str"/>
      <x:c r="Y389" s="20" t="str">
        <x:v>https://www.google.com/maps/search/?api=1&amp;query=%E0%B9%82%E0%B8%A3%E0%B8%87%E0%B9%81%E0%B8%A3%E0%B8%A1%20%E0%B8%81%E0%B8%A3%E0%B8%B0%E0%B8%9A%E0%B8%B5%E0%B9%88%20%E0%B8%9F%E0%B8%A3%E0%B9%89%E0%B8%AD%E0%B8%99%E0%B8%97%E0%B9%8C%20%E0%B9%80%E0%B8%9A%E0%B8%A2%E0%B9%8C%20%E0%B8%A3%E0%B8%B5%E0%B8%AA%E0%B8%AD%E0%B8%A3%E0%B9%8C%E0%B8%97%20%E0%B8%81%E0%B8%A3%E0%B8%B0%E0%B8%9A%E0%B8%B5%E0%B9%88</x:v>
      </x:c>
      <x:c r="Z389" s="56" t="n">
        <x:v>8.048008</x:v>
      </x:c>
      <x:c r="AA389" s="56" t="n">
        <x:v>98.912449</x:v>
      </x:c>
      <x:c r="AB389" s="57" t="str"/>
      <x:c r="AC389" s="20" t="str">
        <x:v>https://www.thic.or.th/th/tourist/detail/accommodation/213</x:v>
      </x:c>
    </x:row>
    <x:row r="390" ht="88" customHeight="1">
      <x:c r="A390" s="54" t="n">
        <x:v>382</x:v>
      </x:c>
      <x:c r="B390" s="20" t="str">
        <x:v>โรงแรมกระบี่เพชรไพลิน</x:v>
      </x:c>
      <x:c r="C390" s="20" t="str">
        <x:v>กระบี่</x:v>
      </x:c>
      <x:c r="D390" s="20" t="str">
        <x:v>โรงแรมหรือรีสอร์ท</x:v>
      </x:c>
      <x:c r="E390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90" s="20" t="str">
        <x:v>ไม่ทราบ</x:v>
      </x:c>
      <x:c r="G390" s="20" t="str">
        <x:v>ยังไม่พบเอกสารรับรองและวันหมดอายุ</x:v>
      </x:c>
      <x:c r="H390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90" s="20" t="str">
        <x:v>29/1 ถนนมหาราช ตำบลปากน้ำ อำเภอเมืองกระบี่ จังหวัดกระบี่ 81000</x:v>
      </x:c>
      <x:c r="J390" s="21" t="str">
        <x:v>075 612 555</x:v>
      </x:c>
      <x:c r="K390" s="51" t="str">
        <x:v>https://www.thic.or.th/th/tourist/detail/accommodation/23</x:v>
      </x:c>
      <x:c r="L390" s="51" t="str">
        <x:v>https://www.google.co.th/travel/hotels/entity/ChcItZfa5bLpw6MRGgsvZy8xdGhzengxNRAB?ap=MAA&amp;ts=CAEaBAoCGgAqBAoAGgA</x:v>
      </x:c>
      <x:c r="M390" s="20" t="str">
        <x:v>ผลค้นหาชื่อสัมพันธ์จากแหล่งเพิ่มเติม ต้องยืนยันสาขาและข้อมูลปัจจุบัน</x:v>
      </x:c>
      <x:c r="N390" s="28" t="n">
        <x:v>46315</x:v>
      </x:c>
      <x:c r="O390" s="57" t="str">
        <x:v>ยังไม่ตรวจ</x:v>
      </x:c>
      <x:c r="P390" s="57" t="str">
        <x:v>ยังไม่ติดต่อ</x:v>
      </x:c>
      <x:c r="Q390" s="20" t="str">
        <x:v>TMF-266</x:v>
      </x:c>
      <x:c r="R390" s="20" t="str"/>
      <x:c r="S390" s="20" t="str"/>
      <x:c r="T390" s="20" t="str">
        <x:v>https://www.thic.or.th/th/tourist/detail/accommodation/23</x:v>
      </x:c>
      <x:c r="U390" s="20" t="str"/>
      <x:c r="V390" s="20" t="str"/>
      <x:c r="W390" s="20" t="str"/>
      <x:c r="X390" s="20" t="str"/>
      <x:c r="Y390" s="20" t="str">
        <x:v>https://www.google.com/maps/search/?api=1&amp;query=%E0%B9%82%E0%B8%A3%E0%B8%87%E0%B9%81%E0%B8%A3%E0%B8%A1%E0%B8%81%E0%B8%A3%E0%B8%B0%E0%B8%9A%E0%B8%B5%E0%B9%88%E0%B9%80%E0%B8%9E%E0%B8%8A%E0%B8%A3%E0%B9%84%E0%B8%9E%E0%B8%A5%E0%B8%B4%E0%B8%99%20%E0%B8%81%E0%B8%A3%E0%B8%B0%E0%B8%9A%E0%B8%B5%E0%B9%88</x:v>
      </x:c>
      <x:c r="Z390" s="56" t="n">
        <x:v>8.066159</x:v>
      </x:c>
      <x:c r="AA390" s="56" t="n">
        <x:v>98.907828</x:v>
      </x:c>
      <x:c r="AB390" s="57" t="str"/>
      <x:c r="AC390" s="20" t="str">
        <x:v>https://www.thic.or.th/th/tourist/detail/accommodation/23</x:v>
      </x:c>
    </x:row>
    <x:row r="391" ht="88" customHeight="1">
      <x:c r="A391" s="54" t="n">
        <x:v>383</x:v>
      </x:c>
      <x:c r="B391" s="20" t="str">
        <x:v>โรงแรมอ่าวนางวิลล่า รีสอร์ท</x:v>
      </x:c>
      <x:c r="C391" s="20" t="str">
        <x:v>กระบี่</x:v>
      </x:c>
      <x:c r="D391" s="20" t="str">
        <x:v>โรงแรมหรือรีสอร์ท</x:v>
      </x:c>
      <x:c r="E391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391" s="20" t="str">
        <x:v>ไม่ทราบ</x:v>
      </x:c>
      <x:c r="G391" s="20" t="str">
        <x:v>ยังไม่พบเอกสารรับรองและวันหมดอายุ</x:v>
      </x:c>
      <x:c r="H391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391" s="20" t="str">
        <x:v>113 หมู่ 2 ตำบลอ่าวนาง อำเภอเมืองกระบี่ จังหวัดกระบี่ 81000</x:v>
      </x:c>
      <x:c r="J391" s="21" t="str">
        <x:v>075637270-4, 0756950</x:v>
      </x:c>
      <x:c r="K391" s="51" t="str">
        <x:v>https://www.thic.or.th/th/tourist/detail/accommodation/175</x:v>
      </x:c>
      <x:c r="L391" s="51" t="str">
        <x:v>https://th.tripadvisor.com/Hotel_Review-g1507054-d308736-Reviews-or30-Aonang_Villa_Resort-Ao_Nang_Krabi_Province.html</x:v>
      </x:c>
      <x:c r="M391" s="20" t="str">
        <x:v>ผลค้นหาชื่อสัมพันธ์จากแหล่งเพิ่มเติม ต้องยืนยันสาขาและข้อมูลปัจจุบัน</x:v>
      </x:c>
      <x:c r="N391" s="28" t="n">
        <x:v>46315</x:v>
      </x:c>
      <x:c r="O391" s="57" t="str">
        <x:v>ยังไม่ตรวจ</x:v>
      </x:c>
      <x:c r="P391" s="57" t="str">
        <x:v>ยังไม่ติดต่อ</x:v>
      </x:c>
      <x:c r="Q391" s="20" t="str">
        <x:v>TMF-267</x:v>
      </x:c>
      <x:c r="R391" s="20" t="str"/>
      <x:c r="S391" s="20" t="str"/>
      <x:c r="T391" s="20" t="str">
        <x:v>https://www.thic.or.th/th/tourist/detail/accommodation/175</x:v>
      </x:c>
      <x:c r="U391" s="20" t="str"/>
      <x:c r="V391" s="20" t="str"/>
      <x:c r="W391" s="20" t="str"/>
      <x:c r="X391" s="20" t="str"/>
      <x:c r="Y391" s="20" t="str">
        <x:v>https://www.google.com/maps/search/?api=1&amp;query=%E0%B9%82%E0%B8%A3%E0%B8%87%E0%B9%81%E0%B8%A3%E0%B8%A1%E0%B8%AD%E0%B9%88%E0%B8%B2%E0%B8%A7%E0%B8%99%E0%B8%B2%E0%B8%87%E0%B8%A7%E0%B8%B4%E0%B8%A5%E0%B8%A5%E0%B9%88%E0%B8%B2%20%E0%B8%A3%E0%B8%B5%E0%B8%AA%E0%B8%AD%E0%B8%A3%E0%B9%8C%E0%B8%97%20%E0%B8%81%E0%B8%A3%E0%B8%B0%E0%B8%9A%E0%B8%B5%E0%B9%88</x:v>
      </x:c>
      <x:c r="Z391" s="56" t="n">
        <x:v>8.030957</x:v>
      </x:c>
      <x:c r="AA391" s="56" t="n">
        <x:v>98.820977</x:v>
      </x:c>
      <x:c r="AB391" s="57" t="str"/>
      <x:c r="AC391" s="20" t="str">
        <x:v>https://www.thic.or.th/th/tourist/detail/accommodation/175</x:v>
      </x:c>
    </x:row>
    <x:row r="392" ht="88" customHeight="1">
      <x:c r="A392" s="54" t="n">
        <x:v>384</x:v>
      </x:c>
      <x:c r="B392" s="20" t="str">
        <x:v>ฮัซซานฟาร์ม</x:v>
      </x:c>
      <x:c r="C392" s="20" t="str">
        <x:v>กระบี่</x:v>
      </x:c>
      <x:c r="D392" s="20" t="str">
        <x:v>ร้านอาหาร</x:v>
      </x:c>
      <x:c r="E392" s="20" t="str">
        <x:v>Makan Verify; ระบุมีห้องละหมาด</x:v>
      </x:c>
      <x:c r="F392" s="20" t="str">
        <x:v>มีข้อมูลระบุ แต่รอยืนยัน</x:v>
      </x:c>
      <x:c r="G392" s="20" t="str">
        <x:v>ยังไม่พบเอกสารรับรองและวันหมดอายุ</x:v>
      </x:c>
      <x:c r="H39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392" s="20" t="str">
        <x:v>111 หมู่ที่ 1 คลองประสงค์ ตำบล คลองประสงค์ อำเภอเมืองกระบี่ กระบี่ 81000</x:v>
      </x:c>
      <x:c r="J392" s="21" t="str">
        <x:v>0812716102</x:v>
      </x:c>
      <x:c r="K392" s="51" t="str">
        <x:v>https://makanhalalguide.com/shop/detail/5405</x:v>
      </x:c>
      <x:c r="L392" s="51" t="str">
        <x:v>https://www.lemon8-app.com/nxmfonnn/7196320461326762498?region=th</x:v>
      </x:c>
      <x:c r="M392" s="20" t="str">
        <x:v>ผลค้นหาชื่อสัมพันธ์จากแหล่งเพิ่มเติม ต้องยืนยันสาขาและข้อมูลปัจจุบัน</x:v>
      </x:c>
      <x:c r="N392" s="28" t="n">
        <x:v>46315</x:v>
      </x:c>
      <x:c r="O392" s="57" t="str">
        <x:v>ยังไม่ตรวจ</x:v>
      </x:c>
      <x:c r="P392" s="57" t="str">
        <x:v>ยังไม่ติดต่อ</x:v>
      </x:c>
      <x:c r="Q392" s="20" t="str">
        <x:v>TMF-033</x:v>
      </x:c>
      <x:c r="R392" s="20" t="str"/>
      <x:c r="S392" s="20" t="str"/>
      <x:c r="T392" s="20" t="str">
        <x:v>https://makanhalalguide.com/shop/detail/5405</x:v>
      </x:c>
      <x:c r="U392" s="20" t="str"/>
      <x:c r="V392" s="20" t="str"/>
      <x:c r="W392" s="20" t="str"/>
      <x:c r="X392" s="20" t="str"/>
      <x:c r="Y392" s="20" t="str">
        <x:v>https://www.google.com/maps/search/?api=1&amp;query=%E0%B8%AE%E0%B8%B1%E0%B8%8B%E0%B8%8B%E0%B8%B2%E0%B8%99%E0%B8%9F%E0%B8%B2%E0%B8%A3%E0%B9%8C%E0%B8%A1%20%E0%B8%81%E0%B8%A3%E0%B8%B0%E0%B8%9A%E0%B8%B5%E0%B9%88</x:v>
      </x:c>
      <x:c r="Z392" s="56" t="n">
        <x:v>8.04654</x:v>
      </x:c>
      <x:c r="AA392" s="56" t="n">
        <x:v>98.930692</x:v>
      </x:c>
      <x:c r="AB392" s="57" t="str"/>
      <x:c r="AC392" s="20" t="str">
        <x:v>https://makanhalalguide.com/shop/detail/5405</x:v>
      </x:c>
    </x:row>
    <x:row r="393" ht="88" customHeight="1">
      <x:c r="A393" s="54" t="n">
        <x:v>385</x:v>
      </x:c>
      <x:c r="B393" s="20" t="str">
        <x:v>Let's Relax Spa Krabi Centara Anda Dhevi</x:v>
      </x:c>
      <x:c r="C393" s="20" t="str">
        <x:v>กระบี่</x:v>
      </x:c>
      <x:c r="D393" s="20" t="str">
        <x:v>เวลเนส</x:v>
      </x:c>
      <x:c r="E393" s="20" t="str">
        <x:v>พบข้อมูลชื่อตรงจาก Let’s Relax Krabi Centara Anda Dhevi | Let's Relax Spa; เป็นหลักฐานตัวตน/ประเภท ยังไม่ยืนยันบริการมุสลิมครบเกณฑ์</x:v>
      </x:c>
      <x:c r="F393" s="20" t="str">
        <x:v>ไม่ทราบ</x:v>
      </x:c>
      <x:c r="G393" s="20" t="str">
        <x:v>ยังไม่ยืนยันใบรับรองและวันหมดอายุ</x:v>
      </x:c>
      <x:c r="H393" s="20" t="str">
        <x:v>ตรวจการเปิด ตัวตนสาขา ช่องทางติดต่อ และเงื่อนไขบังคับตามประเภท</x:v>
      </x:c>
      <x:c r="I393" s="20" t="str">
        <x:v>ยังไม่ยืนยันที่อยู่ละเอียด ดูลิงก์แหล่งข้อมูลและ Google Maps</x:v>
      </x:c>
      <x:c r="J393" s="21" t="str">
        <x:v>+66 8 8685 6196 / +66%202%20641%206619</x:v>
      </x:c>
      <x:c r="K393" s="51" t="str">
        <x:v>https://letsrelaxspa.com/branches/krabi-centara-anda-dhevi/</x:v>
      </x:c>
      <x:c r="L393" s="51" t="str">
        <x:v>https://www.gowabi.com/th/provider/let-s-relax-spa-krabi-centara-anda-dhevi</x:v>
      </x:c>
      <x:c r="M393" s="20" t="str">
        <x:v>พบผลค้นชื่อสัมพันธ์เพิ่มเติม ต้องยืนยันสาขาและเจ้าของช่องทาง</x:v>
      </x:c>
      <x:c r="N393" s="28" t="n">
        <x:v>46316</x:v>
      </x:c>
      <x:c r="O393" s="57" t="str">
        <x:v>ยังไม่ตรวจ</x:v>
      </x:c>
      <x:c r="P393" s="57" t="str">
        <x:v>ยังไม่ติดต่อ</x:v>
      </x:c>
      <x:c r="Q393" s="20" t="str">
        <x:v>R26-287</x:v>
      </x:c>
      <x:c r="R393" s="20" t="str">
        <x:v>Let's Relax Spa Krabi Centara Anda Dhevi</x:v>
      </x:c>
      <x:c r="S393" s="20" t="str"/>
      <x:c r="T393" s="20" t="str">
        <x:v>https://letsrelaxspa.com/branches/krabi-centara-anda-dhevi/</x:v>
      </x:c>
      <x:c r="U393" s="20" t="str">
        <x:v>https://www.facebook.com/letsrelaxspa.official/</x:v>
      </x:c>
      <x:c r="V393" s="20" t="str">
        <x:v>https://www.instagram.com/letsrelaxspa.official/?hl=en</x:v>
      </x:c>
      <x:c r="W393" s="20" t="str"/>
      <x:c r="X393" s="20" t="str"/>
      <x:c r="Y393" s="20" t="str">
        <x:v>https://www.google.com/maps/search/?api=1&amp;query=Let%27s%20Relax%20Spa%20Krabi%20Centara%20Anda%20Dhevi%20%E0%B8%81%E0%B8%A3%E0%B8%B0%E0%B8%9A%E0%B8%B5%E0%B9%88</x:v>
      </x:c>
      <x:c r="Z393" s="56" t="n">
        <x:v>8.040336</x:v>
      </x:c>
      <x:c r="AA393" s="56" t="n">
        <x:v>98.817702</x:v>
      </x:c>
      <x:c r="AB393" s="57" t="str"/>
      <x:c r="AC393" s="20" t="str">
        <x:v>https://letsrelaxspa.com/branches/krabi-centara-anda-dhevi/</x:v>
      </x:c>
    </x:row>
    <x:row r="394" ht="88" customHeight="1">
      <x:c r="A394" s="54" t="n">
        <x:v>386</x:v>
      </x:c>
      <x:c r="B394" s="20" t="str">
        <x:v>Wareerak Hot Spring Wellness</x:v>
      </x:c>
      <x:c r="C394" s="20" t="str">
        <x:v>กระบี่</x:v>
      </x:c>
      <x:c r="D394" s="20" t="str">
        <x:v>เวลเนส</x:v>
      </x:c>
      <x:c r="E394" s="20" t="str">
        <x:v>พบข้อมูลชื่อตรงจาก Wareerak Hot Spring &amp; Wellness; เป็นหลักฐานตัวตน/ประเภท ยังไม่ยืนยันบริการมุสลิมครบเกณฑ์</x:v>
      </x:c>
      <x:c r="F394" s="20" t="str">
        <x:v>ไม่ทราบ</x:v>
      </x:c>
      <x:c r="G394" s="20" t="str">
        <x:v>ยังไม่ยืนยันใบรับรองและวันหมดอายุ</x:v>
      </x:c>
      <x:c r="H394" s="20" t="str">
        <x:v>ตรวจการเปิด ตัวตนสาขา ช่องทางติดต่อ และเงื่อนไขบังคับตามประเภท</x:v>
      </x:c>
      <x:c r="I394" s="20" t="str">
        <x:v>ยังไม่ยืนยันที่อยู่ละเอียด ดูลิงก์แหล่งข้อมูลและ Google Maps</x:v>
      </x:c>
      <x:c r="J394" s="21" t="str">
        <x:v>+6675637130 / +66980179680</x:v>
      </x:c>
      <x:c r="K394" s="51" t="str">
        <x:v>https://www.wareerak.co.th/</x:v>
      </x:c>
      <x:c r="L394" s="51" t="str">
        <x:v>https://www.youtube.com/watch?v=gYo-WIaCNUc</x:v>
      </x:c>
      <x:c r="M394" s="20" t="str">
        <x:v>พบแหล่งต่างเว็บไซต์ Wareerak Hot Spring &amp; Wellness : หลบฝนมาแช่ออนเซ็นเต็มพลังชีวิตมารีทรีตร่างที่ วารีรักษ์ กระบี่ - YouTube</x:v>
      </x:c>
      <x:c r="N394" s="28" t="n">
        <x:v>46316</x:v>
      </x:c>
      <x:c r="O394" s="57" t="str">
        <x:v>ยังไม่ตรวจ</x:v>
      </x:c>
      <x:c r="P394" s="57" t="str">
        <x:v>ยังไม่ติดต่อ</x:v>
      </x:c>
      <x:c r="Q394" s="20" t="str">
        <x:v>R26-285</x:v>
      </x:c>
      <x:c r="R394" s="20" t="str">
        <x:v>Wareerak Hot Spring Wellness</x:v>
      </x:c>
      <x:c r="S394" s="20" t="str">
        <x:v>reservation@vacationvillage.co.th / info@vacationvillage.co.th</x:v>
      </x:c>
      <x:c r="T394" s="20" t="str">
        <x:v>https://www.wareerak.co.th/</x:v>
      </x:c>
      <x:c r="U394" s="20" t="str">
        <x:v>https://www.facebook.com/Wareerakhotspringandwellness/</x:v>
      </x:c>
      <x:c r="V394" s="20" t="str">
        <x:v>https://www.instagram.com/wareerakhotspringandwellness/</x:v>
      </x:c>
      <x:c r="W394" s="20" t="str">
        <x:v>https://lin.ee/7nW1jAF</x:v>
      </x:c>
      <x:c r="X394" s="20" t="str">
        <x:v>https://www.tiktok.com/@wareerakofficial?_t=8gPd6L1wTGU&amp;_r=1</x:v>
      </x:c>
      <x:c r="Y394" s="20" t="str">
        <x:v>https://www.google.com/maps/search/?api=1&amp;query=Wareerak%20Hot%20Spring%20Wellness%20%E0%B8%81%E0%B8%A3%E0%B8%B0%E0%B8%9A%E0%B8%B5%E0%B9%88</x:v>
      </x:c>
      <x:c r="Z394" s="56" t="str"/>
      <x:c r="AA394" s="56" t="str"/>
      <x:c r="AB394" s="57" t="str"/>
      <x:c r="AC394" s="20" t="str">
        <x:v>https://www.wareerak.co.th/</x:v>
      </x:c>
    </x:row>
    <x:row r="395" ht="88" customHeight="1">
      <x:c r="A395" s="54" t="n">
        <x:v>387</x:v>
      </x:c>
      <x:c r="B395" s="20" t="str">
        <x:v>ท่าปอมคลองสองน้ำ</x:v>
      </x:c>
      <x:c r="C395" s="20" t="str">
        <x:v>กระบี่</x:v>
      </x:c>
      <x:c r="D395" s="20" t="str">
        <x:v>ธรรมชาติ</x:v>
      </x:c>
      <x:c r="E395" s="20" t="str">
        <x:v>พบข้อมูลชื่อตรงจาก ป่าพรุท่าปอมคลองสองน้ำ; เป็นหลักฐานตัวตน/ประเภท ยังไม่ยืนยันบริการมุสลิมครบเกณฑ์</x:v>
      </x:c>
      <x:c r="F395" s="20" t="str">
        <x:v>ไม่ทราบ</x:v>
      </x:c>
      <x:c r="G395" s="20" t="str">
        <x:v>ยังไม่ยืนยันใบรับรองและวันหมดอายุ</x:v>
      </x:c>
      <x:c r="H395" s="20" t="str">
        <x:v>ตรวจการเปิด ตัวตนสาขา ช่องทางติดต่อ และเงื่อนไขบังคับตามประเภท</x:v>
      </x:c>
      <x:c r="I395" s="20" t="str">
        <x:v>ยังไม่ยืนยันที่อยู่ละเอียด ดูลิงก์แหล่งข้อมูลและ Google Maps</x:v>
      </x:c>
      <x:c r="J395" s="21" t="str">
        <x:v>ยังไม่พบหรือยังไม่ยืนยัน</x:v>
      </x:c>
      <x:c r="K395" s="51" t="str">
        <x:v>https://www.thailandtourismdirectory.go.th/attraction/1811</x:v>
      </x:c>
      <x:c r="L395" s="51" t="str">
        <x:v>https://cbtthailand.dasta.or.th/webapp/relattraction/content/930/</x:v>
      </x:c>
      <x:c r="M395" s="20" t="str">
        <x:v>พบแหล่งต่างเว็บไซต์ ป่าพรุท่าปอม คลองสองน้ำ | CBT Thailand</x:v>
      </x:c>
      <x:c r="N395" s="28" t="n">
        <x:v>46316</x:v>
      </x:c>
      <x:c r="O395" s="57" t="str">
        <x:v>ยังไม่ตรวจ</x:v>
      </x:c>
      <x:c r="P395" s="57" t="str">
        <x:v>ยังไม่ติดต่อ</x:v>
      </x:c>
      <x:c r="Q395" s="20" t="str">
        <x:v>R26-180</x:v>
      </x:c>
      <x:c r="R395" s="20" t="str"/>
      <x:c r="S395" s="20" t="str"/>
      <x:c r="T395" s="20" t="str">
        <x:v>https://www.thailandtourismdirectory.go.th/attraction/1811</x:v>
      </x:c>
      <x:c r="U395" s="20" t="str"/>
      <x:c r="V395" s="20" t="str"/>
      <x:c r="W395" s="20" t="str"/>
      <x:c r="X395" s="20" t="str"/>
      <x:c r="Y395" s="20" t="str">
        <x:v>https://www.google.com/maps/search/?api=1&amp;query=%E0%B8%97%E0%B9%88%E0%B8%B2%E0%B8%9B%E0%B8%AD%E0%B8%A1%E0%B8%84%E0%B8%A5%E0%B8%AD%E0%B8%87%E0%B8%AA%E0%B8%AD%E0%B8%87%E0%B8%99%E0%B9%89%E0%B8%B3%20%E0%B8%81%E0%B8%A3%E0%B8%B0%E0%B8%9A%E0%B8%B5%E0%B9%88</x:v>
      </x:c>
      <x:c r="Z395" s="56" t="n">
        <x:v>8.2142</x:v>
      </x:c>
      <x:c r="AA395" s="56" t="n">
        <x:v>98.7772</x:v>
      </x:c>
      <x:c r="AB395" s="57" t="str"/>
      <x:c r="AC395" s="20" t="str">
        <x:v>https://www.thailandtourismdirectory.go.th/attraction/1811</x:v>
      </x:c>
    </x:row>
    <x:row r="396" ht="88" customHeight="1">
      <x:c r="A396" s="54" t="n">
        <x:v>388</x:v>
      </x:c>
      <x:c r="B396" s="20" t="str">
        <x:v>หาดไร่เลย์</x:v>
      </x:c>
      <x:c r="C396" s="20" t="str">
        <x:v>กระบี่</x:v>
      </x:c>
      <x:c r="D396" s="20" t="str">
        <x:v>ธรรมชาติ</x:v>
      </x:c>
      <x:c r="E396" s="20" t="str">
        <x:v>พบข้อมูลชื่อตรงจาก หาดไร่เลย์; เป็นหลักฐานตัวตน/ประเภท ยังไม่ยืนยันบริการมุสลิมครบเกณฑ์</x:v>
      </x:c>
      <x:c r="F396" s="20" t="str">
        <x:v>ไม่ทราบ</x:v>
      </x:c>
      <x:c r="G396" s="20" t="str">
        <x:v>ยังไม่ยืนยันใบรับรองและวันหมดอายุ</x:v>
      </x:c>
      <x:c r="H396" s="20" t="str">
        <x:v>ตรวจการเปิด ตัวตนสาขา ช่องทางติดต่อ และเงื่อนไขบังคับตามประเภท</x:v>
      </x:c>
      <x:c r="I396" s="20" t="str">
        <x:v>ยังไม่ยืนยันที่อยู่ละเอียด ดูลิงก์แหล่งข้อมูลและ Google Maps</x:v>
      </x:c>
      <x:c r="J396" s="21" t="str">
        <x:v>ยังไม่พบหรือยังไม่ยืนยัน</x:v>
      </x:c>
      <x:c r="K396" s="51" t="str">
        <x:v>https://www.krabipao.go.th/travel_top/detail/37/data.html</x:v>
      </x:c>
      <x:c r="L396" s="51" t="str">
        <x:v>https://www.thailandtourismdirectory.go.th/th/attraction/1805</x:v>
      </x:c>
      <x:c r="M396" s="20" t="str">
        <x:v>พบแหล่งต่างเว็บไซต์ หาดไร่เลย์</x:v>
      </x:c>
      <x:c r="N396" s="28" t="n">
        <x:v>46316</x:v>
      </x:c>
      <x:c r="O396" s="57" t="str">
        <x:v>ยังไม่ตรวจ</x:v>
      </x:c>
      <x:c r="P396" s="57" t="str">
        <x:v>ยังไม่ติดต่อ</x:v>
      </x:c>
      <x:c r="Q396" s="20" t="str">
        <x:v>R26-178</x:v>
      </x:c>
      <x:c r="R396" s="20" t="str"/>
      <x:c r="S396" s="20" t="str"/>
      <x:c r="T396" s="20" t="str">
        <x:v>https://www.krabipao.go.th/travel_top/detail/37/data.html</x:v>
      </x:c>
      <x:c r="U396" s="20" t="str"/>
      <x:c r="V396" s="20" t="str"/>
      <x:c r="W396" s="20" t="str"/>
      <x:c r="X396" s="20" t="str"/>
      <x:c r="Y396" s="20" t="str">
        <x:v>https://www.google.com/maps/search/?api=1&amp;query=%E0%B8%AB%E0%B8%B2%E0%B8%94%E0%B9%84%E0%B8%A3%E0%B9%88%E0%B9%80%E0%B8%A5%E0%B8%A2%E0%B9%8C%20%E0%B8%81%E0%B8%A3%E0%B8%B0%E0%B8%9A%E0%B8%B5%E0%B9%88</x:v>
      </x:c>
      <x:c r="Z396" s="56" t="n">
        <x:v>8.011711</x:v>
      </x:c>
      <x:c r="AA396" s="56" t="n">
        <x:v>98.837776</x:v>
      </x:c>
      <x:c r="AB396" s="57" t="str"/>
      <x:c r="AC396" s="20" t="str">
        <x:v>https://www.krabipao.go.th/travel_top/detail/37/data.html</x:v>
      </x:c>
    </x:row>
    <x:row r="397" ht="88" customHeight="1">
      <x:c r="A397" s="54" t="n">
        <x:v>389</x:v>
      </x:c>
      <x:c r="B397" s="20" t="str">
        <x:v>อุทยานแห่งชาติธารโบกขรณี</x:v>
      </x:c>
      <x:c r="C397" s="20" t="str">
        <x:v>กระบี่</x:v>
      </x:c>
      <x:c r="D397" s="20" t="str">
        <x:v>ธรรมชาติ</x:v>
      </x:c>
      <x:c r="E397" s="20" t="str">
        <x:v>พบข้อมูลชื่อตรงจาก พระราชปณิธานสีเขียว : “พระบรมราชชนนีพันปีหลวง” รอยพระบาทแห่งความรักในธรรมชาติ ณ ธารโบกขรณี; เป็นหลักฐานตัวตน/ประเภท ยังไม่ยืนยันบริการมุสลิมครบเกณฑ์</x:v>
      </x:c>
      <x:c r="F397" s="20" t="str">
        <x:v>ไม่ทราบ</x:v>
      </x:c>
      <x:c r="G397" s="20" t="str">
        <x:v>ยังไม่ยืนยันใบรับรองและวันหมดอายุ</x:v>
      </x:c>
      <x:c r="H397" s="20" t="str">
        <x:v>ตรวจการเปิด ตัวตนสาขา ช่องทางติดต่อ และเงื่อนไขบังคับตามประเภท</x:v>
      </x:c>
      <x:c r="I397" s="20" t="str">
        <x:v>ยังไม่ยืนยันที่อยู่ละเอียด ดูลิงก์แหล่งข้อมูลและ Google Maps</x:v>
      </x:c>
      <x:c r="J397" s="21" t="str">
        <x:v>ยังไม่พบหรือยังไม่ยืนยัน</x:v>
      </x:c>
      <x:c r="K397" s="51" t="str">
        <x:v>https://news.dnp.go.th/news/34480</x:v>
      </x:c>
      <x:c r="L397" s="51" t="str">
        <x:v>https://www.thailandtourismdirectory.go.th/attraction/1812</x:v>
      </x:c>
      <x:c r="M397" s="20" t="str">
        <x:v>พบแหล่งต่างเว็บไซต์ อุทยานแห่งชาติธารโบกขรณี</x:v>
      </x:c>
      <x:c r="N397" s="28" t="n">
        <x:v>46316</x:v>
      </x:c>
      <x:c r="O397" s="57" t="str">
        <x:v>ยังไม่ตรวจ</x:v>
      </x:c>
      <x:c r="P397" s="57" t="str">
        <x:v>ยังไม่ติดต่อ</x:v>
      </x:c>
      <x:c r="Q397" s="20" t="str">
        <x:v>R26-176</x:v>
      </x:c>
      <x:c r="R397" s="20" t="str"/>
      <x:c r="S397" s="20" t="str"/>
      <x:c r="T397" s="20" t="str">
        <x:v>https://news.dnp.go.th/news/34480</x:v>
      </x:c>
      <x:c r="U397" s="20" t="str"/>
      <x:c r="V397" s="20" t="str"/>
      <x:c r="W397" s="20" t="str"/>
      <x:c r="X397" s="20" t="str"/>
      <x:c r="Y397" s="20" t="str">
        <x:v>https://www.google.com/maps/search/?api=1&amp;query=%E0%B8%AD%E0%B8%B8%E0%B8%97%E0%B8%A2%E0%B8%B2%E0%B8%99%E0%B9%81%E0%B8%AB%E0%B9%88%E0%B8%87%E0%B8%8A%E0%B8%B2%E0%B8%95%E0%B8%B4%E0%B8%98%E0%B8%B2%E0%B8%A3%E0%B9%82%E0%B8%9A%E0%B8%81%E0%B8%82%E0%B8%A3%E0%B8%93%E0%B8%B5%20%E0%B8%81%E0%B8%A3%E0%B8%B0%E0%B8%9A%E0%B8%B5%E0%B9%88</x:v>
      </x:c>
      <x:c r="Z397" s="56" t="n">
        <x:v>8.3886</x:v>
      </x:c>
      <x:c r="AA397" s="56" t="n">
        <x:v>98.7343</x:v>
      </x:c>
      <x:c r="AB397" s="57" t="str"/>
      <x:c r="AC397" s="20" t="str">
        <x:v>https://news.dnp.go.th/news/34480</x:v>
      </x:c>
    </x:row>
    <x:row r="398" ht="88" customHeight="1">
      <x:c r="A398" s="54" t="n">
        <x:v>390</x:v>
      </x:c>
      <x:c r="B398" s="20" t="str">
        <x:v>ชุมชนบ้านทุ่งหยีเพ็ง</x:v>
      </x:c>
      <x:c r="C398" s="20" t="str">
        <x:v>กระบี่</x:v>
      </x:c>
      <x:c r="D398" s="20" t="str">
        <x:v>ชุมชน</x:v>
      </x:c>
      <x:c r="E398" s="20" t="str">
        <x:v>พบข้อมูลชื่อตรงจาก บ้านทุ่งหยีเพ็ง; เป็นหลักฐานตัวตน/ประเภท ยังไม่ยืนยันบริการมุสลิมครบเกณฑ์</x:v>
      </x:c>
      <x:c r="F398" s="20" t="str">
        <x:v>ไม่ทราบ</x:v>
      </x:c>
      <x:c r="G398" s="20" t="str">
        <x:v>ยังไม่ยืนยันใบรับรองและวันหมดอายุ</x:v>
      </x:c>
      <x:c r="H398" s="20" t="str">
        <x:v>ตรวจการเปิด ตัวตนสาขา ช่องทางติดต่อ และเงื่อนไขบังคับตามประเภท</x:v>
      </x:c>
      <x:c r="I398" s="20" t="str">
        <x:v>ยังไม่ยืนยันที่อยู่ละเอียด ดูลิงก์แหล่งข้อมูลและ Google Maps</x:v>
      </x:c>
      <x:c r="J398" s="21" t="str">
        <x:v>ยังไม่พบหรือยังไม่ยืนยัน</x:v>
      </x:c>
      <x:c r="K398" s="51" t="str">
        <x:v>https://wikicommunity.sac.or.th/community/1062</x:v>
      </x:c>
      <x:c r="L398" s="51" t="str">
        <x:v>https://thailand.go.th/guide-book-detail/001_02_213</x:v>
      </x:c>
      <x:c r="M398" s="20" t="str">
        <x:v>พบแหล่งต่างเว็บไซต์ ท่องเที่ยวเชิงวิถีชีวิต - นั่งเรือเตาถ่าน วิถีบ้านทุ่งหยีเพ็ง จ.กระบี่ - THAILAND.GO.TH</x:v>
      </x:c>
      <x:c r="N398" s="28" t="n">
        <x:v>46316</x:v>
      </x:c>
      <x:c r="O398" s="57" t="str">
        <x:v>ยังไม่ตรวจ</x:v>
      </x:c>
      <x:c r="P398" s="57" t="str">
        <x:v>ยังไม่ติดต่อ</x:v>
      </x:c>
      <x:c r="Q398" s="20" t="str">
        <x:v>R26-183</x:v>
      </x:c>
      <x:c r="R398" s="20" t="str"/>
      <x:c r="S398" s="20" t="str"/>
      <x:c r="T398" s="20" t="str">
        <x:v>https://wikicommunity.sac.or.th/community/1062</x:v>
      </x:c>
      <x:c r="U398" s="20" t="str"/>
      <x:c r="V398" s="20" t="str"/>
      <x:c r="W398" s="20" t="str"/>
      <x:c r="X398" s="20" t="str"/>
      <x:c r="Y398" s="20" t="str">
        <x:v>https://www.google.com/maps/search/?api=1&amp;query=%E0%B8%8A%E0%B8%B8%E0%B8%A1%E0%B8%8A%E0%B8%99%E0%B8%9A%E0%B9%89%E0%B8%B2%E0%B8%99%E0%B8%97%E0%B8%B8%E0%B9%88%E0%B8%87%E0%B8%AB%E0%B8%A2%E0%B8%B5%E0%B9%80%E0%B8%9E%E0%B9%87%E0%B8%87%20%E0%B8%81%E0%B8%A3%E0%B8%B0%E0%B8%9A%E0%B8%B5%E0%B9%88</x:v>
      </x:c>
      <x:c r="Z398" s="56" t="n">
        <x:v>7.643137</x:v>
      </x:c>
      <x:c r="AA398" s="56" t="n">
        <x:v>99.04252</x:v>
      </x:c>
      <x:c r="AB398" s="57" t="str"/>
      <x:c r="AC398" s="20" t="str">
        <x:v>https://wikicommunity.sac.or.th/community/1062</x:v>
      </x:c>
    </x:row>
    <x:row r="399" ht="88" customHeight="1">
      <x:c r="A399" s="54" t="n">
        <x:v>391</x:v>
      </x:c>
      <x:c r="B399" s="20" t="str">
        <x:v>ชุมชนบ้านหนองทะเล</x:v>
      </x:c>
      <x:c r="C399" s="20" t="str">
        <x:v>กระบี่</x:v>
      </x:c>
      <x:c r="D399" s="20" t="str">
        <x:v>ชุมชน</x:v>
      </x:c>
      <x:c r="E399" s="20" t="str">
        <x:v>พบข้อมูลชื่อตรงจาก ชุมชนท่องเที่ยวบ้านหนองทะเล | CBT Thailand; เป็นหลักฐานตัวตน/ประเภท ยังไม่ยืนยันบริการมุสลิมครบเกณฑ์</x:v>
      </x:c>
      <x:c r="F399" s="20" t="str">
        <x:v>ไม่ทราบ</x:v>
      </x:c>
      <x:c r="G399" s="20" t="str">
        <x:v>ยังไม่ยืนยันใบรับรองและวันหมดอายุ</x:v>
      </x:c>
      <x:c r="H399" s="20" t="str">
        <x:v>ตรวจการเปิด ตัวตนสาขา ช่องทางติดต่อ และเงื่อนไขบังคับตามประเภท</x:v>
      </x:c>
      <x:c r="I399" s="20" t="str">
        <x:v>ยังไม่ยืนยันที่อยู่ละเอียด ดูลิงก์แหล่งข้อมูลและ Google Maps</x:v>
      </x:c>
      <x:c r="J399" s="21" t="str">
        <x:v>ยังไม่พบหรือยังไม่ยืนยัน</x:v>
      </x:c>
      <x:c r="K399" s="51" t="str">
        <x:v>https://cbtthailand.dasta.or.th/webapp/community/content/58/</x:v>
      </x:c>
      <x:c r="L399" s="51" t="str">
        <x:v>https://anyflip.com/kyylf/kzhv/basic</x:v>
      </x:c>
      <x:c r="M399" s="20" t="str">
        <x:v>พบแหล่งต่างเว็บไซต์ 1.ไดอารี่บ้านหนองทะเล - ดาวน์โหลดหนังสือ | 1-50 หน้า | AnyFlip</x:v>
      </x:c>
      <x:c r="N399" s="28" t="n">
        <x:v>46316</x:v>
      </x:c>
      <x:c r="O399" s="57" t="str">
        <x:v>ยังไม่ตรวจ</x:v>
      </x:c>
      <x:c r="P399" s="57" t="str">
        <x:v>ยังไม่ติดต่อ</x:v>
      </x:c>
      <x:c r="Q399" s="20" t="str">
        <x:v>R26-184</x:v>
      </x:c>
      <x:c r="R399" s="20" t="str"/>
      <x:c r="S399" s="20" t="str"/>
      <x:c r="T399" s="20" t="str">
        <x:v>https://cbtthailand.dasta.or.th/webapp/community/content/58/</x:v>
      </x:c>
      <x:c r="U399" s="20" t="str"/>
      <x:c r="V399" s="20" t="str"/>
      <x:c r="W399" s="20" t="str"/>
      <x:c r="X399" s="20" t="str"/>
      <x:c r="Y399" s="20" t="str">
        <x:v>https://www.google.com/maps/search/?api=1&amp;query=%E0%B8%8A%E0%B8%B8%E0%B8%A1%E0%B8%8A%E0%B8%99%E0%B8%9A%E0%B9%89%E0%B8%B2%E0%B8%99%E0%B8%AB%E0%B8%99%E0%B8%AD%E0%B8%87%E0%B8%97%E0%B8%B0%E0%B9%80%E0%B8%A5%20%E0%B8%81%E0%B8%A3%E0%B8%B0%E0%B8%9A%E0%B8%B5%E0%B9%88</x:v>
      </x:c>
      <x:c r="Z399" s="56" t="str"/>
      <x:c r="AA399" s="56" t="str"/>
      <x:c r="AB399" s="57" t="str"/>
      <x:c r="AC399" s="20" t="str">
        <x:v>https://cbtthailand.dasta.or.th/webapp/community/content/58/</x:v>
      </x:c>
    </x:row>
    <x:row r="400" ht="88" customHeight="1">
      <x:c r="A400" s="54" t="n">
        <x:v>392</x:v>
      </x:c>
      <x:c r="B400" s="20" t="str">
        <x:v>Rimnatee Resort Trang</x:v>
      </x:c>
      <x:c r="C400" s="20" t="str">
        <x:v>ตรัง</x:v>
      </x:c>
      <x:c r="D400" s="20" t="str">
        <x:v>ที่พัก</x:v>
      </x:c>
      <x:c r="E400" s="20" t="str">
        <x:v>พบข้อมูลชื่อตรงจาก Rimnatee Resort Trang, Trang (updated prices 2026); เป็นหลักฐานตัวตน/ประเภท ยังไม่ยืนยันบริการมุสลิมครบเกณฑ์</x:v>
      </x:c>
      <x:c r="F400" s="20" t="str">
        <x:v>ไม่ทราบ</x:v>
      </x:c>
      <x:c r="G400" s="20" t="str">
        <x:v>ยังไม่ยืนยันใบรับรองและวันหมดอายุ</x:v>
      </x:c>
      <x:c r="H400" s="20" t="str">
        <x:v>ตรวจการเปิด ตัวตนสาขา ช่องทางติดต่อ และเงื่อนไขบังคับตามประเภท</x:v>
      </x:c>
      <x:c r="I400" s="20" t="str">
        <x:v>ยังไม่ยืนยันที่อยู่ละเอียด ดูลิงก์แหล่งข้อมูลและ Google Maps</x:v>
      </x:c>
      <x:c r="J400" s="21" t="str">
        <x:v>ยังไม่พบหรือยังไม่ยืนยัน</x:v>
      </x:c>
      <x:c r="K400" s="51" t="str">
        <x:v>https://www.booking.com/hotel/th/rimnatee-resort-trang.html</x:v>
      </x:c>
      <x:c r="L400" s="51" t="str">
        <x:v>https://www.google.com.my/travel/hotels/entity/ChkIu_LD3O3d8actGg0vZy8xMWI3N3Mzcm1rEAE</x:v>
      </x:c>
      <x:c r="M400" s="20" t="str">
        <x:v>พบแหล่งต่างเว็บไซต์ Rimnatee Resort Trang – Google hotels</x:v>
      </x:c>
      <x:c r="N400" s="28" t="n">
        <x:v>46316</x:v>
      </x:c>
      <x:c r="O400" s="57" t="str">
        <x:v>ยังไม่ตรวจ</x:v>
      </x:c>
      <x:c r="P400" s="57" t="str">
        <x:v>ยังไม่ติดต่อ</x:v>
      </x:c>
      <x:c r="Q400" s="20" t="str">
        <x:v>R26-081</x:v>
      </x:c>
      <x:c r="R400" s="20" t="str">
        <x:v>Rimnatee Resort Trang</x:v>
      </x:c>
      <x:c r="S400" s="20" t="str"/>
      <x:c r="T400" s="20" t="str">
        <x:v>https://www.booking.com/hotel/th/rimnatee-resort-trang.html</x:v>
      </x:c>
      <x:c r="U400" s="20" t="str"/>
      <x:c r="V400" s="20" t="str"/>
      <x:c r="W400" s="20" t="str"/>
      <x:c r="X400" s="20" t="str"/>
      <x:c r="Y400" s="20" t="str">
        <x:v>https://www.google.com/maps/search/?api=1&amp;query=Rimnatee%20Resort%20Trang%20%E0%B8%95%E0%B8%A3%E0%B8%B1%E0%B8%87</x:v>
      </x:c>
      <x:c r="Z400" s="56" t="str"/>
      <x:c r="AA400" s="56" t="str"/>
      <x:c r="AB400" s="57" t="str"/>
      <x:c r="AC400" s="20" t="str">
        <x:v>https://www.booking.com/hotel/th/rimnatee-resort-trang.html</x:v>
      </x:c>
    </x:row>
    <x:row r="401" ht="88" customHeight="1">
      <x:c r="A401" s="54" t="n">
        <x:v>393</x:v>
      </x:c>
      <x:c r="B401" s="20" t="str">
        <x:v>ถวิล Since 1998</x:v>
      </x:c>
      <x:c r="C401" s="20" t="str">
        <x:v>ตรัง</x:v>
      </x:c>
      <x:c r="D401" s="20" t="str">
        <x:v>อาหาร</x:v>
      </x:c>
      <x:c r="E401" s="20" t="str">
        <x:v>พบข้อมูลชื่อตรงจาก รีวิวร้านถวิล Since 1998 อาหารอร่อย บรรยากาศชิลล์ ใจกลางซอยเพลินพิทักษ์ 8; เป็นหลักฐานตัวตน/ประเภท ยังไม่ยืนยันบริการมุสลิมครบเกณฑ์</x:v>
      </x:c>
      <x:c r="F401" s="20" t="str">
        <x:v>ไม่ทราบ</x:v>
      </x:c>
      <x:c r="G401" s="20" t="str">
        <x:v>ยังไม่ยืนยันใบรับรองและวันหมดอายุ</x:v>
      </x:c>
      <x:c r="H401" s="20" t="str">
        <x:v>ตรวจการเปิด ตัวตนสาขา ช่องทางติดต่อ และเงื่อนไขบังคับตามประเภท</x:v>
      </x:c>
      <x:c r="I401" s="20" t="str">
        <x:v>ยังไม่ยืนยันที่อยู่ละเอียด ดูลิงก์แหล่งข้อมูลและ Google Maps</x:v>
      </x:c>
      <x:c r="J401" s="21" t="str">
        <x:v>ยังไม่พบหรือยังไม่ยืนยัน</x:v>
      </x:c>
      <x:c r="K401" s="51" t="str">
        <x:v>https://www.lemon8-app.com/%40noonkitty17/7630849184953860626?region=th</x:v>
      </x:c>
      <x:c r="L401" s="51" t="str">
        <x:v>https://es.restaurantguru.com/%E0%B8%96%E0%B8%A7%E0%B8%B4%E0%B8%A5-Since-1998-Trang</x:v>
      </x:c>
      <x:c r="M401" s="20" t="str">
        <x:v>พบแหล่งต่างเว็บไซต์ ถวิล Since 1998, Trang - Menú del restaurante, precios y reseñas</x:v>
      </x:c>
      <x:c r="N401" s="28" t="n">
        <x:v>46316</x:v>
      </x:c>
      <x:c r="O401" s="57" t="str">
        <x:v>ยังไม่ตรวจ</x:v>
      </x:c>
      <x:c r="P401" s="57" t="str">
        <x:v>ยังไม่ติดต่อ</x:v>
      </x:c>
      <x:c r="Q401" s="20" t="str">
        <x:v>R26-080</x:v>
      </x:c>
      <x:c r="R401" s="20" t="str"/>
      <x:c r="S401" s="20" t="str"/>
      <x:c r="T401" s="20" t="str">
        <x:v>https://www.lemon8-app.com/%40noonkitty17/7630849184953860626?region=th</x:v>
      </x:c>
      <x:c r="U401" s="20" t="str"/>
      <x:c r="V401" s="20" t="str"/>
      <x:c r="W401" s="20" t="str"/>
      <x:c r="X401" s="20" t="str"/>
      <x:c r="Y401" s="20" t="str">
        <x:v>https://www.google.com/maps/search/?api=1&amp;query=%E0%B8%96%E0%B8%A7%E0%B8%B4%E0%B8%A5%20Since%201998%20%E0%B8%95%E0%B8%A3%E0%B8%B1%E0%B8%87</x:v>
      </x:c>
      <x:c r="Z401" s="56" t="n">
        <x:v>7.56843</x:v>
      </x:c>
      <x:c r="AA401" s="56" t="n">
        <x:v>99.614308</x:v>
      </x:c>
      <x:c r="AB401" s="57" t="str"/>
      <x:c r="AC401" s="20" t="str">
        <x:v>https://www.lemon8-app.com/%40noonkitty17/7630849184953860626?region=th</x:v>
      </x:c>
    </x:row>
    <x:row r="402" ht="88" customHeight="1">
      <x:c r="A402" s="54" t="n">
        <x:v>394</x:v>
      </x:c>
      <x:c r="B402" s="20" t="str">
        <x:v>เตอรัง ติ่มซำ</x:v>
      </x:c>
      <x:c r="C402" s="20" t="str">
        <x:v>ตรัง</x:v>
      </x:c>
      <x:c r="D402" s="20" t="str">
        <x:v>อาหาร</x:v>
      </x:c>
      <x:c r="E402" s="20" t="str">
        <x:v>พบข้อมูลชื่อตรงจาก ร้าน เตอรัง ติ่มซำ; เป็นหลักฐานตัวตน/ประเภท ยังไม่ยืนยันบริการมุสลิมครบเกณฑ์</x:v>
      </x:c>
      <x:c r="F402" s="20" t="str">
        <x:v>ไม่ทราบ</x:v>
      </x:c>
      <x:c r="G402" s="20" t="str">
        <x:v>ยังไม่ยืนยันใบรับรองและวันหมดอายุ</x:v>
      </x:c>
      <x:c r="H402" s="20" t="str">
        <x:v>ตรวจการเปิด ตัวตนสาขา ช่องทางติดต่อ และเงื่อนไขบังคับตามประเภท</x:v>
      </x:c>
      <x:c r="I402" s="20" t="str">
        <x:v>ยังไม่ยืนยันที่อยู่ละเอียด ดูลิงก์แหล่งข้อมูลและ Google Maps</x:v>
      </x:c>
      <x:c r="J402" s="21" t="str">
        <x:v>ยังไม่พบหรือยังไม่ยืนยัน</x:v>
      </x:c>
      <x:c r="K402" s="51" t="str">
        <x:v>https://www.thailandtourismdirectory.go.th/restaurants/87856</x:v>
      </x:c>
      <x:c r="L402" s="51" t="str">
        <x:v>https://www.thairath.co.th/lifestyle/food/review/1061414</x:v>
      </x:c>
      <x:c r="M402" s="20" t="str">
        <x:v>พบแหล่งต่างเว็บไซต์ เตอรัง ร้านติ่มซำฮาลาลหลากสไตส์ บาย บังเด่น กลางเมืองตรัง</x:v>
      </x:c>
      <x:c r="N402" s="28" t="n">
        <x:v>46316</x:v>
      </x:c>
      <x:c r="O402" s="57" t="str">
        <x:v>ยังไม่ตรวจ</x:v>
      </x:c>
      <x:c r="P402" s="57" t="str">
        <x:v>ยังไม่ติดต่อ</x:v>
      </x:c>
      <x:c r="Q402" s="20" t="str">
        <x:v>R26-082</x:v>
      </x:c>
      <x:c r="R402" s="20" t="str"/>
      <x:c r="S402" s="20" t="str"/>
      <x:c r="T402" s="20" t="str">
        <x:v>https://www.thailandtourismdirectory.go.th/restaurants/87856</x:v>
      </x:c>
      <x:c r="U402" s="20" t="str"/>
      <x:c r="V402" s="20" t="str"/>
      <x:c r="W402" s="20" t="str"/>
      <x:c r="X402" s="20" t="str"/>
      <x:c r="Y402" s="20" t="str">
        <x:v>https://www.google.com/maps/search/?api=1&amp;query=%E0%B9%80%E0%B8%95%E0%B8%AD%E0%B8%A3%E0%B8%B1%E0%B8%87%20%E0%B8%95%E0%B8%B4%E0%B9%88%E0%B8%A1%E0%B8%8B%E0%B8%B3%20%E0%B8%95%E0%B8%A3%E0%B8%B1%E0%B8%87</x:v>
      </x:c>
      <x:c r="Z402" s="56" t="n">
        <x:v>7.548788</x:v>
      </x:c>
      <x:c r="AA402" s="56" t="n">
        <x:v>99.61018</x:v>
      </x:c>
      <x:c r="AB402" s="57" t="str"/>
      <x:c r="AC402" s="20" t="str">
        <x:v>https://www.thailandtourismdirectory.go.th/restaurants/87856</x:v>
      </x:c>
    </x:row>
    <x:row r="403" ht="88" customHeight="1">
      <x:c r="A403" s="54" t="n">
        <x:v>395</x:v>
      </x:c>
      <x:c r="B403" s="20" t="str">
        <x:v>เสน่ห์ปู ตรัง</x:v>
      </x:c>
      <x:c r="C403" s="20" t="str">
        <x:v>ตรัง</x:v>
      </x:c>
      <x:c r="D403" s="20" t="str">
        <x:v>อาหาร</x:v>
      </x:c>
      <x:c r="E403" s="20" t="str">
        <x:v>พบข้อมูลชื่อตรงจาก ร้านเสน่ห์ปู ตรัง อาหารทะเลฮาลาล วิวแม่น้ำ บรรยากาศดี - YouTube; เป็นหลักฐานตัวตน/ประเภท ยังไม่ยืนยันบริการมุสลิมครบเกณฑ์</x:v>
      </x:c>
      <x:c r="F403" s="20" t="str">
        <x:v>ไม่ทราบ</x:v>
      </x:c>
      <x:c r="G403" s="20" t="str">
        <x:v>ยังไม่ยืนยันใบรับรองและวันหมดอายุ</x:v>
      </x:c>
      <x:c r="H403" s="20" t="str">
        <x:v>ตรวจการเปิด ตัวตนสาขา ช่องทางติดต่อ และเงื่อนไขบังคับตามประเภท</x:v>
      </x:c>
      <x:c r="I403" s="20" t="str">
        <x:v>ยังไม่ยืนยันที่อยู่ละเอียด ดูลิงก์แหล่งข้อมูลและ Google Maps</x:v>
      </x:c>
      <x:c r="J403" s="21" t="str">
        <x:v>ยังไม่พบหรือยังไม่ยืนยัน</x:v>
      </x:c>
      <x:c r="K403" s="51" t="str">
        <x:v>https://www.youtube.com/watch?v=d808oNhPBd8</x:v>
      </x:c>
      <x:c r="L403" s="51" t="str">
        <x:v>https://www.lemon8-app.com/%40jayyanaka/7537714313755345425?region=th</x:v>
      </x:c>
      <x:c r="M403" s="20" t="str">
        <x:v>พบแหล่งต่างเว็บไซต์ รีวิวร้านเสน่ห์ปู ตรัง (กันตัง) ซีฟู้ดสดย่างเตาถ่าน เมนูเด็ดแกงส้มไข่ปลาริวกิว+กุ้งเผา</x:v>
      </x:c>
      <x:c r="N403" s="28" t="n">
        <x:v>46316</x:v>
      </x:c>
      <x:c r="O403" s="57" t="str">
        <x:v>ยังไม่ตรวจ</x:v>
      </x:c>
      <x:c r="P403" s="57" t="str">
        <x:v>ยังไม่ติดต่อ</x:v>
      </x:c>
      <x:c r="Q403" s="20" t="str">
        <x:v>R26-084</x:v>
      </x:c>
      <x:c r="R403" s="20" t="str"/>
      <x:c r="S403" s="20" t="str"/>
      <x:c r="T403" s="20" t="str">
        <x:v>https://www.youtube.com/watch?v=d808oNhPBd8</x:v>
      </x:c>
      <x:c r="U403" s="20" t="str"/>
      <x:c r="V403" s="20" t="str"/>
      <x:c r="W403" s="20" t="str"/>
      <x:c r="X403" s="20" t="str"/>
      <x:c r="Y403" s="20" t="str">
        <x:v>https://www.google.com/maps/search/?api=1&amp;query=%E0%B9%80%E0%B8%AA%E0%B8%99%E0%B9%88%E0%B8%AB%E0%B9%8C%E0%B8%9B%E0%B8%B9%20%E0%B8%95%E0%B8%A3%E0%B8%B1%E0%B8%87%20%E0%B8%95%E0%B8%A3%E0%B8%B1%E0%B8%87</x:v>
      </x:c>
      <x:c r="Z403" s="56" t="str"/>
      <x:c r="AA403" s="56" t="str"/>
      <x:c r="AB403" s="57" t="str"/>
      <x:c r="AC403" s="20" t="str">
        <x:v>https://www.youtube.com/watch?v=d808oNhPBd8</x:v>
      </x:c>
    </x:row>
    <x:row r="404" ht="88" customHeight="1">
      <x:c r="A404" s="54" t="n">
        <x:v>396</x:v>
      </x:c>
      <x:c r="B404" s="20" t="str">
        <x:v>ถ้ำเลเขากอบ</x:v>
      </x:c>
      <x:c r="C404" s="20" t="str">
        <x:v>ตรัง</x:v>
      </x:c>
      <x:c r="D404" s="20" t="str">
        <x:v>ธรรมชาติ</x:v>
      </x:c>
      <x:c r="E404" s="20" t="str">
        <x:v>พบข้อมูลชื่อตรงจาก ถ้ำเลเขากอบ แหล่งท่องเที่ยวจังหวัดตรัง; เป็นหลักฐานตัวตน/ประเภท ยังไม่ยืนยันบริการมุสลิมครบเกณฑ์</x:v>
      </x:c>
      <x:c r="F404" s="20" t="str">
        <x:v>ไม่ทราบ</x:v>
      </x:c>
      <x:c r="G404" s="20" t="str">
        <x:v>ยังไม่ยืนยันใบรับรองและวันหมดอายุ</x:v>
      </x:c>
      <x:c r="H404" s="20" t="str">
        <x:v>ตรวจการเปิด ตัวตนสาขา ช่องทางติดต่อ และเงื่อนไขบังคับตามประเภท</x:v>
      </x:c>
      <x:c r="I404" s="20" t="str">
        <x:v>ยังไม่ยืนยันที่อยู่ละเอียด ดูลิงก์แหล่งข้อมูลและ Google Maps</x:v>
      </x:c>
      <x:c r="J404" s="21" t="str">
        <x:v>ยังไม่พบหรือยังไม่ยืนยัน</x:v>
      </x:c>
      <x:c r="K404" s="51" t="str">
        <x:v>https://trang.mots.go.th/news/435</x:v>
      </x:c>
      <x:c r="L404" s="51" t="str">
        <x:v>https://www.trangpao.go.th/travel/detail/63</x:v>
      </x:c>
      <x:c r="M404" s="20" t="str">
        <x:v>พบแหล่งต่างเว็บไซต์ ถ้ำเลเขากอบ</x:v>
      </x:c>
      <x:c r="N404" s="28" t="n">
        <x:v>46316</x:v>
      </x:c>
      <x:c r="O404" s="57" t="str">
        <x:v>ยังไม่ตรวจ</x:v>
      </x:c>
      <x:c r="P404" s="57" t="str">
        <x:v>ยังไม่ติดต่อ</x:v>
      </x:c>
      <x:c r="Q404" s="20" t="str">
        <x:v>R26-083</x:v>
      </x:c>
      <x:c r="R404" s="20" t="str"/>
      <x:c r="S404" s="20" t="str"/>
      <x:c r="T404" s="20" t="str">
        <x:v>https://trang.mots.go.th/news/435</x:v>
      </x:c>
      <x:c r="U404" s="20" t="str"/>
      <x:c r="V404" s="20" t="str"/>
      <x:c r="W404" s="20" t="str"/>
      <x:c r="X404" s="20" t="str"/>
      <x:c r="Y404" s="20" t="str">
        <x:v>https://www.google.com/maps/search/?api=1&amp;query=%E0%B8%96%E0%B9%89%E0%B8%B3%E0%B9%80%E0%B8%A5%E0%B9%80%E0%B8%82%E0%B8%B2%E0%B8%81%E0%B8%AD%E0%B8%9A%20%E0%B8%95%E0%B8%A3%E0%B8%B1%E0%B8%87</x:v>
      </x:c>
      <x:c r="Z404" s="56" t="n">
        <x:v>7.793718</x:v>
      </x:c>
      <x:c r="AA404" s="56" t="n">
        <x:v>99.572203</x:v>
      </x:c>
      <x:c r="AB404" s="57" t="str"/>
      <x:c r="AC404" s="20" t="str">
        <x:v>https://trang.mots.go.th/news/435</x:v>
      </x:c>
    </x:row>
    <x:row r="405" ht="88" customHeight="1">
      <x:c r="A405" s="54" t="n">
        <x:v>397</x:v>
      </x:c>
      <x:c r="B405" s="20" t="str">
        <x:v>ชุมชนบ้านน้ำราบ</x:v>
      </x:c>
      <x:c r="C405" s="20" t="str">
        <x:v>ตรัง</x:v>
      </x:c>
      <x:c r="D405" s="20" t="str">
        <x:v>ชุมชน</x:v>
      </x:c>
      <x:c r="E405" s="20" t="str">
        <x:v>พบข้อมูลชื่อตรงจาก พัฒนาชุมจังหวัดตรัง จัดโปรแกรมชุมชนท่องเที่ยวบ้านน้ำราบ ตำบลบางสัก อำเภอกันตัง จังหวัดตรัง ภายใต้โครงการ "ผู้ว่าพาแลชุมชนท่องเที่ยว@เสน่ห์ตรัง"; เป็นหลักฐานตัวตน/ประเภท ยังไม่ยืนยันบริการมุสลิมครบเกณฑ์</x:v>
      </x:c>
      <x:c r="F405" s="20" t="str">
        <x:v>ไม่ทราบ</x:v>
      </x:c>
      <x:c r="G405" s="20" t="str">
        <x:v>ยังไม่ยืนยันใบรับรองและวันหมดอายุ</x:v>
      </x:c>
      <x:c r="H405" s="20" t="str">
        <x:v>ตรวจการเปิด ตัวตนสาขา ช่องทางติดต่อ และเงื่อนไขบังคับตามประเภท</x:v>
      </x:c>
      <x:c r="I405" s="20" t="str">
        <x:v>ยังไม่ยืนยันที่อยู่ละเอียด ดูลิงก์แหล่งข้อมูลและ Google Maps</x:v>
      </x:c>
      <x:c r="J405" s="21" t="str">
        <x:v>ยังไม่พบหรือยังไม่ยืนยัน</x:v>
      </x:c>
      <x:c r="K405" s="51" t="str">
        <x:v>https://ww2.trang.go.th/news/detail/5848</x:v>
      </x:c>
      <x:c r="L405" s="51" t="str">
        <x:v>https://www.dmcr.go.th/detailAll/47654/nws/</x:v>
      </x:c>
      <x:c r="M405" s="20" t="str">
        <x:v>พบแหล่งต่างเว็บไซต์ ขึ้นทะเบียนเรียบร้อย ชุมชนบ้านน้ำราบรักษ์ป่าชายเลนตรัง - กรมทรัพยากรทางทะเลและชายฝั่ง Department of Marine and Coastal Resources, Thailand</x:v>
      </x:c>
      <x:c r="N405" s="28" t="n">
        <x:v>46316</x:v>
      </x:c>
      <x:c r="O405" s="57" t="str">
        <x:v>ยังไม่ตรวจ</x:v>
      </x:c>
      <x:c r="P405" s="57" t="str">
        <x:v>ยังไม่ติดต่อ</x:v>
      </x:c>
      <x:c r="Q405" s="20" t="str">
        <x:v>R26-085</x:v>
      </x:c>
      <x:c r="R405" s="20" t="str"/>
      <x:c r="S405" s="20" t="str"/>
      <x:c r="T405" s="20" t="str">
        <x:v>https://ww2.trang.go.th/news/detail/5848</x:v>
      </x:c>
      <x:c r="U405" s="20" t="str"/>
      <x:c r="V405" s="20" t="str"/>
      <x:c r="W405" s="20" t="str"/>
      <x:c r="X405" s="20" t="str"/>
      <x:c r="Y405" s="20" t="str">
        <x:v>https://www.google.com/maps/search/?api=1&amp;query=%E0%B8%8A%E0%B8%B8%E0%B8%A1%E0%B8%8A%E0%B8%99%E0%B8%9A%E0%B9%89%E0%B8%B2%E0%B8%99%E0%B8%99%E0%B9%89%E0%B8%B3%E0%B8%A3%E0%B8%B2%E0%B8%9A%20%E0%B8%95%E0%B8%A3%E0%B8%B1%E0%B8%87</x:v>
      </x:c>
      <x:c r="Z405" s="56" t="str"/>
      <x:c r="AA405" s="56" t="str"/>
      <x:c r="AB405" s="57" t="str"/>
      <x:c r="AC405" s="20" t="str">
        <x:v>https://ww2.trang.go.th/news/detail/5848</x:v>
      </x:c>
    </x:row>
    <x:row r="406" ht="88" customHeight="1">
      <x:c r="A406" s="54" t="n">
        <x:v>398</x:v>
      </x:c>
      <x:c r="B406" s="20" t="str">
        <x:v>ParimaHotel</x:v>
      </x:c>
      <x:c r="C406" s="20" t="str">
        <x:v>ตรัง</x:v>
      </x:c>
      <x:c r="D406" s="20" t="str">
        <x:v>ที่พัก</x:v>
      </x:c>
      <x:c r="E406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406" s="20" t="str">
        <x:v>มีข้อมูลระบุ แต่รอยืนยัน</x:v>
      </x:c>
      <x:c r="G406" s="20" t="str">
        <x:v>ทะเบียน GMHI 4 ดาว; ช่องใบรับรอง: GMHI; ยังต้องยืนยันใบรับรองอาหารฮาลาลและวันหมดอายุแยกต่างหาก / ภาพใบรับรองระบุคนละธุรกิจ</x:v>
      </x:c>
      <x:c r="H406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406" s="20" t="str">
        <x:v>99/95 Moo3 Koklor Amphoe Muang Trang, Trang, Thailand 92000</x:v>
      </x:c>
      <x:c r="J406" s="21" t="str">
        <x:v>ยังไม่พบหรือยังไม่ยืนยัน</x:v>
      </x:c>
      <x:c r="K406" s="51" t="str">
        <x:v>https://gmhi.co/th-th/services/ParimaHotel-46</x:v>
      </x:c>
      <x:c r="L406" s="51" t="str">
        <x:v>https://www.wongnai.com/restaurants/1074140aN-%E0%B8%A3%E0%B9%89%E0%B8%B2%E0%B8%99%E0%B8%AD%E0%B8%B2%E0%B8%AB%E0%B8%B2%E0%B8%A3%E0%B8%AA%E0%B8%B2%E0%B8%A3%E0%B8%82%E0%B9%89%E0%B8%B2%E0%B8%A7-parima-hotel</x:v>
      </x:c>
      <x:c r="M406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406" s="28" t="n">
        <x:v>46315</x:v>
      </x:c>
      <x:c r="O406" s="57" t="str">
        <x:v>ยังไม่ตรวจ</x:v>
      </x:c>
      <x:c r="P406" s="57" t="str">
        <x:v>ยังไม่ติดต่อ</x:v>
      </x:c>
      <x:c r="Q406" s="20" t="str">
        <x:v>GMHI-46</x:v>
      </x:c>
      <x:c r="R406" s="20" t="str">
        <x:v>ParimaHotel</x:v>
      </x:c>
      <x:c r="S406" s="20" t="str"/>
      <x:c r="T406" s="20" t="str">
        <x:v>https://gmhi.co/th-th/services/ParimaHotel-46</x:v>
      </x:c>
      <x:c r="U406" s="20" t="str"/>
      <x:c r="V406" s="20" t="str"/>
      <x:c r="W406" s="20" t="str"/>
      <x:c r="X406" s="20" t="str"/>
      <x:c r="Y406" s="20" t="str">
        <x:v>https://www.google.com/maps/search/?api=1&amp;query=ParimaHotel%20%E0%B8%95%E0%B8%A3%E0%B8%B1%E0%B8%87</x:v>
      </x:c>
      <x:c r="Z406" s="56" t="n">
        <x:v>7.5536218</x:v>
      </x:c>
      <x:c r="AA406" s="56" t="n">
        <x:v>99.621428</x:v>
      </x:c>
      <x:c r="AB406" s="57" t="str"/>
      <x:c r="AC406" s="20" t="str">
        <x:v>https://gmhi.co/th-th/services/ParimaHotel-46</x:v>
      </x:c>
    </x:row>
    <x:row r="407" ht="88" customHeight="1">
      <x:c r="A407" s="54" t="n">
        <x:v>399</x:v>
      </x:c>
      <x:c r="B407" s="20" t="str">
        <x:v>Rua Rasada Hotel Trang</x:v>
      </x:c>
      <x:c r="C407" s="20" t="str">
        <x:v>ตรัง</x:v>
      </x:c>
      <x:c r="D407" s="20" t="str">
        <x:v>ที่พัก</x:v>
      </x:c>
      <x:c r="E407" s="20" t="str">
        <x:v>พบข้อมูลชื่อตรงจาก Rua Rasada Hotel Trang Thailand; เป็นหลักฐานตัวตน/ประเภท ยังไม่ยืนยันบริการมุสลิมครบเกณฑ์</x:v>
      </x:c>
      <x:c r="F407" s="20" t="str">
        <x:v>ไม่ทราบ</x:v>
      </x:c>
      <x:c r="G407" s="20" t="str">
        <x:v>ยังไม่ยืนยันใบรับรองและวันหมดอายุ</x:v>
      </x:c>
      <x:c r="H407" s="20" t="str">
        <x:v>ตรวจการเปิด ตัวตนสาขา ช่องทางติดต่อ และเงื่อนไขบังคับตามประเภท</x:v>
      </x:c>
      <x:c r="I407" s="20" t="str">
        <x:v>ยังไม่ยืนยันที่อยู่ละเอียด ดูลิงก์แหล่งข้อมูลและ Google Maps</x:v>
      </x:c>
      <x:c r="J407" s="21" t="str">
        <x:v>+6675226999 / +66614289153</x:v>
      </x:c>
      <x:c r="K407" s="51" t="str">
        <x:v>https://www.ruarasadahotel.com/</x:v>
      </x:c>
      <x:c r="L407" s="51" t="str">
        <x:v>https://www.youtube.com/watch?v=VJkQmt1xPa4</x:v>
      </x:c>
      <x:c r="M407" s="20" t="str">
        <x:v>พบแหล่งต่างเว็บไซต์ ที่พักน่านอนเมืองตรัง โรงแรมเรือรัษฎา ที่นอนนุ่ม ราคากันเอง Rua Rasada Hotel, Trang - YouTube</x:v>
      </x:c>
      <x:c r="N407" s="28" t="n">
        <x:v>46316</x:v>
      </x:c>
      <x:c r="O407" s="57" t="str">
        <x:v>ยังไม่ตรวจ</x:v>
      </x:c>
      <x:c r="P407" s="57" t="str">
        <x:v>ยังไม่ติดต่อ</x:v>
      </x:c>
      <x:c r="Q407" s="20" t="str">
        <x:v>R26-386</x:v>
      </x:c>
      <x:c r="R407" s="20" t="str">
        <x:v>Rua Rasada Hotel Trang</x:v>
      </x:c>
      <x:c r="S407" s="20" t="str">
        <x:v>rsvn@ruarasadahotel.com</x:v>
      </x:c>
      <x:c r="T407" s="20" t="str">
        <x:v>https://www.ruarasadahotel.com/</x:v>
      </x:c>
      <x:c r="U407" s="20" t="str">
        <x:v>https://www.facebook.com/ruarasada/</x:v>
      </x:c>
      <x:c r="V407" s="20" t="str">
        <x:v>https://www.instagram.com/ruarasadahotel.trang/</x:v>
      </x:c>
      <x:c r="W407" s="20" t="str">
        <x:v>https://lin.ee/vXMe4k8</x:v>
      </x:c>
      <x:c r="X407" s="20" t="str"/>
      <x:c r="Y407" s="20" t="str">
        <x:v>https://www.google.com/maps/search/?api=1&amp;query=Rua%20Rasada%20Hotel%20Trang%20%E0%B8%95%E0%B8%A3%E0%B8%B1%E0%B8%87</x:v>
      </x:c>
      <x:c r="Z407" s="56" t="n">
        <x:v>7.5649187</x:v>
      </x:c>
      <x:c r="AA407" s="56" t="n">
        <x:v>99.6312533</x:v>
      </x:c>
      <x:c r="AB407" s="57" t="str"/>
      <x:c r="AC407" s="20" t="str">
        <x:v>https://www.ruarasadahotel.com/</x:v>
      </x:c>
    </x:row>
    <x:row r="408" ht="88" customHeight="1">
      <x:c r="A408" s="54" t="n">
        <x:v>400</x:v>
      </x:c>
      <x:c r="B408" s="20" t="str">
        <x:v>The Three Sleep</x:v>
      </x:c>
      <x:c r="C408" s="20" t="str">
        <x:v>ตรัง</x:v>
      </x:c>
      <x:c r="D408" s="20" t="str">
        <x:v>ที่พัก</x:v>
      </x:c>
      <x:c r="E408" s="20" t="str">
        <x:v>มีชื่อในทะเบียนสาธารณะ GMHI; ข้อมูลบริการตามทะเบียนยังต้องยืนยันกับผู้ประกอบการ</x:v>
      </x:c>
      <x:c r="F408" s="20" t="str">
        <x:v>ไม่ทราบ</x:v>
      </x:c>
      <x:c r="G408" s="20" t="str">
        <x:v>ทะเบียน GMHI 3 ดาว; ช่องใบรับรอง: ไม่ระบุ; ยังต้องยืนยันใบรับรองอาหารฮาลาลและวันหมดอายุแยกต่างหาก</x:v>
      </x:c>
      <x:c r="H408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ทะเบียน GMHI ใช้ชื่อ The Three Sleep แต่ที่อยู่ 25/1 Choem Panya ตรงกับ The Tree Sleep and Space ใน Booking ต้องยืนยันชื่อกับสถานที่ / พบรีวิวปี 2025 ยังไม่ยืนยันการเปิดปัจจุบัน</x:v>
      </x:c>
      <x:c r="I408" s="20" t="str">
        <x:v>25/1 Choem Panya Rd, Trang, Thailand, Trang</x:v>
      </x:c>
      <x:c r="J408" s="21" t="str">
        <x:v>ยังไม่พบหรือยังไม่ยืนยัน</x:v>
      </x:c>
      <x:c r="K408" s="51" t="str">
        <x:v>https://gmhi.co/th-th/services/The%20Three%20Sleep-6</x:v>
      </x:c>
      <x:c r="L408" s="51" t="str">
        <x:v>https://wanderlog.com/place/details/3206295/the-tree-sleep-and-space</x:v>
      </x:c>
      <x:c r="M408" s="20" t="str">
        <x:v>ทะเบียน GMHI ใช้ชื่อ The Three Sleep แต่ที่อยู่ 25/1 Choem Panya ตรงกับ The Tree Sleep and Space ใน Booking ต้องยืนยันชื่อกับสถานที่ / พบรีวิวปี 2025 ยังไม่ยืนยันการเปิดปัจจุบัน</x:v>
      </x:c>
      <x:c r="N408" s="28" t="n">
        <x:v>46315</x:v>
      </x:c>
      <x:c r="O408" s="57" t="str">
        <x:v>ยังไม่ตรวจ</x:v>
      </x:c>
      <x:c r="P408" s="57" t="str">
        <x:v>ยังไม่ติดต่อ</x:v>
      </x:c>
      <x:c r="Q408" s="20" t="str">
        <x:v>GMHI-6</x:v>
      </x:c>
      <x:c r="R408" s="20" t="str">
        <x:v>The Three Sleep</x:v>
      </x:c>
      <x:c r="S408" s="20" t="str"/>
      <x:c r="T408" s="20" t="str">
        <x:v>https://gmhi.co/th-th/services/The%20Three%20Sleep-6</x:v>
      </x:c>
      <x:c r="U408" s="20" t="str"/>
      <x:c r="V408" s="20" t="str"/>
      <x:c r="W408" s="20" t="str"/>
      <x:c r="X408" s="20" t="str"/>
      <x:c r="Y408" s="20" t="str">
        <x:v>https://www.google.com/maps/search/?api=1&amp;query=The%20Three%20Sleep%20%E0%B8%95%E0%B8%A3%E0%B8%B1%E0%B8%87</x:v>
      </x:c>
      <x:c r="Z408" s="56" t="str"/>
      <x:c r="AA408" s="56" t="str"/>
      <x:c r="AB408" s="57" t="str"/>
      <x:c r="AC408" s="20" t="str">
        <x:v>https://gmhi.co/th-th/services/The%20Three%20Sleep-6</x:v>
      </x:c>
    </x:row>
    <x:row r="409" ht="88" customHeight="1">
      <x:c r="A409" s="54" t="n">
        <x:v>401</x:v>
      </x:c>
      <x:c r="B409" s="20" t="str">
        <x:v>ร้านทางเลือก ตรัง</x:v>
      </x:c>
      <x:c r="C409" s="20" t="str">
        <x:v>ตรัง</x:v>
      </x:c>
      <x:c r="D409" s="20" t="str">
        <x:v>อาหาร</x:v>
      </x:c>
      <x:c r="E409" s="20" t="str">
        <x:v>พบข้อมูลชื่อตรงจาก รีวิว ทางเลือก ตรัง - Landmark วิถีอาหารทางเลือกเพื่อสุขภาพ สนับสนุนวิถีเกษตรอินทรีย์ ตรัง โดยคนตรัง พร้อมเสิร์ฟความอร่อย ถึงกรุงเทพฯ; เป็นหลักฐานตัวตน/ประเภท ยังไม่ยืนยันบริการมุสลิมครบเกณฑ์</x:v>
      </x:c>
      <x:c r="F409" s="20" t="str">
        <x:v>ไม่ทราบ</x:v>
      </x:c>
      <x:c r="G409" s="20" t="str">
        <x:v>ยังไม่ยืนยันใบรับรองและวันหมดอายุ</x:v>
      </x:c>
      <x:c r="H409" s="20" t="str">
        <x:v>ตรวจการเปิด ตัวตนสาขา ช่องทางติดต่อ และเงื่อนไขบังคับตามประเภท</x:v>
      </x:c>
      <x:c r="I409" s="20" t="str">
        <x:v>ยังไม่ยืนยันที่อยู่ละเอียด ดูลิงก์แหล่งข้อมูลและ Google Maps</x:v>
      </x:c>
      <x:c r="J409" s="21" t="str">
        <x:v>ยังไม่พบหรือยังไม่ยืนยัน</x:v>
      </x:c>
      <x:c r="K409" s="51" t="str">
        <x:v>https://www.wongnai.com/reviews/9d47357e87fa48208833b9e55412a294</x:v>
      </x:c>
      <x:c r="L409" s="51" t="str">
        <x:v>https://www.lemon8-app.com/%40anusara_paplern/7600045983167037960?region=us</x:v>
      </x:c>
      <x:c r="M409" s="20" t="str">
        <x:v>พบแหล่งต่างเว็บไซต์ ร้านทางเลือก ตรัง: ข้าวยำเครื่องแน่นจากข้าวกล้อง ผักอินทรีย์ (ใกล้ถ.เพลินพิทักษ์)</x:v>
      </x:c>
      <x:c r="N409" s="28" t="n">
        <x:v>46316</x:v>
      </x:c>
      <x:c r="O409" s="57" t="str">
        <x:v>ยังไม่ตรวจ</x:v>
      </x:c>
      <x:c r="P409" s="57" t="str">
        <x:v>ยังไม่ติดต่อ</x:v>
      </x:c>
      <x:c r="Q409" s="20" t="str">
        <x:v>R26-357</x:v>
      </x:c>
      <x:c r="R409" s="20" t="str"/>
      <x:c r="S409" s="20" t="str"/>
      <x:c r="T409" s="20" t="str">
        <x:v>https://www.wongnai.com/reviews/9d47357e87fa48208833b9e55412a294</x:v>
      </x:c>
      <x:c r="U409" s="20" t="str"/>
      <x:c r="V409" s="20" t="str"/>
      <x:c r="W409" s="20" t="str"/>
      <x:c r="X409" s="20" t="str"/>
      <x:c r="Y409" s="20" t="str">
        <x:v>https://www.google.com/maps/search/?api=1&amp;query=%E0%B8%A3%E0%B9%89%E0%B8%B2%E0%B8%99%E0%B8%97%E0%B8%B2%E0%B8%87%E0%B9%80%E0%B8%A5%E0%B8%B7%E0%B8%AD%E0%B8%81%20%E0%B8%95%E0%B8%A3%E0%B8%B1%E0%B8%87%20%E0%B8%95%E0%B8%A3%E0%B8%B1%E0%B8%87</x:v>
      </x:c>
      <x:c r="Z409" s="56" t="str"/>
      <x:c r="AA409" s="56" t="str"/>
      <x:c r="AB409" s="57" t="str"/>
      <x:c r="AC409" s="20" t="str">
        <x:v>https://www.wongnai.com/reviews/9d47357e87fa48208833b9e55412a294</x:v>
      </x:c>
    </x:row>
    <x:row r="410" ht="88" customHeight="1">
      <x:c r="A410" s="54" t="n">
        <x:v>402</x:v>
      </x:c>
      <x:c r="B410" s="20" t="str">
        <x:v>ฮานีส สวนอาหารฮาลาล</x:v>
      </x:c>
      <x:c r="C410" s="20" t="str">
        <x:v>ตรัง</x:v>
      </x:c>
      <x:c r="D410" s="20" t="str">
        <x:v>อาหาร</x:v>
      </x:c>
      <x:c r="E410" s="20" t="str">
        <x:v>พบข้อมูลชื่อตรงจาก เมนูของร้านอาหาร ฮานีส สวนอาหารฮาลาล; เป็นหลักฐานตัวตน/ประเภท ยังไม่ยืนยันบริการมุสลิมครบเกณฑ์</x:v>
      </x:c>
      <x:c r="F410" s="20" t="str">
        <x:v>ไม่ทราบ</x:v>
      </x:c>
      <x:c r="G410" s="20" t="str">
        <x:v>ยังไม่ยืนยันใบรับรองและวันหมดอายุ</x:v>
      </x:c>
      <x:c r="H410" s="20" t="str">
        <x:v>ตรวจการเปิด ตัวตนสาขา ช่องทางติดต่อ และเงื่อนไขบังคับตามประเภท</x:v>
      </x:c>
      <x:c r="I410" s="20" t="str">
        <x:v>ยังไม่ยืนยันที่อยู่ละเอียด ดูลิงก์แหล่งข้อมูลและ Google Maps</x:v>
      </x:c>
      <x:c r="J410" s="21" t="str">
        <x:v>ยังไม่พบหรือยังไม่ยืนยัน</x:v>
      </x:c>
      <x:c r="K410" s="51" t="str">
        <x:v>https://www.wongnai.com/restaurants/243391ak-%E0%B8%AE%E0%B8%B2%E0%B8%99%E0%B8%B5%E0%B8%AA/menu</x:v>
      </x:c>
      <x:c r="L410" s="51" t="str">
        <x:v>https://restaurantguru.com/Hanees-Halal-Restaurant-%E0%B8%AE%E0%B8%B2%E0%B8%99%E0%B8%B5%E0%B8%AA-%E0%B8%AA%E0%B8%A7%E0%B8%99%E0%B8%AD%E0%B8%B2%E0%B8%AB%E0%B8%B2%E0%B8%A3%E0%B8%AE%E0%B8%B2%E0%B8%A5%E0%B8%B2%E0%B8%A5-Ban-Na-Trang</x:v>
      </x:c>
      <x:c r="M410" s="20" t="str">
        <x:v>พบแหล่งต่างเว็บไซต์ ฮานีส สวนอาหารฮาลาล Hanees Halal Restaurant ROUTE404 TRANG, Thung Yao - Restaurant menu, prices and reviews</x:v>
      </x:c>
      <x:c r="N410" s="28" t="n">
        <x:v>46316</x:v>
      </x:c>
      <x:c r="O410" s="57" t="str">
        <x:v>ยังไม่ตรวจ</x:v>
      </x:c>
      <x:c r="P410" s="57" t="str">
        <x:v>ยังไม่ติดต่อ</x:v>
      </x:c>
      <x:c r="Q410" s="20" t="str">
        <x:v>R26-356</x:v>
      </x:c>
      <x:c r="R410" s="20" t="str"/>
      <x:c r="S410" s="20" t="str"/>
      <x:c r="T410" s="20" t="str">
        <x:v>https://www.wongnai.com/restaurants/243391ak-%E0%B8%AE%E0%B8%B2%E0%B8%99%E0%B8%B5%E0%B8%AA/menu</x:v>
      </x:c>
      <x:c r="U410" s="20" t="str"/>
      <x:c r="V410" s="20" t="str"/>
      <x:c r="W410" s="20" t="str"/>
      <x:c r="X410" s="20" t="str"/>
      <x:c r="Y410" s="20" t="str">
        <x:v>https://www.google.com/maps/search/?api=1&amp;query=%E0%B8%AE%E0%B8%B2%E0%B8%99%E0%B8%B5%E0%B8%AA%20%E0%B8%AA%E0%B8%A7%E0%B8%99%E0%B8%AD%E0%B8%B2%E0%B8%AB%E0%B8%B2%E0%B8%A3%E0%B8%AE%E0%B8%B2%E0%B8%A5%E0%B8%B2%E0%B8%A5%20%E0%B8%95%E0%B8%A3%E0%B8%B1%E0%B8%87</x:v>
      </x:c>
      <x:c r="Z410" s="56" t="n">
        <x:v>7.303464</x:v>
      </x:c>
      <x:c r="AA410" s="56" t="n">
        <x:v>99.673903</x:v>
      </x:c>
      <x:c r="AB410" s="57" t="str"/>
      <x:c r="AC410" s="20" t="str">
        <x:v>https://www.wongnai.com/restaurants/243391ak-%E0%B8%AE%E0%B8%B2%E0%B8%99%E0%B8%B5%E0%B8%AA/menu</x:v>
      </x:c>
    </x:row>
    <x:row r="411" ht="88" customHeight="1">
      <x:c r="A411" s="54" t="n">
        <x:v>403</x:v>
      </x:c>
      <x:c r="B411" s="20" t="str">
        <x:v>โรตีเมืองตรัง</x:v>
      </x:c>
      <x:c r="C411" s="20" t="str">
        <x:v>ตรัง</x:v>
      </x:c>
      <x:c r="D411" s="20" t="str">
        <x:v>อาหาร</x:v>
      </x:c>
      <x:c r="E411" s="20" t="str">
        <x:v>พบข้อมูลชื่อตรงจาก โรตีเมืองตรัง; เป็นหลักฐานตัวตน/ประเภท ยังไม่ยืนยันบริการมุสลิมครบเกณฑ์</x:v>
      </x:c>
      <x:c r="F411" s="20" t="str">
        <x:v>ไม่ทราบ</x:v>
      </x:c>
      <x:c r="G411" s="20" t="str">
        <x:v>ยังไม่ยืนยันใบรับรองและวันหมดอายุ</x:v>
      </x:c>
      <x:c r="H411" s="20" t="str">
        <x:v>ตรวจการเปิด ตัวตนสาขา ช่องทางติดต่อ และเงื่อนไขบังคับตามประเภท</x:v>
      </x:c>
      <x:c r="I411" s="20" t="str">
        <x:v>ยังไม่ยืนยันที่อยู่ละเอียด ดูลิงก์แหล่งข้อมูลและ Google Maps</x:v>
      </x:c>
      <x:c r="J411" s="21" t="str">
        <x:v>ยังไม่พบหรือยังไม่ยืนยัน</x:v>
      </x:c>
      <x:c r="K411" s="51" t="str">
        <x:v>https://trang.prd.go.th/th/content/category/detail/id/304/iid/99927</x:v>
      </x:c>
      <x:c r="L411" s="51" t="str">
        <x:v>https://patois.com/shop/60969-</x:v>
      </x:c>
      <x:c r="M411" s="20" t="str">
        <x:v>พบแหล่งต่างเว็บไซต์ โรตี เมืองตรัง</x:v>
      </x:c>
      <x:c r="N411" s="28" t="n">
        <x:v>46316</x:v>
      </x:c>
      <x:c r="O411" s="57" t="str">
        <x:v>ยังไม่ตรวจ</x:v>
      </x:c>
      <x:c r="P411" s="57" t="str">
        <x:v>ยังไม่ติดต่อ</x:v>
      </x:c>
      <x:c r="Q411" s="20" t="str">
        <x:v>R26-359</x:v>
      </x:c>
      <x:c r="R411" s="20" t="str"/>
      <x:c r="S411" s="20" t="str"/>
      <x:c r="T411" s="20" t="str">
        <x:v>https://trang.prd.go.th/th/content/category/detail/id/304/iid/99927</x:v>
      </x:c>
      <x:c r="U411" s="20" t="str"/>
      <x:c r="V411" s="20" t="str"/>
      <x:c r="W411" s="20" t="str"/>
      <x:c r="X411" s="20" t="str"/>
      <x:c r="Y411" s="20" t="str">
        <x:v>https://www.google.com/maps/search/?api=1&amp;query=%E0%B9%82%E0%B8%A3%E0%B8%95%E0%B8%B5%E0%B9%80%E0%B8%A1%E0%B8%B7%E0%B8%AD%E0%B8%87%E0%B8%95%E0%B8%A3%E0%B8%B1%E0%B8%87%20%E0%B8%95%E0%B8%A3%E0%B8%B1%E0%B8%87</x:v>
      </x:c>
      <x:c r="Z411" s="56" t="str"/>
      <x:c r="AA411" s="56" t="str"/>
      <x:c r="AB411" s="57" t="str"/>
      <x:c r="AC411" s="20" t="str">
        <x:v>https://trang.prd.go.th/th/content/category/detail/id/304/iid/99927</x:v>
      </x:c>
    </x:row>
    <x:row r="412" ht="88" customHeight="1">
      <x:c r="A412" s="54" t="n">
        <x:v>404</x:v>
      </x:c>
      <x:c r="B412" s="20" t="str">
        <x:v>Let's Relax Spa Trang Rua Rasada</x:v>
      </x:c>
      <x:c r="C412" s="20" t="str">
        <x:v>ตรัง</x:v>
      </x:c>
      <x:c r="D412" s="20" t="str">
        <x:v>เวลเนส</x:v>
      </x:c>
      <x:c r="E412" s="20" t="str">
        <x:v>พบข้อมูลชื่อตรงจาก Let's Relax Spa Trang Rua Rasada Hotel | Let's Relax Spa; เป็นหลักฐานตัวตน/ประเภท ยังไม่ยืนยันบริการมุสลิมครบเกณฑ์</x:v>
      </x:c>
      <x:c r="F412" s="20" t="str">
        <x:v>ไม่ทราบ</x:v>
      </x:c>
      <x:c r="G412" s="20" t="str">
        <x:v>ยังไม่ยืนยันใบรับรองและวันหมดอายุ</x:v>
      </x:c>
      <x:c r="H412" s="20" t="str">
        <x:v>ตรวจการเปิด ตัวตนสาขา ช่องทางติดต่อ และเงื่อนไขบังคับตามประเภท</x:v>
      </x:c>
      <x:c r="I412" s="20" t="str">
        <x:v>ยังไม่ยืนยันที่อยู่ละเอียด ดูลิงก์แหล่งข้อมูลและ Google Maps</x:v>
      </x:c>
      <x:c r="J412" s="21" t="str">
        <x:v>+66 8 2014 6516 / +66 7527 1779</x:v>
      </x:c>
      <x:c r="K412" s="51" t="str">
        <x:v>https://letsrelaxspa.com/branches/trang-rua-rasada-hotel/</x:v>
      </x:c>
      <x:c r="L412" s="51" t="str">
        <x:v>https://www.traveloka.com/th-th/activities/thailand/product/lets-relax-spa-trang-rua-rasada-hotel-2000249463942</x:v>
      </x:c>
      <x:c r="M412" s="20" t="str">
        <x:v>พบแหล่งต่างเว็บไซต์ ซื้อตั๋ว Let's Relax Spa ตรัง โรงแรมเรือรัษฎา - ราคาพิเศษ อัพเดทปี 2026</x:v>
      </x:c>
      <x:c r="N412" s="28" t="n">
        <x:v>46316</x:v>
      </x:c>
      <x:c r="O412" s="57" t="str">
        <x:v>ยังไม่ตรวจ</x:v>
      </x:c>
      <x:c r="P412" s="57" t="str">
        <x:v>ยังไม่ติดต่อ</x:v>
      </x:c>
      <x:c r="Q412" s="20" t="str">
        <x:v>R26-288</x:v>
      </x:c>
      <x:c r="R412" s="20" t="str">
        <x:v>Let's Relax Spa Trang Rua Rasada</x:v>
      </x:c>
      <x:c r="S412" s="20" t="str"/>
      <x:c r="T412" s="20" t="str">
        <x:v>https://letsrelaxspa.com/branches/trang-rua-rasada-hotel/</x:v>
      </x:c>
      <x:c r="U412" s="20" t="str">
        <x:v>https://www.facebook.com/letsrelaxspa.official/</x:v>
      </x:c>
      <x:c r="V412" s="20" t="str">
        <x:v>https://www.instagram.com/letsrelaxspa.official/?hl=en</x:v>
      </x:c>
      <x:c r="W412" s="20" t="str"/>
      <x:c r="X412" s="20" t="str"/>
      <x:c r="Y412" s="20" t="str">
        <x:v>https://www.google.com/maps/search/?api=1&amp;query=Let%27s%20Relax%20Spa%20Trang%20Rua%20Rasada%20%E0%B8%95%E0%B8%A3%E0%B8%B1%E0%B8%87</x:v>
      </x:c>
      <x:c r="Z412" s="56" t="str"/>
      <x:c r="AA412" s="56" t="str"/>
      <x:c r="AB412" s="57" t="str"/>
      <x:c r="AC412" s="20" t="str">
        <x:v>https://letsrelaxspa.com/branches/trang-rua-rasada-hotel/</x:v>
      </x:c>
    </x:row>
    <x:row r="413" ht="88" customHeight="1">
      <x:c r="A413" s="54" t="n">
        <x:v>405</x:v>
      </x:c>
      <x:c r="B413" s="20" t="str">
        <x:v>น้ำตกโตนเต๊ะ</x:v>
      </x:c>
      <x:c r="C413" s="20" t="str">
        <x:v>ตรัง</x:v>
      </x:c>
      <x:c r="D413" s="20" t="str">
        <x:v>ธรรมชาติ</x:v>
      </x:c>
      <x:c r="E413" s="20" t="str">
        <x:v>พบข้อมูลชื่อตรงจาก น้ำตกโตนเต๊ะ | CBT Thailand; เป็นหลักฐานตัวตน/ประเภท ยังไม่ยืนยันบริการมุสลิมครบเกณฑ์</x:v>
      </x:c>
      <x:c r="F413" s="20" t="str">
        <x:v>ไม่ทราบ</x:v>
      </x:c>
      <x:c r="G413" s="20" t="str">
        <x:v>ยังไม่ยืนยันใบรับรองและวันหมดอายุ</x:v>
      </x:c>
      <x:c r="H413" s="20" t="str">
        <x:v>ตรวจการเปิด ตัวตนสาขา ช่องทางติดต่อ และเงื่อนไขบังคับตามประเภท</x:v>
      </x:c>
      <x:c r="I413" s="20" t="str">
        <x:v>ยังไม่ยืนยันที่อยู่ละเอียด ดูลิงก์แหล่งข้อมูลและ Google Maps</x:v>
      </x:c>
      <x:c r="J413" s="21" t="str">
        <x:v>ยังไม่พบหรือยังไม่ยืนยัน</x:v>
      </x:c>
      <x:c r="K413" s="51" t="str">
        <x:v>https://cbtthailand.dasta.or.th/webapp/relattraction/content/364/</x:v>
      </x:c>
      <x:c r="L413" s="51" t="str">
        <x:v>https://trang.prd.go.th/th/content/category/detail/id/33/iid/509724</x:v>
      </x:c>
      <x:c r="M413" s="20" t="str">
        <x:v>พบแหล่งต่างเว็บไซต์ ผู้ว่าฯ ตรัง ลงพื้นที่น้ำตกโตนเต๊ะ ขอบคุณและให้กำลังใจทีมเจ้าหน้าที่-กู้ภัย-พรานป่า หลังระดมกำลังฝ่าฝนกู้ร่างนักเดินป่าหลงเขาเจ็ดยอด</x:v>
      </x:c>
      <x:c r="N413" s="28" t="n">
        <x:v>46316</x:v>
      </x:c>
      <x:c r="O413" s="57" t="str">
        <x:v>ยังไม่ตรวจ</x:v>
      </x:c>
      <x:c r="P413" s="57" t="str">
        <x:v>ยังไม่ติดต่อ</x:v>
      </x:c>
      <x:c r="Q413" s="20" t="str">
        <x:v>R26-187</x:v>
      </x:c>
      <x:c r="R413" s="20" t="str"/>
      <x:c r="S413" s="20" t="str"/>
      <x:c r="T413" s="20" t="str">
        <x:v>https://cbtthailand.dasta.or.th/webapp/relattraction/content/364/</x:v>
      </x:c>
      <x:c r="U413" s="20" t="str"/>
      <x:c r="V413" s="20" t="str"/>
      <x:c r="W413" s="20" t="str"/>
      <x:c r="X413" s="20" t="str"/>
      <x:c r="Y413" s="20" t="str">
        <x:v>https://www.google.com/maps/search/?api=1&amp;query=%E0%B8%99%E0%B9%89%E0%B8%B3%E0%B8%95%E0%B8%81%E0%B9%82%E0%B8%95%E0%B8%99%E0%B9%80%E0%B8%95%E0%B9%8A%E0%B8%B0%20%E0%B8%95%E0%B8%A3%E0%B8%B1%E0%B8%87</x:v>
      </x:c>
      <x:c r="Z413" s="56" t="str"/>
      <x:c r="AA413" s="56" t="str"/>
      <x:c r="AB413" s="57" t="str"/>
      <x:c r="AC413" s="20" t="str">
        <x:v>https://cbtthailand.dasta.or.th/webapp/relattraction/content/364/</x:v>
      </x:c>
    </x:row>
    <x:row r="414" ht="88" customHeight="1">
      <x:c r="A414" s="54" t="n">
        <x:v>406</x:v>
      </x:c>
      <x:c r="B414" s="20" t="str">
        <x:v>หาดปากเมง</x:v>
      </x:c>
      <x:c r="C414" s="20" t="str">
        <x:v>ตรัง</x:v>
      </x:c>
      <x:c r="D414" s="20" t="str">
        <x:v>ธรรมชาติ</x:v>
      </x:c>
      <x:c r="E414" s="20" t="str">
        <x:v>พบข้อมูลชื่อตรงจาก หาดปากเมง แหล่งท่องเที่ยวจังหวัดตรัง - สำนักงานการท่องเที่ยวและกีฬาจังหวัดตรัง; เป็นหลักฐานตัวตน/ประเภท ยังไม่ยืนยันบริการมุสลิมครบเกณฑ์</x:v>
      </x:c>
      <x:c r="F414" s="20" t="str">
        <x:v>ไม่ทราบ</x:v>
      </x:c>
      <x:c r="G414" s="20" t="str">
        <x:v>ยังไม่ยืนยันใบรับรองและวันหมดอายุ</x:v>
      </x:c>
      <x:c r="H414" s="20" t="str">
        <x:v>ตรวจการเปิด ตัวตนสาขา ช่องทางติดต่อ และเงื่อนไขบังคับตามประเภท</x:v>
      </x:c>
      <x:c r="I414" s="20" t="str">
        <x:v>ยังไม่ยืนยันที่อยู่ละเอียด ดูลิงก์แหล่งข้อมูลและ Google Maps</x:v>
      </x:c>
      <x:c r="J414" s="21" t="str">
        <x:v>ยังไม่พบหรือยังไม่ยืนยัน</x:v>
      </x:c>
      <x:c r="K414" s="51" t="str">
        <x:v>https://trang.mots.go.th/news/442</x:v>
      </x:c>
      <x:c r="L414" s="51" t="str">
        <x:v>https://www.trangpao.go.th/travel/detail/65</x:v>
      </x:c>
      <x:c r="M414" s="20" t="str">
        <x:v>พบแหล่งต่างเว็บไซต์ หาดปากเมง</x:v>
      </x:c>
      <x:c r="N414" s="28" t="n">
        <x:v>46316</x:v>
      </x:c>
      <x:c r="O414" s="57" t="str">
        <x:v>ยังไม่ตรวจ</x:v>
      </x:c>
      <x:c r="P414" s="57" t="str">
        <x:v>ยังไม่ติดต่อ</x:v>
      </x:c>
      <x:c r="Q414" s="20" t="str">
        <x:v>R26-185</x:v>
      </x:c>
      <x:c r="R414" s="20" t="str"/>
      <x:c r="S414" s="20" t="str"/>
      <x:c r="T414" s="20" t="str">
        <x:v>https://trang.mots.go.th/news/442</x:v>
      </x:c>
      <x:c r="U414" s="20" t="str"/>
      <x:c r="V414" s="20" t="str"/>
      <x:c r="W414" s="20" t="str"/>
      <x:c r="X414" s="20" t="str"/>
      <x:c r="Y414" s="20" t="str">
        <x:v>https://www.google.com/maps/search/?api=1&amp;query=%E0%B8%AB%E0%B8%B2%E0%B8%94%E0%B8%9B%E0%B8%B2%E0%B8%81%E0%B9%80%E0%B8%A1%E0%B8%87%20%E0%B8%95%E0%B8%A3%E0%B8%B1%E0%B8%87</x:v>
      </x:c>
      <x:c r="Z414" s="56" t="n">
        <x:v>7.494867</x:v>
      </x:c>
      <x:c r="AA414" s="56" t="n">
        <x:v>99.32687</x:v>
      </x:c>
      <x:c r="AB414" s="57" t="str"/>
      <x:c r="AC414" s="20" t="str">
        <x:v>https://trang.mots.go.th/news/442</x:v>
      </x:c>
    </x:row>
    <x:row r="415" ht="88" customHeight="1">
      <x:c r="A415" s="54" t="n">
        <x:v>407</x:v>
      </x:c>
      <x:c r="B415" s="20" t="str">
        <x:v>อุทยานแห่งชาติหาดเจ้าไหม</x:v>
      </x:c>
      <x:c r="C415" s="20" t="str">
        <x:v>ตรัง</x:v>
      </x:c>
      <x:c r="D415" s="20" t="str">
        <x:v>ธรรมชาติ</x:v>
      </x:c>
      <x:c r="E415" s="20" t="str">
        <x:v>พบข้อมูลชื่อตรงจาก กรมอุทยานฯ เปิดรับฟังความเห็นในการเพิกถอน อุทยานแห่งชาติหาดเจ้าไหม (บางส่วน) จ.ตรัง; เป็นหลักฐานตัวตน/ประเภท ยังไม่ยืนยันบริการมุสลิมครบเกณฑ์</x:v>
      </x:c>
      <x:c r="F415" s="20" t="str">
        <x:v>ไม่ทราบ</x:v>
      </x:c>
      <x:c r="G415" s="20" t="str">
        <x:v>ยังไม่ยืนยันใบรับรองและวันหมดอายุ</x:v>
      </x:c>
      <x:c r="H415" s="20" t="str">
        <x:v>ตรวจการเปิด ตัวตนสาขา ช่องทางติดต่อ และเงื่อนไขบังคับตามประเภท</x:v>
      </x:c>
      <x:c r="I415" s="20" t="str">
        <x:v>ยังไม่ยืนยันที่อยู่ละเอียด ดูลิงก์แหล่งข้อมูลและ Google Maps</x:v>
      </x:c>
      <x:c r="J415" s="21" t="str">
        <x:v>ยังไม่พบหรือยังไม่ยืนยัน</x:v>
      </x:c>
      <x:c r="K415" s="51" t="str">
        <x:v>https://news.dnp.go.th/news/21534</x:v>
      </x:c>
      <x:c r="L415" s="51" t="str">
        <x:v>https://www.trangpao.go.th/news/detail/11438</x:v>
      </x:c>
      <x:c r="M415" s="20" t="str">
        <x:v>พบแหล่งต่างเว็บไซต์ การปิดการท่องเที่ยวและพักแรมในอุทยานแห่งชาติและวนอุทยาน ประจำปี พ.ศ. 2567 ในเขตอุทยานแห่งชาติหาดเจ้าไหม</x:v>
      </x:c>
      <x:c r="N415" s="28" t="n">
        <x:v>46316</x:v>
      </x:c>
      <x:c r="O415" s="57" t="str">
        <x:v>ยังไม่ตรวจ</x:v>
      </x:c>
      <x:c r="P415" s="57" t="str">
        <x:v>ยังไม่ติดต่อ</x:v>
      </x:c>
      <x:c r="Q415" s="20" t="str">
        <x:v>R26-186</x:v>
      </x:c>
      <x:c r="R415" s="20" t="str"/>
      <x:c r="S415" s="20" t="str"/>
      <x:c r="T415" s="20" t="str">
        <x:v>https://news.dnp.go.th/news/21534</x:v>
      </x:c>
      <x:c r="U415" s="20" t="str"/>
      <x:c r="V415" s="20" t="str"/>
      <x:c r="W415" s="20" t="str"/>
      <x:c r="X415" s="20" t="str"/>
      <x:c r="Y415" s="20" t="str">
        <x:v>https://www.google.com/maps/search/?api=1&amp;query=%E0%B8%AD%E0%B8%B8%E0%B8%97%E0%B8%A2%E0%B8%B2%E0%B8%99%E0%B9%81%E0%B8%AB%E0%B9%88%E0%B8%87%E0%B8%8A%E0%B8%B2%E0%B8%95%E0%B8%B4%E0%B8%AB%E0%B8%B2%E0%B8%94%E0%B9%80%E0%B8%88%E0%B9%89%E0%B8%B2%E0%B9%84%E0%B8%AB%E0%B8%A1%20%E0%B8%95%E0%B8%A3%E0%B8%B1%E0%B8%87</x:v>
      </x:c>
      <x:c r="Z415" s="56" t="n">
        <x:v>7.4119273</x:v>
      </x:c>
      <x:c r="AA415" s="56" t="n">
        <x:v>99.3346867</x:v>
      </x:c>
      <x:c r="AB415" s="57" t="str"/>
      <x:c r="AC415" s="20" t="str">
        <x:v>https://news.dnp.go.th/news/21534</x:v>
      </x:c>
    </x:row>
    <x:row r="416" ht="88" customHeight="1">
      <x:c r="A416" s="54" t="n">
        <x:v>408</x:v>
      </x:c>
      <x:c r="B416" s="20" t="str">
        <x:v>สถานีรถไฟกันตัง</x:v>
      </x:c>
      <x:c r="C416" s="20" t="str">
        <x:v>ตรัง</x:v>
      </x:c>
      <x:c r="D416" s="20" t="str">
        <x:v>พิพิธภัณฑ์หรือแหล่งเรียนรู้วัฒนธรรม</x:v>
      </x:c>
      <x:c r="E416" s="20" t="str">
        <x:v>พบข้อมูลชื่อตรงจาก สถานีรถไฟกันตัง | ฐานข้อมูลแหล่งโบราณคดีที่สำคัญในประเทศไทย; เป็นหลักฐานตัวตน/ประเภท ยังไม่ยืนยันบริการมุสลิมครบเกณฑ์</x:v>
      </x:c>
      <x:c r="F416" s="20" t="str">
        <x:v>ไม่ทราบ</x:v>
      </x:c>
      <x:c r="G416" s="20" t="str">
        <x:v>ยังไม่ยืนยันใบรับรองและวันหมดอายุ</x:v>
      </x:c>
      <x:c r="H416" s="20" t="str">
        <x:v>ตรวจการเปิด ตัวตนสาขา ช่องทางติดต่อ และเงื่อนไขบังคับตามประเภท</x:v>
      </x:c>
      <x:c r="I416" s="20" t="str">
        <x:v>ยังไม่ยืนยันที่อยู่ละเอียด ดูลิงก์แหล่งข้อมูลและ Google Maps</x:v>
      </x:c>
      <x:c r="J416" s="21" t="str">
        <x:v>ยังไม่พบหรือยังไม่ยืนยัน</x:v>
      </x:c>
      <x:c r="K416" s="51" t="str">
        <x:v>https://archaeology.sac.or.th/archaeology/754</x:v>
      </x:c>
      <x:c r="L416" s="51" t="str">
        <x:v>https://cbtthailand.dasta.or.th/webapp/relattraction/content/1723/</x:v>
      </x:c>
      <x:c r="M416" s="20" t="str">
        <x:v>พบแหล่งต่างเว็บไซต์ สถานีรถไฟกันตัง | CBT Thailand</x:v>
      </x:c>
      <x:c r="N416" s="28" t="n">
        <x:v>46316</x:v>
      </x:c>
      <x:c r="O416" s="57" t="str">
        <x:v>ยังไม่ตรวจ</x:v>
      </x:c>
      <x:c r="P416" s="57" t="str">
        <x:v>ยังไม่ติดต่อ</x:v>
      </x:c>
      <x:c r="Q416" s="20" t="str">
        <x:v>R26-192</x:v>
      </x:c>
      <x:c r="R416" s="20" t="str"/>
      <x:c r="S416" s="20" t="str"/>
      <x:c r="T416" s="20" t="str">
        <x:v>https://archaeology.sac.or.th/archaeology/754</x:v>
      </x:c>
      <x:c r="U416" s="20" t="str"/>
      <x:c r="V416" s="20" t="str"/>
      <x:c r="W416" s="20" t="str"/>
      <x:c r="X416" s="20" t="str"/>
      <x:c r="Y416" s="20" t="str">
        <x:v>https://www.google.com/maps/search/?api=1&amp;query=%E0%B8%AA%E0%B8%96%E0%B8%B2%E0%B8%99%E0%B8%B5%E0%B8%A3%E0%B8%96%E0%B9%84%E0%B8%9F%E0%B8%81%E0%B8%B1%E0%B8%99%E0%B8%95%E0%B8%B1%E0%B8%87%20%E0%B8%95%E0%B8%A3%E0%B8%B1%E0%B8%87</x:v>
      </x:c>
      <x:c r="Z416" s="56" t="n">
        <x:v>7.410827</x:v>
      </x:c>
      <x:c r="AA416" s="56" t="n">
        <x:v>99.514648</x:v>
      </x:c>
      <x:c r="AB416" s="57" t="str"/>
      <x:c r="AC416" s="20" t="str">
        <x:v>https://archaeology.sac.or.th/archaeology/754</x:v>
      </x:c>
    </x:row>
    <x:row r="417" ht="88" customHeight="1">
      <x:c r="A417" s="54" t="n">
        <x:v>409</x:v>
      </x:c>
      <x:c r="B417" s="20" t="str">
        <x:v>ชุมชนบ้านนาหมื่นศรี</x:v>
      </x:c>
      <x:c r="C417" s="20" t="str">
        <x:v>ตรัง</x:v>
      </x:c>
      <x:c r="D417" s="20" t="str">
        <x:v>ชุมชน</x:v>
      </x:c>
      <x:c r="E417" s="20" t="str">
        <x:v>พบข้อมูลชื่อตรงจาก บ้านนาหมื่นศรี; เป็นหลักฐานตัวตน/ประเภท ยังไม่ยืนยันบริการมุสลิมครบเกณฑ์</x:v>
      </x:c>
      <x:c r="F417" s="20" t="str">
        <x:v>ไม่ทราบ</x:v>
      </x:c>
      <x:c r="G417" s="20" t="str">
        <x:v>ยังไม่ยืนยันใบรับรองและวันหมดอายุ</x:v>
      </x:c>
      <x:c r="H417" s="20" t="str">
        <x:v>ตรวจการเปิด ตัวตนสาขา ช่องทางติดต่อ และเงื่อนไขบังคับตามประเภท</x:v>
      </x:c>
      <x:c r="I417" s="20" t="str">
        <x:v>ยังไม่ยืนยันที่อยู่ละเอียด ดูลิงก์แหล่งข้อมูลและ Google Maps</x:v>
      </x:c>
      <x:c r="J417" s="21" t="str">
        <x:v>ยังไม่พบหรือยังไม่ยืนยัน</x:v>
      </x:c>
      <x:c r="K417" s="51" t="str">
        <x:v>https://wikicommunity.sac.or.th/community/1065</x:v>
      </x:c>
      <x:c r="L417" s="51" t="str">
        <x:v>https://thai.tourismthailand.org/Attraction/%E0%B8%8A%E0%B8%B8%E0%B8%A1%E0%B8%8A%E0%B8%99%E0%B8%99%E0%B8%B2%E0%B8%AB%E0%B8%A1%E0%B8%B7%E0%B9%88%E0%B8%99%E0%B8%A8%E0%B8%A3%E0%B8%B5</x:v>
      </x:c>
      <x:c r="M417" s="20" t="str">
        <x:v>พบแหล่งต่างเว็บไซต์ ชุมชนนาหมื่นศรี</x:v>
      </x:c>
      <x:c r="N417" s="28" t="n">
        <x:v>46316</x:v>
      </x:c>
      <x:c r="O417" s="57" t="str">
        <x:v>ยังไม่ตรวจ</x:v>
      </x:c>
      <x:c r="P417" s="57" t="str">
        <x:v>ยังไม่ติดต่อ</x:v>
      </x:c>
      <x:c r="Q417" s="20" t="str">
        <x:v>R26-188</x:v>
      </x:c>
      <x:c r="R417" s="20" t="str"/>
      <x:c r="S417" s="20" t="str"/>
      <x:c r="T417" s="20" t="str">
        <x:v>https://wikicommunity.sac.or.th/community/1065</x:v>
      </x:c>
      <x:c r="U417" s="20" t="str"/>
      <x:c r="V417" s="20" t="str"/>
      <x:c r="W417" s="20" t="str"/>
      <x:c r="X417" s="20" t="str"/>
      <x:c r="Y417" s="20" t="str">
        <x:v>https://www.google.com/maps/search/?api=1&amp;query=%E0%B8%8A%E0%B8%B8%E0%B8%A1%E0%B8%8A%E0%B8%99%E0%B8%9A%E0%B9%89%E0%B8%B2%E0%B8%99%E0%B8%99%E0%B8%B2%E0%B8%AB%E0%B8%A1%E0%B8%B7%E0%B9%88%E0%B8%99%E0%B8%A8%E0%B8%A3%E0%B8%B5%20%E0%B8%95%E0%B8%A3%E0%B8%B1%E0%B8%87</x:v>
      </x:c>
      <x:c r="Z417" s="56" t="n">
        <x:v>7.596437</x:v>
      </x:c>
      <x:c r="AA417" s="56" t="n">
        <x:v>99.67808</x:v>
      </x:c>
      <x:c r="AB417" s="57" t="str"/>
      <x:c r="AC417" s="20" t="str">
        <x:v>https://wikicommunity.sac.or.th/community/1065</x:v>
      </x:c>
    </x:row>
    <x:row r="418" ht="88" customHeight="1">
      <x:c r="A418" s="54" t="n">
        <x:v>410</x:v>
      </x:c>
      <x:c r="B418" s="20" t="str">
        <x:v>ชุมชนบ้านมดตะนอย</x:v>
      </x:c>
      <x:c r="C418" s="20" t="str">
        <x:v>ตรัง</x:v>
      </x:c>
      <x:c r="D418" s="20" t="str">
        <x:v>ชุมชน</x:v>
      </x:c>
      <x:c r="E418" s="20" t="str">
        <x:v>พบข้อมูลชื่อตรงจาก ประวัติความเป็นมาบ้านมดตะนอย หมู่ที่ ๓; เป็นหลักฐานตัวตน/ประเภท ยังไม่ยืนยันบริการมุสลิมครบเกณฑ์</x:v>
      </x:c>
      <x:c r="F418" s="20" t="str">
        <x:v>ไม่ทราบ</x:v>
      </x:c>
      <x:c r="G418" s="20" t="str">
        <x:v>ยังไม่ยืนยันใบรับรองและวันหมดอายุ</x:v>
      </x:c>
      <x:c r="H418" s="20" t="str">
        <x:v>ตรวจการเปิด ตัวตนสาขา ช่องทางติดต่อ และเงื่อนไขบังคับตามประเภท</x:v>
      </x:c>
      <x:c r="I418" s="20" t="str">
        <x:v>ยังไม่ยืนยันที่อยู่ละเอียด ดูลิงก์แหล่งข้อมูลและ Google Maps</x:v>
      </x:c>
      <x:c r="J418" s="21" t="str">
        <x:v>ยังไม่พบหรือยังไม่ยืนยัน</x:v>
      </x:c>
      <x:c r="K418" s="51" t="str">
        <x:v>https://www.kohlibong.go.th/storage/uploads/173950327356.pdf</x:v>
      </x:c>
      <x:c r="L418" s="51" t="str">
        <x:v>https://thainews.prd.go.th/thainews/news/view/1052094/?bid=1</x:v>
      </x:c>
      <x:c r="M418" s="20" t="str">
        <x:v>พบแหล่งต่างเว็บไซต์ NBT CONNEXT - ชาวประมงพื้นบ้าน “บ้านมดตะนอย” พลิกวิกฤตขยะทะเล สู่กระเป๋าถุงอวนรักษ์โลก สร้างรายได้ รักษาทะเลตรัง</x:v>
      </x:c>
      <x:c r="N418" s="28" t="n">
        <x:v>46316</x:v>
      </x:c>
      <x:c r="O418" s="57" t="str">
        <x:v>ยังไม่ตรวจ</x:v>
      </x:c>
      <x:c r="P418" s="57" t="str">
        <x:v>ยังไม่ติดต่อ</x:v>
      </x:c>
      <x:c r="Q418" s="20" t="str">
        <x:v>R26-189</x:v>
      </x:c>
      <x:c r="R418" s="20" t="str"/>
      <x:c r="S418" s="20" t="str"/>
      <x:c r="T418" s="20" t="str">
        <x:v>https://www.kohlibong.go.th/storage/uploads/173950327356.pdf</x:v>
      </x:c>
      <x:c r="U418" s="20" t="str"/>
      <x:c r="V418" s="20" t="str"/>
      <x:c r="W418" s="20" t="str"/>
      <x:c r="X418" s="20" t="str"/>
      <x:c r="Y418" s="20" t="str">
        <x:v>https://www.google.com/maps/search/?api=1&amp;query=%E0%B8%8A%E0%B8%B8%E0%B8%A1%E0%B8%8A%E0%B8%99%E0%B8%9A%E0%B9%89%E0%B8%B2%E0%B8%99%E0%B8%A1%E0%B8%94%E0%B8%95%E0%B8%B0%E0%B8%99%E0%B8%AD%E0%B8%A2%20%E0%B8%95%E0%B8%A3%E0%B8%B1%E0%B8%87</x:v>
      </x:c>
      <x:c r="Z418" s="56" t="str"/>
      <x:c r="AA418" s="56" t="str"/>
      <x:c r="AB418" s="57" t="str"/>
      <x:c r="AC418" s="20" t="str">
        <x:v>https://www.kohlibong.go.th/storage/uploads/173950327356.pdf</x:v>
      </x:c>
    </x:row>
    <x:row r="419" ht="88" customHeight="1">
      <x:c r="A419" s="54" t="n">
        <x:v>411</x:v>
      </x:c>
      <x:c r="B419" s="20" t="str">
        <x:v>ชุมชนบ้านสุโสะ</x:v>
      </x:c>
      <x:c r="C419" s="20" t="str">
        <x:v>ตรัง</x:v>
      </x:c>
      <x:c r="D419" s="20" t="str">
        <x:v>ชุมชน</x:v>
      </x:c>
      <x:c r="E419" s="20" t="str">
        <x:v>พบข้อมูลชื่อตรงจาก บ้านสุโสะ; เป็นหลักฐานตัวตน/ประเภท ยังไม่ยืนยันบริการมุสลิมครบเกณฑ์</x:v>
      </x:c>
      <x:c r="F419" s="20" t="str">
        <x:v>ไม่ทราบ</x:v>
      </x:c>
      <x:c r="G419" s="20" t="str">
        <x:v>ยังไม่ยืนยันใบรับรองและวันหมดอายุ</x:v>
      </x:c>
      <x:c r="H419" s="20" t="str">
        <x:v>ตรวจการเปิด ตัวตนสาขา ช่องทางติดต่อ และเงื่อนไขบังคับตามประเภท</x:v>
      </x:c>
      <x:c r="I419" s="20" t="str">
        <x:v>ยังไม่ยืนยันที่อยู่ละเอียด ดูลิงก์แหล่งข้อมูลและ Google Maps</x:v>
      </x:c>
      <x:c r="J419" s="21" t="str">
        <x:v>ยังไม่พบหรือยังไม่ยืนยัน</x:v>
      </x:c>
      <x:c r="K419" s="51" t="str">
        <x:v>https://wikicommunity.sac.or.th/community/2800</x:v>
      </x:c>
      <x:c r="L419" s="51" t="str">
        <x:v>https://newweb.dmcr.go.th/detailAll/68703/nws/257</x:v>
      </x:c>
      <x:c r="M419" s="20" t="str">
        <x:v>พบแหล่งต่างเว็บไซต์ กรมทะเลชายฝั่ง ร่วมปลูกป่าชายเลน วางซั้งกอบ้านปลา ปล่อยพันธ์ุปูดำในพื้นที่ป่าชายเลนชุมชน จ.ตรัง - กรมทรัพยากรทางทะเลและชายฝั่ง Department of Marine and Coastal Resources, Thailand</x:v>
      </x:c>
      <x:c r="N419" s="28" t="n">
        <x:v>46316</x:v>
      </x:c>
      <x:c r="O419" s="57" t="str">
        <x:v>ยังไม่ตรวจ</x:v>
      </x:c>
      <x:c r="P419" s="57" t="str">
        <x:v>ยังไม่ติดต่อ</x:v>
      </x:c>
      <x:c r="Q419" s="20" t="str">
        <x:v>R26-191</x:v>
      </x:c>
      <x:c r="R419" s="20" t="str"/>
      <x:c r="S419" s="20" t="str"/>
      <x:c r="T419" s="20" t="str">
        <x:v>https://wikicommunity.sac.or.th/community/2800</x:v>
      </x:c>
      <x:c r="U419" s="20" t="str"/>
      <x:c r="V419" s="20" t="str"/>
      <x:c r="W419" s="20" t="str"/>
      <x:c r="X419" s="20" t="str"/>
      <x:c r="Y419" s="20" t="str">
        <x:v>https://www.google.com/maps/search/?api=1&amp;query=%E0%B8%8A%E0%B8%B8%E0%B8%A1%E0%B8%8A%E0%B8%99%E0%B8%9A%E0%B9%89%E0%B8%B2%E0%B8%99%E0%B8%AA%E0%B8%B8%E0%B9%82%E0%B8%AA%E0%B8%B0%20%E0%B8%95%E0%B8%A3%E0%B8%B1%E0%B8%87</x:v>
      </x:c>
      <x:c r="Z419" s="56" t="n">
        <x:v>7.245795</x:v>
      </x:c>
      <x:c r="AA419" s="56" t="n">
        <x:v>99.67577</x:v>
      </x:c>
      <x:c r="AB419" s="57" t="str"/>
      <x:c r="AC419" s="20" t="str">
        <x:v>https://wikicommunity.sac.or.th/community/2800</x:v>
      </x:c>
    </x:row>
    <x:row r="420" ht="88" customHeight="1">
      <x:c r="A420" s="54" t="n">
        <x:v>412</x:v>
      </x:c>
      <x:c r="B420" s="20" t="str">
        <x:v>ชุมชนบ้านเกาะลิบง</x:v>
      </x:c>
      <x:c r="C420" s="20" t="str">
        <x:v>ตรัง</x:v>
      </x:c>
      <x:c r="D420" s="20" t="str">
        <x:v>ชุมชน</x:v>
      </x:c>
      <x:c r="E420" s="20" t="str">
        <x:v>พบข้อมูลชื่อตรงจาก เกาะลิบง; เป็นหลักฐานตัวตน/ประเภท ยังไม่ยืนยันบริการมุสลิมครบเกณฑ์</x:v>
      </x:c>
      <x:c r="F420" s="20" t="str">
        <x:v>ไม่ทราบ</x:v>
      </x:c>
      <x:c r="G420" s="20" t="str">
        <x:v>ยังไม่ยืนยันใบรับรองและวันหมดอายุ</x:v>
      </x:c>
      <x:c r="H420" s="20" t="str">
        <x:v>ตรวจการเปิด ตัวตนสาขา ช่องทางติดต่อ และเงื่อนไขบังคับตามประเภท</x:v>
      </x:c>
      <x:c r="I420" s="20" t="str">
        <x:v>ยังไม่ยืนยันที่อยู่ละเอียด ดูลิงก์แหล่งข้อมูลและ Google Maps</x:v>
      </x:c>
      <x:c r="J420" s="21" t="str">
        <x:v>ยังไม่พบหรือยังไม่ยืนยัน</x:v>
      </x:c>
      <x:c r="K420" s="51" t="str">
        <x:v>https://www.trangpao.go.th/travel/detail/67</x:v>
      </x:c>
      <x:c r="L420" s="51" t="str">
        <x:v>https://wikicommunity.sac.or.th/community/1913</x:v>
      </x:c>
      <x:c r="M420" s="20" t="str">
        <x:v>พบแหล่งต่างเว็บไซต์ เกาะลิบง</x:v>
      </x:c>
      <x:c r="N420" s="28" t="n">
        <x:v>46316</x:v>
      </x:c>
      <x:c r="O420" s="57" t="str">
        <x:v>ยังไม่ตรวจ</x:v>
      </x:c>
      <x:c r="P420" s="57" t="str">
        <x:v>ยังไม่ติดต่อ</x:v>
      </x:c>
      <x:c r="Q420" s="20" t="str">
        <x:v>R26-190</x:v>
      </x:c>
      <x:c r="R420" s="20" t="str"/>
      <x:c r="S420" s="20" t="str"/>
      <x:c r="T420" s="20" t="str">
        <x:v>https://www.trangpao.go.th/travel/detail/67</x:v>
      </x:c>
      <x:c r="U420" s="20" t="str"/>
      <x:c r="V420" s="20" t="str"/>
      <x:c r="W420" s="20" t="str"/>
      <x:c r="X420" s="20" t="str"/>
      <x:c r="Y420" s="20" t="str">
        <x:v>https://www.google.com/maps/search/?api=1&amp;query=%E0%B8%8A%E0%B8%B8%E0%B8%A1%E0%B8%8A%E0%B8%99%E0%B8%9A%E0%B9%89%E0%B8%B2%E0%B8%99%E0%B9%80%E0%B8%81%E0%B8%B2%E0%B8%B0%E0%B8%A5%E0%B8%B4%E0%B8%9A%E0%B8%87%20%E0%B8%95%E0%B8%A3%E0%B8%B1%E0%B8%87</x:v>
      </x:c>
      <x:c r="Z420" s="56" t="n">
        <x:v>7.238337</x:v>
      </x:c>
      <x:c r="AA420" s="56" t="n">
        <x:v>99.38396</x:v>
      </x:c>
      <x:c r="AB420" s="57" t="str"/>
      <x:c r="AC420" s="20" t="str">
        <x:v>https://www.trangpao.go.th/travel/detail/67</x:v>
      </x:c>
    </x:row>
    <x:row r="421" ht="88" customHeight="1">
      <x:c r="A421" s="54" t="n">
        <x:v>413</x:v>
      </x:c>
      <x:c r="B421" s="20" t="str">
        <x:v>มิตรไมตรี Dining Cafe</x:v>
      </x:c>
      <x:c r="C421" s="20" t="str">
        <x:v>ปัตตานี</x:v>
      </x:c>
      <x:c r="D421" s="20" t="str">
        <x:v>อาหาร</x:v>
      </x:c>
      <x:c r="E421" s="20" t="str">
        <x:v>พบข้อมูลชื่อตรงจาก ตำนานบทใหม่ของ มิตรไมตรี Dining Cafe’ - YouTube; เป็นหลักฐานตัวตน/ประเภท ยังไม่ยืนยันบริการมุสลิมครบเกณฑ์</x:v>
      </x:c>
      <x:c r="F421" s="20" t="str">
        <x:v>ไม่ทราบ</x:v>
      </x:c>
      <x:c r="G421" s="20" t="str">
        <x:v>ยังไม่ยืนยันใบรับรองและวันหมดอายุ</x:v>
      </x:c>
      <x:c r="H421" s="20" t="str">
        <x:v>ตรวจการเปิด ตัวตนสาขา ช่องทางติดต่อ และเงื่อนไขบังคับตามประเภท</x:v>
      </x:c>
      <x:c r="I421" s="20" t="str">
        <x:v>ยังไม่ยืนยันที่อยู่ละเอียด ดูลิงก์แหล่งข้อมูลและ Google Maps</x:v>
      </x:c>
      <x:c r="J421" s="21" t="str">
        <x:v>ยังไม่พบหรือยังไม่ยืนยัน</x:v>
      </x:c>
      <x:c r="K421" s="51" t="str">
        <x:v>https://www.youtube.com/watch?v=G7e3PkD6EdQ</x:v>
      </x:c>
      <x:c r="L421" s="51" t="str">
        <x:v>https://www.wongnai.com/restaurants/mitmaitri</x:v>
      </x:c>
      <x:c r="M421" s="20" t="str">
        <x:v>พบแหล่งต่างเว็บไซต์ ร้าน มิตรไมตรี Dining Cafe สาขา ปัตตานี | รีวิวร้านอาหาร</x:v>
      </x:c>
      <x:c r="N421" s="28" t="n">
        <x:v>46316</x:v>
      </x:c>
      <x:c r="O421" s="57" t="str">
        <x:v>ยังไม่ตรวจ</x:v>
      </x:c>
      <x:c r="P421" s="57" t="str">
        <x:v>ยังไม่ติดต่อ</x:v>
      </x:c>
      <x:c r="Q421" s="20" t="str">
        <x:v>R26-089</x:v>
      </x:c>
      <x:c r="R421" s="20" t="str"/>
      <x:c r="S421" s="20" t="str"/>
      <x:c r="T421" s="20" t="str">
        <x:v>https://www.youtube.com/watch?v=G7e3PkD6EdQ</x:v>
      </x:c>
      <x:c r="U421" s="20" t="str"/>
      <x:c r="V421" s="20" t="str"/>
      <x:c r="W421" s="20" t="str"/>
      <x:c r="X421" s="20" t="str"/>
      <x:c r="Y421" s="20" t="str">
        <x:v>https://www.google.com/maps/search/?api=1&amp;query=%E0%B8%A1%E0%B8%B4%E0%B8%95%E0%B8%A3%E0%B9%84%E0%B8%A1%E0%B8%95%E0%B8%A3%E0%B8%B5%20Dining%20Cafe%20%E0%B8%9B%E0%B8%B1%E0%B8%95%E0%B8%95%E0%B8%B2%E0%B8%99%E0%B8%B5</x:v>
      </x:c>
      <x:c r="Z421" s="56" t="str"/>
      <x:c r="AA421" s="56" t="str"/>
      <x:c r="AB421" s="57" t="str"/>
      <x:c r="AC421" s="20" t="str">
        <x:v>https://www.youtube.com/watch?v=G7e3PkD6EdQ</x:v>
      </x:c>
    </x:row>
    <x:row r="422" ht="88" customHeight="1">
      <x:c r="A422" s="54" t="n">
        <x:v>414</x:v>
      </x:c>
      <x:c r="B422" s="20" t="str">
        <x:v>หาดตะโละกาโปร์</x:v>
      </x:c>
      <x:c r="C422" s="20" t="str">
        <x:v>ปัตตานี</x:v>
      </x:c>
      <x:c r="D422" s="20" t="str">
        <x:v>ธรรมชาติ</x:v>
      </x:c>
      <x:c r="E422" s="20" t="str">
        <x:v>พบข้อมูลชื่อตรงจาก หาดตะโละกาโปร์ - สำนักงานการท่องเที่ยวและกีฬาจังหวัดปัตตานี; เป็นหลักฐานตัวตน/ประเภท ยังไม่ยืนยันบริการมุสลิมครบเกณฑ์</x:v>
      </x:c>
      <x:c r="F422" s="20" t="str">
        <x:v>ไม่ทราบ</x:v>
      </x:c>
      <x:c r="G422" s="20" t="str">
        <x:v>ยังไม่ยืนยันใบรับรองและวันหมดอายุ</x:v>
      </x:c>
      <x:c r="H422" s="20" t="str">
        <x:v>ตรวจการเปิด ตัวตนสาขา ช่องทางติดต่อ และเงื่อนไขบังคับตามประเภท</x:v>
      </x:c>
      <x:c r="I422" s="20" t="str">
        <x:v>ยังไม่ยืนยันที่อยู่ละเอียด ดูลิงก์แหล่งข้อมูลและ Google Maps</x:v>
      </x:c>
      <x:c r="J422" s="21" t="str">
        <x:v>ยังไม่พบหรือยังไม่ยืนยัน</x:v>
      </x:c>
      <x:c r="K422" s="51" t="str">
        <x:v>https://pattani.mots.go.th/news/379</x:v>
      </x:c>
      <x:c r="L422" s="51" t="str">
        <x:v>https://www.pattani.go.th/travel/detail/59</x:v>
      </x:c>
      <x:c r="M422" s="20" t="str">
        <x:v>พบแหล่งต่างเว็บไซต์ ชุมชนท่องเที่ยว : ตะโละกาโปร์</x:v>
      </x:c>
      <x:c r="N422" s="28" t="n">
        <x:v>46316</x:v>
      </x:c>
      <x:c r="O422" s="57" t="str">
        <x:v>ยังไม่ตรวจ</x:v>
      </x:c>
      <x:c r="P422" s="57" t="str">
        <x:v>ยังไม่ติดต่อ</x:v>
      </x:c>
      <x:c r="Q422" s="20" t="str">
        <x:v>R26-092</x:v>
      </x:c>
      <x:c r="R422" s="20" t="str"/>
      <x:c r="S422" s="20" t="str"/>
      <x:c r="T422" s="20" t="str">
        <x:v>https://pattani.mots.go.th/news/379</x:v>
      </x:c>
      <x:c r="U422" s="20" t="str"/>
      <x:c r="V422" s="20" t="str"/>
      <x:c r="W422" s="20" t="str"/>
      <x:c r="X422" s="20" t="str"/>
      <x:c r="Y422" s="20" t="str">
        <x:v>https://www.google.com/maps/search/?api=1&amp;query=%E0%B8%AB%E0%B8%B2%E0%B8%94%E0%B8%95%E0%B8%B0%E0%B9%82%E0%B8%A5%E0%B8%B0%E0%B8%81%E0%B8%B2%E0%B9%82%E0%B8%9B%E0%B8%A3%E0%B9%8C%20%E0%B8%9B%E0%B8%B1%E0%B8%95%E0%B8%95%E0%B8%B2%E0%B8%99%E0%B8%B5</x:v>
      </x:c>
      <x:c r="Z422" s="56" t="n">
        <x:v>6.899095</x:v>
      </x:c>
      <x:c r="AA422" s="56" t="n">
        <x:v>101.37272</x:v>
      </x:c>
      <x:c r="AB422" s="57" t="str"/>
      <x:c r="AC422" s="20" t="str">
        <x:v>https://pattani.mots.go.th/news/379</x:v>
      </x:c>
    </x:row>
    <x:row r="423" ht="88" customHeight="1">
      <x:c r="A423" s="54" t="n">
        <x:v>415</x:v>
      </x:c>
      <x:c r="B423" s="20" t="str">
        <x:v>มัสยิดกรือเซะ</x:v>
      </x:c>
      <x:c r="C423" s="20" t="str">
        <x:v>ปัตตานี</x:v>
      </x:c>
      <x:c r="D423" s="20" t="str">
        <x:v>มัสยิด</x:v>
      </x:c>
      <x:c r="E423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423" s="20" t="str">
        <x:v>มีข้อมูลระบุ แต่รอยืนยัน</x:v>
      </x:c>
      <x:c r="G423" s="20" t="str">
        <x:v>ยังไม่พบเอกสารรับรองและวันหมดอายุ</x:v>
      </x:c>
      <x:c r="H423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423" s="20" t="str">
        <x:v>บ้านกรือเซะ ตำบลตันหยงลุโละ อำเภอเมืองปัตตานี จังหวัดปัตตานี 94000</x:v>
      </x:c>
      <x:c r="J423" s="21" t="str">
        <x:v>073-413402, 087-2878</x:v>
      </x:c>
      <x:c r="K423" s="51" t="str">
        <x:v>https://www.thic.or.th/th/tourist/detail/mosques/46</x:v>
      </x:c>
      <x:c r="L423" s="51" t="str">
        <x:v>https://www.wongnai.com/reviews/40d5e90369ca42ec983d4e370fd997b3</x:v>
      </x:c>
      <x:c r="M423" s="20" t="str">
        <x:v>ผลค้นหาชื่อสัมพันธ์จากแหล่งเพิ่มเติม ต้องยืนยันสาขาและข้อมูลปัจจุบัน</x:v>
      </x:c>
      <x:c r="N423" s="28" t="n">
        <x:v>46316</x:v>
      </x:c>
      <x:c r="O423" s="57" t="str">
        <x:v>ยังไม่ตรวจ</x:v>
      </x:c>
      <x:c r="P423" s="57" t="str">
        <x:v>ยังไม่ติดต่อ</x:v>
      </x:c>
      <x:c r="Q423" s="20" t="str">
        <x:v>TMF-374</x:v>
      </x:c>
      <x:c r="R423" s="20" t="str"/>
      <x:c r="S423" s="20" t="str"/>
      <x:c r="T423" s="20" t="str">
        <x:v>https://www.thic.or.th/th/tourist/detail/mosques/46</x:v>
      </x:c>
      <x:c r="U423" s="20" t="str"/>
      <x:c r="V423" s="20" t="str"/>
      <x:c r="W423" s="20" t="str"/>
      <x:c r="X423" s="20" t="str"/>
      <x:c r="Y423" s="20" t="str">
        <x:v>https://www.google.com/maps/search/?api=1&amp;query=%E0%B8%A1%E0%B8%B1%E0%B8%AA%E0%B8%A2%E0%B8%B4%E0%B8%94%E0%B8%81%E0%B8%A3%E0%B8%B7%E0%B8%AD%E0%B9%80%E0%B8%8B%E0%B8%B0%20%E0%B8%9B%E0%B8%B1%E0%B8%95%E0%B8%95%E0%B8%B2%E0%B8%99%E0%B8%B5</x:v>
      </x:c>
      <x:c r="Z423" s="56" t="n">
        <x:v>6.870979</x:v>
      </x:c>
      <x:c r="AA423" s="56" t="n">
        <x:v>101.300353</x:v>
      </x:c>
      <x:c r="AB423" s="57" t="str"/>
      <x:c r="AC423" s="20" t="str">
        <x:v>https://www.thic.or.th/th/tourist/detail/mosques/46</x:v>
      </x:c>
    </x:row>
    <x:row r="424" ht="88" customHeight="1">
      <x:c r="A424" s="54" t="n">
        <x:v>416</x:v>
      </x:c>
      <x:c r="B424" s="20" t="str">
        <x:v>มัสยิดกลางจังหวัดปัตตานี</x:v>
      </x:c>
      <x:c r="C424" s="20" t="str">
        <x:v>ปัตตานี</x:v>
      </x:c>
      <x:c r="D424" s="20" t="str">
        <x:v>มัสยิด</x:v>
      </x:c>
      <x:c r="E424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424" s="20" t="str">
        <x:v>มีข้อมูลระบุ แต่รอยืนยัน</x:v>
      </x:c>
      <x:c r="G424" s="20" t="str">
        <x:v>ยังไม่พบเอกสารรับรองและวันหมดอายุ</x:v>
      </x:c>
      <x:c r="H424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424" s="20" t="str">
        <x:v>249 ถนนยะรัง ตำบลอาเนาะรู อำเภอเมืองปัตตานี จังหวัดปัตตานี 94000</x:v>
      </x:c>
      <x:c r="J424" s="21" t="str">
        <x:v>073-336149, 081-9900</x:v>
      </x:c>
      <x:c r="K424" s="51" t="str">
        <x:v>https://www.thic.or.th/th/tourist/detail/mosques/45</x:v>
      </x:c>
      <x:c r="L424" s="51" t="str">
        <x:v>https://th.trip.com/travel-guide/attraction/pattani-city/pattani-central-mosque-56081620/?curr=BRL&amp;locale=th-TH</x:v>
      </x:c>
      <x:c r="M424" s="20" t="str">
        <x:v>ผลค้นหาชื่อสัมพันธ์จากแหล่งเพิ่มเติม ต้องยืนยันสาขาและข้อมูลปัจจุบัน</x:v>
      </x:c>
      <x:c r="N424" s="28" t="n">
        <x:v>46316</x:v>
      </x:c>
      <x:c r="O424" s="57" t="str">
        <x:v>ยังไม่ตรวจ</x:v>
      </x:c>
      <x:c r="P424" s="57" t="str">
        <x:v>ยังไม่ติดต่อ</x:v>
      </x:c>
      <x:c r="Q424" s="20" t="str">
        <x:v>TMF-375</x:v>
      </x:c>
      <x:c r="R424" s="20" t="str"/>
      <x:c r="S424" s="20" t="str"/>
      <x:c r="T424" s="20" t="str">
        <x:v>https://www.thic.or.th/th/tourist/detail/mosques/45</x:v>
      </x:c>
      <x:c r="U424" s="20" t="str"/>
      <x:c r="V424" s="20" t="str"/>
      <x:c r="W424" s="20" t="str"/>
      <x:c r="X424" s="20" t="str"/>
      <x:c r="Y424" s="20" t="str">
        <x:v>https://www.google.com/maps/search/?api=1&amp;query=%E0%B8%A1%E0%B8%B1%E0%B8%AA%E0%B8%A2%E0%B8%B4%E0%B8%94%E0%B8%81%E0%B8%A5%E0%B8%B2%E0%B8%87%E0%B8%88%E0%B8%B1%E0%B8%87%E0%B8%AB%E0%B8%A7%E0%B8%B1%E0%B8%94%E0%B8%9B%E0%B8%B1%E0%B8%95%E0%B8%95%E0%B8%B2%E0%B8%99%E0%B8%B5%20%E0%B8%9B%E0%B8%B1%E0%B8%95%E0%B8%95%E0%B8%B2%E0%B8%99%E0%B8%B5</x:v>
      </x:c>
      <x:c r="Z424" s="56" t="n">
        <x:v>6.862053</x:v>
      </x:c>
      <x:c r="AA424" s="56" t="n">
        <x:v>101.252812</x:v>
      </x:c>
      <x:c r="AB424" s="57" t="str"/>
      <x:c r="AC424" s="20" t="str">
        <x:v>https://www.thic.or.th/th/tourist/detail/mosques/45</x:v>
      </x:c>
    </x:row>
    <x:row r="425" ht="88" customHeight="1">
      <x:c r="A425" s="54" t="n">
        <x:v>417</x:v>
      </x:c>
      <x:c r="B425" s="20" t="str">
        <x:v>ย่านเมืองเก่าปัตตานี</x:v>
      </x:c>
      <x:c r="C425" s="20" t="str">
        <x:v>ปัตตานี</x:v>
      </x:c>
      <x:c r="D425" s="20" t="str">
        <x:v>ประวัติ</x:v>
      </x:c>
      <x:c r="E425" s="20" t="str">
        <x:v>พบข้อมูลชื่อตรงจาก ผู้ว่าราชการจังหวัดปัตตานี เป็นประธานในพิธีลงนามบันทึกข้อตกลงความร่วมมือ (MOU ) เรื่องการพัฒนาและยกระดับการท่องเที่ยวย่านเมืองเก่าปัตตานีด้วยเศรษฐกิจสร้างสรรค์; เป็นหลักฐานตัวตน/ประเภท ยังไม่ยืนยันบริการมุสลิมครบเกณฑ์</x:v>
      </x:c>
      <x:c r="F425" s="20" t="str">
        <x:v>ไม่ทราบ</x:v>
      </x:c>
      <x:c r="G425" s="20" t="str">
        <x:v>ยังไม่ยืนยันใบรับรองและวันหมดอายุ</x:v>
      </x:c>
      <x:c r="H425" s="20" t="str">
        <x:v>ตรวจการเปิด ตัวตนสาขา ช่องทางติดต่อ และเงื่อนไขบังคับตามประเภท</x:v>
      </x:c>
      <x:c r="I425" s="20" t="str">
        <x:v>ยังไม่ยืนยันที่อยู่ละเอียด ดูลิงก์แหล่งข้อมูลและ Google Maps</x:v>
      </x:c>
      <x:c r="J425" s="21" t="str">
        <x:v>ยังไม่พบหรือยังไม่ยืนยัน</x:v>
      </x:c>
      <x:c r="K425" s="51" t="str">
        <x:v>https://pattani.go.th/gallery/detail/8318/data.html</x:v>
      </x:c>
      <x:c r="L425" s="51" t="str">
        <x:v>https://nced.onep.go.th/knowledge/oldtown/scenario_oldtown.pdf</x:v>
      </x:c>
      <x:c r="M425" s="20" t="str">
        <x:v>พบแหล่งต่างเว็บไซต์ เมืองเก่าปัตตานี</x:v>
      </x:c>
      <x:c r="N425" s="28" t="n">
        <x:v>46316</x:v>
      </x:c>
      <x:c r="O425" s="57" t="str">
        <x:v>ยังไม่ตรวจ</x:v>
      </x:c>
      <x:c r="P425" s="57" t="str">
        <x:v>ยังไม่ติดต่อ</x:v>
      </x:c>
      <x:c r="Q425" s="20" t="str">
        <x:v>R26-088</x:v>
      </x:c>
      <x:c r="R425" s="20" t="str"/>
      <x:c r="S425" s="20" t="str"/>
      <x:c r="T425" s="20" t="str">
        <x:v>https://pattani.go.th/gallery/detail/8318/data.html</x:v>
      </x:c>
      <x:c r="U425" s="20" t="str"/>
      <x:c r="V425" s="20" t="str"/>
      <x:c r="W425" s="20" t="str"/>
      <x:c r="X425" s="20" t="str"/>
      <x:c r="Y425" s="20" t="str">
        <x:v>https://www.google.com/maps/search/?api=1&amp;query=%E0%B8%A2%E0%B9%88%E0%B8%B2%E0%B8%99%E0%B9%80%E0%B8%A1%E0%B8%B7%E0%B8%AD%E0%B8%87%E0%B9%80%E0%B8%81%E0%B9%88%E0%B8%B2%E0%B8%9B%E0%B8%B1%E0%B8%95%E0%B8%95%E0%B8%B2%E0%B8%99%E0%B8%B5%20%E0%B8%9B%E0%B8%B1%E0%B8%95%E0%B8%95%E0%B8%B2%E0%B8%99%E0%B8%B5</x:v>
      </x:c>
      <x:c r="Z425" s="56" t="str"/>
      <x:c r="AA425" s="56" t="str"/>
      <x:c r="AB425" s="57" t="str"/>
      <x:c r="AC425" s="20" t="str">
        <x:v>https://pattani.go.th/gallery/detail/8318/data.html</x:v>
      </x:c>
    </x:row>
    <x:row r="426" ht="88" customHeight="1">
      <x:c r="A426" s="54" t="n">
        <x:v>418</x:v>
      </x:c>
      <x:c r="B426" s="20" t="str">
        <x:v>ศาลเจ้าแม่ลิ้มกอเหนี่ยว</x:v>
      </x:c>
      <x:c r="C426" s="20" t="str">
        <x:v>ปัตตานี</x:v>
      </x:c>
      <x:c r="D426" s="20" t="str">
        <x:v>ประวัติ</x:v>
      </x:c>
      <x:c r="E426" s="20" t="str">
        <x:v>พบข้อมูลชื่อตรงจาก ศาลเจ้าแม่ลิ้มกอเหนี่ยว; เป็นหลักฐานตัวตน/ประเภท ยังไม่ยืนยันบริการมุสลิมครบเกณฑ์</x:v>
      </x:c>
      <x:c r="F426" s="20" t="str">
        <x:v>ไม่ทราบ</x:v>
      </x:c>
      <x:c r="G426" s="20" t="str">
        <x:v>ยังไม่ยืนยันใบรับรองและวันหมดอายุ</x:v>
      </x:c>
      <x:c r="H426" s="20" t="str">
        <x:v>ตรวจการเปิด ตัวตนสาขา ช่องทางติดต่อ และเงื่อนไขบังคับตามประเภท</x:v>
      </x:c>
      <x:c r="I426" s="20" t="str">
        <x:v>ยังไม่ยืนยันที่อยู่ละเอียด ดูลิงก์แหล่งข้อมูลและ Google Maps</x:v>
      </x:c>
      <x:c r="J426" s="21" t="str">
        <x:v>ยังไม่พบหรือยังไม่ยืนยัน</x:v>
      </x:c>
      <x:c r="K426" s="51" t="str">
        <x:v>https://www.pattani.go.th/travel/detail/4</x:v>
      </x:c>
      <x:c r="L426" s="51" t="str">
        <x:v>https://www.pattanicity.go.th/travel/detail/10</x:v>
      </x:c>
      <x:c r="M426" s="20" t="str">
        <x:v>พบแหล่งต่างเว็บไซต์ ศาลเจ้าเล่งจูเกียง หรือ ศาลเจ้าแม่ลิ้มกอเหนี่ยว ( Leng Jujing Shrine or Shrine Mae Lim Ko Niang )</x:v>
      </x:c>
      <x:c r="N426" s="28" t="n">
        <x:v>46316</x:v>
      </x:c>
      <x:c r="O426" s="57" t="str">
        <x:v>ยังไม่ตรวจ</x:v>
      </x:c>
      <x:c r="P426" s="57" t="str">
        <x:v>ยังไม่ติดต่อ</x:v>
      </x:c>
      <x:c r="Q426" s="20" t="str">
        <x:v>R26-087</x:v>
      </x:c>
      <x:c r="R426" s="20" t="str"/>
      <x:c r="S426" s="20" t="str"/>
      <x:c r="T426" s="20" t="str">
        <x:v>https://www.pattani.go.th/travel/detail/4</x:v>
      </x:c>
      <x:c r="U426" s="20" t="str"/>
      <x:c r="V426" s="20" t="str"/>
      <x:c r="W426" s="20" t="str"/>
      <x:c r="X426" s="20" t="str"/>
      <x:c r="Y426" s="20" t="str">
        <x:v>https://www.google.com/maps/search/?api=1&amp;query=%E0%B8%A8%E0%B8%B2%E0%B8%A5%E0%B9%80%E0%B8%88%E0%B9%89%E0%B8%B2%E0%B9%81%E0%B8%A1%E0%B9%88%E0%B8%A5%E0%B8%B4%E0%B9%89%E0%B8%A1%E0%B8%81%E0%B8%AD%E0%B9%80%E0%B8%AB%E0%B8%99%E0%B8%B5%E0%B9%88%E0%B8%A2%E0%B8%A7%20%E0%B8%9B%E0%B8%B1%E0%B8%95%E0%B8%95%E0%B8%B2%E0%B8%99%E0%B8%B5</x:v>
      </x:c>
      <x:c r="Z426" s="56" t="n">
        <x:v>6.871818</x:v>
      </x:c>
      <x:c r="AA426" s="56" t="n">
        <x:v>101.257992</x:v>
      </x:c>
      <x:c r="AB426" s="57" t="str"/>
      <x:c r="AC426" s="20" t="str">
        <x:v>https://www.pattani.go.th/travel/detail/4</x:v>
      </x:c>
    </x:row>
    <x:row r="427" ht="88" customHeight="1">
      <x:c r="A427" s="54" t="n">
        <x:v>419</x:v>
      </x:c>
      <x:c r="B427" s="20" t="str">
        <x:v>ชุมชนบาราโหม</x:v>
      </x:c>
      <x:c r="C427" s="20" t="str">
        <x:v>ปัตตานี</x:v>
      </x:c>
      <x:c r="D427" s="20" t="str">
        <x:v>ชุมชน</x:v>
      </x:c>
      <x:c r="E427" s="20" t="str">
        <x:v>พบข้อมูลชื่อตรงจาก ชุมชนท่องเที่ยวบาราโหม : ร่องรอยเชื่อมต่ออดีต-ปัจจุบัน; เป็นหลักฐานตัวตน/ประเภท ยังไม่ยืนยันบริการมุสลิมครบเกณฑ์</x:v>
      </x:c>
      <x:c r="F427" s="20" t="str">
        <x:v>ไม่ทราบ</x:v>
      </x:c>
      <x:c r="G427" s="20" t="str">
        <x:v>ยังไม่ยืนยันใบรับรองและวันหมดอายุ</x:v>
      </x:c>
      <x:c r="H427" s="20" t="str">
        <x:v>ตรวจการเปิด ตัวตนสาขา ช่องทางติดต่อ และเงื่อนไขบังคับตามประเภท</x:v>
      </x:c>
      <x:c r="I427" s="20" t="str">
        <x:v>ยังไม่ยืนยันที่อยู่ละเอียด ดูลิงก์แหล่งข้อมูลและ Google Maps</x:v>
      </x:c>
      <x:c r="J427" s="21" t="str">
        <x:v>ยังไม่พบหรือยังไม่ยืนยัน</x:v>
      </x:c>
      <x:c r="K427" s="51" t="str">
        <x:v>https://pattani.go.th/travel/detail/43</x:v>
      </x:c>
      <x:c r="L427" s="51" t="str">
        <x:v>https://wikicommunity.sac.or.th/community/198</x:v>
      </x:c>
      <x:c r="M427" s="20" t="str">
        <x:v>พบแหล่งต่างเว็บไซต์ บ้านบาราโหม</x:v>
      </x:c>
      <x:c r="N427" s="28" t="n">
        <x:v>46316</x:v>
      </x:c>
      <x:c r="O427" s="57" t="str">
        <x:v>ยังไม่ตรวจ</x:v>
      </x:c>
      <x:c r="P427" s="57" t="str">
        <x:v>ยังไม่ติดต่อ</x:v>
      </x:c>
      <x:c r="Q427" s="20" t="str">
        <x:v>R26-091</x:v>
      </x:c>
      <x:c r="R427" s="20" t="str"/>
      <x:c r="S427" s="20" t="str"/>
      <x:c r="T427" s="20" t="str">
        <x:v>https://pattani.go.th/travel/detail/43</x:v>
      </x:c>
      <x:c r="U427" s="20" t="str"/>
      <x:c r="V427" s="20" t="str"/>
      <x:c r="W427" s="20" t="str"/>
      <x:c r="X427" s="20" t="str"/>
      <x:c r="Y427" s="20" t="str">
        <x:v>https://www.google.com/maps/search/?api=1&amp;query=%E0%B8%8A%E0%B8%B8%E0%B8%A1%E0%B8%8A%E0%B8%99%E0%B8%9A%E0%B8%B2%E0%B8%A3%E0%B8%B2%E0%B9%82%E0%B8%AB%E0%B8%A1%20%E0%B8%9B%E0%B8%B1%E0%B8%95%E0%B8%95%E0%B8%B2%E0%B8%99%E0%B8%B5</x:v>
      </x:c>
      <x:c r="Z427" s="56" t="n">
        <x:v>6.872976</x:v>
      </x:c>
      <x:c r="AA427" s="56" t="n">
        <x:v>101.321906</x:v>
      </x:c>
      <x:c r="AB427" s="57" t="str"/>
      <x:c r="AC427" s="20" t="str">
        <x:v>https://pattani.go.th/travel/detail/43</x:v>
      </x:c>
    </x:row>
    <x:row r="428" ht="88" customHeight="1">
      <x:c r="A428" s="54" t="n">
        <x:v>420</x:v>
      </x:c>
      <x:c r="B428" s="20" t="str">
        <x:v>ตลาดโต้รุ่งปัตตานี</x:v>
      </x:c>
      <x:c r="C428" s="20" t="str">
        <x:v>ปัตตานี</x:v>
      </x:c>
      <x:c r="D428" s="20" t="str">
        <x:v>กิจกรรม</x:v>
      </x:c>
      <x:c r="E428" s="20" t="str">
        <x:v>พบข้อมูลชื่อตรงจาก ตลาดโต้รุ่งปัตตานี Pattani hawker street - YouTube; เป็นหลักฐานตัวตน/ประเภท ยังไม่ยืนยันบริการมุสลิมครบเกณฑ์</x:v>
      </x:c>
      <x:c r="F428" s="20" t="str">
        <x:v>ไม่ทราบ</x:v>
      </x:c>
      <x:c r="G428" s="20" t="str">
        <x:v>ยังไม่ยืนยันใบรับรองและวันหมดอายุ</x:v>
      </x:c>
      <x:c r="H428" s="20" t="str">
        <x:v>ตรวจการเปิด ตัวตนสาขา ช่องทางติดต่อ และเงื่อนไขบังคับตามประเภท</x:v>
      </x:c>
      <x:c r="I428" s="20" t="str">
        <x:v>ยังไม่ยืนยันที่อยู่ละเอียด ดูลิงก์แหล่งข้อมูลและ Google Maps</x:v>
      </x:c>
      <x:c r="J428" s="21" t="str">
        <x:v>ยังไม่พบหรือยังไม่ยืนยัน</x:v>
      </x:c>
      <x:c r="K428" s="51" t="str">
        <x:v>https://www.youtube.com/watch?v=dGv2PiAUfMo</x:v>
      </x:c>
      <x:c r="L428" s="51" t="str">
        <x:v>https://www.thaithurkic.com/%E0%B8%A3%E0%B9%89%E0%B8%B2%E0%B8%99%E0%B8%81%E0%B9%8B%E0%B8%A7%E0%B8%A2%E0%B9%80%E0%B8%95%E0%B8%B5%E0%B9%8B%E0%B8%A2%E0%B8%A7%E0%B9%80%E0%B8%9A%E0%B8%B4%E0%B9%89%E0%B8%A1%E0%B8%99%E0%B8%84%E0%B8%A3%E0%B8%9B%E0%B8%90%E0%B8%A1-081-748-7629</x:v>
      </x:c>
      <x:c r="M428" s="20" t="str">
        <x:v>พบแหล่งต่างเว็บไซต์ ร้านก๋วยเตี๋ยวเบิ้มนครปฐม@ตลาดโต้รุ่งปัตตานี | 081 748 7629 | เทศบาลเมืองปัตตานี</x:v>
      </x:c>
      <x:c r="N428" s="28" t="n">
        <x:v>46316</x:v>
      </x:c>
      <x:c r="O428" s="57" t="str">
        <x:v>ยังไม่ตรวจ</x:v>
      </x:c>
      <x:c r="P428" s="57" t="str">
        <x:v>ยังไม่ติดต่อ</x:v>
      </x:c>
      <x:c r="Q428" s="20" t="str">
        <x:v>R26-093</x:v>
      </x:c>
      <x:c r="R428" s="20" t="str"/>
      <x:c r="S428" s="20" t="str"/>
      <x:c r="T428" s="20" t="str">
        <x:v>https://www.youtube.com/watch?v=dGv2PiAUfMo</x:v>
      </x:c>
      <x:c r="U428" s="20" t="str"/>
      <x:c r="V428" s="20" t="str"/>
      <x:c r="W428" s="20" t="str"/>
      <x:c r="X428" s="20" t="str"/>
      <x:c r="Y428" s="20" t="str">
        <x:v>https://www.google.com/maps/search/?api=1&amp;query=%E0%B8%95%E0%B8%A5%E0%B8%B2%E0%B8%94%E0%B9%82%E0%B8%95%E0%B9%89%E0%B8%A3%E0%B8%B8%E0%B9%88%E0%B8%87%E0%B8%9B%E0%B8%B1%E0%B8%95%E0%B8%95%E0%B8%B2%E0%B8%99%E0%B8%B5%20%E0%B8%9B%E0%B8%B1%E0%B8%95%E0%B8%95%E0%B8%B2%E0%B8%99%E0%B8%B5</x:v>
      </x:c>
      <x:c r="Z428" s="56" t="n">
        <x:v>6.865481</x:v>
      </x:c>
      <x:c r="AA428" s="56" t="n">
        <x:v>101.2547212</x:v>
      </x:c>
      <x:c r="AB428" s="57" t="str"/>
      <x:c r="AC428" s="20" t="str">
        <x:v>https://www.youtube.com/watch?v=dGv2PiAUfMo</x:v>
      </x:c>
    </x:row>
    <x:row r="429" ht="88" customHeight="1">
      <x:c r="A429" s="54" t="n">
        <x:v>421</x:v>
      </x:c>
      <x:c r="B429" s="20" t="str">
        <x:v>Park View Resort Pattani</x:v>
      </x:c>
      <x:c r="C429" s="20" t="str">
        <x:v>ปัตตานี</x:v>
      </x:c>
      <x:c r="D429" s="20" t="str">
        <x:v>ที่พัก</x:v>
      </x:c>
      <x:c r="E429" s="20" t="str">
        <x:v>พบข้อมูลชื่อตรงจาก ปาร์ค วิว , ปัตตานี - Park View Pattani; เป็นหลักฐานตัวตน/ประเภท ยังไม่ยืนยันบริการมุสลิมครบเกณฑ์</x:v>
      </x:c>
      <x:c r="F429" s="20" t="str">
        <x:v>ไม่ทราบ</x:v>
      </x:c>
      <x:c r="G429" s="20" t="str">
        <x:v>ยังไม่ยืนยันใบรับรองและวันหมดอายุ</x:v>
      </x:c>
      <x:c r="H429" s="20" t="str">
        <x:v>ตรวจการเปิด ตัวตนสาขา ช่องทางติดต่อ และเงื่อนไขบังคับตามประเภท</x:v>
      </x:c>
      <x:c r="I429" s="20" t="str">
        <x:v>ยังไม่ยืนยันที่อยู่ละเอียด ดูลิงก์แหล่งข้อมูลและ Google Maps</x:v>
      </x:c>
      <x:c r="J429" s="21" t="str">
        <x:v>ยังไม่พบหรือยังไม่ยืนยัน</x:v>
      </x:c>
      <x:c r="K429" s="51" t="str">
        <x:v>https://www.choowap.com/th/hotel/park-view-pattani</x:v>
      </x:c>
      <x:c r="L429" s="51" t="str">
        <x:v>https://www.thaithurkic.com/park-view-resort-pattani-073-335-100</x:v>
      </x:c>
      <x:c r="M429" s="20" t="str">
        <x:v>พบแหล่งต่างเว็บไซต์ Park View Resort Pattani | 073 335 100 | เทศบาลเมืองปัตตานี</x:v>
      </x:c>
      <x:c r="N429" s="28" t="n">
        <x:v>46316</x:v>
      </x:c>
      <x:c r="O429" s="57" t="str">
        <x:v>ยังไม่ตรวจ</x:v>
      </x:c>
      <x:c r="P429" s="57" t="str">
        <x:v>ยังไม่ติดต่อ</x:v>
      </x:c>
      <x:c r="Q429" s="20" t="str">
        <x:v>R26-379</x:v>
      </x:c>
      <x:c r="R429" s="20" t="str">
        <x:v>Park View Resort Pattani</x:v>
      </x:c>
      <x:c r="S429" s="20" t="str"/>
      <x:c r="T429" s="20" t="str">
        <x:v>https://www.choowap.com/th/hotel/park-view-pattani</x:v>
      </x:c>
      <x:c r="U429" s="20" t="str"/>
      <x:c r="V429" s="20" t="str"/>
      <x:c r="W429" s="20" t="str"/>
      <x:c r="X429" s="20" t="str"/>
      <x:c r="Y429" s="20" t="str">
        <x:v>https://www.google.com/maps/search/?api=1&amp;query=Park%20View%20Resort%20Pattani%20%E0%B8%9B%E0%B8%B1%E0%B8%95%E0%B8%95%E0%B8%B2%E0%B8%99%E0%B8%B5</x:v>
      </x:c>
      <x:c r="Z429" s="56" t="n">
        <x:v>6.85817</x:v>
      </x:c>
      <x:c r="AA429" s="56" t="n">
        <x:v>101.23141</x:v>
      </x:c>
      <x:c r="AB429" s="57" t="str"/>
      <x:c r="AC429" s="20" t="str">
        <x:v>https://www.choowap.com/th/hotel/park-view-pattani</x:v>
      </x:c>
    </x:row>
    <x:row r="430" ht="88" customHeight="1">
      <x:c r="A430" s="54" t="n">
        <x:v>422</x:v>
      </x:c>
      <x:c r="B430" s="20" t="str">
        <x:v>Southern View Hotel Pattani</x:v>
      </x:c>
      <x:c r="C430" s="20" t="str">
        <x:v>ปัตตานี</x:v>
      </x:c>
      <x:c r="D430" s="20" t="str">
        <x:v>ที่พัก</x:v>
      </x:c>
      <x:c r="E430" s="20" t="str">
        <x:v>พบข้อมูลชื่อตรงจาก Southern View Hotel Pattani - Google hotels; เป็นหลักฐานตัวตน/ประเภท ยังไม่ยืนยันบริการมุสลิมครบเกณฑ์</x:v>
      </x:c>
      <x:c r="F430" s="20" t="str">
        <x:v>ไม่ทราบ</x:v>
      </x:c>
      <x:c r="G430" s="20" t="str">
        <x:v>ยังไม่ยืนยันใบรับรองและวันหมดอายุ</x:v>
      </x:c>
      <x:c r="H430" s="20" t="str">
        <x:v>ตรวจการเปิด ตัวตนสาขา ช่องทางติดต่อ และเงื่อนไขบังคับตามประเภท</x:v>
      </x:c>
      <x:c r="I430" s="20" t="str">
        <x:v>ยังไม่ยืนยันที่อยู่ละเอียด ดูลิงก์แหล่งข้อมูลและ Google Maps</x:v>
      </x:c>
      <x:c r="J430" s="21" t="str">
        <x:v>ยังไม่พบหรือยังไม่ยืนยัน</x:v>
      </x:c>
      <x:c r="K430" s="51" t="str">
        <x:v>https://www.google.com/travel/hotels/entity/CgsI07bvtsbPl43PARAB</x:v>
      </x:c>
      <x:c r="L430" s="51" t="str">
        <x:v>https://www.booking.com/hotel/th/po-southern-view-hotel-pattani.html</x:v>
      </x:c>
      <x:c r="M430" s="20" t="str">
        <x:v>พบแหล่งต่างเว็บไซต์ Southern View Hotel Pattani, Ban Ru Sa Mi Lae (updated prices 2026)</x:v>
      </x:c>
      <x:c r="N430" s="28" t="n">
        <x:v>46316</x:v>
      </x:c>
      <x:c r="O430" s="57" t="str">
        <x:v>ยังไม่ตรวจ</x:v>
      </x:c>
      <x:c r="P430" s="57" t="str">
        <x:v>ยังไม่ติดต่อ</x:v>
      </x:c>
      <x:c r="Q430" s="20" t="str">
        <x:v>R26-378</x:v>
      </x:c>
      <x:c r="R430" s="20" t="str">
        <x:v>Southern View Hotel Pattani</x:v>
      </x:c>
      <x:c r="S430" s="20" t="str"/>
      <x:c r="T430" s="20" t="str">
        <x:v>https://www.google.com/travel/hotels/entity/CgsI07bvtsbPl43PARAB</x:v>
      </x:c>
      <x:c r="U430" s="20" t="str"/>
      <x:c r="V430" s="20" t="str"/>
      <x:c r="W430" s="20" t="str"/>
      <x:c r="X430" s="20" t="str"/>
      <x:c r="Y430" s="20" t="str">
        <x:v>https://www.google.com/maps/search/?api=1&amp;query=Southern%20View%20Hotel%20Pattani%20%E0%B8%9B%E0%B8%B1%E0%B8%95%E0%B8%95%E0%B8%B2%E0%B8%99%E0%B8%B5</x:v>
      </x:c>
      <x:c r="Z430" s="56" t="n">
        <x:v>6.8552359</x:v>
      </x:c>
      <x:c r="AA430" s="56" t="n">
        <x:v>101.2169906</x:v>
      </x:c>
      <x:c r="AB430" s="57" t="str"/>
      <x:c r="AC430" s="20" t="str">
        <x:v>https://www.google.com/travel/hotels/entity/CgsI07bvtsbPl43PARAB</x:v>
      </x:c>
    </x:row>
    <x:row r="431" ht="88" customHeight="1">
      <x:c r="A431" s="54" t="n">
        <x:v>423</x:v>
      </x:c>
      <x:c r="B431" s="20" t="str">
        <x:v>The Wood Pattani Hotel</x:v>
      </x:c>
      <x:c r="C431" s="20" t="str">
        <x:v>ปัตตานี</x:v>
      </x:c>
      <x:c r="D431" s="20" t="str">
        <x:v>ที่พัก</x:v>
      </x:c>
      <x:c r="E431" s="20" t="str">
        <x:v>พบข้อมูลชื่อตรงจาก The Wood Pattani Hotel, Pattani - Official Website; เป็นหลักฐานตัวตน/ประเภท ยังไม่ยืนยันบริการมุสลิมครบเกณฑ์</x:v>
      </x:c>
      <x:c r="F431" s="20" t="str">
        <x:v>ไม่ทราบ</x:v>
      </x:c>
      <x:c r="G431" s="20" t="str">
        <x:v>ยังไม่ยืนยันใบรับรองและวันหมดอายุ</x:v>
      </x:c>
      <x:c r="H431" s="20" t="str">
        <x:v>ตรวจการเปิด ตัวตนสาขา ช่องทางติดต่อ และเงื่อนไขบังคับตามประเภท</x:v>
      </x:c>
      <x:c r="I431" s="20" t="str">
        <x:v>ยังไม่ยืนยันที่อยู่ละเอียด ดูลิงก์แหล่งข้อมูลและ Google Maps</x:v>
      </x:c>
      <x:c r="J431" s="21" t="str">
        <x:v>+66914790666</x:v>
      </x:c>
      <x:c r="K431" s="51" t="str">
        <x:v>https://thewoodpattani.com/</x:v>
      </x:c>
      <x:c r="L431" s="51" t="str">
        <x:v>https://www.booking.com/hotel/th/the-wood-pattani-emuue-ngpattaanii.html</x:v>
      </x:c>
      <x:c r="M431" s="20" t="str">
        <x:v>พบแหล่งต่างเว็บไซต์ The Wood Pattani Hotel, Ban Ru Sa Mi Lae (updated prices 2026)</x:v>
      </x:c>
      <x:c r="N431" s="28" t="n">
        <x:v>46316</x:v>
      </x:c>
      <x:c r="O431" s="57" t="str">
        <x:v>ยังไม่ตรวจ</x:v>
      </x:c>
      <x:c r="P431" s="57" t="str">
        <x:v>ยังไม่ติดต่อ</x:v>
      </x:c>
      <x:c r="Q431" s="20" t="str">
        <x:v>R26-377</x:v>
      </x:c>
      <x:c r="R431" s="20" t="str">
        <x:v>The Wood Pattani Hotel</x:v>
      </x:c>
      <x:c r="S431" s="20" t="str">
        <x:v>info@thewoodpattani.com</x:v>
      </x:c>
      <x:c r="T431" s="20" t="str">
        <x:v>https://thewoodpattani.com/</x:v>
      </x:c>
      <x:c r="U431" s="20" t="str">
        <x:v>https://www.facebook.com/TheWoodPattaniHotel/</x:v>
      </x:c>
      <x:c r="V431" s="20" t="str"/>
      <x:c r="W431" s="20" t="str"/>
      <x:c r="X431" s="20" t="str"/>
      <x:c r="Y431" s="20" t="str">
        <x:v>https://www.google.com/maps/search/?api=1&amp;query=The%20Wood%20Pattani%20Hotel%20%E0%B8%9B%E0%B8%B1%E0%B8%95%E0%B8%95%E0%B8%B2%E0%B8%99%E0%B8%B5</x:v>
      </x:c>
      <x:c r="Z431" s="56" t="n">
        <x:v>6.871595</x:v>
      </x:c>
      <x:c r="AA431" s="56" t="n">
        <x:v>101.238885</x:v>
      </x:c>
      <x:c r="AB431" s="57" t="str"/>
      <x:c r="AC431" s="20" t="str">
        <x:v>https://thewoodpattani.com/</x:v>
      </x:c>
    </x:row>
    <x:row r="432" ht="88" customHeight="1">
      <x:c r="A432" s="54" t="n">
        <x:v>424</x:v>
      </x:c>
      <x:c r="B432" s="20" t="str">
        <x:v>Bagus Hot Chicken</x:v>
      </x:c>
      <x:c r="C432" s="20" t="str">
        <x:v>ปัตตานี</x:v>
      </x:c>
      <x:c r="D432" s="20" t="str">
        <x:v>ร้านอาหาร</x:v>
      </x:c>
      <x:c r="E432" s="20" t="str">
        <x:v>มีรายชื่อใน Makan Halal Guide; ช่องห้องละหมาดไม่ได้ทำเครื่องหมายว่ามี</x:v>
      </x:c>
      <x:c r="F432" s="20" t="str">
        <x:v>แหล่งเดิมไม่ระบุว่ามี</x:v>
      </x:c>
      <x:c r="G432" s="20" t="str">
        <x:v>ยังไม่พบเอกสารรับรองและวันหมดอายุ</x:v>
      </x:c>
      <x:c r="H432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32" s="20" t="str">
        <x:v>หลัง มอ.ปัตตานี ตำบล รูสะมิแล อำเภอเมืองปัตตานี ปัตตานี 94000</x:v>
      </x:c>
      <x:c r="J432" s="21" t="str">
        <x:v>0952695898</x:v>
      </x:c>
      <x:c r="K432" s="51" t="str">
        <x:v>https://makanhalalguide.com/shop/detail/6358</x:v>
      </x:c>
      <x:c r="L432" s="51" t="str">
        <x:v>https://www.wongnai.com/restaurants/759101oO-bagus-hot-chicken-ptn-14-bagus-pattani</x:v>
      </x:c>
      <x:c r="M432" s="20" t="str">
        <x:v>ผลค้นหาชื่อสัมพันธ์จากแหล่งเพิ่มเติม ต้องยืนยันสาขาและข้อมูลปัจจุบัน</x:v>
      </x:c>
      <x:c r="N432" s="28" t="n">
        <x:v>46315</x:v>
      </x:c>
      <x:c r="O432" s="57" t="str">
        <x:v>ยังไม่ตรวจ</x:v>
      </x:c>
      <x:c r="P432" s="57" t="str">
        <x:v>ยังไม่ติดต่อ</x:v>
      </x:c>
      <x:c r="Q432" s="20" t="str">
        <x:v>TMF-561</x:v>
      </x:c>
      <x:c r="R432" s="20" t="str">
        <x:v>Bagus Hot Chicken</x:v>
      </x:c>
      <x:c r="S432" s="20" t="str"/>
      <x:c r="T432" s="20" t="str">
        <x:v>https://makanhalalguide.com/shop/detail/6358</x:v>
      </x:c>
      <x:c r="U432" s="20" t="str"/>
      <x:c r="V432" s="20" t="str"/>
      <x:c r="W432" s="20" t="str"/>
      <x:c r="X432" s="20" t="str"/>
      <x:c r="Y432" s="20" t="str">
        <x:v>https://www.google.com/maps/search/?api=1&amp;query=Bagus%20Hot%20Chicken%20%E0%B8%9B%E0%B8%B1%E0%B8%95%E0%B8%95%E0%B8%B2%E0%B8%99%E0%B8%B5</x:v>
      </x:c>
      <x:c r="Z432" s="56" t="n">
        <x:v>6.882057</x:v>
      </x:c>
      <x:c r="AA432" s="56" t="n">
        <x:v>101.241174</x:v>
      </x:c>
      <x:c r="AB432" s="57" t="str"/>
      <x:c r="AC432" s="20" t="str">
        <x:v>https://makanhalalguide.com/shop/detail/6358</x:v>
      </x:c>
    </x:row>
    <x:row r="433" ht="88" customHeight="1">
      <x:c r="A433" s="54" t="n">
        <x:v>425</x:v>
      </x:c>
      <x:c r="B433" s="20" t="str">
        <x:v>LEMU.CO</x:v>
      </x:c>
      <x:c r="C433" s="20" t="str">
        <x:v>ปัตตานี</x:v>
      </x:c>
      <x:c r="D433" s="20" t="str">
        <x:v>อาหาร</x:v>
      </x:c>
      <x:c r="E433" s="20" t="str">
        <x:v>พบข้อมูลชื่อตรงจาก LEMU.Co, a restaurant for meat lovers 🥩 | Trip.com Pattani City; เป็นหลักฐานตัวตน/ประเภท ยังไม่ยืนยันบริการมุสลิมครบเกณฑ์</x:v>
      </x:c>
      <x:c r="F433" s="20" t="str">
        <x:v>ไม่ทราบ</x:v>
      </x:c>
      <x:c r="G433" s="20" t="str">
        <x:v>ยังไม่ยืนยันใบรับรองและวันหมดอายุ</x:v>
      </x:c>
      <x:c r="H433" s="20" t="str">
        <x:v>ตรวจการเปิด ตัวตนสาขา ช่องทางติดต่อ และเงื่อนไขบังคับตามประเภท</x:v>
      </x:c>
      <x:c r="I433" s="20" t="str">
        <x:v>ยังไม่ยืนยันที่อยู่ละเอียด ดูลิงก์แหล่งข้อมูลและ Google Maps</x:v>
      </x:c>
      <x:c r="J433" s="21" t="str">
        <x:v>ยังไม่พบหรือยังไม่ยืนยัน</x:v>
      </x:c>
      <x:c r="K433" s="51" t="str">
        <x:v>https://th.trip.com/moments/detail/pattani-1447200-126050297/</x:v>
      </x:c>
      <x:c r="L433" s="51" t="str">
        <x:v>https://www.lemon8-app.com/%40smiyah93/7554318303767233042?region=us</x:v>
      </x:c>
      <x:c r="M433" s="20" t="str">
        <x:v>พบแหล่งต่างเว็บไซต์ LEMU.Co ปัตตานี รีวิวสเต๊กฮาลาลเนื้อนุ่ม ราคาไม่แรง เมนูเด็ดที่สั่งแล้วไม่พลาด</x:v>
      </x:c>
      <x:c r="N433" s="28" t="n">
        <x:v>46316</x:v>
      </x:c>
      <x:c r="O433" s="57" t="str">
        <x:v>ยังไม่ตรวจ</x:v>
      </x:c>
      <x:c r="P433" s="57" t="str">
        <x:v>ยังไม่ติดต่อ</x:v>
      </x:c>
      <x:c r="Q433" s="20" t="str">
        <x:v>R26-339</x:v>
      </x:c>
      <x:c r="R433" s="20" t="str">
        <x:v>LEMU.CO</x:v>
      </x:c>
      <x:c r="S433" s="20" t="str"/>
      <x:c r="T433" s="20" t="str">
        <x:v>https://th.trip.com/moments/detail/pattani-1447200-126050297/</x:v>
      </x:c>
      <x:c r="U433" s="20" t="str"/>
      <x:c r="V433" s="20" t="str"/>
      <x:c r="W433" s="20" t="str"/>
      <x:c r="X433" s="20" t="str"/>
      <x:c r="Y433" s="20" t="str">
        <x:v>https://www.google.com/maps/search/?api=1&amp;query=LEMU.CO%20%E0%B8%9B%E0%B8%B1%E0%B8%95%E0%B8%95%E0%B8%B2%E0%B8%99%E0%B8%B5</x:v>
      </x:c>
      <x:c r="Z433" s="56" t="str"/>
      <x:c r="AA433" s="56" t="str"/>
      <x:c r="AB433" s="57" t="str"/>
      <x:c r="AC433" s="20" t="str">
        <x:v>https://th.trip.com/moments/detail/pattani-1447200-126050297/</x:v>
      </x:c>
    </x:row>
    <x:row r="434" ht="88" customHeight="1">
      <x:c r="A434" s="54" t="n">
        <x:v>426</x:v>
      </x:c>
      <x:c r="B434" s="20" t="str">
        <x:v>M.Chakir Coffee</x:v>
      </x:c>
      <x:c r="C434" s="20" t="str">
        <x:v>ปัตตานี</x:v>
      </x:c>
      <x:c r="D434" s="20" t="str">
        <x:v>คาเฟ่และร้านของหวาน</x:v>
      </x:c>
      <x:c r="E434" s="20" t="str">
        <x:v>มีรายชื่อใน Makan Halal Guide; ช่องห้องละหมาดไม่ได้ทำเครื่องหมายว่ามี</x:v>
      </x:c>
      <x:c r="F434" s="20" t="str">
        <x:v>แหล่งเดิมไม่ระบุว่ามี</x:v>
      </x:c>
      <x:c r="G434" s="20" t="str">
        <x:v>ยังไม่พบเอกสารรับรองและวันหมดอายุ</x:v>
      </x:c>
      <x:c r="H434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34" s="20" t="str">
        <x:v>ลานจอดรถมัสยิดกลางปัตตานี ถนนยะรัง ตำบล จะบังติกอ อำเภอเมืองปัตตานี ปัตตานี 94000</x:v>
      </x:c>
      <x:c r="J434" s="21" t="str">
        <x:v>0918083246</x:v>
      </x:c>
      <x:c r="K434" s="51" t="str">
        <x:v>https://makanhalalguide.com/shop/detail/6367</x:v>
      </x:c>
      <x:c r="L434" s="51" t="str">
        <x:v>https://www.wongnai.com/restaurants/495981Kz-m-chakir-coffee-di-taning-%E0%B8%A5%E0%B8%B2%E0%B8%99%E0%B8%88%E0%B8%AD%E0%B8%94%E0%B8%A3%E0%B8%96%E0%B8%A1%E0%B8%B1%E0%B8%AA%E0%B8%A2%E0%B8%B4%E0%B8%94%E0%B8%81%E0%B8%A5%E0%B8%B2%E0%B8%87-%E0%B8%9B%E0%B8%B1%E0%B8%95%E0%B8%95%E0%B8%B2%E0%B8%99%E0%B8%B5</x:v>
      </x:c>
      <x:c r="M434" s="20" t="str">
        <x:v>ผลค้นหาชื่อสัมพันธ์จากแหล่งเพิ่มเติม ต้องยืนยันสาขาและข้อมูลปัจจุบัน</x:v>
      </x:c>
      <x:c r="N434" s="28" t="n">
        <x:v>46315</x:v>
      </x:c>
      <x:c r="O434" s="57" t="str">
        <x:v>ยังไม่ตรวจ</x:v>
      </x:c>
      <x:c r="P434" s="57" t="str">
        <x:v>ยังไม่ติดต่อ</x:v>
      </x:c>
      <x:c r="Q434" s="20" t="str">
        <x:v>TMF-563</x:v>
      </x:c>
      <x:c r="R434" s="20" t="str">
        <x:v>M.Chakir Coffee</x:v>
      </x:c>
      <x:c r="S434" s="20" t="str"/>
      <x:c r="T434" s="20" t="str">
        <x:v>https://makanhalalguide.com/shop/detail/6367</x:v>
      </x:c>
      <x:c r="U434" s="20" t="str"/>
      <x:c r="V434" s="20" t="str"/>
      <x:c r="W434" s="20" t="str"/>
      <x:c r="X434" s="20" t="str"/>
      <x:c r="Y434" s="20" t="str">
        <x:v>https://www.google.com/maps/search/?api=1&amp;query=M.Chakir%20Coffee%20%E0%B8%9B%E0%B8%B1%E0%B8%95%E0%B8%95%E0%B8%B2%E0%B8%99%E0%B8%B5</x:v>
      </x:c>
      <x:c r="Z434" s="56" t="n">
        <x:v>6.862292</x:v>
      </x:c>
      <x:c r="AA434" s="56" t="n">
        <x:v>101.255466</x:v>
      </x:c>
      <x:c r="AB434" s="57" t="str"/>
      <x:c r="AC434" s="20" t="str">
        <x:v>https://makanhalalguide.com/shop/detail/6367</x:v>
      </x:c>
    </x:row>
    <x:row r="435" ht="88" customHeight="1">
      <x:c r="A435" s="54" t="n">
        <x:v>427</x:v>
      </x:c>
      <x:c r="B435" s="20" t="str">
        <x:v>Mama’s corner</x:v>
      </x:c>
      <x:c r="C435" s="20" t="str">
        <x:v>ปัตตานี</x:v>
      </x:c>
      <x:c r="D435" s="20" t="str">
        <x:v>ร้านอาหาร</x:v>
      </x:c>
      <x:c r="E435" s="20" t="str">
        <x:v>มีรายชื่อใน Makan Halal Guide; ช่องห้องละหมาดไม่ได้ทำเครื่องหมายว่ามี</x:v>
      </x:c>
      <x:c r="F435" s="20" t="str">
        <x:v>แหล่งเดิมไม่ระบุว่ามี</x:v>
      </x:c>
      <x:c r="G435" s="20" t="str">
        <x:v>ยังไม่พบเอกสารรับรองและวันหมดอายุ</x:v>
      </x:c>
      <x:c r="H435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35" s="20" t="str">
        <x:v>ลานจอดรถมัสยิดกลางปัตตานี ถนนยะรัง ตำบล จะบังติกอ อำเภอเมืองปัตตานี ปัตตานี 94000</x:v>
      </x:c>
      <x:c r="J435" s="21" t="str">
        <x:v>0878751662</x:v>
      </x:c>
      <x:c r="K435" s="51" t="str">
        <x:v>https://makanhalalguide.com/shop/detail/6366</x:v>
      </x:c>
      <x:c r="L435" s="51" t="str">
        <x:v>https://www.wongnai.com/restaurants/2414121od-mama-s-corner-%E0%B8%9B%E0%B8%B1%E0%B8%95%E0%B8%95%E0%B8%B2%E0%B8%99%E0%B8%B5</x:v>
      </x:c>
      <x:c r="M435" s="20" t="str">
        <x:v>ผลค้นหาชื่อสัมพันธ์จากแหล่งเพิ่มเติม ต้องยืนยันสาขาและข้อมูลปัจจุบัน</x:v>
      </x:c>
      <x:c r="N435" s="28" t="n">
        <x:v>46315</x:v>
      </x:c>
      <x:c r="O435" s="57" t="str">
        <x:v>ยังไม่ตรวจ</x:v>
      </x:c>
      <x:c r="P435" s="57" t="str">
        <x:v>ยังไม่ติดต่อ</x:v>
      </x:c>
      <x:c r="Q435" s="20" t="str">
        <x:v>TMF-564</x:v>
      </x:c>
      <x:c r="R435" s="20" t="str">
        <x:v>Mama’s corner</x:v>
      </x:c>
      <x:c r="S435" s="20" t="str"/>
      <x:c r="T435" s="20" t="str">
        <x:v>https://makanhalalguide.com/shop/detail/6366</x:v>
      </x:c>
      <x:c r="U435" s="20" t="str"/>
      <x:c r="V435" s="20" t="str"/>
      <x:c r="W435" s="20" t="str"/>
      <x:c r="X435" s="20" t="str"/>
      <x:c r="Y435" s="20" t="str">
        <x:v>https://www.google.com/maps/search/?api=1&amp;query=Mama%E2%80%99s%20corner%20%E0%B8%9B%E0%B8%B1%E0%B8%95%E0%B8%95%E0%B8%B2%E0%B8%99%E0%B8%B5</x:v>
      </x:c>
      <x:c r="Z435" s="56" t="n">
        <x:v>6.862631</x:v>
      </x:c>
      <x:c r="AA435" s="56" t="n">
        <x:v>101.25289</x:v>
      </x:c>
      <x:c r="AB435" s="57" t="str"/>
      <x:c r="AC435" s="20" t="str">
        <x:v>https://makanhalalguide.com/shop/detail/6366</x:v>
      </x:c>
    </x:row>
    <x:row r="436" ht="88" customHeight="1">
      <x:c r="A436" s="54" t="n">
        <x:v>428</x:v>
      </x:c>
      <x:c r="B436" s="20" t="str">
        <x:v>Roti De Forest</x:v>
      </x:c>
      <x:c r="C436" s="20" t="str">
        <x:v>ปัตตานี</x:v>
      </x:c>
      <x:c r="D436" s="20" t="str">
        <x:v>อาหาร</x:v>
      </x:c>
      <x:c r="E436" s="20" t="str">
        <x:v>พบข้อมูลชื่อตรงจาก Pattani-Roti De Forest (โรตี เดอ ฟอเรส) 231877JM.jpg | TAT Media Assets - TAT Media Assets; เป็นหลักฐานตัวตน/ประเภท ยังไม่ยืนยันบริการมุสลิมครบเกณฑ์</x:v>
      </x:c>
      <x:c r="F436" s="20" t="str">
        <x:v>ไม่ทราบ</x:v>
      </x:c>
      <x:c r="G436" s="20" t="str">
        <x:v>ยังไม่ยืนยันใบรับรองและวันหมดอายุ</x:v>
      </x:c>
      <x:c r="H436" s="20" t="str">
        <x:v>ตรวจการเปิด ตัวตนสาขา ช่องทางติดต่อ และเงื่อนไขบังคับตามประเภท</x:v>
      </x:c>
      <x:c r="I436" s="20" t="str">
        <x:v>ยังไม่ยืนยันที่อยู่ละเอียด ดูลิงก์แหล่งข้อมูลและ Google Maps</x:v>
      </x:c>
      <x:c r="J436" s="21" t="str">
        <x:v>ยังไม่พบหรือยังไม่ยืนยัน</x:v>
      </x:c>
      <x:c r="K436" s="51" t="str">
        <x:v>https://tatmediaassets.com/file/3023407</x:v>
      </x:c>
      <x:c r="L436" s="51" t="str">
        <x:v>https://www.youtube.com/watch?v=UTCUmW-VTfU</x:v>
      </x:c>
      <x:c r="M436" s="20" t="str">
        <x:v>พบแหล่งต่างเว็บไซต์ Roti de Forest เจ้าดังปัตตานี มาเปิดแล้วที่หาดใหญ่ | ต้องลอง - YouTube</x:v>
      </x:c>
      <x:c r="N436" s="28" t="n">
        <x:v>46316</x:v>
      </x:c>
      <x:c r="O436" s="57" t="str">
        <x:v>ยังไม่ตรวจ</x:v>
      </x:c>
      <x:c r="P436" s="57" t="str">
        <x:v>ยังไม่ติดต่อ</x:v>
      </x:c>
      <x:c r="Q436" s="20" t="str">
        <x:v>R26-342</x:v>
      </x:c>
      <x:c r="R436" s="20" t="str">
        <x:v>Roti De Forest</x:v>
      </x:c>
      <x:c r="S436" s="20" t="str"/>
      <x:c r="T436" s="20" t="str">
        <x:v>https://tatmediaassets.com/file/3023407</x:v>
      </x:c>
      <x:c r="U436" s="20" t="str"/>
      <x:c r="V436" s="20" t="str"/>
      <x:c r="W436" s="20" t="str"/>
      <x:c r="X436" s="20" t="str"/>
      <x:c r="Y436" s="20" t="str">
        <x:v>https://www.google.com/maps/search/?api=1&amp;query=Roti%20De%20Forest%20%E0%B8%9B%E0%B8%B1%E0%B8%95%E0%B8%95%E0%B8%B2%E0%B8%99%E0%B8%B5</x:v>
      </x:c>
      <x:c r="Z436" s="56" t="str"/>
      <x:c r="AA436" s="56" t="str"/>
      <x:c r="AB436" s="57" t="str"/>
      <x:c r="AC436" s="20" t="str">
        <x:v>https://tatmediaassets.com/file/3023407</x:v>
      </x:c>
    </x:row>
    <x:row r="437" ht="88" customHeight="1">
      <x:c r="A437" s="54" t="n">
        <x:v>429</x:v>
      </x:c>
      <x:c r="B437" s="20" t="str">
        <x:v>The seasons cafe รังมดแดง</x:v>
      </x:c>
      <x:c r="C437" s="20" t="str">
        <x:v>ปัตตานี</x:v>
      </x:c>
      <x:c r="D437" s="20" t="str">
        <x:v>คาเฟ่และร้านของหวาน</x:v>
      </x:c>
      <x:c r="E437" s="20" t="str">
        <x:v>มีรายชื่อใน Makan Halal Guide; ระบุมีห้องละหมาด</x:v>
      </x:c>
      <x:c r="F437" s="20" t="str">
        <x:v>มีข้อมูลระบุ แต่รอยืนยัน</x:v>
      </x:c>
      <x:c r="G437" s="20" t="str">
        <x:v>ยังไม่พบเอกสารรับรองและวันหมดอายุ</x:v>
      </x:c>
      <x:c r="H43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37" s="20" t="str">
        <x:v>ตำบลดอนทราย อำเภอไม้แก่น จังหวัดปัตตานี 94220</x:v>
      </x:c>
      <x:c r="J437" s="21" t="str">
        <x:v>0899747991</x:v>
      </x:c>
      <x:c r="K437" s="51" t="str">
        <x:v>https://makanhalalguide.com/shop/detail/5932</x:v>
      </x:c>
      <x:c r="L437" s="51" t="str">
        <x:v>https://www.hydro-1.net/Data/Admin/book/file/E841-2564.pdf</x:v>
      </x:c>
      <x:c r="M437" s="20" t="str">
        <x:v>ผลค้นหาชื่อสัมพันธ์จากแหล่งเพิ่มเติม ต้องยืนยันสาขาและข้อมูลปัจจุบัน</x:v>
      </x:c>
      <x:c r="N437" s="28" t="n">
        <x:v>46315</x:v>
      </x:c>
      <x:c r="O437" s="57" t="str">
        <x:v>ยังไม่ตรวจ</x:v>
      </x:c>
      <x:c r="P437" s="57" t="str">
        <x:v>ยังไม่ติดต่อ</x:v>
      </x:c>
      <x:c r="Q437" s="20" t="str">
        <x:v>TMF-185</x:v>
      </x:c>
      <x:c r="R437" s="20" t="str"/>
      <x:c r="S437" s="20" t="str"/>
      <x:c r="T437" s="20" t="str">
        <x:v>https://makanhalalguide.com/shop/detail/5932</x:v>
      </x:c>
      <x:c r="U437" s="20" t="str"/>
      <x:c r="V437" s="20" t="str"/>
      <x:c r="W437" s="20" t="str"/>
      <x:c r="X437" s="20" t="str"/>
      <x:c r="Y437" s="20" t="str">
        <x:v>https://www.google.com/maps/search/?api=1&amp;query=The%20seasons%20cafe%20%E0%B8%A3%E0%B8%B1%E0%B8%87%E0%B8%A1%E0%B8%94%E0%B9%81%E0%B8%94%E0%B8%87%20%E0%B8%9B%E0%B8%B1%E0%B8%95%E0%B8%95%E0%B8%B2%E0%B8%99%E0%B8%B5</x:v>
      </x:c>
      <x:c r="Z437" s="56" t="n">
        <x:v>6.606109</x:v>
      </x:c>
      <x:c r="AA437" s="56" t="n">
        <x:v>101.704034</x:v>
      </x:c>
      <x:c r="AB437" s="57" t="str"/>
      <x:c r="AC437" s="20" t="str">
        <x:v>https://makanhalalguide.com/shop/detail/5932</x:v>
      </x:c>
    </x:row>
    <x:row r="438" ht="88" customHeight="1">
      <x:c r="A438" s="54" t="n">
        <x:v>430</x:v>
      </x:c>
      <x:c r="B438" s="20" t="str">
        <x:v>kopi pagi</x:v>
      </x:c>
      <x:c r="C438" s="20" t="str">
        <x:v>ปัตตานี</x:v>
      </x:c>
      <x:c r="D438" s="20" t="str">
        <x:v>ร้านอาหาร</x:v>
      </x:c>
      <x:c r="E438" s="20" t="str">
        <x:v>มีรายชื่อใน Makan Halal Guide; ช่องห้องละหมาดไม่ได้ทำเครื่องหมายว่ามี</x:v>
      </x:c>
      <x:c r="F438" s="20" t="str">
        <x:v>แหล่งเดิมไม่ระบุว่ามี</x:v>
      </x:c>
      <x:c r="G438" s="20" t="str">
        <x:v>ยังไม่พบเอกสารรับรองและวันหมดอายุ</x:v>
      </x:c>
      <x:c r="H438" s="20" t="str">
        <x:v>ยังต้องตรวจข้อมูลบริการมุสลิมและเงื่อนไขบังคับตามประเภท</x:v>
      </x:c>
      <x:c r="I438" s="20" t="str">
        <x:v> หลัง มอ.ปัตตานีตำบล รูสะมิแล อำเภอเมืองปัตตานี ปัตตานี 94000</x:v>
      </x:c>
      <x:c r="J438" s="21" t="str">
        <x:v>0872998539</x:v>
      </x:c>
      <x:c r="K438" s="51" t="str">
        <x:v>https://makanhalalguide.com/shop/detail/6357</x:v>
      </x:c>
      <x:c r="L438" s="51" t="str">
        <x:v>https://www.lemon8-app.com/%40longmakan.review/7573109530567049736?region=th</x:v>
      </x:c>
      <x:c r="M438" s="20" t="str">
        <x:v>พบผลค้นชื่อสัมพันธ์เพิ่มเติม ต้องยืนยันสาขาและเจ้าของช่องทาง</x:v>
      </x:c>
      <x:c r="N438" s="28" t="n">
        <x:v>46316</x:v>
      </x:c>
      <x:c r="O438" s="57" t="str">
        <x:v>ยังไม่ตรวจ</x:v>
      </x:c>
      <x:c r="P438" s="57" t="str">
        <x:v>ยังไม่ติดต่อ</x:v>
      </x:c>
      <x:c r="Q438" s="20" t="str">
        <x:v>SRC-MAKAN-6357</x:v>
      </x:c>
      <x:c r="R438" s="20" t="str">
        <x:v>kopi pagi</x:v>
      </x:c>
      <x:c r="S438" s="20" t="str"/>
      <x:c r="T438" s="20" t="str">
        <x:v>https://makanhalalguide.com/shop/detail/6357</x:v>
      </x:c>
      <x:c r="U438" s="20" t="str"/>
      <x:c r="V438" s="20" t="str"/>
      <x:c r="W438" s="20" t="str"/>
      <x:c r="X438" s="20" t="str"/>
      <x:c r="Y438" s="20" t="str">
        <x:v>https://www.google.com/maps/search/?api=1&amp;query=kopi%20pagi%20%E0%B8%9B%E0%B8%B1%E0%B8%95%E0%B8%95%E0%B8%B2%E0%B8%99%E0%B8%B5</x:v>
      </x:c>
      <x:c r="Z438" s="56" t="n">
        <x:v>6.8809656</x:v>
      </x:c>
      <x:c r="AA438" s="56" t="n">
        <x:v>101.2418669</x:v>
      </x:c>
      <x:c r="AB438" s="57" t="str"/>
      <x:c r="AC438" s="20" t="str">
        <x:v>https://makanhalalguide.com/shop/detail/6357</x:v>
      </x:c>
    </x:row>
    <x:row r="439" ht="88" customHeight="1">
      <x:c r="A439" s="54" t="n">
        <x:v>431</x:v>
      </x:c>
      <x:c r="B439" s="20" t="str">
        <x:v>ครัววังแพะ Goat Chef's Kitchen</x:v>
      </x:c>
      <x:c r="C439" s="20" t="str">
        <x:v>ปัตตานี</x:v>
      </x:c>
      <x:c r="D439" s="20" t="str">
        <x:v>ร้านอาหาร</x:v>
      </x:c>
      <x:c r="E439" s="20" t="str">
        <x:v>Makan Verify; ช่องห้องละหมาดไม่ได้ทำเครื่องหมายว่ามี</x:v>
      </x:c>
      <x:c r="F439" s="20" t="str">
        <x:v>แหล่งเดิมไม่ระบุว่ามี</x:v>
      </x:c>
      <x:c r="G439" s="20" t="str">
        <x:v>ยังไม่พบเอกสารรับรองและวันหมดอายุ</x:v>
      </x:c>
      <x:c r="H439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39" s="20" t="str">
        <x:v>อยู่หลังมอ.ปัตตานี ถัดจากสำนักงานขนส่ง 50 เมตร เข้าซอยประมาน 20 เมตร ตำบลรูสะมิแล อำเภอเมืองปัตตานี จังหวัดปัตตานี 94000</x:v>
      </x:c>
      <x:c r="J439" s="21" t="str">
        <x:v>0892952098</x:v>
      </x:c>
      <x:c r="K439" s="51" t="str">
        <x:v>https://makanhalalguide.com/shop/detail/5419</x:v>
      </x:c>
      <x:c r="L439" s="51" t="str">
        <x:v>https://www.wongnai.com/restaurants/304799iE-%E0%B8%84%E0%B8%A3%E0%B8%B1%E0%B8%A7%E0%B8%A7%E0%B8%B1%E0%B8%87%E0%B9%81%E0%B8%9E%E0%B8%B0-%E0%B8%9B%E0%B8%B2%E0%B8%A5%E0%B8%B1%E0%B8%AA-1</x:v>
      </x:c>
      <x:c r="M439" s="20" t="str">
        <x:v>ผลค้นหาชื่อสัมพันธ์จากแหล่งเพิ่มเติม ต้องยืนยันสาขาและข้อมูลปัจจุบัน</x:v>
      </x:c>
      <x:c r="N439" s="28" t="n">
        <x:v>46315</x:v>
      </x:c>
      <x:c r="O439" s="57" t="str">
        <x:v>ยังไม่ตรวจ</x:v>
      </x:c>
      <x:c r="P439" s="57" t="str">
        <x:v>ยังไม่ติดต่อ</x:v>
      </x:c>
      <x:c r="Q439" s="20" t="str">
        <x:v>TMF-373</x:v>
      </x:c>
      <x:c r="R439" s="20" t="str"/>
      <x:c r="S439" s="20" t="str"/>
      <x:c r="T439" s="20" t="str">
        <x:v>https://makanhalalguide.com/shop/detail/5419</x:v>
      </x:c>
      <x:c r="U439" s="20" t="str"/>
      <x:c r="V439" s="20" t="str"/>
      <x:c r="W439" s="20" t="str"/>
      <x:c r="X439" s="20" t="str"/>
      <x:c r="Y439" s="20" t="str">
        <x:v>https://www.google.com/maps/search/?api=1&amp;query=%E0%B8%84%E0%B8%A3%E0%B8%B1%E0%B8%A7%E0%B8%A7%E0%B8%B1%E0%B8%87%E0%B9%81%E0%B8%9E%E0%B8%B0%20Goat%20Chef%27s%20Kitchen%20%E0%B8%9B%E0%B8%B1%E0%B8%95%E0%B8%95%E0%B8%B2%E0%B8%99%E0%B8%B5</x:v>
      </x:c>
      <x:c r="Z439" s="56" t="n">
        <x:v>6.885558</x:v>
      </x:c>
      <x:c r="AA439" s="56" t="n">
        <x:v>101.247116</x:v>
      </x:c>
      <x:c r="AB439" s="57" t="str"/>
      <x:c r="AC439" s="20" t="str">
        <x:v>https://makanhalalguide.com/shop/detail/5419</x:v>
      </x:c>
    </x:row>
    <x:row r="440" ht="88" customHeight="1">
      <x:c r="A440" s="54" t="n">
        <x:v>432</x:v>
      </x:c>
      <x:c r="B440" s="20" t="str">
        <x:v>ครัวฮาลาล รูสะมิแล</x:v>
      </x:c>
      <x:c r="C440" s="20" t="str">
        <x:v>ปัตตานี</x:v>
      </x:c>
      <x:c r="D440" s="20" t="str">
        <x:v>อาหาร</x:v>
      </x:c>
      <x:c r="E440" s="20" t="str">
        <x:v>พบข้อมูลชื่อตรงจาก ร้าน ครัวฮาลาล รูสะมิแล | รีวิวร้านอาหาร; เป็นหลักฐานตัวตน/ประเภท ยังไม่ยืนยันบริการมุสลิมครบเกณฑ์</x:v>
      </x:c>
      <x:c r="F440" s="20" t="str">
        <x:v>ไม่ทราบ</x:v>
      </x:c>
      <x:c r="G440" s="20" t="str">
        <x:v>ยังไม่ยืนยันใบรับรองและวันหมดอายุ</x:v>
      </x:c>
      <x:c r="H440" s="20" t="str">
        <x:v>ตรวจการเปิด ตัวตนสาขา ช่องทางติดต่อ และเงื่อนไขบังคับตามประเภท</x:v>
      </x:c>
      <x:c r="I440" s="20" t="str">
        <x:v>ยังไม่ยืนยันที่อยู่ละเอียด ดูลิงก์แหล่งข้อมูลและ Google Maps</x:v>
      </x:c>
      <x:c r="J440" s="21" t="str">
        <x:v>ยังไม่พบหรือยังไม่ยืนยัน</x:v>
      </x:c>
      <x:c r="K440" s="51" t="str">
        <x:v>https://www.wongnai.com/restaurants/2014160be-%E0%B8%84%E0%B8%A3%E0%B8%B1%E0%B8%A7%E0%B8%AE%E0%B8%B2%E0%B8%A5%E0%B8%B2%E0%B8%A5-%E0%B8%A3%E0%B8%B9%E0%B8%AA%E0%B8%B0%E0%B8%A1%E0%B8%B4%E0%B9%81%E0%B8%A5</x:v>
      </x:c>
      <x:c r="L440" s="51" t="str">
        <x:v>https://halalthai.or.th/th/product/detail/322563</x:v>
      </x:c>
      <x:c r="M440" s="20" t="str">
        <x:v>พบแหล่งต่างเว็บไซต์ ครัวฮาลาล | สำนักงานคณะกรรมการกลางอิสลามแห่งประเทศไทย</x:v>
      </x:c>
      <x:c r="N440" s="28" t="n">
        <x:v>46316</x:v>
      </x:c>
      <x:c r="O440" s="57" t="str">
        <x:v>ยังไม่ตรวจ</x:v>
      </x:c>
      <x:c r="P440" s="57" t="str">
        <x:v>ยังไม่ติดต่อ</x:v>
      </x:c>
      <x:c r="Q440" s="20" t="str">
        <x:v>R26-344</x:v>
      </x:c>
      <x:c r="R440" s="20" t="str"/>
      <x:c r="S440" s="20" t="str"/>
      <x:c r="T440" s="20" t="str">
        <x:v>https://www.wongnai.com/restaurants/2014160be-%E0%B8%84%E0%B8%A3%E0%B8%B1%E0%B8%A7%E0%B8%AE%E0%B8%B2%E0%B8%A5%E0%B8%B2%E0%B8%A5-%E0%B8%A3%E0%B8%B9%E0%B8%AA%E0%B8%B0%E0%B8%A1%E0%B8%B4%E0%B9%81%E0%B8%A5</x:v>
      </x:c>
      <x:c r="U440" s="20" t="str"/>
      <x:c r="V440" s="20" t="str"/>
      <x:c r="W440" s="20" t="str"/>
      <x:c r="X440" s="20" t="str"/>
      <x:c r="Y440" s="20" t="str">
        <x:v>https://www.google.com/maps/search/?api=1&amp;query=%E0%B8%84%E0%B8%A3%E0%B8%B1%E0%B8%A7%E0%B8%AE%E0%B8%B2%E0%B8%A5%E0%B8%B2%E0%B8%A5%20%E0%B8%A3%E0%B8%B9%E0%B8%AA%E0%B8%B0%E0%B8%A1%E0%B8%B4%E0%B9%81%E0%B8%A5%20%E0%B8%9B%E0%B8%B1%E0%B8%95%E0%B8%95%E0%B8%B2%E0%B8%99%E0%B8%B5</x:v>
      </x:c>
      <x:c r="Z440" s="56" t="str"/>
      <x:c r="AA440" s="56" t="str"/>
      <x:c r="AB440" s="57" t="str"/>
      <x:c r="AC440" s="20" t="str">
        <x:v>https://www.wongnai.com/restaurants/2014160be-%E0%B8%84%E0%B8%A3%E0%B8%B1%E0%B8%A7%E0%B8%AE%E0%B8%B2%E0%B8%A5%E0%B8%B2%E0%B8%A5-%E0%B8%A3%E0%B8%B9%E0%B8%AA%E0%B8%B0%E0%B8%A1%E0%B8%B4%E0%B9%81%E0%B8%A5</x:v>
      </x:c>
    </x:row>
    <x:row r="441" ht="88" customHeight="1">
      <x:c r="A441" s="54" t="n">
        <x:v>433</x:v>
      </x:c>
      <x:c r="B441" s="20" t="str">
        <x:v>ซุปช่อมาลี</x:v>
      </x:c>
      <x:c r="C441" s="20" t="str">
        <x:v>ปัตตานี</x:v>
      </x:c>
      <x:c r="D441" s="20" t="str">
        <x:v>อาหาร</x:v>
      </x:c>
      <x:c r="E441" s="20" t="str">
        <x:v>พบข้อมูลชื่อตรงจาก ร้านซุปเจ้าดัง เปิดมาเกือบ 30 ปี "เมาะซู ซุปช่อมาลี" - YouTube; เป็นหลักฐานตัวตน/ประเภท ยังไม่ยืนยันบริการมุสลิมครบเกณฑ์</x:v>
      </x:c>
      <x:c r="F441" s="20" t="str">
        <x:v>ไม่ทราบ</x:v>
      </x:c>
      <x:c r="G441" s="20" t="str">
        <x:v>ยังไม่ยืนยันใบรับรองและวันหมดอายุ</x:v>
      </x:c>
      <x:c r="H441" s="20" t="str">
        <x:v>ตรวจการเปิด ตัวตนสาขา ช่องทางติดต่อ และเงื่อนไขบังคับตามประเภท</x:v>
      </x:c>
      <x:c r="I441" s="20" t="str">
        <x:v>ยังไม่ยืนยันที่อยู่ละเอียด ดูลิงก์แหล่งข้อมูลและ Google Maps</x:v>
      </x:c>
      <x:c r="J441" s="21" t="str">
        <x:v>ยังไม่พบหรือยังไม่ยืนยัน</x:v>
      </x:c>
      <x:c r="K441" s="51" t="str">
        <x:v>https://www.youtube.com/watch?v=kjVzERq4m7M</x:v>
      </x:c>
      <x:c r="L441" s="51" t="str">
        <x:v>https://www.wongnai.com/reviews/45db127e081e494db8f1ef42e2592022</x:v>
      </x:c>
      <x:c r="M441" s="20" t="str">
        <x:v>พบแหล่งต่างเว็บไซต์ รีวิว เมาะซู ซุปช่อมาลี - ซุปช่อมาลีรสเด็ดแห่งปัตตานี</x:v>
      </x:c>
      <x:c r="N441" s="28" t="n">
        <x:v>46316</x:v>
      </x:c>
      <x:c r="O441" s="57" t="str">
        <x:v>ยังไม่ตรวจ</x:v>
      </x:c>
      <x:c r="P441" s="57" t="str">
        <x:v>ยังไม่ติดต่อ</x:v>
      </x:c>
      <x:c r="Q441" s="20" t="str">
        <x:v>R26-341</x:v>
      </x:c>
      <x:c r="R441" s="20" t="str"/>
      <x:c r="S441" s="20" t="str"/>
      <x:c r="T441" s="20" t="str">
        <x:v>https://www.youtube.com/watch?v=kjVzERq4m7M</x:v>
      </x:c>
      <x:c r="U441" s="20" t="str"/>
      <x:c r="V441" s="20" t="str"/>
      <x:c r="W441" s="20" t="str"/>
      <x:c r="X441" s="20" t="str"/>
      <x:c r="Y441" s="20" t="str">
        <x:v>https://www.google.com/maps/search/?api=1&amp;query=%E0%B8%8B%E0%B8%B8%E0%B8%9B%E0%B8%8A%E0%B9%88%E0%B8%AD%E0%B8%A1%E0%B8%B2%E0%B8%A5%E0%B8%B5%20%E0%B8%9B%E0%B8%B1%E0%B8%95%E0%B8%95%E0%B8%B2%E0%B8%99%E0%B8%B5</x:v>
      </x:c>
      <x:c r="Z441" s="56" t="str"/>
      <x:c r="AA441" s="56" t="str"/>
      <x:c r="AB441" s="57" t="str"/>
      <x:c r="AC441" s="20" t="str">
        <x:v>https://www.youtube.com/watch?v=kjVzERq4m7M</x:v>
      </x:c>
    </x:row>
    <x:row r="442" ht="88" customHeight="1">
      <x:c r="A442" s="54" t="n">
        <x:v>434</x:v>
      </x:c>
      <x:c r="B442" s="20" t="str">
        <x:v>ถังถังหม่าล่าทัง สาขาปัตตานี</x:v>
      </x:c>
      <x:c r="C442" s="20" t="str">
        <x:v>ปัตตานี</x:v>
      </x:c>
      <x:c r="D442" s="20" t="str">
        <x:v>ร้านอาหาร</x:v>
      </x:c>
      <x:c r="E442" s="20" t="str">
        <x:v>มีรายชื่อใน Makan Halal Guide; ช่องห้องละหมาดไม่ได้ทำเครื่องหมายว่ามี</x:v>
      </x:c>
      <x:c r="F442" s="20" t="str">
        <x:v>แหล่งเดิมไม่ระบุว่ามี</x:v>
      </x:c>
      <x:c r="G442" s="20" t="str">
        <x:v>ยังไม่พบเอกสารรับรองและวันหมดอายุ</x:v>
      </x:c>
      <x:c r="H442" s="20" t="str">
        <x:v>ยังต้องตรวจข้อมูลบริการมุสลิมและเงื่อนไขบังคับตามประเภท</x:v>
      </x:c>
      <x:c r="I442" s="20" t="str">
        <x:v>31 ถนนสามัคคีสาย ข ต.สะบารัง อ.เมือง ปัตตานี 94000</x:v>
      </x:c>
      <x:c r="J442" s="21" t="str">
        <x:v>0887911816</x:v>
      </x:c>
      <x:c r="K442" s="51" t="str">
        <x:v>https://makanhalalguide.com/shop/detail/5805</x:v>
      </x:c>
      <x:c r="L442" s="51" t="str">
        <x:v>https://www.wongnai.com/restaurants/3224521sm-%E0%B8%AB%E0%B8%A1%E0%B9%88%E0%B8%B2%E0%B8%A5%E0%B9%88%E0%B8%B2%E0%B8%96%E0%B8%B1%E0%B8%87%E0%B8%9B%E0%B8%B1%E0%B8%95%E0%B8%95%E0%B8%B2%E0%B8%99%E0%B8%B5-%E0%B8%AB%E0%B8%A1%E0%B9%88%E0%B8%B2%E0%B8%A5%E0%B9%88%E0%B8%B2%E0%B8%96%E0%B8%B1%E0%B8%87%E0%B8%AA%E0%B8%B2%E0%B8%82%E0%B8%B2%E0%B8%9B%E0%B8%B1%E0%B8%95%E0%B8%95%E0%B8%B2%E0%B8%99%E0%B8%B5</x:v>
      </x:c>
      <x:c r="M442" s="20" t="str">
        <x:v>พบผลค้นชื่อสัมพันธ์เพิ่มเติม ต้องยืนยันสาขาและเจ้าของช่องทาง</x:v>
      </x:c>
      <x:c r="N442" s="28" t="n">
        <x:v>46316</x:v>
      </x:c>
      <x:c r="O442" s="57" t="str">
        <x:v>ยังไม่ตรวจ</x:v>
      </x:c>
      <x:c r="P442" s="57" t="str">
        <x:v>ยังไม่ติดต่อ</x:v>
      </x:c>
      <x:c r="Q442" s="20" t="str">
        <x:v>SRC-MAKAN-5805</x:v>
      </x:c>
      <x:c r="R442" s="20" t="str"/>
      <x:c r="S442" s="20" t="str"/>
      <x:c r="T442" s="20" t="str">
        <x:v>https://makanhalalguide.com/shop/detail/5805</x:v>
      </x:c>
      <x:c r="U442" s="20" t="str"/>
      <x:c r="V442" s="20" t="str"/>
      <x:c r="W442" s="20" t="str"/>
      <x:c r="X442" s="20" t="str"/>
      <x:c r="Y442" s="20" t="str">
        <x:v>https://www.google.com/maps/search/?api=1&amp;query=%E0%B8%96%E0%B8%B1%E0%B8%87%E0%B8%96%E0%B8%B1%E0%B8%87%E0%B8%AB%E0%B8%A1%E0%B9%88%E0%B8%B2%E0%B8%A5%E0%B9%88%E0%B8%B2%E0%B8%97%E0%B8%B1%E0%B8%87%20%E0%B8%AA%E0%B8%B2%E0%B8%82%E0%B8%B2%E0%B8%9B%E0%B8%B1%E0%B8%95%E0%B8%95%E0%B8%B2%E0%B8%99%E0%B8%B5%20%E0%B8%9B%E0%B8%B1%E0%B8%95%E0%B8%95%E0%B8%B2%E0%B8%99%E0%B8%B5</x:v>
      </x:c>
      <x:c r="Z442" s="56" t="n">
        <x:v>6.8733302</x:v>
      </x:c>
      <x:c r="AA442" s="56" t="n">
        <x:v>101.2490787</x:v>
      </x:c>
      <x:c r="AB442" s="57" t="str"/>
      <x:c r="AC442" s="20" t="str">
        <x:v>https://makanhalalguide.com/shop/detail/5805</x:v>
      </x:c>
    </x:row>
    <x:row r="443" ht="88" customHeight="1">
      <x:c r="A443" s="54" t="n">
        <x:v>435</x:v>
      </x:c>
      <x:c r="B443" s="20" t="str">
        <x:v>โรตี บังหนูด</x:v>
      </x:c>
      <x:c r="C443" s="20" t="str">
        <x:v>ปัตตานี</x:v>
      </x:c>
      <x:c r="D443" s="20" t="str">
        <x:v>คาเฟ่และร้านของหวาน</x:v>
      </x:c>
      <x:c r="E443" s="20" t="str">
        <x:v>มีรายชื่อใน Makan Halal Guide; ช่องห้องละหมาดไม่ได้ทำเครื่องหมายว่ามี</x:v>
      </x:c>
      <x:c r="F443" s="20" t="str">
        <x:v>แหล่งเดิมไม่ระบุว่ามี</x:v>
      </x:c>
      <x:c r="G443" s="20" t="str">
        <x:v>ยังไม่พบเอกสารรับรองและวันหมดอายุ</x:v>
      </x:c>
      <x:c r="H443" s="20" t="str">
        <x:v>ยังต้องตรวจข้อมูลบริการมุสลิมและเงื่อนไขบังคับตามประเภท</x:v>
      </x:c>
      <x:c r="I443" s="20" t="str">
        <x:v>วงเวียน หน้า มอ ปัตตานี ตำบล รูสะมิแล อำเภอเมืองปัตตานี ปัตตานี 94000</x:v>
      </x:c>
      <x:c r="J443" s="21" t="str">
        <x:v>0988943225</x:v>
      </x:c>
      <x:c r="K443" s="51" t="str">
        <x:v>https://makanhalalguide.com/shop/detail/6359</x:v>
      </x:c>
      <x:c r="L443" s="51" t="str">
        <x:v>https://www.wongnai.com/restaurants/134150Qx-%E0%B8%A3%E0%B9%89%E0%B8%B2%E0%B8%99%E0%B8%9A%E0%B8%B1%E0%B8%87%E0%B8%AB%E0%B8%99%E0%B8%B9%E0%B8%94/reviews</x:v>
      </x:c>
      <x:c r="M443" s="20" t="str">
        <x:v>พบผลค้นชื่อสัมพันธ์เพิ่มเติม ต้องยืนยันสาขาและเจ้าของช่องทาง</x:v>
      </x:c>
      <x:c r="N443" s="28" t="n">
        <x:v>46316</x:v>
      </x:c>
      <x:c r="O443" s="57" t="str">
        <x:v>ยังไม่ตรวจ</x:v>
      </x:c>
      <x:c r="P443" s="57" t="str">
        <x:v>ยังไม่ติดต่อ</x:v>
      </x:c>
      <x:c r="Q443" s="20" t="str">
        <x:v>SRC-MAKAN-6359</x:v>
      </x:c>
      <x:c r="R443" s="20" t="str"/>
      <x:c r="S443" s="20" t="str"/>
      <x:c r="T443" s="20" t="str">
        <x:v>https://makanhalalguide.com/shop/detail/6359</x:v>
      </x:c>
      <x:c r="U443" s="20" t="str"/>
      <x:c r="V443" s="20" t="str"/>
      <x:c r="W443" s="20" t="str"/>
      <x:c r="X443" s="20" t="str"/>
      <x:c r="Y443" s="20" t="str">
        <x:v>https://www.google.com/maps/search/?api=1&amp;query=%E0%B9%82%E0%B8%A3%E0%B8%95%E0%B8%B5%20%E0%B8%9A%E0%B8%B1%E0%B8%87%E0%B8%AB%E0%B8%99%E0%B8%B9%E0%B8%94%20%E0%B8%9B%E0%B8%B1%E0%B8%95%E0%B8%95%E0%B8%B2%E0%B8%99%E0%B8%B5</x:v>
      </x:c>
      <x:c r="Z443" s="56" t="n">
        <x:v>6.8768603</x:v>
      </x:c>
      <x:c r="AA443" s="56" t="n">
        <x:v>101.2319548</x:v>
      </x:c>
      <x:c r="AB443" s="57" t="str"/>
      <x:c r="AC443" s="20" t="str">
        <x:v>https://makanhalalguide.com/shop/detail/6359</x:v>
      </x:c>
    </x:row>
    <x:row r="444" ht="88" customHeight="1">
      <x:c r="A444" s="54" t="n">
        <x:v>436</x:v>
      </x:c>
      <x:c r="B444" s="20" t="str">
        <x:v>โรตีแวมะ</x:v>
      </x:c>
      <x:c r="C444" s="20" t="str">
        <x:v>ปัตตานี</x:v>
      </x:c>
      <x:c r="D444" s="20" t="str">
        <x:v>อาหาร</x:v>
      </x:c>
      <x:c r="E444" s="20" t="str">
        <x:v>พบข้อมูลชื่อตรงจาก โรตีแวมะ ปัตตานี - YouTube; เป็นหลักฐานตัวตน/ประเภท ยังไม่ยืนยันบริการมุสลิมครบเกณฑ์</x:v>
      </x:c>
      <x:c r="F444" s="20" t="str">
        <x:v>ไม่ทราบ</x:v>
      </x:c>
      <x:c r="G444" s="20" t="str">
        <x:v>ยังไม่ยืนยันใบรับรองและวันหมดอายุ</x:v>
      </x:c>
      <x:c r="H444" s="20" t="str">
        <x:v>ตรวจการเปิด ตัวตนสาขา ช่องทางติดต่อ และเงื่อนไขบังคับตามประเภท</x:v>
      </x:c>
      <x:c r="I444" s="20" t="str">
        <x:v>ยังไม่ยืนยันที่อยู่ละเอียด ดูลิงก์แหล่งข้อมูลและ Google Maps</x:v>
      </x:c>
      <x:c r="J444" s="21" t="str">
        <x:v>ยังไม่พบหรือยังไม่ยืนยัน</x:v>
      </x:c>
      <x:c r="K444" s="51" t="str">
        <x:v>https://www.youtube.com/watch?v=vFL7oXqUQdc</x:v>
      </x:c>
      <x:c r="L444" s="51" t="str">
        <x:v>https://www.wongnai.com/restaurants/1041346Dz-%E0%B9%81%E0%B8%A7%E0%B8%A1%E0%B8%B2%E0%B9%80%E0%B8%A3%E0%B8%B5%E0%B8%A2%E0%B8%99%E0%B8%B5-%E0%B9%82%E0%B8%A3%E0%B8%95%E0%B8%B5-%E0%B9%81%E0%B8%A7%E0%B8%A1%E0%B8%B0%E0%B8%AA%E0%B8%B2%E0%B8%82%E0%B8%B22</x:v>
      </x:c>
      <x:c r="M444" s="20" t="str">
        <x:v>พบแหล่งต่างเว็บไซต์ ร้าน แวมาเรียนี โรตี แวมะสาขา2 | รีวิวร้านอาหาร</x:v>
      </x:c>
      <x:c r="N444" s="28" t="n">
        <x:v>46316</x:v>
      </x:c>
      <x:c r="O444" s="57" t="str">
        <x:v>ยังไม่ตรวจ</x:v>
      </x:c>
      <x:c r="P444" s="57" t="str">
        <x:v>ยังไม่ติดต่อ</x:v>
      </x:c>
      <x:c r="Q444" s="20" t="str">
        <x:v>R26-340</x:v>
      </x:c>
      <x:c r="R444" s="20" t="str"/>
      <x:c r="S444" s="20" t="str"/>
      <x:c r="T444" s="20" t="str">
        <x:v>https://www.youtube.com/watch?v=vFL7oXqUQdc</x:v>
      </x:c>
      <x:c r="U444" s="20" t="str"/>
      <x:c r="V444" s="20" t="str"/>
      <x:c r="W444" s="20" t="str"/>
      <x:c r="X444" s="20" t="str"/>
      <x:c r="Y444" s="20" t="str">
        <x:v>https://www.google.com/maps/search/?api=1&amp;query=%E0%B9%82%E0%B8%A3%E0%B8%95%E0%B8%B5%E0%B9%81%E0%B8%A7%E0%B8%A1%E0%B8%B0%20%E0%B8%9B%E0%B8%B1%E0%B8%95%E0%B8%95%E0%B8%B2%E0%B8%99%E0%B8%B5</x:v>
      </x:c>
      <x:c r="Z444" s="56" t="str"/>
      <x:c r="AA444" s="56" t="str"/>
      <x:c r="AB444" s="57" t="str"/>
      <x:c r="AC444" s="20" t="str">
        <x:v>https://www.youtube.com/watch?v=vFL7oXqUQdc</x:v>
      </x:c>
    </x:row>
    <x:row r="445" ht="88" customHeight="1">
      <x:c r="A445" s="54" t="n">
        <x:v>437</x:v>
      </x:c>
      <x:c r="B445" s="20" t="str">
        <x:v>สวนสมเด็จพระศรีนครินทร์ ปัตตานี</x:v>
      </x:c>
      <x:c r="C445" s="20" t="str">
        <x:v>ปัตตานี</x:v>
      </x:c>
      <x:c r="D445" s="20" t="str">
        <x:v>ธรรมชาติ</x:v>
      </x:c>
      <x:c r="E445" s="20" t="str">
        <x:v>พบข้อมูลชื่อตรงจาก สวนสมเด็จพระศรีนครินทร์; เป็นหลักฐานตัวตน/ประเภท ยังไม่ยืนยันบริการมุสลิมครบเกณฑ์</x:v>
      </x:c>
      <x:c r="F445" s="20" t="str">
        <x:v>ไม่ทราบ</x:v>
      </x:c>
      <x:c r="G445" s="20" t="str">
        <x:v>ยังไม่ยืนยันใบรับรองและวันหมดอายุ</x:v>
      </x:c>
      <x:c r="H445" s="20" t="str">
        <x:v>ตรวจการเปิด ตัวตนสาขา ช่องทางติดต่อ และเงื่อนไขบังคับตามประเภท</x:v>
      </x:c>
      <x:c r="I445" s="20" t="str">
        <x:v>ยังไม่ยืนยันที่อยู่ละเอียด ดูลิงก์แหล่งข้อมูลและ Google Maps</x:v>
      </x:c>
      <x:c r="J445" s="21" t="str">
        <x:v>ยังไม่พบหรือยังไม่ยืนยัน</x:v>
      </x:c>
      <x:c r="K445" s="51" t="str">
        <x:v>https://www.thailandtourismdirectory.go.th/attraction/1915</x:v>
      </x:c>
      <x:c r="L445" s="51" t="str">
        <x:v>https://radiopattani.prd.go.th/th/content/category/detail/id/1038/iid/523041</x:v>
      </x:c>
      <x:c r="M445" s="20" t="str">
        <x:v>พบแหล่งต่างเว็บไซต์ นายอารีย์ วงศ์อารยะ ประธานกรรมการบริหารมูลนิธิสวนสมเด็จพระศรีนครินทร์ในพระราชูปถัมภ์ฯ พร้อมคณะ ประชุมติดตามความคืบหน้าการสร้างหอเฉลิมพระเกียรติฯ ภายในสวนสมเด็จพระศรีนครินทร์ ปัตตานี</x:v>
      </x:c>
      <x:c r="N445" s="28" t="n">
        <x:v>46316</x:v>
      </x:c>
      <x:c r="O445" s="57" t="str">
        <x:v>ยังไม่ตรวจ</x:v>
      </x:c>
      <x:c r="P445" s="57" t="str">
        <x:v>ยังไม่ติดต่อ</x:v>
      </x:c>
      <x:c r="Q445" s="20" t="str">
        <x:v>R26-195</x:v>
      </x:c>
      <x:c r="R445" s="20" t="str"/>
      <x:c r="S445" s="20" t="str"/>
      <x:c r="T445" s="20" t="str">
        <x:v>https://www.thailandtourismdirectory.go.th/attraction/1915</x:v>
      </x:c>
      <x:c r="U445" s="20" t="str"/>
      <x:c r="V445" s="20" t="str"/>
      <x:c r="W445" s="20" t="str"/>
      <x:c r="X445" s="20" t="str"/>
      <x:c r="Y445" s="20" t="str">
        <x:v>https://www.google.com/maps/search/?api=1&amp;query=%E0%B8%AA%E0%B8%A7%E0%B8%99%E0%B8%AA%E0%B8%A1%E0%B9%80%E0%B8%94%E0%B9%87%E0%B8%88%E0%B8%9E%E0%B8%A3%E0%B8%B0%E0%B8%A8%E0%B8%A3%E0%B8%B5%E0%B8%99%E0%B8%84%E0%B8%A3%E0%B8%B4%E0%B8%99%E0%B8%97%E0%B8%A3%E0%B9%8C%20%E0%B8%9B%E0%B8%B1%E0%B8%95%E0%B8%95%E0%B8%B2%E0%B8%99%E0%B8%B5%20%E0%B8%9B%E0%B8%B1%E0%B8%95%E0%B8%95%E0%B8%B2%E0%B8%99%E0%B8%B5</x:v>
      </x:c>
      <x:c r="Z445" s="56" t="n">
        <x:v>6.89375</x:v>
      </x:c>
      <x:c r="AA445" s="56" t="n">
        <x:v>101.245301</x:v>
      </x:c>
      <x:c r="AB445" s="57" t="str"/>
      <x:c r="AC445" s="20" t="str">
        <x:v>https://www.thailandtourismdirectory.go.th/attraction/1915</x:v>
      </x:c>
    </x:row>
    <x:row r="446" ht="88" customHeight="1">
      <x:c r="A446" s="54" t="n">
        <x:v>438</x:v>
      </x:c>
      <x:c r="B446" s="20" t="str">
        <x:v>หาดแฆแฆ</x:v>
      </x:c>
      <x:c r="C446" s="20" t="str">
        <x:v>ปัตตานี</x:v>
      </x:c>
      <x:c r="D446" s="20" t="str">
        <x:v>ธรรมชาติ</x:v>
      </x:c>
      <x:c r="E446" s="20" t="str">
        <x:v>พบข้อมูลชื่อตรงจาก หาดแฆแฆ - สำนักงานการท่องเที่ยวและกีฬาจังหวัดปัตตานี; เป็นหลักฐานตัวตน/ประเภท ยังไม่ยืนยันบริการมุสลิมครบเกณฑ์</x:v>
      </x:c>
      <x:c r="F446" s="20" t="str">
        <x:v>ไม่ทราบ</x:v>
      </x:c>
      <x:c r="G446" s="20" t="str">
        <x:v>ยังไม่ยืนยันใบรับรองและวันหมดอายุ</x:v>
      </x:c>
      <x:c r="H446" s="20" t="str">
        <x:v>ตรวจการเปิด ตัวตนสาขา ช่องทางติดต่อ และเงื่อนไขบังคับตามประเภท</x:v>
      </x:c>
      <x:c r="I446" s="20" t="str">
        <x:v>ยังไม่ยืนยันที่อยู่ละเอียด ดูลิงก์แหล่งข้อมูลและ Google Maps</x:v>
      </x:c>
      <x:c r="J446" s="21" t="str">
        <x:v>ยังไม่พบหรือยังไม่ยืนยัน</x:v>
      </x:c>
      <x:c r="K446" s="51" t="str">
        <x:v>https://pattani.mots.go.th/news/378</x:v>
      </x:c>
      <x:c r="L446" s="51" t="str">
        <x:v>https://www.dmcr.go.th/detailAll/52125/nws/259</x:v>
      </x:c>
      <x:c r="M446" s="20" t="str">
        <x:v>พบแหล่งต่างเว็บไซต์ แนวชายฝั่งบ้านน้ำบ่อ หาดแฆแฆ สวยสมดุล - กรมทรัพยากรทางทะเลและชายฝั่ง Department of Marine and Coastal Resources, Thailand</x:v>
      </x:c>
      <x:c r="N446" s="28" t="n">
        <x:v>46316</x:v>
      </x:c>
      <x:c r="O446" s="57" t="str">
        <x:v>ยังไม่ตรวจ</x:v>
      </x:c>
      <x:c r="P446" s="57" t="str">
        <x:v>ยังไม่ติดต่อ</x:v>
      </x:c>
      <x:c r="Q446" s="20" t="str">
        <x:v>R26-193</x:v>
      </x:c>
      <x:c r="R446" s="20" t="str"/>
      <x:c r="S446" s="20" t="str"/>
      <x:c r="T446" s="20" t="str">
        <x:v>https://pattani.mots.go.th/news/378</x:v>
      </x:c>
      <x:c r="U446" s="20" t="str"/>
      <x:c r="V446" s="20" t="str"/>
      <x:c r="W446" s="20" t="str"/>
      <x:c r="X446" s="20" t="str"/>
      <x:c r="Y446" s="20" t="str">
        <x:v>https://www.google.com/maps/search/?api=1&amp;query=%E0%B8%AB%E0%B8%B2%E0%B8%94%E0%B9%81%E0%B8%86%E0%B9%81%E0%B8%86%20%E0%B8%9B%E0%B8%B1%E0%B8%95%E0%B8%95%E0%B8%B2%E0%B8%99%E0%B8%B5</x:v>
      </x:c>
      <x:c r="Z446" s="56" t="n">
        <x:v>6.867796</x:v>
      </x:c>
      <x:c r="AA446" s="56" t="n">
        <x:v>101.246979</x:v>
      </x:c>
      <x:c r="AB446" s="57" t="str"/>
      <x:c r="AC446" s="20" t="str">
        <x:v>https://pattani.mots.go.th/news/378</x:v>
      </x:c>
    </x:row>
    <x:row r="447" ht="88" customHeight="1">
      <x:c r="A447" s="54" t="n">
        <x:v>439</x:v>
      </x:c>
      <x:c r="B447" s="20" t="str">
        <x:v>แหลมตาชี</x:v>
      </x:c>
      <x:c r="C447" s="20" t="str">
        <x:v>ปัตตานี</x:v>
      </x:c>
      <x:c r="D447" s="20" t="str">
        <x:v>ธรรมชาติ</x:v>
      </x:c>
      <x:c r="E447" s="20" t="str">
        <x:v>พบข้อมูลชื่อตรงจาก หาดทรายที่แหลมตาชีหรือแหลมโพธิ์; เป็นหลักฐานตัวตน/ประเภท ยังไม่ยืนยันบริการมุสลิมครบเกณฑ์</x:v>
      </x:c>
      <x:c r="F447" s="20" t="str">
        <x:v>ไม่ทราบ</x:v>
      </x:c>
      <x:c r="G447" s="20" t="str">
        <x:v>ยังไม่ยืนยันใบรับรองและวันหมดอายุ</x:v>
      </x:c>
      <x:c r="H447" s="20" t="str">
        <x:v>ตรวจการเปิด ตัวตนสาขา ช่องทางติดต่อ และเงื่อนไขบังคับตามประเภท</x:v>
      </x:c>
      <x:c r="I447" s="20" t="str">
        <x:v>ยังไม่ยืนยันที่อยู่ละเอียด ดูลิงก์แหล่งข้อมูลและ Google Maps</x:v>
      </x:c>
      <x:c r="J447" s="21" t="str">
        <x:v>ยังไม่พบหรือยังไม่ยืนยัน</x:v>
      </x:c>
      <x:c r="K447" s="51" t="str">
        <x:v>https://www.pattanipao.go.th/travel_top/detail/9/data.html</x:v>
      </x:c>
      <x:c r="L447" s="51" t="str">
        <x:v>https://www.thailandtourismdirectory.go.th/attraction/100304</x:v>
      </x:c>
      <x:c r="M447" s="20" t="str">
        <x:v>พบแหล่งต่างเว็บไซต์ แหลมตาชี</x:v>
      </x:c>
      <x:c r="N447" s="28" t="n">
        <x:v>46316</x:v>
      </x:c>
      <x:c r="O447" s="57" t="str">
        <x:v>ยังไม่ตรวจ</x:v>
      </x:c>
      <x:c r="P447" s="57" t="str">
        <x:v>ยังไม่ติดต่อ</x:v>
      </x:c>
      <x:c r="Q447" s="20" t="str">
        <x:v>R26-194</x:v>
      </x:c>
      <x:c r="R447" s="20" t="str"/>
      <x:c r="S447" s="20" t="str"/>
      <x:c r="T447" s="20" t="str">
        <x:v>https://www.pattanipao.go.th/travel_top/detail/9/data.html</x:v>
      </x:c>
      <x:c r="U447" s="20" t="str"/>
      <x:c r="V447" s="20" t="str"/>
      <x:c r="W447" s="20" t="str"/>
      <x:c r="X447" s="20" t="str"/>
      <x:c r="Y447" s="20" t="str">
        <x:v>https://www.google.com/maps/search/?api=1&amp;query=%E0%B9%81%E0%B8%AB%E0%B8%A5%E0%B8%A1%E0%B8%95%E0%B8%B2%E0%B8%8A%E0%B8%B5%20%E0%B8%9B%E0%B8%B1%E0%B8%95%E0%B8%95%E0%B8%B2%E0%B8%99%E0%B8%B5</x:v>
      </x:c>
      <x:c r="Z447" s="56" t="n">
        <x:v>6.935858</x:v>
      </x:c>
      <x:c r="AA447" s="56" t="n">
        <x:v>101.240581</x:v>
      </x:c>
      <x:c r="AB447" s="57" t="str"/>
      <x:c r="AC447" s="20" t="str">
        <x:v>https://www.pattanipao.go.th/travel_top/detail/9/data.html</x:v>
      </x:c>
    </x:row>
    <x:row r="448" ht="88" customHeight="1">
      <x:c r="A448" s="54" t="n">
        <x:v>440</x:v>
      </x:c>
      <x:c r="B448" s="20" t="str">
        <x:v>ชุมชนบ้านบางปู ปัตตานี</x:v>
      </x:c>
      <x:c r="C448" s="20" t="str">
        <x:v>ปัตตานี</x:v>
      </x:c>
      <x:c r="D448" s="20" t="str">
        <x:v>ชุมชน</x:v>
      </x:c>
      <x:c r="E448" s="20" t="str">
        <x:v>พบข้อมูลชื่อตรงจาก 86 บ้านบางปู ปัตตานี; เป็นหลักฐานตัวตน/ประเภท ยังไม่ยืนยันบริการมุสลิมครบเกณฑ์</x:v>
      </x:c>
      <x:c r="F448" s="20" t="str">
        <x:v>ไม่ทราบ</x:v>
      </x:c>
      <x:c r="G448" s="20" t="str">
        <x:v>ยังไม่ยืนยันใบรับรองและวันหมดอายุ</x:v>
      </x:c>
      <x:c r="H448" s="20" t="str">
        <x:v>ตรวจการเปิด ตัวตนสาขา ช่องทางติดต่อ และเงื่อนไขบังคับตามประเภท</x:v>
      </x:c>
      <x:c r="I448" s="20" t="str">
        <x:v>ยังไม่ยืนยันที่อยู่ละเอียด ดูลิงก์แหล่งข้อมูลและ Google Maps</x:v>
      </x:c>
      <x:c r="J448" s="21" t="str">
        <x:v>ยังไม่พบหรือยังไม่ยืนยัน</x:v>
      </x:c>
      <x:c r="K448" s="51" t="str">
        <x:v>https://www.bloggertravelista.com/ebook/%E0%B9%80%E0%B8%A5%E0%B9%88%E0%B8%B2%E0%B9%80%E0%B8%A3%E0%B8%B7%E0%B9%88%E0%B8%AD%E0%B8%87%E0%B9%80%E0%B8%A1%E0%B8%B7%E0%B8%AD%E0%B8%87%E0%B9%84%E0%B8%97%E0%B8%A2%E0%B9%83%E0%B8%99%E0%B8%A7%E0%B8%B4%E0%B8%96%E0%B8%B5%E0%B8%8A%E0%B8%B8%E0%B8%A1%E0%B8%8A%E0%B8%99.pdf</x:v>
      </x:c>
      <x:c r="L448" s="51" t="str">
        <x:v>https://602-17-44468.blogspot.com/2020/03/25-2542-16-4.html</x:v>
      </x:c>
      <x:c r="M448" s="20" t="str">
        <x:v>พบผลค้นชื่อสัมพันธ์เพิ่มเติม ต้องยืนยันสาขาและเจ้าของช่องทาง</x:v>
      </x:c>
      <x:c r="N448" s="28" t="n">
        <x:v>46316</x:v>
      </x:c>
      <x:c r="O448" s="57" t="str">
        <x:v>ยังไม่ตรวจ</x:v>
      </x:c>
      <x:c r="P448" s="57" t="str">
        <x:v>ยังไม่ติดต่อ</x:v>
      </x:c>
      <x:c r="Q448" s="20" t="str">
        <x:v>R26-196</x:v>
      </x:c>
      <x:c r="R448" s="20" t="str"/>
      <x:c r="S448" s="20" t="str"/>
      <x:c r="T448" s="20" t="str">
        <x:v>https://www.bloggertravelista.com/ebook/%E0%B9%80%E0%B8%A5%E0%B9%88%E0%B8%B2%E0%B9%80%E0%B8%A3%E0%B8%B7%E0%B9%88%E0%B8%AD%E0%B8%87%E0%B9%80%E0%B8%A1%E0%B8%B7%E0%B8%AD%E0%B8%87%E0%B9%84%E0%B8%97%E0%B8%A2%E0%B9%83%E0%B8%99%E0%B8%A7%E0%B8%B4%E0%B8%96%E0%B8%B5%E0%B8%8A%E0%B8%B8%E0%B8%A1%E0%B8%8A%E0%B8%99.pdf</x:v>
      </x:c>
      <x:c r="U448" s="20" t="str"/>
      <x:c r="V448" s="20" t="str"/>
      <x:c r="W448" s="20" t="str"/>
      <x:c r="X448" s="20" t="str"/>
      <x:c r="Y448" s="20" t="str">
        <x:v>https://www.google.com/maps/search/?api=1&amp;query=%E0%B8%8A%E0%B8%B8%E0%B8%A1%E0%B8%8A%E0%B8%99%E0%B8%9A%E0%B9%89%E0%B8%B2%E0%B8%99%E0%B8%9A%E0%B8%B2%E0%B8%87%E0%B8%9B%E0%B8%B9%20%E0%B8%9B%E0%B8%B1%E0%B8%95%E0%B8%95%E0%B8%B2%E0%B8%99%E0%B8%B5%20%E0%B8%9B%E0%B8%B1%E0%B8%95%E0%B8%95%E0%B8%B2%E0%B8%99%E0%B8%B5</x:v>
      </x:c>
      <x:c r="Z448" s="56" t="str"/>
      <x:c r="AA448" s="56" t="str"/>
      <x:c r="AB448" s="57" t="str"/>
      <x:c r="AC448" s="20" t="str">
        <x:v>https://www.bloggertravelista.com/ebook/%E0%B9%80%E0%B8%A5%E0%B9%88%E0%B8%B2%E0%B9%80%E0%B8%A3%E0%B8%B7%E0%B9%88%E0%B8%AD%E0%B8%87%E0%B9%80%E0%B8%A1%E0%B8%B7%E0%B8%AD%E0%B8%87%E0%B9%84%E0%B8%97%E0%B8%A2%E0%B9%83%E0%B8%99%E0%B8%A7%E0%B8%B4%E0%B8%96%E0%B8%B5%E0%B8%8A%E0%B8%B8%E0%B8%A1%E0%B8%8A%E0%B8%99.pdf</x:v>
      </x:c>
    </x:row>
    <x:row r="449" ht="88" customHeight="1">
      <x:c r="A449" s="54" t="n">
        <x:v>441</x:v>
      </x:c>
      <x:c r="B449" s="20" t="str">
        <x:v>ชุมชนบ้านปะเสยะวอ</x:v>
      </x:c>
      <x:c r="C449" s="20" t="str">
        <x:v>ปัตตานี</x:v>
      </x:c>
      <x:c r="D449" s="20" t="str">
        <x:v>ชุมชน</x:v>
      </x:c>
      <x:c r="E449" s="20" t="str">
        <x:v>พบข้อมูลชื่อตรงจาก หมู่บ้านทำเรือกอและ (บ้านปะเสยะวอ); เป็นหลักฐานตัวตน/ประเภท ยังไม่ยืนยันบริการมุสลิมครบเกณฑ์</x:v>
      </x:c>
      <x:c r="F449" s="20" t="str">
        <x:v>ไม่ทราบ</x:v>
      </x:c>
      <x:c r="G449" s="20" t="str">
        <x:v>ยังไม่ยืนยันใบรับรองและวันหมดอายุ</x:v>
      </x:c>
      <x:c r="H449" s="20" t="str">
        <x:v>ตรวจการเปิด ตัวตนสาขา ช่องทางติดต่อ และเงื่อนไขบังคับตามประเภท</x:v>
      </x:c>
      <x:c r="I449" s="20" t="str">
        <x:v>ยังไม่ยืนยันที่อยู่ละเอียด ดูลิงก์แหล่งข้อมูลและ Google Maps</x:v>
      </x:c>
      <x:c r="J449" s="21" t="str">
        <x:v>ยังไม่พบหรือยังไม่ยืนยัน</x:v>
      </x:c>
      <x:c r="K449" s="51" t="str">
        <x:v>https://www.thailandtourismdirectory.go.th/attraction/3552</x:v>
      </x:c>
      <x:c r="L449" s="51" t="str">
        <x:v>https://cbtthailand.dasta.or.th/webapp/relattraction/content/2532/</x:v>
      </x:c>
      <x:c r="M449" s="20" t="str">
        <x:v>พบแหล่งต่างเว็บไซต์ บ้านปะเสยะวอ | CBT Thailand</x:v>
      </x:c>
      <x:c r="N449" s="28" t="n">
        <x:v>46316</x:v>
      </x:c>
      <x:c r="O449" s="57" t="str">
        <x:v>ยังไม่ตรวจ</x:v>
      </x:c>
      <x:c r="P449" s="57" t="str">
        <x:v>ยังไม่ติดต่อ</x:v>
      </x:c>
      <x:c r="Q449" s="20" t="str">
        <x:v>R26-198</x:v>
      </x:c>
      <x:c r="R449" s="20" t="str"/>
      <x:c r="S449" s="20" t="str"/>
      <x:c r="T449" s="20" t="str">
        <x:v>https://www.thailandtourismdirectory.go.th/attraction/3552</x:v>
      </x:c>
      <x:c r="U449" s="20" t="str"/>
      <x:c r="V449" s="20" t="str"/>
      <x:c r="W449" s="20" t="str"/>
      <x:c r="X449" s="20" t="str"/>
      <x:c r="Y449" s="20" t="str">
        <x:v>https://www.google.com/maps/search/?api=1&amp;query=%E0%B8%8A%E0%B8%B8%E0%B8%A1%E0%B8%8A%E0%B8%99%E0%B8%9A%E0%B9%89%E0%B8%B2%E0%B8%99%E0%B8%9B%E0%B8%B0%E0%B9%80%E0%B8%AA%E0%B8%A2%E0%B8%B0%E0%B8%A7%E0%B8%AD%20%E0%B8%9B%E0%B8%B1%E0%B8%95%E0%B8%95%E0%B8%B2%E0%B8%99%E0%B8%B5</x:v>
      </x:c>
      <x:c r="Z449" s="56" t="n">
        <x:v>6.715674</x:v>
      </x:c>
      <x:c r="AA449" s="56" t="n">
        <x:v>101.626023</x:v>
      </x:c>
      <x:c r="AB449" s="57" t="str"/>
      <x:c r="AC449" s="20" t="str">
        <x:v>https://www.thailandtourismdirectory.go.th/attraction/3552</x:v>
      </x:c>
    </x:row>
    <x:row r="450" ht="88" customHeight="1">
      <x:c r="A450" s="54" t="n">
        <x:v>442</x:v>
      </x:c>
      <x:c r="B450" s="20" t="str">
        <x:v>สวนขวัญเมือง</x:v>
      </x:c>
      <x:c r="C450" s="20" t="str">
        <x:v>ยะลา</x:v>
      </x:c>
      <x:c r="D450" s="20" t="str">
        <x:v>ธรรมชาติ</x:v>
      </x:c>
      <x:c r="E450" s="20" t="str">
        <x:v>พบข้อมูลชื่อตรงจาก สวนขวัญเมืองหรือพรุบาโกย - สำนักงานการท่องเที่ยวและกีฬาจังหวัดยะลา; เป็นหลักฐานตัวตน/ประเภท ยังไม่ยืนยันบริการมุสลิมครบเกณฑ์</x:v>
      </x:c>
      <x:c r="F450" s="20" t="str">
        <x:v>ไม่ทราบ</x:v>
      </x:c>
      <x:c r="G450" s="20" t="str">
        <x:v>ยังไม่ยืนยันใบรับรองและวันหมดอายุ</x:v>
      </x:c>
      <x:c r="H450" s="20" t="str">
        <x:v>ตรวจการเปิด ตัวตนสาขา ช่องทางติดต่อ และเงื่อนไขบังคับตามประเภท</x:v>
      </x:c>
      <x:c r="I450" s="20" t="str">
        <x:v>ยังไม่ยืนยันที่อยู่ละเอียด ดูลิงก์แหล่งข้อมูลและ Google Maps</x:v>
      </x:c>
      <x:c r="J450" s="21" t="str">
        <x:v>ยังไม่พบหรือยังไม่ยืนยัน</x:v>
      </x:c>
      <x:c r="K450" s="51" t="str">
        <x:v>https://yala.mots.go.th/news/343</x:v>
      </x:c>
      <x:c r="L450" s="51" t="str">
        <x:v>https://cbtthailand.dasta.or.th/webapp/relattraction/content/1664/</x:v>
      </x:c>
      <x:c r="M450" s="20" t="str">
        <x:v>พบแหล่งต่างเว็บไซต์ สวนขวัญเมือง | CBT Thailand</x:v>
      </x:c>
      <x:c r="N450" s="28" t="n">
        <x:v>46316</x:v>
      </x:c>
      <x:c r="O450" s="57" t="str">
        <x:v>ยังไม่ตรวจ</x:v>
      </x:c>
      <x:c r="P450" s="57" t="str">
        <x:v>ยังไม่ติดต่อ</x:v>
      </x:c>
      <x:c r="Q450" s="20" t="str">
        <x:v>R26-097</x:v>
      </x:c>
      <x:c r="R450" s="20" t="str"/>
      <x:c r="S450" s="20" t="str"/>
      <x:c r="T450" s="20" t="str">
        <x:v>https://yala.mots.go.th/news/343</x:v>
      </x:c>
      <x:c r="U450" s="20" t="str"/>
      <x:c r="V450" s="20" t="str"/>
      <x:c r="W450" s="20" t="str"/>
      <x:c r="X450" s="20" t="str"/>
      <x:c r="Y450" s="20" t="str">
        <x:v>https://www.google.com/maps/search/?api=1&amp;query=%E0%B8%AA%E0%B8%A7%E0%B8%99%E0%B8%82%E0%B8%A7%E0%B8%B1%E0%B8%8D%E0%B9%80%E0%B8%A1%E0%B8%B7%E0%B8%AD%E0%B8%87%20%E0%B8%A2%E0%B8%B0%E0%B8%A5%E0%B8%B2</x:v>
      </x:c>
      <x:c r="Z450" s="56" t="n">
        <x:v>6.542786</x:v>
      </x:c>
      <x:c r="AA450" s="56" t="n">
        <x:v>101.28089</x:v>
      </x:c>
      <x:c r="AB450" s="57" t="str"/>
      <x:c r="AC450" s="20" t="str">
        <x:v>https://yala.mots.go.th/news/343</x:v>
      </x:c>
    </x:row>
    <x:row r="451" ht="88" customHeight="1">
      <x:c r="A451" s="54" t="n">
        <x:v>443</x:v>
      </x:c>
      <x:c r="B451" s="20" t="str">
        <x:v>Yala Bird City Street Art</x:v>
      </x:c>
      <x:c r="C451" s="20" t="str">
        <x:v>ยะลา</x:v>
      </x:c>
      <x:c r="D451" s="20" t="str">
        <x:v>ประวัติ</x:v>
      </x:c>
      <x:c r="E451" s="20" t="str">
        <x:v>พบข้อมูลชื่อตรงจาก YALA Bird CITY STREET ART, Betong, Thailand - Reviews, Ratings, Tips and Why You Should Go – Wanderlog; เป็นหลักฐานตัวตน/ประเภท ยังไม่ยืนยันบริการมุสลิมครบเกณฑ์</x:v>
      </x:c>
      <x:c r="F451" s="20" t="str">
        <x:v>ไม่ทราบ</x:v>
      </x:c>
      <x:c r="G451" s="20" t="str">
        <x:v>ยังไม่ยืนยันใบรับรองและวันหมดอายุ</x:v>
      </x:c>
      <x:c r="H451" s="20" t="str">
        <x:v>ตรวจการเปิด ตัวตนสาขา ช่องทางติดต่อ และเงื่อนไขบังคับตามประเภท</x:v>
      </x:c>
      <x:c r="I451" s="20" t="str">
        <x:v>ยังไม่ยืนยันที่อยู่ละเอียด ดูลิงก์แหล่งข้อมูลและ Google Maps</x:v>
      </x:c>
      <x:c r="J451" s="21" t="str">
        <x:v>ยังไม่พบหรือยังไม่ยืนยัน</x:v>
      </x:c>
      <x:c r="K451" s="51" t="str">
        <x:v>https://wanderlog.com/place/details/329303</x:v>
      </x:c>
      <x:c r="L451" s="51" t="str">
        <x:v>https://in.trip.com/travel-guide/attraction/yala/yala-bird-city-street-art-133527428/</x:v>
      </x:c>
      <x:c r="M451" s="20" t="str">
        <x:v>พบแหล่งต่างเว็บไซต์ YALA Bird CITY STREET ART Tickets [2026] - Promos, Prices, Reviews &amp; Opening Hours | Trip.com</x:v>
      </x:c>
      <x:c r="N451" s="28" t="n">
        <x:v>46316</x:v>
      </x:c>
      <x:c r="O451" s="57" t="str">
        <x:v>ยังไม่ตรวจ</x:v>
      </x:c>
      <x:c r="P451" s="57" t="str">
        <x:v>ยังไม่ติดต่อ</x:v>
      </x:c>
      <x:c r="Q451" s="20" t="str">
        <x:v>R26-094</x:v>
      </x:c>
      <x:c r="R451" s="20" t="str">
        <x:v>Yala Bird City Street Art</x:v>
      </x:c>
      <x:c r="S451" s="20" t="str"/>
      <x:c r="T451" s="20" t="str">
        <x:v>https://wanderlog.com/place/details/329303</x:v>
      </x:c>
      <x:c r="U451" s="20" t="str"/>
      <x:c r="V451" s="20" t="str"/>
      <x:c r="W451" s="20" t="str"/>
      <x:c r="X451" s="20" t="str"/>
      <x:c r="Y451" s="20" t="str">
        <x:v>https://www.google.com/maps/search/?api=1&amp;query=Yala%20Bird%20City%20Street%20Art%20%E0%B8%A2%E0%B8%B0%E0%B8%A5%E0%B8%B2</x:v>
      </x:c>
      <x:c r="Z451" s="56" t="n">
        <x:v>6.558613</x:v>
      </x:c>
      <x:c r="AA451" s="56" t="n">
        <x:v>101.286984</x:v>
      </x:c>
      <x:c r="AB451" s="57" t="str"/>
      <x:c r="AC451" s="20" t="str">
        <x:v>https://wanderlog.com/place/details/329303</x:v>
      </x:c>
    </x:row>
    <x:row r="452" ht="88" customHeight="1">
      <x:c r="A452" s="54" t="n">
        <x:v>444</x:v>
      </x:c>
      <x:c r="B452" s="20" t="str">
        <x:v>มัสยิดกลางยะลา</x:v>
      </x:c>
      <x:c r="C452" s="20" t="str">
        <x:v>ยะลา</x:v>
      </x:c>
      <x:c r="D452" s="20" t="str">
        <x:v>มัสยิด</x:v>
      </x:c>
      <x:c r="E452" s="20" t="str">
        <x:v>พบข้อมูลชื่อตรงจาก ๑๙. มัสยิดกลางจังหวัดยะลา; เป็นหลักฐานตัวตน/ประเภท ยังไม่ยืนยันบริการมุสลิมครบเกณฑ์</x:v>
      </x:c>
      <x:c r="F452" s="20" t="str">
        <x:v>ไม่ทราบ</x:v>
      </x:c>
      <x:c r="G452" s="20" t="str">
        <x:v>ยังไม่ยืนยันใบรับรองและวันหมดอายุ</x:v>
      </x:c>
      <x:c r="H452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452" s="20" t="str">
        <x:v>ยังไม่ยืนยันที่อยู่ละเอียด ดูลิงก์แหล่งข้อมูลและ Google Maps</x:v>
      </x:c>
      <x:c r="J452" s="21" t="str">
        <x:v>ยังไม่พบหรือยังไม่ยืนยัน</x:v>
      </x:c>
      <x:c r="K452" s="51" t="str">
        <x:v>https://yala.industry.go.th/web-upload/74x313b3ac4ee26bcd80fc6d420428093b9/202205/m_page/21299/3317/file_download/e337d4e9a0235aeb663e2afad1c0bbd5.pdf</x:v>
      </x:c>
      <x:c r="L452" s="51" t="str">
        <x:v>https://www.wongnai.com/reviews/3c9bbb957bfb495e9d77824c1e29230a</x:v>
      </x:c>
      <x:c r="M452" s="20" t="str">
        <x:v>พบผลค้นชื่อสัมพันธ์เพิ่มเติม ต้องยืนยันสาขาและเจ้าของช่องทาง</x:v>
      </x:c>
      <x:c r="N452" s="28" t="n">
        <x:v>46316</x:v>
      </x:c>
      <x:c r="O452" s="57" t="str">
        <x:v>ยังไม่ตรวจ</x:v>
      </x:c>
      <x:c r="P452" s="57" t="str">
        <x:v>ยังไม่ติดต่อ</x:v>
      </x:c>
      <x:c r="Q452" s="20" t="str">
        <x:v>R26-095</x:v>
      </x:c>
      <x:c r="R452" s="20" t="str"/>
      <x:c r="S452" s="20" t="str"/>
      <x:c r="T452" s="20" t="str">
        <x:v>https://yala.industry.go.th/web-upload/74x313b3ac4ee26bcd80fc6d420428093b9/202205/m_page/21299/3317/file_download/e337d4e9a0235aeb663e2afad1c0bbd5.pdf</x:v>
      </x:c>
      <x:c r="U452" s="20" t="str"/>
      <x:c r="V452" s="20" t="str"/>
      <x:c r="W452" s="20" t="str"/>
      <x:c r="X452" s="20" t="str"/>
      <x:c r="Y452" s="20" t="str">
        <x:v>https://www.google.com/maps/search/?api=1&amp;query=%E0%B8%A1%E0%B8%B1%E0%B8%AA%E0%B8%A2%E0%B8%B4%E0%B8%94%E0%B8%81%E0%B8%A5%E0%B8%B2%E0%B8%87%E0%B8%A2%E0%B8%B0%E0%B8%A5%E0%B8%B2%20%E0%B8%A2%E0%B8%B0%E0%B8%A5%E0%B8%B2</x:v>
      </x:c>
      <x:c r="Z452" s="56" t="n">
        <x:v>6.5659994</x:v>
      </x:c>
      <x:c r="AA452" s="56" t="n">
        <x:v>101.2946784</x:v>
      </x:c>
      <x:c r="AB452" s="57" t="str"/>
      <x:c r="AC452" s="20" t="str">
        <x:v>https://yala.industry.go.th/web-upload/74x313b3ac4ee26bcd80fc6d420428093b9/202205/m_page/21299/3317/file_download/e337d4e9a0235aeb663e2afad1c0bbd5.pdf</x:v>
      </x:c>
    </x:row>
    <x:row r="453" ht="88" customHeight="1">
      <x:c r="A453" s="54" t="n">
        <x:v>445</x:v>
      </x:c>
      <x:c r="B453" s="20" t="str">
        <x:v>ตลาดเมืองใหม่ยะลา</x:v>
      </x:c>
      <x:c r="C453" s="20" t="str">
        <x:v>ยะลา</x:v>
      </x:c>
      <x:c r="D453" s="20" t="str">
        <x:v>กิจกรรม</x:v>
      </x:c>
      <x:c r="E453" s="20" t="str">
        <x:v>พบข้อมูลชื่อตรงจาก ตลาดเมืองใหม่; เป็นหลักฐานตัวตน/ประเภท ยังไม่ยืนยันบริการมุสลิมครบเกณฑ์</x:v>
      </x:c>
      <x:c r="F453" s="20" t="str">
        <x:v>ไม่ทราบ</x:v>
      </x:c>
      <x:c r="G453" s="20" t="str">
        <x:v>ยังไม่ยืนยันใบรับรองและวันหมดอายุ</x:v>
      </x:c>
      <x:c r="H453" s="20" t="str">
        <x:v>ตรวจการเปิด ตัวตนสาขา ช่องทางติดต่อ และเงื่อนไขบังคับตามประเภท</x:v>
      </x:c>
      <x:c r="I453" s="20" t="str">
        <x:v>ยังไม่ยืนยันที่อยู่ละเอียด ดูลิงก์แหล่งข้อมูลและ Google Maps</x:v>
      </x:c>
      <x:c r="J453" s="21" t="str">
        <x:v>ยังไม่พบหรือยังไม่ยืนยัน</x:v>
      </x:c>
      <x:c r="K453" s="51" t="str">
        <x:v>https://wikicommunity.sac.or.th/community/740</x:v>
      </x:c>
      <x:c r="L453" s="51" t="str">
        <x:v>https://nbtsongkhla.prd.go.th/th/content/category/detail/id/2988/iid/543789</x:v>
      </x:c>
      <x:c r="M453" s="20" t="str">
        <x:v>พบแหล่งต่างเว็บไซต์ ตลาดเมืองใหม่ยะลาคึกคัก! ประชาชนทยอยใช้สิทธิ์ ‘ไทยช่วยไทยพลัส’ ช่วยลดค่าครองชีพ ย้ำอยากให้ไปต่อ</x:v>
      </x:c>
      <x:c r="N453" s="28" t="n">
        <x:v>46316</x:v>
      </x:c>
      <x:c r="O453" s="57" t="str">
        <x:v>ยังไม่ตรวจ</x:v>
      </x:c>
      <x:c r="P453" s="57" t="str">
        <x:v>ยังไม่ติดต่อ</x:v>
      </x:c>
      <x:c r="Q453" s="20" t="str">
        <x:v>R26-098</x:v>
      </x:c>
      <x:c r="R453" s="20" t="str"/>
      <x:c r="S453" s="20" t="str"/>
      <x:c r="T453" s="20" t="str">
        <x:v>https://wikicommunity.sac.or.th/community/740</x:v>
      </x:c>
      <x:c r="U453" s="20" t="str"/>
      <x:c r="V453" s="20" t="str"/>
      <x:c r="W453" s="20" t="str"/>
      <x:c r="X453" s="20" t="str"/>
      <x:c r="Y453" s="20" t="str">
        <x:v>https://www.google.com/maps/search/?api=1&amp;query=%E0%B8%95%E0%B8%A5%E0%B8%B2%E0%B8%94%E0%B9%80%E0%B8%A1%E0%B8%B7%E0%B8%AD%E0%B8%87%E0%B9%83%E0%B8%AB%E0%B8%A1%E0%B9%88%E0%B8%A2%E0%B8%B0%E0%B8%A5%E0%B8%B2%20%E0%B8%A2%E0%B8%B0%E0%B8%A5%E0%B8%B2</x:v>
      </x:c>
      <x:c r="Z453" s="56" t="n">
        <x:v>6.556004</x:v>
      </x:c>
      <x:c r="AA453" s="56" t="n">
        <x:v>101.279058</x:v>
      </x:c>
      <x:c r="AB453" s="57" t="str"/>
      <x:c r="AC453" s="20" t="str">
        <x:v>https://wikicommunity.sac.or.th/community/740</x:v>
      </x:c>
    </x:row>
    <x:row r="454" ht="88" customHeight="1">
      <x:c r="A454" s="54" t="n">
        <x:v>446</x:v>
      </x:c>
      <x:c r="B454" s="20" t="str">
        <x:v>The Linux Garden Hotel Yala</x:v>
      </x:c>
      <x:c r="C454" s="20" t="str">
        <x:v>ยะลา</x:v>
      </x:c>
      <x:c r="D454" s="20" t="str">
        <x:v>ที่พัก</x:v>
      </x:c>
      <x:c r="E454" s="20" t="str">
        <x:v>พบข้อมูลชื่อตรงจาก The Linux Garden Hotel – Google hotels; เป็นหลักฐานตัวตน/ประเภท ยังไม่ยืนยันบริการมุสลิมครบเกณฑ์</x:v>
      </x:c>
      <x:c r="F454" s="20" t="str">
        <x:v>ไม่ทราบ</x:v>
      </x:c>
      <x:c r="G454" s="20" t="str">
        <x:v>ยังไม่ยืนยันใบรับรองและวันหมดอายุ</x:v>
      </x:c>
      <x:c r="H454" s="20" t="str">
        <x:v>ตรวจการเปิด ตัวตนสาขา ช่องทางติดต่อ และเงื่อนไขบังคับตามประเภท</x:v>
      </x:c>
      <x:c r="I454" s="20" t="str">
        <x:v>ยังไม่ยืนยันที่อยู่ละเอียด ดูลิงก์แหล่งข้อมูลและ Google Maps</x:v>
      </x:c>
      <x:c r="J454" s="21" t="str">
        <x:v>ยังไม่พบหรือยังไม่ยืนยัน</x:v>
      </x:c>
      <x:c r="K454" s="51" t="str">
        <x:v>https://www.google.com.my/travel/hotels/entity/CgoIvqir77Gy6swSEAE</x:v>
      </x:c>
      <x:c r="L454" s="51" t="str">
        <x:v>https://sites.google.com/phetchabunpao.ac.th/yala-province/%E0%B8%97%E0%B8%9E%E0%B8%81/1-the-linux-garden-hotel</x:v>
      </x:c>
      <x:c r="M454" s="20" t="str">
        <x:v>พบแหล่งต่างเว็บไซต์ จังหวัดยะลา - 1. The Linux Garden Hotel</x:v>
      </x:c>
      <x:c r="N454" s="28" t="n">
        <x:v>46316</x:v>
      </x:c>
      <x:c r="O454" s="57" t="str">
        <x:v>ยังไม่ตรวจ</x:v>
      </x:c>
      <x:c r="P454" s="57" t="str">
        <x:v>ยังไม่ติดต่อ</x:v>
      </x:c>
      <x:c r="Q454" s="20" t="str">
        <x:v>R26-380</x:v>
      </x:c>
      <x:c r="R454" s="20" t="str">
        <x:v>The Linux Garden Hotel Yala</x:v>
      </x:c>
      <x:c r="S454" s="20" t="str"/>
      <x:c r="T454" s="20" t="str">
        <x:v>https://www.google.com.my/travel/hotels/entity/CgoIvqir77Gy6swSEAE</x:v>
      </x:c>
      <x:c r="U454" s="20" t="str"/>
      <x:c r="V454" s="20" t="str"/>
      <x:c r="W454" s="20" t="str"/>
      <x:c r="X454" s="20" t="str"/>
      <x:c r="Y454" s="20" t="str">
        <x:v>https://www.google.com/maps/search/?api=1&amp;query=The%20Linux%20Garden%20Hotel%20Yala%20%E0%B8%A2%E0%B8%B0%E0%B8%A5%E0%B8%B2</x:v>
      </x:c>
      <x:c r="Z454" s="56" t="n">
        <x:v>6.5419447</x:v>
      </x:c>
      <x:c r="AA454" s="56" t="n">
        <x:v>101.2862852</x:v>
      </x:c>
      <x:c r="AB454" s="57" t="str"/>
      <x:c r="AC454" s="20" t="str">
        <x:v>https://www.google.com.my/travel/hotels/entity/CgoIvqir77Gy6swSEAE</x:v>
      </x:c>
    </x:row>
    <x:row r="455" ht="88" customHeight="1">
      <x:c r="A455" s="54" t="n">
        <x:v>447</x:v>
      </x:c>
      <x:c r="B455" s="20" t="str">
        <x:v>Yala Grand Palace Hotel</x:v>
      </x:c>
      <x:c r="C455" s="20" t="str">
        <x:v>ยะลา</x:v>
      </x:c>
      <x:c r="D455" s="20" t="str">
        <x:v>ที่พัก</x:v>
      </x:c>
      <x:c r="E455" s="20" t="str">
        <x:v>พบข้อมูลชื่อตรงจาก YalaGrandPalaceHotel | LINE Official Account; เป็นหลักฐานตัวตน/ประเภท ยังไม่ยืนยันบริการมุสลิมครบเกณฑ์</x:v>
      </x:c>
      <x:c r="F455" s="20" t="str">
        <x:v>ไม่ทราบ</x:v>
      </x:c>
      <x:c r="G455" s="20" t="str">
        <x:v>ยังไม่ยืนยันใบรับรองและวันหมดอายุ</x:v>
      </x:c>
      <x:c r="H455" s="20" t="str">
        <x:v>ตรวจการเปิด ตัวตนสาขา ช่องทางติดต่อ และเงื่อนไขบังคับตามประเภท</x:v>
      </x:c>
      <x:c r="I455" s="20" t="str">
        <x:v>ยังไม่ยืนยันที่อยู่ละเอียด ดูลิงก์แหล่งข้อมูลและ Google Maps</x:v>
      </x:c>
      <x:c r="J455" s="21" t="str">
        <x:v>ยังไม่พบหรือยังไม่ยืนยัน</x:v>
      </x:c>
      <x:c r="K455" s="51" t="str">
        <x:v>https://page.line.me/ack5287a</x:v>
      </x:c>
      <x:c r="L455" s="51" t="str">
        <x:v>https://www.thailandaddict.com/review-yala-grand-palace-yala</x:v>
      </x:c>
      <x:c r="M455" s="20" t="str">
        <x:v>พบแหล่งต่างเว็บไซต์ Yala Grand Palace Hotel — โรงแรมกลางเมืองยะลา ใกล้ห้าง-ตลาด ที่จอดรถฟรี | ThailandAddict</x:v>
      </x:c>
      <x:c r="N455" s="28" t="n">
        <x:v>46316</x:v>
      </x:c>
      <x:c r="O455" s="57" t="str">
        <x:v>ยังไม่ตรวจ</x:v>
      </x:c>
      <x:c r="P455" s="57" t="str">
        <x:v>ยังไม่ติดต่อ</x:v>
      </x:c>
      <x:c r="Q455" s="20" t="str">
        <x:v>R26-381</x:v>
      </x:c>
      <x:c r="R455" s="20" t="str">
        <x:v>Yala Grand Palace Hotel</x:v>
      </x:c>
      <x:c r="S455" s="20" t="str"/>
      <x:c r="T455" s="20" t="str">
        <x:v>https://page.line.me/ack5287a</x:v>
      </x:c>
      <x:c r="U455" s="20" t="str"/>
      <x:c r="V455" s="20" t="str"/>
      <x:c r="W455" s="20" t="str">
        <x:v>https://page.line.me/ack5287a</x:v>
      </x:c>
      <x:c r="X455" s="20" t="str"/>
      <x:c r="Y455" s="20" t="str">
        <x:v>https://www.google.com/maps/search/?api=1&amp;query=Yala%20Grand%20Palace%20Hotel%20%E0%B8%A2%E0%B8%B0%E0%B8%A5%E0%B8%B2</x:v>
      </x:c>
      <x:c r="Z455" s="56" t="str"/>
      <x:c r="AA455" s="56" t="str"/>
      <x:c r="AB455" s="57" t="str"/>
      <x:c r="AC455" s="20" t="str">
        <x:v>https://page.line.me/ack5287a</x:v>
      </x:c>
    </x:row>
    <x:row r="456" ht="88" customHeight="1">
      <x:c r="A456" s="54" t="n">
        <x:v>448</x:v>
      </x:c>
      <x:c r="B456" s="20" t="str">
        <x:v>Candy rose หมี่ไก่ฉีก</x:v>
      </x:c>
      <x:c r="C456" s="20" t="str">
        <x:v>ยะลา</x:v>
      </x:c>
      <x:c r="D456" s="20" t="str">
        <x:v>ร้านอาหาร</x:v>
      </x:c>
      <x:c r="E456" s="20" t="str">
        <x:v>Makan Verify; ช่องห้องละหมาดไม่ได้ทำเครื่องหมายว่ามี</x:v>
      </x:c>
      <x:c r="F456" s="20" t="str">
        <x:v>แหล่งเดิมไม่ระบุว่ามี</x:v>
      </x:c>
      <x:c r="G456" s="20" t="str">
        <x:v>ยังไม่พบเอกสารรับรองและวันหมดอายุ</x:v>
      </x:c>
      <x:c r="H456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56" s="20" t="str">
        <x:v>43 เทศบาลนครยะลา ตำบลสะเตง อำเภอเมืองยะลา จังหวัดยะลา 95000</x:v>
      </x:c>
      <x:c r="J456" s="21" t="str">
        <x:v>0615208879</x:v>
      </x:c>
      <x:c r="K456" s="51" t="str">
        <x:v>https://makanhalalguide.com/shop/detail/6043</x:v>
      </x:c>
      <x:c r="L456" s="51" t="str">
        <x:v>https://www.findglocal.com/TH/Yala/200533-7/7</x:v>
      </x:c>
      <x:c r="M456" s="20" t="str">
        <x:v>ผลค้นหาชื่อสัมพันธ์จากแหล่งเพิ่มเติม ต้องยืนยันสาขาและข้อมูลปัจจุบัน</x:v>
      </x:c>
      <x:c r="N456" s="28" t="n">
        <x:v>46315</x:v>
      </x:c>
      <x:c r="O456" s="57" t="str">
        <x:v>ยังไม่ตรวจ</x:v>
      </x:c>
      <x:c r="P456" s="57" t="str">
        <x:v>ยังไม่ติดต่อ</x:v>
      </x:c>
      <x:c r="Q456" s="20" t="str">
        <x:v>TMF-383</x:v>
      </x:c>
      <x:c r="R456" s="20" t="str"/>
      <x:c r="S456" s="20" t="str"/>
      <x:c r="T456" s="20" t="str">
        <x:v>https://makanhalalguide.com/shop/detail/6043</x:v>
      </x:c>
      <x:c r="U456" s="20" t="str"/>
      <x:c r="V456" s="20" t="str"/>
      <x:c r="W456" s="20" t="str"/>
      <x:c r="X456" s="20" t="str"/>
      <x:c r="Y456" s="20" t="str">
        <x:v>https://www.google.com/maps/search/?api=1&amp;query=Candy%20rose%20%E0%B8%AB%E0%B8%A1%E0%B8%B5%E0%B9%88%E0%B9%84%E0%B8%81%E0%B9%88%E0%B8%89%E0%B8%B5%E0%B8%81%20%E0%B8%A2%E0%B8%B0%E0%B8%A5%E0%B8%B2</x:v>
      </x:c>
      <x:c r="Z456" s="56" t="n">
        <x:v>6.544399</x:v>
      </x:c>
      <x:c r="AA456" s="56" t="n">
        <x:v>101.290096</x:v>
      </x:c>
      <x:c r="AB456" s="57" t="str"/>
      <x:c r="AC456" s="20" t="str">
        <x:v>https://makanhalalguide.com/shop/detail/6043</x:v>
      </x:c>
    </x:row>
    <x:row r="457" ht="88" customHeight="1">
      <x:c r="A457" s="54" t="n">
        <x:v>449</x:v>
      </x:c>
      <x:c r="B457" s="20" t="str">
        <x:v>IN Trend Co-working Cafe</x:v>
      </x:c>
      <x:c r="C457" s="20" t="str">
        <x:v>ยะลา</x:v>
      </x:c>
      <x:c r="D457" s="20" t="str">
        <x:v>คาเฟ่และร้านของหวาน</x:v>
      </x:c>
      <x:c r="E457" s="20" t="str">
        <x:v>Makan Verify; ช่องห้องละหมาดไม่ได้ทำเครื่องหมายว่ามี</x:v>
      </x:c>
      <x:c r="F457" s="20" t="str">
        <x:v>แหล่งเดิมไม่ระบุว่ามี</x:v>
      </x:c>
      <x:c r="G457" s="20" t="str">
        <x:v>ยังไม่พบเอกสารรับรองและวันหมดอายุ</x:v>
      </x:c>
      <x:c r="H457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57" s="20" t="str">
        <x:v> ถนนสิโรรส สะเตง อำเภอเมืองยะลา จังหวัดยะลา 95000</x:v>
      </x:c>
      <x:c r="J457" s="21" t="str">
        <x:v>0817265646</x:v>
      </x:c>
      <x:c r="K457" s="51" t="str">
        <x:v>https://makanhalalguide.com/shop/detail/6015</x:v>
      </x:c>
      <x:c r="L457" s="51" t="str">
        <x:v>https://wel-b.net/en/shop/in-trend-co-working-caf</x:v>
      </x:c>
      <x:c r="M457" s="20" t="str">
        <x:v>ผลค้นหาชื่อสัมพันธ์จากแหล่งเพิ่มเติม ต้องยืนยันสาขาและข้อมูลปัจจุบัน</x:v>
      </x:c>
      <x:c r="N457" s="28" t="n">
        <x:v>46315</x:v>
      </x:c>
      <x:c r="O457" s="57" t="str">
        <x:v>ยังไม่ตรวจ</x:v>
      </x:c>
      <x:c r="P457" s="57" t="str">
        <x:v>ยังไม่ติดต่อ</x:v>
      </x:c>
      <x:c r="Q457" s="20" t="str">
        <x:v>TMF-384</x:v>
      </x:c>
      <x:c r="R457" s="20" t="str">
        <x:v>IN Trend Co-working Cafe</x:v>
      </x:c>
      <x:c r="S457" s="20" t="str"/>
      <x:c r="T457" s="20" t="str">
        <x:v>https://makanhalalguide.com/shop/detail/6015</x:v>
      </x:c>
      <x:c r="U457" s="20" t="str"/>
      <x:c r="V457" s="20" t="str"/>
      <x:c r="W457" s="20" t="str"/>
      <x:c r="X457" s="20" t="str"/>
      <x:c r="Y457" s="20" t="str">
        <x:v>https://www.google.com/maps/search/?api=1&amp;query=IN%20Trend%20Co-working%20Cafe%20%E0%B8%A2%E0%B8%B0%E0%B8%A5%E0%B8%B2</x:v>
      </x:c>
      <x:c r="Z457" s="56" t="n">
        <x:v>6.568615</x:v>
      </x:c>
      <x:c r="AA457" s="56" t="n">
        <x:v>101.295538</x:v>
      </x:c>
      <x:c r="AB457" s="57" t="str"/>
      <x:c r="AC457" s="20" t="str">
        <x:v>https://makanhalalguide.com/shop/detail/6015</x:v>
      </x:c>
    </x:row>
    <x:row r="458" ht="88" customHeight="1">
      <x:c r="A458" s="54" t="n">
        <x:v>450</x:v>
      </x:c>
      <x:c r="B458" s="20" t="str">
        <x:v>Martabak Ramunrin - มาร์ตาบัค มานิส สาขายะลา</x:v>
      </x:c>
      <x:c r="C458" s="20" t="str">
        <x:v>ยะลา</x:v>
      </x:c>
      <x:c r="D458" s="20" t="str">
        <x:v>ร้านอาหาร</x:v>
      </x:c>
      <x:c r="E458" s="20" t="str">
        <x:v>Makan Verify; ระบุมีห้องละหมาด</x:v>
      </x:c>
      <x:c r="F458" s="20" t="str">
        <x:v>มีข้อมูลระบุ แต่รอยืนยัน</x:v>
      </x:c>
      <x:c r="G458" s="20" t="str">
        <x:v>ยังไม่พบเอกสารรับรองและวันหมดอายุ</x:v>
      </x:c>
      <x:c r="H45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58" s="20" t="str">
        <x:v>ล็อคe6 หลังราชภัฎยะลา 3 ถนนผังเมือง 3 ตำบลสะเตง อำเภอเมืองจังหวัดยะลา 95000</x:v>
      </x:c>
      <x:c r="J458" s="21" t="str">
        <x:v>0856402828</x:v>
      </x:c>
      <x:c r="K458" s="51" t="str">
        <x:v>https://makanhalalguide.com/shop/detail/6053</x:v>
      </x:c>
      <x:c r="L458" s="51" t="str">
        <x:v>https://www.wongnai.com/restaurants/2830007UG-%E0%B8%A1%E0%B8%B2%E0%B8%A3%E0%B9%8C%E0%B8%95%E0%B8%B2%E0%B8%9A%E0%B8%B1%E0%B8%84-%E0%B8%A1%E0%B8%B2%E0%B8%99%E0%B8%B4%E0%B8%AA-martabak-ramunrin-%E0%B8%A2%E0%B8%B0%E0%B8%A5%E0%B8%B2</x:v>
      </x:c>
      <x:c r="M458" s="20" t="str">
        <x:v>ผลค้นหาชื่อสัมพันธ์จากแหล่งเพิ่มเติม ต้องยืนยันสาขาและข้อมูลปัจจุบัน</x:v>
      </x:c>
      <x:c r="N458" s="28" t="n">
        <x:v>46315</x:v>
      </x:c>
      <x:c r="O458" s="57" t="str">
        <x:v>ยังไม่ตรวจ</x:v>
      </x:c>
      <x:c r="P458" s="57" t="str">
        <x:v>ยังไม่ติดต่อ</x:v>
      </x:c>
      <x:c r="Q458" s="20" t="str">
        <x:v>TMF-190</x:v>
      </x:c>
      <x:c r="R458" s="20" t="str"/>
      <x:c r="S458" s="20" t="str"/>
      <x:c r="T458" s="20" t="str">
        <x:v>https://makanhalalguide.com/shop/detail/6053</x:v>
      </x:c>
      <x:c r="U458" s="20" t="str"/>
      <x:c r="V458" s="20" t="str"/>
      <x:c r="W458" s="20" t="str"/>
      <x:c r="X458" s="20" t="str"/>
      <x:c r="Y458" s="20" t="str">
        <x:v>https://www.google.com/maps/search/?api=1&amp;query=Martabak%20Ramunrin%20-%20%E0%B8%A1%E0%B8%B2%E0%B8%A3%E0%B9%8C%E0%B8%95%E0%B8%B2%E0%B8%9A%E0%B8%B1%E0%B8%84%20%E0%B8%A1%E0%B8%B2%E0%B8%99%E0%B8%B4%E0%B8%AA%20%E0%B8%AA%E0%B8%B2%E0%B8%82%E0%B8%B2%E0%B8%A2%E0%B8%B0%E0%B8%A5%E0%B8%B2%20%E0%B8%A2%E0%B8%B0%E0%B8%A5%E0%B8%B2</x:v>
      </x:c>
      <x:c r="Z458" s="56" t="n">
        <x:v>6.549595</x:v>
      </x:c>
      <x:c r="AA458" s="56" t="n">
        <x:v>101.291579</x:v>
      </x:c>
      <x:c r="AB458" s="57" t="str"/>
      <x:c r="AC458" s="20" t="str">
        <x:v>https://makanhalalguide.com/shop/detail/6053</x:v>
      </x:c>
    </x:row>
    <x:row r="459" ht="88" customHeight="1">
      <x:c r="A459" s="54" t="n">
        <x:v>451</x:v>
      </x:c>
      <x:c r="B459" s="20" t="str">
        <x:v>Once Eatery by ประเทือง</x:v>
      </x:c>
      <x:c r="C459" s="20" t="str">
        <x:v>ยะลา</x:v>
      </x:c>
      <x:c r="D459" s="20" t="str">
        <x:v>อาหาร</x:v>
      </x:c>
      <x:c r="E459" s="20" t="str">
        <x:v>พบข้อมูลชื่อตรงจาก Once Eatery by ประเทือง; เป็นหลักฐานตัวตน/ประเภท ยังไม่ยืนยันบริการมุสลิมครบเกณฑ์</x:v>
      </x:c>
      <x:c r="F459" s="20" t="str">
        <x:v>ไม่ทราบ</x:v>
      </x:c>
      <x:c r="G459" s="20" t="str">
        <x:v>ยังไม่ยืนยันใบรับรองและวันหมดอายุ</x:v>
      </x:c>
      <x:c r="H459" s="20" t="str">
        <x:v>ตรวจการเปิด ตัวตนสาขา ช่องทางติดต่อ และเงื่อนไขบังคับตามประเภท</x:v>
      </x:c>
      <x:c r="I459" s="20" t="str">
        <x:v>ยังไม่ยืนยันที่อยู่ละเอียด ดูลิงก์แหล่งข้อมูลและ Google Maps</x:v>
      </x:c>
      <x:c r="J459" s="21" t="str">
        <x:v>ยังไม่พบหรือยังไม่ยืนยัน</x:v>
      </x:c>
      <x:c r="K459" s="51" t="str">
        <x:v>https://www.thailandtourismdirectory.go.th/th/restaurants/98318</x:v>
      </x:c>
      <x:c r="L459" s="51" t="str">
        <x:v>https://restaurantguru.com/ONCE-Eatery-by-%E0%B8%9B%E0%B8%A3%E0%B8%B0%E0%B9%80%E0%B8%97%E0%B8%B7%E0%B8%AD%E0%B8%87-Yala</x:v>
      </x:c>
      <x:c r="M459" s="20" t="str">
        <x:v>พบแหล่งต่างเว็บไซต์ ONCE Eatery by : ประเทือง, Yala - Restaurant menu, prices and reviews</x:v>
      </x:c>
      <x:c r="N459" s="28" t="n">
        <x:v>46316</x:v>
      </x:c>
      <x:c r="O459" s="57" t="str">
        <x:v>ยังไม่ตรวจ</x:v>
      </x:c>
      <x:c r="P459" s="57" t="str">
        <x:v>ยังไม่ติดต่อ</x:v>
      </x:c>
      <x:c r="Q459" s="20" t="str">
        <x:v>R26-332</x:v>
      </x:c>
      <x:c r="R459" s="20" t="str"/>
      <x:c r="S459" s="20" t="str"/>
      <x:c r="T459" s="20" t="str">
        <x:v>https://www.thailandtourismdirectory.go.th/th/restaurants/98318</x:v>
      </x:c>
      <x:c r="U459" s="20" t="str"/>
      <x:c r="V459" s="20" t="str"/>
      <x:c r="W459" s="20" t="str"/>
      <x:c r="X459" s="20" t="str"/>
      <x:c r="Y459" s="20" t="str">
        <x:v>https://www.google.com/maps/search/?api=1&amp;query=Once%20Eatery%20by%20%E0%B8%9B%E0%B8%A3%E0%B8%B0%E0%B9%80%E0%B8%97%E0%B8%B7%E0%B8%AD%E0%B8%87%20%E0%B8%A2%E0%B8%B0%E0%B8%A5%E0%B8%B2</x:v>
      </x:c>
      <x:c r="Z459" s="56" t="n">
        <x:v>6.5559</x:v>
      </x:c>
      <x:c r="AA459" s="56" t="n">
        <x:v>101.286329</x:v>
      </x:c>
      <x:c r="AB459" s="57" t="str"/>
      <x:c r="AC459" s="20" t="str">
        <x:v>https://www.thailandtourismdirectory.go.th/th/restaurants/98318</x:v>
      </x:c>
    </x:row>
    <x:row r="460" ht="88" customHeight="1">
      <x:c r="A460" s="54" t="n">
        <x:v>452</x:v>
      </x:c>
      <x:c r="B460" s="20" t="str">
        <x:v>Orbit Coffee-ออร์บิท คอฟฟี่ ยะลา</x:v>
      </x:c>
      <x:c r="C460" s="20" t="str">
        <x:v>ยะลา</x:v>
      </x:c>
      <x:c r="D460" s="20" t="str">
        <x:v>คาเฟ่และร้านของหวาน</x:v>
      </x:c>
      <x:c r="E460" s="20" t="str">
        <x:v>Makan Verify; ช่องห้องละหมาดไม่ได้ทำเครื่องหมายว่ามี</x:v>
      </x:c>
      <x:c r="F460" s="20" t="str">
        <x:v>แหล่งเดิมไม่ระบุว่ามี</x:v>
      </x:c>
      <x:c r="G460" s="20" t="str">
        <x:v>ยังไม่พบเอกสารรับรองและวันหมดอายุ</x:v>
      </x:c>
      <x:c r="H460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460" s="20" t="str">
        <x:v>248 ตำบลสะเตง อำเภอเมืองยะลา ยะลา 95000</x:v>
      </x:c>
      <x:c r="J460" s="21" t="str">
        <x:v>0963959006</x:v>
      </x:c>
      <x:c r="K460" s="51" t="str">
        <x:v>https://makanhalalguide.com/shop/detail/6004</x:v>
      </x:c>
      <x:c r="L460" s="51" t="str">
        <x:v>https://www.wongnai.com/restaurants/2671226sv-orbit-coffee-yala</x:v>
      </x:c>
      <x:c r="M460" s="20" t="str">
        <x:v>ผลค้นหาชื่อสัมพันธ์จากแหล่งเพิ่มเติม ต้องยืนยันสาขาและข้อมูลปัจจุบัน</x:v>
      </x:c>
      <x:c r="N460" s="28" t="n">
        <x:v>46315</x:v>
      </x:c>
      <x:c r="O460" s="57" t="str">
        <x:v>ยังไม่ตรวจ</x:v>
      </x:c>
      <x:c r="P460" s="57" t="str">
        <x:v>ยังไม่ติดต่อ</x:v>
      </x:c>
      <x:c r="Q460" s="20" t="str">
        <x:v>TMF-385</x:v>
      </x:c>
      <x:c r="R460" s="20" t="str"/>
      <x:c r="S460" s="20" t="str"/>
      <x:c r="T460" s="20" t="str">
        <x:v>https://makanhalalguide.com/shop/detail/6004</x:v>
      </x:c>
      <x:c r="U460" s="20" t="str"/>
      <x:c r="V460" s="20" t="str"/>
      <x:c r="W460" s="20" t="str"/>
      <x:c r="X460" s="20" t="str"/>
      <x:c r="Y460" s="20" t="str">
        <x:v>https://www.google.com/maps/search/?api=1&amp;query=Orbit%20Coffee-%E0%B8%AD%E0%B8%AD%E0%B8%A3%E0%B9%8C%E0%B8%9A%E0%B8%B4%E0%B8%97%20%E0%B8%84%E0%B8%AD%E0%B8%9F%E0%B8%9F%E0%B8%B5%E0%B9%88%20%E0%B8%A2%E0%B8%B0%E0%B8%A5%E0%B8%B2%20%E0%B8%A2%E0%B8%B0%E0%B8%A5%E0%B8%B2</x:v>
      </x:c>
      <x:c r="Z460" s="56" t="n">
        <x:v>6.549459</x:v>
      </x:c>
      <x:c r="AA460" s="56" t="n">
        <x:v>101.285426</x:v>
      </x:c>
      <x:c r="AB460" s="57" t="str"/>
      <x:c r="AC460" s="20" t="str">
        <x:v>https://makanhalalguide.com/shop/detail/6004</x:v>
      </x:c>
    </x:row>
    <x:row r="461" ht="88" customHeight="1">
      <x:c r="A461" s="54" t="n">
        <x:v>453</x:v>
      </x:c>
      <x:c r="B461" s="20" t="str">
        <x:v>Tokoroaster Coffee And Cycling</x:v>
      </x:c>
      <x:c r="C461" s="20" t="str">
        <x:v>ยะลา</x:v>
      </x:c>
      <x:c r="D461" s="20" t="str">
        <x:v>คาเฟ่และร้านของหวาน</x:v>
      </x:c>
      <x:c r="E461" s="20" t="str">
        <x:v>Makan Verify; ระบุมีห้องละหมาด</x:v>
      </x:c>
      <x:c r="F461" s="20" t="str">
        <x:v>มีข้อมูลระบุ แต่รอยืนยัน</x:v>
      </x:c>
      <x:c r="G461" s="20" t="str">
        <x:v>ยังไม่พบเอกสารรับรองและวันหมดอายุ</x:v>
      </x:c>
      <x:c r="H46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61" s="20" t="str">
        <x:v>ถนนกาญจนา 1 สะเตง อำเภอเมืองยะลา ยะลา 95000</x:v>
      </x:c>
      <x:c r="J461" s="21" t="str">
        <x:v>0952485569</x:v>
      </x:c>
      <x:c r="K461" s="51" t="str">
        <x:v>https://makanhalalguide.com/shop/detail/6006</x:v>
      </x:c>
      <x:c r="L461" s="51" t="str">
        <x:v>https://tokoroaster-specialty-coffee.goto-where.com/</x:v>
      </x:c>
      <x:c r="M461" s="20" t="str">
        <x:v>ผลค้นหาชื่อสัมพันธ์จากแหล่งเพิ่มเติม ต้องยืนยันสาขาและข้อมูลปัจจุบัน</x:v>
      </x:c>
      <x:c r="N461" s="28" t="n">
        <x:v>46315</x:v>
      </x:c>
      <x:c r="O461" s="57" t="str">
        <x:v>ยังไม่ตรวจ</x:v>
      </x:c>
      <x:c r="P461" s="57" t="str">
        <x:v>ยังไม่ติดต่อ</x:v>
      </x:c>
      <x:c r="Q461" s="20" t="str">
        <x:v>TMF-191</x:v>
      </x:c>
      <x:c r="R461" s="20" t="str">
        <x:v>Tokoroaster Coffee And Cycling</x:v>
      </x:c>
      <x:c r="S461" s="20" t="str"/>
      <x:c r="T461" s="20" t="str">
        <x:v>https://makanhalalguide.com/shop/detail/6006</x:v>
      </x:c>
      <x:c r="U461" s="20" t="str"/>
      <x:c r="V461" s="20" t="str"/>
      <x:c r="W461" s="20" t="str"/>
      <x:c r="X461" s="20" t="str"/>
      <x:c r="Y461" s="20" t="str">
        <x:v>https://www.google.com/maps/search/?api=1&amp;query=Tokoroaster%20Coffee%20And%20Cycling%20%E0%B8%A2%E0%B8%B0%E0%B8%A5%E0%B8%B2</x:v>
      </x:c>
      <x:c r="Z461" s="56" t="n">
        <x:v>6.551101</x:v>
      </x:c>
      <x:c r="AA461" s="56" t="n">
        <x:v>101.283182</x:v>
      </x:c>
      <x:c r="AB461" s="57" t="str"/>
      <x:c r="AC461" s="20" t="str">
        <x:v>https://makanhalalguide.com/shop/detail/6006</x:v>
      </x:c>
    </x:row>
    <x:row r="462" ht="88" customHeight="1">
      <x:c r="A462" s="54" t="n">
        <x:v>454</x:v>
      </x:c>
      <x:c r="B462" s="20" t="str">
        <x:v>Yasmeen Seafood</x:v>
      </x:c>
      <x:c r="C462" s="20" t="str">
        <x:v>ยะลา</x:v>
      </x:c>
      <x:c r="D462" s="20" t="str">
        <x:v>อาหาร</x:v>
      </x:c>
      <x:c r="E462" s="20" t="str">
        <x:v>พบข้อมูลชื่อตรงจาก ร้าน Yasmeen.Tea | รีวิวร้านอาหาร; เป็นหลักฐานตัวตน/ประเภท ยังไม่ยืนยันบริการมุสลิมครบเกณฑ์</x:v>
      </x:c>
      <x:c r="F462" s="20" t="str">
        <x:v>ไม่ทราบ</x:v>
      </x:c>
      <x:c r="G462" s="20" t="str">
        <x:v>ยังไม่ยืนยันใบรับรองและวันหมดอายุ</x:v>
      </x:c>
      <x:c r="H462" s="20" t="str">
        <x:v>ตรวจการเปิด ตัวตนสาขา ช่องทางติดต่อ และเงื่อนไขบังคับตามประเภท</x:v>
      </x:c>
      <x:c r="I462" s="20" t="str">
        <x:v>ยังไม่ยืนยันที่อยู่ละเอียด ดูลิงก์แหล่งข้อมูลและ Google Maps</x:v>
      </x:c>
      <x:c r="J462" s="21" t="str">
        <x:v>ยังไม่พบหรือยังไม่ยืนยัน</x:v>
      </x:c>
      <x:c r="K462" s="51" t="str">
        <x:v>https://www.wongnai.com/restaurants/909298LM-yasmeen-tea</x:v>
      </x:c>
      <x:c r="L462" s="51" t="str">
        <x:v>https://awmc.royalrain.go.th/awm2019/pdf/thailand/Halal.pdf</x:v>
      </x:c>
      <x:c r="M462" s="20" t="str">
        <x:v>พบแหล่งต่างเว็บไซต์ &lt;visual_element id="e1"&gt;</x:v>
      </x:c>
      <x:c r="N462" s="28" t="n">
        <x:v>46316</x:v>
      </x:c>
      <x:c r="O462" s="57" t="str">
        <x:v>ยังไม่ตรวจ</x:v>
      </x:c>
      <x:c r="P462" s="57" t="str">
        <x:v>ยังไม่ติดต่อ</x:v>
      </x:c>
      <x:c r="Q462" s="20" t="str">
        <x:v>R26-333</x:v>
      </x:c>
      <x:c r="R462" s="20" t="str">
        <x:v>Yasmeen Seafood</x:v>
      </x:c>
      <x:c r="S462" s="20" t="str"/>
      <x:c r="T462" s="20" t="str">
        <x:v>https://www.wongnai.com/restaurants/909298LM-yasmeen-tea</x:v>
      </x:c>
      <x:c r="U462" s="20" t="str"/>
      <x:c r="V462" s="20" t="str"/>
      <x:c r="W462" s="20" t="str"/>
      <x:c r="X462" s="20" t="str"/>
      <x:c r="Y462" s="20" t="str">
        <x:v>https://www.google.com/maps/search/?api=1&amp;query=Yasmeen%20Seafood%20%E0%B8%A2%E0%B8%B0%E0%B8%A5%E0%B8%B2</x:v>
      </x:c>
      <x:c r="Z462" s="56" t="str"/>
      <x:c r="AA462" s="56" t="str"/>
      <x:c r="AB462" s="57" t="str"/>
      <x:c r="AC462" s="20" t="str">
        <x:v>https://www.wongnai.com/restaurants/909298LM-yasmeen-tea</x:v>
      </x:c>
    </x:row>
    <x:row r="463" ht="88" customHeight="1">
      <x:c r="A463" s="54" t="n">
        <x:v>455</x:v>
      </x:c>
      <x:c r="B463" s="20" t="str">
        <x:v>wawa_cafe</x:v>
      </x:c>
      <x:c r="C463" s="20" t="str">
        <x:v>ยะลา</x:v>
      </x:c>
      <x:c r="D463" s="20" t="str">
        <x:v>คาเฟ่และร้านของหวาน</x:v>
      </x:c>
      <x:c r="E463" s="20" t="str">
        <x:v>Makan Verify; ระบุมีห้องละหมาด</x:v>
      </x:c>
      <x:c r="F463" s="20" t="str">
        <x:v>มีข้อมูลระบุ แต่รอยืนยัน</x:v>
      </x:c>
      <x:c r="G463" s="20" t="str">
        <x:v>ยังไม่พบเอกสารรับรองและวันหมดอายุ</x:v>
      </x:c>
      <x:c r="H46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63" s="20" t="str">
        <x:v>สามแยกศูนย์เยาชน ถนนสิโรรส ตำบลสะเตง อำเภอเมือง จังหวัดยะลา 95000</x:v>
      </x:c>
      <x:c r="J463" s="21" t="str">
        <x:v>0973368317</x:v>
      </x:c>
      <x:c r="K463" s="51" t="str">
        <x:v>https://makanhalalguide.com/shop/detail/5989</x:v>
      </x:c>
      <x:c r="L463" s="51" t="str">
        <x:v>https://www.wongnai.com/restaurants/2881938Sf-wawa-cafe</x:v>
      </x:c>
      <x:c r="M463" s="20" t="str">
        <x:v>พบผลค้นชื่อสัมพันธ์เพิ่มเติม ต้องยืนยันสาขาและเจ้าของช่องทาง</x:v>
      </x:c>
      <x:c r="N463" s="28" t="n">
        <x:v>46316</x:v>
      </x:c>
      <x:c r="O463" s="57" t="str">
        <x:v>ยังไม่ตรวจ</x:v>
      </x:c>
      <x:c r="P463" s="57" t="str">
        <x:v>ยังไม่ติดต่อ</x:v>
      </x:c>
      <x:c r="Q463" s="20" t="str">
        <x:v>TMF-192</x:v>
      </x:c>
      <x:c r="R463" s="20" t="str">
        <x:v>wawa_cafe</x:v>
      </x:c>
      <x:c r="S463" s="20" t="str"/>
      <x:c r="T463" s="20" t="str">
        <x:v>https://makanhalalguide.com/shop/detail/5989</x:v>
      </x:c>
      <x:c r="U463" s="20" t="str"/>
      <x:c r="V463" s="20" t="str"/>
      <x:c r="W463" s="20" t="str"/>
      <x:c r="X463" s="20" t="str"/>
      <x:c r="Y463" s="20" t="str">
        <x:v>https://www.google.com/maps/search/?api=1&amp;query=wawa_cafe%20%E0%B8%A2%E0%B8%B0%E0%B8%A5%E0%B8%B2</x:v>
      </x:c>
      <x:c r="Z463" s="56" t="n">
        <x:v>6.552127</x:v>
      </x:c>
      <x:c r="AA463" s="56" t="n">
        <x:v>101.282013</x:v>
      </x:c>
      <x:c r="AB463" s="57" t="str"/>
      <x:c r="AC463" s="20" t="str">
        <x:v>https://makanhalalguide.com/shop/detail/5989</x:v>
      </x:c>
    </x:row>
    <x:row r="464" ht="88" customHeight="1">
      <x:c r="A464" s="54" t="n">
        <x:v>456</x:v>
      </x:c>
      <x:c r="B464" s="20" t="str">
        <x:v>ซูเฟียนโภชนา</x:v>
      </x:c>
      <x:c r="C464" s="20" t="str">
        <x:v>ยะลา</x:v>
      </x:c>
      <x:c r="D464" s="20" t="str">
        <x:v>ร้านอาหาร</x:v>
      </x:c>
      <x:c r="E464" s="20" t="str">
        <x:v>Makan Verify; ระบุมีห้องละหมาด</x:v>
      </x:c>
      <x:c r="F464" s="20" t="str">
        <x:v>มีข้อมูลระบุ แต่รอยืนยัน</x:v>
      </x:c>
      <x:c r="G464" s="20" t="str">
        <x:v>ยังไม่พบเอกสารรับรองและวันหมดอายุ</x:v>
      </x:c>
      <x:c r="H46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64" s="20" t="str">
        <x:v>เทศบาลนครยะลา สะเตง อำเภอเมืองยะลา ยะลา</x:v>
      </x:c>
      <x:c r="J464" s="21" t="str">
        <x:v>0986581310</x:v>
      </x:c>
      <x:c r="K464" s="51" t="str">
        <x:v>https://makanhalalguide.com/shop/detail/5975</x:v>
      </x:c>
      <x:c r="L464" s="51" t="str">
        <x:v>https://www.wongnai.com/reviews/d0a2368ceffb483bbf84045f4fa98da0</x:v>
      </x:c>
      <x:c r="M464" s="20" t="str">
        <x:v>ผลค้นหาชื่อสัมพันธ์จากแหล่งเพิ่มเติม ต้องยืนยันสาขาและข้อมูลปัจจุบัน</x:v>
      </x:c>
      <x:c r="N464" s="28" t="n">
        <x:v>46315</x:v>
      </x:c>
      <x:c r="O464" s="57" t="str">
        <x:v>ยังไม่ตรวจ</x:v>
      </x:c>
      <x:c r="P464" s="57" t="str">
        <x:v>ยังไม่ติดต่อ</x:v>
      </x:c>
      <x:c r="Q464" s="20" t="str">
        <x:v>TMF-196</x:v>
      </x:c>
      <x:c r="R464" s="20" t="str"/>
      <x:c r="S464" s="20" t="str"/>
      <x:c r="T464" s="20" t="str">
        <x:v>https://makanhalalguide.com/shop/detail/5975</x:v>
      </x:c>
      <x:c r="U464" s="20" t="str"/>
      <x:c r="V464" s="20" t="str"/>
      <x:c r="W464" s="20" t="str"/>
      <x:c r="X464" s="20" t="str"/>
      <x:c r="Y464" s="20" t="str">
        <x:v>https://www.google.com/maps/search/?api=1&amp;query=%E0%B8%8B%E0%B8%B9%E0%B9%80%E0%B8%9F%E0%B8%B5%E0%B8%A2%E0%B8%99%E0%B9%82%E0%B8%A0%E0%B8%8A%E0%B8%99%E0%B8%B2%20%E0%B8%A2%E0%B8%B0%E0%B8%A5%E0%B8%B2</x:v>
      </x:c>
      <x:c r="Z464" s="56" t="n">
        <x:v>6.561029</x:v>
      </x:c>
      <x:c r="AA464" s="56" t="n">
        <x:v>101.288778</x:v>
      </x:c>
      <x:c r="AB464" s="57" t="str"/>
      <x:c r="AC464" s="20" t="str">
        <x:v>https://makanhalalguide.com/shop/detail/5975</x:v>
      </x:c>
    </x:row>
    <x:row r="465" ht="88" customHeight="1">
      <x:c r="A465" s="54" t="n">
        <x:v>457</x:v>
      </x:c>
      <x:c r="B465" s="20" t="str">
        <x:v>ตะกงแกง</x:v>
      </x:c>
      <x:c r="C465" s="20" t="str">
        <x:v>ยะลา</x:v>
      </x:c>
      <x:c r="D465" s="20" t="str">
        <x:v>ร้านอาหาร</x:v>
      </x:c>
      <x:c r="E465" s="20" t="str">
        <x:v>Makan Verify; ระบุมีห้องละหมาด</x:v>
      </x:c>
      <x:c r="F465" s="20" t="str">
        <x:v>มีข้อมูลระบุ แต่รอยืนยัน</x:v>
      </x:c>
      <x:c r="G465" s="20" t="str">
        <x:v>ยังไม่พบเอกสารรับรองและวันหมดอายุ</x:v>
      </x:c>
      <x:c r="H46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65" s="20" t="str">
        <x:v>ตรงข้ามหน้าประตูโรงเรียนคณะราษ
39 ถนน จงรักษ์ สะเตง อำเภอเมืองยะลา ยะลา 95000</x:v>
      </x:c>
      <x:c r="J465" s="21" t="str">
        <x:v>0621510024</x:v>
      </x:c>
      <x:c r="K465" s="51" t="str">
        <x:v>https://makanhalalguide.com/shop/detail/5999</x:v>
      </x:c>
      <x:c r="L465" s="51" t="str">
        <x:v>https://www.wongnai.com/restaurants/448029JW-%E0%B8%95%E0%B8%B0%E0%B8%81%E0%B8%87%E0%B9%81%E0%B8%81%E0%B8%87</x:v>
      </x:c>
      <x:c r="M465" s="20" t="str">
        <x:v>ผลค้นหาชื่อสัมพันธ์จากแหล่งเพิ่มเติม ต้องยืนยันสาขาและข้อมูลปัจจุบัน</x:v>
      </x:c>
      <x:c r="N465" s="28" t="n">
        <x:v>46315</x:v>
      </x:c>
      <x:c r="O465" s="57" t="str">
        <x:v>ยังไม่ตรวจ</x:v>
      </x:c>
      <x:c r="P465" s="57" t="str">
        <x:v>ยังไม่ติดต่อ</x:v>
      </x:c>
      <x:c r="Q465" s="20" t="str">
        <x:v>TMF-198</x:v>
      </x:c>
      <x:c r="R465" s="20" t="str"/>
      <x:c r="S465" s="20" t="str"/>
      <x:c r="T465" s="20" t="str">
        <x:v>https://makanhalalguide.com/shop/detail/5999</x:v>
      </x:c>
      <x:c r="U465" s="20" t="str"/>
      <x:c r="V465" s="20" t="str"/>
      <x:c r="W465" s="20" t="str"/>
      <x:c r="X465" s="20" t="str"/>
      <x:c r="Y465" s="20" t="str">
        <x:v>https://www.google.com/maps/search/?api=1&amp;query=%E0%B8%95%E0%B8%B0%E0%B8%81%E0%B8%87%E0%B9%81%E0%B8%81%E0%B8%87%20%E0%B8%A2%E0%B8%B0%E0%B8%A5%E0%B8%B2</x:v>
      </x:c>
      <x:c r="Z465" s="56" t="n">
        <x:v>6.554535</x:v>
      </x:c>
      <x:c r="AA465" s="56" t="n">
        <x:v>101.286221</x:v>
      </x:c>
      <x:c r="AB465" s="57" t="str"/>
      <x:c r="AC465" s="20" t="str">
        <x:v>https://makanhalalguide.com/shop/detail/5999</x:v>
      </x:c>
    </x:row>
    <x:row r="466" ht="88" customHeight="1">
      <x:c r="A466" s="54" t="n">
        <x:v>458</x:v>
      </x:c>
      <x:c r="B466" s="20" t="str">
        <x:v>บ้านอาหารมายโฮมยะลา</x:v>
      </x:c>
      <x:c r="C466" s="20" t="str">
        <x:v>ยะลา</x:v>
      </x:c>
      <x:c r="D466" s="20" t="str">
        <x:v>อาหาร</x:v>
      </x:c>
      <x:c r="E466" s="20" t="str">
        <x:v>พบข้อมูลชื่อตรงจาก บ้านอาหารมายโฮมยะลา หัวสะพานท่าสาป - สั่งอาหารเดลิเวอรี | Wongnai x LINE MAN; เป็นหลักฐานตัวตน/ประเภท ยังไม่ยืนยันบริการมุสลิมครบเกณฑ์</x:v>
      </x:c>
      <x:c r="F466" s="20" t="str">
        <x:v>ไม่ทราบ</x:v>
      </x:c>
      <x:c r="G466" s="20" t="str">
        <x:v>ยังไม่ยืนยันใบรับรองและวันหมดอายุ</x:v>
      </x:c>
      <x:c r="H466" s="20" t="str">
        <x:v>ตรวจการเปิด ตัวตนสาขา ช่องทางติดต่อ และเงื่อนไขบังคับตามประเภท</x:v>
      </x:c>
      <x:c r="I466" s="20" t="str">
        <x:v>ยังไม่ยืนยันที่อยู่ละเอียด ดูลิงก์แหล่งข้อมูลและ Google Maps</x:v>
      </x:c>
      <x:c r="J466" s="21" t="str">
        <x:v>ยังไม่พบหรือยังไม่ยืนยัน</x:v>
      </x:c>
      <x:c r="K466" s="51" t="str">
        <x:v>https://www.wongnai.com/delivery/businesses/129012Hr/order</x:v>
      </x:c>
      <x:c r="L466" s="51" t="str">
        <x:v>https://www.findglocal.com/TH/Yala/200533-7/3</x:v>
      </x:c>
      <x:c r="M466" s="20" t="str">
        <x:v>พบแหล่งต่างเว็บไซต์ ธุกิจร้านอาหาร ใน Yala - หน้า 3</x:v>
      </x:c>
      <x:c r="N466" s="28" t="n">
        <x:v>46316</x:v>
      </x:c>
      <x:c r="O466" s="57" t="str">
        <x:v>ยังไม่ตรวจ</x:v>
      </x:c>
      <x:c r="P466" s="57" t="str">
        <x:v>ยังไม่ติดต่อ</x:v>
      </x:c>
      <x:c r="Q466" s="20" t="str">
        <x:v>R26-335</x:v>
      </x:c>
      <x:c r="R466" s="20" t="str"/>
      <x:c r="S466" s="20" t="str"/>
      <x:c r="T466" s="20" t="str">
        <x:v>https://www.wongnai.com/delivery/businesses/129012Hr/order</x:v>
      </x:c>
      <x:c r="U466" s="20" t="str"/>
      <x:c r="V466" s="20" t="str"/>
      <x:c r="W466" s="20" t="str"/>
      <x:c r="X466" s="20" t="str"/>
      <x:c r="Y466" s="20" t="str">
        <x:v>https://www.google.com/maps/search/?api=1&amp;query=%E0%B8%9A%E0%B9%89%E0%B8%B2%E0%B8%99%E0%B8%AD%E0%B8%B2%E0%B8%AB%E0%B8%B2%E0%B8%A3%E0%B8%A1%E0%B8%B2%E0%B8%A2%E0%B9%82%E0%B8%AE%E0%B8%A1%E0%B8%A2%E0%B8%B0%E0%B8%A5%E0%B8%B2%20%E0%B8%A2%E0%B8%B0%E0%B8%A5%E0%B8%B2</x:v>
      </x:c>
      <x:c r="Z466" s="56" t="n">
        <x:v>6.5526128</x:v>
      </x:c>
      <x:c r="AA466" s="56" t="n">
        <x:v>101.2647352</x:v>
      </x:c>
      <x:c r="AB466" s="57" t="str"/>
      <x:c r="AC466" s="20" t="str">
        <x:v>https://www.wongnai.com/delivery/businesses/129012Hr/order</x:v>
      </x:c>
    </x:row>
    <x:row r="467" ht="88" customHeight="1">
      <x:c r="A467" s="54" t="n">
        <x:v>459</x:v>
      </x:c>
      <x:c r="B467" s="20" t="str">
        <x:v>มูฮัมหมัดฮาลีย์ ข้าวหน้าเป็ด</x:v>
      </x:c>
      <x:c r="C467" s="20" t="str">
        <x:v>ยะลา</x:v>
      </x:c>
      <x:c r="D467" s="20" t="str">
        <x:v>อาหาร</x:v>
      </x:c>
      <x:c r="E467" s="20" t="str">
        <x:v>พบข้อมูลชื่อตรงจาก มูฮัมหมัดฮาลีย์ ข้าวหน้าเป็ด ฮาลาล ยะลา, Yala - Restaurant menu, prices and reviews; เป็นหลักฐานตัวตน/ประเภท ยังไม่ยืนยันบริการมุสลิมครบเกณฑ์</x:v>
      </x:c>
      <x:c r="F467" s="20" t="str">
        <x:v>ไม่ทราบ</x:v>
      </x:c>
      <x:c r="G467" s="20" t="str">
        <x:v>ยังไม่ยืนยันใบรับรองและวันหมดอายุ</x:v>
      </x:c>
      <x:c r="H467" s="20" t="str">
        <x:v>ตรวจการเปิด ตัวตนสาขา ช่องทางติดต่อ และเงื่อนไขบังคับตามประเภท</x:v>
      </x:c>
      <x:c r="I467" s="20" t="str">
        <x:v>ยังไม่ยืนยันที่อยู่ละเอียด ดูลิงก์แหล่งข้อมูลและ Google Maps</x:v>
      </x:c>
      <x:c r="J467" s="21" t="str">
        <x:v>ยังไม่พบหรือยังไม่ยืนยัน</x:v>
      </x:c>
      <x:c r="K467" s="51" t="str">
        <x:v>https://restaurantguru.com/%E0%B8%A1%E0%B8%B9%E0%B8%AE%E0%B8%B1%E0%B8%A1%E0%B8%AB%E0%B8%A1%E0%B8%B1%E0%B8%94%E0%B8%AD%E0%B8%B2%E0%B8%A5%E0%B8%B5%E0%B8%A2%E0%B9%8C-%E0%B8%82%E0%B9%89%E0%B8%B2%E0%B8%A7%E0%B8%AB%E0%B8%99%E0%B9%89%E0%B8%B2%E0%B9%80%E0%B8%9B%E0%B9%87%E0%B8%94-Yala</x:v>
      </x:c>
      <x:c r="L467" s="51" t="str">
        <x:v>https://www.lemon8-app.com/%40theworldisfragile_/7241630001328701954?region=th</x:v>
      </x:c>
      <x:c r="M467" s="20" t="str">
        <x:v>พบแหล่งต่างเว็บไซต์ ก๋วยเตี๋ยวเป็ดตุ๋นใกล้ฉันในยะลา: มูฮัมหมัด อาลีย์ ข้าวหน้าเป็ด เส้นนุ่ม เป็ดนุ่ม น้ำซุปกลมกล่อม</x:v>
      </x:c>
      <x:c r="N467" s="28" t="n">
        <x:v>46316</x:v>
      </x:c>
      <x:c r="O467" s="57" t="str">
        <x:v>ยังไม่ตรวจ</x:v>
      </x:c>
      <x:c r="P467" s="57" t="str">
        <x:v>ยังไม่ติดต่อ</x:v>
      </x:c>
      <x:c r="Q467" s="20" t="str">
        <x:v>R26-338</x:v>
      </x:c>
      <x:c r="R467" s="20" t="str"/>
      <x:c r="S467" s="20" t="str"/>
      <x:c r="T467" s="20" t="str">
        <x:v>https://restaurantguru.com/%E0%B8%A1%E0%B8%B9%E0%B8%AE%E0%B8%B1%E0%B8%A1%E0%B8%AB%E0%B8%A1%E0%B8%B1%E0%B8%94%E0%B8%AD%E0%B8%B2%E0%B8%A5%E0%B8%B5%E0%B8%A2%E0%B9%8C-%E0%B8%82%E0%B9%89%E0%B8%B2%E0%B8%A7%E0%B8%AB%E0%B8%99%E0%B9%89%E0%B8%B2%E0%B9%80%E0%B8%9B%E0%B9%87%E0%B8%94-Yala</x:v>
      </x:c>
      <x:c r="U467" s="20" t="str"/>
      <x:c r="V467" s="20" t="str"/>
      <x:c r="W467" s="20" t="str"/>
      <x:c r="X467" s="20" t="str"/>
      <x:c r="Y467" s="20" t="str">
        <x:v>https://www.google.com/maps/search/?api=1&amp;query=%E0%B8%A1%E0%B8%B9%E0%B8%AE%E0%B8%B1%E0%B8%A1%E0%B8%AB%E0%B8%A1%E0%B8%B1%E0%B8%94%E0%B8%AE%E0%B8%B2%E0%B8%A5%E0%B8%B5%E0%B8%A2%E0%B9%8C%20%E0%B8%82%E0%B9%89%E0%B8%B2%E0%B8%A7%E0%B8%AB%E0%B8%99%E0%B9%89%E0%B8%B2%E0%B9%80%E0%B8%9B%E0%B9%87%E0%B8%94%20%E0%B8%A2%E0%B8%B0%E0%B8%A5%E0%B8%B2</x:v>
      </x:c>
      <x:c r="Z467" s="56" t="n">
        <x:v>6.553102</x:v>
      </x:c>
      <x:c r="AA467" s="56" t="n">
        <x:v>101.293777</x:v>
      </x:c>
      <x:c r="AB467" s="57" t="str"/>
      <x:c r="AC467" s="20" t="str">
        <x:v>https://restaurantguru.com/%E0%B8%A1%E0%B8%B9%E0%B8%AE%E0%B8%B1%E0%B8%A1%E0%B8%AB%E0%B8%A1%E0%B8%B1%E0%B8%94%E0%B8%AD%E0%B8%B2%E0%B8%A5%E0%B8%B5%E0%B8%A2%E0%B9%8C-%E0%B8%82%E0%B9%89%E0%B8%B2%E0%B8%A7%E0%B8%AB%E0%B8%99%E0%B9%89%E0%B8%B2%E0%B9%80%E0%B8%9B%E0%B9%87%E0%B8%94-Yala</x:v>
      </x:c>
    </x:row>
    <x:row r="468" ht="88" customHeight="1">
      <x:c r="A468" s="54" t="n">
        <x:v>460</x:v>
      </x:c>
      <x:c r="B468" s="20" t="str">
        <x:v>เนื้อแท้ โลตัสยะลา</x:v>
      </x:c>
      <x:c r="C468" s="20" t="str">
        <x:v>ยะลา</x:v>
      </x:c>
      <x:c r="D468" s="20" t="str">
        <x:v>อาหาร</x:v>
      </x:c>
      <x:c r="E468" s="20" t="str">
        <x:v>พบข้อมูลชื่อตรงจาก รีวิวเนื้อแท้ โลตัสยะลา ร้านอาหารฮาลาลรสเด็ด พร้อมเมนูยอดนิยม; เป็นหลักฐานตัวตน/ประเภท ยังไม่ยืนยันบริการมุสลิมครบเกณฑ์</x:v>
      </x:c>
      <x:c r="F468" s="20" t="str">
        <x:v>ไม่ทราบ</x:v>
      </x:c>
      <x:c r="G468" s="20" t="str">
        <x:v>ยังไม่ยืนยันใบรับรองและวันหมดอายุ</x:v>
      </x:c>
      <x:c r="H468" s="20" t="str">
        <x:v>ตรวจการเปิด ตัวตนสาขา ช่องทางติดต่อ และเงื่อนไขบังคับตามประเภท</x:v>
      </x:c>
      <x:c r="I468" s="20" t="str">
        <x:v>ยังไม่ยืนยันที่อยู่ละเอียด ดูลิงก์แหล่งข้อมูลและ Google Maps</x:v>
      </x:c>
      <x:c r="J468" s="21" t="str">
        <x:v>ยังไม่พบหรือยังไม่ยืนยัน</x:v>
      </x:c>
      <x:c r="K468" s="51" t="str">
        <x:v>https://notes.tiktok.com/%40___literally/7634826907544322578?region=th</x:v>
      </x:c>
      <x:c r="L468" s="51" t="str">
        <x:v>https://th.trip.com/moments/detail/yala-1448263-153003699/</x:v>
      </x:c>
      <x:c r="M468" s="20" t="str">
        <x:v>พบแหล่งต่างเว็บไซต์ ร้านเนื้อแท้ | Trip.com อำเภอเมืองยะลา</x:v>
      </x:c>
      <x:c r="N468" s="28" t="n">
        <x:v>46316</x:v>
      </x:c>
      <x:c r="O468" s="57" t="str">
        <x:v>ยังไม่ตรวจ</x:v>
      </x:c>
      <x:c r="P468" s="57" t="str">
        <x:v>ยังไม่ติดต่อ</x:v>
      </x:c>
      <x:c r="Q468" s="20" t="str">
        <x:v>R26-337</x:v>
      </x:c>
      <x:c r="R468" s="20" t="str"/>
      <x:c r="S468" s="20" t="str"/>
      <x:c r="T468" s="20" t="str">
        <x:v>https://notes.tiktok.com/%40___literally/7634826907544322578?region=th</x:v>
      </x:c>
      <x:c r="U468" s="20" t="str"/>
      <x:c r="V468" s="20" t="str"/>
      <x:c r="W468" s="20" t="str"/>
      <x:c r="X468" s="20" t="str">
        <x:v>https://notes.tiktok.com/%40___literally/7634826907544322578?region=th</x:v>
      </x:c>
      <x:c r="Y468" s="20" t="str">
        <x:v>https://www.google.com/maps/search/?api=1&amp;query=%E0%B9%80%E0%B8%99%E0%B8%B7%E0%B9%89%E0%B8%AD%E0%B9%81%E0%B8%97%E0%B9%89%20%E0%B9%82%E0%B8%A5%E0%B8%95%E0%B8%B1%E0%B8%AA%E0%B8%A2%E0%B8%B0%E0%B8%A5%E0%B8%B2%20%E0%B8%A2%E0%B8%B0%E0%B8%A5%E0%B8%B2</x:v>
      </x:c>
      <x:c r="Z468" s="56" t="str"/>
      <x:c r="AA468" s="56" t="str"/>
      <x:c r="AB468" s="57" t="str"/>
      <x:c r="AC468" s="20" t="str">
        <x:v>https://notes.tiktok.com/%40___literally/7634826907544322578?region=th</x:v>
      </x:c>
    </x:row>
    <x:row r="469" ht="88" customHeight="1">
      <x:c r="A469" s="54" t="n">
        <x:v>461</x:v>
      </x:c>
      <x:c r="B469" s="20" t="str">
        <x:v>โกกีม ก๋วยเตี๋ยวเนื้อตุ๋น</x:v>
      </x:c>
      <x:c r="C469" s="20" t="str">
        <x:v>ยะลา</x:v>
      </x:c>
      <x:c r="D469" s="20" t="str">
        <x:v>อาหาร</x:v>
      </x:c>
      <x:c r="E469" s="20" t="str">
        <x:v>พบข้อมูลชื่อตรงจาก โกเกี๋ยง ก๋วยเตี๋ยว​เนื้อ ก๋วยเตี๋ยว​หมู ริมคลองสามชัย (Kokiang beef noodle pork noodle)​, Hat Yai - Restaurant menu, prices and reviews; เป็นหลักฐานตัวตน/ประเภท ยังไม่ยืนยันบริการมุสลิมครบเกณฑ์</x:v>
      </x:c>
      <x:c r="F469" s="20" t="str">
        <x:v>ไม่ทราบ</x:v>
      </x:c>
      <x:c r="G469" s="20" t="str">
        <x:v>ยังไม่ยืนยันใบรับรองและวันหมดอายุ</x:v>
      </x:c>
      <x:c r="H469" s="20" t="str">
        <x:v>ตรวจการเปิด ตัวตนสาขา ช่องทางติดต่อ และเงื่อนไขบังคับตามประเภท</x:v>
      </x:c>
      <x:c r="I469" s="20" t="str">
        <x:v>ยังไม่ยืนยันที่อยู่ละเอียด ดูลิงก์แหล่งข้อมูลและ Google Maps</x:v>
      </x:c>
      <x:c r="J469" s="21" t="str">
        <x:v>ยังไม่พบหรือยังไม่ยืนยัน</x:v>
      </x:c>
      <x:c r="K469" s="51" t="str">
        <x:v>https://restaurantguru.com/%E0%B9%82%E0%B8%81%E0%B9%80%E0%B8%81%E0%B8%B5%E0%B9%8B%E0%B8%A2%E0%B8%87-%E0%B9%80%E0%B8%81%E0%B8%B2%E0%B9%80%E0%B8%AB%E0%B8%A5%E0%B8%B2%E0%B9%80%E0%B8%99%E0%B8%B7%E0%B9%89%E0%B8%AD%E0%B8%95%E0%B8%B8%E0%B9%8B%E0%B8%99%E0%B8%AB%E0%B8%99%E0%B9%89%E0%B8%B2%E0%B9%80%E0%B8%97%E0%B8%A8%E0%B8%9A%E0%B8%B2%E0%B8%A5-Hat-Yai</x:v>
      </x:c>
      <x:c r="L469" s="51" t="str">
        <x:v>https://www.wongnai.com/restaurants/2646394Qe-%E0%B8%A3%E0%B9%89%E0%B8%B2%E0%B8%99%E0%B8%81%E0%B9%8B%E0%B8%A7%E0%B8%A2%E0%B9%80%E0%B8%95%E0%B8%B5%E0%B9%8B%E0%B8%A2%E0%B8%A7%E0%B9%80%E0%B8%99%E0%B8%B7%E0%B9%89%E0%B8%AD%E0%B8%95%E0%B8%B8%E0%B9%8B%E0%B8%99-%E0%B9%82%E0%B8%81%E0%B8%81%E0%B8%B5%E0%B8%A1-%E0%B8%AE%E0%B8%B2%E0%B8%A5%E0%B8%B2%E0%B8%A5</x:v>
      </x:c>
      <x:c r="M469" s="20" t="str">
        <x:v>พบแหล่งต่างเว็บไซต์ ร้าน ร้านก๋วยเตี๋ยวเนื้อตุ๋น โกกีม ฮาลาล | รีวิวร้านอาหาร</x:v>
      </x:c>
      <x:c r="N469" s="28" t="n">
        <x:v>46316</x:v>
      </x:c>
      <x:c r="O469" s="57" t="str">
        <x:v>ยังไม่ตรวจ</x:v>
      </x:c>
      <x:c r="P469" s="57" t="str">
        <x:v>ยังไม่ติดต่อ</x:v>
      </x:c>
      <x:c r="Q469" s="20" t="str">
        <x:v>R26-334</x:v>
      </x:c>
      <x:c r="R469" s="20" t="str"/>
      <x:c r="S469" s="20" t="str"/>
      <x:c r="T469" s="20" t="str">
        <x:v>https://restaurantguru.com/%E0%B9%82%E0%B8%81%E0%B9%80%E0%B8%81%E0%B8%B5%E0%B9%8B%E0%B8%A2%E0%B8%87-%E0%B9%80%E0%B8%81%E0%B8%B2%E0%B9%80%E0%B8%AB%E0%B8%A5%E0%B8%B2%E0%B9%80%E0%B8%99%E0%B8%B7%E0%B9%89%E0%B8%AD%E0%B8%95%E0%B8%B8%E0%B9%8B%E0%B8%99%E0%B8%AB%E0%B8%99%E0%B9%89%E0%B8%B2%E0%B9%80%E0%B8%97%E0%B8%A8%E0%B8%9A%E0%B8%B2%E0%B8%A5-Hat-Yai</x:v>
      </x:c>
      <x:c r="U469" s="20" t="str"/>
      <x:c r="V469" s="20" t="str"/>
      <x:c r="W469" s="20" t="str"/>
      <x:c r="X469" s="20" t="str"/>
      <x:c r="Y469" s="20" t="str">
        <x:v>https://www.google.com/maps/search/?api=1&amp;query=%E0%B9%82%E0%B8%81%E0%B8%81%E0%B8%B5%E0%B8%A1%20%E0%B8%81%E0%B9%8B%E0%B8%A7%E0%B8%A2%E0%B9%80%E0%B8%95%E0%B8%B5%E0%B9%8B%E0%B8%A2%E0%B8%A7%E0%B9%80%E0%B8%99%E0%B8%B7%E0%B9%89%E0%B8%AD%E0%B8%95%E0%B8%B8%E0%B9%8B%E0%B8%99%20%E0%B8%A2%E0%B8%B0%E0%B8%A5%E0%B8%B2</x:v>
      </x:c>
      <x:c r="Z469" s="56" t="str"/>
      <x:c r="AA469" s="56" t="str"/>
      <x:c r="AB469" s="57" t="str"/>
      <x:c r="AC469" s="20" t="str">
        <x:v>https://restaurantguru.com/%E0%B9%82%E0%B8%81%E0%B9%80%E0%B8%81%E0%B8%B5%E0%B9%8B%E0%B8%A2%E0%B8%87-%E0%B9%80%E0%B8%81%E0%B8%B2%E0%B9%80%E0%B8%AB%E0%B8%A5%E0%B8%B2%E0%B9%80%E0%B8%99%E0%B8%B7%E0%B9%89%E0%B8%AD%E0%B8%95%E0%B8%B8%E0%B9%8B%E0%B8%99%E0%B8%AB%E0%B8%99%E0%B9%89%E0%B8%B2%E0%B9%80%E0%B8%97%E0%B8%A8%E0%B8%9A%E0%B8%B2%E0%B8%A5-Hat-Yai</x:v>
      </x:c>
    </x:row>
    <x:row r="470" ht="88" customHeight="1">
      <x:c r="A470" s="54" t="n">
        <x:v>462</x:v>
      </x:c>
      <x:c r="B470" s="20" t="str">
        <x:v>ทะเลหมอกอัยเยอร์เวง</x:v>
      </x:c>
      <x:c r="C470" s="20" t="str">
        <x:v>ยะลา</x:v>
      </x:c>
      <x:c r="D470" s="20" t="str">
        <x:v>ธรรมชาติ</x:v>
      </x:c>
      <x:c r="E470" s="20" t="str">
        <x:v>พบข้อมูลชื่อตรงจาก ทะเลหมอกอัยเยอร์เวงและสกายวอล์ค; เป็นหลักฐานตัวตน/ประเภท ยังไม่ยืนยันบริการมุสลิมครบเกณฑ์</x:v>
      </x:c>
      <x:c r="F470" s="20" t="str">
        <x:v>ไม่ทราบ</x:v>
      </x:c>
      <x:c r="G470" s="20" t="str">
        <x:v>ยังไม่ยืนยันใบรับรองและวันหมดอายุ</x:v>
      </x:c>
      <x:c r="H470" s="20" t="str">
        <x:v>ตรวจการเปิด ตัวตนสาขา ช่องทางติดต่อ และเงื่อนไขบังคับตามประเภท</x:v>
      </x:c>
      <x:c r="I470" s="20" t="str">
        <x:v>ยังไม่ยืนยันที่อยู่ละเอียด ดูลิงก์แหล่งข้อมูลและ Google Maps</x:v>
      </x:c>
      <x:c r="J470" s="21" t="str">
        <x:v>ยังไม่พบหรือยังไม่ยืนยัน</x:v>
      </x:c>
      <x:c r="K470" s="51" t="str">
        <x:v>https://www.betongcity.go.th/travel/detail/77</x:v>
      </x:c>
      <x:c r="L470" s="51" t="str">
        <x:v>https://www.forest.go.th/recreation/aiyerweng-rec/</x:v>
      </x:c>
      <x:c r="M470" s="20" t="str">
        <x:v>พบแหล่งต่างเว็บไซต์ ป่านันทนาการทะเลหมอกอัยเยอร์เวง - สำนักจัดการป่านันทนาการ</x:v>
      </x:c>
      <x:c r="N470" s="28" t="n">
        <x:v>46316</x:v>
      </x:c>
      <x:c r="O470" s="57" t="str">
        <x:v>ยังไม่ตรวจ</x:v>
      </x:c>
      <x:c r="P470" s="57" t="str">
        <x:v>ยังไม่ติดต่อ</x:v>
      </x:c>
      <x:c r="Q470" s="20" t="str">
        <x:v>R26-200</x:v>
      </x:c>
      <x:c r="R470" s="20" t="str"/>
      <x:c r="S470" s="20" t="str"/>
      <x:c r="T470" s="20" t="str">
        <x:v>https://www.betongcity.go.th/travel/detail/77</x:v>
      </x:c>
      <x:c r="U470" s="20" t="str"/>
      <x:c r="V470" s="20" t="str"/>
      <x:c r="W470" s="20" t="str"/>
      <x:c r="X470" s="20" t="str"/>
      <x:c r="Y470" s="20" t="str">
        <x:v>https://www.google.com/maps/search/?api=1&amp;query=%E0%B8%97%E0%B8%B0%E0%B9%80%E0%B8%A5%E0%B8%AB%E0%B8%A1%E0%B8%AD%E0%B8%81%E0%B8%AD%E0%B8%B1%E0%B8%A2%E0%B9%80%E0%B8%A2%E0%B8%AD%E0%B8%A3%E0%B9%8C%E0%B9%80%E0%B8%A7%E0%B8%87%20%E0%B8%A2%E0%B8%B0%E0%B8%A5%E0%B8%B2</x:v>
      </x:c>
      <x:c r="Z470" s="56" t="n">
        <x:v>5.977653</x:v>
      </x:c>
      <x:c r="AA470" s="56" t="n">
        <x:v>101.1814824</x:v>
      </x:c>
      <x:c r="AB470" s="57" t="str"/>
      <x:c r="AC470" s="20" t="str">
        <x:v>https://www.betongcity.go.th/travel/detail/77</x:v>
      </x:c>
    </x:row>
    <x:row r="471" ht="88" customHeight="1">
      <x:c r="A471" s="54" t="n">
        <x:v>463</x:v>
      </x:c>
      <x:c r="B471" s="20" t="str">
        <x:v>สวนดอกไม้เมืองหนาวเบตง</x:v>
      </x:c>
      <x:c r="C471" s="20" t="str">
        <x:v>ยะลา</x:v>
      </x:c>
      <x:c r="D471" s="20" t="str">
        <x:v>ธรรมชาติ</x:v>
      </x:c>
      <x:c r="E471" s="20" t="str">
        <x:v>พบข้อมูลชื่อตรงจาก ร่วมกิจกรรม ณ สวนดอกไม้เมืองหนาวเบตง (สวนหมื่นบุปผา) ต.ตาเนะแมเราะ อ.เบตง จ.ยะลา | กระทรวงการท่องเที่ยวและกีฬา; เป็นหลักฐานตัวตน/ประเภท ยังไม่ยืนยันบริการมุสลิมครบเกณฑ์</x:v>
      </x:c>
      <x:c r="F471" s="20" t="str">
        <x:v>ไม่ทราบ</x:v>
      </x:c>
      <x:c r="G471" s="20" t="str">
        <x:v>ยังไม่ยืนยันใบรับรองและวันหมดอายุ</x:v>
      </x:c>
      <x:c r="H471" s="20" t="str">
        <x:v>ตรวจการเปิด ตัวตนสาขา ช่องทางติดต่อ และเงื่อนไขบังคับตามประเภท</x:v>
      </x:c>
      <x:c r="I471" s="20" t="str">
        <x:v>ยังไม่ยืนยันที่อยู่ละเอียด ดูลิงก์แหล่งข้อมูลและ Google Maps</x:v>
      </x:c>
      <x:c r="J471" s="21" t="str">
        <x:v>ยังไม่พบหรือยังไม่ยืนยัน</x:v>
      </x:c>
      <x:c r="K471" s="51" t="str">
        <x:v>https://www.mots.go.th/news/1001039</x:v>
      </x:c>
      <x:c r="L471" s="51" t="str">
        <x:v>https://www.gplace.com/944890</x:v>
      </x:c>
      <x:c r="M471" s="20" t="str">
        <x:v>พบแหล่งต่างเว็บไซต์ สวนดอกไม้เมืองหนาวเบตง (Winter Flower Garden), ยะลา</x:v>
      </x:c>
      <x:c r="N471" s="28" t="n">
        <x:v>46316</x:v>
      </x:c>
      <x:c r="O471" s="57" t="str">
        <x:v>ยังไม่ตรวจ</x:v>
      </x:c>
      <x:c r="P471" s="57" t="str">
        <x:v>ยังไม่ติดต่อ</x:v>
      </x:c>
      <x:c r="Q471" s="20" t="str">
        <x:v>R26-201</x:v>
      </x:c>
      <x:c r="R471" s="20" t="str"/>
      <x:c r="S471" s="20" t="str"/>
      <x:c r="T471" s="20" t="str">
        <x:v>https://www.mots.go.th/news/1001039</x:v>
      </x:c>
      <x:c r="U471" s="20" t="str"/>
      <x:c r="V471" s="20" t="str"/>
      <x:c r="W471" s="20" t="str"/>
      <x:c r="X471" s="20" t="str"/>
      <x:c r="Y471" s="20" t="str">
        <x:v>https://www.google.com/maps/search/?api=1&amp;query=%E0%B8%AA%E0%B8%A7%E0%B8%99%E0%B8%94%E0%B8%AD%E0%B8%81%E0%B9%84%E0%B8%A1%E0%B9%89%E0%B9%80%E0%B8%A1%E0%B8%B7%E0%B8%AD%E0%B8%87%E0%B8%AB%E0%B8%99%E0%B8%B2%E0%B8%A7%E0%B9%80%E0%B8%9A%E0%B8%95%E0%B8%87%20%E0%B8%A2%E0%B8%B0%E0%B8%A5%E0%B8%B2</x:v>
      </x:c>
      <x:c r="Z471" s="56" t="str"/>
      <x:c r="AA471" s="56" t="str"/>
      <x:c r="AB471" s="57" t="str"/>
      <x:c r="AC471" s="20" t="str">
        <x:v>https://www.mots.go.th/news/1001039</x:v>
      </x:c>
    </x:row>
    <x:row r="472" ht="88" customHeight="1">
      <x:c r="A472" s="54" t="n">
        <x:v>464</x:v>
      </x:c>
      <x:c r="B472" s="20" t="str">
        <x:v>เขื่อนบางลาง</x:v>
      </x:c>
      <x:c r="C472" s="20" t="str">
        <x:v>ยะลา</x:v>
      </x:c>
      <x:c r="D472" s="20" t="str">
        <x:v>ธรรมชาติ</x:v>
      </x:c>
      <x:c r="E472" s="20" t="str">
        <x:v>พบข้อมูลชื่อตรงจาก เขื่อนบางลาง - สำนักงานการท่องเที่ยวและกีฬาจังหวัดยะลา; เป็นหลักฐานตัวตน/ประเภท ยังไม่ยืนยันบริการมุสลิมครบเกณฑ์</x:v>
      </x:c>
      <x:c r="F472" s="20" t="str">
        <x:v>ไม่ทราบ</x:v>
      </x:c>
      <x:c r="G472" s="20" t="str">
        <x:v>ยังไม่ยืนยันใบรับรองและวันหมดอายุ</x:v>
      </x:c>
      <x:c r="H472" s="20" t="str">
        <x:v>ตรวจการเปิด ตัวตนสาขา ช่องทางติดต่อ และเงื่อนไขบังคับตามประเภท</x:v>
      </x:c>
      <x:c r="I472" s="20" t="str">
        <x:v>ยังไม่ยืนยันที่อยู่ละเอียด ดูลิงก์แหล่งข้อมูลและ Google Maps</x:v>
      </x:c>
      <x:c r="J472" s="21" t="str">
        <x:v>ยังไม่พบหรือยังไม่ยืนยัน</x:v>
      </x:c>
      <x:c r="K472" s="51" t="str">
        <x:v>https://yala.mots.go.th/news/617</x:v>
      </x:c>
      <x:c r="L472" s="51" t="str">
        <x:v>https://www.thailandtourismdirectory.go.th/attraction/2006</x:v>
      </x:c>
      <x:c r="M472" s="20" t="str">
        <x:v>พบแหล่งต่างเว็บไซต์ เขื่อนบางลาง</x:v>
      </x:c>
      <x:c r="N472" s="28" t="n">
        <x:v>46316</x:v>
      </x:c>
      <x:c r="O472" s="57" t="str">
        <x:v>ยังไม่ตรวจ</x:v>
      </x:c>
      <x:c r="P472" s="57" t="str">
        <x:v>ยังไม่ติดต่อ</x:v>
      </x:c>
      <x:c r="Q472" s="20" t="str">
        <x:v>R26-199</x:v>
      </x:c>
      <x:c r="R472" s="20" t="str"/>
      <x:c r="S472" s="20" t="str"/>
      <x:c r="T472" s="20" t="str">
        <x:v>https://yala.mots.go.th/news/617</x:v>
      </x:c>
      <x:c r="U472" s="20" t="str"/>
      <x:c r="V472" s="20" t="str"/>
      <x:c r="W472" s="20" t="str"/>
      <x:c r="X472" s="20" t="str"/>
      <x:c r="Y472" s="20" t="str">
        <x:v>https://www.google.com/maps/search/?api=1&amp;query=%E0%B9%80%E0%B8%82%E0%B8%B7%E0%B9%88%E0%B8%AD%E0%B8%99%E0%B8%9A%E0%B8%B2%E0%B8%87%E0%B8%A5%E0%B8%B2%E0%B8%87%20%E0%B8%A2%E0%B8%B0%E0%B8%A5%E0%B8%B2</x:v>
      </x:c>
      <x:c r="Z472" s="56" t="n">
        <x:v>6.112734</x:v>
      </x:c>
      <x:c r="AA472" s="56" t="n">
        <x:v>101.286135</x:v>
      </x:c>
      <x:c r="AB472" s="57" t="str"/>
      <x:c r="AC472" s="20" t="str">
        <x:v>https://yala.mots.go.th/news/617</x:v>
      </x:c>
    </x:row>
    <x:row r="473" ht="88" customHeight="1">
      <x:c r="A473" s="54" t="n">
        <x:v>465</x:v>
      </x:c>
      <x:c r="B473" s="20" t="str">
        <x:v>ชุมชนบ้านจุฬาภรณ์พัฒนา 9</x:v>
      </x:c>
      <x:c r="C473" s="20" t="str">
        <x:v>ยะลา</x:v>
      </x:c>
      <x:c r="D473" s="20" t="str">
        <x:v>ชุมชน</x:v>
      </x:c>
      <x:c r="E473" s="20" t="str">
        <x:v>พบข้อมูลชื่อตรงจาก หมู่บ้านจุฬาภรณ์พัฒนา 9; เป็นหลักฐานตัวตน/ประเภท ยังไม่ยืนยันบริการมุสลิมครบเกณฑ์</x:v>
      </x:c>
      <x:c r="F473" s="20" t="str">
        <x:v>ไม่ทราบ</x:v>
      </x:c>
      <x:c r="G473" s="20" t="str">
        <x:v>ยังไม่ยืนยันใบรับรองและวันหมดอายุ</x:v>
      </x:c>
      <x:c r="H473" s="20" t="str">
        <x:v>ตรวจการเปิด ตัวตนสาขา ช่องทางติดต่อ และเงื่อนไขบังคับตามประเภท</x:v>
      </x:c>
      <x:c r="I473" s="20" t="str">
        <x:v>ยังไม่ยืนยันที่อยู่ละเอียด ดูลิงก์แหล่งข้อมูลและ Google Maps</x:v>
      </x:c>
      <x:c r="J473" s="21" t="str">
        <x:v>ยังไม่พบหรือยังไม่ยืนยัน</x:v>
      </x:c>
      <x:c r="K473" s="51" t="str">
        <x:v>https://yala.mots.go.th/news/682</x:v>
      </x:c>
      <x:c r="L473" s="51" t="str">
        <x:v>https://km.rdpb.go.th/Project/View/8307</x:v>
      </x:c>
      <x:c r="M473" s="20" t="str">
        <x:v>พบแหล่งต่างเว็บไซต์ โครงการ ฝายหมู่บ้านจุฬาภรณ์พัฒนา 9</x:v>
      </x:c>
      <x:c r="N473" s="28" t="n">
        <x:v>46316</x:v>
      </x:c>
      <x:c r="O473" s="57" t="str">
        <x:v>ยังไม่ตรวจ</x:v>
      </x:c>
      <x:c r="P473" s="57" t="str">
        <x:v>ยังไม่ติดต่อ</x:v>
      </x:c>
      <x:c r="Q473" s="20" t="str">
        <x:v>R26-202</x:v>
      </x:c>
      <x:c r="R473" s="20" t="str"/>
      <x:c r="S473" s="20" t="str"/>
      <x:c r="T473" s="20" t="str">
        <x:v>https://yala.mots.go.th/news/682</x:v>
      </x:c>
      <x:c r="U473" s="20" t="str"/>
      <x:c r="V473" s="20" t="str"/>
      <x:c r="W473" s="20" t="str"/>
      <x:c r="X473" s="20" t="str"/>
      <x:c r="Y473" s="20" t="str">
        <x:v>https://www.google.com/maps/search/?api=1&amp;query=%E0%B8%8A%E0%B8%B8%E0%B8%A1%E0%B8%8A%E0%B8%99%E0%B8%9A%E0%B9%89%E0%B8%B2%E0%B8%99%E0%B8%88%E0%B8%B8%E0%B8%AC%E0%B8%B2%E0%B8%A0%E0%B8%A3%E0%B8%93%E0%B9%8C%E0%B8%9E%E0%B8%B1%E0%B8%92%E0%B8%99%E0%B8%B2%209%20%E0%B8%A2%E0%B8%B0%E0%B8%A5%E0%B8%B2</x:v>
      </x:c>
      <x:c r="Z473" s="56" t="n">
        <x:v>6.542786</x:v>
      </x:c>
      <x:c r="AA473" s="56" t="n">
        <x:v>101.28089</x:v>
      </x:c>
      <x:c r="AB473" s="57" t="str"/>
      <x:c r="AC473" s="20" t="str">
        <x:v>https://yala.mots.go.th/news/682</x:v>
      </x:c>
    </x:row>
    <x:row r="474" ht="88" customHeight="1">
      <x:c r="A474" s="54" t="n">
        <x:v>466</x:v>
      </x:c>
      <x:c r="B474" s="20" t="str">
        <x:v>ชุมชนบ้านบ่อน้ำร้อน เบตง</x:v>
      </x:c>
      <x:c r="C474" s="20" t="str">
        <x:v>ยะลา</x:v>
      </x:c>
      <x:c r="D474" s="20" t="str">
        <x:v>ชุมชน</x:v>
      </x:c>
      <x:c r="E474" s="20" t="str">
        <x:v>พบข้อมูลชื่อตรงจาก บ้านบ่อน้ำร้อน; เป็นหลักฐานตัวตน/ประเภท ยังไม่ยืนยันบริการมุสลิมครบเกณฑ์</x:v>
      </x:c>
      <x:c r="F474" s="20" t="str">
        <x:v>ไม่ทราบ</x:v>
      </x:c>
      <x:c r="G474" s="20" t="str">
        <x:v>ยังไม่ยืนยันใบรับรองและวันหมดอายุ</x:v>
      </x:c>
      <x:c r="H474" s="20" t="str">
        <x:v>ตรวจการเปิด ตัวตนสาขา ช่องทางติดต่อ และเงื่อนไขบังคับตามประเภท</x:v>
      </x:c>
      <x:c r="I474" s="20" t="str">
        <x:v>ยังไม่ยืนยันที่อยู่ละเอียด ดูลิงก์แหล่งข้อมูลและ Google Maps</x:v>
      </x:c>
      <x:c r="J474" s="21" t="str">
        <x:v>ยังไม่พบหรือยังไม่ยืนยัน</x:v>
      </x:c>
      <x:c r="K474" s="51" t="str">
        <x:v>https://www.thaiverse.net/tourism/QwhKcU</x:v>
      </x:c>
      <x:c r="L474" s="51" t="str">
        <x:v>https://www.youtube.com/watch?v=_2Qwq50ZYyM</x:v>
      </x:c>
      <x:c r="M474" s="20" t="str">
        <x:v>พบแหล่งต่างเว็บไซต์ เที่ยวชุมชนคุณธรรมบ้านบ่อน้ำร้อนเบตง จ.ยะลา | ทุกทิศทั่วไทย - YouTube</x:v>
      </x:c>
      <x:c r="N474" s="28" t="n">
        <x:v>46316</x:v>
      </x:c>
      <x:c r="O474" s="57" t="str">
        <x:v>ยังไม่ตรวจ</x:v>
      </x:c>
      <x:c r="P474" s="57" t="str">
        <x:v>ยังไม่ติดต่อ</x:v>
      </x:c>
      <x:c r="Q474" s="20" t="str">
        <x:v>R26-203</x:v>
      </x:c>
      <x:c r="R474" s="20" t="str"/>
      <x:c r="S474" s="20" t="str"/>
      <x:c r="T474" s="20" t="str">
        <x:v>https://www.thaiverse.net/tourism/QwhKcU</x:v>
      </x:c>
      <x:c r="U474" s="20" t="str"/>
      <x:c r="V474" s="20" t="str"/>
      <x:c r="W474" s="20" t="str"/>
      <x:c r="X474" s="20" t="str"/>
      <x:c r="Y474" s="20" t="str">
        <x:v>https://www.google.com/maps/search/?api=1&amp;query=%E0%B8%8A%E0%B8%B8%E0%B8%A1%E0%B8%8A%E0%B8%99%E0%B8%9A%E0%B9%89%E0%B8%B2%E0%B8%99%E0%B8%9A%E0%B9%88%E0%B8%AD%E0%B8%99%E0%B9%89%E0%B8%B3%E0%B8%A3%E0%B9%89%E0%B8%AD%E0%B8%99%20%E0%B9%80%E0%B8%9A%E0%B8%95%E0%B8%87%20%E0%B8%A2%E0%B8%B0%E0%B8%A5%E0%B8%B2</x:v>
      </x:c>
      <x:c r="Z474" s="56" t="n">
        <x:v>5.773694</x:v>
      </x:c>
      <x:c r="AA474" s="56" t="n">
        <x:v>101.061335</x:v>
      </x:c>
      <x:c r="AB474" s="57" t="str"/>
      <x:c r="AC474" s="20" t="str">
        <x:v>https://www.thaiverse.net/tourism/QwhKcU</x:v>
      </x:c>
    </x:row>
    <x:row r="475" ht="88" customHeight="1">
      <x:c r="A475" s="54" t="n">
        <x:v>467</x:v>
      </x:c>
      <x:c r="B475" s="20" t="str">
        <x:v>ลันเบอร์เกอร์ ท่าศาลา</x:v>
      </x:c>
      <x:c r="C475" s="20" t="str">
        <x:v>นครศรีธรรมราช</x:v>
      </x:c>
      <x:c r="D475" s="20" t="str">
        <x:v>อาหาร</x:v>
      </x:c>
      <x:c r="E475" s="20" t="str">
        <x:v>พบข้อมูลชื่อตรงจาก ร้านลันเบอร์เกอร์; เป็นหลักฐานตัวตน/ประเภท ยังไม่ยืนยันบริการมุสลิมครบเกณฑ์</x:v>
      </x:c>
      <x:c r="F475" s="20" t="str">
        <x:v>ไม่ทราบ</x:v>
      </x:c>
      <x:c r="G475" s="20" t="str">
        <x:v>ยังไม่ยืนยันใบรับรองและวันหมดอายุ</x:v>
      </x:c>
      <x:c r="H475" s="20" t="str">
        <x:v>ตรวจการเปิด ตัวตนสาขา ช่องทางติดต่อ และเงื่อนไขบังคับตามประเภท</x:v>
      </x:c>
      <x:c r="I475" s="20" t="str">
        <x:v>ยังไม่ยืนยันที่อยู่ละเอียด ดูลิงก์แหล่งข้อมูลและ Google Maps</x:v>
      </x:c>
      <x:c r="J475" s="21" t="str">
        <x:v>ยังไม่พบหรือยังไม่ยืนยัน</x:v>
      </x:c>
      <x:c r="K475" s="51" t="str">
        <x:v>https://dcg.wu.ac.th/wp-content/uploads/2025/05/%E0%B8%A3%E0%B8%B2%E0%B8%A2%E0%B8%A5%E0%B8%B0%E0%B9%80%E0%B8%AD%E0%B8%B5%E0%B8%A2%E0%B8%94%E0%B8%A3%E0%B9%89%E0%B8%B2%E0%B8%99%E0%B8%94%E0%B8%B1%E0%B8%87%E0%B8%97%E0%B9%88%E0%B8%B2%E0%B8%A8%E0%B8%B2%E0%B8%A5%E0%B8%B2.pdf</x:v>
      </x:c>
      <x:c r="L475" s="51" t="str">
        <x:v>https://th.tripadvisor.com/Restaurant_Review-g2237660-d12912707-Reviews-Lun_Burger-Tha_Sala_Nakhon_Si_Thammarat_Province.html</x:v>
      </x:c>
      <x:c r="M475" s="20" t="str">
        <x:v>พบแหล่งต่างเว็บไซต์ ลันเบอเกอร์, ท่าศาลา - รีวิวร้านอาหาร - Tripadvisor</x:v>
      </x:c>
      <x:c r="N475" s="28" t="n">
        <x:v>46316</x:v>
      </x:c>
      <x:c r="O475" s="57" t="str">
        <x:v>ยังไม่ตรวจ</x:v>
      </x:c>
      <x:c r="P475" s="57" t="str">
        <x:v>ยังไม่ติดต่อ</x:v>
      </x:c>
      <x:c r="Q475" s="20" t="str">
        <x:v>R26-099</x:v>
      </x:c>
      <x:c r="R475" s="20" t="str"/>
      <x:c r="S475" s="20" t="str"/>
      <x:c r="T475" s="20" t="str">
        <x:v>https://dcg.wu.ac.th/wp-content/uploads/2025/05/%E0%B8%A3%E0%B8%B2%E0%B8%A2%E0%B8%A5%E0%B8%B0%E0%B9%80%E0%B8%AD%E0%B8%B5%E0%B8%A2%E0%B8%94%E0%B8%A3%E0%B9%89%E0%B8%B2%E0%B8%99%E0%B8%94%E0%B8%B1%E0%B8%87%E0%B8%97%E0%B9%88%E0%B8%B2%E0%B8%A8%E0%B8%B2%E0%B8%A5%E0%B8%B2.pdf</x:v>
      </x:c>
      <x:c r="U475" s="20" t="str"/>
      <x:c r="V475" s="20" t="str"/>
      <x:c r="W475" s="20" t="str"/>
      <x:c r="X475" s="20" t="str"/>
      <x:c r="Y475" s="20" t="str">
        <x:v>https://www.google.com/maps/search/?api=1&amp;query=%E0%B8%A5%E0%B8%B1%E0%B8%99%E0%B9%80%E0%B8%9A%E0%B8%AD%E0%B8%A3%E0%B9%8C%E0%B9%80%E0%B8%81%E0%B8%AD%E0%B8%A3%E0%B9%8C%20%E0%B8%97%E0%B9%88%E0%B8%B2%E0%B8%A8%E0%B8%B2%E0%B8%A5%E0%B8%B2%20%E0%B8%99%E0%B8%84%E0%B8%A3%E0%B8%A8%E0%B8%A3%E0%B8%B5%E0%B8%98%E0%B8%A3%E0%B8%A3%E0%B8%A1%E0%B8%A3%E0%B8%B2%E0%B8%8A</x:v>
      </x:c>
      <x:c r="Z475" s="56" t="str"/>
      <x:c r="AA475" s="56" t="str"/>
      <x:c r="AB475" s="57" t="str"/>
      <x:c r="AC475" s="20" t="str">
        <x:v>https://dcg.wu.ac.th/wp-content/uploads/2025/05/%E0%B8%A3%E0%B8%B2%E0%B8%A2%E0%B8%A5%E0%B8%B0%E0%B9%80%E0%B8%AD%E0%B8%B5%E0%B8%A2%E0%B8%94%E0%B8%A3%E0%B9%89%E0%B8%B2%E0%B8%99%E0%B8%94%E0%B8%B1%E0%B8%87%E0%B8%97%E0%B9%88%E0%B8%B2%E0%B8%A8%E0%B8%B2%E0%B8%A5%E0%B8%B2.pdf</x:v>
      </x:c>
    </x:row>
    <x:row r="476" ht="88" customHeight="1">
      <x:c r="A476" s="54" t="n">
        <x:v>468</x:v>
      </x:c>
      <x:c r="B476" s="20" t="str">
        <x:v>มัสยิดกลางจังหวัดนครศรีธรรมราช</x:v>
      </x:c>
      <x:c r="C476" s="20" t="str">
        <x:v>นครศรีธรรมราช</x:v>
      </x:c>
      <x:c r="D476" s="20" t="str">
        <x:v>มัสยิด</x:v>
      </x:c>
      <x:c r="E476" s="20" t="str">
        <x:v>พบข้อมูลชื่อตรงจาก มัสยิดกลางจังหวัดนครศรีธรรมราช; เป็นหลักฐานตัวตน/ประเภท ยังไม่ยืนยันบริการมุสลิมครบเกณฑ์</x:v>
      </x:c>
      <x:c r="F476" s="20" t="str">
        <x:v>ไม่ทราบ</x:v>
      </x:c>
      <x:c r="G476" s="20" t="str">
        <x:v>ยังไม่ยืนยันใบรับรองและวันหมดอายุ</x:v>
      </x:c>
      <x:c r="H47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476" s="20" t="str">
        <x:v>ยังไม่ยืนยันที่อยู่ละเอียด ดูลิงก์แหล่งข้อมูลและ Google Maps</x:v>
      </x:c>
      <x:c r="J476" s="21" t="str">
        <x:v>ยังไม่พบหรือยังไม่ยืนยัน</x:v>
      </x:c>
      <x:c r="K476" s="51" t="str">
        <x:v>https://www.thailandtourismdirectory.go.th/attraction/21521</x:v>
      </x:c>
      <x:c r="L476" s="51" t="str">
        <x:v>https://www.youtube.com/watch?v=PbIei9Z8eOc</x:v>
      </x:c>
      <x:c r="M476" s="20" t="str">
        <x:v>พบแหล่งต่างเว็บไซต์ มัสยิดกลางจังหวัดนครศรีธรรมราช - YouTube</x:v>
      </x:c>
      <x:c r="N476" s="28" t="n">
        <x:v>46316</x:v>
      </x:c>
      <x:c r="O476" s="57" t="str">
        <x:v>ยังไม่ตรวจ</x:v>
      </x:c>
      <x:c r="P476" s="57" t="str">
        <x:v>ยังไม่ติดต่อ</x:v>
      </x:c>
      <x:c r="Q476" s="20" t="str">
        <x:v>R26-100</x:v>
      </x:c>
      <x:c r="R476" s="20" t="str"/>
      <x:c r="S476" s="20" t="str"/>
      <x:c r="T476" s="20" t="str">
        <x:v>https://www.thailandtourismdirectory.go.th/attraction/21521</x:v>
      </x:c>
      <x:c r="U476" s="20" t="str"/>
      <x:c r="V476" s="20" t="str"/>
      <x:c r="W476" s="20" t="str"/>
      <x:c r="X476" s="20" t="str"/>
      <x:c r="Y476" s="20" t="str">
        <x:v>https://www.google.com/maps/search/?api=1&amp;query=%E0%B8%A1%E0%B8%B1%E0%B8%AA%E0%B8%A2%E0%B8%B4%E0%B8%94%E0%B8%81%E0%B8%A5%E0%B8%B2%E0%B8%87%E0%B8%88%E0%B8%B1%E0%B8%87%E0%B8%AB%E0%B8%A7%E0%B8%B1%E0%B8%94%E0%B8%99%E0%B8%84%E0%B8%A3%E0%B8%A8%E0%B8%A3%E0%B8%B5%E0%B8%98%E0%B8%A3%E0%B8%A3%E0%B8%A1%E0%B8%A3%E0%B8%B2%E0%B8%8A%20%E0%B8%99%E0%B8%84%E0%B8%A3%E0%B8%A8%E0%B8%A3%E0%B8%B5%E0%B8%98%E0%B8%A3%E0%B8%A3%E0%B8%A1%E0%B8%A3%E0%B8%B2%E0%B8%8A</x:v>
      </x:c>
      <x:c r="Z476" s="56" t="n">
        <x:v>8.466954</x:v>
      </x:c>
      <x:c r="AA476" s="56" t="n">
        <x:v>99.92243</x:v>
      </x:c>
      <x:c r="AB476" s="57" t="str"/>
      <x:c r="AC476" s="20" t="str">
        <x:v>https://www.thailandtourismdirectory.go.th/attraction/21521</x:v>
      </x:c>
    </x:row>
    <x:row r="477" ht="88" customHeight="1">
      <x:c r="A477" s="54" t="n">
        <x:v>469</x:v>
      </x:c>
      <x:c r="B477" s="20" t="str">
        <x:v>เมืองเก่านครศรีธรรมราช</x:v>
      </x:c>
      <x:c r="C477" s="20" t="str">
        <x:v>นครศรีธรรมราช</x:v>
      </x:c>
      <x:c r="D477" s="20" t="str">
        <x:v>ประวัติ</x:v>
      </x:c>
      <x:c r="E477" s="20" t="str">
        <x:v>พบข้อมูลชื่อตรงจาก เมืองเก่านครศรีธรรมราช; เป็นหลักฐานตัวตน/ประเภท ยังไม่ยืนยันบริการมุสลิมครบเกณฑ์</x:v>
      </x:c>
      <x:c r="F477" s="20" t="str">
        <x:v>ไม่ทราบ</x:v>
      </x:c>
      <x:c r="G477" s="20" t="str">
        <x:v>ยังไม่ยืนยันใบรับรองและวันหมดอายุ</x:v>
      </x:c>
      <x:c r="H477" s="20" t="str">
        <x:v>ตรวจการเปิด ตัวตนสาขา ช่องทางติดต่อ และเงื่อนไขบังคับตามประเภท</x:v>
      </x:c>
      <x:c r="I477" s="20" t="str">
        <x:v>ยังไม่ยืนยันที่อยู่ละเอียด ดูลิงก์แหล่งข้อมูลและ Google Maps</x:v>
      </x:c>
      <x:c r="J477" s="21" t="str">
        <x:v>ยังไม่พบหรือยังไม่ยืนยัน</x:v>
      </x:c>
      <x:c r="K477" s="51" t="str">
        <x:v>https://nced.onep.go.th/knowledge/oldtown/scenario_oldtown.pdf</x:v>
      </x:c>
      <x:c r="L477" s="51" t="str">
        <x:v>https://nakhonsithammarat.prd.go.th/th/content/category/detail/id/13/cid/9/iid/507348</x:v>
      </x:c>
      <x:c r="M477" s="20" t="str">
        <x:v>พบแหล่งต่างเว็บไซต์ จังหวัดนครศรีธรรมราช เดินหน้าขับเคลื่อน “เมืองเก่ามรดกอารยธรรมที่มีชีวิต” พร้อมเปิดเวทีภาคประชาชนร่วมอนุรักษ์และพัฒนาเมืองเก่า วันนี้(28 พ.ค.69) ที่ห้องประชุมศรีปราชญ์ ชั้น 3 ศาลากลางจังหวัดนครศรีธรรมราช นายสมชาย ลีหล้าน้อย ผู้ว่าราชการจังหวัดนครศรีธรรมราช มอบหมายให้นางวจิราพร อมาตยกุล รองผู้ว่าราชการจังหวัดนครศรีธรรมราช เป็นประธานในการประชุมคณะอนุกรรมการอนุรักษ์และพัฒนาเมืองเก่านครศรีธรรมราช ครั้งที่ 1/2569 เพื่อขับเคลื่อนแนวทางการอนุรักษ์ ฟื้นฟู และพัฒนาเมืองเก่านครศรีธรรมราชให้ก้าวสู่การเป็น</x:v>
      </x:c>
      <x:c r="N477" s="28" t="n">
        <x:v>46316</x:v>
      </x:c>
      <x:c r="O477" s="57" t="str">
        <x:v>ยังไม่ตรวจ</x:v>
      </x:c>
      <x:c r="P477" s="57" t="str">
        <x:v>ยังไม่ติดต่อ</x:v>
      </x:c>
      <x:c r="Q477" s="20" t="str">
        <x:v>R26-103</x:v>
      </x:c>
      <x:c r="R477" s="20" t="str"/>
      <x:c r="S477" s="20" t="str"/>
      <x:c r="T477" s="20" t="str">
        <x:v>https://nced.onep.go.th/knowledge/oldtown/scenario_oldtown.pdf</x:v>
      </x:c>
      <x:c r="U477" s="20" t="str"/>
      <x:c r="V477" s="20" t="str"/>
      <x:c r="W477" s="20" t="str"/>
      <x:c r="X477" s="20" t="str"/>
      <x:c r="Y477" s="20" t="str">
        <x:v>https://www.google.com/maps/search/?api=1&amp;query=%E0%B9%80%E0%B8%A1%E0%B8%B7%E0%B8%AD%E0%B8%87%E0%B9%80%E0%B8%81%E0%B9%88%E0%B8%B2%E0%B8%99%E0%B8%84%E0%B8%A3%E0%B8%A8%E0%B8%A3%E0%B8%B5%E0%B8%98%E0%B8%A3%E0%B8%A3%E0%B8%A1%E0%B8%A3%E0%B8%B2%E0%B8%8A%20%E0%B8%99%E0%B8%84%E0%B8%A3%E0%B8%A8%E0%B8%A3%E0%B8%B5%E0%B8%98%E0%B8%A3%E0%B8%A3%E0%B8%A1%E0%B8%A3%E0%B8%B2%E0%B8%8A</x:v>
      </x:c>
      <x:c r="Z477" s="56" t="str"/>
      <x:c r="AA477" s="56" t="str"/>
      <x:c r="AB477" s="57" t="str"/>
      <x:c r="AC477" s="20" t="str">
        <x:v>https://nced.onep.go.th/knowledge/oldtown/scenario_oldtown.pdf</x:v>
      </x:c>
    </x:row>
    <x:row r="478" ht="88" customHeight="1">
      <x:c r="A478" s="54" t="n">
        <x:v>470</x:v>
      </x:c>
      <x:c r="B478" s="20" t="str">
        <x:v>ชุมชนบ้านคีรีวง</x:v>
      </x:c>
      <x:c r="C478" s="20" t="str">
        <x:v>นครศรีธรรมราช</x:v>
      </x:c>
      <x:c r="D478" s="20" t="str">
        <x:v>ชุมชน</x:v>
      </x:c>
      <x:c r="E478" s="20" t="str">
        <x:v>พบข้อมูลชื่อตรงจาก บ้านคีรีวง; เป็นหลักฐานตัวตน/ประเภท ยังไม่ยืนยันบริการมุสลิมครบเกณฑ์</x:v>
      </x:c>
      <x:c r="F478" s="20" t="str">
        <x:v>ไม่ทราบ</x:v>
      </x:c>
      <x:c r="G478" s="20" t="str">
        <x:v>ยังไม่ยืนยันใบรับรองและวันหมดอายุ</x:v>
      </x:c>
      <x:c r="H478" s="20" t="str">
        <x:v>ตรวจการเปิด ตัวตนสาขา ช่องทางติดต่อ และเงื่อนไขบังคับตามประเภท</x:v>
      </x:c>
      <x:c r="I478" s="20" t="str">
        <x:v>ยังไม่ยืนยันที่อยู่ละเอียด ดูลิงก์แหล่งข้อมูลและ Google Maps</x:v>
      </x:c>
      <x:c r="J478" s="21" t="str">
        <x:v>ยังไม่พบหรือยังไม่ยืนยัน</x:v>
      </x:c>
      <x:c r="K478" s="51" t="str">
        <x:v>https://wikicommunity.sac.or.th/community/1059</x:v>
      </x:c>
      <x:c r="L478" s="51" t="str">
        <x:v>https://elibrary.tsri.or.th/fullP/RDG60T0188/RDG60T0188_full.pdf</x:v>
      </x:c>
      <x:c r="M478" s="20" t="str">
        <x:v>พบแหล่งต่างเว็บไซต์ 4.4.1 หมู่บ้านคีรีวง</x:v>
      </x:c>
      <x:c r="N478" s="28" t="n">
        <x:v>46316</x:v>
      </x:c>
      <x:c r="O478" s="57" t="str">
        <x:v>ยังไม่ตรวจ</x:v>
      </x:c>
      <x:c r="P478" s="57" t="str">
        <x:v>ยังไม่ติดต่อ</x:v>
      </x:c>
      <x:c r="Q478" s="20" t="str">
        <x:v>R26-101</x:v>
      </x:c>
      <x:c r="R478" s="20" t="str"/>
      <x:c r="S478" s="20" t="str"/>
      <x:c r="T478" s="20" t="str">
        <x:v>https://wikicommunity.sac.or.th/community/1059</x:v>
      </x:c>
      <x:c r="U478" s="20" t="str"/>
      <x:c r="V478" s="20" t="str"/>
      <x:c r="W478" s="20" t="str"/>
      <x:c r="X478" s="20" t="str"/>
      <x:c r="Y478" s="20" t="str">
        <x:v>https://www.google.com/maps/search/?api=1&amp;query=%E0%B8%8A%E0%B8%B8%E0%B8%A1%E0%B8%8A%E0%B8%99%E0%B8%9A%E0%B9%89%E0%B8%B2%E0%B8%99%E0%B8%84%E0%B8%B5%E0%B8%A3%E0%B8%B5%E0%B8%A7%E0%B8%87%20%E0%B8%99%E0%B8%84%E0%B8%A3%E0%B8%A8%E0%B8%A3%E0%B8%B5%E0%B8%98%E0%B8%A3%E0%B8%A3%E0%B8%A1%E0%B8%A3%E0%B8%B2%E0%B8%8A</x:v>
      </x:c>
      <x:c r="Z478" s="56" t="n">
        <x:v>8.432497</x:v>
      </x:c>
      <x:c r="AA478" s="56" t="n">
        <x:v>99.78272</x:v>
      </x:c>
      <x:c r="AB478" s="57" t="str"/>
      <x:c r="AC478" s="20" t="str">
        <x:v>https://wikicommunity.sac.or.th/community/1059</x:v>
      </x:c>
    </x:row>
    <x:row r="479" ht="88" customHeight="1">
      <x:c r="A479" s="54" t="n">
        <x:v>471</x:v>
      </x:c>
      <x:c r="B479" s="20" t="str">
        <x:v>KIREE มัดย้อมสีธรรมชาติบ้านคีรีวง</x:v>
      </x:c>
      <x:c r="C479" s="20" t="str">
        <x:v>นครศรีธรรมราช</x:v>
      </x:c>
      <x:c r="D479" s="20" t="str">
        <x:v>กิจกรรม</x:v>
      </x:c>
      <x:c r="E479" s="20" t="str">
        <x:v>พบข้อมูลชื่อตรงจาก พช.นครศรีธรรมราช : ประชาสัมพันธ์รณรงค์การใช้และสวมใส่ผ้าไทย ผ้าไทยใส่ได้ทุกวัย ใส่ได้ทุกวัน “สืบสาน ภูษาศิลป์ ผ้าถิ่นเมืองนคร” ผ้ามัดย้อมสีธรรมชาติบ้านคีรีวง; เป็นหลักฐานตัวตน/ประเภท ยังไม่ยืนยันบริการมุสลิมครบเกณฑ์</x:v>
      </x:c>
      <x:c r="F479" s="20" t="str">
        <x:v>ไม่ทราบ</x:v>
      </x:c>
      <x:c r="G479" s="20" t="str">
        <x:v>ยังไม่ยืนยันใบรับรองและวันหมดอายุ</x:v>
      </x:c>
      <x:c r="H479" s="20" t="str">
        <x:v>ตรวจการเปิด ตัวตนสาขา ช่องทางติดต่อ และเงื่อนไขบังคับตามประเภท</x:v>
      </x:c>
      <x:c r="I479" s="20" t="str">
        <x:v>ยังไม่ยืนยันที่อยู่ละเอียด ดูลิงก์แหล่งข้อมูลและ Google Maps</x:v>
      </x:c>
      <x:c r="J479" s="21" t="str">
        <x:v>ยังไม่พบหรือยังไม่ยืนยัน</x:v>
      </x:c>
      <x:c r="K479" s="51" t="str">
        <x:v>https://nakhonsi.cdd.go.th/th/content/category/detail/id/74/iid/381180</x:v>
      </x:c>
      <x:c r="L479" s="51" t="str">
        <x:v>https://www.yellowpages.co.th/profile/%E0%B8%81%E0%B8%A5%E0%B8%B8%E0%B9%88%E0%B8%A1%E0%B8%A1%E0%B8%B1%E0%B8%94%E0%B8%A2%E0%B9%89%E0%B8%AD%E0%B8%A1%E0%B8%AA%E0%B8%B5%E0%B8%98%E0%B8%A3%E0%B8%A3%E0%B8%A1%E0%B8%8A%E0%B8%B2%E0%B8%95%E0%B8%B4%E0%B8%9A%E0%B9%89%E0%B8%B2%E0%B8%99%E0%B8%84%E0%B8%B5%E0%B8%A3%E0%B8%B5%E0%B8%A7%E0%B8%87-93kKPyl9i</x:v>
      </x:c>
      <x:c r="M479" s="20" t="str">
        <x:v>พบแหล่งต่างเว็บไซต์ กลุ่มมัดย้อมสีธรรมชาติบ้านคีรีวง | ไทยแลนด์ เยลโล่เพจเจส</x:v>
      </x:c>
      <x:c r="N479" s="28" t="n">
        <x:v>46316</x:v>
      </x:c>
      <x:c r="O479" s="57" t="str">
        <x:v>ยังไม่ตรวจ</x:v>
      </x:c>
      <x:c r="P479" s="57" t="str">
        <x:v>ยังไม่ติดต่อ</x:v>
      </x:c>
      <x:c r="Q479" s="20" t="str">
        <x:v>R26-102</x:v>
      </x:c>
      <x:c r="R479" s="20" t="str"/>
      <x:c r="S479" s="20" t="str"/>
      <x:c r="T479" s="20" t="str">
        <x:v>https://nakhonsi.cdd.go.th/th/content/category/detail/id/74/iid/381180</x:v>
      </x:c>
      <x:c r="U479" s="20" t="str"/>
      <x:c r="V479" s="20" t="str"/>
      <x:c r="W479" s="20" t="str"/>
      <x:c r="X479" s="20" t="str"/>
      <x:c r="Y479" s="20" t="str">
        <x:v>https://www.google.com/maps/search/?api=1&amp;query=KIREE%20%E0%B8%A1%E0%B8%B1%E0%B8%94%E0%B8%A2%E0%B9%89%E0%B8%AD%E0%B8%A1%E0%B8%AA%E0%B8%B5%E0%B8%98%E0%B8%A3%E0%B8%A3%E0%B8%A1%E0%B8%8A%E0%B8%B2%E0%B8%95%E0%B8%B4%E0%B8%9A%E0%B9%89%E0%B8%B2%E0%B8%99%E0%B8%84%E0%B8%B5%E0%B8%A3%E0%B8%B5%E0%B8%A7%E0%B8%87%20%E0%B8%99%E0%B8%84%E0%B8%A3%E0%B8%A8%E0%B8%A3%E0%B8%B5%E0%B8%98%E0%B8%A3%E0%B8%A3%E0%B8%A1%E0%B8%A3%E0%B8%B2%E0%B8%8A</x:v>
      </x:c>
      <x:c r="Z479" s="56" t="n">
        <x:v>8.418508</x:v>
      </x:c>
      <x:c r="AA479" s="56" t="n">
        <x:v>99.960908</x:v>
      </x:c>
      <x:c r="AB479" s="57" t="str"/>
      <x:c r="AC479" s="20" t="str">
        <x:v>https://nakhonsi.cdd.go.th/th/content/category/detail/id/74/iid/381180</x:v>
      </x:c>
    </x:row>
    <x:row r="480" ht="88" customHeight="1">
      <x:c r="A480" s="54" t="n">
        <x:v>472</x:v>
      </x:c>
      <x:c r="B480" s="20" t="str">
        <x:v>I Lay Resort Sichon</x:v>
      </x:c>
      <x:c r="C480" s="20" t="str">
        <x:v>นครศรีธรรมราช</x:v>
      </x:c>
      <x:c r="D480" s="20" t="str">
        <x:v>โรงแรมหรือรีสอร์ท</x:v>
      </x:c>
      <x:c r="E480" s="20" t="str">
        <x:v>มีรายชื่อใน Makan Halal Guide; ระบุมีห้องละหมาด</x:v>
      </x:c>
      <x:c r="F480" s="20" t="str">
        <x:v>มีข้อมูลระบุ แต่รอยืนยัน</x:v>
      </x:c>
      <x:c r="G480" s="20" t="str">
        <x:v>ยังไม่พบเอกสารรับรองและวันหมดอายุ</x:v>
      </x:c>
      <x:c r="H48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80" s="20" t="str">
        <x:v>ตำบล สิชล อำเภอ สิชล นครศรีธรรมราช 80120</x:v>
      </x:c>
      <x:c r="J480" s="21" t="str">
        <x:v>0966369689</x:v>
      </x:c>
      <x:c r="K480" s="51" t="str">
        <x:v>https://makanhalalguide.com/shop/detail/5941</x:v>
      </x:c>
      <x:c r="L480" s="51" t="str">
        <x:v>https://in.trip.com/moments/detail/nakhon-si-thammarat-1447082-134498184</x:v>
      </x:c>
      <x:c r="M480" s="20" t="str">
        <x:v>ผลค้นหาชื่อสัมพันธ์จากแหล่งเพิ่มเติม ต้องยืนยันสาขาและข้อมูลปัจจุบัน</x:v>
      </x:c>
      <x:c r="N480" s="28" t="n">
        <x:v>46315</x:v>
      </x:c>
      <x:c r="O480" s="57" t="str">
        <x:v>ยังไม่ตรวจ</x:v>
      </x:c>
      <x:c r="P480" s="57" t="str">
        <x:v>ยังไม่ติดต่อ</x:v>
      </x:c>
      <x:c r="Q480" s="20" t="str">
        <x:v>TMF-136</x:v>
      </x:c>
      <x:c r="R480" s="20" t="str">
        <x:v>I Lay Resort Sichon</x:v>
      </x:c>
      <x:c r="S480" s="20" t="str"/>
      <x:c r="T480" s="20" t="str">
        <x:v>https://makanhalalguide.com/shop/detail/5941</x:v>
      </x:c>
      <x:c r="U480" s="20" t="str"/>
      <x:c r="V480" s="20" t="str"/>
      <x:c r="W480" s="20" t="str"/>
      <x:c r="X480" s="20" t="str"/>
      <x:c r="Y480" s="20" t="str">
        <x:v>https://www.google.com/maps/search/?api=1&amp;query=I%20Lay%20Resort%20Sichon%20%E0%B8%99%E0%B8%84%E0%B8%A3%E0%B8%A8%E0%B8%A3%E0%B8%B5%E0%B8%98%E0%B8%A3%E0%B8%A3%E0%B8%A1%E0%B8%A3%E0%B8%B2%E0%B8%8A</x:v>
      </x:c>
      <x:c r="Z480" s="56" t="n">
        <x:v>8.972458</x:v>
      </x:c>
      <x:c r="AA480" s="56" t="n">
        <x:v>99.911062</x:v>
      </x:c>
      <x:c r="AB480" s="57" t="str"/>
      <x:c r="AC480" s="20" t="str">
        <x:v>https://makanhalalguide.com/shop/detail/5941</x:v>
      </x:c>
    </x:row>
    <x:row r="481" ht="88" customHeight="1">
      <x:c r="A481" s="54" t="n">
        <x:v>473</x:v>
      </x:c>
      <x:c r="B481" s="20" t="str">
        <x:v>โรงแรมทวินโลตัส จำกัด</x:v>
      </x:c>
      <x:c r="C481" s="20" t="str">
        <x:v>นครศรีธรรมราช</x:v>
      </x:c>
      <x:c r="D481" s="20" t="str">
        <x:v>โรงแรมหรือรีสอร์ท</x:v>
      </x:c>
      <x:c r="E481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481" s="20" t="str">
        <x:v>ไม่ทราบ</x:v>
      </x:c>
      <x:c r="G481" s="20" t="str">
        <x:v>ยังไม่พบเอกสารรับรองและวันหมดอายุ</x:v>
      </x:c>
      <x:c r="H481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481" s="20" t="str">
        <x:v>6 ถนนพัฒนาการคูขวาง ตำบลในเมือง อำเภอเมืองนครศรีธรรมราช จังหวัดนครศรีธรรมราช 80000 ตำบลในเมือง อำเภอเมืองนครศรีธรรมราช จังหวัดนครศรีธรรมราช 80000</x:v>
      </x:c>
      <x:c r="J481" s="21" t="str">
        <x:v>075-323821</x:v>
      </x:c>
      <x:c r="K481" s="51" t="str">
        <x:v>https://www.thic.or.th/th/tourist/detail/accommodation/207</x:v>
      </x:c>
      <x:c r="L481" s="51" t="str">
        <x:v>https://www.thaimiceconnect.com/business/detail/19668</x:v>
      </x:c>
      <x:c r="M481" s="20" t="str">
        <x:v>ผลค้นหาชื่อสัมพันธ์จากแหล่งเพิ่มเติม ต้องยืนยันสาขาและข้อมูลปัจจุบัน</x:v>
      </x:c>
      <x:c r="N481" s="28" t="n">
        <x:v>46315</x:v>
      </x:c>
      <x:c r="O481" s="57" t="str">
        <x:v>ยังไม่ตรวจ</x:v>
      </x:c>
      <x:c r="P481" s="57" t="str">
        <x:v>ยังไม่ติดต่อ</x:v>
      </x:c>
      <x:c r="Q481" s="20" t="str">
        <x:v>TMF-359</x:v>
      </x:c>
      <x:c r="R481" s="20" t="str"/>
      <x:c r="S481" s="20" t="str"/>
      <x:c r="T481" s="20" t="str">
        <x:v>https://www.thic.or.th/th/tourist/detail/accommodation/207</x:v>
      </x:c>
      <x:c r="U481" s="20" t="str"/>
      <x:c r="V481" s="20" t="str"/>
      <x:c r="W481" s="20" t="str"/>
      <x:c r="X481" s="20" t="str"/>
      <x:c r="Y481" s="20" t="str">
        <x:v>https://www.google.com/maps/search/?api=1&amp;query=%E0%B9%82%E0%B8%A3%E0%B8%87%E0%B9%81%E0%B8%A3%E0%B8%A1%E0%B8%97%E0%B8%A7%E0%B8%B4%E0%B8%99%E0%B9%82%E0%B8%A5%E0%B8%95%E0%B8%B1%E0%B8%AA%20%E0%B8%88%E0%B8%B3%E0%B8%81%E0%B8%B1%E0%B8%94%20%E0%B8%99%E0%B8%84%E0%B8%A3%E0%B8%A8%E0%B8%A3%E0%B8%B5%E0%B8%98%E0%B8%A3%E0%B8%A3%E0%B8%A1%E0%B8%A3%E0%B8%B2%E0%B8%8A</x:v>
      </x:c>
      <x:c r="Z481" s="56" t="n">
        <x:v>8.398865</x:v>
      </x:c>
      <x:c r="AA481" s="56" t="n">
        <x:v>99.975344</x:v>
      </x:c>
      <x:c r="AB481" s="57" t="str"/>
      <x:c r="AC481" s="20" t="str">
        <x:v>https://www.thic.or.th/th/tourist/detail/accommodation/207</x:v>
      </x:c>
    </x:row>
    <x:row r="482" ht="88" customHeight="1">
      <x:c r="A482" s="54" t="n">
        <x:v>474</x:v>
      </x:c>
      <x:c r="B482" s="20" t="str">
        <x:v>Kamin Halal Kitchen House</x:v>
      </x:c>
      <x:c r="C482" s="20" t="str">
        <x:v>นครศรีธรรมราช</x:v>
      </x:c>
      <x:c r="D482" s="20" t="str">
        <x:v>ร้านอาหาร</x:v>
      </x:c>
      <x:c r="E482" s="20" t="str">
        <x:v>มีรายชื่อใน Makan Halal Guide; ระบุมีห้องละหมาด</x:v>
      </x:c>
      <x:c r="F482" s="20" t="str">
        <x:v>มีข้อมูลระบุ แต่รอยืนยัน</x:v>
      </x:c>
      <x:c r="G482" s="20" t="str">
        <x:v>ยังไม่พบเอกสารรับรองและวันหมดอายุ</x:v>
      </x:c>
      <x:c r="H48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82" s="20" t="str">
        <x:v>ซอย ประตูขาว 1 ตำบล คลัง อำเภอเมืองนครศรีธรรมราช นครศรีธรรมราช 80000</x:v>
      </x:c>
      <x:c r="J482" s="21" t="str">
        <x:v>0972867615</x:v>
      </x:c>
      <x:c r="K482" s="51" t="str">
        <x:v>https://makanhalalguide.com/shop/detail/5950</x:v>
      </x:c>
      <x:c r="L482" s="51" t="str">
        <x:v>https://es.restaurantguru.com/Kamin-halal-kitchen-house-Nakhon-Si-Thammarat</x:v>
      </x:c>
      <x:c r="M482" s="20" t="str">
        <x:v>ผลค้นหาชื่อสัมพันธ์จากแหล่งเพิ่มเติม ต้องยืนยันสาขาและข้อมูลปัจจุบัน</x:v>
      </x:c>
      <x:c r="N482" s="28" t="n">
        <x:v>46315</x:v>
      </x:c>
      <x:c r="O482" s="57" t="str">
        <x:v>ยังไม่ตรวจ</x:v>
      </x:c>
      <x:c r="P482" s="57" t="str">
        <x:v>ยังไม่ติดต่อ</x:v>
      </x:c>
      <x:c r="Q482" s="20" t="str">
        <x:v>TMF-138</x:v>
      </x:c>
      <x:c r="R482" s="20" t="str">
        <x:v>Kamin Halal Kitchen House</x:v>
      </x:c>
      <x:c r="S482" s="20" t="str"/>
      <x:c r="T482" s="20" t="str">
        <x:v>https://makanhalalguide.com/shop/detail/5950</x:v>
      </x:c>
      <x:c r="U482" s="20" t="str"/>
      <x:c r="V482" s="20" t="str"/>
      <x:c r="W482" s="20" t="str"/>
      <x:c r="X482" s="20" t="str"/>
      <x:c r="Y482" s="20" t="str">
        <x:v>https://www.google.com/maps/search/?api=1&amp;query=Kamin%20Halal%20Kitchen%20House%20%E0%B8%99%E0%B8%84%E0%B8%A3%E0%B8%A8%E0%B8%A3%E0%B8%B5%E0%B8%98%E0%B8%A3%E0%B8%A3%E0%B8%A1%E0%B8%A3%E0%B8%B2%E0%B8%8A</x:v>
      </x:c>
      <x:c r="Z482" s="56" t="n">
        <x:v>8.431521</x:v>
      </x:c>
      <x:c r="AA482" s="56" t="n">
        <x:v>99.968418</x:v>
      </x:c>
      <x:c r="AB482" s="57" t="str"/>
      <x:c r="AC482" s="20" t="str">
        <x:v>https://makanhalalguide.com/shop/detail/5950</x:v>
      </x:c>
    </x:row>
    <x:row r="483" ht="88" customHeight="1">
      <x:c r="A483" s="54" t="n">
        <x:v>475</x:v>
      </x:c>
      <x:c r="B483" s="20" t="str">
        <x:v>ของบังดี ฮาลาลช็อป นครศรีธรรมราช</x:v>
      </x:c>
      <x:c r="C483" s="20" t="str">
        <x:v>นครศรีธรรมราช</x:v>
      </x:c>
      <x:c r="D483" s="20" t="str">
        <x:v>ร้านอาหาร</x:v>
      </x:c>
      <x:c r="E483" s="20" t="str">
        <x:v>มีรายชื่อใน Makan Halal Guide; ระบุมีห้องละหมาด</x:v>
      </x:c>
      <x:c r="F483" s="20" t="str">
        <x:v>มีข้อมูลระบุ แต่รอยืนยัน</x:v>
      </x:c>
      <x:c r="G483" s="20" t="str">
        <x:v>ยังไม่พบเอกสารรับรองและวันหมดอายุ</x:v>
      </x:c>
      <x:c r="H48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83" s="20" t="str">
        <x:v>1/37 ถนน พัฒนาการคูขวาง 26 ซอยศรีนคร ตำบลคลัง ตำบลคลัง อำเอำเภอเมือง จังหวัดนครศรีธรรมราช 80000 (ประตูสีดำ จากปากซอย 100 เมตรอยู่ขวามือ)  </x:v>
      </x:c>
      <x:c r="J483" s="21" t="str">
        <x:v>0887612281</x:v>
      </x:c>
      <x:c r="K483" s="51" t="str">
        <x:v>https://makanhalalguide.com/shop/detail/4873</x:v>
      </x:c>
      <x:c r="L483" s="51" t="str">
        <x:v>https://www.wongnai.com/restaurants/737160fn-%E0%B8%A3%E0%B9%89%E0%B8%B2%E0%B8%99%E0%B8%82%E0%B8%AD%E0%B8%87%E0%B8%9A%E0%B8%B1%E0%B8%87%E0%B8%94%E0%B8%B5%E0%B8%84%E0%B8%B2%E0%B9%80%E0%B8%9F%E0%B9%88</x:v>
      </x:c>
      <x:c r="M483" s="20" t="str">
        <x:v>ผลค้นหาชื่อสัมพันธ์จากแหล่งเพิ่มเติม ต้องยืนยันสาขาและข้อมูลปัจจุบัน</x:v>
      </x:c>
      <x:c r="N483" s="28" t="n">
        <x:v>46315</x:v>
      </x:c>
      <x:c r="O483" s="57" t="str">
        <x:v>ยังไม่ตรวจ</x:v>
      </x:c>
      <x:c r="P483" s="57" t="str">
        <x:v>ยังไม่ติดต่อ</x:v>
      </x:c>
      <x:c r="Q483" s="20" t="str">
        <x:v>TMF-139</x:v>
      </x:c>
      <x:c r="R483" s="20" t="str"/>
      <x:c r="S483" s="20" t="str"/>
      <x:c r="T483" s="20" t="str">
        <x:v>https://makanhalalguide.com/shop/detail/4873</x:v>
      </x:c>
      <x:c r="U483" s="20" t="str"/>
      <x:c r="V483" s="20" t="str"/>
      <x:c r="W483" s="20" t="str"/>
      <x:c r="X483" s="20" t="str"/>
      <x:c r="Y483" s="20" t="str">
        <x:v>https://www.google.com/maps/search/?api=1&amp;query=%E0%B8%82%E0%B8%AD%E0%B8%87%E0%B8%9A%E0%B8%B1%E0%B8%87%E0%B8%94%E0%B8%B5%20%E0%B8%AE%E0%B8%B2%E0%B8%A5%E0%B8%B2%E0%B8%A5%E0%B8%8A%E0%B9%87%E0%B8%AD%E0%B8%9B%20%E0%B8%99%E0%B8%84%E0%B8%A3%E0%B8%A8%E0%B8%A3%E0%B8%B5%E0%B8%98%E0%B8%A3%E0%B8%A3%E0%B8%A1%E0%B8%A3%E0%B8%B2%E0%B8%8A%20%E0%B8%99%E0%B8%84%E0%B8%A3%E0%B8%A8%E0%B8%A3%E0%B8%B5%E0%B8%98%E0%B8%A3%E0%B8%A3%E0%B8%A1%E0%B8%A3%E0%B8%B2%E0%B8%8A</x:v>
      </x:c>
      <x:c r="Z483" s="56" t="n">
        <x:v>8.436077</x:v>
      </x:c>
      <x:c r="AA483" s="56" t="n">
        <x:v>99.969094</x:v>
      </x:c>
      <x:c r="AB483" s="57" t="str"/>
      <x:c r="AC483" s="20" t="str">
        <x:v>https://makanhalalguide.com/shop/detail/4873</x:v>
      </x:c>
    </x:row>
    <x:row r="484" ht="88" customHeight="1">
      <x:c r="A484" s="54" t="n">
        <x:v>476</x:v>
      </x:c>
      <x:c r="B484" s="20" t="str">
        <x:v>ข้าวซอยสุธินี</x:v>
      </x:c>
      <x:c r="C484" s="20" t="str">
        <x:v>นครศรีธรรมราช</x:v>
      </x:c>
      <x:c r="D484" s="20" t="str">
        <x:v>ร้านอาหาร</x:v>
      </x:c>
      <x:c r="E484" s="20" t="str">
        <x:v>มีรายชื่อใน Makan Halal Guide; ระบุมีห้องละหมาด</x:v>
      </x:c>
      <x:c r="F484" s="20" t="str">
        <x:v>มีข้อมูลระบุ แต่รอยืนยัน</x:v>
      </x:c>
      <x:c r="G484" s="20" t="str">
        <x:v>ยังไม่พบเอกสารรับรองและวันหมดอายุ</x:v>
      </x:c>
      <x:c r="H48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84" s="20" t="str">
        <x:v>หมู่บ้านเมืองทอง นครศรีธรรมราช ซอย วันดีโฆษิตกุลพร ตำบล ในเมือง อ.เมือง นครศรีธรรมราช 80000</x:v>
      </x:c>
      <x:c r="J484" s="21" t="str">
        <x:v>0803894810</x:v>
      </x:c>
      <x:c r="K484" s="51" t="str">
        <x:v>https://makanhalalguide.com/shop/detail/5930</x:v>
      </x:c>
      <x:c r="L484" s="51" t="str">
        <x:v>https://www.wongnai.com/restaurants/2960948Cm-%E0%B8%82%E0%B9%89%E0%B8%B2%E0%B8%A7%E0%B8%8B%E0%B8%AD%E0%B8%A2%E0%B8%AA%E0%B8%B8%E0%B8%98%E0%B8%B4%E0%B8%99%E0%B8%B5-%E0%B8%AE%E0%B8%B2%E0%B8%A5%E0%B8%B2%E0%B8%A5</x:v>
      </x:c>
      <x:c r="M484" s="20" t="str">
        <x:v>ผลค้นหาชื่อสัมพันธ์จากแหล่งเพิ่มเติม ต้องยืนยันสาขาและข้อมูลปัจจุบัน</x:v>
      </x:c>
      <x:c r="N484" s="28" t="n">
        <x:v>46315</x:v>
      </x:c>
      <x:c r="O484" s="57" t="str">
        <x:v>ยังไม่ตรวจ</x:v>
      </x:c>
      <x:c r="P484" s="57" t="str">
        <x:v>ยังไม่ติดต่อ</x:v>
      </x:c>
      <x:c r="Q484" s="20" t="str">
        <x:v>TMF-140</x:v>
      </x:c>
      <x:c r="R484" s="20" t="str"/>
      <x:c r="S484" s="20" t="str"/>
      <x:c r="T484" s="20" t="str">
        <x:v>https://makanhalalguide.com/shop/detail/5930</x:v>
      </x:c>
      <x:c r="U484" s="20" t="str"/>
      <x:c r="V484" s="20" t="str"/>
      <x:c r="W484" s="20" t="str"/>
      <x:c r="X484" s="20" t="str"/>
      <x:c r="Y484" s="20" t="str">
        <x:v>https://www.google.com/maps/search/?api=1&amp;query=%E0%B8%82%E0%B9%89%E0%B8%B2%E0%B8%A7%E0%B8%8B%E0%B8%AD%E0%B8%A2%E0%B8%AA%E0%B8%B8%E0%B8%98%E0%B8%B4%E0%B8%99%E0%B8%B5%20%E0%B8%99%E0%B8%84%E0%B8%A3%E0%B8%A8%E0%B8%A3%E0%B8%B5%E0%B8%98%E0%B8%A3%E0%B8%A3%E0%B8%A1%E0%B8%A3%E0%B8%B2%E0%B8%8A</x:v>
      </x:c>
      <x:c r="Z484" s="56" t="n">
        <x:v>8.427211</x:v>
      </x:c>
      <x:c r="AA484" s="56" t="n">
        <x:v>99.97605</x:v>
      </x:c>
      <x:c r="AB484" s="57" t="str"/>
      <x:c r="AC484" s="20" t="str">
        <x:v>https://makanhalalguide.com/shop/detail/5930</x:v>
      </x:c>
    </x:row>
    <x:row r="485" ht="88" customHeight="1">
      <x:c r="A485" s="54" t="n">
        <x:v>477</x:v>
      </x:c>
      <x:c r="B485" s="20" t="str">
        <x:v>ดั้งเดิม คาเฟ่ในสวนและขนมจีน</x:v>
      </x:c>
      <x:c r="C485" s="20" t="str">
        <x:v>นครศรีธรรมราช</x:v>
      </x:c>
      <x:c r="D485" s="20" t="str">
        <x:v>คาเฟ่และร้านของหวาน</x:v>
      </x:c>
      <x:c r="E485" s="20" t="str">
        <x:v>มีรายชื่อใน Makan Halal Guide; ระบุมีห้องละหมาด</x:v>
      </x:c>
      <x:c r="F485" s="20" t="str">
        <x:v>มีข้อมูลระบุ แต่รอยืนยัน</x:v>
      </x:c>
      <x:c r="G485" s="20" t="str">
        <x:v>ยังไม่พบเอกสารรับรองและวันหมดอายุ</x:v>
      </x:c>
      <x:c r="H48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85" s="20" t="str">
        <x:v>เยื้องตลาดชุมชนเกียเจริญ ตำบล ปากนคร อำเภอเมืองนครศรีธรรมราช นครศรีธรรมราช 80000</x:v>
      </x:c>
      <x:c r="J485" s="21" t="str">
        <x:v>0931452489</x:v>
      </x:c>
      <x:c r="K485" s="51" t="str">
        <x:v>https://makanhalalguide.com/shop/detail/5933</x:v>
      </x:c>
      <x:c r="L485" s="51" t="str">
        <x:v>https://www.wongnai.com/restaurants/1926745jf-%E0%B8%94%E0%B8%B1%E0%B9%89%E0%B8%87%E0%B9%80%E0%B8%94%E0%B8%B4%E0%B8%A1-%E0%B8%84%E0%B8%B2%E0%B9%80%E0%B8%9F%E0%B9%88%E0%B9%83%E0%B8%99%E0%B8%AA%E0%B8%A7%E0%B8%99%E0%B9%81%E0%B8%A5%E0%B8%B0%E0%B8%82%E0%B8%99%E0%B8%A1%E0%B8%88%E0%B8%B5%E0%B8%99-%E0%B8%96%E0%B8%99%E0%B8%99%E0%B9%80%E0%B8%97%E0%B8%B4%E0%B8%94%E0%B8%9E%E0%B8%A3%E0%B8%B0%E0%B9%80%E0%B8%81%E0%B8%B5%E0%B8%A2%E0%B8%A3%E0%B8%95%E0%B8%B4</x:v>
      </x:c>
      <x:c r="M485" s="20" t="str">
        <x:v>ผลค้นหาชื่อสัมพันธ์จากแหล่งเพิ่มเติม ต้องยืนยันสาขาและข้อมูลปัจจุบัน</x:v>
      </x:c>
      <x:c r="N485" s="28" t="n">
        <x:v>46315</x:v>
      </x:c>
      <x:c r="O485" s="57" t="str">
        <x:v>ยังไม่ตรวจ</x:v>
      </x:c>
      <x:c r="P485" s="57" t="str">
        <x:v>ยังไม่ติดต่อ</x:v>
      </x:c>
      <x:c r="Q485" s="20" t="str">
        <x:v>TMF-142</x:v>
      </x:c>
      <x:c r="R485" s="20" t="str"/>
      <x:c r="S485" s="20" t="str"/>
      <x:c r="T485" s="20" t="str">
        <x:v>https://makanhalalguide.com/shop/detail/5933</x:v>
      </x:c>
      <x:c r="U485" s="20" t="str"/>
      <x:c r="V485" s="20" t="str"/>
      <x:c r="W485" s="20" t="str"/>
      <x:c r="X485" s="20" t="str"/>
      <x:c r="Y485" s="20" t="str">
        <x:v>https://www.google.com/maps/search/?api=1&amp;query=%E0%B8%94%E0%B8%B1%E0%B9%89%E0%B8%87%E0%B9%80%E0%B8%94%E0%B8%B4%E0%B8%A1%20%E0%B8%84%E0%B8%B2%E0%B9%80%E0%B8%9F%E0%B9%88%E0%B9%83%E0%B8%99%E0%B8%AA%E0%B8%A7%E0%B8%99%E0%B9%81%E0%B8%A5%E0%B8%B0%E0%B8%82%E0%B8%99%E0%B8%A1%E0%B8%88%E0%B8%B5%E0%B8%99%20%E0%B8%99%E0%B8%84%E0%B8%A3%E0%B8%A8%E0%B8%A3%E0%B8%B5%E0%B8%98%E0%B8%A3%E0%B8%A3%E0%B8%A1%E0%B8%A3%E0%B8%B2%E0%B8%8A</x:v>
      </x:c>
      <x:c r="Z485" s="56" t="n">
        <x:v>8.421247</x:v>
      </x:c>
      <x:c r="AA485" s="56" t="n">
        <x:v>99.986095</x:v>
      </x:c>
      <x:c r="AB485" s="57" t="str"/>
      <x:c r="AC485" s="20" t="str">
        <x:v>https://makanhalalguide.com/shop/detail/5933</x:v>
      </x:c>
    </x:row>
    <x:row r="486" ht="88" customHeight="1">
      <x:c r="A486" s="54" t="n">
        <x:v>478</x:v>
      </x:c>
      <x:c r="B486" s="20" t="str">
        <x:v>เพชรปิยะซีฟู้ด</x:v>
      </x:c>
      <x:c r="C486" s="20" t="str">
        <x:v>นครศรีธรรมราช</x:v>
      </x:c>
      <x:c r="D486" s="20" t="str">
        <x:v>ร้านอาหาร</x:v>
      </x:c>
      <x:c r="E486" s="20" t="str">
        <x:v>มีรายชื่อใน Makan Halal Guide; ระบุมีห้องละหมาด</x:v>
      </x:c>
      <x:c r="F486" s="20" t="str">
        <x:v>มีข้อมูลระบุ แต่รอยืนยัน</x:v>
      </x:c>
      <x:c r="G486" s="20" t="str">
        <x:v>ยังไม่พบเอกสารรับรองและวันหมดอายุ</x:v>
      </x:c>
      <x:c r="H48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486" s="20" t="str">
        <x:v>151/29 หมู่ที่ 13 ตำบล ท่าศาลา อำเภอท่าศาลา นครศรีธรรมราช 80160</x:v>
      </x:c>
      <x:c r="J486" s="21" t="str">
        <x:v>0836453239</x:v>
      </x:c>
      <x:c r="K486" s="51" t="str">
        <x:v>https://makanhalalguide.com/shop/detail/5940</x:v>
      </x:c>
      <x:c r="L486" s="51" t="str">
        <x:v>https://www.wongnai.com/reviews/f81a048ab3c94b1ca9ee8eb70aa52c83</x:v>
      </x:c>
      <x:c r="M486" s="20" t="str">
        <x:v>ผลค้นหาชื่อสัมพันธ์จากแหล่งเพิ่มเติม ต้องยืนยันสาขาและข้อมูลปัจจุบัน</x:v>
      </x:c>
      <x:c r="N486" s="28" t="n">
        <x:v>46315</x:v>
      </x:c>
      <x:c r="O486" s="57" t="str">
        <x:v>ยังไม่ตรวจ</x:v>
      </x:c>
      <x:c r="P486" s="57" t="str">
        <x:v>ยังไม่ติดต่อ</x:v>
      </x:c>
      <x:c r="Q486" s="20" t="str">
        <x:v>TMF-143</x:v>
      </x:c>
      <x:c r="R486" s="20" t="str"/>
      <x:c r="S486" s="20" t="str"/>
      <x:c r="T486" s="20" t="str">
        <x:v>https://makanhalalguide.com/shop/detail/5940</x:v>
      </x:c>
      <x:c r="U486" s="20" t="str"/>
      <x:c r="V486" s="20" t="str"/>
      <x:c r="W486" s="20" t="str"/>
      <x:c r="X486" s="20" t="str"/>
      <x:c r="Y486" s="20" t="str">
        <x:v>https://www.google.com/maps/search/?api=1&amp;query=%E0%B9%80%E0%B8%9E%E0%B8%8A%E0%B8%A3%E0%B8%9B%E0%B8%B4%E0%B8%A2%E0%B8%B0%E0%B8%8B%E0%B8%B5%E0%B8%9F%E0%B9%89%E0%B8%B9%E0%B8%94%20%E0%B8%99%E0%B8%84%E0%B8%A3%E0%B8%A8%E0%B8%A3%E0%B8%B5%E0%B8%98%E0%B8%A3%E0%B8%A3%E0%B8%A1%E0%B8%A3%E0%B8%B2%E0%B8%8A</x:v>
      </x:c>
      <x:c r="Z486" s="56" t="n">
        <x:v>8.668762</x:v>
      </x:c>
      <x:c r="AA486" s="56" t="n">
        <x:v>99.94084</x:v>
      </x:c>
      <x:c r="AB486" s="57" t="str"/>
      <x:c r="AC486" s="20" t="str">
        <x:v>https://makanhalalguide.com/shop/detail/5940</x:v>
      </x:c>
    </x:row>
    <x:row r="487" ht="88" customHeight="1">
      <x:c r="A487" s="54" t="n">
        <x:v>479</x:v>
      </x:c>
      <x:c r="B487" s="20" t="str">
        <x:v>Central Nakhon Si</x:v>
      </x:c>
      <x:c r="C487" s="20" t="str">
        <x:v>นครศรีธรรมราช</x:v>
      </x:c>
      <x:c r="D487" s="20" t="str">
        <x:v>การค้า</x:v>
      </x:c>
      <x:c r="E487" s="20" t="str">
        <x:v>พบข้อมูลชื่อตรงจาก Central Nakhon Si; เป็นหลักฐานตัวตน/ประเภท ยังไม่ยืนยันบริการมุสลิมครบเกณฑ์</x:v>
      </x:c>
      <x:c r="F487" s="20" t="str">
        <x:v>ไม่ทราบ</x:v>
      </x:c>
      <x:c r="G487" s="20" t="str">
        <x:v>ยังไม่ยืนยันใบรับรองและวันหมดอายุ</x:v>
      </x:c>
      <x:c r="H487" s="20" t="str">
        <x:v>ตรวจการเปิด ตัวตนสาขา ช่องทางติดต่อ และเงื่อนไขบังคับตามประเภท</x:v>
      </x:c>
      <x:c r="I487" s="20" t="str">
        <x:v>ยังไม่ยืนยันที่อยู่ละเอียด ดูลิงก์แหล่งข้อมูลและ Google Maps</x:v>
      </x:c>
      <x:c r="J487" s="21" t="str">
        <x:v>075803333</x:v>
      </x:c>
      <x:c r="K487" s="51" t="str">
        <x:v>https://shoppingcenter.centralpattana.co.th/branch/central-nakhon-si/contact-us/</x:v>
      </x:c>
      <x:c r="L487" s="51" t="str">
        <x:v>https://www.wongnai.com/restaurants/1871357An-central-food-central-nakhon-si-thammarat</x:v>
      </x:c>
      <x:c r="M487" s="20" t="str">
        <x:v>พบแหล่งต่างเว็บไซต์ ร้าน Central Food Central Nakhon Si Thammarat | รีวิวร้านอาหาร</x:v>
      </x:c>
      <x:c r="N487" s="28" t="n">
        <x:v>46316</x:v>
      </x:c>
      <x:c r="O487" s="57" t="str">
        <x:v>ยังไม่ตรวจ</x:v>
      </x:c>
      <x:c r="P487" s="57" t="str">
        <x:v>ยังไม่ติดต่อ</x:v>
      </x:c>
      <x:c r="Q487" s="20" t="str">
        <x:v>R26-271</x:v>
      </x:c>
      <x:c r="R487" s="20" t="str">
        <x:v>Central Nakhon Si</x:v>
      </x:c>
      <x:c r="S487" s="20" t="str">
        <x:v>contact@central.co.th</x:v>
      </x:c>
      <x:c r="T487" s="20" t="str">
        <x:v>https://shoppingcenter.centralpattana.co.th/branch/central-nakhon-si/contact-us/</x:v>
      </x:c>
      <x:c r="U487" s="20" t="str">
        <x:v>https://www.facebook.com/CentralNakhonSi</x:v>
      </x:c>
      <x:c r="V487" s="20" t="str">
        <x:v>https://instagram.com/central_nakhon</x:v>
      </x:c>
      <x:c r="W487" s="20" t="str">
        <x:v>https://lin.ee/yYMpV93</x:v>
      </x:c>
      <x:c r="X487" s="20" t="str"/>
      <x:c r="Y487" s="20" t="str">
        <x:v>https://www.google.com/maps/search/?api=1&amp;query=Central%20Nakhon%20Si%20%E0%B8%99%E0%B8%84%E0%B8%A3%E0%B8%A8%E0%B8%A3%E0%B8%B5%E0%B8%98%E0%B8%A3%E0%B8%A3%E0%B8%A1%E0%B8%A3%E0%B8%B2%E0%B8%8A</x:v>
      </x:c>
      <x:c r="Z487" s="56" t="n">
        <x:v>8.3818383</x:v>
      </x:c>
      <x:c r="AA487" s="56" t="n">
        <x:v>99.9695785</x:v>
      </x:c>
      <x:c r="AB487" s="57" t="str"/>
      <x:c r="AC487" s="20" t="str">
        <x:v>https://shoppingcenter.centralpattana.co.th/branch/central-nakhon-si/contact-us/</x:v>
      </x:c>
    </x:row>
    <x:row r="488" ht="88" customHeight="1">
      <x:c r="A488" s="54" t="n">
        <x:v>480</x:v>
      </x:c>
      <x:c r="B488" s="20" t="str">
        <x:v>น้ำตกกรุงชิง</x:v>
      </x:c>
      <x:c r="C488" s="20" t="str">
        <x:v>นครศรีธรรมราช</x:v>
      </x:c>
      <x:c r="D488" s="20" t="str">
        <x:v>ธรรมชาติ</x:v>
      </x:c>
      <x:c r="E488" s="20" t="str">
        <x:v>พบข้อมูลชื่อตรงจาก น้ำตกกรุงชิง (อุทยานแห่งชาติเขาหลวง); เป็นหลักฐานตัวตน/ประเภท ยังไม่ยืนยันบริการมุสลิมครบเกณฑ์</x:v>
      </x:c>
      <x:c r="F488" s="20" t="str">
        <x:v>ไม่ทราบ</x:v>
      </x:c>
      <x:c r="G488" s="20" t="str">
        <x:v>ยังไม่ยืนยันใบรับรองและวันหมดอายุ</x:v>
      </x:c>
      <x:c r="H488" s="20" t="str">
        <x:v>ตรวจการเปิด ตัวตนสาขา ช่องทางติดต่อ และเงื่อนไขบังคับตามประเภท</x:v>
      </x:c>
      <x:c r="I488" s="20" t="str">
        <x:v>ยังไม่ยืนยันที่อยู่ละเอียด ดูลิงก์แหล่งข้อมูลและ Google Maps</x:v>
      </x:c>
      <x:c r="J488" s="21" t="str">
        <x:v>ยังไม่พบหรือยังไม่ยืนยัน</x:v>
      </x:c>
      <x:c r="K488" s="51" t="str">
        <x:v>https://www.thailandtourismdirectory.go.th/attraction/1869</x:v>
      </x:c>
      <x:c r="L488" s="51" t="str">
        <x:v>https://cbtthailand.dasta.or.th/webapp/relattraction/content/450/</x:v>
      </x:c>
      <x:c r="M488" s="20" t="str">
        <x:v>พบแหล่งต่างเว็บไซต์ น้ำตกกรุงชิง | CBT Thailand</x:v>
      </x:c>
      <x:c r="N488" s="28" t="n">
        <x:v>46316</x:v>
      </x:c>
      <x:c r="O488" s="57" t="str">
        <x:v>ยังไม่ตรวจ</x:v>
      </x:c>
      <x:c r="P488" s="57" t="str">
        <x:v>ยังไม่ติดต่อ</x:v>
      </x:c>
      <x:c r="Q488" s="20" t="str">
        <x:v>R26-205</x:v>
      </x:c>
      <x:c r="R488" s="20" t="str"/>
      <x:c r="S488" s="20" t="str"/>
      <x:c r="T488" s="20" t="str">
        <x:v>https://www.thailandtourismdirectory.go.th/attraction/1869</x:v>
      </x:c>
      <x:c r="U488" s="20" t="str"/>
      <x:c r="V488" s="20" t="str"/>
      <x:c r="W488" s="20" t="str"/>
      <x:c r="X488" s="20" t="str"/>
      <x:c r="Y488" s="20" t="str">
        <x:v>https://www.google.com/maps/search/?api=1&amp;query=%E0%B8%99%E0%B9%89%E0%B8%B3%E0%B8%95%E0%B8%81%E0%B8%81%E0%B8%A3%E0%B8%B8%E0%B8%87%E0%B8%8A%E0%B8%B4%E0%B8%87%20%E0%B8%99%E0%B8%84%E0%B8%A3%E0%B8%A8%E0%B8%A3%E0%B8%B5%E0%B8%98%E0%B8%A3%E0%B8%A3%E0%B8%A1%E0%B8%A3%E0%B8%B2%E0%B8%8A</x:v>
      </x:c>
      <x:c r="Z488" s="56" t="n">
        <x:v>8.7241</x:v>
      </x:c>
      <x:c r="AA488" s="56" t="n">
        <x:v>99.668529</x:v>
      </x:c>
      <x:c r="AB488" s="57" t="str"/>
      <x:c r="AC488" s="20" t="str">
        <x:v>https://www.thailandtourismdirectory.go.th/attraction/1869</x:v>
      </x:c>
    </x:row>
    <x:row r="489" ht="88" customHeight="1">
      <x:c r="A489" s="54" t="n">
        <x:v>481</x:v>
      </x:c>
      <x:c r="B489" s="20" t="str">
        <x:v>หาดขนอม</x:v>
      </x:c>
      <x:c r="C489" s="20" t="str">
        <x:v>นครศรีธรรมราช</x:v>
      </x:c>
      <x:c r="D489" s="20" t="str">
        <x:v>ธรรมชาติ</x:v>
      </x:c>
      <x:c r="E489" s="20" t="str">
        <x:v>พบข้อมูลชื่อตรงจาก หาดขนอม | CBT Thailand; เป็นหลักฐานตัวตน/ประเภท ยังไม่ยืนยันบริการมุสลิมครบเกณฑ์</x:v>
      </x:c>
      <x:c r="F489" s="20" t="str">
        <x:v>ไม่ทราบ</x:v>
      </x:c>
      <x:c r="G489" s="20" t="str">
        <x:v>ยังไม่ยืนยันใบรับรองและวันหมดอายุ</x:v>
      </x:c>
      <x:c r="H489" s="20" t="str">
        <x:v>ตรวจการเปิด ตัวตนสาขา ช่องทางติดต่อ และเงื่อนไขบังคับตามประเภท</x:v>
      </x:c>
      <x:c r="I489" s="20" t="str">
        <x:v>ยังไม่ยืนยันที่อยู่ละเอียด ดูลิงก์แหล่งข้อมูลและ Google Maps</x:v>
      </x:c>
      <x:c r="J489" s="21" t="str">
        <x:v>ยังไม่พบหรือยังไม่ยืนยัน</x:v>
      </x:c>
      <x:c r="K489" s="51" t="str">
        <x:v>https://cbtthailand.dasta.or.th/webapp/relattraction/content/290/</x:v>
      </x:c>
      <x:c r="L489" s="51" t="str">
        <x:v>https://api.tat.or.th/upload/live/multimedia/9003/Provincial_eBook_Nakhon_Si_Thammarat_%28Th%29.pdf</x:v>
      </x:c>
      <x:c r="M489" s="20" t="str">
        <x:v>พบแหล่งต่างเว็บไซต์ อุทยานแห่งชาติหาดขนอม-หมู่เกาะทะเลใต้</x:v>
      </x:c>
      <x:c r="N489" s="28" t="n">
        <x:v>46316</x:v>
      </x:c>
      <x:c r="O489" s="57" t="str">
        <x:v>ยังไม่ตรวจ</x:v>
      </x:c>
      <x:c r="P489" s="57" t="str">
        <x:v>ยังไม่ติดต่อ</x:v>
      </x:c>
      <x:c r="Q489" s="20" t="str">
        <x:v>R26-206</x:v>
      </x:c>
      <x:c r="R489" s="20" t="str"/>
      <x:c r="S489" s="20" t="str"/>
      <x:c r="T489" s="20" t="str">
        <x:v>https://cbtthailand.dasta.or.th/webapp/relattraction/content/290/</x:v>
      </x:c>
      <x:c r="U489" s="20" t="str"/>
      <x:c r="V489" s="20" t="str"/>
      <x:c r="W489" s="20" t="str"/>
      <x:c r="X489" s="20" t="str"/>
      <x:c r="Y489" s="20" t="str">
        <x:v>https://www.google.com/maps/search/?api=1&amp;query=%E0%B8%AB%E0%B8%B2%E0%B8%94%E0%B8%82%E0%B8%99%E0%B8%AD%E0%B8%A1%20%E0%B8%99%E0%B8%84%E0%B8%A3%E0%B8%A8%E0%B8%A3%E0%B8%B5%E0%B8%98%E0%B8%A3%E0%B8%A3%E0%B8%A1%E0%B8%A3%E0%B8%B2%E0%B8%8A</x:v>
      </x:c>
      <x:c r="Z489" s="56" t="n">
        <x:v>9.1741217</x:v>
      </x:c>
      <x:c r="AA489" s="56" t="n">
        <x:v>99.8741484</x:v>
      </x:c>
      <x:c r="AB489" s="57" t="str"/>
      <x:c r="AC489" s="20" t="str">
        <x:v>https://cbtthailand.dasta.or.th/webapp/relattraction/content/290/</x:v>
      </x:c>
    </x:row>
    <x:row r="490" ht="88" customHeight="1">
      <x:c r="A490" s="54" t="n">
        <x:v>482</x:v>
      </x:c>
      <x:c r="B490" s="20" t="str">
        <x:v>อุทยานแห่งชาติเขาหลวง</x:v>
      </x:c>
      <x:c r="C490" s="20" t="str">
        <x:v>นครศรีธรรมราช</x:v>
      </x:c>
      <x:c r="D490" s="20" t="str">
        <x:v>ธรรมชาติ</x:v>
      </x:c>
      <x:c r="E490" s="20" t="str">
        <x:v>พบข้อมูลชื่อตรงจาก ดูนกเขาหลวง - สำนักงานการท่องเที่ยวและกีฬาจังหวัดนครศรีธรรมราช; เป็นหลักฐานตัวตน/ประเภท ยังไม่ยืนยันบริการมุสลิมครบเกณฑ์</x:v>
      </x:c>
      <x:c r="F490" s="20" t="str">
        <x:v>ไม่ทราบ</x:v>
      </x:c>
      <x:c r="G490" s="20" t="str">
        <x:v>ยังไม่ยืนยันใบรับรองและวันหมดอายุ</x:v>
      </x:c>
      <x:c r="H490" s="20" t="str">
        <x:v>ตรวจการเปิด ตัวตนสาขา ช่องทางติดต่อ และเงื่อนไขบังคับตามประเภท</x:v>
      </x:c>
      <x:c r="I490" s="20" t="str">
        <x:v>ยังไม่ยืนยันที่อยู่ละเอียด ดูลิงก์แหล่งข้อมูลและ Google Maps</x:v>
      </x:c>
      <x:c r="J490" s="21" t="str">
        <x:v>ยังไม่พบหรือยังไม่ยืนยัน</x:v>
      </x:c>
      <x:c r="K490" s="51" t="str">
        <x:v>https://nakhonsi.mots.go.th/news/346</x:v>
      </x:c>
      <x:c r="L490" s="51" t="str">
        <x:v>https://booking.dnp.go.th/parksdetail.php?id=35</x:v>
      </x:c>
      <x:c r="M490" s="20" t="str">
        <x:v>พบแหล่งต่างเว็บไซต์ อช.เขาหลวง</x:v>
      </x:c>
      <x:c r="N490" s="28" t="n">
        <x:v>46316</x:v>
      </x:c>
      <x:c r="O490" s="57" t="str">
        <x:v>ยังไม่ตรวจ</x:v>
      </x:c>
      <x:c r="P490" s="57" t="str">
        <x:v>ยังไม่ติดต่อ</x:v>
      </x:c>
      <x:c r="Q490" s="20" t="str">
        <x:v>R26-204</x:v>
      </x:c>
      <x:c r="R490" s="20" t="str"/>
      <x:c r="S490" s="20" t="str"/>
      <x:c r="T490" s="20" t="str">
        <x:v>https://nakhonsi.mots.go.th/news/346</x:v>
      </x:c>
      <x:c r="U490" s="20" t="str"/>
      <x:c r="V490" s="20" t="str"/>
      <x:c r="W490" s="20" t="str"/>
      <x:c r="X490" s="20" t="str"/>
      <x:c r="Y490" s="20" t="str">
        <x:v>https://www.google.com/maps/search/?api=1&amp;query=%E0%B8%AD%E0%B8%B8%E0%B8%97%E0%B8%A2%E0%B8%B2%E0%B8%99%E0%B9%81%E0%B8%AB%E0%B9%88%E0%B8%87%E0%B8%8A%E0%B8%B2%E0%B8%95%E0%B8%B4%E0%B9%80%E0%B8%82%E0%B8%B2%E0%B8%AB%E0%B8%A5%E0%B8%A7%E0%B8%87%20%E0%B8%99%E0%B8%84%E0%B8%A3%E0%B8%A8%E0%B8%A3%E0%B8%B5%E0%B8%98%E0%B8%A3%E0%B8%A3%E0%B8%A1%E0%B8%A3%E0%B8%B2%E0%B8%8A</x:v>
      </x:c>
      <x:c r="Z490" s="56" t="n">
        <x:v>8.417837</x:v>
      </x:c>
      <x:c r="AA490" s="56" t="n">
        <x:v>99.963533</x:v>
      </x:c>
      <x:c r="AB490" s="57" t="str"/>
      <x:c r="AC490" s="20" t="str">
        <x:v>https://nakhonsi.mots.go.th/news/346</x:v>
      </x:c>
    </x:row>
    <x:row r="491" ht="88" customHeight="1">
      <x:c r="A491" s="54" t="n">
        <x:v>483</x:v>
      </x:c>
      <x:c r="B491" s="20" t="str">
        <x:v>บ้านหนังตะลุงสุชาติ ทรัพย์สิน</x:v>
      </x:c>
      <x:c r="C491" s="20" t="str">
        <x:v>นครศรีธรรมราช</x:v>
      </x:c>
      <x:c r="D491" s="20" t="str">
        <x:v>พิพิธภัณฑ์หรือแหล่งเรียนรู้วัฒนธรรม</x:v>
      </x:c>
      <x:c r="E491" s="20" t="str">
        <x:v>พบข้อมูลชื่อตรงจาก บ้านหนังตะลุงสุชาติทรัพย์สิน; เป็นหลักฐานตัวตน/ประเภท ยังไม่ยืนยันบริการมุสลิมครบเกณฑ์</x:v>
      </x:c>
      <x:c r="F491" s="20" t="str">
        <x:v>ไม่ทราบ</x:v>
      </x:c>
      <x:c r="G491" s="20" t="str">
        <x:v>ยังไม่ยืนยันใบรับรองและวันหมดอายุ</x:v>
      </x:c>
      <x:c r="H491" s="20" t="str">
        <x:v>ตรวจการเปิด ตัวตนสาขา ช่องทางติดต่อ และเงื่อนไขบังคับตามประเภท</x:v>
      </x:c>
      <x:c r="I491" s="20" t="str">
        <x:v>ยังไม่ยืนยันที่อยู่ละเอียด ดูลิงก์แหล่งข้อมูลและ Google Maps</x:v>
      </x:c>
      <x:c r="J491" s="21" t="str">
        <x:v>ยังไม่พบหรือยังไม่ยืนยัน</x:v>
      </x:c>
      <x:c r="K491" s="51" t="str">
        <x:v>https://www.thailandtourismdirectory.go.th/th/attraction/1879</x:v>
      </x:c>
      <x:c r="L491" s="51" t="str">
        <x:v>https://cbtthailand.dasta.or.th/webapp/relattraction/content/1930/</x:v>
      </x:c>
      <x:c r="M491" s="20" t="str">
        <x:v>พบแหล่งต่างเว็บไซต์ บ้านหนังตะลุงสุชาติ ทรัพย์สิน | CBT Thailand</x:v>
      </x:c>
      <x:c r="N491" s="28" t="n">
        <x:v>46316</x:v>
      </x:c>
      <x:c r="O491" s="57" t="str">
        <x:v>ยังไม่ตรวจ</x:v>
      </x:c>
      <x:c r="P491" s="57" t="str">
        <x:v>ยังไม่ติดต่อ</x:v>
      </x:c>
      <x:c r="Q491" s="20" t="str">
        <x:v>R26-310</x:v>
      </x:c>
      <x:c r="R491" s="20" t="str"/>
      <x:c r="S491" s="20" t="str"/>
      <x:c r="T491" s="20" t="str">
        <x:v>https://www.thailandtourismdirectory.go.th/th/attraction/1879</x:v>
      </x:c>
      <x:c r="U491" s="20" t="str"/>
      <x:c r="V491" s="20" t="str"/>
      <x:c r="W491" s="20" t="str"/>
      <x:c r="X491" s="20" t="str"/>
      <x:c r="Y491" s="20" t="str">
        <x:v>https://www.google.com/maps/search/?api=1&amp;query=%E0%B8%9A%E0%B9%89%E0%B8%B2%E0%B8%99%E0%B8%AB%E0%B8%99%E0%B8%B1%E0%B8%87%E0%B8%95%E0%B8%B0%E0%B8%A5%E0%B8%B8%E0%B8%87%E0%B8%AA%E0%B8%B8%E0%B8%8A%E0%B8%B2%E0%B8%95%E0%B8%B4%20%E0%B8%97%E0%B8%A3%E0%B8%B1%E0%B8%9E%E0%B8%A2%E0%B9%8C%E0%B8%AA%E0%B8%B4%E0%B8%99%20%E0%B8%99%E0%B8%84%E0%B8%A3%E0%B8%A8%E0%B8%A3%E0%B8%B5%E0%B8%98%E0%B8%A3%E0%B8%A3%E0%B8%A1%E0%B8%A3%E0%B8%B2%E0%B8%8A</x:v>
      </x:c>
      <x:c r="Z491" s="56" t="n">
        <x:v>8.414687</x:v>
      </x:c>
      <x:c r="AA491" s="56" t="n">
        <x:v>99.968493</x:v>
      </x:c>
      <x:c r="AB491" s="57" t="str"/>
      <x:c r="AC491" s="20" t="str">
        <x:v>https://www.thailandtourismdirectory.go.th/th/attraction/1879</x:v>
      </x:c>
    </x:row>
    <x:row r="492" ht="88" customHeight="1">
      <x:c r="A492" s="54" t="n">
        <x:v>484</x:v>
      </x:c>
      <x:c r="B492" s="20" t="str">
        <x:v>ชุมชนบ้านแหลม</x:v>
      </x:c>
      <x:c r="C492" s="20" t="str">
        <x:v>นครศรีธรรมราช</x:v>
      </x:c>
      <x:c r="D492" s="20" t="str">
        <x:v>ชุมชนมุสลิมประมงและป่าชายเลน</x:v>
      </x:c>
      <x:c r="E492" s="20" t="str">
        <x:v>ข้อมูลภาครัฐระบุเป็นชุมชนมุสลิม มีกิจกรรมประมง หัตถกรรม และระบบนิเวศป่าชายเลน ยังต้องตรวจมาตรฐานบริการ</x:v>
      </x:c>
      <x:c r="F492" s="20" t="str">
        <x:v>ไม่ทราบ</x:v>
      </x:c>
      <x:c r="G492" s="20" t="str">
        <x:v>ยังไม่พบเอกสารรับรองและวันหมดอายุ</x:v>
      </x:c>
      <x:c r="H492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492" s="20" t="str">
        <x:v>ยังไม่ยืนยันที่อยู่ละเอียด ดูลิงก์แหล่งข้อมูลและ Google Maps</x:v>
      </x:c>
      <x:c r="J492" s="21" t="str">
        <x:v>ยังไม่พบหรือยังไม่ยืนยัน</x:v>
      </x:c>
      <x:c r="K492" s="51" t="str">
        <x:v>https://www.thailand.go.th/issue-focus-detail/001_02_024?hl=en</x:v>
      </x:c>
      <x:c r="L492" s="51" t="str">
        <x:v>https://www.faakraan.com/index.php/tourist/%E0%B8%99%E0%B8%84%E0%B8%A3%E0%B8%A8%E0%B8%A3%E0%B8%B5%E0%B8%98%E0%B8%A3%E0%B8%A3%E0%B8%A1%E0%B8%A3%E0%B8%B2%E0%B8%8A/%E0%B8%8A%E0%B8%B8%E0%B8%A1%E0%B8%8A%E0%B8%99%E0%B8%9A%E0%B9%89%E0%B8%B2%E0%B8%99%E0%B9%81%E0%B8%AB%E0%B8%A5%E0%B8%A1%20%E0%B8%99%E0%B8%84%E0%B8%A3%E0%B8%A8%E0%B8%A3%E0%B8%B5%E0%B8%98%E0%B8%A3%E0%B8%A3%E0%B8%A1%E0%B8%A3%E0%B8%B2%E0%B8%8A.html</x:v>
      </x:c>
      <x:c r="M492" s="20" t="str">
        <x:v>ผลค้นหาชื่อสัมพันธ์จากแหล่งเพิ่มเติม ต้องยืนยันสาขาและข้อมูลปัจจุบัน</x:v>
      </x:c>
      <x:c r="N492" s="28" t="n">
        <x:v>46316</x:v>
      </x:c>
      <x:c r="O492" s="57" t="str">
        <x:v>ยังไม่ตรวจ</x:v>
      </x:c>
      <x:c r="P492" s="57" t="str">
        <x:v>ยังไม่ติดต่อ</x:v>
      </x:c>
      <x:c r="Q492" s="20" t="str">
        <x:v>TMF-358</x:v>
      </x:c>
      <x:c r="R492" s="20" t="str"/>
      <x:c r="S492" s="20" t="str"/>
      <x:c r="T492" s="20" t="str">
        <x:v>https://www.thailand.go.th/issue-focus-detail/001_02_024?hl=en</x:v>
      </x:c>
      <x:c r="U492" s="20" t="str"/>
      <x:c r="V492" s="20" t="str"/>
      <x:c r="W492" s="20" t="str"/>
      <x:c r="X492" s="20" t="str"/>
      <x:c r="Y492" s="20" t="str">
        <x:v>https://www.google.com/maps/search/?api=1&amp;query=%E0%B8%8A%E0%B8%B8%E0%B8%A1%E0%B8%8A%E0%B8%99%E0%B8%9A%E0%B9%89%E0%B8%B2%E0%B8%99%E0%B9%81%E0%B8%AB%E0%B8%A5%E0%B8%A1%20%E0%B8%99%E0%B8%84%E0%B8%A3%E0%B8%A8%E0%B8%A3%E0%B8%B5%E0%B8%98%E0%B8%A3%E0%B8%A3%E0%B8%A1%E0%B8%A3%E0%B8%B2%E0%B8%8A</x:v>
      </x:c>
      <x:c r="Z492" s="56" t="str"/>
      <x:c r="AA492" s="56" t="str"/>
      <x:c r="AB492" s="57" t="str"/>
      <x:c r="AC492" s="20" t="str">
        <x:v>https://www.thailand.go.th/issue-focus-detail/001_02_024?hl=en</x:v>
      </x:c>
    </x:row>
    <x:row r="493" ht="88" customHeight="1">
      <x:c r="A493" s="54" t="n">
        <x:v>485</x:v>
      </x:c>
      <x:c r="B493" s="20" t="str">
        <x:v>ชุมชนบ้านแหลมประทับ</x:v>
      </x:c>
      <x:c r="C493" s="20" t="str">
        <x:v>นครศรีธรรมราช</x:v>
      </x:c>
      <x:c r="D493" s="20" t="str">
        <x:v>ชุมชน</x:v>
      </x:c>
      <x:c r="E493" s="20" t="str">
        <x:v>พบข้อมูลชื่อตรงจาก พบปะชาวประมงพื้นบ้านแหลมประทับ แนะรวมกลุ่มจดแจ้ง - กรมทรัพยากรทางทะเลและชายฝั่ง Department of Marine and Coastal Resources, Thailand; เป็นหลักฐานตัวตน/ประเภท ยังไม่ยืนยันบริการมุสลิมครบเกณฑ์</x:v>
      </x:c>
      <x:c r="F493" s="20" t="str">
        <x:v>ไม่ทราบ</x:v>
      </x:c>
      <x:c r="G493" s="20" t="str">
        <x:v>ยังไม่ยืนยันใบรับรองและวันหมดอายุ</x:v>
      </x:c>
      <x:c r="H493" s="20" t="str">
        <x:v>ตรวจการเปิด ตัวตนสาขา ช่องทางติดต่อ และเงื่อนไขบังคับตามประเภท</x:v>
      </x:c>
      <x:c r="I493" s="20" t="str">
        <x:v>ยังไม่ยืนยันที่อยู่ละเอียด ดูลิงก์แหล่งข้อมูลและ Google Maps</x:v>
      </x:c>
      <x:c r="J493" s="21" t="str">
        <x:v>ยังไม่พบหรือยังไม่ยืนยัน</x:v>
      </x:c>
      <x:c r="K493" s="51" t="str">
        <x:v>https://www.dmcr.go.th/detailAll/47885/nws/257</x:v>
      </x:c>
      <x:c r="L493" s="51" t="str">
        <x:v>https://thailandtourismdirectory.go.th/attraction/21576</x:v>
      </x:c>
      <x:c r="M493" s="20" t="str">
        <x:v>พบแหล่งต่างเว็บไซต์ แหลมประทับ</x:v>
      </x:c>
      <x:c r="N493" s="28" t="n">
        <x:v>46316</x:v>
      </x:c>
      <x:c r="O493" s="57" t="str">
        <x:v>ยังไม่ตรวจ</x:v>
      </x:c>
      <x:c r="P493" s="57" t="str">
        <x:v>ยังไม่ติดต่อ</x:v>
      </x:c>
      <x:c r="Q493" s="20" t="str">
        <x:v>R26-208</x:v>
      </x:c>
      <x:c r="R493" s="20" t="str"/>
      <x:c r="S493" s="20" t="str"/>
      <x:c r="T493" s="20" t="str">
        <x:v>https://www.dmcr.go.th/detailAll/47885/nws/257</x:v>
      </x:c>
      <x:c r="U493" s="20" t="str"/>
      <x:c r="V493" s="20" t="str"/>
      <x:c r="W493" s="20" t="str"/>
      <x:c r="X493" s="20" t="str"/>
      <x:c r="Y493" s="20" t="str">
        <x:v>https://www.google.com/maps/search/?api=1&amp;query=%E0%B8%8A%E0%B8%B8%E0%B8%A1%E0%B8%8A%E0%B8%99%E0%B8%9A%E0%B9%89%E0%B8%B2%E0%B8%99%E0%B9%81%E0%B8%AB%E0%B8%A5%E0%B8%A1%E0%B8%9B%E0%B8%A3%E0%B8%B0%E0%B8%97%E0%B8%B1%E0%B8%9A%20%E0%B8%99%E0%B8%84%E0%B8%A3%E0%B8%A8%E0%B8%A3%E0%B8%B5%E0%B8%98%E0%B8%A3%E0%B8%A3%E0%B8%A1%E0%B8%A3%E0%B8%B2%E0%B8%8A</x:v>
      </x:c>
      <x:c r="Z493" s="56" t="n">
        <x:v>9.311859</x:v>
      </x:c>
      <x:c r="AA493" s="56" t="n">
        <x:v>99.804549</x:v>
      </x:c>
      <x:c r="AB493" s="57" t="str"/>
      <x:c r="AC493" s="20" t="str">
        <x:v>https://www.dmcr.go.th/detailAll/47885/nws/257</x:v>
      </x:c>
    </x:row>
    <x:row r="494" ht="88" customHeight="1">
      <x:c r="A494" s="54" t="n">
        <x:v>486</x:v>
      </x:c>
      <x:c r="B494" s="20" t="str">
        <x:v>โรงแรมศิวา รอยัล พัทลุง</x:v>
      </x:c>
      <x:c r="C494" s="20" t="str">
        <x:v>พัทลุง</x:v>
      </x:c>
      <x:c r="D494" s="20" t="str">
        <x:v>ที่พัก</x:v>
      </x:c>
      <x:c r="E494" s="20" t="str">
        <x:v>พบข้อมูลชื่อตรงจาก ศิวารอยัล; เป็นหลักฐานตัวตน/ประเภท ยังไม่ยืนยันบริการมุสลิมครบเกณฑ์</x:v>
      </x:c>
      <x:c r="F494" s="20" t="str">
        <x:v>ไม่ทราบ</x:v>
      </x:c>
      <x:c r="G494" s="20" t="str">
        <x:v>ยังไม่ยืนยันใบรับรองและวันหมดอายุ</x:v>
      </x:c>
      <x:c r="H494" s="20" t="str">
        <x:v>ตรวจการเปิด ตัวตนสาขา ช่องทางติดต่อ และเงื่อนไขบังคับตามประเภท</x:v>
      </x:c>
      <x:c r="I494" s="20" t="str">
        <x:v>ยังไม่ยืนยันที่อยู่ละเอียด ดูลิงก์แหล่งข้อมูลและ Google Maps</x:v>
      </x:c>
      <x:c r="J494" s="21" t="str">
        <x:v>6674673999 / 66980139838</x:v>
      </x:c>
      <x:c r="K494" s="51" t="str">
        <x:v>https://www.phatthalungpao.go.th/hotel/detail/199</x:v>
      </x:c>
      <x:c r="L494" s="51" t="str">
        <x:v>https://www.sivaroyal.com/</x:v>
      </x:c>
      <x:c r="M494" s="20" t="str">
        <x:v>พบแหล่งต่างเว็บไซต์ โรงแรม ศิวา รอยัล พัทลุง</x:v>
      </x:c>
      <x:c r="N494" s="28" t="n">
        <x:v>46316</x:v>
      </x:c>
      <x:c r="O494" s="57" t="str">
        <x:v>ยังไม่ตรวจ</x:v>
      </x:c>
      <x:c r="P494" s="57" t="str">
        <x:v>ยังไม่ติดต่อ</x:v>
      </x:c>
      <x:c r="Q494" s="20" t="str">
        <x:v>R26-105</x:v>
      </x:c>
      <x:c r="R494" s="20" t="str"/>
      <x:c r="S494" s="20" t="str">
        <x:v>info@sivaroyal.com</x:v>
      </x:c>
      <x:c r="T494" s="20" t="str">
        <x:v>https://www.phatthalungpao.go.th/hotel/detail/199</x:v>
      </x:c>
      <x:c r="U494" s="20" t="str">
        <x:v>https://www.facebook.com/sivaroyalhotelphatthalung/</x:v>
      </x:c>
      <x:c r="V494" s="20" t="str"/>
      <x:c r="W494" s="20" t="str"/>
      <x:c r="X494" s="20" t="str"/>
      <x:c r="Y494" s="20" t="str">
        <x:v>https://www.google.com/maps/search/?api=1&amp;query=%E0%B9%82%E0%B8%A3%E0%B8%87%E0%B9%81%E0%B8%A3%E0%B8%A1%E0%B8%A8%E0%B8%B4%E0%B8%A7%E0%B8%B2%20%E0%B8%A3%E0%B8%AD%E0%B8%A2%E0%B8%B1%E0%B8%A5%20%E0%B8%9E%E0%B8%B1%E0%B8%97%E0%B8%A5%E0%B8%B8%E0%B8%87%20%E0%B8%9E%E0%B8%B1%E0%B8%97%E0%B8%A5%E0%B8%B8%E0%B8%87</x:v>
      </x:c>
      <x:c r="Z494" s="56" t="n">
        <x:v>7.618121</x:v>
      </x:c>
      <x:c r="AA494" s="56" t="n">
        <x:v>100.072274</x:v>
      </x:c>
      <x:c r="AB494" s="57" t="str"/>
      <x:c r="AC494" s="20" t="str">
        <x:v>https://www.sivaroyal.com/</x:v>
      </x:c>
    </x:row>
    <x:row r="495" ht="88" customHeight="1">
      <x:c r="A495" s="54" t="n">
        <x:v>487</x:v>
      </x:c>
      <x:c r="B495" s="20" t="str">
        <x:v>ร้านอาหารอิสลามซูบัยด๊ะ</x:v>
      </x:c>
      <x:c r="C495" s="20" t="str">
        <x:v>พัทลุง</x:v>
      </x:c>
      <x:c r="D495" s="20" t="str">
        <x:v>อาหาร</x:v>
      </x:c>
      <x:c r="E495" s="20" t="str">
        <x:v>พบข้อมูลชื่อตรงจาก ร้านอาหารอิสลามซูบัยด๊ะ - Restaurant menu, prices and reviews; เป็นหลักฐานตัวตน/ประเภท ยังไม่ยืนยันบริการมุสลิมครบเกณฑ์</x:v>
      </x:c>
      <x:c r="F495" s="20" t="str">
        <x:v>ไม่ทราบ</x:v>
      </x:c>
      <x:c r="G495" s="20" t="str">
        <x:v>ยังไม่ยืนยันใบรับรองและวันหมดอายุ</x:v>
      </x:c>
      <x:c r="H495" s="20" t="str">
        <x:v>ตรวจการเปิด ตัวตนสาขา ช่องทางติดต่อ และเงื่อนไขบังคับตามประเภท</x:v>
      </x:c>
      <x:c r="I495" s="20" t="str">
        <x:v>ยังไม่ยืนยันที่อยู่ละเอียด ดูลิงก์แหล่งข้อมูลและ Google Maps</x:v>
      </x:c>
      <x:c r="J495" s="21" t="str">
        <x:v>ยังไม่พบหรือยังไม่ยืนยัน</x:v>
      </x:c>
      <x:c r="K495" s="51" t="str">
        <x:v>https://restaurantguru.com/%E0%B8%A3%E0%B9%89%E0%B8%B2%E0%B8%99%E0%B8%AD%E0%B8%B2%E0%B8%AB%E0%B8%B2%E0%B8%A3%E0%B8%AD%E0%B8%B4%E0%B8%AA%E0%B8%A5%E0%B8%B2%E0%B8%A1%E0%B8%8B%E0%B8%B9%E0%B8%9A%E0%B8%B1%E0%B8%9A%E0%B8%94%E0%B9%8A%E0%B8%B0-Thailand</x:v>
      </x:c>
      <x:c r="L495" s="51" t="str">
        <x:v>https://www.wongnai.com/restaurants/828331aG-%E0%B8%A3%E0%B9%89%E0%B8%B2%E0%B8%99%E0%B8%AD%E0%B8%B2%E0%B8%AB%E0%B8%B2%E0%B8%A3%E0%B8%AD%E0%B8%B4%E0%B8%AA%E0%B8%A5%E0%B8%B2%E0%B8%A1%E0%B8%8B%E0%B8%B9%E0%B8%9A%E0%B8%B1%E0%B8%A2%E0%B8%94%E0%B9%8A%E0%B8%B0-%E0%B8%AE%E0%B8%B2%E0%B8%A5%E0%B8%B2%E0%B8%A5</x:v>
      </x:c>
      <x:c r="M495" s="20" t="str">
        <x:v>พบแหล่งต่างเว็บไซต์ ร้าน ร้านอาหารอิสลามซูบัยด๊ะ (ฮาลาล) | รีวิวร้านอาหาร</x:v>
      </x:c>
      <x:c r="N495" s="28" t="n">
        <x:v>46316</x:v>
      </x:c>
      <x:c r="O495" s="57" t="str">
        <x:v>ยังไม่ตรวจ</x:v>
      </x:c>
      <x:c r="P495" s="57" t="str">
        <x:v>ยังไม่ติดต่อ</x:v>
      </x:c>
      <x:c r="Q495" s="20" t="str">
        <x:v>R26-104</x:v>
      </x:c>
      <x:c r="R495" s="20" t="str"/>
      <x:c r="S495" s="20" t="str"/>
      <x:c r="T495" s="20" t="str">
        <x:v>https://restaurantguru.com/%E0%B8%A3%E0%B9%89%E0%B8%B2%E0%B8%99%E0%B8%AD%E0%B8%B2%E0%B8%AB%E0%B8%B2%E0%B8%A3%E0%B8%AD%E0%B8%B4%E0%B8%AA%E0%B8%A5%E0%B8%B2%E0%B8%A1%E0%B8%8B%E0%B8%B9%E0%B8%9A%E0%B8%B1%E0%B8%9A%E0%B8%94%E0%B9%8A%E0%B8%B0-Thailand</x:v>
      </x:c>
      <x:c r="U495" s="20" t="str"/>
      <x:c r="V495" s="20" t="str"/>
      <x:c r="W495" s="20" t="str"/>
      <x:c r="X495" s="20" t="str"/>
      <x:c r="Y495" s="20" t="str">
        <x:v>https://www.google.com/maps/search/?api=1&amp;query=%E0%B8%A3%E0%B9%89%E0%B8%B2%E0%B8%99%E0%B8%AD%E0%B8%B2%E0%B8%AB%E0%B8%B2%E0%B8%A3%E0%B8%AD%E0%B8%B4%E0%B8%AA%E0%B8%A5%E0%B8%B2%E0%B8%A1%E0%B8%8B%E0%B8%B9%E0%B8%9A%E0%B8%B1%E0%B8%A2%E0%B8%94%E0%B9%8A%E0%B8%B0%20%E0%B8%9E%E0%B8%B1%E0%B8%97%E0%B8%A5%E0%B8%B8%E0%B8%87</x:v>
      </x:c>
      <x:c r="Z495" s="56" t="n">
        <x:v>7.615327</x:v>
      </x:c>
      <x:c r="AA495" s="56" t="n">
        <x:v>100.084917</x:v>
      </x:c>
      <x:c r="AB495" s="57" t="str"/>
      <x:c r="AC495" s="20" t="str">
        <x:v>https://restaurantguru.com/%E0%B8%A3%E0%B9%89%E0%B8%B2%E0%B8%99%E0%B8%AD%E0%B8%B2%E0%B8%AB%E0%B8%B2%E0%B8%A3%E0%B8%AD%E0%B8%B4%E0%B8%AA%E0%B8%A5%E0%B8%B2%E0%B8%A1%E0%B8%8B%E0%B8%B9%E0%B8%9A%E0%B8%B1%E0%B8%9A%E0%B8%94%E0%B9%8A%E0%B8%B0-Thailand</x:v>
      </x:c>
    </x:row>
    <x:row r="496" ht="88" customHeight="1">
      <x:c r="A496" s="54" t="n">
        <x:v>488</x:v>
      </x:c>
      <x:c r="B496" s="20" t="str">
        <x:v>ไร่ชาพันไมล์</x:v>
      </x:c>
      <x:c r="C496" s="20" t="str">
        <x:v>พัทลุง</x:v>
      </x:c>
      <x:c r="D496" s="20" t="str">
        <x:v>อาหาร</x:v>
      </x:c>
      <x:c r="E496" s="20" t="str">
        <x:v>พบข้อมูลชื่อตรงจาก ไร่ชาพันไมล์ (1000 Miles) กงหรา พัทลุง: จุดถ่ายรูปวิวเขา + เมนูชาเขียวและพิซซ่าทะเล; เป็นหลักฐานตัวตน/ประเภท ยังไม่ยืนยันบริการมุสลิมครบเกณฑ์</x:v>
      </x:c>
      <x:c r="F496" s="20" t="str">
        <x:v>ไม่ทราบ</x:v>
      </x:c>
      <x:c r="G496" s="20" t="str">
        <x:v>ยังไม่ยืนยันใบรับรองและวันหมดอายุ</x:v>
      </x:c>
      <x:c r="H496" s="20" t="str">
        <x:v>ตรวจการเปิด ตัวตนสาขา ช่องทางติดต่อ และเงื่อนไขบังคับตามประเภท</x:v>
      </x:c>
      <x:c r="I496" s="20" t="str">
        <x:v>ยังไม่ยืนยันที่อยู่ละเอียด ดูลิงก์แหล่งข้อมูลและ Google Maps</x:v>
      </x:c>
      <x:c r="J496" s="21" t="str">
        <x:v>ยังไม่พบหรือยังไม่ยืนยัน</x:v>
      </x:c>
      <x:c r="K496" s="51" t="str">
        <x:v>https://www.lemon8-app.com/%40iiikaniii/7454914081598767617?region=th</x:v>
      </x:c>
      <x:c r="L496" s="51" t="str">
        <x:v>https://www.booking.com/hotel/th/baanelkainpaaaihyohmsety.th.html</x:v>
      </x:c>
      <x:c r="M496" s="20" t="str">
        <x:v>พบแหล่งต่างเว็บไซต์ บ้านเล็กในป่าใหญ่ พัทลุง Ban Nai Mon (ราคาอัปเดตปี 2026)</x:v>
      </x:c>
      <x:c r="N496" s="28" t="n">
        <x:v>46316</x:v>
      </x:c>
      <x:c r="O496" s="57" t="str">
        <x:v>ยังไม่ตรวจ</x:v>
      </x:c>
      <x:c r="P496" s="57" t="str">
        <x:v>ยังไม่ติดต่อ</x:v>
      </x:c>
      <x:c r="Q496" s="20" t="str">
        <x:v>R26-107</x:v>
      </x:c>
      <x:c r="R496" s="20" t="str"/>
      <x:c r="S496" s="20" t="str"/>
      <x:c r="T496" s="20" t="str">
        <x:v>https://www.lemon8-app.com/%40iiikaniii/7454914081598767617?region=th</x:v>
      </x:c>
      <x:c r="U496" s="20" t="str"/>
      <x:c r="V496" s="20" t="str"/>
      <x:c r="W496" s="20" t="str"/>
      <x:c r="X496" s="20" t="str"/>
      <x:c r="Y496" s="20" t="str">
        <x:v>https://www.google.com/maps/search/?api=1&amp;query=%E0%B9%84%E0%B8%A3%E0%B9%88%E0%B8%8A%E0%B8%B2%E0%B8%9E%E0%B8%B1%E0%B8%99%E0%B9%84%E0%B8%A1%E0%B8%A5%E0%B9%8C%20%E0%B8%9E%E0%B8%B1%E0%B8%97%E0%B8%A5%E0%B8%B8%E0%B8%87</x:v>
      </x:c>
      <x:c r="Z496" s="56" t="str"/>
      <x:c r="AA496" s="56" t="str"/>
      <x:c r="AB496" s="57" t="str"/>
      <x:c r="AC496" s="20" t="str">
        <x:v>https://www.lemon8-app.com/%40iiikaniii/7454914081598767617?region=th</x:v>
      </x:c>
    </x:row>
    <x:row r="497" ht="88" customHeight="1">
      <x:c r="A497" s="54" t="n">
        <x:v>489</x:v>
      </x:c>
      <x:c r="B497" s="20" t="str">
        <x:v>ทะเลน้อย</x:v>
      </x:c>
      <x:c r="C497" s="20" t="str">
        <x:v>พัทลุง</x:v>
      </x:c>
      <x:c r="D497" s="20" t="str">
        <x:v>ธรรมชาติ</x:v>
      </x:c>
      <x:c r="E497" s="20" t="str">
        <x:v>พบข้อมูลชื่อตรงจาก [????] [????] [????] สคพ.14 ชวนไป สัมผัสบรรยากาศ [☀️] [⛰️] ทะเลน้อย มนเสน่ห์ ณ พัทลุง ????‍⬛ - สำนักงานสิ่งแวดล้อมและควบคุมมลพิษที่ 14; เป็นหลักฐานตัวตน/ประเภท ยังไม่ยืนยันบริการมุสลิมครบเกณฑ์</x:v>
      </x:c>
      <x:c r="F497" s="20" t="str">
        <x:v>ไม่ทราบ</x:v>
      </x:c>
      <x:c r="G497" s="20" t="str">
        <x:v>ยังไม่ยืนยันใบรับรองและวันหมดอายุ</x:v>
      </x:c>
      <x:c r="H497" s="20" t="str">
        <x:v>ตรวจการเปิด ตัวตนสาขา ช่องทางติดต่อ และเงื่อนไขบังคับตามประเภท</x:v>
      </x:c>
      <x:c r="I497" s="20" t="str">
        <x:v>ยังไม่ยืนยันที่อยู่ละเอียด ดูลิงก์แหล่งข้อมูลและ Google Maps</x:v>
      </x:c>
      <x:c r="J497" s="21" t="str">
        <x:v>ยังไม่พบหรือยังไม่ยืนยัน</x:v>
      </x:c>
      <x:c r="K497" s="51" t="str">
        <x:v>https://epo14.pcd.go.th/th/news/detail/159874</x:v>
      </x:c>
      <x:c r="L497" s="51" t="str">
        <x:v>https://www.phatthalungpao.go.th/travel/detail/135</x:v>
      </x:c>
      <x:c r="M497" s="20" t="str">
        <x:v>พบแหล่งต่างเว็บไซต์ ทะเลน้อย</x:v>
      </x:c>
      <x:c r="N497" s="28" t="n">
        <x:v>46316</x:v>
      </x:c>
      <x:c r="O497" s="57" t="str">
        <x:v>ยังไม่ตรวจ</x:v>
      </x:c>
      <x:c r="P497" s="57" t="str">
        <x:v>ยังไม่ติดต่อ</x:v>
      </x:c>
      <x:c r="Q497" s="20" t="str">
        <x:v>R26-106</x:v>
      </x:c>
      <x:c r="R497" s="20" t="str"/>
      <x:c r="S497" s="20" t="str"/>
      <x:c r="T497" s="20" t="str">
        <x:v>https://epo14.pcd.go.th/th/news/detail/159874</x:v>
      </x:c>
      <x:c r="U497" s="20" t="str"/>
      <x:c r="V497" s="20" t="str"/>
      <x:c r="W497" s="20" t="str"/>
      <x:c r="X497" s="20" t="str"/>
      <x:c r="Y497" s="20" t="str">
        <x:v>https://www.google.com/maps/search/?api=1&amp;query=%E0%B8%97%E0%B8%B0%E0%B9%80%E0%B8%A5%E0%B8%99%E0%B9%89%E0%B8%AD%E0%B8%A2%20%E0%B8%9E%E0%B8%B1%E0%B8%97%E0%B8%A5%E0%B8%B8%E0%B8%87</x:v>
      </x:c>
      <x:c r="Z497" s="56" t="str"/>
      <x:c r="AA497" s="56" t="str"/>
      <x:c r="AB497" s="57" t="str"/>
      <x:c r="AC497" s="20" t="str">
        <x:v>https://epo14.pcd.go.th/th/news/detail/159874</x:v>
      </x:c>
    </x:row>
    <x:row r="498" ht="88" customHeight="1">
      <x:c r="A498" s="54" t="n">
        <x:v>490</x:v>
      </x:c>
      <x:c r="B498" s="20" t="str">
        <x:v>มัสยิดกลางจังหวัดพัทลุง</x:v>
      </x:c>
      <x:c r="C498" s="20" t="str">
        <x:v>พัทลุง</x:v>
      </x:c>
      <x:c r="D498" s="20" t="str">
        <x:v>มัสยิด</x:v>
      </x:c>
      <x:c r="E498" s="20" t="str">
        <x:v>พบข้อมูลชื่อตรงจาก รายงานสถิติจังหวัดพัทลุง พ.ศ. 2567; เป็นหลักฐานตัวตน/ประเภท ยังไม่ยืนยันบริการมุสลิมครบเกณฑ์</x:v>
      </x:c>
      <x:c r="F498" s="20" t="str">
        <x:v>ไม่ทราบ</x:v>
      </x:c>
      <x:c r="G498" s="20" t="str">
        <x:v>ยังไม่ยืนยันใบรับรองและวันหมดอายุ</x:v>
      </x:c>
      <x:c r="H498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498" s="20" t="str">
        <x:v>ยังไม่ยืนยันที่อยู่ละเอียด ดูลิงก์แหล่งข้อมูลและ Google Maps</x:v>
      </x:c>
      <x:c r="J498" s="21" t="str">
        <x:v>ยังไม่พบหรือยังไม่ยืนยัน</x:v>
      </x:c>
      <x:c r="K498" s="51" t="str">
        <x:v>https://phatlung.nso.go.th/images/ebook/performance/000114.pdf</x:v>
      </x:c>
      <x:c r="L498" s="51" t="str">
        <x:v>https://www.phatthalung.go.th/2022/files/com_news_develop/2022-04_677cac2c26c2239.pdf</x:v>
      </x:c>
      <x:c r="M498" s="20" t="str">
        <x:v>พบแหล่งต่างเว็บไซต์ แผนพัฒนาจังหวัดพัทลุง 5 ปี (พ.ศ. 2566 – 2570</x:v>
      </x:c>
      <x:c r="N498" s="28" t="n">
        <x:v>46316</x:v>
      </x:c>
      <x:c r="O498" s="57" t="str">
        <x:v>ยังไม่ตรวจ</x:v>
      </x:c>
      <x:c r="P498" s="57" t="str">
        <x:v>ยังไม่ติดต่อ</x:v>
      </x:c>
      <x:c r="Q498" s="20" t="str">
        <x:v>R26-109</x:v>
      </x:c>
      <x:c r="R498" s="20" t="str"/>
      <x:c r="S498" s="20" t="str"/>
      <x:c r="T498" s="20" t="str">
        <x:v>https://phatlung.nso.go.th/images/ebook/performance/000114.pdf</x:v>
      </x:c>
      <x:c r="U498" s="20" t="str"/>
      <x:c r="V498" s="20" t="str"/>
      <x:c r="W498" s="20" t="str"/>
      <x:c r="X498" s="20" t="str"/>
      <x:c r="Y498" s="20" t="str">
        <x:v>https://www.google.com/maps/search/?api=1&amp;query=%E0%B8%A1%E0%B8%B1%E0%B8%AA%E0%B8%A2%E0%B8%B4%E0%B8%94%E0%B8%81%E0%B8%A5%E0%B8%B2%E0%B8%87%E0%B8%88%E0%B8%B1%E0%B8%87%E0%B8%AB%E0%B8%A7%E0%B8%B1%E0%B8%94%E0%B8%9E%E0%B8%B1%E0%B8%97%E0%B8%A5%E0%B8%B8%E0%B8%87%20%E0%B8%9E%E0%B8%B1%E0%B8%97%E0%B8%A5%E0%B8%B8%E0%B8%87</x:v>
      </x:c>
      <x:c r="Z498" s="56" t="str"/>
      <x:c r="AA498" s="56" t="str"/>
      <x:c r="AB498" s="57" t="str"/>
      <x:c r="AC498" s="20" t="str">
        <x:v>https://phatlung.nso.go.th/images/ebook/performance/000114.pdf</x:v>
      </x:c>
    </x:row>
    <x:row r="499" ht="88" customHeight="1">
      <x:c r="A499" s="54" t="n">
        <x:v>491</x:v>
      </x:c>
      <x:c r="B499" s="20" t="str">
        <x:v>หลาดใต้ถุน ปากพะยูน ชุมชนบ้านกลาง</x:v>
      </x:c>
      <x:c r="C499" s="20" t="str">
        <x:v>พัทลุง</x:v>
      </x:c>
      <x:c r="D499" s="20" t="str">
        <x:v>ชุมชน</x:v>
      </x:c>
      <x:c r="E499" s="20" t="str">
        <x:v>พบข้อมูลชื่อตรงจาก “หลาดใต้ถุน” ฟื้นวิถีสงบสุขกลางเมือง สร้างชุมชนพึ่งตนเอง - สงขลาโฟกัส; เป็นหลักฐานตัวตน/ประเภท ยังไม่ยืนยันบริการมุสลิมครบเกณฑ์</x:v>
      </x:c>
      <x:c r="F499" s="20" t="str">
        <x:v>ไม่ทราบ</x:v>
      </x:c>
      <x:c r="G499" s="20" t="str">
        <x:v>ยังไม่ยืนยันใบรับรองและวันหมดอายุ</x:v>
      </x:c>
      <x:c r="H499" s="20" t="str">
        <x:v>ตรวจการเปิด ตัวตนสาขา ช่องทางติดต่อ และเงื่อนไขบังคับตามประเภท</x:v>
      </x:c>
      <x:c r="I499" s="20" t="str">
        <x:v>ยังไม่ยืนยันที่อยู่ละเอียด ดูลิงก์แหล่งข้อมูลและ Google Maps</x:v>
      </x:c>
      <x:c r="J499" s="21" t="str">
        <x:v>ยังไม่พบหรือยังไม่ยืนยัน</x:v>
      </x:c>
      <x:c r="K499" s="51" t="str">
        <x:v>https://songkhlafocus.com/news/21585/05/</x:v>
      </x:c>
      <x:c r="L499" s="51" t="str">
        <x:v>https://www.youtube.com/watch?v=M0QIRIEUBvg</x:v>
      </x:c>
      <x:c r="M499" s="20" t="str">
        <x:v>พบแหล่งต่างเว็บไซต์ หลาดใต้ถุน - ปากพะยูน l ขนมพื้นบ้าน อาหารหรอยๆ กับบรรยากาศในวัยเยาว์ - YouTube</x:v>
      </x:c>
      <x:c r="N499" s="28" t="n">
        <x:v>46316</x:v>
      </x:c>
      <x:c r="O499" s="57" t="str">
        <x:v>ยังไม่ตรวจ</x:v>
      </x:c>
      <x:c r="P499" s="57" t="str">
        <x:v>ยังไม่ติดต่อ</x:v>
      </x:c>
      <x:c r="Q499" s="20" t="str">
        <x:v>R26-110</x:v>
      </x:c>
      <x:c r="R499" s="20" t="str"/>
      <x:c r="S499" s="20" t="str"/>
      <x:c r="T499" s="20" t="str">
        <x:v>https://songkhlafocus.com/news/21585/05/</x:v>
      </x:c>
      <x:c r="U499" s="20" t="str"/>
      <x:c r="V499" s="20" t="str"/>
      <x:c r="W499" s="20" t="str"/>
      <x:c r="X499" s="20" t="str"/>
      <x:c r="Y499" s="20" t="str">
        <x:v>https://www.google.com/maps/search/?api=1&amp;query=%E0%B8%AB%E0%B8%A5%E0%B8%B2%E0%B8%94%E0%B9%83%E0%B8%95%E0%B9%89%E0%B8%96%E0%B8%B8%E0%B8%99%20%E0%B8%9B%E0%B8%B2%E0%B8%81%E0%B8%9E%E0%B8%B0%E0%B8%A2%E0%B8%B9%E0%B8%99%20%E0%B8%8A%E0%B8%B8%E0%B8%A1%E0%B8%8A%E0%B8%99%E0%B8%9A%E0%B9%89%E0%B8%B2%E0%B8%99%E0%B8%81%E0%B8%A5%E0%B8%B2%E0%B8%87%20%E0%B8%9E%E0%B8%B1%E0%B8%97%E0%B8%A5%E0%B8%B8%E0%B8%87</x:v>
      </x:c>
      <x:c r="Z499" s="56" t="str"/>
      <x:c r="AA499" s="56" t="str"/>
      <x:c r="AB499" s="57" t="str"/>
      <x:c r="AC499" s="20" t="str">
        <x:v>https://songkhlafocus.com/news/21585/05/</x:v>
      </x:c>
    </x:row>
    <x:row r="500" ht="88" customHeight="1">
      <x:c r="A500" s="54" t="n">
        <x:v>492</x:v>
      </x:c>
      <x:c r="B500" s="20" t="str">
        <x:v>สวนเดอลอง</x:v>
      </x:c>
      <x:c r="C500" s="20" t="str">
        <x:v>พัทลุง</x:v>
      </x:c>
      <x:c r="D500" s="20" t="str">
        <x:v>กิจกรรม</x:v>
      </x:c>
      <x:c r="E500" s="20" t="str">
        <x:v>พบข้อมูลชื่อตรงจาก สวนเดอลอง พัทลุง อาณาจักรแห่งความสนุก ของทุกคนในครอบครัว; เป็นหลักฐานตัวตน/ประเภท ยังไม่ยืนยันบริการมุสลิมครบเกณฑ์</x:v>
      </x:c>
      <x:c r="F500" s="20" t="str">
        <x:v>ไม่ทราบ</x:v>
      </x:c>
      <x:c r="G500" s="20" t="str">
        <x:v>ยังไม่ยืนยันใบรับรองและวันหมดอายุ</x:v>
      </x:c>
      <x:c r="H500" s="20" t="str">
        <x:v>ตรวจการเปิด ตัวตนสาขา ช่องทางติดต่อ และเงื่อนไขบังคับตามประเภท</x:v>
      </x:c>
      <x:c r="I500" s="20" t="str">
        <x:v>ยังไม่ยืนยันที่อยู่ละเอียด ดูลิงก์แหล่งข้อมูลและ Google Maps</x:v>
      </x:c>
      <x:c r="J500" s="21" t="str">
        <x:v>ยังไม่พบหรือยังไม่ยืนยัน</x:v>
      </x:c>
      <x:c r="K500" s="51" t="str">
        <x:v>https://www.delonggarden.com/</x:v>
      </x:c>
      <x:c r="L500" s="51" t="str">
        <x:v>https://www.tatstar.org/company/STAR-C00268</x:v>
      </x:c>
      <x:c r="M500" s="20" t="str">
        <x:v>พบแหล่งต่างเว็บไซต์ สวนเดอลอง | ข้อมูลโครงการ TATSTAR</x:v>
      </x:c>
      <x:c r="N500" s="28" t="n">
        <x:v>46316</x:v>
      </x:c>
      <x:c r="O500" s="57" t="str">
        <x:v>ยังไม่ตรวจ</x:v>
      </x:c>
      <x:c r="P500" s="57" t="str">
        <x:v>ยังไม่ติดต่อ</x:v>
      </x:c>
      <x:c r="Q500" s="20" t="str">
        <x:v>R26-108</x:v>
      </x:c>
      <x:c r="R500" s="20" t="str"/>
      <x:c r="S500" s="20" t="str"/>
      <x:c r="T500" s="20" t="str">
        <x:v>https://www.delonggarden.com/</x:v>
      </x:c>
      <x:c r="U500" s="20" t="str">
        <x:v>https://www.facebook.com/delonggarden</x:v>
      </x:c>
      <x:c r="V500" s="20" t="str">
        <x:v>https://www.instagram.com/delonggarden</x:v>
      </x:c>
      <x:c r="W500" s="20" t="str">
        <x:v>https://lin.ee/sRAl2FS</x:v>
      </x:c>
      <x:c r="X500" s="20" t="str"/>
      <x:c r="Y500" s="20" t="str">
        <x:v>https://www.google.com/maps/search/?api=1&amp;query=%E0%B8%AA%E0%B8%A7%E0%B8%99%E0%B9%80%E0%B8%94%E0%B8%AD%E0%B8%A5%E0%B8%AD%E0%B8%87%20%E0%B8%9E%E0%B8%B1%E0%B8%97%E0%B8%A5%E0%B8%B8%E0%B8%87</x:v>
      </x:c>
      <x:c r="Z500" s="56" t="str"/>
      <x:c r="AA500" s="56" t="str"/>
      <x:c r="AB500" s="57" t="str"/>
      <x:c r="AC500" s="20" t="str">
        <x:v>https://www.delonggarden.com/</x:v>
      </x:c>
    </x:row>
    <x:row r="501" ht="88" customHeight="1">
      <x:c r="A501" s="54" t="n">
        <x:v>493</x:v>
      </x:c>
      <x:c r="B501" s="20" t="str">
        <x:v>Dusit Princess Phatthalung</x:v>
      </x:c>
      <x:c r="C501" s="20" t="str">
        <x:v>พัทลุง</x:v>
      </x:c>
      <x:c r="D501" s="20" t="str">
        <x:v>ที่พัก</x:v>
      </x:c>
      <x:c r="E501" s="20" t="str">
        <x:v>พบข้อมูลชื่อตรงจาก Roam With Dusit | EP 5: เที่ยวพัทลุง 3 วัน 18 จุดเช็กอิน – พักสบายที่ Dusit Princess Phatthalung - YouTube; เป็นหลักฐานตัวตน/ประเภท ยังไม่ยืนยันบริการมุสลิมครบเกณฑ์</x:v>
      </x:c>
      <x:c r="F501" s="20" t="str">
        <x:v>ไม่ทราบ</x:v>
      </x:c>
      <x:c r="G501" s="20" t="str">
        <x:v>ยังไม่ยืนยันใบรับรองและวันหมดอายุ</x:v>
      </x:c>
      <x:c r="H501" s="20" t="str">
        <x:v>ตรวจการเปิด ตัวตนสาขา ช่องทางติดต่อ และเงื่อนไขบังคับตามประเภท</x:v>
      </x:c>
      <x:c r="I501" s="20" t="str">
        <x:v>ยังไม่ยืนยันที่อยู่ละเอียด ดูลิงก์แหล่งข้อมูลและ Google Maps</x:v>
      </x:c>
      <x:c r="J501" s="21" t="str">
        <x:v>+66%20(0)%2074880%20777</x:v>
      </x:c>
      <x:c r="K501" s="51" t="str">
        <x:v>https://www.youtube.com/watch?v=8O5M9HbgFyI</x:v>
      </x:c>
      <x:c r="L501" s="51" t="str">
        <x:v>https://www.dusit.com/dusitprincess-phatthalung/th/</x:v>
      </x:c>
      <x:c r="M501" s="20" t="str">
        <x:v>พบแหล่งต่างเว็บไซต์ หน้าหลัก - Dusit Princess Phatthalung</x:v>
      </x:c>
      <x:c r="N501" s="28" t="n">
        <x:v>46316</x:v>
      </x:c>
      <x:c r="O501" s="57" t="str">
        <x:v>ยังไม่ตรวจ</x:v>
      </x:c>
      <x:c r="P501" s="57" t="str">
        <x:v>ยังไม่ติดต่อ</x:v>
      </x:c>
      <x:c r="Q501" s="20" t="str">
        <x:v>R26-387</x:v>
      </x:c>
      <x:c r="R501" s="20" t="str">
        <x:v>Dusit Princess Phatthalung</x:v>
      </x:c>
      <x:c r="S501" s="20" t="str">
        <x:v>dppt@dusit.com,%20dpptreservations@dusit.com</x:v>
      </x:c>
      <x:c r="T501" s="20" t="str">
        <x:v>https://www.youtube.com/watch?v=8O5M9HbgFyI</x:v>
      </x:c>
      <x:c r="U501" s="20" t="str">
        <x:v>https://www.facebook.com/dusitprincessphatthalung</x:v>
      </x:c>
      <x:c r="V501" s="20" t="str">
        <x:v>https://www.instagram.com/dusitprincessphatthalung</x:v>
      </x:c>
      <x:c r="W501" s="20" t="str"/>
      <x:c r="X501" s="20" t="str"/>
      <x:c r="Y501" s="20" t="str">
        <x:v>https://www.google.com/maps/search/?api=1&amp;query=Dusit%20Princess%20Phatthalung%20%E0%B8%9E%E0%B8%B1%E0%B8%97%E0%B8%A5%E0%B8%B8%E0%B8%87</x:v>
      </x:c>
      <x:c r="Z501" s="56" t="n">
        <x:v>7.6038556</x:v>
      </x:c>
      <x:c r="AA501" s="56" t="n">
        <x:v>100.0668315</x:v>
      </x:c>
      <x:c r="AB501" s="57" t="str"/>
      <x:c r="AC501" s="20" t="str">
        <x:v>https://www.dusit.com/dusitprincess-phatthalung/th/</x:v>
      </x:c>
    </x:row>
    <x:row r="502" ht="88" customHeight="1">
      <x:c r="A502" s="54" t="n">
        <x:v>494</x:v>
      </x:c>
      <x:c r="B502" s="20" t="str">
        <x:v>Sri Pakpra Boutique Resort Phatthalung</x:v>
      </x:c>
      <x:c r="C502" s="20" t="str">
        <x:v>พัทลุง</x:v>
      </x:c>
      <x:c r="D502" s="20" t="str">
        <x:v>ที่พัก</x:v>
      </x:c>
      <x:c r="E502" s="20" t="str">
        <x:v>พบข้อมูลชื่อตรงจาก Sri Pakpra Boutique Resort Phatthalung 📍 รีสอร์ตสวยวิวทะเลน้อย  #พัทลุง  #ทะเลน้อย - YouTube; เป็นหลักฐานตัวตน/ประเภท ยังไม่ยืนยันบริการมุสลิมครบเกณฑ์</x:v>
      </x:c>
      <x:c r="F502" s="20" t="str">
        <x:v>ไม่ทราบ</x:v>
      </x:c>
      <x:c r="G502" s="20" t="str">
        <x:v>ยังไม่ยืนยันใบรับรองและวันหมดอายุ</x:v>
      </x:c>
      <x:c r="H502" s="20" t="str">
        <x:v>ตรวจการเปิด ตัวตนสาขา ช่องทางติดต่อ และเงื่อนไขบังคับตามประเภท</x:v>
      </x:c>
      <x:c r="I502" s="20" t="str">
        <x:v>ยังไม่ยืนยันที่อยู่ละเอียด ดูลิงก์แหล่งข้อมูลและ Google Maps</x:v>
      </x:c>
      <x:c r="J502" s="21" t="str">
        <x:v>ยังไม่พบหรือยังไม่ยืนยัน</x:v>
      </x:c>
      <x:c r="K502" s="51" t="str">
        <x:v>https://www.youtube.com/watch?v=Y02k4yCL7A8</x:v>
      </x:c>
      <x:c r="L502" s="51" t="str">
        <x:v>https://www.booking.com/hotel/th/sripakpra-andacura-boutique-resort-phattalung.html</x:v>
      </x:c>
      <x:c r="M502" s="20" t="str">
        <x:v>พบแหล่งต่างเว็บไซต์ Sripakpra Boutique Resort Phatthalung, Ban Pak Pra (1) (updated prices 2026)</x:v>
      </x:c>
      <x:c r="N502" s="28" t="n">
        <x:v>46316</x:v>
      </x:c>
      <x:c r="O502" s="57" t="str">
        <x:v>ยังไม่ตรวจ</x:v>
      </x:c>
      <x:c r="P502" s="57" t="str">
        <x:v>ยังไม่ติดต่อ</x:v>
      </x:c>
      <x:c r="Q502" s="20" t="str">
        <x:v>R26-388</x:v>
      </x:c>
      <x:c r="R502" s="20" t="str">
        <x:v>Sri Pakpra Boutique Resort Phatthalung</x:v>
      </x:c>
      <x:c r="S502" s="20" t="str"/>
      <x:c r="T502" s="20" t="str">
        <x:v>https://www.youtube.com/watch?v=Y02k4yCL7A8</x:v>
      </x:c>
      <x:c r="U502" s="20" t="str"/>
      <x:c r="V502" s="20" t="str"/>
      <x:c r="W502" s="20" t="str"/>
      <x:c r="X502" s="20" t="str"/>
      <x:c r="Y502" s="20" t="str">
        <x:v>https://www.google.com/maps/search/?api=1&amp;query=Sri%20Pakpra%20Boutique%20Resort%20Phatthalung%20%E0%B8%9E%E0%B8%B1%E0%B8%97%E0%B8%A5%E0%B8%B8%E0%B8%87</x:v>
      </x:c>
      <x:c r="Z502" s="56" t="str"/>
      <x:c r="AA502" s="56" t="str"/>
      <x:c r="AB502" s="57" t="str"/>
      <x:c r="AC502" s="20" t="str">
        <x:v>https://www.youtube.com/watch?v=Y02k4yCL7A8</x:v>
      </x:c>
    </x:row>
    <x:row r="503" ht="88" customHeight="1">
      <x:c r="A503" s="54" t="n">
        <x:v>495</x:v>
      </x:c>
      <x:c r="B503" s="20" t="str">
        <x:v>MONTE พัทลุง</x:v>
      </x:c>
      <x:c r="C503" s="20" t="str">
        <x:v>พัทลุง</x:v>
      </x:c>
      <x:c r="D503" s="20" t="str">
        <x:v>อาหาร</x:v>
      </x:c>
      <x:c r="E503" s="20" t="str">
        <x:v>พบข้อมูลชื่อตรงจาก MONTE พัทลุง (ร้านมอนเต้) ร้านอาหารฮาลาลบรรยากาศชิล เปิด 15.00-23.00 น. รีวิวเมนูเด็ด; เป็นหลักฐานตัวตน/ประเภท ยังไม่ยืนยันบริการมุสลิมครบเกณฑ์</x:v>
      </x:c>
      <x:c r="F503" s="20" t="str">
        <x:v>ไม่ทราบ</x:v>
      </x:c>
      <x:c r="G503" s="20" t="str">
        <x:v>ยังไม่ยืนยันใบรับรองและวันหมดอายุ</x:v>
      </x:c>
      <x:c r="H503" s="20" t="str">
        <x:v>ตรวจการเปิด ตัวตนสาขา ช่องทางติดต่อ และเงื่อนไขบังคับตามประเภท</x:v>
      </x:c>
      <x:c r="I503" s="20" t="str">
        <x:v>ยังไม่ยืนยันที่อยู่ละเอียด ดูลิงก์แหล่งข้อมูลและ Google Maps</x:v>
      </x:c>
      <x:c r="J503" s="21" t="str">
        <x:v>ยังไม่พบหรือยังไม่ยืนยัน</x:v>
      </x:c>
      <x:c r="K503" s="51" t="str">
        <x:v>https://www.lemon8-app.com/%40prae_253928/7617386725786583559?region=th</x:v>
      </x:c>
      <x:c r="L503" s="51" t="str">
        <x:v>https://ph.trip.com/moments/detail/phatthalung-1447129-147399625</x:v>
      </x:c>
      <x:c r="M503" s="20" t="str">
        <x:v>พบแหล่งต่างเว็บไซต์ MONTE Phatthalung: A Cool Cafe That Tea and Roti Lovers Shouldn't Miss. | Trip.com Phatthalung</x:v>
      </x:c>
      <x:c r="N503" s="28" t="n">
        <x:v>46316</x:v>
      </x:c>
      <x:c r="O503" s="57" t="str">
        <x:v>ยังไม่ตรวจ</x:v>
      </x:c>
      <x:c r="P503" s="57" t="str">
        <x:v>ยังไม่ติดต่อ</x:v>
      </x:c>
      <x:c r="Q503" s="20" t="str">
        <x:v>R26-352</x:v>
      </x:c>
      <x:c r="R503" s="20" t="str"/>
      <x:c r="S503" s="20" t="str"/>
      <x:c r="T503" s="20" t="str">
        <x:v>https://www.lemon8-app.com/%40prae_253928/7617386725786583559?region=th</x:v>
      </x:c>
      <x:c r="U503" s="20" t="str"/>
      <x:c r="V503" s="20" t="str"/>
      <x:c r="W503" s="20" t="str"/>
      <x:c r="X503" s="20" t="str"/>
      <x:c r="Y503" s="20" t="str">
        <x:v>https://www.google.com/maps/search/?api=1&amp;query=MONTE%20%E0%B8%9E%E0%B8%B1%E0%B8%97%E0%B8%A5%E0%B8%B8%E0%B8%87%20%E0%B8%9E%E0%B8%B1%E0%B8%97%E0%B8%A5%E0%B8%B8%E0%B8%87</x:v>
      </x:c>
      <x:c r="Z503" s="56" t="str"/>
      <x:c r="AA503" s="56" t="str"/>
      <x:c r="AB503" s="57" t="str"/>
      <x:c r="AC503" s="20" t="str">
        <x:v>https://www.lemon8-app.com/%40prae_253928/7617386725786583559?region=th</x:v>
      </x:c>
    </x:row>
    <x:row r="504" ht="88" customHeight="1">
      <x:c r="A504" s="54" t="n">
        <x:v>496</x:v>
      </x:c>
      <x:c r="B504" s="20" t="str">
        <x:v>ก๋วยเตี๋ยวจัมโบ้อิสลาม เกะฟ็ะ</x:v>
      </x:c>
      <x:c r="C504" s="20" t="str">
        <x:v>พัทลุง</x:v>
      </x:c>
      <x:c r="D504" s="20" t="str">
        <x:v>อาหาร</x:v>
      </x:c>
      <x:c r="E504" s="20" t="str">
        <x:v>พบข้อมูลชื่อตรงจาก รีวิว ก๋วยเตี๋ยวจัมโบ้อิสลามเกะฟ็ะพัทลุง ก๋วยเตี๋ยวจัมโบ้อิสลามเมื่องลุง; เป็นหลักฐานตัวตน/ประเภท ยังไม่ยืนยันบริการมุสลิมครบเกณฑ์</x:v>
      </x:c>
      <x:c r="F504" s="20" t="str">
        <x:v>ไม่ทราบ</x:v>
      </x:c>
      <x:c r="G504" s="20" t="str">
        <x:v>ยังไม่ยืนยันใบรับรองและวันหมดอายุ</x:v>
      </x:c>
      <x:c r="H504" s="20" t="str">
        <x:v>ตรวจการเปิด ตัวตนสาขา ช่องทางติดต่อ และเงื่อนไขบังคับตามประเภท</x:v>
      </x:c>
      <x:c r="I504" s="20" t="str">
        <x:v>ยังไม่ยืนยันที่อยู่ละเอียด ดูลิงก์แหล่งข้อมูลและ Google Maps</x:v>
      </x:c>
      <x:c r="J504" s="21" t="str">
        <x:v>ยังไม่พบหรือยังไม่ยืนยัน</x:v>
      </x:c>
      <x:c r="K504" s="51" t="str">
        <x:v>https://www.wongnai.com/restaurants/269214uC-%E0%B8%81%E0%B9%8B%E0%B8%A7%E0%B8%A2%E0%B9%80%E0%B8%95%E0%B8%B5%E0%B9%8B%E0%B8%A2%E0%B8%A7%E0%B8%88%E0%B8%B1%E0%B8%A1%E0%B9%82%E0%B8%9A%E0%B9%89%E0%B8%AD%E0%B8%B4%E0%B8%AA%E0%B8%A5%E0%B8%B2%E0%B8%A1/reviews</x:v>
      </x:c>
      <x:c r="L504" s="51" t="str">
        <x:v>https://makanhalalguide.com/shop/detail/3868</x:v>
      </x:c>
      <x:c r="M504" s="20" t="str">
        <x:v>พบแหล่งต่างเว็บไซต์ ก๋วยเตี๋ยวจัมโบ้ก๊ะฟ๊ะอิสลาม เมืองลุง | Makan Halal Guide</x:v>
      </x:c>
      <x:c r="N504" s="28" t="n">
        <x:v>46316</x:v>
      </x:c>
      <x:c r="O504" s="57" t="str">
        <x:v>ยังไม่ตรวจ</x:v>
      </x:c>
      <x:c r="P504" s="57" t="str">
        <x:v>ยังไม่ติดต่อ</x:v>
      </x:c>
      <x:c r="Q504" s="20" t="str">
        <x:v>R26-354</x:v>
      </x:c>
      <x:c r="R504" s="20" t="str"/>
      <x:c r="S504" s="20" t="str"/>
      <x:c r="T504" s="20" t="str">
        <x:v>https://www.wongnai.com/restaurants/269214uC-%E0%B8%81%E0%B9%8B%E0%B8%A7%E0%B8%A2%E0%B9%80%E0%B8%95%E0%B8%B5%E0%B9%8B%E0%B8%A2%E0%B8%A7%E0%B8%88%E0%B8%B1%E0%B8%A1%E0%B9%82%E0%B8%9A%E0%B9%89%E0%B8%AD%E0%B8%B4%E0%B8%AA%E0%B8%A5%E0%B8%B2%E0%B8%A1/reviews</x:v>
      </x:c>
      <x:c r="U504" s="20" t="str"/>
      <x:c r="V504" s="20" t="str"/>
      <x:c r="W504" s="20" t="str"/>
      <x:c r="X504" s="20" t="str"/>
      <x:c r="Y504" s="20" t="str">
        <x:v>https://www.google.com/maps/search/?api=1&amp;query=%E0%B8%81%E0%B9%8B%E0%B8%A7%E0%B8%A2%E0%B9%80%E0%B8%95%E0%B8%B5%E0%B9%8B%E0%B8%A2%E0%B8%A7%E0%B8%88%E0%B8%B1%E0%B8%A1%E0%B9%82%E0%B8%9A%E0%B9%89%E0%B8%AD%E0%B8%B4%E0%B8%AA%E0%B8%A5%E0%B8%B2%E0%B8%A1%20%E0%B9%80%E0%B8%81%E0%B8%B0%E0%B8%9F%E0%B9%87%E0%B8%B0%20%E0%B8%9E%E0%B8%B1%E0%B8%97%E0%B8%A5%E0%B8%B8%E0%B8%87</x:v>
      </x:c>
      <x:c r="Z504" s="56" t="str"/>
      <x:c r="AA504" s="56" t="str"/>
      <x:c r="AB504" s="57" t="str"/>
      <x:c r="AC504" s="20" t="str">
        <x:v>https://www.wongnai.com/restaurants/269214uC-%E0%B8%81%E0%B9%8B%E0%B8%A7%E0%B8%A2%E0%B9%80%E0%B8%95%E0%B8%B5%E0%B9%8B%E0%B8%A2%E0%B8%A7%E0%B8%88%E0%B8%B1%E0%B8%A1%E0%B9%82%E0%B8%9A%E0%B9%89%E0%B8%AD%E0%B8%B4%E0%B8%AA%E0%B8%A5%E0%B8%B2%E0%B8%A1/reviews</x:v>
      </x:c>
    </x:row>
    <x:row r="505" ht="88" customHeight="1">
      <x:c r="A505" s="54" t="n">
        <x:v>497</x:v>
      </x:c>
      <x:c r="B505" s="20" t="str">
        <x:v>สะพานเฉลิมพระเกียรติ 80 พรรษา พัทลุง</x:v>
      </x:c>
      <x:c r="C505" s="20" t="str">
        <x:v>พัทลุง</x:v>
      </x:c>
      <x:c r="D505" s="20" t="str">
        <x:v>ธรรมชาติ</x:v>
      </x:c>
      <x:c r="E505" s="20" t="str">
        <x:v>พบข้อมูลชื่อตรงจาก สะพานเฉลิมพระเกียรติ 80 พรรษา ฯ พัทลุง | ไปด้วยกัน เว็บไซต์ท่องเที่ยว ข้อมูลเที่ยว ที่กิน ที่พัก แบบอัพเดท; เป็นหลักฐานตัวตน/ประเภท ยังไม่ยืนยันบริการมุสลิมครบเกณฑ์</x:v>
      </x:c>
      <x:c r="F505" s="20" t="str">
        <x:v>ไม่ทราบ</x:v>
      </x:c>
      <x:c r="G505" s="20" t="str">
        <x:v>ยังไม่ยืนยันใบรับรองและวันหมดอายุ</x:v>
      </x:c>
      <x:c r="H505" s="20" t="str">
        <x:v>ตรวจการเปิด ตัวตนสาขา ช่องทางติดต่อ และเงื่อนไขบังคับตามประเภท</x:v>
      </x:c>
      <x:c r="I505" s="20" t="str">
        <x:v>ยังไม่ยืนยันที่อยู่ละเอียด ดูลิงก์แหล่งข้อมูลและ Google Maps</x:v>
      </x:c>
      <x:c r="J505" s="21" t="str">
        <x:v>ยังไม่พบหรือยังไม่ยืนยัน</x:v>
      </x:c>
      <x:c r="K505" s="51" t="str">
        <x:v>https://paiduaykan.com/%E0%B8%AA%E0%B8%B0%E0%B8%9E%E0%B8%B2%E0%B8%99%E0%B9%80%E0%B8%AD%E0%B8%81%E0%B8%8A%E0%B8%B1%E0%B8%A2/</x:v>
      </x:c>
      <x:c r="L505" s="51" t="str">
        <x:v>https://atphatlung.com/%E0%B8%AA%E0%B8%B0%E0%B8%9E%E0%B8%B2%E0%B8%99%E0%B9%80%E0%B8%89%E0%B8%A5%E0%B8%B4%E0%B8%A1%E0%B8%9E%E0%B8%A3%E0%B8%B0%E0%B9%80%E0%B8%81%E0%B8%B5%E0%B8%A2%E0%B8%A3%E0%B8%95%E0%B8%B480/</x:v>
      </x:c>
      <x:c r="M505" s="20" t="str">
        <x:v>พบแหล่งต่างเว็บไซต์ สะพานเฉลิมพระเกียรติ 80 พรรษา : #ที่นี่พัทลุง</x:v>
      </x:c>
      <x:c r="N505" s="28" t="n">
        <x:v>46316</x:v>
      </x:c>
      <x:c r="O505" s="57" t="str">
        <x:v>ยังไม่ตรวจ</x:v>
      </x:c>
      <x:c r="P505" s="57" t="str">
        <x:v>ยังไม่ติดต่อ</x:v>
      </x:c>
      <x:c r="Q505" s="20" t="str">
        <x:v>R26-210</x:v>
      </x:c>
      <x:c r="R505" s="20" t="str"/>
      <x:c r="S505" s="20" t="str"/>
      <x:c r="T505" s="20" t="str">
        <x:v>https://paiduaykan.com/%E0%B8%AA%E0%B8%B0%E0%B8%9E%E0%B8%B2%E0%B8%99%E0%B9%80%E0%B8%AD%E0%B8%81%E0%B8%8A%E0%B8%B1%E0%B8%A2/</x:v>
      </x:c>
      <x:c r="U505" s="20" t="str"/>
      <x:c r="V505" s="20" t="str"/>
      <x:c r="W505" s="20" t="str"/>
      <x:c r="X505" s="20" t="str"/>
      <x:c r="Y505" s="20" t="str">
        <x:v>https://www.google.com/maps/search/?api=1&amp;query=%E0%B8%AA%E0%B8%B0%E0%B8%9E%E0%B8%B2%E0%B8%99%E0%B9%80%E0%B8%89%E0%B8%A5%E0%B8%B4%E0%B8%A1%E0%B8%9E%E0%B8%A3%E0%B8%B0%E0%B9%80%E0%B8%81%E0%B8%B5%E0%B8%A2%E0%B8%A3%E0%B8%95%E0%B8%B4%2080%20%E0%B8%9E%E0%B8%A3%E0%B8%A3%E0%B8%A9%E0%B8%B2%20%E0%B8%9E%E0%B8%B1%E0%B8%97%E0%B8%A5%E0%B8%B8%E0%B8%87%20%E0%B8%9E%E0%B8%B1%E0%B8%97%E0%B8%A5%E0%B8%B8%E0%B8%87</x:v>
      </x:c>
      <x:c r="Z505" s="56" t="str"/>
      <x:c r="AA505" s="56" t="str"/>
      <x:c r="AB505" s="57" t="str"/>
      <x:c r="AC505" s="20" t="str">
        <x:v>https://paiduaykan.com/%E0%B8%AA%E0%B8%B0%E0%B8%9E%E0%B8%B2%E0%B8%99%E0%B9%80%E0%B8%AD%E0%B8%81%E0%B8%8A%E0%B8%B1%E0%B8%A2/</x:v>
      </x:c>
    </x:row>
    <x:row r="506" ht="88" customHeight="1">
      <x:c r="A506" s="54" t="n">
        <x:v>498</x:v>
      </x:c>
      <x:c r="B506" s="20" t="str">
        <x:v>อุทยานแห่งชาติเขาปู่-เขาย่า</x:v>
      </x:c>
      <x:c r="C506" s="20" t="str">
        <x:v>พัทลุง</x:v>
      </x:c>
      <x:c r="D506" s="20" t="str">
        <x:v>ธรรมชาติ</x:v>
      </x:c>
      <x:c r="E506" s="20" t="str">
        <x:v>พบข้อมูลชื่อตรงจาก อธิบดีกรมอุทยานฯ ลงพื้นที่ตรวจเยี่ยมอุทยานแห่งชาติเขาปู่-เขาย่า และเขตห้ามล่าสัตว์ป่าทะเลน้อย เน้นย้ำเพิ่มประสิทธิภาพยุทธศาสตร์อนุรักษ์ป่าไม้และสัตว์ป่า พร้อมสร้างขวัญกำลังใจแก่เจ้าหน้าที่ปฏิบัติงาน; เป็นหลักฐานตัวตน/ประเภท ยังไม่ยืนยันบริการมุสลิมครบเกณฑ์</x:v>
      </x:c>
      <x:c r="F506" s="20" t="str">
        <x:v>ไม่ทราบ</x:v>
      </x:c>
      <x:c r="G506" s="20" t="str">
        <x:v>ยังไม่ยืนยันใบรับรองและวันหมดอายุ</x:v>
      </x:c>
      <x:c r="H506" s="20" t="str">
        <x:v>ตรวจการเปิด ตัวตนสาขา ช่องทางติดต่อ และเงื่อนไขบังคับตามประเภท</x:v>
      </x:c>
      <x:c r="I506" s="20" t="str">
        <x:v>ยังไม่ยืนยันที่อยู่ละเอียด ดูลิงก์แหล่งข้อมูลและ Google Maps</x:v>
      </x:c>
      <x:c r="J506" s="21" t="str">
        <x:v>ยังไม่พบหรือยังไม่ยืนยัน</x:v>
      </x:c>
      <x:c r="K506" s="51" t="str">
        <x:v>https://news.dnp.go.th/news/49884</x:v>
      </x:c>
      <x:c r="L506" s="51" t="str">
        <x:v>https://www.thailandtourismdirectory.go.th/attraction/1984</x:v>
      </x:c>
      <x:c r="M506" s="20" t="str">
        <x:v>พบแหล่งต่างเว็บไซต์ อุทยานแห่งชาติเขาปู่-เขาย่า</x:v>
      </x:c>
      <x:c r="N506" s="28" t="n">
        <x:v>46316</x:v>
      </x:c>
      <x:c r="O506" s="57" t="str">
        <x:v>ยังไม่ตรวจ</x:v>
      </x:c>
      <x:c r="P506" s="57" t="str">
        <x:v>ยังไม่ติดต่อ</x:v>
      </x:c>
      <x:c r="Q506" s="20" t="str">
        <x:v>R26-211</x:v>
      </x:c>
      <x:c r="R506" s="20" t="str"/>
      <x:c r="S506" s="20" t="str"/>
      <x:c r="T506" s="20" t="str">
        <x:v>https://news.dnp.go.th/news/49884</x:v>
      </x:c>
      <x:c r="U506" s="20" t="str"/>
      <x:c r="V506" s="20" t="str"/>
      <x:c r="W506" s="20" t="str"/>
      <x:c r="X506" s="20" t="str"/>
      <x:c r="Y506" s="20" t="str">
        <x:v>https://www.google.com/maps/search/?api=1&amp;query=%E0%B8%AD%E0%B8%B8%E0%B8%97%E0%B8%A2%E0%B8%B2%E0%B8%99%E0%B9%81%E0%B8%AB%E0%B9%88%E0%B8%87%E0%B8%8A%E0%B8%B2%E0%B8%95%E0%B8%B4%E0%B9%80%E0%B8%82%E0%B8%B2%E0%B8%9B%E0%B8%B9%E0%B9%88-%E0%B9%80%E0%B8%82%E0%B8%B2%E0%B8%A2%E0%B9%88%E0%B8%B2%20%E0%B8%9E%E0%B8%B1%E0%B8%97%E0%B8%A5%E0%B8%B8%E0%B8%87</x:v>
      </x:c>
      <x:c r="Z506" s="56" t="n">
        <x:v>7.679</x:v>
      </x:c>
      <x:c r="AA506" s="56" t="n">
        <x:v>99.8726</x:v>
      </x:c>
      <x:c r="AB506" s="57" t="str"/>
      <x:c r="AC506" s="20" t="str">
        <x:v>https://news.dnp.go.th/news/49884</x:v>
      </x:c>
    </x:row>
    <x:row r="507" ht="88" customHeight="1">
      <x:c r="A507" s="54" t="n">
        <x:v>499</x:v>
      </x:c>
      <x:c r="B507" s="20" t="str">
        <x:v>ชุมชนบ้านปากประ</x:v>
      </x:c>
      <x:c r="C507" s="20" t="str">
        <x:v>พัทลุง</x:v>
      </x:c>
      <x:c r="D507" s="20" t="str">
        <x:v>ชุมชน</x:v>
      </x:c>
      <x:c r="E507" s="20" t="str">
        <x:v>พบข้อมูลชื่อตรงจาก บ้านปากประ; เป็นหลักฐานตัวตน/ประเภท ยังไม่ยืนยันบริการมุสลิมครบเกณฑ์</x:v>
      </x:c>
      <x:c r="F507" s="20" t="str">
        <x:v>ไม่ทราบ</x:v>
      </x:c>
      <x:c r="G507" s="20" t="str">
        <x:v>ยังไม่ยืนยันใบรับรองและวันหมดอายุ</x:v>
      </x:c>
      <x:c r="H507" s="20" t="str">
        <x:v>ตรวจการเปิด ตัวตนสาขา ช่องทางติดต่อ และเงื่อนไขบังคับตามประเภท</x:v>
      </x:c>
      <x:c r="I507" s="20" t="str">
        <x:v>ยังไม่ยืนยันที่อยู่ละเอียด ดูลิงก์แหล่งข้อมูลและ Google Maps</x:v>
      </x:c>
      <x:c r="J507" s="21" t="str">
        <x:v>ยังไม่พบหรือยังไม่ยืนยัน</x:v>
      </x:c>
      <x:c r="K507" s="51" t="str">
        <x:v>https://wikicommunity.sac.or.th/community/1507</x:v>
      </x:c>
      <x:c r="L507" s="51" t="str">
        <x:v>https://www.nstda.or.th/home/news_post/yona-waree-20260526/</x:v>
      </x:c>
      <x:c r="M507" s="20" t="str">
        <x:v>พบแหล่งต่างเว็บไซต์ ยอนา วารี ท่องเที่ยววิถีชุมชนบ้านปากประ พัทลุง</x:v>
      </x:c>
      <x:c r="N507" s="28" t="n">
        <x:v>46316</x:v>
      </x:c>
      <x:c r="O507" s="57" t="str">
        <x:v>ยังไม่ตรวจ</x:v>
      </x:c>
      <x:c r="P507" s="57" t="str">
        <x:v>ยังไม่ติดต่อ</x:v>
      </x:c>
      <x:c r="Q507" s="20" t="str">
        <x:v>R26-215</x:v>
      </x:c>
      <x:c r="R507" s="20" t="str"/>
      <x:c r="S507" s="20" t="str"/>
      <x:c r="T507" s="20" t="str">
        <x:v>https://wikicommunity.sac.or.th/community/1507</x:v>
      </x:c>
      <x:c r="U507" s="20" t="str"/>
      <x:c r="V507" s="20" t="str"/>
      <x:c r="W507" s="20" t="str"/>
      <x:c r="X507" s="20" t="str"/>
      <x:c r="Y507" s="20" t="str">
        <x:v>https://www.google.com/maps/search/?api=1&amp;query=%E0%B8%8A%E0%B8%B8%E0%B8%A1%E0%B8%8A%E0%B8%99%E0%B8%9A%E0%B9%89%E0%B8%B2%E0%B8%99%E0%B8%9B%E0%B8%B2%E0%B8%81%E0%B8%9B%E0%B8%A3%E0%B8%B0%20%E0%B8%9E%E0%B8%B1%E0%B8%97%E0%B8%A5%E0%B8%B8%E0%B8%87</x:v>
      </x:c>
      <x:c r="Z507" s="56" t="n">
        <x:v>7.694022</x:v>
      </x:c>
      <x:c r="AA507" s="56" t="n">
        <x:v>100.14602</x:v>
      </x:c>
      <x:c r="AB507" s="57" t="str"/>
      <x:c r="AC507" s="20" t="str">
        <x:v>https://wikicommunity.sac.or.th/community/1507</x:v>
      </x:c>
    </x:row>
    <x:row r="508" ht="88" customHeight="1">
      <x:c r="A508" s="54" t="n">
        <x:v>500</x:v>
      </x:c>
      <x:c r="B508" s="20" t="str">
        <x:v>ชุมชนบ้านลำปำ</x:v>
      </x:c>
      <x:c r="C508" s="20" t="str">
        <x:v>พัทลุง</x:v>
      </x:c>
      <x:c r="D508" s="20" t="str">
        <x:v>ชุมชน</x:v>
      </x:c>
      <x:c r="E508" s="20" t="str">
        <x:v>พบข้อมูลชื่อตรงจาก “พศจ.พัทลุง เข้าร่วมพิธีเปิดกิจกรรมสร้างการรับรู้ เส้นทางท่องเที่ยว วิถีชุมชนของสุดยอดชุมชนต้นแบบ “เที่ยวชุมชน ยลวิถี ” ณ ชุมชนบ้านลำปำ ตำบลลำปำ อำเภอเมืองพัทลุง จังหวัดพัทลุง”; เป็นหลักฐานตัวตน/ประเภท ยังไม่ยืนยันบริการมุสลิมครบเกณฑ์</x:v>
      </x:c>
      <x:c r="F508" s="20" t="str">
        <x:v>ไม่ทราบ</x:v>
      </x:c>
      <x:c r="G508" s="20" t="str">
        <x:v>ยังไม่ยืนยันใบรับรองและวันหมดอายุ</x:v>
      </x:c>
      <x:c r="H508" s="20" t="str">
        <x:v>ตรวจการเปิด ตัวตนสาขา ช่องทางติดต่อ และเงื่อนไขบังคับตามประเภท</x:v>
      </x:c>
      <x:c r="I508" s="20" t="str">
        <x:v>ยังไม่ยืนยันที่อยู่ละเอียด ดูลิงก์แหล่งข้อมูลและ Google Maps</x:v>
      </x:c>
      <x:c r="J508" s="21" t="str">
        <x:v>ยังไม่พบหรือยังไม่ยืนยัน</x:v>
      </x:c>
      <x:c r="K508" s="51" t="str">
        <x:v>https://plg.onab.go.th/th/content/page/index/id/116799</x:v>
      </x:c>
      <x:c r="L508" s="51" t="str">
        <x:v>https://phatthalung.prd.go.th/th/content/category/detail/id/9/iid/456271</x:v>
      </x:c>
      <x:c r="M508" s="20" t="str">
        <x:v>พบแหล่งต่างเว็บไซต์ รัฐมนตรีว่าการกระทรวงวัฒนธรรม เปิดงานท่องเที่ยววิถีชุมชนบ้านลำปำ ชูอัตลักษณ์วัฒนธรรมท้องถิ่น สู่การท่องเที่ยวเชิงสร้างสรรค์อย่างยั่งยืน</x:v>
      </x:c>
      <x:c r="N508" s="28" t="n">
        <x:v>46316</x:v>
      </x:c>
      <x:c r="O508" s="57" t="str">
        <x:v>ยังไม่ตรวจ</x:v>
      </x:c>
      <x:c r="P508" s="57" t="str">
        <x:v>ยังไม่ติดต่อ</x:v>
      </x:c>
      <x:c r="Q508" s="20" t="str">
        <x:v>R26-213</x:v>
      </x:c>
      <x:c r="R508" s="20" t="str"/>
      <x:c r="S508" s="20" t="str"/>
      <x:c r="T508" s="20" t="str">
        <x:v>https://plg.onab.go.th/th/content/page/index/id/116799</x:v>
      </x:c>
      <x:c r="U508" s="20" t="str"/>
      <x:c r="V508" s="20" t="str"/>
      <x:c r="W508" s="20" t="str"/>
      <x:c r="X508" s="20" t="str"/>
      <x:c r="Y508" s="20" t="str">
        <x:v>https://www.google.com/maps/search/?api=1&amp;query=%E0%B8%8A%E0%B8%B8%E0%B8%A1%E0%B8%8A%E0%B8%99%E0%B8%9A%E0%B9%89%E0%B8%B2%E0%B8%99%E0%B8%A5%E0%B8%B3%E0%B8%9B%E0%B8%B3%20%E0%B8%9E%E0%B8%B1%E0%B8%97%E0%B8%A5%E0%B8%B8%E0%B8%87</x:v>
      </x:c>
      <x:c r="Z508" s="56" t="str"/>
      <x:c r="AA508" s="56" t="str"/>
      <x:c r="AB508" s="57" t="str"/>
      <x:c r="AC508" s="20" t="str">
        <x:v>https://plg.onab.go.th/th/content/page/index/id/116799</x:v>
      </x:c>
    </x:row>
    <x:row r="509" ht="88" customHeight="1">
      <x:c r="A509" s="54" t="n">
        <x:v>501</x:v>
      </x:c>
      <x:c r="B509" s="20" t="str">
        <x:v>ชุมชนบ้านหัวป่าเขียว</x:v>
      </x:c>
      <x:c r="C509" s="20" t="str">
        <x:v>พัทลุง</x:v>
      </x:c>
      <x:c r="D509" s="20" t="str">
        <x:v>ชุมชน</x:v>
      </x:c>
      <x:c r="E509" s="20" t="str">
        <x:v>พบข้อมูลชื่อตรงจาก โครงการ ส่งเสริมศิลปาชีพบ้านหัวป่าเขียว; เป็นหลักฐานตัวตน/ประเภท ยังไม่ยืนยันบริการมุสลิมครบเกณฑ์</x:v>
      </x:c>
      <x:c r="F509" s="20" t="str">
        <x:v>ไม่ทราบ</x:v>
      </x:c>
      <x:c r="G509" s="20" t="str">
        <x:v>ยังไม่ยืนยันใบรับรองและวันหมดอายุ</x:v>
      </x:c>
      <x:c r="H509" s="20" t="str">
        <x:v>ตรวจการเปิด ตัวตนสาขา ช่องทางติดต่อ และเงื่อนไขบังคับตามประเภท</x:v>
      </x:c>
      <x:c r="I509" s="20" t="str">
        <x:v>ยังไม่ยืนยันที่อยู่ละเอียด ดูลิงก์แหล่งข้อมูลและ Google Maps</x:v>
      </x:c>
      <x:c r="J509" s="21" t="str">
        <x:v>ยังไม่พบหรือยังไม่ยืนยัน</x:v>
      </x:c>
      <x:c r="K509" s="51" t="str">
        <x:v>https://km.rdpb.go.th/Project/View/8575</x:v>
      </x:c>
      <x:c r="L509" s="51" t="str">
        <x:v>https://mgronline.com/south/detail/9600000010417</x:v>
      </x:c>
      <x:c r="M509" s="20" t="str">
        <x:v>พบแหล่งต่างเว็บไซต์ ชาวบ้านหัวป่าเขียวพัทลุง ออกวางกับดักหาปลาน้ำจืดขาย สร้างรายได้ช่วงฟื้นฟูน้ำลด</x:v>
      </x:c>
      <x:c r="N509" s="28" t="n">
        <x:v>46316</x:v>
      </x:c>
      <x:c r="O509" s="57" t="str">
        <x:v>ยังไม่ตรวจ</x:v>
      </x:c>
      <x:c r="P509" s="57" t="str">
        <x:v>ยังไม่ติดต่อ</x:v>
      </x:c>
      <x:c r="Q509" s="20" t="str">
        <x:v>R26-331</x:v>
      </x:c>
      <x:c r="R509" s="20" t="str"/>
      <x:c r="S509" s="20" t="str"/>
      <x:c r="T509" s="20" t="str">
        <x:v>https://km.rdpb.go.th/Project/View/8575</x:v>
      </x:c>
      <x:c r="U509" s="20" t="str"/>
      <x:c r="V509" s="20" t="str"/>
      <x:c r="W509" s="20" t="str"/>
      <x:c r="X509" s="20" t="str"/>
      <x:c r="Y509" s="20" t="str">
        <x:v>https://www.google.com/maps/search/?api=1&amp;query=%E0%B8%8A%E0%B8%B8%E0%B8%A1%E0%B8%8A%E0%B8%99%E0%B8%9A%E0%B9%89%E0%B8%B2%E0%B8%99%E0%B8%AB%E0%B8%B1%E0%B8%A7%E0%B8%9B%E0%B9%88%E0%B8%B2%E0%B9%80%E0%B8%82%E0%B8%B5%E0%B8%A2%E0%B8%A7%20%E0%B8%9E%E0%B8%B1%E0%B8%97%E0%B8%A5%E0%B8%B8%E0%B8%87</x:v>
      </x:c>
      <x:c r="Z509" s="56" t="str"/>
      <x:c r="AA509" s="56" t="str"/>
      <x:c r="AB509" s="57" t="str"/>
      <x:c r="AC509" s="20" t="str">
        <x:v>https://km.rdpb.go.th/Project/View/8575</x:v>
      </x:c>
    </x:row>
    <x:row r="510" ht="88" customHeight="1">
      <x:c r="A510" s="54" t="n">
        <x:v>502</x:v>
      </x:c>
      <x:c r="B510" s="20" t="str">
        <x:v>นาโปแก</x:v>
      </x:c>
      <x:c r="C510" s="20" t="str">
        <x:v>พัทลุง</x:v>
      </x:c>
      <x:c r="D510" s="20" t="str">
        <x:v>กิจกรรม</x:v>
      </x:c>
      <x:c r="E510" s="20" t="str">
        <x:v>พบข้อมูลชื่อตรงจาก นาโปแก ทุ่งนา อ.ควนขนุน จ.พัทลุง; เป็นหลักฐานตัวตน/ประเภท ยังไม่ยืนยันบริการมุสลิมครบเกณฑ์</x:v>
      </x:c>
      <x:c r="F510" s="20" t="str">
        <x:v>ไม่ทราบ</x:v>
      </x:c>
      <x:c r="G510" s="20" t="str">
        <x:v>ยังไม่ยืนยันใบรับรองและวันหมดอายุ</x:v>
      </x:c>
      <x:c r="H510" s="20" t="str">
        <x:v>ตรวจการเปิด ตัวตนสาขา ช่องทางติดต่อ และเงื่อนไขบังคับตามประเภท</x:v>
      </x:c>
      <x:c r="I510" s="20" t="str">
        <x:v>ยังไม่ยืนยันที่อยู่ละเอียด ดูลิงก์แหล่งข้อมูลและ Google Maps</x:v>
      </x:c>
      <x:c r="J510" s="21" t="str">
        <x:v>ยังไม่พบหรือยังไม่ยืนยัน</x:v>
      </x:c>
      <x:c r="K510" s="51" t="str">
        <x:v>https://www.thai-tour.com/place/4299</x:v>
      </x:c>
      <x:c r="L510" s="51" t="str">
        <x:v>https://www.wongnai.com/attractions/338880eZ</x:v>
      </x:c>
      <x:c r="M510" s="20" t="str">
        <x:v>พบแหล่งต่างเว็บไซต์ นาโปแก - รีวิวสถานที่ท่องเที่ยว</x:v>
      </x:c>
      <x:c r="N510" s="28" t="n">
        <x:v>46316</x:v>
      </x:c>
      <x:c r="O510" s="57" t="str">
        <x:v>ยังไม่ตรวจ</x:v>
      </x:c>
      <x:c r="P510" s="57" t="str">
        <x:v>ยังไม่ติดต่อ</x:v>
      </x:c>
      <x:c r="Q510" s="20" t="str">
        <x:v>R26-216</x:v>
      </x:c>
      <x:c r="R510" s="20" t="str"/>
      <x:c r="S510" s="20" t="str"/>
      <x:c r="T510" s="20" t="str">
        <x:v>https://www.thai-tour.com/place/4299</x:v>
      </x:c>
      <x:c r="U510" s="20" t="str"/>
      <x:c r="V510" s="20" t="str"/>
      <x:c r="W510" s="20" t="str"/>
      <x:c r="X510" s="20" t="str"/>
      <x:c r="Y510" s="20" t="str">
        <x:v>https://www.google.com/maps/search/?api=1&amp;query=%E0%B8%99%E0%B8%B2%E0%B9%82%E0%B8%9B%E0%B9%81%E0%B8%81%20%E0%B8%9E%E0%B8%B1%E0%B8%97%E0%B8%A5%E0%B8%B8%E0%B8%87</x:v>
      </x:c>
      <x:c r="Z510" s="56" t="str"/>
      <x:c r="AA510" s="56" t="str"/>
      <x:c r="AB510" s="57" t="str"/>
      <x:c r="AC510" s="20" t="str">
        <x:v>https://www.thai-tour.com/place/4299</x:v>
      </x:c>
    </x:row>
    <x:row r="511" ht="88" customHeight="1">
      <x:c r="A511" s="54" t="n">
        <x:v>503</x:v>
      </x:c>
      <x:c r="B511" s="20" t="str">
        <x:v>หลาดป่าไผ่สร้างสุข</x:v>
      </x:c>
      <x:c r="C511" s="20" t="str">
        <x:v>พัทลุง</x:v>
      </x:c>
      <x:c r="D511" s="20" t="str">
        <x:v>กิจกรรม</x:v>
      </x:c>
      <x:c r="E511" s="20" t="str">
        <x:v>พบข้อมูลชื่อตรงจาก ตลาดป่าไผ่สร้างสุข; เป็นหลักฐานตัวตน/ประเภท ยังไม่ยืนยันบริการมุสลิมครบเกณฑ์</x:v>
      </x:c>
      <x:c r="F511" s="20" t="str">
        <x:v>ไม่ทราบ</x:v>
      </x:c>
      <x:c r="G511" s="20" t="str">
        <x:v>ยังไม่ยืนยันใบรับรองและวันหมดอายุ</x:v>
      </x:c>
      <x:c r="H511" s="20" t="str">
        <x:v>ตรวจการเปิด ตัวตนสาขา ช่องทางติดต่อ และเงื่อนไขบังคับตามประเภท</x:v>
      </x:c>
      <x:c r="I511" s="20" t="str">
        <x:v>ยังไม่ยืนยันที่อยู่ละเอียด ดูลิงก์แหล่งข้อมูลและ Google Maps</x:v>
      </x:c>
      <x:c r="J511" s="21" t="str">
        <x:v>ยังไม่พบหรือยังไม่ยืนยัน</x:v>
      </x:c>
      <x:c r="K511" s="51" t="str">
        <x:v>https://www.mocagrimart.com/th/info/attraction/detail/itemid/6782</x:v>
      </x:c>
      <x:c r="L511" s="51" t="str">
        <x:v>https://www.tripniceday.com/place/%E0%B8%95%E0%B8%A5%E0%B8%B2%E0%B8%94%E0%B8%9B%E0%B9%88%E0%B8%B2%E0%B9%84%E0%B8%9C%E0%B9%88%E0%B8%AA%E0%B8%A3%E0%B9%89%E0%B8%B2%E0%B8%87%E0%B8%AA%E0%B8%B8%E0%B8%82</x:v>
      </x:c>
      <x:c r="M511" s="20" t="str">
        <x:v>พบแหล่งต่างเว็บไซต์ ตลาดป่าไผ่สร้างสุข | ดูข้อมูลที่เที่ยวบน TripNiceDay</x:v>
      </x:c>
      <x:c r="N511" s="28" t="n">
        <x:v>46316</x:v>
      </x:c>
      <x:c r="O511" s="57" t="str">
        <x:v>ยังไม่ตรวจ</x:v>
      </x:c>
      <x:c r="P511" s="57" t="str">
        <x:v>ยังไม่ติดต่อ</x:v>
      </x:c>
      <x:c r="Q511" s="20" t="str">
        <x:v>R26-311</x:v>
      </x:c>
      <x:c r="R511" s="20" t="str"/>
      <x:c r="S511" s="20" t="str"/>
      <x:c r="T511" s="20" t="str">
        <x:v>https://www.mocagrimart.com/th/info/attraction/detail/itemid/6782</x:v>
      </x:c>
      <x:c r="U511" s="20" t="str"/>
      <x:c r="V511" s="20" t="str"/>
      <x:c r="W511" s="20" t="str"/>
      <x:c r="X511" s="20" t="str"/>
      <x:c r="Y511" s="20" t="str">
        <x:v>https://www.google.com/maps/search/?api=1&amp;query=%E0%B8%AB%E0%B8%A5%E0%B8%B2%E0%B8%94%E0%B8%9B%E0%B9%88%E0%B8%B2%E0%B9%84%E0%B8%9C%E0%B9%88%E0%B8%AA%E0%B8%A3%E0%B9%89%E0%B8%B2%E0%B8%87%E0%B8%AA%E0%B8%B8%E0%B8%82%20%E0%B8%9E%E0%B8%B1%E0%B8%97%E0%B8%A5%E0%B8%B8%E0%B8%87</x:v>
      </x:c>
      <x:c r="Z511" s="56" t="n">
        <x:v>7.727285</x:v>
      </x:c>
      <x:c r="AA511" s="56" t="n">
        <x:v>100.00718</x:v>
      </x:c>
      <x:c r="AB511" s="57" t="str"/>
      <x:c r="AC511" s="20" t="str">
        <x:v>https://www.mocagrimart.com/th/info/attraction/detail/itemid/6782</x:v>
      </x:c>
    </x:row>
    <x:row r="512" ht="88" customHeight="1">
      <x:c r="A512" s="54" t="n">
        <x:v>504</x:v>
      </x:c>
      <x:c r="B512" s="20" t="str">
        <x:v>PICNIC CAMP เขายายเที่ยง</x:v>
      </x:c>
      <x:c r="C512" s="20" t="str">
        <x:v>นครราชสีมา</x:v>
      </x:c>
      <x:c r="D512" s="20" t="str">
        <x:v>ที่พัก (ตรวจประเภทจากชื่อและข้อมูลประกอบ)</x:v>
      </x:c>
      <x:c r="E512" s="20" t="str">
        <x:v>Makan Verify; ระบุมีห้องละหมาด</x:v>
      </x:c>
      <x:c r="F512" s="20" t="str">
        <x:v>มีข้อมูลระบุ แต่รอยืนยัน</x:v>
      </x:c>
      <x:c r="G512" s="20" t="str">
        <x:v>ยังไม่พบเอกสารรับรองและวันหมดอายุ</x:v>
      </x:c>
      <x:c r="H512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512" s="20" t="str">
        <x:v>ตำบล คลองไผ่ อำเภอสีคิ้ว นครราชสีมา 30340</x:v>
      </x:c>
      <x:c r="J512" s="21" t="str">
        <x:v>0910209984</x:v>
      </x:c>
      <x:c r="K512" s="51" t="str">
        <x:v>https://makanhalalguide.com/shop/detail/6215</x:v>
      </x:c>
      <x:c r="L512" s="51" t="str">
        <x:v>https://www.google.co.th/travel/hotels/entity/CgoI-NTh0cj5wYYOEAE</x:v>
      </x:c>
      <x:c r="M512" s="20" t="str">
        <x:v>ผลค้นหาชื่อสัมพันธ์จากแหล่งเพิ่มเติม ต้องยืนยันสาขาและข้อมูลปัจจุบัน</x:v>
      </x:c>
      <x:c r="N512" s="28" t="n">
        <x:v>46315</x:v>
      </x:c>
      <x:c r="O512" s="57" t="str">
        <x:v>ยังไม่ตรวจ</x:v>
      </x:c>
      <x:c r="P512" s="57" t="str">
        <x:v>ยังไม่ติดต่อ</x:v>
      </x:c>
      <x:c r="Q512" s="20" t="str">
        <x:v>TMF-127</x:v>
      </x:c>
      <x:c r="R512" s="20" t="str"/>
      <x:c r="S512" s="20" t="str"/>
      <x:c r="T512" s="20" t="str">
        <x:v>https://makanhalalguide.com/shop/detail/6215</x:v>
      </x:c>
      <x:c r="U512" s="20" t="str"/>
      <x:c r="V512" s="20" t="str"/>
      <x:c r="W512" s="20" t="str"/>
      <x:c r="X512" s="20" t="str"/>
      <x:c r="Y512" s="20" t="str">
        <x:v>https://www.google.com/maps/search/?api=1&amp;query=PICNIC%20CAMP%20%E0%B9%80%E0%B8%82%E0%B8%B2%E0%B8%A2%E0%B8%B2%E0%B8%A2%E0%B9%80%E0%B8%97%E0%B8%B5%E0%B9%88%E0%B8%A2%E0%B8%87%20%E0%B8%99%E0%B8%84%E0%B8%A3%E0%B8%A3%E0%B8%B2%E0%B8%8A%E0%B8%AA%E0%B8%B5%E0%B8%A1%E0%B8%B2</x:v>
      </x:c>
      <x:c r="Z512" s="56" t="n">
        <x:v>14.772468</x:v>
      </x:c>
      <x:c r="AA512" s="56" t="n">
        <x:v>101.562947</x:v>
      </x:c>
      <x:c r="AB512" s="57" t="str"/>
      <x:c r="AC512" s="20" t="str">
        <x:v>https://makanhalalguide.com/shop/detail/6215</x:v>
      </x:c>
    </x:row>
    <x:row r="513" ht="88" customHeight="1">
      <x:c r="A513" s="54" t="n">
        <x:v>505</x:v>
      </x:c>
      <x:c r="B513" s="20" t="str">
        <x:v>ผาส่งตะวัน โฮมสเตย์</x:v>
      </x:c>
      <x:c r="C513" s="20" t="str">
        <x:v>นครราชสีมา</x:v>
      </x:c>
      <x:c r="D513" s="20" t="str">
        <x:v>โรงแรมหรือรีสอร์ท</x:v>
      </x:c>
      <x:c r="E513" s="20" t="str">
        <x:v>Makan Verify; ระบุมีห้องละหมาด</x:v>
      </x:c>
      <x:c r="F513" s="20" t="str">
        <x:v>มีข้อมูลระบุ แต่รอยืนยัน</x:v>
      </x:c>
      <x:c r="G513" s="20" t="str">
        <x:v>ยังไม่พบเอกสารรับรองและวันหมดอายุ</x:v>
      </x:c>
      <x:c r="H51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13" s="20" t="str">
        <x:v>ตำบล วังไทร อำเภอสีคิ้ว นครราชสีมา 30130</x:v>
      </x:c>
      <x:c r="J513" s="21" t="str">
        <x:v>0914044284</x:v>
      </x:c>
      <x:c r="K513" s="51" t="str">
        <x:v>https://makanhalalguide.com/shop/detail/5393</x:v>
      </x:c>
      <x:c r="L513" s="51" t="str">
        <x:v>https://www.google.co.th/travel/hotels/entity/ChoIi6rXvNTN94r5ARoNL2cvMTFneTQ1Nno2NxAB?rp=OAHCAhwiGg0AAGxCEhMIhszSoJaziAMVCmirAh2a2QYO&amp;ts=CAEaIgoCGgASHBIUCgcI6g8QChgXEgcI6g8QChgYGAEyAhAAOAEqCQoFOgNVU0QaAA</x:v>
      </x:c>
      <x:c r="M513" s="20" t="str">
        <x:v>ผลค้นหาชื่อสัมพันธ์จากแหล่งเพิ่มเติม ต้องยืนยันสาขาและข้อมูลปัจจุบัน</x:v>
      </x:c>
      <x:c r="N513" s="28" t="n">
        <x:v>46315</x:v>
      </x:c>
      <x:c r="O513" s="57" t="str">
        <x:v>ยังไม่ตรวจ</x:v>
      </x:c>
      <x:c r="P513" s="57" t="str">
        <x:v>ยังไม่ติดต่อ</x:v>
      </x:c>
      <x:c r="Q513" s="20" t="str">
        <x:v>TMF-122</x:v>
      </x:c>
      <x:c r="R513" s="20" t="str"/>
      <x:c r="S513" s="20" t="str"/>
      <x:c r="T513" s="20" t="str">
        <x:v>https://makanhalalguide.com/shop/detail/5393</x:v>
      </x:c>
      <x:c r="U513" s="20" t="str"/>
      <x:c r="V513" s="20" t="str"/>
      <x:c r="W513" s="20" t="str"/>
      <x:c r="X513" s="20" t="str"/>
      <x:c r="Y513" s="20" t="str">
        <x:v>https://www.google.com/maps/search/?api=1&amp;query=%E0%B8%9C%E0%B8%B2%E0%B8%AA%E0%B9%88%E0%B8%87%E0%B8%95%E0%B8%B0%E0%B8%A7%E0%B8%B1%E0%B8%99%20%E0%B9%82%E0%B8%AE%E0%B8%A1%E0%B8%AA%E0%B9%80%E0%B8%95%E0%B8%A2%E0%B9%8C%20%E0%B8%99%E0%B8%84%E0%B8%A3%E0%B8%A3%E0%B8%B2%E0%B8%8A%E0%B8%AA%E0%B8%B5%E0%B8%A1%E0%B8%B2</x:v>
      </x:c>
      <x:c r="Z513" s="56" t="n">
        <x:v>14.765104</x:v>
      </x:c>
      <x:c r="AA513" s="56" t="n">
        <x:v>101.575085</x:v>
      </x:c>
      <x:c r="AB513" s="57" t="str"/>
      <x:c r="AC513" s="20" t="str">
        <x:v>https://makanhalalguide.com/shop/detail/5393</x:v>
      </x:c>
    </x:row>
    <x:row r="514" ht="88" customHeight="1">
      <x:c r="A514" s="54" t="n">
        <x:v>506</x:v>
      </x:c>
      <x:c r="B514" s="20" t="str">
        <x:v>ภูล้านดาวแคมป์ ณ เขายายเที่ยง</x:v>
      </x:c>
      <x:c r="C514" s="20" t="str">
        <x:v>นครราชสีมา</x:v>
      </x:c>
      <x:c r="D514" s="20" t="str">
        <x:v>ที่พัก (ตรวจประเภทจากชื่อและข้อมูลประกอบ)</x:v>
      </x:c>
      <x:c r="E514" s="20" t="str">
        <x:v>Makan Verify; ระบุมีห้องละหมาด</x:v>
      </x:c>
      <x:c r="F514" s="20" t="str">
        <x:v>มีข้อมูลระบุ แต่รอยืนยัน</x:v>
      </x:c>
      <x:c r="G514" s="20" t="str">
        <x:v>ยังไม่พบเอกสารรับรองและวันหมดอายุ</x:v>
      </x:c>
      <x:c r="H514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 / พบการโฆษณารับสัตว์เลี้ยง ต้องยืนยันห้องหรือหน่วยที่พักปลอดสัตว์เลี้ยงโดยเฉพาะ</x:v>
      </x:c>
      <x:c r="I514" s="20" t="str">
        <x:v>61/3 ม.10 ต.คลองไผ่ อ.สีคิ้ว จ.นครราชสีมา 30340</x:v>
      </x:c>
      <x:c r="J514" s="21" t="str">
        <x:v>0837426589</x:v>
      </x:c>
      <x:c r="K514" s="51" t="str">
        <x:v>https://makanhalalguide.com/shop/detail/5394</x:v>
      </x:c>
      <x:c r="L514" s="51" t="str">
        <x:v>https://www.lemon8-app.com/%4008nakhonratchasima/7379868697139216912?region=th</x:v>
      </x:c>
      <x:c r="M514" s="20" t="str">
        <x:v>ผลค้นหาชื่อสัมพันธ์จากแหล่งเพิ่มเติม ต้องยืนยันสาขาและข้อมูลปัจจุบัน</x:v>
      </x:c>
      <x:c r="N514" s="28" t="n">
        <x:v>46315</x:v>
      </x:c>
      <x:c r="O514" s="57" t="str">
        <x:v>ยังไม่ตรวจ</x:v>
      </x:c>
      <x:c r="P514" s="57" t="str">
        <x:v>ยังไม่ติดต่อ</x:v>
      </x:c>
      <x:c r="Q514" s="20" t="str">
        <x:v>TMF-135</x:v>
      </x:c>
      <x:c r="R514" s="20" t="str"/>
      <x:c r="S514" s="20" t="str"/>
      <x:c r="T514" s="20" t="str">
        <x:v>https://makanhalalguide.com/shop/detail/5394</x:v>
      </x:c>
      <x:c r="U514" s="20" t="str"/>
      <x:c r="V514" s="20" t="str"/>
      <x:c r="W514" s="20" t="str"/>
      <x:c r="X514" s="20" t="str"/>
      <x:c r="Y514" s="20" t="str">
        <x:v>https://www.google.com/maps/search/?api=1&amp;query=%E0%B8%A0%E0%B8%B9%E0%B8%A5%E0%B9%89%E0%B8%B2%E0%B8%99%E0%B8%94%E0%B8%B2%E0%B8%A7%E0%B9%81%E0%B8%84%E0%B8%A1%E0%B8%9B%E0%B9%8C%20%E0%B8%93%20%E0%B9%80%E0%B8%82%E0%B8%B2%E0%B8%A2%E0%B8%B2%E0%B8%A2%E0%B9%80%E0%B8%97%E0%B8%B5%E0%B9%88%E0%B8%A2%E0%B8%87%20%E0%B8%99%E0%B8%84%E0%B8%A3%E0%B8%A3%E0%B8%B2%E0%B8%8A%E0%B8%AA%E0%B8%B5%E0%B8%A1%E0%B8%B2</x:v>
      </x:c>
      <x:c r="Z514" s="56" t="n">
        <x:v>14.770902</x:v>
      </x:c>
      <x:c r="AA514" s="56" t="n">
        <x:v>101.563166</x:v>
      </x:c>
      <x:c r="AB514" s="57" t="str"/>
      <x:c r="AC514" s="20" t="str">
        <x:v>https://makanhalalguide.com/shop/detail/5394</x:v>
      </x:c>
    </x:row>
    <x:row r="515" ht="88" customHeight="1">
      <x:c r="A515" s="54" t="n">
        <x:v>507</x:v>
      </x:c>
      <x:c r="B515" s="20" t="str">
        <x:v>ไร่จูซาโฮมสเตย์ เขายายเที่ยง</x:v>
      </x:c>
      <x:c r="C515" s="20" t="str">
        <x:v>นครราชสีมา</x:v>
      </x:c>
      <x:c r="D515" s="20" t="str">
        <x:v>โรงแรมหรือรีสอร์ท</x:v>
      </x:c>
      <x:c r="E515" s="20" t="str">
        <x:v>Makan Verify; ระบุมีห้องละหมาด</x:v>
      </x:c>
      <x:c r="F515" s="20" t="str">
        <x:v>มีข้อมูลระบุ แต่รอยืนยัน</x:v>
      </x:c>
      <x:c r="G515" s="20" t="str">
        <x:v>ยังไม่พบเอกสารรับรองและวันหมดอายุ</x:v>
      </x:c>
      <x:c r="H515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15" s="20" t="str">
        <x:v>99/2 ตำบล คลองไผ่ อำเภอสีคิ้ว นครราชสีมา 30340</x:v>
      </x:c>
      <x:c r="J515" s="21" t="str">
        <x:v>0942568044</x:v>
      </x:c>
      <x:c r="K515" s="51" t="str">
        <x:v>https://makanhalalguide.com/shop/detail/6213</x:v>
      </x:c>
      <x:c r="L515" s="51" t="str">
        <x:v>https://makanhalalguide.com/shop/detail/5938</x:v>
      </x:c>
      <x:c r="M515" s="20" t="str">
        <x:v>มีรายชื่อใน Makan Halal Guide; ช่องห้องละหมาดไม่ได้ทำเครื่องหมายว่ามี</x:v>
      </x:c>
      <x:c r="N515" s="28" t="n">
        <x:v>46315</x:v>
      </x:c>
      <x:c r="O515" s="57" t="str">
        <x:v>ยังไม่ตรวจ</x:v>
      </x:c>
      <x:c r="P515" s="57" t="str">
        <x:v>ยังไม่ติดต่อ</x:v>
      </x:c>
      <x:c r="Q515" s="20" t="str">
        <x:v>TMF-123</x:v>
      </x:c>
      <x:c r="R515" s="20" t="str"/>
      <x:c r="S515" s="20" t="str"/>
      <x:c r="T515" s="20" t="str">
        <x:v>https://makanhalalguide.com/shop/detail/6213</x:v>
      </x:c>
      <x:c r="U515" s="20" t="str"/>
      <x:c r="V515" s="20" t="str"/>
      <x:c r="W515" s="20" t="str"/>
      <x:c r="X515" s="20" t="str"/>
      <x:c r="Y515" s="20" t="str">
        <x:v>https://www.google.com/maps/search/?api=1&amp;query=%E0%B9%84%E0%B8%A3%E0%B9%88%E0%B8%88%E0%B8%B9%E0%B8%8B%E0%B8%B2%E0%B9%82%E0%B8%AE%E0%B8%A1%E0%B8%AA%E0%B9%80%E0%B8%95%E0%B8%A2%E0%B9%8C%20%E0%B9%80%E0%B8%82%E0%B8%B2%E0%B8%A2%E0%B8%B2%E0%B8%A2%E0%B9%80%E0%B8%97%E0%B8%B5%E0%B9%88%E0%B8%A2%E0%B8%87%20%E0%B8%99%E0%B8%84%E0%B8%A3%E0%B8%A3%E0%B8%B2%E0%B8%8A%E0%B8%AA%E0%B8%B5%E0%B8%A1%E0%B8%B2</x:v>
      </x:c>
      <x:c r="Z515" s="56" t="n">
        <x:v>14.778367</x:v>
      </x:c>
      <x:c r="AA515" s="56" t="n">
        <x:v>101.560867</x:v>
      </x:c>
      <x:c r="AB515" s="57" t="str"/>
      <x:c r="AC515" s="20" t="str">
        <x:v>https://makanhalalguide.com/shop/detail/6213</x:v>
      </x:c>
    </x:row>
    <x:row r="516" ht="88" customHeight="1">
      <x:c r="A516" s="54" t="n">
        <x:v>508</x:v>
      </x:c>
      <x:c r="B516" s="20" t="str">
        <x:v>Barakas By Asmar อิสลามตลาดแขก อ.ปากช่อง</x:v>
      </x:c>
      <x:c r="C516" s="20" t="str">
        <x:v>นครราชสีมา</x:v>
      </x:c>
      <x:c r="D516" s="20" t="str">
        <x:v>ร้านอาหาร</x:v>
      </x:c>
      <x:c r="E516" s="20" t="str">
        <x:v>Makan Verify; ระบุมีห้องละหมาด</x:v>
      </x:c>
      <x:c r="F516" s="20" t="str">
        <x:v>มีข้อมูลระบุ แต่รอยืนยัน</x:v>
      </x:c>
      <x:c r="G516" s="20" t="str">
        <x:v>ยังไม่พบเอกสารรับรองและวันหมดอายุ</x:v>
      </x:c>
      <x:c r="H516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16" s="20" t="str">
        <x:v>ร้านอาหารอิสลาม อำเภอปากช่อง นครราชสีมา 30130</x:v>
      </x:c>
      <x:c r="J516" s="21" t="str">
        <x:v>0887117127</x:v>
      </x:c>
      <x:c r="K516" s="51" t="str">
        <x:v>https://makanhalalguide.com/shop/detail/6223</x:v>
      </x:c>
      <x:c r="L516" s="51" t="str">
        <x:v>https://restaurantguru.com/%E0%B9%82%E0%B8%A3%E0%B8%87%E0%B8%AD%E0%B8%B2%E0%B8%AB%E0%B8%B2%E0%B8%A3%E0%B8%AD%E0%B8%B3%E0%B9%80%E0%B8%A0%E0%B8%AD%E0%B8%9B%E0%B8%B2%E0%B8%81%E0%B8%8A%E0%B9%88%E0%B8%AD%E0%B8%87-Pak-Chong-2</x:v>
      </x:c>
      <x:c r="M516" s="20" t="str">
        <x:v>ผลค้นหาชื่อสัมพันธ์จากแหล่งเพิ่มเติม ต้องยืนยันสาขาและข้อมูลปัจจุบัน</x:v>
      </x:c>
      <x:c r="N516" s="28" t="n">
        <x:v>46315</x:v>
      </x:c>
      <x:c r="O516" s="57" t="str">
        <x:v>ยังไม่ตรวจ</x:v>
      </x:c>
      <x:c r="P516" s="57" t="str">
        <x:v>ยังไม่ติดต่อ</x:v>
      </x:c>
      <x:c r="Q516" s="20" t="str">
        <x:v>TMF-124</x:v>
      </x:c>
      <x:c r="R516" s="20" t="str"/>
      <x:c r="S516" s="20" t="str"/>
      <x:c r="T516" s="20" t="str">
        <x:v>https://makanhalalguide.com/shop/detail/6223</x:v>
      </x:c>
      <x:c r="U516" s="20" t="str"/>
      <x:c r="V516" s="20" t="str"/>
      <x:c r="W516" s="20" t="str"/>
      <x:c r="X516" s="20" t="str"/>
      <x:c r="Y516" s="20" t="str">
        <x:v>https://www.google.com/maps/search/?api=1&amp;query=Barakas%20By%20Asmar%20%E0%B8%AD%E0%B8%B4%E0%B8%AA%E0%B8%A5%E0%B8%B2%E0%B8%A1%E0%B8%95%E0%B8%A5%E0%B8%B2%E0%B8%94%E0%B9%81%E0%B8%82%E0%B8%81%20%E0%B8%AD.%E0%B8%9B%E0%B8%B2%E0%B8%81%E0%B8%8A%E0%B9%88%E0%B8%AD%E0%B8%87%20%E0%B8%99%E0%B8%84%E0%B8%A3%E0%B8%A3%E0%B8%B2%E0%B8%8A%E0%B8%AA%E0%B8%B5%E0%B8%A1%E0%B8%B2</x:v>
      </x:c>
      <x:c r="Z516" s="56" t="n">
        <x:v>14.707906</x:v>
      </x:c>
      <x:c r="AA516" s="56" t="n">
        <x:v>101.417409</x:v>
      </x:c>
      <x:c r="AB516" s="57" t="str"/>
      <x:c r="AC516" s="20" t="str">
        <x:v>https://makanhalalguide.com/shop/detail/6223</x:v>
      </x:c>
    </x:row>
    <x:row r="517" ht="88" customHeight="1">
      <x:c r="A517" s="54" t="n">
        <x:v>509</x:v>
      </x:c>
      <x:c r="B517" s="20" t="str">
        <x:v>Cafe Style Chan Carpentry</x:v>
      </x:c>
      <x:c r="C517" s="20" t="str">
        <x:v>นครราชสีมา</x:v>
      </x:c>
      <x:c r="D517" s="20" t="str">
        <x:v>คาเฟ่และร้านของหวาน</x:v>
      </x:c>
      <x:c r="E517" s="20" t="str">
        <x:v>Makan Verify; ระบุมีห้องละหมาด</x:v>
      </x:c>
      <x:c r="F517" s="20" t="str">
        <x:v>มีข้อมูลระบุ แต่รอยืนยัน</x:v>
      </x:c>
      <x:c r="G517" s="20" t="str">
        <x:v>ยังไม่พบเอกสารรับรองและวันหมดอายุ</x:v>
      </x:c>
      <x:c r="H51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17" s="20" t="str">
        <x:v>8 ตำบล คลองไผ่ อำเภอสีคิ้ว นครราชสีมา 30340</x:v>
      </x:c>
      <x:c r="J517" s="21" t="str">
        <x:v>0918283874</x:v>
      </x:c>
      <x:c r="K517" s="51" t="str">
        <x:v>https://makanhalalguide.com/shop/detail/6204</x:v>
      </x:c>
      <x:c r="L517" s="51" t="str">
        <x:v>https://www.thaithurkic.com/%E0%B8%A3%E0%B8%96%E0%B9%81%E0%B8%8B%E0%B9%88%E0%B8%9A%E0%B9%80%E0%B8%A7%E0%B8%AD%E0%B8%A3%E0%B9%8C-095-739-7412</x:v>
      </x:c>
      <x:c r="M517" s="20" t="str">
        <x:v>ผลค้นหาชื่อสัมพันธ์จากแหล่งเพิ่มเติม ต้องยืนยันสาขาและข้อมูลปัจจุบัน</x:v>
      </x:c>
      <x:c r="N517" s="28" t="n">
        <x:v>46315</x:v>
      </x:c>
      <x:c r="O517" s="57" t="str">
        <x:v>ยังไม่ตรวจ</x:v>
      </x:c>
      <x:c r="P517" s="57" t="str">
        <x:v>ยังไม่ติดต่อ</x:v>
      </x:c>
      <x:c r="Q517" s="20" t="str">
        <x:v>TMF-125</x:v>
      </x:c>
      <x:c r="R517" s="20" t="str">
        <x:v>Cafe Style Chan Carpentry</x:v>
      </x:c>
      <x:c r="S517" s="20" t="str"/>
      <x:c r="T517" s="20" t="str">
        <x:v>https://makanhalalguide.com/shop/detail/6204</x:v>
      </x:c>
      <x:c r="U517" s="20" t="str"/>
      <x:c r="V517" s="20" t="str"/>
      <x:c r="W517" s="20" t="str"/>
      <x:c r="X517" s="20" t="str"/>
      <x:c r="Y517" s="20" t="str">
        <x:v>https://www.google.com/maps/search/?api=1&amp;query=Cafe%20Style%20Chan%20Carpentry%20%E0%B8%99%E0%B8%84%E0%B8%A3%E0%B8%A3%E0%B8%B2%E0%B8%8A%E0%B8%AA%E0%B8%B5%E0%B8%A1%E0%B8%B2</x:v>
      </x:c>
      <x:c r="Z517" s="56" t="n">
        <x:v>14.783638</x:v>
      </x:c>
      <x:c r="AA517" s="56" t="n">
        <x:v>101.551838</x:v>
      </x:c>
      <x:c r="AB517" s="57" t="str"/>
      <x:c r="AC517" s="20" t="str">
        <x:v>https://makanhalalguide.com/shop/detail/6204</x:v>
      </x:c>
    </x:row>
    <x:row r="518" ht="88" customHeight="1">
      <x:c r="A518" s="54" t="n">
        <x:v>510</x:v>
      </x:c>
      <x:c r="B518" s="20" t="str">
        <x:v>Halal ครัวบังบิ๊ก เขาใหญ่</x:v>
      </x:c>
      <x:c r="C518" s="20" t="str">
        <x:v>นครราชสีมา</x:v>
      </x:c>
      <x:c r="D518" s="20" t="str">
        <x:v>ร้านอาหาร</x:v>
      </x:c>
      <x:c r="E518" s="20" t="str">
        <x:v>Makan Verify; ระบุมีห้องละหมาด</x:v>
      </x:c>
      <x:c r="F518" s="20" t="str">
        <x:v>มีข้อมูลระบุ แต่รอยืนยัน</x:v>
      </x:c>
      <x:c r="G518" s="20" t="str">
        <x:v>ยังไม่พบเอกสารรับรองและวันหมดอายุ</x:v>
      </x:c>
      <x:c r="H518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18" s="20" t="str">
        <x:v>66 ตำบล หมูสี อำเภอปากช่อง นครราชสีมา 30130</x:v>
      </x:c>
      <x:c r="J518" s="21" t="str">
        <x:v>0808755246</x:v>
      </x:c>
      <x:c r="K518" s="51" t="str">
        <x:v>https://makanhalalguide.com/shop/detail/6221</x:v>
      </x:c>
      <x:c r="L518" s="51" t="str">
        <x:v>https://xn--l3cga1amo9al2e5c0fqf.cybo.com/TH/%E0%B8%AD%E0%B8%B3%E0%B9%80%E0%B8%A0%E0%B8%AD%E0%B8%9B%E0%B8%B2%E0%B8%81%E0%B8%8A%E0%B9%88%E0%B8%AD%E0%B8%87/%E0%B8%A3%E0%B9%89%E0%B8%B2%E0%B8%99%E0%B8%AD%E0%B8%B2%E0%B8%AB%E0%B8%B2%E0%B8%A3%E0%B8%AE%E0%B8%B2%E0%B8%A5%E0%B8%B2%E0%B8%A5</x:v>
      </x:c>
      <x:c r="M518" s="20" t="str">
        <x:v>ผลค้นหาชื่อสัมพันธ์จากแหล่งเพิ่มเติม ต้องยืนยันสาขาและข้อมูลปัจจุบัน</x:v>
      </x:c>
      <x:c r="N518" s="28" t="n">
        <x:v>46315</x:v>
      </x:c>
      <x:c r="O518" s="57" t="str">
        <x:v>ยังไม่ตรวจ</x:v>
      </x:c>
      <x:c r="P518" s="57" t="str">
        <x:v>ยังไม่ติดต่อ</x:v>
      </x:c>
      <x:c r="Q518" s="20" t="str">
        <x:v>TMF-126</x:v>
      </x:c>
      <x:c r="R518" s="20" t="str"/>
      <x:c r="S518" s="20" t="str"/>
      <x:c r="T518" s="20" t="str">
        <x:v>https://makanhalalguide.com/shop/detail/6221</x:v>
      </x:c>
      <x:c r="U518" s="20" t="str"/>
      <x:c r="V518" s="20" t="str"/>
      <x:c r="W518" s="20" t="str"/>
      <x:c r="X518" s="20" t="str"/>
      <x:c r="Y518" s="20" t="str">
        <x:v>https://www.google.com/maps/search/?api=1&amp;query=Halal%20%E0%B8%84%E0%B8%A3%E0%B8%B1%E0%B8%A7%E0%B8%9A%E0%B8%B1%E0%B8%87%E0%B8%9A%E0%B8%B4%E0%B9%8A%E0%B8%81%20%E0%B9%80%E0%B8%82%E0%B8%B2%E0%B9%83%E0%B8%AB%E0%B8%8D%E0%B9%88%20%E0%B8%99%E0%B8%84%E0%B8%A3%E0%B8%A3%E0%B8%B2%E0%B8%8A%E0%B8%AA%E0%B8%B5%E0%B8%A1%E0%B8%B2</x:v>
      </x:c>
      <x:c r="Z518" s="56" t="n">
        <x:v>14.550181</x:v>
      </x:c>
      <x:c r="AA518" s="56" t="n">
        <x:v>101.407795</x:v>
      </x:c>
      <x:c r="AB518" s="57" t="str"/>
      <x:c r="AC518" s="20" t="str">
        <x:v>https://makanhalalguide.com/shop/detail/6221</x:v>
      </x:c>
    </x:row>
    <x:row r="519" ht="88" customHeight="1">
      <x:c r="A519" s="54" t="n">
        <x:v>511</x:v>
      </x:c>
      <x:c r="B519" s="20" t="str">
        <x:v>SALASA HALAL KHAOYAI</x:v>
      </x:c>
      <x:c r="C519" s="20" t="str">
        <x:v>นครราชสีมา</x:v>
      </x:c>
      <x:c r="D519" s="20" t="str">
        <x:v>ร้านอาหาร</x:v>
      </x:c>
      <x:c r="E519" s="20" t="str">
        <x:v>Makan Verify; ระบุมีห้องละหมาด</x:v>
      </x:c>
      <x:c r="F519" s="20" t="str">
        <x:v>มีข้อมูลระบุ แต่รอยืนยัน</x:v>
      </x:c>
      <x:c r="G519" s="20" t="str">
        <x:v>ยังไม่พบเอกสารรับรองและวันหมดอายุ</x:v>
      </x:c>
      <x:c r="H519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19" s="20" t="str">
        <x:v>165 หมู่ 15 ถนนธนรัชต์ กม.12 ตำบลหมูสี อำเภอปากช่อง จังหวัดนครราชสีมา 30130</x:v>
      </x:c>
      <x:c r="J519" s="21" t="str">
        <x:v>0817307265</x:v>
      </x:c>
      <x:c r="K519" s="51" t="str">
        <x:v>https://makanhalalguide.com/shop/detail/6217</x:v>
      </x:c>
      <x:c r="L519" s="51" t="str">
        <x:v>https://www.halalthailand.com/article/123</x:v>
      </x:c>
      <x:c r="M519" s="20" t="str">
        <x:v>ผลค้นหาชื่อสัมพันธ์จากแหล่งเพิ่มเติม ต้องยืนยันสาขาและข้อมูลปัจจุบัน</x:v>
      </x:c>
      <x:c r="N519" s="28" t="n">
        <x:v>46315</x:v>
      </x:c>
      <x:c r="O519" s="57" t="str">
        <x:v>ยังไม่ตรวจ</x:v>
      </x:c>
      <x:c r="P519" s="57" t="str">
        <x:v>ยังไม่ติดต่อ</x:v>
      </x:c>
      <x:c r="Q519" s="20" t="str">
        <x:v>TMF-128</x:v>
      </x:c>
      <x:c r="R519" s="20" t="str">
        <x:v>SALASA HALAL KHAOYAI</x:v>
      </x:c>
      <x:c r="S519" s="20" t="str"/>
      <x:c r="T519" s="20" t="str">
        <x:v>https://makanhalalguide.com/shop/detail/6217</x:v>
      </x:c>
      <x:c r="U519" s="20" t="str"/>
      <x:c r="V519" s="20" t="str"/>
      <x:c r="W519" s="20" t="str"/>
      <x:c r="X519" s="20" t="str"/>
      <x:c r="Y519" s="20" t="str">
        <x:v>https://www.google.com/maps/search/?api=1&amp;query=SALASA%20HALAL%20KHAOYAI%20%E0%B8%99%E0%B8%84%E0%B8%A3%E0%B8%A3%E0%B8%B2%E0%B8%8A%E0%B8%AA%E0%B8%B5%E0%B8%A1%E0%B8%B2</x:v>
      </x:c>
      <x:c r="Z519" s="56" t="n">
        <x:v>14.573235</x:v>
      </x:c>
      <x:c r="AA519" s="56" t="n">
        <x:v>101.403456</x:v>
      </x:c>
      <x:c r="AB519" s="57" t="str"/>
      <x:c r="AC519" s="20" t="str">
        <x:v>https://makanhalalguide.com/shop/detail/6217</x:v>
      </x:c>
    </x:row>
    <x:row r="520" ht="88" customHeight="1">
      <x:c r="A520" s="54" t="n">
        <x:v>512</x:v>
      </x:c>
      <x:c r="B520" s="20" t="str">
        <x:v>ครัวนาคนาวา ข้าวหมกไฮโซ เขาใหญ่</x:v>
      </x:c>
      <x:c r="C520" s="20" t="str">
        <x:v>นครราชสีมา</x:v>
      </x:c>
      <x:c r="D520" s="20" t="str">
        <x:v>อาหาร</x:v>
      </x:c>
      <x:c r="E520" s="20" t="str">
        <x:v>พบข้อมูลชื่อตรงจาก รีวิว ครัวนาคนาวา ข้าวหมกไฮโซ เขาใหญ่ ปากช่อง (ถ.ผ่านศึก-กุดคล้า) - ร้านอาหารมุสลิมที่อาจจะเคยดีกว่านี้; เป็นหลักฐานตัวตน/ประเภท ยังไม่ยืนยันบริการมุสลิมครบเกณฑ์</x:v>
      </x:c>
      <x:c r="F520" s="20" t="str">
        <x:v>ไม่ทราบ</x:v>
      </x:c>
      <x:c r="G520" s="20" t="str">
        <x:v>ยังไม่ยืนยันใบรับรองและวันหมดอายุ</x:v>
      </x:c>
      <x:c r="H520" s="20" t="str">
        <x:v>ตรวจการเปิด ตัวตนสาขา ช่องทางติดต่อ และเงื่อนไขบังคับตามประเภท</x:v>
      </x:c>
      <x:c r="I520" s="20" t="str">
        <x:v>ยังไม่ยืนยันที่อยู่ละเอียด ดูลิงก์แหล่งข้อมูลและ Google Maps</x:v>
      </x:c>
      <x:c r="J520" s="21" t="str">
        <x:v>ยังไม่พบหรือยังไม่ยืนยัน</x:v>
      </x:c>
      <x:c r="K520" s="51" t="str">
        <x:v>https://www.wongnai.com/reviews/8584384db379457d97df8753165a278b</x:v>
      </x:c>
      <x:c r="L520" s="51" t="str">
        <x:v>https://www.gplace.com/177165</x:v>
      </x:c>
      <x:c r="M520" s="20" t="str">
        <x:v>พบแหล่งต่างเว็บไซต์ ครัวนาคนาวา ข้าวหมกไก่ไฮโซ ปากช่อง</x:v>
      </x:c>
      <x:c r="N520" s="28" t="n">
        <x:v>46316</x:v>
      </x:c>
      <x:c r="O520" s="57" t="str">
        <x:v>ยังไม่ตรวจ</x:v>
      </x:c>
      <x:c r="P520" s="57" t="str">
        <x:v>ยังไม่ติดต่อ</x:v>
      </x:c>
      <x:c r="Q520" s="20" t="str">
        <x:v>R26-360</x:v>
      </x:c>
      <x:c r="R520" s="20" t="str"/>
      <x:c r="S520" s="20" t="str"/>
      <x:c r="T520" s="20" t="str">
        <x:v>https://www.wongnai.com/reviews/8584384db379457d97df8753165a278b</x:v>
      </x:c>
      <x:c r="U520" s="20" t="str"/>
      <x:c r="V520" s="20" t="str"/>
      <x:c r="W520" s="20" t="str"/>
      <x:c r="X520" s="20" t="str"/>
      <x:c r="Y520" s="20" t="str">
        <x:v>https://www.google.com/maps/search/?api=1&amp;query=%E0%B8%84%E0%B8%A3%E0%B8%B1%E0%B8%A7%E0%B8%99%E0%B8%B2%E0%B8%84%E0%B8%99%E0%B8%B2%E0%B8%A7%E0%B8%B2%20%E0%B8%82%E0%B9%89%E0%B8%B2%E0%B8%A7%E0%B8%AB%E0%B8%A1%E0%B8%81%E0%B9%84%E0%B8%AE%E0%B9%82%E0%B8%8B%20%E0%B9%80%E0%B8%82%E0%B8%B2%E0%B9%83%E0%B8%AB%E0%B8%8D%E0%B9%88%20%E0%B8%99%E0%B8%84%E0%B8%A3%E0%B8%A3%E0%B8%B2%E0%B8%8A%E0%B8%AA%E0%B8%B5%E0%B8%A1%E0%B8%B2</x:v>
      </x:c>
      <x:c r="Z520" s="56" t="str"/>
      <x:c r="AA520" s="56" t="str"/>
      <x:c r="AB520" s="57" t="str"/>
      <x:c r="AC520" s="20" t="str">
        <x:v>https://www.wongnai.com/reviews/8584384db379457d97df8753165a278b</x:v>
      </x:c>
    </x:row>
    <x:row r="521" ht="88" customHeight="1">
      <x:c r="A521" s="54" t="n">
        <x:v>513</x:v>
      </x:c>
      <x:c r="B521" s="20" t="str">
        <x:v>ครัวอินดี้เขาใหญ่ อาหารปักษ์ใต้ ฮาลาล</x:v>
      </x:c>
      <x:c r="C521" s="20" t="str">
        <x:v>นครราชสีมา</x:v>
      </x:c>
      <x:c r="D521" s="20" t="str">
        <x:v>ร้านอาหาร</x:v>
      </x:c>
      <x:c r="E521" s="20" t="str">
        <x:v>Makan Verify; ระบุมีห้องละหมาด</x:v>
      </x:c>
      <x:c r="F521" s="20" t="str">
        <x:v>มีข้อมูลระบุ แต่รอยืนยัน</x:v>
      </x:c>
      <x:c r="G521" s="20" t="str">
        <x:v>ยังไม่พบเอกสารรับรองและวันหมดอายุ</x:v>
      </x:c>
      <x:c r="H521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21" s="20" t="str">
        <x:v>669 ตำบล หมูสี อำเภอปากช่อง นครราชสีมา 30130</x:v>
      </x:c>
      <x:c r="J521" s="21" t="str">
        <x:v>0803518148</x:v>
      </x:c>
      <x:c r="K521" s="51" t="str">
        <x:v>https://makanhalalguide.com/shop/detail/6220</x:v>
      </x:c>
      <x:c r="L521" s="51" t="str">
        <x:v>https://telefon-kitab.cybo.com/TH-biz/%E0%B8%84%E0%B8%A3%E0%B8%B1%E0%B8%A7%E0%B8%AD%E0%B8%B4%E0%B8%99%E0%B8%94%E0%B8%B5%E0%B9%89%E0%B9%80%E0%B8%82%E0%B8%B2%E0%B9%83%E0%B8%AB%E0%B8%8D%E0%B9%88-%E0%B8%AD%E0%B8%B2%E0%B8%AB%E0%B8%B2%E0%B8%A3%E0%B8%9B%E0%B8%B1%E0%B8%81%E0%B8%A9%E0%B9%8C%E0%B9%83%E0%B8%95%E0%B9%89-%E0%B8%AE%E0%B8%B2%E0%B8%A5%E0%B8%B2%E0%B8%A5</x:v>
      </x:c>
      <x:c r="M521" s="20" t="str">
        <x:v>ผลค้นหาชื่อสัมพันธ์จากแหล่งเพิ่มเติม ต้องยืนยันสาขาและข้อมูลปัจจุบัน</x:v>
      </x:c>
      <x:c r="N521" s="28" t="n">
        <x:v>46315</x:v>
      </x:c>
      <x:c r="O521" s="57" t="str">
        <x:v>ยังไม่ตรวจ</x:v>
      </x:c>
      <x:c r="P521" s="57" t="str">
        <x:v>ยังไม่ติดต่อ</x:v>
      </x:c>
      <x:c r="Q521" s="20" t="str">
        <x:v>TMF-130</x:v>
      </x:c>
      <x:c r="R521" s="20" t="str"/>
      <x:c r="S521" s="20" t="str"/>
      <x:c r="T521" s="20" t="str">
        <x:v>https://makanhalalguide.com/shop/detail/6220</x:v>
      </x:c>
      <x:c r="U521" s="20" t="str"/>
      <x:c r="V521" s="20" t="str"/>
      <x:c r="W521" s="20" t="str"/>
      <x:c r="X521" s="20" t="str"/>
      <x:c r="Y521" s="20" t="str">
        <x:v>https://www.google.com/maps/search/?api=1&amp;query=%E0%B8%84%E0%B8%A3%E0%B8%B1%E0%B8%A7%E0%B8%AD%E0%B8%B4%E0%B8%99%E0%B8%94%E0%B8%B5%E0%B9%89%E0%B9%80%E0%B8%82%E0%B8%B2%E0%B9%83%E0%B8%AB%E0%B8%8D%E0%B9%88%20%E0%B8%AD%E0%B8%B2%E0%B8%AB%E0%B8%B2%E0%B8%A3%E0%B8%9B%E0%B8%B1%E0%B8%81%E0%B8%A9%E0%B9%8C%E0%B9%83%E0%B8%95%E0%B9%89%20%E0%B8%AE%E0%B8%B2%E0%B8%A5%E0%B8%B2%E0%B8%A5%20%E0%B8%99%E0%B8%84%E0%B8%A3%E0%B8%A3%E0%B8%B2%E0%B8%8A%E0%B8%AA%E0%B8%B5%E0%B8%A1%E0%B8%B2</x:v>
      </x:c>
      <x:c r="Z521" s="56" t="n">
        <x:v>14.556993</x:v>
      </x:c>
      <x:c r="AA521" s="56" t="n">
        <x:v>101.425378</x:v>
      </x:c>
      <x:c r="AB521" s="57" t="str"/>
      <x:c r="AC521" s="20" t="str">
        <x:v>https://makanhalalguide.com/shop/detail/6220</x:v>
      </x:c>
    </x:row>
    <x:row r="522" ht="88" customHeight="1">
      <x:c r="A522" s="54" t="n">
        <x:v>514</x:v>
      </x:c>
      <x:c r="B522" s="20" t="str">
        <x:v>บ้านกังหันวัลเล่ย์ แคมป์ปิ้ง&amp;ฮาลาลฟู้ด</x:v>
      </x:c>
      <x:c r="C522" s="20" t="str">
        <x:v>นครราชสีมา</x:v>
      </x:c>
      <x:c r="D522" s="20" t="str">
        <x:v>ร้านอาหาร</x:v>
      </x:c>
      <x:c r="E522" s="20" t="str">
        <x:v>Makan Verify; ระบุมีห้องละหมาด</x:v>
      </x:c>
      <x:c r="F522" s="20" t="str">
        <x:v>มีข้อมูลระบุ แต่รอยืนยัน</x:v>
      </x:c>
      <x:c r="G522" s="20" t="str">
        <x:v>ยังไม่พบเอกสารรับรองและวันหมดอายุ</x:v>
      </x:c>
      <x:c r="H52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22" s="20" t="str">
        <x:v>ตำบล คลองไผ่ อำเภอสีคิ้ว นครราชสีมา 30340</x:v>
      </x:c>
      <x:c r="J522" s="21" t="str">
        <x:v>0831995750</x:v>
      </x:c>
      <x:c r="K522" s="51" t="str">
        <x:v>https://makanhalalguide.com/shop/detail/5195</x:v>
      </x:c>
      <x:c r="L522" s="51" t="str">
        <x:v>https://www.thaithurkic.com/%E0%B8%9A%E0%B9%89%E0%B8%B2%E0%B8%99%E0%B8%81%E0%B8%B1%E0%B8%87%E0%B8%AB%E0%B8%B1%E0%B8%99%E0%B8%A7%E0%B8%B1%E0%B8%A5%E0%B9%80%E0%B8%A5%E0%B9%88%E0%B8%A2%E0%B9%8C-083-199-5750</x:v>
      </x:c>
      <x:c r="M522" s="20" t="str">
        <x:v>ผลค้นหาชื่อสัมพันธ์จากแหล่งเพิ่มเติม ต้องยืนยันสาขาและข้อมูลปัจจุบัน</x:v>
      </x:c>
      <x:c r="N522" s="28" t="n">
        <x:v>46315</x:v>
      </x:c>
      <x:c r="O522" s="57" t="str">
        <x:v>ยังไม่ตรวจ</x:v>
      </x:c>
      <x:c r="P522" s="57" t="str">
        <x:v>ยังไม่ติดต่อ</x:v>
      </x:c>
      <x:c r="Q522" s="20" t="str">
        <x:v>TMF-131</x:v>
      </x:c>
      <x:c r="R522" s="20" t="str"/>
      <x:c r="S522" s="20" t="str"/>
      <x:c r="T522" s="20" t="str">
        <x:v>https://makanhalalguide.com/shop/detail/5195</x:v>
      </x:c>
      <x:c r="U522" s="20" t="str"/>
      <x:c r="V522" s="20" t="str"/>
      <x:c r="W522" s="20" t="str"/>
      <x:c r="X522" s="20" t="str"/>
      <x:c r="Y522" s="20" t="str">
        <x:v>https://www.google.com/maps/search/?api=1&amp;query=%E0%B8%9A%E0%B9%89%E0%B8%B2%E0%B8%99%E0%B8%81%E0%B8%B1%E0%B8%87%E0%B8%AB%E0%B8%B1%E0%B8%99%E0%B8%A7%E0%B8%B1%E0%B8%A5%E0%B9%80%E0%B8%A5%E0%B9%88%E0%B8%A2%E0%B9%8C%20%E0%B9%81%E0%B8%84%E0%B8%A1%E0%B8%9B%E0%B9%8C%E0%B8%9B%E0%B8%B4%E0%B9%89%E0%B8%87%26%E0%B8%AE%E0%B8%B2%E0%B8%A5%E0%B8%B2%E0%B8%A5%E0%B8%9F%E0%B8%B9%E0%B9%89%E0%B8%94%20%E0%B8%99%E0%B8%84%E0%B8%A3%E0%B8%A3%E0%B8%B2%E0%B8%8A%E0%B8%AA%E0%B8%B5%E0%B8%A1%E0%B8%B2</x:v>
      </x:c>
      <x:c r="Z522" s="56" t="n">
        <x:v>14.783627</x:v>
      </x:c>
      <x:c r="AA522" s="56" t="n">
        <x:v>101.561768</x:v>
      </x:c>
      <x:c r="AB522" s="57" t="str"/>
      <x:c r="AC522" s="20" t="str">
        <x:v>https://makanhalalguide.com/shop/detail/5195</x:v>
      </x:c>
    </x:row>
    <x:row r="523" ht="88" customHeight="1">
      <x:c r="A523" s="54" t="n">
        <x:v>515</x:v>
      </x:c>
      <x:c r="B523" s="20" t="str">
        <x:v>ฟอสซิล แคมป์</x:v>
      </x:c>
      <x:c r="C523" s="20" t="str">
        <x:v>นครราชสีมา</x:v>
      </x:c>
      <x:c r="D523" s="20" t="str">
        <x:v>ร้านอาหาร</x:v>
      </x:c>
      <x:c r="E523" s="20" t="str">
        <x:v>Makan Verify; ระบุมีห้องละหมาด</x:v>
      </x:c>
      <x:c r="F523" s="20" t="str">
        <x:v>มีข้อมูลระบุ แต่รอยืนยัน</x:v>
      </x:c>
      <x:c r="G523" s="20" t="str">
        <x:v>ยังไม่พบเอกสารรับรองและวันหมดอายุ</x:v>
      </x:c>
      <x:c r="H52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23" s="20" t="str">
        <x:v>336 ตำบล คลองไผ่ อำเภอสีคิ้ว นครราชสีมา 30340</x:v>
      </x:c>
      <x:c r="J523" s="21" t="str">
        <x:v>0837426588</x:v>
      </x:c>
      <x:c r="K523" s="51" t="str">
        <x:v>https://makanhalalguide.com/shop/detail/6237</x:v>
      </x:c>
      <x:c r="L523" s="51" t="str">
        <x:v>https://www.lemon8-app.com/%40matha_winn/7640515318569288209?region=th</x:v>
      </x:c>
      <x:c r="M523" s="20" t="str">
        <x:v>ผลค้นหาชื่อสัมพันธ์จากแหล่งเพิ่มเติม ต้องยืนยันสาขาและข้อมูลปัจจุบัน</x:v>
      </x:c>
      <x:c r="N523" s="28" t="n">
        <x:v>46315</x:v>
      </x:c>
      <x:c r="O523" s="57" t="str">
        <x:v>ยังไม่ตรวจ</x:v>
      </x:c>
      <x:c r="P523" s="57" t="str">
        <x:v>ยังไม่ติดต่อ</x:v>
      </x:c>
      <x:c r="Q523" s="20" t="str">
        <x:v>TMF-133</x:v>
      </x:c>
      <x:c r="R523" s="20" t="str"/>
      <x:c r="S523" s="20" t="str"/>
      <x:c r="T523" s="20" t="str">
        <x:v>https://makanhalalguide.com/shop/detail/6237</x:v>
      </x:c>
      <x:c r="U523" s="20" t="str"/>
      <x:c r="V523" s="20" t="str"/>
      <x:c r="W523" s="20" t="str"/>
      <x:c r="X523" s="20" t="str"/>
      <x:c r="Y523" s="20" t="str">
        <x:v>https://www.google.com/maps/search/?api=1&amp;query=%E0%B8%9F%E0%B8%AD%E0%B8%AA%E0%B8%8B%E0%B8%B4%E0%B8%A5%20%E0%B9%81%E0%B8%84%E0%B8%A1%E0%B8%9B%E0%B9%8C%20%E0%B8%99%E0%B8%84%E0%B8%A3%E0%B8%A3%E0%B8%B2%E0%B8%8A%E0%B8%AA%E0%B8%B5%E0%B8%A1%E0%B8%B2</x:v>
      </x:c>
      <x:c r="Z523" s="56" t="n">
        <x:v>14.772647</x:v>
      </x:c>
      <x:c r="AA523" s="56" t="n">
        <x:v>101.569293</x:v>
      </x:c>
      <x:c r="AB523" s="57" t="str"/>
      <x:c r="AC523" s="20" t="str">
        <x:v>https://makanhalalguide.com/shop/detail/6237</x:v>
      </x:c>
    </x:row>
    <x:row r="524" ht="88" customHeight="1">
      <x:c r="A524" s="54" t="n">
        <x:v>516</x:v>
      </x:c>
      <x:c r="B524" s="20" t="str">
        <x:v>ร้านอาหารอายะห์ ปากช่อง</x:v>
      </x:c>
      <x:c r="C524" s="20" t="str">
        <x:v>นครราชสีมา</x:v>
      </x:c>
      <x:c r="D524" s="20" t="str">
        <x:v>อาหาร</x:v>
      </x:c>
      <x:c r="E524" s="20" t="str">
        <x:v>พบข้อมูลชื่อตรงจาก ร้าน อายะห์, ปากช่อง - รีวิวร้านอาหาร - Tripadvisor; เป็นหลักฐานตัวตน/ประเภท ยังไม่ยืนยันบริการมุสลิมครบเกณฑ์</x:v>
      </x:c>
      <x:c r="F524" s="20" t="str">
        <x:v>ไม่ทราบ</x:v>
      </x:c>
      <x:c r="G524" s="20" t="str">
        <x:v>ยังไม่ยืนยันใบรับรองและวันหมดอายุ</x:v>
      </x:c>
      <x:c r="H524" s="20" t="str">
        <x:v>ตรวจการเปิด ตัวตนสาขา ช่องทางติดต่อ และเงื่อนไขบังคับตามประเภท</x:v>
      </x:c>
      <x:c r="I524" s="20" t="str">
        <x:v>ยังไม่ยืนยันที่อยู่ละเอียด ดูลิงก์แหล่งข้อมูลและ Google Maps</x:v>
      </x:c>
      <x:c r="J524" s="21" t="str">
        <x:v>ยังไม่พบหรือยังไม่ยืนยัน</x:v>
      </x:c>
      <x:c r="K524" s="51" t="str">
        <x:v>https://th.tripadvisor.com/Restaurant_Review-g641719-d15686247-Reviews-Ayah_Restaurant_Halal-Pak_Chong_Pak_Chong_District_Nakhon_Ratchasima_Province.html</x:v>
      </x:c>
      <x:c r="L524" s="51" t="str">
        <x:v>https://www.wongnai.com/restaurants/119535VL-%E0%B8%AD%E0%B8%B2%E0%B8%A2%E0%B8%B0%E0%B8%AB%E0%B9%8C-%E0%B8%9B%E0%B8%B2%E0%B8%81%E0%B8%8A%E0%B9%88%E0%B8%AD%E0%B8%87</x:v>
      </x:c>
      <x:c r="M524" s="20" t="str">
        <x:v>พบแหล่งต่างเว็บไซต์ ร้าน อายะห์ ปากช่อง | รีวิวร้านอาหาร</x:v>
      </x:c>
      <x:c r="N524" s="28" t="n">
        <x:v>46316</x:v>
      </x:c>
      <x:c r="O524" s="57" t="str">
        <x:v>ยังไม่ตรวจ</x:v>
      </x:c>
      <x:c r="P524" s="57" t="str">
        <x:v>ยังไม่ติดต่อ</x:v>
      </x:c>
      <x:c r="Q524" s="20" t="str">
        <x:v>R26-361</x:v>
      </x:c>
      <x:c r="R524" s="20" t="str"/>
      <x:c r="S524" s="20" t="str"/>
      <x:c r="T524" s="20" t="str">
        <x:v>https://th.tripadvisor.com/Restaurant_Review-g641719-d15686247-Reviews-Ayah_Restaurant_Halal-Pak_Chong_Pak_Chong_District_Nakhon_Ratchasima_Province.html</x:v>
      </x:c>
      <x:c r="U524" s="20" t="str"/>
      <x:c r="V524" s="20" t="str"/>
      <x:c r="W524" s="20" t="str"/>
      <x:c r="X524" s="20" t="str"/>
      <x:c r="Y524" s="20" t="str">
        <x:v>https://www.google.com/maps/search/?api=1&amp;query=%E0%B8%A3%E0%B9%89%E0%B8%B2%E0%B8%99%E0%B8%AD%E0%B8%B2%E0%B8%AB%E0%B8%B2%E0%B8%A3%E0%B8%AD%E0%B8%B2%E0%B8%A2%E0%B8%B0%E0%B8%AB%E0%B9%8C%20%E0%B8%9B%E0%B8%B2%E0%B8%81%E0%B8%8A%E0%B9%88%E0%B8%AD%E0%B8%87%20%E0%B8%99%E0%B8%84%E0%B8%A3%E0%B8%A3%E0%B8%B2%E0%B8%8A%E0%B8%AA%E0%B8%B5%E0%B8%A1%E0%B8%B2</x:v>
      </x:c>
      <x:c r="Z524" s="56" t="str"/>
      <x:c r="AA524" s="56" t="str"/>
      <x:c r="AB524" s="57" t="str"/>
      <x:c r="AC524" s="20" t="str">
        <x:v>https://th.tripadvisor.com/Restaurant_Review-g641719-d15686247-Reviews-Ayah_Restaurant_Halal-Pak_Chong_Pak_Chong_District_Nakhon_Ratchasima_Province.html</x:v>
      </x:c>
    </x:row>
    <x:row r="525" ht="88" customHeight="1">
      <x:c r="A525" s="54" t="n">
        <x:v>517</x:v>
      </x:c>
      <x:c r="B525" s="20" t="str">
        <x:v>น้ำผุดธรรมชาติบ้านท่าช้าง</x:v>
      </x:c>
      <x:c r="C525" s="20" t="str">
        <x:v>นครราชสีมา</x:v>
      </x:c>
      <x:c r="D525" s="20" t="str">
        <x:v>ธรรมชาติ</x:v>
      </x:c>
      <x:c r="E525" s="20" t="str">
        <x:v>พบข้อมูลชื่อตรงจาก โครงการปรับปรุงแหล่งท่องเที่ยว น้ำผุดธรรมชาติบ้านท่าช้าง; เป็นหลักฐานตัวตน/ประเภท ยังไม่ยืนยันบริการมุสลิมครบเกณฑ์</x:v>
      </x:c>
      <x:c r="F525" s="20" t="str">
        <x:v>ไม่ทราบ</x:v>
      </x:c>
      <x:c r="G525" s="20" t="str">
        <x:v>ยังไม่ยืนยันใบรับรองและวันหมดอายุ</x:v>
      </x:c>
      <x:c r="H525" s="20" t="str">
        <x:v>ตรวจการเปิด ตัวตนสาขา ช่องทางติดต่อ และเงื่อนไขบังคับตามประเภท</x:v>
      </x:c>
      <x:c r="I525" s="20" t="str">
        <x:v>ยังไม่ยืนยันที่อยู่ละเอียด ดูลิงก์แหล่งข้อมูลและ Google Maps</x:v>
      </x:c>
      <x:c r="J525" s="21" t="str">
        <x:v>ยังไม่พบหรือยังไม่ยืนยัน</x:v>
      </x:c>
      <x:c r="K525" s="51" t="str">
        <x:v>https://www.imaokimjaifoundation.or.th/public/our-project/nam-pood</x:v>
      </x:c>
      <x:c r="L525" s="51" t="str">
        <x:v>https://www.youtube.com/watch?v=45DhS5PFyWw</x:v>
      </x:c>
      <x:c r="M525" s="20" t="str">
        <x:v>พบแหล่งต่างเว็บไซต์ เที่ยวเขาใหญ่ น้ำผุดธรรมชาติ บ้านท่าช้าง จ.นครราชสีมา | กานต์ OK - YouTube</x:v>
      </x:c>
      <x:c r="N525" s="28" t="n">
        <x:v>46316</x:v>
      </x:c>
      <x:c r="O525" s="57" t="str">
        <x:v>ยังไม่ตรวจ</x:v>
      </x:c>
      <x:c r="P525" s="57" t="str">
        <x:v>ยังไม่ติดต่อ</x:v>
      </x:c>
      <x:c r="Q525" s="20" t="str">
        <x:v>R26-243</x:v>
      </x:c>
      <x:c r="R525" s="20" t="str"/>
      <x:c r="S525" s="20" t="str"/>
      <x:c r="T525" s="20" t="str">
        <x:v>https://www.imaokimjaifoundation.or.th/public/our-project/nam-pood</x:v>
      </x:c>
      <x:c r="U525" s="20" t="str"/>
      <x:c r="V525" s="20" t="str"/>
      <x:c r="W525" s="20" t="str"/>
      <x:c r="X525" s="20" t="str"/>
      <x:c r="Y525" s="20" t="str">
        <x:v>https://www.google.com/maps/search/?api=1&amp;query=%E0%B8%99%E0%B9%89%E0%B8%B3%E0%B8%9C%E0%B8%B8%E0%B8%94%E0%B8%98%E0%B8%A3%E0%B8%A3%E0%B8%A1%E0%B8%8A%E0%B8%B2%E0%B8%95%E0%B8%B4%E0%B8%9A%E0%B9%89%E0%B8%B2%E0%B8%99%E0%B8%97%E0%B9%88%E0%B8%B2%E0%B8%8A%E0%B9%89%E0%B8%B2%E0%B8%87%20%E0%B8%99%E0%B8%84%E0%B8%A3%E0%B8%A3%E0%B8%B2%E0%B8%8A%E0%B8%AA%E0%B8%B5%E0%B8%A1%E0%B8%B2</x:v>
      </x:c>
      <x:c r="Z525" s="56" t="n">
        <x:v>14.5476116</x:v>
      </x:c>
      <x:c r="AA525" s="56" t="n">
        <x:v>101.4196499</x:v>
      </x:c>
      <x:c r="AB525" s="57" t="str"/>
      <x:c r="AC525" s="20" t="str">
        <x:v>https://www.imaokimjaifoundation.or.th/public/our-project/nam-pood</x:v>
      </x:c>
    </x:row>
    <x:row r="526" ht="88" customHeight="1">
      <x:c r="A526" s="54" t="n">
        <x:v>518</x:v>
      </x:c>
      <x:c r="B526" s="20" t="str">
        <x:v>อุทยานแห่งชาติเขาใหญ่</x:v>
      </x:c>
      <x:c r="C526" s="20" t="str">
        <x:v>นครราชสีมา</x:v>
      </x:c>
      <x:c r="D526" s="20" t="str">
        <x:v>ธรรมชาติ</x:v>
      </x:c>
      <x:c r="E526" s="20" t="str">
        <x:v>พบข้อมูลชื่อตรงจาก อุทยานแห่งชาติเขาใหญ่ ประกาศในพระราชกิจจานุเบกษา เมื่อวันที่ 5 กันยายน 2521 มีเนื้อที่ทั้งหมดประมาณ 1,355,468.75 ไร่ หรือประมาณ 2,168.64 ตารางกิโลเมตร อุทยานแห่งชาติเขาใหญ่ ครอบคลุมพื้นที่ 4 จังหวัด คือ นครราชสีมา นครนายก ปราจีนบุรี และสระบุรี เฉพาะในท้องที่อำเภอมากเหล็ก และอำเภอแก่งคอย จังหวัดสระบุรี (เนื้อที่ประมาณ 67,450 ไร่) มีน้ำตกที่สวยงาม คือน้ำตกโกรกอีดก และน้ำตกเจ็ดคต เนื่องจากสภาพป่ามีความสมบูรณ์มาก ส่วนสัตว์ป่ามีหลายชนิด เช่น เสือ หมี เก้ง กวาง ฯลฯ บริเวณดังกล่าว กรมป่าไม้ร่วมกับจังหวัดสระบุรี จัดทำโครงการแหล่งท่องเที่ยวเชิงนิเวศน์ของจังหวัดสระบุรี; เป็นหลักฐานตัวตน/ประเภท ยังไม่ยืนยันบริการมุสลิมครบเกณฑ์</x:v>
      </x:c>
      <x:c r="F526" s="20" t="str">
        <x:v>ไม่ทราบ</x:v>
      </x:c>
      <x:c r="G526" s="20" t="str">
        <x:v>ยังไม่ยืนยันใบรับรองและวันหมดอายุ</x:v>
      </x:c>
      <x:c r="H526" s="20" t="str">
        <x:v>ตรวจการเปิด ตัวตนสาขา ช่องทางติดต่อ และเงื่อนไขบังคับตามประเภท</x:v>
      </x:c>
      <x:c r="I526" s="20" t="str">
        <x:v>ยังไม่ยืนยันที่อยู่ละเอียด ดูลิงก์แหล่งข้อมูลและ Google Maps</x:v>
      </x:c>
      <x:c r="J526" s="21" t="str">
        <x:v>ยังไม่พบหรือยังไม่ยืนยัน</x:v>
      </x:c>
      <x:c r="K526" s="51" t="str">
        <x:v>https://q.saraburipao.go.th/tt168.pdf</x:v>
      </x:c>
      <x:c r="L526" s="51" t="str">
        <x:v>https://www2.nakhonratchasima.go.th/travel/detail/3</x:v>
      </x:c>
      <x:c r="M526" s="20" t="str">
        <x:v>พบแหล่งต่างเว็บไซต์ อุทยานแห่งชาติเขาใหญ่</x:v>
      </x:c>
      <x:c r="N526" s="28" t="n">
        <x:v>46316</x:v>
      </x:c>
      <x:c r="O526" s="57" t="str">
        <x:v>ยังไม่ตรวจ</x:v>
      </x:c>
      <x:c r="P526" s="57" t="str">
        <x:v>ยังไม่ติดต่อ</x:v>
      </x:c>
      <x:c r="Q526" s="20" t="str">
        <x:v>R26-242</x:v>
      </x:c>
      <x:c r="R526" s="20" t="str"/>
      <x:c r="S526" s="20" t="str"/>
      <x:c r="T526" s="20" t="str">
        <x:v>https://q.saraburipao.go.th/tt168.pdf</x:v>
      </x:c>
      <x:c r="U526" s="20" t="str"/>
      <x:c r="V526" s="20" t="str"/>
      <x:c r="W526" s="20" t="str"/>
      <x:c r="X526" s="20" t="str"/>
      <x:c r="Y526" s="20" t="str">
        <x:v>https://www.google.com/maps/search/?api=1&amp;query=%E0%B8%AD%E0%B8%B8%E0%B8%97%E0%B8%A2%E0%B8%B2%E0%B8%99%E0%B9%81%E0%B8%AB%E0%B9%88%E0%B8%87%E0%B8%8A%E0%B8%B2%E0%B8%95%E0%B8%B4%E0%B9%80%E0%B8%82%E0%B8%B2%E0%B9%83%E0%B8%AB%E0%B8%8D%E0%B9%88%20%E0%B8%99%E0%B8%84%E0%B8%A3%E0%B8%A3%E0%B8%B2%E0%B8%8A%E0%B8%AA%E0%B8%B5%E0%B8%A1%E0%B8%B2</x:v>
      </x:c>
      <x:c r="Z526" s="56" t="n">
        <x:v>14.439294</x:v>
      </x:c>
      <x:c r="AA526" s="56" t="n">
        <x:v>101.372277</x:v>
      </x:c>
      <x:c r="AB526" s="57" t="str"/>
      <x:c r="AC526" s="20" t="str">
        <x:v>https://q.saraburipao.go.th/tt168.pdf</x:v>
      </x:c>
    </x:row>
    <x:row r="527" ht="88" customHeight="1">
      <x:c r="A527" s="54" t="n">
        <x:v>519</x:v>
      </x:c>
      <x:c r="B527" s="20" t="str">
        <x:v>มัสยิดญันน่าตุ้ลฟิรเดาซ์ (ปากช่อง)</x:v>
      </x:c>
      <x:c r="C527" s="20" t="str">
        <x:v>นครราชสีมา</x:v>
      </x:c>
      <x:c r="D527" s="20" t="str">
        <x:v>มัสยิด</x:v>
      </x:c>
      <x:c r="E527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527" s="20" t="str">
        <x:v>มีข้อมูลระบุ แต่รอยืนยัน</x:v>
      </x:c>
      <x:c r="G527" s="20" t="str">
        <x:v>ยังไม่พบเอกสารรับรองและวันหมดอายุ</x:v>
      </x:c>
      <x:c r="H527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527" s="20" t="str">
        <x:v>ถนนเทศบาล 22 ซอย 1 (บริเวณหมู่ 2) ตำบลปากช่อง อำเภอปากช่อง จังหวัดนครราชสีมา 30130</x:v>
      </x:c>
      <x:c r="J527" s="21" t="str">
        <x:v>+66 88 280 4838</x:v>
      </x:c>
      <x:c r="K527" s="51" t="str">
        <x:v>https://www.thic.or.th/th/tourist/detail/mosques/317</x:v>
      </x:c>
      <x:c r="L527" s="51" t="str">
        <x:v>https://www.ibank.co.th/th/news/detail/2021-03-16-16-16-58</x:v>
      </x:c>
      <x:c r="M527" s="20" t="str">
        <x:v>ผลค้นหาชื่อสัมพันธ์จากแหล่งเพิ่มเติม ต้องยืนยันสาขาและข้อมูลปัจจุบัน</x:v>
      </x:c>
      <x:c r="N527" s="28" t="n">
        <x:v>46315</x:v>
      </x:c>
      <x:c r="O527" s="57" t="str">
        <x:v>ยังไม่ตรวจ</x:v>
      </x:c>
      <x:c r="P527" s="57" t="str">
        <x:v>ยังไม่ติดต่อ</x:v>
      </x:c>
      <x:c r="Q527" s="20" t="str">
        <x:v>TMF-357</x:v>
      </x:c>
      <x:c r="R527" s="20" t="str"/>
      <x:c r="S527" s="20" t="str"/>
      <x:c r="T527" s="20" t="str">
        <x:v>https://www.thic.or.th/th/tourist/detail/mosques/317</x:v>
      </x:c>
      <x:c r="U527" s="20" t="str"/>
      <x:c r="V527" s="20" t="str"/>
      <x:c r="W527" s="20" t="str"/>
      <x:c r="X527" s="20" t="str"/>
      <x:c r="Y527" s="20" t="str">
        <x:v>https://www.google.com/maps/search/?api=1&amp;query=%E0%B8%A1%E0%B8%B1%E0%B8%AA%E0%B8%A2%E0%B8%B4%E0%B8%94%E0%B8%8D%E0%B8%B1%E0%B8%99%E0%B8%99%E0%B9%88%E0%B8%B2%E0%B8%95%E0%B8%B8%E0%B9%89%E0%B8%A5%E0%B8%9F%E0%B8%B4%E0%B8%A3%E0%B9%80%E0%B8%94%E0%B8%B2%E0%B8%8B%E0%B9%8C%20%28%E0%B8%9B%E0%B8%B2%E0%B8%81%E0%B8%8A%E0%B9%88%E0%B8%AD%E0%B8%87%29%20%E0%B8%99%E0%B8%84%E0%B8%A3%E0%B8%A3%E0%B8%B2%E0%B8%8A%E0%B8%AA%E0%B8%B5%E0%B8%A1%E0%B8%B2</x:v>
      </x:c>
      <x:c r="Z527" s="56" t="n">
        <x:v>14.707691</x:v>
      </x:c>
      <x:c r="AA527" s="56" t="n">
        <x:v>101.418827</x:v>
      </x:c>
      <x:c r="AB527" s="57" t="str"/>
      <x:c r="AC527" s="20" t="str">
        <x:v>https://www.thic.or.th/th/tourist/detail/mosques/317</x:v>
      </x:c>
    </x:row>
    <x:row r="528" ht="88" customHeight="1">
      <x:c r="A528" s="54" t="n">
        <x:v>520</x:v>
      </x:c>
      <x:c r="B528" s="20" t="str">
        <x:v>Khao Yai Speedkart</x:v>
      </x:c>
      <x:c r="C528" s="20" t="str">
        <x:v>นครราชสีมา</x:v>
      </x:c>
      <x:c r="D528" s="20" t="str">
        <x:v>กิจกรรม</x:v>
      </x:c>
      <x:c r="E528" s="20" t="str">
        <x:v>พบข้อมูลชื่อตรงจาก Khao Yai Speedkart - Fun for all the family - Home Page; เป็นหลักฐานตัวตน/ประเภท ยังไม่ยืนยันบริการมุสลิมครบเกณฑ์</x:v>
      </x:c>
      <x:c r="F528" s="20" t="str">
        <x:v>ไม่ทราบ</x:v>
      </x:c>
      <x:c r="G528" s="20" t="str">
        <x:v>ยังไม่ยืนยันใบรับรองและวันหมดอายุ</x:v>
      </x:c>
      <x:c r="H528" s="20" t="str">
        <x:v>ตรวจการเปิด ตัวตนสาขา ช่องทางติดต่อ และเงื่อนไขบังคับตามประเภท</x:v>
      </x:c>
      <x:c r="I528" s="20" t="str">
        <x:v>ยังไม่ยืนยันที่อยู่ละเอียด ดูลิงก์แหล่งข้อมูลและ Google Maps</x:v>
      </x:c>
      <x:c r="J528" s="21" t="str">
        <x:v>ยังไม่พบหรือยังไม่ยืนยัน</x:v>
      </x:c>
      <x:c r="K528" s="51" t="str">
        <x:v>https://khaoyaispeedkart.com/en/</x:v>
      </x:c>
      <x:c r="L528" s="51" t="str">
        <x:v>https://jertam.com/en/places/14124</x:v>
      </x:c>
      <x:c r="M528" s="20" t="str">
        <x:v>พบแหล่งต่างเว็บไซต์ Khao Yai Speedkart — Jertam</x:v>
      </x:c>
      <x:c r="N528" s="28" t="n">
        <x:v>46316</x:v>
      </x:c>
      <x:c r="O528" s="57" t="str">
        <x:v>ยังไม่ตรวจ</x:v>
      </x:c>
      <x:c r="P528" s="57" t="str">
        <x:v>ยังไม่ติดต่อ</x:v>
      </x:c>
      <x:c r="Q528" s="20" t="str">
        <x:v>R26-326</x:v>
      </x:c>
      <x:c r="R528" s="20" t="str">
        <x:v>Khao Yai Speedkart</x:v>
      </x:c>
      <x:c r="S528" s="20" t="str"/>
      <x:c r="T528" s="20" t="str">
        <x:v>https://khaoyaispeedkart.com/en/</x:v>
      </x:c>
      <x:c r="U528" s="20" t="str"/>
      <x:c r="V528" s="20" t="str"/>
      <x:c r="W528" s="20" t="str"/>
      <x:c r="X528" s="20" t="str"/>
      <x:c r="Y528" s="20" t="str">
        <x:v>https://www.google.com/maps/search/?api=1&amp;query=Khao%20Yai%20Speedkart%20%E0%B8%99%E0%B8%84%E0%B8%A3%E0%B8%A3%E0%B8%B2%E0%B8%8A%E0%B8%AA%E0%B8%B5%E0%B8%A1%E0%B8%B2</x:v>
      </x:c>
      <x:c r="Z528" s="56" t="str"/>
      <x:c r="AA528" s="56" t="str"/>
      <x:c r="AB528" s="57" t="str"/>
      <x:c r="AC528" s="20" t="str">
        <x:v>https://khaoyaispeedkart.com/en/</x:v>
      </x:c>
    </x:row>
    <x:row r="529" ht="88" customHeight="1">
      <x:c r="A529" s="54" t="n">
        <x:v>521</x:v>
      </x:c>
      <x:c r="B529" s="20" t="str">
        <x:v>ฟาร์มโชคชัย</x:v>
      </x:c>
      <x:c r="C529" s="20" t="str">
        <x:v>นครราชสีมา</x:v>
      </x:c>
      <x:c r="D529" s="20" t="str">
        <x:v>กิจกรรม</x:v>
      </x:c>
      <x:c r="E529" s="20" t="str">
        <x:v>พบข้อมูลชื่อตรงจาก ฟาร์มโชคชัย; เป็นหลักฐานตัวตน/ประเภท ยังไม่ยืนยันบริการมุสลิมครบเกณฑ์</x:v>
      </x:c>
      <x:c r="F529" s="20" t="str">
        <x:v>ไม่ทราบ</x:v>
      </x:c>
      <x:c r="G529" s="20" t="str">
        <x:v>ยังไม่ยืนยันใบรับรองและวันหมดอายุ</x:v>
      </x:c>
      <x:c r="H529" s="20" t="str">
        <x:v>ตรวจการเปิด ตัวตนสาขา ช่องทางติดต่อ และเงื่อนไขบังคับตามประเภท</x:v>
      </x:c>
      <x:c r="I529" s="20" t="str">
        <x:v>ยังไม่ยืนยันที่อยู่ละเอียด ดูลิงก์แหล่งข้อมูลและ Google Maps</x:v>
      </x:c>
      <x:c r="J529" s="21" t="str">
        <x:v>ยังไม่พบหรือยังไม่ยืนยัน</x:v>
      </x:c>
      <x:c r="K529" s="51" t="str">
        <x:v>https://www2.nakhonratchasima.go.th/travel/detail/1/data.html</x:v>
      </x:c>
      <x:c r="L529" s="51" t="str">
        <x:v>https://cbtthailand.dasta.or.th/webapp/relattraction/content/2724/</x:v>
      </x:c>
      <x:c r="M529" s="20" t="str">
        <x:v>พบแหล่งต่างเว็บไซต์ ฟาร์มโชคชัย | CBT Thailand</x:v>
      </x:c>
      <x:c r="N529" s="28" t="n">
        <x:v>46316</x:v>
      </x:c>
      <x:c r="O529" s="57" t="str">
        <x:v>ยังไม่ตรวจ</x:v>
      </x:c>
      <x:c r="P529" s="57" t="str">
        <x:v>ยังไม่ติดต่อ</x:v>
      </x:c>
      <x:c r="Q529" s="20" t="str">
        <x:v>R26-244</x:v>
      </x:c>
      <x:c r="R529" s="20" t="str"/>
      <x:c r="S529" s="20" t="str"/>
      <x:c r="T529" s="20" t="str">
        <x:v>https://www2.nakhonratchasima.go.th/travel/detail/1/data.html</x:v>
      </x:c>
      <x:c r="U529" s="20" t="str"/>
      <x:c r="V529" s="20" t="str"/>
      <x:c r="W529" s="20" t="str"/>
      <x:c r="X529" s="20" t="str"/>
      <x:c r="Y529" s="20" t="str">
        <x:v>https://www.google.com/maps/search/?api=1&amp;query=%E0%B8%9F%E0%B8%B2%E0%B8%A3%E0%B9%8C%E0%B8%A1%E0%B9%82%E0%B8%8A%E0%B8%84%E0%B8%8A%E0%B8%B1%E0%B8%A2%20%E0%B8%99%E0%B8%84%E0%B8%A3%E0%B8%A3%E0%B8%B2%E0%B8%8A%E0%B8%AA%E0%B8%B5%E0%B8%A1%E0%B8%B2</x:v>
      </x:c>
      <x:c r="Z529" s="56" t="n">
        <x:v>14.654766</x:v>
      </x:c>
      <x:c r="AA529" s="56" t="n">
        <x:v>101.348529</x:v>
      </x:c>
      <x:c r="AB529" s="57" t="str"/>
      <x:c r="AC529" s="20" t="str">
        <x:v>https://www2.nakhonratchasima.go.th/travel/detail/1/data.html</x:v>
      </x:c>
    </x:row>
    <x:row r="530" ht="88" customHeight="1">
      <x:c r="A530" s="54" t="n">
        <x:v>522</x:v>
      </x:c>
      <x:c r="B530" s="20" t="str">
        <x:v>Tanyong Hotel Narathiwat</x:v>
      </x:c>
      <x:c r="C530" s="20" t="str">
        <x:v>นราธิวาส</x:v>
      </x:c>
      <x:c r="D530" s="20" t="str">
        <x:v>ที่พัก</x:v>
      </x:c>
      <x:c r="E530" s="20" t="str">
        <x:v>พบข้อมูลชื่อตรงจาก โรงแรมตันหยง นราธิวาส (Tanyong Hotel Narathiwat) - YouTube; เป็นหลักฐานตัวตน/ประเภท ยังไม่ยืนยันบริการมุสลิมครบเกณฑ์</x:v>
      </x:c>
      <x:c r="F530" s="20" t="str">
        <x:v>ไม่ทราบ</x:v>
      </x:c>
      <x:c r="G530" s="20" t="str">
        <x:v>ยังไม่ยืนยันใบรับรองและวันหมดอายุ</x:v>
      </x:c>
      <x:c r="H530" s="20" t="str">
        <x:v>ตรวจการเปิด ตัวตนสาขา ช่องทางติดต่อ และเงื่อนไขบังคับตามประเภท</x:v>
      </x:c>
      <x:c r="I530" s="20" t="str">
        <x:v>ยังไม่ยืนยันที่อยู่ละเอียด ดูลิงก์แหล่งข้อมูลและ Google Maps</x:v>
      </x:c>
      <x:c r="J530" s="21" t="str">
        <x:v>ยังไม่พบหรือยังไม่ยืนยัน</x:v>
      </x:c>
      <x:c r="K530" s="51" t="str">
        <x:v>https://www.youtube.com/watch?v=R-A_8nlZcaA</x:v>
      </x:c>
      <x:c r="L530" s="51" t="str">
        <x:v>https://www.booking.com/hotel/th/tan-yong.html</x:v>
      </x:c>
      <x:c r="M530" s="20" t="str">
        <x:v>พบแหล่งต่างเว็บไซต์ Tanyong Hotel, Narathiwat (updated prices 2026)</x:v>
      </x:c>
      <x:c r="N530" s="28" t="n">
        <x:v>46316</x:v>
      </x:c>
      <x:c r="O530" s="57" t="str">
        <x:v>ยังไม่ตรวจ</x:v>
      </x:c>
      <x:c r="P530" s="57" t="str">
        <x:v>ยังไม่ติดต่อ</x:v>
      </x:c>
      <x:c r="Q530" s="20" t="str">
        <x:v>R26-383</x:v>
      </x:c>
      <x:c r="R530" s="20" t="str">
        <x:v>Tanyong Hotel Narathiwat</x:v>
      </x:c>
      <x:c r="S530" s="20" t="str"/>
      <x:c r="T530" s="20" t="str">
        <x:v>https://www.youtube.com/watch?v=R-A_8nlZcaA</x:v>
      </x:c>
      <x:c r="U530" s="20" t="str"/>
      <x:c r="V530" s="20" t="str"/>
      <x:c r="W530" s="20" t="str"/>
      <x:c r="X530" s="20" t="str"/>
      <x:c r="Y530" s="20" t="str">
        <x:v>https://www.google.com/maps/search/?api=1&amp;query=Tanyong%20Hotel%20Narathiwat%20%E0%B8%99%E0%B8%A3%E0%B8%B2%E0%B8%98%E0%B8%B4%E0%B8%A7%E0%B8%B2%E0%B8%AA</x:v>
      </x:c>
      <x:c r="Z530" s="56" t="str"/>
      <x:c r="AA530" s="56" t="str"/>
      <x:c r="AB530" s="57" t="str"/>
      <x:c r="AC530" s="20" t="str">
        <x:v>https://www.youtube.com/watch?v=R-A_8nlZcaA</x:v>
      </x:c>
    </x:row>
    <x:row r="531" ht="88" customHeight="1">
      <x:c r="A531" s="54" t="n">
        <x:v>523</x:v>
      </x:c>
      <x:c r="B531" s="20" t="str">
        <x:v>โรงแรมอิมพีเรียล นราธิวาส</x:v>
      </x:c>
      <x:c r="C531" s="20" t="str">
        <x:v>นราธิวาส</x:v>
      </x:c>
      <x:c r="D531" s="20" t="str">
        <x:v>โรงแรมหรือรีสอร์ท</x:v>
      </x:c>
      <x:c r="E531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531" s="20" t="str">
        <x:v>ไม่ทราบ</x:v>
      </x:c>
      <x:c r="G531" s="20" t="str">
        <x:v>ยังไม่พบเอกสารรับรองและวันหมดอายุ</x:v>
      </x:c>
      <x:c r="H531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531" s="20" t="str">
        <x:v>260 ถนนพิชิตบำรุง ตำบลบางนาค อำเภอเมืองนราธิวาส จังหวัดนราธิวาส 96000</x:v>
      </x:c>
      <x:c r="J531" s="21" t="str">
        <x:v>073515041-50</x:v>
      </x:c>
      <x:c r="K531" s="51" t="str">
        <x:v>https://www.thic.or.th/th/tourist/detail/accommodation/176</x:v>
      </x:c>
      <x:c r="L531" s="51" t="str">
        <x:v>https://www.booking.com/hotel/th/the-imperial-narathiwat.th.html</x:v>
      </x:c>
      <x:c r="M531" s="20" t="str">
        <x:v>ผลค้นหาชื่อสัมพันธ์จากแหล่งเพิ่มเติม ต้องยืนยันสาขาและข้อมูลปัจจุบัน</x:v>
      </x:c>
      <x:c r="N531" s="28" t="n">
        <x:v>46316</x:v>
      </x:c>
      <x:c r="O531" s="57" t="str">
        <x:v>ยังไม่ตรวจ</x:v>
      </x:c>
      <x:c r="P531" s="57" t="str">
        <x:v>ยังไม่ติดต่อ</x:v>
      </x:c>
      <x:c r="Q531" s="20" t="str">
        <x:v>TMF-365</x:v>
      </x:c>
      <x:c r="R531" s="20" t="str"/>
      <x:c r="S531" s="20" t="str"/>
      <x:c r="T531" s="20" t="str">
        <x:v>https://www.thic.or.th/th/tourist/detail/accommodation/176</x:v>
      </x:c>
      <x:c r="U531" s="20" t="str"/>
      <x:c r="V531" s="20" t="str"/>
      <x:c r="W531" s="20" t="str"/>
      <x:c r="X531" s="20" t="str"/>
      <x:c r="Y531" s="20" t="str">
        <x:v>https://www.google.com/maps/search/?api=1&amp;query=%E0%B9%82%E0%B8%A3%E0%B8%87%E0%B9%81%E0%B8%A3%E0%B8%A1%E0%B8%AD%E0%B8%B4%E0%B8%A1%E0%B8%9E%E0%B8%B5%E0%B9%80%E0%B8%A3%E0%B8%B5%E0%B8%A2%E0%B8%A5%20%E0%B8%99%E0%B8%A3%E0%B8%B2%E0%B8%98%E0%B8%B4%E0%B8%A7%E0%B8%B2%E0%B8%AA%20%E0%B8%99%E0%B8%A3%E0%B8%B2%E0%B8%98%E0%B8%B4%E0%B8%A7%E0%B8%B2%E0%B8%AA</x:v>
      </x:c>
      <x:c r="Z531" s="56" t="n">
        <x:v>6.433519</x:v>
      </x:c>
      <x:c r="AA531" s="56" t="n">
        <x:v>101.818979</x:v>
      </x:c>
      <x:c r="AB531" s="57" t="str"/>
      <x:c r="AC531" s="20" t="str">
        <x:v>https://www.thic.or.th/th/tourist/detail/accommodation/176</x:v>
      </x:c>
    </x:row>
    <x:row r="532" ht="88" customHeight="1">
      <x:c r="A532" s="54" t="n">
        <x:v>524</x:v>
      </x:c>
      <x:c r="B532" s="20" t="str">
        <x:v>กะละห์ชวนชิม</x:v>
      </x:c>
      <x:c r="C532" s="20" t="str">
        <x:v>นราธิวาส</x:v>
      </x:c>
      <x:c r="D532" s="20" t="str">
        <x:v>อาหาร</x:v>
      </x:c>
      <x:c r="E532" s="20" t="str">
        <x:v>พบข้อมูลชื่อตรงจาก ร้านกะละห์ชวนชิม | 084 067 4915 | เทศบาลเมืองนราธิวาส; เป็นหลักฐานตัวตน/ประเภท ยังไม่ยืนยันบริการมุสลิมครบเกณฑ์</x:v>
      </x:c>
      <x:c r="F532" s="20" t="str">
        <x:v>ไม่ทราบ</x:v>
      </x:c>
      <x:c r="G532" s="20" t="str">
        <x:v>ยังไม่ยืนยันใบรับรองและวันหมดอายุ</x:v>
      </x:c>
      <x:c r="H532" s="20" t="str">
        <x:v>ตรวจการเปิด ตัวตนสาขา ช่องทางติดต่อ และเงื่อนไขบังคับตามประเภท</x:v>
      </x:c>
      <x:c r="I532" s="20" t="str">
        <x:v>ยังไม่ยืนยันที่อยู่ละเอียด ดูลิงก์แหล่งข้อมูลและ Google Maps</x:v>
      </x:c>
      <x:c r="J532" s="21" t="str">
        <x:v>ยังไม่พบหรือยังไม่ยืนยัน</x:v>
      </x:c>
      <x:c r="K532" s="51" t="str">
        <x:v>https://www.thaithurkic.com/%E0%B8%A3%E0%B9%89%E0%B8%B2%E0%B8%99%E0%B8%81%E0%B8%B0%E0%B8%A5%E0%B8%B0%E0%B8%AB%E0%B9%8C%E0%B8%8A%E0%B8%A7%E0%B8%99%E0%B8%8A%E0%B8%B4%E0%B8%A1-084-067-4915</x:v>
      </x:c>
      <x:c r="L532" s="51" t="str">
        <x:v>https://www.komchadluek.net/kom-lifestyle/283484</x:v>
      </x:c>
      <x:c r="M532" s="20" t="str">
        <x:v>พบแหล่งต่างเว็บไซต์ Top 10 ร้านอาหาร นราธิวาส | คมชัดลึก</x:v>
      </x:c>
      <x:c r="N532" s="28" t="n">
        <x:v>46316</x:v>
      </x:c>
      <x:c r="O532" s="57" t="str">
        <x:v>ยังไม่ตรวจ</x:v>
      </x:c>
      <x:c r="P532" s="57" t="str">
        <x:v>ยังไม่ติดต่อ</x:v>
      </x:c>
      <x:c r="Q532" s="20" t="str">
        <x:v>R26-350</x:v>
      </x:c>
      <x:c r="R532" s="20" t="str"/>
      <x:c r="S532" s="20" t="str"/>
      <x:c r="T532" s="20" t="str">
        <x:v>https://www.thaithurkic.com/%E0%B8%A3%E0%B9%89%E0%B8%B2%E0%B8%99%E0%B8%81%E0%B8%B0%E0%B8%A5%E0%B8%B0%E0%B8%AB%E0%B9%8C%E0%B8%8A%E0%B8%A7%E0%B8%99%E0%B8%8A%E0%B8%B4%E0%B8%A1-084-067-4915</x:v>
      </x:c>
      <x:c r="U532" s="20" t="str"/>
      <x:c r="V532" s="20" t="str"/>
      <x:c r="W532" s="20" t="str"/>
      <x:c r="X532" s="20" t="str"/>
      <x:c r="Y532" s="20" t="str">
        <x:v>https://www.google.com/maps/search/?api=1&amp;query=%E0%B8%81%E0%B8%B0%E0%B8%A5%E0%B8%B0%E0%B8%AB%E0%B9%8C%E0%B8%8A%E0%B8%A7%E0%B8%99%E0%B8%8A%E0%B8%B4%E0%B8%A1%20%E0%B8%99%E0%B8%A3%E0%B8%B2%E0%B8%98%E0%B8%B4%E0%B8%A7%E0%B8%B2%E0%B8%AA</x:v>
      </x:c>
      <x:c r="Z532" s="56" t="str"/>
      <x:c r="AA532" s="56" t="str"/>
      <x:c r="AB532" s="57" t="str"/>
      <x:c r="AC532" s="20" t="str">
        <x:v>https://www.thaithurkic.com/%E0%B8%A3%E0%B9%89%E0%B8%B2%E0%B8%99%E0%B8%81%E0%B8%B0%E0%B8%A5%E0%B8%B0%E0%B8%AB%E0%B9%8C%E0%B8%8A%E0%B8%A7%E0%B8%99%E0%B8%8A%E0%B8%B4%E0%B8%A1-084-067-4915</x:v>
      </x:c>
    </x:row>
    <x:row r="533" ht="88" customHeight="1">
      <x:c r="A533" s="54" t="n">
        <x:v>525</x:v>
      </x:c>
      <x:c r="B533" s="20" t="str">
        <x:v>ป่าพรุโต๊ะแดง</x:v>
      </x:c>
      <x:c r="C533" s="20" t="str">
        <x:v>นราธิวาส</x:v>
      </x:c>
      <x:c r="D533" s="20" t="str">
        <x:v>ธรรมชาติ</x:v>
      </x:c>
      <x:c r="E533" s="20" t="str">
        <x:v>พบข้อมูลชื่อตรงจาก “รมว.ทส.สุชาติ” สั่งเร่งระดมกำลังและอุปกรณ์เข้าสนับสนุน “ดับไฟป่าพรุโต๊ะแดง” หลังสู้ไฟต่อเนื่อง 24 วัน ล่าสุดพบจุดความร้อน 19 จุด; เป็นหลักฐานตัวตน/ประเภท ยังไม่ยืนยันบริการมุสลิมครบเกณฑ์</x:v>
      </x:c>
      <x:c r="F533" s="20" t="str">
        <x:v>ไม่ทราบ</x:v>
      </x:c>
      <x:c r="G533" s="20" t="str">
        <x:v>ยังไม่ยืนยันใบรับรองและวันหมดอายุ</x:v>
      </x:c>
      <x:c r="H533" s="20" t="str">
        <x:v>ตรวจการเปิด ตัวตนสาขา ช่องทางติดต่อ และเงื่อนไขบังคับตามประเภท</x:v>
      </x:c>
      <x:c r="I533" s="20" t="str">
        <x:v>ยังไม่ยืนยันที่อยู่ละเอียด ดูลิงก์แหล่งข้อมูลและ Google Maps</x:v>
      </x:c>
      <x:c r="J533" s="21" t="str">
        <x:v>ยังไม่พบหรือยังไม่ยืนยัน</x:v>
      </x:c>
      <x:c r="K533" s="51" t="str">
        <x:v>https://news.dnp.go.th/news/44162</x:v>
      </x:c>
      <x:c r="L533" s="51" t="str">
        <x:v>https://elibrary.tsri.or.th/fullP/RDG55S0001/RDG55S0001_full.pdf</x:v>
      </x:c>
      <x:c r="M533" s="20" t="str">
        <x:v>พบแหล่งต่างเว็บไซต์ “ป่าพรุโต๊ะแดง” มีชื่ออย่างเป็นทางการคือ “เขต</x:v>
      </x:c>
      <x:c r="N533" s="28" t="n">
        <x:v>46316</x:v>
      </x:c>
      <x:c r="O533" s="57" t="str">
        <x:v>ยังไม่ตรวจ</x:v>
      </x:c>
      <x:c r="P533" s="57" t="str">
        <x:v>ยังไม่ติดต่อ</x:v>
      </x:c>
      <x:c r="Q533" s="20" t="str">
        <x:v>R26-236</x:v>
      </x:c>
      <x:c r="R533" s="20" t="str"/>
      <x:c r="S533" s="20" t="str"/>
      <x:c r="T533" s="20" t="str">
        <x:v>https://news.dnp.go.th/news/44162</x:v>
      </x:c>
      <x:c r="U533" s="20" t="str"/>
      <x:c r="V533" s="20" t="str"/>
      <x:c r="W533" s="20" t="str"/>
      <x:c r="X533" s="20" t="str"/>
      <x:c r="Y533" s="20" t="str">
        <x:v>https://www.google.com/maps/search/?api=1&amp;query=%E0%B8%9B%E0%B9%88%E0%B8%B2%E0%B8%9E%E0%B8%A3%E0%B8%B8%E0%B9%82%E0%B8%95%E0%B9%8A%E0%B8%B0%E0%B9%81%E0%B8%94%E0%B8%87%20%E0%B8%99%E0%B8%A3%E0%B8%B2%E0%B8%98%E0%B8%B4%E0%B8%A7%E0%B8%B2%E0%B8%AA</x:v>
      </x:c>
      <x:c r="Z533" s="56" t="str"/>
      <x:c r="AA533" s="56" t="str"/>
      <x:c r="AB533" s="57" t="str"/>
      <x:c r="AC533" s="20" t="str">
        <x:v>https://news.dnp.go.th/news/44162</x:v>
      </x:c>
    </x:row>
    <x:row r="534" ht="88" customHeight="1">
      <x:c r="A534" s="54" t="n">
        <x:v>526</x:v>
      </x:c>
      <x:c r="B534" s="20" t="str">
        <x:v>อุทยานแห่งชาติอ่าวมะนาว-เขาตันหยง</x:v>
      </x:c>
      <x:c r="C534" s="20" t="str">
        <x:v>นราธิวาส</x:v>
      </x:c>
      <x:c r="D534" s="20" t="str">
        <x:v>ธรรมชาติ</x:v>
      </x:c>
      <x:c r="E534" s="20" t="str">
        <x:v>พบข้อมูลชื่อตรงจาก กรมอุทยานฯ เปิดรับฟังความเห็นประกาศจัดตั้ง ‘อุทยานฯ อ่าวมะนาว-เขาตันหยง’ จ.นราธิวาส; เป็นหลักฐานตัวตน/ประเภท ยังไม่ยืนยันบริการมุสลิมครบเกณฑ์</x:v>
      </x:c>
      <x:c r="F534" s="20" t="str">
        <x:v>ไม่ทราบ</x:v>
      </x:c>
      <x:c r="G534" s="20" t="str">
        <x:v>ยังไม่ยืนยันใบรับรองและวันหมดอายุ</x:v>
      </x:c>
      <x:c r="H534" s="20" t="str">
        <x:v>ตรวจการเปิด ตัวตนสาขา ช่องทางติดต่อ และเงื่อนไขบังคับตามประเภท</x:v>
      </x:c>
      <x:c r="I534" s="20" t="str">
        <x:v>ยังไม่ยืนยันที่อยู่ละเอียด ดูลิงก์แหล่งข้อมูลและ Google Maps</x:v>
      </x:c>
      <x:c r="J534" s="21" t="str">
        <x:v>ยังไม่พบหรือยังไม่ยืนยัน</x:v>
      </x:c>
      <x:c r="K534" s="51" t="str">
        <x:v>https://news.dnp.go.th/news/19898</x:v>
      </x:c>
      <x:c r="L534" s="51" t="str">
        <x:v>https://www.thailandtourismdirectory.go.th/attraction/1901</x:v>
      </x:c>
      <x:c r="M534" s="20" t="str">
        <x:v>พบแหล่งต่างเว็บไซต์ อุทยานแห่งชาติอ่าวมะนาว เขาตันหยง</x:v>
      </x:c>
      <x:c r="N534" s="28" t="n">
        <x:v>46316</x:v>
      </x:c>
      <x:c r="O534" s="57" t="str">
        <x:v>ยังไม่ตรวจ</x:v>
      </x:c>
      <x:c r="P534" s="57" t="str">
        <x:v>ยังไม่ติดต่อ</x:v>
      </x:c>
      <x:c r="Q534" s="20" t="str">
        <x:v>R26-235</x:v>
      </x:c>
      <x:c r="R534" s="20" t="str"/>
      <x:c r="S534" s="20" t="str"/>
      <x:c r="T534" s="20" t="str">
        <x:v>https://news.dnp.go.th/news/19898</x:v>
      </x:c>
      <x:c r="U534" s="20" t="str"/>
      <x:c r="V534" s="20" t="str"/>
      <x:c r="W534" s="20" t="str"/>
      <x:c r="X534" s="20" t="str"/>
      <x:c r="Y534" s="20" t="str">
        <x:v>https://www.google.com/maps/search/?api=1&amp;query=%E0%B8%AD%E0%B8%B8%E0%B8%97%E0%B8%A2%E0%B8%B2%E0%B8%99%E0%B9%81%E0%B8%AB%E0%B9%88%E0%B8%87%E0%B8%8A%E0%B8%B2%E0%B8%95%E0%B8%B4%E0%B8%AD%E0%B9%88%E0%B8%B2%E0%B8%A7%E0%B8%A1%E0%B8%B0%E0%B8%99%E0%B8%B2%E0%B8%A7-%E0%B9%80%E0%B8%82%E0%B8%B2%E0%B8%95%E0%B8%B1%E0%B8%99%E0%B8%AB%E0%B8%A2%E0%B8%87%20%E0%B8%99%E0%B8%A3%E0%B8%B2%E0%B8%98%E0%B8%B4%E0%B8%A7%E0%B8%B2%E0%B8%AA</x:v>
      </x:c>
      <x:c r="Z534" s="56" t="n">
        <x:v>6.4207</x:v>
      </x:c>
      <x:c r="AA534" s="56" t="n">
        <x:v>101.8778</x:v>
      </x:c>
      <x:c r="AB534" s="57" t="str"/>
      <x:c r="AC534" s="20" t="str">
        <x:v>https://news.dnp.go.th/news/19898</x:v>
      </x:c>
    </x:row>
    <x:row r="535" ht="88" customHeight="1">
      <x:c r="A535" s="54" t="n">
        <x:v>527</x:v>
      </x:c>
      <x:c r="B535" s="20" t="str">
        <x:v>มัสยิดกลางจังหวัดนราธิวาส</x:v>
      </x:c>
      <x:c r="C535" s="20" t="str">
        <x:v>นราธิวาส</x:v>
      </x:c>
      <x:c r="D535" s="20" t="str">
        <x:v>มัสยิด</x:v>
      </x:c>
      <x:c r="E535" s="20" t="str">
        <x:v>พบข้อมูลชื่อตรงจาก มัสยิสกลางจังหวัดนราธิวาส; เป็นหลักฐานตัวตน/ประเภท ยังไม่ยืนยันบริการมุสลิมครบเกณฑ์</x:v>
      </x:c>
      <x:c r="F535" s="20" t="str">
        <x:v>ไม่ทราบ</x:v>
      </x:c>
      <x:c r="G535" s="20" t="str">
        <x:v>ยังไม่ยืนยันใบรับรองและวันหมดอายุ</x:v>
      </x:c>
      <x:c r="H535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535" s="20" t="str">
        <x:v>ยังไม่ยืนยันที่อยู่ละเอียด ดูลิงก์แหล่งข้อมูลและ Google Maps</x:v>
      </x:c>
      <x:c r="J535" s="21" t="str">
        <x:v>ยังไม่พบหรือยังไม่ยืนยัน</x:v>
      </x:c>
      <x:c r="K535" s="51" t="str">
        <x:v>https://naracity.go.th/travel/detail/47/data.html</x:v>
      </x:c>
      <x:c r="L535" s="51" t="str">
        <x:v>https://www.narathiwat.go.th/narathiwat/documents/information56.pdf</x:v>
      </x:c>
      <x:c r="M535" s="20" t="str">
        <x:v>พบแหล่งต่างเว็บไซต์ นราธิวาสวันนี้</x:v>
      </x:c>
      <x:c r="N535" s="28" t="n">
        <x:v>46316</x:v>
      </x:c>
      <x:c r="O535" s="57" t="str">
        <x:v>ยังไม่ตรวจ</x:v>
      </x:c>
      <x:c r="P535" s="57" t="str">
        <x:v>ยังไม่ติดต่อ</x:v>
      </x:c>
      <x:c r="Q535" s="20" t="str">
        <x:v>R26-237</x:v>
      </x:c>
      <x:c r="R535" s="20" t="str"/>
      <x:c r="S535" s="20" t="str"/>
      <x:c r="T535" s="20" t="str">
        <x:v>https://naracity.go.th/travel/detail/47/data.html</x:v>
      </x:c>
      <x:c r="U535" s="20" t="str"/>
      <x:c r="V535" s="20" t="str"/>
      <x:c r="W535" s="20" t="str"/>
      <x:c r="X535" s="20" t="str"/>
      <x:c r="Y535" s="20" t="str">
        <x:v>https://www.google.com/maps/search/?api=1&amp;query=%E0%B8%A1%E0%B8%B1%E0%B8%AA%E0%B8%A2%E0%B8%B4%E0%B8%94%E0%B8%81%E0%B8%A5%E0%B8%B2%E0%B8%87%E0%B8%88%E0%B8%B1%E0%B8%87%E0%B8%AB%E0%B8%A7%E0%B8%B1%E0%B8%94%E0%B8%99%E0%B8%A3%E0%B8%B2%E0%B8%98%E0%B8%B4%E0%B8%A7%E0%B8%B2%E0%B8%AA%20%E0%B8%99%E0%B8%A3%E0%B8%B2%E0%B8%98%E0%B8%B4%E0%B8%A7%E0%B8%B2%E0%B8%AA</x:v>
      </x:c>
      <x:c r="Z535" s="56" t="n">
        <x:v>6.4435845</x:v>
      </x:c>
      <x:c r="AA535" s="56" t="n">
        <x:v>101.8213011</x:v>
      </x:c>
      <x:c r="AB535" s="57" t="str"/>
      <x:c r="AC535" s="20" t="str">
        <x:v>https://naracity.go.th/travel/detail/47/data.html</x:v>
      </x:c>
    </x:row>
    <x:row r="536" ht="88" customHeight="1">
      <x:c r="A536" s="54" t="n">
        <x:v>528</x:v>
      </x:c>
      <x:c r="B536" s="20" t="str">
        <x:v>มัสยิดวาดีลฮูเซ็น</x:v>
      </x:c>
      <x:c r="C536" s="20" t="str">
        <x:v>นราธิวาส</x:v>
      </x:c>
      <x:c r="D536" s="20" t="str">
        <x:v>มัสยิด</x:v>
      </x:c>
      <x:c r="E536" s="20" t="str">
        <x:v>THIC ระบุสถานที่ศาสนาอิสลาม ต้องตรวจการเปิดรับนักท่องเที่ยว พื้นที่สตรี สุขอนามัย และข้อมูลร้านฮาลาล</x:v>
      </x:c>
      <x:c r="F536" s="20" t="str">
        <x:v>มีข้อมูลระบุ แต่รอยืนยัน</x:v>
      </x:c>
      <x:c r="G536" s="20" t="str">
        <x:v>ยังไม่พบเอกสารรับรองและวันหมดอายุ</x:v>
      </x:c>
      <x:c r="H536" s="20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I536" s="20" t="str">
        <x:v>หมู่ 1 บ้านตะโละมาเนาะ ตำบลลุโบะสาวอ อำเภอบาเจาะ จังหวัดนราธิวาส 96170</x:v>
      </x:c>
      <x:c r="J536" s="21" t="str">
        <x:v>+62 823-6455-2971</x:v>
      </x:c>
      <x:c r="K536" s="51" t="str">
        <x:v>https://www.thic.or.th/th/tourist/detail/mosques/48</x:v>
      </x:c>
      <x:c r="L536" s="51" t="str">
        <x:v>https://www.wongnai.com/reviews/91ed419dc1c540e7bd34bafafe5042a9</x:v>
      </x:c>
      <x:c r="M536" s="20" t="str">
        <x:v>ผลค้นหาชื่อสัมพันธ์จากแหล่งเพิ่มเติม ต้องยืนยันสาขาและข้อมูลปัจจุบัน</x:v>
      </x:c>
      <x:c r="N536" s="28" t="n">
        <x:v>46315</x:v>
      </x:c>
      <x:c r="O536" s="57" t="str">
        <x:v>ยังไม่ตรวจ</x:v>
      </x:c>
      <x:c r="P536" s="57" t="str">
        <x:v>ยังไม่ติดต่อ</x:v>
      </x:c>
      <x:c r="Q536" s="20" t="str">
        <x:v>TMF-366</x:v>
      </x:c>
      <x:c r="R536" s="20" t="str"/>
      <x:c r="S536" s="20" t="str"/>
      <x:c r="T536" s="20" t="str">
        <x:v>https://www.thic.or.th/th/tourist/detail/mosques/48</x:v>
      </x:c>
      <x:c r="U536" s="20" t="str"/>
      <x:c r="V536" s="20" t="str"/>
      <x:c r="W536" s="20" t="str"/>
      <x:c r="X536" s="20" t="str"/>
      <x:c r="Y536" s="20" t="str">
        <x:v>https://www.google.com/maps/search/?api=1&amp;query=%E0%B8%A1%E0%B8%B1%E0%B8%AA%E0%B8%A2%E0%B8%B4%E0%B8%94%E0%B8%A7%E0%B8%B2%E0%B8%94%E0%B8%B5%E0%B8%A5%E0%B8%AE%E0%B8%B9%E0%B9%80%E0%B8%8B%E0%B9%87%E0%B8%99%20%E0%B8%99%E0%B8%A3%E0%B8%B2%E0%B8%98%E0%B8%B4%E0%B8%A7%E0%B8%B2%E0%B8%AA</x:v>
      </x:c>
      <x:c r="Z536" s="56" t="n">
        <x:v>6.484246</x:v>
      </x:c>
      <x:c r="AA536" s="56" t="n">
        <x:v>101.656123</x:v>
      </x:c>
      <x:c r="AB536" s="57" t="str"/>
      <x:c r="AC536" s="20" t="str">
        <x:v>https://www.thic.or.th/th/tourist/detail/mosques/48</x:v>
      </x:c>
    </x:row>
    <x:row r="537" ht="88" customHeight="1">
      <x:c r="A537" s="54" t="n">
        <x:v>529</x:v>
      </x:c>
      <x:c r="B537" s="20" t="str">
        <x:v>ชุมชนบ้านทอน</x:v>
      </x:c>
      <x:c r="C537" s="20" t="str">
        <x:v>นราธิวาส</x:v>
      </x:c>
      <x:c r="D537" s="20" t="str">
        <x:v>ชุมชน</x:v>
      </x:c>
      <x:c r="E537" s="20" t="str">
        <x:v>พบข้อมูลชื่อตรงจาก บ้านทอน; เป็นหลักฐานตัวตน/ประเภท ยังไม่ยืนยันบริการมุสลิมครบเกณฑ์</x:v>
      </x:c>
      <x:c r="F537" s="20" t="str">
        <x:v>ไม่ทราบ</x:v>
      </x:c>
      <x:c r="G537" s="20" t="str">
        <x:v>ยังไม่ยืนยันใบรับรองและวันหมดอายุ</x:v>
      </x:c>
      <x:c r="H537" s="20" t="str">
        <x:v>ตรวจการเปิด ตัวตนสาขา ช่องทางติดต่อ และเงื่อนไขบังคับตามประเภท</x:v>
      </x:c>
      <x:c r="I537" s="20" t="str">
        <x:v>ยังไม่ยืนยันที่อยู่ละเอียด ดูลิงก์แหล่งข้อมูลและ Google Maps</x:v>
      </x:c>
      <x:c r="J537" s="21" t="str">
        <x:v>ยังไม่พบหรือยังไม่ยืนยัน</x:v>
      </x:c>
      <x:c r="K537" s="51" t="str">
        <x:v>https://wikicommunity.sac.or.th/community/1769</x:v>
      </x:c>
      <x:c r="L537" s="51" t="str">
        <x:v>https://www2.narathiwat.go.th/nara2016/news/detail/810</x:v>
      </x:c>
      <x:c r="M537" s="20" t="str">
        <x:v>พบแหล่งต่างเว็บไซต์ รองอธิบดีกรมส่งเสริมอุตสาหกรรม ลงพื้นที่ตรวจเยี่ยมชุมชนบ้านทอน จังหวัดนราธิวาส เพื่อดำเนินงานโครงการหมู่บ้านอุตสาหกรรมสร้างสรรค์ (CIV)</x:v>
      </x:c>
      <x:c r="N537" s="28" t="n">
        <x:v>46316</x:v>
      </x:c>
      <x:c r="O537" s="57" t="str">
        <x:v>ยังไม่ตรวจ</x:v>
      </x:c>
      <x:c r="P537" s="57" t="str">
        <x:v>ยังไม่ติดต่อ</x:v>
      </x:c>
      <x:c r="Q537" s="20" t="str">
        <x:v>R26-233</x:v>
      </x:c>
      <x:c r="R537" s="20" t="str"/>
      <x:c r="S537" s="20" t="str"/>
      <x:c r="T537" s="20" t="str">
        <x:v>https://wikicommunity.sac.or.th/community/1769</x:v>
      </x:c>
      <x:c r="U537" s="20" t="str"/>
      <x:c r="V537" s="20" t="str"/>
      <x:c r="W537" s="20" t="str"/>
      <x:c r="X537" s="20" t="str"/>
      <x:c r="Y537" s="20" t="str">
        <x:v>https://www.google.com/maps/search/?api=1&amp;query=%E0%B8%8A%E0%B8%B8%E0%B8%A1%E0%B8%8A%E0%B8%99%E0%B8%9A%E0%B9%89%E0%B8%B2%E0%B8%99%E0%B8%97%E0%B8%AD%E0%B8%99%20%E0%B8%99%E0%B8%A3%E0%B8%B2%E0%B8%98%E0%B8%B4%E0%B8%A7%E0%B8%B2%E0%B8%AA</x:v>
      </x:c>
      <x:c r="Z537" s="56" t="n">
        <x:v>6.541647</x:v>
      </x:c>
      <x:c r="AA537" s="56" t="n">
        <x:v>101.747036</x:v>
      </x:c>
      <x:c r="AB537" s="57" t="str"/>
      <x:c r="AC537" s="20" t="str">
        <x:v>https://wikicommunity.sac.or.th/community/1769</x:v>
      </x:c>
    </x:row>
    <x:row r="538" ht="88" customHeight="1">
      <x:c r="A538" s="54" t="n">
        <x:v>530</x:v>
      </x:c>
      <x:c r="B538" s="20" t="str">
        <x:v>ชุมชนบ้านภูเขาทอง</x:v>
      </x:c>
      <x:c r="C538" s="20" t="str">
        <x:v>นราธิวาส</x:v>
      </x:c>
      <x:c r="D538" s="20" t="str">
        <x:v>ชุมชน</x:v>
      </x:c>
      <x:c r="E538" s="20" t="str">
        <x:v>พบข้อมูลชื่อตรงจาก บ้านภูเขาทอง; เป็นหลักฐานตัวตน/ประเภท ยังไม่ยืนยันบริการมุสลิมครบเกณฑ์</x:v>
      </x:c>
      <x:c r="F538" s="20" t="str">
        <x:v>ไม่ทราบ</x:v>
      </x:c>
      <x:c r="G538" s="20" t="str">
        <x:v>ยังไม่ยืนยันใบรับรองและวันหมดอายุ</x:v>
      </x:c>
      <x:c r="H538" s="20" t="str">
        <x:v>ตรวจการเปิด ตัวตนสาขา ช่องทางติดต่อ และเงื่อนไขบังคับตามประเภท</x:v>
      </x:c>
      <x:c r="I538" s="20" t="str">
        <x:v>ยังไม่ยืนยันที่อยู่ละเอียด ดูลิงก์แหล่งข้อมูลและ Google Maps</x:v>
      </x:c>
      <x:c r="J538" s="21" t="str">
        <x:v>ยังไม่พบหรือยังไม่ยืนยัน</x:v>
      </x:c>
      <x:c r="K538" s="51" t="str">
        <x:v>https://wikicommunity.sac.or.th/community/923</x:v>
      </x:c>
      <x:c r="L538" s="51" t="str">
        <x:v>https://www.nara2.go.th/storage/document/1146-8a3363abe792db2d8761d6403605aeb7/attach/%E0%B9%81%E0%B8%9C%E0%B8%99%E0%B8%9B%E0%B8%8F%E0%B8%B4%E0%B8%9A%E0%B8%B1%E0%B8%95%E0%B8%B4%E0%B8%81%E0%B8%B2%E0%B8%A3%E0%B9%82%E0%B8%A3%E0%B8%87%E0%B9%80%E0%B8%A3%E0%B8%B5%E0%B8%A2%E0%B8%99%E0%B8%9A%E0%B9%89%E0%B8%B2%E0%B8%99%E0%B8%A0%E0%B8%B9%E0%B9%80%E0%B8%82%E0%B8%B2%E0%B8%97%E0%B8%AD%E0%B8%87-%E0%B8%9B%E0%B8%B5%E0%B8%81%E0%B8%B2%E0%B8%A3%E0%B8%A8_6875d083939b9.pdf</x:v>
      </x:c>
      <x:c r="M538" s="20" t="str">
        <x:v>พบแหล่งต่างเว็บไซต์                         โรงเรียนบ้านภูเขา</x:v>
      </x:c>
      <x:c r="N538" s="28" t="n">
        <x:v>46316</x:v>
      </x:c>
      <x:c r="O538" s="57" t="str">
        <x:v>ยังไม่ตรวจ</x:v>
      </x:c>
      <x:c r="P538" s="57" t="str">
        <x:v>ยังไม่ติดต่อ</x:v>
      </x:c>
      <x:c r="Q538" s="20" t="str">
        <x:v>R26-234</x:v>
      </x:c>
      <x:c r="R538" s="20" t="str"/>
      <x:c r="S538" s="20" t="str"/>
      <x:c r="T538" s="20" t="str">
        <x:v>https://wikicommunity.sac.or.th/community/923</x:v>
      </x:c>
      <x:c r="U538" s="20" t="str"/>
      <x:c r="V538" s="20" t="str"/>
      <x:c r="W538" s="20" t="str"/>
      <x:c r="X538" s="20" t="str"/>
      <x:c r="Y538" s="20" t="str">
        <x:v>https://www.google.com/maps/search/?api=1&amp;query=%E0%B8%8A%E0%B8%B8%E0%B8%A1%E0%B8%8A%E0%B8%99%E0%B8%9A%E0%B9%89%E0%B8%B2%E0%B8%99%E0%B8%A0%E0%B8%B9%E0%B9%80%E0%B8%82%E0%B8%B2%E0%B8%97%E0%B8%AD%E0%B8%87%20%E0%B8%99%E0%B8%A3%E0%B8%B2%E0%B8%98%E0%B8%B4%E0%B8%A7%E0%B8%B2%E0%B8%AA</x:v>
      </x:c>
      <x:c r="Z538" s="56" t="str"/>
      <x:c r="AA538" s="56" t="str"/>
      <x:c r="AB538" s="57" t="str"/>
      <x:c r="AC538" s="20" t="str">
        <x:v>https://wikicommunity.sac.or.th/community/923</x:v>
      </x:c>
    </x:row>
    <x:row r="539" ht="88" customHeight="1">
      <x:c r="A539" s="54" t="n">
        <x:v>531</x:v>
      </x:c>
      <x:c r="B539" s="20" t="str">
        <x:v>Coco Pina Boutique Resort ที่พัก&amp;คาเฟ่ประจวบ</x:v>
      </x:c>
      <x:c r="C539" s="20" t="str">
        <x:v>ประจวบคีรีขันธ์</x:v>
      </x:c>
      <x:c r="D539" s="20" t="str">
        <x:v>ที่พัก (ตรวจประเภทจากชื่อและข้อมูลประกอบ)</x:v>
      </x:c>
      <x:c r="E539" s="20" t="str">
        <x:v>Makan Verify; ระบุมีห้องละหมาด</x:v>
      </x:c>
      <x:c r="F539" s="20" t="str">
        <x:v>มีข้อมูลระบุ แต่รอยืนยัน</x:v>
      </x:c>
      <x:c r="G539" s="20" t="str">
        <x:v>ยังไม่พบเอกสารรับรองและวันหมดอายุ</x:v>
      </x:c>
      <x:c r="H539" s="20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I539" s="20" t="str">
        <x:v>53/27 ถ.สุขสมบูรณ์ ต.ประจวบ อ.เมือง จ.ประจวบคีรีขันธ์ 77000</x:v>
      </x:c>
      <x:c r="J539" s="21" t="str">
        <x:v>0972277159</x:v>
      </x:c>
      <x:c r="K539" s="51" t="str">
        <x:v>https://makanhalalguide.com/shop/detail/5387</x:v>
      </x:c>
      <x:c r="L539" s="51" t="str">
        <x:v>https://www.google.co.th/travel/hotels/entity/ChkI2cTU17GU9MNaGg0vZy8xMXJjeGI2M2Z2EAE?rp=OAHCAhwiGg0AAANDEhMIjfGnvYbslQMVVCeHAx1KHDDj&amp;ts=CAEaIgoCGgASHBIUCgcI6g8QCRgYEgcI6g8QCRgZGAEyAhAAOAEqBAoAGgA</x:v>
      </x:c>
      <x:c r="M539" s="20" t="str">
        <x:v>ผลค้นหาชื่อสัมพันธ์จากแหล่งเพิ่มเติม ต้องยืนยันสาขาและข้อมูลปัจจุบัน</x:v>
      </x:c>
      <x:c r="N539" s="28" t="n">
        <x:v>46315</x:v>
      </x:c>
      <x:c r="O539" s="57" t="str">
        <x:v>ยังไม่ตรวจ</x:v>
      </x:c>
      <x:c r="P539" s="57" t="str">
        <x:v>ยังไม่ติดต่อ</x:v>
      </x:c>
      <x:c r="Q539" s="20" t="str">
        <x:v>TMF-184</x:v>
      </x:c>
      <x:c r="R539" s="20" t="str"/>
      <x:c r="S539" s="20" t="str"/>
      <x:c r="T539" s="20" t="str">
        <x:v>https://makanhalalguide.com/shop/detail/5387</x:v>
      </x:c>
      <x:c r="U539" s="20" t="str"/>
      <x:c r="V539" s="20" t="str"/>
      <x:c r="W539" s="20" t="str"/>
      <x:c r="X539" s="20" t="str"/>
      <x:c r="Y539" s="20" t="str">
        <x:v>https://www.google.com/maps/search/?api=1&amp;query=Coco%20Pina%20Boutique%20Resort%20%E0%B8%97%E0%B8%B5%E0%B9%88%E0%B8%9E%E0%B8%B1%E0%B8%81%26%E0%B8%84%E0%B8%B2%E0%B9%80%E0%B8%9F%E0%B9%88%E0%B8%9B%E0%B8%A3%E0%B8%B0%E0%B8%88%E0%B8%A7%E0%B8%9A%20%E0%B8%9B%E0%B8%A3%E0%B8%B0%E0%B8%88%E0%B8%A7%E0%B8%9A%E0%B8%84%E0%B8%B5%E0%B8%A3%E0%B8%B5%E0%B8%82%E0%B8%B1%E0%B8%99%E0%B8%98%E0%B9%8C</x:v>
      </x:c>
      <x:c r="Z539" s="56" t="n">
        <x:v>11.797223</x:v>
      </x:c>
      <x:c r="AA539" s="56" t="n">
        <x:v>99.782469</x:v>
      </x:c>
      <x:c r="AB539" s="57" t="str"/>
      <x:c r="AC539" s="20" t="str">
        <x:v>https://makanhalalguide.com/shop/detail/5387</x:v>
      </x:c>
    </x:row>
    <x:row r="540" ht="88" customHeight="1">
      <x:c r="A540" s="54" t="n">
        <x:v>532</x:v>
      </x:c>
      <x:c r="B540" s="20" t="str">
        <x:v>Rista House &amp; Resort</x:v>
      </x:c>
      <x:c r="C540" s="20" t="str">
        <x:v>ประจวบคีรีขันธ์</x:v>
      </x:c>
      <x:c r="D540" s="20" t="str">
        <x:v>โรงแรมหรือรีสอร์ท</x:v>
      </x:c>
      <x:c r="E540" s="20" t="str">
        <x:v>Makan Verify; ระบุมีห้องละหมาด</x:v>
      </x:c>
      <x:c r="F540" s="20" t="str">
        <x:v>มีข้อมูลระบุ แต่รอยืนยัน</x:v>
      </x:c>
      <x:c r="G540" s="20" t="str">
        <x:v>ยังไม่พบเอกสารรับรองและวันหมดอายุ</x:v>
      </x:c>
      <x:c r="H54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40" s="20" t="str">
        <x:v>80 ม2 ถ.เพชรเกษม ตำบล กุยบุรี อำเภอกุยบุรี ประจวบคีรีขันธ์ 77150</x:v>
      </x:c>
      <x:c r="J540" s="21" t="str">
        <x:v>0924959798</x:v>
      </x:c>
      <x:c r="K540" s="51" t="str">
        <x:v>https://makanhalalguide.com/shop/detail/5386</x:v>
      </x:c>
      <x:c r="L540" s="51" t="str">
        <x:v>https://th.trip.com/hotels/kui-buri-hotel-detail-81263545/rista-house-resort/</x:v>
      </x:c>
      <x:c r="M540" s="20" t="str">
        <x:v>ผลค้นหาชื่อสัมพันธ์จากแหล่งเพิ่มเติม ต้องยืนยันสาขาและข้อมูลปัจจุบัน</x:v>
      </x:c>
      <x:c r="N540" s="28" t="n">
        <x:v>46315</x:v>
      </x:c>
      <x:c r="O540" s="57" t="str">
        <x:v>ยังไม่ตรวจ</x:v>
      </x:c>
      <x:c r="P540" s="57" t="str">
        <x:v>ยังไม่ติดต่อ</x:v>
      </x:c>
      <x:c r="Q540" s="20" t="str">
        <x:v>TMF-183</x:v>
      </x:c>
      <x:c r="R540" s="20" t="str">
        <x:v>Rista House &amp; Resort</x:v>
      </x:c>
      <x:c r="S540" s="20" t="str"/>
      <x:c r="T540" s="20" t="str">
        <x:v>https://makanhalalguide.com/shop/detail/5386</x:v>
      </x:c>
      <x:c r="U540" s="20" t="str"/>
      <x:c r="V540" s="20" t="str"/>
      <x:c r="W540" s="20" t="str"/>
      <x:c r="X540" s="20" t="str"/>
      <x:c r="Y540" s="20" t="str">
        <x:v>https://www.google.com/maps/search/?api=1&amp;query=Rista%20House%20%26%20Resort%20%E0%B8%9B%E0%B8%A3%E0%B8%B0%E0%B8%88%E0%B8%A7%E0%B8%9A%E0%B8%84%E0%B8%B5%E0%B8%A3%E0%B8%B5%E0%B8%82%E0%B8%B1%E0%B8%99%E0%B8%98%E0%B9%8C</x:v>
      </x:c>
      <x:c r="Z540" s="56" t="n">
        <x:v>12.049928</x:v>
      </x:c>
      <x:c r="AA540" s="56" t="n">
        <x:v>99.850963</x:v>
      </x:c>
      <x:c r="AB540" s="57" t="str"/>
      <x:c r="AC540" s="20" t="str">
        <x:v>https://makanhalalguide.com/shop/detail/5386</x:v>
      </x:c>
    </x:row>
    <x:row r="541" ht="88" customHeight="1">
      <x:c r="A541" s="54" t="n">
        <x:v>533</x:v>
      </x:c>
      <x:c r="B541" s="20" t="str">
        <x:v>ฟาร์ติมะห์คาเฟ่&amp;เนื้อ</x:v>
      </x:c>
      <x:c r="C541" s="20" t="str">
        <x:v>ประจวบคีรีขันธ์</x:v>
      </x:c>
      <x:c r="D541" s="20" t="str">
        <x:v>คาเฟ่และร้านของหวาน</x:v>
      </x:c>
      <x:c r="E541" s="20" t="str">
        <x:v>มีรายชื่อใน Makan Halal Guide; ช่องห้องละหมาดไม่ได้ทำเครื่องหมายว่ามี</x:v>
      </x:c>
      <x:c r="F541" s="20" t="str">
        <x:v>แหล่งเดิมไม่ระบุว่ามี</x:v>
      </x:c>
      <x:c r="G541" s="20" t="str">
        <x:v>ยังไม่พบเอกสารรับรองและวันหมดอายุ</x:v>
      </x:c>
      <x:c r="H541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541" s="20" t="str">
        <x:v>ตำบล พงศ์ประศาสน์ อำเภอบางสะพาน ประจวบคีรีขันธ์ 77140</x:v>
      </x:c>
      <x:c r="J541" s="21" t="str">
        <x:v>0816297462</x:v>
      </x:c>
      <x:c r="K541" s="51" t="str">
        <x:v>https://makanhalalguide.com/shop/detail/5778</x:v>
      </x:c>
      <x:c r="L541" s="51" t="str">
        <x:v>https://www.wongnai.com/reviews/1be4dd1d145747958b42f928b2f1b675</x:v>
      </x:c>
      <x:c r="M541" s="20" t="str">
        <x:v>ผลค้นหาชื่อสัมพันธ์จากแหล่งเพิ่มเติม ต้องยืนยันสาขาและข้อมูลปัจจุบัน</x:v>
      </x:c>
      <x:c r="N541" s="28" t="n">
        <x:v>46315</x:v>
      </x:c>
      <x:c r="O541" s="57" t="str">
        <x:v>ยังไม่ตรวจ</x:v>
      </x:c>
      <x:c r="P541" s="57" t="str">
        <x:v>ยังไม่ติดต่อ</x:v>
      </x:c>
      <x:c r="Q541" s="20" t="str">
        <x:v>TMF-559</x:v>
      </x:c>
      <x:c r="R541" s="20" t="str"/>
      <x:c r="S541" s="20" t="str"/>
      <x:c r="T541" s="20" t="str">
        <x:v>https://makanhalalguide.com/shop/detail/5778</x:v>
      </x:c>
      <x:c r="U541" s="20" t="str"/>
      <x:c r="V541" s="20" t="str"/>
      <x:c r="W541" s="20" t="str"/>
      <x:c r="X541" s="20" t="str"/>
      <x:c r="Y541" s="20" t="str">
        <x:v>https://www.google.com/maps/search/?api=1&amp;query=%E0%B8%9F%E0%B8%B2%E0%B8%A3%E0%B9%8C%E0%B8%95%E0%B8%B4%E0%B8%A1%E0%B8%B0%E0%B8%AB%E0%B9%8C%E0%B8%84%E0%B8%B2%E0%B9%80%E0%B8%9F%E0%B9%88%26%E0%B9%80%E0%B8%99%E0%B8%B7%E0%B9%89%E0%B8%AD%20%E0%B8%9B%E0%B8%A3%E0%B8%B0%E0%B8%88%E0%B8%A7%E0%B8%9A%E0%B8%84%E0%B8%B5%E0%B8%A3%E0%B8%B5%E0%B8%82%E0%B8%B1%E0%B8%99%E0%B8%98%E0%B9%8C</x:v>
      </x:c>
      <x:c r="Z541" s="56" t="n">
        <x:v>11.148587</x:v>
      </x:c>
      <x:c r="AA541" s="56" t="n">
        <x:v>99.489828</x:v>
      </x:c>
      <x:c r="AB541" s="57" t="str"/>
      <x:c r="AC541" s="20" t="str">
        <x:v>https://makanhalalguide.com/shop/detail/5778</x:v>
      </x:c>
    </x:row>
    <x:row r="542" ht="88" customHeight="1">
      <x:c r="A542" s="54" t="n">
        <x:v>534</x:v>
      </x:c>
      <x:c r="B542" s="20" t="str">
        <x:v>Chiva-Som Hua Hin</x:v>
      </x:c>
      <x:c r="C542" s="20" t="str">
        <x:v>ประจวบคีรีขันธ์</x:v>
      </x:c>
      <x:c r="D542" s="20" t="str">
        <x:v>เวลเนส</x:v>
      </x:c>
      <x:c r="E542" s="20" t="str">
        <x:v>พบข้อมูลชื่อตรงจาก CHIVA-SOM HUA HIN Official: Instagram, Facebook | Linktree; เป็นหลักฐานตัวตน/ประเภท ยังไม่ยืนยันบริการมุสลิมครบเกณฑ์</x:v>
      </x:c>
      <x:c r="F542" s="20" t="str">
        <x:v>ไม่ทราบ</x:v>
      </x:c>
      <x:c r="G542" s="20" t="str">
        <x:v>ยังไม่ยืนยันใบรับรองและวันหมดอายุ</x:v>
      </x:c>
      <x:c r="H542" s="20" t="str">
        <x:v>ตรวจการเปิด ตัวตนสาขา ช่องทางติดต่อ และเงื่อนไขบังคับตามประเภท</x:v>
      </x:c>
      <x:c r="I542" s="20" t="str">
        <x:v>ยังไม่ยืนยันที่อยู่ละเอียด ดูลิงก์แหล่งข้อมูลและ Google Maps</x:v>
      </x:c>
      <x:c r="J542" s="21" t="str">
        <x:v>ยังไม่พบหรือยังไม่ยืนยัน</x:v>
      </x:c>
      <x:c r="K542" s="51" t="str">
        <x:v>https://linktr.ee/chivasomhuahin</x:v>
      </x:c>
      <x:c r="L542" s="51" t="str">
        <x:v>https://www.chivasom.com/th/chiva-som-hua-hin/</x:v>
      </x:c>
      <x:c r="M542" s="20" t="str">
        <x:v>พบแหล่งต่างเว็บไซต์ Hua Hin Resort | Thailand Wellness Retreat - Chiva-Som</x:v>
      </x:c>
      <x:c r="N542" s="28" t="n">
        <x:v>46316</x:v>
      </x:c>
      <x:c r="O542" s="57" t="str">
        <x:v>ยังไม่ตรวจ</x:v>
      </x:c>
      <x:c r="P542" s="57" t="str">
        <x:v>ยังไม่ติดต่อ</x:v>
      </x:c>
      <x:c r="Q542" s="20" t="str">
        <x:v>R26-297</x:v>
      </x:c>
      <x:c r="R542" s="20" t="str">
        <x:v>Chiva-Som Hua Hin</x:v>
      </x:c>
      <x:c r="S542" s="20" t="str">
        <x:v>reservations@chivasom.com</x:v>
      </x:c>
      <x:c r="T542" s="20" t="str">
        <x:v>https://linktr.ee/chivasomhuahin</x:v>
      </x:c>
      <x:c r="U542" s="20" t="str">
        <x:v>https://www.facebook.com/chivasomhuahin</x:v>
      </x:c>
      <x:c r="V542" s="20" t="str">
        <x:v>https://instagram.com/chivasomhuahin</x:v>
      </x:c>
      <x:c r="W542" s="20" t="str">
        <x:v>https://page.line.me/218ikoko</x:v>
      </x:c>
      <x:c r="X542" s="20" t="str"/>
      <x:c r="Y542" s="20" t="str">
        <x:v>https://www.google.com/maps/search/?api=1&amp;query=Chiva-Som%20Hua%20Hin%20%E0%B8%9B%E0%B8%A3%E0%B8%B0%E0%B8%88%E0%B8%A7%E0%B8%9A%E0%B8%84%E0%B8%B5%E0%B8%A3%E0%B8%B5%E0%B8%82%E0%B8%B1%E0%B8%99%E0%B8%98%E0%B9%8C</x:v>
      </x:c>
      <x:c r="Z542" s="56" t="n">
        <x:v>12.5569</x:v>
      </x:c>
      <x:c r="AA542" s="56" t="n">
        <x:v>99.9524</x:v>
      </x:c>
      <x:c r="AB542" s="57" t="str"/>
      <x:c r="AC542" s="20" t="str">
        <x:v>https://www.chivasom.com/th/chiva-som-hua-hin/</x:v>
      </x:c>
    </x:row>
    <x:row r="543" ht="88" customHeight="1">
      <x:c r="A543" s="54" t="n">
        <x:v>535</x:v>
      </x:c>
      <x:c r="B543" s="20" t="str">
        <x:v>Let's Relax Spa Hua Hin Market Village</x:v>
      </x:c>
      <x:c r="C543" s="20" t="str">
        <x:v>ประจวบคีรีขันธ์</x:v>
      </x:c>
      <x:c r="D543" s="20" t="str">
        <x:v>เวลเนส</x:v>
      </x:c>
      <x:c r="E543" s="20" t="str">
        <x:v>พบข้อมูลชื่อตรงจาก Let's Relax Spa Hua Hin Market Village | Let's Relax Spa; เป็นหลักฐานตัวตน/ประเภท ยังไม่ยืนยันบริการมุสลิมครบเกณฑ์</x:v>
      </x:c>
      <x:c r="F543" s="20" t="str">
        <x:v>ไม่ทราบ</x:v>
      </x:c>
      <x:c r="G543" s="20" t="str">
        <x:v>ยังไม่ยืนยันใบรับรองและวันหมดอายุ</x:v>
      </x:c>
      <x:c r="H543" s="20" t="str">
        <x:v>ตรวจการเปิด ตัวตนสาขา ช่องทางติดต่อ และเงื่อนไขบังคับตามประเภท</x:v>
      </x:c>
      <x:c r="I543" s="20" t="str">
        <x:v>ยังไม่ยืนยันที่อยู่ละเอียด ดูลิงก์แหล่งข้อมูลและ Google Maps</x:v>
      </x:c>
      <x:c r="J543" s="21" t="str">
        <x:v>+66 9 5364 8279 / +66 3252 6364</x:v>
      </x:c>
      <x:c r="K543" s="51" t="str">
        <x:v>https://letsrelaxspa.com/branches/hua-hin-market-village/</x:v>
      </x:c>
      <x:c r="L543" s="51" t="str">
        <x:v>https://en.wikipedia.org/wiki/Hua_Hin_Market_Village</x:v>
      </x:c>
      <x:c r="M543" s="20" t="str">
        <x:v>พบแหล่งต่างเว็บไซต์ Hua Hin Market Village</x:v>
      </x:c>
      <x:c r="N543" s="28" t="n">
        <x:v>46316</x:v>
      </x:c>
      <x:c r="O543" s="57" t="str">
        <x:v>ยังไม่ตรวจ</x:v>
      </x:c>
      <x:c r="P543" s="57" t="str">
        <x:v>ยังไม่ติดต่อ</x:v>
      </x:c>
      <x:c r="Q543" s="20" t="str">
        <x:v>R26-296</x:v>
      </x:c>
      <x:c r="R543" s="20" t="str">
        <x:v>Let's Relax Spa Hua Hin Market Village</x:v>
      </x:c>
      <x:c r="S543" s="20" t="str"/>
      <x:c r="T543" s="20" t="str">
        <x:v>https://letsrelaxspa.com/branches/hua-hin-market-village/</x:v>
      </x:c>
      <x:c r="U543" s="20" t="str">
        <x:v>https://www.facebook.com/letsrelaxspa.official/</x:v>
      </x:c>
      <x:c r="V543" s="20" t="str">
        <x:v>https://www.instagram.com/letsrelaxspa.official/?hl=en</x:v>
      </x:c>
      <x:c r="W543" s="20" t="str"/>
      <x:c r="X543" s="20" t="str"/>
      <x:c r="Y543" s="20" t="str">
        <x:v>https://www.google.com/maps/search/?api=1&amp;query=Let%27s%20Relax%20Spa%20Hua%20Hin%20Market%20Village%20%E0%B8%9B%E0%B8%A3%E0%B8%B0%E0%B8%88%E0%B8%A7%E0%B8%9A%E0%B8%84%E0%B8%B5%E0%B8%A3%E0%B8%B5%E0%B8%82%E0%B8%B1%E0%B8%99%E0%B8%98%E0%B9%8C</x:v>
      </x:c>
      <x:c r="Z543" s="56" t="n">
        <x:v>12.557788</x:v>
      </x:c>
      <x:c r="AA543" s="56" t="n">
        <x:v>99.960394</x:v>
      </x:c>
      <x:c r="AB543" s="57" t="str"/>
      <x:c r="AC543" s="20" t="str">
        <x:v>https://letsrelaxspa.com/branches/hua-hin-market-village/</x:v>
      </x:c>
    </x:row>
    <x:row r="544" ht="88" customHeight="1">
      <x:c r="A544" s="54" t="n">
        <x:v>536</x:v>
      </x:c>
      <x:c r="B544" s="20" t="str">
        <x:v>หาดหัวหิน</x:v>
      </x:c>
      <x:c r="C544" s="20" t="str">
        <x:v>ประจวบคีรีขันธ์</x:v>
      </x:c>
      <x:c r="D544" s="20" t="str">
        <x:v>ธรรมชาติ</x:v>
      </x:c>
      <x:c r="E544" s="20" t="str">
        <x:v>พบข้อมูลชื่อตรงจาก หาดหัวหิน; เป็นหลักฐานตัวตน/ประเภท ยังไม่ยืนยันบริการมุสลิมครบเกณฑ์</x:v>
      </x:c>
      <x:c r="F544" s="20" t="str">
        <x:v>ไม่ทราบ</x:v>
      </x:c>
      <x:c r="G544" s="20" t="str">
        <x:v>ยังไม่ยืนยันใบรับรองและวันหมดอายุ</x:v>
      </x:c>
      <x:c r="H544" s="20" t="str">
        <x:v>ตรวจการเปิด ตัวตนสาขา ช่องทางติดต่อ และเงื่อนไขบังคับตามประเภท</x:v>
      </x:c>
      <x:c r="I544" s="20" t="str">
        <x:v>ยังไม่ยืนยันที่อยู่ละเอียด ดูลิงก์แหล่งข้อมูลและ Google Maps</x:v>
      </x:c>
      <x:c r="J544" s="21" t="str">
        <x:v>ยังไม่พบหรือยังไม่ยืนยัน</x:v>
      </x:c>
      <x:c r="K544" s="51" t="str">
        <x:v>https://www.thailandtourismdirectory.go.th/attraction/1439</x:v>
      </x:c>
      <x:c r="L544" s="51" t="str">
        <x:v>https://cbtthailand.dasta.or.th/webapp/relattraction/content/1137/</x:v>
      </x:c>
      <x:c r="M544" s="20" t="str">
        <x:v>พบแหล่งต่างเว็บไซต์ ชายหาดหัวหิน | CBT Thailand</x:v>
      </x:c>
      <x:c r="N544" s="28" t="n">
        <x:v>46316</x:v>
      </x:c>
      <x:c r="O544" s="57" t="str">
        <x:v>ยังไม่ตรวจ</x:v>
      </x:c>
      <x:c r="P544" s="57" t="str">
        <x:v>ยังไม่ติดต่อ</x:v>
      </x:c>
      <x:c r="Q544" s="20" t="str">
        <x:v>R26-247</x:v>
      </x:c>
      <x:c r="R544" s="20" t="str"/>
      <x:c r="S544" s="20" t="str"/>
      <x:c r="T544" s="20" t="str">
        <x:v>https://www.thailandtourismdirectory.go.th/attraction/1439</x:v>
      </x:c>
      <x:c r="U544" s="20" t="str"/>
      <x:c r="V544" s="20" t="str"/>
      <x:c r="W544" s="20" t="str"/>
      <x:c r="X544" s="20" t="str"/>
      <x:c r="Y544" s="20" t="str">
        <x:v>https://www.google.com/maps/search/?api=1&amp;query=%E0%B8%AB%E0%B8%B2%E0%B8%94%E0%B8%AB%E0%B8%B1%E0%B8%A7%E0%B8%AB%E0%B8%B4%E0%B8%99%20%E0%B8%9B%E0%B8%A3%E0%B8%B0%E0%B8%88%E0%B8%A7%E0%B8%9A%E0%B8%84%E0%B8%B5%E0%B8%A3%E0%B8%B5%E0%B8%82%E0%B8%B1%E0%B8%99%E0%B8%98%E0%B9%8C</x:v>
      </x:c>
      <x:c r="Z544" s="56" t="n">
        <x:v>12.575277</x:v>
      </x:c>
      <x:c r="AA544" s="56" t="n">
        <x:v>99.958409</x:v>
      </x:c>
      <x:c r="AB544" s="57" t="str"/>
      <x:c r="AC544" s="20" t="str">
        <x:v>https://www.thailandtourismdirectory.go.th/attraction/1439</x:v>
      </x:c>
    </x:row>
    <x:row r="545" ht="88" customHeight="1">
      <x:c r="A545" s="54" t="n">
        <x:v>537</x:v>
      </x:c>
      <x:c r="B545" s="20" t="str">
        <x:v>อุทยานแห่งชาติสามร้อยยอด</x:v>
      </x:c>
      <x:c r="C545" s="20" t="str">
        <x:v>ประจวบคีรีขันธ์</x:v>
      </x:c>
      <x:c r="D545" s="20" t="str">
        <x:v>ธรรมชาติ</x:v>
      </x:c>
      <x:c r="E545" s="20" t="str">
        <x:v>พบข้อมูลชื่อตรงจาก อุทยานแห่งชาติเขาสามร้อยยอดได้รับประกาศเป็นอุทยานแห่งชาติทางทะเล แห่งแรก (ปี พ.ศ.2509) - สำนักงานสิ่งแวดล้อมและควบคุมมลพิษที่ 13 (ชลบุรี); เป็นหลักฐานตัวตน/ประเภท ยังไม่ยืนยันบริการมุสลิมครบเกณฑ์</x:v>
      </x:c>
      <x:c r="F545" s="20" t="str">
        <x:v>ไม่ทราบ</x:v>
      </x:c>
      <x:c r="G545" s="20" t="str">
        <x:v>ยังไม่ยืนยันใบรับรองและวันหมดอายุ</x:v>
      </x:c>
      <x:c r="H545" s="20" t="str">
        <x:v>ตรวจการเปิด ตัวตนสาขา ช่องทางติดต่อ และเงื่อนไขบังคับตามประเภท</x:v>
      </x:c>
      <x:c r="I545" s="20" t="str">
        <x:v>ยังไม่ยืนยันที่อยู่ละเอียด ดูลิงก์แหล่งข้อมูลและ Google Maps</x:v>
      </x:c>
      <x:c r="J545" s="21" t="str">
        <x:v>ยังไม่พบหรือยังไม่ยืนยัน</x:v>
      </x:c>
      <x:c r="K545" s="51" t="str">
        <x:v>https://epo13.pcd.go.th/th/calendar/detail/572</x:v>
      </x:c>
      <x:c r="L545" s="51" t="str">
        <x:v>https://www.thailandtourismdirectory.go.th/attraction/1427</x:v>
      </x:c>
      <x:c r="M545" s="20" t="str">
        <x:v>พบแหล่งต่างเว็บไซต์ ทุ่งสามร้อยยอด (อุทยานแห่งชาติเขาสามร้อยยอด)</x:v>
      </x:c>
      <x:c r="N545" s="28" t="n">
        <x:v>46316</x:v>
      </x:c>
      <x:c r="O545" s="57" t="str">
        <x:v>ยังไม่ตรวจ</x:v>
      </x:c>
      <x:c r="P545" s="57" t="str">
        <x:v>ยังไม่ติดต่อ</x:v>
      </x:c>
      <x:c r="Q545" s="20" t="str">
        <x:v>R26-246</x:v>
      </x:c>
      <x:c r="R545" s="20" t="str"/>
      <x:c r="S545" s="20" t="str"/>
      <x:c r="T545" s="20" t="str">
        <x:v>https://epo13.pcd.go.th/th/calendar/detail/572</x:v>
      </x:c>
      <x:c r="U545" s="20" t="str"/>
      <x:c r="V545" s="20" t="str"/>
      <x:c r="W545" s="20" t="str"/>
      <x:c r="X545" s="20" t="str"/>
      <x:c r="Y545" s="20" t="str">
        <x:v>https://www.google.com/maps/search/?api=1&amp;query=%E0%B8%AD%E0%B8%B8%E0%B8%97%E0%B8%A2%E0%B8%B2%E0%B8%99%E0%B9%81%E0%B8%AB%E0%B9%88%E0%B8%87%E0%B8%8A%E0%B8%B2%E0%B8%95%E0%B8%B4%E0%B8%AA%E0%B8%B2%E0%B8%A1%E0%B8%A3%E0%B9%89%E0%B8%AD%E0%B8%A2%E0%B8%A2%E0%B8%AD%E0%B8%94%20%E0%B8%9B%E0%B8%A3%E0%B8%B0%E0%B8%88%E0%B8%A7%E0%B8%9A%E0%B8%84%E0%B8%B5%E0%B8%A3%E0%B8%B5%E0%B8%82%E0%B8%B1%E0%B8%99%E0%B8%98%E0%B9%8C</x:v>
      </x:c>
      <x:c r="Z545" s="56" t="n">
        <x:v>12.249515</x:v>
      </x:c>
      <x:c r="AA545" s="56" t="n">
        <x:v>99.523416</x:v>
      </x:c>
      <x:c r="AB545" s="57" t="str"/>
      <x:c r="AC545" s="20" t="str">
        <x:v>https://epo13.pcd.go.th/th/calendar/detail/572</x:v>
      </x:c>
    </x:row>
    <x:row r="546" ht="88" customHeight="1">
      <x:c r="A546" s="54" t="n">
        <x:v>538</x:v>
      </x:c>
      <x:c r="B546" s="20" t="str">
        <x:v>ชุมชนบ้านเขาเต่า</x:v>
      </x:c>
      <x:c r="C546" s="20" t="str">
        <x:v>ประจวบคีรีขันธ์</x:v>
      </x:c>
      <x:c r="D546" s="20" t="str">
        <x:v>ชุมชน</x:v>
      </x:c>
      <x:c r="E546" s="20" t="str">
        <x:v>พบข้อมูลชื่อตรงจาก ศูนย์หัตถกรรมบ้านเขาเต่า; เป็นหลักฐานตัวตน/ประเภท ยังไม่ยืนยันบริการมุสลิมครบเกณฑ์</x:v>
      </x:c>
      <x:c r="F546" s="20" t="str">
        <x:v>ไม่ทราบ</x:v>
      </x:c>
      <x:c r="G546" s="20" t="str">
        <x:v>ยังไม่ยืนยันใบรับรองและวันหมดอายุ</x:v>
      </x:c>
      <x:c r="H546" s="20" t="str">
        <x:v>ตรวจการเปิด ตัวตนสาขา ช่องทางติดต่อ และเงื่อนไขบังคับตามประเภท</x:v>
      </x:c>
      <x:c r="I546" s="20" t="str">
        <x:v>ยังไม่ยืนยันที่อยู่ละเอียด ดูลิงก์แหล่งข้อมูลและ Google Maps</x:v>
      </x:c>
      <x:c r="J546" s="21" t="str">
        <x:v>ยังไม่พบหรือยังไม่ยืนยัน</x:v>
      </x:c>
      <x:c r="K546" s="51" t="str">
        <x:v>https://files.huahin.go.th/com_ebook/2025-04_ab063cf2f4f000e.pdf</x:v>
      </x:c>
      <x:c r="L546" s="51" t="str">
        <x:v>https://www.thaipost.net/main/detail/74843</x:v>
      </x:c>
      <x:c r="M546" s="20" t="str">
        <x:v>พบแหล่งต่างเว็บไซต์ 'มูลนิธิชัยพัฒนา' เล่าเรื่องหมู่บ้านเขาเต่า กลายเป็นห้องเรียนธรรมชาติสำหรับนักเรียนผู้โชคดี</x:v>
      </x:c>
      <x:c r="N546" s="28" t="n">
        <x:v>46316</x:v>
      </x:c>
      <x:c r="O546" s="57" t="str">
        <x:v>ยังไม่ตรวจ</x:v>
      </x:c>
      <x:c r="P546" s="57" t="str">
        <x:v>ยังไม่ติดต่อ</x:v>
      </x:c>
      <x:c r="Q546" s="20" t="str">
        <x:v>R26-248</x:v>
      </x:c>
      <x:c r="R546" s="20" t="str"/>
      <x:c r="S546" s="20" t="str"/>
      <x:c r="T546" s="20" t="str">
        <x:v>https://files.huahin.go.th/com_ebook/2025-04_ab063cf2f4f000e.pdf</x:v>
      </x:c>
      <x:c r="U546" s="20" t="str"/>
      <x:c r="V546" s="20" t="str"/>
      <x:c r="W546" s="20" t="str"/>
      <x:c r="X546" s="20" t="str"/>
      <x:c r="Y546" s="20" t="str">
        <x:v>https://www.google.com/maps/search/?api=1&amp;query=%E0%B8%8A%E0%B8%B8%E0%B8%A1%E0%B8%8A%E0%B8%99%E0%B8%9A%E0%B9%89%E0%B8%B2%E0%B8%99%E0%B9%80%E0%B8%82%E0%B8%B2%E0%B9%80%E0%B8%95%E0%B9%88%E0%B8%B2%20%E0%B8%9B%E0%B8%A3%E0%B8%B0%E0%B8%88%E0%B8%A7%E0%B8%9A%E0%B8%84%E0%B8%B5%E0%B8%A3%E0%B8%B5%E0%B8%82%E0%B8%B1%E0%B8%99%E0%B8%98%E0%B9%8C</x:v>
      </x:c>
      <x:c r="Z546" s="56" t="str"/>
      <x:c r="AA546" s="56" t="str"/>
      <x:c r="AB546" s="57" t="str"/>
      <x:c r="AC546" s="20" t="str">
        <x:v>https://files.huahin.go.th/com_ebook/2025-04_ab063cf2f4f000e.pdf</x:v>
      </x:c>
    </x:row>
    <x:row r="547" ht="88" customHeight="1">
      <x:c r="A547" s="54" t="n">
        <x:v>539</x:v>
      </x:c>
      <x:c r="B547" s="20" t="str">
        <x:v>ณ ณิชา รีสอร์ท</x:v>
      </x:c>
      <x:c r="C547" s="20" t="str">
        <x:v>พังงา</x:v>
      </x:c>
      <x:c r="D547" s="20" t="str">
        <x:v>โรงแรมหรือรีสอร์ท</x:v>
      </x:c>
      <x:c r="E547" s="20" t="str">
        <x:v>Makan Verify; ระบุมีห้องละหมาด</x:v>
      </x:c>
      <x:c r="F547" s="20" t="str">
        <x:v>มีข้อมูลระบุ แต่รอยืนยัน</x:v>
      </x:c>
      <x:c r="G547" s="20" t="str">
        <x:v>ยังไม่พบเอกสารรับรองและวันหมดอายุ</x:v>
      </x:c>
      <x:c r="H547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47" s="20" t="str">
        <x:v>3 6 ตำบล บ่อแสน อำเภอ ทับปุด พังงา 82180</x:v>
      </x:c>
      <x:c r="J547" s="21" t="str">
        <x:v>0988362546</x:v>
      </x:c>
      <x:c r="K547" s="51" t="str">
        <x:v>https://makanhalalguide.com/shop/detail/5403</x:v>
      </x:c>
      <x:c r="L547" s="51" t="str">
        <x:v>https://www.google.com.sa/travel/hotels/entity/CgoIiuXa2u6Ij8xAEAE?ap=MAA&amp;gl=th&amp;gsas=1&amp;hl=th&amp;rp=OAFIAsICHCIaDQDAA0QSEwig6qGhrteOAxV1qqsHHRxUEJk&amp;ts=CAEaBAoCGgAqBAoAGgA&amp;un=1</x:v>
      </x:c>
      <x:c r="M547" s="20" t="str">
        <x:v>ผลค้นหาชื่อสัมพันธ์จากแหล่งเพิ่มเติม ต้องยืนยันสาขาและข้อมูลปัจจุบัน</x:v>
      </x:c>
      <x:c r="N547" s="28" t="n">
        <x:v>46315</x:v>
      </x:c>
      <x:c r="O547" s="57" t="str">
        <x:v>ยังไม่ตรวจ</x:v>
      </x:c>
      <x:c r="P547" s="57" t="str">
        <x:v>ยังไม่ติดต่อ</x:v>
      </x:c>
      <x:c r="Q547" s="20" t="str">
        <x:v>TMF-186</x:v>
      </x:c>
      <x:c r="R547" s="20" t="str"/>
      <x:c r="S547" s="20" t="str"/>
      <x:c r="T547" s="20" t="str">
        <x:v>https://makanhalalguide.com/shop/detail/5403</x:v>
      </x:c>
      <x:c r="U547" s="20" t="str"/>
      <x:c r="V547" s="20" t="str"/>
      <x:c r="W547" s="20" t="str"/>
      <x:c r="X547" s="20" t="str"/>
      <x:c r="Y547" s="20" t="str">
        <x:v>https://www.google.com/maps/search/?api=1&amp;query=%E0%B8%93%20%E0%B8%93%E0%B8%B4%E0%B8%8A%E0%B8%B2%20%E0%B8%A3%E0%B8%B5%E0%B8%AA%E0%B8%AD%E0%B8%A3%E0%B9%8C%E0%B8%97%20%E0%B8%9E%E0%B8%B1%E0%B8%87%E0%B8%87%E0%B8%B2</x:v>
      </x:c>
      <x:c r="Z547" s="56" t="n">
        <x:v>8.463523</x:v>
      </x:c>
      <x:c r="AA547" s="56" t="n">
        <x:v>98.589905</x:v>
      </x:c>
      <x:c r="AB547" s="57" t="str"/>
      <x:c r="AC547" s="20" t="str">
        <x:v>https://makanhalalguide.com/shop/detail/5403</x:v>
      </x:c>
    </x:row>
    <x:row r="548" ht="88" customHeight="1">
      <x:c r="A548" s="54" t="n">
        <x:v>540</x:v>
      </x:c>
      <x:c r="B548" s="20" t="str">
        <x:v>โรงแรม เลอ เอราวัณ พังงา</x:v>
      </x:c>
      <x:c r="C548" s="20" t="str">
        <x:v>พังงา</x:v>
      </x:c>
      <x:c r="D548" s="20" t="str">
        <x:v>โรงแรมหรือรีสอร์ท</x:v>
      </x:c>
      <x:c r="E548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548" s="20" t="str">
        <x:v>ไม่ทราบ</x:v>
      </x:c>
      <x:c r="G548" s="20" t="str">
        <x:v>ยังไม่พบเอกสารรับรองและวันหมดอายุ</x:v>
      </x:c>
      <x:c r="H548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548" s="20" t="str">
        <x:v>4/111 หมู่ 1 ตำบลโคกกลอย อำเภอตะกั่วทุ่ง จังหวัดพังงา 82140 ตำบลโคกกลอย อำเภอตะกั่วทุ่ง จังหวัดพังงา 82140</x:v>
      </x:c>
      <x:c r="J548" s="21" t="str">
        <x:v>094-5966256</x:v>
      </x:c>
      <x:c r="K548" s="51" t="str">
        <x:v>https://www.thic.or.th/th/tourist/detail/accommodation/212</x:v>
      </x:c>
      <x:c r="L548" s="51" t="str">
        <x:v>https://th.trip.com/hotels/v2/phang-nga-hotel-detail-81263191/le-erawan-phang-nga-hotel</x:v>
      </x:c>
      <x:c r="M548" s="20" t="str">
        <x:v>ผลค้นหาชื่อสัมพันธ์จากแหล่งเพิ่มเติม ต้องยืนยันสาขาและข้อมูลปัจจุบัน</x:v>
      </x:c>
      <x:c r="N548" s="28" t="n">
        <x:v>46315</x:v>
      </x:c>
      <x:c r="O548" s="57" t="str">
        <x:v>ยังไม่ตรวจ</x:v>
      </x:c>
      <x:c r="P548" s="57" t="str">
        <x:v>ยังไม่ติดต่อ</x:v>
      </x:c>
      <x:c r="Q548" s="20" t="str">
        <x:v>TMF-376</x:v>
      </x:c>
      <x:c r="R548" s="20" t="str"/>
      <x:c r="S548" s="20" t="str"/>
      <x:c r="T548" s="20" t="str">
        <x:v>https://www.thic.or.th/th/tourist/detail/accommodation/212</x:v>
      </x:c>
      <x:c r="U548" s="20" t="str"/>
      <x:c r="V548" s="20" t="str"/>
      <x:c r="W548" s="20" t="str"/>
      <x:c r="X548" s="20" t="str"/>
      <x:c r="Y548" s="20" t="str">
        <x:v>https://www.google.com/maps/search/?api=1&amp;query=%E0%B9%82%E0%B8%A3%E0%B8%87%E0%B9%81%E0%B8%A3%E0%B8%A1%20%E0%B9%80%E0%B8%A5%E0%B8%AD%20%E0%B9%80%E0%B8%AD%E0%B8%A3%E0%B8%B2%E0%B8%A7%E0%B8%B1%E0%B8%93%20%E0%B8%9E%E0%B8%B1%E0%B8%87%E0%B8%87%E0%B8%B2%20%E0%B8%9E%E0%B8%B1%E0%B8%87%E0%B8%87%E0%B8%B2</x:v>
      </x:c>
      <x:c r="Z548" s="56" t="n">
        <x:v>8.431713</x:v>
      </x:c>
      <x:c r="AA548" s="56" t="n">
        <x:v>98.518267</x:v>
      </x:c>
      <x:c r="AB548" s="57" t="str"/>
      <x:c r="AC548" s="20" t="str">
        <x:v>https://www.thic.or.th/th/tourist/detail/accommodation/212</x:v>
      </x:c>
    </x:row>
    <x:row r="549" ht="88" customHeight="1">
      <x:c r="A549" s="54" t="n">
        <x:v>541</x:v>
      </x:c>
      <x:c r="B549" s="20" t="str">
        <x:v>โรงแรมภูงา</x:v>
      </x:c>
      <x:c r="C549" s="20" t="str">
        <x:v>พังงา</x:v>
      </x:c>
      <x:c r="D549" s="20" t="str">
        <x:v>โรงแรมหรือรีสอร์ท</x:v>
      </x:c>
      <x:c r="E549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549" s="20" t="str">
        <x:v>ไม่ทราบ</x:v>
      </x:c>
      <x:c r="G549" s="20" t="str">
        <x:v>ยังไม่พบเอกสารรับรองและวันหมดอายุ</x:v>
      </x:c>
      <x:c r="H549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549" s="20" t="str">
        <x:v>45/65 หมู่ 3 ตำบลตากแดด อำเภอเมืองพังงา จังหวัดพังงา 82000 ตำบลตากแดด อำเภอเมืองพังงา จังหวัดพังงา 82000</x:v>
      </x:c>
      <x:c r="J549" s="21" t="str">
        <x:v>0869422415</x:v>
      </x:c>
      <x:c r="K549" s="51" t="str">
        <x:v>https://www.thic.or.th/th/tourist/detail/accommodation/209</x:v>
      </x:c>
      <x:c r="L549" s="51" t="str">
        <x:v>https://www.agoda.com/th-th/phu-nga/hotel/phang-nga-th.html</x:v>
      </x:c>
      <x:c r="M549" s="20" t="str">
        <x:v>ผลค้นหาชื่อสัมพันธ์จากแหล่งเพิ่มเติม ต้องยืนยันสาขาและข้อมูลปัจจุบัน</x:v>
      </x:c>
      <x:c r="N549" s="28" t="n">
        <x:v>46315</x:v>
      </x:c>
      <x:c r="O549" s="57" t="str">
        <x:v>ยังไม่ตรวจ</x:v>
      </x:c>
      <x:c r="P549" s="57" t="str">
        <x:v>ยังไม่ติดต่อ</x:v>
      </x:c>
      <x:c r="Q549" s="20" t="str">
        <x:v>TMF-377</x:v>
      </x:c>
      <x:c r="R549" s="20" t="str"/>
      <x:c r="S549" s="20" t="str"/>
      <x:c r="T549" s="20" t="str">
        <x:v>https://www.thic.or.th/th/tourist/detail/accommodation/209</x:v>
      </x:c>
      <x:c r="U549" s="20" t="str"/>
      <x:c r="V549" s="20" t="str"/>
      <x:c r="W549" s="20" t="str"/>
      <x:c r="X549" s="20" t="str"/>
      <x:c r="Y549" s="20" t="str">
        <x:v>https://www.google.com/maps/search/?api=1&amp;query=%E0%B9%82%E0%B8%A3%E0%B8%87%E0%B9%81%E0%B8%A3%E0%B8%A1%E0%B8%A0%E0%B8%B9%E0%B8%87%E0%B8%B2%20%E0%B8%9E%E0%B8%B1%E0%B8%87%E0%B8%87%E0%B8%B2</x:v>
      </x:c>
      <x:c r="Z549" s="56" t="n">
        <x:v>8.420631</x:v>
      </x:c>
      <x:c r="AA549" s="56" t="n">
        <x:v>98.498695</x:v>
      </x:c>
      <x:c r="AB549" s="57" t="str"/>
      <x:c r="AC549" s="20" t="str">
        <x:v>https://www.thic.or.th/th/tourist/detail/accommodation/209</x:v>
      </x:c>
    </x:row>
    <x:row r="550" ht="88" customHeight="1">
      <x:c r="A550" s="54" t="n">
        <x:v>542</x:v>
      </x:c>
      <x:c r="B550" s="20" t="str">
        <x:v>ครัวอารีย์บังหมาดบางพัฒน์ พังงา</x:v>
      </x:c>
      <x:c r="C550" s="20" t="str">
        <x:v>พังงา</x:v>
      </x:c>
      <x:c r="D550" s="20" t="str">
        <x:v>ร้านอาหาร</x:v>
      </x:c>
      <x:c r="E550" s="20" t="str">
        <x:v>มีรายชื่อใน Makan Halal Guide; ระบุมีห้องละหมาด</x:v>
      </x:c>
      <x:c r="F550" s="20" t="str">
        <x:v>มีข้อมูลระบุ แต่รอยืนยัน</x:v>
      </x:c>
      <x:c r="G550" s="20" t="str">
        <x:v>ยังไม่พบเอกสารรับรองและวันหมดอายุ</x:v>
      </x:c>
      <x:c r="H55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50" s="20" t="str">
        <x:v>บ้านบางพัฒน์  ตำบลบางเตย อำเภอเมืองพังงา จังหวัดพังงา 82000</x:v>
      </x:c>
      <x:c r="J550" s="21" t="str">
        <x:v>0862744557</x:v>
      </x:c>
      <x:c r="K550" s="51" t="str">
        <x:v>https://makanhalalguide.com/shop/detail/5085</x:v>
      </x:c>
      <x:c r="L550" s="51" t="str">
        <x:v>https://www.wongnai.com/restaurants/172334MX-%E0%B8%84%E0%B8%A3%E0%B8%B1%E0%B8%A7%E0%B8%AD%E0%B8%B2%E0%B8%A3%E0%B8%B5%E0%B8%A2%E0%B9%8C-%E0%B8%9A%E0%B8%B1%E0%B8%87%E0%B8%AB%E0%B8%A1%E0%B8%B2%E0%B8%94</x:v>
      </x:c>
      <x:c r="M550" s="20" t="str">
        <x:v>ผลค้นหาชื่อสัมพันธ์จากแหล่งเพิ่มเติม ต้องยืนยันสาขาและข้อมูลปัจจุบัน</x:v>
      </x:c>
      <x:c r="N550" s="28" t="n">
        <x:v>46315</x:v>
      </x:c>
      <x:c r="O550" s="57" t="str">
        <x:v>ยังไม่ตรวจ</x:v>
      </x:c>
      <x:c r="P550" s="57" t="str">
        <x:v>ยังไม่ติดต่อ</x:v>
      </x:c>
      <x:c r="Q550" s="20" t="str">
        <x:v>TMF-187</x:v>
      </x:c>
      <x:c r="R550" s="20" t="str"/>
      <x:c r="S550" s="20" t="str"/>
      <x:c r="T550" s="20" t="str">
        <x:v>https://makanhalalguide.com/shop/detail/5085</x:v>
      </x:c>
      <x:c r="U550" s="20" t="str"/>
      <x:c r="V550" s="20" t="str"/>
      <x:c r="W550" s="20" t="str"/>
      <x:c r="X550" s="20" t="str"/>
      <x:c r="Y550" s="20" t="str">
        <x:v>https://www.google.com/maps/search/?api=1&amp;query=%E0%B8%84%E0%B8%A3%E0%B8%B1%E0%B8%A7%E0%B8%AD%E0%B8%B2%E0%B8%A3%E0%B8%B5%E0%B8%A2%E0%B9%8C%E0%B8%9A%E0%B8%B1%E0%B8%87%E0%B8%AB%E0%B8%A1%E0%B8%B2%E0%B8%94%E0%B8%9A%E0%B8%B2%E0%B8%87%E0%B8%9E%E0%B8%B1%E0%B8%92%E0%B8%99%E0%B9%8C%20%E0%B8%9E%E0%B8%B1%E0%B8%87%E0%B8%87%E0%B8%B2%20%E0%B8%9E%E0%B8%B1%E0%B8%87%E0%B8%87%E0%B8%B2</x:v>
      </x:c>
      <x:c r="Z550" s="56" t="n">
        <x:v>8.360552</x:v>
      </x:c>
      <x:c r="AA550" s="56" t="n">
        <x:v>98.574644</x:v>
      </x:c>
      <x:c r="AB550" s="57" t="str"/>
      <x:c r="AC550" s="20" t="str">
        <x:v>https://makanhalalguide.com/shop/detail/5085</x:v>
      </x:c>
    </x:row>
    <x:row r="551" ht="88" customHeight="1">
      <x:c r="A551" s="54" t="n">
        <x:v>543</x:v>
      </x:c>
      <x:c r="B551" s="20" t="str">
        <x:v>Devasom Spa Khao Lak</x:v>
      </x:c>
      <x:c r="C551" s="20" t="str">
        <x:v>พังงา</x:v>
      </x:c>
      <x:c r="D551" s="20" t="str">
        <x:v>เวลเนส</x:v>
      </x:c>
      <x:c r="E551" s="20" t="str">
        <x:v>พบข้อมูลชื่อตรงจาก Devasom Khao Lak | LINE Official Account; เป็นหลักฐานตัวตน/ประเภท ยังไม่ยืนยันบริการมุสลิมครบเกณฑ์</x:v>
      </x:c>
      <x:c r="F551" s="20" t="str">
        <x:v>ไม่ทราบ</x:v>
      </x:c>
      <x:c r="G551" s="20" t="str">
        <x:v>ยังไม่ยืนยันใบรับรองและวันหมดอายุ</x:v>
      </x:c>
      <x:c r="H551" s="20" t="str">
        <x:v>ตรวจการเปิด ตัวตนสาขา ช่องทางติดต่อ และเงื่อนไขบังคับตามประเภท</x:v>
      </x:c>
      <x:c r="I551" s="20" t="str">
        <x:v>ยังไม่ยืนยันที่อยู่ละเอียด ดูลิงก์แหล่งข้อมูลและ Google Maps</x:v>
      </x:c>
      <x:c r="J551" s="21" t="str">
        <x:v>ยังไม่พบหรือยังไม่ยืนยัน</x:v>
      </x:c>
      <x:c r="K551" s="51" t="str">
        <x:v>https://page.line.me/674lugic</x:v>
      </x:c>
      <x:c r="L551" s="51" t="str">
        <x:v>https://www.devasom.com/khaolak/</x:v>
      </x:c>
      <x:c r="M551" s="20" t="str">
        <x:v>พบแหล่งต่างเว็บไซต์ Devasom Khao Lak | Best Resort Khao Lak | Beach Resort Khao Lak</x:v>
      </x:c>
      <x:c r="N551" s="28" t="n">
        <x:v>46316</x:v>
      </x:c>
      <x:c r="O551" s="57" t="str">
        <x:v>ยังไม่ตรวจ</x:v>
      </x:c>
      <x:c r="P551" s="57" t="str">
        <x:v>ยังไม่ติดต่อ</x:v>
      </x:c>
      <x:c r="Q551" s="20" t="str">
        <x:v>R26-294</x:v>
      </x:c>
      <x:c r="R551" s="20" t="str">
        <x:v>Devasom Spa Khao Lak</x:v>
      </x:c>
      <x:c r="S551" s="20" t="str"/>
      <x:c r="T551" s="20" t="str">
        <x:v>https://page.line.me/674lugic</x:v>
      </x:c>
      <x:c r="U551" s="20" t="str">
        <x:v>https://www.facebook.com/devasomkhaolak/</x:v>
      </x:c>
      <x:c r="V551" s="20" t="str">
        <x:v>https://www.instagram.com/devasom_resorts/</x:v>
      </x:c>
      <x:c r="W551" s="20" t="str">
        <x:v>https://page.line.me/674lugic</x:v>
      </x:c>
      <x:c r="X551" s="20" t="str"/>
      <x:c r="Y551" s="20" t="str">
        <x:v>https://www.google.com/maps/search/?api=1&amp;query=Devasom%20Spa%20Khao%20Lak%20%E0%B8%9E%E0%B8%B1%E0%B8%87%E0%B8%87%E0%B8%B2</x:v>
      </x:c>
      <x:c r="Z551" s="56" t="str"/>
      <x:c r="AA551" s="56" t="str"/>
      <x:c r="AB551" s="57" t="str"/>
      <x:c r="AC551" s="20" t="str">
        <x:v>https://page.line.me/674lugic</x:v>
      </x:c>
    </x:row>
    <x:row r="552" ht="88" customHeight="1">
      <x:c r="A552" s="54" t="n">
        <x:v>544</x:v>
      </x:c>
      <x:c r="B552" s="20" t="str">
        <x:v>น้ำตกโตนช่องฟ้า</x:v>
      </x:c>
      <x:c r="C552" s="20" t="str">
        <x:v>พังงา</x:v>
      </x:c>
      <x:c r="D552" s="20" t="str">
        <x:v>ธรรมชาติ</x:v>
      </x:c>
      <x:c r="E552" s="20" t="str">
        <x:v>พบข้อมูลชื่อตรงจาก น้ำตกโตนช่องฟ้า; เป็นหลักฐานตัวตน/ประเภท ยังไม่ยืนยันบริการมุสลิมครบเกณฑ์</x:v>
      </x:c>
      <x:c r="F552" s="20" t="str">
        <x:v>ไม่ทราบ</x:v>
      </x:c>
      <x:c r="G552" s="20" t="str">
        <x:v>ยังไม่ยืนยันใบรับรองและวันหมดอายุ</x:v>
      </x:c>
      <x:c r="H552" s="20" t="str">
        <x:v>ตรวจการเปิด ตัวตนสาขา ช่องทางติดต่อ และเงื่อนไขบังคับตามประเภท</x:v>
      </x:c>
      <x:c r="I552" s="20" t="str">
        <x:v>ยังไม่ยืนยันที่อยู่ละเอียด ดูลิงก์แหล่งข้อมูลและ Google Maps</x:v>
      </x:c>
      <x:c r="J552" s="21" t="str">
        <x:v>ยังไม่พบหรือยังไม่ยืนยัน</x:v>
      </x:c>
      <x:c r="K552" s="51" t="str">
        <x:v>https://www.phangngapao.go.th/travel/detail/96</x:v>
      </x:c>
      <x:c r="L552" s="51" t="str">
        <x:v>https://cbtthailand.dasta.or.th/webapp/relattraction/content/389/</x:v>
      </x:c>
      <x:c r="M552" s="20" t="str">
        <x:v>พบแหล่งต่างเว็บไซต์ น้ำตกโตนช่องฟ้า | CBT Thailand</x:v>
      </x:c>
      <x:c r="N552" s="28" t="n">
        <x:v>46316</x:v>
      </x:c>
      <x:c r="O552" s="57" t="str">
        <x:v>ยังไม่ตรวจ</x:v>
      </x:c>
      <x:c r="P552" s="57" t="str">
        <x:v>ยังไม่ติดต่อ</x:v>
      </x:c>
      <x:c r="Q552" s="20" t="str">
        <x:v>R26-228</x:v>
      </x:c>
      <x:c r="R552" s="20" t="str"/>
      <x:c r="S552" s="20" t="str"/>
      <x:c r="T552" s="20" t="str">
        <x:v>https://www.phangngapao.go.th/travel/detail/96</x:v>
      </x:c>
      <x:c r="U552" s="20" t="str"/>
      <x:c r="V552" s="20" t="str"/>
      <x:c r="W552" s="20" t="str"/>
      <x:c r="X552" s="20" t="str"/>
      <x:c r="Y552" s="20" t="str">
        <x:v>https://www.google.com/maps/search/?api=1&amp;query=%E0%B8%99%E0%B9%89%E0%B8%B3%E0%B8%95%E0%B8%81%E0%B9%82%E0%B8%95%E0%B8%99%E0%B8%8A%E0%B9%88%E0%B8%AD%E0%B8%87%E0%B8%9F%E0%B9%89%E0%B8%B2%20%E0%B8%9E%E0%B8%B1%E0%B8%87%E0%B8%87%E0%B8%B2</x:v>
      </x:c>
      <x:c r="Z552" s="56" t="n">
        <x:v>8.656142</x:v>
      </x:c>
      <x:c r="AA552" s="56" t="n">
        <x:v>98.287132</x:v>
      </x:c>
      <x:c r="AB552" s="57" t="str"/>
      <x:c r="AC552" s="20" t="str">
        <x:v>https://www.phangngapao.go.th/travel/detail/96</x:v>
      </x:c>
    </x:row>
    <x:row r="553" ht="88" customHeight="1">
      <x:c r="A553" s="54" t="n">
        <x:v>545</x:v>
      </x:c>
      <x:c r="B553" s="20" t="str">
        <x:v>หาดบางสัก</x:v>
      </x:c>
      <x:c r="C553" s="20" t="str">
        <x:v>พังงา</x:v>
      </x:c>
      <x:c r="D553" s="20" t="str">
        <x:v>ธรรมชาติ</x:v>
      </x:c>
      <x:c r="E553" s="20" t="str">
        <x:v>พบข้อมูลชื่อตรงจาก ติดตามเปลี่ยนแปลงระบบหาดบ้านน้ำเค็ม-หาดบางสัก - กรมทรัพยากรทางทะเลและชายฝั่ง Department of Marine and Coastal Resources, Thailand; เป็นหลักฐานตัวตน/ประเภท ยังไม่ยืนยันบริการมุสลิมครบเกณฑ์</x:v>
      </x:c>
      <x:c r="F553" s="20" t="str">
        <x:v>ไม่ทราบ</x:v>
      </x:c>
      <x:c r="G553" s="20" t="str">
        <x:v>ยังไม่ยืนยันใบรับรองและวันหมดอายุ</x:v>
      </x:c>
      <x:c r="H553" s="20" t="str">
        <x:v>ตรวจการเปิด ตัวตนสาขา ช่องทางติดต่อ และเงื่อนไขบังคับตามประเภท</x:v>
      </x:c>
      <x:c r="I553" s="20" t="str">
        <x:v>ยังไม่ยืนยันที่อยู่ละเอียด ดูลิงก์แหล่งข้อมูลและ Google Maps</x:v>
      </x:c>
      <x:c r="J553" s="21" t="str">
        <x:v>ยังไม่พบหรือยังไม่ยืนยัน</x:v>
      </x:c>
      <x:c r="K553" s="51" t="str">
        <x:v>https://www.dmcr.go.th/detailAll/57807/nws/</x:v>
      </x:c>
      <x:c r="L553" s="51" t="str">
        <x:v>https://www.phangngapao.go.th/travel/detail/95</x:v>
      </x:c>
      <x:c r="M553" s="20" t="str">
        <x:v>พบแหล่งต่างเว็บไซต์ หาดบางสัก</x:v>
      </x:c>
      <x:c r="N553" s="28" t="n">
        <x:v>46316</x:v>
      </x:c>
      <x:c r="O553" s="57" t="str">
        <x:v>ยังไม่ตรวจ</x:v>
      </x:c>
      <x:c r="P553" s="57" t="str">
        <x:v>ยังไม่ติดต่อ</x:v>
      </x:c>
      <x:c r="Q553" s="20" t="str">
        <x:v>R26-227</x:v>
      </x:c>
      <x:c r="R553" s="20" t="str"/>
      <x:c r="S553" s="20" t="str"/>
      <x:c r="T553" s="20" t="str">
        <x:v>https://www.dmcr.go.th/detailAll/57807/nws/</x:v>
      </x:c>
      <x:c r="U553" s="20" t="str"/>
      <x:c r="V553" s="20" t="str"/>
      <x:c r="W553" s="20" t="str"/>
      <x:c r="X553" s="20" t="str"/>
      <x:c r="Y553" s="20" t="str">
        <x:v>https://www.google.com/maps/search/?api=1&amp;query=%E0%B8%AB%E0%B8%B2%E0%B8%94%E0%B8%9A%E0%B8%B2%E0%B8%87%E0%B8%AA%E0%B8%B1%E0%B8%81%20%E0%B8%9E%E0%B8%B1%E0%B8%87%E0%B8%87%E0%B8%B2</x:v>
      </x:c>
      <x:c r="Z553" s="56" t="n">
        <x:v>8.775813</x:v>
      </x:c>
      <x:c r="AA553" s="56" t="n">
        <x:v>98.264984</x:v>
      </x:c>
      <x:c r="AB553" s="57" t="str"/>
      <x:c r="AC553" s="20" t="str">
        <x:v>https://www.dmcr.go.th/detailAll/57807/nws/</x:v>
      </x:c>
    </x:row>
    <x:row r="554" ht="88" customHeight="1">
      <x:c r="A554" s="54" t="n">
        <x:v>546</x:v>
      </x:c>
      <x:c r="B554" s="20" t="str">
        <x:v>อุทยานแห่งชาติอ่าวพังงา</x:v>
      </x:c>
      <x:c r="C554" s="20" t="str">
        <x:v>พังงา</x:v>
      </x:c>
      <x:c r="D554" s="20" t="str">
        <x:v>สวนสาธารณะหรือแหล่งธรรมชาติ</x:v>
      </x:c>
      <x:c r="E554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554" s="20" t="str">
        <x:v>ไม่ทราบ</x:v>
      </x:c>
      <x:c r="G554" s="20" t="str">
        <x:v>ยังไม่พบเอกสารรับรองและวันหมดอายุ</x:v>
      </x:c>
      <x:c r="H554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554" s="20" t="str">
        <x:v>80 หมู่ 1 ถนนบ้านท่าด่าน ตำบลเกาะปันหยี อำเภอเมืองพังงา จังหวัดพังงา 82000</x:v>
      </x:c>
      <x:c r="J554" s="21" t="str">
        <x:v>076 481 188</x:v>
      </x:c>
      <x:c r="K554" s="51" t="str">
        <x:v>https://www.thic.or.th/th/tourist/detail/tourist/49</x:v>
      </x:c>
      <x:c r="L554" s="51" t="str">
        <x:v>https://wanderlog.com/th/place/details/473068/%E0%B8%AD%E0%B8%97%E0%B8%A2%E0%B8%B2%E0%B8%99%E0%B9%81%E0%B8%AB%E0%B8%87%E0%B8%8A%E0%B8%B2%E0%B8%95%E0%B8%AD%E0%B8%B2%E0%B8%A7%E0%B8%9E%E0%B8%87%E0%B8%87%E0%B8%B2</x:v>
      </x:c>
      <x:c r="M554" s="20" t="str">
        <x:v>ผลค้นหาชื่อสัมพันธ์จากแหล่งเพิ่มเติม ต้องยืนยันสาขาและข้อมูลปัจจุบัน</x:v>
      </x:c>
      <x:c r="N554" s="28" t="n">
        <x:v>46315</x:v>
      </x:c>
      <x:c r="O554" s="57" t="str">
        <x:v>ยังไม่ตรวจ</x:v>
      </x:c>
      <x:c r="P554" s="57" t="str">
        <x:v>ยังไม่ติดต่อ</x:v>
      </x:c>
      <x:c r="Q554" s="20" t="str">
        <x:v>TMF-568</x:v>
      </x:c>
      <x:c r="R554" s="20" t="str"/>
      <x:c r="S554" s="20" t="str"/>
      <x:c r="T554" s="20" t="str">
        <x:v>https://www.thic.or.th/th/tourist/detail/tourist/49</x:v>
      </x:c>
      <x:c r="U554" s="20" t="str"/>
      <x:c r="V554" s="20" t="str"/>
      <x:c r="W554" s="20" t="str"/>
      <x:c r="X554" s="20" t="str"/>
      <x:c r="Y554" s="20" t="str">
        <x:v>https://www.google.com/maps/search/?api=1&amp;query=%E0%B8%AD%E0%B8%B8%E0%B8%97%E0%B8%A2%E0%B8%B2%E0%B8%99%E0%B9%81%E0%B8%AB%E0%B9%88%E0%B8%87%E0%B8%8A%E0%B8%B2%E0%B8%95%E0%B8%B4%E0%B8%AD%E0%B9%88%E0%B8%B2%E0%B8%A7%E0%B8%9E%E0%B8%B1%E0%B8%87%E0%B8%87%E0%B8%B2%20%E0%B8%9E%E0%B8%B1%E0%B8%87%E0%B8%87%E0%B8%B2</x:v>
      </x:c>
      <x:c r="Z554" s="56" t="n">
        <x:v>8.404666</x:v>
      </x:c>
      <x:c r="AA554" s="56" t="n">
        <x:v>98.505604</x:v>
      </x:c>
      <x:c r="AB554" s="57" t="str"/>
      <x:c r="AC554" s="20" t="str">
        <x:v>https://www.thic.or.th/th/tourist/detail/tourist/49</x:v>
      </x:c>
    </x:row>
    <x:row r="555" ht="88" customHeight="1">
      <x:c r="A555" s="54" t="n">
        <x:v>547</x:v>
      </x:c>
      <x:c r="B555" s="20" t="str">
        <x:v>อุทยานแห่งชาติเขาหลัก-ลำรู่</x:v>
      </x:c>
      <x:c r="C555" s="20" t="str">
        <x:v>พังงา</x:v>
      </x:c>
      <x:c r="D555" s="20" t="str">
        <x:v>ธรรมชาติ</x:v>
      </x:c>
      <x:c r="E555" s="20" t="str">
        <x:v>พบข้อมูลชื่อตรงจาก อุทยานแห่งชาติเขาหลัก-ลำรู่; เป็นหลักฐานตัวตน/ประเภท ยังไม่ยืนยันบริการมุสลิมครบเกณฑ์</x:v>
      </x:c>
      <x:c r="F555" s="20" t="str">
        <x:v>ไม่ทราบ</x:v>
      </x:c>
      <x:c r="G555" s="20" t="str">
        <x:v>ยังไม่ยืนยันใบรับรองและวันหมดอายุ</x:v>
      </x:c>
      <x:c r="H555" s="20" t="str">
        <x:v>ตรวจการเปิด ตัวตนสาขา ช่องทางติดต่อ และเงื่อนไขบังคับตามประเภท</x:v>
      </x:c>
      <x:c r="I555" s="20" t="str">
        <x:v>ยังไม่ยืนยันที่อยู่ละเอียด ดูลิงก์แหล่งข้อมูลและ Google Maps</x:v>
      </x:c>
      <x:c r="J555" s="21" t="str">
        <x:v>ยังไม่พบหรือยังไม่ยืนยัน</x:v>
      </x:c>
      <x:c r="K555" s="51" t="str">
        <x:v>https://www.phangngapao.go.th/travel/detail/94</x:v>
      </x:c>
      <x:c r="L555" s="51" t="str">
        <x:v>https://www.thailandtourismdirectory.go.th/th/attraction/1949</x:v>
      </x:c>
      <x:c r="M555" s="20" t="str">
        <x:v>พบแหล่งต่างเว็บไซต์ อุทยานแห่งชาติเขาหลัก-ลำรู่</x:v>
      </x:c>
      <x:c r="N555" s="28" t="n">
        <x:v>46316</x:v>
      </x:c>
      <x:c r="O555" s="57" t="str">
        <x:v>ยังไม่ตรวจ</x:v>
      </x:c>
      <x:c r="P555" s="57" t="str">
        <x:v>ยังไม่ติดต่อ</x:v>
      </x:c>
      <x:c r="Q555" s="20" t="str">
        <x:v>R26-226</x:v>
      </x:c>
      <x:c r="R555" s="20" t="str"/>
      <x:c r="S555" s="20" t="str"/>
      <x:c r="T555" s="20" t="str">
        <x:v>https://www.phangngapao.go.th/travel/detail/94</x:v>
      </x:c>
      <x:c r="U555" s="20" t="str"/>
      <x:c r="V555" s="20" t="str"/>
      <x:c r="W555" s="20" t="str"/>
      <x:c r="X555" s="20" t="str"/>
      <x:c r="Y555" s="20" t="str">
        <x:v>https://www.google.com/maps/search/?api=1&amp;query=%E0%B8%AD%E0%B8%B8%E0%B8%97%E0%B8%A2%E0%B8%B2%E0%B8%99%E0%B9%81%E0%B8%AB%E0%B9%88%E0%B8%87%E0%B8%8A%E0%B8%B2%E0%B8%95%E0%B8%B4%E0%B9%80%E0%B8%82%E0%B8%B2%E0%B8%AB%E0%B8%A5%E0%B8%B1%E0%B8%81-%E0%B8%A5%E0%B8%B3%E0%B8%A3%E0%B8%B9%E0%B9%88%20%E0%B8%9E%E0%B8%B1%E0%B8%87%E0%B8%87%E0%B8%B2</x:v>
      </x:c>
      <x:c r="Z555" s="56" t="n">
        <x:v>8.639072</x:v>
      </x:c>
      <x:c r="AA555" s="56" t="n">
        <x:v>98.378407</x:v>
      </x:c>
      <x:c r="AB555" s="57" t="str"/>
      <x:c r="AC555" s="20" t="str">
        <x:v>https://www.phangngapao.go.th/travel/detail/94</x:v>
      </x:c>
    </x:row>
    <x:row r="556" ht="88" customHeight="1">
      <x:c r="A556" s="54" t="n">
        <x:v>548</x:v>
      </x:c>
      <x:c r="B556" s="20" t="str">
        <x:v>ชุมชนบ้านท่าดินแดง</x:v>
      </x:c>
      <x:c r="C556" s="20" t="str">
        <x:v>พังงา</x:v>
      </x:c>
      <x:c r="D556" s="20" t="str">
        <x:v>ชุมชน</x:v>
      </x:c>
      <x:c r="E556" s="20" t="str">
        <x:v>พบข้อมูลชื่อตรงจาก วิสาหกิจชุมชนกลุ่มท่องเที่ยวเชิงเกษตรชุมชนบ้านท่าดินแดง; เป็นหลักฐานตัวตน/ประเภท ยังไม่ยืนยันบริการมุสลิมครบเกณฑ์</x:v>
      </x:c>
      <x:c r="F556" s="20" t="str">
        <x:v>ไม่ทราบ</x:v>
      </x:c>
      <x:c r="G556" s="20" t="str">
        <x:v>ยังไม่ยืนยันใบรับรองและวันหมดอายุ</x:v>
      </x:c>
      <x:c r="H556" s="20" t="str">
        <x:v>ตรวจการเปิด ตัวตนสาขา ช่องทางติดต่อ และเงื่อนไขบังคับตามประเภท</x:v>
      </x:c>
      <x:c r="I556" s="20" t="str">
        <x:v>ยังไม่ยืนยันที่อยู่ละเอียด ดูลิงก์แหล่งข้อมูลและ Google Maps</x:v>
      </x:c>
      <x:c r="J556" s="21" t="str">
        <x:v>ยังไม่พบหรือยังไม่ยืนยัน</x:v>
      </x:c>
      <x:c r="K556" s="51" t="str">
        <x:v>https://agrotourismapp.doae.go.th/article/127</x:v>
      </x:c>
      <x:c r="L556" s="51" t="str">
        <x:v>https://www.phangngapao.go.th/travel/detail/103</x:v>
      </x:c>
      <x:c r="M556" s="20" t="str">
        <x:v>พบแหล่งต่างเว็บไซต์ เขาหน้ายักษ์ / กลุ่มท่องเที่ยวโดยชุมชนบ้านท่าดินแดง</x:v>
      </x:c>
      <x:c r="N556" s="28" t="n">
        <x:v>46316</x:v>
      </x:c>
      <x:c r="O556" s="57" t="str">
        <x:v>ยังไม่ตรวจ</x:v>
      </x:c>
      <x:c r="P556" s="57" t="str">
        <x:v>ยังไม่ติดต่อ</x:v>
      </x:c>
      <x:c r="Q556" s="20" t="str">
        <x:v>R26-225</x:v>
      </x:c>
      <x:c r="R556" s="20" t="str"/>
      <x:c r="S556" s="20" t="str"/>
      <x:c r="T556" s="20" t="str">
        <x:v>https://agrotourismapp.doae.go.th/article/127</x:v>
      </x:c>
      <x:c r="U556" s="20" t="str"/>
      <x:c r="V556" s="20" t="str"/>
      <x:c r="W556" s="20" t="str"/>
      <x:c r="X556" s="20" t="str"/>
      <x:c r="Y556" s="20" t="str">
        <x:v>https://www.google.com/maps/search/?api=1&amp;query=%E0%B8%8A%E0%B8%B8%E0%B8%A1%E0%B8%8A%E0%B8%99%E0%B8%9A%E0%B9%89%E0%B8%B2%E0%B8%99%E0%B8%97%E0%B9%88%E0%B8%B2%E0%B8%94%E0%B8%B4%E0%B8%99%E0%B9%81%E0%B8%94%E0%B8%87%20%E0%B8%9E%E0%B8%B1%E0%B8%87%E0%B8%87%E0%B8%B2</x:v>
      </x:c>
      <x:c r="Z556" s="56" t="n">
        <x:v>8.517388</x:v>
      </x:c>
      <x:c r="AA556" s="56" t="n">
        <x:v>98.23361</x:v>
      </x:c>
      <x:c r="AB556" s="57" t="str"/>
      <x:c r="AC556" s="20" t="str">
        <x:v>https://agrotourismapp.doae.go.th/article/127</x:v>
      </x:c>
    </x:row>
    <x:row r="557" ht="88" customHeight="1">
      <x:c r="A557" s="54" t="n">
        <x:v>549</x:v>
      </x:c>
      <x:c r="B557" s="20" t="str">
        <x:v>ชุมชนบ้านสามช่องเหนือ</x:v>
      </x:c>
      <x:c r="C557" s="20" t="str">
        <x:v>พังงา</x:v>
      </x:c>
      <x:c r="D557" s="20" t="str">
        <x:v>ชุมชน</x:v>
      </x:c>
      <x:c r="E557" s="20" t="str">
        <x:v>พบข้อมูลชื่อตรงจาก บ้านสามช่องเหนือ; เป็นหลักฐานตัวตน/ประเภท ยังไม่ยืนยันบริการมุสลิมครบเกณฑ์</x:v>
      </x:c>
      <x:c r="F557" s="20" t="str">
        <x:v>ไม่ทราบ</x:v>
      </x:c>
      <x:c r="G557" s="20" t="str">
        <x:v>ยังไม่ยืนยันใบรับรองและวันหมดอายุ</x:v>
      </x:c>
      <x:c r="H557" s="20" t="str">
        <x:v>ตรวจการเปิด ตัวตนสาขา ช่องทางติดต่อ และเงื่อนไขบังคับตามประเภท</x:v>
      </x:c>
      <x:c r="I557" s="20" t="str">
        <x:v>ยังไม่ยืนยันที่อยู่ละเอียด ดูลิงก์แหล่งข้อมูลและ Google Maps</x:v>
      </x:c>
      <x:c r="J557" s="21" t="str">
        <x:v>ยังไม่พบหรือยังไม่ยืนยัน</x:v>
      </x:c>
      <x:c r="K557" s="51" t="str">
        <x:v>https://wikicommunity.sac.or.th/community/3094</x:v>
      </x:c>
      <x:c r="L557" s="51" t="str">
        <x:v>https://www.phangngapao.go.th/travel/detail/187</x:v>
      </x:c>
      <x:c r="M557" s="20" t="str">
        <x:v>พบแหล่งต่างเว็บไซต์ กลุ่มท่องเที่ยวโดยชุมชนบ้านสามช่องเหนือ</x:v>
      </x:c>
      <x:c r="N557" s="28" t="n">
        <x:v>46316</x:v>
      </x:c>
      <x:c r="O557" s="57" t="str">
        <x:v>ยังไม่ตรวจ</x:v>
      </x:c>
      <x:c r="P557" s="57" t="str">
        <x:v>ยังไม่ติดต่อ</x:v>
      </x:c>
      <x:c r="Q557" s="20" t="str">
        <x:v>R26-223</x:v>
      </x:c>
      <x:c r="R557" s="20" t="str"/>
      <x:c r="S557" s="20" t="str"/>
      <x:c r="T557" s="20" t="str">
        <x:v>https://wikicommunity.sac.or.th/community/3094</x:v>
      </x:c>
      <x:c r="U557" s="20" t="str"/>
      <x:c r="V557" s="20" t="str"/>
      <x:c r="W557" s="20" t="str"/>
      <x:c r="X557" s="20" t="str"/>
      <x:c r="Y557" s="20" t="str">
        <x:v>https://www.google.com/maps/search/?api=1&amp;query=%E0%B8%8A%E0%B8%B8%E0%B8%A1%E0%B8%8A%E0%B8%99%E0%B8%9A%E0%B9%89%E0%B8%B2%E0%B8%99%E0%B8%AA%E0%B8%B2%E0%B8%A1%E0%B8%8A%E0%B9%88%E0%B8%AD%E0%B8%87%E0%B9%80%E0%B8%AB%E0%B8%99%E0%B8%B7%E0%B8%AD%20%E0%B8%9E%E0%B8%B1%E0%B8%87%E0%B8%87%E0%B8%B2</x:v>
      </x:c>
      <x:c r="Z557" s="56" t="n">
        <x:v>8.301941</x:v>
      </x:c>
      <x:c r="AA557" s="56" t="n">
        <x:v>98.420179</x:v>
      </x:c>
      <x:c r="AB557" s="57" t="str"/>
      <x:c r="AC557" s="20" t="str">
        <x:v>https://wikicommunity.sac.or.th/community/3094</x:v>
      </x:c>
    </x:row>
    <x:row r="558" ht="88" customHeight="1">
      <x:c r="A558" s="54" t="n">
        <x:v>550</x:v>
      </x:c>
      <x:c r="B558" s="20" t="str">
        <x:v>ชุมชนบ้านโคกไคร</x:v>
      </x:c>
      <x:c r="C558" s="20" t="str">
        <x:v>พังงา</x:v>
      </x:c>
      <x:c r="D558" s="20" t="str">
        <x:v>ชุมชน</x:v>
      </x:c>
      <x:c r="E558" s="20" t="str">
        <x:v>พบข้อมูลชื่อตรงจาก อันซีนบ้านโคกไคร จ.พังงา สปาโคลน ตื่นตาฝูงปูมดแดง; เป็นหลักฐานตัวตน/ประเภท ยังไม่ยืนยันบริการมุสลิมครบเกณฑ์</x:v>
      </x:c>
      <x:c r="F558" s="20" t="str">
        <x:v>ไม่ทราบ</x:v>
      </x:c>
      <x:c r="G558" s="20" t="str">
        <x:v>ยังไม่ยืนยันใบรับรองและวันหมดอายุ</x:v>
      </x:c>
      <x:c r="H558" s="20" t="str">
        <x:v>ตรวจการเปิด ตัวตนสาขา ช่องทางติดต่อ และเงื่อนไขบังคับตามประเภท</x:v>
      </x:c>
      <x:c r="I558" s="20" t="str">
        <x:v>ยังไม่ยืนยันที่อยู่ละเอียด ดูลิงก์แหล่งข้อมูลและ Google Maps</x:v>
      </x:c>
      <x:c r="J558" s="21" t="str">
        <x:v>ยังไม่พบหรือยังไม่ยืนยัน</x:v>
      </x:c>
      <x:c r="K558" s="51" t="str">
        <x:v>https://www.dasta.or.th/th/article/392</x:v>
      </x:c>
      <x:c r="L558" s="51" t="str">
        <x:v>https://www.thailandtourismdirectory.go.th/attraction/97483</x:v>
      </x:c>
      <x:c r="M558" s="20" t="str">
        <x:v>พบแหล่งต่างเว็บไซต์ วิสาหกิจชุมชนท่องเที่ยวชุมชนบ้านโคกไคร</x:v>
      </x:c>
      <x:c r="N558" s="28" t="n">
        <x:v>46316</x:v>
      </x:c>
      <x:c r="O558" s="57" t="str">
        <x:v>ยังไม่ตรวจ</x:v>
      </x:c>
      <x:c r="P558" s="57" t="str">
        <x:v>ยังไม่ติดต่อ</x:v>
      </x:c>
      <x:c r="Q558" s="20" t="str">
        <x:v>R26-224</x:v>
      </x:c>
      <x:c r="R558" s="20" t="str"/>
      <x:c r="S558" s="20" t="str"/>
      <x:c r="T558" s="20" t="str">
        <x:v>https://www.dasta.or.th/th/article/392</x:v>
      </x:c>
      <x:c r="U558" s="20" t="str"/>
      <x:c r="V558" s="20" t="str"/>
      <x:c r="W558" s="20" t="str"/>
      <x:c r="X558" s="20" t="str"/>
      <x:c r="Y558" s="20" t="str">
        <x:v>https://www.google.com/maps/search/?api=1&amp;query=%E0%B8%8A%E0%B8%B8%E0%B8%A1%E0%B8%8A%E0%B8%99%E0%B8%9A%E0%B9%89%E0%B8%B2%E0%B8%99%E0%B9%82%E0%B8%84%E0%B8%81%E0%B9%84%E0%B8%84%E0%B8%A3%20%E0%B8%9E%E0%B8%B1%E0%B8%87%E0%B8%87%E0%B8%B2</x:v>
      </x:c>
      <x:c r="Z558" s="56" t="n">
        <x:v>8.443444</x:v>
      </x:c>
      <x:c r="AA558" s="56" t="n">
        <x:v>98.649058</x:v>
      </x:c>
      <x:c r="AB558" s="57" t="str"/>
      <x:c r="AC558" s="20" t="str">
        <x:v>https://www.dasta.or.th/th/article/392</x:v>
      </x:c>
    </x:row>
    <x:row r="559" ht="88" customHeight="1">
      <x:c r="A559" s="54" t="n">
        <x:v>551</x:v>
      </x:c>
      <x:c r="B559" s="20" t="str">
        <x:v>เกาะปันหยี</x:v>
      </x:c>
      <x:c r="C559" s="20" t="str">
        <x:v>พังงา</x:v>
      </x:c>
      <x:c r="D559" s="20" t="str">
        <x:v>ชุมชนท่องเที่ยว</x:v>
      </x:c>
      <x:c r="E559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559" s="20" t="str">
        <x:v>ไม่ทราบ</x:v>
      </x:c>
      <x:c r="G559" s="20" t="str">
        <x:v>ยังไม่พบเอกสารรับรองและวันหมดอายุ</x:v>
      </x:c>
      <x:c r="H559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559" s="20" t="str">
        <x:v>หมู่ 2 ตำบลเกาะปันหยี อำเภอเมืองพังงา จังหวัดพังงา 82000</x:v>
      </x:c>
      <x:c r="J559" s="21" t="str">
        <x:v>076-411-136</x:v>
      </x:c>
      <x:c r="K559" s="51" t="str">
        <x:v>https://www.thic.or.th/th/tourist/detail/tourist/14</x:v>
      </x:c>
      <x:c r="L559" s="51" t="str">
        <x:v>https://th.tripadvisor.com/Attraction_Review-g303917-d553529-Reviews-Koh_Panyi-Phang_Nga_Phang_Nga_Province.html</x:v>
      </x:c>
      <x:c r="M559" s="20" t="str">
        <x:v>ผลค้นหาชื่อสัมพันธ์จากแหล่งเพิ่มเติม ต้องยืนยันสาขาและข้อมูลปัจจุบัน</x:v>
      </x:c>
      <x:c r="N559" s="28" t="n">
        <x:v>46315</x:v>
      </x:c>
      <x:c r="O559" s="57" t="str">
        <x:v>ยังไม่ตรวจ</x:v>
      </x:c>
      <x:c r="P559" s="57" t="str">
        <x:v>ยังไม่ติดต่อ</x:v>
      </x:c>
      <x:c r="Q559" s="20" t="str">
        <x:v>TMF-567</x:v>
      </x:c>
      <x:c r="R559" s="20" t="str"/>
      <x:c r="S559" s="20" t="str"/>
      <x:c r="T559" s="20" t="str">
        <x:v>https://www.thic.or.th/th/tourist/detail/tourist/14</x:v>
      </x:c>
      <x:c r="U559" s="20" t="str"/>
      <x:c r="V559" s="20" t="str"/>
      <x:c r="W559" s="20" t="str"/>
      <x:c r="X559" s="20" t="str"/>
      <x:c r="Y559" s="20" t="str">
        <x:v>https://www.google.com/maps/search/?api=1&amp;query=%E0%B9%80%E0%B8%81%E0%B8%B2%E0%B8%B0%E0%B8%9B%E0%B8%B1%E0%B8%99%E0%B8%AB%E0%B8%A2%E0%B8%B5%20%E0%B8%9E%E0%B8%B1%E0%B8%87%E0%B8%87%E0%B8%B2</x:v>
      </x:c>
      <x:c r="Z559" s="56" t="n">
        <x:v>8.33556</x:v>
      </x:c>
      <x:c r="AA559" s="56" t="n">
        <x:v>98.50306</x:v>
      </x:c>
      <x:c r="AB559" s="57" t="str"/>
      <x:c r="AC559" s="20" t="str">
        <x:v>https://www.thic.or.th/th/tourist/detail/tourist/14</x:v>
      </x:c>
    </x:row>
    <x:row r="560" ht="88" customHeight="1">
      <x:c r="A560" s="54" t="n">
        <x:v>552</x:v>
      </x:c>
      <x:c r="B560" s="20" t="str">
        <x:v>โรงแรมภูเก็ตเกรซแลนด์ รีสอร์ท แอนด์ สปา</x:v>
      </x:c>
      <x:c r="C560" s="20" t="str">
        <x:v>ภูเก็ต</x:v>
      </x:c>
      <x:c r="D560" s="20" t="str">
        <x:v>โรงแรมหรือรีสอร์ท</x:v>
      </x:c>
      <x:c r="E560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560" s="20" t="str">
        <x:v>ไม่ทราบ</x:v>
      </x:c>
      <x:c r="G560" s="20" t="str">
        <x:v>ยังไม่พบเอกสารรับรองและวันหมดอายุ</x:v>
      </x:c>
      <x:c r="H560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560" s="20" t="str">
        <x:v>8/88 หมู่ 3 ถนนเจ้าฟ้าตะวันตก ตำบลป่าตอง อำเภอกะทู้ จังหวัดภูเก็ต 83150</x:v>
      </x:c>
      <x:c r="J560" s="21" t="str">
        <x:v>076 345 888</x:v>
      </x:c>
      <x:c r="K560" s="51" t="str">
        <x:v>https://www.thic.or.th/th/tourist/detail/accommodation/22</x:v>
      </x:c>
      <x:c r="L560" s="51" t="str">
        <x:v>https://th.tripadvisor.com/Hotel_Review-g297930-d576169-Reviews-Phuket_Graceland_Resort_Spa-Patong_Kathu_Phuket.html</x:v>
      </x:c>
      <x:c r="M560" s="20" t="str">
        <x:v>ผลค้นหาชื่อสัมพันธ์จากแหล่งเพิ่มเติม ต้องยืนยันสาขาและข้อมูลปัจจุบัน</x:v>
      </x:c>
      <x:c r="N560" s="28" t="n">
        <x:v>46315</x:v>
      </x:c>
      <x:c r="O560" s="57" t="str">
        <x:v>ยังไม่ตรวจ</x:v>
      </x:c>
      <x:c r="P560" s="57" t="str">
        <x:v>ยังไม่ติดต่อ</x:v>
      </x:c>
      <x:c r="Q560" s="20" t="str">
        <x:v>TMF-378</x:v>
      </x:c>
      <x:c r="R560" s="20" t="str"/>
      <x:c r="S560" s="20" t="str"/>
      <x:c r="T560" s="20" t="str">
        <x:v>https://www.thic.or.th/th/tourist/detail/accommodation/22</x:v>
      </x:c>
      <x:c r="U560" s="20" t="str"/>
      <x:c r="V560" s="20" t="str"/>
      <x:c r="W560" s="20" t="str"/>
      <x:c r="X560" s="20" t="str"/>
      <x:c r="Y560" s="20" t="str">
        <x:v>https://www.google.com/maps/search/?api=1&amp;query=%E0%B9%82%E0%B8%A3%E0%B8%87%E0%B9%81%E0%B8%A3%E0%B8%A1%E0%B8%A0%E0%B8%B9%E0%B9%80%E0%B8%81%E0%B9%87%E0%B8%95%E0%B9%80%E0%B8%81%E0%B8%A3%E0%B8%8B%E0%B9%81%E0%B8%A5%E0%B8%99%E0%B8%94%E0%B9%8C%20%E0%B8%A3%E0%B8%B5%E0%B8%AA%E0%B8%AD%E0%B8%A3%E0%B9%8C%E0%B8%97%20%E0%B9%81%E0%B8%AD%E0%B8%99%E0%B8%94%E0%B9%8C%20%E0%B8%AA%E0%B8%9B%E0%B8%B2%20%E0%B8%A0%E0%B8%B9%E0%B9%80%E0%B8%81%E0%B9%87%E0%B8%95</x:v>
      </x:c>
      <x:c r="Z560" s="56" t="n">
        <x:v>7.90274</x:v>
      </x:c>
      <x:c r="AA560" s="56" t="n">
        <x:v>98.297325</x:v>
      </x:c>
      <x:c r="AB560" s="57" t="str"/>
      <x:c r="AC560" s="20" t="str">
        <x:v>https://www.thic.or.th/th/tourist/detail/accommodation/22</x:v>
      </x:c>
    </x:row>
    <x:row r="561" ht="88" customHeight="1">
      <x:c r="A561" s="54" t="n">
        <x:v>553</x:v>
      </x:c>
      <x:c r="B561" s="20" t="str">
        <x:v>โรงแรมเดอะรอยัลพาราไดซ์ ป่าตอง</x:v>
      </x:c>
      <x:c r="C561" s="20" t="str">
        <x:v>ภูเก็ต</x:v>
      </x:c>
      <x:c r="D561" s="20" t="str">
        <x:v>โรงแรมหรือรีสอร์ท</x:v>
      </x:c>
      <x:c r="E561" s="20" t="str">
        <x:v>THIC ระบุเป็นที่พักในฐานข้อมูลท่องเที่ยวฮาลาล ยังต้องตรวจบริการมุสลิมของสถานที่จริง</x:v>
      </x:c>
      <x:c r="F561" s="20" t="str">
        <x:v>ไม่ทราบ</x:v>
      </x:c>
      <x:c r="G561" s="20" t="str">
        <x:v>ยังไม่พบเอกสารรับรองและวันหมดอายุ</x:v>
      </x:c>
      <x:c r="H561" s="20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I561" s="20" t="str">
        <x:v>135/23, 123/15-16 ถนนราษฎร์อุทิศ 200 ปี หาดป่าตอง ตำบลป่าตอง อำเภอกะทู้ จังหวัดภูเก็ต 83150</x:v>
      </x:c>
      <x:c r="J561" s="21" t="str">
        <x:v>+66 76 340 666</x:v>
      </x:c>
      <x:c r="K561" s="51" t="str">
        <x:v>https://www.thic.or.th/th/tourist/detail/accommodation/21</x:v>
      </x:c>
      <x:c r="L561" s="51" t="str">
        <x:v>https://www.google.co.th/travel/hotels/entity/ChcIi-D1qriH0qUfGgsvZy8xdG0ydm42ZBAB?rp=OAHCAhwiGg0AAMBCEhMIw_zhjfjHlQMVofNLAx380BZ2&amp;ts=CAESCgoCCAMKAggDEAAaIgoCGgASHBIUCgcI6g8QChgQEgcI6g8QChgUGAQyAhAAOAEqCQoFOgNVU0QaAA</x:v>
      </x:c>
      <x:c r="M561" s="20" t="str">
        <x:v>ผลค้นหาชื่อสัมพันธ์จากแหล่งเพิ่มเติม ต้องยืนยันสาขาและข้อมูลปัจจุบัน</x:v>
      </x:c>
      <x:c r="N561" s="28" t="n">
        <x:v>46315</x:v>
      </x:c>
      <x:c r="O561" s="57" t="str">
        <x:v>ยังไม่ตรวจ</x:v>
      </x:c>
      <x:c r="P561" s="57" t="str">
        <x:v>ยังไม่ติดต่อ</x:v>
      </x:c>
      <x:c r="Q561" s="20" t="str">
        <x:v>TMF-379</x:v>
      </x:c>
      <x:c r="R561" s="20" t="str"/>
      <x:c r="S561" s="20" t="str"/>
      <x:c r="T561" s="20" t="str">
        <x:v>https://www.thic.or.th/th/tourist/detail/accommodation/21</x:v>
      </x:c>
      <x:c r="U561" s="20" t="str"/>
      <x:c r="V561" s="20" t="str"/>
      <x:c r="W561" s="20" t="str"/>
      <x:c r="X561" s="20" t="str"/>
      <x:c r="Y561" s="20" t="str">
        <x:v>https://www.google.com/maps/search/?api=1&amp;query=%E0%B9%82%E0%B8%A3%E0%B8%87%E0%B9%81%E0%B8%A3%E0%B8%A1%E0%B9%80%E0%B8%94%E0%B8%AD%E0%B8%B0%E0%B8%A3%E0%B8%AD%E0%B8%A2%E0%B8%B1%E0%B8%A5%E0%B8%9E%E0%B8%B2%E0%B8%A3%E0%B8%B2%E0%B9%84%E0%B8%94%E0%B8%8B%E0%B9%8C%20%E0%B8%9B%E0%B9%88%E0%B8%B2%E0%B8%95%E0%B8%AD%E0%B8%87%20%E0%B8%A0%E0%B8%B9%E0%B9%80%E0%B8%81%E0%B9%87%E0%B8%95</x:v>
      </x:c>
      <x:c r="Z561" s="56" t="n">
        <x:v>7.895417</x:v>
      </x:c>
      <x:c r="AA561" s="56" t="n">
        <x:v>98.300308</x:v>
      </x:c>
      <x:c r="AB561" s="57" t="str"/>
      <x:c r="AC561" s="20" t="str">
        <x:v>https://www.thic.or.th/th/tourist/detail/accommodation/21</x:v>
      </x:c>
    </x:row>
    <x:row r="562" ht="88" customHeight="1">
      <x:c r="A562" s="54" t="n">
        <x:v>554</x:v>
      </x:c>
      <x:c r="B562" s="20" t="str">
        <x:v>SairaBakery ไซร่าเบเกอรี่ฮาลาล เค้กภูเก็ต</x:v>
      </x:c>
      <x:c r="C562" s="20" t="str">
        <x:v>ภูเก็ต</x:v>
      </x:c>
      <x:c r="D562" s="20" t="str">
        <x:v>คาเฟ่และร้านของหวาน</x:v>
      </x:c>
      <x:c r="E562" s="20" t="str">
        <x:v>มีรายชื่อใน Makan Halal Guide; ช่องห้องละหมาดไม่ได้ทำเครื่องหมายว่ามี</x:v>
      </x:c>
      <x:c r="F562" s="20" t="str">
        <x:v>แหล่งเดิมไม่ระบุว่ามี</x:v>
      </x:c>
      <x:c r="G562" s="20" t="str">
        <x:v>ยังไม่พบเอกสารรับรองและวันหมดอายุ</x:v>
      </x:c>
      <x:c r="H562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562" s="20" t="str">
        <x:v>129/6 83110 ซอย วัดพระทอง ตำบล เทพกระษัตรี อำเภอถลาง ภูเก็ต 83110</x:v>
      </x:c>
      <x:c r="J562" s="21" t="str">
        <x:v>0954264956</x:v>
      </x:c>
      <x:c r="K562" s="51" t="str">
        <x:v>https://makanhalalguide.com/shop/detail/5761</x:v>
      </x:c>
      <x:c r="L562" s="51" t="str">
        <x:v>https://www.thaithurkic.com/saira-bakery-%E0%B9%84%E0%B8%8B%E0%B8%A3%E0%B9%88%E0%B8%B2%E0%B9%80%E0%B8%9A%E0%B9%80%E0%B8%81%E0%B8%AD%E0%B8%A3%E0%B8%B5%E0%B9%88-%E0%B8%AE%E0%B8%B2%E0%B8%A5%E0%B8%B2%E0%B8%A5-%E0%B8%A0%E0%B8%B9%E0%B9%80%E0%B8%81%E0%B9%87%E0%B8%95-095-426-4956</x:v>
      </x:c>
      <x:c r="M562" s="20" t="str">
        <x:v>ผลค้นหาชื่อสัมพันธ์จากแหล่งเพิ่มเติม ต้องยืนยันสาขาและข้อมูลปัจจุบัน</x:v>
      </x:c>
      <x:c r="N562" s="28" t="n">
        <x:v>46315</x:v>
      </x:c>
      <x:c r="O562" s="57" t="str">
        <x:v>ยังไม่ตรวจ</x:v>
      </x:c>
      <x:c r="P562" s="57" t="str">
        <x:v>ยังไม่ติดต่อ</x:v>
      </x:c>
      <x:c r="Q562" s="20" t="str">
        <x:v>TMF-571</x:v>
      </x:c>
      <x:c r="R562" s="20" t="str"/>
      <x:c r="S562" s="20" t="str"/>
      <x:c r="T562" s="20" t="str">
        <x:v>https://makanhalalguide.com/shop/detail/5761</x:v>
      </x:c>
      <x:c r="U562" s="20" t="str"/>
      <x:c r="V562" s="20" t="str"/>
      <x:c r="W562" s="20" t="str"/>
      <x:c r="X562" s="20" t="str"/>
      <x:c r="Y562" s="20" t="str">
        <x:v>https://www.google.com/maps/search/?api=1&amp;query=SairaBakery%20%E0%B9%84%E0%B8%8B%E0%B8%A3%E0%B9%88%E0%B8%B2%E0%B9%80%E0%B8%9A%E0%B9%80%E0%B8%81%E0%B8%AD%E0%B8%A3%E0%B8%B5%E0%B9%88%E0%B8%AE%E0%B8%B2%E0%B8%A5%E0%B8%B2%E0%B8%A5%20%E0%B9%80%E0%B8%84%E0%B9%89%E0%B8%81%E0%B8%A0%E0%B8%B9%E0%B9%80%E0%B8%81%E0%B9%87%E0%B8%95%20%E0%B8%A0%E0%B8%B9%E0%B9%80%E0%B8%81%E0%B9%87%E0%B8%95</x:v>
      </x:c>
      <x:c r="Z562" s="56" t="n">
        <x:v>8.033474</x:v>
      </x:c>
      <x:c r="AA562" s="56" t="n">
        <x:v>98.335019</x:v>
      </x:c>
      <x:c r="AB562" s="57" t="str"/>
      <x:c r="AC562" s="20" t="str">
        <x:v>https://makanhalalguide.com/shop/detail/5761</x:v>
      </x:c>
    </x:row>
    <x:row r="563" ht="88" customHeight="1">
      <x:c r="A563" s="54" t="n">
        <x:v>555</x:v>
      </x:c>
      <x:c r="B563" s="20" t="str">
        <x:v>ก๋วยเตี๋ยวเรือราไวย์ ซอยไสยวน</x:v>
      </x:c>
      <x:c r="C563" s="20" t="str">
        <x:v>ภูเก็ต</x:v>
      </x:c>
      <x:c r="D563" s="20" t="str">
        <x:v>ร้านอาหาร</x:v>
      </x:c>
      <x:c r="E563" s="20" t="str">
        <x:v>มีรายชื่อใน Makan Halal Guide; ระบุมีห้องละหมาด</x:v>
      </x:c>
      <x:c r="F563" s="20" t="str">
        <x:v>มีข้อมูลระบุ แต่รอยืนยัน</x:v>
      </x:c>
      <x:c r="G563" s="20" t="str">
        <x:v>ยังไม่พบเอกสารรับรองและวันหมดอายุ</x:v>
      </x:c>
      <x:c r="H56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63" s="20" t="str">
        <x:v>ราไวย์ ตำบลราไวย์ อำเภอเมืองภูเก็ต ภูเก็ต 83100</x:v>
      </x:c>
      <x:c r="J563" s="21" t="str">
        <x:v>0841873657</x:v>
      </x:c>
      <x:c r="K563" s="51" t="str">
        <x:v>https://makanhalalguide.com/shop/detail/5175</x:v>
      </x:c>
      <x:c r="L563" s="51" t="str">
        <x:v>https://www.wongnai.com/restaurants/272151Mc-%E0%B8%81%E0%B9%8B%E0%B8%A7%E0%B8%A2%E0%B9%80%E0%B8%95%E0%B8%B5%E0%B9%8B%E0%B8%A2%E0%B8%A7%E0%B9%80%E0%B8%A3%E0%B8%B7%E0%B8%AD-%E0%B8%A3%E0%B8%B2%E0%B9%84%E0%B8%A7%E0%B8%A2%E0%B9%8C-%E0%B8%8B%E0%B8%AD%E0%B8%A2%E0%B9%84%E0%B8%AA%E0%B8%A2%E0%B8%A7%E0%B8%99</x:v>
      </x:c>
      <x:c r="M563" s="20" t="str">
        <x:v>ผลค้นหาชื่อสัมพันธ์จากแหล่งเพิ่มเติม ต้องยืนยันสาขาและข้อมูลปัจจุบัน</x:v>
      </x:c>
      <x:c r="N563" s="28" t="n">
        <x:v>46315</x:v>
      </x:c>
      <x:c r="O563" s="57" t="str">
        <x:v>ยังไม่ตรวจ</x:v>
      </x:c>
      <x:c r="P563" s="57" t="str">
        <x:v>ยังไม่ติดต่อ</x:v>
      </x:c>
      <x:c r="Q563" s="20" t="str">
        <x:v>TMF-188</x:v>
      </x:c>
      <x:c r="R563" s="20" t="str"/>
      <x:c r="S563" s="20" t="str"/>
      <x:c r="T563" s="20" t="str">
        <x:v>https://makanhalalguide.com/shop/detail/5175</x:v>
      </x:c>
      <x:c r="U563" s="20" t="str"/>
      <x:c r="V563" s="20" t="str"/>
      <x:c r="W563" s="20" t="str"/>
      <x:c r="X563" s="20" t="str"/>
      <x:c r="Y563" s="20" t="str">
        <x:v>https://www.google.com/maps/search/?api=1&amp;query=%E0%B8%81%E0%B9%8B%E0%B8%A7%E0%B8%A2%E0%B9%80%E0%B8%95%E0%B8%B5%E0%B9%8B%E0%B8%A2%E0%B8%A7%E0%B9%80%E0%B8%A3%E0%B8%B7%E0%B8%AD%E0%B8%A3%E0%B8%B2%E0%B9%84%E0%B8%A7%E0%B8%A2%E0%B9%8C%20%E0%B8%8B%E0%B8%AD%E0%B8%A2%E0%B9%84%E0%B8%AA%E0%B8%A2%E0%B8%A7%E0%B8%99%20%E0%B8%A0%E0%B8%B9%E0%B9%80%E0%B8%81%E0%B9%87%E0%B8%95</x:v>
      </x:c>
      <x:c r="Z563" s="56" t="n">
        <x:v>7.791704</x:v>
      </x:c>
      <x:c r="AA563" s="56" t="n">
        <x:v>98.316489</x:v>
      </x:c>
      <x:c r="AB563" s="57" t="str"/>
      <x:c r="AC563" s="20" t="str">
        <x:v>https://makanhalalguide.com/shop/detail/5175</x:v>
      </x:c>
    </x:row>
    <x:row r="564" ht="88" customHeight="1">
      <x:c r="A564" s="54" t="n">
        <x:v>556</x:v>
      </x:c>
      <x:c r="B564" s="20" t="str">
        <x:v>ระฟ้าภูเก็ต ติ่มซำฮาลาล สาขา 2</x:v>
      </x:c>
      <x:c r="C564" s="20" t="str">
        <x:v>ภูเก็ต</x:v>
      </x:c>
      <x:c r="D564" s="20" t="str">
        <x:v>ร้านอาหาร</x:v>
      </x:c>
      <x:c r="E564" s="20" t="str">
        <x:v>มีรายชื่อใน Makan Halal Guide; ช่องห้องละหมาดไม่ได้ทำเครื่องหมายว่ามี</x:v>
      </x:c>
      <x:c r="F564" s="20" t="str">
        <x:v>แหล่งเดิมไม่ระบุว่ามี</x:v>
      </x:c>
      <x:c r="G564" s="20" t="str">
        <x:v>ยังไม่พบเอกสารรับรองและวันหมดอายุ</x:v>
      </x:c>
      <x:c r="H564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564" s="20" t="str">
        <x:v>104/2หมู่4 ตำบลวิชิต อำเภอเมือง จังหวัดภูเก็ต 83000</x:v>
      </x:c>
      <x:c r="J564" s="21" t="str">
        <x:v>0878926688</x:v>
      </x:c>
      <x:c r="K564" s="51" t="str">
        <x:v>https://makanhalalguide.com/shop/detail/5141</x:v>
      </x:c>
      <x:c r="L564" s="51" t="str">
        <x:v>https://www.wongnai.com/restaurants/447277fd-%E0%B8%A3%E0%B8%B0%E0%B8%9F%E0%B9%89%E0%B8%B2%E0%B8%A0%E0%B8%B9%E0%B9%80%E0%B8%81%E0%B9%87%E0%B8%95-%E0%B8%A3%E0%B8%B0%E0%B8%9F%E0%B9%89%E0%B8%B2%E0%B8%A0%E0%B8%B9%E0%B9%80%E0%B8%81%E0%B9%87%E0%B8%95-%E0%B8%AA%E0%B8%B2%E0%B8%82%E0%B8%B22</x:v>
      </x:c>
      <x:c r="M564" s="20" t="str">
        <x:v>ผลค้นหาชื่อสัมพันธ์จากแหล่งเพิ่มเติม ต้องยืนยันสาขาและข้อมูลปัจจุบัน</x:v>
      </x:c>
      <x:c r="N564" s="28" t="n">
        <x:v>46315</x:v>
      </x:c>
      <x:c r="O564" s="57" t="str">
        <x:v>ยังไม่ตรวจ</x:v>
      </x:c>
      <x:c r="P564" s="57" t="str">
        <x:v>ยังไม่ติดต่อ</x:v>
      </x:c>
      <x:c r="Q564" s="20" t="str">
        <x:v>TMF-572</x:v>
      </x:c>
      <x:c r="R564" s="20" t="str"/>
      <x:c r="S564" s="20" t="str"/>
      <x:c r="T564" s="20" t="str">
        <x:v>https://makanhalalguide.com/shop/detail/5141</x:v>
      </x:c>
      <x:c r="U564" s="20" t="str"/>
      <x:c r="V564" s="20" t="str"/>
      <x:c r="W564" s="20" t="str"/>
      <x:c r="X564" s="20" t="str"/>
      <x:c r="Y564" s="20" t="str">
        <x:v>https://www.google.com/maps/search/?api=1&amp;query=%E0%B8%A3%E0%B8%B0%E0%B8%9F%E0%B9%89%E0%B8%B2%E0%B8%A0%E0%B8%B9%E0%B9%80%E0%B8%81%E0%B9%87%E0%B8%95%20%E0%B8%95%E0%B8%B4%E0%B9%88%E0%B8%A1%E0%B8%8B%E0%B8%B3%E0%B8%AE%E0%B8%B2%E0%B8%A5%E0%B8%B2%E0%B8%A5%20%E0%B8%AA%E0%B8%B2%E0%B8%82%E0%B8%B2%202%20%E0%B8%A0%E0%B8%B9%E0%B9%80%E0%B8%81%E0%B9%87%E0%B8%95</x:v>
      </x:c>
      <x:c r="Z564" s="56" t="n">
        <x:v>7.88109</x:v>
      </x:c>
      <x:c r="AA564" s="56" t="n">
        <x:v>98.373728</x:v>
      </x:c>
      <x:c r="AB564" s="57" t="str"/>
      <x:c r="AC564" s="20" t="str">
        <x:v>https://makanhalalguide.com/shop/detail/5141</x:v>
      </x:c>
    </x:row>
    <x:row r="565" ht="88" customHeight="1">
      <x:c r="A565" s="54" t="n">
        <x:v>557</x:v>
      </x:c>
      <x:c r="B565" s="20" t="str">
        <x:v>อรุณโภชนา</x:v>
      </x:c>
      <x:c r="C565" s="20" t="str">
        <x:v>ภูเก็ต</x:v>
      </x:c>
      <x:c r="D565" s="20" t="str">
        <x:v>ร้านอาหาร</x:v>
      </x:c>
      <x:c r="E565" s="20" t="str">
        <x:v>มีรายชื่อใน Makan Halal Guide; ช่องห้องละหมาดไม่ได้ทำเครื่องหมายว่ามี</x:v>
      </x:c>
      <x:c r="F565" s="20" t="str">
        <x:v>แหล่งเดิมไม่ระบุว่ามี</x:v>
      </x:c>
      <x:c r="G565" s="20" t="str">
        <x:v>ยังไม่พบเอกสารรับรองและวันหมดอายุ</x:v>
      </x:c>
      <x:c r="H565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565" s="20" t="str">
        <x:v>ย่านเมืองเก่าชิโนโปรตุกีส ถ.ถลาง เมืองภูเก็ต</x:v>
      </x:c>
      <x:c r="J565" s="21" t="str">
        <x:v>0980166562</x:v>
      </x:c>
      <x:c r="K565" s="51" t="str">
        <x:v>https://makanhalalguide.com/shop/detail/5174</x:v>
      </x:c>
      <x:c r="L565" s="51" t="str">
        <x:v>https://www.wongnai.com/restaurants/12938Dc-%E0%B8%AD%E0%B8%A3%E0%B8%B8%E0%B8%93%E0%B9%82%E0%B8%A0%E0%B8%8A%E0%B8%99%E0%B8%B2-%E0%B8%AE%E0%B8%B2%E0%B8%A5%E0%B8%B2%E0%B8%A5%E0%B8%9F%E0%B8%B9%E0%B9%89%E0%B8%94-%E0%B8%AD%E0%B8%A3%E0%B8%B8%E0%B8%93%E0%B9%82%E0%B8%A0%E0%B8%8A%E0%B8%99%E0%B8%B2-%E0%B8%AE%E0%B8%B2%E0%B8%A5%E0%B8%B2%E0%B8%A5%E0%B8%9F%E0%B8%B9%E0%B9%89%E0%B8%94/reviews</x:v>
      </x:c>
      <x:c r="M565" s="20" t="str">
        <x:v>ผลค้นหาชื่อสัมพันธ์จากแหล่งเพิ่มเติม ต้องยืนยันสาขาและข้อมูลปัจจุบัน</x:v>
      </x:c>
      <x:c r="N565" s="28" t="n">
        <x:v>46315</x:v>
      </x:c>
      <x:c r="O565" s="57" t="str">
        <x:v>ยังไม่ตรวจ</x:v>
      </x:c>
      <x:c r="P565" s="57" t="str">
        <x:v>ยังไม่ติดต่อ</x:v>
      </x:c>
      <x:c r="Q565" s="20" t="str">
        <x:v>TMF-574</x:v>
      </x:c>
      <x:c r="R565" s="20" t="str"/>
      <x:c r="S565" s="20" t="str"/>
      <x:c r="T565" s="20" t="str">
        <x:v>https://makanhalalguide.com/shop/detail/5174</x:v>
      </x:c>
      <x:c r="U565" s="20" t="str"/>
      <x:c r="V565" s="20" t="str"/>
      <x:c r="W565" s="20" t="str"/>
      <x:c r="X565" s="20" t="str"/>
      <x:c r="Y565" s="20" t="str">
        <x:v>https://www.google.com/maps/search/?api=1&amp;query=%E0%B8%AD%E0%B8%A3%E0%B8%B8%E0%B8%93%E0%B9%82%E0%B8%A0%E0%B8%8A%E0%B8%99%E0%B8%B2%20%E0%B8%A0%E0%B8%B9%E0%B9%80%E0%B8%81%E0%B9%87%E0%B8%95</x:v>
      </x:c>
      <x:c r="Z565" s="56" t="n">
        <x:v>7.884607</x:v>
      </x:c>
      <x:c r="AA565" s="56" t="n">
        <x:v>98.387607</x:v>
      </x:c>
      <x:c r="AB565" s="57" t="str"/>
      <x:c r="AC565" s="20" t="str">
        <x:v>https://makanhalalguide.com/shop/detail/5174</x:v>
      </x:c>
    </x:row>
    <x:row r="566" ht="88" customHeight="1">
      <x:c r="A566" s="54" t="n">
        <x:v>558</x:v>
      </x:c>
      <x:c r="B566" s="20" t="str">
        <x:v>ATG Southsea</x:v>
      </x:c>
      <x:c r="C566" s="20" t="str">
        <x:v>ภูเก็ต</x:v>
      </x:c>
      <x:c r="D566" s="20" t="str">
        <x:v>สถานประกอบการเพื่อสุขภาพและเวลเนส</x:v>
      </x:c>
      <x:c r="E566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566" s="20" t="str">
        <x:v>มีข้อมูลระบุ แต่รอยืนยัน</x:v>
      </x:c>
      <x:c r="G566" s="20" t="str">
        <x:v>ทะเบียน GMHI 3 ดาว; ช่องใบรับรอง: GMHI; ยังต้องยืนยันใบรับรองอาหารฮาลาลและวันหมดอายุแยกต่างหาก</x:v>
      </x:c>
      <x:c r="H566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เว็บไซต์ ATGenes ระบุช่องทาง LINE @atg-southsea และโทรศัพท์สาขาภูเก็ต 081-132-4961 / ที่อยู่และหมุดในทะเบียน GMHI ซ้ำกับ Icellare ต้องยืนยันว่าใช้สถานที่เดียวกันหรือข้อมูลทะเบียนคลาดเคลื่อน / ยังไม่พบรีวิวที่ยืนยันสาขาได้ชัด</x:v>
      </x:c>
      <x:c r="I566" s="20" t="str">
        <x:v>9 Komarapat Rd, Tambon Talat Yai, Amphoe Mueang Phuket, Chang Wat Phuket 83000</x:v>
      </x:c>
      <x:c r="J566" s="21" t="str">
        <x:v>ยังไม่พบหรือยังไม่ยืนยัน</x:v>
      </x:c>
      <x:c r="K566" s="51" t="str">
        <x:v>https://gmhi.co/th-th/services/ATG%20Southsea-51</x:v>
      </x:c>
      <x:c r="L566" s="51" t="str">
        <x:v>https://www.atgenes.com/apoe/</x:v>
      </x:c>
      <x:c r="M566" s="20" t="str">
        <x:v>เว็บไซต์ ATGenes ระบุช่องทาง LINE @atg-southsea และโทรศัพท์สาขาภูเก็ต 081-132-4961 / ที่อยู่และหมุดในทะเบียน GMHI ซ้ำกับ Icellare ต้องยืนยันว่าใช้สถานที่เดียวกันหรือข้อมูลทะเบียนคลาดเคลื่อน / ยังไม่พบรีวิวที่ยืนยันสาขาได้ชัด</x:v>
      </x:c>
      <x:c r="N566" s="28" t="n">
        <x:v>46315</x:v>
      </x:c>
      <x:c r="O566" s="57" t="str">
        <x:v>ยังไม่ตรวจ</x:v>
      </x:c>
      <x:c r="P566" s="57" t="str">
        <x:v>ยังไม่ติดต่อ</x:v>
      </x:c>
      <x:c r="Q566" s="20" t="str">
        <x:v>GMHI-51</x:v>
      </x:c>
      <x:c r="R566" s="20" t="str">
        <x:v>ATG Southsea</x:v>
      </x:c>
      <x:c r="S566" s="20" t="str"/>
      <x:c r="T566" s="20" t="str">
        <x:v>https://gmhi.co/th-th/services/ATG%20Southsea-51</x:v>
      </x:c>
      <x:c r="U566" s="20" t="str"/>
      <x:c r="V566" s="20" t="str"/>
      <x:c r="W566" s="20" t="str"/>
      <x:c r="X566" s="20" t="str"/>
      <x:c r="Y566" s="20" t="str">
        <x:v>https://www.google.com/maps/search/?api=1&amp;query=ATG%20Southsea%20%E0%B8%A0%E0%B8%B9%E0%B9%80%E0%B8%81%E0%B9%87%E0%B8%95</x:v>
      </x:c>
      <x:c r="Z566" s="56" t="n">
        <x:v>7.8962043</x:v>
      </x:c>
      <x:c r="AA566" s="56" t="n">
        <x:v>98.385572</x:v>
      </x:c>
      <x:c r="AB566" s="57" t="str"/>
      <x:c r="AC566" s="20" t="str">
        <x:v>https://gmhi.co/th-th/services/ATG%20Southsea-51</x:v>
      </x:c>
    </x:row>
    <x:row r="567" ht="88" customHeight="1">
      <x:c r="A567" s="54" t="n">
        <x:v>559</x:v>
      </x:c>
      <x:c r="B567" s="20" t="str">
        <x:v>Banyan Tree Spa Phuket</x:v>
      </x:c>
      <x:c r="C567" s="20" t="str">
        <x:v>ภูเก็ต</x:v>
      </x:c>
      <x:c r="D567" s="20" t="str">
        <x:v>เวลเนส</x:v>
      </x:c>
      <x:c r="E567" s="20" t="str">
        <x:v>พบข้อมูลชื่อตรงจาก Best Resorts in Phuket - 5 Star Pool Villa Resort | Banyan Tree Phuket; เป็นหลักฐานตัวตน/ประเภท ยังไม่ยืนยันบริการมุสลิมครบเกณฑ์</x:v>
      </x:c>
      <x:c r="F567" s="20" t="str">
        <x:v>ไม่ทราบ</x:v>
      </x:c>
      <x:c r="G567" s="20" t="str">
        <x:v>ยังไม่ยืนยันใบรับรองและวันหมดอายุ</x:v>
      </x:c>
      <x:c r="H567" s="20" t="str">
        <x:v>ตรวจการเปิด ตัวตนสาขา ช่องทางติดต่อ และเงื่อนไขบังคับตามประเภท</x:v>
      </x:c>
      <x:c r="I567" s="20" t="str">
        <x:v>ยังไม่ยืนยันที่อยู่ละเอียด ดูลิงก์แหล่งข้อมูลและ Google Maps</x:v>
      </x:c>
      <x:c r="J567" s="21" t="str">
        <x:v>ยังไม่พบหรือยังไม่ยืนยัน</x:v>
      </x:c>
      <x:c r="K567" s="51" t="str">
        <x:v>https://www.banyantree.com/thailand/phuket</x:v>
      </x:c>
      <x:c r="L567" s="51" t="str">
        <x:v>https://www.phuket101.net/banyan-tree-spa-phuket/</x:v>
      </x:c>
      <x:c r="M567" s="20" t="str">
        <x:v>พบแหล่งต่างเว็บไซต์ Banyan Tree Spa Phuket | Award-Winning Spa In Bangtao Beach</x:v>
      </x:c>
      <x:c r="N567" s="28" t="n">
        <x:v>46316</x:v>
      </x:c>
      <x:c r="O567" s="57" t="str">
        <x:v>ยังไม่ตรวจ</x:v>
      </x:c>
      <x:c r="P567" s="57" t="str">
        <x:v>ยังไม่ติดต่อ</x:v>
      </x:c>
      <x:c r="Q567" s="20" t="str">
        <x:v>R26-293</x:v>
      </x:c>
      <x:c r="R567" s="20" t="str">
        <x:v>Banyan Tree Spa Phuket</x:v>
      </x:c>
      <x:c r="S567" s="20" t="str"/>
      <x:c r="T567" s="20" t="str">
        <x:v>https://www.banyantree.com/thailand/phuket</x:v>
      </x:c>
      <x:c r="U567" s="20" t="str"/>
      <x:c r="V567" s="20" t="str"/>
      <x:c r="W567" s="20" t="str"/>
      <x:c r="X567" s="20" t="str"/>
      <x:c r="Y567" s="20" t="str">
        <x:v>https://www.google.com/maps/search/?api=1&amp;query=Banyan%20Tree%20Spa%20Phuket%20%E0%B8%A0%E0%B8%B9%E0%B9%80%E0%B8%81%E0%B9%87%E0%B8%95</x:v>
      </x:c>
      <x:c r="Z567" s="56" t="n">
        <x:v>8.0098856</x:v>
      </x:c>
      <x:c r="AA567" s="56" t="n">
        <x:v>98.2939562</x:v>
      </x:c>
      <x:c r="AB567" s="57" t="str"/>
      <x:c r="AC567" s="20" t="str">
        <x:v>https://www.banyantree.com/thailand/phuket</x:v>
      </x:c>
    </x:row>
    <x:row r="568" ht="88" customHeight="1">
      <x:c r="A568" s="54" t="n">
        <x:v>560</x:v>
      </x:c>
      <x:c r="B568" s="20" t="str">
        <x:v>Icellare</x:v>
      </x:c>
      <x:c r="C568" s="20" t="str">
        <x:v>ภูเก็ต</x:v>
      </x:c>
      <x:c r="D568" s="20" t="str">
        <x:v>สถานประกอบการเพื่อสุขภาพและเวลเนส</x:v>
      </x:c>
      <x:c r="E568" s="20" t="str">
        <x:v>มีชื่อในทะเบียนสาธารณะ GMHI; ข้อมูลบริการตามทะเบียนยังต้องยืนยันกับผู้ประกอบการ; ระบุอุปกรณ์หรือพื้นที่สำหรับละหมาด</x:v>
      </x:c>
      <x:c r="F568" s="20" t="str">
        <x:v>มีข้อมูลระบุ แต่รอยืนยัน</x:v>
      </x:c>
      <x:c r="G568" s="20" t="str">
        <x:v>ทะเบียน GMHI 4 ดาว; ช่องใบรับรอง: ไม่ระบุ; ยังต้องยืนยันใบรับรองอาหารฮาลาลและวันหมดอายุแยกต่างหาก</x:v>
      </x:c>
      <x:c r="H568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หน้า Contact Us ของผู้ประกอบการระบุสาขาภูเก็ตที่ 9 Komarapat Road และบัญชี Instagram icellare_phuket / พบข้อมูลสถานที่แต่ยังไม่ยืนยันวันที่กิจกรรมล่าสุดและวันหมดอายุใบรับรอง GMHI</x:v>
      </x:c>
      <x:c r="I568" s="20" t="str">
        <x:v>9 ถนนโกมารภัจจ์ ตำบลตลาดใหญ่ อำเภอเมืองภูเก็ต ภูเก็ต 83000</x:v>
      </x:c>
      <x:c r="J568" s="21" t="str">
        <x:v>ยังไม่พบหรือยังไม่ยืนยัน</x:v>
      </x:c>
      <x:c r="K568" s="51" t="str">
        <x:v>https://gmhi.co/th-th/services/Icellare-52</x:v>
      </x:c>
      <x:c r="L568" s="51" t="str">
        <x:v>https://www.icellare.com/contact-3</x:v>
      </x:c>
      <x:c r="M568" s="20" t="str">
        <x:v>หน้า Contact Us ของผู้ประกอบการระบุสาขาภูเก็ตที่ 9 Komarapat Road และบัญชี Instagram icellare_phuket / พบข้อมูลสถานที่แต่ยังไม่ยืนยันวันที่กิจกรรมล่าสุดและวันหมดอายุใบรับรอง GMHI</x:v>
      </x:c>
      <x:c r="N568" s="28" t="n">
        <x:v>46315</x:v>
      </x:c>
      <x:c r="O568" s="57" t="str">
        <x:v>ยังไม่ตรวจ</x:v>
      </x:c>
      <x:c r="P568" s="57" t="str">
        <x:v>ยังไม่ติดต่อ</x:v>
      </x:c>
      <x:c r="Q568" s="20" t="str">
        <x:v>GMHI-52</x:v>
      </x:c>
      <x:c r="R568" s="20" t="str">
        <x:v>Icellare</x:v>
      </x:c>
      <x:c r="S568" s="20" t="str"/>
      <x:c r="T568" s="20" t="str">
        <x:v>https://gmhi.co/th-th/services/Icellare-52</x:v>
      </x:c>
      <x:c r="U568" s="20" t="str"/>
      <x:c r="V568" s="20" t="str"/>
      <x:c r="W568" s="20" t="str"/>
      <x:c r="X568" s="20" t="str"/>
      <x:c r="Y568" s="20" t="str">
        <x:v>https://www.google.com/maps/search/?api=1&amp;query=Icellare%20%E0%B8%A0%E0%B8%B9%E0%B9%80%E0%B8%81%E0%B9%87%E0%B8%95</x:v>
      </x:c>
      <x:c r="Z568" s="56" t="n">
        <x:v>7.8962043</x:v>
      </x:c>
      <x:c r="AA568" s="56" t="n">
        <x:v>98.385572</x:v>
      </x:c>
      <x:c r="AB568" s="57" t="str"/>
      <x:c r="AC568" s="20" t="str">
        <x:v>https://gmhi.co/th-th/services/Icellare-52</x:v>
      </x:c>
    </x:row>
    <x:row r="569" ht="88" customHeight="1">
      <x:c r="A569" s="54" t="n">
        <x:v>561</x:v>
      </x:c>
      <x:c r="B569" s="20" t="str">
        <x:v>Let's Relax Spa Phuket Boat Lagoon</x:v>
      </x:c>
      <x:c r="C569" s="20" t="str">
        <x:v>ภูเก็ต</x:v>
      </x:c>
      <x:c r="D569" s="20" t="str">
        <x:v>เวลเนส</x:v>
      </x:c>
      <x:c r="E569" s="20" t="str">
        <x:v>พบข้อมูลชื่อตรงจาก Let's Relax Spa Phuket Boat Lagoon | Let's Relax Spa; เป็นหลักฐานตัวตน/ประเภท ยังไม่ยืนยันบริการมุสลิมครบเกณฑ์</x:v>
      </x:c>
      <x:c r="F569" s="20" t="str">
        <x:v>ไม่ทราบ</x:v>
      </x:c>
      <x:c r="G569" s="20" t="str">
        <x:v>ยังไม่ยืนยันใบรับรองและวันหมดอายุ</x:v>
      </x:c>
      <x:c r="H569" s="20" t="str">
        <x:v>ตรวจการเปิด ตัวตนสาขา ช่องทางติดต่อ และเงื่อนไขบังคับตามประเภท</x:v>
      </x:c>
      <x:c r="I569" s="20" t="str">
        <x:v>ยังไม่ยืนยันที่อยู่ละเอียด ดูลิงก์แหล่งข้อมูลและ Google Maps</x:v>
      </x:c>
      <x:c r="J569" s="21" t="str">
        <x:v>+66 6 4302 1752 / +66 7660 1328</x:v>
      </x:c>
      <x:c r="K569" s="51" t="str">
        <x:v>https://letsrelaxspa.com/branches/phuket-boat-lagoon/</x:v>
      </x:c>
      <x:c r="L569" s="51" t="str">
        <x:v>https://www.phuketboatlagoon.com/tenant-directory/?cate=6</x:v>
      </x:c>
      <x:c r="M569" s="20" t="str">
        <x:v>พบแหล่งต่างเว็บไซต์ Tenant Directory | Phuket Boat Lagoon</x:v>
      </x:c>
      <x:c r="N569" s="28" t="n">
        <x:v>46316</x:v>
      </x:c>
      <x:c r="O569" s="57" t="str">
        <x:v>ยังไม่ตรวจ</x:v>
      </x:c>
      <x:c r="P569" s="57" t="str">
        <x:v>ยังไม่ติดต่อ</x:v>
      </x:c>
      <x:c r="Q569" s="20" t="str">
        <x:v>R26-289</x:v>
      </x:c>
      <x:c r="R569" s="20" t="str">
        <x:v>Let's Relax Spa Phuket Boat Lagoon</x:v>
      </x:c>
      <x:c r="S569" s="20" t="str"/>
      <x:c r="T569" s="20" t="str">
        <x:v>https://letsrelaxspa.com/branches/phuket-boat-lagoon/</x:v>
      </x:c>
      <x:c r="U569" s="20" t="str">
        <x:v>https://www.facebook.com/letsrelaxspa.official/</x:v>
      </x:c>
      <x:c r="V569" s="20" t="str">
        <x:v>https://www.instagram.com/letsrelaxspa.official/?hl=en</x:v>
      </x:c>
      <x:c r="W569" s="20" t="str"/>
      <x:c r="X569" s="20" t="str"/>
      <x:c r="Y569" s="20" t="str">
        <x:v>https://www.google.com/maps/search/?api=1&amp;query=Let%27s%20Relax%20Spa%20Phuket%20Boat%20Lagoon%20%E0%B8%A0%E0%B8%B9%E0%B9%80%E0%B8%81%E0%B9%87%E0%B8%95</x:v>
      </x:c>
      <x:c r="Z569" s="56" t="n">
        <x:v>7.959002</x:v>
      </x:c>
      <x:c r="AA569" s="56" t="n">
        <x:v>98.383009</x:v>
      </x:c>
      <x:c r="AB569" s="57" t="str"/>
      <x:c r="AC569" s="20" t="str">
        <x:v>https://letsrelaxspa.com/branches/phuket-boat-lagoon/</x:v>
      </x:c>
    </x:row>
    <x:row r="570" ht="88" customHeight="1">
      <x:c r="A570" s="54" t="n">
        <x:v>562</x:v>
      </x:c>
      <x:c r="B570" s="20" t="str">
        <x:v>Let's Relax Spa Phuket Patong 2nd Street</x:v>
      </x:c>
      <x:c r="C570" s="20" t="str">
        <x:v>ภูเก็ต</x:v>
      </x:c>
      <x:c r="D570" s="20" t="str">
        <x:v>เวลเนส</x:v>
      </x:c>
      <x:c r="E570" s="20" t="str">
        <x:v>พบข้อมูลชื่อตรงจาก Let's Relax Spa Phuket Patong 2nd street | Let's Relax Spa; เป็นหลักฐานตัวตน/ประเภท ยังไม่ยืนยันบริการมุสลิมครบเกณฑ์</x:v>
      </x:c>
      <x:c r="F570" s="20" t="str">
        <x:v>ไม่ทราบ</x:v>
      </x:c>
      <x:c r="G570" s="20" t="str">
        <x:v>ยังไม่ยืนยันใบรับรองและวันหมดอายุ</x:v>
      </x:c>
      <x:c r="H570" s="20" t="str">
        <x:v>ตรวจการเปิด ตัวตนสาขา ช่องทางติดต่อ และเงื่อนไขบังคับตามประเภท</x:v>
      </x:c>
      <x:c r="I570" s="20" t="str">
        <x:v>ยังไม่ยืนยันที่อยู่ละเอียด ดูลิงก์แหล่งข้อมูลและ Google Maps</x:v>
      </x:c>
      <x:c r="J570" s="21" t="str">
        <x:v>+66 6 4187 6589 / +66 7634 6080</x:v>
      </x:c>
      <x:c r="K570" s="51" t="str">
        <x:v>https://letsrelaxspa.com/branches/phuket-2nd-street/</x:v>
      </x:c>
      <x:c r="L570" s="51" t="str">
        <x:v>https://www.wongnai.com/businesses/291075Nr-let-s-relax-phuket-patong-2nd-street</x:v>
      </x:c>
      <x:c r="M570" s="20" t="str">
        <x:v>พบแหล่งต่างเว็บไซต์ ร้าน Let's Relax Phuket Patong 2nd street</x:v>
      </x:c>
      <x:c r="N570" s="28" t="n">
        <x:v>46316</x:v>
      </x:c>
      <x:c r="O570" s="57" t="str">
        <x:v>ยังไม่ตรวจ</x:v>
      </x:c>
      <x:c r="P570" s="57" t="str">
        <x:v>ยังไม่ติดต่อ</x:v>
      </x:c>
      <x:c r="Q570" s="20" t="str">
        <x:v>R26-290</x:v>
      </x:c>
      <x:c r="R570" s="20" t="str">
        <x:v>Let's Relax Spa Phuket Patong 2nd Street</x:v>
      </x:c>
      <x:c r="S570" s="20" t="str"/>
      <x:c r="T570" s="20" t="str">
        <x:v>https://letsrelaxspa.com/branches/phuket-2nd-street/</x:v>
      </x:c>
      <x:c r="U570" s="20" t="str">
        <x:v>https://www.facebook.com/letsrelaxspa.official/</x:v>
      </x:c>
      <x:c r="V570" s="20" t="str">
        <x:v>https://www.instagram.com/letsrelaxspa.official/?hl=en</x:v>
      </x:c>
      <x:c r="W570" s="20" t="str"/>
      <x:c r="X570" s="20" t="str"/>
      <x:c r="Y570" s="20" t="str">
        <x:v>https://www.google.com/maps/search/?api=1&amp;query=Let%27s%20Relax%20Spa%20Phuket%20Patong%202nd%20Street%20%E0%B8%A0%E0%B8%B9%E0%B9%80%E0%B8%81%E0%B9%87%E0%B8%95</x:v>
      </x:c>
      <x:c r="Z570" s="56" t="str"/>
      <x:c r="AA570" s="56" t="str"/>
      <x:c r="AB570" s="57" t="str"/>
      <x:c r="AC570" s="20" t="str">
        <x:v>https://letsrelaxspa.com/branches/phuket-2nd-street/</x:v>
      </x:c>
    </x:row>
    <x:row r="571" ht="88" customHeight="1">
      <x:c r="A571" s="54" t="n">
        <x:v>563</x:v>
      </x:c>
      <x:c r="B571" s="20" t="str">
        <x:v>Let's Relax Spa Phuket Porto de Phuket</x:v>
      </x:c>
      <x:c r="C571" s="20" t="str">
        <x:v>ภูเก็ต</x:v>
      </x:c>
      <x:c r="D571" s="20" t="str">
        <x:v>เวลเนส</x:v>
      </x:c>
      <x:c r="E571" s="20" t="str">
        <x:v>พบข้อมูลชื่อตรงจาก Let's Relax Spa Phuket Laguna Porto de Phuket | Let's Relax Spa; เป็นหลักฐานตัวตน/ประเภท ยังไม่ยืนยันบริการมุสลิมครบเกณฑ์</x:v>
      </x:c>
      <x:c r="F571" s="20" t="str">
        <x:v>ไม่ทราบ</x:v>
      </x:c>
      <x:c r="G571" s="20" t="str">
        <x:v>ยังไม่ยืนยันใบรับรองและวันหมดอายุ</x:v>
      </x:c>
      <x:c r="H571" s="20" t="str">
        <x:v>ตรวจการเปิด ตัวตนสาขา ช่องทางติดต่อ และเงื่อนไขบังคับตามประเภท</x:v>
      </x:c>
      <x:c r="I571" s="20" t="str">
        <x:v>ยังไม่ยืนยันที่อยู่ละเอียด ดูลิงก์แหล่งข้อมูลและ Google Maps</x:v>
      </x:c>
      <x:c r="J571" s="21" t="str">
        <x:v>+66 9 6873 3158 / +66 7636 8219</x:v>
      </x:c>
      <x:c r="K571" s="51" t="str">
        <x:v>https://letsrelaxspa.com/branches/phuket-laguna-porto-de-phuket/</x:v>
      </x:c>
      <x:c r="L571" s="51" t="str">
        <x:v>https://www.wongnai.com/businesses/470686Ve-let-s-relax-spa-porto-de-phuket/reviews</x:v>
      </x:c>
      <x:c r="M571" s="20" t="str">
        <x:v>พบผลค้นชื่อสัมพันธ์เพิ่มเติม ต้องยืนยันสาขาและเจ้าของช่องทาง</x:v>
      </x:c>
      <x:c r="N571" s="28" t="n">
        <x:v>46316</x:v>
      </x:c>
      <x:c r="O571" s="57" t="str">
        <x:v>ยังไม่ตรวจ</x:v>
      </x:c>
      <x:c r="P571" s="57" t="str">
        <x:v>ยังไม่ติดต่อ</x:v>
      </x:c>
      <x:c r="Q571" s="20" t="str">
        <x:v>R26-291</x:v>
      </x:c>
      <x:c r="R571" s="20" t="str">
        <x:v>Let's Relax Spa Phuket Porto de Phuket</x:v>
      </x:c>
      <x:c r="S571" s="20" t="str"/>
      <x:c r="T571" s="20" t="str">
        <x:v>https://letsrelaxspa.com/branches/phuket-laguna-porto-de-phuket/</x:v>
      </x:c>
      <x:c r="U571" s="20" t="str">
        <x:v>https://www.facebook.com/letsrelaxspa.official/</x:v>
      </x:c>
      <x:c r="V571" s="20" t="str">
        <x:v>https://www.instagram.com/letsrelaxspa.official/?hl=en</x:v>
      </x:c>
      <x:c r="W571" s="20" t="str"/>
      <x:c r="X571" s="20" t="str"/>
      <x:c r="Y571" s="20" t="str">
        <x:v>https://www.google.com/maps/search/?api=1&amp;query=Let%27s%20Relax%20Spa%20Phuket%20Porto%20de%20Phuket%20%E0%B8%A0%E0%B8%B9%E0%B9%80%E0%B8%81%E0%B9%87%E0%B8%95</x:v>
      </x:c>
      <x:c r="Z571" s="56" t="str"/>
      <x:c r="AA571" s="56" t="str"/>
      <x:c r="AB571" s="57" t="str"/>
      <x:c r="AC571" s="20" t="str">
        <x:v>https://letsrelaxspa.com/branches/phuket-laguna-porto-de-phuket/</x:v>
      </x:c>
    </x:row>
    <x:row r="572" ht="88" customHeight="1">
      <x:c r="A572" s="54" t="n">
        <x:v>564</x:v>
      </x:c>
      <x:c r="B572" s="20" t="str">
        <x:v>Sukko Spa Phuket</x:v>
      </x:c>
      <x:c r="C572" s="20" t="str">
        <x:v>ภูเก็ต</x:v>
      </x:c>
      <x:c r="D572" s="20" t="str">
        <x:v>เวลเนส</x:v>
      </x:c>
      <x:c r="E572" s="20" t="str">
        <x:v>พบข้อมูลชื่อตรงจาก Sukko Spa (จังหวัดภูเก็ต, ไทย) - รีวิว - Tripadvisor; เป็นหลักฐานตัวตน/ประเภท ยังไม่ยืนยันบริการมุสลิมครบเกณฑ์</x:v>
      </x:c>
      <x:c r="F572" s="20" t="str">
        <x:v>ไม่ทราบ</x:v>
      </x:c>
      <x:c r="G572" s="20" t="str">
        <x:v>ยังไม่ยืนยันใบรับรองและวันหมดอายุ</x:v>
      </x:c>
      <x:c r="H572" s="20" t="str">
        <x:v>ตรวจการเปิด ตัวตนสาขา ช่องทางติดต่อ และเงื่อนไขบังคับตามประเภท</x:v>
      </x:c>
      <x:c r="I572" s="20" t="str">
        <x:v>ยังไม่ยืนยันที่อยู่ละเอียด ดูลิงก์แหล่งข้อมูลและ Google Maps</x:v>
      </x:c>
      <x:c r="J572" s="21" t="str">
        <x:v>ยังไม่พบหรือยังไม่ยืนยัน</x:v>
      </x:c>
      <x:c r="K572" s="51" t="str">
        <x:v>https://th.tripadvisor.com/Attraction_Review-g293920-d658581-Reviews-Sukko_Spa-Phuket.html</x:v>
      </x:c>
      <x:c r="L572" s="51" t="str">
        <x:v>https://www.tripadvisor.co.uk/Attraction_Review-g293920-d658581-Reviews-Sukko_Spa-Phuket.html</x:v>
      </x:c>
      <x:c r="M572" s="20" t="str">
        <x:v>พบแหล่งต่างเว็บไซต์ SUKKO SPA - All You SHOULD Know Before You Go 2026 (w/ Reviews)</x:v>
      </x:c>
      <x:c r="N572" s="28" t="n">
        <x:v>46316</x:v>
      </x:c>
      <x:c r="O572" s="57" t="str">
        <x:v>ยังไม่ตรวจ</x:v>
      </x:c>
      <x:c r="P572" s="57" t="str">
        <x:v>ยังไม่ติดต่อ</x:v>
      </x:c>
      <x:c r="Q572" s="20" t="str">
        <x:v>R26-292</x:v>
      </x:c>
      <x:c r="R572" s="20" t="str">
        <x:v>Sukko Spa Phuket</x:v>
      </x:c>
      <x:c r="S572" s="20" t="str"/>
      <x:c r="T572" s="20" t="str">
        <x:v>https://th.tripadvisor.com/Attraction_Review-g293920-d658581-Reviews-Sukko_Spa-Phuket.html</x:v>
      </x:c>
      <x:c r="U572" s="20" t="str"/>
      <x:c r="V572" s="20" t="str"/>
      <x:c r="W572" s="20" t="str"/>
      <x:c r="X572" s="20" t="str"/>
      <x:c r="Y572" s="20" t="str">
        <x:v>https://www.google.com/maps/search/?api=1&amp;query=Sukko%20Spa%20Phuket%20%E0%B8%A0%E0%B8%B9%E0%B9%80%E0%B8%81%E0%B9%87%E0%B8%95</x:v>
      </x:c>
      <x:c r="Z572" s="56" t="n">
        <x:v>7.8643912</x:v>
      </x:c>
      <x:c r="AA572" s="56" t="n">
        <x:v>98.345198</x:v>
      </x:c>
      <x:c r="AB572" s="57" t="str"/>
      <x:c r="AC572" s="20" t="str">
        <x:v>https://th.tripadvisor.com/Attraction_Review-g293920-d658581-Reviews-Sukko_Spa-Phuket.html</x:v>
      </x:c>
    </x:row>
    <x:row r="573" ht="88" customHeight="1">
      <x:c r="A573" s="54" t="n">
        <x:v>565</x:v>
      </x:c>
      <x:c r="B573" s="20" t="str">
        <x:v>โอเอซิสสปา ทรอปิคอลรีทรีต ลากูน่า</x:v>
      </x:c>
      <x:c r="C573" s="20" t="str">
        <x:v>ภูเก็ต</x:v>
      </x:c>
      <x:c r="D573" s="20" t="str">
        <x:v>สปา</x:v>
      </x:c>
      <x:c r="E573" s="20" t="str">
        <x:v>ผู้ประกอบการระบุสาขาภูเก็ต ต้องตรวจผลิตภัณฑ์ การแยกเพศ และสิ่งอำนวยความสะดวกมุสลิม</x:v>
      </x:c>
      <x:c r="F573" s="20" t="str">
        <x:v>ไม่ทราบ</x:v>
      </x:c>
      <x:c r="G573" s="20" t="str">
        <x:v>ยังไม่พบเอกสารรับรองและวันหมดอายุ</x:v>
      </x:c>
      <x:c r="H573" s="20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I573" s="20" t="str">
        <x:v>ยังไม่ยืนยันที่อยู่ละเอียด ดูลิงก์แหล่งข้อมูลและ Google Maps</x:v>
      </x:c>
      <x:c r="J573" s="21" t="str">
        <x:v>ยังไม่พบหรือยังไม่ยืนยัน</x:v>
      </x:c>
      <x:c r="K573" s="51" t="str">
        <x:v>https://oasisspa.net/en/destination/</x:v>
      </x:c>
      <x:c r="L573" s="51" t="str">
        <x:v>https://www.tripadvisor.com/Attraction_Review-g1224250-d16676505-Reviews-Oasis_Tropical_Retreat_Spa-Choeng_Thale_Thalang_District_Phuket.html</x:v>
      </x:c>
      <x:c r="M573" s="20" t="str">
        <x:v>พบหน้ารีวิวชื่อตรง ต้องตรวจวันรีวิวล่าสุดและสาขากับผู้ประกอบการ</x:v>
      </x:c>
      <x:c r="N573" s="28" t="n">
        <x:v>46316</x:v>
      </x:c>
      <x:c r="O573" s="57" t="str">
        <x:v>ยังไม่ตรวจ</x:v>
      </x:c>
      <x:c r="P573" s="57" t="str">
        <x:v>ยังไม่ติดต่อ</x:v>
      </x:c>
      <x:c r="Q573" s="20" t="str">
        <x:v>TMF-575</x:v>
      </x:c>
      <x:c r="R573" s="20" t="str"/>
      <x:c r="S573" s="20" t="str"/>
      <x:c r="T573" s="20" t="str">
        <x:v>https://oasisspa.net/en/destination/</x:v>
      </x:c>
      <x:c r="U573" s="20" t="str"/>
      <x:c r="V573" s="20" t="str"/>
      <x:c r="W573" s="20" t="str"/>
      <x:c r="X573" s="20" t="str"/>
      <x:c r="Y573" s="20" t="str">
        <x:v>https://www.google.com/maps/search/?api=1&amp;query=%E0%B9%82%E0%B8%AD%E0%B9%80%E0%B8%AD%E0%B8%8B%E0%B8%B4%E0%B8%AA%E0%B8%AA%E0%B8%9B%E0%B8%B2%20%E0%B8%97%E0%B8%A3%E0%B8%AD%E0%B8%9B%E0%B8%B4%E0%B8%84%E0%B8%AD%E0%B8%A5%E0%B8%A3%E0%B8%B5%E0%B8%97%E0%B8%A3%E0%B8%B5%E0%B8%95%20%E0%B8%A5%E0%B8%B2%E0%B8%81%E0%B8%B9%E0%B8%99%E0%B9%88%E0%B8%B2%20%E0%B8%A0%E0%B8%B9%E0%B9%80%E0%B8%81%E0%B9%87%E0%B8%95</x:v>
      </x:c>
      <x:c r="Z573" s="56" t="n">
        <x:v>8.008798</x:v>
      </x:c>
      <x:c r="AA573" s="56" t="n">
        <x:v>98.296484</x:v>
      </x:c>
      <x:c r="AB573" s="57" t="str"/>
      <x:c r="AC573" s="20" t="str">
        <x:v>https://oasisspa.net/en/destination/</x:v>
      </x:c>
    </x:row>
    <x:row r="574" ht="88" customHeight="1">
      <x:c r="A574" s="54" t="n">
        <x:v>566</x:v>
      </x:c>
      <x:c r="B574" s="20" t="str">
        <x:v>โอเอซิสสปา สกายบรีซ กะตะ</x:v>
      </x:c>
      <x:c r="C574" s="20" t="str">
        <x:v>ภูเก็ต</x:v>
      </x:c>
      <x:c r="D574" s="20" t="str">
        <x:v>สปา</x:v>
      </x:c>
      <x:c r="E574" s="20" t="str">
        <x:v>ผู้ประกอบการระบุสาขากะตะ ยังต้องตรวจการแยกเพศ ผลิตภัณฑ์ และศาสนกิจ</x:v>
      </x:c>
      <x:c r="F574" s="20" t="str">
        <x:v>ไม่ทราบ</x:v>
      </x:c>
      <x:c r="G574" s="20" t="str">
        <x:v>ยังไม่พบเอกสารรับรองและวันหมดอายุ</x:v>
      </x:c>
      <x:c r="H574" s="20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I574" s="20" t="str">
        <x:v>ยังไม่ยืนยันที่อยู่ละเอียด ดูลิงก์แหล่งข้อมูลและ Google Maps</x:v>
      </x:c>
      <x:c r="J574" s="21" t="str">
        <x:v>ยังไม่พบหรือยังไม่ยืนยัน</x:v>
      </x:c>
      <x:c r="K574" s="51" t="str">
        <x:v>https://oasisspa.net/en/destination/</x:v>
      </x:c>
      <x:c r="L574" s="51" t="str">
        <x:v>https://www.tripadvisor.com/Attraction_Review-g1215780-d2518736-Reviews-Oasis_Sky_Breeze_Spa_Kata-Karon_Phuket.html</x:v>
      </x:c>
      <x:c r="M574" s="20" t="str">
        <x:v>พบหน้ารีวิวชื่อตรง ต้องตรวจวันรีวิวล่าสุดและสาขากับผู้ประกอบการ</x:v>
      </x:c>
      <x:c r="N574" s="28" t="n">
        <x:v>46316</x:v>
      </x:c>
      <x:c r="O574" s="57" t="str">
        <x:v>ยังไม่ตรวจ</x:v>
      </x:c>
      <x:c r="P574" s="57" t="str">
        <x:v>ยังไม่ติดต่อ</x:v>
      </x:c>
      <x:c r="Q574" s="20" t="str">
        <x:v>TMF-576</x:v>
      </x:c>
      <x:c r="R574" s="20" t="str"/>
      <x:c r="S574" s="20" t="str"/>
      <x:c r="T574" s="20" t="str">
        <x:v>https://oasisspa.net/en/destination/</x:v>
      </x:c>
      <x:c r="U574" s="20" t="str"/>
      <x:c r="V574" s="20" t="str"/>
      <x:c r="W574" s="20" t="str"/>
      <x:c r="X574" s="20" t="str"/>
      <x:c r="Y574" s="20" t="str">
        <x:v>https://www.google.com/maps/search/?api=1&amp;query=%E0%B9%82%E0%B8%AD%E0%B9%80%E0%B8%AD%E0%B8%8B%E0%B8%B4%E0%B8%AA%E0%B8%AA%E0%B8%9B%E0%B8%B2%20%E0%B8%AA%E0%B8%81%E0%B8%B2%E0%B8%A2%E0%B8%9A%E0%B8%A3%E0%B8%B5%E0%B8%8B%20%E0%B8%81%E0%B8%B0%E0%B8%95%E0%B8%B0%20%E0%B8%A0%E0%B8%B9%E0%B9%80%E0%B8%81%E0%B9%87%E0%B8%95</x:v>
      </x:c>
      <x:c r="Z574" s="56" t="n">
        <x:v>7.816115</x:v>
      </x:c>
      <x:c r="AA574" s="56" t="n">
        <x:v>98.313789</x:v>
      </x:c>
      <x:c r="AB574" s="57" t="str"/>
      <x:c r="AC574" s="20" t="str">
        <x:v>https://oasisspa.net/en/destination/</x:v>
      </x:c>
    </x:row>
    <x:row r="575" ht="88" customHeight="1">
      <x:c r="A575" s="54" t="n">
        <x:v>567</x:v>
      </x:c>
      <x:c r="B575" s="20" t="str">
        <x:v>โอเอซิสสปา เทอร์ควอยซ์โคฟ กมลา</x:v>
      </x:c>
      <x:c r="C575" s="20" t="str">
        <x:v>ภูเก็ต</x:v>
      </x:c>
      <x:c r="D575" s="20" t="str">
        <x:v>สปา</x:v>
      </x:c>
      <x:c r="E575" s="20" t="str">
        <x:v>ผู้ประกอบการระบุสาขากมลา ต้องตรวจการรองรับนักท่องเที่ยวมุสลิมเฉพาะสาขา</x:v>
      </x:c>
      <x:c r="F575" s="20" t="str">
        <x:v>ไม่ทราบ</x:v>
      </x:c>
      <x:c r="G575" s="20" t="str">
        <x:v>ยังไม่พบเอกสารรับรองและวันหมดอายุ</x:v>
      </x:c>
      <x:c r="H575" s="20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I575" s="20" t="str">
        <x:v>ยังไม่ยืนยันที่อยู่ละเอียด ดูลิงก์แหล่งข้อมูลและ Google Maps</x:v>
      </x:c>
      <x:c r="J575" s="21" t="str">
        <x:v>ยังไม่พบหรือยังไม่ยืนยัน</x:v>
      </x:c>
      <x:c r="K575" s="51" t="str">
        <x:v>https://oasisspa.net/en/destination/phuket/Turquoise_Cove_Spa/</x:v>
      </x:c>
      <x:c r="L575" s="51" t="str">
        <x:v>https://www.tripadvisor.com/Attraction_Review-g1379324-d7228344-Reviews-Oasis_Spa_Kamala_Phuket-Kamala_Kathu_Phuket.html</x:v>
      </x:c>
      <x:c r="M575" s="20" t="str">
        <x:v>พบหน้ารีวิวชื่อตรง ต้องตรวจวันรีวิวล่าสุดและสาขากับผู้ประกอบการ</x:v>
      </x:c>
      <x:c r="N575" s="28" t="n">
        <x:v>46316</x:v>
      </x:c>
      <x:c r="O575" s="57" t="str">
        <x:v>ยังไม่ตรวจ</x:v>
      </x:c>
      <x:c r="P575" s="57" t="str">
        <x:v>ยังไม่ติดต่อ</x:v>
      </x:c>
      <x:c r="Q575" s="20" t="str">
        <x:v>TMF-577</x:v>
      </x:c>
      <x:c r="R575" s="20" t="str"/>
      <x:c r="S575" s="20" t="str"/>
      <x:c r="T575" s="20" t="str">
        <x:v>https://oasisspa.net/en/destination/phuket/Turquoise_Cove_Spa/</x:v>
      </x:c>
      <x:c r="U575" s="20" t="str"/>
      <x:c r="V575" s="20" t="str"/>
      <x:c r="W575" s="20" t="str"/>
      <x:c r="X575" s="20" t="str"/>
      <x:c r="Y575" s="20" t="str">
        <x:v>https://www.google.com/maps/search/?api=1&amp;query=%E0%B9%82%E0%B8%AD%E0%B9%80%E0%B8%AD%E0%B8%8B%E0%B8%B4%E0%B8%AA%E0%B8%AA%E0%B8%9B%E0%B8%B2%20%E0%B9%80%E0%B8%97%E0%B8%AD%E0%B8%A3%E0%B9%8C%E0%B8%84%E0%B8%A7%E0%B8%AD%E0%B8%A2%E0%B8%8B%E0%B9%8C%E0%B9%82%E0%B8%84%E0%B8%9F%20%E0%B8%81%E0%B8%A1%E0%B8%A5%E0%B8%B2%20%E0%B8%A0%E0%B8%B9%E0%B9%80%E0%B8%81%E0%B9%87%E0%B8%95</x:v>
      </x:c>
      <x:c r="Z575" s="56" t="n">
        <x:v>7.953504</x:v>
      </x:c>
      <x:c r="AA575" s="56" t="n">
        <x:v>98.289141</x:v>
      </x:c>
      <x:c r="AB575" s="57" t="str"/>
      <x:c r="AC575" s="20" t="str">
        <x:v>https://oasisspa.net/en/destination/phuket/Turquoise_Cove_Spa/</x:v>
      </x:c>
    </x:row>
    <x:row r="576" ht="88" customHeight="1">
      <x:c r="A576" s="54" t="n">
        <x:v>568</x:v>
      </x:c>
      <x:c r="B576" s="20" t="str">
        <x:v>Central Phuket</x:v>
      </x:c>
      <x:c r="C576" s="20" t="str">
        <x:v>ภูเก็ต</x:v>
      </x:c>
      <x:c r="D576" s="20" t="str">
        <x:v>การค้า</x:v>
      </x:c>
      <x:c r="E576" s="20" t="str">
        <x:v>พบข้อมูลชื่อตรงจาก - เวลา ๑๗.๓๐ น. ประธานงานครบรอบ ๙ ปี ห้างสรรพสินค้าเซ็นทรัล ภูเก็ต "Central Phuket 9th Anniversary" ลานโปรโมชั่น ชั้น ๑ ห้างสรรพสินค้าเซ็นทรัลภูเก็ต; เป็นหลักฐานตัวตน/ประเภท ยังไม่ยืนยันบริการมุสลิมครบเกณฑ์</x:v>
      </x:c>
      <x:c r="F576" s="20" t="str">
        <x:v>ไม่ทราบ</x:v>
      </x:c>
      <x:c r="G576" s="20" t="str">
        <x:v>ยังไม่ยืนยันใบรับรองและวันหมดอายุ</x:v>
      </x:c>
      <x:c r="H576" s="20" t="str">
        <x:v>ตรวจการเปิด ตัวตนสาขา ช่องทางติดต่อ และเงื่อนไขบังคับตามประเภท</x:v>
      </x:c>
      <x:c r="I576" s="20" t="str">
        <x:v>ยังไม่ยืนยันที่อยู่ละเอียด ดูลิงก์แหล่งข้อมูลและ Google Maps</x:v>
      </x:c>
      <x:c r="J576" s="21" t="str">
        <x:v>ยังไม่พบหรือยังไม่ยืนยัน</x:v>
      </x:c>
      <x:c r="K576" s="51" t="str">
        <x:v>https://www.phuket.go.th/webpk/file_data/matter/morning56.pdf</x:v>
      </x:c>
      <x:c r="L576" s="51" t="str">
        <x:v>https://image.mfa.go.th/mfa/0/uK8Kxy2oDV/E_Brochure_TAT_2024_English_Version.pdf</x:v>
      </x:c>
      <x:c r="M576" s="20" t="str">
        <x:v>พบแหล่งต่างเว็บไซต์ Central Phuket</x:v>
      </x:c>
      <x:c r="N576" s="28" t="n">
        <x:v>46316</x:v>
      </x:c>
      <x:c r="O576" s="57" t="str">
        <x:v>ยังไม่ตรวจ</x:v>
      </x:c>
      <x:c r="P576" s="57" t="str">
        <x:v>ยังไม่ติดต่อ</x:v>
      </x:c>
      <x:c r="Q576" s="20" t="str">
        <x:v>R26-268</x:v>
      </x:c>
      <x:c r="R576" s="20" t="str">
        <x:v>Central Phuket</x:v>
      </x:c>
      <x:c r="S576" s="20" t="str"/>
      <x:c r="T576" s="20" t="str">
        <x:v>https://www.phuket.go.th/webpk/file_data/matter/morning56.pdf</x:v>
      </x:c>
      <x:c r="U576" s="20" t="str"/>
      <x:c r="V576" s="20" t="str"/>
      <x:c r="W576" s="20" t="str"/>
      <x:c r="X576" s="20" t="str"/>
      <x:c r="Y576" s="20" t="str">
        <x:v>https://www.google.com/maps/search/?api=1&amp;query=Central%20Phuket%20%E0%B8%A0%E0%B8%B9%E0%B9%80%E0%B8%81%E0%B9%87%E0%B8%95</x:v>
      </x:c>
      <x:c r="Z576" s="56" t="n">
        <x:v>7.8911739</x:v>
      </x:c>
      <x:c r="AA576" s="56" t="n">
        <x:v>98.3668714</x:v>
      </x:c>
      <x:c r="AB576" s="57" t="str"/>
      <x:c r="AC576" s="20" t="str">
        <x:v>https://www.phuket.go.th/webpk/file_data/matter/morning56.pdf</x:v>
      </x:c>
    </x:row>
    <x:row r="577" ht="88" customHeight="1">
      <x:c r="A577" s="54" t="n">
        <x:v>569</x:v>
      </x:c>
      <x:c r="B577" s="20" t="str">
        <x:v>Jungceylon Phuket</x:v>
      </x:c>
      <x:c r="C577" s="20" t="str">
        <x:v>ภูเก็ต</x:v>
      </x:c>
      <x:c r="D577" s="20" t="str">
        <x:v>การค้า</x:v>
      </x:c>
      <x:c r="E577" s="20" t="str">
        <x:v>พบข้อมูลชื่อตรงจาก Contact Jungceylon Phuket Shopping Center in Patong; เป็นหลักฐานตัวตน/ประเภท ยังไม่ยืนยันบริการมุสลิมครบเกณฑ์</x:v>
      </x:c>
      <x:c r="F577" s="20" t="str">
        <x:v>ไม่ทราบ</x:v>
      </x:c>
      <x:c r="G577" s="20" t="str">
        <x:v>ยังไม่ยืนยันใบรับรองและวันหมดอายุ</x:v>
      </x:c>
      <x:c r="H577" s="20" t="str">
        <x:v>ตรวจการเปิด ตัวตนสาขา ช่องทางติดต่อ และเงื่อนไขบังคับตามประเภท</x:v>
      </x:c>
      <x:c r="I577" s="20" t="str">
        <x:v>ยังไม่ยืนยันที่อยู่ละเอียด ดูลิงก์แหล่งข้อมูลและ Google Maps</x:v>
      </x:c>
      <x:c r="J577" s="21" t="str">
        <x:v>ยังไม่พบหรือยังไม่ยืนยัน</x:v>
      </x:c>
      <x:c r="K577" s="51" t="str">
        <x:v>https://jungceylon.com/en/contactus</x:v>
      </x:c>
      <x:c r="L577" s="51" t="str">
        <x:v>https://www.phuket101.net/jungceylon-phuket/</x:v>
      </x:c>
      <x:c r="M577" s="20" t="str">
        <x:v>พบแหล่งต่างเว็บไซต์ Jungceylon Phuket Guide 2026 - What To Do And Where To Eat</x:v>
      </x:c>
      <x:c r="N577" s="28" t="n">
        <x:v>46316</x:v>
      </x:c>
      <x:c r="O577" s="57" t="str">
        <x:v>ยังไม่ตรวจ</x:v>
      </x:c>
      <x:c r="P577" s="57" t="str">
        <x:v>ยังไม่ติดต่อ</x:v>
      </x:c>
      <x:c r="Q577" s="20" t="str">
        <x:v>R26-269</x:v>
      </x:c>
      <x:c r="R577" s="20" t="str">
        <x:v>Jungceylon Phuket</x:v>
      </x:c>
      <x:c r="S577" s="20" t="str">
        <x:v>info@jungceylon.com</x:v>
      </x:c>
      <x:c r="T577" s="20" t="str">
        <x:v>https://jungceylon.com/en/contactus</x:v>
      </x:c>
      <x:c r="U577" s="20" t="str">
        <x:v>https://www.facebook.com/JungceylonFanpage</x:v>
      </x:c>
      <x:c r="V577" s="20" t="str">
        <x:v>https://www.instagram.com/ilovejungceylon</x:v>
      </x:c>
      <x:c r="W577" s="20" t="str">
        <x:v>https://line.me/R/ti/p/%40142qdbjf</x:v>
      </x:c>
      <x:c r="X577" s="20" t="str">
        <x:v>https://www.tiktok.com/@ilovejungceylon</x:v>
      </x:c>
      <x:c r="Y577" s="20" t="str">
        <x:v>https://www.google.com/maps/search/?api=1&amp;query=Jungceylon%20Phuket%20%E0%B8%A0%E0%B8%B9%E0%B9%80%E0%B8%81%E0%B9%87%E0%B8%95</x:v>
      </x:c>
      <x:c r="Z577" s="56" t="n">
        <x:v>7.891313</x:v>
      </x:c>
      <x:c r="AA577" s="56" t="n">
        <x:v>98.297974</x:v>
      </x:c>
      <x:c r="AB577" s="57" t="str"/>
      <x:c r="AC577" s="20" t="str">
        <x:v>https://jungceylon.com/en/contactus</x:v>
      </x:c>
    </x:row>
    <x:row r="578" ht="88" customHeight="1">
      <x:c r="A578" s="54" t="n">
        <x:v>570</x:v>
      </x:c>
      <x:c r="B578" s="20" t="str">
        <x:v>จุดชมวิวเขารัง</x:v>
      </x:c>
      <x:c r="C578" s="20" t="str">
        <x:v>ภูเก็ต</x:v>
      </x:c>
      <x:c r="D578" s="20" t="str">
        <x:v>ธรรมชาติ</x:v>
      </x:c>
      <x:c r="E578" s="20" t="str">
        <x:v>พบข้อมูลชื่อตรงจาก จุดชมวิวเขารัง; เป็นหลักฐานตัวตน/ประเภท ยังไม่ยืนยันบริการมุสลิมครบเกณฑ์</x:v>
      </x:c>
      <x:c r="F578" s="20" t="str">
        <x:v>ไม่ทราบ</x:v>
      </x:c>
      <x:c r="G578" s="20" t="str">
        <x:v>ยังไม่ยืนยันใบรับรองและวันหมดอายุ</x:v>
      </x:c>
      <x:c r="H578" s="20" t="str">
        <x:v>ตรวจการเปิด ตัวตนสาขา ช่องทางติดต่อ และเงื่อนไขบังคับตามประเภท</x:v>
      </x:c>
      <x:c r="I578" s="20" t="str">
        <x:v>ยังไม่ยืนยันที่อยู่ละเอียด ดูลิงก์แหล่งข้อมูลและ Google Maps</x:v>
      </x:c>
      <x:c r="J578" s="21" t="str">
        <x:v>ยังไม่พบหรือยังไม่ยืนยัน</x:v>
      </x:c>
      <x:c r="K578" s="51" t="str">
        <x:v>https://www.thailandtourismdirectory.go.th/th/attraction/21955</x:v>
      </x:c>
      <x:c r="L578" s="51" t="str">
        <x:v>https://elibrary.tsri.or.th/fullP/RDC5880004/RDC5880004V04/RDC5880004V04_full.pdf</x:v>
      </x:c>
      <x:c r="M578" s="20" t="str">
        <x:v>พบแหล่งต่างเว็บไซต์ จุดชมวิวเขารัง แหลมพรหมเทพชายหาดป่าตอง กะตะ ก</x:v>
      </x:c>
      <x:c r="N578" s="28" t="n">
        <x:v>46316</x:v>
      </x:c>
      <x:c r="O578" s="57" t="str">
        <x:v>ยังไม่ตรวจ</x:v>
      </x:c>
      <x:c r="P578" s="57" t="str">
        <x:v>ยังไม่ติดต่อ</x:v>
      </x:c>
      <x:c r="Q578" s="20" t="str">
        <x:v>R26-222</x:v>
      </x:c>
      <x:c r="R578" s="20" t="str"/>
      <x:c r="S578" s="20" t="str"/>
      <x:c r="T578" s="20" t="str">
        <x:v>https://www.thailandtourismdirectory.go.th/th/attraction/21955</x:v>
      </x:c>
      <x:c r="U578" s="20" t="str"/>
      <x:c r="V578" s="20" t="str"/>
      <x:c r="W578" s="20" t="str"/>
      <x:c r="X578" s="20" t="str"/>
      <x:c r="Y578" s="20" t="str">
        <x:v>https://www.google.com/maps/search/?api=1&amp;query=%E0%B8%88%E0%B8%B8%E0%B8%94%E0%B8%8A%E0%B8%A1%E0%B8%A7%E0%B8%B4%E0%B8%A7%E0%B9%80%E0%B8%82%E0%B8%B2%E0%B8%A3%E0%B8%B1%E0%B8%87%20%E0%B8%A0%E0%B8%B9%E0%B9%80%E0%B8%81%E0%B9%87%E0%B8%95</x:v>
      </x:c>
      <x:c r="Z578" s="56" t="n">
        <x:v>7.893605</x:v>
      </x:c>
      <x:c r="AA578" s="56" t="n">
        <x:v>98.379773</x:v>
      </x:c>
      <x:c r="AB578" s="57" t="str"/>
      <x:c r="AC578" s="20" t="str">
        <x:v>https://www.thailandtourismdirectory.go.th/th/attraction/21955</x:v>
      </x:c>
    </x:row>
    <x:row r="579" ht="88" customHeight="1">
      <x:c r="A579" s="54" t="n">
        <x:v>571</x:v>
      </x:c>
      <x:c r="B579" s="20" t="str">
        <x:v>หาดในยาง</x:v>
      </x:c>
      <x:c r="C579" s="20" t="str">
        <x:v>ภูเก็ต</x:v>
      </x:c>
      <x:c r="D579" s="20" t="str">
        <x:v>ธรรมชาติ</x:v>
      </x:c>
      <x:c r="E579" s="20" t="str">
        <x:v>พบข้อมูลชื่อตรงจาก หาดในยาง (อุทยานแห่งชาติสิรินาถ); เป็นหลักฐานตัวตน/ประเภท ยังไม่ยืนยันบริการมุสลิมครบเกณฑ์</x:v>
      </x:c>
      <x:c r="F579" s="20" t="str">
        <x:v>ไม่ทราบ</x:v>
      </x:c>
      <x:c r="G579" s="20" t="str">
        <x:v>ยังไม่ยืนยันใบรับรองและวันหมดอายุ</x:v>
      </x:c>
      <x:c r="H579" s="20" t="str">
        <x:v>ตรวจการเปิด ตัวตนสาขา ช่องทางติดต่อ และเงื่อนไขบังคับตามประเภท</x:v>
      </x:c>
      <x:c r="I579" s="20" t="str">
        <x:v>ยังไม่ยืนยันที่อยู่ละเอียด ดูลิงก์แหล่งข้อมูลและ Google Maps</x:v>
      </x:c>
      <x:c r="J579" s="21" t="str">
        <x:v>ยังไม่พบหรือยังไม่ยืนยัน</x:v>
      </x:c>
      <x:c r="K579" s="51" t="str">
        <x:v>https://www.thailandtourismdirectory.go.th/th/attraction/2680</x:v>
      </x:c>
      <x:c r="L579" s="51" t="str">
        <x:v>https://www.gplace.com/526863</x:v>
      </x:c>
      <x:c r="M579" s="20" t="str">
        <x:v>พบแหล่งต่างเว็บไซต์ หาดในยาง (Nai Yang Beach), ภูเก็ต</x:v>
      </x:c>
      <x:c r="N579" s="28" t="n">
        <x:v>46316</x:v>
      </x:c>
      <x:c r="O579" s="57" t="str">
        <x:v>ยังไม่ตรวจ</x:v>
      </x:c>
      <x:c r="P579" s="57" t="str">
        <x:v>ยังไม่ติดต่อ</x:v>
      </x:c>
      <x:c r="Q579" s="20" t="str">
        <x:v>R26-220</x:v>
      </x:c>
      <x:c r="R579" s="20" t="str"/>
      <x:c r="S579" s="20" t="str"/>
      <x:c r="T579" s="20" t="str">
        <x:v>https://www.thailandtourismdirectory.go.th/th/attraction/2680</x:v>
      </x:c>
      <x:c r="U579" s="20" t="str"/>
      <x:c r="V579" s="20" t="str"/>
      <x:c r="W579" s="20" t="str"/>
      <x:c r="X579" s="20" t="str"/>
      <x:c r="Y579" s="20" t="str">
        <x:v>https://www.google.com/maps/search/?api=1&amp;query=%E0%B8%AB%E0%B8%B2%E0%B8%94%E0%B9%83%E0%B8%99%E0%B8%A2%E0%B8%B2%E0%B8%87%20%E0%B8%A0%E0%B8%B9%E0%B9%80%E0%B8%81%E0%B9%87%E0%B8%95</x:v>
      </x:c>
      <x:c r="Z579" s="56" t="n">
        <x:v>8.08786</x:v>
      </x:c>
      <x:c r="AA579" s="56" t="n">
        <x:v>98.296664</x:v>
      </x:c>
      <x:c r="AB579" s="57" t="str"/>
      <x:c r="AC579" s="20" t="str">
        <x:v>https://www.thailandtourismdirectory.go.th/th/attraction/2680</x:v>
      </x:c>
    </x:row>
    <x:row r="580" ht="88" customHeight="1">
      <x:c r="A580" s="54" t="n">
        <x:v>572</x:v>
      </x:c>
      <x:c r="B580" s="20" t="str">
        <x:v>อุทยานแห่งชาติสิรินาถ</x:v>
      </x:c>
      <x:c r="C580" s="20" t="str">
        <x:v>ภูเก็ต</x:v>
      </x:c>
      <x:c r="D580" s="20" t="str">
        <x:v>ธรรมชาติ</x:v>
      </x:c>
      <x:c r="E580" s="20" t="str">
        <x:v>พบข้อมูลชื่อตรงจาก อุทยานแห่งชาติสิรินาถ; เป็นหลักฐานตัวตน/ประเภท ยังไม่ยืนยันบริการมุสลิมครบเกณฑ์</x:v>
      </x:c>
      <x:c r="F580" s="20" t="str">
        <x:v>ไม่ทราบ</x:v>
      </x:c>
      <x:c r="G580" s="20" t="str">
        <x:v>ยังไม่ยืนยันใบรับรองและวันหมดอายุ</x:v>
      </x:c>
      <x:c r="H580" s="20" t="str">
        <x:v>ตรวจการเปิด ตัวตนสาขา ช่องทางติดต่อ และเงื่อนไขบังคับตามประเภท</x:v>
      </x:c>
      <x:c r="I580" s="20" t="str">
        <x:v>ยังไม่ยืนยันที่อยู่ละเอียด ดูลิงก์แหล่งข้อมูลและ Google Maps</x:v>
      </x:c>
      <x:c r="J580" s="21" t="str">
        <x:v>ยังไม่พบหรือยังไม่ยืนยัน</x:v>
      </x:c>
      <x:c r="K580" s="51" t="str">
        <x:v>https://www.thepcity.go.th/travel/detail/233</x:v>
      </x:c>
      <x:c r="L580" s="51" t="str">
        <x:v>https://www.thailandtourismdirectory.go.th/attraction/3276</x:v>
      </x:c>
      <x:c r="M580" s="20" t="str">
        <x:v>พบแหล่งต่างเว็บไซต์ อุทยานแห่งชาติสิรินาถ</x:v>
      </x:c>
      <x:c r="N580" s="28" t="n">
        <x:v>46316</x:v>
      </x:c>
      <x:c r="O580" s="57" t="str">
        <x:v>ยังไม่ตรวจ</x:v>
      </x:c>
      <x:c r="P580" s="57" t="str">
        <x:v>ยังไม่ติดต่อ</x:v>
      </x:c>
      <x:c r="Q580" s="20" t="str">
        <x:v>R26-221</x:v>
      </x:c>
      <x:c r="R580" s="20" t="str"/>
      <x:c r="S580" s="20" t="str"/>
      <x:c r="T580" s="20" t="str">
        <x:v>https://www.thepcity.go.th/travel/detail/233</x:v>
      </x:c>
      <x:c r="U580" s="20" t="str"/>
      <x:c r="V580" s="20" t="str"/>
      <x:c r="W580" s="20" t="str"/>
      <x:c r="X580" s="20" t="str"/>
      <x:c r="Y580" s="20" t="str">
        <x:v>https://www.google.com/maps/search/?api=1&amp;query=%E0%B8%AD%E0%B8%B8%E0%B8%97%E0%B8%A2%E0%B8%B2%E0%B8%99%E0%B9%81%E0%B8%AB%E0%B9%88%E0%B8%87%E0%B8%8A%E0%B8%B2%E0%B8%95%E0%B8%B4%E0%B8%AA%E0%B8%B4%E0%B8%A3%E0%B8%B4%E0%B8%99%E0%B8%B2%E0%B8%96%20%E0%B8%A0%E0%B8%B9%E0%B9%80%E0%B8%81%E0%B9%87%E0%B8%95</x:v>
      </x:c>
      <x:c r="Z580" s="56" t="n">
        <x:v>8.096145</x:v>
      </x:c>
      <x:c r="AA580" s="56" t="n">
        <x:v>98.299543</x:v>
      </x:c>
      <x:c r="AB580" s="57" t="str"/>
      <x:c r="AC580" s="20" t="str">
        <x:v>https://www.thepcity.go.th/travel/detail/233</x:v>
      </x:c>
    </x:row>
    <x:row r="581" ht="88" customHeight="1">
      <x:c r="A581" s="54" t="n">
        <x:v>573</x:v>
      </x:c>
      <x:c r="B581" s="20" t="str">
        <x:v>แหลมพรหมเทพ</x:v>
      </x:c>
      <x:c r="C581" s="20" t="str">
        <x:v>ภูเก็ต</x:v>
      </x:c>
      <x:c r="D581" s="20" t="str">
        <x:v>สวนสาธารณะหรือแหล่งธรรมชาติ</x:v>
      </x:c>
      <x:c r="E581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581" s="20" t="str">
        <x:v>ไม่ทราบ</x:v>
      </x:c>
      <x:c r="G581" s="20" t="str">
        <x:v>ยังไม่พบเอกสารรับรองและวันหมดอายุ</x:v>
      </x:c>
      <x:c r="H581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581" s="20" t="str">
        <x:v>แหลมพรหมเทพ ตำบลราไวย์ อำเภอเมืองภูเก็ต จังหวัดภูเก็ต 83130</x:v>
      </x:c>
      <x:c r="J581" s="21" t="str">
        <x:v>ยังไม่พบหรือยังไม่ยืนยัน</x:v>
      </x:c>
      <x:c r="K581" s="51" t="str">
        <x:v>https://www.thic.or.th/th/tourist/detail/tourist/17</x:v>
      </x:c>
      <x:c r="L581" s="51" t="str">
        <x:v>https://www.wongnai.com/attractions/330013Oa-%E0%B9%81%E0%B8%AB%E0%B8%A5%E0%B8%A1%E0%B8%9E%E0%B8%A3%E0%B8%AB%E0%B8%A1%E0%B9%80%E0%B8%97%E0%B8%9E?_st=cD05O2I9MzMwMDEzO2FkPWZhbHNlO3Q9MTc5MDEyOTU4NTUyMDtyaT0xWDdiZGZUSGtMdkkzcFpQZk9hV3ZKTjVxRlo2OUw7aT0xWDcxNnpFc0VJblRXMkoxZ1oyekRFcDdOandFbjI7d3JlZj1zcjs%3D</x:v>
      </x:c>
      <x:c r="M581" s="20" t="str">
        <x:v>ผลค้นหาชื่อสัมพันธ์จากแหล่งเพิ่มเติม ต้องยืนยันสาขาและข้อมูลปัจจุบัน</x:v>
      </x:c>
      <x:c r="N581" s="28" t="n">
        <x:v>46315</x:v>
      </x:c>
      <x:c r="O581" s="57" t="str">
        <x:v>ยังไม่ตรวจ</x:v>
      </x:c>
      <x:c r="P581" s="57" t="str">
        <x:v>ยังไม่ติดต่อ</x:v>
      </x:c>
      <x:c r="Q581" s="20" t="str">
        <x:v>TMF-578</x:v>
      </x:c>
      <x:c r="R581" s="20" t="str"/>
      <x:c r="S581" s="20" t="str"/>
      <x:c r="T581" s="20" t="str">
        <x:v>https://www.thic.or.th/th/tourist/detail/tourist/17</x:v>
      </x:c>
      <x:c r="U581" s="20" t="str"/>
      <x:c r="V581" s="20" t="str"/>
      <x:c r="W581" s="20" t="str"/>
      <x:c r="X581" s="20" t="str"/>
      <x:c r="Y581" s="20" t="str">
        <x:v>https://www.google.com/maps/search/?api=1&amp;query=%E0%B9%81%E0%B8%AB%E0%B8%A5%E0%B8%A1%E0%B8%9E%E0%B8%A3%E0%B8%AB%E0%B8%A1%E0%B9%80%E0%B8%97%E0%B8%9E%20%E0%B8%A0%E0%B8%B9%E0%B9%80%E0%B8%81%E0%B9%87%E0%B8%95</x:v>
      </x:c>
      <x:c r="Z581" s="56" t="n">
        <x:v>7.761832</x:v>
      </x:c>
      <x:c r="AA581" s="56" t="n">
        <x:v>98.302774</x:v>
      </x:c>
      <x:c r="AB581" s="57" t="str"/>
      <x:c r="AC581" s="20" t="str">
        <x:v>https://www.thic.or.th/th/tourist/detail/tourist/17</x:v>
      </x:c>
    </x:row>
    <x:row r="582" ht="88" customHeight="1">
      <x:c r="A582" s="54" t="n">
        <x:v>574</x:v>
      </x:c>
      <x:c r="B582" s="20" t="str">
        <x:v>ย่านเมืองเก่าภูเก็ต</x:v>
      </x:c>
      <x:c r="C582" s="20" t="str">
        <x:v>ภูเก็ต</x:v>
      </x:c>
      <x:c r="D582" s="20" t="str">
        <x:v>พิพิธภัณฑ์หรือย่านวัฒนธรรม</x:v>
      </x:c>
      <x:c r="E582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582" s="20" t="str">
        <x:v>ไม่ทราบ</x:v>
      </x:c>
      <x:c r="G582" s="20" t="str">
        <x:v>ยังไม่พบเอกสารรับรองและวันหมดอายุ</x:v>
      </x:c>
      <x:c r="H582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582" s="20" t="str">
        <x:v>บริเวณถนนถลาง ถนนดีบุก ถนนพังงา ถนนเยาวราช ถนนกระบี่ และซอยรมณีย์ ตำบลตลาดใหญ่ อำเภอเมืองภูเก็ต จังหวัดภูเก็ต 83000</x:v>
      </x:c>
      <x:c r="J582" s="21" t="str">
        <x:v>ยังไม่พบหรือยังไม่ยืนยัน</x:v>
      </x:c>
      <x:c r="K582" s="51" t="str">
        <x:v>https://www.thic.or.th/th/tourist/detail/tourist/20</x:v>
      </x:c>
      <x:c r="L582" s="51" t="str">
        <x:v>https://www.wongnai.com/reviews/e0791313c5ef46cfaf8853c8ac959e14</x:v>
      </x:c>
      <x:c r="M582" s="20" t="str">
        <x:v>ผลค้นหาชื่อสัมพันธ์จากแหล่งเพิ่มเติม ต้องยืนยันสาขาและข้อมูลปัจจุบัน</x:v>
      </x:c>
      <x:c r="N582" s="28" t="n">
        <x:v>46315</x:v>
      </x:c>
      <x:c r="O582" s="57" t="str">
        <x:v>ยังไม่ตรวจ</x:v>
      </x:c>
      <x:c r="P582" s="57" t="str">
        <x:v>ยังไม่ติดต่อ</x:v>
      </x:c>
      <x:c r="Q582" s="20" t="str">
        <x:v>TMF-579</x:v>
      </x:c>
      <x:c r="R582" s="20" t="str"/>
      <x:c r="S582" s="20" t="str"/>
      <x:c r="T582" s="20" t="str">
        <x:v>https://www.thic.or.th/th/tourist/detail/tourist/20</x:v>
      </x:c>
      <x:c r="U582" s="20" t="str"/>
      <x:c r="V582" s="20" t="str"/>
      <x:c r="W582" s="20" t="str"/>
      <x:c r="X582" s="20" t="str"/>
      <x:c r="Y582" s="20" t="str">
        <x:v>https://www.google.com/maps/search/?api=1&amp;query=%E0%B8%A2%E0%B9%88%E0%B8%B2%E0%B8%99%E0%B9%80%E0%B8%A1%E0%B8%B7%E0%B8%AD%E0%B8%87%E0%B9%80%E0%B8%81%E0%B9%88%E0%B8%B2%E0%B8%A0%E0%B8%B9%E0%B9%80%E0%B8%81%E0%B9%87%E0%B8%95%20%E0%B8%A0%E0%B8%B9%E0%B9%80%E0%B8%81%E0%B9%87%E0%B8%95</x:v>
      </x:c>
      <x:c r="Z582" s="56" t="n">
        <x:v>7.883599</x:v>
      </x:c>
      <x:c r="AA582" s="56" t="n">
        <x:v>98.390741</x:v>
      </x:c>
      <x:c r="AB582" s="57" t="str"/>
      <x:c r="AC582" s="20" t="str">
        <x:v>https://www.thic.or.th/th/tourist/detail/tourist/20</x:v>
      </x:c>
    </x:row>
    <x:row r="583" ht="88" customHeight="1">
      <x:c r="A583" s="54" t="n">
        <x:v>575</x:v>
      </x:c>
      <x:c r="B583" s="20" t="str">
        <x:v>ชุมชนบ้านบ่อแร่</x:v>
      </x:c>
      <x:c r="C583" s="20" t="str">
        <x:v>ภูเก็ต</x:v>
      </x:c>
      <x:c r="D583" s="20" t="str">
        <x:v>ชุมชน</x:v>
      </x:c>
      <x:c r="E583" s="20" t="str">
        <x:v>พบข้อมูลชื่อตรงจาก แลกเปลี่ยนเรียนรู้กับชุมชนบ้านบ่อแร่ - สำนักงานเขตพื้นที่การศึกษาประถมศึกษาภูเก็ต; เป็นหลักฐานตัวตน/ประเภท ยังไม่ยืนยันบริการมุสลิมครบเกณฑ์</x:v>
      </x:c>
      <x:c r="F583" s="20" t="str">
        <x:v>ไม่ทราบ</x:v>
      </x:c>
      <x:c r="G583" s="20" t="str">
        <x:v>ยังไม่ยืนยันใบรับรองและวันหมดอายุ</x:v>
      </x:c>
      <x:c r="H583" s="20" t="str">
        <x:v>ตรวจการเปิด ตัวตนสาขา ช่องทางติดต่อ และเงื่อนไขบังคับตามประเภท</x:v>
      </x:c>
      <x:c r="I583" s="20" t="str">
        <x:v>ยังไม่ยืนยันที่อยู่ละเอียด ดูลิงก์แหล่งข้อมูลและ Google Maps</x:v>
      </x:c>
      <x:c r="J583" s="21" t="str">
        <x:v>ยังไม่พบหรือยังไม่ยืนยัน</x:v>
      </x:c>
      <x:c r="K583" s="51" t="str">
        <x:v>https://www.phuketarea.go.th/web/view.php?article_id=14828</x:v>
      </x:c>
      <x:c r="L583" s="51" t="str">
        <x:v>https://phuket.moc.go.th/th/content/category/detail/id/161/iid/137681</x:v>
      </x:c>
      <x:c r="M583" s="20" t="str">
        <x:v>พบแหล่งต่างเว็บไซต์ พาณิชย์ภูเก็ตลงพื้นที่ชุมชนบ้านบ่อแร่ สำรวจผู้ประกอบการและแนะนำยกระดับสินค้าสู่มาตรฐาน มผช.–OTOP</x:v>
      </x:c>
      <x:c r="N583" s="28" t="n">
        <x:v>46316</x:v>
      </x:c>
      <x:c r="O583" s="57" t="str">
        <x:v>ยังไม่ตรวจ</x:v>
      </x:c>
      <x:c r="P583" s="57" t="str">
        <x:v>ยังไม่ติดต่อ</x:v>
      </x:c>
      <x:c r="Q583" s="20" t="str">
        <x:v>R26-218</x:v>
      </x:c>
      <x:c r="R583" s="20" t="str"/>
      <x:c r="S583" s="20" t="str"/>
      <x:c r="T583" s="20" t="str">
        <x:v>https://www.phuketarea.go.th/web/view.php?article_id=14828</x:v>
      </x:c>
      <x:c r="U583" s="20" t="str"/>
      <x:c r="V583" s="20" t="str"/>
      <x:c r="W583" s="20" t="str"/>
      <x:c r="X583" s="20" t="str"/>
      <x:c r="Y583" s="20" t="str">
        <x:v>https://www.google.com/maps/search/?api=1&amp;query=%E0%B8%8A%E0%B8%B8%E0%B8%A1%E0%B8%8A%E0%B8%99%E0%B8%9A%E0%B9%89%E0%B8%B2%E0%B8%99%E0%B8%9A%E0%B9%88%E0%B8%AD%E0%B9%81%E0%B8%A3%E0%B9%88%20%E0%B8%A0%E0%B8%B9%E0%B9%80%E0%B8%81%E0%B9%87%E0%B8%95</x:v>
      </x:c>
      <x:c r="Z583" s="56" t="str"/>
      <x:c r="AA583" s="56" t="str"/>
      <x:c r="AB583" s="57" t="str"/>
      <x:c r="AC583" s="20" t="str">
        <x:v>https://www.phuketarea.go.th/web/view.php?article_id=14828</x:v>
      </x:c>
    </x:row>
    <x:row r="584" ht="88" customHeight="1">
      <x:c r="A584" s="54" t="n">
        <x:v>576</x:v>
      </x:c>
      <x:c r="B584" s="20" t="str">
        <x:v>ชุมชนบ้านเกาะมะพร้าว</x:v>
      </x:c>
      <x:c r="C584" s="20" t="str">
        <x:v>ภูเก็ต</x:v>
      </x:c>
      <x:c r="D584" s="20" t="str">
        <x:v>ชุมชน</x:v>
      </x:c>
      <x:c r="E584" s="20" t="str">
        <x:v>พบข้อมูลชื่อตรงจาก เกาะมะพร้าว; เป็นหลักฐานตัวตน/ประเภท ยังไม่ยืนยันบริการมุสลิมครบเกณฑ์</x:v>
      </x:c>
      <x:c r="F584" s="20" t="str">
        <x:v>ไม่ทราบ</x:v>
      </x:c>
      <x:c r="G584" s="20" t="str">
        <x:v>ยังไม่ยืนยันใบรับรองและวันหมดอายุ</x:v>
      </x:c>
      <x:c r="H584" s="20" t="str">
        <x:v>ตรวจการเปิด ตัวตนสาขา ช่องทางติดต่อ และเงื่อนไขบังคับตามประเภท</x:v>
      </x:c>
      <x:c r="I584" s="20" t="str">
        <x:v>ยังไม่ยืนยันที่อยู่ละเอียด ดูลิงก์แหล่งข้อมูลและ Google Maps</x:v>
      </x:c>
      <x:c r="J584" s="21" t="str">
        <x:v>ยังไม่พบหรือยังไม่ยืนยัน</x:v>
      </x:c>
      <x:c r="K584" s="51" t="str">
        <x:v>https://wikicommunity.sac.or.th/community/2432</x:v>
      </x:c>
      <x:c r="L584" s="51" t="str">
        <x:v>https://www.seabridge.space/content/coconut-island</x:v>
      </x:c>
      <x:c r="M584" s="20" t="str">
        <x:v>พบแหล่งต่างเว็บไซต์ ชุมชนบ้านเกาะมะพร้าว</x:v>
      </x:c>
      <x:c r="N584" s="28" t="n">
        <x:v>46316</x:v>
      </x:c>
      <x:c r="O584" s="57" t="str">
        <x:v>ยังไม่ตรวจ</x:v>
      </x:c>
      <x:c r="P584" s="57" t="str">
        <x:v>ยังไม่ติดต่อ</x:v>
      </x:c>
      <x:c r="Q584" s="20" t="str">
        <x:v>R26-219</x:v>
      </x:c>
      <x:c r="R584" s="20" t="str"/>
      <x:c r="S584" s="20" t="str"/>
      <x:c r="T584" s="20" t="str">
        <x:v>https://wikicommunity.sac.or.th/community/2432</x:v>
      </x:c>
      <x:c r="U584" s="20" t="str"/>
      <x:c r="V584" s="20" t="str"/>
      <x:c r="W584" s="20" t="str"/>
      <x:c r="X584" s="20" t="str"/>
      <x:c r="Y584" s="20" t="str">
        <x:v>https://www.google.com/maps/search/?api=1&amp;query=%E0%B8%8A%E0%B8%B8%E0%B8%A1%E0%B8%8A%E0%B8%99%E0%B8%9A%E0%B9%89%E0%B8%B2%E0%B8%99%E0%B9%80%E0%B8%81%E0%B8%B2%E0%B8%B0%E0%B8%A1%E0%B8%B0%E0%B8%9E%E0%B8%A3%E0%B9%89%E0%B8%B2%E0%B8%A7%20%E0%B8%A0%E0%B8%B9%E0%B9%80%E0%B8%81%E0%B9%87%E0%B8%95</x:v>
      </x:c>
      <x:c r="Z584" s="56" t="n">
        <x:v>7.936021</x:v>
      </x:c>
      <x:c r="AA584" s="56" t="n">
        <x:v>98.426982</x:v>
      </x:c>
      <x:c r="AB584" s="57" t="str"/>
      <x:c r="AC584" s="20" t="str">
        <x:v>https://wikicommunity.sac.or.th/community/2432</x:v>
      </x:c>
    </x:row>
    <x:row r="585" ht="88" customHeight="1">
      <x:c r="A585" s="54" t="n">
        <x:v>577</x:v>
      </x:c>
      <x:c r="B585" s="20" t="str">
        <x:v>บ้านบางโรง</x:v>
      </x:c>
      <x:c r="C585" s="20" t="str">
        <x:v>ภูเก็ต</x:v>
      </x:c>
      <x:c r="D585" s="20" t="str">
        <x:v>ชุมชนท่องเที่ยว</x:v>
      </x:c>
      <x:c r="E585" s="20" t="str">
        <x:v>THIC ระบุเป็นแหล่งท่องเที่ยววิถีฮาลาล ยังต้องตรวจบริการและหลักฐานตามเกณฑ์โครงการ</x:v>
      </x:c>
      <x:c r="F585" s="20" t="str">
        <x:v>ไม่ทราบ</x:v>
      </x:c>
      <x:c r="G585" s="20" t="str">
        <x:v>ยังไม่พบเอกสารรับรองและวันหมดอายุ</x:v>
      </x:c>
      <x:c r="H585" s="20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I585" s="20" t="str">
        <x:v>90/17 หมู่ 3 ตำบลป่าคลอก อำเภอถลาง จังหวัดภูเก็ต 83110</x:v>
      </x:c>
      <x:c r="J585" s="21" t="str">
        <x:v>084 309 9131</x:v>
      </x:c>
      <x:c r="K585" s="51" t="str">
        <x:v>https://www.thic.or.th/th/tourist/detail/tourist/15</x:v>
      </x:c>
      <x:c r="L585" s="51" t="str">
        <x:v>https://www.wongnai.com/restaurants/245848TE-%E0%B8%84%E0%B8%A3%E0%B8%B1%E0%B8%A7%E0%B8%8A%E0%B8%B8%E0%B8%A1%E0%B8%8A%E0%B8%99%E0%B8%9A%E0%B9%89%E0%B8%B2%E0%B8%99%E0%B8%9A%E0%B8%B2%E0%B8%87%E0%B9%82%E0%B8%A3%E0%B8%87</x:v>
      </x:c>
      <x:c r="M585" s="20" t="str">
        <x:v>ผลค้นหาชื่อสัมพันธ์จากแหล่งเพิ่มเติม ต้องยืนยันสาขาและข้อมูลปัจจุบัน</x:v>
      </x:c>
      <x:c r="N585" s="28" t="n">
        <x:v>46316</x:v>
      </x:c>
      <x:c r="O585" s="57" t="str">
        <x:v>ยังไม่ตรวจ</x:v>
      </x:c>
      <x:c r="P585" s="57" t="str">
        <x:v>ยังไม่ติดต่อ</x:v>
      </x:c>
      <x:c r="Q585" s="20" t="str">
        <x:v>TMF-569</x:v>
      </x:c>
      <x:c r="R585" s="20" t="str"/>
      <x:c r="S585" s="20" t="str"/>
      <x:c r="T585" s="20" t="str">
        <x:v>https://www.thic.or.th/th/tourist/detail/tourist/15</x:v>
      </x:c>
      <x:c r="U585" s="20" t="str"/>
      <x:c r="V585" s="20" t="str"/>
      <x:c r="W585" s="20" t="str"/>
      <x:c r="X585" s="20" t="str"/>
      <x:c r="Y585" s="20" t="str">
        <x:v>https://www.google.com/maps/search/?api=1&amp;query=%E0%B8%9A%E0%B9%89%E0%B8%B2%E0%B8%99%E0%B8%9A%E0%B8%B2%E0%B8%87%E0%B9%82%E0%B8%A3%E0%B8%87%20%E0%B8%A0%E0%B8%B9%E0%B9%80%E0%B8%81%E0%B9%87%E0%B8%95</x:v>
      </x:c>
      <x:c r="Z585" s="56" t="n">
        <x:v>8.04949</x:v>
      </x:c>
      <x:c r="AA585" s="56" t="n">
        <x:v>98.41591</x:v>
      </x:c>
      <x:c r="AB585" s="57" t="str"/>
      <x:c r="AC585" s="20" t="str">
        <x:v>https://www.thic.or.th/th/tourist/detail/tourist/15</x:v>
      </x:c>
    </x:row>
    <x:row r="586" ht="88" customHeight="1">
      <x:c r="A586" s="54" t="n">
        <x:v>578</x:v>
      </x:c>
      <x:c r="B586" s="20" t="str">
        <x:v>Aquaria Phuket</x:v>
      </x:c>
      <x:c r="C586" s="20" t="str">
        <x:v>ภูเก็ต</x:v>
      </x:c>
      <x:c r="D586" s="20" t="str">
        <x:v>กิจกรรม</x:v>
      </x:c>
      <x:c r="E586" s="20" t="str">
        <x:v>พบข้อมูลชื่อตรงจาก Aquaria Phuket | LINE Official Account; เป็นหลักฐานตัวตน/ประเภท ยังไม่ยืนยันบริการมุสลิมครบเกณฑ์</x:v>
      </x:c>
      <x:c r="F586" s="20" t="str">
        <x:v>ไม่ทราบ</x:v>
      </x:c>
      <x:c r="G586" s="20" t="str">
        <x:v>ยังไม่ยืนยันใบรับรองและวันหมดอายุ</x:v>
      </x:c>
      <x:c r="H586" s="20" t="str">
        <x:v>ตรวจการเปิด ตัวตนสาขา ช่องทางติดต่อ และเงื่อนไขบังคับตามประเภท</x:v>
      </x:c>
      <x:c r="I586" s="20" t="str">
        <x:v>ยังไม่ยืนยันที่อยู่ละเอียด ดูลิงก์แหล่งข้อมูลและ Google Maps</x:v>
      </x:c>
      <x:c r="J586" s="21" t="str">
        <x:v>+66 76 629 800</x:v>
      </x:c>
      <x:c r="K586" s="51" t="str">
        <x:v>https://page.line.me/056svyst</x:v>
      </x:c>
      <x:c r="L586" s="51" t="str">
        <x:v>https://aquaria-phuket.com/ru/</x:v>
      </x:c>
      <x:c r="M586" s="20" t="str">
        <x:v>พบแหล่งต่างเว็บไซต์ Аквариум и зоопарк | Аквариа Пхукет</x:v>
      </x:c>
      <x:c r="N586" s="28" t="n">
        <x:v>46316</x:v>
      </x:c>
      <x:c r="O586" s="57" t="str">
        <x:v>ยังไม่ตรวจ</x:v>
      </x:c>
      <x:c r="P586" s="57" t="str">
        <x:v>ยังไม่ติดต่อ</x:v>
      </x:c>
      <x:c r="Q586" s="20" t="str">
        <x:v>R26-307</x:v>
      </x:c>
      <x:c r="R586" s="20" t="str">
        <x:v>Aquaria Phuket</x:v>
      </x:c>
      <x:c r="S586" s="20" t="str"/>
      <x:c r="T586" s="20" t="str">
        <x:v>https://page.line.me/056svyst</x:v>
      </x:c>
      <x:c r="U586" s="20" t="str">
        <x:v>https://www.facebook.com/Aquawalk/</x:v>
      </x:c>
      <x:c r="V586" s="20" t="str">
        <x:v>https://www.instagram.com/nagomiya_phuket/</x:v>
      </x:c>
      <x:c r="W586" s="20" t="str">
        <x:v>https://page.line.me/056svyst</x:v>
      </x:c>
      <x:c r="X586" s="20" t="str"/>
      <x:c r="Y586" s="20" t="str">
        <x:v>https://www.google.com/maps/search/?api=1&amp;query=Aquaria%20Phuket%20%E0%B8%A0%E0%B8%B9%E0%B9%80%E0%B8%81%E0%B9%87%E0%B8%95</x:v>
      </x:c>
      <x:c r="Z586" s="56" t="n">
        <x:v>7.8887417</x:v>
      </x:c>
      <x:c r="AA586" s="56" t="n">
        <x:v>98.365962</x:v>
      </x:c>
      <x:c r="AB586" s="57" t="str"/>
      <x:c r="AC586" s="20" t="str">
        <x:v>https://aquaria-phuket.com/ru/</x:v>
      </x:c>
    </x:row>
    <x:row r="587" ht="88" customHeight="1">
      <x:c r="A587" s="54" t="n">
        <x:v>579</x:v>
      </x:c>
      <x:c r="B587" s="20" t="str">
        <x:v>Hanuman World Phuket</x:v>
      </x:c>
      <x:c r="C587" s="20" t="str">
        <x:v>ภูเก็ต</x:v>
      </x:c>
      <x:c r="D587" s="20" t="str">
        <x:v>กิจกรรม</x:v>
      </x:c>
      <x:c r="E587" s="20" t="str">
        <x:v>พบข้อมูลชื่อตรงจาก Hanuman World; เป็นหลักฐานตัวตน/ประเภท ยังไม่ยืนยันบริการมุสลิมครบเกณฑ์</x:v>
      </x:c>
      <x:c r="F587" s="20" t="str">
        <x:v>ไม่ทราบ</x:v>
      </x:c>
      <x:c r="G587" s="20" t="str">
        <x:v>ยังไม่ยืนยันใบรับรองและวันหมดอายุ</x:v>
      </x:c>
      <x:c r="H587" s="20" t="str">
        <x:v>ตรวจการเปิด ตัวตนสาขา ช่องทางติดต่อ และเงื่อนไขบังคับตามประเภท</x:v>
      </x:c>
      <x:c r="I587" s="20" t="str">
        <x:v>ยังไม่ยืนยันที่อยู่ละเอียด ดูลิงก์แหล่งข้อมูลและ Google Maps</x:v>
      </x:c>
      <x:c r="J587" s="21" t="str">
        <x:v>+66629795533</x:v>
      </x:c>
      <x:c r="K587" s="51" t="str">
        <x:v>https://image.mfa.go.th/mfa/0/uK8Kxy2oDV/E_Brochure_TAT_2024_English_Version.pdf</x:v>
      </x:c>
      <x:c r="L587" s="51" t="str">
        <x:v>https://hanumanworldphuket.com/th</x:v>
      </x:c>
      <x:c r="M587" s="20" t="str">
        <x:v>พบแหล่งต่างเว็บไซต์ จองการผจญภัยของคุณ | Hanuman World Phuket</x:v>
      </x:c>
      <x:c r="N587" s="28" t="n">
        <x:v>46316</x:v>
      </x:c>
      <x:c r="O587" s="57" t="str">
        <x:v>ยังไม่ตรวจ</x:v>
      </x:c>
      <x:c r="P587" s="57" t="str">
        <x:v>ยังไม่ติดต่อ</x:v>
      </x:c>
      <x:c r="Q587" s="20" t="str">
        <x:v>R26-305</x:v>
      </x:c>
      <x:c r="R587" s="20" t="str">
        <x:v>Hanuman World Phuket</x:v>
      </x:c>
      <x:c r="S587" s="20" t="str">
        <x:v>support@hanumanworldphuket.com</x:v>
      </x:c>
      <x:c r="T587" s="20" t="str">
        <x:v>https://image.mfa.go.th/mfa/0/uK8Kxy2oDV/E_Brochure_TAT_2024_English_Version.pdf</x:v>
      </x:c>
      <x:c r="U587" s="20" t="str">
        <x:v>https://www.facebook.com/HanumanWorld</x:v>
      </x:c>
      <x:c r="V587" s="20" t="str">
        <x:v>https://www.instagram.com/hanumanworldphuket</x:v>
      </x:c>
      <x:c r="W587" s="20" t="str"/>
      <x:c r="X587" s="20" t="str">
        <x:v>https://www.tiktok.com/@hanumanworld.phuket</x:v>
      </x:c>
      <x:c r="Y587" s="20" t="str">
        <x:v>https://www.google.com/maps/search/?api=1&amp;query=Hanuman%20World%20Phuket%20%E0%B8%A0%E0%B8%B9%E0%B9%80%E0%B8%81%E0%B9%87%E0%B8%95</x:v>
      </x:c>
      <x:c r="Z587" s="56" t="n">
        <x:v>7.876422</x:v>
      </x:c>
      <x:c r="AA587" s="56" t="n">
        <x:v>98.351137</x:v>
      </x:c>
      <x:c r="AB587" s="57" t="str"/>
      <x:c r="AC587" s="20" t="str">
        <x:v>https://hanumanworldphuket.com/th</x:v>
      </x:c>
    </x:row>
    <x:row r="588" ht="88" customHeight="1">
      <x:c r="A588" s="54" t="n">
        <x:v>580</x:v>
      </x:c>
      <x:c r="B588" s="20" t="str">
        <x:v>Phuket Aquarium</x:v>
      </x:c>
      <x:c r="C588" s="20" t="str">
        <x:v>ภูเก็ต</x:v>
      </x:c>
      <x:c r="D588" s="20" t="str">
        <x:v>กิจกรรม</x:v>
      </x:c>
      <x:c r="E588" s="20" t="str">
        <x:v>พบข้อมูลชื่อตรงจาก Phuket Aquarium; เป็นหลักฐานตัวตน/ประเภท ยังไม่ยืนยันบริการมุสลิมครบเกณฑ์</x:v>
      </x:c>
      <x:c r="F588" s="20" t="str">
        <x:v>ไม่ทราบ</x:v>
      </x:c>
      <x:c r="G588" s="20" t="str">
        <x:v>ยังไม่ยืนยันใบรับรองและวันหมดอายุ</x:v>
      </x:c>
      <x:c r="H588" s="20" t="str">
        <x:v>ตรวจการเปิด ตัวตนสาขา ช่องทางติดต่อ และเงื่อนไขบังคับตามประเภท</x:v>
      </x:c>
      <x:c r="I588" s="20" t="str">
        <x:v>ยังไม่ยืนยันที่อยู่ละเอียด ดูลิงก์แหล่งข้อมูลและ Google Maps</x:v>
      </x:c>
      <x:c r="J588" s="21" t="str">
        <x:v>ยังไม่พบหรือยังไม่ยืนยัน</x:v>
      </x:c>
      <x:c r="K588" s="51" t="str">
        <x:v>https://www.tourismthailand.org/Attraction/phuket-aquarium</x:v>
      </x:c>
      <x:c r="L588" s="51" t="str">
        <x:v>https://phuketaquarium.com/</x:v>
      </x:c>
      <x:c r="M588" s="20" t="str">
        <x:v>พบแหล่งต่างเว็บไซต์ สถานแสดงพันธุ์สัตว์น้ำ ภูเก็ต – ภูเก็ต สถานที่ท่องเที่ยว PhuketAquarium วันทะเลโลก รักทะเล ปลาฉลามกบ สถานที่ท่องเที่ยวภูเก็ต สถานแสดงพันธุ์สัตว์น้ำภูเก็ต</x:v>
      </x:c>
      <x:c r="N588" s="28" t="n">
        <x:v>46316</x:v>
      </x:c>
      <x:c r="O588" s="57" t="str">
        <x:v>ยังไม่ตรวจ</x:v>
      </x:c>
      <x:c r="P588" s="57" t="str">
        <x:v>ยังไม่ติดต่อ</x:v>
      </x:c>
      <x:c r="Q588" s="20" t="str">
        <x:v>R26-306</x:v>
      </x:c>
      <x:c r="R588" s="20" t="str">
        <x:v>Phuket Aquarium</x:v>
      </x:c>
      <x:c r="S588" s="20" t="str"/>
      <x:c r="T588" s="20" t="str">
        <x:v>https://www.tourismthailand.org/Attraction/phuket-aquarium</x:v>
      </x:c>
      <x:c r="U588" s="20" t="str"/>
      <x:c r="V588" s="20" t="str"/>
      <x:c r="W588" s="20" t="str"/>
      <x:c r="X588" s="20" t="str"/>
      <x:c r="Y588" s="20" t="str">
        <x:v>https://www.google.com/maps/search/?api=1&amp;query=Phuket%20Aquarium%20%E0%B8%A0%E0%B8%B9%E0%B9%80%E0%B8%81%E0%B9%87%E0%B8%95</x:v>
      </x:c>
      <x:c r="Z588" s="56" t="n">
        <x:v>7.9484142</x:v>
      </x:c>
      <x:c r="AA588" s="56" t="n">
        <x:v>98.283552</x:v>
      </x:c>
      <x:c r="AB588" s="57" t="str"/>
      <x:c r="AC588" s="20" t="str">
        <x:v>https://www.tourismthailand.org/Attraction/phuket-aquarium</x:v>
      </x:c>
    </x:row>
    <x:row r="589" ht="88" customHeight="1">
      <x:c r="A589" s="54" t="n">
        <x:v>581</x:v>
      </x:c>
      <x:c r="B589" s="20" t="str">
        <x:v>Phuket Elephant Sanctuary</x:v>
      </x:c>
      <x:c r="C589" s="20" t="str">
        <x:v>ภูเก็ต</x:v>
      </x:c>
      <x:c r="D589" s="20" t="str">
        <x:v>กิจกรรม</x:v>
      </x:c>
      <x:c r="E589" s="20" t="str">
        <x:v>พบข้อมูลชื่อตรงจาก Phuket Elephant Sanctuary | Thailands Ethical Elephant Sanctuary; เป็นหลักฐานตัวตน/ประเภท ยังไม่ยืนยันบริการมุสลิมครบเกณฑ์</x:v>
      </x:c>
      <x:c r="F589" s="20" t="str">
        <x:v>ไม่ทราบ</x:v>
      </x:c>
      <x:c r="G589" s="20" t="str">
        <x:v>ยังไม่ยืนยันใบรับรองและวันหมดอายุ</x:v>
      </x:c>
      <x:c r="H589" s="20" t="str">
        <x:v>ตรวจการเปิด ตัวตนสาขา ช่องทางติดต่อ และเงื่อนไขบังคับตามประเภท</x:v>
      </x:c>
      <x:c r="I589" s="20" t="str">
        <x:v>ยังไม่ยืนยันที่อยู่ละเอียด ดูลิงก์แหล่งข้อมูลและ Google Maps</x:v>
      </x:c>
      <x:c r="J589" s="21" t="str">
        <x:v>ยังไม่พบหรือยังไม่ยืนยัน</x:v>
      </x:c>
      <x:c r="K589" s="51" t="str">
        <x:v>https://www.phuketelephantsanctuary.org/</x:v>
      </x:c>
      <x:c r="L589" s="51" t="str">
        <x:v>https://www.youtube.com/watch?v=yTSKCIdBWuE</x:v>
      </x:c>
      <x:c r="M589" s="20" t="str">
        <x:v>พบแหล่งต่างเว็บไซต์ Phuket elephant sanctuary ที่นี่ไม่มีขี่ช้าง ไม่มีอาบน้ำช้าง ⁉️ เพื่อนฝรั่งบอกรักเมืองไทยขึ้นอีกเยอะ - YouTube</x:v>
      </x:c>
      <x:c r="N589" s="28" t="n">
        <x:v>46316</x:v>
      </x:c>
      <x:c r="O589" s="57" t="str">
        <x:v>ยังไม่ตรวจ</x:v>
      </x:c>
      <x:c r="P589" s="57" t="str">
        <x:v>ยังไม่ติดต่อ</x:v>
      </x:c>
      <x:c r="Q589" s="20" t="str">
        <x:v>R26-308</x:v>
      </x:c>
      <x:c r="R589" s="20" t="str">
        <x:v>Phuket Elephant Sanctuary</x:v>
      </x:c>
      <x:c r="S589" s="20" t="str"/>
      <x:c r="T589" s="20" t="str">
        <x:v>https://www.phuketelephantsanctuary.org/</x:v>
      </x:c>
      <x:c r="U589" s="20" t="str">
        <x:v>https://www.facebook.com/phuketelephantsanctuary</x:v>
      </x:c>
      <x:c r="V589" s="20" t="str">
        <x:v>https://www.instagram.com/phuketelephantsanctuary/</x:v>
      </x:c>
      <x:c r="W589" s="20" t="str"/>
      <x:c r="X589" s="20" t="str"/>
      <x:c r="Y589" s="20" t="str">
        <x:v>https://www.google.com/maps/search/?api=1&amp;query=Phuket%20Elephant%20Sanctuary%20%E0%B8%A0%E0%B8%B9%E0%B9%80%E0%B8%81%E0%B9%87%E0%B8%95</x:v>
      </x:c>
      <x:c r="Z589" s="56" t="n">
        <x:v>8.076423</x:v>
      </x:c>
      <x:c r="AA589" s="56" t="n">
        <x:v>98.294163</x:v>
      </x:c>
      <x:c r="AB589" s="57" t="str"/>
      <x:c r="AC589" s="20" t="str">
        <x:v>https://www.phuketelephantsanctuary.org/</x:v>
      </x:c>
    </x:row>
    <x:row r="590" ht="88" customHeight="1">
      <x:c r="A590" s="54" t="n">
        <x:v>582</x:v>
      </x:c>
      <x:c r="B590" s="20" t="str">
        <x:v>อันดามันดา ภูเก็ต</x:v>
      </x:c>
      <x:c r="C590" s="20" t="str">
        <x:v>ภูเก็ต</x:v>
      </x:c>
      <x:c r="D590" s="20" t="str">
        <x:v>สวนน้ำ</x:v>
      </x:c>
      <x:c r="E590" s="20" t="str">
        <x:v>ผู้ประกอบการระบุอาหารฮาลาล ห้องละหมาดแยกชายหญิง ทิศกิบลัตและพรม ต้องตรวจใบรับรองและการแยกพื้นที่แอลกอฮอล์</x:v>
      </x:c>
      <x:c r="F590" s="20" t="str">
        <x:v>มีข้อมูลระบุ แต่รอยืนยัน</x:v>
      </x:c>
      <x:c r="G590" s="20" t="str">
        <x:v>ยังไม่พบเอกสารรับรองและวันหมดอายุ</x:v>
      </x:c>
      <x:c r="H590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90" s="20" t="str">
        <x:v>ยังไม่ยืนยันที่อยู่ละเอียด ดูลิงก์แหล่งข้อมูลและ Google Maps</x:v>
      </x:c>
      <x:c r="J590" s="21" t="str">
        <x:v>ยังไม่พบหรือยังไม่ยืนยัน</x:v>
      </x:c>
      <x:c r="K590" s="51" t="str">
        <x:v>https://www.andamandaphuket.com/th/node/339</x:v>
      </x:c>
      <x:c r="L590" s="51" t="str">
        <x:v>https://th.trip.com/travel-guide/attraction/phuket/andamanda-phuket-waterpark-133979403?curr=CNY&amp;locale=th-TH</x:v>
      </x:c>
      <x:c r="M590" s="20" t="str">
        <x:v>ผลค้นหาชื่อสัมพันธ์จากแหล่งเพิ่มเติม ต้องยืนยันสาขาและข้อมูลปัจจุบัน</x:v>
      </x:c>
      <x:c r="N590" s="28" t="n">
        <x:v>46315</x:v>
      </x:c>
      <x:c r="O590" s="57" t="str">
        <x:v>ยังไม่ตรวจ</x:v>
      </x:c>
      <x:c r="P590" s="57" t="str">
        <x:v>ยังไม่ติดต่อ</x:v>
      </x:c>
      <x:c r="Q590" s="20" t="str">
        <x:v>TMF-189</x:v>
      </x:c>
      <x:c r="R590" s="20" t="str"/>
      <x:c r="S590" s="20" t="str"/>
      <x:c r="T590" s="20" t="str">
        <x:v>https://www.andamandaphuket.com/th/node/339</x:v>
      </x:c>
      <x:c r="U590" s="20" t="str"/>
      <x:c r="V590" s="20" t="str"/>
      <x:c r="W590" s="20" t="str"/>
      <x:c r="X590" s="20" t="str"/>
      <x:c r="Y590" s="20" t="str">
        <x:v>https://www.google.com/maps/search/?api=1&amp;query=%E0%B8%AD%E0%B8%B1%E0%B8%99%E0%B8%94%E0%B8%B2%E0%B8%A1%E0%B8%B1%E0%B8%99%E0%B8%94%E0%B8%B2%20%E0%B8%A0%E0%B8%B9%E0%B9%80%E0%B8%81%E0%B9%87%E0%B8%95%20%E0%B8%A0%E0%B8%B9%E0%B9%80%E0%B8%81%E0%B9%87%E0%B8%95</x:v>
      </x:c>
      <x:c r="Z590" s="56" t="n">
        <x:v>7.902558</x:v>
      </x:c>
      <x:c r="AA590" s="56" t="n">
        <x:v>98.363263</x:v>
      </x:c>
      <x:c r="AB590" s="57" t="str"/>
      <x:c r="AC590" s="20" t="str">
        <x:v>https://www.andamandaphuket.com/th/node/339</x:v>
      </x:c>
    </x:row>
    <x:row r="591" ht="88" customHeight="1">
      <x:c r="A591" s="54" t="n">
        <x:v>583</x:v>
      </x:c>
      <x:c r="B591" s="20" t="str">
        <x:v>กาแฟปากลัด</x:v>
      </x:c>
      <x:c r="C591" s="20" t="str">
        <x:v>สมุทรปราการ</x:v>
      </x:c>
      <x:c r="D591" s="20" t="str">
        <x:v>ร้านอาหาร</x:v>
      </x:c>
      <x:c r="E591" s="20" t="str">
        <x:v>Makan Verify; ช่องห้องละหมาดไม่ได้ทำเครื่องหมายว่ามี</x:v>
      </x:c>
      <x:c r="F591" s="20" t="str">
        <x:v>แหล่งเดิมไม่ระบุว่ามี</x:v>
      </x:c>
      <x:c r="G591" s="20" t="str">
        <x:v>ยังไม่พบเอกสารรับรองและวันหมดอายุ</x:v>
      </x:c>
      <x:c r="H591" s="20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I591" s="20" t="str">
        <x:v>มัสยิดดารอสอาดะห์
72 ซอยพระราชวิริยาภรณ์ 17 ต.บางพึ่ง อ.พระประแดง จ.สมุทรปราการ 10130
</x:v>
      </x:c>
      <x:c r="J591" s="21" t="str">
        <x:v>0960411993</x:v>
      </x:c>
      <x:c r="K591" s="51" t="str">
        <x:v>https://makanhalalguide.com/shop/detail/5574</x:v>
      </x:c>
      <x:c r="L591" s="51" t="str">
        <x:v>https://www.wongnai.com/restaurants/492751Su-%E0%B8%81%E0%B8%B2%E0%B9%81%E0%B8%9F%E0%B8%AA%E0%B8%94%E0%B8%9B%E0%B8%B2%E0%B8%81%E0%B8%A5%E0%B8%B1%E0%B8%94</x:v>
      </x:c>
      <x:c r="M591" s="20" t="str">
        <x:v>พบผลค้นชื่อสัมพันธ์เพิ่มเติม ต้องยืนยันสาขาและเจ้าของช่องทาง</x:v>
      </x:c>
      <x:c r="N591" s="28" t="n">
        <x:v>46316</x:v>
      </x:c>
      <x:c r="O591" s="57" t="str">
        <x:v>ยังไม่ตรวจ</x:v>
      </x:c>
      <x:c r="P591" s="57" t="str">
        <x:v>ยังไม่ติดต่อ</x:v>
      </x:c>
      <x:c r="Q591" s="20" t="str">
        <x:v>TMF-401</x:v>
      </x:c>
      <x:c r="R591" s="20" t="str"/>
      <x:c r="S591" s="20" t="str"/>
      <x:c r="T591" s="20" t="str">
        <x:v>https://makanhalalguide.com/shop/detail/5574</x:v>
      </x:c>
      <x:c r="U591" s="20" t="str"/>
      <x:c r="V591" s="20" t="str"/>
      <x:c r="W591" s="20" t="str"/>
      <x:c r="X591" s="20" t="str"/>
      <x:c r="Y591" s="20" t="str">
        <x:v>https://www.google.com/maps/search/?api=1&amp;query=%E0%B8%81%E0%B8%B2%E0%B9%81%E0%B8%9F%E0%B8%9B%E0%B8%B2%E0%B8%81%E0%B8%A5%E0%B8%B1%E0%B8%94%20%E0%B8%AA%E0%B8%A1%E0%B8%B8%E0%B8%97%E0%B8%A3%E0%B8%9B%E0%B8%A3%E0%B8%B2%E0%B8%81%E0%B8%B2%E0%B8%A3</x:v>
      </x:c>
      <x:c r="Z591" s="56" t="n">
        <x:v>13.659939</x:v>
      </x:c>
      <x:c r="AA591" s="56" t="n">
        <x:v>100.526104</x:v>
      </x:c>
      <x:c r="AB591" s="57" t="str"/>
      <x:c r="AC591" s="20" t="str">
        <x:v>https://makanhalalguide.com/shop/detail/5574</x:v>
      </x:c>
    </x:row>
    <x:row r="592" ht="88" customHeight="1">
      <x:c r="A592" s="54" t="n">
        <x:v>584</x:v>
      </x:c>
      <x:c r="B592" s="20" t="str">
        <x:v>ส้มตำบางกะสี</x:v>
      </x:c>
      <x:c r="C592" s="20" t="str">
        <x:v>สมุทรปราการ</x:v>
      </x:c>
      <x:c r="D592" s="20" t="str">
        <x:v>ร้านอาหาร</x:v>
      </x:c>
      <x:c r="E592" s="20" t="str">
        <x:v>มีรายชื่อใน Makan Halal Guide; ระบุมีห้องละหมาด</x:v>
      </x:c>
      <x:c r="F592" s="20" t="str">
        <x:v>มีข้อมูลระบุ แต่รอยืนยัน</x:v>
      </x:c>
      <x:c r="G592" s="20" t="str">
        <x:v>ยังไม่พบเอกสารรับรองและวันหมดอายุ</x:v>
      </x:c>
      <x:c r="H59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92" s="20" t="str">
        <x:v>199/66 ซ.กู้พารา2 ต.บางพลีใหญ่ อ.บางพลี จ.สมุทรปราการ 10540 (ซ.กู้พารา2 หน้าปากซอยมีเซเว่น เข้ามาประมาณ100เมตร ร้านอยู่ขวามือ)</x:v>
      </x:c>
      <x:c r="J592" s="21" t="str">
        <x:v>0831324834</x:v>
      </x:c>
      <x:c r="K592" s="51" t="str">
        <x:v>https://makanhalalguide.com/shop/detail/4822</x:v>
      </x:c>
      <x:c r="L592" s="51" t="str">
        <x:v>https://www.wongnai.com/restaurants/511261IA-%E0%B8%AA%E0%B9%89%E0%B8%A1%E0%B8%95%E0%B8%B3%E0%B8%9A%E0%B8%B2%E0%B8%87%E0%B8%81%E0%B8%B0%E0%B8%AA%E0%B8%B5</x:v>
      </x:c>
      <x:c r="M592" s="20" t="str">
        <x:v>ผลค้นหาชื่อสัมพันธ์จากแหล่งเพิ่มเติม ต้องยืนยันสาขาและข้อมูลปัจจุบัน</x:v>
      </x:c>
      <x:c r="N592" s="28" t="n">
        <x:v>46315</x:v>
      </x:c>
      <x:c r="O592" s="57" t="str">
        <x:v>ยังไม่ตรวจ</x:v>
      </x:c>
      <x:c r="P592" s="57" t="str">
        <x:v>ยังไม่ติดต่อ</x:v>
      </x:c>
      <x:c r="Q592" s="20" t="str">
        <x:v>TMF-223</x:v>
      </x:c>
      <x:c r="R592" s="20" t="str"/>
      <x:c r="S592" s="20" t="str"/>
      <x:c r="T592" s="20" t="str">
        <x:v>https://makanhalalguide.com/shop/detail/4822</x:v>
      </x:c>
      <x:c r="U592" s="20" t="str"/>
      <x:c r="V592" s="20" t="str"/>
      <x:c r="W592" s="20" t="str"/>
      <x:c r="X592" s="20" t="str"/>
      <x:c r="Y592" s="20" t="str">
        <x:v>https://www.google.com/maps/search/?api=1&amp;query=%E0%B8%AA%E0%B9%89%E0%B8%A1%E0%B8%95%E0%B8%B3%E0%B8%9A%E0%B8%B2%E0%B8%87%E0%B8%81%E0%B8%B0%E0%B8%AA%E0%B8%B5%20%E0%B8%AA%E0%B8%A1%E0%B8%B8%E0%B8%97%E0%B8%A3%E0%B8%9B%E0%B8%A3%E0%B8%B2%E0%B8%81%E0%B8%B2%E0%B8%A3</x:v>
      </x:c>
      <x:c r="Z592" s="56" t="n">
        <x:v>13.601028</x:v>
      </x:c>
      <x:c r="AA592" s="56" t="n">
        <x:v>100.718985</x:v>
      </x:c>
      <x:c r="AB592" s="57" t="str"/>
      <x:c r="AC592" s="20" t="str">
        <x:v>https://makanhalalguide.com/shop/detail/4822</x:v>
      </x:c>
    </x:row>
    <x:row r="593" ht="88" customHeight="1">
      <x:c r="A593" s="54" t="n">
        <x:v>585</x:v>
      </x:c>
      <x:c r="B593" s="20" t="str">
        <x:v>แมนดาริน สุกี้&amp;ติ่มซำ สาขา เมกาบางนา</x:v>
      </x:c>
      <x:c r="C593" s="20" t="str">
        <x:v>สมุทรปราการ</x:v>
      </x:c>
      <x:c r="D593" s="20" t="str">
        <x:v>ร้านอาหาร</x:v>
      </x:c>
      <x:c r="E593" s="20" t="str">
        <x:v>Makan Verify; ระบุมีห้องละหมาด</x:v>
      </x:c>
      <x:c r="F593" s="20" t="str">
        <x:v>มีข้อมูลระบุ แต่รอยืนยัน</x:v>
      </x:c>
      <x:c r="G593" s="20" t="str">
        <x:v>ยังไม่พบเอกสารรับรองและวันหมดอายุ</x:v>
      </x:c>
      <x:c r="H593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93" s="20" t="str">
        <x:v>เมกาบางนา ชั้น 2 โซน Food Walk ถนนบางนา-ตราด ตำบลบางแก้ว อำเภอบางพลี จังหวัดสมุทรปราการ 10540</x:v>
      </x:c>
      <x:c r="J593" s="21" t="str">
        <x:v>0636878406</x:v>
      </x:c>
      <x:c r="K593" s="51" t="str">
        <x:v>https://makanhalalguide.com/shop/detail/5671</x:v>
      </x:c>
      <x:c r="L593" s="51" t="str">
        <x:v>https://www.lemon8-app.com/%40lawaekni/7551001175471178247?region=th</x:v>
      </x:c>
      <x:c r="M593" s="20" t="str">
        <x:v>พบผลค้นชื่อสัมพันธ์เพิ่มเติม ต้องยืนยันสาขาและเจ้าของช่องทาง</x:v>
      </x:c>
      <x:c r="N593" s="28" t="n">
        <x:v>46316</x:v>
      </x:c>
      <x:c r="O593" s="57" t="str">
        <x:v>ยังไม่ตรวจ</x:v>
      </x:c>
      <x:c r="P593" s="57" t="str">
        <x:v>ยังไม่ติดต่อ</x:v>
      </x:c>
      <x:c r="Q593" s="20" t="str">
        <x:v>TMF-224</x:v>
      </x:c>
      <x:c r="R593" s="20" t="str"/>
      <x:c r="S593" s="20" t="str"/>
      <x:c r="T593" s="20" t="str">
        <x:v>https://makanhalalguide.com/shop/detail/5671</x:v>
      </x:c>
      <x:c r="U593" s="20" t="str"/>
      <x:c r="V593" s="20" t="str"/>
      <x:c r="W593" s="20" t="str"/>
      <x:c r="X593" s="20" t="str"/>
      <x:c r="Y593" s="20" t="str">
        <x:v>https://www.google.com/maps/search/?api=1&amp;query=%E0%B9%81%E0%B8%A1%E0%B8%99%E0%B8%94%E0%B8%B2%E0%B8%A3%E0%B8%B4%E0%B8%99%20%E0%B8%AA%E0%B8%B8%E0%B8%81%E0%B8%B5%E0%B9%89%26%E0%B8%95%E0%B8%B4%E0%B9%88%E0%B8%A1%E0%B8%8B%E0%B8%B3%20%E0%B8%AA%E0%B8%B2%E0%B8%82%E0%B8%B2%20%E0%B9%80%E0%B8%A1%E0%B8%81%E0%B8%B2%E0%B8%9A%E0%B8%B2%E0%B8%87%E0%B8%99%E0%B8%B2%20%E0%B8%AA%E0%B8%A1%E0%B8%B8%E0%B8%97%E0%B8%A3%E0%B8%9B%E0%B8%A3%E0%B8%B2%E0%B8%81%E0%B8%B2%E0%B8%A3</x:v>
      </x:c>
      <x:c r="Z593" s="56" t="n">
        <x:v>13.646042</x:v>
      </x:c>
      <x:c r="AA593" s="56" t="n">
        <x:v>100.678576</x:v>
      </x:c>
      <x:c r="AB593" s="57" t="str"/>
      <x:c r="AC593" s="20" t="str">
        <x:v>https://makanhalalguide.com/shop/detail/5671</x:v>
      </x:c>
    </x:row>
    <x:row r="594" ht="88" customHeight="1">
      <x:c r="A594" s="54" t="n">
        <x:v>586</x:v>
      </x:c>
      <x:c r="B594" s="20" t="str">
        <x:v>โรตี ข้าวหมก Salute</x:v>
      </x:c>
      <x:c r="C594" s="20" t="str">
        <x:v>สมุทรปราการ</x:v>
      </x:c>
      <x:c r="D594" s="20" t="str">
        <x:v>คาเฟ่และร้านของหวาน</x:v>
      </x:c>
      <x:c r="E594" s="20" t="str">
        <x:v>มีรายชื่อใน Makan Halal Guide; ระบุมีห้องละหมาด</x:v>
      </x:c>
      <x:c r="F594" s="20" t="str">
        <x:v>มีข้อมูลระบุ แต่รอยืนยัน</x:v>
      </x:c>
      <x:c r="G594" s="20" t="str">
        <x:v>ยังไม่พบเอกสารรับรองและวันหมดอายุ</x:v>
      </x:c>
      <x:c r="H594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594" s="20" t="str">
        <x:v>168 ร้านในปั้มปตท. กม.14 บางนาตราด ขาเข้าเมือง PTT Gas station ตำบลบางโฉลง อำเภอบางพลี สมุทรปราการ 10540</x:v>
      </x:c>
      <x:c r="J594" s="21" t="str">
        <x:v>0639957110</x:v>
      </x:c>
      <x:c r="K594" s="51" t="str">
        <x:v>https://makanhalalguide.com/shop/detail/5620</x:v>
      </x:c>
      <x:c r="L594" s="51" t="str">
        <x:v>https://www.wongnai.com/restaurants/2407421IL-%E0%B9%82%E0%B8%A3%E0%B8%95%E0%B8%B5-%E0%B8%82%E0%B9%89%E0%B8%B2%E0%B8%A7%E0%B8%AB%E0%B8%A1%E0%B8%81-%E0%B8%8B%E0%B8%B2%E0%B8%A5%E0%B8%B9%E0%B8%97-%E0%B8%9B%E0%B8%B1%E0%B9%89%E0%B8%A1%E0%B8%9B%E0%B8%95%E0%B8%97-%E0%B8%81%E0%B8%A1-14-%E0%B8%82%E0%B8%B2%E0%B9%80%E0%B8%82%E0%B9%89%E0%B8%B2%E0%B9%80%E0%B8%A1%E0%B8%B7%E0%B8%AD%E0%B8%87</x:v>
      </x:c>
      <x:c r="M594" s="20" t="str">
        <x:v>ผลค้นหาชื่อสัมพันธ์จากแหล่งเพิ่มเติม ต้องยืนยันสาขาและข้อมูลปัจจุบัน</x:v>
      </x:c>
      <x:c r="N594" s="28" t="n">
        <x:v>46315</x:v>
      </x:c>
      <x:c r="O594" s="57" t="str">
        <x:v>ยังไม่ตรวจ</x:v>
      </x:c>
      <x:c r="P594" s="57" t="str">
        <x:v>ยังไม่ติดต่อ</x:v>
      </x:c>
      <x:c r="Q594" s="20" t="str">
        <x:v>TMF-225</x:v>
      </x:c>
      <x:c r="R594" s="20" t="str"/>
      <x:c r="S594" s="20" t="str"/>
      <x:c r="T594" s="20" t="str">
        <x:v>https://makanhalalguide.com/shop/detail/5620</x:v>
      </x:c>
      <x:c r="U594" s="20" t="str"/>
      <x:c r="V594" s="20" t="str"/>
      <x:c r="W594" s="20" t="str"/>
      <x:c r="X594" s="20" t="str"/>
      <x:c r="Y594" s="20" t="str">
        <x:v>https://www.google.com/maps/search/?api=1&amp;query=%E0%B9%82%E0%B8%A3%E0%B8%95%E0%B8%B5%20%E0%B8%82%E0%B9%89%E0%B8%B2%E0%B8%A7%E0%B8%AB%E0%B8%A1%E0%B8%81%20Salute%20%E0%B8%AA%E0%B8%A1%E0%B8%B8%E0%B8%97%E0%B8%A3%E0%B8%9B%E0%B8%A3%E0%B8%B2%E0%B8%81%E0%B8%B2%E0%B8%A3</x:v>
      </x:c>
      <x:c r="Z594" s="56" t="n">
        <x:v>13.625469</x:v>
      </x:c>
      <x:c r="AA594" s="56" t="n">
        <x:v>100.725696</x:v>
      </x:c>
      <x:c r="AB594" s="57" t="str"/>
      <x:c r="AC594" s="20" t="str">
        <x:v>https://makanhalalguide.com/shop/detail/5620</x:v>
      </x:c>
    </x:row>
    <x:row r="595" ht="88" customHeight="1">
      <x:c r="A595" s="54" t="n">
        <x:v>587</x:v>
      </x:c>
      <x:c r="B595" s="20" t="str">
        <x:v>RAKxa Wellness Bang Krachao</x:v>
      </x:c>
      <x:c r="C595" s="20" t="str">
        <x:v>สมุทรปราการ</x:v>
      </x:c>
      <x:c r="D595" s="20" t="str">
        <x:v>เวลเนส</x:v>
      </x:c>
      <x:c r="E595" s="20" t="str">
        <x:v>พบข้อมูลชื่อตรงจาก RAKxa Integrative Wellness — ملف مزوّد موثّق · ThaiCheckup; เป็นหลักฐานตัวตน/ประเภท ยังไม่ยืนยันบริการมุสลิมครบเกณฑ์</x:v>
      </x:c>
      <x:c r="F595" s="20" t="str">
        <x:v>ไม่ทราบ</x:v>
      </x:c>
      <x:c r="G595" s="20" t="str">
        <x:v>ยังไม่ยืนยันใบรับรองและวันหมดอายุ</x:v>
      </x:c>
      <x:c r="H595" s="20" t="str">
        <x:v>ตรวจการเปิด ตัวตนสาขา ช่องทางติดต่อ และเงื่อนไขบังคับตามประเภท</x:v>
      </x:c>
      <x:c r="I595" s="20" t="str">
        <x:v>ยังไม่ยืนยันที่อยู่ละเอียด ดูลิงก์แหล่งข้อมูลและ Google Maps</x:v>
      </x:c>
      <x:c r="J595" s="21" t="str">
        <x:v>ยังไม่พบหรือยังไม่ยืนยัน</x:v>
      </x:c>
      <x:c r="K595" s="51" t="str">
        <x:v>https://thaicheckup.com/ar/providers/rakxa-wellness</x:v>
      </x:c>
      <x:c r="L595" s="51" t="str">
        <x:v>https://tre.ma/rakxawellness</x:v>
      </x:c>
      <x:c r="M595" s="20" t="str">
        <x:v>พบแหล่งต่างเว็บไซต์ RAKxa Wellness on Trema</x:v>
      </x:c>
      <x:c r="N595" s="28" t="n">
        <x:v>46316</x:v>
      </x:c>
      <x:c r="O595" s="57" t="str">
        <x:v>ยังไม่ตรวจ</x:v>
      </x:c>
      <x:c r="P595" s="57" t="str">
        <x:v>ยังไม่ติดต่อ</x:v>
      </x:c>
      <x:c r="Q595" s="20" t="str">
        <x:v>R26-300</x:v>
      </x:c>
      <x:c r="R595" s="20" t="str">
        <x:v>RAKxa Wellness Bang Krachao</x:v>
      </x:c>
      <x:c r="S595" s="20" t="str"/>
      <x:c r="T595" s="20" t="str">
        <x:v>https://thaicheckup.com/ar/providers/rakxa-wellness</x:v>
      </x:c>
      <x:c r="U595" s="20" t="str"/>
      <x:c r="V595" s="20" t="str"/>
      <x:c r="W595" s="20" t="str"/>
      <x:c r="X595" s="20" t="str"/>
      <x:c r="Y595" s="20" t="str">
        <x:v>https://www.google.com/maps/search/?api=1&amp;query=RAKxa%20Wellness%20Bang%20Krachao%20%E0%B8%AA%E0%B8%A1%E0%B8%B8%E0%B8%97%E0%B8%A3%E0%B8%9B%E0%B8%A3%E0%B8%B2%E0%B8%81%E0%B8%B2%E0%B8%A3</x:v>
      </x:c>
      <x:c r="Z595" s="56" t="n">
        <x:v>13.67415</x:v>
      </x:c>
      <x:c r="AA595" s="56" t="n">
        <x:v>100.576462</x:v>
      </x:c>
      <x:c r="AB595" s="57" t="str"/>
      <x:c r="AC595" s="20" t="str">
        <x:v>https://thaicheckup.com/ar/providers/rakxa-wellness</x:v>
      </x:c>
    </x:row>
    <x:row r="596" ht="88" customHeight="1">
      <x:c r="A596" s="54" t="n">
        <x:v>588</x:v>
      </x:c>
      <x:c r="B596" s="20" t="str">
        <x:v>Mega Bangna</x:v>
      </x:c>
      <x:c r="C596" s="20" t="str">
        <x:v>สมุทรปราการ</x:v>
      </x:c>
      <x:c r="D596" s="20" t="str">
        <x:v>การค้า</x:v>
      </x:c>
      <x:c r="E596" s="20" t="str">
        <x:v>พบข้อมูลชื่อตรงจาก OFM Mega Bangna | LINE Official Account; เป็นหลักฐานตัวตน/ประเภท ยังไม่ยืนยันบริการมุสลิมครบเกณฑ์</x:v>
      </x:c>
      <x:c r="F596" s="20" t="str">
        <x:v>ไม่ทราบ</x:v>
      </x:c>
      <x:c r="G596" s="20" t="str">
        <x:v>ยังไม่ยืนยันใบรับรองและวันหมดอายุ</x:v>
      </x:c>
      <x:c r="H596" s="20" t="str">
        <x:v>ตรวจการเปิด ตัวตนสาขา ช่องทางติดต่อ และเงื่อนไขบังคับตามประเภท</x:v>
      </x:c>
      <x:c r="I596" s="20" t="str">
        <x:v>ยังไม่ยืนยันที่อยู่ละเอียด ดูลิงก์แหล่งข้อมูลและ Google Maps</x:v>
      </x:c>
      <x:c r="J596" s="21" t="str">
        <x:v>+66 2-105-1000</x:v>
      </x:c>
      <x:c r="K596" s="51" t="str">
        <x:v>https://page.line.me/661nfatv</x:v>
      </x:c>
      <x:c r="L596" s="51" t="str">
        <x:v>https://www.mega-bangna.com/?lang=en</x:v>
      </x:c>
      <x:c r="M596" s="20" t="str">
        <x:v>พบแหล่งต่างเว็บไซต์ ศูนย์การค้าเมกาบางนา แหล่งช้อปปิ้งที่ใหญ่ที่สุดของกรุงเทพฯ ฝั่งตะวันออก | Megabangna</x:v>
      </x:c>
      <x:c r="N596" s="28" t="n">
        <x:v>46316</x:v>
      </x:c>
      <x:c r="O596" s="57" t="str">
        <x:v>ยังไม่ตรวจ</x:v>
      </x:c>
      <x:c r="P596" s="57" t="str">
        <x:v>ยังไม่ติดต่อ</x:v>
      </x:c>
      <x:c r="Q596" s="20" t="str">
        <x:v>R26-270</x:v>
      </x:c>
      <x:c r="R596" s="20" t="str">
        <x:v>Mega Bangna</x:v>
      </x:c>
      <x:c r="S596" s="20" t="str">
        <x:v>contactus@mega-bangna.com</x:v>
      </x:c>
      <x:c r="T596" s="20" t="str">
        <x:v>https://page.line.me/661nfatv</x:v>
      </x:c>
      <x:c r="U596" s="20" t="str">
        <x:v>https://www.facebook.com/megabangnashoppingcenter</x:v>
      </x:c>
      <x:c r="V596" s="20" t="str">
        <x:v>https://www.instagram.com/megabangna_th/</x:v>
      </x:c>
      <x:c r="W596" s="20" t="str">
        <x:v>https://page.line.me/661nfatv</x:v>
      </x:c>
      <x:c r="X596" s="20" t="str"/>
      <x:c r="Y596" s="20" t="str">
        <x:v>https://www.google.com/maps/search/?api=1&amp;query=Mega%20Bangna%20%E0%B8%AA%E0%B8%A1%E0%B8%B8%E0%B8%97%E0%B8%A3%E0%B8%9B%E0%B8%A3%E0%B8%B2%E0%B8%81%E0%B8%B2%E0%B8%A3</x:v>
      </x:c>
      <x:c r="Z596" s="56" t="n">
        <x:v>13.646595</x:v>
      </x:c>
      <x:c r="AA596" s="56" t="n">
        <x:v>100.680199</x:v>
      </x:c>
      <x:c r="AB596" s="57" t="str"/>
      <x:c r="AC596" s="20" t="str">
        <x:v>https://www.mega-bangna.com/?lang=en</x:v>
      </x:c>
    </x:row>
    <x:row r="597" ht="88" customHeight="1">
      <x:c r="A597" s="54" t="n">
        <x:v>589</x:v>
      </x:c>
      <x:c r="B597" s="20" t="str">
        <x:v>สถานตากอากาศบางปู</x:v>
      </x:c>
      <x:c r="C597" s="20" t="str">
        <x:v>สมุทรปราการ</x:v>
      </x:c>
      <x:c r="D597" s="20" t="str">
        <x:v>ธรรมชาติ</x:v>
      </x:c>
      <x:c r="E597" s="20" t="str">
        <x:v>พบข้อมูลชื่อตรงจาก สถานตากอากาศบางปู (Bang Pu Seaside Resort) - สำนักงานการท่องเที่ยวและกีฬาจังหวัดสมุทรปราการ; เป็นหลักฐานตัวตน/ประเภท ยังไม่ยืนยันบริการมุสลิมครบเกณฑ์</x:v>
      </x:c>
      <x:c r="F597" s="20" t="str">
        <x:v>ไม่ทราบ</x:v>
      </x:c>
      <x:c r="G597" s="20" t="str">
        <x:v>ยังไม่ยืนยันใบรับรองและวันหมดอายุ</x:v>
      </x:c>
      <x:c r="H597" s="20" t="str">
        <x:v>ตรวจการเปิด ตัวตนสาขา ช่องทางติดต่อ และเงื่อนไขบังคับตามประเภท</x:v>
      </x:c>
      <x:c r="I597" s="20" t="str">
        <x:v>ยังไม่ยืนยันที่อยู่ละเอียด ดูลิงก์แหล่งข้อมูลและ Google Maps</x:v>
      </x:c>
      <x:c r="J597" s="21" t="str">
        <x:v>ยังไม่พบหรือยังไม่ยืนยัน</x:v>
      </x:c>
      <x:c r="K597" s="51" t="str">
        <x:v>https://samutprakan.mots.go.th/news/501</x:v>
      </x:c>
      <x:c r="L597" s="51" t="str">
        <x:v>https://www.thailandtourismdirectory.go.th/attraction/1557</x:v>
      </x:c>
      <x:c r="M597" s="20" t="str">
        <x:v>พบแหล่งต่างเว็บไซต์ สถานตากอากาศบางปู</x:v>
      </x:c>
      <x:c r="N597" s="28" t="n">
        <x:v>46316</x:v>
      </x:c>
      <x:c r="O597" s="57" t="str">
        <x:v>ยังไม่ตรวจ</x:v>
      </x:c>
      <x:c r="P597" s="57" t="str">
        <x:v>ยังไม่ติดต่อ</x:v>
      </x:c>
      <x:c r="Q597" s="20" t="str">
        <x:v>R26-238</x:v>
      </x:c>
      <x:c r="R597" s="20" t="str"/>
      <x:c r="S597" s="20" t="str"/>
      <x:c r="T597" s="20" t="str">
        <x:v>https://samutprakan.mots.go.th/news/501</x:v>
      </x:c>
      <x:c r="U597" s="20" t="str"/>
      <x:c r="V597" s="20" t="str"/>
      <x:c r="W597" s="20" t="str"/>
      <x:c r="X597" s="20" t="str"/>
      <x:c r="Y597" s="20" t="str">
        <x:v>https://www.google.com/maps/search/?api=1&amp;query=%E0%B8%AA%E0%B8%96%E0%B8%B2%E0%B8%99%E0%B8%95%E0%B8%B2%E0%B8%81%E0%B8%AD%E0%B8%B2%E0%B8%81%E0%B8%B2%E0%B8%A8%E0%B8%9A%E0%B8%B2%E0%B8%87%E0%B8%9B%E0%B8%B9%20%E0%B8%AA%E0%B8%A1%E0%B8%B8%E0%B8%97%E0%B8%A3%E0%B8%9B%E0%B8%A3%E0%B8%B2%E0%B8%81%E0%B8%B2%E0%B8%A3</x:v>
      </x:c>
      <x:c r="Z597" s="56" t="n">
        <x:v>13.513337</x:v>
      </x:c>
      <x:c r="AA597" s="56" t="n">
        <x:v>100.654075</x:v>
      </x:c>
      <x:c r="AB597" s="57" t="str"/>
      <x:c r="AC597" s="20" t="str">
        <x:v>https://samutprakan.mots.go.th/news/501</x:v>
      </x:c>
    </x:row>
    <x:row r="598" ht="88" customHeight="1">
      <x:c r="A598" s="54" t="n">
        <x:v>590</x:v>
      </x:c>
      <x:c r="B598" s="20" t="str">
        <x:v>สวนศรีนครเขื่อนขันธ์</x:v>
      </x:c>
      <x:c r="C598" s="20" t="str">
        <x:v>สมุทรปราการ</x:v>
      </x:c>
      <x:c r="D598" s="20" t="str">
        <x:v>ธรรมชาติ</x:v>
      </x:c>
      <x:c r="E598" s="20" t="str">
        <x:v>พบข้อมูลชื่อตรงจาก ๑๔๘ ไร่ สร้างเป็นสวนสาธารณะและสวนพฤกษศาสตร์ ขึ้นในหลวงรัชกาลที่ ๙ ได้พระราชทานชื่อว่า “สวนศรีนครเขื่อนขันธ์” นอกจากนี้ยังมีการส่งเสริมการเกษตรในพื้นที่ การพัฒนาคุณภาพชีวิตและสิ่งแวดล้อมชุมชน การจัดการขยะมูลฝอย การออกแบบและก่อสร้างสวนกลางมหานคร การดูแลรักษาสวนสาธารณะ และการปลูกสร้างสวนป่า เป็นต้น ทั้งนี้ ในปี ๒๕๕๖ ได้มีการโอนย้ายภารกิจการบริหารงานโครงการสวนกลางมหานคร ไปเป็นของกรมอุทยานแห่งชาติสัตว์ป่าและพันธุ์พืช โดยมีการจัดตั้งศูนย์จัดการพื้นที่สีเขียวเชิงนิเวศนครเขื่อนขันธ์ สำหรับเป็นหน่วยปฏิบัติงานเพื่อดูแลพื้นที่โครงการสวนกลางมหานคร และในปี ๒๕๕๘ กรมอุทยานฯ ได้มอบงานทั้งหมดให้กรมป่าไม้เป็นผู้ดูแลในการจัดการพื้นที่สีเขียว โดยสังกัดสำนักโครงการพระราชดำริและกิจการพิเศษกรมป่าไม้ จนถึงปัจจุบัน; เป็นหลักฐานตัวตน/ประเภท ยังไม่ยืนยันบริการมุสลิมครบเกณฑ์</x:v>
      </x:c>
      <x:c r="F598" s="20" t="str">
        <x:v>ไม่ทราบ</x:v>
      </x:c>
      <x:c r="G598" s="20" t="str">
        <x:v>ยังไม่ยืนยันใบรับรองและวันหมดอายุ</x:v>
      </x:c>
      <x:c r="H598" s="20" t="str">
        <x:v>ตรวจการเปิด ตัวตนสาขา ช่องทางติดต่อ และเงื่อนไขบังคับตามประเภท</x:v>
      </x:c>
      <x:c r="I598" s="20" t="str">
        <x:v>ยังไม่ยืนยันที่อยู่ละเอียด ดูลิงก์แหล่งข้อมูลและ Google Maps</x:v>
      </x:c>
      <x:c r="J598" s="21" t="str">
        <x:v>ยังไม่พบหรือยังไม่ยืนยัน</x:v>
      </x:c>
      <x:c r="K598" s="51" t="str">
        <x:v>https://www.onep.go.th/ebook/eurban/bangkachao-2562.pdf</x:v>
      </x:c>
      <x:c r="L598" s="51" t="str">
        <x:v>https://cbtthailand.dasta.or.th/webapp/relattraction/content/6/</x:v>
      </x:c>
      <x:c r="M598" s="20" t="str">
        <x:v>พบแหล่งต่างเว็บไซต์ สวนศรีนครเขื่อนขันธ์ | CBT Thailand</x:v>
      </x:c>
      <x:c r="N598" s="28" t="n">
        <x:v>46316</x:v>
      </x:c>
      <x:c r="O598" s="57" t="str">
        <x:v>ยังไม่ตรวจ</x:v>
      </x:c>
      <x:c r="P598" s="57" t="str">
        <x:v>ยังไม่ติดต่อ</x:v>
      </x:c>
      <x:c r="Q598" s="20" t="str">
        <x:v>R26-239</x:v>
      </x:c>
      <x:c r="R598" s="20" t="str"/>
      <x:c r="S598" s="20" t="str"/>
      <x:c r="T598" s="20" t="str">
        <x:v>https://www.onep.go.th/ebook/eurban/bangkachao-2562.pdf</x:v>
      </x:c>
      <x:c r="U598" s="20" t="str"/>
      <x:c r="V598" s="20" t="str"/>
      <x:c r="W598" s="20" t="str"/>
      <x:c r="X598" s="20" t="str"/>
      <x:c r="Y598" s="20" t="str">
        <x:v>https://www.google.com/maps/search/?api=1&amp;query=%E0%B8%AA%E0%B8%A7%E0%B8%99%E0%B8%A8%E0%B8%A3%E0%B8%B5%E0%B8%99%E0%B8%84%E0%B8%A3%E0%B9%80%E0%B8%82%E0%B8%B7%E0%B9%88%E0%B8%AD%E0%B8%99%E0%B8%82%E0%B8%B1%E0%B8%99%E0%B8%98%E0%B9%8C%20%E0%B8%AA%E0%B8%A1%E0%B8%B8%E0%B8%97%E0%B8%A3%E0%B8%9B%E0%B8%A3%E0%B8%B2%E0%B8%81%E0%B8%B2%E0%B8%A3</x:v>
      </x:c>
      <x:c r="Z598" s="56" t="n">
        <x:v>13.6967989</x:v>
      </x:c>
      <x:c r="AA598" s="56" t="n">
        <x:v>100.5668436</x:v>
      </x:c>
      <x:c r="AB598" s="57" t="str"/>
      <x:c r="AC598" s="20" t="str">
        <x:v>https://www.onep.go.th/ebook/eurban/bangkachao-2562.pdf</x:v>
      </x:c>
    </x:row>
    <x:row r="599" ht="88" customHeight="1">
      <x:c r="A599" s="54" t="n">
        <x:v>591</x:v>
      </x:c>
      <x:c r="B599" s="20" t="str">
        <x:v>เมืองโบราณ สมุทรปราการ</x:v>
      </x:c>
      <x:c r="C599" s="20" t="str">
        <x:v>สมุทรปราการ</x:v>
      </x:c>
      <x:c r="D599" s="20" t="str">
        <x:v>ประวัติ</x:v>
      </x:c>
      <x:c r="E599" s="20" t="str">
        <x:v>พบข้อมูลชื่อตรงจาก เมืองโบราณ – จังหวัดสมุทรปราการ – Samut Prakan Province; เป็นหลักฐานตัวตน/ประเภท ยังไม่ยืนยันบริการมุสลิมครบเกณฑ์</x:v>
      </x:c>
      <x:c r="F599" s="20" t="str">
        <x:v>ไม่ทราบ</x:v>
      </x:c>
      <x:c r="G599" s="20" t="str">
        <x:v>ยังไม่ยืนยันใบรับรองและวันหมดอายุ</x:v>
      </x:c>
      <x:c r="H599" s="20" t="str">
        <x:v>ตรวจการเปิด ตัวตนสาขา ช่องทางติดต่อ และเงื่อนไขบังคับตามประเภท</x:v>
      </x:c>
      <x:c r="I599" s="20" t="str">
        <x:v>ยังไม่ยืนยันที่อยู่ละเอียด ดูลิงก์แหล่งข้อมูลและ Google Maps</x:v>
      </x:c>
      <x:c r="J599" s="21" t="str">
        <x:v>ยังไม่พบหรือยังไม่ยืนยัน</x:v>
      </x:c>
      <x:c r="K599" s="51" t="str">
        <x:v>https://www.samutprakan.go.th/portfolio/%E0%B9%80%E0%B8%A1%E0%B8%B7%E0%B8%AD%E0%B8%87%E0%B9%82%E0%B8%9A%E0%B8%A3%E0%B8%B2%E0%B8%93-2/</x:v>
      </x:c>
      <x:c r="L599" s="51" t="str">
        <x:v>https://www.muangboran.co.th/</x:v>
      </x:c>
      <x:c r="M599" s="20" t="str">
        <x:v>พบแหล่งต่างเว็บไซต์ เมืองโบราณสมุทรปราการ | Muang Boran Museum | Muang Boran Museum</x:v>
      </x:c>
      <x:c r="N599" s="28" t="n">
        <x:v>46316</x:v>
      </x:c>
      <x:c r="O599" s="57" t="str">
        <x:v>ยังไม่ตรวจ</x:v>
      </x:c>
      <x:c r="P599" s="57" t="str">
        <x:v>ยังไม่ติดต่อ</x:v>
      </x:c>
      <x:c r="Q599" s="20" t="str">
        <x:v>R26-241</x:v>
      </x:c>
      <x:c r="R599" s="20" t="str"/>
      <x:c r="S599" s="20" t="str"/>
      <x:c r="T599" s="20" t="str">
        <x:v>https://www.samutprakan.go.th/portfolio/%E0%B9%80%E0%B8%A1%E0%B8%B7%E0%B8%AD%E0%B8%87%E0%B9%82%E0%B8%9A%E0%B8%A3%E0%B8%B2%E0%B8%93-2/</x:v>
      </x:c>
      <x:c r="U599" s="20" t="str"/>
      <x:c r="V599" s="20" t="str"/>
      <x:c r="W599" s="20" t="str"/>
      <x:c r="X599" s="20" t="str"/>
      <x:c r="Y599" s="20" t="str">
        <x:v>https://www.google.com/maps/search/?api=1&amp;query=%E0%B9%80%E0%B8%A1%E0%B8%B7%E0%B8%AD%E0%B8%87%E0%B9%82%E0%B8%9A%E0%B8%A3%E0%B8%B2%E0%B8%93%20%E0%B8%AA%E0%B8%A1%E0%B8%B8%E0%B8%97%E0%B8%A3%E0%B8%9B%E0%B8%A3%E0%B8%B2%E0%B8%81%E0%B8%B2%E0%B8%A3%20%E0%B8%AA%E0%B8%A1%E0%B8%B8%E0%B8%97%E0%B8%A3%E0%B8%9B%E0%B8%A3%E0%B8%B2%E0%B8%81%E0%B8%B2%E0%B8%A3</x:v>
      </x:c>
      <x:c r="Z599" s="56" t="n">
        <x:v>13.5463009</x:v>
      </x:c>
      <x:c r="AA599" s="56" t="n">
        <x:v>100.6309975</x:v>
      </x:c>
      <x:c r="AB599" s="57" t="str"/>
      <x:c r="AC599" s="20" t="str">
        <x:v>https://www.samutprakan.go.th/portfolio/%E0%B9%80%E0%B8%A1%E0%B8%B7%E0%B8%AD%E0%B8%87%E0%B9%82%E0%B8%9A%E0%B8%A3%E0%B8%B2%E0%B8%93-2/</x:v>
      </x:c>
    </x:row>
    <x:row r="600" ht="88" customHeight="1">
      <x:c r="A600" s="54" t="n">
        <x:v>592</x:v>
      </x:c>
      <x:c r="B600" s="20" t="str">
        <x:v>ชุมชนบางกะเจ้า</x:v>
      </x:c>
      <x:c r="C600" s="20" t="str">
        <x:v>สมุทรปราการ</x:v>
      </x:c>
      <x:c r="D600" s="20" t="str">
        <x:v>ชุมชน</x:v>
      </x:c>
      <x:c r="E600" s="20" t="str">
        <x:v>พบข้อมูลชื่อตรงจาก องค์การบริหารส่วนตำบลบางกะเจ้า (อบต. บางกะเจ้า) อำเภอพระประแดง จังหวัดสมุทปราการ; เป็นหลักฐานตัวตน/ประเภท ยังไม่ยืนยันบริการมุสลิมครบเกณฑ์</x:v>
      </x:c>
      <x:c r="F600" s="20" t="str">
        <x:v>ไม่ทราบ</x:v>
      </x:c>
      <x:c r="G600" s="20" t="str">
        <x:v>ยังไม่ยืนยันใบรับรองและวันหมดอายุ</x:v>
      </x:c>
      <x:c r="H600" s="20" t="str">
        <x:v>ตรวจการเปิด ตัวตนสาขา ช่องทางติดต่อ และเงื่อนไขบังคับตามประเภท</x:v>
      </x:c>
      <x:c r="I600" s="20" t="str">
        <x:v>ยังไม่ยืนยันที่อยู่ละเอียด ดูลิงก์แหล่งข้อมูลและ Google Maps</x:v>
      </x:c>
      <x:c r="J600" s="21" t="str">
        <x:v>ยังไม่พบหรือยังไม่ยืนยัน</x:v>
      </x:c>
      <x:c r="K600" s="51" t="str">
        <x:v>https://bangkachao.go.th/</x:v>
      </x:c>
      <x:c r="L600" s="51" t="str">
        <x:v>https://www.dasta.or.th/th/article/315</x:v>
      </x:c>
      <x:c r="M600" s="20" t="str">
        <x:v>พบแหล่งต่างเว็บไซต์ รู้จัก “คุ้งบางกะเจ้า”</x:v>
      </x:c>
      <x:c r="N600" s="28" t="n">
        <x:v>46316</x:v>
      </x:c>
      <x:c r="O600" s="57" t="str">
        <x:v>ยังไม่ตรวจ</x:v>
      </x:c>
      <x:c r="P600" s="57" t="str">
        <x:v>ยังไม่ติดต่อ</x:v>
      </x:c>
      <x:c r="Q600" s="20" t="str">
        <x:v>R26-240</x:v>
      </x:c>
      <x:c r="R600" s="20" t="str"/>
      <x:c r="S600" s="20" t="str"/>
      <x:c r="T600" s="20" t="str">
        <x:v>https://bangkachao.go.th/</x:v>
      </x:c>
      <x:c r="U600" s="20" t="str"/>
      <x:c r="V600" s="20" t="str"/>
      <x:c r="W600" s="20" t="str"/>
      <x:c r="X600" s="20" t="str"/>
      <x:c r="Y600" s="20" t="str">
        <x:v>https://www.google.com/maps/search/?api=1&amp;query=%E0%B8%8A%E0%B8%B8%E0%B8%A1%E0%B8%8A%E0%B8%99%E0%B8%9A%E0%B8%B2%E0%B8%87%E0%B8%81%E0%B8%B0%E0%B9%80%E0%B8%88%E0%B9%89%E0%B8%B2%20%E0%B8%AA%E0%B8%A1%E0%B8%B8%E0%B8%97%E0%B8%A3%E0%B8%9B%E0%B8%A3%E0%B8%B2%E0%B8%81%E0%B8%B2%E0%B8%A3</x:v>
      </x:c>
      <x:c r="Z600" s="56" t="str"/>
      <x:c r="AA600" s="56" t="str"/>
      <x:c r="AB600" s="57" t="str"/>
      <x:c r="AC600" s="20" t="str">
        <x:v>https://bangkachao.go.th/</x:v>
      </x:c>
    </x:row>
    <x:row r="601" ht="88" customHeight="1">
      <x:c r="A601" s="54" t="n">
        <x:v>593</x:v>
      </x:c>
      <x:c r="B601" s="20" t="str">
        <x:v>ฟาร์มจระเข้และสวนสัตว์สมุทรปราการ</x:v>
      </x:c>
      <x:c r="C601" s="20" t="str">
        <x:v>สมุทรปราการ</x:v>
      </x:c>
      <x:c r="D601" s="20" t="str">
        <x:v>กิจกรรม</x:v>
      </x:c>
      <x:c r="E601" s="20" t="str">
        <x:v>พบข้อมูลชื่อตรงจาก ฟาร์มจระเข้และสวนสัตว์สมุทรปราการ ( Crocodile Farm and Zoo ) - สำนักงานการท่องเที่ยวและกีฬาจังหวัดสมุทรปราการ; เป็นหลักฐานตัวตน/ประเภท ยังไม่ยืนยันบริการมุสลิมครบเกณฑ์</x:v>
      </x:c>
      <x:c r="F601" s="20" t="str">
        <x:v>ไม่ทราบ</x:v>
      </x:c>
      <x:c r="G601" s="20" t="str">
        <x:v>ยังไม่ยืนยันใบรับรองและวันหมดอายุ</x:v>
      </x:c>
      <x:c r="H601" s="20" t="str">
        <x:v>ตรวจการเปิด ตัวตนสาขา ช่องทางติดต่อ และเงื่อนไขบังคับตามประเภท</x:v>
      </x:c>
      <x:c r="I601" s="20" t="str">
        <x:v>ยังไม่ยืนยันที่อยู่ละเอียด ดูลิงก์แหล่งข้อมูลและ Google Maps</x:v>
      </x:c>
      <x:c r="J601" s="21" t="str">
        <x:v>ยังไม่พบหรือยังไม่ยืนยัน</x:v>
      </x:c>
      <x:c r="K601" s="51" t="str">
        <x:v>https://samutprakan.mots.go.th/news/502</x:v>
      </x:c>
      <x:c r="L601" s="51" t="str">
        <x:v>https://cbtthailand.dasta.or.th/webapp/relattraction/content/3872/</x:v>
      </x:c>
      <x:c r="M601" s="20" t="str">
        <x:v>พบแหล่งต่างเว็บไซต์ ฟาร์มจระเข้และสวนสัตว์สมุทรปราการ | CBT Thailand</x:v>
      </x:c>
      <x:c r="N601" s="28" t="n">
        <x:v>46316</x:v>
      </x:c>
      <x:c r="O601" s="57" t="str">
        <x:v>ยังไม่ตรวจ</x:v>
      </x:c>
      <x:c r="P601" s="57" t="str">
        <x:v>ยังไม่ติดต่อ</x:v>
      </x:c>
      <x:c r="Q601" s="20" t="str">
        <x:v>R26-322</x:v>
      </x:c>
      <x:c r="R601" s="20" t="str"/>
      <x:c r="S601" s="20" t="str"/>
      <x:c r="T601" s="20" t="str">
        <x:v>https://samutprakan.mots.go.th/news/502</x:v>
      </x:c>
      <x:c r="U601" s="20" t="str"/>
      <x:c r="V601" s="20" t="str"/>
      <x:c r="W601" s="20" t="str"/>
      <x:c r="X601" s="20" t="str"/>
      <x:c r="Y601" s="20" t="str">
        <x:v>https://www.google.com/maps/search/?api=1&amp;query=%E0%B8%9F%E0%B8%B2%E0%B8%A3%E0%B9%8C%E0%B8%A1%E0%B8%88%E0%B8%A3%E0%B8%B0%E0%B9%80%E0%B8%82%E0%B9%89%E0%B9%81%E0%B8%A5%E0%B8%B0%E0%B8%AA%E0%B8%A7%E0%B8%99%E0%B8%AA%E0%B8%B1%E0%B8%95%E0%B8%A7%E0%B9%8C%E0%B8%AA%E0%B8%A1%E0%B8%B8%E0%B8%97%E0%B8%A3%E0%B8%9B%E0%B8%A3%E0%B8%B2%E0%B8%81%E0%B8%B2%E0%B8%A3%20%E0%B8%AA%E0%B8%A1%E0%B8%B8%E0%B8%97%E0%B8%A3%E0%B8%9B%E0%B8%A3%E0%B8%B2%E0%B8%81%E0%B8%B2%E0%B8%A3</x:v>
      </x:c>
      <x:c r="Z601" s="56" t="n">
        <x:v>13.516893</x:v>
      </x:c>
      <x:c r="AA601" s="56" t="n">
        <x:v>100.679367</x:v>
      </x:c>
      <x:c r="AB601" s="57" t="str"/>
      <x:c r="AC601" s="20" t="str">
        <x:v>https://samutprakan.mots.go.th/news/502</x:v>
      </x:c>
    </x:row>
    <x:row r="602" ht="88" customHeight="1">
      <x:c r="A602" s="54" t="n">
        <x:v>594</x:v>
      </x:c>
      <x:c r="B602" s="20" t="str">
        <x:v>Aasia's kitchen</x:v>
      </x:c>
      <x:c r="C602" s="20" t="str">
        <x:v>สุราษฎร์ธานี</x:v>
      </x:c>
      <x:c r="D602" s="20" t="str">
        <x:v>ร้านอาหาร</x:v>
      </x:c>
      <x:c r="E602" s="20" t="str">
        <x:v>มีรายชื่อใน Makan Halal Guide; ระบุมีห้องละหมาด</x:v>
      </x:c>
      <x:c r="F602" s="20" t="str">
        <x:v>มีข้อมูลระบุ แต่รอยืนยัน</x:v>
      </x:c>
      <x:c r="G602" s="20" t="str">
        <x:v>ยังไม่พบเอกสารรับรองและวันหมดอายุ</x:v>
      </x:c>
      <x:c r="H602" s="20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I602" s="20" t="str">
        <x:v>82/13 Moo 3 Tawee Rat Phakdi Road, Bophut, สุราษฎร์ธานี 84320 (ตรงข้ามโรงแรมนิวสตาร์ บีช รีสอร์ท)</x:v>
      </x:c>
      <x:c r="J602" s="21" t="str">
        <x:v>0835263332</x:v>
      </x:c>
      <x:c r="K602" s="51" t="str">
        <x:v>https://makanhalalguide.com/shop/detail/4972</x:v>
      </x:c>
      <x:c r="L602" s="51" t="str">
        <x:v>https://uk.trip.com/restaurant/thailand/koh-samui/detail/aasia-kitchen-140798675/</x:v>
      </x:c>
      <x:c r="M602" s="20" t="str">
        <x:v>ผลค้นหาชื่อสัมพันธ์จากแหล่งเพิ่มเติม ต้องยืนยันสาขาและข้อมูลปัจจุบัน</x:v>
      </x:c>
      <x:c r="N602" s="28" t="n">
        <x:v>46315</x:v>
      </x:c>
      <x:c r="O602" s="57" t="str">
        <x:v>ยังไม่ตรวจ</x:v>
      </x:c>
      <x:c r="P602" s="57" t="str">
        <x:v>ยังไม่ติดต่อ</x:v>
      </x:c>
      <x:c r="Q602" s="20" t="str">
        <x:v>TMF-228</x:v>
      </x:c>
      <x:c r="R602" s="20" t="str">
        <x:v>Aasia's kitchen</x:v>
      </x:c>
      <x:c r="S602" s="20" t="str"/>
      <x:c r="T602" s="20" t="str">
        <x:v>https://makanhalalguide.com/shop/detail/4972</x:v>
      </x:c>
      <x:c r="U602" s="20" t="str"/>
      <x:c r="V602" s="20" t="str"/>
      <x:c r="W602" s="20" t="str"/>
      <x:c r="X602" s="20" t="str"/>
      <x:c r="Y602" s="20" t="str">
        <x:v>https://www.google.com/maps/search/?api=1&amp;query=Aasia%27s%20kitchen%20%E0%B8%AA%E0%B8%B8%E0%B8%A3%E0%B8%B2%E0%B8%A9%E0%B8%8E%E0%B8%A3%E0%B9%8C%E0%B8%98%E0%B8%B2%E0%B8%99%E0%B8%B5</x:v>
      </x:c>
      <x:c r="Z602" s="56" t="n">
        <x:v>9.507019</x:v>
      </x:c>
      <x:c r="AA602" s="56" t="n">
        <x:v>100.053376</x:v>
      </x:c>
      <x:c r="AB602" s="57" t="str"/>
      <x:c r="AC602" s="20" t="str">
        <x:v>https://makanhalalguide.com/shop/detail/4972</x:v>
      </x:c>
    </x:row>
    <x:row r="603" ht="88" customHeight="1">
      <x:c r="A603" s="54" t="n">
        <x:v>595</x:v>
      </x:c>
      <x:c r="B603" s="20" t="str">
        <x:v>Tamarind Springs Forest Spa Koh Samui</x:v>
      </x:c>
      <x:c r="C603" s="20" t="str">
        <x:v>สุราษฎร์ธานี</x:v>
      </x:c>
      <x:c r="D603" s="20" t="str">
        <x:v>เวลเนส</x:v>
      </x:c>
      <x:c r="E603" s="20" t="str">
        <x:v>พบข้อมูลชื่อตรงจาก Tamarind Springs Forest Spa Koh Samui | Luxury Forest Spa; เป็นหลักฐานตัวตน/ประเภท ยังไม่ยืนยันบริการมุสลิมครบเกณฑ์</x:v>
      </x:c>
      <x:c r="F603" s="20" t="str">
        <x:v>ไม่ทราบ</x:v>
      </x:c>
      <x:c r="G603" s="20" t="str">
        <x:v>ยังไม่ยืนยันใบรับรองและวันหมดอายุ</x:v>
      </x:c>
      <x:c r="H603" s="20" t="str">
        <x:v>ตรวจการเปิด ตัวตนสาขา ช่องทางติดต่อ และเงื่อนไขบังคับตามประเภท</x:v>
      </x:c>
      <x:c r="I603" s="20" t="str">
        <x:v>ยังไม่ยืนยันที่อยู่ละเอียด ดูลิงก์แหล่งข้อมูลและ Google Maps</x:v>
      </x:c>
      <x:c r="J603" s="21" t="str">
        <x:v>+660859264626 / +660989636449</x:v>
      </x:c>
      <x:c r="K603" s="51" t="str">
        <x:v>https://tamarindspa.com/</x:v>
      </x:c>
      <x:c r="L603" s="51" t="str">
        <x:v>https://tamarindsprings.com/en</x:v>
      </x:c>
      <x:c r="M603" s="20" t="str">
        <x:v>พบแหล่งต่างเว็บไซต์ Tamarind Springs Forest Spa</x:v>
      </x:c>
      <x:c r="N603" s="28" t="n">
        <x:v>46316</x:v>
      </x:c>
      <x:c r="O603" s="57" t="str">
        <x:v>ยังไม่ตรวจ</x:v>
      </x:c>
      <x:c r="P603" s="57" t="str">
        <x:v>ยังไม่ติดต่อ</x:v>
      </x:c>
      <x:c r="Q603" s="20" t="str">
        <x:v>R26-298</x:v>
      </x:c>
      <x:c r="R603" s="20" t="str">
        <x:v>Tamarind Springs Forest Spa Koh Samui</x:v>
      </x:c>
      <x:c r="S603" s="20" t="str"/>
      <x:c r="T603" s="20" t="str">
        <x:v>https://tamarindspa.com/</x:v>
      </x:c>
      <x:c r="U603" s="20" t="str">
        <x:v>https://www.facebook.com/TamarindSprings</x:v>
      </x:c>
      <x:c r="V603" s="20" t="str">
        <x:v>https://www.instagram.com/tamarindsprings/</x:v>
      </x:c>
      <x:c r="W603" s="20" t="str"/>
      <x:c r="X603" s="20" t="str"/>
      <x:c r="Y603" s="20" t="str">
        <x:v>https://www.google.com/maps/search/?api=1&amp;query=Tamarind%20Springs%20Forest%20Spa%20Koh%20Samui%20%E0%B8%AA%E0%B8%B8%E0%B8%A3%E0%B8%B2%E0%B8%A9%E0%B8%8E%E0%B8%A3%E0%B9%8C%E0%B8%98%E0%B8%B2%E0%B8%99%E0%B8%B5</x:v>
      </x:c>
      <x:c r="Z603" s="56" t="str"/>
      <x:c r="AA603" s="56" t="str"/>
      <x:c r="AB603" s="57" t="str"/>
      <x:c r="AC603" s="20" t="str">
        <x:v>https://tamarindsprings.com/en</x:v>
      </x:c>
    </x:row>
    <x:row r="604" ht="88" customHeight="1">
      <x:c r="A604" s="54" t="n">
        <x:v>596</x:v>
      </x:c>
      <x:c r="B604" s="20" t="str">
        <x:v>อุทยานแห่งชาติเขาสก</x:v>
      </x:c>
      <x:c r="C604" s="20" t="str">
        <x:v>สุราษฎร์ธานี</x:v>
      </x:c>
      <x:c r="D604" s="20" t="str">
        <x:v>ธรรมชาติ</x:v>
      </x:c>
      <x:c r="E604" s="20" t="str">
        <x:v>พบข้อมูลชื่อตรงจาก อช.เขาสก; เป็นหลักฐานตัวตน/ประเภท ยังไม่ยืนยันบริการมุสลิมครบเกณฑ์</x:v>
      </x:c>
      <x:c r="F604" s="20" t="str">
        <x:v>ไม่ทราบ</x:v>
      </x:c>
      <x:c r="G604" s="20" t="str">
        <x:v>ยังไม่ยืนยันใบรับรองและวันหมดอายุ</x:v>
      </x:c>
      <x:c r="H604" s="20" t="str">
        <x:v>ตรวจการเปิด ตัวตนสาขา ช่องทางติดต่อ และเงื่อนไขบังคับตามประเภท</x:v>
      </x:c>
      <x:c r="I604" s="20" t="str">
        <x:v>ยังไม่ยืนยันที่อยู่ละเอียด ดูลิงก์แหล่งข้อมูลและ Google Maps</x:v>
      </x:c>
      <x:c r="J604" s="21" t="str">
        <x:v>ยังไม่พบหรือยังไม่ยืนยัน</x:v>
      </x:c>
      <x:c r="K604" s="51" t="str">
        <x:v>https://booking.dnp.go.th/parksdetail.php?id=21</x:v>
      </x:c>
      <x:c r="L604" s="51" t="str">
        <x:v>https://tourismproduct.tourismthailand.org/th/destination/7812</x:v>
      </x:c>
      <x:c r="M604" s="20" t="str">
        <x:v>พบแหล่งต่างเว็บไซต์ อุทยานแห่งชาติเขาสก</x:v>
      </x:c>
      <x:c r="N604" s="28" t="n">
        <x:v>46316</x:v>
      </x:c>
      <x:c r="O604" s="57" t="str">
        <x:v>ยังไม่ตรวจ</x:v>
      </x:c>
      <x:c r="P604" s="57" t="str">
        <x:v>ยังไม่ติดต่อ</x:v>
      </x:c>
      <x:c r="Q604" s="20" t="str">
        <x:v>R26-231</x:v>
      </x:c>
      <x:c r="R604" s="20" t="str"/>
      <x:c r="S604" s="20" t="str"/>
      <x:c r="T604" s="20" t="str">
        <x:v>https://booking.dnp.go.th/parksdetail.php?id=21</x:v>
      </x:c>
      <x:c r="U604" s="20" t="str"/>
      <x:c r="V604" s="20" t="str"/>
      <x:c r="W604" s="20" t="str"/>
      <x:c r="X604" s="20" t="str"/>
      <x:c r="Y604" s="20" t="str">
        <x:v>https://www.google.com/maps/search/?api=1&amp;query=%E0%B8%AD%E0%B8%B8%E0%B8%97%E0%B8%A2%E0%B8%B2%E0%B8%99%E0%B9%81%E0%B8%AB%E0%B9%88%E0%B8%87%E0%B8%8A%E0%B8%B2%E0%B8%95%E0%B8%B4%E0%B9%80%E0%B8%82%E0%B8%B2%E0%B8%AA%E0%B8%81%20%E0%B8%AA%E0%B8%B8%E0%B8%A3%E0%B8%B2%E0%B8%A9%E0%B8%8E%E0%B8%A3%E0%B9%8C%E0%B8%98%E0%B8%B2%E0%B8%99%E0%B8%B5</x:v>
      </x:c>
      <x:c r="Z604" s="56" t="n">
        <x:v>8.977713</x:v>
      </x:c>
      <x:c r="AA604" s="56" t="n">
        <x:v>98.638188</x:v>
      </x:c>
      <x:c r="AB604" s="57" t="str"/>
      <x:c r="AC604" s="20" t="str">
        <x:v>https://booking.dnp.go.th/parksdetail.php?id=21</x:v>
      </x:c>
    </x:row>
    <x:row r="605" ht="88" customHeight="1">
      <x:c r="A605" s="54" t="n">
        <x:v>597</x:v>
      </x:c>
      <x:c r="B605" s="20" t="str">
        <x:v>เขื่อนรัชชประภา</x:v>
      </x:c>
      <x:c r="C605" s="20" t="str">
        <x:v>สุราษฎร์ธานี</x:v>
      </x:c>
      <x:c r="D605" s="20" t="str">
        <x:v>ธรรมชาติ</x:v>
      </x:c>
      <x:c r="E605" s="20" t="str">
        <x:v>พบข้อมูลชื่อตรงจาก สทน.10 ตรวจสอบสถานที่ใช้น้ำ-แหล่งน้ำ ประกอบการพิจารณาขออนุญาตใช้น้ำเขื่อนรัชชประภา|กรมทรัพยากรน้ำ - Department of Water Resource; เป็นหลักฐานตัวตน/ประเภท ยังไม่ยืนยันบริการมุสลิมครบเกณฑ์</x:v>
      </x:c>
      <x:c r="F605" s="20" t="str">
        <x:v>ไม่ทราบ</x:v>
      </x:c>
      <x:c r="G605" s="20" t="str">
        <x:v>ยังไม่ยืนยันใบรับรองและวันหมดอายุ</x:v>
      </x:c>
      <x:c r="H605" s="20" t="str">
        <x:v>ตรวจการเปิด ตัวตนสาขา ช่องทางติดต่อ และเงื่อนไขบังคับตามประเภท</x:v>
      </x:c>
      <x:c r="I605" s="20" t="str">
        <x:v>ยังไม่ยืนยันที่อยู่ละเอียด ดูลิงก์แหล่งข้อมูลและ Google Maps</x:v>
      </x:c>
      <x:c r="J605" s="21" t="str">
        <x:v>ยังไม่พบหรือยังไม่ยืนยัน</x:v>
      </x:c>
      <x:c r="K605" s="51" t="str">
        <x:v>https://dwr.go.th/news_inside.php?news_id=127242</x:v>
      </x:c>
      <x:c r="L605" s="51" t="str">
        <x:v>https://suratthani.prd.go.th/th/content/category/detail/id/289/iid/3828</x:v>
      </x:c>
      <x:c r="M605" s="20" t="str">
        <x:v>พบแหล่งต่างเว็บไซต์ เขื่อนรัชชประภา</x:v>
      </x:c>
      <x:c r="N605" s="28" t="n">
        <x:v>46316</x:v>
      </x:c>
      <x:c r="O605" s="57" t="str">
        <x:v>ยังไม่ตรวจ</x:v>
      </x:c>
      <x:c r="P605" s="57" t="str">
        <x:v>ยังไม่ติดต่อ</x:v>
      </x:c>
      <x:c r="Q605" s="20" t="str">
        <x:v>R26-232</x:v>
      </x:c>
      <x:c r="R605" s="20" t="str"/>
      <x:c r="S605" s="20" t="str"/>
      <x:c r="T605" s="20" t="str">
        <x:v>https://dwr.go.th/news_inside.php?news_id=127242</x:v>
      </x:c>
      <x:c r="U605" s="20" t="str"/>
      <x:c r="V605" s="20" t="str"/>
      <x:c r="W605" s="20" t="str"/>
      <x:c r="X605" s="20" t="str"/>
      <x:c r="Y605" s="20" t="str">
        <x:v>https://www.google.com/maps/search/?api=1&amp;query=%E0%B9%80%E0%B8%82%E0%B8%B7%E0%B9%88%E0%B8%AD%E0%B8%99%E0%B8%A3%E0%B8%B1%E0%B8%8A%E0%B8%8A%E0%B8%9B%E0%B8%A3%E0%B8%B0%E0%B8%A0%E0%B8%B2%20%E0%B8%AA%E0%B8%B8%E0%B8%A3%E0%B8%B2%E0%B8%A9%E0%B8%8E%E0%B8%A3%E0%B9%8C%E0%B8%98%E0%B8%B2%E0%B8%99%E0%B8%B5</x:v>
      </x:c>
      <x:c r="Z605" s="56" t="n">
        <x:v>9.0772574</x:v>
      </x:c>
      <x:c r="AA605" s="56" t="n">
        <x:v>98.6379835</x:v>
      </x:c>
      <x:c r="AB605" s="57" t="str"/>
      <x:c r="AC605" s="20" t="str">
        <x:v>https://dwr.go.th/news_inside.php?news_id=127242</x:v>
      </x:c>
    </x:row>
    <x:row r="606" ht="88" customHeight="1">
      <x:c r="A606" s="54" t="n">
        <x:v>598</x:v>
      </x:c>
      <x:c r="B606" s="20" t="str">
        <x:v>ชุมชนบ้านพุมเรียง</x:v>
      </x:c>
      <x:c r="C606" s="20" t="str">
        <x:v>สุราษฎร์ธานี</x:v>
      </x:c>
      <x:c r="D606" s="20" t="str">
        <x:v>ชุมชน</x:v>
      </x:c>
      <x:c r="E606" s="20" t="str">
        <x:v>พบข้อมูลชื่อตรงจาก บ้านพุมเรียง; เป็นหลักฐานตัวตน/ประเภท ยังไม่ยืนยันบริการมุสลิมครบเกณฑ์</x:v>
      </x:c>
      <x:c r="F606" s="20" t="str">
        <x:v>ไม่ทราบ</x:v>
      </x:c>
      <x:c r="G606" s="20" t="str">
        <x:v>ยังไม่ยืนยันใบรับรองและวันหมดอายุ</x:v>
      </x:c>
      <x:c r="H606" s="20" t="str">
        <x:v>ตรวจการเปิด ตัวตนสาขา ช่องทางติดต่อ และเงื่อนไขบังคับตามประเภท</x:v>
      </x:c>
      <x:c r="I606" s="20" t="str">
        <x:v>ยังไม่ยืนยันที่อยู่ละเอียด ดูลิงก์แหล่งข้อมูลและ Google Maps</x:v>
      </x:c>
      <x:c r="J606" s="21" t="str">
        <x:v>ยังไม่พบหรือยังไม่ยืนยัน</x:v>
      </x:c>
      <x:c r="K606" s="51" t="str">
        <x:v>https://wikicommunity.sac.or.th/community/285</x:v>
      </x:c>
      <x:c r="L606" s="51" t="str">
        <x:v>https://www.thailandtourismdirectory.go.th/attraction/1013</x:v>
      </x:c>
      <x:c r="M606" s="20" t="str">
        <x:v>พบแหล่งต่างเว็บไซต์ ท่องเที่ยวเชิงอนุรักษ์บ้านพุมเรียง</x:v>
      </x:c>
      <x:c r="N606" s="28" t="n">
        <x:v>46316</x:v>
      </x:c>
      <x:c r="O606" s="57" t="str">
        <x:v>ยังไม่ตรวจ</x:v>
      </x:c>
      <x:c r="P606" s="57" t="str">
        <x:v>ยังไม่ติดต่อ</x:v>
      </x:c>
      <x:c r="Q606" s="20" t="str">
        <x:v>R26-229</x:v>
      </x:c>
      <x:c r="R606" s="20" t="str"/>
      <x:c r="S606" s="20" t="str"/>
      <x:c r="T606" s="20" t="str">
        <x:v>https://wikicommunity.sac.or.th/community/285</x:v>
      </x:c>
      <x:c r="U606" s="20" t="str"/>
      <x:c r="V606" s="20" t="str"/>
      <x:c r="W606" s="20" t="str"/>
      <x:c r="X606" s="20" t="str"/>
      <x:c r="Y606" s="20" t="str">
        <x:v>https://www.google.com/maps/search/?api=1&amp;query=%E0%B8%8A%E0%B8%B8%E0%B8%A1%E0%B8%8A%E0%B8%99%E0%B8%9A%E0%B9%89%E0%B8%B2%E0%B8%99%E0%B8%9E%E0%B8%B8%E0%B8%A1%E0%B9%80%E0%B8%A3%E0%B8%B5%E0%B8%A2%E0%B8%87%20%E0%B8%AA%E0%B8%B8%E0%B8%A3%E0%B8%B2%E0%B8%A9%E0%B8%8E%E0%B8%A3%E0%B9%8C%E0%B8%98%E0%B8%B2%E0%B8%99%E0%B8%B5</x:v>
      </x:c>
      <x:c r="Z606" s="56" t="n">
        <x:v>9.38702</x:v>
      </x:c>
      <x:c r="AA606" s="56" t="n">
        <x:v>99.255666</x:v>
      </x:c>
      <x:c r="AB606" s="57" t="str"/>
      <x:c r="AC606" s="20" t="str">
        <x:v>https://wikicommunity.sac.or.th/community/285</x:v>
      </x:c>
    </x:row>
    <x:row r="607" ht="88" customHeight="1">
      <x:c r="A607" s="54" t="n">
        <x:v>599</x:v>
      </x:c>
      <x:c r="B607" s="20" t="str">
        <x:v>ชุมชนบ้านลีเล็ด</x:v>
      </x:c>
      <x:c r="C607" s="20" t="str">
        <x:v>สุราษฎร์ธานี</x:v>
      </x:c>
      <x:c r="D607" s="20" t="str">
        <x:v>ชุมชน</x:v>
      </x:c>
      <x:c r="E607" s="20" t="str">
        <x:v>พบข้อมูลชื่อตรงจาก ลีเล็ด; เป็นหลักฐานตัวตน/ประเภท ยังไม่ยืนยันบริการมุสลิมครบเกณฑ์</x:v>
      </x:c>
      <x:c r="F607" s="20" t="str">
        <x:v>ไม่ทราบ</x:v>
      </x:c>
      <x:c r="G607" s="20" t="str">
        <x:v>ยังไม่ยืนยันใบรับรองและวันหมดอายุ</x:v>
      </x:c>
      <x:c r="H607" s="20" t="str">
        <x:v>ตรวจการเปิด ตัวตนสาขา ช่องทางติดต่อ และเงื่อนไขบังคับตามประเภท</x:v>
      </x:c>
      <x:c r="I607" s="20" t="str">
        <x:v>ยังไม่ยืนยันที่อยู่ละเอียด ดูลิงก์แหล่งข้อมูลและ Google Maps</x:v>
      </x:c>
      <x:c r="J607" s="21" t="str">
        <x:v>ยังไม่พบหรือยังไม่ยืนยัน</x:v>
      </x:c>
      <x:c r="K607" s="51" t="str">
        <x:v>https://wikicommunity.sac.or.th/community/1055</x:v>
      </x:c>
      <x:c r="L607" s="51" t="str">
        <x:v>https://www.sanook.com/travel/1403385/</x:v>
      </x:c>
      <x:c r="M607" s="20" t="str">
        <x:v>พบแหล่งต่างเว็บไซต์ เสน่ห์ชุมชนไทยไม่ไปไม่รู้ “อเมซอนเมืองไทย  ที่ใครๆก็สัมผัสได้” ชุมชนลีเล็ด จ.สุราษฎร์ธานี</x:v>
      </x:c>
      <x:c r="N607" s="28" t="n">
        <x:v>46316</x:v>
      </x:c>
      <x:c r="O607" s="57" t="str">
        <x:v>ยังไม่ตรวจ</x:v>
      </x:c>
      <x:c r="P607" s="57" t="str">
        <x:v>ยังไม่ติดต่อ</x:v>
      </x:c>
      <x:c r="Q607" s="20" t="str">
        <x:v>R26-230</x:v>
      </x:c>
      <x:c r="R607" s="20" t="str"/>
      <x:c r="S607" s="20" t="str"/>
      <x:c r="T607" s="20" t="str">
        <x:v>https://wikicommunity.sac.or.th/community/1055</x:v>
      </x:c>
      <x:c r="U607" s="20" t="str"/>
      <x:c r="V607" s="20" t="str"/>
      <x:c r="W607" s="20" t="str"/>
      <x:c r="X607" s="20" t="str"/>
      <x:c r="Y607" s="20" t="str">
        <x:v>https://www.google.com/maps/search/?api=1&amp;query=%E0%B8%8A%E0%B8%B8%E0%B8%A1%E0%B8%8A%E0%B8%99%E0%B8%9A%E0%B9%89%E0%B8%B2%E0%B8%99%E0%B8%A5%E0%B8%B5%E0%B9%80%E0%B8%A5%E0%B9%87%E0%B8%94%20%E0%B8%AA%E0%B8%B8%E0%B8%A3%E0%B8%B2%E0%B8%A9%E0%B8%8E%E0%B8%A3%E0%B9%8C%E0%B8%98%E0%B8%B2%E0%B8%99%E0%B8%B5</x:v>
      </x:c>
      <x:c r="Z607" s="56" t="n">
        <x:v>9.190421</x:v>
      </x:c>
      <x:c r="AA607" s="56" t="n">
        <x:v>99.251029</x:v>
      </x:c>
      <x:c r="AB607" s="57" t="str"/>
      <x:c r="AC607" s="20" t="str">
        <x:v>https://wikicommunity.sac.or.th/community/1055</x:v>
      </x:c>
    </x:row>
    <x:row r="608" ht="88" customHeight="1">
      <x:c r="A608" s="54" t="n">
        <x:v>600</x:v>
      </x:c>
      <x:c r="B608" s="20" t="str">
        <x:v>Amman Unique Hotel</x:v>
      </x:c>
      <x:c r="C608" s="20" t="str">
        <x:v>อุดรธานี</x:v>
      </x:c>
      <x:c r="D608" s="20" t="str">
        <x:v>ที่พัก</x:v>
      </x:c>
      <x:c r="E608" s="20" t="str">
        <x:v>มีชื่อในทะเบียนสาธารณะ GMHI; ข้อมูลบริการตามทะเบียนยังต้องยืนยันกับผู้ประกอบการ; ทะเบียนระบุครัวดูแลโดยมุสลิมและยังไม่รับรองครัว; ระบุอุปกรณ์หรือพื้นที่สำหรับละหมาด</x:v>
      </x:c>
      <x:c r="F608" s="20" t="str">
        <x:v>มีข้อมูลระบุ แต่รอยืนยัน</x:v>
      </x:c>
      <x:c r="G608" s="20" t="str">
        <x:v>ทะเบียน GMHI 5 ดาว; ช่องใบรับรอง: GMHI; ยังต้องยืนยันใบรับรองอาหารฮาลาลและวันหมดอายุแยกต่างหาก</x:v>
      </x:c>
      <x:c r="H608" s="20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I608" s="20" t="str">
        <x:v>166/11 Ban Non Phiboon, Mak Khaeng, Amphor Muang, Udon Thani City Center, Udon Thani, Thailand, 41000</x:v>
      </x:c>
      <x:c r="J608" s="21" t="str">
        <x:v>ยังไม่พบหรือยังไม่ยืนยัน</x:v>
      </x:c>
      <x:c r="K608" s="51" t="str">
        <x:v>https://gmhi.co/th-th/services/Amman%20Unique%20Hotel-36</x:v>
      </x:c>
      <x:c r="L608" s="51" t="str">
        <x:v>https://www.agoda.com/en-us/amman-unique-hotel/hotel/udon-thani-th.html</x:v>
      </x:c>
      <x:c r="M608" s="20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N608" s="28" t="n">
        <x:v>46315</x:v>
      </x:c>
      <x:c r="O608" s="57" t="str">
        <x:v>ยังไม่ตรวจ</x:v>
      </x:c>
      <x:c r="P608" s="57" t="str">
        <x:v>ยังไม่ติดต่อ</x:v>
      </x:c>
      <x:c r="Q608" s="20" t="str">
        <x:v>GMHI-36</x:v>
      </x:c>
      <x:c r="R608" s="20" t="str">
        <x:v>Amman Unique Hotel</x:v>
      </x:c>
      <x:c r="S608" s="20" t="str"/>
      <x:c r="T608" s="20" t="str">
        <x:v>https://gmhi.co/th-th/services/Amman%20Unique%20Hotel-36</x:v>
      </x:c>
      <x:c r="U608" s="20" t="str"/>
      <x:c r="V608" s="20" t="str"/>
      <x:c r="W608" s="20" t="str"/>
      <x:c r="X608" s="20" t="str"/>
      <x:c r="Y608" s="20" t="str">
        <x:v>https://www.google.com/maps/search/?api=1&amp;query=Amman%20Unique%20Hotel%20%E0%B8%AD%E0%B8%B8%E0%B8%94%E0%B8%A3%E0%B8%98%E0%B8%B2%E0%B8%99%E0%B8%B5</x:v>
      </x:c>
      <x:c r="Z608" s="56" t="n">
        <x:v>17.4267441</x:v>
      </x:c>
      <x:c r="AA608" s="56" t="n">
        <x:v>102.7839398</x:v>
      </x:c>
      <x:c r="AB608" s="57" t="str"/>
      <x:c r="AC608" s="20" t="str">
        <x:v>https://gmhi.co/th-th/services/Amman%20Unique%20Hotel-36</x:v>
      </x:c>
    </x:row>
  </x:sheetData>
  <x:dataValidations count="2">
    <x:dataValidation type="list" sqref="O9:O608">
      <x:formula1>"ยังไม่ตรวจ,ยืนยันกลุ่มเดิม,ปรับกลุ่ม,ไม่เข้าเกณฑ์"</x:formula1>
    </x:dataValidation>
    <x:dataValidation type="list" sqref="P9:P608">
      <x:formula1>"ยังไม่ติดต่อ,ติดต่อแล้ว,รอเอกสาร,ติดต่อไม่ได้"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fe2feda2bc44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6" hidden="0" customWidth="1"/>
    <x:col min="2" max="2" width="50" hidden="0" customWidth="1"/>
    <x:col min="3" max="3" width="24" hidden="0" customWidth="1"/>
    <x:col min="4" max="4" width="39" hidden="0" customWidth="1"/>
    <x:col min="5" max="5" width="43" hidden="0" customWidth="1"/>
    <x:col min="6" max="6" width="48" hidden="0" customWidth="1"/>
    <x:col min="7" max="7" width="24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49" hidden="0" customWidth="1"/>
    <x:col min="15" max="15" width="90" hidden="0" customWidth="1"/>
    <x:col min="16" max="16" width="18" hidden="0" customWidth="1"/>
    <x:col min="17" max="17" width="26" hidden="0" customWidth="1"/>
    <x:col min="18" max="18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2"/>
      <x:c r="B2" s="31" t="str">
        <x:v>การค้นหาซ้ำและหลักฐานรายแหล่ง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A4" s="2"/>
      <x:c r="B4" s="2" t="str">
        <x:v>เก็บประวัติเดิมและรายชื่อสำรองไว้ ผลค้นชื่อสัมพันธ์ไม่ใช่การยืนยันว่าเปิดอยู่หรือเป็นเจ้าของบัญชี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>
      <x:c r="A5" s="2"/>
      <x:c r="B5" s="2" t="str">
        <x:v>วันเก็บข้อมูลเว็บไม่ใช่วันโพสต์ล่าสุด การค้นไม่พบบัญชีไม่ได้แปลว่าไม่มี ช่องสีอ่อนสำหรับผลตรวจของทีม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A6" s="2"/>
      <x:c r="B6" s="2" t="str">
        <x:v>ชุดหลักปรับตาม 10 เส้นทางและสัดส่วนประเภทในบรีฟ วันที่ค้นออนไลน์แยกจากวันที่ปรับรายชื่อ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36" customHeight="1">
      <x:c r="A8" s="45" t="str">
        <x:v>รหัส</x:v>
      </x:c>
      <x:c r="B8" s="46" t="str">
        <x:v>ชื่อแหล่ง</x:v>
      </x:c>
      <x:c r="C8" s="46" t="str">
        <x:v>จังหวัด</x:v>
      </x:c>
      <x:c r="D8" s="46" t="str">
        <x:v>สถานะในชุด 600</x:v>
      </x:c>
      <x:c r="E8" s="46" t="str">
        <x:v>ผลค้นหาซ้ำ</x:v>
      </x:c>
      <x:c r="F8" s="46" t="str">
        <x:v>สถานะเปิดจากหลักฐาน</x:v>
      </x:c>
      <x:c r="G8" s="46" t="str">
        <x:v>จำนวนเว็บชื่อสัมพันธ์</x:v>
      </x:c>
      <x:c r="H8" s="46" t="str">
        <x:v>ช่องทางสังคม 1</x:v>
      </x:c>
      <x:c r="I8" s="46" t="str">
        <x:v>ช่องทางสังคม 2</x:v>
      </x:c>
      <x:c r="J8" s="46" t="str">
        <x:v>หน้ารีวิว 1</x:v>
      </x:c>
      <x:c r="K8" s="46" t="str">
        <x:v>หน้ารีวิว 2</x:v>
      </x:c>
      <x:c r="L8" s="46" t="str">
        <x:v>เว็บเพิ่มเติม 1</x:v>
      </x:c>
      <x:c r="M8" s="46" t="str">
        <x:v>เว็บเพิ่มเติม 2</x:v>
      </x:c>
      <x:c r="N8" s="46" t="str">
        <x:v>วันที่กิจกรรมที่พบ</x:v>
      </x:c>
      <x:c r="O8" s="46" t="str">
        <x:v>ประเด็นต้องยืนยัน</x:v>
      </x:c>
      <x:c r="P8" s="46" t="str">
        <x:v>วันที่ตรวจ</x:v>
      </x:c>
      <x:c r="Q8" s="46" t="str">
        <x:v>ผลยืนยันสาขาและช่องทาง</x:v>
      </x:c>
      <x:c r="R8" s="47" t="str">
        <x:v>ผลทบทวนการเปิด</x:v>
      </x:c>
    </x:row>
    <x:row r="9" ht="84" customHeight="1">
      <x:c r="A9" s="2" t="str">
        <x:v>TMF-001</x:v>
      </x:c>
      <x:c r="B9" s="8" t="str">
        <x:v>บ้านหนาวดาวเดือนรีสอร์ท</x:v>
      </x:c>
      <x:c r="C9" s="8" t="str">
        <x:v>เชียงราย</x:v>
      </x:c>
      <x:c r="D9" s="8" t="str">
        <x:v>อยู่ในชุด 600 ตามเส้นทาง</x:v>
      </x:c>
      <x:c r="E9" s="8" t="str">
        <x:v>พบชื่อสัมพันธ์หลายเว็บไซต์ รอยืนยันสาขา</x:v>
      </x:c>
      <x:c r="F9" s="8" t="str">
        <x:v>ยังไม่ยืนยันการเปิดให้บริการปัจจุบัน</x:v>
      </x:c>
      <x:c r="G9" s="58" t="n">
        <x:v>4</x:v>
      </x:c>
      <x:c r="H9" s="52" t="str"/>
      <x:c r="I9" s="52" t="str"/>
      <x:c r="J9" s="52" t="str">
        <x:v>https://www.booking.com/hotel/th/baanhnaawdaaweduue-nriis-rth.html?dist=0&amp;keep_landing=1&amp;sb_price_type=total&amp;type=total</x:v>
      </x:c>
      <x:c r="K9" s="52" t="str"/>
      <x:c r="L9" s="52" t="str">
        <x:v>https://makanhalalguide.com/shop/detail/5378</x:v>
      </x:c>
      <x:c r="M9" s="52" t="str">
        <x:v>https://www.booking.com/hotel/th/baanhnaawdaaweduue-nriis-rth.html?dist=0&amp;keep_landing=1&amp;sb_price_type=total&amp;type=total</x:v>
      </x:c>
      <x:c r="N9" s="8" t="str">
        <x:v>ยังไม่ยืนยัน</x:v>
      </x:c>
      <x:c r="O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9" s="40" t="n">
        <x:v>46315</x:v>
      </x:c>
      <x:c r="Q9" s="59" t="str">
        <x:v>ยังไม่ตรวจ</x:v>
      </x:c>
      <x:c r="R9" s="59" t="str">
        <x:v>รอติดต่อ</x:v>
      </x:c>
    </x:row>
    <x:row r="10" ht="84" customHeight="1">
      <x:c r="A10" s="2" t="str">
        <x:v>TMF-002</x:v>
      </x:c>
      <x:c r="B10" s="8" t="str">
        <x:v>Sareeneen food &amp; Sweet</x:v>
      </x:c>
      <x:c r="C10" s="8" t="str">
        <x:v>เชียงราย</x:v>
      </x:c>
      <x:c r="D10" s="8" t="str">
        <x:v>อยู่ในชุด 600 ตามเส้นทาง</x:v>
      </x:c>
      <x:c r="E10" s="8" t="str">
        <x:v>พบชื่อสัมพันธ์หลายเว็บไซต์ รอยืนยันสาขา</x:v>
      </x:c>
      <x:c r="F10" s="8" t="str">
        <x:v>ยังไม่ยืนยันการเปิดให้บริการปัจจุบัน</x:v>
      </x:c>
      <x:c r="G10" s="58" t="n">
        <x:v>5</x:v>
      </x:c>
      <x:c r="H10" s="52" t="str"/>
      <x:c r="I10" s="52" t="str"/>
      <x:c r="J10" s="52" t="str">
        <x:v>https://www.tripadvisor.com/Restaurant_Review-g297920-d14087267-Reviews-Sareeneen_Food_Sweet-Chiang_Rai_Chiang_Rai_Province.html</x:v>
      </x:c>
      <x:c r="K10" s="52" t="str">
        <x:v>https://www.wongnai.com/restaurants/1084912LL-sareeneen-food-sweet</x:v>
      </x:c>
      <x:c r="L10" s="52" t="str">
        <x:v>https://makanhalalguide.com/shop/detail/706</x:v>
      </x:c>
      <x:c r="M10" s="52" t="str">
        <x:v>https://www.tripadvisor.com/Restaurant_Review-g297920-d14087267-Reviews-Sareeneen_Food_Sweet-Chiang_Rai_Chiang_Rai_Province.html</x:v>
      </x:c>
      <x:c r="N10" s="8" t="str">
        <x:v>ยังไม่ยืนยัน</x:v>
      </x:c>
      <x:c r="O1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0" s="40" t="n">
        <x:v>46315</x:v>
      </x:c>
      <x:c r="Q10" s="59" t="str">
        <x:v>ยังไม่ตรวจ</x:v>
      </x:c>
      <x:c r="R10" s="59" t="str">
        <x:v>รอติดต่อ</x:v>
      </x:c>
    </x:row>
    <x:row r="11" ht="84" customHeight="1">
      <x:c r="A11" s="2" t="str">
        <x:v>TMF-003</x:v>
      </x:c>
      <x:c r="B11" s="8" t="str">
        <x:v>นอร์ธผาฮี้</x:v>
      </x:c>
      <x:c r="C11" s="8" t="str">
        <x:v>เชียงราย</x:v>
      </x:c>
      <x:c r="D11" s="8" t="str">
        <x:v>อยู่ในชุด 600 ตามเส้นทาง</x:v>
      </x:c>
      <x:c r="E11" s="8" t="str">
        <x:v>พบชื่อสัมพันธ์หลายเว็บไซต์ รอยืนยันสาขา</x:v>
      </x:c>
      <x:c r="F11" s="8" t="str">
        <x:v>ยังไม่ยืนยันการเปิดให้บริการปัจจุบัน</x:v>
      </x:c>
      <x:c r="G11" s="58" t="n">
        <x:v>2</x:v>
      </x:c>
      <x:c r="H11" s="52" t="str"/>
      <x:c r="I11" s="52" t="str"/>
      <x:c r="J11" s="52" t="str">
        <x:v>https://www.lemon8-app.com/%401998_nsr/7392912828019016193?region=th</x:v>
      </x:c>
      <x:c r="K11" s="52" t="str">
        <x:v>https://www.lemon8-app.com/%40opalityy/7228564652056412674?region=th</x:v>
      </x:c>
      <x:c r="L11" s="52" t="str">
        <x:v>https://makanhalalguide.com/shop/detail/5380</x:v>
      </x:c>
      <x:c r="M11" s="52" t="str">
        <x:v>https://www.lemon8-app.com/%401998_nsr/7392912828019016193?region=th</x:v>
      </x:c>
      <x:c r="N11" s="8" t="str">
        <x:v>ยังไม่ยืนยัน</x:v>
      </x:c>
      <x:c r="O11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1" s="40" t="n">
        <x:v>46315</x:v>
      </x:c>
      <x:c r="Q11" s="59" t="str">
        <x:v>ยังไม่ตรวจ</x:v>
      </x:c>
      <x:c r="R11" s="59" t="str">
        <x:v>รอติดต่อ</x:v>
      </x:c>
    </x:row>
    <x:row r="12" ht="84" customHeight="1">
      <x:c r="A12" s="2" t="str">
        <x:v>TMF-004</x:v>
      </x:c>
      <x:c r="B12" s="8" t="str">
        <x:v>อาหาร ซากีน่า อาหารเหนือ+อิสลาม</x:v>
      </x:c>
      <x:c r="C12" s="8" t="str">
        <x:v>เชียงราย</x:v>
      </x:c>
      <x:c r="D12" s="8" t="str">
        <x:v>อยู่ในชุด 600 ตามเส้นทาง</x:v>
      </x:c>
      <x:c r="E12" s="8" t="str">
        <x:v>พบชื่อสัมพันธ์หลายเว็บไซต์ รอยืนยันสาขา</x:v>
      </x:c>
      <x:c r="F12" s="8" t="str">
        <x:v>ยังไม่ยืนยันการเปิดให้บริการปัจจุบัน</x:v>
      </x:c>
      <x:c r="G12" s="58" t="n">
        <x:v>6</x:v>
      </x:c>
      <x:c r="H12" s="52" t="str"/>
      <x:c r="I12" s="52" t="str"/>
      <x:c r="J12" s="52" t="str">
        <x:v>https://12781456633969640052.googlegroups.com/attach/79e53a13222de133/List%20of%20Halal%20Restaurants%20and%20Hotels%20in%20Thailand%201%5B1%5D.pdf?part=0.1&amp;vt=ANaJVrEMfzPOF22L_HrDovyCPHcg4sDQCYrHXKOD24KMBzyqVt2nRz0bjoEqazHr8U8cQn50yd6Fczg773gxTXLGP4D6UZa7-pGau35icgrnU74_OEB2YeU</x:v>
      </x:c>
      <x:c r="K12" s="52" t="str">
        <x:v>https://12781456633969640052.googlegroups.com/attach/79e53a13222de133/List%20of%20Halal%20Restaurants%20and%20Hotels%20in%20Thailand%201%5B1%5D.pdf?part=0.1&amp;vt=ANaJVrHJCzcx2YPlHAbbdL95Uokuo6O1sMI0Oknug1lIztw18drS4oQKaDAuhqkq55IzfmpoFXexiQKpA2k_lcCcd7S5BFJ2CFL-qf1Sl-2TD3zXT1W_jeI</x:v>
      </x:c>
      <x:c r="L12" s="52" t="str">
        <x:v>https://makanhalalguide.com/shop/detail/789</x:v>
      </x:c>
      <x:c r="M12" s="52" t="str">
        <x:v>https://12781456633969640052.googlegroups.com/attach/79e53a13222de133/List%20of%20Halal%20Restaurants%20and%20Hotels%20in%20Thailand%201%5B1%5D.pdf?part=0.1&amp;vt=ANaJVrEMfzPOF22L_HrDovyCPHcg4sDQCYrHXKOD24KMBzyqVt2nRz0bjoEqazHr8U8cQn50yd6Fczg773gxTXLGP4D6UZa7-pGau35icgrnU74_OEB2YeU</x:v>
      </x:c>
      <x:c r="N12" s="8" t="str">
        <x:v>ยังไม่ยืนยัน</x:v>
      </x:c>
      <x:c r="O1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2" s="40" t="n">
        <x:v>46315</x:v>
      </x:c>
      <x:c r="Q12" s="59" t="str">
        <x:v>ยังไม่ตรวจ</x:v>
      </x:c>
      <x:c r="R12" s="59" t="str">
        <x:v>รอติดต่อ</x:v>
      </x:c>
    </x:row>
    <x:row r="13" ht="84" customHeight="1">
      <x:c r="A13" s="2" t="str">
        <x:v>TMF-005</x:v>
      </x:c>
      <x:c r="B13" s="8" t="str">
        <x:v>ก๋วยเตี๋ยวผักหวาน อยุธยา</x:v>
      </x:c>
      <x:c r="C13" s="8" t="str">
        <x:v>พระนครศรีอยุธยา</x:v>
      </x:c>
      <x:c r="D13" s="8" t="str">
        <x:v>อยู่ในชุด 600 ตามเส้นทาง</x:v>
      </x:c>
      <x:c r="E13" s="8" t="str">
        <x:v>พบชื่อสัมพันธ์หลายเว็บไซต์ รอยืนยันสาขา</x:v>
      </x:c>
      <x:c r="F13" s="8" t="str">
        <x:v>ยังไม่ยืนยันการเปิดให้บริการปัจจุบัน</x:v>
      </x:c>
      <x:c r="G13" s="58" t="n">
        <x:v>6</x:v>
      </x:c>
      <x:c r="H13" s="52" t="str">
        <x:v>https://www.youtube.com/watch?v=VMHz707tYEw</x:v>
      </x:c>
      <x:c r="I13" s="52" t="str"/>
      <x:c r="J13" s="52" t="str">
        <x:v>https://www.wongnai.com/restaurants/8993sS-%E0%B8%81%E0%B9%8B%E0%B8%A7%E0%B8%A2%E0%B9%80%E0%B8%95%E0%B8%B5%E0%B9%8B%E0%B8%A2%E0%B8%A7%E0%B8%9C%E0%B8%B1%E0%B8%81%E0%B8%AB%E0%B8%A7%E0%B8%B2%E0%B8%99%E0%B8%AD%E0%B8%A2%E0%B8%B8%E0%B8%98%E0%B8%A2%E0%B8%B2</x:v>
      </x:c>
      <x:c r="K13" s="52" t="str">
        <x:v>https://th.tripadvisor.com/Restaurant_Review-g303897-d3710721-Reviews-Phak_Wan-Ayutthaya_Ayutthaya_Province.html</x:v>
      </x:c>
      <x:c r="L13" s="52" t="str">
        <x:v>https://makanhalalguide.com/shop/detail/1286</x:v>
      </x:c>
      <x:c r="M13" s="52" t="str">
        <x:v>https://www.ryoiireview.com/restaurant/view/6188</x:v>
      </x:c>
      <x:c r="N13" s="8" t="str">
        <x:v>ยังไม่ยืนยัน</x:v>
      </x:c>
      <x:c r="O1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" s="40" t="n">
        <x:v>46316</x:v>
      </x:c>
      <x:c r="Q13" s="59" t="str">
        <x:v>ยังไม่ตรวจ</x:v>
      </x:c>
      <x:c r="R13" s="59" t="str">
        <x:v>รอติดต่อ</x:v>
      </x:c>
    </x:row>
    <x:row r="14" ht="84" customHeight="1">
      <x:c r="A14" s="2" t="str">
        <x:v>TMF-006</x:v>
      </x:c>
      <x:c r="B14" s="8" t="str">
        <x:v>ก๋วยเตี๋ยวเป็ดดาหวัน ปัญรีดา 786</x:v>
      </x:c>
      <x:c r="C14" s="8" t="str">
        <x:v>พระนครศรีอยุธยา</x:v>
      </x:c>
      <x:c r="D14" s="8" t="str">
        <x:v>สำรองหลังปรับตามเส้นทาง</x:v>
      </x:c>
      <x:c r="E14" s="8" t="str">
        <x:v>หลักฐานไม่พอ รอยืนยันการเปิด</x:v>
      </x:c>
      <x:c r="F14" s="8" t="str">
        <x:v>ยังไม่ยืนยันการเปิดให้บริการปัจจุบัน</x:v>
      </x:c>
      <x:c r="G14" s="58" t="n">
        <x:v>1</x:v>
      </x:c>
      <x:c r="H14" s="52"/>
      <x:c r="I14" s="52"/>
      <x:c r="J14" s="52"/>
      <x:c r="K14" s="52"/>
      <x:c r="L14" s="52"/>
      <x:c r="M14" s="52"/>
      <x:c r="N14" s="8" t="str">
        <x:v>ยังไม่ยืนยัน</x:v>
      </x:c>
      <x:c r="O1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4" s="40" t="n">
        <x:v>46315</x:v>
      </x:c>
      <x:c r="Q14" s="59" t="str">
        <x:v>ยังไม่ตรวจ</x:v>
      </x:c>
      <x:c r="R14" s="59" t="str">
        <x:v>รอติดต่อ</x:v>
      </x:c>
    </x:row>
    <x:row r="15" ht="84" customHeight="1">
      <x:c r="A15" s="2" t="str">
        <x:v>TMF-007</x:v>
      </x:c>
      <x:c r="B15" s="8" t="str">
        <x:v>ครัวมุสลิมกรุงเก่า</x:v>
      </x:c>
      <x:c r="C15" s="8" t="str">
        <x:v>พระนครศรีอยุธยา</x:v>
      </x:c>
      <x:c r="D15" s="8" t="str">
        <x:v>อยู่ในชุด 600 ตามเส้นทาง</x:v>
      </x:c>
      <x:c r="E15" s="8" t="str">
        <x:v>พบชื่อสัมพันธ์หลายเว็บไซต์ รอยืนยันสาขา</x:v>
      </x:c>
      <x:c r="F15" s="8" t="str">
        <x:v>ยังไม่ยืนยันการเปิดให้บริการปัจจุบัน</x:v>
      </x:c>
      <x:c r="G15" s="58" t="n">
        <x:v>4</x:v>
      </x:c>
      <x:c r="H15" s="52" t="str"/>
      <x:c r="I15" s="52" t="str"/>
      <x:c r="J15" s="52" t="str">
        <x:v>https://www.wongnai.com/restaurants/188522BB-%E0%B8%84%E0%B8%A3%E0%B8%B1%E0%B8%A7%E0%B8%A1%E0%B8%B8%E0%B8%AA%E0%B8%A5%E0%B8%B4%E0%B8%A1%E0%B8%81%E0%B8%A3%E0%B8%B8%E0%B8%87%E0%B9%80%E0%B8%81%E0%B9%88%E0%B8%B2</x:v>
      </x:c>
      <x:c r="K15" s="52" t="str">
        <x:v>https://www.wongnai.com/reviews/c78cab590ed24f8bbd6e100712aba5a1</x:v>
      </x:c>
      <x:c r="L15" s="52" t="str">
        <x:v>https://makanhalalguide.com/shop/detail/5287</x:v>
      </x:c>
      <x:c r="M15" s="52" t="str">
        <x:v>https://www.wongnai.com/restaurants/188522BB-%E0%B8%84%E0%B8%A3%E0%B8%B1%E0%B8%A7%E0%B8%A1%E0%B8%B8%E0%B8%AA%E0%B8%A5%E0%B8%B4%E0%B8%A1%E0%B8%81%E0%B8%A3%E0%B8%B8%E0%B8%87%E0%B9%80%E0%B8%81%E0%B9%88%E0%B8%B2</x:v>
      </x:c>
      <x:c r="N15" s="8" t="str">
        <x:v>ยังไม่ยืนยัน</x:v>
      </x:c>
      <x:c r="O1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5" s="40" t="n">
        <x:v>46315</x:v>
      </x:c>
      <x:c r="Q15" s="59" t="str">
        <x:v>ยังไม่ตรวจ</x:v>
      </x:c>
      <x:c r="R15" s="59" t="str">
        <x:v>รอติดต่อ</x:v>
      </x:c>
    </x:row>
    <x:row r="16" ht="84" customHeight="1">
      <x:c r="A16" s="2" t="str">
        <x:v>TMF-008</x:v>
      </x:c>
      <x:c r="B16" s="8" t="str">
        <x:v>บะละดี้ ขนมปังโฮมเมด Bread &amp; Bakery</x:v>
      </x:c>
      <x:c r="C16" s="8" t="str">
        <x:v>พระนครศรีอยุธยา</x:v>
      </x:c>
      <x:c r="D16" s="8" t="str">
        <x:v>อยู่ในชุด 600 ตามเส้นทาง</x:v>
      </x:c>
      <x:c r="E16" s="8" t="str">
        <x:v>พบชื่อสัมพันธ์หลายเว็บไซต์ รอยืนยันสาขา</x:v>
      </x:c>
      <x:c r="F16" s="8" t="str">
        <x:v>ยังไม่ยืนยันการเปิดให้บริการปัจจุบัน</x:v>
      </x:c>
      <x:c r="G16" s="58" t="n">
        <x:v>2</x:v>
      </x:c>
      <x:c r="H16" s="52" t="str"/>
      <x:c r="I16" s="52" t="str"/>
      <x:c r="J16" s="52" t="str"/>
      <x:c r="K16" s="52" t="str"/>
      <x:c r="L16" s="52" t="str">
        <x:v>https://makanhalalguide.com/shop/detail/6264</x:v>
      </x:c>
      <x:c r="M16" s="52" t="str">
        <x:v>https://happynew.day/vendor/ranbaladi-khanompanghommet-bread-bakery</x:v>
      </x:c>
      <x:c r="N16" s="8" t="str">
        <x:v>ยังไม่ยืนยัน</x:v>
      </x:c>
      <x:c r="O1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6" s="40" t="n">
        <x:v>46315</x:v>
      </x:c>
      <x:c r="Q16" s="59" t="str">
        <x:v>ยังไม่ตรวจ</x:v>
      </x:c>
      <x:c r="R16" s="59" t="str">
        <x:v>รอติดต่อ</x:v>
      </x:c>
    </x:row>
    <x:row r="17" ht="84" customHeight="1">
      <x:c r="A17" s="2" t="str">
        <x:v>TMF-009</x:v>
      </x:c>
      <x:c r="B17" s="8" t="str">
        <x:v>วนิดา ฮาลาลฟู้ด</x:v>
      </x:c>
      <x:c r="C17" s="8" t="str">
        <x:v>พระนครศรีอยุธยา</x:v>
      </x:c>
      <x:c r="D17" s="8" t="str">
        <x:v>อยู่ในชุด 600 ตามเส้นทาง</x:v>
      </x:c>
      <x:c r="E17" s="8" t="str">
        <x:v>พบชื่อสัมพันธ์หลายเว็บไซต์ รอยืนยันสาขา</x:v>
      </x:c>
      <x:c r="F17" s="8" t="str">
        <x:v>ยังไม่ยืนยันการเปิดให้บริการปัจจุบัน</x:v>
      </x:c>
      <x:c r="G17" s="58" t="n">
        <x:v>4</x:v>
      </x:c>
      <x:c r="H17" s="52" t="str"/>
      <x:c r="I17" s="52" t="str"/>
      <x:c r="J17" s="52" t="str"/>
      <x:c r="K17" s="52" t="str"/>
      <x:c r="L17" s="52" t="str">
        <x:v>https://go.ayutthaya.go.th/restaurants/wanida-halal-food/</x:v>
      </x:c>
      <x:c r="M17" s="52" t="str">
        <x:v>https://thi.worldorgs.com/%E0%B9%81%E0%B8%84%E0%B8%95%E0%B8%95%E0%B8%B2%E0%B8%A5%E0%B9%87%E0%B8%AD%E0%B8%81/%E0%B8%AD%E0%B8%B3%E0%B9%80%E0%B8%A0%E0%B8%AD-%E0%B8%9E%E0%B8%A3%E0%B8%B0%E0%B8%99%E0%B8%84%E0%B8%A3%E0%B8%A8%E0%B8%A3%E0%B8%B5%E0%B8%AD%E0%B8%A2%E0%B8%B8%E0%B8%98%E0%B8%A2%E0%B8%B2/%E0%B8%A3%E0%B9%89%E0%B8%B2%E0%B8%99%E0%B8%84%E0%B9%89%E0%B8%B2/%E0%B8%84%E0%B8%A3%E0%B8%B1%E0%B8%A7%E0%B8%A7%E0%B8%99%E0%B8%B4%E0%B8%94%E0%B8%B2-%E0%B8%AE%E0%B8%B2%E0%B8%A5%E0%B8%B2%E0%B8%A5%E0%B8%9F%E0%B8%B9%E0%B9%89%E0%B8%94</x:v>
      </x:c>
      <x:c r="N17" s="8" t="str">
        <x:v>ยังไม่ยืนยัน</x:v>
      </x:c>
      <x:c r="O1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7" s="40" t="n">
        <x:v>46315</x:v>
      </x:c>
      <x:c r="Q17" s="59" t="str">
        <x:v>ยังไม่ตรวจ</x:v>
      </x:c>
      <x:c r="R17" s="59" t="str">
        <x:v>รอติดต่อ</x:v>
      </x:c>
    </x:row>
    <x:row r="18" ht="84" customHeight="1">
      <x:c r="A18" s="2" t="str">
        <x:v>TMF-010</x:v>
      </x:c>
      <x:c r="B18" s="8" t="str">
        <x:v>สเต็กรอมะฮ์ กระเพราแซ่บ ผัดเผ็ดปลาแม่น้ำ</x:v>
      </x:c>
      <x:c r="C18" s="8" t="str">
        <x:v>พระนครศรีอยุธยา</x:v>
      </x:c>
      <x:c r="D18" s="8" t="str">
        <x:v>สำรองหลังปรับตามเส้นทาง</x:v>
      </x:c>
      <x:c r="E18" s="8" t="str">
        <x:v>หลักฐานไม่พอ รอยืนยันการเปิด</x:v>
      </x:c>
      <x:c r="F18" s="8" t="str">
        <x:v>ยังไม่ยืนยันการเปิดให้บริการปัจจุบัน</x:v>
      </x:c>
      <x:c r="G18" s="58" t="n">
        <x:v>1</x:v>
      </x:c>
      <x:c r="H18" s="52"/>
      <x:c r="I18" s="52"/>
      <x:c r="J18" s="52"/>
      <x:c r="K18" s="52"/>
      <x:c r="L18" s="52"/>
      <x:c r="M18" s="52"/>
      <x:c r="N18" s="8" t="str">
        <x:v>ยังไม่ยืนยัน</x:v>
      </x:c>
      <x:c r="O1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" s="40" t="n">
        <x:v>46315</x:v>
      </x:c>
      <x:c r="Q18" s="59" t="str">
        <x:v>ยังไม่ตรวจ</x:v>
      </x:c>
      <x:c r="R18" s="59" t="str">
        <x:v>รอติดต่อ</x:v>
      </x:c>
    </x:row>
    <x:row r="19" ht="84" customHeight="1">
      <x:c r="A19" s="2" t="str">
        <x:v>TMF-011</x:v>
      </x:c>
      <x:c r="B19" s="8" t="str">
        <x:v>สเต๊กครูตา มุสลิมอยุธยา</x:v>
      </x:c>
      <x:c r="C19" s="8" t="str">
        <x:v>พระนครศรีอยุธยา</x:v>
      </x:c>
      <x:c r="D19" s="8" t="str">
        <x:v>อยู่ในชุด 600 ตามเส้นทาง</x:v>
      </x:c>
      <x:c r="E19" s="8" t="str">
        <x:v>พบชื่อสัมพันธ์หลายเว็บไซต์ รอยืนยันสาขา</x:v>
      </x:c>
      <x:c r="F19" s="8" t="str">
        <x:v>ยังไม่ยืนยันการเปิดให้บริการปัจจุบัน</x:v>
      </x:c>
      <x:c r="G19" s="58" t="n">
        <x:v>2</x:v>
      </x:c>
      <x:c r="H19" s="52" t="str"/>
      <x:c r="I19" s="52" t="str"/>
      <x:c r="J19" s="52" t="str">
        <x:v>https://www.wongnai.com/restaurants/761553wN-%E0%B8%AA%E0%B9%80%E0%B8%95%E0%B9%87%E0%B8%81-%E0%B8%84%E0%B8%A3%E0%B8%B9%E0%B8%95%E0%B8%B2-%E0%B8%AA%E0%B9%80%E0%B8%95%E0%B9%87%E0%B8%81-%E0%B8%84%E0%B8%A3%E0%B8%B9%E0%B8%95%E0%B8%B2</x:v>
      </x:c>
      <x:c r="K19" s="52" t="str">
        <x:v>https://www.wongnai.com/reviews/229d8bc2c9c848858953167e1aca7073</x:v>
      </x:c>
      <x:c r="L19" s="52" t="str">
        <x:v>https://makanhalalguide.com/shop/detail/1265</x:v>
      </x:c>
      <x:c r="M19" s="52" t="str">
        <x:v>https://www.wongnai.com/restaurants/761553wN-%E0%B8%AA%E0%B9%80%E0%B8%95%E0%B9%87%E0%B8%81-%E0%B8%84%E0%B8%A3%E0%B8%B9%E0%B8%95%E0%B8%B2-%E0%B8%AA%E0%B9%80%E0%B8%95%E0%B9%87%E0%B8%81-%E0%B8%84%E0%B8%A3%E0%B8%B9%E0%B8%95%E0%B8%B2</x:v>
      </x:c>
      <x:c r="N19" s="8" t="str">
        <x:v>ยังไม่ยืนยัน</x:v>
      </x:c>
      <x:c r="O1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" s="40" t="n">
        <x:v>46315</x:v>
      </x:c>
      <x:c r="Q19" s="59" t="str">
        <x:v>ยังไม่ตรวจ</x:v>
      </x:c>
      <x:c r="R19" s="59" t="str">
        <x:v>รอติดต่อ</x:v>
      </x:c>
    </x:row>
    <x:row r="20" ht="84" customHeight="1">
      <x:c r="A20" s="2" t="str">
        <x:v>TMF-012</x:v>
      </x:c>
      <x:c r="B20" s="8" t="str">
        <x:v>ห้องอาหาร สุใบด๊ะห์ชวนชิม สาขาไม้ตรา (อยุธยา)</x:v>
      </x:c>
      <x:c r="C20" s="8" t="str">
        <x:v>พระนครศรีอยุธยา</x:v>
      </x:c>
      <x:c r="D20" s="8" t="str">
        <x:v>อยู่ในชุด 600 ตามเส้นทาง</x:v>
      </x:c>
      <x:c r="E20" s="8" t="str">
        <x:v>พบชื่อสัมพันธ์หลายเว็บไซต์ รอยืนยันสาขา</x:v>
      </x:c>
      <x:c r="F20" s="8" t="str">
        <x:v>ยังไม่ยืนยันการเปิดให้บริการปัจจุบัน</x:v>
      </x:c>
      <x:c r="G20" s="58" t="n">
        <x:v>2</x:v>
      </x:c>
      <x:c r="H20" s="52" t="str"/>
      <x:c r="I20" s="52" t="str"/>
      <x:c r="J20" s="52" t="str"/>
      <x:c r="K20" s="52" t="str"/>
      <x:c r="L20" s="52" t="str">
        <x:v>https://makanhalalguide.com/shop/detail/5138</x:v>
      </x:c>
      <x:c r="M20" s="52" t="str">
        <x:v>https://lacarte.menu/restaurants/bang-sai/hngaahaarsaibdahchwnchm-saakhaa2aimtraa</x:v>
      </x:c>
      <x:c r="N20" s="8" t="str">
        <x:v>ยังไม่ยืนยัน</x:v>
      </x:c>
      <x:c r="O2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0" s="40" t="n">
        <x:v>46315</x:v>
      </x:c>
      <x:c r="Q20" s="59" t="str">
        <x:v>ยังไม่ตรวจ</x:v>
      </x:c>
      <x:c r="R20" s="59" t="str">
        <x:v>รอติดต่อ</x:v>
      </x:c>
    </x:row>
    <x:row r="21" ht="84" customHeight="1">
      <x:c r="A21" s="2" t="str">
        <x:v>TMF-013</x:v>
      </x:c>
      <x:c r="B21" s="8" t="str">
        <x:v>ฮาลาล บ้านไม้</x:v>
      </x:c>
      <x:c r="C21" s="8" t="str">
        <x:v>พระนครศรีอยุธยา</x:v>
      </x:c>
      <x:c r="D21" s="8" t="str">
        <x:v>อยู่ในชุด 600 ตามเส้นทาง</x:v>
      </x:c>
      <x:c r="E21" s="8" t="str">
        <x:v>พบชื่อสัมพันธ์หลายเว็บไซต์ รอยืนยันสาขา</x:v>
      </x:c>
      <x:c r="F21" s="8" t="str">
        <x:v>ยังไม่ยืนยันการเปิดให้บริการปัจจุบัน</x:v>
      </x:c>
      <x:c r="G21" s="58" t="n">
        <x:v>2</x:v>
      </x:c>
      <x:c r="H21" s="52" t="str"/>
      <x:c r="I21" s="52" t="str"/>
      <x:c r="J21" s="52" t="str"/>
      <x:c r="K21" s="52" t="str"/>
      <x:c r="L21" s="52" t="str">
        <x:v>https://makanhalalguide.com/shop/detail/4875</x:v>
      </x:c>
      <x:c r="M21" s="52" t="str">
        <x:v>https://halaman-kuning.cybo.com/TH/phra-nakhon-si-ayutthaya/restoran-halal</x:v>
      </x:c>
      <x:c r="N21" s="8" t="str">
        <x:v>ยังไม่ยืนยัน</x:v>
      </x:c>
      <x:c r="O2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1" s="40" t="n">
        <x:v>46316</x:v>
      </x:c>
      <x:c r="Q21" s="59" t="str">
        <x:v>ยังไม่ตรวจ</x:v>
      </x:c>
      <x:c r="R21" s="59" t="str">
        <x:v>รอติดต่อ</x:v>
      </x:c>
    </x:row>
    <x:row r="22" ht="84" customHeight="1">
      <x:c r="A22" s="2" t="str">
        <x:v>TMF-014</x:v>
      </x:c>
      <x:c r="B22" s="8" t="str">
        <x:v>เตี๋ยวติดน้ำ บ้านผู้ใหญ่ลี</x:v>
      </x:c>
      <x:c r="C22" s="8" t="str">
        <x:v>พระนครศรีอยุธยา</x:v>
      </x:c>
      <x:c r="D22" s="8" t="str">
        <x:v>สำรองหลังปรับตามเส้นทาง</x:v>
      </x:c>
      <x:c r="E22" s="8" t="str">
        <x:v>หลักฐานไม่พอ รอยืนยันการเปิด</x:v>
      </x:c>
      <x:c r="F22" s="8" t="str">
        <x:v>ยังไม่ยืนยันการเปิดให้บริการปัจจุบัน</x:v>
      </x:c>
      <x:c r="G22" s="58" t="n">
        <x:v>1</x:v>
      </x:c>
      <x:c r="H22" s="52"/>
      <x:c r="I22" s="52"/>
      <x:c r="J22" s="52"/>
      <x:c r="K22" s="52"/>
      <x:c r="L22" s="52"/>
      <x:c r="M22" s="52"/>
      <x:c r="N22" s="8" t="str">
        <x:v>ยังไม่ยืนยัน</x:v>
      </x:c>
      <x:c r="O2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2" s="40" t="n">
        <x:v>46315</x:v>
      </x:c>
      <x:c r="Q22" s="59" t="str">
        <x:v>ยังไม่ตรวจ</x:v>
      </x:c>
      <x:c r="R22" s="59" t="str">
        <x:v>รอติดต่อ</x:v>
      </x:c>
    </x:row>
    <x:row r="23" ht="84" customHeight="1">
      <x:c r="A23" s="2" t="str">
        <x:v>TMF-015</x:v>
      </x:c>
      <x:c r="B23" s="8" t="str">
        <x:v>ครัวฮาลาล ณ.กาญจนบุรี</x:v>
      </x:c>
      <x:c r="C23" s="8" t="str">
        <x:v>กาญจนบุรี</x:v>
      </x:c>
      <x:c r="D23" s="8" t="str">
        <x:v>อยู่ในชุด 600 ตามเส้นทาง</x:v>
      </x:c>
      <x:c r="E23" s="8" t="str">
        <x:v>พบชื่อสัมพันธ์หลายเว็บไซต์ รอยืนยันสาขา</x:v>
      </x:c>
      <x:c r="F23" s="8" t="str">
        <x:v>ยังไม่ยืนยันการเปิดให้บริการปัจจุบัน</x:v>
      </x:c>
      <x:c r="G23" s="58" t="n">
        <x:v>3</x:v>
      </x:c>
      <x:c r="H23" s="52" t="str">
        <x:v>https://www.youtube.com/watch?v=Ooi8bkcnNgA</x:v>
      </x:c>
      <x:c r="I23" s="52" t="str"/>
      <x:c r="J23" s="52" t="str"/>
      <x:c r="K23" s="52" t="str"/>
      <x:c r="L23" s="52" t="str">
        <x:v>https://www.lemon8-app.com/%40mr.luke_1998/7388889941679407617?region=th</x:v>
      </x:c>
      <x:c r="M23" s="52" t="str">
        <x:v>https://makanhalalguide.com/shop/detail/610</x:v>
      </x:c>
      <x:c r="N23" s="8" t="str">
        <x:v>ยังไม่ยืนยัน</x:v>
      </x:c>
      <x:c r="O2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3" s="40" t="n">
        <x:v>46316</x:v>
      </x:c>
      <x:c r="Q23" s="59" t="str">
        <x:v>ยังไม่ตรวจ</x:v>
      </x:c>
      <x:c r="R23" s="59" t="str">
        <x:v>รอติดต่อ</x:v>
      </x:c>
    </x:row>
    <x:row r="24" ht="84" customHeight="1">
      <x:c r="A24" s="2" t="str">
        <x:v>TMF-016</x:v>
      </x:c>
      <x:c r="B24" s="8" t="str">
        <x:v>ดาดาโรตีโอ่ง กาญจนบุรี</x:v>
      </x:c>
      <x:c r="C24" s="8" t="str">
        <x:v>กาญจนบุรี</x:v>
      </x:c>
      <x:c r="D24" s="8" t="str">
        <x:v>อยู่ในชุด 600 ตามเส้นทาง</x:v>
      </x:c>
      <x:c r="E24" s="8" t="str">
        <x:v>พบชื่อสัมพันธ์หลายเว็บไซต์ รอยืนยันสาขา</x:v>
      </x:c>
      <x:c r="F24" s="8" t="str">
        <x:v>ยังไม่ยืนยันการเปิดให้บริการปัจจุบัน</x:v>
      </x:c>
      <x:c r="G24" s="58" t="n">
        <x:v>4</x:v>
      </x:c>
      <x:c r="H24" s="52" t="str"/>
      <x:c r="I24" s="52" t="str"/>
      <x:c r="J24" s="52" t="str">
        <x:v>https://www.wongnai.com/restaurants/270059PV-%E0%B8%94%E0%B8%B2%E0%B8%94%E0%B8%B2-%E0%B9%82%E0%B8%A3%E0%B8%95%E0%B8%B5%E0%B9%82%E0%B8%AD%E0%B9%88%E0%B8%87-%E0%B8%81%E0%B8%B2%E0%B8%8D%E0%B8%88%E0%B8%99%E0%B8%9A%E0%B8%B8%E0%B8%A3%E0%B8%B5/menu/photos/cbd3d47b1e47426e9b2ee92c055c31ff</x:v>
      </x:c>
      <x:c r="K24" s="52" t="str">
        <x:v>https://www.lemon8-app.com/%40after.wedding.journey/7643410166009053703?region=th</x:v>
      </x:c>
      <x:c r="L24" s="52" t="str">
        <x:v>https://makanhalalguide.com/shop/detail/1700</x:v>
      </x:c>
      <x:c r="M24" s="52" t="str">
        <x:v>https://www.wongnai.com/restaurants/270059PV-%E0%B8%94%E0%B8%B2%E0%B8%94%E0%B8%B2-%E0%B9%82%E0%B8%A3%E0%B8%95%E0%B8%B5%E0%B9%82%E0%B8%AD%E0%B9%88%E0%B8%87-%E0%B8%81%E0%B8%B2%E0%B8%8D%E0%B8%88%E0%B8%99%E0%B8%9A%E0%B8%B8%E0%B8%A3%E0%B8%B5/menu/photos/cbd3d47b1e47426e9b2ee92c055c31ff</x:v>
      </x:c>
      <x:c r="N24" s="8" t="str">
        <x:v>ยังไม่ยืนยัน</x:v>
      </x:c>
      <x:c r="O2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" s="40" t="n">
        <x:v>46315</x:v>
      </x:c>
      <x:c r="Q24" s="59" t="str">
        <x:v>ยังไม่ตรวจ</x:v>
      </x:c>
      <x:c r="R24" s="59" t="str">
        <x:v>รอติดต่อ</x:v>
      </x:c>
    </x:row>
    <x:row r="25" ht="84" customHeight="1">
      <x:c r="A25" s="2" t="str">
        <x:v>TMF-017</x:v>
      </x:c>
      <x:c r="B25" s="8" t="str">
        <x:v>อาบี อาหารไทยมุสลิม&amp;โรตีแป้งทอด</x:v>
      </x:c>
      <x:c r="C25" s="8" t="str">
        <x:v>ราชบุรี</x:v>
      </x:c>
      <x:c r="D25" s="8" t="str">
        <x:v>สำรองหลังปรับตามเส้นทาง</x:v>
      </x:c>
      <x:c r="E25" s="8" t="str">
        <x:v>หลักฐานไม่พอ รอยืนยันการเปิด</x:v>
      </x:c>
      <x:c r="F25" s="8" t="str">
        <x:v>ยังไม่ยืนยันการเปิดให้บริการปัจจุบัน</x:v>
      </x:c>
      <x:c r="G25" s="58" t="n">
        <x:v>1</x:v>
      </x:c>
      <x:c r="H25" s="52"/>
      <x:c r="I25" s="52"/>
      <x:c r="J25" s="52"/>
      <x:c r="K25" s="52"/>
      <x:c r="L25" s="52"/>
      <x:c r="M25" s="52"/>
      <x:c r="N25" s="8" t="str">
        <x:v>ยังไม่ยืนยัน</x:v>
      </x:c>
      <x:c r="O2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5" s="40" t="n">
        <x:v>46315</x:v>
      </x:c>
      <x:c r="Q25" s="59" t="str">
        <x:v>ยังไม่ตรวจ</x:v>
      </x:c>
      <x:c r="R25" s="59" t="str">
        <x:v>รอติดต่อ</x:v>
      </x:c>
    </x:row>
    <x:row r="26" ht="84" customHeight="1">
      <x:c r="A26" s="2" t="str">
        <x:v>TMF-018</x:v>
      </x:c>
      <x:c r="B26" s="8" t="str">
        <x:v>โรตีบังมิง บ้านสวน</x:v>
      </x:c>
      <x:c r="C26" s="8" t="str">
        <x:v>ราชบุรี</x:v>
      </x:c>
      <x:c r="D26" s="8" t="str">
        <x:v>อยู่ในชุด 600 ตามเส้นทาง</x:v>
      </x:c>
      <x:c r="E26" s="8" t="str">
        <x:v>พบชื่อสัมพันธ์หลายเว็บไซต์ รอยืนยันสาขา</x:v>
      </x:c>
      <x:c r="F26" s="8" t="str">
        <x:v>ยังไม่ยืนยันการเปิดให้บริการปัจจุบัน</x:v>
      </x:c>
      <x:c r="G26" s="58" t="n">
        <x:v>4</x:v>
      </x:c>
      <x:c r="H26" s="52" t="str"/>
      <x:c r="I26" s="52" t="str"/>
      <x:c r="J26" s="52" t="str">
        <x:v>https://www.lemon8-app.com/%40chomlisa.log/7454075536081207815?region=th</x:v>
      </x:c>
      <x:c r="K26" s="52" t="str">
        <x:v>https://www.lemon8-app.com/%40ddaniel.sar/7437881199869461000?region=th</x:v>
      </x:c>
      <x:c r="L26" s="52" t="str">
        <x:v>https://makanhalalguide.com/shop/detail/5837</x:v>
      </x:c>
      <x:c r="M26" s="52" t="str">
        <x:v>https://www.lemon8-app.com/%40chomlisa.log/7454075536081207815?region=th</x:v>
      </x:c>
      <x:c r="N26" s="8" t="str">
        <x:v>ยังไม่ยืนยัน</x:v>
      </x:c>
      <x:c r="O2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6" s="40" t="n">
        <x:v>46315</x:v>
      </x:c>
      <x:c r="Q26" s="59" t="str">
        <x:v>ยังไม่ตรวจ</x:v>
      </x:c>
      <x:c r="R26" s="59" t="str">
        <x:v>รอติดต่อ</x:v>
      </x:c>
    </x:row>
    <x:row r="27" ht="84" customHeight="1">
      <x:c r="A27" s="2" t="str">
        <x:v>TMF-019</x:v>
      </x:c>
      <x:c r="B27" s="8" t="str">
        <x:v>ไทย-มุสลิม(Thai-Muslim Restaurant)</x:v>
      </x:c>
      <x:c r="C27" s="8" t="str">
        <x:v>ราชบุรี</x:v>
      </x:c>
      <x:c r="D27" s="8" t="str">
        <x:v>อยู่ในชุด 600 ตามเส้นทาง</x:v>
      </x:c>
      <x:c r="E27" s="8" t="str">
        <x:v>พบชื่อสัมพันธ์หลายเว็บไซต์ รอยืนยันสาขา</x:v>
      </x:c>
      <x:c r="F27" s="8" t="str">
        <x:v>ยังไม่ยืนยันการเปิดให้บริการปัจจุบัน</x:v>
      </x:c>
      <x:c r="G27" s="58" t="n">
        <x:v>6</x:v>
      </x:c>
      <x:c r="H27" s="52" t="str"/>
      <x:c r="I27" s="52" t="str"/>
      <x:c r="J27" s="52" t="str">
        <x:v>https://www.wongnai.com/restaurants/103556Sr-%E0%B8%A3%E0%B9%89%E0%B8%B2%E0%B8%99%E0%B8%AD%E0%B8%B2%E0%B8%AB%E0%B8%B2%E0%B8%A3%E0%B9%84%E0%B8%97%E0%B8%A2-%E0%B8%A1%E0%B8%B8%E0%B8%AA%E0%B8%A5%E0%B8%B4%E0%B8%A1</x:v>
      </x:c>
      <x:c r="K27" s="52" t="str"/>
      <x:c r="L27" s="52" t="str">
        <x:v>https://makanhalalguide.com/shop/detail/2728</x:v>
      </x:c>
      <x:c r="M27" s="52" t="str">
        <x:v>https://www.wongnai.com/restaurants/103556Sr-%E0%B8%A3%E0%B9%89%E0%B8%B2%E0%B8%99%E0%B8%AD%E0%B8%B2%E0%B8%AB%E0%B8%B2%E0%B8%A3%E0%B9%84%E0%B8%97%E0%B8%A2-%E0%B8%A1%E0%B8%B8%E0%B8%AA%E0%B8%A5%E0%B8%B4%E0%B8%A1</x:v>
      </x:c>
      <x:c r="N27" s="8" t="str">
        <x:v>ยังไม่ยืนยัน</x:v>
      </x:c>
      <x:c r="O2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7" s="40" t="n">
        <x:v>46315</x:v>
      </x:c>
      <x:c r="Q27" s="59" t="str">
        <x:v>ยังไม่ตรวจ</x:v>
      </x:c>
      <x:c r="R27" s="59" t="str">
        <x:v>รอติดต่อ</x:v>
      </x:c>
    </x:row>
    <x:row r="28" ht="84" customHeight="1">
      <x:c r="A28" s="2" t="str">
        <x:v>TMF-020</x:v>
      </x:c>
      <x:c r="B28" s="8" t="str">
        <x:v>Alama Sea Village Resort Koh Lanta</x:v>
      </x:c>
      <x:c r="C28" s="8" t="str">
        <x:v>กระบี่</x:v>
      </x:c>
      <x:c r="D28" s="8" t="str">
        <x:v>อยู่ในชุด 600 ตามเส้นทาง</x:v>
      </x:c>
      <x:c r="E28" s="8" t="str">
        <x:v>พบชื่อสัมพันธ์หลายเว็บไซต์ รอยืนยันสาขา</x:v>
      </x:c>
      <x:c r="F28" s="8" t="str">
        <x:v>ยังไม่ยืนยันการเปิดให้บริการปัจจุบัน</x:v>
      </x:c>
      <x:c r="G28" s="58" t="n">
        <x:v>5</x:v>
      </x:c>
      <x:c r="H28" s="52" t="str"/>
      <x:c r="I28" s="52" t="str"/>
      <x:c r="J28" s="52" t="str">
        <x:v>https://www.agoda.com/alama-sea-village-resort/hotel/koh-lanta-th.html</x:v>
      </x:c>
      <x:c r="K28" s="52" t="str">
        <x:v>https://www.agoda.com/alama-sea-village-resort-sha-extra-plus/reviews-page-2/koh-lanta-th.html</x:v>
      </x:c>
      <x:c r="L28" s="52" t="str">
        <x:v>https://makanhalalguide.com/shop/detail/5412</x:v>
      </x:c>
      <x:c r="M28" s="52" t="str">
        <x:v>https://www.agoda.com/alama-sea-village-resort/hotel/koh-lanta-th.html</x:v>
      </x:c>
      <x:c r="N28" s="8" t="str">
        <x:v>ยังไม่ยืนยัน</x:v>
      </x:c>
      <x:c r="O2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8" s="40" t="n">
        <x:v>46315</x:v>
      </x:c>
      <x:c r="Q28" s="59" t="str">
        <x:v>ยังไม่ตรวจ</x:v>
      </x:c>
      <x:c r="R28" s="59" t="str">
        <x:v>รอติดต่อ</x:v>
      </x:c>
    </x:row>
    <x:row r="29" ht="84" customHeight="1">
      <x:c r="A29" s="2" t="str">
        <x:v>TMF-021</x:v>
      </x:c>
      <x:c r="B29" s="8" t="str">
        <x:v>Aonang Fiore resort, Krabi Thailand</x:v>
      </x:c>
      <x:c r="C29" s="8" t="str">
        <x:v>กระบี่</x:v>
      </x:c>
      <x:c r="D29" s="8" t="str">
        <x:v>อยู่ในชุด 600 ตามเส้นทาง</x:v>
      </x:c>
      <x:c r="E29" s="8" t="str">
        <x:v>พบชื่อสัมพันธ์หลายเว็บไซต์ รอยืนยันสาขา</x:v>
      </x:c>
      <x:c r="F29" s="8" t="str">
        <x:v>ยังไม่ยืนยันการเปิดให้บริการปัจจุบัน</x:v>
      </x:c>
      <x:c r="G29" s="58" t="n">
        <x:v>7</x:v>
      </x:c>
      <x:c r="H29" s="52" t="str"/>
      <x:c r="I29" s="52" t="str"/>
      <x:c r="J29" s="52" t="str">
        <x:v>https://www.tripadvisor.com/Hotel_Review-g1507054-d10006885-Reviews-Aonang_Fiore_Resort-Ao_Nang_Krabi_Province.html</x:v>
      </x:c>
      <x:c r="K29" s="52" t="str">
        <x:v>https://www.agoda.com/aonang-fiore-resort/hotel/krabi-th.html</x:v>
      </x:c>
      <x:c r="L29" s="52" t="str">
        <x:v>https://makanhalalguide.com/shop/detail/5407</x:v>
      </x:c>
      <x:c r="M29" s="52" t="str">
        <x:v>https://www.tripadvisor.com/Hotel_Review-g1507054-d10006885-Reviews-Aonang_Fiore_Resort-Ao_Nang_Krabi_Province.html</x:v>
      </x:c>
      <x:c r="N29" s="8" t="str">
        <x:v>ยังไม่ยืนยัน</x:v>
      </x:c>
      <x:c r="O2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9" s="40" t="n">
        <x:v>46315</x:v>
      </x:c>
      <x:c r="Q29" s="59" t="str">
        <x:v>ยังไม่ตรวจ</x:v>
      </x:c>
      <x:c r="R29" s="59" t="str">
        <x:v>รอติดต่อ</x:v>
      </x:c>
    </x:row>
    <x:row r="30" ht="84" customHeight="1">
      <x:c r="A30" s="2" t="str">
        <x:v>TMF-022</x:v>
      </x:c>
      <x:c r="B30" s="8" t="str">
        <x:v>Aonang Phu Pi Maan Resort &amp; Spa</x:v>
      </x:c>
      <x:c r="C30" s="8" t="str">
        <x:v>กระบี่</x:v>
      </x:c>
      <x:c r="D30" s="8" t="str">
        <x:v>อยู่ในชุด 600 ตามเส้นทาง</x:v>
      </x:c>
      <x:c r="E30" s="8" t="str">
        <x:v>พบชื่อสัมพันธ์หลายเว็บไซต์ รอยืนยันสาขา</x:v>
      </x:c>
      <x:c r="F30" s="8" t="str">
        <x:v>ยังไม่ยืนยันการเปิดให้บริการปัจจุบัน</x:v>
      </x:c>
      <x:c r="G30" s="58" t="n">
        <x:v>5</x:v>
      </x:c>
      <x:c r="H30" s="52" t="str"/>
      <x:c r="I30" s="52" t="str"/>
      <x:c r="J30" s="52" t="str">
        <x:v>https://www.trip.com/hotels/krabi-hotel-detail-709733/aonang-phu-pi-maan-resort-spa/review.html</x:v>
      </x:c>
      <x:c r="K30" s="52" t="str">
        <x:v>https://www.booking.com/hotel/th/phu-pi-maan-resort-spa.html</x:v>
      </x:c>
      <x:c r="L30" s="52" t="str">
        <x:v>https://makanhalalguide.com/shop/detail/5402</x:v>
      </x:c>
      <x:c r="M30" s="52" t="str">
        <x:v>https://www.trip.com/hotels/krabi-hotel-detail-709733/aonang-phu-pi-maan-resort-spa/review.html</x:v>
      </x:c>
      <x:c r="N30" s="8" t="str">
        <x:v>ยังไม่ยืนยัน</x:v>
      </x:c>
      <x:c r="O3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0" s="40" t="n">
        <x:v>46315</x:v>
      </x:c>
      <x:c r="Q30" s="59" t="str">
        <x:v>ยังไม่ตรวจ</x:v>
      </x:c>
      <x:c r="R30" s="59" t="str">
        <x:v>รอติดต่อ</x:v>
      </x:c>
    </x:row>
    <x:row r="31" ht="84" customHeight="1">
      <x:c r="A31" s="2" t="str">
        <x:v>TMF-023</x:v>
      </x:c>
      <x:c r="B31" s="8" t="str">
        <x:v>Lanta Emerald Resort ลันตา เอ็มเมอรัล ห้องพัก ติดทะเล เกาะลันตาใหญ่ กระบี่</x:v>
      </x:c>
      <x:c r="C31" s="8" t="str">
        <x:v>กระบี่</x:v>
      </x:c>
      <x:c r="D31" s="8" t="str">
        <x:v>สำรองหลังปรับตามเส้นทาง</x:v>
      </x:c>
      <x:c r="E31" s="8" t="str">
        <x:v>หลักฐานไม่พอ รอยืนยันการเปิด</x:v>
      </x:c>
      <x:c r="F31" s="8" t="str">
        <x:v>ยังไม่ยืนยันการเปิดให้บริการปัจจุบัน</x:v>
      </x:c>
      <x:c r="G31" s="58" t="n">
        <x:v>1</x:v>
      </x:c>
      <x:c r="H31" s="52"/>
      <x:c r="I31" s="52"/>
      <x:c r="J31" s="52"/>
      <x:c r="K31" s="52"/>
      <x:c r="L31" s="52"/>
      <x:c r="M31" s="52"/>
      <x:c r="N31" s="8" t="str">
        <x:v>ยังไม่ยืนยัน</x:v>
      </x:c>
      <x:c r="O3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1" s="40" t="n">
        <x:v>46315</x:v>
      </x:c>
      <x:c r="Q31" s="59" t="str">
        <x:v>ยังไม่ตรวจ</x:v>
      </x:c>
      <x:c r="R31" s="59" t="str">
        <x:v>รอติดต่อ</x:v>
      </x:c>
    </x:row>
    <x:row r="32" ht="84" customHeight="1">
      <x:c r="A32" s="2" t="str">
        <x:v>TMF-024</x:v>
      </x:c>
      <x:c r="B32" s="8" t="str">
        <x:v>Railay Great View Resort &amp; Spa รีสอร์ท มุสลิม</x:v>
      </x:c>
      <x:c r="C32" s="8" t="str">
        <x:v>กระบี่</x:v>
      </x:c>
      <x:c r="D32" s="8" t="str">
        <x:v>อยู่ในชุด 600 ตามเส้นทาง</x:v>
      </x:c>
      <x:c r="E32" s="8" t="str">
        <x:v>พบชื่อสัมพันธ์หลายเว็บไซต์ รอยืนยันสาขา</x:v>
      </x:c>
      <x:c r="F32" s="8" t="str">
        <x:v>ยังไม่ยืนยันการเปิดให้บริการปัจจุบัน</x:v>
      </x:c>
      <x:c r="G32" s="58" t="n">
        <x:v>2</x:v>
      </x:c>
      <x:c r="H32" s="52" t="str"/>
      <x:c r="I32" s="52" t="str"/>
      <x:c r="J32" s="52" t="str"/>
      <x:c r="K32" s="52" t="str"/>
      <x:c r="L32" s="52" t="str">
        <x:v>https://makanhalalguide.com/shop/detail/5404</x:v>
      </x:c>
      <x:c r="M32" s="52" t="str">
        <x:v>https://chillpainai.com/scoop/12845</x:v>
      </x:c>
      <x:c r="N32" s="8" t="str">
        <x:v>ยังไม่ยืนยัน</x:v>
      </x:c>
      <x:c r="O3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2" s="40" t="n">
        <x:v>46315</x:v>
      </x:c>
      <x:c r="Q32" s="59" t="str">
        <x:v>ยังไม่ตรวจ</x:v>
      </x:c>
      <x:c r="R32" s="59" t="str">
        <x:v>รอติดต่อ</x:v>
      </x:c>
    </x:row>
    <x:row r="33" ht="84" customHeight="1">
      <x:c r="A33" s="2" t="str">
        <x:v>TMF-025</x:v>
      </x:c>
      <x:c r="B33" s="8" t="str">
        <x:v>Railay Village Resort , Krabi - Thailand</x:v>
      </x:c>
      <x:c r="C33" s="8" t="str">
        <x:v>กระบี่</x:v>
      </x:c>
      <x:c r="D33" s="8" t="str">
        <x:v>อยู่ในชุด 600 ตามเส้นทาง</x:v>
      </x:c>
      <x:c r="E33" s="8" t="str">
        <x:v>พบชื่อสัมพันธ์หลายเว็บไซต์ รอยืนยันสาขา</x:v>
      </x:c>
      <x:c r="F33" s="8" t="str">
        <x:v>ยังไม่ยืนยันการเปิดให้บริการปัจจุบัน</x:v>
      </x:c>
      <x:c r="G33" s="58" t="n">
        <x:v>7</x:v>
      </x:c>
      <x:c r="H33" s="52" t="str"/>
      <x:c r="I33" s="52" t="str"/>
      <x:c r="J33" s="52" t="str">
        <x:v>https://www.tripadvisor.com/Hotel_Review-g1507054-d781689-Reviews-Railay_Village_Resort_Spa-Ao_Nang_Krabi_Province.html</x:v>
      </x:c>
      <x:c r="K33" s="52" t="str">
        <x:v>https://ph.hotels.com/ho358591/railay-village-resort-krabi-thailand/</x:v>
      </x:c>
      <x:c r="L33" s="52" t="str">
        <x:v>https://makanhalalguide.com/shop/detail/5410</x:v>
      </x:c>
      <x:c r="M33" s="52" t="str">
        <x:v>https://www.tripadvisor.com/Hotel_Review-g1507054-d781689-Reviews-Railay_Village_Resort_Spa-Ao_Nang_Krabi_Province.html</x:v>
      </x:c>
      <x:c r="N33" s="8" t="str">
        <x:v>ยังไม่ยืนยัน</x:v>
      </x:c>
      <x:c r="O3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3" s="40" t="n">
        <x:v>46315</x:v>
      </x:c>
      <x:c r="Q33" s="59" t="str">
        <x:v>ยังไม่ตรวจ</x:v>
      </x:c>
      <x:c r="R33" s="59" t="str">
        <x:v>รอติดต่อ</x:v>
      </x:c>
    </x:row>
    <x:row r="34" ht="84" customHeight="1">
      <x:c r="A34" s="2" t="str">
        <x:v>TMF-026</x:v>
      </x:c>
      <x:c r="B34" s="8" t="str">
        <x:v>The tama hotel Krabi Thailand</x:v>
      </x:c>
      <x:c r="C34" s="8" t="str">
        <x:v>กระบี่</x:v>
      </x:c>
      <x:c r="D34" s="8" t="str">
        <x:v>อยู่ในชุด 600 ตามเส้นทาง</x:v>
      </x:c>
      <x:c r="E34" s="8" t="str">
        <x:v>พบชื่อสัมพันธ์หลายเว็บไซต์ รอยืนยันสาขา</x:v>
      </x:c>
      <x:c r="F34" s="8" t="str">
        <x:v>ยังไม่ยืนยันการเปิดให้บริการปัจจุบัน</x:v>
      </x:c>
      <x:c r="G34" s="58" t="n">
        <x:v>7</x:v>
      </x:c>
      <x:c r="H34" s="52" t="str"/>
      <x:c r="I34" s="52" t="str"/>
      <x:c r="J34" s="52" t="str">
        <x:v>https://www.agoda.com/en-in/the-tama-hotel/hotel/krabi-th.html</x:v>
      </x:c>
      <x:c r="K34" s="52" t="str">
        <x:v>https://www.agoda.com/the-tama-hotel/hotel/krabi-th.html</x:v>
      </x:c>
      <x:c r="L34" s="52" t="str">
        <x:v>https://makanhalalguide.com/shop/detail/5777</x:v>
      </x:c>
      <x:c r="M34" s="52" t="str">
        <x:v>https://www.agoda.com/en-in/the-tama-hotel/hotel/krabi-th.html</x:v>
      </x:c>
      <x:c r="N34" s="8" t="str">
        <x:v>ยังไม่ยืนยัน</x:v>
      </x:c>
      <x:c r="O3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4" s="40" t="n">
        <x:v>46315</x:v>
      </x:c>
      <x:c r="Q34" s="59" t="str">
        <x:v>ยังไม่ตรวจ</x:v>
      </x:c>
      <x:c r="R34" s="59" t="str">
        <x:v>รอติดต่อ</x:v>
      </x:c>
    </x:row>
    <x:row r="35" ht="84" customHeight="1">
      <x:c r="A35" s="2" t="str">
        <x:v>TMF-027</x:v>
      </x:c>
      <x:c r="B35" s="8" t="str">
        <x:v>sunda resort, Krabi Thailand</x:v>
      </x:c>
      <x:c r="C35" s="8" t="str">
        <x:v>กระบี่</x:v>
      </x:c>
      <x:c r="D35" s="8" t="str">
        <x:v>อยู่ในชุด 600 ตามเส้นทาง</x:v>
      </x:c>
      <x:c r="E35" s="8" t="str">
        <x:v>พบชื่อสัมพันธ์หลายเว็บไซต์ รอยืนยันสาขา</x:v>
      </x:c>
      <x:c r="F35" s="8" t="str">
        <x:v>ยังไม่ยืนยันการเปิดให้บริการปัจจุบัน</x:v>
      </x:c>
      <x:c r="G35" s="58" t="n">
        <x:v>11</x:v>
      </x:c>
      <x:c r="H35" s="52" t="str"/>
      <x:c r="I35" s="52" t="str"/>
      <x:c r="J35" s="52" t="str">
        <x:v>https://www.google.com.my/travel/hotels/entity/ChgIgvzXlZLc9_eNARoLL2cvMXRnc2xoeWcQAQ?ts=CAEaBAoCGgAqBAoAGgA</x:v>
      </x:c>
      <x:c r="K35" s="52" t="str">
        <x:v>https://www.agoda.com/en-gb/sunda-resort/hotel/krabi-th.html</x:v>
      </x:c>
      <x:c r="L35" s="52" t="str">
        <x:v>https://makanhalalguide.com/shop/detail/5411</x:v>
      </x:c>
      <x:c r="M35" s="52" t="str">
        <x:v>https://www.thic.or.th/th/tourist/detail/accommodation/24</x:v>
      </x:c>
      <x:c r="N35" s="8" t="str">
        <x:v>ยังไม่ยืนยัน</x:v>
      </x:c>
      <x:c r="O3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5" s="40" t="n">
        <x:v>46315</x:v>
      </x:c>
      <x:c r="Q35" s="59" t="str">
        <x:v>ยังไม่ตรวจ</x:v>
      </x:c>
      <x:c r="R35" s="59" t="str">
        <x:v>รอติดต่อ</x:v>
      </x:c>
    </x:row>
    <x:row r="36" ht="84" customHeight="1">
      <x:c r="A36" s="2" t="str">
        <x:v>TMF-028</x:v>
      </x:c>
      <x:c r="B36" s="8" t="str">
        <x:v>บ้านครูเฉม โฮมสเตย์เกาะปู</x:v>
      </x:c>
      <x:c r="C36" s="8" t="str">
        <x:v>กระบี่</x:v>
      </x:c>
      <x:c r="D36" s="8" t="str">
        <x:v>อยู่ในชุด 600 ตามเส้นทาง</x:v>
      </x:c>
      <x:c r="E36" s="8" t="str">
        <x:v>พบชื่อสัมพันธ์หลายเว็บไซต์ รอยืนยันสาขา</x:v>
      </x:c>
      <x:c r="F36" s="8" t="str">
        <x:v>ยังไม่ยืนยันการเปิดให้บริการปัจจุบัน</x:v>
      </x:c>
      <x:c r="G36" s="58" t="n">
        <x:v>4</x:v>
      </x:c>
      <x:c r="H36" s="52" t="str"/>
      <x:c r="I36" s="52" t="str"/>
      <x:c r="J36" s="52" t="str">
        <x:v>https://www.google.co.th/travel/hotels/entity/ChoI_sXDqev98p7VARoNL2cvMTFuMGt6ajhmdBAB</x:v>
      </x:c>
      <x:c r="K36" s="52" t="str">
        <x:v>https://www.google.com.sa/travel/hotels/entity/ChoI_sXDqev98p7VARoNL2cvMTFuMGt6ajhmdBAB?ap=MACIAQI&amp;g2lb=2502404%2C4208993%2C4223281%2C4252074%2C4253230%2C4254308%2C4258168%2C4260007%2C4265959%2C4274032%2C4274649%2C4276915%2C4276917%2C4250437%2C4251519%2C4256180%2C4265427%2C4267036%2C4270859%2C4281193&amp;gl=th&amp;gsas=1&amp;hl=th&amp;rp=OAFIAg&amp;ts=CAEaBAoCGgAqBAoAGgA&amp;un=1</x:v>
      </x:c>
      <x:c r="L36" s="52" t="str">
        <x:v>https://makanhalalguide.com/shop/detail/5406</x:v>
      </x:c>
      <x:c r="M36" s="52" t="str">
        <x:v>https://www.google.co.th/travel/hotels/entity/ChoI_sXDqev98p7VARoNL2cvMTFuMGt6ajhmdBAB</x:v>
      </x:c>
      <x:c r="N36" s="8" t="str">
        <x:v>ยังไม่ยืนยัน</x:v>
      </x:c>
      <x:c r="O3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6" s="40" t="n">
        <x:v>46315</x:v>
      </x:c>
      <x:c r="Q36" s="59" t="str">
        <x:v>ยังไม่ตรวจ</x:v>
      </x:c>
      <x:c r="R36" s="59" t="str">
        <x:v>รอติดต่อ</x:v>
      </x:c>
    </x:row>
    <x:row r="37" ht="84" customHeight="1">
      <x:c r="A37" s="2" t="str">
        <x:v>TMF-029</x:v>
      </x:c>
      <x:c r="B37" s="8" t="str">
        <x:v>อันดามัน เพิร์ล รีสอร์ท อ่าวนาง</x:v>
      </x:c>
      <x:c r="C37" s="8" t="str">
        <x:v>กระบี่</x:v>
      </x:c>
      <x:c r="D37" s="8" t="str">
        <x:v>อยู่ในชุด 600 ตามเส้นทาง</x:v>
      </x:c>
      <x:c r="E37" s="8" t="str">
        <x:v>พบชื่อสัมพันธ์หลายเว็บไซต์ รอยืนยันสาขา</x:v>
      </x:c>
      <x:c r="F37" s="8" t="str">
        <x:v>ยังไม่ยืนยันการเปิดให้บริการปัจจุบัน</x:v>
      </x:c>
      <x:c r="G37" s="58" t="n">
        <x:v>4</x:v>
      </x:c>
      <x:c r="H37" s="52" t="str"/>
      <x:c r="I37" s="52" t="str"/>
      <x:c r="J37" s="52" t="str"/>
      <x:c r="K37" s="52" t="str"/>
      <x:c r="L37" s="52" t="str">
        <x:v>https://makanhalalguide.com/shop/detail/5408</x:v>
      </x:c>
      <x:c r="M37" s="52" t="str">
        <x:v>https://www.aonang.go.th/storage/uploads/177821015899.pdf</x:v>
      </x:c>
      <x:c r="N37" s="8" t="str">
        <x:v>ยังไม่ยืนยัน</x:v>
      </x:c>
      <x:c r="O3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7" s="40" t="n">
        <x:v>46315</x:v>
      </x:c>
      <x:c r="Q37" s="59" t="str">
        <x:v>ยังไม่ตรวจ</x:v>
      </x:c>
      <x:c r="R37" s="59" t="str">
        <x:v>รอติดต่อ</x:v>
      </x:c>
    </x:row>
    <x:row r="38" ht="84" customHeight="1">
      <x:c r="A38" s="2" t="str">
        <x:v>TMF-030</x:v>
      </x:c>
      <x:c r="B38" s="8" t="str">
        <x:v>โรงแรม กระบี่ ฟร้อนท์ เบย์ รีสอร์ท</x:v>
      </x:c>
      <x:c r="C38" s="8" t="str">
        <x:v>กระบี่</x:v>
      </x:c>
      <x:c r="D38" s="8" t="str">
        <x:v>อยู่ในชุด 600 ตามเส้นทาง</x:v>
      </x:c>
      <x:c r="E38" s="8" t="str">
        <x:v>พบชื่อสัมพันธ์หลายเว็บไซต์ รอยืนยันสาขา</x:v>
      </x:c>
      <x:c r="F38" s="8" t="str">
        <x:v>ยังไม่ยืนยันการเปิดให้บริการปัจจุบัน</x:v>
      </x:c>
      <x:c r="G38" s="58" t="n">
        <x:v>6</x:v>
      </x:c>
      <x:c r="H38" s="52" t="str"/>
      <x:c r="I38" s="52" t="str"/>
      <x:c r="J38" s="52" t="str">
        <x:v>https://www.google.co.th/travel/hotels/entity/CgsIzvunh-7l_raTARAB</x:v>
      </x:c>
      <x:c r="K38" s="52" t="str">
        <x:v>https://www.google.co.th/travel/hotels/entity/ChoIzvunh-7l_raTARoNL2cvMTFiN3E4ZzgwaBAB?ap=ugEGcHJpY2Vz&amp;rp=OAHCAhwiGg0AAOhBEhMIj8zOzM6IlgMV7NBLAx0MLR5a&amp;ts=CAEaBAoCGgAqBAoAGgA</x:v>
      </x:c>
      <x:c r="L38" s="52" t="str">
        <x:v>https://www.thic.or.th/th/tourist/detail/accommodation/213</x:v>
      </x:c>
      <x:c r="M38" s="52" t="str">
        <x:v>https://halalthai.or.th/th/product/detail/344435</x:v>
      </x:c>
      <x:c r="N38" s="8" t="str">
        <x:v>ยังไม่ยืนยัน</x:v>
      </x:c>
      <x:c r="O3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38" s="40" t="n">
        <x:v>46315</x:v>
      </x:c>
      <x:c r="Q38" s="59" t="str">
        <x:v>ยังไม่ตรวจ</x:v>
      </x:c>
      <x:c r="R38" s="59" t="str">
        <x:v>รอติดต่อ</x:v>
      </x:c>
    </x:row>
    <x:row r="39" ht="84" customHeight="1">
      <x:c r="A39" s="2" t="str">
        <x:v>TMF-031</x:v>
      </x:c>
      <x:c r="B39" s="8" t="str">
        <x:v>Ahad Suite Ao Nang</x:v>
      </x:c>
      <x:c r="C39" s="8" t="str">
        <x:v>กระบี่</x:v>
      </x:c>
      <x:c r="D39" s="8" t="str">
        <x:v>อยู่ในชุด 600 ตามเส้นทาง</x:v>
      </x:c>
      <x:c r="E39" s="8" t="str">
        <x:v>พบชื่อสัมพันธ์หลายเว็บไซต์ รอยืนยันสาขา</x:v>
      </x:c>
      <x:c r="F39" s="8" t="str">
        <x:v>ยังไม่ยืนยันการเปิดให้บริการปัจจุบัน</x:v>
      </x:c>
      <x:c r="G39" s="58" t="n">
        <x:v>6</x:v>
      </x:c>
      <x:c r="H39" s="52" t="str"/>
      <x:c r="I39" s="52" t="str"/>
      <x:c r="J39" s="52" t="str">
        <x:v>https://www.agoda.com/en-sg/ahad-suite-ao-nang-by-ma/reviews/krabi-th.html</x:v>
      </x:c>
      <x:c r="K39" s="52" t="str">
        <x:v>https://www.agoda.com/ahad-ao-nang-by-ma/hotel/krabi-th.html</x:v>
      </x:c>
      <x:c r="L39" s="52" t="str">
        <x:v>https://makanhalalguide.com/shop/detail/5388</x:v>
      </x:c>
      <x:c r="M39" s="52" t="str">
        <x:v>https://www.agoda.com/en-sg/ahad-suite-ao-nang-by-ma/reviews/krabi-th.html</x:v>
      </x:c>
      <x:c r="N39" s="8" t="str">
        <x:v>ยังไม่ยืนยัน</x:v>
      </x:c>
      <x:c r="O39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39" s="40" t="n">
        <x:v>46315</x:v>
      </x:c>
      <x:c r="Q39" s="59" t="str">
        <x:v>ยังไม่ตรวจ</x:v>
      </x:c>
      <x:c r="R39" s="59" t="str">
        <x:v>รอติดต่อ</x:v>
      </x:c>
    </x:row>
    <x:row r="40" ht="84" customHeight="1">
      <x:c r="A40" s="2" t="str">
        <x:v>TMF-032</x:v>
      </x:c>
      <x:c r="B40" s="8" t="str">
        <x:v>White Sand Halal House Krabi</x:v>
      </x:c>
      <x:c r="C40" s="8" t="str">
        <x:v>กระบี่</x:v>
      </x:c>
      <x:c r="D40" s="8" t="str">
        <x:v>อยู่ในชุด 600 ตามเส้นทาง</x:v>
      </x:c>
      <x:c r="E40" s="8" t="str">
        <x:v>พบชื่อสัมพันธ์หลายเว็บไซต์ รอยืนยันสาขา</x:v>
      </x:c>
      <x:c r="F40" s="8" t="str">
        <x:v>ยังไม่ยืนยันการเปิดให้บริการปัจจุบัน</x:v>
      </x:c>
      <x:c r="G40" s="58" t="n">
        <x:v>8</x:v>
      </x:c>
      <x:c r="H40" s="52" t="str"/>
      <x:c r="I40" s="52" t="str"/>
      <x:c r="J40" s="52" t="str">
        <x:v>https://www.google.co.th/travel/hotels/entity/ChoIvKWU5_GhzsLrARoNL2cvMTFjMmp2Y3BoNBAB</x:v>
      </x:c>
      <x:c r="K40" s="52" t="str">
        <x:v>https://www.google.co.th/travel/hotels/entity/ChoIvKWU5_GhzsLrARoNL2cvMTFjMmp2Y3BoNBAB?ts=CAEaIAoCGgASGhIUCgcI6Q8QBxgPEgcI6Q8QBxgQGAEyAhAAKgkKBToDVVNEGgA</x:v>
      </x:c>
      <x:c r="L40" s="52" t="str">
        <x:v>https://makanhalalguide.com/shop/detail/5413</x:v>
      </x:c>
      <x:c r="M40" s="52" t="str">
        <x:v>https://www.google.co.th/travel/hotels/entity/ChoIvKWU5_GhzsLrARoNL2cvMTFjMmp2Y3BoNBAB</x:v>
      </x:c>
      <x:c r="N40" s="8" t="str">
        <x:v>ยังไม่ยืนยัน</x:v>
      </x:c>
      <x:c r="O40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40" s="40" t="n">
        <x:v>46315</x:v>
      </x:c>
      <x:c r="Q40" s="59" t="str">
        <x:v>ยังไม่ตรวจ</x:v>
      </x:c>
      <x:c r="R40" s="59" t="str">
        <x:v>รอติดต่อ</x:v>
      </x:c>
    </x:row>
    <x:row r="41" ht="84" customHeight="1">
      <x:c r="A41" s="2" t="str">
        <x:v>TMF-033</x:v>
      </x:c>
      <x:c r="B41" s="8" t="str">
        <x:v>ฮัซซานฟาร์ม</x:v>
      </x:c>
      <x:c r="C41" s="8" t="str">
        <x:v>กระบี่</x:v>
      </x:c>
      <x:c r="D41" s="8" t="str">
        <x:v>อยู่ในชุด 600 ตามเส้นทาง</x:v>
      </x:c>
      <x:c r="E41" s="8" t="str">
        <x:v>พบชื่อสัมพันธ์หลายเว็บไซต์ รอยืนยันสาขา</x:v>
      </x:c>
      <x:c r="F41" s="8" t="str">
        <x:v>ยังไม่ยืนยันการเปิดให้บริการปัจจุบัน</x:v>
      </x:c>
      <x:c r="G41" s="58" t="n">
        <x:v>3</x:v>
      </x:c>
      <x:c r="H41" s="52" t="str"/>
      <x:c r="I41" s="52" t="str"/>
      <x:c r="J41" s="52" t="str">
        <x:v>https://www.lemon8-app.com/nxmfonnn/7196320461326762498?region=th</x:v>
      </x:c>
      <x:c r="K41" s="52" t="str">
        <x:v>https://www.lemon8-app.com/%40mechayen/7454205057496629777?region=th</x:v>
      </x:c>
      <x:c r="L41" s="52" t="str">
        <x:v>https://makanhalalguide.com/shop/detail/5405</x:v>
      </x:c>
      <x:c r="M41" s="52" t="str">
        <x:v>https://www.lemon8-app.com/nxmfonnn/7196320461326762498?region=th</x:v>
      </x:c>
      <x:c r="N41" s="8" t="str">
        <x:v>ยังไม่ยืนยัน</x:v>
      </x:c>
      <x:c r="O4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1" s="40" t="n">
        <x:v>46315</x:v>
      </x:c>
      <x:c r="Q41" s="59" t="str">
        <x:v>ยังไม่ตรวจ</x:v>
      </x:c>
      <x:c r="R41" s="59" t="str">
        <x:v>รอติดต่อ</x:v>
      </x:c>
    </x:row>
    <x:row r="42" ht="84" customHeight="1">
      <x:c r="A42" s="2" t="str">
        <x:v>TMF-034</x:v>
      </x:c>
      <x:c r="B42" s="8" t="str">
        <x:v>Almas Hotel Bangkok</x:v>
      </x:c>
      <x:c r="C42" s="8" t="str">
        <x:v>กรุงเทพมหานคร</x:v>
      </x:c>
      <x:c r="D42" s="8" t="str">
        <x:v>อยู่ในชุด 600 ตามเส้นทาง</x:v>
      </x:c>
      <x:c r="E42" s="8" t="str">
        <x:v>พบชื่อสัมพันธ์หลายเว็บไซต์ รอยืนยันสาขา</x:v>
      </x:c>
      <x:c r="F42" s="8" t="str">
        <x:v>ยังไม่ยืนยันการเปิดให้บริการปัจจุบัน</x:v>
      </x:c>
      <x:c r="G42" s="58" t="n">
        <x:v>7</x:v>
      </x:c>
      <x:c r="H42" s="52" t="str"/>
      <x:c r="I42" s="52" t="str"/>
      <x:c r="J42" s="52" t="str">
        <x:v>https://www.google.com/travel/hotels/entity/CgsIqqD7wbSsmOHXARAB?ap=SABoAQ&amp;g2lb=2502548%2C2503771%2C2503781%2C2504033%2C4258168%2C4270442%2C4284970%2C4291517%2C4306835%2C4515404%2C4597339%2C4649665%2C4703207%2C4718358%2C4722900%2C4723331%2C4741665%2C4757164%2C4758493%2C4762561%2C4779784%2C4786958%2C4787395%2C4790928%2C4794648%2C4798451%2C4800883&amp;gl=th&amp;hl=th-TH&amp;q=%E0%B8%97%E0%B8%B5%E0%B9%88%E0%B8%9E%E0%B8%B1%E0%B8%81+%E0%B9%83%E0%B8%81%E0%B8%A5%E0%B9%89%E0%B9%82%E0%B8%A3%E0%B8%87%E0%B9%80%E0%B8%A3%E0%B8%B5%E0%B8%A2%E0%B8%99%E0%B9%80%E0%B8%AD%E0%B8%AD%E0%B8%B2%E0%B8%A3%E0%B9%8C%E0%B8%9E%E0%B8%B5%E0%B8%81%E0%B8%B2%E0%B8%A3%E0%B8%9A%E0%B8%B1%E0%B8%8D%E0%B8%8A%E0%B8%B5&amp;rp=OAFAAEgCogFK4LmC4Lij4LiH4LmA4Lij4Li14Lii4LiZIOC5gOC4reC4reC4suC4o-C5jOC4nuC4tSDguIHguLLguKPguJrguLHguI3guIrguLU&amp;ssta=1&amp;ts=CAESCgoCCAMKAggDEAAabgpQEkw6SuC5guC4o-C4h-C5gOC4o-C4teC4ouC4mSDguYDguK3guK3guLLguKPguYzguJ7guLUg4LiB4Liy4Lij4Lia4Lix4LiN4LiK4Li1GgASGhIUCgcI5g8QBxgMEgcI5g8QBxgNGAEyAhAAKgsKBygBOgNUSEIaAA</x:v>
      </x:c>
      <x:c r="K42" s="52" t="str">
        <x:v>https://www.booking.com/hotel/th/almas-bangkok.th.html</x:v>
      </x:c>
      <x:c r="L42" s="52" t="str">
        <x:v>https://makanhalalguide.com/shop/detail/5368</x:v>
      </x:c>
      <x:c r="M42" s="52" t="str">
        <x:v>https://www.google.com/travel/hotels/entity/CgsIqqD7wbSsmOHXARAB?ap=SABoAQ&amp;g2lb=2502548%2C2503771%2C2503781%2C2504033%2C4258168%2C4270442%2C4284970%2C4291517%2C4306835%2C4515404%2C4597339%2C4649665%2C4703207%2C4718358%2C4722900%2C4723331%2C4741665%2C4757164%2C4758493%2C4762561%2C4779784%2C4786958%2C4787395%2C4790928%2C4794648%2C4798451%2C4800883&amp;gl=th&amp;hl=th-TH&amp;q=%E0%B8%97%E0%B8%B5%E0%B9%88%E0%B8%9E%E0%B8%B1%E0%B8%81+%E0%B9%83%E0%B8%81%E0%B8%A5%E0%B9%89%E0%B9%82%E0%B8%A3%E0%B8%87%E0%B9%80%E0%B8%A3%E0%B8%B5%E0%B8%A2%E0%B8%99%E0%B9%80%E0%B8%AD%E0%B8%AD%E0%B8%B2%E0%B8%A3%E0%B9%8C%E0%B8%9E%E0%B8%B5%E0%B8%81%E0%B8%B2%E0%B8%A3%E0%B8%9A%E0%B8%B1%E0%B8%8D%E0%B8%8A%E0%B8%B5&amp;rp=OAFAAEgCogFK4LmC4Lij4LiH4LmA4Lij4Li14Lii4LiZIOC5gOC4reC4reC4suC4o-C5jOC4nuC4tSDguIHguLLguKPguJrguLHguI3guIrguLU&amp;ssta=1&amp;ts=CAESCgoCCAMKAggDEAAabgpQEkw6SuC5guC4o-C4h-C5gOC4o-C4teC4ouC4mSDguYDguK3guK3guLLguKPguYzguJ7guLUg4LiB4Liy4Lij4Lia4Lix4LiN4LiK4Li1GgASGhIUCgcI5g8QBxgMEgcI5g8QBxgNGAEyAhAAKgsKBygBOgNUSEIaAA</x:v>
      </x:c>
      <x:c r="N42" s="8" t="str">
        <x:v>ยังไม่ยืนยัน</x:v>
      </x:c>
      <x:c r="O4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2" s="40" t="n">
        <x:v>46315</x:v>
      </x:c>
      <x:c r="Q42" s="59" t="str">
        <x:v>ยังไม่ตรวจ</x:v>
      </x:c>
      <x:c r="R42" s="59" t="str">
        <x:v>รอติดต่อ</x:v>
      </x:c>
    </x:row>
    <x:row r="43" ht="84" customHeight="1">
      <x:c r="A43" s="2" t="str">
        <x:v>TMF-035</x:v>
      </x:c>
      <x:c r="B43" s="8" t="str">
        <x:v>Bed By City Hotel</x:v>
      </x:c>
      <x:c r="C43" s="8" t="str">
        <x:v>กรุงเทพมหานคร</x:v>
      </x:c>
      <x:c r="D43" s="8" t="str">
        <x:v>อยู่ในชุด 600 ตามเส้นทาง</x:v>
      </x:c>
      <x:c r="E43" s="8" t="str">
        <x:v>พบชื่อสัมพันธ์หลายเว็บไซต์ รอยืนยันสาขา</x:v>
      </x:c>
      <x:c r="F43" s="8" t="str">
        <x:v>ยังไม่ยืนยันการเปิดให้บริการปัจจุบัน</x:v>
      </x:c>
      <x:c r="G43" s="58" t="n">
        <x:v>4</x:v>
      </x:c>
      <x:c r="H43" s="52" t="str"/>
      <x:c r="I43" s="52" t="str"/>
      <x:c r="J43" s="52" t="str">
        <x:v>https://www.booking.com/hotel/th/bed-by-sam-yan.th.html</x:v>
      </x:c>
      <x:c r="K43" s="52" t="str">
        <x:v>https://www.google.co.th/travel/hotels/entity/ChoIs53_gNrvn8v5ARoNL2cvMTFiNmRjc3pobhAB</x:v>
      </x:c>
      <x:c r="L43" s="52" t="str">
        <x:v>https://makanhalalguide.com/shop/detail/5364</x:v>
      </x:c>
      <x:c r="M43" s="52" t="str">
        <x:v>https://www.booking.com/hotel/th/bed-by-sam-yan.th.html</x:v>
      </x:c>
      <x:c r="N43" s="8" t="str">
        <x:v>ยังไม่ยืนยัน</x:v>
      </x:c>
      <x:c r="O4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3" s="40" t="n">
        <x:v>46315</x:v>
      </x:c>
      <x:c r="Q43" s="59" t="str">
        <x:v>ยังไม่ตรวจ</x:v>
      </x:c>
      <x:c r="R43" s="59" t="str">
        <x:v>รอติดต่อ</x:v>
      </x:c>
    </x:row>
    <x:row r="44" ht="84" customHeight="1">
      <x:c r="A44" s="2" t="str">
        <x:v>TMF-036</x:v>
      </x:c>
      <x:c r="B44" s="8" t="str">
        <x:v>Bed by Thapra Hotel</x:v>
      </x:c>
      <x:c r="C44" s="8" t="str">
        <x:v>กรุงเทพมหานคร</x:v>
      </x:c>
      <x:c r="D44" s="8" t="str">
        <x:v>อยู่ในชุด 600 ตามเส้นทาง</x:v>
      </x:c>
      <x:c r="E44" s="8" t="str">
        <x:v>พบชื่อสัมพันธ์หลายเว็บไซต์ รอยืนยันสาขา</x:v>
      </x:c>
      <x:c r="F44" s="8" t="str">
        <x:v>ยังไม่ยืนยันการเปิดให้บริการปัจจุบัน</x:v>
      </x:c>
      <x:c r="G44" s="58" t="n">
        <x:v>2</x:v>
      </x:c>
      <x:c r="H44" s="52" t="str"/>
      <x:c r="I44" s="52" t="str"/>
      <x:c r="J44" s="52" t="str">
        <x:v>https://www.google.com/travel/hotels/entity/CgoI3_ng14qnndQGEAE</x:v>
      </x:c>
      <x:c r="K44" s="52" t="str">
        <x:v>https://www.google.co.th/travel/hotels/entity/CgoI3_ng14qnndQGEAE?g2lb=4207876%2C4208993%2C4223281%2C4240602%2C4242836%2C4242898%2C4243604%2C4247457%2C4248641%2C4246064&amp;gl=th&amp;hl=en&amp;q=bangkok+patio+apartment&amp;rp=OAFAAEgBigIXYmFuZ2tvayBwYXRpbyBhcGFydG1lbnQ&amp;tcfs=EhoaGAoKMjAxOS0wNC0xOBIKMjAxOS0wNC0xOVIA&amp;ts=CAESCgoCCAMKAggDEAAaIAoCGgASGhIUCgcI6Q8QBRgdEgcI6Q8QBRgeGAEyAhAAKgkKBToDVEhCGgA&amp;un=1</x:v>
      </x:c>
      <x:c r="L44" s="52" t="str">
        <x:v>https://makanhalalguide.com/shop/detail/5212</x:v>
      </x:c>
      <x:c r="M44" s="52" t="str">
        <x:v>https://www.google.com/travel/hotels/entity/CgoI3_ng14qnndQGEAE</x:v>
      </x:c>
      <x:c r="N44" s="8" t="str">
        <x:v>ยังไม่ยืนยัน</x:v>
      </x:c>
      <x:c r="O4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4" s="40" t="n">
        <x:v>46315</x:v>
      </x:c>
      <x:c r="Q44" s="59" t="str">
        <x:v>ยังไม่ตรวจ</x:v>
      </x:c>
      <x:c r="R44" s="59" t="str">
        <x:v>รอติดต่อ</x:v>
      </x:c>
    </x:row>
    <x:row r="45" ht="84" customHeight="1">
      <x:c r="A45" s="2" t="str">
        <x:v>TMF-037</x:v>
      </x:c>
      <x:c r="B45" s="8" t="str">
        <x:v>Diya Hotel Srinakarin</x:v>
      </x:c>
      <x:c r="C45" s="8" t="str">
        <x:v>กรุงเทพมหานคร</x:v>
      </x:c>
      <x:c r="D45" s="8" t="str">
        <x:v>อยู่ในชุด 600 ตามเส้นทาง</x:v>
      </x:c>
      <x:c r="E45" s="8" t="str">
        <x:v>พบชื่อสัมพันธ์หลายเว็บไซต์ รอยืนยันสาขา</x:v>
      </x:c>
      <x:c r="F45" s="8" t="str">
        <x:v>ยังไม่ยืนยันการเปิดให้บริการปัจจุบัน</x:v>
      </x:c>
      <x:c r="G45" s="58" t="n">
        <x:v>3</x:v>
      </x:c>
      <x:c r="H45" s="52" t="str"/>
      <x:c r="I45" s="52" t="str"/>
      <x:c r="J45" s="52" t="str">
        <x:v>https://www.google.co.th/travel/hotels/entity/ChkIw_3W8N3ozOBcGg0vZy8xMXZsamwyazV2EAE?rp=OAHCAhwiGg0AABxCEhMIjdehu-XNlQMVGuFLAx0K4DhX&amp;ts=CAEaBAoCGgAqBAoAGgA</x:v>
      </x:c>
      <x:c r="K45" s="52" t="str">
        <x:v>https://www.google.co.th/travel/hotels/entity/ChkIw_3W8N3ozOBcGg0vZy8xMXZsamwyazV2EAE?rp=OAHCAhwiGg0AAIBBEhMIh5Pb6OLLlQMVvvJLAx2XBS1u&amp;ts=CAEaIAoCGgASGhIUCgcI6g8QCBgKEgcI6g8QCBgLGAEyAhAAKgkKBToDVVNEGgA</x:v>
      </x:c>
      <x:c r="L45" s="52" t="str">
        <x:v>https://makanhalalguide.com/shop/detail/5362</x:v>
      </x:c>
      <x:c r="M45" s="52" t="str">
        <x:v>https://www.thic.or.th/th/tourist/detail/accommodation/542</x:v>
      </x:c>
      <x:c r="N45" s="8" t="str">
        <x:v>ยังไม่ยืนยัน</x:v>
      </x:c>
      <x:c r="O4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5" s="40" t="n">
        <x:v>46315</x:v>
      </x:c>
      <x:c r="Q45" s="59" t="str">
        <x:v>ยังไม่ตรวจ</x:v>
      </x:c>
      <x:c r="R45" s="59" t="str">
        <x:v>รอติดต่อ</x:v>
      </x:c>
    </x:row>
    <x:row r="46" ht="84" customHeight="1">
      <x:c r="A46" s="2" t="str">
        <x:v>TMF-038</x:v>
      </x:c>
      <x:c r="B46" s="8" t="str">
        <x:v>Lilit Banglumphu Hotel - Bangkok</x:v>
      </x:c>
      <x:c r="C46" s="8" t="str">
        <x:v>กรุงเทพมหานคร</x:v>
      </x:c>
      <x:c r="D46" s="8" t="str">
        <x:v>อยู่ในชุด 600 ตามเส้นทาง</x:v>
      </x:c>
      <x:c r="E46" s="8" t="str">
        <x:v>พบชื่อสัมพันธ์หลายเว็บไซต์ รอยืนยันสาขา</x:v>
      </x:c>
      <x:c r="F46" s="8" t="str">
        <x:v>ยังไม่ยืนยันการเปิดให้บริการปัจจุบัน</x:v>
      </x:c>
      <x:c r="G46" s="58" t="n">
        <x:v>9</x:v>
      </x:c>
      <x:c r="H46" s="52" t="str"/>
      <x:c r="I46" s="52" t="str"/>
      <x:c r="J46" s="52" t="str">
        <x:v>https://www.google.co.th/travel/hotels/entity/ChoI9_ijnImJoKHLARoNL2cvMTF0bnhmenF0axAB?ap=SAE&amp;g2lb=4181926%2C4208993%2C4209587%2C4207631%2C4215917&amp;gl=jp&amp;hl=en&amp;q=hotel+around+the+ambassador+bangkok+hotel+sukhumvit+soi+11&amp;rp=OAFAAA&amp;tcfs=EjUKCS9tLzA4cnRibhIOU3VraHVtdml0IFJvYWQaGAoKMjAxOC0xMi0xMxIKMjAxOC0xMi0xNCIYCgoyMDE4LTEyLTEzEgoyMDE4LTEyLTE0UgA&amp;ts=CAEaIgoCGgASHBIUCgcI6g8QBRgLEgcI6g8QBRgQGAUyAhAAOAEqCQoFOgNKUFkaAA&amp;un=0</x:v>
      </x:c>
      <x:c r="K46" s="52" t="str">
        <x:v>https://www.tripadvisor.in/Hotel_Review-g293916-d25363326-Reviews-Lilit_Bang_Lumphu_Hotel-Bangkok.html</x:v>
      </x:c>
      <x:c r="L46" s="52" t="str">
        <x:v>https://makanhalalguide.com/shop/detail/5140</x:v>
      </x:c>
      <x:c r="M46" s="52" t="str">
        <x:v>https://www.google.co.th/travel/hotels/entity/ChoI9_ijnImJoKHLARoNL2cvMTF0bnhmenF0axAB?ap=SAE&amp;g2lb=4181926%2C4208993%2C4209587%2C4207631%2C4215917&amp;gl=jp&amp;hl=en&amp;q=hotel+around+the+ambassador+bangkok+hotel+sukhumvit+soi+11&amp;rp=OAFAAA&amp;tcfs=EjUKCS9tLzA4cnRibhIOU3VraHVtdml0IFJvYWQaGAoKMjAxOC0xMi0xMxIKMjAxOC0xMi0xNCIYCgoyMDE4LTEyLTEzEgoyMDE4LTEyLTE0UgA&amp;ts=CAEaIgoCGgASHBIUCgcI6g8QBRgLEgcI6g8QBRgQGAUyAhAAOAEqCQoFOgNKUFkaAA&amp;un=0</x:v>
      </x:c>
      <x:c r="N46" s="8" t="str">
        <x:v>ยังไม่ยืนยัน</x:v>
      </x:c>
      <x:c r="O4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6" s="40" t="n">
        <x:v>46315</x:v>
      </x:c>
      <x:c r="Q46" s="59" t="str">
        <x:v>ยังไม่ตรวจ</x:v>
      </x:c>
      <x:c r="R46" s="59" t="str">
        <x:v>รอติดต่อ</x:v>
      </x:c>
    </x:row>
    <x:row r="47" ht="84" customHeight="1">
      <x:c r="A47" s="2" t="str">
        <x:v>TMF-039</x:v>
      </x:c>
      <x:c r="B47" s="8" t="str">
        <x:v>Nouvo City Hotel - โรงแรมนูโว ซิตี</x:v>
      </x:c>
      <x:c r="C47" s="8" t="str">
        <x:v>กรุงเทพมหานคร</x:v>
      </x:c>
      <x:c r="D47" s="8" t="str">
        <x:v>อยู่ในชุด 600 ตามเส้นทาง</x:v>
      </x:c>
      <x:c r="E47" s="8" t="str">
        <x:v>พบชื่อสัมพันธ์หลายเว็บไซต์ รอยืนยันสาขา</x:v>
      </x:c>
      <x:c r="F47" s="8" t="str">
        <x:v>ยังไม่ยืนยันการเปิดให้บริการปัจจุบัน</x:v>
      </x:c>
      <x:c r="G47" s="58" t="n">
        <x:v>5</x:v>
      </x:c>
      <x:c r="H47" s="52" t="str"/>
      <x:c r="I47" s="52" t="str"/>
      <x:c r="J47" s="52" t="str">
        <x:v>https://th.tripadvisor.com/Hotel_Review-g293916-d2027318-Reviews-Nouvo_City_Hotel-Bangkok.html</x:v>
      </x:c>
      <x:c r="K47" s="52" t="str">
        <x:v>https://www.google.co.th/travel/hotels/entity/ChcI2vTOzPy05s0GGgsvZy8xdzRmNWtiXxAB?gl=th&amp;hl=en&amp;ts=CAEaBAoCGgAqBAoAGgA</x:v>
      </x:c>
      <x:c r="L47" s="52" t="str">
        <x:v>https://makanhalalguide.com/shop/detail/5179</x:v>
      </x:c>
      <x:c r="M47" s="52" t="str">
        <x:v>https://www.nouvocityhotel.com/</x:v>
      </x:c>
      <x:c r="N47" s="8" t="str">
        <x:v>ยังไม่ยืนยัน</x:v>
      </x:c>
      <x:c r="O4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7" s="40" t="n">
        <x:v>46315</x:v>
      </x:c>
      <x:c r="Q47" s="59" t="str">
        <x:v>ยังไม่ตรวจ</x:v>
      </x:c>
      <x:c r="R47" s="59" t="str">
        <x:v>รอติดต่อ</x:v>
      </x:c>
    </x:row>
    <x:row r="48" ht="84" customHeight="1">
      <x:c r="A48" s="2" t="str">
        <x:v>TMF-040</x:v>
      </x:c>
      <x:c r="B48" s="8" t="str">
        <x:v>Regent Thailand Hotel รามคำแหง22</x:v>
      </x:c>
      <x:c r="C48" s="8" t="str">
        <x:v>กรุงเทพมหานคร</x:v>
      </x:c>
      <x:c r="D48" s="8" t="str">
        <x:v>อยู่ในชุด 600 ตามเส้นทาง</x:v>
      </x:c>
      <x:c r="E48" s="8" t="str">
        <x:v>พบชื่อสัมพันธ์หลายเว็บไซต์ รอยืนยันสาขา</x:v>
      </x:c>
      <x:c r="F48" s="8" t="str">
        <x:v>ยังไม่ยืนยันการเปิดให้บริการปัจจุบัน</x:v>
      </x:c>
      <x:c r="G48" s="58" t="n">
        <x:v>2</x:v>
      </x:c>
      <x:c r="H48" s="52" t="str"/>
      <x:c r="I48" s="52" t="str"/>
      <x:c r="J48" s="52" t="str"/>
      <x:c r="K48" s="52" t="str"/>
      <x:c r="L48" s="52" t="str">
        <x:v>https://makanhalalguide.com/shop/detail/5182</x:v>
      </x:c>
      <x:c r="M48" s="52" t="str">
        <x:v>https://salehere.co.th/articles/accommodation-near-rajamangala-stadium</x:v>
      </x:c>
      <x:c r="N48" s="8" t="str">
        <x:v>ยังไม่ยืนยัน</x:v>
      </x:c>
      <x:c r="O4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8" s="40" t="n">
        <x:v>46315</x:v>
      </x:c>
      <x:c r="Q48" s="59" t="str">
        <x:v>ยังไม่ตรวจ</x:v>
      </x:c>
      <x:c r="R48" s="59" t="str">
        <x:v>รอติดต่อ</x:v>
      </x:c>
    </x:row>
    <x:row r="49" ht="84" customHeight="1">
      <x:c r="A49" s="2" t="str">
        <x:v>TMF-041</x:v>
      </x:c>
      <x:c r="B49" s="8" t="str">
        <x:v>The Riski Hotel &amp; Residence Bangphlat Station</x:v>
      </x:c>
      <x:c r="C49" s="8" t="str">
        <x:v>กรุงเทพมหานคร</x:v>
      </x:c>
      <x:c r="D49" s="8" t="str">
        <x:v>อยู่ในชุด 600 ตามเส้นทาง</x:v>
      </x:c>
      <x:c r="E49" s="8" t="str">
        <x:v>พบชื่อสัมพันธ์หลายเว็บไซต์ รอยืนยันสาขา</x:v>
      </x:c>
      <x:c r="F49" s="8" t="str">
        <x:v>ยังไม่ยืนยันการเปิดให้บริการปัจจุบัน</x:v>
      </x:c>
      <x:c r="G49" s="58" t="n">
        <x:v>4</x:v>
      </x:c>
      <x:c r="H49" s="52" t="str"/>
      <x:c r="I49" s="52" t="str"/>
      <x:c r="J49" s="52" t="str">
        <x:v>https://th.tripadvisor.com/Hotel_Review-g293916-d23829611-Reviews-The_Riski_Hotel_Residence_Bangphlat_Station-Bangkok.html</x:v>
      </x:c>
      <x:c r="K49" s="52" t="str">
        <x:v>https://www.tripadvisor.com/Hotel_Review-g293916-d23829611-Reviews-The_Riski_Hotel_Residence_Bangphlat_Station-Bangkok.html</x:v>
      </x:c>
      <x:c r="L49" s="52" t="str">
        <x:v>https://makanhalalguide.com/shop/detail/5189</x:v>
      </x:c>
      <x:c r="M49" s="52" t="str">
        <x:v>https://th.tripadvisor.com/Hotel_Review-g293916-d23829611-Reviews-The_Riski_Hotel_Residence_Bangphlat_Station-Bangkok.html</x:v>
      </x:c>
      <x:c r="N49" s="8" t="str">
        <x:v>ยังไม่ยืนยัน</x:v>
      </x:c>
      <x:c r="O4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49" s="40" t="n">
        <x:v>46315</x:v>
      </x:c>
      <x:c r="Q49" s="59" t="str">
        <x:v>ยังไม่ตรวจ</x:v>
      </x:c>
      <x:c r="R49" s="59" t="str">
        <x:v>รอติดต่อ</x:v>
      </x:c>
    </x:row>
    <x:row r="50" ht="84" customHeight="1">
      <x:c r="A50" s="2" t="str">
        <x:v>TMF-042</x:v>
      </x:c>
      <x:c r="B50" s="8" t="str">
        <x:v>Zayn Hotel Bangkok</x:v>
      </x:c>
      <x:c r="C50" s="8" t="str">
        <x:v>กรุงเทพมหานคร</x:v>
      </x:c>
      <x:c r="D50" s="8" t="str">
        <x:v>อยู่ในชุด 600 ตามเส้นทาง</x:v>
      </x:c>
      <x:c r="E50" s="8" t="str">
        <x:v>พบชื่อสัมพันธ์หลายเว็บไซต์ รอยืนยันสาขา</x:v>
      </x:c>
      <x:c r="F50" s="8" t="str">
        <x:v>ยังไม่ยืนยันการเปิดให้บริการปัจจุบัน</x:v>
      </x:c>
      <x:c r="G50" s="58" t="n">
        <x:v>6</x:v>
      </x:c>
      <x:c r="H50" s="52" t="str"/>
      <x:c r="I50" s="52" t="str"/>
      <x:c r="J50" s="52" t="str">
        <x:v>https://www.google.co.th/travel/hotels/entity/ChoIlMD6qOe_97neARoNL2cvMTFmMTVqbnJ5XxAB?ap=MABIAboBBnByaWNlcw&amp;g2lb=4181926%2C4208993%2C4209587%2C4207631%2C4215917&amp;gl=jp&amp;hl=en&amp;rp=OAHCAhwiGg0AaJpFEhMIzNfYxL3MjQMV7hiHAx2figjW&amp;tcfs=EjUKCS9tLzA4cnRibhIOU3VraHVtdml0IFJvYWQaGAoKMjAxOC0xMi0xMxIKMjAxOC0xMi0xNCIYCgoyMDE4LTEyLTEzEgoyMDE4LTEyLTE0UgA&amp;ts=CAEaPQofEhsKCS9tLzA4cnRibjoOU3VraHVtdml0IFJvYWQaABIaEhQKBwjqDxAHGBcSBwjqDxAHGBgYATICEAAqCQoFOgNVU0QaAA&amp;un=0</x:v>
      </x:c>
      <x:c r="K50" s="52" t="str">
        <x:v>https://www.expedia.co.th/en/Bangkok-Hotels-Zayn-Hotel-Bangkok.h21194472.Hotel-Information</x:v>
      </x:c>
      <x:c r="L50" s="52" t="str">
        <x:v>https://makanhalalguide.com/shop/detail/5188</x:v>
      </x:c>
      <x:c r="M50" s="52" t="str">
        <x:v>https://www.thic.or.th/th/tourist/detail/accommodation/540</x:v>
      </x:c>
      <x:c r="N50" s="8" t="str">
        <x:v>ยังไม่ยืนยัน</x:v>
      </x:c>
      <x:c r="O5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50" s="40" t="n">
        <x:v>46315</x:v>
      </x:c>
      <x:c r="Q50" s="59" t="str">
        <x:v>ยังไม่ตรวจ</x:v>
      </x:c>
      <x:c r="R50" s="59" t="str">
        <x:v>รอติดต่อ</x:v>
      </x:c>
    </x:row>
    <x:row r="51" ht="84" customHeight="1">
      <x:c r="A51" s="2" t="str">
        <x:v>TMF-043</x:v>
      </x:c>
      <x:c r="B51" s="8" t="str">
        <x:v>โรงแรมบ้านเจ้าคุณ เคหะร่มเกล้า</x:v>
      </x:c>
      <x:c r="C51" s="8" t="str">
        <x:v>กรุงเทพมหานคร</x:v>
      </x:c>
      <x:c r="D51" s="8" t="str">
        <x:v>อยู่ในชุด 600 ตามเส้นทาง</x:v>
      </x:c>
      <x:c r="E51" s="8" t="str">
        <x:v>พบชื่อสัมพันธ์หลายเว็บไซต์ รอยืนยันสาขา</x:v>
      </x:c>
      <x:c r="F51" s="8" t="str">
        <x:v>ยังไม่ยืนยันการเปิดให้บริการปัจจุบัน</x:v>
      </x:c>
      <x:c r="G51" s="58" t="n">
        <x:v>2</x:v>
      </x:c>
      <x:c r="H51" s="52" t="str"/>
      <x:c r="I51" s="52" t="str"/>
      <x:c r="J51" s="52" t="str"/>
      <x:c r="K51" s="52" t="str"/>
      <x:c r="L51" s="52" t="str">
        <x:v>https://makanhalalguide.com/shop/detail/6104</x:v>
      </x:c>
      <x:c r="M51" s="52" t="str">
        <x:v>https://www.renthub.in.th/%E0%B9%82%E0%B8%A3%E0%B8%87%E0%B9%81%E0%B8%A3%E0%B8%A1%E0%B8%9A%E0%B9%89%E0%B8%B2%E0%B8%99%E0%B9%80%E0%B8%88%E0%B9%89%E0%B8%B2%E0%B8%84%E0%B8%B8%E0%B8%93</x:v>
      </x:c>
      <x:c r="N51" s="8" t="str">
        <x:v>ยังไม่ยืนยัน</x:v>
      </x:c>
      <x:c r="O5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51" s="40" t="n">
        <x:v>46315</x:v>
      </x:c>
      <x:c r="Q51" s="59" t="str">
        <x:v>ยังไม่ตรวจ</x:v>
      </x:c>
      <x:c r="R51" s="59" t="str">
        <x:v>รอติดต่อ</x:v>
      </x:c>
    </x:row>
    <x:row r="52" ht="84" customHeight="1">
      <x:c r="A52" s="2" t="str">
        <x:v>TMF-044</x:v>
      </x:c>
      <x:c r="B52" s="8" t="str">
        <x:v>โรงแรมอัล มีรอซ กรุงเทพ</x:v>
      </x:c>
      <x:c r="C52" s="8" t="str">
        <x:v>กรุงเทพมหานคร</x:v>
      </x:c>
      <x:c r="D52" s="8" t="str">
        <x:v>อยู่ในชุด 600 ตามเส้นทาง</x:v>
      </x:c>
      <x:c r="E52" s="8" t="str">
        <x:v>พบชื่อสัมพันธ์หลายเว็บไซต์ รอยืนยันสาขา</x:v>
      </x:c>
      <x:c r="F52" s="8" t="str">
        <x:v>ยังไม่ยืนยันการเปิดให้บริการปัจจุบัน</x:v>
      </x:c>
      <x:c r="G52" s="58" t="n">
        <x:v>6</x:v>
      </x:c>
      <x:c r="H52" s="52" t="str">
        <x:v>https://www.facebook.com/almeroz.bangkok?fref=ts</x:v>
      </x:c>
      <x:c r="I52" s="52" t="str">
        <x:v>https://www.instagram.com/almerozhotelbangkok/</x:v>
      </x:c>
      <x:c r="J52" s="52" t="str">
        <x:v>https://www.booking.com/hotel/th/al-meroz-bangkok.html</x:v>
      </x:c>
      <x:c r="K52" s="52" t="str">
        <x:v>https://www.google.com/travel/hotels/entity/CgsI6N3S-aik1_6_ARAB</x:v>
      </x:c>
      <x:c r="L52" s="52" t="str">
        <x:v>https://www.almerozhotel.com/</x:v>
      </x:c>
      <x:c r="M52" s="52" t="str">
        <x:v>https://micecapabilities.tceb.or.th/mice/uploads/attachments/Thailand_MICE_Venue_Standard_%28TMVS%29_Directory_2.pdf</x:v>
      </x:c>
      <x:c r="N52" s="8" t="str">
        <x:v>ยังไม่ยืนยัน</x:v>
      </x:c>
      <x:c r="O5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 / แก้เส้นทาง: โรงแรมอยู่รามคำแหง ไม่ใช่สุขุมวิท</x:v>
      </x:c>
      <x:c r="P52" s="40" t="n">
        <x:v>46316</x:v>
      </x:c>
      <x:c r="Q52" s="59" t="str">
        <x:v>ยังไม่ตรวจ</x:v>
      </x:c>
      <x:c r="R52" s="59" t="str">
        <x:v>รอติดต่อ</x:v>
      </x:c>
    </x:row>
    <x:row r="53" ht="84" customHeight="1">
      <x:c r="A53" s="2" t="str">
        <x:v>TMF-045</x:v>
      </x:c>
      <x:c r="B53" s="8" t="str">
        <x:v>Abu Ali Cuisine By Iraqi Restaurant</x:v>
      </x:c>
      <x:c r="C53" s="8" t="str">
        <x:v>กรุงเทพมหานคร</x:v>
      </x:c>
      <x:c r="D53" s="8" t="str">
        <x:v>อยู่ในชุด 600 ตามเส้นทาง</x:v>
      </x:c>
      <x:c r="E53" s="8" t="str">
        <x:v>พบชื่อสัมพันธ์หลายเว็บไซต์ รอยืนยันสาขา</x:v>
      </x:c>
      <x:c r="F53" s="8" t="str">
        <x:v>ยังไม่ยืนยันการเปิดให้บริการปัจจุบัน</x:v>
      </x:c>
      <x:c r="G53" s="58" t="n">
        <x:v>2</x:v>
      </x:c>
      <x:c r="H53" s="52" t="str"/>
      <x:c r="I53" s="52" t="str"/>
      <x:c r="J53" s="52" t="str">
        <x:v>https://www.wongnai.com/restaurants/3287656yj-abu-ali-cuisine-by-iraqi-restaurant-%D9%85%D8%B7%D8%B9%D9%85-%D8%A3%D8%A8%D9%88-%D8%B9%D9%84%D9%8A</x:v>
      </x:c>
      <x:c r="K53" s="52" t="str">
        <x:v>https://www.wongnai.com/restaurants/3287656yj-abu-ali-cuisine-by-iraqi-restaurant/photos/82cffc5b323d48f6a18d60a737762f0f</x:v>
      </x:c>
      <x:c r="L53" s="52" t="str">
        <x:v>https://makanhalalguide.com/shop/detail/6100</x:v>
      </x:c>
      <x:c r="M53" s="52" t="str">
        <x:v>https://www.wongnai.com/restaurants/3287656yj-abu-ali-cuisine-by-iraqi-restaurant-%D9%85%D8%B7%D8%B9%D9%85-%D8%A3%D8%A8%D9%88-%D8%B9%D9%84%D9%8A</x:v>
      </x:c>
      <x:c r="N53" s="8" t="str">
        <x:v>ยังไม่ยืนยัน</x:v>
      </x:c>
      <x:c r="O5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53" s="40" t="n">
        <x:v>46315</x:v>
      </x:c>
      <x:c r="Q53" s="59" t="str">
        <x:v>ยังไม่ตรวจ</x:v>
      </x:c>
      <x:c r="R53" s="59" t="str">
        <x:v>รอติดต่อ</x:v>
      </x:c>
    </x:row>
    <x:row r="54" ht="84" customHeight="1">
      <x:c r="A54" s="2" t="str">
        <x:v>TMF-046</x:v>
      </x:c>
      <x:c r="B54" s="8" t="str">
        <x:v>Alinga Tea &amp; Dining - อลิงก้า</x:v>
      </x:c>
      <x:c r="C54" s="8" t="str">
        <x:v>กรุงเทพมหานคร</x:v>
      </x:c>
      <x:c r="D54" s="8" t="str">
        <x:v>อยู่ในชุด 600 ตามเส้นทาง</x:v>
      </x:c>
      <x:c r="E54" s="8" t="str">
        <x:v>พบชื่อสัมพันธ์หลายเว็บไซต์ รอยืนยันสาขา</x:v>
      </x:c>
      <x:c r="F54" s="8" t="str">
        <x:v>ยังไม่ยืนยันการเปิดให้บริการปัจจุบัน</x:v>
      </x:c>
      <x:c r="G54" s="58" t="n">
        <x:v>5</x:v>
      </x:c>
      <x:c r="H54" s="52" t="str"/>
      <x:c r="I54" s="52" t="str"/>
      <x:c r="J54" s="52" t="str">
        <x:v>https://www.wongnai.com/restaurants/3230208Qb-alinga-tea-dining-%E0%B8%AD%E0%B8%A5%E0%B8%B4%E0%B8%87%E0%B8%81%E0%B8%B2</x:v>
      </x:c>
      <x:c r="K54" s="52" t="str">
        <x:v>https://restaurantguru.com/Alinga-Tea-and-Dining-%E0%B8%AD%E0%B8%A5%E0%B8%B4%E0%B8%87%E0%B8%81%E0%B8%B2-Bangkok</x:v>
      </x:c>
      <x:c r="L54" s="52" t="str">
        <x:v>https://makanhalalguide.com/shop/detail/5347</x:v>
      </x:c>
      <x:c r="M54" s="52" t="str">
        <x:v>https://www.wongnai.com/restaurants/3230208Qb-alinga-tea-dining-%E0%B8%AD%E0%B8%A5%E0%B8%B4%E0%B8%87%E0%B8%81%E0%B8%B2</x:v>
      </x:c>
      <x:c r="N54" s="8" t="str">
        <x:v>ยังไม่ยืนยัน</x:v>
      </x:c>
      <x:c r="O5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54" s="40" t="n">
        <x:v>46315</x:v>
      </x:c>
      <x:c r="Q54" s="59" t="str">
        <x:v>ยังไม่ตรวจ</x:v>
      </x:c>
      <x:c r="R54" s="59" t="str">
        <x:v>รอติดต่อ</x:v>
      </x:c>
    </x:row>
    <x:row r="55" ht="84" customHeight="1">
      <x:c r="A55" s="2" t="str">
        <x:v>TMF-047</x:v>
      </x:c>
      <x:c r="B55" s="8" t="str">
        <x:v>Bigbeef Premium HALAL Buffet</x:v>
      </x:c>
      <x:c r="C55" s="8" t="str">
        <x:v>กรุงเทพมหานคร</x:v>
      </x:c>
      <x:c r="D55" s="8" t="str">
        <x:v>อยู่ในชุด 600 ตามเส้นทาง</x:v>
      </x:c>
      <x:c r="E55" s="8" t="str">
        <x:v>พบชื่อสัมพันธ์หลายเว็บไซต์ รอยืนยันสาขา</x:v>
      </x:c>
      <x:c r="F55" s="8" t="str">
        <x:v>ยังไม่ยืนยันการเปิดให้บริการปัจจุบัน</x:v>
      </x:c>
      <x:c r="G55" s="58" t="n">
        <x:v>5</x:v>
      </x:c>
      <x:c r="H55" s="52" t="str"/>
      <x:c r="I55" s="52" t="str"/>
      <x:c r="J55" s="52" t="str">
        <x:v>https://www.lemon8-app.com/%40lawaekni/7556956457258729992?region=th</x:v>
      </x:c>
      <x:c r="K55" s="52" t="str"/>
      <x:c r="L55" s="52" t="str">
        <x:v>https://makanhalalguide.com/shop/detail/5495</x:v>
      </x:c>
      <x:c r="M55" s="52" t="str">
        <x:v>https://www.lemon8-app.com/%40lawaekni/7556956457258729992?region=th</x:v>
      </x:c>
      <x:c r="N55" s="8" t="str">
        <x:v>2025-10-04 (วันที่แก้ไขรีวิว Lemon8 ที่พบ)</x:v>
      </x:c>
      <x:c r="O5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55" s="40" t="n">
        <x:v>46315</x:v>
      </x:c>
      <x:c r="Q55" s="59" t="str">
        <x:v>ยังไม่ตรวจ</x:v>
      </x:c>
      <x:c r="R55" s="59" t="str">
        <x:v>รอติดต่อ</x:v>
      </x:c>
    </x:row>
    <x:row r="56" ht="84" customHeight="1">
      <x:c r="A56" s="2" t="str">
        <x:v>TMF-048</x:v>
      </x:c>
      <x:c r="B56" s="8" t="str">
        <x:v>Dawiya Thai food halal</x:v>
      </x:c>
      <x:c r="C56" s="8" t="str">
        <x:v>กรุงเทพมหานคร</x:v>
      </x:c>
      <x:c r="D56" s="8" t="str">
        <x:v>สำรองหลังปรับตามเส้นทาง</x:v>
      </x:c>
      <x:c r="E56" s="8" t="str">
        <x:v>หลักฐานไม่พอ รอยืนยันการเปิด</x:v>
      </x:c>
      <x:c r="F56" s="8" t="str">
        <x:v>ยังไม่ยืนยันการเปิดให้บริการปัจจุบัน</x:v>
      </x:c>
      <x:c r="G56" s="58" t="n">
        <x:v>1</x:v>
      </x:c>
      <x:c r="H56" s="52"/>
      <x:c r="I56" s="52"/>
      <x:c r="J56" s="52"/>
      <x:c r="K56" s="52"/>
      <x:c r="L56" s="52"/>
      <x:c r="M56" s="52"/>
      <x:c r="N56" s="8" t="str">
        <x:v>ยังไม่ยืนยัน</x:v>
      </x:c>
      <x:c r="O5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" s="40" t="n">
        <x:v>46315</x:v>
      </x:c>
      <x:c r="Q56" s="59" t="str">
        <x:v>ยังไม่ตรวจ</x:v>
      </x:c>
      <x:c r="R56" s="59" t="str">
        <x:v>รอติดต่อ</x:v>
      </x:c>
    </x:row>
    <x:row r="57" ht="84" customHeight="1">
      <x:c r="A57" s="2" t="str">
        <x:v>TMF-049</x:v>
      </x:c>
      <x:c r="B57" s="8" t="str">
        <x:v>Good Mood  Cafe and Milk  Bar</x:v>
      </x:c>
      <x:c r="C57" s="8" t="str">
        <x:v>กรุงเทพมหานคร</x:v>
      </x:c>
      <x:c r="D57" s="8" t="str">
        <x:v>อยู่ในชุด 600 ตามเส้นทาง</x:v>
      </x:c>
      <x:c r="E57" s="8" t="str">
        <x:v>พบชื่อสัมพันธ์หลายเว็บไซต์ รอยืนยันสาขา</x:v>
      </x:c>
      <x:c r="F57" s="8" t="str">
        <x:v>ยังไม่ยืนยันการเปิดให้บริการปัจจุบัน</x:v>
      </x:c>
      <x:c r="G57" s="58" t="n">
        <x:v>4</x:v>
      </x:c>
      <x:c r="H57" s="52" t="str"/>
      <x:c r="I57" s="52" t="str"/>
      <x:c r="J57" s="52" t="str">
        <x:v>https://restaurantguru.com/Good-Mood-Cafe-and-Milk-Bar-Bangkok</x:v>
      </x:c>
      <x:c r="K57" s="52" t="str">
        <x:v>https://restaurantguru.com/Good-Mood-Cafe-and-Milk-Bar-Bangkok/menu</x:v>
      </x:c>
      <x:c r="L57" s="52" t="str">
        <x:v>https://makanhalalguide.com/shop/detail/5246</x:v>
      </x:c>
      <x:c r="M57" s="52" t="str">
        <x:v>https://restaurantguru.com/Good-Mood-Cafe-and-Milk-Bar-Bangkok</x:v>
      </x:c>
      <x:c r="N57" s="8" t="str">
        <x:v>ยังไม่ยืนยัน</x:v>
      </x:c>
      <x:c r="O5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57" s="40" t="n">
        <x:v>46315</x:v>
      </x:c>
      <x:c r="Q57" s="59" t="str">
        <x:v>ยังไม่ตรวจ</x:v>
      </x:c>
      <x:c r="R57" s="59" t="str">
        <x:v>รอติดต่อ</x:v>
      </x:c>
    </x:row>
    <x:row r="58" ht="84" customHeight="1">
      <x:c r="A58" s="2" t="str">
        <x:v>TMF-050</x:v>
      </x:c>
      <x:c r="B58" s="8" t="str">
        <x:v>Heyyyy Bangkok Cafe</x:v>
      </x:c>
      <x:c r="C58" s="8" t="str">
        <x:v>กรุงเทพมหานคร</x:v>
      </x:c>
      <x:c r="D58" s="8" t="str">
        <x:v>สำรองหลังปรับตามเส้นทาง</x:v>
      </x:c>
      <x:c r="E58" s="8" t="str">
        <x:v>พบหลายแหล่งสัมพันธ์กับชื่อ รอยืนยันการเปิด</x:v>
      </x:c>
      <x:c r="F58" s="8" t="str">
        <x:v>ยังไม่ยืนยันการเปิดให้บริการปัจจุบัน</x:v>
      </x:c>
      <x:c r="G58" s="58" t="n">
        <x:v>6</x:v>
      </x:c>
      <x:c r="H58" s="52"/>
      <x:c r="I58" s="52"/>
      <x:c r="J58" s="52" t="str">
        <x:v>HYPERLINK is not implemented. linkLocation=https://www.tripadvisor.com/Restaurant_Review-g293916-d16891362-Reviews-Heyyyy_Bangkok_Cafe-Bangkok.html, friendlyName=เปิดหน้ารีวิว 1</x:v>
      </x:c>
      <x:c r="K58" s="52" t="str">
        <x:v>HYPERLINK is not implemented. linkLocation=https://www.lemon8-app.com/%40x925372/7375797544103707137?region=th, friendlyName=เปิดหน้ารีวิว 2</x:v>
      </x:c>
      <x:c r="L58" s="52" t="str">
        <x:v>HYPERLINK is not implemented. linkLocation=https://th.sluurpy.com/%E0%B8%81%E0%B8%A3%E0%B8%B8%E0%B8%87%E0%B9%80%E0%B8%97%E0%B8%9E%E0%B8%A1%E0%B8%AB%E0%B8%B2%E0%B8%99%E0%B8%84%E0%B8%A3-%E0%B8%81%E0%B8%97%E0%B8%A1/restaurant/6972973/heyyyy-bangkok-cafe, friendlyName=เปิดเว็บเพิ่ม 1</x:v>
      </x:c>
      <x:c r="M58" s="52" t="str">
        <x:v>HYPERLINK is not implemented. linkLocation=https://www.tiket.com/hotel/thailand/landmark/dekat-heyyyy-bangkok-cafe-p-134679, friendlyName=เปิดเว็บเพิ่ม 2</x:v>
      </x:c>
      <x:c r="N58" s="8" t="str">
        <x:v>ยังไม่ยืนยัน</x:v>
      </x:c>
      <x:c r="O5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8" s="40" t="n">
        <x:v>46315</x:v>
      </x:c>
      <x:c r="Q58" s="59" t="str">
        <x:v>ยังไม่ตรวจ</x:v>
      </x:c>
      <x:c r="R58" s="59" t="str">
        <x:v>รอติดต่อ</x:v>
      </x:c>
    </x:row>
    <x:row r="59" ht="84" customHeight="1">
      <x:c r="A59" s="2" t="str">
        <x:v>TMF-051</x:v>
      </x:c>
      <x:c r="B59" s="8" t="str">
        <x:v>Heyyyy Bangkok Hostel</x:v>
      </x:c>
      <x:c r="C59" s="8" t="str">
        <x:v>กรุงเทพมหานคร</x:v>
      </x:c>
      <x:c r="D59" s="8" t="str">
        <x:v>อยู่ในชุด 600 ตามเส้นทาง</x:v>
      </x:c>
      <x:c r="E59" s="8" t="str">
        <x:v>พบชื่อสัมพันธ์หลายเว็บไซต์ รอยืนยันสาขา</x:v>
      </x:c>
      <x:c r="F59" s="8" t="str">
        <x:v>ยังไม่ยืนยันการเปิดให้บริการปัจจุบัน</x:v>
      </x:c>
      <x:c r="G59" s="58" t="n">
        <x:v>5</x:v>
      </x:c>
      <x:c r="H59" s="52" t="str"/>
      <x:c r="I59" s="52" t="str"/>
      <x:c r="J59" s="52" t="str">
        <x:v>https://www.google.co.th/travel/hotels/entity/ChkIm7-M5uzQtsgtGg0vZy8xMWNzNWZfbnExEAE?ap=MABIAboBBnByaWNlcw&amp;g2lb=4181926%2C4208993%2C4209587%2C4207631%2C4215917&amp;gl=jp&amp;hl=en&amp;rp=OAE&amp;tcfs=EjUKCS9tLzA4cnRibhIOU3VraHVtdml0IFJvYWQaGAoKMjAxOC0xMi0xMxIKMjAxOC0xMi0xNCIYCgoyMDE4LTEyLTEzEgoyMDE4LTEyLTE0UgA&amp;ts=CAEaBAoCGgAqBAoAGgA&amp;un=0</x:v>
      </x:c>
      <x:c r="K59" s="52" t="str">
        <x:v>https://www.google.com/travel/hotels/entity/ChkIm7-M5uzQtsgtGg0vZy8xMWNzNWZfbnExEAE?ts=CAEaIAoCGgASGhIUCgcI6A8QBhgTEgcI6A8QBhgUGAEyAhAAKgQKABoA</x:v>
      </x:c>
      <x:c r="L59" s="52" t="str">
        <x:v>https://makanhalalguide.com/shop/detail/5205</x:v>
      </x:c>
      <x:c r="M59" s="52" t="str">
        <x:v>https://www.google.co.th/travel/hotels/entity/ChkIm7-M5uzQtsgtGg0vZy8xMWNzNWZfbnExEAE?ap=MABIAboBBnByaWNlcw&amp;g2lb=4181926%2C4208993%2C4209587%2C4207631%2C4215917&amp;gl=jp&amp;hl=en&amp;rp=OAE&amp;tcfs=EjUKCS9tLzA4cnRibhIOU3VraHVtdml0IFJvYWQaGAoKMjAxOC0xMi0xMxIKMjAxOC0xMi0xNCIYCgoyMDE4LTEyLTEzEgoyMDE4LTEyLTE0UgA&amp;ts=CAEaBAoCGgAqBAoAGgA&amp;un=0</x:v>
      </x:c>
      <x:c r="N59" s="8" t="str">
        <x:v>ยังไม่ยืนยัน</x:v>
      </x:c>
      <x:c r="O59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59" s="40" t="n">
        <x:v>46315</x:v>
      </x:c>
      <x:c r="Q59" s="59" t="str">
        <x:v>ยังไม่ตรวจ</x:v>
      </x:c>
      <x:c r="R59" s="59" t="str">
        <x:v>รอติดต่อ</x:v>
      </x:c>
    </x:row>
    <x:row r="60" ht="84" customHeight="1">
      <x:c r="A60" s="2" t="str">
        <x:v>TMF-052</x:v>
      </x:c>
      <x:c r="B60" s="8" t="str">
        <x:v>Jidrid Cafe</x:v>
      </x:c>
      <x:c r="C60" s="8" t="str">
        <x:v>กรุงเทพมหานคร</x:v>
      </x:c>
      <x:c r="D60" s="8" t="str">
        <x:v>อยู่ในชุด 600 ตามเส้นทาง</x:v>
      </x:c>
      <x:c r="E60" s="8" t="str">
        <x:v>พบชื่อสัมพันธ์หลายเว็บไซต์ รอยืนยันสาขา</x:v>
      </x:c>
      <x:c r="F60" s="8" t="str">
        <x:v>ยังไม่ยืนยันการเปิดให้บริการปัจจุบัน</x:v>
      </x:c>
      <x:c r="G60" s="58" t="n">
        <x:v>4</x:v>
      </x:c>
      <x:c r="H60" s="52" t="str"/>
      <x:c r="I60" s="52" t="str"/>
      <x:c r="J60" s="52" t="str">
        <x:v>https://restaurantguru.com/Jidrid-Cafe-Bangkok</x:v>
      </x:c>
      <x:c r="K60" s="52" t="str">
        <x:v>https://www.wongnai.com/restaurants/1507579PD-jidrid-cafe-nong-chok</x:v>
      </x:c>
      <x:c r="L60" s="52" t="str">
        <x:v>https://makanhalalguide.com/shop/detail/5784</x:v>
      </x:c>
      <x:c r="M60" s="52" t="str">
        <x:v>https://restaurantguru.com/Jidrid-Cafe-Bangkok</x:v>
      </x:c>
      <x:c r="N60" s="8" t="str">
        <x:v>ยังไม่ยืนยัน</x:v>
      </x:c>
      <x:c r="O6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0" s="40" t="n">
        <x:v>46315</x:v>
      </x:c>
      <x:c r="Q60" s="59" t="str">
        <x:v>ยังไม่ตรวจ</x:v>
      </x:c>
      <x:c r="R60" s="59" t="str">
        <x:v>รอติดต่อ</x:v>
      </x:c>
    </x:row>
    <x:row r="61" ht="84" customHeight="1">
      <x:c r="A61" s="2" t="str">
        <x:v>TMF-053</x:v>
      </x:c>
      <x:c r="B61" s="8" t="str">
        <x:v>KIN YOUBI HALAL</x:v>
      </x:c>
      <x:c r="C61" s="8" t="str">
        <x:v>กรุงเทพมหานคร</x:v>
      </x:c>
      <x:c r="D61" s="8" t="str">
        <x:v>อยู่ในชุด 600 ตามเส้นทาง</x:v>
      </x:c>
      <x:c r="E61" s="8" t="str">
        <x:v>พบชื่อสัมพันธ์หลายเว็บไซต์ รอยืนยันสาขา</x:v>
      </x:c>
      <x:c r="F61" s="8" t="str">
        <x:v>ยังไม่ยืนยันการเปิดให้บริการปัจจุบัน</x:v>
      </x:c>
      <x:c r="G61" s="58" t="n">
        <x:v>3</x:v>
      </x:c>
      <x:c r="H61" s="52" t="str"/>
      <x:c r="I61" s="52" t="str"/>
      <x:c r="J61" s="52" t="str">
        <x:v>https://www.lemon8-app.com/%40nasto_11/7557749980883157522?region=th</x:v>
      </x:c>
      <x:c r="K61" s="52" t="str"/>
      <x:c r="L61" s="52" t="str">
        <x:v>https://makanhalalguide.com/shop/detail/5289</x:v>
      </x:c>
      <x:c r="M61" s="52" t="str">
        <x:v>https://www.lemon8-app.com/%40nasto_11/7557749980883157522?region=th</x:v>
      </x:c>
      <x:c r="N61" s="8" t="str">
        <x:v>ยังไม่ยืนยัน</x:v>
      </x:c>
      <x:c r="O6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1" s="40" t="n">
        <x:v>46315</x:v>
      </x:c>
      <x:c r="Q61" s="59" t="str">
        <x:v>ยังไม่ตรวจ</x:v>
      </x:c>
      <x:c r="R61" s="59" t="str">
        <x:v>รอติดต่อ</x:v>
      </x:c>
    </x:row>
    <x:row r="62" ht="84" customHeight="1">
      <x:c r="A62" s="2" t="str">
        <x:v>TMF-054</x:v>
      </x:c>
      <x:c r="B62" s="8" t="str">
        <x:v>LAHORE RESTAURANT สีลม</x:v>
      </x:c>
      <x:c r="C62" s="8" t="str">
        <x:v>กรุงเทพมหานคร</x:v>
      </x:c>
      <x:c r="D62" s="8" t="str">
        <x:v>อยู่ในชุด 600 ตามเส้นทาง</x:v>
      </x:c>
      <x:c r="E62" s="8" t="str">
        <x:v>พบชื่อสัมพันธ์หลายเว็บไซต์ รอยืนยันสาขา</x:v>
      </x:c>
      <x:c r="F62" s="8" t="str">
        <x:v>ยังไม่ยืนยันการเปิดให้บริการปัจจุบัน</x:v>
      </x:c>
      <x:c r="G62" s="58" t="n">
        <x:v>3</x:v>
      </x:c>
      <x:c r="H62" s="52" t="str"/>
      <x:c r="I62" s="52" t="str"/>
      <x:c r="J62" s="52" t="str"/>
      <x:c r="K62" s="52" t="str"/>
      <x:c r="L62" s="52" t="str">
        <x:v>https://makanhalalguide.com/shop/detail/4921</x:v>
      </x:c>
      <x:c r="M62" s="52" t="str">
        <x:v>https://xn--l3cga1amo9al2e5c0fqf.cybo.com/TH/%E0%B8%81%E0%B8%A3%E0%B8%B8%E0%B8%87%E0%B9%80%E0%B8%97%E0%B8%9E%E0%B8%A1%E0%B8%AB%E0%B8%B2%E0%B8%99%E0%B8%84%E0%B8%A3-%E0%B8%81%E0%B8%A3%E0%B8%B8%E0%B8%87%E0%B9%80%E0%B8%97%E0%B8%9E%E0%B8%A1%E0%B8%AB%E0%B8%B2%E0%B8%99%E0%B8%84%E0%B8%A3/%E0%B8%A3%E0%B9%89%E0%B8%B2%E0%B8%99%E0%B8%AD%E0%B8%B2%E0%B8%AB%E0%B8%B2%E0%B8%A3%E0%B8%95%E0%B8%B8%E0%B8%A3%E0%B8%81%E0%B8%B5</x:v>
      </x:c>
      <x:c r="N62" s="8" t="str">
        <x:v>ยังไม่ยืนยัน</x:v>
      </x:c>
      <x:c r="O6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2" s="40" t="n">
        <x:v>46315</x:v>
      </x:c>
      <x:c r="Q62" s="59" t="str">
        <x:v>ยังไม่ตรวจ</x:v>
      </x:c>
      <x:c r="R62" s="59" t="str">
        <x:v>รอติดต่อ</x:v>
      </x:c>
    </x:row>
    <x:row r="63" ht="84" customHeight="1">
      <x:c r="A63" s="2" t="str">
        <x:v>TMF-055</x:v>
      </x:c>
      <x:c r="B63" s="8" t="str">
        <x:v>La pizza fahana</x:v>
      </x:c>
      <x:c r="C63" s="8" t="str">
        <x:v>กรุงเทพมหานคร</x:v>
      </x:c>
      <x:c r="D63" s="8" t="str">
        <x:v>สำรองหลังปรับตามเส้นทาง</x:v>
      </x:c>
      <x:c r="E63" s="8" t="str">
        <x:v>หลักฐานไม่พอ รอยืนยันการเปิด</x:v>
      </x:c>
      <x:c r="F63" s="8" t="str">
        <x:v>ยังไม่ยืนยันการเปิดให้บริการปัจจุบัน</x:v>
      </x:c>
      <x:c r="G63" s="58" t="n">
        <x:v>1</x:v>
      </x:c>
      <x:c r="H63" s="52"/>
      <x:c r="I63" s="52"/>
      <x:c r="J63" s="52"/>
      <x:c r="K63" s="52"/>
      <x:c r="L63" s="52"/>
      <x:c r="M63" s="52"/>
      <x:c r="N63" s="8" t="str">
        <x:v>ยังไม่ยืนยัน</x:v>
      </x:c>
      <x:c r="O6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3" s="40" t="n">
        <x:v>46315</x:v>
      </x:c>
      <x:c r="Q63" s="59" t="str">
        <x:v>ยังไม่ตรวจ</x:v>
      </x:c>
      <x:c r="R63" s="59" t="str">
        <x:v>รอติดต่อ</x:v>
      </x:c>
    </x:row>
    <x:row r="64" ht="84" customHeight="1">
      <x:c r="A64" s="2" t="str">
        <x:v>TMF-056</x:v>
      </x:c>
      <x:c r="B64" s="8" t="str">
        <x:v>Mini Coffee</x:v>
      </x:c>
      <x:c r="C64" s="8" t="str">
        <x:v>กรุงเทพมหานคร</x:v>
      </x:c>
      <x:c r="D64" s="8" t="str">
        <x:v>อยู่ในชุด 600 ตามเส้นทาง</x:v>
      </x:c>
      <x:c r="E64" s="8" t="str">
        <x:v>พบชื่อสัมพันธ์หลายเว็บไซต์ รอยืนยันสาขา</x:v>
      </x:c>
      <x:c r="F64" s="8" t="str">
        <x:v>ยังไม่ยืนยันการเปิดให้บริการปัจจุบัน</x:v>
      </x:c>
      <x:c r="G64" s="58" t="n">
        <x:v>2</x:v>
      </x:c>
      <x:c r="H64" s="52" t="str"/>
      <x:c r="I64" s="52" t="str"/>
      <x:c r="J64" s="52" t="str">
        <x:v>https://www.wongnai.com/restaurants/1315287sp-mini-coffee-onecoffee</x:v>
      </x:c>
      <x:c r="K64" s="52" t="str">
        <x:v>https://www.wongnai.com/restaurants/734205fI-mini-coffee-bar-%E0%B8%A3%E0%B8%B2%E0%B8%A1%E0%B8%AD%E0%B8%B4%E0%B8%99%E0%B8%97%E0%B8%A3%E0%B8%B2-34</x:v>
      </x:c>
      <x:c r="L64" s="52" t="str">
        <x:v>https://makanhalalguide.com/shop/detail/4796</x:v>
      </x:c>
      <x:c r="M64" s="52" t="str">
        <x:v>https://www.wongnai.com/restaurants/1315287sp-mini-coffee-onecoffee</x:v>
      </x:c>
      <x:c r="N64" s="8" t="str">
        <x:v>ยังไม่ยืนยัน</x:v>
      </x:c>
      <x:c r="O6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4" s="40" t="n">
        <x:v>46315</x:v>
      </x:c>
      <x:c r="Q64" s="59" t="str">
        <x:v>ยังไม่ตรวจ</x:v>
      </x:c>
      <x:c r="R64" s="59" t="str">
        <x:v>รอติดต่อ</x:v>
      </x:c>
    </x:row>
    <x:row r="65" ht="84" customHeight="1">
      <x:c r="A65" s="2" t="str">
        <x:v>TMF-057</x:v>
      </x:c>
      <x:c r="B65" s="8" t="str">
        <x:v>Mom’s Restaurant</x:v>
      </x:c>
      <x:c r="C65" s="8" t="str">
        <x:v>กรุงเทพมหานคร</x:v>
      </x:c>
      <x:c r="D65" s="8" t="str">
        <x:v>อยู่ในชุด 600 ตามเส้นทาง</x:v>
      </x:c>
      <x:c r="E65" s="8" t="str">
        <x:v>พบชื่อสัมพันธ์หลายเว็บไซต์ รอยืนยันสาขา</x:v>
      </x:c>
      <x:c r="F65" s="8" t="str">
        <x:v>ยังไม่ยืนยันการเปิดให้บริการปัจจุบัน</x:v>
      </x:c>
      <x:c r="G65" s="58" t="n">
        <x:v>2</x:v>
      </x:c>
      <x:c r="H65" s="52" t="str"/>
      <x:c r="I65" s="52" t="str"/>
      <x:c r="J65" s="52" t="str">
        <x:v>https://www.wongnai.com/restaurants/568727NN-%E0%B8%84%E0%B8%A3%E0%B8%B1%E0%B8%A7%E0%B8%84%E0%B8%B8%E0%B8%93%E0%B9%81%E0%B8%A1%E0%B9%88-mom-s-restaurant</x:v>
      </x:c>
      <x:c r="K65" s="52" t="str"/>
      <x:c r="L65" s="52" t="str">
        <x:v>https://makanhalalguide.com/shop/detail/5031</x:v>
      </x:c>
      <x:c r="M65" s="52" t="str">
        <x:v>https://www.wongnai.com/restaurants/568727NN-%E0%B8%84%E0%B8%A3%E0%B8%B1%E0%B8%A7%E0%B8%84%E0%B8%B8%E0%B8%93%E0%B9%81%E0%B8%A1%E0%B9%88-mom-s-restaurant</x:v>
      </x:c>
      <x:c r="N65" s="8" t="str">
        <x:v>ยังไม่ยืนยัน</x:v>
      </x:c>
      <x:c r="O6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5" s="40" t="n">
        <x:v>46315</x:v>
      </x:c>
      <x:c r="Q65" s="59" t="str">
        <x:v>ยังไม่ตรวจ</x:v>
      </x:c>
      <x:c r="R65" s="59" t="str">
        <x:v>รอติดต่อ</x:v>
      </x:c>
    </x:row>
    <x:row r="66" ht="84" customHeight="1">
      <x:c r="A66" s="2" t="str">
        <x:v>TMF-058</x:v>
      </x:c>
      <x:c r="B66" s="8" t="str">
        <x:v>Monkey Suki Halal มีนบุรีคู้ขวา</x:v>
      </x:c>
      <x:c r="C66" s="8" t="str">
        <x:v>กรุงเทพมหานคร</x:v>
      </x:c>
      <x:c r="D66" s="8" t="str">
        <x:v>อยู่ในชุด 600 ตามเส้นทาง</x:v>
      </x:c>
      <x:c r="E66" s="8" t="str">
        <x:v>พบชื่อสัมพันธ์หลายเว็บไซต์ รอยืนยันสาขา</x:v>
      </x:c>
      <x:c r="F66" s="8" t="str">
        <x:v>ยังไม่ยืนยันการเปิดให้บริการปัจจุบัน</x:v>
      </x:c>
      <x:c r="G66" s="58" t="n">
        <x:v>2</x:v>
      </x:c>
      <x:c r="H66" s="52" t="str"/>
      <x:c r="I66" s="52" t="str"/>
      <x:c r="J66" s="52" t="str">
        <x:v>https://ru.restaurantguru.com/%E0%B8%A3%E0%B8%B2%E0%B8%A2%E0%B8%B2%E0%B8%8B%E0%B8%B5%E0%B8%9F%E0%B8%B9%E0%B9%89%E0%B8%94and%E0%B8%88%E0%B8%B4%E0%B9%89%E0%B8%A1%E0%B8%88%E0%B8%B8%E0%B9%88%E0%B8%A1-Bangkok</x:v>
      </x:c>
      <x:c r="K66" s="52" t="str"/>
      <x:c r="L66" s="52" t="str">
        <x:v>https://makanhalalguide.com/shop/detail/6280</x:v>
      </x:c>
      <x:c r="M66" s="52" t="str">
        <x:v>https://ru.restaurantguru.com/%E0%B8%A3%E0%B8%B2%E0%B8%A2%E0%B8%B2%E0%B8%8B%E0%B8%B5%E0%B8%9F%E0%B8%B9%E0%B9%89%E0%B8%94and%E0%B8%88%E0%B8%B4%E0%B9%89%E0%B8%A1%E0%B8%88%E0%B8%B8%E0%B9%88%E0%B8%A1-Bangkok</x:v>
      </x:c>
      <x:c r="N66" s="8" t="str">
        <x:v>ยังไม่ยืนยัน</x:v>
      </x:c>
      <x:c r="O6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6" s="40" t="n">
        <x:v>46315</x:v>
      </x:c>
      <x:c r="Q66" s="59" t="str">
        <x:v>ยังไม่ตรวจ</x:v>
      </x:c>
      <x:c r="R66" s="59" t="str">
        <x:v>รอติดต่อ</x:v>
      </x:c>
    </x:row>
    <x:row r="67" ht="84" customHeight="1">
      <x:c r="A67" s="2" t="str">
        <x:v>TMF-059</x:v>
      </x:c>
      <x:c r="B67" s="8" t="str">
        <x:v>Monkey Suki รามคำแหง81</x:v>
      </x:c>
      <x:c r="C67" s="8" t="str">
        <x:v>กรุงเทพมหานคร</x:v>
      </x:c>
      <x:c r="D67" s="8" t="str">
        <x:v>อยู่ในชุด 600 ตามเส้นทาง</x:v>
      </x:c>
      <x:c r="E67" s="8" t="str">
        <x:v>พบชื่อสัมพันธ์หลายเว็บไซต์ รอยืนยันสาขา</x:v>
      </x:c>
      <x:c r="F67" s="8" t="str">
        <x:v>ยังไม่ยืนยันการเปิดให้บริการปัจจุบัน</x:v>
      </x:c>
      <x:c r="G67" s="58" t="n">
        <x:v>3</x:v>
      </x:c>
      <x:c r="H67" s="52" t="str"/>
      <x:c r="I67" s="52" t="str"/>
      <x:c r="J67" s="52" t="str">
        <x:v>https://ru.restaurantguru.com/Monkey-Suki-%E0%B8%A3%E0%B8%B2%E0%B8%A1%E0%B8%84%E0%B8%B3%E0%B9%81%E0%B8%AB%E0%B8%8781-Bangkok</x:v>
      </x:c>
      <x:c r="K67" s="52" t="str">
        <x:v>https://www.wongnai.com/restaurants/3114969qz-monkey-suki-%25E0%25B8%25A3%25E0%25B8%25B2%25E0%25B8%25A1%25E0%25B8%2584%25E0%25B8%25B3%25E0%25B9%2581%25E0%25B8%25AB%25E0%25B8%2587-81</x:v>
      </x:c>
      <x:c r="L67" s="52" t="str">
        <x:v>https://makanhalalguide.com/shop/detail/6278</x:v>
      </x:c>
      <x:c r="M67" s="52" t="str">
        <x:v>https://ru.restaurantguru.com/Monkey-Suki-%E0%B8%A3%E0%B8%B2%E0%B8%A1%E0%B8%84%E0%B8%B3%E0%B9%81%E0%B8%AB%E0%B8%8781-Bangkok</x:v>
      </x:c>
      <x:c r="N67" s="8" t="str">
        <x:v>ยังไม่ยืนยัน</x:v>
      </x:c>
      <x:c r="O6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7" s="40" t="n">
        <x:v>46315</x:v>
      </x:c>
      <x:c r="Q67" s="59" t="str">
        <x:v>ยังไม่ตรวจ</x:v>
      </x:c>
      <x:c r="R67" s="59" t="str">
        <x:v>รอติดต่อ</x:v>
      </x:c>
    </x:row>
    <x:row r="68" ht="84" customHeight="1">
      <x:c r="A68" s="2" t="str">
        <x:v>TMF-060</x:v>
      </x:c>
      <x:c r="B68" s="8" t="str">
        <x:v>Monkey Suki เสรีไทย16</x:v>
      </x:c>
      <x:c r="C68" s="8" t="str">
        <x:v>กรุงเทพมหานคร</x:v>
      </x:c>
      <x:c r="D68" s="8" t="str">
        <x:v>อยู่ในชุด 600 ตามเส้นทาง</x:v>
      </x:c>
      <x:c r="E68" s="8" t="str">
        <x:v>พบชื่อสัมพันธ์หลายเว็บไซต์ รอยืนยันสาขา</x:v>
      </x:c>
      <x:c r="F68" s="8" t="str">
        <x:v>ยังไม่ยืนยันการเปิดให้บริการปัจจุบัน</x:v>
      </x:c>
      <x:c r="G68" s="58" t="n">
        <x:v>2</x:v>
      </x:c>
      <x:c r="H68" s="52" t="str"/>
      <x:c r="I68" s="52" t="str"/>
      <x:c r="J68" s="52" t="str">
        <x:v>https://www.lemon8-app.com/%40ma_ma1999/7541322394812727826?region=th</x:v>
      </x:c>
      <x:c r="K68" s="52" t="str">
        <x:v>https://www.lemon8-app.com/%40bus_wisanu/7541358163870679569?region=th</x:v>
      </x:c>
      <x:c r="L68" s="52" t="str">
        <x:v>https://makanhalalguide.com/shop/detail/6279</x:v>
      </x:c>
      <x:c r="M68" s="52" t="str">
        <x:v>https://www.lemon8-app.com/%40ma_ma1999/7541322394812727826?region=th</x:v>
      </x:c>
      <x:c r="N68" s="8" t="str">
        <x:v>ยังไม่ยืนยัน</x:v>
      </x:c>
      <x:c r="O6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8" s="40" t="n">
        <x:v>46315</x:v>
      </x:c>
      <x:c r="Q68" s="59" t="str">
        <x:v>ยังไม่ตรวจ</x:v>
      </x:c>
      <x:c r="R68" s="59" t="str">
        <x:v>รอติดต่อ</x:v>
      </x:c>
    </x:row>
    <x:row r="69" ht="84" customHeight="1">
      <x:c r="A69" s="2" t="str">
        <x:v>TMF-061</x:v>
      </x:c>
      <x:c r="B69" s="8" t="str">
        <x:v>Nes Tea Boba</x:v>
      </x:c>
      <x:c r="C69" s="8" t="str">
        <x:v>กรุงเทพมหานคร</x:v>
      </x:c>
      <x:c r="D69" s="8" t="str">
        <x:v>อยู่ในชุด 600 ตามเส้นทาง</x:v>
      </x:c>
      <x:c r="E69" s="8" t="str">
        <x:v>พบชื่อสัมพันธ์หลายเว็บไซต์ รอยืนยันสาขา</x:v>
      </x:c>
      <x:c r="F69" s="8" t="str">
        <x:v>ยังไม่ยืนยันการเปิดให้บริการปัจจุบัน</x:v>
      </x:c>
      <x:c r="G69" s="58" t="n">
        <x:v>2</x:v>
      </x:c>
      <x:c r="H69" s="52" t="str"/>
      <x:c r="I69" s="52" t="str"/>
      <x:c r="J69" s="52" t="str">
        <x:v>https://www.wongnai.com/restaurants/3752916kb-nes-tea-boba-%E0%B8%8A%E0%B8%B2%E0%B9%83%E0%B8%95%E0%B9%89-%E0%B8%8A%E0%B8%B2%E0%B8%99%E0%B8%A1%E0%B9%84%E0%B8%95%E0%B9%89%E0%B8%AB%E0%B8%A7%E0%B8%B1%E0%B8%99%E0%B8%9E%E0%B8%A3%E0%B8%B5%E0%B9%80%E0%B8%A1%E0%B8%B5%E0%B8%A2%E0%B8%A1-%E0%B8%AA%E0%B8%B2%E0%B8%82%E0%B8%B2%E0%B8%8B%E0%B8%AD%E0%B8%A2%E0%B9%80%E0%B8%9E%E0%B8%8A%E0%B8%A3%E0%B8%9A%E0%B8%B8%E0%B8%A3%E0%B8%B5-7</x:v>
      </x:c>
      <x:c r="K69" s="52" t="str"/>
      <x:c r="L69" s="52" t="str">
        <x:v>https://makanhalalguide.com/shop/detail/6286</x:v>
      </x:c>
      <x:c r="M69" s="52" t="str">
        <x:v>https://www.wongnai.com/restaurants/3752916kb-nes-tea-boba-%E0%B8%8A%E0%B8%B2%E0%B9%83%E0%B8%95%E0%B9%89-%E0%B8%8A%E0%B8%B2%E0%B8%99%E0%B8%A1%E0%B9%84%E0%B8%95%E0%B9%89%E0%B8%AB%E0%B8%A7%E0%B8%B1%E0%B8%99%E0%B8%9E%E0%B8%A3%E0%B8%B5%E0%B9%80%E0%B8%A1%E0%B8%B5%E0%B8%A2%E0%B8%A1-%E0%B8%AA%E0%B8%B2%E0%B8%82%E0%B8%B2%E0%B8%8B%E0%B8%AD%E0%B8%A2%E0%B9%80%E0%B8%9E%E0%B8%8A%E0%B8%A3%E0%B8%9A%E0%B8%B8%E0%B8%A3%E0%B8%B5-7</x:v>
      </x:c>
      <x:c r="N69" s="8" t="str">
        <x:v>ยังไม่ยืนยัน</x:v>
      </x:c>
      <x:c r="O6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69" s="40" t="n">
        <x:v>46315</x:v>
      </x:c>
      <x:c r="Q69" s="59" t="str">
        <x:v>ยังไม่ตรวจ</x:v>
      </x:c>
      <x:c r="R69" s="59" t="str">
        <x:v>รอติดต่อ</x:v>
      </x:c>
    </x:row>
    <x:row r="70" ht="84" customHeight="1">
      <x:c r="A70" s="2" t="str">
        <x:v>TMF-062</x:v>
      </x:c>
      <x:c r="B70" s="8" t="str">
        <x:v>P-Park Residence</x:v>
      </x:c>
      <x:c r="C70" s="8" t="str">
        <x:v>กรุงเทพมหานคร</x:v>
      </x:c>
      <x:c r="D70" s="8" t="str">
        <x:v>อยู่ในชุด 600 ตามเส้นทาง</x:v>
      </x:c>
      <x:c r="E70" s="8" t="str">
        <x:v>พบชื่อสัมพันธ์หลายเว็บไซต์ รอยืนยันสาขา</x:v>
      </x:c>
      <x:c r="F70" s="8" t="str">
        <x:v>ยังไม่ยืนยันการเปิดให้บริการปัจจุบัน</x:v>
      </x:c>
      <x:c r="G70" s="58" t="n">
        <x:v>8</x:v>
      </x:c>
      <x:c r="H70" s="52" t="str"/>
      <x:c r="I70" s="52" t="str"/>
      <x:c r="J70" s="52" t="str">
        <x:v>https://th.tripadvisor.com/Hotel_Review-g293916-d2145999-Reviews-P_Park_Residence_Charansanitwong-Bangkok.html</x:v>
      </x:c>
      <x:c r="K70" s="52" t="str">
        <x:v>https://www.agoda.com/ko-kr/p-park-residence-charansanitwong/hotel/bangkok-th.html</x:v>
      </x:c>
      <x:c r="L70" s="52" t="str">
        <x:v>https://makanhalalguide.com/shop/detail/5363</x:v>
      </x:c>
      <x:c r="M70" s="52" t="str">
        <x:v>https://th.tripadvisor.com/Hotel_Review-g293916-d2145999-Reviews-P_Park_Residence_Charansanitwong-Bangkok.html</x:v>
      </x:c>
      <x:c r="N70" s="8" t="str">
        <x:v>ยังไม่ยืนยัน</x:v>
      </x:c>
      <x:c r="O70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 / ที่อยู่และพิกัด P-Park Residence ขัดแย้ง ต้องยืนยันสาขา</x:v>
      </x:c>
      <x:c r="P70" s="40" t="n">
        <x:v>46315</x:v>
      </x:c>
      <x:c r="Q70" s="59" t="str">
        <x:v>ยังไม่ตรวจ</x:v>
      </x:c>
      <x:c r="R70" s="59" t="str">
        <x:v>รอติดต่อ</x:v>
      </x:c>
    </x:row>
    <x:row r="71" ht="84" customHeight="1">
      <x:c r="A71" s="2" t="str">
        <x:v>TMF-063</x:v>
      </x:c>
      <x:c r="B71" s="8" t="str">
        <x:v>REEZQ Residence Phyathai</x:v>
      </x:c>
      <x:c r="C71" s="8" t="str">
        <x:v>กรุงเทพมหานคร</x:v>
      </x:c>
      <x:c r="D71" s="8" t="str">
        <x:v>อยู่ในชุด 600 ตามเส้นทาง</x:v>
      </x:c>
      <x:c r="E71" s="8" t="str">
        <x:v>พบชื่อสัมพันธ์หลายเว็บไซต์ รอยืนยันสาขา</x:v>
      </x:c>
      <x:c r="F71" s="8" t="str">
        <x:v>ยังไม่ยืนยันการเปิดให้บริการปัจจุบัน</x:v>
      </x:c>
      <x:c r="G71" s="58" t="n">
        <x:v>2</x:v>
      </x:c>
      <x:c r="H71" s="52" t="str"/>
      <x:c r="I71" s="52" t="str"/>
      <x:c r="J71" s="52" t="str"/>
      <x:c r="K71" s="52" t="str"/>
      <x:c r="L71" s="52" t="str">
        <x:v>https://makanhalalguide.com/shop/detail/5370</x:v>
      </x:c>
      <x:c r="M71" s="52" t="str">
        <x:v>https://www.renthub.in.th/en/reezq-residence</x:v>
      </x:c>
      <x:c r="N71" s="8" t="str">
        <x:v>ยังไม่ยืนยัน</x:v>
      </x:c>
      <x:c r="O7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71" s="40" t="n">
        <x:v>46315</x:v>
      </x:c>
      <x:c r="Q71" s="59" t="str">
        <x:v>ยังไม่ตรวจ</x:v>
      </x:c>
      <x:c r="R71" s="59" t="str">
        <x:v>รอติดต่อ</x:v>
      </x:c>
    </x:row>
    <x:row r="72" ht="84" customHeight="1">
      <x:c r="A72" s="2" t="str">
        <x:v>TMF-064</x:v>
      </x:c>
      <x:c r="B72" s="8" t="str">
        <x:v>Ram21Place</x:v>
      </x:c>
      <x:c r="C72" s="8" t="str">
        <x:v>กรุงเทพมหานคร</x:v>
      </x:c>
      <x:c r="D72" s="8" t="str">
        <x:v>สำรองหลังปรับตามเส้นทาง</x:v>
      </x:c>
      <x:c r="E72" s="8" t="str">
        <x:v>พบหลายแหล่งสัมพันธ์กับชื่อ รอยืนยันการเปิด</x:v>
      </x:c>
      <x:c r="F72" s="8" t="str">
        <x:v>ยังไม่ยืนยันการเปิดให้บริการปัจจุบัน</x:v>
      </x:c>
      <x:c r="G72" s="58" t="n">
        <x:v>3</x:v>
      </x:c>
      <x:c r="H72" s="52"/>
      <x:c r="I72" s="52"/>
      <x:c r="J72" s="52"/>
      <x:c r="K72" s="52"/>
      <x:c r="L72" s="52" t="str">
        <x:v>HYPERLINK is not implemented. linkLocation=https://www.thaithurkic.com/ram-place-02-318-0390, friendlyName=เปิดเว็บเพิ่ม 1</x:v>
      </x:c>
      <x:c r="M72" s="52" t="str">
        <x:v>HYPERLINK is not implemented. linkLocation=https://www.thaiapartment.com/apartment/-ram21place-bangkapi-9470, friendlyName=เปิดเว็บเพิ่ม 2</x:v>
      </x:c>
      <x:c r="N72" s="8" t="str">
        <x:v>ยังไม่ยืนยัน</x:v>
      </x:c>
      <x:c r="O72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72" s="40" t="n">
        <x:v>46315</x:v>
      </x:c>
      <x:c r="Q72" s="59" t="str">
        <x:v>ยังไม่ตรวจ</x:v>
      </x:c>
      <x:c r="R72" s="59" t="str">
        <x:v>รอติดต่อ</x:v>
      </x:c>
    </x:row>
    <x:row r="73" ht="84" customHeight="1">
      <x:c r="A73" s="2" t="str">
        <x:v>TMF-065</x:v>
      </x:c>
      <x:c r="B73" s="8" t="str">
        <x:v>Rotinis Hostel</x:v>
      </x:c>
      <x:c r="C73" s="8" t="str">
        <x:v>กรุงเทพมหานคร</x:v>
      </x:c>
      <x:c r="D73" s="8" t="str">
        <x:v>อยู่ในชุด 600 ตามเส้นทาง</x:v>
      </x:c>
      <x:c r="E73" s="8" t="str">
        <x:v>พบชื่อสัมพันธ์หลายเว็บไซต์ รอยืนยันสาขา</x:v>
      </x:c>
      <x:c r="F73" s="8" t="str">
        <x:v>ยังไม่ยืนยันการเปิดให้บริการปัจจุบัน</x:v>
      </x:c>
      <x:c r="G73" s="58" t="n">
        <x:v>4</x:v>
      </x:c>
      <x:c r="H73" s="52" t="str"/>
      <x:c r="I73" s="52" t="str"/>
      <x:c r="J73" s="52" t="str">
        <x:v>https://restaurantguru.com/Rotinis-Cafe-and-Hostel-Bangkok</x:v>
      </x:c>
      <x:c r="K73" s="52" t="str">
        <x:v>https://www.google.co.th/travel/hotels/entity/ChkIoef61oOxoeV-Gg0vZy8xMWtyX2QzOXQ3EAE?g2lb=2502548%2C4258168%2C4260007%2C4274032%2C4305595%2C4306835%2C4317915%2C4328159%2C4330862%2C4364504%2C4366684%2C4371334%2C4381263%2C4386665%2C4395590%2C4397007%2C4398672%2C4401769%2C4403881%2C4270859%2C4284970%2C4316256&amp;gl=th&amp;gsas=1&amp;hl=en&amp;rp=OAE&amp;ts=CAEaIgoCGgASHBIUCgcI6g8QBhgJEgcI6g8QBhgOGAUyAhAAOAEqCQoFOgNUSEIaAA&amp;un=1</x:v>
      </x:c>
      <x:c r="L73" s="52" t="str">
        <x:v>https://makanhalalguide.com/shop/detail/5369</x:v>
      </x:c>
      <x:c r="M73" s="52" t="str">
        <x:v>https://restaurantguru.com/Rotinis-Cafe-and-Hostel-Bangkok</x:v>
      </x:c>
      <x:c r="N73" s="8" t="str">
        <x:v>ยังไม่ยืนยัน</x:v>
      </x:c>
      <x:c r="O73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73" s="40" t="n">
        <x:v>46315</x:v>
      </x:c>
      <x:c r="Q73" s="59" t="str">
        <x:v>ยังไม่ตรวจ</x:v>
      </x:c>
      <x:c r="R73" s="59" t="str">
        <x:v>รอติดต่อ</x:v>
      </x:c>
    </x:row>
    <x:row r="74" ht="84" customHeight="1">
      <x:c r="A74" s="2" t="str">
        <x:v>TMF-066</x:v>
      </x:c>
      <x:c r="B74" s="8" t="str">
        <x:v>Seven Sisters Home Cafe &amp; Halal Cuisine</x:v>
      </x:c>
      <x:c r="C74" s="8" t="str">
        <x:v>กรุงเทพมหานคร</x:v>
      </x:c>
      <x:c r="D74" s="8" t="str">
        <x:v>สำรองหลังปรับตามเส้นทาง</x:v>
      </x:c>
      <x:c r="E74" s="8" t="str">
        <x:v>พบหลายแหล่งสัมพันธ์กับชื่อ รอยืนยันการเปิด</x:v>
      </x:c>
      <x:c r="F74" s="8" t="str">
        <x:v>ยังไม่ยืนยันการเปิดให้บริการปัจจุบัน</x:v>
      </x:c>
      <x:c r="G74" s="58" t="n">
        <x:v>2</x:v>
      </x:c>
      <x:c r="H74" s="52"/>
      <x:c r="I74" s="52"/>
      <x:c r="J74" s="52" t="str">
        <x:v>HYPERLINK is not implemented. linkLocation=https://www.lemon8-app.com/%40pedkubpungpong/7491267976679686657?region=th, friendlyName=เปิดหน้ารีวิว 1</x:v>
      </x:c>
      <x:c r="K74" s="52" t="str">
        <x:v>HYPERLINK is not implemented. linkLocation=https://www.lemon8-app.com/%40pedkubpungpong/7491267976679686657?region=us, friendlyName=เปิดหน้ารีวิว 2</x:v>
      </x:c>
      <x:c r="L74" s="52"/>
      <x:c r="M74" s="52"/>
      <x:c r="N74" s="8" t="str">
        <x:v>ยังไม่ยืนยัน</x:v>
      </x:c>
      <x:c r="O7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74" s="40" t="n">
        <x:v>46315</x:v>
      </x:c>
      <x:c r="Q74" s="59" t="str">
        <x:v>ยังไม่ตรวจ</x:v>
      </x:c>
      <x:c r="R74" s="59" t="str">
        <x:v>รอติดต่อ</x:v>
      </x:c>
    </x:row>
    <x:row r="75" ht="84" customHeight="1">
      <x:c r="A75" s="2" t="str">
        <x:v>TMF-067</x:v>
      </x:c>
      <x:c r="B75" s="8" t="str">
        <x:v>WOK &amp; MORE thai internationnal cuisine</x:v>
      </x:c>
      <x:c r="C75" s="8" t="str">
        <x:v>กรุงเทพมหานคร</x:v>
      </x:c>
      <x:c r="D75" s="8" t="str">
        <x:v>สำรองหลังปรับตามเส้นทาง</x:v>
      </x:c>
      <x:c r="E75" s="8" t="str">
        <x:v>หลักฐานไม่พอ รอยืนยันการเปิด</x:v>
      </x:c>
      <x:c r="F75" s="8" t="str">
        <x:v>ยังไม่ยืนยันการเปิดให้บริการปัจจุบัน</x:v>
      </x:c>
      <x:c r="G75" s="58" t="n">
        <x:v>1</x:v>
      </x:c>
      <x:c r="H75" s="52"/>
      <x:c r="I75" s="52"/>
      <x:c r="J75" s="52"/>
      <x:c r="K75" s="52"/>
      <x:c r="L75" s="52"/>
      <x:c r="M75" s="52"/>
      <x:c r="N75" s="8" t="str">
        <x:v>ยังไม่ยืนยัน</x:v>
      </x:c>
      <x:c r="O7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75" s="40" t="n">
        <x:v>46315</x:v>
      </x:c>
      <x:c r="Q75" s="59" t="str">
        <x:v>ยังไม่ตรวจ</x:v>
      </x:c>
      <x:c r="R75" s="59" t="str">
        <x:v>รอติดต่อ</x:v>
      </x:c>
    </x:row>
    <x:row r="76" ht="84" customHeight="1">
      <x:c r="A76" s="2" t="str">
        <x:v>TMF-068</x:v>
      </x:c>
      <x:c r="B76" s="8" t="str">
        <x:v>กุ้งแช่บรรทัดทองbyฮาลาล</x:v>
      </x:c>
      <x:c r="C76" s="8" t="str">
        <x:v>กรุงเทพมหานคร</x:v>
      </x:c>
      <x:c r="D76" s="8" t="str">
        <x:v>สำรองหลังปรับตามเส้นทาง</x:v>
      </x:c>
      <x:c r="E76" s="8" t="str">
        <x:v>พบหลายแหล่งสัมพันธ์กับชื่อ รอยืนยันการเปิด</x:v>
      </x:c>
      <x:c r="F76" s="8" t="str">
        <x:v>ยังไม่ยืนยันการเปิดให้บริการปัจจุบัน</x:v>
      </x:c>
      <x:c r="G76" s="58" t="n">
        <x:v>3</x:v>
      </x:c>
      <x:c r="H76" s="52"/>
      <x:c r="I76" s="52"/>
      <x:c r="J76" s="52" t="str">
        <x:v>HYPERLINK is not implemented. linkLocation=https://www.wongnai.com/reviews/39bdbdb611e84a5caf0fb5b18e1e9dca, friendlyName=เปิดหน้ารีวิว 1</x:v>
      </x:c>
      <x:c r="K76" s="52" t="str">
        <x:v>HYPERLINK is not implemented. linkLocation=https://www.wongnai.com/restaurants/2845077OW-%E0%B8%81%E0%B8%B8%E0%B9%89%E0%B8%87%E0%B9%81%E0%B8%8A%E0%B9%88%E0%B8%9A%E0%B8%A3%E0%B8%A3%E0%B8%97%E0%B8%B1%E0%B8%94%E0%B8%97%E0%B8%AD%E0%B8%87by%E0%B8%AE%E0%B8%B2%E0%B8%A5%E0%B8%B2%E0%B8%A5, friendlyName=เปิดหน้ารีวิว 2</x:v>
      </x:c>
      <x:c r="L76" s="52"/>
      <x:c r="M76" s="52"/>
      <x:c r="N76" s="8" t="str">
        <x:v>ยังไม่ยืนยัน</x:v>
      </x:c>
      <x:c r="O7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76" s="40" t="n">
        <x:v>46315</x:v>
      </x:c>
      <x:c r="Q76" s="59" t="str">
        <x:v>ยังไม่ตรวจ</x:v>
      </x:c>
      <x:c r="R76" s="59" t="str">
        <x:v>รอติดต่อ</x:v>
      </x:c>
    </x:row>
    <x:row r="77" ht="84" customHeight="1">
      <x:c r="A77" s="2" t="str">
        <x:v>TMF-069</x:v>
      </x:c>
      <x:c r="B77" s="8" t="str">
        <x:v>ข้าวต้มบารอกัต สาขาหนองจอก</x:v>
      </x:c>
      <x:c r="C77" s="8" t="str">
        <x:v>กรุงเทพมหานคร</x:v>
      </x:c>
      <x:c r="D77" s="8" t="str">
        <x:v>สำรองหลังปรับตามเส้นทาง</x:v>
      </x:c>
      <x:c r="E77" s="8" t="str">
        <x:v>หลักฐานไม่พอ รอยืนยันการเปิด</x:v>
      </x:c>
      <x:c r="F77" s="8" t="str">
        <x:v>ยังไม่ยืนยันการเปิดให้บริการปัจจุบัน</x:v>
      </x:c>
      <x:c r="G77" s="58" t="n">
        <x:v>1</x:v>
      </x:c>
      <x:c r="H77" s="52"/>
      <x:c r="I77" s="52"/>
      <x:c r="J77" s="52"/>
      <x:c r="K77" s="52"/>
      <x:c r="L77" s="52"/>
      <x:c r="M77" s="52"/>
      <x:c r="N77" s="8" t="str">
        <x:v>ยังไม่ยืนยัน</x:v>
      </x:c>
      <x:c r="O7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77" s="40" t="n">
        <x:v>46315</x:v>
      </x:c>
      <x:c r="Q77" s="59" t="str">
        <x:v>ยังไม่ตรวจ</x:v>
      </x:c>
      <x:c r="R77" s="59" t="str">
        <x:v>รอติดต่อ</x:v>
      </x:c>
    </x:row>
    <x:row r="78" ht="84" customHeight="1">
      <x:c r="A78" s="2" t="str">
        <x:v>TMF-070</x:v>
      </x:c>
      <x:c r="B78" s="8" t="str">
        <x:v>ข้าวเช้า ฮาลาล breakfast &amp; lunch</x:v>
      </x:c>
      <x:c r="C78" s="8" t="str">
        <x:v>กรุงเทพมหานคร</x:v>
      </x:c>
      <x:c r="D78" s="8" t="str">
        <x:v>สำรองหลังปรับตามเส้นทาง</x:v>
      </x:c>
      <x:c r="E78" s="8" t="str">
        <x:v>พบหลายแหล่งสัมพันธ์กับชื่อ รอยืนยันการเปิด</x:v>
      </x:c>
      <x:c r="F78" s="8" t="str">
        <x:v>ยังไม่ยืนยันการเปิดให้บริการปัจจุบัน</x:v>
      </x:c>
      <x:c r="G78" s="58" t="n">
        <x:v>4</x:v>
      </x:c>
      <x:c r="H78" s="52" t="str">
        <x:v>HYPERLINK is not implemented. linkLocation=https://www.facebook.com/profile.php?id=61560991430781&amp;mibextid=LQQJ4d, friendlyName=เปิดช่องทาง 1</x:v>
      </x:c>
      <x:c r="I78" s="52" t="str">
        <x:v>HYPERLINK is not implemented. linkLocation=https://www.tiktok.com/@isrinmudpongtua?_t=8oXKi7V7RBP&amp;_r=1, friendlyName=เปิดช่องทาง 2</x:v>
      </x:c>
      <x:c r="J78" s="52"/>
      <x:c r="K78" s="52"/>
      <x:c r="L78" s="52" t="str">
        <x:v>HYPERLINK is not implemented. linkLocation=https://www.ryoiireview.com/restaurant/view/17821, friendlyName=เปิดเว็บเพิ่ม 1</x:v>
      </x:c>
      <x:c r="M78" s="52" t="str">
        <x:v>HYPERLINK is not implemented. linkLocation=https://www.ryoiireview.com/restaurant/view/11649, friendlyName=เปิดเว็บเพิ่ม 2</x:v>
      </x:c>
      <x:c r="N78" s="8" t="str">
        <x:v>ยังไม่ยืนยัน</x:v>
      </x:c>
      <x:c r="O78" s="8" t="str">
        <x:v>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78" s="40" t="n">
        <x:v>46315</x:v>
      </x:c>
      <x:c r="Q78" s="59" t="str">
        <x:v>ยังไม่ตรวจ</x:v>
      </x:c>
      <x:c r="R78" s="59" t="str">
        <x:v>รอติดต่อ</x:v>
      </x:c>
    </x:row>
    <x:row r="79" ht="84" customHeight="1">
      <x:c r="A79" s="2" t="str">
        <x:v>TMF-071</x:v>
      </x:c>
      <x:c r="B79" s="8" t="str">
        <x:v>ครัวบ้านวัง-ฮาลาลฟู้ด</x:v>
      </x:c>
      <x:c r="C79" s="8" t="str">
        <x:v>กรุงเทพมหานคร</x:v>
      </x:c>
      <x:c r="D79" s="8" t="str">
        <x:v>สำรองหลังปรับตามเส้นทาง</x:v>
      </x:c>
      <x:c r="E79" s="8" t="str">
        <x:v>พบหลายแหล่งสัมพันธ์กับชื่อ รอยืนยันการเปิด</x:v>
      </x:c>
      <x:c r="F79" s="8" t="str">
        <x:v>ยังไม่ยืนยันการเปิดให้บริการปัจจุบัน</x:v>
      </x:c>
      <x:c r="G79" s="58" t="n">
        <x:v>2</x:v>
      </x:c>
      <x:c r="H79" s="52"/>
      <x:c r="I79" s="52"/>
      <x:c r="J79" s="52" t="str">
        <x:v>HYPERLINK is not implemented. linkLocation=https://www.wongnai.com/restaurants/3254909XT-%E0%B8%84%E0%B8%A3%E0%B8%B1%E0%B8%A7%E0%B8%9A%E0%B9%89%E0%B8%B2%E0%B8%99%E0%B8%A7%E0%B8%B1%E0%B8%87-%E0%B8%AE%E0%B8%B2%E0%B8%A5%E0%B8%B2%E0%B8%A5%E0%B8%9F%E0%B8%B9%E0%B9%89%E0%B8%94, friendlyName=เปิดหน้ารีวิว 1</x:v>
      </x:c>
      <x:c r="K79" s="52"/>
      <x:c r="L79" s="52"/>
      <x:c r="M79" s="52"/>
      <x:c r="N79" s="8" t="str">
        <x:v>ยังไม่ยืนยัน</x:v>
      </x:c>
      <x:c r="O7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79" s="40" t="n">
        <x:v>46315</x:v>
      </x:c>
      <x:c r="Q79" s="59" t="str">
        <x:v>ยังไม่ตรวจ</x:v>
      </x:c>
      <x:c r="R79" s="59" t="str">
        <x:v>รอติดต่อ</x:v>
      </x:c>
    </x:row>
    <x:row r="80" ht="84" customHeight="1">
      <x:c r="A80" s="2" t="str">
        <x:v>TMF-072</x:v>
      </x:c>
      <x:c r="B80" s="8" t="str">
        <x:v>ครัวอารีฟฮาลาล</x:v>
      </x:c>
      <x:c r="C80" s="8" t="str">
        <x:v>กรุงเทพมหานคร</x:v>
      </x:c>
      <x:c r="D80" s="8" t="str">
        <x:v>สำรองหลังปรับตามเส้นทาง</x:v>
      </x:c>
      <x:c r="E80" s="8" t="str">
        <x:v>หลักฐานไม่พอ รอยืนยันการเปิด</x:v>
      </x:c>
      <x:c r="F80" s="8" t="str">
        <x:v>ยังไม่ยืนยันการเปิดให้บริการปัจจุบัน</x:v>
      </x:c>
      <x:c r="G80" s="58" t="n">
        <x:v>1</x:v>
      </x:c>
      <x:c r="H80" s="52"/>
      <x:c r="I80" s="52"/>
      <x:c r="J80" s="52"/>
      <x:c r="K80" s="52"/>
      <x:c r="L80" s="52"/>
      <x:c r="M80" s="52"/>
      <x:c r="N80" s="8" t="str">
        <x:v>ยังไม่ยืนยัน</x:v>
      </x:c>
      <x:c r="O8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80" s="40" t="n">
        <x:v>46315</x:v>
      </x:c>
      <x:c r="Q80" s="59" t="str">
        <x:v>ยังไม่ตรวจ</x:v>
      </x:c>
      <x:c r="R80" s="59" t="str">
        <x:v>รอติดต่อ</x:v>
      </x:c>
    </x:row>
    <x:row r="81" ht="84" customHeight="1">
      <x:c r="A81" s="2" t="str">
        <x:v>TMF-073</x:v>
      </x:c>
      <x:c r="B81" s="8" t="str">
        <x:v>ครัวแยกบาแลอาหารตามสั่ง</x:v>
      </x:c>
      <x:c r="C81" s="8" t="str">
        <x:v>กรุงเทพมหานคร</x:v>
      </x:c>
      <x:c r="D81" s="8" t="str">
        <x:v>สำรองหลังปรับตามเส้นทาง</x:v>
      </x:c>
      <x:c r="E81" s="8" t="str">
        <x:v>พบหลายแหล่งสัมพันธ์กับชื่อ รอยืนยันการเปิด</x:v>
      </x:c>
      <x:c r="F81" s="8" t="str">
        <x:v>ยังไม่ยืนยันการเปิดให้บริการปัจจุบัน</x:v>
      </x:c>
      <x:c r="G81" s="58" t="n">
        <x:v>2</x:v>
      </x:c>
      <x:c r="H81" s="52"/>
      <x:c r="I81" s="52"/>
      <x:c r="J81" s="52" t="str">
        <x:v>HYPERLINK is not implemented. linkLocation=https://www.wongnai.com/restaurants/511069Un-%E0%B8%84%E0%B8%A3%E0%B8%B1%E0%B8%A7%E0%B9%81%E0%B8%A2%E0%B8%81%E0%B8%9A%E0%B8%B2%E0%B9%81%E0%B8%A5-%E0%B8%AD%E0%B8%B2%E0%B8%AB%E0%B8%B2%E0%B8%A3%E0%B8%AE%E0%B8%B2%E0%B8%A5%E0%B9%89%E0%B8%B2%E0%B8%A5-%E0%B8%AD%E0%B8%B2%E0%B8%AB%E0%B8%B2%E0%B8%A3%E0%B8%95%E0%B8%B2%E0%B8%A1%E0%B8%AA%E0%B8%B1%E0%B9%88%E0%B8%87, friendlyName=เปิดหน้ารีวิว 1</x:v>
      </x:c>
      <x:c r="K81" s="52"/>
      <x:c r="L81" s="52"/>
      <x:c r="M81" s="52"/>
      <x:c r="N81" s="8" t="str">
        <x:v>ยังไม่ยืนยัน</x:v>
      </x:c>
      <x:c r="O8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81" s="40" t="n">
        <x:v>46315</x:v>
      </x:c>
      <x:c r="Q81" s="59" t="str">
        <x:v>ยังไม่ตรวจ</x:v>
      </x:c>
      <x:c r="R81" s="59" t="str">
        <x:v>รอติดต่อ</x:v>
      </x:c>
    </x:row>
    <x:row r="82" ht="84" customHeight="1">
      <x:c r="A82" s="2" t="str">
        <x:v>TMF-074</x:v>
      </x:c>
      <x:c r="B82" s="8" t="str">
        <x:v>ตั้งโต๊ะ ชาบูฮาลาล</x:v>
      </x:c>
      <x:c r="C82" s="8" t="str">
        <x:v>กรุงเทพมหานคร</x:v>
      </x:c>
      <x:c r="D82" s="8" t="str">
        <x:v>สำรองหลังปรับตามเส้นทาง</x:v>
      </x:c>
      <x:c r="E82" s="8" t="str">
        <x:v>พบหลายแหล่งสัมพันธ์กับชื่อ รอยืนยันการเปิด</x:v>
      </x:c>
      <x:c r="F82" s="8" t="str">
        <x:v>ยังไม่ยืนยันการเปิดให้บริการปัจจุบัน</x:v>
      </x:c>
      <x:c r="G82" s="58" t="n">
        <x:v>2</x:v>
      </x:c>
      <x:c r="H82" s="52"/>
      <x:c r="I82" s="52"/>
      <x:c r="J82" s="52" t="str">
        <x:v>HYPERLINK is not implemented. linkLocation=https://www.wongnai.com/restaurants/2898009dj-%E0%B8%95%E0%B8%B1%E0%B9%89%E0%B8%87%E0%B9%82%E0%B8%95%E0%B9%8A%E0%B8%B0%E0%B8%8A%E0%B8%B2%E0%B8%9A%E0%B8%B9-%E0%B8%AE%E0%B8%B2%E0%B8%A5%E0%B8%B2%E0%B8%A5, friendlyName=เปิดหน้ารีวิว 1</x:v>
      </x:c>
      <x:c r="K82" s="52"/>
      <x:c r="L82" s="52"/>
      <x:c r="M82" s="52"/>
      <x:c r="N82" s="8" t="str">
        <x:v>ยังไม่ยืนยัน</x:v>
      </x:c>
      <x:c r="O8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82" s="40" t="n">
        <x:v>46315</x:v>
      </x:c>
      <x:c r="Q82" s="59" t="str">
        <x:v>ยังไม่ตรวจ</x:v>
      </x:c>
      <x:c r="R82" s="59" t="str">
        <x:v>รอติดต่อ</x:v>
      </x:c>
    </x:row>
    <x:row r="83" ht="84" customHeight="1">
      <x:c r="A83" s="2" t="str">
        <x:v>TMF-075</x:v>
      </x:c>
      <x:c r="B83" s="8" t="str">
        <x:v>ตำตำ ยำยำ ราม53</x:v>
      </x:c>
      <x:c r="C83" s="8" t="str">
        <x:v>กรุงเทพมหานคร</x:v>
      </x:c>
      <x:c r="D83" s="8" t="str">
        <x:v>สำรองหลังปรับตามเส้นทาง</x:v>
      </x:c>
      <x:c r="E83" s="8" t="str">
        <x:v>พบหลายแหล่งสัมพันธ์กับชื่อ รอยืนยันการเปิด</x:v>
      </x:c>
      <x:c r="F83" s="8" t="str">
        <x:v>ยังไม่ยืนยันการเปิดให้บริการปัจจุบัน</x:v>
      </x:c>
      <x:c r="G83" s="58" t="n">
        <x:v>2</x:v>
      </x:c>
      <x:c r="H83" s="52"/>
      <x:c r="I83" s="52"/>
      <x:c r="J83" s="52" t="str">
        <x:v>HYPERLINK is not implemented. linkLocation=https://www.wongnai.com/restaurants/3085640jK-%E0%B8%A3%E0%B9%89%E0%B8%B2%E0%B8%99%E0%B8%95%E0%B8%B3%E0%B8%95%E0%B8%B3-%E0%B8%A2%E0%B8%B3%E0%B8%A2%E0%B8%B3-%E0%B8%A3%E0%B8%B2%E0%B8%A153, friendlyName=เปิดหน้ารีวิว 1</x:v>
      </x:c>
      <x:c r="K83" s="52"/>
      <x:c r="L83" s="52"/>
      <x:c r="M83" s="52"/>
      <x:c r="N83" s="8" t="str">
        <x:v>ยังไม่ยืนยัน</x:v>
      </x:c>
      <x:c r="O8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83" s="40" t="n">
        <x:v>46315</x:v>
      </x:c>
      <x:c r="Q83" s="59" t="str">
        <x:v>ยังไม่ตรวจ</x:v>
      </x:c>
      <x:c r="R83" s="59" t="str">
        <x:v>รอติดต่อ</x:v>
      </x:c>
    </x:row>
    <x:row r="84" ht="84" customHeight="1">
      <x:c r="A84" s="2" t="str">
        <x:v>TMF-076</x:v>
      </x:c>
      <x:c r="B84" s="8" t="str">
        <x:v>ท่าพระคิทเช่น</x:v>
      </x:c>
      <x:c r="C84" s="8" t="str">
        <x:v>กรุงเทพมหานคร</x:v>
      </x:c>
      <x:c r="D84" s="8" t="str">
        <x:v>สำรองหลังปรับตามเส้นทาง</x:v>
      </x:c>
      <x:c r="E84" s="8" t="str">
        <x:v>พบหลายแหล่งสัมพันธ์กับชื่อ รอยืนยันการเปิด</x:v>
      </x:c>
      <x:c r="F84" s="8" t="str">
        <x:v>ยังไม่ยืนยันการเปิดให้บริการปัจจุบัน</x:v>
      </x:c>
      <x:c r="G84" s="58" t="n">
        <x:v>5</x:v>
      </x:c>
      <x:c r="H84" s="52"/>
      <x:c r="I84" s="52"/>
      <x:c r="J84" s="52" t="str">
        <x:v>HYPERLINK is not implemented. linkLocation=https://www.wongnai.com/restaurants/354038sz-%E0%B8%97%E0%B9%88%E0%B8%B2%E0%B8%9E%E0%B8%A3%E0%B8%B0%E0%B8%84%E0%B8%B4%E0%B8%97%E0%B9%80%E0%B8%8A%E0%B9%88%E0%B8%99-%E0%B8%AE%E0%B8%B2%E0%B8%A5%E0%B8%B2%E0%B8%A5-%E0%B8%97%E0%B9%88%E0%B8%B2%E0%B8%9E%E0%B8%A3%E0%B8%B0%E0%B8%84%E0%B8%B4%E0%B8%97%E0%B9%80%E0%B8%8A%E0%B9%88%E0%B8%99-%E0%B8%AE%E0%B8%B2%E0%B8%A5%E0%B8%B2%E0%B8%A5, friendlyName=เปิดหน้ารีวิว 1</x:v>
      </x:c>
      <x:c r="K84" s="52"/>
      <x:c r="L84" s="52" t="str">
        <x:v>HYPERLINK is not implemented. linkLocation=https://www.mustakshif.com/business-details/36055/tha-pra-kitchen-halal-10160-not-halal, friendlyName=เปิดเว็บเพิ่ม 1</x:v>
      </x:c>
      <x:c r="M84" s="52" t="str">
        <x:v>HYPERLINK is not implemented. linkLocation=https://salaamthailand.com/en/place/halal-food-%E0%B8%97%E0%B9%88%E0%B8%B2%E0%B8%9E%E0%B8%A3%E0%B8%B0%E0%B8%84%E0%B8%B4%E0%B8%97%E0%B9%80%E0%B8%8A%E0%B9%88%E0%B8%99-tha-pra-kitchen-halal-bcdsiy/, friendlyName=เปิดเว็บเพิ่ม 2</x:v>
      </x:c>
      <x:c r="N84" s="8" t="str">
        <x:v>ยังไม่ยืนยัน</x:v>
      </x:c>
      <x:c r="O8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84" s="40" t="n">
        <x:v>46315</x:v>
      </x:c>
      <x:c r="Q84" s="59" t="str">
        <x:v>ยังไม่ตรวจ</x:v>
      </x:c>
      <x:c r="R84" s="59" t="str">
        <x:v>รอติดต่อ</x:v>
      </x:c>
    </x:row>
    <x:row r="85" ht="84" customHeight="1">
      <x:c r="A85" s="2" t="str">
        <x:v>TMF-077</x:v>
      </x:c>
      <x:c r="B85" s="8" t="str">
        <x:v>บังสอนซุปหางวัว  ข้าวหางวัว</x:v>
      </x:c>
      <x:c r="C85" s="8" t="str">
        <x:v>กรุงเทพมหานคร</x:v>
      </x:c>
      <x:c r="D85" s="8" t="str">
        <x:v>สำรองหลังปรับตามเส้นทาง</x:v>
      </x:c>
      <x:c r="E85" s="8" t="str">
        <x:v>หลักฐานไม่พอ รอยืนยันการเปิด</x:v>
      </x:c>
      <x:c r="F85" s="8" t="str">
        <x:v>ยังไม่ยืนยันการเปิดให้บริการปัจจุบัน</x:v>
      </x:c>
      <x:c r="G85" s="58" t="n">
        <x:v>1</x:v>
      </x:c>
      <x:c r="H85" s="52"/>
      <x:c r="I85" s="52"/>
      <x:c r="J85" s="52"/>
      <x:c r="K85" s="52"/>
      <x:c r="L85" s="52"/>
      <x:c r="M85" s="52"/>
      <x:c r="N85" s="8" t="str">
        <x:v>ยังไม่ยืนยัน</x:v>
      </x:c>
      <x:c r="O8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85" s="40" t="n">
        <x:v>46315</x:v>
      </x:c>
      <x:c r="Q85" s="59" t="str">
        <x:v>ยังไม่ตรวจ</x:v>
      </x:c>
      <x:c r="R85" s="59" t="str">
        <x:v>รอติดต่อ</x:v>
      </x:c>
    </x:row>
    <x:row r="86" ht="84" customHeight="1">
      <x:c r="A86" s="2" t="str">
        <x:v>TMF-078</x:v>
      </x:c>
      <x:c r="B86" s="8" t="str">
        <x:v>บิสมิลลาฮ์ บังชามิล ก๋วยเตี๋ยวเรือ 20 บาท</x:v>
      </x:c>
      <x:c r="C86" s="8" t="str">
        <x:v>กรุงเทพมหานคร</x:v>
      </x:c>
      <x:c r="D86" s="8" t="str">
        <x:v>สำรองหลังปรับตามเส้นทาง</x:v>
      </x:c>
      <x:c r="E86" s="8" t="str">
        <x:v>หลักฐานไม่พอ รอยืนยันการเปิด</x:v>
      </x:c>
      <x:c r="F86" s="8" t="str">
        <x:v>ยังไม่ยืนยันการเปิดให้บริการปัจจุบัน</x:v>
      </x:c>
      <x:c r="G86" s="58" t="n">
        <x:v>1</x:v>
      </x:c>
      <x:c r="H86" s="52"/>
      <x:c r="I86" s="52"/>
      <x:c r="J86" s="52"/>
      <x:c r="K86" s="52"/>
      <x:c r="L86" s="52"/>
      <x:c r="M86" s="52"/>
      <x:c r="N86" s="8" t="str">
        <x:v>ยังไม่ยืนยัน</x:v>
      </x:c>
      <x:c r="O8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86" s="40" t="n">
        <x:v>46315</x:v>
      </x:c>
      <x:c r="Q86" s="59" t="str">
        <x:v>ยังไม่ตรวจ</x:v>
      </x:c>
      <x:c r="R86" s="59" t="str">
        <x:v>รอติดต่อ</x:v>
      </x:c>
    </x:row>
    <x:row r="87" ht="84" customHeight="1">
      <x:c r="A87" s="2" t="str">
        <x:v>TMF-079</x:v>
      </x:c>
      <x:c r="B87" s="8" t="str">
        <x:v>บ้านเกี๊ยวเย็นตาโฟ</x:v>
      </x:c>
      <x:c r="C87" s="8" t="str">
        <x:v>กรุงเทพมหานคร</x:v>
      </x:c>
      <x:c r="D87" s="8" t="str">
        <x:v>สำรองหลังปรับตามเส้นทาง</x:v>
      </x:c>
      <x:c r="E87" s="8" t="str">
        <x:v>หลักฐานไม่พอ รอยืนยันการเปิด</x:v>
      </x:c>
      <x:c r="F87" s="8" t="str">
        <x:v>ยังไม่ยืนยันการเปิดให้บริการปัจจุบัน</x:v>
      </x:c>
      <x:c r="G87" s="58" t="n">
        <x:v>1</x:v>
      </x:c>
      <x:c r="H87" s="52"/>
      <x:c r="I87" s="52"/>
      <x:c r="J87" s="52"/>
      <x:c r="K87" s="52"/>
      <x:c r="L87" s="52"/>
      <x:c r="M87" s="52"/>
      <x:c r="N87" s="8" t="str">
        <x:v>ยังไม่ยืนยัน</x:v>
      </x:c>
      <x:c r="O8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87" s="40" t="n">
        <x:v>46315</x:v>
      </x:c>
      <x:c r="Q87" s="59" t="str">
        <x:v>ยังไม่ตรวจ</x:v>
      </x:c>
      <x:c r="R87" s="59" t="str">
        <x:v>รอติดต่อ</x:v>
      </x:c>
    </x:row>
    <x:row r="88" ht="84" customHeight="1">
      <x:c r="A88" s="2" t="str">
        <x:v>TMF-080</x:v>
      </x:c>
      <x:c r="B88" s="8" t="str">
        <x:v>ฟาตินชิ้นสะดุ้ง สาขา ซีคอนศรีนครินทร์</x:v>
      </x:c>
      <x:c r="C88" s="8" t="str">
        <x:v>กรุงเทพมหานคร</x:v>
      </x:c>
      <x:c r="D88" s="8" t="str">
        <x:v>สำรองหลังปรับตามเส้นทาง</x:v>
      </x:c>
      <x:c r="E88" s="8" t="str">
        <x:v>พบหลายแหล่งสัมพันธ์กับชื่อ รอยืนยันการเปิด</x:v>
      </x:c>
      <x:c r="F88" s="8" t="str">
        <x:v>ยังไม่ยืนยันการเปิดให้บริการปัจจุบัน</x:v>
      </x:c>
      <x:c r="G88" s="58" t="n">
        <x:v>2</x:v>
      </x:c>
      <x:c r="H88" s="52"/>
      <x:c r="I88" s="52"/>
      <x:c r="J88" s="52"/>
      <x:c r="K88" s="52"/>
      <x:c r="L88" s="52" t="str">
        <x:v>HYPERLINK is not implemented. linkLocation=https://www.thaithurkic.com/%E0%B8%9F%E0%B8%B2%E0%B8%95%E0%B8%B4%E0%B8%99%E0%B8%8A%E0%B8%B4%E0%B9%89%E0%B8%99%E0%B8%AA%E0%B8%B0%E0%B8%94%E0%B8%B8%E0%B9%89%E0%B8%87-085-564-9459, friendlyName=เปิดเว็บเพิ่ม 1</x:v>
      </x:c>
      <x:c r="M88" s="52"/>
      <x:c r="N88" s="8" t="str">
        <x:v>ยังไม่ยืนยัน</x:v>
      </x:c>
      <x:c r="O88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88" s="40" t="n">
        <x:v>46315</x:v>
      </x:c>
      <x:c r="Q88" s="59" t="str">
        <x:v>ยังไม่ตรวจ</x:v>
      </x:c>
      <x:c r="R88" s="59" t="str">
        <x:v>รอติดต่อ</x:v>
      </x:c>
    </x:row>
    <x:row r="89" ht="84" customHeight="1">
      <x:c r="A89" s="2" t="str">
        <x:v>TMF-081</x:v>
      </x:c>
      <x:c r="B89" s="8" t="str">
        <x:v>ฟาตินชิ้นสะดุ้ง สาขา แฟชั่นไอส์แลนด์</x:v>
      </x:c>
      <x:c r="C89" s="8" t="str">
        <x:v>กรุงเทพมหานคร</x:v>
      </x:c>
      <x:c r="D89" s="8" t="str">
        <x:v>สำรองหลังปรับตามเส้นทาง</x:v>
      </x:c>
      <x:c r="E89" s="8" t="str">
        <x:v>พบหลายแหล่งสัมพันธ์กับชื่อ รอยืนยันการเปิด</x:v>
      </x:c>
      <x:c r="F89" s="8" t="str">
        <x:v>ยังไม่ยืนยันการเปิดให้บริการปัจจุบัน</x:v>
      </x:c>
      <x:c r="G89" s="58" t="n">
        <x:v>2</x:v>
      </x:c>
      <x:c r="H89" s="52"/>
      <x:c r="I89" s="52"/>
      <x:c r="J89" s="52"/>
      <x:c r="K89" s="52"/>
      <x:c r="L89" s="52" t="str">
        <x:v>HYPERLINK is not implemented. linkLocation=https://www.thaithurkic.com/%E0%B8%9F%E0%B8%B2%E0%B8%95%E0%B8%B4%E0%B8%99%E0%B8%8A%E0%B8%B4%E0%B9%89%E0%B8%99%E0%B8%AA%E0%B8%B0%E0%B8%94%E0%B8%B8%E0%B9%89%E0%B8%87-085-564-9459, friendlyName=เปิดเว็บเพิ่ม 1</x:v>
      </x:c>
      <x:c r="M89" s="52"/>
      <x:c r="N89" s="8" t="str">
        <x:v>ยังไม่ยืนยัน</x:v>
      </x:c>
      <x:c r="O89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89" s="40" t="n">
        <x:v>46315</x:v>
      </x:c>
      <x:c r="Q89" s="59" t="str">
        <x:v>ยังไม่ตรวจ</x:v>
      </x:c>
      <x:c r="R89" s="59" t="str">
        <x:v>รอติดต่อ</x:v>
      </x:c>
    </x:row>
    <x:row r="90" ht="84" customHeight="1">
      <x:c r="A90" s="2" t="str">
        <x:v>TMF-082</x:v>
      </x:c>
      <x:c r="B90" s="8" t="str">
        <x:v>มัส -มัน-ไก่-มาก</x:v>
      </x:c>
      <x:c r="C90" s="8" t="str">
        <x:v>กรุงเทพมหานคร</x:v>
      </x:c>
      <x:c r="D90" s="8" t="str">
        <x:v>สำรองหลังปรับตามเส้นทาง</x:v>
      </x:c>
      <x:c r="E90" s="8" t="str">
        <x:v>พบหลายแหล่งสัมพันธ์กับชื่อ รอยืนยันการเปิด</x:v>
      </x:c>
      <x:c r="F90" s="8" t="str">
        <x:v>ยังไม่ยืนยันการเปิดให้บริการปัจจุบัน</x:v>
      </x:c>
      <x:c r="G90" s="58" t="n">
        <x:v>2</x:v>
      </x:c>
      <x:c r="H90" s="52"/>
      <x:c r="I90" s="52"/>
      <x:c r="J90" s="52" t="str">
        <x:v>HYPERLINK is not implemented. linkLocation=https://www.wongnai.com/restaurants/3792968mV-%E0%B8%A1%E0%B8%B1%E0%B8%AA-%E0%B8%A1%E0%B8%B1%E0%B8%99-%E0%B9%84%E0%B8%81%E0%B9%88-%E0%B8%A1%E0%B8%B2%E0%B8%81-%E0%B8%AA%E0%B8%B2%E0%B8%82%E0%B8%B2%E0%B8%84%E0%B8%B9%E0%B9%89%E0%B8%8B%E0%B9%89%E0%B8%B2%E0%B8%A2, friendlyName=เปิดหน้ารีวิว 1</x:v>
      </x:c>
      <x:c r="K90" s="52"/>
      <x:c r="L90" s="52"/>
      <x:c r="M90" s="52"/>
      <x:c r="N90" s="8" t="str">
        <x:v>ยังไม่ยืนยัน</x:v>
      </x:c>
      <x:c r="O9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90" s="40" t="n">
        <x:v>46315</x:v>
      </x:c>
      <x:c r="Q90" s="59" t="str">
        <x:v>ยังไม่ตรวจ</x:v>
      </x:c>
      <x:c r="R90" s="59" t="str">
        <x:v>รอติดต่อ</x:v>
      </x:c>
    </x:row>
    <x:row r="91" ht="84" customHeight="1">
      <x:c r="A91" s="2" t="str">
        <x:v>TMF-083</x:v>
      </x:c>
      <x:c r="B91" s="8" t="str">
        <x:v>มุสลิมโฮม2 ห้องพักรายวัน</x:v>
      </x:c>
      <x:c r="C91" s="8" t="str">
        <x:v>กรุงเทพมหานคร</x:v>
      </x:c>
      <x:c r="D91" s="8" t="str">
        <x:v>อยู่ในชุด 600 ตามเส้นทาง</x:v>
      </x:c>
      <x:c r="E91" s="8" t="str">
        <x:v>พบชื่อสัมพันธ์หลายเว็บไซต์ รอยืนยันสาขา</x:v>
      </x:c>
      <x:c r="F91" s="8" t="str">
        <x:v>ยังไม่ยืนยันการเปิดให้บริการปัจจุบัน</x:v>
      </x:c>
      <x:c r="G91" s="58" t="n">
        <x:v>2</x:v>
      </x:c>
      <x:c r="H91" s="52" t="str"/>
      <x:c r="I91" s="52" t="str"/>
      <x:c r="J91" s="52" t="str"/>
      <x:c r="K91" s="52" t="str"/>
      <x:c r="L91" s="52" t="str">
        <x:v>https://makanhalalguide.com/shop/detail/5365</x:v>
      </x:c>
      <x:c r="M91" s="52" t="str">
        <x:v>https://www.thic.or.th/th/tourist/detail/accommodation/544</x:v>
      </x:c>
      <x:c r="N91" s="8" t="str">
        <x:v>ยังไม่ยืนยัน</x:v>
      </x:c>
      <x:c r="O91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91" s="40" t="n">
        <x:v>46315</x:v>
      </x:c>
      <x:c r="Q91" s="59" t="str">
        <x:v>ยังไม่ตรวจ</x:v>
      </x:c>
      <x:c r="R91" s="59" t="str">
        <x:v>รอติดต่อ</x:v>
      </x:c>
    </x:row>
    <x:row r="92" ht="84" customHeight="1">
      <x:c r="A92" s="2" t="str">
        <x:v>TMF-084</x:v>
      </x:c>
      <x:c r="B92" s="8" t="str">
        <x:v>ม๋อต้มตุ๋น ก๋วยเตี๋ยวเนื้อ-ข้าวมันไก่เบตง</x:v>
      </x:c>
      <x:c r="C92" s="8" t="str">
        <x:v>กรุงเทพมหานคร</x:v>
      </x:c>
      <x:c r="D92" s="8" t="str">
        <x:v>สำรองหลังปรับตามเส้นทาง</x:v>
      </x:c>
      <x:c r="E92" s="8" t="str">
        <x:v>หลักฐานไม่พอ รอยืนยันการเปิด</x:v>
      </x:c>
      <x:c r="F92" s="8" t="str">
        <x:v>ยังไม่ยืนยันการเปิดให้บริการปัจจุบัน</x:v>
      </x:c>
      <x:c r="G92" s="58" t="n">
        <x:v>1</x:v>
      </x:c>
      <x:c r="H92" s="52"/>
      <x:c r="I92" s="52"/>
      <x:c r="J92" s="52"/>
      <x:c r="K92" s="52"/>
      <x:c r="L92" s="52"/>
      <x:c r="M92" s="52"/>
      <x:c r="N92" s="8" t="str">
        <x:v>ยังไม่ยืนยัน</x:v>
      </x:c>
      <x:c r="O9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92" s="40" t="n">
        <x:v>46315</x:v>
      </x:c>
      <x:c r="Q92" s="59" t="str">
        <x:v>ยังไม่ตรวจ</x:v>
      </x:c>
      <x:c r="R92" s="59" t="str">
        <x:v>รอติดต่อ</x:v>
      </x:c>
    </x:row>
    <x:row r="93" ht="84" customHeight="1">
      <x:c r="A93" s="2" t="str">
        <x:v>TMF-085</x:v>
      </x:c>
      <x:c r="B93" s="8" t="str">
        <x:v>รอดียา - Rodeeya Halal food bangkok</x:v>
      </x:c>
      <x:c r="C93" s="8" t="str">
        <x:v>กรุงเทพมหานคร</x:v>
      </x:c>
      <x:c r="D93" s="8" t="str">
        <x:v>สำรองหลังปรับตามเส้นทาง</x:v>
      </x:c>
      <x:c r="E93" s="8" t="str">
        <x:v>พบหลายแหล่งสัมพันธ์กับชื่อ รอยืนยันการเปิด</x:v>
      </x:c>
      <x:c r="F93" s="8" t="str">
        <x:v>ยังไม่ยืนยันการเปิดให้บริการปัจจุบัน</x:v>
      </x:c>
      <x:c r="G93" s="58" t="n">
        <x:v>3</x:v>
      </x:c>
      <x:c r="H93" s="52"/>
      <x:c r="I93" s="52"/>
      <x:c r="J93" s="52" t="str">
        <x:v>HYPERLINK is not implemented. linkLocation=https://www.wongnai.com/restaurants/597675Eu-%E0%B8%A3%E0%B8%AD%E0%B8%94%E0%B8%B5%E0%B8%A2%E0%B8%B2-rodeeya-halal-food-bangkok-%E0%B8%99%E0%B8%A7%E0%B8%A1%E0%B8%B4%E0%B8%99%E0%B8%97%E0%B8%A3%E0%B9%8C, friendlyName=เปิดหน้ารีวิว 1</x:v>
      </x:c>
      <x:c r="K93" s="52" t="str">
        <x:v>HYPERLINK is not implemented. linkLocation=https://www.wongnai.com/restaurants/597675Eu-%E0%B8%A3%E0%B8%AD%E0%B8%94%E0%B8%B5%E0%B8%A2%E0%B8%B2-halal-%E0%B8%82%E0%B9%89%E0%B8%B2%E0%B8%A7%E0%B8%AB%E0%B8%A1%E0%B8%81%E0%B9%81%E0%B8%9E%E0%B8%B0-%E0%B9%80%E0%B8%99%E0%B8%B7%E0%B9%89%E0%B8%AD-%E0%B9%84%E0%B8%81%E0%B9%88-%E0%B8%81%E0%B9%8B%E0%B8%A7%E0%B8%A2%E0%B9%80%E0%B8%95%E0%B8%B5%E0%B9%8B%E0%B8%A2%E0%B8%A7%E0%B9%80%E0%B8%99%E0%B8%B7%E0%B9%89%E0%B8%AD%E0%B8%99%E0%B9%89%E0%B8%B3%E0%B8%95%E0%B8%81-%E0%B8%82%E0%B9%89%E0%B8%B2%E0%B8%A7%E0%B8%8B%E0%B8%AD%E0%B8%A2-%E0%B8%81%E0%B9%8B%E0%B8%A7%E0%B8%A2%E0%B9%80%E0%B8%95%E0%B8%B5%E0%B9%8B%E0%B8%A2%E0%B8%A7%E0%B9%81%E0%B8%81%E0%B8%87-%E0%B8%82%E0%B9%89%E0%B8%B2%E0%B8%A7%E0%B9%81%E0%B8%81%E0%B8%87%E0%B8%81%E0%B8%B0%E0%B8%AB%E0%B8%A3%E0%B8%B5%E0%B9%88-%E0%B9%80%E0%B8%99%E0%B8%B7%E0%B9%89%E0%B8%AD%E0%B9%84%E0%B8%81%E0%B9%88-%E0%B8%99%E0%B8%A7%E0%B8%A1%E0%B8%B4%E0%B8%99%E0%B8%97%E0%B8%A3%E0%B9%8C, friendlyName=เปิดหน้ารีวิว 2</x:v>
      </x:c>
      <x:c r="L93" s="52" t="str">
        <x:v>HYPERLINK is not implemented. linkLocation=https://www.findglocal.com/TH/Bangkok/171233632733879/%E0%B8%A3%E0%B8%AD%E0%B8%94%E0%B8%B5%E0%B8%A2%E0%B8%B2---Rodeeya-Halal-food-bangkok, friendlyName=เปิดเว็บเพิ่ม 1</x:v>
      </x:c>
      <x:c r="M93" s="52"/>
      <x:c r="N93" s="8" t="str">
        <x:v>ยังไม่ยืนยัน</x:v>
      </x:c>
      <x:c r="O9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93" s="40" t="n">
        <x:v>46315</x:v>
      </x:c>
      <x:c r="Q93" s="59" t="str">
        <x:v>ยังไม่ตรวจ</x:v>
      </x:c>
      <x:c r="R93" s="59" t="str">
        <x:v>รอติดต่อ</x:v>
      </x:c>
    </x:row>
    <x:row r="94" ht="84" customHeight="1">
      <x:c r="A94" s="2" t="str">
        <x:v>TMF-086</x:v>
      </x:c>
      <x:c r="B94" s="8" t="str">
        <x:v>ลี่หยาง Li yang สาขา Charn at the Avenue</x:v>
      </x:c>
      <x:c r="C94" s="8" t="str">
        <x:v>กรุงเทพมหานคร</x:v>
      </x:c>
      <x:c r="D94" s="8" t="str">
        <x:v>สำรองหลังปรับตามเส้นทาง</x:v>
      </x:c>
      <x:c r="E94" s="8" t="str">
        <x:v>หลักฐานไม่พอ รอยืนยันการเปิด</x:v>
      </x:c>
      <x:c r="F94" s="8" t="str">
        <x:v>ยังไม่ยืนยันการเปิดให้บริการปัจจุบัน</x:v>
      </x:c>
      <x:c r="G94" s="58" t="n">
        <x:v>1</x:v>
      </x:c>
      <x:c r="H94" s="52"/>
      <x:c r="I94" s="52"/>
      <x:c r="J94" s="52"/>
      <x:c r="K94" s="52"/>
      <x:c r="L94" s="52"/>
      <x:c r="M94" s="52"/>
      <x:c r="N94" s="8" t="str">
        <x:v>ยังไม่ยืนยัน</x:v>
      </x:c>
      <x:c r="O9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94" s="40" t="n">
        <x:v>46315</x:v>
      </x:c>
      <x:c r="Q94" s="59" t="str">
        <x:v>ยังไม่ตรวจ</x:v>
      </x:c>
      <x:c r="R94" s="59" t="str">
        <x:v>รอติดต่อ</x:v>
      </x:c>
    </x:row>
    <x:row r="95" ht="84" customHeight="1">
      <x:c r="A95" s="2" t="str">
        <x:v>TMF-087</x:v>
      </x:c>
      <x:c r="B95" s="8" t="str">
        <x:v>สไปซี่คัก ริมน้ำ by Amdangtyphoon</x:v>
      </x:c>
      <x:c r="C95" s="8" t="str">
        <x:v>กรุงเทพมหานคร</x:v>
      </x:c>
      <x:c r="D95" s="8" t="str">
        <x:v>อยู่ในชุด 600 ตามเส้นทาง</x:v>
      </x:c>
      <x:c r="E95" s="8" t="str">
        <x:v>พบชื่อสัมพันธ์หลายเว็บไซต์ รอยืนยันสาขา</x:v>
      </x:c>
      <x:c r="F95" s="8" t="str">
        <x:v>ยังไม่ยืนยันการเปิดให้บริการปัจจุบัน</x:v>
      </x:c>
      <x:c r="G95" s="58" t="n">
        <x:v>2</x:v>
      </x:c>
      <x:c r="H95" s="52" t="str"/>
      <x:c r="I95" s="52" t="str"/>
      <x:c r="J95" s="52" t="str">
        <x:v>https://www.wongnai.com/reviews/acd075064c874a3d9001225688174007</x:v>
      </x:c>
      <x:c r="K95" s="52" t="str"/>
      <x:c r="L95" s="52" t="str">
        <x:v>https://makanhalalguide.com/shop/detail/5312</x:v>
      </x:c>
      <x:c r="M95" s="52" t="str">
        <x:v>https://www.wongnai.com/reviews/acd075064c874a3d9001225688174007</x:v>
      </x:c>
      <x:c r="N95" s="8" t="str">
        <x:v>ยังไม่ยืนยัน</x:v>
      </x:c>
      <x:c r="O9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95" s="40" t="n">
        <x:v>46316</x:v>
      </x:c>
      <x:c r="Q95" s="59" t="str">
        <x:v>ยังไม่ตรวจ</x:v>
      </x:c>
      <x:c r="R95" s="59" t="str">
        <x:v>รอติดต่อ</x:v>
      </x:c>
    </x:row>
    <x:row r="96" ht="84" customHeight="1">
      <x:c r="A96" s="2" t="str">
        <x:v>TMF-088</x:v>
      </x:c>
      <x:c r="B96" s="8" t="str">
        <x:v>อาลีบาบา ราเมงเส้นสด</x:v>
      </x:c>
      <x:c r="C96" s="8" t="str">
        <x:v>กรุงเทพมหานคร</x:v>
      </x:c>
      <x:c r="D96" s="8" t="str">
        <x:v>สำรองหลังปรับตามเส้นทาง</x:v>
      </x:c>
      <x:c r="E96" s="8" t="str">
        <x:v>หลักฐานไม่พอ รอยืนยันการเปิด</x:v>
      </x:c>
      <x:c r="F96" s="8" t="str">
        <x:v>ยังไม่ยืนยันการเปิดให้บริการปัจจุบัน</x:v>
      </x:c>
      <x:c r="G96" s="58" t="n">
        <x:v>1</x:v>
      </x:c>
      <x:c r="H96" s="52"/>
      <x:c r="I96" s="52"/>
      <x:c r="J96" s="52"/>
      <x:c r="K96" s="52"/>
      <x:c r="L96" s="52"/>
      <x:c r="M96" s="52"/>
      <x:c r="N96" s="8" t="str">
        <x:v>ยังไม่ยืนยัน</x:v>
      </x:c>
      <x:c r="O9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96" s="40" t="n">
        <x:v>46315</x:v>
      </x:c>
      <x:c r="Q96" s="59" t="str">
        <x:v>ยังไม่ตรวจ</x:v>
      </x:c>
      <x:c r="R96" s="59" t="str">
        <x:v>รอติดต่อ</x:v>
      </x:c>
    </x:row>
    <x:row r="97" ht="84" customHeight="1">
      <x:c r="A97" s="2" t="str">
        <x:v>TMF-089</x:v>
      </x:c>
      <x:c r="B97" s="8" t="str">
        <x:v>อาไบมาโคขุน สาขา2</x:v>
      </x:c>
      <x:c r="C97" s="8" t="str">
        <x:v>กรุงเทพมหานคร</x:v>
      </x:c>
      <x:c r="D97" s="8" t="str">
        <x:v>สำรองหลังปรับตามเส้นทาง</x:v>
      </x:c>
      <x:c r="E97" s="8" t="str">
        <x:v>พบหลายแหล่งสัมพันธ์กับชื่อ รอยืนยันการเปิด</x:v>
      </x:c>
      <x:c r="F97" s="8" t="str">
        <x:v>ยังไม่ยืนยันการเปิดให้บริการปัจจุบัน</x:v>
      </x:c>
      <x:c r="G97" s="58" t="n">
        <x:v>2</x:v>
      </x:c>
      <x:c r="H97" s="52"/>
      <x:c r="I97" s="52"/>
      <x:c r="J97" s="52" t="str">
        <x:v>HYPERLINK is not implemented. linkLocation=https://www.wongnai.com/restaurants/2883676di-%E0%B8%AD%E0%B8%B2%E0%B9%84%E0%B8%9A%E0%B8%A1%E0%B8%B2%E0%B9%82%E0%B8%84%E0%B8%82%E0%B8%B8%E0%B8%99-%E0%B8%AA%E0%B8%B2%E0%B8%82%E0%B8%B22-the-canteen-srinakarin, friendlyName=เปิดหน้ารีวิว 1</x:v>
      </x:c>
      <x:c r="K97" s="52" t="str">
        <x:v>HYPERLINK is not implemented. linkLocation=https://www.wongnai.com/restaurants/2883676di-%E0%B8%AD%E0%B8%B2%E0%B9%84%E0%B8%9A%E0%B8%A1%E0%B8%B2%E0%B9%82%E0%B8%84%E0%B8%82%E0%B8%B8%E0%B8%99-%E0%B8%AA%E0%B8%B2%E0%B8%82%E0%B8%B22-%E0%B9%80%E0%B8%94%E0%B8%AD%E0%B8%B0%E0%B9%81%E0%B8%84%E0%B8%99%E0%B8%97%E0%B8%B5%E0%B8%99-%E0%B8%A8%E0%B8%A3%E0%B8%B5%E0%B8%99%E0%B8%84%E0%B8%A3%E0%B8%B4%E0%B8%99%E0%B8%97%E0%B8%A3%E0%B9%8C-the-canteen-srinakarin, friendlyName=เปิดหน้ารีวิว 2</x:v>
      </x:c>
      <x:c r="L97" s="52"/>
      <x:c r="M97" s="52"/>
      <x:c r="N97" s="8" t="str">
        <x:v>ยังไม่ยืนยัน</x:v>
      </x:c>
      <x:c r="O9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97" s="40" t="n">
        <x:v>46315</x:v>
      </x:c>
      <x:c r="Q97" s="59" t="str">
        <x:v>ยังไม่ตรวจ</x:v>
      </x:c>
      <x:c r="R97" s="59" t="str">
        <x:v>รอติดต่อ</x:v>
      </x:c>
    </x:row>
    <x:row r="98" ht="84" customHeight="1">
      <x:c r="A98" s="2" t="str">
        <x:v>TMF-090</x:v>
      </x:c>
      <x:c r="B98" s="8" t="str">
        <x:v>เจริญบัง สุกี้ ฮาลาล</x:v>
      </x:c>
      <x:c r="C98" s="8" t="str">
        <x:v>กรุงเทพมหานคร</x:v>
      </x:c>
      <x:c r="D98" s="8" t="str">
        <x:v>สำรองหลังปรับตามเส้นทาง</x:v>
      </x:c>
      <x:c r="E98" s="8" t="str">
        <x:v>พบหลายแหล่งสัมพันธ์กับชื่อ รอยืนยันการเปิด</x:v>
      </x:c>
      <x:c r="F98" s="8" t="str">
        <x:v>ยังไม่ยืนยันการเปิดให้บริการปัจจุบัน</x:v>
      </x:c>
      <x:c r="G98" s="58" t="n">
        <x:v>2</x:v>
      </x:c>
      <x:c r="H98" s="52"/>
      <x:c r="I98" s="52"/>
      <x:c r="J98" s="52" t="str">
        <x:v>HYPERLINK is not implemented. linkLocation=https://www.lemon8-app.com/%40bus_wisanu/7548286134653141505?region=th, friendlyName=เปิดหน้ารีวิว 1</x:v>
      </x:c>
      <x:c r="K98" s="52"/>
      <x:c r="L98" s="52"/>
      <x:c r="M98" s="52"/>
      <x:c r="N98" s="8" t="str">
        <x:v>ยังไม่ยืนยัน</x:v>
      </x:c>
      <x:c r="O9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98" s="40" t="n">
        <x:v>46315</x:v>
      </x:c>
      <x:c r="Q98" s="59" t="str">
        <x:v>ยังไม่ตรวจ</x:v>
      </x:c>
      <x:c r="R98" s="59" t="str">
        <x:v>รอติดต่อ</x:v>
      </x:c>
    </x:row>
    <x:row r="99" ht="84" customHeight="1">
      <x:c r="A99" s="2" t="str">
        <x:v>TMF-091</x:v>
      </x:c>
      <x:c r="B99" s="8" t="str">
        <x:v>เซี้ยะ ข้าวมันไก่ สูตรเบตง - สาขามีนบุรี حلا</x:v>
      </x:c>
      <x:c r="C99" s="8" t="str">
        <x:v>กรุงเทพมหานคร</x:v>
      </x:c>
      <x:c r="D99" s="8" t="str">
        <x:v>สำรองหลังปรับตามเส้นทาง</x:v>
      </x:c>
      <x:c r="E99" s="8" t="str">
        <x:v>พบหลายแหล่งสัมพันธ์กับชื่อ รอยืนยันการเปิด</x:v>
      </x:c>
      <x:c r="F99" s="8" t="str">
        <x:v>ยังไม่ยืนยันการเปิดให้บริการปัจจุบัน</x:v>
      </x:c>
      <x:c r="G99" s="58" t="n">
        <x:v>3</x:v>
      </x:c>
      <x:c r="H99" s="52"/>
      <x:c r="I99" s="52"/>
      <x:c r="J99" s="52" t="str">
        <x:v>HYPERLINK is not implemented. linkLocation=https://ru.restaurantguru.com/%E0%B9%80%E0%B8%8B%E0%B8%B5%E0%B9%89%E0%B8%A2%E0%B8%B0-%E0%B8%82%E0%B9%89%E0%B8%B2%E0%B8%A7%E0%B8%A1%E0%B8%B1%E0%B8%99%E0%B9%84%E0%B8%81%E0%B9%88-%E0%B8%AA%E0%B8%B9%E0%B8%95%E0%B8%A3%E0%B9%80%E0%B8%9A%E0%B8%95%E0%B8%87-Bangkok, friendlyName=เปิดหน้ารีวิว 1</x:v>
      </x:c>
      <x:c r="K99" s="52" t="str">
        <x:v>HYPERLINK is not implemented. linkLocation=https://www.lemon8-app.com/%40feenakaa/7511533608364966416?region=th, friendlyName=เปิดหน้ารีวิว 2</x:v>
      </x:c>
      <x:c r="L99" s="52"/>
      <x:c r="M99" s="52"/>
      <x:c r="N99" s="8" t="str">
        <x:v>ยังไม่ยืนยัน</x:v>
      </x:c>
      <x:c r="O9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99" s="40" t="n">
        <x:v>46315</x:v>
      </x:c>
      <x:c r="Q99" s="59" t="str">
        <x:v>ยังไม่ตรวจ</x:v>
      </x:c>
      <x:c r="R99" s="59" t="str">
        <x:v>รอติดต่อ</x:v>
      </x:c>
    </x:row>
    <x:row r="100" ht="84" customHeight="1">
      <x:c r="A100" s="2" t="str">
        <x:v>TMF-092</x:v>
      </x:c>
      <x:c r="B100" s="8" t="str">
        <x:v>เทียนถังหม่าล่า สาขา OR Space รามคำแหง 129</x:v>
      </x:c>
      <x:c r="C100" s="8" t="str">
        <x:v>กรุงเทพมหานคร</x:v>
      </x:c>
      <x:c r="D100" s="8" t="str">
        <x:v>สำรองหลังปรับตามเส้นทาง</x:v>
      </x:c>
      <x:c r="E100" s="8" t="str">
        <x:v>พบหลายแหล่งสัมพันธ์กับชื่อ รอยืนยันการเปิด</x:v>
      </x:c>
      <x:c r="F100" s="8" t="str">
        <x:v>ยังไม่ยืนยันการเปิดให้บริการปัจจุบัน</x:v>
      </x:c>
      <x:c r="G100" s="58" t="n">
        <x:v>3</x:v>
      </x:c>
      <x:c r="H100" s="52" t="str">
        <x:v>HYPERLINK is not implemented. linkLocation=https://lin.ee/KRBDzQr, friendlyName=เปิดช่องทาง 1</x:v>
      </x:c>
      <x:c r="I100" s="52"/>
      <x:c r="J100" s="52" t="str">
        <x:v>HYPERLINK is not implemented. linkLocation=https://www.lemon8-app.com/%40k.niireviews/7461103249840472584?region=th, friendlyName=เปิดหน้ารีวิว 1</x:v>
      </x:c>
      <x:c r="K100" s="52"/>
      <x:c r="L100" s="52" t="str">
        <x:v>HYPERLINK is not implemented. linkLocation=https://www.findglocal.com/TH/Bangkok/170371169484593/%E0%B9%80%E0%B8%97%E0%B8%B5%E0%B8%A2%E0%B8%99%E0%B8%96%E0%B8%B1%E0%B8%87%E0%B8%AB%E0%B8%A1%E0%B9%88%E0%B8%B2%E0%B8%A5%E0%B9%88%E0%B8%B2, friendlyName=เปิดเว็บเพิ่ม 1</x:v>
      </x:c>
      <x:c r="M100" s="52"/>
      <x:c r="N100" s="8" t="str">
        <x:v>ยังไม่ยืนยัน</x:v>
      </x:c>
      <x:c r="O100" s="8" t="str">
        <x:v>ยังไม่ยืนยันวันที่โพสต์/รีวิวล่าสุดและการเปิดให้บริการปัจจุบัน</x:v>
      </x:c>
      <x:c r="P100" s="40" t="n">
        <x:v>46315</x:v>
      </x:c>
      <x:c r="Q100" s="59" t="str">
        <x:v>ยังไม่ตรวจ</x:v>
      </x:c>
      <x:c r="R100" s="59" t="str">
        <x:v>รอติดต่อ</x:v>
      </x:c>
    </x:row>
    <x:row r="101" ht="84" customHeight="1">
      <x:c r="A101" s="2" t="str">
        <x:v>TMF-093</x:v>
      </x:c>
      <x:c r="B101" s="8" t="str">
        <x:v>เย็นตาโฟโก๋ยา สาขา 2 พัฒนาการ</x:v>
      </x:c>
      <x:c r="C101" s="8" t="str">
        <x:v>กรุงเทพมหานคร</x:v>
      </x:c>
      <x:c r="D101" s="8" t="str">
        <x:v>สำรองหลังปรับตามเส้นทาง</x:v>
      </x:c>
      <x:c r="E101" s="8" t="str">
        <x:v>หลักฐานไม่พอ รอยืนยันการเปิด</x:v>
      </x:c>
      <x:c r="F101" s="8" t="str">
        <x:v>ยังไม่ยืนยันการเปิดให้บริการปัจจุบัน</x:v>
      </x:c>
      <x:c r="G101" s="58" t="n">
        <x:v>1</x:v>
      </x:c>
      <x:c r="H101" s="52"/>
      <x:c r="I101" s="52"/>
      <x:c r="J101" s="52"/>
      <x:c r="K101" s="52"/>
      <x:c r="L101" s="52"/>
      <x:c r="M101" s="52"/>
      <x:c r="N101" s="8" t="str">
        <x:v>ยังไม่ยืนยัน</x:v>
      </x:c>
      <x:c r="O10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01" s="40" t="n">
        <x:v>46315</x:v>
      </x:c>
      <x:c r="Q101" s="59" t="str">
        <x:v>ยังไม่ตรวจ</x:v>
      </x:c>
      <x:c r="R101" s="59" t="str">
        <x:v>รอติดต่อ</x:v>
      </x:c>
    </x:row>
    <x:row r="102" ht="84" customHeight="1">
      <x:c r="A102" s="2" t="str">
        <x:v>TMF-094</x:v>
      </x:c>
      <x:c r="B102" s="8" t="str">
        <x:v>เหล่าม่า ฮาลาล โจ๊กฮ่องกง ติ่มซำกุ้งเด้ง</x:v>
      </x:c>
      <x:c r="C102" s="8" t="str">
        <x:v>กรุงเทพมหานคร</x:v>
      </x:c>
      <x:c r="D102" s="8" t="str">
        <x:v>สำรองหลังปรับตามเส้นทาง</x:v>
      </x:c>
      <x:c r="E102" s="8" t="str">
        <x:v>พบหลายแหล่งสัมพันธ์กับชื่อ รอยืนยันการเปิด</x:v>
      </x:c>
      <x:c r="F102" s="8" t="str">
        <x:v>ยังไม่ยืนยันการเปิดให้บริการปัจจุบัน</x:v>
      </x:c>
      <x:c r="G102" s="58" t="n">
        <x:v>2</x:v>
      </x:c>
      <x:c r="H102" s="52" t="str">
        <x:v>HYPERLINK is not implemented. linkLocation=https://www.facebook.com/profile, friendlyName=เปิดช่องทาง 1</x:v>
      </x:c>
      <x:c r="I102" s="52"/>
      <x:c r="J102" s="52"/>
      <x:c r="K102" s="52"/>
      <x:c r="L102" s="52" t="str">
        <x:v>HYPERLINK is not implemented. linkLocation=https://www.bkkkids.com/blog/the-best-kids-cafes-in-bangkok/, friendlyName=เปิดเว็บเพิ่ม 1</x:v>
      </x:c>
      <x:c r="M102" s="52"/>
      <x:c r="N102" s="8" t="str">
        <x:v>ยังไม่ยืนยัน</x:v>
      </x:c>
      <x:c r="O102" s="8" t="str">
        <x:v>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02" s="40" t="n">
        <x:v>46315</x:v>
      </x:c>
      <x:c r="Q102" s="59" t="str">
        <x:v>ยังไม่ตรวจ</x:v>
      </x:c>
      <x:c r="R102" s="59" t="str">
        <x:v>รอติดต่อ</x:v>
      </x:c>
    </x:row>
    <x:row r="103" ht="84" customHeight="1">
      <x:c r="A103" s="2" t="str">
        <x:v>TMF-095</x:v>
      </x:c>
      <x:c r="B103" s="8" t="str">
        <x:v>แมนดาริน สุกี้&amp;ติ่มซำ สาขา พระราม9-รามคำแหง</x:v>
      </x:c>
      <x:c r="C103" s="8" t="str">
        <x:v>กรุงเทพมหานคร</x:v>
      </x:c>
      <x:c r="D103" s="8" t="str">
        <x:v>สำรองหลังปรับตามเส้นทาง</x:v>
      </x:c>
      <x:c r="E103" s="8" t="str">
        <x:v>พบหลายแหล่งสัมพันธ์กับชื่อ รอยืนยันการเปิด</x:v>
      </x:c>
      <x:c r="F103" s="8" t="str">
        <x:v>ยังไม่ยืนยันการเปิดให้บริการปัจจุบัน</x:v>
      </x:c>
      <x:c r="G103" s="58" t="n">
        <x:v>3</x:v>
      </x:c>
      <x:c r="H103" s="52" t="str">
        <x:v>HYPERLINK is not implemented. linkLocation=http://www.facebook.com/MandarinSukiSeaconBangkae/, friendlyName=เปิดช่องทาง 1</x:v>
      </x:c>
      <x:c r="I103" s="52"/>
      <x:c r="J103" s="52" t="str">
        <x:v>HYPERLINK is not implemented. linkLocation=https://www.lemon8-app.com/experience/%E0%B9%81%E0%B8%A1%E0%B8%99%E0%B8%94%E0%B8%B2%E0%B8%A3%E0%B8%B4%E0%B8%99%E0%B8%8B%E0%B8%B5%E0%B8%84%E0%B8%AD%E0%B8%99?region=th, friendlyName=เปิดหน้ารีวิว 1</x:v>
      </x:c>
      <x:c r="K103" s="52"/>
      <x:c r="L103" s="52" t="str">
        <x:v>HYPERLINK is not implemented. linkLocation=https://th.openrice.com/th/bangkok/r-%E0%B9%81%E0%B8%A1%E0%B8%99%E0%B8%94%E0%B8%B2%E0%B8%A3%E0%B8%B4%E0%B8%99-%E0%B8%AA%E0%B8%B8%E0%B8%81%E0%B8%B5%E0%B9%89-%E0%B8%95%E0%B8%B4%E0%B9%88%E0%B8%A1%E0%B8%8B%E0%B8%B3-%E0%B8%9A%E0%B8%B2%E0%B8%87%E0%B8%AB%E0%B8%A7%E0%B9%89%E0%B8%B2-%E0%B8%9A%E0%B8%B8%E0%B8%9F%E0%B9%80%E0%B8%9F%E0%B9%88%E0%B8%95%E0%B9%8C%E0%B8%8A%E0%B8%B2%E0%B8%9A%E0%B8%B9-r1586648, friendlyName=เปิดเว็บเพิ่ม 1</x:v>
      </x:c>
      <x:c r="M103" s="52"/>
      <x:c r="N103" s="8" t="str">
        <x:v>ยังไม่ยืนยัน</x:v>
      </x:c>
      <x:c r="O103" s="8" t="str">
        <x:v>ยังไม่ยืนยันวันที่โพสต์/รีวิวล่าสุดและการเปิดให้บริการปัจจุบัน</x:v>
      </x:c>
      <x:c r="P103" s="40" t="n">
        <x:v>46315</x:v>
      </x:c>
      <x:c r="Q103" s="59" t="str">
        <x:v>ยังไม่ตรวจ</x:v>
      </x:c>
      <x:c r="R103" s="59" t="str">
        <x:v>รอติดต่อ</x:v>
      </x:c>
    </x:row>
    <x:row r="104" ht="84" customHeight="1">
      <x:c r="A104" s="2" t="str">
        <x:v>TMF-096</x:v>
      </x:c>
      <x:c r="B104" s="8" t="str">
        <x:v>แมนดาริน สุกี้&amp;ติ่มซำ สาขา เดอะมอลล์ไลฟ์สโตร์ บางกะปิ</x:v>
      </x:c>
      <x:c r="C104" s="8" t="str">
        <x:v>กรุงเทพมหานคร</x:v>
      </x:c>
      <x:c r="D104" s="8" t="str">
        <x:v>สำรองหลังปรับตามเส้นทาง</x:v>
      </x:c>
      <x:c r="E104" s="8" t="str">
        <x:v>พบหลายแหล่งสัมพันธ์กับชื่อ รอยืนยันการเปิด</x:v>
      </x:c>
      <x:c r="F104" s="8" t="str">
        <x:v>ยังไม่ยืนยันการเปิดให้บริการปัจจุบัน</x:v>
      </x:c>
      <x:c r="G104" s="58" t="n">
        <x:v>2</x:v>
      </x:c>
      <x:c r="H104" s="52" t="str">
        <x:v>HYPERLINK is not implemented. linkLocation=http://www.facebook.com/MandarinSukiSeaconBangkae/, friendlyName=เปิดช่องทาง 1</x:v>
      </x:c>
      <x:c r="I104" s="52"/>
      <x:c r="J104" s="52"/>
      <x:c r="K104" s="52"/>
      <x:c r="L104" s="52" t="str">
        <x:v>HYPERLINK is not implemented. linkLocation=https://th.openrice.com/th/bangkok/r-%E0%B9%81%E0%B8%A1%E0%B8%99%E0%B8%94%E0%B8%B2%E0%B8%A3%E0%B8%B4%E0%B8%99-%E0%B8%AA%E0%B8%B8%E0%B8%81%E0%B8%B5%E0%B9%89-%E0%B8%95%E0%B8%B4%E0%B9%88%E0%B8%A1%E0%B8%8B%E0%B8%B3-%E0%B8%9A%E0%B8%B2%E0%B8%87%E0%B8%AB%E0%B8%A7%E0%B9%89%E0%B8%B2-%E0%B8%9A%E0%B8%B8%E0%B8%9F%E0%B9%80%E0%B8%9F%E0%B9%88%E0%B8%95%E0%B9%8C%E0%B8%8A%E0%B8%B2%E0%B8%9A%E0%B8%B9-r1586648, friendlyName=เปิดเว็บเพิ่ม 1</x:v>
      </x:c>
      <x:c r="M104" s="52"/>
      <x:c r="N104" s="8" t="str">
        <x:v>ยังไม่ยืนยัน</x:v>
      </x:c>
      <x:c r="O104" s="8" t="str">
        <x:v>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04" s="40" t="n">
        <x:v>46315</x:v>
      </x:c>
      <x:c r="Q104" s="59" t="str">
        <x:v>ยังไม่ตรวจ</x:v>
      </x:c>
      <x:c r="R104" s="59" t="str">
        <x:v>รอติดต่อ</x:v>
      </x:c>
    </x:row>
    <x:row r="105" ht="84" customHeight="1">
      <x:c r="A105" s="2" t="str">
        <x:v>TMF-097</x:v>
      </x:c>
      <x:c r="B105" s="8" t="str">
        <x:v>๑๐๐นัด ฮาลาล</x:v>
      </x:c>
      <x:c r="C105" s="8" t="str">
        <x:v>กรุงเทพมหานคร</x:v>
      </x:c>
      <x:c r="D105" s="8" t="str">
        <x:v>สำรองหลังปรับตามเส้นทาง</x:v>
      </x:c>
      <x:c r="E105" s="8" t="str">
        <x:v>หลักฐานไม่พอ รอยืนยันการเปิด</x:v>
      </x:c>
      <x:c r="F105" s="8" t="str">
        <x:v>ยังไม่ยืนยันการเปิดให้บริการปัจจุบัน</x:v>
      </x:c>
      <x:c r="G105" s="58" t="n">
        <x:v>1</x:v>
      </x:c>
      <x:c r="H105" s="52"/>
      <x:c r="I105" s="52"/>
      <x:c r="J105" s="52"/>
      <x:c r="K105" s="52"/>
      <x:c r="L105" s="52"/>
      <x:c r="M105" s="52"/>
      <x:c r="N105" s="8" t="str">
        <x:v>ยังไม่ยืนยัน</x:v>
      </x:c>
      <x:c r="O10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05" s="40" t="n">
        <x:v>46315</x:v>
      </x:c>
      <x:c r="Q105" s="59" t="str">
        <x:v>ยังไม่ตรวจ</x:v>
      </x:c>
      <x:c r="R105" s="59" t="str">
        <x:v>รอติดต่อ</x:v>
      </x:c>
    </x:row>
    <x:row r="106" ht="84" customHeight="1">
      <x:c r="A106" s="2" t="str">
        <x:v>TMF-098</x:v>
      </x:c>
      <x:c r="B106" s="8" t="str">
        <x:v>เซ็นทรัลเวิลด์</x:v>
      </x:c>
      <x:c r="C106" s="8" t="str">
        <x:v>กรุงเทพมหานคร</x:v>
      </x:c>
      <x:c r="D106" s="8" t="str">
        <x:v>อยู่ในชุด 600 ตามเส้นทาง</x:v>
      </x:c>
      <x:c r="E106" s="8" t="str">
        <x:v>พบชื่อสัมพันธ์หลายเว็บไซต์ รอยืนยันสาขา</x:v>
      </x:c>
      <x:c r="F106" s="8" t="str">
        <x:v>ยังไม่ยืนยันการเปิดให้บริการปัจจุบัน</x:v>
      </x:c>
      <x:c r="G106" s="58" t="n">
        <x:v>10</x:v>
      </x:c>
      <x:c r="H106" s="52" t="str"/>
      <x:c r="I106" s="52" t="str"/>
      <x:c r="J106" s="52" t="str">
        <x:v>https://th.tripadvisor.com/Attraction_Review-g293916-d549670-Reviews-CentralWorld-Bangkok.html</x:v>
      </x:c>
      <x:c r="K106" s="52" t="str">
        <x:v>https://www.wongnai.com/attractions/343674jz-centralworld</x:v>
      </x:c>
      <x:c r="L106" s="52" t="str">
        <x:v>https://centralworld.co.th/en/news/CTW-A-Practical-Muslim-Traveller</x:v>
      </x:c>
      <x:c r="M106" s="52" t="str">
        <x:v>https://th.tripadvisor.com/Attraction_Review-g293916-d549670-Reviews-CentralWorld-Bangkok.html</x:v>
      </x:c>
      <x:c r="N106" s="8" t="str">
        <x:v>ยังไม่ยืนยัน</x:v>
      </x:c>
      <x:c r="O10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06" s="40" t="n">
        <x:v>46315</x:v>
      </x:c>
      <x:c r="Q106" s="59" t="str">
        <x:v>ยังไม่ตรวจ</x:v>
      </x:c>
      <x:c r="R106" s="59" t="str">
        <x:v>รอติดต่อ</x:v>
      </x:c>
    </x:row>
    <x:row r="107" ht="84" customHeight="1">
      <x:c r="A107" s="2" t="str">
        <x:v>TMF-099</x:v>
      </x:c>
      <x:c r="B107" s="8" t="str">
        <x:v>Nanthawan park 888</x:v>
      </x:c>
      <x:c r="C107" s="8" t="str">
        <x:v>ฉะเชิงเทรา</x:v>
      </x:c>
      <x:c r="D107" s="8" t="str">
        <x:v>สำรองหลังปรับตามเส้นทาง</x:v>
      </x:c>
      <x:c r="E107" s="8" t="str">
        <x:v>พบหลายแหล่งสัมพันธ์กับชื่อ รอยืนยันการเปิด</x:v>
      </x:c>
      <x:c r="F107" s="8" t="str">
        <x:v>ยังไม่ยืนยันการเปิดให้บริการปัจจุบัน</x:v>
      </x:c>
      <x:c r="G107" s="58" t="n">
        <x:v>3</x:v>
      </x:c>
      <x:c r="H107" s="52"/>
      <x:c r="I107" s="52"/>
      <x:c r="J107" s="52" t="str">
        <x:v>HYPERLINK is not implemented. linkLocation=https://www.lemon8-app.com/%40ammy_channel/7556934933797683729?region=th, friendlyName=เปิดหน้ารีวิว 1</x:v>
      </x:c>
      <x:c r="K107" s="52" t="str">
        <x:v>HYPERLINK is not implemented. linkLocation=https://www.lemon8-app.com/%40nakrrobb/7422549203525730832?region=th, friendlyName=เปิดหน้ารีวิว 2</x:v>
      </x:c>
      <x:c r="L107" s="52"/>
      <x:c r="M107" s="52"/>
      <x:c r="N107" s="8" t="str">
        <x:v>ยังไม่ยืนยัน</x:v>
      </x:c>
      <x:c r="O10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07" s="40" t="n">
        <x:v>46315</x:v>
      </x:c>
      <x:c r="Q107" s="59" t="str">
        <x:v>ยังไม่ตรวจ</x:v>
      </x:c>
      <x:c r="R107" s="59" t="str">
        <x:v>รอติดต่อ</x:v>
      </x:c>
    </x:row>
    <x:row r="108" ht="84" customHeight="1">
      <x:c r="A108" s="2" t="str">
        <x:v>TMF-100</x:v>
      </x:c>
      <x:c r="B108" s="8" t="str">
        <x:v>บังคอลิดน้ำลำไยสด</x:v>
      </x:c>
      <x:c r="C108" s="8" t="str">
        <x:v>ฉะเชิงเทรา</x:v>
      </x:c>
      <x:c r="D108" s="8" t="str">
        <x:v>สำรองหลังปรับตามเส้นทาง</x:v>
      </x:c>
      <x:c r="E108" s="8" t="str">
        <x:v>หลักฐานไม่พอ รอยืนยันการเปิด</x:v>
      </x:c>
      <x:c r="F108" s="8" t="str">
        <x:v>ยังไม่ยืนยันการเปิดให้บริการปัจจุบัน</x:v>
      </x:c>
      <x:c r="G108" s="58" t="n">
        <x:v>1</x:v>
      </x:c>
      <x:c r="H108" s="52"/>
      <x:c r="I108" s="52"/>
      <x:c r="J108" s="52"/>
      <x:c r="K108" s="52"/>
      <x:c r="L108" s="52"/>
      <x:c r="M108" s="52"/>
      <x:c r="N108" s="8" t="str">
        <x:v>ยังไม่ยืนยัน</x:v>
      </x:c>
      <x:c r="O10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08" s="40" t="n">
        <x:v>46315</x:v>
      </x:c>
      <x:c r="Q108" s="59" t="str">
        <x:v>ยังไม่ตรวจ</x:v>
      </x:c>
      <x:c r="R108" s="59" t="str">
        <x:v>รอติดต่อ</x:v>
      </x:c>
    </x:row>
    <x:row r="109" ht="84" customHeight="1">
      <x:c r="A109" s="2" t="str">
        <x:v>TMF-101</x:v>
      </x:c>
      <x:c r="B109" s="8" t="str">
        <x:v>บ้านผู้การ DZEN Home Station</x:v>
      </x:c>
      <x:c r="C109" s="8" t="str">
        <x:v>ฉะเชิงเทรา</x:v>
      </x:c>
      <x:c r="D109" s="8" t="str">
        <x:v>สำรองหลังปรับตามเส้นทาง</x:v>
      </x:c>
      <x:c r="E109" s="8" t="str">
        <x:v>พบหลายแหล่งสัมพันธ์กับชื่อ รอยืนยันการเปิด</x:v>
      </x:c>
      <x:c r="F109" s="8" t="str">
        <x:v>ยังไม่ยืนยันการเปิดให้บริการปัจจุบัน</x:v>
      </x:c>
      <x:c r="G109" s="58" t="n">
        <x:v>2</x:v>
      </x:c>
      <x:c r="H109" s="52"/>
      <x:c r="I109" s="52"/>
      <x:c r="J109" s="52" t="str">
        <x:v>HYPERLINK is not implemented. linkLocation=https://www.google.co.th/travel/hotels/entity/CgsI2v-9jrrc57eWARAB?rp=OAHCAhwiGg0AAMBBEhMI27CI49uQlgMVOM1LAx2fuxmV&amp;ts=CAEaBAoCGgAqBAoAGgA, friendlyName=เปิดหน้ารีวิว 1</x:v>
      </x:c>
      <x:c r="K109" s="52" t="str">
        <x:v>HYPERLINK is not implemented. linkLocation=https://www.google.com.sa/travel/hotels/entity/CgsI2v-9jrrc57eWARAB?ap=MAA&amp;gl=th&amp;gsas=1&amp;hl=th&amp;qs=CAEyJ0Noa0lfNGVxMUwyejl0amlBUm9NTDJjdk1YQndNblJmWm1zeEVBRTgG&amp;rp=OAHCAhwiGg0AgLlDEhMIkOz1n-3vhQMVZD7UAR3e0QPY&amp;ts=CAEaIAoCGgASGhIUCgcI6g8QCRgDEgcI6g8QCRgEGAEyAhAAKgkKBToDVEhCGgA&amp;un=1, friendlyName=เปิดหน้ารีวิว 2</x:v>
      </x:c>
      <x:c r="L109" s="52"/>
      <x:c r="M109" s="52"/>
      <x:c r="N109" s="8" t="str">
        <x:v>ยังไม่ยืนยัน</x:v>
      </x:c>
      <x:c r="O10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09" s="40" t="n">
        <x:v>46315</x:v>
      </x:c>
      <x:c r="Q109" s="59" t="str">
        <x:v>ยังไม่ตรวจ</x:v>
      </x:c>
      <x:c r="R109" s="59" t="str">
        <x:v>รอติดต่อ</x:v>
      </x:c>
    </x:row>
    <x:row r="110" ht="84" customHeight="1">
      <x:c r="A110" s="2" t="str">
        <x:v>TMF-102</x:v>
      </x:c>
      <x:c r="B110" s="8" t="str">
        <x:v>รอเธอมา คาเฟ่</x:v>
      </x:c>
      <x:c r="C110" s="8" t="str">
        <x:v>ฉะเชิงเทรา</x:v>
      </x:c>
      <x:c r="D110" s="8" t="str">
        <x:v>สำรองหลังปรับตามเส้นทาง</x:v>
      </x:c>
      <x:c r="E110" s="8" t="str">
        <x:v>พบหลายแหล่งสัมพันธ์กับชื่อ รอยืนยันการเปิด</x:v>
      </x:c>
      <x:c r="F110" s="8" t="str">
        <x:v>ยังไม่ยืนยันการเปิดให้บริการปัจจุบัน</x:v>
      </x:c>
      <x:c r="G110" s="58" t="n">
        <x:v>3</x:v>
      </x:c>
      <x:c r="H110" s="52"/>
      <x:c r="I110" s="52"/>
      <x:c r="J110" s="52" t="str">
        <x:v>HYPERLINK is not implemented. linkLocation=https://www.lemon8-app.com/%40cnrdeee/7396266134179201552?region=th, friendlyName=เปิดหน้ารีวิว 1</x:v>
      </x:c>
      <x:c r="K110" s="52" t="str">
        <x:v>HYPERLINK is not implemented. linkLocation=https://www.lemon8-app.com/%40cnrdeee/7198167137989706241?region=th, friendlyName=เปิดหน้ารีวิว 2</x:v>
      </x:c>
      <x:c r="L110" s="52" t="str">
        <x:v>HYPERLINK is not implemented. linkLocation=https://notes.tiktok.com/%40iamtarnny/7629369968483762695?region=th, friendlyName=เปิดเว็บเพิ่ม 1</x:v>
      </x:c>
      <x:c r="M110" s="52" t="str">
        <x:v>HYPERLINK is not implemented. linkLocation=https://notes.tiktok.com/%40likeyesterday.ava/7603710240282165780?region=th, friendlyName=เปิดเว็บเพิ่ม 2</x:v>
      </x:c>
      <x:c r="N110" s="8" t="str">
        <x:v>ยังไม่ยืนยัน</x:v>
      </x:c>
      <x:c r="O11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10" s="40" t="n">
        <x:v>46315</x:v>
      </x:c>
      <x:c r="Q110" s="59" t="str">
        <x:v>ยังไม่ตรวจ</x:v>
      </x:c>
      <x:c r="R110" s="59" t="str">
        <x:v>รอติดต่อ</x:v>
      </x:c>
    </x:row>
    <x:row r="111" ht="84" customHeight="1">
      <x:c r="A111" s="2" t="str">
        <x:v>TMF-103</x:v>
      </x:c>
      <x:c r="B111" s="8" t="str">
        <x:v>แมนดาริน สุกี้&amp;ติ่มซำ สาขา โรบินสัน ฉะเชิงเทรา</x:v>
      </x:c>
      <x:c r="C111" s="8" t="str">
        <x:v>ฉะเชิงเทรา</x:v>
      </x:c>
      <x:c r="D111" s="8" t="str">
        <x:v>สำรองหลังปรับตามเส้นทาง</x:v>
      </x:c>
      <x:c r="E111" s="8" t="str">
        <x:v>หลักฐานไม่พอ รอยืนยันการเปิด</x:v>
      </x:c>
      <x:c r="F111" s="8" t="str">
        <x:v>ยังไม่ยืนยันการเปิดให้บริการปัจจุบัน</x:v>
      </x:c>
      <x:c r="G111" s="58" t="n">
        <x:v>1</x:v>
      </x:c>
      <x:c r="H111" s="52"/>
      <x:c r="I111" s="52"/>
      <x:c r="J111" s="52"/>
      <x:c r="K111" s="52"/>
      <x:c r="L111" s="52"/>
      <x:c r="M111" s="52"/>
      <x:c r="N111" s="8" t="str">
        <x:v>ยังไม่ยืนยัน</x:v>
      </x:c>
      <x:c r="O11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11" s="40" t="n">
        <x:v>46315</x:v>
      </x:c>
      <x:c r="Q111" s="59" t="str">
        <x:v>ยังไม่ตรวจ</x:v>
      </x:c>
      <x:c r="R111" s="59" t="str">
        <x:v>รอติดต่อ</x:v>
      </x:c>
    </x:row>
    <x:row r="112" ht="84" customHeight="1">
      <x:c r="A112" s="2" t="str">
        <x:v>TMF-104</x:v>
      </x:c>
      <x:c r="B112" s="8" t="str">
        <x:v>LANA House and Hill Homestay</x:v>
      </x:c>
      <x:c r="C112" s="8" t="str">
        <x:v>ชลบุรี</x:v>
      </x:c>
      <x:c r="D112" s="8" t="str">
        <x:v>อยู่ในชุด 600 ตามเส้นทาง</x:v>
      </x:c>
      <x:c r="E112" s="8" t="str">
        <x:v>พบชื่อสัมพันธ์หลายเว็บไซต์ รอยืนยันสาขา</x:v>
      </x:c>
      <x:c r="F112" s="8" t="str">
        <x:v>ยังไม่ยืนยันการเปิดให้บริการปัจจุบัน</x:v>
      </x:c>
      <x:c r="G112" s="58" t="n">
        <x:v>2</x:v>
      </x:c>
      <x:c r="H112" s="52" t="str"/>
      <x:c r="I112" s="52" t="str"/>
      <x:c r="J112" s="52" t="str"/>
      <x:c r="K112" s="52" t="str"/>
      <x:c r="L112" s="52" t="str">
        <x:v>https://makanhalalguide.com/shop/detail/5391</x:v>
      </x:c>
      <x:c r="M112" s="52" t="str">
        <x:v>https://dinogo.com/hotels/25026-muslim-accommodation-sattahip-lana-house-and-hill-homestay</x:v>
      </x:c>
      <x:c r="N112" s="8" t="str">
        <x:v>ยังไม่ยืนยัน</x:v>
      </x:c>
      <x:c r="O11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12" s="40" t="n">
        <x:v>46315</x:v>
      </x:c>
      <x:c r="Q112" s="59" t="str">
        <x:v>ยังไม่ตรวจ</x:v>
      </x:c>
      <x:c r="R112" s="59" t="str">
        <x:v>รอติดต่อ</x:v>
      </x:c>
    </x:row>
    <x:row r="113" ht="84" customHeight="1">
      <x:c r="A113" s="2" t="str">
        <x:v>TMF-105</x:v>
      </x:c>
      <x:c r="B113" s="8" t="str">
        <x:v>Nida House &amp; Hotel</x:v>
      </x:c>
      <x:c r="C113" s="8" t="str">
        <x:v>ชลบุรี</x:v>
      </x:c>
      <x:c r="D113" s="8" t="str">
        <x:v>อยู่ในชุด 600 ตามเส้นทาง</x:v>
      </x:c>
      <x:c r="E113" s="8" t="str">
        <x:v>พบชื่อสัมพันธ์หลายเว็บไซต์ รอยืนยันสาขา</x:v>
      </x:c>
      <x:c r="F113" s="8" t="str">
        <x:v>ยังไม่ยืนยันการเปิดให้บริการปัจจุบัน</x:v>
      </x:c>
      <x:c r="G113" s="58" t="n">
        <x:v>2</x:v>
      </x:c>
      <x:c r="H113" s="52" t="str"/>
      <x:c r="I113" s="52" t="str"/>
      <x:c r="J113" s="52" t="str"/>
      <x:c r="K113" s="52" t="str"/>
      <x:c r="L113" s="52" t="str">
        <x:v>https://makanhalalguide.com/shop/detail/5191</x:v>
      </x:c>
      <x:c r="M113" s="52" t="str">
        <x:v>https://www.heresmoreinfoon.com/halal-travel-halal-food-in-bangkok-pattaya-thailand/</x:v>
      </x:c>
      <x:c r="N113" s="8" t="str">
        <x:v>ยังไม่ยืนยัน</x:v>
      </x:c>
      <x:c r="O11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13" s="40" t="n">
        <x:v>46315</x:v>
      </x:c>
      <x:c r="Q113" s="59" t="str">
        <x:v>ยังไม่ตรวจ</x:v>
      </x:c>
      <x:c r="R113" s="59" t="str">
        <x:v>รอติดต่อ</x:v>
      </x:c>
    </x:row>
    <x:row r="114" ht="84" customHeight="1">
      <x:c r="A114" s="2" t="str">
        <x:v>TMF-106</x:v>
      </x:c>
      <x:c r="B114" s="8" t="str">
        <x:v>P-Park Hotel Pattaya</x:v>
      </x:c>
      <x:c r="C114" s="8" t="str">
        <x:v>ชลบุรี</x:v>
      </x:c>
      <x:c r="D114" s="8" t="str">
        <x:v>อยู่ในชุด 600 ตามเส้นทาง</x:v>
      </x:c>
      <x:c r="E114" s="8" t="str">
        <x:v>พบชื่อสัมพันธ์หลายเว็บไซต์ รอยืนยันสาขา</x:v>
      </x:c>
      <x:c r="F114" s="8" t="str">
        <x:v>ยังไม่ยืนยันการเปิดให้บริการปัจจุบัน</x:v>
      </x:c>
      <x:c r="G114" s="58" t="n">
        <x:v>6</x:v>
      </x:c>
      <x:c r="H114" s="52" t="str"/>
      <x:c r="I114" s="52" t="str"/>
      <x:c r="J114" s="52" t="str">
        <x:v>https://www.wongnai.com/hotels/3217115GX-p-park-hotel-pattaya/reviews</x:v>
      </x:c>
      <x:c r="K114" s="52" t="str">
        <x:v>https://www.wongnai.com/reviews/a3fb8842b9584853a58de2202a296a96</x:v>
      </x:c>
      <x:c r="L114" s="52" t="str">
        <x:v>https://makanhalalguide.com/shop/detail/5776</x:v>
      </x:c>
      <x:c r="M114" s="52" t="str">
        <x:v>https://www.wongnai.com/hotels/3217115GX-p-park-hotel-pattaya/reviews</x:v>
      </x:c>
      <x:c r="N114" s="8" t="str">
        <x:v>ยังไม่ยืนยัน</x:v>
      </x:c>
      <x:c r="O11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14" s="40" t="n">
        <x:v>46315</x:v>
      </x:c>
      <x:c r="Q114" s="59" t="str">
        <x:v>ยังไม่ตรวจ</x:v>
      </x:c>
      <x:c r="R114" s="59" t="str">
        <x:v>รอติดต่อ</x:v>
      </x:c>
    </x:row>
    <x:row r="115" ht="84" customHeight="1">
      <x:c r="A115" s="2" t="str">
        <x:v>TMF-107</x:v>
      </x:c>
      <x:c r="B115" s="8" t="str">
        <x:v>Farida House - ฟาริดาเฮ้าส์</x:v>
      </x:c>
      <x:c r="C115" s="8" t="str">
        <x:v>ชลบุรี</x:v>
      </x:c>
      <x:c r="D115" s="8" t="str">
        <x:v>อยู่ในชุด 600 ตามเส้นทาง</x:v>
      </x:c>
      <x:c r="E115" s="8" t="str">
        <x:v>พบชื่อสัมพันธ์หลายเว็บไซต์ รอยืนยันสาขา</x:v>
      </x:c>
      <x:c r="F115" s="8" t="str">
        <x:v>ยังไม่ยืนยันการเปิดให้บริการปัจจุบัน</x:v>
      </x:c>
      <x:c r="G115" s="58" t="n">
        <x:v>3</x:v>
      </x:c>
      <x:c r="H115" s="52" t="str"/>
      <x:c r="I115" s="52" t="str"/>
      <x:c r="J115" s="52" t="str">
        <x:v>https://www.google.com/travel/hotels/entity/CgoInoHF0I7-2YV3EAE</x:v>
      </x:c>
      <x:c r="K115" s="52" t="str">
        <x:v>https://www.google.com/travel/hotels/entity/CgoInoHF0I7-2YV3EAE?ts=CAEaBAoCGgAqBAoAGgA</x:v>
      </x:c>
      <x:c r="L115" s="52" t="str">
        <x:v>https://makanhalalguide.com/shop/detail/5775</x:v>
      </x:c>
      <x:c r="M115" s="52" t="str">
        <x:v>https://www.google.com/travel/hotels/entity/CgoInoHF0I7-2YV3EAE</x:v>
      </x:c>
      <x:c r="N115" s="8" t="str">
        <x:v>ยังไม่ยืนยัน</x:v>
      </x:c>
      <x:c r="O115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15" s="40" t="n">
        <x:v>46315</x:v>
      </x:c>
      <x:c r="Q115" s="59" t="str">
        <x:v>ยังไม่ตรวจ</x:v>
      </x:c>
      <x:c r="R115" s="59" t="str">
        <x:v>รอติดต่อ</x:v>
      </x:c>
    </x:row>
    <x:row r="116" ht="84" customHeight="1">
      <x:c r="A116" s="2" t="str">
        <x:v>TMF-108</x:v>
      </x:c>
      <x:c r="B116" s="8" t="str">
        <x:v>FindyHome Sattahip Poolvilla</x:v>
      </x:c>
      <x:c r="C116" s="8" t="str">
        <x:v>ชลบุรี</x:v>
      </x:c>
      <x:c r="D116" s="8" t="str">
        <x:v>อยู่ในชุด 600 ตามเส้นทาง</x:v>
      </x:c>
      <x:c r="E116" s="8" t="str">
        <x:v>พบชื่อสัมพันธ์หลายเว็บไซต์ รอยืนยันสาขา</x:v>
      </x:c>
      <x:c r="F116" s="8" t="str">
        <x:v>ยังไม่ยืนยันการเปิดให้บริการปัจจุบัน</x:v>
      </x:c>
      <x:c r="G116" s="58" t="n">
        <x:v>2</x:v>
      </x:c>
      <x:c r="H116" s="52" t="str"/>
      <x:c r="I116" s="52" t="str"/>
      <x:c r="J116" s="52" t="str"/>
      <x:c r="K116" s="52" t="str"/>
      <x:c r="L116" s="52" t="str">
        <x:v>https://makanhalalguide.com/shop/detail/5389</x:v>
      </x:c>
      <x:c r="M116" s="52" t="str">
        <x:v>https://www.poolvillaclub.com/poolvillas-in-sattahip/amp/</x:v>
      </x:c>
      <x:c r="N116" s="8" t="str">
        <x:v>ยังไม่ยืนยัน</x:v>
      </x:c>
      <x:c r="O11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16" s="40" t="n">
        <x:v>46315</x:v>
      </x:c>
      <x:c r="Q116" s="59" t="str">
        <x:v>ยังไม่ตรวจ</x:v>
      </x:c>
      <x:c r="R116" s="59" t="str">
        <x:v>รอติดต่อ</x:v>
      </x:c>
    </x:row>
    <x:row r="117" ht="84" customHeight="1">
      <x:c r="A117" s="2" t="str">
        <x:v>TMF-109</x:v>
      </x:c>
      <x:c r="B117" s="8" t="str">
        <x:v>Noursabah Pattaya - ณุศบา พัทยา</x:v>
      </x:c>
      <x:c r="C117" s="8" t="str">
        <x:v>ชลบุรี</x:v>
      </x:c>
      <x:c r="D117" s="8" t="str">
        <x:v>อยู่ในชุด 600 ตามเส้นทาง</x:v>
      </x:c>
      <x:c r="E117" s="8" t="str">
        <x:v>พบชื่อสัมพันธ์หลายเว็บไซต์ รอยืนยันสาขา</x:v>
      </x:c>
      <x:c r="F117" s="8" t="str">
        <x:v>ยังไม่ยืนยันการเปิดให้บริการปัจจุบัน</x:v>
      </x:c>
      <x:c r="G117" s="58" t="n">
        <x:v>4</x:v>
      </x:c>
      <x:c r="H117" s="52" t="str"/>
      <x:c r="I117" s="52" t="str"/>
      <x:c r="J117" s="52" t="str">
        <x:v>https://www.wongnai.com/hotels/343251nS-%E0%B8%93%E0%B8%B8%E0%B8%A8%E0%B8%9A%E0%B8%B2-%E0%B8%9E%E0%B8%B1%E0%B8%97%E0%B8%A2%E0%B8%B2</x:v>
      </x:c>
      <x:c r="K117" s="52" t="str">
        <x:v>https://www.lemon8-app.com/%40kwatashiwa/7399224882954879504?region=th</x:v>
      </x:c>
      <x:c r="L117" s="52" t="str">
        <x:v>https://makanhalalguide.com/shop/detail/5194</x:v>
      </x:c>
      <x:c r="M117" s="52" t="str">
        <x:v>https://www.wongnai.com/hotels/343251nS-%E0%B8%93%E0%B8%B8%E0%B8%A8%E0%B8%9A%E0%B8%B2-%E0%B8%9E%E0%B8%B1%E0%B8%97%E0%B8%A2%E0%B8%B2</x:v>
      </x:c>
      <x:c r="N117" s="8" t="str">
        <x:v>ยังไม่ยืนยัน</x:v>
      </x:c>
      <x:c r="O117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17" s="40" t="n">
        <x:v>46315</x:v>
      </x:c>
      <x:c r="Q117" s="59" t="str">
        <x:v>ยังไม่ตรวจ</x:v>
      </x:c>
      <x:c r="R117" s="59" t="str">
        <x:v>รอติดต่อ</x:v>
      </x:c>
    </x:row>
    <x:row r="118" ht="84" customHeight="1">
      <x:c r="A118" s="2" t="str">
        <x:v>TMF-110</x:v>
      </x:c>
      <x:c r="B118" s="8" t="str">
        <x:v>Pattaya Bed Boutique</x:v>
      </x:c>
      <x:c r="C118" s="8" t="str">
        <x:v>ชลบุรี</x:v>
      </x:c>
      <x:c r="D118" s="8" t="str">
        <x:v>อยู่ในชุด 600 ตามเส้นทาง</x:v>
      </x:c>
      <x:c r="E118" s="8" t="str">
        <x:v>พบชื่อสัมพันธ์หลายเว็บไซต์ รอยืนยันสาขา</x:v>
      </x:c>
      <x:c r="F118" s="8" t="str">
        <x:v>ยังไม่ยืนยันการเปิดให้บริการปัจจุบัน</x:v>
      </x:c>
      <x:c r="G118" s="58" t="n">
        <x:v>5</x:v>
      </x:c>
      <x:c r="H118" s="52" t="str"/>
      <x:c r="I118" s="52" t="str"/>
      <x:c r="J118" s="52" t="str">
        <x:v>https://www.google.co.th/travel/hotels/entity/ChkInc3eicH38fgJGg0vZy8xMWcwbXY4bXA5EAE?rp=OAHCAhwiGg0AAIhBEhMIn-WQtvOFjwMVAiGtBh0aeQCB&amp;ts=CAEaIgoCGgASHBIUCgcI6g8QCRgCEgcI6g8QCRgEGAIyAhAAOAEqBAoAGgA</x:v>
      </x:c>
      <x:c r="K118" s="52" t="str">
        <x:v>https://www.google.co.th/travel/hotels/entity/ChkInc3eicH38fgJGg0vZy8xMWcwbXY4bXA5EAE?g2lb=2502548%2C4258168%2C4260007%2C4274032%2C4305595%2C4306835%2C4317915%2C4328159%2C4330862%2C4364504%2C4366684%2C4371334%2C4381263%2C4386665%2C4395590%2C4397007%2C4398672%2C4401769%2C4403881%2C4270859%2C4284970%2C4316256&amp;gl=th&amp;gsas=1&amp;hl=en&amp;rp=OAI&amp;ts=CAEaBAoCGgAqBAoAGgA&amp;un=1</x:v>
      </x:c>
      <x:c r="L118" s="52" t="str">
        <x:v>https://makanhalalguide.com/shop/detail/5390</x:v>
      </x:c>
      <x:c r="M118" s="52" t="str">
        <x:v>https://www.google.co.th/travel/hotels/entity/ChkInc3eicH38fgJGg0vZy8xMWcwbXY4bXA5EAE?rp=OAHCAhwiGg0AAIhBEhMIn-WQtvOFjwMVAiGtBh0aeQCB&amp;ts=CAEaIgoCGgASHBIUCgcI6g8QCRgCEgcI6g8QCRgEGAIyAhAAOAEqBAoAGgA</x:v>
      </x:c>
      <x:c r="N118" s="8" t="str">
        <x:v>ยังไม่ยืนยัน</x:v>
      </x:c>
      <x:c r="O118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18" s="40" t="n">
        <x:v>46315</x:v>
      </x:c>
      <x:c r="Q118" s="59" t="str">
        <x:v>ยังไม่ตรวจ</x:v>
      </x:c>
      <x:c r="R118" s="59" t="str">
        <x:v>รอติดต่อ</x:v>
      </x:c>
    </x:row>
    <x:row r="119" ht="84" customHeight="1">
      <x:c r="A119" s="2" t="str">
        <x:v>TMF-111</x:v>
      </x:c>
      <x:c r="B119" s="8" t="str">
        <x:v>Valida Cottage</x:v>
      </x:c>
      <x:c r="C119" s="8" t="str">
        <x:v>ชลบุรี</x:v>
      </x:c>
      <x:c r="D119" s="8" t="str">
        <x:v>อยู่ในชุด 600 ตามเส้นทาง</x:v>
      </x:c>
      <x:c r="E119" s="8" t="str">
        <x:v>พบชื่อสัมพันธ์หลายเว็บไซต์ รอยืนยันสาขา</x:v>
      </x:c>
      <x:c r="F119" s="8" t="str">
        <x:v>ยังไม่ยืนยันการเปิดให้บริการปัจจุบัน</x:v>
      </x:c>
      <x:c r="G119" s="58" t="n">
        <x:v>6</x:v>
      </x:c>
      <x:c r="H119" s="52" t="str"/>
      <x:c r="I119" s="52" t="str"/>
      <x:c r="J119" s="52" t="str">
        <x:v>https://www.google.com.sa/travel/hotels/entity/ChkIp5j2-tKmlb1cGg0vZy8xMWZ3ZGtramhwEAE?ap=MAA&amp;g2lb=2502548%2C4254308%2C4258168%2C4260007%2C4274032%2C4305595%2C4306835%2C4308216%2C4308983%2C4314846%2C4315873%2C4317915%2C4323314%2C4328159%2C4329288%2C4270859%2C4284970%2C4291517%2C4292955%2C4316256&amp;gl=th&amp;gsas=1&amp;hl=th&amp;rp=OAFIAg&amp;ts=CAESCgoCCAMKAggDEAAaZgpIEkQyJTB4MzA0ZDhkZjc0NzQyNGRiMToweDllZDcyYzg4MDc1N2U4MDI6G-C4m-C4o-C4sOC5gOC4l-C4qOC5hOC4l-C4ohoAEhoSFAoHCOgPEAIYCxIHCOgPEAIYDBgBMgIQACoJCgU6A1RIQhoA&amp;un=1</x:v>
      </x:c>
      <x:c r="K119" s="52" t="str">
        <x:v>https://www.google.com.sa/travel/hotels/entity/ChkIp5j2-tKmlb1cGg0vZy8xMWZ3ZGtramhwEAE</x:v>
      </x:c>
      <x:c r="L119" s="52" t="str">
        <x:v>https://makanhalalguide.com/shop/detail/5183</x:v>
      </x:c>
      <x:c r="M119" s="52" t="str">
        <x:v>https://www.google.com.sa/travel/hotels/entity/ChkIp5j2-tKmlb1cGg0vZy8xMWZ3ZGtramhwEAE?ap=MAA&amp;g2lb=2502548%2C4254308%2C4258168%2C4260007%2C4274032%2C4305595%2C4306835%2C4308216%2C4308983%2C4314846%2C4315873%2C4317915%2C4323314%2C4328159%2C4329288%2C4270859%2C4284970%2C4291517%2C4292955%2C4316256&amp;gl=th&amp;gsas=1&amp;hl=th&amp;rp=OAFIAg&amp;ts=CAESCgoCCAMKAggDEAAaZgpIEkQyJTB4MzA0ZDhkZjc0NzQyNGRiMToweDllZDcyYzg4MDc1N2U4MDI6G-C4m-C4o-C4sOC5gOC4l-C4qOC5hOC4l-C4ohoAEhoSFAoHCOgPEAIYCxIHCOgPEAIYDBgBMgIQACoJCgU6A1RIQhoA&amp;un=1</x:v>
      </x:c>
      <x:c r="N119" s="8" t="str">
        <x:v>ยังไม่ยืนยัน</x:v>
      </x:c>
      <x:c r="O119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19" s="40" t="n">
        <x:v>46315</x:v>
      </x:c>
      <x:c r="Q119" s="59" t="str">
        <x:v>ยังไม่ตรวจ</x:v>
      </x:c>
      <x:c r="R119" s="59" t="str">
        <x:v>รอติดต่อ</x:v>
      </x:c>
    </x:row>
    <x:row r="120" ht="84" customHeight="1">
      <x:c r="A120" s="2" t="str">
        <x:v>TMF-112</x:v>
      </x:c>
      <x:c r="B120" s="8" t="str">
        <x:v>ข้าว-ยำ ทำถึง</x:v>
      </x:c>
      <x:c r="C120" s="8" t="str">
        <x:v>ชลบุรี</x:v>
      </x:c>
      <x:c r="D120" s="8" t="str">
        <x:v>อยู่ในชุด 600 ตามเส้นทาง</x:v>
      </x:c>
      <x:c r="E120" s="8" t="str">
        <x:v>พบชื่อสัมพันธ์หลายเว็บไซต์ รอยืนยันสาขา</x:v>
      </x:c>
      <x:c r="F120" s="8" t="str">
        <x:v>ยังไม่ยืนยันการเปิดให้บริการปัจจุบัน</x:v>
      </x:c>
      <x:c r="G120" s="58" t="n">
        <x:v>2</x:v>
      </x:c>
      <x:c r="H120" s="52" t="str"/>
      <x:c r="I120" s="52" t="str"/>
      <x:c r="J120" s="52" t="str">
        <x:v>https://www.lemon8-app.com/%40cianacia/7555534823125778961?region=th</x:v>
      </x:c>
      <x:c r="K120" s="52" t="str"/>
      <x:c r="L120" s="52" t="str">
        <x:v>https://makanhalalguide.com/shop/detail/5935</x:v>
      </x:c>
      <x:c r="M120" s="52" t="str">
        <x:v>https://www.lemon8-app.com/%40cianacia/7555534823125778961?region=th</x:v>
      </x:c>
      <x:c r="N120" s="8" t="str">
        <x:v>ยังไม่ยืนยัน</x:v>
      </x:c>
      <x:c r="O12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20" s="40" t="n">
        <x:v>46315</x:v>
      </x:c>
      <x:c r="Q120" s="59" t="str">
        <x:v>ยังไม่ตรวจ</x:v>
      </x:c>
      <x:c r="R120" s="59" t="str">
        <x:v>รอติดต่อ</x:v>
      </x:c>
    </x:row>
    <x:row r="121" ht="84" customHeight="1">
      <x:c r="A121" s="2" t="str">
        <x:v>TMF-113</x:v>
      </x:c>
      <x:c r="B121" s="8" t="str">
        <x:v>พูลวิลล่า ครัวไทรงามพัทยา</x:v>
      </x:c>
      <x:c r="C121" s="8" t="str">
        <x:v>ชลบุรี</x:v>
      </x:c>
      <x:c r="D121" s="8" t="str">
        <x:v>สำรองหลังปรับตามเส้นทาง</x:v>
      </x:c>
      <x:c r="E121" s="8" t="str">
        <x:v>หลักฐานไม่พอ รอยืนยันการเปิด</x:v>
      </x:c>
      <x:c r="F121" s="8" t="str">
        <x:v>ยังไม่ยืนยันการเปิดให้บริการปัจจุบัน</x:v>
      </x:c>
      <x:c r="G121" s="58" t="n">
        <x:v>1</x:v>
      </x:c>
      <x:c r="H121" s="52"/>
      <x:c r="I121" s="52"/>
      <x:c r="J121" s="52"/>
      <x:c r="K121" s="52"/>
      <x:c r="L121" s="52"/>
      <x:c r="M121" s="52"/>
      <x:c r="N121" s="8" t="str">
        <x:v>ยังไม่ยืนยัน</x:v>
      </x:c>
      <x:c r="O12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21" s="40" t="n">
        <x:v>46315</x:v>
      </x:c>
      <x:c r="Q121" s="59" t="str">
        <x:v>ยังไม่ตรวจ</x:v>
      </x:c>
      <x:c r="R121" s="59" t="str">
        <x:v>รอติดต่อ</x:v>
      </x:c>
    </x:row>
    <x:row r="122" ht="84" customHeight="1">
      <x:c r="A122" s="2" t="str">
        <x:v>TMF-114</x:v>
      </x:c>
      <x:c r="B122" s="8" t="str">
        <x:v>ไก่ทอดอินโด บูดายามลายู  พัทยา</x:v>
      </x:c>
      <x:c r="C122" s="8" t="str">
        <x:v>ชลบุรี</x:v>
      </x:c>
      <x:c r="D122" s="8" t="str">
        <x:v>สำรองหลังปรับตามเส้นทาง</x:v>
      </x:c>
      <x:c r="E122" s="8" t="str">
        <x:v>หลักฐานไม่พอ รอยืนยันการเปิด</x:v>
      </x:c>
      <x:c r="F122" s="8" t="str">
        <x:v>ยังไม่ยืนยันการเปิดให้บริการปัจจุบัน</x:v>
      </x:c>
      <x:c r="G122" s="58" t="n">
        <x:v>1</x:v>
      </x:c>
      <x:c r="H122" s="52"/>
      <x:c r="I122" s="52"/>
      <x:c r="J122" s="52"/>
      <x:c r="K122" s="52"/>
      <x:c r="L122" s="52"/>
      <x:c r="M122" s="52"/>
      <x:c r="N122" s="8" t="str">
        <x:v>ยังไม่ยืนยัน</x:v>
      </x:c>
      <x:c r="O12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22" s="40" t="n">
        <x:v>46315</x:v>
      </x:c>
      <x:c r="Q122" s="59" t="str">
        <x:v>ยังไม่ตรวจ</x:v>
      </x:c>
      <x:c r="R122" s="59" t="str">
        <x:v>รอติดต่อ</x:v>
      </x:c>
    </x:row>
    <x:row r="123" ht="84" customHeight="1">
      <x:c r="A123" s="2" t="str">
        <x:v>TMF-115</x:v>
      </x:c>
      <x:c r="B123" s="8" t="str">
        <x:v>Fisherman's Kitchen on The Beach Hala food ครัวชาวประมง</x:v>
      </x:c>
      <x:c r="C123" s="8" t="str">
        <x:v>ตรัง</x:v>
      </x:c>
      <x:c r="D123" s="8" t="str">
        <x:v>สำรองหลังปรับตามเส้นทาง</x:v>
      </x:c>
      <x:c r="E123" s="8" t="str">
        <x:v>หลักฐานไม่พอ รอยืนยันการเปิด</x:v>
      </x:c>
      <x:c r="F123" s="8" t="str">
        <x:v>ยังไม่ยืนยันการเปิดให้บริการปัจจุบัน</x:v>
      </x:c>
      <x:c r="G123" s="58" t="n">
        <x:v>1</x:v>
      </x:c>
      <x:c r="H123" s="52"/>
      <x:c r="I123" s="52"/>
      <x:c r="J123" s="52"/>
      <x:c r="K123" s="52"/>
      <x:c r="L123" s="52"/>
      <x:c r="M123" s="52"/>
      <x:c r="N123" s="8" t="str">
        <x:v>ยังไม่ยืนยัน</x:v>
      </x:c>
      <x:c r="O12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23" s="40" t="n">
        <x:v>46315</x:v>
      </x:c>
      <x:c r="Q123" s="59" t="str">
        <x:v>ยังไม่ตรวจ</x:v>
      </x:c>
      <x:c r="R123" s="59" t="str">
        <x:v>รอติดต่อ</x:v>
      </x:c>
    </x:row>
    <x:row r="124" ht="84" customHeight="1">
      <x:c r="A124" s="2" t="str">
        <x:v>TMF-116</x:v>
      </x:c>
      <x:c r="B124" s="8" t="str">
        <x:v>Coconut Beach Resort Koh Chang</x:v>
      </x:c>
      <x:c r="C124" s="8" t="str">
        <x:v>ตราด</x:v>
      </x:c>
      <x:c r="D124" s="8" t="str">
        <x:v>สำรองหลังปรับตามเส้นทาง</x:v>
      </x:c>
      <x:c r="E124" s="8" t="str">
        <x:v>พบหลายแหล่งสัมพันธ์กับชื่อ รอยืนยันการเปิด</x:v>
      </x:c>
      <x:c r="F124" s="8" t="str">
        <x:v>ยังไม่ยืนยันการเปิดให้บริการปัจจุบัน</x:v>
      </x:c>
      <x:c r="G124" s="58" t="n">
        <x:v>5</x:v>
      </x:c>
      <x:c r="H124" s="52"/>
      <x:c r="I124" s="52"/>
      <x:c r="J124" s="52" t="str">
        <x:v>HYPERLINK is not implemented. linkLocation=https://www.google.co.in/travel/hotels/entity/ChgIotmvtbur3t3MARoLL2cvMXRsbjl3dHoQAQ, friendlyName=เปิดหน้ารีวิว 1</x:v>
      </x:c>
      <x:c r="K124" s="52" t="str">
        <x:v>HYPERLINK is not implemented. linkLocation=https://www.google.com/travel/hotels/entity/ChgIotmvtbur3t3MARoLL2cvMXRsbjl3dHoQAQ?ts=CAEaBAoCGgAqBAoAGgA, friendlyName=เปิดหน้ารีวิว 2</x:v>
      </x:c>
      <x:c r="L124" s="52"/>
      <x:c r="M124" s="52"/>
      <x:c r="N124" s="8" t="str">
        <x:v>ยังไม่ยืนยัน</x:v>
      </x:c>
      <x:c r="O12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24" s="40" t="n">
        <x:v>46315</x:v>
      </x:c>
      <x:c r="Q124" s="59" t="str">
        <x:v>ยังไม่ตรวจ</x:v>
      </x:c>
      <x:c r="R124" s="59" t="str">
        <x:v>รอติดต่อ</x:v>
      </x:c>
    </x:row>
    <x:row r="125" ht="84" customHeight="1">
      <x:c r="A125" s="2" t="str">
        <x:v>TMF-117</x:v>
      </x:c>
      <x:c r="B125" s="8" t="str">
        <x:v>อาหารมุสลิม เกาะช้าง</x:v>
      </x:c>
      <x:c r="C125" s="8" t="str">
        <x:v>ตราด</x:v>
      </x:c>
      <x:c r="D125" s="8" t="str">
        <x:v>สำรองหลังปรับตามเส้นทาง</x:v>
      </x:c>
      <x:c r="E125" s="8" t="str">
        <x:v>พบหลายแหล่งสัมพันธ์กับชื่อ รอยืนยันการเปิด</x:v>
      </x:c>
      <x:c r="F125" s="8" t="str">
        <x:v>ยังไม่ยืนยันการเปิดให้บริการปัจจุบัน</x:v>
      </x:c>
      <x:c r="G125" s="58" t="n">
        <x:v>2</x:v>
      </x:c>
      <x:c r="H125" s="52"/>
      <x:c r="I125" s="52"/>
      <x:c r="J125" s="52"/>
      <x:c r="K125" s="52"/>
      <x:c r="L125" s="52" t="str">
        <x:v>HYPERLINK is not implemented. linkLocation=https://www.thaithurkic.com/halal-bobby-food-shop-082-715-4606, friendlyName=เปิดเว็บเพิ่ม 1</x:v>
      </x:c>
      <x:c r="M125" s="52"/>
      <x:c r="N125" s="8" t="str">
        <x:v>ยังไม่ยืนยัน</x:v>
      </x:c>
      <x:c r="O125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25" s="40" t="n">
        <x:v>46315</x:v>
      </x:c>
      <x:c r="Q125" s="59" t="str">
        <x:v>ยังไม่ตรวจ</x:v>
      </x:c>
      <x:c r="R125" s="59" t="str">
        <x:v>รอติดต่อ</x:v>
      </x:c>
    </x:row>
    <x:row r="126" ht="84" customHeight="1">
      <x:c r="A126" s="2" t="str">
        <x:v>TMF-118</x:v>
      </x:c>
      <x:c r="B126" s="8" t="str">
        <x:v>Ninland Resort</x:v>
      </x:c>
      <x:c r="C126" s="8" t="str">
        <x:v>นครนายก</x:v>
      </x:c>
      <x:c r="D126" s="8" t="str">
        <x:v>สำรองหลังปรับตามเส้นทาง</x:v>
      </x:c>
      <x:c r="E126" s="8" t="str">
        <x:v>พบหลายแหล่งสัมพันธ์กับชื่อ รอยืนยันการเปิด</x:v>
      </x:c>
      <x:c r="F126" s="8" t="str">
        <x:v>ยังไม่ยืนยันการเปิดให้บริการปัจจุบัน</x:v>
      </x:c>
      <x:c r="G126" s="58" t="n">
        <x:v>2</x:v>
      </x:c>
      <x:c r="H126" s="52"/>
      <x:c r="I126" s="52"/>
      <x:c r="J126" s="52" t="str">
        <x:v>HYPERLINK is not implemented. linkLocation=https://www.google.co.th/travel/hotels/entity/CgoIxcDy-a-Fu7gSEAE?rp=OAHCAhciFRITCPnAq7TLkpYDFYb9SwMdF88OEg&amp;ts=CAEaBAoCGgAqBAoAGgA, friendlyName=เปิดหน้ารีวิว 1</x:v>
      </x:c>
      <x:c r="K126" s="52" t="str">
        <x:v>HYPERLINK is not implemented. linkLocation=https://www.google.co.th/travel/hotels/entity/CgoIxcDy-a-Fu7gSEAE?rp=OAHCAhciFRITCPCzosD8r5YDFbUtrQYdDFEHjA&amp;ts=CAEaIAoCGgASGhIUCgcI6g8QChgGEgcI6g8QChgLGAUyAhAAKgkKBToDVVNEGgA, friendlyName=เปิดหน้ารีวิว 2</x:v>
      </x:c>
      <x:c r="L126" s="52"/>
      <x:c r="M126" s="52"/>
      <x:c r="N126" s="8" t="str">
        <x:v>ยังไม่ยืนยัน</x:v>
      </x:c>
      <x:c r="O12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26" s="40" t="n">
        <x:v>46315</x:v>
      </x:c>
      <x:c r="Q126" s="59" t="str">
        <x:v>ยังไม่ตรวจ</x:v>
      </x:c>
      <x:c r="R126" s="59" t="str">
        <x:v>รอติดต่อ</x:v>
      </x:c>
    </x:row>
    <x:row r="127" ht="84" customHeight="1">
      <x:c r="A127" s="2" t="str">
        <x:v>TMF-119</x:v>
      </x:c>
      <x:c r="B127" s="8" t="str">
        <x:v>ขุนด่านอีโค รีสอร์ท&amp;ข้าวหมกบ้านเขื่อน Halal Food นครนายก</x:v>
      </x:c>
      <x:c r="C127" s="8" t="str">
        <x:v>นครนายก</x:v>
      </x:c>
      <x:c r="D127" s="8" t="str">
        <x:v>สำรองหลังปรับตามเส้นทาง</x:v>
      </x:c>
      <x:c r="E127" s="8" t="str">
        <x:v>พบหลายแหล่งสัมพันธ์กับชื่อ รอยืนยันการเปิด</x:v>
      </x:c>
      <x:c r="F127" s="8" t="str">
        <x:v>ยังไม่ยืนยันการเปิดให้บริการปัจจุบัน</x:v>
      </x:c>
      <x:c r="G127" s="58" t="n">
        <x:v>3</x:v>
      </x:c>
      <x:c r="H127" s="52"/>
      <x:c r="I127" s="52"/>
      <x:c r="J127" s="52" t="str">
        <x:v>HYPERLINK is not implemented. linkLocation=https://restaurantguru.com/%E0%B8%82%E0%B8%B8%E0%B8%99%E0%B8%94%E0%B9%88%E0%B8%B2%E0%B8%99%E0%B8%AD%E0%B8%B5%E0%B9%82%E0%B8%84-%E0%B8%A3%E0%B8%B5%E0%B8%AA%E0%B8%AD%E0%B8%A3%E0%B9%8C%E0%B8%97and%E0%B8%82%E0%B9%89%E0%B8%B2%E0%B8%A7%E0%B8%AB%E0%B8%A1%E0%B8%81%E0%B8%9A%E0%B9%89%E0%B8%B2%E0%B8%99%E0%B9%80%E0%B8%82%E0%B8%B7%E0%B9%88%E0%B8%AD%E0%B8%99-Halal-Food-%E0%B8%99%E0%B8%84%E0%B8%A3%E0%B8%99%E0%B8%B2%E0%B8%A2%E0%B8%81-Hin-Tung, friendlyName=เปิดหน้ารีวิว 1</x:v>
      </x:c>
      <x:c r="K127" s="52" t="str">
        <x:v>HYPERLINK is not implemented. linkLocation=https://www.youtube.com/watch?v=z5t7jo1N4DE, friendlyName=เปิดหน้ารีวิว 2</x:v>
      </x:c>
      <x:c r="L127" s="52"/>
      <x:c r="M127" s="52"/>
      <x:c r="N127" s="8" t="str">
        <x:v>ยังไม่ยืนยัน</x:v>
      </x:c>
      <x:c r="O12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27" s="40" t="n">
        <x:v>46315</x:v>
      </x:c>
      <x:c r="Q127" s="59" t="str">
        <x:v>ยังไม่ตรวจ</x:v>
      </x:c>
      <x:c r="R127" s="59" t="str">
        <x:v>รอติดต่อ</x:v>
      </x:c>
    </x:row>
    <x:row r="128" ht="84" customHeight="1">
      <x:c r="A128" s="2" t="str">
        <x:v>TMF-120</x:v>
      </x:c>
      <x:c r="B128" s="8" t="str">
        <x:v>แสงวิมานรีสอร์ท</x:v>
      </x:c>
      <x:c r="C128" s="8" t="str">
        <x:v>นครนายก</x:v>
      </x:c>
      <x:c r="D128" s="8" t="str">
        <x:v>สำรองหลังปรับตามเส้นทาง</x:v>
      </x:c>
      <x:c r="E128" s="8" t="str">
        <x:v>พบหลายแหล่งสัมพันธ์กับชื่อ รอยืนยันการเปิด</x:v>
      </x:c>
      <x:c r="F128" s="8" t="str">
        <x:v>ยังไม่ยืนยันการเปิดให้บริการปัจจุบัน</x:v>
      </x:c>
      <x:c r="G128" s="58" t="n">
        <x:v>7</x:v>
      </x:c>
      <x:c r="H128" s="52"/>
      <x:c r="I128" s="52"/>
      <x:c r="J128" s="52" t="str">
        <x:v>HYPERLINK is not implemented. linkLocation=https://www.google.co.th/travel/hotels/entity/ChoI2ePW2ZeLgKTiARoNL2cvMTFmMTIzejBtORAB?rp=OAHCAhciFRITCPCzosD8r5YDFbUtrQYdDFEHjA&amp;ts=CAEaIAoCGgASGhIUCgcI6g8QChgGEgcI6g8QChgLGAUyAhAAKgkKBToDVVNEGgA, friendlyName=เปิดหน้ารีวิว 1</x:v>
      </x:c>
      <x:c r="K128" s="52" t="str">
        <x:v>HYPERLINK is not implemented. linkLocation=https://www.google.co.th/travel/hotels/entity/ChoI2ePW2ZeLgKTiARoNL2cvMTFmMTIzejBtORAB?rp=OAHCAhwiGg0AAIZCEhMIteKHx8bjlQMV8aHCCB1YtxNl&amp;ts=CAESCgoCCAMKAggDEAAaIgoCGgASHBIUCgcI6g8QCRgCEgcI6g8QCRgHGAUyAhAAOAEqCQoFOgNVU0QaAA, friendlyName=เปิดหน้ารีวิว 2</x:v>
      </x:c>
      <x:c r="L128" s="52" t="str">
        <x:v>HYPERLINK is not implemented. linkLocation=https://www.traveloka.com/th-th/hotel/thailand/sangvimarn-resort-4000000968332, friendlyName=เปิดเว็บเพิ่ม 1</x:v>
      </x:c>
      <x:c r="M128" s="52" t="str">
        <x:v>HYPERLINK is not implemented. linkLocation=https://www.klook.com/th/hotels/detail/448333-sangvimarn-resort/, friendlyName=เปิดเว็บเพิ่ม 2</x:v>
      </x:c>
      <x:c r="N128" s="8" t="str">
        <x:v>ยังไม่ยืนยัน</x:v>
      </x:c>
      <x:c r="O12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28" s="40" t="n">
        <x:v>46315</x:v>
      </x:c>
      <x:c r="Q128" s="59" t="str">
        <x:v>ยังไม่ตรวจ</x:v>
      </x:c>
      <x:c r="R128" s="59" t="str">
        <x:v>รอติดต่อ</x:v>
      </x:c>
    </x:row>
    <x:row r="129" ht="84" customHeight="1">
      <x:c r="A129" s="2" t="str">
        <x:v>TMF-121</x:v>
      </x:c>
      <x:c r="B129" s="8" t="str">
        <x:v>สวนทันใด</x:v>
      </x:c>
      <x:c r="C129" s="8" t="str">
        <x:v>นครนายก</x:v>
      </x:c>
      <x:c r="D129" s="8" t="str">
        <x:v>สำรองหลังปรับตามเส้นทาง</x:v>
      </x:c>
      <x:c r="E129" s="8" t="str">
        <x:v>พบหลายแหล่งสัมพันธ์กับชื่อ รอยืนยันการเปิด</x:v>
      </x:c>
      <x:c r="F129" s="8" t="str">
        <x:v>ยังไม่ยืนยันการเปิดให้บริการปัจจุบัน</x:v>
      </x:c>
      <x:c r="G129" s="58" t="n">
        <x:v>2</x:v>
      </x:c>
      <x:c r="H129" s="52"/>
      <x:c r="I129" s="52"/>
      <x:c r="J129" s="52" t="str">
        <x:v>HYPERLINK is not implemented. linkLocation=https://www.wongnai.com/restaurants/2707707uu-%E0%B8%AA%E0%B8%A7%E0%B8%99%E0%B8%97%E0%B8%B1%E0%B8%99%E0%B9%83%E0%B8%94, friendlyName=เปิดหน้ารีวิว 1</x:v>
      </x:c>
      <x:c r="K129" s="52"/>
      <x:c r="L129" s="52"/>
      <x:c r="M129" s="52"/>
      <x:c r="N129" s="8" t="str">
        <x:v>ยังไม่ยืนยัน</x:v>
      </x:c>
      <x:c r="O12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29" s="40" t="n">
        <x:v>46315</x:v>
      </x:c>
      <x:c r="Q129" s="59" t="str">
        <x:v>ยังไม่ตรวจ</x:v>
      </x:c>
      <x:c r="R129" s="59" t="str">
        <x:v>รอติดต่อ</x:v>
      </x:c>
    </x:row>
    <x:row r="130" ht="84" customHeight="1">
      <x:c r="A130" s="2" t="str">
        <x:v>TMF-122</x:v>
      </x:c>
      <x:c r="B130" s="8" t="str">
        <x:v>ผาส่งตะวัน โฮมสเตย์</x:v>
      </x:c>
      <x:c r="C130" s="8" t="str">
        <x:v>นครราชสีมา</x:v>
      </x:c>
      <x:c r="D130" s="8" t="str">
        <x:v>อยู่ในชุด 600 ตามเส้นทาง</x:v>
      </x:c>
      <x:c r="E130" s="8" t="str">
        <x:v>พบชื่อสัมพันธ์หลายเว็บไซต์ รอยืนยันสาขา</x:v>
      </x:c>
      <x:c r="F130" s="8" t="str">
        <x:v>ยังไม่ยืนยันการเปิดให้บริการปัจจุบัน</x:v>
      </x:c>
      <x:c r="G130" s="58" t="n">
        <x:v>2</x:v>
      </x:c>
      <x:c r="H130" s="52" t="str"/>
      <x:c r="I130" s="52" t="str"/>
      <x:c r="J130" s="52" t="str">
        <x:v>https://www.google.co.th/travel/hotels/entity/ChoIi6rXvNTN94r5ARoNL2cvMTFneTQ1Nno2NxAB?rp=OAHCAhwiGg0AAGxCEhMIhszSoJaziAMVCmirAh2a2QYO&amp;ts=CAEaIgoCGgASHBIUCgcI6g8QChgXEgcI6g8QChgYGAEyAhAAOAEqCQoFOgNVU0QaAA</x:v>
      </x:c>
      <x:c r="K130" s="52" t="str"/>
      <x:c r="L130" s="52" t="str">
        <x:v>https://makanhalalguide.com/shop/detail/5393</x:v>
      </x:c>
      <x:c r="M130" s="52" t="str">
        <x:v>https://www.google.co.th/travel/hotels/entity/ChoIi6rXvNTN94r5ARoNL2cvMTFneTQ1Nno2NxAB?rp=OAHCAhwiGg0AAGxCEhMIhszSoJaziAMVCmirAh2a2QYO&amp;ts=CAEaIgoCGgASHBIUCgcI6g8QChgXEgcI6g8QChgYGAEyAhAAOAEqCQoFOgNVU0QaAA</x:v>
      </x:c>
      <x:c r="N130" s="8" t="str">
        <x:v>ยังไม่ยืนยัน</x:v>
      </x:c>
      <x:c r="O13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0" s="40" t="n">
        <x:v>46315</x:v>
      </x:c>
      <x:c r="Q130" s="59" t="str">
        <x:v>ยังไม่ตรวจ</x:v>
      </x:c>
      <x:c r="R130" s="59" t="str">
        <x:v>รอติดต่อ</x:v>
      </x:c>
    </x:row>
    <x:row r="131" ht="84" customHeight="1">
      <x:c r="A131" s="2" t="str">
        <x:v>TMF-123</x:v>
      </x:c>
      <x:c r="B131" s="8" t="str">
        <x:v>ไร่จูซาโฮมสเตย์ เขายายเที่ยง</x:v>
      </x:c>
      <x:c r="C131" s="8" t="str">
        <x:v>นครราชสีมา</x:v>
      </x:c>
      <x:c r="D131" s="8" t="str">
        <x:v>อยู่ในชุด 600 ตามเส้นทาง</x:v>
      </x:c>
      <x:c r="E131" s="8" t="str">
        <x:v>พบชื่อสัมพันธ์หลายเว็บไซต์ รอยืนยันสาขา</x:v>
      </x:c>
      <x:c r="F131" s="8" t="str">
        <x:v>ยังไม่ยืนยันการเปิดให้บริการปัจจุบัน</x:v>
      </x:c>
      <x:c r="G131" s="58" t="n">
        <x:v>5</x:v>
      </x:c>
      <x:c r="H131" s="52" t="str"/>
      <x:c r="I131" s="52" t="str"/>
      <x:c r="J131" s="52" t="str">
        <x:v>https://www.lemon8-app.com/%40baifren_1996/7563618957471547911?region=th</x:v>
      </x:c>
      <x:c r="K131" s="52" t="str">
        <x:v>https://www.lemon8-app.com/%40aa.un00/7519894544113222161?region=th</x:v>
      </x:c>
      <x:c r="L131" s="52" t="str">
        <x:v>https://makanhalalguide.com/shop/detail/6213</x:v>
      </x:c>
      <x:c r="M131" s="52" t="str">
        <x:v>https://makanhalalguide.com/shop/detail/5938</x:v>
      </x:c>
      <x:c r="N131" s="8" t="str">
        <x:v>ยังไม่ยืนยัน</x:v>
      </x:c>
      <x:c r="O13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1" s="40" t="n">
        <x:v>46315</x:v>
      </x:c>
      <x:c r="Q131" s="59" t="str">
        <x:v>ยังไม่ตรวจ</x:v>
      </x:c>
      <x:c r="R131" s="59" t="str">
        <x:v>รอติดต่อ</x:v>
      </x:c>
    </x:row>
    <x:row r="132" ht="84" customHeight="1">
      <x:c r="A132" s="2" t="str">
        <x:v>TMF-124</x:v>
      </x:c>
      <x:c r="B132" s="8" t="str">
        <x:v>Barakas By Asmar อิสลามตลาดแขก อ.ปากช่อง</x:v>
      </x:c>
      <x:c r="C132" s="8" t="str">
        <x:v>นครราชสีมา</x:v>
      </x:c>
      <x:c r="D132" s="8" t="str">
        <x:v>อยู่ในชุด 600 ตามเส้นทาง</x:v>
      </x:c>
      <x:c r="E132" s="8" t="str">
        <x:v>พบชื่อสัมพันธ์หลายเว็บไซต์ รอยืนยันสาขา</x:v>
      </x:c>
      <x:c r="F132" s="8" t="str">
        <x:v>ยังไม่ยืนยันการเปิดให้บริการปัจจุบัน</x:v>
      </x:c>
      <x:c r="G132" s="58" t="n">
        <x:v>5</x:v>
      </x:c>
      <x:c r="H132" s="52" t="str"/>
      <x:c r="I132" s="52" t="str"/>
      <x:c r="J132" s="52" t="str">
        <x:v>https://restaurantguru.com/%E0%B9%82%E0%B8%A3%E0%B8%87%E0%B8%AD%E0%B8%B2%E0%B8%AB%E0%B8%B2%E0%B8%A3%E0%B8%AD%E0%B8%B3%E0%B9%80%E0%B8%A0%E0%B8%AD%E0%B8%9B%E0%B8%B2%E0%B8%81%E0%B8%8A%E0%B9%88%E0%B8%AD%E0%B8%87-Pak-Chong-2</x:v>
      </x:c>
      <x:c r="K132" s="52" t="str">
        <x:v>https://www.wongnai.com/restaurants/1141227fc-%E0%B8%A3%E0%B9%89%E0%B8%B2%E0%B8%99%E0%B8%AD%E0%B8%B2%E0%B8%AB%E0%B8%B2%E0%B8%A3%E0%B8%AD%E0%B8%B4%E0%B8%AA%E0%B8%A5%E0%B8%B2%E0%B8%A1%E0%B8%95%E0%B8%A5%E0%B8%B2%E0%B8%94%E0%B9%81%E0%B8%82%E0%B8%81</x:v>
      </x:c>
      <x:c r="L132" s="52" t="str">
        <x:v>https://makanhalalguide.com/shop/detail/6223</x:v>
      </x:c>
      <x:c r="M132" s="52" t="str">
        <x:v>https://restaurantguru.com/%E0%B9%82%E0%B8%A3%E0%B8%87%E0%B8%AD%E0%B8%B2%E0%B8%AB%E0%B8%B2%E0%B8%A3%E0%B8%AD%E0%B8%B3%E0%B9%80%E0%B8%A0%E0%B8%AD%E0%B8%9B%E0%B8%B2%E0%B8%81%E0%B8%8A%E0%B9%88%E0%B8%AD%E0%B8%87-Pak-Chong-2</x:v>
      </x:c>
      <x:c r="N132" s="8" t="str">
        <x:v>ยังไม่ยืนยัน</x:v>
      </x:c>
      <x:c r="O13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2" s="40" t="n">
        <x:v>46315</x:v>
      </x:c>
      <x:c r="Q132" s="59" t="str">
        <x:v>ยังไม่ตรวจ</x:v>
      </x:c>
      <x:c r="R132" s="59" t="str">
        <x:v>รอติดต่อ</x:v>
      </x:c>
    </x:row>
    <x:row r="133" ht="84" customHeight="1">
      <x:c r="A133" s="2" t="str">
        <x:v>TMF-125</x:v>
      </x:c>
      <x:c r="B133" s="8" t="str">
        <x:v>Cafe Style Chan Carpentry</x:v>
      </x:c>
      <x:c r="C133" s="8" t="str">
        <x:v>นครราชสีมา</x:v>
      </x:c>
      <x:c r="D133" s="8" t="str">
        <x:v>อยู่ในชุด 600 ตามเส้นทาง</x:v>
      </x:c>
      <x:c r="E133" s="8" t="str">
        <x:v>พบชื่อสัมพันธ์หลายเว็บไซต์ รอยืนยันสาขา</x:v>
      </x:c>
      <x:c r="F133" s="8" t="str">
        <x:v>ยังไม่ยืนยันการเปิดให้บริการปัจจุบัน</x:v>
      </x:c>
      <x:c r="G133" s="58" t="n">
        <x:v>2</x:v>
      </x:c>
      <x:c r="H133" s="52" t="str"/>
      <x:c r="I133" s="52" t="str"/>
      <x:c r="J133" s="52" t="str"/>
      <x:c r="K133" s="52" t="str"/>
      <x:c r="L133" s="52" t="str">
        <x:v>https://makanhalalguide.com/shop/detail/6204</x:v>
      </x:c>
      <x:c r="M133" s="52" t="str">
        <x:v>https://www.thaithurkic.com/%E0%B8%A3%E0%B8%96%E0%B9%81%E0%B8%8B%E0%B9%88%E0%B8%9A%E0%B9%80%E0%B8%A7%E0%B8%AD%E0%B8%A3%E0%B9%8C-095-739-7412</x:v>
      </x:c>
      <x:c r="N133" s="8" t="str">
        <x:v>ยังไม่ยืนยัน</x:v>
      </x:c>
      <x:c r="O13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3" s="40" t="n">
        <x:v>46315</x:v>
      </x:c>
      <x:c r="Q133" s="59" t="str">
        <x:v>ยังไม่ตรวจ</x:v>
      </x:c>
      <x:c r="R133" s="59" t="str">
        <x:v>รอติดต่อ</x:v>
      </x:c>
    </x:row>
    <x:row r="134" ht="84" customHeight="1">
      <x:c r="A134" s="2" t="str">
        <x:v>TMF-126</x:v>
      </x:c>
      <x:c r="B134" s="8" t="str">
        <x:v>Halal ครัวบังบิ๊ก เขาใหญ่</x:v>
      </x:c>
      <x:c r="C134" s="8" t="str">
        <x:v>นครราชสีมา</x:v>
      </x:c>
      <x:c r="D134" s="8" t="str">
        <x:v>อยู่ในชุด 600 ตามเส้นทาง</x:v>
      </x:c>
      <x:c r="E134" s="8" t="str">
        <x:v>พบชื่อสัมพันธ์หลายเว็บไซต์ รอยืนยันสาขา</x:v>
      </x:c>
      <x:c r="F134" s="8" t="str">
        <x:v>ยังไม่ยืนยันการเปิดให้บริการปัจจุบัน</x:v>
      </x:c>
      <x:c r="G134" s="58" t="n">
        <x:v>2</x:v>
      </x:c>
      <x:c r="H134" s="52" t="str"/>
      <x:c r="I134" s="52" t="str"/>
      <x:c r="J134" s="52" t="str"/>
      <x:c r="K134" s="52" t="str"/>
      <x:c r="L134" s="52" t="str">
        <x:v>https://makanhalalguide.com/shop/detail/6221</x:v>
      </x:c>
      <x:c r="M134" s="52" t="str">
        <x:v>https://xn--l3cga1amo9al2e5c0fqf.cybo.com/TH/%E0%B8%AD%E0%B8%B3%E0%B9%80%E0%B8%A0%E0%B8%AD%E0%B8%9B%E0%B8%B2%E0%B8%81%E0%B8%8A%E0%B9%88%E0%B8%AD%E0%B8%87/%E0%B8%A3%E0%B9%89%E0%B8%B2%E0%B8%99%E0%B8%AD%E0%B8%B2%E0%B8%AB%E0%B8%B2%E0%B8%A3%E0%B8%AE%E0%B8%B2%E0%B8%A5%E0%B8%B2%E0%B8%A5</x:v>
      </x:c>
      <x:c r="N134" s="8" t="str">
        <x:v>ยังไม่ยืนยัน</x:v>
      </x:c>
      <x:c r="O13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4" s="40" t="n">
        <x:v>46315</x:v>
      </x:c>
      <x:c r="Q134" s="59" t="str">
        <x:v>ยังไม่ตรวจ</x:v>
      </x:c>
      <x:c r="R134" s="59" t="str">
        <x:v>รอติดต่อ</x:v>
      </x:c>
    </x:row>
    <x:row r="135" ht="84" customHeight="1">
      <x:c r="A135" s="2" t="str">
        <x:v>TMF-127</x:v>
      </x:c>
      <x:c r="B135" s="8" t="str">
        <x:v>PICNIC CAMP เขายายเที่ยง</x:v>
      </x:c>
      <x:c r="C135" s="8" t="str">
        <x:v>นครราชสีมา</x:v>
      </x:c>
      <x:c r="D135" s="8" t="str">
        <x:v>อยู่ในชุด 600 ตามเส้นทาง</x:v>
      </x:c>
      <x:c r="E135" s="8" t="str">
        <x:v>พบชื่อสัมพันธ์หลายเว็บไซต์ รอยืนยันสาขา</x:v>
      </x:c>
      <x:c r="F135" s="8" t="str">
        <x:v>ยังไม่ยืนยันการเปิดให้บริการปัจจุบัน</x:v>
      </x:c>
      <x:c r="G135" s="58" t="n">
        <x:v>4</x:v>
      </x:c>
      <x:c r="H135" s="52" t="str"/>
      <x:c r="I135" s="52" t="str"/>
      <x:c r="J135" s="52" t="str">
        <x:v>https://www.google.co.th/travel/hotels/entity/CgoI-NTh0cj5wYYOEAE</x:v>
      </x:c>
      <x:c r="K135" s="52" t="str">
        <x:v>https://www.google.com.sa/travel/hotels/entity/CgoI-NTh0cj5wYYOEAE?ap=MAC6AQZwcmljZXM&amp;g2lb=2502548%2C4254308%2C4258168%2C4260007%2C4274032%2C4305595%2C4306835%2C4308216%2C4308983%2C4314846%2C4315873%2C4317915%2C4323314%2C4328159%2C4329288%2C4270859%2C4284970%2C4291517%2C4292955%2C4316256&amp;gl=th&amp;gsas=1&amp;hl=th&amp;qs=CAEyKENob0ktZlRndHF6QzJadXpBUm9OTDJjdk1URm1NbmRqY0cxNlpCQUI4Bg&amp;rp=OAHCAhwiGg0AAOFDEhMIp_-Z5JitjwMVAb-rBx2k7gYw&amp;ts=CAEaIAoCGgASGhIUCgcI6g8QCBgREgcI6g8QCBgSGAEyAhAAKgkKBToDVEhCGgA&amp;un=1</x:v>
      </x:c>
      <x:c r="L135" s="52" t="str">
        <x:v>https://makanhalalguide.com/shop/detail/6215</x:v>
      </x:c>
      <x:c r="M135" s="52" t="str">
        <x:v>https://www.google.co.th/travel/hotels/entity/CgoI-NTh0cj5wYYOEAE</x:v>
      </x:c>
      <x:c r="N135" s="8" t="str">
        <x:v>ยังไม่ยืนยัน</x:v>
      </x:c>
      <x:c r="O135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35" s="40" t="n">
        <x:v>46315</x:v>
      </x:c>
      <x:c r="Q135" s="59" t="str">
        <x:v>ยังไม่ตรวจ</x:v>
      </x:c>
      <x:c r="R135" s="59" t="str">
        <x:v>รอติดต่อ</x:v>
      </x:c>
    </x:row>
    <x:row r="136" ht="84" customHeight="1">
      <x:c r="A136" s="2" t="str">
        <x:v>TMF-128</x:v>
      </x:c>
      <x:c r="B136" s="8" t="str">
        <x:v>SALASA HALAL KHAOYAI</x:v>
      </x:c>
      <x:c r="C136" s="8" t="str">
        <x:v>นครราชสีมา</x:v>
      </x:c>
      <x:c r="D136" s="8" t="str">
        <x:v>อยู่ในชุด 600 ตามเส้นทาง</x:v>
      </x:c>
      <x:c r="E136" s="8" t="str">
        <x:v>พบชื่อสัมพันธ์หลายเว็บไซต์ รอยืนยันสาขา</x:v>
      </x:c>
      <x:c r="F136" s="8" t="str">
        <x:v>ยังไม่ยืนยันการเปิดให้บริการปัจจุบัน</x:v>
      </x:c>
      <x:c r="G136" s="58" t="n">
        <x:v>2</x:v>
      </x:c>
      <x:c r="H136" s="52" t="str"/>
      <x:c r="I136" s="52" t="str"/>
      <x:c r="J136" s="52" t="str"/>
      <x:c r="K136" s="52" t="str"/>
      <x:c r="L136" s="52" t="str">
        <x:v>https://makanhalalguide.com/shop/detail/6217</x:v>
      </x:c>
      <x:c r="M136" s="52" t="str">
        <x:v>https://www.halalthailand.com/article/123</x:v>
      </x:c>
      <x:c r="N136" s="8" t="str">
        <x:v>ยังไม่ยืนยัน</x:v>
      </x:c>
      <x:c r="O13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6" s="40" t="n">
        <x:v>46315</x:v>
      </x:c>
      <x:c r="Q136" s="59" t="str">
        <x:v>ยังไม่ตรวจ</x:v>
      </x:c>
      <x:c r="R136" s="59" t="str">
        <x:v>รอติดต่อ</x:v>
      </x:c>
    </x:row>
    <x:row r="137" ht="84" customHeight="1">
      <x:c r="A137" s="2" t="str">
        <x:v>TMF-129</x:v>
      </x:c>
      <x:c r="B137" s="8" t="str">
        <x:v>ขนมบ้านคลอเดียร์ หลักกม.9 เขายายเที่ยงใต้</x:v>
      </x:c>
      <x:c r="C137" s="8" t="str">
        <x:v>นครราชสีมา</x:v>
      </x:c>
      <x:c r="D137" s="8" t="str">
        <x:v>สำรองหลังปรับตามเส้นทาง</x:v>
      </x:c>
      <x:c r="E137" s="8" t="str">
        <x:v>หลักฐานไม่พอ รอยืนยันการเปิด</x:v>
      </x:c>
      <x:c r="F137" s="8" t="str">
        <x:v>ยังไม่ยืนยันการเปิดให้บริการปัจจุบัน</x:v>
      </x:c>
      <x:c r="G137" s="58" t="n">
        <x:v>1</x:v>
      </x:c>
      <x:c r="H137" s="52"/>
      <x:c r="I137" s="52"/>
      <x:c r="J137" s="52"/>
      <x:c r="K137" s="52"/>
      <x:c r="L137" s="52"/>
      <x:c r="M137" s="52"/>
      <x:c r="N137" s="8" t="str">
        <x:v>ยังไม่ยืนยัน</x:v>
      </x:c>
      <x:c r="O13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37" s="40" t="n">
        <x:v>46315</x:v>
      </x:c>
      <x:c r="Q137" s="59" t="str">
        <x:v>ยังไม่ตรวจ</x:v>
      </x:c>
      <x:c r="R137" s="59" t="str">
        <x:v>รอติดต่อ</x:v>
      </x:c>
    </x:row>
    <x:row r="138" ht="84" customHeight="1">
      <x:c r="A138" s="2" t="str">
        <x:v>TMF-130</x:v>
      </x:c>
      <x:c r="B138" s="8" t="str">
        <x:v>ครัวอินดี้เขาใหญ่ อาหารปักษ์ใต้ ฮาลาล</x:v>
      </x:c>
      <x:c r="C138" s="8" t="str">
        <x:v>นครราชสีมา</x:v>
      </x:c>
      <x:c r="D138" s="8" t="str">
        <x:v>อยู่ในชุด 600 ตามเส้นทาง</x:v>
      </x:c>
      <x:c r="E138" s="8" t="str">
        <x:v>พบชื่อสัมพันธ์หลายเว็บไซต์ รอยืนยันสาขา</x:v>
      </x:c>
      <x:c r="F138" s="8" t="str">
        <x:v>ยังไม่ยืนยันการเปิดให้บริการปัจจุบัน</x:v>
      </x:c>
      <x:c r="G138" s="58" t="n">
        <x:v>2</x:v>
      </x:c>
      <x:c r="H138" s="52" t="str"/>
      <x:c r="I138" s="52" t="str"/>
      <x:c r="J138" s="52" t="str"/>
      <x:c r="K138" s="52" t="str"/>
      <x:c r="L138" s="52" t="str">
        <x:v>https://makanhalalguide.com/shop/detail/6220</x:v>
      </x:c>
      <x:c r="M138" s="52" t="str">
        <x:v>https://telefon-kitab.cybo.com/TH-biz/%E0%B8%84%E0%B8%A3%E0%B8%B1%E0%B8%A7%E0%B8%AD%E0%B8%B4%E0%B8%99%E0%B8%94%E0%B8%B5%E0%B9%89%E0%B9%80%E0%B8%82%E0%B8%B2%E0%B9%83%E0%B8%AB%E0%B8%8D%E0%B9%88-%E0%B8%AD%E0%B8%B2%E0%B8%AB%E0%B8%B2%E0%B8%A3%E0%B8%9B%E0%B8%B1%E0%B8%81%E0%B8%A9%E0%B9%8C%E0%B9%83%E0%B8%95%E0%B9%89-%E0%B8%AE%E0%B8%B2%E0%B8%A5%E0%B8%B2%E0%B8%A5</x:v>
      </x:c>
      <x:c r="N138" s="8" t="str">
        <x:v>ยังไม่ยืนยัน</x:v>
      </x:c>
      <x:c r="O13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8" s="40" t="n">
        <x:v>46315</x:v>
      </x:c>
      <x:c r="Q138" s="59" t="str">
        <x:v>ยังไม่ตรวจ</x:v>
      </x:c>
      <x:c r="R138" s="59" t="str">
        <x:v>รอติดต่อ</x:v>
      </x:c>
    </x:row>
    <x:row r="139" ht="84" customHeight="1">
      <x:c r="A139" s="2" t="str">
        <x:v>TMF-131</x:v>
      </x:c>
      <x:c r="B139" s="8" t="str">
        <x:v>บ้านกังหันวัลเล่ย์ แคมป์ปิ้ง&amp;ฮาลาลฟู้ด</x:v>
      </x:c>
      <x:c r="C139" s="8" t="str">
        <x:v>นครราชสีมา</x:v>
      </x:c>
      <x:c r="D139" s="8" t="str">
        <x:v>อยู่ในชุด 600 ตามเส้นทาง</x:v>
      </x:c>
      <x:c r="E139" s="8" t="str">
        <x:v>พบชื่อสัมพันธ์หลายเว็บไซต์ รอยืนยันสาขา</x:v>
      </x:c>
      <x:c r="F139" s="8" t="str">
        <x:v>ยังไม่ยืนยันการเปิดให้บริการปัจจุบัน</x:v>
      </x:c>
      <x:c r="G139" s="58" t="n">
        <x:v>2</x:v>
      </x:c>
      <x:c r="H139" s="52" t="str"/>
      <x:c r="I139" s="52" t="str"/>
      <x:c r="J139" s="52" t="str"/>
      <x:c r="K139" s="52" t="str"/>
      <x:c r="L139" s="52" t="str">
        <x:v>https://makanhalalguide.com/shop/detail/5195</x:v>
      </x:c>
      <x:c r="M139" s="52" t="str">
        <x:v>https://www.thaithurkic.com/%E0%B8%9A%E0%B9%89%E0%B8%B2%E0%B8%99%E0%B8%81%E0%B8%B1%E0%B8%87%E0%B8%AB%E0%B8%B1%E0%B8%99%E0%B8%A7%E0%B8%B1%E0%B8%A5%E0%B9%80%E0%B8%A5%E0%B9%88%E0%B8%A2%E0%B9%8C-083-199-5750</x:v>
      </x:c>
      <x:c r="N139" s="8" t="str">
        <x:v>ยังไม่ยืนยัน</x:v>
      </x:c>
      <x:c r="O13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39" s="40" t="n">
        <x:v>46315</x:v>
      </x:c>
      <x:c r="Q139" s="59" t="str">
        <x:v>ยังไม่ตรวจ</x:v>
      </x:c>
      <x:c r="R139" s="59" t="str">
        <x:v>รอติดต่อ</x:v>
      </x:c>
    </x:row>
    <x:row r="140" ht="84" customHeight="1">
      <x:c r="A140" s="2" t="str">
        <x:v>TMF-132</x:v>
      </x:c>
      <x:c r="B140" s="8" t="str">
        <x:v>ป้าจันทร์ฮาลาล ช้างเผือก</x:v>
      </x:c>
      <x:c r="C140" s="8" t="str">
        <x:v>นครราชสีมา</x:v>
      </x:c>
      <x:c r="D140" s="8" t="str">
        <x:v>สำรองหลังปรับตามเส้นทาง</x:v>
      </x:c>
      <x:c r="E140" s="8" t="str">
        <x:v>หลักฐานไม่พอ รอยืนยันการเปิด</x:v>
      </x:c>
      <x:c r="F140" s="8" t="str">
        <x:v>ยังไม่ยืนยันการเปิดให้บริการปัจจุบัน</x:v>
      </x:c>
      <x:c r="G140" s="58" t="n">
        <x:v>1</x:v>
      </x:c>
      <x:c r="H140" s="52"/>
      <x:c r="I140" s="52"/>
      <x:c r="J140" s="52"/>
      <x:c r="K140" s="52"/>
      <x:c r="L140" s="52"/>
      <x:c r="M140" s="52"/>
      <x:c r="N140" s="8" t="str">
        <x:v>ยังไม่ยืนยัน</x:v>
      </x:c>
      <x:c r="O14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40" s="40" t="n">
        <x:v>46315</x:v>
      </x:c>
      <x:c r="Q140" s="59" t="str">
        <x:v>ยังไม่ตรวจ</x:v>
      </x:c>
      <x:c r="R140" s="59" t="str">
        <x:v>รอติดต่อ</x:v>
      </x:c>
    </x:row>
    <x:row r="141" ht="84" customHeight="1">
      <x:c r="A141" s="2" t="str">
        <x:v>TMF-133</x:v>
      </x:c>
      <x:c r="B141" s="8" t="str">
        <x:v>ฟอสซิล แคมป์</x:v>
      </x:c>
      <x:c r="C141" s="8" t="str">
        <x:v>นครราชสีมา</x:v>
      </x:c>
      <x:c r="D141" s="8" t="str">
        <x:v>อยู่ในชุด 600 ตามเส้นทาง</x:v>
      </x:c>
      <x:c r="E141" s="8" t="str">
        <x:v>พบชื่อสัมพันธ์หลายเว็บไซต์ รอยืนยันสาขา</x:v>
      </x:c>
      <x:c r="F141" s="8" t="str">
        <x:v>ยังไม่ยืนยันการเปิดให้บริการปัจจุบัน</x:v>
      </x:c>
      <x:c r="G141" s="58" t="n">
        <x:v>2</x:v>
      </x:c>
      <x:c r="H141" s="52" t="str"/>
      <x:c r="I141" s="52" t="str"/>
      <x:c r="J141" s="52" t="str">
        <x:v>https://www.lemon8-app.com/%40matha_winn/7640515318569288209?region=th</x:v>
      </x:c>
      <x:c r="K141" s="52" t="str">
        <x:v>https://www.lemon8-app.com/%40meekhun_meekhun/7648620639948997141?region=th</x:v>
      </x:c>
      <x:c r="L141" s="52" t="str">
        <x:v>https://makanhalalguide.com/shop/detail/6237</x:v>
      </x:c>
      <x:c r="M141" s="52" t="str">
        <x:v>https://www.lemon8-app.com/%40matha_winn/7640515318569288209?region=th</x:v>
      </x:c>
      <x:c r="N141" s="8" t="str">
        <x:v>ยังไม่ยืนยัน</x:v>
      </x:c>
      <x:c r="O14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41" s="40" t="n">
        <x:v>46315</x:v>
      </x:c>
      <x:c r="Q141" s="59" t="str">
        <x:v>ยังไม่ตรวจ</x:v>
      </x:c>
      <x:c r="R141" s="59" t="str">
        <x:v>รอติดต่อ</x:v>
      </x:c>
    </x:row>
    <x:row r="142" ht="84" customHeight="1">
      <x:c r="A142" s="2" t="str">
        <x:v>TMF-134</x:v>
      </x:c>
      <x:c r="B142" s="8" t="str">
        <x:v>ฟอสซิล แคมป์&amp;คาเฟ่</x:v>
      </x:c>
      <x:c r="C142" s="8" t="str">
        <x:v>นครราชสีมา</x:v>
      </x:c>
      <x:c r="D142" s="8" t="str">
        <x:v>สำรองหลังปรับตามเส้นทาง</x:v>
      </x:c>
      <x:c r="E142" s="8" t="str">
        <x:v>พบหลายแหล่งสัมพันธ์กับชื่อ รอยืนยันการเปิด</x:v>
      </x:c>
      <x:c r="F142" s="8" t="str">
        <x:v>ยังไม่ยืนยันการเปิดให้บริการปัจจุบัน</x:v>
      </x:c>
      <x:c r="G142" s="58" t="n">
        <x:v>2</x:v>
      </x:c>
      <x:c r="H142" s="52"/>
      <x:c r="I142" s="52"/>
      <x:c r="J142" s="52" t="str">
        <x:v>HYPERLINK is not implemented. linkLocation=https://www.lemon8-app.com/%40phajaipaitiew/7605192602648691218?region=th, friendlyName=เปิดหน้ารีวิว 1</x:v>
      </x:c>
      <x:c r="K142" s="52" t="str">
        <x:v>HYPERLINK is not implemented. linkLocation=https://www.lemon8-app.com/%40matha_winn/7640515318569288209?region=th, friendlyName=เปิดหน้ารีวิว 2</x:v>
      </x:c>
      <x:c r="L142" s="52"/>
      <x:c r="M142" s="52"/>
      <x:c r="N142" s="8" t="str">
        <x:v>ยังไม่ยืนยัน</x:v>
      </x:c>
      <x:c r="O14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42" s="40" t="n">
        <x:v>46315</x:v>
      </x:c>
      <x:c r="Q142" s="59" t="str">
        <x:v>ยังไม่ตรวจ</x:v>
      </x:c>
      <x:c r="R142" s="59" t="str">
        <x:v>รอติดต่อ</x:v>
      </x:c>
    </x:row>
    <x:row r="143" ht="84" customHeight="1">
      <x:c r="A143" s="2" t="str">
        <x:v>TMF-135</x:v>
      </x:c>
      <x:c r="B143" s="8" t="str">
        <x:v>ภูล้านดาวแคมป์ ณ เขายายเที่ยง</x:v>
      </x:c>
      <x:c r="C143" s="8" t="str">
        <x:v>นครราชสีมา</x:v>
      </x:c>
      <x:c r="D143" s="8" t="str">
        <x:v>อยู่ในชุด 600 ตามเส้นทาง</x:v>
      </x:c>
      <x:c r="E143" s="8" t="str">
        <x:v>พบชื่อสัมพันธ์หลายเว็บไซต์ รอยืนยันสาขา</x:v>
      </x:c>
      <x:c r="F143" s="8" t="str">
        <x:v>ยังไม่ยืนยันการเปิดให้บริการปัจจุบัน</x:v>
      </x:c>
      <x:c r="G143" s="58" t="n">
        <x:v>5</x:v>
      </x:c>
      <x:c r="H143" s="52" t="str"/>
      <x:c r="I143" s="52" t="str"/>
      <x:c r="J143" s="52" t="str">
        <x:v>https://www.lemon8-app.com/%4008nakhonratchasima/7379868697139216912?region=th</x:v>
      </x:c>
      <x:c r="K143" s="52" t="str"/>
      <x:c r="L143" s="52" t="str">
        <x:v>https://makanhalalguide.com/shop/detail/5394</x:v>
      </x:c>
      <x:c r="M143" s="52" t="str">
        <x:v>https://www.lemon8-app.com/%4008nakhonratchasima/7379868697139216912?region=th</x:v>
      </x:c>
      <x:c r="N143" s="8" t="str">
        <x:v>ยังไม่ยืนยัน</x:v>
      </x:c>
      <x:c r="O143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 / พบการโฆษณารับสัตว์เลี้ยง ต้องยืนยันห้องหรือหน่วยที่พักปลอดสัตว์เลี้ยงโดยเฉพาะ</x:v>
      </x:c>
      <x:c r="P143" s="40" t="n">
        <x:v>46315</x:v>
      </x:c>
      <x:c r="Q143" s="59" t="str">
        <x:v>ยังไม่ตรวจ</x:v>
      </x:c>
      <x:c r="R143" s="59" t="str">
        <x:v>รอติดต่อ</x:v>
      </x:c>
    </x:row>
    <x:row r="144" ht="84" customHeight="1">
      <x:c r="A144" s="2" t="str">
        <x:v>TMF-136</x:v>
      </x:c>
      <x:c r="B144" s="8" t="str">
        <x:v>I Lay Resort Sichon</x:v>
      </x:c>
      <x:c r="C144" s="8" t="str">
        <x:v>นครศรีธรรมราช</x:v>
      </x:c>
      <x:c r="D144" s="8" t="str">
        <x:v>อยู่ในชุด 600 ตามเส้นทาง</x:v>
      </x:c>
      <x:c r="E144" s="8" t="str">
        <x:v>พบชื่อสัมพันธ์หลายเว็บไซต์ รอยืนยันสาขา</x:v>
      </x:c>
      <x:c r="F144" s="8" t="str">
        <x:v>ยังไม่ยืนยันการเปิดให้บริการปัจจุบัน</x:v>
      </x:c>
      <x:c r="G144" s="58" t="n">
        <x:v>2</x:v>
      </x:c>
      <x:c r="H144" s="52" t="str"/>
      <x:c r="I144" s="52" t="str"/>
      <x:c r="J144" s="52" t="str">
        <x:v>https://in.trip.com/moments/detail/nakhon-si-thammarat-1447082-134498184</x:v>
      </x:c>
      <x:c r="K144" s="52" t="str">
        <x:v>https://th.trip.com/hotels/sichon-hotel-detail-92590114/i-lay-resortcafe-sichon/</x:v>
      </x:c>
      <x:c r="L144" s="52" t="str">
        <x:v>https://makanhalalguide.com/shop/detail/5941</x:v>
      </x:c>
      <x:c r="M144" s="52" t="str">
        <x:v>https://in.trip.com/moments/detail/nakhon-si-thammarat-1447082-134498184</x:v>
      </x:c>
      <x:c r="N144" s="8" t="str">
        <x:v>ยังไม่ยืนยัน</x:v>
      </x:c>
      <x:c r="O14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44" s="40" t="n">
        <x:v>46315</x:v>
      </x:c>
      <x:c r="Q144" s="59" t="str">
        <x:v>ยังไม่ตรวจ</x:v>
      </x:c>
      <x:c r="R144" s="59" t="str">
        <x:v>รอติดต่อ</x:v>
      </x:c>
    </x:row>
    <x:row r="145" ht="84" customHeight="1">
      <x:c r="A145" s="2" t="str">
        <x:v>TMF-137</x:v>
      </x:c>
      <x:c r="B145" s="8" t="str">
        <x:v>I Lay Cafe Sichon</x:v>
      </x:c>
      <x:c r="C145" s="8" t="str">
        <x:v>นครศรีธรรมราช</x:v>
      </x:c>
      <x:c r="D145" s="8" t="str">
        <x:v>สำรองหลังปรับตามเส้นทาง</x:v>
      </x:c>
      <x:c r="E145" s="8" t="str">
        <x:v>หลักฐานไม่พอ รอยืนยันการเปิด</x:v>
      </x:c>
      <x:c r="F145" s="8" t="str">
        <x:v>ยังไม่ยืนยันการเปิดให้บริการปัจจุบัน</x:v>
      </x:c>
      <x:c r="G145" s="58" t="n">
        <x:v>1</x:v>
      </x:c>
      <x:c r="H145" s="52"/>
      <x:c r="I145" s="52"/>
      <x:c r="J145" s="52"/>
      <x:c r="K145" s="52"/>
      <x:c r="L145" s="52"/>
      <x:c r="M145" s="52"/>
      <x:c r="N145" s="8" t="str">
        <x:v>ยังไม่ยืนยัน</x:v>
      </x:c>
      <x:c r="O14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45" s="40" t="n">
        <x:v>46315</x:v>
      </x:c>
      <x:c r="Q145" s="59" t="str">
        <x:v>ยังไม่ตรวจ</x:v>
      </x:c>
      <x:c r="R145" s="59" t="str">
        <x:v>รอติดต่อ</x:v>
      </x:c>
    </x:row>
    <x:row r="146" ht="84" customHeight="1">
      <x:c r="A146" s="2" t="str">
        <x:v>TMF-138</x:v>
      </x:c>
      <x:c r="B146" s="8" t="str">
        <x:v>Kamin Halal Kitchen House</x:v>
      </x:c>
      <x:c r="C146" s="8" t="str">
        <x:v>นครศรีธรรมราช</x:v>
      </x:c>
      <x:c r="D146" s="8" t="str">
        <x:v>อยู่ในชุด 600 ตามเส้นทาง</x:v>
      </x:c>
      <x:c r="E146" s="8" t="str">
        <x:v>พบชื่อสัมพันธ์หลายเว็บไซต์ รอยืนยันสาขา</x:v>
      </x:c>
      <x:c r="F146" s="8" t="str">
        <x:v>ยังไม่ยืนยันการเปิดให้บริการปัจจุบัน</x:v>
      </x:c>
      <x:c r="G146" s="58" t="n">
        <x:v>3</x:v>
      </x:c>
      <x:c r="H146" s="52" t="str"/>
      <x:c r="I146" s="52" t="str"/>
      <x:c r="J146" s="52" t="str">
        <x:v>https://es.restaurantguru.com/Kamin-halal-kitchen-house-Nakhon-Si-Thammarat</x:v>
      </x:c>
      <x:c r="K146" s="52" t="str">
        <x:v>https://www.lemon8-app.com/%40solya_wbm/7674502003220906513?region=th</x:v>
      </x:c>
      <x:c r="L146" s="52" t="str">
        <x:v>https://makanhalalguide.com/shop/detail/5950</x:v>
      </x:c>
      <x:c r="M146" s="52" t="str">
        <x:v>https://es.restaurantguru.com/Kamin-halal-kitchen-house-Nakhon-Si-Thammarat</x:v>
      </x:c>
      <x:c r="N146" s="8" t="str">
        <x:v>ยังไม่ยืนยัน</x:v>
      </x:c>
      <x:c r="O14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46" s="40" t="n">
        <x:v>46315</x:v>
      </x:c>
      <x:c r="Q146" s="59" t="str">
        <x:v>ยังไม่ตรวจ</x:v>
      </x:c>
      <x:c r="R146" s="59" t="str">
        <x:v>รอติดต่อ</x:v>
      </x:c>
    </x:row>
    <x:row r="147" ht="84" customHeight="1">
      <x:c r="A147" s="2" t="str">
        <x:v>TMF-139</x:v>
      </x:c>
      <x:c r="B147" s="8" t="str">
        <x:v>ของบังดี ฮาลาลช็อป นครศรีธรรมราช</x:v>
      </x:c>
      <x:c r="C147" s="8" t="str">
        <x:v>นครศรีธรรมราช</x:v>
      </x:c>
      <x:c r="D147" s="8" t="str">
        <x:v>อยู่ในชุด 600 ตามเส้นทาง</x:v>
      </x:c>
      <x:c r="E147" s="8" t="str">
        <x:v>พบชื่อสัมพันธ์หลายเว็บไซต์ รอยืนยันสาขา</x:v>
      </x:c>
      <x:c r="F147" s="8" t="str">
        <x:v>ยังไม่ยืนยันการเปิดให้บริการปัจจุบัน</x:v>
      </x:c>
      <x:c r="G147" s="58" t="n">
        <x:v>3</x:v>
      </x:c>
      <x:c r="H147" s="52" t="str"/>
      <x:c r="I147" s="52" t="str"/>
      <x:c r="J147" s="52" t="str">
        <x:v>https://www.wongnai.com/restaurants/737160fn-%E0%B8%A3%E0%B9%89%E0%B8%B2%E0%B8%99%E0%B8%82%E0%B8%AD%E0%B8%87%E0%B8%9A%E0%B8%B1%E0%B8%87%E0%B8%94%E0%B8%B5%E0%B8%84%E0%B8%B2%E0%B9%80%E0%B8%9F%E0%B9%88</x:v>
      </x:c>
      <x:c r="K147" s="52" t="str">
        <x:v>https://www.wongnai.com/restaurants/737160fn-%E0%B8%82%E0%B8%AD%E0%B8%87%E0%B8%9A%E0%B8%B1%E0%B8%87%E0%B8%94%E0%B8%B5-%E0%B8%AE%E0%B8%B2%E0%B8%A5%E0%B8%B2%E0%B8%A5%E0%B8%8A%E0%B9%87%E0%B8%AD%E0%B8%9B-%E0%B8%99%E0%B8%84%E0%B8%A3%E0%B8%A8%E0%B8%A3%E0%B8%B5%E0%B8%98%E0%B8%A3%E0%B8%A3%E0%B8%A1%E0%B8%A3%E0%B8%B2%E0%B8%8A/reviews</x:v>
      </x:c>
      <x:c r="L147" s="52" t="str">
        <x:v>https://makanhalalguide.com/shop/detail/4873</x:v>
      </x:c>
      <x:c r="M147" s="52" t="str">
        <x:v>https://www.wongnai.com/restaurants/737160fn-%E0%B8%A3%E0%B9%89%E0%B8%B2%E0%B8%99%E0%B8%82%E0%B8%AD%E0%B8%87%E0%B8%9A%E0%B8%B1%E0%B8%87%E0%B8%94%E0%B8%B5%E0%B8%84%E0%B8%B2%E0%B9%80%E0%B8%9F%E0%B9%88</x:v>
      </x:c>
      <x:c r="N147" s="8" t="str">
        <x:v>ยังไม่ยืนยัน</x:v>
      </x:c>
      <x:c r="O14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47" s="40" t="n">
        <x:v>46315</x:v>
      </x:c>
      <x:c r="Q147" s="59" t="str">
        <x:v>ยังไม่ตรวจ</x:v>
      </x:c>
      <x:c r="R147" s="59" t="str">
        <x:v>รอติดต่อ</x:v>
      </x:c>
    </x:row>
    <x:row r="148" ht="84" customHeight="1">
      <x:c r="A148" s="2" t="str">
        <x:v>TMF-140</x:v>
      </x:c>
      <x:c r="B148" s="8" t="str">
        <x:v>ข้าวซอยสุธินี</x:v>
      </x:c>
      <x:c r="C148" s="8" t="str">
        <x:v>นครศรีธรรมราช</x:v>
      </x:c>
      <x:c r="D148" s="8" t="str">
        <x:v>อยู่ในชุด 600 ตามเส้นทาง</x:v>
      </x:c>
      <x:c r="E148" s="8" t="str">
        <x:v>พบชื่อสัมพันธ์หลายเว็บไซต์ รอยืนยันสาขา</x:v>
      </x:c>
      <x:c r="F148" s="8" t="str">
        <x:v>ยังไม่ยืนยันการเปิดให้บริการปัจจุบัน</x:v>
      </x:c>
      <x:c r="G148" s="58" t="n">
        <x:v>2</x:v>
      </x:c>
      <x:c r="H148" s="52" t="str"/>
      <x:c r="I148" s="52" t="str"/>
      <x:c r="J148" s="52" t="str">
        <x:v>https://www.wongnai.com/restaurants/2960948Cm-%E0%B8%82%E0%B9%89%E0%B8%B2%E0%B8%A7%E0%B8%8B%E0%B8%AD%E0%B8%A2%E0%B8%AA%E0%B8%B8%E0%B8%98%E0%B8%B4%E0%B8%99%E0%B8%B5-%E0%B8%AE%E0%B8%B2%E0%B8%A5%E0%B8%B2%E0%B8%A5</x:v>
      </x:c>
      <x:c r="K148" s="52" t="str"/>
      <x:c r="L148" s="52" t="str">
        <x:v>https://makanhalalguide.com/shop/detail/5930</x:v>
      </x:c>
      <x:c r="M148" s="52" t="str">
        <x:v>https://www.wongnai.com/restaurants/2960948Cm-%E0%B8%82%E0%B9%89%E0%B8%B2%E0%B8%A7%E0%B8%8B%E0%B8%AD%E0%B8%A2%E0%B8%AA%E0%B8%B8%E0%B8%98%E0%B8%B4%E0%B8%99%E0%B8%B5-%E0%B8%AE%E0%B8%B2%E0%B8%A5%E0%B8%B2%E0%B8%A5</x:v>
      </x:c>
      <x:c r="N148" s="8" t="str">
        <x:v>ยังไม่ยืนยัน</x:v>
      </x:c>
      <x:c r="O14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48" s="40" t="n">
        <x:v>46315</x:v>
      </x:c>
      <x:c r="Q148" s="59" t="str">
        <x:v>ยังไม่ตรวจ</x:v>
      </x:c>
      <x:c r="R148" s="59" t="str">
        <x:v>รอติดต่อ</x:v>
      </x:c>
    </x:row>
    <x:row r="149" ht="84" customHeight="1">
      <x:c r="A149" s="2" t="str">
        <x:v>TMF-141</x:v>
      </x:c>
      <x:c r="B149" s="8" t="str">
        <x:v>จันทร์เจ้าขา ร้านอาหาร นครศรีธรรมราช</x:v>
      </x:c>
      <x:c r="C149" s="8" t="str">
        <x:v>นครศรีธรรมราช</x:v>
      </x:c>
      <x:c r="D149" s="8" t="str">
        <x:v>สำรองหลังปรับตามเส้นทาง</x:v>
      </x:c>
      <x:c r="E149" s="8" t="str">
        <x:v>หลักฐานไม่พอ รอยืนยันการเปิด</x:v>
      </x:c>
      <x:c r="F149" s="8" t="str">
        <x:v>ยังไม่ยืนยันการเปิดให้บริการปัจจุบัน</x:v>
      </x:c>
      <x:c r="G149" s="58" t="n">
        <x:v>1</x:v>
      </x:c>
      <x:c r="H149" s="52"/>
      <x:c r="I149" s="52"/>
      <x:c r="J149" s="52"/>
      <x:c r="K149" s="52"/>
      <x:c r="L149" s="52"/>
      <x:c r="M149" s="52"/>
      <x:c r="N149" s="8" t="str">
        <x:v>ยังไม่ยืนยัน</x:v>
      </x:c>
      <x:c r="O14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49" s="40" t="n">
        <x:v>46315</x:v>
      </x:c>
      <x:c r="Q149" s="59" t="str">
        <x:v>ยังไม่ตรวจ</x:v>
      </x:c>
      <x:c r="R149" s="59" t="str">
        <x:v>รอติดต่อ</x:v>
      </x:c>
    </x:row>
    <x:row r="150" ht="84" customHeight="1">
      <x:c r="A150" s="2" t="str">
        <x:v>TMF-142</x:v>
      </x:c>
      <x:c r="B150" s="8" t="str">
        <x:v>ดั้งเดิม คาเฟ่ในสวนและขนมจีน</x:v>
      </x:c>
      <x:c r="C150" s="8" t="str">
        <x:v>นครศรีธรรมราช</x:v>
      </x:c>
      <x:c r="D150" s="8" t="str">
        <x:v>อยู่ในชุด 600 ตามเส้นทาง</x:v>
      </x:c>
      <x:c r="E150" s="8" t="str">
        <x:v>พบชื่อสัมพันธ์หลายเว็บไซต์ รอยืนยันสาขา</x:v>
      </x:c>
      <x:c r="F150" s="8" t="str">
        <x:v>ยังไม่ยืนยันการเปิดให้บริการปัจจุบัน</x:v>
      </x:c>
      <x:c r="G150" s="58" t="n">
        <x:v>2</x:v>
      </x:c>
      <x:c r="H150" s="52" t="str"/>
      <x:c r="I150" s="52" t="str"/>
      <x:c r="J150" s="52" t="str">
        <x:v>https://www.wongnai.com/restaurants/1926745jf-%E0%B8%94%E0%B8%B1%E0%B9%89%E0%B8%87%E0%B9%80%E0%B8%94%E0%B8%B4%E0%B8%A1-%E0%B8%84%E0%B8%B2%E0%B9%80%E0%B8%9F%E0%B9%88%E0%B9%83%E0%B8%99%E0%B8%AA%E0%B8%A7%E0%B8%99%E0%B9%81%E0%B8%A5%E0%B8%B0%E0%B8%82%E0%B8%99%E0%B8%A1%E0%B8%88%E0%B8%B5%E0%B8%99-%E0%B8%96%E0%B8%99%E0%B8%99%E0%B9%80%E0%B8%97%E0%B8%B4%E0%B8%94%E0%B8%9E%E0%B8%A3%E0%B8%B0%E0%B9%80%E0%B8%81%E0%B8%B5%E0%B8%A2%E0%B8%A3%E0%B8%95%E0%B8%B4</x:v>
      </x:c>
      <x:c r="K150" s="52" t="str"/>
      <x:c r="L150" s="52" t="str">
        <x:v>https://makanhalalguide.com/shop/detail/5933</x:v>
      </x:c>
      <x:c r="M150" s="52" t="str">
        <x:v>https://www.wongnai.com/restaurants/1926745jf-%E0%B8%94%E0%B8%B1%E0%B9%89%E0%B8%87%E0%B9%80%E0%B8%94%E0%B8%B4%E0%B8%A1-%E0%B8%84%E0%B8%B2%E0%B9%80%E0%B8%9F%E0%B9%88%E0%B9%83%E0%B8%99%E0%B8%AA%E0%B8%A7%E0%B8%99%E0%B9%81%E0%B8%A5%E0%B8%B0%E0%B8%82%E0%B8%99%E0%B8%A1%E0%B8%88%E0%B8%B5%E0%B8%99-%E0%B8%96%E0%B8%99%E0%B8%99%E0%B9%80%E0%B8%97%E0%B8%B4%E0%B8%94%E0%B8%9E%E0%B8%A3%E0%B8%B0%E0%B9%80%E0%B8%81%E0%B8%B5%E0%B8%A2%E0%B8%A3%E0%B8%95%E0%B8%B4</x:v>
      </x:c>
      <x:c r="N150" s="8" t="str">
        <x:v>ยังไม่ยืนยัน</x:v>
      </x:c>
      <x:c r="O15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50" s="40" t="n">
        <x:v>46315</x:v>
      </x:c>
      <x:c r="Q150" s="59" t="str">
        <x:v>ยังไม่ตรวจ</x:v>
      </x:c>
      <x:c r="R150" s="59" t="str">
        <x:v>รอติดต่อ</x:v>
      </x:c>
    </x:row>
    <x:row r="151" ht="84" customHeight="1">
      <x:c r="A151" s="2" t="str">
        <x:v>TMF-143</x:v>
      </x:c>
      <x:c r="B151" s="8" t="str">
        <x:v>เพชรปิยะซีฟู้ด</x:v>
      </x:c>
      <x:c r="C151" s="8" t="str">
        <x:v>นครศรีธรรมราช</x:v>
      </x:c>
      <x:c r="D151" s="8" t="str">
        <x:v>อยู่ในชุด 600 ตามเส้นทาง</x:v>
      </x:c>
      <x:c r="E151" s="8" t="str">
        <x:v>พบชื่อสัมพันธ์หลายเว็บไซต์ รอยืนยันสาขา</x:v>
      </x:c>
      <x:c r="F151" s="8" t="str">
        <x:v>ยังไม่ยืนยันการเปิดให้บริการปัจจุบัน</x:v>
      </x:c>
      <x:c r="G151" s="58" t="n">
        <x:v>2</x:v>
      </x:c>
      <x:c r="H151" s="52" t="str"/>
      <x:c r="I151" s="52" t="str"/>
      <x:c r="J151" s="52" t="str">
        <x:v>https://www.wongnai.com/reviews/f81a048ab3c94b1ca9ee8eb70aa52c83</x:v>
      </x:c>
      <x:c r="K151" s="52" t="str"/>
      <x:c r="L151" s="52" t="str">
        <x:v>https://makanhalalguide.com/shop/detail/5940</x:v>
      </x:c>
      <x:c r="M151" s="52" t="str">
        <x:v>https://www.wongnai.com/reviews/f81a048ab3c94b1ca9ee8eb70aa52c83</x:v>
      </x:c>
      <x:c r="N151" s="8" t="str">
        <x:v>ยังไม่ยืนยัน</x:v>
      </x:c>
      <x:c r="O15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51" s="40" t="n">
        <x:v>46315</x:v>
      </x:c>
      <x:c r="Q151" s="59" t="str">
        <x:v>ยังไม่ตรวจ</x:v>
      </x:c>
      <x:c r="R151" s="59" t="str">
        <x:v>รอติดต่อ</x:v>
      </x:c>
    </x:row>
    <x:row r="152" ht="84" customHeight="1">
      <x:c r="A152" s="2" t="str">
        <x:v>TMF-144</x:v>
      </x:c>
      <x:c r="B152" s="8" t="str">
        <x:v>Bed By Cruise Hotel at Samakkhi-Tivanont</x:v>
      </x:c>
      <x:c r="C152" s="8" t="str">
        <x:v>นนทบุรี</x:v>
      </x:c>
      <x:c r="D152" s="8" t="str">
        <x:v>สำรองหลังปรับตามเส้นทาง</x:v>
      </x:c>
      <x:c r="E152" s="8" t="str">
        <x:v>พบหลายแหล่งสัมพันธ์กับชื่อ รอยืนยันการเปิด</x:v>
      </x:c>
      <x:c r="F152" s="8" t="str">
        <x:v>ยังไม่ยืนยันการเปิดให้บริการปัจจุบัน</x:v>
      </x:c>
      <x:c r="G152" s="58" t="n">
        <x:v>4</x:v>
      </x:c>
      <x:c r="H152" s="52"/>
      <x:c r="I152" s="52"/>
      <x:c r="J152" s="52" t="str">
        <x:v>HYPERLINK is not implemented. linkLocation=https://www.booking.com/hotel/th/bed-by-cruise-samakkhi-tivanont.th.html, friendlyName=เปิดหน้ารีวิว 1</x:v>
      </x:c>
      <x:c r="K152" s="52" t="str">
        <x:v>HYPERLINK is not implemented. linkLocation=https://www.booking.com/hotel/th/bed-by-cruise-samakkhi-tivanont.html, friendlyName=เปิดหน้ารีวิว 2</x:v>
      </x:c>
      <x:c r="L152" s="52" t="str">
        <x:v>HYPERLINK is not implemented. linkLocation=https://www.hotel.com.au/nonthaburi/bed-by-cruise-hotel-at-samakkhi-tivanont.htm, friendlyName=เปิดเว็บเพิ่ม 1</x:v>
      </x:c>
      <x:c r="M152" s="52"/>
      <x:c r="N152" s="8" t="str">
        <x:v>ยังไม่ยืนยัน</x:v>
      </x:c>
      <x:c r="O15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52" s="40" t="n">
        <x:v>46315</x:v>
      </x:c>
      <x:c r="Q152" s="59" t="str">
        <x:v>ยังไม่ตรวจ</x:v>
      </x:c>
      <x:c r="R152" s="59" t="str">
        <x:v>รอติดต่อ</x:v>
      </x:c>
    </x:row>
    <x:row r="153" ht="84" customHeight="1">
      <x:c r="A153" s="2" t="str">
        <x:v>TMF-145</x:v>
      </x:c>
      <x:c r="B153" s="8" t="str">
        <x:v>Ma Non Nont Hotel and Apartment</x:v>
      </x:c>
      <x:c r="C153" s="8" t="str">
        <x:v>นนทบุรี</x:v>
      </x:c>
      <x:c r="D153" s="8" t="str">
        <x:v>สำรองหลังปรับตามเส้นทาง</x:v>
      </x:c>
      <x:c r="E153" s="8" t="str">
        <x:v>พบหลายแหล่งสัมพันธ์กับชื่อ รอยืนยันการเปิด</x:v>
      </x:c>
      <x:c r="F153" s="8" t="str">
        <x:v>ยังไม่ยืนยันการเปิดให้บริการปัจจุบัน</x:v>
      </x:c>
      <x:c r="G153" s="58" t="n">
        <x:v>4</x:v>
      </x:c>
      <x:c r="H153" s="52"/>
      <x:c r="I153" s="52"/>
      <x:c r="J153" s="52" t="str">
        <x:v>HYPERLINK is not implemented. linkLocation=https://www.agoda.com/ma-non-nont-hotel-and-apartment/hotel/nonthaburi-th.html, friendlyName=เปิดหน้ารีวิว 1</x:v>
      </x:c>
      <x:c r="K153" s="52" t="str">
        <x:v>HYPERLINK is not implemented. linkLocation=https://www.agoda.com/ko-kr/ma-non-nont-hotel-and-apartment/hotel/nonthaburi-th.html, friendlyName=เปิดหน้ารีวิว 2</x:v>
      </x:c>
      <x:c r="L153" s="52" t="str">
        <x:v>HYPERLINK is not implemented. linkLocation=https://www.traveloka.com/en-my/hotel/thailand/ma-non-nont-hotel-and-apartment-1000000460764, friendlyName=เปิดเว็บเพิ่ม 1</x:v>
      </x:c>
      <x:c r="M153" s="52" t="str">
        <x:v>HYPERLINK is not implemented. linkLocation=https://dinogo.com/hotels/20848-ma-non-nont-hotel-and-apartment-suites, friendlyName=เปิดเว็บเพิ่ม 2</x:v>
      </x:c>
      <x:c r="N153" s="8" t="str">
        <x:v>ยังไม่ยืนยัน</x:v>
      </x:c>
      <x:c r="O15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53" s="40" t="n">
        <x:v>46315</x:v>
      </x:c>
      <x:c r="Q153" s="59" t="str">
        <x:v>ยังไม่ตรวจ</x:v>
      </x:c>
      <x:c r="R153" s="59" t="str">
        <x:v>รอติดต่อ</x:v>
      </x:c>
    </x:row>
    <x:row r="154" ht="84" customHeight="1">
      <x:c r="A154" s="2" t="str">
        <x:v>TMF-146</x:v>
      </x:c>
      <x:c r="B154" s="8" t="str">
        <x:v>Arnani Cafe X Burger Kitor</x:v>
      </x:c>
      <x:c r="C154" s="8" t="str">
        <x:v>นนทบุรี</x:v>
      </x:c>
      <x:c r="D154" s="8" t="str">
        <x:v>สำรองหลังปรับตามเส้นทาง</x:v>
      </x:c>
      <x:c r="E154" s="8" t="str">
        <x:v>หลักฐานไม่พอ รอยืนยันการเปิด</x:v>
      </x:c>
      <x:c r="F154" s="8" t="str">
        <x:v>ยังไม่ยืนยันการเปิดให้บริการปัจจุบัน</x:v>
      </x:c>
      <x:c r="G154" s="58" t="n">
        <x:v>1</x:v>
      </x:c>
      <x:c r="H154" s="52"/>
      <x:c r="I154" s="52"/>
      <x:c r="J154" s="52"/>
      <x:c r="K154" s="52"/>
      <x:c r="L154" s="52"/>
      <x:c r="M154" s="52"/>
      <x:c r="N154" s="8" t="str">
        <x:v>ยังไม่ยืนยัน</x:v>
      </x:c>
      <x:c r="O15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54" s="40" t="n">
        <x:v>46315</x:v>
      </x:c>
      <x:c r="Q154" s="59" t="str">
        <x:v>ยังไม่ตรวจ</x:v>
      </x:c>
      <x:c r="R154" s="59" t="str">
        <x:v>รอติดต่อ</x:v>
      </x:c>
    </x:row>
    <x:row r="155" ht="84" customHeight="1">
      <x:c r="A155" s="2" t="str">
        <x:v>TMF-147</x:v>
      </x:c>
      <x:c r="B155" s="8" t="str">
        <x:v>Butcher boy บุฟเฟ่ต์เนื้อดรายเอจ สาขา ราชพฤกษ์</x:v>
      </x:c>
      <x:c r="C155" s="8" t="str">
        <x:v>นนทบุรี</x:v>
      </x:c>
      <x:c r="D155" s="8" t="str">
        <x:v>สำรองหลังปรับตามเส้นทาง</x:v>
      </x:c>
      <x:c r="E155" s="8" t="str">
        <x:v>พบหลายแหล่งสัมพันธ์กับชื่อ รอยืนยันการเปิด</x:v>
      </x:c>
      <x:c r="F155" s="8" t="str">
        <x:v>ยังไม่ยืนยันการเปิดให้บริการปัจจุบัน</x:v>
      </x:c>
      <x:c r="G155" s="58" t="n">
        <x:v>3</x:v>
      </x:c>
      <x:c r="H155" s="52" t="str">
        <x:v>HYPERLINK is not implemented. linkLocation=https://www.facebook.com/porchanchim/, friendlyName=เปิดช่องทาง 1</x:v>
      </x:c>
      <x:c r="I155" s="52"/>
      <x:c r="J155" s="52" t="str">
        <x:v>HYPERLINK is not implemented. linkLocation=https://www.wongnai.com/reviews/317f976a39784e4d8f91194c4b56ef93, friendlyName=เปิดหน้ารีวิว 1</x:v>
      </x:c>
      <x:c r="K155" s="52" t="str">
        <x:v>HYPERLINK is not implemented. linkLocation=https://www.wongnai.com/restaurants/3368982HP-butcher-boy-%E0%B8%AA%E0%B8%B2%E0%B8%8A%E0%B8%B2%E0%B8%A3%E0%B8%B2%E0%B8%8A%E0%B8%9E%E0%B8%A4%E0%B8%81%E0%B8%A9%E0%B9%8C-%E0%B9%82%E0%B8%AE%E0%B8%A1%E0%B9%82%E0%B8%9B%E0%B8%A3-%E0%B8%A3%E0%B8%B2%E0%B8%8A%E0%B8%9E%E0%B8%A4%E0%B8%81%E0%B8%A9%E0%B9%8C, friendlyName=เปิดหน้ารีวิว 2</x:v>
      </x:c>
      <x:c r="L155" s="52"/>
      <x:c r="M155" s="52"/>
      <x:c r="N155" s="8" t="str">
        <x:v>ยังไม่ยืนยัน</x:v>
      </x:c>
      <x:c r="O155" s="8" t="str">
        <x:v>ยังไม่ยืนยันวันที่โพสต์/รีวิวล่าสุดและการเปิดให้บริการปัจจุบัน</x:v>
      </x:c>
      <x:c r="P155" s="40" t="n">
        <x:v>46315</x:v>
      </x:c>
      <x:c r="Q155" s="59" t="str">
        <x:v>ยังไม่ตรวจ</x:v>
      </x:c>
      <x:c r="R155" s="59" t="str">
        <x:v>รอติดต่อ</x:v>
      </x:c>
    </x:row>
    <x:row r="156" ht="84" customHeight="1">
      <x:c r="A156" s="2" t="str">
        <x:v>TMF-148</x:v>
      </x:c>
      <x:c r="B156" s="8" t="str">
        <x:v>C-Kids Village</x:v>
      </x:c>
      <x:c r="C156" s="8" t="str">
        <x:v>นนทบุรี</x:v>
      </x:c>
      <x:c r="D156" s="8" t="str">
        <x:v>สำรองหลังปรับตามเส้นทาง</x:v>
      </x:c>
      <x:c r="E156" s="8" t="str">
        <x:v>พบหลายแหล่งสัมพันธ์กับชื่อ รอยืนยันการเปิด</x:v>
      </x:c>
      <x:c r="F156" s="8" t="str">
        <x:v>ยังไม่ยืนยันการเปิดให้บริการปัจจุบัน</x:v>
      </x:c>
      <x:c r="G156" s="58" t="n">
        <x:v>4</x:v>
      </x:c>
      <x:c r="H156" s="52" t="str">
        <x:v>HYPERLINK is not implemented. linkLocation=https://lin.ee/G6vjyuI, friendlyName=เปิดช่องทาง 1</x:v>
      </x:c>
      <x:c r="I156" s="52"/>
      <x:c r="J156" s="52" t="str">
        <x:v>HYPERLINK is not implemented. linkLocation=https://www.lemon8-app.com/%40polivenaka05/7529524243144065554?region=th, friendlyName=เปิดหน้ารีวิว 1</x:v>
      </x:c>
      <x:c r="K156" s="52" t="str">
        <x:v>HYPERLINK is not implemented. linkLocation=https://www.wongnai.com/restaurants/2834819HC-%E0%B8%AB%E0%B8%A3%E0%B8%AD%E0%B8%A2%E0%B8%AB%E0%B8%99%E0%B8%B1%E0%B8%94-roinat-halal-restaurants-%E0%B8%A3%E0%B8%B2%E0%B8%A1%E0%B8%84%E0%B8%B3%E0%B9%81%E0%B8%AB%E0%B8%8753, friendlyName=เปิดหน้ารีวิว 2</x:v>
      </x:c>
      <x:c r="L156" s="52" t="str">
        <x:v>HYPERLINK is not implemented. linkLocation=https://notes.tiktok.com/%40i.iamde3/7608949029306171922?region=th, friendlyName=เปิดเว็บเพิ่ม 1</x:v>
      </x:c>
      <x:c r="M156" s="52"/>
      <x:c r="N156" s="8" t="str">
        <x:v>ยังไม่ยืนยัน</x:v>
      </x:c>
      <x:c r="O156" s="8" t="str">
        <x:v>ยังไม่ยืนยันวันที่โพสต์/รีวิวล่าสุดและการเปิดให้บริการปัจจุบัน</x:v>
      </x:c>
      <x:c r="P156" s="40" t="n">
        <x:v>46315</x:v>
      </x:c>
      <x:c r="Q156" s="59" t="str">
        <x:v>ยังไม่ตรวจ</x:v>
      </x:c>
      <x:c r="R156" s="59" t="str">
        <x:v>รอติดต่อ</x:v>
      </x:c>
    </x:row>
    <x:row r="157" ht="84" customHeight="1">
      <x:c r="A157" s="2" t="str">
        <x:v>TMF-149</x:v>
      </x:c>
      <x:c r="B157" s="8" t="str">
        <x:v>Churn Dimsum Halal</x:v>
      </x:c>
      <x:c r="C157" s="8" t="str">
        <x:v>นนทบุรี</x:v>
      </x:c>
      <x:c r="D157" s="8" t="str">
        <x:v>สำรองหลังปรับตามเส้นทาง</x:v>
      </x:c>
      <x:c r="E157" s="8" t="str">
        <x:v>พบหลายแหล่งสัมพันธ์กับชื่อ รอยืนยันการเปิด</x:v>
      </x:c>
      <x:c r="F157" s="8" t="str">
        <x:v>ยังไม่ยืนยันการเปิดให้บริการปัจจุบัน</x:v>
      </x:c>
      <x:c r="G157" s="58" t="n">
        <x:v>4</x:v>
      </x:c>
      <x:c r="H157" s="52"/>
      <x:c r="I157" s="52"/>
      <x:c r="J157" s="52" t="str">
        <x:v>HYPERLINK is not implemented. linkLocation=https://www.wongnai.com/restaurants/3015524KQ-churn-dimsum-halal-%E0%B9%80%E0%B8%8A%E0%B8%B4%E0%B8%8D-%E0%B8%95%E0%B8%B4%E0%B9%88%E0%B8%A1%E0%B8%8B%E0%B8%B3-%E0%B8%AE%E0%B8%B2%E0%B8%A5%E0%B8%B2%E0%B8%A5, friendlyName=เปิดหน้ารีวิว 1</x:v>
      </x:c>
      <x:c r="K157" s="52" t="str">
        <x:v>HYPERLINK is not implemented. linkLocation=https://www.lemon8-app.com/%40pennapazaza/7474611318146777616?region=th, friendlyName=เปิดหน้ารีวิว 2</x:v>
      </x:c>
      <x:c r="L157" s="52" t="str">
        <x:v>HYPERLINK is not implemented. linkLocation=https://salaamthailand.com/en/place/halal-food-churn-dimsum-halal-%E0%B9%80%E0%B8%8A%E0%B8%B4%E0%B8%8D-%E0%B8%95%E0%B8%B4%E0%B9%88%E0%B8%A1%E0%B8%8B%E0%B9%8D%E0%B8%B2-%E0%B8%AE%E0%B8%B2%E0%B8%A5%E0%B8%B2%E0%B8%A5-dorvt4/, friendlyName=เปิดเว็บเพิ่ม 1</x:v>
      </x:c>
      <x:c r="M157" s="52"/>
      <x:c r="N157" s="8" t="str">
        <x:v>ยังไม่ยืนยัน</x:v>
      </x:c>
      <x:c r="O15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57" s="40" t="n">
        <x:v>46315</x:v>
      </x:c>
      <x:c r="Q157" s="59" t="str">
        <x:v>ยังไม่ตรวจ</x:v>
      </x:c>
      <x:c r="R157" s="59" t="str">
        <x:v>รอติดต่อ</x:v>
      </x:c>
    </x:row>
    <x:row r="158" ht="84" customHeight="1">
      <x:c r="A158" s="2" t="str">
        <x:v>TMF-150</x:v>
      </x:c>
      <x:c r="B158" s="8" t="str">
        <x:v>Ikhlas House ครัวบ้านอิคลาส</x:v>
      </x:c>
      <x:c r="C158" s="8" t="str">
        <x:v>นนทบุรี</x:v>
      </x:c>
      <x:c r="D158" s="8" t="str">
        <x:v>สำรองหลังปรับตามเส้นทาง</x:v>
      </x:c>
      <x:c r="E158" s="8" t="str">
        <x:v>พบหลายแหล่งสัมพันธ์กับชื่อ รอยืนยันการเปิด</x:v>
      </x:c>
      <x:c r="F158" s="8" t="str">
        <x:v>ยังไม่ยืนยันการเปิดให้บริการปัจจุบัน</x:v>
      </x:c>
      <x:c r="G158" s="58" t="n">
        <x:v>2</x:v>
      </x:c>
      <x:c r="H158" s="52"/>
      <x:c r="I158" s="52"/>
      <x:c r="J158" s="52" t="str">
        <x:v>HYPERLINK is not implemented. linkLocation=https://www.wongnai.com/restaurants/594950NG-ikhlas-house-%E0%B8%84%E0%B8%A3%E0%B8%B1%E0%B8%A7%E0%B8%9A%E0%B9%89%E0%B8%B2%E0%B8%99%E0%B8%AD%E0%B8%B4%E0%B8%84%E0%B8%A5%E0%B8%B2%E0%B8%AA, friendlyName=เปิดหน้ารีวิว 1</x:v>
      </x:c>
      <x:c r="K158" s="52"/>
      <x:c r="L158" s="52"/>
      <x:c r="M158" s="52"/>
      <x:c r="N158" s="8" t="str">
        <x:v>ยังไม่ยืนยัน</x:v>
      </x:c>
      <x:c r="O15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58" s="40" t="n">
        <x:v>46315</x:v>
      </x:c>
      <x:c r="Q158" s="59" t="str">
        <x:v>ยังไม่ตรวจ</x:v>
      </x:c>
      <x:c r="R158" s="59" t="str">
        <x:v>รอติดต่อ</x:v>
      </x:c>
    </x:row>
    <x:row r="159" ht="84" customHeight="1">
      <x:c r="A159" s="2" t="str">
        <x:v>TMF-151</x:v>
      </x:c>
      <x:c r="B159" s="8" t="str">
        <x:v>Intania Home</x:v>
      </x:c>
      <x:c r="C159" s="8" t="str">
        <x:v>นนทบุรี</x:v>
      </x:c>
      <x:c r="D159" s="8" t="str">
        <x:v>สำรองหลังปรับตามเส้นทาง</x:v>
      </x:c>
      <x:c r="E159" s="8" t="str">
        <x:v>หลักฐานไม่พอ รอยืนยันการเปิด</x:v>
      </x:c>
      <x:c r="F159" s="8" t="str">
        <x:v>ยังไม่ยืนยันการเปิดให้บริการปัจจุบัน</x:v>
      </x:c>
      <x:c r="G159" s="58" t="n">
        <x:v>1</x:v>
      </x:c>
      <x:c r="H159" s="52"/>
      <x:c r="I159" s="52"/>
      <x:c r="J159" s="52"/>
      <x:c r="K159" s="52"/>
      <x:c r="L159" s="52"/>
      <x:c r="M159" s="52"/>
      <x:c r="N159" s="8" t="str">
        <x:v>ยังไม่ยืนยัน</x:v>
      </x:c>
      <x:c r="O15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59" s="40" t="n">
        <x:v>46315</x:v>
      </x:c>
      <x:c r="Q159" s="59" t="str">
        <x:v>ยังไม่ตรวจ</x:v>
      </x:c>
      <x:c r="R159" s="59" t="str">
        <x:v>รอติดต่อ</x:v>
      </x:c>
    </x:row>
    <x:row r="160" ht="84" customHeight="1">
      <x:c r="A160" s="2" t="str">
        <x:v>TMF-152</x:v>
      </x:c>
      <x:c r="B160" s="8" t="str">
        <x:v>Labani</x:v>
      </x:c>
      <x:c r="C160" s="8" t="str">
        <x:v>นนทบุรี</x:v>
      </x:c>
      <x:c r="D160" s="8" t="str">
        <x:v>สำรองหลังปรับตามเส้นทาง</x:v>
      </x:c>
      <x:c r="E160" s="8" t="str">
        <x:v>หลักฐานไม่พอ รอยืนยันการเปิด</x:v>
      </x:c>
      <x:c r="F160" s="8" t="str">
        <x:v>ยังไม่ยืนยันการเปิดให้บริการปัจจุบัน</x:v>
      </x:c>
      <x:c r="G160" s="58" t="n">
        <x:v>1</x:v>
      </x:c>
      <x:c r="H160" s="52"/>
      <x:c r="I160" s="52"/>
      <x:c r="J160" s="52"/>
      <x:c r="K160" s="52"/>
      <x:c r="L160" s="52"/>
      <x:c r="M160" s="52"/>
      <x:c r="N160" s="8" t="str">
        <x:v>ยังไม่ยืนยัน</x:v>
      </x:c>
      <x:c r="O16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0" s="40" t="n">
        <x:v>46315</x:v>
      </x:c>
      <x:c r="Q160" s="59" t="str">
        <x:v>ยังไม่ตรวจ</x:v>
      </x:c>
      <x:c r="R160" s="59" t="str">
        <x:v>รอติดต่อ</x:v>
      </x:c>
    </x:row>
    <x:row r="161" ht="84" customHeight="1">
      <x:c r="A161" s="2" t="str">
        <x:v>TMF-153</x:v>
      </x:c>
      <x:c r="B161" s="8" t="str">
        <x:v>Lawang cafe"&amp; Bistro</x:v>
      </x:c>
      <x:c r="C161" s="8" t="str">
        <x:v>นนทบุรี</x:v>
      </x:c>
      <x:c r="D161" s="8" t="str">
        <x:v>สำรองหลังปรับตามเส้นทาง</x:v>
      </x:c>
      <x:c r="E161" s="8" t="str">
        <x:v>หลักฐานไม่พอ รอยืนยันการเปิด</x:v>
      </x:c>
      <x:c r="F161" s="8" t="str">
        <x:v>ยังไม่ยืนยันการเปิดให้บริการปัจจุบัน</x:v>
      </x:c>
      <x:c r="G161" s="58" t="n">
        <x:v>1</x:v>
      </x:c>
      <x:c r="H161" s="52"/>
      <x:c r="I161" s="52"/>
      <x:c r="J161" s="52"/>
      <x:c r="K161" s="52"/>
      <x:c r="L161" s="52"/>
      <x:c r="M161" s="52"/>
      <x:c r="N161" s="8" t="str">
        <x:v>ยังไม่ยืนยัน</x:v>
      </x:c>
      <x:c r="O16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1" s="40" t="n">
        <x:v>46315</x:v>
      </x:c>
      <x:c r="Q161" s="59" t="str">
        <x:v>ยังไม่ตรวจ</x:v>
      </x:c>
      <x:c r="R161" s="59" t="str">
        <x:v>รอติดต่อ</x:v>
      </x:c>
    </x:row>
    <x:row r="162" ht="84" customHeight="1">
      <x:c r="A162" s="2" t="str">
        <x:v>TMF-154</x:v>
      </x:c>
      <x:c r="B162" s="8" t="str">
        <x:v>M's Flame Burger</x:v>
      </x:c>
      <x:c r="C162" s="8" t="str">
        <x:v>นนทบุรี</x:v>
      </x:c>
      <x:c r="D162" s="8" t="str">
        <x:v>สำรองหลังปรับตามเส้นทาง</x:v>
      </x:c>
      <x:c r="E162" s="8" t="str">
        <x:v>พบหลายแหล่งสัมพันธ์กับชื่อ รอยืนยันการเปิด</x:v>
      </x:c>
      <x:c r="F162" s="8" t="str">
        <x:v>ยังไม่ยืนยันการเปิดให้บริการปัจจุบัน</x:v>
      </x:c>
      <x:c r="G162" s="58" t="n">
        <x:v>2</x:v>
      </x:c>
      <x:c r="H162" s="52"/>
      <x:c r="I162" s="52"/>
      <x:c r="J162" s="52"/>
      <x:c r="K162" s="52"/>
      <x:c r="L162" s="52" t="str">
        <x:v>HYPERLINK is not implemented. linkLocation=https://salaamthailand.com/id/place/halal-burger-mflame-dzk-ki/, friendlyName=เปิดเว็บเพิ่ม 1</x:v>
      </x:c>
      <x:c r="M162" s="52"/>
      <x:c r="N162" s="8" t="str">
        <x:v>ยังไม่ยืนยัน</x:v>
      </x:c>
      <x:c r="O162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2" s="40" t="n">
        <x:v>46315</x:v>
      </x:c>
      <x:c r="Q162" s="59" t="str">
        <x:v>ยังไม่ตรวจ</x:v>
      </x:c>
      <x:c r="R162" s="59" t="str">
        <x:v>รอติดต่อ</x:v>
      </x:c>
    </x:row>
    <x:row r="163" ht="84" customHeight="1">
      <x:c r="A163" s="2" t="str">
        <x:v>TMF-155</x:v>
      </x:c>
      <x:c r="B163" s="8" t="str">
        <x:v>Maldi thai</x:v>
      </x:c>
      <x:c r="C163" s="8" t="str">
        <x:v>นนทบุรี</x:v>
      </x:c>
      <x:c r="D163" s="8" t="str">
        <x:v>สำรองหลังปรับตามเส้นทาง</x:v>
      </x:c>
      <x:c r="E163" s="8" t="str">
        <x:v>หลักฐานไม่พอ รอยืนยันการเปิด</x:v>
      </x:c>
      <x:c r="F163" s="8" t="str">
        <x:v>ยังไม่ยืนยันการเปิดให้บริการปัจจุบัน</x:v>
      </x:c>
      <x:c r="G163" s="58" t="n">
        <x:v>1</x:v>
      </x:c>
      <x:c r="H163" s="52"/>
      <x:c r="I163" s="52"/>
      <x:c r="J163" s="52"/>
      <x:c r="K163" s="52"/>
      <x:c r="L163" s="52"/>
      <x:c r="M163" s="52"/>
      <x:c r="N163" s="8" t="str">
        <x:v>ยังไม่ยืนยัน</x:v>
      </x:c>
      <x:c r="O16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3" s="40" t="n">
        <x:v>46315</x:v>
      </x:c>
      <x:c r="Q163" s="59" t="str">
        <x:v>ยังไม่ตรวจ</x:v>
      </x:c>
      <x:c r="R163" s="59" t="str">
        <x:v>รอติดต่อ</x:v>
      </x:c>
    </x:row>
    <x:row r="164" ht="84" customHeight="1">
      <x:c r="A164" s="2" t="str">
        <x:v>TMF-156</x:v>
      </x:c>
      <x:c r="B164" s="8" t="str">
        <x:v>Moozna เนื้อย่างโคขุน สาขาซอยวากั๊ฟ</x:v>
      </x:c>
      <x:c r="C164" s="8" t="str">
        <x:v>นนทบุรี</x:v>
      </x:c>
      <x:c r="D164" s="8" t="str">
        <x:v>สำรองหลังปรับตามเส้นทาง</x:v>
      </x:c>
      <x:c r="E164" s="8" t="str">
        <x:v>หลักฐานไม่พอ รอยืนยันการเปิด</x:v>
      </x:c>
      <x:c r="F164" s="8" t="str">
        <x:v>ยังไม่ยืนยันการเปิดให้บริการปัจจุบัน</x:v>
      </x:c>
      <x:c r="G164" s="58" t="n">
        <x:v>1</x:v>
      </x:c>
      <x:c r="H164" s="52"/>
      <x:c r="I164" s="52"/>
      <x:c r="J164" s="52"/>
      <x:c r="K164" s="52"/>
      <x:c r="L164" s="52"/>
      <x:c r="M164" s="52"/>
      <x:c r="N164" s="8" t="str">
        <x:v>ยังไม่ยืนยัน</x:v>
      </x:c>
      <x:c r="O16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4" s="40" t="n">
        <x:v>46315</x:v>
      </x:c>
      <x:c r="Q164" s="59" t="str">
        <x:v>ยังไม่ตรวจ</x:v>
      </x:c>
      <x:c r="R164" s="59" t="str">
        <x:v>รอติดต่อ</x:v>
      </x:c>
    </x:row>
    <x:row r="165" ht="84" customHeight="1">
      <x:c r="A165" s="2" t="str">
        <x:v>TMF-157</x:v>
      </x:c>
      <x:c r="B165" s="8" t="str">
        <x:v>OUR TIME CAFE</x:v>
      </x:c>
      <x:c r="C165" s="8" t="str">
        <x:v>นนทบุรี</x:v>
      </x:c>
      <x:c r="D165" s="8" t="str">
        <x:v>สำรองหลังปรับตามเส้นทาง</x:v>
      </x:c>
      <x:c r="E165" s="8" t="str">
        <x:v>พบหลายแหล่งสัมพันธ์กับชื่อ รอยืนยันการเปิด</x:v>
      </x:c>
      <x:c r="F165" s="8" t="str">
        <x:v>ยังไม่ยืนยันการเปิดให้บริการปัจจุบัน</x:v>
      </x:c>
      <x:c r="G165" s="58" t="n">
        <x:v>2</x:v>
      </x:c>
      <x:c r="H165" s="52"/>
      <x:c r="I165" s="52"/>
      <x:c r="J165" s="52" t="str">
        <x:v>HYPERLINK is not implemented. linkLocation=https://restaurantguru.com/Our-time-Cafe-Tha-It-Nonthaburi, friendlyName=เปิดหน้ารีวิว 1</x:v>
      </x:c>
      <x:c r="K165" s="52"/>
      <x:c r="L165" s="52"/>
      <x:c r="M165" s="52"/>
      <x:c r="N165" s="8" t="str">
        <x:v>ยังไม่ยืนยัน</x:v>
      </x:c>
      <x:c r="O16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65" s="40" t="n">
        <x:v>46315</x:v>
      </x:c>
      <x:c r="Q165" s="59" t="str">
        <x:v>ยังไม่ตรวจ</x:v>
      </x:c>
      <x:c r="R165" s="59" t="str">
        <x:v>รอติดต่อ</x:v>
      </x:c>
    </x:row>
    <x:row r="166" ht="84" customHeight="1">
      <x:c r="A166" s="2" t="str">
        <x:v>TMF-158</x:v>
      </x:c>
      <x:c r="B166" s="8" t="str">
        <x:v>Regent Ngamwongwan</x:v>
      </x:c>
      <x:c r="C166" s="8" t="str">
        <x:v>นนทบุรี</x:v>
      </x:c>
      <x:c r="D166" s="8" t="str">
        <x:v>สำรองหลังปรับตามเส้นทาง</x:v>
      </x:c>
      <x:c r="E166" s="8" t="str">
        <x:v>พบหลายแหล่งสัมพันธ์กับชื่อ รอยืนยันการเปิด</x:v>
      </x:c>
      <x:c r="F166" s="8" t="str">
        <x:v>ยังไม่ยืนยันการเปิดให้บริการปัจจุบัน</x:v>
      </x:c>
      <x:c r="G166" s="58" t="n">
        <x:v>9</x:v>
      </x:c>
      <x:c r="H166" s="52"/>
      <x:c r="I166" s="52"/>
      <x:c r="J166" s="52" t="str">
        <x:v>HYPERLINK is not implemented. linkLocation=https://www.booking.com/hotel/th/regent-ngamwongwan.th.html, friendlyName=เปิดหน้ารีวิว 1</x:v>
      </x:c>
      <x:c r="K166" s="52" t="str">
        <x:v>HYPERLINK is not implemented. linkLocation=https://www.booking.com/hotel/th/regent-ngamwongwan.html, friendlyName=เปิดหน้ารีวิว 2</x:v>
      </x:c>
      <x:c r="L166" s="52" t="str">
        <x:v>HYPERLINK is not implemented. linkLocation=https://www.thaithurkic.com/regent-ngamwongwan_1s-083-305-7679, friendlyName=เปิดเว็บเพิ่ม 1</x:v>
      </x:c>
      <x:c r="M166" s="52" t="str">
        <x:v>HYPERLINK is not implemented. linkLocation=https://www.hotelscombined.com/Hotel/Regent_Ngamwongwan.htm, friendlyName=เปิดเว็บเพิ่ม 2</x:v>
      </x:c>
      <x:c r="N166" s="8" t="str">
        <x:v>ยังไม่ยืนยัน</x:v>
      </x:c>
      <x:c r="O16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66" s="40" t="n">
        <x:v>46315</x:v>
      </x:c>
      <x:c r="Q166" s="59" t="str">
        <x:v>ยังไม่ตรวจ</x:v>
      </x:c>
      <x:c r="R166" s="59" t="str">
        <x:v>รอติดต่อ</x:v>
      </x:c>
    </x:row>
    <x:row r="167" ht="84" customHeight="1">
      <x:c r="A167" s="2" t="str">
        <x:v>TMF-159</x:v>
      </x:c>
      <x:c r="B167" s="8" t="str">
        <x:v>Tonnam Cafe</x:v>
      </x:c>
      <x:c r="C167" s="8" t="str">
        <x:v>นนทบุรี</x:v>
      </x:c>
      <x:c r="D167" s="8" t="str">
        <x:v>สำรองหลังปรับตามเส้นทาง</x:v>
      </x:c>
      <x:c r="E167" s="8" t="str">
        <x:v>พบหลายแหล่งสัมพันธ์กับชื่อ รอยืนยันการเปิด</x:v>
      </x:c>
      <x:c r="F167" s="8" t="str">
        <x:v>ยังไม่ยืนยันการเปิดให้บริการปัจจุบัน</x:v>
      </x:c>
      <x:c r="G167" s="58" t="n">
        <x:v>2</x:v>
      </x:c>
      <x:c r="H167" s="52"/>
      <x:c r="I167" s="52"/>
      <x:c r="J167" s="52" t="str">
        <x:v>HYPERLINK is not implemented. linkLocation=https://www.wongnai.com/restaurants/2557135Lv-tonnam-cafe-bakery-halal, friendlyName=เปิดหน้ารีวิว 1</x:v>
      </x:c>
      <x:c r="K167" s="52" t="str">
        <x:v>HYPERLINK is not implemented. linkLocation=https://www.wongnai.com/restaurants/2557135Lv-%E0%B9%82%E0%B8%95%E0%B9%8A%E0%B8%B0%E0%B8%A5%E0%B8%B0%E0%B8%AB%E0%B9%8C-%E0%B8%A5%E0%B8%B9%E0%B8%81%E0%B8%8A%E0%B8%B4%E0%B9%89%E0%B8%99%E0%B8%97%E0%B8%AD%E0%B8%94-%E0%B9%80%E0%B8%95%E0%B9%89%E0%B8%B2%E0%B8%AB%E0%B8%B9%E0%B9%89-%E0%B8%9B%E0%B8%AD%E0%B9%80%E0%B8%9B%E0%B8%B5%E0%B9%8A%E0%B8%A2%E0%B8%B0%E0%B8%97%E0%B8%AD%E0%B8%94-%E0%B8%AE%E0%B8%B2%E0%B8%A5%E0%B9%89%E0%B8%B2%E0%B8%A5, friendlyName=เปิดหน้ารีวิว 2</x:v>
      </x:c>
      <x:c r="L167" s="52"/>
      <x:c r="M167" s="52"/>
      <x:c r="N167" s="8" t="str">
        <x:v>ยังไม่ยืนยัน</x:v>
      </x:c>
      <x:c r="O16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67" s="40" t="n">
        <x:v>46315</x:v>
      </x:c>
      <x:c r="Q167" s="59" t="str">
        <x:v>ยังไม่ตรวจ</x:v>
      </x:c>
      <x:c r="R167" s="59" t="str">
        <x:v>รอติดต่อ</x:v>
      </x:c>
    </x:row>
    <x:row r="168" ht="84" customHeight="1">
      <x:c r="A168" s="2" t="str">
        <x:v>TMF-160</x:v>
      </x:c>
      <x:c r="B168" s="8" t="str">
        <x:v>Zam.Cafe : Slowbar n' Specialty Coffee</x:v>
      </x:c>
      <x:c r="C168" s="8" t="str">
        <x:v>นนทบุรี</x:v>
      </x:c>
      <x:c r="D168" s="8" t="str">
        <x:v>สำรองหลังปรับตามเส้นทาง</x:v>
      </x:c>
      <x:c r="E168" s="8" t="str">
        <x:v>พบหลายแหล่งสัมพันธ์กับชื่อ รอยืนยันการเปิด</x:v>
      </x:c>
      <x:c r="F168" s="8" t="str">
        <x:v>ยังไม่ยืนยันการเปิดให้บริการปัจจุบัน</x:v>
      </x:c>
      <x:c r="G168" s="58" t="n">
        <x:v>2</x:v>
      </x:c>
      <x:c r="H168" s="52" t="str">
        <x:v>HYPERLINK is not implemented. linkLocation=http://tiktok.com/@zam.cafe, friendlyName=เปิดช่องทาง 1</x:v>
      </x:c>
      <x:c r="I168" s="52"/>
      <x:c r="J168" s="52"/>
      <x:c r="K168" s="52"/>
      <x:c r="L168" s="52" t="str">
        <x:v>HYPERLINK is not implemented. linkLocation=https://www.findglocal.com/TH/Nonthaburi/145270068677512/Zam.Cafe-%3A-Slowbar-n%27-Specialty-Coffee, friendlyName=เปิดเว็บเพิ่ม 1</x:v>
      </x:c>
      <x:c r="M168" s="52"/>
      <x:c r="N168" s="8" t="str">
        <x:v>ยังไม่ยืนยัน</x:v>
      </x:c>
      <x:c r="O168" s="8" t="str">
        <x:v>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8" s="40" t="n">
        <x:v>46315</x:v>
      </x:c>
      <x:c r="Q168" s="59" t="str">
        <x:v>ยังไม่ตรวจ</x:v>
      </x:c>
      <x:c r="R168" s="59" t="str">
        <x:v>รอติดต่อ</x:v>
      </x:c>
    </x:row>
    <x:row r="169" ht="84" customHeight="1">
      <x:c r="A169" s="2" t="str">
        <x:v>TMF-161</x:v>
      </x:c>
      <x:c r="B169" s="8" t="str">
        <x:v>salamah ข้าวขาวัว</x:v>
      </x:c>
      <x:c r="C169" s="8" t="str">
        <x:v>นนทบุรี</x:v>
      </x:c>
      <x:c r="D169" s="8" t="str">
        <x:v>สำรองหลังปรับตามเส้นทาง</x:v>
      </x:c>
      <x:c r="E169" s="8" t="str">
        <x:v>หลักฐานไม่พอ รอยืนยันการเปิด</x:v>
      </x:c>
      <x:c r="F169" s="8" t="str">
        <x:v>ยังไม่ยืนยันการเปิดให้บริการปัจจุบัน</x:v>
      </x:c>
      <x:c r="G169" s="58" t="n">
        <x:v>1</x:v>
      </x:c>
      <x:c r="H169" s="52"/>
      <x:c r="I169" s="52"/>
      <x:c r="J169" s="52"/>
      <x:c r="K169" s="52"/>
      <x:c r="L169" s="52"/>
      <x:c r="M169" s="52"/>
      <x:c r="N169" s="8" t="str">
        <x:v>ยังไม่ยืนยัน</x:v>
      </x:c>
      <x:c r="O16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69" s="40" t="n">
        <x:v>46315</x:v>
      </x:c>
      <x:c r="Q169" s="59" t="str">
        <x:v>ยังไม่ตรวจ</x:v>
      </x:c>
      <x:c r="R169" s="59" t="str">
        <x:v>รอติดต่อ</x:v>
      </x:c>
    </x:row>
    <x:row r="170" ht="84" customHeight="1">
      <x:c r="A170" s="2" t="str">
        <x:v>TMF-162</x:v>
      </x:c>
      <x:c r="B170" s="8" t="str">
        <x:v>กะเพราพริกแห้ง ฮาลาล</x:v>
      </x:c>
      <x:c r="C170" s="8" t="str">
        <x:v>นนทบุรี</x:v>
      </x:c>
      <x:c r="D170" s="8" t="str">
        <x:v>สำรองหลังปรับตามเส้นทาง</x:v>
      </x:c>
      <x:c r="E170" s="8" t="str">
        <x:v>หลักฐานไม่พอ รอยืนยันการเปิด</x:v>
      </x:c>
      <x:c r="F170" s="8" t="str">
        <x:v>ยังไม่ยืนยันการเปิดให้บริการปัจจุบัน</x:v>
      </x:c>
      <x:c r="G170" s="58" t="n">
        <x:v>1</x:v>
      </x:c>
      <x:c r="H170" s="52"/>
      <x:c r="I170" s="52"/>
      <x:c r="J170" s="52"/>
      <x:c r="K170" s="52"/>
      <x:c r="L170" s="52"/>
      <x:c r="M170" s="52"/>
      <x:c r="N170" s="8" t="str">
        <x:v>ยังไม่ยืนยัน</x:v>
      </x:c>
      <x:c r="O17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0" s="40" t="n">
        <x:v>46315</x:v>
      </x:c>
      <x:c r="Q170" s="59" t="str">
        <x:v>ยังไม่ตรวจ</x:v>
      </x:c>
      <x:c r="R170" s="59" t="str">
        <x:v>รอติดต่อ</x:v>
      </x:c>
    </x:row>
    <x:row r="171" ht="84" customHeight="1">
      <x:c r="A171" s="2" t="str">
        <x:v>TMF-163</x:v>
      </x:c>
      <x:c r="B171" s="8" t="str">
        <x:v>ก๋วยเตี๋ยวอามีนะห์</x:v>
      </x:c>
      <x:c r="C171" s="8" t="str">
        <x:v>นนทบุรี</x:v>
      </x:c>
      <x:c r="D171" s="8" t="str">
        <x:v>สำรองหลังปรับตามเส้นทาง</x:v>
      </x:c>
      <x:c r="E171" s="8" t="str">
        <x:v>หลักฐานไม่พอ รอยืนยันการเปิด</x:v>
      </x:c>
      <x:c r="F171" s="8" t="str">
        <x:v>ยังไม่ยืนยันการเปิดให้บริการปัจจุบัน</x:v>
      </x:c>
      <x:c r="G171" s="58" t="n">
        <x:v>1</x:v>
      </x:c>
      <x:c r="H171" s="52"/>
      <x:c r="I171" s="52"/>
      <x:c r="J171" s="52"/>
      <x:c r="K171" s="52"/>
      <x:c r="L171" s="52"/>
      <x:c r="M171" s="52"/>
      <x:c r="N171" s="8" t="str">
        <x:v>ยังไม่ยืนยัน</x:v>
      </x:c>
      <x:c r="O17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1" s="40" t="n">
        <x:v>46315</x:v>
      </x:c>
      <x:c r="Q171" s="59" t="str">
        <x:v>ยังไม่ตรวจ</x:v>
      </x:c>
      <x:c r="R171" s="59" t="str">
        <x:v>รอติดต่อ</x:v>
      </x:c>
    </x:row>
    <x:row r="172" ht="84" customHeight="1">
      <x:c r="A172" s="2" t="str">
        <x:v>TMF-164</x:v>
      </x:c>
      <x:c r="B172" s="8" t="str">
        <x:v>ก๋วยเตี๋ยวเรือฮิปปี้ by วาซิล</x:v>
      </x:c>
      <x:c r="C172" s="8" t="str">
        <x:v>นนทบุรี</x:v>
      </x:c>
      <x:c r="D172" s="8" t="str">
        <x:v>สำรองหลังปรับตามเส้นทาง</x:v>
      </x:c>
      <x:c r="E172" s="8" t="str">
        <x:v>หลักฐานไม่พอ รอยืนยันการเปิด</x:v>
      </x:c>
      <x:c r="F172" s="8" t="str">
        <x:v>ยังไม่ยืนยันการเปิดให้บริการปัจจุบัน</x:v>
      </x:c>
      <x:c r="G172" s="58" t="n">
        <x:v>1</x:v>
      </x:c>
      <x:c r="H172" s="52"/>
      <x:c r="I172" s="52"/>
      <x:c r="J172" s="52"/>
      <x:c r="K172" s="52"/>
      <x:c r="L172" s="52"/>
      <x:c r="M172" s="52"/>
      <x:c r="N172" s="8" t="str">
        <x:v>ยังไม่ยืนยัน</x:v>
      </x:c>
      <x:c r="O17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2" s="40" t="n">
        <x:v>46315</x:v>
      </x:c>
      <x:c r="Q172" s="59" t="str">
        <x:v>ยังไม่ตรวจ</x:v>
      </x:c>
      <x:c r="R172" s="59" t="str">
        <x:v>รอติดต่อ</x:v>
      </x:c>
    </x:row>
    <x:row r="173" ht="84" customHeight="1">
      <x:c r="A173" s="2" t="str">
        <x:v>TMF-165</x:v>
      </x:c>
      <x:c r="B173" s="8" t="str">
        <x:v>ครัวซำซี</x:v>
      </x:c>
      <x:c r="C173" s="8" t="str">
        <x:v>นนทบุรี</x:v>
      </x:c>
      <x:c r="D173" s="8" t="str">
        <x:v>สำรองหลังปรับตามเส้นทาง</x:v>
      </x:c>
      <x:c r="E173" s="8" t="str">
        <x:v>หลักฐานไม่พอ รอยืนยันการเปิด</x:v>
      </x:c>
      <x:c r="F173" s="8" t="str">
        <x:v>ยังไม่ยืนยันการเปิดให้บริการปัจจุบัน</x:v>
      </x:c>
      <x:c r="G173" s="58" t="n">
        <x:v>1</x:v>
      </x:c>
      <x:c r="H173" s="52"/>
      <x:c r="I173" s="52"/>
      <x:c r="J173" s="52"/>
      <x:c r="K173" s="52"/>
      <x:c r="L173" s="52"/>
      <x:c r="M173" s="52"/>
      <x:c r="N173" s="8" t="str">
        <x:v>ยังไม่ยืนยัน</x:v>
      </x:c>
      <x:c r="O17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3" s="40" t="n">
        <x:v>46315</x:v>
      </x:c>
      <x:c r="Q173" s="59" t="str">
        <x:v>ยังไม่ตรวจ</x:v>
      </x:c>
      <x:c r="R173" s="59" t="str">
        <x:v>รอติดต่อ</x:v>
      </x:c>
    </x:row>
    <x:row r="174" ht="84" customHeight="1">
      <x:c r="A174" s="2" t="str">
        <x:v>TMF-166</x:v>
      </x:c>
      <x:c r="B174" s="8" t="str">
        <x:v>นูรรีญันนะห์</x:v>
      </x:c>
      <x:c r="C174" s="8" t="str">
        <x:v>นนทบุรี</x:v>
      </x:c>
      <x:c r="D174" s="8" t="str">
        <x:v>สำรองหลังปรับตามเส้นทาง</x:v>
      </x:c>
      <x:c r="E174" s="8" t="str">
        <x:v>หลักฐานไม่พอ รอยืนยันการเปิด</x:v>
      </x:c>
      <x:c r="F174" s="8" t="str">
        <x:v>ยังไม่ยืนยันการเปิดให้บริการปัจจุบัน</x:v>
      </x:c>
      <x:c r="G174" s="58" t="n">
        <x:v>1</x:v>
      </x:c>
      <x:c r="H174" s="52"/>
      <x:c r="I174" s="52"/>
      <x:c r="J174" s="52"/>
      <x:c r="K174" s="52"/>
      <x:c r="L174" s="52"/>
      <x:c r="M174" s="52"/>
      <x:c r="N174" s="8" t="str">
        <x:v>ยังไม่ยืนยัน</x:v>
      </x:c>
      <x:c r="O17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4" s="40" t="n">
        <x:v>46315</x:v>
      </x:c>
      <x:c r="Q174" s="59" t="str">
        <x:v>ยังไม่ตรวจ</x:v>
      </x:c>
      <x:c r="R174" s="59" t="str">
        <x:v>รอติดต่อ</x:v>
      </x:c>
    </x:row>
    <x:row r="175" ht="84" customHeight="1">
      <x:c r="A175" s="2" t="str">
        <x:v>TMF-167</x:v>
      </x:c>
      <x:c r="B175" s="8" t="str">
        <x:v>ฟาตินชิ้นสะดุ้ง สาขา นนทบุรี แยกบางพลู</x:v>
      </x:c>
      <x:c r="C175" s="8" t="str">
        <x:v>นนทบุรี</x:v>
      </x:c>
      <x:c r="D175" s="8" t="str">
        <x:v>สำรองหลังปรับตามเส้นทาง</x:v>
      </x:c>
      <x:c r="E175" s="8" t="str">
        <x:v>พบหลายแหล่งสัมพันธ์กับชื่อ รอยืนยันการเปิด</x:v>
      </x:c>
      <x:c r="F175" s="8" t="str">
        <x:v>ยังไม่ยืนยันการเปิดให้บริการปัจจุบัน</x:v>
      </x:c>
      <x:c r="G175" s="58" t="n">
        <x:v>2</x:v>
      </x:c>
      <x:c r="H175" s="52"/>
      <x:c r="I175" s="52"/>
      <x:c r="J175" s="52" t="str">
        <x:v>HYPERLINK is not implemented. linkLocation=https://www.lemon8-app.com/%40passaworn_p/7434833828264395265?region=th, friendlyName=เปิดหน้ารีวิว 1</x:v>
      </x:c>
      <x:c r="K175" s="52"/>
      <x:c r="L175" s="52"/>
      <x:c r="M175" s="52"/>
      <x:c r="N175" s="8" t="str">
        <x:v>ยังไม่ยืนยัน</x:v>
      </x:c>
      <x:c r="O17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75" s="40" t="n">
        <x:v>46315</x:v>
      </x:c>
      <x:c r="Q175" s="59" t="str">
        <x:v>ยังไม่ตรวจ</x:v>
      </x:c>
      <x:c r="R175" s="59" t="str">
        <x:v>รอติดต่อ</x:v>
      </x:c>
    </x:row>
    <x:row r="176" ht="84" customHeight="1">
      <x:c r="A176" s="2" t="str">
        <x:v>TMF-168</x:v>
      </x:c>
      <x:c r="B176" s="8" t="str">
        <x:v>วีอาร์เอ็น คาเฟ่</x:v>
      </x:c>
      <x:c r="C176" s="8" t="str">
        <x:v>นนทบุรี</x:v>
      </x:c>
      <x:c r="D176" s="8" t="str">
        <x:v>สำรองหลังปรับตามเส้นทาง</x:v>
      </x:c>
      <x:c r="E176" s="8" t="str">
        <x:v>หลักฐานไม่พอ รอยืนยันการเปิด</x:v>
      </x:c>
      <x:c r="F176" s="8" t="str">
        <x:v>ยังไม่ยืนยันการเปิดให้บริการปัจจุบัน</x:v>
      </x:c>
      <x:c r="G176" s="58" t="n">
        <x:v>1</x:v>
      </x:c>
      <x:c r="H176" s="52"/>
      <x:c r="I176" s="52"/>
      <x:c r="J176" s="52"/>
      <x:c r="K176" s="52"/>
      <x:c r="L176" s="52"/>
      <x:c r="M176" s="52"/>
      <x:c r="N176" s="8" t="str">
        <x:v>ยังไม่ยืนยัน</x:v>
      </x:c>
      <x:c r="O17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6" s="40" t="n">
        <x:v>46315</x:v>
      </x:c>
      <x:c r="Q176" s="59" t="str">
        <x:v>ยังไม่ตรวจ</x:v>
      </x:c>
      <x:c r="R176" s="59" t="str">
        <x:v>รอติดต่อ</x:v>
      </x:c>
    </x:row>
    <x:row r="177" ht="84" customHeight="1">
      <x:c r="A177" s="2" t="str">
        <x:v>TMF-169</x:v>
      </x:c>
      <x:c r="B177" s="8" t="str">
        <x:v>สาวเส้น เย็นตาโฟ&amp;ข้าวต้มปลา</x:v>
      </x:c>
      <x:c r="C177" s="8" t="str">
        <x:v>นนทบุรี</x:v>
      </x:c>
      <x:c r="D177" s="8" t="str">
        <x:v>สำรองหลังปรับตามเส้นทาง</x:v>
      </x:c>
      <x:c r="E177" s="8" t="str">
        <x:v>พบหลายแหล่งสัมพันธ์กับชื่อ รอยืนยันการเปิด</x:v>
      </x:c>
      <x:c r="F177" s="8" t="str">
        <x:v>ยังไม่ยืนยันการเปิดให้บริการปัจจุบัน</x:v>
      </x:c>
      <x:c r="G177" s="58" t="n">
        <x:v>2</x:v>
      </x:c>
      <x:c r="H177" s="52"/>
      <x:c r="I177" s="52"/>
      <x:c r="J177" s="52" t="str">
        <x:v>HYPERLINK is not implemented. linkLocation=https://www.lemon8-app.com/%40nonthaburi.th/7666764376468144658?region=th, friendlyName=เปิดหน้ารีวิว 1</x:v>
      </x:c>
      <x:c r="K177" s="52" t="str">
        <x:v>HYPERLINK is not implemented. linkLocation=https://www.lemon8-app.com/%40checkinnon/7653882671390540308?region=th, friendlyName=เปิดหน้ารีวิว 2</x:v>
      </x:c>
      <x:c r="L177" s="52"/>
      <x:c r="M177" s="52"/>
      <x:c r="N177" s="8" t="str">
        <x:v>ยังไม่ยืนยัน</x:v>
      </x:c>
      <x:c r="O17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77" s="40" t="n">
        <x:v>46315</x:v>
      </x:c>
      <x:c r="Q177" s="59" t="str">
        <x:v>ยังไม่ตรวจ</x:v>
      </x:c>
      <x:c r="R177" s="59" t="str">
        <x:v>รอติดต่อ</x:v>
      </x:c>
    </x:row>
    <x:row r="178" ht="84" customHeight="1">
      <x:c r="A178" s="2" t="str">
        <x:v>TMF-170</x:v>
      </x:c>
      <x:c r="B178" s="8" t="str">
        <x:v>หลงมา ข้าวต้มปลากระพงทรงเครื่องฮาลาล สูตรเยาวราช</x:v>
      </x:c>
      <x:c r="C178" s="8" t="str">
        <x:v>นนทบุรี</x:v>
      </x:c>
      <x:c r="D178" s="8" t="str">
        <x:v>สำรองหลังปรับตามเส้นทาง</x:v>
      </x:c>
      <x:c r="E178" s="8" t="str">
        <x:v>หลักฐานไม่พอ รอยืนยันการเปิด</x:v>
      </x:c>
      <x:c r="F178" s="8" t="str">
        <x:v>ยังไม่ยืนยันการเปิดให้บริการปัจจุบัน</x:v>
      </x:c>
      <x:c r="G178" s="58" t="n">
        <x:v>1</x:v>
      </x:c>
      <x:c r="H178" s="52"/>
      <x:c r="I178" s="52"/>
      <x:c r="J178" s="52"/>
      <x:c r="K178" s="52"/>
      <x:c r="L178" s="52"/>
      <x:c r="M178" s="52"/>
      <x:c r="N178" s="8" t="str">
        <x:v>ยังไม่ยืนยัน</x:v>
      </x:c>
      <x:c r="O17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8" s="40" t="n">
        <x:v>46315</x:v>
      </x:c>
      <x:c r="Q178" s="59" t="str">
        <x:v>ยังไม่ตรวจ</x:v>
      </x:c>
      <x:c r="R178" s="59" t="str">
        <x:v>รอติดต่อ</x:v>
      </x:c>
    </x:row>
    <x:row r="179" ht="84" customHeight="1">
      <x:c r="A179" s="2" t="str">
        <x:v>TMF-171</x:v>
      </x:c>
      <x:c r="B179" s="8" t="str">
        <x:v>เซี๊ยะ ข้าวมันไก่ (ท่าอิฐ)</x:v>
      </x:c>
      <x:c r="C179" s="8" t="str">
        <x:v>นนทบุรี</x:v>
      </x:c>
      <x:c r="D179" s="8" t="str">
        <x:v>สำรองหลังปรับตามเส้นทาง</x:v>
      </x:c>
      <x:c r="E179" s="8" t="str">
        <x:v>พบหลายแหล่งสัมพันธ์กับชื่อ รอยืนยันการเปิด</x:v>
      </x:c>
      <x:c r="F179" s="8" t="str">
        <x:v>ยังไม่ยืนยันการเปิดให้บริการปัจจุบัน</x:v>
      </x:c>
      <x:c r="G179" s="58" t="n">
        <x:v>2</x:v>
      </x:c>
      <x:c r="H179" s="52"/>
      <x:c r="I179" s="52"/>
      <x:c r="J179" s="52"/>
      <x:c r="K179" s="52"/>
      <x:c r="L179" s="52" t="str">
        <x:v>HYPERLINK is not implemented. linkLocation=https://salaamthailand.com/en/place/halal-food-%E0%B9%80%E0%B8%8B%E0%B8%B5%E0%B9%8A%E0%B8%A2%E0%B8%B0-%E0%B8%82%E0%B9%89%E0%B8%B2%E0%B8%A7%E0%B8%A1%E0%B8%B1%E0%B8%99%E0%B9%84%E0%B8%81%E0%B9%88-%E0%B8%97%E0%B9%88%E0%B8%B2%E0%B8%AD%E0%B8%B4%E0%B8%90-%E0%B8%AE%E0%B8%B2%E0%B8%A5%E0%B8%B2%E0%B8%A5-cjmwhq/, friendlyName=เปิดเว็บเพิ่ม 1</x:v>
      </x:c>
      <x:c r="M179" s="52"/>
      <x:c r="N179" s="8" t="str">
        <x:v>ยังไม่ยืนยัน</x:v>
      </x:c>
      <x:c r="O179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79" s="40" t="n">
        <x:v>46315</x:v>
      </x:c>
      <x:c r="Q179" s="59" t="str">
        <x:v>ยังไม่ตรวจ</x:v>
      </x:c>
      <x:c r="R179" s="59" t="str">
        <x:v>รอติดต่อ</x:v>
      </x:c>
    </x:row>
    <x:row r="180" ht="84" customHeight="1">
      <x:c r="A180" s="2" t="str">
        <x:v>TMF-172</x:v>
      </x:c>
      <x:c r="B180" s="8" t="str">
        <x:v>เรา มี นัส ตลาดศรียานนท์</x:v>
      </x:c>
      <x:c r="C180" s="8" t="str">
        <x:v>นนทบุรี</x:v>
      </x:c>
      <x:c r="D180" s="8" t="str">
        <x:v>สำรองหลังปรับตามเส้นทาง</x:v>
      </x:c>
      <x:c r="E180" s="8" t="str">
        <x:v>หลักฐานไม่พอ รอยืนยันการเปิด</x:v>
      </x:c>
      <x:c r="F180" s="8" t="str">
        <x:v>ยังไม่ยืนยันการเปิดให้บริการปัจจุบัน</x:v>
      </x:c>
      <x:c r="G180" s="58" t="n">
        <x:v>1</x:v>
      </x:c>
      <x:c r="H180" s="52"/>
      <x:c r="I180" s="52"/>
      <x:c r="J180" s="52"/>
      <x:c r="K180" s="52"/>
      <x:c r="L180" s="52"/>
      <x:c r="M180" s="52"/>
      <x:c r="N180" s="8" t="str">
        <x:v>ยังไม่ยืนยัน</x:v>
      </x:c>
      <x:c r="O18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0" s="40" t="n">
        <x:v>46315</x:v>
      </x:c>
      <x:c r="Q180" s="59" t="str">
        <x:v>ยังไม่ตรวจ</x:v>
      </x:c>
      <x:c r="R180" s="59" t="str">
        <x:v>รอติดต่อ</x:v>
      </x:c>
    </x:row>
    <x:row r="181" ht="84" customHeight="1">
      <x:c r="A181" s="2" t="str">
        <x:v>TMF-173</x:v>
      </x:c>
      <x:c r="B181" s="8" t="str">
        <x:v>โกกี้ นมสด บางบัวทอง</x:v>
      </x:c>
      <x:c r="C181" s="8" t="str">
        <x:v>นนทบุรี</x:v>
      </x:c>
      <x:c r="D181" s="8" t="str">
        <x:v>สำรองหลังปรับตามเส้นทาง</x:v>
      </x:c>
      <x:c r="E181" s="8" t="str">
        <x:v>พบหลายแหล่งสัมพันธ์กับชื่อ รอยืนยันการเปิด</x:v>
      </x:c>
      <x:c r="F181" s="8" t="str">
        <x:v>ยังไม่ยืนยันการเปิดให้บริการปัจจุบัน</x:v>
      </x:c>
      <x:c r="G181" s="58" t="n">
        <x:v>2</x:v>
      </x:c>
      <x:c r="H181" s="52"/>
      <x:c r="I181" s="52"/>
      <x:c r="J181" s="52" t="str">
        <x:v>HYPERLINK is not implemented. linkLocation=https://www.lemon8-app.com/%40shchwshma/7560931323091714578?region=th, friendlyName=เปิดหน้ารีวิว 1</x:v>
      </x:c>
      <x:c r="K181" s="52" t="str">
        <x:v>HYPERLINK is not implemented. linkLocation=https://www.lemon8-app.com/%40lawaekni/7556204992202342920?region=th, friendlyName=เปิดหน้ารีวิว 2</x:v>
      </x:c>
      <x:c r="L181" s="52"/>
      <x:c r="M181" s="52"/>
      <x:c r="N181" s="8" t="str">
        <x:v>ยังไม่ยืนยัน</x:v>
      </x:c>
      <x:c r="O18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81" s="40" t="n">
        <x:v>46315</x:v>
      </x:c>
      <x:c r="Q181" s="59" t="str">
        <x:v>ยังไม่ตรวจ</x:v>
      </x:c>
      <x:c r="R181" s="59" t="str">
        <x:v>รอติดต่อ</x:v>
      </x:c>
    </x:row>
    <x:row r="182" ht="84" customHeight="1">
      <x:c r="A182" s="2" t="str">
        <x:v>TMF-174</x:v>
      </x:c>
      <x:c r="B182" s="8" t="str">
        <x:v>โคมันส์ว่ะ</x:v>
      </x:c>
      <x:c r="C182" s="8" t="str">
        <x:v>นนทบุรี</x:v>
      </x:c>
      <x:c r="D182" s="8" t="str">
        <x:v>สำรองหลังปรับตามเส้นทาง</x:v>
      </x:c>
      <x:c r="E182" s="8" t="str">
        <x:v>พบหลายแหล่งสัมพันธ์กับชื่อ รอยืนยันการเปิด</x:v>
      </x:c>
      <x:c r="F182" s="8" t="str">
        <x:v>ยังไม่ยืนยันการเปิดให้บริการปัจจุบัน</x:v>
      </x:c>
      <x:c r="G182" s="58" t="n">
        <x:v>2</x:v>
      </x:c>
      <x:c r="H182" s="52"/>
      <x:c r="I182" s="52"/>
      <x:c r="J182" s="52" t="str">
        <x:v>HYPERLINK is not implemented. linkLocation=https://www.lemon8-app.com/%40jarajeedzi/7355904640161972752?region=th, friendlyName=เปิดหน้ารีวิว 1</x:v>
      </x:c>
      <x:c r="K182" s="52"/>
      <x:c r="L182" s="52"/>
      <x:c r="M182" s="52"/>
      <x:c r="N182" s="8" t="str">
        <x:v>ยังไม่ยืนยัน</x:v>
      </x:c>
      <x:c r="O18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82" s="40" t="n">
        <x:v>46315</x:v>
      </x:c>
      <x:c r="Q182" s="59" t="str">
        <x:v>ยังไม่ตรวจ</x:v>
      </x:c>
      <x:c r="R182" s="59" t="str">
        <x:v>รอติดต่อ</x:v>
      </x:c>
    </x:row>
    <x:row r="183" ht="84" customHeight="1">
      <x:c r="A183" s="2" t="str">
        <x:v>TMF-175</x:v>
      </x:c>
      <x:c r="B183" s="8" t="str">
        <x:v>โจ๊กเมืองทอง ฮาลาล สาขาเมืองทองธานี</x:v>
      </x:c>
      <x:c r="C183" s="8" t="str">
        <x:v>นนทบุรี</x:v>
      </x:c>
      <x:c r="D183" s="8" t="str">
        <x:v>สำรองหลังปรับตามเส้นทาง</x:v>
      </x:c>
      <x:c r="E183" s="8" t="str">
        <x:v>พบหลายแหล่งสัมพันธ์กับชื่อ รอยืนยันการเปิด</x:v>
      </x:c>
      <x:c r="F183" s="8" t="str">
        <x:v>ยังไม่ยืนยันการเปิดให้บริการปัจจุบัน</x:v>
      </x:c>
      <x:c r="G183" s="58" t="n">
        <x:v>2</x:v>
      </x:c>
      <x:c r="H183" s="52"/>
      <x:c r="I183" s="52"/>
      <x:c r="J183" s="52" t="str">
        <x:v>HYPERLINK is not implemented. linkLocation=https://www.wongnai.com/restaurants/2586804BE-%E0%B9%82%E0%B8%88%E0%B9%8A%E0%B8%81%E0%B9%80%E0%B8%A1%E0%B8%B7%E0%B8%AD%E0%B8%87%E0%B8%97%E0%B8%AD%E0%B8%87-%E0%B8%AE%E0%B8%B2%E0%B8%A5%E0%B8%B2%E0%B8%A5-%E0%B8%AA%E0%B8%B2%E0%B8%82%E0%B8%B2%E0%B9%80%E0%B8%A1%E0%B8%B7%E0%B8%AD%E0%B8%87%E0%B8%97%E0%B8%AD%E0%B8%87%E0%B8%98%E0%B8%B2%E0%B8%99%E0%B8%B5, friendlyName=เปิดหน้ารีวิว 1</x:v>
      </x:c>
      <x:c r="K183" s="52" t="str">
        <x:v>HYPERLINK is not implemented. linkLocation=https://www.wongnai.com/chains/joke-muang-thong-halal, friendlyName=เปิดหน้ารีวิว 2</x:v>
      </x:c>
      <x:c r="L183" s="52"/>
      <x:c r="M183" s="52"/>
      <x:c r="N183" s="8" t="str">
        <x:v>ยังไม่ยืนยัน</x:v>
      </x:c>
      <x:c r="O18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83" s="40" t="n">
        <x:v>46315</x:v>
      </x:c>
      <x:c r="Q183" s="59" t="str">
        <x:v>ยังไม่ตรวจ</x:v>
      </x:c>
      <x:c r="R183" s="59" t="str">
        <x:v>รอติดต่อ</x:v>
      </x:c>
    </x:row>
    <x:row r="184" ht="84" customHeight="1">
      <x:c r="A184" s="2" t="str">
        <x:v>TMF-176</x:v>
      </x:c>
      <x:c r="B184" s="8" t="str">
        <x:v>นานา โฮมสเตย์ บ้านทอน</x:v>
      </x:c>
      <x:c r="C184" s="8" t="str">
        <x:v>นราธิวาส</x:v>
      </x:c>
      <x:c r="D184" s="8" t="str">
        <x:v>สำรองหลังปรับตามเส้นทาง</x:v>
      </x:c>
      <x:c r="E184" s="8" t="str">
        <x:v>หลักฐานไม่พอ รอยืนยันการเปิด</x:v>
      </x:c>
      <x:c r="F184" s="8" t="str">
        <x:v>ยังไม่ยืนยันการเปิดให้บริการปัจจุบัน</x:v>
      </x:c>
      <x:c r="G184" s="58" t="n">
        <x:v>1</x:v>
      </x:c>
      <x:c r="H184" s="52"/>
      <x:c r="I184" s="52"/>
      <x:c r="J184" s="52"/>
      <x:c r="K184" s="52"/>
      <x:c r="L184" s="52"/>
      <x:c r="M184" s="52"/>
      <x:c r="N184" s="8" t="str">
        <x:v>ยังไม่ยืนยัน</x:v>
      </x:c>
      <x:c r="O18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4" s="40" t="n">
        <x:v>46315</x:v>
      </x:c>
      <x:c r="Q184" s="59" t="str">
        <x:v>ยังไม่ตรวจ</x:v>
      </x:c>
      <x:c r="R184" s="59" t="str">
        <x:v>รอติดต่อ</x:v>
      </x:c>
    </x:row>
    <x:row r="185" ht="84" customHeight="1">
      <x:c r="A185" s="2" t="str">
        <x:v>TMF-177</x:v>
      </x:c>
      <x:c r="B185" s="8" t="str">
        <x:v>Talay Sea</x:v>
      </x:c>
      <x:c r="C185" s="8" t="str">
        <x:v>นราธิวาส</x:v>
      </x:c>
      <x:c r="D185" s="8" t="str">
        <x:v>สำรองหลังปรับตามเส้นทาง</x:v>
      </x:c>
      <x:c r="E185" s="8" t="str">
        <x:v>หลักฐานไม่พอ รอยืนยันการเปิด</x:v>
      </x:c>
      <x:c r="F185" s="8" t="str">
        <x:v>ยังไม่ยืนยันการเปิดให้บริการปัจจุบัน</x:v>
      </x:c>
      <x:c r="G185" s="58" t="n">
        <x:v>1</x:v>
      </x:c>
      <x:c r="H185" s="52"/>
      <x:c r="I185" s="52"/>
      <x:c r="J185" s="52"/>
      <x:c r="K185" s="52"/>
      <x:c r="L185" s="52"/>
      <x:c r="M185" s="52"/>
      <x:c r="N185" s="8" t="str">
        <x:v>ยังไม่ยืนยัน</x:v>
      </x:c>
      <x:c r="O18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5" s="40" t="n">
        <x:v>46315</x:v>
      </x:c>
      <x:c r="Q185" s="59" t="str">
        <x:v>ยังไม่ตรวจ</x:v>
      </x:c>
      <x:c r="R185" s="59" t="str">
        <x:v>รอติดต่อ</x:v>
      </x:c>
    </x:row>
    <x:row r="186" ht="84" customHeight="1">
      <x:c r="A186" s="2" t="str">
        <x:v>TMF-178</x:v>
      </x:c>
      <x:c r="B186" s="8" t="str">
        <x:v>Hello Winter บ่อเกลือHalal</x:v>
      </x:c>
      <x:c r="C186" s="8" t="str">
        <x:v>น่าน</x:v>
      </x:c>
      <x:c r="D186" s="8" t="str">
        <x:v>สำรองหลังปรับตามเส้นทาง</x:v>
      </x:c>
      <x:c r="E186" s="8" t="str">
        <x:v>พบหลายแหล่งสัมพันธ์กับชื่อ รอยืนยันการเปิด</x:v>
      </x:c>
      <x:c r="F186" s="8" t="str">
        <x:v>ยังไม่ยืนยันการเปิดให้บริการปัจจุบัน</x:v>
      </x:c>
      <x:c r="G186" s="58" t="n">
        <x:v>3</x:v>
      </x:c>
      <x:c r="H186" s="52"/>
      <x:c r="I186" s="52"/>
      <x:c r="J186" s="52"/>
      <x:c r="K186" s="52"/>
      <x:c r="L186" s="52" t="str">
        <x:v>HYPERLINK is not implemented. linkLocation=https://www.blockdit.com/posts/6216381c5b11d8d6b83f4866, friendlyName=เปิดเว็บเพิ่ม 1</x:v>
      </x:c>
      <x:c r="M186" s="52" t="str">
        <x:v>HYPERLINK is not implemented. linkLocation=https://www.aroundonline.com/tat-launches-60-happiness-routes-mueang-thai-the-series/, friendlyName=เปิดเว็บเพิ่ม 2</x:v>
      </x:c>
      <x:c r="N186" s="8" t="str">
        <x:v>ยังไม่ยืนยัน</x:v>
      </x:c>
      <x:c r="O186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6" s="40" t="n">
        <x:v>46315</x:v>
      </x:c>
      <x:c r="Q186" s="59" t="str">
        <x:v>ยังไม่ตรวจ</x:v>
      </x:c>
      <x:c r="R186" s="59" t="str">
        <x:v>รอติดต่อ</x:v>
      </x:c>
    </x:row>
    <x:row r="187" ht="84" customHeight="1">
      <x:c r="A187" s="2" t="str">
        <x:v>TMF-179</x:v>
      </x:c>
      <x:c r="B187" s="8" t="str">
        <x:v>828 มะตะบะ อร่อย</x:v>
      </x:c>
      <x:c r="C187" s="8" t="str">
        <x:v>ปทุมธานี</x:v>
      </x:c>
      <x:c r="D187" s="8" t="str">
        <x:v>สำรองหลังปรับตามเส้นทาง</x:v>
      </x:c>
      <x:c r="E187" s="8" t="str">
        <x:v>พบหลายแหล่งสัมพันธ์กับชื่อ รอยืนยันการเปิด</x:v>
      </x:c>
      <x:c r="F187" s="8" t="str">
        <x:v>ยังไม่ยืนยันการเปิดให้บริการปัจจุบัน</x:v>
      </x:c>
      <x:c r="G187" s="58" t="n">
        <x:v>3</x:v>
      </x:c>
      <x:c r="H187" s="52"/>
      <x:c r="I187" s="52"/>
      <x:c r="J187" s="52" t="str">
        <x:v>HYPERLINK is not implemented. linkLocation=https://www.lemon8-app.com/%40fernwang_1220/7510227141893636626?region=th, friendlyName=เปิดหน้ารีวิว 1</x:v>
      </x:c>
      <x:c r="K187" s="52" t="str">
        <x:v>HYPERLINK is not implemented. linkLocation=https://www.lemon8-app.com/oummhhhh/7511796326246384145?region=th, friendlyName=เปิดหน้ารีวิว 2</x:v>
      </x:c>
      <x:c r="L187" s="52" t="str">
        <x:v>HYPERLINK is not implemented. linkLocation=https://somduan.com/raankhaayyaa/amephlamluukkaa/828-matabary/, friendlyName=เปิดเว็บเพิ่ม 1</x:v>
      </x:c>
      <x:c r="M187" s="52"/>
      <x:c r="N187" s="8" t="str">
        <x:v>ยังไม่ยืนยัน</x:v>
      </x:c>
      <x:c r="O18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87" s="40" t="n">
        <x:v>46315</x:v>
      </x:c>
      <x:c r="Q187" s="59" t="str">
        <x:v>ยังไม่ตรวจ</x:v>
      </x:c>
      <x:c r="R187" s="59" t="str">
        <x:v>รอติดต่อ</x:v>
      </x:c>
    </x:row>
    <x:row r="188" ht="84" customHeight="1">
      <x:c r="A188" s="2" t="str">
        <x:v>TMF-180</x:v>
      </x:c>
      <x:c r="B188" s="8" t="str">
        <x:v>ก๋วยจั๊บญวน บังโต้</x:v>
      </x:c>
      <x:c r="C188" s="8" t="str">
        <x:v>ปทุมธานี</x:v>
      </x:c>
      <x:c r="D188" s="8" t="str">
        <x:v>สำรองหลังปรับตามเส้นทาง</x:v>
      </x:c>
      <x:c r="E188" s="8" t="str">
        <x:v>หลักฐานไม่พอ รอยืนยันการเปิด</x:v>
      </x:c>
      <x:c r="F188" s="8" t="str">
        <x:v>ยังไม่ยืนยันการเปิดให้บริการปัจจุบัน</x:v>
      </x:c>
      <x:c r="G188" s="58" t="n">
        <x:v>1</x:v>
      </x:c>
      <x:c r="H188" s="52"/>
      <x:c r="I188" s="52"/>
      <x:c r="J188" s="52"/>
      <x:c r="K188" s="52"/>
      <x:c r="L188" s="52"/>
      <x:c r="M188" s="52"/>
      <x:c r="N188" s="8" t="str">
        <x:v>ยังไม่ยืนยัน</x:v>
      </x:c>
      <x:c r="O18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8" s="40" t="n">
        <x:v>46315</x:v>
      </x:c>
      <x:c r="Q188" s="59" t="str">
        <x:v>ยังไม่ตรวจ</x:v>
      </x:c>
      <x:c r="R188" s="59" t="str">
        <x:v>รอติดต่อ</x:v>
      </x:c>
    </x:row>
    <x:row r="189" ht="84" customHeight="1">
      <x:c r="A189" s="2" t="str">
        <x:v>TMF-181</x:v>
      </x:c>
      <x:c r="B189" s="8" t="str">
        <x:v>รสเจริญข้าวหมกไก่ - ซุปหางวัว โรตี ชาชัก Halal</x:v>
      </x:c>
      <x:c r="C189" s="8" t="str">
        <x:v>ปทุมธานี</x:v>
      </x:c>
      <x:c r="D189" s="8" t="str">
        <x:v>สำรองหลังปรับตามเส้นทาง</x:v>
      </x:c>
      <x:c r="E189" s="8" t="str">
        <x:v>หลักฐานไม่พอ รอยืนยันการเปิด</x:v>
      </x:c>
      <x:c r="F189" s="8" t="str">
        <x:v>ยังไม่ยืนยันการเปิดให้บริการปัจจุบัน</x:v>
      </x:c>
      <x:c r="G189" s="58" t="n">
        <x:v>1</x:v>
      </x:c>
      <x:c r="H189" s="52"/>
      <x:c r="I189" s="52"/>
      <x:c r="J189" s="52"/>
      <x:c r="K189" s="52"/>
      <x:c r="L189" s="52"/>
      <x:c r="M189" s="52"/>
      <x:c r="N189" s="8" t="str">
        <x:v>ยังไม่ยืนยัน</x:v>
      </x:c>
      <x:c r="O18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189" s="40" t="n">
        <x:v>46315</x:v>
      </x:c>
      <x:c r="Q189" s="59" t="str">
        <x:v>ยังไม่ตรวจ</x:v>
      </x:c>
      <x:c r="R189" s="59" t="str">
        <x:v>รอติดต่อ</x:v>
      </x:c>
    </x:row>
    <x:row r="190" ht="84" customHeight="1">
      <x:c r="A190" s="2" t="str">
        <x:v>TMF-182</x:v>
      </x:c>
      <x:c r="B190" s="8" t="str">
        <x:v>ห้องอาหาร สุใบด๊ะห์ชวนชิม สาขาลาดสวาย</x:v>
      </x:c>
      <x:c r="C190" s="8" t="str">
        <x:v>ปทุมธานี</x:v>
      </x:c>
      <x:c r="D190" s="8" t="str">
        <x:v>สำรองหลังปรับตามเส้นทาง</x:v>
      </x:c>
      <x:c r="E190" s="8" t="str">
        <x:v>พบหลายแหล่งสัมพันธ์กับชื่อ รอยืนยันการเปิด</x:v>
      </x:c>
      <x:c r="F190" s="8" t="str">
        <x:v>ยังไม่ยืนยันการเปิดให้บริการปัจจุบัน</x:v>
      </x:c>
      <x:c r="G190" s="58" t="n">
        <x:v>2</x:v>
      </x:c>
      <x:c r="H190" s="52"/>
      <x:c r="I190" s="52"/>
      <x:c r="J190" s="52" t="str">
        <x:v>HYPERLINK is not implemented. linkLocation=https://www.youtube.com/watch?v=UO47MGSf9ZU, friendlyName=เปิดหน้ารีวิว 1</x:v>
      </x:c>
      <x:c r="K190" s="52"/>
      <x:c r="L190" s="52"/>
      <x:c r="M190" s="52"/>
      <x:c r="N190" s="8" t="str">
        <x:v>ยังไม่ยืนยัน</x:v>
      </x:c>
      <x:c r="O19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190" s="40" t="n">
        <x:v>46315</x:v>
      </x:c>
      <x:c r="Q190" s="59" t="str">
        <x:v>ยังไม่ตรวจ</x:v>
      </x:c>
      <x:c r="R190" s="59" t="str">
        <x:v>รอติดต่อ</x:v>
      </x:c>
    </x:row>
    <x:row r="191" ht="84" customHeight="1">
      <x:c r="A191" s="2" t="str">
        <x:v>TMF-183</x:v>
      </x:c>
      <x:c r="B191" s="8" t="str">
        <x:v>Rista House &amp; Resort</x:v>
      </x:c>
      <x:c r="C191" s="8" t="str">
        <x:v>ประจวบคีรีขันธ์</x:v>
      </x:c>
      <x:c r="D191" s="8" t="str">
        <x:v>อยู่ในชุด 600 ตามเส้นทาง</x:v>
      </x:c>
      <x:c r="E191" s="8" t="str">
        <x:v>พบชื่อสัมพันธ์หลายเว็บไซต์ รอยืนยันสาขา</x:v>
      </x:c>
      <x:c r="F191" s="8" t="str">
        <x:v>ยังไม่ยืนยันการเปิดให้บริการปัจจุบัน</x:v>
      </x:c>
      <x:c r="G191" s="58" t="n">
        <x:v>3</x:v>
      </x:c>
      <x:c r="H191" s="52" t="str"/>
      <x:c r="I191" s="52" t="str"/>
      <x:c r="J191" s="52" t="str">
        <x:v>https://th.trip.com/hotels/kui-buri-hotel-detail-81263545/rista-house-resort/</x:v>
      </x:c>
      <x:c r="K191" s="52" t="str">
        <x:v>https://in.trip.com/hotels/kui-buri-hotel-detail-81263545/rista-house-resort/</x:v>
      </x:c>
      <x:c r="L191" s="52" t="str">
        <x:v>https://makanhalalguide.com/shop/detail/5386</x:v>
      </x:c>
      <x:c r="M191" s="52" t="str">
        <x:v>https://th.trip.com/hotels/kui-buri-hotel-detail-81263545/rista-house-resort/</x:v>
      </x:c>
      <x:c r="N191" s="8" t="str">
        <x:v>ยังไม่ยืนยัน</x:v>
      </x:c>
      <x:c r="O19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1" s="40" t="n">
        <x:v>46315</x:v>
      </x:c>
      <x:c r="Q191" s="59" t="str">
        <x:v>ยังไม่ตรวจ</x:v>
      </x:c>
      <x:c r="R191" s="59" t="str">
        <x:v>รอติดต่อ</x:v>
      </x:c>
    </x:row>
    <x:row r="192" ht="84" customHeight="1">
      <x:c r="A192" s="2" t="str">
        <x:v>TMF-184</x:v>
      </x:c>
      <x:c r="B192" s="8" t="str">
        <x:v>Coco Pina Boutique Resort ที่พัก&amp;คาเฟ่ประจวบ</x:v>
      </x:c>
      <x:c r="C192" s="8" t="str">
        <x:v>ประจวบคีรีขันธ์</x:v>
      </x:c>
      <x:c r="D192" s="8" t="str">
        <x:v>อยู่ในชุด 600 ตามเส้นทาง</x:v>
      </x:c>
      <x:c r="E192" s="8" t="str">
        <x:v>พบชื่อสัมพันธ์หลายเว็บไซต์ รอยืนยันสาขา</x:v>
      </x:c>
      <x:c r="F192" s="8" t="str">
        <x:v>ยังไม่ยืนยันการเปิดให้บริการปัจจุบัน</x:v>
      </x:c>
      <x:c r="G192" s="58" t="n">
        <x:v>3</x:v>
      </x:c>
      <x:c r="H192" s="52" t="str"/>
      <x:c r="I192" s="52" t="str"/>
      <x:c r="J192" s="52" t="str">
        <x:v>https://www.google.co.th/travel/hotels/entity/ChkI2cTU17GU9MNaGg0vZy8xMXJjeGI2M2Z2EAE?rp=OAHCAhwiGg0AAANDEhMIjfGnvYbslQMVVCeHAx1KHDDj&amp;ts=CAEaIgoCGgASHBIUCgcI6g8QCRgYEgcI6g8QCRgZGAEyAhAAOAEqBAoAGgA</x:v>
      </x:c>
      <x:c r="K192" s="52" t="str">
        <x:v>https://www.google.co.th/travel/hotels/entity/ChkI2cTU17GU9MNaGg0vZy8xMXJjeGI2M2Z2EAE?rp=OAHCAhciFRITCMjqht6YzY0DFdAPhwMdLC4fDg&amp;ts=CAEaBAoCGgAqBAoAGgA</x:v>
      </x:c>
      <x:c r="L192" s="52" t="str">
        <x:v>https://makanhalalguide.com/shop/detail/5387</x:v>
      </x:c>
      <x:c r="M192" s="52" t="str">
        <x:v>https://www.google.co.th/travel/hotels/entity/ChkI2cTU17GU9MNaGg0vZy8xMXJjeGI2M2Z2EAE?rp=OAHCAhwiGg0AAANDEhMIjfGnvYbslQMVVCeHAx1KHDDj&amp;ts=CAEaIgoCGgASHBIUCgcI6g8QCRgYEgcI6g8QCRgZGAEyAhAAOAEqBAoAGgA</x:v>
      </x:c>
      <x:c r="N192" s="8" t="str">
        <x:v>ยังไม่ยืนยัน</x:v>
      </x:c>
      <x:c r="O192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192" s="40" t="n">
        <x:v>46315</x:v>
      </x:c>
      <x:c r="Q192" s="59" t="str">
        <x:v>ยังไม่ตรวจ</x:v>
      </x:c>
      <x:c r="R192" s="59" t="str">
        <x:v>รอติดต่อ</x:v>
      </x:c>
    </x:row>
    <x:row r="193" ht="84" customHeight="1">
      <x:c r="A193" s="2" t="str">
        <x:v>TMF-185</x:v>
      </x:c>
      <x:c r="B193" s="8" t="str">
        <x:v>The seasons cafe รังมดแดง</x:v>
      </x:c>
      <x:c r="C193" s="8" t="str">
        <x:v>ปัตตานี</x:v>
      </x:c>
      <x:c r="D193" s="8" t="str">
        <x:v>อยู่ในชุด 600 ตามเส้นทาง</x:v>
      </x:c>
      <x:c r="E193" s="8" t="str">
        <x:v>พบชื่อสัมพันธ์หลายเว็บไซต์ รอยืนยันสาขา</x:v>
      </x:c>
      <x:c r="F193" s="8" t="str">
        <x:v>ยังไม่ยืนยันการเปิดให้บริการปัจจุบัน</x:v>
      </x:c>
      <x:c r="G193" s="58" t="n">
        <x:v>2</x:v>
      </x:c>
      <x:c r="H193" s="52" t="str"/>
      <x:c r="I193" s="52" t="str"/>
      <x:c r="J193" s="52" t="str"/>
      <x:c r="K193" s="52" t="str"/>
      <x:c r="L193" s="52" t="str">
        <x:v>https://makanhalalguide.com/shop/detail/5932</x:v>
      </x:c>
      <x:c r="M193" s="52" t="str">
        <x:v>https://www.hydro-1.net/Data/Admin/book/file/E841-2564.pdf</x:v>
      </x:c>
      <x:c r="N193" s="8" t="str">
        <x:v>ยังไม่ยืนยัน</x:v>
      </x:c>
      <x:c r="O19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3" s="40" t="n">
        <x:v>46315</x:v>
      </x:c>
      <x:c r="Q193" s="59" t="str">
        <x:v>ยังไม่ตรวจ</x:v>
      </x:c>
      <x:c r="R193" s="59" t="str">
        <x:v>รอติดต่อ</x:v>
      </x:c>
    </x:row>
    <x:row r="194" ht="84" customHeight="1">
      <x:c r="A194" s="2" t="str">
        <x:v>TMF-186</x:v>
      </x:c>
      <x:c r="B194" s="8" t="str">
        <x:v>ณ ณิชา รีสอร์ท</x:v>
      </x:c>
      <x:c r="C194" s="8" t="str">
        <x:v>พังงา</x:v>
      </x:c>
      <x:c r="D194" s="8" t="str">
        <x:v>อยู่ในชุด 600 ตามเส้นทาง</x:v>
      </x:c>
      <x:c r="E194" s="8" t="str">
        <x:v>พบชื่อสัมพันธ์หลายเว็บไซต์ รอยืนยันสาขา</x:v>
      </x:c>
      <x:c r="F194" s="8" t="str">
        <x:v>ยังไม่ยืนยันการเปิดให้บริการปัจจุบัน</x:v>
      </x:c>
      <x:c r="G194" s="58" t="n">
        <x:v>2</x:v>
      </x:c>
      <x:c r="H194" s="52" t="str"/>
      <x:c r="I194" s="52" t="str"/>
      <x:c r="J194" s="52" t="str">
        <x:v>https://www.google.com.sa/travel/hotels/entity/CgoIiuXa2u6Ij8xAEAE?ap=MAA&amp;gl=th&amp;gsas=1&amp;hl=th&amp;rp=OAFIAsICHCIaDQDAA0QSEwig6qGhrteOAxV1qqsHHRxUEJk&amp;ts=CAEaBAoCGgAqBAoAGgA&amp;un=1</x:v>
      </x:c>
      <x:c r="K194" s="52" t="str"/>
      <x:c r="L194" s="52" t="str">
        <x:v>https://makanhalalguide.com/shop/detail/5403</x:v>
      </x:c>
      <x:c r="M194" s="52" t="str">
        <x:v>https://www.google.com.sa/travel/hotels/entity/CgoIiuXa2u6Ij8xAEAE?ap=MAA&amp;gl=th&amp;gsas=1&amp;hl=th&amp;rp=OAFIAsICHCIaDQDAA0QSEwig6qGhrteOAxV1qqsHHRxUEJk&amp;ts=CAEaBAoCGgAqBAoAGgA&amp;un=1</x:v>
      </x:c>
      <x:c r="N194" s="8" t="str">
        <x:v>ยังไม่ยืนยัน</x:v>
      </x:c>
      <x:c r="O19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4" s="40" t="n">
        <x:v>46315</x:v>
      </x:c>
      <x:c r="Q194" s="59" t="str">
        <x:v>ยังไม่ตรวจ</x:v>
      </x:c>
      <x:c r="R194" s="59" t="str">
        <x:v>รอติดต่อ</x:v>
      </x:c>
    </x:row>
    <x:row r="195" ht="84" customHeight="1">
      <x:c r="A195" s="2" t="str">
        <x:v>TMF-187</x:v>
      </x:c>
      <x:c r="B195" s="8" t="str">
        <x:v>ครัวอารีย์บังหมาดบางพัฒน์ พังงา</x:v>
      </x:c>
      <x:c r="C195" s="8" t="str">
        <x:v>พังงา</x:v>
      </x:c>
      <x:c r="D195" s="8" t="str">
        <x:v>อยู่ในชุด 600 ตามเส้นทาง</x:v>
      </x:c>
      <x:c r="E195" s="8" t="str">
        <x:v>พบชื่อสัมพันธ์หลายเว็บไซต์ รอยืนยันสาขา</x:v>
      </x:c>
      <x:c r="F195" s="8" t="str">
        <x:v>ยังไม่ยืนยันการเปิดให้บริการปัจจุบัน</x:v>
      </x:c>
      <x:c r="G195" s="58" t="n">
        <x:v>5</x:v>
      </x:c>
      <x:c r="H195" s="52" t="str"/>
      <x:c r="I195" s="52" t="str"/>
      <x:c r="J195" s="52" t="str">
        <x:v>https://www.wongnai.com/restaurants/172334MX-%E0%B8%84%E0%B8%A3%E0%B8%B1%E0%B8%A7%E0%B8%AD%E0%B8%B2%E0%B8%A3%E0%B8%B5%E0%B8%A2%E0%B9%8C-%E0%B8%9A%E0%B8%B1%E0%B8%87%E0%B8%AB%E0%B8%A1%E0%B8%B2%E0%B8%94</x:v>
      </x:c>
      <x:c r="K195" s="52" t="str">
        <x:v>https://www.lemon8-app.com/%40jbjib_14/7371278226649367041?region=th</x:v>
      </x:c>
      <x:c r="L195" s="52" t="str">
        <x:v>https://makanhalalguide.com/shop/detail/5085</x:v>
      </x:c>
      <x:c r="M195" s="52" t="str">
        <x:v>https://www.wongnai.com/restaurants/172334MX-%E0%B8%84%E0%B8%A3%E0%B8%B1%E0%B8%A7%E0%B8%AD%E0%B8%B2%E0%B8%A3%E0%B8%B5%E0%B8%A2%E0%B9%8C-%E0%B8%9A%E0%B8%B1%E0%B8%87%E0%B8%AB%E0%B8%A1%E0%B8%B2%E0%B8%94</x:v>
      </x:c>
      <x:c r="N195" s="8" t="str">
        <x:v>ยังไม่ยืนยัน</x:v>
      </x:c>
      <x:c r="O19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5" s="40" t="n">
        <x:v>46315</x:v>
      </x:c>
      <x:c r="Q195" s="59" t="str">
        <x:v>ยังไม่ตรวจ</x:v>
      </x:c>
      <x:c r="R195" s="59" t="str">
        <x:v>รอติดต่อ</x:v>
      </x:c>
    </x:row>
    <x:row r="196" ht="84" customHeight="1">
      <x:c r="A196" s="2" t="str">
        <x:v>TMF-188</x:v>
      </x:c>
      <x:c r="B196" s="8" t="str">
        <x:v>ก๋วยเตี๋ยวเรือราไวย์ ซอยไสยวน</x:v>
      </x:c>
      <x:c r="C196" s="8" t="str">
        <x:v>ภูเก็ต</x:v>
      </x:c>
      <x:c r="D196" s="8" t="str">
        <x:v>อยู่ในชุด 600 ตามเส้นทาง</x:v>
      </x:c>
      <x:c r="E196" s="8" t="str">
        <x:v>พบชื่อสัมพันธ์หลายเว็บไซต์ รอยืนยันสาขา</x:v>
      </x:c>
      <x:c r="F196" s="8" t="str">
        <x:v>ยังไม่ยืนยันการเปิดให้บริการปัจจุบัน</x:v>
      </x:c>
      <x:c r="G196" s="58" t="n">
        <x:v>3</x:v>
      </x:c>
      <x:c r="H196" s="52" t="str"/>
      <x:c r="I196" s="52" t="str"/>
      <x:c r="J196" s="52" t="str">
        <x:v>https://www.wongnai.com/restaurants/272151Mc-%E0%B8%81%E0%B9%8B%E0%B8%A7%E0%B8%A2%E0%B9%80%E0%B8%95%E0%B8%B5%E0%B9%8B%E0%B8%A2%E0%B8%A7%E0%B9%80%E0%B8%A3%E0%B8%B7%E0%B8%AD-%E0%B8%A3%E0%B8%B2%E0%B9%84%E0%B8%A7%E0%B8%A2%E0%B9%8C-%E0%B8%8B%E0%B8%AD%E0%B8%A2%E0%B9%84%E0%B8%AA%E0%B8%A2%E0%B8%A7%E0%B8%99</x:v>
      </x:c>
      <x:c r="K196" s="52" t="str">
        <x:v>https://www.lemon8-app.com/%40naranrania102117/7588479703090987536?region=th</x:v>
      </x:c>
      <x:c r="L196" s="52" t="str">
        <x:v>https://makanhalalguide.com/shop/detail/5175</x:v>
      </x:c>
      <x:c r="M196" s="52" t="str">
        <x:v>https://www.wongnai.com/restaurants/272151Mc-%E0%B8%81%E0%B9%8B%E0%B8%A7%E0%B8%A2%E0%B9%80%E0%B8%95%E0%B8%B5%E0%B9%8B%E0%B8%A2%E0%B8%A7%E0%B9%80%E0%B8%A3%E0%B8%B7%E0%B8%AD-%E0%B8%A3%E0%B8%B2%E0%B9%84%E0%B8%A7%E0%B8%A2%E0%B9%8C-%E0%B8%8B%E0%B8%AD%E0%B8%A2%E0%B9%84%E0%B8%AA%E0%B8%A2%E0%B8%A7%E0%B8%99</x:v>
      </x:c>
      <x:c r="N196" s="8" t="str">
        <x:v>ยังไม่ยืนยัน</x:v>
      </x:c>
      <x:c r="O19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6" s="40" t="n">
        <x:v>46315</x:v>
      </x:c>
      <x:c r="Q196" s="59" t="str">
        <x:v>ยังไม่ตรวจ</x:v>
      </x:c>
      <x:c r="R196" s="59" t="str">
        <x:v>รอติดต่อ</x:v>
      </x:c>
    </x:row>
    <x:row r="197" ht="84" customHeight="1">
      <x:c r="A197" s="2" t="str">
        <x:v>TMF-189</x:v>
      </x:c>
      <x:c r="B197" s="8" t="str">
        <x:v>อันดามันดา ภูเก็ต</x:v>
      </x:c>
      <x:c r="C197" s="8" t="str">
        <x:v>ภูเก็ต</x:v>
      </x:c>
      <x:c r="D197" s="8" t="str">
        <x:v>อยู่ในชุด 600 ตามเส้นทาง</x:v>
      </x:c>
      <x:c r="E197" s="8" t="str">
        <x:v>พบชื่อสัมพันธ์หลายเว็บไซต์ รอยืนยันสาขา</x:v>
      </x:c>
      <x:c r="F197" s="8" t="str">
        <x:v>ยังไม่ยืนยันการเปิดให้บริการปัจจุบัน</x:v>
      </x:c>
      <x:c r="G197" s="58" t="n">
        <x:v>2</x:v>
      </x:c>
      <x:c r="H197" s="52" t="str"/>
      <x:c r="I197" s="52" t="str"/>
      <x:c r="J197" s="52" t="str">
        <x:v>https://th.trip.com/travel-guide/attraction/phuket/andamanda-phuket-waterpark-133979403?curr=CNY&amp;locale=th-TH</x:v>
      </x:c>
      <x:c r="K197" s="52" t="str">
        <x:v>https://th.trip.com/travel-guide/attraction/phuket/andamanda-phuket-waterpark-133979403?curr=THB&amp;locale=th-TH&amp;poiType=66&amp;rankingId=10070100021130</x:v>
      </x:c>
      <x:c r="L197" s="52" t="str">
        <x:v>https://www.andamandaphuket.com/th/node/339</x:v>
      </x:c>
      <x:c r="M197" s="52" t="str">
        <x:v>https://th.trip.com/travel-guide/attraction/phuket/andamanda-phuket-waterpark-133979403?curr=CNY&amp;locale=th-TH</x:v>
      </x:c>
      <x:c r="N197" s="8" t="str">
        <x:v>ยังไม่ยืนยัน</x:v>
      </x:c>
      <x:c r="O19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7" s="40" t="n">
        <x:v>46315</x:v>
      </x:c>
      <x:c r="Q197" s="59" t="str">
        <x:v>ยังไม่ตรวจ</x:v>
      </x:c>
      <x:c r="R197" s="59" t="str">
        <x:v>รอติดต่อ</x:v>
      </x:c>
    </x:row>
    <x:row r="198" ht="84" customHeight="1">
      <x:c r="A198" s="2" t="str">
        <x:v>TMF-190</x:v>
      </x:c>
      <x:c r="B198" s="8" t="str">
        <x:v>Martabak Ramunrin - มาร์ตาบัค มานิส สาขายะลา</x:v>
      </x:c>
      <x:c r="C198" s="8" t="str">
        <x:v>ยะลา</x:v>
      </x:c>
      <x:c r="D198" s="8" t="str">
        <x:v>อยู่ในชุด 600 ตามเส้นทาง</x:v>
      </x:c>
      <x:c r="E198" s="8" t="str">
        <x:v>พบชื่อสัมพันธ์หลายเว็บไซต์ รอยืนยันสาขา</x:v>
      </x:c>
      <x:c r="F198" s="8" t="str">
        <x:v>ยังไม่ยืนยันการเปิดให้บริการปัจจุบัน</x:v>
      </x:c>
      <x:c r="G198" s="58" t="n">
        <x:v>2</x:v>
      </x:c>
      <x:c r="H198" s="52" t="str"/>
      <x:c r="I198" s="52" t="str"/>
      <x:c r="J198" s="52" t="str">
        <x:v>https://www.wongnai.com/restaurants/2830007UG-%E0%B8%A1%E0%B8%B2%E0%B8%A3%E0%B9%8C%E0%B8%95%E0%B8%B2%E0%B8%9A%E0%B8%B1%E0%B8%84-%E0%B8%A1%E0%B8%B2%E0%B8%99%E0%B8%B4%E0%B8%AA-martabak-ramunrin-%E0%B8%A2%E0%B8%B0%E0%B8%A5%E0%B8%B2</x:v>
      </x:c>
      <x:c r="K198" s="52" t="str">
        <x:v>https://www.wongnai.com/restaurants/2830007UG-martabak-ramunrin-%E0%B8%A1%E0%B8%B2%E0%B8%A3%E0%B9%8C%E0%B8%95%E0%B8%B2%E0%B8%9A%E0%B8%B1%E0%B8%84-%E0%B8%A1%E0%B8%B2%E0%B8%99%E0%B8%B4%E0%B8%AA-%E0%B8%A2%E0%B8%B0%E0%B8%A5%E0%B8%B2</x:v>
      </x:c>
      <x:c r="L198" s="52" t="str">
        <x:v>https://makanhalalguide.com/shop/detail/6053</x:v>
      </x:c>
      <x:c r="M198" s="52" t="str">
        <x:v>https://www.wongnai.com/restaurants/2830007UG-%E0%B8%A1%E0%B8%B2%E0%B8%A3%E0%B9%8C%E0%B8%95%E0%B8%B2%E0%B8%9A%E0%B8%B1%E0%B8%84-%E0%B8%A1%E0%B8%B2%E0%B8%99%E0%B8%B4%E0%B8%AA-martabak-ramunrin-%E0%B8%A2%E0%B8%B0%E0%B8%A5%E0%B8%B2</x:v>
      </x:c>
      <x:c r="N198" s="8" t="str">
        <x:v>ยังไม่ยืนยัน</x:v>
      </x:c>
      <x:c r="O19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8" s="40" t="n">
        <x:v>46315</x:v>
      </x:c>
      <x:c r="Q198" s="59" t="str">
        <x:v>ยังไม่ตรวจ</x:v>
      </x:c>
      <x:c r="R198" s="59" t="str">
        <x:v>รอติดต่อ</x:v>
      </x:c>
    </x:row>
    <x:row r="199" ht="84" customHeight="1">
      <x:c r="A199" s="2" t="str">
        <x:v>TMF-191</x:v>
      </x:c>
      <x:c r="B199" s="8" t="str">
        <x:v>Tokoroaster Coffee And Cycling</x:v>
      </x:c>
      <x:c r="C199" s="8" t="str">
        <x:v>ยะลา</x:v>
      </x:c>
      <x:c r="D199" s="8" t="str">
        <x:v>อยู่ในชุด 600 ตามเส้นทาง</x:v>
      </x:c>
      <x:c r="E199" s="8" t="str">
        <x:v>พบชื่อสัมพันธ์หลายเว็บไซต์ รอยืนยันสาขา</x:v>
      </x:c>
      <x:c r="F199" s="8" t="str">
        <x:v>ยังไม่ยืนยันการเปิดให้บริการปัจจุบัน</x:v>
      </x:c>
      <x:c r="G199" s="58" t="n">
        <x:v>2</x:v>
      </x:c>
      <x:c r="H199" s="52" t="str"/>
      <x:c r="I199" s="52" t="str"/>
      <x:c r="J199" s="52" t="str"/>
      <x:c r="K199" s="52" t="str"/>
      <x:c r="L199" s="52" t="str">
        <x:v>https://makanhalalguide.com/shop/detail/6006</x:v>
      </x:c>
      <x:c r="M199" s="52" t="str">
        <x:v>https://tokoroaster-specialty-coffee.goto-where.com/</x:v>
      </x:c>
      <x:c r="N199" s="8" t="str">
        <x:v>ยังไม่ยืนยัน</x:v>
      </x:c>
      <x:c r="O19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199" s="40" t="n">
        <x:v>46315</x:v>
      </x:c>
      <x:c r="Q199" s="59" t="str">
        <x:v>ยังไม่ตรวจ</x:v>
      </x:c>
      <x:c r="R199" s="59" t="str">
        <x:v>รอติดต่อ</x:v>
      </x:c>
    </x:row>
    <x:row r="200" ht="84" customHeight="1">
      <x:c r="A200" s="2" t="str">
        <x:v>TMF-192</x:v>
      </x:c>
      <x:c r="B200" s="8" t="str">
        <x:v>wawa_cafe</x:v>
      </x:c>
      <x:c r="C200" s="8" t="str">
        <x:v>ยะลา</x:v>
      </x:c>
      <x:c r="D200" s="8" t="str">
        <x:v>อยู่ในชุด 600 ตามเส้นทาง</x:v>
      </x:c>
      <x:c r="E200" s="8" t="str">
        <x:v>พบชื่อสัมพันธ์หลายเว็บไซต์ รอยืนยันสาขา</x:v>
      </x:c>
      <x:c r="F200" s="8" t="str">
        <x:v>ยังไม่ยืนยันการเปิดให้บริการปัจจุบัน</x:v>
      </x:c>
      <x:c r="G200" s="58" t="n">
        <x:v>3</x:v>
      </x:c>
      <x:c r="H200" s="52" t="str"/>
      <x:c r="I200" s="52" t="str"/>
      <x:c r="J200" s="52" t="str">
        <x:v>https://www.wongnai.com/restaurants/2881938Sf-wawa-cafe</x:v>
      </x:c>
      <x:c r="K200" s="52" t="str"/>
      <x:c r="L200" s="52" t="str">
        <x:v>https://www.tripniceday.com/place/wawa-cafe%27</x:v>
      </x:c>
      <x:c r="M200" s="52" t="str">
        <x:v>https://www.wongnai.com/restaurants/2881938Sf-wawa-cafe</x:v>
      </x:c>
      <x:c r="N200" s="8" t="str">
        <x:v>ยังไม่ยืนยัน</x:v>
      </x:c>
      <x:c r="O20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00" s="40" t="n">
        <x:v>46316</x:v>
      </x:c>
      <x:c r="Q200" s="59" t="str">
        <x:v>ยังไม่ตรวจ</x:v>
      </x:c>
      <x:c r="R200" s="59" t="str">
        <x:v>รอติดต่อ</x:v>
      </x:c>
    </x:row>
    <x:row r="201" ht="84" customHeight="1">
      <x:c r="A201" s="2" t="str">
        <x:v>TMF-193</x:v>
      </x:c>
      <x:c r="B201" s="8" t="str">
        <x:v>ก๋วยเตี๋ยวประชาชื่น</x:v>
      </x:c>
      <x:c r="C201" s="8" t="str">
        <x:v>ยะลา</x:v>
      </x:c>
      <x:c r="D201" s="8" t="str">
        <x:v>สำรองหลังปรับตามเส้นทาง</x:v>
      </x:c>
      <x:c r="E201" s="8" t="str">
        <x:v>หลักฐานไม่พอ รอยืนยันการเปิด</x:v>
      </x:c>
      <x:c r="F201" s="8" t="str">
        <x:v>ยังไม่ยืนยันการเปิดให้บริการปัจจุบัน</x:v>
      </x:c>
      <x:c r="G201" s="58" t="n">
        <x:v>1</x:v>
      </x:c>
      <x:c r="H201" s="52"/>
      <x:c r="I201" s="52"/>
      <x:c r="J201" s="52"/>
      <x:c r="K201" s="52"/>
      <x:c r="L201" s="52"/>
      <x:c r="M201" s="52"/>
      <x:c r="N201" s="8" t="str">
        <x:v>ยังไม่ยืนยัน</x:v>
      </x:c>
      <x:c r="O20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1" s="40" t="n">
        <x:v>46315</x:v>
      </x:c>
      <x:c r="Q201" s="59" t="str">
        <x:v>ยังไม่ตรวจ</x:v>
      </x:c>
      <x:c r="R201" s="59" t="str">
        <x:v>รอติดต่อ</x:v>
      </x:c>
    </x:row>
    <x:row r="202" ht="84" customHeight="1">
      <x:c r="A202" s="2" t="str">
        <x:v>TMF-194</x:v>
      </x:c>
      <x:c r="B202" s="8" t="str">
        <x:v>ขนมไข่เต๋า เจ้าเก่า สูตรดั้งเดิม</x:v>
      </x:c>
      <x:c r="C202" s="8" t="str">
        <x:v>ยะลา</x:v>
      </x:c>
      <x:c r="D202" s="8" t="str">
        <x:v>สำรองหลังปรับตามเส้นทาง</x:v>
      </x:c>
      <x:c r="E202" s="8" t="str">
        <x:v>หลักฐานไม่พอ รอยืนยันการเปิด</x:v>
      </x:c>
      <x:c r="F202" s="8" t="str">
        <x:v>ยังไม่ยืนยันการเปิดให้บริการปัจจุบัน</x:v>
      </x:c>
      <x:c r="G202" s="58" t="n">
        <x:v>1</x:v>
      </x:c>
      <x:c r="H202" s="52"/>
      <x:c r="I202" s="52"/>
      <x:c r="J202" s="52"/>
      <x:c r="K202" s="52"/>
      <x:c r="L202" s="52"/>
      <x:c r="M202" s="52"/>
      <x:c r="N202" s="8" t="str">
        <x:v>ยังไม่ยืนยัน</x:v>
      </x:c>
      <x:c r="O20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2" s="40" t="n">
        <x:v>46315</x:v>
      </x:c>
      <x:c r="Q202" s="59" t="str">
        <x:v>ยังไม่ตรวจ</x:v>
      </x:c>
      <x:c r="R202" s="59" t="str">
        <x:v>รอติดต่อ</x:v>
      </x:c>
    </x:row>
    <x:row r="203" ht="84" customHeight="1">
      <x:c r="A203" s="2" t="str">
        <x:v>TMF-195</x:v>
      </x:c>
      <x:c r="B203" s="8" t="str">
        <x:v>ซาซ่า ยำแซ่บซี๊ด</x:v>
      </x:c>
      <x:c r="C203" s="8" t="str">
        <x:v>ยะลา</x:v>
      </x:c>
      <x:c r="D203" s="8" t="str">
        <x:v>สำรองหลังปรับตามเส้นทาง</x:v>
      </x:c>
      <x:c r="E203" s="8" t="str">
        <x:v>หลักฐานไม่พอ รอยืนยันการเปิด</x:v>
      </x:c>
      <x:c r="F203" s="8" t="str">
        <x:v>ยังไม่ยืนยันการเปิดให้บริการปัจจุบัน</x:v>
      </x:c>
      <x:c r="G203" s="58" t="n">
        <x:v>1</x:v>
      </x:c>
      <x:c r="H203" s="52"/>
      <x:c r="I203" s="52"/>
      <x:c r="J203" s="52"/>
      <x:c r="K203" s="52"/>
      <x:c r="L203" s="52"/>
      <x:c r="M203" s="52"/>
      <x:c r="N203" s="8" t="str">
        <x:v>ยังไม่ยืนยัน</x:v>
      </x:c>
      <x:c r="O20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3" s="40" t="n">
        <x:v>46315</x:v>
      </x:c>
      <x:c r="Q203" s="59" t="str">
        <x:v>ยังไม่ตรวจ</x:v>
      </x:c>
      <x:c r="R203" s="59" t="str">
        <x:v>รอติดต่อ</x:v>
      </x:c>
    </x:row>
    <x:row r="204" ht="84" customHeight="1">
      <x:c r="A204" s="2" t="str">
        <x:v>TMF-196</x:v>
      </x:c>
      <x:c r="B204" s="8" t="str">
        <x:v>ซูเฟียนโภชนา</x:v>
      </x:c>
      <x:c r="C204" s="8" t="str">
        <x:v>ยะลา</x:v>
      </x:c>
      <x:c r="D204" s="8" t="str">
        <x:v>อยู่ในชุด 600 ตามเส้นทาง</x:v>
      </x:c>
      <x:c r="E204" s="8" t="str">
        <x:v>พบชื่อสัมพันธ์หลายเว็บไซต์ รอยืนยันสาขา</x:v>
      </x:c>
      <x:c r="F204" s="8" t="str">
        <x:v>ยังไม่ยืนยันการเปิดให้บริการปัจจุบัน</x:v>
      </x:c>
      <x:c r="G204" s="58" t="n">
        <x:v>2</x:v>
      </x:c>
      <x:c r="H204" s="52" t="str"/>
      <x:c r="I204" s="52" t="str"/>
      <x:c r="J204" s="52" t="str">
        <x:v>https://www.wongnai.com/reviews/d0a2368ceffb483bbf84045f4fa98da0</x:v>
      </x:c>
      <x:c r="K204" s="52" t="str"/>
      <x:c r="L204" s="52" t="str">
        <x:v>https://makanhalalguide.com/shop/detail/5975</x:v>
      </x:c>
      <x:c r="M204" s="52" t="str">
        <x:v>https://www.wongnai.com/reviews/d0a2368ceffb483bbf84045f4fa98da0</x:v>
      </x:c>
      <x:c r="N204" s="8" t="str">
        <x:v>ยังไม่ยืนยัน</x:v>
      </x:c>
      <x:c r="O20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04" s="40" t="n">
        <x:v>46315</x:v>
      </x:c>
      <x:c r="Q204" s="59" t="str">
        <x:v>ยังไม่ตรวจ</x:v>
      </x:c>
      <x:c r="R204" s="59" t="str">
        <x:v>รอติดต่อ</x:v>
      </x:c>
    </x:row>
    <x:row r="205" ht="84" customHeight="1">
      <x:c r="A205" s="2" t="str">
        <x:v>TMF-197</x:v>
      </x:c>
      <x:c r="B205" s="8" t="str">
        <x:v>ดีเอ็นอาร์ ช็อป</x:v>
      </x:c>
      <x:c r="C205" s="8" t="str">
        <x:v>ยะลา</x:v>
      </x:c>
      <x:c r="D205" s="8" t="str">
        <x:v>สำรองหลังปรับตามเส้นทาง</x:v>
      </x:c>
      <x:c r="E205" s="8" t="str">
        <x:v>หลักฐานไม่พอ รอยืนยันการเปิด</x:v>
      </x:c>
      <x:c r="F205" s="8" t="str">
        <x:v>ยังไม่ยืนยันการเปิดให้บริการปัจจุบัน</x:v>
      </x:c>
      <x:c r="G205" s="58" t="n">
        <x:v>1</x:v>
      </x:c>
      <x:c r="H205" s="52"/>
      <x:c r="I205" s="52"/>
      <x:c r="J205" s="52"/>
      <x:c r="K205" s="52"/>
      <x:c r="L205" s="52"/>
      <x:c r="M205" s="52"/>
      <x:c r="N205" s="8" t="str">
        <x:v>ยังไม่ยืนยัน</x:v>
      </x:c>
      <x:c r="O20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5" s="40" t="n">
        <x:v>46315</x:v>
      </x:c>
      <x:c r="Q205" s="59" t="str">
        <x:v>ยังไม่ตรวจ</x:v>
      </x:c>
      <x:c r="R205" s="59" t="str">
        <x:v>รอติดต่อ</x:v>
      </x:c>
    </x:row>
    <x:row r="206" ht="84" customHeight="1">
      <x:c r="A206" s="2" t="str">
        <x:v>TMF-198</x:v>
      </x:c>
      <x:c r="B206" s="8" t="str">
        <x:v>ตะกงแกง</x:v>
      </x:c>
      <x:c r="C206" s="8" t="str">
        <x:v>ยะลา</x:v>
      </x:c>
      <x:c r="D206" s="8" t="str">
        <x:v>อยู่ในชุด 600 ตามเส้นทาง</x:v>
      </x:c>
      <x:c r="E206" s="8" t="str">
        <x:v>พบชื่อสัมพันธ์หลายเว็บไซต์ รอยืนยันสาขา</x:v>
      </x:c>
      <x:c r="F206" s="8" t="str">
        <x:v>ยังไม่ยืนยันการเปิดให้บริการปัจจุบัน</x:v>
      </x:c>
      <x:c r="G206" s="58" t="n">
        <x:v>2</x:v>
      </x:c>
      <x:c r="H206" s="52" t="str"/>
      <x:c r="I206" s="52" t="str"/>
      <x:c r="J206" s="52" t="str">
        <x:v>https://www.wongnai.com/restaurants/448029JW-%E0%B8%95%E0%B8%B0%E0%B8%81%E0%B8%87%E0%B9%81%E0%B8%81%E0%B8%87</x:v>
      </x:c>
      <x:c r="K206" s="52" t="str"/>
      <x:c r="L206" s="52" t="str">
        <x:v>https://makanhalalguide.com/shop/detail/5999</x:v>
      </x:c>
      <x:c r="M206" s="52" t="str">
        <x:v>https://www.wongnai.com/restaurants/448029JW-%E0%B8%95%E0%B8%B0%E0%B8%81%E0%B8%87%E0%B9%81%E0%B8%81%E0%B8%87</x:v>
      </x:c>
      <x:c r="N206" s="8" t="str">
        <x:v>ยังไม่ยืนยัน</x:v>
      </x:c>
      <x:c r="O20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06" s="40" t="n">
        <x:v>46315</x:v>
      </x:c>
      <x:c r="Q206" s="59" t="str">
        <x:v>ยังไม่ตรวจ</x:v>
      </x:c>
      <x:c r="R206" s="59" t="str">
        <x:v>รอติดต่อ</x:v>
      </x:c>
    </x:row>
    <x:row r="207" ht="84" customHeight="1">
      <x:c r="A207" s="2" t="str">
        <x:v>TMF-199</x:v>
      </x:c>
      <x:c r="B207" s="8" t="str">
        <x:v>น้ำปั่นอันดาลีฟ</x:v>
      </x:c>
      <x:c r="C207" s="8" t="str">
        <x:v>ยะลา</x:v>
      </x:c>
      <x:c r="D207" s="8" t="str">
        <x:v>สำรองหลังปรับตามเส้นทาง</x:v>
      </x:c>
      <x:c r="E207" s="8" t="str">
        <x:v>หลักฐานไม่พอ รอยืนยันการเปิด</x:v>
      </x:c>
      <x:c r="F207" s="8" t="str">
        <x:v>ยังไม่ยืนยันการเปิดให้บริการปัจจุบัน</x:v>
      </x:c>
      <x:c r="G207" s="58" t="n">
        <x:v>1</x:v>
      </x:c>
      <x:c r="H207" s="52"/>
      <x:c r="I207" s="52"/>
      <x:c r="J207" s="52"/>
      <x:c r="K207" s="52"/>
      <x:c r="L207" s="52"/>
      <x:c r="M207" s="52"/>
      <x:c r="N207" s="8" t="str">
        <x:v>ยังไม่ยืนยัน</x:v>
      </x:c>
      <x:c r="O20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7" s="40" t="n">
        <x:v>46315</x:v>
      </x:c>
      <x:c r="Q207" s="59" t="str">
        <x:v>ยังไม่ตรวจ</x:v>
      </x:c>
      <x:c r="R207" s="59" t="str">
        <x:v>รอติดต่อ</x:v>
      </x:c>
    </x:row>
    <x:row r="208" ht="84" customHeight="1">
      <x:c r="A208" s="2" t="str">
        <x:v>TMF-200</x:v>
      </x:c>
      <x:c r="B208" s="8" t="str">
        <x:v>น้ำแข็งใสตรอกซอยซุป</x:v>
      </x:c>
      <x:c r="C208" s="8" t="str">
        <x:v>ยะลา</x:v>
      </x:c>
      <x:c r="D208" s="8" t="str">
        <x:v>สำรองหลังปรับตามเส้นทาง</x:v>
      </x:c>
      <x:c r="E208" s="8" t="str">
        <x:v>หลักฐานไม่พอ รอยืนยันการเปิด</x:v>
      </x:c>
      <x:c r="F208" s="8" t="str">
        <x:v>ยังไม่ยืนยันการเปิดให้บริการปัจจุบัน</x:v>
      </x:c>
      <x:c r="G208" s="58" t="n">
        <x:v>1</x:v>
      </x:c>
      <x:c r="H208" s="52"/>
      <x:c r="I208" s="52"/>
      <x:c r="J208" s="52"/>
      <x:c r="K208" s="52"/>
      <x:c r="L208" s="52"/>
      <x:c r="M208" s="52"/>
      <x:c r="N208" s="8" t="str">
        <x:v>ยังไม่ยืนยัน</x:v>
      </x:c>
      <x:c r="O20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8" s="40" t="n">
        <x:v>46315</x:v>
      </x:c>
      <x:c r="Q208" s="59" t="str">
        <x:v>ยังไม่ตรวจ</x:v>
      </x:c>
      <x:c r="R208" s="59" t="str">
        <x:v>รอติดต่อ</x:v>
      </x:c>
    </x:row>
    <x:row r="209" ht="84" customHeight="1">
      <x:c r="A209" s="2" t="str">
        <x:v>TMF-201</x:v>
      </x:c>
      <x:c r="B209" s="8" t="str">
        <x:v>บังวีไก่ย่าง 5 บาท</x:v>
      </x:c>
      <x:c r="C209" s="8" t="str">
        <x:v>ยะลา</x:v>
      </x:c>
      <x:c r="D209" s="8" t="str">
        <x:v>สำรองหลังปรับตามเส้นทาง</x:v>
      </x:c>
      <x:c r="E209" s="8" t="str">
        <x:v>หลักฐานไม่พอ รอยืนยันการเปิด</x:v>
      </x:c>
      <x:c r="F209" s="8" t="str">
        <x:v>ยังไม่ยืนยันการเปิดให้บริการปัจจุบัน</x:v>
      </x:c>
      <x:c r="G209" s="58" t="n">
        <x:v>1</x:v>
      </x:c>
      <x:c r="H209" s="52"/>
      <x:c r="I209" s="52"/>
      <x:c r="J209" s="52"/>
      <x:c r="K209" s="52"/>
      <x:c r="L209" s="52"/>
      <x:c r="M209" s="52"/>
      <x:c r="N209" s="8" t="str">
        <x:v>ยังไม่ยืนยัน</x:v>
      </x:c>
      <x:c r="O20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09" s="40" t="n">
        <x:v>46315</x:v>
      </x:c>
      <x:c r="Q209" s="59" t="str">
        <x:v>ยังไม่ตรวจ</x:v>
      </x:c>
      <x:c r="R209" s="59" t="str">
        <x:v>รอติดต่อ</x:v>
      </x:c>
    </x:row>
    <x:row r="210" ht="84" customHeight="1">
      <x:c r="A210" s="2" t="str">
        <x:v>TMF-202</x:v>
      </x:c>
      <x:c r="B210" s="8" t="str">
        <x:v>ฟารีดาซูซิ</x:v>
      </x:c>
      <x:c r="C210" s="8" t="str">
        <x:v>ยะลา</x:v>
      </x:c>
      <x:c r="D210" s="8" t="str">
        <x:v>สำรองหลังปรับตามเส้นทาง</x:v>
      </x:c>
      <x:c r="E210" s="8" t="str">
        <x:v>หลักฐานไม่พอ รอยืนยันการเปิด</x:v>
      </x:c>
      <x:c r="F210" s="8" t="str">
        <x:v>ยังไม่ยืนยันการเปิดให้บริการปัจจุบัน</x:v>
      </x:c>
      <x:c r="G210" s="58" t="n">
        <x:v>1</x:v>
      </x:c>
      <x:c r="H210" s="52"/>
      <x:c r="I210" s="52"/>
      <x:c r="J210" s="52"/>
      <x:c r="K210" s="52"/>
      <x:c r="L210" s="52"/>
      <x:c r="M210" s="52"/>
      <x:c r="N210" s="8" t="str">
        <x:v>ยังไม่ยืนยัน</x:v>
      </x:c>
      <x:c r="O21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0" s="40" t="n">
        <x:v>46315</x:v>
      </x:c>
      <x:c r="Q210" s="59" t="str">
        <x:v>ยังไม่ตรวจ</x:v>
      </x:c>
      <x:c r="R210" s="59" t="str">
        <x:v>รอติดต่อ</x:v>
      </x:c>
    </x:row>
    <x:row r="211" ht="84" customHeight="1">
      <x:c r="A211" s="2" t="str">
        <x:v>TMF-203</x:v>
      </x:c>
      <x:c r="B211" s="8" t="str">
        <x:v>หมึกย่างน้ำจิ้มซีฟู้ด</x:v>
      </x:c>
      <x:c r="C211" s="8" t="str">
        <x:v>ยะลา</x:v>
      </x:c>
      <x:c r="D211" s="8" t="str">
        <x:v>สำรองหลังปรับตามเส้นทาง</x:v>
      </x:c>
      <x:c r="E211" s="8" t="str">
        <x:v>หลักฐานไม่พอ รอยืนยันการเปิด</x:v>
      </x:c>
      <x:c r="F211" s="8" t="str">
        <x:v>ยังไม่ยืนยันการเปิดให้บริการปัจจุบัน</x:v>
      </x:c>
      <x:c r="G211" s="58" t="n">
        <x:v>1</x:v>
      </x:c>
      <x:c r="H211" s="52"/>
      <x:c r="I211" s="52"/>
      <x:c r="J211" s="52"/>
      <x:c r="K211" s="52"/>
      <x:c r="L211" s="52"/>
      <x:c r="M211" s="52"/>
      <x:c r="N211" s="8" t="str">
        <x:v>ยังไม่ยืนยัน</x:v>
      </x:c>
      <x:c r="O21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1" s="40" t="n">
        <x:v>46315</x:v>
      </x:c>
      <x:c r="Q211" s="59" t="str">
        <x:v>ยังไม่ตรวจ</x:v>
      </x:c>
      <x:c r="R211" s="59" t="str">
        <x:v>รอติดต่อ</x:v>
      </x:c>
    </x:row>
    <x:row r="212" ht="84" customHeight="1">
      <x:c r="A212" s="2" t="str">
        <x:v>TMF-204</x:v>
      </x:c>
      <x:c r="B212" s="8" t="str">
        <x:v>โรตีนานา</x:v>
      </x:c>
      <x:c r="C212" s="8" t="str">
        <x:v>ยะลา</x:v>
      </x:c>
      <x:c r="D212" s="8" t="str">
        <x:v>สำรองหลังปรับตามเส้นทาง</x:v>
      </x:c>
      <x:c r="E212" s="8" t="str">
        <x:v>หลักฐานไม่พอ รอยืนยันการเปิด</x:v>
      </x:c>
      <x:c r="F212" s="8" t="str">
        <x:v>ยังไม่ยืนยันการเปิดให้บริการปัจจุบัน</x:v>
      </x:c>
      <x:c r="G212" s="58" t="n">
        <x:v>1</x:v>
      </x:c>
      <x:c r="H212" s="52"/>
      <x:c r="I212" s="52"/>
      <x:c r="J212" s="52"/>
      <x:c r="K212" s="52"/>
      <x:c r="L212" s="52"/>
      <x:c r="M212" s="52"/>
      <x:c r="N212" s="8" t="str">
        <x:v>ยังไม่ยืนยัน</x:v>
      </x:c>
      <x:c r="O21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2" s="40" t="n">
        <x:v>46315</x:v>
      </x:c>
      <x:c r="Q212" s="59" t="str">
        <x:v>ยังไม่ตรวจ</x:v>
      </x:c>
      <x:c r="R212" s="59" t="str">
        <x:v>รอติดต่อ</x:v>
      </x:c>
    </x:row>
    <x:row r="213" ht="84" customHeight="1">
      <x:c r="A213" s="2" t="str">
        <x:v>TMF-205</x:v>
      </x:c>
      <x:c r="B213" s="8" t="str">
        <x:v>BANG KEE BURGER</x:v>
      </x:c>
      <x:c r="C213" s="8" t="str">
        <x:v>ระยอง</x:v>
      </x:c>
      <x:c r="D213" s="8" t="str">
        <x:v>สำรองหลังปรับตามเส้นทาง</x:v>
      </x:c>
      <x:c r="E213" s="8" t="str">
        <x:v>หลักฐานไม่พอ รอยืนยันการเปิด</x:v>
      </x:c>
      <x:c r="F213" s="8" t="str">
        <x:v>ยังไม่ยืนยันการเปิดให้บริการปัจจุบัน</x:v>
      </x:c>
      <x:c r="G213" s="58" t="n">
        <x:v>1</x:v>
      </x:c>
      <x:c r="H213" s="52"/>
      <x:c r="I213" s="52"/>
      <x:c r="J213" s="52"/>
      <x:c r="K213" s="52"/>
      <x:c r="L213" s="52"/>
      <x:c r="M213" s="52"/>
      <x:c r="N213" s="8" t="str">
        <x:v>ยังไม่ยืนยัน</x:v>
      </x:c>
      <x:c r="O21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3" s="40" t="n">
        <x:v>46315</x:v>
      </x:c>
      <x:c r="Q213" s="59" t="str">
        <x:v>ยังไม่ตรวจ</x:v>
      </x:c>
      <x:c r="R213" s="59" t="str">
        <x:v>รอติดต่อ</x:v>
      </x:c>
    </x:row>
    <x:row r="214" ht="84" customHeight="1">
      <x:c r="A214" s="2" t="str">
        <x:v>TMF-206</x:v>
      </x:c>
      <x:c r="B214" s="8" t="str">
        <x:v>Hala Little Home Rayong</x:v>
      </x:c>
      <x:c r="C214" s="8" t="str">
        <x:v>ระยอง</x:v>
      </x:c>
      <x:c r="D214" s="8" t="str">
        <x:v>สำรองหลังปรับตามเส้นทาง</x:v>
      </x:c>
      <x:c r="E214" s="8" t="str">
        <x:v>หลักฐานไม่พอ รอยืนยันการเปิด</x:v>
      </x:c>
      <x:c r="F214" s="8" t="str">
        <x:v>ยังไม่ยืนยันการเปิดให้บริการปัจจุบัน</x:v>
      </x:c>
      <x:c r="G214" s="58" t="n">
        <x:v>1</x:v>
      </x:c>
      <x:c r="H214" s="52"/>
      <x:c r="I214" s="52"/>
      <x:c r="J214" s="52"/>
      <x:c r="K214" s="52"/>
      <x:c r="L214" s="52"/>
      <x:c r="M214" s="52"/>
      <x:c r="N214" s="8" t="str">
        <x:v>ยังไม่ยืนยัน</x:v>
      </x:c>
      <x:c r="O21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4" s="40" t="n">
        <x:v>46315</x:v>
      </x:c>
      <x:c r="Q214" s="59" t="str">
        <x:v>ยังไม่ตรวจ</x:v>
      </x:c>
      <x:c r="R214" s="59" t="str">
        <x:v>รอติดต่อ</x:v>
      </x:c>
    </x:row>
    <x:row r="215" ht="84" customHeight="1">
      <x:c r="A215" s="2" t="str">
        <x:v>TMF-207</x:v>
      </x:c>
      <x:c r="B215" s="8" t="str">
        <x:v>Zento Cafe &amp; Pool villa</x:v>
      </x:c>
      <x:c r="C215" s="8" t="str">
        <x:v>ระยอง</x:v>
      </x:c>
      <x:c r="D215" s="8" t="str">
        <x:v>อยู่ในชุด 600 ตามเส้นทาง</x:v>
      </x:c>
      <x:c r="E215" s="8" t="str">
        <x:v>พบชื่อสัมพันธ์หลายเว็บไซต์ รอยืนยันสาขา</x:v>
      </x:c>
      <x:c r="F215" s="8" t="str">
        <x:v>ยังไม่ยืนยันการเปิดให้บริการปัจจุบัน</x:v>
      </x:c>
      <x:c r="G215" s="58" t="n">
        <x:v>3</x:v>
      </x:c>
      <x:c r="H215" s="52" t="str"/>
      <x:c r="I215" s="52" t="str"/>
      <x:c r="J215" s="52" t="str">
        <x:v>https://www.lemon8-app.com/%40anpan_mn/7563126694253560337?region=th</x:v>
      </x:c>
      <x:c r="K215" s="52" t="str">
        <x:v>https://www.lemon8-app.com/%40g.gagik/7631984424946500103?region=th</x:v>
      </x:c>
      <x:c r="L215" s="52" t="str">
        <x:v>https://makanhalalguide.com/shop/detail/5961</x:v>
      </x:c>
      <x:c r="M215" s="52" t="str">
        <x:v>https://www.lemon8-app.com/%40anpan_mn/7563126694253560337?region=th</x:v>
      </x:c>
      <x:c r="N215" s="8" t="str">
        <x:v>ยังไม่ยืนยัน</x:v>
      </x:c>
      <x:c r="O21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15" s="40" t="n">
        <x:v>46315</x:v>
      </x:c>
      <x:c r="Q215" s="59" t="str">
        <x:v>ยังไม่ตรวจ</x:v>
      </x:c>
      <x:c r="R215" s="59" t="str">
        <x:v>รอติดต่อ</x:v>
      </x:c>
    </x:row>
    <x:row r="216" ht="84" customHeight="1">
      <x:c r="A216" s="2" t="str">
        <x:v>TMF-208</x:v>
      </x:c>
      <x:c r="B216" s="8" t="str">
        <x:v>จูนาฮาลาล</x:v>
      </x:c>
      <x:c r="C216" s="8" t="str">
        <x:v>ระยอง</x:v>
      </x:c>
      <x:c r="D216" s="8" t="str">
        <x:v>อยู่ในชุด 600 ตามเส้นทาง</x:v>
      </x:c>
      <x:c r="E216" s="8" t="str">
        <x:v>พบชื่อสัมพันธ์หลายเว็บไซต์ รอยืนยันสาขา</x:v>
      </x:c>
      <x:c r="F216" s="8" t="str">
        <x:v>ยังไม่ยืนยันการเปิดให้บริการปัจจุบัน</x:v>
      </x:c>
      <x:c r="G216" s="58" t="n">
        <x:v>2</x:v>
      </x:c>
      <x:c r="H216" s="52" t="str"/>
      <x:c r="I216" s="52" t="str"/>
      <x:c r="J216" s="52" t="str"/>
      <x:c r="K216" s="52" t="str"/>
      <x:c r="L216" s="52" t="str">
        <x:v>https://www.lemon8-app.com/%40nongnamnaaeat/7496465616056959505?region=th</x:v>
      </x:c>
      <x:c r="M216" s="52" t="str">
        <x:v>https://makanhalalguide.com/shop/detail/6126</x:v>
      </x:c>
      <x:c r="N216" s="8" t="str">
        <x:v>ยังไม่ยืนยัน</x:v>
      </x:c>
      <x:c r="O21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16" s="40" t="n">
        <x:v>46316</x:v>
      </x:c>
      <x:c r="Q216" s="59" t="str">
        <x:v>ยังไม่ตรวจ</x:v>
      </x:c>
      <x:c r="R216" s="59" t="str">
        <x:v>รอติดต่อ</x:v>
      </x:c>
    </x:row>
    <x:row r="217" ht="84" customHeight="1">
      <x:c r="A217" s="2" t="str">
        <x:v>TMF-209</x:v>
      </x:c>
      <x:c r="B217" s="8" t="str">
        <x:v>ตัสกีนข้าวมันไก่มุสลิม สูตรไหหลำ</x:v>
      </x:c>
      <x:c r="C217" s="8" t="str">
        <x:v>ระยอง</x:v>
      </x:c>
      <x:c r="D217" s="8" t="str">
        <x:v>อยู่ในชุด 600 ตามเส้นทาง</x:v>
      </x:c>
      <x:c r="E217" s="8" t="str">
        <x:v>พบชื่อสัมพันธ์หลายเว็บไซต์ รอยืนยันสาขา</x:v>
      </x:c>
      <x:c r="F217" s="8" t="str">
        <x:v>ยังไม่ยืนยันการเปิดให้บริการปัจจุบัน</x:v>
      </x:c>
      <x:c r="G217" s="58" t="n">
        <x:v>2</x:v>
      </x:c>
      <x:c r="H217" s="52" t="str"/>
      <x:c r="I217" s="52" t="str"/>
      <x:c r="J217" s="52" t="str">
        <x:v>https://www.lemon8-app.com/%40tumrakhongthankhun/7645099750262145543?region=th</x:v>
      </x:c>
      <x:c r="K217" s="52" t="str">
        <x:v>https://www.lemon8-app.com/%40tumrakhongthankhun/7665598163885097479?region=th</x:v>
      </x:c>
      <x:c r="L217" s="52" t="str">
        <x:v>https://makanhalalguide.com/shop/detail/6124</x:v>
      </x:c>
      <x:c r="M217" s="52" t="str">
        <x:v>https://www.lemon8-app.com/%40tumrakhongthankhun/7645099750262145543?region=th</x:v>
      </x:c>
      <x:c r="N217" s="8" t="str">
        <x:v>ยังไม่ยืนยัน</x:v>
      </x:c>
      <x:c r="O21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17" s="40" t="n">
        <x:v>46315</x:v>
      </x:c>
      <x:c r="Q217" s="59" t="str">
        <x:v>ยังไม่ตรวจ</x:v>
      </x:c>
      <x:c r="R217" s="59" t="str">
        <x:v>รอติดต่อ</x:v>
      </x:c>
    </x:row>
    <x:row r="218" ht="84" customHeight="1">
      <x:c r="A218" s="2" t="str">
        <x:v>TMF-210</x:v>
      </x:c>
      <x:c r="B218" s="8" t="str">
        <x:v>บังเล็กสะเต๊ะเนื้อ-สะเต๊ะไก่</x:v>
      </x:c>
      <x:c r="C218" s="8" t="str">
        <x:v>ระยอง</x:v>
      </x:c>
      <x:c r="D218" s="8" t="str">
        <x:v>สำรองหลังปรับตามเส้นทาง</x:v>
      </x:c>
      <x:c r="E218" s="8" t="str">
        <x:v>หลักฐานไม่พอ รอยืนยันการเปิด</x:v>
      </x:c>
      <x:c r="F218" s="8" t="str">
        <x:v>ยังไม่ยืนยันการเปิดให้บริการปัจจุบัน</x:v>
      </x:c>
      <x:c r="G218" s="58" t="n">
        <x:v>1</x:v>
      </x:c>
      <x:c r="H218" s="52"/>
      <x:c r="I218" s="52"/>
      <x:c r="J218" s="52"/>
      <x:c r="K218" s="52"/>
      <x:c r="L218" s="52"/>
      <x:c r="M218" s="52"/>
      <x:c r="N218" s="8" t="str">
        <x:v>ยังไม่ยืนยัน</x:v>
      </x:c>
      <x:c r="O21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8" s="40" t="n">
        <x:v>46315</x:v>
      </x:c>
      <x:c r="Q218" s="59" t="str">
        <x:v>ยังไม่ตรวจ</x:v>
      </x:c>
      <x:c r="R218" s="59" t="str">
        <x:v>รอติดต่อ</x:v>
      </x:c>
    </x:row>
    <x:row r="219" ht="84" customHeight="1">
      <x:c r="A219" s="2" t="str">
        <x:v>TMF-211</x:v>
      </x:c>
      <x:c r="B219" s="8" t="str">
        <x:v>ไลลา คอฟฟี่</x:v>
      </x:c>
      <x:c r="C219" s="8" t="str">
        <x:v>ระยอง</x:v>
      </x:c>
      <x:c r="D219" s="8" t="str">
        <x:v>สำรองหลังปรับตามเส้นทาง</x:v>
      </x:c>
      <x:c r="E219" s="8" t="str">
        <x:v>หลักฐานไม่พอ รอยืนยันการเปิด</x:v>
      </x:c>
      <x:c r="F219" s="8" t="str">
        <x:v>ยังไม่ยืนยันการเปิดให้บริการปัจจุบัน</x:v>
      </x:c>
      <x:c r="G219" s="58" t="n">
        <x:v>1</x:v>
      </x:c>
      <x:c r="H219" s="52"/>
      <x:c r="I219" s="52"/>
      <x:c r="J219" s="52"/>
      <x:c r="K219" s="52"/>
      <x:c r="L219" s="52"/>
      <x:c r="M219" s="52"/>
      <x:c r="N219" s="8" t="str">
        <x:v>ยังไม่ยืนยัน</x:v>
      </x:c>
      <x:c r="O21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19" s="40" t="n">
        <x:v>46315</x:v>
      </x:c>
      <x:c r="Q219" s="59" t="str">
        <x:v>ยังไม่ตรวจ</x:v>
      </x:c>
      <x:c r="R219" s="59" t="str">
        <x:v>รอติดต่อ</x:v>
      </x:c>
    </x:row>
    <x:row r="220" ht="84" customHeight="1">
      <x:c r="A220" s="2" t="str">
        <x:v>TMF-212</x:v>
      </x:c>
      <x:c r="B220" s="8" t="str">
        <x:v>ไอดม ไอแดด คาเฟ่ X ระยอง</x:v>
      </x:c>
      <x:c r="C220" s="8" t="str">
        <x:v>ระยอง</x:v>
      </x:c>
      <x:c r="D220" s="8" t="str">
        <x:v>สำรองหลังปรับตามเส้นทาง</x:v>
      </x:c>
      <x:c r="E220" s="8" t="str">
        <x:v>หลักฐานไม่พอ รอยืนยันการเปิด</x:v>
      </x:c>
      <x:c r="F220" s="8" t="str">
        <x:v>ยังไม่ยืนยันการเปิดให้บริการปัจจุบัน</x:v>
      </x:c>
      <x:c r="G220" s="58" t="n">
        <x:v>1</x:v>
      </x:c>
      <x:c r="H220" s="52"/>
      <x:c r="I220" s="52"/>
      <x:c r="J220" s="52"/>
      <x:c r="K220" s="52"/>
      <x:c r="L220" s="52"/>
      <x:c r="M220" s="52"/>
      <x:c r="N220" s="8" t="str">
        <x:v>ยังไม่ยืนยัน</x:v>
      </x:c>
      <x:c r="O22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20" s="40" t="n">
        <x:v>46315</x:v>
      </x:c>
      <x:c r="Q220" s="59" t="str">
        <x:v>ยังไม่ตรวจ</x:v>
      </x:c>
      <x:c r="R220" s="59" t="str">
        <x:v>รอติดต่อ</x:v>
      </x:c>
    </x:row>
    <x:row r="221" ht="84" customHeight="1">
      <x:c r="A221" s="2" t="str">
        <x:v>TMF-213</x:v>
      </x:c>
      <x:c r="B221" s="8" t="str">
        <x:v>TRAVELLER'S CAFE+BISTRO มุมพักนักเดินทาง</x:v>
      </x:c>
      <x:c r="C221" s="8" t="str">
        <x:v>ลพบุรี</x:v>
      </x:c>
      <x:c r="D221" s="8" t="str">
        <x:v>สำรองหลังปรับตามเส้นทาง</x:v>
      </x:c>
      <x:c r="E221" s="8" t="str">
        <x:v>พบหลายแหล่งสัมพันธ์กับชื่อ รอยืนยันการเปิด</x:v>
      </x:c>
      <x:c r="F221" s="8" t="str">
        <x:v>ยังไม่ยืนยันการเปิดให้บริการปัจจุบัน</x:v>
      </x:c>
      <x:c r="G221" s="58" t="n">
        <x:v>4</x:v>
      </x:c>
      <x:c r="H221" s="52"/>
      <x:c r="I221" s="52"/>
      <x:c r="J221" s="52" t="str">
        <x:v>HYPERLINK is not implemented. linkLocation=https://restaurantguru.com/Travellers-CafeBistro-%E0%B8%A1%E0%B8%B8%E0%B8%A1%E0%B8%9E%E0%B8%B1%E0%B8%81%E0%B8%99%E0%B8%B1%E0%B8%81%E0%B9%80%E0%B8%94%E0%B8%B4%E0%B8%99%E0%B8%97%E0%B8%B2%E0%B8%87-Phatthana-Nikhom, friendlyName=เปิดหน้ารีวิว 1</x:v>
      </x:c>
      <x:c r="K221" s="52" t="str">
        <x:v>HYPERLINK is not implemented. linkLocation=https://www.lemon8-app.com/%40mewnida.88/7671993853049602580?region=th, friendlyName=เปิดหน้ารีวิว 2</x:v>
      </x:c>
      <x:c r="L221" s="52" t="str">
        <x:v>HYPERLINK is not implemented. linkLocation=https://www.toptotravelvariety.com/2024/08/travellers-cafe-bistro.html, friendlyName=เปิดเว็บเพิ่ม 1</x:v>
      </x:c>
      <x:c r="M221" s="52"/>
      <x:c r="N221" s="8" t="str">
        <x:v>ยังไม่ยืนยัน</x:v>
      </x:c>
      <x:c r="O22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21" s="40" t="n">
        <x:v>46315</x:v>
      </x:c>
      <x:c r="Q221" s="59" t="str">
        <x:v>ยังไม่ตรวจ</x:v>
      </x:c>
      <x:c r="R221" s="59" t="str">
        <x:v>รอติดต่อ</x:v>
      </x:c>
    </x:row>
    <x:row r="222" ht="84" customHeight="1">
      <x:c r="A222" s="2" t="str">
        <x:v>TMF-214</x:v>
      </x:c>
      <x:c r="B222" s="8" t="str">
        <x:v>Alfahad Hotel</x:v>
      </x:c>
      <x:c r="C222" s="8" t="str">
        <x:v>สงขลา</x:v>
      </x:c>
      <x:c r="D222" s="8" t="str">
        <x:v>อยู่ในชุด 600 ตามเส้นทาง</x:v>
      </x:c>
      <x:c r="E222" s="8" t="str">
        <x:v>พบชื่อสัมพันธ์หลายเว็บไซต์ รอยืนยันสาขา</x:v>
      </x:c>
      <x:c r="F222" s="8" t="str">
        <x:v>ยังไม่ยืนยันการเปิดให้บริการปัจจุบัน</x:v>
      </x:c>
      <x:c r="G222" s="58" t="n">
        <x:v>7</x:v>
      </x:c>
      <x:c r="H222" s="52" t="str"/>
      <x:c r="I222" s="52" t="str"/>
      <x:c r="J222" s="52" t="str">
        <x:v>https://in.trip.com/hotels/hat-yai-hotel-detail-46125423/alfahad-hotel/review.html</x:v>
      </x:c>
      <x:c r="K222" s="52" t="str">
        <x:v>https://www.trip.com/hotels/khuan-lang-hotel-detail-46125423/alfahad-hotel/review.html</x:v>
      </x:c>
      <x:c r="L222" s="52" t="str">
        <x:v>https://makanhalalguide.com/shop/detail/5397</x:v>
      </x:c>
      <x:c r="M222" s="52" t="str">
        <x:v>https://in.trip.com/hotels/hat-yai-hotel-detail-46125423/alfahad-hotel/review.html</x:v>
      </x:c>
      <x:c r="N222" s="8" t="str">
        <x:v>ยังไม่ยืนยัน</x:v>
      </x:c>
      <x:c r="O22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2" s="40" t="n">
        <x:v>46315</x:v>
      </x:c>
      <x:c r="Q222" s="59" t="str">
        <x:v>ยังไม่ตรวจ</x:v>
      </x:c>
      <x:c r="R222" s="59" t="str">
        <x:v>รอติดต่อ</x:v>
      </x:c>
    </x:row>
    <x:row r="223" ht="84" customHeight="1">
      <x:c r="A223" s="2" t="str">
        <x:v>TMF-215</x:v>
      </x:c>
      <x:c r="B223" s="8" t="str">
        <x:v>โรงแรมญันนะตีย์</x:v>
      </x:c>
      <x:c r="C223" s="8" t="str">
        <x:v>สงขลา</x:v>
      </x:c>
      <x:c r="D223" s="8" t="str">
        <x:v>อยู่ในชุด 600 ตามเส้นทาง</x:v>
      </x:c>
      <x:c r="E223" s="8" t="str">
        <x:v>พบชื่อสัมพันธ์หลายเว็บไซต์ รอยืนยันสาขา</x:v>
      </x:c>
      <x:c r="F223" s="8" t="str">
        <x:v>ยังไม่ยืนยันการเปิดให้บริการปัจจุบัน</x:v>
      </x:c>
      <x:c r="G223" s="58" t="n">
        <x:v>8</x:v>
      </x:c>
      <x:c r="H223" s="52" t="str"/>
      <x:c r="I223" s="52" t="str"/>
      <x:c r="J223" s="52" t="str">
        <x:v>https://www.google.co.th/travel/hotels/entity/ChkIxbmqhYqO3usVGg0vZy8xMWgwa3Qya215EAE?rp=OAHCAhwiGg0AAAxCEhMInrfmlbeplgMVrz2tBh0i0xKB&amp;ts=CAEaIAoCGgASGhIUCgcI6g8QCRgHEgcI6g8QCRgIGAEyAhAAKgkKBToDVVNEGgA</x:v>
      </x:c>
      <x:c r="K223" s="52" t="str">
        <x:v>https://www.google.co.th/travel/hotels/entity/ChkIxbmqhYqO3usVGg0vZy8xMWgwa3Qya215EAE?rp=OAHCAhciFRITCK6qkqnyk5YDFVX1SwMd2w45Aw&amp;ts=CAESCgoCCAMKAggDEAAaIAoCGgASGhIUCgcI6g8QChgbEgcI6g8QChgeGAMyAhAAKgkKBToDVVNEGgA</x:v>
      </x:c>
      <x:c r="L223" s="52" t="str">
        <x:v>https://makanhalalguide.com/shop/detail/5396</x:v>
      </x:c>
      <x:c r="M223" s="52" t="str">
        <x:v>https://www.google.co.th/travel/hotels/entity/ChkIxbmqhYqO3usVGg0vZy8xMWgwa3Qya215EAE?rp=OAHCAhwiGg0AAAxCEhMInrfmlbeplgMVrz2tBh0i0xKB&amp;ts=CAEaIAoCGgASGhIUCgcI6g8QCRgHEgcI6g8QCRgIGAEyAhAAKgkKBToDVVNEGgA</x:v>
      </x:c>
      <x:c r="N223" s="8" t="str">
        <x:v>ยังไม่ยืนยัน</x:v>
      </x:c>
      <x:c r="O22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3" s="40" t="n">
        <x:v>46315</x:v>
      </x:c>
      <x:c r="Q223" s="59" t="str">
        <x:v>ยังไม่ตรวจ</x:v>
      </x:c>
      <x:c r="R223" s="59" t="str">
        <x:v>รอติดต่อ</x:v>
      </x:c>
    </x:row>
    <x:row r="224" ht="84" customHeight="1">
      <x:c r="A224" s="2" t="str">
        <x:v>TMF-216</x:v>
      </x:c>
      <x:c r="B224" s="8" t="str">
        <x:v>Eat time อีทไทม์ - Halal food</x:v>
      </x:c>
      <x:c r="C224" s="8" t="str">
        <x:v>สงขลา</x:v>
      </x:c>
      <x:c r="D224" s="8" t="str">
        <x:v>อยู่ในชุด 600 ตามเส้นทาง</x:v>
      </x:c>
      <x:c r="E224" s="8" t="str">
        <x:v>พบชื่อสัมพันธ์หลายเว็บไซต์ รอยืนยันสาขา</x:v>
      </x:c>
      <x:c r="F224" s="8" t="str">
        <x:v>ยังไม่ยืนยันการเปิดให้บริการปัจจุบัน</x:v>
      </x:c>
      <x:c r="G224" s="58" t="n">
        <x:v>3</x:v>
      </x:c>
      <x:c r="H224" s="52" t="str"/>
      <x:c r="I224" s="52" t="str"/>
      <x:c r="J224" s="52" t="str">
        <x:v>https://www.wongnai.com/restaurants/3060019WK-eat-time-halal-food-1</x:v>
      </x:c>
      <x:c r="K224" s="52" t="str"/>
      <x:c r="L224" s="52" t="str">
        <x:v>https://makanhalalguide.com/shop/detail/5423</x:v>
      </x:c>
      <x:c r="M224" s="52" t="str">
        <x:v>https://www.wongnai.com/restaurants/3060019WK-eat-time-halal-food-1</x:v>
      </x:c>
      <x:c r="N224" s="8" t="str">
        <x:v>ยังไม่ยืนยัน</x:v>
      </x:c>
      <x:c r="O22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4" s="40" t="n">
        <x:v>46315</x:v>
      </x:c>
      <x:c r="Q224" s="59" t="str">
        <x:v>ยังไม่ตรวจ</x:v>
      </x:c>
      <x:c r="R224" s="59" t="str">
        <x:v>รอติดต่อ</x:v>
      </x:c>
    </x:row>
    <x:row r="225" ht="84" customHeight="1">
      <x:c r="A225" s="2" t="str">
        <x:v>TMF-217</x:v>
      </x:c>
      <x:c r="B225" s="8" t="str">
        <x:v>Ozone ลวกเส้นตำแซ่บหาดใหญ่</x:v>
      </x:c>
      <x:c r="C225" s="8" t="str">
        <x:v>สงขลา</x:v>
      </x:c>
      <x:c r="D225" s="8" t="str">
        <x:v>อยู่ในชุด 600 ตามเส้นทาง</x:v>
      </x:c>
      <x:c r="E225" s="8" t="str">
        <x:v>พบชื่อสัมพันธ์หลายเว็บไซต์ รอยืนยันสาขา</x:v>
      </x:c>
      <x:c r="F225" s="8" t="str">
        <x:v>ยังไม่ยืนยันการเปิดให้บริการปัจจุบัน</x:v>
      </x:c>
      <x:c r="G225" s="58" t="n">
        <x:v>3</x:v>
      </x:c>
      <x:c r="H225" s="52" t="str"/>
      <x:c r="I225" s="52" t="str"/>
      <x:c r="J225" s="52" t="str"/>
      <x:c r="K225" s="52" t="str"/>
      <x:c r="L225" s="52" t="str">
        <x:v>https://makanhalalguide.com/shop/detail/5951</x:v>
      </x:c>
      <x:c r="M225" s="52" t="str">
        <x:v>https://www.ryoiireview.com/article/food-hatyai-thailand/</x:v>
      </x:c>
      <x:c r="N225" s="8" t="str">
        <x:v>ยังไม่ยืนยัน</x:v>
      </x:c>
      <x:c r="O22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5" s="40" t="n">
        <x:v>46315</x:v>
      </x:c>
      <x:c r="Q225" s="59" t="str">
        <x:v>ยังไม่ตรวจ</x:v>
      </x:c>
      <x:c r="R225" s="59" t="str">
        <x:v>รอติดต่อ</x:v>
      </x:c>
    </x:row>
    <x:row r="226" ht="84" customHeight="1">
      <x:c r="A226" s="2" t="str">
        <x:v>TMF-218</x:v>
      </x:c>
      <x:c r="B226" s="8" t="str">
        <x:v>เดอบัง สเต็ก - De' Bung สาขา ถนนเพชรเกษม หาดใหญ่ใน</x:v>
      </x:c>
      <x:c r="C226" s="8" t="str">
        <x:v>สงขลา</x:v>
      </x:c>
      <x:c r="D226" s="8" t="str">
        <x:v>อยู่ในชุด 600 ตามเส้นทาง</x:v>
      </x:c>
      <x:c r="E226" s="8" t="str">
        <x:v>พบชื่อสัมพันธ์หลายเว็บไซต์ รอยืนยันสาขา</x:v>
      </x:c>
      <x:c r="F226" s="8" t="str">
        <x:v>ยังไม่ยืนยันการเปิดให้บริการปัจจุบัน</x:v>
      </x:c>
      <x:c r="G226" s="58" t="n">
        <x:v>2</x:v>
      </x:c>
      <x:c r="H226" s="52" t="str"/>
      <x:c r="I226" s="52" t="str"/>
      <x:c r="J226" s="52" t="str"/>
      <x:c r="K226" s="52" t="str"/>
      <x:c r="L226" s="52" t="str">
        <x:v>https://makanhalalguide.com/shop/detail/4955</x:v>
      </x:c>
      <x:c r="M226" s="52" t="str">
        <x:v>https://www.hatyaifocus.com/forums-detail/3463/</x:v>
      </x:c>
      <x:c r="N226" s="8" t="str">
        <x:v>ยังไม่ยืนยัน</x:v>
      </x:c>
      <x:c r="O22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6" s="40" t="n">
        <x:v>46315</x:v>
      </x:c>
      <x:c r="Q226" s="59" t="str">
        <x:v>ยังไม่ตรวจ</x:v>
      </x:c>
      <x:c r="R226" s="59" t="str">
        <x:v>รอติดต่อ</x:v>
      </x:c>
    </x:row>
    <x:row r="227" ht="84" customHeight="1">
      <x:c r="A227" s="2" t="str">
        <x:v>TMF-219</x:v>
      </x:c>
      <x:c r="B227" s="8" t="str">
        <x:v>วังรายา คาเฟ่</x:v>
      </x:c>
      <x:c r="C227" s="8" t="str">
        <x:v>สตูล</x:v>
      </x:c>
      <x:c r="D227" s="8" t="str">
        <x:v>อยู่ในชุด 600 ตามเส้นทาง</x:v>
      </x:c>
      <x:c r="E227" s="8" t="str">
        <x:v>พบชื่อสัมพันธ์หลายเว็บไซต์ รอยืนยันสาขา</x:v>
      </x:c>
      <x:c r="F227" s="8" t="str">
        <x:v>ยังไม่ยืนยันการเปิดให้บริการปัจจุบัน</x:v>
      </x:c>
      <x:c r="G227" s="58" t="n">
        <x:v>2</x:v>
      </x:c>
      <x:c r="H227" s="52" t="str"/>
      <x:c r="I227" s="52" t="str"/>
      <x:c r="J227" s="52" t="str">
        <x:v>https://www.wongnai.com/restaurants/2640326eD-%E0%B8%A7%E0%B8%B1%E0%B8%87%E0%B8%A3%E0%B8%B2%E0%B8%A2%E0%B8%B2-%E0%B8%84%E0%B8%B2%E0%B9%80%E0%B8%9F%E0%B9%88</x:v>
      </x:c>
      <x:c r="K227" s="52" t="str"/>
      <x:c r="L227" s="52" t="str">
        <x:v>https://makanhalalguide.com/shop/detail/5346</x:v>
      </x:c>
      <x:c r="M227" s="52" t="str">
        <x:v>https://www.wongnai.com/restaurants/2640326eD-%E0%B8%A7%E0%B8%B1%E0%B8%87%E0%B8%A3%E0%B8%B2%E0%B8%A2%E0%B8%B2-%E0%B8%84%E0%B8%B2%E0%B9%80%E0%B8%9F%E0%B9%88</x:v>
      </x:c>
      <x:c r="N227" s="8" t="str">
        <x:v>ยังไม่ยืนยัน</x:v>
      </x:c>
      <x:c r="O22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7" s="40" t="n">
        <x:v>46315</x:v>
      </x:c>
      <x:c r="Q227" s="59" t="str">
        <x:v>ยังไม่ตรวจ</x:v>
      </x:c>
      <x:c r="R227" s="59" t="str">
        <x:v>รอติดต่อ</x:v>
      </x:c>
    </x:row>
    <x:row r="228" ht="84" customHeight="1">
      <x:c r="A228" s="2" t="str">
        <x:v>TMF-220</x:v>
      </x:c>
      <x:c r="B228" s="8" t="str">
        <x:v>เริน coffee beef plant</x:v>
      </x:c>
      <x:c r="C228" s="8" t="str">
        <x:v>สตูล</x:v>
      </x:c>
      <x:c r="D228" s="8" t="str">
        <x:v>อยู่ในชุด 600 ตามเส้นทาง</x:v>
      </x:c>
      <x:c r="E228" s="8" t="str">
        <x:v>พบชื่อสัมพันธ์หลายเว็บไซต์ รอยืนยันสาขา</x:v>
      </x:c>
      <x:c r="F228" s="8" t="str">
        <x:v>ยังไม่ยืนยันการเปิดให้บริการปัจจุบัน</x:v>
      </x:c>
      <x:c r="G228" s="58" t="n">
        <x:v>3</x:v>
      </x:c>
      <x:c r="H228" s="52" t="str"/>
      <x:c r="I228" s="52" t="str"/>
      <x:c r="J228" s="52" t="str">
        <x:v>https://www.wongnai.com/restaurants/429467oj-%E0%B9%80%E0%B8%A3%E0%B8%B4%E0%B8%99-coffee-beef-plant-%E0%B8%8B%E0%B8%AD%E0%B8%A2%E0%B8%97%E0%B9%88%E0%B8%B2%E0%B8%A1%E0%B8%B2%E0%B8%A5%E0%B8%B1%E0%B8%A2</x:v>
      </x:c>
      <x:c r="K228" s="52" t="str">
        <x:v>https://au.trip.com/moments/detail/la-ngu-1447216-139654370/</x:v>
      </x:c>
      <x:c r="L228" s="52" t="str">
        <x:v>https://makanhalalguide.com/shop/detail/5640</x:v>
      </x:c>
      <x:c r="M228" s="52" t="str">
        <x:v>https://www.wongnai.com/restaurants/429467oj-%E0%B9%80%E0%B8%A3%E0%B8%B4%E0%B8%99-coffee-beef-plant-%E0%B8%8B%E0%B8%AD%E0%B8%A2%E0%B8%97%E0%B9%88%E0%B8%B2%E0%B8%A1%E0%B8%B2%E0%B8%A5%E0%B8%B1%E0%B8%A2</x:v>
      </x:c>
      <x:c r="N228" s="8" t="str">
        <x:v>ยังไม่ยืนยัน</x:v>
      </x:c>
      <x:c r="O22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8" s="40" t="n">
        <x:v>46315</x:v>
      </x:c>
      <x:c r="Q228" s="59" t="str">
        <x:v>ยังไม่ตรวจ</x:v>
      </x:c>
      <x:c r="R228" s="59" t="str">
        <x:v>รอติดต่อ</x:v>
      </x:c>
    </x:row>
    <x:row r="229" ht="84" customHeight="1">
      <x:c r="A229" s="2" t="str">
        <x:v>TMF-221</x:v>
      </x:c>
      <x:c r="B229" s="8" t="str">
        <x:v>แอ่นแอ้นคาเฟ่</x:v>
      </x:c>
      <x:c r="C229" s="8" t="str">
        <x:v>สตูล</x:v>
      </x:c>
      <x:c r="D229" s="8" t="str">
        <x:v>อยู่ในชุด 600 ตามเส้นทาง</x:v>
      </x:c>
      <x:c r="E229" s="8" t="str">
        <x:v>พบชื่อสัมพันธ์หลายเว็บไซต์ รอยืนยันสาขา</x:v>
      </x:c>
      <x:c r="F229" s="8" t="str">
        <x:v>ยังไม่ยืนยันการเปิดให้บริการปัจจุบัน</x:v>
      </x:c>
      <x:c r="G229" s="58" t="n">
        <x:v>2</x:v>
      </x:c>
      <x:c r="H229" s="52" t="str"/>
      <x:c r="I229" s="52" t="str"/>
      <x:c r="J229" s="52" t="str"/>
      <x:c r="K229" s="52" t="str"/>
      <x:c r="L229" s="52" t="str">
        <x:v>https://makanhalalguide.com/shop/detail/5168</x:v>
      </x:c>
      <x:c r="M229" s="52" t="str">
        <x:v>https://www.tatstar.org/company/STAR-A00177</x:v>
      </x:c>
      <x:c r="N229" s="8" t="str">
        <x:v>ยังไม่ยืนยัน</x:v>
      </x:c>
      <x:c r="O22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29" s="40" t="n">
        <x:v>46315</x:v>
      </x:c>
      <x:c r="Q229" s="59" t="str">
        <x:v>ยังไม่ตรวจ</x:v>
      </x:c>
      <x:c r="R229" s="59" t="str">
        <x:v>รอติดต่อ</x:v>
      </x:c>
    </x:row>
    <x:row r="230" ht="84" customHeight="1">
      <x:c r="A230" s="2" t="str">
        <x:v>TMF-222</x:v>
      </x:c>
      <x:c r="B230" s="8" t="str">
        <x:v>ไมอามี่ ซีวิว</x:v>
      </x:c>
      <x:c r="C230" s="8" t="str">
        <x:v>สตูล</x:v>
      </x:c>
      <x:c r="D230" s="8" t="str">
        <x:v>อยู่ในชุด 600 ตามเส้นทาง</x:v>
      </x:c>
      <x:c r="E230" s="8" t="str">
        <x:v>พบชื่อสัมพันธ์หลายเว็บไซต์ รอยืนยันสาขา</x:v>
      </x:c>
      <x:c r="F230" s="8" t="str">
        <x:v>ยังไม่ยืนยันการเปิดให้บริการปัจจุบัน</x:v>
      </x:c>
      <x:c r="G230" s="58" t="n">
        <x:v>5</x:v>
      </x:c>
      <x:c r="H230" s="52" t="str"/>
      <x:c r="I230" s="52" t="str"/>
      <x:c r="J230" s="52" t="str">
        <x:v>https://www.lemon8-app.com/%40after.wedding.journey/7669034679094100500?region=th</x:v>
      </x:c>
      <x:c r="K230" s="52" t="str"/>
      <x:c r="L230" s="52" t="str">
        <x:v>https://makanhalalguide.com/shop/detail/5159</x:v>
      </x:c>
      <x:c r="M230" s="52" t="str">
        <x:v>https://www.lemon8-app.com/%40after.wedding.journey/7669034679094100500?region=th</x:v>
      </x:c>
      <x:c r="N230" s="8" t="str">
        <x:v>ยังไม่ยืนยัน</x:v>
      </x:c>
      <x:c r="O230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230" s="40" t="n">
        <x:v>46315</x:v>
      </x:c>
      <x:c r="Q230" s="59" t="str">
        <x:v>ยังไม่ตรวจ</x:v>
      </x:c>
      <x:c r="R230" s="59" t="str">
        <x:v>รอติดต่อ</x:v>
      </x:c>
    </x:row>
    <x:row r="231" ht="84" customHeight="1">
      <x:c r="A231" s="2" t="str">
        <x:v>TMF-223</x:v>
      </x:c>
      <x:c r="B231" s="8" t="str">
        <x:v>ส้มตำบางกะสี</x:v>
      </x:c>
      <x:c r="C231" s="8" t="str">
        <x:v>สมุทรปราการ</x:v>
      </x:c>
      <x:c r="D231" s="8" t="str">
        <x:v>อยู่ในชุด 600 ตามเส้นทาง</x:v>
      </x:c>
      <x:c r="E231" s="8" t="str">
        <x:v>พบชื่อสัมพันธ์หลายเว็บไซต์ รอยืนยันสาขา</x:v>
      </x:c>
      <x:c r="F231" s="8" t="str">
        <x:v>ยังไม่ยืนยันการเปิดให้บริการปัจจุบัน</x:v>
      </x:c>
      <x:c r="G231" s="58" t="n">
        <x:v>4</x:v>
      </x:c>
      <x:c r="H231" s="52" t="str"/>
      <x:c r="I231" s="52" t="str"/>
      <x:c r="J231" s="52" t="str">
        <x:v>https://www.wongnai.com/restaurants/511261IA-%E0%B8%AA%E0%B9%89%E0%B8%A1%E0%B8%95%E0%B8%B3%E0%B8%9A%E0%B8%B2%E0%B8%87%E0%B8%81%E0%B8%B0%E0%B8%AA%E0%B8%B5</x:v>
      </x:c>
      <x:c r="K231" s="52" t="str"/>
      <x:c r="L231" s="52" t="str">
        <x:v>https://makanhalalguide.com/shop/detail/4822</x:v>
      </x:c>
      <x:c r="M231" s="52" t="str">
        <x:v>https://www.wongnai.com/restaurants/511261IA-%E0%B8%AA%E0%B9%89%E0%B8%A1%E0%B8%95%E0%B8%B3%E0%B8%9A%E0%B8%B2%E0%B8%87%E0%B8%81%E0%B8%B0%E0%B8%AA%E0%B8%B5</x:v>
      </x:c>
      <x:c r="N231" s="8" t="str">
        <x:v>ยังไม่ยืนยัน</x:v>
      </x:c>
      <x:c r="O23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31" s="40" t="n">
        <x:v>46315</x:v>
      </x:c>
      <x:c r="Q231" s="59" t="str">
        <x:v>ยังไม่ตรวจ</x:v>
      </x:c>
      <x:c r="R231" s="59" t="str">
        <x:v>รอติดต่อ</x:v>
      </x:c>
    </x:row>
    <x:row r="232" ht="84" customHeight="1">
      <x:c r="A232" s="2" t="str">
        <x:v>TMF-224</x:v>
      </x:c>
      <x:c r="B232" s="8" t="str">
        <x:v>แมนดาริน สุกี้&amp;ติ่มซำ สาขา เมกาบางนา</x:v>
      </x:c>
      <x:c r="C232" s="8" t="str">
        <x:v>สมุทรปราการ</x:v>
      </x:c>
      <x:c r="D232" s="8" t="str">
        <x:v>อยู่ในชุด 600 ตามเส้นทาง</x:v>
      </x:c>
      <x:c r="E232" s="8" t="str">
        <x:v>พบชื่อสัมพันธ์หลายเว็บไซต์ รอยืนยันสาขา</x:v>
      </x:c>
      <x:c r="F232" s="8" t="str">
        <x:v>ยังไม่ยืนยันการเปิดให้บริการปัจจุบัน</x:v>
      </x:c>
      <x:c r="G232" s="58" t="n">
        <x:v>2</x:v>
      </x:c>
      <x:c r="H232" s="52" t="str"/>
      <x:c r="I232" s="52" t="str"/>
      <x:c r="J232" s="52" t="str"/>
      <x:c r="K232" s="52" t="str"/>
      <x:c r="L232" s="52" t="str">
        <x:v>https://www.lemon8-app.com/%40lawaekni/7551001175471178247?region=th</x:v>
      </x:c>
      <x:c r="M232" s="52" t="str">
        <x:v>https://www.lemon8-app.com/%40lawaekni/7551001175471178247?region=us</x:v>
      </x:c>
      <x:c r="N232" s="8" t="str">
        <x:v>ยังไม่ยืนยัน</x:v>
      </x:c>
      <x:c r="O23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32" s="40" t="n">
        <x:v>46316</x:v>
      </x:c>
      <x:c r="Q232" s="59" t="str">
        <x:v>ยังไม่ตรวจ</x:v>
      </x:c>
      <x:c r="R232" s="59" t="str">
        <x:v>รอติดต่อ</x:v>
      </x:c>
    </x:row>
    <x:row r="233" ht="84" customHeight="1">
      <x:c r="A233" s="2" t="str">
        <x:v>TMF-225</x:v>
      </x:c>
      <x:c r="B233" s="8" t="str">
        <x:v>โรตี ข้าวหมก Salute</x:v>
      </x:c>
      <x:c r="C233" s="8" t="str">
        <x:v>สมุทรปราการ</x:v>
      </x:c>
      <x:c r="D233" s="8" t="str">
        <x:v>อยู่ในชุด 600 ตามเส้นทาง</x:v>
      </x:c>
      <x:c r="E233" s="8" t="str">
        <x:v>พบชื่อสัมพันธ์หลายเว็บไซต์ รอยืนยันสาขา</x:v>
      </x:c>
      <x:c r="F233" s="8" t="str">
        <x:v>ยังไม่ยืนยันการเปิดให้บริการปัจจุบัน</x:v>
      </x:c>
      <x:c r="G233" s="58" t="n">
        <x:v>2</x:v>
      </x:c>
      <x:c r="H233" s="52" t="str"/>
      <x:c r="I233" s="52" t="str"/>
      <x:c r="J233" s="52" t="str">
        <x:v>https://www.wongnai.com/restaurants/2407421IL-%E0%B9%82%E0%B8%A3%E0%B8%95%E0%B8%B5-%E0%B8%82%E0%B9%89%E0%B8%B2%E0%B8%A7%E0%B8%AB%E0%B8%A1%E0%B8%81-%E0%B8%8B%E0%B8%B2%E0%B8%A5%E0%B8%B9%E0%B8%97-%E0%B8%9B%E0%B8%B1%E0%B9%89%E0%B8%A1%E0%B8%9B%E0%B8%95%E0%B8%97-%E0%B8%81%E0%B8%A1-14-%E0%B8%82%E0%B8%B2%E0%B9%80%E0%B8%82%E0%B9%89%E0%B8%B2%E0%B9%80%E0%B8%A1%E0%B8%B7%E0%B8%AD%E0%B8%87</x:v>
      </x:c>
      <x:c r="K233" s="52" t="str"/>
      <x:c r="L233" s="52" t="str">
        <x:v>https://makanhalalguide.com/shop/detail/5620</x:v>
      </x:c>
      <x:c r="M233" s="52" t="str">
        <x:v>https://www.wongnai.com/restaurants/2407421IL-%E0%B9%82%E0%B8%A3%E0%B8%95%E0%B8%B5-%E0%B8%82%E0%B9%89%E0%B8%B2%E0%B8%A7%E0%B8%AB%E0%B8%A1%E0%B8%81-%E0%B8%8B%E0%B8%B2%E0%B8%A5%E0%B8%B9%E0%B8%97-%E0%B8%9B%E0%B8%B1%E0%B9%89%E0%B8%A1%E0%B8%9B%E0%B8%95%E0%B8%97-%E0%B8%81%E0%B8%A1-14-%E0%B8%82%E0%B8%B2%E0%B9%80%E0%B8%82%E0%B9%89%E0%B8%B2%E0%B9%80%E0%B8%A1%E0%B8%B7%E0%B8%AD%E0%B8%87</x:v>
      </x:c>
      <x:c r="N233" s="8" t="str">
        <x:v>ยังไม่ยืนยัน</x:v>
      </x:c>
      <x:c r="O23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33" s="40" t="n">
        <x:v>46315</x:v>
      </x:c>
      <x:c r="Q233" s="59" t="str">
        <x:v>ยังไม่ตรวจ</x:v>
      </x:c>
      <x:c r="R233" s="59" t="str">
        <x:v>รอติดต่อ</x:v>
      </x:c>
    </x:row>
    <x:row r="234" ht="84" customHeight="1">
      <x:c r="A234" s="2" t="str">
        <x:v>TMF-226</x:v>
      </x:c>
      <x:c r="B234" s="8" t="str">
        <x:v>มา กิน เนื้อ จันบี Dry aged halal</x:v>
      </x:c>
      <x:c r="C234" s="8" t="str">
        <x:v>สระบุรี</x:v>
      </x:c>
      <x:c r="D234" s="8" t="str">
        <x:v>สำรองหลังปรับตามเส้นทาง</x:v>
      </x:c>
      <x:c r="E234" s="8" t="str">
        <x:v>หลักฐานไม่พอ รอยืนยันการเปิด</x:v>
      </x:c>
      <x:c r="F234" s="8" t="str">
        <x:v>ยังไม่ยืนยันการเปิดให้บริการปัจจุบัน</x:v>
      </x:c>
      <x:c r="G234" s="58" t="n">
        <x:v>1</x:v>
      </x:c>
      <x:c r="H234" s="52"/>
      <x:c r="I234" s="52"/>
      <x:c r="J234" s="52"/>
      <x:c r="K234" s="52"/>
      <x:c r="L234" s="52"/>
      <x:c r="M234" s="52"/>
      <x:c r="N234" s="8" t="str">
        <x:v>ยังไม่ยืนยัน</x:v>
      </x:c>
      <x:c r="O23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34" s="40" t="n">
        <x:v>46315</x:v>
      </x:c>
      <x:c r="Q234" s="59" t="str">
        <x:v>ยังไม่ตรวจ</x:v>
      </x:c>
      <x:c r="R234" s="59" t="str">
        <x:v>รอติดต่อ</x:v>
      </x:c>
    </x:row>
    <x:row r="235" ht="84" customHeight="1">
      <x:c r="A235" s="2" t="str">
        <x:v>TMF-227</x:v>
      </x:c>
      <x:c r="B235" s="8" t="str">
        <x:v>ฮาลาลปากช่อง-ดุนยา ออกานิค</x:v>
      </x:c>
      <x:c r="C235" s="8" t="str">
        <x:v>สระบุรี</x:v>
      </x:c>
      <x:c r="D235" s="8" t="str">
        <x:v>สำรองหลังปรับตามเส้นทาง</x:v>
      </x:c>
      <x:c r="E235" s="8" t="str">
        <x:v>พบหลายแหล่งสัมพันธ์กับชื่อ รอยืนยันการเปิด</x:v>
      </x:c>
      <x:c r="F235" s="8" t="str">
        <x:v>ยังไม่ยืนยันการเปิดให้บริการปัจจุบัน</x:v>
      </x:c>
      <x:c r="G235" s="58" t="n">
        <x:v>3</x:v>
      </x:c>
      <x:c r="H235" s="52"/>
      <x:c r="I235" s="52"/>
      <x:c r="J235" s="52"/>
      <x:c r="K235" s="52"/>
      <x:c r="L235" s="52" t="str">
        <x:v>HYPERLINK is not implemented. linkLocation=https://sootinclaimon.com/2017/01/08/%E0%B8%A2%E0%B8%B2%E0%B8%8B%E0%B8%B5%E0%B8%99-%E0%B8%9A%E0%B8%B8%E0%B8%8D%E0%B8%A1%E0%B8%B2%E0%B9%80%E0%B8%A5%E0%B8%B4%E0%B8%A8-%E0%B8%97%E0%B8%B4%E0%B9%89%E0%B8%87%E0%B9%80%E0%B8%87%E0%B8%B4%E0%B8%99/, friendlyName=เปิดเว็บเพิ่ม 1</x:v>
      </x:c>
      <x:c r="M235" s="52" t="str">
        <x:v>HYPERLINK is not implemented. linkLocation=https://www.khaosod.co.th/technologychaoban/techno-news/article_14076, friendlyName=เปิดเว็บเพิ่ม 2</x:v>
      </x:c>
      <x:c r="N235" s="8" t="str">
        <x:v>ยังไม่ยืนยัน</x:v>
      </x:c>
      <x:c r="O235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35" s="40" t="n">
        <x:v>46315</x:v>
      </x:c>
      <x:c r="Q235" s="59" t="str">
        <x:v>ยังไม่ตรวจ</x:v>
      </x:c>
      <x:c r="R235" s="59" t="str">
        <x:v>รอติดต่อ</x:v>
      </x:c>
    </x:row>
    <x:row r="236" ht="84" customHeight="1">
      <x:c r="A236" s="2" t="str">
        <x:v>TMF-228</x:v>
      </x:c>
      <x:c r="B236" s="8" t="str">
        <x:v>Aasia's kitchen</x:v>
      </x:c>
      <x:c r="C236" s="8" t="str">
        <x:v>สุราษฎร์ธานี</x:v>
      </x:c>
      <x:c r="D236" s="8" t="str">
        <x:v>อยู่ในชุด 600 ตามเส้นทาง</x:v>
      </x:c>
      <x:c r="E236" s="8" t="str">
        <x:v>พบชื่อสัมพันธ์หลายเว็บไซต์ รอยืนยันสาขา</x:v>
      </x:c>
      <x:c r="F236" s="8" t="str">
        <x:v>ยังไม่ยืนยันการเปิดให้บริการปัจจุบัน</x:v>
      </x:c>
      <x:c r="G236" s="58" t="n">
        <x:v>7</x:v>
      </x:c>
      <x:c r="H236" s="52" t="str"/>
      <x:c r="I236" s="52" t="str"/>
      <x:c r="J236" s="52" t="str">
        <x:v>https://uk.trip.com/restaurant/thailand/koh-samui/detail/aasia-kitchen-140798675/</x:v>
      </x:c>
      <x:c r="K236" s="52" t="str">
        <x:v>https://wanderlog.com/place/details/9514311/aasias-kitchen-samui-halal-food-moroccan-foodthai-foodarabic-food</x:v>
      </x:c>
      <x:c r="L236" s="52" t="str">
        <x:v>https://makanhalalguide.com/shop/detail/4972</x:v>
      </x:c>
      <x:c r="M236" s="52" t="str">
        <x:v>https://uk.trip.com/restaurant/thailand/koh-samui/detail/aasia-kitchen-140798675/</x:v>
      </x:c>
      <x:c r="N236" s="8" t="str">
        <x:v>ยังไม่ยืนยัน</x:v>
      </x:c>
      <x:c r="O23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36" s="40" t="n">
        <x:v>46315</x:v>
      </x:c>
      <x:c r="Q236" s="59" t="str">
        <x:v>ยังไม่ตรวจ</x:v>
      </x:c>
      <x:c r="R236" s="59" t="str">
        <x:v>รอติดต่อ</x:v>
      </x:c>
    </x:row>
    <x:row r="237" ht="84" customHeight="1">
      <x:c r="A237" s="2" t="str">
        <x:v>TMF-229</x:v>
      </x:c>
      <x:c r="B237" s="8" t="str">
        <x:v>Love Halal Food at AngThong</x:v>
      </x:c>
      <x:c r="C237" s="8" t="str">
        <x:v>อ่างทอง</x:v>
      </x:c>
      <x:c r="D237" s="8" t="str">
        <x:v>สำรองหลังปรับตามเส้นทาง</x:v>
      </x:c>
      <x:c r="E237" s="8" t="str">
        <x:v>พบหลายแหล่งสัมพันธ์กับชื่อ รอยืนยันการเปิด</x:v>
      </x:c>
      <x:c r="F237" s="8" t="str">
        <x:v>ยังไม่ยืนยันการเปิดให้บริการปัจจุบัน</x:v>
      </x:c>
      <x:c r="G237" s="58" t="n">
        <x:v>3</x:v>
      </x:c>
      <x:c r="H237" s="52"/>
      <x:c r="I237" s="52"/>
      <x:c r="J237" s="52" t="str">
        <x:v>HYPERLINK is not implemented. linkLocation=https://restaurantguru.com/Love-Halal-Food-at-Angthong-Ban-It, friendlyName=เปิดหน้ารีวิว 1</x:v>
      </x:c>
      <x:c r="K237" s="52" t="str">
        <x:v>HYPERLINK is not implemented. linkLocation=https://es.restaurantguru.com/Love-Halal-Food-at-Angthong-Ban-It, friendlyName=เปิดหน้ารีวิว 2</x:v>
      </x:c>
      <x:c r="L237" s="52"/>
      <x:c r="M237" s="52"/>
      <x:c r="N237" s="8" t="str">
        <x:v>ยังไม่ยืนยัน</x:v>
      </x:c>
      <x:c r="O23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37" s="40" t="n">
        <x:v>46315</x:v>
      </x:c>
      <x:c r="Q237" s="59" t="str">
        <x:v>ยังไม่ตรวจ</x:v>
      </x:c>
      <x:c r="R237" s="59" t="str">
        <x:v>รอติดต่อ</x:v>
      </x:c>
    </x:row>
    <x:row r="238" ht="84" customHeight="1">
      <x:c r="A238" s="2" t="str">
        <x:v>TMF-230</x:v>
      </x:c>
      <x:c r="B238" s="8" t="str">
        <x:v>เตี๋ยวเนื้อตุ๋น บังยุบ อ่างทอง</x:v>
      </x:c>
      <x:c r="C238" s="8" t="str">
        <x:v>อ่างทอง</x:v>
      </x:c>
      <x:c r="D238" s="8" t="str">
        <x:v>สำรองหลังปรับตามเส้นทาง</x:v>
      </x:c>
      <x:c r="E238" s="8" t="str">
        <x:v>พบหลายแหล่งสัมพันธ์กับชื่อ รอยืนยันการเปิด</x:v>
      </x:c>
      <x:c r="F238" s="8" t="str">
        <x:v>ยังไม่ยืนยันการเปิดให้บริการปัจจุบัน</x:v>
      </x:c>
      <x:c r="G238" s="58" t="n">
        <x:v>5</x:v>
      </x:c>
      <x:c r="H238" s="52"/>
      <x:c r="I238" s="52"/>
      <x:c r="J238" s="52" t="str">
        <x:v>HYPERLINK is not implemented. linkLocation=https://www.wongnai.com/restaurants/3022870Qk-%E0%B9%80%E0%B8%95%E0%B8%B5%E0%B9%8B%E0%B8%A2%E0%B8%A7%E0%B9%80%E0%B8%99%E0%B8%B7%E0%B9%89%E0%B8%AD-%E0%B8%9A%E0%B8%B1%E0%B8%87%E0%B8%A2%E0%B8%B8%E0%B8%9A-smoke-grill-halal, friendlyName=เปิดหน้ารีวิว 1</x:v>
      </x:c>
      <x:c r="K238" s="52" t="str">
        <x:v>HYPERLINK is not implemented. linkLocation=https://www.lemon8-app.com/%40a_chernyim/7568979685059215880?region=th, friendlyName=เปิดหน้ารีวิว 2</x:v>
      </x:c>
      <x:c r="L238" s="52" t="str">
        <x:v>HYPERLINK is not implemented. linkLocation=https://www.lovethailand.org/travel/37-amnat-charoen.html/15-%E0%B8%AD%E0%B9%88%E0%B8%B2%E0%B8%87%E0%B8%97%E0%B8%AD%E0%B8%87/1266-%E0%B8%A7%E0%B8%B1%E0%B8%94%E0%B8%95%E0%B9%89%E0%B8%99%E0%B8%AA%E0%B8%99.html, friendlyName=เปิดเว็บเพิ่ม 1</x:v>
      </x:c>
      <x:c r="M238" s="52"/>
      <x:c r="N238" s="8" t="str">
        <x:v>ยังไม่ยืนยัน</x:v>
      </x:c>
      <x:c r="O23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38" s="40" t="n">
        <x:v>46315</x:v>
      </x:c>
      <x:c r="Q238" s="59" t="str">
        <x:v>ยังไม่ตรวจ</x:v>
      </x:c>
      <x:c r="R238" s="59" t="str">
        <x:v>รอติดต่อ</x:v>
      </x:c>
    </x:row>
    <x:row r="239" ht="84" customHeight="1">
      <x:c r="A239" s="2" t="str">
        <x:v>TMF-231</x:v>
      </x:c>
      <x:c r="B239" s="8" t="str">
        <x:v>Arsh Boutique Hotel</x:v>
      </x:c>
      <x:c r="C239" s="8" t="str">
        <x:v>เชียงใหม่</x:v>
      </x:c>
      <x:c r="D239" s="8" t="str">
        <x:v>อยู่ในชุด 600 ตามเส้นทาง</x:v>
      </x:c>
      <x:c r="E239" s="8" t="str">
        <x:v>พบชื่อสัมพันธ์หลายเว็บไซต์ รอยืนยันสาขา</x:v>
      </x:c>
      <x:c r="F239" s="8" t="str">
        <x:v>ยังไม่ยืนยันการเปิดให้บริการปัจจุบัน</x:v>
      </x:c>
      <x:c r="G239" s="58" t="n">
        <x:v>6</x:v>
      </x:c>
      <x:c r="H239" s="52" t="str"/>
      <x:c r="I239" s="52" t="str"/>
      <x:c r="J239" s="52" t="str">
        <x:v>https://www.google.com.sa/travel/hotels/entity/ChoIwNjwyoOvmPDBARoNL2cvMTF0Yno0bjFsNRAB?ap=MAA&amp;gl=th&amp;gsas=1&amp;hl=th&amp;rp=OAFIAg&amp;ts=CAESCgoCCAMKAggDEAAabwpREk0yJDB4MzBkYTNhOWUzNWU0OGExNToweDQwMzQ2YzVmYThiODlmMDol4LiV4Liz4Lia4LilIOC4nuC4o-C4sOC4quC4tOC4h-C4q-C5jBoAEhoSFAoHCOkPEAgYBBIHCOkPEAgYBRgBMgIQACoJCgU6A1RIQhoA&amp;un=1</x:v>
      </x:c>
      <x:c r="K239" s="52" t="str">
        <x:v>https://www.google.com/travel/hotels/entity/ChoIwNjwyoOvmPDBARoNL2cvMTF0Yno0bjFsNRAB?gsas=1</x:v>
      </x:c>
      <x:c r="L239" s="52" t="str">
        <x:v>https://makanhalalguide.com/shop/detail/5375</x:v>
      </x:c>
      <x:c r="M239" s="52" t="str">
        <x:v>https://www.google.com.sa/travel/hotels/entity/ChoIwNjwyoOvmPDBARoNL2cvMTF0Yno0bjFsNRAB?ap=MAA&amp;gl=th&amp;gsas=1&amp;hl=th&amp;rp=OAFIAg&amp;ts=CAESCgoCCAMKAggDEAAabwpREk0yJDB4MzBkYTNhOWUzNWU0OGExNToweDQwMzQ2YzVmYThiODlmMDol4LiV4Liz4Lia4LilIOC4nuC4o-C4sOC4quC4tOC4h-C4q-C5jBoAEhoSFAoHCOkPEAgYBBIHCOkPEAgYBRgBMgIQACoJCgU6A1RIQhoA&amp;un=1</x:v>
      </x:c>
      <x:c r="N239" s="8" t="str">
        <x:v>ยังไม่ยืนยัน</x:v>
      </x:c>
      <x:c r="O239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39" s="40" t="n">
        <x:v>46315</x:v>
      </x:c>
      <x:c r="Q239" s="59" t="str">
        <x:v>ยังไม่ตรวจ</x:v>
      </x:c>
      <x:c r="R239" s="59" t="str">
        <x:v>รอติดต่อ</x:v>
      </x:c>
    </x:row>
    <x:row r="240" ht="84" customHeight="1">
      <x:c r="A240" s="2" t="str">
        <x:v>TMF-232</x:v>
      </x:c>
      <x:c r="B240" s="8" t="str">
        <x:v>Lima Lanna Hotel</x:v>
      </x:c>
      <x:c r="C240" s="8" t="str">
        <x:v>เชียงใหม่</x:v>
      </x:c>
      <x:c r="D240" s="8" t="str">
        <x:v>อยู่ในชุด 600 ตามเส้นทาง</x:v>
      </x:c>
      <x:c r="E240" s="8" t="str">
        <x:v>พบชื่อสัมพันธ์หลายเว็บไซต์ รอยืนยันสาขา</x:v>
      </x:c>
      <x:c r="F240" s="8" t="str">
        <x:v>ยังไม่ยืนยันการเปิดให้บริการปัจจุบัน</x:v>
      </x:c>
      <x:c r="G240" s="58" t="n">
        <x:v>6</x:v>
      </x:c>
      <x:c r="H240" s="52" t="str"/>
      <x:c r="I240" s="52" t="str"/>
      <x:c r="J240" s="52" t="str">
        <x:v>https://www.booking.com/hotel/th/lima-lanna.html</x:v>
      </x:c>
      <x:c r="K240" s="52" t="str">
        <x:v>https://www.google.com/travel/hotels/entity/ChkIrLnqi7-16YsbGg0vZy8xMWZmc2IycnF5EAE?ap=MAA&amp;g2lb=2502548%2C2503781%2C4258168%2C4270442%2C4306835%2C4317915%2C4328159%2C4371335%2C4401769%2C4419364%2C4429192%2C4463666%2C4466981%2C4482194%2C4482438%2C4486153%2C4491350%2C4495816%2C4511371%2C4270859%2C4284970%2C4291517&amp;gl=th&amp;hl=th-TH&amp;rp=ENKmlKz-zL_OXRDSppSs_sy_zl04AkAASALAAQI&amp;ts=CAESABpTCjUSMTIlMHgzMGRhM2E5OTY3NzQzZDQzOjB4OWNhNTI0OTIxNWY5ODlhNToIT2xkIENpdHkaABIaEhQKBwjlDxAGGAoSBwjlDxAGGAsYATICEAAqCQoFOgNUSEIaAA</x:v>
      </x:c>
      <x:c r="L240" s="52" t="str">
        <x:v>https://makanhalalguide.com/shop/detail/5377</x:v>
      </x:c>
      <x:c r="M240" s="52" t="str">
        <x:v>https://www.booking.com/hotel/th/lima-lanna.html</x:v>
      </x:c>
      <x:c r="N240" s="8" t="str">
        <x:v>ยังไม่ยืนยัน</x:v>
      </x:c>
      <x:c r="O240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0" s="40" t="n">
        <x:v>46315</x:v>
      </x:c>
      <x:c r="Q240" s="59" t="str">
        <x:v>ยังไม่ตรวจ</x:v>
      </x:c>
      <x:c r="R240" s="59" t="str">
        <x:v>รอติดต่อ</x:v>
      </x:c>
    </x:row>
    <x:row r="241" ht="84" customHeight="1">
      <x:c r="A241" s="2" t="str">
        <x:v>TMF-233</x:v>
      </x:c>
      <x:c r="B241" s="8" t="str">
        <x:v>มิรา เรสซิเดนซ์ &amp; รีสอร์ท</x:v>
      </x:c>
      <x:c r="C241" s="8" t="str">
        <x:v>เชียงใหม่</x:v>
      </x:c>
      <x:c r="D241" s="8" t="str">
        <x:v>อยู่ในชุด 600 ตามเส้นทาง</x:v>
      </x:c>
      <x:c r="E241" s="8" t="str">
        <x:v>พบชื่อสัมพันธ์หลายเว็บไซต์ รอยืนยันสาขา</x:v>
      </x:c>
      <x:c r="F241" s="8" t="str">
        <x:v>ยังไม่ยืนยันการเปิดให้บริการปัจจุบัน</x:v>
      </x:c>
      <x:c r="G241" s="58" t="n">
        <x:v>6</x:v>
      </x:c>
      <x:c r="H241" s="52" t="str"/>
      <x:c r="I241" s="52" t="str"/>
      <x:c r="J241" s="52" t="str">
        <x:v>https://www.wongnai.com/hotels/338511cq-mira-residence-resort</x:v>
      </x:c>
      <x:c r="K241" s="52" t="str">
        <x:v>https://www.wongnai.com/articles/mira-cuisine-chiangmai</x:v>
      </x:c>
      <x:c r="L241" s="52" t="str">
        <x:v>https://makanhalalguide.com/shop/detail/5374</x:v>
      </x:c>
      <x:c r="M241" s="52" t="str">
        <x:v>https://www.wongnai.com/hotels/338511cq-mira-residence-resort</x:v>
      </x:c>
      <x:c r="N241" s="8" t="str">
        <x:v>ยังไม่ยืนยัน</x:v>
      </x:c>
      <x:c r="O241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1" s="40" t="n">
        <x:v>46315</x:v>
      </x:c>
      <x:c r="Q241" s="59" t="str">
        <x:v>ยังไม่ตรวจ</x:v>
      </x:c>
      <x:c r="R241" s="59" t="str">
        <x:v>รอติดต่อ</x:v>
      </x:c>
    </x:row>
    <x:row r="242" ht="84" customHeight="1">
      <x:c r="A242" s="2" t="str">
        <x:v>TMF-234</x:v>
      </x:c>
      <x:c r="B242" s="8" t="str">
        <x:v>โรงแรม คาซ่า มารอค เชียงใหม่ Casa Marocc Chiangmai</x:v>
      </x:c>
      <x:c r="C242" s="8" t="str">
        <x:v>เชียงใหม่</x:v>
      </x:c>
      <x:c r="D242" s="8" t="str">
        <x:v>อยู่ในชุด 600 ตามเส้นทาง</x:v>
      </x:c>
      <x:c r="E242" s="8" t="str">
        <x:v>พบชื่อสัมพันธ์หลายเว็บไซต์ รอยืนยันสาขา</x:v>
      </x:c>
      <x:c r="F242" s="8" t="str">
        <x:v>ยังไม่ยืนยันการเปิดให้บริการปัจจุบัน</x:v>
      </x:c>
      <x:c r="G242" s="58" t="n">
        <x:v>4</x:v>
      </x:c>
      <x:c r="H242" s="52" t="str"/>
      <x:c r="I242" s="52" t="str"/>
      <x:c r="J242" s="52" t="str"/>
      <x:c r="K242" s="52" t="str"/>
      <x:c r="L242" s="52" t="str">
        <x:v>https://makanhalalguide.com/shop/detail/5376</x:v>
      </x:c>
      <x:c r="M242" s="52" t="str">
        <x:v>https://www.thaithurkic.com/u-e-u-e-u-e-u-e-u-e-u-e-u-e-u-e-u-e-b-u_56g-053-272-709</x:v>
      </x:c>
      <x:c r="N242" s="8" t="str">
        <x:v>ยังไม่ยืนยัน</x:v>
      </x:c>
      <x:c r="O242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2" s="40" t="n">
        <x:v>46315</x:v>
      </x:c>
      <x:c r="Q242" s="59" t="str">
        <x:v>ยังไม่ตรวจ</x:v>
      </x:c>
      <x:c r="R242" s="59" t="str">
        <x:v>รอติดต่อ</x:v>
      </x:c>
    </x:row>
    <x:row r="243" ht="84" customHeight="1">
      <x:c r="A243" s="2" t="str">
        <x:v>TMF-235</x:v>
      </x:c>
      <x:c r="B243" s="8" t="str">
        <x:v>Aba Village</x:v>
      </x:c>
      <x:c r="C243" s="8" t="str">
        <x:v>เชียงใหม่</x:v>
      </x:c>
      <x:c r="D243" s="8" t="str">
        <x:v>อยู่ในชุด 600 ตามเส้นทาง</x:v>
      </x:c>
      <x:c r="E243" s="8" t="str">
        <x:v>พบชื่อสัมพันธ์หลายเว็บไซต์ รอยืนยันสาขา</x:v>
      </x:c>
      <x:c r="F243" s="8" t="str">
        <x:v>ยังไม่ยืนยันการเปิดให้บริการปัจจุบัน</x:v>
      </x:c>
      <x:c r="G243" s="58" t="n">
        <x:v>3</x:v>
      </x:c>
      <x:c r="H243" s="52" t="str"/>
      <x:c r="I243" s="52" t="str"/>
      <x:c r="J243" s="52" t="str">
        <x:v>https://www.google.co.th/travel/hotels/entity/ChoIy7vRv-bR8b7WARoNL2cvMTF2ZjIwOGRxbhAB?ap=ugEGcHJpY2Vz&amp;gl=th&amp;hl=en&amp;ts=CAEaBAoCGgAqBAoAGgA</x:v>
      </x:c>
      <x:c r="K243" s="52" t="str">
        <x:v>https://www.booking.com/hotel/th/aba-village.th.html</x:v>
      </x:c>
      <x:c r="L243" s="52" t="str">
        <x:v>https://makanhalalguide.com/shop/detail/5180</x:v>
      </x:c>
      <x:c r="M243" s="52" t="str">
        <x:v>https://www.google.co.th/travel/hotels/entity/ChoIy7vRv-bR8b7WARoNL2cvMTF2ZjIwOGRxbhAB?ap=ugEGcHJpY2Vz&amp;gl=th&amp;hl=en&amp;ts=CAEaBAoCGgAqBAoAGgA</x:v>
      </x:c>
      <x:c r="N243" s="8" t="str">
        <x:v>ยังไม่ยืนยัน</x:v>
      </x:c>
      <x:c r="O243" s="8" t="str">
        <x:v>ยืนยันการเปิดและประเภทบริการ ตรวจครัวหรืออาหารฮาลาลและบุคลากรมุสลิม การแยกแอลกอฮอล์ ห้องพักปลอดสัตว์เลี้ยง ทิศกิบละ พรมละหมาด และสายฉีดชำระ; กลุ่มยังเป็นข้อเสนอ ต้องยืนยันเงื่อนไขบังคับและคะแนนตามเกณฑ์ที่พัก</x:v>
      </x:c>
      <x:c r="P243" s="40" t="n">
        <x:v>46315</x:v>
      </x:c>
      <x:c r="Q243" s="59" t="str">
        <x:v>ยังไม่ตรวจ</x:v>
      </x:c>
      <x:c r="R243" s="59" t="str">
        <x:v>รอติดต่อ</x:v>
      </x:c>
    </x:row>
    <x:row r="244" ht="84" customHeight="1">
      <x:c r="A244" s="2" t="str">
        <x:v>TMF-236</x:v>
      </x:c>
      <x:c r="B244" s="8" t="str">
        <x:v>Everything Halal CNX</x:v>
      </x:c>
      <x:c r="C244" s="8" t="str">
        <x:v>เชียงใหม่</x:v>
      </x:c>
      <x:c r="D244" s="8" t="str">
        <x:v>อยู่ในชุด 600 ตามเส้นทาง</x:v>
      </x:c>
      <x:c r="E244" s="8" t="str">
        <x:v>พบชื่อสัมพันธ์หลายเว็บไซต์ รอยืนยันสาขา</x:v>
      </x:c>
      <x:c r="F244" s="8" t="str">
        <x:v>ยังไม่ยืนยันการเปิดให้บริการปัจจุบัน</x:v>
      </x:c>
      <x:c r="G244" s="58" t="n">
        <x:v>7</x:v>
      </x:c>
      <x:c r="H244" s="52" t="str"/>
      <x:c r="I244" s="52" t="str"/>
      <x:c r="J244" s="52" t="str">
        <x:v>https://www.tripadvisor.com/Restaurant_Review-g293917-d33013107-Reviews-Everything_Halal_Cnx-Chiang_Mai.html</x:v>
      </x:c>
      <x:c r="K244" s="52" t="str">
        <x:v>https://wanderlog.com/place/details/14313611/everything-halal-cnx</x:v>
      </x:c>
      <x:c r="L244" s="52" t="str">
        <x:v>https://makanhalalguide.com/shop/detail/5601</x:v>
      </x:c>
      <x:c r="M244" s="52" t="str">
        <x:v>https://www.tripadvisor.com/Restaurant_Review-g293917-d33013107-Reviews-Everything_Halal_Cnx-Chiang_Mai.html</x:v>
      </x:c>
      <x:c r="N244" s="8" t="str">
        <x:v>ยังไม่ยืนยัน</x:v>
      </x:c>
      <x:c r="O244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4" s="40" t="n">
        <x:v>46315</x:v>
      </x:c>
      <x:c r="Q244" s="59" t="str">
        <x:v>ยังไม่ตรวจ</x:v>
      </x:c>
      <x:c r="R244" s="59" t="str">
        <x:v>รอติดต่อ</x:v>
      </x:c>
    </x:row>
    <x:row r="245" ht="84" customHeight="1">
      <x:c r="A245" s="2" t="str">
        <x:v>TMF-237</x:v>
      </x:c>
      <x:c r="B245" s="8" t="str">
        <x:v>ก๋วยเตี๋ยวเนื้อตุ๋น ครัวมัยซาเราะห์ ครัวบังมัต</x:v>
      </x:c>
      <x:c r="C245" s="8" t="str">
        <x:v>เชียงใหม่</x:v>
      </x:c>
      <x:c r="D245" s="8" t="str">
        <x:v>อยู่ในชุด 600 ตามเส้นทาง</x:v>
      </x:c>
      <x:c r="E245" s="8" t="str">
        <x:v>พบชื่อสัมพันธ์หลายเว็บไซต์ รอยืนยันสาขา</x:v>
      </x:c>
      <x:c r="F245" s="8" t="str">
        <x:v>ยังไม่ยืนยันการเปิดให้บริการปัจจุบัน</x:v>
      </x:c>
      <x:c r="G245" s="58" t="n">
        <x:v>3</x:v>
      </x:c>
      <x:c r="H245" s="52" t="str"/>
      <x:c r="I245" s="52" t="str"/>
      <x:c r="J245" s="52" t="str"/>
      <x:c r="K245" s="52" t="str"/>
      <x:c r="L245" s="52" t="str">
        <x:v>https://makanhalalguide.com/shop/detail/5315</x:v>
      </x:c>
      <x:c r="M245" s="52" t="str">
        <x:v>https://www.waze.com/live-map/directions/th/%E0%B8%88.%E0%B9%80%E0%B8%8A%E0%B8%B5%E0%B8%A2%E0%B8%87%E0%B9%83%E0%B8%AB%E0%B8%A1%E0%B9%88/stewed-beef-krua-bungmaad-halalfood?to=place.ChIJP_VT4fA72jAR6k8PTTXv3Q0</x:v>
      </x:c>
      <x:c r="N245" s="8" t="str">
        <x:v>ยังไม่ยืนยัน</x:v>
      </x:c>
      <x:c r="O245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5" s="40" t="n">
        <x:v>46315</x:v>
      </x:c>
      <x:c r="Q245" s="59" t="str">
        <x:v>ยังไม่ตรวจ</x:v>
      </x:c>
      <x:c r="R245" s="59" t="str">
        <x:v>รอติดต่อ</x:v>
      </x:c>
    </x:row>
    <x:row r="246" ht="84" customHeight="1">
      <x:c r="A246" s="2" t="str">
        <x:v>TMF-238</x:v>
      </x:c>
      <x:c r="B246" s="8" t="str">
        <x:v>หรอยลำนัว</x:v>
      </x:c>
      <x:c r="C246" s="8" t="str">
        <x:v>เชียงใหม่</x:v>
      </x:c>
      <x:c r="D246" s="8" t="str">
        <x:v>อยู่ในชุด 600 ตามเส้นทาง</x:v>
      </x:c>
      <x:c r="E246" s="8" t="str">
        <x:v>พบชื่อสัมพันธ์หลายเว็บไซต์ รอยืนยันสาขา</x:v>
      </x:c>
      <x:c r="F246" s="8" t="str">
        <x:v>ยังไม่ยืนยันการเปิดให้บริการปัจจุบัน</x:v>
      </x:c>
      <x:c r="G246" s="58" t="n">
        <x:v>2</x:v>
      </x:c>
      <x:c r="H246" s="52" t="str"/>
      <x:c r="I246" s="52" t="str"/>
      <x:c r="J246" s="52" t="str">
        <x:v>https://www.wongnai.com/restaurants/3756411jJ-%E0%B8%AB%E0%B8%A3%E0%B8%AD%E0%B8%A2-%E0%B8%A5%E0%B8%B3-%E0%B8%99%E0%B8%B1%E0%B8%A7-meta-mall/menu?menuGroupId=items</x:v>
      </x:c>
      <x:c r="K246" s="52" t="str"/>
      <x:c r="L246" s="52" t="str">
        <x:v>https://makanhalalguide.com/shop/detail/6351</x:v>
      </x:c>
      <x:c r="M246" s="52" t="str">
        <x:v>https://www.wongnai.com/restaurants/3756411jJ-%E0%B8%AB%E0%B8%A3%E0%B8%AD%E0%B8%A2-%E0%B8%A5%E0%B8%B3-%E0%B8%99%E0%B8%B1%E0%B8%A7-meta-mall/menu?menuGroupId=items</x:v>
      </x:c>
      <x:c r="N246" s="8" t="str">
        <x:v>ยังไม่ยืนยัน</x:v>
      </x:c>
      <x:c r="O246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6" s="40" t="n">
        <x:v>46315</x:v>
      </x:c>
      <x:c r="Q246" s="59" t="str">
        <x:v>ยังไม่ตรวจ</x:v>
      </x:c>
      <x:c r="R246" s="59" t="str">
        <x:v>รอติดต่อ</x:v>
      </x:c>
    </x:row>
    <x:row r="247" ht="84" customHeight="1">
      <x:c r="A247" s="2" t="str">
        <x:v>TMF-239</x:v>
      </x:c>
      <x:c r="B247" s="8" t="str">
        <x:v>เลอบิส</x:v>
      </x:c>
      <x:c r="C247" s="8" t="str">
        <x:v>เชียงใหม่</x:v>
      </x:c>
      <x:c r="D247" s="8" t="str">
        <x:v>อยู่ในชุด 600 ตามเส้นทาง</x:v>
      </x:c>
      <x:c r="E247" s="8" t="str">
        <x:v>พบชื่อสัมพันธ์หลายเว็บไซต์ รอยืนยันสาขา</x:v>
      </x:c>
      <x:c r="F247" s="8" t="str">
        <x:v>ยังไม่ยืนยันการเปิดให้บริการปัจจุบัน</x:v>
      </x:c>
      <x:c r="G247" s="58" t="n">
        <x:v>2</x:v>
      </x:c>
      <x:c r="H247" s="52" t="str"/>
      <x:c r="I247" s="52" t="str"/>
      <x:c r="J247" s="52" t="str"/>
      <x:c r="K247" s="52" t="str"/>
      <x:c r="L247" s="52" t="str">
        <x:v>https://makanhalalguide.com/shop/detail/5185</x:v>
      </x:c>
      <x:c r="M247" s="52" t="str">
        <x:v>https://www.thaimiceconnect.com/business/detail/20239</x:v>
      </x:c>
      <x:c r="N247" s="8" t="str">
        <x:v>ยังไม่ยืนยัน</x:v>
      </x:c>
      <x:c r="O247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7" s="40" t="n">
        <x:v>46315</x:v>
      </x:c>
      <x:c r="Q247" s="59" t="str">
        <x:v>ยังไม่ตรวจ</x:v>
      </x:c>
      <x:c r="R247" s="59" t="str">
        <x:v>รอติดต่อ</x:v>
      </x:c>
    </x:row>
    <x:row r="248" ht="84" customHeight="1">
      <x:c r="A248" s="2" t="str">
        <x:v>TMF-240</x:v>
      </x:c>
      <x:c r="B248" s="8" t="str">
        <x:v>ไท่ไท่ทองอินทร์</x:v>
      </x:c>
      <x:c r="C248" s="8" t="str">
        <x:v>เชียงใหม่</x:v>
      </x:c>
      <x:c r="D248" s="8" t="str">
        <x:v>อยู่ในชุด 600 ตามเส้นทาง</x:v>
      </x:c>
      <x:c r="E248" s="8" t="str">
        <x:v>พบชื่อสัมพันธ์หลายเว็บไซต์ รอยืนยันสาขา</x:v>
      </x:c>
      <x:c r="F248" s="8" t="str">
        <x:v>ยังไม่ยืนยันการเปิดให้บริการปัจจุบัน</x:v>
      </x:c>
      <x:c r="G248" s="58" t="n">
        <x:v>4</x:v>
      </x:c>
      <x:c r="H248" s="52" t="str"/>
      <x:c r="I248" s="52" t="str"/>
      <x:c r="J248" s="52" t="str">
        <x:v>https://www.wongnai.com/restaurants/2926884rC-%E0%B9%84%E0%B8%97%E0%B9%88%E0%B9%84%E0%B8%97%E0%B9%88-%E0%B8%97%E0%B8%AD%E0%B8%87%E0%B8%AD%E0%B8%B4%E0%B8%99%E0%B8%97%E0%B8%A3%E0%B9%8C-taitai-thongin-%E0%B8%82%E0%B9%89%E0%B8%B2%E0%B8%A7%E0%B8%8B%E0%B8%AD%E0%B8%A2-%E0%B8%99%E0%B9%89%E0%B8%B3%E0%B9%80%E0%B8%87%E0%B8%B5%E0%B9%89%E0%B8%A2%E0%B8%A7-%E0%B8%A3%E0%B9%89%E0%B8%B2%E0%B8%99%E0%B8%AE%E0%B8%B2%E0%B8%A5%E0%B8%B2%E0%B8%A5-%E0%B9%82%E0%B8%A3%E0%B8%95%E0%B8%B5?_st=cD0wO2I9MjkyNjg4NDthZD10cnVlO3Q9MTc2MjAxOTAxMTA5OTtyaT0xWDdiT3FVQndVV01OblVPbHlZb21KSGJqcllwT0c7aT0xWDcwc0FGbURwMkdKeENKR29SaTdSQXVuWmZYalk7d3JlZj1zcjs%3D&amp;wref=sr-rec</x:v>
      </x:c>
      <x:c r="K248" s="52" t="str">
        <x:v>https://th.tripadvisor.com/Restaurant_Review-g25330083-d33953074-Reviews-Taitai_Thongin-Chang_Moi_Chiang_Mai.html</x:v>
      </x:c>
      <x:c r="L248" s="52" t="str">
        <x:v>https://makanhalalguide.com/shop/detail/5738</x:v>
      </x:c>
      <x:c r="M248" s="52" t="str">
        <x:v>https://www.thic.or.th/th/tourist/detail/tourist/2</x:v>
      </x:c>
      <x:c r="N248" s="8" t="str">
        <x:v>ยังไม่ยืนยัน</x:v>
      </x:c>
      <x:c r="O248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48" s="40" t="n">
        <x:v>46315</x:v>
      </x:c>
      <x:c r="Q248" s="59" t="str">
        <x:v>ยังไม่ตรวจ</x:v>
      </x:c>
      <x:c r="R248" s="59" t="str">
        <x:v>รอติดต่อ</x:v>
      </x:c>
    </x:row>
    <x:row r="249" ht="84" customHeight="1">
      <x:c r="A249" s="2" t="str">
        <x:v>TMF-241</x:v>
      </x:c>
      <x:c r="B249" s="8" t="str">
        <x:v>Hnisme family poolvilla</x:v>
      </x:c>
      <x:c r="C249" s="8" t="str">
        <x:v>เพชรบุรี</x:v>
      </x:c>
      <x:c r="D249" s="8" t="str">
        <x:v>สำรองหลังปรับตามเส้นทาง</x:v>
      </x:c>
      <x:c r="E249" s="8" t="str">
        <x:v>พบหลายแหล่งสัมพันธ์กับชื่อ รอยืนยันการเปิด</x:v>
      </x:c>
      <x:c r="F249" s="8" t="str">
        <x:v>ยังไม่ยืนยันการเปิดให้บริการปัจจุบัน</x:v>
      </x:c>
      <x:c r="G249" s="58" t="n">
        <x:v>3</x:v>
      </x:c>
      <x:c r="H249" s="52"/>
      <x:c r="I249" s="52"/>
      <x:c r="J249" s="52" t="str">
        <x:v>HYPERLINK is not implemented. linkLocation=https://www.lemon8-app.com/%40achx44/7517563239945962001?region=us, friendlyName=เปิดหน้ารีวิว 1</x:v>
      </x:c>
      <x:c r="K249" s="52"/>
      <x:c r="L249" s="52" t="str">
        <x:v>HYPERLINK is not implemented. linkLocation=https://www.findglocal.com/TH/Phetchaburi/189514417578620/Hnisme-family-poolvilla, friendlyName=เปิดเว็บเพิ่ม 1</x:v>
      </x:c>
      <x:c r="M249" s="52"/>
      <x:c r="N249" s="8" t="str">
        <x:v>ยังไม่ยืนยัน</x:v>
      </x:c>
      <x:c r="O24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49" s="40" t="n">
        <x:v>46315</x:v>
      </x:c>
      <x:c r="Q249" s="59" t="str">
        <x:v>ยังไม่ตรวจ</x:v>
      </x:c>
      <x:c r="R249" s="59" t="str">
        <x:v>รอติดต่อ</x:v>
      </x:c>
    </x:row>
    <x:row r="250" ht="84" customHeight="1">
      <x:c r="A250" s="2" t="str">
        <x:v>TMF-242</x:v>
      </x:c>
      <x:c r="B250" s="8" t="str">
        <x:v>โก เบอร์เกอร์ แอนด์ พาสต้า</x:v>
      </x:c>
      <x:c r="C250" s="8" t="str">
        <x:v>กรุงเทพมหานคร</x:v>
      </x:c>
      <x:c r="D250" s="8" t="str">
        <x:v>สำรองหลังปรับตามเส้นทาง</x:v>
      </x:c>
      <x:c r="E250" s="8" t="str">
        <x:v>หลักฐานไม่พอ รอยืนยันการเปิด</x:v>
      </x:c>
      <x:c r="F250" s="8" t="str">
        <x:v>ยังไม่ยืนยันการเปิดให้บริการปัจจุบัน</x:v>
      </x:c>
      <x:c r="G250" s="58" t="n">
        <x:v>1</x:v>
      </x:c>
      <x:c r="H250" s="52"/>
      <x:c r="I250" s="52"/>
      <x:c r="J250" s="52"/>
      <x:c r="K250" s="52"/>
      <x:c r="L250" s="52"/>
      <x:c r="M250" s="52"/>
      <x:c r="N250" s="8" t="str">
        <x:v>ยังไม่ยืนยัน</x:v>
      </x:c>
      <x:c r="O25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50" s="40" t="n">
        <x:v>46315</x:v>
      </x:c>
      <x:c r="Q250" s="59" t="str">
        <x:v>ยังไม่ตรวจ</x:v>
      </x:c>
      <x:c r="R250" s="59" t="str">
        <x:v>รอติดต่อ</x:v>
      </x:c>
    </x:row>
    <x:row r="251" ht="84" customHeight="1">
      <x:c r="A251" s="2" t="str">
        <x:v>TMF-243</x:v>
      </x:c>
      <x:c r="B251" s="8" t="str">
        <x:v>ไร่ธัญเบอรี่ Tanya Berry Resort</x:v>
      </x:c>
      <x:c r="C251" s="8" t="str">
        <x:v>เพชรบูรณ์</x:v>
      </x:c>
      <x:c r="D251" s="8" t="str">
        <x:v>สำรองหลังปรับตามเส้นทาง</x:v>
      </x:c>
      <x:c r="E251" s="8" t="str">
        <x:v>พบหลายแหล่งสัมพันธ์กับชื่อ รอยืนยันการเปิด</x:v>
      </x:c>
      <x:c r="F251" s="8" t="str">
        <x:v>ยังไม่ยืนยันการเปิดให้บริการปัจจุบัน</x:v>
      </x:c>
      <x:c r="G251" s="58" t="n">
        <x:v>3</x:v>
      </x:c>
      <x:c r="H251" s="52"/>
      <x:c r="I251" s="52"/>
      <x:c r="J251" s="52"/>
      <x:c r="K251" s="52"/>
      <x:c r="L251" s="52" t="str">
        <x:v>HYPERLINK is not implemented. linkLocation=https://www.thaithurkic.com/tanya-berry-089-697-9158, friendlyName=เปิดเว็บเพิ่ม 1</x:v>
      </x:c>
      <x:c r="M251" s="52" t="str">
        <x:v>HYPERLINK is not implemented. linkLocation=https://www.thaithurkic.com/%E0%B8%98%E0%B8%B1%E0%B8%8D%E0%B8%A1%E0%B8%B1%E0%B8%A2-%E0%B8%9E%E0%B8%B4%E0%B8%A1%E0%B8%B2%E0%B8%99%E0%B8%AE%E0%B8%B4%E0%B8%A5%E0%B8%A5%E0%B9%8C-089-697-9158, friendlyName=เปิดเว็บเพิ่ม 2</x:v>
      </x:c>
      <x:c r="N251" s="8" t="str">
        <x:v>ยังไม่ยืนยัน</x:v>
      </x:c>
      <x:c r="O251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51" s="40" t="n">
        <x:v>46315</x:v>
      </x:c>
      <x:c r="Q251" s="59" t="str">
        <x:v>ยังไม่ตรวจ</x:v>
      </x:c>
      <x:c r="R251" s="59" t="str">
        <x:v>รอติดต่อ</x:v>
      </x:c>
    </x:row>
    <x:row r="252" ht="84" customHeight="1">
      <x:c r="A252" s="2" t="str">
        <x:v>TMF-244</x:v>
      </x:c>
      <x:c r="B252" s="8" t="str">
        <x:v>DD O-Zone พูลวิลล่า ฮาลาลฟู้ด ภูทับเบิก</x:v>
      </x:c>
      <x:c r="C252" s="8" t="str">
        <x:v>เพชรบูรณ์</x:v>
      </x:c>
      <x:c r="D252" s="8" t="str">
        <x:v>สำรองหลังปรับตามเส้นทาง</x:v>
      </x:c>
      <x:c r="E252" s="8" t="str">
        <x:v>พบหลายแหล่งสัมพันธ์กับชื่อ รอยืนยันการเปิด</x:v>
      </x:c>
      <x:c r="F252" s="8" t="str">
        <x:v>ยังไม่ยืนยันการเปิดให้บริการปัจจุบัน</x:v>
      </x:c>
      <x:c r="G252" s="58" t="n">
        <x:v>3</x:v>
      </x:c>
      <x:c r="H252" s="52"/>
      <x:c r="I252" s="52"/>
      <x:c r="J252" s="52" t="str">
        <x:v>HYPERLINK is not implemented. linkLocation=https://www.youtube.com/watch?v=Gu2mpGqI5bk, friendlyName=เปิดหน้ารีวิว 1</x:v>
      </x:c>
      <x:c r="K252" s="52" t="str">
        <x:v>HYPERLINK is not implemented. linkLocation=https://www.lemon8-app.com/%40a_chernyim/7579352109667467784?region=th, friendlyName=เปิดหน้ารีวิว 2</x:v>
      </x:c>
      <x:c r="L252" s="52"/>
      <x:c r="M252" s="52"/>
      <x:c r="N252" s="8" t="str">
        <x:v>ยังไม่ยืนยัน</x:v>
      </x:c>
      <x:c r="O25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52" s="40" t="n">
        <x:v>46315</x:v>
      </x:c>
      <x:c r="Q252" s="59" t="str">
        <x:v>ยังไม่ตรวจ</x:v>
      </x:c>
      <x:c r="R252" s="59" t="str">
        <x:v>รอติดต่อ</x:v>
      </x:c>
    </x:row>
    <x:row r="253" ht="84" customHeight="1">
      <x:c r="A253" s="2" t="str">
        <x:v>TMF-245</x:v>
      </x:c>
      <x:c r="B253" s="8" t="str">
        <x:v>Hilwah น้ำแซนวิชโบราณฮาลาล</x:v>
      </x:c>
      <x:c r="C253" s="8" t="str">
        <x:v>กรุงเทพมหานคร</x:v>
      </x:c>
      <x:c r="D253" s="8" t="str">
        <x:v>อยู่ในชุด 600 ตามเส้นทาง</x:v>
      </x:c>
      <x:c r="E253" s="8" t="str">
        <x:v>พบชื่อสัมพันธ์หลายเว็บไซต์ รอยืนยันสาขา</x:v>
      </x:c>
      <x:c r="F253" s="8" t="str">
        <x:v>ยังไม่ยืนยันการเปิดให้บริการปัจจุบัน</x:v>
      </x:c>
      <x:c r="G253" s="58" t="n">
        <x:v>2</x:v>
      </x:c>
      <x:c r="H253" s="52" t="str"/>
      <x:c r="I253" s="52" t="str"/>
      <x:c r="J253" s="52" t="str"/>
      <x:c r="K253" s="52" t="str"/>
      <x:c r="L253" s="52" t="str">
        <x:v>https://makanhalalguide.com/shop/detail/6164</x:v>
      </x:c>
      <x:c r="M253" s="52" t="str">
        <x:v>https://market.kapook.com/view-4fa8db18d000002</x:v>
      </x:c>
      <x:c r="N253" s="8" t="str">
        <x:v>ยังไม่ยืนยัน</x:v>
      </x:c>
      <x:c r="O253" s="8" t="str">
        <x:v>ต้องยืนยันเงื่อนไขบังคับทุกข้อและคะแนนอย่างน้อย 70/100 ก่อนยืนยันพร้อมขาย โดยเฉพาะใบรับรองและวันหมดอายุ บุคลากรมุสลิม ที่อาบน้ำละหมาด และข้อมูลบริการ</x:v>
      </x:c>
      <x:c r="P253" s="40" t="n">
        <x:v>46315</x:v>
      </x:c>
      <x:c r="Q253" s="59" t="str">
        <x:v>ยังไม่ตรวจ</x:v>
      </x:c>
      <x:c r="R253" s="59" t="str">
        <x:v>รอติดต่อ</x:v>
      </x:c>
    </x:row>
    <x:row r="254" ht="84" customHeight="1">
      <x:c r="A254" s="2" t="str">
        <x:v>TMF-246</x:v>
      </x:c>
      <x:c r="B254" s="8" t="str">
        <x:v>ส้มตำ มุสลิม ซูจี</x:v>
      </x:c>
      <x:c r="C254" s="8" t="str">
        <x:v>กรุงเทพมหานคร</x:v>
      </x:c>
      <x:c r="D254" s="8" t="str">
        <x:v>สำรองหลังปรับตามเส้นทาง</x:v>
      </x:c>
      <x:c r="E254" s="8" t="str">
        <x:v>หลักฐานไม่พอ รอยืนยันการเปิด</x:v>
      </x:c>
      <x:c r="F254" s="8" t="str">
        <x:v>ยังไม่ยืนยันการเปิดให้บริการปัจจุบัน</x:v>
      </x:c>
      <x:c r="G254" s="58" t="n">
        <x:v>1</x:v>
      </x:c>
      <x:c r="H254" s="52"/>
      <x:c r="I254" s="52"/>
      <x:c r="J254" s="52"/>
      <x:c r="K254" s="52"/>
      <x:c r="L254" s="52"/>
      <x:c r="M254" s="52"/>
      <x:c r="N254" s="8" t="str">
        <x:v>ยังไม่ยืนยัน</x:v>
      </x:c>
      <x:c r="O25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54" s="40" t="n">
        <x:v>46315</x:v>
      </x:c>
      <x:c r="Q254" s="59" t="str">
        <x:v>ยังไม่ตรวจ</x:v>
      </x:c>
      <x:c r="R254" s="59" t="str">
        <x:v>รอติดต่อ</x:v>
      </x:c>
    </x:row>
    <x:row r="255" ht="84" customHeight="1">
      <x:c r="A255" s="2" t="str">
        <x:v>TMF-247</x:v>
      </x:c>
      <x:c r="B255" s="8" t="str">
        <x:v>โรงชา@คลองแม่จัน</x:v>
      </x:c>
      <x:c r="C255" s="8" t="str">
        <x:v>กรุงเทพมหานคร</x:v>
      </x:c>
      <x:c r="D255" s="8" t="str">
        <x:v>สำรองหลังปรับตามเส้นทาง</x:v>
      </x:c>
      <x:c r="E255" s="8" t="str">
        <x:v>พบหลายแหล่งสัมพันธ์กับชื่อ รอยืนยันการเปิด</x:v>
      </x:c>
      <x:c r="F255" s="8" t="str">
        <x:v>ยังไม่ยืนยันการเปิดให้บริการปัจจุบัน</x:v>
      </x:c>
      <x:c r="G255" s="58" t="n">
        <x:v>3</x:v>
      </x:c>
      <x:c r="H255" s="52"/>
      <x:c r="I255" s="52"/>
      <x:c r="J255" s="52" t="str">
        <x:v>HYPERLINK is not implemented. linkLocation=https://www.wongnai.com/restaurants/2903996gD-%E0%B9%82%E0%B8%A3%E0%B8%87%E0%B8%8A%E0%B8%B2%E0%B8%84%E0%B8%A5%E0%B8%AD%E0%B8%87%E0%B9%81%E0%B8%A1%E0%B9%88%E0%B8%88%E0%B8%B1%E0%B8%99-%E0%B9%82%E0%B8%A3%E0%B8%87%E0%B8%8A%E0%B8%B2%E0%B8%84%E0%B8%A5%E0%B8%AD%E0%B8%87%E0%B9%81%E0%B8%A1%E0%B9%88%E0%B8%88%E0%B8%B1%E0%B8%99, friendlyName=เปิดหน้ารีวิว 1</x:v>
      </x:c>
      <x:c r="K255" s="52" t="str">
        <x:v>HYPERLINK is not implemented. linkLocation=https://www.lemon8-app.com/%40fernz_nurra/7387109340450423297?region=th, friendlyName=เปิดหน้ารีวิว 2</x:v>
      </x:c>
      <x:c r="L255" s="52"/>
      <x:c r="M255" s="52"/>
      <x:c r="N255" s="8" t="str">
        <x:v>ยังไม่ยืนยัน</x:v>
      </x:c>
      <x:c r="O25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55" s="40" t="n">
        <x:v>46315</x:v>
      </x:c>
      <x:c r="Q255" s="59" t="str">
        <x:v>ยังไม่ตรวจ</x:v>
      </x:c>
      <x:c r="R255" s="59" t="str">
        <x:v>รอติดต่อ</x:v>
      </x:c>
    </x:row>
    <x:row r="256" ht="84" customHeight="1">
      <x:c r="A256" s="2" t="str">
        <x:v>TMF-248</x:v>
      </x:c>
      <x:c r="B256" s="8" t="str">
        <x:v>Pai In Town Hotel</x:v>
      </x:c>
      <x:c r="C256" s="8" t="str">
        <x:v>แม่ฮ่องสอน</x:v>
      </x:c>
      <x:c r="D256" s="8" t="str">
        <x:v>สำรองหลังปรับตามเส้นทาง</x:v>
      </x:c>
      <x:c r="E256" s="8" t="str">
        <x:v>พบหลายแหล่งสัมพันธ์กับชื่อ รอยืนยันการเปิด</x:v>
      </x:c>
      <x:c r="F256" s="8" t="str">
        <x:v>ยังไม่ยืนยันการเปิดให้บริการปัจจุบัน</x:v>
      </x:c>
      <x:c r="G256" s="58" t="n">
        <x:v>4</x:v>
      </x:c>
      <x:c r="H256" s="52"/>
      <x:c r="I256" s="52"/>
      <x:c r="J256" s="52" t="str">
        <x:v>HYPERLINK is not implemented. linkLocation=https://th.tripadvisor.com/Hotel_Review-g303916-d3180778-Reviews-Pai_In_Town_Hotel-Pai_Mae_Hong_Son_Province.html, friendlyName=เปิดหน้ารีวิว 1</x:v>
      </x:c>
      <x:c r="K256" s="52" t="str">
        <x:v>HYPERLINK is not implemented. linkLocation=https://www.agoda.com/en-us/pai-in-town-hotel/hotel/pai-th.html, friendlyName=เปิดหน้ารีวิว 2</x:v>
      </x:c>
      <x:c r="L256" s="52"/>
      <x:c r="M256" s="52"/>
      <x:c r="N256" s="8" t="str">
        <x:v>ยังไม่ยืนยัน</x:v>
      </x:c>
      <x:c r="O25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56" s="40" t="n">
        <x:v>46315</x:v>
      </x:c>
      <x:c r="Q256" s="59" t="str">
        <x:v>ยังไม่ตรวจ</x:v>
      </x:c>
      <x:c r="R256" s="59" t="str">
        <x:v>รอติดต่อ</x:v>
      </x:c>
    </x:row>
    <x:row r="257" ht="84" customHeight="1">
      <x:c r="A257" s="2" t="str">
        <x:v>TMF-249</x:v>
      </x:c>
      <x:c r="B257" s="8" t="str">
        <x:v>Mp house at pai</x:v>
      </x:c>
      <x:c r="C257" s="8" t="str">
        <x:v>แม่ฮ่องสอน</x:v>
      </x:c>
      <x:c r="D257" s="8" t="str">
        <x:v>สำรองหลังปรับตามเส้นทาง</x:v>
      </x:c>
      <x:c r="E257" s="8" t="str">
        <x:v>พบหลายแหล่งสัมพันธ์กับชื่อ รอยืนยันการเปิด</x:v>
      </x:c>
      <x:c r="F257" s="8" t="str">
        <x:v>ยังไม่ยืนยันการเปิดให้บริการปัจจุบัน</x:v>
      </x:c>
      <x:c r="G257" s="58" t="n">
        <x:v>2</x:v>
      </x:c>
      <x:c r="H257" s="52"/>
      <x:c r="I257" s="52"/>
      <x:c r="J257" s="52" t="str">
        <x:v>HYPERLINK is not implemented. linkLocation=https://www.google.com.sa/travel/hotels/entity/ChoI5YzQ5azrnYGMARoNL2cvMTFiNzNuMjM4aBAB, friendlyName=เปิดหน้ารีวิว 1</x:v>
      </x:c>
      <x:c r="K257" s="52" t="str">
        <x:v>HYPERLINK is not implemented. linkLocation=https://www.google.com.sa/travel/hotels/entity/ChoI5YzQ5azrnYGMARoNL2cvMTFiNzNuMjM4aBAB?ap=MACIAQI&amp;g2lb=2502548%2C2503228%2C4254308%2C4258168%2C4260007%2C4274032%2C4305595%2C4306835%2C4308216%2C4314846%2C4317915%2C4328159%2C4329288%2C4348884%2C4270859%2C4284970%2C4291517%2C4292955%2C4316256&amp;gl=th&amp;gsas=1&amp;hl=th&amp;rp=OAFIAg&amp;ts=CAEaBAoCGgAqBAoAGgA&amp;un=1, friendlyName=เปิดหน้ารีวิว 2</x:v>
      </x:c>
      <x:c r="L257" s="52"/>
      <x:c r="M257" s="52"/>
      <x:c r="N257" s="8" t="str">
        <x:v>ยังไม่ยืนยัน</x:v>
      </x:c>
      <x:c r="O25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57" s="40" t="n">
        <x:v>46315</x:v>
      </x:c>
      <x:c r="Q257" s="59" t="str">
        <x:v>ยังไม่ตรวจ</x:v>
      </x:c>
      <x:c r="R257" s="59" t="str">
        <x:v>รอติดต่อ</x:v>
      </x:c>
    </x:row>
    <x:row r="258" ht="84" customHeight="1">
      <x:c r="A258" s="2" t="str">
        <x:v>TMF-250</x:v>
      </x:c>
      <x:c r="B258" s="8" t="str">
        <x:v>zeesma halal food</x:v>
      </x:c>
      <x:c r="C258" s="8" t="str">
        <x:v>แม่ฮ่องสอน</x:v>
      </x:c>
      <x:c r="D258" s="8" t="str">
        <x:v>สำรองหลังปรับตามเส้นทาง</x:v>
      </x:c>
      <x:c r="E258" s="8" t="str">
        <x:v>หลักฐานไม่พอ รอยืนยันการเปิด</x:v>
      </x:c>
      <x:c r="F258" s="8" t="str">
        <x:v>ยังไม่ยืนยันการเปิดให้บริการปัจจุบัน</x:v>
      </x:c>
      <x:c r="G258" s="58" t="n">
        <x:v>1</x:v>
      </x:c>
      <x:c r="H258" s="52"/>
      <x:c r="I258" s="52"/>
      <x:c r="J258" s="52"/>
      <x:c r="K258" s="52"/>
      <x:c r="L258" s="52"/>
      <x:c r="M258" s="52"/>
      <x:c r="N258" s="8" t="str">
        <x:v>ยังไม่ยืนยัน</x:v>
      </x:c>
      <x:c r="O25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58" s="40" t="n">
        <x:v>46315</x:v>
      </x:c>
      <x:c r="Q258" s="59" t="str">
        <x:v>ยังไม่ตรวจ</x:v>
      </x:c>
      <x:c r="R258" s="59" t="str">
        <x:v>รอติดต่อ</x:v>
      </x:c>
    </x:row>
    <x:row r="259" ht="84" customHeight="1">
      <x:c r="A259" s="2" t="str">
        <x:v>TMF-251</x:v>
      </x:c>
      <x:c r="B259" s="8" t="str">
        <x:v>Mareeya Resort &amp; Farm.ไร่มารียาฟาร์ม</x:v>
      </x:c>
      <x:c r="C259" s="8" t="str">
        <x:v>เชียงราย</x:v>
      </x:c>
      <x:c r="D259" s="8" t="str">
        <x:v>สำรองหลังปรับตามเส้นทาง</x:v>
      </x:c>
      <x:c r="E259" s="8" t="str">
        <x:v>หลักฐานไม่พอ รอยืนยันการเปิด</x:v>
      </x:c>
      <x:c r="F259" s="8" t="str">
        <x:v>ยังไม่ยืนยันการเปิดให้บริการปัจจุบัน</x:v>
      </x:c>
      <x:c r="G259" s="58" t="n">
        <x:v>1</x:v>
      </x:c>
      <x:c r="H259" s="52"/>
      <x:c r="I259" s="52"/>
      <x:c r="J259" s="52"/>
      <x:c r="K259" s="52"/>
      <x:c r="L259" s="52"/>
      <x:c r="M259" s="52"/>
      <x:c r="N259" s="8" t="str">
        <x:v>ยังไม่ยืนยัน</x:v>
      </x:c>
      <x:c r="O25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59" s="40" t="n">
        <x:v>46315</x:v>
      </x:c>
      <x:c r="Q259" s="59" t="str">
        <x:v>ยังไม่ตรวจ</x:v>
      </x:c>
      <x:c r="R259" s="59" t="str">
        <x:v>รอติดต่อ</x:v>
      </x:c>
    </x:row>
    <x:row r="260" ht="84" customHeight="1">
      <x:c r="A260" s="2" t="str">
        <x:v>TMF-252</x:v>
      </x:c>
      <x:c r="B260" s="8" t="str">
        <x:v>กาแฟหัวโค้ง</x:v>
      </x:c>
      <x:c r="C260" s="8" t="str">
        <x:v>พระนครศรีอยุธยา</x:v>
      </x:c>
      <x:c r="D260" s="8" t="str">
        <x:v>สำรองหลังปรับตามเส้นทาง</x:v>
      </x:c>
      <x:c r="E260" s="8" t="str">
        <x:v>หลักฐานไม่พอ รอยืนยันการเปิด</x:v>
      </x:c>
      <x:c r="F260" s="8" t="str">
        <x:v>ยังไม่ยืนยันการเปิดให้บริการปัจจุบัน</x:v>
      </x:c>
      <x:c r="G260" s="58" t="n">
        <x:v>1</x:v>
      </x:c>
      <x:c r="H260" s="52"/>
      <x:c r="I260" s="52"/>
      <x:c r="J260" s="52"/>
      <x:c r="K260" s="52"/>
      <x:c r="L260" s="52"/>
      <x:c r="M260" s="52"/>
      <x:c r="N260" s="8" t="str">
        <x:v>ยังไม่ยืนยัน</x:v>
      </x:c>
      <x:c r="O26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60" s="40" t="n">
        <x:v>46315</x:v>
      </x:c>
      <x:c r="Q260" s="59" t="str">
        <x:v>ยังไม่ตรวจ</x:v>
      </x:c>
      <x:c r="R260" s="59" t="str">
        <x:v>รอติดต่อ</x:v>
      </x:c>
    </x:row>
    <x:row r="261" ht="84" customHeight="1">
      <x:c r="A261" s="2" t="str">
        <x:v>TMF-253</x:v>
      </x:c>
      <x:c r="B261" s="8" t="str">
        <x:v>ครัวล้านนา อาหารเหนือมุสลิม (ลุมพลี)</x:v>
      </x:c>
      <x:c r="C261" s="8" t="str">
        <x:v>พระนครศรีอยุธยา</x:v>
      </x:c>
      <x:c r="D261" s="8" t="str">
        <x:v>สำรองหลังปรับตามเส้นทาง</x:v>
      </x:c>
      <x:c r="E261" s="8" t="str">
        <x:v>หลักฐานไม่พอ รอยืนยันการเปิด</x:v>
      </x:c>
      <x:c r="F261" s="8" t="str">
        <x:v>ยังไม่ยืนยันการเปิดให้บริการปัจจุบัน</x:v>
      </x:c>
      <x:c r="G261" s="58" t="n">
        <x:v>1</x:v>
      </x:c>
      <x:c r="H261" s="52"/>
      <x:c r="I261" s="52"/>
      <x:c r="J261" s="52"/>
      <x:c r="K261" s="52"/>
      <x:c r="L261" s="52"/>
      <x:c r="M261" s="52"/>
      <x:c r="N261" s="8" t="str">
        <x:v>ยังไม่ยืนยัน</x:v>
      </x:c>
      <x:c r="O26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61" s="40" t="n">
        <x:v>46315</x:v>
      </x:c>
      <x:c r="Q261" s="59" t="str">
        <x:v>ยังไม่ตรวจ</x:v>
      </x:c>
      <x:c r="R261" s="59" t="str">
        <x:v>รอติดต่อ</x:v>
      </x:c>
    </x:row>
    <x:row r="262" ht="84" customHeight="1">
      <x:c r="A262" s="2" t="str">
        <x:v>TMF-254</x:v>
      </x:c>
      <x:c r="B262" s="8" t="str">
        <x:v>ชามิลฮาล้าล ก๋วยเตี๋ยว กาแฟสด คลองตะเคียน</x:v>
      </x:c>
      <x:c r="C262" s="8" t="str">
        <x:v>พระนครศรีอยุธยา</x:v>
      </x:c>
      <x:c r="D262" s="8" t="str">
        <x:v>สำรองหลังปรับตามเส้นทาง</x:v>
      </x:c>
      <x:c r="E262" s="8" t="str">
        <x:v>หลักฐานไม่พอ รอยืนยันการเปิด</x:v>
      </x:c>
      <x:c r="F262" s="8" t="str">
        <x:v>ยังไม่ยืนยันการเปิดให้บริการปัจจุบัน</x:v>
      </x:c>
      <x:c r="G262" s="58" t="n">
        <x:v>1</x:v>
      </x:c>
      <x:c r="H262" s="52"/>
      <x:c r="I262" s="52"/>
      <x:c r="J262" s="52"/>
      <x:c r="K262" s="52"/>
      <x:c r="L262" s="52"/>
      <x:c r="M262" s="52"/>
      <x:c r="N262" s="8" t="str">
        <x:v>ยังไม่ยืนยัน</x:v>
      </x:c>
      <x:c r="O26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62" s="40" t="n">
        <x:v>46315</x:v>
      </x:c>
      <x:c r="Q262" s="59" t="str">
        <x:v>ยังไม่ตรวจ</x:v>
      </x:c>
      <x:c r="R262" s="59" t="str">
        <x:v>รอติดต่อ</x:v>
      </x:c>
    </x:row>
    <x:row r="263" ht="84" customHeight="1">
      <x:c r="A263" s="2" t="str">
        <x:v>TMF-255</x:v>
      </x:c>
      <x:c r="B263" s="8" t="str">
        <x:v>อะฟาฟ อาหารมุสลิม</x:v>
      </x:c>
      <x:c r="C263" s="8" t="str">
        <x:v>พระนครศรีอยุธยา</x:v>
      </x:c>
      <x:c r="D263" s="8" t="str">
        <x:v>อยู่ในชุด 600 ตามเส้นทาง</x:v>
      </x:c>
      <x:c r="E263" s="8" t="str">
        <x:v>พบชื่อสัมพันธ์หลายเว็บไซต์ รอยืนยันสาขา</x:v>
      </x:c>
      <x:c r="F263" s="8" t="str">
        <x:v>ยังไม่ยืนยันการเปิดให้บริการปัจจุบัน</x:v>
      </x:c>
      <x:c r="G263" s="58" t="n">
        <x:v>2</x:v>
      </x:c>
      <x:c r="H263" s="52" t="str"/>
      <x:c r="I263" s="52" t="str"/>
      <x:c r="J263" s="52" t="str">
        <x:v>https://www.wongnai.com/reviews/b306e02e27ca47b1a5c0108bb0bc43ef</x:v>
      </x:c>
      <x:c r="K263" s="52" t="str">
        <x:v>https://www.wongnai.com/restaurants/3367782ZY-%E0%B8%AD%E0%B8%B0%E0%B8%9F%E0%B8%B2%E0%B8%9F-%E0%B8%AD%E0%B8%B2%E0%B8%AB%E0%B8%B2%E0%B8%A3%E0%B8%A1%E0%B8%B8%E0%B8%AA%E0%B8%A5%E0%B8%B4%E0%B8%A1-%E0%B9%80%E0%B8%84%E0%B9%89%E0%B8%81%E0%B8%9A%E0%B9%89%E0%B8%B2%E0%B8%99%E0%B8%AA%E0%B8%A7%E0%B8%99-3</x:v>
      </x:c>
      <x:c r="L263" s="52" t="str">
        <x:v>https://makanhalalguide.com/shop/detail/5820</x:v>
      </x:c>
      <x:c r="M263" s="52" t="str">
        <x:v>https://www.wongnai.com/reviews/b306e02e27ca47b1a5c0108bb0bc43ef</x:v>
      </x:c>
      <x:c r="N263" s="8" t="str">
        <x:v>ยังไม่ยืนยัน</x:v>
      </x:c>
      <x:c r="O263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263" s="40" t="n">
        <x:v>46315</x:v>
      </x:c>
      <x:c r="Q263" s="59" t="str">
        <x:v>ยังไม่ตรวจ</x:v>
      </x:c>
      <x:c r="R263" s="59" t="str">
        <x:v>รอติดต่อ</x:v>
      </x:c>
    </x:row>
    <x:row r="264" ht="84" customHeight="1">
      <x:c r="A264" s="2" t="str">
        <x:v>TMF-256</x:v>
      </x:c>
      <x:c r="B264" s="8" t="str">
        <x:v>อะฟาฟ อาหารมุสลิม สาขาบ้านสวน 3</x:v>
      </x:c>
      <x:c r="C264" s="8" t="str">
        <x:v>พระนครศรีอยุธยา</x:v>
      </x:c>
      <x:c r="D264" s="8" t="str">
        <x:v>อยู่ในชุด 600 ตามเส้นทาง</x:v>
      </x:c>
      <x:c r="E264" s="8" t="str">
        <x:v>พบชื่อสัมพันธ์หลายเว็บไซต์ รอยืนยันสาขา</x:v>
      </x:c>
      <x:c r="F264" s="8" t="str">
        <x:v>ยังไม่ยืนยันการเปิดให้บริการปัจจุบัน</x:v>
      </x:c>
      <x:c r="G264" s="58" t="n">
        <x:v>2</x:v>
      </x:c>
      <x:c r="H264" s="52" t="str"/>
      <x:c r="I264" s="52" t="str"/>
      <x:c r="J264" s="52" t="str">
        <x:v>https://www.wongnai.com/reviews/b306e02e27ca47b1a5c0108bb0bc43ef</x:v>
      </x:c>
      <x:c r="K264" s="52" t="str">
        <x:v>https://www.wongnai.com/restaurants/3367782ZY-%E0%B8%AD%E0%B8%B0%E0%B8%9F%E0%B8%B2%E0%B8%9F-%E0%B8%AD%E0%B8%B2%E0%B8%AB%E0%B8%B2%E0%B8%A3%E0%B8%A1%E0%B8%B8%E0%B8%AA%E0%B8%A5%E0%B8%B4%E0%B8%A1-%E0%B9%80%E0%B8%84%E0%B9%89%E0%B8%81%E0%B8%9A%E0%B9%89%E0%B8%B2%E0%B8%99%E0%B8%AA%E0%B8%A7%E0%B8%99-3</x:v>
      </x:c>
      <x:c r="L264" s="52" t="str">
        <x:v>https://makanhalalguide.com/shop/detail/6095</x:v>
      </x:c>
      <x:c r="M264" s="52" t="str">
        <x:v>https://www.wongnai.com/reviews/b306e02e27ca47b1a5c0108bb0bc43ef</x:v>
      </x:c>
      <x:c r="N264" s="8" t="str">
        <x:v>ยังไม่ยืนยัน</x:v>
      </x:c>
      <x:c r="O264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264" s="40" t="n">
        <x:v>46315</x:v>
      </x:c>
      <x:c r="Q264" s="59" t="str">
        <x:v>ยังไม่ตรวจ</x:v>
      </x:c>
      <x:c r="R264" s="59" t="str">
        <x:v>รอติดต่อ</x:v>
      </x:c>
    </x:row>
    <x:row r="265" ht="84" customHeight="1">
      <x:c r="A265" s="2" t="str">
        <x:v>TMF-257</x:v>
      </x:c>
      <x:c r="B265" s="8" t="str">
        <x:v>ฮัจยีแดง สาขา 4</x:v>
      </x:c>
      <x:c r="C265" s="8" t="str">
        <x:v>พระนครศรีอยุธยา</x:v>
      </x:c>
      <x:c r="D265" s="8" t="str">
        <x:v>สำรองหลังปรับตามเส้นทาง</x:v>
      </x:c>
      <x:c r="E265" s="8" t="str">
        <x:v>หลักฐานไม่พอ รอยืนยันการเปิด</x:v>
      </x:c>
      <x:c r="F265" s="8" t="str">
        <x:v>ยังไม่ยืนยันการเปิดให้บริการปัจจุบัน</x:v>
      </x:c>
      <x:c r="G265" s="58" t="n">
        <x:v>1</x:v>
      </x:c>
      <x:c r="H265" s="52"/>
      <x:c r="I265" s="52"/>
      <x:c r="J265" s="52"/>
      <x:c r="K265" s="52"/>
      <x:c r="L265" s="52"/>
      <x:c r="M265" s="52"/>
      <x:c r="N265" s="8" t="str">
        <x:v>ยังไม่ยืนยัน</x:v>
      </x:c>
      <x:c r="O26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65" s="40" t="n">
        <x:v>46315</x:v>
      </x:c>
      <x:c r="Q265" s="59" t="str">
        <x:v>ยังไม่ตรวจ</x:v>
      </x:c>
      <x:c r="R265" s="59" t="str">
        <x:v>รอติดต่อ</x:v>
      </x:c>
    </x:row>
    <x:row r="266" ht="84" customHeight="1">
      <x:c r="A266" s="2" t="str">
        <x:v>TMF-258</x:v>
      </x:c>
      <x:c r="B266" s="8" t="str">
        <x:v>โจ๊กเสือร้องไห้</x:v>
      </x:c>
      <x:c r="C266" s="8" t="str">
        <x:v>พระนครศรีอยุธยา</x:v>
      </x:c>
      <x:c r="D266" s="8" t="str">
        <x:v>สำรองหลังปรับตามเส้นทาง</x:v>
      </x:c>
      <x:c r="E266" s="8" t="str">
        <x:v>หลักฐานไม่พอ รอยืนยันการเปิด</x:v>
      </x:c>
      <x:c r="F266" s="8" t="str">
        <x:v>ยังไม่ยืนยันการเปิดให้บริการปัจจุบัน</x:v>
      </x:c>
      <x:c r="G266" s="58" t="n">
        <x:v>1</x:v>
      </x:c>
      <x:c r="H266" s="52"/>
      <x:c r="I266" s="52"/>
      <x:c r="J266" s="52"/>
      <x:c r="K266" s="52"/>
      <x:c r="L266" s="52"/>
      <x:c r="M266" s="52"/>
      <x:c r="N266" s="8" t="str">
        <x:v>ยังไม่ยืนยัน</x:v>
      </x:c>
      <x:c r="O26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66" s="40" t="n">
        <x:v>46315</x:v>
      </x:c>
      <x:c r="Q266" s="59" t="str">
        <x:v>ยังไม่ตรวจ</x:v>
      </x:c>
      <x:c r="R266" s="59" t="str">
        <x:v>รอติดต่อ</x:v>
      </x:c>
    </x:row>
    <x:row r="267" ht="84" customHeight="1">
      <x:c r="A267" s="2" t="str">
        <x:v>TMF-259</x:v>
      </x:c>
      <x:c r="B267" s="8" t="str">
        <x:v>โรตีสายไหม อาบีดีน-ประนอม แสงอรุณ สาขา 2</x:v>
      </x:c>
      <x:c r="C267" s="8" t="str">
        <x:v>พระนครศรีอยุธยา</x:v>
      </x:c>
      <x:c r="D267" s="8" t="str">
        <x:v>อยู่ในชุด 600 ตามเส้นทาง</x:v>
      </x:c>
      <x:c r="E267" s="8" t="str">
        <x:v>พบชื่อสัมพันธ์หลายเว็บไซต์ รอยืนยันสาขา</x:v>
      </x:c>
      <x:c r="F267" s="8" t="str">
        <x:v>ยังไม่ยืนยันการเปิดให้บริการปัจจุบัน</x:v>
      </x:c>
      <x:c r="G267" s="58" t="n">
        <x:v>3</x:v>
      </x:c>
      <x:c r="H267" s="52" t="str"/>
      <x:c r="I267" s="52" t="str"/>
      <x:c r="J267" s="52" t="str">
        <x:v>https://www.wongnai.com/reviews/409a0dfdb89549eb9a3c6bac70f0df73</x:v>
      </x:c>
      <x:c r="K267" s="52" t="str">
        <x:v>https://www.wongnai.com/restaurants/22214aZ-%E0%B9%82%E0%B8%A3%E0%B8%95%E0%B8%B5%E0%B8%AA%E0%B8%B2%E0%B8%A2%E0%B9%84%E0%B8%AB%E0%B8%A1-%E0%B8%AD%E0%B8%B2%E0%B8%9A%E0%B8%B5%E0%B8%94%E0%B8%B5%E0%B8%99-%E0%B8%9B%E0%B8%A3%E0%B8%B0%E0%B8%99%E0%B8%AD%E0%B8%A1-%E0%B9%81%E0%B8%AA%E0%B8%87%E0%B8%AD%E0%B8%A3%E0%B8%B8%E0%B8%93-%E0%B9%82%E0%B8%A3%E0%B8%95%E0%B8%B5%E0%B8%AA%E0%B8%B2%E0%B8%A2%E0%B9%84%E0%B8%AB%E0%B8%A1-%E0%B8%AD%E0%B8%B2%E0%B8%9A%E0%B8%B5%E0%B8%94%E0%B8%B5%E0%B8%99-%E0%B8%9B%E0%B8%A3%E0%B8%B0%E0%B8%99%E0%B8%AD%E0%B8%A1-%E0%B9%81%E0%B8%AA%E0%B8%87%E0%B8%AD%E0%B8%A3%E0%B8%B8%E0%B8%93-%E0%B8%AA%E0%B8%B2%E0%B8%82%E0%B8%B22/reviews</x:v>
      </x:c>
      <x:c r="L267" s="52" t="str">
        <x:v>https://makanhalalguide.com/shop/detail/6361</x:v>
      </x:c>
      <x:c r="M267" s="52" t="str">
        <x:v>https://www.wongnai.com/reviews/409a0dfdb89549eb9a3c6bac70f0df73</x:v>
      </x:c>
      <x:c r="N267" s="8" t="str">
        <x:v>ยังไม่ยืนยัน</x:v>
      </x:c>
      <x:c r="O267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267" s="40" t="n">
        <x:v>46315</x:v>
      </x:c>
      <x:c r="Q267" s="59" t="str">
        <x:v>ยังไม่ตรวจ</x:v>
      </x:c>
      <x:c r="R267" s="59" t="str">
        <x:v>รอติดต่อ</x:v>
      </x:c>
    </x:row>
    <x:row r="268" ht="84" customHeight="1">
      <x:c r="A268" s="2" t="str">
        <x:v>TMF-260</x:v>
      </x:c>
      <x:c r="B268" s="8" t="str">
        <x:v>ไก่ทอดหาดใหญ่ มูฮำหมัด อยุธยา สาขา 2 (ตรงข้ามวัดธรรมิกราช)</x:v>
      </x:c>
      <x:c r="C268" s="8" t="str">
        <x:v>พระนครศรีอยุธยา</x:v>
      </x:c>
      <x:c r="D268" s="8" t="str">
        <x:v>อยู่ในชุด 600 ตามเส้นทาง</x:v>
      </x:c>
      <x:c r="E268" s="8" t="str">
        <x:v>พบชื่อสัมพันธ์หลายเว็บไซต์ รอยืนยันสาขา</x:v>
      </x:c>
      <x:c r="F268" s="8" t="str">
        <x:v>ยังไม่ยืนยันการเปิดให้บริการปัจจุบัน</x:v>
      </x:c>
      <x:c r="G268" s="58" t="n">
        <x:v>3</x:v>
      </x:c>
      <x:c r="H268" s="52" t="str"/>
      <x:c r="I268" s="52" t="str"/>
      <x:c r="J268" s="52" t="str">
        <x:v>https://www.wongnai.com/restaurants/3354563by-%E0%B9%84%E0%B8%81%E0%B9%88%E0%B8%97%E0%B8%AD%E0%B8%94%E0%B8%AB%E0%B8%B2%E0%B8%94%E0%B9%83%E0%B8%AB%E0%B8%8D%E0%B9%88-%E0%B8%A1%E0%B8%B9%E0%B8%AE%E0%B8%B3%E0%B8%AB%E0%B8%A1%E0%B8%B1%E0%B8%94-%E0%B8%AD%E0%B8%A2%E0%B8%B8%E0%B8%98%E0%B8%A2%E0%B8%B2-%E0%B8%95%E0%B8%A3%E0%B8%87%E0%B8%82%E0%B9%89%E0%B8%B2%E0%B8%A1%E0%B8%A7%E0%B8%B1%E0%B8%94%E0%B8%98%E0%B8%A3%E0%B8%A3%E0%B8%A1%E0%B8%B4%E0%B8%81%E0%B8%B2%E0%B8%A3%E0%B8%B2%E0%B8%8A</x:v>
      </x:c>
      <x:c r="K268" s="52" t="str">
        <x:v>https://www.lemon8-app.com/%40variety_my_home/7446681422242628114?region=th</x:v>
      </x:c>
      <x:c r="L268" s="52" t="str">
        <x:v>https://makanhalalguide.com/shop/detail/5218</x:v>
      </x:c>
      <x:c r="M268" s="52" t="str">
        <x:v>https://www.wongnai.com/restaurants/3354563by-%E0%B9%84%E0%B8%81%E0%B9%88%E0%B8%97%E0%B8%AD%E0%B8%94%E0%B8%AB%E0%B8%B2%E0%B8%94%E0%B9%83%E0%B8%AB%E0%B8%8D%E0%B9%88-%E0%B8%A1%E0%B8%B9%E0%B8%AE%E0%B8%B3%E0%B8%AB%E0%B8%A1%E0%B8%B1%E0%B8%94-%E0%B8%AD%E0%B8%A2%E0%B8%B8%E0%B8%98%E0%B8%A2%E0%B8%B2-%E0%B8%95%E0%B8%A3%E0%B8%87%E0%B8%82%E0%B9%89%E0%B8%B2%E0%B8%A1%E0%B8%A7%E0%B8%B1%E0%B8%94%E0%B8%98%E0%B8%A3%E0%B8%A3%E0%B8%A1%E0%B8%B4%E0%B8%81%E0%B8%B2%E0%B8%A3%E0%B8%B2%E0%B8%8A</x:v>
      </x:c>
      <x:c r="N268" s="8" t="str">
        <x:v>ยังไม่ยืนยัน</x:v>
      </x:c>
      <x:c r="O268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268" s="40" t="n">
        <x:v>46315</x:v>
      </x:c>
      <x:c r="Q268" s="59" t="str">
        <x:v>ยังไม่ตรวจ</x:v>
      </x:c>
      <x:c r="R268" s="59" t="str">
        <x:v>รอติดต่อ</x:v>
      </x:c>
    </x:row>
    <x:row r="269" ht="84" customHeight="1">
      <x:c r="A269" s="2" t="str">
        <x:v>TMF-261</x:v>
      </x:c>
      <x:c r="B269" s="8" t="str">
        <x:v>ไก่ทอดหาดใหญ่ มูฮำหมัด-อยุธยา สาขา 1</x:v>
      </x:c>
      <x:c r="C269" s="8" t="str">
        <x:v>พระนครศรีอยุธยา</x:v>
      </x:c>
      <x:c r="D269" s="8" t="str">
        <x:v>อยู่ในชุด 600 ตามเส้นทาง</x:v>
      </x:c>
      <x:c r="E269" s="8" t="str">
        <x:v>พบชื่อสัมพันธ์หลายเว็บไซต์ รอยืนยันสาขา</x:v>
      </x:c>
      <x:c r="F269" s="8" t="str">
        <x:v>ยังไม่ยืนยันการเปิดให้บริการปัจจุบัน</x:v>
      </x:c>
      <x:c r="G269" s="58" t="n">
        <x:v>3</x:v>
      </x:c>
      <x:c r="H269" s="52" t="str"/>
      <x:c r="I269" s="52" t="str"/>
      <x:c r="J269" s="52" t="str">
        <x:v>https://restaurantguru.com/%E0%B8%A1%E0%B8%B9%E0%B8%AE%E0%B8%B3%E0%B8%AB%E0%B8%A1%E0%B8%B1%E0%B8%94-%E0%B9%84%E0%B8%81%E0%B9%88%E0%B8%97%E0%B8%AD%E0%B8%94%E0%B8%AA%E0%B8%B9%E0%B8%95%E0%B8%A3%E0%B8%AB%E0%B8%B2%E0%B8%94%E0%B9%83%E0%B8%AB%E0%B8%8D%E0%B9%88-%E0%B8%88%E0%B8%B2%E0%B8%81%E0%B8%9B%E0%B8%B2%E0%B8%87%E0%B8%8A%E0%B9%89%E0%B8%B2%E0%B8%87%E0%B8%AD%E0%B8%A2%E0%B8%B8%E0%B8%98%E0%B8%A2%E0%B8%B2-Phra-Nakhon-Si-Ayutthaya</x:v>
      </x:c>
      <x:c r="K269" s="52" t="str">
        <x:v>https://www.lemon8-app.com/%40poppytnp/7591095832632427028?region=th</x:v>
      </x:c>
      <x:c r="L269" s="52" t="str">
        <x:v>https://makanhalalguide.com/shop/detail/5217</x:v>
      </x:c>
      <x:c r="M269" s="52" t="str">
        <x:v>https://restaurantguru.com/%E0%B8%A1%E0%B8%B9%E0%B8%AE%E0%B8%B3%E0%B8%AB%E0%B8%A1%E0%B8%B1%E0%B8%94-%E0%B9%84%E0%B8%81%E0%B9%88%E0%B8%97%E0%B8%AD%E0%B8%94%E0%B8%AA%E0%B8%B9%E0%B8%95%E0%B8%A3%E0%B8%AB%E0%B8%B2%E0%B8%94%E0%B9%83%E0%B8%AB%E0%B8%8D%E0%B9%88-%E0%B8%88%E0%B8%B2%E0%B8%81%E0%B8%9B%E0%B8%B2%E0%B8%87%E0%B8%8A%E0%B9%89%E0%B8%B2%E0%B8%87%E0%B8%AD%E0%B8%A2%E0%B8%B8%E0%B8%98%E0%B8%A2%E0%B8%B2-Phra-Nakhon-Si-Ayutthaya</x:v>
      </x:c>
      <x:c r="N269" s="8" t="str">
        <x:v>ยังไม่ยืนยัน</x:v>
      </x:c>
      <x:c r="O269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269" s="40" t="n">
        <x:v>46315</x:v>
      </x:c>
      <x:c r="Q269" s="59" t="str">
        <x:v>ยังไม่ตรวจ</x:v>
      </x:c>
      <x:c r="R269" s="59" t="str">
        <x:v>รอติดต่อ</x:v>
      </x:c>
    </x:row>
    <x:row r="270" ht="84" customHeight="1">
      <x:c r="A270" s="2" t="str">
        <x:v>TMF-262</x:v>
      </x:c>
      <x:c r="B270" s="8" t="str">
        <x:v>โรตีฮาลาลเจ้าเก่าน้ำพรุร้อนหินดาด</x:v>
      </x:c>
      <x:c r="C270" s="8" t="str">
        <x:v>กาญจนบุรี</x:v>
      </x:c>
      <x:c r="D270" s="8" t="str">
        <x:v>สำรองหลังปรับตามเส้นทาง</x:v>
      </x:c>
      <x:c r="E270" s="8" t="str">
        <x:v>หลักฐานไม่พอ รอยืนยันการเปิด</x:v>
      </x:c>
      <x:c r="F270" s="8" t="str">
        <x:v>ยังไม่ยืนยันการเปิดให้บริการปัจจุบัน</x:v>
      </x:c>
      <x:c r="G270" s="58" t="n">
        <x:v>1</x:v>
      </x:c>
      <x:c r="H270" s="52"/>
      <x:c r="I270" s="52"/>
      <x:c r="J270" s="52"/>
      <x:c r="K270" s="52"/>
      <x:c r="L270" s="52"/>
      <x:c r="M270" s="52"/>
      <x:c r="N270" s="8" t="str">
        <x:v>ยังไม่ยืนยัน</x:v>
      </x:c>
      <x:c r="O27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70" s="40" t="n">
        <x:v>46315</x:v>
      </x:c>
      <x:c r="Q270" s="59" t="str">
        <x:v>ยังไม่ตรวจ</x:v>
      </x:c>
      <x:c r="R270" s="59" t="str">
        <x:v>รอติดต่อ</x:v>
      </x:c>
    </x:row>
    <x:row r="271" ht="84" customHeight="1">
      <x:c r="A271" s="2" t="str">
        <x:v>TMF-263</x:v>
      </x:c>
      <x:c r="B271" s="8" t="str">
        <x:v>Venice Krabi Villa Resort</x:v>
      </x:c>
      <x:c r="C271" s="8" t="str">
        <x:v>กระบี่</x:v>
      </x:c>
      <x:c r="D271" s="8" t="str">
        <x:v>อยู่ในชุด 600 ตามเส้นทาง</x:v>
      </x:c>
      <x:c r="E271" s="8" t="str">
        <x:v>พบชื่อสัมพันธ์หลายเว็บไซต์ รอยืนยันสาขา</x:v>
      </x:c>
      <x:c r="F271" s="8" t="str">
        <x:v>ยังไม่ยืนยันการเปิดให้บริการปัจจุบัน</x:v>
      </x:c>
      <x:c r="G271" s="58" t="n">
        <x:v>7</x:v>
      </x:c>
      <x:c r="H271" s="52" t="str"/>
      <x:c r="I271" s="52" t="str"/>
      <x:c r="J271" s="52" t="str">
        <x:v>https://www.google.co.th/travel/hotels/entity/CgsIitz_veKr3o3TARAB</x:v>
      </x:c>
      <x:c r="K271" s="52" t="str">
        <x:v>https://www.wongnai.com/hotels/641986zx-venice-krabi-villa-resort</x:v>
      </x:c>
      <x:c r="L271" s="52" t="str">
        <x:v>https://www.thic.or.th/th/tourist/detail/tourist/3</x:v>
      </x:c>
      <x:c r="M271" s="52" t="str">
        <x:v>https://www.google.co.th/travel/hotels/entity/CgsIitz_veKr3o3TARAB</x:v>
      </x:c>
      <x:c r="N271" s="8" t="str">
        <x:v>ยังไม่ยืนยัน</x:v>
      </x:c>
      <x:c r="O271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1" s="40" t="n">
        <x:v>46315</x:v>
      </x:c>
      <x:c r="Q271" s="59" t="str">
        <x:v>ยังไม่ตรวจ</x:v>
      </x:c>
      <x:c r="R271" s="59" t="str">
        <x:v>รอติดต่อ</x:v>
      </x:c>
    </x:row>
    <x:row r="272" ht="84" customHeight="1">
      <x:c r="A272" s="2" t="str">
        <x:v>TMF-264</x:v>
      </x:c>
      <x:c r="B272" s="8" t="str">
        <x:v>บ้านใสใน รีสอร์ท</x:v>
      </x:c>
      <x:c r="C272" s="8" t="str">
        <x:v>กระบี่</x:v>
      </x:c>
      <x:c r="D272" s="8" t="str">
        <x:v>อยู่ในชุด 600 ตามเส้นทาง</x:v>
      </x:c>
      <x:c r="E272" s="8" t="str">
        <x:v>พบชื่อสัมพันธ์หลายเว็บไซต์ รอยืนยันสาขา</x:v>
      </x:c>
      <x:c r="F272" s="8" t="str">
        <x:v>ยังไม่ยืนยันการเปิดให้บริการปัจจุบัน</x:v>
      </x:c>
      <x:c r="G272" s="58" t="n">
        <x:v>9</x:v>
      </x:c>
      <x:c r="H272" s="52" t="str"/>
      <x:c r="I272" s="52" t="str"/>
      <x:c r="J272" s="52" t="str">
        <x:v>https://th.hotels.com/ho442182/ban-s-n-risxrth-krabi-thiy/</x:v>
      </x:c>
      <x:c r="K272" s="52" t="str">
        <x:v>https://www.expedia.co.th/Krabi-Hotels-Ban-Sainai-Resort.h6598818.Hotel-Information?equalTargetTab=tab-1</x:v>
      </x:c>
      <x:c r="L272" s="52" t="str">
        <x:v>https://www.thic.or.th/th/tourist/detail/accommodation/26</x:v>
      </x:c>
      <x:c r="M272" s="52" t="str">
        <x:v>https://th.hotels.com/ho442182/ban-s-n-risxrth-krabi-thiy/</x:v>
      </x:c>
      <x:c r="N272" s="8" t="str">
        <x:v>ยังไม่ยืนยัน</x:v>
      </x:c>
      <x:c r="O272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2" s="40" t="n">
        <x:v>46315</x:v>
      </x:c>
      <x:c r="Q272" s="59" t="str">
        <x:v>ยังไม่ตรวจ</x:v>
      </x:c>
      <x:c r="R272" s="59" t="str">
        <x:v>รอติดต่อ</x:v>
      </x:c>
    </x:row>
    <x:row r="273" ht="84" customHeight="1">
      <x:c r="A273" s="2" t="str">
        <x:v>TMF-265</x:v>
      </x:c>
      <x:c r="B273" s="8" t="str">
        <x:v>อ่าวนาง ซิลเวอร์ ออร์คิด รีสอร์ท</x:v>
      </x:c>
      <x:c r="C273" s="8" t="str">
        <x:v>กระบี่</x:v>
      </x:c>
      <x:c r="D273" s="8" t="str">
        <x:v>อยู่ในชุด 600 ตามเส้นทาง</x:v>
      </x:c>
      <x:c r="E273" s="8" t="str">
        <x:v>พบชื่อสัมพันธ์หลายเว็บไซต์ รอยืนยันสาขา</x:v>
      </x:c>
      <x:c r="F273" s="8" t="str">
        <x:v>ยังไม่ยืนยันการเปิดให้บริการปัจจุบัน</x:v>
      </x:c>
      <x:c r="G273" s="58" t="n">
        <x:v>8</x:v>
      </x:c>
      <x:c r="H273" s="52" t="str"/>
      <x:c r="I273" s="52" t="str"/>
      <x:c r="J273" s="52" t="str">
        <x:v>https://th.hotels.com/ho471122/xaw-nang-silwexr-xxr-khid-risxrth-krabi-thiy/</x:v>
      </x:c>
      <x:c r="K273" s="52" t="str">
        <x:v>https://www.youtube.com/watch?v=vffOWYs51qc</x:v>
      </x:c>
      <x:c r="L273" s="52" t="str">
        <x:v>https://www.thic.or.th/th/tourist/detail/accommodation/25</x:v>
      </x:c>
      <x:c r="M273" s="52" t="str">
        <x:v>https://th.hotels.com/ho471122/xaw-nang-silwexr-xxr-khid-risxrth-krabi-thiy/</x:v>
      </x:c>
      <x:c r="N273" s="8" t="str">
        <x:v>ยังไม่ยืนยัน</x:v>
      </x:c>
      <x:c r="O273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3" s="40" t="n">
        <x:v>46315</x:v>
      </x:c>
      <x:c r="Q273" s="59" t="str">
        <x:v>ยังไม่ตรวจ</x:v>
      </x:c>
      <x:c r="R273" s="59" t="str">
        <x:v>รอติดต่อ</x:v>
      </x:c>
    </x:row>
    <x:row r="274" ht="84" customHeight="1">
      <x:c r="A274" s="2" t="str">
        <x:v>TMF-266</x:v>
      </x:c>
      <x:c r="B274" s="8" t="str">
        <x:v>โรงแรมกระบี่เพชรไพลิน</x:v>
      </x:c>
      <x:c r="C274" s="8" t="str">
        <x:v>กระบี่</x:v>
      </x:c>
      <x:c r="D274" s="8" t="str">
        <x:v>อยู่ในชุด 600 ตามเส้นทาง</x:v>
      </x:c>
      <x:c r="E274" s="8" t="str">
        <x:v>พบชื่อสัมพันธ์หลายเว็บไซต์ รอยืนยันสาขา</x:v>
      </x:c>
      <x:c r="F274" s="8" t="str">
        <x:v>ยังไม่ยืนยันการเปิดให้บริการปัจจุบัน</x:v>
      </x:c>
      <x:c r="G274" s="58" t="n">
        <x:v>6</x:v>
      </x:c>
      <x:c r="H274" s="52" t="str"/>
      <x:c r="I274" s="52" t="str"/>
      <x:c r="J274" s="52" t="str">
        <x:v>https://www.google.co.th/travel/hotels/entity/ChcItZfa5bLpw6MRGgsvZy8xdGhzengxNRAB?ap=MAA&amp;ts=CAEaBAoCGgAqBAoAGgA</x:v>
      </x:c>
      <x:c r="K274" s="52" t="str">
        <x:v>https://www.expedia.co.th/Krabi-Hotels-Krabi-Phetpailin-Hotel.h8315486.Hotel-Information</x:v>
      </x:c>
      <x:c r="L274" s="52" t="str">
        <x:v>https://www.thic.or.th/th/tourist/detail/accommodation/23</x:v>
      </x:c>
      <x:c r="M274" s="52" t="str">
        <x:v>https://www.google.co.th/travel/hotels/entity/ChcItZfa5bLpw6MRGgsvZy8xdGhzengxNRAB?ap=MAA&amp;ts=CAEaBAoCGgAqBAoAGgA</x:v>
      </x:c>
      <x:c r="N274" s="8" t="str">
        <x:v>ยังไม่ยืนยัน</x:v>
      </x:c>
      <x:c r="O274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4" s="40" t="n">
        <x:v>46315</x:v>
      </x:c>
      <x:c r="Q274" s="59" t="str">
        <x:v>ยังไม่ตรวจ</x:v>
      </x:c>
      <x:c r="R274" s="59" t="str">
        <x:v>รอติดต่อ</x:v>
      </x:c>
    </x:row>
    <x:row r="275" ht="84" customHeight="1">
      <x:c r="A275" s="2" t="str">
        <x:v>TMF-267</x:v>
      </x:c>
      <x:c r="B275" s="8" t="str">
        <x:v>โรงแรมอ่าวนางวิลล่า รีสอร์ท</x:v>
      </x:c>
      <x:c r="C275" s="8" t="str">
        <x:v>กระบี่</x:v>
      </x:c>
      <x:c r="D275" s="8" t="str">
        <x:v>อยู่ในชุด 600 ตามเส้นทาง</x:v>
      </x:c>
      <x:c r="E275" s="8" t="str">
        <x:v>พบชื่อสัมพันธ์หลายเว็บไซต์ รอยืนยันสาขา</x:v>
      </x:c>
      <x:c r="F275" s="8" t="str">
        <x:v>ยังไม่ยืนยันการเปิดให้บริการปัจจุบัน</x:v>
      </x:c>
      <x:c r="G275" s="58" t="n">
        <x:v>4</x:v>
      </x:c>
      <x:c r="H275" s="52" t="str"/>
      <x:c r="I275" s="52" t="str"/>
      <x:c r="J275" s="52" t="str">
        <x:v>https://th.tripadvisor.com/Hotel_Review-g1507054-d308736-Reviews-or30-Aonang_Villa_Resort-Ao_Nang_Krabi_Province.html</x:v>
      </x:c>
      <x:c r="K275" s="52" t="str">
        <x:v>https://th.trip.com/hotels/krabi-town-hotel-detail-709768/aonang-villa-resort-i-lifestyle-beachfront-resort/?locale=th-TH&amp;rankingId=100200247049</x:v>
      </x:c>
      <x:c r="L275" s="52" t="str">
        <x:v>https://www.thic.or.th/th/tourist/detail/accommodation/175</x:v>
      </x:c>
      <x:c r="M275" s="52" t="str">
        <x:v>https://th.tripadvisor.com/Hotel_Review-g1507054-d308736-Reviews-or30-Aonang_Villa_Resort-Ao_Nang_Krabi_Province.html</x:v>
      </x:c>
      <x:c r="N275" s="8" t="str">
        <x:v>ยังไม่ยืนยัน</x:v>
      </x:c>
      <x:c r="O275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5" s="40" t="n">
        <x:v>46315</x:v>
      </x:c>
      <x:c r="Q275" s="59" t="str">
        <x:v>ยังไม่ตรวจ</x:v>
      </x:c>
      <x:c r="R275" s="59" t="str">
        <x:v>รอติดต่อ</x:v>
      </x:c>
    </x:row>
    <x:row r="276" ht="84" customHeight="1">
      <x:c r="A276" s="2" t="str">
        <x:v>TMF-268</x:v>
      </x:c>
      <x:c r="B276" s="8" t="str">
        <x:v>โรงแรมแองโคล่า วายแอนด์ดับบลิว</x:v>
      </x:c>
      <x:c r="C276" s="8" t="str">
        <x:v>กระบี่</x:v>
      </x:c>
      <x:c r="D276" s="8" t="str">
        <x:v>สำรองหลังปรับตามเส้นทาง</x:v>
      </x:c>
      <x:c r="E276" s="8" t="str">
        <x:v>หลักฐานไม่พอ รอยืนยันการเปิด</x:v>
      </x:c>
      <x:c r="F276" s="8" t="str">
        <x:v>ยังไม่ยืนยันการเปิดให้บริการปัจจุบัน</x:v>
      </x:c>
      <x:c r="G276" s="58" t="n">
        <x:v>1</x:v>
      </x:c>
      <x:c r="H276" s="52"/>
      <x:c r="I276" s="52"/>
      <x:c r="J276" s="52"/>
      <x:c r="K276" s="52"/>
      <x:c r="L276" s="52"/>
      <x:c r="M276" s="52"/>
      <x:c r="N276" s="8" t="str">
        <x:v>ยังไม่ยืนยัน</x:v>
      </x:c>
      <x:c r="O27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76" s="40" t="n">
        <x:v>46315</x:v>
      </x:c>
      <x:c r="Q276" s="59" t="str">
        <x:v>ยังไม่ตรวจ</x:v>
      </x:c>
      <x:c r="R276" s="59" t="str">
        <x:v>รอติดต่อ</x:v>
      </x:c>
    </x:row>
    <x:row r="277" ht="84" customHeight="1">
      <x:c r="A277" s="2" t="str">
        <x:v>TMF-269</x:v>
      </x:c>
      <x:c r="B277" s="8" t="str">
        <x:v>Amanah Bangkok</x:v>
      </x:c>
      <x:c r="C277" s="8" t="str">
        <x:v>กรุงเทพมหานคร</x:v>
      </x:c>
      <x:c r="D277" s="8" t="str">
        <x:v>อยู่ในชุด 600 ตามเส้นทาง</x:v>
      </x:c>
      <x:c r="E277" s="8" t="str">
        <x:v>พบชื่อสัมพันธ์หลายเว็บไซต์ รอยืนยันสาขา</x:v>
      </x:c>
      <x:c r="F277" s="8" t="str">
        <x:v>ยังไม่ยืนยันการเปิดให้บริการปัจจุบัน</x:v>
      </x:c>
      <x:c r="G277" s="58" t="n">
        <x:v>6</x:v>
      </x:c>
      <x:c r="H277" s="52" t="str"/>
      <x:c r="I277" s="52" t="str"/>
      <x:c r="J277" s="52" t="str">
        <x:v>https://www.google.co.th/travel/hotels/entity/ChkI44rK8ors98Z2Gg0vZy8xMWoxamIxNHJwEAE</x:v>
      </x:c>
      <x:c r="K277" s="52" t="str">
        <x:v>https://th.tripadvisor.com/Hotel_Review-g293916-d21287292-Reviews-Amanah_Bangkok-Bangkok.html</x:v>
      </x:c>
      <x:c r="L277" s="52" t="str">
        <x:v>https://www.thic.or.th/th/tourist/detail/accommodation/547</x:v>
      </x:c>
      <x:c r="M277" s="52" t="str">
        <x:v>https://www.google.co.th/travel/hotels/entity/ChkI44rK8ors98Z2Gg0vZy8xMWoxamIxNHJwEAE</x:v>
      </x:c>
      <x:c r="N277" s="8" t="str">
        <x:v>ยังไม่ยืนยัน</x:v>
      </x:c>
      <x:c r="O277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7" s="40" t="n">
        <x:v>46315</x:v>
      </x:c>
      <x:c r="Q277" s="59" t="str">
        <x:v>ยังไม่ตรวจ</x:v>
      </x:c>
      <x:c r="R277" s="59" t="str">
        <x:v>รอติดต่อ</x:v>
      </x:c>
    </x:row>
    <x:row r="278" ht="84" customHeight="1">
      <x:c r="A278" s="2" t="str">
        <x:v>TMF-270</x:v>
      </x:c>
      <x:c r="B278" s="8" t="str">
        <x:v>Noursabah Boutique Bed Bangkok</x:v>
      </x:c>
      <x:c r="C278" s="8" t="str">
        <x:v>กรุงเทพมหานคร</x:v>
      </x:c>
      <x:c r="D278" s="8" t="str">
        <x:v>อยู่ในชุด 600 ตามเส้นทาง</x:v>
      </x:c>
      <x:c r="E278" s="8" t="str">
        <x:v>พบชื่อสัมพันธ์หลายเว็บไซต์ รอยืนยันสาขา</x:v>
      </x:c>
      <x:c r="F278" s="8" t="str">
        <x:v>ยังไม่ยืนยันการเปิดให้บริการปัจจุบัน</x:v>
      </x:c>
      <x:c r="G278" s="58" t="n">
        <x:v>7</x:v>
      </x:c>
      <x:c r="H278" s="52" t="str"/>
      <x:c r="I278" s="52" t="str"/>
      <x:c r="J278" s="52" t="str">
        <x:v>https://www.booking.com/hotel/th/noursabah-bed-bangkok-nusbaa.th.html</x:v>
      </x:c>
      <x:c r="K278" s="52" t="str">
        <x:v>https://th.tripadvisor.com/Hotel_Review-g293916-d11824173-Reviews-Noursabah_Boutique_Bed_Bangkok-Bangkok.html</x:v>
      </x:c>
      <x:c r="L278" s="52" t="str">
        <x:v>https://www.thic.or.th/th/tourist/detail/accommodation/546</x:v>
      </x:c>
      <x:c r="M278" s="52" t="str">
        <x:v>https://www.booking.com/hotel/th/noursabah-bed-bangkok-nusbaa.th.html</x:v>
      </x:c>
      <x:c r="N278" s="8" t="str">
        <x:v>ยังไม่ยืนยัน</x:v>
      </x:c>
      <x:c r="O278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278" s="40" t="n">
        <x:v>46315</x:v>
      </x:c>
      <x:c r="Q278" s="59" t="str">
        <x:v>ยังไม่ตรวจ</x:v>
      </x:c>
      <x:c r="R278" s="59" t="str">
        <x:v>รอติดต่อ</x:v>
      </x:c>
    </x:row>
    <x:row r="279" ht="84" customHeight="1">
      <x:c r="A279" s="2" t="str">
        <x:v>TMF-271</x:v>
      </x:c>
      <x:c r="B279" s="8" t="str">
        <x:v>มุสลิมโฮม 2 Muslimhome2</x:v>
      </x:c>
      <x:c r="C279" s="8" t="str">
        <x:v>กรุงเทพมหานคร</x:v>
      </x:c>
      <x:c r="D279" s="8" t="str">
        <x:v>สำรองหลังปรับตามเส้นทาง</x:v>
      </x:c>
      <x:c r="E279" s="8" t="str">
        <x:v>พบหลายแหล่งสัมพันธ์กับชื่อ รอยืนยันการเปิด</x:v>
      </x:c>
      <x:c r="F279" s="8" t="str">
        <x:v>ยังไม่ยืนยันการเปิดให้บริการปัจจุบัน</x:v>
      </x:c>
      <x:c r="G279" s="58" t="n">
        <x:v>2</x:v>
      </x:c>
      <x:c r="H279" s="52"/>
      <x:c r="I279" s="52"/>
      <x:c r="J279" s="52"/>
      <x:c r="K279" s="52"/>
      <x:c r="L279" s="52" t="str">
        <x:v>HYPERLINK is not implemented. linkLocation=https://www.thaithurkic.com/%E0%B8%A1%E0%B8%B8%E0%B8%AA%E0%B8%A5%E0%B8%B4%E0%B8%A1%E0%B9%82%E0%B8%AE%E0%B8%A1-muslimhome-02-318-6020, friendlyName=เปิดเว็บเพิ่ม 1</x:v>
      </x:c>
      <x:c r="M279" s="52"/>
      <x:c r="N279" s="8" t="str">
        <x:v>ยังไม่ยืนยัน</x:v>
      </x:c>
      <x:c r="O279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79" s="40" t="n">
        <x:v>46315</x:v>
      </x:c>
      <x:c r="Q279" s="59" t="str">
        <x:v>ยังไม่ตรวจ</x:v>
      </x:c>
      <x:c r="R279" s="59" t="str">
        <x:v>รอติดต่อ</x:v>
      </x:c>
    </x:row>
    <x:row r="280" ht="84" customHeight="1">
      <x:c r="A280" s="2" t="str">
        <x:v>TMF-272</x:v>
      </x:c>
      <x:c r="B280" s="8" t="str">
        <x:v>โรงแรมอัญชาลีน่าแกรนด์</x:v>
      </x:c>
      <x:c r="C280" s="8" t="str">
        <x:v>กรุงเทพมหานคร</x:v>
      </x:c>
      <x:c r="D280" s="8" t="str">
        <x:v>สำรองหลังปรับตามเส้นทาง</x:v>
      </x:c>
      <x:c r="E280" s="8" t="str">
        <x:v>พบหลายแหล่งสัมพันธ์กับชื่อ รอยืนยันการเปิด</x:v>
      </x:c>
      <x:c r="F280" s="8" t="str">
        <x:v>ยังไม่ยืนยันการเปิดให้บริการปัจจุบัน</x:v>
      </x:c>
      <x:c r="G280" s="58" t="n">
        <x:v>5</x:v>
      </x:c>
      <x:c r="H280" s="52"/>
      <x:c r="I280" s="52"/>
      <x:c r="J280" s="52" t="str">
        <x:v>HYPERLINK is not implemented. linkLocation=https://www.google.co.th/travel/hotels/entity/CgsIpo626vWx-sHeARAB?ts=CAEaBAoCGgAqBAoAGgA, friendlyName=เปิดหน้ารีวิว 1</x:v>
      </x:c>
      <x:c r="K280" s="52" t="str">
        <x:v>HYPERLINK is not implemented. linkLocation=https://www.google.co.th/travel/hotels/entity/CgsIpo626vWx-sHeARAB?rp=OAHCAhwiGg0AAEBBEhMI_czPxZilkAMV9NvCBB0AmQYF&amp;ts=CAEaIgoCGgASHBIUCgcI6g8QBxgaEgcI6g8QBxgbGAEyAhAAOAEqBAoAGgA, friendlyName=เปิดหน้ารีวิว 2</x:v>
      </x:c>
      <x:c r="L280" s="52" t="str">
        <x:v>HYPERLINK is not implemented. linkLocation=https://www.aunchaleenagrandhotel.com/, friendlyName=เปิดเว็บเพิ่ม 1</x:v>
      </x:c>
      <x:c r="M280" s="52" t="str">
        <x:v>HYPERLINK is not implemented. linkLocation=https://www.gother.com/th-th/hotels/thailand/bangkok/wang-thonglang/aunchaleena-grand-hotel, friendlyName=เปิดเว็บเพิ่ม 2</x:v>
      </x:c>
      <x:c r="N280" s="8" t="str">
        <x:v>ยังไม่ยืนยัน</x:v>
      </x:c>
      <x:c r="O28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80" s="40" t="n">
        <x:v>46315</x:v>
      </x:c>
      <x:c r="Q280" s="59" t="str">
        <x:v>ยังไม่ตรวจ</x:v>
      </x:c>
      <x:c r="R280" s="59" t="str">
        <x:v>รอติดต่อ</x:v>
      </x:c>
    </x:row>
    <x:row r="281" ht="84" customHeight="1">
      <x:c r="A281" s="2" t="str">
        <x:v>TMF-273</x:v>
      </x:c>
      <x:c r="B281" s="8" t="str">
        <x:v>AMI MALAYA INDONESIAN HALAL FOOD (Phenix ประตูน้ำ)</x:v>
      </x:c>
      <x:c r="C281" s="8" t="str">
        <x:v>กรุงเทพมหานคร</x:v>
      </x:c>
      <x:c r="D281" s="8" t="str">
        <x:v>สำรองหลังปรับตามเส้นทาง</x:v>
      </x:c>
      <x:c r="E281" s="8" t="str">
        <x:v>พบหลายแหล่งสัมพันธ์กับชื่อ รอยืนยันการเปิด</x:v>
      </x:c>
      <x:c r="F281" s="8" t="str">
        <x:v>ยังไม่ยืนยันการเปิดให้บริการปัจจุบัน</x:v>
      </x:c>
      <x:c r="G281" s="58" t="n">
        <x:v>7</x:v>
      </x:c>
      <x:c r="H281" s="52"/>
      <x:c r="I281" s="52"/>
      <x:c r="J281" s="52" t="str">
        <x:v>HYPERLINK is not implemented. linkLocation=https://wanderlog.com/place/details/11932614/ami-malaya-indonesian-halal-food, friendlyName=เปิดหน้ารีวิว 1</x:v>
      </x:c>
      <x:c r="K281" s="52" t="str">
        <x:v>HYPERLINK is not implemented. linkLocation=https://ru.restaurantguru.com/Ami-Malaya-Indonesian-Halal-Food-Bangkok, friendlyName=เปิดหน้ารีวิว 2</x:v>
      </x:c>
      <x:c r="L281" s="52" t="str">
        <x:v>HYPERLINK is not implemented. linkLocation=https://ami-malaya-indonesian-halal-food.menufyy.com/, friendlyName=เปิดเว็บเพิ่ม 1</x:v>
      </x:c>
      <x:c r="M281" s="52" t="str">
        <x:v>HYPERLINK is not implemented. linkLocation=https://menufans.com/place/ami-malaya-indonesian-halal-food-019b6906edfe77ecbacdc7f3ca48528e, friendlyName=เปิดเว็บเพิ่ม 2</x:v>
      </x:c>
      <x:c r="N281" s="8" t="str">
        <x:v>ยังไม่ยืนยัน</x:v>
      </x:c>
      <x:c r="O28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81" s="40" t="n">
        <x:v>46315</x:v>
      </x:c>
      <x:c r="Q281" s="59" t="str">
        <x:v>ยังไม่ตรวจ</x:v>
      </x:c>
      <x:c r="R281" s="59" t="str">
        <x:v>รอติดต่อ</x:v>
      </x:c>
    </x:row>
    <x:row r="282" ht="84" customHeight="1">
      <x:c r="A282" s="2" t="str">
        <x:v>TMF-274</x:v>
      </x:c>
      <x:c r="B282" s="8" t="str">
        <x:v>APA SOI- ข้าวซอยยูนนาน ฮาลาล</x:v>
      </x:c>
      <x:c r="C282" s="8" t="str">
        <x:v>กรุงเทพมหานคร</x:v>
      </x:c>
      <x:c r="D282" s="8" t="str">
        <x:v>สำรองหลังปรับตามเส้นทาง</x:v>
      </x:c>
      <x:c r="E282" s="8" t="str">
        <x:v>พบหลายแหล่งสัมพันธ์กับชื่อ รอยืนยันการเปิด</x:v>
      </x:c>
      <x:c r="F282" s="8" t="str">
        <x:v>ยังไม่ยืนยันการเปิดให้บริการปัจจุบัน</x:v>
      </x:c>
      <x:c r="G282" s="58" t="n">
        <x:v>3</x:v>
      </x:c>
      <x:c r="H282" s="52"/>
      <x:c r="I282" s="52"/>
      <x:c r="J282" s="52" t="str">
        <x:v>HYPERLINK is not implemented. linkLocation=https://www.wongnai.com/restaurants/418375Ba-apa-soi-%E0%B8%AD%E0%B8%B2%E0%B8%9B%E0%B8%B2%E0%B8%8B%E0%B8%AD%E0%B8%A2-%E0%B8%82%E0%B9%89%E0%B8%B2%E0%B8%A7%E0%B8%8B%E0%B8%AD%E0%B8%A2%E0%B8%A2%E0%B8%B9%E0%B8%99%E0%B8%99%E0%B8%B2%E0%B8%99-%E0%B8%AE%E0%B8%B2%E0%B8%A5%E0%B8%B2%E0%B8%A5, friendlyName=เปิดหน้ารีวิว 1</x:v>
      </x:c>
      <x:c r="K282" s="52" t="str">
        <x:v>HYPERLINK is not implemented. linkLocation=https://www.youtube.com/watch?v=PYDhpOzOj8M, friendlyName=เปิดหน้ารีวิว 2</x:v>
      </x:c>
      <x:c r="L282" s="52"/>
      <x:c r="M282" s="52"/>
      <x:c r="N282" s="8" t="str">
        <x:v>ยังไม่ยืนยัน</x:v>
      </x:c>
      <x:c r="O28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82" s="40" t="n">
        <x:v>46315</x:v>
      </x:c>
      <x:c r="Q282" s="59" t="str">
        <x:v>ยังไม่ตรวจ</x:v>
      </x:c>
      <x:c r="R282" s="59" t="str">
        <x:v>รอติดต่อ</x:v>
      </x:c>
    </x:row>
    <x:row r="283" ht="84" customHeight="1">
      <x:c r="A283" s="2" t="str">
        <x:v>TMF-275</x:v>
      </x:c>
      <x:c r="B283" s="8" t="str">
        <x:v>Afanti XinJiang Halal Food สาขาบรรทัดทอง</x:v>
      </x:c>
      <x:c r="C283" s="8" t="str">
        <x:v>กรุงเทพมหานคร</x:v>
      </x:c>
      <x:c r="D283" s="8" t="str">
        <x:v>สำรองหลังปรับตามเส้นทาง</x:v>
      </x:c>
      <x:c r="E283" s="8" t="str">
        <x:v>หลักฐานไม่พอ รอยืนยันการเปิด</x:v>
      </x:c>
      <x:c r="F283" s="8" t="str">
        <x:v>ยังไม่ยืนยันการเปิดให้บริการปัจจุบัน</x:v>
      </x:c>
      <x:c r="G283" s="58" t="n">
        <x:v>1</x:v>
      </x:c>
      <x:c r="H283" s="52"/>
      <x:c r="I283" s="52"/>
      <x:c r="J283" s="52"/>
      <x:c r="K283" s="52"/>
      <x:c r="L283" s="52"/>
      <x:c r="M283" s="52"/>
      <x:c r="N283" s="8" t="str">
        <x:v>ยังไม่ยืนยัน</x:v>
      </x:c>
      <x:c r="O28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83" s="40" t="n">
        <x:v>46315</x:v>
      </x:c>
      <x:c r="Q283" s="59" t="str">
        <x:v>ยังไม่ตรวจ</x:v>
      </x:c>
      <x:c r="R283" s="59" t="str">
        <x:v>รอติดต่อ</x:v>
      </x:c>
    </x:row>
    <x:row r="284" ht="84" customHeight="1">
      <x:c r="A284" s="2" t="str">
        <x:v>TMF-276</x:v>
      </x:c>
      <x:c r="B284" s="8" t="str">
        <x:v>Aladeen Restaurant &amp; Cafe</x:v>
      </x:c>
      <x:c r="C284" s="8" t="str">
        <x:v>กรุงเทพมหานคร</x:v>
      </x:c>
      <x:c r="D284" s="8" t="str">
        <x:v>สำรองหลังปรับตามเส้นทาง</x:v>
      </x:c>
      <x:c r="E284" s="8" t="str">
        <x:v>พบหลายแหล่งสัมพันธ์กับชื่อ รอยืนยันการเปิด</x:v>
      </x:c>
      <x:c r="F284" s="8" t="str">
        <x:v>ยังไม่ยืนยันการเปิดให้บริการปัจจุบัน</x:v>
      </x:c>
      <x:c r="G284" s="58" t="n">
        <x:v>2</x:v>
      </x:c>
      <x:c r="H284" s="52"/>
      <x:c r="I284" s="52"/>
      <x:c r="J284" s="52" t="str">
        <x:v>HYPERLINK is not implemented. linkLocation=https://www.wongnai.com/restaurants/1809580iq-aladeen-restaurant-cafe, friendlyName=เปิดหน้ารีวิว 1</x:v>
      </x:c>
      <x:c r="K284" s="52" t="str">
        <x:v>HYPERLINK is not implemented. linkLocation=https://www.wongnai.com/restaurants/1809580iq-aladeen-restaurant-cafe/photos/b7d3a11b0dfb4ef0baa14519c28be2dc, friendlyName=เปิดหน้ารีวิว 2</x:v>
      </x:c>
      <x:c r="L284" s="52"/>
      <x:c r="M284" s="52"/>
      <x:c r="N284" s="8" t="str">
        <x:v>ยังไม่ยืนยัน</x:v>
      </x:c>
      <x:c r="O28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284" s="40" t="n">
        <x:v>46315</x:v>
      </x:c>
      <x:c r="Q284" s="59" t="str">
        <x:v>ยังไม่ตรวจ</x:v>
      </x:c>
      <x:c r="R284" s="59" t="str">
        <x:v>รอติดต่อ</x:v>
      </x:c>
    </x:row>
    <x:row r="285" ht="84" customHeight="1">
      <x:c r="A285" s="2" t="str">
        <x:v>TMF-277</x:v>
      </x:c>
      <x:c r="B285" s="8" t="str">
        <x:v>Aladia Ramen</x:v>
      </x:c>
      <x:c r="C285" s="8" t="str">
        <x:v>กรุงเทพมหานคร</x:v>
      </x:c>
      <x:c r="D285" s="8" t="str">
        <x:v>สำรองหลังปรับตามเส้นทาง</x:v>
      </x:c>
      <x:c r="E285" s="8" t="str">
        <x:v>หลักฐานไม่พอ รอยืนยันการเปิด</x:v>
      </x:c>
      <x:c r="F285" s="8" t="str">
        <x:v>ยังไม่ยืนยันการเปิดให้บริการปัจจุบัน</x:v>
      </x:c>
      <x:c r="G285" s="58" t="n">
        <x:v>1</x:v>
      </x:c>
      <x:c r="H285" s="52"/>
      <x:c r="I285" s="52"/>
      <x:c r="J285" s="52"/>
      <x:c r="K285" s="52"/>
      <x:c r="L285" s="52"/>
      <x:c r="M285" s="52"/>
      <x:c r="N285" s="8" t="str">
        <x:v>ยังไม่ยืนยัน</x:v>
      </x:c>
      <x:c r="O28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85" s="40" t="n">
        <x:v>46315</x:v>
      </x:c>
      <x:c r="Q285" s="59" t="str">
        <x:v>ยังไม่ตรวจ</x:v>
      </x:c>
      <x:c r="R285" s="59" t="str">
        <x:v>รอติดต่อ</x:v>
      </x:c>
    </x:row>
    <x:row r="286" ht="84" customHeight="1">
      <x:c r="A286" s="2" t="str">
        <x:v>TMF-278</x:v>
      </x:c>
      <x:c r="B286" s="8" t="str">
        <x:v>สยามพารากอน</x:v>
      </x:c>
      <x:c r="C286" s="8" t="str">
        <x:v>กรุงเทพมหานคร</x:v>
      </x:c>
      <x:c r="D286" s="8" t="str">
        <x:v>อยู่ในชุด 600 ตามเส้นทาง</x:v>
      </x:c>
      <x:c r="E286" s="8" t="str">
        <x:v>พบชื่อสัมพันธ์หลายเว็บไซต์ รอยืนยันสาขา</x:v>
      </x:c>
      <x:c r="F286" s="8" t="str">
        <x:v>ยังไม่ยืนยันการเปิดให้บริการปัจจุบัน</x:v>
      </x:c>
      <x:c r="G286" s="58" t="n">
        <x:v>5</x:v>
      </x:c>
      <x:c r="H286" s="52" t="str"/>
      <x:c r="I286" s="52" t="str"/>
      <x:c r="J286" s="52" t="str">
        <x:v>https://th.tripadvisor.com/Attraction_Review-g293916-d600199-Reviews-Siam_Paragon-Bangkok.html</x:v>
      </x:c>
      <x:c r="K286" s="52" t="str">
        <x:v>https://th.trip.com/travel-guide/attraction/bangkok/siam-paragon-136007534?curr=VND&amp;locale=th-TH</x:v>
      </x:c>
      <x:c r="L286" s="52" t="str">
        <x:v>https://tourist.onesiam.com/en/inspired/4595/explore-exclusive-services-and-facilities/</x:v>
      </x:c>
      <x:c r="M286" s="52" t="str">
        <x:v>https://th.tripadvisor.com/Attraction_Review-g293916-d600199-Reviews-Siam_Paragon-Bangkok.html</x:v>
      </x:c>
      <x:c r="N286" s="8" t="str">
        <x:v>ยังไม่ยืนยัน</x:v>
      </x:c>
      <x:c r="O286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286" s="40" t="n">
        <x:v>46315</x:v>
      </x:c>
      <x:c r="Q286" s="59" t="str">
        <x:v>ยังไม่ตรวจ</x:v>
      </x:c>
      <x:c r="R286" s="59" t="str">
        <x:v>รอติดต่อ</x:v>
      </x:c>
    </x:row>
    <x:row r="287" ht="84" customHeight="1">
      <x:c r="A287" s="2" t="str">
        <x:v>TMF-279</x:v>
      </x:c>
      <x:c r="B287" s="8" t="str">
        <x:v>มัรกัส มีนบุรี</x:v>
      </x:c>
      <x:c r="C287" s="8" t="str">
        <x:v>กรุงเทพมหานคร</x:v>
      </x:c>
      <x:c r="D287" s="8" t="str">
        <x:v>อยู่ในชุด 600 ตามเส้นทาง</x:v>
      </x:c>
      <x:c r="E287" s="8" t="str">
        <x:v>พบชื่อสัมพันธ์หลายเว็บไซต์ รอยืนยันสาขา</x:v>
      </x:c>
      <x:c r="F287" s="8" t="str">
        <x:v>ยังไม่ยืนยันการเปิดให้บริการปัจจุบัน</x:v>
      </x:c>
      <x:c r="G287" s="58" t="n">
        <x:v>5</x:v>
      </x:c>
      <x:c r="H287" s="52" t="str"/>
      <x:c r="I287" s="52" t="str"/>
      <x:c r="J287" s="52" t="str">
        <x:v>https://ae.trip.com/travel-guide/attraction/bangkok/alami-shura-markaz-bangkok-thailand-141703714</x:v>
      </x:c>
      <x:c r="K287" s="52" t="str">
        <x:v>https://th.trip.com/travel-guide/attraction/bangkok/alami-shura-markaz-bangkok-thailand-141703714/</x:v>
      </x:c>
      <x:c r="L287" s="52" t="str">
        <x:v>https://www.thic.or.th/th/tourist/detail/mosques/181</x:v>
      </x:c>
      <x:c r="M287" s="52" t="str">
        <x:v>https://ae.trip.com/travel-guide/attraction/bangkok/alami-shura-markaz-bangkok-thailand-141703714</x:v>
      </x:c>
      <x:c r="N287" s="8" t="str">
        <x:v>ยังไม่ยืนยัน</x:v>
      </x:c>
      <x:c r="O287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87" s="40" t="n">
        <x:v>46315</x:v>
      </x:c>
      <x:c r="Q287" s="59" t="str">
        <x:v>ยังไม่ตรวจ</x:v>
      </x:c>
      <x:c r="R287" s="59" t="str">
        <x:v>รอติดต่อ</x:v>
      </x:c>
    </x:row>
    <x:row r="288" ht="84" customHeight="1">
      <x:c r="A288" s="2" t="str">
        <x:v>TMF-280</x:v>
      </x:c>
      <x:c r="B288" s="8" t="str">
        <x:v>มัสยิดกมาลุ้ลอิสลาม (ทรายกองดิน)</x:v>
      </x:c>
      <x:c r="C288" s="8" t="str">
        <x:v>กรุงเทพมหานคร</x:v>
      </x:c>
      <x:c r="D288" s="8" t="str">
        <x:v>อยู่ในชุด 600 ตามเส้นทาง</x:v>
      </x:c>
      <x:c r="E288" s="8" t="str">
        <x:v>พบชื่อสัมพันธ์หลายเว็บไซต์ รอยืนยันสาขา</x:v>
      </x:c>
      <x:c r="F288" s="8" t="str">
        <x:v>ยังไม่ยืนยันการเปิดให้บริการปัจจุบัน</x:v>
      </x:c>
      <x:c r="G288" s="58" t="n">
        <x:v>2</x:v>
      </x:c>
      <x:c r="H288" s="52" t="str"/>
      <x:c r="I288" s="52" t="str"/>
      <x:c r="J288" s="52" t="str"/>
      <x:c r="K288" s="52" t="str"/>
      <x:c r="L288" s="52" t="str">
        <x:v>https://www.thic.or.th/th/tourist/detail/mosques/309</x:v>
      </x:c>
      <x:c r="M288" s="52" t="str">
        <x:v>https://wikicommunity.sac.or.th/community/1858</x:v>
      </x:c>
      <x:c r="N288" s="8" t="str">
        <x:v>ยังไม่ยืนยัน</x:v>
      </x:c>
      <x:c r="O288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88" s="40" t="n">
        <x:v>46315</x:v>
      </x:c>
      <x:c r="Q288" s="59" t="str">
        <x:v>ยังไม่ตรวจ</x:v>
      </x:c>
      <x:c r="R288" s="59" t="str">
        <x:v>รอติดต่อ</x:v>
      </x:c>
    </x:row>
    <x:row r="289" ht="84" customHeight="1">
      <x:c r="A289" s="2" t="str">
        <x:v>TMF-281</x:v>
      </x:c>
      <x:c r="B289" s="8" t="str">
        <x:v>มัสยิดกมาลุ้ลเอี๊ยะห์ซาน (มัสยิดกระจก)</x:v>
      </x:c>
      <x:c r="C289" s="8" t="str">
        <x:v>กรุงเทพมหานคร</x:v>
      </x:c>
      <x:c r="D289" s="8" t="str">
        <x:v>อยู่ในชุด 600 ตามเส้นทาง</x:v>
      </x:c>
      <x:c r="E289" s="8" t="str">
        <x:v>พบชื่อสัมพันธ์หลายเว็บไซต์ รอยืนยันสาขา</x:v>
      </x:c>
      <x:c r="F289" s="8" t="str">
        <x:v>ยังไม่ยืนยันการเปิดให้บริการปัจจุบัน</x:v>
      </x:c>
      <x:c r="G289" s="58" t="n">
        <x:v>2</x:v>
      </x:c>
      <x:c r="H289" s="52" t="str"/>
      <x:c r="I289" s="52" t="str"/>
      <x:c r="J289" s="52" t="str">
        <x:v>https://th.trip.com/travel-guide/attraction/bangkok/kamalul-yassan-mosque-141566692</x:v>
      </x:c>
      <x:c r="K289" s="52" t="str"/>
      <x:c r="L289" s="52" t="str">
        <x:v>https://www.thic.or.th/th/tourist/detail/mosques/183</x:v>
      </x:c>
      <x:c r="M289" s="52" t="str">
        <x:v>https://th.trip.com/travel-guide/attraction/bangkok/kamalul-yassan-mosque-141566692</x:v>
      </x:c>
      <x:c r="N289" s="8" t="str">
        <x:v>ยังไม่ยืนยัน</x:v>
      </x:c>
      <x:c r="O28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89" s="40" t="n">
        <x:v>46315</x:v>
      </x:c>
      <x:c r="Q289" s="59" t="str">
        <x:v>ยังไม่ตรวจ</x:v>
      </x:c>
      <x:c r="R289" s="59" t="str">
        <x:v>รอติดต่อ</x:v>
      </x:c>
    </x:row>
    <x:row r="290" ht="84" customHeight="1">
      <x:c r="A290" s="2" t="str">
        <x:v>TMF-282</x:v>
      </x:c>
      <x:c r="B290" s="8" t="str">
        <x:v>มัสยิดกมาลุ๊ลอิมาน(วังตาหนวด)</x:v>
      </x:c>
      <x:c r="C290" s="8" t="str">
        <x:v>กรุงเทพมหานคร</x:v>
      </x:c>
      <x:c r="D290" s="8" t="str">
        <x:v>สำรองหลังปรับตามเส้นทาง</x:v>
      </x:c>
      <x:c r="E290" s="8" t="str">
        <x:v>หลักฐานไม่พอ รอยืนยันการเปิด</x:v>
      </x:c>
      <x:c r="F290" s="8" t="str">
        <x:v>ยังไม่ยืนยันการเปิดให้บริการปัจจุบัน</x:v>
      </x:c>
      <x:c r="G290" s="58" t="n">
        <x:v>1</x:v>
      </x:c>
      <x:c r="H290" s="52"/>
      <x:c r="I290" s="52"/>
      <x:c r="J290" s="52"/>
      <x:c r="K290" s="52"/>
      <x:c r="L290" s="52"/>
      <x:c r="M290" s="52"/>
      <x:c r="N290" s="8" t="str">
        <x:v>ยังไม่ยืนยัน</x:v>
      </x:c>
      <x:c r="O29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90" s="40" t="n">
        <x:v>46315</x:v>
      </x:c>
      <x:c r="Q290" s="59" t="str">
        <x:v>ยังไม่ตรวจ</x:v>
      </x:c>
      <x:c r="R290" s="59" t="str">
        <x:v>รอติดต่อ</x:v>
      </x:c>
    </x:row>
    <x:row r="291" ht="84" customHeight="1">
      <x:c r="A291" s="2" t="str">
        <x:v>TMF-283</x:v>
      </x:c>
      <x:c r="B291" s="8" t="str">
        <x:v>มัสยิดซอลาฮุดดีน</x:v>
      </x:c>
      <x:c r="C291" s="8" t="str">
        <x:v>กรุงเทพมหานคร</x:v>
      </x:c>
      <x:c r="D291" s="8" t="str">
        <x:v>อยู่ในชุด 600 ตามเส้นทาง</x:v>
      </x:c>
      <x:c r="E291" s="8" t="str">
        <x:v>พบชื่อสัมพันธ์หลายเว็บไซต์ รอยืนยันสาขา</x:v>
      </x:c>
      <x:c r="F291" s="8" t="str">
        <x:v>ยังไม่ยืนยันการเปิดให้บริการปัจจุบัน</x:v>
      </x:c>
      <x:c r="G291" s="58" t="n">
        <x:v>3</x:v>
      </x:c>
      <x:c r="H291" s="52" t="str"/>
      <x:c r="I291" s="52" t="str"/>
      <x:c r="J291" s="52" t="str"/>
      <x:c r="K291" s="52" t="str"/>
      <x:c r="L291" s="52" t="str">
        <x:v>https://www.thic.or.th/th/tourist/detail/mosques/315</x:v>
      </x:c>
      <x:c r="M291" s="52" t="str">
        <x:v>https://masjid.islamicbangkok.or.th/masjid/id/18419</x:v>
      </x:c>
      <x:c r="N291" s="8" t="str">
        <x:v>ยังไม่ยืนยัน</x:v>
      </x:c>
      <x:c r="O29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1" s="40" t="n">
        <x:v>46315</x:v>
      </x:c>
      <x:c r="Q291" s="59" t="str">
        <x:v>ยังไม่ตรวจ</x:v>
      </x:c>
      <x:c r="R291" s="59" t="str">
        <x:v>รอติดต่อ</x:v>
      </x:c>
    </x:row>
    <x:row r="292" ht="84" customHeight="1">
      <x:c r="A292" s="2" t="str">
        <x:v>TMF-284</x:v>
      </x:c>
      <x:c r="B292" s="8" t="str">
        <x:v>มัสยิดญามีอุ๊ลค็อยร๊อต (บางอุทิศใน)</x:v>
      </x:c>
      <x:c r="C292" s="8" t="str">
        <x:v>กรุงเทพมหานคร</x:v>
      </x:c>
      <x:c r="D292" s="8" t="str">
        <x:v>อยู่ในชุด 600 ตามเส้นทาง</x:v>
      </x:c>
      <x:c r="E292" s="8" t="str">
        <x:v>พบชื่อสัมพันธ์หลายเว็บไซต์ รอยืนยันสาขา</x:v>
      </x:c>
      <x:c r="F292" s="8" t="str">
        <x:v>ยังไม่ยืนยันการเปิดให้บริการปัจจุบัน</x:v>
      </x:c>
      <x:c r="G292" s="58" t="n">
        <x:v>3</x:v>
      </x:c>
      <x:c r="H292" s="52" t="str"/>
      <x:c r="I292" s="52" t="str"/>
      <x:c r="J292" s="52" t="str"/>
      <x:c r="K292" s="52" t="str"/>
      <x:c r="L292" s="52" t="str">
        <x:v>https://www.thic.or.th/th/tourist/detail/mosques/521</x:v>
      </x:c>
      <x:c r="M292" s="52" t="str">
        <x:v>https://masjid.islamicbangkok.or.th/masjid/id/39639</x:v>
      </x:c>
      <x:c r="N292" s="8" t="str">
        <x:v>ยังไม่ยืนยัน</x:v>
      </x:c>
      <x:c r="O29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2" s="40" t="n">
        <x:v>46315</x:v>
      </x:c>
      <x:c r="Q292" s="59" t="str">
        <x:v>ยังไม่ตรวจ</x:v>
      </x:c>
      <x:c r="R292" s="59" t="str">
        <x:v>รอติดต่อ</x:v>
      </x:c>
    </x:row>
    <x:row r="293" ht="84" customHeight="1">
      <x:c r="A293" s="2" t="str">
        <x:v>TMF-285</x:v>
      </x:c>
      <x:c r="B293" s="8" t="str">
        <x:v>มัสยิดดารุล-อิหซาน</x:v>
      </x:c>
      <x:c r="C293" s="8" t="str">
        <x:v>กรุงเทพมหานคร</x:v>
      </x:c>
      <x:c r="D293" s="8" t="str">
        <x:v>อยู่ในชุด 600 ตามเส้นทาง</x:v>
      </x:c>
      <x:c r="E293" s="8" t="str">
        <x:v>พบชื่อสัมพันธ์หลายเว็บไซต์ รอยืนยันสาขา</x:v>
      </x:c>
      <x:c r="F293" s="8" t="str">
        <x:v>ยังไม่ยืนยันการเปิดให้บริการปัจจุบัน</x:v>
      </x:c>
      <x:c r="G293" s="58" t="n">
        <x:v>2</x:v>
      </x:c>
      <x:c r="H293" s="52" t="str"/>
      <x:c r="I293" s="52" t="str"/>
      <x:c r="J293" s="52" t="str"/>
      <x:c r="K293" s="52" t="str"/>
      <x:c r="L293" s="52" t="str">
        <x:v>https://www.thic.or.th/th/tourist/detail/mosques/513</x:v>
      </x:c>
      <x:c r="M293" s="52" t="str">
        <x:v>https://www.cicot.or.th/th/mosque/detail/241/2/%E0%B8%A1%E0%B8%B1%E0%B8%AA%E0%B8%A2%E0%B8%B4%E0%B8%94%E0%B8%94%E0%B8%B2%E0%B8%A3%E0%B8%B8%E0%B8%A5-%E0%B8%AD%E0%B8%B4%E0%B8%AB%E0%B8%8B%E0%B8%B2%E0%B8%99</x:v>
      </x:c>
      <x:c r="N293" s="8" t="str">
        <x:v>ยังไม่ยืนยัน</x:v>
      </x:c>
      <x:c r="O29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3" s="40" t="n">
        <x:v>46315</x:v>
      </x:c>
      <x:c r="Q293" s="59" t="str">
        <x:v>ยังไม่ตรวจ</x:v>
      </x:c>
      <x:c r="R293" s="59" t="str">
        <x:v>รอติดต่อ</x:v>
      </x:c>
    </x:row>
    <x:row r="294" ht="84" customHeight="1">
      <x:c r="A294" s="2" t="str">
        <x:v>TMF-286</x:v>
      </x:c>
      <x:c r="B294" s="8" t="str">
        <x:v>มัสยิดดารุลมุมินีน (คู้ฝั่งเหนือ)</x:v>
      </x:c>
      <x:c r="C294" s="8" t="str">
        <x:v>กรุงเทพมหานคร</x:v>
      </x:c>
      <x:c r="D294" s="8" t="str">
        <x:v>สำรองหลังปรับตามเส้นทาง</x:v>
      </x:c>
      <x:c r="E294" s="8" t="str">
        <x:v>หลักฐานไม่พอ รอยืนยันการเปิด</x:v>
      </x:c>
      <x:c r="F294" s="8" t="str">
        <x:v>ยังไม่ยืนยันการเปิดให้บริการปัจจุบัน</x:v>
      </x:c>
      <x:c r="G294" s="58" t="n">
        <x:v>1</x:v>
      </x:c>
      <x:c r="H294" s="52"/>
      <x:c r="I294" s="52"/>
      <x:c r="J294" s="52"/>
      <x:c r="K294" s="52"/>
      <x:c r="L294" s="52"/>
      <x:c r="M294" s="52"/>
      <x:c r="N294" s="8" t="str">
        <x:v>ยังไม่ยืนยัน</x:v>
      </x:c>
      <x:c r="O29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94" s="40" t="n">
        <x:v>46315</x:v>
      </x:c>
      <x:c r="Q294" s="59" t="str">
        <x:v>ยังไม่ตรวจ</x:v>
      </x:c>
      <x:c r="R294" s="59" t="str">
        <x:v>รอติดต่อ</x:v>
      </x:c>
    </x:row>
    <x:row r="295" ht="84" customHeight="1">
      <x:c r="A295" s="2" t="str">
        <x:v>TMF-287</x:v>
      </x:c>
      <x:c r="B295" s="8" t="str">
        <x:v>มัสยิดดารุสซุนนี</x:v>
      </x:c>
      <x:c r="C295" s="8" t="str">
        <x:v>กรุงเทพมหานคร</x:v>
      </x:c>
      <x:c r="D295" s="8" t="str">
        <x:v>อยู่ในชุด 600 ตามเส้นทาง</x:v>
      </x:c>
      <x:c r="E295" s="8" t="str">
        <x:v>พบชื่อสัมพันธ์หลายเว็บไซต์ รอยืนยันสาขา</x:v>
      </x:c>
      <x:c r="F295" s="8" t="str">
        <x:v>ยังไม่ยืนยันการเปิดให้บริการปัจจุบัน</x:v>
      </x:c>
      <x:c r="G295" s="58" t="n">
        <x:v>2</x:v>
      </x:c>
      <x:c r="H295" s="52" t="str"/>
      <x:c r="I295" s="52" t="str"/>
      <x:c r="J295" s="52" t="str"/>
      <x:c r="K295" s="52" t="str"/>
      <x:c r="L295" s="52" t="str">
        <x:v>https://www.thic.or.th/th/tourist/detail/mosques/314</x:v>
      </x:c>
      <x:c r="M295" s="52" t="str">
        <x:v>https://bangkok.worldplaces.me/th/review/197547794.html</x:v>
      </x:c>
      <x:c r="N295" s="8" t="str">
        <x:v>ยังไม่ยืนยัน</x:v>
      </x:c>
      <x:c r="O295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5" s="40" t="n">
        <x:v>46315</x:v>
      </x:c>
      <x:c r="Q295" s="59" t="str">
        <x:v>ยังไม่ตรวจ</x:v>
      </x:c>
      <x:c r="R295" s="59" t="str">
        <x:v>รอติดต่อ</x:v>
      </x:c>
    </x:row>
    <x:row r="296" ht="84" customHeight="1">
      <x:c r="A296" s="2" t="str">
        <x:v>TMF-288</x:v>
      </x:c>
      <x:c r="B296" s="8" t="str">
        <x:v>มัสยิดดารุสสลาม บาหยัน</x:v>
      </x:c>
      <x:c r="C296" s="8" t="str">
        <x:v>กรุงเทพมหานคร</x:v>
      </x:c>
      <x:c r="D296" s="8" t="str">
        <x:v>อยู่ในชุด 600 ตามเส้นทาง</x:v>
      </x:c>
      <x:c r="E296" s="8" t="str">
        <x:v>พบชื่อสัมพันธ์หลายเว็บไซต์ รอยืนยันสาขา</x:v>
      </x:c>
      <x:c r="F296" s="8" t="str">
        <x:v>ยังไม่ยืนยันการเปิดให้บริการปัจจุบัน</x:v>
      </x:c>
      <x:c r="G296" s="58" t="n">
        <x:v>3</x:v>
      </x:c>
      <x:c r="H296" s="52" t="str"/>
      <x:c r="I296" s="52" t="str"/>
      <x:c r="J296" s="52" t="str"/>
      <x:c r="K296" s="52" t="str"/>
      <x:c r="L296" s="52" t="str">
        <x:v>https://www.thic.or.th/th/tourist/detail/mosques/305</x:v>
      </x:c>
      <x:c r="M296" s="52" t="str">
        <x:v>https://masjid.islamicbangkok.or.th/masjid/id/12674</x:v>
      </x:c>
      <x:c r="N296" s="8" t="str">
        <x:v>ยังไม่ยืนยัน</x:v>
      </x:c>
      <x:c r="O29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6" s="40" t="n">
        <x:v>46315</x:v>
      </x:c>
      <x:c r="Q296" s="59" t="str">
        <x:v>ยังไม่ตรวจ</x:v>
      </x:c>
      <x:c r="R296" s="59" t="str">
        <x:v>รอติดต่อ</x:v>
      </x:c>
    </x:row>
    <x:row r="297" ht="84" customHeight="1">
      <x:c r="A297" s="2" t="str">
        <x:v>TMF-289</x:v>
      </x:c>
      <x:c r="B297" s="8" t="str">
        <x:v>มัสยิดดารุสสะลาม (เจียรดับใหญ่)</x:v>
      </x:c>
      <x:c r="C297" s="8" t="str">
        <x:v>กรุงเทพมหานคร</x:v>
      </x:c>
      <x:c r="D297" s="8" t="str">
        <x:v>อยู่ในชุด 600 ตามเส้นทาง</x:v>
      </x:c>
      <x:c r="E297" s="8" t="str">
        <x:v>พบชื่อสัมพันธ์หลายเว็บไซต์ รอยืนยันสาขา</x:v>
      </x:c>
      <x:c r="F297" s="8" t="str">
        <x:v>ยังไม่ยืนยันการเปิดให้บริการปัจจุบัน</x:v>
      </x:c>
      <x:c r="G297" s="58" t="n">
        <x:v>3</x:v>
      </x:c>
      <x:c r="H297" s="52" t="str"/>
      <x:c r="I297" s="52" t="str"/>
      <x:c r="J297" s="52" t="str"/>
      <x:c r="K297" s="52" t="str"/>
      <x:c r="L297" s="52" t="str">
        <x:v>https://www.thic.or.th/th/tourist/detail/mosques/449</x:v>
      </x:c>
      <x:c r="M297" s="52" t="str">
        <x:v>https://masjid.islamicbangkok.or.th/masjid/id/12674</x:v>
      </x:c>
      <x:c r="N297" s="8" t="str">
        <x:v>ยังไม่ยืนยัน</x:v>
      </x:c>
      <x:c r="O297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7" s="40" t="n">
        <x:v>46315</x:v>
      </x:c>
      <x:c r="Q297" s="59" t="str">
        <x:v>ยังไม่ตรวจ</x:v>
      </x:c>
      <x:c r="R297" s="59" t="str">
        <x:v>รอติดต่อ</x:v>
      </x:c>
    </x:row>
    <x:row r="298" ht="84" customHeight="1">
      <x:c r="A298" s="2" t="str">
        <x:v>TMF-290</x:v>
      </x:c>
      <x:c r="B298" s="8" t="str">
        <x:v>มัสยิดดารุ้ลคอยรอต(เจียรดับ)</x:v>
      </x:c>
      <x:c r="C298" s="8" t="str">
        <x:v>กรุงเทพมหานคร</x:v>
      </x:c>
      <x:c r="D298" s="8" t="str">
        <x:v>สำรองหลังปรับตามเส้นทาง</x:v>
      </x:c>
      <x:c r="E298" s="8" t="str">
        <x:v>หลักฐานไม่พอ รอยืนยันการเปิด</x:v>
      </x:c>
      <x:c r="F298" s="8" t="str">
        <x:v>ยังไม่ยืนยันการเปิดให้บริการปัจจุบัน</x:v>
      </x:c>
      <x:c r="G298" s="58" t="n">
        <x:v>1</x:v>
      </x:c>
      <x:c r="H298" s="52"/>
      <x:c r="I298" s="52"/>
      <x:c r="J298" s="52"/>
      <x:c r="K298" s="52"/>
      <x:c r="L298" s="52"/>
      <x:c r="M298" s="52"/>
      <x:c r="N298" s="8" t="str">
        <x:v>ยังไม่ยืนยัน</x:v>
      </x:c>
      <x:c r="O29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298" s="40" t="n">
        <x:v>46315</x:v>
      </x:c>
      <x:c r="Q298" s="59" t="str">
        <x:v>ยังไม่ตรวจ</x:v>
      </x:c>
      <x:c r="R298" s="59" t="str">
        <x:v>รอติดต่อ</x:v>
      </x:c>
    </x:row>
    <x:row r="299" ht="84" customHeight="1">
      <x:c r="A299" s="2" t="str">
        <x:v>TMF-291</x:v>
      </x:c>
      <x:c r="B299" s="8" t="str">
        <x:v>มัสยิดดารุ้ลฆอนี (โต๊ะนิล)</x:v>
      </x:c>
      <x:c r="C299" s="8" t="str">
        <x:v>กรุงเทพมหานคร</x:v>
      </x:c>
      <x:c r="D299" s="8" t="str">
        <x:v>อยู่ในชุด 600 ตามเส้นทาง</x:v>
      </x:c>
      <x:c r="E299" s="8" t="str">
        <x:v>พบชื่อสัมพันธ์หลายเว็บไซต์ รอยืนยันสาขา</x:v>
      </x:c>
      <x:c r="F299" s="8" t="str">
        <x:v>ยังไม่ยืนยันการเปิดให้บริการปัจจุบัน</x:v>
      </x:c>
      <x:c r="G299" s="58" t="n">
        <x:v>2</x:v>
      </x:c>
      <x:c r="H299" s="52" t="str"/>
      <x:c r="I299" s="52" t="str"/>
      <x:c r="J299" s="52" t="str">
        <x:v>https://th.trip.com/travel-guide/attraction/bangkok/darun-khoni-mosque-144009979/?curr=USD&amp;locale=en-TH</x:v>
      </x:c>
      <x:c r="K299" s="52" t="str">
        <x:v>https://uk.trip.com/travel-guide/attraction/bangkok/darun-khoni-mosque-144009979?poiType=3</x:v>
      </x:c>
      <x:c r="L299" s="52" t="str">
        <x:v>https://www.thic.or.th/th/tourist/detail/mosques/324</x:v>
      </x:c>
      <x:c r="M299" s="52" t="str">
        <x:v>https://th.trip.com/travel-guide/attraction/bangkok/darun-khoni-mosque-144009979/?curr=USD&amp;locale=en-TH</x:v>
      </x:c>
      <x:c r="N299" s="8" t="str">
        <x:v>ยังไม่ยืนยัน</x:v>
      </x:c>
      <x:c r="O29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299" s="40" t="n">
        <x:v>46315</x:v>
      </x:c>
      <x:c r="Q299" s="59" t="str">
        <x:v>ยังไม่ตรวจ</x:v>
      </x:c>
      <x:c r="R299" s="59" t="str">
        <x:v>รอติดต่อ</x:v>
      </x:c>
    </x:row>
    <x:row r="300" ht="84" customHeight="1">
      <x:c r="A300" s="2" t="str">
        <x:v>TMF-292</x:v>
      </x:c>
      <x:c r="B300" s="8" t="str">
        <x:v>มัสยิดดารุ้ลนาอีม (แบนชะโด)</x:v>
      </x:c>
      <x:c r="C300" s="8" t="str">
        <x:v>กรุงเทพมหานคร</x:v>
      </x:c>
      <x:c r="D300" s="8" t="str">
        <x:v>อยู่ในชุด 600 ตามเส้นทาง</x:v>
      </x:c>
      <x:c r="E300" s="8" t="str">
        <x:v>พบชื่อสัมพันธ์หลายเว็บไซต์ รอยืนยันสาขา</x:v>
      </x:c>
      <x:c r="F300" s="8" t="str">
        <x:v>ยังไม่ยืนยันการเปิดให้บริการปัจจุบัน</x:v>
      </x:c>
      <x:c r="G300" s="58" t="n">
        <x:v>4</x:v>
      </x:c>
      <x:c r="H300" s="52" t="str"/>
      <x:c r="I300" s="52" t="str"/>
      <x:c r="J300" s="52" t="str">
        <x:v>https://www.lemon8-app.com/%40bmedyala/7451104083366117896?region=th</x:v>
      </x:c>
      <x:c r="K300" s="52" t="str"/>
      <x:c r="L300" s="52" t="str">
        <x:v>https://www.thic.or.th/th/tourist/detail/mosques/454</x:v>
      </x:c>
      <x:c r="M300" s="52" t="str">
        <x:v>https://www.thic.or.th/th/tourist/detail/mosques/311</x:v>
      </x:c>
      <x:c r="N300" s="8" t="str">
        <x:v>ยังไม่ยืนยัน</x:v>
      </x:c>
      <x:c r="O300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0" s="40" t="n">
        <x:v>46315</x:v>
      </x:c>
      <x:c r="Q300" s="59" t="str">
        <x:v>ยังไม่ตรวจ</x:v>
      </x:c>
      <x:c r="R300" s="59" t="str">
        <x:v>รอติดต่อ</x:v>
      </x:c>
    </x:row>
    <x:row r="301" ht="84" customHeight="1">
      <x:c r="A301" s="2" t="str">
        <x:v>TMF-293</x:v>
      </x:c>
      <x:c r="B301" s="8" t="str">
        <x:v>มัสยิดดารุ้ลมุตตะกีน</x:v>
      </x:c>
      <x:c r="C301" s="8" t="str">
        <x:v>กรุงเทพมหานคร</x:v>
      </x:c>
      <x:c r="D301" s="8" t="str">
        <x:v>อยู่ในชุด 600 ตามเส้นทาง</x:v>
      </x:c>
      <x:c r="E301" s="8" t="str">
        <x:v>พบชื่อสัมพันธ์หลายเว็บไซต์ รอยืนยันสาขา</x:v>
      </x:c>
      <x:c r="F301" s="8" t="str">
        <x:v>ยังไม่ยืนยันการเปิดให้บริการปัจจุบัน</x:v>
      </x:c>
      <x:c r="G301" s="58" t="n">
        <x:v>3</x:v>
      </x:c>
      <x:c r="H301" s="52" t="str"/>
      <x:c r="I301" s="52" t="str"/>
      <x:c r="J301" s="52" t="str">
        <x:v>https://th.trip.com/travel-guide/attraction/bangkok/darul-muttageen-mosque-141901653?poiType=3</x:v>
      </x:c>
      <x:c r="K301" s="52" t="str">
        <x:v>https://th.trip.com/travel-guide/attraction/bangkok/darul-muttageen-mosque-141901653/</x:v>
      </x:c>
      <x:c r="L301" s="52" t="str">
        <x:v>https://www.thic.or.th/th/tourist/detail/mosques/303</x:v>
      </x:c>
      <x:c r="M301" s="52" t="str">
        <x:v>https://th.trip.com/travel-guide/attraction/bangkok/darul-muttageen-mosque-141901653?poiType=3</x:v>
      </x:c>
      <x:c r="N301" s="8" t="str">
        <x:v>ยังไม่ยืนยัน</x:v>
      </x:c>
      <x:c r="O30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1" s="40" t="n">
        <x:v>46315</x:v>
      </x:c>
      <x:c r="Q301" s="59" t="str">
        <x:v>ยังไม่ตรวจ</x:v>
      </x:c>
      <x:c r="R301" s="59" t="str">
        <x:v>รอติดต่อ</x:v>
      </x:c>
    </x:row>
    <x:row r="302" ht="84" customHeight="1">
      <x:c r="A302" s="2" t="str">
        <x:v>TMF-294</x:v>
      </x:c>
      <x:c r="B302" s="8" t="str">
        <x:v>มัสยิดดารุ้ลมุสลิมีน (กลิ่นชื่นอุปถัมภ์)</x:v>
      </x:c>
      <x:c r="C302" s="8" t="str">
        <x:v>กรุงเทพมหานคร</x:v>
      </x:c>
      <x:c r="D302" s="8" t="str">
        <x:v>อยู่ในชุด 600 ตามเส้นทาง</x:v>
      </x:c>
      <x:c r="E302" s="8" t="str">
        <x:v>พบชื่อสัมพันธ์หลายเว็บไซต์ รอยืนยันสาขา</x:v>
      </x:c>
      <x:c r="F302" s="8" t="str">
        <x:v>ยังไม่ยืนยันการเปิดให้บริการปัจจุบัน</x:v>
      </x:c>
      <x:c r="G302" s="58" t="n">
        <x:v>3</x:v>
      </x:c>
      <x:c r="H302" s="52" t="str"/>
      <x:c r="I302" s="52" t="str"/>
      <x:c r="J302" s="52" t="str"/>
      <x:c r="K302" s="52" t="str"/>
      <x:c r="L302" s="52" t="str">
        <x:v>https://www.thic.or.th/th/tourist/detail/mosques/501</x:v>
      </x:c>
      <x:c r="M302" s="52" t="str">
        <x:v>https://masjid.islamicbangkok.or.th/masjid/id/21757</x:v>
      </x:c>
      <x:c r="N302" s="8" t="str">
        <x:v>ยังไม่ยืนยัน</x:v>
      </x:c>
      <x:c r="O30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2" s="40" t="n">
        <x:v>46315</x:v>
      </x:c>
      <x:c r="Q302" s="59" t="str">
        <x:v>ยังไม่ตรวจ</x:v>
      </x:c>
      <x:c r="R302" s="59" t="str">
        <x:v>รอติดต่อ</x:v>
      </x:c>
    </x:row>
    <x:row r="303" ht="84" customHeight="1">
      <x:c r="A303" s="2" t="str">
        <x:v>TMF-295</x:v>
      </x:c>
      <x:c r="B303" s="8" t="str">
        <x:v>มัสยิดต้นสน</x:v>
      </x:c>
      <x:c r="C303" s="8" t="str">
        <x:v>กรุงเทพมหานคร</x:v>
      </x:c>
      <x:c r="D303" s="8" t="str">
        <x:v>อยู่ในชุด 600 ตามเส้นทาง</x:v>
      </x:c>
      <x:c r="E303" s="8" t="str">
        <x:v>พบชื่อสัมพันธ์หลายเว็บไซต์ รอยืนยันสาขา</x:v>
      </x:c>
      <x:c r="F303" s="8" t="str">
        <x:v>ยังไม่ยืนยันการเปิดให้บริการปัจจุบัน</x:v>
      </x:c>
      <x:c r="G303" s="58" t="n">
        <x:v>12</x:v>
      </x:c>
      <x:c r="H303" s="52" t="str">
        <x:v>https://www.youtube.com/watch?v=lHwoWz09zKk</x:v>
      </x:c>
      <x:c r="I303" s="52" t="str"/>
      <x:c r="J303" s="52" t="str"/>
      <x:c r="K303" s="52" t="str"/>
      <x:c r="L303" s="52" t="str">
        <x:v>https://masjid.islamicbangkok.or.th/masjid/id/17170</x:v>
      </x:c>
      <x:c r="M303" s="52" t="str">
        <x:v>https://www.thic.or.th/th/tourist/detail/mosques/43</x:v>
      </x:c>
      <x:c r="N303" s="8" t="str">
        <x:v>ยังไม่ยืนยัน</x:v>
      </x:c>
      <x:c r="O30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3" s="40" t="n">
        <x:v>46316</x:v>
      </x:c>
      <x:c r="Q303" s="59" t="str">
        <x:v>ยังไม่ตรวจ</x:v>
      </x:c>
      <x:c r="R303" s="59" t="str">
        <x:v>รอติดต่อ</x:v>
      </x:c>
    </x:row>
    <x:row r="304" ht="84" customHeight="1">
      <x:c r="A304" s="2" t="str">
        <x:v>TMF-296</x:v>
      </x:c>
      <x:c r="B304" s="8" t="str">
        <x:v>มัสยิดนูรุดดีน (บ้านเกาะคลอง 13)</x:v>
      </x:c>
      <x:c r="C304" s="8" t="str">
        <x:v>กรุงเทพมหานคร</x:v>
      </x:c>
      <x:c r="D304" s="8" t="str">
        <x:v>อยู่ในชุด 600 ตามเส้นทาง</x:v>
      </x:c>
      <x:c r="E304" s="8" t="str">
        <x:v>พบชื่อสัมพันธ์หลายเว็บไซต์ รอยืนยันสาขา</x:v>
      </x:c>
      <x:c r="F304" s="8" t="str">
        <x:v>ยังไม่ยืนยันการเปิดให้บริการปัจจุบัน</x:v>
      </x:c>
      <x:c r="G304" s="58" t="n">
        <x:v>3</x:v>
      </x:c>
      <x:c r="H304" s="52" t="str"/>
      <x:c r="I304" s="52" t="str"/>
      <x:c r="J304" s="52" t="str"/>
      <x:c r="K304" s="52" t="str"/>
      <x:c r="L304" s="52" t="str">
        <x:v>https://www.thic.or.th/th/tourist/detail/mosques/444</x:v>
      </x:c>
      <x:c r="M304" s="52" t="str">
        <x:v>https://masjid.islamicbangkok.or.th/masjid/id/23403</x:v>
      </x:c>
      <x:c r="N304" s="8" t="str">
        <x:v>ยังไม่ยืนยัน</x:v>
      </x:c>
      <x:c r="O30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4" s="40" t="n">
        <x:v>46315</x:v>
      </x:c>
      <x:c r="Q304" s="59" t="str">
        <x:v>ยังไม่ตรวจ</x:v>
      </x:c>
      <x:c r="R304" s="59" t="str">
        <x:v>รอติดต่อ</x:v>
      </x:c>
    </x:row>
    <x:row r="305" ht="84" customHeight="1">
      <x:c r="A305" s="2" t="str">
        <x:v>TMF-297</x:v>
      </x:c>
      <x:c r="B305" s="8" t="str">
        <x:v>มัสยิดนูรุลฮิดายะห์ (สุวินทวงศ์)</x:v>
      </x:c>
      <x:c r="C305" s="8" t="str">
        <x:v>กรุงเทพมหานคร</x:v>
      </x:c>
      <x:c r="D305" s="8" t="str">
        <x:v>สำรองหลังปรับตามเส้นทาง</x:v>
      </x:c>
      <x:c r="E305" s="8" t="str">
        <x:v>หลักฐานไม่พอ รอยืนยันการเปิด</x:v>
      </x:c>
      <x:c r="F305" s="8" t="str">
        <x:v>ยังไม่ยืนยันการเปิดให้บริการปัจจุบัน</x:v>
      </x:c>
      <x:c r="G305" s="58" t="n">
        <x:v>1</x:v>
      </x:c>
      <x:c r="H305" s="52"/>
      <x:c r="I305" s="52"/>
      <x:c r="J305" s="52"/>
      <x:c r="K305" s="52"/>
      <x:c r="L305" s="52"/>
      <x:c r="M305" s="52"/>
      <x:c r="N305" s="8" t="str">
        <x:v>ยังไม่ยืนยัน</x:v>
      </x:c>
      <x:c r="O30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05" s="40" t="n">
        <x:v>46315</x:v>
      </x:c>
      <x:c r="Q305" s="59" t="str">
        <x:v>ยังไม่ตรวจ</x:v>
      </x:c>
      <x:c r="R305" s="59" t="str">
        <x:v>รอติดต่อ</x:v>
      </x:c>
    </x:row>
    <x:row r="306" ht="84" customHeight="1">
      <x:c r="A306" s="2" t="str">
        <x:v>TMF-298</x:v>
      </x:c>
      <x:c r="B306" s="8" t="str">
        <x:v>มัสยิดนูรุสสะลาม กุโบร์โต๊ะเยาะห์</x:v>
      </x:c>
      <x:c r="C306" s="8" t="str">
        <x:v>กรุงเทพมหานคร</x:v>
      </x:c>
      <x:c r="D306" s="8" t="str">
        <x:v>อยู่ในชุด 600 ตามเส้นทาง</x:v>
      </x:c>
      <x:c r="E306" s="8" t="str">
        <x:v>พบชื่อสัมพันธ์หลายเว็บไซต์ รอยืนยันสาขา</x:v>
      </x:c>
      <x:c r="F306" s="8" t="str">
        <x:v>ยังไม่ยืนยันการเปิดให้บริการปัจจุบัน</x:v>
      </x:c>
      <x:c r="G306" s="58" t="n">
        <x:v>3</x:v>
      </x:c>
      <x:c r="H306" s="52" t="str"/>
      <x:c r="I306" s="52" t="str"/>
      <x:c r="J306" s="52" t="str"/>
      <x:c r="K306" s="52" t="str"/>
      <x:c r="L306" s="52" t="str">
        <x:v>https://www.thic.or.th/th/tourist/detail/mosques/304</x:v>
      </x:c>
      <x:c r="M306" s="52" t="str">
        <x:v>https://masjid.islamicbangkok.or.th/masjid/id/78441</x:v>
      </x:c>
      <x:c r="N306" s="8" t="str">
        <x:v>ยังไม่ยืนยัน</x:v>
      </x:c>
      <x:c r="O30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6" s="40" t="n">
        <x:v>46315</x:v>
      </x:c>
      <x:c r="Q306" s="59" t="str">
        <x:v>ยังไม่ตรวจ</x:v>
      </x:c>
      <x:c r="R306" s="59" t="str">
        <x:v>รอติดต่อ</x:v>
      </x:c>
    </x:row>
    <x:row r="307" ht="84" customHeight="1">
      <x:c r="A307" s="2" t="str">
        <x:v>TMF-299</x:v>
      </x:c>
      <x:c r="B307" s="8" t="str">
        <x:v>มัสยิดนูรุ้ลอิสลาม (วังใหญ่)</x:v>
      </x:c>
      <x:c r="C307" s="8" t="str">
        <x:v>กรุงเทพมหานคร</x:v>
      </x:c>
      <x:c r="D307" s="8" t="str">
        <x:v>อยู่ในชุด 600 ตามเส้นทาง</x:v>
      </x:c>
      <x:c r="E307" s="8" t="str">
        <x:v>พบชื่อสัมพันธ์หลายเว็บไซต์ รอยืนยันสาขา</x:v>
      </x:c>
      <x:c r="F307" s="8" t="str">
        <x:v>ยังไม่ยืนยันการเปิดให้บริการปัจจุบัน</x:v>
      </x:c>
      <x:c r="G307" s="58" t="n">
        <x:v>2</x:v>
      </x:c>
      <x:c r="H307" s="52" t="str"/>
      <x:c r="I307" s="52" t="str"/>
      <x:c r="J307" s="52" t="str"/>
      <x:c r="K307" s="52" t="str"/>
      <x:c r="L307" s="52" t="str">
        <x:v>https://www.thic.or.th/th/tourist/detail/mosques/469</x:v>
      </x:c>
      <x:c r="M307" s="52" t="str">
        <x:v>https://masjid.islamicbangkok.or.th/masjid/id/99049</x:v>
      </x:c>
      <x:c r="N307" s="8" t="str">
        <x:v>ยังไม่ยืนยัน</x:v>
      </x:c>
      <x:c r="O307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7" s="40" t="n">
        <x:v>46315</x:v>
      </x:c>
      <x:c r="Q307" s="59" t="str">
        <x:v>ยังไม่ตรวจ</x:v>
      </x:c>
      <x:c r="R307" s="59" t="str">
        <x:v>รอติดต่อ</x:v>
      </x:c>
    </x:row>
    <x:row r="308" ht="84" customHeight="1">
      <x:c r="A308" s="2" t="str">
        <x:v>TMF-300</x:v>
      </x:c>
      <x:c r="B308" s="8" t="str">
        <x:v>มัสยิดนูรุ้ลฮูดา (คลองสองต้นนุ่น)</x:v>
      </x:c>
      <x:c r="C308" s="8" t="str">
        <x:v>กรุงเทพมหานคร</x:v>
      </x:c>
      <x:c r="D308" s="8" t="str">
        <x:v>อยู่ในชุด 600 ตามเส้นทาง</x:v>
      </x:c>
      <x:c r="E308" s="8" t="str">
        <x:v>พบชื่อสัมพันธ์หลายเว็บไซต์ รอยืนยันสาขา</x:v>
      </x:c>
      <x:c r="F308" s="8" t="str">
        <x:v>ยังไม่ยืนยันการเปิดให้บริการปัจจุบัน</x:v>
      </x:c>
      <x:c r="G308" s="58" t="n">
        <x:v>3</x:v>
      </x:c>
      <x:c r="H308" s="52" t="str"/>
      <x:c r="I308" s="52" t="str"/>
      <x:c r="J308" s="52" t="str"/>
      <x:c r="K308" s="52" t="str"/>
      <x:c r="L308" s="52" t="str">
        <x:v>https://www.thic.or.th/th/tourist/detail/mosques/478</x:v>
      </x:c>
      <x:c r="M308" s="52" t="str">
        <x:v>https://masjid.islamicbangkok.or.th/masjid/id/20210</x:v>
      </x:c>
      <x:c r="N308" s="8" t="str">
        <x:v>ยังไม่ยืนยัน</x:v>
      </x:c>
      <x:c r="O308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8" s="40" t="n">
        <x:v>46315</x:v>
      </x:c>
      <x:c r="Q308" s="59" t="str">
        <x:v>ยังไม่ตรวจ</x:v>
      </x:c>
      <x:c r="R308" s="59" t="str">
        <x:v>รอติดต่อ</x:v>
      </x:c>
    </x:row>
    <x:row r="309" ht="84" customHeight="1">
      <x:c r="A309" s="2" t="str">
        <x:v>TMF-301</x:v>
      </x:c>
      <x:c r="B309" s="8" t="str">
        <x:v>มัสยิดนูรุ้ลเอี๊ยะห์ซาน (ลำตาจีน)</x:v>
      </x:c>
      <x:c r="C309" s="8" t="str">
        <x:v>กรุงเทพมหานคร</x:v>
      </x:c>
      <x:c r="D309" s="8" t="str">
        <x:v>อยู่ในชุด 600 ตามเส้นทาง</x:v>
      </x:c>
      <x:c r="E309" s="8" t="str">
        <x:v>พบชื่อสัมพันธ์หลายเว็บไซต์ รอยืนยันสาขา</x:v>
      </x:c>
      <x:c r="F309" s="8" t="str">
        <x:v>ยังไม่ยืนยันการเปิดให้บริการปัจจุบัน</x:v>
      </x:c>
      <x:c r="G309" s="58" t="n">
        <x:v>2</x:v>
      </x:c>
      <x:c r="H309" s="52" t="str"/>
      <x:c r="I309" s="52" t="str"/>
      <x:c r="J309" s="52" t="str"/>
      <x:c r="K309" s="52" t="str"/>
      <x:c r="L309" s="52" t="str">
        <x:v>https://www.thic.or.th/th/tourist/detail/mosques/426</x:v>
      </x:c>
      <x:c r="M309" s="52" t="str">
        <x:v>https://masjid.islamicbangkok.or.th/masjid/id/14152</x:v>
      </x:c>
      <x:c r="N309" s="8" t="str">
        <x:v>ยังไม่ยืนยัน</x:v>
      </x:c>
      <x:c r="O30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09" s="40" t="n">
        <x:v>46315</x:v>
      </x:c>
      <x:c r="Q309" s="59" t="str">
        <x:v>ยังไม่ตรวจ</x:v>
      </x:c>
      <x:c r="R309" s="59" t="str">
        <x:v>รอติดต่อ</x:v>
      </x:c>
    </x:row>
    <x:row r="310" ht="84" customHeight="1">
      <x:c r="A310" s="2" t="str">
        <x:v>TMF-302</x:v>
      </x:c>
      <x:c r="B310" s="8" t="str">
        <x:v>มัสยิดบางอุทิศ (บางอุทิศ)</x:v>
      </x:c>
      <x:c r="C310" s="8" t="str">
        <x:v>กรุงเทพมหานคร</x:v>
      </x:c>
      <x:c r="D310" s="8" t="str">
        <x:v>สำรองหลังปรับตามเส้นทาง</x:v>
      </x:c>
      <x:c r="E310" s="8" t="str">
        <x:v>หลักฐานไม่พอ รอยืนยันการเปิด</x:v>
      </x:c>
      <x:c r="F310" s="8" t="str">
        <x:v>ยังไม่ยืนยันการเปิดให้บริการปัจจุบัน</x:v>
      </x:c>
      <x:c r="G310" s="58" t="n">
        <x:v>1</x:v>
      </x:c>
      <x:c r="H310" s="52"/>
      <x:c r="I310" s="52"/>
      <x:c r="J310" s="52"/>
      <x:c r="K310" s="52"/>
      <x:c r="L310" s="52"/>
      <x:c r="M310" s="52"/>
      <x:c r="N310" s="8" t="str">
        <x:v>ยังไม่ยืนยัน</x:v>
      </x:c>
      <x:c r="O31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10" s="40" t="n">
        <x:v>46315</x:v>
      </x:c>
      <x:c r="Q310" s="59" t="str">
        <x:v>ยังไม่ตรวจ</x:v>
      </x:c>
      <x:c r="R310" s="59" t="str">
        <x:v>รอติดต่อ</x:v>
      </x:c>
    </x:row>
    <x:row r="311" ht="84" customHeight="1">
      <x:c r="A311" s="2" t="str">
        <x:v>TMF-303</x:v>
      </x:c>
      <x:c r="B311" s="8" t="str">
        <x:v>มัสยิดบางอ้อ</x:v>
      </x:c>
      <x:c r="C311" s="8" t="str">
        <x:v>กรุงเทพมหานคร</x:v>
      </x:c>
      <x:c r="D311" s="8" t="str">
        <x:v>อยู่ในชุด 600 ตามเส้นทาง</x:v>
      </x:c>
      <x:c r="E311" s="8" t="str">
        <x:v>พบชื่อสัมพันธ์หลายเว็บไซต์ รอยืนยันสาขา</x:v>
      </x:c>
      <x:c r="F311" s="8" t="str">
        <x:v>ยังไม่ยืนยันการเปิดให้บริการปัจจุบัน</x:v>
      </x:c>
      <x:c r="G311" s="58" t="n">
        <x:v>6</x:v>
      </x:c>
      <x:c r="H311" s="52" t="str"/>
      <x:c r="I311" s="52" t="str"/>
      <x:c r="J311" s="52" t="str">
        <x:v>https://www.wongnai.com/attractions/482482lM</x:v>
      </x:c>
      <x:c r="K311" s="52" t="str">
        <x:v>https://www.wongnai.com/attractions/482482lM-%E0%B8%A1%E0%B8%B1%E0%B8%AA%E0%B8%A2%E0%B8%B4%E0%B8%94%E0%B8%9A%E0%B8%B2%E0%B8%87%E0%B8%AD%E0%B9%89%E0%B8%AD</x:v>
      </x:c>
      <x:c r="L311" s="52" t="str">
        <x:v>https://www.thic.or.th/th/tourist/detail/mosques/44</x:v>
      </x:c>
      <x:c r="M311" s="52" t="str">
        <x:v>https://www.wongnai.com/attractions/482482lM</x:v>
      </x:c>
      <x:c r="N311" s="8" t="str">
        <x:v>ยังไม่ยืนยัน</x:v>
      </x:c>
      <x:c r="O31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1" s="40" t="n">
        <x:v>46315</x:v>
      </x:c>
      <x:c r="Q311" s="59" t="str">
        <x:v>ยังไม่ตรวจ</x:v>
      </x:c>
      <x:c r="R311" s="59" t="str">
        <x:v>รอติดต่อ</x:v>
      </x:c>
    </x:row>
    <x:row r="312" ht="84" customHeight="1">
      <x:c r="A312" s="2" t="str">
        <x:v>TMF-304</x:v>
      </x:c>
      <x:c r="B312" s="8" t="str">
        <x:v>มัสยิดมิตรภาพไทย-ปากีสตาน (มิตรภาพไทย-ปากีสตาน)</x:v>
      </x:c>
      <x:c r="C312" s="8" t="str">
        <x:v>กรุงเทพมหานคร</x:v>
      </x:c>
      <x:c r="D312" s="8" t="str">
        <x:v>สำรองหลังปรับตามเส้นทาง</x:v>
      </x:c>
      <x:c r="E312" s="8" t="str">
        <x:v>หลักฐานไม่พอ รอยืนยันการเปิด</x:v>
      </x:c>
      <x:c r="F312" s="8" t="str">
        <x:v>ยังไม่ยืนยันการเปิดให้บริการปัจจุบัน</x:v>
      </x:c>
      <x:c r="G312" s="58" t="n">
        <x:v>1</x:v>
      </x:c>
      <x:c r="H312" s="52"/>
      <x:c r="I312" s="52"/>
      <x:c r="J312" s="52"/>
      <x:c r="K312" s="52"/>
      <x:c r="L312" s="52"/>
      <x:c r="M312" s="52"/>
      <x:c r="N312" s="8" t="str">
        <x:v>ยังไม่ยืนยัน</x:v>
      </x:c>
      <x:c r="O31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12" s="40" t="n">
        <x:v>46315</x:v>
      </x:c>
      <x:c r="Q312" s="59" t="str">
        <x:v>ยังไม่ตรวจ</x:v>
      </x:c>
      <x:c r="R312" s="59" t="str">
        <x:v>รอติดต่อ</x:v>
      </x:c>
    </x:row>
    <x:row r="313" ht="84" customHeight="1">
      <x:c r="A313" s="2" t="str">
        <x:v>TMF-305</x:v>
      </x:c>
      <x:c r="B313" s="8" t="str">
        <x:v>มัสยิดยะมีอุ้ลมุตตะกีน (ลำหินใต้)</x:v>
      </x:c>
      <x:c r="C313" s="8" t="str">
        <x:v>กรุงเทพมหานคร</x:v>
      </x:c>
      <x:c r="D313" s="8" t="str">
        <x:v>อยู่ในชุด 600 ตามเส้นทาง</x:v>
      </x:c>
      <x:c r="E313" s="8" t="str">
        <x:v>พบชื่อสัมพันธ์หลายเว็บไซต์ รอยืนยันสาขา</x:v>
      </x:c>
      <x:c r="F313" s="8" t="str">
        <x:v>ยังไม่ยืนยันการเปิดให้บริการปัจจุบัน</x:v>
      </x:c>
      <x:c r="G313" s="58" t="n">
        <x:v>3</x:v>
      </x:c>
      <x:c r="H313" s="52" t="str"/>
      <x:c r="I313" s="52" t="str"/>
      <x:c r="J313" s="52" t="str"/>
      <x:c r="K313" s="52" t="str"/>
      <x:c r="L313" s="52" t="str">
        <x:v>https://www.thic.or.th/th/tourist/detail/mosques/420</x:v>
      </x:c>
      <x:c r="M313" s="52" t="str">
        <x:v>https://masjid.islamicbangkok.or.th/masjid/id/95463</x:v>
      </x:c>
      <x:c r="N313" s="8" t="str">
        <x:v>ยังไม่ยืนยัน</x:v>
      </x:c>
      <x:c r="O31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3" s="40" t="n">
        <x:v>46315</x:v>
      </x:c>
      <x:c r="Q313" s="59" t="str">
        <x:v>ยังไม่ตรวจ</x:v>
      </x:c>
      <x:c r="R313" s="59" t="str">
        <x:v>รอติดต่อ</x:v>
      </x:c>
    </x:row>
    <x:row r="314" ht="84" customHeight="1">
      <x:c r="A314" s="2" t="str">
        <x:v>TMF-306</x:v>
      </x:c>
      <x:c r="B314" s="8" t="str">
        <x:v>มัสยิดยำอุลอิควาน (ลำมดตะนอย)</x:v>
      </x:c>
      <x:c r="C314" s="8" t="str">
        <x:v>กรุงเทพมหานคร</x:v>
      </x:c>
      <x:c r="D314" s="8" t="str">
        <x:v>อยู่ในชุด 600 ตามเส้นทาง</x:v>
      </x:c>
      <x:c r="E314" s="8" t="str">
        <x:v>พบชื่อสัมพันธ์หลายเว็บไซต์ รอยืนยันสาขา</x:v>
      </x:c>
      <x:c r="F314" s="8" t="str">
        <x:v>ยังไม่ยืนยันการเปิดให้บริการปัจจุบัน</x:v>
      </x:c>
      <x:c r="G314" s="58" t="n">
        <x:v>3</x:v>
      </x:c>
      <x:c r="H314" s="52" t="str"/>
      <x:c r="I314" s="52" t="str"/>
      <x:c r="J314" s="52" t="str"/>
      <x:c r="K314" s="52" t="str"/>
      <x:c r="L314" s="52" t="str">
        <x:v>https://www.thic.or.th/th/tourist/detail/mosques/450</x:v>
      </x:c>
      <x:c r="M314" s="52" t="str">
        <x:v>https://masjid.islamicbangkok.or.th/masjid/id/27615</x:v>
      </x:c>
      <x:c r="N314" s="8" t="str">
        <x:v>ยังไม่ยืนยัน</x:v>
      </x:c>
      <x:c r="O31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4" s="40" t="n">
        <x:v>46315</x:v>
      </x:c>
      <x:c r="Q314" s="59" t="str">
        <x:v>ยังไม่ตรวจ</x:v>
      </x:c>
      <x:c r="R314" s="59" t="str">
        <x:v>รอติดต่อ</x:v>
      </x:c>
    </x:row>
    <x:row r="315" ht="84" customHeight="1">
      <x:c r="A315" s="2" t="str">
        <x:v>TMF-307</x:v>
      </x:c>
      <x:c r="B315" s="8" t="str">
        <x:v>มัสยิดสุวรรณภูมิ</x:v>
      </x:c>
      <x:c r="C315" s="8" t="str">
        <x:v>กรุงเทพมหานคร</x:v>
      </x:c>
      <x:c r="D315" s="8" t="str">
        <x:v>อยู่ในชุด 600 ตามเส้นทาง</x:v>
      </x:c>
      <x:c r="E315" s="8" t="str">
        <x:v>พบชื่อสัมพันธ์หลายเว็บไซต์ รอยืนยันสาขา</x:v>
      </x:c>
      <x:c r="F315" s="8" t="str">
        <x:v>ยังไม่ยืนยันการเปิดให้บริการปัจจุบัน</x:v>
      </x:c>
      <x:c r="G315" s="58" t="n">
        <x:v>3</x:v>
      </x:c>
      <x:c r="H315" s="52" t="str"/>
      <x:c r="I315" s="52" t="str"/>
      <x:c r="J315" s="52" t="str"/>
      <x:c r="K315" s="52" t="str"/>
      <x:c r="L315" s="52" t="str">
        <x:v>https://www.thic.or.th/th/tourist/detail/mosques/508</x:v>
      </x:c>
      <x:c r="M315" s="52" t="str">
        <x:v>https://masjid.islamicbangkok.or.th/masjid/id/23672</x:v>
      </x:c>
      <x:c r="N315" s="8" t="str">
        <x:v>ยังไม่ยืนยัน</x:v>
      </x:c>
      <x:c r="O315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5" s="40" t="n">
        <x:v>46315</x:v>
      </x:c>
      <x:c r="Q315" s="59" t="str">
        <x:v>ยังไม่ตรวจ</x:v>
      </x:c>
      <x:c r="R315" s="59" t="str">
        <x:v>รอติดต่อ</x:v>
      </x:c>
    </x:row>
    <x:row r="316" ht="84" customHeight="1">
      <x:c r="A316" s="2" t="str">
        <x:v>TMF-308</x:v>
      </x:c>
      <x:c r="B316" s="8" t="str">
        <x:v>มัสยิดอมันนฤมิต (สาธุประดิษฐ์)</x:v>
      </x:c>
      <x:c r="C316" s="8" t="str">
        <x:v>กรุงเทพมหานคร</x:v>
      </x:c>
      <x:c r="D316" s="8" t="str">
        <x:v>อยู่ในชุด 600 ตามเส้นทาง</x:v>
      </x:c>
      <x:c r="E316" s="8" t="str">
        <x:v>พบชื่อสัมพันธ์หลายเว็บไซต์ รอยืนยันสาขา</x:v>
      </x:c>
      <x:c r="F316" s="8" t="str">
        <x:v>ยังไม่ยืนยันการเปิดให้บริการปัจจุบัน</x:v>
      </x:c>
      <x:c r="G316" s="58" t="n">
        <x:v>3</x:v>
      </x:c>
      <x:c r="H316" s="52" t="str"/>
      <x:c r="I316" s="52" t="str"/>
      <x:c r="J316" s="52" t="str"/>
      <x:c r="K316" s="52" t="str"/>
      <x:c r="L316" s="52" t="str">
        <x:v>https://www.thic.or.th/th/tourist/detail/mosques/520</x:v>
      </x:c>
      <x:c r="M316" s="52" t="str">
        <x:v>https://masjid.islamicbangkok.or.th/masjid/id/27374</x:v>
      </x:c>
      <x:c r="N316" s="8" t="str">
        <x:v>ยังไม่ยืนยัน</x:v>
      </x:c>
      <x:c r="O31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6" s="40" t="n">
        <x:v>46315</x:v>
      </x:c>
      <x:c r="Q316" s="59" t="str">
        <x:v>ยังไม่ตรวจ</x:v>
      </x:c>
      <x:c r="R316" s="59" t="str">
        <x:v>รอติดต่อ</x:v>
      </x:c>
    </x:row>
    <x:row r="317" ht="84" customHeight="1">
      <x:c r="A317" s="2" t="str">
        <x:v>TMF-309</x:v>
      </x:c>
      <x:c r="B317" s="8" t="str">
        <x:v>มัสยิดอะห์ลิสซุนนะห์วั้ลยะมาอะฮ์</x:v>
      </x:c>
      <x:c r="C317" s="8" t="str">
        <x:v>กรุงเทพมหานคร</x:v>
      </x:c>
      <x:c r="D317" s="8" t="str">
        <x:v>สำรองหลังปรับตามเส้นทาง</x:v>
      </x:c>
      <x:c r="E317" s="8" t="str">
        <x:v>หลักฐานไม่พอ รอยืนยันการเปิด</x:v>
      </x:c>
      <x:c r="F317" s="8" t="str">
        <x:v>ยังไม่ยืนยันการเปิดให้บริการปัจจุบัน</x:v>
      </x:c>
      <x:c r="G317" s="58" t="n">
        <x:v>1</x:v>
      </x:c>
      <x:c r="H317" s="52"/>
      <x:c r="I317" s="52"/>
      <x:c r="J317" s="52"/>
      <x:c r="K317" s="52"/>
      <x:c r="L317" s="52"/>
      <x:c r="M317" s="52"/>
      <x:c r="N317" s="8" t="str">
        <x:v>ยังไม่ยืนยัน</x:v>
      </x:c>
      <x:c r="O31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17" s="40" t="n">
        <x:v>46315</x:v>
      </x:c>
      <x:c r="Q317" s="59" t="str">
        <x:v>ยังไม่ตรวจ</x:v>
      </x:c>
      <x:c r="R317" s="59" t="str">
        <x:v>รอติดต่อ</x:v>
      </x:c>
    </x:row>
    <x:row r="318" ht="84" customHeight="1">
      <x:c r="A318" s="2" t="str">
        <x:v>TMF-310</x:v>
      </x:c>
      <x:c r="B318" s="8" t="str">
        <x:v>มัสยิดอันนูรอยน์ (บึงขวาง)</x:v>
      </x:c>
      <x:c r="C318" s="8" t="str">
        <x:v>กรุงเทพมหานคร</x:v>
      </x:c>
      <x:c r="D318" s="8" t="str">
        <x:v>อยู่ในชุด 600 ตามเส้นทาง</x:v>
      </x:c>
      <x:c r="E318" s="8" t="str">
        <x:v>พบชื่อสัมพันธ์หลายเว็บไซต์ รอยืนยันสาขา</x:v>
      </x:c>
      <x:c r="F318" s="8" t="str">
        <x:v>ยังไม่ยืนยันการเปิดให้บริการปัจจุบัน</x:v>
      </x:c>
      <x:c r="G318" s="58" t="n">
        <x:v>4</x:v>
      </x:c>
      <x:c r="H318" s="52" t="str"/>
      <x:c r="I318" s="52" t="str"/>
      <x:c r="J318" s="52" t="str">
        <x:v>https://th.trip.com/travel-guide/attraction/bangkok/an-nurayn-mosque-141399981</x:v>
      </x:c>
      <x:c r="K318" s="52" t="str"/>
      <x:c r="L318" s="52" t="str">
        <x:v>https://www.thic.or.th/th/tourist/detail/mosques/481</x:v>
      </x:c>
      <x:c r="M318" s="52" t="str">
        <x:v>https://th.trip.com/travel-guide/attraction/bangkok/an-nurayn-mosque-141399981</x:v>
      </x:c>
      <x:c r="N318" s="8" t="str">
        <x:v>ยังไม่ยืนยัน</x:v>
      </x:c>
      <x:c r="O318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8" s="40" t="n">
        <x:v>46315</x:v>
      </x:c>
      <x:c r="Q318" s="59" t="str">
        <x:v>ยังไม่ตรวจ</x:v>
      </x:c>
      <x:c r="R318" s="59" t="str">
        <x:v>รอติดต่อ</x:v>
      </x:c>
    </x:row>
    <x:row r="319" ht="84" customHeight="1">
      <x:c r="A319" s="2" t="str">
        <x:v>TMF-311</x:v>
      </x:c>
      <x:c r="B319" s="8" t="str">
        <x:v>มัสยิดอัลมาดานี (มัซกัร)</x:v>
      </x:c>
      <x:c r="C319" s="8" t="str">
        <x:v>กรุงเทพมหานคร</x:v>
      </x:c>
      <x:c r="D319" s="8" t="str">
        <x:v>อยู่ในชุด 600 ตามเส้นทาง</x:v>
      </x:c>
      <x:c r="E319" s="8" t="str">
        <x:v>พบชื่อสัมพันธ์หลายเว็บไซต์ รอยืนยันสาขา</x:v>
      </x:c>
      <x:c r="F319" s="8" t="str">
        <x:v>ยังไม่ยืนยันการเปิดให้บริการปัจจุบัน</x:v>
      </x:c>
      <x:c r="G319" s="58" t="n">
        <x:v>3</x:v>
      </x:c>
      <x:c r="H319" s="52" t="str"/>
      <x:c r="I319" s="52" t="str"/>
      <x:c r="J319" s="52" t="str"/>
      <x:c r="K319" s="52" t="str"/>
      <x:c r="L319" s="52" t="str">
        <x:v>https://www.thic.or.th/th/tourist/detail/mosques/483</x:v>
      </x:c>
      <x:c r="M319" s="52" t="str">
        <x:v>https://masjid.islamicbangkok.or.th/masjid/id/28103</x:v>
      </x:c>
      <x:c r="N319" s="8" t="str">
        <x:v>ยังไม่ยืนยัน</x:v>
      </x:c>
      <x:c r="O31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19" s="40" t="n">
        <x:v>46315</x:v>
      </x:c>
      <x:c r="Q319" s="59" t="str">
        <x:v>ยังไม่ตรวจ</x:v>
      </x:c>
      <x:c r="R319" s="59" t="str">
        <x:v>รอติดต่อ</x:v>
      </x:c>
    </x:row>
    <x:row r="320" ht="84" customHeight="1">
      <x:c r="A320" s="2" t="str">
        <x:v>TMF-312</x:v>
      </x:c>
      <x:c r="B320" s="8" t="str">
        <x:v>มัสยิดอัลยามิอะห์ (ลำอีรั้ว)</x:v>
      </x:c>
      <x:c r="C320" s="8" t="str">
        <x:v>กรุงเทพมหานคร</x:v>
      </x:c>
      <x:c r="D320" s="8" t="str">
        <x:v>อยู่ในชุด 600 ตามเส้นทาง</x:v>
      </x:c>
      <x:c r="E320" s="8" t="str">
        <x:v>พบชื่อสัมพันธ์หลายเว็บไซต์ รอยืนยันสาขา</x:v>
      </x:c>
      <x:c r="F320" s="8" t="str">
        <x:v>ยังไม่ยืนยันการเปิดให้บริการปัจจุบัน</x:v>
      </x:c>
      <x:c r="G320" s="58" t="n">
        <x:v>3</x:v>
      </x:c>
      <x:c r="H320" s="52" t="str"/>
      <x:c r="I320" s="52" t="str"/>
      <x:c r="J320" s="52" t="str"/>
      <x:c r="K320" s="52" t="str"/>
      <x:c r="L320" s="52" t="str">
        <x:v>https://www.thic.or.th/th/tourist/detail/mosques/440</x:v>
      </x:c>
      <x:c r="M320" s="52" t="str">
        <x:v>https://masjid.islamicbangkok.or.th/masjid/id/10162</x:v>
      </x:c>
      <x:c r="N320" s="8" t="str">
        <x:v>ยังไม่ยืนยัน</x:v>
      </x:c>
      <x:c r="O320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0" s="40" t="n">
        <x:v>46315</x:v>
      </x:c>
      <x:c r="Q320" s="59" t="str">
        <x:v>ยังไม่ตรวจ</x:v>
      </x:c>
      <x:c r="R320" s="59" t="str">
        <x:v>รอติดต่อ</x:v>
      </x:c>
    </x:row>
    <x:row r="321" ht="84" customHeight="1">
      <x:c r="A321" s="2" t="str">
        <x:v>TMF-313</x:v>
      </x:c>
      <x:c r="B321" s="8" t="str">
        <x:v>มัสยิดอัลอะติ๊ก (สุเหร่าเก่า)</x:v>
      </x:c>
      <x:c r="C321" s="8" t="str">
        <x:v>กรุงเทพมหานคร</x:v>
      </x:c>
      <x:c r="D321" s="8" t="str">
        <x:v>อยู่ในชุด 600 ตามเส้นทาง</x:v>
      </x:c>
      <x:c r="E321" s="8" t="str">
        <x:v>พบชื่อสัมพันธ์หลายเว็บไซต์ รอยืนยันสาขา</x:v>
      </x:c>
      <x:c r="F321" s="8" t="str">
        <x:v>ยังไม่ยืนยันการเปิดให้บริการปัจจุบัน</x:v>
      </x:c>
      <x:c r="G321" s="58" t="n">
        <x:v>2</x:v>
      </x:c>
      <x:c r="H321" s="52" t="str"/>
      <x:c r="I321" s="52" t="str"/>
      <x:c r="J321" s="52" t="str"/>
      <x:c r="K321" s="52" t="str"/>
      <x:c r="L321" s="52" t="str">
        <x:v>https://www.thic.or.th/th/tourist/detail/mosques/524</x:v>
      </x:c>
      <x:c r="M321" s="52" t="str">
        <x:v>https://masjid.islamicbangkok.or.th/masjid/id/31008</x:v>
      </x:c>
      <x:c r="N321" s="8" t="str">
        <x:v>ยังไม่ยืนยัน</x:v>
      </x:c>
      <x:c r="O32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1" s="40" t="n">
        <x:v>46315</x:v>
      </x:c>
      <x:c r="Q321" s="59" t="str">
        <x:v>ยังไม่ตรวจ</x:v>
      </x:c>
      <x:c r="R321" s="59" t="str">
        <x:v>รอติดต่อ</x:v>
      </x:c>
    </x:row>
    <x:row r="322" ht="84" customHeight="1">
      <x:c r="A322" s="2" t="str">
        <x:v>TMF-314</x:v>
      </x:c>
      <x:c r="B322" s="8" t="str">
        <x:v>มัสยิดอัลฮุดา</x:v>
      </x:c>
      <x:c r="C322" s="8" t="str">
        <x:v>กรุงเทพมหานคร</x:v>
      </x:c>
      <x:c r="D322" s="8" t="str">
        <x:v>อยู่ในชุด 600 ตามเส้นทาง</x:v>
      </x:c>
      <x:c r="E322" s="8" t="str">
        <x:v>พบชื่อสัมพันธ์หลายเว็บไซต์ รอยืนยันสาขา</x:v>
      </x:c>
      <x:c r="F322" s="8" t="str">
        <x:v>ยังไม่ยืนยันการเปิดให้บริการปัจจุบัน</x:v>
      </x:c>
      <x:c r="G322" s="58" t="n">
        <x:v>3</x:v>
      </x:c>
      <x:c r="H322" s="52" t="str"/>
      <x:c r="I322" s="52" t="str"/>
      <x:c r="J322" s="52" t="str">
        <x:v>https://th.trip.com/travel-guide/attraction/bangkok/al-huda-mosque-144755946</x:v>
      </x:c>
      <x:c r="K322" s="52" t="str">
        <x:v>https://th.trip.com/travel-guide/attraction/bangkok/city-141511391/</x:v>
      </x:c>
      <x:c r="L322" s="52" t="str">
        <x:v>https://www.thic.or.th/th/tourist/detail/mosques/313</x:v>
      </x:c>
      <x:c r="M322" s="52" t="str">
        <x:v>https://th.trip.com/travel-guide/attraction/bangkok/al-huda-mosque-144755946</x:v>
      </x:c>
      <x:c r="N322" s="8" t="str">
        <x:v>ยังไม่ยืนยัน</x:v>
      </x:c>
      <x:c r="O32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2" s="40" t="n">
        <x:v>46315</x:v>
      </x:c>
      <x:c r="Q322" s="59" t="str">
        <x:v>ยังไม่ตรวจ</x:v>
      </x:c>
      <x:c r="R322" s="59" t="str">
        <x:v>รอติดต่อ</x:v>
      </x:c>
    </x:row>
    <x:row r="323" ht="84" customHeight="1">
      <x:c r="A323" s="2" t="str">
        <x:v>TMF-315</x:v>
      </x:c>
      <x:c r="B323" s="8" t="str">
        <x:v>มัสยิดอัลฮุสนา เจียรดับ</x:v>
      </x:c>
      <x:c r="C323" s="8" t="str">
        <x:v>กรุงเทพมหานคร</x:v>
      </x:c>
      <x:c r="D323" s="8" t="str">
        <x:v>อยู่ในชุด 600 ตามเส้นทาง</x:v>
      </x:c>
      <x:c r="E323" s="8" t="str">
        <x:v>พบชื่อสัมพันธ์หลายเว็บไซต์ รอยืนยันสาขา</x:v>
      </x:c>
      <x:c r="F323" s="8" t="str">
        <x:v>ยังไม่ยืนยันการเปิดให้บริการปัจจุบัน</x:v>
      </x:c>
      <x:c r="G323" s="58" t="n">
        <x:v>3</x:v>
      </x:c>
      <x:c r="H323" s="52" t="str"/>
      <x:c r="I323" s="52" t="str"/>
      <x:c r="J323" s="52" t="str">
        <x:v>https://au.trip.com/travel-guide/attraction/bangkok/masjid-al-husna-141315442?poiType=3</x:v>
      </x:c>
      <x:c r="K323" s="52" t="str"/>
      <x:c r="L323" s="52" t="str">
        <x:v>https://www.thic.or.th/th/tourist/detail/mosques/316</x:v>
      </x:c>
      <x:c r="M323" s="52" t="str">
        <x:v>https://au.trip.com/travel-guide/attraction/bangkok/masjid-al-husna-141315442?poiType=3</x:v>
      </x:c>
      <x:c r="N323" s="8" t="str">
        <x:v>ยังไม่ยืนยัน</x:v>
      </x:c>
      <x:c r="O32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3" s="40" t="n">
        <x:v>46315</x:v>
      </x:c>
      <x:c r="Q323" s="59" t="str">
        <x:v>ยังไม่ตรวจ</x:v>
      </x:c>
      <x:c r="R323" s="59" t="str">
        <x:v>รอติดต่อ</x:v>
      </x:c>
    </x:row>
    <x:row r="324" ht="84" customHeight="1">
      <x:c r="A324" s="2" t="str">
        <x:v>TMF-316</x:v>
      </x:c>
      <x:c r="B324" s="8" t="str">
        <x:v>มัสยิดอัลเอียะซาน (ลำเจดีย์)</x:v>
      </x:c>
      <x:c r="C324" s="8" t="str">
        <x:v>กรุงเทพมหานคร</x:v>
      </x:c>
      <x:c r="D324" s="8" t="str">
        <x:v>อยู่ในชุด 600 ตามเส้นทาง</x:v>
      </x:c>
      <x:c r="E324" s="8" t="str">
        <x:v>พบชื่อสัมพันธ์หลายเว็บไซต์ รอยืนยันสาขา</x:v>
      </x:c>
      <x:c r="F324" s="8" t="str">
        <x:v>ยังไม่ยืนยันการเปิดให้บริการปัจจุบัน</x:v>
      </x:c>
      <x:c r="G324" s="58" t="n">
        <x:v>3</x:v>
      </x:c>
      <x:c r="H324" s="52" t="str"/>
      <x:c r="I324" s="52" t="str"/>
      <x:c r="J324" s="52" t="str"/>
      <x:c r="K324" s="52" t="str"/>
      <x:c r="L324" s="52" t="str">
        <x:v>https://www.thic.or.th/th/tourist/detail/mosques/451</x:v>
      </x:c>
      <x:c r="M324" s="52" t="str">
        <x:v>https://masjid.islamicbangkok.or.th/masjid/id/75220</x:v>
      </x:c>
      <x:c r="N324" s="8" t="str">
        <x:v>ยังไม่ยืนยัน</x:v>
      </x:c>
      <x:c r="O32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4" s="40" t="n">
        <x:v>46315</x:v>
      </x:c>
      <x:c r="Q324" s="59" t="str">
        <x:v>ยังไม่ตรวจ</x:v>
      </x:c>
      <x:c r="R324" s="59" t="str">
        <x:v>รอติดต่อ</x:v>
      </x:c>
    </x:row>
    <x:row r="325" ht="84" customHeight="1">
      <x:c r="A325" s="2" t="str">
        <x:v>TMF-317</x:v>
      </x:c>
      <x:c r="B325" s="8" t="str">
        <x:v>มัสยิดอัลเอี้ยะซาน ศาลาคู้</x:v>
      </x:c>
      <x:c r="C325" s="8" t="str">
        <x:v>กรุงเทพมหานคร</x:v>
      </x:c>
      <x:c r="D325" s="8" t="str">
        <x:v>สำรองหลังปรับตามเส้นทาง</x:v>
      </x:c>
      <x:c r="E325" s="8" t="str">
        <x:v>หลักฐานไม่พอ รอยืนยันการเปิด</x:v>
      </x:c>
      <x:c r="F325" s="8" t="str">
        <x:v>ยังไม่ยืนยันการเปิดให้บริการปัจจุบัน</x:v>
      </x:c>
      <x:c r="G325" s="58" t="n">
        <x:v>1</x:v>
      </x:c>
      <x:c r="H325" s="52"/>
      <x:c r="I325" s="52"/>
      <x:c r="J325" s="52"/>
      <x:c r="K325" s="52"/>
      <x:c r="L325" s="52"/>
      <x:c r="M325" s="52"/>
      <x:c r="N325" s="8" t="str">
        <x:v>ยังไม่ยืนยัน</x:v>
      </x:c>
      <x:c r="O32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25" s="40" t="n">
        <x:v>46315</x:v>
      </x:c>
      <x:c r="Q325" s="59" t="str">
        <x:v>ยังไม่ตรวจ</x:v>
      </x:c>
      <x:c r="R325" s="59" t="str">
        <x:v>รอติดต่อ</x:v>
      </x:c>
    </x:row>
    <x:row r="326" ht="84" customHeight="1">
      <x:c r="A326" s="2" t="str">
        <x:v>TMF-318</x:v>
      </x:c>
      <x:c r="B326" s="8" t="str">
        <x:v>มัสยิดอัสสลาม (คลองกุ่ม)</x:v>
      </x:c>
      <x:c r="C326" s="8" t="str">
        <x:v>กรุงเทพมหานคร</x:v>
      </x:c>
      <x:c r="D326" s="8" t="str">
        <x:v>อยู่ในชุด 600 ตามเส้นทาง</x:v>
      </x:c>
      <x:c r="E326" s="8" t="str">
        <x:v>พบชื่อสัมพันธ์หลายเว็บไซต์ รอยืนยันสาขา</x:v>
      </x:c>
      <x:c r="F326" s="8" t="str">
        <x:v>ยังไม่ยืนยันการเปิดให้บริการปัจจุบัน</x:v>
      </x:c>
      <x:c r="G326" s="58" t="n">
        <x:v>2</x:v>
      </x:c>
      <x:c r="H326" s="52" t="str"/>
      <x:c r="I326" s="52" t="str"/>
      <x:c r="J326" s="52" t="str"/>
      <x:c r="K326" s="52" t="str"/>
      <x:c r="L326" s="52" t="str">
        <x:v>https://www.thic.or.th/th/tourist/detail/mosques/518</x:v>
      </x:c>
      <x:c r="M326" s="52" t="str">
        <x:v>https://masjid.islamicbangkok.or.th/masjid/id/18594</x:v>
      </x:c>
      <x:c r="N326" s="8" t="str">
        <x:v>ยังไม่ยืนยัน</x:v>
      </x:c>
      <x:c r="O32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6" s="40" t="n">
        <x:v>46315</x:v>
      </x:c>
      <x:c r="Q326" s="59" t="str">
        <x:v>ยังไม่ตรวจ</x:v>
      </x:c>
      <x:c r="R326" s="59" t="str">
        <x:v>รอติดต่อ</x:v>
      </x:c>
    </x:row>
    <x:row r="327" ht="84" customHeight="1">
      <x:c r="A327" s="2" t="str">
        <x:v>TMF-319</x:v>
      </x:c>
      <x:c r="B327" s="8" t="str">
        <x:v>มัสยิดอิควานุ้ลมุตตะกีน (เกาะขุนเณร)</x:v>
      </x:c>
      <x:c r="C327" s="8" t="str">
        <x:v>กรุงเทพมหานคร</x:v>
      </x:c>
      <x:c r="D327" s="8" t="str">
        <x:v>สำรองหลังปรับตามเส้นทาง</x:v>
      </x:c>
      <x:c r="E327" s="8" t="str">
        <x:v>พบหลายแหล่งสัมพันธ์กับชื่อ รอยืนยันการเปิด</x:v>
      </x:c>
      <x:c r="F327" s="8" t="str">
        <x:v>ยังไม่ยืนยันการเปิดให้บริการปัจจุบัน</x:v>
      </x:c>
      <x:c r="G327" s="58" t="n">
        <x:v>2</x:v>
      </x:c>
      <x:c r="H327" s="52"/>
      <x:c r="I327" s="52"/>
      <x:c r="J327" s="52"/>
      <x:c r="K327" s="52"/>
      <x:c r="L327" s="52" t="str">
        <x:v>HYPERLINK is not implemented. linkLocation=https://masjid.islamicbangkok.or.th/masjid/id/29286, friendlyName=เปิดเว็บเพิ่ม 1</x:v>
      </x:c>
      <x:c r="M327" s="52"/>
      <x:c r="N327" s="8" t="str">
        <x:v>ยังไม่ยืนยัน</x:v>
      </x:c>
      <x:c r="O327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27" s="40" t="n">
        <x:v>46315</x:v>
      </x:c>
      <x:c r="Q327" s="59" t="str">
        <x:v>ยังไม่ตรวจ</x:v>
      </x:c>
      <x:c r="R327" s="59" t="str">
        <x:v>รอติดต่อ</x:v>
      </x:c>
    </x:row>
    <x:row r="328" ht="84" customHeight="1">
      <x:c r="A328" s="2" t="str">
        <x:v>TMF-320</x:v>
      </x:c>
      <x:c r="B328" s="8" t="str">
        <x:v>มัสยิดอิดด์ฮาดร์อูลูมุดดีน</x:v>
      </x:c>
      <x:c r="C328" s="8" t="str">
        <x:v>กรุงเทพมหานคร</x:v>
      </x:c>
      <x:c r="D328" s="8" t="str">
        <x:v>อยู่ในชุด 600 ตามเส้นทาง</x:v>
      </x:c>
      <x:c r="E328" s="8" t="str">
        <x:v>พบชื่อสัมพันธ์หลายเว็บไซต์ รอยืนยันสาขา</x:v>
      </x:c>
      <x:c r="F328" s="8" t="str">
        <x:v>ยังไม่ยืนยันการเปิดให้บริการปัจจุบัน</x:v>
      </x:c>
      <x:c r="G328" s="58" t="n">
        <x:v>4</x:v>
      </x:c>
      <x:c r="H328" s="52" t="str"/>
      <x:c r="I328" s="52" t="str"/>
      <x:c r="J328" s="52" t="str">
        <x:v>https://th.trip.com/travel-guide/attraction/bangkok/izhar-ulumuddin-mosque-141676410</x:v>
      </x:c>
      <x:c r="K328" s="52" t="str">
        <x:v>https://au.trip.com/travel-guide/attraction/bangkok/izhar-ulumuddin-mosque-141676410/</x:v>
      </x:c>
      <x:c r="L328" s="52" t="str">
        <x:v>https://www.thic.or.th/th/tourist/detail/mosques/184</x:v>
      </x:c>
      <x:c r="M328" s="52" t="str">
        <x:v>https://th.trip.com/travel-guide/attraction/bangkok/izhar-ulumuddin-mosque-141676410</x:v>
      </x:c>
      <x:c r="N328" s="8" t="str">
        <x:v>ยังไม่ยืนยัน</x:v>
      </x:c>
      <x:c r="O328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8" s="40" t="n">
        <x:v>46315</x:v>
      </x:c>
      <x:c r="Q328" s="59" t="str">
        <x:v>ยังไม่ตรวจ</x:v>
      </x:c>
      <x:c r="R328" s="59" t="str">
        <x:v>รอติดต่อ</x:v>
      </x:c>
    </x:row>
    <x:row r="329" ht="84" customHeight="1">
      <x:c r="A329" s="2" t="str">
        <x:v>TMF-321</x:v>
      </x:c>
      <x:c r="B329" s="8" t="str">
        <x:v>มัสยิดอิบรอฮีม (บึงเตย)</x:v>
      </x:c>
      <x:c r="C329" s="8" t="str">
        <x:v>กรุงเทพมหานคร</x:v>
      </x:c>
      <x:c r="D329" s="8" t="str">
        <x:v>อยู่ในชุด 600 ตามเส้นทาง</x:v>
      </x:c>
      <x:c r="E329" s="8" t="str">
        <x:v>พบชื่อสัมพันธ์หลายเว็บไซต์ รอยืนยันสาขา</x:v>
      </x:c>
      <x:c r="F329" s="8" t="str">
        <x:v>ยังไม่ยืนยันการเปิดให้บริการปัจจุบัน</x:v>
      </x:c>
      <x:c r="G329" s="58" t="n">
        <x:v>2</x:v>
      </x:c>
      <x:c r="H329" s="52" t="str"/>
      <x:c r="I329" s="52" t="str"/>
      <x:c r="J329" s="52" t="str"/>
      <x:c r="K329" s="52" t="str"/>
      <x:c r="L329" s="52" t="str">
        <x:v>https://www.thic.or.th/th/tourist/detail/mosques/433</x:v>
      </x:c>
      <x:c r="M329" s="52" t="str">
        <x:v>https://www.cicot.or.th/th/mosque/detail/399/2/%E0%B8%A1%E0%B8%B1%E0%B8%AA%E0%B8%A2%E0%B8%B4%E0%B8%94%E0%B8%AD%E0%B8%B4%E0%B8%9A%E0%B8%A3%E0%B8%AD%E0%B8%AE%E0%B8%B5%E0%B8%A1-%E0%B8%9A%E0%B8%B6%E0%B8%87%E0%B9%80%E0%B8%95%E0%B8%A2</x:v>
      </x:c>
      <x:c r="N329" s="8" t="str">
        <x:v>ยังไม่ยืนยัน</x:v>
      </x:c>
      <x:c r="O32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29" s="40" t="n">
        <x:v>46315</x:v>
      </x:c>
      <x:c r="Q329" s="59" t="str">
        <x:v>ยังไม่ตรวจ</x:v>
      </x:c>
      <x:c r="R329" s="59" t="str">
        <x:v>รอติดต่อ</x:v>
      </x:c>
    </x:row>
    <x:row r="330" ht="84" customHeight="1">
      <x:c r="A330" s="2" t="str">
        <x:v>TMF-322</x:v>
      </x:c>
      <x:c r="B330" s="8" t="str">
        <x:v>มัสยิดฮาซานุดดีน (ศาลาแดง)</x:v>
      </x:c>
      <x:c r="C330" s="8" t="str">
        <x:v>กรุงเทพมหานคร</x:v>
      </x:c>
      <x:c r="D330" s="8" t="str">
        <x:v>อยู่ในชุด 600 ตามเส้นทาง</x:v>
      </x:c>
      <x:c r="E330" s="8" t="str">
        <x:v>พบชื่อสัมพันธ์หลายเว็บไซต์ รอยืนยันสาขา</x:v>
      </x:c>
      <x:c r="F330" s="8" t="str">
        <x:v>ยังไม่ยืนยันการเปิดให้บริการปัจจุบัน</x:v>
      </x:c>
      <x:c r="G330" s="58" t="n">
        <x:v>2</x:v>
      </x:c>
      <x:c r="H330" s="52" t="str"/>
      <x:c r="I330" s="52" t="str"/>
      <x:c r="J330" s="52" t="str"/>
      <x:c r="K330" s="52" t="str"/>
      <x:c r="L330" s="52" t="str">
        <x:v>https://www.thic.or.th/th/tourist/detail/mosques/443</x:v>
      </x:c>
      <x:c r="M330" s="52" t="str">
        <x:v>https://masjid.islamicbangkok.or.th/masjid/id/23076</x:v>
      </x:c>
      <x:c r="N330" s="8" t="str">
        <x:v>ยังไม่ยืนยัน</x:v>
      </x:c>
      <x:c r="O330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30" s="40" t="n">
        <x:v>46315</x:v>
      </x:c>
      <x:c r="Q330" s="59" t="str">
        <x:v>ยังไม่ตรวจ</x:v>
      </x:c>
      <x:c r="R330" s="59" t="str">
        <x:v>รอติดต่อ</x:v>
      </x:c>
    </x:row>
    <x:row r="331" ht="84" customHeight="1">
      <x:c r="A331" s="2" t="str">
        <x:v>TMF-323</x:v>
      </x:c>
      <x:c r="B331" s="8" t="str">
        <x:v>มัสยิดฮารูณ (เจริญกรุง)</x:v>
      </x:c>
      <x:c r="C331" s="8" t="str">
        <x:v>กรุงเทพมหานคร</x:v>
      </x:c>
      <x:c r="D331" s="8" t="str">
        <x:v>อยู่ในชุด 600 ตามเส้นทาง</x:v>
      </x:c>
      <x:c r="E331" s="8" t="str">
        <x:v>พบชื่อสัมพันธ์หลายเว็บไซต์ รอยืนยันสาขา</x:v>
      </x:c>
      <x:c r="F331" s="8" t="str">
        <x:v>ยังไม่ยืนยันการเปิดให้บริการปัจจุบัน</x:v>
      </x:c>
      <x:c r="G331" s="58" t="n">
        <x:v>7</x:v>
      </x:c>
      <x:c r="H331" s="52" t="str"/>
      <x:c r="I331" s="52" t="str"/>
      <x:c r="J331" s="52" t="str"/>
      <x:c r="K331" s="52" t="str"/>
      <x:c r="L331" s="52" t="str">
        <x:v>https://masjid.islamicbangkok.or.th/masjid/id/10129</x:v>
      </x:c>
      <x:c r="M331" s="52" t="str">
        <x:v>https://webportal.bangkok.go.th/public/bangrak/page/sub/2940</x:v>
      </x:c>
      <x:c r="N331" s="8" t="str">
        <x:v>ยังไม่ยืนยัน</x:v>
      </x:c>
      <x:c r="O33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31" s="40" t="n">
        <x:v>46316</x:v>
      </x:c>
      <x:c r="Q331" s="59" t="str">
        <x:v>ยังไม่ตรวจ</x:v>
      </x:c>
      <x:c r="R331" s="59" t="str">
        <x:v>รอติดต่อ</x:v>
      </x:c>
    </x:row>
    <x:row r="332" ht="84" customHeight="1">
      <x:c r="A332" s="2" t="str">
        <x:v>TMF-324</x:v>
      </x:c>
      <x:c r="B332" s="8" t="str">
        <x:v>มัสยิดฮีดาย่าตุลอิสลามียะฮ์ (แสนแสบ)</x:v>
      </x:c>
      <x:c r="C332" s="8" t="str">
        <x:v>กรุงเทพมหานคร</x:v>
      </x:c>
      <x:c r="D332" s="8" t="str">
        <x:v>สำรองหลังปรับตามเส้นทาง</x:v>
      </x:c>
      <x:c r="E332" s="8" t="str">
        <x:v>หลักฐานไม่พอ รอยืนยันการเปิด</x:v>
      </x:c>
      <x:c r="F332" s="8" t="str">
        <x:v>ยังไม่ยืนยันการเปิดให้บริการปัจจุบัน</x:v>
      </x:c>
      <x:c r="G332" s="58" t="n">
        <x:v>1</x:v>
      </x:c>
      <x:c r="H332" s="52"/>
      <x:c r="I332" s="52"/>
      <x:c r="J332" s="52"/>
      <x:c r="K332" s="52"/>
      <x:c r="L332" s="52"/>
      <x:c r="M332" s="52"/>
      <x:c r="N332" s="8" t="str">
        <x:v>ยังไม่ยืนยัน</x:v>
      </x:c>
      <x:c r="O33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32" s="40" t="n">
        <x:v>46315</x:v>
      </x:c>
      <x:c r="Q332" s="59" t="str">
        <x:v>ยังไม่ตรวจ</x:v>
      </x:c>
      <x:c r="R332" s="59" t="str">
        <x:v>รอติดต่อ</x:v>
      </x:c>
    </x:row>
    <x:row r="333" ht="84" customHeight="1">
      <x:c r="A333" s="2" t="str">
        <x:v>TMF-325</x:v>
      </x:c>
      <x:c r="B333" s="8" t="str">
        <x:v>มัสยิดเราะห์มาตุ้ลอิสลามียะห์ (บ้านเกาะ)</x:v>
      </x:c>
      <x:c r="C333" s="8" t="str">
        <x:v>กรุงเทพมหานคร</x:v>
      </x:c>
      <x:c r="D333" s="8" t="str">
        <x:v>อยู่ในชุด 600 ตามเส้นทาง</x:v>
      </x:c>
      <x:c r="E333" s="8" t="str">
        <x:v>พบชื่อสัมพันธ์หลายเว็บไซต์ รอยืนยันสาขา</x:v>
      </x:c>
      <x:c r="F333" s="8" t="str">
        <x:v>ยังไม่ยืนยันการเปิดให้บริการปัจจุบัน</x:v>
      </x:c>
      <x:c r="G333" s="58" t="n">
        <x:v>4</x:v>
      </x:c>
      <x:c r="H333" s="52" t="str"/>
      <x:c r="I333" s="52" t="str"/>
      <x:c r="J333" s="52" t="str"/>
      <x:c r="K333" s="52" t="str"/>
      <x:c r="L333" s="52" t="str">
        <x:v>https://www.thic.or.th/th/tourist/detail/mosques/182</x:v>
      </x:c>
      <x:c r="M333" s="52" t="str">
        <x:v>https://masjid.islamicbangkok.or.th/masjid/id/40512</x:v>
      </x:c>
      <x:c r="N333" s="8" t="str">
        <x:v>ยังไม่ยืนยัน</x:v>
      </x:c>
      <x:c r="O33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33" s="40" t="n">
        <x:v>46315</x:v>
      </x:c>
      <x:c r="Q333" s="59" t="str">
        <x:v>ยังไม่ตรวจ</x:v>
      </x:c>
      <x:c r="R333" s="59" t="str">
        <x:v>รอติดต่อ</x:v>
      </x:c>
    </x:row>
    <x:row r="334" ht="84" customHeight="1">
      <x:c r="A334" s="2" t="str">
        <x:v>TMF-326</x:v>
      </x:c>
      <x:c r="B334" s="8" t="str">
        <x:v>มัสยิด สมเด็จ อัลฮายาต จ.กาฬสินธุ์</x:v>
      </x:c>
      <x:c r="C334" s="8" t="str">
        <x:v>กาฬสินธุ์</x:v>
      </x:c>
      <x:c r="D334" s="8" t="str">
        <x:v>สำรองหลังปรับตามเส้นทาง</x:v>
      </x:c>
      <x:c r="E334" s="8" t="str">
        <x:v>หลักฐานไม่พอ รอยืนยันการเปิด</x:v>
      </x:c>
      <x:c r="F334" s="8" t="str">
        <x:v>ยังไม่ยืนยันการเปิดให้บริการปัจจุบัน</x:v>
      </x:c>
      <x:c r="G334" s="58" t="n">
        <x:v>1</x:v>
      </x:c>
      <x:c r="H334" s="52"/>
      <x:c r="I334" s="52"/>
      <x:c r="J334" s="52"/>
      <x:c r="K334" s="52"/>
      <x:c r="L334" s="52"/>
      <x:c r="M334" s="52"/>
      <x:c r="N334" s="8" t="str">
        <x:v>ยังไม่ยืนยัน</x:v>
      </x:c>
      <x:c r="O33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34" s="40" t="n">
        <x:v>46315</x:v>
      </x:c>
      <x:c r="Q334" s="59" t="str">
        <x:v>ยังไม่ตรวจ</x:v>
      </x:c>
      <x:c r="R334" s="59" t="str">
        <x:v>รอติดต่อ</x:v>
      </x:c>
    </x:row>
    <x:row r="335" ht="84" customHeight="1">
      <x:c r="A335" s="2" t="str">
        <x:v>TMF-327</x:v>
      </x:c>
      <x:c r="B335" s="8" t="str">
        <x:v>มัสยิดกลางกาฬสินธุ์</x:v>
      </x:c>
      <x:c r="C335" s="8" t="str">
        <x:v>กาฬสินธุ์</x:v>
      </x:c>
      <x:c r="D335" s="8" t="str">
        <x:v>สำรองหลังปรับตามเส้นทาง</x:v>
      </x:c>
      <x:c r="E335" s="8" t="str">
        <x:v>พบหลายแหล่งสัมพันธ์กับชื่อ รอยืนยันการเปิด</x:v>
      </x:c>
      <x:c r="F335" s="8" t="str">
        <x:v>ยังไม่ยืนยันการเปิดให้บริการปัจจุบัน</x:v>
      </x:c>
      <x:c r="G335" s="58" t="n">
        <x:v>2</x:v>
      </x:c>
      <x:c r="H335" s="52"/>
      <x:c r="I335" s="52"/>
      <x:c r="J335" s="52"/>
      <x:c r="K335" s="52"/>
      <x:c r="L335" s="52" t="str">
        <x:v>HYPERLINK is not implemented. linkLocation=https://www.gplace.com/77539, friendlyName=เปิดเว็บเพิ่ม 1</x:v>
      </x:c>
      <x:c r="M335" s="52"/>
      <x:c r="N335" s="8" t="str">
        <x:v>ยังไม่ยืนยัน</x:v>
      </x:c>
      <x:c r="O335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35" s="40" t="n">
        <x:v>46315</x:v>
      </x:c>
      <x:c r="Q335" s="59" t="str">
        <x:v>ยังไม่ตรวจ</x:v>
      </x:c>
      <x:c r="R335" s="59" t="str">
        <x:v>รอติดต่อ</x:v>
      </x:c>
    </x:row>
    <x:row r="336" ht="84" customHeight="1">
      <x:c r="A336" s="2" t="str">
        <x:v>TMF-328</x:v>
      </x:c>
      <x:c r="B336" s="8" t="str">
        <x:v>มัสยิดดารุลอามาน (บ้านไผ่) จ.ขอนแก่น</x:v>
      </x:c>
      <x:c r="C336" s="8" t="str">
        <x:v>ขอนแก่น</x:v>
      </x:c>
      <x:c r="D336" s="8" t="str">
        <x:v>สำรองหลังปรับตามเส้นทาง</x:v>
      </x:c>
      <x:c r="E336" s="8" t="str">
        <x:v>หลักฐานไม่พอ รอยืนยันการเปิด</x:v>
      </x:c>
      <x:c r="F336" s="8" t="str">
        <x:v>ยังไม่ยืนยันการเปิดให้บริการปัจจุบัน</x:v>
      </x:c>
      <x:c r="G336" s="58" t="n">
        <x:v>1</x:v>
      </x:c>
      <x:c r="H336" s="52"/>
      <x:c r="I336" s="52"/>
      <x:c r="J336" s="52"/>
      <x:c r="K336" s="52"/>
      <x:c r="L336" s="52"/>
      <x:c r="M336" s="52"/>
      <x:c r="N336" s="8" t="str">
        <x:v>ยังไม่ยืนยัน</x:v>
      </x:c>
      <x:c r="O33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36" s="40" t="n">
        <x:v>46315</x:v>
      </x:c>
      <x:c r="Q336" s="59" t="str">
        <x:v>ยังไม่ตรวจ</x:v>
      </x:c>
      <x:c r="R336" s="59" t="str">
        <x:v>รอติดต่อ</x:v>
      </x:c>
    </x:row>
    <x:row r="337" ht="84" customHeight="1">
      <x:c r="A337" s="2" t="str">
        <x:v>TMF-329</x:v>
      </x:c>
      <x:c r="B337" s="8" t="str">
        <x:v>เซ็นทารา แกรนด์ มิราจ บีช รีสอร์ท พัทยา</x:v>
      </x:c>
      <x:c r="C337" s="8" t="str">
        <x:v>ชลบุรี</x:v>
      </x:c>
      <x:c r="D337" s="8" t="str">
        <x:v>อยู่ในชุด 600 ตามเส้นทาง</x:v>
      </x:c>
      <x:c r="E337" s="8" t="str">
        <x:v>พบชื่อสัมพันธ์หลายเว็บไซต์ รอยืนยันสาขา</x:v>
      </x:c>
      <x:c r="F337" s="8" t="str">
        <x:v>ยังไม่ยืนยันการเปิดให้บริการปัจจุบัน</x:v>
      </x:c>
      <x:c r="G337" s="58" t="n">
        <x:v>6</x:v>
      </x:c>
      <x:c r="H337" s="52" t="str"/>
      <x:c r="I337" s="52" t="str"/>
      <x:c r="J337" s="52" t="str">
        <x:v>https://www.google.co.th/travel/hotels/%E0%B8%95%E0%B8%B3%E0%B8%9A%E0%B8%A5%E0%B9%81%E0%B8%AA%E0%B8%99%E0%B8%AA%E0%B8%B8%E0%B8%82/entity/ChgIwfa6sbToga4rGgwvZy8xMWgwYmxudGcQAQ?rp=OAHCAgIiAA&amp;ts=CAEaBAoCGgAqBAoAGgA</x:v>
      </x:c>
      <x:c r="K337" s="52" t="str">
        <x:v>https://th.tripadvisor.com/Hotel_Review-g293919-d1515437-Reviews-Centara_Grand_Mirage_Beach_Resort_Pattaya-Pattaya_Chonburi_Province.html</x:v>
      </x:c>
      <x:c r="L337" s="52" t="str">
        <x:v>https://www.thic.or.th/th/tourist/detail/accommodation/211</x:v>
      </x:c>
      <x:c r="M337" s="52" t="str">
        <x:v>https://www.google.co.th/travel/hotels/%E0%B8%95%E0%B8%B3%E0%B8%9A%E0%B8%A5%E0%B9%81%E0%B8%AA%E0%B8%99%E0%B8%AA%E0%B8%B8%E0%B8%82/entity/ChgIwfa6sbToga4rGgwvZy8xMWgwYmxudGcQAQ?rp=OAHCAgIiAA&amp;ts=CAEaBAoCGgAqBAoAGgA</x:v>
      </x:c>
      <x:c r="N337" s="8" t="str">
        <x:v>ยังไม่ยืนยัน</x:v>
      </x:c>
      <x:c r="O337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37" s="40" t="n">
        <x:v>46315</x:v>
      </x:c>
      <x:c r="Q337" s="59" t="str">
        <x:v>ยังไม่ตรวจ</x:v>
      </x:c>
      <x:c r="R337" s="59" t="str">
        <x:v>รอติดต่อ</x:v>
      </x:c>
    </x:row>
    <x:row r="338" ht="84" customHeight="1">
      <x:c r="A338" s="2" t="str">
        <x:v>TMF-330</x:v>
      </x:c>
      <x:c r="B338" s="8" t="str">
        <x:v>นิยะห์ฮาลาลฟู้ด</x:v>
      </x:c>
      <x:c r="C338" s="8" t="str">
        <x:v>ชลบุรี</x:v>
      </x:c>
      <x:c r="D338" s="8" t="str">
        <x:v>สำรองหลังปรับตามเส้นทาง</x:v>
      </x:c>
      <x:c r="E338" s="8" t="str">
        <x:v>หลักฐานไม่พอ รอยืนยันการเปิด</x:v>
      </x:c>
      <x:c r="F338" s="8" t="str">
        <x:v>ยังไม่ยืนยันการเปิดให้บริการปัจจุบัน</x:v>
      </x:c>
      <x:c r="G338" s="58" t="n">
        <x:v>1</x:v>
      </x:c>
      <x:c r="H338" s="52"/>
      <x:c r="I338" s="52"/>
      <x:c r="J338" s="52"/>
      <x:c r="K338" s="52"/>
      <x:c r="L338" s="52"/>
      <x:c r="M338" s="52"/>
      <x:c r="N338" s="8" t="str">
        <x:v>ยังไม่ยืนยัน</x:v>
      </x:c>
      <x:c r="O33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38" s="40" t="n">
        <x:v>46315</x:v>
      </x:c>
      <x:c r="Q338" s="59" t="str">
        <x:v>ยังไม่ตรวจ</x:v>
      </x:c>
      <x:c r="R338" s="59" t="str">
        <x:v>รอติดต่อ</x:v>
      </x:c>
    </x:row>
    <x:row r="339" ht="84" customHeight="1">
      <x:c r="A339" s="2" t="str">
        <x:v>TMF-331</x:v>
      </x:c>
      <x:c r="B339" s="8" t="str">
        <x:v>มัสยิดญามีอุ้ลอิสลาม</x:v>
      </x:c>
      <x:c r="C339" s="8" t="str">
        <x:v>ชลบุรี</x:v>
      </x:c>
      <x:c r="D339" s="8" t="str">
        <x:v>อยู่ในชุด 600 ตามเส้นทาง</x:v>
      </x:c>
      <x:c r="E339" s="8" t="str">
        <x:v>พบชื่อสัมพันธ์หลายเว็บไซต์ รอยืนยันสาขา</x:v>
      </x:c>
      <x:c r="F339" s="8" t="str">
        <x:v>ยังไม่ยืนยันการเปิดให้บริการปัจจุบัน</x:v>
      </x:c>
      <x:c r="G339" s="58" t="n">
        <x:v>2</x:v>
      </x:c>
      <x:c r="H339" s="52" t="str"/>
      <x:c r="I339" s="52" t="str"/>
      <x:c r="J339" s="52" t="str"/>
      <x:c r="K339" s="52" t="str"/>
      <x:c r="L339" s="52" t="str">
        <x:v>https://www.thic.or.th/th/tourist/detail/mosques/251</x:v>
      </x:c>
      <x:c r="M339" s="52" t="str">
        <x:v>https://www.cicot.or.th/th/mosque/detail/511/5</x:v>
      </x:c>
      <x:c r="N339" s="8" t="str">
        <x:v>ยังไม่ยืนยัน</x:v>
      </x:c>
      <x:c r="O33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39" s="40" t="n">
        <x:v>46315</x:v>
      </x:c>
      <x:c r="Q339" s="59" t="str">
        <x:v>ยังไม่ตรวจ</x:v>
      </x:c>
      <x:c r="R339" s="59" t="str">
        <x:v>รอติดต่อ</x:v>
      </x:c>
    </x:row>
    <x:row r="340" ht="84" customHeight="1">
      <x:c r="A340" s="2" t="str">
        <x:v>TMF-332</x:v>
      </x:c>
      <x:c r="B340" s="8" t="str">
        <x:v>มัสยิดดารุสซิดดีกีน</x:v>
      </x:c>
      <x:c r="C340" s="8" t="str">
        <x:v>ชลบุรี</x:v>
      </x:c>
      <x:c r="D340" s="8" t="str">
        <x:v>อยู่ในชุด 600 ตามเส้นทาง</x:v>
      </x:c>
      <x:c r="E340" s="8" t="str">
        <x:v>พบชื่อสัมพันธ์หลายเว็บไซต์ รอยืนยันสาขา</x:v>
      </x:c>
      <x:c r="F340" s="8" t="str">
        <x:v>ยังไม่ยืนยันการเปิดให้บริการปัจจุบัน</x:v>
      </x:c>
      <x:c r="G340" s="58" t="n">
        <x:v>3</x:v>
      </x:c>
      <x:c r="H340" s="52" t="str"/>
      <x:c r="I340" s="52" t="str"/>
      <x:c r="J340" s="52" t="str"/>
      <x:c r="K340" s="52" t="str"/>
      <x:c r="L340" s="52" t="str">
        <x:v>https://www.thic.or.th/th/tourist/detail/mosques/254</x:v>
      </x:c>
      <x:c r="M340" s="52" t="str">
        <x:v>https://www.cicot.or.th/th/mosque/lists/3/5</x:v>
      </x:c>
      <x:c r="N340" s="8" t="str">
        <x:v>ยังไม่ยืนยัน</x:v>
      </x:c>
      <x:c r="O340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0" s="40" t="n">
        <x:v>46315</x:v>
      </x:c>
      <x:c r="Q340" s="59" t="str">
        <x:v>ยังไม่ตรวจ</x:v>
      </x:c>
      <x:c r="R340" s="59" t="str">
        <x:v>รอติดต่อ</x:v>
      </x:c>
    </x:row>
    <x:row r="341" ht="84" customHeight="1">
      <x:c r="A341" s="2" t="str">
        <x:v>TMF-333</x:v>
      </x:c>
      <x:c r="B341" s="8" t="str">
        <x:v>มัสยิดดารุ้ลมู่ฮายีรีน</x:v>
      </x:c>
      <x:c r="C341" s="8" t="str">
        <x:v>ชลบุรี</x:v>
      </x:c>
      <x:c r="D341" s="8" t="str">
        <x:v>อยู่ในชุด 600 ตามเส้นทาง</x:v>
      </x:c>
      <x:c r="E341" s="8" t="str">
        <x:v>พบชื่อสัมพันธ์หลายเว็บไซต์ รอยืนยันสาขา</x:v>
      </x:c>
      <x:c r="F341" s="8" t="str">
        <x:v>ยังไม่ยืนยันการเปิดให้บริการปัจจุบัน</x:v>
      </x:c>
      <x:c r="G341" s="58" t="n">
        <x:v>2</x:v>
      </x:c>
      <x:c r="H341" s="52" t="str"/>
      <x:c r="I341" s="52" t="str"/>
      <x:c r="J341" s="52" t="str"/>
      <x:c r="K341" s="52" t="str"/>
      <x:c r="L341" s="52" t="str">
        <x:v>https://www.thic.or.th/th/tourist/detail/mosques/259</x:v>
      </x:c>
      <x:c r="M341" s="52" t="str">
        <x:v>https://picoc.or.th/mosque/detail/19</x:v>
      </x:c>
      <x:c r="N341" s="8" t="str">
        <x:v>ยังไม่ยืนยัน</x:v>
      </x:c>
      <x:c r="O34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1" s="40" t="n">
        <x:v>46315</x:v>
      </x:c>
      <x:c r="Q341" s="59" t="str">
        <x:v>ยังไม่ตรวจ</x:v>
      </x:c>
      <x:c r="R341" s="59" t="str">
        <x:v>รอติดต่อ</x:v>
      </x:c>
    </x:row>
    <x:row r="342" ht="84" customHeight="1">
      <x:c r="A342" s="2" t="str">
        <x:v>TMF-334</x:v>
      </x:c>
      <x:c r="B342" s="8" t="str">
        <x:v>มัสยิดดารุ้ลยันนะห์</x:v>
      </x:c>
      <x:c r="C342" s="8" t="str">
        <x:v>ชลบุรี</x:v>
      </x:c>
      <x:c r="D342" s="8" t="str">
        <x:v>อยู่ในชุด 600 ตามเส้นทาง</x:v>
      </x:c>
      <x:c r="E342" s="8" t="str">
        <x:v>พบชื่อสัมพันธ์หลายเว็บไซต์ รอยืนยันสาขา</x:v>
      </x:c>
      <x:c r="F342" s="8" t="str">
        <x:v>ยังไม่ยืนยันการเปิดให้บริการปัจจุบัน</x:v>
      </x:c>
      <x:c r="G342" s="58" t="n">
        <x:v>3</x:v>
      </x:c>
      <x:c r="H342" s="52" t="str"/>
      <x:c r="I342" s="52" t="str"/>
      <x:c r="J342" s="52" t="str"/>
      <x:c r="K342" s="52" t="str"/>
      <x:c r="L342" s="52" t="str">
        <x:v>https://www.thic.or.th/th/tourist/detail/mosques/256</x:v>
      </x:c>
      <x:c r="M342" s="52" t="str">
        <x:v>https://www.picoc.or.th/mosque/detail/21</x:v>
      </x:c>
      <x:c r="N342" s="8" t="str">
        <x:v>ยังไม่ยืนยัน</x:v>
      </x:c>
      <x:c r="O34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2" s="40" t="n">
        <x:v>46315</x:v>
      </x:c>
      <x:c r="Q342" s="59" t="str">
        <x:v>ยังไม่ตรวจ</x:v>
      </x:c>
      <x:c r="R342" s="59" t="str">
        <x:v>รอติดต่อ</x:v>
      </x:c>
    </x:row>
    <x:row r="343" ht="84" customHeight="1">
      <x:c r="A343" s="2" t="str">
        <x:v>TMF-335</x:v>
      </x:c>
      <x:c r="B343" s="8" t="str">
        <x:v>มัสยิดดารุ้ลอิบาดะฮ์ (พัทยากลาง)</x:v>
      </x:c>
      <x:c r="C343" s="8" t="str">
        <x:v>ชลบุรี</x:v>
      </x:c>
      <x:c r="D343" s="8" t="str">
        <x:v>อยู่ในชุด 600 ตามเส้นทาง</x:v>
      </x:c>
      <x:c r="E343" s="8" t="str">
        <x:v>พบชื่อสัมพันธ์หลายเว็บไซต์ รอยืนยันสาขา</x:v>
      </x:c>
      <x:c r="F343" s="8" t="str">
        <x:v>ยังไม่ยืนยันการเปิดให้บริการปัจจุบัน</x:v>
      </x:c>
      <x:c r="G343" s="58" t="n">
        <x:v>2</x:v>
      </x:c>
      <x:c r="H343" s="52" t="str"/>
      <x:c r="I343" s="52" t="str"/>
      <x:c r="J343" s="52" t="str"/>
      <x:c r="K343" s="52" t="str"/>
      <x:c r="L343" s="52" t="str">
        <x:v>https://www.thic.or.th/th/tourist/detail/mosques/248</x:v>
      </x:c>
      <x:c r="M343" s="52" t="str">
        <x:v>https://www.cicot.or.th/th/mosque/detail/490/5/%E0%B8%A1%E0%B8%B1%E0%B8%AA%E0%B8%A2%E0%B8%B4%E0%B8%94%E0%B8%94%E0%B8%B2%E0%B8%A3%E0%B8%B8%E0%B9%89%E0%B8%A5%E0%B8%AD%E0%B8%B4%E0%B8%9A%E0%B8%B2%E0%B8%94%E0%B8%B0%E0%B8%AE%E0%B9%8C-%E0%B8%9E%E0%B8%B1%E0%B8%97%E0%B8%A2%E0%B8%B2%E0%B8%81%E0%B8%A5%E0%B8%B2%E0%B8%87</x:v>
      </x:c>
      <x:c r="N343" s="8" t="str">
        <x:v>ยังไม่ยืนยัน</x:v>
      </x:c>
      <x:c r="O34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3" s="40" t="n">
        <x:v>46315</x:v>
      </x:c>
      <x:c r="Q343" s="59" t="str">
        <x:v>ยังไม่ตรวจ</x:v>
      </x:c>
      <x:c r="R343" s="59" t="str">
        <x:v>รอติดต่อ</x:v>
      </x:c>
    </x:row>
    <x:row r="344" ht="84" customHeight="1">
      <x:c r="A344" s="2" t="str">
        <x:v>TMF-336</x:v>
      </x:c>
      <x:c r="B344" s="8" t="str">
        <x:v>มัสยิดตออะติ้ลละฮ์ (พัทยาใต้)</x:v>
      </x:c>
      <x:c r="C344" s="8" t="str">
        <x:v>ชลบุรี</x:v>
      </x:c>
      <x:c r="D344" s="8" t="str">
        <x:v>อยู่ในชุด 600 ตามเส้นทาง</x:v>
      </x:c>
      <x:c r="E344" s="8" t="str">
        <x:v>พบชื่อสัมพันธ์หลายเว็บไซต์ รอยืนยันสาขา</x:v>
      </x:c>
      <x:c r="F344" s="8" t="str">
        <x:v>ยังไม่ยืนยันการเปิดให้บริการปัจจุบัน</x:v>
      </x:c>
      <x:c r="G344" s="58" t="n">
        <x:v>3</x:v>
      </x:c>
      <x:c r="H344" s="52" t="str"/>
      <x:c r="I344" s="52" t="str"/>
      <x:c r="J344" s="52" t="str"/>
      <x:c r="K344" s="52" t="str"/>
      <x:c r="L344" s="52" t="str">
        <x:v>https://www.thic.or.th/th/tourist/detail/mosques/255</x:v>
      </x:c>
      <x:c r="M344" s="52" t="str">
        <x:v>https://www.picoc.or.th/mosque/detail/23</x:v>
      </x:c>
      <x:c r="N344" s="8" t="str">
        <x:v>ยังไม่ยืนยัน</x:v>
      </x:c>
      <x:c r="O34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4" s="40" t="n">
        <x:v>46315</x:v>
      </x:c>
      <x:c r="Q344" s="59" t="str">
        <x:v>ยังไม่ตรวจ</x:v>
      </x:c>
      <x:c r="R344" s="59" t="str">
        <x:v>รอติดต่อ</x:v>
      </x:c>
    </x:row>
    <x:row r="345" ht="84" customHeight="1">
      <x:c r="A345" s="2" t="str">
        <x:v>TMF-337</x:v>
      </x:c>
      <x:c r="B345" s="8" t="str">
        <x:v>มัสยิดนูรุลยากีน</x:v>
      </x:c>
      <x:c r="C345" s="8" t="str">
        <x:v>ชลบุรี</x:v>
      </x:c>
      <x:c r="D345" s="8" t="str">
        <x:v>อยู่ในชุด 600 ตามเส้นทาง</x:v>
      </x:c>
      <x:c r="E345" s="8" t="str">
        <x:v>พบชื่อสัมพันธ์หลายเว็บไซต์ รอยืนยันสาขา</x:v>
      </x:c>
      <x:c r="F345" s="8" t="str">
        <x:v>ยังไม่ยืนยันการเปิดให้บริการปัจจุบัน</x:v>
      </x:c>
      <x:c r="G345" s="58" t="n">
        <x:v>5</x:v>
      </x:c>
      <x:c r="H345" s="52" t="str"/>
      <x:c r="I345" s="52" t="str"/>
      <x:c r="J345" s="52" t="str"/>
      <x:c r="K345" s="52" t="str"/>
      <x:c r="L345" s="52" t="str">
        <x:v>https://www.traveloka.com/th-th/hotel/thailand/landmark/-91750734673101</x:v>
      </x:c>
      <x:c r="M345" s="52" t="str">
        <x:v>https://www.cicot.or.th/th/mosque/detail/492/5/%E0%B8%A1%E0%B8%B1%E0%B8%AA%E0%B8%A2%E0%B8%B4%E0%B8%94%E0%B8%99%E0%B8%B9%E0%B8%A3%E0%B8%B8%E0%B8%A5%E0%B8%A2%E0%B8%B2%E0%B8%81%E0%B8%B5%E0%B8%99</x:v>
      </x:c>
      <x:c r="N345" s="8" t="str">
        <x:v>ยังไม่ยืนยัน</x:v>
      </x:c>
      <x:c r="O345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5" s="40" t="n">
        <x:v>46316</x:v>
      </x:c>
      <x:c r="Q345" s="59" t="str">
        <x:v>ยังไม่ตรวจ</x:v>
      </x:c>
      <x:c r="R345" s="59" t="str">
        <x:v>รอติดต่อ</x:v>
      </x:c>
    </x:row>
    <x:row r="346" ht="84" customHeight="1">
      <x:c r="A346" s="2" t="str">
        <x:v>TMF-338</x:v>
      </x:c>
      <x:c r="B346" s="8" t="str">
        <x:v>มัสยิดนูรุลฮิดายะห์</x:v>
      </x:c>
      <x:c r="C346" s="8" t="str">
        <x:v>ชลบุรี</x:v>
      </x:c>
      <x:c r="D346" s="8" t="str">
        <x:v>อยู่ในชุด 600 ตามเส้นทาง</x:v>
      </x:c>
      <x:c r="E346" s="8" t="str">
        <x:v>พบชื่อสัมพันธ์หลายเว็บไซต์ รอยืนยันสาขา</x:v>
      </x:c>
      <x:c r="F346" s="8" t="str">
        <x:v>ยังไม่ยืนยันการเปิดให้บริการปัจจุบัน</x:v>
      </x:c>
      <x:c r="G346" s="58" t="n">
        <x:v>2</x:v>
      </x:c>
      <x:c r="H346" s="52" t="str"/>
      <x:c r="I346" s="52" t="str"/>
      <x:c r="J346" s="52" t="str"/>
      <x:c r="K346" s="52" t="str"/>
      <x:c r="L346" s="52" t="str">
        <x:v>https://www.thic.or.th/th/tourist/detail/mosques/260</x:v>
      </x:c>
      <x:c r="M346" s="52" t="str">
        <x:v>https://www.cicot.or.th/th/mosque/detail/497/5/%E0%B8%A1%E0%B8%B1%E0%B8%AA%E0%B8%A2%E0%B8%B4%E0%B8%94%E0%B8%99%E0%B8%B9%E0%B8%A3%E0%B8%B8%E0%B8%A5%E0%B8%AE%E0%B8%B4%E0%B8%94%E0%B8%B2%E0%B8%A2%E0%B8%B0%E0%B8%AB%E0%B9%8C</x:v>
      </x:c>
      <x:c r="N346" s="8" t="str">
        <x:v>ยังไม่ยืนยัน</x:v>
      </x:c>
      <x:c r="O34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6" s="40" t="n">
        <x:v>46315</x:v>
      </x:c>
      <x:c r="Q346" s="59" t="str">
        <x:v>ยังไม่ตรวจ</x:v>
      </x:c>
      <x:c r="R346" s="59" t="str">
        <x:v>รอติดต่อ</x:v>
      </x:c>
    </x:row>
    <x:row r="347" ht="84" customHeight="1">
      <x:c r="A347" s="2" t="str">
        <x:v>TMF-339</x:v>
      </x:c>
      <x:c r="B347" s="8" t="str">
        <x:v>มัสยิดมิฟตาฮุ้นยีนาน</x:v>
      </x:c>
      <x:c r="C347" s="8" t="str">
        <x:v>ชลบุรี</x:v>
      </x:c>
      <x:c r="D347" s="8" t="str">
        <x:v>อยู่ในชุด 600 ตามเส้นทาง</x:v>
      </x:c>
      <x:c r="E347" s="8" t="str">
        <x:v>พบชื่อสัมพันธ์หลายเว็บไซต์ รอยืนยันสาขา</x:v>
      </x:c>
      <x:c r="F347" s="8" t="str">
        <x:v>ยังไม่ยืนยันการเปิดให้บริการปัจจุบัน</x:v>
      </x:c>
      <x:c r="G347" s="58" t="n">
        <x:v>2</x:v>
      </x:c>
      <x:c r="H347" s="52" t="str"/>
      <x:c r="I347" s="52" t="str"/>
      <x:c r="J347" s="52" t="str"/>
      <x:c r="K347" s="52" t="str"/>
      <x:c r="L347" s="52" t="str">
        <x:v>https://www.thic.or.th/th/tourist/detail/mosques/252</x:v>
      </x:c>
      <x:c r="M347" s="52" t="str">
        <x:v>https://www.cicot.or.th/th/mosque/lists/208</x:v>
      </x:c>
      <x:c r="N347" s="8" t="str">
        <x:v>ยังไม่ยืนยัน</x:v>
      </x:c>
      <x:c r="O347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7" s="40" t="n">
        <x:v>46315</x:v>
      </x:c>
      <x:c r="Q347" s="59" t="str">
        <x:v>ยังไม่ตรวจ</x:v>
      </x:c>
      <x:c r="R347" s="59" t="str">
        <x:v>รอติดต่อ</x:v>
      </x:c>
    </x:row>
    <x:row r="348" ht="84" customHeight="1">
      <x:c r="A348" s="2" t="str">
        <x:v>TMF-340</x:v>
      </x:c>
      <x:c r="B348" s="8" t="str">
        <x:v>มัสยิดสลาม่าตุลเลาะห์</x:v>
      </x:c>
      <x:c r="C348" s="8" t="str">
        <x:v>ชลบุรี</x:v>
      </x:c>
      <x:c r="D348" s="8" t="str">
        <x:v>อยู่ในชุด 600 ตามเส้นทาง</x:v>
      </x:c>
      <x:c r="E348" s="8" t="str">
        <x:v>พบชื่อสัมพันธ์หลายเว็บไซต์ รอยืนยันสาขา</x:v>
      </x:c>
      <x:c r="F348" s="8" t="str">
        <x:v>ยังไม่ยืนยันการเปิดให้บริการปัจจุบัน</x:v>
      </x:c>
      <x:c r="G348" s="58" t="n">
        <x:v>2</x:v>
      </x:c>
      <x:c r="H348" s="52" t="str"/>
      <x:c r="I348" s="52" t="str"/>
      <x:c r="J348" s="52" t="str"/>
      <x:c r="K348" s="52" t="str"/>
      <x:c r="L348" s="52" t="str">
        <x:v>https://www.thic.or.th/th/tourist/detail/mosques/245</x:v>
      </x:c>
      <x:c r="M348" s="52" t="str">
        <x:v>https://www.cicot.or.th/th/mosque/detail/493/5</x:v>
      </x:c>
      <x:c r="N348" s="8" t="str">
        <x:v>ยังไม่ยืนยัน</x:v>
      </x:c>
      <x:c r="O348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48" s="40" t="n">
        <x:v>46315</x:v>
      </x:c>
      <x:c r="Q348" s="59" t="str">
        <x:v>ยังไม่ตรวจ</x:v>
      </x:c>
      <x:c r="R348" s="59" t="str">
        <x:v>รอติดต่อ</x:v>
      </x:c>
    </x:row>
    <x:row r="349" ht="84" customHeight="1">
      <x:c r="A349" s="2" t="str">
        <x:v>TMF-341</x:v>
      </x:c>
      <x:c r="B349" s="8" t="str">
        <x:v>มัสยิดอัล-อิตติฮาดียะห์ (บ้านหนองพรหม)</x:v>
      </x:c>
      <x:c r="C349" s="8" t="str">
        <x:v>ชลบุรี</x:v>
      </x:c>
      <x:c r="D349" s="8" t="str">
        <x:v>สำรองหลังปรับตามเส้นทาง</x:v>
      </x:c>
      <x:c r="E349" s="8" t="str">
        <x:v>หลักฐานไม่พอ รอยืนยันการเปิด</x:v>
      </x:c>
      <x:c r="F349" s="8" t="str">
        <x:v>ยังไม่ยืนยันการเปิดให้บริการปัจจุบัน</x:v>
      </x:c>
      <x:c r="G349" s="58" t="n">
        <x:v>1</x:v>
      </x:c>
      <x:c r="H349" s="52"/>
      <x:c r="I349" s="52"/>
      <x:c r="J349" s="52"/>
      <x:c r="K349" s="52"/>
      <x:c r="L349" s="52"/>
      <x:c r="M349" s="52"/>
      <x:c r="N349" s="8" t="str">
        <x:v>ยังไม่ยืนยัน</x:v>
      </x:c>
      <x:c r="O34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49" s="40" t="n">
        <x:v>46315</x:v>
      </x:c>
      <x:c r="Q349" s="59" t="str">
        <x:v>ยังไม่ตรวจ</x:v>
      </x:c>
      <x:c r="R349" s="59" t="str">
        <x:v>รอติดต่อ</x:v>
      </x:c>
    </x:row>
    <x:row r="350" ht="84" customHeight="1">
      <x:c r="A350" s="2" t="str">
        <x:v>TMF-342</x:v>
      </x:c>
      <x:c r="B350" s="8" t="str">
        <x:v>มัสยิดอัล-อิตติฮาต</x:v>
      </x:c>
      <x:c r="C350" s="8" t="str">
        <x:v>ชลบุรี</x:v>
      </x:c>
      <x:c r="D350" s="8" t="str">
        <x:v>อยู่ในชุด 600 ตามเส้นทาง</x:v>
      </x:c>
      <x:c r="E350" s="8" t="str">
        <x:v>พบชื่อสัมพันธ์หลายเว็บไซต์ รอยืนยันสาขา</x:v>
      </x:c>
      <x:c r="F350" s="8" t="str">
        <x:v>ยังไม่ยืนยันการเปิดให้บริการปัจจุบัน</x:v>
      </x:c>
      <x:c r="G350" s="58" t="n">
        <x:v>3</x:v>
      </x:c>
      <x:c r="H350" s="52" t="str"/>
      <x:c r="I350" s="52" t="str"/>
      <x:c r="J350" s="52" t="str"/>
      <x:c r="K350" s="52" t="str"/>
      <x:c r="L350" s="52" t="str">
        <x:v>https://www.thic.or.th/th/tourist/detail/mosques/257</x:v>
      </x:c>
      <x:c r="M350" s="52" t="str">
        <x:v>https://www.picoc.or.th/mosque/detail/11</x:v>
      </x:c>
      <x:c r="N350" s="8" t="str">
        <x:v>ยังไม่ยืนยัน</x:v>
      </x:c>
      <x:c r="O350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50" s="40" t="n">
        <x:v>46315</x:v>
      </x:c>
      <x:c r="Q350" s="59" t="str">
        <x:v>ยังไม่ตรวจ</x:v>
      </x:c>
      <x:c r="R350" s="59" t="str">
        <x:v>รอติดต่อ</x:v>
      </x:c>
    </x:row>
    <x:row r="351" ht="84" customHeight="1">
      <x:c r="A351" s="2" t="str">
        <x:v>TMF-343</x:v>
      </x:c>
      <x:c r="B351" s="8" t="str">
        <x:v>มัสยิดอัล-ฮุสนา</x:v>
      </x:c>
      <x:c r="C351" s="8" t="str">
        <x:v>ชลบุรี</x:v>
      </x:c>
      <x:c r="D351" s="8" t="str">
        <x:v>อยู่ในชุด 600 ตามเส้นทาง</x:v>
      </x:c>
      <x:c r="E351" s="8" t="str">
        <x:v>พบชื่อสัมพันธ์หลายเว็บไซต์ รอยืนยันสาขา</x:v>
      </x:c>
      <x:c r="F351" s="8" t="str">
        <x:v>ยังไม่ยืนยันการเปิดให้บริการปัจจุบัน</x:v>
      </x:c>
      <x:c r="G351" s="58" t="n">
        <x:v>3</x:v>
      </x:c>
      <x:c r="H351" s="52" t="str"/>
      <x:c r="I351" s="52" t="str"/>
      <x:c r="J351" s="52" t="str"/>
      <x:c r="K351" s="52" t="str"/>
      <x:c r="L351" s="52" t="str">
        <x:v>https://www.thic.or.th/th/tourist/detail/mosques/253</x:v>
      </x:c>
      <x:c r="M351" s="52" t="str">
        <x:v>https://www.picoc.or.th/mosque/detail/15</x:v>
      </x:c>
      <x:c r="N351" s="8" t="str">
        <x:v>ยังไม่ยืนยัน</x:v>
      </x:c>
      <x:c r="O35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51" s="40" t="n">
        <x:v>46315</x:v>
      </x:c>
      <x:c r="Q351" s="59" t="str">
        <x:v>ยังไม่ตรวจ</x:v>
      </x:c>
      <x:c r="R351" s="59" t="str">
        <x:v>รอติดต่อ</x:v>
      </x:c>
    </x:row>
    <x:row r="352" ht="84" customHeight="1">
      <x:c r="A352" s="2" t="str">
        <x:v>TMF-344</x:v>
      </x:c>
      <x:c r="B352" s="8" t="str">
        <x:v>มัสยิดอัลอิตติฟากียะฮ์</x:v>
      </x:c>
      <x:c r="C352" s="8" t="str">
        <x:v>ชลบุรี</x:v>
      </x:c>
      <x:c r="D352" s="8" t="str">
        <x:v>สำรองหลังปรับตามเส้นทาง</x:v>
      </x:c>
      <x:c r="E352" s="8" t="str">
        <x:v>หลักฐานไม่พอ รอยืนยันการเปิด</x:v>
      </x:c>
      <x:c r="F352" s="8" t="str">
        <x:v>ยังไม่ยืนยันการเปิดให้บริการปัจจุบัน</x:v>
      </x:c>
      <x:c r="G352" s="58" t="n">
        <x:v>1</x:v>
      </x:c>
      <x:c r="H352" s="52"/>
      <x:c r="I352" s="52"/>
      <x:c r="J352" s="52"/>
      <x:c r="K352" s="52"/>
      <x:c r="L352" s="52"/>
      <x:c r="M352" s="52"/>
      <x:c r="N352" s="8" t="str">
        <x:v>ยังไม่ยืนยัน</x:v>
      </x:c>
      <x:c r="O35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52" s="40" t="n">
        <x:v>46315</x:v>
      </x:c>
      <x:c r="Q352" s="59" t="str">
        <x:v>ยังไม่ตรวจ</x:v>
      </x:c>
      <x:c r="R352" s="59" t="str">
        <x:v>รอติดต่อ</x:v>
      </x:c>
    </x:row>
    <x:row r="353" ht="84" customHeight="1">
      <x:c r="A353" s="2" t="str">
        <x:v>TMF-345</x:v>
      </x:c>
      <x:c r="B353" s="8" t="str">
        <x:v>มัสยิดอาลียิ้ลกามี่ลัยน์</x:v>
      </x:c>
      <x:c r="C353" s="8" t="str">
        <x:v>ชลบุรี</x:v>
      </x:c>
      <x:c r="D353" s="8" t="str">
        <x:v>อยู่ในชุด 600 ตามเส้นทาง</x:v>
      </x:c>
      <x:c r="E353" s="8" t="str">
        <x:v>พบชื่อสัมพันธ์หลายเว็บไซต์ รอยืนยันสาขา</x:v>
      </x:c>
      <x:c r="F353" s="8" t="str">
        <x:v>ยังไม่ยืนยันการเปิดให้บริการปัจจุบัน</x:v>
      </x:c>
      <x:c r="G353" s="58" t="n">
        <x:v>2</x:v>
      </x:c>
      <x:c r="H353" s="52" t="str"/>
      <x:c r="I353" s="52" t="str"/>
      <x:c r="J353" s="52" t="str"/>
      <x:c r="K353" s="52" t="str"/>
      <x:c r="L353" s="52" t="str">
        <x:v>https://www.thic.or.th/th/tourist/detail/mosques/244</x:v>
      </x:c>
      <x:c r="M353" s="52" t="str">
        <x:v>https://www.cicot.or.th/th/mosque/lists/209</x:v>
      </x:c>
      <x:c r="N353" s="8" t="str">
        <x:v>ยังไม่ยืนยัน</x:v>
      </x:c>
      <x:c r="O35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53" s="40" t="n">
        <x:v>46315</x:v>
      </x:c>
      <x:c r="Q353" s="59" t="str">
        <x:v>ยังไม่ตรวจ</x:v>
      </x:c>
      <x:c r="R353" s="59" t="str">
        <x:v>รอติดต่อ</x:v>
      </x:c>
    </x:row>
    <x:row r="354" ht="84" customHeight="1">
      <x:c r="A354" s="2" t="str">
        <x:v>TMF-346</x:v>
      </x:c>
      <x:c r="B354" s="8" t="str">
        <x:v>มัสยิดฮารูณมุสตอฟา</x:v>
      </x:c>
      <x:c r="C354" s="8" t="str">
        <x:v>ชลบุรี</x:v>
      </x:c>
      <x:c r="D354" s="8" t="str">
        <x:v>อยู่ในชุด 600 ตามเส้นทาง</x:v>
      </x:c>
      <x:c r="E354" s="8" t="str">
        <x:v>พบชื่อสัมพันธ์หลายเว็บไซต์ รอยืนยันสาขา</x:v>
      </x:c>
      <x:c r="F354" s="8" t="str">
        <x:v>ยังไม่ยืนยันการเปิดให้บริการปัจจุบัน</x:v>
      </x:c>
      <x:c r="G354" s="58" t="n">
        <x:v>2</x:v>
      </x:c>
      <x:c r="H354" s="52" t="str"/>
      <x:c r="I354" s="52" t="str"/>
      <x:c r="J354" s="52" t="str"/>
      <x:c r="K354" s="52" t="str"/>
      <x:c r="L354" s="52" t="str">
        <x:v>https://www.thic.or.th/th/tourist/detail/mosques/258</x:v>
      </x:c>
      <x:c r="M354" s="52" t="str">
        <x:v>https://www.cicot.or.th/th/mosque/detail/503/5/%E0%B8%A1%E0%B8%B1%E0%B8%AA%E0%B8%A2%E0%B8%B4%E0%B8%94%E0%B8%AE%E0%B8%B2%E0%B8%A3%E0%B8%B9%E0%B8%93%E0%B8%A1%E0%B8%B8%E0%B8%AA%E0%B8%95%E0%B8%AD%E0%B8%9F%E0%B8%B2</x:v>
      </x:c>
      <x:c r="N354" s="8" t="str">
        <x:v>ยังไม่ยืนยัน</x:v>
      </x:c>
      <x:c r="O35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54" s="40" t="n">
        <x:v>46315</x:v>
      </x:c>
      <x:c r="Q354" s="59" t="str">
        <x:v>ยังไม่ตรวจ</x:v>
      </x:c>
      <x:c r="R354" s="59" t="str">
        <x:v>รอติดต่อ</x:v>
      </x:c>
    </x:row>
    <x:row r="355" ht="84" customHeight="1">
      <x:c r="A355" s="2" t="str">
        <x:v>TMF-347</x:v>
      </x:c>
      <x:c r="B355" s="8" t="str">
        <x:v>มัสยิดฮิดาย่าตุสซาลีกีน</x:v>
      </x:c>
      <x:c r="C355" s="8" t="str">
        <x:v>ชลบุรี</x:v>
      </x:c>
      <x:c r="D355" s="8" t="str">
        <x:v>อยู่ในชุด 600 ตามเส้นทาง</x:v>
      </x:c>
      <x:c r="E355" s="8" t="str">
        <x:v>พบชื่อสัมพันธ์หลายเว็บไซต์ รอยืนยันสาขา</x:v>
      </x:c>
      <x:c r="F355" s="8" t="str">
        <x:v>ยังไม่ยืนยันการเปิดให้บริการปัจจุบัน</x:v>
      </x:c>
      <x:c r="G355" s="58" t="n">
        <x:v>2</x:v>
      </x:c>
      <x:c r="H355" s="52" t="str"/>
      <x:c r="I355" s="52" t="str"/>
      <x:c r="J355" s="52" t="str"/>
      <x:c r="K355" s="52" t="str"/>
      <x:c r="L355" s="52" t="str">
        <x:v>https://www.thic.or.th/th/tourist/detail/mosques/247</x:v>
      </x:c>
      <x:c r="M355" s="52" t="str">
        <x:v>https://www.cicot.or.th/th/mosque/detail/491/5/%E0%B8%A1%E0%B8%B1%E0%B8%AA%E0%B8%A2%E0%B8%B4%E0%B8%94%E0%B8%AE%E0%B8%B4%E0%B8%94%E0%B8%B2%E0%B8%A2%E0%B9%88%E0%B8%B2%E0%B8%95%E0%B8%B8%E0%B8%AA%E0%B8%8B%E0%B8%B2%E0%B8%A5%E0%B8%B5%E0%B8%81%E0%B8%B5%E0%B8%99</x:v>
      </x:c>
      <x:c r="N355" s="8" t="str">
        <x:v>ยังไม่ยืนยัน</x:v>
      </x:c>
      <x:c r="O355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55" s="40" t="n">
        <x:v>46315</x:v>
      </x:c>
      <x:c r="Q355" s="59" t="str">
        <x:v>ยังไม่ตรวจ</x:v>
      </x:c>
      <x:c r="R355" s="59" t="str">
        <x:v>รอติดต่อ</x:v>
      </x:c>
    </x:row>
    <x:row r="356" ht="84" customHeight="1">
      <x:c r="A356" s="2" t="str">
        <x:v>TMF-348</x:v>
      </x:c>
      <x:c r="B356" s="8" t="str">
        <x:v>มัสยิดแซ็คมูฮำหมัดอาลี</x:v>
      </x:c>
      <x:c r="C356" s="8" t="str">
        <x:v>ชลบุรี</x:v>
      </x:c>
      <x:c r="D356" s="8" t="str">
        <x:v>อยู่ในชุด 600 ตามเส้นทาง</x:v>
      </x:c>
      <x:c r="E356" s="8" t="str">
        <x:v>พบชื่อสัมพันธ์หลายเว็บไซต์ รอยืนยันสาขา</x:v>
      </x:c>
      <x:c r="F356" s="8" t="str">
        <x:v>ยังไม่ยืนยันการเปิดให้บริการปัจจุบัน</x:v>
      </x:c>
      <x:c r="G356" s="58" t="n">
        <x:v>4</x:v>
      </x:c>
      <x:c r="H356" s="52" t="str"/>
      <x:c r="I356" s="52" t="str"/>
      <x:c r="J356" s="52" t="str"/>
      <x:c r="K356" s="52" t="str"/>
      <x:c r="L356" s="52" t="str">
        <x:v>https://www.thic.or.th/th/tourist/detail/mosques/249</x:v>
      </x:c>
      <x:c r="M356" s="52" t="str">
        <x:v>https://www.cicot.or.th/th/mosque/detail/510/5/%E0%B8%A1%E0%B8%B1%E0%B8%AA%E0%B8%A2%E0%B8%B4%E0%B8%94%E0%B9%81%E0%B8%8B%E0%B9%87%E0%B8%84%E0%B8%A1%E0%B8%B9%E0%B8%AE%E0%B8%B3%E0%B8%AB%E0%B8%A1%E0%B8%B1%E0%B8%94%E0%B8%AD%E0%B8%B2%E0%B8%A5%E0%B8%B5</x:v>
      </x:c>
      <x:c r="N356" s="8" t="str">
        <x:v>ยังไม่ยืนยัน</x:v>
      </x:c>
      <x:c r="O35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56" s="40" t="n">
        <x:v>46315</x:v>
      </x:c>
      <x:c r="Q356" s="59" t="str">
        <x:v>ยังไม่ตรวจ</x:v>
      </x:c>
      <x:c r="R356" s="59" t="str">
        <x:v>รอติดต่อ</x:v>
      </x:c>
    </x:row>
    <x:row r="357" ht="84" customHeight="1">
      <x:c r="A357" s="2" t="str">
        <x:v>TMF-349</x:v>
      </x:c>
      <x:c r="B357" s="8" t="str">
        <x:v>นิซีผลไม้ (ท่าเรืออ่าวธรรมชาติ)</x:v>
      </x:c>
      <x:c r="C357" s="8" t="str">
        <x:v>ตราด</x:v>
      </x:c>
      <x:c r="D357" s="8" t="str">
        <x:v>สำรองหลังปรับตามเส้นทาง</x:v>
      </x:c>
      <x:c r="E357" s="8" t="str">
        <x:v>หลักฐานไม่พอ รอยืนยันการเปิด</x:v>
      </x:c>
      <x:c r="F357" s="8" t="str">
        <x:v>ยังไม่ยืนยันการเปิดให้บริการปัจจุบัน</x:v>
      </x:c>
      <x:c r="G357" s="58" t="n">
        <x:v>1</x:v>
      </x:c>
      <x:c r="H357" s="52"/>
      <x:c r="I357" s="52"/>
      <x:c r="J357" s="52"/>
      <x:c r="K357" s="52"/>
      <x:c r="L357" s="52"/>
      <x:c r="M357" s="52"/>
      <x:c r="N357" s="8" t="str">
        <x:v>ยังไม่ยืนยัน</x:v>
      </x:c>
      <x:c r="O35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57" s="40" t="n">
        <x:v>46315</x:v>
      </x:c>
      <x:c r="Q357" s="59" t="str">
        <x:v>ยังไม่ตรวจ</x:v>
      </x:c>
      <x:c r="R357" s="59" t="str">
        <x:v>รอติดต่อ</x:v>
      </x:c>
    </x:row>
    <x:row r="358" ht="84" customHeight="1">
      <x:c r="A358" s="2" t="str">
        <x:v>TMF-350</x:v>
      </x:c>
      <x:c r="B358" s="8" t="str">
        <x:v>น้องอานัส ข้าวแกงปักษ์ใต้</x:v>
      </x:c>
      <x:c r="C358" s="8" t="str">
        <x:v>ตราด</x:v>
      </x:c>
      <x:c r="D358" s="8" t="str">
        <x:v>สำรองหลังปรับตามเส้นทาง</x:v>
      </x:c>
      <x:c r="E358" s="8" t="str">
        <x:v>หลักฐานไม่พอ รอยืนยันการเปิด</x:v>
      </x:c>
      <x:c r="F358" s="8" t="str">
        <x:v>ยังไม่ยืนยันการเปิดให้บริการปัจจุบัน</x:v>
      </x:c>
      <x:c r="G358" s="58" t="n">
        <x:v>1</x:v>
      </x:c>
      <x:c r="H358" s="52"/>
      <x:c r="I358" s="52"/>
      <x:c r="J358" s="52"/>
      <x:c r="K358" s="52"/>
      <x:c r="L358" s="52"/>
      <x:c r="M358" s="52"/>
      <x:c r="N358" s="8" t="str">
        <x:v>ยังไม่ยืนยัน</x:v>
      </x:c>
      <x:c r="O35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58" s="40" t="n">
        <x:v>46315</x:v>
      </x:c>
      <x:c r="Q358" s="59" t="str">
        <x:v>ยังไม่ตรวจ</x:v>
      </x:c>
      <x:c r="R358" s="59" t="str">
        <x:v>รอติดต่อ</x:v>
      </x:c>
    </x:row>
    <x:row r="359" ht="84" customHeight="1">
      <x:c r="A359" s="2" t="str">
        <x:v>TMF-351</x:v>
      </x:c>
      <x:c r="B359" s="8" t="str">
        <x:v>ฮัจเญาะห์ซาเราะห์ สมุนไพรไก่ทอด</x:v>
      </x:c>
      <x:c r="C359" s="8" t="str">
        <x:v>ตราด</x:v>
      </x:c>
      <x:c r="D359" s="8" t="str">
        <x:v>สำรองหลังปรับตามเส้นทาง</x:v>
      </x:c>
      <x:c r="E359" s="8" t="str">
        <x:v>หลักฐานไม่พอ รอยืนยันการเปิด</x:v>
      </x:c>
      <x:c r="F359" s="8" t="str">
        <x:v>ยังไม่ยืนยันการเปิดให้บริการปัจจุบัน</x:v>
      </x:c>
      <x:c r="G359" s="58" t="n">
        <x:v>1</x:v>
      </x:c>
      <x:c r="H359" s="52"/>
      <x:c r="I359" s="52"/>
      <x:c r="J359" s="52"/>
      <x:c r="K359" s="52"/>
      <x:c r="L359" s="52"/>
      <x:c r="M359" s="52"/>
      <x:c r="N359" s="8" t="str">
        <x:v>ยังไม่ยืนยัน</x:v>
      </x:c>
      <x:c r="O35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59" s="40" t="n">
        <x:v>46315</x:v>
      </x:c>
      <x:c r="Q359" s="59" t="str">
        <x:v>ยังไม่ตรวจ</x:v>
      </x:c>
      <x:c r="R359" s="59" t="str">
        <x:v>รอติดต่อ</x:v>
      </x:c>
    </x:row>
    <x:row r="360" ht="84" customHeight="1">
      <x:c r="A360" s="2" t="str">
        <x:v>TMF-352</x:v>
      </x:c>
      <x:c r="B360" s="8" t="str">
        <x:v>Aria Restaurant</x:v>
      </x:c>
      <x:c r="C360" s="8" t="str">
        <x:v>นครราชสีมา</x:v>
      </x:c>
      <x:c r="D360" s="8" t="str">
        <x:v>สำรองหลังปรับตามเส้นทาง</x:v>
      </x:c>
      <x:c r="E360" s="8" t="str">
        <x:v>หลักฐานไม่พอ รอยืนยันการเปิด</x:v>
      </x:c>
      <x:c r="F360" s="8" t="str">
        <x:v>ยังไม่ยืนยันการเปิดให้บริการปัจจุบัน</x:v>
      </x:c>
      <x:c r="G360" s="58" t="n">
        <x:v>1</x:v>
      </x:c>
      <x:c r="H360" s="52"/>
      <x:c r="I360" s="52"/>
      <x:c r="J360" s="52"/>
      <x:c r="K360" s="52"/>
      <x:c r="L360" s="52"/>
      <x:c r="M360" s="52"/>
      <x:c r="N360" s="8" t="str">
        <x:v>ยังไม่ยืนยัน</x:v>
      </x:c>
      <x:c r="O36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60" s="40" t="n">
        <x:v>46315</x:v>
      </x:c>
      <x:c r="Q360" s="59" t="str">
        <x:v>ยังไม่ตรวจ</x:v>
      </x:c>
      <x:c r="R360" s="59" t="str">
        <x:v>รอติดต่อ</x:v>
      </x:c>
    </x:row>
    <x:row r="361" ht="84" customHeight="1">
      <x:c r="A361" s="2" t="str">
        <x:v>TMF-353</x:v>
      </x:c>
      <x:c r="B361" s="8" t="str">
        <x:v>I HA DA ME</x:v>
      </x:c>
      <x:c r="C361" s="8" t="str">
        <x:v>นครราชสีมา</x:v>
      </x:c>
      <x:c r="D361" s="8" t="str">
        <x:v>สำรองหลังปรับตามเส้นทาง</x:v>
      </x:c>
      <x:c r="E361" s="8" t="str">
        <x:v>หลักฐานไม่พอ รอยืนยันการเปิด</x:v>
      </x:c>
      <x:c r="F361" s="8" t="str">
        <x:v>ยังไม่ยืนยันการเปิดให้บริการปัจจุบัน</x:v>
      </x:c>
      <x:c r="G361" s="58" t="n">
        <x:v>1</x:v>
      </x:c>
      <x:c r="H361" s="52"/>
      <x:c r="I361" s="52"/>
      <x:c r="J361" s="52"/>
      <x:c r="K361" s="52"/>
      <x:c r="L361" s="52"/>
      <x:c r="M361" s="52"/>
      <x:c r="N361" s="8" t="str">
        <x:v>ยังไม่ยืนยัน</x:v>
      </x:c>
      <x:c r="O36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61" s="40" t="n">
        <x:v>46315</x:v>
      </x:c>
      <x:c r="Q361" s="59" t="str">
        <x:v>ยังไม่ตรวจ</x:v>
      </x:c>
      <x:c r="R361" s="59" t="str">
        <x:v>รอติดต่อ</x:v>
      </x:c>
    </x:row>
    <x:row r="362" ht="84" customHeight="1">
      <x:c r="A362" s="2" t="str">
        <x:v>TMF-354</x:v>
      </x:c>
      <x:c r="B362" s="8" t="str">
        <x:v>JR. โรตี</x:v>
      </x:c>
      <x:c r="C362" s="8" t="str">
        <x:v>นครราชสีมา</x:v>
      </x:c>
      <x:c r="D362" s="8" t="str">
        <x:v>สำรองหลังปรับตามเส้นทาง</x:v>
      </x:c>
      <x:c r="E362" s="8" t="str">
        <x:v>หลักฐานไม่พอ รอยืนยันการเปิด</x:v>
      </x:c>
      <x:c r="F362" s="8" t="str">
        <x:v>ยังไม่ยืนยันการเปิดให้บริการปัจจุบัน</x:v>
      </x:c>
      <x:c r="G362" s="58" t="n">
        <x:v>1</x:v>
      </x:c>
      <x:c r="H362" s="52"/>
      <x:c r="I362" s="52"/>
      <x:c r="J362" s="52"/>
      <x:c r="K362" s="52"/>
      <x:c r="L362" s="52"/>
      <x:c r="M362" s="52"/>
      <x:c r="N362" s="8" t="str">
        <x:v>ยังไม่ยืนยัน</x:v>
      </x:c>
      <x:c r="O36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62" s="40" t="n">
        <x:v>46315</x:v>
      </x:c>
      <x:c r="Q362" s="59" t="str">
        <x:v>ยังไม่ตรวจ</x:v>
      </x:c>
      <x:c r="R362" s="59" t="str">
        <x:v>รอติดต่อ</x:v>
      </x:c>
    </x:row>
    <x:row r="363" ht="84" customHeight="1">
      <x:c r="A363" s="2" t="str">
        <x:v>TMF-355</x:v>
      </x:c>
      <x:c r="B363" s="8" t="str">
        <x:v>R.K. BURGER</x:v>
      </x:c>
      <x:c r="C363" s="8" t="str">
        <x:v>นครราชสีมา</x:v>
      </x:c>
      <x:c r="D363" s="8" t="str">
        <x:v>สำรองหลังปรับตามเส้นทาง</x:v>
      </x:c>
      <x:c r="E363" s="8" t="str">
        <x:v>หลักฐานไม่พอ รอยืนยันการเปิด</x:v>
      </x:c>
      <x:c r="F363" s="8" t="str">
        <x:v>ยังไม่ยืนยันการเปิดให้บริการปัจจุบัน</x:v>
      </x:c>
      <x:c r="G363" s="58" t="n">
        <x:v>1</x:v>
      </x:c>
      <x:c r="H363" s="52"/>
      <x:c r="I363" s="52"/>
      <x:c r="J363" s="52"/>
      <x:c r="K363" s="52"/>
      <x:c r="L363" s="52"/>
      <x:c r="M363" s="52"/>
      <x:c r="N363" s="8" t="str">
        <x:v>ยังไม่ยืนยัน</x:v>
      </x:c>
      <x:c r="O36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63" s="40" t="n">
        <x:v>46315</x:v>
      </x:c>
      <x:c r="Q363" s="59" t="str">
        <x:v>ยังไม่ตรวจ</x:v>
      </x:c>
      <x:c r="R363" s="59" t="str">
        <x:v>รอติดต่อ</x:v>
      </x:c>
    </x:row>
    <x:row r="364" ht="84" customHeight="1">
      <x:c r="A364" s="2" t="str">
        <x:v>TMF-356</x:v>
      </x:c>
      <x:c r="B364" s="8" t="str">
        <x:v>ก๊ะรุ่ง ข้าวแกงใต้แอบแซ่บ</x:v>
      </x:c>
      <x:c r="C364" s="8" t="str">
        <x:v>นครราชสีมา</x:v>
      </x:c>
      <x:c r="D364" s="8" t="str">
        <x:v>สำรองหลังปรับตามเส้นทาง</x:v>
      </x:c>
      <x:c r="E364" s="8" t="str">
        <x:v>หลักฐานไม่พอ รอยืนยันการเปิด</x:v>
      </x:c>
      <x:c r="F364" s="8" t="str">
        <x:v>ยังไม่ยืนยันการเปิดให้บริการปัจจุบัน</x:v>
      </x:c>
      <x:c r="G364" s="58" t="n">
        <x:v>1</x:v>
      </x:c>
      <x:c r="H364" s="52"/>
      <x:c r="I364" s="52"/>
      <x:c r="J364" s="52"/>
      <x:c r="K364" s="52"/>
      <x:c r="L364" s="52"/>
      <x:c r="M364" s="52"/>
      <x:c r="N364" s="8" t="str">
        <x:v>ยังไม่ยืนยัน</x:v>
      </x:c>
      <x:c r="O36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64" s="40" t="n">
        <x:v>46315</x:v>
      </x:c>
      <x:c r="Q364" s="59" t="str">
        <x:v>ยังไม่ตรวจ</x:v>
      </x:c>
      <x:c r="R364" s="59" t="str">
        <x:v>รอติดต่อ</x:v>
      </x:c>
    </x:row>
    <x:row r="365" ht="84" customHeight="1">
      <x:c r="A365" s="2" t="str">
        <x:v>TMF-357</x:v>
      </x:c>
      <x:c r="B365" s="8" t="str">
        <x:v>มัสยิดญันน่าตุ้ลฟิรเดาซ์ (ปากช่อง)</x:v>
      </x:c>
      <x:c r="C365" s="8" t="str">
        <x:v>นครราชสีมา</x:v>
      </x:c>
      <x:c r="D365" s="8" t="str">
        <x:v>อยู่ในชุด 600 ตามเส้นทาง</x:v>
      </x:c>
      <x:c r="E365" s="8" t="str">
        <x:v>พบชื่อสัมพันธ์หลายเว็บไซต์ รอยืนยันสาขา</x:v>
      </x:c>
      <x:c r="F365" s="8" t="str">
        <x:v>ยังไม่ยืนยันการเปิดให้บริการปัจจุบัน</x:v>
      </x:c>
      <x:c r="G365" s="58" t="n">
        <x:v>2</x:v>
      </x:c>
      <x:c r="H365" s="52" t="str"/>
      <x:c r="I365" s="52" t="str"/>
      <x:c r="J365" s="52" t="str"/>
      <x:c r="K365" s="52" t="str"/>
      <x:c r="L365" s="52" t="str">
        <x:v>https://www.thic.or.th/th/tourist/detail/mosques/317</x:v>
      </x:c>
      <x:c r="M365" s="52" t="str">
        <x:v>https://www.ibank.co.th/th/news/detail/2021-03-16-16-16-58</x:v>
      </x:c>
      <x:c r="N365" s="8" t="str">
        <x:v>ยังไม่ยืนยัน</x:v>
      </x:c>
      <x:c r="O365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65" s="40" t="n">
        <x:v>46315</x:v>
      </x:c>
      <x:c r="Q365" s="59" t="str">
        <x:v>ยังไม่ตรวจ</x:v>
      </x:c>
      <x:c r="R365" s="59" t="str">
        <x:v>รอติดต่อ</x:v>
      </x:c>
    </x:row>
    <x:row r="366" ht="84" customHeight="1">
      <x:c r="A366" s="2" t="str">
        <x:v>TMF-358</x:v>
      </x:c>
      <x:c r="B366" s="8" t="str">
        <x:v>ชุมชนบ้านแหลม</x:v>
      </x:c>
      <x:c r="C366" s="8" t="str">
        <x:v>นครศรีธรรมราช</x:v>
      </x:c>
      <x:c r="D366" s="8" t="str">
        <x:v>อยู่ในชุด 600 ตามเส้นทาง</x:v>
      </x:c>
      <x:c r="E366" s="8" t="str">
        <x:v>พบชื่อสัมพันธ์หลายเว็บไซต์ รอยืนยันสาขา</x:v>
      </x:c>
      <x:c r="F366" s="8" t="str">
        <x:v>ยังไม่ยืนยันการเปิดให้บริการปัจจุบัน</x:v>
      </x:c>
      <x:c r="G366" s="58" t="n">
        <x:v>9</x:v>
      </x:c>
      <x:c r="H366" s="52" t="str">
        <x:v>https://www.youtube.com/watch?v=SA990dyBtu8</x:v>
      </x:c>
      <x:c r="I366" s="52" t="str"/>
      <x:c r="J366" s="52" t="str">
        <x:v>https://sites.google.com/view/baanleamhomestay/home</x:v>
      </x:c>
      <x:c r="K366" s="52" t="str"/>
      <x:c r="L366" s="52" t="str">
        <x:v>https://www.mots.go.th/news/1003172</x:v>
      </x:c>
      <x:c r="M366" s="52" t="str">
        <x:v>https://www.baanlaemhomestay.com/</x:v>
      </x:c>
      <x:c r="N366" s="8" t="str">
        <x:v>ยังไม่ยืนยัน</x:v>
      </x:c>
      <x:c r="O366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366" s="40" t="n">
        <x:v>46316</x:v>
      </x:c>
      <x:c r="Q366" s="59" t="str">
        <x:v>ยังไม่ตรวจ</x:v>
      </x:c>
      <x:c r="R366" s="59" t="str">
        <x:v>รอติดต่อ</x:v>
      </x:c>
    </x:row>
    <x:row r="367" ht="84" customHeight="1">
      <x:c r="A367" s="2" t="str">
        <x:v>TMF-359</x:v>
      </x:c>
      <x:c r="B367" s="8" t="str">
        <x:v>โรงแรมทวินโลตัส จำกัด</x:v>
      </x:c>
      <x:c r="C367" s="8" t="str">
        <x:v>นครศรีธรรมราช</x:v>
      </x:c>
      <x:c r="D367" s="8" t="str">
        <x:v>อยู่ในชุด 600 ตามเส้นทาง</x:v>
      </x:c>
      <x:c r="E367" s="8" t="str">
        <x:v>พบชื่อสัมพันธ์หลายเว็บไซต์ รอยืนยันสาขา</x:v>
      </x:c>
      <x:c r="F367" s="8" t="str">
        <x:v>ยังไม่ยืนยันการเปิดให้บริการปัจจุบัน</x:v>
      </x:c>
      <x:c r="G367" s="58" t="n">
        <x:v>2</x:v>
      </x:c>
      <x:c r="H367" s="52" t="str"/>
      <x:c r="I367" s="52" t="str"/>
      <x:c r="J367" s="52" t="str"/>
      <x:c r="K367" s="52" t="str"/>
      <x:c r="L367" s="52" t="str">
        <x:v>https://www.thic.or.th/th/tourist/detail/accommodation/207</x:v>
      </x:c>
      <x:c r="M367" s="52" t="str">
        <x:v>https://www.thaimiceconnect.com/business/detail/19668</x:v>
      </x:c>
      <x:c r="N367" s="8" t="str">
        <x:v>ยังไม่ยืนยัน</x:v>
      </x:c>
      <x:c r="O367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67" s="40" t="n">
        <x:v>46315</x:v>
      </x:c>
      <x:c r="Q367" s="59" t="str">
        <x:v>ยังไม่ตรวจ</x:v>
      </x:c>
      <x:c r="R367" s="59" t="str">
        <x:v>รอติดต่อ</x:v>
      </x:c>
    </x:row>
    <x:row r="368" ht="84" customHeight="1">
      <x:c r="A368" s="2" t="str">
        <x:v>TMF-360</x:v>
      </x:c>
      <x:c r="B368" s="8" t="str">
        <x:v>Kuncleleaw Korean Halal (สาขานนทบุรี)</x:v>
      </x:c>
      <x:c r="C368" s="8" t="str">
        <x:v>นนทบุรี</x:v>
      </x:c>
      <x:c r="D368" s="8" t="str">
        <x:v>สำรองหลังปรับตามเส้นทาง</x:v>
      </x:c>
      <x:c r="E368" s="8" t="str">
        <x:v>พบหลายแหล่งสัมพันธ์กับชื่อ รอยืนยันการเปิด</x:v>
      </x:c>
      <x:c r="F368" s="8" t="str">
        <x:v>ยังไม่ยืนยันการเปิดให้บริการปัจจุบัน</x:v>
      </x:c>
      <x:c r="G368" s="58" t="n">
        <x:v>4</x:v>
      </x:c>
      <x:c r="H368" s="52"/>
      <x:c r="I368" s="52"/>
      <x:c r="J368" s="52" t="str">
        <x:v>HYPERLINK is not implemented. linkLocation=https://www.lemon8-app.com/%40iice.sps/7544955780450042385?region=th, friendlyName=เปิดหน้ารีวิว 1</x:v>
      </x:c>
      <x:c r="K368" s="52" t="str">
        <x:v>HYPERLINK is not implemented. linkLocation=https://restaurantguru.com/Kuncleleaw-Korean-Halal-Bangkok, friendlyName=เปิดหน้ารีวิว 2</x:v>
      </x:c>
      <x:c r="L368" s="52" t="str">
        <x:v>HYPERLINK is not implemented. linkLocation=https://ehalal.co/restaurant/ChIJ11UFqmib4jARYuD0ImJVxR8, friendlyName=เปิดเว็บเพิ่ม 1</x:v>
      </x:c>
      <x:c r="M368" s="52"/>
      <x:c r="N368" s="8" t="str">
        <x:v>ยังไม่ยืนยัน</x:v>
      </x:c>
      <x:c r="O36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368" s="40" t="n">
        <x:v>46315</x:v>
      </x:c>
      <x:c r="Q368" s="59" t="str">
        <x:v>ยังไม่ตรวจ</x:v>
      </x:c>
      <x:c r="R368" s="59" t="str">
        <x:v>รอติดต่อ</x:v>
      </x:c>
    </x:row>
    <x:row r="369" ht="84" customHeight="1">
      <x:c r="A369" s="2" t="str">
        <x:v>TMF-361</x:v>
      </x:c>
      <x:c r="B369" s="8" t="str">
        <x:v>Mr.bung steak</x:v>
      </x:c>
      <x:c r="C369" s="8" t="str">
        <x:v>นนทบุรี</x:v>
      </x:c>
      <x:c r="D369" s="8" t="str">
        <x:v>สำรองหลังปรับตามเส้นทาง</x:v>
      </x:c>
      <x:c r="E369" s="8" t="str">
        <x:v>พบหลายแหล่งสัมพันธ์กับชื่อ รอยืนยันการเปิด</x:v>
      </x:c>
      <x:c r="F369" s="8" t="str">
        <x:v>ยังไม่ยืนยันการเปิดให้บริการปัจจุบัน</x:v>
      </x:c>
      <x:c r="G369" s="58" t="n">
        <x:v>2</x:v>
      </x:c>
      <x:c r="H369" s="52"/>
      <x:c r="I369" s="52"/>
      <x:c r="J369" s="52" t="str">
        <x:v>HYPERLINK is not implemented. linkLocation=https://www.lemon8-app.com/%40kanokwan.ntt/7653770234663158280?region=th, friendlyName=เปิดหน้ารีวิว 1</x:v>
      </x:c>
      <x:c r="K369" s="52" t="str">
        <x:v>HYPERLINK is not implemented. linkLocation=https://www.lemon8-app.com/%40kanokwan.ntt/7653770234663158280?region=us, friendlyName=เปิดหน้ารีวิว 2</x:v>
      </x:c>
      <x:c r="L369" s="52"/>
      <x:c r="M369" s="52"/>
      <x:c r="N369" s="8" t="str">
        <x:v>ยังไม่ยืนยัน</x:v>
      </x:c>
      <x:c r="O36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369" s="40" t="n">
        <x:v>46315</x:v>
      </x:c>
      <x:c r="Q369" s="59" t="str">
        <x:v>ยังไม่ตรวจ</x:v>
      </x:c>
      <x:c r="R369" s="59" t="str">
        <x:v>รอติดต่อ</x:v>
      </x:c>
    </x:row>
    <x:row r="370" ht="84" customHeight="1">
      <x:c r="A370" s="2" t="str">
        <x:v>TMF-362</x:v>
      </x:c>
      <x:c r="B370" s="8" t="str">
        <x:v>Shibuya Japanese curry</x:v>
      </x:c>
      <x:c r="C370" s="8" t="str">
        <x:v>นนทบุรี</x:v>
      </x:c>
      <x:c r="D370" s="8" t="str">
        <x:v>สำรองหลังปรับตามเส้นทาง</x:v>
      </x:c>
      <x:c r="E370" s="8" t="str">
        <x:v>พบหลายแหล่งสัมพันธ์กับชื่อ รอยืนยันการเปิด</x:v>
      </x:c>
      <x:c r="F370" s="8" t="str">
        <x:v>ยังไม่ยืนยันการเปิดให้บริการปัจจุบัน</x:v>
      </x:c>
      <x:c r="G370" s="58" t="n">
        <x:v>3</x:v>
      </x:c>
      <x:c r="H370" s="52"/>
      <x:c r="I370" s="52"/>
      <x:c r="J370" s="52" t="str">
        <x:v>HYPERLINK is not implemented. linkLocation=https://www.wongnai.com/restaurants/2088105Ic-shibuya-japanese-curry-%E0%B8%AA%E0%B8%B2%E0%B8%82%E0%B8%B2caltex-%E0%B8%A3%E0%B8%B2%E0%B8%8A%E0%B8%9E%E0%B8%A4%E0%B8%81%E0%B8%A9%E0%B9%8C-%E0%B8%A3%E0%B8%B1%E0%B8%95%E0%B8%99%E0%B8%B2%E0%B8%98%E0%B8%B4%E0%B9%80%E0%B8%9A%E0%B8%A8%E0%B8%A3%E0%B9%8C, friendlyName=เปิดหน้ารีวิว 1</x:v>
      </x:c>
      <x:c r="K370" s="52" t="str">
        <x:v>HYPERLINK is not implemented. linkLocation=https://www.wongnai.com/restaurants/2088126Oq-shibuya-japanese-curry-%E0%B8%82%E0%B9%89%E0%B8%B2%E0%B8%A7%E0%B9%81%E0%B8%81%E0%B8%87%E0%B8%81%E0%B8%B0%E0%B8%AB%E0%B8%A3%E0%B8%B5%E0%B9%88-%E0%B8%8D%E0%B8%B5%E0%B9%88%E0%B8%9B%E0%B8%B8%E0%B9%88%E0%B8%99-tonsak-market, friendlyName=เปิดหน้ารีวิว 2</x:v>
      </x:c>
      <x:c r="L370" s="52"/>
      <x:c r="M370" s="52"/>
      <x:c r="N370" s="8" t="str">
        <x:v>ยังไม่ยืนยัน</x:v>
      </x:c>
      <x:c r="O37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370" s="40" t="n">
        <x:v>46315</x:v>
      </x:c>
      <x:c r="Q370" s="59" t="str">
        <x:v>ยังไม่ตรวจ</x:v>
      </x:c>
      <x:c r="R370" s="59" t="str">
        <x:v>รอติดต่อ</x:v>
      </x:c>
    </x:row>
    <x:row r="371" ht="84" customHeight="1">
      <x:c r="A371" s="2" t="str">
        <x:v>TMF-363</x:v>
      </x:c>
      <x:c r="B371" s="8" t="str">
        <x:v>ZIN Steak and Dessert</x:v>
      </x:c>
      <x:c r="C371" s="8" t="str">
        <x:v>นนทบุรี</x:v>
      </x:c>
      <x:c r="D371" s="8" t="str">
        <x:v>สำรองหลังปรับตามเส้นทาง</x:v>
      </x:c>
      <x:c r="E371" s="8" t="str">
        <x:v>หลักฐานไม่พอ รอยืนยันการเปิด</x:v>
      </x:c>
      <x:c r="F371" s="8" t="str">
        <x:v>ยังไม่ยืนยันการเปิดให้บริการปัจจุบัน</x:v>
      </x:c>
      <x:c r="G371" s="58" t="n">
        <x:v>1</x:v>
      </x:c>
      <x:c r="H371" s="52"/>
      <x:c r="I371" s="52"/>
      <x:c r="J371" s="52"/>
      <x:c r="K371" s="52"/>
      <x:c r="L371" s="52"/>
      <x:c r="M371" s="52"/>
      <x:c r="N371" s="8" t="str">
        <x:v>ยังไม่ยืนยัน</x:v>
      </x:c>
      <x:c r="O37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71" s="40" t="n">
        <x:v>46315</x:v>
      </x:c>
      <x:c r="Q371" s="59" t="str">
        <x:v>ยังไม่ตรวจ</x:v>
      </x:c>
      <x:c r="R371" s="59" t="str">
        <x:v>รอติดต่อ</x:v>
      </x:c>
    </x:row>
    <x:row r="372" ht="84" customHeight="1">
      <x:c r="A372" s="2" t="str">
        <x:v>TMF-364</x:v>
      </x:c>
      <x:c r="B372" s="8" t="str">
        <x:v>ก๋วยเตี๋ยวนูรีน</x:v>
      </x:c>
      <x:c r="C372" s="8" t="str">
        <x:v>นนทบุรี</x:v>
      </x:c>
      <x:c r="D372" s="8" t="str">
        <x:v>สำรองหลังปรับตามเส้นทาง</x:v>
      </x:c>
      <x:c r="E372" s="8" t="str">
        <x:v>หลักฐานไม่พอ รอยืนยันการเปิด</x:v>
      </x:c>
      <x:c r="F372" s="8" t="str">
        <x:v>ยังไม่ยืนยันการเปิดให้บริการปัจจุบัน</x:v>
      </x:c>
      <x:c r="G372" s="58" t="n">
        <x:v>1</x:v>
      </x:c>
      <x:c r="H372" s="52"/>
      <x:c r="I372" s="52"/>
      <x:c r="J372" s="52"/>
      <x:c r="K372" s="52"/>
      <x:c r="L372" s="52"/>
      <x:c r="M372" s="52"/>
      <x:c r="N372" s="8" t="str">
        <x:v>ยังไม่ยืนยัน</x:v>
      </x:c>
      <x:c r="O37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72" s="40" t="n">
        <x:v>46315</x:v>
      </x:c>
      <x:c r="Q372" s="59" t="str">
        <x:v>ยังไม่ตรวจ</x:v>
      </x:c>
      <x:c r="R372" s="59" t="str">
        <x:v>รอติดต่อ</x:v>
      </x:c>
    </x:row>
    <x:row r="373" ht="84" customHeight="1">
      <x:c r="A373" s="2" t="str">
        <x:v>TMF-365</x:v>
      </x:c>
      <x:c r="B373" s="8" t="str">
        <x:v>โรงแรมอิมพีเรียล นราธิวาส</x:v>
      </x:c>
      <x:c r="C373" s="8" t="str">
        <x:v>นราธิวาส</x:v>
      </x:c>
      <x:c r="D373" s="8" t="str">
        <x:v>อยู่ในชุด 600 ตามเส้นทาง</x:v>
      </x:c>
      <x:c r="E373" s="8" t="str">
        <x:v>พบชื่อสัมพันธ์หลายเว็บไซต์ รอยืนยันสาขา</x:v>
      </x:c>
      <x:c r="F373" s="8" t="str">
        <x:v>ยังไม่ยืนยันการเปิดให้บริการปัจจุบัน</x:v>
      </x:c>
      <x:c r="G373" s="58" t="n">
        <x:v>7</x:v>
      </x:c>
      <x:c r="H373" s="52" t="str">
        <x:v>https://www.youtube.com/watch?v=vx25j_pEkoU</x:v>
      </x:c>
      <x:c r="I373" s="52" t="str"/>
      <x:c r="J373" s="52" t="str">
        <x:v>https://www.booking.com/hotel/th/the-imperial-narathiwat.html</x:v>
      </x:c>
      <x:c r="K373" s="52" t="str"/>
      <x:c r="L373" s="52" t="str">
        <x:v>https://www.imperialnarathiwat.com/en/deluxe.html</x:v>
      </x:c>
      <x:c r="M373" s="52" t="str">
        <x:v>https://www.imperialhotels.com/th/find-us/our-hotels/the-imperial-narathiwat-hotel</x:v>
      </x:c>
      <x:c r="N373" s="8" t="str">
        <x:v>ยังไม่ยืนยัน</x:v>
      </x:c>
      <x:c r="O373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73" s="40" t="n">
        <x:v>46316</x:v>
      </x:c>
      <x:c r="Q373" s="59" t="str">
        <x:v>ยังไม่ตรวจ</x:v>
      </x:c>
      <x:c r="R373" s="59" t="str">
        <x:v>รอติดต่อ</x:v>
      </x:c>
    </x:row>
    <x:row r="374" ht="84" customHeight="1">
      <x:c r="A374" s="2" t="str">
        <x:v>TMF-366</x:v>
      </x:c>
      <x:c r="B374" s="8" t="str">
        <x:v>มัสยิดวาดีลฮูเซ็น</x:v>
      </x:c>
      <x:c r="C374" s="8" t="str">
        <x:v>นราธิวาส</x:v>
      </x:c>
      <x:c r="D374" s="8" t="str">
        <x:v>อยู่ในชุด 600 ตามเส้นทาง</x:v>
      </x:c>
      <x:c r="E374" s="8" t="str">
        <x:v>พบชื่อสัมพันธ์หลายเว็บไซต์ รอยืนยันสาขา</x:v>
      </x:c>
      <x:c r="F374" s="8" t="str">
        <x:v>ยังไม่ยืนยันการเปิดให้บริการปัจจุบัน</x:v>
      </x:c>
      <x:c r="G374" s="58" t="n">
        <x:v>4</x:v>
      </x:c>
      <x:c r="H374" s="52" t="str"/>
      <x:c r="I374" s="52" t="str"/>
      <x:c r="J374" s="52" t="str">
        <x:v>https://www.wongnai.com/reviews/91ed419dc1c540e7bd34bafafe5042a9</x:v>
      </x:c>
      <x:c r="K374" s="52" t="str">
        <x:v>https://www.wongnai.com/reviews/cc7ecea00f464f1693bfb7f2504d71de</x:v>
      </x:c>
      <x:c r="L374" s="52" t="str">
        <x:v>https://www.thic.or.th/th/tourist/detail/mosques/48</x:v>
      </x:c>
      <x:c r="M374" s="52" t="str">
        <x:v>https://www.wongnai.com/reviews/91ed419dc1c540e7bd34bafafe5042a9</x:v>
      </x:c>
      <x:c r="N374" s="8" t="str">
        <x:v>ยังไม่ยืนยัน</x:v>
      </x:c>
      <x:c r="O37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74" s="40" t="n">
        <x:v>46315</x:v>
      </x:c>
      <x:c r="Q374" s="59" t="str">
        <x:v>ยังไม่ตรวจ</x:v>
      </x:c>
      <x:c r="R374" s="59" t="str">
        <x:v>รอติดต่อ</x:v>
      </x:c>
    </x:row>
    <x:row r="375" ht="84" customHeight="1">
      <x:c r="A375" s="2" t="str">
        <x:v>TMF-367</x:v>
      </x:c>
      <x:c r="B375" s="8" t="str">
        <x:v>ก๋วยเตี๋ยว ข้าวมันไก่ โก๋ฟา</x:v>
      </x:c>
      <x:c r="C375" s="8" t="str">
        <x:v>ปทุมธานี</x:v>
      </x:c>
      <x:c r="D375" s="8" t="str">
        <x:v>สำรองหลังปรับตามเส้นทาง</x:v>
      </x:c>
      <x:c r="E375" s="8" t="str">
        <x:v>หลักฐานไม่พอ รอยืนยันการเปิด</x:v>
      </x:c>
      <x:c r="F375" s="8" t="str">
        <x:v>ยังไม่ยืนยันการเปิดให้บริการปัจจุบัน</x:v>
      </x:c>
      <x:c r="G375" s="58" t="n">
        <x:v>1</x:v>
      </x:c>
      <x:c r="H375" s="52"/>
      <x:c r="I375" s="52"/>
      <x:c r="J375" s="52"/>
      <x:c r="K375" s="52"/>
      <x:c r="L375" s="52"/>
      <x:c r="M375" s="52"/>
      <x:c r="N375" s="8" t="str">
        <x:v>ยังไม่ยืนยัน</x:v>
      </x:c>
      <x:c r="O37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75" s="40" t="n">
        <x:v>46315</x:v>
      </x:c>
      <x:c r="Q375" s="59" t="str">
        <x:v>ยังไม่ตรวจ</x:v>
      </x:c>
      <x:c r="R375" s="59" t="str">
        <x:v>รอติดต่อ</x:v>
      </x:c>
    </x:row>
    <x:row r="376" ht="84" customHeight="1">
      <x:c r="A376" s="2" t="str">
        <x:v>TMF-368</x:v>
      </x:c>
      <x:c r="B376" s="8" t="str">
        <x:v>ก๋วยเตี๋ยวเนื้อ &amp; ไก่อาหารอิสลาม</x:v>
      </x:c>
      <x:c r="C376" s="8" t="str">
        <x:v>ปทุมธานี</x:v>
      </x:c>
      <x:c r="D376" s="8" t="str">
        <x:v>สำรองหลังปรับตามเส้นทาง</x:v>
      </x:c>
      <x:c r="E376" s="8" t="str">
        <x:v>หลักฐานไม่พอ รอยืนยันการเปิด</x:v>
      </x:c>
      <x:c r="F376" s="8" t="str">
        <x:v>ยังไม่ยืนยันการเปิดให้บริการปัจจุบัน</x:v>
      </x:c>
      <x:c r="G376" s="58" t="n">
        <x:v>1</x:v>
      </x:c>
      <x:c r="H376" s="52"/>
      <x:c r="I376" s="52"/>
      <x:c r="J376" s="52"/>
      <x:c r="K376" s="52"/>
      <x:c r="L376" s="52"/>
      <x:c r="M376" s="52"/>
      <x:c r="N376" s="8" t="str">
        <x:v>ยังไม่ยืนยัน</x:v>
      </x:c>
      <x:c r="O37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76" s="40" t="n">
        <x:v>46315</x:v>
      </x:c>
      <x:c r="Q376" s="59" t="str">
        <x:v>ยังไม่ตรวจ</x:v>
      </x:c>
      <x:c r="R376" s="59" t="str">
        <x:v>รอติดต่อ</x:v>
      </x:c>
    </x:row>
    <x:row r="377" ht="84" customHeight="1">
      <x:c r="A377" s="2" t="str">
        <x:v>TMF-369</x:v>
      </x:c>
      <x:c r="B377" s="8" t="str">
        <x:v>ข้าวมันไก่หวังบู่ สาขาหน้าเซเว่นมัสยิดแก้วนิมิตร</x:v>
      </x:c>
      <x:c r="C377" s="8" t="str">
        <x:v>ปทุมธานี</x:v>
      </x:c>
      <x:c r="D377" s="8" t="str">
        <x:v>สำรองหลังปรับตามเส้นทาง</x:v>
      </x:c>
      <x:c r="E377" s="8" t="str">
        <x:v>พบหลายแหล่งสัมพันธ์กับชื่อ รอยืนยันการเปิด</x:v>
      </x:c>
      <x:c r="F377" s="8" t="str">
        <x:v>ยังไม่ยืนยันการเปิดให้บริการปัจจุบัน</x:v>
      </x:c>
      <x:c r="G377" s="58" t="n">
        <x:v>2</x:v>
      </x:c>
      <x:c r="H377" s="52"/>
      <x:c r="I377" s="52"/>
      <x:c r="J377" s="52"/>
      <x:c r="K377" s="52"/>
      <x:c r="L377" s="52" t="str">
        <x:v>HYPERLINK is not implemented. linkLocation=https://thi.worldorgs.com/%E0%B9%81%E0%B8%84%E0%B8%95%E0%B8%95%E0%B8%B2%E0%B8%A5%E0%B9%87%E0%B8%AD%E0%B8%81/%E0%B8%AD%E0%B8%B3%E0%B9%80%E0%B8%A0%E0%B8%AD%E0%B9%80%E0%B8%A1%E0%B8%B7%E0%B8%AD%E0%B8%87%E0%B8%9B%E0%B8%97%E0%B8%B8%E0%B8%A1%E0%B8%98%E0%B8%B2%E0%B8%99%E0%B8%B5/%E0%B8%A0%E0%B8%B1%E0%B8%95%E0%B8%95%E0%B8%B2%E0%B8%84%E0%B8%B2%E0%B8%A3%E0%B8%AD%E0%B8%B2%E0%B8%AB%E0%B8%B2%E0%B8%A3%E0%B8%9B%E0%B8%A3%E0%B8%B0%E0%B9%80%E0%B8%A0%E0%B8%97%E0%B9%84%E0%B8%81%E0%B9%88/%E0%B8%A3%E0%B9%89%E0%B8%B2%E0%B8%99%E0%B8%82%E0%B9%89%E0%B8%B2%E0%B8%A7%E0%B8%A1%E0%B8%B1%E0%B8%99%E0%B9%84%E0%B8%81%E0%B9%88%E0%B8%AB%E0%B8%A7%E0%B8%B1%E0%B8%87%E0%B8%9A%E0%B8%B9%E0%B9%88, friendlyName=เปิดเว็บเพิ่ม 1</x:v>
      </x:c>
      <x:c r="M377" s="52"/>
      <x:c r="N377" s="8" t="str">
        <x:v>ยังไม่ยืนยัน</x:v>
      </x:c>
      <x:c r="O377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77" s="40" t="n">
        <x:v>46315</x:v>
      </x:c>
      <x:c r="Q377" s="59" t="str">
        <x:v>ยังไม่ตรวจ</x:v>
      </x:c>
      <x:c r="R377" s="59" t="str">
        <x:v>รอติดต่อ</x:v>
      </x:c>
    </x:row>
    <x:row r="378" ht="84" customHeight="1">
      <x:c r="A378" s="2" t="str">
        <x:v>TMF-370</x:v>
      </x:c>
      <x:c r="B378" s="8" t="str">
        <x:v>ครัวฟาตีมะห์-หวังรัญ</x:v>
      </x:c>
      <x:c r="C378" s="8" t="str">
        <x:v>ปทุมธานี</x:v>
      </x:c>
      <x:c r="D378" s="8" t="str">
        <x:v>สำรองหลังปรับตามเส้นทาง</x:v>
      </x:c>
      <x:c r="E378" s="8" t="str">
        <x:v>หลักฐานไม่พอ รอยืนยันการเปิด</x:v>
      </x:c>
      <x:c r="F378" s="8" t="str">
        <x:v>ยังไม่ยืนยันการเปิดให้บริการปัจจุบัน</x:v>
      </x:c>
      <x:c r="G378" s="58" t="n">
        <x:v>1</x:v>
      </x:c>
      <x:c r="H378" s="52"/>
      <x:c r="I378" s="52"/>
      <x:c r="J378" s="52"/>
      <x:c r="K378" s="52"/>
      <x:c r="L378" s="52"/>
      <x:c r="M378" s="52"/>
      <x:c r="N378" s="8" t="str">
        <x:v>ยังไม่ยืนยัน</x:v>
      </x:c>
      <x:c r="O37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78" s="40" t="n">
        <x:v>46315</x:v>
      </x:c>
      <x:c r="Q378" s="59" t="str">
        <x:v>ยังไม่ตรวจ</x:v>
      </x:c>
      <x:c r="R378" s="59" t="str">
        <x:v>รอติดต่อ</x:v>
      </x:c>
    </x:row>
    <x:row r="379" ht="84" customHeight="1">
      <x:c r="A379" s="2" t="str">
        <x:v>TMF-371</x:v>
      </x:c>
      <x:c r="B379" s="8" t="str">
        <x:v>ครัวเตาถ่าน</x:v>
      </x:c>
      <x:c r="C379" s="8" t="str">
        <x:v>ปทุมธานี</x:v>
      </x:c>
      <x:c r="D379" s="8" t="str">
        <x:v>สำรองหลังปรับตามเส้นทาง</x:v>
      </x:c>
      <x:c r="E379" s="8" t="str">
        <x:v>พบหลายแหล่งสัมพันธ์กับชื่อ รอยืนยันการเปิด</x:v>
      </x:c>
      <x:c r="F379" s="8" t="str">
        <x:v>ยังไม่ยืนยันการเปิดให้บริการปัจจุบัน</x:v>
      </x:c>
      <x:c r="G379" s="58" t="n">
        <x:v>2</x:v>
      </x:c>
      <x:c r="H379" s="52"/>
      <x:c r="I379" s="52"/>
      <x:c r="J379" s="52" t="str">
        <x:v>HYPERLINK is not implemented. linkLocation=https://www.wongnai.com/restaurants/1405361WJ-%E0%B8%84%E0%B8%A3%E0%B8%B1%E0%B8%A7%E0%B9%80%E0%B8%95%E0%B8%B2%E0%B8%96%E0%B9%88%E0%B8%B2%E0%B8%99, friendlyName=เปิดหน้ารีวิว 1</x:v>
      </x:c>
      <x:c r="K379" s="52"/>
      <x:c r="L379" s="52"/>
      <x:c r="M379" s="52"/>
      <x:c r="N379" s="8" t="str">
        <x:v>ยังไม่ยืนยัน</x:v>
      </x:c>
      <x:c r="O37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379" s="40" t="n">
        <x:v>46315</x:v>
      </x:c>
      <x:c r="Q379" s="59" t="str">
        <x:v>ยังไม่ตรวจ</x:v>
      </x:c>
      <x:c r="R379" s="59" t="str">
        <x:v>รอติดต่อ</x:v>
      </x:c>
    </x:row>
    <x:row r="380" ht="84" customHeight="1">
      <x:c r="A380" s="2" t="str">
        <x:v>TMF-372</x:v>
      </x:c>
      <x:c r="B380" s="8" t="str">
        <x:v>ดรีมเวิลด์</x:v>
      </x:c>
      <x:c r="C380" s="8" t="str">
        <x:v>ปทุมธานี</x:v>
      </x:c>
      <x:c r="D380" s="8" t="str">
        <x:v>สำรองหลังปรับตามเส้นทาง</x:v>
      </x:c>
      <x:c r="E380" s="8" t="str">
        <x:v>พบหลายแหล่งสัมพันธ์กับชื่อ รอยืนยันการเปิด</x:v>
      </x:c>
      <x:c r="F380" s="8" t="str">
        <x:v>ยังไม่ยืนยันการเปิดให้บริการปัจจุบัน</x:v>
      </x:c>
      <x:c r="G380" s="58" t="n">
        <x:v>8</x:v>
      </x:c>
      <x:c r="H380" s="52"/>
      <x:c r="I380" s="52"/>
      <x:c r="J380" s="52" t="str">
        <x:v>HYPERLINK is not implemented. linkLocation=https://www.wongnai.com/attractions/324836PL-%E0%B8%94%E0%B8%A3%E0%B8%B5%E0%B8%A1%E0%B9%80%E0%B8%A7%E0%B8%B4%E0%B8%A5%E0%B8%94%E0%B9%8C, friendlyName=เปิดหน้ารีวิว 1</x:v>
      </x:c>
      <x:c r="K380" s="52" t="str">
        <x:v>HYPERLINK is not implemented. linkLocation=https://th.trip.com/travel-guide/attraction/thanyaburi/dream-world-10570792?curr=MYR&amp;locale=th-TH&amp;rankingId=10070024565130, friendlyName=เปิดหน้ารีวิว 2</x:v>
      </x:c>
      <x:c r="L380" s="52" t="str">
        <x:v>HYPERLINK is not implemented. linkLocation=https://notes.tiktok.com/%40pocketjourneyth/7591661653767373320?region=th, friendlyName=เปิดเว็บเพิ่ม 1</x:v>
      </x:c>
      <x:c r="M380" s="52" t="str">
        <x:v>HYPERLINK is not implemented. linkLocation=https://salehere.co.th/dream-world/branches, friendlyName=เปิดเว็บเพิ่ม 2</x:v>
      </x:c>
      <x:c r="N380" s="8" t="str">
        <x:v>ยังไม่ยืนยัน</x:v>
      </x:c>
      <x:c r="O38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380" s="40" t="n">
        <x:v>46315</x:v>
      </x:c>
      <x:c r="Q380" s="59" t="str">
        <x:v>ยังไม่ตรวจ</x:v>
      </x:c>
      <x:c r="R380" s="59" t="str">
        <x:v>รอติดต่อ</x:v>
      </x:c>
    </x:row>
    <x:row r="381" ht="84" customHeight="1">
      <x:c r="A381" s="2" t="str">
        <x:v>TMF-373</x:v>
      </x:c>
      <x:c r="B381" s="8" t="str">
        <x:v>ครัววังแพะ Goat Chef's Kitchen</x:v>
      </x:c>
      <x:c r="C381" s="8" t="str">
        <x:v>ปัตตานี</x:v>
      </x:c>
      <x:c r="D381" s="8" t="str">
        <x:v>อยู่ในชุด 600 ตามเส้นทาง</x:v>
      </x:c>
      <x:c r="E381" s="8" t="str">
        <x:v>พบชื่อสัมพันธ์หลายเว็บไซต์ รอยืนยันสาขา</x:v>
      </x:c>
      <x:c r="F381" s="8" t="str">
        <x:v>ยังไม่ยืนยันการเปิดให้บริการปัจจุบัน</x:v>
      </x:c>
      <x:c r="G381" s="58" t="n">
        <x:v>3</x:v>
      </x:c>
      <x:c r="H381" s="52" t="str"/>
      <x:c r="I381" s="52" t="str"/>
      <x:c r="J381" s="52" t="str">
        <x:v>https://www.wongnai.com/restaurants/304799iE-%E0%B8%84%E0%B8%A3%E0%B8%B1%E0%B8%A7%E0%B8%A7%E0%B8%B1%E0%B8%87%E0%B9%81%E0%B8%9E%E0%B8%B0-%E0%B8%9B%E0%B8%B2%E0%B8%A5%E0%B8%B1%E0%B8%AA-1</x:v>
      </x:c>
      <x:c r="K381" s="52" t="str"/>
      <x:c r="L381" s="52" t="str">
        <x:v>https://makanhalalguide.com/shop/detail/5419</x:v>
      </x:c>
      <x:c r="M381" s="52" t="str">
        <x:v>https://www.wongnai.com/restaurants/304799iE-%E0%B8%84%E0%B8%A3%E0%B8%B1%E0%B8%A7%E0%B8%A7%E0%B8%B1%E0%B8%87%E0%B9%81%E0%B8%9E%E0%B8%B0-%E0%B8%9B%E0%B8%B2%E0%B8%A5%E0%B8%B1%E0%B8%AA-1</x:v>
      </x:c>
      <x:c r="N381" s="8" t="str">
        <x:v>ยังไม่ยืนยัน</x:v>
      </x:c>
      <x:c r="O381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381" s="40" t="n">
        <x:v>46315</x:v>
      </x:c>
      <x:c r="Q381" s="59" t="str">
        <x:v>ยังไม่ตรวจ</x:v>
      </x:c>
      <x:c r="R381" s="59" t="str">
        <x:v>รอติดต่อ</x:v>
      </x:c>
    </x:row>
    <x:row r="382" ht="84" customHeight="1">
      <x:c r="A382" s="2" t="str">
        <x:v>TMF-374</x:v>
      </x:c>
      <x:c r="B382" s="8" t="str">
        <x:v>มัสยิดกรือเซะ</x:v>
      </x:c>
      <x:c r="C382" s="8" t="str">
        <x:v>ปัตตานี</x:v>
      </x:c>
      <x:c r="D382" s="8" t="str">
        <x:v>อยู่ในชุด 600 ตามเส้นทาง</x:v>
      </x:c>
      <x:c r="E382" s="8" t="str">
        <x:v>พบชื่อสัมพันธ์หลายเว็บไซต์ รอยืนยันสาขา</x:v>
      </x:c>
      <x:c r="F382" s="8" t="str">
        <x:v>ยังไม่ยืนยันการเปิดให้บริการปัจจุบัน</x:v>
      </x:c>
      <x:c r="G382" s="58" t="n">
        <x:v>16</x:v>
      </x:c>
      <x:c r="H382" s="52" t="str">
        <x:v>https://www.youtube.com/watch?v=Zpp-i9fHfEU</x:v>
      </x:c>
      <x:c r="I382" s="52" t="str"/>
      <x:c r="J382" s="52" t="str">
        <x:v>https://www.wongnai.com/attractions/363823tL-%E0%B8%A1%E0%B8%B1%E0%B8%AA%E0%B8%A2%E0%B8%B4%E0%B8%94%E0%B8%81%E0%B8%A3%E0%B8%B7%E0%B8%AD%E0%B9%80%E0%B8%8B%E0%B8%B0</x:v>
      </x:c>
      <x:c r="K382" s="52" t="str"/>
      <x:c r="L382" s="52" t="str">
        <x:v>https://www.pattani.go.th/travel_top/detail/3</x:v>
      </x:c>
      <x:c r="M382" s="52" t="str">
        <x:v>https://www.pattanicity.go.th/travel/detail/29</x:v>
      </x:c>
      <x:c r="N382" s="8" t="str">
        <x:v>ยังไม่ยืนยัน</x:v>
      </x:c>
      <x:c r="O38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82" s="40" t="n">
        <x:v>46316</x:v>
      </x:c>
      <x:c r="Q382" s="59" t="str">
        <x:v>ยังไม่ตรวจ</x:v>
      </x:c>
      <x:c r="R382" s="59" t="str">
        <x:v>รอติดต่อ</x:v>
      </x:c>
    </x:row>
    <x:row r="383" ht="84" customHeight="1">
      <x:c r="A383" s="2" t="str">
        <x:v>TMF-375</x:v>
      </x:c>
      <x:c r="B383" s="8" t="str">
        <x:v>มัสยิดกลางจังหวัดปัตตานี</x:v>
      </x:c>
      <x:c r="C383" s="8" t="str">
        <x:v>ปัตตานี</x:v>
      </x:c>
      <x:c r="D383" s="8" t="str">
        <x:v>อยู่ในชุด 600 ตามเส้นทาง</x:v>
      </x:c>
      <x:c r="E383" s="8" t="str">
        <x:v>พบชื่อสัมพันธ์หลายเว็บไซต์ รอยืนยันสาขา</x:v>
      </x:c>
      <x:c r="F383" s="8" t="str">
        <x:v>ยังไม่ยืนยันการเปิดให้บริการปัจจุบัน</x:v>
      </x:c>
      <x:c r="G383" s="58" t="n">
        <x:v>7</x:v>
      </x:c>
      <x:c r="H383" s="52" t="str">
        <x:v>https://www.youtube.com/watch?v=edRMFdq_fd8</x:v>
      </x:c>
      <x:c r="I383" s="52" t="str"/>
      <x:c r="J383" s="52" t="str"/>
      <x:c r="K383" s="52" t="str"/>
      <x:c r="L383" s="52" t="str">
        <x:v>https://opsmoac.go.th/pattani-strategic-files-461591791825</x:v>
      </x:c>
      <x:c r="M383" s="52" t="str">
        <x:v>https://www.doe.go.th/prd/assets/upload/files/pattani_th/d10271f5c9bc3434ff8b6a32784d1876.pdf</x:v>
      </x:c>
      <x:c r="N383" s="8" t="str">
        <x:v>ยังไม่ยืนยัน</x:v>
      </x:c>
      <x:c r="O38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83" s="40" t="n">
        <x:v>46316</x:v>
      </x:c>
      <x:c r="Q383" s="59" t="str">
        <x:v>ยังไม่ตรวจ</x:v>
      </x:c>
      <x:c r="R383" s="59" t="str">
        <x:v>รอติดต่อ</x:v>
      </x:c>
    </x:row>
    <x:row r="384" ht="84" customHeight="1">
      <x:c r="A384" s="2" t="str">
        <x:v>TMF-376</x:v>
      </x:c>
      <x:c r="B384" s="8" t="str">
        <x:v>โรงแรม เลอ เอราวัณ พังงา</x:v>
      </x:c>
      <x:c r="C384" s="8" t="str">
        <x:v>พังงา</x:v>
      </x:c>
      <x:c r="D384" s="8" t="str">
        <x:v>อยู่ในชุด 600 ตามเส้นทาง</x:v>
      </x:c>
      <x:c r="E384" s="8" t="str">
        <x:v>พบชื่อสัมพันธ์หลายเว็บไซต์ รอยืนยันสาขา</x:v>
      </x:c>
      <x:c r="F384" s="8" t="str">
        <x:v>ยังไม่ยืนยันการเปิดให้บริการปัจจุบัน</x:v>
      </x:c>
      <x:c r="G384" s="58" t="n">
        <x:v>5</x:v>
      </x:c>
      <x:c r="H384" s="52" t="str"/>
      <x:c r="I384" s="52" t="str"/>
      <x:c r="J384" s="52" t="str">
        <x:v>https://th.trip.com/hotels/v2/phang-nga-hotel-detail-81263191/le-erawan-phang-nga-hotel</x:v>
      </x:c>
      <x:c r="K384" s="52" t="str"/>
      <x:c r="L384" s="52" t="str">
        <x:v>https://www.thic.or.th/th/tourist/detail/accommodation/212</x:v>
      </x:c>
      <x:c r="M384" s="52" t="str">
        <x:v>https://th.trip.com/hotels/v2/phang-nga-hotel-detail-81263191/le-erawan-phang-nga-hotel</x:v>
      </x:c>
      <x:c r="N384" s="8" t="str">
        <x:v>ยังไม่ยืนยัน</x:v>
      </x:c>
      <x:c r="O384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84" s="40" t="n">
        <x:v>46315</x:v>
      </x:c>
      <x:c r="Q384" s="59" t="str">
        <x:v>ยังไม่ตรวจ</x:v>
      </x:c>
      <x:c r="R384" s="59" t="str">
        <x:v>รอติดต่อ</x:v>
      </x:c>
    </x:row>
    <x:row r="385" ht="84" customHeight="1">
      <x:c r="A385" s="2" t="str">
        <x:v>TMF-377</x:v>
      </x:c>
      <x:c r="B385" s="8" t="str">
        <x:v>โรงแรมภูงา</x:v>
      </x:c>
      <x:c r="C385" s="8" t="str">
        <x:v>พังงา</x:v>
      </x:c>
      <x:c r="D385" s="8" t="str">
        <x:v>อยู่ในชุด 600 ตามเส้นทาง</x:v>
      </x:c>
      <x:c r="E385" s="8" t="str">
        <x:v>พบชื่อสัมพันธ์หลายเว็บไซต์ รอยืนยันสาขา</x:v>
      </x:c>
      <x:c r="F385" s="8" t="str">
        <x:v>ยังไม่ยืนยันการเปิดให้บริการปัจจุบัน</x:v>
      </x:c>
      <x:c r="G385" s="58" t="n">
        <x:v>7</x:v>
      </x:c>
      <x:c r="H385" s="52" t="str"/>
      <x:c r="I385" s="52" t="str"/>
      <x:c r="J385" s="52" t="str">
        <x:v>https://www.agoda.com/th-th/phu-nga/hotel/phang-nga-th.html</x:v>
      </x:c>
      <x:c r="K385" s="52" t="str">
        <x:v>https://th.hotels.com/ho1966332672/rongr-m-phu-nga-phangnga-thiy/</x:v>
      </x:c>
      <x:c r="L385" s="52" t="str">
        <x:v>https://www.thic.or.th/th/tourist/detail/accommodation/209</x:v>
      </x:c>
      <x:c r="M385" s="52" t="str">
        <x:v>https://www.agoda.com/th-th/phu-nga/hotel/phang-nga-th.html</x:v>
      </x:c>
      <x:c r="N385" s="8" t="str">
        <x:v>ยังไม่ยืนยัน</x:v>
      </x:c>
      <x:c r="O385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85" s="40" t="n">
        <x:v>46315</x:v>
      </x:c>
      <x:c r="Q385" s="59" t="str">
        <x:v>ยังไม่ตรวจ</x:v>
      </x:c>
      <x:c r="R385" s="59" t="str">
        <x:v>รอติดต่อ</x:v>
      </x:c>
    </x:row>
    <x:row r="386" ht="84" customHeight="1">
      <x:c r="A386" s="2" t="str">
        <x:v>TMF-378</x:v>
      </x:c>
      <x:c r="B386" s="8" t="str">
        <x:v>โรงแรมภูเก็ตเกรซแลนด์ รีสอร์ท แอนด์ สปา</x:v>
      </x:c>
      <x:c r="C386" s="8" t="str">
        <x:v>ภูเก็ต</x:v>
      </x:c>
      <x:c r="D386" s="8" t="str">
        <x:v>อยู่ในชุด 600 ตามเส้นทาง</x:v>
      </x:c>
      <x:c r="E386" s="8" t="str">
        <x:v>พบชื่อสัมพันธ์หลายเว็บไซต์ รอยืนยันสาขา</x:v>
      </x:c>
      <x:c r="F386" s="8" t="str">
        <x:v>ยังไม่ยืนยันการเปิดให้บริการปัจจุบัน</x:v>
      </x:c>
      <x:c r="G386" s="58" t="n">
        <x:v>7</x:v>
      </x:c>
      <x:c r="H386" s="52" t="str"/>
      <x:c r="I386" s="52" t="str"/>
      <x:c r="J386" s="52" t="str">
        <x:v>https://th.tripadvisor.com/Hotel_Review-g297930-d576169-Reviews-Phuket_Graceland_Resort_Spa-Patong_Kathu_Phuket.html</x:v>
      </x:c>
      <x:c r="K386" s="52" t="str">
        <x:v>https://www.google.co.th/travel/hotels/entity/CgoI6_qdtv7BpqQ_EAE?rp=OAHCAhwiGg0AAJBBEhMIzuSE2PGGlgMVrvtLAx2MvAYt&amp;ts=CAEaBAoCGgAqBAoAGgA</x:v>
      </x:c>
      <x:c r="L386" s="52" t="str">
        <x:v>https://www.thic.or.th/th/tourist/detail/accommodation/22</x:v>
      </x:c>
      <x:c r="M386" s="52" t="str">
        <x:v>https://th.tripadvisor.com/Hotel_Review-g297930-d576169-Reviews-Phuket_Graceland_Resort_Spa-Patong_Kathu_Phuket.html</x:v>
      </x:c>
      <x:c r="N386" s="8" t="str">
        <x:v>ยังไม่ยืนยัน</x:v>
      </x:c>
      <x:c r="O386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86" s="40" t="n">
        <x:v>46315</x:v>
      </x:c>
      <x:c r="Q386" s="59" t="str">
        <x:v>ยังไม่ตรวจ</x:v>
      </x:c>
      <x:c r="R386" s="59" t="str">
        <x:v>รอติดต่อ</x:v>
      </x:c>
    </x:row>
    <x:row r="387" ht="84" customHeight="1">
      <x:c r="A387" s="2" t="str">
        <x:v>TMF-379</x:v>
      </x:c>
      <x:c r="B387" s="8" t="str">
        <x:v>โรงแรมเดอะรอยัลพาราไดซ์ ป่าตอง</x:v>
      </x:c>
      <x:c r="C387" s="8" t="str">
        <x:v>ภูเก็ต</x:v>
      </x:c>
      <x:c r="D387" s="8" t="str">
        <x:v>อยู่ในชุด 600 ตามเส้นทาง</x:v>
      </x:c>
      <x:c r="E387" s="8" t="str">
        <x:v>พบชื่อสัมพันธ์หลายเว็บไซต์ รอยืนยันสาขา</x:v>
      </x:c>
      <x:c r="F387" s="8" t="str">
        <x:v>ยังไม่ยืนยันการเปิดให้บริการปัจจุบัน</x:v>
      </x:c>
      <x:c r="G387" s="58" t="n">
        <x:v>2</x:v>
      </x:c>
      <x:c r="H387" s="52" t="str"/>
      <x:c r="I387" s="52" t="str"/>
      <x:c r="J387" s="52" t="str">
        <x:v>https://www.google.co.th/travel/hotels/entity/ChcIi-D1qriH0qUfGgsvZy8xdG0ydm42ZBAB?rp=OAHCAhwiGg0AAMBCEhMIw_zhjfjHlQMVofNLAx380BZ2&amp;ts=CAESCgoCCAMKAggDEAAaIgoCGgASHBIUCgcI6g8QChgQEgcI6g8QChgUGAQyAhAAOAEqCQoFOgNVU0QaAA</x:v>
      </x:c>
      <x:c r="K387" s="52" t="str"/>
      <x:c r="L387" s="52" t="str">
        <x:v>https://www.thic.or.th/th/tourist/detail/accommodation/21</x:v>
      </x:c>
      <x:c r="M387" s="52" t="str">
        <x:v>https://www.google.co.th/travel/hotels/entity/ChcIi-D1qriH0qUfGgsvZy8xdG0ydm42ZBAB?rp=OAHCAhwiGg0AAMBCEhMIw_zhjfjHlQMVofNLAx380BZ2&amp;ts=CAESCgoCCAMKAggDEAAaIgoCGgASHBIUCgcI6g8QChgQEgcI6g8QChgUGAQyAhAAOAEqCQoFOgNVU0QaAA</x:v>
      </x:c>
      <x:c r="N387" s="8" t="str">
        <x:v>ยังไม่ยืนยัน</x:v>
      </x:c>
      <x:c r="O387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387" s="40" t="n">
        <x:v>46315</x:v>
      </x:c>
      <x:c r="Q387" s="59" t="str">
        <x:v>ยังไม่ตรวจ</x:v>
      </x:c>
      <x:c r="R387" s="59" t="str">
        <x:v>รอติดต่อ</x:v>
      </x:c>
    </x:row>
    <x:row r="388" ht="84" customHeight="1">
      <x:c r="A388" s="2" t="str">
        <x:v>TMF-380</x:v>
      </x:c>
      <x:c r="B388" s="8" t="str">
        <x:v>มัสยิดกลาง จ.มุกดาหาร</x:v>
      </x:c>
      <x:c r="C388" s="8" t="str">
        <x:v>มุกดาหาร</x:v>
      </x:c>
      <x:c r="D388" s="8" t="str">
        <x:v>สำรองหลังปรับตามเส้นทาง</x:v>
      </x:c>
      <x:c r="E388" s="8" t="str">
        <x:v>หลักฐานไม่พอ รอยืนยันการเปิด</x:v>
      </x:c>
      <x:c r="F388" s="8" t="str">
        <x:v>ยังไม่ยืนยันการเปิดให้บริการปัจจุบัน</x:v>
      </x:c>
      <x:c r="G388" s="58" t="n">
        <x:v>1</x:v>
      </x:c>
      <x:c r="H388" s="52"/>
      <x:c r="I388" s="52"/>
      <x:c r="J388" s="52"/>
      <x:c r="K388" s="52"/>
      <x:c r="L388" s="52"/>
      <x:c r="M388" s="52"/>
      <x:c r="N388" s="8" t="str">
        <x:v>ยังไม่ยืนยัน</x:v>
      </x:c>
      <x:c r="O38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88" s="40" t="n">
        <x:v>46315</x:v>
      </x:c>
      <x:c r="Q388" s="59" t="str">
        <x:v>ยังไม่ตรวจ</x:v>
      </x:c>
      <x:c r="R388" s="59" t="str">
        <x:v>รอติดต่อ</x:v>
      </x:c>
    </x:row>
    <x:row r="389" ht="84" customHeight="1">
      <x:c r="A389" s="2" t="str">
        <x:v>TMF-381</x:v>
      </x:c>
      <x:c r="B389" s="8" t="str">
        <x:v>% persen coffee</x:v>
      </x:c>
      <x:c r="C389" s="8" t="str">
        <x:v>ยะลา</x:v>
      </x:c>
      <x:c r="D389" s="8" t="str">
        <x:v>สำรองหลังปรับตามเส้นทาง</x:v>
      </x:c>
      <x:c r="E389" s="8" t="str">
        <x:v>หลักฐานไม่พอ รอยืนยันการเปิด</x:v>
      </x:c>
      <x:c r="F389" s="8" t="str">
        <x:v>ยังไม่ยืนยันการเปิดให้บริการปัจจุบัน</x:v>
      </x:c>
      <x:c r="G389" s="58" t="n">
        <x:v>1</x:v>
      </x:c>
      <x:c r="H389" s="52"/>
      <x:c r="I389" s="52"/>
      <x:c r="J389" s="52"/>
      <x:c r="K389" s="52"/>
      <x:c r="L389" s="52"/>
      <x:c r="M389" s="52"/>
      <x:c r="N389" s="8" t="str">
        <x:v>ยังไม่ยืนยัน</x:v>
      </x:c>
      <x:c r="O38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89" s="40" t="n">
        <x:v>46315</x:v>
      </x:c>
      <x:c r="Q389" s="59" t="str">
        <x:v>ยังไม่ตรวจ</x:v>
      </x:c>
      <x:c r="R389" s="59" t="str">
        <x:v>รอติดต่อ</x:v>
      </x:c>
    </x:row>
    <x:row r="390" ht="84" customHeight="1">
      <x:c r="A390" s="2" t="str">
        <x:v>TMF-382</x:v>
      </x:c>
      <x:c r="B390" s="8" t="str">
        <x:v>24 house กาแฟหน้าบ้าน</x:v>
      </x:c>
      <x:c r="C390" s="8" t="str">
        <x:v>ยะลา</x:v>
      </x:c>
      <x:c r="D390" s="8" t="str">
        <x:v>สำรองหลังปรับตามเส้นทาง</x:v>
      </x:c>
      <x:c r="E390" s="8" t="str">
        <x:v>หลักฐานไม่พอ รอยืนยันการเปิด</x:v>
      </x:c>
      <x:c r="F390" s="8" t="str">
        <x:v>ยังไม่ยืนยันการเปิดให้บริการปัจจุบัน</x:v>
      </x:c>
      <x:c r="G390" s="58" t="n">
        <x:v>1</x:v>
      </x:c>
      <x:c r="H390" s="52"/>
      <x:c r="I390" s="52"/>
      <x:c r="J390" s="52"/>
      <x:c r="K390" s="52"/>
      <x:c r="L390" s="52"/>
      <x:c r="M390" s="52"/>
      <x:c r="N390" s="8" t="str">
        <x:v>ยังไม่ยืนยัน</x:v>
      </x:c>
      <x:c r="O39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90" s="40" t="n">
        <x:v>46315</x:v>
      </x:c>
      <x:c r="Q390" s="59" t="str">
        <x:v>ยังไม่ตรวจ</x:v>
      </x:c>
      <x:c r="R390" s="59" t="str">
        <x:v>รอติดต่อ</x:v>
      </x:c>
    </x:row>
    <x:row r="391" ht="84" customHeight="1">
      <x:c r="A391" s="2" t="str">
        <x:v>TMF-383</x:v>
      </x:c>
      <x:c r="B391" s="8" t="str">
        <x:v>Candy rose หมี่ไก่ฉีก</x:v>
      </x:c>
      <x:c r="C391" s="8" t="str">
        <x:v>ยะลา</x:v>
      </x:c>
      <x:c r="D391" s="8" t="str">
        <x:v>อยู่ในชุด 600 ตามเส้นทาง</x:v>
      </x:c>
      <x:c r="E391" s="8" t="str">
        <x:v>พบชื่อสัมพันธ์หลายเว็บไซต์ รอยืนยันสาขา</x:v>
      </x:c>
      <x:c r="F391" s="8" t="str">
        <x:v>ยังไม่ยืนยันการเปิดให้บริการปัจจุบัน</x:v>
      </x:c>
      <x:c r="G391" s="58" t="n">
        <x:v>2</x:v>
      </x:c>
      <x:c r="H391" s="52" t="str"/>
      <x:c r="I391" s="52" t="str"/>
      <x:c r="J391" s="52" t="str"/>
      <x:c r="K391" s="52" t="str"/>
      <x:c r="L391" s="52" t="str">
        <x:v>https://makanhalalguide.com/shop/detail/6043</x:v>
      </x:c>
      <x:c r="M391" s="52" t="str">
        <x:v>https://www.findglocal.com/TH/Yala/200533-7/7</x:v>
      </x:c>
      <x:c r="N391" s="8" t="str">
        <x:v>ยังไม่ยืนยัน</x:v>
      </x:c>
      <x:c r="O391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391" s="40" t="n">
        <x:v>46315</x:v>
      </x:c>
      <x:c r="Q391" s="59" t="str">
        <x:v>ยังไม่ตรวจ</x:v>
      </x:c>
      <x:c r="R391" s="59" t="str">
        <x:v>รอติดต่อ</x:v>
      </x:c>
    </x:row>
    <x:row r="392" ht="84" customHeight="1">
      <x:c r="A392" s="2" t="str">
        <x:v>TMF-384</x:v>
      </x:c>
      <x:c r="B392" s="8" t="str">
        <x:v>IN Trend Co-working Cafe</x:v>
      </x:c>
      <x:c r="C392" s="8" t="str">
        <x:v>ยะลา</x:v>
      </x:c>
      <x:c r="D392" s="8" t="str">
        <x:v>อยู่ในชุด 600 ตามเส้นทาง</x:v>
      </x:c>
      <x:c r="E392" s="8" t="str">
        <x:v>พบชื่อสัมพันธ์หลายเว็บไซต์ รอยืนยันสาขา</x:v>
      </x:c>
      <x:c r="F392" s="8" t="str">
        <x:v>ยังไม่ยืนยันการเปิดให้บริการปัจจุบัน</x:v>
      </x:c>
      <x:c r="G392" s="58" t="n">
        <x:v>4</x:v>
      </x:c>
      <x:c r="H392" s="52" t="str"/>
      <x:c r="I392" s="52" t="str"/>
      <x:c r="J392" s="52" t="str"/>
      <x:c r="K392" s="52" t="str"/>
      <x:c r="L392" s="52" t="str">
        <x:v>https://makanhalalguide.com/shop/detail/6015</x:v>
      </x:c>
      <x:c r="M392" s="52" t="str">
        <x:v>https://wel-b.net/en/shop/in-trend-co-working-caf</x:v>
      </x:c>
      <x:c r="N392" s="8" t="str">
        <x:v>ยังไม่ยืนยัน</x:v>
      </x:c>
      <x:c r="O392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392" s="40" t="n">
        <x:v>46315</x:v>
      </x:c>
      <x:c r="Q392" s="59" t="str">
        <x:v>ยังไม่ตรวจ</x:v>
      </x:c>
      <x:c r="R392" s="59" t="str">
        <x:v>รอติดต่อ</x:v>
      </x:c>
    </x:row>
    <x:row r="393" ht="84" customHeight="1">
      <x:c r="A393" s="2" t="str">
        <x:v>TMF-385</x:v>
      </x:c>
      <x:c r="B393" s="8" t="str">
        <x:v>Orbit Coffee-ออร์บิท คอฟฟี่ ยะลา</x:v>
      </x:c>
      <x:c r="C393" s="8" t="str">
        <x:v>ยะลา</x:v>
      </x:c>
      <x:c r="D393" s="8" t="str">
        <x:v>อยู่ในชุด 600 ตามเส้นทาง</x:v>
      </x:c>
      <x:c r="E393" s="8" t="str">
        <x:v>พบชื่อสัมพันธ์หลายเว็บไซต์ รอยืนยันสาขา</x:v>
      </x:c>
      <x:c r="F393" s="8" t="str">
        <x:v>ยังไม่ยืนยันการเปิดให้บริการปัจจุบัน</x:v>
      </x:c>
      <x:c r="G393" s="58" t="n">
        <x:v>3</x:v>
      </x:c>
      <x:c r="H393" s="52" t="str"/>
      <x:c r="I393" s="52" t="str"/>
      <x:c r="J393" s="52" t="str">
        <x:v>https://www.wongnai.com/restaurants/2671226sv-orbit-coffee-yala</x:v>
      </x:c>
      <x:c r="K393" s="52" t="str">
        <x:v>https://th.trip.com/moments/detail/yala-1448263-121149099/</x:v>
      </x:c>
      <x:c r="L393" s="52" t="str">
        <x:v>https://makanhalalguide.com/shop/detail/6004</x:v>
      </x:c>
      <x:c r="M393" s="52" t="str">
        <x:v>https://www.wongnai.com/restaurants/2671226sv-orbit-coffee-yala</x:v>
      </x:c>
      <x:c r="N393" s="8" t="str">
        <x:v>ยังไม่ยืนยัน</x:v>
      </x:c>
      <x:c r="O393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393" s="40" t="n">
        <x:v>46315</x:v>
      </x:c>
      <x:c r="Q393" s="59" t="str">
        <x:v>ยังไม่ตรวจ</x:v>
      </x:c>
      <x:c r="R393" s="59" t="str">
        <x:v>รอติดต่อ</x:v>
      </x:c>
    </x:row>
    <x:row r="394" ht="84" customHeight="1">
      <x:c r="A394" s="2" t="str">
        <x:v>TMF-386</x:v>
      </x:c>
      <x:c r="B394" s="8" t="str">
        <x:v>CTRL (Wh)y? Coffn'mat</x:v>
      </x:c>
      <x:c r="C394" s="8" t="str">
        <x:v>ระยอง</x:v>
      </x:c>
      <x:c r="D394" s="8" t="str">
        <x:v>สำรองหลังปรับตามเส้นทาง</x:v>
      </x:c>
      <x:c r="E394" s="8" t="str">
        <x:v>หลักฐานไม่พอ รอยืนยันการเปิด</x:v>
      </x:c>
      <x:c r="F394" s="8" t="str">
        <x:v>ยังไม่ยืนยันการเปิดให้บริการปัจจุบัน</x:v>
      </x:c>
      <x:c r="G394" s="58" t="n">
        <x:v>1</x:v>
      </x:c>
      <x:c r="H394" s="52"/>
      <x:c r="I394" s="52"/>
      <x:c r="J394" s="52"/>
      <x:c r="K394" s="52"/>
      <x:c r="L394" s="52"/>
      <x:c r="M394" s="52"/>
      <x:c r="N394" s="8" t="str">
        <x:v>ยังไม่ยืนยัน</x:v>
      </x:c>
      <x:c r="O39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94" s="40" t="n">
        <x:v>46315</x:v>
      </x:c>
      <x:c r="Q394" s="59" t="str">
        <x:v>ยังไม่ตรวจ</x:v>
      </x:c>
      <x:c r="R394" s="59" t="str">
        <x:v>รอติดต่อ</x:v>
      </x:c>
    </x:row>
    <x:row r="395" ht="84" customHeight="1">
      <x:c r="A395" s="2" t="str">
        <x:v>TMF-387</x:v>
      </x:c>
      <x:c r="B395" s="8" t="str">
        <x:v>Super เนื้อ 98 ก๋วยเตี๋ยวเนื้อตุ๋น</x:v>
      </x:c>
      <x:c r="C395" s="8" t="str">
        <x:v>ระยอง</x:v>
      </x:c>
      <x:c r="D395" s="8" t="str">
        <x:v>สำรองหลังปรับตามเส้นทาง</x:v>
      </x:c>
      <x:c r="E395" s="8" t="str">
        <x:v>หลักฐานไม่พอ รอยืนยันการเปิด</x:v>
      </x:c>
      <x:c r="F395" s="8" t="str">
        <x:v>ยังไม่ยืนยันการเปิดให้บริการปัจจุบัน</x:v>
      </x:c>
      <x:c r="G395" s="58" t="n">
        <x:v>1</x:v>
      </x:c>
      <x:c r="H395" s="52"/>
      <x:c r="I395" s="52"/>
      <x:c r="J395" s="52"/>
      <x:c r="K395" s="52"/>
      <x:c r="L395" s="52"/>
      <x:c r="M395" s="52"/>
      <x:c r="N395" s="8" t="str">
        <x:v>ยังไม่ยืนยัน</x:v>
      </x:c>
      <x:c r="O39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95" s="40" t="n">
        <x:v>46315</x:v>
      </x:c>
      <x:c r="Q395" s="59" t="str">
        <x:v>ยังไม่ตรวจ</x:v>
      </x:c>
      <x:c r="R395" s="59" t="str">
        <x:v>รอติดต่อ</x:v>
      </x:c>
    </x:row>
    <x:row r="396" ht="84" customHeight="1">
      <x:c r="A396" s="2" t="str">
        <x:v>TMF-388</x:v>
      </x:c>
      <x:c r="B396" s="8" t="str">
        <x:v>กัยนา (เล็กเมืองตรัง) ไก่ทอดหาดใหญ่</x:v>
      </x:c>
      <x:c r="C396" s="8" t="str">
        <x:v>ระยอง</x:v>
      </x:c>
      <x:c r="D396" s="8" t="str">
        <x:v>สำรองหลังปรับตามเส้นทาง</x:v>
      </x:c>
      <x:c r="E396" s="8" t="str">
        <x:v>หลักฐานไม่พอ รอยืนยันการเปิด</x:v>
      </x:c>
      <x:c r="F396" s="8" t="str">
        <x:v>ยังไม่ยืนยันการเปิดให้บริการปัจจุบัน</x:v>
      </x:c>
      <x:c r="G396" s="58" t="n">
        <x:v>1</x:v>
      </x:c>
      <x:c r="H396" s="52"/>
      <x:c r="I396" s="52"/>
      <x:c r="J396" s="52"/>
      <x:c r="K396" s="52"/>
      <x:c r="L396" s="52"/>
      <x:c r="M396" s="52"/>
      <x:c r="N396" s="8" t="str">
        <x:v>ยังไม่ยืนยัน</x:v>
      </x:c>
      <x:c r="O39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96" s="40" t="n">
        <x:v>46315</x:v>
      </x:c>
      <x:c r="Q396" s="59" t="str">
        <x:v>ยังไม่ตรวจ</x:v>
      </x:c>
      <x:c r="R396" s="59" t="str">
        <x:v>รอติดต่อ</x:v>
      </x:c>
    </x:row>
    <x:row r="397" ht="84" customHeight="1">
      <x:c r="A397" s="2" t="str">
        <x:v>TMF-389</x:v>
      </x:c>
      <x:c r="B397" s="8" t="str">
        <x:v>กินเส้น @ บายบัง</x:v>
      </x:c>
      <x:c r="C397" s="8" t="str">
        <x:v>ระยอง</x:v>
      </x:c>
      <x:c r="D397" s="8" t="str">
        <x:v>สำรองหลังปรับตามเส้นทาง</x:v>
      </x:c>
      <x:c r="E397" s="8" t="str">
        <x:v>หลักฐานไม่พอ รอยืนยันการเปิด</x:v>
      </x:c>
      <x:c r="F397" s="8" t="str">
        <x:v>ยังไม่ยืนยันการเปิดให้บริการปัจจุบัน</x:v>
      </x:c>
      <x:c r="G397" s="58" t="n">
        <x:v>1</x:v>
      </x:c>
      <x:c r="H397" s="52"/>
      <x:c r="I397" s="52"/>
      <x:c r="J397" s="52"/>
      <x:c r="K397" s="52"/>
      <x:c r="L397" s="52"/>
      <x:c r="M397" s="52"/>
      <x:c r="N397" s="8" t="str">
        <x:v>ยังไม่ยืนยัน</x:v>
      </x:c>
      <x:c r="O39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397" s="40" t="n">
        <x:v>46315</x:v>
      </x:c>
      <x:c r="Q397" s="59" t="str">
        <x:v>ยังไม่ตรวจ</x:v>
      </x:c>
      <x:c r="R397" s="59" t="str">
        <x:v>รอติดต่อ</x:v>
      </x:c>
    </x:row>
    <x:row r="398" ht="84" customHeight="1">
      <x:c r="A398" s="2" t="str">
        <x:v>TMF-390</x:v>
      </x:c>
      <x:c r="B398" s="8" t="str">
        <x:v>ก๋วยเตี๋ยวเนื้อ โต๊ะจููละห์</x:v>
      </x:c>
      <x:c r="C398" s="8" t="str">
        <x:v>ระยอง</x:v>
      </x:c>
      <x:c r="D398" s="8" t="str">
        <x:v>อยู่ในชุด 600 ตามเส้นทาง</x:v>
      </x:c>
      <x:c r="E398" s="8" t="str">
        <x:v>พบชื่อสัมพันธ์หลายเว็บไซต์ รอยืนยันสาขา</x:v>
      </x:c>
      <x:c r="F398" s="8" t="str">
        <x:v>ยังไม่ยืนยันการเปิดให้บริการปัจจุบัน</x:v>
      </x:c>
      <x:c r="G398" s="58" t="n">
        <x:v>2</x:v>
      </x:c>
      <x:c r="H398" s="52" t="str"/>
      <x:c r="I398" s="52" t="str"/>
      <x:c r="J398" s="52" t="str">
        <x:v>https://restaurantguru.com/%E0%B8%A3%E0%B9%89%E0%B8%B2%E0%B8%99%E0%B8%81%E0%B9%8B%E0%B8%A7%E0%B8%A2%E0%B9%80%E0%B8%95%E0%B8%B5%E0%B9%8B%E0%B8%A2%E0%B8%A7%E0%B9%80%E0%B8%99%E0%B8%B7%E0%B9%89%E0%B8%AD-%E0%B9%82%E0%B8%95%E0%B9%8A%E0%B8%B0%E0%B8%88%E0%B8%B9%E0%B8%B9%E0%B8%A5%E0%B8%B0%E0%B8%AB%E0%B9%8C-Map-Ta-Phut</x:v>
      </x:c>
      <x:c r="K398" s="52" t="str"/>
      <x:c r="L398" s="52" t="str">
        <x:v>https://makanhalalguide.com/shop/detail/6149</x:v>
      </x:c>
      <x:c r="M398" s="52" t="str">
        <x:v>https://restaurantguru.com/%E0%B8%A3%E0%B9%89%E0%B8%B2%E0%B8%99%E0%B8%81%E0%B9%8B%E0%B8%A7%E0%B8%A2%E0%B9%80%E0%B8%95%E0%B8%B5%E0%B9%8B%E0%B8%A2%E0%B8%A7%E0%B9%80%E0%B8%99%E0%B8%B7%E0%B9%89%E0%B8%AD-%E0%B9%82%E0%B8%95%E0%B9%8A%E0%B8%B0%E0%B8%88%E0%B8%B9%E0%B8%B9%E0%B8%A5%E0%B8%B0%E0%B8%AB%E0%B9%8C-Map-Ta-Phut</x:v>
      </x:c>
      <x:c r="N398" s="8" t="str">
        <x:v>ยังไม่ยืนยัน</x:v>
      </x:c>
      <x:c r="O398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398" s="40" t="n">
        <x:v>46315</x:v>
      </x:c>
      <x:c r="Q398" s="59" t="str">
        <x:v>ยังไม่ตรวจ</x:v>
      </x:c>
      <x:c r="R398" s="59" t="str">
        <x:v>รอติดต่อ</x:v>
      </x:c>
    </x:row>
    <x:row r="399" ht="84" customHeight="1">
      <x:c r="A399" s="2" t="str">
        <x:v>TMF-391</x:v>
      </x:c>
      <x:c r="B399" s="8" t="str">
        <x:v>มัสยิดอัสซุนนะห์ จ.ระยอง</x:v>
      </x:c>
      <x:c r="C399" s="8" t="str">
        <x:v>ระยอง</x:v>
      </x:c>
      <x:c r="D399" s="8" t="str">
        <x:v>อยู่ในชุด 600 ตามเส้นทาง</x:v>
      </x:c>
      <x:c r="E399" s="8" t="str">
        <x:v>พบชื่อสัมพันธ์หลายเว็บไซต์ รอยืนยันสาขา</x:v>
      </x:c>
      <x:c r="F399" s="8" t="str">
        <x:v>ยังไม่ยืนยันการเปิดให้บริการปัจจุบัน</x:v>
      </x:c>
      <x:c r="G399" s="58" t="n">
        <x:v>2</x:v>
      </x:c>
      <x:c r="H399" s="52" t="str"/>
      <x:c r="I399" s="52" t="str"/>
      <x:c r="J399" s="52" t="str"/>
      <x:c r="K399" s="52" t="str"/>
      <x:c r="L399" s="52" t="str">
        <x:v>https://www.thic.or.th/th/tourist/detail/mosques/323</x:v>
      </x:c>
      <x:c r="M399" s="52" t="str">
        <x:v>https://xn--l3cga1amo9al2e5c0fqf.cybo.com/TH/%E0%B9%80%E0%B8%97%E0%B8%A8%E0%B8%9A%E0%B8%B2%E0%B8%A5%E0%B8%99%E0%B8%84%E0%B8%A3%E0%B8%A3%E0%B8%B0%E0%B8%A2%E0%B8%AD%E0%B8%87/%E0%B8%A1%E0%B8%B1%E0%B8%AA%E0%B8%A2%E0%B8%B4%E0%B8%94</x:v>
      </x:c>
      <x:c r="N399" s="8" t="str">
        <x:v>ยังไม่ยืนยัน</x:v>
      </x:c>
      <x:c r="O399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399" s="40" t="n">
        <x:v>46315</x:v>
      </x:c>
      <x:c r="Q399" s="59" t="str">
        <x:v>ยังไม่ตรวจ</x:v>
      </x:c>
      <x:c r="R399" s="59" t="str">
        <x:v>รอติดต่อ</x:v>
      </x:c>
    </x:row>
    <x:row r="400" ht="84" customHeight="1">
      <x:c r="A400" s="2" t="str">
        <x:v>TMF-392</x:v>
      </x:c>
      <x:c r="B400" s="8" t="str">
        <x:v>รีเจนท์ ลอด์จ โฮเตล</x:v>
      </x:c>
      <x:c r="C400" s="8" t="str">
        <x:v>ลำปาง</x:v>
      </x:c>
      <x:c r="D400" s="8" t="str">
        <x:v>สำรองหลังปรับตามเส้นทาง</x:v>
      </x:c>
      <x:c r="E400" s="8" t="str">
        <x:v>พบหลายแหล่งสัมพันธ์กับชื่อ รอยืนยันการเปิด</x:v>
      </x:c>
      <x:c r="F400" s="8" t="str">
        <x:v>ยังไม่ยืนยันการเปิดให้บริการปัจจุบัน</x:v>
      </x:c>
      <x:c r="G400" s="58" t="n">
        <x:v>2</x:v>
      </x:c>
      <x:c r="H400" s="52"/>
      <x:c r="I400" s="52"/>
      <x:c r="J400" s="52"/>
      <x:c r="K400" s="52"/>
      <x:c r="L400" s="52" t="str">
        <x:v>HYPERLINK is not implemented. linkLocation=https://www.lovethailand.org/travel/en/3-Lampang/6275-Wang-Nuea-Road-Cultural-Street.html, friendlyName=เปิดเว็บเพิ่ม 1</x:v>
      </x:c>
      <x:c r="M400" s="52"/>
      <x:c r="N400" s="8" t="str">
        <x:v>ยังไม่ยืนยัน</x:v>
      </x:c>
      <x:c r="O400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00" s="40" t="n">
        <x:v>46315</x:v>
      </x:c>
      <x:c r="Q400" s="59" t="str">
        <x:v>ยังไม่ตรวจ</x:v>
      </x:c>
      <x:c r="R400" s="59" t="str">
        <x:v>รอติดต่อ</x:v>
      </x:c>
    </x:row>
    <x:row r="401" ht="84" customHeight="1">
      <x:c r="A401" s="2" t="str">
        <x:v>TMF-393</x:v>
      </x:c>
      <x:c r="B401" s="8" t="str">
        <x:v>มัสยิดนูรุลอิสลามสกลนคร</x:v>
      </x:c>
      <x:c r="C401" s="8" t="str">
        <x:v>สกลนคร</x:v>
      </x:c>
      <x:c r="D401" s="8" t="str">
        <x:v>สำรองหลังปรับตามเส้นทาง</x:v>
      </x:c>
      <x:c r="E401" s="8" t="str">
        <x:v>พบหลายแหล่งสัมพันธ์กับชื่อ รอยืนยันการเปิด</x:v>
      </x:c>
      <x:c r="F401" s="8" t="str">
        <x:v>ยังไม่ยืนยันการเปิดให้บริการปัจจุบัน</x:v>
      </x:c>
      <x:c r="G401" s="58" t="n">
        <x:v>2</x:v>
      </x:c>
      <x:c r="H401" s="52"/>
      <x:c r="I401" s="52"/>
      <x:c r="J401" s="52"/>
      <x:c r="K401" s="52"/>
      <x:c r="L401" s="52" t="str">
        <x:v>HYPERLINK is not implemented. linkLocation=https://www.ibank.co.th/th/news/detail/2021-03-29-16-42-12, friendlyName=เปิดเว็บเพิ่ม 1</x:v>
      </x:c>
      <x:c r="M401" s="52"/>
      <x:c r="N401" s="8" t="str">
        <x:v>ยังไม่ยืนยัน</x:v>
      </x:c>
      <x:c r="O401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01" s="40" t="n">
        <x:v>46315</x:v>
      </x:c>
      <x:c r="Q401" s="59" t="str">
        <x:v>ยังไม่ตรวจ</x:v>
      </x:c>
      <x:c r="R401" s="59" t="str">
        <x:v>รอติดต่อ</x:v>
      </x:c>
    </x:row>
    <x:row r="402" ht="84" customHeight="1">
      <x:c r="A402" s="2" t="str">
        <x:v>TMF-394</x:v>
      </x:c>
      <x:c r="B402" s="8" t="str">
        <x:v>โรงแรม บี.พี. แกรนด์ทาวเวอร์</x:v>
      </x:c>
      <x:c r="C402" s="8" t="str">
        <x:v>สงขลา</x:v>
      </x:c>
      <x:c r="D402" s="8" t="str">
        <x:v>อยู่ในชุด 600 ตามเส้นทาง</x:v>
      </x:c>
      <x:c r="E402" s="8" t="str">
        <x:v>พบชื่อสัมพันธ์หลายเว็บไซต์ รอยืนยันสาขา</x:v>
      </x:c>
      <x:c r="F402" s="8" t="str">
        <x:v>ยังไม่ยืนยันการเปิดให้บริการปัจจุบัน</x:v>
      </x:c>
      <x:c r="G402" s="58" t="n">
        <x:v>8</x:v>
      </x:c>
      <x:c r="H402" s="52" t="str"/>
      <x:c r="I402" s="52" t="str"/>
      <x:c r="J402" s="52" t="str">
        <x:v>https://th.tripadvisor.com/Hotel_Review-g297921-d1230765-Reviews-BP_Grand_Tower_Hotel-Hat_Yai_Songkhla_Province.html</x:v>
      </x:c>
      <x:c r="K402" s="52" t="str">
        <x:v>https://www.expedia.co.th/Hat-Yai-Hotels-BP-Grand-Tower-Hotel.h12663465.Hotel-Information</x:v>
      </x:c>
      <x:c r="L402" s="52" t="str">
        <x:v>https://www.thic.or.th/th/tourist/detail/accommodation/215</x:v>
      </x:c>
      <x:c r="M402" s="52" t="str">
        <x:v>https://th.tripadvisor.com/Hotel_Review-g297921-d1230765-Reviews-BP_Grand_Tower_Hotel-Hat_Yai_Songkhla_Province.html</x:v>
      </x:c>
      <x:c r="N402" s="8" t="str">
        <x:v>ยังไม่ยืนยัน</x:v>
      </x:c>
      <x:c r="O402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02" s="40" t="n">
        <x:v>46315</x:v>
      </x:c>
      <x:c r="Q402" s="59" t="str">
        <x:v>ยังไม่ตรวจ</x:v>
      </x:c>
      <x:c r="R402" s="59" t="str">
        <x:v>รอติดต่อ</x:v>
      </x:c>
    </x:row>
    <x:row r="403" ht="84" customHeight="1">
      <x:c r="A403" s="2" t="str">
        <x:v>TMF-395</x:v>
      </x:c>
      <x:c r="B403" s="8" t="str">
        <x:v>โรงแรม หรรษา เจบี</x:v>
      </x:c>
      <x:c r="C403" s="8" t="str">
        <x:v>สงขลา</x:v>
      </x:c>
      <x:c r="D403" s="8" t="str">
        <x:v>อยู่ในชุด 600 ตามเส้นทาง</x:v>
      </x:c>
      <x:c r="E403" s="8" t="str">
        <x:v>พบชื่อสัมพันธ์หลายเว็บไซต์ รอยืนยันสาขา</x:v>
      </x:c>
      <x:c r="F403" s="8" t="str">
        <x:v>ยังไม่ยืนยันการเปิดให้บริการปัจจุบัน</x:v>
      </x:c>
      <x:c r="G403" s="58" t="n">
        <x:v>8</x:v>
      </x:c>
      <x:c r="H403" s="52" t="str"/>
      <x:c r="I403" s="52" t="str"/>
      <x:c r="J403" s="52" t="str">
        <x:v>https://th.trip.com/hotels/hat-yai-hotel-detail-1512414/hansa-jb-hotel-hatyai/review.html</x:v>
      </x:c>
      <x:c r="K403" s="52" t="str">
        <x:v>https://www.wongnai.com/hotels/315048xr-%E0%B9%82%E0%B8%A3%E0%B8%87%E0%B9%81%E0%B8%A3%E0%B8%A1%E0%B8%AB%E0%B8%A3%E0%B8%A3%E0%B8%A9%E0%B8%B2%E0%B9%80%E0%B8%88%E0%B8%9A%E0%B8%B5</x:v>
      </x:c>
      <x:c r="L403" s="52" t="str">
        <x:v>https://www.thic.or.th/th/tourist/detail/accommodation/214</x:v>
      </x:c>
      <x:c r="M403" s="52" t="str">
        <x:v>https://th.trip.com/hotels/hat-yai-hotel-detail-1512414/hansa-jb-hotel-hatyai/review.html</x:v>
      </x:c>
      <x:c r="N403" s="8" t="str">
        <x:v>ยังไม่ยืนยัน</x:v>
      </x:c>
      <x:c r="O403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03" s="40" t="n">
        <x:v>46315</x:v>
      </x:c>
      <x:c r="Q403" s="59" t="str">
        <x:v>ยังไม่ตรวจ</x:v>
      </x:c>
      <x:c r="R403" s="59" t="str">
        <x:v>รอติดต่อ</x:v>
      </x:c>
    </x:row>
    <x:row r="404" ht="84" customHeight="1">
      <x:c r="A404" s="2" t="str">
        <x:v>TMF-396</x:v>
      </x:c>
      <x:c r="B404" s="8" t="str">
        <x:v>โรงแรมหาดแก้ว รีสอร์ท สงขลา</x:v>
      </x:c>
      <x:c r="C404" s="8" t="str">
        <x:v>สงขลา</x:v>
      </x:c>
      <x:c r="D404" s="8" t="str">
        <x:v>อยู่ในชุด 600 ตามเส้นทาง</x:v>
      </x:c>
      <x:c r="E404" s="8" t="str">
        <x:v>พบชื่อสัมพันธ์หลายเว็บไซต์ รอยืนยันสาขา</x:v>
      </x:c>
      <x:c r="F404" s="8" t="str">
        <x:v>ยังไม่ยืนยันการเปิดให้บริการปัจจุบัน</x:v>
      </x:c>
      <x:c r="G404" s="58" t="n">
        <x:v>4</x:v>
      </x:c>
      <x:c r="H404" s="52" t="str"/>
      <x:c r="I404" s="52" t="str"/>
      <x:c r="J404" s="52" t="str"/>
      <x:c r="K404" s="52" t="str"/>
      <x:c r="L404" s="52" t="str">
        <x:v>https://www.thic.or.th/th/tourist/detail/accommodation/202</x:v>
      </x:c>
      <x:c r="M404" s="52" t="str">
        <x:v>https://www.thaithurkic.com/%E0%B9%82%E0%B8%A3%E0%B8%87%E0%B9%81%E0%B8%A3%E0%B8%A1%E0%B8%AB%E0%B8%B2%E0%B8%94%E0%B9%81%E0%B8%81%E0%B9%89%E0%B8%A7%E0%B8%A3%E0%B8%B5%E0%B8%AA%E0%B8%AD%E0%B8%A3%E0%B9%8C%E0%B8%97-%E0%B8%AA%E0%B8%87%E0%B8%82%E0%B8%A5%E0%B8%B2_13-089-738-1079</x:v>
      </x:c>
      <x:c r="N404" s="8" t="str">
        <x:v>ยังไม่ยืนยัน</x:v>
      </x:c>
      <x:c r="O404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04" s="40" t="n">
        <x:v>46315</x:v>
      </x:c>
      <x:c r="Q404" s="59" t="str">
        <x:v>ยังไม่ตรวจ</x:v>
      </x:c>
      <x:c r="R404" s="59" t="str">
        <x:v>รอติดต่อ</x:v>
      </x:c>
    </x:row>
    <x:row r="405" ht="84" customHeight="1">
      <x:c r="A405" s="2" t="str">
        <x:v>TMF-397</x:v>
      </x:c>
      <x:c r="B405" s="8" t="str">
        <x:v>โรงแรมเซาท์เทอร์น แอร์พอร์ต</x:v>
      </x:c>
      <x:c r="C405" s="8" t="str">
        <x:v>สงขลา</x:v>
      </x:c>
      <x:c r="D405" s="8" t="str">
        <x:v>อยู่ในชุด 600 ตามเส้นทาง</x:v>
      </x:c>
      <x:c r="E405" s="8" t="str">
        <x:v>พบชื่อสัมพันธ์หลายเว็บไซต์ รอยืนยันสาขา</x:v>
      </x:c>
      <x:c r="F405" s="8" t="str">
        <x:v>ยังไม่ยืนยันการเปิดให้บริการปัจจุบัน</x:v>
      </x:c>
      <x:c r="G405" s="58" t="n">
        <x:v>4</x:v>
      </x:c>
      <x:c r="H405" s="52" t="str"/>
      <x:c r="I405" s="52" t="str"/>
      <x:c r="J405" s="52" t="str">
        <x:v>https://www.lemon8-app.com/%40hellosongkhla/7619262329806111253?region=us</x:v>
      </x:c>
      <x:c r="K405" s="52" t="str"/>
      <x:c r="L405" s="52" t="str">
        <x:v>https://www.thic.or.th/th/tourist/detail/accommodation/208</x:v>
      </x:c>
      <x:c r="M405" s="52" t="str">
        <x:v>https://www.lemon8-app.com/%40hellosongkhla/7619262329806111253?region=us</x:v>
      </x:c>
      <x:c r="N405" s="8" t="str">
        <x:v>ยังไม่ยืนยัน</x:v>
      </x:c>
      <x:c r="O405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05" s="40" t="n">
        <x:v>46315</x:v>
      </x:c>
      <x:c r="Q405" s="59" t="str">
        <x:v>ยังไม่ตรวจ</x:v>
      </x:c>
      <x:c r="R405" s="59" t="str">
        <x:v>รอติดต่อ</x:v>
      </x:c>
    </x:row>
    <x:row r="406" ht="84" customHeight="1">
      <x:c r="A406" s="2" t="str">
        <x:v>TMF-398</x:v>
      </x:c>
      <x:c r="B406" s="8" t="str">
        <x:v>AYAMCHON HATYAI</x:v>
      </x:c>
      <x:c r="C406" s="8" t="str">
        <x:v>สงขลา</x:v>
      </x:c>
      <x:c r="D406" s="8" t="str">
        <x:v>อยู่ในชุด 600 ตามเส้นทาง</x:v>
      </x:c>
      <x:c r="E406" s="8" t="str">
        <x:v>พบชื่อสัมพันธ์หลายเว็บไซต์ รอยืนยันสาขา</x:v>
      </x:c>
      <x:c r="F406" s="8" t="str">
        <x:v>ยังไม่ยืนยันการเปิดให้บริการปัจจุบัน</x:v>
      </x:c>
      <x:c r="G406" s="58" t="n">
        <x:v>3</x:v>
      </x:c>
      <x:c r="H406" s="52" t="str"/>
      <x:c r="I406" s="52" t="str"/>
      <x:c r="J406" s="52" t="str">
        <x:v>https://www.wongnai.com/restaurants/2984951qD-ayamchon-%E0%B8%8A%E0%B9%88%E0%B8%AD%E0%B8%87%E0%B9%80%E0%B8%82%E0%B8%B2-%E0%B8%AB%E0%B8%B2%E0%B8%94%E0%B9%83%E0%B8%AB%E0%B8%8D%E0%B9%88?_st=cD0xMzY7Yj0yOTg0OTUxO2FkPWZhbHNlO3Q9MTc4MDI5ODEyMzg4OTtyaT0xWDdiWVUzeVN3ZmRuak9GcXJicVBOcFNYMVphbHY7aT0xWDcxMW5wWXhycFNqeVVqd2pBR1E3MlJscHNTbWY7d3JlZj1zcjs%3D</x:v>
      </x:c>
      <x:c r="K406" s="52" t="str">
        <x:v>https://www.trip.com/moments/detail/hat-yai-24603-135601160/</x:v>
      </x:c>
      <x:c r="L406" s="52" t="str">
        <x:v>https://makanhalalguide.com/shop/detail/5612</x:v>
      </x:c>
      <x:c r="M406" s="52" t="str">
        <x:v>https://www.wongnai.com/restaurants/2984951qD-ayamchon-%E0%B8%8A%E0%B9%88%E0%B8%AD%E0%B8%87%E0%B9%80%E0%B8%82%E0%B8%B2-%E0%B8%AB%E0%B8%B2%E0%B8%94%E0%B9%83%E0%B8%AB%E0%B8%8D%E0%B9%88?_st=cD0xMzY7Yj0yOTg0OTUxO2FkPWZhbHNlO3Q9MTc4MDI5ODEyMzg4OTtyaT0xWDdiWVUzeVN3ZmRuak9GcXJicVBOcFNYMVphbHY7aT0xWDcxMW5wWXhycFNqeVVqd2pBR1E3MlJscHNTbWY7d3JlZj1zcjs%3D</x:v>
      </x:c>
      <x:c r="N406" s="8" t="str">
        <x:v>ยังไม่ยืนยัน</x:v>
      </x:c>
      <x:c r="O406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06" s="40" t="n">
        <x:v>46315</x:v>
      </x:c>
      <x:c r="Q406" s="59" t="str">
        <x:v>ยังไม่ตรวจ</x:v>
      </x:c>
      <x:c r="R406" s="59" t="str">
        <x:v>รอติดต่อ</x:v>
      </x:c>
    </x:row>
    <x:row r="407" ht="84" customHeight="1">
      <x:c r="A407" s="2" t="str">
        <x:v>TMF-399</x:v>
      </x:c>
      <x:c r="B407" s="8" t="str">
        <x:v>มัสยิดกลางประจำจังหวัดสงขลา</x:v>
      </x:c>
      <x:c r="C407" s="8" t="str">
        <x:v>สงขลา</x:v>
      </x:c>
      <x:c r="D407" s="8" t="str">
        <x:v>อยู่ในชุด 600 ตามเส้นทาง</x:v>
      </x:c>
      <x:c r="E407" s="8" t="str">
        <x:v>พบชื่อสัมพันธ์หลายเว็บไซต์ รอยืนยันสาขา</x:v>
      </x:c>
      <x:c r="F407" s="8" t="str">
        <x:v>ยังไม่ยืนยันการเปิดให้บริการปัจจุบัน</x:v>
      </x:c>
      <x:c r="G407" s="58" t="n">
        <x:v>5</x:v>
      </x:c>
      <x:c r="H407" s="52" t="str"/>
      <x:c r="I407" s="52" t="str"/>
      <x:c r="J407" s="52" t="str"/>
      <x:c r="K407" s="52" t="str"/>
      <x:c r="L407" s="52" t="str">
        <x:v>https://songkhla.prd.go.th/th/content/category/detail/id/297/iid/168568</x:v>
      </x:c>
      <x:c r="M407" s="52" t="str">
        <x:v>https://www.khlonghaecity.go.th/onestopservice/travel_full/detail/2</x:v>
      </x:c>
      <x:c r="N407" s="8" t="str">
        <x:v>ยังไม่ยืนยัน</x:v>
      </x:c>
      <x:c r="O407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407" s="40" t="n">
        <x:v>46316</x:v>
      </x:c>
      <x:c r="Q407" s="59" t="str">
        <x:v>ยังไม่ตรวจ</x:v>
      </x:c>
      <x:c r="R407" s="59" t="str">
        <x:v>รอติดต่อ</x:v>
      </x:c>
    </x:row>
    <x:row r="408" ht="84" customHeight="1">
      <x:c r="A408" s="2" t="str">
        <x:v>TMF-400</x:v>
      </x:c>
      <x:c r="B408" s="8" t="str">
        <x:v>กลิ่นมาลัย</x:v>
      </x:c>
      <x:c r="C408" s="8" t="str">
        <x:v>สมุทรปราการ</x:v>
      </x:c>
      <x:c r="D408" s="8" t="str">
        <x:v>สำรองหลังปรับตามเส้นทาง</x:v>
      </x:c>
      <x:c r="E408" s="8" t="str">
        <x:v>หลักฐานไม่พอ รอยืนยันการเปิด</x:v>
      </x:c>
      <x:c r="F408" s="8" t="str">
        <x:v>ยังไม่ยืนยันการเปิดให้บริการปัจจุบัน</x:v>
      </x:c>
      <x:c r="G408" s="58" t="n">
        <x:v>1</x:v>
      </x:c>
      <x:c r="H408" s="52"/>
      <x:c r="I408" s="52"/>
      <x:c r="J408" s="52"/>
      <x:c r="K408" s="52"/>
      <x:c r="L408" s="52"/>
      <x:c r="M408" s="52"/>
      <x:c r="N408" s="8" t="str">
        <x:v>ยังไม่ยืนยัน</x:v>
      </x:c>
      <x:c r="O40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08" s="40" t="n">
        <x:v>46315</x:v>
      </x:c>
      <x:c r="Q408" s="59" t="str">
        <x:v>ยังไม่ตรวจ</x:v>
      </x:c>
      <x:c r="R408" s="59" t="str">
        <x:v>รอติดต่อ</x:v>
      </x:c>
    </x:row>
    <x:row r="409" ht="84" customHeight="1">
      <x:c r="A409" s="2" t="str">
        <x:v>TMF-401</x:v>
      </x:c>
      <x:c r="B409" s="8" t="str">
        <x:v>กาแฟปากลัด</x:v>
      </x:c>
      <x:c r="C409" s="8" t="str">
        <x:v>สมุทรปราการ</x:v>
      </x:c>
      <x:c r="D409" s="8" t="str">
        <x:v>อยู่ในชุด 600 ตามเส้นทาง</x:v>
      </x:c>
      <x:c r="E409" s="8" t="str">
        <x:v>พบชื่อสัมพันธ์หลายเว็บไซต์ รอยืนยันสาขา</x:v>
      </x:c>
      <x:c r="F409" s="8" t="str">
        <x:v>ยังไม่ยืนยันการเปิดให้บริการปัจจุบัน</x:v>
      </x:c>
      <x:c r="G409" s="58" t="n">
        <x:v>2</x:v>
      </x:c>
      <x:c r="H409" s="52" t="str"/>
      <x:c r="I409" s="52" t="str"/>
      <x:c r="J409" s="52" t="str">
        <x:v>https://www.wongnai.com/restaurants/492751Su-%E0%B8%81%E0%B8%B2%E0%B9%81%E0%B8%9F%E0%B8%AA%E0%B8%94%E0%B8%9B%E0%B8%B2%E0%B8%81%E0%B8%A5%E0%B8%B1%E0%B8%94</x:v>
      </x:c>
      <x:c r="K409" s="52" t="str">
        <x:v>https://www.wongnai.com/restaurants/1403055gt-%E0%B8%8A%E0%B8%B2%E0%B8%81%E0%B8%B9-%E0%B8%81%E0%B8%B2%E0%B9%81%E0%B8%9F%E0%B8%81%E0%B8%B9-%E0%B8%93-%E0%B8%9B%E0%B8%B2%E0%B8%81%E0%B8%A5%E0%B8%B1%E0%B8%94</x:v>
      </x:c>
      <x:c r="L409" s="52" t="str">
        <x:v>https://makanhalalguide.com/shop/detail/5574</x:v>
      </x:c>
      <x:c r="M409" s="52" t="str">
        <x:v>https://www.wongnai.com/restaurants/492751Su-%E0%B8%81%E0%B8%B2%E0%B9%81%E0%B8%9F%E0%B8%AA%E0%B8%94%E0%B8%9B%E0%B8%B2%E0%B8%81%E0%B8%A5%E0%B8%B1%E0%B8%94</x:v>
      </x:c>
      <x:c r="N409" s="8" t="str">
        <x:v>ยังไม่ยืนยัน</x:v>
      </x:c>
      <x:c r="O409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09" s="40" t="n">
        <x:v>46316</x:v>
      </x:c>
      <x:c r="Q409" s="59" t="str">
        <x:v>ยังไม่ตรวจ</x:v>
      </x:c>
      <x:c r="R409" s="59" t="str">
        <x:v>รอติดต่อ</x:v>
      </x:c>
    </x:row>
    <x:row r="410" ht="84" customHeight="1">
      <x:c r="A410" s="2" t="str">
        <x:v>TMF-402</x:v>
      </x:c>
      <x:c r="B410" s="8" t="str">
        <x:v>ก๋วยเตี๋ยว อาหารอิสลาม บังจ๋า มาแว้ว</x:v>
      </x:c>
      <x:c r="C410" s="8" t="str">
        <x:v>สมุทรปราการ</x:v>
      </x:c>
      <x:c r="D410" s="8" t="str">
        <x:v>สำรองหลังปรับตามเส้นทาง</x:v>
      </x:c>
      <x:c r="E410" s="8" t="str">
        <x:v>หลักฐานไม่พอ รอยืนยันการเปิด</x:v>
      </x:c>
      <x:c r="F410" s="8" t="str">
        <x:v>ยังไม่ยืนยันการเปิดให้บริการปัจจุบัน</x:v>
      </x:c>
      <x:c r="G410" s="58" t="n">
        <x:v>1</x:v>
      </x:c>
      <x:c r="H410" s="52"/>
      <x:c r="I410" s="52"/>
      <x:c r="J410" s="52"/>
      <x:c r="K410" s="52"/>
      <x:c r="L410" s="52"/>
      <x:c r="M410" s="52"/>
      <x:c r="N410" s="8" t="str">
        <x:v>ยังไม่ยืนยัน</x:v>
      </x:c>
      <x:c r="O41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0" s="40" t="n">
        <x:v>46315</x:v>
      </x:c>
      <x:c r="Q410" s="59" t="str">
        <x:v>ยังไม่ตรวจ</x:v>
      </x:c>
      <x:c r="R410" s="59" t="str">
        <x:v>รอติดต่อ</x:v>
      </x:c>
    </x:row>
    <x:row r="411" ht="84" customHeight="1">
      <x:c r="A411" s="2" t="str">
        <x:v>TMF-403</x:v>
      </x:c>
      <x:c r="B411" s="8" t="str">
        <x:v>ก๋วยเตี๋ยวซากีนะห์</x:v>
      </x:c>
      <x:c r="C411" s="8" t="str">
        <x:v>สมุทรปราการ</x:v>
      </x:c>
      <x:c r="D411" s="8" t="str">
        <x:v>สำรองหลังปรับตามเส้นทาง</x:v>
      </x:c>
      <x:c r="E411" s="8" t="str">
        <x:v>หลักฐานไม่พอ รอยืนยันการเปิด</x:v>
      </x:c>
      <x:c r="F411" s="8" t="str">
        <x:v>ยังไม่ยืนยันการเปิดให้บริการปัจจุบัน</x:v>
      </x:c>
      <x:c r="G411" s="58" t="n">
        <x:v>1</x:v>
      </x:c>
      <x:c r="H411" s="52"/>
      <x:c r="I411" s="52"/>
      <x:c r="J411" s="52"/>
      <x:c r="K411" s="52"/>
      <x:c r="L411" s="52"/>
      <x:c r="M411" s="52"/>
      <x:c r="N411" s="8" t="str">
        <x:v>ยังไม่ยืนยัน</x:v>
      </x:c>
      <x:c r="O41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1" s="40" t="n">
        <x:v>46315</x:v>
      </x:c>
      <x:c r="Q411" s="59" t="str">
        <x:v>ยังไม่ตรวจ</x:v>
      </x:c>
      <x:c r="R411" s="59" t="str">
        <x:v>รอติดต่อ</x:v>
      </x:c>
    </x:row>
    <x:row r="412" ht="84" customHeight="1">
      <x:c r="A412" s="2" t="str">
        <x:v>TMF-404</x:v>
      </x:c>
      <x:c r="B412" s="8" t="str">
        <x:v>สถานีโรตี</x:v>
      </x:c>
      <x:c r="C412" s="8" t="str">
        <x:v>สระบุรี</x:v>
      </x:c>
      <x:c r="D412" s="8" t="str">
        <x:v>สำรองหลังปรับตามเส้นทาง</x:v>
      </x:c>
      <x:c r="E412" s="8" t="str">
        <x:v>หลักฐานไม่พอ รอยืนยันการเปิด</x:v>
      </x:c>
      <x:c r="F412" s="8" t="str">
        <x:v>ยังไม่ยืนยันการเปิดให้บริการปัจจุบัน</x:v>
      </x:c>
      <x:c r="G412" s="58" t="n">
        <x:v>1</x:v>
      </x:c>
      <x:c r="H412" s="52"/>
      <x:c r="I412" s="52"/>
      <x:c r="J412" s="52"/>
      <x:c r="K412" s="52"/>
      <x:c r="L412" s="52"/>
      <x:c r="M412" s="52"/>
      <x:c r="N412" s="8" t="str">
        <x:v>ยังไม่ยืนยัน</x:v>
      </x:c>
      <x:c r="O41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2" s="40" t="n">
        <x:v>46315</x:v>
      </x:c>
      <x:c r="Q412" s="59" t="str">
        <x:v>ยังไม่ตรวจ</x:v>
      </x:c>
      <x:c r="R412" s="59" t="str">
        <x:v>รอติดต่อ</x:v>
      </x:c>
    </x:row>
    <x:row r="413" ht="84" customHeight="1">
      <x:c r="A413" s="2" t="str">
        <x:v>TMF-405</x:v>
      </x:c>
      <x:c r="B413" s="8" t="str">
        <x:v>โกกี้ นมสด สถานีพัฒน์</x:v>
      </x:c>
      <x:c r="C413" s="8" t="str">
        <x:v>กรุงเทพมหานคร</x:v>
      </x:c>
      <x:c r="D413" s="8" t="str">
        <x:v>สำรองหลังปรับตามเส้นทาง</x:v>
      </x:c>
      <x:c r="E413" s="8" t="str">
        <x:v>หลักฐานไม่พอ รอยืนยันการเปิด</x:v>
      </x:c>
      <x:c r="F413" s="8" t="str">
        <x:v>ยังไม่ยืนยันการเปิดให้บริการปัจจุบัน</x:v>
      </x:c>
      <x:c r="G413" s="58" t="n">
        <x:v>1</x:v>
      </x:c>
      <x:c r="H413" s="52"/>
      <x:c r="I413" s="52"/>
      <x:c r="J413" s="52"/>
      <x:c r="K413" s="52"/>
      <x:c r="L413" s="52"/>
      <x:c r="M413" s="52"/>
      <x:c r="N413" s="8" t="str">
        <x:v>ยังไม่ยืนยัน</x:v>
      </x:c>
      <x:c r="O41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3" s="40" t="n">
        <x:v>46315</x:v>
      </x:c>
      <x:c r="Q413" s="59" t="str">
        <x:v>ยังไม่ตรวจ</x:v>
      </x:c>
      <x:c r="R413" s="59" t="str">
        <x:v>รอติดต่อ</x:v>
      </x:c>
    </x:row>
    <x:row r="414" ht="84" customHeight="1">
      <x:c r="A414" s="2" t="str">
        <x:v>TMF-406</x:v>
      </x:c>
      <x:c r="B414" s="8" t="str">
        <x:v>เดอะกี โรตี The gee roti</x:v>
      </x:c>
      <x:c r="C414" s="8" t="str">
        <x:v>เชียงใหม่</x:v>
      </x:c>
      <x:c r="D414" s="8" t="str">
        <x:v>อยู่ในชุด 600 ตามเส้นทาง</x:v>
      </x:c>
      <x:c r="E414" s="8" t="str">
        <x:v>พบชื่อสัมพันธ์หลายเว็บไซต์ รอยืนยันสาขา</x:v>
      </x:c>
      <x:c r="F414" s="8" t="str">
        <x:v>ยังไม่ยืนยันการเปิดให้บริการปัจจุบัน</x:v>
      </x:c>
      <x:c r="G414" s="58" t="n">
        <x:v>2</x:v>
      </x:c>
      <x:c r="H414" s="52" t="str"/>
      <x:c r="I414" s="52" t="str"/>
      <x:c r="J414" s="52" t="str">
        <x:v>https://restaurantguru.com/%E0%B8%A3%E0%B9%89%E0%B8%B2%E0%B8%99%E0%B9%80%E0%B8%94%E0%B8%AD%E0%B8%B0%E0%B8%81%E0%B8%B5-%E0%B9%82%E0%B8%A3%E0%B8%95%E0%B8%B5-%E0%B8%8A%E0%B8%B2%E0%B8%8A%E0%B8%B1%E0%B8%81-Chiang-Dao</x:v>
      </x:c>
      <x:c r="K414" s="52" t="str">
        <x:v>https://restaurantguru.com/amp/%E0%B8%A3%E0%B9%89%E0%B8%B2%E0%B8%99%E0%B9%80%E0%B8%94%E0%B8%AD%E0%B8%B0%E0%B8%81%E0%B8%B5-%E0%B9%82%E0%B8%A3%E0%B8%95%E0%B8%B5-%E0%B8%8A%E0%B8%B2%E0%B8%8A%E0%B8%B1%E0%B8%81-Chiang-Dao</x:v>
      </x:c>
      <x:c r="L414" s="52" t="str">
        <x:v>https://makanhalalguide.com/shop/detail/5900</x:v>
      </x:c>
      <x:c r="M414" s="52" t="str">
        <x:v>https://restaurantguru.com/%E0%B8%A3%E0%B9%89%E0%B8%B2%E0%B8%99%E0%B9%80%E0%B8%94%E0%B8%AD%E0%B8%B0%E0%B8%81%E0%B8%B5-%E0%B9%82%E0%B8%A3%E0%B8%95%E0%B8%B5-%E0%B8%8A%E0%B8%B2%E0%B8%8A%E0%B8%B1%E0%B8%81-Chiang-Dao</x:v>
      </x:c>
      <x:c r="N414" s="8" t="str">
        <x:v>ยังไม่ยืนยัน</x:v>
      </x:c>
      <x:c r="O414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14" s="40" t="n">
        <x:v>46315</x:v>
      </x:c>
      <x:c r="Q414" s="59" t="str">
        <x:v>ยังไม่ตรวจ</x:v>
      </x:c>
      <x:c r="R414" s="59" t="str">
        <x:v>รอติดต่อ</x:v>
      </x:c>
    </x:row>
    <x:row r="415" ht="84" customHeight="1">
      <x:c r="A415" s="2" t="str">
        <x:v>TMF-407</x:v>
      </x:c>
      <x:c r="B415" s="8" t="str">
        <x:v>Gigi chicken &amp; kebab</x:v>
      </x:c>
      <x:c r="C415" s="8" t="str">
        <x:v>กรุงเทพมหานคร</x:v>
      </x:c>
      <x:c r="D415" s="8" t="str">
        <x:v>สำรองหลังปรับตามเส้นทาง</x:v>
      </x:c>
      <x:c r="E415" s="8" t="str">
        <x:v>พบหลายแหล่งสัมพันธ์กับชื่อ รอยืนยันการเปิด</x:v>
      </x:c>
      <x:c r="F415" s="8" t="str">
        <x:v>พบหน้ารีวิวระบุปิดถาวร ต้องยืนยันกับผู้ประกอบการ</x:v>
      </x:c>
      <x:c r="G415" s="58" t="n">
        <x:v>2</x:v>
      </x:c>
      <x:c r="H415" s="52"/>
      <x:c r="I415" s="52"/>
      <x:c r="J415" s="52" t="str">
        <x:v>HYPERLINK is not implemented. linkLocation=https://restaurantguru.com/GIGI-CHICKEN-and-KEBAB-Halal-Bangkok, friendlyName=เปิดหน้ารีวิว 1</x:v>
      </x:c>
      <x:c r="K415" s="52"/>
      <x:c r="L415" s="52"/>
      <x:c r="M415" s="52"/>
      <x:c r="N415" s="8" t="str">
        <x:v>หน้ารายการ Restaurant Guru อัปเดต 2024-11-30 ไม่ใช่วันที่ปิด</x:v>
      </x:c>
      <x:c r="O415" s="8" t="str">
        <x:v>Restaurant Guru ระบุปิดถาวรที่ MBK ซึ่งสัมพันธ์กับที่อยู่เดิมใน Makan / ยังไม่ได้ยืนยันจากเจ้าของหรือแหล่งอิสระที่สอง / ผล Gigi Fried Chicken สีลมเป็นคนละสาขา จึงไม่ใช้ยืนยันการเปิดที่ MBK</x:v>
      </x:c>
      <x:c r="P415" s="40" t="n">
        <x:v>46315</x:v>
      </x:c>
      <x:c r="Q415" s="59" t="str">
        <x:v>ยังไม่ตรวจ</x:v>
      </x:c>
      <x:c r="R415" s="59" t="str">
        <x:v>รอติดต่อ</x:v>
      </x:c>
    </x:row>
    <x:row r="416" ht="84" customHeight="1">
      <x:c r="A416" s="2" t="str">
        <x:v>TMF-408</x:v>
      </x:c>
      <x:c r="B416" s="8" t="str">
        <x:v>ก๋วยเตี๋ยวเรือฮาลาลบังหนวด เพชรบุรีซอย7</x:v>
      </x:c>
      <x:c r="C416" s="8" t="str">
        <x:v>กรุงเทพมหานคร</x:v>
      </x:c>
      <x:c r="D416" s="8" t="str">
        <x:v>สำรองหลังปรับตามเส้นทาง</x:v>
      </x:c>
      <x:c r="E416" s="8" t="str">
        <x:v>พบหลายแหล่งสัมพันธ์กับชื่อ รอยืนยันการเปิด</x:v>
      </x:c>
      <x:c r="F416" s="8" t="str">
        <x:v>ยังไม่ยืนยันการเปิดให้บริการปัจจุบัน</x:v>
      </x:c>
      <x:c r="G416" s="58" t="n">
        <x:v>2</x:v>
      </x:c>
      <x:c r="H416" s="52"/>
      <x:c r="I416" s="52"/>
      <x:c r="J416" s="52"/>
      <x:c r="K416" s="52"/>
      <x:c r="L416" s="52" t="str">
        <x:v>HYPERLINK is not implemented. linkLocation=https://www.halalfoodnear.me/bangkok, friendlyName=เปิดเว็บเพิ่ม 1</x:v>
      </x:c>
      <x:c r="M416" s="52"/>
      <x:c r="N416" s="8" t="str">
        <x:v>ยังไม่ยืนยัน</x:v>
      </x:c>
      <x:c r="O416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6" s="40" t="n">
        <x:v>46315</x:v>
      </x:c>
      <x:c r="Q416" s="59" t="str">
        <x:v>ยังไม่ตรวจ</x:v>
      </x:c>
      <x:c r="R416" s="59" t="str">
        <x:v>รอติดต่อ</x:v>
      </x:c>
    </x:row>
    <x:row r="417" ht="84" customHeight="1">
      <x:c r="A417" s="2" t="str">
        <x:v>TMF-409</x:v>
      </x:c>
      <x:c r="B417" s="8" t="str">
        <x:v>ฟาติมะห์ไก่ย่างนมสด</x:v>
      </x:c>
      <x:c r="C417" s="8" t="str">
        <x:v>กรุงเทพมหานคร</x:v>
      </x:c>
      <x:c r="D417" s="8" t="str">
        <x:v>สำรองหลังปรับตามเส้นทาง</x:v>
      </x:c>
      <x:c r="E417" s="8" t="str">
        <x:v>หลักฐานไม่พอ รอยืนยันการเปิด</x:v>
      </x:c>
      <x:c r="F417" s="8" t="str">
        <x:v>ยังไม่ยืนยันการเปิดให้บริการปัจจุบัน</x:v>
      </x:c>
      <x:c r="G417" s="58" t="n">
        <x:v>1</x:v>
      </x:c>
      <x:c r="H417" s="52"/>
      <x:c r="I417" s="52"/>
      <x:c r="J417" s="52"/>
      <x:c r="K417" s="52"/>
      <x:c r="L417" s="52"/>
      <x:c r="M417" s="52"/>
      <x:c r="N417" s="8" t="str">
        <x:v>ยังไม่ยืนยัน</x:v>
      </x:c>
      <x:c r="O41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7" s="40" t="n">
        <x:v>46315</x:v>
      </x:c>
      <x:c r="Q417" s="59" t="str">
        <x:v>ยังไม่ตรวจ</x:v>
      </x:c>
      <x:c r="R417" s="59" t="str">
        <x:v>รอติดต่อ</x:v>
      </x:c>
    </x:row>
    <x:row r="418" ht="84" customHeight="1">
      <x:c r="A418" s="2" t="str">
        <x:v>TMF-410</x:v>
      </x:c>
      <x:c r="B418" s="8" t="str">
        <x:v>ละห์ ข้าวราดแกง</x:v>
      </x:c>
      <x:c r="C418" s="8" t="str">
        <x:v>กรุงเทพมหานคร</x:v>
      </x:c>
      <x:c r="D418" s="8" t="str">
        <x:v>สำรองหลังปรับตามเส้นทาง</x:v>
      </x:c>
      <x:c r="E418" s="8" t="str">
        <x:v>หลักฐานไม่พอ รอยืนยันการเปิด</x:v>
      </x:c>
      <x:c r="F418" s="8" t="str">
        <x:v>ยังไม่ยืนยันการเปิดให้บริการปัจจุบัน</x:v>
      </x:c>
      <x:c r="G418" s="58" t="n">
        <x:v>1</x:v>
      </x:c>
      <x:c r="H418" s="52"/>
      <x:c r="I418" s="52"/>
      <x:c r="J418" s="52"/>
      <x:c r="K418" s="52"/>
      <x:c r="L418" s="52"/>
      <x:c r="M418" s="52"/>
      <x:c r="N418" s="8" t="str">
        <x:v>ยังไม่ยืนยัน</x:v>
      </x:c>
      <x:c r="O41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8" s="40" t="n">
        <x:v>46315</x:v>
      </x:c>
      <x:c r="Q418" s="59" t="str">
        <x:v>ยังไม่ตรวจ</x:v>
      </x:c>
      <x:c r="R418" s="59" t="str">
        <x:v>รอติดต่อ</x:v>
      </x:c>
    </x:row>
    <x:row r="419" ht="84" customHeight="1">
      <x:c r="A419" s="2" t="str">
        <x:v>TMF-411</x:v>
      </x:c>
      <x:c r="B419" s="8" t="str">
        <x:v>ซาฟรอง อาหารตามสั่งริมคลอง</x:v>
      </x:c>
      <x:c r="C419" s="8" t="str">
        <x:v>กรุงเทพมหานคร</x:v>
      </x:c>
      <x:c r="D419" s="8" t="str">
        <x:v>สำรองหลังปรับตามเส้นทาง</x:v>
      </x:c>
      <x:c r="E419" s="8" t="str">
        <x:v>หลักฐานไม่พอ รอยืนยันการเปิด</x:v>
      </x:c>
      <x:c r="F419" s="8" t="str">
        <x:v>ยังไม่ยืนยันการเปิดให้บริการปัจจุบัน</x:v>
      </x:c>
      <x:c r="G419" s="58" t="n">
        <x:v>1</x:v>
      </x:c>
      <x:c r="H419" s="52"/>
      <x:c r="I419" s="52"/>
      <x:c r="J419" s="52"/>
      <x:c r="K419" s="52"/>
      <x:c r="L419" s="52"/>
      <x:c r="M419" s="52"/>
      <x:c r="N419" s="8" t="str">
        <x:v>ยังไม่ยืนยัน</x:v>
      </x:c>
      <x:c r="O41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19" s="40" t="n">
        <x:v>46315</x:v>
      </x:c>
      <x:c r="Q419" s="59" t="str">
        <x:v>ยังไม่ตรวจ</x:v>
      </x:c>
      <x:c r="R419" s="59" t="str">
        <x:v>รอติดต่อ</x:v>
      </x:c>
    </x:row>
    <x:row r="420" ht="84" customHeight="1">
      <x:c r="A420" s="2" t="str">
        <x:v>TMF-412</x:v>
      </x:c>
      <x:c r="B420" s="8" t="str">
        <x:v>ลิบง</x:v>
      </x:c>
      <x:c r="C420" s="8" t="str">
        <x:v>กรุงเทพมหานคร</x:v>
      </x:c>
      <x:c r="D420" s="8" t="str">
        <x:v>สำรองหลังปรับตามเส้นทาง</x:v>
      </x:c>
      <x:c r="E420" s="8" t="str">
        <x:v>หลักฐานไม่พอ รอยืนยันการเปิด</x:v>
      </x:c>
      <x:c r="F420" s="8" t="str">
        <x:v>ยังไม่ยืนยันการเปิดให้บริการปัจจุบัน</x:v>
      </x:c>
      <x:c r="G420" s="58" t="n">
        <x:v>1</x:v>
      </x:c>
      <x:c r="H420" s="52"/>
      <x:c r="I420" s="52"/>
      <x:c r="J420" s="52"/>
      <x:c r="K420" s="52"/>
      <x:c r="L420" s="52"/>
      <x:c r="M420" s="52"/>
      <x:c r="N420" s="8" t="str">
        <x:v>ยังไม่ยืนยัน</x:v>
      </x:c>
      <x:c r="O42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20" s="40" t="n">
        <x:v>46315</x:v>
      </x:c>
      <x:c r="Q420" s="59" t="str">
        <x:v>ยังไม่ตรวจ</x:v>
      </x:c>
      <x:c r="R420" s="59" t="str">
        <x:v>รอติดต่อ</x:v>
      </x:c>
    </x:row>
    <x:row r="421" ht="84" customHeight="1">
      <x:c r="A421" s="2" t="str">
        <x:v>TMF-413</x:v>
      </x:c>
      <x:c r="B421" s="8" t="str">
        <x:v>ครัวจัสมิน</x:v>
      </x:c>
      <x:c r="C421" s="8" t="str">
        <x:v>เชียงราย</x:v>
      </x:c>
      <x:c r="D421" s="8" t="str">
        <x:v>สำรองหลังปรับตามเส้นทาง</x:v>
      </x:c>
      <x:c r="E421" s="8" t="str">
        <x:v>หลักฐานไม่พอ รอยืนยันการเปิด</x:v>
      </x:c>
      <x:c r="F421" s="8" t="str">
        <x:v>ยังไม่ยืนยันการเปิดให้บริการปัจจุบัน</x:v>
      </x:c>
      <x:c r="G421" s="58" t="n">
        <x:v>1</x:v>
      </x:c>
      <x:c r="H421" s="52"/>
      <x:c r="I421" s="52"/>
      <x:c r="J421" s="52"/>
      <x:c r="K421" s="52"/>
      <x:c r="L421" s="52"/>
      <x:c r="M421" s="52"/>
      <x:c r="N421" s="8" t="str">
        <x:v>ยังไม่ยืนยัน</x:v>
      </x:c>
      <x:c r="O42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21" s="40" t="n">
        <x:v>46315</x:v>
      </x:c>
      <x:c r="Q421" s="59" t="str">
        <x:v>ยังไม่ตรวจ</x:v>
      </x:c>
      <x:c r="R421" s="59" t="str">
        <x:v>รอติดต่อ</x:v>
      </x:c>
    </x:row>
    <x:row r="422" ht="84" customHeight="1">
      <x:c r="A422" s="2" t="str">
        <x:v>TMF-414</x:v>
      </x:c>
      <x:c r="B422" s="8" t="str">
        <x:v>ซัลมานเคบับ</x:v>
      </x:c>
      <x:c r="C422" s="8" t="str">
        <x:v>เชียงราย</x:v>
      </x:c>
      <x:c r="D422" s="8" t="str">
        <x:v>อยู่ในชุด 600 ตามเส้นทาง</x:v>
      </x:c>
      <x:c r="E422" s="8" t="str">
        <x:v>พบชื่อสัมพันธ์หลายเว็บไซต์ รอยืนยันสาขา</x:v>
      </x:c>
      <x:c r="F422" s="8" t="str">
        <x:v>ยังไม่ยืนยันการเปิดให้บริการปัจจุบัน</x:v>
      </x:c>
      <x:c r="G422" s="58" t="n">
        <x:v>2</x:v>
      </x:c>
      <x:c r="H422" s="52" t="str"/>
      <x:c r="I422" s="52" t="str"/>
      <x:c r="J422" s="52" t="str"/>
      <x:c r="K422" s="52" t="str"/>
      <x:c r="L422" s="52" t="str">
        <x:v>https://makanhalalguide.com/shop/detail/5103</x:v>
      </x:c>
      <x:c r="M422" s="52" t="str">
        <x:v>https://shopee.co.th/%E0%B8%8B%E0%B8%B1%E0%B8%A5%E0%B8%A1%E0%B8%B2%E0%B8%99%E0%B9%80%E0%B8%84%E0%B8%9A%E0%B8%B1%E0%B8%9A-%E0%B9%81%E0%B8%9B%E0%B9%89%E0%B8%87%E0%B9%80%E0%B8%84%E0%B8%9A%E0%B8%B1%E0%B8%9A%28%E0%B8%95%E0%B8%AD%E0%B8%95%E0%B8%B4%E0%B8%8D%E0%B9%88%E0%B8%B2%29-i.1623822504.43021547171</x:v>
      </x:c>
      <x:c r="N422" s="8" t="str">
        <x:v>ยังไม่ยืนยัน</x:v>
      </x:c>
      <x:c r="O422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22" s="40" t="n">
        <x:v>46315</x:v>
      </x:c>
      <x:c r="Q422" s="59" t="str">
        <x:v>ยังไม่ตรวจ</x:v>
      </x:c>
      <x:c r="R422" s="59" t="str">
        <x:v>รอติดต่อ</x:v>
      </x:c>
    </x:row>
    <x:row r="423" ht="84" customHeight="1">
      <x:c r="A423" s="2" t="str">
        <x:v>TMF-415</x:v>
      </x:c>
      <x:c r="B423" s="8" t="str">
        <x:v>ฮาลาลเป็ดย่างฮ่องกง แม่สาย</x:v>
      </x:c>
      <x:c r="C423" s="8" t="str">
        <x:v>เชียงราย</x:v>
      </x:c>
      <x:c r="D423" s="8" t="str">
        <x:v>สำรองหลังปรับตามเส้นทาง</x:v>
      </x:c>
      <x:c r="E423" s="8" t="str">
        <x:v>หลักฐานไม่พอ รอยืนยันการเปิด</x:v>
      </x:c>
      <x:c r="F423" s="8" t="str">
        <x:v>ยังไม่ยืนยันการเปิดให้บริการปัจจุบัน</x:v>
      </x:c>
      <x:c r="G423" s="58" t="n">
        <x:v>1</x:v>
      </x:c>
      <x:c r="H423" s="52"/>
      <x:c r="I423" s="52"/>
      <x:c r="J423" s="52"/>
      <x:c r="K423" s="52"/>
      <x:c r="L423" s="52"/>
      <x:c r="M423" s="52"/>
      <x:c r="N423" s="8" t="str">
        <x:v>ยังไม่ยืนยัน</x:v>
      </x:c>
      <x:c r="O42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23" s="40" t="n">
        <x:v>46315</x:v>
      </x:c>
      <x:c r="Q423" s="59" t="str">
        <x:v>ยังไม่ตรวจ</x:v>
      </x:c>
      <x:c r="R423" s="59" t="str">
        <x:v>รอติดต่อ</x:v>
      </x:c>
    </x:row>
    <x:row r="424" ht="84" customHeight="1">
      <x:c r="A424" s="2" t="str">
        <x:v>TMF-416</x:v>
      </x:c>
      <x:c r="B424" s="8" t="str">
        <x:v>ฮาเลฟา ฮาลาล เชียงราย</x:v>
      </x:c>
      <x:c r="C424" s="8" t="str">
        <x:v>เชียงราย</x:v>
      </x:c>
      <x:c r="D424" s="8" t="str">
        <x:v>สำรองหลังปรับตามเส้นทาง</x:v>
      </x:c>
      <x:c r="E424" s="8" t="str">
        <x:v>หลักฐานไม่พอ รอยืนยันการเปิด</x:v>
      </x:c>
      <x:c r="F424" s="8" t="str">
        <x:v>ยังไม่ยืนยันการเปิดให้บริการปัจจุบัน</x:v>
      </x:c>
      <x:c r="G424" s="58" t="n">
        <x:v>1</x:v>
      </x:c>
      <x:c r="H424" s="52"/>
      <x:c r="I424" s="52"/>
      <x:c r="J424" s="52"/>
      <x:c r="K424" s="52"/>
      <x:c r="L424" s="52"/>
      <x:c r="M424" s="52"/>
      <x:c r="N424" s="8" t="str">
        <x:v>ยังไม่ยืนยัน</x:v>
      </x:c>
      <x:c r="O42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24" s="40" t="n">
        <x:v>46315</x:v>
      </x:c>
      <x:c r="Q424" s="59" t="str">
        <x:v>ยังไม่ตรวจ</x:v>
      </x:c>
      <x:c r="R424" s="59" t="str">
        <x:v>รอติดต่อ</x:v>
      </x:c>
    </x:row>
    <x:row r="425" ht="84" customHeight="1">
      <x:c r="A425" s="2" t="str">
        <x:v>TMF-417</x:v>
      </x:c>
      <x:c r="B425" s="8" t="str">
        <x:v>โรตีซัลมา</x:v>
      </x:c>
      <x:c r="C425" s="8" t="str">
        <x:v>เชียงราย</x:v>
      </x:c>
      <x:c r="D425" s="8" t="str">
        <x:v>อยู่ในชุด 600 ตามเส้นทาง</x:v>
      </x:c>
      <x:c r="E425" s="8" t="str">
        <x:v>พบชื่อสัมพันธ์หลายเว็บไซต์ รอยืนยันสาขา</x:v>
      </x:c>
      <x:c r="F425" s="8" t="str">
        <x:v>ยังไม่ยืนยันการเปิดให้บริการปัจจุบัน</x:v>
      </x:c>
      <x:c r="G425" s="58" t="n">
        <x:v>2</x:v>
      </x:c>
      <x:c r="H425" s="52" t="str"/>
      <x:c r="I425" s="52" t="str"/>
      <x:c r="J425" s="52" t="str"/>
      <x:c r="K425" s="52" t="str"/>
      <x:c r="L425" s="52" t="str">
        <x:v>https://makanhalalguide.com/shop/detail/6370</x:v>
      </x:c>
      <x:c r="M425" s="52" t="str">
        <x:v>https://halaman-kuning.cybo.com/TH/chiang-rai-chiang-rai/restoran-halal</x:v>
      </x:c>
      <x:c r="N425" s="8" t="str">
        <x:v>ยังไม่ยืนยัน</x:v>
      </x:c>
      <x:c r="O425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25" s="40" t="n">
        <x:v>46315</x:v>
      </x:c>
      <x:c r="Q425" s="59" t="str">
        <x:v>ยังไม่ตรวจ</x:v>
      </x:c>
      <x:c r="R425" s="59" t="str">
        <x:v>รอติดต่อ</x:v>
      </x:c>
    </x:row>
    <x:row r="426" ht="84" customHeight="1">
      <x:c r="A426" s="2" t="str">
        <x:v>TMF-418</x:v>
      </x:c>
      <x:c r="B426" s="8" t="str">
        <x:v>สิงห์ปาร์ค เชียงราย</x:v>
      </x:c>
      <x:c r="C426" s="8" t="str">
        <x:v>เชียงราย</x:v>
      </x:c>
      <x:c r="D426" s="8" t="str">
        <x:v>อยู่ในชุด 600 ตามเส้นทาง</x:v>
      </x:c>
      <x:c r="E426" s="8" t="str">
        <x:v>พบชื่อสัมพันธ์หลายเว็บไซต์ รอยืนยันสาขา</x:v>
      </x:c>
      <x:c r="F426" s="8" t="str">
        <x:v>ยังไม่ยืนยันการเปิดให้บริการปัจจุบัน</x:v>
      </x:c>
      <x:c r="G426" s="58" t="n">
        <x:v>16</x:v>
      </x:c>
      <x:c r="H426" s="52" t="str">
        <x:v>https://www.youtube.com/watch?v=Q6iR4QC9oTE</x:v>
      </x:c>
      <x:c r="I426" s="52" t="str"/>
      <x:c r="J426" s="52" t="str"/>
      <x:c r="K426" s="52" t="str"/>
      <x:c r="L426" s="52" t="str">
        <x:v>https://chiangrai.mots.go.th/news/1517</x:v>
      </x:c>
      <x:c r="M426" s="52" t="str">
        <x:v>https://thai.tourismthailand.org/Attraction/%E0%B8%AA%E0%B8%B4%E0%B8%87%E0%B8%AB%E0%B9%8C%E0%B8%9B%E0%B8%B2%E0%B8%A3%E0%B9%8C%E0%B8%84-%E0%B9%80%E0%B8%8A%E0%B8%B5%E0%B8%A2%E0%B8%87%E0%B8%A3%E0%B8%B2%E0%B8%A2</x:v>
      </x:c>
      <x:c r="N426" s="8" t="str">
        <x:v>ยังไม่ยืนยัน</x:v>
      </x:c>
      <x:c r="O426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26" s="40" t="n">
        <x:v>46316</x:v>
      </x:c>
      <x:c r="Q426" s="59" t="str">
        <x:v>ยังไม่ตรวจ</x:v>
      </x:c>
      <x:c r="R426" s="59" t="str">
        <x:v>รอติดต่อ</x:v>
      </x:c>
    </x:row>
    <x:row r="427" ht="84" customHeight="1">
      <x:c r="A427" s="2" t="str">
        <x:v>TMF-419</x:v>
      </x:c>
      <x:c r="B427" s="8" t="str">
        <x:v>พิพิธภัณฑ์บ้านดำ</x:v>
      </x:c>
      <x:c r="C427" s="8" t="str">
        <x:v>เชียงราย</x:v>
      </x:c>
      <x:c r="D427" s="8" t="str">
        <x:v>อยู่ในชุด 600 ตามเส้นทาง</x:v>
      </x:c>
      <x:c r="E427" s="8" t="str">
        <x:v>พบชื่อสัมพันธ์หลายเว็บไซต์ รอยืนยันสาขา</x:v>
      </x:c>
      <x:c r="F427" s="8" t="str">
        <x:v>ยังไม่ยืนยันการเปิดให้บริการปัจจุบัน</x:v>
      </x:c>
      <x:c r="G427" s="58" t="n">
        <x:v>8</x:v>
      </x:c>
      <x:c r="H427" s="52" t="str"/>
      <x:c r="I427" s="52" t="str"/>
      <x:c r="J427" s="52" t="str">
        <x:v>https://www.wongnai.com/reviews/e276bb3a9b6c4f8c9d45677e12500826</x:v>
      </x:c>
      <x:c r="K427" s="52" t="str">
        <x:v>https://www.wongnai.com/attractions/334613mo-%E0%B8%9E%E0%B8%B4%E0%B8%9E%E0%B8%B4%E0%B8%98%E0%B8%A0%E0%B8%B1%E0%B8%93%E0%B8%91%E0%B9%8C%E0%B8%9A%E0%B9%89%E0%B8%B2%E0%B8%99%E0%B8%94%E0%B8%B3/reviews</x:v>
      </x:c>
      <x:c r="L427" s="52" t="str">
        <x:v>https://www.tourismthailand.org/Destinations/Provinces/chiang-rai/102</x:v>
      </x:c>
      <x:c r="M427" s="52" t="str">
        <x:v>https://www.wongnai.com/reviews/e276bb3a9b6c4f8c9d45677e12500826</x:v>
      </x:c>
      <x:c r="N427" s="8" t="str">
        <x:v>ยังไม่ยืนยัน</x:v>
      </x:c>
      <x:c r="O427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27" s="40" t="n">
        <x:v>46315</x:v>
      </x:c>
      <x:c r="Q427" s="59" t="str">
        <x:v>ยังไม่ตรวจ</x:v>
      </x:c>
      <x:c r="R427" s="59" t="str">
        <x:v>รอติดต่อ</x:v>
      </x:c>
    </x:row>
    <x:row r="428" ht="84" customHeight="1">
      <x:c r="A428" s="2" t="str">
        <x:v>TMF-420</x:v>
      </x:c>
      <x:c r="B428" s="8" t="str">
        <x:v>Halal Street Food จิ้มจุ่ม&amp;ชากา</x:v>
      </x:c>
      <x:c r="C428" s="8" t="str">
        <x:v>พระนครศรีอยุธยา</x:v>
      </x:c>
      <x:c r="D428" s="8" t="str">
        <x:v>สำรองหลังปรับตามเส้นทาง</x:v>
      </x:c>
      <x:c r="E428" s="8" t="str">
        <x:v>หลักฐานไม่พอ รอยืนยันการเปิด</x:v>
      </x:c>
      <x:c r="F428" s="8" t="str">
        <x:v>ยังไม่ยืนยันการเปิดให้บริการปัจจุบัน</x:v>
      </x:c>
      <x:c r="G428" s="58" t="n">
        <x:v>1</x:v>
      </x:c>
      <x:c r="H428" s="52"/>
      <x:c r="I428" s="52"/>
      <x:c r="J428" s="52"/>
      <x:c r="K428" s="52"/>
      <x:c r="L428" s="52"/>
      <x:c r="M428" s="52"/>
      <x:c r="N428" s="8" t="str">
        <x:v>ยังไม่ยืนยัน</x:v>
      </x:c>
      <x:c r="O42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28" s="40" t="n">
        <x:v>46315</x:v>
      </x:c>
      <x:c r="Q428" s="59" t="str">
        <x:v>ยังไม่ตรวจ</x:v>
      </x:c>
      <x:c r="R428" s="59" t="str">
        <x:v>รอติดต่อ</x:v>
      </x:c>
    </x:row>
    <x:row r="429" ht="84" customHeight="1">
      <x:c r="A429" s="2" t="str">
        <x:v>TMF-421</x:v>
      </x:c>
      <x:c r="B429" s="8" t="str">
        <x:v>PIZZA HALAL by beedah</x:v>
      </x:c>
      <x:c r="C429" s="8" t="str">
        <x:v>พระนครศรีอยุธยา</x:v>
      </x:c>
      <x:c r="D429" s="8" t="str">
        <x:v>สำรองหลังปรับตามเส้นทาง</x:v>
      </x:c>
      <x:c r="E429" s="8" t="str">
        <x:v>หลักฐานไม่พอ รอยืนยันการเปิด</x:v>
      </x:c>
      <x:c r="F429" s="8" t="str">
        <x:v>ยังไม่ยืนยันการเปิดให้บริการปัจจุบัน</x:v>
      </x:c>
      <x:c r="G429" s="58" t="n">
        <x:v>1</x:v>
      </x:c>
      <x:c r="H429" s="52"/>
      <x:c r="I429" s="52"/>
      <x:c r="J429" s="52"/>
      <x:c r="K429" s="52"/>
      <x:c r="L429" s="52"/>
      <x:c r="M429" s="52"/>
      <x:c r="N429" s="8" t="str">
        <x:v>ยังไม่ยืนยัน</x:v>
      </x:c>
      <x:c r="O42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29" s="40" t="n">
        <x:v>46315</x:v>
      </x:c>
      <x:c r="Q429" s="59" t="str">
        <x:v>ยังไม่ตรวจ</x:v>
      </x:c>
      <x:c r="R429" s="59" t="str">
        <x:v>รอติดต่อ</x:v>
      </x:c>
    </x:row>
    <x:row r="430" ht="84" customHeight="1">
      <x:c r="A430" s="2" t="str">
        <x:v>TMF-422</x:v>
      </x:c>
      <x:c r="B430" s="8" t="str">
        <x:v>กะเตี๋ยวยา</x:v>
      </x:c>
      <x:c r="C430" s="8" t="str">
        <x:v>พระนครศรีอยุธยา</x:v>
      </x:c>
      <x:c r="D430" s="8" t="str">
        <x:v>สำรองหลังปรับตามเส้นทาง</x:v>
      </x:c>
      <x:c r="E430" s="8" t="str">
        <x:v>หลักฐานไม่พอ รอยืนยันการเปิด</x:v>
      </x:c>
      <x:c r="F430" s="8" t="str">
        <x:v>ยังไม่ยืนยันการเปิดให้บริการปัจจุบัน</x:v>
      </x:c>
      <x:c r="G430" s="58" t="n">
        <x:v>1</x:v>
      </x:c>
      <x:c r="H430" s="52"/>
      <x:c r="I430" s="52"/>
      <x:c r="J430" s="52"/>
      <x:c r="K430" s="52"/>
      <x:c r="L430" s="52"/>
      <x:c r="M430" s="52"/>
      <x:c r="N430" s="8" t="str">
        <x:v>ยังไม่ยืนยัน</x:v>
      </x:c>
      <x:c r="O43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0" s="40" t="n">
        <x:v>46315</x:v>
      </x:c>
      <x:c r="Q430" s="59" t="str">
        <x:v>ยังไม่ตรวจ</x:v>
      </x:c>
      <x:c r="R430" s="59" t="str">
        <x:v>รอติดต่อ</x:v>
      </x:c>
    </x:row>
    <x:row r="431" ht="84" customHeight="1">
      <x:c r="A431" s="2" t="str">
        <x:v>TMF-423</x:v>
      </x:c>
      <x:c r="B431" s="8" t="str">
        <x:v>ก๋วยเตี๋ยวเนื้อเปื่อย ฮาลาล ตลาดรุ่งเจริญ</x:v>
      </x:c>
      <x:c r="C431" s="8" t="str">
        <x:v>พระนครศรีอยุธยา</x:v>
      </x:c>
      <x:c r="D431" s="8" t="str">
        <x:v>อยู่ในชุด 600 ตามเส้นทาง</x:v>
      </x:c>
      <x:c r="E431" s="8" t="str">
        <x:v>พบชื่อสัมพันธ์หลายเว็บไซต์ รอยืนยันสาขา</x:v>
      </x:c>
      <x:c r="F431" s="8" t="str">
        <x:v>ยังไม่ยืนยันการเปิดให้บริการปัจจุบัน</x:v>
      </x:c>
      <x:c r="G431" s="58" t="n">
        <x:v>2</x:v>
      </x:c>
      <x:c r="H431" s="52" t="str"/>
      <x:c r="I431" s="52" t="str"/>
      <x:c r="J431" s="52" t="str">
        <x:v>https://www.wongnai.com/restaurants/1752722vi-%E0%B9%80%E0%B8%99%E0%B8%B7%E0%B9%89%E0%B8%AD%E0%B9%80%E0%B8%9B%E0%B8%B7%E0%B9%88%E0%B8%B4%E0%B8%AD%E0%B8%A2%E0%B8%AE%E0%B8%B2%E0%B8%A5%E0%B8%B2%E0%B8%A5-%E0%B8%AD%E0%B8%B2%E0%B8%AB%E0%B8%B2%E0%B8%A3%E0%B8%AE%E0%B8%B2%E0%B8%A5%E0%B8%B2%E0%B8%A5</x:v>
      </x:c>
      <x:c r="K431" s="52" t="str"/>
      <x:c r="L431" s="52" t="str">
        <x:v>https://makanhalalguide.com/shop/detail/6369</x:v>
      </x:c>
      <x:c r="M431" s="52" t="str">
        <x:v>https://www.wongnai.com/restaurants/1752722vi-%E0%B9%80%E0%B8%99%E0%B8%B7%E0%B9%89%E0%B8%AD%E0%B9%80%E0%B8%9B%E0%B8%B7%E0%B9%88%E0%B8%B4%E0%B8%AD%E0%B8%A2%E0%B8%AE%E0%B8%B2%E0%B8%A5%E0%B8%B2%E0%B8%A5-%E0%B8%AD%E0%B8%B2%E0%B8%AB%E0%B8%B2%E0%B8%A3%E0%B8%AE%E0%B8%B2%E0%B8%A5%E0%B8%B2%E0%B8%A5</x:v>
      </x:c>
      <x:c r="N431" s="8" t="str">
        <x:v>ยังไม่ยืนยัน</x:v>
      </x:c>
      <x:c r="O431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31" s="40" t="n">
        <x:v>46315</x:v>
      </x:c>
      <x:c r="Q431" s="59" t="str">
        <x:v>ยังไม่ตรวจ</x:v>
      </x:c>
      <x:c r="R431" s="59" t="str">
        <x:v>รอติดต่อ</x:v>
      </x:c>
    </x:row>
    <x:row r="432" ht="84" customHeight="1">
      <x:c r="A432" s="2" t="str">
        <x:v>TMF-424</x:v>
      </x:c>
      <x:c r="B432" s="8" t="str">
        <x:v>ข้าวต้มหัวโค้ง Ros Malee</x:v>
      </x:c>
      <x:c r="C432" s="8" t="str">
        <x:v>พระนครศรีอยุธยา</x:v>
      </x:c>
      <x:c r="D432" s="8" t="str">
        <x:v>สำรองหลังปรับตามเส้นทาง</x:v>
      </x:c>
      <x:c r="E432" s="8" t="str">
        <x:v>หลักฐานไม่พอ รอยืนยันการเปิด</x:v>
      </x:c>
      <x:c r="F432" s="8" t="str">
        <x:v>ยังไม่ยืนยันการเปิดให้บริการปัจจุบัน</x:v>
      </x:c>
      <x:c r="G432" s="58" t="n">
        <x:v>1</x:v>
      </x:c>
      <x:c r="H432" s="52"/>
      <x:c r="I432" s="52"/>
      <x:c r="J432" s="52"/>
      <x:c r="K432" s="52"/>
      <x:c r="L432" s="52"/>
      <x:c r="M432" s="52"/>
      <x:c r="N432" s="8" t="str">
        <x:v>ยังไม่ยืนยัน</x:v>
      </x:c>
      <x:c r="O43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2" s="40" t="n">
        <x:v>46315</x:v>
      </x:c>
      <x:c r="Q432" s="59" t="str">
        <x:v>ยังไม่ตรวจ</x:v>
      </x:c>
      <x:c r="R432" s="59" t="str">
        <x:v>รอติดต่อ</x:v>
      </x:c>
    </x:row>
    <x:row r="433" ht="84" customHeight="1">
      <x:c r="A433" s="2" t="str">
        <x:v>TMF-425</x:v>
      </x:c>
      <x:c r="B433" s="8" t="str">
        <x:v>ข้าวมันไก่  ข้าวยำไก่แซ่บ ข้าวหมกไก่</x:v>
      </x:c>
      <x:c r="C433" s="8" t="str">
        <x:v>พระนครศรีอยุธยา</x:v>
      </x:c>
      <x:c r="D433" s="8" t="str">
        <x:v>สำรองหลังปรับตามเส้นทาง</x:v>
      </x:c>
      <x:c r="E433" s="8" t="str">
        <x:v>หลักฐานไม่พอ รอยืนยันการเปิด</x:v>
      </x:c>
      <x:c r="F433" s="8" t="str">
        <x:v>ยังไม่ยืนยันการเปิดให้บริการปัจจุบัน</x:v>
      </x:c>
      <x:c r="G433" s="58" t="n">
        <x:v>1</x:v>
      </x:c>
      <x:c r="H433" s="52"/>
      <x:c r="I433" s="52"/>
      <x:c r="J433" s="52"/>
      <x:c r="K433" s="52"/>
      <x:c r="L433" s="52"/>
      <x:c r="M433" s="52"/>
      <x:c r="N433" s="8" t="str">
        <x:v>ยังไม่ยืนยัน</x:v>
      </x:c>
      <x:c r="O43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3" s="40" t="n">
        <x:v>46315</x:v>
      </x:c>
      <x:c r="Q433" s="59" t="str">
        <x:v>ยังไม่ตรวจ</x:v>
      </x:c>
      <x:c r="R433" s="59" t="str">
        <x:v>รอติดต่อ</x:v>
      </x:c>
    </x:row>
    <x:row r="434" ht="84" customHeight="1">
      <x:c r="A434" s="2" t="str">
        <x:v>TMF-426</x:v>
      </x:c>
      <x:c r="B434" s="8" t="str">
        <x:v>ครัวมุสลิม สาขา2 โรจนะ</x:v>
      </x:c>
      <x:c r="C434" s="8" t="str">
        <x:v>พระนครศรีอยุธยา</x:v>
      </x:c>
      <x:c r="D434" s="8" t="str">
        <x:v>อยู่ในชุด 600 ตามเส้นทาง</x:v>
      </x:c>
      <x:c r="E434" s="8" t="str">
        <x:v>พบชื่อสัมพันธ์หลายเว็บไซต์ รอยืนยันสาขา</x:v>
      </x:c>
      <x:c r="F434" s="8" t="str">
        <x:v>ยังไม่ยืนยันการเปิดให้บริการปัจจุบัน</x:v>
      </x:c>
      <x:c r="G434" s="58" t="n">
        <x:v>2</x:v>
      </x:c>
      <x:c r="H434" s="52" t="str"/>
      <x:c r="I434" s="52" t="str"/>
      <x:c r="J434" s="52" t="str"/>
      <x:c r="K434" s="52" t="str"/>
      <x:c r="L434" s="52" t="str">
        <x:v>https://makanhalalguide.com/shop/detail/6253</x:v>
      </x:c>
      <x:c r="M434" s="52" t="str">
        <x:v>https://go.ayutthaya.go.th/%E0%B9%81%E0%B8%99%E0%B8%B0%E0%B8%99%E0%B8%B3%E0%B8%A3%E0%B9%89%E0%B8%B2%E0%B8%99%E0%B8%AD%E0%B8%B2%E0%B8%AB%E0%B8%B2%E0%B8%A3/%E0%B8%84%E0%B8%A3%E0%B8%B1%E0%B8%A7%E0%B8%A1%E0%B8%B8%E0%B8%AA%E0%B8%A5%E0%B8%B4%E0%B8%A1-%E0%B8%AA%E0%B8%B2%E0%B8%82%E0%B8%B2-2-%E0%B9%82%E0%B8%A3%E0%B8%88%E0%B8%99%E0%B8%B0-%E0%B9%80%E0%B8%99/</x:v>
      </x:c>
      <x:c r="N434" s="8" t="str">
        <x:v>ยังไม่ยืนยัน</x:v>
      </x:c>
      <x:c r="O434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34" s="40" t="n">
        <x:v>46315</x:v>
      </x:c>
      <x:c r="Q434" s="59" t="str">
        <x:v>ยังไม่ตรวจ</x:v>
      </x:c>
      <x:c r="R434" s="59" t="str">
        <x:v>รอติดต่อ</x:v>
      </x:c>
    </x:row>
    <x:row r="435" ht="84" customHeight="1">
      <x:c r="A435" s="2" t="str">
        <x:v>TMF-427</x:v>
      </x:c>
      <x:c r="B435" s="8" t="str">
        <x:v>จูเด๊ะ</x:v>
      </x:c>
      <x:c r="C435" s="8" t="str">
        <x:v>พระนครศรีอยุธยา</x:v>
      </x:c>
      <x:c r="D435" s="8" t="str">
        <x:v>สำรองหลังปรับตามเส้นทาง</x:v>
      </x:c>
      <x:c r="E435" s="8" t="str">
        <x:v>หลักฐานไม่พอ รอยืนยันการเปิด</x:v>
      </x:c>
      <x:c r="F435" s="8" t="str">
        <x:v>ยังไม่ยืนยันการเปิดให้บริการปัจจุบัน</x:v>
      </x:c>
      <x:c r="G435" s="58" t="n">
        <x:v>1</x:v>
      </x:c>
      <x:c r="H435" s="52"/>
      <x:c r="I435" s="52"/>
      <x:c r="J435" s="52"/>
      <x:c r="K435" s="52"/>
      <x:c r="L435" s="52"/>
      <x:c r="M435" s="52"/>
      <x:c r="N435" s="8" t="str">
        <x:v>ยังไม่ยืนยัน</x:v>
      </x:c>
      <x:c r="O43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5" s="40" t="n">
        <x:v>46315</x:v>
      </x:c>
      <x:c r="Q435" s="59" t="str">
        <x:v>ยังไม่ตรวจ</x:v>
      </x:c>
      <x:c r="R435" s="59" t="str">
        <x:v>รอติดต่อ</x:v>
      </x:c>
    </x:row>
    <x:row r="436" ht="84" customHeight="1">
      <x:c r="A436" s="2" t="str">
        <x:v>TMF-428</x:v>
      </x:c>
      <x:c r="B436" s="8" t="str">
        <x:v>ซามีมี่ฮาลาล  ซาลาเปา อาหารตามสั่ง</x:v>
      </x:c>
      <x:c r="C436" s="8" t="str">
        <x:v>พระนครศรีอยุธยา</x:v>
      </x:c>
      <x:c r="D436" s="8" t="str">
        <x:v>สำรองหลังปรับตามเส้นทาง</x:v>
      </x:c>
      <x:c r="E436" s="8" t="str">
        <x:v>หลักฐานไม่พอ รอยืนยันการเปิด</x:v>
      </x:c>
      <x:c r="F436" s="8" t="str">
        <x:v>ยังไม่ยืนยันการเปิดให้บริการปัจจุบัน</x:v>
      </x:c>
      <x:c r="G436" s="58" t="n">
        <x:v>1</x:v>
      </x:c>
      <x:c r="H436" s="52"/>
      <x:c r="I436" s="52"/>
      <x:c r="J436" s="52"/>
      <x:c r="K436" s="52"/>
      <x:c r="L436" s="52"/>
      <x:c r="M436" s="52"/>
      <x:c r="N436" s="8" t="str">
        <x:v>ยังไม่ยืนยัน</x:v>
      </x:c>
      <x:c r="O43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6" s="40" t="n">
        <x:v>46315</x:v>
      </x:c>
      <x:c r="Q436" s="59" t="str">
        <x:v>ยังไม่ตรวจ</x:v>
      </x:c>
      <x:c r="R436" s="59" t="str">
        <x:v>รอติดต่อ</x:v>
      </x:c>
    </x:row>
    <x:row r="437" ht="84" customHeight="1">
      <x:c r="A437" s="2" t="str">
        <x:v>TMF-429</x:v>
      </x:c>
      <x:c r="B437" s="8" t="str">
        <x:v>ตอฮา 25  อาหารตามสั่ง / หอยกระทะร้อน</x:v>
      </x:c>
      <x:c r="C437" s="8" t="str">
        <x:v>พระนครศรีอยุธยา</x:v>
      </x:c>
      <x:c r="D437" s="8" t="str">
        <x:v>สำรองหลังปรับตามเส้นทาง</x:v>
      </x:c>
      <x:c r="E437" s="8" t="str">
        <x:v>หลักฐานไม่พอ รอยืนยันการเปิด</x:v>
      </x:c>
      <x:c r="F437" s="8" t="str">
        <x:v>ยังไม่ยืนยันการเปิดให้บริการปัจจุบัน</x:v>
      </x:c>
      <x:c r="G437" s="58" t="n">
        <x:v>1</x:v>
      </x:c>
      <x:c r="H437" s="52"/>
      <x:c r="I437" s="52"/>
      <x:c r="J437" s="52"/>
      <x:c r="K437" s="52"/>
      <x:c r="L437" s="52"/>
      <x:c r="M437" s="52"/>
      <x:c r="N437" s="8" t="str">
        <x:v>ยังไม่ยืนยัน</x:v>
      </x:c>
      <x:c r="O43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7" s="40" t="n">
        <x:v>46315</x:v>
      </x:c>
      <x:c r="Q437" s="59" t="str">
        <x:v>ยังไม่ตรวจ</x:v>
      </x:c>
      <x:c r="R437" s="59" t="str">
        <x:v>รอติดต่อ</x:v>
      </x:c>
    </x:row>
    <x:row r="438" ht="84" customHeight="1">
      <x:c r="A438" s="2" t="str">
        <x:v>TMF-430</x:v>
      </x:c>
      <x:c r="B438" s="8" t="str">
        <x:v>บังบูบะหมี่เกี๊ยว ฮาลาล</x:v>
      </x:c>
      <x:c r="C438" s="8" t="str">
        <x:v>พระนครศรีอยุธยา</x:v>
      </x:c>
      <x:c r="D438" s="8" t="str">
        <x:v>สำรองหลังปรับตามเส้นทาง</x:v>
      </x:c>
      <x:c r="E438" s="8" t="str">
        <x:v>หลักฐานไม่พอ รอยืนยันการเปิด</x:v>
      </x:c>
      <x:c r="F438" s="8" t="str">
        <x:v>ยังไม่ยืนยันการเปิดให้บริการปัจจุบัน</x:v>
      </x:c>
      <x:c r="G438" s="58" t="n">
        <x:v>1</x:v>
      </x:c>
      <x:c r="H438" s="52"/>
      <x:c r="I438" s="52"/>
      <x:c r="J438" s="52"/>
      <x:c r="K438" s="52"/>
      <x:c r="L438" s="52"/>
      <x:c r="M438" s="52"/>
      <x:c r="N438" s="8" t="str">
        <x:v>ยังไม่ยืนยัน</x:v>
      </x:c>
      <x:c r="O43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38" s="40" t="n">
        <x:v>46315</x:v>
      </x:c>
      <x:c r="Q438" s="59" t="str">
        <x:v>ยังไม่ตรวจ</x:v>
      </x:c>
      <x:c r="R438" s="59" t="str">
        <x:v>รอติดต่อ</x:v>
      </x:c>
    </x:row>
    <x:row r="439" ht="84" customHeight="1">
      <x:c r="A439" s="2" t="str">
        <x:v>TMF-431</x:v>
      </x:c>
      <x:c r="B439" s="8" t="str">
        <x:v>บังลิก - ยีเลาะห์ เจ้าเก่า - ร้านอาหารมุสลิม อยุธยา</x:v>
      </x:c>
      <x:c r="C439" s="8" t="str">
        <x:v>พระนครศรีอยุธยา</x:v>
      </x:c>
      <x:c r="D439" s="8" t="str">
        <x:v>สำรองหลังปรับตามเส้นทาง</x:v>
      </x:c>
      <x:c r="E439" s="8" t="str">
        <x:v>พบหลายแหล่งสัมพันธ์กับชื่อ รอยืนยันการเปิด</x:v>
      </x:c>
      <x:c r="F439" s="8" t="str">
        <x:v>ยังไม่ยืนยันการเปิดให้บริการปัจจุบัน</x:v>
      </x:c>
      <x:c r="G439" s="58" t="n">
        <x:v>3</x:v>
      </x:c>
      <x:c r="H439" s="52"/>
      <x:c r="I439" s="52"/>
      <x:c r="J439" s="52" t="str">
        <x:v>HYPERLINK is not implemented. linkLocation=https://www.wongnai.com/restaurants/525545YJ-%E0%B8%A3%E0%B9%89%E0%B8%B2%E0%B8%99%E0%B8%9A%E0%B8%B1%E0%B8%87%E0%B8%A5%E0%B8%B4%E0%B8%81-%E0%B8%A2%E0%B8%B5%E0%B9%80%E0%B8%A5%E0%B8%B2%E0%B8%B0%E0%B8%AB%E0%B9%8C-%E0%B9%80%E0%B8%88%E0%B9%89%E0%B8%B2%E0%B9%80%E0%B8%81%E0%B9%88%E0%B8%B2-%E0%B8%AD%E0%B8%B2%E0%B8%AB%E0%B8%B2%E0%B8%A3%E0%B8%A1%E0%B8%B8%E0%B8%AA%E0%B8%A5%E0%B8%B4%E0%B8%A1-%E0%B8%AD%E0%B8%A2%E0%B8%B8%E0%B8%98%E0%B8%A2%E0%B8%B2/photos, friendlyName=เปิดหน้ารีวิว 1</x:v>
      </x:c>
      <x:c r="K439" s="52"/>
      <x:c r="L439" s="52" t="str">
        <x:v>HYPERLINK is not implemented. linkLocation=https://www.tripgether.com/%E0%B8%AD%E0%B8%B1%E0%B8%9B%E0%B9%80%E0%B8%94%E0%B8%95%E0%B9%80%E0%B8%A3%E0%B8%B7%E0%B9%88%E0%B8%AD%E0%B8%87%E0%B9%80%E0%B8%97%E0%B8%B5%E0%B9%88%E0%B8%A2%E0%B8%A7/5-%E0%B8%A3%E0%B9%89%E0%B8%B2%E0%B8%99%E0%B8%A5%E0%B8%B1%E0%B8%9A%E0%B8%AD%E0%B8%A2%E0%B8%B8%E0%B8%98%E0%B8%A2%E0%B8%B2-%E0%B9%80%E0%B8%A1%E0%B8%99%E0%B8%B9%E0%B9%80%E0%B8%99%E0%B8%B7%E0%B9%89%E0%B8%AD%E0%B9%81%E0%B8%9E%E0%B8%B0%E0%B8%81%E0%B8%A3%E0%B8%B8%E0%B8%87%E0%B8%A8%E0%B8%A3%E0%B8%B5/, friendlyName=เปิดเว็บเพิ่ม 1</x:v>
      </x:c>
      <x:c r="M439" s="52"/>
      <x:c r="N439" s="8" t="str">
        <x:v>ยังไม่ยืนยัน</x:v>
      </x:c>
      <x:c r="O43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39" s="40" t="n">
        <x:v>46315</x:v>
      </x:c>
      <x:c r="Q439" s="59" t="str">
        <x:v>ยังไม่ตรวจ</x:v>
      </x:c>
      <x:c r="R439" s="59" t="str">
        <x:v>รอติดต่อ</x:v>
      </x:c>
    </x:row>
    <x:row r="440" ht="84" customHeight="1">
      <x:c r="A440" s="2" t="str">
        <x:v>TMF-432</x:v>
      </x:c>
      <x:c r="B440" s="8" t="str">
        <x:v>บ้านไวยรูป ขนมอบ</x:v>
      </x:c>
      <x:c r="C440" s="8" t="str">
        <x:v>พระนครศรีอยุธยา</x:v>
      </x:c>
      <x:c r="D440" s="8" t="str">
        <x:v>สำรองหลังปรับตามเส้นทาง</x:v>
      </x:c>
      <x:c r="E440" s="8" t="str">
        <x:v>พบหลายแหล่งสัมพันธ์กับชื่อ รอยืนยันการเปิด</x:v>
      </x:c>
      <x:c r="F440" s="8" t="str">
        <x:v>ยังไม่ยืนยันการเปิดให้บริการปัจจุบัน</x:v>
      </x:c>
      <x:c r="G440" s="58" t="n">
        <x:v>3</x:v>
      </x:c>
      <x:c r="H440" s="52"/>
      <x:c r="I440" s="52"/>
      <x:c r="J440" s="52" t="str">
        <x:v>HYPERLINK is not implemented. linkLocation=https://www.wongnai.com/restaurants/752009HH-%E0%B8%9A%E0%B9%89%E0%B8%B2%E0%B8%99%E0%B9%84%E0%B8%A7%E0%B8%A2%E0%B8%A3%E0%B8%B9%E0%B8%9B%E0%B8%82%E0%B8%99%E0%B8%A1%E0%B8%AD%E0%B8%9A, friendlyName=เปิดหน้ารีวิว 1</x:v>
      </x:c>
      <x:c r="K440" s="52"/>
      <x:c r="L440" s="52" t="str">
        <x:v>HYPERLINK is not implemented. linkLocation=https://happynew.day/vendor/ban-waiirup-khonmop, friendlyName=เปิดเว็บเพิ่ม 1</x:v>
      </x:c>
      <x:c r="M440" s="52"/>
      <x:c r="N440" s="8" t="str">
        <x:v>ยังไม่ยืนยัน</x:v>
      </x:c>
      <x:c r="O44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40" s="40" t="n">
        <x:v>46315</x:v>
      </x:c>
      <x:c r="Q440" s="59" t="str">
        <x:v>ยังไม่ตรวจ</x:v>
      </x:c>
      <x:c r="R440" s="59" t="str">
        <x:v>รอติดต่อ</x:v>
      </x:c>
    </x:row>
    <x:row r="441" ht="84" customHeight="1">
      <x:c r="A441" s="2" t="str">
        <x:v>TMF-433</x:v>
      </x:c>
      <x:c r="B441" s="8" t="str">
        <x:v>ฟาติเมาะฮ์  ก๋วยเตี๋ยว ลูกชิ้นทอด</x:v>
      </x:c>
      <x:c r="C441" s="8" t="str">
        <x:v>พระนครศรีอยุธยา</x:v>
      </x:c>
      <x:c r="D441" s="8" t="str">
        <x:v>สำรองหลังปรับตามเส้นทาง</x:v>
      </x:c>
      <x:c r="E441" s="8" t="str">
        <x:v>หลักฐานไม่พอ รอยืนยันการเปิด</x:v>
      </x:c>
      <x:c r="F441" s="8" t="str">
        <x:v>ยังไม่ยืนยันการเปิดให้บริการปัจจุบัน</x:v>
      </x:c>
      <x:c r="G441" s="58" t="n">
        <x:v>1</x:v>
      </x:c>
      <x:c r="H441" s="52"/>
      <x:c r="I441" s="52"/>
      <x:c r="J441" s="52"/>
      <x:c r="K441" s="52"/>
      <x:c r="L441" s="52"/>
      <x:c r="M441" s="52"/>
      <x:c r="N441" s="8" t="str">
        <x:v>ยังไม่ยืนยัน</x:v>
      </x:c>
      <x:c r="O44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1" s="40" t="n">
        <x:v>46315</x:v>
      </x:c>
      <x:c r="Q441" s="59" t="str">
        <x:v>ยังไม่ตรวจ</x:v>
      </x:c>
      <x:c r="R441" s="59" t="str">
        <x:v>รอติดต่อ</x:v>
      </x:c>
    </x:row>
    <x:row r="442" ht="84" customHeight="1">
      <x:c r="A442" s="2" t="str">
        <x:v>TMF-434</x:v>
      </x:c>
      <x:c r="B442" s="8" t="str">
        <x:v>ส้มตำนิดา (อิสลาม-ฮาลาล)</x:v>
      </x:c>
      <x:c r="C442" s="8" t="str">
        <x:v>พระนครศรีอยุธยา</x:v>
      </x:c>
      <x:c r="D442" s="8" t="str">
        <x:v>สำรองหลังปรับตามเส้นทาง</x:v>
      </x:c>
      <x:c r="E442" s="8" t="str">
        <x:v>หลักฐานไม่พอ รอยืนยันการเปิด</x:v>
      </x:c>
      <x:c r="F442" s="8" t="str">
        <x:v>ยังไม่ยืนยันการเปิดให้บริการปัจจุบัน</x:v>
      </x:c>
      <x:c r="G442" s="58" t="n">
        <x:v>1</x:v>
      </x:c>
      <x:c r="H442" s="52"/>
      <x:c r="I442" s="52"/>
      <x:c r="J442" s="52"/>
      <x:c r="K442" s="52"/>
      <x:c r="L442" s="52"/>
      <x:c r="M442" s="52"/>
      <x:c r="N442" s="8" t="str">
        <x:v>ยังไม่ยืนยัน</x:v>
      </x:c>
      <x:c r="O44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2" s="40" t="n">
        <x:v>46315</x:v>
      </x:c>
      <x:c r="Q442" s="59" t="str">
        <x:v>ยังไม่ตรวจ</x:v>
      </x:c>
      <x:c r="R442" s="59" t="str">
        <x:v>รอติดต่อ</x:v>
      </x:c>
    </x:row>
    <x:row r="443" ht="84" customHeight="1">
      <x:c r="A443" s="2" t="str">
        <x:v>TMF-435</x:v>
      </x:c>
      <x:c r="B443" s="8" t="str">
        <x:v>อาบีดีน อาหารตามสั่ง</x:v>
      </x:c>
      <x:c r="C443" s="8" t="str">
        <x:v>พระนครศรีอยุธยา</x:v>
      </x:c>
      <x:c r="D443" s="8" t="str">
        <x:v>สำรองหลังปรับตามเส้นทาง</x:v>
      </x:c>
      <x:c r="E443" s="8" t="str">
        <x:v>หลักฐานไม่พอ รอยืนยันการเปิด</x:v>
      </x:c>
      <x:c r="F443" s="8" t="str">
        <x:v>ยังไม่ยืนยันการเปิดให้บริการปัจจุบัน</x:v>
      </x:c>
      <x:c r="G443" s="58" t="n">
        <x:v>1</x:v>
      </x:c>
      <x:c r="H443" s="52"/>
      <x:c r="I443" s="52"/>
      <x:c r="J443" s="52"/>
      <x:c r="K443" s="52"/>
      <x:c r="L443" s="52"/>
      <x:c r="M443" s="52"/>
      <x:c r="N443" s="8" t="str">
        <x:v>ยังไม่ยืนยัน</x:v>
      </x:c>
      <x:c r="O44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3" s="40" t="n">
        <x:v>46315</x:v>
      </x:c>
      <x:c r="Q443" s="59" t="str">
        <x:v>ยังไม่ตรวจ</x:v>
      </x:c>
      <x:c r="R443" s="59" t="str">
        <x:v>รอติดต่อ</x:v>
      </x:c>
    </x:row>
    <x:row r="444" ht="84" customHeight="1">
      <x:c r="A444" s="2" t="str">
        <x:v>TMF-436</x:v>
      </x:c>
      <x:c r="B444" s="8" t="str">
        <x:v>อามีนะ ข้าวเหนียวมะม่วง</x:v>
      </x:c>
      <x:c r="C444" s="8" t="str">
        <x:v>พระนครศรีอยุธยา</x:v>
      </x:c>
      <x:c r="D444" s="8" t="str">
        <x:v>สำรองหลังปรับตามเส้นทาง</x:v>
      </x:c>
      <x:c r="E444" s="8" t="str">
        <x:v>หลักฐานไม่พอ รอยืนยันการเปิด</x:v>
      </x:c>
      <x:c r="F444" s="8" t="str">
        <x:v>ยังไม่ยืนยันการเปิดให้บริการปัจจุบัน</x:v>
      </x:c>
      <x:c r="G444" s="58" t="n">
        <x:v>1</x:v>
      </x:c>
      <x:c r="H444" s="52"/>
      <x:c r="I444" s="52"/>
      <x:c r="J444" s="52"/>
      <x:c r="K444" s="52"/>
      <x:c r="L444" s="52"/>
      <x:c r="M444" s="52"/>
      <x:c r="N444" s="8" t="str">
        <x:v>ยังไม่ยืนยัน</x:v>
      </x:c>
      <x:c r="O44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4" s="40" t="n">
        <x:v>46315</x:v>
      </x:c>
      <x:c r="Q444" s="59" t="str">
        <x:v>ยังไม่ตรวจ</x:v>
      </x:c>
      <x:c r="R444" s="59" t="str">
        <x:v>รอติดต่อ</x:v>
      </x:c>
    </x:row>
    <x:row r="445" ht="84" customHeight="1">
      <x:c r="A445" s="2" t="str">
        <x:v>TMF-437</x:v>
      </x:c>
      <x:c r="B445" s="8" t="str">
        <x:v>อามีนะห์ก๋วยเตี๋ยวเนื้อริมน้ำ</x:v>
      </x:c>
      <x:c r="C445" s="8" t="str">
        <x:v>พระนครศรีอยุธยา</x:v>
      </x:c>
      <x:c r="D445" s="8" t="str">
        <x:v>สำรองหลังปรับตามเส้นทาง</x:v>
      </x:c>
      <x:c r="E445" s="8" t="str">
        <x:v>หลักฐานไม่พอ รอยืนยันการเปิด</x:v>
      </x:c>
      <x:c r="F445" s="8" t="str">
        <x:v>ยังไม่ยืนยันการเปิดให้บริการปัจจุบัน</x:v>
      </x:c>
      <x:c r="G445" s="58" t="n">
        <x:v>1</x:v>
      </x:c>
      <x:c r="H445" s="52"/>
      <x:c r="I445" s="52"/>
      <x:c r="J445" s="52"/>
      <x:c r="K445" s="52"/>
      <x:c r="L445" s="52"/>
      <x:c r="M445" s="52"/>
      <x:c r="N445" s="8" t="str">
        <x:v>ยังไม่ยืนยัน</x:v>
      </x:c>
      <x:c r="O44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5" s="40" t="n">
        <x:v>46315</x:v>
      </x:c>
      <x:c r="Q445" s="59" t="str">
        <x:v>ยังไม่ตรวจ</x:v>
      </x:c>
      <x:c r="R445" s="59" t="str">
        <x:v>รอติดต่อ</x:v>
      </x:c>
    </x:row>
    <x:row r="446" ht="84" customHeight="1">
      <x:c r="A446" s="2" t="str">
        <x:v>TMF-438</x:v>
      </x:c>
      <x:c r="B446" s="8" t="str">
        <x:v>โจ๊กริมน้ำเจ้าพระยา</x:v>
      </x:c>
      <x:c r="C446" s="8" t="str">
        <x:v>พระนครศรีอยุธยา</x:v>
      </x:c>
      <x:c r="D446" s="8" t="str">
        <x:v>สำรองหลังปรับตามเส้นทาง</x:v>
      </x:c>
      <x:c r="E446" s="8" t="str">
        <x:v>หลักฐานไม่พอ รอยืนยันการเปิด</x:v>
      </x:c>
      <x:c r="F446" s="8" t="str">
        <x:v>ยังไม่ยืนยันการเปิดให้บริการปัจจุบัน</x:v>
      </x:c>
      <x:c r="G446" s="58" t="n">
        <x:v>1</x:v>
      </x:c>
      <x:c r="H446" s="52"/>
      <x:c r="I446" s="52"/>
      <x:c r="J446" s="52"/>
      <x:c r="K446" s="52"/>
      <x:c r="L446" s="52"/>
      <x:c r="M446" s="52"/>
      <x:c r="N446" s="8" t="str">
        <x:v>ยังไม่ยืนยัน</x:v>
      </x:c>
      <x:c r="O44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6" s="40" t="n">
        <x:v>46315</x:v>
      </x:c>
      <x:c r="Q446" s="59" t="str">
        <x:v>ยังไม่ตรวจ</x:v>
      </x:c>
      <x:c r="R446" s="59" t="str">
        <x:v>รอติดต่อ</x:v>
      </x:c>
    </x:row>
    <x:row r="447" ht="84" customHeight="1">
      <x:c r="A447" s="2" t="str">
        <x:v>TMF-439</x:v>
      </x:c>
      <x:c r="B447" s="8" t="str">
        <x:v>ไมนูเนาห์ ก๋วยเตี๋ยว อาหารตามสั่ง</x:v>
      </x:c>
      <x:c r="C447" s="8" t="str">
        <x:v>พระนครศรีอยุธยา</x:v>
      </x:c>
      <x:c r="D447" s="8" t="str">
        <x:v>สำรองหลังปรับตามเส้นทาง</x:v>
      </x:c>
      <x:c r="E447" s="8" t="str">
        <x:v>หลักฐานไม่พอ รอยืนยันการเปิด</x:v>
      </x:c>
      <x:c r="F447" s="8" t="str">
        <x:v>ยังไม่ยืนยันการเปิดให้บริการปัจจุบัน</x:v>
      </x:c>
      <x:c r="G447" s="58" t="n">
        <x:v>1</x:v>
      </x:c>
      <x:c r="H447" s="52"/>
      <x:c r="I447" s="52"/>
      <x:c r="J447" s="52"/>
      <x:c r="K447" s="52"/>
      <x:c r="L447" s="52"/>
      <x:c r="M447" s="52"/>
      <x:c r="N447" s="8" t="str">
        <x:v>ยังไม่ยืนยัน</x:v>
      </x:c>
      <x:c r="O44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7" s="40" t="n">
        <x:v>46315</x:v>
      </x:c>
      <x:c r="Q447" s="59" t="str">
        <x:v>ยังไม่ตรวจ</x:v>
      </x:c>
      <x:c r="R447" s="59" t="str">
        <x:v>รอติดต่อ</x:v>
      </x:c>
    </x:row>
    <x:row r="448" ht="84" customHeight="1">
      <x:c r="A448" s="2" t="str">
        <x:v>TMF-440</x:v>
      </x:c>
      <x:c r="B448" s="8" t="str">
        <x:v>ศูนย์ศึกษาประวัติศาสตร์อยุธยา</x:v>
      </x:c>
      <x:c r="C448" s="8" t="str">
        <x:v>พระนครศรีอยุธยา</x:v>
      </x:c>
      <x:c r="D448" s="8" t="str">
        <x:v>อยู่ในชุด 600 ตามเส้นทาง</x:v>
      </x:c>
      <x:c r="E448" s="8" t="str">
        <x:v>พบชื่อสัมพันธ์หลายเว็บไซต์ รอยืนยันสาขา</x:v>
      </x:c>
      <x:c r="F448" s="8" t="str">
        <x:v>ยังไม่ยืนยันการเปิดให้บริการปัจจุบัน</x:v>
      </x:c>
      <x:c r="G448" s="58" t="n">
        <x:v>9</x:v>
      </x:c>
      <x:c r="H448" s="52" t="str"/>
      <x:c r="I448" s="52" t="str"/>
      <x:c r="J448" s="52" t="str">
        <x:v>https://th.tripadvisor.com/Attraction_Review-g303897-d2146207-Reviews-Ayutthaya_Historical_Study_Centre-Ayutthaya_Ayutthaya_Province.html</x:v>
      </x:c>
      <x:c r="K448" s="52" t="str">
        <x:v>https://www.wongnai.com/attractions/355860Jr-%E0%B8%A8%E0%B8%B9%E0%B8%99%E0%B8%A2%E0%B9%8C%E0%B8%A8%E0%B8%B6%E0%B8%81%E0%B8%A9%E0%B8%B2%E0%B8%9B%E0%B8%A3%E0%B8%B0%E0%B8%A7%E0%B8%B1%E0%B8%95%E0%B8%B4%E0%B8%A8%E0%B8%B2%E0%B8%AA%E0%B8%95%E0%B8%A3%E0%B9%8C%E0%B8%AD%E0%B8%A2%E0%B8%B8%E0%B8%98%E0%B8%A2%E0%B8%B2</x:v>
      </x:c>
      <x:c r="L448" s="52" t="str">
        <x:v>https://www.thailandtourismdirectory.go.th/en/attraction/1467</x:v>
      </x:c>
      <x:c r="M448" s="52" t="str">
        <x:v>https://th.tripadvisor.com/Attraction_Review-g303897-d2146207-Reviews-Ayutthaya_Historical_Study_Centre-Ayutthaya_Ayutthaya_Province.html</x:v>
      </x:c>
      <x:c r="N448" s="8" t="str">
        <x:v>ยังไม่ยืนยัน</x:v>
      </x:c>
      <x:c r="O448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48" s="40" t="n">
        <x:v>46315</x:v>
      </x:c>
      <x:c r="Q448" s="59" t="str">
        <x:v>ยังไม่ตรวจ</x:v>
      </x:c>
      <x:c r="R448" s="59" t="str">
        <x:v>รอติดต่อ</x:v>
      </x:c>
    </x:row>
    <x:row r="449" ht="84" customHeight="1">
      <x:c r="A449" s="2" t="str">
        <x:v>TMF-441</x:v>
      </x:c>
      <x:c r="B449" s="8" t="str">
        <x:v>ซาโมซ่าใส้ไก่ ก๊วยเตี๋ยว เย็นตาโฟ โรตี</x:v>
      </x:c>
      <x:c r="C449" s="8" t="str">
        <x:v>กาญจนบุรี</x:v>
      </x:c>
      <x:c r="D449" s="8" t="str">
        <x:v>สำรองหลังปรับตามเส้นทาง</x:v>
      </x:c>
      <x:c r="E449" s="8" t="str">
        <x:v>หลักฐานไม่พอ รอยืนยันการเปิด</x:v>
      </x:c>
      <x:c r="F449" s="8" t="str">
        <x:v>ยังไม่ยืนยันการเปิดให้บริการปัจจุบัน</x:v>
      </x:c>
      <x:c r="G449" s="58" t="n">
        <x:v>1</x:v>
      </x:c>
      <x:c r="H449" s="52"/>
      <x:c r="I449" s="52"/>
      <x:c r="J449" s="52"/>
      <x:c r="K449" s="52"/>
      <x:c r="L449" s="52"/>
      <x:c r="M449" s="52"/>
      <x:c r="N449" s="8" t="str">
        <x:v>ยังไม่ยืนยัน</x:v>
      </x:c>
      <x:c r="O44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49" s="40" t="n">
        <x:v>46315</x:v>
      </x:c>
      <x:c r="Q449" s="59" t="str">
        <x:v>ยังไม่ตรวจ</x:v>
      </x:c>
      <x:c r="R449" s="59" t="str">
        <x:v>รอติดต่อ</x:v>
      </x:c>
    </x:row>
    <x:row r="450" ht="84" customHeight="1">
      <x:c r="A450" s="2" t="str">
        <x:v>TMF-442</x:v>
      </x:c>
      <x:c r="B450" s="8" t="str">
        <x:v>รสโบราณบ้านกาญ</x:v>
      </x:c>
      <x:c r="C450" s="8" t="str">
        <x:v>กาญจนบุรี</x:v>
      </x:c>
      <x:c r="D450" s="8" t="str">
        <x:v>อยู่ในชุด 600 ตามเส้นทาง</x:v>
      </x:c>
      <x:c r="E450" s="8" t="str">
        <x:v>พบชื่อสัมพันธ์หลายเว็บไซต์ รอยืนยันสาขา</x:v>
      </x:c>
      <x:c r="F450" s="8" t="str">
        <x:v>ยังไม่ยืนยันการเปิดให้บริการปัจจุบัน</x:v>
      </x:c>
      <x:c r="G450" s="58" t="n">
        <x:v>2</x:v>
      </x:c>
      <x:c r="H450" s="52" t="str"/>
      <x:c r="I450" s="52" t="str"/>
      <x:c r="J450" s="52" t="str">
        <x:v>https://www.wongnai.com/restaurants/3531683lL-%E0%B8%A3%E0%B8%AA%E0%B9%82%E0%B8%9A%E0%B8%A3%E0%B8%B2%E0%B8%93-%E0%B8%9A%E0%B9%89%E0%B8%B2%E0%B8%99%E0%B8%81%E0%B8%B2%E0%B8%8D-%E0%B8%A5%E0%B8%B2%E0%B8%94%E0%B8%AB%E0%B8%8D%E0%B9%89%E0%B8%B2-%E0%B8%81%E0%B8%B2%E0%B8%8D%E0%B8%88%E0%B8%99%E0%B8%9A%E0%B8%B8%E0%B8%A3%E0%B8%B5</x:v>
      </x:c>
      <x:c r="K450" s="52" t="str"/>
      <x:c r="L450" s="52" t="str">
        <x:v>https://makanhalalguide.com/shop/detail/6287</x:v>
      </x:c>
      <x:c r="M450" s="52" t="str">
        <x:v>https://www.wongnai.com/restaurants/3531683lL-%E0%B8%A3%E0%B8%AA%E0%B9%82%E0%B8%9A%E0%B8%A3%E0%B8%B2%E0%B8%93-%E0%B8%9A%E0%B9%89%E0%B8%B2%E0%B8%99%E0%B8%81%E0%B8%B2%E0%B8%8D-%E0%B8%A5%E0%B8%B2%E0%B8%94%E0%B8%AB%E0%B8%8D%E0%B9%89%E0%B8%B2-%E0%B8%81%E0%B8%B2%E0%B8%8D%E0%B8%88%E0%B8%99%E0%B8%9A%E0%B8%B8%E0%B8%A3%E0%B8%B5</x:v>
      </x:c>
      <x:c r="N450" s="8" t="str">
        <x:v>ยังไม่ยืนยัน</x:v>
      </x:c>
      <x:c r="O450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450" s="40" t="n">
        <x:v>46315</x:v>
      </x:c>
      <x:c r="Q450" s="59" t="str">
        <x:v>ยังไม่ตรวจ</x:v>
      </x:c>
      <x:c r="R450" s="59" t="str">
        <x:v>รอติดต่อ</x:v>
      </x:c>
    </x:row>
    <x:row r="451" ht="84" customHeight="1">
      <x:c r="A451" s="2" t="str">
        <x:v>TMF-443</x:v>
      </x:c>
      <x:c r="B451" s="8" t="str">
        <x:v>น้ำตกเอราวัณ</x:v>
      </x:c>
      <x:c r="C451" s="8" t="str">
        <x:v>กาญจนบุรี</x:v>
      </x:c>
      <x:c r="D451" s="8" t="str">
        <x:v>อยู่ในชุด 600 ตามเส้นทาง</x:v>
      </x:c>
      <x:c r="E451" s="8" t="str">
        <x:v>พบชื่อสัมพันธ์หลายเว็บไซต์ รอยืนยันสาขา</x:v>
      </x:c>
      <x:c r="F451" s="8" t="str">
        <x:v>ยังไม่ยืนยันการเปิดให้บริการปัจจุบัน</x:v>
      </x:c>
      <x:c r="G451" s="58" t="n">
        <x:v>18</x:v>
      </x:c>
      <x:c r="H451" s="52" t="str">
        <x:v>https://www.youtube.com/watch?v=PnTm4z9ixsA</x:v>
      </x:c>
      <x:c r="I451" s="52" t="str"/>
      <x:c r="J451" s="52" t="str">
        <x:v>https://www.wongnai.com/attractions/356828UA-%E0%B8%99%E0%B9%89%E0%B8%B3%E0%B8%95%E0%B8%81%E0%B9%80%E0%B8%AD%E0%B8%A3%E0%B8%B2%E0%B8%A7%E0%B8%B1%E0%B8%93</x:v>
      </x:c>
      <x:c r="K451" s="52" t="str"/>
      <x:c r="L451" s="52" t="str">
        <x:v>https://kanchanaburi.mots.go.th/news/432</x:v>
      </x:c>
      <x:c r="M451" s="52" t="str">
        <x:v>https://osmcentral-s1.go.th/travel/detail/5</x:v>
      </x:c>
      <x:c r="N451" s="8" t="str">
        <x:v>ยังไม่ยืนยัน</x:v>
      </x:c>
      <x:c r="O451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51" s="40" t="n">
        <x:v>46316</x:v>
      </x:c>
      <x:c r="Q451" s="59" t="str">
        <x:v>ยังไม่ตรวจ</x:v>
      </x:c>
      <x:c r="R451" s="59" t="str">
        <x:v>รอติดต่อ</x:v>
      </x:c>
    </x:row>
    <x:row r="452" ht="84" customHeight="1">
      <x:c r="A452" s="2" t="str">
        <x:v>TMF-444</x:v>
      </x:c>
      <x:c r="B452" s="8" t="str">
        <x:v>ตลาดน้ำดำเนินสะดวก</x:v>
      </x:c>
      <x:c r="C452" s="8" t="str">
        <x:v>ราชบุรี</x:v>
      </x:c>
      <x:c r="D452" s="8" t="str">
        <x:v>อยู่ในชุด 600 ตามเส้นทาง</x:v>
      </x:c>
      <x:c r="E452" s="8" t="str">
        <x:v>พบชื่อสัมพันธ์หลายเว็บไซต์ รอยืนยันสาขา</x:v>
      </x:c>
      <x:c r="F452" s="8" t="str">
        <x:v>ยังไม่ยืนยันการเปิดให้บริการปัจจุบัน</x:v>
      </x:c>
      <x:c r="G452" s="58" t="n">
        <x:v>9</x:v>
      </x:c>
      <x:c r="H452" s="52" t="str"/>
      <x:c r="I452" s="52" t="str"/>
      <x:c r="J452" s="52" t="str">
        <x:v>https://www.wongnai.com/reviews/15b419bbf09b47458ef3b2dc55f377db</x:v>
      </x:c>
      <x:c r="K452" s="52" t="str">
        <x:v>https://www.wongnai.com/attractions/326884rA-%E0%B8%95%E0%B8%A5%E0%B8%B2%E0%B8%94%E0%B8%99%E0%B9%89%E0%B8%B3%E0%B8%94%E0%B8%B3%E0%B9%80%E0%B8%99%E0%B8%B4%E0%B8%99%E0%B8%AA%E0%B8%B0%E0%B8%94%E0%B8%A7%E0%B8%81/reviews</x:v>
      </x:c>
      <x:c r="L452" s="52" t="str">
        <x:v>https://www.tourismthailand.org/Destinations/Provinces/ratchaburi/232</x:v>
      </x:c>
      <x:c r="M452" s="52" t="str">
        <x:v>https://www.wongnai.com/reviews/15b419bbf09b47458ef3b2dc55f377db</x:v>
      </x:c>
      <x:c r="N452" s="8" t="str">
        <x:v>ยังไม่ยืนยัน</x:v>
      </x:c>
      <x:c r="O452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52" s="40" t="n">
        <x:v>46315</x:v>
      </x:c>
      <x:c r="Q452" s="59" t="str">
        <x:v>ยังไม่ตรวจ</x:v>
      </x:c>
      <x:c r="R452" s="59" t="str">
        <x:v>รอติดต่อ</x:v>
      </x:c>
    </x:row>
    <x:row r="453" ht="84" customHeight="1">
      <x:c r="A453" s="2" t="str">
        <x:v>TMF-445</x:v>
      </x:c>
      <x:c r="B453" s="8" t="str">
        <x:v>ตลาดเก่าโคยกี๊</x:v>
      </x:c>
      <x:c r="C453" s="8" t="str">
        <x:v>ราชบุรี</x:v>
      </x:c>
      <x:c r="D453" s="8" t="str">
        <x:v>อยู่ในชุด 600 ตามเส้นทาง</x:v>
      </x:c>
      <x:c r="E453" s="8" t="str">
        <x:v>พบชื่อสัมพันธ์หลายเว็บไซต์ รอยืนยันสาขา</x:v>
      </x:c>
      <x:c r="F453" s="8" t="str">
        <x:v>ยังไม่ยืนยันการเปิดให้บริการปัจจุบัน</x:v>
      </x:c>
      <x:c r="G453" s="58" t="n">
        <x:v>7</x:v>
      </x:c>
      <x:c r="H453" s="52" t="str">
        <x:v>https://www.youtube.com/watch?v=xjF8ynRD6KM</x:v>
      </x:c>
      <x:c r="I453" s="52" t="str"/>
      <x:c r="J453" s="52" t="str"/>
      <x:c r="K453" s="52" t="str"/>
      <x:c r="L453" s="52" t="str">
        <x:v>https://cbtthailand.dasta.or.th/webapp/relattraction/content/64/</x:v>
      </x:c>
      <x:c r="M453" s="52" t="str">
        <x:v>https://www.gplace.com/2948</x:v>
      </x:c>
      <x:c r="N453" s="8" t="str">
        <x:v>ยังไม่ยืนยัน</x:v>
      </x:c>
      <x:c r="O453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53" s="40" t="n">
        <x:v>46316</x:v>
      </x:c>
      <x:c r="Q453" s="59" t="str">
        <x:v>ยังไม่ตรวจ</x:v>
      </x:c>
      <x:c r="R453" s="59" t="str">
        <x:v>รอติดต่อ</x:v>
      </x:c>
    </x:row>
    <x:row r="454" ht="84" customHeight="1">
      <x:c r="A454" s="2" t="str">
        <x:v>TMF-446</x:v>
      </x:c>
      <x:c r="B454" s="8" t="str">
        <x:v>พิพิธภัณฑสถานแห่งชาติ ราชบุรี</x:v>
      </x:c>
      <x:c r="C454" s="8" t="str">
        <x:v>ราชบุรี</x:v>
      </x:c>
      <x:c r="D454" s="8" t="str">
        <x:v>อยู่ในชุด 600 ตามเส้นทาง</x:v>
      </x:c>
      <x:c r="E454" s="8" t="str">
        <x:v>พบชื่อสัมพันธ์หลายเว็บไซต์ รอยืนยันสาขา</x:v>
      </x:c>
      <x:c r="F454" s="8" t="str">
        <x:v>ยังไม่ยืนยันการเปิดให้บริการปัจจุบัน</x:v>
      </x:c>
      <x:c r="G454" s="58" t="n">
        <x:v>12</x:v>
      </x:c>
      <x:c r="H454" s="52" t="str"/>
      <x:c r="I454" s="52" t="str"/>
      <x:c r="J454" s="52" t="str"/>
      <x:c r="K454" s="52" t="str"/>
      <x:c r="L454" s="52" t="str">
        <x:v>https://osmcentral-s1.go.th/travel/detail/10</x:v>
      </x:c>
      <x:c r="M454" s="52" t="str">
        <x:v>https://finearts.go.th/ratchaburimuseum/search</x:v>
      </x:c>
      <x:c r="N454" s="8" t="str">
        <x:v>ยังไม่ยืนยัน</x:v>
      </x:c>
      <x:c r="O454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54" s="40" t="n">
        <x:v>46316</x:v>
      </x:c>
      <x:c r="Q454" s="59" t="str">
        <x:v>ยังไม่ตรวจ</x:v>
      </x:c>
      <x:c r="R454" s="59" t="str">
        <x:v>รอติดต่อ</x:v>
      </x:c>
    </x:row>
    <x:row r="455" ht="84" customHeight="1">
      <x:c r="A455" s="2" t="str">
        <x:v>TMF-447</x:v>
      </x:c>
      <x:c r="B455" s="8" t="str">
        <x:v>พิพิธภัณฑ์หนังใหญ่วัดขนอน</x:v>
      </x:c>
      <x:c r="C455" s="8" t="str">
        <x:v>ราชบุรี</x:v>
      </x:c>
      <x:c r="D455" s="8" t="str">
        <x:v>อยู่ในชุด 600 ตามเส้นทาง</x:v>
      </x:c>
      <x:c r="E455" s="8" t="str">
        <x:v>พบชื่อสัมพันธ์หลายเว็บไซต์ รอยืนยันสาขา</x:v>
      </x:c>
      <x:c r="F455" s="8" t="str">
        <x:v>ยังไม่ยืนยันการเปิดให้บริการปัจจุบัน</x:v>
      </x:c>
      <x:c r="G455" s="58" t="n">
        <x:v>4</x:v>
      </x:c>
      <x:c r="H455" s="52" t="str"/>
      <x:c r="I455" s="52" t="str"/>
      <x:c r="J455" s="52" t="str">
        <x:v>https://th.trip.com/travel-guide/attraction/photharam/wat-khanon-nang-yai-museum-56038888?poiType=3&amp;scene=gsDestination</x:v>
      </x:c>
      <x:c r="K455" s="52" t="str"/>
      <x:c r="L455" s="52" t="str">
        <x:v>https://thai.tourismthailand.org/Articles/10-ratchaburi</x:v>
      </x:c>
      <x:c r="M455" s="52" t="str">
        <x:v>https://th.trip.com/travel-guide/attraction/photharam/wat-khanon-nang-yai-museum-56038888?poiType=3&amp;scene=gsDestination</x:v>
      </x:c>
      <x:c r="N455" s="8" t="str">
        <x:v>ยังไม่ยืนยัน</x:v>
      </x:c>
      <x:c r="O455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455" s="40" t="n">
        <x:v>46315</x:v>
      </x:c>
      <x:c r="Q455" s="59" t="str">
        <x:v>ยังไม่ตรวจ</x:v>
      </x:c>
      <x:c r="R455" s="59" t="str">
        <x:v>รอติดต่อ</x:v>
      </x:c>
    </x:row>
    <x:row r="456" ht="84" customHeight="1">
      <x:c r="A456" s="2" t="str">
        <x:v>TMF-448</x:v>
      </x:c>
      <x:c r="B456" s="8" t="str">
        <x:v>เขากาโรส</x:v>
      </x:c>
      <x:c r="C456" s="8" t="str">
        <x:v>กระบี่</x:v>
      </x:c>
      <x:c r="D456" s="8" t="str">
        <x:v>สำรองหลังปรับตามเส้นทาง</x:v>
      </x:c>
      <x:c r="E456" s="8" t="str">
        <x:v>พบหลายแหล่งสัมพันธ์กับชื่อ รอยืนยันการเปิด</x:v>
      </x:c>
      <x:c r="F456" s="8" t="str">
        <x:v>ยังไม่ยืนยันการเปิดให้บริการปัจจุบัน</x:v>
      </x:c>
      <x:c r="G456" s="58" t="n">
        <x:v>3</x:v>
      </x:c>
      <x:c r="H456" s="52"/>
      <x:c r="I456" s="52"/>
      <x:c r="J456" s="52"/>
      <x:c r="K456" s="52"/>
      <x:c r="L456" s="52" t="str">
        <x:v>HYPERLINK is not implemented. linkLocation=https://www.tatnewsthai.org/articles-detail/31, friendlyName=เปิดเว็บเพิ่ม 1</x:v>
      </x:c>
      <x:c r="M456" s="52" t="str">
        <x:v>HYPERLINK is not implemented. linkLocation=https://salehere.co.th/articles/travel-railay-beach, friendlyName=เปิดเว็บเพิ่ม 2</x:v>
      </x:c>
      <x:c r="N456" s="8" t="str">
        <x:v>ยังไม่ยืนยัน</x:v>
      </x:c>
      <x:c r="O456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56" s="40" t="n">
        <x:v>46315</x:v>
      </x:c>
      <x:c r="Q456" s="59" t="str">
        <x:v>ยังไม่ตรวจ</x:v>
      </x:c>
      <x:c r="R456" s="59" t="str">
        <x:v>รอติดต่อ</x:v>
      </x:c>
    </x:row>
    <x:row r="457" ht="84" customHeight="1">
      <x:c r="A457" s="2" t="str">
        <x:v>TMF-449</x:v>
      </x:c>
      <x:c r="B457" s="8" t="str">
        <x:v>3Howw Hostel Sukhumvit 21</x:v>
      </x:c>
      <x:c r="C457" s="8" t="str">
        <x:v>กรุงเทพมหานคร</x:v>
      </x:c>
      <x:c r="D457" s="8" t="str">
        <x:v>สำรองหลังปรับตามเส้นทาง</x:v>
      </x:c>
      <x:c r="E457" s="8" t="str">
        <x:v>พบหลายแหล่งสัมพันธ์กับชื่อ รอยืนยันการเปิด</x:v>
      </x:c>
      <x:c r="F457" s="8" t="str">
        <x:v>ยังไม่ยืนยันการเปิดให้บริการปัจจุบัน</x:v>
      </x:c>
      <x:c r="G457" s="58" t="n">
        <x:v>5</x:v>
      </x:c>
      <x:c r="H457" s="52"/>
      <x:c r="I457" s="52"/>
      <x:c r="J457" s="52" t="str">
        <x:v>HYPERLINK is not implemented. linkLocation=https://www.google.co.th/travel/hotels/entity/ChoI1_-gztyPq8OEARoNL2cvMTFiYnJuODFqMhAB?g2lb=2502548%2C4258168%2C4260007%2C4274032%2C4305595%2C4306835%2C4317915%2C4328159%2C4330862%2C4364504%2C4366684%2C4371334%2C4381263%2C4386665%2C4395590%2C4397007%2C4398672%2C4401769%2C4403881%2C4270859%2C4284970%2C4316256&amp;gl=th&amp;gsas=1&amp;hl=en&amp;rp=OAHCAhwiGg0A6MVFEhMI0qvsrpHklgMVZdyfCR3qgQLi&amp;ts=CAEaIAoCGgASGhIUCgcI6g8QChgZEgcI6g8QChgeGAUyAhAAKgkKBToDVEhCGgA&amp;un=1, friendlyName=เปิดหน้ารีวิว 1</x:v>
      </x:c>
      <x:c r="K457" s="52" t="str">
        <x:v>HYPERLINK is not implemented. linkLocation=https://www.booking.com/hotel/th/3howwhostel-sukhumvit21.html, friendlyName=เปิดหน้ารีวิว 2</x:v>
      </x:c>
      <x:c r="L457" s="52"/>
      <x:c r="M457" s="52"/>
      <x:c r="N457" s="8" t="str">
        <x:v>ยังไม่ยืนยัน</x:v>
      </x:c>
      <x:c r="O45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57" s="40" t="n">
        <x:v>46315</x:v>
      </x:c>
      <x:c r="Q457" s="59" t="str">
        <x:v>ยังไม่ตรวจ</x:v>
      </x:c>
      <x:c r="R457" s="59" t="str">
        <x:v>รอติดต่อ</x:v>
      </x:c>
    </x:row>
    <x:row r="458" ht="84" customHeight="1">
      <x:c r="A458" s="2" t="str">
        <x:v>TMF-450</x:v>
      </x:c>
      <x:c r="B458" s="8" t="str">
        <x:v>63 แบงค็อก โฮสเต็ล</x:v>
      </x:c>
      <x:c r="C458" s="8" t="str">
        <x:v>กรุงเทพมหานคร</x:v>
      </x:c>
      <x:c r="D458" s="8" t="str">
        <x:v>สำรองหลังปรับตามเส้นทาง</x:v>
      </x:c>
      <x:c r="E458" s="8" t="str">
        <x:v>หลักฐานไม่พอ รอยืนยันการเปิด</x:v>
      </x:c>
      <x:c r="F458" s="8" t="str">
        <x:v>ยังไม่ยืนยันการเปิดให้บริการปัจจุบัน</x:v>
      </x:c>
      <x:c r="G458" s="58" t="n">
        <x:v>1</x:v>
      </x:c>
      <x:c r="H458" s="52"/>
      <x:c r="I458" s="52"/>
      <x:c r="J458" s="52"/>
      <x:c r="K458" s="52"/>
      <x:c r="L458" s="52"/>
      <x:c r="M458" s="52"/>
      <x:c r="N458" s="8" t="str">
        <x:v>ยังไม่ยืนยัน</x:v>
      </x:c>
      <x:c r="O45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458" s="40" t="n">
        <x:v>46315</x:v>
      </x:c>
      <x:c r="Q458" s="59" t="str">
        <x:v>ยังไม่ตรวจ</x:v>
      </x:c>
      <x:c r="R458" s="59" t="str">
        <x:v>รอติดต่อ</x:v>
      </x:c>
    </x:row>
    <x:row r="459" ht="84" customHeight="1">
      <x:c r="A459" s="2" t="str">
        <x:v>TMF-451</x:v>
      </x:c>
      <x:c r="B459" s="8" t="str">
        <x:v>D&amp;D INN KHAOSAN</x:v>
      </x:c>
      <x:c r="C459" s="8" t="str">
        <x:v>กรุงเทพมหานคร</x:v>
      </x:c>
      <x:c r="D459" s="8" t="str">
        <x:v>สำรองหลังปรับตามเส้นทาง</x:v>
      </x:c>
      <x:c r="E459" s="8" t="str">
        <x:v>พบหลายแหล่งสัมพันธ์กับชื่อ รอยืนยันการเปิด</x:v>
      </x:c>
      <x:c r="F459" s="8" t="str">
        <x:v>ยังไม่ยืนยันการเปิดให้บริการปัจจุบัน</x:v>
      </x:c>
      <x:c r="G459" s="58" t="n">
        <x:v>6</x:v>
      </x:c>
      <x:c r="H459" s="52"/>
      <x:c r="I459" s="52"/>
      <x:c r="J459" s="52" t="str">
        <x:v>HYPERLINK is not implemented. linkLocation=https://wanderlog.com/th/place/details/1074862/dd-inn-khaosan, friendlyName=เปิดหน้ารีวิว 1</x:v>
      </x:c>
      <x:c r="K459" s="52" t="str">
        <x:v>HYPERLINK is not implemented. linkLocation=https://www.trip.com/hotels/bangkok-hotel-detail-701453/dandd-inn-bangkok/review.html, friendlyName=เปิดหน้ารีวิว 2</x:v>
      </x:c>
      <x:c r="L459" s="52" t="str">
        <x:v>HYPERLINK is not implemented. linkLocation=https://www.thailandaddict.com/review-d-and-d-inn-khaosan-bangkok, friendlyName=เปิดเว็บเพิ่ม 1</x:v>
      </x:c>
      <x:c r="M459" s="52"/>
      <x:c r="N459" s="8" t="str">
        <x:v>ยังไม่ยืนยัน</x:v>
      </x:c>
      <x:c r="O45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59" s="40" t="n">
        <x:v>46315</x:v>
      </x:c>
      <x:c r="Q459" s="59" t="str">
        <x:v>ยังไม่ตรวจ</x:v>
      </x:c>
      <x:c r="R459" s="59" t="str">
        <x:v>รอติดต่อ</x:v>
      </x:c>
    </x:row>
    <x:row r="460" ht="84" customHeight="1">
      <x:c r="A460" s="2" t="str">
        <x:v>TMF-452</x:v>
      </x:c>
      <x:c r="B460" s="8" t="str">
        <x:v>DT Hotel Pratunam (Dream Town Hotel)</x:v>
      </x:c>
      <x:c r="C460" s="8" t="str">
        <x:v>กรุงเทพมหานคร</x:v>
      </x:c>
      <x:c r="D460" s="8" t="str">
        <x:v>สำรองหลังปรับตามเส้นทาง</x:v>
      </x:c>
      <x:c r="E460" s="8" t="str">
        <x:v>พบหลายแหล่งสัมพันธ์กับชื่อ รอยืนยันการเปิด</x:v>
      </x:c>
      <x:c r="F460" s="8" t="str">
        <x:v>ยังไม่ยืนยันการเปิดให้บริการปัจจุบัน</x:v>
      </x:c>
      <x:c r="G460" s="58" t="n">
        <x:v>7</x:v>
      </x:c>
      <x:c r="H460" s="52"/>
      <x:c r="I460" s="52"/>
      <x:c r="J460" s="52" t="str">
        <x:v>HYPERLINK is not implemented. linkLocation=https://th.trip.com/hotels/bangkok-hotel-detail-701485/dt-hotel-pratunam/review.html, friendlyName=เปิดหน้ารีวิว 1</x:v>
      </x:c>
      <x:c r="K460" s="52" t="str">
        <x:v>HYPERLINK is not implemented. linkLocation=https://www.expedia.com/Bangkok-Hotels-DT-Hotel.h4393724.Hotel-Information, friendlyName=เปิดหน้ารีวิว 2</x:v>
      </x:c>
      <x:c r="L460" s="52" t="str">
        <x:v>HYPERLINK is not implemented. linkLocation=https://www.traveloka.com/th-th/hotel/thailand/dt-hotel----pratunam-dream-town-hotel-1000000378686, friendlyName=เปิดเว็บเพิ่ม 1</x:v>
      </x:c>
      <x:c r="M460" s="52" t="str">
        <x:v>HYPERLINK is not implemented. linkLocation=https://www.goibibo.com/hotels-international/dt-pratunam-dream-town-hotel-in-bangkok-7397325604800081134/, friendlyName=เปิดเว็บเพิ่ม 2</x:v>
      </x:c>
      <x:c r="N460" s="8" t="str">
        <x:v>ยังไม่ยืนยัน</x:v>
      </x:c>
      <x:c r="O46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0" s="40" t="n">
        <x:v>46315</x:v>
      </x:c>
      <x:c r="Q460" s="59" t="str">
        <x:v>ยังไม่ตรวจ</x:v>
      </x:c>
      <x:c r="R460" s="59" t="str">
        <x:v>รอติดต่อ</x:v>
      </x:c>
    </x:row>
    <x:row r="461" ht="84" customHeight="1">
      <x:c r="A461" s="2" t="str">
        <x:v>TMF-453</x:v>
      </x:c>
      <x:c r="B461" s="8" t="str">
        <x:v>GATEWAY HOTEL PRATUNAM</x:v>
      </x:c>
      <x:c r="C461" s="8" t="str">
        <x:v>กรุงเทพมหานคร</x:v>
      </x:c>
      <x:c r="D461" s="8" t="str">
        <x:v>สำรองหลังปรับตามเส้นทาง</x:v>
      </x:c>
      <x:c r="E461" s="8" t="str">
        <x:v>พบหลายแหล่งสัมพันธ์กับชื่อ รอยืนยันการเปิด</x:v>
      </x:c>
      <x:c r="F461" s="8" t="str">
        <x:v>ยังไม่ยืนยันการเปิดให้บริการปัจจุบัน</x:v>
      </x:c>
      <x:c r="G461" s="58" t="n">
        <x:v>6</x:v>
      </x:c>
      <x:c r="H461" s="52"/>
      <x:c r="I461" s="52"/>
      <x:c r="J461" s="52" t="str">
        <x:v>HYPERLINK is not implemented. linkLocation=https://www.booking.com/hotel/th/gateway.th.html, friendlyName=เปิดหน้ารีวิว 1</x:v>
      </x:c>
      <x:c r="K461" s="52" t="str">
        <x:v>HYPERLINK is not implemented. linkLocation=https://th.tripadvisor.com/Hotel_Review-g293916-d5523585-Reviews-Gateway_Hotel_Pratunam-Bangkok.html, friendlyName=เปิดหน้ารีวิว 2</x:v>
      </x:c>
      <x:c r="L461" s="52" t="str">
        <x:v>HYPERLINK is not implemented. linkLocation=https://www.travelocity.com/Bangkok-Hotels-Gateway-Hotel.h11301717.Hotel-Information, friendlyName=เปิดเว็บเพิ่ม 1</x:v>
      </x:c>
      <x:c r="M461" s="52"/>
      <x:c r="N461" s="8" t="str">
        <x:v>ยังไม่ยืนยัน</x:v>
      </x:c>
      <x:c r="O46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1" s="40" t="n">
        <x:v>46315</x:v>
      </x:c>
      <x:c r="Q461" s="59" t="str">
        <x:v>ยังไม่ตรวจ</x:v>
      </x:c>
      <x:c r="R461" s="59" t="str">
        <x:v>รอติดต่อ</x:v>
      </x:c>
    </x:row>
    <x:row r="462" ht="84" customHeight="1">
      <x:c r="A462" s="2" t="str">
        <x:v>TMF-454</x:v>
      </x:c>
      <x:c r="B462" s="8" t="str">
        <x:v>GO INN Khaosan Road</x:v>
      </x:c>
      <x:c r="C462" s="8" t="str">
        <x:v>กรุงเทพมหานคร</x:v>
      </x:c>
      <x:c r="D462" s="8" t="str">
        <x:v>สำรองหลังปรับตามเส้นทาง</x:v>
      </x:c>
      <x:c r="E462" s="8" t="str">
        <x:v>พบหลายแหล่งสัมพันธ์กับชื่อ รอยืนยันการเปิด</x:v>
      </x:c>
      <x:c r="F462" s="8" t="str">
        <x:v>ยังไม่ยืนยันการเปิดให้บริการปัจจุบัน</x:v>
      </x:c>
      <x:c r="G462" s="58" t="n">
        <x:v>5</x:v>
      </x:c>
      <x:c r="H462" s="52"/>
      <x:c r="I462" s="52"/>
      <x:c r="J462" s="52" t="str">
        <x:v>HYPERLINK is not implemented. linkLocation=https://www.booking.com/reviews/th/hotel/go-inn-khaosan-road.th.html, friendlyName=เปิดหน้ารีวิว 1</x:v>
      </x:c>
      <x:c r="K462" s="52" t="str">
        <x:v>HYPERLINK is not implemented. linkLocation=https://www.google.co.th/travel/hotels/entity/ChoIwr_vm7_kqvnxARoNL2cvMTF0Zzdjc3YzdhAB?rp=OAHCAhwiGg0AAKhBEhMIjdehu-XNlQMVGuFLAx0K4DhX&amp;ts=CAEaBAoCGgAqBAoAGgA, friendlyName=เปิดหน้ารีวิว 2</x:v>
      </x:c>
      <x:c r="L462" s="52"/>
      <x:c r="M462" s="52"/>
      <x:c r="N462" s="8" t="str">
        <x:v>ยังไม่ยืนยัน</x:v>
      </x:c>
      <x:c r="O46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2" s="40" t="n">
        <x:v>46315</x:v>
      </x:c>
      <x:c r="Q462" s="59" t="str">
        <x:v>ยังไม่ตรวจ</x:v>
      </x:c>
      <x:c r="R462" s="59" t="str">
        <x:v>รอติดต่อ</x:v>
      </x:c>
    </x:row>
    <x:row r="463" ht="84" customHeight="1">
      <x:c r="A463" s="2" t="str">
        <x:v>TMF-455</x:v>
      </x:c>
      <x:c r="B463" s="8" t="str">
        <x:v>Golden Inn Bangkok</x:v>
      </x:c>
      <x:c r="C463" s="8" t="str">
        <x:v>กรุงเทพมหานคร</x:v>
      </x:c>
      <x:c r="D463" s="8" t="str">
        <x:v>สำรองหลังปรับตามเส้นทาง</x:v>
      </x:c>
      <x:c r="E463" s="8" t="str">
        <x:v>พบหลายแหล่งสัมพันธ์กับชื่อ รอยืนยันการเปิด</x:v>
      </x:c>
      <x:c r="F463" s="8" t="str">
        <x:v>ยังไม่ยืนยันการเปิดให้บริการปัจจุบัน</x:v>
      </x:c>
      <x:c r="G463" s="58" t="n">
        <x:v>4</x:v>
      </x:c>
      <x:c r="H463" s="52" t="str">
        <x:v>HYPERLINK is not implemented. linkLocation=https://www.facebook.com/Admin2848/info?tab=overview, friendlyName=เปิดช่องทาง 1</x:v>
      </x:c>
      <x:c r="I463" s="52" t="str">
        <x:v>HYPERLINK is not implemented. linkLocation=https://www.facebook.com/Admin2848/info?, friendlyName=เปิดช่องทาง 2</x:v>
      </x:c>
      <x:c r="J463" s="52" t="str">
        <x:v>HYPERLINK is not implemented. linkLocation=https://wanderlog.com/id/place/details/3981549/golden-inn, friendlyName=เปิดหน้ารีวิว 1</x:v>
      </x:c>
      <x:c r="K463" s="52" t="str">
        <x:v>HYPERLINK is not implemented. linkLocation=https://wanderlog.com/place/details/3981549/golden-inn, friendlyName=เปิดหน้ารีวิว 2</x:v>
      </x:c>
      <x:c r="L463" s="52" t="str">
        <x:v>HYPERLINK is not implemented. linkLocation=https://www.soidb.com/bangkok/apartment/golden-inn.html, friendlyName=เปิดเว็บเพิ่ม 1</x:v>
      </x:c>
      <x:c r="M463" s="52" t="str">
        <x:v>HYPERLINK is not implemented. linkLocation=https://www.soidb.com/bangkok/hotel/golden-inn.html, friendlyName=เปิดเว็บเพิ่ม 2</x:v>
      </x:c>
      <x:c r="N463" s="8" t="str">
        <x:v>ยังไม่ยืนยัน</x:v>
      </x:c>
      <x:c r="O463" s="8" t="str">
        <x:v>ยังไม่ยืนยันวันที่โพสต์/รีวิวล่าสุดและการเปิดให้บริการปัจจุบัน</x:v>
      </x:c>
      <x:c r="P463" s="40" t="n">
        <x:v>46315</x:v>
      </x:c>
      <x:c r="Q463" s="59" t="str">
        <x:v>ยังไม่ตรวจ</x:v>
      </x:c>
      <x:c r="R463" s="59" t="str">
        <x:v>รอติดต่อ</x:v>
      </x:c>
    </x:row>
    <x:row r="464" ht="84" customHeight="1">
      <x:c r="A464" s="2" t="str">
        <x:v>TMF-456</x:v>
      </x:c>
      <x:c r="B464" s="8" t="str">
        <x:v>KC Place Hotel</x:v>
      </x:c>
      <x:c r="C464" s="8" t="str">
        <x:v>กรุงเทพมหานคร</x:v>
      </x:c>
      <x:c r="D464" s="8" t="str">
        <x:v>สำรองหลังปรับตามเส้นทาง</x:v>
      </x:c>
      <x:c r="E464" s="8" t="str">
        <x:v>พบหลายแหล่งสัมพันธ์กับชื่อ รอยืนยันการเปิด</x:v>
      </x:c>
      <x:c r="F464" s="8" t="str">
        <x:v>ยังไม่ยืนยันการเปิดให้บริการปัจจุบัน</x:v>
      </x:c>
      <x:c r="G464" s="58" t="n">
        <x:v>5</x:v>
      </x:c>
      <x:c r="H464" s="52"/>
      <x:c r="I464" s="52"/>
      <x:c r="J464" s="52" t="str">
        <x:v>HYPERLINK is not implemented. linkLocation=https://www.booking.com/hotel/th/kc-place.th.html, friendlyName=เปิดหน้ารีวิว 1</x:v>
      </x:c>
      <x:c r="K464" s="52" t="str">
        <x:v>HYPERLINK is not implemented. linkLocation=https://www.google.co.th/travel/hotels/entity/ChgItuOGvM_rxfyGARoLL2cvMXRnNGh2MTIQAQ, friendlyName=เปิดหน้ารีวิว 2</x:v>
      </x:c>
      <x:c r="L464" s="52"/>
      <x:c r="M464" s="52"/>
      <x:c r="N464" s="8" t="str">
        <x:v>ยังไม่ยืนยัน</x:v>
      </x:c>
      <x:c r="O46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4" s="40" t="n">
        <x:v>46315</x:v>
      </x:c>
      <x:c r="Q464" s="59" t="str">
        <x:v>ยังไม่ตรวจ</x:v>
      </x:c>
      <x:c r="R464" s="59" t="str">
        <x:v>รอติดต่อ</x:v>
      </x:c>
    </x:row>
    <x:row r="465" ht="84" customHeight="1">
      <x:c r="A465" s="2" t="str">
        <x:v>TMF-457</x:v>
      </x:c>
      <x:c r="B465" s="8" t="str">
        <x:v>Khaosan Palace Hotel</x:v>
      </x:c>
      <x:c r="C465" s="8" t="str">
        <x:v>กรุงเทพมหานคร</x:v>
      </x:c>
      <x:c r="D465" s="8" t="str">
        <x:v>สำรองหลังปรับตามเส้นทาง</x:v>
      </x:c>
      <x:c r="E465" s="8" t="str">
        <x:v>พบหลายแหล่งสัมพันธ์กับชื่อ รอยืนยันการเปิด</x:v>
      </x:c>
      <x:c r="F465" s="8" t="str">
        <x:v>ยังไม่ยืนยันการเปิดให้บริการปัจจุบัน</x:v>
      </x:c>
      <x:c r="G465" s="58" t="n">
        <x:v>7</x:v>
      </x:c>
      <x:c r="H465" s="52"/>
      <x:c r="I465" s="52"/>
      <x:c r="J465" s="52" t="str">
        <x:v>HYPERLINK is not implemented. linkLocation=https://www.tripadvisor.com/Hotel_Review-g293916-d2194606-Reviews-Khaosan_Palace_Hotel-Bangkok.html, friendlyName=เปิดหน้ารีวิว 1</x:v>
      </x:c>
      <x:c r="K465" s="52" t="str">
        <x:v>HYPERLINK is not implemented. linkLocation=https://www.agoda.com/khaosan-palace-hotel/hotel/bangkok-th.html, friendlyName=เปิดหน้ารีวิว 2</x:v>
      </x:c>
      <x:c r="L465" s="52" t="str">
        <x:v>HYPERLINK is not implemented. linkLocation=https://www.khaosanpalace.com/, friendlyName=เปิดเว็บเพิ่ม 1</x:v>
      </x:c>
      <x:c r="M465" s="52"/>
      <x:c r="N465" s="8" t="str">
        <x:v>ยังไม่ยืนยัน</x:v>
      </x:c>
      <x:c r="O46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5" s="40" t="n">
        <x:v>46315</x:v>
      </x:c>
      <x:c r="Q465" s="59" t="str">
        <x:v>ยังไม่ตรวจ</x:v>
      </x:c>
      <x:c r="R465" s="59" t="str">
        <x:v>รอติดต่อ</x:v>
      </x:c>
    </x:row>
    <x:row r="466" ht="84" customHeight="1">
      <x:c r="A466" s="2" t="str">
        <x:v>TMF-458</x:v>
      </x:c>
      <x:c r="B466" s="8" t="str">
        <x:v>Luck Hotel Huai Khwang MRT Ratchada</x:v>
      </x:c>
      <x:c r="C466" s="8" t="str">
        <x:v>กรุงเทพมหานคร</x:v>
      </x:c>
      <x:c r="D466" s="8" t="str">
        <x:v>สำรองหลังปรับตามเส้นทาง</x:v>
      </x:c>
      <x:c r="E466" s="8" t="str">
        <x:v>พบหลายแหล่งสัมพันธ์กับชื่อ รอยืนยันการเปิด</x:v>
      </x:c>
      <x:c r="F466" s="8" t="str">
        <x:v>ยังไม่ยืนยันการเปิดให้บริการปัจจุบัน</x:v>
      </x:c>
      <x:c r="G466" s="58" t="n">
        <x:v>5</x:v>
      </x:c>
      <x:c r="H466" s="52"/>
      <x:c r="I466" s="52"/>
      <x:c r="J466" s="52" t="str">
        <x:v>HYPERLINK is not implemented. linkLocation=https://www.google.co.th/travel/hotels/entity/ChoIlpzGw6n9q8rYARoNL2cvMTF5bHFkMHJ4MxAB, friendlyName=เปิดหน้ารีวิว 1</x:v>
      </x:c>
      <x:c r="K466" s="52" t="str">
        <x:v>HYPERLINK is not implemented. linkLocation=https://www.agoda.com/luck-hotel-huai-khwang-mrt-ratchada/hotel/bangkok-th.html, friendlyName=เปิดหน้ารีวิว 2</x:v>
      </x:c>
      <x:c r="L466" s="52"/>
      <x:c r="M466" s="52"/>
      <x:c r="N466" s="8" t="str">
        <x:v>ยังไม่ยืนยัน</x:v>
      </x:c>
      <x:c r="O46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6" s="40" t="n">
        <x:v>46315</x:v>
      </x:c>
      <x:c r="Q466" s="59" t="str">
        <x:v>ยังไม่ตรวจ</x:v>
      </x:c>
      <x:c r="R466" s="59" t="str">
        <x:v>รอติดต่อ</x:v>
      </x:c>
    </x:row>
    <x:row r="467" ht="84" customHeight="1">
      <x:c r="A467" s="2" t="str">
        <x:v>TMF-459</x:v>
      </x:c>
      <x:c r="B467" s="8" t="str">
        <x:v>Mode Sathorn Hotel Bangkok</x:v>
      </x:c>
      <x:c r="C467" s="8" t="str">
        <x:v>กรุงเทพมหานคร</x:v>
      </x:c>
      <x:c r="D467" s="8" t="str">
        <x:v>สำรองหลังปรับตามเส้นทาง</x:v>
      </x:c>
      <x:c r="E467" s="8" t="str">
        <x:v>พบหลายแหล่งสัมพันธ์กับชื่อ รอยืนยันการเปิด</x:v>
      </x:c>
      <x:c r="F467" s="8" t="str">
        <x:v>ยังไม่ยืนยันการเปิดให้บริการปัจจุบัน</x:v>
      </x:c>
      <x:c r="G467" s="58" t="n">
        <x:v>6</x:v>
      </x:c>
      <x:c r="H467" s="52"/>
      <x:c r="I467" s="52"/>
      <x:c r="J467" s="52" t="str">
        <x:v>HYPERLINK is not implemented. linkLocation=https://www.google.co.th/travel/hotels/entity/ChkIprvootb9vrUhGg0vZy8xMWwyM3B4Yms4EAE?gl=th&amp;hl=en&amp;rp=OAHCAhwiGg0AgKhEEhMIhNmggbHklgMVlyI1Bx2aKiVB&amp;ts=CAEaIAoCGgASGhIUCgcI6g8QCRgUEgcI6g8QCRgVGAEyAhAAKgkKBToDVEhCGgA, friendlyName=เปิดหน้ารีวิว 1</x:v>
      </x:c>
      <x:c r="K467" s="52" t="str">
        <x:v>HYPERLINK is not implemented. linkLocation=https://www.google.co.th/travel/hotels/entity/ChkIprvootb9vrUhGg0vZy8xMWwyM3B4Yms4EAE?rp=OAHCAhciFRITCKrw8tbe2JUDFZ32SwMdeC0rjA&amp;ts=CAESCgoCCAMKAggDEAAaIAoCGgASGhIUCgcI6g8QChgLEgcI6g8QChgOGAMyAhAAKgkKBToDVVNEGgA, friendlyName=เปิดหน้ารีวิว 2</x:v>
      </x:c>
      <x:c r="L467" s="52"/>
      <x:c r="M467" s="52"/>
      <x:c r="N467" s="8" t="str">
        <x:v>ยังไม่ยืนยัน</x:v>
      </x:c>
      <x:c r="O46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7" s="40" t="n">
        <x:v>46315</x:v>
      </x:c>
      <x:c r="Q467" s="59" t="str">
        <x:v>ยังไม่ตรวจ</x:v>
      </x:c>
      <x:c r="R467" s="59" t="str">
        <x:v>รอติดต่อ</x:v>
      </x:c>
    </x:row>
    <x:row r="468" ht="84" customHeight="1">
      <x:c r="A468" s="2" t="str">
        <x:v>TMF-460</x:v>
      </x:c>
      <x:c r="B468" s="8" t="str">
        <x:v>My Hotel Ratchada CMYK</x:v>
      </x:c>
      <x:c r="C468" s="8" t="str">
        <x:v>กรุงเทพมหานคร</x:v>
      </x:c>
      <x:c r="D468" s="8" t="str">
        <x:v>สำรองหลังปรับตามเส้นทาง</x:v>
      </x:c>
      <x:c r="E468" s="8" t="str">
        <x:v>พบหลายแหล่งสัมพันธ์กับชื่อ รอยืนยันการเปิด</x:v>
      </x:c>
      <x:c r="F468" s="8" t="str">
        <x:v>ยังไม่ยืนยันการเปิดให้บริการปัจจุบัน</x:v>
      </x:c>
      <x:c r="G468" s="58" t="n">
        <x:v>2</x:v>
      </x:c>
      <x:c r="H468" s="52"/>
      <x:c r="I468" s="52"/>
      <x:c r="J468" s="52" t="str">
        <x:v>HYPERLINK is not implemented. linkLocation=https://www.google.co.th/travel/hotels/entity/CgsI27KVhqi8kZX1ARAB, friendlyName=เปิดหน้ารีวิว 1</x:v>
      </x:c>
      <x:c r="K468" s="52" t="str">
        <x:v>HYPERLINK is not implemented. linkLocation=https://www.google.co.th/travel/hotels/entity/CgsI27KVhqi8kZX1ARAB?ts=CAESABogCgIaABIaEhQKBwjlDxAKGAsSBwjlDxAKGAwYATICEAAqCQoFOgNVU0QaAA, friendlyName=เปิดหน้ารีวิว 2</x:v>
      </x:c>
      <x:c r="L468" s="52"/>
      <x:c r="M468" s="52"/>
      <x:c r="N468" s="8" t="str">
        <x:v>ยังไม่ยืนยัน</x:v>
      </x:c>
      <x:c r="O46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8" s="40" t="n">
        <x:v>46315</x:v>
      </x:c>
      <x:c r="Q468" s="59" t="str">
        <x:v>ยังไม่ตรวจ</x:v>
      </x:c>
      <x:c r="R468" s="59" t="str">
        <x:v>รอติดต่อ</x:v>
      </x:c>
    </x:row>
    <x:row r="469" ht="84" customHeight="1">
      <x:c r="A469" s="2" t="str">
        <x:v>TMF-461</x:v>
      </x:c>
      <x:c r="B469" s="8" t="str">
        <x:v>My Hotel ประตูน้ำ</x:v>
      </x:c>
      <x:c r="C469" s="8" t="str">
        <x:v>กรุงเทพมหานคร</x:v>
      </x:c>
      <x:c r="D469" s="8" t="str">
        <x:v>สำรองหลังปรับตามเส้นทาง</x:v>
      </x:c>
      <x:c r="E469" s="8" t="str">
        <x:v>พบหลายแหล่งสัมพันธ์กับชื่อ รอยืนยันการเปิด</x:v>
      </x:c>
      <x:c r="F469" s="8" t="str">
        <x:v>ยังไม่ยืนยันการเปิดให้บริการปัจจุบัน</x:v>
      </x:c>
      <x:c r="G469" s="58" t="n">
        <x:v>3</x:v>
      </x:c>
      <x:c r="H469" s="52"/>
      <x:c r="I469" s="52"/>
      <x:c r="J469" s="52" t="str">
        <x:v>HYPERLINK is not implemented. linkLocation=https://www.google.co.th/travel/hotels/entity/ChkIlZaEsKb8wfCpARoML2cvMTF4Z2t4cWY2EAE?rp=OAHCAhwiGg0AADBCEhMI4rD9q7zHlQMVofNLAx380BZ2&amp;ts=CAEaBAoCGgAqBAoAGgA, friendlyName=เปิดหน้ารีวิว 1</x:v>
      </x:c>
      <x:c r="K469" s="52" t="str">
        <x:v>HYPERLINK is not implemented. linkLocation=https://www.google.co.th/travel/hotels/entity/ChkIlZaEsKb8wfCpARoML2cvMTF4Z2t4cWY2EAE?ap=ugEGcHJpY2Vz&amp;q=%E0%B8%95%E0%B8%B3%E0%B8%9A%E0%B8%A5+%E0%B8%9A%E0%B8%B2%E0%B8%87%E0%B8%81%E0%B8%AD%E0%B8%9A%E0%B8%B1%E0%B8%A7&amp;qs=OAA&amp;ts=CAEaBAoCGgAqBAoAGgA, friendlyName=เปิดหน้ารีวิว 2</x:v>
      </x:c>
      <x:c r="L469" s="52" t="str">
        <x:v>HYPERLINK is not implemented. linkLocation=https://thai.beautihost.com/bangkok/agency/?q=my+hotel+pratunam, friendlyName=เปิดเว็บเพิ่ม 1</x:v>
      </x:c>
      <x:c r="M469" s="52"/>
      <x:c r="N469" s="8" t="str">
        <x:v>ยังไม่ยืนยัน</x:v>
      </x:c>
      <x:c r="O46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69" s="40" t="n">
        <x:v>46315</x:v>
      </x:c>
      <x:c r="Q469" s="59" t="str">
        <x:v>ยังไม่ตรวจ</x:v>
      </x:c>
      <x:c r="R469" s="59" t="str">
        <x:v>รอติดต่อ</x:v>
      </x:c>
    </x:row>
    <x:row r="470" ht="84" customHeight="1">
      <x:c r="A470" s="2" t="str">
        <x:v>TMF-462</x:v>
      </x:c>
      <x:c r="B470" s="8" t="str">
        <x:v>Pratunam City Inn Hotel</x:v>
      </x:c>
      <x:c r="C470" s="8" t="str">
        <x:v>กรุงเทพมหานคร</x:v>
      </x:c>
      <x:c r="D470" s="8" t="str">
        <x:v>สำรองหลังปรับตามเส้นทาง</x:v>
      </x:c>
      <x:c r="E470" s="8" t="str">
        <x:v>พบหลายแหล่งสัมพันธ์กับชื่อ รอยืนยันการเปิด</x:v>
      </x:c>
      <x:c r="F470" s="8" t="str">
        <x:v>ยังไม่ยืนยันการเปิดให้บริการปัจจุบัน</x:v>
      </x:c>
      <x:c r="G470" s="58" t="n">
        <x:v>3</x:v>
      </x:c>
      <x:c r="H470" s="52"/>
      <x:c r="I470" s="52"/>
      <x:c r="J470" s="52" t="str">
        <x:v>HYPERLINK is not implemented. linkLocation=https://www.google.com/travel/hotels/entity/ChgIzq-zj66VtdiLARoLL2cvMXR4MTJ0cW0QAQ, friendlyName=เปิดหน้ารีวิว 1</x:v>
      </x:c>
      <x:c r="K470" s="52" t="str">
        <x:v>HYPERLINK is not implemented. linkLocation=https://www.google.co.th/travel/hotels/entity/ChgIzq-zj66VtdiLARoLL2cvMXR4MTJ0cW0QAQ, friendlyName=เปิดหน้ารีวิว 2</x:v>
      </x:c>
      <x:c r="L470" s="52" t="str">
        <x:v>HYPERLINK is not implemented. linkLocation=https://www.makemytrip.global/hotels-international/en-us/thailand/bangkok-hotels/review-of-pratunam_city_inn-details.html, friendlyName=เปิดเว็บเพิ่ม 1</x:v>
      </x:c>
      <x:c r="M470" s="52"/>
      <x:c r="N470" s="8" t="str">
        <x:v>ยังไม่ยืนยัน</x:v>
      </x:c>
      <x:c r="O47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0" s="40" t="n">
        <x:v>46315</x:v>
      </x:c>
      <x:c r="Q470" s="59" t="str">
        <x:v>ยังไม่ตรวจ</x:v>
      </x:c>
      <x:c r="R470" s="59" t="str">
        <x:v>รอติดต่อ</x:v>
      </x:c>
    </x:row>
    <x:row r="471" ht="84" customHeight="1">
      <x:c r="A471" s="2" t="str">
        <x:v>TMF-463</x:v>
      </x:c>
      <x:c r="B471" s="8" t="str">
        <x:v>Public House Sukhumvit 31 Hotel</x:v>
      </x:c>
      <x:c r="C471" s="8" t="str">
        <x:v>กรุงเทพมหานคร</x:v>
      </x:c>
      <x:c r="D471" s="8" t="str">
        <x:v>สำรองหลังปรับตามเส้นทาง</x:v>
      </x:c>
      <x:c r="E471" s="8" t="str">
        <x:v>พบหลายแหล่งสัมพันธ์กับชื่อ รอยืนยันการเปิด</x:v>
      </x:c>
      <x:c r="F471" s="8" t="str">
        <x:v>ยังไม่ยืนยันการเปิดให้บริการปัจจุบัน</x:v>
      </x:c>
      <x:c r="G471" s="58" t="n">
        <x:v>6</x:v>
      </x:c>
      <x:c r="H471" s="52"/>
      <x:c r="I471" s="52"/>
      <x:c r="J471" s="52" t="str">
        <x:v>HYPERLINK is not implemented. linkLocation=https://www.google.co.th/travel/hotels/entity/ChoI3bTwoqW6lu3sARoNL2cvMTF0NXN4NGx6MBAB, friendlyName=เปิดหน้ารีวิว 1</x:v>
      </x:c>
      <x:c r="K471" s="52"/>
      <x:c r="L471" s="52" t="str">
        <x:v>HYPERLINK is not implemented. linkLocation=https://www.trustindex.io/reviews/publichouse-hotels.com, friendlyName=เปิดเว็บเพิ่ม 1</x:v>
      </x:c>
      <x:c r="M471" s="52" t="str">
        <x:v>HYPERLINK is not implemented. linkLocation=https://web.hungryhub.com/en/restaurants/open-bar-l-public-house-sukhumvit-31-hotel-bangkok/reviews/mkeGj, friendlyName=เปิดเว็บเพิ่ม 2</x:v>
      </x:c>
      <x:c r="N471" s="8" t="str">
        <x:v>ยังไม่ยืนยัน</x:v>
      </x:c>
      <x:c r="O47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1" s="40" t="n">
        <x:v>46315</x:v>
      </x:c>
      <x:c r="Q471" s="59" t="str">
        <x:v>ยังไม่ตรวจ</x:v>
      </x:c>
      <x:c r="R471" s="59" t="str">
        <x:v>รอติดต่อ</x:v>
      </x:c>
    </x:row>
    <x:row r="472" ht="84" customHeight="1">
      <x:c r="A472" s="2" t="str">
        <x:v>TMF-464</x:v>
      </x:c>
      <x:c r="B472" s="8" t="str">
        <x:v>RoomQuest Bangkok Sukhumvit 50</x:v>
      </x:c>
      <x:c r="C472" s="8" t="str">
        <x:v>กรุงเทพมหานคร</x:v>
      </x:c>
      <x:c r="D472" s="8" t="str">
        <x:v>สำรองหลังปรับตามเส้นทาง</x:v>
      </x:c>
      <x:c r="E472" s="8" t="str">
        <x:v>พบหลายแหล่งสัมพันธ์กับชื่อ รอยืนยันการเปิด</x:v>
      </x:c>
      <x:c r="F472" s="8" t="str">
        <x:v>ยังไม่ยืนยันการเปิดให้บริการปัจจุบัน</x:v>
      </x:c>
      <x:c r="G472" s="58" t="n">
        <x:v>4</x:v>
      </x:c>
      <x:c r="H472" s="52"/>
      <x:c r="I472" s="52"/>
      <x:c r="J472" s="52" t="str">
        <x:v>HYPERLINK is not implemented. linkLocation=https://www.tripadvisor.co.uk/Hotel_Review-g293916-d26873701-Reviews-RoomQuest_Bangkok_Sukhumvit_50-Bangkok.html, friendlyName=เปิดหน้ารีวิว 1</x:v>
      </x:c>
      <x:c r="K472" s="52" t="str">
        <x:v>HYPERLINK is not implemented. linkLocation=https://www.tripadvisor.de/Hotel_Review-g293916-d26873701-Reviews-RoomQuest_Bangkok_Sukhumvit_50-Bangkok.html, friendlyName=เปิดหน้ารีวิว 2</x:v>
      </x:c>
      <x:c r="L472" s="52" t="str">
        <x:v>HYPERLINK is not implemented. linkLocation=https://dinogo.com/hotels/21218-roomquest-bangkok-sukhumvit-50, friendlyName=เปิดเว็บเพิ่ม 1</x:v>
      </x:c>
      <x:c r="M472" s="52" t="str">
        <x:v>HYPERLINK is not implemented. linkLocation=https://wheretorest.com/thailand/phra-khanong/roomquest-bangkok-sukhumvit-50, friendlyName=เปิดเว็บเพิ่ม 2</x:v>
      </x:c>
      <x:c r="N472" s="8" t="str">
        <x:v>ยังไม่ยืนยัน</x:v>
      </x:c>
      <x:c r="O47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2" s="40" t="n">
        <x:v>46315</x:v>
      </x:c>
      <x:c r="Q472" s="59" t="str">
        <x:v>ยังไม่ตรวจ</x:v>
      </x:c>
      <x:c r="R472" s="59" t="str">
        <x:v>รอติดต่อ</x:v>
      </x:c>
    </x:row>
    <x:row r="473" ht="84" customHeight="1">
      <x:c r="A473" s="2" t="str">
        <x:v>TMF-465</x:v>
      </x:c>
      <x:c r="B473" s="8" t="str">
        <x:v>Sleep Withinn Bangkok</x:v>
      </x:c>
      <x:c r="C473" s="8" t="str">
        <x:v>กรุงเทพมหานคร</x:v>
      </x:c>
      <x:c r="D473" s="8" t="str">
        <x:v>สำรองหลังปรับตามเส้นทาง</x:v>
      </x:c>
      <x:c r="E473" s="8" t="str">
        <x:v>พบหลายแหล่งสัมพันธ์กับชื่อ รอยืนยันการเปิด</x:v>
      </x:c>
      <x:c r="F473" s="8" t="str">
        <x:v>ยังไม่ยืนยันการเปิดให้บริการปัจจุบัน</x:v>
      </x:c>
      <x:c r="G473" s="58" t="n">
        <x:v>3</x:v>
      </x:c>
      <x:c r="H473" s="52"/>
      <x:c r="I473" s="52"/>
      <x:c r="J473" s="52" t="str">
        <x:v>HYPERLINK is not implemented. linkLocation=https://www.google.co.th/travel/hotels/entity/ChgI2Ke1nvHl7o2HARoLL2cvMXRka3pfbDEQAQ, friendlyName=เปิดหน้ารีวิว 1</x:v>
      </x:c>
      <x:c r="K473" s="52" t="str">
        <x:v>HYPERLINK is not implemented. linkLocation=https://www.booking.com/hotel/th/sleep-withinn.html, friendlyName=เปิดหน้ารีวิว 2</x:v>
      </x:c>
      <x:c r="L473" s="52"/>
      <x:c r="M473" s="52"/>
      <x:c r="N473" s="8" t="str">
        <x:v>ยังไม่ยืนยัน</x:v>
      </x:c>
      <x:c r="O47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3" s="40" t="n">
        <x:v>46315</x:v>
      </x:c>
      <x:c r="Q473" s="59" t="str">
        <x:v>ยังไม่ตรวจ</x:v>
      </x:c>
      <x:c r="R473" s="59" t="str">
        <x:v>รอติดต่อ</x:v>
      </x:c>
    </x:row>
    <x:row r="474" ht="84" customHeight="1">
      <x:c r="A474" s="2" t="str">
        <x:v>TMF-466</x:v>
      </x:c>
      <x:c r="B474" s="8" t="str">
        <x:v>The Quarter Saladaeng by UHG</x:v>
      </x:c>
      <x:c r="C474" s="8" t="str">
        <x:v>กรุงเทพมหานคร</x:v>
      </x:c>
      <x:c r="D474" s="8" t="str">
        <x:v>สำรองหลังปรับตามเส้นทาง</x:v>
      </x:c>
      <x:c r="E474" s="8" t="str">
        <x:v>พบหลายแหล่งสัมพันธ์กับชื่อ รอยืนยันการเปิด</x:v>
      </x:c>
      <x:c r="F474" s="8" t="str">
        <x:v>ยังไม่ยืนยันการเปิดให้บริการปัจจุบัน</x:v>
      </x:c>
      <x:c r="G474" s="58" t="n">
        <x:v>6</x:v>
      </x:c>
      <x:c r="H474" s="52"/>
      <x:c r="I474" s="52"/>
      <x:c r="J474" s="52" t="str">
        <x:v>HYPERLINK is not implemented. linkLocation=https://www.booking.com/hotel/th/siri-sathorn.th.html, friendlyName=เปิดหน้ารีวิว 1</x:v>
      </x:c>
      <x:c r="K474" s="52" t="str">
        <x:v>HYPERLINK is not implemented. linkLocation=https://www.tripadvisor.com/Hotel_Review-g293916-d553900-Reviews-The_Quarter_Saladaeng_By_UHG-Bangkok.html, friendlyName=เปิดหน้ารีวิว 2</x:v>
      </x:c>
      <x:c r="L474" s="52"/>
      <x:c r="M474" s="52"/>
      <x:c r="N474" s="8" t="str">
        <x:v>ยังไม่ยืนยัน</x:v>
      </x:c>
      <x:c r="O47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4" s="40" t="n">
        <x:v>46315</x:v>
      </x:c>
      <x:c r="Q474" s="59" t="str">
        <x:v>ยังไม่ตรวจ</x:v>
      </x:c>
      <x:c r="R474" s="59" t="str">
        <x:v>รอติดต่อ</x:v>
      </x:c>
    </x:row>
    <x:row r="475" ht="84" customHeight="1">
      <x:c r="A475" s="2" t="str">
        <x:v>TMF-467</x:v>
      </x:c>
      <x:c r="B475" s="8" t="str">
        <x:v>Tim Mansion Bangkok Hotel</x:v>
      </x:c>
      <x:c r="C475" s="8" t="str">
        <x:v>กรุงเทพมหานคร</x:v>
      </x:c>
      <x:c r="D475" s="8" t="str">
        <x:v>สำรองหลังปรับตามเส้นทาง</x:v>
      </x:c>
      <x:c r="E475" s="8" t="str">
        <x:v>พบหลายแหล่งสัมพันธ์กับชื่อ รอยืนยันการเปิด</x:v>
      </x:c>
      <x:c r="F475" s="8" t="str">
        <x:v>ยังไม่ยืนยันการเปิดให้บริการปัจจุบัน</x:v>
      </x:c>
      <x:c r="G475" s="58" t="n">
        <x:v>5</x:v>
      </x:c>
      <x:c r="H475" s="52"/>
      <x:c r="I475" s="52"/>
      <x:c r="J475" s="52" t="str">
        <x:v>HYPERLINK is not implemented. linkLocation=https://www.google.co.th/travel/hotels/entity/ChkIz7CP0_DF4NWxARoML2cvMTJoa2ZnX3BxEAE?rp=OAHCAhwiGg0AAJhBEhMIlKSZxuHflQMVCv5LAx1l3RQR&amp;ts=CAEaBAoCGgAqBAoAGgA, friendlyName=เปิดหน้ารีวิว 1</x:v>
      </x:c>
      <x:c r="K475" s="52" t="str">
        <x:v>HYPERLINK is not implemented. linkLocation=https://www.google.com/travel/hotels/entity/CgsIz7CP0_DF4NWxARAB?gsas=1, friendlyName=เปิดหน้ารีวิว 2</x:v>
      </x:c>
      <x:c r="L475" s="52" t="str">
        <x:v>HYPERLINK is not implemented. linkLocation=https://www.gother.com/en-us/hotels/thailand/bangkok/phra-nakhon/tim-mansion-bangkok-hotel, friendlyName=เปิดเว็บเพิ่ม 1</x:v>
      </x:c>
      <x:c r="M475" s="52"/>
      <x:c r="N475" s="8" t="str">
        <x:v>ยังไม่ยืนยัน</x:v>
      </x:c>
      <x:c r="O47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5" s="40" t="n">
        <x:v>46315</x:v>
      </x:c>
      <x:c r="Q475" s="59" t="str">
        <x:v>ยังไม่ตรวจ</x:v>
      </x:c>
      <x:c r="R475" s="59" t="str">
        <x:v>รอติดต่อ</x:v>
      </x:c>
    </x:row>
    <x:row r="476" ht="84" customHeight="1">
      <x:c r="A476" s="2" t="str">
        <x:v>TMF-468</x:v>
      </x:c>
      <x:c r="B476" s="8" t="str">
        <x:v>Vignette Collection Sindhorn Midtown Hotel Bangkok</x:v>
      </x:c>
      <x:c r="C476" s="8" t="str">
        <x:v>กรุงเทพมหานคร</x:v>
      </x:c>
      <x:c r="D476" s="8" t="str">
        <x:v>สำรองหลังปรับตามเส้นทาง</x:v>
      </x:c>
      <x:c r="E476" s="8" t="str">
        <x:v>พบหลายแหล่งสัมพันธ์กับชื่อ รอยืนยันการเปิด</x:v>
      </x:c>
      <x:c r="F476" s="8" t="str">
        <x:v>ยังไม่ยืนยันการเปิดให้บริการปัจจุบัน</x:v>
      </x:c>
      <x:c r="G476" s="58" t="n">
        <x:v>3</x:v>
      </x:c>
      <x:c r="H476" s="52"/>
      <x:c r="I476" s="52"/>
      <x:c r="J476" s="52" t="str">
        <x:v>HYPERLINK is not implemented. linkLocation=https://www.google.co.th/travel/hotels/entity/CgoIqqn058G0t4QgEAE?ts=CAEaBAoCGgAqBAoAGgA, friendlyName=เปิดหน้ารีวิว 1</x:v>
      </x:c>
      <x:c r="K476" s="52"/>
      <x:c r="L476" s="52" t="str">
        <x:v>HYPERLINK is not implemented. linkLocation=https://www.sindhornmidtown.com/vignette-collection, friendlyName=เปิดเว็บเพิ่ม 1</x:v>
      </x:c>
      <x:c r="M476" s="52" t="str">
        <x:v>HYPERLINK is not implemented. linkLocation=https://www.sindhornmidtown.com/dine/sip-and-co/sip-and-co-to-go, friendlyName=เปิดเว็บเพิ่ม 2</x:v>
      </x:c>
      <x:c r="N476" s="8" t="str">
        <x:v>ยังไม่ยืนยัน</x:v>
      </x:c>
      <x:c r="O47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6" s="40" t="n">
        <x:v>46315</x:v>
      </x:c>
      <x:c r="Q476" s="59" t="str">
        <x:v>ยังไม่ตรวจ</x:v>
      </x:c>
      <x:c r="R476" s="59" t="str">
        <x:v>รอติดต่อ</x:v>
      </x:c>
    </x:row>
    <x:row r="477" ht="84" customHeight="1">
      <x:c r="A477" s="2" t="str">
        <x:v>TMF-469</x:v>
      </x:c>
      <x:c r="B477" s="8" t="str">
        <x:v>ข้าวสารพาร์ครีสอร์ท</x:v>
      </x:c>
      <x:c r="C477" s="8" t="str">
        <x:v>กรุงเทพมหานคร</x:v>
      </x:c>
      <x:c r="D477" s="8" t="str">
        <x:v>สำรองหลังปรับตามเส้นทาง</x:v>
      </x:c>
      <x:c r="E477" s="8" t="str">
        <x:v>พบหลายแหล่งสัมพันธ์กับชื่อ รอยืนยันการเปิด</x:v>
      </x:c>
      <x:c r="F477" s="8" t="str">
        <x:v>ยังไม่ยืนยันการเปิดให้บริการปัจจุบัน</x:v>
      </x:c>
      <x:c r="G477" s="58" t="n">
        <x:v>3</x:v>
      </x:c>
      <x:c r="H477" s="52"/>
      <x:c r="I477" s="52"/>
      <x:c r="J477" s="52" t="str">
        <x:v>HYPERLINK is not implemented. linkLocation=https://www.google.co.th/travel/hotels/entity/ChgIrPaT1uqHna2gARoLL2cvMXR4MTJ0bDgQAQ?rp=OAHCAhwiGg0AAARCEhMIgaWPzam_iAMV1EOrAh2D9SPp&amp;ts=CAEaIgoCGgASHBIUCgcI6g8QAxgPEgcI6g8QAxgQGAEyAhAAOAEqBAoAGgA, friendlyName=เปิดหน้ารีวิว 1</x:v>
      </x:c>
      <x:c r="K477" s="52" t="str">
        <x:v>HYPERLINK is not implemented. linkLocation=https://www.google.co.th/travel/hotels/entity/ChgIrPaT1uqHna2gARoLL2cvMXR4MTJ0bDgQAQ?rp=OAHCAhwiGg0AAJBBEhMItvi9so7JlQMVtMZDAx2CECnU&amp;ts=CAEaBAoCGgAqBAoAGgA, friendlyName=เปิดหน้ารีวิว 2</x:v>
      </x:c>
      <x:c r="L477" s="52"/>
      <x:c r="M477" s="52"/>
      <x:c r="N477" s="8" t="str">
        <x:v>ยังไม่ยืนยัน</x:v>
      </x:c>
      <x:c r="O47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7" s="40" t="n">
        <x:v>46315</x:v>
      </x:c>
      <x:c r="Q477" s="59" t="str">
        <x:v>ยังไม่ตรวจ</x:v>
      </x:c>
      <x:c r="R477" s="59" t="str">
        <x:v>รอติดต่อ</x:v>
      </x:c>
    </x:row>
    <x:row r="478" ht="84" customHeight="1">
      <x:c r="A478" s="2" t="str">
        <x:v>TMF-470</x:v>
      </x:c>
      <x:c r="B478" s="8" t="str">
        <x:v>ควอเทียร์ บาย มอนทราจ สุขุมวิท</x:v>
      </x:c>
      <x:c r="C478" s="8" t="str">
        <x:v>กรุงเทพมหานคร</x:v>
      </x:c>
      <x:c r="D478" s="8" t="str">
        <x:v>สำรองหลังปรับตามเส้นทาง</x:v>
      </x:c>
      <x:c r="E478" s="8" t="str">
        <x:v>พบหลายแหล่งสัมพันธ์กับชื่อ รอยืนยันการเปิด</x:v>
      </x:c>
      <x:c r="F478" s="8" t="str">
        <x:v>ยังไม่ยืนยันการเปิดให้บริการปัจจุบัน</x:v>
      </x:c>
      <x:c r="G478" s="58" t="n">
        <x:v>9</x:v>
      </x:c>
      <x:c r="H478" s="52"/>
      <x:c r="I478" s="52"/>
      <x:c r="J478" s="52" t="str">
        <x:v>HYPERLINK is not implemented. linkLocation=https://www.google.co.th/travel/hotels/entity/ChkInoWL4v3rlfIvGg0vZy8xMW1xOXlreGJuEAE, friendlyName=เปิดหน้ารีวิว 1</x:v>
      </x:c>
      <x:c r="K478" s="52" t="str">
        <x:v>HYPERLINK is not implemented. linkLocation=https://th.trip.com/hotels/bangkok-hotel-detail-81067775/quartier-by-montraj-sukhumvit-bangkok/review.html, friendlyName=เปิดหน้ารีวิว 2</x:v>
      </x:c>
      <x:c r="L478" s="52" t="str">
        <x:v>HYPERLINK is not implemented. linkLocation=https://www.traveloka.com/th-th/hotel/thailand/the-quartier-hotel-phrom-phong---thonglor-bangkok-9000001036348, friendlyName=เปิดเว็บเพิ่ม 1</x:v>
      </x:c>
      <x:c r="M478" s="52" t="str">
        <x:v>HYPERLINK is not implemented. linkLocation=https://www.klook.com/th/hotels/detail/678890-quartier-by-montraj-sukhumvit/, friendlyName=เปิดเว็บเพิ่ม 2</x:v>
      </x:c>
      <x:c r="N478" s="8" t="str">
        <x:v>ยังไม่ยืนยัน</x:v>
      </x:c>
      <x:c r="O47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8" s="40" t="n">
        <x:v>46315</x:v>
      </x:c>
      <x:c r="Q478" s="59" t="str">
        <x:v>ยังไม่ตรวจ</x:v>
      </x:c>
      <x:c r="R478" s="59" t="str">
        <x:v>รอติดต่อ</x:v>
      </x:c>
    </x:row>
    <x:row r="479" ht="84" customHeight="1">
      <x:c r="A479" s="2" t="str">
        <x:v>TMF-471</x:v>
      </x:c>
      <x:c r="B479" s="8" t="str">
        <x:v>ฌานวิลล่า สุขุมวิท</x:v>
      </x:c>
      <x:c r="C479" s="8" t="str">
        <x:v>กรุงเทพมหานคร</x:v>
      </x:c>
      <x:c r="D479" s="8" t="str">
        <x:v>สำรองหลังปรับตามเส้นทาง</x:v>
      </x:c>
      <x:c r="E479" s="8" t="str">
        <x:v>พบหลายแหล่งสัมพันธ์กับชื่อ รอยืนยันการเปิด</x:v>
      </x:c>
      <x:c r="F479" s="8" t="str">
        <x:v>ยังไม่ยืนยันการเปิดให้บริการปัจจุบัน</x:v>
      </x:c>
      <x:c r="G479" s="58" t="n">
        <x:v>4</x:v>
      </x:c>
      <x:c r="H479" s="52"/>
      <x:c r="I479" s="52"/>
      <x:c r="J479" s="52" t="str">
        <x:v>HYPERLINK is not implemented. linkLocation=https://www.booking.com/hotel/th/shan-villas-sukhumvit.th.html, friendlyName=เปิดหน้ารีวิว 1</x:v>
      </x:c>
      <x:c r="K479" s="52" t="str">
        <x:v>HYPERLINK is not implemented. linkLocation=https://www.booking.com/hotel/th/shan-villas-sukhumvit.html?came_from_hotel_review=1&amp;keep_landing=1, friendlyName=เปิดหน้ารีวิว 2</x:v>
      </x:c>
      <x:c r="L479" s="52" t="str">
        <x:v>HYPERLINK is not implemented. linkLocation=https://123reserve.com/thailand/bangkok/shan-villas-sukhumvit, friendlyName=เปิดเว็บเพิ่ม 1</x:v>
      </x:c>
      <x:c r="M479" s="52"/>
      <x:c r="N479" s="8" t="str">
        <x:v>ยังไม่ยืนยัน</x:v>
      </x:c>
      <x:c r="O47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79" s="40" t="n">
        <x:v>46315</x:v>
      </x:c>
      <x:c r="Q479" s="59" t="str">
        <x:v>ยังไม่ตรวจ</x:v>
      </x:c>
      <x:c r="R479" s="59" t="str">
        <x:v>รอติดต่อ</x:v>
      </x:c>
    </x:row>
    <x:row r="480" ht="84" customHeight="1">
      <x:c r="A480" s="2" t="str">
        <x:v>TMF-472</x:v>
      </x:c>
      <x:c r="B480" s="8" t="str">
        <x:v>นอนเยาวราช</x:v>
      </x:c>
      <x:c r="C480" s="8" t="str">
        <x:v>กรุงเทพมหานคร</x:v>
      </x:c>
      <x:c r="D480" s="8" t="str">
        <x:v>สำรองหลังปรับตามเส้นทาง</x:v>
      </x:c>
      <x:c r="E480" s="8" t="str">
        <x:v>พบหลายแหล่งสัมพันธ์กับชื่อ รอยืนยันการเปิด</x:v>
      </x:c>
      <x:c r="F480" s="8" t="str">
        <x:v>ยังไม่ยืนยันการเปิดให้บริการปัจจุบัน</x:v>
      </x:c>
      <x:c r="G480" s="58" t="n">
        <x:v>3</x:v>
      </x:c>
      <x:c r="H480" s="52"/>
      <x:c r="I480" s="52"/>
      <x:c r="J480" s="52" t="str">
        <x:v>HYPERLINK is not implemented. linkLocation=https://www.google.co.th/travel/hotels/entity/ChoI_MeMp-m5hvKbARoNL2cvMTFkZHpxYzZxYhAB?rp=OAHCAhwiGg0AAJBBEhMItvi9so7JlQMVtMZDAx2CECnU&amp;ts=CAEaBAoCGgAqBAoAGgA, friendlyName=เปิดหน้ารีวิว 1</x:v>
      </x:c>
      <x:c r="K480" s="52"/>
      <x:c r="L480" s="52" t="str">
        <x:v>HYPERLINK is not implemented. linkLocation=https://www.thaithurkic.com/%E0%B9%82%E0%B8%A3%E0%B8%87%E0%B9%81%E0%B8%A3%E0%B8%A1%E0%B8%99%E0%B8%AD%E0%B8%99%E0%B9%80%E0%B8%A2%E0%B8%B2%E0%B8%A7%E0%B8%A3%E0%B8%B2%E0%B8%8A-097-456-4942, friendlyName=เปิดเว็บเพิ่ม 1</x:v>
      </x:c>
      <x:c r="M480" s="52"/>
      <x:c r="N480" s="8" t="str">
        <x:v>ยังไม่ยืนยัน</x:v>
      </x:c>
      <x:c r="O48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80" s="40" t="n">
        <x:v>46315</x:v>
      </x:c>
      <x:c r="Q480" s="59" t="str">
        <x:v>ยังไม่ตรวจ</x:v>
      </x:c>
      <x:c r="R480" s="59" t="str">
        <x:v>รอติดต่อ</x:v>
      </x:c>
    </x:row>
    <x:row r="481" ht="84" customHeight="1">
      <x:c r="A481" s="2" t="str">
        <x:v>TMF-473</x:v>
      </x:c>
      <x:c r="B481" s="8" t="str">
        <x:v>ฟูราม่า สีลม</x:v>
      </x:c>
      <x:c r="C481" s="8" t="str">
        <x:v>กรุงเทพมหานคร</x:v>
      </x:c>
      <x:c r="D481" s="8" t="str">
        <x:v>สำรองหลังปรับตามเส้นทาง</x:v>
      </x:c>
      <x:c r="E481" s="8" t="str">
        <x:v>พบหลายแหล่งสัมพันธ์กับชื่อ รอยืนยันการเปิด</x:v>
      </x:c>
      <x:c r="F481" s="8" t="str">
        <x:v>ยังไม่ยืนยันการเปิดให้บริการปัจจุบัน</x:v>
      </x:c>
      <x:c r="G481" s="58" t="n">
        <x:v>4</x:v>
      </x:c>
      <x:c r="H481" s="52"/>
      <x:c r="I481" s="52"/>
      <x:c r="J481" s="52" t="str">
        <x:v>HYPERLINK is not implemented. linkLocation=https://www.wongnai.com/reviews/8dc47028bc0f485eb49b7c4c15e3d9e7, friendlyName=เปิดหน้ารีวิว 1</x:v>
      </x:c>
      <x:c r="K481" s="52" t="str">
        <x:v>HYPERLINK is not implemented. linkLocation=https://www.wongnai.com/reviews/5233979fef3f4fda8e9f89dc2a3d582d, friendlyName=เปิดหน้ารีวิว 2</x:v>
      </x:c>
      <x:c r="L481" s="52" t="str">
        <x:v>HYPERLINK is not implemented. linkLocation=https://www.unithaitravel.com/__files/t/as/21813-UNITHASQ.pdf?202204181046=, friendlyName=เปิดเว็บเพิ่ม 1</x:v>
      </x:c>
      <x:c r="M481" s="52"/>
      <x:c r="N481" s="8" t="str">
        <x:v>ยังไม่ยืนยัน</x:v>
      </x:c>
      <x:c r="O48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81" s="40" t="n">
        <x:v>46315</x:v>
      </x:c>
      <x:c r="Q481" s="59" t="str">
        <x:v>ยังไม่ตรวจ</x:v>
      </x:c>
      <x:c r="R481" s="59" t="str">
        <x:v>รอติดต่อ</x:v>
      </x:c>
    </x:row>
    <x:row r="482" ht="84" customHeight="1">
      <x:c r="A482" s="2" t="str">
        <x:v>TMF-474</x:v>
      </x:c>
      <x:c r="B482" s="8" t="str">
        <x:v>รอยัลวิว รีสอร์ท รางน้ำ</x:v>
      </x:c>
      <x:c r="C482" s="8" t="str">
        <x:v>กรุงเทพมหานคร</x:v>
      </x:c>
      <x:c r="D482" s="8" t="str">
        <x:v>สำรองหลังปรับตามเส้นทาง</x:v>
      </x:c>
      <x:c r="E482" s="8" t="str">
        <x:v>พบหลายแหล่งสัมพันธ์กับชื่อ รอยืนยันการเปิด</x:v>
      </x:c>
      <x:c r="F482" s="8" t="str">
        <x:v>ยังไม่ยืนยันการเปิดให้บริการปัจจุบัน</x:v>
      </x:c>
      <x:c r="G482" s="58" t="n">
        <x:v>4</x:v>
      </x:c>
      <x:c r="H482" s="52"/>
      <x:c r="I482" s="52"/>
      <x:c r="J482" s="52" t="str">
        <x:v>HYPERLINK is not implemented. linkLocation=https://www.booking.com/reviews/th/hotel/royal-view-resort-rang-nam.th.html, friendlyName=เปิดหน้ารีวิว 1</x:v>
      </x:c>
      <x:c r="K482" s="52" t="str">
        <x:v>HYPERLINK is not implemented. linkLocation=https://www.booking.com/hotel/th/royal-view-resort-rang-nam.th.html, friendlyName=เปิดหน้ารีวิว 2</x:v>
      </x:c>
      <x:c r="L482" s="52" t="str">
        <x:v>HYPERLINK is not implemented. linkLocation=https://www.kayak.co.th/%E0%B8%81%E0%B8%A3%E0%B8%B8%E0%B8%87%E0%B9%80%E0%B8%97%E0%B8%9E%E0%B8%A1%E0%B8%AB%E0%B8%B2%E0%B8%99%E0%B8%84%E0%B8%A3-%E0%B9%82%E0%B8%A3%E0%B8%87%E0%B9%81%E0%B8%A3%E0%B8%A1-%E0%B8%A3%E0%B8%AD%E0%B8%A2%E0%B8%B1%E0%B8%A5%E0%B8%A7%E0%B8%B4%E0%B8%A7%E0%B8%A3%E0%B8%B5%E0%B8%AA%E0%B8%AD%E0%B8%A3%E0%B9%8C%E0%B8%97.307951.ksp, friendlyName=เปิดเว็บเพิ่ม 1</x:v>
      </x:c>
      <x:c r="M482" s="52" t="str">
        <x:v>HYPERLINK is not implemented. linkLocation=https://www.hotelscombined.co.th/Hotel/Royal_View_Resort.htm, friendlyName=เปิดเว็บเพิ่ม 2</x:v>
      </x:c>
      <x:c r="N482" s="8" t="str">
        <x:v>ยังไม่ยืนยัน</x:v>
      </x:c>
      <x:c r="O48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82" s="40" t="n">
        <x:v>46315</x:v>
      </x:c>
      <x:c r="Q482" s="59" t="str">
        <x:v>ยังไม่ตรวจ</x:v>
      </x:c>
      <x:c r="R482" s="59" t="str">
        <x:v>รอติดต่อ</x:v>
      </x:c>
    </x:row>
    <x:row r="483" ht="84" customHeight="1">
      <x:c r="A483" s="2" t="str">
        <x:v>TMF-475</x:v>
      </x:c>
      <x:c r="B483" s="8" t="str">
        <x:v>รัชดา บูทีค โฮเทล</x:v>
      </x:c>
      <x:c r="C483" s="8" t="str">
        <x:v>กรุงเทพมหานคร</x:v>
      </x:c>
      <x:c r="D483" s="8" t="str">
        <x:v>อยู่ในชุด 600 ตามเส้นทาง</x:v>
      </x:c>
      <x:c r="E483" s="8" t="str">
        <x:v>พบชื่อสัมพันธ์หลายเว็บไซต์ รอยืนยันสาขา</x:v>
      </x:c>
      <x:c r="F483" s="8" t="str">
        <x:v>ยังไม่ยืนยันการเปิดให้บริการปัจจุบัน</x:v>
      </x:c>
      <x:c r="G483" s="58" t="n">
        <x:v>3</x:v>
      </x:c>
      <x:c r="H483" s="52" t="str"/>
      <x:c r="I483" s="52" t="str"/>
      <x:c r="J483" s="52" t="str">
        <x:v>https://www.google.co.th/travel/hotels/entity/ChoIsf6R3LXmyLT1ARoNL2cvMTFmZnYyenF2NBAB?rp=OAHCAhwiGg0AANBBEhMI08OWm4nIiAMVakKrAh2Pyihm&amp;ts=CAEaIgoCGgASHBIUCgcI6g8QChgeEgcI6g8QCxgGGAcyAhAAOAEqBAoAGgA</x:v>
      </x:c>
      <x:c r="K483" s="52" t="str">
        <x:v>https://www.google.co.th/travel/hotels/entity/ChoIsf6R3LXmyLT1ARoNL2cvMTFmZnYyenF2NBAB?rp=OAHCAhwiGg0AAJBBEhMIxqXM2b7IiAMV6KurBx28FypN&amp;ts=CAEaIgoCGgASHBIUCgcI6g8QCBgaEgcI6g8QCBgfGAUyAhAAOAEqBAoAGgA</x:v>
      </x:c>
      <x:c r="L483" s="52" t="str">
        <x:v>https://www.thic.or.th/th/tourist/detail/accommodation/715</x:v>
      </x:c>
      <x:c r="M483" s="52" t="str">
        <x:v>https://www.google.co.th/travel/hotels/entity/ChoIsf6R3LXmyLT1ARoNL2cvMTFmZnYyenF2NBAB?rp=OAHCAhwiGg0AANBBEhMI08OWm4nIiAMVakKrAh2Pyihm&amp;ts=CAEaIgoCGgASHBIUCgcI6g8QChgeEgcI6g8QCxgGGAcyAhAAOAEqBAoAGgA</x:v>
      </x:c>
      <x:c r="N483" s="8" t="str">
        <x:v>ยังไม่ยืนยัน</x:v>
      </x:c>
      <x:c r="O483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83" s="40" t="n">
        <x:v>46315</x:v>
      </x:c>
      <x:c r="Q483" s="59" t="str">
        <x:v>ยังไม่ตรวจ</x:v>
      </x:c>
      <x:c r="R483" s="59" t="str">
        <x:v>รอติดต่อ</x:v>
      </x:c>
    </x:row>
    <x:row r="484" ht="84" customHeight="1">
      <x:c r="A484" s="2" t="str">
        <x:v>TMF-476</x:v>
      </x:c>
      <x:c r="B484" s="8" t="str">
        <x:v>ลัคกี้เฮ้าส์</x:v>
      </x:c>
      <x:c r="C484" s="8" t="str">
        <x:v>กรุงเทพมหานคร</x:v>
      </x:c>
      <x:c r="D484" s="8" t="str">
        <x:v>สำรองหลังปรับตามเส้นทาง</x:v>
      </x:c>
      <x:c r="E484" s="8" t="str">
        <x:v>พบหลายแหล่งสัมพันธ์กับชื่อ รอยืนยันการเปิด</x:v>
      </x:c>
      <x:c r="F484" s="8" t="str">
        <x:v>ยังไม่ยืนยันการเปิดให้บริการปัจจุบัน</x:v>
      </x:c>
      <x:c r="G484" s="58" t="n">
        <x:v>6</x:v>
      </x:c>
      <x:c r="H484" s="52"/>
      <x:c r="I484" s="52"/>
      <x:c r="J484" s="52" t="str">
        <x:v>HYPERLINK is not implemented. linkLocation=https://th.tripadvisor.com/Hotel_Review-g293916-d2502209-Reviews-Lucky_House-Bangkok.html, friendlyName=เปิดหน้ารีวิว 1</x:v>
      </x:c>
      <x:c r="K484" s="52" t="str">
        <x:v>HYPERLINK is not implemented. linkLocation=https://www.google.co.th/travel/hotels/entity/CgsIn9TSkfzZ-_ThARAB?ap=MAC6AQZwcmljZXM&amp;g2lb=2502548%2C4258168%2C4260007%2C4274032%2C4276710%2C4305595%2C4306835%2C4308216%2C4308227%2C4314846%2C4317915%2C4328159%2C4329288%2C4330862%2C4341278%2C4346807%2C4356223%2C4358419%2C4270859%2C4284970%2C4316256&amp;gl=th&amp;hl=th&amp;rp=ENOqzJSt_67IdTgCQABIAg&amp;ts=CAEaIAoCGgASGhIUCgcI6g8QCBgREgcI6g8QCBgSGAEyAhAAKgkKBToDVEhCGgA&amp;un=1, friendlyName=เปิดหน้ารีวิว 2</x:v>
      </x:c>
      <x:c r="L484" s="52" t="str">
        <x:v>HYPERLINK is not implemented. linkLocation=https://www.skyscanner.co.th/hotels/thailand/bangkok-hotels/lucky-house-khaosan/ht-71830053, friendlyName=เปิดเว็บเพิ่ม 1</x:v>
      </x:c>
      <x:c r="M484" s="52" t="str">
        <x:v>HYPERLINK is not implemented. linkLocation=https://www.trip.co.th/hotels/th/lucky-house-bangkok/702077.html, friendlyName=เปิดเว็บเพิ่ม 2</x:v>
      </x:c>
      <x:c r="N484" s="8" t="str">
        <x:v>ยังไม่ยืนยัน</x:v>
      </x:c>
      <x:c r="O48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84" s="40" t="n">
        <x:v>46315</x:v>
      </x:c>
      <x:c r="Q484" s="59" t="str">
        <x:v>ยังไม่ตรวจ</x:v>
      </x:c>
      <x:c r="R484" s="59" t="str">
        <x:v>รอติดต่อ</x:v>
      </x:c>
    </x:row>
    <x:row r="485" ht="84" customHeight="1">
      <x:c r="A485" s="2" t="str">
        <x:v>TMF-477</x:v>
      </x:c>
      <x:c r="B485" s="8" t="str">
        <x:v>โซลิแทร์ แบงค็อก สุขุมวิท 11</x:v>
      </x:c>
      <x:c r="C485" s="8" t="str">
        <x:v>กรุงเทพมหานคร</x:v>
      </x:c>
      <x:c r="D485" s="8" t="str">
        <x:v>อยู่ในชุด 600 ตามเส้นทาง</x:v>
      </x:c>
      <x:c r="E485" s="8" t="str">
        <x:v>พบชื่อสัมพันธ์หลายเว็บไซต์ รอยืนยันสาขา</x:v>
      </x:c>
      <x:c r="F485" s="8" t="str">
        <x:v>ยังไม่ยืนยันการเปิดให้บริการปัจจุบัน</x:v>
      </x:c>
      <x:c r="G485" s="58" t="n">
        <x:v>2</x:v>
      </x:c>
      <x:c r="H485" s="52" t="str"/>
      <x:c r="I485" s="52" t="str"/>
      <x:c r="J485" s="52" t="str"/>
      <x:c r="K485" s="52" t="str"/>
      <x:c r="L485" s="52" t="str">
        <x:v>https://www.thic.or.th/th/tourist/detail/accommodation/662</x:v>
      </x:c>
      <x:c r="M485" s="52" t="str">
        <x:v>https://xn--12c7bhaw4iemu7j3c5c.com/hotel/2272/solitaire-bangkok-sukhumvit-11/</x:v>
      </x:c>
      <x:c r="N485" s="8" t="str">
        <x:v>ยังไม่ยืนยัน</x:v>
      </x:c>
      <x:c r="O485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85" s="40" t="n">
        <x:v>46315</x:v>
      </x:c>
      <x:c r="Q485" s="59" t="str">
        <x:v>ยังไม่ตรวจ</x:v>
      </x:c>
      <x:c r="R485" s="59" t="str">
        <x:v>รอติดต่อ</x:v>
      </x:c>
    </x:row>
    <x:row r="486" ht="84" customHeight="1">
      <x:c r="A486" s="2" t="str">
        <x:v>TMF-478</x:v>
      </x:c>
      <x:c r="B486" s="8" t="str">
        <x:v>โรงแรม วิลล่า เดอร์ ข้าวสาร</x:v>
      </x:c>
      <x:c r="C486" s="8" t="str">
        <x:v>กรุงเทพมหานคร</x:v>
      </x:c>
      <x:c r="D486" s="8" t="str">
        <x:v>อยู่ในชุด 600 ตามเส้นทาง</x:v>
      </x:c>
      <x:c r="E486" s="8" t="str">
        <x:v>พบชื่อสัมพันธ์หลายเว็บไซต์ รอยืนยันสาขา</x:v>
      </x:c>
      <x:c r="F486" s="8" t="str">
        <x:v>ยังไม่ยืนยันการเปิดให้บริการปัจจุบัน</x:v>
      </x:c>
      <x:c r="G486" s="58" t="n">
        <x:v>3</x:v>
      </x:c>
      <x:c r="H486" s="52" t="str"/>
      <x:c r="I486" s="52" t="str"/>
      <x:c r="J486" s="52" t="str">
        <x:v>https://www.google.co.th/travel/hotels/entity/ChoImpGG2u33lsOrARoNL2cvMTFmZmxfMzJkbBAB?ap=ugEGcHJpY2Vz&amp;rp=OAHCAhwiGg0AABhCEhMItp2z16CilgMVpN6fCR1_PA2E&amp;ts=CAEaBAoCGgAqBAoAGgA</x:v>
      </x:c>
      <x:c r="K486" s="52" t="str">
        <x:v>https://th.trip.com/hotels/bangkok-hotel-detail-27955655/villa-de-khaosan/review.html</x:v>
      </x:c>
      <x:c r="L486" s="52" t="str">
        <x:v>https://www.thic.or.th/th/tourist/detail/accommodation/702</x:v>
      </x:c>
      <x:c r="M486" s="52" t="str">
        <x:v>https://www.google.co.th/travel/hotels/entity/ChoImpGG2u33lsOrARoNL2cvMTFmZmxfMzJkbBAB?ap=ugEGcHJpY2Vz&amp;rp=OAHCAhwiGg0AABhCEhMItp2z16CilgMVpN6fCR1_PA2E&amp;ts=CAEaBAoCGgAqBAoAGgA</x:v>
      </x:c>
      <x:c r="N486" s="8" t="str">
        <x:v>ยังไม่ยืนยัน</x:v>
      </x:c>
      <x:c r="O486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86" s="40" t="n">
        <x:v>46315</x:v>
      </x:c>
      <x:c r="Q486" s="59" t="str">
        <x:v>ยังไม่ตรวจ</x:v>
      </x:c>
      <x:c r="R486" s="59" t="str">
        <x:v>รอติดต่อ</x:v>
      </x:c>
    </x:row>
    <x:row r="487" ht="84" customHeight="1">
      <x:c r="A487" s="2" t="str">
        <x:v>TMF-479</x:v>
      </x:c>
      <x:c r="B487" s="8" t="str">
        <x:v>โรงแรม อิมเพรส ห้วยขวาง</x:v>
      </x:c>
      <x:c r="C487" s="8" t="str">
        <x:v>กรุงเทพมหานคร</x:v>
      </x:c>
      <x:c r="D487" s="8" t="str">
        <x:v>อยู่ในชุด 600 ตามเส้นทาง</x:v>
      </x:c>
      <x:c r="E487" s="8" t="str">
        <x:v>พบชื่อสัมพันธ์หลายเว็บไซต์ รอยืนยันสาขา</x:v>
      </x:c>
      <x:c r="F487" s="8" t="str">
        <x:v>ยังไม่ยืนยันการเปิดให้บริการปัจจุบัน</x:v>
      </x:c>
      <x:c r="G487" s="58" t="n">
        <x:v>4</x:v>
      </x:c>
      <x:c r="H487" s="52" t="str"/>
      <x:c r="I487" s="52" t="str"/>
      <x:c r="J487" s="52" t="str">
        <x:v>https://www.google.com/travel/hotels/entity/ChoI_4rc1MSgz6ilARoNL2cvMTF5djczNWg1dBAB</x:v>
      </x:c>
      <x:c r="K487" s="52" t="str">
        <x:v>https://www.google.com/travel/hotels/entity/ChoI_4rc1MSgz6ilARoNL2cvMTF5djczNWg1dBAB?gsas=1</x:v>
      </x:c>
      <x:c r="L487" s="52" t="str">
        <x:v>https://www.thic.or.th/th/tourist/detail/accommodation/719</x:v>
      </x:c>
      <x:c r="M487" s="52" t="str">
        <x:v>https://www.google.com/travel/hotels/entity/ChoI_4rc1MSgz6ilARoNL2cvMTF5djczNWg1dBAB</x:v>
      </x:c>
      <x:c r="N487" s="8" t="str">
        <x:v>ยังไม่ยืนยัน</x:v>
      </x:c>
      <x:c r="O487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87" s="40" t="n">
        <x:v>46315</x:v>
      </x:c>
      <x:c r="Q487" s="59" t="str">
        <x:v>ยังไม่ตรวจ</x:v>
      </x:c>
      <x:c r="R487" s="59" t="str">
        <x:v>รอติดต่อ</x:v>
      </x:c>
    </x:row>
    <x:row r="488" ht="84" customHeight="1">
      <x:c r="A488" s="2" t="str">
        <x:v>TMF-480</x:v>
      </x:c>
      <x:c r="B488" s="8" t="str">
        <x:v>โรงแรม เจทูเอส ประตูน้ำ</x:v>
      </x:c>
      <x:c r="C488" s="8" t="str">
        <x:v>กรุงเทพมหานคร</x:v>
      </x:c>
      <x:c r="D488" s="8" t="str">
        <x:v>อยู่ในชุด 600 ตามเส้นทาง</x:v>
      </x:c>
      <x:c r="E488" s="8" t="str">
        <x:v>พบชื่อสัมพันธ์หลายเว็บไซต์ รอยืนยันสาขา</x:v>
      </x:c>
      <x:c r="F488" s="8" t="str">
        <x:v>ยังไม่ยืนยันการเปิดให้บริการปัจจุบัน</x:v>
      </x:c>
      <x:c r="G488" s="58" t="n">
        <x:v>7</x:v>
      </x:c>
      <x:c r="H488" s="52" t="str"/>
      <x:c r="I488" s="52" t="str"/>
      <x:c r="J488" s="52" t="str">
        <x:v>https://www.expedia.co.th/Bangkok-Hotels-J-Two-S-Pratunam-Hotel.h8032473.Hotel-Information?rfrr=HOT.HIS.question.link.click</x:v>
      </x:c>
      <x:c r="K488" s="52" t="str">
        <x:v>https://www.google.co.th/travel/hotels/entity/ChgIlenlk-SP6f1hGgwvZy8xMnZyczY3NXoQAQ?rp=OAHCAhwiGg0AAJhBEhMIlKSZxuHflQMVCv5LAx1l3RQR&amp;ts=CAEaBAoCGgAqBAoAGgA</x:v>
      </x:c>
      <x:c r="L488" s="52" t="str">
        <x:v>https://www.thic.or.th/th/tourist/detail/accommodation/734</x:v>
      </x:c>
      <x:c r="M488" s="52" t="str">
        <x:v>https://www.expedia.co.th/Bangkok-Hotels-J-Two-S-Pratunam-Hotel.h8032473.Hotel-Information?rfrr=HOT.HIS.question.link.click</x:v>
      </x:c>
      <x:c r="N488" s="8" t="str">
        <x:v>ยังไม่ยืนยัน</x:v>
      </x:c>
      <x:c r="O488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88" s="40" t="n">
        <x:v>46315</x:v>
      </x:c>
      <x:c r="Q488" s="59" t="str">
        <x:v>ยังไม่ตรวจ</x:v>
      </x:c>
      <x:c r="R488" s="59" t="str">
        <x:v>รอติดต่อ</x:v>
      </x:c>
    </x:row>
    <x:row r="489" ht="84" customHeight="1">
      <x:c r="A489" s="2" t="str">
        <x:v>TMF-481</x:v>
      </x:c>
      <x:c r="B489" s="8" t="str">
        <x:v>โรงแรม เซนเตอร์ พอยต์ พลัส สีลม</x:v>
      </x:c>
      <x:c r="C489" s="8" t="str">
        <x:v>กรุงเทพมหานคร</x:v>
      </x:c>
      <x:c r="D489" s="8" t="str">
        <x:v>สำรองหลังปรับตามเส้นทาง</x:v>
      </x:c>
      <x:c r="E489" s="8" t="str">
        <x:v>พบหลายแหล่งสัมพันธ์กับชื่อ รอยืนยันการเปิด</x:v>
      </x:c>
      <x:c r="F489" s="8" t="str">
        <x:v>ยังไม่ยืนยันการเปิดให้บริการปัจจุบัน</x:v>
      </x:c>
      <x:c r="G489" s="58" t="n">
        <x:v>2</x:v>
      </x:c>
      <x:c r="H489" s="52"/>
      <x:c r="I489" s="52"/>
      <x:c r="J489" s="52" t="str">
        <x:v>HYPERLINK is not implemented. linkLocation=https://www.google.co.th/travel/hotels/entity/CgsI-eya1qe646PpARAB?ts=CAEaIgoCGgASHBIUCgcI6g8QChgaEgcI6g8QChgeGAQyAhAAOAEqCQoFOgNVU0QaAA, friendlyName=เปิดหน้ารีวิว 1</x:v>
      </x:c>
      <x:c r="K489" s="52" t="str">
        <x:v>HYPERLINK is not implemented. linkLocation=https://www.google.co.th/travel/hotels/entity/CgsI-eya1qe646PpARAB?ap=MAG6AQZwcmljZXM&amp;rp=SAI&amp;ts=CAEaBAoCGgAqBAoAGgA, friendlyName=เปิดหน้ารีวิว 2</x:v>
      </x:c>
      <x:c r="L489" s="52"/>
      <x:c r="M489" s="52"/>
      <x:c r="N489" s="8" t="str">
        <x:v>ยังไม่ยืนยัน</x:v>
      </x:c>
      <x:c r="O48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89" s="40" t="n">
        <x:v>46315</x:v>
      </x:c>
      <x:c r="Q489" s="59" t="str">
        <x:v>ยังไม่ตรวจ</x:v>
      </x:c>
      <x:c r="R489" s="59" t="str">
        <x:v>รอติดต่อ</x:v>
      </x:c>
    </x:row>
    <x:row r="490" ht="84" customHeight="1">
      <x:c r="A490" s="2" t="str">
        <x:v>TMF-482</x:v>
      </x:c>
      <x:c r="B490" s="8" t="str">
        <x:v>โรงแรม เดอะ กราวิทิค โฮเทล ข้าวสาร</x:v>
      </x:c>
      <x:c r="C490" s="8" t="str">
        <x:v>กรุงเทพมหานคร</x:v>
      </x:c>
      <x:c r="D490" s="8" t="str">
        <x:v>สำรองหลังปรับตามเส้นทาง</x:v>
      </x:c>
      <x:c r="E490" s="8" t="str">
        <x:v>พบหลายแหล่งสัมพันธ์กับชื่อ รอยืนยันการเปิด</x:v>
      </x:c>
      <x:c r="F490" s="8" t="str">
        <x:v>ยังไม่ยืนยันการเปิดให้บริการปัจจุบัน</x:v>
      </x:c>
      <x:c r="G490" s="58" t="n">
        <x:v>5</x:v>
      </x:c>
      <x:c r="H490" s="52"/>
      <x:c r="I490" s="52"/>
      <x:c r="J490" s="52" t="str">
        <x:v>HYPERLINK is not implemented. linkLocation=https://www.google.co.th/travel/hotels/entity/ChoIpr-W-KLc3cy2ARoNL2cvMTFycnBsaHpmNhAB?rp=OAHCAhwiGg0AABxDEhMIhO6-jPzFlQMVNMtDAx3JpQTr&amp;ts=CAEaBAoCGgAqBAoAGgA, friendlyName=เปิดหน้ารีวิว 1</x:v>
      </x:c>
      <x:c r="K490" s="52" t="str">
        <x:v>HYPERLINK is not implemented. linkLocation=https://www.google.co.th/travel/hotels/entity/ChoIpr-W-KLc3cy2ARoNL2cvMTFycnBsaHpmNhAB?rp=OAHCAhwiGg0AAKhBEhMIm9KKm6fClQMVcfJLAx1J-CPR&amp;ts=CAEaBAoCGgAqBAoAGgA, friendlyName=เปิดหน้ารีวิว 2</x:v>
      </x:c>
      <x:c r="L490" s="52"/>
      <x:c r="M490" s="52"/>
      <x:c r="N490" s="8" t="str">
        <x:v>ยังไม่ยืนยัน</x:v>
      </x:c>
      <x:c r="O49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90" s="40" t="n">
        <x:v>46315</x:v>
      </x:c>
      <x:c r="Q490" s="59" t="str">
        <x:v>ยังไม่ตรวจ</x:v>
      </x:c>
      <x:c r="R490" s="59" t="str">
        <x:v>รอติดต่อ</x:v>
      </x:c>
    </x:row>
    <x:row r="491" ht="84" customHeight="1">
      <x:c r="A491" s="2" t="str">
        <x:v>TMF-483</x:v>
      </x:c>
      <x:c r="B491" s="8" t="str">
        <x:v>โรงแรม เดอะ คอตตอน ศาลาแดง</x:v>
      </x:c>
      <x:c r="C491" s="8" t="str">
        <x:v>กรุงเทพมหานคร</x:v>
      </x:c>
      <x:c r="D491" s="8" t="str">
        <x:v>อยู่ในชุด 600 ตามเส้นทาง</x:v>
      </x:c>
      <x:c r="E491" s="8" t="str">
        <x:v>พบชื่อสัมพันธ์หลายเว็บไซต์ รอยืนยันสาขา</x:v>
      </x:c>
      <x:c r="F491" s="8" t="str">
        <x:v>ยังไม่ยืนยันการเปิดให้บริการปัจจุบัน</x:v>
      </x:c>
      <x:c r="G491" s="58" t="n">
        <x:v>5</x:v>
      </x:c>
      <x:c r="H491" s="52" t="str"/>
      <x:c r="I491" s="52" t="str"/>
      <x:c r="J491" s="52" t="str">
        <x:v>https://www.google.co.th/travel/hotels/entity/ChoIh5ugpOfOruWUARoNL2cvMTFqM2hzMDd6bRAB</x:v>
      </x:c>
      <x:c r="K491" s="52" t="str">
        <x:v>https://www.google.co.th/travel/hotels/entity/ChoIh5ugpOfOruWUARoNL2cvMTFqM2hzMDd6bRAB?rp=OAHCAhciFRITCKrw8tbe2JUDFZ32SwMdeC0rjA&amp;ts=CAESCgoCCAMKAggDEAAaIAoCGgASGhIUCgcI6g8QChgLEgcI6g8QChgOGAMyAhAAKgkKBToDVVNEGgA</x:v>
      </x:c>
      <x:c r="L491" s="52" t="str">
        <x:v>https://www.thic.or.th/th/tourist/detail/accommodation/682</x:v>
      </x:c>
      <x:c r="M491" s="52" t="str">
        <x:v>https://www.google.co.th/travel/hotels/entity/ChoIh5ugpOfOruWUARoNL2cvMTFqM2hzMDd6bRAB</x:v>
      </x:c>
      <x:c r="N491" s="8" t="str">
        <x:v>ยังไม่ยืนยัน</x:v>
      </x:c>
      <x:c r="O491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91" s="40" t="n">
        <x:v>46315</x:v>
      </x:c>
      <x:c r="Q491" s="59" t="str">
        <x:v>ยังไม่ตรวจ</x:v>
      </x:c>
      <x:c r="R491" s="59" t="str">
        <x:v>รอติดต่อ</x:v>
      </x:c>
    </x:row>
    <x:row r="492" ht="84" customHeight="1">
      <x:c r="A492" s="2" t="str">
        <x:v>TMF-484</x:v>
      </x:c>
      <x:c r="B492" s="8" t="str">
        <x:v>โรงแรม เดอะ สยาม</x:v>
      </x:c>
      <x:c r="C492" s="8" t="str">
        <x:v>กรุงเทพมหานคร</x:v>
      </x:c>
      <x:c r="D492" s="8" t="str">
        <x:v>อยู่ในชุด 600 ตามเส้นทาง</x:v>
      </x:c>
      <x:c r="E492" s="8" t="str">
        <x:v>พบชื่อสัมพันธ์หลายเว็บไซต์ รอยืนยันสาขา</x:v>
      </x:c>
      <x:c r="F492" s="8" t="str">
        <x:v>ยังไม่ยืนยันการเปิดให้บริการปัจจุบัน</x:v>
      </x:c>
      <x:c r="G492" s="58" t="n">
        <x:v>5</x:v>
      </x:c>
      <x:c r="H492" s="52" t="str"/>
      <x:c r="I492" s="52" t="str"/>
      <x:c r="J492" s="52" t="str">
        <x:v>https://th.tripadvisor.com/Hotel_Review-g293916-d2553477-Reviews-The_Siam-Bangkok.html</x:v>
      </x:c>
      <x:c r="K492" s="52" t="str">
        <x:v>https://www.wongnai.com/restaurants/139632CH-chon-thai-restaurant-the-siam-hotel/reviews</x:v>
      </x:c>
      <x:c r="L492" s="52" t="str">
        <x:v>https://www.thic.or.th/th/tourist/detail/accommodation/668</x:v>
      </x:c>
      <x:c r="M492" s="52" t="str">
        <x:v>https://th.tripadvisor.com/Hotel_Review-g293916-d2553477-Reviews-The_Siam-Bangkok.html</x:v>
      </x:c>
      <x:c r="N492" s="8" t="str">
        <x:v>ยังไม่ยืนยัน</x:v>
      </x:c>
      <x:c r="O492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92" s="40" t="n">
        <x:v>46315</x:v>
      </x:c>
      <x:c r="Q492" s="59" t="str">
        <x:v>ยังไม่ตรวจ</x:v>
      </x:c>
      <x:c r="R492" s="59" t="str">
        <x:v>รอติดต่อ</x:v>
      </x:c>
    </x:row>
    <x:row r="493" ht="84" customHeight="1">
      <x:c r="A493" s="2" t="str">
        <x:v>TMF-485</x:v>
      </x:c>
      <x:c r="B493" s="8" t="str">
        <x:v>โรงแรม เดอะ เซนต์ รีจิส กรุงเทพ</x:v>
      </x:c>
      <x:c r="C493" s="8" t="str">
        <x:v>กรุงเทพมหานคร</x:v>
      </x:c>
      <x:c r="D493" s="8" t="str">
        <x:v>อยู่ในชุด 600 ตามเส้นทาง</x:v>
      </x:c>
      <x:c r="E493" s="8" t="str">
        <x:v>พบชื่อสัมพันธ์หลายเว็บไซต์ รอยืนยันสาขา</x:v>
      </x:c>
      <x:c r="F493" s="8" t="str">
        <x:v>ยังไม่ยืนยันการเปิดให้บริการปัจจุบัน</x:v>
      </x:c>
      <x:c r="G493" s="58" t="n">
        <x:v>9</x:v>
      </x:c>
      <x:c r="H493" s="52" t="str"/>
      <x:c r="I493" s="52" t="str"/>
      <x:c r="J493" s="52" t="str">
        <x:v>https://www.booking.com/hotel/th/the-st-regis-bangkok.th.html</x:v>
      </x:c>
      <x:c r="K493" s="52" t="str">
        <x:v>https://www.google.com/travel/hotels/entity/ChkIy_z3nZ752syVARoML2cvMXlmam10cWJtEAE?g2lb=2502548%2C2503781%2C4258168%2C4270442%2C4306835%2C4317915%2C4371334%2C4401769%2C4419364%2C4482438%2C4486153%2C4509341%2C4533882%2C4536454%2C4541150%2C4270859%2C4284970%2C4291517&amp;hl=th-TH&amp;rp=EIOE8sf028CHrwEQg4Tyx_TbwIevATgCQABIAcABAg&amp;ssta=1&amp;ts=CAESABpJCisSJzIlMHgzMGUyOWIzMDAwNjU2MmM5OjB4YWYwZjAyZGY0OGZjODIwMxoAEhoSFAoHCOUPEAUYHRIHCOUPEAUYHhgBMgIQACoJCgU6A1RIQhoA</x:v>
      </x:c>
      <x:c r="L493" s="52" t="str">
        <x:v>https://www.thic.or.th/th/tourist/detail/accommodation/690</x:v>
      </x:c>
      <x:c r="M493" s="52" t="str">
        <x:v>https://www.booking.com/hotel/th/the-st-regis-bangkok.th.html</x:v>
      </x:c>
      <x:c r="N493" s="8" t="str">
        <x:v>ยังไม่ยืนยัน</x:v>
      </x:c>
      <x:c r="O493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93" s="40" t="n">
        <x:v>46315</x:v>
      </x:c>
      <x:c r="Q493" s="59" t="str">
        <x:v>ยังไม่ตรวจ</x:v>
      </x:c>
      <x:c r="R493" s="59" t="str">
        <x:v>รอติดต่อ</x:v>
      </x:c>
    </x:row>
    <x:row r="494" ht="84" customHeight="1">
      <x:c r="A494" s="2" t="str">
        <x:v>TMF-486</x:v>
      </x:c>
      <x:c r="B494" s="8" t="str">
        <x:v>โรงแรม เอส รัชดา เลเชอร์</x:v>
      </x:c>
      <x:c r="C494" s="8" t="str">
        <x:v>กรุงเทพมหานคร</x:v>
      </x:c>
      <x:c r="D494" s="8" t="str">
        <x:v>อยู่ในชุด 600 ตามเส้นทาง</x:v>
      </x:c>
      <x:c r="E494" s="8" t="str">
        <x:v>พบชื่อสัมพันธ์หลายเว็บไซต์ รอยืนยันสาขา</x:v>
      </x:c>
      <x:c r="F494" s="8" t="str">
        <x:v>ยังไม่ยืนยันการเปิดให้บริการปัจจุบัน</x:v>
      </x:c>
      <x:c r="G494" s="58" t="n">
        <x:v>5</x:v>
      </x:c>
      <x:c r="H494" s="52" t="str"/>
      <x:c r="I494" s="52" t="str"/>
      <x:c r="J494" s="52" t="str">
        <x:v>https://www.google.co.th/travel/hotels/entity/CgsI5tK_pZSH8IjsARAB?rp=OAHCAhwiGg0AAEhCEhMI1cakw-_MlgMVNrIDAB2YBhP2&amp;ts=CAESCgoCCAMKAggDEAAaIAoCGgASGhIUCgcI6g8QCxgGEgcI6g8QCxgNGAcyAhAAKgkKBToDVVNEGgA</x:v>
      </x:c>
      <x:c r="K494" s="52" t="str">
        <x:v>https://www.google.co.th/travel/hotels/entity/CgsI5tK_pZSH8IjsARAB?rp=OAHCAhwiGg0AAOBBEhMIyM3s2dP7jAMVdK_CCB1C-jI0&amp;ts=CAEaBAoCGgAqBAoAGgA</x:v>
      </x:c>
      <x:c r="L494" s="52" t="str">
        <x:v>https://www.thic.or.th/th/tourist/detail/accommodation/723</x:v>
      </x:c>
      <x:c r="M494" s="52" t="str">
        <x:v>https://www.google.co.th/travel/hotels/entity/CgsI5tK_pZSH8IjsARAB?rp=OAHCAhwiGg0AAEhCEhMI1cakw-_MlgMVNrIDAB2YBhP2&amp;ts=CAESCgoCCAMKAggDEAAaIAoCGgASGhIUCgcI6g8QCxgGEgcI6g8QCxgNGAcyAhAAKgkKBToDVVNEGgA</x:v>
      </x:c>
      <x:c r="N494" s="8" t="str">
        <x:v>ยังไม่ยืนยัน</x:v>
      </x:c>
      <x:c r="O494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94" s="40" t="n">
        <x:v>46315</x:v>
      </x:c>
      <x:c r="Q494" s="59" t="str">
        <x:v>ยังไม่ตรวจ</x:v>
      </x:c>
      <x:c r="R494" s="59" t="str">
        <x:v>รอติดต่อ</x:v>
      </x:c>
    </x:row>
    <x:row r="495" ht="84" customHeight="1">
      <x:c r="A495" s="2" t="str">
        <x:v>TMF-487</x:v>
      </x:c>
      <x:c r="B495" s="8" t="str">
        <x:v>โรงแรมดับเบิ้ลยู กรุงเทพ</x:v>
      </x:c>
      <x:c r="C495" s="8" t="str">
        <x:v>กรุงเทพมหานคร</x:v>
      </x:c>
      <x:c r="D495" s="8" t="str">
        <x:v>อยู่ในชุด 600 ตามเส้นทาง</x:v>
      </x:c>
      <x:c r="E495" s="8" t="str">
        <x:v>พบชื่อสัมพันธ์หลายเว็บไซต์ รอยืนยันสาขา</x:v>
      </x:c>
      <x:c r="F495" s="8" t="str">
        <x:v>ยังไม่ยืนยันการเปิดให้บริการปัจจุบัน</x:v>
      </x:c>
      <x:c r="G495" s="58" t="n">
        <x:v>6</x:v>
      </x:c>
      <x:c r="H495" s="52" t="str"/>
      <x:c r="I495" s="52" t="str"/>
      <x:c r="J495" s="52" t="str">
        <x:v>https://www.booking.com/hotel/th/w-bangkok.th.html</x:v>
      </x:c>
      <x:c r="K495" s="52" t="str">
        <x:v>https://www.wongnai.com/restaurants/124811xT-woobar-w-bangkok</x:v>
      </x:c>
      <x:c r="L495" s="52" t="str">
        <x:v>https://www.thic.or.th/th/tourist/detail/accommodation/649</x:v>
      </x:c>
      <x:c r="M495" s="52" t="str">
        <x:v>https://www.booking.com/hotel/th/w-bangkok.th.html</x:v>
      </x:c>
      <x:c r="N495" s="8" t="str">
        <x:v>ยังไม่ยืนยัน</x:v>
      </x:c>
      <x:c r="O495" s="8" t="str">
        <x:v>ตรวจครัวฮาลาลและบุคลากรมุสลิม ห้องหรือพื้นที่ละหมาดพร้อมที่อาบน้ำละหมาด ห้องพักปลอดสัตว์เลี้ยง และการจัดการแอลกอฮอล์</x:v>
      </x:c>
      <x:c r="P495" s="40" t="n">
        <x:v>46315</x:v>
      </x:c>
      <x:c r="Q495" s="59" t="str">
        <x:v>ยังไม่ตรวจ</x:v>
      </x:c>
      <x:c r="R495" s="59" t="str">
        <x:v>รอติดต่อ</x:v>
      </x:c>
    </x:row>
    <x:row r="496" ht="84" customHeight="1">
      <x:c r="A496" s="2" t="str">
        <x:v>TMF-488</x:v>
      </x:c>
      <x:c r="B496" s="8" t="str">
        <x:v>โรงแรมรอยัลเอเชียประตูน้ำ</x:v>
      </x:c>
      <x:c r="C496" s="8" t="str">
        <x:v>กรุงเทพมหานคร</x:v>
      </x:c>
      <x:c r="D496" s="8" t="str">
        <x:v>สำรองหลังปรับตามเส้นทาง</x:v>
      </x:c>
      <x:c r="E496" s="8" t="str">
        <x:v>พบหลายแหล่งสัมพันธ์กับชื่อ รอยืนยันการเปิด</x:v>
      </x:c>
      <x:c r="F496" s="8" t="str">
        <x:v>ยังไม่ยืนยันการเปิดให้บริการปัจจุบัน</x:v>
      </x:c>
      <x:c r="G496" s="58" t="n">
        <x:v>6</x:v>
      </x:c>
      <x:c r="H496" s="52"/>
      <x:c r="I496" s="52"/>
      <x:c r="J496" s="52" t="str">
        <x:v>HYPERLINK is not implemented. linkLocation=https://www.google.co.th/travel/hotels/entity/ChoI8NCxwYLmk9SyARoNL2cvMTF2Njh3bGtyNBAB, friendlyName=เปิดหน้ารีวิว 1</x:v>
      </x:c>
      <x:c r="K496" s="52" t="str">
        <x:v>HYPERLINK is not implemented. linkLocation=https://th.trip.com/hotels/bangkok-hotel-detail-104424341/royal-asia-hotel-pratunam/review.html, friendlyName=เปิดหน้ารีวิว 2</x:v>
      </x:c>
      <x:c r="L496" s="52" t="str">
        <x:v>HYPERLINK is not implemented. linkLocation=https://www.klook.com/th/hotels/detail/1122893-royal-asia-hotel-pratunam/, friendlyName=เปิดเว็บเพิ่ม 1</x:v>
      </x:c>
      <x:c r="M496" s="52" t="str">
        <x:v>HYPERLINK is not implemented. linkLocation=https://dinogo.com/hotels/25734-royal-asia-hotel-pratunam, friendlyName=เปิดเว็บเพิ่ม 2</x:v>
      </x:c>
      <x:c r="N496" s="8" t="str">
        <x:v>ยังไม่ยืนยัน</x:v>
      </x:c>
      <x:c r="O49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96" s="40" t="n">
        <x:v>46315</x:v>
      </x:c>
      <x:c r="Q496" s="59" t="str">
        <x:v>ยังไม่ตรวจ</x:v>
      </x:c>
      <x:c r="R496" s="59" t="str">
        <x:v>รอติดต่อ</x:v>
      </x:c>
    </x:row>
    <x:row r="497" ht="84" customHeight="1">
      <x:c r="A497" s="2" t="str">
        <x:v>TMF-489</x:v>
      </x:c>
      <x:c r="B497" s="8" t="str">
        <x:v>โรงแรมสีลม ศิรีนทร์</x:v>
      </x:c>
      <x:c r="C497" s="8" t="str">
        <x:v>กรุงเทพมหานคร</x:v>
      </x:c>
      <x:c r="D497" s="8" t="str">
        <x:v>สำรองหลังปรับตามเส้นทาง</x:v>
      </x:c>
      <x:c r="E497" s="8" t="str">
        <x:v>พบหลายแหล่งสัมพันธ์กับชื่อ รอยืนยันการเปิด</x:v>
      </x:c>
      <x:c r="F497" s="8" t="str">
        <x:v>ยังไม่ยืนยันการเปิดให้บริการปัจจุบัน</x:v>
      </x:c>
      <x:c r="G497" s="58" t="n">
        <x:v>2</x:v>
      </x:c>
      <x:c r="H497" s="52"/>
      <x:c r="I497" s="52"/>
      <x:c r="J497" s="52" t="str">
        <x:v>HYPERLINK is not implemented. linkLocation=https://www.google.co.th/travel/hotels/entity/ChkI6cz_tbmC_LzYARoML2cvMXloNGc3NjRuEAE?rp=OAHCAhwiGg0AAJhBEhMIlKSZxuHflQMVCv5LAx1l3RQR&amp;ts=CAEaBAoCGgAqBAoAGgA, friendlyName=เปิดหน้ารีวิว 1</x:v>
      </x:c>
      <x:c r="K497" s="52" t="str">
        <x:v>HYPERLINK is not implemented. linkLocation=https://www.google.co.th/travel/hotels/entity/ChkI6cz_tbmC_LzYARoML2cvMXloNGc3NjRuEAE?rp=OAHCAhwiGg0AAKhBEhMIyOnTl7PTlQMVS_JLAx09ujAL&amp;ts=CAEaIgoCGgASHBIUCgcI6g8QChgcEgcI6g8QCxgBGAQyAhAAOAEqCQoFOgNVU0QaAA, friendlyName=เปิดหน้ารีวิว 2</x:v>
      </x:c>
      <x:c r="L497" s="52"/>
      <x:c r="M497" s="52"/>
      <x:c r="N497" s="8" t="str">
        <x:v>ยังไม่ยืนยัน</x:v>
      </x:c>
      <x:c r="O49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97" s="40" t="n">
        <x:v>46315</x:v>
      </x:c>
      <x:c r="Q497" s="59" t="str">
        <x:v>ยังไม่ตรวจ</x:v>
      </x:c>
      <x:c r="R497" s="59" t="str">
        <x:v>รอติดต่อ</x:v>
      </x:c>
    </x:row>
    <x:row r="498" ht="84" customHeight="1">
      <x:c r="A498" s="2" t="str">
        <x:v>TMF-490</x:v>
      </x:c>
      <x:c r="B498" s="8" t="str">
        <x:v>โรงแรมอาศัย กรุงเทพฯ สาทร</x:v>
      </x:c>
      <x:c r="C498" s="8" t="str">
        <x:v>กรุงเทพมหานคร</x:v>
      </x:c>
      <x:c r="D498" s="8" t="str">
        <x:v>สำรองหลังปรับตามเส้นทาง</x:v>
      </x:c>
      <x:c r="E498" s="8" t="str">
        <x:v>พบหลายแหล่งสัมพันธ์กับชื่อ รอยืนยันการเปิด</x:v>
      </x:c>
      <x:c r="F498" s="8" t="str">
        <x:v>ยังไม่ยืนยันการเปิดให้บริการปัจจุบัน</x:v>
      </x:c>
      <x:c r="G498" s="58" t="n">
        <x:v>3</x:v>
      </x:c>
      <x:c r="H498" s="52"/>
      <x:c r="I498" s="52"/>
      <x:c r="J498" s="52" t="str">
        <x:v>HYPERLINK is not implemented. linkLocation=https://www.google.co.th/travel/hotels/entity/ChoIu9qEmomUvea4ARoNL2cvMTF0YmZiMGpkMRAB?ap=MAA&amp;g2lb=2502405%2C4208993%2C4223281%2C4242898%2C4253024%2C4253230%2C4254308%2C4258168%2C4260007%2C4262509%2C4264355%2C4265959%2C4274032%2C4274649%2C4250437%2C4251519%2C4265427%2C4270859%2C4271268&amp;gl=th&amp;hl=th&amp;rp=OAFAAEgCwgIcIhoNAADIQxITCM660fe9pZUDFS3ySwMdR0IzAw&amp;tcfs=EgBSAA&amp;ts=CAEaBAoCGgAqBAoAGgA&amp;un=1, friendlyName=เปิดหน้ารีวิว 1</x:v>
      </x:c>
      <x:c r="K498" s="52" t="str">
        <x:v>HYPERLINK is not implemented. linkLocation=https://www.google.co.th/travel/hotels/entity/ChoIu9qEmomUvea4ARoNL2cvMTF0YmZiMGpkMRAB?rp=OAHCAhwiGg0AACRCEhMIoObdifXGiAMVZ0CrAh0gaCog&amp;ts=CAEaBAoCGgAqBAoAGgA, friendlyName=เปิดหน้ารีวิว 2</x:v>
      </x:c>
      <x:c r="L498" s="52"/>
      <x:c r="M498" s="52"/>
      <x:c r="N498" s="8" t="str">
        <x:v>ยังไม่ยืนยัน</x:v>
      </x:c>
      <x:c r="O49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98" s="40" t="n">
        <x:v>46315</x:v>
      </x:c>
      <x:c r="Q498" s="59" t="str">
        <x:v>ยังไม่ตรวจ</x:v>
      </x:c>
      <x:c r="R498" s="59" t="str">
        <x:v>รอติดต่อ</x:v>
      </x:c>
    </x:row>
    <x:row r="499" ht="84" customHeight="1">
      <x:c r="A499" s="2" t="str">
        <x:v>TMF-491</x:v>
      </x:c>
      <x:c r="B499" s="8" t="str">
        <x:v>โรงแรมอโนมา แกรนด์ กรุงเทพฯ</x:v>
      </x:c>
      <x:c r="C499" s="8" t="str">
        <x:v>กรุงเทพมหานคร</x:v>
      </x:c>
      <x:c r="D499" s="8" t="str">
        <x:v>สำรองหลังปรับตามเส้นทาง</x:v>
      </x:c>
      <x:c r="E499" s="8" t="str">
        <x:v>พบหลายแหล่งสัมพันธ์กับชื่อ รอยืนยันการเปิด</x:v>
      </x:c>
      <x:c r="F499" s="8" t="str">
        <x:v>ยังไม่ยืนยันการเปิดให้บริการปัจจุบัน</x:v>
      </x:c>
      <x:c r="G499" s="58" t="n">
        <x:v>3</x:v>
      </x:c>
      <x:c r="H499" s="52"/>
      <x:c r="I499" s="52"/>
      <x:c r="J499" s="52" t="str">
        <x:v>HYPERLINK is not implemented. linkLocation=https://www.google.co.th/travel/hotels/entity/ChgIo_3Ekp-u9MdmGgwvZy8xcTY3OGtwbmgQAQ, friendlyName=เปิดหน้ารีวิว 1</x:v>
      </x:c>
      <x:c r="K499" s="52" t="str">
        <x:v>HYPERLINK is not implemented. linkLocation=https://www.google.co.th/travel/hotels/entity/ChgIo_3Ekp-u9MdmGgwvZy8xcTY3OGtwbmgQAQ?rp=OAHCAhwiGg0AAJBBEhMItvi9so7JlQMVtMZDAx2CECnU&amp;ts=CAEaBAoCGgAqBAoAGgA, friendlyName=เปิดหน้ารีวิว 2</x:v>
      </x:c>
      <x:c r="L499" s="52"/>
      <x:c r="M499" s="52"/>
      <x:c r="N499" s="8" t="str">
        <x:v>ยังไม่ยืนยัน</x:v>
      </x:c>
      <x:c r="O49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499" s="40" t="n">
        <x:v>46315</x:v>
      </x:c>
      <x:c r="Q499" s="59" t="str">
        <x:v>ยังไม่ตรวจ</x:v>
      </x:c>
      <x:c r="R499" s="59" t="str">
        <x:v>รอติดต่อ</x:v>
      </x:c>
    </x:row>
    <x:row r="500" ht="84" customHeight="1">
      <x:c r="A500" s="2" t="str">
        <x:v>TMF-492</x:v>
      </x:c>
      <x:c r="B500" s="8" t="str">
        <x:v>โรงแรมฮอลิเดย์ อินน์ เอ็กซ์เพรส กรุงเทพ สาทร</x:v>
      </x:c>
      <x:c r="C500" s="8" t="str">
        <x:v>กรุงเทพมหานคร</x:v>
      </x:c>
      <x:c r="D500" s="8" t="str">
        <x:v>สำรองหลังปรับตามเส้นทาง</x:v>
      </x:c>
      <x:c r="E500" s="8" t="str">
        <x:v>พบหลายแหล่งสัมพันธ์กับชื่อ รอยืนยันการเปิด</x:v>
      </x:c>
      <x:c r="F500" s="8" t="str">
        <x:v>ยังไม่ยืนยันการเปิดให้บริการปัจจุบัน</x:v>
      </x:c>
      <x:c r="G500" s="58" t="n">
        <x:v>6</x:v>
      </x:c>
      <x:c r="H500" s="52"/>
      <x:c r="I500" s="52"/>
      <x:c r="J500" s="52" t="str">
        <x:v>HYPERLINK is not implemented. linkLocation=https://www.booking.com/hotel/th/holiday-inn-express-bangkok-sathorn.th.html, friendlyName=เปิดหน้ารีวิว 1</x:v>
      </x:c>
      <x:c r="K500" s="52" t="str">
        <x:v>HYPERLINK is not implemented. linkLocation=https://www.google.co.th/travel/hotels/entity/ChkI0tPo15unjtvfARoML2cvMXB0ejByazJoEAE, friendlyName=เปิดหน้ารีวิว 2</x:v>
      </x:c>
      <x:c r="L500" s="52" t="str">
        <x:v>HYPERLINK is not implemented. linkLocation=https://www.kayak.co.th/%E0%B8%81%E0%B8%A3%E0%B8%B8%E0%B8%87%E0%B9%80%E0%B8%97%E0%B8%9E%E0%B8%A1%E0%B8%AB%E0%B8%B2%E0%B8%99%E0%B8%84%E0%B8%A3-%E0%B9%82%E0%B8%A3%E0%B8%87%E0%B9%81%E0%B8%A3%E0%B8%A1-%E0%B8%AE%E0%B8%AD%E0%B8%A5%E0%B8%B4%E0%B9%80%E0%B8%94%E0%B8%A2%E0%B9%8C-%E0%B8%AD%E0%B8%B4%E0%B8%99%E0%B8%99%E0%B9%8C-%E0%B9%80%E0%B8%AD%E0%B9%87%E0%B8%81%E0%B8%8B%E0%B9%8C%E0%B9%80%E0%B8%9E%E0%B8%A3%E0%B8%AA-%E0%B8%81%E0%B8%A3%E0%B8%B8%E0%B8%87%E0%B9%80%E0%B8%97%E0%B8%9E-%E0%B8%AA%E0%B8%B2%E0%B8%97%E0%B8%A3.2076534.ksp, friendlyName=เปิดเว็บเพิ่ม 1</x:v>
      </x:c>
      <x:c r="M500" s="52"/>
      <x:c r="N500" s="8" t="str">
        <x:v>ยังไม่ยืนยัน</x:v>
      </x:c>
      <x:c r="O50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0" s="40" t="n">
        <x:v>46315</x:v>
      </x:c>
      <x:c r="Q500" s="59" t="str">
        <x:v>ยังไม่ตรวจ</x:v>
      </x:c>
      <x:c r="R500" s="59" t="str">
        <x:v>รอติดต่อ</x:v>
      </x:c>
    </x:row>
    <x:row r="501" ht="84" customHeight="1">
      <x:c r="A501" s="2" t="str">
        <x:v>TMF-493</x:v>
      </x:c>
      <x:c r="B501" s="8" t="str">
        <x:v>โรงแรมเซ็นเตอร์ พอยต์ พลัส ประตูน้ำ</x:v>
      </x:c>
      <x:c r="C501" s="8" t="str">
        <x:v>กรุงเทพมหานคร</x:v>
      </x:c>
      <x:c r="D501" s="8" t="str">
        <x:v>สำรองหลังปรับตามเส้นทาง</x:v>
      </x:c>
      <x:c r="E501" s="8" t="str">
        <x:v>พบหลายแหล่งสัมพันธ์กับชื่อ รอยืนยันการเปิด</x:v>
      </x:c>
      <x:c r="F501" s="8" t="str">
        <x:v>ยังไม่ยืนยันการเปิดให้บริการปัจจุบัน</x:v>
      </x:c>
      <x:c r="G501" s="58" t="n">
        <x:v>2</x:v>
      </x:c>
      <x:c r="H501" s="52"/>
      <x:c r="I501" s="52"/>
      <x:c r="J501" s="52" t="str">
        <x:v>HYPERLINK is not implemented. linkLocation=https://www.google.co.th/travel/hotels/entity/ChgIhY_xu8f18rKVARoLL2cvMXRkd3MzZHAQAQ?rp=OAHCAhwiGg0AADxCEhMIit2Skd7ClQMVhfJLAx2VRSHo&amp;ts=CAEaBAoCGgAqBAoAGgA, friendlyName=เปิดหน้ารีวิว 1</x:v>
      </x:c>
      <x:c r="K501" s="52" t="str">
        <x:v>HYPERLINK is not implemented. linkLocation=https://www.google.co.th/travel/hotels/entity/ChgIhY_xu8f18rKVARoLL2cvMXRkd3MzZHAQAQ?ap=MAA&amp;g2lb=4159845%2C4207876%2C4208993%2C4220293%2C4223281%2C4242898%2C4253230%2C4254308%2C4256748%2C4258168%2C4250437%2C4253015&amp;gl=th&amp;hl=th&amp;rp=OAFAAEgC&amp;tcfs=EjMKCS9tLzAxazh6ZxIM4LiZ4LmI4Liy4LiZGhgKCjIwMTktMDUtMTgSCjIwMTktMDUtMTlSAA&amp;ts=CAESABpmCkgSRDIlMHgzMDRkOGRmNzQ3NDI0ZGIxOjB4OWVkNzJjODgwNzU3ZTgwMjob4Lib4Lij4Liw4LmA4LiX4Lio4LmE4LiX4LiiGgASGhIUCgcI5Q8QCBgEEgcI5Q8QCBgFGAEyAhAAKgkKBToDVEhCGgA&amp;un=1, friendlyName=เปิดหน้ารีวิว 2</x:v>
      </x:c>
      <x:c r="L501" s="52"/>
      <x:c r="M501" s="52"/>
      <x:c r="N501" s="8" t="str">
        <x:v>ยังไม่ยืนยัน</x:v>
      </x:c>
      <x:c r="O50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1" s="40" t="n">
        <x:v>46315</x:v>
      </x:c>
      <x:c r="Q501" s="59" t="str">
        <x:v>ยังไม่ตรวจ</x:v>
      </x:c>
      <x:c r="R501" s="59" t="str">
        <x:v>รอติดต่อ</x:v>
      </x:c>
    </x:row>
    <x:row r="502" ht="84" customHeight="1">
      <x:c r="A502" s="2" t="str">
        <x:v>TMF-494</x:v>
      </x:c>
      <x:c r="B502" s="8" t="str">
        <x:v>โรงแรมเดอะ ควอเตอร์ สีลม บาย ยูเอชจี</x:v>
      </x:c>
      <x:c r="C502" s="8" t="str">
        <x:v>กรุงเทพมหานคร</x:v>
      </x:c>
      <x:c r="D502" s="8" t="str">
        <x:v>สำรองหลังปรับตามเส้นทาง</x:v>
      </x:c>
      <x:c r="E502" s="8" t="str">
        <x:v>พบหลายแหล่งสัมพันธ์กับชื่อ รอยืนยันการเปิด</x:v>
      </x:c>
      <x:c r="F502" s="8" t="str">
        <x:v>ยังไม่ยืนยันการเปิดให้บริการปัจจุบัน</x:v>
      </x:c>
      <x:c r="G502" s="58" t="n">
        <x:v>2</x:v>
      </x:c>
      <x:c r="H502" s="52"/>
      <x:c r="I502" s="52"/>
      <x:c r="J502" s="52" t="str">
        <x:v>HYPERLINK is not implemented. linkLocation=https://www.google.com/travel/hotels/entity/CgsIp5qZ8Kjo3aLFARAB?g2lb=2502548%2C4258168%2C4270442%2C4271060%2C4306835%2C4317915%2C4322823%2C4328159%2C4371334%2C4401769%2C4419364%2C4425458%2C4433754%2C4441771%2C4444000%2C4447566%2C4270859%2C4284970%2C4291517%2C4412693&amp;gl=th&amp;hl=th-TH&amp;hrf=IgNUSEIqFgoHCOQPEAoYFxIHCOQPEAoYGBgBKACCASUweDMwZTI5ZjMwZmYzNjA4NTE6MHgyNzk4YTc2ZDhhNTFhOWJimgEnGiUweDMwZTI5ZjMwZmYzNjA4NTE6MHgyNzk4YTc2ZDhhNTFhOWJi&amp;rp=ELvTxtLY7anMJxC708bS2O2pzCc4AkAASAHAAQI&amp;un=1, friendlyName=เปิดหน้ารีวิว 1</x:v>
      </x:c>
      <x:c r="K502" s="52" t="str">
        <x:v>HYPERLINK is not implemented. linkLocation=https://www.google.co.th/travel/hotels/entity/ChoIp5qZ8Kjo3aLFARoNL2cvMTFoNDF6eHd3ORAB?rp=OAHCAhwiGg0AAKdDEhMI0eTct4DrlQMVALfCCB0Rzwsn&amp;ts=CAEaIAoCGgASGhIUCgcI6g8QChgREgcI6g8QChgSGAEyAhAAKgkKBToDVVNEGgA, friendlyName=เปิดหน้ารีวิว 2</x:v>
      </x:c>
      <x:c r="L502" s="52"/>
      <x:c r="M502" s="52"/>
      <x:c r="N502" s="8" t="str">
        <x:v>ยังไม่ยืนยัน</x:v>
      </x:c>
      <x:c r="O50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2" s="40" t="n">
        <x:v>46315</x:v>
      </x:c>
      <x:c r="Q502" s="59" t="str">
        <x:v>ยังไม่ตรวจ</x:v>
      </x:c>
      <x:c r="R502" s="59" t="str">
        <x:v>รอติดต่อ</x:v>
      </x:c>
    </x:row>
    <x:row r="503" ht="84" customHeight="1">
      <x:c r="A503" s="2" t="str">
        <x:v>TMF-495</x:v>
      </x:c>
      <x:c r="B503" s="8" t="str">
        <x:v>โรงแรมเดอะ เบอร์เคลีย์ ประตูน้ำ</x:v>
      </x:c>
      <x:c r="C503" s="8" t="str">
        <x:v>กรุงเทพมหานคร</x:v>
      </x:c>
      <x:c r="D503" s="8" t="str">
        <x:v>สำรองหลังปรับตามเส้นทาง</x:v>
      </x:c>
      <x:c r="E503" s="8" t="str">
        <x:v>พบหลายแหล่งสัมพันธ์กับชื่อ รอยืนยันการเปิด</x:v>
      </x:c>
      <x:c r="F503" s="8" t="str">
        <x:v>ยังไม่ยืนยันการเปิดให้บริการปัจจุบัน</x:v>
      </x:c>
      <x:c r="G503" s="58" t="n">
        <x:v>2</x:v>
      </x:c>
      <x:c r="H503" s="52"/>
      <x:c r="I503" s="52"/>
      <x:c r="J503" s="52" t="str">
        <x:v>HYPERLINK is not implemented. linkLocation=https://www.google.co.th/travel/hotels/entity/CgsIgpT96orRxo3gARAB?g2lb=2502548%2C4258168%2C4260007%2C4274032%2C4276710%2C4305595%2C4306835%2C4308216%2C4308227%2C4314846%2C4317915%2C4328159%2C4329288%2C4330862%2C4341278%2C4346807%2C4356223%2C4358419%2C4270859%2C4284970%2C4316256&amp;gl=th&amp;hl=th&amp;q=nature+boutique+hotel&amp;rp=ENOqzJSt_67IdTgBQABIAYoCFW5hdHVyZSBib3V0aXF1ZSBob3RlbA&amp;ts=CAESABpLCi0SKTon4LiB4Lij4Li44LiH4LmA4LiX4Lie4Lih4Lir4Liy4LiZ4LiE4LijGgASGhIUCgcI5Q8QCRgBEgcI5Q8QCRgCGAEyAhAAKgsKBygBOgNUSEIaAA&amp;un=1, friendlyName=เปิดหน้ารีวิว 1</x:v>
      </x:c>
      <x:c r="K503" s="52" t="str">
        <x:v>HYPERLINK is not implemented. linkLocation=https://www.google.co.th/travel/hotels/entity/CgsIgpT96orRxo3gARAB?ap=MAA&amp;rp=OAFIAsICHCIaDQAAgEESEwj6m9SajOKRAxVVr8IIHejTDk8&amp;ts=CAEaBAoCGgAqBAoAGgA, friendlyName=เปิดหน้ารีวิว 2</x:v>
      </x:c>
      <x:c r="L503" s="52"/>
      <x:c r="M503" s="52"/>
      <x:c r="N503" s="8" t="str">
        <x:v>ยังไม่ยืนยัน</x:v>
      </x:c>
      <x:c r="O50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3" s="40" t="n">
        <x:v>46315</x:v>
      </x:c>
      <x:c r="Q503" s="59" t="str">
        <x:v>ยังไม่ตรวจ</x:v>
      </x:c>
      <x:c r="R503" s="59" t="str">
        <x:v>รอติดต่อ</x:v>
      </x:c>
    </x:row>
    <x:row r="504" ht="84" customHeight="1">
      <x:c r="A504" s="2" t="str">
        <x:v>TMF-496</x:v>
      </x:c>
      <x:c r="B504" s="8" t="str">
        <x:v>โรงแรมเลอฟินิกซ์ สุขุมวิท</x:v>
      </x:c>
      <x:c r="C504" s="8" t="str">
        <x:v>กรุงเทพมหานคร</x:v>
      </x:c>
      <x:c r="D504" s="8" t="str">
        <x:v>สำรองหลังปรับตามเส้นทาง</x:v>
      </x:c>
      <x:c r="E504" s="8" t="str">
        <x:v>พบหลายแหล่งสัมพันธ์กับชื่อ รอยืนยันการเปิด</x:v>
      </x:c>
      <x:c r="F504" s="8" t="str">
        <x:v>ยังไม่ยืนยันการเปิดให้บริการปัจจุบัน</x:v>
      </x:c>
      <x:c r="G504" s="58" t="n">
        <x:v>3</x:v>
      </x:c>
      <x:c r="H504" s="52"/>
      <x:c r="I504" s="52"/>
      <x:c r="J504" s="52" t="str">
        <x:v>HYPERLINK is not implemented. linkLocation=https://www.google.co.th/travel/hotels/entity/ChgI9478n8ehy_UfGgwvZy8xamt2eXJ2NjAQAQ, friendlyName=เปิดหน้ารีวิว 1</x:v>
      </x:c>
      <x:c r="K504" s="52"/>
      <x:c r="L504" s="52" t="str">
        <x:v>HYPERLINK is not implemented. linkLocation=https://www.hotelscombined.co.th/Hotel/Le_Fenix_Sukhumvit.htm, friendlyName=เปิดเว็บเพิ่ม 1</x:v>
      </x:c>
      <x:c r="M504" s="52"/>
      <x:c r="N504" s="8" t="str">
        <x:v>ยังไม่ยืนยัน</x:v>
      </x:c>
      <x:c r="O50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4" s="40" t="n">
        <x:v>46315</x:v>
      </x:c>
      <x:c r="Q504" s="59" t="str">
        <x:v>ยังไม่ตรวจ</x:v>
      </x:c>
      <x:c r="R504" s="59" t="str">
        <x:v>รอติดต่อ</x:v>
      </x:c>
    </x:row>
    <x:row r="505" ht="84" customHeight="1">
      <x:c r="A505" s="2" t="str">
        <x:v>TMF-497</x:v>
      </x:c>
      <x:c r="B505" s="8" t="str">
        <x:v>โรงแรมโฟร์ซีซั่นส์ กรุงเทพ ริมแม่น้ำเจ้าพระยา</x:v>
      </x:c>
      <x:c r="C505" s="8" t="str">
        <x:v>กรุงเทพมหานคร</x:v>
      </x:c>
      <x:c r="D505" s="8" t="str">
        <x:v>สำรองหลังปรับตามเส้นทาง</x:v>
      </x:c>
      <x:c r="E505" s="8" t="str">
        <x:v>พบหลายแหล่งสัมพันธ์กับชื่อ รอยืนยันการเปิด</x:v>
      </x:c>
      <x:c r="F505" s="8" t="str">
        <x:v>ยังไม่ยืนยันการเปิดให้บริการปัจจุบัน</x:v>
      </x:c>
      <x:c r="G505" s="58" t="n">
        <x:v>2</x:v>
      </x:c>
      <x:c r="H505" s="52"/>
      <x:c r="I505" s="52"/>
      <x:c r="J505" s="52" t="str">
        <x:v>HYPERLINK is not implemented. linkLocation=https://www.google.co.th/travel/hotels/entity/CgsI6aqaz_TVqffFARAB?rp=OAHCAhwiGg0AAEhCEhMI1cakw-_MlgMVNrIDAB2YBhP2&amp;ts=CAESCgoCCAMKAggDEAAaIAoCGgASGhIUCgcI6g8QCxgGEgcI6g8QCxgNGAcyAhAAKgkKBToDVVNEGgA, friendlyName=เปิดหน้ารีวิว 1</x:v>
      </x:c>
      <x:c r="K505" s="52" t="str">
        <x:v>HYPERLINK is not implemented. linkLocation=https://www.google.co.th/travel/hotels/entity/CgsI6aqaz_TVqffFARAB?rp=OAHCAhwiGg0AAKhBEhMIyOnTl7PTlQMVS_JLAx09ujAL&amp;ts=CAEaIgoCGgASHBIUCgcI6g8QChgcEgcI6g8QCxgBGAQyAhAAOAEqCQoFOgNVU0QaAA, friendlyName=เปิดหน้ารีวิว 2</x:v>
      </x:c>
      <x:c r="L505" s="52"/>
      <x:c r="M505" s="52"/>
      <x:c r="N505" s="8" t="str">
        <x:v>ยังไม่ยืนยัน</x:v>
      </x:c>
      <x:c r="O50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5" s="40" t="n">
        <x:v>46315</x:v>
      </x:c>
      <x:c r="Q505" s="59" t="str">
        <x:v>ยังไม่ตรวจ</x:v>
      </x:c>
      <x:c r="R505" s="59" t="str">
        <x:v>รอติดต่อ</x:v>
      </x:c>
    </x:row>
    <x:row r="506" ht="84" customHeight="1">
      <x:c r="A506" s="2" t="str">
        <x:v>TMF-498</x:v>
      </x:c>
      <x:c r="B506" s="8" t="str">
        <x:v>โรงแรมไชน่าทาวน์</x:v>
      </x:c>
      <x:c r="C506" s="8" t="str">
        <x:v>กรุงเทพมหานคร</x:v>
      </x:c>
      <x:c r="D506" s="8" t="str">
        <x:v>สำรองหลังปรับตามเส้นทาง</x:v>
      </x:c>
      <x:c r="E506" s="8" t="str">
        <x:v>พบหลายแหล่งสัมพันธ์กับชื่อ รอยืนยันการเปิด</x:v>
      </x:c>
      <x:c r="F506" s="8" t="str">
        <x:v>ยังไม่ยืนยันการเปิดให้บริการปัจจุบัน</x:v>
      </x:c>
      <x:c r="G506" s="58" t="n">
        <x:v>9</x:v>
      </x:c>
      <x:c r="H506" s="52"/>
      <x:c r="I506" s="52"/>
      <x:c r="J506" s="52" t="str">
        <x:v>HYPERLINK is not implemented. linkLocation=https://www.agoda.com/th-th/chinatown-hotel/hotel/bangkok-th.html, friendlyName=เปิดหน้ารีวิว 1</x:v>
      </x:c>
      <x:c r="K506" s="52" t="str">
        <x:v>HYPERLINK is not implemented. linkLocation=https://www.google.co.th/travel/hotels/entity/ChgI8fWkwdvFjbLZARoLL2cvMXR0dGo0czUQAQ?rp=OAHCAhwiGg0AADBCEhMIwr6jzKCyiAMVYnirAh3yHgeZ&amp;ts=CAEaBAoCGgAqBAoAGgA, friendlyName=เปิดหน้ารีวิว 2</x:v>
      </x:c>
      <x:c r="L506" s="52" t="str">
        <x:v>HYPERLINK is not implemented. linkLocation=https://www.dusit-international.com/storage/document/shareholder-meetings/agm2025-postponed/dusit-agm2025-minutes-th.pdf, friendlyName=เปิดเว็บเพิ่ม 1</x:v>
      </x:c>
      <x:c r="M506" s="52" t="str">
        <x:v>HYPERLINK is not implemented. linkLocation=https://market.sec.or.th/public/idisc/Download?FILEID=dat%2Fnews%2F202409%2F0007NWS170920240846460259T.pdf, friendlyName=เปิดเว็บเพิ่ม 2</x:v>
      </x:c>
      <x:c r="N506" s="8" t="str">
        <x:v>ยังไม่ยืนยัน</x:v>
      </x:c>
      <x:c r="O50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6" s="40" t="n">
        <x:v>46315</x:v>
      </x:c>
      <x:c r="Q506" s="59" t="str">
        <x:v>ยังไม่ตรวจ</x:v>
      </x:c>
      <x:c r="R506" s="59" t="str">
        <x:v>รอติดต่อ</x:v>
      </x:c>
    </x:row>
    <x:row r="507" ht="84" customHeight="1">
      <x:c r="A507" s="2" t="str">
        <x:v>TMF-499</x:v>
      </x:c>
      <x:c r="B507" s="8" t="str">
        <x:v>เอ็มโพเรียม (Emporium)</x:v>
      </x:c>
      <x:c r="C507" s="8" t="str">
        <x:v>กรุงเทพมหานคร</x:v>
      </x:c>
      <x:c r="D507" s="8" t="str">
        <x:v>สำรองหลังปรับตามเส้นทาง</x:v>
      </x:c>
      <x:c r="E507" s="8" t="str">
        <x:v>พบหลายแหล่งสัมพันธ์กับชื่อ รอยืนยันการเปิด</x:v>
      </x:c>
      <x:c r="F507" s="8" t="str">
        <x:v>ยังไม่ยืนยันการเปิดให้บริการปัจจุบัน</x:v>
      </x:c>
      <x:c r="G507" s="58" t="n">
        <x:v>6</x:v>
      </x:c>
      <x:c r="H507" s="52"/>
      <x:c r="I507" s="52"/>
      <x:c r="J507" s="52" t="str">
        <x:v>HYPERLINK is not implemented. linkLocation=https://www.wongnai.com/restaurants/2745163lz-%E0%B9%82%E0%B8%84%E0%B8%95%E0%B8%A3%E0%B8%81%E0%B8%B0%E0%B9%80%E0%B8%9E%E0%B8%A3%E0%B8%B2%E0%B8%88%E0%B8%87%E0%B9%80%E0%B8%88%E0%B8%A3%E0%B8%B4%E0%B8%8D-%E0%B9%80%E0%B8%AD%E0%B9%87%E0%B8%A1%E0%B9%82%E0%B8%9E%E0%B9%80%E0%B8%A3%E0%B8%B5%E0%B8%A2%E0%B8%A1-%E0%B9%80%E0%B8%AD%E0%B9%87%E0%B8%A1%E0%B9%82%E0%B8%9E%E0%B9%80%E0%B8%A3%E0%B8%B5%E0%B8%A2%E0%B8%A1, friendlyName=เปิดหน้ารีวิว 1</x:v>
      </x:c>
      <x:c r="K507" s="52" t="str">
        <x:v>HYPERLINK is not implemented. linkLocation=https://restaurantguru.com/KAMU-KAMU-The-Emporium-%E0%B8%84%E0%B8%B2%E0%B8%A1%E0%B8%B8%E0%B8%AA%E0%B8%B2%E0%B8%82%E0%B8%B2%E0%B8%94%E0%B8%B4%E0%B9%80%E0%B8%AD%E0%B9%87%E0%B8%A1%E0%B9%82%E0%B8%9E%E0%B9%80%E0%B8%A3%E0%B8%B5%E0%B8%A2%E0%B8%A1-Bangkok, friendlyName=เปิดหน้ารีวิว 2</x:v>
      </x:c>
      <x:c r="L507" s="52" t="str">
        <x:v>HYPERLINK is not implemented. linkLocation=https://www.thaimiceconnect.com/business/detail/20992, friendlyName=เปิดเว็บเพิ่ม 1</x:v>
      </x:c>
      <x:c r="M507" s="52" t="str">
        <x:v>HYPERLINK is not implemented. linkLocation=https://www.gplace.com/968263, friendlyName=เปิดเว็บเพิ่ม 2</x:v>
      </x:c>
      <x:c r="N507" s="8" t="str">
        <x:v>ยังไม่ยืนยัน</x:v>
      </x:c>
      <x:c r="O50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07" s="40" t="n">
        <x:v>46315</x:v>
      </x:c>
      <x:c r="Q507" s="59" t="str">
        <x:v>ยังไม่ตรวจ</x:v>
      </x:c>
      <x:c r="R507" s="59" t="str">
        <x:v>รอติดต่อ</x:v>
      </x:c>
    </x:row>
    <x:row r="508" ht="84" customHeight="1">
      <x:c r="A508" s="2" t="str">
        <x:v>TMF-500</x:v>
      </x:c>
      <x:c r="B508" s="8" t="str">
        <x:v>กายา บาย โอเอซิสสปา</x:v>
      </x:c>
      <x:c r="C508" s="8" t="str">
        <x:v>กรุงเทพมหานคร</x:v>
      </x:c>
      <x:c r="D508" s="8" t="str">
        <x:v>อยู่ในชุด 600 ตามเส้นทาง</x:v>
      </x:c>
      <x:c r="E508" s="8" t="str">
        <x:v>พบชื่อสัมพันธ์หลายเว็บไซต์ รอยืนยันสาขา</x:v>
      </x:c>
      <x:c r="F508" s="8" t="str">
        <x:v>ยังไม่ยืนยันการเปิดให้บริการปัจจุบัน</x:v>
      </x:c>
      <x:c r="G508" s="58" t="n">
        <x:v>2</x:v>
      </x:c>
      <x:c r="H508" s="52" t="str"/>
      <x:c r="I508" s="52" t="str"/>
      <x:c r="J508" s="52" t="str"/>
      <x:c r="K508" s="52" t="str"/>
      <x:c r="L508" s="52" t="str">
        <x:v>https://oasisspa.net/en/destination/</x:v>
      </x:c>
      <x:c r="M508" s="52" t="str">
        <x:v>https://www.gowabi.com/th/provider/gaaya-by-oasis-spa</x:v>
      </x:c>
      <x:c r="N508" s="8" t="str">
        <x:v>ยังไม่ยืนยัน</x:v>
      </x:c>
      <x:c r="O508" s="8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P508" s="40" t="n">
        <x:v>46315</x:v>
      </x:c>
      <x:c r="Q508" s="59" t="str">
        <x:v>ยังไม่ตรวจ</x:v>
      </x:c>
      <x:c r="R508" s="59" t="str">
        <x:v>รอติดต่อ</x:v>
      </x:c>
    </x:row>
    <x:row r="509" ht="84" customHeight="1">
      <x:c r="A509" s="2" t="str">
        <x:v>TMF-501</x:v>
      </x:c>
      <x:c r="B509" s="8" t="str">
        <x:v>เออร์เบินโอเอซิสสปา ทองหล่อ</x:v>
      </x:c>
      <x:c r="C509" s="8" t="str">
        <x:v>กรุงเทพมหานคร</x:v>
      </x:c>
      <x:c r="D509" s="8" t="str">
        <x:v>สำรองหลังปรับตามเส้นทาง</x:v>
      </x:c>
      <x:c r="E509" s="8" t="str">
        <x:v>หลักฐานไม่พอ รอยืนยันการเปิด</x:v>
      </x:c>
      <x:c r="F509" s="8" t="str">
        <x:v>ยังไม่ยืนยันการเปิดให้บริการปัจจุบัน</x:v>
      </x:c>
      <x:c r="G509" s="58" t="n">
        <x:v>1</x:v>
      </x:c>
      <x:c r="H509" s="52"/>
      <x:c r="I509" s="52"/>
      <x:c r="J509" s="52"/>
      <x:c r="K509" s="52"/>
      <x:c r="L509" s="52"/>
      <x:c r="M509" s="52"/>
      <x:c r="N509" s="8" t="str">
        <x:v>ยังไม่ยืนยัน</x:v>
      </x:c>
      <x:c r="O50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09" s="40" t="n">
        <x:v>46315</x:v>
      </x:c>
      <x:c r="Q509" s="59" t="str">
        <x:v>ยังไม่ตรวจ</x:v>
      </x:c>
      <x:c r="R509" s="59" t="str">
        <x:v>รอติดต่อ</x:v>
      </x:c>
    </x:row>
    <x:row r="510" ht="84" customHeight="1">
      <x:c r="A510" s="2" t="str">
        <x:v>TMF-502</x:v>
      </x:c>
      <x:c r="B510" s="8" t="str">
        <x:v>โอเอซิสสปา สุขุมวิท 31</x:v>
      </x:c>
      <x:c r="C510" s="8" t="str">
        <x:v>กรุงเทพมหานคร</x:v>
      </x:c>
      <x:c r="D510" s="8" t="str">
        <x:v>สำรองหลังปรับตามเส้นทาง</x:v>
      </x:c>
      <x:c r="E510" s="8" t="str">
        <x:v>พบหลายแหล่งสัมพันธ์กับชื่อ รอยืนยันการเปิด</x:v>
      </x:c>
      <x:c r="F510" s="8" t="str">
        <x:v>ยังไม่ยืนยันการเปิดให้บริการปัจจุบัน</x:v>
      </x:c>
      <x:c r="G510" s="58" t="n">
        <x:v>3</x:v>
      </x:c>
      <x:c r="H510" s="52"/>
      <x:c r="I510" s="52"/>
      <x:c r="J510" s="52"/>
      <x:c r="K510" s="52"/>
      <x:c r="L510" s="52" t="str">
        <x:v>HYPERLINK is not implemented. linkLocation=https://www.gowabi.com/th/provider/oasis-spa-sukhumvit-31, friendlyName=เปิดเว็บเพิ่ม 1</x:v>
      </x:c>
      <x:c r="M510" s="52" t="str">
        <x:v>HYPERLINK is not implemented. linkLocation=https://www.mediaofthailand.com/2025/08/bangkok-oasis-spa-31.html, friendlyName=เปิดเว็บเพิ่ม 2</x:v>
      </x:c>
      <x:c r="N510" s="8" t="str">
        <x:v>ยังไม่ยืนยัน</x:v>
      </x:c>
      <x:c r="O510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10" s="40" t="n">
        <x:v>46315</x:v>
      </x:c>
      <x:c r="Q510" s="59" t="str">
        <x:v>ยังไม่ตรวจ</x:v>
      </x:c>
      <x:c r="R510" s="59" t="str">
        <x:v>รอติดต่อ</x:v>
      </x:c>
    </x:row>
    <x:row r="511" ht="84" customHeight="1">
      <x:c r="A511" s="2" t="str">
        <x:v>TMF-503</x:v>
      </x:c>
      <x:c r="B511" s="8" t="str">
        <x:v>จุดชมวิวทะเลบางขุนเทียน</x:v>
      </x:c>
      <x:c r="C511" s="8" t="str">
        <x:v>กรุงเทพมหานคร</x:v>
      </x:c>
      <x:c r="D511" s="8" t="str">
        <x:v>สำรองหลังปรับตามเส้นทาง</x:v>
      </x:c>
      <x:c r="E511" s="8" t="str">
        <x:v>พบหลายแหล่งสัมพันธ์กับชื่อ รอยืนยันการเปิด</x:v>
      </x:c>
      <x:c r="F511" s="8" t="str">
        <x:v>ยังไม่ยืนยันการเปิดให้บริการปัจจุบัน</x:v>
      </x:c>
      <x:c r="G511" s="58" t="n">
        <x:v>3</x:v>
      </x:c>
      <x:c r="H511" s="52"/>
      <x:c r="I511" s="52"/>
      <x:c r="J511" s="52" t="str">
        <x:v>HYPERLINK is not implemented. linkLocation=https://www.lemon8-app.com/%40raochobpapthai/7171455166506484225?region=th, friendlyName=เปิดหน้ารีวิว 1</x:v>
      </x:c>
      <x:c r="K511" s="52" t="str">
        <x:v>HYPERLINK is not implemented. linkLocation=https://www.lemon8-app.com/%40nnewnn38/7594272146503762450?region=th, friendlyName=เปิดหน้ารีวิว 2</x:v>
      </x:c>
      <x:c r="L511" s="52" t="str">
        <x:v>HYPERLINK is not implemented. linkLocation=https://www.dmcr.go.th/detailAll/69525/nws/260, friendlyName=เปิดเว็บเพิ่ม 1</x:v>
      </x:c>
      <x:c r="M511" s="52"/>
      <x:c r="N511" s="8" t="str">
        <x:v>ยังไม่ยืนยัน</x:v>
      </x:c>
      <x:c r="O51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1" s="40" t="n">
        <x:v>46315</x:v>
      </x:c>
      <x:c r="Q511" s="59" t="str">
        <x:v>ยังไม่ตรวจ</x:v>
      </x:c>
      <x:c r="R511" s="59" t="str">
        <x:v>รอติดต่อ</x:v>
      </x:c>
    </x:row>
    <x:row r="512" ht="84" customHeight="1">
      <x:c r="A512" s="2" t="str">
        <x:v>TMF-504</x:v>
      </x:c>
      <x:c r="B512" s="8" t="str">
        <x:v>ตลาดแหลมทอง</x:v>
      </x:c>
      <x:c r="C512" s="8" t="str">
        <x:v>กรุงเทพมหานคร</x:v>
      </x:c>
      <x:c r="D512" s="8" t="str">
        <x:v>สำรองหลังปรับตามเส้นทาง</x:v>
      </x:c>
      <x:c r="E512" s="8" t="str">
        <x:v>พบหลายแหล่งสัมพันธ์กับชื่อ รอยืนยันการเปิด</x:v>
      </x:c>
      <x:c r="F512" s="8" t="str">
        <x:v>ยังไม่ยืนยันการเปิดให้บริการปัจจุบัน</x:v>
      </x:c>
      <x:c r="G512" s="58" t="n">
        <x:v>2</x:v>
      </x:c>
      <x:c r="H512" s="52"/>
      <x:c r="I512" s="52"/>
      <x:c r="J512" s="52"/>
      <x:c r="K512" s="52"/>
      <x:c r="L512" s="52" t="str">
        <x:v>HYPERLINK is not implemented. linkLocation=https://www.xn--l3cb2cwa9ac.com/central/bangkok/laem-thong-market/, friendlyName=เปิดเว็บเพิ่ม 1</x:v>
      </x:c>
      <x:c r="M512" s="52"/>
      <x:c r="N512" s="8" t="str">
        <x:v>ยังไม่ยืนยัน</x:v>
      </x:c>
      <x:c r="O512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12" s="40" t="n">
        <x:v>46315</x:v>
      </x:c>
      <x:c r="Q512" s="59" t="str">
        <x:v>ยังไม่ตรวจ</x:v>
      </x:c>
      <x:c r="R512" s="59" t="str">
        <x:v>รอติดต่อ</x:v>
      </x:c>
    </x:row>
    <x:row r="513" ht="84" customHeight="1">
      <x:c r="A513" s="2" t="str">
        <x:v>TMF-505</x:v>
      </x:c>
      <x:c r="B513" s="8" t="str">
        <x:v>สวนนวมินทร์ภิรมย์</x:v>
      </x:c>
      <x:c r="C513" s="8" t="str">
        <x:v>กรุงเทพมหานคร</x:v>
      </x:c>
      <x:c r="D513" s="8" t="str">
        <x:v>สำรองหลังปรับตามเส้นทาง</x:v>
      </x:c>
      <x:c r="E513" s="8" t="str">
        <x:v>พบหลายแหล่งสัมพันธ์กับชื่อ รอยืนยันการเปิด</x:v>
      </x:c>
      <x:c r="F513" s="8" t="str">
        <x:v>ยังไม่ยืนยันการเปิดให้บริการปัจจุบัน</x:v>
      </x:c>
      <x:c r="G513" s="58" t="n">
        <x:v>4</x:v>
      </x:c>
      <x:c r="H513" s="52"/>
      <x:c r="I513" s="52"/>
      <x:c r="J513" s="52" t="str">
        <x:v>HYPERLINK is not implemented. linkLocation=https://www.wongnai.com/attractions/337759Bd-%E0%B8%AA%E0%B8%A7%E0%B8%99%E0%B8%99%E0%B8%A7%E0%B8%A1%E0%B8%B4%E0%B8%99%E0%B8%97%E0%B8%A3%E0%B9%8C%E0%B8%A0%E0%B8%B4%E0%B8%A3%E0%B8%A1%E0%B8%A2%E0%B9%8C, friendlyName=เปิดหน้ารีวิว 1</x:v>
      </x:c>
      <x:c r="K513" s="52" t="str">
        <x:v>HYPERLINK is not implemented. linkLocation=https://www.wongnai.com/reviews/150b1ce7d08f4f51b14977d23ff7783a, friendlyName=เปิดหน้ารีวิว 2</x:v>
      </x:c>
      <x:c r="L513" s="52" t="str">
        <x:v>HYPERLINK is not implemented. linkLocation=https://www.mypacer.com/parks/171892/swnnwminthrphirmy-bangkok, friendlyName=เปิดเว็บเพิ่ม 1</x:v>
      </x:c>
      <x:c r="M513" s="52" t="str">
        <x:v>HYPERLINK is not implemented. linkLocation=https://thi.worldorgs.com/%E0%B9%81%E0%B8%84%E0%B8%95%E0%B8%95%E0%B8%B2%E0%B8%A5%E0%B9%87%E0%B8%AD%E0%B8%81/%E0%B9%80%E0%B8%82%E0%B8%95-%E0%B8%9A%E0%B8%B6%E0%B8%87%E0%B8%81%E0%B8%B8%E0%B9%88%E0%B8%A1/%E0%B8%97%E0%B8%B5%E0%B9%88%E0%B8%88%E0%B8%AD%E0%B8%94%E0%B8%A3%E0%B8%96/%E0%B8%AA%E0%B8%A7%E0%B8%99%E0%B8%99%E0%B8%A7%E0%B8%A1%E0%B8%B4%E0%B8%99%E0%B8%97%E0%B8%A3%E0%B9%8C%E0%B8%A0%E0%B8%B4%E0%B8%A3%E0%B8%A1%E0%B8%A2%E0%B9%8C, friendlyName=เปิดเว็บเพิ่ม 2</x:v>
      </x:c>
      <x:c r="N513" s="8" t="str">
        <x:v>ยังไม่ยืนยัน</x:v>
      </x:c>
      <x:c r="O51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3" s="40" t="n">
        <x:v>46315</x:v>
      </x:c>
      <x:c r="Q513" s="59" t="str">
        <x:v>ยังไม่ตรวจ</x:v>
      </x:c>
      <x:c r="R513" s="59" t="str">
        <x:v>รอติดต่อ</x:v>
      </x:c>
    </x:row>
    <x:row r="514" ht="84" customHeight="1">
      <x:c r="A514" s="2" t="str">
        <x:v>TMF-506</x:v>
      </x:c>
      <x:c r="B514" s="8" t="str">
        <x:v>สวนลอยฟ้าเจ้าพระยา</x:v>
      </x:c>
      <x:c r="C514" s="8" t="str">
        <x:v>กรุงเทพมหานคร</x:v>
      </x:c>
      <x:c r="D514" s="8" t="str">
        <x:v>อยู่ในชุด 600 ตามเส้นทาง</x:v>
      </x:c>
      <x:c r="E514" s="8" t="str">
        <x:v>พบชื่อสัมพันธ์หลายเว็บไซต์ รอยืนยันสาขา</x:v>
      </x:c>
      <x:c r="F514" s="8" t="str">
        <x:v>ยังไม่ยืนยันการเปิดให้บริการปัจจุบัน</x:v>
      </x:c>
      <x:c r="G514" s="58" t="n">
        <x:v>8</x:v>
      </x:c>
      <x:c r="H514" s="52" t="str"/>
      <x:c r="I514" s="52" t="str"/>
      <x:c r="J514" s="52" t="str">
        <x:v>https://www.wongnai.com/attractions/588174Pz</x:v>
      </x:c>
      <x:c r="K514" s="52" t="str"/>
      <x:c r="L514" s="52" t="str">
        <x:v>https://www.thaipbs.or.th/news/content/293992</x:v>
      </x:c>
      <x:c r="M514" s="52" t="str">
        <x:v>https://greener.bangkok.go.th/park/suan-loi-fa-jao-phaya/</x:v>
      </x:c>
      <x:c r="N514" s="8" t="str">
        <x:v>ยังไม่ยืนยัน</x:v>
      </x:c>
      <x:c r="O514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514" s="40" t="n">
        <x:v>46316</x:v>
      </x:c>
      <x:c r="Q514" s="59" t="str">
        <x:v>ยังไม่ตรวจ</x:v>
      </x:c>
      <x:c r="R514" s="59" t="str">
        <x:v>รอติดต่อ</x:v>
      </x:c>
    </x:row>
    <x:row r="515" ht="84" customHeight="1">
      <x:c r="A515" s="2" t="str">
        <x:v>TMF-507</x:v>
      </x:c>
      <x:c r="B515" s="8" t="str">
        <x:v>สวนลุมพินี</x:v>
      </x:c>
      <x:c r="C515" s="8" t="str">
        <x:v>กรุงเทพมหานคร</x:v>
      </x:c>
      <x:c r="D515" s="8" t="str">
        <x:v>สำรองหลังปรับตามเส้นทาง</x:v>
      </x:c>
      <x:c r="E515" s="8" t="str">
        <x:v>พบหลายแหล่งสัมพันธ์กับชื่อ รอยืนยันการเปิด</x:v>
      </x:c>
      <x:c r="F515" s="8" t="str">
        <x:v>ยังไม่ยืนยันการเปิดให้บริการปัจจุบัน</x:v>
      </x:c>
      <x:c r="G515" s="58" t="n">
        <x:v>5</x:v>
      </x:c>
      <x:c r="H515" s="52"/>
      <x:c r="I515" s="52"/>
      <x:c r="J515" s="52" t="str">
        <x:v>HYPERLINK is not implemented. linkLocation=https://th.trip.com/travel-guide/attraction/bangkok/lumphini-park-77030?curr=&amp;locale=th-TH&amp;poiType=3, friendlyName=เปิดหน้ารีวิว 1</x:v>
      </x:c>
      <x:c r="K515" s="52"/>
      <x:c r="L515" s="52" t="str">
        <x:v>HYPERLINK is not implemented. linkLocation=https://www.gplace.com/3960, friendlyName=เปิดเว็บเพิ่ม 1</x:v>
      </x:c>
      <x:c r="M515" s="52" t="str">
        <x:v>HYPERLINK is not implemented. linkLocation=https://publicspace.bangkok.go.th/Spaces/Info/B38EC1D0-49FE-4544-A709-AF9ED243ECCD, friendlyName=เปิดเว็บเพิ่ม 2</x:v>
      </x:c>
      <x:c r="N515" s="8" t="str">
        <x:v>ยังไม่ยืนยัน</x:v>
      </x:c>
      <x:c r="O51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5" s="40" t="n">
        <x:v>46315</x:v>
      </x:c>
      <x:c r="Q515" s="59" t="str">
        <x:v>ยังไม่ตรวจ</x:v>
      </x:c>
      <x:c r="R515" s="59" t="str">
        <x:v>รอติดต่อ</x:v>
      </x:c>
    </x:row>
    <x:row r="516" ht="84" customHeight="1">
      <x:c r="A516" s="2" t="str">
        <x:v>TMF-508</x:v>
      </x:c>
      <x:c r="B516" s="8" t="str">
        <x:v>สวนวชิรเบญจทัศ (สวนรถไฟ)</x:v>
      </x:c>
      <x:c r="C516" s="8" t="str">
        <x:v>กรุงเทพมหานคร</x:v>
      </x:c>
      <x:c r="D516" s="8" t="str">
        <x:v>สำรองหลังปรับตามเส้นทาง</x:v>
      </x:c>
      <x:c r="E516" s="8" t="str">
        <x:v>พบหลายแหล่งสัมพันธ์กับชื่อ รอยืนยันการเปิด</x:v>
      </x:c>
      <x:c r="F516" s="8" t="str">
        <x:v>ยังไม่ยืนยันการเปิดให้บริการปัจจุบัน</x:v>
      </x:c>
      <x:c r="G516" s="58" t="n">
        <x:v>8</x:v>
      </x:c>
      <x:c r="H516" s="52"/>
      <x:c r="I516" s="52"/>
      <x:c r="J516" s="52" t="str">
        <x:v>HYPERLINK is not implemented. linkLocation=https://www.wongnai.com/reviews/9e8d9f2459624a2ea1c3d8fc0d4a2857, friendlyName=เปิดหน้ารีวิว 1</x:v>
      </x:c>
      <x:c r="K516" s="52" t="str">
        <x:v>HYPERLINK is not implemented. linkLocation=https://th.tripadvisor.com/Attraction_Review-g293916-d8654056-Reviews-Wachira_Benchathat_Park_Rot_Fai_Park-Bangkok.html, friendlyName=เปิดหน้ารีวิว 2</x:v>
      </x:c>
      <x:c r="L516" s="52" t="str">
        <x:v>HYPERLINK is not implemented. linkLocation=https://phanganist.com/th/bangkok/wachirabenchathat-park-state-railway-park, friendlyName=เปิดเว็บเพิ่ม 1</x:v>
      </x:c>
      <x:c r="M516" s="52" t="str">
        <x:v>HYPERLINK is not implemented. linkLocation=https://pagoda.or.th/images/%E0%B8%A0%E0%B8%B2%E0%B8%A7%E0%B8%99%E0%B8%B2%E0%B8%94%E0%B9%89%E0%B8%A7%E0%B8%A2%E0%B8%AB%E0%B8%B1%E0%B8%A7%E0%B9%83%E0%B8%88%E0%B8%AD%E0%B8%B1%E0%B8%99%E0%B8%9B%E0%B8%A3%E0%B8%B0%E0%B9%80%E0%B8%AA%E0%B8%A3%E0%B8%B4%E0%B8%90_%E0%B8%A2%E0%B8%B4%E0%B9%89%E0%B8%A1%E0%B8%88%E0%B8%B2%E0%B8%81%E0%B8%AB%E0%B8%B1%E0%B8%A7%E0%B9%83%E0%B8%88.pdf, friendlyName=เปิดเว็บเพิ่ม 2</x:v>
      </x:c>
      <x:c r="N516" s="8" t="str">
        <x:v>ยังไม่ยืนยัน</x:v>
      </x:c>
      <x:c r="O51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6" s="40" t="n">
        <x:v>46315</x:v>
      </x:c>
      <x:c r="Q516" s="59" t="str">
        <x:v>ยังไม่ตรวจ</x:v>
      </x:c>
      <x:c r="R516" s="59" t="str">
        <x:v>รอติดต่อ</x:v>
      </x:c>
    </x:row>
    <x:row r="517" ht="84" customHeight="1">
      <x:c r="A517" s="2" t="str">
        <x:v>TMF-509</x:v>
      </x:c>
      <x:c r="B517" s="8" t="str">
        <x:v>สวนวารีภิรมย์</x:v>
      </x:c>
      <x:c r="C517" s="8" t="str">
        <x:v>กรุงเทพมหานคร</x:v>
      </x:c>
      <x:c r="D517" s="8" t="str">
        <x:v>สำรองหลังปรับตามเส้นทาง</x:v>
      </x:c>
      <x:c r="E517" s="8" t="str">
        <x:v>พบหลายแหล่งสัมพันธ์กับชื่อ รอยืนยันการเปิด</x:v>
      </x:c>
      <x:c r="F517" s="8" t="str">
        <x:v>ยังไม่ยืนยันการเปิดให้บริการปัจจุบัน</x:v>
      </x:c>
      <x:c r="G517" s="58" t="n">
        <x:v>4</x:v>
      </x:c>
      <x:c r="H517" s="52"/>
      <x:c r="I517" s="52"/>
      <x:c r="J517" s="52" t="str">
        <x:v>HYPERLINK is not implemented. linkLocation=https://www.wongnai.com/reviews/490877defbf348d6b0bef91c9093f885, friendlyName=เปิดหน้ารีวิว 1</x:v>
      </x:c>
      <x:c r="K517" s="52" t="str">
        <x:v>HYPERLINK is not implemented. linkLocation=https://www.wongnai.com/reviews/190a15f8c5eb47a9b4ddc1c76b3cd2b4, friendlyName=เปิดหน้ารีวิว 2</x:v>
      </x:c>
      <x:c r="L517" s="52"/>
      <x:c r="M517" s="52"/>
      <x:c r="N517" s="8" t="str">
        <x:v>ยังไม่ยืนยัน</x:v>
      </x:c>
      <x:c r="O51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7" s="40" t="n">
        <x:v>46315</x:v>
      </x:c>
      <x:c r="Q517" s="59" t="str">
        <x:v>ยังไม่ตรวจ</x:v>
      </x:c>
      <x:c r="R517" s="59" t="str">
        <x:v>รอติดต่อ</x:v>
      </x:c>
    </x:row>
    <x:row r="518" ht="84" customHeight="1">
      <x:c r="A518" s="2" t="str">
        <x:v>TMF-510</x:v>
      </x:c>
      <x:c r="B518" s="8" t="str">
        <x:v>สวนสันติภาพ</x:v>
      </x:c>
      <x:c r="C518" s="8" t="str">
        <x:v>กรุงเทพมหานคร</x:v>
      </x:c>
      <x:c r="D518" s="8" t="str">
        <x:v>สำรองหลังปรับตามเส้นทาง</x:v>
      </x:c>
      <x:c r="E518" s="8" t="str">
        <x:v>พบหลายแหล่งสัมพันธ์กับชื่อ รอยืนยันการเปิด</x:v>
      </x:c>
      <x:c r="F518" s="8" t="str">
        <x:v>ยังไม่ยืนยันการเปิดให้บริการปัจจุบัน</x:v>
      </x:c>
      <x:c r="G518" s="58" t="n">
        <x:v>4</x:v>
      </x:c>
      <x:c r="H518" s="52"/>
      <x:c r="I518" s="52"/>
      <x:c r="J518" s="52" t="str">
        <x:v>HYPERLINK is not implemented. linkLocation=https://th.tripadvisor.com/Attraction_Review-g293916-d554210-Reviews-Santiphap_Park_Park_of_Peace-Bangkok.html, friendlyName=เปิดหน้ารีวิว 1</x:v>
      </x:c>
      <x:c r="K518" s="52" t="str">
        <x:v>HYPERLINK is not implemented. linkLocation=https://www.wongnai.com/reviews/f46331488d264200a5a3d82b1fcfc5a3, friendlyName=เปิดหน้ารีวิว 2</x:v>
      </x:c>
      <x:c r="L518" s="52" t="str">
        <x:v>HYPERLINK is not implemented. linkLocation=https://agr.rmutt.ac.th/wp-content/uploads/2019/05/%E0%B9%82%E0%B8%84%E0%B8%A3%E0%B8%87%E0%B8%81%E0%B8%B2%E0%B8%A3%E0%B8%AD%E0%B8%AD%E0%B8%81%E0%B9%81%E0%B8%9A%E0%B8%9A%E0%B8%A0%E0%B8%B9%E0%B8%A1%E0%B8%B4%E0%B8%97%E0%B8%B1%E0%B8%A8%E0%B8%99%E0%B9%8C%E0%B8%AA%E0%B8%A7%E0%B8%99%E0%B8%AA%E0%B8%B2%E0%B8%98%E0%B8%B2%E0%B8%A3%E0%B8%93%E0%B8%B0%E0%B8%99%E0%B8%B4%E0%B8%84%E0%B8%A1%E0%B8%AD%E0%B8%B8%E0%B8%95.pdf, friendlyName=เปิดเว็บเพิ่ม 1</x:v>
      </x:c>
      <x:c r="M518" s="52"/>
      <x:c r="N518" s="8" t="str">
        <x:v>ยังไม่ยืนยัน</x:v>
      </x:c>
      <x:c r="O51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8" s="40" t="n">
        <x:v>46315</x:v>
      </x:c>
      <x:c r="Q518" s="59" t="str">
        <x:v>ยังไม่ตรวจ</x:v>
      </x:c>
      <x:c r="R518" s="59" t="str">
        <x:v>รอติดต่อ</x:v>
      </x:c>
    </x:row>
    <x:row r="519" ht="84" customHeight="1">
      <x:c r="A519" s="2" t="str">
        <x:v>TMF-511</x:v>
      </x:c>
      <x:c r="B519" s="8" t="str">
        <x:v>สวนสาธารณะบึงหนองบอน</x:v>
      </x:c>
      <x:c r="C519" s="8" t="str">
        <x:v>กรุงเทพมหานคร</x:v>
      </x:c>
      <x:c r="D519" s="8" t="str">
        <x:v>สำรองหลังปรับตามเส้นทาง</x:v>
      </x:c>
      <x:c r="E519" s="8" t="str">
        <x:v>พบหลายแหล่งสัมพันธ์กับชื่อ รอยืนยันการเปิด</x:v>
      </x:c>
      <x:c r="F519" s="8" t="str">
        <x:v>ยังไม่ยืนยันการเปิดให้บริการปัจจุบัน</x:v>
      </x:c>
      <x:c r="G519" s="58" t="n">
        <x:v>4</x:v>
      </x:c>
      <x:c r="H519" s="52"/>
      <x:c r="I519" s="52"/>
      <x:c r="J519" s="52" t="str">
        <x:v>HYPERLINK is not implemented. linkLocation=https://th.trip.com/travel-guide/attraction/bangkok/nong-bon-lake-park-143788017/?curr=DKK&amp;locale=th-TH, friendlyName=เปิดหน้ารีวิว 1</x:v>
      </x:c>
      <x:c r="K519" s="52" t="str">
        <x:v>HYPERLINK is not implemented. linkLocation=https://www.lemon8-app.com/%40annesupassorn/7554620455840203265?region=th, friendlyName=เปิดหน้ารีวิว 2</x:v>
      </x:c>
      <x:c r="L519" s="52" t="str">
        <x:v>HYPERLINK is not implemented. linkLocation=https://thi.worldorgs.com/%E0%B9%81%E0%B8%84%E0%B8%95%E0%B8%95%E0%B8%B2%E0%B8%A5%E0%B9%87%E0%B8%AD%E0%B8%81/%E0%B9%80%E0%B8%82%E0%B8%95-%E0%B8%9B%E0%B8%A3%E0%B8%B0%E0%B9%80%E0%B8%A7%E0%B8%A8/%E0%B8%AD%E0%B8%B8%E0%B8%97%E0%B8%A2%E0%B8%B2%E0%B8%99/%E0%B8%AA%E0%B8%A7%E0%B8%99%E0%B8%AA%E0%B8%B2%E0%B8%98%E0%B8%B2%E0%B8%A3%E0%B8%93%E0%B8%B0%E0%B8%9A%E0%B8%B6%E0%B8%87%E0%B8%AB%E0%B8%99%E0%B8%AD%E0%B8%87%E0%B8%9A%E0%B8%AD%E0%B8%99, friendlyName=เปิดเว็บเพิ่ม 1</x:v>
      </x:c>
      <x:c r="M519" s="52"/>
      <x:c r="N519" s="8" t="str">
        <x:v>ยังไม่ยืนยัน</x:v>
      </x:c>
      <x:c r="O51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19" s="40" t="n">
        <x:v>46315</x:v>
      </x:c>
      <x:c r="Q519" s="59" t="str">
        <x:v>ยังไม่ตรวจ</x:v>
      </x:c>
      <x:c r="R519" s="59" t="str">
        <x:v>รอติดต่อ</x:v>
      </x:c>
    </x:row>
    <x:row r="520" ht="84" customHeight="1">
      <x:c r="A520" s="2" t="str">
        <x:v>TMF-512</x:v>
      </x:c>
      <x:c r="B520" s="8" t="str">
        <x:v>สวนสาธารณะเฉลิมพระเกียรติ 6 รอบฯ</x:v>
      </x:c>
      <x:c r="C520" s="8" t="str">
        <x:v>กรุงเทพมหานคร</x:v>
      </x:c>
      <x:c r="D520" s="8" t="str">
        <x:v>สำรองหลังปรับตามเส้นทาง</x:v>
      </x:c>
      <x:c r="E520" s="8" t="str">
        <x:v>หลักฐานไม่พอ รอยืนยันการเปิด</x:v>
      </x:c>
      <x:c r="F520" s="8" t="str">
        <x:v>ยังไม่ยืนยันการเปิดให้บริการปัจจุบัน</x:v>
      </x:c>
      <x:c r="G520" s="58" t="n">
        <x:v>1</x:v>
      </x:c>
      <x:c r="H520" s="52"/>
      <x:c r="I520" s="52"/>
      <x:c r="J520" s="52"/>
      <x:c r="K520" s="52"/>
      <x:c r="L520" s="52"/>
      <x:c r="M520" s="52"/>
      <x:c r="N520" s="8" t="str">
        <x:v>ยังไม่ยืนยัน</x:v>
      </x:c>
      <x:c r="O52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20" s="40" t="n">
        <x:v>46315</x:v>
      </x:c>
      <x:c r="Q520" s="59" t="str">
        <x:v>ยังไม่ตรวจ</x:v>
      </x:c>
      <x:c r="R520" s="59" t="str">
        <x:v>รอติดต่อ</x:v>
      </x:c>
    </x:row>
    <x:row r="521" ht="84" customHeight="1">
      <x:c r="A521" s="2" t="str">
        <x:v>TMF-513</x:v>
      </x:c>
      <x:c r="B521" s="8" t="str">
        <x:v>สวนหลวง ร.9</x:v>
      </x:c>
      <x:c r="C521" s="8" t="str">
        <x:v>กรุงเทพมหานคร</x:v>
      </x:c>
      <x:c r="D521" s="8" t="str">
        <x:v>สำรองหลังปรับตามเส้นทาง</x:v>
      </x:c>
      <x:c r="E521" s="8" t="str">
        <x:v>พบหลายแหล่งสัมพันธ์กับชื่อ รอยืนยันการเปิด</x:v>
      </x:c>
      <x:c r="F521" s="8" t="str">
        <x:v>ยังไม่ยืนยันการเปิดให้บริการปัจจุบัน</x:v>
      </x:c>
      <x:c r="G521" s="58" t="n">
        <x:v>5</x:v>
      </x:c>
      <x:c r="H521" s="52"/>
      <x:c r="I521" s="52"/>
      <x:c r="J521" s="52" t="str">
        <x:v>HYPERLINK is not implemented. linkLocation=https://www.wongnai.com/attractions/324235ix, friendlyName=เปิดหน้ารีวิว 1</x:v>
      </x:c>
      <x:c r="K521" s="52" t="str">
        <x:v>HYPERLINK is not implemented. linkLocation=https://wanderlog.com/th/place/details/611/%E0%B8%AA%E0%B8%A7%E0%B8%99%E0%B8%AB%E0%B8%A5%E0%B8%A7%E0%B8%87-%E0%B8%A39, friendlyName=เปิดหน้ารีวิว 2</x:v>
      </x:c>
      <x:c r="L521" s="52" t="str">
        <x:v>HYPERLINK is not implemented. linkLocation=https://www.gplace.com/3970, friendlyName=เปิดเว็บเพิ่ม 1</x:v>
      </x:c>
      <x:c r="M521" s="52" t="str">
        <x:v>HYPERLINK is not implemented. linkLocation=https://thi.worldorgs.com/%E0%B9%81%E0%B8%84%E0%B8%95%E0%B8%95%E0%B8%B2%E0%B8%A5%E0%B9%87%E0%B8%AD%E0%B8%81/%E0%B9%80%E0%B8%82%E0%B8%95-%E0%B8%9B%E0%B8%A3%E0%B8%B0%E0%B9%80%E0%B8%A7%E0%B8%A8/%E0%B8%AA%E0%B8%A3%E0%B8%B0%E0%B8%A7%E0%B9%88%E0%B8%B2%E0%B8%A2%E0%B8%99%E0%B9%89%E0%B8%B3%E0%B8%AA%E0%B8%B2%E0%B8%98%E0%B8%B2%E0%B8%A3%E0%B8%93%E0%B8%B0/%E0%B8%A8%E0%B8%B9%E0%B8%99%E0%B8%A2%E0%B9%8C%E0%B8%81%E0%B8%B5%E0%B8%AC%E0%B8%B2-%E0%B8%AA%E0%B8%A7%E0%B8%99%E0%B8%AB%E0%B8%A5%E0%B8%A7%E0%B8%87-%E0%B8%A39, friendlyName=เปิดเว็บเพิ่ม 2</x:v>
      </x:c>
      <x:c r="N521" s="8" t="str">
        <x:v>ยังไม่ยืนยัน</x:v>
      </x:c>
      <x:c r="O52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1" s="40" t="n">
        <x:v>46315</x:v>
      </x:c>
      <x:c r="Q521" s="59" t="str">
        <x:v>ยังไม่ตรวจ</x:v>
      </x:c>
      <x:c r="R521" s="59" t="str">
        <x:v>รอติดต่อ</x:v>
      </x:c>
    </x:row>
    <x:row r="522" ht="84" customHeight="1">
      <x:c r="A522" s="2" t="str">
        <x:v>TMF-514</x:v>
      </x:c>
      <x:c r="B522" s="8" t="str">
        <x:v>จ๊อดแฟร์ รัชดา</x:v>
      </x:c>
      <x:c r="C522" s="8" t="str">
        <x:v>กรุงเทพมหานคร</x:v>
      </x:c>
      <x:c r="D522" s="8" t="str">
        <x:v>สำรองหลังปรับตามเส้นทาง</x:v>
      </x:c>
      <x:c r="E522" s="8" t="str">
        <x:v>พบหลายแหล่งสัมพันธ์กับชื่อ รอยืนยันการเปิด</x:v>
      </x:c>
      <x:c r="F522" s="8" t="str">
        <x:v>ยังไม่ยืนยันการเปิดให้บริการปัจจุบัน</x:v>
      </x:c>
      <x:c r="G522" s="58" t="n">
        <x:v>3</x:v>
      </x:c>
      <x:c r="H522" s="52"/>
      <x:c r="I522" s="52"/>
      <x:c r="J522" s="52" t="str">
        <x:v>HYPERLINK is not implemented. linkLocation=https://th.trip.com/travel-guide/attraction/bangkok/jodd-fairs-ratchada-134009241/?curr=THB&amp;locale=th-TH, friendlyName=เปิดหน้ารีวิว 1</x:v>
      </x:c>
      <x:c r="K522" s="52" t="str">
        <x:v>HYPERLINK is not implemented. linkLocation=https://th.trip.com/travel-guide/attraction/bangkok/jodd-fairs-night-market-134009241/?curr=TWD&amp;locale=th-TH&amp;rankingId=10070000191150&amp;tagId=486029, friendlyName=เปิดหน้ารีวิว 2</x:v>
      </x:c>
      <x:c r="L522" s="52"/>
      <x:c r="M522" s="52"/>
      <x:c r="N522" s="8" t="str">
        <x:v>ยังไม่ยืนยัน</x:v>
      </x:c>
      <x:c r="O52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2" s="40" t="n">
        <x:v>46315</x:v>
      </x:c>
      <x:c r="Q522" s="59" t="str">
        <x:v>ยังไม่ตรวจ</x:v>
      </x:c>
      <x:c r="R522" s="59" t="str">
        <x:v>รอติดต่อ</x:v>
      </x:c>
    </x:row>
    <x:row r="523" ht="84" customHeight="1">
      <x:c r="A523" s="2" t="str">
        <x:v>TMF-515</x:v>
      </x:c>
      <x:c r="B523" s="8" t="str">
        <x:v>ตลาดกรีนวินเทจ รัชโยธิน</x:v>
      </x:c>
      <x:c r="C523" s="8" t="str">
        <x:v>กรุงเทพมหานคร</x:v>
      </x:c>
      <x:c r="D523" s="8" t="str">
        <x:v>สำรองหลังปรับตามเส้นทาง</x:v>
      </x:c>
      <x:c r="E523" s="8" t="str">
        <x:v>พบหลายแหล่งสัมพันธ์กับชื่อ รอยืนยันการเปิด</x:v>
      </x:c>
      <x:c r="F523" s="8" t="str">
        <x:v>ยังไม่ยืนยันการเปิดให้บริการปัจจุบัน</x:v>
      </x:c>
      <x:c r="G523" s="58" t="n">
        <x:v>5</x:v>
      </x:c>
      <x:c r="H523" s="52"/>
      <x:c r="I523" s="52"/>
      <x:c r="J523" s="52" t="str">
        <x:v>HYPERLINK is not implemented. linkLocation=https://wanderlog.com/th/place/details/5370970, friendlyName=เปิดหน้ารีวิว 1</x:v>
      </x:c>
      <x:c r="K523" s="52" t="str">
        <x:v>HYPERLINK is not implemented. linkLocation=https://th.trip.com/travel-guide/attraction/bangkok/green-vintage-night-market-146848796?curr=THB&amp;locale=th-TH, friendlyName=เปิดหน้ารีวิว 2</x:v>
      </x:c>
      <x:c r="L523" s="52"/>
      <x:c r="M523" s="52"/>
      <x:c r="N523" s="8" t="str">
        <x:v>ยังไม่ยืนยัน</x:v>
      </x:c>
      <x:c r="O52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3" s="40" t="n">
        <x:v>46315</x:v>
      </x:c>
      <x:c r="Q523" s="59" t="str">
        <x:v>ยังไม่ตรวจ</x:v>
      </x:c>
      <x:c r="R523" s="59" t="str">
        <x:v>รอติดต่อ</x:v>
      </x:c>
    </x:row>
    <x:row r="524" ht="84" customHeight="1">
      <x:c r="A524" s="2" t="str">
        <x:v>TMF-516</x:v>
      </x:c>
      <x:c r="B524" s="8" t="str">
        <x:v>ตลาดคุ้มเกล้า</x:v>
      </x:c>
      <x:c r="C524" s="8" t="str">
        <x:v>กรุงเทพมหานคร</x:v>
      </x:c>
      <x:c r="D524" s="8" t="str">
        <x:v>สำรองหลังปรับตามเส้นทาง</x:v>
      </x:c>
      <x:c r="E524" s="8" t="str">
        <x:v>พบหลายแหล่งสัมพันธ์กับชื่อ รอยืนยันการเปิด</x:v>
      </x:c>
      <x:c r="F524" s="8" t="str">
        <x:v>ยังไม่ยืนยันการเปิดให้บริการปัจจุบัน</x:v>
      </x:c>
      <x:c r="G524" s="58" t="n">
        <x:v>6</x:v>
      </x:c>
      <x:c r="H524" s="52"/>
      <x:c r="I524" s="52"/>
      <x:c r="J524" s="52" t="str">
        <x:v>HYPERLINK is not implemented. linkLocation=https://www.wongnai.com/restaurants/926089zV-%E0%B8%AB%E0%B9%88%E0%B8%AD%E0%B8%AB%E0%B8%A1%E0%B8%81%E0%B8%97%E0%B8%B0%E0%B9%80%E0%B8%A5%E0%B8%A2%E0%B9%88%E0%B8%B2%E0%B8%87-%E0%B8%95%E0%B8%A5%E0%B8%B2%E0%B8%94%E0%B8%84%E0%B8%B8%E0%B9%89%E0%B8%A1%E0%B9%80%E0%B8%81%E0%B8%A5%E0%B9%89%E0%B8%B2-%E0%B8%AA%E0%B8%B2%E0%B8%82%E0%B8%B2-2, friendlyName=เปิดหน้ารีวิว 1</x:v>
      </x:c>
      <x:c r="K524" s="52" t="str">
        <x:v>HYPERLINK is not implemented. linkLocation=https://www.wongnai.com/restaurants/1952690Ib-%E0%B8%81%E0%B9%8B%E0%B8%A7%E0%B8%A2%E0%B9%80%E0%B8%95%E0%B8%B5%E0%B9%8B%E0%B8%A2%E0%B8%A7-%E0%B8%AD%E0%B8%A3%E0%B8%B8%E0%B8%93%E0%B8%B5-%E0%B8%A5%E0%B8%B9%E0%B8%81%E0%B8%8A%E0%B8%B4%E0%B9%89%E0%B8%99%E0%B8%9B%E0%B8%A5%E0%B8%B2-%E0%B8%A8%E0%B8%B9%E0%B8%99%E0%B8%A2%E0%B9%8C%E0%B8%AD%E0%B8%B2%E0%B8%AB%E0%B8%B2%E0%B8%A3%E0%B8%95%E0%B8%A5%E0%B8%B2%E0%B8%94%E0%B8%84%E0%B8%B8%E0%B9%89%E0%B8%A1%E0%B9%80%E0%B8%81%E0%B8%A5%E0%B9%89%E0%B8%B2, friendlyName=เปิดหน้ารีวิว 2</x:v>
      </x:c>
      <x:c r="L524" s="52" t="str">
        <x:v>HYPERLINK is not implemented. linkLocation=https://thi.worldorgs.com/%E0%B9%81%E0%B8%84%E0%B8%95%E0%B8%95%E0%B8%B2%E0%B8%A5%E0%B9%87%E0%B8%AD%E0%B8%81/%E0%B9%80%E0%B8%82%E0%B8%95%E0%B8%A5%E0%B8%B2%E0%B8%94%E0%B8%81%E0%B8%A3%E0%B8%B0%E0%B8%9A%E0%B8%B1%E0%B8%87/%E0%B8%95%E0%B8%B1%E0%B8%A7%E0%B9%81%E0%B8%97%E0%B8%99%E0%B8%81%E0%B8%B2%E0%B8%A3%E0%B8%95%E0%B8%A5%E0%B8%B2%E0%B8%94/%E0%B8%95%E0%B8%A5%E0%B8%B2%E0%B8%94%E0%B8%84%E0%B8%B8%E0%B9%89%E0%B8%A1%E0%B9%80%E0%B8%81%E0%B8%A5%E0%B9%89%E0%B8%B2, friendlyName=เปิดเว็บเพิ่ม 1</x:v>
      </x:c>
      <x:c r="M524" s="52" t="str">
        <x:v>HYPERLINK is not implemented. linkLocation=https://www.thaithurkic.com/%E0%B8%95%E0%B8%A5%E0%B8%B2%E0%B8%94%E0%B8%84%E0%B8%B8%E0%B9%89%E0%B8%A1%E0%B9%80%E0%B8%81%E0%B8%A5%E0%B9%89%E0%B8%B2-02-103-1379, friendlyName=เปิดเว็บเพิ่ม 2</x:v>
      </x:c>
      <x:c r="N524" s="8" t="str">
        <x:v>ยังไม่ยืนยัน</x:v>
      </x:c>
      <x:c r="O52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4" s="40" t="n">
        <x:v>46315</x:v>
      </x:c>
      <x:c r="Q524" s="59" t="str">
        <x:v>ยังไม่ตรวจ</x:v>
      </x:c>
      <x:c r="R524" s="59" t="str">
        <x:v>รอติดต่อ</x:v>
      </x:c>
    </x:row>
    <x:row r="525" ht="84" customHeight="1">
      <x:c r="A525" s="2" t="str">
        <x:v>TMF-517</x:v>
      </x:c>
      <x:c r="B525" s="8" t="str">
        <x:v>ตลาดนัดกรีนเดย์ไนท์</x:v>
      </x:c>
      <x:c r="C525" s="8" t="str">
        <x:v>กรุงเทพมหานคร</x:v>
      </x:c>
      <x:c r="D525" s="8" t="str">
        <x:v>สำรองหลังปรับตามเส้นทาง</x:v>
      </x:c>
      <x:c r="E525" s="8" t="str">
        <x:v>พบหลายแหล่งสัมพันธ์กับชื่อ รอยืนยันการเปิด</x:v>
      </x:c>
      <x:c r="F525" s="8" t="str">
        <x:v>ยังไม่ยืนยันการเปิดให้บริการปัจจุบัน</x:v>
      </x:c>
      <x:c r="G525" s="58" t="n">
        <x:v>3</x:v>
      </x:c>
      <x:c r="H525" s="52"/>
      <x:c r="I525" s="52"/>
      <x:c r="J525" s="52" t="str">
        <x:v>HYPERLINK is not implemented. linkLocation=https://www.wongnai.com/attractions/348858xK-%E0%B8%95%E0%B8%A5%E0%B8%B2%E0%B8%94%E0%B8%99%E0%B8%B1%E0%B8%94%E0%B8%81%E0%B8%A3%E0%B8%B5%E0%B8%99%E0%B9%80%E0%B8%94%E0%B8%A2%E0%B9%8C%E0%B9%84%E0%B8%99%E0%B8%97%E0%B9%8C, friendlyName=เปิดหน้ารีวิว 1</x:v>
      </x:c>
      <x:c r="K525" s="52" t="str">
        <x:v>HYPERLINK is not implemented. linkLocation=https://www.wongnai.com/restaurants/2206840iN-bboy-%E0%B8%81%E0%B8%A5%E0%B8%B1%E0%B8%9A%E0%B8%81%E0%B8%B1%E0%B8%9A%E0%B8%9B%E0%B8%A5%E0%B8%B2-%E0%B8%95%E0%B8%A5%E0%B8%B2%E0%B8%94%E0%B8%99%E0%B8%B1%E0%B8%94%E0%B8%81%E0%B8%A3%E0%B8%B5%E0%B8%99%E0%B9%80%E0%B8%94%E0%B8%A2%E0%B9%8C%E0%B9%84%E0%B8%99%E0%B8%97%E0%B9%8C-%E0%B8%9E%E0%B8%A3%E0%B8%B0%E0%B8%A3%E0%B8%B2%E0%B8%A12, friendlyName=เปิดหน้ารีวิว 2</x:v>
      </x:c>
      <x:c r="L525" s="52" t="str">
        <x:v>HYPERLINK is not implemented. linkLocation=https://thi.worldorgs.com/%E0%B9%81%E0%B8%84%E0%B8%95%E0%B8%95%E0%B8%B2%E0%B8%A5%E0%B9%87%E0%B8%AD%E0%B8%81/%E0%B9%80%E0%B8%82%E0%B8%95%E0%B8%9A%E0%B8%B2%E0%B8%87%E0%B8%82%E0%B8%B8%E0%B8%99%E0%B9%80%E0%B8%97%E0%B8%B5%E0%B8%A2%E0%B8%99/%E0%B8%97%E0%B8%B5%E0%B9%88%E0%B8%88%E0%B8%AD%E0%B8%94%E0%B8%A3%E0%B8%96/%E0%B8%95%E0%B8%A5%E0%B8%B2%E0%B8%94%E0%B8%99%E0%B8%B1%E0%B8%94%E0%B8%81%E0%B8%A3%E0%B8%B5%E0%B8%99%E0%B9%80%E0%B8%94%E0%B8%A2%E0%B9%8C%E0%B9%84%E0%B8%99%E0%B8%97%E0%B9%8C, friendlyName=เปิดเว็บเพิ่ม 1</x:v>
      </x:c>
      <x:c r="M525" s="52"/>
      <x:c r="N525" s="8" t="str">
        <x:v>ยังไม่ยืนยัน</x:v>
      </x:c>
      <x:c r="O52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5" s="40" t="n">
        <x:v>46315</x:v>
      </x:c>
      <x:c r="Q525" s="59" t="str">
        <x:v>ยังไม่ตรวจ</x:v>
      </x:c>
      <x:c r="R525" s="59" t="str">
        <x:v>รอติดต่อ</x:v>
      </x:c>
    </x:row>
    <x:row r="526" ht="84" customHeight="1">
      <x:c r="A526" s="2" t="str">
        <x:v>TMF-518</x:v>
      </x:c>
      <x:c r="B526" s="8" t="str">
        <x:v>ตลาดนัดกลางคืนพัลลาเดียม</x:v>
      </x:c>
      <x:c r="C526" s="8" t="str">
        <x:v>กรุงเทพมหานคร</x:v>
      </x:c>
      <x:c r="D526" s="8" t="str">
        <x:v>สำรองหลังปรับตามเส้นทาง</x:v>
      </x:c>
      <x:c r="E526" s="8" t="str">
        <x:v>พบหลายแหล่งสัมพันธ์กับชื่อ รอยืนยันการเปิด</x:v>
      </x:c>
      <x:c r="F526" s="8" t="str">
        <x:v>ยังไม่ยืนยันการเปิดให้บริการปัจจุบัน</x:v>
      </x:c>
      <x:c r="G526" s="58" t="n">
        <x:v>2</x:v>
      </x:c>
      <x:c r="H526" s="52"/>
      <x:c r="I526" s="52"/>
      <x:c r="J526" s="52" t="str">
        <x:v>HYPERLINK is not implemented. linkLocation=https://th.trip.com/hot/%E0%B8%95%E0%B8%A5%E0%B8%B2%E0%B8%94%E0%B8%99%E0%B8%B1%E0%B8%94%E0%B8%81%E0%B8%A5%E0%B8%B2%E0%B8%87%E0%B8%84%E0%B8%B7%E0%B8%99%E0%B8%9E%E0%B8%B1%E0%B8%A5%E0%B8%A5%E0%B8%B2%E0%B9%80%E0%B8%94%E0%B8%B5%E0%B8%A2%E0%B8%A1%2B%E0%B9%82%E0%B8%A3%E0%B8%87%E0%B9%81%E0%B8%A3%E0%B8%A1%E0%B9%83%E0%B8%81%E0%B8%A5%E0%B9%89%E0%B9%80%E0%B8%84%E0%B8%B5%E0%B8%A2%E0%B8%87/, friendlyName=เปิดหน้ารีวิว 1</x:v>
      </x:c>
      <x:c r="K526" s="52"/>
      <x:c r="L526" s="52"/>
      <x:c r="M526" s="52"/>
      <x:c r="N526" s="8" t="str">
        <x:v>ยังไม่ยืนยัน</x:v>
      </x:c>
      <x:c r="O52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6" s="40" t="n">
        <x:v>46315</x:v>
      </x:c>
      <x:c r="Q526" s="59" t="str">
        <x:v>ยังไม่ตรวจ</x:v>
      </x:c>
      <x:c r="R526" s="59" t="str">
        <x:v>รอติดต่อ</x:v>
      </x:c>
    </x:row>
    <x:row r="527" ht="84" customHeight="1">
      <x:c r="A527" s="2" t="str">
        <x:v>TMF-519</x:v>
      </x:c>
      <x:c r="B527" s="8" t="str">
        <x:v>ตลาดนัดลำผักชี</x:v>
      </x:c>
      <x:c r="C527" s="8" t="str">
        <x:v>กรุงเทพมหานคร</x:v>
      </x:c>
      <x:c r="D527" s="8" t="str">
        <x:v>สำรองหลังปรับตามเส้นทาง</x:v>
      </x:c>
      <x:c r="E527" s="8" t="str">
        <x:v>หลักฐานไม่พอ รอยืนยันการเปิด</x:v>
      </x:c>
      <x:c r="F527" s="8" t="str">
        <x:v>ยังไม่ยืนยันการเปิดให้บริการปัจจุบัน</x:v>
      </x:c>
      <x:c r="G527" s="58" t="n">
        <x:v>1</x:v>
      </x:c>
      <x:c r="H527" s="52"/>
      <x:c r="I527" s="52"/>
      <x:c r="J527" s="52"/>
      <x:c r="K527" s="52"/>
      <x:c r="L527" s="52"/>
      <x:c r="M527" s="52"/>
      <x:c r="N527" s="8" t="str">
        <x:v>ยังไม่ยืนยัน</x:v>
      </x:c>
      <x:c r="O52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27" s="40" t="n">
        <x:v>46315</x:v>
      </x:c>
      <x:c r="Q527" s="59" t="str">
        <x:v>ยังไม่ตรวจ</x:v>
      </x:c>
      <x:c r="R527" s="59" t="str">
        <x:v>รอติดต่อ</x:v>
      </x:c>
    </x:row>
    <x:row r="528" ht="84" customHeight="1">
      <x:c r="A528" s="2" t="str">
        <x:v>TMF-520</x:v>
      </x:c>
      <x:c r="B528" s="8" t="str">
        <x:v>ตลาดนัดอิสลาม</x:v>
      </x:c>
      <x:c r="C528" s="8" t="str">
        <x:v>กรุงเทพมหานคร</x:v>
      </x:c>
      <x:c r="D528" s="8" t="str">
        <x:v>สำรองหลังปรับตามเส้นทาง</x:v>
      </x:c>
      <x:c r="E528" s="8" t="str">
        <x:v>หลักฐานไม่พอ รอยืนยันการเปิด</x:v>
      </x:c>
      <x:c r="F528" s="8" t="str">
        <x:v>ยังไม่ยืนยันการเปิดให้บริการปัจจุบัน</x:v>
      </x:c>
      <x:c r="G528" s="58" t="n">
        <x:v>1</x:v>
      </x:c>
      <x:c r="H528" s="52"/>
      <x:c r="I528" s="52"/>
      <x:c r="J528" s="52"/>
      <x:c r="K528" s="52"/>
      <x:c r="L528" s="52"/>
      <x:c r="M528" s="52"/>
      <x:c r="N528" s="8" t="str">
        <x:v>ยังไม่ยืนยัน</x:v>
      </x:c>
      <x:c r="O52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28" s="40" t="n">
        <x:v>46315</x:v>
      </x:c>
      <x:c r="Q528" s="59" t="str">
        <x:v>ยังไม่ตรวจ</x:v>
      </x:c>
      <x:c r="R528" s="59" t="str">
        <x:v>รอติดต่อ</x:v>
      </x:c>
    </x:row>
    <x:row r="529" ht="84" customHeight="1">
      <x:c r="A529" s="2" t="str">
        <x:v>TMF-521</x:v>
      </x:c>
      <x:c r="B529" s="8" t="str">
        <x:v>ตลาดนานาชาติ</x:v>
      </x:c>
      <x:c r="C529" s="8" t="str">
        <x:v>กรุงเทพมหานคร</x:v>
      </x:c>
      <x:c r="D529" s="8" t="str">
        <x:v>สำรองหลังปรับตามเส้นทาง</x:v>
      </x:c>
      <x:c r="E529" s="8" t="str">
        <x:v>พบหลายแหล่งสัมพันธ์กับชื่อ รอยืนยันการเปิด</x:v>
      </x:c>
      <x:c r="F529" s="8" t="str">
        <x:v>ยังไม่ยืนยันการเปิดให้บริการปัจจุบัน</x:v>
      </x:c>
      <x:c r="G529" s="58" t="n">
        <x:v>4</x:v>
      </x:c>
      <x:c r="H529" s="52"/>
      <x:c r="I529" s="52"/>
      <x:c r="J529" s="52" t="str">
        <x:v>HYPERLINK is not implemented. linkLocation=https://www.wongnai.com/restaurants/979804yZ-%E0%B8%AD%E0%B8%B2%E0%B8%A7%E0%B8%99%E0%B9%8C%E0%B8%8A%E0%B8%B2-%E0%B8%AB%E0%B8%99%E0%B9%89%E0%B8%B2%E0%B9%82%E0%B8%A5%E0%B8%95%E0%B8%B1%E0%B8%AA-%E0%B8%AA%E0%B8%B8%E0%B8%82%E0%B8%B2%E0%B8%A0%E0%B8%B4%E0%B8%9A%E0%B8%B2%E0%B8%A5-3, friendlyName=เปิดหน้ารีวิว 1</x:v>
      </x:c>
      <x:c r="K529" s="52" t="str">
        <x:v>HYPERLINK is not implemented. linkLocation=https://www.expedia.co.th/Sinpo-International-Market-Jung-gu.d553248633862356032.Place-To-Visit, friendlyName=เปิดหน้ารีวิว 2</x:v>
      </x:c>
      <x:c r="L529" s="52" t="str">
        <x:v>HYPERLINK is not implemented. linkLocation=https://thi.worldorgs.com/%E0%B9%81%E0%B8%84%E0%B8%95%E0%B8%95%E0%B8%B2%E0%B8%A5%E0%B9%87%E0%B8%AD%E0%B8%81/%E0%B9%80%E0%B8%82%E0%B8%95%E0%B8%A5%E0%B8%B2%E0%B8%94%E0%B8%81%E0%B8%A3%E0%B8%B0%E0%B8%9A%E0%B8%B1%E0%B8%87/%E0%B8%95%E0%B8%A5%E0%B8%B2%E0%B8%94/%E0%B8%95%E0%B8%A5%E0%B8%B2%E0%B8%94%E0%B8%99%E0%B8%B2%E0%B8%99%E0%B8%B2%E0%B8%8A%E0%B8%B2%E0%B8%95%E0%B8%B4, friendlyName=เปิดเว็บเพิ่ม 1</x:v>
      </x:c>
      <x:c r="M529" s="52"/>
      <x:c r="N529" s="8" t="str">
        <x:v>ยังไม่ยืนยัน</x:v>
      </x:c>
      <x:c r="O52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29" s="40" t="n">
        <x:v>46315</x:v>
      </x:c>
      <x:c r="Q529" s="59" t="str">
        <x:v>ยังไม่ตรวจ</x:v>
      </x:c>
      <x:c r="R529" s="59" t="str">
        <x:v>รอติดต่อ</x:v>
      </x:c>
    </x:row>
    <x:row r="530" ht="84" customHeight="1">
      <x:c r="A530" s="2" t="str">
        <x:v>TMF-522</x:v>
      </x:c>
      <x:c r="B530" s="8" t="str">
        <x:v>ตลาดน้ำคลองลัดมะยม</x:v>
      </x:c>
      <x:c r="C530" s="8" t="str">
        <x:v>กรุงเทพมหานคร</x:v>
      </x:c>
      <x:c r="D530" s="8" t="str">
        <x:v>สำรองหลังปรับตามเส้นทาง</x:v>
      </x:c>
      <x:c r="E530" s="8" t="str">
        <x:v>พบหลายแหล่งสัมพันธ์กับชื่อ รอยืนยันการเปิด</x:v>
      </x:c>
      <x:c r="F530" s="8" t="str">
        <x:v>ยังไม่ยืนยันการเปิดให้บริการปัจจุบัน</x:v>
      </x:c>
      <x:c r="G530" s="58" t="n">
        <x:v>7</x:v>
      </x:c>
      <x:c r="H530" s="52"/>
      <x:c r="I530" s="52"/>
      <x:c r="J530" s="52" t="str">
        <x:v>HYPERLINK is not implemented. linkLocation=https://th.tripadvisor.com/Attraction_Review-g293916-d4322658-Reviews-Khlong_Lat_Mayom_Floating_Market-Bangkok.html, friendlyName=เปิดหน้ารีวิว 1</x:v>
      </x:c>
      <x:c r="K530" s="52" t="str">
        <x:v>HYPERLINK is not implemented. linkLocation=https://th.trip.com/guide/attraction/khlong-lat-mayom-floating-market.html, friendlyName=เปิดหน้ารีวิว 2</x:v>
      </x:c>
      <x:c r="L530" s="52" t="str">
        <x:v>HYPERLINK is not implemented. linkLocation=https://pantip.com/topic/42113578, friendlyName=เปิดเว็บเพิ่ม 1</x:v>
      </x:c>
      <x:c r="M530" s="52" t="str">
        <x:v>HYPERLINK is not implemented. linkLocation=https://pantip.com/topic/37611723, friendlyName=เปิดเว็บเพิ่ม 2</x:v>
      </x:c>
      <x:c r="N530" s="8" t="str">
        <x:v>ยังไม่ยืนยัน</x:v>
      </x:c>
      <x:c r="O53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0" s="40" t="n">
        <x:v>46315</x:v>
      </x:c>
      <x:c r="Q530" s="59" t="str">
        <x:v>ยังไม่ตรวจ</x:v>
      </x:c>
      <x:c r="R530" s="59" t="str">
        <x:v>รอติดต่อ</x:v>
      </x:c>
    </x:row>
    <x:row r="531" ht="84" customHeight="1">
      <x:c r="A531" s="2" t="str">
        <x:v>TMF-523</x:v>
      </x:c>
      <x:c r="B531" s="8" t="str">
        <x:v>ตลาดน้ำตลิ่งชัน</x:v>
      </x:c>
      <x:c r="C531" s="8" t="str">
        <x:v>กรุงเทพมหานคร</x:v>
      </x:c>
      <x:c r="D531" s="8" t="str">
        <x:v>สำรองหลังปรับตามเส้นทาง</x:v>
      </x:c>
      <x:c r="E531" s="8" t="str">
        <x:v>พบหลายแหล่งสัมพันธ์กับชื่อ รอยืนยันการเปิด</x:v>
      </x:c>
      <x:c r="F531" s="8" t="str">
        <x:v>ยังไม่ยืนยันการเปิดให้บริการปัจจุบัน</x:v>
      </x:c>
      <x:c r="G531" s="58" t="n">
        <x:v>6</x:v>
      </x:c>
      <x:c r="H531" s="52"/>
      <x:c r="I531" s="52"/>
      <x:c r="J531" s="52" t="str">
        <x:v>HYPERLINK is not implemented. linkLocation=https://www.wongnai.com/reviews/3b6e251de56c45c2ba45ce86d90b0036, friendlyName=เปิดหน้ารีวิว 1</x:v>
      </x:c>
      <x:c r="K531" s="52" t="str">
        <x:v>HYPERLINK is not implemented. linkLocation=https://th.tripadvisor.com/Attraction_Review-g293916-d1499098-Reviews-Taling_Chan_Floating_Market-Bangkok.html, friendlyName=เปิดหน้ารีวิว 2</x:v>
      </x:c>
      <x:c r="L531" s="52" t="str">
        <x:v>HYPERLINK is not implemented. linkLocation=https://www.gplace.com/3931, friendlyName=เปิดเว็บเพิ่ม 1</x:v>
      </x:c>
      <x:c r="M531" s="52" t="str">
        <x:v>HYPERLINK is not implemented. linkLocation=https://doi.nrct.go.th/ListDoi/Download/313766?Resolve_DOI=10.14457%2FCU.the.2006.510, friendlyName=เปิดเว็บเพิ่ม 2</x:v>
      </x:c>
      <x:c r="N531" s="8" t="str">
        <x:v>ยังไม่ยืนยัน</x:v>
      </x:c>
      <x:c r="O53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1" s="40" t="n">
        <x:v>46315</x:v>
      </x:c>
      <x:c r="Q531" s="59" t="str">
        <x:v>ยังไม่ตรวจ</x:v>
      </x:c>
      <x:c r="R531" s="59" t="str">
        <x:v>รอติดต่อ</x:v>
      </x:c>
    </x:row>
    <x:row r="532" ht="84" customHeight="1">
      <x:c r="A532" s="2" t="str">
        <x:v>TMF-524</x:v>
      </x:c>
      <x:c r="B532" s="8" t="str">
        <x:v>ตลาดน้ำบางคูลัด</x:v>
      </x:c>
      <x:c r="C532" s="8" t="str">
        <x:v>กรุงเทพมหานคร</x:v>
      </x:c>
      <x:c r="D532" s="8" t="str">
        <x:v>สำรองหลังปรับตามเส้นทาง</x:v>
      </x:c>
      <x:c r="E532" s="8" t="str">
        <x:v>พบหลายแหล่งสัมพันธ์กับชื่อ รอยืนยันการเปิด</x:v>
      </x:c>
      <x:c r="F532" s="8" t="str">
        <x:v>ยังไม่ยืนยันการเปิดให้บริการปัจจุบัน</x:v>
      </x:c>
      <x:c r="G532" s="58" t="n">
        <x:v>2</x:v>
      </x:c>
      <x:c r="H532" s="52"/>
      <x:c r="I532" s="52"/>
      <x:c r="J532" s="52" t="str">
        <x:v>HYPERLINK is not implemented. linkLocation=https://wanderlog.com/th/place/details/6179690/%E0%B8%95%E0%B8%A5%E0%B8%B2%E0%B8%94%E0%B8%99%E0%B8%B3%E0%B8%9A%E0%B8%B2%E0%B8%87%E0%B8%84%E0%B8%A5%E0%B8%94, friendlyName=เปิดหน้ารีวิว 1</x:v>
      </x:c>
      <x:c r="K532" s="52"/>
      <x:c r="L532" s="52"/>
      <x:c r="M532" s="52"/>
      <x:c r="N532" s="8" t="str">
        <x:v>ยังไม่ยืนยัน</x:v>
      </x:c>
      <x:c r="O53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2" s="40" t="n">
        <x:v>46315</x:v>
      </x:c>
      <x:c r="Q532" s="59" t="str">
        <x:v>ยังไม่ตรวจ</x:v>
      </x:c>
      <x:c r="R532" s="59" t="str">
        <x:v>รอติดต่อ</x:v>
      </x:c>
    </x:row>
    <x:row r="533" ht="84" customHeight="1">
      <x:c r="A533" s="2" t="str">
        <x:v>TMF-525</x:v>
      </x:c>
      <x:c r="B533" s="8" t="str">
        <x:v>ตลาดน้ำวัดสะพาน ราชพฤกษ์</x:v>
      </x:c>
      <x:c r="C533" s="8" t="str">
        <x:v>กรุงเทพมหานคร</x:v>
      </x:c>
      <x:c r="D533" s="8" t="str">
        <x:v>สำรองหลังปรับตามเส้นทาง</x:v>
      </x:c>
      <x:c r="E533" s="8" t="str">
        <x:v>พบหลายแหล่งสัมพันธ์กับชื่อ รอยืนยันการเปิด</x:v>
      </x:c>
      <x:c r="F533" s="8" t="str">
        <x:v>ยังไม่ยืนยันการเปิดให้บริการปัจจุบัน</x:v>
      </x:c>
      <x:c r="G533" s="58" t="n">
        <x:v>6</x:v>
      </x:c>
      <x:c r="H533" s="52"/>
      <x:c r="I533" s="52"/>
      <x:c r="J533" s="52" t="str">
        <x:v>HYPERLINK is not implemented. linkLocation=https://www.lemon8-app.com/%40watsaphanfoatingmarket/7474259177855205905?region=th, friendlyName=เปิดหน้ารีวิว 1</x:v>
      </x:c>
      <x:c r="K533" s="52" t="str">
        <x:v>HYPERLINK is not implemented. linkLocation=https://www.youtube.com/watch?v=kIAFz6jXvHg, friendlyName=เปิดหน้ารีวิว 2</x:v>
      </x:c>
      <x:c r="L533" s="52" t="str">
        <x:v>HYPERLINK is not implemented. linkLocation=https://salehere.co.th/wat-saphan-floating-market/branches/taling-chan, friendlyName=เปิดเว็บเพิ่ม 1</x:v>
      </x:c>
      <x:c r="M533" s="52" t="str">
        <x:v>HYPERLINK is not implemented. linkLocation=https://notes.tiktok.com/%40peepensaleeverything2026/7549189941271544327?region=th, friendlyName=เปิดเว็บเพิ่ม 2</x:v>
      </x:c>
      <x:c r="N533" s="8" t="str">
        <x:v>ยังไม่ยืนยัน</x:v>
      </x:c>
      <x:c r="O53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3" s="40" t="n">
        <x:v>46315</x:v>
      </x:c>
      <x:c r="Q533" s="59" t="str">
        <x:v>ยังไม่ตรวจ</x:v>
      </x:c>
      <x:c r="R533" s="59" t="str">
        <x:v>รอติดต่อ</x:v>
      </x:c>
    </x:row>
    <x:row r="534" ht="84" customHeight="1">
      <x:c r="A534" s="2" t="str">
        <x:v>TMF-526</x:v>
      </x:c>
      <x:c r="B534" s="8" t="str">
        <x:v>ตลาดน้ำสองคลองวัดตลิ่งชัน</x:v>
      </x:c>
      <x:c r="C534" s="8" t="str">
        <x:v>กรุงเทพมหานคร</x:v>
      </x:c>
      <x:c r="D534" s="8" t="str">
        <x:v>สำรองหลังปรับตามเส้นทาง</x:v>
      </x:c>
      <x:c r="E534" s="8" t="str">
        <x:v>พบหลายแหล่งสัมพันธ์กับชื่อ รอยืนยันการเปิด</x:v>
      </x:c>
      <x:c r="F534" s="8" t="str">
        <x:v>ยังไม่ยืนยันการเปิดให้บริการปัจจุบัน</x:v>
      </x:c>
      <x:c r="G534" s="58" t="n">
        <x:v>5</x:v>
      </x:c>
      <x:c r="H534" s="52"/>
      <x:c r="I534" s="52"/>
      <x:c r="J534" s="52" t="str">
        <x:v>HYPERLINK is not implemented. linkLocation=https://www.wongnai.com/reviews/8695f13c401340a8abe198ad093fd7b0, friendlyName=เปิดหน้ารีวิว 1</x:v>
      </x:c>
      <x:c r="K534" s="52" t="str">
        <x:v>HYPERLINK is not implemented. linkLocation=https://www.wongnai.com/attractions/1844201vD-%E0%B8%95%E0%B8%A5%E0%B8%B2%E0%B8%94%E0%B8%99%E0%B9%89%E0%B8%B3%E0%B8%AA%E0%B8%AD%E0%B8%87%E0%B8%84%E0%B8%A5%E0%B8%AD%E0%B8%87-%E0%B8%A7%E0%B8%B1%E0%B8%94%E0%B8%95%E0%B8%A5%E0%B8%B4%E0%B9%88%E0%B8%87%E0%B8%8A%E0%B8%B1%E0%B8%99, friendlyName=เปิดหน้ารีวิว 2</x:v>
      </x:c>
      <x:c r="L534" s="52"/>
      <x:c r="M534" s="52"/>
      <x:c r="N534" s="8" t="str">
        <x:v>ยังไม่ยืนยัน</x:v>
      </x:c>
      <x:c r="O53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4" s="40" t="n">
        <x:v>46315</x:v>
      </x:c>
      <x:c r="Q534" s="59" t="str">
        <x:v>ยังไม่ตรวจ</x:v>
      </x:c>
      <x:c r="R534" s="59" t="str">
        <x:v>รอติดต่อ</x:v>
      </x:c>
    </x:row>
    <x:row r="535" ht="84" customHeight="1">
      <x:c r="A535" s="2" t="str">
        <x:v>TMF-527</x:v>
      </x:c>
      <x:c r="B535" s="8" t="str">
        <x:v>ตลาดมีนบุรี</x:v>
      </x:c>
      <x:c r="C535" s="8" t="str">
        <x:v>กรุงเทพมหานคร</x:v>
      </x:c>
      <x:c r="D535" s="8" t="str">
        <x:v>สำรองหลังปรับตามเส้นทาง</x:v>
      </x:c>
      <x:c r="E535" s="8" t="str">
        <x:v>พบหลายแหล่งสัมพันธ์กับชื่อ รอยืนยันการเปิด</x:v>
      </x:c>
      <x:c r="F535" s="8" t="str">
        <x:v>ยังไม่ยืนยันการเปิดให้บริการปัจจุบัน</x:v>
      </x:c>
      <x:c r="G535" s="58" t="n">
        <x:v>5</x:v>
      </x:c>
      <x:c r="H535" s="52"/>
      <x:c r="I535" s="52"/>
      <x:c r="J535" s="52" t="str">
        <x:v>HYPERLINK is not implemented. linkLocation=https://www.wongnai.com/attractions/343846oa-%E0%B8%95%E0%B8%A5%E0%B8%B2%E0%B8%94%E0%B8%A1%E0%B8%B5%E0%B8%99%E0%B8%9A%E0%B8%B8%E0%B8%A3%E0%B8%B5, friendlyName=เปิดหน้ารีวิว 1</x:v>
      </x:c>
      <x:c r="K535" s="52" t="str">
        <x:v>HYPERLINK is not implemented. linkLocation=https://th.tripadvisor.com/Attraction_Review-g293916-d17395645-Reviews-Minburi_Market-Bangkok.html, friendlyName=เปิดหน้ารีวิว 2</x:v>
      </x:c>
      <x:c r="L535" s="52" t="str">
        <x:v>HYPERLINK is not implemented. linkLocation=https://thi.worldorgs.com/%E0%B9%81%E0%B8%84%E0%B8%95%E0%B8%95%E0%B8%B2%E0%B8%A5%E0%B9%87%E0%B8%AD%E0%B8%81/%E0%B9%80%E0%B8%82%E0%B8%95%E0%B8%A1%E0%B8%B5%E0%B8%99%E0%B8%9A%E0%B8%B8%E0%B8%A3%E0%B8%B5/%E0%B8%A3%E0%B9%89%E0%B8%B2%E0%B8%99%E0%B8%95%E0%B8%B1%E0%B8%94%E0%B9%80%E0%B8%AA%E0%B8%B7%E0%B9%89%E0%B8%AD/%E0%B8%95%E0%B8%A5%E0%B8%B2%E0%B8%94%E0%B8%A1%E0%B8%B5%E0%B8%99%E0%B8%9A%E0%B8%B8%E0%B8%A3%E0%B8%B5, friendlyName=เปิดเว็บเพิ่ม 1</x:v>
      </x:c>
      <x:c r="M535" s="52" t="str">
        <x:v>HYPERLINK is not implemented. linkLocation=https://webportal.bangkok.go.th/public/user_files_editor/354/%E0%B8%B7study/68/6.%E0%B8%81%E0%B8%B2%E0%B8%A3%E0%B8%A8%E0%B8%B6%E0%B8%81%E0%B8%A9%E0%B8%B2%E0%B8%A2%E0%B9%88%E0%B8%B2%E0%B8%99%E0%B8%AB%E0%B8%A3%E0%B8%B7%E0%B8%AD%E0%B8%8A%E0%B8%B8%E0%B8%A1%E0%B8%8A%E0%B8%99%E0%B9%80%E0%B8%9E%E0%B8%B7%E0%B9%88%E0%B8%AD%E0%B8%81%E0%B8%B2%E0%B8%A3%E0%B8%97%E0%B9%88%E0%B8%AD%E0%B8%87%E0%B9%80%E0%B8%97%E0%B8%B5%E0%B9%88%E0%B8%A2%E0%B8%A7.pdf, friendlyName=เปิดเว็บเพิ่ม 2</x:v>
      </x:c>
      <x:c r="N535" s="8" t="str">
        <x:v>ยังไม่ยืนยัน</x:v>
      </x:c>
      <x:c r="O53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5" s="40" t="n">
        <x:v>46315</x:v>
      </x:c>
      <x:c r="Q535" s="59" t="str">
        <x:v>ยังไม่ตรวจ</x:v>
      </x:c>
      <x:c r="R535" s="59" t="str">
        <x:v>รอติดต่อ</x:v>
      </x:c>
    </x:row>
    <x:row r="536" ht="84" customHeight="1">
      <x:c r="A536" s="2" t="str">
        <x:v>TMF-528</x:v>
      </x:c>
      <x:c r="B536" s="8" t="str">
        <x:v>ตลาดริมคลอง เจริญกรุง 103</x:v>
      </x:c>
      <x:c r="C536" s="8" t="str">
        <x:v>กรุงเทพมหานคร</x:v>
      </x:c>
      <x:c r="D536" s="8" t="str">
        <x:v>สำรองหลังปรับตามเส้นทาง</x:v>
      </x:c>
      <x:c r="E536" s="8" t="str">
        <x:v>พบหลายแหล่งสัมพันธ์กับชื่อ รอยืนยันการเปิด</x:v>
      </x:c>
      <x:c r="F536" s="8" t="str">
        <x:v>ยังไม่ยืนยันการเปิดให้บริการปัจจุบัน</x:v>
      </x:c>
      <x:c r="G536" s="58" t="n">
        <x:v>6</x:v>
      </x:c>
      <x:c r="H536" s="52"/>
      <x:c r="I536" s="52"/>
      <x:c r="J536" s="52" t="str">
        <x:v>HYPERLINK is not implemented. linkLocation=https://www.wongnai.com/attractions/2853557Dx-%E0%B8%95%E0%B8%A5%E0%B8%B2%E0%B8%94%E0%B8%A3%E0%B8%B4%E0%B8%A1%E0%B8%84%E0%B8%A5%E0%B8%AD%E0%B8%87%E0%B9%80%E0%B8%88%E0%B8%A3%E0%B8%B4%E0%B8%8D%E0%B8%81%E0%B8%A3%E0%B8%B8%E0%B8%87103, friendlyName=เปิดหน้ารีวิว 1</x:v>
      </x:c>
      <x:c r="K536" s="52" t="str">
        <x:v>HYPERLINK is not implemented. linkLocation=https://www.youtube.com/watch?v=sHVzB9E0Dn0, friendlyName=เปิดหน้ารีวิว 2</x:v>
      </x:c>
      <x:c r="L536" s="52" t="str">
        <x:v>HYPERLINK is not implemented. linkLocation=https://webportal.bangkok.go.th/public/bangkholaem/page/sub/21752, friendlyName=เปิดเว็บเพิ่ม 1</x:v>
      </x:c>
      <x:c r="M536" s="52" t="str">
        <x:v>HYPERLINK is not implemented. linkLocation=https://webportal.bangkok.go.th/bangkholaem/page/sub/21752/%E0%B8%95%E0%B8%A5%E0%B8%B2%E0%B8%94%E0%B8%A3%E0%B8%B4%E0%B8%A1%E0%B8%84%E0%B8%A5%E0%B8%AD%E0%B8%87%E0%B9%80%E0%B8%88%E0%B8%A3%E0%B8%B4%E0%B8%8D%E0%B8%81%E0%B8%A3%E0%B8%B8%E0%B8%87-103-%E0%B8%8A%E0%B8%B8%E0%B8%A1%E0%B8%8A%E0%B8%99%E0%B8%AA%E0%B8%A7%E0%B8%99%E0%B8%AB%E0%B8%A5%E0%B8%A7%E0%B8%871, friendlyName=เปิดเว็บเพิ่ม 2</x:v>
      </x:c>
      <x:c r="N536" s="8" t="str">
        <x:v>ยังไม่ยืนยัน</x:v>
      </x:c>
      <x:c r="O53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6" s="40" t="n">
        <x:v>46315</x:v>
      </x:c>
      <x:c r="Q536" s="59" t="str">
        <x:v>ยังไม่ตรวจ</x:v>
      </x:c>
      <x:c r="R536" s="59" t="str">
        <x:v>รอติดต่อ</x:v>
      </x:c>
    </x:row>
    <x:row r="537" ht="84" customHeight="1">
      <x:c r="A537" s="2" t="str">
        <x:v>TMF-529</x:v>
      </x:c>
      <x:c r="B537" s="8" t="str">
        <x:v>ตลาดริมน้ำ วัดพระยาสุเรนทร์</x:v>
      </x:c>
      <x:c r="C537" s="8" t="str">
        <x:v>กรุงเทพมหานคร</x:v>
      </x:c>
      <x:c r="D537" s="8" t="str">
        <x:v>สำรองหลังปรับตามเส้นทาง</x:v>
      </x:c>
      <x:c r="E537" s="8" t="str">
        <x:v>หลักฐานไม่พอ รอยืนยันการเปิด</x:v>
      </x:c>
      <x:c r="F537" s="8" t="str">
        <x:v>ยังไม่ยืนยันการเปิดให้บริการปัจจุบัน</x:v>
      </x:c>
      <x:c r="G537" s="58" t="n">
        <x:v>1</x:v>
      </x:c>
      <x:c r="H537" s="52"/>
      <x:c r="I537" s="52"/>
      <x:c r="J537" s="52"/>
      <x:c r="K537" s="52"/>
      <x:c r="L537" s="52"/>
      <x:c r="M537" s="52"/>
      <x:c r="N537" s="8" t="str">
        <x:v>ยังไม่ยืนยัน</x:v>
      </x:c>
      <x:c r="O53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37" s="40" t="n">
        <x:v>46315</x:v>
      </x:c>
      <x:c r="Q537" s="59" t="str">
        <x:v>ยังไม่ตรวจ</x:v>
      </x:c>
      <x:c r="R537" s="59" t="str">
        <x:v>รอติดต่อ</x:v>
      </x:c>
    </x:row>
    <x:row r="538" ht="84" customHeight="1">
      <x:c r="A538" s="2" t="str">
        <x:v>TMF-530</x:v>
      </x:c>
      <x:c r="B538" s="8" t="str">
        <x:v>ตลาดหนองจอก</x:v>
      </x:c>
      <x:c r="C538" s="8" t="str">
        <x:v>กรุงเทพมหานคร</x:v>
      </x:c>
      <x:c r="D538" s="8" t="str">
        <x:v>สำรองหลังปรับตามเส้นทาง</x:v>
      </x:c>
      <x:c r="E538" s="8" t="str">
        <x:v>พบหลายแหล่งสัมพันธ์กับชื่อ รอยืนยันการเปิด</x:v>
      </x:c>
      <x:c r="F538" s="8" t="str">
        <x:v>ยังไม่ยืนยันการเปิดให้บริการปัจจุบัน</x:v>
      </x:c>
      <x:c r="G538" s="58" t="n">
        <x:v>5</x:v>
      </x:c>
      <x:c r="H538" s="52"/>
      <x:c r="I538" s="52"/>
      <x:c r="J538" s="52" t="str">
        <x:v>HYPERLINK is not implemented. linkLocation=https://www.wongnai.com/restaurants/201555xw-%E0%B8%9A%E0%B8%B1%E0%B8%87%E0%B8%8B%E0%B8%9A-%E0%B8%95%E0%B8%A5%E0%B8%B2%E0%B8%94%E0%B8%AB%E0%B8%99%E0%B8%AD%E0%B8%87%E0%B8%88%E0%B8%AD%E0%B8%81, friendlyName=เปิดหน้ารีวิว 1</x:v>
      </x:c>
      <x:c r="K538" s="52" t="str">
        <x:v>HYPERLINK is not implemented. linkLocation=https://www.wongnai.com/attractions/344640LC-%E0%B8%95%E0%B8%A5%E0%B8%B2%E0%B8%94%E0%B8%AB%E0%B8%99%E0%B8%AD%E0%B8%87%E0%B8%88%E0%B8%AD%E0%B8%81, friendlyName=เปิดหน้ารีวิว 2</x:v>
      </x:c>
      <x:c r="L538" s="52" t="str">
        <x:v>HYPERLINK is not implemented. linkLocation=https://thai.haogiayensao.com/bangkok/search/?q=%E0%B8%95%E0%B8%A5%E0%B8%B2%E0%B8%94%E0%B8%AB%E0%B8%99%E0%B8%AD%E0%B8%87%E0%B8%88%E0%B8%AD%E0%B8%81, friendlyName=เปิดเว็บเพิ่ม 1</x:v>
      </x:c>
      <x:c r="M538" s="52" t="str">
        <x:v>HYPERLINK is not implemented. linkLocation=https://webportal.bangkok.go.th/market/page/sub/13896/%E0%B8%95%E0%B8%A5%E0%B8%B2%E0%B8%94%E0%B8%AB%E0%B8%99%E0%B8%AD%E0%B8%87%E0%B8%88%E0%B8%AD%E0%B8%81, friendlyName=เปิดเว็บเพิ่ม 2</x:v>
      </x:c>
      <x:c r="N538" s="8" t="str">
        <x:v>ยังไม่ยืนยัน</x:v>
      </x:c>
      <x:c r="O53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8" s="40" t="n">
        <x:v>46315</x:v>
      </x:c>
      <x:c r="Q538" s="59" t="str">
        <x:v>ยังไม่ตรวจ</x:v>
      </x:c>
      <x:c r="R538" s="59" t="str">
        <x:v>รอติดต่อ</x:v>
      </x:c>
    </x:row>
    <x:row r="539" ht="84" customHeight="1">
      <x:c r="A539" s="2" t="str">
        <x:v>TMF-531</x:v>
      </x:c>
      <x:c r="B539" s="8" t="str">
        <x:v>พิพิธบางลำพู</x:v>
      </x:c>
      <x:c r="C539" s="8" t="str">
        <x:v>กรุงเทพมหานคร</x:v>
      </x:c>
      <x:c r="D539" s="8" t="str">
        <x:v>สำรองหลังปรับตามเส้นทาง</x:v>
      </x:c>
      <x:c r="E539" s="8" t="str">
        <x:v>พบหลายแหล่งสัมพันธ์กับชื่อ รอยืนยันการเปิด</x:v>
      </x:c>
      <x:c r="F539" s="8" t="str">
        <x:v>ยังไม่ยืนยันการเปิดให้บริการปัจจุบัน</x:v>
      </x:c>
      <x:c r="G539" s="58" t="n">
        <x:v>5</x:v>
      </x:c>
      <x:c r="H539" s="52"/>
      <x:c r="I539" s="52"/>
      <x:c r="J539" s="52" t="str">
        <x:v>HYPERLINK is not implemented. linkLocation=https://th.tripadvisor.com/Attraction_Review-g293916-d7084940-Reviews-Pipit_Banglamphu_History_Museum-Bangkok.html, friendlyName=เปิดหน้ารีวิว 1</x:v>
      </x:c>
      <x:c r="K539" s="52" t="str">
        <x:v>HYPERLINK is not implemented. linkLocation=https://www.wongnai.com/attractions/342067Fh-%E0%B8%9E%E0%B8%B4%E0%B8%9E%E0%B8%B4%E0%B8%98%E0%B8%9A%E0%B8%B2%E0%B8%87%E0%B8%A5%E0%B8%B3%E0%B8%9E%E0%B8%B9/photos/2bd1af20d6ef417eac0ab5ae64ec5bf5, friendlyName=เปิดหน้ารีวิว 2</x:v>
      </x:c>
      <x:c r="L539" s="52" t="str">
        <x:v>HYPERLINK is not implemented. linkLocation=https://emuseum-banglamphu.treasury.go.th/event-calendar, friendlyName=เปิดเว็บเพิ่ม 1</x:v>
      </x:c>
      <x:c r="M539" s="52" t="str">
        <x:v>HYPERLINK is not implemented. linkLocation=https://emuseum-banglamphu.treasury.go.th/en/news/, friendlyName=เปิดเว็บเพิ่ม 2</x:v>
      </x:c>
      <x:c r="N539" s="8" t="str">
        <x:v>ยังไม่ยืนยัน</x:v>
      </x:c>
      <x:c r="O539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39" s="40" t="n">
        <x:v>46315</x:v>
      </x:c>
      <x:c r="Q539" s="59" t="str">
        <x:v>ยังไม่ตรวจ</x:v>
      </x:c>
      <x:c r="R539" s="59" t="str">
        <x:v>รอติดต่อ</x:v>
      </x:c>
    </x:row>
    <x:row r="540" ht="84" customHeight="1">
      <x:c r="A540" s="2" t="str">
        <x:v>TMF-532</x:v>
      </x:c>
      <x:c r="B540" s="8" t="str">
        <x:v>พิพิธภัณฑสถานแห่งชาติ พระนคร</x:v>
      </x:c>
      <x:c r="C540" s="8" t="str">
        <x:v>กรุงเทพมหานคร</x:v>
      </x:c>
      <x:c r="D540" s="8" t="str">
        <x:v>สำรองหลังปรับตามเส้นทาง</x:v>
      </x:c>
      <x:c r="E540" s="8" t="str">
        <x:v>พบหลายแหล่งสัมพันธ์กับชื่อ รอยืนยันการเปิด</x:v>
      </x:c>
      <x:c r="F540" s="8" t="str">
        <x:v>ยังไม่ยืนยันการเปิดให้บริการปัจจุบัน</x:v>
      </x:c>
      <x:c r="G540" s="58" t="n">
        <x:v>7</x:v>
      </x:c>
      <x:c r="H540" s="52" t="str">
        <x:v>HYPERLINK is not implemented. linkLocation=https://www.facebook.com/eduNMB, friendlyName=เปิดช่องทาง 1</x:v>
      </x:c>
      <x:c r="I540" s="52"/>
      <x:c r="J540" s="52" t="str">
        <x:v>HYPERLINK is not implemented. linkLocation=https://www.wongnai.com/reviews/c99d911f206e43e3987b3c36eaa718f2, friendlyName=เปิดหน้ารีวิว 1</x:v>
      </x:c>
      <x:c r="K540" s="52" t="str">
        <x:v>HYPERLINK is not implemented. linkLocation=https://www.wongnai.com/attractions/324302yK-%E0%B8%9E%E0%B8%B4%E0%B8%9E%E0%B8%B4%E0%B8%98%E0%B8%A0%E0%B8%B1%E0%B8%93%E0%B8%91%E0%B8%AA%E0%B8%96%E0%B8%B2%E0%B8%99%E0%B9%81%E0%B8%AB%E0%B9%88%E0%B8%87%E0%B8%8A%E0%B8%B2%E0%B8%95%E0%B8%B4%E0%B8%9E%E0%B8%A3%E0%B8%B0%E0%B8%99%E0%B8%84%E0%B8%A3?_st=cD04O2I9MzI0MzAyO2FkPWZhbHNlO3Q9MTc5MTAzNDMyMTc0MjtyaT0xWDdiZTkzNVhDVVI4dHlSdURFZkxaQ1gwakxCRFk7aT0xWDcxN1NvZzNGYXpHQnVpcHpVdU43Z2Jjd3NyczI7d3JlZj1zcjs%3D, friendlyName=เปิดหน้ารีวิว 2</x:v>
      </x:c>
      <x:c r="L540" s="52" t="str">
        <x:v>HYPERLINK is not implemented. linkLocation=https://www.finearts.go.th/museumbangkok/view/64012, friendlyName=เปิดเว็บเพิ่ม 1</x:v>
      </x:c>
      <x:c r="M540" s="52" t="str">
        <x:v>HYPERLINK is not implemented. linkLocation=https://www.finearts.go.th/museumbangkok/contact, friendlyName=เปิดเว็บเพิ่ม 2</x:v>
      </x:c>
      <x:c r="N540" s="8" t="str">
        <x:v>ยังไม่ยืนยัน</x:v>
      </x:c>
      <x:c r="O540" s="8" t="str">
        <x:v>ยังไม่ยืนยันวันที่โพสต์/รีวิวล่าสุดและการเปิดให้บริการปัจจุบัน</x:v>
      </x:c>
      <x:c r="P540" s="40" t="n">
        <x:v>46315</x:v>
      </x:c>
      <x:c r="Q540" s="59" t="str">
        <x:v>ยังไม่ตรวจ</x:v>
      </x:c>
      <x:c r="R540" s="59" t="str">
        <x:v>รอติดต่อ</x:v>
      </x:c>
    </x:row>
    <x:row r="541" ht="84" customHeight="1">
      <x:c r="A541" s="2" t="str">
        <x:v>TMF-533</x:v>
      </x:c>
      <x:c r="B541" s="8" t="str">
        <x:v>พิพิธภัณฑ์กองทัพอากาศและการบินแห่งชาติ</x:v>
      </x:c>
      <x:c r="C541" s="8" t="str">
        <x:v>กรุงเทพมหานคร</x:v>
      </x:c>
      <x:c r="D541" s="8" t="str">
        <x:v>สำรองหลังปรับตามเส้นทาง</x:v>
      </x:c>
      <x:c r="E541" s="8" t="str">
        <x:v>พบหลายแหล่งสัมพันธ์กับชื่อ รอยืนยันการเปิด</x:v>
      </x:c>
      <x:c r="F541" s="8" t="str">
        <x:v>ยังไม่ยืนยันการเปิดให้บริการปัจจุบัน</x:v>
      </x:c>
      <x:c r="G541" s="58" t="n">
        <x:v>5</x:v>
      </x:c>
      <x:c r="H541" s="52"/>
      <x:c r="I541" s="52"/>
      <x:c r="J541" s="52" t="str">
        <x:v>HYPERLINK is not implemented. linkLocation=https://www.wongnai.com/attractions/3257719Gk-%E0%B8%9E%E0%B8%B4%E0%B8%9E%E0%B8%B4%E0%B8%98%E0%B8%A0%E0%B8%B1%E0%B8%93%E0%B8%91%E0%B9%8C%E0%B8%81%E0%B8%AD%E0%B8%87%E0%B8%97%E0%B8%B1%E0%B8%9E%E0%B8%AD%E0%B8%B2%E0%B8%81%E0%B8%B2%E0%B8%A8%E0%B9%81%E0%B8%A5%E0%B8%B0%E0%B8%81%E0%B8%B2%E0%B8%A3%E0%B8%9A%E0%B8%B4%E0%B8%99%E0%B9%81%E0%B8%AB%E0%B9%88%E0%B8%87%E0%B8%8A%E0%B8%B2%E0%B8%95%E0%B8%B4?_st=cD01O2I9MzI1NzcxOTthZD1mYWxzZTt0PTE3NTMwNjc4MDY1NjQ7cmk9MVg3Yks3cjQ1VnZhZjZoRUtkcE1XWVFVVzBwc3g2O2k9MVg3MG5SY2VlNUtwMnMxSVJlWTZrT0FjZ3ZmYlNqO3dyZWY9c3I7, friendlyName=เปิดหน้ารีวิว 1</x:v>
      </x:c>
      <x:c r="K541" s="52" t="str">
        <x:v>HYPERLINK is not implemented. linkLocation=https://th.trip.com/travel-guide/attraction/bangkok/royal-thai-air-force-and-national-aviation-museum-22847074/?curr=THB&amp;locale=th-TH, friendlyName=เปิดหน้ารีวิว 2</x:v>
      </x:c>
      <x:c r="L541" s="52" t="str">
        <x:v>HYPERLINK is not implemented. linkLocation=https://museum.rtaf.mi.th/?page_id=405, friendlyName=เปิดเว็บเพิ่ม 1</x:v>
      </x:c>
      <x:c r="M541" s="52" t="str">
        <x:v>HYPERLINK is not implemented. linkLocation=https://museum.rtaf.mi.th/?lang=en&amp;page_id=3842, friendlyName=เปิดเว็บเพิ่ม 2</x:v>
      </x:c>
      <x:c r="N541" s="8" t="str">
        <x:v>ยังไม่ยืนยัน</x:v>
      </x:c>
      <x:c r="O54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1" s="40" t="n">
        <x:v>46315</x:v>
      </x:c>
      <x:c r="Q541" s="59" t="str">
        <x:v>ยังไม่ตรวจ</x:v>
      </x:c>
      <x:c r="R541" s="59" t="str">
        <x:v>รอติดต่อ</x:v>
      </x:c>
    </x:row>
    <x:row r="542" ht="84" customHeight="1">
      <x:c r="A542" s="2" t="str">
        <x:v>TMF-534</x:v>
      </x:c>
      <x:c r="B542" s="8" t="str">
        <x:v>พิพิธภัณฑ์ชาวบางกอก</x:v>
      </x:c>
      <x:c r="C542" s="8" t="str">
        <x:v>กรุงเทพมหานคร</x:v>
      </x:c>
      <x:c r="D542" s="8" t="str">
        <x:v>สำรองหลังปรับตามเส้นทาง</x:v>
      </x:c>
      <x:c r="E542" s="8" t="str">
        <x:v>พบหลายแหล่งสัมพันธ์กับชื่อ รอยืนยันการเปิด</x:v>
      </x:c>
      <x:c r="F542" s="8" t="str">
        <x:v>ยังไม่ยืนยันการเปิดให้บริการปัจจุบัน</x:v>
      </x:c>
      <x:c r="G542" s="58" t="n">
        <x:v>6</x:v>
      </x:c>
      <x:c r="H542" s="52" t="str">
        <x:v>HYPERLINK is not implemented. linkLocation=https://www.facebook.com/BKK-Museum-354007524610221/ดูเพิ่มเติม, friendlyName=เปิดช่องทาง 1</x:v>
      </x:c>
      <x:c r="I542" s="52"/>
      <x:c r="J542" s="52" t="str">
        <x:v>HYPERLINK is not implemented. linkLocation=https://th.tripadvisor.com/Attraction_Review-g293916-d5427551-Reviews-The_Bangkokian_Museum-Bangkok.html, friendlyName=เปิดหน้ารีวิว 1</x:v>
      </x:c>
      <x:c r="K542" s="52" t="str">
        <x:v>HYPERLINK is not implemented. linkLocation=https://www.wongnai.com/attractions/326840Qx-%E0%B8%9E%E0%B8%B4%E0%B8%9E%E0%B8%B4%E0%B8%98%E0%B8%A0%E0%B8%B1%E0%B8%93%E0%B8%91%E0%B9%8C%E0%B8%8A%E0%B8%B2%E0%B8%A7%E0%B8%9A%E0%B8%B2%E0%B8%87%E0%B8%81%E0%B8%AD%E0%B8%81, friendlyName=เปิดหน้ารีวิว 2</x:v>
      </x:c>
      <x:c r="L542" s="52" t="str">
        <x:v>HYPERLINK is not implemented. linkLocation=https://pantip.com/topic/35967896, friendlyName=เปิดเว็บเพิ่ม 1</x:v>
      </x:c>
      <x:c r="M542" s="52"/>
      <x:c r="N542" s="8" t="str">
        <x:v>ยังไม่ยืนยัน</x:v>
      </x:c>
      <x:c r="O542" s="8" t="str">
        <x:v>ยังไม่ยืนยันวันที่โพสต์/รีวิวล่าสุดและการเปิดให้บริการปัจจุบัน</x:v>
      </x:c>
      <x:c r="P542" s="40" t="n">
        <x:v>46315</x:v>
      </x:c>
      <x:c r="Q542" s="59" t="str">
        <x:v>ยังไม่ตรวจ</x:v>
      </x:c>
      <x:c r="R542" s="59" t="str">
        <x:v>รอติดต่อ</x:v>
      </x:c>
    </x:row>
    <x:row r="543" ht="84" customHeight="1">
      <x:c r="A543" s="2" t="str">
        <x:v>TMF-535</x:v>
      </x:c>
      <x:c r="B543" s="8" t="str">
        <x:v>พิพิธภัณฑ์ผ้าในสมเด็จพระนางเจ้าสิริกิติ์ฯ</x:v>
      </x:c>
      <x:c r="C543" s="8" t="str">
        <x:v>กรุงเทพมหานคร</x:v>
      </x:c>
      <x:c r="D543" s="8" t="str">
        <x:v>สำรองหลังปรับตามเส้นทาง</x:v>
      </x:c>
      <x:c r="E543" s="8" t="str">
        <x:v>พบหลายแหล่งสัมพันธ์กับชื่อ รอยืนยันการเปิด</x:v>
      </x:c>
      <x:c r="F543" s="8" t="str">
        <x:v>ยังไม่ยืนยันการเปิดให้บริการปัจจุบัน</x:v>
      </x:c>
      <x:c r="G543" s="58" t="n">
        <x:v>3</x:v>
      </x:c>
      <x:c r="H543" s="52"/>
      <x:c r="I543" s="52"/>
      <x:c r="J543" s="52" t="str">
        <x:v>HYPERLINK is not implemented. linkLocation=https://www.lemon8-app.com/%40_kittiyanee_4/7549572263360954898?region=th, friendlyName=เปิดหน้ารีวิว 1</x:v>
      </x:c>
      <x:c r="K543" s="52" t="str">
        <x:v>HYPERLINK is not implemented. linkLocation=https://www.lemon8-app.com/%40euro_87/7569144003715678728?region=th, friendlyName=เปิดหน้ารีวิว 2</x:v>
      </x:c>
      <x:c r="L543" s="52" t="str">
        <x:v>HYPERLINK is not implemented. linkLocation=https://notes.tiktok.com/%40thesunskysea/7574805203334087186?region=th, friendlyName=เปิดเว็บเพิ่ม 1</x:v>
      </x:c>
      <x:c r="M543" s="52"/>
      <x:c r="N543" s="8" t="str">
        <x:v>ยังไม่ยืนยัน</x:v>
      </x:c>
      <x:c r="O543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3" s="40" t="n">
        <x:v>46315</x:v>
      </x:c>
      <x:c r="Q543" s="59" t="str">
        <x:v>ยังไม่ตรวจ</x:v>
      </x:c>
      <x:c r="R543" s="59" t="str">
        <x:v>รอติดต่อ</x:v>
      </x:c>
    </x:row>
    <x:row r="544" ht="84" customHeight="1">
      <x:c r="A544" s="2" t="str">
        <x:v>TMF-536</x:v>
      </x:c>
      <x:c r="B544" s="8" t="str">
        <x:v>พิพิธภัณฑ์ศิลปะไทยร่วมสมัย (MOCA)</x:v>
      </x:c>
      <x:c r="C544" s="8" t="str">
        <x:v>กรุงเทพมหานคร</x:v>
      </x:c>
      <x:c r="D544" s="8" t="str">
        <x:v>สำรองหลังปรับตามเส้นทาง</x:v>
      </x:c>
      <x:c r="E544" s="8" t="str">
        <x:v>พบหลายแหล่งสัมพันธ์กับชื่อ รอยืนยันการเปิด</x:v>
      </x:c>
      <x:c r="F544" s="8" t="str">
        <x:v>ยังไม่ยืนยันการเปิดให้บริการปัจจุบัน</x:v>
      </x:c>
      <x:c r="G544" s="58" t="n">
        <x:v>6</x:v>
      </x:c>
      <x:c r="H544" s="52"/>
      <x:c r="I544" s="52"/>
      <x:c r="J544" s="52" t="str">
        <x:v>HYPERLINK is not implemented. linkLocation=https://www.lemon8-app.com/%40tetechin.p/7343285791353061890?region=us, friendlyName=เปิดหน้ารีวิว 1</x:v>
      </x:c>
      <x:c r="K544" s="52" t="str">
        <x:v>HYPERLINK is not implemented. linkLocation=https://th.trip.com/moments/detail/bangkok-191-126530889/, friendlyName=เปิดหน้ารีวิว 2</x:v>
      </x:c>
      <x:c r="L544" s="52" t="str">
        <x:v>HYPERLINK is not implemented. linkLocation=https://www.thaithurkic.com/%E0%B8%9E%E0%B8%B4%E0%B8%9E%E0%B8%B4%E0%B8%98%E0%B8%A0%E0%B8%B1%E0%B8%93%E0%B8%91%E0%B9%8C%E0%B8%A8%E0%B8%B4%E0%B8%A5%E0%B8%9B%E0%B8%B0%E0%B9%84%E0%B8%97%E0%B8%A2%E0%B8%A3%E0%B9%88%E0%B8%A7%E0%B8%A1%E0%B8%AA%E0%B8%A1%E0%B8%B1%E0%B8%A2-moca-museum_16-02-953-1005, friendlyName=เปิดเว็บเพิ่ม 1</x:v>
      </x:c>
      <x:c r="M544" s="52" t="str">
        <x:v>HYPERLINK is not implemented. linkLocation=https://www.thetrippacker.com/th/review/%E0%B8%9E%E0%B8%B4%E0%B8%9E%E0%B8%B4%E0%B8%98%E0%B8%A0%E0%B8%B1%E0%B8%93%E0%B8%91%E0%B9%8C%E0%B8%A8%E0%B8%B4%E0%B8%A5%E0%B8%9B%E0%B8%B0%E0%B9%84%E0%B8%97%E0%B8%A2%E0%B8%A3%E0%B9%88%E0%B8%A7%E0%B8%A1%E0%B8%AA%E0%B8%A1%E0%B8%B1%E0%B8%A2MuseumOfContemporaryArtMOCA/6635, friendlyName=เปิดเว็บเพิ่ม 2</x:v>
      </x:c>
      <x:c r="N544" s="8" t="str">
        <x:v>ยังไม่ยืนยัน</x:v>
      </x:c>
      <x:c r="O54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4" s="40" t="n">
        <x:v>46315</x:v>
      </x:c>
      <x:c r="Q544" s="59" t="str">
        <x:v>ยังไม่ตรวจ</x:v>
      </x:c>
      <x:c r="R544" s="59" t="str">
        <x:v>รอติดต่อ</x:v>
      </x:c>
    </x:row>
    <x:row r="545" ht="84" customHeight="1">
      <x:c r="A545" s="2" t="str">
        <x:v>TMF-537</x:v>
      </x:c>
      <x:c r="B545" s="8" t="str">
        <x:v>พิพิธภัณฑ์เด็กกรุงเทพมหานคร แห่งที่ 1 (จตุจักร)</x:v>
      </x:c>
      <x:c r="C545" s="8" t="str">
        <x:v>กรุงเทพมหานคร</x:v>
      </x:c>
      <x:c r="D545" s="8" t="str">
        <x:v>สำรองหลังปรับตามเส้นทาง</x:v>
      </x:c>
      <x:c r="E545" s="8" t="str">
        <x:v>พบหลายแหล่งสัมพันธ์กับชื่อ รอยืนยันการเปิด</x:v>
      </x:c>
      <x:c r="F545" s="8" t="str">
        <x:v>ยังไม่ยืนยันการเปิดให้บริการปัจจุบัน</x:v>
      </x:c>
      <x:c r="G545" s="58" t="n">
        <x:v>5</x:v>
      </x:c>
      <x:c r="H545" s="52"/>
      <x:c r="I545" s="52"/>
      <x:c r="J545" s="52" t="str">
        <x:v>HYPERLINK is not implemented. linkLocation=https://www.wongnai.com/reviews/9948ac9cb7434322b420d17ea23087cf, friendlyName=เปิดหน้ารีวิว 1</x:v>
      </x:c>
      <x:c r="K545" s="52" t="str">
        <x:v>HYPERLINK is not implemented. linkLocation=https://www.wongnai.com/reviews/912a590171c7401eb21b84652b1d8bbd, friendlyName=เปิดหน้ารีวิว 2</x:v>
      </x:c>
      <x:c r="L545" s="52" t="str">
        <x:v>HYPERLINK is not implemented. linkLocation=https://publicspace.bangkok.go.th/Spaces/Info/7CC542F5-1AA9-4325-9F2F-0539A2A53D4A, friendlyName=เปิดเว็บเพิ่ม 1</x:v>
      </x:c>
      <x:c r="M545" s="52" t="str">
        <x:v>HYPERLINK is not implemented. linkLocation=https://www.okmd.or.th/upload/pdf/2560/%E0%B8%95%E0%B8%B4%E0%B8%94%E0%B8%9B%E0%B8%B5%E0%B8%81%E0%B8%84%E0%B8%A7%E0%B8%B2%E0%B8%A1%E0%B8%A3%E0%B8%B9%E0%B9%89%20%E0%B8%9B%E0%B8%B5%202/MLIC-manual_2.pdf, friendlyName=เปิดเว็บเพิ่ม 2</x:v>
      </x:c>
      <x:c r="N545" s="8" t="str">
        <x:v>ยังไม่ยืนยัน</x:v>
      </x:c>
      <x:c r="O54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5" s="40" t="n">
        <x:v>46315</x:v>
      </x:c>
      <x:c r="Q545" s="59" t="str">
        <x:v>ยังไม่ตรวจ</x:v>
      </x:c>
      <x:c r="R545" s="59" t="str">
        <x:v>รอติดต่อ</x:v>
      </x:c>
    </x:row>
    <x:row r="546" ht="84" customHeight="1">
      <x:c r="A546" s="2" t="str">
        <x:v>TMF-538</x:v>
      </x:c>
      <x:c r="B546" s="8" t="str">
        <x:v>พิพิธภัณฑ์เหรียญกษาปณานุรักษ์</x:v>
      </x:c>
      <x:c r="C546" s="8" t="str">
        <x:v>กรุงเทพมหานคร</x:v>
      </x:c>
      <x:c r="D546" s="8" t="str">
        <x:v>สำรองหลังปรับตามเส้นทาง</x:v>
      </x:c>
      <x:c r="E546" s="8" t="str">
        <x:v>พบหลายแหล่งสัมพันธ์กับชื่อ รอยืนยันการเปิด</x:v>
      </x:c>
      <x:c r="F546" s="8" t="str">
        <x:v>ยังไม่ยืนยันการเปิดให้บริการปัจจุบัน</x:v>
      </x:c>
      <x:c r="G546" s="58" t="n">
        <x:v>6</x:v>
      </x:c>
      <x:c r="H546" s="52"/>
      <x:c r="I546" s="52"/>
      <x:c r="J546" s="52" t="str">
        <x:v>HYPERLINK is not implemented. linkLocation=https://www.wongnai.com/attractions/478830XS-%E0%B8%9E%E0%B8%B4%E0%B8%9E%E0%B8%B4%E0%B8%98%E0%B8%A0%E0%B8%B1%E0%B8%93%E0%B8%91%E0%B9%8C%E0%B9%80%E0%B8%AB%E0%B8%A3%E0%B8%B5%E0%B8%A2%E0%B8%8D%E0%B8%81%E0%B8%A9%E0%B8%B2%E0%B8%9B%E0%B8%93%E0%B8%B2%E0%B8%99%E0%B8%B8%E0%B8%A3%E0%B8%B1%E0%B8%81%E0%B8%A9%E0%B9%8C, friendlyName=เปิดหน้ารีวิว 1</x:v>
      </x:c>
      <x:c r="K546" s="52" t="str">
        <x:v>HYPERLINK is not implemented. linkLocation=https://th.trip.com/travel-guide/attraction/bangkok/coin-museum-22847085, friendlyName=เปิดหน้ารีวิว 2</x:v>
      </x:c>
      <x:c r="L546" s="52" t="str">
        <x:v>HYPERLINK is not implemented. linkLocation=https://pantip.com/topic/39508444, friendlyName=เปิดเว็บเพิ่ม 1</x:v>
      </x:c>
      <x:c r="M546" s="52" t="str">
        <x:v>HYPERLINK is not implemented. linkLocation=https://www.museumthailand.com/index.php/museum/coin-museum-thailand, friendlyName=เปิดเว็บเพิ่ม 2</x:v>
      </x:c>
      <x:c r="N546" s="8" t="str">
        <x:v>ยังไม่ยืนยัน</x:v>
      </x:c>
      <x:c r="O546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6" s="40" t="n">
        <x:v>46315</x:v>
      </x:c>
      <x:c r="Q546" s="59" t="str">
        <x:v>ยังไม่ตรวจ</x:v>
      </x:c>
      <x:c r="R546" s="59" t="str">
        <x:v>รอติดต่อ</x:v>
      </x:c>
    </x:row>
    <x:row r="547" ht="84" customHeight="1">
      <x:c r="A547" s="2" t="str">
        <x:v>TMF-539</x:v>
      </x:c>
      <x:c r="B547" s="8" t="str">
        <x:v>ศูนย์การเรียนรู้ ธนาคารแห่งประเทศไทย</x:v>
      </x:c>
      <x:c r="C547" s="8" t="str">
        <x:v>กรุงเทพมหานคร</x:v>
      </x:c>
      <x:c r="D547" s="8" t="str">
        <x:v>สำรองหลังปรับตามเส้นทาง</x:v>
      </x:c>
      <x:c r="E547" s="8" t="str">
        <x:v>พบหลายแหล่งสัมพันธ์กับชื่อ รอยืนยันการเปิด</x:v>
      </x:c>
      <x:c r="F547" s="8" t="str">
        <x:v>ยังไม่ยืนยันการเปิดให้บริการปัจจุบัน</x:v>
      </x:c>
      <x:c r="G547" s="58" t="n">
        <x:v>4</x:v>
      </x:c>
      <x:c r="H547" s="52"/>
      <x:c r="I547" s="52"/>
      <x:c r="J547" s="52" t="str">
        <x:v>HYPERLINK is not implemented. linkLocation=https://www.wongnai.com/attractions/368832TU-%E0%B8%A8%E0%B8%B9%E0%B8%99%E0%B8%A2%E0%B9%8C%E0%B8%81%E0%B8%B2%E0%B8%A3%E0%B9%80%E0%B8%A3%E0%B8%B5%E0%B8%A2%E0%B8%99%E0%B8%A3%E0%B8%B9%E0%B9%89%E0%B8%98%E0%B8%99%E0%B8%B2%E0%B8%84%E0%B8%B2%E0%B8%A3%E0%B9%81%E0%B8%AB%E0%B9%88%E0%B8%87%E0%B8%9B%E0%B8%A3%E0%B8%B0%E0%B9%80%E0%B8%97%E0%B8%A8%E0%B9%84%E0%B8%97%E0%B8%A2, friendlyName=เปิดหน้ารีวิว 1</x:v>
      </x:c>
      <x:c r="K547" s="52" t="str">
        <x:v>HYPERLINK is not implemented. linkLocation=https://th.tripadvisor.com/Attraction_Review-g293916-d14187947-Reviews-Bank_of_Thailand_Learning_Center-Bangkok.html, friendlyName=เปิดหน้ารีวิว 2</x:v>
      </x:c>
      <x:c r="L547" s="52" t="str">
        <x:v>HYPERLINK is not implemented. linkLocation=https://www.bot.or.th/th/our-services/bank-of-thailand-learning-center.html, friendlyName=เปิดเว็บเพิ่ม 1</x:v>
      </x:c>
      <x:c r="M547" s="52"/>
      <x:c r="N547" s="8" t="str">
        <x:v>ยังไม่ยืนยัน</x:v>
      </x:c>
      <x:c r="O547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7" s="40" t="n">
        <x:v>46315</x:v>
      </x:c>
      <x:c r="Q547" s="59" t="str">
        <x:v>ยังไม่ตรวจ</x:v>
      </x:c>
      <x:c r="R547" s="59" t="str">
        <x:v>รอติดต่อ</x:v>
      </x:c>
    </x:row>
    <x:row r="548" ht="84" customHeight="1">
      <x:c r="A548" s="2" t="str">
        <x:v>TMF-540</x:v>
      </x:c>
      <x:c r="B548" s="8" t="str">
        <x:v>เสาชิงช้า</x:v>
      </x:c>
      <x:c r="C548" s="8" t="str">
        <x:v>กรุงเทพมหานคร</x:v>
      </x:c>
      <x:c r="D548" s="8" t="str">
        <x:v>สำรองหลังปรับตามเส้นทาง</x:v>
      </x:c>
      <x:c r="E548" s="8" t="str">
        <x:v>พบหลายแหล่งสัมพันธ์กับชื่อ รอยืนยันการเปิด</x:v>
      </x:c>
      <x:c r="F548" s="8" t="str">
        <x:v>ยังไม่ยืนยันการเปิดให้บริการปัจจุบัน</x:v>
      </x:c>
      <x:c r="G548" s="58" t="n">
        <x:v>7</x:v>
      </x:c>
      <x:c r="H548" s="52"/>
      <x:c r="I548" s="52"/>
      <x:c r="J548" s="52" t="str">
        <x:v>HYPERLINK is not implemented. linkLocation=https://th.tripadvisor.com/Attraction_Review-g293916-d4114676-Reviews-Sao_Chingcha_the_Giant_Swing-Bangkok.html, friendlyName=เปิดหน้ารีวิว 1</x:v>
      </x:c>
      <x:c r="K548" s="52" t="str">
        <x:v>HYPERLINK is not implemented. linkLocation=https://www.wongnai.com/attractions/324338Uk-%E0%B9%80%E0%B8%AA%E0%B8%B2%E0%B8%8A%E0%B8%B4%E0%B8%87%E0%B8%8A%E0%B9%89%E0%B8%B2?_st=cD0yO2I9MzI0MzM4O2FkPWZhbHNlO3Q9MTc1NjAyMDYzNDIwMDtyaT0xWDdiTGdPODJJQ3E2TnFVcHQ4bzZ1SEZQOHNHc1A7aT0xWDcwcDA5aVhpWVRGYWVWT1dQVlBPbk9rbzREbVI7d3JlZj1zcjs%3D, friendlyName=เปิดหน้ารีวิว 2</x:v>
      </x:c>
      <x:c r="L548" s="52" t="str">
        <x:v>HYPERLINK is not implemented. linkLocation=https://patois.com/shop/3925-%E0%B8%9A%E0%B9%89%E0%B8%B2%E0%B8%99%E0%B8%82%E0%B8%99%E0%B8%A1%E0%B8%9B%E0%B8%B1%E0%B8%87%E0%B8%82%E0%B8%B4%E0%B8%87-%E0%B9%80%E0%B8%AA%E0%B8%B2%E0%B8%8A%E0%B8%B4%E0%B8%87%E0%B8%8A%E0%B9%89%E0%B8%B2, friendlyName=เปิดเว็บเพิ่ม 1</x:v>
      </x:c>
      <x:c r="M548" s="52" t="str">
        <x:v>HYPERLINK is not implemented. linkLocation=https://patois.com/shop/80175-, friendlyName=เปิดเว็บเพิ่ม 2</x:v>
      </x:c>
      <x:c r="N548" s="8" t="str">
        <x:v>ยังไม่ยืนยัน</x:v>
      </x:c>
      <x:c r="O54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48" s="40" t="n">
        <x:v>46315</x:v>
      </x:c>
      <x:c r="Q548" s="59" t="str">
        <x:v>ยังไม่ตรวจ</x:v>
      </x:c>
      <x:c r="R548" s="59" t="str">
        <x:v>รอติดต่อ</x:v>
      </x:c>
    </x:row>
    <x:row r="549" ht="84" customHeight="1">
      <x:c r="A549" s="2" t="str">
        <x:v>TMF-541</x:v>
      </x:c>
      <x:c r="B549" s="8" t="str">
        <x:v>Ccไก่กรอบ สาขา บางน้ำเปรี้ยว ฉะเชิงเทรา</x:v>
      </x:c>
      <x:c r="C549" s="8" t="str">
        <x:v>ฉะเชิงเทรา</x:v>
      </x:c>
      <x:c r="D549" s="8" t="str">
        <x:v>สำรองหลังปรับตามเส้นทาง</x:v>
      </x:c>
      <x:c r="E549" s="8" t="str">
        <x:v>หลักฐานไม่พอ รอยืนยันการเปิด</x:v>
      </x:c>
      <x:c r="F549" s="8" t="str">
        <x:v>ยังไม่ยืนยันการเปิดให้บริการปัจจุบัน</x:v>
      </x:c>
      <x:c r="G549" s="58" t="n">
        <x:v>1</x:v>
      </x:c>
      <x:c r="H549" s="52"/>
      <x:c r="I549" s="52"/>
      <x:c r="J549" s="52"/>
      <x:c r="K549" s="52"/>
      <x:c r="L549" s="52"/>
      <x:c r="M549" s="52"/>
      <x:c r="N549" s="8" t="str">
        <x:v>ยังไม่ยืนยัน</x:v>
      </x:c>
      <x:c r="O54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49" s="40" t="n">
        <x:v>46315</x:v>
      </x:c>
      <x:c r="Q549" s="59" t="str">
        <x:v>ยังไม่ตรวจ</x:v>
      </x:c>
      <x:c r="R549" s="59" t="str">
        <x:v>รอติดต่อ</x:v>
      </x:c>
    </x:row>
    <x:row r="550" ht="84" customHeight="1">
      <x:c r="A550" s="2" t="str">
        <x:v>TMF-542</x:v>
      </x:c>
      <x:c r="B550" s="8" t="str">
        <x:v>โต๊ะนวย</x:v>
      </x:c>
      <x:c r="C550" s="8" t="str">
        <x:v>ฉะเชิงเทรา</x:v>
      </x:c>
      <x:c r="D550" s="8" t="str">
        <x:v>สำรองหลังปรับตามเส้นทาง</x:v>
      </x:c>
      <x:c r="E550" s="8" t="str">
        <x:v>หลักฐานไม่พอ รอยืนยันการเปิด</x:v>
      </x:c>
      <x:c r="F550" s="8" t="str">
        <x:v>ยังไม่ยืนยันการเปิดให้บริการปัจจุบัน</x:v>
      </x:c>
      <x:c r="G550" s="58" t="n">
        <x:v>1</x:v>
      </x:c>
      <x:c r="H550" s="52"/>
      <x:c r="I550" s="52"/>
      <x:c r="J550" s="52"/>
      <x:c r="K550" s="52"/>
      <x:c r="L550" s="52"/>
      <x:c r="M550" s="52"/>
      <x:c r="N550" s="8" t="str">
        <x:v>ยังไม่ยืนยัน</x:v>
      </x:c>
      <x:c r="O55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0" s="40" t="n">
        <x:v>46315</x:v>
      </x:c>
      <x:c r="Q550" s="59" t="str">
        <x:v>ยังไม่ตรวจ</x:v>
      </x:c>
      <x:c r="R550" s="59" t="str">
        <x:v>รอติดต่อ</x:v>
      </x:c>
    </x:row>
    <x:row r="551" ht="84" customHeight="1">
      <x:c r="A551" s="2" t="str">
        <x:v>TMF-543</x:v>
      </x:c>
      <x:c r="B551" s="8" t="str">
        <x:v>p.p.ครัวอิสลาม</x:v>
      </x:c>
      <x:c r="C551" s="8" t="str">
        <x:v>ชลบุรี</x:v>
      </x:c>
      <x:c r="D551" s="8" t="str">
        <x:v>สำรองหลังปรับตามเส้นทาง</x:v>
      </x:c>
      <x:c r="E551" s="8" t="str">
        <x:v>พบหลายแหล่งสัมพันธ์กับชื่อ รอยืนยันการเปิด</x:v>
      </x:c>
      <x:c r="F551" s="8" t="str">
        <x:v>ยังไม่ยืนยันการเปิดให้บริการปัจจุบัน</x:v>
      </x:c>
      <x:c r="G551" s="58" t="n">
        <x:v>2</x:v>
      </x:c>
      <x:c r="H551" s="52"/>
      <x:c r="I551" s="52"/>
      <x:c r="J551" s="52"/>
      <x:c r="K551" s="52"/>
      <x:c r="L551" s="52" t="str">
        <x:v>HYPERLINK is not implemented. linkLocation=https://www.cybo.com/TH-postal-code/20150_bang-lamung/halal-restaurants, friendlyName=เปิดเว็บเพิ่ม 1</x:v>
      </x:c>
      <x:c r="M551" s="52"/>
      <x:c r="N551" s="8" t="str">
        <x:v>ยังไม่ยืนยัน</x:v>
      </x:c>
      <x:c r="O551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1" s="40" t="n">
        <x:v>46315</x:v>
      </x:c>
      <x:c r="Q551" s="59" t="str">
        <x:v>ยังไม่ตรวจ</x:v>
      </x:c>
      <x:c r="R551" s="59" t="str">
        <x:v>รอติดต่อ</x:v>
      </x:c>
    </x:row>
    <x:row r="552" ht="84" customHeight="1">
      <x:c r="A552" s="2" t="str">
        <x:v>TMF-544</x:v>
      </x:c>
      <x:c r="B552" s="8" t="str">
        <x:v>ครัว อาลี</x:v>
      </x:c>
      <x:c r="C552" s="8" t="str">
        <x:v>ชลบุรี</x:v>
      </x:c>
      <x:c r="D552" s="8" t="str">
        <x:v>สำรองหลังปรับตามเส้นทาง</x:v>
      </x:c>
      <x:c r="E552" s="8" t="str">
        <x:v>หลักฐานไม่พอ รอยืนยันการเปิด</x:v>
      </x:c>
      <x:c r="F552" s="8" t="str">
        <x:v>ยังไม่ยืนยันการเปิดให้บริการปัจจุบัน</x:v>
      </x:c>
      <x:c r="G552" s="58" t="n">
        <x:v>1</x:v>
      </x:c>
      <x:c r="H552" s="52"/>
      <x:c r="I552" s="52"/>
      <x:c r="J552" s="52"/>
      <x:c r="K552" s="52"/>
      <x:c r="L552" s="52"/>
      <x:c r="M552" s="52"/>
      <x:c r="N552" s="8" t="str">
        <x:v>ยังไม่ยืนยัน</x:v>
      </x:c>
      <x:c r="O55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2" s="40" t="n">
        <x:v>46315</x:v>
      </x:c>
      <x:c r="Q552" s="59" t="str">
        <x:v>ยังไม่ตรวจ</x:v>
      </x:c>
      <x:c r="R552" s="59" t="str">
        <x:v>รอติดต่อ</x:v>
      </x:c>
    </x:row>
    <x:row r="553" ht="84" customHeight="1">
      <x:c r="A553" s="2" t="str">
        <x:v>TMF-545</x:v>
      </x:c>
      <x:c r="B553" s="8" t="str">
        <x:v>คามิส เซน ฮาลาล เรสเตอรองท์</x:v>
      </x:c>
      <x:c r="C553" s="8" t="str">
        <x:v>ชลบุรี</x:v>
      </x:c>
      <x:c r="D553" s="8" t="str">
        <x:v>สำรองหลังปรับตามเส้นทาง</x:v>
      </x:c>
      <x:c r="E553" s="8" t="str">
        <x:v>พบหลายแหล่งสัมพันธ์กับชื่อ รอยืนยันการเปิด</x:v>
      </x:c>
      <x:c r="F553" s="8" t="str">
        <x:v>ยังไม่ยืนยันการเปิดให้บริการปัจจุบัน</x:v>
      </x:c>
      <x:c r="G553" s="58" t="n">
        <x:v>6</x:v>
      </x:c>
      <x:c r="H553" s="52" t="str">
        <x:v>HYPERLINK is not implemented. linkLocation=https://www.facebook.com/profile.php?id=100054675750567, friendlyName=เปิดช่องทาง 1</x:v>
      </x:c>
      <x:c r="I553" s="52"/>
      <x:c r="J553" s="52" t="str">
        <x:v>HYPERLINK is not implemented. linkLocation=https://restaurantguru.com/Khamis-Zain-halal-restaurant-%E0%B8%84%E0%B8%B2%E0%B8%A1%E0%B8%B4%E0%B8%97%E0%B9%80%E0%B8%8B%E0%B8%99-%E0%B8%AE%E0%B8%B2%E0%B8%A5%E0%B8%B2%E0%B8%A5-%E0%B9%80%E0%B8%A3%E0%B8%AA%E0%B9%80%E0%B8%95%E0%B8%AD%E0%B8%A3%E0%B8%AD%E0%B8%87%E0%B8%97%E0%B9%8C-Pattaya, friendlyName=เปิดหน้ารีวิว 1</x:v>
      </x:c>
      <x:c r="K553" s="52" t="str">
        <x:v>HYPERLINK is not implemented. linkLocation=https://wanderlog.com/ms/place/details/8798097, friendlyName=เปิดหน้ารีวิว 2</x:v>
      </x:c>
      <x:c r="L553" s="52" t="str">
        <x:v>HYPERLINK is not implemented. linkLocation=https://www.snsstopper.com/restaurant/0x310297e06a804261_0xff068e97d74ca546, friendlyName=เปิดเว็บเพิ่ม 1</x:v>
      </x:c>
      <x:c r="M553" s="52" t="str">
        <x:v>HYPERLINK is not implemented. linkLocation=https://lv.cybo.com/TH-biz/khamis-zain-halal-restaurant-%E0%B8%84%E0%B8%B2%E0%B8%A1%E0%B8%B4%E0%B8%AA-%E0%B9%80%E0%B8%8B%E0%B8%99, friendlyName=เปิดเว็บเพิ่ม 2</x:v>
      </x:c>
      <x:c r="N553" s="8" t="str">
        <x:v>ยังไม่ยืนยัน</x:v>
      </x:c>
      <x:c r="O553" s="8" t="str">
        <x:v>ยังไม่ยืนยันวันที่โพสต์/รีวิวล่าสุดและการเปิดให้บริการปัจจุบัน</x:v>
      </x:c>
      <x:c r="P553" s="40" t="n">
        <x:v>46315</x:v>
      </x:c>
      <x:c r="Q553" s="59" t="str">
        <x:v>ยังไม่ตรวจ</x:v>
      </x:c>
      <x:c r="R553" s="59" t="str">
        <x:v>รอติดต่อ</x:v>
      </x:c>
    </x:row>
    <x:row r="554" ht="84" customHeight="1">
      <x:c r="A554" s="2" t="str">
        <x:v>TMF-546</x:v>
      </x:c>
      <x:c r="B554" s="8" t="str">
        <x:v>ซีน่าพิซซ่าฮาลาลพัทยา สาขา 1 (สุขุมวิท26/1)</x:v>
      </x:c>
      <x:c r="C554" s="8" t="str">
        <x:v>ชลบุรี</x:v>
      </x:c>
      <x:c r="D554" s="8" t="str">
        <x:v>สำรองหลังปรับตามเส้นทาง</x:v>
      </x:c>
      <x:c r="E554" s="8" t="str">
        <x:v>พบหลายแหล่งสัมพันธ์กับชื่อ รอยืนยันการเปิด</x:v>
      </x:c>
      <x:c r="F554" s="8" t="str">
        <x:v>ยังไม่ยืนยันการเปิดให้บริการปัจจุบัน</x:v>
      </x:c>
      <x:c r="G554" s="58" t="n">
        <x:v>9</x:v>
      </x:c>
      <x:c r="H554" s="52"/>
      <x:c r="I554" s="52"/>
      <x:c r="J554" s="52" t="str">
        <x:v>HYPERLINK is not implemented. linkLocation=https://www.wongnai.com/restaurants/623060wV-seena-%E0%B8%9E%E0%B8%B4%E0%B8%8B%E0%B8%8B%E0%B9%88%E0%B8%B2%E0%B8%AE%E0%B8%B2%E0%B8%A5%E0%B8%B2%E0%B8%A5%E0%B8%9E%E0%B8%B1%E0%B8%97%E0%B8%A2%E0%B8%B2, friendlyName=เปิดหน้ารีวิว 1</x:v>
      </x:c>
      <x:c r="K554" s="52"/>
      <x:c r="L554" s="52" t="str">
        <x:v>HYPERLINK is not implemented. linkLocation=https://salaamthailand.com/en/place/halal-pizza-seena-pizza-halal-pattaya-%E0%B8%A3%E0%B9%89%E0%B8%B2%E0%B8%99%E0%B8%AD%E0%B8%B2%E0%B8%AB%E0%B8%B2%E0%B8%A3%E0%B8%AD%E0%B8%B4%E0%B8%AA%E0%B8%A5%E0%B8%B2%E0%B8%A1%E0%B8%9E%E0%B8%B1%E0%B8%97%E0%B8%A2%E0%B8%B2-zh-gpi/, friendlyName=เปิดเว็บเพิ่ม 1</x:v>
      </x:c>
      <x:c r="M554" s="52" t="str">
        <x:v>HYPERLINK is not implemented. linkLocation=https://www.sasana.ac.th/2017/upfile/2564/Company/2563.pdf, friendlyName=เปิดเว็บเพิ่ม 2</x:v>
      </x:c>
      <x:c r="N554" s="8" t="str">
        <x:v>ยังไม่ยืนยัน</x:v>
      </x:c>
      <x:c r="O55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54" s="40" t="n">
        <x:v>46315</x:v>
      </x:c>
      <x:c r="Q554" s="59" t="str">
        <x:v>ยังไม่ตรวจ</x:v>
      </x:c>
      <x:c r="R554" s="59" t="str">
        <x:v>รอติดต่อ</x:v>
      </x:c>
    </x:row>
    <x:row r="555" ht="84" customHeight="1">
      <x:c r="A555" s="2" t="str">
        <x:v>TMF-547</x:v>
      </x:c>
      <x:c r="B555" s="8" t="str">
        <x:v>โอเอซิสสปา พัทยา จอมเทียน</x:v>
      </x:c>
      <x:c r="C555" s="8" t="str">
        <x:v>ชลบุรี</x:v>
      </x:c>
      <x:c r="D555" s="8" t="str">
        <x:v>สำรองหลังปรับตามเส้นทาง</x:v>
      </x:c>
      <x:c r="E555" s="8" t="str">
        <x:v>หลักฐานไม่พอ รอยืนยันการเปิด</x:v>
      </x:c>
      <x:c r="F555" s="8" t="str">
        <x:v>ยังไม่ยืนยันการเปิดให้บริการปัจจุบัน</x:v>
      </x:c>
      <x:c r="G555" s="58" t="n">
        <x:v>1</x:v>
      </x:c>
      <x:c r="H555" s="52"/>
      <x:c r="I555" s="52"/>
      <x:c r="J555" s="52"/>
      <x:c r="K555" s="52"/>
      <x:c r="L555" s="52"/>
      <x:c r="M555" s="52"/>
      <x:c r="N555" s="8" t="str">
        <x:v>ยังไม่ยืนยัน</x:v>
      </x:c>
      <x:c r="O55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5" s="40" t="n">
        <x:v>46315</x:v>
      </x:c>
      <x:c r="Q555" s="59" t="str">
        <x:v>ยังไม่ตรวจ</x:v>
      </x:c>
      <x:c r="R555" s="59" t="str">
        <x:v>รอติดต่อ</x:v>
      </x:c>
    </x:row>
    <x:row r="556" ht="84" customHeight="1">
      <x:c r="A556" s="2" t="str">
        <x:v>TMF-548</x:v>
      </x:c>
      <x:c r="B556" s="8" t="str">
        <x:v>ครัวฟาตีเมาะห์</x:v>
      </x:c>
      <x:c r="C556" s="8" t="str">
        <x:v>ชัยภูมิ</x:v>
      </x:c>
      <x:c r="D556" s="8" t="str">
        <x:v>สำรองหลังปรับตามเส้นทาง</x:v>
      </x:c>
      <x:c r="E556" s="8" t="str">
        <x:v>หลักฐานไม่พอ รอยืนยันการเปิด</x:v>
      </x:c>
      <x:c r="F556" s="8" t="str">
        <x:v>ยังไม่ยืนยันการเปิดให้บริการปัจจุบัน</x:v>
      </x:c>
      <x:c r="G556" s="58" t="n">
        <x:v>1</x:v>
      </x:c>
      <x:c r="H556" s="52"/>
      <x:c r="I556" s="52"/>
      <x:c r="J556" s="52"/>
      <x:c r="K556" s="52"/>
      <x:c r="L556" s="52"/>
      <x:c r="M556" s="52"/>
      <x:c r="N556" s="8" t="str">
        <x:v>ยังไม่ยืนยัน</x:v>
      </x:c>
      <x:c r="O55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6" s="40" t="n">
        <x:v>46315</x:v>
      </x:c>
      <x:c r="Q556" s="59" t="str">
        <x:v>ยังไม่ตรวจ</x:v>
      </x:c>
      <x:c r="R556" s="59" t="str">
        <x:v>รอติดต่อ</x:v>
      </x:c>
    </x:row>
    <x:row r="557" ht="84" customHeight="1">
      <x:c r="A557" s="2" t="str">
        <x:v>TMF-549</x:v>
      </x:c>
      <x:c r="B557" s="8" t="str">
        <x:v>อาหารมุสลิมนาป้อ ตรัง</x:v>
      </x:c>
      <x:c r="C557" s="8" t="str">
        <x:v>ตรัง</x:v>
      </x:c>
      <x:c r="D557" s="8" t="str">
        <x:v>สำรองหลังปรับตามเส้นทาง</x:v>
      </x:c>
      <x:c r="E557" s="8" t="str">
        <x:v>หลักฐานไม่พอ รอยืนยันการเปิด</x:v>
      </x:c>
      <x:c r="F557" s="8" t="str">
        <x:v>ยังไม่ยืนยันการเปิดให้บริการปัจจุบัน</x:v>
      </x:c>
      <x:c r="G557" s="58" t="n">
        <x:v>1</x:v>
      </x:c>
      <x:c r="H557" s="52"/>
      <x:c r="I557" s="52"/>
      <x:c r="J557" s="52"/>
      <x:c r="K557" s="52"/>
      <x:c r="L557" s="52"/>
      <x:c r="M557" s="52"/>
      <x:c r="N557" s="8" t="str">
        <x:v>ยังไม่ยืนยัน</x:v>
      </x:c>
      <x:c r="O55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7" s="40" t="n">
        <x:v>46315</x:v>
      </x:c>
      <x:c r="Q557" s="59" t="str">
        <x:v>ยังไม่ตรวจ</x:v>
      </x:c>
      <x:c r="R557" s="59" t="str">
        <x:v>รอติดต่อ</x:v>
      </x:c>
    </x:row>
    <x:row r="558" ht="84" customHeight="1">
      <x:c r="A558" s="2" t="str">
        <x:v>TMF-550</x:v>
      </x:c>
      <x:c r="B558" s="8" t="str">
        <x:v>โรตี ยีเลาะฮ์</x:v>
      </x:c>
      <x:c r="C558" s="8" t="str">
        <x:v>ตรัง</x:v>
      </x:c>
      <x:c r="D558" s="8" t="str">
        <x:v>สำรองหลังปรับตามเส้นทาง</x:v>
      </x:c>
      <x:c r="E558" s="8" t="str">
        <x:v>หลักฐานไม่พอ รอยืนยันการเปิด</x:v>
      </x:c>
      <x:c r="F558" s="8" t="str">
        <x:v>ยังไม่ยืนยันการเปิดให้บริการปัจจุบัน</x:v>
      </x:c>
      <x:c r="G558" s="58" t="n">
        <x:v>1</x:v>
      </x:c>
      <x:c r="H558" s="52"/>
      <x:c r="I558" s="52"/>
      <x:c r="J558" s="52"/>
      <x:c r="K558" s="52"/>
      <x:c r="L558" s="52"/>
      <x:c r="M558" s="52"/>
      <x:c r="N558" s="8" t="str">
        <x:v>ยังไม่ยืนยัน</x:v>
      </x:c>
      <x:c r="O55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8" s="40" t="n">
        <x:v>46315</x:v>
      </x:c>
      <x:c r="Q558" s="59" t="str">
        <x:v>ยังไม่ตรวจ</x:v>
      </x:c>
      <x:c r="R558" s="59" t="str">
        <x:v>รอติดต่อ</x:v>
      </x:c>
    </x:row>
    <x:row r="559" ht="84" customHeight="1">
      <x:c r="A559" s="2" t="str">
        <x:v>TMF-551</x:v>
      </x:c>
      <x:c r="B559" s="8" t="str">
        <x:v>ชุมชนบ้านธรรมชาติล่าง</x:v>
      </x:c>
      <x:c r="C559" s="8" t="str">
        <x:v>ตราด</x:v>
      </x:c>
      <x:c r="D559" s="8" t="str">
        <x:v>สำรองหลังปรับตามเส้นทาง</x:v>
      </x:c>
      <x:c r="E559" s="8" t="str">
        <x:v>พบหลายแหล่งสัมพันธ์กับชื่อ รอยืนยันการเปิด</x:v>
      </x:c>
      <x:c r="F559" s="8" t="str">
        <x:v>ยังไม่ยืนยันการเปิดให้บริการปัจจุบัน</x:v>
      </x:c>
      <x:c r="G559" s="58" t="n">
        <x:v>3</x:v>
      </x:c>
      <x:c r="H559" s="52"/>
      <x:c r="I559" s="52"/>
      <x:c r="J559" s="52"/>
      <x:c r="K559" s="52"/>
      <x:c r="L559" s="52" t="str">
        <x:v>HYPERLINK is not implemented. linkLocation=https://tatmediaassets.com/file/287016, friendlyName=เปิดเว็บเพิ่ม 1</x:v>
      </x:c>
      <x:c r="M559" s="52" t="str">
        <x:v>HYPERLINK is not implemented. linkLocation=https://www.cpgroupglobal.com/th/document/viewer/420, friendlyName=เปิดเว็บเพิ่ม 2</x:v>
      </x:c>
      <x:c r="N559" s="8" t="str">
        <x:v>ยังไม่ยืนยัน</x:v>
      </x:c>
      <x:c r="O559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59" s="40" t="n">
        <x:v>46315</x:v>
      </x:c>
      <x:c r="Q559" s="59" t="str">
        <x:v>ยังไม่ตรวจ</x:v>
      </x:c>
      <x:c r="R559" s="59" t="str">
        <x:v>รอติดต่อ</x:v>
      </x:c>
    </x:row>
    <x:row r="560" ht="84" customHeight="1">
      <x:c r="A560" s="2" t="str">
        <x:v>TMF-552</x:v>
      </x:c>
      <x:c r="B560" s="8" t="str">
        <x:v>ครัวมุสลิม ตลาดโต้รุ่ง</x:v>
      </x:c>
      <x:c r="C560" s="8" t="str">
        <x:v>ตราด</x:v>
      </x:c>
      <x:c r="D560" s="8" t="str">
        <x:v>สำรองหลังปรับตามเส้นทาง</x:v>
      </x:c>
      <x:c r="E560" s="8" t="str">
        <x:v>หลักฐานไม่พอ รอยืนยันการเปิด</x:v>
      </x:c>
      <x:c r="F560" s="8" t="str">
        <x:v>ยังไม่ยืนยันการเปิดให้บริการปัจจุบัน</x:v>
      </x:c>
      <x:c r="G560" s="58" t="n">
        <x:v>1</x:v>
      </x:c>
      <x:c r="H560" s="52"/>
      <x:c r="I560" s="52"/>
      <x:c r="J560" s="52"/>
      <x:c r="K560" s="52"/>
      <x:c r="L560" s="52"/>
      <x:c r="M560" s="52"/>
      <x:c r="N560" s="8" t="str">
        <x:v>ยังไม่ยืนยัน</x:v>
      </x:c>
      <x:c r="O56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0" s="40" t="n">
        <x:v>46315</x:v>
      </x:c>
      <x:c r="Q560" s="59" t="str">
        <x:v>ยังไม่ตรวจ</x:v>
      </x:c>
      <x:c r="R560" s="59" t="str">
        <x:v>รอติดต่อ</x:v>
      </x:c>
    </x:row>
    <x:row r="561" ht="84" customHeight="1">
      <x:c r="A561" s="2" t="str">
        <x:v>TMF-553</x:v>
      </x:c>
      <x:c r="B561" s="8" t="str">
        <x:v>MAZAH KITCH</x:v>
      </x:c>
      <x:c r="C561" s="8" t="str">
        <x:v>ตาก</x:v>
      </x:c>
      <x:c r="D561" s="8" t="str">
        <x:v>สำรองหลังปรับตามเส้นทาง</x:v>
      </x:c>
      <x:c r="E561" s="8" t="str">
        <x:v>หลักฐานไม่พอ รอยืนยันการเปิด</x:v>
      </x:c>
      <x:c r="F561" s="8" t="str">
        <x:v>ยังไม่ยืนยันการเปิดให้บริการปัจจุบัน</x:v>
      </x:c>
      <x:c r="G561" s="58" t="n">
        <x:v>1</x:v>
      </x:c>
      <x:c r="H561" s="52"/>
      <x:c r="I561" s="52"/>
      <x:c r="J561" s="52"/>
      <x:c r="K561" s="52"/>
      <x:c r="L561" s="52"/>
      <x:c r="M561" s="52"/>
      <x:c r="N561" s="8" t="str">
        <x:v>ยังไม่ยืนยัน</x:v>
      </x:c>
      <x:c r="O56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1" s="40" t="n">
        <x:v>46315</x:v>
      </x:c>
      <x:c r="Q561" s="59" t="str">
        <x:v>ยังไม่ตรวจ</x:v>
      </x:c>
      <x:c r="R561" s="59" t="str">
        <x:v>รอติดต่อ</x:v>
      </x:c>
    </x:row>
    <x:row r="562" ht="84" customHeight="1">
      <x:c r="A562" s="2" t="str">
        <x:v>TMF-554</x:v>
      </x:c>
      <x:c r="B562" s="8" t="str">
        <x:v>โรงชานครแม่สอด</x:v>
      </x:c>
      <x:c r="C562" s="8" t="str">
        <x:v>ตาก</x:v>
      </x:c>
      <x:c r="D562" s="8" t="str">
        <x:v>สำรองหลังปรับตามเส้นทาง</x:v>
      </x:c>
      <x:c r="E562" s="8" t="str">
        <x:v>พบหลายแหล่งสัมพันธ์กับชื่อ รอยืนยันการเปิด</x:v>
      </x:c>
      <x:c r="F562" s="8" t="str">
        <x:v>ยังไม่ยืนยันการเปิดให้บริการปัจจุบัน</x:v>
      </x:c>
      <x:c r="G562" s="58" t="n">
        <x:v>2</x:v>
      </x:c>
      <x:c r="H562" s="52"/>
      <x:c r="I562" s="52"/>
      <x:c r="J562" s="52" t="str">
        <x:v>HYPERLINK is not implemented. linkLocation=https://www.lemon8-app.com/poi/22535797325032350?region=th, friendlyName=เปิดหน้ารีวิว 1</x:v>
      </x:c>
      <x:c r="K562" s="52"/>
      <x:c r="L562" s="52"/>
      <x:c r="M562" s="52"/>
      <x:c r="N562" s="8" t="str">
        <x:v>ยังไม่ยืนยัน</x:v>
      </x:c>
      <x:c r="O562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62" s="40" t="n">
        <x:v>46315</x:v>
      </x:c>
      <x:c r="Q562" s="59" t="str">
        <x:v>ยังไม่ตรวจ</x:v>
      </x:c>
      <x:c r="R562" s="59" t="str">
        <x:v>รอติดต่อ</x:v>
      </x:c>
    </x:row>
    <x:row r="563" ht="84" customHeight="1">
      <x:c r="A563" s="2" t="str">
        <x:v>TMF-555</x:v>
      </x:c>
      <x:c r="B563" s="8" t="str">
        <x:v>ไก่ย่างอัสรี</x:v>
      </x:c>
      <x:c r="C563" s="8" t="str">
        <x:v>กรุงเทพมหานคร</x:v>
      </x:c>
      <x:c r="D563" s="8" t="str">
        <x:v>สำรองหลังปรับตามเส้นทาง</x:v>
      </x:c>
      <x:c r="E563" s="8" t="str">
        <x:v>หลักฐานไม่พอ รอยืนยันการเปิด</x:v>
      </x:c>
      <x:c r="F563" s="8" t="str">
        <x:v>ยังไม่ยืนยันการเปิดให้บริการปัจจุบัน</x:v>
      </x:c>
      <x:c r="G563" s="58" t="n">
        <x:v>1</x:v>
      </x:c>
      <x:c r="H563" s="52"/>
      <x:c r="I563" s="52"/>
      <x:c r="J563" s="52"/>
      <x:c r="K563" s="52"/>
      <x:c r="L563" s="52"/>
      <x:c r="M563" s="52"/>
      <x:c r="N563" s="8" t="str">
        <x:v>ยังไม่ยืนยัน</x:v>
      </x:c>
      <x:c r="O563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3" s="40" t="n">
        <x:v>46315</x:v>
      </x:c>
      <x:c r="Q563" s="59" t="str">
        <x:v>ยังไม่ตรวจ</x:v>
      </x:c>
      <x:c r="R563" s="59" t="str">
        <x:v>รอติดต่อ</x:v>
      </x:c>
    </x:row>
    <x:row r="564" ht="84" customHeight="1">
      <x:c r="A564" s="2" t="str">
        <x:v>TMF-556</x:v>
      </x:c>
      <x:c r="B564" s="8" t="str">
        <x:v>ร้านฮาลาลตลาดโรงสี หนองเบน</x:v>
      </x:c>
      <x:c r="C564" s="8" t="str">
        <x:v>นครสวรรค์</x:v>
      </x:c>
      <x:c r="D564" s="8" t="str">
        <x:v>สำรองหลังปรับตามเส้นทาง</x:v>
      </x:c>
      <x:c r="E564" s="8" t="str">
        <x:v>หลักฐานไม่พอ รอยืนยันการเปิด</x:v>
      </x:c>
      <x:c r="F564" s="8" t="str">
        <x:v>ยังไม่ยืนยันการเปิดให้บริการปัจจุบัน</x:v>
      </x:c>
      <x:c r="G564" s="58" t="n">
        <x:v>1</x:v>
      </x:c>
      <x:c r="H564" s="52"/>
      <x:c r="I564" s="52"/>
      <x:c r="J564" s="52"/>
      <x:c r="K564" s="52"/>
      <x:c r="L564" s="52"/>
      <x:c r="M564" s="52"/>
      <x:c r="N564" s="8" t="str">
        <x:v>ยังไม่ยืนยัน</x:v>
      </x:c>
      <x:c r="O564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4" s="40" t="n">
        <x:v>46315</x:v>
      </x:c>
      <x:c r="Q564" s="59" t="str">
        <x:v>ยังไม่ตรวจ</x:v>
      </x:c>
      <x:c r="R564" s="59" t="str">
        <x:v>รอติดต่อ</x:v>
      </x:c>
    </x:row>
    <x:row r="565" ht="84" customHeight="1">
      <x:c r="A565" s="2" t="str">
        <x:v>TMF-557</x:v>
      </x:c>
      <x:c r="B565" s="8" t="str">
        <x:v>อาหารมุสลิมนครสวรรค์</x:v>
      </x:c>
      <x:c r="C565" s="8" t="str">
        <x:v>นครสวรรค์</x:v>
      </x:c>
      <x:c r="D565" s="8" t="str">
        <x:v>สำรองหลังปรับตามเส้นทาง</x:v>
      </x:c>
      <x:c r="E565" s="8" t="str">
        <x:v>หลักฐานไม่พอ รอยืนยันการเปิด</x:v>
      </x:c>
      <x:c r="F565" s="8" t="str">
        <x:v>ยังไม่ยืนยันการเปิดให้บริการปัจจุบัน</x:v>
      </x:c>
      <x:c r="G565" s="58" t="n">
        <x:v>1</x:v>
      </x:c>
      <x:c r="H565" s="52"/>
      <x:c r="I565" s="52"/>
      <x:c r="J565" s="52"/>
      <x:c r="K565" s="52"/>
      <x:c r="L565" s="52"/>
      <x:c r="M565" s="52"/>
      <x:c r="N565" s="8" t="str">
        <x:v>ยังไม่ยืนยัน</x:v>
      </x:c>
      <x:c r="O565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5" s="40" t="n">
        <x:v>46315</x:v>
      </x:c>
      <x:c r="Q565" s="59" t="str">
        <x:v>ยังไม่ตรวจ</x:v>
      </x:c>
      <x:c r="R565" s="59" t="str">
        <x:v>รอติดต่อ</x:v>
      </x:c>
    </x:row>
    <x:row r="566" ht="84" customHeight="1">
      <x:c r="A566" s="2" t="str">
        <x:v>TMF-558</x:v>
      </x:c>
      <x:c r="B566" s="8" t="str">
        <x:v>ก๋วยเตี๋ยวเรืออิสลาม ครัวอารยา ตากใบ</x:v>
      </x:c>
      <x:c r="C566" s="8" t="str">
        <x:v>นราธิวาส</x:v>
      </x:c>
      <x:c r="D566" s="8" t="str">
        <x:v>สำรองหลังปรับตามเส้นทาง</x:v>
      </x:c>
      <x:c r="E566" s="8" t="str">
        <x:v>หลักฐานไม่พอ รอยืนยันการเปิด</x:v>
      </x:c>
      <x:c r="F566" s="8" t="str">
        <x:v>ยังไม่ยืนยันการเปิดให้บริการปัจจุบัน</x:v>
      </x:c>
      <x:c r="G566" s="58" t="n">
        <x:v>1</x:v>
      </x:c>
      <x:c r="H566" s="52"/>
      <x:c r="I566" s="52"/>
      <x:c r="J566" s="52"/>
      <x:c r="K566" s="52"/>
      <x:c r="L566" s="52"/>
      <x:c r="M566" s="52"/>
      <x:c r="N566" s="8" t="str">
        <x:v>ยังไม่ยืนยัน</x:v>
      </x:c>
      <x:c r="O56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6" s="40" t="n">
        <x:v>46315</x:v>
      </x:c>
      <x:c r="Q566" s="59" t="str">
        <x:v>ยังไม่ตรวจ</x:v>
      </x:c>
      <x:c r="R566" s="59" t="str">
        <x:v>รอติดต่อ</x:v>
      </x:c>
    </x:row>
    <x:row r="567" ht="84" customHeight="1">
      <x:c r="A567" s="2" t="str">
        <x:v>TMF-559</x:v>
      </x:c>
      <x:c r="B567" s="8" t="str">
        <x:v>ฟาร์ติมะห์คาเฟ่&amp;เนื้อ</x:v>
      </x:c>
      <x:c r="C567" s="8" t="str">
        <x:v>ประจวบคีรีขันธ์</x:v>
      </x:c>
      <x:c r="D567" s="8" t="str">
        <x:v>อยู่ในชุด 600 ตามเส้นทาง</x:v>
      </x:c>
      <x:c r="E567" s="8" t="str">
        <x:v>พบชื่อสัมพันธ์หลายเว็บไซต์ รอยืนยันสาขา</x:v>
      </x:c>
      <x:c r="F567" s="8" t="str">
        <x:v>ยังไม่ยืนยันการเปิดให้บริการปัจจุบัน</x:v>
      </x:c>
      <x:c r="G567" s="58" t="n">
        <x:v>3</x:v>
      </x:c>
      <x:c r="H567" s="52" t="str"/>
      <x:c r="I567" s="52" t="str"/>
      <x:c r="J567" s="52" t="str">
        <x:v>https://www.wongnai.com/reviews/1be4dd1d145747958b42f928b2f1b675</x:v>
      </x:c>
      <x:c r="K567" s="52" t="str">
        <x:v>https://www.lemon8-app.com/%40saowaneepleebee2/7507563740402418184?region=th</x:v>
      </x:c>
      <x:c r="L567" s="52" t="str">
        <x:v>https://makanhalalguide.com/shop/detail/5778</x:v>
      </x:c>
      <x:c r="M567" s="52" t="str">
        <x:v>https://www.wongnai.com/reviews/1be4dd1d145747958b42f928b2f1b675</x:v>
      </x:c>
      <x:c r="N567" s="8" t="str">
        <x:v>ยังไม่ยืนยัน</x:v>
      </x:c>
      <x:c r="O567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67" s="40" t="n">
        <x:v>46315</x:v>
      </x:c>
      <x:c r="Q567" s="59" t="str">
        <x:v>ยังไม่ตรวจ</x:v>
      </x:c>
      <x:c r="R567" s="59" t="str">
        <x:v>รอติดต่อ</x:v>
      </x:c>
    </x:row>
    <x:row r="568" ht="84" customHeight="1">
      <x:c r="A568" s="2" t="str">
        <x:v>TMF-560</x:v>
      </x:c>
      <x:c r="B568" s="8" t="str">
        <x:v>พระนครศรีอยุธยาฮาลาล ปราจีนบุรี</x:v>
      </x:c>
      <x:c r="C568" s="8" t="str">
        <x:v>ปราจีนบุรี</x:v>
      </x:c>
      <x:c r="D568" s="8" t="str">
        <x:v>สำรองหลังปรับตามเส้นทาง</x:v>
      </x:c>
      <x:c r="E568" s="8" t="str">
        <x:v>พบหลายแหล่งสัมพันธ์กับชื่อ รอยืนยันการเปิด</x:v>
      </x:c>
      <x:c r="F568" s="8" t="str">
        <x:v>ยังไม่ยืนยันการเปิดให้บริการปัจจุบัน</x:v>
      </x:c>
      <x:c r="G568" s="58" t="n">
        <x:v>2</x:v>
      </x:c>
      <x:c r="H568" s="52"/>
      <x:c r="I568" s="52"/>
      <x:c r="J568" s="52"/>
      <x:c r="K568" s="52"/>
      <x:c r="L568" s="52" t="str">
        <x:v>HYPERLINK is not implemented. linkLocation=https://www.thaithurkic.com/halal-food-meat-noodle-and-made-to-086-994-6247, friendlyName=เปิดเว็บเพิ่ม 1</x:v>
      </x:c>
      <x:c r="M568" s="52"/>
      <x:c r="N568" s="8" t="str">
        <x:v>ยังไม่ยืนยัน</x:v>
      </x:c>
      <x:c r="O568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68" s="40" t="n">
        <x:v>46315</x:v>
      </x:c>
      <x:c r="Q568" s="59" t="str">
        <x:v>ยังไม่ตรวจ</x:v>
      </x:c>
      <x:c r="R568" s="59" t="str">
        <x:v>รอติดต่อ</x:v>
      </x:c>
    </x:row>
    <x:row r="569" ht="84" customHeight="1">
      <x:c r="A569" s="2" t="str">
        <x:v>TMF-561</x:v>
      </x:c>
      <x:c r="B569" s="8" t="str">
        <x:v>Bagus Hot Chicken</x:v>
      </x:c>
      <x:c r="C569" s="8" t="str">
        <x:v>ปัตตานี</x:v>
      </x:c>
      <x:c r="D569" s="8" t="str">
        <x:v>อยู่ในชุด 600 ตามเส้นทาง</x:v>
      </x:c>
      <x:c r="E569" s="8" t="str">
        <x:v>พบชื่อสัมพันธ์หลายเว็บไซต์ รอยืนยันสาขา</x:v>
      </x:c>
      <x:c r="F569" s="8" t="str">
        <x:v>ยังไม่ยืนยันการเปิดให้บริการปัจจุบัน</x:v>
      </x:c>
      <x:c r="G569" s="58" t="n">
        <x:v>3</x:v>
      </x:c>
      <x:c r="H569" s="52" t="str"/>
      <x:c r="I569" s="52" t="str"/>
      <x:c r="J569" s="52" t="str">
        <x:v>https://www.wongnai.com/restaurants/759101oO-bagus-hot-chicken-ptn-14-bagus-pattani</x:v>
      </x:c>
      <x:c r="K569" s="52" t="str"/>
      <x:c r="L569" s="52" t="str">
        <x:v>https://makanhalalguide.com/shop/detail/6358</x:v>
      </x:c>
      <x:c r="M569" s="52" t="str">
        <x:v>https://www.wongnai.com/restaurants/759101oO-bagus-hot-chicken-ptn-14-bagus-pattani</x:v>
      </x:c>
      <x:c r="N569" s="8" t="str">
        <x:v>ยังไม่ยืนยัน</x:v>
      </x:c>
      <x:c r="O569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69" s="40" t="n">
        <x:v>46315</x:v>
      </x:c>
      <x:c r="Q569" s="59" t="str">
        <x:v>ยังไม่ตรวจ</x:v>
      </x:c>
      <x:c r="R569" s="59" t="str">
        <x:v>รอติดต่อ</x:v>
      </x:c>
    </x:row>
    <x:row r="570" ht="84" customHeight="1">
      <x:c r="A570" s="2" t="str">
        <x:v>TMF-562</x:v>
      </x:c>
      <x:c r="B570" s="8" t="str">
        <x:v>KITA BUAT DIA</x:v>
      </x:c>
      <x:c r="C570" s="8" t="str">
        <x:v>ปัตตานี</x:v>
      </x:c>
      <x:c r="D570" s="8" t="str">
        <x:v>สำรองหลังปรับตามเส้นทาง</x:v>
      </x:c>
      <x:c r="E570" s="8" t="str">
        <x:v>หลักฐานไม่พอ รอยืนยันการเปิด</x:v>
      </x:c>
      <x:c r="F570" s="8" t="str">
        <x:v>ยังไม่ยืนยันการเปิดให้บริการปัจจุบัน</x:v>
      </x:c>
      <x:c r="G570" s="58" t="n">
        <x:v>1</x:v>
      </x:c>
      <x:c r="H570" s="52"/>
      <x:c r="I570" s="52"/>
      <x:c r="J570" s="52"/>
      <x:c r="K570" s="52"/>
      <x:c r="L570" s="52"/>
      <x:c r="M570" s="52"/>
      <x:c r="N570" s="8" t="str">
        <x:v>ยังไม่ยืนยัน</x:v>
      </x:c>
      <x:c r="O57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70" s="40" t="n">
        <x:v>46315</x:v>
      </x:c>
      <x:c r="Q570" s="59" t="str">
        <x:v>ยังไม่ตรวจ</x:v>
      </x:c>
      <x:c r="R570" s="59" t="str">
        <x:v>รอติดต่อ</x:v>
      </x:c>
    </x:row>
    <x:row r="571" ht="84" customHeight="1">
      <x:c r="A571" s="2" t="str">
        <x:v>TMF-563</x:v>
      </x:c>
      <x:c r="B571" s="8" t="str">
        <x:v>M.Chakir Coffee</x:v>
      </x:c>
      <x:c r="C571" s="8" t="str">
        <x:v>ปัตตานี</x:v>
      </x:c>
      <x:c r="D571" s="8" t="str">
        <x:v>อยู่ในชุด 600 ตามเส้นทาง</x:v>
      </x:c>
      <x:c r="E571" s="8" t="str">
        <x:v>พบชื่อสัมพันธ์หลายเว็บไซต์ รอยืนยันสาขา</x:v>
      </x:c>
      <x:c r="F571" s="8" t="str">
        <x:v>ยังไม่ยืนยันการเปิดให้บริการปัจจุบัน</x:v>
      </x:c>
      <x:c r="G571" s="58" t="n">
        <x:v>2</x:v>
      </x:c>
      <x:c r="H571" s="52" t="str"/>
      <x:c r="I571" s="52" t="str"/>
      <x:c r="J571" s="52" t="str">
        <x:v>https://www.wongnai.com/restaurants/495981Kz-m-chakir-coffee-di-taning-%E0%B8%A5%E0%B8%B2%E0%B8%99%E0%B8%88%E0%B8%AD%E0%B8%94%E0%B8%A3%E0%B8%96%E0%B8%A1%E0%B8%B1%E0%B8%AA%E0%B8%A2%E0%B8%B4%E0%B8%94%E0%B8%81%E0%B8%A5%E0%B8%B2%E0%B8%87-%E0%B8%9B%E0%B8%B1%E0%B8%95%E0%B8%95%E0%B8%B2%E0%B8%99%E0%B8%B5</x:v>
      </x:c>
      <x:c r="K571" s="52" t="str">
        <x:v>https://www.wongnai.com/restaurants/495981Kz-m-chakir-coffee-di-taning-%E0%B8%A5%E0%B8%B2%E0%B8%99%E0%B8%88%E0%B8%AD%E0%B8%94%E0%B8%A3%E0%B8%96%E0%B8%A1%E0%B8%B1%E0%B8%AA%E0%B8%A2%E0%B8%B4%E0%B8%94%E0%B8%81%E0%B8%A5%E0%B8%B2%E0%B8%87-%E0%B8%9B%E0%B8%B1%E0%B8%95%E0%B8%95%E0%B8%B2%E0%B8%99%E0%B8%B5/reviews</x:v>
      </x:c>
      <x:c r="L571" s="52" t="str">
        <x:v>https://makanhalalguide.com/shop/detail/6367</x:v>
      </x:c>
      <x:c r="M571" s="52" t="str">
        <x:v>https://www.wongnai.com/restaurants/495981Kz-m-chakir-coffee-di-taning-%E0%B8%A5%E0%B8%B2%E0%B8%99%E0%B8%88%E0%B8%AD%E0%B8%94%E0%B8%A3%E0%B8%96%E0%B8%A1%E0%B8%B1%E0%B8%AA%E0%B8%A2%E0%B8%B4%E0%B8%94%E0%B8%81%E0%B8%A5%E0%B8%B2%E0%B8%87-%E0%B8%9B%E0%B8%B1%E0%B8%95%E0%B8%95%E0%B8%B2%E0%B8%99%E0%B8%B5</x:v>
      </x:c>
      <x:c r="N571" s="8" t="str">
        <x:v>ยังไม่ยืนยัน</x:v>
      </x:c>
      <x:c r="O571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71" s="40" t="n">
        <x:v>46315</x:v>
      </x:c>
      <x:c r="Q571" s="59" t="str">
        <x:v>ยังไม่ตรวจ</x:v>
      </x:c>
      <x:c r="R571" s="59" t="str">
        <x:v>รอติดต่อ</x:v>
      </x:c>
    </x:row>
    <x:row r="572" ht="84" customHeight="1">
      <x:c r="A572" s="2" t="str">
        <x:v>TMF-564</x:v>
      </x:c>
      <x:c r="B572" s="8" t="str">
        <x:v>Mama’s corner</x:v>
      </x:c>
      <x:c r="C572" s="8" t="str">
        <x:v>ปัตตานี</x:v>
      </x:c>
      <x:c r="D572" s="8" t="str">
        <x:v>อยู่ในชุด 600 ตามเส้นทาง</x:v>
      </x:c>
      <x:c r="E572" s="8" t="str">
        <x:v>พบชื่อสัมพันธ์หลายเว็บไซต์ รอยืนยันสาขา</x:v>
      </x:c>
      <x:c r="F572" s="8" t="str">
        <x:v>ยังไม่ยืนยันการเปิดให้บริการปัจจุบัน</x:v>
      </x:c>
      <x:c r="G572" s="58" t="n">
        <x:v>2</x:v>
      </x:c>
      <x:c r="H572" s="52" t="str"/>
      <x:c r="I572" s="52" t="str"/>
      <x:c r="J572" s="52" t="str">
        <x:v>https://www.wongnai.com/restaurants/2414121od-mama-s-corner-%E0%B8%9B%E0%B8%B1%E0%B8%95%E0%B8%95%E0%B8%B2%E0%B8%99%E0%B8%B5</x:v>
      </x:c>
      <x:c r="K572" s="52" t="str"/>
      <x:c r="L572" s="52" t="str">
        <x:v>https://makanhalalguide.com/shop/detail/6366</x:v>
      </x:c>
      <x:c r="M572" s="52" t="str">
        <x:v>https://www.wongnai.com/restaurants/2414121od-mama-s-corner-%E0%B8%9B%E0%B8%B1%E0%B8%95%E0%B8%95%E0%B8%B2%E0%B8%99%E0%B8%B5</x:v>
      </x:c>
      <x:c r="N572" s="8" t="str">
        <x:v>ยังไม่ยืนยัน</x:v>
      </x:c>
      <x:c r="O572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72" s="40" t="n">
        <x:v>46315</x:v>
      </x:c>
      <x:c r="Q572" s="59" t="str">
        <x:v>ยังไม่ตรวจ</x:v>
      </x:c>
      <x:c r="R572" s="59" t="str">
        <x:v>รอติดต่อ</x:v>
      </x:c>
    </x:row>
    <x:row r="573" ht="84" customHeight="1">
      <x:c r="A573" s="2" t="str">
        <x:v>TMF-565</x:v>
      </x:c>
      <x:c r="B573" s="8" t="str">
        <x:v>ครัวฮาลาลไทย-มาเลย์ ม่อนเงาะ 2</x:v>
      </x:c>
      <x:c r="C573" s="8" t="str">
        <x:v>พะเยา</x:v>
      </x:c>
      <x:c r="D573" s="8" t="str">
        <x:v>สำรองหลังปรับตามเส้นทาง</x:v>
      </x:c>
      <x:c r="E573" s="8" t="str">
        <x:v>พบหลายแหล่งสัมพันธ์กับชื่อ รอยืนยันการเปิด</x:v>
      </x:c>
      <x:c r="F573" s="8" t="str">
        <x:v>ยังไม่ยืนยันการเปิดให้บริการปัจจุบัน</x:v>
      </x:c>
      <x:c r="G573" s="58" t="n">
        <x:v>2</x:v>
      </x:c>
      <x:c r="H573" s="52"/>
      <x:c r="I573" s="52"/>
      <x:c r="J573" s="52"/>
      <x:c r="K573" s="52"/>
      <x:c r="L573" s="52" t="str">
        <x:v>HYPERLINK is not implemented. linkLocation=https://www.thaithurkic.com/%E0%B8%84%E0%B8%A3%E0%B8%B1%E0%B8%A7%E0%B8%A1%E0%B8%B8%E0%B8%AA%E0%B8%A5%E0%B8%B4%E0%B8%A1-%E0%B9%84%E0%B8%97%E0%B8%A2-%E0%B8%A1%E0%B8%B2%E0%B9%80%E0%B8%A5%E0%B8%A2%E0%B9%8C, friendlyName=เปิดเว็บเพิ่ม 1</x:v>
      </x:c>
      <x:c r="M573" s="52"/>
      <x:c r="N573" s="8" t="str">
        <x:v>ยังไม่ยืนยัน</x:v>
      </x:c>
      <x:c r="O573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73" s="40" t="n">
        <x:v>46315</x:v>
      </x:c>
      <x:c r="Q573" s="59" t="str">
        <x:v>ยังไม่ตรวจ</x:v>
      </x:c>
      <x:c r="R573" s="59" t="str">
        <x:v>รอติดต่อ</x:v>
      </x:c>
    </x:row>
    <x:row r="574" ht="84" customHeight="1">
      <x:c r="A574" s="2" t="str">
        <x:v>TMF-566</x:v>
      </x:c>
      <x:c r="B574" s="8" t="str">
        <x:v>สากีน๊ะ อาหารใต้</x:v>
      </x:c>
      <x:c r="C574" s="8" t="str">
        <x:v>พะเยา</x:v>
      </x:c>
      <x:c r="D574" s="8" t="str">
        <x:v>สำรองหลังปรับตามเส้นทาง</x:v>
      </x:c>
      <x:c r="E574" s="8" t="str">
        <x:v>พบหลายแหล่งสัมพันธ์กับชื่อ รอยืนยันการเปิด</x:v>
      </x:c>
      <x:c r="F574" s="8" t="str">
        <x:v>ยังไม่ยืนยันการเปิดให้บริการปัจจุบัน</x:v>
      </x:c>
      <x:c r="G574" s="58" t="n">
        <x:v>2</x:v>
      </x:c>
      <x:c r="H574" s="52"/>
      <x:c r="I574" s="52"/>
      <x:c r="J574" s="52" t="str">
        <x:v>HYPERLINK is not implemented. linkLocation=https://www.wongnai.com/restaurants/1194419ma-%E0%B8%8B%E0%B8%B2%E0%B8%81%E0%B8%B5%E0%B8%99%E0%B9%8A%E0%B8%B0, friendlyName=เปิดหน้ารีวิว 1</x:v>
      </x:c>
      <x:c r="K574" s="52"/>
      <x:c r="L574" s="52"/>
      <x:c r="M574" s="52"/>
      <x:c r="N574" s="8" t="str">
        <x:v>ยังไม่ยืนยัน</x:v>
      </x:c>
      <x:c r="O574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74" s="40" t="n">
        <x:v>46315</x:v>
      </x:c>
      <x:c r="Q574" s="59" t="str">
        <x:v>ยังไม่ตรวจ</x:v>
      </x:c>
      <x:c r="R574" s="59" t="str">
        <x:v>รอติดต่อ</x:v>
      </x:c>
    </x:row>
    <x:row r="575" ht="84" customHeight="1">
      <x:c r="A575" s="2" t="str">
        <x:v>TMF-567</x:v>
      </x:c>
      <x:c r="B575" s="8" t="str">
        <x:v>เกาะปันหยี</x:v>
      </x:c>
      <x:c r="C575" s="8" t="str">
        <x:v>พังงา</x:v>
      </x:c>
      <x:c r="D575" s="8" t="str">
        <x:v>อยู่ในชุด 600 ตามเส้นทาง</x:v>
      </x:c>
      <x:c r="E575" s="8" t="str">
        <x:v>พบชื่อสัมพันธ์หลายเว็บไซต์ รอยืนยันสาขา</x:v>
      </x:c>
      <x:c r="F575" s="8" t="str">
        <x:v>ยังไม่ยืนยันการเปิดให้บริการปัจจุบัน</x:v>
      </x:c>
      <x:c r="G575" s="58" t="n">
        <x:v>9</x:v>
      </x:c>
      <x:c r="H575" s="52" t="str"/>
      <x:c r="I575" s="52" t="str"/>
      <x:c r="J575" s="52" t="str">
        <x:v>https://th.tripadvisor.com/Attraction_Review-g303917-d553529-Reviews-Koh_Panyi-Phang_Nga_Phang_Nga_Province.html</x:v>
      </x:c>
      <x:c r="K575" s="52" t="str">
        <x:v>https://th.tripadvisor.com/Attraction_Review-g1152716-d7614197-Reviews-Ko_Panyi-Ao_Phang_Nga_National_Park_Phang_Nga_Province.html</x:v>
      </x:c>
      <x:c r="L575" s="52" t="str">
        <x:v>https://www.thic.or.th/th/tourist/detail/tourist/14</x:v>
      </x:c>
      <x:c r="M575" s="52" t="str">
        <x:v>https://th.tripadvisor.com/Attraction_Review-g303917-d553529-Reviews-Koh_Panyi-Phang_Nga_Phang_Nga_Province.html</x:v>
      </x:c>
      <x:c r="N575" s="8" t="str">
        <x:v>ยังไม่ยืนยัน</x:v>
      </x:c>
      <x:c r="O575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575" s="40" t="n">
        <x:v>46315</x:v>
      </x:c>
      <x:c r="Q575" s="59" t="str">
        <x:v>ยังไม่ตรวจ</x:v>
      </x:c>
      <x:c r="R575" s="59" t="str">
        <x:v>รอติดต่อ</x:v>
      </x:c>
    </x:row>
    <x:row r="576" ht="84" customHeight="1">
      <x:c r="A576" s="2" t="str">
        <x:v>TMF-568</x:v>
      </x:c>
      <x:c r="B576" s="8" t="str">
        <x:v>อุทยานแห่งชาติอ่าวพังงา</x:v>
      </x:c>
      <x:c r="C576" s="8" t="str">
        <x:v>พังงา</x:v>
      </x:c>
      <x:c r="D576" s="8" t="str">
        <x:v>อยู่ในชุด 600 ตามเส้นทาง</x:v>
      </x:c>
      <x:c r="E576" s="8" t="str">
        <x:v>พบชื่อสัมพันธ์หลายเว็บไซต์ รอยืนยันสาขา</x:v>
      </x:c>
      <x:c r="F576" s="8" t="str">
        <x:v>ยังไม่ยืนยันการเปิดให้บริการปัจจุบัน</x:v>
      </x:c>
      <x:c r="G576" s="58" t="n">
        <x:v>7</x:v>
      </x:c>
      <x:c r="H576" s="52" t="str"/>
      <x:c r="I576" s="52" t="str"/>
      <x:c r="J576" s="52" t="str">
        <x:v>https://wanderlog.com/th/place/details/473068/%E0%B8%AD%E0%B8%97%E0%B8%A2%E0%B8%B2%E0%B8%99%E0%B9%81%E0%B8%AB%E0%B8%87%E0%B8%8A%E0%B8%B2%E0%B8%95%E0%B8%AD%E0%B8%B2%E0%B8%A7%E0%B8%9E%E0%B8%87%E0%B8%87%E0%B8%B2</x:v>
      </x:c>
      <x:c r="K576" s="52" t="str">
        <x:v>https://th.tripadvisor.com/Attraction_Review-g1152716-d317707-Reviews-Phang_Nga_Bay-Ao_Phang_Nga_National_Park_Phang_Nga_Province.html</x:v>
      </x:c>
      <x:c r="L576" s="52" t="str">
        <x:v>https://www.thic.or.th/th/tourist/detail/tourist/49</x:v>
      </x:c>
      <x:c r="M576" s="52" t="str">
        <x:v>https://wanderlog.com/th/place/details/473068/%E0%B8%AD%E0%B8%97%E0%B8%A2%E0%B8%B2%E0%B8%99%E0%B9%81%E0%B8%AB%E0%B8%87%E0%B8%8A%E0%B8%B2%E0%B8%95%E0%B8%AD%E0%B8%B2%E0%B8%A7%E0%B8%9E%E0%B8%87%E0%B8%87%E0%B8%B2</x:v>
      </x:c>
      <x:c r="N576" s="8" t="str">
        <x:v>ยังไม่ยืนยัน</x:v>
      </x:c>
      <x:c r="O576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576" s="40" t="n">
        <x:v>46315</x:v>
      </x:c>
      <x:c r="Q576" s="59" t="str">
        <x:v>ยังไม่ตรวจ</x:v>
      </x:c>
      <x:c r="R576" s="59" t="str">
        <x:v>รอติดต่อ</x:v>
      </x:c>
    </x:row>
    <x:row r="577" ht="84" customHeight="1">
      <x:c r="A577" s="2" t="str">
        <x:v>TMF-569</x:v>
      </x:c>
      <x:c r="B577" s="8" t="str">
        <x:v>บ้านบางโรง</x:v>
      </x:c>
      <x:c r="C577" s="8" t="str">
        <x:v>ภูเก็ต</x:v>
      </x:c>
      <x:c r="D577" s="8" t="str">
        <x:v>อยู่ในชุด 600 ตามเส้นทาง</x:v>
      </x:c>
      <x:c r="E577" s="8" t="str">
        <x:v>พบชื่อสัมพันธ์หลายเว็บไซต์ รอยืนยันสาขา</x:v>
      </x:c>
      <x:c r="F577" s="8" t="str">
        <x:v>ยังไม่ยืนยันการเปิดให้บริการปัจจุบัน</x:v>
      </x:c>
      <x:c r="G577" s="58" t="n">
        <x:v>14</x:v>
      </x:c>
      <x:c r="H577" s="52" t="str">
        <x:v>https://www.youtube.com/watch?v=oli7SsjD4MI</x:v>
      </x:c>
      <x:c r="I577" s="52" t="str"/>
      <x:c r="J577" s="52" t="str"/>
      <x:c r="K577" s="52" t="str"/>
      <x:c r="L577" s="52" t="str">
        <x:v>https://www.paklok.go.th/travel/detail/356</x:v>
      </x:c>
      <x:c r="M577" s="52" t="str">
        <x:v>https://wikicommunity.sac.or.th/community/1104</x:v>
      </x:c>
      <x:c r="N577" s="8" t="str">
        <x:v>ยังไม่ยืนยัน</x:v>
      </x:c>
      <x:c r="O577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577" s="40" t="n">
        <x:v>46316</x:v>
      </x:c>
      <x:c r="Q577" s="59" t="str">
        <x:v>ยังไม่ตรวจ</x:v>
      </x:c>
      <x:c r="R577" s="59" t="str">
        <x:v>รอติดต่อ</x:v>
      </x:c>
    </x:row>
    <x:row r="578" ht="84" customHeight="1">
      <x:c r="A578" s="2" t="str">
        <x:v>TMF-570</x:v>
      </x:c>
      <x:c r="B578" s="8" t="str">
        <x:v>Billion food Thai-Indian Restaurant  2</x:v>
      </x:c>
      <x:c r="C578" s="8" t="str">
        <x:v>ภูเก็ต</x:v>
      </x:c>
      <x:c r="D578" s="8" t="str">
        <x:v>สำรองหลังปรับตามเส้นทาง</x:v>
      </x:c>
      <x:c r="E578" s="8" t="str">
        <x:v>หลักฐานไม่พอ รอยืนยันการเปิด</x:v>
      </x:c>
      <x:c r="F578" s="8" t="str">
        <x:v>ยังไม่ยืนยันการเปิดให้บริการปัจจุบัน</x:v>
      </x:c>
      <x:c r="G578" s="58" t="n">
        <x:v>1</x:v>
      </x:c>
      <x:c r="H578" s="52"/>
      <x:c r="I578" s="52"/>
      <x:c r="J578" s="52"/>
      <x:c r="K578" s="52"/>
      <x:c r="L578" s="52"/>
      <x:c r="M578" s="52"/>
      <x:c r="N578" s="8" t="str">
        <x:v>ยังไม่ยืนยัน</x:v>
      </x:c>
      <x:c r="O57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78" s="40" t="n">
        <x:v>46315</x:v>
      </x:c>
      <x:c r="Q578" s="59" t="str">
        <x:v>ยังไม่ตรวจ</x:v>
      </x:c>
      <x:c r="R578" s="59" t="str">
        <x:v>รอติดต่อ</x:v>
      </x:c>
    </x:row>
    <x:row r="579" ht="84" customHeight="1">
      <x:c r="A579" s="2" t="str">
        <x:v>TMF-571</x:v>
      </x:c>
      <x:c r="B579" s="8" t="str">
        <x:v>SairaBakery ไซร่าเบเกอรี่ฮาลาล เค้กภูเก็ต</x:v>
      </x:c>
      <x:c r="C579" s="8" t="str">
        <x:v>ภูเก็ต</x:v>
      </x:c>
      <x:c r="D579" s="8" t="str">
        <x:v>อยู่ในชุด 600 ตามเส้นทาง</x:v>
      </x:c>
      <x:c r="E579" s="8" t="str">
        <x:v>พบชื่อสัมพันธ์หลายเว็บไซต์ รอยืนยันสาขา</x:v>
      </x:c>
      <x:c r="F579" s="8" t="str">
        <x:v>ยังไม่ยืนยันการเปิดให้บริการปัจจุบัน</x:v>
      </x:c>
      <x:c r="G579" s="58" t="n">
        <x:v>2</x:v>
      </x:c>
      <x:c r="H579" s="52" t="str"/>
      <x:c r="I579" s="52" t="str"/>
      <x:c r="J579" s="52" t="str"/>
      <x:c r="K579" s="52" t="str"/>
      <x:c r="L579" s="52" t="str">
        <x:v>https://makanhalalguide.com/shop/detail/5761</x:v>
      </x:c>
      <x:c r="M579" s="52" t="str">
        <x:v>https://www.thaithurkic.com/saira-bakery-%E0%B9%84%E0%B8%8B%E0%B8%A3%E0%B9%88%E0%B8%B2%E0%B9%80%E0%B8%9A%E0%B9%80%E0%B8%81%E0%B8%AD%E0%B8%A3%E0%B8%B5%E0%B9%88-%E0%B8%AE%E0%B8%B2%E0%B8%A5%E0%B8%B2%E0%B8%A5-%E0%B8%A0%E0%B8%B9%E0%B9%80%E0%B8%81%E0%B9%87%E0%B8%95-095-426-4956</x:v>
      </x:c>
      <x:c r="N579" s="8" t="str">
        <x:v>ยังไม่ยืนยัน</x:v>
      </x:c>
      <x:c r="O579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79" s="40" t="n">
        <x:v>46315</x:v>
      </x:c>
      <x:c r="Q579" s="59" t="str">
        <x:v>ยังไม่ตรวจ</x:v>
      </x:c>
      <x:c r="R579" s="59" t="str">
        <x:v>รอติดต่อ</x:v>
      </x:c>
    </x:row>
    <x:row r="580" ht="84" customHeight="1">
      <x:c r="A580" s="2" t="str">
        <x:v>TMF-572</x:v>
      </x:c>
      <x:c r="B580" s="8" t="str">
        <x:v>ระฟ้าภูเก็ต ติ่มซำฮาลาล สาขา 2</x:v>
      </x:c>
      <x:c r="C580" s="8" t="str">
        <x:v>ภูเก็ต</x:v>
      </x:c>
      <x:c r="D580" s="8" t="str">
        <x:v>อยู่ในชุด 600 ตามเส้นทาง</x:v>
      </x:c>
      <x:c r="E580" s="8" t="str">
        <x:v>พบชื่อสัมพันธ์หลายเว็บไซต์ รอยืนยันสาขา</x:v>
      </x:c>
      <x:c r="F580" s="8" t="str">
        <x:v>ยังไม่ยืนยันการเปิดให้บริการปัจจุบัน</x:v>
      </x:c>
      <x:c r="G580" s="58" t="n">
        <x:v>2</x:v>
      </x:c>
      <x:c r="H580" s="52" t="str"/>
      <x:c r="I580" s="52" t="str"/>
      <x:c r="J580" s="52" t="str">
        <x:v>https://www.wongnai.com/restaurants/447277fd-%E0%B8%A3%E0%B8%B0%E0%B8%9F%E0%B9%89%E0%B8%B2%E0%B8%A0%E0%B8%B9%E0%B9%80%E0%B8%81%E0%B9%87%E0%B8%95-%E0%B8%A3%E0%B8%B0%E0%B8%9F%E0%B9%89%E0%B8%B2%E0%B8%A0%E0%B8%B9%E0%B9%80%E0%B8%81%E0%B9%87%E0%B8%95-%E0%B8%AA%E0%B8%B2%E0%B8%82%E0%B8%B22</x:v>
      </x:c>
      <x:c r="K580" s="52" t="str">
        <x:v>https://www.wongnai.com/restaurants/219271an-%E0%B8%A3%E0%B8%B0%E0%B8%9F%E0%B9%89%E0%B8%B2%E0%B8%A0%E0%B8%B9%E0%B9%80%E0%B8%81%E0%B9%87%E0%B8%95-%E0%B8%95%E0%B8%B4%E0%B9%88%E0%B8%A1%E0%B8%8B%E0%B8%B3%E0%B8%AE%E0%B8%B2%E0%B8%A5%E0%B8%B2%E0%B8%A5-%E0%B8%A0%E0%B8%B9%E0%B9%80%E0%B8%81%E0%B9%87%E0%B8%95-%E0%B8%81%E0%B8%B9%E0%B9%89%E0%B8%81%E0%B8%B9</x:v>
      </x:c>
      <x:c r="L580" s="52" t="str">
        <x:v>https://makanhalalguide.com/shop/detail/5141</x:v>
      </x:c>
      <x:c r="M580" s="52" t="str">
        <x:v>https://www.wongnai.com/restaurants/447277fd-%E0%B8%A3%E0%B8%B0%E0%B8%9F%E0%B9%89%E0%B8%B2%E0%B8%A0%E0%B8%B9%E0%B9%80%E0%B8%81%E0%B9%87%E0%B8%95-%E0%B8%A3%E0%B8%B0%E0%B8%9F%E0%B9%89%E0%B8%B2%E0%B8%A0%E0%B8%B9%E0%B9%80%E0%B8%81%E0%B9%87%E0%B8%95-%E0%B8%AA%E0%B8%B2%E0%B8%82%E0%B8%B22</x:v>
      </x:c>
      <x:c r="N580" s="8" t="str">
        <x:v>ยังไม่ยืนยัน</x:v>
      </x:c>
      <x:c r="O580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80" s="40" t="n">
        <x:v>46315</x:v>
      </x:c>
      <x:c r="Q580" s="59" t="str">
        <x:v>ยังไม่ตรวจ</x:v>
      </x:c>
      <x:c r="R580" s="59" t="str">
        <x:v>รอติดต่อ</x:v>
      </x:c>
    </x:row>
    <x:row r="581" ht="84" customHeight="1">
      <x:c r="A581" s="2" t="str">
        <x:v>TMF-573</x:v>
      </x:c>
      <x:c r="B581" s="8" t="str">
        <x:v>ร้านข้าวแกงฮาริษา Harisa's Curries Rice Factory</x:v>
      </x:c>
      <x:c r="C581" s="8" t="str">
        <x:v>ภูเก็ต</x:v>
      </x:c>
      <x:c r="D581" s="8" t="str">
        <x:v>สำรองหลังปรับตามเส้นทาง</x:v>
      </x:c>
      <x:c r="E581" s="8" t="str">
        <x:v>หลักฐานไม่พอ รอยืนยันการเปิด</x:v>
      </x:c>
      <x:c r="F581" s="8" t="str">
        <x:v>ยังไม่ยืนยันการเปิดให้บริการปัจจุบัน</x:v>
      </x:c>
      <x:c r="G581" s="58" t="n">
        <x:v>1</x:v>
      </x:c>
      <x:c r="H581" s="52"/>
      <x:c r="I581" s="52"/>
      <x:c r="J581" s="52"/>
      <x:c r="K581" s="52"/>
      <x:c r="L581" s="52"/>
      <x:c r="M581" s="52"/>
      <x:c r="N581" s="8" t="str">
        <x:v>ยังไม่ยืนยัน</x:v>
      </x:c>
      <x:c r="O581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81" s="40" t="n">
        <x:v>46315</x:v>
      </x:c>
      <x:c r="Q581" s="59" t="str">
        <x:v>ยังไม่ตรวจ</x:v>
      </x:c>
      <x:c r="R581" s="59" t="str">
        <x:v>รอติดต่อ</x:v>
      </x:c>
    </x:row>
    <x:row r="582" ht="84" customHeight="1">
      <x:c r="A582" s="2" t="str">
        <x:v>TMF-574</x:v>
      </x:c>
      <x:c r="B582" s="8" t="str">
        <x:v>อรุณโภชนา</x:v>
      </x:c>
      <x:c r="C582" s="8" t="str">
        <x:v>ภูเก็ต</x:v>
      </x:c>
      <x:c r="D582" s="8" t="str">
        <x:v>อยู่ในชุด 600 ตามเส้นทาง</x:v>
      </x:c>
      <x:c r="E582" s="8" t="str">
        <x:v>พบชื่อสัมพันธ์หลายเว็บไซต์ รอยืนยันสาขา</x:v>
      </x:c>
      <x:c r="F582" s="8" t="str">
        <x:v>ยังไม่ยืนยันการเปิดให้บริการปัจจุบัน</x:v>
      </x:c>
      <x:c r="G582" s="58" t="n">
        <x:v>4</x:v>
      </x:c>
      <x:c r="H582" s="52" t="str"/>
      <x:c r="I582" s="52" t="str"/>
      <x:c r="J582" s="52" t="str">
        <x:v>https://www.wongnai.com/restaurants/12938Dc-%E0%B8%AD%E0%B8%A3%E0%B8%B8%E0%B8%93%E0%B9%82%E0%B8%A0%E0%B8%8A%E0%B8%99%E0%B8%B2-%E0%B8%AE%E0%B8%B2%E0%B8%A5%E0%B8%B2%E0%B8%A5%E0%B8%9F%E0%B8%B9%E0%B9%89%E0%B8%94-%E0%B8%AD%E0%B8%A3%E0%B8%B8%E0%B8%93%E0%B9%82%E0%B8%A0%E0%B8%8A%E0%B8%99%E0%B8%B2-%E0%B8%AE%E0%B8%B2%E0%B8%A5%E0%B8%B2%E0%B8%A5%E0%B8%9F%E0%B8%B9%E0%B9%89%E0%B8%94/reviews</x:v>
      </x:c>
      <x:c r="K582" s="52" t="str">
        <x:v>https://th.tripadvisor.com/Restaurant_Review-g2315818-d13421777-Reviews-Aroon_Restaurant-Talat_Yai_Phuket_Town_Phuket.html</x:v>
      </x:c>
      <x:c r="L582" s="52" t="str">
        <x:v>https://makanhalalguide.com/shop/detail/5174</x:v>
      </x:c>
      <x:c r="M582" s="52" t="str">
        <x:v>https://www.wongnai.com/restaurants/12938Dc-%E0%B8%AD%E0%B8%A3%E0%B8%B8%E0%B8%93%E0%B9%82%E0%B8%A0%E0%B8%8A%E0%B8%99%E0%B8%B2-%E0%B8%AE%E0%B8%B2%E0%B8%A5%E0%B8%B2%E0%B8%A5%E0%B8%9F%E0%B8%B9%E0%B9%89%E0%B8%94-%E0%B8%AD%E0%B8%A3%E0%B8%B8%E0%B8%93%E0%B9%82%E0%B8%A0%E0%B8%8A%E0%B8%99%E0%B8%B2-%E0%B8%AE%E0%B8%B2%E0%B8%A5%E0%B8%B2%E0%B8%A5%E0%B8%9F%E0%B8%B9%E0%B9%89%E0%B8%94/reviews</x:v>
      </x:c>
      <x:c r="N582" s="8" t="str">
        <x:v>ยังไม่ยืนยัน</x:v>
      </x:c>
      <x:c r="O582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82" s="40" t="n">
        <x:v>46315</x:v>
      </x:c>
      <x:c r="Q582" s="59" t="str">
        <x:v>ยังไม่ตรวจ</x:v>
      </x:c>
      <x:c r="R582" s="59" t="str">
        <x:v>รอติดต่อ</x:v>
      </x:c>
    </x:row>
    <x:row r="583" ht="84" customHeight="1">
      <x:c r="A583" s="2" t="str">
        <x:v>TMF-575</x:v>
      </x:c>
      <x:c r="B583" s="8" t="str">
        <x:v>โอเอซิสสปา ทรอปิคอลรีทรีต ลากูน่า</x:v>
      </x:c>
      <x:c r="C583" s="8" t="str">
        <x:v>ภูเก็ต</x:v>
      </x:c>
      <x:c r="D583" s="8" t="str">
        <x:v>อยู่ในชุด 600 ตามเส้นทาง</x:v>
      </x:c>
      <x:c r="E583" s="8" t="str">
        <x:v>พบชื่อสัมพันธ์หลายเว็บไซต์ รอยืนยันสาขา</x:v>
      </x:c>
      <x:c r="F583" s="8" t="str">
        <x:v>ยังไม่ยืนยันการเปิดให้บริการปัจจุบัน</x:v>
      </x:c>
      <x:c r="G583" s="58" t="n">
        <x:v>3</x:v>
      </x:c>
      <x:c r="H583" s="52" t="str"/>
      <x:c r="I583" s="52" t="str"/>
      <x:c r="J583" s="52" t="str">
        <x:v>https://www.tripadvisor.com/Attraction_Review-g1224250-d16676505-Reviews-Oasis_Tropical_Retreat_Spa-Choeng_Thale_Thalang_District_Phuket.html</x:v>
      </x:c>
      <x:c r="K583" s="52" t="str"/>
      <x:c r="L583" s="52" t="str">
        <x:v>https://www.klook.com/th/activity/1550-oasis-spa-phuket/</x:v>
      </x:c>
      <x:c r="M583" s="52" t="str">
        <x:v>https://www.tripadvisor.com/Attraction_Review-g1224250-d16676505-Reviews-Oasis_Tropical_Retreat_Spa-Choeng_Thale_Thalang_District_Phuket.html</x:v>
      </x:c>
      <x:c r="N583" s="8" t="str">
        <x:v>ยังไม่ยืนยัน</x:v>
      </x:c>
      <x:c r="O583" s="8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P583" s="40" t="n">
        <x:v>46316</x:v>
      </x:c>
      <x:c r="Q583" s="59" t="str">
        <x:v>ยังไม่ตรวจ</x:v>
      </x:c>
      <x:c r="R583" s="59" t="str">
        <x:v>รอติดต่อ</x:v>
      </x:c>
    </x:row>
    <x:row r="584" ht="84" customHeight="1">
      <x:c r="A584" s="2" t="str">
        <x:v>TMF-576</x:v>
      </x:c>
      <x:c r="B584" s="8" t="str">
        <x:v>โอเอซิสสปา สกายบรีซ กะตะ</x:v>
      </x:c>
      <x:c r="C584" s="8" t="str">
        <x:v>ภูเก็ต</x:v>
      </x:c>
      <x:c r="D584" s="8" t="str">
        <x:v>อยู่ในชุด 600 ตามเส้นทาง</x:v>
      </x:c>
      <x:c r="E584" s="8" t="str">
        <x:v>พบชื่อสัมพันธ์หลายเว็บไซต์ รอยืนยันสาขา</x:v>
      </x:c>
      <x:c r="F584" s="8" t="str">
        <x:v>ยังไม่ยืนยันการเปิดให้บริการปัจจุบัน</x:v>
      </x:c>
      <x:c r="G584" s="58" t="n">
        <x:v>3</x:v>
      </x:c>
      <x:c r="H584" s="52" t="str"/>
      <x:c r="I584" s="52" t="str"/>
      <x:c r="J584" s="52" t="str">
        <x:v>https://www.tripadvisor.com/Attraction_Review-g1215780-d2518736-Reviews-Oasis_Sky_Breeze_Spa_Kata-Karon_Phuket.html</x:v>
      </x:c>
      <x:c r="K584" s="52" t="str"/>
      <x:c r="L584" s="52" t="str">
        <x:v>https://www.gowabi.com/th/provider/oasis-spa-sky-breeze-spa</x:v>
      </x:c>
      <x:c r="M584" s="52" t="str">
        <x:v>https://www.tripadvisor.com/Attraction_Review-g1215780-d2518736-Reviews-Oasis_Sky_Breeze_Spa_Kata-Karon_Phuket.html</x:v>
      </x:c>
      <x:c r="N584" s="8" t="str">
        <x:v>ยังไม่ยืนยัน</x:v>
      </x:c>
      <x:c r="O584" s="8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P584" s="40" t="n">
        <x:v>46316</x:v>
      </x:c>
      <x:c r="Q584" s="59" t="str">
        <x:v>ยังไม่ตรวจ</x:v>
      </x:c>
      <x:c r="R584" s="59" t="str">
        <x:v>รอติดต่อ</x:v>
      </x:c>
    </x:row>
    <x:row r="585" ht="84" customHeight="1">
      <x:c r="A585" s="2" t="str">
        <x:v>TMF-577</x:v>
      </x:c>
      <x:c r="B585" s="8" t="str">
        <x:v>โอเอซิสสปา เทอร์ควอยซ์โคฟ กมลา</x:v>
      </x:c>
      <x:c r="C585" s="8" t="str">
        <x:v>ภูเก็ต</x:v>
      </x:c>
      <x:c r="D585" s="8" t="str">
        <x:v>อยู่ในชุด 600 ตามเส้นทาง</x:v>
      </x:c>
      <x:c r="E585" s="8" t="str">
        <x:v>พบชื่อสัมพันธ์หลายเว็บไซต์ รอยืนยันสาขา</x:v>
      </x:c>
      <x:c r="F585" s="8" t="str">
        <x:v>ยังไม่ยืนยันการเปิดให้บริการปัจจุบัน</x:v>
      </x:c>
      <x:c r="G585" s="58" t="n">
        <x:v>3</x:v>
      </x:c>
      <x:c r="H585" s="52" t="str"/>
      <x:c r="I585" s="52" t="str"/>
      <x:c r="J585" s="52" t="str">
        <x:v>https://www.tripadvisor.com/Attraction_Review-g1379324-d7228344-Reviews-Oasis_Spa_Kamala_Phuket-Kamala_Kathu_Phuket.html</x:v>
      </x:c>
      <x:c r="K585" s="52" t="str"/>
      <x:c r="L585" s="52" t="str">
        <x:v>https://dealsee.co/th/deals/%E0%B9%82%E0%B8%AD%E0%B9%80%E0%B8%AD%E0%B8%8B%E0%B8%B4%E0%B8%AA-%E0%B9%80%E0%B8%97%E0%B8%AD%E0%B8%A3%E0%B9%8C%E0%B8%84%E0%B8%A7%E0%B8%AD%E0%B8%8B%E0%B9%8C-%E0%B9%82%E0%B8%84%E0%B8%9F%E0%B8%A7/</x:v>
      </x:c>
      <x:c r="M585" s="52" t="str">
        <x:v>https://www.tripadvisor.com/Attraction_Review-g1379324-d7228344-Reviews-Oasis_Spa_Kamala_Phuket-Kamala_Kathu_Phuket.html</x:v>
      </x:c>
      <x:c r="N585" s="8" t="str">
        <x:v>ยังไม่ยืนยัน</x:v>
      </x:c>
      <x:c r="O585" s="8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P585" s="40" t="n">
        <x:v>46316</x:v>
      </x:c>
      <x:c r="Q585" s="59" t="str">
        <x:v>ยังไม่ตรวจ</x:v>
      </x:c>
      <x:c r="R585" s="59" t="str">
        <x:v>รอติดต่อ</x:v>
      </x:c>
    </x:row>
    <x:row r="586" ht="84" customHeight="1">
      <x:c r="A586" s="2" t="str">
        <x:v>TMF-578</x:v>
      </x:c>
      <x:c r="B586" s="8" t="str">
        <x:v>แหลมพรหมเทพ</x:v>
      </x:c>
      <x:c r="C586" s="8" t="str">
        <x:v>ภูเก็ต</x:v>
      </x:c>
      <x:c r="D586" s="8" t="str">
        <x:v>อยู่ในชุด 600 ตามเส้นทาง</x:v>
      </x:c>
      <x:c r="E586" s="8" t="str">
        <x:v>พบชื่อสัมพันธ์หลายเว็บไซต์ รอยืนยันสาขา</x:v>
      </x:c>
      <x:c r="F586" s="8" t="str">
        <x:v>ยังไม่ยืนยันการเปิดให้บริการปัจจุบัน</x:v>
      </x:c>
      <x:c r="G586" s="58" t="n">
        <x:v>12</x:v>
      </x:c>
      <x:c r="H586" s="52" t="str"/>
      <x:c r="I586" s="52" t="str"/>
      <x:c r="J586" s="52" t="str">
        <x:v>https://www.wongnai.com/attractions/330013Oa-%E0%B9%81%E0%B8%AB%E0%B8%A5%E0%B8%A1%E0%B8%9E%E0%B8%A3%E0%B8%AB%E0%B8%A1%E0%B9%80%E0%B8%97%E0%B8%9E?_st=cD05O2I9MzMwMDEzO2FkPWZhbHNlO3Q9MTc5MDEyOTU4NTUyMDtyaT0xWDdiZGZUSGtMdkkzcFpQZk9hV3ZKTjVxRlo2OUw7aT0xWDcxNnpFc0VJblRXMkoxZ1oyekRFcDdOandFbjI7d3JlZj1zcjs%3D</x:v>
      </x:c>
      <x:c r="K586" s="52" t="str">
        <x:v>https://th.tripadvisor.com/Attraction_Review-g297934-d553523-Reviews-Promthep_Cape-Rawai_Phuket.html</x:v>
      </x:c>
      <x:c r="L586" s="52" t="str">
        <x:v>https://www.thic.or.th/th/tourist/detail/tourist/17</x:v>
      </x:c>
      <x:c r="M586" s="52" t="str">
        <x:v>https://www.wongnai.com/attractions/330013Oa-%E0%B9%81%E0%B8%AB%E0%B8%A5%E0%B8%A1%E0%B8%9E%E0%B8%A3%E0%B8%AB%E0%B8%A1%E0%B9%80%E0%B8%97%E0%B8%9E?_st=cD05O2I9MzMwMDEzO2FkPWZhbHNlO3Q9MTc5MDEyOTU4NTUyMDtyaT0xWDdiZGZUSGtMdkkzcFpQZk9hV3ZKTjVxRlo2OUw7aT0xWDcxNnpFc0VJblRXMkoxZ1oyekRFcDdOandFbjI7d3JlZj1zcjs%3D</x:v>
      </x:c>
      <x:c r="N586" s="8" t="str">
        <x:v>ยังไม่ยืนยัน</x:v>
      </x:c>
      <x:c r="O586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586" s="40" t="n">
        <x:v>46315</x:v>
      </x:c>
      <x:c r="Q586" s="59" t="str">
        <x:v>ยังไม่ตรวจ</x:v>
      </x:c>
      <x:c r="R586" s="59" t="str">
        <x:v>รอติดต่อ</x:v>
      </x:c>
    </x:row>
    <x:row r="587" ht="84" customHeight="1">
      <x:c r="A587" s="2" t="str">
        <x:v>TMF-579</x:v>
      </x:c>
      <x:c r="B587" s="8" t="str">
        <x:v>ย่านเมืองเก่าภูเก็ต</x:v>
      </x:c>
      <x:c r="C587" s="8" t="str">
        <x:v>ภูเก็ต</x:v>
      </x:c>
      <x:c r="D587" s="8" t="str">
        <x:v>อยู่ในชุด 600 ตามเส้นทาง</x:v>
      </x:c>
      <x:c r="E587" s="8" t="str">
        <x:v>พบชื่อสัมพันธ์หลายเว็บไซต์ รอยืนยันสาขา</x:v>
      </x:c>
      <x:c r="F587" s="8" t="str">
        <x:v>ยังไม่ยืนยันการเปิดให้บริการปัจจุบัน</x:v>
      </x:c>
      <x:c r="G587" s="58" t="n">
        <x:v>10</x:v>
      </x:c>
      <x:c r="H587" s="52" t="str"/>
      <x:c r="I587" s="52" t="str"/>
      <x:c r="J587" s="52" t="str">
        <x:v>https://www.wongnai.com/reviews/e0791313c5ef46cfaf8853c8ac959e14</x:v>
      </x:c>
      <x:c r="K587" s="52" t="str">
        <x:v>https://th.tripadvisor.com/Attraction_Review-g2315818-d5995325-Reviews-Old_Phuket_Town-Talat_Yai_Phuket_Town_Phuket.html</x:v>
      </x:c>
      <x:c r="L587" s="52" t="str">
        <x:v>https://www.thic.or.th/th/tourist/detail/tourist/20</x:v>
      </x:c>
      <x:c r="M587" s="52" t="str">
        <x:v>https://www.wongnai.com/reviews/e0791313c5ef46cfaf8853c8ac959e14</x:v>
      </x:c>
      <x:c r="N587" s="8" t="str">
        <x:v>ยังไม่ยืนยัน</x:v>
      </x:c>
      <x:c r="O587" s="8" t="str">
        <x:v>จัดหลักฐานร้านอาหารฮาลาล พื้นที่ละหมาดพร้อมที่อาบน้ำละหมาด ห้องน้ำ และข้อมูลบริการที่ถูกต้องตามเกณฑ์</x:v>
      </x:c>
      <x:c r="P587" s="40" t="n">
        <x:v>46315</x:v>
      </x:c>
      <x:c r="Q587" s="59" t="str">
        <x:v>ยังไม่ตรวจ</x:v>
      </x:c>
      <x:c r="R587" s="59" t="str">
        <x:v>รอติดต่อ</x:v>
      </x:c>
    </x:row>
    <x:row r="588" ht="84" customHeight="1">
      <x:c r="A588" s="2" t="str">
        <x:v>TMF-580</x:v>
      </x:c>
      <x:c r="B588" s="8" t="str">
        <x:v>ไก่หมุนหมักน้ำผึ้ง</x:v>
      </x:c>
      <x:c r="C588" s="8" t="str">
        <x:v>ระนอง</x:v>
      </x:c>
      <x:c r="D588" s="8" t="str">
        <x:v>สำรองหลังปรับตามเส้นทาง</x:v>
      </x:c>
      <x:c r="E588" s="8" t="str">
        <x:v>หลักฐานไม่พอ รอยืนยันการเปิด</x:v>
      </x:c>
      <x:c r="F588" s="8" t="str">
        <x:v>ยังไม่ยืนยันการเปิดให้บริการปัจจุบัน</x:v>
      </x:c>
      <x:c r="G588" s="58" t="n">
        <x:v>1</x:v>
      </x:c>
      <x:c r="H588" s="52"/>
      <x:c r="I588" s="52"/>
      <x:c r="J588" s="52"/>
      <x:c r="K588" s="52"/>
      <x:c r="L588" s="52"/>
      <x:c r="M588" s="52"/>
      <x:c r="N588" s="8" t="str">
        <x:v>ยังไม่ยืนยัน</x:v>
      </x:c>
      <x:c r="O588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88" s="40" t="n">
        <x:v>46315</x:v>
      </x:c>
      <x:c r="Q588" s="59" t="str">
        <x:v>ยังไม่ตรวจ</x:v>
      </x:c>
      <x:c r="R588" s="59" t="str">
        <x:v>รอติดต่อ</x:v>
      </x:c>
    </x:row>
    <x:row r="589" ht="84" customHeight="1">
      <x:c r="A589" s="2" t="str">
        <x:v>TMF-581</x:v>
      </x:c>
      <x:c r="B589" s="8" t="str">
        <x:v>ไพจิตร์ก๋วยเตี๋ยวเนื้อ</x:v>
      </x:c>
      <x:c r="C589" s="8" t="str">
        <x:v>สงขลา</x:v>
      </x:c>
      <x:c r="D589" s="8" t="str">
        <x:v>สำรองหลังปรับตามเส้นทาง</x:v>
      </x:c>
      <x:c r="E589" s="8" t="str">
        <x:v>หลักฐานไม่พอ รอยืนยันการเปิด</x:v>
      </x:c>
      <x:c r="F589" s="8" t="str">
        <x:v>ยังไม่ยืนยันการเปิดให้บริการปัจจุบัน</x:v>
      </x:c>
      <x:c r="G589" s="58" t="n">
        <x:v>1</x:v>
      </x:c>
      <x:c r="H589" s="52"/>
      <x:c r="I589" s="52"/>
      <x:c r="J589" s="52"/>
      <x:c r="K589" s="52"/>
      <x:c r="L589" s="52"/>
      <x:c r="M589" s="52"/>
      <x:c r="N589" s="8" t="str">
        <x:v>ยังไม่ยืนยัน</x:v>
      </x:c>
      <x:c r="O589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89" s="40" t="n">
        <x:v>46315</x:v>
      </x:c>
      <x:c r="Q589" s="59" t="str">
        <x:v>ยังไม่ตรวจ</x:v>
      </x:c>
      <x:c r="R589" s="59" t="str">
        <x:v>รอติดต่อ</x:v>
      </x:c>
    </x:row>
    <x:row r="590" ht="84" customHeight="1">
      <x:c r="A590" s="2" t="str">
        <x:v>TMF-582</x:v>
      </x:c>
      <x:c r="B590" s="8" t="str">
        <x:v>ตลาดน้ำชุมชนวัดศรีวารีน้อย</x:v>
      </x:c>
      <x:c r="C590" s="8" t="str">
        <x:v>สมุทรปราการ</x:v>
      </x:c>
      <x:c r="D590" s="8" t="str">
        <x:v>สำรองหลังปรับตามเส้นทาง</x:v>
      </x:c>
      <x:c r="E590" s="8" t="str">
        <x:v>พบหลายแหล่งสัมพันธ์กับชื่อ รอยืนยันการเปิด</x:v>
      </x:c>
      <x:c r="F590" s="8" t="str">
        <x:v>ยังไม่ยืนยันการเปิดให้บริการปัจจุบัน</x:v>
      </x:c>
      <x:c r="G590" s="58" t="n">
        <x:v>5</x:v>
      </x:c>
      <x:c r="H590" s="52"/>
      <x:c r="I590" s="52"/>
      <x:c r="J590" s="52" t="str">
        <x:v>HYPERLINK is not implemented. linkLocation=https://www.wongnai.com/restaurants/1943303NE-%E0%B8%A3%E0%B8%B8%E0%B9%88%E0%B8%87%E0%B9%80%E0%B8%A3%E0%B8%B7%E0%B8%AD%E0%B8%87%E0%B8%9E%E0%B8%B2%E0%B8%93%E0%B8%B4%E0%B8%8A-%E0%B9%82%E0%B8%8A%E0%B8%AB%E0%B9%88%E0%B8%A7%E0%B8%A2-%E0%B8%95%E0%B8%A5%E0%B8%B2%E0%B8%94%E0%B8%99%E0%B9%89%E0%B8%B3%E0%B8%8A%E0%B8%B8%E0%B8%A1%E0%B8%8A%E0%B8%99%E0%B8%A7%E0%B8%B1%E0%B8%94%E0%B8%A8%E0%B8%A3%E0%B8%B5%E0%B8%A7%E0%B8%B2%E0%B8%A3%E0%B8%B5%E0%B8%99%E0%B9%89%E0%B8%AD%E0%B8%A2, friendlyName=เปิดหน้ารีวิว 1</x:v>
      </x:c>
      <x:c r="K590" s="52" t="str">
        <x:v>HYPERLINK is not implemented. linkLocation=https://www.wongnai.com/restaurants/1943303NE-%E0%B8%A3%E0%B8%B8%E0%B9%88%E0%B8%87%E0%B9%80%E0%B8%A3%E0%B8%B7%E0%B8%AD%E0%B8%87%E0%B8%9E%E0%B8%B2%E0%B8%93%E0%B8%B4%E0%B8%8A-%E0%B9%82%E0%B8%8A%E0%B8%AB%E0%B9%88%E0%B8%A7%E0%B8%A2-%E0%B8%95%E0%B8%A5%E0%B8%B2%E0%B8%94%E0%B8%99%E0%B9%89%E0%B8%B3%E0%B8%8A%E0%B8%B8%E0%B8%A1%E0%B8%8A%E0%B8%99%E0%B8%A7%E0%B8%B1%E0%B8%94%E0%B8%A8%E0%B8%A3%E0%B8%B5%E0%B8%A7%E0%B8%B2%E0%B8%A3%E0%B8%B5%E0%B8%99%E0%B9%89%E0%B8%AD%E0%B8%A2/photos/0c8fc986768247f0b477e830fc5ca3f1, friendlyName=เปิดหน้ารีวิว 2</x:v>
      </x:c>
      <x:c r="L590" s="52" t="str">
        <x:v>HYPERLINK is not implemented. linkLocation=https://xn--o3caafld1cf0cwe8b4hf6czc.com/directory/place/1384352/, friendlyName=เปิดเว็บเพิ่ม 1</x:v>
      </x:c>
      <x:c r="M590" s="52" t="str">
        <x:v>HYPERLINK is not implemented. linkLocation=https://www.tci-thaijo.org/articles/social04-288617, friendlyName=เปิดเว็บเพิ่ม 2</x:v>
      </x:c>
      <x:c r="N590" s="8" t="str">
        <x:v>ยังไม่ยืนยัน</x:v>
      </x:c>
      <x:c r="O590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90" s="40" t="n">
        <x:v>46315</x:v>
      </x:c>
      <x:c r="Q590" s="59" t="str">
        <x:v>ยังไม่ตรวจ</x:v>
      </x:c>
      <x:c r="R590" s="59" t="str">
        <x:v>รอติดต่อ</x:v>
      </x:c>
    </x:row>
    <x:row r="591" ht="84" customHeight="1">
      <x:c r="A591" s="2" t="str">
        <x:v>TMF-583</x:v>
      </x:c>
      <x:c r="B591" s="8" t="str">
        <x:v>ฮกฮวดอาหารอิสลามแม่กลอง ฮาลาลฟู้ด</x:v>
      </x:c>
      <x:c r="C591" s="8" t="str">
        <x:v>สมุทรสงคราม</x:v>
      </x:c>
      <x:c r="D591" s="8" t="str">
        <x:v>สำรองหลังปรับตามเส้นทาง</x:v>
      </x:c>
      <x:c r="E591" s="8" t="str">
        <x:v>พบหลายแหล่งสัมพันธ์กับชื่อ รอยืนยันการเปิด</x:v>
      </x:c>
      <x:c r="F591" s="8" t="str">
        <x:v>ยังไม่ยืนยันการเปิดให้บริการปัจจุบัน</x:v>
      </x:c>
      <x:c r="G591" s="58" t="n">
        <x:v>4</x:v>
      </x:c>
      <x:c r="H591" s="52"/>
      <x:c r="I591" s="52"/>
      <x:c r="J591" s="52" t="str">
        <x:v>HYPERLINK is not implemented. linkLocation=https://www.wongnai.com/restaurants/3148489Ma-%E0%B8%AE%E0%B8%81%E0%B8%AE%E0%B8%A7%E0%B8%94%E0%B8%AD%E0%B8%B2%E0%B8%AB%E0%B8%B2%E0%B8%A3%E0%B8%AD%E0%B8%B4%E0%B8%AA%E0%B8%A5%E0%B8%B2%E0%B8%A1%E0%B9%81%E0%B8%A1%E0%B9%88%E0%B8%81%E0%B8%A5%E0%B8%AD%E0%B8%87-%E0%B8%95%E0%B8%A5%E0%B8%B2%E0%B8%94%E0%B8%A3%E0%B9%88%E0%B8%A1%E0%B8%AB%E0%B8%B8%E0%B8%9A-%E0%B8%95%E0%B8%A5%E0%B8%B2%E0%B8%94%E0%B8%A3%E0%B9%88%E0%B8%A1%E0%B8%AB%E0%B8%B8%E0%B8%9A%E0%B9%81%E0%B8%A1%E0%B9%88%E0%B8%81%E0%B8%A5%E0%B8%AD%E0%B8%87, friendlyName=เปิดหน้ารีวิว 1</x:v>
      </x:c>
      <x:c r="K591" s="52" t="str">
        <x:v>HYPERLINK is not implemented. linkLocation=https://ru.restaurantguru.com/%E0%B8%AE%E0%B8%81%E0%B8%AE%E0%B8%A7%E0%B8%94%E0%B8%AD%E0%B8%B2%E0%B8%AB%E0%B8%B2%E0%B8%A3%E0%B8%AD%E0%B8%B4%E0%B8%AA%E0%B8%A5%E0%B8%B2%E0%B8%A1%E0%B9%81%E0%B8%A1%E0%B9%88%E0%B8%81%E0%B8%A5%E0%B8%AD%E0%B8%87-%E0%B8%AE%E0%B8%B2%E0%B8%A5%E0%B8%B2%E0%B8%A5%E0%B8%9F%E0%B8%B9%E0%B9%89%E0%B8%94-halal-food-Bang-Khan-Taek, friendlyName=เปิดหน้ารีวิว 2</x:v>
      </x:c>
      <x:c r="L591" s="52" t="str">
        <x:v>HYPERLINK is not implemented. linkLocation=https://www.thaithurkic.com/%E0%B8%AE%E0%B8%81%E0%B8%AE%E0%B8%A7%E0%B8%94%E0%B8%AD%E0%B8%B2%E0%B8%AB%E0%B8%B2%E0%B8%A3%E0%B8%AD%E0%B8%B4%E0%B8%AA%E0%B8%A5%E0%B8%B2%E0%B8%A1%E0%B9%81%E0%B8%A1%E0%B9%88%E0%B8%81%E0%B8%A5%E0%B8%AD%E0%B8%87-%E0%B8%AE%E0%B8%B2%E0%B8%A5%E0%B8%B2%E0%B8%A5%E0%B8%9F%E0%B8%B9%E0%B9%89%E0%B8%94-halal-034-713-680, friendlyName=เปิดเว็บเพิ่ม 1</x:v>
      </x:c>
      <x:c r="M591" s="52"/>
      <x:c r="N591" s="8" t="str">
        <x:v>ยังไม่ยืนยัน</x:v>
      </x:c>
      <x:c r="O591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91" s="40" t="n">
        <x:v>46315</x:v>
      </x:c>
      <x:c r="Q591" s="59" t="str">
        <x:v>ยังไม่ตรวจ</x:v>
      </x:c>
      <x:c r="R591" s="59" t="str">
        <x:v>รอติดต่อ</x:v>
      </x:c>
    </x:row>
    <x:row r="592" ht="84" customHeight="1">
      <x:c r="A592" s="2" t="str">
        <x:v>TMF-584</x:v>
      </x:c>
      <x:c r="B592" s="8" t="str">
        <x:v>ไก่ทอดอารีฟหาดใหญ่</x:v>
      </x:c>
      <x:c r="C592" s="8" t="str">
        <x:v>สมุทรสาคร</x:v>
      </x:c>
      <x:c r="D592" s="8" t="str">
        <x:v>สำรองหลังปรับตามเส้นทาง</x:v>
      </x:c>
      <x:c r="E592" s="8" t="str">
        <x:v>หลักฐานไม่พอ รอยืนยันการเปิด</x:v>
      </x:c>
      <x:c r="F592" s="8" t="str">
        <x:v>ยังไม่ยืนยันการเปิดให้บริการปัจจุบัน</x:v>
      </x:c>
      <x:c r="G592" s="58" t="n">
        <x:v>1</x:v>
      </x:c>
      <x:c r="H592" s="52"/>
      <x:c r="I592" s="52"/>
      <x:c r="J592" s="52"/>
      <x:c r="K592" s="52"/>
      <x:c r="L592" s="52"/>
      <x:c r="M592" s="52"/>
      <x:c r="N592" s="8" t="str">
        <x:v>ยังไม่ยืนยัน</x:v>
      </x:c>
      <x:c r="O592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92" s="40" t="n">
        <x:v>46315</x:v>
      </x:c>
      <x:c r="Q592" s="59" t="str">
        <x:v>ยังไม่ตรวจ</x:v>
      </x:c>
      <x:c r="R592" s="59" t="str">
        <x:v>รอติดต่อ</x:v>
      </x:c>
    </x:row>
    <x:row r="593" ht="84" customHeight="1">
      <x:c r="A593" s="2" t="str">
        <x:v>TMF-585</x:v>
      </x:c>
      <x:c r="B593" s="8" t="str">
        <x:v>ชุมชนบ้านพุแค</x:v>
      </x:c>
      <x:c r="C593" s="8" t="str">
        <x:v>สระบุรี</x:v>
      </x:c>
      <x:c r="D593" s="8" t="str">
        <x:v>สำรองหลังปรับตามเส้นทาง</x:v>
      </x:c>
      <x:c r="E593" s="8" t="str">
        <x:v>พบหลายแหล่งสัมพันธ์กับชื่อ รอยืนยันการเปิด</x:v>
      </x:c>
      <x:c r="F593" s="8" t="str">
        <x:v>ยังไม่ยืนยันการเปิดให้บริการปัจจุบัน</x:v>
      </x:c>
      <x:c r="G593" s="58" t="n">
        <x:v>2</x:v>
      </x:c>
      <x:c r="H593" s="52"/>
      <x:c r="I593" s="52"/>
      <x:c r="J593" s="52"/>
      <x:c r="K593" s="52"/>
      <x:c r="L593" s="52" t="str">
        <x:v>HYPERLINK is not implemented. linkLocation=https://www.hellolocal.asia/th/tour/phu-khae-huapli-market-2/, friendlyName=เปิดเว็บเพิ่ม 1</x:v>
      </x:c>
      <x:c r="M593" s="52"/>
      <x:c r="N593" s="8" t="str">
        <x:v>ยังไม่ยืนยัน</x:v>
      </x:c>
      <x:c r="O593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93" s="40" t="n">
        <x:v>46315</x:v>
      </x:c>
      <x:c r="Q593" s="59" t="str">
        <x:v>ยังไม่ตรวจ</x:v>
      </x:c>
      <x:c r="R593" s="59" t="str">
        <x:v>รอติดต่อ</x:v>
      </x:c>
    </x:row>
    <x:row r="594" ht="84" customHeight="1">
      <x:c r="A594" s="2" t="str">
        <x:v>TMF-586</x:v>
      </x:c>
      <x:c r="B594" s="8" t="str">
        <x:v>ชุมชนท่าชัย</x:v>
      </x:c>
      <x:c r="C594" s="8" t="str">
        <x:v>สุโขทัย</x:v>
      </x:c>
      <x:c r="D594" s="8" t="str">
        <x:v>สำรองหลังปรับตามเส้นทาง</x:v>
      </x:c>
      <x:c r="E594" s="8" t="str">
        <x:v>พบหลายแหล่งสัมพันธ์กับชื่อ รอยืนยันการเปิด</x:v>
      </x:c>
      <x:c r="F594" s="8" t="str">
        <x:v>ยังไม่ยืนยันการเปิดให้บริการปัจจุบัน</x:v>
      </x:c>
      <x:c r="G594" s="58" t="n">
        <x:v>3</x:v>
      </x:c>
      <x:c r="H594" s="52"/>
      <x:c r="I594" s="52"/>
      <x:c r="J594" s="52"/>
      <x:c r="K594" s="52"/>
      <x:c r="L594" s="52" t="str">
        <x:v>HYPERLINK is not implemented. linkLocation=https://www.dasta.or.th/th/article/1721, friendlyName=เปิดเว็บเพิ่ม 1</x:v>
      </x:c>
      <x:c r="M594" s="52" t="str">
        <x:v>HYPERLINK is not implemented. linkLocation=https://anyflip.com/zuqxe/cflv/basic, friendlyName=เปิดเว็บเพิ่ม 2</x:v>
      </x:c>
      <x:c r="N594" s="8" t="str">
        <x:v>ยังไม่ยืนยัน</x:v>
      </x:c>
      <x:c r="O594" s="8" t="str">
        <x:v>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94" s="40" t="n">
        <x:v>46315</x:v>
      </x:c>
      <x:c r="Q594" s="59" t="str">
        <x:v>ยังไม่ตรวจ</x:v>
      </x:c>
      <x:c r="R594" s="59" t="str">
        <x:v>รอติดต่อ</x:v>
      </x:c>
    </x:row>
    <x:row r="595" ht="84" customHeight="1">
      <x:c r="A595" s="2" t="str">
        <x:v>TMF-587</x:v>
      </x:c>
      <x:c r="B595" s="8" t="str">
        <x:v>ชุมชนบ้านเดื่อ</x:v>
      </x:c>
      <x:c r="C595" s="8" t="str">
        <x:v>หนองคาย</x:v>
      </x:c>
      <x:c r="D595" s="8" t="str">
        <x:v>สำรองหลังปรับตามเส้นทาง</x:v>
      </x:c>
      <x:c r="E595" s="8" t="str">
        <x:v>พบหลายแหล่งสัมพันธ์กับชื่อ รอยืนยันการเปิด</x:v>
      </x:c>
      <x:c r="F595" s="8" t="str">
        <x:v>ยังไม่ยืนยันการเปิดให้บริการปัจจุบัน</x:v>
      </x:c>
      <x:c r="G595" s="58" t="n">
        <x:v>8</x:v>
      </x:c>
      <x:c r="H595" s="52"/>
      <x:c r="I595" s="52"/>
      <x:c r="J595" s="52" t="str">
        <x:v>HYPERLINK is not implemented. linkLocation=https://www.lemon8-app.com/%40poy.normal/7504179978633544199?region=th, friendlyName=เปิดหน้ารีวิว 1</x:v>
      </x:c>
      <x:c r="K595" s="52" t="str">
        <x:v>HYPERLINK is not implemented. linkLocation=https://www.lemon8-app.com/%40user8841761340739/7517586012118303250?region=th, friendlyName=เปิดหน้ารีวิว 2</x:v>
      </x:c>
      <x:c r="L595" s="52" t="str">
        <x:v>HYPERLINK is not implemented. linkLocation=https://www.tatstar.org/company/STAR-C00164, friendlyName=เปิดเว็บเพิ่ม 1</x:v>
      </x:c>
      <x:c r="M595" s="52" t="str">
        <x:v>HYPERLINK is not implemented. linkLocation=https://www.thaithurkic.com/%E0%B9%80%E0%B8%8A%E0%B8%9F%E0%B8%8A%E0%B8%B8%E0%B8%A1%E0%B8%8A%E0%B8%99-by-%E0%B8%97%E0%B9%88%E0%B8%AD%E0%B8%87%E0%B9%80%E0%B8%97%E0%B8%B5%E0%B9%88%E0%B8%A2%E0%B8%A7%E0%B8%8A%E0%B8%B8%E0%B8%A1%E0%B8%8A%E0%B8%99%E0%B8%9A%E0%B9%89%E0%B8%B2%E0%B8%99%E0%B9%80%E0%B8%94%E0%B8%B7%E0%B9%88%E0%B8%AD-086-953-9997, friendlyName=เปิดเว็บเพิ่ม 2</x:v>
      </x:c>
      <x:c r="N595" s="8" t="str">
        <x:v>ยังไม่ยืนยัน</x:v>
      </x:c>
      <x:c r="O59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95" s="40" t="n">
        <x:v>46315</x:v>
      </x:c>
      <x:c r="Q595" s="59" t="str">
        <x:v>ยังไม่ตรวจ</x:v>
      </x:c>
      <x:c r="R595" s="59" t="str">
        <x:v>รอติดต่อ</x:v>
      </x:c>
    </x:row>
    <x:row r="596" ht="84" customHeight="1">
      <x:c r="A596" s="2" t="str">
        <x:v>TMF-588</x:v>
      </x:c>
      <x:c r="B596" s="8" t="str">
        <x:v>ไก่ย่างจีระพันธ์ ปตท.โนนสะอาด(ขาเข้า) จ.อุดรธานี</x:v>
      </x:c>
      <x:c r="C596" s="8" t="str">
        <x:v>อุดรธานี</x:v>
      </x:c>
      <x:c r="D596" s="8" t="str">
        <x:v>สำรองหลังปรับตามเส้นทาง</x:v>
      </x:c>
      <x:c r="E596" s="8" t="str">
        <x:v>หลักฐานไม่พอ รอยืนยันการเปิด</x:v>
      </x:c>
      <x:c r="F596" s="8" t="str">
        <x:v>ยังไม่ยืนยันการเปิดให้บริการปัจจุบัน</x:v>
      </x:c>
      <x:c r="G596" s="58" t="n">
        <x:v>1</x:v>
      </x:c>
      <x:c r="H596" s="52"/>
      <x:c r="I596" s="52"/>
      <x:c r="J596" s="52"/>
      <x:c r="K596" s="52"/>
      <x:c r="L596" s="52"/>
      <x:c r="M596" s="52"/>
      <x:c r="N596" s="8" t="str">
        <x:v>ยังไม่ยืนยัน</x:v>
      </x:c>
      <x:c r="O59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96" s="40" t="n">
        <x:v>46315</x:v>
      </x:c>
      <x:c r="Q596" s="59" t="str">
        <x:v>ยังไม่ตรวจ</x:v>
      </x:c>
      <x:c r="R596" s="59" t="str">
        <x:v>รอติดต่อ</x:v>
      </x:c>
    </x:row>
    <x:row r="597" ht="84" customHeight="1">
      <x:c r="A597" s="2" t="str">
        <x:v>TMF-589</x:v>
      </x:c>
      <x:c r="B597" s="8" t="str">
        <x:v>ก๋วยเตี๋ยวเรือฮาลาลอาหารตามสั่ง Byม๊ะเกมส์</x:v>
      </x:c>
      <x:c r="C597" s="8" t="str">
        <x:v>อ่างทอง</x:v>
      </x:c>
      <x:c r="D597" s="8" t="str">
        <x:v>สำรองหลังปรับตามเส้นทาง</x:v>
      </x:c>
      <x:c r="E597" s="8" t="str">
        <x:v>หลักฐานไม่พอ รอยืนยันการเปิด</x:v>
      </x:c>
      <x:c r="F597" s="8" t="str">
        <x:v>ยังไม่ยืนยันการเปิดให้บริการปัจจุบัน</x:v>
      </x:c>
      <x:c r="G597" s="58" t="n">
        <x:v>1</x:v>
      </x:c>
      <x:c r="H597" s="52"/>
      <x:c r="I597" s="52"/>
      <x:c r="J597" s="52"/>
      <x:c r="K597" s="52"/>
      <x:c r="L597" s="52"/>
      <x:c r="M597" s="52"/>
      <x:c r="N597" s="8" t="str">
        <x:v>ยังไม่ยืนยัน</x:v>
      </x:c>
      <x:c r="O59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597" s="40" t="n">
        <x:v>46315</x:v>
      </x:c>
      <x:c r="Q597" s="59" t="str">
        <x:v>ยังไม่ตรวจ</x:v>
      </x:c>
      <x:c r="R597" s="59" t="str">
        <x:v>รอติดต่อ</x:v>
      </x:c>
    </x:row>
    <x:row r="598" ht="84" customHeight="1">
      <x:c r="A598" s="2" t="str">
        <x:v>TMF-590</x:v>
      </x:c>
      <x:c r="B598" s="8" t="str">
        <x:v>ไก่ทอดใบคานอิสลามหาดใหญ่</x:v>
      </x:c>
      <x:c r="C598" s="8" t="str">
        <x:v>กรุงเทพมหานคร</x:v>
      </x:c>
      <x:c r="D598" s="8" t="str">
        <x:v>สำรองหลังปรับตามเส้นทาง</x:v>
      </x:c>
      <x:c r="E598" s="8" t="str">
        <x:v>พบหลายแหล่งสัมพันธ์กับชื่อ รอยืนยันการเปิด</x:v>
      </x:c>
      <x:c r="F598" s="8" t="str">
        <x:v>ยังไม่ยืนยันการเปิดให้บริการปัจจุบัน</x:v>
      </x:c>
      <x:c r="G598" s="58" t="n">
        <x:v>2</x:v>
      </x:c>
      <x:c r="H598" s="52"/>
      <x:c r="I598" s="52"/>
      <x:c r="J598" s="52" t="str">
        <x:v>HYPERLINK is not implemented. linkLocation=https://www.wongnai.com/restaurants/607222lp-%E0%B8%A3%E0%B9%89%E0%B8%B2%E0%B8%99%E0%B9%84%E0%B8%81%E0%B9%88%E0%B8%97%E0%B8%AD%E0%B8%94%E0%B9%83%E0%B8%9A%E0%B8%84%E0%B8%B2%E0%B8%99%E0%B8%AD%E0%B8%B4%E0%B8%AA%E0%B8%A5%E0%B8%B2%E0%B8%A1%E0%B8%AB%E0%B8%B2%E0%B8%94%E0%B9%83%E0%B8%AB%E0%B8%8D%E0%B9%88-%E0%B8%A3%E0%B8%B2%E0%B8%A1%E0%B8%84%E0%B8%B3%E0%B9%80%E0%B9%80%E0%B8%AB%E0%B8%8763, friendlyName=เปิดหน้ารีวิว 1</x:v>
      </x:c>
      <x:c r="K598" s="52"/>
      <x:c r="L598" s="52"/>
      <x:c r="M598" s="52"/>
      <x:c r="N598" s="8" t="str">
        <x:v>ยังไม่ยืนยัน</x:v>
      </x:c>
      <x:c r="O59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598" s="40" t="n">
        <x:v>46315</x:v>
      </x:c>
      <x:c r="Q598" s="59" t="str">
        <x:v>ยังไม่ตรวจ</x:v>
      </x:c>
      <x:c r="R598" s="59" t="str">
        <x:v>รอติดต่อ</x:v>
      </x:c>
    </x:row>
    <x:row r="599" ht="84" customHeight="1">
      <x:c r="A599" s="2" t="str">
        <x:v>TMF-591</x:v>
      </x:c>
      <x:c r="B599" s="8" t="str">
        <x:v>Ancient beef Thai Cuisine – ข้าวขาวัว</x:v>
      </x:c>
      <x:c r="C599" s="8" t="str">
        <x:v>เชียงใหม่</x:v>
      </x:c>
      <x:c r="D599" s="8" t="str">
        <x:v>อยู่ในชุด 600 ตามเส้นทาง</x:v>
      </x:c>
      <x:c r="E599" s="8" t="str">
        <x:v>พบชื่อสัมพันธ์หลายเว็บไซต์ รอยืนยันสาขา</x:v>
      </x:c>
      <x:c r="F599" s="8" t="str">
        <x:v>ยังไม่ยืนยันการเปิดให้บริการปัจจุบัน</x:v>
      </x:c>
      <x:c r="G599" s="58" t="n">
        <x:v>4</x:v>
      </x:c>
      <x:c r="H599" s="52" t="str"/>
      <x:c r="I599" s="52" t="str"/>
      <x:c r="J599" s="52" t="str">
        <x:v>https://hk.trip.com/restaurant/thailand/chiang-mai/detail/ancient-beef-thai-cuisine-145029096/</x:v>
      </x:c>
      <x:c r="K599" s="52" t="str">
        <x:v>https://th.trip.com/restaurant/thailand/chiang-mai/detail/ancient-beef-thai-cuisine-145029096/</x:v>
      </x:c>
      <x:c r="L599" s="52" t="str">
        <x:v>https://makanhalalguide.com/shop/detail/5113</x:v>
      </x:c>
      <x:c r="M599" s="52" t="str">
        <x:v>https://hk.trip.com/restaurant/thailand/chiang-mai/detail/ancient-beef-thai-cuisine-145029096/</x:v>
      </x:c>
      <x:c r="N599" s="8" t="str">
        <x:v>ยังไม่ยืนยัน</x:v>
      </x:c>
      <x:c r="O599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599" s="40" t="n">
        <x:v>46315</x:v>
      </x:c>
      <x:c r="Q599" s="59" t="str">
        <x:v>ยังไม่ตรวจ</x:v>
      </x:c>
      <x:c r="R599" s="59" t="str">
        <x:v>รอติดต่อ</x:v>
      </x:c>
    </x:row>
    <x:row r="600" ht="84" customHeight="1">
      <x:c r="A600" s="2" t="str">
        <x:v>TMF-592</x:v>
      </x:c>
      <x:c r="B600" s="8" t="str">
        <x:v>Aunt Nan Halal Khanom Jeen</x:v>
      </x:c>
      <x:c r="C600" s="8" t="str">
        <x:v>เชียงใหม่</x:v>
      </x:c>
      <x:c r="D600" s="8" t="str">
        <x:v>สำรองหลังปรับตามเส้นทาง</x:v>
      </x:c>
      <x:c r="E600" s="8" t="str">
        <x:v>หลักฐานไม่พอ รอยืนยันการเปิด</x:v>
      </x:c>
      <x:c r="F600" s="8" t="str">
        <x:v>ยังไม่ยืนยันการเปิดให้บริการปัจจุบัน</x:v>
      </x:c>
      <x:c r="G600" s="58" t="n">
        <x:v>1</x:v>
      </x:c>
      <x:c r="H600" s="52"/>
      <x:c r="I600" s="52"/>
      <x:c r="J600" s="52"/>
      <x:c r="K600" s="52"/>
      <x:c r="L600" s="52"/>
      <x:c r="M600" s="52"/>
      <x:c r="N600" s="8" t="str">
        <x:v>ยังไม่ยืนยัน</x:v>
      </x:c>
      <x:c r="O600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00" s="40" t="n">
        <x:v>46315</x:v>
      </x:c>
      <x:c r="Q600" s="59" t="str">
        <x:v>ยังไม่ตรวจ</x:v>
      </x:c>
      <x:c r="R600" s="59" t="str">
        <x:v>รอติดต่อ</x:v>
      </x:c>
    </x:row>
    <x:row r="601" ht="84" customHeight="1">
      <x:c r="A601" s="2" t="str">
        <x:v>TMF-593</x:v>
      </x:c>
      <x:c r="B601" s="8" t="str">
        <x:v>Mme caffee</x:v>
      </x:c>
      <x:c r="C601" s="8" t="str">
        <x:v>เชียงใหม่</x:v>
      </x:c>
      <x:c r="D601" s="8" t="str">
        <x:v>อยู่ในชุด 600 ตามเส้นทาง</x:v>
      </x:c>
      <x:c r="E601" s="8" t="str">
        <x:v>พบชื่อสัมพันธ์หลายเว็บไซต์ รอยืนยันสาขา</x:v>
      </x:c>
      <x:c r="F601" s="8" t="str">
        <x:v>ยังไม่ยืนยันการเปิดให้บริการปัจจุบัน</x:v>
      </x:c>
      <x:c r="G601" s="58" t="n">
        <x:v>2</x:v>
      </x:c>
      <x:c r="H601" s="52" t="str"/>
      <x:c r="I601" s="52" t="str"/>
      <x:c r="J601" s="52" t="str"/>
      <x:c r="K601" s="52" t="str"/>
      <x:c r="L601" s="52" t="str">
        <x:v>https://makanhalalguide.com/shop/detail/5109</x:v>
      </x:c>
      <x:c r="M601" s="52" t="str">
        <x:v>https://www.thaithurkic.com/mme-coffee-081-771-0603</x:v>
      </x:c>
      <x:c r="N601" s="8" t="str">
        <x:v>ยังไม่ยืนยัน</x:v>
      </x:c>
      <x:c r="O601" s="8" t="str">
        <x:v>ขอใบรับรองครัวหรือร้านที่ยังไม่หมดอายุ ยืนยันบุคลากรมุสลิม พื้นที่ละหมาดพร้อมที่อาบน้ำละหมาด และส่วนผสมอาหารหรือเครื่องดื่ม</x:v>
      </x:c>
      <x:c r="P601" s="40" t="n">
        <x:v>46315</x:v>
      </x:c>
      <x:c r="Q601" s="59" t="str">
        <x:v>ยังไม่ตรวจ</x:v>
      </x:c>
      <x:c r="R601" s="59" t="str">
        <x:v>รอติดต่อ</x:v>
      </x:c>
    </x:row>
    <x:row r="602" ht="84" customHeight="1">
      <x:c r="A602" s="2" t="str">
        <x:v>TMF-594</x:v>
      </x:c>
      <x:c r="B602" s="8" t="str">
        <x:v>โอเอซิสสปา ล้านนา วัดพระสิงห์</x:v>
      </x:c>
      <x:c r="C602" s="8" t="str">
        <x:v>เชียงใหม่</x:v>
      </x:c>
      <x:c r="D602" s="8" t="str">
        <x:v>อยู่ในชุด 600 ตามเส้นทาง</x:v>
      </x:c>
      <x:c r="E602" s="8" t="str">
        <x:v>พบชื่อสัมพันธ์หลายเว็บไซต์ รอยืนยันสาขา</x:v>
      </x:c>
      <x:c r="F602" s="8" t="str">
        <x:v>ยังไม่ยืนยันการเปิดให้บริการปัจจุบัน</x:v>
      </x:c>
      <x:c r="G602" s="58" t="n">
        <x:v>2</x:v>
      </x:c>
      <x:c r="H602" s="52" t="str"/>
      <x:c r="I602" s="52" t="str"/>
      <x:c r="J602" s="52" t="str">
        <x:v>https://www.tripadvisor.com/Attraction_Review-g293917-d1638189-Reviews-Oasis_Spa_Lanna-Chiang_Mai.html</x:v>
      </x:c>
      <x:c r="K602" s="52" t="str"/>
      <x:c r="L602" s="52" t="str">
        <x:v>https://oasisspa.net/en/destination/chiangmai/Lanna_Wat_Prasing/</x:v>
      </x:c>
      <x:c r="M602" s="52" t="str">
        <x:v>https://www.tripadvisor.com/Attraction_Review-g293917-d1638189-Reviews-Oasis_Spa_Lanna-Chiang_Mai.html</x:v>
      </x:c>
      <x:c r="N602" s="8" t="str">
        <x:v>ยังไม่ยืนยัน</x:v>
      </x:c>
      <x:c r="O602" s="8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P602" s="40" t="n">
        <x:v>46316</x:v>
      </x:c>
      <x:c r="Q602" s="59" t="str">
        <x:v>ยังไม่ตรวจ</x:v>
      </x:c>
      <x:c r="R602" s="59" t="str">
        <x:v>รอติดต่อ</x:v>
      </x:c>
    </x:row>
    <x:row r="603" ht="84" customHeight="1">
      <x:c r="A603" s="2" t="str">
        <x:v>TMF-595</x:v>
      </x:c>
      <x:c r="B603" s="8" t="str">
        <x:v>โอเอซิสสปา แอทนิมมาน</x:v>
      </x:c>
      <x:c r="C603" s="8" t="str">
        <x:v>เชียงใหม่</x:v>
      </x:c>
      <x:c r="D603" s="8" t="str">
        <x:v>อยู่ในชุด 600 ตามเส้นทาง</x:v>
      </x:c>
      <x:c r="E603" s="8" t="str">
        <x:v>พบชื่อสัมพันธ์หลายเว็บไซต์ รอยืนยันสาขา</x:v>
      </x:c>
      <x:c r="F603" s="8" t="str">
        <x:v>ยังไม่ยืนยันการเปิดให้บริการปัจจุบัน</x:v>
      </x:c>
      <x:c r="G603" s="58" t="n">
        <x:v>2</x:v>
      </x:c>
      <x:c r="H603" s="52" t="str"/>
      <x:c r="I603" s="52" t="str"/>
      <x:c r="J603" s="52" t="str"/>
      <x:c r="K603" s="52" t="str"/>
      <x:c r="L603" s="52" t="str">
        <x:v>https://oasisspa.net/en/destination/chiangmai/Nimman/</x:v>
      </x:c>
      <x:c r="M603" s="52" t="str">
        <x:v>https://www.voy-y.com/2024/05/blog-post_32.html</x:v>
      </x:c>
      <x:c r="N603" s="8" t="str">
        <x:v>ยังไม่ยืนยัน</x:v>
      </x:c>
      <x:c r="O603" s="8" t="str">
        <x:v>ตรวจใบอนุญาต ผู้ให้บริการเพศเดียวกัน พื้นที่ส่วนตัว ส่วนผสมผลิตภัณฑ์ พื้นที่ละหมาดและการเข้าถึงอาหารฮาลาล</x:v>
      </x:c>
      <x:c r="P603" s="40" t="n">
        <x:v>46315</x:v>
      </x:c>
      <x:c r="Q603" s="59" t="str">
        <x:v>ยังไม่ตรวจ</x:v>
      </x:c>
      <x:c r="R603" s="59" t="str">
        <x:v>รอติดต่อ</x:v>
      </x:c>
    </x:row>
    <x:row r="604" ht="84" customHeight="1">
      <x:c r="A604" s="2" t="str">
        <x:v>TMF-596</x:v>
      </x:c>
      <x:c r="B604" s="8" t="str">
        <x:v>ครัวอามีนะห์ (เจ๊มุ้ย) เพชรบูรณ์</x:v>
      </x:c>
      <x:c r="C604" s="8" t="str">
        <x:v>เพชรบูรณ์</x:v>
      </x:c>
      <x:c r="D604" s="8" t="str">
        <x:v>สำรองหลังปรับตามเส้นทาง</x:v>
      </x:c>
      <x:c r="E604" s="8" t="str">
        <x:v>พบหลายแหล่งสัมพันธ์กับชื่อ รอยืนยันการเปิด</x:v>
      </x:c>
      <x:c r="F604" s="8" t="str">
        <x:v>ยังไม่ยืนยันการเปิดให้บริการปัจจุบัน</x:v>
      </x:c>
      <x:c r="G604" s="58" t="n">
        <x:v>3</x:v>
      </x:c>
      <x:c r="H604" s="52" t="str">
        <x:v>HYPERLINK is not implemented. linkLocation=https://m.facebook.com/%25E0%25B8%2584%25E0%25B8%25A3%25E0%25B8%25B1%25E0%25B8%25A7%25E0%25B8%25AD%25E0%25B8%25B2%25E0%25B8%25A1%25E0%25B8%25B5%25E0%25B8%2599%25E0%25B8%25B0%25E0%25B8%25AB%25E0%25B9%258C-%25E0%25B9%2580%25E0%25B8%2588%25E0%25B9%258A%25E0%25B8%25A1%25E0%25B8%25B8%25E0%25B9%2589%25E0%25B8%25A2-356280624722063/, friendlyName=เปิดช่องทาง 1</x:v>
      </x:c>
      <x:c r="I604" s="52"/>
      <x:c r="J604" s="52" t="str">
        <x:v>HYPERLINK is not implemented. linkLocation=https://www.wongnai.com/reviews/a616113ae4b0443fab32bd5dd70dc508, friendlyName=เปิดหน้ารีวิว 1</x:v>
      </x:c>
      <x:c r="K604" s="52" t="str">
        <x:v>HYPERLINK is not implemented. linkLocation=https://www.wongnai.com/restaurants/164889Nz-%E0%B8%84%E0%B8%A3%E0%B8%B1%E0%B8%A7%E0%B8%AD%E0%B8%B2%E0%B8%A1%E0%B8%B5%E0%B8%99%E0%B8%B0%E0%B8%AB%E0%B9%8C-%E0%B9%80%E0%B8%88%E0%B9%8A%E0%B8%A1%E0%B8%B8%E0%B9%89%E0%B8%A2/photos/30b1e0ce850f4602895b14f73f2ce92a, friendlyName=เปิดหน้ารีวิว 2</x:v>
      </x:c>
      <x:c r="L604" s="52" t="str">
        <x:v>HYPERLINK is not implemented. linkLocation=https://thi.worldorgs.com/%E0%B9%81%E0%B8%84%E0%B8%95%E0%B8%95%E0%B8%B2%E0%B8%A5%E0%B9%87%E0%B8%AD%E0%B8%81/%E0%B8%AD.%E0%B9%80%E0%B8%A1%E0%B8%B7%E0%B8%AD%E0%B8%87/%E0%B8%A3%E0%B9%89%E0%B8%B2%E0%B8%99%E0%B8%82%E0%B8%AD%E0%B8%87%E0%B8%AB%E0%B8%A7%E0%B8%B2%E0%B8%99/%E0%B8%84%E0%B8%A3%E0%B8%B1%E0%B8%A7%E0%B8%AD%E0%B8%B2%E0%B8%A1%E0%B8%B5%E0%B8%99%E0%B8%B0%E0%B8%AB%E0%B9%8C-%E0%B9%80%E0%B8%88%E0%B9%8A%E0%B8%A1%E0%B8%B8%E0%B9%89%E0%B8%A2, friendlyName=เปิดเว็บเพิ่ม 1</x:v>
      </x:c>
      <x:c r="M604" s="52"/>
      <x:c r="N604" s="8" t="str">
        <x:v>ยังไม่ยืนยัน</x:v>
      </x:c>
      <x:c r="O604" s="8" t="str">
        <x:v>ยังไม่ยืนยันวันที่โพสต์/รีวิวล่าสุดและการเปิดให้บริการปัจจุบัน</x:v>
      </x:c>
      <x:c r="P604" s="40" t="n">
        <x:v>46315</x:v>
      </x:c>
      <x:c r="Q604" s="59" t="str">
        <x:v>ยังไม่ตรวจ</x:v>
      </x:c>
      <x:c r="R604" s="59" t="str">
        <x:v>รอติดต่อ</x:v>
      </x:c>
    </x:row>
    <x:row r="605" ht="84" customHeight="1">
      <x:c r="A605" s="2" t="str">
        <x:v>TMF-597</x:v>
      </x:c>
      <x:c r="B605" s="8" t="str">
        <x:v>AZIZ halal bread สุขุมวิท 49/14</x:v>
      </x:c>
      <x:c r="C605" s="8" t="str">
        <x:v>กรุงเทพมหานคร</x:v>
      </x:c>
      <x:c r="D605" s="8" t="str">
        <x:v>สำรองหลังปรับตามเส้นทาง</x:v>
      </x:c>
      <x:c r="E605" s="8" t="str">
        <x:v>พบหลายแหล่งสัมพันธ์กับชื่อ รอยืนยันการเปิด</x:v>
      </x:c>
      <x:c r="F605" s="8" t="str">
        <x:v>ยังไม่ยืนยันการเปิดให้บริการปัจจุบัน</x:v>
      </x:c>
      <x:c r="G605" s="58" t="n">
        <x:v>3</x:v>
      </x:c>
      <x:c r="H605" s="52"/>
      <x:c r="I605" s="52"/>
      <x:c r="J605" s="52" t="str">
        <x:v>HYPERLINK is not implemented. linkLocation=https://www.wongnai.com/restaurants/2877728XR-aziz-halal-bread-%E0%B8%AA%E0%B8%B8%E0%B8%82%E0%B8%B8%E0%B8%A1%E0%B8%A7%E0%B8%B4%E0%B8%97-49-14/photos/b4d75f9e2f8c4004a6e495e19373f3e2, friendlyName=เปิดหน้ารีวิว 1</x:v>
      </x:c>
      <x:c r="K605" s="52" t="str">
        <x:v>HYPERLINK is not implemented. linkLocation=https://www.wongnai.com/restaurants/2877728XR-aziz-halal-bread-sukhumvit-49-14/menu?menuGroupId=favourites, friendlyName=เปิดหน้ารีวิว 2</x:v>
      </x:c>
      <x:c r="L605" s="52" t="str">
        <x:v>HYPERLINK is not implemented. linkLocation=https://salaamthailand.com/ja/place/halal-bakery-aziz-halal-bread-1ujdx0/, friendlyName=เปิดเว็บเพิ่ม 1</x:v>
      </x:c>
      <x:c r="M605" s="52"/>
      <x:c r="N605" s="8" t="str">
        <x:v>ยังไม่ยืนยัน</x:v>
      </x:c>
      <x:c r="O605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05" s="40" t="n">
        <x:v>46315</x:v>
      </x:c>
      <x:c r="Q605" s="59" t="str">
        <x:v>ยังไม่ตรวจ</x:v>
      </x:c>
      <x:c r="R605" s="59" t="str">
        <x:v>รอติดต่อ</x:v>
      </x:c>
    </x:row>
    <x:row r="606" ht="84" customHeight="1">
      <x:c r="A606" s="2" t="str">
        <x:v>TMF-598</x:v>
      </x:c>
      <x:c r="B606" s="8" t="str">
        <x:v>กะเพรากระทะเดือด ฮาลาล &amp; Greek yogurt</x:v>
      </x:c>
      <x:c r="C606" s="8" t="str">
        <x:v>กรุงเทพมหานคร</x:v>
      </x:c>
      <x:c r="D606" s="8" t="str">
        <x:v>สำรองหลังปรับตามเส้นทาง</x:v>
      </x:c>
      <x:c r="E606" s="8" t="str">
        <x:v>หลักฐานไม่พอ รอยืนยันการเปิด</x:v>
      </x:c>
      <x:c r="F606" s="8" t="str">
        <x:v>ยังไม่ยืนยันการเปิดให้บริการปัจจุบัน</x:v>
      </x:c>
      <x:c r="G606" s="58" t="n">
        <x:v>1</x:v>
      </x:c>
      <x:c r="H606" s="52"/>
      <x:c r="I606" s="52"/>
      <x:c r="J606" s="52"/>
      <x:c r="K606" s="52"/>
      <x:c r="L606" s="52"/>
      <x:c r="M606" s="52"/>
      <x:c r="N606" s="8" t="str">
        <x:v>ยังไม่ยืนยัน</x:v>
      </x:c>
      <x:c r="O606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06" s="40" t="n">
        <x:v>46315</x:v>
      </x:c>
      <x:c r="Q606" s="59" t="str">
        <x:v>ยังไม่ตรวจ</x:v>
      </x:c>
      <x:c r="R606" s="59" t="str">
        <x:v>รอติดต่อ</x:v>
      </x:c>
    </x:row>
    <x:row r="607" ht="84" customHeight="1">
      <x:c r="A607" s="2" t="str">
        <x:v>TMF-599</x:v>
      </x:c>
      <x:c r="B607" s="8" t="str">
        <x:v>บัง ปัง ปาย</x:v>
      </x:c>
      <x:c r="C607" s="8" t="str">
        <x:v>แม่ฮ่องสอน</x:v>
      </x:c>
      <x:c r="D607" s="8" t="str">
        <x:v>สำรองหลังปรับตามเส้นทาง</x:v>
      </x:c>
      <x:c r="E607" s="8" t="str">
        <x:v>หลักฐานไม่พอ รอยืนยันการเปิด</x:v>
      </x:c>
      <x:c r="F607" s="8" t="str">
        <x:v>ยังไม่ยืนยันการเปิดให้บริการปัจจุบัน</x:v>
      </x:c>
      <x:c r="G607" s="58" t="n">
        <x:v>1</x:v>
      </x:c>
      <x:c r="H607" s="52"/>
      <x:c r="I607" s="52"/>
      <x:c r="J607" s="52"/>
      <x:c r="K607" s="52"/>
      <x:c r="L607" s="52"/>
      <x:c r="M607" s="52"/>
      <x:c r="N607" s="8" t="str">
        <x:v>ยังไม่ยืนยัน</x:v>
      </x:c>
      <x:c r="O607" s="8" t="str">
        <x:v>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07" s="40" t="n">
        <x:v>46315</x:v>
      </x:c>
      <x:c r="Q607" s="59" t="str">
        <x:v>ยังไม่ตรวจ</x:v>
      </x:c>
      <x:c r="R607" s="59" t="str">
        <x:v>รอติดต่อ</x:v>
      </x:c>
    </x:row>
    <x:row r="608" ht="84" customHeight="1">
      <x:c r="A608" s="2" t="str">
        <x:v>TMF-600</x:v>
      </x:c>
      <x:c r="B608" s="8" t="str">
        <x:v>สบายดีเฮ้าส์ แอทปาย</x:v>
      </x:c>
      <x:c r="C608" s="8" t="str">
        <x:v>แม่ฮ่องสอน</x:v>
      </x:c>
      <x:c r="D608" s="8" t="str">
        <x:v>สำรองหลังปรับตามเส้นทาง</x:v>
      </x:c>
      <x:c r="E608" s="8" t="str">
        <x:v>พบหลายแหล่งสัมพันธ์กับชื่อ รอยืนยันการเปิด</x:v>
      </x:c>
      <x:c r="F608" s="8" t="str">
        <x:v>ยังไม่ยืนยันการเปิดให้บริการปัจจุบัน</x:v>
      </x:c>
      <x:c r="G608" s="58" t="n">
        <x:v>3</x:v>
      </x:c>
      <x:c r="H608" s="52"/>
      <x:c r="I608" s="52"/>
      <x:c r="J608" s="52" t="str">
        <x:v>HYPERLINK is not implemented. linkLocation=https://www.google.com.sa/travel/hotels/entity/ChoIvsW9qvC6sfKAARoNL2cvMTFnMG12OTBycxAB?ap=MAC6AQZwcmljZXM&amp;gl=th&amp;gsas=1&amp;hl=th&amp;rp=OAFIAsICHCIaDQAAIkMSEwiu2Jmys5GXAxUUqsIIHctLIWc&amp;ts=CAEaBAoCGgAqBAoAGgA&amp;un=1, friendlyName=เปิดหน้ารีวิว 1</x:v>
      </x:c>
      <x:c r="K608" s="52"/>
      <x:c r="L608" s="52" t="str">
        <x:v>HYPERLINK is not implemented. linkLocation=https://www.thaithurkic.com/sabaydee-house-at-pai-097-106-2907, friendlyName=เปิดเว็บเพิ่ม 1</x:v>
      </x:c>
      <x:c r="M608" s="52"/>
      <x:c r="N608" s="8" t="str">
        <x:v>ยังไม่ยืนยัน</x:v>
      </x:c>
      <x:c r="O608" s="8" t="str">
        <x:v>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08" s="40" t="n">
        <x:v>46315</x:v>
      </x:c>
      <x:c r="Q608" s="59" t="str">
        <x:v>ยังไม่ตรวจ</x:v>
      </x:c>
      <x:c r="R608" s="59" t="str">
        <x:v>รอติดต่อ</x:v>
      </x:c>
    </x:row>
    <x:row r="609" ht="84" customHeight="1">
      <x:c r="A609" s="2" t="str">
        <x:v>GMHI-48</x:v>
      </x:c>
      <x:c r="B609" s="8" t="str">
        <x:v>Nikudake Halal Wagyu Sukiyaki</x:v>
      </x:c>
      <x:c r="C609" s="8" t="str">
        <x:v>สงขลา</x:v>
      </x:c>
      <x:c r="D609" s="8" t="str">
        <x:v>อยู่ในชุด 600 ตามเส้นทาง</x:v>
      </x:c>
      <x:c r="E609" s="8" t="str">
        <x:v>พบชื่อสัมพันธ์หลายเว็บไซต์ รอยืนยันสาขา</x:v>
      </x:c>
      <x:c r="F609" s="8" t="str">
        <x:v>ยังไม่ยืนยันการเปิดให้บริการปัจจุบัน</x:v>
      </x:c>
      <x:c r="G609" s="58" t="n">
        <x:v>4</x:v>
      </x:c>
      <x:c r="H609" s="52" t="str"/>
      <x:c r="I609" s="52" t="str"/>
      <x:c r="J609" s="52" t="str">
        <x:v>https://www.wongnai.com/restaurants/3188830oR-nikudake-halal-wagyu-sukiyaki-hatyai</x:v>
      </x:c>
      <x:c r="K609" s="52" t="str">
        <x:v>https://www.wongnai.com/reviews/9a2af6ce24004fbfaac1a87ade350956</x:v>
      </x:c>
      <x:c r="L609" s="52" t="str">
        <x:v>https://gmhi.co/th-th/services/Nikudake%20Halal%20Wagyu%20Sukiyaki-48</x:v>
      </x:c>
      <x:c r="M609" s="52" t="str">
        <x:v>https://www.wongnai.com/restaurants/3188830oR-nikudake-halal-wagyu-sukiyaki-hatyai</x:v>
      </x:c>
      <x:c r="N609" s="8" t="str">
        <x:v>ยังไม่ยืนยัน</x:v>
      </x:c>
      <x:c r="O609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09" s="40" t="n">
        <x:v>46315</x:v>
      </x:c>
      <x:c r="Q609" s="59" t="str">
        <x:v>ยังไม่ตรวจ</x:v>
      </x:c>
      <x:c r="R609" s="59" t="str">
        <x:v>รอติดต่อ</x:v>
      </x:c>
    </x:row>
    <x:row r="610" ht="84" customHeight="1">
      <x:c r="A610" s="2" t="str">
        <x:v>GMHI-27</x:v>
      </x:c>
      <x:c r="B610" s="8" t="str">
        <x:v>H-Banaat</x:v>
      </x:c>
      <x:c r="C610" s="8" t="str">
        <x:v>กรุงเทพมหานคร</x:v>
      </x:c>
      <x:c r="D610" s="8" t="str">
        <x:v>อยู่ในชุด 600 ตามเส้นทาง</x:v>
      </x:c>
      <x:c r="E610" s="8" t="str">
        <x:v>พบชื่อสัมพันธ์หลายเว็บไซต์ รอยืนยันสาขา</x:v>
      </x:c>
      <x:c r="F610" s="8" t="str">
        <x:v>ยังไม่ยืนยันการเปิดให้บริการปัจจุบัน</x:v>
      </x:c>
      <x:c r="G610" s="58" t="n">
        <x:v>4</x:v>
      </x:c>
      <x:c r="H610" s="52" t="str"/>
      <x:c r="I610" s="52" t="str"/>
      <x:c r="J610" s="52" t="str">
        <x:v>https://www.google.co.th/travel/hotels/entity/CgsI7df6-5mu7Nf7ARAB</x:v>
      </x:c>
      <x:c r="K610" s="52" t="str">
        <x:v>https://www.google.co.th/travel/hotels/entity/CgsI7df6-5mu7Nf7ARAB?rp=OAHCAhwiGg0AAIBBEhMIh5Pb6OLLlQMVvvJLAx2XBS1u&amp;ts=CAEaIAoCGgASGhIUCgcI6g8QCBgKEgcI6g8QCBgLGAEyAhAAKgkKBToDVVNEGgA</x:v>
      </x:c>
      <x:c r="L610" s="52" t="str">
        <x:v>https://thailandaddict.com/review-h-banaat-hotel-bangkok</x:v>
      </x:c>
      <x:c r="M610" s="52" t="str">
        <x:v>https://in.trip.com/hotels/bangkok-hotel-detail-127692490/h-banaat-hotel-near-yanhee-hospital/review.html</x:v>
      </x:c>
      <x:c r="N610" s="8" t="str">
        <x:v>ยังไม่ยืนยัน</x:v>
      </x:c>
      <x:c r="O610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ยังไม่พบแหล่งข้อมูลอีกแห่งที่จับคู่ชื่อได้ชัดเจน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10" s="40" t="n">
        <x:v>46316</x:v>
      </x:c>
      <x:c r="Q610" s="59" t="str">
        <x:v>ยังไม่ตรวจ</x:v>
      </x:c>
      <x:c r="R610" s="59" t="str">
        <x:v>รอติดต่อ</x:v>
      </x:c>
    </x:row>
    <x:row r="611" ht="84" customHeight="1">
      <x:c r="A611" s="2" t="str">
        <x:v>GMHI-28</x:v>
      </x:c>
      <x:c r="B611" s="8" t="str">
        <x:v>The Grill</x:v>
      </x:c>
      <x:c r="C611" s="8" t="str">
        <x:v>กรุงเทพมหานคร</x:v>
      </x:c>
      <x:c r="D611" s="8" t="str">
        <x:v>อยู่ในชุด 600 ตามเส้นทาง</x:v>
      </x:c>
      <x:c r="E611" s="8" t="str">
        <x:v>พบชื่อสัมพันธ์หลายเว็บไซต์ รอยืนยันสาขา</x:v>
      </x:c>
      <x:c r="F611" s="8" t="str">
        <x:v>ยังไม่ยืนยันการเปิดให้บริการปัจจุบัน</x:v>
      </x:c>
      <x:c r="G611" s="58" t="n">
        <x:v>4</x:v>
      </x:c>
      <x:c r="H611" s="52" t="str"/>
      <x:c r="I611" s="52" t="str"/>
      <x:c r="J611" s="52" t="str">
        <x:v>https://www.lemon8-app.com/@memeephapaieat/7653293351337067015?region=th</x:v>
      </x:c>
      <x:c r="K611" s="52" t="str"/>
      <x:c r="L611" s="52" t="str">
        <x:v>https://gmhi.co/th-th/services/The%20Grill-28</x:v>
      </x:c>
      <x:c r="M611" s="52" t="str">
        <x:v>https://makanhalalguide.com/stories/detail/The-Grill-Halal-Buffet-ramkhumhang53/300</x:v>
      </x:c>
      <x:c r="N611" s="8" t="str">
        <x:v>ยังไม่ยืนยัน</x:v>
      </x:c>
      <x:c r="O611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จำกัดการจับคู่เฉพาะ The Grill รามคำแหง 53 / ตัด The Grill Tokyo สยามพารากอนออกจากหลักฐาน / พบชื่อบัญชี Instagram และรีวิวสาขาที่สัมพันธ์กับชื่อ ยังต้องยืนยันเจ้าของบัญชีและวันที่เปิดปัจจุบัน</x:v>
      </x:c>
      <x:c r="P611" s="40" t="n">
        <x:v>46315</x:v>
      </x:c>
      <x:c r="Q611" s="59" t="str">
        <x:v>ยังไม่ตรวจ</x:v>
      </x:c>
      <x:c r="R611" s="59" t="str">
        <x:v>รอติดต่อ</x:v>
      </x:c>
    </x:row>
    <x:row r="612" ht="84" customHeight="1">
      <x:c r="A612" s="2" t="str">
        <x:v>GMHI-38</x:v>
      </x:c>
      <x:c r="B612" s="8" t="str">
        <x:v>FARAYA Cruise Restaurant</x:v>
      </x:c>
      <x:c r="C612" s="8" t="str">
        <x:v>กรุงเทพมหานคร</x:v>
      </x:c>
      <x:c r="D612" s="8" t="str">
        <x:v>อยู่ในชุด 600 ตามเส้นทาง</x:v>
      </x:c>
      <x:c r="E612" s="8" t="str">
        <x:v>พบชื่อสัมพันธ์หลายเว็บไซต์ รอยืนยันสาขา</x:v>
      </x:c>
      <x:c r="F612" s="8" t="str">
        <x:v>พบประกาศหยุดซ่อม 01/09–12/10/2026 ต้องยืนยันกลับมาเปิด</x:v>
      </x:c>
      <x:c r="G612" s="58" t="n">
        <x:v>5</x:v>
      </x:c>
      <x:c r="H612" s="52" t="str"/>
      <x:c r="I612" s="52" t="str"/>
      <x:c r="J612" s="52" t="str">
        <x:v>https://www.tripadvisor.com/Attraction_Review-g293916-d34222463-Reviews-Riverside_Faraya_Halal_Dinner_Cruise-Bangkok.html</x:v>
      </x:c>
      <x:c r="K612" s="52" t="str"/>
      <x:c r="L612" s="52" t="str">
        <x:v>https://chillpainai.com/public/en/products/7127</x:v>
      </x:c>
      <x:c r="M612" s="52" t="str">
        <x:v>https://www.headout.com/dinner-cruises/riverside-faraya-chao-phraya-dinner-cruise-with-halal-buffet-e-52395/</x:v>
      </x:c>
      <x:c r="N612" s="8" t="str">
        <x:v>ประกาศช่วงหยุดซ่อม 2026-09-01 ถึง 2026-10-12</x:v>
      </x:c>
      <x:c r="O612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เว็บไซต์ Riverside ระบุชื่อ Faraya และการรับรองอาหารฮาลาล / ผู้ขายตั๋วแจ้งหยุดซ่อม 1 ก.ย.–12 ต.ค. 2026 ยังไม่ยืนยันกลับมาเปิด / KKday ระบุเช็กอินเอเชียทีคตั้งแต่ 16 มิ.ย. 2026 ต้องยืนยันจุดขึ้นเรือปัจจุบัน / ต้องยืนยันกลับมาให้บริการหลังประกาศซ่อมบำรุง และท่าเรือที่ใช้จริง</x:v>
      </x:c>
      <x:c r="P612" s="40" t="n">
        <x:v>46316</x:v>
      </x:c>
      <x:c r="Q612" s="59" t="str">
        <x:v>ยังไม่ตรวจ</x:v>
      </x:c>
      <x:c r="R612" s="59" t="str">
        <x:v>รอติดต่อ</x:v>
      </x:c>
    </x:row>
    <x:row r="613" ht="84" customHeight="1">
      <x:c r="A613" s="2" t="str">
        <x:v>GMHI-31</x:v>
      </x:c>
      <x:c r="B613" s="8" t="str">
        <x:v>The Suan Dusit Place</x:v>
      </x:c>
      <x:c r="C613" s="8" t="str">
        <x:v>กรุงเทพมหานคร</x:v>
      </x:c>
      <x:c r="D613" s="8" t="str">
        <x:v>อยู่ในชุด 600 ตามเส้นทาง</x:v>
      </x:c>
      <x:c r="E613" s="8" t="str">
        <x:v>พบชื่อสัมพันธ์หลายเว็บไซต์ รอยืนยันสาขา</x:v>
      </x:c>
      <x:c r="F613" s="8" t="str">
        <x:v>ยังไม่ยืนยันการเปิดให้บริการปัจจุบัน</x:v>
      </x:c>
      <x:c r="G613" s="58" t="n">
        <x:v>3</x:v>
      </x:c>
      <x:c r="H613" s="52" t="str"/>
      <x:c r="I613" s="52" t="str"/>
      <x:c r="J613" s="52" t="str"/>
      <x:c r="K613" s="52" t="str"/>
      <x:c r="L613" s="52" t="str">
        <x:v>https://gmhi.co/th-th/services/The%20Suan%20Dusit%20Place-31</x:v>
      </x:c>
      <x:c r="M613" s="52" t="str">
        <x:v>https://www.skyscanner.co.th/hotels/thailand/bangkok-hotels/the-suan-dusit-place/ht-178867022</x:v>
      </x:c>
      <x:c r="N613" s="8" t="str">
        <x:v>ยังไม่ยืนยัน</x:v>
      </x:c>
      <x:c r="O613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13" s="40" t="n">
        <x:v>46315</x:v>
      </x:c>
      <x:c r="Q613" s="59" t="str">
        <x:v>ยังไม่ตรวจ</x:v>
      </x:c>
      <x:c r="R613" s="59" t="str">
        <x:v>รอติดต่อ</x:v>
      </x:c>
    </x:row>
    <x:row r="614" ht="84" customHeight="1">
      <x:c r="A614" s="2" t="str">
        <x:v>GMHI-54</x:v>
      </x:c>
      <x:c r="B614" s="8" t="str">
        <x:v>มิตรไมตรี dining café hatyai village</x:v>
      </x:c>
      <x:c r="C614" s="8" t="str">
        <x:v>สงขลา</x:v>
      </x:c>
      <x:c r="D614" s="8" t="str">
        <x:v>อยู่ในชุด 600 ตามเส้นทาง</x:v>
      </x:c>
      <x:c r="E614" s="8" t="str">
        <x:v>พบชื่อสัมพันธ์หลายเว็บไซต์ รอยืนยันสาขา</x:v>
      </x:c>
      <x:c r="F614" s="8" t="str">
        <x:v>ยังไม่ยืนยันการเปิดให้บริการปัจจุบัน</x:v>
      </x:c>
      <x:c r="G614" s="58" t="n">
        <x:v>3</x:v>
      </x:c>
      <x:c r="H614" s="52" t="str"/>
      <x:c r="I614" s="52" t="str"/>
      <x:c r="J614" s="52" t="str">
        <x:v>https://www.lemon8-app.com/cenazee/7413327899681423889?region=th</x:v>
      </x:c>
      <x:c r="K614" s="52" t="str">
        <x:v>https://www.lemon8-app.com/%40eatwihtmeseesawseen/7413327899681423889?region=th</x:v>
      </x:c>
      <x:c r="L614" s="52" t="str">
        <x:v>https://gmhi.co/th-th/services/%E0%B8%A1%E0%B8%B4%E0%B8%95%E0%B8%A3%E0%B9%84%E0%B8%A1%E0%B8%95%E0%B8%A3%E0%B8%B5%20dining%20caf%C3%A9%20hatyai%20village-54</x:v>
      </x:c>
      <x:c r="M614" s="52" t="str">
        <x:v>https://www.havehalalwilltravel.com/halal-restaurants/detail/%E0%B8%A1%E0%B8%95%E0%B8%A3%E0%B9%84%E0%B8%A1%E0%B8%95%E0%B8%A3-dining-caf%C3%A9-hatyai-village</x:v>
      </x:c>
      <x:c r="N614" s="8" t="str">
        <x:v>ยังไม่ยืนยัน</x:v>
      </x:c>
      <x:c r="O614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14" s="40" t="n">
        <x:v>46315</x:v>
      </x:c>
      <x:c r="Q614" s="59" t="str">
        <x:v>ยังไม่ตรวจ</x:v>
      </x:c>
      <x:c r="R614" s="59" t="str">
        <x:v>รอติดต่อ</x:v>
      </x:c>
    </x:row>
    <x:row r="615" ht="84" customHeight="1">
      <x:c r="A615" s="2" t="str">
        <x:v>GMHI-37</x:v>
      </x:c>
      <x:c r="B615" s="8" t="str">
        <x:v>Bi'halalika Roti &amp; Bistro</x:v>
      </x:c>
      <x:c r="C615" s="8" t="str">
        <x:v>กรุงเทพมหานคร</x:v>
      </x:c>
      <x:c r="D615" s="8" t="str">
        <x:v>อยู่ในชุด 600 ตามเส้นทาง</x:v>
      </x:c>
      <x:c r="E615" s="8" t="str">
        <x:v>พบชื่อสัมพันธ์หลายเว็บไซต์ รอยืนยันสาขา</x:v>
      </x:c>
      <x:c r="F615" s="8" t="str">
        <x:v>ยังไม่ยืนยันการเปิดให้บริการปัจจุบัน</x:v>
      </x:c>
      <x:c r="G615" s="58" t="n">
        <x:v>4</x:v>
      </x:c>
      <x:c r="H615" s="52" t="str"/>
      <x:c r="I615" s="52" t="str"/>
      <x:c r="J615" s="52" t="str">
        <x:v>https://th.tripadvisor.com/Restaurant_Review-g293916-d32710368-Reviews-Bi_halalika_Roti_Bistro-Bangkok.html</x:v>
      </x:c>
      <x:c r="K615" s="52" t="str">
        <x:v>https://www.tripadvisor.com/Restaurant_Review-g293916-d32710368-Reviews-Bi_halalika_Roti_Bistro-Bangkok.html</x:v>
      </x:c>
      <x:c r="L615" s="52" t="str">
        <x:v>https://gmhi.co/th-th/services/Bi%27halalika%20Roti%20%26%20Bistro-37</x:v>
      </x:c>
      <x:c r="M615" s="52" t="str">
        <x:v>https://th.tripadvisor.com/Restaurant_Review-g293916-d32710368-Reviews-Bi_halalika_Roti_Bistro-Bangkok.html</x:v>
      </x:c>
      <x:c r="N615" s="8" t="str">
        <x:v>ยังไม่ยืนยัน</x:v>
      </x:c>
      <x:c r="O615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ยังไม่ยืนยันวันที่โพสต์/รีวิวล่าสุดและการเปิดให้บริการปัจจุบัน</x:v>
      </x:c>
      <x:c r="P615" s="40" t="n">
        <x:v>46315</x:v>
      </x:c>
      <x:c r="Q615" s="59" t="str">
        <x:v>ยังไม่ตรวจ</x:v>
      </x:c>
      <x:c r="R615" s="59" t="str">
        <x:v>รอติดต่อ</x:v>
      </x:c>
    </x:row>
    <x:row r="616" ht="84" customHeight="1">
      <x:c r="A616" s="2" t="str">
        <x:v>GMHI-50</x:v>
      </x:c>
      <x:c r="B616" s="8" t="str">
        <x:v>เนื้อล้วนล้วน Halal Wagyu Yakiniku Hatyai</x:v>
      </x:c>
      <x:c r="C616" s="8" t="str">
        <x:v>สงขลา</x:v>
      </x:c>
      <x:c r="D616" s="8" t="str">
        <x:v>อยู่ในชุด 600 ตามเส้นทาง</x:v>
      </x:c>
      <x:c r="E616" s="8" t="str">
        <x:v>พบชื่อสัมพันธ์หลายเว็บไซต์ รอยืนยันสาขา</x:v>
      </x:c>
      <x:c r="F616" s="8" t="str">
        <x:v>ยังไม่ยืนยันการเปิดให้บริการปัจจุบัน</x:v>
      </x:c>
      <x:c r="G616" s="58" t="n">
        <x:v>2</x:v>
      </x:c>
      <x:c r="H616" s="52" t="str"/>
      <x:c r="I616" s="52" t="str"/>
      <x:c r="J616" s="52" t="str"/>
      <x:c r="K616" s="52" t="str"/>
      <x:c r="L616" s="52" t="str">
        <x:v>https://gmhi.co/th-th/services/%E0%B9%80%E0%B8%99%E0%B8%B7%E0%B9%89%E0%B8%AD%E0%B8%A5%E0%B9%89%E0%B8%A7%E0%B8%99%E0%B8%A5%E0%B9%89%E0%B8%A7%E0%B8%99%20Halal%20Wagyu%20Yakiniku%20Hatyai-50</x:v>
      </x:c>
      <x:c r="M616" s="52" t="str">
        <x:v>https://friendsbusy.com/judcheckin/%E0%B9%80%E0%B8%99%E0%B8%B7%E0%B9%89%E0%B8%AD%E0%B8%A5%E0%B9%89%E0%B8%A7%E0%B8%99%E0%B8%A5%E0%B9%89%E0%B8%A7%E0%B8%99-halal-wagyu-yakiniku-hatyai/</x:v>
      </x:c>
      <x:c r="N616" s="8" t="str">
        <x:v>ยังไม่ยืนยัน</x:v>
      </x:c>
      <x:c r="O616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ยังไม่พบหน้ารีวิวที่จับคู่ได้ชัดเจน / ยังไม่ยืนยันวันที่โพสต์/รีวิวล่าสุดและการเปิดให้บริการปัจจุบัน</x:v>
      </x:c>
      <x:c r="P616" s="40" t="n">
        <x:v>46315</x:v>
      </x:c>
      <x:c r="Q616" s="59" t="str">
        <x:v>ยังไม่ตรวจ</x:v>
      </x:c>
      <x:c r="R616" s="59" t="str">
        <x:v>รอติดต่อ</x:v>
      </x:c>
    </x:row>
    <x:row r="617" ht="84" customHeight="1">
      <x:c r="A617" s="2" t="str">
        <x:v>GMHI-33</x:v>
      </x:c>
      <x:c r="B617" s="8" t="str">
        <x:v>Just Salt Steak</x:v>
      </x:c>
      <x:c r="C617" s="8" t="str">
        <x:v>กรุงเทพมหานคร</x:v>
      </x:c>
      <x:c r="D617" s="8" t="str">
        <x:v>อยู่ในชุด 600 ตามเส้นทาง</x:v>
      </x:c>
      <x:c r="E617" s="8" t="str">
        <x:v>พบชื่อสัมพันธ์หลายเว็บไซต์ รอยืนยันสาขา</x:v>
      </x:c>
      <x:c r="F617" s="8" t="str">
        <x:v>ยังไม่ยืนยันการเปิดให้บริการปัจจุบัน</x:v>
      </x:c>
      <x:c r="G617" s="58" t="n">
        <x:v>4</x:v>
      </x:c>
      <x:c r="H617" s="52" t="str"/>
      <x:c r="I617" s="52" t="str"/>
      <x:c r="J617" s="52" t="str">
        <x:v>https://www.wongnai.com/restaurants/490824MB-the-grill-just-salt-steak</x:v>
      </x:c>
      <x:c r="K617" s="52" t="str">
        <x:v>https://www.wongnai.com/restaurants/490824MB-just-salt-steak-just-salt-steak</x:v>
      </x:c>
      <x:c r="L617" s="52" t="str">
        <x:v>https://gmhi.co/th-th/services/Just%20Salt%20Steak-33</x:v>
      </x:c>
      <x:c r="M617" s="52" t="str">
        <x:v>https://www.wongnai.com/restaurants/490824MB-the-grill-just-salt-steak</x:v>
      </x:c>
      <x:c r="N617" s="8" t="str">
        <x:v>ยังไม่ยืนยัน</x:v>
      </x:c>
      <x:c r="O617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17" s="40" t="n">
        <x:v>46315</x:v>
      </x:c>
      <x:c r="Q617" s="59" t="str">
        <x:v>ยังไม่ตรวจ</x:v>
      </x:c>
      <x:c r="R617" s="59" t="str">
        <x:v>รอติดต่อ</x:v>
      </x:c>
    </x:row>
    <x:row r="618" ht="84" customHeight="1">
      <x:c r="A618" s="2" t="str">
        <x:v>GMHI-2</x:v>
      </x:c>
      <x:c r="B618" s="8" t="str">
        <x:v>Rembrandt Hotel Bangkok</x:v>
      </x:c>
      <x:c r="C618" s="8" t="str">
        <x:v>กรุงเทพมหานคร</x:v>
      </x:c>
      <x:c r="D618" s="8" t="str">
        <x:v>อยู่ในชุด 600 ตามเส้นทาง</x:v>
      </x:c>
      <x:c r="E618" s="8" t="str">
        <x:v>พบชื่อสัมพันธ์หลายเว็บไซต์ รอยืนยันสาขา</x:v>
      </x:c>
      <x:c r="F618" s="8" t="str">
        <x:v>ยังไม่ยืนยันการเปิดให้บริการปัจจุบัน</x:v>
      </x:c>
      <x:c r="G618" s="58" t="n">
        <x:v>8</x:v>
      </x:c>
      <x:c r="H618" s="52" t="str"/>
      <x:c r="I618" s="52" t="str"/>
      <x:c r="J618" s="52" t="str">
        <x:v>https://www.tripadvisor.com/Hotel_Review-g293916-d305496-Reviews-Rembrandt_Hotel_Bangkok-Bangkok.html</x:v>
      </x:c>
      <x:c r="K618" s="52" t="str">
        <x:v>https://www.agoda.com/en-us/rembrandt-hotel-and-towers-bangkok/hotel/bangkok-th.html</x:v>
      </x:c>
      <x:c r="L618" s="52" t="str">
        <x:v>https://gmhi.co/th-th/services/Rembrandt%20Hotel%20Bangkok-2</x:v>
      </x:c>
      <x:c r="M618" s="52" t="str">
        <x:v>https://rembrandthotelbangkok.com/rembrandt-hotel-bangkok-faq/</x:v>
      </x:c>
      <x:c r="N618" s="8" t="str">
        <x:v>ยังไม่ยืนยัน</x:v>
      </x:c>
      <x:c r="O618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ยังไม่ยืนยันวันที่โพสต์/รีวิวล่าสุดและการเปิดให้บริการปัจจุบัน</x:v>
      </x:c>
      <x:c r="P618" s="40" t="n">
        <x:v>46315</x:v>
      </x:c>
      <x:c r="Q618" s="59" t="str">
        <x:v>ยังไม่ตรวจ</x:v>
      </x:c>
      <x:c r="R618" s="59" t="str">
        <x:v>รอติดต่อ</x:v>
      </x:c>
    </x:row>
    <x:row r="619" ht="84" customHeight="1">
      <x:c r="A619" s="2" t="str">
        <x:v>GMHI-30</x:v>
      </x:c>
      <x:c r="B619" s="8" t="str">
        <x:v>W22 by Burasari</x:v>
      </x:c>
      <x:c r="C619" s="8" t="str">
        <x:v>กรุงเทพมหานคร</x:v>
      </x:c>
      <x:c r="D619" s="8" t="str">
        <x:v>อยู่ในชุด 600 ตามเส้นทาง</x:v>
      </x:c>
      <x:c r="E619" s="8" t="str">
        <x:v>พบชื่อสัมพันธ์หลายเว็บไซต์ รอยืนยันสาขา</x:v>
      </x:c>
      <x:c r="F619" s="8" t="str">
        <x:v>ยังไม่ยืนยันการเปิดให้บริการปัจจุบัน</x:v>
      </x:c>
      <x:c r="G619" s="58" t="n">
        <x:v>6</x:v>
      </x:c>
      <x:c r="H619" s="52" t="str"/>
      <x:c r="I619" s="52" t="str"/>
      <x:c r="J619" s="52" t="str">
        <x:v>https://www.booking.com/hotel/th/w22.th.html</x:v>
      </x:c>
      <x:c r="K619" s="52" t="str">
        <x:v>https://www.tripadvisor.com/Hotel_Review-g293916-d14931706-Reviews-W22_by_Burasari-Bangkok.html</x:v>
      </x:c>
      <x:c r="L619" s="52" t="str">
        <x:v>https://gmhi.co/th-th/services/W22%20by%20Burasari-30</x:v>
      </x:c>
      <x:c r="M619" s="52" t="str">
        <x:v>https://www.booking.com/hotel/th/w22.th.html</x:v>
      </x:c>
      <x:c r="N619" s="8" t="str">
        <x:v>ยังไม่ยืนยัน</x:v>
      </x:c>
      <x:c r="O619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19" s="40" t="n">
        <x:v>46315</x:v>
      </x:c>
      <x:c r="Q619" s="59" t="str">
        <x:v>ยังไม่ตรวจ</x:v>
      </x:c>
      <x:c r="R619" s="59" t="str">
        <x:v>รอติดต่อ</x:v>
      </x:c>
    </x:row>
    <x:row r="620" ht="84" customHeight="1">
      <x:c r="A620" s="2" t="str">
        <x:v>GMHI-53</x:v>
      </x:c>
      <x:c r="B620" s="8" t="str">
        <x:v>Reborn</x:v>
      </x:c>
      <x:c r="C620" s="8" t="str">
        <x:v>สงขลา</x:v>
      </x:c>
      <x:c r="D620" s="8" t="str">
        <x:v>อยู่ในชุด 600 ตามเส้นทาง</x:v>
      </x:c>
      <x:c r="E620" s="8" t="str">
        <x:v>พบชื่อสัมพันธ์หลายเว็บไซต์ รอยืนยันสาขา</x:v>
      </x:c>
      <x:c r="F620" s="8" t="str">
        <x:v>ยังไม่ยืนยันการเปิดให้บริการปัจจุบัน</x:v>
      </x:c>
      <x:c r="G620" s="58" t="n">
        <x:v>3</x:v>
      </x:c>
      <x:c r="H620" s="52" t="str"/>
      <x:c r="I620" s="52" t="str"/>
      <x:c r="J620" s="52" t="str"/>
      <x:c r="K620" s="52" t="str"/>
      <x:c r="L620" s="52" t="str">
        <x:v>https://gmhi.co/th-th/services/Reborn-53</x:v>
      </x:c>
      <x:c r="M620" s="52" t="str">
        <x:v>https://www.reborninthailand.com/rrc/</x:v>
      </x:c>
      <x:c r="N620" s="8" t="str">
        <x:v>ยังไม่ยืนยัน</x:v>
      </x:c>
      <x:c r="O620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พบเว็บไซต์ศูนย์และรายชื่อสถานฟื้นฟูของหน่วยงานรัฐในอำเภอสิงหนคร สงขลา / เป็นศูนย์ฟื้นฟูเฉพาะทาง ต้องให้ผู้เชี่ยวชาญตรวจความเหมาะสมกับขอบเขตโครงการท่องเที่ยว / ยังไม่ยืนยันรีวิวหรือกิจกรรมล่าสุด</x:v>
      </x:c>
      <x:c r="P620" s="40" t="n">
        <x:v>46315</x:v>
      </x:c>
      <x:c r="Q620" s="59" t="str">
        <x:v>ยังไม่ตรวจ</x:v>
      </x:c>
      <x:c r="R620" s="59" t="str">
        <x:v>รอติดต่อ</x:v>
      </x:c>
    </x:row>
    <x:row r="621" ht="84" customHeight="1">
      <x:c r="A621" s="2" t="str">
        <x:v>GMHI-3</x:v>
      </x:c>
      <x:c r="B621" s="8" t="str">
        <x:v>Crystal Hotel Hat Yai</x:v>
      </x:c>
      <x:c r="C621" s="8" t="str">
        <x:v>สงขลา</x:v>
      </x:c>
      <x:c r="D621" s="8" t="str">
        <x:v>อยู่ในชุด 600 ตามเส้นทาง</x:v>
      </x:c>
      <x:c r="E621" s="8" t="str">
        <x:v>พบชื่อสัมพันธ์หลายเว็บไซต์ รอยืนยันสาขา</x:v>
      </x:c>
      <x:c r="F621" s="8" t="str">
        <x:v>ยังไม่ยืนยันการเปิดให้บริการปัจจุบัน</x:v>
      </x:c>
      <x:c r="G621" s="58" t="n">
        <x:v>5</x:v>
      </x:c>
      <x:c r="H621" s="52" t="str"/>
      <x:c r="I621" s="52" t="str"/>
      <x:c r="J621" s="52" t="str">
        <x:v>https://my.trip.com/hotels/hat-yai-hotel-detail-5908499/crystal-hotel-hat-yai/review.html</x:v>
      </x:c>
      <x:c r="K621" s="52" t="str">
        <x:v>https://www.trip.com/hotels/hat-yai-hotel-detail-5908499/crystal-hotel-hat-yai/review.html</x:v>
      </x:c>
      <x:c r="L621" s="52" t="str">
        <x:v>https://gmhi.co/th-th/services/Crystal%20Hotel%20Hat%20Yai-3</x:v>
      </x:c>
      <x:c r="M621" s="52" t="str">
        <x:v>https://www.crystalhotelhatyai.com/contact-us.html</x:v>
      </x:c>
      <x:c r="N621" s="8" t="str">
        <x:v>ยังไม่ยืนยัน</x:v>
      </x:c>
      <x:c r="O621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21" s="40" t="n">
        <x:v>46315</x:v>
      </x:c>
      <x:c r="Q621" s="59" t="str">
        <x:v>ยังไม่ตรวจ</x:v>
      </x:c>
      <x:c r="R621" s="59" t="str">
        <x:v>รอติดต่อ</x:v>
      </x:c>
    </x:row>
    <x:row r="622" ht="84" customHeight="1">
      <x:c r="A622" s="2" t="str">
        <x:v>GMHI-6</x:v>
      </x:c>
      <x:c r="B622" s="8" t="str">
        <x:v>The Three Sleep</x:v>
      </x:c>
      <x:c r="C622" s="8" t="str">
        <x:v>ตรัง</x:v>
      </x:c>
      <x:c r="D622" s="8" t="str">
        <x:v>อยู่ในชุด 600 ตามเส้นทาง</x:v>
      </x:c>
      <x:c r="E622" s="8" t="str">
        <x:v>พบชื่อสัมพันธ์หลายเว็บไซต์ รอยืนยันสาขา</x:v>
      </x:c>
      <x:c r="F622" s="8" t="str">
        <x:v>ยังไม่ยืนยันการเปิดให้บริการปัจจุบัน</x:v>
      </x:c>
      <x:c r="G622" s="58" t="n">
        <x:v>4</x:v>
      </x:c>
      <x:c r="H622" s="52" t="str"/>
      <x:c r="I622" s="52" t="str"/>
      <x:c r="J622" s="52" t="str">
        <x:v>https://wanderlog.com/place/details/3206295/the-tree-sleep-and-space</x:v>
      </x:c>
      <x:c r="K622" s="52" t="str">
        <x:v>https://www.booking.com/hotel/th/the-tree-sleep-and-space.en-gb.html</x:v>
      </x:c>
      <x:c r="L622" s="52" t="str">
        <x:v>https://gmhi.co/th-th/services/The%20Three%20Sleep-6</x:v>
      </x:c>
      <x:c r="M622" s="52" t="str">
        <x:v>https://wanderlog.com/place/details/3206295/the-tree-sleep-and-space</x:v>
      </x:c>
      <x:c r="N622" s="8" t="str">
        <x:v>2025-09-18 (รีวิว Google ที่แสดงใน Wanderlog)</x:v>
      </x:c>
      <x:c r="O622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ทะเบียน GMHI ใช้ชื่อ The Three Sleep แต่ที่อยู่ 25/1 Choem Panya ตรงกับ The Tree Sleep and Space ใน Booking ต้องยืนยันชื่อกับสถานที่ / พบรีวิวปี 2025 ยังไม่ยืนยันการเปิดปัจจุบัน</x:v>
      </x:c>
      <x:c r="P622" s="40" t="n">
        <x:v>46315</x:v>
      </x:c>
      <x:c r="Q622" s="59" t="str">
        <x:v>ยังไม่ตรวจ</x:v>
      </x:c>
      <x:c r="R622" s="59" t="str">
        <x:v>รอติดต่อ</x:v>
      </x:c>
    </x:row>
    <x:row r="623" ht="84" customHeight="1">
      <x:c r="A623" s="2" t="str">
        <x:v>GMHI-7</x:v>
      </x:c>
      <x:c r="B623" s="8" t="str">
        <x:v>PUN Chocolate</x:v>
      </x:c>
      <x:c r="C623" s="8" t="str">
        <x:v>สงขลา</x:v>
      </x:c>
      <x:c r="D623" s="8" t="str">
        <x:v>อยู่ในชุด 600 ตามเส้นทาง</x:v>
      </x:c>
      <x:c r="E623" s="8" t="str">
        <x:v>พบชื่อสัมพันธ์หลายเว็บไซต์ รอยืนยันสาขา</x:v>
      </x:c>
      <x:c r="F623" s="8" t="str">
        <x:v>ยังไม่ยืนยันการเปิดให้บริการปัจจุบัน</x:v>
      </x:c>
      <x:c r="G623" s="58" t="n">
        <x:v>6</x:v>
      </x:c>
      <x:c r="H623" s="52" t="str"/>
      <x:c r="I623" s="52" t="str"/>
      <x:c r="J623" s="52" t="str">
        <x:v>https://www.wongnai.com/restaurants/2597556Zc-pun-chocolate</x:v>
      </x:c>
      <x:c r="K623" s="52" t="str">
        <x:v>https://wanderlog.com/place/details/12852567/pun-chocolate</x:v>
      </x:c>
      <x:c r="L623" s="52" t="str">
        <x:v>https://gmhi.co/th-th/services/PUN%20Chocolate-7</x:v>
      </x:c>
      <x:c r="M623" s="52" t="str">
        <x:v>https://www.tasteatlas.com/pun-chocolate-dark-chocolate-72-cocoa-songkhla-origin</x:v>
      </x:c>
      <x:c r="N623" s="8" t="str">
        <x:v>ยังไม่ยืนยัน</x:v>
      </x:c>
      <x:c r="O623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23" s="40" t="n">
        <x:v>46315</x:v>
      </x:c>
      <x:c r="Q623" s="59" t="str">
        <x:v>ยังไม่ตรวจ</x:v>
      </x:c>
      <x:c r="R623" s="59" t="str">
        <x:v>รอติดต่อ</x:v>
      </x:c>
    </x:row>
    <x:row r="624" ht="84" customHeight="1">
      <x:c r="A624" s="2" t="str">
        <x:v>GMHI-20</x:v>
      </x:c>
      <x:c r="B624" s="8" t="str">
        <x:v>The signature hotel airport</x:v>
      </x:c>
      <x:c r="C624" s="8" t="str">
        <x:v>สงขลา</x:v>
      </x:c>
      <x:c r="D624" s="8" t="str">
        <x:v>อยู่ในชุด 600 ตามเส้นทาง</x:v>
      </x:c>
      <x:c r="E624" s="8" t="str">
        <x:v>พบชื่อสัมพันธ์หลายเว็บไซต์ รอยืนยันสาขา</x:v>
      </x:c>
      <x:c r="F624" s="8" t="str">
        <x:v>ยังไม่ยืนยันการเปิดให้บริการปัจจุบัน</x:v>
      </x:c>
      <x:c r="G624" s="58" t="n">
        <x:v>6</x:v>
      </x:c>
      <x:c r="H624" s="52" t="str"/>
      <x:c r="I624" s="52" t="str"/>
      <x:c r="J624" s="52" t="str">
        <x:v>https://www.tripadvisor.com/Hotel_Review-g297921-d23453920-Reviews-The_Signature_Hotel_Airport-Hat_Yai_Hat_Yai_District_Songkhla_Province.html</x:v>
      </x:c>
      <x:c r="K624" s="52" t="str">
        <x:v>https://www.agoda.com/the-signature-hotel-airport/hotel/hat-yai-th.html</x:v>
      </x:c>
      <x:c r="L624" s="52" t="str">
        <x:v>https://gmhi.co/th-th/services/The%20signature%20hotel%20airport-20</x:v>
      </x:c>
      <x:c r="M624" s="52" t="str">
        <x:v>https://www.tripadvisor.com/Hotel_Review-g297921-d23453920-Reviews-The_Signature_Hotel_Airport-Hat_Yai_Hat_Yai_District_Songkhla_Province.html</x:v>
      </x:c>
      <x:c r="N624" s="8" t="str">
        <x:v>ยังไม่ยืนยัน</x:v>
      </x:c>
      <x:c r="O624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24" s="40" t="n">
        <x:v>46315</x:v>
      </x:c>
      <x:c r="Q624" s="59" t="str">
        <x:v>ยังไม่ตรวจ</x:v>
      </x:c>
      <x:c r="R624" s="59" t="str">
        <x:v>รอติดต่อ</x:v>
      </x:c>
    </x:row>
    <x:row r="625" ht="84" customHeight="1">
      <x:c r="A625" s="2" t="str">
        <x:v>GMHI-56</x:v>
      </x:c>
      <x:c r="B625" s="8" t="str">
        <x:v>The Grand Fourwings Convention Hotel Bangkok</x:v>
      </x:c>
      <x:c r="C625" s="8" t="str">
        <x:v>กรุงเทพมหานคร</x:v>
      </x:c>
      <x:c r="D625" s="8" t="str">
        <x:v>อยู่ในชุด 600 ตามเส้นทาง</x:v>
      </x:c>
      <x:c r="E625" s="8" t="str">
        <x:v>พบชื่อสัมพันธ์หลายเว็บไซต์ รอยืนยันสาขา</x:v>
      </x:c>
      <x:c r="F625" s="8" t="str">
        <x:v>ยังไม่ยืนยันการเปิดให้บริการปัจจุบัน</x:v>
      </x:c>
      <x:c r="G625" s="58" t="n">
        <x:v>7</x:v>
      </x:c>
      <x:c r="H625" s="52" t="str"/>
      <x:c r="I625" s="52" t="str"/>
      <x:c r="J625" s="52" t="str">
        <x:v>https://www.trip.com/hotels/bangkok-hotel-detail-702928/the-grand-fourwings-convention-hotel-bangkok/review.html</x:v>
      </x:c>
      <x:c r="K625" s="52" t="str">
        <x:v>https://us.trip.com/hotels/bangkok-hotel-detail-702928/the-grand-fourwings-convention-hotel-bangkok/review.html</x:v>
      </x:c>
      <x:c r="L625" s="52" t="str">
        <x:v>https://gmhi.co/th-th/services/The%20Grand%20Fourwings%20Convention%20Hotel%20Bangkok-56</x:v>
      </x:c>
      <x:c r="M625" s="52" t="str">
        <x:v>https://www.trip.com/hotels/bangkok-hotel-detail-702928/the-grand-fourwings-convention-hotel-bangkok/review.html</x:v>
      </x:c>
      <x:c r="N625" s="8" t="str">
        <x:v>ยังไม่ยืนยัน</x:v>
      </x:c>
      <x:c r="O625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25" s="40" t="n">
        <x:v>46315</x:v>
      </x:c>
      <x:c r="Q625" s="59" t="str">
        <x:v>ยังไม่ตรวจ</x:v>
      </x:c>
      <x:c r="R625" s="59" t="str">
        <x:v>รอติดต่อ</x:v>
      </x:c>
    </x:row>
    <x:row r="626" ht="84" customHeight="1">
      <x:c r="A626" s="2" t="str">
        <x:v>GMHI-51</x:v>
      </x:c>
      <x:c r="B626" s="8" t="str">
        <x:v>ATG Southsea</x:v>
      </x:c>
      <x:c r="C626" s="8" t="str">
        <x:v>ภูเก็ต</x:v>
      </x:c>
      <x:c r="D626" s="8" t="str">
        <x:v>อยู่ในชุด 600 ตามเส้นทาง</x:v>
      </x:c>
      <x:c r="E626" s="8" t="str">
        <x:v>พบชื่อสัมพันธ์หลายเว็บไซต์ รอยืนยันสาขา</x:v>
      </x:c>
      <x:c r="F626" s="8" t="str">
        <x:v>ยังไม่ยืนยันการเปิดให้บริการปัจจุบัน</x:v>
      </x:c>
      <x:c r="G626" s="58" t="n">
        <x:v>2</x:v>
      </x:c>
      <x:c r="H626" s="52" t="str"/>
      <x:c r="I626" s="52" t="str"/>
      <x:c r="J626" s="52" t="str"/>
      <x:c r="K626" s="52" t="str"/>
      <x:c r="L626" s="52" t="str">
        <x:v>https://gmhi.co/th-th/services/ATG%20Southsea-51</x:v>
      </x:c>
      <x:c r="M626" s="52" t="str">
        <x:v>https://www.atgenes.com/apoe/</x:v>
      </x:c>
      <x:c r="N626" s="8" t="str">
        <x:v>ยังไม่ยืนยัน</x:v>
      </x:c>
      <x:c r="O626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เว็บไซต์ ATGenes ระบุช่องทาง LINE @atg-southsea และโทรศัพท์สาขาภูเก็ต 081-132-4961 / ที่อยู่และหมุดในทะเบียน GMHI ซ้ำกับ Icellare ต้องยืนยันว่าใช้สถานที่เดียวกันหรือข้อมูลทะเบียนคลาดเคลื่อน / ยังไม่พบรีวิวที่ยืนยันสาขาได้ชัด</x:v>
      </x:c>
      <x:c r="P626" s="40" t="n">
        <x:v>46315</x:v>
      </x:c>
      <x:c r="Q626" s="59" t="str">
        <x:v>ยังไม่ตรวจ</x:v>
      </x:c>
      <x:c r="R626" s="59" t="str">
        <x:v>รอติดต่อ</x:v>
      </x:c>
    </x:row>
    <x:row r="627" ht="84" customHeight="1">
      <x:c r="A627" s="2" t="str">
        <x:v>GMHI-21</x:v>
      </x:c>
      <x:c r="B627" s="8" t="str">
        <x:v>The Cozy 77</x:v>
      </x:c>
      <x:c r="C627" s="8" t="str">
        <x:v>กรุงเทพมหานคร</x:v>
      </x:c>
      <x:c r="D627" s="8" t="str">
        <x:v>อยู่ในชุด 600 ตามเส้นทาง</x:v>
      </x:c>
      <x:c r="E627" s="8" t="str">
        <x:v>พบชื่อสัมพันธ์หลายเว็บไซต์ รอยืนยันสาขา</x:v>
      </x:c>
      <x:c r="F627" s="8" t="str">
        <x:v>ยังไม่ยืนยันการเปิดให้บริการปัจจุบัน</x:v>
      </x:c>
      <x:c r="G627" s="58" t="n">
        <x:v>3</x:v>
      </x:c>
      <x:c r="H627" s="52" t="str"/>
      <x:c r="I627" s="52" t="str"/>
      <x:c r="J627" s="52" t="str">
        <x:v>https://www.booking.com/hotel/th/the-cozy-77.th.html</x:v>
      </x:c>
      <x:c r="K627" s="52" t="str">
        <x:v>https://www.google.co.th/travel/hotels/entity/CgoIu8uagamU69Q6EAE?ts=CAESABogCgIaABIaEhQKBwjlDxAKGAsSBwjlDxAKGAwYATICEAAqCQoFOgNVU0QaAA</x:v>
      </x:c>
      <x:c r="L627" s="52" t="str">
        <x:v>https://gmhi.co/th-th/services/The%20Cozy%2077-21</x:v>
      </x:c>
      <x:c r="M627" s="52" t="str">
        <x:v>https://www.booking.com/hotel/th/the-cozy-77.th.html</x:v>
      </x:c>
      <x:c r="N627" s="8" t="str">
        <x:v>ยังไม่ยืนยัน</x:v>
      </x:c>
      <x:c r="O627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27" s="40" t="n">
        <x:v>46315</x:v>
      </x:c>
      <x:c r="Q627" s="59" t="str">
        <x:v>ยังไม่ตรวจ</x:v>
      </x:c>
      <x:c r="R627" s="59" t="str">
        <x:v>รอติดต่อ</x:v>
      </x:c>
    </x:row>
    <x:row r="628" ht="84" customHeight="1">
      <x:c r="A628" s="2" t="str">
        <x:v>GMHI-46</x:v>
      </x:c>
      <x:c r="B628" s="8" t="str">
        <x:v>ParimaHotel</x:v>
      </x:c>
      <x:c r="C628" s="8" t="str">
        <x:v>ตรัง</x:v>
      </x:c>
      <x:c r="D628" s="8" t="str">
        <x:v>อยู่ในชุด 600 ตามเส้นทาง</x:v>
      </x:c>
      <x:c r="E628" s="8" t="str">
        <x:v>พบชื่อสัมพันธ์หลายเว็บไซต์ รอยืนยันสาขา</x:v>
      </x:c>
      <x:c r="F628" s="8" t="str">
        <x:v>ยังไม่ยืนยันการเปิดให้บริการปัจจุบัน</x:v>
      </x:c>
      <x:c r="G628" s="58" t="n">
        <x:v>4</x:v>
      </x:c>
      <x:c r="H628" s="52" t="str"/>
      <x:c r="I628" s="52" t="str"/>
      <x:c r="J628" s="52" t="str">
        <x:v>https://www.wongnai.com/restaurants/1074140aN-%E0%B8%A3%E0%B9%89%E0%B8%B2%E0%B8%99%E0%B8%AD%E0%B8%B2%E0%B8%AB%E0%B8%B2%E0%B8%A3%E0%B8%AA%E0%B8%B2%E0%B8%A3%E0%B8%82%E0%B9%89%E0%B8%B2%E0%B8%A7-parima-hotel</x:v>
      </x:c>
      <x:c r="K628" s="52" t="str">
        <x:v>https://www.youtube.com/watch?v=3LIiavtCPa8</x:v>
      </x:c>
      <x:c r="L628" s="52" t="str">
        <x:v>https://gmhi.co/th-th/services/ParimaHotel-46</x:v>
      </x:c>
      <x:c r="M628" s="52" t="str">
        <x:v>https://www.wongnai.com/restaurants/1074140aN-%E0%B8%A3%E0%B9%89%E0%B8%B2%E0%B8%99%E0%B8%AD%E0%B8%B2%E0%B8%AB%E0%B8%B2%E0%B8%A3%E0%B8%AA%E0%B8%B2%E0%B8%A3%E0%B8%82%E0%B9%89%E0%B8%B2%E0%B8%A7-parima-hotel</x:v>
      </x:c>
      <x:c r="N628" s="8" t="str">
        <x:v>ยังไม่ยืนยัน</x:v>
      </x:c>
      <x:c r="O628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28" s="40" t="n">
        <x:v>46315</x:v>
      </x:c>
      <x:c r="Q628" s="59" t="str">
        <x:v>ยังไม่ตรวจ</x:v>
      </x:c>
      <x:c r="R628" s="59" t="str">
        <x:v>รอติดต่อ</x:v>
      </x:c>
    </x:row>
    <x:row r="629" ht="84" customHeight="1">
      <x:c r="A629" s="2" t="str">
        <x:v>GMHI-47</x:v>
      </x:c>
      <x:c r="B629" s="8" t="str">
        <x:v>สภากาแฟ’36 สาขาหาดใหญ่</x:v>
      </x:c>
      <x:c r="C629" s="8" t="str">
        <x:v>สงขลา</x:v>
      </x:c>
      <x:c r="D629" s="8" t="str">
        <x:v>อยู่ในชุด 600 ตามเส้นทาง</x:v>
      </x:c>
      <x:c r="E629" s="8" t="str">
        <x:v>พบชื่อสัมพันธ์หลายเว็บไซต์ รอยืนยันสาขา</x:v>
      </x:c>
      <x:c r="F629" s="8" t="str">
        <x:v>ยังไม่ยืนยันการเปิดให้บริการปัจจุบัน</x:v>
      </x:c>
      <x:c r="G629" s="58" t="n">
        <x:v>3</x:v>
      </x:c>
      <x:c r="H629" s="52" t="str"/>
      <x:c r="I629" s="52" t="str"/>
      <x:c r="J629" s="52" t="str">
        <x:v>https://www.lemon8-app.com/%40dselatango/7444760123899200018?region=th</x:v>
      </x:c>
      <x:c r="K629" s="52" t="str">
        <x:v>https://www.lemon8-app.com/%40dino_nisa/7467860980396163601?region=us</x:v>
      </x:c>
      <x:c r="L629" s="52" t="str">
        <x:v>https://gmhi.co/th-th/services/%E0%B8%AA%E0%B8%A0%E0%B8%B2%E0%B8%81%E0%B8%B2%E0%B9%81%E0%B8%9F%E2%80%9936%20%E0%B8%AA%E0%B8%B2%E0%B8%82%E0%B8%B2%E0%B8%AB%E0%B8%B2%E0%B8%94%E0%B9%83%E0%B8%AB%E0%B8%8D%E0%B9%88-47</x:v>
      </x:c>
      <x:c r="M629" s="52" t="str">
        <x:v>https://www.lemon8-app.com/%40dselatango/7444760123899200018?region=th</x:v>
      </x:c>
      <x:c r="N629" s="8" t="str">
        <x:v>ยังไม่ยืนยัน</x:v>
      </x:c>
      <x:c r="O629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ยังไม่ยืนยันวันที่โพสต์/รีวิวล่าสุดและการเปิดให้บริการปัจจุบัน</x:v>
      </x:c>
      <x:c r="P629" s="40" t="n">
        <x:v>46315</x:v>
      </x:c>
      <x:c r="Q629" s="59" t="str">
        <x:v>ยังไม่ตรวจ</x:v>
      </x:c>
      <x:c r="R629" s="59" t="str">
        <x:v>รอติดต่อ</x:v>
      </x:c>
    </x:row>
    <x:row r="630" ht="84" customHeight="1">
      <x:c r="A630" s="2" t="str">
        <x:v>GMHI-52</x:v>
      </x:c>
      <x:c r="B630" s="8" t="str">
        <x:v>Icellare</x:v>
      </x:c>
      <x:c r="C630" s="8" t="str">
        <x:v>ภูเก็ต</x:v>
      </x:c>
      <x:c r="D630" s="8" t="str">
        <x:v>อยู่ในชุด 600 ตามเส้นทาง</x:v>
      </x:c>
      <x:c r="E630" s="8" t="str">
        <x:v>พบชื่อสัมพันธ์หลายเว็บไซต์ รอยืนยันสาขา</x:v>
      </x:c>
      <x:c r="F630" s="8" t="str">
        <x:v>ยังไม่ยืนยันการเปิดให้บริการปัจจุบัน</x:v>
      </x:c>
      <x:c r="G630" s="58" t="n">
        <x:v>3</x:v>
      </x:c>
      <x:c r="H630" s="52" t="str"/>
      <x:c r="I630" s="52" t="str"/>
      <x:c r="J630" s="52" t="str"/>
      <x:c r="K630" s="52" t="str"/>
      <x:c r="L630" s="52" t="str">
        <x:v>https://gmhi.co/th-th/services/Icellare-52</x:v>
      </x:c>
      <x:c r="M630" s="52" t="str">
        <x:v>https://www.icellare.com/contact-3</x:v>
      </x:c>
      <x:c r="N630" s="8" t="str">
        <x:v>ยังไม่ยืนยัน</x:v>
      </x:c>
      <x:c r="O630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หน้า Contact Us ของผู้ประกอบการระบุสาขาภูเก็ตที่ 9 Komarapat Road และบัญชี Instagram icellare_phuket / พบข้อมูลสถานที่แต่ยังไม่ยืนยันวันที่กิจกรรมล่าสุดและวันหมดอายุใบรับรอง GMHI</x:v>
      </x:c>
      <x:c r="P630" s="40" t="n">
        <x:v>46315</x:v>
      </x:c>
      <x:c r="Q630" s="59" t="str">
        <x:v>ยังไม่ตรวจ</x:v>
      </x:c>
      <x:c r="R630" s="59" t="str">
        <x:v>รอติดต่อ</x:v>
      </x:c>
    </x:row>
    <x:row r="631" ht="84" customHeight="1">
      <x:c r="A631" s="2" t="str">
        <x:v>GMHI-36</x:v>
      </x:c>
      <x:c r="B631" s="8" t="str">
        <x:v>Amman Unique Hotel</x:v>
      </x:c>
      <x:c r="C631" s="8" t="str">
        <x:v>อุดรธานี</x:v>
      </x:c>
      <x:c r="D631" s="8" t="str">
        <x:v>อยู่ในชุด 600 ตามเส้นทาง</x:v>
      </x:c>
      <x:c r="E631" s="8" t="str">
        <x:v>พบชื่อสัมพันธ์หลายเว็บไซต์ รอยืนยันสาขา</x:v>
      </x:c>
      <x:c r="F631" s="8" t="str">
        <x:v>ยังไม่ยืนยันการเปิดให้บริการปัจจุบัน</x:v>
      </x:c>
      <x:c r="G631" s="58" t="n">
        <x:v>7</x:v>
      </x:c>
      <x:c r="H631" s="52" t="str"/>
      <x:c r="I631" s="52" t="str"/>
      <x:c r="J631" s="52" t="str">
        <x:v>https://www.agoda.com/en-us/amman-unique-hotel/hotel/udon-thani-th.html</x:v>
      </x:c>
      <x:c r="K631" s="52" t="str">
        <x:v>https://www.booking.com/hotel/th/amman-unique.th.html</x:v>
      </x:c>
      <x:c r="L631" s="52" t="str">
        <x:v>https://gmhi.co/th-th/services/Amman%20Unique%20Hotel-36</x:v>
      </x:c>
      <x:c r="M631" s="52" t="str">
        <x:v>https://www.agoda.com/en-us/amman-unique-hotel/hotel/udon-thani-th.html</x:v>
      </x:c>
      <x:c r="N631" s="8" t="str">
        <x:v>ยังไม่ยืนยัน</x:v>
      </x:c>
      <x:c r="O631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31" s="40" t="n">
        <x:v>46315</x:v>
      </x:c>
      <x:c r="Q631" s="59" t="str">
        <x:v>ยังไม่ตรวจ</x:v>
      </x:c>
      <x:c r="R631" s="59" t="str">
        <x:v>รอติดต่อ</x:v>
      </x:c>
    </x:row>
    <x:row r="632" ht="84" customHeight="1">
      <x:c r="A632" s="2" t="str">
        <x:v>GMHI-29</x:v>
      </x:c>
      <x:c r="B632" s="8" t="str">
        <x:v>DEWAN BANGKOK</x:v>
      </x:c>
      <x:c r="C632" s="8" t="str">
        <x:v>กรุงเทพมหานคร</x:v>
      </x:c>
      <x:c r="D632" s="8" t="str">
        <x:v>อยู่ในชุด 600 ตามเส้นทาง</x:v>
      </x:c>
      <x:c r="E632" s="8" t="str">
        <x:v>พบชื่อสัมพันธ์หลายเว็บไซต์ รอยืนยันสาขา</x:v>
      </x:c>
      <x:c r="F632" s="8" t="str">
        <x:v>ยังไม่ยืนยันการเปิดให้บริการปัจจุบัน</x:v>
      </x:c>
      <x:c r="G632" s="58" t="n">
        <x:v>7</x:v>
      </x:c>
      <x:c r="H632" s="52" t="str"/>
      <x:c r="I632" s="52" t="str"/>
      <x:c r="J632" s="52" t="str">
        <x:v>https://www.booking.com/hotel/th/dewan-bangkok.th.html</x:v>
      </x:c>
      <x:c r="K632" s="52" t="str">
        <x:v>https://www.expedia.co.th/en/Bangkok-Hotels-Dewan-Bangkok.h12449786.Hotel-Information</x:v>
      </x:c>
      <x:c r="L632" s="52" t="str">
        <x:v>https://gmhi.co/th-th/services/DEWAN%20BANGKOK-29</x:v>
      </x:c>
      <x:c r="M632" s="52" t="str">
        <x:v>https://lodgelens.com/hotels/dewan-bangkok</x:v>
      </x:c>
      <x:c r="N632" s="8" t="str">
        <x:v>ยังไม่ยืนยัน</x:v>
      </x:c>
      <x:c r="O632" s="8" t="str">
        <x:v>ยืนยันการเปิด สาขาและผู้ประกอบการ ขอหลักฐานเงื่อนไขบังคับและคะแนนโครงการก่อนยืนยันกลุ่ม / ยังไม่พบช่องทางสังคมที่จับคู่ได้ชัดเจน / ยังไม่ยืนยันวันที่โพสต์/รีวิวล่าสุดและการเปิดให้บริการปัจจุบัน</x:v>
      </x:c>
      <x:c r="P632" s="40" t="n">
        <x:v>46315</x:v>
      </x:c>
      <x:c r="Q632" s="59" t="str">
        <x:v>ยังไม่ตรวจ</x:v>
      </x:c>
      <x:c r="R632" s="59" t="str">
        <x:v>รอติดต่อ</x:v>
      </x:c>
    </x:row>
    <x:row r="633" ht="84" customHeight="1">
      <x:c r="A633" s="2" t="str">
        <x:v>R26-007</x:v>
      </x:c>
      <x:c r="B633" s="8" t="str">
        <x:v>มัสยิดอันซอรี</x:v>
      </x:c>
      <x:c r="C633" s="8" t="str">
        <x:v>ลำพูน</x:v>
      </x:c>
      <x:c r="D633" s="8" t="str">
        <x:v>อยู่ในชุด 600 ตามเส้นทาง</x:v>
      </x:c>
      <x:c r="E633" s="8" t="str">
        <x:v>พบชื่อสัมพันธ์หลายเว็บไซต์ รอยืนยันสาขา</x:v>
      </x:c>
      <x:c r="F633" s="8" t="str">
        <x:v>ยังไม่ยืนยันการเปิดให้บริการปัจจุบัน</x:v>
      </x:c>
      <x:c r="G633" s="8" t="n">
        <x:v>6</x:v>
      </x:c>
      <x:c r="H633" s="8" t="str">
        <x:v>https://www.youtube.com/watch?v=iIUwIHMYRVg</x:v>
      </x:c>
      <x:c r="I633" s="8" t="str"/>
      <x:c r="J633" s="8" t="str"/>
      <x:c r="K633" s="8" t="str"/>
      <x:c r="L633" s="8" t="str">
        <x:v>https://www.lovethailand.org/travel/th/4-%E0%B8%A5%E0%B8%B3%E0%B8%9E%E0%B8%B9%E0%B8%99/8364-%E0%B8%A1%E0%B8%B1%E0%B8%AA%E0%B8%A2%E0%B8%B4%E0%B8%94%E0%B8%AD%E0%B8%B1%E0%B8%A5%E0%B8%AD%E0%B8%B1%E0%B8%99%E0%B8%8B%E0%B8%AD%E0%B8%A3%E0%B8%B5.html</x:v>
      </x:c>
      <x:c r="M633" s="8" t="str">
        <x:v>https://sobmoei.maehongson.police.go.th/wp-content/uploads/2024/02/%E0%B8%9B%E0%B8%A3%E0%B8%B0%E0%B8%A7%E0%B8%B1%E0%B8%95%E0%B8%B4-%E0%B8%AA%E0%B8%A0.%E0%B8%AA%E0%B8%9A%E0%B9%80%E0%B8%A1%E0%B8%A2-.pdf</x:v>
      </x:c>
      <x:c r="N633" s="8" t="str">
        <x:v>ยังไม่ยืนยัน</x:v>
      </x:c>
      <x:c r="O63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633" s="40" t="n">
        <x:v>46316</x:v>
      </x:c>
      <x:c r="Q633" s="59" t="str">
        <x:v>ยังไม่ตรวจ</x:v>
      </x:c>
      <x:c r="R633" s="59" t="str">
        <x:v>รอติดต่อ</x:v>
      </x:c>
    </x:row>
    <x:row r="634" ht="84" customHeight="1">
      <x:c r="A634" s="2" t="str">
        <x:v>R26-009</x:v>
      </x:c>
      <x:c r="B634" s="8" t="str">
        <x:v>เมืองเก่าลำพูน</x:v>
      </x:c>
      <x:c r="C634" s="8" t="str">
        <x:v>ลำพูน</x:v>
      </x:c>
      <x:c r="D634" s="8" t="str">
        <x:v>อยู่ในชุด 600 ตามเส้นทาง</x:v>
      </x:c>
      <x:c r="E634" s="8" t="str">
        <x:v>พบชื่อสัมพันธ์หลายเว็บไซต์ รอยืนยันสาขา</x:v>
      </x:c>
      <x:c r="F634" s="8" t="str">
        <x:v>ยังไม่ยืนยันการเปิดให้บริการปัจจุบัน</x:v>
      </x:c>
      <x:c r="G634" s="8" t="n">
        <x:v>3</x:v>
      </x:c>
      <x:c r="H634" s="8" t="str"/>
      <x:c r="I634" s="8" t="str"/>
      <x:c r="J634" s="8" t="str"/>
      <x:c r="K634" s="8" t="str"/>
      <x:c r="L634" s="8" t="str">
        <x:v>https://nced.onep.go.th/knowledge/oldtown/scenario_oldtown.pdf</x:v>
      </x:c>
      <x:c r="M634" s="8" t="str">
        <x:v>https://lamphun.prd.go.th/th/content/category/detail/id/33/iid/552170</x:v>
      </x:c>
      <x:c r="N634" s="8" t="str">
        <x:v>ยังไม่ยืนยัน</x:v>
      </x:c>
      <x:c r="O634" s="8" t="str">
        <x:v>ตรวจการเปิด ตัวตนสาขา ช่องทางติดต่อ และเงื่อนไขบังคับตามประเภท</x:v>
      </x:c>
      <x:c r="P634" s="40" t="n">
        <x:v>46316</x:v>
      </x:c>
      <x:c r="Q634" s="59" t="str">
        <x:v>ยังไม่ตรวจ</x:v>
      </x:c>
      <x:c r="R634" s="59" t="str">
        <x:v>รอติดต่อ</x:v>
      </x:c>
    </x:row>
    <x:row r="635" ht="84" customHeight="1">
      <x:c r="A635" s="2" t="str">
        <x:v>R26-366</x:v>
      </x:c>
      <x:c r="B635" s="8" t="str">
        <x:v>Easy Hotel Lamphun</x:v>
      </x:c>
      <x:c r="C635" s="8" t="str">
        <x:v>ลำพูน</x:v>
      </x:c>
      <x:c r="D635" s="8" t="str">
        <x:v>อยู่ในชุด 600 ตามเส้นทาง</x:v>
      </x:c>
      <x:c r="E635" s="8" t="str">
        <x:v>พบชื่อสัมพันธ์หลายเว็บไซต์ รอยืนยันสาขา</x:v>
      </x:c>
      <x:c r="F635" s="8" t="str">
        <x:v>ยังไม่ยืนยันการเปิดให้บริการปัจจุบัน</x:v>
      </x:c>
      <x:c r="G635" s="8" t="n">
        <x:v>9</x:v>
      </x:c>
      <x:c r="H635" s="8" t="str">
        <x:v>https://www.youtube.com/watch?v=oLsr3E2eYzE</x:v>
      </x:c>
      <x:c r="I635" s="8" t="str"/>
      <x:c r="J635" s="8" t="str">
        <x:v>https://www.google.com/travel/hotels/entity/ChoI-df3yZ2ttuCNARoNL2cvMTFmNjQ5ZzI2dxAB</x:v>
      </x:c>
      <x:c r="K635" s="8" t="str">
        <x:v>https://www.google.co.th/travel/hotels/entity/CgoIm9CS-v7-x94SEAE?hl=en&amp;ts=CAEaBAoCGgAqBAoAGgA</x:v>
      </x:c>
      <x:c r="L635" s="8" t="str">
        <x:v>https://www.google.com.pk/travel/hotels/entity/CgoIm9CS-v7-x94SEAE</x:v>
      </x:c>
      <x:c r="M635" s="8" t="str">
        <x:v>https://www.google.com.my/travel/hotels/entity/ChoI-df3yZ2ttuCNARoNL2cvMTFmNjQ5ZzI2dxAB</x:v>
      </x:c>
      <x:c r="N635" s="8" t="str">
        <x:v>ยังไม่ยืนยัน</x:v>
      </x:c>
      <x:c r="O635" s="8" t="str">
        <x:v>ตรวจการเปิด ตัวตนสาขา ช่องทางติดต่อ และเงื่อนไขบังคับตามประเภท</x:v>
      </x:c>
      <x:c r="P635" s="40" t="n">
        <x:v>46316</x:v>
      </x:c>
      <x:c r="Q635" s="59" t="str">
        <x:v>ยังไม่ตรวจ</x:v>
      </x:c>
      <x:c r="R635" s="59" t="str">
        <x:v>รอติดต่อ</x:v>
      </x:c>
    </x:row>
    <x:row r="636" ht="84" customHeight="1">
      <x:c r="A636" s="2" t="str">
        <x:v>R26-365</x:v>
      </x:c>
      <x:c r="B636" s="8" t="str">
        <x:v>Grand PA Hotel Resort Lamphun</x:v>
      </x:c>
      <x:c r="C636" s="8" t="str">
        <x:v>ลำพูน</x:v>
      </x:c>
      <x:c r="D636" s="8" t="str">
        <x:v>อยู่ในชุด 600 ตามเส้นทาง</x:v>
      </x:c>
      <x:c r="E636" s="8" t="str">
        <x:v>พบชื่อสัมพันธ์หลายเว็บไซต์ รอยืนยันสาขา</x:v>
      </x:c>
      <x:c r="F636" s="8" t="str">
        <x:v>ยังไม่ยืนยันการเปิดให้บริการปัจจุบัน</x:v>
      </x:c>
      <x:c r="G636" s="8" t="n">
        <x:v>6</x:v>
      </x:c>
      <x:c r="H636" s="8" t="str">
        <x:v>https://page.line.me/109ukoyr</x:v>
      </x:c>
      <x:c r="I636" s="8" t="str">
        <x:v>https://www.facebook.com/Grandpahotel.010/</x:v>
      </x:c>
      <x:c r="J636" s="8" t="str">
        <x:v>https://www.google.co.th/travel/hotels/entity/CgsI-66cvbbyqcq1ARAB</x:v>
      </x:c>
      <x:c r="K636" s="8" t="str">
        <x:v>https://www.booking.com/hotel/th/grand-pa-amp-resort-lamphun-chiang-mai.html</x:v>
      </x:c>
      <x:c r="L636" s="8" t="str">
        <x:v>https://grandpahotellamphunchiangmai.com/</x:v>
      </x:c>
      <x:c r="M636" s="8" t="str">
        <x:v>https://stri.cmu.ac.th/files/department/4/2/annual66.pdf</x:v>
      </x:c>
      <x:c r="N636" s="8" t="str">
        <x:v>ยังไม่ยืนยัน</x:v>
      </x:c>
      <x:c r="O636" s="8" t="str">
        <x:v>ตรวจการเปิด ตัวตนสาขา ช่องทางติดต่อ และเงื่อนไขบังคับตามประเภท</x:v>
      </x:c>
      <x:c r="P636" s="40" t="n">
        <x:v>46316</x:v>
      </x:c>
      <x:c r="Q636" s="59" t="str">
        <x:v>ยังไม่ตรวจ</x:v>
      </x:c>
      <x:c r="R636" s="59" t="str">
        <x:v>รอติดต่อ</x:v>
      </x:c>
    </x:row>
    <x:row r="637" ht="84" customHeight="1">
      <x:c r="A637" s="2" t="str">
        <x:v>R26-118</x:v>
      </x:c>
      <x:c r="B637" s="8" t="str">
        <x:v>น้ำตกก้อหลวง</x:v>
      </x:c>
      <x:c r="C637" s="8" t="str">
        <x:v>ลำพูน</x:v>
      </x:c>
      <x:c r="D637" s="8" t="str">
        <x:v>อยู่ในชุด 600 ตามเส้นทาง</x:v>
      </x:c>
      <x:c r="E637" s="8" t="str">
        <x:v>พบชื่อสัมพันธ์หลายเว็บไซต์ รอยืนยันสาขา</x:v>
      </x:c>
      <x:c r="F637" s="8" t="str">
        <x:v>ยังไม่ยืนยันการเปิดให้บริการปัจจุบัน</x:v>
      </x:c>
      <x:c r="G637" s="8" t="n">
        <x:v>14</x:v>
      </x:c>
      <x:c r="H637" s="8" t="str">
        <x:v>https://www.youtube.com/watch?v=jGxrw67Nyc8</x:v>
      </x:c>
      <x:c r="I637" s="8" t="str"/>
      <x:c r="J637" s="8" t="str">
        <x:v>https://www.wongnai.com/attractions/352662on-%E0%B8%99%E0%B9%89%E0%B8%B3%E0%B8%95%E0%B8%81%E0%B8%81%E0%B9%89%E0%B8%AD%E0%B8%AB%E0%B8%A5%E0%B8%A7%E0%B8%87</x:v>
      </x:c>
      <x:c r="K637" s="8" t="str"/>
      <x:c r="L637" s="8" t="str">
        <x:v>https://www.thailandtourismdirectory.go.th/attraction/104791</x:v>
      </x:c>
      <x:c r="M637" s="8" t="str">
        <x:v>https://lamphun.go.th/th/attractions/56/Wong%20Luang%20Waterfall</x:v>
      </x:c>
      <x:c r="N637" s="8" t="str">
        <x:v>ยังไม่ยืนยัน</x:v>
      </x:c>
      <x:c r="O637" s="8" t="str">
        <x:v>ตรวจการเปิด ตัวตนสาขา ช่องทางติดต่อ และเงื่อนไขบังคับตามประเภท</x:v>
      </x:c>
      <x:c r="P637" s="40" t="n">
        <x:v>46316</x:v>
      </x:c>
      <x:c r="Q637" s="59" t="str">
        <x:v>ยังไม่ตรวจ</x:v>
      </x:c>
      <x:c r="R637" s="59" t="str">
        <x:v>รอติดต่อ</x:v>
      </x:c>
    </x:row>
    <x:row r="638" ht="84" customHeight="1">
      <x:c r="A638" s="2" t="str">
        <x:v>R26-117</x:v>
      </x:c>
      <x:c r="B638" s="8" t="str">
        <x:v>อุทยานแห่งชาติแม่ปิง</x:v>
      </x:c>
      <x:c r="C638" s="8" t="str">
        <x:v>ลำพูน</x:v>
      </x:c>
      <x:c r="D638" s="8" t="str">
        <x:v>อยู่ในชุด 600 ตามเส้นทาง</x:v>
      </x:c>
      <x:c r="E638" s="8" t="str">
        <x:v>พบชื่อสัมพันธ์หลายเว็บไซต์ รอยืนยันสาขา</x:v>
      </x:c>
      <x:c r="F638" s="8" t="str">
        <x:v>ยังไม่ยืนยันการเปิดให้บริการปัจจุบัน</x:v>
      </x:c>
      <x:c r="G638" s="8" t="n">
        <x:v>14</x:v>
      </x:c>
      <x:c r="H638" s="8" t="str">
        <x:v>https://www.youtube.com/watch?v=ENfNFeviL80</x:v>
      </x:c>
      <x:c r="I638" s="8" t="str"/>
      <x:c r="J638" s="8" t="str"/>
      <x:c r="K638" s="8" t="str"/>
      <x:c r="L638" s="8" t="str">
        <x:v>https://news.dnp.go.th/news/48281</x:v>
      </x:c>
      <x:c r="M638" s="8" t="str">
        <x:v>https://thailandtourismdirectory.go.th/attraction/4976</x:v>
      </x:c>
      <x:c r="N638" s="8" t="str">
        <x:v>ยังไม่ยืนยัน</x:v>
      </x:c>
      <x:c r="O638" s="8" t="str">
        <x:v>ตรวจการเปิด ตัวตนสาขา ช่องทางติดต่อ และเงื่อนไขบังคับตามประเภท</x:v>
      </x:c>
      <x:c r="P638" s="40" t="n">
        <x:v>46316</x:v>
      </x:c>
      <x:c r="Q638" s="59" t="str">
        <x:v>ยังไม่ตรวจ</x:v>
      </x:c>
      <x:c r="R638" s="59" t="str">
        <x:v>รอติดต่อ</x:v>
      </x:c>
    </x:row>
    <x:row r="639" ht="84" customHeight="1">
      <x:c r="A639" s="2" t="str">
        <x:v>R26-119</x:v>
      </x:c>
      <x:c r="B639" s="8" t="str">
        <x:v>ชุมชนบ้านดอนหลวง</x:v>
      </x:c>
      <x:c r="C639" s="8" t="str">
        <x:v>ลำพูน</x:v>
      </x:c>
      <x:c r="D639" s="8" t="str">
        <x:v>อยู่ในชุด 600 ตามเส้นทาง</x:v>
      </x:c>
      <x:c r="E639" s="8" t="str">
        <x:v>พบชื่อสัมพันธ์หลายเว็บไซต์ รอยืนยันสาขา</x:v>
      </x:c>
      <x:c r="F639" s="8" t="str">
        <x:v>ยังไม่ยืนยันการเปิดให้บริการปัจจุบัน</x:v>
      </x:c>
      <x:c r="G639" s="8" t="n">
        <x:v>9</x:v>
      </x:c>
      <x:c r="H639" s="8" t="str">
        <x:v>https://www.youtube.com/watch?v=S5OrukOrzfI</x:v>
      </x:c>
      <x:c r="I639" s="8" t="str"/>
      <x:c r="J639" s="8" t="str"/>
      <x:c r="K639" s="8" t="str"/>
      <x:c r="L639" s="8" t="str">
        <x:v>https://www.dasta.or.th/th/article/293</x:v>
      </x:c>
      <x:c r="M639" s="8" t="str">
        <x:v>https://wikicommunity.sac.or.th/community/1964</x:v>
      </x:c>
      <x:c r="N639" s="8" t="str">
        <x:v>ยังไม่ยืนยัน</x:v>
      </x:c>
      <x:c r="O639" s="8" t="str">
        <x:v>ตรวจการเปิด ตัวตนสาขา ช่องทางติดต่อ และเงื่อนไขบังคับตามประเภท</x:v>
      </x:c>
      <x:c r="P639" s="40" t="n">
        <x:v>46316</x:v>
      </x:c>
      <x:c r="Q639" s="59" t="str">
        <x:v>ยังไม่ตรวจ</x:v>
      </x:c>
      <x:c r="R639" s="59" t="str">
        <x:v>รอติดต่อ</x:v>
      </x:c>
    </x:row>
    <x:row r="640" ht="84" customHeight="1">
      <x:c r="A640" s="2" t="str">
        <x:v>R26-120</x:v>
      </x:c>
      <x:c r="B640" s="8" t="str">
        <x:v>ชุมชนบ้านหนองเงือก</x:v>
      </x:c>
      <x:c r="C640" s="8" t="str">
        <x:v>ลำพูน</x:v>
      </x:c>
      <x:c r="D640" s="8" t="str">
        <x:v>อยู่ในชุด 600 ตามเส้นทาง</x:v>
      </x:c>
      <x:c r="E640" s="8" t="str">
        <x:v>พบชื่อสัมพันธ์หลายเว็บไซต์ รอยืนยันสาขา</x:v>
      </x:c>
      <x:c r="F640" s="8" t="str">
        <x:v>ยังไม่ยืนยันการเปิดให้บริการปัจจุบัน</x:v>
      </x:c>
      <x:c r="G640" s="8" t="n">
        <x:v>9</x:v>
      </x:c>
      <x:c r="H640" s="8" t="str">
        <x:v>https://www.youtube.com/watch?v=zJ4ECmouDW4</x:v>
      </x:c>
      <x:c r="I640" s="8" t="str"/>
      <x:c r="J640" s="8" t="str"/>
      <x:c r="K640" s="8" t="str"/>
      <x:c r="L640" s="8" t="str">
        <x:v>https://www.nstda.or.th/agritec/?p=4533</x:v>
      </x:c>
      <x:c r="M640" s="8" t="str">
        <x:v>https://wikicommunity.sac.or.th/community/2199</x:v>
      </x:c>
      <x:c r="N640" s="8" t="str">
        <x:v>ยังไม่ยืนยัน</x:v>
      </x:c>
      <x:c r="O640" s="8" t="str">
        <x:v>ตรวจการเปิด ตัวตนสาขา ช่องทางติดต่อ และเงื่อนไขบังคับตามประเภท</x:v>
      </x:c>
      <x:c r="P640" s="40" t="n">
        <x:v>46316</x:v>
      </x:c>
      <x:c r="Q640" s="59" t="str">
        <x:v>ยังไม่ตรวจ</x:v>
      </x:c>
      <x:c r="R640" s="59" t="str">
        <x:v>รอติดต่อ</x:v>
      </x:c>
    </x:row>
    <x:row r="641" ht="84" customHeight="1">
      <x:c r="A641" s="2" t="str">
        <x:v>R26-003</x:v>
      </x:c>
      <x:c r="B641" s="8" t="str">
        <x:v>ฮาบิ๊บ อาหารยูนนาน</x:v>
      </x:c>
      <x:c r="C641" s="8" t="str">
        <x:v>เชียงใหม่</x:v>
      </x:c>
      <x:c r="D641" s="8" t="str">
        <x:v>อยู่ในชุด 600 ตามเส้นทาง</x:v>
      </x:c>
      <x:c r="E641" s="8" t="str">
        <x:v>พบชื่อสัมพันธ์หลายเว็บไซต์ รอยืนยันสาขา</x:v>
      </x:c>
      <x:c r="F641" s="8" t="str">
        <x:v>ยังไม่ยืนยันการเปิดให้บริการปัจจุบัน</x:v>
      </x:c>
      <x:c r="G641" s="8" t="n">
        <x:v>2</x:v>
      </x:c>
      <x:c r="H641" s="8" t="str"/>
      <x:c r="I641" s="8" t="str"/>
      <x:c r="J641" s="8" t="str">
        <x:v>https://www.wongnai.com/restaurants/465814oP-%E0%B8%AE%E0%B8%B2%E0%B8%9A%E0%B8%B5%E0%B9%8A%E0%B8%9A-%E0%B8%AD%E0%B8%B2%E0%B8%AB%E0%B8%B2%E0%B8%A3%E0%B8%A2%E0%B8%B9%E0%B8%99%E0%B8%99%E0%B8%B2%E0%B8%99-%E0%B9%80%E0%B8%8A%E0%B8%B5%E0%B8%A2%E0%B8%87%E0%B9%83%E0%B8%AB%E0%B8%A1%E0%B9%88</x:v>
      </x:c>
      <x:c r="K641" s="8" t="str"/>
      <x:c r="L641" s="8" t="str">
        <x:v>https://www.bester-eats.com/area/PRO1/ARE1/SUB15/</x:v>
      </x:c>
      <x:c r="M641" s="8" t="str">
        <x:v>https://www.bester-eats.com/area/PRO1/ARE1/SUB15/</x:v>
      </x:c>
      <x:c r="N641" s="8" t="str">
        <x:v>ยังไม่ยืนยัน</x:v>
      </x:c>
      <x:c r="O641" s="8" t="str">
        <x:v>ตรวจการเปิด ตัวตนสาขา ช่องทางติดต่อ และเงื่อนไขบังคับตามประเภท</x:v>
      </x:c>
      <x:c r="P641" s="40" t="n">
        <x:v>46316</x:v>
      </x:c>
      <x:c r="Q641" s="59" t="str">
        <x:v>ยังไม่ตรวจ</x:v>
      </x:c>
      <x:c r="R641" s="59" t="str">
        <x:v>รอติดต่อ</x:v>
      </x:c>
    </x:row>
    <x:row r="642" ht="84" customHeight="1">
      <x:c r="A642" s="2" t="str">
        <x:v>R26-005</x:v>
      </x:c>
      <x:c r="B642" s="8" t="str">
        <x:v>ถนนคนเดินท่าแพ</x:v>
      </x:c>
      <x:c r="C642" s="8" t="str">
        <x:v>เชียงใหม่</x:v>
      </x:c>
      <x:c r="D642" s="8" t="str">
        <x:v>อยู่ในชุด 600 ตามเส้นทาง</x:v>
      </x:c>
      <x:c r="E642" s="8" t="str">
        <x:v>พบชื่อสัมพันธ์หลายเว็บไซต์ รอยืนยันสาขา</x:v>
      </x:c>
      <x:c r="F642" s="8" t="str">
        <x:v>ยังไม่ยืนยันการเปิดให้บริการปัจจุบัน</x:v>
      </x:c>
      <x:c r="G642" s="8" t="n">
        <x:v>14</x:v>
      </x:c>
      <x:c r="H642" s="8" t="str">
        <x:v>https://www.youtube.com/watch?v=ebiaQJFYT3g</x:v>
      </x:c>
      <x:c r="I642" s="8" t="str"/>
      <x:c r="J642" s="8" t="str">
        <x:v>https://www.wongnai.com/attractions/337475Mf-%E0%B8%96%E0%B8%99%E0%B8%99%E0%B8%84%E0%B8%99%E0%B9%80%E0%B8%94%E0%B8%B4%E0%B8%99%E0%B8%97%E0%B9%88%E0%B8%B2%E0%B9%81%E0%B8%9E</x:v>
      </x:c>
      <x:c r="K642" s="8" t="str">
        <x:v>https://sites.google.com/pbn3.go.th/10-tourist-attractions/1/04-%E0%B8%96%E0%B8%99%E0%B8%99%E0%B8%84%E0%B8%99%E0%B9%80%E0%B8%94%E0%B8%99%E0%B8%97%E0%B8%B2%E0%B9%81%E0%B8%9E</x:v>
      </x:c>
      <x:c r="L642" s="8" t="str">
        <x:v>https://www.cmcity.go.th/News/8198-%E0%B8%9B%E0%B8%A3%E0%B8%B0%E0%B8%A7%E0%B8%B1%E0%B8%95%E0%B8%B4.html</x:v>
      </x:c>
      <x:c r="M642" s="8" t="str">
        <x:v>https://icoh.anamai.moph.go.th/web-upload/migrated/files/icoh/n1174_05247296402e0581a03f727b2c9d5898_article_20200302120639.pdf</x:v>
      </x:c>
      <x:c r="N642" s="8" t="str">
        <x:v>ยังไม่ยืนยัน</x:v>
      </x:c>
      <x:c r="O642" s="8" t="str">
        <x:v>ตรวจการเปิด ตัวตนสาขา ช่องทางติดต่อ และเงื่อนไขบังคับตามประเภท</x:v>
      </x:c>
      <x:c r="P642" s="40" t="n">
        <x:v>46316</x:v>
      </x:c>
      <x:c r="Q642" s="59" t="str">
        <x:v>ยังไม่ตรวจ</x:v>
      </x:c>
      <x:c r="R642" s="59" t="str">
        <x:v>รอติดต่อ</x:v>
      </x:c>
    </x:row>
    <x:row r="643" ht="84" customHeight="1">
      <x:c r="A643" s="2" t="str">
        <x:v>R26-004</x:v>
      </x:c>
      <x:c r="B643" s="8" t="str">
        <x:v>มัสยิดช้างเผือก</x:v>
      </x:c>
      <x:c r="C643" s="8" t="str">
        <x:v>เชียงใหม่</x:v>
      </x:c>
      <x:c r="D643" s="8" t="str">
        <x:v>อยู่ในชุด 600 ตามเส้นทาง</x:v>
      </x:c>
      <x:c r="E643" s="8" t="str">
        <x:v>พบชื่อสัมพันธ์หลายเว็บไซต์ รอยืนยันสาขา</x:v>
      </x:c>
      <x:c r="F643" s="8" t="str">
        <x:v>ยังไม่ยืนยันการเปิดให้บริการปัจจุบัน</x:v>
      </x:c>
      <x:c r="G643" s="8" t="n">
        <x:v>7</x:v>
      </x:c>
      <x:c r="H643" s="8" t="str"/>
      <x:c r="I643" s="8" t="str"/>
      <x:c r="J643" s="8" t="str">
        <x:v>https://www.wongnai.com/restaurants/1781555uy-%E0%B8%82%E0%B9%89%E0%B8%B2%E0%B8%A7%E0%B9%84%E0%B8%82%E0%B9%88%E0%B9%80%E0%B8%88%E0%B8%B5%E0%B8%A2%E0%B8%A7-%E0%B8%A5%E0%B8%B9%E0%B8%81%E0%B8%8A%E0%B8%B4%E0%B9%89%E0%B8%99%E0%B8%97%E0%B8%AD%E0%B8%94-wealthy-%E0%B8%AE%E0%B8%B2%E0%B8%A5%E0%B8%B2%E0%B8%A5</x:v>
      </x:c>
      <x:c r="K643" s="8" t="str"/>
      <x:c r="L643" s="8" t="str">
        <x:v>https://chiangmai.prd.go.th/th/content/category/detail/id/9/iid/252247</x:v>
      </x:c>
      <x:c r="M643" s="8" t="str">
        <x:v>https://chaangpeuak.go.th/%E0%B8%AA%E0%B8%A0%E0%B8%B2%E0%B8%9E%E0%B8%97%E0%B8%B1%E0%B9%88%E0%B8%A7%E0%B9%84%E0%B8%9B/</x:v>
      </x:c>
      <x:c r="N643" s="8" t="str">
        <x:v>ยังไม่ยืนยัน</x:v>
      </x:c>
      <x:c r="O643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643" s="40" t="n">
        <x:v>46316</x:v>
      </x:c>
      <x:c r="Q643" s="59" t="str">
        <x:v>ยังไม่ตรวจ</x:v>
      </x:c>
      <x:c r="R643" s="59" t="str">
        <x:v>รอติดต่อ</x:v>
      </x:c>
    </x:row>
    <x:row r="644" ht="84" customHeight="1">
      <x:c r="A644" s="2" t="str">
        <x:v>R26-002</x:v>
      </x:c>
      <x:c r="B644" s="8" t="str">
        <x:v>มัสยิดเฮดายาตุลอิสลาม บ้านฮ่อ</x:v>
      </x:c>
      <x:c r="C644" s="8" t="str">
        <x:v>เชียงใหม่</x:v>
      </x:c>
      <x:c r="D644" s="8" t="str">
        <x:v>อยู่ในชุด 600 ตามเส้นทาง</x:v>
      </x:c>
      <x:c r="E644" s="8" t="str">
        <x:v>พบชื่อสัมพันธ์หลายเว็บไซต์ รอยืนยันสาขา</x:v>
      </x:c>
      <x:c r="F644" s="8" t="str">
        <x:v>ยังไม่ยืนยันการเปิดให้บริการปัจจุบัน</x:v>
      </x:c>
      <x:c r="G644" s="8" t="n">
        <x:v>2</x:v>
      </x:c>
      <x:c r="H644" s="8" t="str">
        <x:v>https://www.youtube.com/watch?v=Xs1RyR4jtCk</x:v>
      </x:c>
      <x:c r="I644" s="8" t="str"/>
      <x:c r="J644" s="8" t="str"/>
      <x:c r="K644" s="8" t="str"/>
      <x:c r="L644" s="8" t="str">
        <x:v>https://www.gotoknow.org/posts/217762</x:v>
      </x:c>
      <x:c r="M644" s="8" t="str">
        <x:v>https://www.youtube.com/watch?v=Xs1RyR4jtCk</x:v>
      </x:c>
      <x:c r="N644" s="8" t="str">
        <x:v>ยังไม่ยืนยัน</x:v>
      </x:c>
      <x:c r="O64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644" s="40" t="n">
        <x:v>46316</x:v>
      </x:c>
      <x:c r="Q644" s="59" t="str">
        <x:v>ยังไม่ตรวจ</x:v>
      </x:c>
      <x:c r="R644" s="59" t="str">
        <x:v>รอติดต่อ</x:v>
      </x:c>
    </x:row>
    <x:row r="645" ht="84" customHeight="1">
      <x:c r="A645" s="2" t="str">
        <x:v>R26-001</x:v>
      </x:c>
      <x:c r="B645" s="8" t="str">
        <x:v>กาดบ้านฮ่อ</x:v>
      </x:c>
      <x:c r="C645" s="8" t="str">
        <x:v>เชียงใหม่</x:v>
      </x:c>
      <x:c r="D645" s="8" t="str">
        <x:v>อยู่ในชุด 600 ตามเส้นทาง</x:v>
      </x:c>
      <x:c r="E645" s="8" t="str">
        <x:v>พบชื่อสัมพันธ์หลายเว็บไซต์ รอยืนยันสาขา</x:v>
      </x:c>
      <x:c r="F645" s="8" t="str">
        <x:v>ยังไม่ยืนยันการเปิดให้บริการปัจจุบัน</x:v>
      </x:c>
      <x:c r="G645" s="8" t="n">
        <x:v>9</x:v>
      </x:c>
      <x:c r="H645" s="8" t="str">
        <x:v>https://www.youtube.com/watch?v=ZSPXhRo4Uoc</x:v>
      </x:c>
      <x:c r="I645" s="8" t="str"/>
      <x:c r="J645" s="8" t="str">
        <x:v>https://www.wongnai.com/attractions/369465Wo-%E0%B8%81%E0%B8%B2%E0%B8%94%E0%B8%9A%E0%B9%89%E0%B8%B2%E0%B8%99%E0%B8%AE%E0%B9%88%E0%B8%AD</x:v>
      </x:c>
      <x:c r="K645" s="8" t="str"/>
      <x:c r="L645" s="8" t="str">
        <x:v>https://krua.co/food_story/yunnan-flea-market-cnx</x:v>
      </x:c>
      <x:c r="M645" s="8" t="str">
        <x:v>https://tfind-travel.com/place/ban-hor-market-chiang-mai/</x:v>
      </x:c>
      <x:c r="N645" s="8" t="str">
        <x:v>ยังไม่ยืนยัน</x:v>
      </x:c>
      <x:c r="O645" s="8" t="str">
        <x:v>ตรวจการเปิด ตัวตนสาขา ช่องทางติดต่อ และเงื่อนไขบังคับตามประเภท</x:v>
      </x:c>
      <x:c r="P645" s="40" t="n">
        <x:v>46316</x:v>
      </x:c>
      <x:c r="Q645" s="59" t="str">
        <x:v>ยังไม่ตรวจ</x:v>
      </x:c>
      <x:c r="R645" s="59" t="str">
        <x:v>รอติดต่อ</x:v>
      </x:c>
    </x:row>
    <x:row r="646" ht="84" customHeight="1">
      <x:c r="A646" s="2" t="str">
        <x:v>R26-008</x:v>
      </x:c>
      <x:c r="B646" s="8" t="str">
        <x:v>บ้านขันโตกฮาลาล</x:v>
      </x:c>
      <x:c r="C646" s="8" t="str">
        <x:v>เชียงใหม่</x:v>
      </x:c>
      <x:c r="D646" s="8" t="str">
        <x:v>อยู่ในชุด 600 ตามเส้นทาง</x:v>
      </x:c>
      <x:c r="E646" s="8" t="str">
        <x:v>พบชื่อสัมพันธ์หลายเว็บไซต์ รอยืนยันสาขา</x:v>
      </x:c>
      <x:c r="F646" s="8" t="str">
        <x:v>ยังไม่ยืนยันการเปิดให้บริการปัจจุบัน</x:v>
      </x:c>
      <x:c r="G646" s="8" t="n">
        <x:v>4</x:v>
      </x:c>
      <x:c r="H646" s="8" t="str">
        <x:v>https://www.youtube.com/watch?v=ArckI0-M7RA</x:v>
      </x:c>
      <x:c r="I646" s="8" t="str"/>
      <x:c r="J646" s="8" t="str">
        <x:v>https://www.wongnai.com/reviews/ddd6e61f22fb451fb31b51e5de0c1488</x:v>
      </x:c>
      <x:c r="K646" s="8" t="str"/>
      <x:c r="L646" s="8" t="str">
        <x:v>https://makanhalalguide.com/shop/detail/257</x:v>
      </x:c>
      <x:c r="M646" s="8" t="str">
        <x:v>https://www.ryoiireview.com/restaurant/view/20770</x:v>
      </x:c>
      <x:c r="N646" s="8" t="str">
        <x:v>ยังไม่ยืนยัน</x:v>
      </x:c>
      <x:c r="O646" s="8" t="str">
        <x:v>ตรวจการเปิด ตัวตนสาขา ช่องทางติดต่อ และเงื่อนไขบังคับตามประเภท</x:v>
      </x:c>
      <x:c r="P646" s="40" t="n">
        <x:v>46316</x:v>
      </x:c>
      <x:c r="Q646" s="59" t="str">
        <x:v>ยังไม่ตรวจ</x:v>
      </x:c>
      <x:c r="R646" s="59" t="str">
        <x:v>รอติดต่อ</x:v>
      </x:c>
    </x:row>
    <x:row r="647" ht="84" customHeight="1">
      <x:c r="A647" s="2" t="str">
        <x:v>R26-010</x:v>
      </x:c>
      <x:c r="B647" s="8" t="str">
        <x:v>จริงใจมาร์เก็ต เชียงใหม่</x:v>
      </x:c>
      <x:c r="C647" s="8" t="str">
        <x:v>เชียงใหม่</x:v>
      </x:c>
      <x:c r="D647" s="8" t="str">
        <x:v>อยู่ในชุด 600 ตามเส้นทาง</x:v>
      </x:c>
      <x:c r="E647" s="8" t="str">
        <x:v>พบชื่อสัมพันธ์หลายเว็บไซต์ รอยืนยันสาขา</x:v>
      </x:c>
      <x:c r="F647" s="8" t="str">
        <x:v>ยังไม่ยืนยันการเปิดให้บริการปัจจุบัน</x:v>
      </x:c>
      <x:c r="G647" s="8" t="n">
        <x:v>5</x:v>
      </x:c>
      <x:c r="H647" s="8" t="str"/>
      <x:c r="I647" s="8" t="str"/>
      <x:c r="J647" s="8" t="str">
        <x:v>https://www.wongnai.com/reviews/c772a07e39cc40fb817ae19d1e93d850</x:v>
      </x:c>
      <x:c r="K647" s="8" t="str">
        <x:v>https://th.tripadvisor.com/Attraction_Review-g293917-d1090783-Reviews-Jing_Jia_Market-Chiang_Mai.html</x:v>
      </x:c>
      <x:c r="L647" s="8" t="str">
        <x:v>https://thai.tourismthailand.org/Articles/%E0%B8%88%E0%B8%A3%E0%B8%B4%E0%B8%87%E0%B9%83%E0%B8%88%E0%B8%A1%E0%B8%B2%E0%B8%A3%E0%B9%8C%E0%B9%80%E0%B8%81%E0%B9%87%E0%B8%95%E0%B9%80%E0%B8%8A%E0%B8%B5%E0%B8%A2%E0%B8%87%E0%B9%83%E0%B8%AB%E0%B8%A1%E0%B9%88</x:v>
      </x:c>
      <x:c r="M647" s="8" t="str">
        <x:v>https://www.yellowpages.co.th/profile/%E0%B8%88%E0%B8%A3%E0%B8%B4%E0%B8%87%E0%B9%83%E0%B8%88-%E0%B8%A1%E0%B8%B2%E0%B8%A3%E0%B9%8C%E0%B9%80%E0%B8%81%E0%B9%87%E0%B8%95-%E0%B9%80%E0%B8%8A%E0%B8%B5%E0%B8%A2%E0%B8%87%E0%B9%83%E0%B8%AB%E0%B8%A1%E0%B9%88-%E0%B9%80%E0%B8%88%E0%B9%80%E0%B8%88-%E0%B8%A1%E0%B8%B2%E0%B8%A3%E0%B9%8C%E0%B9%80%E0%B8%81%E0%B9%87%E0%B8%95-%E0%B9%80%E0%B8%8A%E0%B8%B5%E0%B8%A2%E0%B8%87%E0%B9%83%E0%B8%AB%E0%B8%A1%E0%B9%88-93ujCg7nG</x:v>
      </x:c>
      <x:c r="N647" s="8" t="str">
        <x:v>ยังไม่ยืนยัน</x:v>
      </x:c>
      <x:c r="O647" s="8" t="str">
        <x:v>ตรวจการเปิด ตัวตนสาขา ช่องทางติดต่อ และเงื่อนไขบังคับตามประเภท</x:v>
      </x:c>
      <x:c r="P647" s="40" t="n">
        <x:v>46316</x:v>
      </x:c>
      <x:c r="Q647" s="59" t="str">
        <x:v>ยังไม่ตรวจ</x:v>
      </x:c>
      <x:c r="R647" s="59" t="str">
        <x:v>รอติดต่อ</x:v>
      </x:c>
    </x:row>
    <x:row r="648" ht="84" customHeight="1">
      <x:c r="A648" s="2" t="str">
        <x:v>R26-364</x:v>
      </x:c>
      <x:c r="B648" s="8" t="str">
        <x:v>U Chiang Mai</x:v>
      </x:c>
      <x:c r="C648" s="8" t="str">
        <x:v>เชียงใหม่</x:v>
      </x:c>
      <x:c r="D648" s="8" t="str">
        <x:v>อยู่ในชุด 600 ตามเส้นทาง</x:v>
      </x:c>
      <x:c r="E648" s="8" t="str">
        <x:v>พบชื่อสัมพันธ์หลายเว็บไซต์ รอยืนยันสาขา</x:v>
      </x:c>
      <x:c r="F648" s="8" t="str">
        <x:v>ยังไม่ยืนยันการเปิดให้บริการปัจจุบัน</x:v>
      </x:c>
      <x:c r="G648" s="8" t="n">
        <x:v>8</x:v>
      </x:c>
      <x:c r="H648" s="8" t="str"/>
      <x:c r="I648" s="8" t="str"/>
      <x:c r="J648" s="8" t="str">
        <x:v>https://www.booking.com/hotel/th/u-chiang-mai.html</x:v>
      </x:c>
      <x:c r="K648" s="8" t="str"/>
      <x:c r="L648" s="8" t="str">
        <x:v>https://u.chiangmaithotel.com/th/</x:v>
      </x:c>
      <x:c r="M648" s="8" t="str">
        <x:v>https://www.whanjai.com/u-chiang-mai/</x:v>
      </x:c>
      <x:c r="N648" s="8" t="str">
        <x:v>ยังไม่ยืนยัน</x:v>
      </x:c>
      <x:c r="O648" s="8" t="str">
        <x:v>ตรวจการเปิด ตัวตนสาขา ช่องทางติดต่อ และเงื่อนไขบังคับตามประเภท</x:v>
      </x:c>
      <x:c r="P648" s="40" t="n">
        <x:v>46316</x:v>
      </x:c>
      <x:c r="Q648" s="59" t="str">
        <x:v>ยังไม่ตรวจ</x:v>
      </x:c>
      <x:c r="R648" s="59" t="str">
        <x:v>รอติดต่อ</x:v>
      </x:c>
    </x:row>
    <x:row r="649" ht="84" customHeight="1">
      <x:c r="A649" s="2" t="str">
        <x:v>R26-317</x:v>
      </x:c>
      <x:c r="B649" s="8" t="str">
        <x:v>Fah Lanna Spa Nimman Chiang Mai</x:v>
      </x:c>
      <x:c r="C649" s="8" t="str">
        <x:v>เชียงใหม่</x:v>
      </x:c>
      <x:c r="D649" s="8" t="str">
        <x:v>อยู่ในชุด 600 ตามเส้นทาง</x:v>
      </x:c>
      <x:c r="E649" s="8" t="str">
        <x:v>พบชื่อสัมพันธ์หลายเว็บไซต์ รอยืนยันสาขา</x:v>
      </x:c>
      <x:c r="F649" s="8" t="str">
        <x:v>ยังไม่ยืนยันการเปิดให้บริการปัจจุบัน</x:v>
      </x:c>
      <x:c r="G649" s="8" t="n">
        <x:v>3</x:v>
      </x:c>
      <x:c r="H649" s="8" t="str"/>
      <x:c r="I649" s="8" t="str"/>
      <x:c r="J649" s="8" t="str">
        <x:v>https://www.agoda.com/activities/detail/th/chiang-mai/fah-lanna-spa-nimman-chiang-mai</x:v>
      </x:c>
      <x:c r="K649" s="8" t="str"/>
      <x:c r="L649" s="8" t="str">
        <x:v>https://thailandnightlife.net/th/shop/chiang-mai/nimman/massage/fahlanna-spa-chiangmai</x:v>
      </x:c>
      <x:c r="M649" s="8" t="str">
        <x:v>https://fahlanna.com/</x:v>
      </x:c>
      <x:c r="N649" s="8" t="str">
        <x:v>ยังไม่ยืนยัน</x:v>
      </x:c>
      <x:c r="O649" s="8" t="str">
        <x:v>ตรวจการเปิด ตัวตนสาขา ช่องทางติดต่อ และเงื่อนไขบังคับตามประเภท</x:v>
      </x:c>
      <x:c r="P649" s="40" t="n">
        <x:v>46316</x:v>
      </x:c>
      <x:c r="Q649" s="59" t="str">
        <x:v>ยังไม่ตรวจ</x:v>
      </x:c>
      <x:c r="R649" s="59" t="str">
        <x:v>รอติดต่อ</x:v>
      </x:c>
    </x:row>
    <x:row r="650" ht="84" customHeight="1">
      <x:c r="A650" s="2" t="str">
        <x:v>R26-316</x:v>
      </x:c>
      <x:c r="B650" s="8" t="str">
        <x:v>Fah Lanna Spa Old City Chiang Mai</x:v>
      </x:c>
      <x:c r="C650" s="8" t="str">
        <x:v>เชียงใหม่</x:v>
      </x:c>
      <x:c r="D650" s="8" t="str">
        <x:v>อยู่ในชุด 600 ตามเส้นทาง</x:v>
      </x:c>
      <x:c r="E650" s="8" t="str">
        <x:v>พบชื่อสัมพันธ์หลายเว็บไซต์ รอยืนยันสาขา</x:v>
      </x:c>
      <x:c r="F650" s="8" t="str">
        <x:v>ยังไม่ยืนยันการเปิดให้บริการปัจจุบัน</x:v>
      </x:c>
      <x:c r="G650" s="8" t="n">
        <x:v>6</x:v>
      </x:c>
      <x:c r="H650" s="8" t="str"/>
      <x:c r="I650" s="8" t="str"/>
      <x:c r="J650" s="8" t="str"/>
      <x:c r="K650" s="8" t="str"/>
      <x:c r="L650" s="8" t="str">
        <x:v>https://www.klook.com/th/activity/711-fah-lanna-spa-chiangmai/</x:v>
      </x:c>
      <x:c r="M650" s="8" t="str">
        <x:v>https://chiangmaitourreviews.com/traditional-thai-massage-at-award-winning-fah-lanna-spa-old-city-branch/</x:v>
      </x:c>
      <x:c r="N650" s="8" t="str">
        <x:v>ยังไม่ยืนยัน</x:v>
      </x:c>
      <x:c r="O650" s="8" t="str">
        <x:v>ตรวจการเปิด ตัวตนสาขา ช่องทางติดต่อ และเงื่อนไขบังคับตามประเภท</x:v>
      </x:c>
      <x:c r="P650" s="40" t="n">
        <x:v>46316</x:v>
      </x:c>
      <x:c r="Q650" s="59" t="str">
        <x:v>ยังไม่ตรวจ</x:v>
      </x:c>
      <x:c r="R650" s="59" t="str">
        <x:v>รอติดต่อ</x:v>
      </x:c>
    </x:row>
    <x:row r="651" ht="84" customHeight="1">
      <x:c r="A651" s="2" t="str">
        <x:v>R26-278</x:v>
      </x:c>
      <x:c r="B651" s="8" t="str">
        <x:v>Let's Relax Spa Chiang Mai Nimman One</x:v>
      </x:c>
      <x:c r="C651" s="8" t="str">
        <x:v>เชียงใหม่</x:v>
      </x:c>
      <x:c r="D651" s="8" t="str">
        <x:v>อยู่ในชุด 600 ตามเส้นทาง</x:v>
      </x:c>
      <x:c r="E651" s="8" t="str">
        <x:v>พบชื่อสัมพันธ์หลายเว็บไซต์ รอยืนยันสาขา</x:v>
      </x:c>
      <x:c r="F651" s="8" t="str">
        <x:v>ยังไม่ยืนยันการเปิดให้บริการปัจจุบัน</x:v>
      </x:c>
      <x:c r="G651" s="8" t="n">
        <x:v>9</x:v>
      </x:c>
      <x:c r="H651" s="8" t="str">
        <x:v>https://www.facebook.com/letsrelaxspa.official/</x:v>
      </x:c>
      <x:c r="I651" s="8" t="str">
        <x:v>https://www.instagram.com/letsrelaxspa.official/?hl=en</x:v>
      </x:c>
      <x:c r="J651" s="8" t="str">
        <x:v>https://www.tripadvisor.com/Attraction_Review-g293917-d15045963-Reviews-Let_s_Relax_Spa_Chiang_Mai_One_Nimman-Chiang_Mai.html</x:v>
      </x:c>
      <x:c r="K651" s="8" t="str">
        <x:v>https://cn.tripadvisor.com/Attraction_Review-g293917-d15045963-Reviews-Let_s_Relax_Spa_Chiang_Mai_One_Nimman-Chiang_Mai.html</x:v>
      </x:c>
      <x:c r="L651" s="8" t="str">
        <x:v>https://letsrelaxspa.com/branches/chiangmai-nimman-soi-3/</x:v>
      </x:c>
      <x:c r="M651" s="8" t="str">
        <x:v>https://travelpz.com/activities/k/2142-let-s-relax-spa-chiang-mai-one-nimman-experience-in-chiang-mai</x:v>
      </x:c>
      <x:c r="N651" s="8" t="str">
        <x:v>ยังไม่ยืนยัน</x:v>
      </x:c>
      <x:c r="O651" s="8" t="str">
        <x:v>ตรวจการเปิด ตัวตนสาขา ช่องทางติดต่อ และเงื่อนไขบังคับตามประเภท</x:v>
      </x:c>
      <x:c r="P651" s="40" t="n">
        <x:v>46316</x:v>
      </x:c>
      <x:c r="Q651" s="59" t="str">
        <x:v>ยังไม่ตรวจ</x:v>
      </x:c>
      <x:c r="R651" s="59" t="str">
        <x:v>รอติดต่อ</x:v>
      </x:c>
    </x:row>
    <x:row r="652" ht="84" customHeight="1">
      <x:c r="A652" s="2" t="str">
        <x:v>R26-277</x:v>
      </x:c>
      <x:c r="B652" s="8" t="str">
        <x:v>Let's Relax Spa Chiang Mai Thapae</x:v>
      </x:c>
      <x:c r="C652" s="8" t="str">
        <x:v>เชียงใหม่</x:v>
      </x:c>
      <x:c r="D652" s="8" t="str">
        <x:v>อยู่ในชุด 600 ตามเส้นทาง</x:v>
      </x:c>
      <x:c r="E652" s="8" t="str">
        <x:v>พบชื่อสัมพันธ์หลายเว็บไซต์ รอยืนยันสาขา</x:v>
      </x:c>
      <x:c r="F652" s="8" t="str">
        <x:v>ยังไม่ยืนยันการเปิดให้บริการปัจจุบัน</x:v>
      </x:c>
      <x:c r="G652" s="8" t="n">
        <x:v>2</x:v>
      </x:c>
      <x:c r="H652" s="8" t="str">
        <x:v>https://www.facebook.com/letsrelaxspa.official/</x:v>
      </x:c>
      <x:c r="I652" s="8" t="str">
        <x:v>https://www.instagram.com/letsrelaxspa.official/?hl=en</x:v>
      </x:c>
      <x:c r="J652" s="8" t="str">
        <x:v>https://www.wongnai.com/businesses/224296ZL-let-s-relax-spa-chiang-mai-thapae</x:v>
      </x:c>
      <x:c r="K652" s="8" t="str"/>
      <x:c r="L652" s="8" t="str">
        <x:v>https://letsrelaxspa.com/th/branches/chiang-mai-thapae/</x:v>
      </x:c>
      <x:c r="M652" s="8" t="str">
        <x:v>https://www.wongnai.com/businesses/224296ZL-let-s-relax-spa-chiang-mai-thapae</x:v>
      </x:c>
      <x:c r="N652" s="8" t="str">
        <x:v>ยังไม่ยืนยัน</x:v>
      </x:c>
      <x:c r="O652" s="8" t="str">
        <x:v>ตรวจการเปิด ตัวตนสาขา ช่องทางติดต่อ และเงื่อนไขบังคับตามประเภท</x:v>
      </x:c>
      <x:c r="P652" s="40" t="n">
        <x:v>46316</x:v>
      </x:c>
      <x:c r="Q652" s="59" t="str">
        <x:v>ยังไม่ตรวจ</x:v>
      </x:c>
      <x:c r="R652" s="59" t="str">
        <x:v>รอติดต่อ</x:v>
      </x:c>
    </x:row>
    <x:row r="653" ht="84" customHeight="1">
      <x:c r="A653" s="2" t="str">
        <x:v>R26-315</x:v>
      </x:c>
      <x:c r="B653" s="8" t="str">
        <x:v>RarinJinda Wellness Spa Chiang Mai</x:v>
      </x:c>
      <x:c r="C653" s="8" t="str">
        <x:v>เชียงใหม่</x:v>
      </x:c>
      <x:c r="D653" s="8" t="str">
        <x:v>อยู่ในชุด 600 ตามเส้นทาง</x:v>
      </x:c>
      <x:c r="E653" s="8" t="str">
        <x:v>พบชื่อสัมพันธ์หลายเว็บไซต์ รอยืนยันสาขา</x:v>
      </x:c>
      <x:c r="F653" s="8" t="str">
        <x:v>ยังไม่ยืนยันการเปิดให้บริการปัจจุบัน</x:v>
      </x:c>
      <x:c r="G653" s="8" t="n">
        <x:v>5</x:v>
      </x:c>
      <x:c r="H653" s="8" t="str">
        <x:v>https://www.facebook.com/rarinjinda.official</x:v>
      </x:c>
      <x:c r="I653" s="8" t="str"/>
      <x:c r="J653" s="8" t="str">
        <x:v>https://www.wongnai.com/businesses/174915EA-%E0%B8%A3%E0%B8%B0%E0%B8%A3%E0%B8%B4%E0%B8%99%E0%B8%88%E0%B8%B4%E0%B8%99%E0%B8%94%E0%B8%B2%E0%B9%80%E0%B8%A7%E0%B8%A5%E0%B9%80%E0%B8%99%E0%B8%AA%E0%B8%AA%E0%B8%9B%E0%B8%B2-chiang-mai</x:v>
      </x:c>
      <x:c r="K653" s="8" t="str"/>
      <x:c r="L653" s="8" t="str">
        <x:v>https://rarinjinda.com/spa/chiangmai</x:v>
      </x:c>
      <x:c r="M653" s="8" t="str">
        <x:v>https://project.namfah.com/rarinjinda/spa/chiangmai</x:v>
      </x:c>
      <x:c r="N653" s="8" t="str">
        <x:v>ยังไม่ยืนยัน</x:v>
      </x:c>
      <x:c r="O653" s="8" t="str">
        <x:v>ตรวจการเปิด ตัวตนสาขา ช่องทางติดต่อ และเงื่อนไขบังคับตามประเภท</x:v>
      </x:c>
      <x:c r="P653" s="40" t="n">
        <x:v>46316</x:v>
      </x:c>
      <x:c r="Q653" s="59" t="str">
        <x:v>ยังไม่ตรวจ</x:v>
      </x:c>
      <x:c r="R653" s="59" t="str">
        <x:v>รอติดต่อ</x:v>
      </x:c>
    </x:row>
    <x:row r="654" ht="84" customHeight="1">
      <x:c r="A654" s="2" t="str">
        <x:v>R26-259</x:v>
      </x:c>
      <x:c r="B654" s="8" t="str">
        <x:v>Central Chiangmai</x:v>
      </x:c>
      <x:c r="C654" s="8" t="str">
        <x:v>เชียงใหม่</x:v>
      </x:c>
      <x:c r="D654" s="8" t="str">
        <x:v>อยู่ในชุด 600 ตามเส้นทาง</x:v>
      </x:c>
      <x:c r="E654" s="8" t="str">
        <x:v>พบชื่อสัมพันธ์หลายเว็บไซต์ รอยืนยันสาขา</x:v>
      </x:c>
      <x:c r="F654" s="8" t="str">
        <x:v>ยังไม่ยืนยันการเปิดให้บริการปัจจุบัน</x:v>
      </x:c>
      <x:c r="G654" s="8" t="n">
        <x:v>6</x:v>
      </x:c>
      <x:c r="H654" s="8" t="str">
        <x:v>https://www.facebook.com/CentralChiangmai</x:v>
      </x:c>
      <x:c r="I654" s="8" t="str">
        <x:v>https://www.instagram.com/central_chiangmai/</x:v>
      </x:c>
      <x:c r="J654" s="8" t="str"/>
      <x:c r="K654" s="8" t="str"/>
      <x:c r="L654" s="8" t="str">
        <x:v>https://www.centralchiangmai.com/</x:v>
      </x:c>
      <x:c r="M654" s="8" t="str">
        <x:v>https://shoppingcenter.centralpattana.co.th/th/branch/central-chiangmai/tourist</x:v>
      </x:c>
      <x:c r="N654" s="8" t="str">
        <x:v>ยังไม่ยืนยัน</x:v>
      </x:c>
      <x:c r="O654" s="8" t="str">
        <x:v>ตรวจการเปิด ตัวตนสาขา ช่องทางติดต่อ และเงื่อนไขบังคับตามประเภท</x:v>
      </x:c>
      <x:c r="P654" s="40" t="n">
        <x:v>46316</x:v>
      </x:c>
      <x:c r="Q654" s="59" t="str">
        <x:v>ยังไม่ตรวจ</x:v>
      </x:c>
      <x:c r="R654" s="59" t="str">
        <x:v>รอติดต่อ</x:v>
      </x:c>
    </x:row>
    <x:row r="655" ht="84" customHeight="1">
      <x:c r="A655" s="2" t="str">
        <x:v>R26-261</x:v>
      </x:c>
      <x:c r="B655" s="8" t="str">
        <x:v>Central Chiangmai Airport</x:v>
      </x:c>
      <x:c r="C655" s="8" t="str">
        <x:v>เชียงใหม่</x:v>
      </x:c>
      <x:c r="D655" s="8" t="str">
        <x:v>อยู่ในชุด 600 ตามเส้นทาง</x:v>
      </x:c>
      <x:c r="E655" s="8" t="str">
        <x:v>พบชื่อสัมพันธ์หลายเว็บไซต์ รอยืนยันสาขา</x:v>
      </x:c>
      <x:c r="F655" s="8" t="str">
        <x:v>ยังไม่ยืนยันการเปิดให้บริการปัจจุบัน</x:v>
      </x:c>
      <x:c r="G655" s="8" t="n">
        <x:v>3</x:v>
      </x:c>
      <x:c r="H655" s="8" t="str">
        <x:v>https://www.facebook.com/CentralChiangmaiAirport</x:v>
      </x:c>
      <x:c r="I655" s="8" t="str">
        <x:v>https://www.instagram.com/centralplaza_chiangmai_airport/</x:v>
      </x:c>
      <x:c r="J655" s="8" t="str"/>
      <x:c r="K655" s="8" t="str"/>
      <x:c r="L655" s="8" t="str">
        <x:v>https://www.centralchiangmaiairport.com/</x:v>
      </x:c>
      <x:c r="M655" s="8" t="str">
        <x:v>https://en.wikipedia.org/wiki/Central_Chiangmai_Airport</x:v>
      </x:c>
      <x:c r="N655" s="8" t="str">
        <x:v>ยังไม่ยืนยัน</x:v>
      </x:c>
      <x:c r="O655" s="8" t="str">
        <x:v>ตรวจการเปิด ตัวตนสาขา ช่องทางติดต่อ และเงื่อนไขบังคับตามประเภท</x:v>
      </x:c>
      <x:c r="P655" s="40" t="n">
        <x:v>46316</x:v>
      </x:c>
      <x:c r="Q655" s="59" t="str">
        <x:v>ยังไม่ตรวจ</x:v>
      </x:c>
      <x:c r="R655" s="59" t="str">
        <x:v>รอติดต่อ</x:v>
      </x:c>
    </x:row>
    <x:row r="656" ht="84" customHeight="1">
      <x:c r="A656" s="2" t="str">
        <x:v>R26-260</x:v>
      </x:c>
      <x:c r="B656" s="8" t="str">
        <x:v>MAYA Lifestyle Shopping Center</x:v>
      </x:c>
      <x:c r="C656" s="8" t="str">
        <x:v>เชียงใหม่</x:v>
      </x:c>
      <x:c r="D656" s="8" t="str">
        <x:v>อยู่ในชุด 600 ตามเส้นทาง</x:v>
      </x:c>
      <x:c r="E656" s="8" t="str">
        <x:v>พบชื่อสัมพันธ์หลายเว็บไซต์ รอยืนยันสาขา</x:v>
      </x:c>
      <x:c r="F656" s="8" t="str">
        <x:v>ยังไม่ยืนยันการเปิดให้บริการปัจจุบัน</x:v>
      </x:c>
      <x:c r="G656" s="8" t="n">
        <x:v>14</x:v>
      </x:c>
      <x:c r="H656" s="8" t="str">
        <x:v>https://www.youtube.com/watch?v=o1T9xjoW3WM</x:v>
      </x:c>
      <x:c r="I656" s="8" t="str">
        <x:v>https://www.instagram.com/mayachiangmai</x:v>
      </x:c>
      <x:c r="J656" s="8" t="str"/>
      <x:c r="K656" s="8" t="str"/>
      <x:c r="L656" s="8" t="str">
        <x:v>https://www.tourismthailand.org/Shop/maya-lifestyle-shopping-center</x:v>
      </x:c>
      <x:c r="M656" s="8" t="str">
        <x:v>https://mayashoppingcenter.com/</x:v>
      </x:c>
      <x:c r="N656" s="8" t="str">
        <x:v>ยังไม่ยืนยัน</x:v>
      </x:c>
      <x:c r="O656" s="8" t="str">
        <x:v>ตรวจการเปิด ตัวตนสาขา ช่องทางติดต่อ และเงื่อนไขบังคับตามประเภท</x:v>
      </x:c>
      <x:c r="P656" s="40" t="n">
        <x:v>46316</x:v>
      </x:c>
      <x:c r="Q656" s="59" t="str">
        <x:v>ยังไม่ตรวจ</x:v>
      </x:c>
      <x:c r="R656" s="59" t="str">
        <x:v>รอติดต่อ</x:v>
      </x:c>
    </x:row>
    <x:row r="657" ht="84" customHeight="1">
      <x:c r="A657" s="2" t="str">
        <x:v>R26-116</x:v>
      </x:c>
      <x:c r="B657" s="8" t="str">
        <x:v>สวนพฤกษศาสตร์สมเด็จพระนางเจ้าสิริกิติ์</x:v>
      </x:c>
      <x:c r="C657" s="8" t="str">
        <x:v>เชียงใหม่</x:v>
      </x:c>
      <x:c r="D657" s="8" t="str">
        <x:v>อยู่ในชุด 600 ตามเส้นทาง</x:v>
      </x:c>
      <x:c r="E657" s="8" t="str">
        <x:v>พบชื่อสัมพันธ์หลายเว็บไซต์ รอยืนยันสาขา</x:v>
      </x:c>
      <x:c r="F657" s="8" t="str">
        <x:v>ยังไม่ยืนยันการเปิดให้บริการปัจจุบัน</x:v>
      </x:c>
      <x:c r="G657" s="8" t="n">
        <x:v>14</x:v>
      </x:c>
      <x:c r="H657" s="8" t="str">
        <x:v>https://www.youtube.com/watch?v=LjqBCrkiI8w</x:v>
      </x:c>
      <x:c r="I657" s="8" t="str"/>
      <x:c r="J657" s="8" t="str"/>
      <x:c r="K657" s="8" t="str"/>
      <x:c r="L657" s="8" t="str">
        <x:v>https://www.thailandtourismdirectory.go.th/th/attraction/2107</x:v>
      </x:c>
      <x:c r="M657" s="8" t="str">
        <x:v>https://cbtthailand.dasta.or.th/webapp/relattraction/content/1611/</x:v>
      </x:c>
      <x:c r="N657" s="8" t="str">
        <x:v>ยังไม่ยืนยัน</x:v>
      </x:c>
      <x:c r="O657" s="8" t="str">
        <x:v>ตรวจการเปิด ตัวตนสาขา ช่องทางติดต่อ และเงื่อนไขบังคับตามประเภท</x:v>
      </x:c>
      <x:c r="P657" s="40" t="n">
        <x:v>46316</x:v>
      </x:c>
      <x:c r="Q657" s="59" t="str">
        <x:v>ยังไม่ตรวจ</x:v>
      </x:c>
      <x:c r="R657" s="59" t="str">
        <x:v>รอติดต่อ</x:v>
      </x:c>
    </x:row>
    <x:row r="658" ht="84" customHeight="1">
      <x:c r="A658" s="2" t="str">
        <x:v>R26-123</x:v>
      </x:c>
      <x:c r="B658" s="8" t="str">
        <x:v>ชุมชนบ้านออนใต้</x:v>
      </x:c>
      <x:c r="C658" s="8" t="str">
        <x:v>เชียงใหม่</x:v>
      </x:c>
      <x:c r="D658" s="8" t="str">
        <x:v>อยู่ในชุด 600 ตามเส้นทาง</x:v>
      </x:c>
      <x:c r="E658" s="8" t="str">
        <x:v>พบชื่อสัมพันธ์หลายเว็บไซต์ รอยืนยันสาขา</x:v>
      </x:c>
      <x:c r="F658" s="8" t="str">
        <x:v>ยังไม่ยืนยันการเปิดให้บริการปัจจุบัน</x:v>
      </x:c>
      <x:c r="G658" s="8" t="n">
        <x:v>5</x:v>
      </x:c>
      <x:c r="H658" s="8" t="str">
        <x:v>https://www.youtube.com/watch?v=Ysp9e9pgK4c</x:v>
      </x:c>
      <x:c r="I658" s="8" t="str"/>
      <x:c r="J658" s="8" t="str">
        <x:v>https://www.wongnai.com/attractions/402238Nw-%E0%B8%8A%E0%B8%B8%E0%B8%A1%E0%B8%8A%E0%B8%99%E0%B8%9A%E0%B9%89%E0%B8%B2%E0%B8%99%E0%B8%AD%E0%B8%AD%E0%B8%99%E0%B9%83%E0%B8%95%E0%B9%89</x:v>
      </x:c>
      <x:c r="K658" s="8" t="str"/>
      <x:c r="L658" s="8" t="str">
        <x:v>https://darksky.narit.or.th/darksky/north/ontaisan/</x:v>
      </x:c>
      <x:c r="M658" s="8" t="str">
        <x:v>https://wikicommunity.sac.or.th/community/174</x:v>
      </x:c>
      <x:c r="N658" s="8" t="str">
        <x:v>ยังไม่ยืนยัน</x:v>
      </x:c>
      <x:c r="O658" s="8" t="str">
        <x:v>ตรวจการเปิด ตัวตนสาขา ช่องทางติดต่อ และเงื่อนไขบังคับตามประเภท</x:v>
      </x:c>
      <x:c r="P658" s="40" t="n">
        <x:v>46316</x:v>
      </x:c>
      <x:c r="Q658" s="59" t="str">
        <x:v>ยังไม่ตรวจ</x:v>
      </x:c>
      <x:c r="R658" s="59" t="str">
        <x:v>รอติดต่อ</x:v>
      </x:c>
    </x:row>
    <x:row r="659" ht="84" customHeight="1">
      <x:c r="A659" s="2" t="str">
        <x:v>R26-324</x:v>
      </x:c>
      <x:c r="B659" s="8" t="str">
        <x:v>สวนสัตว์เชียงใหม่</x:v>
      </x:c>
      <x:c r="C659" s="8" t="str">
        <x:v>เชียงใหม่</x:v>
      </x:c>
      <x:c r="D659" s="8" t="str">
        <x:v>อยู่ในชุด 600 ตามเส้นทาง</x:v>
      </x:c>
      <x:c r="E659" s="8" t="str">
        <x:v>พบชื่อสัมพันธ์หลายเว็บไซต์ รอยืนยันสาขา</x:v>
      </x:c>
      <x:c r="F659" s="8" t="str">
        <x:v>ยังไม่ยืนยันการเปิดให้บริการปัจจุบัน</x:v>
      </x:c>
      <x:c r="G659" s="8" t="n">
        <x:v>11</x:v>
      </x:c>
      <x:c r="H659" s="8" t="str">
        <x:v>https://www.youtube.com/watch?v=l7qgqHouaAk</x:v>
      </x:c>
      <x:c r="I659" s="8" t="str"/>
      <x:c r="J659" s="8" t="str"/>
      <x:c r="K659" s="8" t="str"/>
      <x:c r="L659" s="8" t="str">
        <x:v>https://www.thailandtourismdirectory.go.th/attraction/339</x:v>
      </x:c>
      <x:c r="M659" s="8" t="str">
        <x:v>https://chiangmaiaquarium.com/</x:v>
      </x:c>
      <x:c r="N659" s="8" t="str">
        <x:v>ยังไม่ยืนยัน</x:v>
      </x:c>
      <x:c r="O659" s="8" t="str">
        <x:v>ตรวจการเปิด ตัวตนสาขา ช่องทางติดต่อ และเงื่อนไขบังคับตามประเภท</x:v>
      </x:c>
      <x:c r="P659" s="40" t="n">
        <x:v>46316</x:v>
      </x:c>
      <x:c r="Q659" s="59" t="str">
        <x:v>ยังไม่ตรวจ</x:v>
      </x:c>
      <x:c r="R659" s="59" t="str">
        <x:v>รอติดต่อ</x:v>
      </x:c>
    </x:row>
    <x:row r="660" ht="84" customHeight="1">
      <x:c r="A660" s="2" t="str">
        <x:v>R26-323</x:v>
      </x:c>
      <x:c r="B660" s="8" t="str">
        <x:v>เชียงใหม่ไนท์ซาฟารี</x:v>
      </x:c>
      <x:c r="C660" s="8" t="str">
        <x:v>เชียงใหม่</x:v>
      </x:c>
      <x:c r="D660" s="8" t="str">
        <x:v>อยู่ในชุด 600 ตามเส้นทาง</x:v>
      </x:c>
      <x:c r="E660" s="8" t="str">
        <x:v>พบชื่อสัมพันธ์หลายเว็บไซต์ รอยืนยันสาขา</x:v>
      </x:c>
      <x:c r="F660" s="8" t="str">
        <x:v>ยังไม่ยืนยันการเปิดให้บริการปัจจุบัน</x:v>
      </x:c>
      <x:c r="G660" s="8" t="n">
        <x:v>9</x:v>
      </x:c>
      <x:c r="H660" s="8" t="str">
        <x:v>https://page.line.me/jzi1178d</x:v>
      </x:c>
      <x:c r="I660" s="8" t="str">
        <x:v>https://www.youtube.com/watch?v=bMiBFCSeRhw</x:v>
      </x:c>
      <x:c r="J660" s="8" t="str"/>
      <x:c r="K660" s="8" t="str"/>
      <x:c r="L660" s="8" t="str">
        <x:v>https://www.maehia.go.th/upload/20251119114042.pdf</x:v>
      </x:c>
      <x:c r="M660" s="8" t="str">
        <x:v>https://pinkanakorn.or.th/wp-content/uploads/2024/04/O11.pdf</x:v>
      </x:c>
      <x:c r="N660" s="8" t="str">
        <x:v>ยังไม่ยืนยัน</x:v>
      </x:c>
      <x:c r="O660" s="8" t="str">
        <x:v>ตรวจการเปิด ตัวตนสาขา ช่องทางติดต่อ และเงื่อนไขบังคับตามประเภท</x:v>
      </x:c>
      <x:c r="P660" s="40" t="n">
        <x:v>46316</x:v>
      </x:c>
      <x:c r="Q660" s="59" t="str">
        <x:v>ยังไม่ตรวจ</x:v>
      </x:c>
      <x:c r="R660" s="59" t="str">
        <x:v>รอติดต่อ</x:v>
      </x:c>
    </x:row>
    <x:row r="661" ht="84" customHeight="1">
      <x:c r="A661" s="2" t="str">
        <x:v>R26-017</x:v>
      </x:c>
      <x:c r="B661" s="8" t="str">
        <x:v>Rasa Boutique Hotel Chiang Rai</x:v>
      </x:c>
      <x:c r="C661" s="8" t="str">
        <x:v>เชียงราย</x:v>
      </x:c>
      <x:c r="D661" s="8" t="str">
        <x:v>อยู่ในชุด 600 ตามเส้นทาง</x:v>
      </x:c>
      <x:c r="E661" s="8" t="str">
        <x:v>พบชื่อสัมพันธ์หลายเว็บไซต์ รอยืนยันสาขา</x:v>
      </x:c>
      <x:c r="F661" s="8" t="str">
        <x:v>ยังไม่ยืนยันการเปิดให้บริการปัจจุบัน</x:v>
      </x:c>
      <x:c r="G661" s="8" t="n">
        <x:v>6</x:v>
      </x:c>
      <x:c r="H661" s="8" t="str"/>
      <x:c r="I661" s="8" t="str"/>
      <x:c r="J661" s="8" t="str">
        <x:v>https://www.booking.com/hotel/th/rasa-boutique-chiang-rai.html</x:v>
      </x:c>
      <x:c r="K661" s="8" t="str">
        <x:v>https://www.tripadvisor.com/Hotel_Review-g297920-d3181981-Reviews-Rasa_Boutique_Hotel-Chiang_Rai_Chiang_Rai_Province.html</x:v>
      </x:c>
      <x:c r="L661" s="8" t="str">
        <x:v>https://rasahotel.com/</x:v>
      </x:c>
      <x:c r="M661" s="8" t="str">
        <x:v>https://www.chiangraiguide.com/en/categories/accommodations/ra-sa-boutique-hotel/</x:v>
      </x:c>
      <x:c r="N661" s="8" t="str">
        <x:v>ยังไม่ยืนยัน</x:v>
      </x:c>
      <x:c r="O661" s="8" t="str">
        <x:v>ตรวจการเปิด ตัวตนสาขา ช่องทางติดต่อ และเงื่อนไขบังคับตามประเภท</x:v>
      </x:c>
      <x:c r="P661" s="40" t="n">
        <x:v>46316</x:v>
      </x:c>
      <x:c r="Q661" s="59" t="str">
        <x:v>ยังไม่ตรวจ</x:v>
      </x:c>
      <x:c r="R661" s="59" t="str">
        <x:v>รอติดต่อ</x:v>
      </x:c>
    </x:row>
    <x:row r="662" ht="84" customHeight="1">
      <x:c r="A662" s="2" t="str">
        <x:v>R26-013</x:v>
      </x:c>
      <x:c r="B662" s="8" t="str">
        <x:v>บุหงา ตานี cafe bistro</x:v>
      </x:c>
      <x:c r="C662" s="8" t="str">
        <x:v>เชียงราย</x:v>
      </x:c>
      <x:c r="D662" s="8" t="str">
        <x:v>อยู่ในชุด 600 ตามเส้นทาง</x:v>
      </x:c>
      <x:c r="E662" s="8" t="str">
        <x:v>พบชื่อสัมพันธ์หลายเว็บไซต์ รอยืนยันสาขา</x:v>
      </x:c>
      <x:c r="F662" s="8" t="str">
        <x:v>ยังไม่ยืนยันการเปิดให้บริการปัจจุบัน</x:v>
      </x:c>
      <x:c r="G662" s="8" t="n">
        <x:v>6</x:v>
      </x:c>
      <x:c r="H662" s="8" t="str"/>
      <x:c r="I662" s="8" t="str"/>
      <x:c r="J662" s="8" t="str">
        <x:v>https://www.wongnai.com/restaurants/1151231Tw-%E0%B8%9A%E0%B8%B8%E0%B8%AB%E0%B8%87%E0%B8%B2-%E0%B8%95%E0%B8%B2%E0%B8%99%E0%B8%B5</x:v>
      </x:c>
      <x:c r="K662" s="8" t="str"/>
      <x:c r="L662" s="8" t="str">
        <x:v>https://mapcarta.com/N8440021025</x:v>
      </x:c>
      <x:c r="M662" s="8" t="str">
        <x:v>https://www.lemon8-app.com/%40varisa.ck/7185227914152034817?region=th</x:v>
      </x:c>
      <x:c r="N662" s="8" t="str">
        <x:v>ยังไม่ยืนยัน</x:v>
      </x:c>
      <x:c r="O662" s="8" t="str">
        <x:v>ตรวจการเปิด ตัวตนสาขา ช่องทางติดต่อ และเงื่อนไขบังคับตามประเภท</x:v>
      </x:c>
      <x:c r="P662" s="40" t="n">
        <x:v>46316</x:v>
      </x:c>
      <x:c r="Q662" s="59" t="str">
        <x:v>ยังไม่ตรวจ</x:v>
      </x:c>
      <x:c r="R662" s="59" t="str">
        <x:v>รอติดต่อ</x:v>
      </x:c>
    </x:row>
    <x:row r="663" ht="84" customHeight="1">
      <x:c r="A663" s="2" t="str">
        <x:v>R26-016</x:v>
      </x:c>
      <x:c r="B663" s="8" t="str">
        <x:v>บ้านเนื้อฮาลาล เชียงราย</x:v>
      </x:c>
      <x:c r="C663" s="8" t="str">
        <x:v>เชียงราย</x:v>
      </x:c>
      <x:c r="D663" s="8" t="str">
        <x:v>อยู่ในชุด 600 ตามเส้นทาง</x:v>
      </x:c>
      <x:c r="E663" s="8" t="str">
        <x:v>พบชื่อสัมพันธ์หลายเว็บไซต์ รอยืนยันสาขา</x:v>
      </x:c>
      <x:c r="F663" s="8" t="str">
        <x:v>ยังไม่ยืนยันการเปิดให้บริการปัจจุบัน</x:v>
      </x:c>
      <x:c r="G663" s="8" t="n">
        <x:v>2</x:v>
      </x:c>
      <x:c r="H663" s="8" t="str"/>
      <x:c r="I663" s="8" t="str"/>
      <x:c r="J663" s="8" t="str">
        <x:v>https://www.wongnai.com/reviews/22dc925868bb43e4a6a531cefee92fd8</x:v>
      </x:c>
      <x:c r="K663" s="8" t="str"/>
      <x:c r="L663" s="8" t="str">
        <x:v>https://www.lemon8-app.com/%40armsapareview/7590601900031230471?region=th</x:v>
      </x:c>
      <x:c r="M663" s="8" t="str">
        <x:v>https://www.lemon8-app.com/%40armsapareview/7590601900031230471?region=th</x:v>
      </x:c>
      <x:c r="N663" s="8" t="str">
        <x:v>ยังไม่ยืนยัน</x:v>
      </x:c>
      <x:c r="O663" s="8" t="str">
        <x:v>ตรวจการเปิด ตัวตนสาขา ช่องทางติดต่อ และเงื่อนไขบังคับตามประเภท</x:v>
      </x:c>
      <x:c r="P663" s="40" t="n">
        <x:v>46316</x:v>
      </x:c>
      <x:c r="Q663" s="59" t="str">
        <x:v>ยังไม่ตรวจ</x:v>
      </x:c>
      <x:c r="R663" s="59" t="str">
        <x:v>รอติดต่อ</x:v>
      </x:c>
    </x:row>
    <x:row r="664" ht="84" customHeight="1">
      <x:c r="A664" s="2" t="str">
        <x:v>R26-012</x:v>
      </x:c>
      <x:c r="B664" s="8" t="str">
        <x:v>มัสยิดกลางเชียงราย ดารุลอามาน</x:v>
      </x:c>
      <x:c r="C664" s="8" t="str">
        <x:v>เชียงราย</x:v>
      </x:c>
      <x:c r="D664" s="8" t="str">
        <x:v>อยู่ในชุด 600 ตามเส้นทาง</x:v>
      </x:c>
      <x:c r="E664" s="8" t="str">
        <x:v>พบชื่อสัมพันธ์หลายเว็บไซต์ รอยืนยันสาขา</x:v>
      </x:c>
      <x:c r="F664" s="8" t="str">
        <x:v>ยังไม่ยืนยันการเปิดให้บริการปัจจุบัน</x:v>
      </x:c>
      <x:c r="G664" s="8" t="n">
        <x:v>13</x:v>
      </x:c>
      <x:c r="H664" s="8" t="str">
        <x:v>https://www.youtube.com/watch?v=ZBF-DU8o8qc</x:v>
      </x:c>
      <x:c r="I664" s="8" t="str"/>
      <x:c r="J664" s="8" t="str">
        <x:v>https://www.wongnai.com/restaurants/124168FA-%E0%B8%A3%E0%B8%AA%E0%B8%9B%E0%B8%A3%E0%B8%B0%E0%B9%80%E0%B8%AA%E0%B8%A3%E0%B8%B4%E0%B8%90-%E0%B8%AD%E0%B8%B2%E0%B8%AB%E0%B8%B2%E0%B8%A3%E0%B8%AD%E0%B8%B4%E0%B8%AA%E0%B8%A5%E0%B8%B2%E0%B8%A1</x:v>
      </x:c>
      <x:c r="K664" s="8" t="str"/>
      <x:c r="L664" s="8" t="str">
        <x:v>https://muslimchiangmainews.blogspot.com/2019/11/blog-post_14.html</x:v>
      </x:c>
      <x:c r="M664" s="8" t="str">
        <x:v>https://s.veneneo.workers.dev/https/th.wikipedia.org/wiki/%E0%B8%A1%E0%B8%B1%E0%B8%AA%E0%B8%A2%E0%B8%B4%E0%B8%94%E0%B8%94%E0%B8%B2%E0%B8%A3%E0%B8%B8%E0%B8%A5%E0%B8%AD%E0%B8%B2%E0%B8%A1%E0%B8%B2%E0%B8%99</x:v>
      </x:c>
      <x:c r="N664" s="8" t="str">
        <x:v>ยังไม่ยืนยัน</x:v>
      </x:c>
      <x:c r="O664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664" s="40" t="n">
        <x:v>46316</x:v>
      </x:c>
      <x:c r="Q664" s="59" t="str">
        <x:v>ยังไม่ตรวจ</x:v>
      </x:c>
      <x:c r="R664" s="59" t="str">
        <x:v>รอติดต่อ</x:v>
      </x:c>
    </x:row>
    <x:row r="665" ht="84" customHeight="1">
      <x:c r="A665" s="2" t="str">
        <x:v>R26-014</x:v>
      </x:c>
      <x:c r="B665" s="8" t="str">
        <x:v>วัดร่องขุ่น</x:v>
      </x:c>
      <x:c r="C665" s="8" t="str">
        <x:v>เชียงราย</x:v>
      </x:c>
      <x:c r="D665" s="8" t="str">
        <x:v>อยู่ในชุด 600 ตามเส้นทาง</x:v>
      </x:c>
      <x:c r="E665" s="8" t="str">
        <x:v>พบชื่อสัมพันธ์หลายเว็บไซต์ รอยืนยันสาขา</x:v>
      </x:c>
      <x:c r="F665" s="8" t="str">
        <x:v>ยังไม่ยืนยันการเปิดให้บริการปัจจุบัน</x:v>
      </x:c>
      <x:c r="G665" s="8" t="n">
        <x:v>17</x:v>
      </x:c>
      <x:c r="H665" s="8" t="str">
        <x:v>https://www.youtube.com/watch?v=bY18DFJ_APA</x:v>
      </x:c>
      <x:c r="I665" s="8" t="str"/>
      <x:c r="J665" s="8" t="str">
        <x:v>https://www.google.co.th/travel/hotels/entity/ChoIrKn_z-zi1aSzARoNL2cvMTFja3pjNnptdxAE</x:v>
      </x:c>
      <x:c r="K665" s="8" t="str">
        <x:v>https://www.wongnai.com/attractions/324899On-%E0%B8%A7%E0%B8%B1%E0%B8%94%E0%B8%A3%E0%B9%88%E0%B8%AD%E0%B8%87%E0%B8%82%E0%B8%B8%E0%B9%88%E0%B8%99</x:v>
      </x:c>
      <x:c r="L665" s="8" t="str">
        <x:v>https://chiangrai.mots.go.th/news/1507</x:v>
      </x:c>
      <x:c r="M665" s="8" t="str">
        <x:v>https://www.chiangraicity.go.th/travel/detail/109</x:v>
      </x:c>
      <x:c r="N665" s="8" t="str">
        <x:v>ยังไม่ยืนยัน</x:v>
      </x:c>
      <x:c r="O665" s="8" t="str">
        <x:v>ตรวจการเปิด ตัวตนสาขา ช่องทางติดต่อ และเงื่อนไขบังคับตามประเภท</x:v>
      </x:c>
      <x:c r="P665" s="40" t="n">
        <x:v>46316</x:v>
      </x:c>
      <x:c r="Q665" s="59" t="str">
        <x:v>ยังไม่ตรวจ</x:v>
      </x:c>
      <x:c r="R665" s="59" t="str">
        <x:v>รอติดต่อ</x:v>
      </x:c>
    </x:row>
    <x:row r="666" ht="84" customHeight="1">
      <x:c r="A666" s="2" t="str">
        <x:v>R26-011</x:v>
      </x:c>
      <x:c r="B666" s="8" t="str">
        <x:v>ดอยดินแดง เครื่องปั้นดินเผา</x:v>
      </x:c>
      <x:c r="C666" s="8" t="str">
        <x:v>เชียงราย</x:v>
      </x:c>
      <x:c r="D666" s="8" t="str">
        <x:v>อยู่ในชุด 600 ตามเส้นทาง</x:v>
      </x:c>
      <x:c r="E666" s="8" t="str">
        <x:v>พบชื่อสัมพันธ์หลายเว็บไซต์ รอยืนยันสาขา</x:v>
      </x:c>
      <x:c r="F666" s="8" t="str">
        <x:v>ยังไม่ยืนยันการเปิดให้บริการปัจจุบัน</x:v>
      </x:c>
      <x:c r="G666" s="8" t="n">
        <x:v>4</x:v>
      </x:c>
      <x:c r="H666" s="8" t="str">
        <x:v>https://www.youtube.com/watch?v=F7fgbxwlxkY</x:v>
      </x:c>
      <x:c r="I666" s="8" t="str"/>
      <x:c r="J666" s="8" t="str">
        <x:v>https://sites.google.com/view/doydindang/%E0%B8%95%E0%B8%94%E0%B8%95%E0%B8%AD</x:v>
      </x:c>
      <x:c r="K666" s="8" t="str">
        <x:v>https://www.wongnai.com/attractions/350379ER-%E0%B9%80%E0%B8%84%E0%B8%A3%E0%B8%B7%E0%B9%88%E0%B8%AD%E0%B8%87%E0%B8%9B%E0%B8%B1%E0%B9%89%E0%B8%99%E0%B8%94%E0%B8%B4%E0%B8%99%E0%B9%80%E0%B8%9C%E0%B8%B2%E0%B8%94%E0%B8%AD%E0%B8%A2%E0%B8%94%E0%B8%B4%E0%B8%99%E0%B9%81%E0%B8%94%E0%B8%87/photos/a03d913fe06e44049e26d8e76add8e39</x:v>
      </x:c>
      <x:c r="L666" s="8" t="str">
        <x:v>https://www.tourismchiangrai-phayao.com/2022/05/11/doy-din-dang-pottery-%E0%B9%80%E0%B8%84%E0%B8%A3%E0%B8%B7%E0%B9%88%E0%B8%AD%E0%B8%87%E0%B8%9B%E0%B8%B1%E0%B9%89%E0%B8%99%E0%B8%94%E0%B8%B4%E0%B8%99%E0%B9%80%E0%B8%9C%E0%B8%B2%E0%B8%94%E0%B8%AD/</x:v>
      </x:c>
      <x:c r="M666" s="8" t="str">
        <x:v>https://sites.google.com/view/doydindang/%E0%B8%95%E0%B8%94%E0%B8%95%E0%B8%AD</x:v>
      </x:c>
      <x:c r="N666" s="8" t="str">
        <x:v>ยังไม่ยืนยัน</x:v>
      </x:c>
      <x:c r="O666" s="8" t="str">
        <x:v>ตรวจการเปิด ตัวตนสาขา ช่องทางติดต่อ และเงื่อนไขบังคับตามประเภท</x:v>
      </x:c>
      <x:c r="P666" s="40" t="n">
        <x:v>46316</x:v>
      </x:c>
      <x:c r="Q666" s="59" t="str">
        <x:v>ยังไม่ตรวจ</x:v>
      </x:c>
      <x:c r="R666" s="59" t="str">
        <x:v>รอติดต่อ</x:v>
      </x:c>
    </x:row>
    <x:row r="667" ht="84" customHeight="1">
      <x:c r="A667" s="2" t="str">
        <x:v>R26-021</x:v>
      </x:c>
      <x:c r="B667" s="8" t="str">
        <x:v>Saleema Muslim Food Yunnan แม่สลอง</x:v>
      </x:c>
      <x:c r="C667" s="8" t="str">
        <x:v>เชียงราย</x:v>
      </x:c>
      <x:c r="D667" s="8" t="str">
        <x:v>อยู่ในชุด 600 ตามเส้นทาง</x:v>
      </x:c>
      <x:c r="E667" s="8" t="str">
        <x:v>พบชื่อสัมพันธ์หลายเว็บไซต์ รอยืนยันสาขา</x:v>
      </x:c>
      <x:c r="F667" s="8" t="str">
        <x:v>ยังไม่ยืนยันการเปิดให้บริการปัจจุบัน</x:v>
      </x:c>
      <x:c r="G667" s="8" t="n">
        <x:v>5</x:v>
      </x:c>
      <x:c r="H667" s="8" t="str"/>
      <x:c r="I667" s="8" t="str"/>
      <x:c r="J667" s="8" t="str">
        <x:v>https://www.wongnai.com/reviews/a31a26499e94412aad07e5d68cf482be</x:v>
      </x:c>
      <x:c r="K667" s="8" t="str"/>
      <x:c r="L667" s="8" t="str">
        <x:v>https://makanhalalguide.com/shop/detail/784</x:v>
      </x:c>
      <x:c r="M667" s="8" t="str">
        <x:v>https://www.thaithurkic.com/saleema-muslim-food-081-104-7373</x:v>
      </x:c>
      <x:c r="N667" s="8" t="str">
        <x:v>ยังไม่ยืนยัน</x:v>
      </x:c>
      <x:c r="O667" s="8" t="str">
        <x:v>ตรวจการเปิด ตัวตนสาขา ช่องทางติดต่อ และเงื่อนไขบังคับตามประเภท</x:v>
      </x:c>
      <x:c r="P667" s="40" t="n">
        <x:v>46316</x:v>
      </x:c>
      <x:c r="Q667" s="59" t="str">
        <x:v>ยังไม่ตรวจ</x:v>
      </x:c>
      <x:c r="R667" s="59" t="str">
        <x:v>รอติดต่อ</x:v>
      </x:c>
    </x:row>
    <x:row r="668" ht="84" customHeight="1">
      <x:c r="A668" s="2" t="str">
        <x:v>R26-018</x:v>
      </x:c>
      <x:c r="B668" s="8" t="str">
        <x:v>ชุมชนสันติคีรี ดอยแม่สลอง</x:v>
      </x:c>
      <x:c r="C668" s="8" t="str">
        <x:v>เชียงราย</x:v>
      </x:c>
      <x:c r="D668" s="8" t="str">
        <x:v>อยู่ในชุด 600 ตามเส้นทาง</x:v>
      </x:c>
      <x:c r="E668" s="8" t="str">
        <x:v>พบชื่อสัมพันธ์หลายเว็บไซต์ รอยืนยันสาขา</x:v>
      </x:c>
      <x:c r="F668" s="8" t="str">
        <x:v>ยังไม่ยืนยันการเปิดให้บริการปัจจุบัน</x:v>
      </x:c>
      <x:c r="G668" s="8" t="n">
        <x:v>11</x:v>
      </x:c>
      <x:c r="H668" s="8" t="str">
        <x:v>https://www.youtube.com/watch?v=VquOoZKOwKc</x:v>
      </x:c>
      <x:c r="I668" s="8" t="str"/>
      <x:c r="J668" s="8" t="str"/>
      <x:c r="K668" s="8" t="str"/>
      <x:c r="L668" s="8" t="str">
        <x:v>https://web.codi.or.th/20190829-8169/</x:v>
      </x:c>
      <x:c r="M668" s="8" t="str">
        <x:v>https://wikicommunity.sac.or.th/community/2439</x:v>
      </x:c>
      <x:c r="N668" s="8" t="str">
        <x:v>ยังไม่ยืนยัน</x:v>
      </x:c>
      <x:c r="O668" s="8" t="str">
        <x:v>ตรวจการเปิด ตัวตนสาขา ช่องทางติดต่อ และเงื่อนไขบังคับตามประเภท</x:v>
      </x:c>
      <x:c r="P668" s="40" t="n">
        <x:v>46316</x:v>
      </x:c>
      <x:c r="Q668" s="59" t="str">
        <x:v>ยังไม่ตรวจ</x:v>
      </x:c>
      <x:c r="R668" s="59" t="str">
        <x:v>รอติดต่อ</x:v>
      </x:c>
    </x:row>
    <x:row r="669" ht="84" customHeight="1">
      <x:c r="A669" s="2" t="str">
        <x:v>R26-019</x:v>
      </x:c>
      <x:c r="B669" s="8" t="str">
        <x:v>ไร่ชา 101 ดอยแม่สลอง</x:v>
      </x:c>
      <x:c r="C669" s="8" t="str">
        <x:v>เชียงราย</x:v>
      </x:c>
      <x:c r="D669" s="8" t="str">
        <x:v>อยู่ในชุด 600 ตามเส้นทาง</x:v>
      </x:c>
      <x:c r="E669" s="8" t="str">
        <x:v>พบชื่อสัมพันธ์หลายเว็บไซต์ รอยืนยันสาขา</x:v>
      </x:c>
      <x:c r="F669" s="8" t="str">
        <x:v>ยังไม่ยืนยันการเปิดให้บริการปัจจุบัน</x:v>
      </x:c>
      <x:c r="G669" s="8" t="n">
        <x:v>7</x:v>
      </x:c>
      <x:c r="H669" s="8" t="str">
        <x:v>https://www.youtube.com/watch?v=iyHNldl4V5g</x:v>
      </x:c>
      <x:c r="I669" s="8" t="str"/>
      <x:c r="J669" s="8" t="str"/>
      <x:c r="K669" s="8" t="str"/>
      <x:c r="L669" s="8" t="str">
        <x:v>https://chiangrai.mots.go.th/news/1682</x:v>
      </x:c>
      <x:c r="M669" s="8" t="str">
        <x:v>https://www.koratcity.go.th/wp-content/uploads/2021/02/%E0%B8%9C%E0%B8%A5%E0%B8%81%E0%B8%B2%E0%B8%A3%E0%B8%9B%E0%B8%8F%E0%B8%B4%E0%B8%9A%E0%B8%B1%E0%B8%95%E0%B8%B4%E0%B8%87%E0%B8%B2%E0%B8%99%E0%B8%95%E0%B8%B2%E0%B8%A1%E0%B8%99%E0%B9%82%E0%B8%A2%E0%B8%9A%E0%B8%B2%E0%B8%A263.pdf</x:v>
      </x:c>
      <x:c r="N669" s="8" t="str">
        <x:v>ยังไม่ยืนยัน</x:v>
      </x:c>
      <x:c r="O669" s="8" t="str">
        <x:v>ตรวจการเปิด ตัวตนสาขา ช่องทางติดต่อ และเงื่อนไขบังคับตามประเภท</x:v>
      </x:c>
      <x:c r="P669" s="40" t="n">
        <x:v>46316</x:v>
      </x:c>
      <x:c r="Q669" s="59" t="str">
        <x:v>ยังไม่ตรวจ</x:v>
      </x:c>
      <x:c r="R669" s="59" t="str">
        <x:v>รอติดต่อ</x:v>
      </x:c>
    </x:row>
    <x:row r="670" ht="84" customHeight="1">
      <x:c r="A670" s="2" t="str">
        <x:v>R26-020</x:v>
      </x:c>
      <x:c r="B670" s="8" t="str">
        <x:v>ไร่ชาวังพุดตาล</x:v>
      </x:c>
      <x:c r="C670" s="8" t="str">
        <x:v>เชียงราย</x:v>
      </x:c>
      <x:c r="D670" s="8" t="str">
        <x:v>อยู่ในชุด 600 ตามเส้นทาง</x:v>
      </x:c>
      <x:c r="E670" s="8" t="str">
        <x:v>พบชื่อสัมพันธ์หลายเว็บไซต์ รอยืนยันสาขา</x:v>
      </x:c>
      <x:c r="F670" s="8" t="str">
        <x:v>ยังไม่ยืนยันการเปิดให้บริการปัจจุบัน</x:v>
      </x:c>
      <x:c r="G670" s="8" t="n">
        <x:v>11</x:v>
      </x:c>
      <x:c r="H670" s="8" t="str">
        <x:v>https://www.youtube.com/watch?v=A-EEYAxtTOk</x:v>
      </x:c>
      <x:c r="I670" s="8" t="str"/>
      <x:c r="J670" s="8" t="str">
        <x:v>https://www.wongnai.com/attractions/352930jo-%E0%B9%84%E0%B8%A3%E0%B9%88%E0%B8%8A%E0%B8%B2%E0%B8%A7%E0%B8%B1%E0%B8%87%E0%B8%9E%E0%B8%B8%E0%B8%94%E0%B8%95%E0%B8%B2%E0%B8%A5</x:v>
      </x:c>
      <x:c r="K670" s="8" t="str"/>
      <x:c r="L670" s="8" t="str">
        <x:v>https://tfind-travel.com/place/wang-put-tan-tea-plantation-chiang-rai/</x:v>
      </x:c>
      <x:c r="M670" s="8" t="str">
        <x:v>https://www.chiangraiguide.com/categories/cafes/rai-cha-wang-phut-tal-cafe/</x:v>
      </x:c>
      <x:c r="N670" s="8" t="str">
        <x:v>ยังไม่ยืนยัน</x:v>
      </x:c>
      <x:c r="O670" s="8" t="str">
        <x:v>ตรวจการเปิด ตัวตนสาขา ช่องทางติดต่อ และเงื่อนไขบังคับตามประเภท</x:v>
      </x:c>
      <x:c r="P670" s="40" t="n">
        <x:v>46316</x:v>
      </x:c>
      <x:c r="Q670" s="59" t="str">
        <x:v>ยังไม่ตรวจ</x:v>
      </x:c>
      <x:c r="R670" s="59" t="str">
        <x:v>รอติดต่อ</x:v>
      </x:c>
    </x:row>
    <x:row r="671" ht="84" customHeight="1">
      <x:c r="A671" s="2" t="str">
        <x:v>R26-362</x:v>
      </x:c>
      <x:c r="B671" s="8" t="str">
        <x:v>Nak Nakara Hotel Chiang Rai</x:v>
      </x:c>
      <x:c r="C671" s="8" t="str">
        <x:v>เชียงราย</x:v>
      </x:c>
      <x:c r="D671" s="8" t="str">
        <x:v>อยู่ในชุด 600 ตามเส้นทาง</x:v>
      </x:c>
      <x:c r="E671" s="8" t="str">
        <x:v>พบชื่อสัมพันธ์หลายเว็บไซต์ รอยืนยันสาขา</x:v>
      </x:c>
      <x:c r="F671" s="8" t="str">
        <x:v>ยังไม่ยืนยันการเปิดให้บริการปัจจุบัน</x:v>
      </x:c>
      <x:c r="G671" s="8" t="n">
        <x:v>4</x:v>
      </x:c>
      <x:c r="H671" s="8" t="str"/>
      <x:c r="I671" s="8" t="str"/>
      <x:c r="J671" s="8" t="str">
        <x:v>https://www.booking.com/hotel/th/nak-nakara.html</x:v>
      </x:c>
      <x:c r="K671" s="8" t="str">
        <x:v>https://www.google.co.th/travel/hotels/entity/ChkIkZ3Iw4fDwfqlARoML2cvMTEzaDlrMHJnEAE?ap=MAA&amp;g2lb=4207876%2C4208993%2C4223281%2C4240924%2C4242898%2C4248641%2C4251623%2C4253665%2C4246256&amp;gl=th&amp;gsas=1&amp;hl=en&amp;rp=OAE&amp;ts=CAESCgoCCAMKAggDEAAaVQo3EjMyJTB4MzBkNzA2NjcwOTI3ZWE0YjoweDM4NmJkODExYjkzYWE2MWU6CkNoaWFuZyBSYWkaABIaEhQKBwjqDxAIGBESBwjqDxAIGBIYATICEAAqCQoFOgNUSEIaAA&amp;un=1</x:v>
      </x:c>
      <x:c r="L671" s="8" t="str">
        <x:v>https://naknakarahotel.com/</x:v>
      </x:c>
      <x:c r="M671" s="8" t="str">
        <x:v>https://en.wikipedia.org/wiki/Central_Chiangrai</x:v>
      </x:c>
      <x:c r="N671" s="8" t="str">
        <x:v>ยังไม่ยืนยัน</x:v>
      </x:c>
      <x:c r="O671" s="8" t="str">
        <x:v>ตรวจการเปิด ตัวตนสาขา ช่องทางติดต่อ และเงื่อนไขบังคับตามประเภท</x:v>
      </x:c>
      <x:c r="P671" s="40" t="n">
        <x:v>46316</x:v>
      </x:c>
      <x:c r="Q671" s="59" t="str">
        <x:v>ยังไม่ตรวจ</x:v>
      </x:c>
      <x:c r="R671" s="59" t="str">
        <x:v>รอติดต่อ</x:v>
      </x:c>
    </x:row>
    <x:row r="672" ht="84" customHeight="1">
      <x:c r="A672" s="2" t="str">
        <x:v>R26-363</x:v>
      </x:c>
      <x:c r="B672" s="8" t="str">
        <x:v>Sann Hotel Chiang Rai</x:v>
      </x:c>
      <x:c r="C672" s="8" t="str">
        <x:v>เชียงราย</x:v>
      </x:c>
      <x:c r="D672" s="8" t="str">
        <x:v>อยู่ในชุด 600 ตามเส้นทาง</x:v>
      </x:c>
      <x:c r="E672" s="8" t="str">
        <x:v>พบชื่อสัมพันธ์หลายเว็บไซต์ รอยืนยันสาขา</x:v>
      </x:c>
      <x:c r="F672" s="8" t="str">
        <x:v>ยังไม่ยืนยันการเปิดให้บริการปัจจุบัน</x:v>
      </x:c>
      <x:c r="G672" s="8" t="n">
        <x:v>8</x:v>
      </x:c>
      <x:c r="H672" s="8" t="str">
        <x:v>https://www.youtube.com/watch?v=np-Il2AbOvA</x:v>
      </x:c>
      <x:c r="I672" s="8" t="str"/>
      <x:c r="J672" s="8" t="str">
        <x:v>https://www.booking.com/hotel/th/sann.html</x:v>
      </x:c>
      <x:c r="K672" s="8" t="str">
        <x:v>https://www.google.com/travel/hotels/entity/CgoIj-yMuNb9xqNwEAE?gsas=1</x:v>
      </x:c>
      <x:c r="L672" s="8" t="str">
        <x:v>https://en.wikipedia.org/wiki/Chiang_Rai</x:v>
      </x:c>
      <x:c r="M672" s="8" t="str">
        <x:v>https://www.sannhotelgroup.com/sann-boutique-hotel/</x:v>
      </x:c>
      <x:c r="N672" s="8" t="str">
        <x:v>ยังไม่ยืนยัน</x:v>
      </x:c>
      <x:c r="O672" s="8" t="str">
        <x:v>ตรวจการเปิด ตัวตนสาขา ช่องทางติดต่อ และเงื่อนไขบังคับตามประเภท</x:v>
      </x:c>
      <x:c r="P672" s="40" t="n">
        <x:v>46316</x:v>
      </x:c>
      <x:c r="Q672" s="59" t="str">
        <x:v>ยังไม่ตรวจ</x:v>
      </x:c>
      <x:c r="R672" s="59" t="str">
        <x:v>รอติดต่อ</x:v>
      </x:c>
    </x:row>
    <x:row r="673" ht="84" customHeight="1">
      <x:c r="A673" s="2" t="str">
        <x:v>R26-279</x:v>
      </x:c>
      <x:c r="B673" s="8" t="str">
        <x:v>Anantara Spa Golden Triangle</x:v>
      </x:c>
      <x:c r="C673" s="8" t="str">
        <x:v>เชียงราย</x:v>
      </x:c>
      <x:c r="D673" s="8" t="str">
        <x:v>อยู่ในชุด 600 ตามเส้นทาง</x:v>
      </x:c>
      <x:c r="E673" s="8" t="str">
        <x:v>พบชื่อสัมพันธ์หลายเว็บไซต์ รอยืนยันสาขา</x:v>
      </x:c>
      <x:c r="F673" s="8" t="str">
        <x:v>ยังไม่ยืนยันการเปิดให้บริการปัจจุบัน</x:v>
      </x:c>
      <x:c r="G673" s="8" t="n">
        <x:v>10</x:v>
      </x:c>
      <x:c r="H673" s="8" t="str">
        <x:v>https://www.youtube.com/watch?v=tMJqwQjArBw</x:v>
      </x:c>
      <x:c r="I673" s="8" t="str"/>
      <x:c r="J673" s="8" t="str"/>
      <x:c r="K673" s="8" t="str"/>
      <x:c r="L673" s="8" t="str">
        <x:v>https://www.architecturaldigest.com/story/bensley-article-082004</x:v>
      </x:c>
      <x:c r="M673" s="8" t="str">
        <x:v>https://www.chiangraiguide.com/en/categories/spas/a-nan-ta-ra-spa/</x:v>
      </x:c>
      <x:c r="N673" s="8" t="str">
        <x:v>ยังไม่ยืนยัน</x:v>
      </x:c>
      <x:c r="O673" s="8" t="str">
        <x:v>ตรวจการเปิด ตัวตนสาขา ช่องทางติดต่อ และเงื่อนไขบังคับตามประเภท</x:v>
      </x:c>
      <x:c r="P673" s="40" t="n">
        <x:v>46316</x:v>
      </x:c>
      <x:c r="Q673" s="59" t="str">
        <x:v>ยังไม่ตรวจ</x:v>
      </x:c>
      <x:c r="R673" s="59" t="str">
        <x:v>รอติดต่อ</x:v>
      </x:c>
    </x:row>
    <x:row r="674" ht="84" customHeight="1">
      <x:c r="A674" s="2" t="str">
        <x:v>R26-258</x:v>
      </x:c>
      <x:c r="B674" s="8" t="str">
        <x:v>Central Chiangrai</x:v>
      </x:c>
      <x:c r="C674" s="8" t="str">
        <x:v>เชียงราย</x:v>
      </x:c>
      <x:c r="D674" s="8" t="str">
        <x:v>อยู่ในชุด 600 ตามเส้นทาง</x:v>
      </x:c>
      <x:c r="E674" s="8" t="str">
        <x:v>พบชื่อสัมพันธ์หลายเว็บไซต์ รอยืนยันสาขา</x:v>
      </x:c>
      <x:c r="F674" s="8" t="str">
        <x:v>ยังไม่ยืนยันการเปิดให้บริการปัจจุบัน</x:v>
      </x:c>
      <x:c r="G674" s="8" t="n">
        <x:v>8</x:v>
      </x:c>
      <x:c r="H674" s="8" t="str">
        <x:v>https://page.line.me/405zhitb</x:v>
      </x:c>
      <x:c r="I674" s="8" t="str">
        <x:v>https://www.facebook.com/CentralChiangraiFanpage</x:v>
      </x:c>
      <x:c r="J674" s="8" t="str">
        <x:v>https://www.wongnai.com/restaurants/1871343yk-central-food-central-chiangrai</x:v>
      </x:c>
      <x:c r="K674" s="8" t="str"/>
      <x:c r="L674" s="8" t="str">
        <x:v>https://www.centralchiangrai.com/en</x:v>
      </x:c>
      <x:c r="M674" s="8" t="str">
        <x:v>https://en.wikipedia.org/wiki/Central_Chiangrai</x:v>
      </x:c>
      <x:c r="N674" s="8" t="str">
        <x:v>ยังไม่ยืนยัน</x:v>
      </x:c>
      <x:c r="O674" s="8" t="str">
        <x:v>ตรวจการเปิด ตัวตนสาขา ช่องทางติดต่อ และเงื่อนไขบังคับตามประเภท</x:v>
      </x:c>
      <x:c r="P674" s="40" t="n">
        <x:v>46316</x:v>
      </x:c>
      <x:c r="Q674" s="59" t="str">
        <x:v>ยังไม่ตรวจ</x:v>
      </x:c>
      <x:c r="R674" s="59" t="str">
        <x:v>รอติดต่อ</x:v>
      </x:c>
    </x:row>
    <x:row r="675" ht="84" customHeight="1">
      <x:c r="A675" s="2" t="str">
        <x:v>R26-112</x:v>
      </x:c>
      <x:c r="B675" s="8" t="str">
        <x:v>ดอยตุง สวนรุกขชาติแม่ฟ้าหลวง</x:v>
      </x:c>
      <x:c r="C675" s="8" t="str">
        <x:v>เชียงราย</x:v>
      </x:c>
      <x:c r="D675" s="8" t="str">
        <x:v>อยู่ในชุด 600 ตามเส้นทาง</x:v>
      </x:c>
      <x:c r="E675" s="8" t="str">
        <x:v>พบชื่อสัมพันธ์หลายเว็บไซต์ รอยืนยันสาขา</x:v>
      </x:c>
      <x:c r="F675" s="8" t="str">
        <x:v>ยังไม่ยืนยันการเปิดให้บริการปัจจุบัน</x:v>
      </x:c>
      <x:c r="G675" s="8" t="n">
        <x:v>6</x:v>
      </x:c>
      <x:c r="H675" s="8" t="str">
        <x:v>https://www.youtube.com/watch?v=g2sw3tJV1Mg</x:v>
      </x:c>
      <x:c r="I675" s="8" t="str"/>
      <x:c r="J675" s="8" t="str"/>
      <x:c r="K675" s="8" t="str"/>
      <x:c r="L675" s="8" t="str">
        <x:v>https://chiangraipao.go.th/travel/detail/308</x:v>
      </x:c>
      <x:c r="M675" s="8" t="str">
        <x:v>https://thai.tourismthailand.org/Attraction/%E0%B8%9E%E0%B8%A3%E0%B8%B0%E0%B8%95%E0%B8%B3%E0%B8%AB%E0%B8%99%E0%B8%B1%E0%B8%81%E0%B8%94%E0%B8%AD%E0%B8%A2%E0%B8%95%E0%B8%B8%E0%B8%87</x:v>
      </x:c>
      <x:c r="N675" s="8" t="str">
        <x:v>ยังไม่ยืนยัน</x:v>
      </x:c>
      <x:c r="O675" s="8" t="str">
        <x:v>ตรวจการเปิด ตัวตนสาขา ช่องทางติดต่อ และเงื่อนไขบังคับตามประเภท</x:v>
      </x:c>
      <x:c r="P675" s="40" t="n">
        <x:v>46316</x:v>
      </x:c>
      <x:c r="Q675" s="59" t="str">
        <x:v>ยังไม่ตรวจ</x:v>
      </x:c>
      <x:c r="R675" s="59" t="str">
        <x:v>รอติดต่อ</x:v>
      </x:c>
    </x:row>
    <x:row r="676" ht="84" customHeight="1">
      <x:c r="A676" s="2" t="str">
        <x:v>R26-111</x:v>
      </x:c>
      <x:c r="B676" s="8" t="str">
        <x:v>น้ำตกขุนกรณ์</x:v>
      </x:c>
      <x:c r="C676" s="8" t="str">
        <x:v>เชียงราย</x:v>
      </x:c>
      <x:c r="D676" s="8" t="str">
        <x:v>อยู่ในชุด 600 ตามเส้นทาง</x:v>
      </x:c>
      <x:c r="E676" s="8" t="str">
        <x:v>พบชื่อสัมพันธ์หลายเว็บไซต์ รอยืนยันสาขา</x:v>
      </x:c>
      <x:c r="F676" s="8" t="str">
        <x:v>ยังไม่ยืนยันการเปิดให้บริการปัจจุบัน</x:v>
      </x:c>
      <x:c r="G676" s="8" t="n">
        <x:v>16</x:v>
      </x:c>
      <x:c r="H676" s="8" t="str"/>
      <x:c r="I676" s="8" t="str"/>
      <x:c r="J676" s="8" t="str">
        <x:v>https://www.wongnai.com/attractions/326772JY-%E0%B8%99%E0%B9%89%E0%B8%B3%E0%B8%95%E0%B8%81%E0%B8%82%E0%B8%B8%E0%B8%99%E0%B8%81%E0%B8%A3%E0%B8%93%E0%B9%8C</x:v>
      </x:c>
      <x:c r="K676" s="8" t="str"/>
      <x:c r="L676" s="8" t="str">
        <x:v>https://www.maekorn.go.th/info.pdf</x:v>
      </x:c>
      <x:c r="M676" s="8" t="str">
        <x:v>https://chiangraicity.go.th/travel/detail/114</x:v>
      </x:c>
      <x:c r="N676" s="8" t="str">
        <x:v>ยังไม่ยืนยัน</x:v>
      </x:c>
      <x:c r="O676" s="8" t="str">
        <x:v>ตรวจการเปิด ตัวตนสาขา ช่องทางติดต่อ และเงื่อนไขบังคับตามประเภท</x:v>
      </x:c>
      <x:c r="P676" s="40" t="n">
        <x:v>46316</x:v>
      </x:c>
      <x:c r="Q676" s="59" t="str">
        <x:v>ยังไม่ตรวจ</x:v>
      </x:c>
      <x:c r="R676" s="59" t="str">
        <x:v>รอติดต่อ</x:v>
      </x:c>
    </x:row>
    <x:row r="677" ht="84" customHeight="1">
      <x:c r="A677" s="2" t="str">
        <x:v>R26-113</x:v>
      </x:c>
      <x:c r="B677" s="8" t="str">
        <x:v>วนอุทยานภูชี้ฟ้า</x:v>
      </x:c>
      <x:c r="C677" s="8" t="str">
        <x:v>เชียงราย</x:v>
      </x:c>
      <x:c r="D677" s="8" t="str">
        <x:v>อยู่ในชุด 600 ตามเส้นทาง</x:v>
      </x:c>
      <x:c r="E677" s="8" t="str">
        <x:v>พบชื่อสัมพันธ์หลายเว็บไซต์ รอยืนยันสาขา</x:v>
      </x:c>
      <x:c r="F677" s="8" t="str">
        <x:v>ยังไม่ยืนยันการเปิดให้บริการปัจจุบัน</x:v>
      </x:c>
      <x:c r="G677" s="8" t="n">
        <x:v>11</x:v>
      </x:c>
      <x:c r="H677" s="8" t="str"/>
      <x:c r="I677" s="8" t="str"/>
      <x:c r="J677" s="8" t="str">
        <x:v>https://www.wongnai.com/attractions/324582Xh-%E0%B8%AD%E0%B8%B8%E0%B8%97%E0%B8%A2%E0%B8%B2%E0%B8%99%E0%B9%81%E0%B8%AB%E0%B9%88%E0%B8%87%E0%B8%8A%E0%B8%B2%E0%B8%95%E0%B8%B4%E0%B8%A0%E0%B8%B9%E0%B8%8A%E0%B8%B5%E0%B9%89%E0%B8%9F%E0%B9%89%E0%B8%B2</x:v>
      </x:c>
      <x:c r="K677" s="8" t="str"/>
      <x:c r="L677" s="8" t="str">
        <x:v>https://www.thailandtourismdirectory.go.th/attraction/5120</x:v>
      </x:c>
      <x:c r="M677" s="8" t="str">
        <x:v>https://cbtthailand.dasta.or.th/webapp/relattraction/content/3278/</x:v>
      </x:c>
      <x:c r="N677" s="8" t="str">
        <x:v>ยังไม่ยืนยัน</x:v>
      </x:c>
      <x:c r="O677" s="8" t="str">
        <x:v>ตรวจการเปิด ตัวตนสาขา ช่องทางติดต่อ และเงื่อนไขบังคับตามประเภท</x:v>
      </x:c>
      <x:c r="P677" s="40" t="n">
        <x:v>46316</x:v>
      </x:c>
      <x:c r="Q677" s="59" t="str">
        <x:v>ยังไม่ตรวจ</x:v>
      </x:c>
      <x:c r="R677" s="59" t="str">
        <x:v>รอติดต่อ</x:v>
      </x:c>
    </x:row>
    <x:row r="678" ht="84" customHeight="1">
      <x:c r="A678" s="2" t="str">
        <x:v>R26-125</x:v>
      </x:c>
      <x:c r="B678" s="8" t="str">
        <x:v>ชุมชนบ้านท่าขันทอง</x:v>
      </x:c>
      <x:c r="C678" s="8" t="str">
        <x:v>เชียงราย</x:v>
      </x:c>
      <x:c r="D678" s="8" t="str">
        <x:v>อยู่ในชุด 600 ตามเส้นทาง</x:v>
      </x:c>
      <x:c r="E678" s="8" t="str">
        <x:v>พบชื่อสัมพันธ์หลายเว็บไซต์ รอยืนยันสาขา</x:v>
      </x:c>
      <x:c r="F678" s="8" t="str">
        <x:v>ยังไม่ยืนยันการเปิดให้บริการปัจจุบัน</x:v>
      </x:c>
      <x:c r="G678" s="8" t="n">
        <x:v>7</x:v>
      </x:c>
      <x:c r="H678" s="8" t="str"/>
      <x:c r="I678" s="8" t="str"/>
      <x:c r="J678" s="8" t="str"/>
      <x:c r="K678" s="8" t="str"/>
      <x:c r="L678" s="8" t="str">
        <x:v>https://chiangrai.mots.go.th/news/461</x:v>
      </x:c>
      <x:c r="M678" s="8" t="str">
        <x:v>https://wikicommunity.sac.or.th/community/1377</x:v>
      </x:c>
      <x:c r="N678" s="8" t="str">
        <x:v>ยังไม่ยืนยัน</x:v>
      </x:c>
      <x:c r="O678" s="8" t="str">
        <x:v>ตรวจการเปิด ตัวตนสาขา ช่องทางติดต่อ และเงื่อนไขบังคับตามประเภท</x:v>
      </x:c>
      <x:c r="P678" s="40" t="n">
        <x:v>46316</x:v>
      </x:c>
      <x:c r="Q678" s="59" t="str">
        <x:v>ยังไม่ตรวจ</x:v>
      </x:c>
      <x:c r="R678" s="59" t="str">
        <x:v>รอติดต่อ</x:v>
      </x:c>
    </x:row>
    <x:row r="679" ht="84" customHeight="1">
      <x:c r="A679" s="2" t="str">
        <x:v>R26-124</x:v>
      </x:c>
      <x:c r="B679" s="8" t="str">
        <x:v>ชุมชนบ้านปางห้า</x:v>
      </x:c>
      <x:c r="C679" s="8" t="str">
        <x:v>เชียงราย</x:v>
      </x:c>
      <x:c r="D679" s="8" t="str">
        <x:v>อยู่ในชุด 600 ตามเส้นทาง</x:v>
      </x:c>
      <x:c r="E679" s="8" t="str">
        <x:v>พบชื่อสัมพันธ์หลายเว็บไซต์ รอยืนยันสาขา</x:v>
      </x:c>
      <x:c r="F679" s="8" t="str">
        <x:v>ยังไม่ยืนยันการเปิดให้บริการปัจจุบัน</x:v>
      </x:c>
      <x:c r="G679" s="8" t="n">
        <x:v>12</x:v>
      </x:c>
      <x:c r="H679" s="8" t="str">
        <x:v>https://www.youtube.com/watch?v=QNqP7Fr23YQ</x:v>
      </x:c>
      <x:c r="I679" s="8" t="str"/>
      <x:c r="J679" s="8" t="str"/>
      <x:c r="K679" s="8" t="str"/>
      <x:c r="L679" s="8" t="str">
        <x:v>https://wikicommunity.sac.or.th/community/2387</x:v>
      </x:c>
      <x:c r="M679" s="8" t="str">
        <x:v>https://www.thaipbs.or.th/program/Banrao/episodes/91632</x:v>
      </x:c>
      <x:c r="N679" s="8" t="str">
        <x:v>ยังไม่ยืนยัน</x:v>
      </x:c>
      <x:c r="O679" s="8" t="str">
        <x:v>ตรวจการเปิด ตัวตนสาขา ช่องทางติดต่อ และเงื่อนไขบังคับตามประเภท</x:v>
      </x:c>
      <x:c r="P679" s="40" t="n">
        <x:v>46316</x:v>
      </x:c>
      <x:c r="Q679" s="59" t="str">
        <x:v>ยังไม่ตรวจ</x:v>
      </x:c>
      <x:c r="R679" s="59" t="str">
        <x:v>รอติดต่อ</x:v>
      </x:c>
    </x:row>
    <x:row r="680" ht="84" customHeight="1">
      <x:c r="A680" s="2" t="str">
        <x:v>R26-027</x:v>
      </x:c>
      <x:c r="B680" s="8" t="str">
        <x:v>Beirut Restaurant สุขุมวิท 39</x:v>
      </x:c>
      <x:c r="C680" s="8" t="str">
        <x:v>กรุงเทพมหานคร</x:v>
      </x:c>
      <x:c r="D680" s="8" t="str">
        <x:v>อยู่ในชุด 600 ตามเส้นทาง</x:v>
      </x:c>
      <x:c r="E680" s="8" t="str">
        <x:v>พบชื่อสัมพันธ์หลายเว็บไซต์ รอยืนยันสาขา</x:v>
      </x:c>
      <x:c r="F680" s="8" t="str">
        <x:v>ยังไม่ยืนยันการเปิดให้บริการปัจจุบัน</x:v>
      </x:c>
      <x:c r="G680" s="8" t="n">
        <x:v>3</x:v>
      </x:c>
      <x:c r="H680" s="8" t="str">
        <x:v>https://www.facebook.com/BeirutBangkoklebanese</x:v>
      </x:c>
      <x:c r="I680" s="8" t="str">
        <x:v>https://www.instagram.com/beirutrestaurantth</x:v>
      </x:c>
      <x:c r="J680" s="8" t="str">
        <x:v>https://www.wongnai.com/reviews/5af2c6b5063f4427b165bad77ef47bc6</x:v>
      </x:c>
      <x:c r="K680" s="8" t="str"/>
      <x:c r="L680" s="8" t="str">
        <x:v>https://www.beirut-restaurant.com/</x:v>
      </x:c>
      <x:c r="M680" s="8" t="str">
        <x:v>https://linktr.ee/Beirut_Restaurant</x:v>
      </x:c>
      <x:c r="N680" s="8" t="str">
        <x:v>ยังไม่ยืนยัน</x:v>
      </x:c>
      <x:c r="O680" s="8" t="str">
        <x:v>ตรวจการเปิด ตัวตนสาขา ช่องทางติดต่อ และเงื่อนไขบังคับตามประเภท</x:v>
      </x:c>
      <x:c r="P680" s="40" t="n">
        <x:v>46316</x:v>
      </x:c>
      <x:c r="Q680" s="59" t="str">
        <x:v>ยังไม่ตรวจ</x:v>
      </x:c>
      <x:c r="R680" s="59" t="str">
        <x:v>รอติดต่อ</x:v>
      </x:c>
    </x:row>
    <x:row r="681" ht="84" customHeight="1">
      <x:c r="A681" s="2" t="str">
        <x:v>R26-025</x:v>
      </x:c>
      <x:c r="B681" s="8" t="str">
        <x:v>หอศิลปวัฒนธรรมแห่งกรุงเทพมหานคร</x:v>
      </x:c>
      <x:c r="C681" s="8" t="str">
        <x:v>กรุงเทพมหานคร</x:v>
      </x:c>
      <x:c r="D681" s="8" t="str">
        <x:v>อยู่ในชุด 600 ตามเส้นทาง</x:v>
      </x:c>
      <x:c r="E681" s="8" t="str">
        <x:v>พบชื่อสัมพันธ์หลายเว็บไซต์ รอยืนยันสาขา</x:v>
      </x:c>
      <x:c r="F681" s="8" t="str">
        <x:v>ยังไม่ยืนยันการเปิดให้บริการปัจจุบัน</x:v>
      </x:c>
      <x:c r="G681" s="8" t="n">
        <x:v>7</x:v>
      </x:c>
      <x:c r="H681" s="8" t="str"/>
      <x:c r="I681" s="8" t="str"/>
      <x:c r="J681" s="8" t="str"/>
      <x:c r="K681" s="8" t="str"/>
      <x:c r="L681" s="8" t="str">
        <x:v>https://www.bacc.or.th/publication/61871</x:v>
      </x:c>
      <x:c r="M681" s="8" t="str">
        <x:v>https://publicspace.bangkok.go.th/Spaces/Info/C2D5D7EB-8309-4CD8-A709-144D8C1C3A70</x:v>
      </x:c>
      <x:c r="N681" s="8" t="str">
        <x:v>ยังไม่ยืนยัน</x:v>
      </x:c>
      <x:c r="O681" s="8" t="str">
        <x:v>ตรวจการเปิด ตัวตนสาขา ช่องทางติดต่อ และเงื่อนไขบังคับตามประเภท</x:v>
      </x:c>
      <x:c r="P681" s="40" t="n">
        <x:v>46316</x:v>
      </x:c>
      <x:c r="Q681" s="59" t="str">
        <x:v>ยังไม่ตรวจ</x:v>
      </x:c>
      <x:c r="R681" s="59" t="str">
        <x:v>รอติดต่อ</x:v>
      </x:c>
    </x:row>
    <x:row r="682" ht="84" customHeight="1">
      <x:c r="A682" s="2" t="str">
        <x:v>R26-024</x:v>
      </x:c>
      <x:c r="B682" s="8" t="str">
        <x:v>ชุมชนกุฎีขาว</x:v>
      </x:c>
      <x:c r="C682" s="8" t="str">
        <x:v>กรุงเทพมหานคร</x:v>
      </x:c>
      <x:c r="D682" s="8" t="str">
        <x:v>อยู่ในชุด 600 ตามเส้นทาง</x:v>
      </x:c>
      <x:c r="E682" s="8" t="str">
        <x:v>พบชื่อสัมพันธ์หลายเว็บไซต์ รอยืนยันสาขา</x:v>
      </x:c>
      <x:c r="F682" s="8" t="str">
        <x:v>ยังไม่ยืนยันการเปิดให้บริการปัจจุบัน</x:v>
      </x:c>
      <x:c r="G682" s="8" t="n">
        <x:v>7</x:v>
      </x:c>
      <x:c r="H682" s="8" t="str"/>
      <x:c r="I682" s="8" t="str"/>
      <x:c r="J682" s="8" t="str"/>
      <x:c r="K682" s="8" t="str"/>
      <x:c r="L682" s="8" t="str">
        <x:v>https://wikicommunity.sac.or.th/community/822</x:v>
      </x:c>
      <x:c r="M682" s="8" t="str">
        <x:v>https://www.niems.go.th/1/Upload/migrate/File/255612021324347624_VGyLj7jmr6cVVFLg.pdf</x:v>
      </x:c>
      <x:c r="N682" s="8" t="str">
        <x:v>ยังไม่ยืนยัน</x:v>
      </x:c>
      <x:c r="O682" s="8" t="str">
        <x:v>ตรวจการเปิด ตัวตนสาขา ช่องทางติดต่อ และเงื่อนไขบังคับตามประเภท</x:v>
      </x:c>
      <x:c r="P682" s="40" t="n">
        <x:v>46316</x:v>
      </x:c>
      <x:c r="Q682" s="59" t="str">
        <x:v>ยังไม่ตรวจ</x:v>
      </x:c>
      <x:c r="R682" s="59" t="str">
        <x:v>รอติดต่อ</x:v>
      </x:c>
    </x:row>
    <x:row r="683" ht="84" customHeight="1">
      <x:c r="A683" s="2" t="str">
        <x:v>R26-026</x:v>
      </x:c>
      <x:c r="B683" s="8" t="str">
        <x:v>ชุมชนบ้านครัว</x:v>
      </x:c>
      <x:c r="C683" s="8" t="str">
        <x:v>กรุงเทพมหานคร</x:v>
      </x:c>
      <x:c r="D683" s="8" t="str">
        <x:v>อยู่ในชุด 600 ตามเส้นทาง</x:v>
      </x:c>
      <x:c r="E683" s="8" t="str">
        <x:v>พบชื่อสัมพันธ์หลายเว็บไซต์ รอยืนยันสาขา</x:v>
      </x:c>
      <x:c r="F683" s="8" t="str">
        <x:v>ยังไม่ยืนยันการเปิดให้บริการปัจจุบัน</x:v>
      </x:c>
      <x:c r="G683" s="8" t="n">
        <x:v>11</x:v>
      </x:c>
      <x:c r="H683" s="8" t="str">
        <x:v>https://www.youtube.com/watch?v=_Ukvmxq2b3Q</x:v>
      </x:c>
      <x:c r="I683" s="8" t="str"/>
      <x:c r="J683" s="8" t="str"/>
      <x:c r="K683" s="8" t="str"/>
      <x:c r="L683" s="8" t="str">
        <x:v>https://wikicommunity.sac.or.th/community/466</x:v>
      </x:c>
      <x:c r="M683" s="8" t="str">
        <x:v>https://cbtthailand.dasta.or.th/webapp/relattraction/content/3422/</x:v>
      </x:c>
      <x:c r="N683" s="8" t="str">
        <x:v>ยังไม่ยืนยัน</x:v>
      </x:c>
      <x:c r="O683" s="8" t="str">
        <x:v>ตรวจการเปิด ตัวตนสาขา ช่องทางติดต่อ และเงื่อนไขบังคับตามประเภท</x:v>
      </x:c>
      <x:c r="P683" s="40" t="n">
        <x:v>46316</x:v>
      </x:c>
      <x:c r="Q683" s="59" t="str">
        <x:v>ยังไม่ตรวจ</x:v>
      </x:c>
      <x:c r="R683" s="59" t="str">
        <x:v>รอติดต่อ</x:v>
      </x:c>
    </x:row>
    <x:row r="684" ht="84" customHeight="1">
      <x:c r="A684" s="2" t="str">
        <x:v>R26-029</x:v>
      </x:c>
      <x:c r="B684" s="8" t="str">
        <x:v>Prem Yoga Ayurveda Center</x:v>
      </x:c>
      <x:c r="C684" s="8" t="str">
        <x:v>กรุงเทพมหานคร</x:v>
      </x:c>
      <x:c r="D684" s="8" t="str">
        <x:v>อยู่ในชุด 600 ตามเส้นทาง</x:v>
      </x:c>
      <x:c r="E684" s="8" t="str">
        <x:v>พบชื่อสัมพันธ์หลายเว็บไซต์ รอยืนยันสาขา</x:v>
      </x:c>
      <x:c r="F684" s="8" t="str">
        <x:v>ยังไม่ยืนยันการเปิดให้บริการปัจจุบัน</x:v>
      </x:c>
      <x:c r="G684" s="8" t="n">
        <x:v>4</x:v>
      </x:c>
      <x:c r="H684" s="8" t="str">
        <x:v>https://www.facebook.com/premyogprana</x:v>
      </x:c>
      <x:c r="I684" s="8" t="str">
        <x:v>https://www.instagram.com/prem.and.yoga.ayurveda</x:v>
      </x:c>
      <x:c r="J684" s="8" t="str"/>
      <x:c r="K684" s="8" t="str"/>
      <x:c r="L684" s="8" t="str">
        <x:v>https://www.reddit.com/r/u_elvawoodj/comments/faayru</x:v>
      </x:c>
      <x:c r="M684" s="8" t="str">
        <x:v>https://premyogaayurveda.com/</x:v>
      </x:c>
      <x:c r="N684" s="8" t="str">
        <x:v>ยังไม่ยืนยัน</x:v>
      </x:c>
      <x:c r="O684" s="8" t="str">
        <x:v>ตรวจการเปิด ตัวตนสาขา ช่องทางติดต่อ และเงื่อนไขบังคับตามประเภท</x:v>
      </x:c>
      <x:c r="P684" s="40" t="n">
        <x:v>46316</x:v>
      </x:c>
      <x:c r="Q684" s="59" t="str">
        <x:v>ยังไม่ตรวจ</x:v>
      </x:c>
      <x:c r="R684" s="59" t="str">
        <x:v>รอติดต่อ</x:v>
      </x:c>
    </x:row>
    <x:row r="685" ht="84" customHeight="1">
      <x:c r="A685" s="2" t="str">
        <x:v>R26-314</x:v>
      </x:c>
      <x:c r="B685" s="8" t="str">
        <x:v>Divana Scentuara Spa</x:v>
      </x:c>
      <x:c r="C685" s="8" t="str">
        <x:v>กรุงเทพมหานคร</x:v>
      </x:c>
      <x:c r="D685" s="8" t="str">
        <x:v>อยู่ในชุด 600 ตามเส้นทาง</x:v>
      </x:c>
      <x:c r="E685" s="8" t="str">
        <x:v>พบชื่อสัมพันธ์หลายเว็บไซต์ รอยืนยันสาขา</x:v>
      </x:c>
      <x:c r="F685" s="8" t="str">
        <x:v>ยังไม่ยืนยันการเปิดให้บริการปัจจุบัน</x:v>
      </x:c>
      <x:c r="G685" s="8" t="n">
        <x:v>8</x:v>
      </x:c>
      <x:c r="H685" s="8" t="str"/>
      <x:c r="I685" s="8" t="str"/>
      <x:c r="J685" s="8" t="str">
        <x:v>https://www.wongnai.com/businesses/576890zz-divana-scentuara-spa</x:v>
      </x:c>
      <x:c r="K685" s="8" t="str"/>
      <x:c r="L685" s="8" t="str">
        <x:v>https://www.divanawellness.com/branches-divana-scentuara-spa-chidlom/</x:v>
      </x:c>
      <x:c r="M685" s="8" t="str">
        <x:v>https://www.divanaspa.com/?lang=en</x:v>
      </x:c>
      <x:c r="N685" s="8" t="str">
        <x:v>ยังไม่ยืนยัน</x:v>
      </x:c>
      <x:c r="O685" s="8" t="str">
        <x:v>ตรวจการเปิด ตัวตนสาขา ช่องทางติดต่อ และเงื่อนไขบังคับตามประเภท</x:v>
      </x:c>
      <x:c r="P685" s="40" t="n">
        <x:v>46316</x:v>
      </x:c>
      <x:c r="Q685" s="59" t="str">
        <x:v>ยังไม่ตรวจ</x:v>
      </x:c>
      <x:c r="R685" s="59" t="str">
        <x:v>รอติดต่อ</x:v>
      </x:c>
    </x:row>
    <x:row r="686" ht="84" customHeight="1">
      <x:c r="A686" s="2" t="str">
        <x:v>R26-276</x:v>
      </x:c>
      <x:c r="B686" s="8" t="str">
        <x:v>Health Land Asoke</x:v>
      </x:c>
      <x:c r="C686" s="8" t="str">
        <x:v>กรุงเทพมหานคร</x:v>
      </x:c>
      <x:c r="D686" s="8" t="str">
        <x:v>อยู่ในชุด 600 ตามเส้นทาง</x:v>
      </x:c>
      <x:c r="E686" s="8" t="str">
        <x:v>พบชื่อสัมพันธ์หลายเว็บไซต์ รอยืนยันสาขา</x:v>
      </x:c>
      <x:c r="F686" s="8" t="str">
        <x:v>ยังไม่ยืนยันการเปิดให้บริการปัจจุบัน</x:v>
      </x:c>
      <x:c r="G686" s="8" t="n">
        <x:v>4</x:v>
      </x:c>
      <x:c r="H686" s="8" t="str"/>
      <x:c r="I686" s="8" t="str"/>
      <x:c r="J686" s="8" t="str">
        <x:v>https://www.google.com/maps/search/Spa%2BTreatment%2Bat%2BHealth%2BLand%2C%2BBangkok%2C%2BThailand</x:v>
      </x:c>
      <x:c r="K686" s="8" t="str"/>
      <x:c r="L686" s="8" t="str">
        <x:v>https://vitalithai.com/recovery-health-land-spa-asoke/</x:v>
      </x:c>
      <x:c r="M686" s="8" t="str">
        <x:v>https://www.thaigle.com/activities/spa/spa-health-land-asoke-cwbabw</x:v>
      </x:c>
      <x:c r="N686" s="8" t="str">
        <x:v>ยังไม่ยืนยัน</x:v>
      </x:c>
      <x:c r="O686" s="8" t="str">
        <x:v>ตรวจการเปิด ตัวตนสาขา ช่องทางติดต่อ และเงื่อนไขบังคับตามประเภท</x:v>
      </x:c>
      <x:c r="P686" s="40" t="n">
        <x:v>46316</x:v>
      </x:c>
      <x:c r="Q686" s="59" t="str">
        <x:v>ยังไม่ตรวจ</x:v>
      </x:c>
      <x:c r="R686" s="59" t="str">
        <x:v>รอติดต่อ</x:v>
      </x:c>
    </x:row>
    <x:row r="687" ht="84" customHeight="1">
      <x:c r="A687" s="2" t="str">
        <x:v>R26-318</x:v>
      </x:c>
      <x:c r="B687" s="8" t="str">
        <x:v>Health Land Ekkamai</x:v>
      </x:c>
      <x:c r="C687" s="8" t="str">
        <x:v>กรุงเทพมหานคร</x:v>
      </x:c>
      <x:c r="D687" s="8" t="str">
        <x:v>อยู่ในชุด 600 ตามเส้นทาง</x:v>
      </x:c>
      <x:c r="E687" s="8" t="str">
        <x:v>พบชื่อสัมพันธ์หลายเว็บไซต์ รอยืนยันสาขา</x:v>
      </x:c>
      <x:c r="F687" s="8" t="str">
        <x:v>ยังไม่ยืนยันการเปิดให้บริการปัจจุบัน</x:v>
      </x:c>
      <x:c r="G687" s="8" t="n">
        <x:v>3</x:v>
      </x:c>
      <x:c r="H687" s="8" t="str">
        <x:v>https://www.facebook.com/healthlandspa.official</x:v>
      </x:c>
      <x:c r="I687" s="8" t="str">
        <x:v>https://instagram.com/healthland.official</x:v>
      </x:c>
      <x:c r="J687" s="8" t="str">
        <x:v>https://www.google.com/maps/search/Spa%2BTreatment%2Bat%2BHealth%2BLand%2C%2BBangkok%2C%2BThailand</x:v>
      </x:c>
      <x:c r="K687" s="8" t="str"/>
      <x:c r="L687" s="8" t="str">
        <x:v>https://www.healthlandspa.com/en/location/bangkok/ekkamai</x:v>
      </x:c>
      <x:c r="M687" s="8" t="str">
        <x:v>https://eiathaithai.com/wp-content/uploads/2023/12/%E0%B9%80%E0%B8%AD%E0%B8%81%E0%B8%AA%E0%B8%B2%E0%B8%A3%E0%B8%9B%E0%B8%A3%E0%B8%B0%E0%B8%8A%E0%B8%B2%E0%B8%AA%E0%B8%B1%E0%B8%A1%E0%B8%9E%E0%B8%B1%E0%B8%99%E0%B8%98%E0%B9%8C%E0%B9%82%E0%B8%84%E0%B8%A3%E0%B8%87%E0%B8%81%E0%B8%B2%E0%B8%A3-Ok-1-12-66-.pdf</x:v>
      </x:c>
      <x:c r="N687" s="8" t="str">
        <x:v>ยังไม่ยืนยัน</x:v>
      </x:c>
      <x:c r="O687" s="8" t="str">
        <x:v>ตรวจการเปิด ตัวตนสาขา ช่องทางติดต่อ และเงื่อนไขบังคับตามประเภท</x:v>
      </x:c>
      <x:c r="P687" s="40" t="n">
        <x:v>46316</x:v>
      </x:c>
      <x:c r="Q687" s="59" t="str">
        <x:v>ยังไม่ตรวจ</x:v>
      </x:c>
      <x:c r="R687" s="59" t="str">
        <x:v>รอติดต่อ</x:v>
      </x:c>
    </x:row>
    <x:row r="688" ht="84" customHeight="1">
      <x:c r="A688" s="2" t="str">
        <x:v>R26-275</x:v>
      </x:c>
      <x:c r="B688" s="8" t="str">
        <x:v>Health Land Sathorn</x:v>
      </x:c>
      <x:c r="C688" s="8" t="str">
        <x:v>กรุงเทพมหานคร</x:v>
      </x:c>
      <x:c r="D688" s="8" t="str">
        <x:v>อยู่ในชุด 600 ตามเส้นทาง</x:v>
      </x:c>
      <x:c r="E688" s="8" t="str">
        <x:v>พบชื่อสัมพันธ์หลายเว็บไซต์ รอยืนยันสาขา</x:v>
      </x:c>
      <x:c r="F688" s="8" t="str">
        <x:v>ยังไม่ยืนยันการเปิดให้บริการปัจจุบัน</x:v>
      </x:c>
      <x:c r="G688" s="8" t="n">
        <x:v>4</x:v>
      </x:c>
      <x:c r="H688" s="8" t="str"/>
      <x:c r="I688" s="8" t="str"/>
      <x:c r="J688" s="8" t="str"/>
      <x:c r="K688" s="8" t="str"/>
      <x:c r="L688" s="8" t="str">
        <x:v>https://mapcarta.com/W40089341</x:v>
      </x:c>
      <x:c r="M688" s="8" t="str">
        <x:v>https://www.thaithurkic.com/health-land-sathorn-02-637-8883</x:v>
      </x:c>
      <x:c r="N688" s="8" t="str">
        <x:v>ยังไม่ยืนยัน</x:v>
      </x:c>
      <x:c r="O688" s="8" t="str">
        <x:v>ตรวจการเปิด ตัวตนสาขา ช่องทางติดต่อ และเงื่อนไขบังคับตามประเภท</x:v>
      </x:c>
      <x:c r="P688" s="40" t="n">
        <x:v>46316</x:v>
      </x:c>
      <x:c r="Q688" s="59" t="str">
        <x:v>ยังไม่ตรวจ</x:v>
      </x:c>
      <x:c r="R688" s="59" t="str">
        <x:v>รอติดต่อ</x:v>
      </x:c>
    </x:row>
    <x:row r="689" ht="84" customHeight="1">
      <x:c r="A689" s="2" t="str">
        <x:v>R26-272</x:v>
      </x:c>
      <x:c r="B689" s="8" t="str">
        <x:v>Let's Relax Spa Sukhumvit 39</x:v>
      </x:c>
      <x:c r="C689" s="8" t="str">
        <x:v>กรุงเทพมหานคร</x:v>
      </x:c>
      <x:c r="D689" s="8" t="str">
        <x:v>อยู่ในชุด 600 ตามเส้นทาง</x:v>
      </x:c>
      <x:c r="E689" s="8" t="str">
        <x:v>พบชื่อสัมพันธ์หลายเว็บไซต์ รอยืนยันสาขา</x:v>
      </x:c>
      <x:c r="F689" s="8" t="str">
        <x:v>ยังไม่ยืนยันการเปิดให้บริการปัจจุบัน</x:v>
      </x:c>
      <x:c r="G689" s="8" t="n">
        <x:v>3</x:v>
      </x:c>
      <x:c r="H689" s="8" t="str">
        <x:v>https://www.facebook.com/letsrelaxspa.official/</x:v>
      </x:c>
      <x:c r="I689" s="8" t="str">
        <x:v>https://www.instagram.com/letsrelaxspa.official/?hl=en</x:v>
      </x:c>
      <x:c r="J689" s="8" t="str">
        <x:v>https://www.wongnai.com/businesses/227262rt-let-s-relax-spa-sukhumvit-39</x:v>
      </x:c>
      <x:c r="K689" s="8" t="str"/>
      <x:c r="L689" s="8" t="str">
        <x:v>https://letsrelaxspa.com/branches/bangkok-sukhumvit-39/</x:v>
      </x:c>
      <x:c r="M689" s="8" t="str">
        <x:v>https://www.waze.com/live-map/directions/thailand/bangkok/bangkok/lets-relax?to=place.ChIJUdl4Rfie4jARg0UjY6667R4</x:v>
      </x:c>
      <x:c r="N689" s="8" t="str">
        <x:v>ยังไม่ยืนยัน</x:v>
      </x:c>
      <x:c r="O689" s="8" t="str">
        <x:v>ตรวจการเปิด ตัวตนสาขา ช่องทางติดต่อ และเงื่อนไขบังคับตามประเภท</x:v>
      </x:c>
      <x:c r="P689" s="40" t="n">
        <x:v>46316</x:v>
      </x:c>
      <x:c r="Q689" s="59" t="str">
        <x:v>ยังไม่ตรวจ</x:v>
      </x:c>
      <x:c r="R689" s="59" t="str">
        <x:v>รอติดต่อ</x:v>
      </x:c>
    </x:row>
    <x:row r="690" ht="84" customHeight="1">
      <x:c r="A690" s="2" t="str">
        <x:v>R26-313</x:v>
      </x:c>
      <x:c r="B690" s="8" t="str">
        <x:v>PAÑPURI Wellness Gaysorn Tower</x:v>
      </x:c>
      <x:c r="C690" s="8" t="str">
        <x:v>กรุงเทพมหานคร</x:v>
      </x:c>
      <x:c r="D690" s="8" t="str">
        <x:v>อยู่ในชุด 600 ตามเส้นทาง</x:v>
      </x:c>
      <x:c r="E690" s="8" t="str">
        <x:v>พบชื่อสัมพันธ์หลายเว็บไซต์ รอยืนยันสาขา</x:v>
      </x:c>
      <x:c r="F690" s="8" t="str">
        <x:v>ยังไม่ยืนยันการเปิดให้บริการปัจจุบัน</x:v>
      </x:c>
      <x:c r="G690" s="8" t="n">
        <x:v>3</x:v>
      </x:c>
      <x:c r="H690" s="8" t="str">
        <x:v>https://www.instagram.com/panpuriwellness/</x:v>
      </x:c>
      <x:c r="I690" s="8" t="str">
        <x:v>https://www.facebook.com/panpuriofficial/</x:v>
      </x:c>
      <x:c r="J690" s="8" t="str"/>
      <x:c r="K690" s="8" t="str"/>
      <x:c r="L690" s="8" t="str">
        <x:v>https://image.mfa.go.th/mfa/0/uK8Kxy2oDV/E_Brochure_TAT_2024_English_Version.pdf</x:v>
      </x:c>
      <x:c r="M690" s="8" t="str">
        <x:v>https://panpuriwellness.com/wellness/panpuri-wellness-gaysorn-tower/</x:v>
      </x:c>
      <x:c r="N690" s="8" t="str">
        <x:v>ยังไม่ยืนยัน</x:v>
      </x:c>
      <x:c r="O690" s="8" t="str">
        <x:v>ตรวจการเปิด ตัวตนสาขา ช่องทางติดต่อ และเงื่อนไขบังคับตามประเภท</x:v>
      </x:c>
      <x:c r="P690" s="40" t="n">
        <x:v>46316</x:v>
      </x:c>
      <x:c r="Q690" s="59" t="str">
        <x:v>ยังไม่ตรวจ</x:v>
      </x:c>
      <x:c r="R690" s="59" t="str">
        <x:v>รอติดต่อ</x:v>
      </x:c>
    </x:row>
    <x:row r="691" ht="84" customHeight="1">
      <x:c r="A691" s="2" t="str">
        <x:v>R26-255</x:v>
      </x:c>
      <x:c r="B691" s="8" t="str">
        <x:v>Central Ladprao</x:v>
      </x:c>
      <x:c r="C691" s="8" t="str">
        <x:v>กรุงเทพมหานคร</x:v>
      </x:c>
      <x:c r="D691" s="8" t="str">
        <x:v>อยู่ในชุด 600 ตามเส้นทาง</x:v>
      </x:c>
      <x:c r="E691" s="8" t="str">
        <x:v>พบชื่อสัมพันธ์หลายเว็บไซต์ รอยืนยันสาขา</x:v>
      </x:c>
      <x:c r="F691" s="8" t="str">
        <x:v>ยังไม่ยืนยันการเปิดให้บริการปัจจุบัน</x:v>
      </x:c>
      <x:c r="G691" s="8" t="n">
        <x:v>8</x:v>
      </x:c>
      <x:c r="H691" s="8" t="str"/>
      <x:c r="I691" s="8" t="str"/>
      <x:c r="J691" s="8" t="str">
        <x:v>https://www.google.com/maps/search/shopping%2B1693%20Phahonyothin%20Road%2BBangkok%2BKRUNG%20THEP%20MAHA%20NAKHON</x:v>
      </x:c>
      <x:c r="K691" s="8" t="str"/>
      <x:c r="L691" s="8" t="str">
        <x:v>https://www.centralladprao.com/en</x:v>
      </x:c>
      <x:c r="M691" s="8" t="str">
        <x:v>https://en.wikipedia.org/wiki/Central_Ladprao</x:v>
      </x:c>
      <x:c r="N691" s="8" t="str">
        <x:v>ยังไม่ยืนยัน</x:v>
      </x:c>
      <x:c r="O691" s="8" t="str">
        <x:v>ตรวจการเปิด ตัวตนสาขา ช่องทางติดต่อ และเงื่อนไขบังคับตามประเภท</x:v>
      </x:c>
      <x:c r="P691" s="40" t="n">
        <x:v>46316</x:v>
      </x:c>
      <x:c r="Q691" s="59" t="str">
        <x:v>ยังไม่ตรวจ</x:v>
      </x:c>
      <x:c r="R691" s="59" t="str">
        <x:v>รอติดต่อ</x:v>
      </x:c>
    </x:row>
    <x:row r="692" ht="84" customHeight="1">
      <x:c r="A692" s="2" t="str">
        <x:v>R26-254</x:v>
      </x:c>
      <x:c r="B692" s="8" t="str">
        <x:v>Central Rama 9</x:v>
      </x:c>
      <x:c r="C692" s="8" t="str">
        <x:v>กรุงเทพมหานคร</x:v>
      </x:c>
      <x:c r="D692" s="8" t="str">
        <x:v>อยู่ในชุด 600 ตามเส้นทาง</x:v>
      </x:c>
      <x:c r="E692" s="8" t="str">
        <x:v>พบชื่อสัมพันธ์หลายเว็บไซต์ รอยืนยันสาขา</x:v>
      </x:c>
      <x:c r="F692" s="8" t="str">
        <x:v>ยังไม่ยืนยันการเปิดให้บริการปัจจุบัน</x:v>
      </x:c>
      <x:c r="G692" s="8" t="n">
        <x:v>6</x:v>
      </x:c>
      <x:c r="H692" s="8" t="str"/>
      <x:c r="I692" s="8" t="str"/>
      <x:c r="J692" s="8" t="str"/>
      <x:c r="K692" s="8" t="str"/>
      <x:c r="L692" s="8" t="str">
        <x:v>https://www.centralrama9.com/th</x:v>
      </x:c>
      <x:c r="M692" s="8" t="str">
        <x:v>https://en.wikipedia.org/wiki/Central_Rama_9</x:v>
      </x:c>
      <x:c r="N692" s="8" t="str">
        <x:v>ยังไม่ยืนยัน</x:v>
      </x:c>
      <x:c r="O692" s="8" t="str">
        <x:v>ตรวจการเปิด ตัวตนสาขา ช่องทางติดต่อ และเงื่อนไขบังคับตามประเภท</x:v>
      </x:c>
      <x:c r="P692" s="40" t="n">
        <x:v>46316</x:v>
      </x:c>
      <x:c r="Q692" s="59" t="str">
        <x:v>ยังไม่ตรวจ</x:v>
      </x:c>
      <x:c r="R692" s="59" t="str">
        <x:v>รอติดต่อ</x:v>
      </x:c>
    </x:row>
    <x:row r="693" ht="84" customHeight="1">
      <x:c r="A693" s="2" t="str">
        <x:v>R26-252</x:v>
      </x:c>
      <x:c r="B693" s="8" t="str">
        <x:v>EMQUARTIER</x:v>
      </x:c>
      <x:c r="C693" s="8" t="str">
        <x:v>กรุงเทพมหานคร</x:v>
      </x:c>
      <x:c r="D693" s="8" t="str">
        <x:v>อยู่ในชุด 600 ตามเส้นทาง</x:v>
      </x:c>
      <x:c r="E693" s="8" t="str">
        <x:v>พบชื่อสัมพันธ์หลายเว็บไซต์ รอยืนยันสาขา</x:v>
      </x:c>
      <x:c r="F693" s="8" t="str">
        <x:v>ยังไม่ยืนยันการเปิดให้บริการปัจจุบัน</x:v>
      </x:c>
      <x:c r="G693" s="8" t="n">
        <x:v>15</x:v>
      </x:c>
      <x:c r="H693" s="8" t="str">
        <x:v>https://www.youtube.com/watch?v=EwQFRYG8hqM</x:v>
      </x:c>
      <x:c r="I693" s="8" t="str"/>
      <x:c r="J693" s="8" t="str">
        <x:v>https://www.wongnai.com/attractions/343676Pl-emquartier</x:v>
      </x:c>
      <x:c r="K693" s="8" t="str"/>
      <x:c r="L693" s="8" t="str">
        <x:v>https://en.wikipedia.org/wiki/EmQuartier</x:v>
      </x:c>
      <x:c r="M693" s="8" t="str">
        <x:v>https://www.thailandtravel.or.jp/em-quartier/</x:v>
      </x:c>
      <x:c r="N693" s="8" t="str">
        <x:v>ยังไม่ยืนยัน</x:v>
      </x:c>
      <x:c r="O693" s="8" t="str">
        <x:v>ตรวจการเปิด ตัวตนสาขา ช่องทางติดต่อ และเงื่อนไขบังคับตามประเภท</x:v>
      </x:c>
      <x:c r="P693" s="40" t="n">
        <x:v>46316</x:v>
      </x:c>
      <x:c r="Q693" s="59" t="str">
        <x:v>ยังไม่ตรวจ</x:v>
      </x:c>
      <x:c r="R693" s="59" t="str">
        <x:v>รอติดต่อ</x:v>
      </x:c>
    </x:row>
    <x:row r="694" ht="84" customHeight="1">
      <x:c r="A694" s="2" t="str">
        <x:v>R26-253</x:v>
      </x:c>
      <x:c r="B694" s="8" t="str">
        <x:v>EMSPHERE</x:v>
      </x:c>
      <x:c r="C694" s="8" t="str">
        <x:v>กรุงเทพมหานคร</x:v>
      </x:c>
      <x:c r="D694" s="8" t="str">
        <x:v>อยู่ในชุด 600 ตามเส้นทาง</x:v>
      </x:c>
      <x:c r="E694" s="8" t="str">
        <x:v>พบชื่อสัมพันธ์หลายเว็บไซต์ รอยืนยันสาขา</x:v>
      </x:c>
      <x:c r="F694" s="8" t="str">
        <x:v>ยังไม่ยืนยันการเปิดให้บริการปัจจุบัน</x:v>
      </x:c>
      <x:c r="G694" s="8" t="n">
        <x:v>12</x:v>
      </x:c>
      <x:c r="H694" s="8" t="str">
        <x:v>https://line.me/R/ti/p/@002tiecc?ts=04291958&amp;oat_content=url</x:v>
      </x:c>
      <x:c r="I694" s="8" t="str">
        <x:v>https://www.facebook.com/profile.php?id=100089919767974&amp;sk=about</x:v>
      </x:c>
      <x:c r="J694" s="8" t="str">
        <x:v>https://www.wongnai.com/restaurants/3162323dq-par-ris-emsphere</x:v>
      </x:c>
      <x:c r="K694" s="8" t="str"/>
      <x:c r="L694" s="8" t="str">
        <x:v>https://emsphere.co.th/en/</x:v>
      </x:c>
      <x:c r="M694" s="8" t="str">
        <x:v>https://www.gplace.com/968188</x:v>
      </x:c>
      <x:c r="N694" s="8" t="str">
        <x:v>ยังไม่ยืนยัน</x:v>
      </x:c>
      <x:c r="O694" s="8" t="str">
        <x:v>ตรวจการเปิด ตัวตนสาขา ช่องทางติดต่อ และเงื่อนไขบังคับตามประเภท</x:v>
      </x:c>
      <x:c r="P694" s="40" t="n">
        <x:v>46316</x:v>
      </x:c>
      <x:c r="Q694" s="59" t="str">
        <x:v>ยังไม่ตรวจ</x:v>
      </x:c>
      <x:c r="R694" s="59" t="str">
        <x:v>รอติดต่อ</x:v>
      </x:c>
    </x:row>
    <x:row r="695" ht="84" customHeight="1">
      <x:c r="A695" s="2" t="str">
        <x:v>R26-249</x:v>
      </x:c>
      <x:c r="B695" s="8" t="str">
        <x:v>ICONSIAM</x:v>
      </x:c>
      <x:c r="C695" s="8" t="str">
        <x:v>กรุงเทพมหานคร</x:v>
      </x:c>
      <x:c r="D695" s="8" t="str">
        <x:v>อยู่ในชุด 600 ตามเส้นทาง</x:v>
      </x:c>
      <x:c r="E695" s="8" t="str">
        <x:v>พบชื่อสัมพันธ์หลายเว็บไซต์ รอยืนยันสาขา</x:v>
      </x:c>
      <x:c r="F695" s="8" t="str">
        <x:v>ยังไม่ยืนยันการเปิดให้บริการปัจจุบัน</x:v>
      </x:c>
      <x:c r="G695" s="8" t="n">
        <x:v>16</x:v>
      </x:c>
      <x:c r="H695" s="8" t="str">
        <x:v>https://www.youtube.com/watch?v=jXPnapXPV-8</x:v>
      </x:c>
      <x:c r="I695" s="8" t="str"/>
      <x:c r="J695" s="8" t="str">
        <x:v>https://www.google.com/maps/search/Explore%2BICONSIAM%2BMall%2C%2BBangkok%2C%2BThailand</x:v>
      </x:c>
      <x:c r="K695" s="8" t="str"/>
      <x:c r="L695" s="8" t="str">
        <x:v>https://www.crta.or.th/2023/08/15/iconsiam/</x:v>
      </x:c>
      <x:c r="M695" s="8" t="str">
        <x:v>https://elibrary.tsri.or.th/fullP/RDG61T0129/RDG61T0129V03/RDG61T0129V03_full.pdf</x:v>
      </x:c>
      <x:c r="N695" s="8" t="str">
        <x:v>ยังไม่ยืนยัน</x:v>
      </x:c>
      <x:c r="O695" s="8" t="str">
        <x:v>ตรวจการเปิด ตัวตนสาขา ช่องทางติดต่อ และเงื่อนไขบังคับตามประเภท</x:v>
      </x:c>
      <x:c r="P695" s="40" t="n">
        <x:v>46316</x:v>
      </x:c>
      <x:c r="Q695" s="59" t="str">
        <x:v>ยังไม่ตรวจ</x:v>
      </x:c>
      <x:c r="R695" s="59" t="str">
        <x:v>รอติดต่อ</x:v>
      </x:c>
    </x:row>
    <x:row r="696" ht="84" customHeight="1">
      <x:c r="A696" s="2" t="str">
        <x:v>R26-250</x:v>
      </x:c>
      <x:c r="B696" s="8" t="str">
        <x:v>MBK Center</x:v>
      </x:c>
      <x:c r="C696" s="8" t="str">
        <x:v>กรุงเทพมหานคร</x:v>
      </x:c>
      <x:c r="D696" s="8" t="str">
        <x:v>อยู่ในชุด 600 ตามเส้นทาง</x:v>
      </x:c>
      <x:c r="E696" s="8" t="str">
        <x:v>พบชื่อสัมพันธ์หลายเว็บไซต์ รอยืนยันสาขา</x:v>
      </x:c>
      <x:c r="F696" s="8" t="str">
        <x:v>ยังไม่ยืนยันการเปิดให้บริการปัจจุบัน</x:v>
      </x:c>
      <x:c r="G696" s="8" t="n">
        <x:v>3</x:v>
      </x:c>
      <x:c r="H696" s="8" t="str"/>
      <x:c r="I696" s="8" t="str"/>
      <x:c r="J696" s="8" t="str"/>
      <x:c r="K696" s="8" t="str"/>
      <x:c r="L696" s="8" t="str">
        <x:v>https://en.wikipedia.org/wiki/MBK_Center</x:v>
      </x:c>
      <x:c r="M696" s="8" t="str">
        <x:v>https://www.mbk-center.co.th/directory/shop/LET-S-RELAX/</x:v>
      </x:c>
      <x:c r="N696" s="8" t="str">
        <x:v>ยังไม่ยืนยัน</x:v>
      </x:c>
      <x:c r="O696" s="8" t="str">
        <x:v>ตรวจการเปิด ตัวตนสาขา ช่องทางติดต่อ และเงื่อนไขบังคับตามประเภท</x:v>
      </x:c>
      <x:c r="P696" s="40" t="n">
        <x:v>46316</x:v>
      </x:c>
      <x:c r="Q696" s="59" t="str">
        <x:v>ยังไม่ตรวจ</x:v>
      </x:c>
      <x:c r="R696" s="59" t="str">
        <x:v>รอติดต่อ</x:v>
      </x:c>
    </x:row>
    <x:row r="697" ht="84" customHeight="1">
      <x:c r="A697" s="2" t="str">
        <x:v>R26-251</x:v>
      </x:c>
      <x:c r="B697" s="8" t="str">
        <x:v>Terminal 21 Asok</x:v>
      </x:c>
      <x:c r="C697" s="8" t="str">
        <x:v>กรุงเทพมหานคร</x:v>
      </x:c>
      <x:c r="D697" s="8" t="str">
        <x:v>อยู่ในชุด 600 ตามเส้นทาง</x:v>
      </x:c>
      <x:c r="E697" s="8" t="str">
        <x:v>พบชื่อสัมพันธ์หลายเว็บไซต์ รอยืนยันสาขา</x:v>
      </x:c>
      <x:c r="F697" s="8" t="str">
        <x:v>ยังไม่ยืนยันการเปิดให้บริการปัจจุบัน</x:v>
      </x:c>
      <x:c r="G697" s="8" t="n">
        <x:v>4</x:v>
      </x:c>
      <x:c r="H697" s="8" t="str">
        <x:v>https://www.facebook.com/letsrelaxspa.official/</x:v>
      </x:c>
      <x:c r="I697" s="8" t="str">
        <x:v>https://www.instagram.com/letsrelaxspa.official/?hl=en</x:v>
      </x:c>
      <x:c r="J697" s="8" t="str"/>
      <x:c r="K697" s="8" t="str"/>
      <x:c r="L697" s="8" t="str">
        <x:v>https://letsrelaxspa.com/branches/bangkok-terminal-21-asok/</x:v>
      </x:c>
      <x:c r="M697" s="8" t="str">
        <x:v>https://en.wikipedia.org/wiki/Terminal_21</x:v>
      </x:c>
      <x:c r="N697" s="8" t="str">
        <x:v>ยังไม่ยืนยัน</x:v>
      </x:c>
      <x:c r="O697" s="8" t="str">
        <x:v>ตรวจการเปิด ตัวตนสาขา ช่องทางติดต่อ และเงื่อนไขบังคับตามประเภท</x:v>
      </x:c>
      <x:c r="P697" s="40" t="n">
        <x:v>46316</x:v>
      </x:c>
      <x:c r="Q697" s="59" t="str">
        <x:v>ยังไม่ตรวจ</x:v>
      </x:c>
      <x:c r="R697" s="59" t="str">
        <x:v>รอติดต่อ</x:v>
      </x:c>
    </x:row>
    <x:row r="698" ht="84" customHeight="1">
      <x:c r="A698" s="2" t="str">
        <x:v>R26-256</x:v>
      </x:c>
      <x:c r="B698" s="8" t="str">
        <x:v>The Mall Lifestore Bangkapi</x:v>
      </x:c>
      <x:c r="C698" s="8" t="str">
        <x:v>กรุงเทพมหานคร</x:v>
      </x:c>
      <x:c r="D698" s="8" t="str">
        <x:v>อยู่ในชุด 600 ตามเส้นทาง</x:v>
      </x:c>
      <x:c r="E698" s="8" t="str">
        <x:v>พบชื่อสัมพันธ์หลายเว็บไซต์ รอยืนยันสาขา</x:v>
      </x:c>
      <x:c r="F698" s="8" t="str">
        <x:v>ยังไม่ยืนยันการเปิดให้บริการปัจจุบัน</x:v>
      </x:c>
      <x:c r="G698" s="8" t="n">
        <x:v>14</x:v>
      </x:c>
      <x:c r="H698" s="8" t="str">
        <x:v>https://www.youtube.com/watch?v=cWcxT3Q4ibc</x:v>
      </x:c>
      <x:c r="I698" s="8" t="str"/>
      <x:c r="J698" s="8" t="str">
        <x:v>https://www.wongnai.com/restaurants/2958451my-taning-%E0%B8%96%E0%B8%B2%E0%B8%AB%E0%B8%99%E0%B8%B4%E0%B8%87-the-mall-lifestore-bangkapi</x:v>
      </x:c>
      <x:c r="K698" s="8" t="str">
        <x:v>https://www.google.com/maps/search/The%20Mall%20Bangkapi%20ROOM%20NO.2BL17%2C%20FLOOR%202%2C%20%E0%B9%81%E0%B8%82%E0%B8%A7%E0%B8%87%20%E0%B8%84%E0%B8%A5%E0%B8%AD%E0%B8%87%E0%B8%88%E0%B8%B1%E0%B9%88%E0%B8%99%20%E0%B9%80%E0%B8%82%E0%B8%95%20%E0%B8%9A%E0%B8%B2%E0%B8%87%E0%B8%81%E0%B8%B0%E0%B8%9B%E0%B8%B4%20%E0%B8%81%E0%B8%A3%E0%B8%B8%E0%B8%87%E0%B9%80%E0%B8%97%E0%B8%9E%E0%B8%A1%E0%B8%AB%E0%B8%B2%E0%B8%99%E0%B8%84%E0%B8%A3%2010240</x:v>
      </x:c>
      <x:c r="L698" s="8" t="str">
        <x:v>https://www.corner.inc/place/pDKXPmPWBN8t</x:v>
      </x:c>
      <x:c r="M698" s="8" t="str">
        <x:v>https://salehere.co.th/vgadz/branches/the-mall-lifestore-bangkapi</x:v>
      </x:c>
      <x:c r="N698" s="8" t="str">
        <x:v>ยังไม่ยืนยัน</x:v>
      </x:c>
      <x:c r="O698" s="8" t="str">
        <x:v>ตรวจการเปิด ตัวตนสาขา ช่องทางติดต่อ และเงื่อนไขบังคับตามประเภท</x:v>
      </x:c>
      <x:c r="P698" s="40" t="n">
        <x:v>46316</x:v>
      </x:c>
      <x:c r="Q698" s="59" t="str">
        <x:v>ยังไม่ตรวจ</x:v>
      </x:c>
      <x:c r="R698" s="59" t="str">
        <x:v>รอติดต่อ</x:v>
      </x:c>
    </x:row>
    <x:row r="699" ht="84" customHeight="1">
      <x:c r="A699" s="2" t="str">
        <x:v>R26-312</x:v>
      </x:c>
      <x:c r="B699" s="8" t="str">
        <x:v>พิพิธภัณฑ์เด็กกรุงเทพมหานคร แห่งที่ 2</x:v>
      </x:c>
      <x:c r="C699" s="8" t="str">
        <x:v>กรุงเทพมหานคร</x:v>
      </x:c>
      <x:c r="D699" s="8" t="str">
        <x:v>อยู่ในชุด 600 ตามเส้นทาง</x:v>
      </x:c>
      <x:c r="E699" s="8" t="str">
        <x:v>พบชื่อสัมพันธ์หลายเว็บไซต์ รอยืนยันสาขา</x:v>
      </x:c>
      <x:c r="F699" s="8" t="str">
        <x:v>ยังไม่ยืนยันการเปิดให้บริการปัจจุบัน</x:v>
      </x:c>
      <x:c r="G699" s="8" t="n">
        <x:v>6</x:v>
      </x:c>
      <x:c r="H699" s="8" t="str"/>
      <x:c r="I699" s="8" t="str"/>
      <x:c r="J699" s="8" t="str"/>
      <x:c r="K699" s="8" t="str"/>
      <x:c r="L699" s="8" t="str">
        <x:v>https://opencontract.bangkok.go.th/main.html?itemId=0034</x:v>
      </x:c>
      <x:c r="M699" s="8" t="str">
        <x:v>https://www.museumthailand.com/index.php/museum/bangkok-family-center-thungkhru-2</x:v>
      </x:c>
      <x:c r="N699" s="8" t="str">
        <x:v>ยังไม่ยืนยัน</x:v>
      </x:c>
      <x:c r="O699" s="8" t="str">
        <x:v>ตรวจการเปิด ตัวตนสาขา ช่องทางติดต่อ และเงื่อนไขบังคับตามประเภท</x:v>
      </x:c>
      <x:c r="P699" s="40" t="n">
        <x:v>46316</x:v>
      </x:c>
      <x:c r="Q699" s="59" t="str">
        <x:v>ยังไม่ตรวจ</x:v>
      </x:c>
      <x:c r="R699" s="59" t="str">
        <x:v>รอติดต่อ</x:v>
      </x:c>
    </x:row>
    <x:row r="700" ht="84" customHeight="1">
      <x:c r="A700" s="2" t="str">
        <x:v>R26-038</x:v>
      </x:c>
      <x:c r="B700" s="8" t="str">
        <x:v>Khun Anan Riverfront Ayutthaya</x:v>
      </x:c>
      <x:c r="C700" s="8" t="str">
        <x:v>พระนครศรีอยุธยา</x:v>
      </x:c>
      <x:c r="D700" s="8" t="str">
        <x:v>อยู่ในชุด 600 ตามเส้นทาง</x:v>
      </x:c>
      <x:c r="E700" s="8" t="str">
        <x:v>พบชื่อสัมพันธ์หลายเว็บไซต์ รอยืนยันสาขา</x:v>
      </x:c>
      <x:c r="F700" s="8" t="str">
        <x:v>ยังไม่ยืนยันการเปิดให้บริการปัจจุบัน</x:v>
      </x:c>
      <x:c r="G700" s="8" t="n">
        <x:v>2</x:v>
      </x:c>
      <x:c r="H700" s="8" t="str"/>
      <x:c r="I700" s="8" t="str"/>
      <x:c r="J700" s="8" t="str">
        <x:v>https://es.restaurantguru.com/%E0%B8%81%E0%B9%8B%E0%B8%A7%E0%B8%A2%E0%B9%80%E0%B8%95%E0%B8%B5%E0%B9%8B%E0%B8%A2%E0%B8%A7%E0%B8%A7%E0%B8%B1%E0%B8%99%E0%B8%AD%E0%B8%B2%E0%B8%97%E0%B8%B4%E0%B8%95%E0%B8%A2%E0%B9%8C-Ban-Krot</x:v>
      </x:c>
      <x:c r="K700" s="8" t="str"/>
      <x:c r="L700" s="8" t="str">
        <x:v>https://wanderlog.com/place/details/8431891/khun-anan-riverfront-halal</x:v>
      </x:c>
      <x:c r="M700" s="8" t="str">
        <x:v>https://es.restaurantguru.com/%E0%B8%81%E0%B9%8B%E0%B8%A7%E0%B8%A2%E0%B9%80%E0%B8%95%E0%B8%B5%E0%B9%8B%E0%B8%A2%E0%B8%A7%E0%B8%A7%E0%B8%B1%E0%B8%99%E0%B8%AD%E0%B8%B2%E0%B8%97%E0%B8%B4%E0%B8%95%E0%B8%A2%E0%B9%8C-Ban-Krot</x:v>
      </x:c>
      <x:c r="N700" s="8" t="str">
        <x:v>ยังไม่ยืนยัน</x:v>
      </x:c>
      <x:c r="O700" s="8" t="str">
        <x:v>ต้นฉบับระบุเข้าพัก แต่แหล่งออนไลน์ระบุร้านอาหาร ต้องจัดที่พักแยกและยืนยันใบฮาลาล</x:v>
      </x:c>
      <x:c r="P700" s="40" t="n">
        <x:v>46316</x:v>
      </x:c>
      <x:c r="Q700" s="59" t="str">
        <x:v>ยังไม่ตรวจ</x:v>
      </x:c>
      <x:c r="R700" s="59" t="str">
        <x:v>รอติดต่อ</x:v>
      </x:c>
    </x:row>
    <x:row r="701" ht="84" customHeight="1">
      <x:c r="A701" s="2" t="str">
        <x:v>R26-034</x:v>
      </x:c>
      <x:c r="B701" s="8" t="str">
        <x:v>มัสยิดยามิอุ้ลอิสลาม</x:v>
      </x:c>
      <x:c r="C701" s="8" t="str">
        <x:v>พระนครศรีอยุธยา</x:v>
      </x:c>
      <x:c r="D701" s="8" t="str">
        <x:v>อยู่ในชุด 600 ตามเส้นทาง</x:v>
      </x:c>
      <x:c r="E701" s="8" t="str">
        <x:v>พบชื่อสัมพันธ์หลายเว็บไซต์ รอยืนยันสาขา</x:v>
      </x:c>
      <x:c r="F701" s="8" t="str">
        <x:v>ยังไม่ยืนยันการเปิดให้บริการปัจจุบัน</x:v>
      </x:c>
      <x:c r="G701" s="8" t="n">
        <x:v>14</x:v>
      </x:c>
      <x:c r="H701" s="8" t="str">
        <x:v>https://www.youtube.com/watch?v=QDzEqri2FXE</x:v>
      </x:c>
      <x:c r="I701" s="8" t="str"/>
      <x:c r="J701" s="8" t="str">
        <x:v>https://sites.google.com/view/prachasamakkee/%E0%B8%82%E0%B8%AD%E0%B8%A1%E0%B8%A5%E0%B8%AA%E0%B8%96%E0%B8%B2%E0%B8%99%E0%B8%A8%E0%B8%81%E0%B8%A9%E0%B8%B2</x:v>
      </x:c>
      <x:c r="K701" s="8" t="str"/>
      <x:c r="L701" s="8" t="str">
        <x:v>https://masjid.islamicbangkok.or.th/masjid/id/87686</x:v>
      </x:c>
      <x:c r="M701" s="8" t="str">
        <x:v>https://www.cicot.or.th/th/mosque/detail/2325/2/%E0%B8%A1%E0%B8%B1%E0%B8%AA%E0%B8%A2%E0%B8%B4%E0%B8%94%E0%B8%A2%E0%B8%B2%E0%B8%A1%E0%B8%B5%E0%B8%AD%E0%B8%B8%E0%B9%89%E0%B8%A5%E0%B8%AD%E0%B8%B4%E0%B8%AA%E0%B8%A5%E0%B8%B2%E0%B8%A1</x:v>
      </x:c>
      <x:c r="N701" s="8" t="str">
        <x:v>ยังไม่ยืนยัน</x:v>
      </x:c>
      <x:c r="O70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701" s="40" t="n">
        <x:v>46316</x:v>
      </x:c>
      <x:c r="Q701" s="59" t="str">
        <x:v>ยังไม่ตรวจ</x:v>
      </x:c>
      <x:c r="R701" s="59" t="str">
        <x:v>รอติดต่อ</x:v>
      </x:c>
    </x:row>
    <x:row r="702" ht="84" customHeight="1">
      <x:c r="A702" s="2" t="str">
        <x:v>R26-035</x:v>
      </x:c>
      <x:c r="B702" s="8" t="str">
        <x:v>อุทยานประวัติศาสตร์พระนครศรีอยุธยา</x:v>
      </x:c>
      <x:c r="C702" s="8" t="str">
        <x:v>พระนครศรีอยุธยา</x:v>
      </x:c>
      <x:c r="D702" s="8" t="str">
        <x:v>อยู่ในชุด 600 ตามเส้นทาง</x:v>
      </x:c>
      <x:c r="E702" s="8" t="str">
        <x:v>พบชื่อสัมพันธ์หลายเว็บไซต์ รอยืนยันสาขา</x:v>
      </x:c>
      <x:c r="F702" s="8" t="str">
        <x:v>ยังไม่ยืนยันการเปิดให้บริการปัจจุบัน</x:v>
      </x:c>
      <x:c r="G702" s="8" t="n">
        <x:v>13</x:v>
      </x:c>
      <x:c r="H702" s="8" t="str">
        <x:v>https://www.youtube.com/watch?v=wBruiRLt0WQ</x:v>
      </x:c>
      <x:c r="I702" s="8" t="str"/>
      <x:c r="J702" s="8" t="str"/>
      <x:c r="K702" s="8" t="str"/>
      <x:c r="L702" s="8" t="str">
        <x:v>https://www.thailandtourismdirectory.go.th/th/attraction/1461</x:v>
      </x:c>
      <x:c r="M702" s="8" t="str">
        <x:v>https://tfo.dot.go.th/th/locations/the-ayutthaya-historical-park/</x:v>
      </x:c>
      <x:c r="N702" s="8" t="str">
        <x:v>ยังไม่ยืนยัน</x:v>
      </x:c>
      <x:c r="O702" s="8" t="str">
        <x:v>ตรวจการเปิด ตัวตนสาขา ช่องทางติดต่อ และเงื่อนไขบังคับตามประเภท</x:v>
      </x:c>
      <x:c r="P702" s="40" t="n">
        <x:v>46316</x:v>
      </x:c>
      <x:c r="Q702" s="59" t="str">
        <x:v>ยังไม่ตรวจ</x:v>
      </x:c>
      <x:c r="R702" s="59" t="str">
        <x:v>รอติดต่อ</x:v>
      </x:c>
    </x:row>
    <x:row r="703" ht="84" customHeight="1">
      <x:c r="A703" s="2" t="str">
        <x:v>R26-033</x:v>
      </x:c>
      <x:c r="B703" s="8" t="str">
        <x:v>ชุมชนมุสลิมคลองตะเคียน</x:v>
      </x:c>
      <x:c r="C703" s="8" t="str">
        <x:v>พระนครศรีอยุธยา</x:v>
      </x:c>
      <x:c r="D703" s="8" t="str">
        <x:v>อยู่ในชุด 600 ตามเส้นทาง</x:v>
      </x:c>
      <x:c r="E703" s="8" t="str">
        <x:v>พบชื่อสัมพันธ์หลายเว็บไซต์ รอยืนยันสาขา</x:v>
      </x:c>
      <x:c r="F703" s="8" t="str">
        <x:v>ยังไม่ยืนยันการเปิดให้บริการปัจจุบัน</x:v>
      </x:c>
      <x:c r="G703" s="8" t="n">
        <x:v>3</x:v>
      </x:c>
      <x:c r="H703" s="8" t="str">
        <x:v>https://www.youtube.com/watch?v=DiJNgn5-hiA</x:v>
      </x:c>
      <x:c r="I703" s="8" t="str"/>
      <x:c r="J703" s="8" t="str"/>
      <x:c r="K703" s="8" t="str"/>
      <x:c r="L703" s="8" t="str">
        <x:v>https://so02.tci-thaijo.org/index.php/jas/article/view/247119</x:v>
      </x:c>
      <x:c r="M703" s="8" t="str">
        <x:v>https://www.klongtakein.go.th/home</x:v>
      </x:c>
      <x:c r="N703" s="8" t="str">
        <x:v>ยังไม่ยืนยัน</x:v>
      </x:c>
      <x:c r="O703" s="8" t="str">
        <x:v>ตรวจการเปิด ตัวตนสาขา ช่องทางติดต่อ และเงื่อนไขบังคับตามประเภท</x:v>
      </x:c>
      <x:c r="P703" s="40" t="n">
        <x:v>46316</x:v>
      </x:c>
      <x:c r="Q703" s="59" t="str">
        <x:v>ยังไม่ตรวจ</x:v>
      </x:c>
      <x:c r="R703" s="59" t="str">
        <x:v>รอติดต่อ</x:v>
      </x:c>
    </x:row>
    <x:row r="704" ht="84" customHeight="1">
      <x:c r="A704" s="2" t="str">
        <x:v>R26-037</x:v>
      </x:c>
      <x:c r="B704" s="8" t="str">
        <x:v>The Wonder Blue Classic Boathouse Ayutthaya</x:v>
      </x:c>
      <x:c r="C704" s="8" t="str">
        <x:v>พระนครศรีอยุธยา</x:v>
      </x:c>
      <x:c r="D704" s="8" t="str">
        <x:v>อยู่ในชุด 600 ตามเส้นทาง</x:v>
      </x:c>
      <x:c r="E704" s="8" t="str">
        <x:v>พบชื่อสัมพันธ์หลายเว็บไซต์ รอยืนยันสาขา</x:v>
      </x:c>
      <x:c r="F704" s="8" t="str">
        <x:v>ยังไม่ยืนยันการเปิดให้บริการปัจจุบัน</x:v>
      </x:c>
      <x:c r="G704" s="8" t="n">
        <x:v>8</x:v>
      </x:c>
      <x:c r="H704" s="8" t="str"/>
      <x:c r="I704" s="8" t="str"/>
      <x:c r="J704" s="8" t="str">
        <x:v>https://th.tripadvisor.com/Attraction_Review-g303897-d32824819-Reviews-The_Wonder_Blue_Classic_Boathouse_Ayutthaya-Ayutthaya_Ayutthaya_Province.html</x:v>
      </x:c>
      <x:c r="K704" s="8" t="str"/>
      <x:c r="L704" s="8" t="str">
        <x:v>https://www.trueproperties.co.th/5-7-popup/</x:v>
      </x:c>
      <x:c r="M704" s="8" t="str">
        <x:v>https://www.wearecp.com/trueleasing-2025-02-25/</x:v>
      </x:c>
      <x:c r="N704" s="8" t="str">
        <x:v>ยังไม่ยืนยัน</x:v>
      </x:c>
      <x:c r="O704" s="8" t="str">
        <x:v>ตรวจการเปิด ตัวตนสาขา ช่องทางติดต่อ และเงื่อนไขบังคับตามประเภท</x:v>
      </x:c>
      <x:c r="P704" s="40" t="n">
        <x:v>46316</x:v>
      </x:c>
      <x:c r="Q704" s="59" t="str">
        <x:v>ยังไม่ตรวจ</x:v>
      </x:c>
      <x:c r="R704" s="59" t="str">
        <x:v>รอติดต่อ</x:v>
      </x:c>
    </x:row>
    <x:row r="705" ht="84" customHeight="1">
      <x:c r="A705" s="2" t="str">
        <x:v>R26-042</x:v>
      </x:c>
      <x:c r="B705" s="8" t="str">
        <x:v>บ้านฮอลันดา</x:v>
      </x:c>
      <x:c r="C705" s="8" t="str">
        <x:v>พระนครศรีอยุธยา</x:v>
      </x:c>
      <x:c r="D705" s="8" t="str">
        <x:v>อยู่ในชุด 600 ตามเส้นทาง</x:v>
      </x:c>
      <x:c r="E705" s="8" t="str">
        <x:v>พบชื่อสัมพันธ์หลายเว็บไซต์ รอยืนยันสาขา</x:v>
      </x:c>
      <x:c r="F705" s="8" t="str">
        <x:v>ยังไม่ยืนยันการเปิดให้บริการปัจจุบัน</x:v>
      </x:c>
      <x:c r="G705" s="8" t="n">
        <x:v>11</x:v>
      </x:c>
      <x:c r="H705" s="8" t="str">
        <x:v>https://www.youtube.com/watch?v=RQbVXwX0HJ8</x:v>
      </x:c>
      <x:c r="I705" s="8" t="str"/>
      <x:c r="J705" s="8" t="str">
        <x:v>https://www.wongnai.com/restaurants/164438PA-%E0%B8%9A%E0%B9%89%E0%B8%B2%E0%B8%99%E0%B8%AE%E0%B8%AD%E0%B8%A5%E0%B8%B1%E0%B8%99%E0%B8%94%E0%B8%B2</x:v>
      </x:c>
      <x:c r="K705" s="8" t="str"/>
      <x:c r="L705" s="8" t="str">
        <x:v>https://www.thailandtourismdirectory.go.th/attraction/547</x:v>
      </x:c>
      <x:c r="M705" s="8" t="str">
        <x:v>https://go.ayutthaya.go.th/%E0%B9%81%E0%B8%99%E0%B8%B0%E0%B8%99%E0%B8%B3%E0%B8%97%E0%B8%B5%E0%B9%88%E0%B9%80%E0%B8%97%E0%B8%B5%E0%B9%88%E0%B8%A2%E0%B8%A7/%E0%B8%AD%E0%B8%B7%E0%B9%88%E0%B8%99%E0%B9%86/%E0%B9%81%E0%B8%AD%E0%B8%94%E0%B8%A1%E0%B8%B4%E0%B8%99%E0%B8%9E%E0%B8%B2%E0%B9%80%E0%B8%97%E0%B8%B5%E0%B9%88%E0%B8%A2%E0%B8%A7-%E0%B8%9E%E0%B8%B2%E0%B8%A3%E0%B8%B5%E0%B8%A7%E0%B8%B4%E0%B8%A7-%E0%B8%9A/</x:v>
      </x:c>
      <x:c r="N705" s="8" t="str">
        <x:v>ยังไม่ยืนยัน</x:v>
      </x:c>
      <x:c r="O705" s="8" t="str">
        <x:v>ตรวจการเปิด ตัวตนสาขา ช่องทางติดต่อ และเงื่อนไขบังคับตามประเภท</x:v>
      </x:c>
      <x:c r="P705" s="40" t="n">
        <x:v>46316</x:v>
      </x:c>
      <x:c r="Q705" s="59" t="str">
        <x:v>ยังไม่ตรวจ</x:v>
      </x:c>
      <x:c r="R705" s="59" t="str">
        <x:v>รอติดต่อ</x:v>
      </x:c>
    </x:row>
    <x:row r="706" ht="84" customHeight="1">
      <x:c r="A706" s="2" t="str">
        <x:v>R26-041</x:v>
      </x:c>
      <x:c r="B706" s="8" t="str">
        <x:v>หมู่บ้านญี่ปุ่น อยุธยา</x:v>
      </x:c>
      <x:c r="C706" s="8" t="str">
        <x:v>พระนครศรีอยุธยา</x:v>
      </x:c>
      <x:c r="D706" s="8" t="str">
        <x:v>อยู่ในชุด 600 ตามเส้นทาง</x:v>
      </x:c>
      <x:c r="E706" s="8" t="str">
        <x:v>พบชื่อสัมพันธ์หลายเว็บไซต์ รอยืนยันสาขา</x:v>
      </x:c>
      <x:c r="F706" s="8" t="str">
        <x:v>ยังไม่ยืนยันการเปิดให้บริการปัจจุบัน</x:v>
      </x:c>
      <x:c r="G706" s="8" t="n">
        <x:v>4</x:v>
      </x:c>
      <x:c r="H706" s="8" t="str"/>
      <x:c r="I706" s="8" t="str"/>
      <x:c r="J706" s="8" t="str"/>
      <x:c r="K706" s="8" t="str"/>
      <x:c r="L706" s="8" t="str">
        <x:v>https://www.thailandtourismdirectory.go.th/th/attraction/1463</x:v>
      </x:c>
      <x:c r="M706" s="8" t="str">
        <x:v>https://japanesevillage.org/</x:v>
      </x:c>
      <x:c r="N706" s="8" t="str">
        <x:v>ยังไม่ยืนยัน</x:v>
      </x:c>
      <x:c r="O706" s="8" t="str">
        <x:v>ตรวจการเปิด ตัวตนสาขา ช่องทางติดต่อ และเงื่อนไขบังคับตามประเภท</x:v>
      </x:c>
      <x:c r="P706" s="40" t="n">
        <x:v>46316</x:v>
      </x:c>
      <x:c r="Q706" s="59" t="str">
        <x:v>ยังไม่ตรวจ</x:v>
      </x:c>
      <x:c r="R706" s="59" t="str">
        <x:v>รอติดต่อ</x:v>
      </x:c>
    </x:row>
    <x:row r="707" ht="84" customHeight="1">
      <x:c r="A707" s="2" t="str">
        <x:v>R26-043</x:v>
      </x:c>
      <x:c r="B707" s="8" t="str">
        <x:v>หมู่บ้านโปรตุเกส อยุธยา</x:v>
      </x:c>
      <x:c r="C707" s="8" t="str">
        <x:v>พระนครศรีอยุธยา</x:v>
      </x:c>
      <x:c r="D707" s="8" t="str">
        <x:v>อยู่ในชุด 600 ตามเส้นทาง</x:v>
      </x:c>
      <x:c r="E707" s="8" t="str">
        <x:v>พบชื่อสัมพันธ์หลายเว็บไซต์ รอยืนยันสาขา</x:v>
      </x:c>
      <x:c r="F707" s="8" t="str">
        <x:v>ยังไม่ยืนยันการเปิดให้บริการปัจจุบัน</x:v>
      </x:c>
      <x:c r="G707" s="8" t="n">
        <x:v>3</x:v>
      </x:c>
      <x:c r="H707" s="8" t="str"/>
      <x:c r="I707" s="8" t="str"/>
      <x:c r="J707" s="8" t="str"/>
      <x:c r="K707" s="8" t="str"/>
      <x:c r="L707" s="8" t="str">
        <x:v>https://www.thai-tour.com/place/1527</x:v>
      </x:c>
      <x:c r="M707" s="8" t="str">
        <x:v>https://www.tatmediaassets.com/file/1357670</x:v>
      </x:c>
      <x:c r="N707" s="8" t="str">
        <x:v>ยังไม่ยืนยัน</x:v>
      </x:c>
      <x:c r="O707" s="8" t="str">
        <x:v>ตรวจการเปิด ตัวตนสาขา ช่องทางติดต่อ และเงื่อนไขบังคับตามประเภท</x:v>
      </x:c>
      <x:c r="P707" s="40" t="n">
        <x:v>46316</x:v>
      </x:c>
      <x:c r="Q707" s="59" t="str">
        <x:v>ยังไม่ตรวจ</x:v>
      </x:c>
      <x:c r="R707" s="59" t="str">
        <x:v>รอติดต่อ</x:v>
      </x:c>
    </x:row>
    <x:row r="708" ht="84" customHeight="1">
      <x:c r="A708" s="2" t="str">
        <x:v>R26-039</x:v>
      </x:c>
      <x:c r="B708" s="8" t="str">
        <x:v>อนุสรณ์สถานท่านเฉกอะหมัด</x:v>
      </x:c>
      <x:c r="C708" s="8" t="str">
        <x:v>พระนครศรีอยุธยา</x:v>
      </x:c>
      <x:c r="D708" s="8" t="str">
        <x:v>อยู่ในชุด 600 ตามเส้นทาง</x:v>
      </x:c>
      <x:c r="E708" s="8" t="str">
        <x:v>พบชื่อสัมพันธ์หลายเว็บไซต์ รอยืนยันสาขา</x:v>
      </x:c>
      <x:c r="F708" s="8" t="str">
        <x:v>ยังไม่ยืนยันการเปิดให้บริการปัจจุบัน</x:v>
      </x:c>
      <x:c r="G708" s="8" t="n">
        <x:v>9</x:v>
      </x:c>
      <x:c r="H708" s="8" t="str"/>
      <x:c r="I708" s="8" t="str"/>
      <x:c r="J708" s="8" t="str"/>
      <x:c r="K708" s="8" t="str"/>
      <x:c r="L708" s="8" t="str">
        <x:v>https://ayutthaya.prd.go.th/th/content/category/detail/id/9/iid/342110</x:v>
      </x:c>
      <x:c r="M708" s="8" t="str">
        <x:v>https://masjid.islamicbangkok.or.th/masjid/news/4638118267</x:v>
      </x:c>
      <x:c r="N708" s="8" t="str">
        <x:v>ยังไม่ยืนยัน</x:v>
      </x:c>
      <x:c r="O708" s="8" t="str">
        <x:v>ตรวจการเปิด ตัวตนสาขา ช่องทางติดต่อ และเงื่อนไขบังคับตามประเภท</x:v>
      </x:c>
      <x:c r="P708" s="40" t="n">
        <x:v>46316</x:v>
      </x:c>
      <x:c r="Q708" s="59" t="str">
        <x:v>ยังไม่ตรวจ</x:v>
      </x:c>
      <x:c r="R708" s="59" t="str">
        <x:v>รอติดต่อ</x:v>
      </x:c>
    </x:row>
    <x:row r="709" ht="84" customHeight="1">
      <x:c r="A709" s="2" t="str">
        <x:v>R26-040</x:v>
      </x:c>
      <x:c r="B709" s="8" t="str">
        <x:v>ชุมชนสำเภาล่ม</x:v>
      </x:c>
      <x:c r="C709" s="8" t="str">
        <x:v>พระนครศรีอยุธยา</x:v>
      </x:c>
      <x:c r="D709" s="8" t="str">
        <x:v>อยู่ในชุด 600 ตามเส้นทาง</x:v>
      </x:c>
      <x:c r="E709" s="8" t="str">
        <x:v>พบชื่อสัมพันธ์หลายเว็บไซต์ รอยืนยันสาขา</x:v>
      </x:c>
      <x:c r="F709" s="8" t="str">
        <x:v>ยังไม่ยืนยันการเปิดให้บริการปัจจุบัน</x:v>
      </x:c>
      <x:c r="G709" s="8" t="n">
        <x:v>6</x:v>
      </x:c>
      <x:c r="H709" s="8" t="str"/>
      <x:c r="I709" s="8" t="str"/>
      <x:c r="J709" s="8" t="str"/>
      <x:c r="K709" s="8" t="str"/>
      <x:c r="L709" s="8" t="str">
        <x:v>https://www.samphaolom.go.th/</x:v>
      </x:c>
      <x:c r="M709" s="8" t="str">
        <x:v>https://www.pakkran.go.th/17391386/%E0%B8%A7%E0%B8%B1%E0%B8%94%E0%B8%AA%E0%B8%B3%E0%B9%80%E0%B8%A0%E0%B8%B2%E0%B8%A5%E0%B9%88%E0%B8%A1-%E0%B8%97%E0%B8%B3%E0%B9%83%E0%B8%AB%E0%B8%A1%E0%B9%88</x:v>
      </x:c>
      <x:c r="N709" s="8" t="str">
        <x:v>ยังไม่ยืนยัน</x:v>
      </x:c>
      <x:c r="O709" s="8" t="str">
        <x:v>ตรวจการเปิด ตัวตนสาขา ช่องทางติดต่อ และเงื่อนไขบังคับตามประเภท</x:v>
      </x:c>
      <x:c r="P709" s="40" t="n">
        <x:v>46316</x:v>
      </x:c>
      <x:c r="Q709" s="59" t="str">
        <x:v>ยังไม่ตรวจ</x:v>
      </x:c>
      <x:c r="R709" s="59" t="str">
        <x:v>รอติดต่อ</x:v>
      </x:c>
    </x:row>
    <x:row r="710" ht="84" customHeight="1">
      <x:c r="A710" s="2" t="str">
        <x:v>R26-045</x:v>
      </x:c>
      <x:c r="B710" s="8" t="str">
        <x:v>ศูนย์ศิลปาชีพบางไทร</x:v>
      </x:c>
      <x:c r="C710" s="8" t="str">
        <x:v>พระนครศรีอยุธยา</x:v>
      </x:c>
      <x:c r="D710" s="8" t="str">
        <x:v>อยู่ในชุด 600 ตามเส้นทาง</x:v>
      </x:c>
      <x:c r="E710" s="8" t="str">
        <x:v>พบชื่อสัมพันธ์หลายเว็บไซต์ รอยืนยันสาขา</x:v>
      </x:c>
      <x:c r="F710" s="8" t="str">
        <x:v>ยังไม่ยืนยันการเปิดให้บริการปัจจุบัน</x:v>
      </x:c>
      <x:c r="G710" s="8" t="n">
        <x:v>12</x:v>
      </x:c>
      <x:c r="H710" s="8" t="str">
        <x:v>https://www.youtube.com/watch?v=QZb9Ex_P_qw</x:v>
      </x:c>
      <x:c r="I710" s="8" t="str"/>
      <x:c r="J710" s="8" t="str">
        <x:v>https://sites.google.com/kasetbangsai.ac.th/websiteskasetbangsai/%E0%B8%AB%E0%B8%99%E0%B8%B2%E0%B9%81%E0%B8%A3%E0%B8%81</x:v>
      </x:c>
      <x:c r="K710" s="8" t="str"/>
      <x:c r="L710" s="8" t="str">
        <x:v>https://ayutthayacity.go.th/travel_activity/detail/6</x:v>
      </x:c>
      <x:c r="M710" s="8" t="str">
        <x:v>https://cbtthailand.dasta.or.th/webapp/relattraction/content/1355/</x:v>
      </x:c>
      <x:c r="N710" s="8" t="str">
        <x:v>ยังไม่ยืนยัน</x:v>
      </x:c>
      <x:c r="O710" s="8" t="str">
        <x:v>ตรวจการเปิด ตัวตนสาขา ช่องทางติดต่อ และเงื่อนไขบังคับตามประเภท</x:v>
      </x:c>
      <x:c r="P710" s="40" t="n">
        <x:v>46316</x:v>
      </x:c>
      <x:c r="Q710" s="59" t="str">
        <x:v>ยังไม่ตรวจ</x:v>
      </x:c>
      <x:c r="R710" s="59" t="str">
        <x:v>รอติดต่อ</x:v>
      </x:c>
    </x:row>
    <x:row r="711" ht="84" customHeight="1">
      <x:c r="A711" s="2" t="str">
        <x:v>R26-368</x:v>
      </x:c>
      <x:c r="B711" s="8" t="str">
        <x:v>Classic Kameo Hotel Ayutthaya</x:v>
      </x:c>
      <x:c r="C711" s="8" t="str">
        <x:v>พระนครศรีอยุธยา</x:v>
      </x:c>
      <x:c r="D711" s="8" t="str">
        <x:v>อยู่ในชุด 600 ตามเส้นทาง</x:v>
      </x:c>
      <x:c r="E711" s="8" t="str">
        <x:v>พบชื่อสัมพันธ์หลายเว็บไซต์ รอยืนยันสาขา</x:v>
      </x:c>
      <x:c r="F711" s="8" t="str">
        <x:v>ยังไม่ยืนยันการเปิดให้บริการปัจจุบัน</x:v>
      </x:c>
      <x:c r="G711" s="8" t="n">
        <x:v>5</x:v>
      </x:c>
      <x:c r="H711" s="8" t="str">
        <x:v>https://www.facebook.com/capekantaryhotels/</x:v>
      </x:c>
      <x:c r="I711" s="8" t="str">
        <x:v>https://www.instagram.com/capeandkantary/</x:v>
      </x:c>
      <x:c r="J711" s="8" t="str">
        <x:v>https://www.wongnai.com/hotels/322250cL-classic-kameo-ayutthaya</x:v>
      </x:c>
      <x:c r="K711" s="8" t="str"/>
      <x:c r="L711" s="8" t="str">
        <x:v>https://www.kameocollection.com/classickameo-ayutthaya/rate/</x:v>
      </x:c>
      <x:c r="M711" s="8" t="str">
        <x:v>https://www.capekantaryhotels.com/pdf/Factsheet/Classic-Kameo-Hotel-Ayutthaya.pdf</x:v>
      </x:c>
      <x:c r="N711" s="8" t="str">
        <x:v>ยังไม่ยืนยัน</x:v>
      </x:c>
      <x:c r="O711" s="8" t="str">
        <x:v>ตรวจการเปิด ตัวตนสาขา ช่องทางติดต่อ และเงื่อนไขบังคับตามประเภท</x:v>
      </x:c>
      <x:c r="P711" s="40" t="n">
        <x:v>46316</x:v>
      </x:c>
      <x:c r="Q711" s="59" t="str">
        <x:v>ยังไม่ตรวจ</x:v>
      </x:c>
      <x:c r="R711" s="59" t="str">
        <x:v>รอติดต่อ</x:v>
      </x:c>
    </x:row>
    <x:row r="712" ht="84" customHeight="1">
      <x:c r="A712" s="2" t="str">
        <x:v>R26-367</x:v>
      </x:c>
      <x:c r="B712" s="8" t="str">
        <x:v>Kantary Hotel Ayutthaya</x:v>
      </x:c>
      <x:c r="C712" s="8" t="str">
        <x:v>พระนครศรีอยุธยา</x:v>
      </x:c>
      <x:c r="D712" s="8" t="str">
        <x:v>อยู่ในชุด 600 ตามเส้นทาง</x:v>
      </x:c>
      <x:c r="E712" s="8" t="str">
        <x:v>พบชื่อสัมพันธ์หลายเว็บไซต์ รอยืนยันสาขา</x:v>
      </x:c>
      <x:c r="F712" s="8" t="str">
        <x:v>ยังไม่ยืนยันการเปิดให้บริการปัจจุบัน</x:v>
      </x:c>
      <x:c r="G712" s="8" t="n">
        <x:v>8</x:v>
      </x:c>
      <x:c r="H712" s="8" t="str">
        <x:v>https://www.youtube.com/watch?v=riqwgrVEnJQ</x:v>
      </x:c>
      <x:c r="I712" s="8" t="str"/>
      <x:c r="J712" s="8" t="str">
        <x:v>https://www.booking.com/hotel/th/kantary-ayutthaya.html</x:v>
      </x:c>
      <x:c r="K712" s="8" t="str">
        <x:v>https://www.wongnai.com/hotels/318110fo-kantary-hotel-ayutthaya</x:v>
      </x:c>
      <x:c r="L712" s="8" t="str">
        <x:v>https://www.kantaryhotel-ayutthaya.com/index.php</x:v>
      </x:c>
      <x:c r="M712" s="8" t="str">
        <x:v>https://www.kantarycollection.com.cn/kantaryhotel-ayutthaya/en/</x:v>
      </x:c>
      <x:c r="N712" s="8" t="str">
        <x:v>ยังไม่ยืนยัน</x:v>
      </x:c>
      <x:c r="O712" s="8" t="str">
        <x:v>ตรวจการเปิด ตัวตนสาขา ช่องทางติดต่อ และเงื่อนไขบังคับตามประเภท</x:v>
      </x:c>
      <x:c r="P712" s="40" t="n">
        <x:v>46316</x:v>
      </x:c>
      <x:c r="Q712" s="59" t="str">
        <x:v>ยังไม่ตรวจ</x:v>
      </x:c>
      <x:c r="R712" s="59" t="str">
        <x:v>รอติดต่อ</x:v>
      </x:c>
    </x:row>
    <x:row r="713" ht="84" customHeight="1">
      <x:c r="A713" s="2" t="str">
        <x:v>R26-257</x:v>
      </x:c>
      <x:c r="B713" s="8" t="str">
        <x:v>Central Ayutthaya</x:v>
      </x:c>
      <x:c r="C713" s="8" t="str">
        <x:v>พระนครศรีอยุธยา</x:v>
      </x:c>
      <x:c r="D713" s="8" t="str">
        <x:v>อยู่ในชุด 600 ตามเส้นทาง</x:v>
      </x:c>
      <x:c r="E713" s="8" t="str">
        <x:v>พบชื่อสัมพันธ์หลายเว็บไซต์ รอยืนยันสาขา</x:v>
      </x:c>
      <x:c r="F713" s="8" t="str">
        <x:v>ยังไม่ยืนยันการเปิดให้บริการปัจจุบัน</x:v>
      </x:c>
      <x:c r="G713" s="8" t="n">
        <x:v>6</x:v>
      </x:c>
      <x:c r="H713" s="8" t="str">
        <x:v>https://www.youtube.com/watch?v=FVJwrsI4jKE</x:v>
      </x:c>
      <x:c r="I713" s="8" t="str">
        <x:v>https://www.facebook.com/CentralAyutthaya</x:v>
      </x:c>
      <x:c r="J713" s="8" t="str">
        <x:v>https://www.wongnai.com/attractions/1267686Sz-central-ayutthaya</x:v>
      </x:c>
      <x:c r="K713" s="8" t="str"/>
      <x:c r="L713" s="8" t="str">
        <x:v>https://www.centralayutthaya.com/en</x:v>
      </x:c>
      <x:c r="M713" s="8" t="str">
        <x:v>https://www.jetts.co.th/central-ayutthaya/</x:v>
      </x:c>
      <x:c r="N713" s="8" t="str">
        <x:v>ยังไม่ยืนยัน</x:v>
      </x:c>
      <x:c r="O713" s="8" t="str">
        <x:v>ตรวจการเปิด ตัวตนสาขา ช่องทางติดต่อ และเงื่อนไขบังคับตามประเภท</x:v>
      </x:c>
      <x:c r="P713" s="40" t="n">
        <x:v>46316</x:v>
      </x:c>
      <x:c r="Q713" s="59" t="str">
        <x:v>ยังไม่ตรวจ</x:v>
      </x:c>
      <x:c r="R713" s="59" t="str">
        <x:v>รอติดต่อ</x:v>
      </x:c>
    </x:row>
    <x:row r="714" ht="84" customHeight="1">
      <x:c r="A714" s="2" t="str">
        <x:v>R26-327</x:v>
      </x:c>
      <x:c r="B714" s="8" t="str">
        <x:v>ตลาดน้ำอโยธยา</x:v>
      </x:c>
      <x:c r="C714" s="8" t="str">
        <x:v>พระนครศรีอยุธยา</x:v>
      </x:c>
      <x:c r="D714" s="8" t="str">
        <x:v>อยู่ในชุด 600 ตามเส้นทาง</x:v>
      </x:c>
      <x:c r="E714" s="8" t="str">
        <x:v>พบชื่อสัมพันธ์หลายเว็บไซต์ รอยืนยันสาขา</x:v>
      </x:c>
      <x:c r="F714" s="8" t="str">
        <x:v>ยังไม่ยืนยันการเปิดให้บริการปัจจุบัน</x:v>
      </x:c>
      <x:c r="G714" s="8" t="n">
        <x:v>7</x:v>
      </x:c>
      <x:c r="H714" s="8" t="str">
        <x:v>https://www.youtube.com/watch?v=GwbjqedWQ0c</x:v>
      </x:c>
      <x:c r="I714" s="8" t="str"/>
      <x:c r="J714" s="8" t="str">
        <x:v>https://www.wongnai.com/attractions/325787SX-%E0%B8%95%E0%B8%A5%E0%B8%B2%E0%B8%94%E0%B8%99%E0%B9%89%E0%B8%B3%E0%B8%AD%E0%B9%82%E0%B8%A2%E0%B8%98%E0%B8%A2%E0%B8%B2</x:v>
      </x:c>
      <x:c r="K714" s="8" t="str"/>
      <x:c r="L714" s="8" t="str">
        <x:v>https://news.ayutthaya.go.th/travel/detail/70</x:v>
      </x:c>
      <x:c r="M714" s="8" t="str">
        <x:v>https://www.ayothayafloatingmarket.in.th/</x:v>
      </x:c>
      <x:c r="N714" s="8" t="str">
        <x:v>ยังไม่ยืนยัน</x:v>
      </x:c>
      <x:c r="O714" s="8" t="str">
        <x:v>ตรวจการเปิด ตัวตนสาขา ช่องทางติดต่อ และเงื่อนไขบังคับตามประเภท</x:v>
      </x:c>
      <x:c r="P714" s="40" t="n">
        <x:v>46316</x:v>
      </x:c>
      <x:c r="Q714" s="59" t="str">
        <x:v>ยังไม่ตรวจ</x:v>
      </x:c>
      <x:c r="R714" s="59" t="str">
        <x:v>รอติดต่อ</x:v>
      </x:c>
    </x:row>
    <x:row r="715" ht="84" customHeight="1">
      <x:c r="A715" s="2" t="str">
        <x:v>R26-049</x:v>
      </x:c>
      <x:c r="B715" s="8" t="str">
        <x:v>Sai Tharn Iyara Resort</x:v>
      </x:c>
      <x:c r="C715" s="8" t="str">
        <x:v>กาญจนบุรี</x:v>
      </x:c>
      <x:c r="D715" s="8" t="str">
        <x:v>อยู่ในชุด 600 ตามเส้นทาง</x:v>
      </x:c>
      <x:c r="E715" s="8" t="str">
        <x:v>พบชื่อสัมพันธ์หลายเว็บไซต์ รอยืนยันสาขา</x:v>
      </x:c>
      <x:c r="F715" s="8" t="str">
        <x:v>ยังไม่ยืนยันการเปิดให้บริการปัจจุบัน</x:v>
      </x:c>
      <x:c r="G715" s="8" t="n">
        <x:v>7</x:v>
      </x:c>
      <x:c r="H715" s="8" t="str">
        <x:v>https://page.line.me/qxr9260p</x:v>
      </x:c>
      <x:c r="I715" s="8" t="str"/>
      <x:c r="J715" s="8" t="str">
        <x:v>https://www.booking.com/hotel/th/saitharn-iyara-resort.html</x:v>
      </x:c>
      <x:c r="K715" s="8" t="str">
        <x:v>https://www.google.com/travel/hotels/entity/ChgI_9nNgY_mlJ71ARoLL2cvMXZ6Zl9wenoQAQ</x:v>
      </x:c>
      <x:c r="L715" s="8" t="str">
        <x:v>https://saitharniyararesort.com/</x:v>
      </x:c>
      <x:c r="M715" s="8" t="str">
        <x:v>https://www.traveloka.com/th-th/hotel/thailand/saitharn-iyara-resort-9000007804424</x:v>
      </x:c>
      <x:c r="N715" s="8" t="str">
        <x:v>ยังไม่ยืนยัน</x:v>
      </x:c>
      <x:c r="O715" s="8" t="str">
        <x:v>ตรวจการเปิด ตัวตนสาขา ช่องทางติดต่อ และเงื่อนไขบังคับตามประเภท</x:v>
      </x:c>
      <x:c r="P715" s="40" t="n">
        <x:v>46316</x:v>
      </x:c>
      <x:c r="Q715" s="59" t="str">
        <x:v>ยังไม่ตรวจ</x:v>
      </x:c>
      <x:c r="R715" s="59" t="str">
        <x:v>รอติดต่อ</x:v>
      </x:c>
    </x:row>
    <x:row r="716" ht="84" customHeight="1">
      <x:c r="A716" s="2" t="str">
        <x:v>R26-047</x:v>
      </x:c>
      <x:c r="B716" s="8" t="str">
        <x:v>ครัวซุเบรฟาร์ม อาหารอิสลาม</x:v>
      </x:c>
      <x:c r="C716" s="8" t="str">
        <x:v>กาญจนบุรี</x:v>
      </x:c>
      <x:c r="D716" s="8" t="str">
        <x:v>อยู่ในชุด 600 ตามเส้นทาง</x:v>
      </x:c>
      <x:c r="E716" s="8" t="str">
        <x:v>พบชื่อสัมพันธ์หลายเว็บไซต์ รอยืนยันสาขา</x:v>
      </x:c>
      <x:c r="F716" s="8" t="str">
        <x:v>ยังไม่ยืนยันการเปิดให้บริการปัจจุบัน</x:v>
      </x:c>
      <x:c r="G716" s="8" t="n">
        <x:v>3</x:v>
      </x:c>
      <x:c r="H716" s="8" t="str"/>
      <x:c r="I716" s="8" t="str"/>
      <x:c r="J716" s="8" t="str">
        <x:v>https://www.wongnai.com/delivery/businesses/1054260Dd/order</x:v>
      </x:c>
      <x:c r="K716" s="8" t="str"/>
      <x:c r="L716" s="8" t="str">
        <x:v>https://www.ryoiireview.com/restaurant/view/14916</x:v>
      </x:c>
      <x:c r="M716" s="8" t="str">
        <x:v>https://makanhalalguide.com/shop/detail/3983</x:v>
      </x:c>
      <x:c r="N716" s="8" t="str">
        <x:v>ยังไม่ยืนยัน</x:v>
      </x:c>
      <x:c r="O716" s="8" t="str">
        <x:v>ตรวจการเปิด ตัวตนสาขา ช่องทางติดต่อ และเงื่อนไขบังคับตามประเภท</x:v>
      </x:c>
      <x:c r="P716" s="40" t="n">
        <x:v>46316</x:v>
      </x:c>
      <x:c r="Q716" s="59" t="str">
        <x:v>ยังไม่ตรวจ</x:v>
      </x:c>
      <x:c r="R716" s="59" t="str">
        <x:v>รอติดต่อ</x:v>
      </x:c>
    </x:row>
    <x:row r="717" ht="84" customHeight="1">
      <x:c r="A717" s="2" t="str">
        <x:v>R26-046</x:v>
      </x:c>
      <x:c r="B717" s="8" t="str">
        <x:v>สะพานข้ามแม่น้ำแคว</x:v>
      </x:c>
      <x:c r="C717" s="8" t="str">
        <x:v>กาญจนบุรี</x:v>
      </x:c>
      <x:c r="D717" s="8" t="str">
        <x:v>อยู่ในชุด 600 ตามเส้นทาง</x:v>
      </x:c>
      <x:c r="E717" s="8" t="str">
        <x:v>พบชื่อสัมพันธ์หลายเว็บไซต์ รอยืนยันสาขา</x:v>
      </x:c>
      <x:c r="F717" s="8" t="str">
        <x:v>ยังไม่ยืนยันการเปิดให้บริการปัจจุบัน</x:v>
      </x:c>
      <x:c r="G717" s="8" t="n">
        <x:v>14</x:v>
      </x:c>
      <x:c r="H717" s="8" t="str">
        <x:v>https://www.youtube.com/watch?v=uDh91UzhqlE</x:v>
      </x:c>
      <x:c r="I717" s="8" t="str"/>
      <x:c r="J717" s="8" t="str">
        <x:v>https://www.google.co.th/travel/hotels/entity/ChcInfHx_6m_nZUqGgsvZy8xMjE1cHI0dBAE</x:v>
      </x:c>
      <x:c r="K717" s="8" t="str">
        <x:v>https://www.wongnai.com/attractions/326655cC-%E0%B8%AA%E0%B8%B0%E0%B8%9E%E0%B8%B2%E0%B8%99%E0%B8%82%E0%B9%89%E0%B8%B2%E0%B8%A1%E0%B9%81%E0%B8%A1%E0%B9%88%E0%B8%99%E0%B9%89%E0%B8%B3%E0%B9%81%E0%B8%84%E0%B8%A7</x:v>
      </x:c>
      <x:c r="L717" s="8" t="str">
        <x:v>https://kanchanaburi.mots.go.th/news/410</x:v>
      </x:c>
      <x:c r="M717" s="8" t="str">
        <x:v>https://ww2.kanchanaburi.go.th/travel_top/detail/8</x:v>
      </x:c>
      <x:c r="N717" s="8" t="str">
        <x:v>ยังไม่ยืนยัน</x:v>
      </x:c>
      <x:c r="O717" s="8" t="str">
        <x:v>ตรวจการเปิด ตัวตนสาขา ช่องทางติดต่อ และเงื่อนไขบังคับตามประเภท</x:v>
      </x:c>
      <x:c r="P717" s="40" t="n">
        <x:v>46316</x:v>
      </x:c>
      <x:c r="Q717" s="59" t="str">
        <x:v>ยังไม่ตรวจ</x:v>
      </x:c>
      <x:c r="R717" s="59" t="str">
        <x:v>รอติดต่อ</x:v>
      </x:c>
    </x:row>
    <x:row r="718" ht="84" customHeight="1">
      <x:c r="A718" s="2" t="str">
        <x:v>R26-050</x:v>
      </x:c>
      <x:c r="B718" s="8" t="str">
        <x:v>ปางช้างไทรโยค</x:v>
      </x:c>
      <x:c r="C718" s="8" t="str">
        <x:v>กาญจนบุรี</x:v>
      </x:c>
      <x:c r="D718" s="8" t="str">
        <x:v>อยู่ในชุด 600 ตามเส้นทาง</x:v>
      </x:c>
      <x:c r="E718" s="8" t="str">
        <x:v>พบชื่อสัมพันธ์หลายเว็บไซต์ รอยืนยันสาขา</x:v>
      </x:c>
      <x:c r="F718" s="8" t="str">
        <x:v>ยังไม่ยืนยันการเปิดให้บริการปัจจุบัน</x:v>
      </x:c>
      <x:c r="G718" s="8" t="n">
        <x:v>12</x:v>
      </x:c>
      <x:c r="H718" s="8" t="str">
        <x:v>https://www.youtube.com/watch?v=8ri-91EjMOM</x:v>
      </x:c>
      <x:c r="I718" s="8" t="str"/>
      <x:c r="J718" s="8" t="str">
        <x:v>https://th.tripadvisor.com/Attraction_Review-g2237738-d2723871-Reviews-Saiyok_Elephant_Park-Sai_Yok_Kanchanaburi_Province.html</x:v>
      </x:c>
      <x:c r="K718" s="8" t="str">
        <x:v>https://www.wongnai.com/attractions/356806cR-%E0%B8%9B%E0%B8%B2%E0%B8%87%E0%B8%8A%E0%B9%89%E0%B8%B2%E0%B8%87%E0%B9%84%E0%B8%97%E0%B8%A3%E0%B9%82%E0%B8%A2%E0%B8%84</x:v>
      </x:c>
      <x:c r="L718" s="8" t="str">
        <x:v>https://cbtthailand.dasta.or.th/webapp/relattraction/content/3837/</x:v>
      </x:c>
      <x:c r="M718" s="8" t="str">
        <x:v>https://gothaitrip.com/th/attractions/paangchaangaithroykh-plc10340</x:v>
      </x:c>
      <x:c r="N718" s="8" t="str">
        <x:v>ยังไม่ยืนยัน</x:v>
      </x:c>
      <x:c r="O718" s="8" t="str">
        <x:v>ตรวจการเปิด ตัวตนสาขา ช่องทางติดต่อ และเงื่อนไขบังคับตามประเภท</x:v>
      </x:c>
      <x:c r="P718" s="40" t="n">
        <x:v>46316</x:v>
      </x:c>
      <x:c r="Q718" s="59" t="str">
        <x:v>ยังไม่ตรวจ</x:v>
      </x:c>
      <x:c r="R718" s="59" t="str">
        <x:v>รอติดต่อ</x:v>
      </x:c>
    </x:row>
    <x:row r="719" ht="84" customHeight="1">
      <x:c r="A719" s="2" t="str">
        <x:v>R26-369</x:v>
      </x:c>
      <x:c r="B719" s="8" t="str">
        <x:v>Felix River Kwai Resort</x:v>
      </x:c>
      <x:c r="C719" s="8" t="str">
        <x:v>กาญจนบุรี</x:v>
      </x:c>
      <x:c r="D719" s="8" t="str">
        <x:v>อยู่ในชุด 600 ตามเส้นทาง</x:v>
      </x:c>
      <x:c r="E719" s="8" t="str">
        <x:v>พบชื่อสัมพันธ์หลายเว็บไซต์ รอยืนยันสาขา</x:v>
      </x:c>
      <x:c r="F719" s="8" t="str">
        <x:v>ยังไม่ยืนยันการเปิดให้บริการปัจจุบัน</x:v>
      </x:c>
      <x:c r="G719" s="8" t="n">
        <x:v>10</x:v>
      </x:c>
      <x:c r="H719" s="8" t="str">
        <x:v>https://www.youtube.com/watch?v=XexEl1Zzdj8</x:v>
      </x:c>
      <x:c r="I719" s="8" t="str"/>
      <x:c r="J719" s="8" t="str">
        <x:v>https://www.booking.com/hotel/th/felix-river-kwai-resort.html</x:v>
      </x:c>
      <x:c r="K719" s="8" t="str">
        <x:v>https://www.agoda.com/th-th/felix-river-kwai-resort/hotel/kanchanaburi-th.html</x:v>
      </x:c>
      <x:c r="L719" s="8" t="str">
        <x:v>https://www.felixriverkwai.com/faq/</x:v>
      </x:c>
      <x:c r="M719" s="8" t="str">
        <x:v>https://ww2.kanchanaburi.go.th/hotel/detail/12</x:v>
      </x:c>
      <x:c r="N719" s="8" t="str">
        <x:v>ยังไม่ยืนยัน</x:v>
      </x:c>
      <x:c r="O719" s="8" t="str">
        <x:v>ตรวจการเปิด ตัวตนสาขา ช่องทางติดต่อ และเงื่อนไขบังคับตามประเภท</x:v>
      </x:c>
      <x:c r="P719" s="40" t="n">
        <x:v>46316</x:v>
      </x:c>
      <x:c r="Q719" s="59" t="str">
        <x:v>ยังไม่ตรวจ</x:v>
      </x:c>
      <x:c r="R719" s="59" t="str">
        <x:v>รอติดต่อ</x:v>
      </x:c>
    </x:row>
    <x:row r="720" ht="84" customHeight="1">
      <x:c r="A720" s="2" t="str">
        <x:v>R26-371</x:v>
      </x:c>
      <x:c r="B720" s="8" t="str">
        <x:v>Natee The Riverfront Hotel Kanchanaburi</x:v>
      </x:c>
      <x:c r="C720" s="8" t="str">
        <x:v>กาญจนบุรี</x:v>
      </x:c>
      <x:c r="D720" s="8" t="str">
        <x:v>อยู่ในชุด 600 ตามเส้นทาง</x:v>
      </x:c>
      <x:c r="E720" s="8" t="str">
        <x:v>พบชื่อสัมพันธ์หลายเว็บไซต์ รอยืนยันสาขา</x:v>
      </x:c>
      <x:c r="F720" s="8" t="str">
        <x:v>ยังไม่ยืนยันการเปิดให้บริการปัจจุบัน</x:v>
      </x:c>
      <x:c r="G720" s="8" t="n">
        <x:v>6</x:v>
      </x:c>
      <x:c r="H720" s="8" t="str">
        <x:v>https://www.youtube.com/watch?v=E6Ba7wnTqvg</x:v>
      </x:c>
      <x:c r="I720" s="8" t="str">
        <x:v>https://www.facebook.com/NateeTheRiverfront/</x:v>
      </x:c>
      <x:c r="J720" s="8" t="str">
        <x:v>https://www.google.co.th/travel/hotels/entity/ChkIsYCog5PfiNE1Gg0vZy8xMWZ6N252ZDZqEAE</x:v>
      </x:c>
      <x:c r="K720" s="8" t="str">
        <x:v>https://www.google.com/travel/hotels/entity/CgoIsYCog5PfiNE1EAE?ap=MABalAEKBQjsDhAAIgNUSEIqFgoHCOMPEAcYFBIHCOMPEAcYGxgHIAFYAWgBigEoChIJSg3i65eYK0AR8IxbAVkCWUASEgmIwgTNO6grQBHwjFtJpgNZQJIBAiABmgEUEhLguJnguITguKPguJvguJDguKGiAR8KCS9tLzAxX21tcBIS4LiZ4LiE4Lij4Lib4LiQ4LihsAEAaAA&amp;g2lb=4208993%2C4223281%2C4252074%2C4253230%2C4254308%2C4258168%2C4260007%2C4265959%2C4270442%2C4274032%2C4274649%2C4276661%2C4281326%2C4282187%2C4282210%2C4251519%2C4265427%2C4270859%2C4280642%2C4282091&amp;gl=th&amp;hl=th&amp;rp=OAFAAEgC&amp;tcfs=ElQKCS9tLzA2Z3RocBIt4LmA4LiX4Lio4Lia4Liy4Lil4LiZ4LiE4Lij4LiZ4LiE4Lij4Lib4LiQ4LihGhgKCjIwMTktMDctMjASCjIwMTktMDctMjciGAoKMjAxOS0wNy0yMBIKMjAxOS0wNy0yN1IA&amp;ts=CAESCgoCCAMKAggDEAAaXQo_EjsyJTB4MzBlMmU1YTQ2YTY5NjQ4MzoweDdlYzI5YzVhMzA2NzBjZGM6EuC4meC4hOC4o-C4m-C4kOC4oRoAEhoSFAoHCOgPEAUYHhIHCOgPEAUYHxgBMgIQACoJCgU6A1RIQhoA&amp;un=1</x:v>
      </x:c>
      <x:c r="L720" s="8" t="str">
        <x:v>https://www.nateetheriverfront.com/</x:v>
      </x:c>
      <x:c r="M720" s="8" t="str">
        <x:v>https://tbroker.tio.asia/frontend/web/fito/itinerary/496/16926028421.pdf</x:v>
      </x:c>
      <x:c r="N720" s="8" t="str">
        <x:v>ยังไม่ยืนยัน</x:v>
      </x:c>
      <x:c r="O720" s="8" t="str">
        <x:v>ตรวจการเปิด ตัวตนสาขา ช่องทางติดต่อ และเงื่อนไขบังคับตามประเภท</x:v>
      </x:c>
      <x:c r="P720" s="40" t="n">
        <x:v>46316</x:v>
      </x:c>
      <x:c r="Q720" s="59" t="str">
        <x:v>ยังไม่ตรวจ</x:v>
      </x:c>
      <x:c r="R720" s="59" t="str">
        <x:v>รอติดต่อ</x:v>
      </x:c>
    </x:row>
    <x:row r="721" ht="84" customHeight="1">
      <x:c r="A721" s="2" t="str">
        <x:v>R26-372</x:v>
      </x:c>
      <x:c r="B721" s="8" t="str">
        <x:v>River Kwai Resotel</x:v>
      </x:c>
      <x:c r="C721" s="8" t="str">
        <x:v>กาญจนบุรี</x:v>
      </x:c>
      <x:c r="D721" s="8" t="str">
        <x:v>อยู่ในชุด 600 ตามเส้นทาง</x:v>
      </x:c>
      <x:c r="E721" s="8" t="str">
        <x:v>พบชื่อสัมพันธ์หลายเว็บไซต์ รอยืนยันสาขา</x:v>
      </x:c>
      <x:c r="F721" s="8" t="str">
        <x:v>ยังไม่ยืนยันการเปิดให้บริการปัจจุบัน</x:v>
      </x:c>
      <x:c r="G721" s="8" t="n">
        <x:v>8</x:v>
      </x:c>
      <x:c r="H721" s="8" t="str">
        <x:v>https://page.line.me/338jvbjs</x:v>
      </x:c>
      <x:c r="I721" s="8" t="str">
        <x:v>https://www.youtube.com/watch?v=E3Pkn8SqySM</x:v>
      </x:c>
      <x:c r="J721" s="8" t="str">
        <x:v>https://www.booking.com/hotel/th/river-kwai-resotel.html</x:v>
      </x:c>
      <x:c r="K721" s="8" t="str">
        <x:v>https://www.wongnai.com/hotels/315055ek-river-kwai-resotel-resort</x:v>
      </x:c>
      <x:c r="L721" s="8" t="str">
        <x:v>https://www.riverkwairesotel.net/</x:v>
      </x:c>
      <x:c r="M721" s="8" t="str">
        <x:v>https://chillpainai.com/products/RiverKwai-mkp</x:v>
      </x:c>
      <x:c r="N721" s="8" t="str">
        <x:v>ยังไม่ยืนยัน</x:v>
      </x:c>
      <x:c r="O721" s="8" t="str">
        <x:v>ตรวจการเปิด ตัวตนสาขา ช่องทางติดต่อ และเงื่อนไขบังคับตามประเภท</x:v>
      </x:c>
      <x:c r="P721" s="40" t="n">
        <x:v>46316</x:v>
      </x:c>
      <x:c r="Q721" s="59" t="str">
        <x:v>ยังไม่ตรวจ</x:v>
      </x:c>
      <x:c r="R721" s="59" t="str">
        <x:v>รอติดต่อ</x:v>
      </x:c>
    </x:row>
    <x:row r="722" ht="84" customHeight="1">
      <x:c r="A722" s="2" t="str">
        <x:v>R26-370</x:v>
      </x:c>
      <x:c r="B722" s="8" t="str">
        <x:v>U Inchantree Kanchanaburi</x:v>
      </x:c>
      <x:c r="C722" s="8" t="str">
        <x:v>กาญจนบุรี</x:v>
      </x:c>
      <x:c r="D722" s="8" t="str">
        <x:v>อยู่ในชุด 600 ตามเส้นทาง</x:v>
      </x:c>
      <x:c r="E722" s="8" t="str">
        <x:v>พบชื่อสัมพันธ์หลายเว็บไซต์ รอยืนยันสาขา</x:v>
      </x:c>
      <x:c r="F722" s="8" t="str">
        <x:v>ยังไม่ยืนยันการเปิดให้บริการปัจจุบัน</x:v>
      </x:c>
      <x:c r="G722" s="8" t="n">
        <x:v>9</x:v>
      </x:c>
      <x:c r="H722" s="8" t="str">
        <x:v>https://www.youtube.com/watch?v=_FqBw_5tJvg</x:v>
      </x:c>
      <x:c r="I722" s="8" t="str"/>
      <x:c r="J722" s="8" t="str">
        <x:v>https://www.booking.com/hotel/th/u-inchantree-kanchanaburi.html</x:v>
      </x:c>
      <x:c r="K722" s="8" t="str">
        <x:v>https://www.google.co.th/travel/hotels/entity/CgsI9oujmuCAzejBARAB?g2lb=4207876%2C4208993%2C4223281%2C4240602%2C4242836%2C4242898%2C4243604%2C4247457%2C4248641%2C4246064&amp;gl=th&amp;gsas=1&amp;hl=en&amp;ts=CAEaBAoCGgAqBAoAGgA&amp;un=1</x:v>
      </x:c>
      <x:c r="L722" s="8" t="str">
        <x:v>https://www.uhotelsresorts.com/uinchantreekanchanaburi</x:v>
      </x:c>
      <x:c r="M722" s="8" t="str">
        <x:v>https://www.thaithurkic.com/u-inchantree-kanchanaburi-034-521-584</x:v>
      </x:c>
      <x:c r="N722" s="8" t="str">
        <x:v>ยังไม่ยืนยัน</x:v>
      </x:c>
      <x:c r="O722" s="8" t="str">
        <x:v>ตรวจการเปิด ตัวตนสาขา ช่องทางติดต่อ และเงื่อนไขบังคับตามประเภท</x:v>
      </x:c>
      <x:c r="P722" s="40" t="n">
        <x:v>46316</x:v>
      </x:c>
      <x:c r="Q722" s="59" t="str">
        <x:v>ยังไม่ตรวจ</x:v>
      </x:c>
      <x:c r="R722" s="59" t="str">
        <x:v>รอติดต่อ</x:v>
      </x:c>
    </x:row>
    <x:row r="723" ht="84" customHeight="1">
      <x:c r="A723" s="2" t="str">
        <x:v>R26-280</x:v>
      </x:c>
      <x:c r="B723" s="8" t="str">
        <x:v>Dheva Mantra Spa Kanchanaburi</x:v>
      </x:c>
      <x:c r="C723" s="8" t="str">
        <x:v>กาญจนบุรี</x:v>
      </x:c>
      <x:c r="D723" s="8" t="str">
        <x:v>อยู่ในชุด 600 ตามเส้นทาง</x:v>
      </x:c>
      <x:c r="E723" s="8" t="str">
        <x:v>พบชื่อสัมพันธ์หลายเว็บไซต์ รอยืนยันสาขา</x:v>
      </x:c>
      <x:c r="F723" s="8" t="str">
        <x:v>ยังไม่ยืนยันการเปิดให้บริการปัจจุบัน</x:v>
      </x:c>
      <x:c r="G723" s="8" t="n">
        <x:v>2</x:v>
      </x:c>
      <x:c r="H723" s="8" t="str"/>
      <x:c r="I723" s="8" t="str"/>
      <x:c r="J723" s="8" t="str">
        <x:v>https://www.booking.com/hotel/th/dheva-mantra-resort-spa.html</x:v>
      </x:c>
      <x:c r="K723" s="8" t="str"/>
      <x:c r="L723" s="8" t="str">
        <x:v>https://dhevamantraresort.com/contact-us/</x:v>
      </x:c>
      <x:c r="M723" s="8" t="str">
        <x:v>https://www.booking.com/hotel/th/dheva-mantra-resort-spa.html</x:v>
      </x:c>
      <x:c r="N723" s="8" t="str">
        <x:v>ยังไม่ยืนยัน</x:v>
      </x:c>
      <x:c r="O723" s="8" t="str">
        <x:v>ตรวจการเปิด ตัวตนสาขา ช่องทางติดต่อ และเงื่อนไขบังคับตามประเภท</x:v>
      </x:c>
      <x:c r="P723" s="40" t="n">
        <x:v>46316</x:v>
      </x:c>
      <x:c r="Q723" s="59" t="str">
        <x:v>ยังไม่ตรวจ</x:v>
      </x:c>
      <x:c r="R723" s="59" t="str">
        <x:v>รอติดต่อ</x:v>
      </x:c>
    </x:row>
    <x:row r="724" ht="84" customHeight="1">
      <x:c r="A724" s="2" t="str">
        <x:v>R26-262</x:v>
      </x:c>
      <x:c r="B724" s="8" t="str">
        <x:v>Robinson Lifestyle Kanchanaburi</x:v>
      </x:c>
      <x:c r="C724" s="8" t="str">
        <x:v>กาญจนบุรี</x:v>
      </x:c>
      <x:c r="D724" s="8" t="str">
        <x:v>อยู่ในชุด 600 ตามเส้นทาง</x:v>
      </x:c>
      <x:c r="E724" s="8" t="str">
        <x:v>พบชื่อสัมพันธ์หลายเว็บไซต์ รอยืนยันสาขา</x:v>
      </x:c>
      <x:c r="F724" s="8" t="str">
        <x:v>ยังไม่ยืนยันการเปิดให้บริการปัจจุบัน</x:v>
      </x:c>
      <x:c r="G724" s="8" t="n">
        <x:v>11</x:v>
      </x:c>
      <x:c r="H724" s="8" t="str"/>
      <x:c r="I724" s="8" t="str"/>
      <x:c r="J724" s="8" t="str"/>
      <x:c r="K724" s="8" t="str"/>
      <x:c r="L724" s="8" t="str">
        <x:v>https://kanchanaburi.cdd.go.th/th/content/category/detail/id/8/iid/344981</x:v>
      </x:c>
      <x:c r="M724" s="8" t="str">
        <x:v>https://www.owndays.com/th/th/shops/291</x:v>
      </x:c>
      <x:c r="N724" s="8" t="str">
        <x:v>ยังไม่ยืนยัน</x:v>
      </x:c>
      <x:c r="O724" s="8" t="str">
        <x:v>ตรวจการเปิด ตัวตนสาขา ช่องทางติดต่อ และเงื่อนไขบังคับตามประเภท</x:v>
      </x:c>
      <x:c r="P724" s="40" t="n">
        <x:v>46316</x:v>
      </x:c>
      <x:c r="Q724" s="59" t="str">
        <x:v>ยังไม่ตรวจ</x:v>
      </x:c>
      <x:c r="R724" s="59" t="str">
        <x:v>รอติดต่อ</x:v>
      </x:c>
    </x:row>
    <x:row r="725" ht="84" customHeight="1">
      <x:c r="A725" s="2" t="str">
        <x:v>R26-131</x:v>
      </x:c>
      <x:c r="B725" s="8" t="str">
        <x:v>ต้นจามจุรียักษ์ กาญจนบุรี</x:v>
      </x:c>
      <x:c r="C725" s="8" t="str">
        <x:v>กาญจนบุรี</x:v>
      </x:c>
      <x:c r="D725" s="8" t="str">
        <x:v>อยู่ในชุด 600 ตามเส้นทาง</x:v>
      </x:c>
      <x:c r="E725" s="8" t="str">
        <x:v>พบชื่อสัมพันธ์หลายเว็บไซต์ รอยืนยันสาขา</x:v>
      </x:c>
      <x:c r="F725" s="8" t="str">
        <x:v>ยังไม่ยืนยันการเปิดให้บริการปัจจุบัน</x:v>
      </x:c>
      <x:c r="G725" s="8" t="n">
        <x:v>7</x:v>
      </x:c>
      <x:c r="H725" s="8" t="str">
        <x:v>https://www.youtube.com/watch?v=ZRBV_YGowlc</x:v>
      </x:c>
      <x:c r="I725" s="8" t="str"/>
      <x:c r="J725" s="8" t="str">
        <x:v>https://sites.google.com/dei.ac.th/muang-library/%E0%B9%81%E0%B8%AB%E0%B8%A5%E0%B8%87%E0%B8%97%E0%B8%AD%E0%B8%87%E0%B9%80%E0%B8%97%E0%B8%A2%E0%B8%A7/%E0%B8%95%E0%B8%99%E0%B8%88%E0%B8%B2%E0%B8%A1%E0%B8%88%E0%B8%A3%E0%B8%A2%E0%B8%81%E0%B8%A9</x:v>
      </x:c>
      <x:c r="K725" s="8" t="str"/>
      <x:c r="L725" s="8" t="str">
        <x:v>https://www.thailandtourismdirectory.go.th/th/attraction/101134</x:v>
      </x:c>
      <x:c r="M725" s="8" t="str">
        <x:v>https://api.tat.or.th/upload/live/multimedia/8971/E-Brochure_Kanchanaburi_%28Th%29.pdf</x:v>
      </x:c>
      <x:c r="N725" s="8" t="str">
        <x:v>ยังไม่ยืนยัน</x:v>
      </x:c>
      <x:c r="O725" s="8" t="str">
        <x:v>ตรวจการเปิด ตัวตนสาขา ช่องทางติดต่อ และเงื่อนไขบังคับตามประเภท</x:v>
      </x:c>
      <x:c r="P725" s="40" t="n">
        <x:v>46316</x:v>
      </x:c>
      <x:c r="Q725" s="59" t="str">
        <x:v>ยังไม่ตรวจ</x:v>
      </x:c>
      <x:c r="R725" s="59" t="str">
        <x:v>รอติดต่อ</x:v>
      </x:c>
    </x:row>
    <x:row r="726" ht="84" customHeight="1">
      <x:c r="A726" s="2" t="str">
        <x:v>R26-128</x:v>
      </x:c>
      <x:c r="B726" s="8" t="str">
        <x:v>น้ำตกห้วยแม่ขมิ้น</x:v>
      </x:c>
      <x:c r="C726" s="8" t="str">
        <x:v>กาญจนบุรี</x:v>
      </x:c>
      <x:c r="D726" s="8" t="str">
        <x:v>อยู่ในชุด 600 ตามเส้นทาง</x:v>
      </x:c>
      <x:c r="E726" s="8" t="str">
        <x:v>พบชื่อสัมพันธ์หลายเว็บไซต์ รอยืนยันสาขา</x:v>
      </x:c>
      <x:c r="F726" s="8" t="str">
        <x:v>ยังไม่ยืนยันการเปิดให้บริการปัจจุบัน</x:v>
      </x:c>
      <x:c r="G726" s="8" t="n">
        <x:v>14</x:v>
      </x:c>
      <x:c r="H726" s="8" t="str">
        <x:v>https://www.youtube.com/watch?v=7iOm7aVD5HI</x:v>
      </x:c>
      <x:c r="I726" s="8" t="str"/>
      <x:c r="J726" s="8" t="str">
        <x:v>https://www.wongnai.com/attractions/326669BY-%E0%B8%99%E0%B9%89%E0%B8%B3%E0%B8%95%E0%B8%81%E0%B8%AB%E0%B9%89%E0%B8%A7%E0%B8%A2%E0%B9%81%E0%B8%A1%E0%B9%88%E0%B8%82%E0%B8%A1%E0%B8%B4%E0%B9%89%E0%B8%99</x:v>
      </x:c>
      <x:c r="K726" s="8" t="str"/>
      <x:c r="L726" s="8" t="str">
        <x:v>https://kanchanaburi.mots.go.th/news/567</x:v>
      </x:c>
      <x:c r="M726" s="8" t="str">
        <x:v>https://ww2.kanchanaburi.go.th/travel_top/detail/4</x:v>
      </x:c>
      <x:c r="N726" s="8" t="str">
        <x:v>ยังไม่ยืนยัน</x:v>
      </x:c>
      <x:c r="O726" s="8" t="str">
        <x:v>ตรวจการเปิด ตัวตนสาขา ช่องทางติดต่อ และเงื่อนไขบังคับตามประเภท</x:v>
      </x:c>
      <x:c r="P726" s="40" t="n">
        <x:v>46316</x:v>
      </x:c>
      <x:c r="Q726" s="59" t="str">
        <x:v>ยังไม่ตรวจ</x:v>
      </x:c>
      <x:c r="R726" s="59" t="str">
        <x:v>รอติดต่อ</x:v>
      </x:c>
    </x:row>
    <x:row r="727" ht="84" customHeight="1">
      <x:c r="A727" s="2" t="str">
        <x:v>R26-130</x:v>
      </x:c>
      <x:c r="B727" s="8" t="str">
        <x:v>น้ำตกไทรโยคน้อย</x:v>
      </x:c>
      <x:c r="C727" s="8" t="str">
        <x:v>กาญจนบุรี</x:v>
      </x:c>
      <x:c r="D727" s="8" t="str">
        <x:v>อยู่ในชุด 600 ตามเส้นทาง</x:v>
      </x:c>
      <x:c r="E727" s="8" t="str">
        <x:v>พบชื่อสัมพันธ์หลายเว็บไซต์ รอยืนยันสาขา</x:v>
      </x:c>
      <x:c r="F727" s="8" t="str">
        <x:v>ยังไม่ยืนยันการเปิดให้บริการปัจจุบัน</x:v>
      </x:c>
      <x:c r="G727" s="8" t="n">
        <x:v>10</x:v>
      </x:c>
      <x:c r="H727" s="8" t="str">
        <x:v>https://www.youtube.com/watch?v=MYno59IiGv0</x:v>
      </x:c>
      <x:c r="I727" s="8" t="str"/>
      <x:c r="J727" s="8" t="str">
        <x:v>https://www.wongnai.com/restaurants/334309DK</x:v>
      </x:c>
      <x:c r="K727" s="8" t="str"/>
      <x:c r="L727" s="8" t="str">
        <x:v>https://www.namtoksaiyoknoi.go.th/main/about</x:v>
      </x:c>
      <x:c r="M727" s="8" t="str">
        <x:v>https://cbtthailand.dasta.or.th/webapp/relattraction/content/2684/</x:v>
      </x:c>
      <x:c r="N727" s="8" t="str">
        <x:v>ยังไม่ยืนยัน</x:v>
      </x:c>
      <x:c r="O727" s="8" t="str">
        <x:v>ตรวจการเปิด ตัวตนสาขา ช่องทางติดต่อ และเงื่อนไขบังคับตามประเภท</x:v>
      </x:c>
      <x:c r="P727" s="40" t="n">
        <x:v>46316</x:v>
      </x:c>
      <x:c r="Q727" s="59" t="str">
        <x:v>ยังไม่ตรวจ</x:v>
      </x:c>
      <x:c r="R727" s="59" t="str">
        <x:v>รอติดต่อ</x:v>
      </x:c>
    </x:row>
    <x:row r="728" ht="84" customHeight="1">
      <x:c r="A728" s="2" t="str">
        <x:v>R26-129</x:v>
      </x:c>
      <x:c r="B728" s="8" t="str">
        <x:v>อุทยานแห่งชาติไทรโยค</x:v>
      </x:c>
      <x:c r="C728" s="8" t="str">
        <x:v>กาญจนบุรี</x:v>
      </x:c>
      <x:c r="D728" s="8" t="str">
        <x:v>อยู่ในชุด 600 ตามเส้นทาง</x:v>
      </x:c>
      <x:c r="E728" s="8" t="str">
        <x:v>พบชื่อสัมพันธ์หลายเว็บไซต์ รอยืนยันสาขา</x:v>
      </x:c>
      <x:c r="F728" s="8" t="str">
        <x:v>ยังไม่ยืนยันการเปิดให้บริการปัจจุบัน</x:v>
      </x:c>
      <x:c r="G728" s="8" t="n">
        <x:v>11</x:v>
      </x:c>
      <x:c r="H728" s="8" t="str">
        <x:v>https://www.youtube.com/watch?v=1WhIT025xx0</x:v>
      </x:c>
      <x:c r="I728" s="8" t="str"/>
      <x:c r="J728" s="8" t="str"/>
      <x:c r="K728" s="8" t="str"/>
      <x:c r="L728" s="8" t="str">
        <x:v>https://saiyok.go.th/public/</x:v>
      </x:c>
      <x:c r="M728" s="8" t="str">
        <x:v>https://news.dnp.go.th/news/25146</x:v>
      </x:c>
      <x:c r="N728" s="8" t="str">
        <x:v>ยังไม่ยืนยัน</x:v>
      </x:c>
      <x:c r="O728" s="8" t="str">
        <x:v>ตรวจการเปิด ตัวตนสาขา ช่องทางติดต่อ และเงื่อนไขบังคับตามประเภท</x:v>
      </x:c>
      <x:c r="P728" s="40" t="n">
        <x:v>46316</x:v>
      </x:c>
      <x:c r="Q728" s="59" t="str">
        <x:v>ยังไม่ตรวจ</x:v>
      </x:c>
      <x:c r="R728" s="59" t="str">
        <x:v>รอติดต่อ</x:v>
      </x:c>
    </x:row>
    <x:row r="729" ht="84" customHeight="1">
      <x:c r="A729" s="2" t="str">
        <x:v>R26-133</x:v>
      </x:c>
      <x:c r="B729" s="8" t="str">
        <x:v>พิพิธภัณฑ์ช่องเขาขาด</x:v>
      </x:c>
      <x:c r="C729" s="8" t="str">
        <x:v>กาญจนบุรี</x:v>
      </x:c>
      <x:c r="D729" s="8" t="str">
        <x:v>อยู่ในชุด 600 ตามเส้นทาง</x:v>
      </x:c>
      <x:c r="E729" s="8" t="str">
        <x:v>พบชื่อสัมพันธ์หลายเว็บไซต์ รอยืนยันสาขา</x:v>
      </x:c>
      <x:c r="F729" s="8" t="str">
        <x:v>ยังไม่ยืนยันการเปิดให้บริการปัจจุบัน</x:v>
      </x:c>
      <x:c r="G729" s="8" t="n">
        <x:v>8</x:v>
      </x:c>
      <x:c r="H729" s="8" t="str">
        <x:v>https://www.youtube.com/watch?v=oYv6IG8q174</x:v>
      </x:c>
      <x:c r="I729" s="8" t="str"/>
      <x:c r="J729" s="8" t="str">
        <x:v>https://sites.google.com/view/kanchanaburitourismwebsite/%E0%B8%AA%E0%B8%96%E0%B8%B2%E0%B8%99%E0%B8%97%E0%B8%97%E0%B8%AD%E0%B8%87%E0%B9%80%E0%B8%97%E0%B8%A2%E0%B8%A7%E0%B8%82%E0%B8%AD%E0%B8%87%E0%B8%88%E0%B8%87%E0%B8%AB%E0%B8%A7%E0%B8%94%E0%B8%81%E0%B8%B2%E0%B8%8D%E0%B8%88%E0%B8%99%E0%B8%9A%E0%B8%A3/%E0%B8%9E%E0%B8%9E%E0%B8%98%E0%B8%A0%E0%B8%93%E0%B8%91%E0%B8%8A%E0%B8%AD%E0%B8%87%E0%B9%80%E0%B8%82%E0%B8%B2%E0%B8%82%E0%B8%B2%E0%B8%94</x:v>
      </x:c>
      <x:c r="K729" s="8" t="str"/>
      <x:c r="L729" s="8" t="str">
        <x:v>https://www.hellfirepass.in.th/hell-fire-pass-memorial</x:v>
      </x:c>
      <x:c r="M729" s="8" t="str">
        <x:v>https://www.museumthailand.com/index.php/museum/chong-khaokhat-museum-the-hellfire-pass-memorial-museum</x:v>
      </x:c>
      <x:c r="N729" s="8" t="str">
        <x:v>ยังไม่ยืนยัน</x:v>
      </x:c>
      <x:c r="O729" s="8" t="str">
        <x:v>ตรวจการเปิด ตัวตนสาขา ช่องทางติดต่อ และเงื่อนไขบังคับตามประเภท</x:v>
      </x:c>
      <x:c r="P729" s="40" t="n">
        <x:v>46316</x:v>
      </x:c>
      <x:c r="Q729" s="59" t="str">
        <x:v>ยังไม่ตรวจ</x:v>
      </x:c>
      <x:c r="R729" s="59" t="str">
        <x:v>รอติดต่อ</x:v>
      </x:c>
    </x:row>
    <x:row r="730" ht="84" customHeight="1">
      <x:c r="A730" s="2" t="str">
        <x:v>R26-134</x:v>
      </x:c>
      <x:c r="B730" s="8" t="str">
        <x:v>พิพิธภัณฑ์ทางรถไฟไทย-พม่า</x:v>
      </x:c>
      <x:c r="C730" s="8" t="str">
        <x:v>กาญจนบุรี</x:v>
      </x:c>
      <x:c r="D730" s="8" t="str">
        <x:v>อยู่ในชุด 600 ตามเส้นทาง</x:v>
      </x:c>
      <x:c r="E730" s="8" t="str">
        <x:v>พบชื่อสัมพันธ์หลายเว็บไซต์ รอยืนยันสาขา</x:v>
      </x:c>
      <x:c r="F730" s="8" t="str">
        <x:v>ยังไม่ยืนยันการเปิดให้บริการปัจจุบัน</x:v>
      </x:c>
      <x:c r="G730" s="8" t="n">
        <x:v>12</x:v>
      </x:c>
      <x:c r="H730" s="8" t="str"/>
      <x:c r="I730" s="8" t="str"/>
      <x:c r="J730" s="8" t="str"/>
      <x:c r="K730" s="8" t="str"/>
      <x:c r="L730" s="8" t="str">
        <x:v>https://cbtthailand.dasta.or.th/webapp/relattraction/content/1757/</x:v>
      </x:c>
      <x:c r="M730" s="8" t="str">
        <x:v>https://elibrary.tsri.or.th/fullP/RDG5850034/RDG5850034V03/RDG5850034V03_full.pdf</x:v>
      </x:c>
      <x:c r="N730" s="8" t="str">
        <x:v>ยังไม่ยืนยัน</x:v>
      </x:c>
      <x:c r="O730" s="8" t="str">
        <x:v>ตรวจการเปิด ตัวตนสาขา ช่องทางติดต่อ และเงื่อนไขบังคับตามประเภท</x:v>
      </x:c>
      <x:c r="P730" s="40" t="n">
        <x:v>46316</x:v>
      </x:c>
      <x:c r="Q730" s="59" t="str">
        <x:v>ยังไม่ตรวจ</x:v>
      </x:c>
      <x:c r="R730" s="59" t="str">
        <x:v>รอติดต่อ</x:v>
      </x:c>
    </x:row>
    <x:row r="731" ht="84" customHeight="1">
      <x:c r="A731" s="2" t="str">
        <x:v>R26-137</x:v>
      </x:c>
      <x:c r="B731" s="8" t="str">
        <x:v>ชุมชนบ้านพุองกะ</x:v>
      </x:c>
      <x:c r="C731" s="8" t="str">
        <x:v>กาญจนบุรี</x:v>
      </x:c>
      <x:c r="D731" s="8" t="str">
        <x:v>อยู่ในชุด 600 ตามเส้นทาง</x:v>
      </x:c>
      <x:c r="E731" s="8" t="str">
        <x:v>พบชื่อสัมพันธ์หลายเว็บไซต์ รอยืนยันสาขา</x:v>
      </x:c>
      <x:c r="F731" s="8" t="str">
        <x:v>ยังไม่ยืนยันการเปิดให้บริการปัจจุบัน</x:v>
      </x:c>
      <x:c r="G731" s="8" t="n">
        <x:v>6</x:v>
      </x:c>
      <x:c r="H731" s="8" t="str">
        <x:v>https://www.youtube.com/watch?v=rD0IoOfndxA</x:v>
      </x:c>
      <x:c r="I731" s="8" t="str"/>
      <x:c r="J731" s="8" t="str"/>
      <x:c r="K731" s="8" t="str"/>
      <x:c r="L731" s="8" t="str">
        <x:v>https://wikicommunity.sac.or.th/community/819</x:v>
      </x:c>
      <x:c r="M731" s="8" t="str">
        <x:v>https://www.thailandtourismdirectory.go.th/attraction/101271</x:v>
      </x:c>
      <x:c r="N731" s="8" t="str">
        <x:v>ยังไม่ยืนยัน</x:v>
      </x:c>
      <x:c r="O731" s="8" t="str">
        <x:v>ตรวจการเปิด ตัวตนสาขา ช่องทางติดต่อ และเงื่อนไขบังคับตามประเภท</x:v>
      </x:c>
      <x:c r="P731" s="40" t="n">
        <x:v>46316</x:v>
      </x:c>
      <x:c r="Q731" s="59" t="str">
        <x:v>ยังไม่ตรวจ</x:v>
      </x:c>
      <x:c r="R731" s="59" t="str">
        <x:v>รอติดต่อ</x:v>
      </x:c>
    </x:row>
    <x:row r="732" ht="84" customHeight="1">
      <x:c r="A732" s="2" t="str">
        <x:v>R26-136</x:v>
      </x:c>
      <x:c r="B732" s="8" t="str">
        <x:v>ชุมชนบ้านสามัคคีธรรม กาญจนบุรี</x:v>
      </x:c>
      <x:c r="C732" s="8" t="str">
        <x:v>กาญจนบุรี</x:v>
      </x:c>
      <x:c r="D732" s="8" t="str">
        <x:v>อยู่ในชุด 600 ตามเส้นทาง</x:v>
      </x:c>
      <x:c r="E732" s="8" t="str">
        <x:v>พบชื่อสัมพันธ์หลายเว็บไซต์ รอยืนยันสาขา</x:v>
      </x:c>
      <x:c r="F732" s="8" t="str">
        <x:v>ยังไม่ยืนยันการเปิดให้บริการปัจจุบัน</x:v>
      </x:c>
      <x:c r="G732" s="8" t="n">
        <x:v>4</x:v>
      </x:c>
      <x:c r="H732" s="8" t="str">
        <x:v>https://www.youtube.com/watch?v=PoucpLIrGZQ</x:v>
      </x:c>
      <x:c r="I732" s="8" t="str"/>
      <x:c r="J732" s="8" t="str"/>
      <x:c r="K732" s="8" t="str"/>
      <x:c r="L732" s="8" t="str">
        <x:v>https://www.tripniceday.com/place/%E0%B8%9A%E0%B9%89%E0%B8%B2%E0%B8%99%E0%B8%AA%E0%B8%B2%E0%B8%A1%E0%B8%B1%E0%B8%84%E0%B8%84%E0%B8%B5%E0%B8%98%E0%B8%A3%E0%B8%A3%E0%B8%A1-%E0%B8%88%E0%B8%B1%E0%B8%87%E0%B8%AB%E0%B8%A7%E0%B8%B1%E0%B8%94%E0%B8%81%E0%B8%B2%E0%B8%8D%E0%B8%88%E0%B8%99%E0%B8%9A%E0%B8%B8%E0%B8%A3%E0%B8%B5</x:v>
      </x:c>
      <x:c r="M732" s="8" t="str">
        <x:v>https://th.readme.me/p/32522</x:v>
      </x:c>
      <x:c r="N732" s="8" t="str">
        <x:v>ยังไม่ยืนยัน</x:v>
      </x:c>
      <x:c r="O732" s="8" t="str">
        <x:v>ตรวจการเปิด ตัวตนสาขา ช่องทางติดต่อ และเงื่อนไขบังคับตามประเภท</x:v>
      </x:c>
      <x:c r="P732" s="40" t="n">
        <x:v>46316</x:v>
      </x:c>
      <x:c r="Q732" s="59" t="str">
        <x:v>ยังไม่ตรวจ</x:v>
      </x:c>
      <x:c r="R732" s="59" t="str">
        <x:v>รอติดต่อ</x:v>
      </x:c>
    </x:row>
    <x:row r="733" ht="84" customHeight="1">
      <x:c r="A733" s="2" t="str">
        <x:v>R26-135</x:v>
      </x:c>
      <x:c r="B733" s="8" t="str">
        <x:v>ชุมชนบ้านหนองขาว</x:v>
      </x:c>
      <x:c r="C733" s="8" t="str">
        <x:v>กาญจนบุรี</x:v>
      </x:c>
      <x:c r="D733" s="8" t="str">
        <x:v>อยู่ในชุด 600 ตามเส้นทาง</x:v>
      </x:c>
      <x:c r="E733" s="8" t="str">
        <x:v>พบชื่อสัมพันธ์หลายเว็บไซต์ รอยืนยันสาขา</x:v>
      </x:c>
      <x:c r="F733" s="8" t="str">
        <x:v>ยังไม่ยืนยันการเปิดให้บริการปัจจุบัน</x:v>
      </x:c>
      <x:c r="G733" s="8" t="n">
        <x:v>5</x:v>
      </x:c>
      <x:c r="H733" s="8" t="str">
        <x:v>https://www.youtube.com/watch?v=P2HWRN2a1N8</x:v>
      </x:c>
      <x:c r="I733" s="8" t="str"/>
      <x:c r="J733" s="8" t="str"/>
      <x:c r="K733" s="8" t="str"/>
      <x:c r="L733" s="8" t="str">
        <x:v>https://wikicommunity.sac.or.th/community/855</x:v>
      </x:c>
      <x:c r="M733" s="8" t="str">
        <x:v>https://thamuang.cdd.go.th/th/content/page/index/id/338152</x:v>
      </x:c>
      <x:c r="N733" s="8" t="str">
        <x:v>ยังไม่ยืนยัน</x:v>
      </x:c>
      <x:c r="O733" s="8" t="str">
        <x:v>ตรวจการเปิด ตัวตนสาขา ช่องทางติดต่อ และเงื่อนไขบังคับตามประเภท</x:v>
      </x:c>
      <x:c r="P733" s="40" t="n">
        <x:v>46316</x:v>
      </x:c>
      <x:c r="Q733" s="59" t="str">
        <x:v>ยังไม่ตรวจ</x:v>
      </x:c>
      <x:c r="R733" s="59" t="str">
        <x:v>รอติดต่อ</x:v>
      </x:c>
    </x:row>
    <x:row r="734" ht="84" customHeight="1">
      <x:c r="A734" s="2" t="str">
        <x:v>R26-302</x:v>
      </x:c>
      <x:c r="B734" s="8" t="str">
        <x:v>ElephantsWorld</x:v>
      </x:c>
      <x:c r="C734" s="8" t="str">
        <x:v>กาญจนบุรี</x:v>
      </x:c>
      <x:c r="D734" s="8" t="str">
        <x:v>อยู่ในชุด 600 ตามเส้นทาง</x:v>
      </x:c>
      <x:c r="E734" s="8" t="str">
        <x:v>พบชื่อสัมพันธ์หลายเว็บไซต์ รอยืนยันสาขา</x:v>
      </x:c>
      <x:c r="F734" s="8" t="str">
        <x:v>ยังไม่ยืนยันการเปิดให้บริการปัจจุบัน</x:v>
      </x:c>
      <x:c r="G734" s="8" t="n">
        <x:v>11</x:v>
      </x:c>
      <x:c r="H734" s="8" t="str">
        <x:v>https://www.instagram.com/elephantsworld_official?igsh=MWVyYzlia3c1OXh1MA==</x:v>
      </x:c>
      <x:c r="I734" s="8" t="str">
        <x:v>https://www.instagram.com/p/DV-P5EtD5eU/</x:v>
      </x:c>
      <x:c r="J734" s="8" t="str">
        <x:v>https://www.wongnai.com/attractions/435473Ie-elephants-world</x:v>
      </x:c>
      <x:c r="K734" s="8" t="str">
        <x:v>https://th.tripadvisor.com/Attraction_Review-g297924-d1892148-Reviews-Elephants_World-Kanchanaburi_Kanchanaburi_Province.html</x:v>
      </x:c>
      <x:c r="L734" s="8" t="str">
        <x:v>https://www.elephantsworld.org/</x:v>
      </x:c>
      <x:c r="M734" s="8" t="str">
        <x:v>https://www.talontiew.com/elephantsworld/</x:v>
      </x:c>
      <x:c r="N734" s="8" t="str">
        <x:v>ยังไม่ยืนยัน</x:v>
      </x:c>
      <x:c r="O734" s="8" t="str">
        <x:v>ตรวจการเปิด ตัวตนสาขา ช่องทางติดต่อ และเงื่อนไขบังคับตามประเภท</x:v>
      </x:c>
      <x:c r="P734" s="40" t="n">
        <x:v>46316</x:v>
      </x:c>
      <x:c r="Q734" s="59" t="str">
        <x:v>ยังไม่ตรวจ</x:v>
      </x:c>
      <x:c r="R734" s="59" t="str">
        <x:v>รอติดต่อ</x:v>
      </x:c>
    </x:row>
    <x:row r="735" ht="84" customHeight="1">
      <x:c r="A735" s="2" t="str">
        <x:v>R26-054</x:v>
      </x:c>
      <x:c r="B735" s="8" t="str">
        <x:v>ย่านเมืองเก่าราชบุรี</x:v>
      </x:c>
      <x:c r="C735" s="8" t="str">
        <x:v>ราชบุรี</x:v>
      </x:c>
      <x:c r="D735" s="8" t="str">
        <x:v>อยู่ในชุด 600 ตามเส้นทาง</x:v>
      </x:c>
      <x:c r="E735" s="8" t="str">
        <x:v>พบชื่อสัมพันธ์หลายเว็บไซต์ รอยืนยันสาขา</x:v>
      </x:c>
      <x:c r="F735" s="8" t="str">
        <x:v>ยังไม่ยืนยันการเปิดให้บริการปัจจุบัน</x:v>
      </x:c>
      <x:c r="G735" s="8" t="n">
        <x:v>3</x:v>
      </x:c>
      <x:c r="H735" s="8" t="str"/>
      <x:c r="I735" s="8" t="str"/>
      <x:c r="J735" s="8" t="str"/>
      <x:c r="K735" s="8" t="str"/>
      <x:c r="L735" s="8" t="str">
        <x:v>https://nced.onep.go.th/opendata/2568/oldtown36_announce/ratburi.pdf</x:v>
      </x:c>
      <x:c r="M735" s="8" t="str">
        <x:v>https://wikicommunity.sac.or.th/community/2453</x:v>
      </x:c>
      <x:c r="N735" s="8" t="str">
        <x:v>ยังไม่ยืนยัน</x:v>
      </x:c>
      <x:c r="O735" s="8" t="str">
        <x:v>ตรวจการเปิด ตัวตนสาขา ช่องทางติดต่อ และเงื่อนไขบังคับตามประเภท</x:v>
      </x:c>
      <x:c r="P735" s="40" t="n">
        <x:v>46316</x:v>
      </x:c>
      <x:c r="Q735" s="59" t="str">
        <x:v>ยังไม่ตรวจ</x:v>
      </x:c>
      <x:c r="R735" s="59" t="str">
        <x:v>รอติดต่อ</x:v>
      </x:c>
    </x:row>
    <x:row r="736" ht="84" customHeight="1">
      <x:c r="A736" s="2" t="str">
        <x:v>R26-051</x:v>
      </x:c>
      <x:c r="B736" s="8" t="str">
        <x:v>เถ้าฮงไถ่</x:v>
      </x:c>
      <x:c r="C736" s="8" t="str">
        <x:v>ราชบุรี</x:v>
      </x:c>
      <x:c r="D736" s="8" t="str">
        <x:v>อยู่ในชุด 600 ตามเส้นทาง</x:v>
      </x:c>
      <x:c r="E736" s="8" t="str">
        <x:v>พบชื่อสัมพันธ์หลายเว็บไซต์ รอยืนยันสาขา</x:v>
      </x:c>
      <x:c r="F736" s="8" t="str">
        <x:v>ยังไม่ยืนยันการเปิดให้บริการปัจจุบัน</x:v>
      </x:c>
      <x:c r="G736" s="8" t="n">
        <x:v>16</x:v>
      </x:c>
      <x:c r="H736" s="8" t="str">
        <x:v>https://www.youtube.com/watch?v=69U01w6QwU8</x:v>
      </x:c>
      <x:c r="I736" s="8" t="str"/>
      <x:c r="J736" s="8" t="str">
        <x:v>https://www.wongnai.com/restaurants/462464lW</x:v>
      </x:c>
      <x:c r="K736" s="8" t="str"/>
      <x:c r="L736" s="8" t="str">
        <x:v>https://www.thailandtourismdirectory.go.th/th/attraction/22285</x:v>
      </x:c>
      <x:c r="M736" s="8" t="str">
        <x:v>https://thai.tourismthailand.org/Attraction/%E0%B9%80%E0%B8%96%E0%B9%89%E0%B8%B2%E0%B8%AE%E0%B8%87%E0%B9%84%E0%B8%96%E0%B9%88</x:v>
      </x:c>
      <x:c r="N736" s="8" t="str">
        <x:v>ยังไม่ยืนยัน</x:v>
      </x:c>
      <x:c r="O736" s="8" t="str">
        <x:v>ตรวจการเปิด ตัวตนสาขา ช่องทางติดต่อ และเงื่อนไขบังคับตามประเภท</x:v>
      </x:c>
      <x:c r="P736" s="40" t="n">
        <x:v>46316</x:v>
      </x:c>
      <x:c r="Q736" s="59" t="str">
        <x:v>ยังไม่ตรวจ</x:v>
      </x:c>
      <x:c r="R736" s="59" t="str">
        <x:v>รอติดต่อ</x:v>
      </x:c>
    </x:row>
    <x:row r="737" ht="84" customHeight="1">
      <x:c r="A737" s="2" t="str">
        <x:v>R26-053</x:v>
      </x:c>
      <x:c r="B737" s="8" t="str">
        <x:v>เรื่องของโอ่ง Pottery Legend</x:v>
      </x:c>
      <x:c r="C737" s="8" t="str">
        <x:v>ราชบุรี</x:v>
      </x:c>
      <x:c r="D737" s="8" t="str">
        <x:v>อยู่ในชุด 600 ตามเส้นทาง</x:v>
      </x:c>
      <x:c r="E737" s="8" t="str">
        <x:v>พบชื่อสัมพันธ์หลายเว็บไซต์ รอยืนยันสาขา</x:v>
      </x:c>
      <x:c r="F737" s="8" t="str">
        <x:v>ยังไม่ยืนยันการเปิดให้บริการปัจจุบัน</x:v>
      </x:c>
      <x:c r="G737" s="8" t="n">
        <x:v>9</x:v>
      </x:c>
      <x:c r="H737" s="8" t="str">
        <x:v>https://www.youtube.com/watch?v=92J2dykJg9A</x:v>
      </x:c>
      <x:c r="I737" s="8" t="str"/>
      <x:c r="J737" s="8" t="str">
        <x:v>https://www.wongnai.com/reviews/e714197ff0424399be126a27b86e6e50</x:v>
      </x:c>
      <x:c r="K737" s="8" t="str"/>
      <x:c r="L737" s="8" t="str">
        <x:v>https://activy.co/th/a/a0926</x:v>
      </x:c>
      <x:c r="M737" s="8" t="str">
        <x:v>https://www.nairobroo.com/travel/mueang-aong/</x:v>
      </x:c>
      <x:c r="N737" s="8" t="str">
        <x:v>ยังไม่ยืนยัน</x:v>
      </x:c>
      <x:c r="O737" s="8" t="str">
        <x:v>ตรวจการเปิด ตัวตนสาขา ช่องทางติดต่อ และเงื่อนไขบังคับตามประเภท</x:v>
      </x:c>
      <x:c r="P737" s="40" t="n">
        <x:v>46316</x:v>
      </x:c>
      <x:c r="Q737" s="59" t="str">
        <x:v>ยังไม่ตรวจ</x:v>
      </x:c>
      <x:c r="R737" s="59" t="str">
        <x:v>รอติดต่อ</x:v>
      </x:c>
    </x:row>
    <x:row r="738" ht="84" customHeight="1">
      <x:c r="A738" s="2" t="str">
        <x:v>R26-376</x:v>
      </x:c>
      <x:c r="B738" s="8" t="str">
        <x:v>Inlaya Ratchaburi</x:v>
      </x:c>
      <x:c r="C738" s="8" t="str">
        <x:v>ราชบุรี</x:v>
      </x:c>
      <x:c r="D738" s="8" t="str">
        <x:v>อยู่ในชุด 600 ตามเส้นทาง</x:v>
      </x:c>
      <x:c r="E738" s="8" t="str">
        <x:v>พบชื่อสัมพันธ์หลายเว็บไซต์ รอยืนยันสาขา</x:v>
      </x:c>
      <x:c r="F738" s="8" t="str">
        <x:v>ยังไม่ยืนยันการเปิดให้บริการปัจจุบัน</x:v>
      </x:c>
      <x:c r="G738" s="8" t="n">
        <x:v>4</x:v>
      </x:c>
      <x:c r="H738" s="8" t="str">
        <x:v>https://lin.ee/Zqq4zX95</x:v>
      </x:c>
      <x:c r="I738" s="8" t="str">
        <x:v>https://www.facebook.com/inlayaratchaburi</x:v>
      </x:c>
      <x:c r="J738" s="8" t="str">
        <x:v>https://www.booking.com/hotel/th/inlaya-ratchaburi.html</x:v>
      </x:c>
      <x:c r="K738" s="8" t="str"/>
      <x:c r="L738" s="8" t="str">
        <x:v>https://www.inlayaratchaburi.com/</x:v>
      </x:c>
      <x:c r="M738" s="8" t="str">
        <x:v>https://en.wikipedia.org/wiki/Ratchaburi</x:v>
      </x:c>
      <x:c r="N738" s="8" t="str">
        <x:v>ยังไม่ยืนยัน</x:v>
      </x:c>
      <x:c r="O738" s="8" t="str">
        <x:v>ตรวจการเปิด ตัวตนสาขา ช่องทางติดต่อ และเงื่อนไขบังคับตามประเภท</x:v>
      </x:c>
      <x:c r="P738" s="40" t="n">
        <x:v>46316</x:v>
      </x:c>
      <x:c r="Q738" s="59" t="str">
        <x:v>ยังไม่ตรวจ</x:v>
      </x:c>
      <x:c r="R738" s="59" t="str">
        <x:v>รอติดต่อ</x:v>
      </x:c>
    </x:row>
    <x:row r="739" ht="84" customHeight="1">
      <x:c r="A739" s="2" t="str">
        <x:v>R26-375</x:v>
      </x:c>
      <x:c r="B739" s="8" t="str">
        <x:v>Le Lert Hotel Ratchaburi</x:v>
      </x:c>
      <x:c r="C739" s="8" t="str">
        <x:v>ราชบุรี</x:v>
      </x:c>
      <x:c r="D739" s="8" t="str">
        <x:v>อยู่ในชุด 600 ตามเส้นทาง</x:v>
      </x:c>
      <x:c r="E739" s="8" t="str">
        <x:v>พบชื่อสัมพันธ์หลายเว็บไซต์ รอยืนยันสาขา</x:v>
      </x:c>
      <x:c r="F739" s="8" t="str">
        <x:v>ยังไม่ยืนยันการเปิดให้บริการปัจจุบัน</x:v>
      </x:c>
      <x:c r="G739" s="8" t="n">
        <x:v>3</x:v>
      </x:c>
      <x:c r="H739" s="8" t="str"/>
      <x:c r="I739" s="8" t="str"/>
      <x:c r="J739" s="8" t="str">
        <x:v>https://www.booking.com/hotel/th/le-lert-ratchaburi.html</x:v>
      </x:c>
      <x:c r="K739" s="8" t="str">
        <x:v>https://www.google.co.th/travel/hotels/entity/ChoIzOjfgLaQwMedARoNL2cvMTFqMnc4dmZ3OBAB?ap=MABIAZoBAA&amp;g2lb=4181926%2C4208993%2C4209587%2C4207631%2C4215917&amp;gl=jp&amp;hl=en&amp;rp=OAHCAhwiGg0A0FpFEhMIzNfYxL3MjQMV7hiHAx2figjW&amp;tcfs=EjUKCS9tLzA4cnRibhIOU3VraHVtdml0IFJvYWQaGAoKMjAxOC0xMi0xMxIKMjAxOC0xMi0xNCIYCgoyMDE4LTEyLTEzEgoyMDE4LTEyLTE0UgA&amp;ts=CAEaBAoCGgAqBAoAGgA&amp;un=0</x:v>
      </x:c>
      <x:c r="L739" s="8" t="str">
        <x:v>https://th.hotels.com/ho2800903840/le-lert-hotel-ratchaburi-rachburi-thiy/?equalTargetTab=tab-0</x:v>
      </x:c>
      <x:c r="M739" s="8" t="str">
        <x:v>https://th.hotels.com/ho2800903840/le-lert-hotel-ratchaburi-rachburi-thiy/?equalTargetTab=tab-0</x:v>
      </x:c>
      <x:c r="N739" s="8" t="str">
        <x:v>ยังไม่ยืนยัน</x:v>
      </x:c>
      <x:c r="O739" s="8" t="str">
        <x:v>ตรวจการเปิด ตัวตนสาขา ช่องทางติดต่อ และเงื่อนไขบังคับตามประเภท</x:v>
      </x:c>
      <x:c r="P739" s="40" t="n">
        <x:v>46316</x:v>
      </x:c>
      <x:c r="Q739" s="59" t="str">
        <x:v>ยังไม่ตรวจ</x:v>
      </x:c>
      <x:c r="R739" s="59" t="str">
        <x:v>รอติดต่อ</x:v>
      </x:c>
    </x:row>
    <x:row r="740" ht="84" customHeight="1">
      <x:c r="A740" s="2" t="str">
        <x:v>R26-374</x:v>
      </x:c>
      <x:c r="B740" s="8" t="str">
        <x:v>Rachabhura Hotel</x:v>
      </x:c>
      <x:c r="C740" s="8" t="str">
        <x:v>ราชบุรี</x:v>
      </x:c>
      <x:c r="D740" s="8" t="str">
        <x:v>อยู่ในชุด 600 ตามเส้นทาง</x:v>
      </x:c>
      <x:c r="E740" s="8" t="str">
        <x:v>พบชื่อสัมพันธ์หลายเว็บไซต์ รอยืนยันสาขา</x:v>
      </x:c>
      <x:c r="F740" s="8" t="str">
        <x:v>ยังไม่ยืนยันการเปิดให้บริการปัจจุบัน</x:v>
      </x:c>
      <x:c r="G740" s="8" t="n">
        <x:v>7</x:v>
      </x:c>
      <x:c r="H740" s="8" t="str">
        <x:v>https://www.youtube.com/watch?v=1W25rn_KB6s</x:v>
      </x:c>
      <x:c r="I740" s="8" t="str">
        <x:v>https://www.facebook.com/rachabhurahotel/</x:v>
      </x:c>
      <x:c r="J740" s="8" t="str">
        <x:v>https://www.booking.com/hotel/th/rachabhura.html</x:v>
      </x:c>
      <x:c r="K740" s="8" t="str">
        <x:v>https://www.google.com/travel/hotels/entity/CgoInuKJhJuxtpluEAE?gsas=1</x:v>
      </x:c>
      <x:c r="L740" s="8" t="str">
        <x:v>https://rachabhurahotel.com/en/</x:v>
      </x:c>
      <x:c r="M740" s="8" t="str">
        <x:v>https://ratchaburipao.go.th/travel-single.php?slug=rajabura</x:v>
      </x:c>
      <x:c r="N740" s="8" t="str">
        <x:v>ยังไม่ยืนยัน</x:v>
      </x:c>
      <x:c r="O740" s="8" t="str">
        <x:v>ตรวจการเปิด ตัวตนสาขา ช่องทางติดต่อ และเงื่อนไขบังคับตามประเภท</x:v>
      </x:c>
      <x:c r="P740" s="40" t="n">
        <x:v>46316</x:v>
      </x:c>
      <x:c r="Q740" s="59" t="str">
        <x:v>ยังไม่ตรวจ</x:v>
      </x:c>
      <x:c r="R740" s="59" t="str">
        <x:v>รอติดต่อ</x:v>
      </x:c>
    </x:row>
    <x:row r="741" ht="84" customHeight="1">
      <x:c r="A741" s="2" t="str">
        <x:v>R26-281</x:v>
      </x:c>
      <x:c r="B741" s="8" t="str">
        <x:v>ธารน้ำร้อนบ่อคลึง</x:v>
      </x:c>
      <x:c r="C741" s="8" t="str">
        <x:v>ราชบุรี</x:v>
      </x:c>
      <x:c r="D741" s="8" t="str">
        <x:v>อยู่ในชุด 600 ตามเส้นทาง</x:v>
      </x:c>
      <x:c r="E741" s="8" t="str">
        <x:v>พบชื่อสัมพันธ์หลายเว็บไซต์ รอยืนยันสาขา</x:v>
      </x:c>
      <x:c r="F741" s="8" t="str">
        <x:v>ยังไม่ยืนยันการเปิดให้บริการปัจจุบัน</x:v>
      </x:c>
      <x:c r="G741" s="8" t="n">
        <x:v>14</x:v>
      </x:c>
      <x:c r="H741" s="8" t="str">
        <x:v>https://www.youtube.com/watch?v=LS-Jk-XQZ2g</x:v>
      </x:c>
      <x:c r="I741" s="8" t="str"/>
      <x:c r="J741" s="8" t="str">
        <x:v>https://www.wongnai.com/reviews/f063518450f8422aa33f65d75fedb57c</x:v>
      </x:c>
      <x:c r="K741" s="8" t="str">
        <x:v>https://sites.google.com/view/spwit27/%E0%B8%AA%E0%B8%96%E0%B8%B2%E0%B8%99%E0%B8%97%E0%B8%97%E0%B8%AD%E0%B8%87%E0%B9%80%E0%B8%97%E0%B8%A2%E0%B8%A7/%E0%B8%98%E0%B8%B2%E0%B8%A3%E0%B8%99%E0%B8%B3%E0%B8%A3%E0%B8%AD%E0%B8%99%E0%B8%9A%E0%B8%AD%E0%B8%84%E0%B8%A5%E0%B8%87</x:v>
      </x:c>
      <x:c r="L741" s="8" t="str">
        <x:v>https://www.thailandtourismdirectory.go.th/th/attraction/1517</x:v>
      </x:c>
      <x:c r="M741" s="8" t="str">
        <x:v>https://thai.tourismthailand.org/Attraction/%E0%B8%98%E0%B8%B2%E0%B8%A3%E0%B8%99%E0%B9%89%E0%B8%B3%E0%B8%A3%E0%B9%89%E0%B8%AD%E0%B8%99%E0%B8%9A%E0%B9%88%E0%B8%AD%E0%B8%84%E0%B8%A5%E0%B8%B6%E0%B8%87</x:v>
      </x:c>
      <x:c r="N741" s="8" t="str">
        <x:v>ยังไม่ยืนยัน</x:v>
      </x:c>
      <x:c r="O741" s="8" t="str">
        <x:v>ตรวจการเปิด ตัวตนสาขา ช่องทางติดต่อ และเงื่อนไขบังคับตามประเภท</x:v>
      </x:c>
      <x:c r="P741" s="40" t="n">
        <x:v>46316</x:v>
      </x:c>
      <x:c r="Q741" s="59" t="str">
        <x:v>ยังไม่ตรวจ</x:v>
      </x:c>
      <x:c r="R741" s="59" t="str">
        <x:v>รอติดต่อ</x:v>
      </x:c>
    </x:row>
    <x:row r="742" ht="84" customHeight="1">
      <x:c r="A742" s="2" t="str">
        <x:v>R26-263</x:v>
      </x:c>
      <x:c r="B742" s="8" t="str">
        <x:v>Robinson Lifestyle Ratchaburi</x:v>
      </x:c>
      <x:c r="C742" s="8" t="str">
        <x:v>ราชบุรี</x:v>
      </x:c>
      <x:c r="D742" s="8" t="str">
        <x:v>อยู่ในชุด 600 ตามเส้นทาง</x:v>
      </x:c>
      <x:c r="E742" s="8" t="str">
        <x:v>พบชื่อสัมพันธ์หลายเว็บไซต์ รอยืนยันสาขา</x:v>
      </x:c>
      <x:c r="F742" s="8" t="str">
        <x:v>ยังไม่ยืนยันการเปิดให้บริการปัจจุบัน</x:v>
      </x:c>
      <x:c r="G742" s="8" t="n">
        <x:v>8</x:v>
      </x:c>
      <x:c r="H742" s="8" t="str"/>
      <x:c r="I742" s="8" t="str"/>
      <x:c r="J742" s="8" t="str">
        <x:v>https://www.wongnai.com/restaurants/2030823PE-%E0%B8%88%E0%B9%88%E0%B8%B2%E0%B8%99%E0%B8%B5-%E0%B9%81%E0%B8%AB%E0%B8%99%E0%B8%A1%E0%B9%80%E0%B8%99%E0%B8%B7%E0%B8%AD%E0%B8%87-%E0%B9%82%E0%B8%A3%E0%B8%9A%E0%B8%B4%E0%B8%99%E0%B8%AA%E0%B8%B1%E0%B8%99%E0%B8%A3%E0%B8%B2%E0%B8%8A%E0%B8%9A%E0%B8%B8%E0%B8%A3%E0%B8%B5-robinson-lifestyle-ratchaburi</x:v>
      </x:c>
      <x:c r="K742" s="8" t="str"/>
      <x:c r="L742" s="8" t="str">
        <x:v>https://en.wikipedia.org/wiki/Robinson_Lifestyle</x:v>
      </x:c>
      <x:c r="M742" s="8" t="str">
        <x:v>https://amazingthailand.com/robinson-lifestyle-ratchaburi</x:v>
      </x:c>
      <x:c r="N742" s="8" t="str">
        <x:v>ยังไม่ยืนยัน</x:v>
      </x:c>
      <x:c r="O742" s="8" t="str">
        <x:v>ตรวจการเปิด ตัวตนสาขา ช่องทางติดต่อ และเงื่อนไขบังคับตามประเภท</x:v>
      </x:c>
      <x:c r="P742" s="40" t="n">
        <x:v>46316</x:v>
      </x:c>
      <x:c r="Q742" s="59" t="str">
        <x:v>ยังไม่ตรวจ</x:v>
      </x:c>
      <x:c r="R742" s="59" t="str">
        <x:v>รอติดต่อ</x:v>
      </x:c>
    </x:row>
    <x:row r="743" ht="84" customHeight="1">
      <x:c r="A743" s="2" t="str">
        <x:v>R26-139</x:v>
      </x:c>
      <x:c r="B743" s="8" t="str">
        <x:v>ถ้ำเขาบิน</x:v>
      </x:c>
      <x:c r="C743" s="8" t="str">
        <x:v>ราชบุรี</x:v>
      </x:c>
      <x:c r="D743" s="8" t="str">
        <x:v>อยู่ในชุด 600 ตามเส้นทาง</x:v>
      </x:c>
      <x:c r="E743" s="8" t="str">
        <x:v>พบชื่อสัมพันธ์หลายเว็บไซต์ รอยืนยันสาขา</x:v>
      </x:c>
      <x:c r="F743" s="8" t="str">
        <x:v>ยังไม่ยืนยันการเปิดให้บริการปัจจุบัน</x:v>
      </x:c>
      <x:c r="G743" s="8" t="n">
        <x:v>17</x:v>
      </x:c>
      <x:c r="H743" s="8" t="str">
        <x:v>https://www.youtube.com/watch?v=JMr9vHwUqIU</x:v>
      </x:c>
      <x:c r="I743" s="8" t="str"/>
      <x:c r="J743" s="8" t="str">
        <x:v>https://www.wongnai.com/attractions/324444bV-%E0%B8%96%E0%B9%89%E0%B8%B3%E0%B9%80%E0%B8%82%E0%B8%B2%E0%B8%9A%E0%B8%B4%E0%B8%99</x:v>
      </x:c>
      <x:c r="K743" s="8" t="str"/>
      <x:c r="L743" s="8" t="str">
        <x:v>https://www.thailandtourismdirectory.go.th/th/attraction/1507</x:v>
      </x:c>
      <x:c r="M743" s="8" t="str">
        <x:v>https://cbtthailand.dasta.or.th/webapp/relattraction/content/1205/</x:v>
      </x:c>
      <x:c r="N743" s="8" t="str">
        <x:v>ยังไม่ยืนยัน</x:v>
      </x:c>
      <x:c r="O743" s="8" t="str">
        <x:v>ตรวจการเปิด ตัวตนสาขา ช่องทางติดต่อ และเงื่อนไขบังคับตามประเภท</x:v>
      </x:c>
      <x:c r="P743" s="40" t="n">
        <x:v>46316</x:v>
      </x:c>
      <x:c r="Q743" s="59" t="str">
        <x:v>ยังไม่ตรวจ</x:v>
      </x:c>
      <x:c r="R743" s="59" t="str">
        <x:v>รอติดต่อ</x:v>
      </x:c>
    </x:row>
    <x:row r="744" ht="84" customHeight="1">
      <x:c r="A744" s="2" t="str">
        <x:v>R26-140</x:v>
      </x:c>
      <x:c r="B744" s="8" t="str">
        <x:v>น้ำตกเก้าโจน</x:v>
      </x:c>
      <x:c r="C744" s="8" t="str">
        <x:v>ราชบุรี</x:v>
      </x:c>
      <x:c r="D744" s="8" t="str">
        <x:v>อยู่ในชุด 600 ตามเส้นทาง</x:v>
      </x:c>
      <x:c r="E744" s="8" t="str">
        <x:v>พบชื่อสัมพันธ์หลายเว็บไซต์ รอยืนยันสาขา</x:v>
      </x:c>
      <x:c r="F744" s="8" t="str">
        <x:v>ยังไม่ยืนยันการเปิดให้บริการปัจจุบัน</x:v>
      </x:c>
      <x:c r="G744" s="8" t="n">
        <x:v>14</x:v>
      </x:c>
      <x:c r="H744" s="8" t="str">
        <x:v>https://www.youtube.com/watch?v=rD0vQjC1CY8</x:v>
      </x:c>
      <x:c r="I744" s="8" t="str"/>
      <x:c r="J744" s="8" t="str">
        <x:v>https://www.wongnai.com/reviews/41ffccdce36e4f198f3e9cbb82dde06f</x:v>
      </x:c>
      <x:c r="K744" s="8" t="str"/>
      <x:c r="L744" s="8" t="str">
        <x:v>https://api.tat.or.th/upload/live/multimedia/8979/E-Brochure_Ratchaburi_%28Th%29.pdf</x:v>
      </x:c>
      <x:c r="M744" s="8" t="str">
        <x:v>https://www.thai-tour.com/place/ratchaburi/suanphueng/1865</x:v>
      </x:c>
      <x:c r="N744" s="8" t="str">
        <x:v>ยังไม่ยืนยัน</x:v>
      </x:c>
      <x:c r="O744" s="8" t="str">
        <x:v>ตรวจการเปิด ตัวตนสาขา ช่องทางติดต่อ และเงื่อนไขบังคับตามประเภท</x:v>
      </x:c>
      <x:c r="P744" s="40" t="n">
        <x:v>46316</x:v>
      </x:c>
      <x:c r="Q744" s="59" t="str">
        <x:v>ยังไม่ตรวจ</x:v>
      </x:c>
      <x:c r="R744" s="59" t="str">
        <x:v>รอติดต่อ</x:v>
      </x:c>
    </x:row>
    <x:row r="745" ht="84" customHeight="1">
      <x:c r="A745" s="2" t="str">
        <x:v>R26-141</x:v>
      </x:c>
      <x:c r="B745" s="8" t="str">
        <x:v>สวนพฤกษศาสตร์วรรณคดีภาคกลาง ราชบุรี</x:v>
      </x:c>
      <x:c r="C745" s="8" t="str">
        <x:v>ราชบุรี</x:v>
      </x:c>
      <x:c r="D745" s="8" t="str">
        <x:v>อยู่ในชุด 600 ตามเส้นทาง</x:v>
      </x:c>
      <x:c r="E745" s="8" t="str">
        <x:v>พบชื่อสัมพันธ์หลายเว็บไซต์ รอยืนยันสาขา</x:v>
      </x:c>
      <x:c r="F745" s="8" t="str">
        <x:v>ยังไม่ยืนยันการเปิดให้บริการปัจจุบัน</x:v>
      </x:c>
      <x:c r="G745" s="8" t="n">
        <x:v>6</x:v>
      </x:c>
      <x:c r="H745" s="8" t="str"/>
      <x:c r="I745" s="8" t="str"/>
      <x:c r="J745" s="8" t="str"/>
      <x:c r="K745" s="8" t="str"/>
      <x:c r="L745" s="8" t="str">
        <x:v>https://www.lovethailand.org/travel/8-phrae/13-%E0%B8%A3%E0%B8%B2%E0%B8%8A%E0%B8%9A%E0%B8%B8%E0%B8%A3%E0%B8%B5/1560-%E0%B8%AA%E0%B8%A7%E0%B8%99%E0%B8%9E%E0%B8%A4%E0%B8%81%E0%B8%A9%E0%B8%A8%E0%B8%B2%E0%B8%AA%E0%B8%95%E0%B8%A3%E0%B9%8C%E0%B8%A7%E0%B8%A3%E0%B8%A3%E0%B8%93%E0%B8%84%E0%B8%94%E0%B8%B5%E0%B8%A0%E0%B8%B2%E0%B8%84%E0%B8%81%E0%B8%A5%E0%B8%B2%E0%B8%87.html</x:v>
      </x:c>
      <x:c r="M745" s="8" t="str">
        <x:v>https://www.sanook.com/travel/653331/</x:v>
      </x:c>
      <x:c r="N745" s="8" t="str">
        <x:v>ยังไม่ยืนยัน</x:v>
      </x:c>
      <x:c r="O745" s="8" t="str">
        <x:v>ตรวจการเปิด ตัวตนสาขา ช่องทางติดต่อ และเงื่อนไขบังคับตามประเภท</x:v>
      </x:c>
      <x:c r="P745" s="40" t="n">
        <x:v>46316</x:v>
      </x:c>
      <x:c r="Q745" s="59" t="str">
        <x:v>ยังไม่ตรวจ</x:v>
      </x:c>
      <x:c r="R745" s="59" t="str">
        <x:v>รอติดต่อ</x:v>
      </x:c>
    </x:row>
    <x:row r="746" ht="84" customHeight="1">
      <x:c r="A746" s="2" t="str">
        <x:v>R26-138</x:v>
      </x:c>
      <x:c r="B746" s="8" t="str">
        <x:v>อุทยานหินเขางู</x:v>
      </x:c>
      <x:c r="C746" s="8" t="str">
        <x:v>ราชบุรี</x:v>
      </x:c>
      <x:c r="D746" s="8" t="str">
        <x:v>อยู่ในชุด 600 ตามเส้นทาง</x:v>
      </x:c>
      <x:c r="E746" s="8" t="str">
        <x:v>พบชื่อสัมพันธ์หลายเว็บไซต์ รอยืนยันสาขา</x:v>
      </x:c>
      <x:c r="F746" s="8" t="str">
        <x:v>ยังไม่ยืนยันการเปิดให้บริการปัจจุบัน</x:v>
      </x:c>
      <x:c r="G746" s="8" t="n">
        <x:v>16</x:v>
      </x:c>
      <x:c r="H746" s="8" t="str">
        <x:v>https://www.youtube.com/watch?v=4FpzWaWTDJs</x:v>
      </x:c>
      <x:c r="I746" s="8" t="str"/>
      <x:c r="J746" s="8" t="str"/>
      <x:c r="K746" s="8" t="str"/>
      <x:c r="L746" s="8" t="str">
        <x:v>https://ratchaburi.mots.go.th/news/462</x:v>
      </x:c>
      <x:c r="M746" s="8" t="str">
        <x:v>https://tfo.dot.go.th/th/locations/khao-ngu-stone-park/</x:v>
      </x:c>
      <x:c r="N746" s="8" t="str">
        <x:v>ยังไม่ยืนยัน</x:v>
      </x:c>
      <x:c r="O746" s="8" t="str">
        <x:v>ตรวจการเปิด ตัวตนสาขา ช่องทางติดต่อ และเงื่อนไขบังคับตามประเภท</x:v>
      </x:c>
      <x:c r="P746" s="40" t="n">
        <x:v>46316</x:v>
      </x:c>
      <x:c r="Q746" s="59" t="str">
        <x:v>ยังไม่ตรวจ</x:v>
      </x:c>
      <x:c r="R746" s="59" t="str">
        <x:v>รอติดต่อ</x:v>
      </x:c>
    </x:row>
    <x:row r="747" ht="84" customHeight="1">
      <x:c r="A747" s="2" t="str">
        <x:v>R26-143</x:v>
      </x:c>
      <x:c r="B747" s="8" t="str">
        <x:v>ชุมชนบ้านคูบัว</x:v>
      </x:c>
      <x:c r="C747" s="8" t="str">
        <x:v>ราชบุรี</x:v>
      </x:c>
      <x:c r="D747" s="8" t="str">
        <x:v>อยู่ในชุด 600 ตามเส้นทาง</x:v>
      </x:c>
      <x:c r="E747" s="8" t="str">
        <x:v>พบชื่อสัมพันธ์หลายเว็บไซต์ รอยืนยันสาขา</x:v>
      </x:c>
      <x:c r="F747" s="8" t="str">
        <x:v>ยังไม่ยืนยันการเปิดให้บริการปัจจุบัน</x:v>
      </x:c>
      <x:c r="G747" s="8" t="n">
        <x:v>5</x:v>
      </x:c>
      <x:c r="H747" s="8" t="str">
        <x:v>https://www.youtube.com/watch?v=OdSrFJJeRmo</x:v>
      </x:c>
      <x:c r="I747" s="8" t="str"/>
      <x:c r="J747" s="8" t="str"/>
      <x:c r="K747" s="8" t="str"/>
      <x:c r="L747" s="8" t="str">
        <x:v>https://museum-central.sac.or.th/jipathapan.php</x:v>
      </x:c>
      <x:c r="M747" s="8" t="str">
        <x:v>https://www.thaipbs.or.th/program/TuaThin/episodes/60196</x:v>
      </x:c>
      <x:c r="N747" s="8" t="str">
        <x:v>ยังไม่ยืนยัน</x:v>
      </x:c>
      <x:c r="O747" s="8" t="str">
        <x:v>ตรวจการเปิด ตัวตนสาขา ช่องทางติดต่อ และเงื่อนไขบังคับตามประเภท</x:v>
      </x:c>
      <x:c r="P747" s="40" t="n">
        <x:v>46316</x:v>
      </x:c>
      <x:c r="Q747" s="59" t="str">
        <x:v>ยังไม่ตรวจ</x:v>
      </x:c>
      <x:c r="R747" s="59" t="str">
        <x:v>รอติดต่อ</x:v>
      </x:c>
    </x:row>
    <x:row r="748" ht="84" customHeight="1">
      <x:c r="A748" s="2" t="str">
        <x:v>R26-144</x:v>
      </x:c>
      <x:c r="B748" s="8" t="str">
        <x:v>ชุมชนบ้านม่วง ราชบุรี</x:v>
      </x:c>
      <x:c r="C748" s="8" t="str">
        <x:v>ราชบุรี</x:v>
      </x:c>
      <x:c r="D748" s="8" t="str">
        <x:v>อยู่ในชุด 600 ตามเส้นทาง</x:v>
      </x:c>
      <x:c r="E748" s="8" t="str">
        <x:v>พบชื่อสัมพันธ์หลายเว็บไซต์ รอยืนยันสาขา</x:v>
      </x:c>
      <x:c r="F748" s="8" t="str">
        <x:v>ยังไม่ยืนยันการเปิดให้บริการปัจจุบัน</x:v>
      </x:c>
      <x:c r="G748" s="8" t="n">
        <x:v>3</x:v>
      </x:c>
      <x:c r="H748" s="8" t="str"/>
      <x:c r="I748" s="8" t="str"/>
      <x:c r="J748" s="8" t="str"/>
      <x:c r="K748" s="8" t="str"/>
      <x:c r="L748" s="8" t="str">
        <x:v>https://banmuang.go.th/site/index.php</x:v>
      </x:c>
      <x:c r="M748" s="8" t="str">
        <x:v>https://www.nakhonchumlocal.go.th/view_file.php?id=1335</x:v>
      </x:c>
      <x:c r="N748" s="8" t="str">
        <x:v>ยังไม่ยืนยัน</x:v>
      </x:c>
      <x:c r="O748" s="8" t="str">
        <x:v>ตรวจการเปิด ตัวตนสาขา ช่องทางติดต่อ และเงื่อนไขบังคับตามประเภท</x:v>
      </x:c>
      <x:c r="P748" s="40" t="n">
        <x:v>46316</x:v>
      </x:c>
      <x:c r="Q748" s="59" t="str">
        <x:v>ยังไม่ตรวจ</x:v>
      </x:c>
      <x:c r="R748" s="59" t="str">
        <x:v>รอติดต่อ</x:v>
      </x:c>
    </x:row>
    <x:row r="749" ht="84" customHeight="1">
      <x:c r="A749" s="2" t="str">
        <x:v>R26-149</x:v>
      </x:c>
      <x:c r="B749" s="8" t="str">
        <x:v>Alpaca Hill</x:v>
      </x:c>
      <x:c r="C749" s="8" t="str">
        <x:v>ราชบุรี</x:v>
      </x:c>
      <x:c r="D749" s="8" t="str">
        <x:v>อยู่ในชุด 600 ตามเส้นทาง</x:v>
      </x:c>
      <x:c r="E749" s="8" t="str">
        <x:v>พบชื่อสัมพันธ์หลายเว็บไซต์ รอยืนยันสาขา</x:v>
      </x:c>
      <x:c r="F749" s="8" t="str">
        <x:v>ยังไม่ยืนยันการเปิดให้บริการปัจจุบัน</x:v>
      </x:c>
      <x:c r="G749" s="8" t="n">
        <x:v>12</x:v>
      </x:c>
      <x:c r="H749" s="8" t="str">
        <x:v>https://www.youtube.com/watch?v=VeaN19NH_dI</x:v>
      </x:c>
      <x:c r="I749" s="8" t="str"/>
      <x:c r="J749" s="8" t="str">
        <x:v>https://www.wongnai.com/attractions/343065vY-alpaca-hill</x:v>
      </x:c>
      <x:c r="K749" s="8" t="str"/>
      <x:c r="L749" s="8" t="str">
        <x:v>https://ratchaburipao.go.th/travel-single.php?slug=alpaca-hill</x:v>
      </x:c>
      <x:c r="M749" s="8" t="str">
        <x:v>https://www.gplace.com/177445</x:v>
      </x:c>
      <x:c r="N749" s="8" t="str">
        <x:v>ยังไม่ยืนยัน</x:v>
      </x:c>
      <x:c r="O749" s="8" t="str">
        <x:v>ตรวจการเปิด ตัวตนสาขา ช่องทางติดต่อ และเงื่อนไขบังคับตามประเภท</x:v>
      </x:c>
      <x:c r="P749" s="40" t="n">
        <x:v>46316</x:v>
      </x:c>
      <x:c r="Q749" s="59" t="str">
        <x:v>ยังไม่ตรวจ</x:v>
      </x:c>
      <x:c r="R749" s="59" t="str">
        <x:v>รอติดต่อ</x:v>
      </x:c>
    </x:row>
    <x:row r="750" ht="84" customHeight="1">
      <x:c r="A750" s="2" t="str">
        <x:v>R26-303</x:v>
      </x:c>
      <x:c r="B750" s="8" t="str">
        <x:v>CORO Field</x:v>
      </x:c>
      <x:c r="C750" s="8" t="str">
        <x:v>ราชบุรี</x:v>
      </x:c>
      <x:c r="D750" s="8" t="str">
        <x:v>อยู่ในชุด 600 ตามเส้นทาง</x:v>
      </x:c>
      <x:c r="E750" s="8" t="str">
        <x:v>พบชื่อสัมพันธ์หลายเว็บไซต์ รอยืนยันสาขา</x:v>
      </x:c>
      <x:c r="F750" s="8" t="str">
        <x:v>ยังไม่ยืนยันการเปิดให้บริการปัจจุบัน</x:v>
      </x:c>
      <x:c r="G750" s="8" t="n">
        <x:v>15</x:v>
      </x:c>
      <x:c r="H750" s="8" t="str">
        <x:v>https://www.youtube.com/watch?v=1pC3Z-NbB5U</x:v>
      </x:c>
      <x:c r="I750" s="8" t="str"/>
      <x:c r="J750" s="8" t="str">
        <x:v>https://www.wongnai.com/restaurants/213932iK-coro-field</x:v>
      </x:c>
      <x:c r="K750" s="8" t="str">
        <x:v>https://www.google.co.th/travel/hotels/entity/ChkIsMu_3_Xy8JUgGg0vZy8xMWJ0eGNzaHB2EAQ</x:v>
      </x:c>
      <x:c r="L750" s="8" t="str">
        <x:v>https://www.ratchaburipao.go.th/travel-single.php?slug=coro-field</x:v>
      </x:c>
      <x:c r="M750" s="8" t="str">
        <x:v>https://www.ryoiireview.com/restaurant/view/6390</x:v>
      </x:c>
      <x:c r="N750" s="8" t="str">
        <x:v>ยังไม่ยืนยัน</x:v>
      </x:c>
      <x:c r="O750" s="8" t="str">
        <x:v>ตรวจการเปิด ตัวตนสาขา ช่องทางติดต่อ และเงื่อนไขบังคับตามประเภท</x:v>
      </x:c>
      <x:c r="P750" s="40" t="n">
        <x:v>46316</x:v>
      </x:c>
      <x:c r="Q750" s="59" t="str">
        <x:v>ยังไม่ตรวจ</x:v>
      </x:c>
      <x:c r="R750" s="59" t="str">
        <x:v>รอติดต่อ</x:v>
      </x:c>
    </x:row>
    <x:row r="751" ht="84" customHeight="1">
      <x:c r="A751" s="2" t="str">
        <x:v>R26-148</x:v>
      </x:c>
      <x:c r="B751" s="8" t="str">
        <x:v>The Scenery Vintage Farm</x:v>
      </x:c>
      <x:c r="C751" s="8" t="str">
        <x:v>ราชบุรี</x:v>
      </x:c>
      <x:c r="D751" s="8" t="str">
        <x:v>อยู่ในชุด 600 ตามเส้นทาง</x:v>
      </x:c>
      <x:c r="E751" s="8" t="str">
        <x:v>พบชื่อสัมพันธ์หลายเว็บไซต์ รอยืนยันสาขา</x:v>
      </x:c>
      <x:c r="F751" s="8" t="str">
        <x:v>ยังไม่ยืนยันการเปิดให้บริการปัจจุบัน</x:v>
      </x:c>
      <x:c r="G751" s="8" t="n">
        <x:v>13</x:v>
      </x:c>
      <x:c r="H751" s="8" t="str">
        <x:v>https://www.youtube.com/watch?v=8-WsRcrxgtQ</x:v>
      </x:c>
      <x:c r="I751" s="8" t="str"/>
      <x:c r="J751" s="8" t="str">
        <x:v>https://www.wongnai.com/attractions/345471Kk-the-scenery-vintage-farm</x:v>
      </x:c>
      <x:c r="K751" s="8" t="str">
        <x:v>https://www.google.com/travel/hotels/entity/ChgIm7bS-quQuTgaDS9nLzExYzQ4NV9kMDYQAQ?gsas=1</x:v>
      </x:c>
      <x:c r="L751" s="8" t="str">
        <x:v>https://ratchaburipao.go.th/travel-single.php?slug=the-scenery-vintage-farm</x:v>
      </x:c>
      <x:c r="M751" s="8" t="str">
        <x:v>https://reservation.sceneryvintagefarm.com/contact-us/</x:v>
      </x:c>
      <x:c r="N751" s="8" t="str">
        <x:v>ยังไม่ยืนยัน</x:v>
      </x:c>
      <x:c r="O751" s="8" t="str">
        <x:v>ตรวจการเปิด ตัวตนสาขา ช่องทางติดต่อ และเงื่อนไขบังคับตามประเภท</x:v>
      </x:c>
      <x:c r="P751" s="40" t="n">
        <x:v>46316</x:v>
      </x:c>
      <x:c r="Q751" s="59" t="str">
        <x:v>ยังไม่ตรวจ</x:v>
      </x:c>
      <x:c r="R751" s="59" t="str">
        <x:v>รอติดต่อ</x:v>
      </x:c>
    </x:row>
    <x:row r="752" ht="84" customHeight="1">
      <x:c r="A752" s="2" t="str">
        <x:v>R26-147</x:v>
      </x:c>
      <x:c r="B752" s="8" t="str">
        <x:v>สวนผึ้งไฮแลนด์</x:v>
      </x:c>
      <x:c r="C752" s="8" t="str">
        <x:v>ราชบุรี</x:v>
      </x:c>
      <x:c r="D752" s="8" t="str">
        <x:v>อยู่ในชุด 600 ตามเส้นทาง</x:v>
      </x:c>
      <x:c r="E752" s="8" t="str">
        <x:v>พบชื่อสัมพันธ์หลายเว็บไซต์ รอยืนยันสาขา</x:v>
      </x:c>
      <x:c r="F752" s="8" t="str">
        <x:v>ยังไม่ยืนยันการเปิดให้บริการปัจจุบัน</x:v>
      </x:c>
      <x:c r="G752" s="8" t="n">
        <x:v>8</x:v>
      </x:c>
      <x:c r="H752" s="8" t="str">
        <x:v>https://www.youtube.com/watch?v=oDakQNZUtDQ</x:v>
      </x:c>
      <x:c r="I752" s="8" t="str"/>
      <x:c r="J752" s="8" t="str">
        <x:v>https://www.wongnai.com/attractions/375603sD-%E0%B8%AA%E0%B8%A7%E0%B8%99%E0%B8%9C%E0%B8%B6%E0%B9%89%E0%B8%87%E0%B9%84%E0%B8%AE%E0%B9%81%E0%B8%A5%E0%B8%99%E0%B8%94%E0%B9%8C</x:v>
      </x:c>
      <x:c r="K752" s="8" t="str"/>
      <x:c r="L752" s="8" t="str">
        <x:v>https://www.thailandtourismdirectory.go.th/th/attraction/99451</x:v>
      </x:c>
      <x:c r="M752" s="8" t="str">
        <x:v>https://www.thaiticketmajor.com/venue/suan-phueng-highland.html</x:v>
      </x:c>
      <x:c r="N752" s="8" t="str">
        <x:v>ยังไม่ยืนยัน</x:v>
      </x:c>
      <x:c r="O752" s="8" t="str">
        <x:v>ตรวจการเปิด ตัวตนสาขา ช่องทางติดต่อ และเงื่อนไขบังคับตามประเภท</x:v>
      </x:c>
      <x:c r="P752" s="40" t="n">
        <x:v>46316</x:v>
      </x:c>
      <x:c r="Q752" s="59" t="str">
        <x:v>ยังไม่ตรวจ</x:v>
      </x:c>
      <x:c r="R752" s="59" t="str">
        <x:v>รอติดต่อ</x:v>
      </x:c>
    </x:row>
    <x:row r="753" ht="84" customHeight="1">
      <x:c r="A753" s="2" t="str">
        <x:v>R26-060</x:v>
      </x:c>
      <x:c r="B753" s="8" t="str">
        <x:v>ครัวไทรงาม ฮาลาลฟู้ด พัทยา</x:v>
      </x:c>
      <x:c r="C753" s="8" t="str">
        <x:v>ชลบุรี</x:v>
      </x:c>
      <x:c r="D753" s="8" t="str">
        <x:v>อยู่ในชุด 600 ตามเส้นทาง</x:v>
      </x:c>
      <x:c r="E753" s="8" t="str">
        <x:v>พบชื่อสัมพันธ์หลายเว็บไซต์ รอยืนยันสาขา</x:v>
      </x:c>
      <x:c r="F753" s="8" t="str">
        <x:v>ยังไม่ยืนยันการเปิดให้บริการปัจจุบัน</x:v>
      </x:c>
      <x:c r="G753" s="8" t="n">
        <x:v>5</x:v>
      </x:c>
      <x:c r="H753" s="8" t="str">
        <x:v>https://www.youtube.com/watch?v=kXz8-rtbe9Q</x:v>
      </x:c>
      <x:c r="I753" s="8" t="str"/>
      <x:c r="J753" s="8" t="str">
        <x:v>https://restaurantguru.com/%E0%B8%A3%E0%B9%89%E0%B8%B2%E0%B8%99%E0%B8%AD%E0%B8%B2%E0%B8%AB%E0%B8%B2%E0%B8%A3%E0%B8%AD%E0%B8%B4%E0%B8%AA%E0%B8%A5%E0%B8%B2%E0%B8%A1%E0%B8%84%E0%B8%A3%E0%B8%B1%E0%B8%A7%E0%B9%84%E0%B8%97%E0%B8%A3%E0%B8%87%E0%B8%B2%E0%B8%A1-%E0%B8%AE%E0%B8%B2%E0%B8%A5%E0%B8%B2%E0%B8%A5%E0%B8%9F%E0%B8%B9%E0%B9%8A%E0%B8%94%E0%B8%9E%E0%B8%B1%E0%B8%97%E0%B8%A2%E0%B8%B2-Pattaya</x:v>
      </x:c>
      <x:c r="K753" s="8" t="str"/>
      <x:c r="L753" s="8" t="str">
        <x:v>https://www.tripniceday.com/place/%E0%B8%84%E0%B8%A3%E0%B8%B1%E0%B8%A7%E0%B9%84%E0%B8%97%E0%B8%A3%E0%B8%87%E0%B8%B2%E0%B8%A1-%E0%B8%AE%E0%B8%B2%E0%B8%A5%E0%B8%B2%E0%B8%A5%E0%B8%9F%E0%B8%B9%E0%B9%8A%E0%B8%94-%E0%B8%9E%E0%B8%B1%E0%B8%97%E0%B8%A2%E0%B8%B2</x:v>
      </x:c>
      <x:c r="M753" s="8" t="str">
        <x:v>https://xn--l3cga1amo9al2e5c0fqf.cybo.com/TH-biz/%E0%B8%A3%E0%B9%89%E0%B8%B2%E0%B8%99%E0%B8%AD%E0%B8%B2%E0%B8%AB%E0%B8%B2%E0%B8%A3%E0%B8%AD%E0%B8%B4%E0%B8%AA%E0%B8%A5%E0%B8%B2%E0%B8%A1%E0%B8%84%E0%B8%A3%E0%B8%B1%E0%B8%A7%E0%B9%84%E0%B8%97%E0%B8%A3%E0%B8%87%E0%B8%B2%E0%B8%A1</x:v>
      </x:c>
      <x:c r="N753" s="8" t="str">
        <x:v>ยังไม่ยืนยัน</x:v>
      </x:c>
      <x:c r="O753" s="8" t="str">
        <x:v>ตรวจการเปิด ตัวตนสาขา ช่องทางติดต่อ และเงื่อนไขบังคับตามประเภท</x:v>
      </x:c>
      <x:c r="P753" s="40" t="n">
        <x:v>46316</x:v>
      </x:c>
      <x:c r="Q753" s="59" t="str">
        <x:v>ยังไม่ตรวจ</x:v>
      </x:c>
      <x:c r="R753" s="59" t="str">
        <x:v>รอติดต่อ</x:v>
      </x:c>
    </x:row>
    <x:row r="754" ht="84" customHeight="1">
      <x:c r="A754" s="2" t="str">
        <x:v>R26-059</x:v>
      </x:c>
      <x:c r="B754" s="8" t="str">
        <x:v>หาดจอมเทียน</x:v>
      </x:c>
      <x:c r="C754" s="8" t="str">
        <x:v>ชลบุรี</x:v>
      </x:c>
      <x:c r="D754" s="8" t="str">
        <x:v>อยู่ในชุด 600 ตามเส้นทาง</x:v>
      </x:c>
      <x:c r="E754" s="8" t="str">
        <x:v>พบชื่อสัมพันธ์หลายเว็บไซต์ รอยืนยันสาขา</x:v>
      </x:c>
      <x:c r="F754" s="8" t="str">
        <x:v>ยังไม่ยืนยันการเปิดให้บริการปัจจุบัน</x:v>
      </x:c>
      <x:c r="G754" s="8" t="n">
        <x:v>15</x:v>
      </x:c>
      <x:c r="H754" s="8" t="str">
        <x:v>https://www.youtube.com/watch?v=Ej0q_zK9Epc</x:v>
      </x:c>
      <x:c r="I754" s="8" t="str"/>
      <x:c r="J754" s="8" t="str">
        <x:v>https://www.wongnai.com/attractions/334289KU</x:v>
      </x:c>
      <x:c r="K754" s="8" t="str"/>
      <x:c r="L754" s="8" t="str">
        <x:v>https://nongpruecity.go.th/travel_activity/detail/11/data.html</x:v>
      </x:c>
      <x:c r="M754" s="8" t="str">
        <x:v>https://cbtthailand.dasta.or.th/webapp/relattraction/content/2719/</x:v>
      </x:c>
      <x:c r="N754" s="8" t="str">
        <x:v>ยังไม่ยืนยัน</x:v>
      </x:c>
      <x:c r="O754" s="8" t="str">
        <x:v>ตรวจการเปิด ตัวตนสาขา ช่องทางติดต่อ และเงื่อนไขบังคับตามประเภท</x:v>
      </x:c>
      <x:c r="P754" s="40" t="n">
        <x:v>46316</x:v>
      </x:c>
      <x:c r="Q754" s="59" t="str">
        <x:v>ยังไม่ตรวจ</x:v>
      </x:c>
      <x:c r="R754" s="59" t="str">
        <x:v>รอติดต่อ</x:v>
      </x:c>
    </x:row>
    <x:row r="755" ht="84" customHeight="1">
      <x:c r="A755" s="2" t="str">
        <x:v>R26-056</x:v>
      </x:c>
      <x:c r="B755" s="8" t="str">
        <x:v>ตลาดน้ำ 4 ภาค พัทยา</x:v>
      </x:c>
      <x:c r="C755" s="8" t="str">
        <x:v>ชลบุรี</x:v>
      </x:c>
      <x:c r="D755" s="8" t="str">
        <x:v>อยู่ในชุด 600 ตามเส้นทาง</x:v>
      </x:c>
      <x:c r="E755" s="8" t="str">
        <x:v>พบชื่อสัมพันธ์หลายเว็บไซต์ รอยืนยันสาขา</x:v>
      </x:c>
      <x:c r="F755" s="8" t="str">
        <x:v>ยังไม่ยืนยันการเปิดให้บริการปัจจุบัน</x:v>
      </x:c>
      <x:c r="G755" s="8" t="n">
        <x:v>14</x:v>
      </x:c>
      <x:c r="H755" s="8" t="str">
        <x:v>https://www.youtube.com/watch?v=hKEgvfsV-1Y</x:v>
      </x:c>
      <x:c r="I755" s="8" t="str"/>
      <x:c r="J755" s="8" t="str">
        <x:v>https://www.wongnai.com/restaurants/325714hG</x:v>
      </x:c>
      <x:c r="K755" s="8" t="str"/>
      <x:c r="L755" s="8" t="str">
        <x:v>https://cbtthailand.dasta.or.th/webapp/relattraction/content/1567/</x:v>
      </x:c>
      <x:c r="M755" s="8" t="str">
        <x:v>https://thai.tourismthailand.org/Attraction/%E0%B8%95%E0%B8%A5%E0%B8%B2%E0%B8%94%E0%B8%99%E0%B9%89%E0%B8%B3-4-%E0%B8%A0%E0%B8%B2%E0%B8%84-%E0%B8%9E%E0%B8%B1%E0%B8%97%E0%B8%A2%E0%B8%B2</x:v>
      </x:c>
      <x:c r="N755" s="8" t="str">
        <x:v>ยังไม่ยืนยัน</x:v>
      </x:c>
      <x:c r="O755" s="8" t="str">
        <x:v>ตรวจการเปิด ตัวตนสาขา ช่องทางติดต่อ และเงื่อนไขบังคับตามประเภท</x:v>
      </x:c>
      <x:c r="P755" s="40" t="n">
        <x:v>46316</x:v>
      </x:c>
      <x:c r="Q755" s="59" t="str">
        <x:v>ยังไม่ตรวจ</x:v>
      </x:c>
      <x:c r="R755" s="59" t="str">
        <x:v>รอติดต่อ</x:v>
      </x:c>
    </x:row>
    <x:row r="756" ht="84" customHeight="1">
      <x:c r="A756" s="2" t="str">
        <x:v>R26-058</x:v>
      </x:c>
      <x:c r="B756" s="8" t="str">
        <x:v>สวนนงนุช พัทยา</x:v>
      </x:c>
      <x:c r="C756" s="8" t="str">
        <x:v>ชลบุรี</x:v>
      </x:c>
      <x:c r="D756" s="8" t="str">
        <x:v>อยู่ในชุด 600 ตามเส้นทาง</x:v>
      </x:c>
      <x:c r="E756" s="8" t="str">
        <x:v>พบชื่อสัมพันธ์หลายเว็บไซต์ รอยืนยันสาขา</x:v>
      </x:c>
      <x:c r="F756" s="8" t="str">
        <x:v>ยังไม่ยืนยันการเปิดให้บริการปัจจุบัน</x:v>
      </x:c>
      <x:c r="G756" s="8" t="n">
        <x:v>11</x:v>
      </x:c>
      <x:c r="H756" s="8" t="str"/>
      <x:c r="I756" s="8" t="str"/>
      <x:c r="J756" s="8" t="str">
        <x:v>https://www.wongnai.com/attractions/324378uL</x:v>
      </x:c>
      <x:c r="K756" s="8" t="str"/>
      <x:c r="L756" s="8" t="str">
        <x:v>https://www.nongnoochpattaya.com/th/services</x:v>
      </x:c>
      <x:c r="M756" s="8" t="str">
        <x:v>https://salehere.co.th/nongnooch-garden-pattaya/branches/pattaya</x:v>
      </x:c>
      <x:c r="N756" s="8" t="str">
        <x:v>ยังไม่ยืนยัน</x:v>
      </x:c>
      <x:c r="O756" s="8" t="str">
        <x:v>ตรวจการเปิด ตัวตนสาขา ช่องทางติดต่อ และเงื่อนไขบังคับตามประเภท</x:v>
      </x:c>
      <x:c r="P756" s="40" t="n">
        <x:v>46316</x:v>
      </x:c>
      <x:c r="Q756" s="59" t="str">
        <x:v>ยังไม่ตรวจ</x:v>
      </x:c>
      <x:c r="R756" s="59" t="str">
        <x:v>รอติดต่อ</x:v>
      </x:c>
    </x:row>
    <x:row r="757" ht="84" customHeight="1">
      <x:c r="A757" s="2" t="str">
        <x:v>R26-282</x:v>
      </x:c>
      <x:c r="B757" s="8" t="str">
        <x:v>Health Land Pattaya</x:v>
      </x:c>
      <x:c r="C757" s="8" t="str">
        <x:v>ชลบุรี</x:v>
      </x:c>
      <x:c r="D757" s="8" t="str">
        <x:v>อยู่ในชุด 600 ตามเส้นทาง</x:v>
      </x:c>
      <x:c r="E757" s="8" t="str">
        <x:v>พบชื่อสัมพันธ์หลายเว็บไซต์ รอยืนยันสาขา</x:v>
      </x:c>
      <x:c r="F757" s="8" t="str">
        <x:v>ยังไม่ยืนยันการเปิดให้บริการปัจจุบัน</x:v>
      </x:c>
      <x:c r="G757" s="8" t="n">
        <x:v>5</x:v>
      </x:c>
      <x:c r="H757" s="8" t="str"/>
      <x:c r="I757" s="8" t="str"/>
      <x:c r="J757" s="8" t="str">
        <x:v>https://www.booking.com/hotel/th/health-land-resort-amp-spa-pattaya.html</x:v>
      </x:c>
      <x:c r="K757" s="8" t="str">
        <x:v>https://www.google.com/maps/search/Spa%3A%2BHealth%2BLand%2Bor%2Blocal%2Bspa%2C%2BPattaya%2C%2BThailand</x:v>
      </x:c>
      <x:c r="L757" s="8" t="str">
        <x:v>https://fti.or.th/benefits/fti-e-privileges/170</x:v>
      </x:c>
      <x:c r="M757" s="8" t="str">
        <x:v>https://www.gotopattaya.com/en/venues/health-land-pattaya-sukhumvit-road</x:v>
      </x:c>
      <x:c r="N757" s="8" t="str">
        <x:v>ยังไม่ยืนยัน</x:v>
      </x:c>
      <x:c r="O757" s="8" t="str">
        <x:v>ตรวจการเปิด ตัวตนสาขา ช่องทางติดต่อ และเงื่อนไขบังคับตามประเภท</x:v>
      </x:c>
      <x:c r="P757" s="40" t="n">
        <x:v>46316</x:v>
      </x:c>
      <x:c r="Q757" s="59" t="str">
        <x:v>ยังไม่ตรวจ</x:v>
      </x:c>
      <x:c r="R757" s="59" t="str">
        <x:v>รอติดต่อ</x:v>
      </x:c>
    </x:row>
    <x:row r="758" ht="84" customHeight="1">
      <x:c r="A758" s="2" t="str">
        <x:v>R26-283</x:v>
      </x:c>
      <x:c r="B758" s="8" t="str">
        <x:v>Let's Relax Onsen and Spa Pattaya</x:v>
      </x:c>
      <x:c r="C758" s="8" t="str">
        <x:v>ชลบุรี</x:v>
      </x:c>
      <x:c r="D758" s="8" t="str">
        <x:v>อยู่ในชุด 600 ตามเส้นทาง</x:v>
      </x:c>
      <x:c r="E758" s="8" t="str">
        <x:v>พบชื่อสัมพันธ์หลายเว็บไซต์ รอยืนยันสาขา</x:v>
      </x:c>
      <x:c r="F758" s="8" t="str">
        <x:v>ยังไม่ยืนยันการเปิดให้บริการปัจจุบัน</x:v>
      </x:c>
      <x:c r="G758" s="8" t="n">
        <x:v>6</x:v>
      </x:c>
      <x:c r="H758" s="8" t="str">
        <x:v>https://www.youtube.com/watch?v=ievqQQtG4mU</x:v>
      </x:c>
      <x:c r="I758" s="8" t="str"/>
      <x:c r="J758" s="8" t="str"/>
      <x:c r="K758" s="8" t="str"/>
      <x:c r="L758" s="8" t="str">
        <x:v>https://letsrelaxspa.com/branches/pattaya-onsen-and-spa/</x:v>
      </x:c>
      <x:c r="M758" s="8" t="str">
        <x:v>https://www.gotopattaya.com/en/venues/let-s-relax-onsen-and-spa-pattaya</x:v>
      </x:c>
      <x:c r="N758" s="8" t="str">
        <x:v>ยังไม่ยืนยัน</x:v>
      </x:c>
      <x:c r="O758" s="8" t="str">
        <x:v>ตรวจการเปิด ตัวตนสาขา ช่องทางติดต่อ และเงื่อนไขบังคับตามประเภท</x:v>
      </x:c>
      <x:c r="P758" s="40" t="n">
        <x:v>46316</x:v>
      </x:c>
      <x:c r="Q758" s="59" t="str">
        <x:v>ยังไม่ตรวจ</x:v>
      </x:c>
      <x:c r="R758" s="59" t="str">
        <x:v>รอติดต่อ</x:v>
      </x:c>
    </x:row>
    <x:row r="759" ht="84" customHeight="1">
      <x:c r="A759" s="2" t="str">
        <x:v>R26-264</x:v>
      </x:c>
      <x:c r="B759" s="8" t="str">
        <x:v>Central Pattaya</x:v>
      </x:c>
      <x:c r="C759" s="8" t="str">
        <x:v>ชลบุรี</x:v>
      </x:c>
      <x:c r="D759" s="8" t="str">
        <x:v>อยู่ในชุด 600 ตามเส้นทาง</x:v>
      </x:c>
      <x:c r="E759" s="8" t="str">
        <x:v>พบชื่อสัมพันธ์หลายเว็บไซต์ รอยืนยันสาขา</x:v>
      </x:c>
      <x:c r="F759" s="8" t="str">
        <x:v>ยังไม่ยืนยันการเปิดให้บริการปัจจุบัน</x:v>
      </x:c>
      <x:c r="G759" s="8" t="n">
        <x:v>6</x:v>
      </x:c>
      <x:c r="H759" s="8" t="str">
        <x:v>https://www.facebook.com/CentralPattayaBeach</x:v>
      </x:c>
      <x:c r="I759" s="8" t="str">
        <x:v>https://www.instagram.com/central_pattaya/</x:v>
      </x:c>
      <x:c r="J759" s="8" t="str">
        <x:v>https://www.google.com/maps/search/central%20pattaya</x:v>
      </x:c>
      <x:c r="K759" s="8" t="str"/>
      <x:c r="L759" s="8" t="str">
        <x:v>https://www.centralpattaya.com/</x:v>
      </x:c>
      <x:c r="M759" s="8" t="str">
        <x:v>https://en.wikipedia.org/wiki/Central_Pattaya</x:v>
      </x:c>
      <x:c r="N759" s="8" t="str">
        <x:v>ยังไม่ยืนยัน</x:v>
      </x:c>
      <x:c r="O759" s="8" t="str">
        <x:v>ตรวจการเปิด ตัวตนสาขา ช่องทางติดต่อ และเงื่อนไขบังคับตามประเภท</x:v>
      </x:c>
      <x:c r="P759" s="40" t="n">
        <x:v>46316</x:v>
      </x:c>
      <x:c r="Q759" s="59" t="str">
        <x:v>ยังไม่ตรวจ</x:v>
      </x:c>
      <x:c r="R759" s="59" t="str">
        <x:v>รอติดต่อ</x:v>
      </x:c>
    </x:row>
    <x:row r="760" ht="84" customHeight="1">
      <x:c r="A760" s="2" t="str">
        <x:v>R26-265</x:v>
      </x:c>
      <x:c r="B760" s="8" t="str">
        <x:v>Terminal 21 Pattaya</x:v>
      </x:c>
      <x:c r="C760" s="8" t="str">
        <x:v>ชลบุรี</x:v>
      </x:c>
      <x:c r="D760" s="8" t="str">
        <x:v>อยู่ในชุด 600 ตามเส้นทาง</x:v>
      </x:c>
      <x:c r="E760" s="8" t="str">
        <x:v>พบชื่อสัมพันธ์หลายเว็บไซต์ รอยืนยันสาขา</x:v>
      </x:c>
      <x:c r="F760" s="8" t="str">
        <x:v>ยังไม่ยืนยันการเปิดให้บริการปัจจุบัน</x:v>
      </x:c>
      <x:c r="G760" s="8" t="n">
        <x:v>11</x:v>
      </x:c>
      <x:c r="H760" s="8" t="str">
        <x:v>https://page.line.me/nyy5843p</x:v>
      </x:c>
      <x:c r="I760" s="8" t="str">
        <x:v>https://www.youtube.com/watch?v=pXs4WCt8DkQ</x:v>
      </x:c>
      <x:c r="J760" s="8" t="str"/>
      <x:c r="K760" s="8" t="str"/>
      <x:c r="L760" s="8" t="str">
        <x:v>https://www.terminal21.co.th/pattaya/</x:v>
      </x:c>
      <x:c r="M760" s="8" t="str">
        <x:v>https://www.movenpickpattayanajomtien.com/th/places/terminal-21-pattaya/</x:v>
      </x:c>
      <x:c r="N760" s="8" t="str">
        <x:v>ยังไม่ยืนยัน</x:v>
      </x:c>
      <x:c r="O760" s="8" t="str">
        <x:v>ตรวจการเปิด ตัวตนสาขา ช่องทางติดต่อ และเงื่อนไขบังคับตามประเภท</x:v>
      </x:c>
      <x:c r="P760" s="40" t="n">
        <x:v>46316</x:v>
      </x:c>
      <x:c r="Q760" s="59" t="str">
        <x:v>ยังไม่ตรวจ</x:v>
      </x:c>
      <x:c r="R760" s="59" t="str">
        <x:v>รอติดต่อ</x:v>
      </x:c>
    </x:row>
    <x:row r="761" ht="84" customHeight="1">
      <x:c r="A761" s="2" t="str">
        <x:v>R26-160</x:v>
      </x:c>
      <x:c r="B761" s="8" t="str">
        <x:v>Columbia Pictures Aquaverse</x:v>
      </x:c>
      <x:c r="C761" s="8" t="str">
        <x:v>ชลบุรี</x:v>
      </x:c>
      <x:c r="D761" s="8" t="str">
        <x:v>อยู่ในชุด 600 ตามเส้นทาง</x:v>
      </x:c>
      <x:c r="E761" s="8" t="str">
        <x:v>พบชื่อสัมพันธ์หลายเว็บไซต์ รอยืนยันสาขา</x:v>
      </x:c>
      <x:c r="F761" s="8" t="str">
        <x:v>ยังไม่ยืนยันการเปิดให้บริการปัจจุบัน</x:v>
      </x:c>
      <x:c r="G761" s="8" t="n">
        <x:v>15</x:v>
      </x:c>
      <x:c r="H761" s="8" t="str">
        <x:v>https://www.youtube.com/watch?v=SzE6dXDy8Us</x:v>
      </x:c>
      <x:c r="I761" s="8" t="str">
        <x:v>https://page.line.me/das1327d</x:v>
      </x:c>
      <x:c r="J761" s="8" t="str">
        <x:v>https://www.wongnai.com/restaurants/197215WA-columbia-pictures-aquaverse</x:v>
      </x:c>
      <x:c r="K761" s="8" t="str"/>
      <x:c r="L761" s="8" t="str">
        <x:v>https://www.tourismthailand.org/Entertainment/columbia-pictures-aquaverse</x:v>
      </x:c>
      <x:c r="M761" s="8" t="str">
        <x:v>https://columbiapicturesaquaverse.com/</x:v>
      </x:c>
      <x:c r="N761" s="8" t="str">
        <x:v>ยังไม่ยืนยัน</x:v>
      </x:c>
      <x:c r="O761" s="8" t="str">
        <x:v>ตรวจการเปิด ตัวตนสาขา ช่องทางติดต่อ และเงื่อนไขบังคับตามประเภท</x:v>
      </x:c>
      <x:c r="P761" s="40" t="n">
        <x:v>46316</x:v>
      </x:c>
      <x:c r="Q761" s="59" t="str">
        <x:v>ยังไม่ตรวจ</x:v>
      </x:c>
      <x:c r="R761" s="59" t="str">
        <x:v>รอติดต่อ</x:v>
      </x:c>
    </x:row>
    <x:row r="762" ht="84" customHeight="1">
      <x:c r="A762" s="2" t="str">
        <x:v>R26-328</x:v>
      </x:c>
      <x:c r="B762" s="8" t="str">
        <x:v>Ramayana Water Park</x:v>
      </x:c>
      <x:c r="C762" s="8" t="str">
        <x:v>ชลบุรี</x:v>
      </x:c>
      <x:c r="D762" s="8" t="str">
        <x:v>อยู่ในชุด 600 ตามเส้นทาง</x:v>
      </x:c>
      <x:c r="E762" s="8" t="str">
        <x:v>พบชื่อสัมพันธ์หลายเว็บไซต์ รอยืนยันสาขา</x:v>
      </x:c>
      <x:c r="F762" s="8" t="str">
        <x:v>ยังไม่ยืนยันการเปิดให้บริการปัจจุบัน</x:v>
      </x:c>
      <x:c r="G762" s="8" t="n">
        <x:v>12</x:v>
      </x:c>
      <x:c r="H762" s="8" t="str">
        <x:v>https://www.youtube.com/watch?v=OqFZIPuZGBs</x:v>
      </x:c>
      <x:c r="I762" s="8" t="str"/>
      <x:c r="J762" s="8" t="str"/>
      <x:c r="K762" s="8" t="str"/>
      <x:c r="L762" s="8" t="str">
        <x:v>https://www.tourismthailand.org/Attraction/ramayana-water-park-pattaya</x:v>
      </x:c>
      <x:c r="M762" s="8" t="str">
        <x:v>https://www.ramayanawaterpark.cn/</x:v>
      </x:c>
      <x:c r="N762" s="8" t="str">
        <x:v>ยังไม่ยืนยัน</x:v>
      </x:c>
      <x:c r="O762" s="8" t="str">
        <x:v>ตรวจการเปิด ตัวตนสาขา ช่องทางติดต่อ และเงื่อนไขบังคับตามประเภท</x:v>
      </x:c>
      <x:c r="P762" s="40" t="n">
        <x:v>46316</x:v>
      </x:c>
      <x:c r="Q762" s="59" t="str">
        <x:v>ยังไม่ตรวจ</x:v>
      </x:c>
      <x:c r="R762" s="59" t="str">
        <x:v>รอติดต่อ</x:v>
      </x:c>
    </x:row>
    <x:row r="763" ht="84" customHeight="1">
      <x:c r="A763" s="2" t="str">
        <x:v>R26-161</x:v>
      </x:c>
      <x:c r="B763" s="8" t="str">
        <x:v>Underwater World Pattaya</x:v>
      </x:c>
      <x:c r="C763" s="8" t="str">
        <x:v>ชลบุรี</x:v>
      </x:c>
      <x:c r="D763" s="8" t="str">
        <x:v>อยู่ในชุด 600 ตามเส้นทาง</x:v>
      </x:c>
      <x:c r="E763" s="8" t="str">
        <x:v>พบชื่อสัมพันธ์หลายเว็บไซต์ รอยืนยันสาขา</x:v>
      </x:c>
      <x:c r="F763" s="8" t="str">
        <x:v>ยังไม่ยืนยันการเปิดให้บริการปัจจุบัน</x:v>
      </x:c>
      <x:c r="G763" s="8" t="n">
        <x:v>13</x:v>
      </x:c>
      <x:c r="H763" s="8" t="str">
        <x:v>https://www.youtube.com/watch?v=TyPZZmb6HNQ</x:v>
      </x:c>
      <x:c r="I763" s="8" t="str"/>
      <x:c r="J763" s="8" t="str"/>
      <x:c r="K763" s="8" t="str"/>
      <x:c r="L763" s="8" t="str">
        <x:v>https://www.thailandtourismdirectory.go.th/en/attraction/1697</x:v>
      </x:c>
      <x:c r="M763" s="8" t="str">
        <x:v>https://underwaterworld-booking.pro/visit</x:v>
      </x:c>
      <x:c r="N763" s="8" t="str">
        <x:v>ยังไม่ยืนยัน</x:v>
      </x:c>
      <x:c r="O763" s="8" t="str">
        <x:v>ตรวจการเปิด ตัวตนสาขา ช่องทางติดต่อ และเงื่อนไขบังคับตามประเภท</x:v>
      </x:c>
      <x:c r="P763" s="40" t="n">
        <x:v>46316</x:v>
      </x:c>
      <x:c r="Q763" s="59" t="str">
        <x:v>ยังไม่ตรวจ</x:v>
      </x:c>
      <x:c r="R763" s="59" t="str">
        <x:v>รอติดต่อ</x:v>
      </x:c>
    </x:row>
    <x:row r="764" ht="84" customHeight="1">
      <x:c r="A764" s="2" t="str">
        <x:v>R26-062</x:v>
      </x:c>
      <x:c r="B764" s="8" t="str">
        <x:v>ส้มตำกำแพงแตก ระยอง</x:v>
      </x:c>
      <x:c r="C764" s="8" t="str">
        <x:v>ระยอง</x:v>
      </x:c>
      <x:c r="D764" s="8" t="str">
        <x:v>อยู่ในชุด 600 ตามเส้นทาง</x:v>
      </x:c>
      <x:c r="E764" s="8" t="str">
        <x:v>พบชื่อสัมพันธ์หลายเว็บไซต์ รอยืนยันสาขา</x:v>
      </x:c>
      <x:c r="F764" s="8" t="str">
        <x:v>ยังไม่ยืนยันการเปิดให้บริการปัจจุบัน</x:v>
      </x:c>
      <x:c r="G764" s="8" t="n">
        <x:v>2</x:v>
      </x:c>
      <x:c r="H764" s="8" t="str"/>
      <x:c r="I764" s="8" t="str"/>
      <x:c r="J764" s="8" t="str">
        <x:v>https://www.wongnai.com/restaurants/266276fb-%E0%B8%AA%E0%B9%89%E0%B8%A1%E0%B8%95%E0%B8%B3%E0%B8%81%E0%B8%B3%E0%B9%81%E0%B8%9E%E0%B8%87%E0%B9%81%E0%B8%95%E0%B8%81/menu</x:v>
      </x:c>
      <x:c r="K764" s="8" t="str"/>
      <x:c r="L764" s="8" t="str">
        <x:v>https://www.lemon8-app.com/%40fonhiw/7677030595478454805?region=th</x:v>
      </x:c>
      <x:c r="M764" s="8" t="str">
        <x:v>https://www.wongnai.com/restaurants/266276fb-%E0%B8%AA%E0%B9%89%E0%B8%A1%E0%B8%95%E0%B8%B3%E0%B8%81%E0%B8%B3%E0%B9%81%E0%B8%9E%E0%B8%87%E0%B9%81%E0%B8%95%E0%B8%81/menu</x:v>
      </x:c>
      <x:c r="N764" s="8" t="str">
        <x:v>ยังไม่ยืนยัน</x:v>
      </x:c>
      <x:c r="O764" s="8" t="str">
        <x:v>ตรวจการเปิด ตัวตนสาขา ช่องทางติดต่อ และเงื่อนไขบังคับตามประเภท</x:v>
      </x:c>
      <x:c r="P764" s="40" t="n">
        <x:v>46316</x:v>
      </x:c>
      <x:c r="Q764" s="59" t="str">
        <x:v>ยังไม่ตรวจ</x:v>
      </x:c>
      <x:c r="R764" s="59" t="str">
        <x:v>รอติดต่อ</x:v>
      </x:c>
    </x:row>
    <x:row r="765" ht="84" customHeight="1">
      <x:c r="A765" s="2" t="str">
        <x:v>R26-064</x:v>
      </x:c>
      <x:c r="B765" s="8" t="str">
        <x:v>หาดแหลมเจริญ</x:v>
      </x:c>
      <x:c r="C765" s="8" t="str">
        <x:v>ระยอง</x:v>
      </x:c>
      <x:c r="D765" s="8" t="str">
        <x:v>อยู่ในชุด 600 ตามเส้นทาง</x:v>
      </x:c>
      <x:c r="E765" s="8" t="str">
        <x:v>พบชื่อสัมพันธ์หลายเว็บไซต์ รอยืนยันสาขา</x:v>
      </x:c>
      <x:c r="F765" s="8" t="str">
        <x:v>ยังไม่ยืนยันการเปิดให้บริการปัจจุบัน</x:v>
      </x:c>
      <x:c r="G765" s="8" t="n">
        <x:v>13</x:v>
      </x:c>
      <x:c r="H765" s="8" t="str">
        <x:v>https://www.youtube.com/watch?v=at8uQRX8vIg</x:v>
      </x:c>
      <x:c r="I765" s="8" t="str"/>
      <x:c r="J765" s="8" t="str">
        <x:v>https://www.wongnai.com/attractions/326856Ly-%E0%B8%AB%E0%B8%B2%E0%B8%94%E0%B9%81%E0%B8%AB%E0%B8%A5%E0%B8%A1%E0%B9%80%E0%B8%88%E0%B8%A3%E0%B8%B4%E0%B8%8D</x:v>
      </x:c>
      <x:c r="K765" s="8" t="str"/>
      <x:c r="L765" s="8" t="str">
        <x:v>https://www.opsmoac.go.th/rayong-dwl-files-452791791049</x:v>
      </x:c>
      <x:c r="M765" s="8" t="str">
        <x:v>https://www.thailandtourismdirectory.go.th/th/attraction/1777</x:v>
      </x:c>
      <x:c r="N765" s="8" t="str">
        <x:v>ยังไม่ยืนยัน</x:v>
      </x:c>
      <x:c r="O765" s="8" t="str">
        <x:v>ตรวจการเปิด ตัวตนสาขา ช่องทางติดต่อ และเงื่อนไขบังคับตามประเภท</x:v>
      </x:c>
      <x:c r="P765" s="40" t="n">
        <x:v>46316</x:v>
      </x:c>
      <x:c r="Q765" s="59" t="str">
        <x:v>ยังไม่ตรวจ</x:v>
      </x:c>
      <x:c r="R765" s="59" t="str">
        <x:v>รอติดต่อ</x:v>
      </x:c>
    </x:row>
    <x:row r="766" ht="84" customHeight="1">
      <x:c r="A766" s="2" t="str">
        <x:v>R26-063</x:v>
      </x:c>
      <x:c r="B766" s="8" t="str">
        <x:v>ชุมชนบ้านเพ</x:v>
      </x:c>
      <x:c r="C766" s="8" t="str">
        <x:v>ระยอง</x:v>
      </x:c>
      <x:c r="D766" s="8" t="str">
        <x:v>อยู่ในชุด 600 ตามเส้นทาง</x:v>
      </x:c>
      <x:c r="E766" s="8" t="str">
        <x:v>พบชื่อสัมพันธ์หลายเว็บไซต์ รอยืนยันสาขา</x:v>
      </x:c>
      <x:c r="F766" s="8" t="str">
        <x:v>ยังไม่ยืนยันการเปิดให้บริการปัจจุบัน</x:v>
      </x:c>
      <x:c r="G766" s="8" t="n">
        <x:v>9</x:v>
      </x:c>
      <x:c r="H766" s="8" t="str">
        <x:v>https://www.youtube.com/watch?v=mTZJJq5cOpw</x:v>
      </x:c>
      <x:c r="I766" s="8" t="str"/>
      <x:c r="J766" s="8" t="str"/>
      <x:c r="K766" s="8" t="str"/>
      <x:c r="L766" s="8" t="str">
        <x:v>https://wikicommunity.sac.or.th/community/1072</x:v>
      </x:c>
      <x:c r="M766" s="8" t="str">
        <x:v>https://www.thailandtourismdirectory.go.th/attraction/3761</x:v>
      </x:c>
      <x:c r="N766" s="8" t="str">
        <x:v>ยังไม่ยืนยัน</x:v>
      </x:c>
      <x:c r="O766" s="8" t="str">
        <x:v>ตรวจการเปิด ตัวตนสาขา ช่องทางติดต่อ และเงื่อนไขบังคับตามประเภท</x:v>
      </x:c>
      <x:c r="P766" s="40" t="n">
        <x:v>46316</x:v>
      </x:c>
      <x:c r="Q766" s="59" t="str">
        <x:v>ยังไม่ตรวจ</x:v>
      </x:c>
      <x:c r="R766" s="59" t="str">
        <x:v>รอติดต่อ</x:v>
      </x:c>
    </x:row>
    <x:row r="767" ht="84" customHeight="1">
      <x:c r="A767" s="2" t="str">
        <x:v>R26-061</x:v>
      </x:c>
      <x:c r="B767" s="8" t="str">
        <x:v>สวนสุภัทราแลนด์</x:v>
      </x:c>
      <x:c r="C767" s="8" t="str">
        <x:v>ระยอง</x:v>
      </x:c>
      <x:c r="D767" s="8" t="str">
        <x:v>อยู่ในชุด 600 ตามเส้นทาง</x:v>
      </x:c>
      <x:c r="E767" s="8" t="str">
        <x:v>พบชื่อสัมพันธ์หลายเว็บไซต์ รอยืนยันสาขา</x:v>
      </x:c>
      <x:c r="F767" s="8" t="str">
        <x:v>ยังไม่ยืนยันการเปิดให้บริการปัจจุบัน</x:v>
      </x:c>
      <x:c r="G767" s="8" t="n">
        <x:v>14</x:v>
      </x:c>
      <x:c r="H767" s="8" t="str">
        <x:v>https://www.youtube.com/watch?v=4_i0Irv9lMw</x:v>
      </x:c>
      <x:c r="I767" s="8" t="str"/>
      <x:c r="J767" s="8" t="str">
        <x:v>https://www.wongnai.com/restaurants/200012JM-%E0%B8%AA%E0%B8%A7%E0%B8%99%E0%B8%AA%E0%B8%B8%E0%B8%A0%E0%B8%B1%E0%B8%97%E0%B8%A3%E0%B8%B2%E0%B9%81%E0%B8%A5%E0%B8%99%E0%B8%94%E0%B9%8C</x:v>
      </x:c>
      <x:c r="K767" s="8" t="str"/>
      <x:c r="L767" s="8" t="str">
        <x:v>https://www.thailandtourismdirectory.go.th/activities/102553</x:v>
      </x:c>
      <x:c r="M767" s="8" t="str">
        <x:v>https://cbtthailand.dasta.or.th/webapp/relattraction/content/1277/</x:v>
      </x:c>
      <x:c r="N767" s="8" t="str">
        <x:v>ยังไม่ยืนยัน</x:v>
      </x:c>
      <x:c r="O767" s="8" t="str">
        <x:v>ตรวจการเปิด ตัวตนสาขา ช่องทางติดต่อ และเงื่อนไขบังคับตามประเภท</x:v>
      </x:c>
      <x:c r="P767" s="40" t="n">
        <x:v>46316</x:v>
      </x:c>
      <x:c r="Q767" s="59" t="str">
        <x:v>ยังไม่ตรวจ</x:v>
      </x:c>
      <x:c r="R767" s="59" t="str">
        <x:v>รอติดต่อ</x:v>
      </x:c>
    </x:row>
    <x:row r="768" ht="84" customHeight="1">
      <x:c r="A768" s="2" t="str">
        <x:v>R26-284</x:v>
      </x:c>
      <x:c r="B768" s="8" t="str">
        <x:v>Quan Spa Rayong Marriott</x:v>
      </x:c>
      <x:c r="C768" s="8" t="str">
        <x:v>ระยอง</x:v>
      </x:c>
      <x:c r="D768" s="8" t="str">
        <x:v>อยู่ในชุด 600 ตามเส้นทาง</x:v>
      </x:c>
      <x:c r="E768" s="8" t="str">
        <x:v>พบชื่อสัมพันธ์หลายเว็บไซต์ รอยืนยันสาขา</x:v>
      </x:c>
      <x:c r="F768" s="8" t="str">
        <x:v>ยังไม่ยืนยันการเปิดให้บริการปัจจุบัน</x:v>
      </x:c>
      <x:c r="G768" s="8" t="n">
        <x:v>2</x:v>
      </x:c>
      <x:c r="H768" s="8" t="str"/>
      <x:c r="I768" s="8" t="str"/>
      <x:c r="J768" s="8" t="str"/>
      <x:c r="K768" s="8" t="str"/>
      <x:c r="L768" s="8" t="str">
        <x:v>https://www.marriott.com/th/hotels/bkkrr-rayong-marriott-resort-and-spa/</x:v>
      </x:c>
      <x:c r="M768" s="8" t="str">
        <x:v>https://www.thailandtourismdirectory.go.th/spas/100097</x:v>
      </x:c>
      <x:c r="N768" s="8" t="str">
        <x:v>ยังไม่ยืนยัน</x:v>
      </x:c>
      <x:c r="O768" s="8" t="str">
        <x:v>ตรวจการเปิด ตัวตนสาขา ช่องทางติดต่อ และเงื่อนไขบังคับตามประเภท</x:v>
      </x:c>
      <x:c r="P768" s="40" t="n">
        <x:v>46316</x:v>
      </x:c>
      <x:c r="Q768" s="59" t="str">
        <x:v>ยังไม่ตรวจ</x:v>
      </x:c>
      <x:c r="R768" s="59" t="str">
        <x:v>รอติดต่อ</x:v>
      </x:c>
    </x:row>
    <x:row r="769" ht="84" customHeight="1">
      <x:c r="A769" s="2" t="str">
        <x:v>R26-266</x:v>
      </x:c>
      <x:c r="B769" s="8" t="str">
        <x:v>Central Rayong</x:v>
      </x:c>
      <x:c r="C769" s="8" t="str">
        <x:v>ระยอง</x:v>
      </x:c>
      <x:c r="D769" s="8" t="str">
        <x:v>อยู่ในชุด 600 ตามเส้นทาง</x:v>
      </x:c>
      <x:c r="E769" s="8" t="str">
        <x:v>พบชื่อสัมพันธ์หลายเว็บไซต์ รอยืนยันสาขา</x:v>
      </x:c>
      <x:c r="F769" s="8" t="str">
        <x:v>ยังไม่ยืนยันการเปิดให้บริการปัจจุบัน</x:v>
      </x:c>
      <x:c r="G769" s="8" t="n">
        <x:v>5</x:v>
      </x:c>
      <x:c r="H769" s="8" t="str">
        <x:v>https://www.youtube.com/watch?v=rl3vk1VC-co</x:v>
      </x:c>
      <x:c r="I769" s="8" t="str"/>
      <x:c r="J769" s="8" t="str">
        <x:v>https://www.wongnai.com/attractions/2259238kU-central-rayong</x:v>
      </x:c>
      <x:c r="K769" s="8" t="str"/>
      <x:c r="L769" s="8" t="str">
        <x:v>https://www.majorcineplex.com/cinema/major-rayong/</x:v>
      </x:c>
      <x:c r="M769" s="8" t="str">
        <x:v>https://shoppingcenter.centralpattana.co.th/branch/central-rayong</x:v>
      </x:c>
      <x:c r="N769" s="8" t="str">
        <x:v>ยังไม่ยืนยัน</x:v>
      </x:c>
      <x:c r="O769" s="8" t="str">
        <x:v>ตรวจการเปิด ตัวตนสาขา ช่องทางติดต่อ และเงื่อนไขบังคับตามประเภท</x:v>
      </x:c>
      <x:c r="P769" s="40" t="n">
        <x:v>46316</x:v>
      </x:c>
      <x:c r="Q769" s="59" t="str">
        <x:v>ยังไม่ตรวจ</x:v>
      </x:c>
      <x:c r="R769" s="59" t="str">
        <x:v>รอติดต่อ</x:v>
      </x:c>
    </x:row>
    <x:row r="770" ht="84" customHeight="1">
      <x:c r="A770" s="2" t="str">
        <x:v>R26-154</x:v>
      </x:c>
      <x:c r="B770" s="8" t="str">
        <x:v>ทุ่งโปรงทอง</x:v>
      </x:c>
      <x:c r="C770" s="8" t="str">
        <x:v>ระยอง</x:v>
      </x:c>
      <x:c r="D770" s="8" t="str">
        <x:v>อยู่ในชุด 600 ตามเส้นทาง</x:v>
      </x:c>
      <x:c r="E770" s="8" t="str">
        <x:v>พบชื่อสัมพันธ์หลายเว็บไซต์ รอยืนยันสาขา</x:v>
      </x:c>
      <x:c r="F770" s="8" t="str">
        <x:v>ยังไม่ยืนยันการเปิดให้บริการปัจจุบัน</x:v>
      </x:c>
      <x:c r="G770" s="8" t="n">
        <x:v>13</x:v>
      </x:c>
      <x:c r="H770" s="8" t="str">
        <x:v>https://www.youtube.com/watch?v=PHuesQROrL0</x:v>
      </x:c>
      <x:c r="I770" s="8" t="str"/>
      <x:c r="J770" s="8" t="str">
        <x:v>https://www.wongnai.com/attractions/334302mi-%E0%B8%97%E0%B8%B8%E0%B9%88%E0%B8%87%E0%B9%82%E0%B8%9B%E0%B8%A3%E0%B8%87%E0%B8%97%E0%B8%AD%E0%B8%87</x:v>
      </x:c>
      <x:c r="K770" s="8" t="str"/>
      <x:c r="L770" s="8" t="str">
        <x:v>https://cbtthailand.dasta.or.th/webapp/attraction/content/86/</x:v>
      </x:c>
      <x:c r="M770" s="8" t="str">
        <x:v>https://api.tat.or.th/upload/live/multimedia/8987/Provincial_eBook_Rayong_%28Th%29.pdf</x:v>
      </x:c>
      <x:c r="N770" s="8" t="str">
        <x:v>ยังไม่ยืนยัน</x:v>
      </x:c>
      <x:c r="O770" s="8" t="str">
        <x:v>ตรวจการเปิด ตัวตนสาขา ช่องทางติดต่อ และเงื่อนไขบังคับตามประเภท</x:v>
      </x:c>
      <x:c r="P770" s="40" t="n">
        <x:v>46316</x:v>
      </x:c>
      <x:c r="Q770" s="59" t="str">
        <x:v>ยังไม่ตรวจ</x:v>
      </x:c>
      <x:c r="R770" s="59" t="str">
        <x:v>รอติดต่อ</x:v>
      </x:c>
    </x:row>
    <x:row r="771" ht="84" customHeight="1">
      <x:c r="A771" s="2" t="str">
        <x:v>R26-152</x:v>
      </x:c>
      <x:c r="B771" s="8" t="str">
        <x:v>สวนพฤกษศาสตร์ระยอง</x:v>
      </x:c>
      <x:c r="C771" s="8" t="str">
        <x:v>ระยอง</x:v>
      </x:c>
      <x:c r="D771" s="8" t="str">
        <x:v>อยู่ในชุด 600 ตามเส้นทาง</x:v>
      </x:c>
      <x:c r="E771" s="8" t="str">
        <x:v>พบชื่อสัมพันธ์หลายเว็บไซต์ รอยืนยันสาขา</x:v>
      </x:c>
      <x:c r="F771" s="8" t="str">
        <x:v>ยังไม่ยืนยันการเปิดให้บริการปัจจุบัน</x:v>
      </x:c>
      <x:c r="G771" s="8" t="n">
        <x:v>10</x:v>
      </x:c>
      <x:c r="H771" s="8" t="str">
        <x:v>https://www.youtube.com/watch?v=JUQ5EAcWD0s</x:v>
      </x:c>
      <x:c r="I771" s="8" t="str"/>
      <x:c r="J771" s="8" t="str"/>
      <x:c r="K771" s="8" t="str"/>
      <x:c r="L771" s="8" t="str">
        <x:v>https://www.rayong-pao.go.th/th/travel/g/6/detail-news/84.html</x:v>
      </x:c>
      <x:c r="M771" s="8" t="str">
        <x:v>https://cbtthailand.dasta.or.th/webapp/relattraction/content/3413/</x:v>
      </x:c>
      <x:c r="N771" s="8" t="str">
        <x:v>ยังไม่ยืนยัน</x:v>
      </x:c>
      <x:c r="O771" s="8" t="str">
        <x:v>ตรวจการเปิด ตัวตนสาขา ช่องทางติดต่อ และเงื่อนไขบังคับตามประเภท</x:v>
      </x:c>
      <x:c r="P771" s="40" t="n">
        <x:v>46316</x:v>
      </x:c>
      <x:c r="Q771" s="59" t="str">
        <x:v>ยังไม่ตรวจ</x:v>
      </x:c>
      <x:c r="R771" s="59" t="str">
        <x:v>รอติดต่อ</x:v>
      </x:c>
    </x:row>
    <x:row r="772" ht="84" customHeight="1">
      <x:c r="A772" s="2" t="str">
        <x:v>R26-155</x:v>
      </x:c>
      <x:c r="B772" s="8" t="str">
        <x:v>หาดแม่รำพึง</x:v>
      </x:c>
      <x:c r="C772" s="8" t="str">
        <x:v>ระยอง</x:v>
      </x:c>
      <x:c r="D772" s="8" t="str">
        <x:v>อยู่ในชุด 600 ตามเส้นทาง</x:v>
      </x:c>
      <x:c r="E772" s="8" t="str">
        <x:v>พบชื่อสัมพันธ์หลายเว็บไซต์ รอยืนยันสาขา</x:v>
      </x:c>
      <x:c r="F772" s="8" t="str">
        <x:v>ยังไม่ยืนยันการเปิดให้บริการปัจจุบัน</x:v>
      </x:c>
      <x:c r="G772" s="8" t="n">
        <x:v>13</x:v>
      </x:c>
      <x:c r="H772" s="8" t="str">
        <x:v>https://www.youtube.com/watch?v=jZr0zvtqbZ4</x:v>
      </x:c>
      <x:c r="I772" s="8" t="str"/>
      <x:c r="J772" s="8" t="str">
        <x:v>https://www.wongnai.com/attractions/324859wW-%E0%B8%AB%E0%B8%B2%E0%B8%94%E0%B9%81%E0%B8%A1%E0%B9%88%E0%B8%A3%E0%B8%B3%E0%B8%9E%E0%B8%B6%E0%B8%87</x:v>
      </x:c>
      <x:c r="K772" s="8" t="str"/>
      <x:c r="L772" s="8" t="str">
        <x:v>https://www.thailandtourismdirectory.go.th/attraction/3091</x:v>
      </x:c>
      <x:c r="M772" s="8" t="str">
        <x:v>https://www.rayong-pao.go.th/th/grouppage/news_detail/22329</x:v>
      </x:c>
      <x:c r="N772" s="8" t="str">
        <x:v>ยังไม่ยืนยัน</x:v>
      </x:c>
      <x:c r="O772" s="8" t="str">
        <x:v>ตรวจการเปิด ตัวตนสาขา ช่องทางติดต่อ และเงื่อนไขบังคับตามประเภท</x:v>
      </x:c>
      <x:c r="P772" s="40" t="n">
        <x:v>46316</x:v>
      </x:c>
      <x:c r="Q772" s="59" t="str">
        <x:v>ยังไม่ตรวจ</x:v>
      </x:c>
      <x:c r="R772" s="59" t="str">
        <x:v>รอติดต่อ</x:v>
      </x:c>
    </x:row>
    <x:row r="773" ht="84" customHeight="1">
      <x:c r="A773" s="2" t="str">
        <x:v>R26-153</x:v>
      </x:c>
      <x:c r="B773" s="8" t="str">
        <x:v>อุทยานแห่งชาติเขาแหลมหญ้า-หมู่เกาะเสม็ด</x:v>
      </x:c>
      <x:c r="C773" s="8" t="str">
        <x:v>ระยอง</x:v>
      </x:c>
      <x:c r="D773" s="8" t="str">
        <x:v>อยู่ในชุด 600 ตามเส้นทาง</x:v>
      </x:c>
      <x:c r="E773" s="8" t="str">
        <x:v>พบชื่อสัมพันธ์หลายเว็บไซต์ รอยืนยันสาขา</x:v>
      </x:c>
      <x:c r="F773" s="8" t="str">
        <x:v>ยังไม่ยืนยันการเปิดให้บริการปัจจุบัน</x:v>
      </x:c>
      <x:c r="G773" s="8" t="n">
        <x:v>9</x:v>
      </x:c>
      <x:c r="H773" s="8" t="str"/>
      <x:c r="I773" s="8" t="str"/>
      <x:c r="J773" s="8" t="str"/>
      <x:c r="K773" s="8" t="str"/>
      <x:c r="L773" s="8" t="str">
        <x:v>https://www.thailandtourismdirectory.go.th/th/attraction/1776</x:v>
      </x:c>
      <x:c r="M773" s="8" t="str">
        <x:v>https://www.rayong-pao.go.th/th/travel/g/6/detail-news/18204.html</x:v>
      </x:c>
      <x:c r="N773" s="8" t="str">
        <x:v>ยังไม่ยืนยัน</x:v>
      </x:c>
      <x:c r="O773" s="8" t="str">
        <x:v>ตรวจการเปิด ตัวตนสาขา ช่องทางติดต่อ และเงื่อนไขบังคับตามประเภท</x:v>
      </x:c>
      <x:c r="P773" s="40" t="n">
        <x:v>46316</x:v>
      </x:c>
      <x:c r="Q773" s="59" t="str">
        <x:v>ยังไม่ตรวจ</x:v>
      </x:c>
      <x:c r="R773" s="59" t="str">
        <x:v>รอติดต่อ</x:v>
      </x:c>
    </x:row>
    <x:row r="774" ht="84" customHeight="1">
      <x:c r="A774" s="2" t="str">
        <x:v>R26-157</x:v>
      </x:c>
      <x:c r="B774" s="8" t="str">
        <x:v>ชุมชนบ้านทะเลน้อย ระยอง</x:v>
      </x:c>
      <x:c r="C774" s="8" t="str">
        <x:v>ระยอง</x:v>
      </x:c>
      <x:c r="D774" s="8" t="str">
        <x:v>อยู่ในชุด 600 ตามเส้นทาง</x:v>
      </x:c>
      <x:c r="E774" s="8" t="str">
        <x:v>พบชื่อสัมพันธ์หลายเว็บไซต์ รอยืนยันสาขา</x:v>
      </x:c>
      <x:c r="F774" s="8" t="str">
        <x:v>ยังไม่ยืนยันการเปิดให้บริการปัจจุบัน</x:v>
      </x:c>
      <x:c r="G774" s="8" t="n">
        <x:v>9</x:v>
      </x:c>
      <x:c r="H774" s="8" t="str">
        <x:v>https://www.youtube.com/watch?v=Mvdi1xzHqWE</x:v>
      </x:c>
      <x:c r="I774" s="8" t="str"/>
      <x:c r="J774" s="8" t="str"/>
      <x:c r="K774" s="8" t="str"/>
      <x:c r="L774" s="8" t="str">
        <x:v>https://www.thailandtourismdirectory.go.th/attraction/94226</x:v>
      </x:c>
      <x:c r="M774" s="8" t="str">
        <x:v>https://thailand.go.th/useful-information-detail/001_02_219</x:v>
      </x:c>
      <x:c r="N774" s="8" t="str">
        <x:v>ยังไม่ยืนยัน</x:v>
      </x:c>
      <x:c r="O774" s="8" t="str">
        <x:v>ตรวจการเปิด ตัวตนสาขา ช่องทางติดต่อ และเงื่อนไขบังคับตามประเภท</x:v>
      </x:c>
      <x:c r="P774" s="40" t="n">
        <x:v>46316</x:v>
      </x:c>
      <x:c r="Q774" s="59" t="str">
        <x:v>ยังไม่ตรวจ</x:v>
      </x:c>
      <x:c r="R774" s="59" t="str">
        <x:v>รอติดต่อ</x:v>
      </x:c>
    </x:row>
    <x:row r="775" ht="84" customHeight="1">
      <x:c r="A775" s="2" t="str">
        <x:v>R26-156</x:v>
      </x:c>
      <x:c r="B775" s="8" t="str">
        <x:v>ชุมชนปากน้ำประแส</x:v>
      </x:c>
      <x:c r="C775" s="8" t="str">
        <x:v>ระยอง</x:v>
      </x:c>
      <x:c r="D775" s="8" t="str">
        <x:v>อยู่ในชุด 600 ตามเส้นทาง</x:v>
      </x:c>
      <x:c r="E775" s="8" t="str">
        <x:v>พบชื่อสัมพันธ์หลายเว็บไซต์ รอยืนยันสาขา</x:v>
      </x:c>
      <x:c r="F775" s="8" t="str">
        <x:v>ยังไม่ยืนยันการเปิดให้บริการปัจจุบัน</x:v>
      </x:c>
      <x:c r="G775" s="8" t="n">
        <x:v>12</x:v>
      </x:c>
      <x:c r="H775" s="8" t="str">
        <x:v>https://www.youtube.com/watch?v=u3oXXiyZ-Gg</x:v>
      </x:c>
      <x:c r="I775" s="8" t="str"/>
      <x:c r="J775" s="8" t="str">
        <x:v>https://sites.google.com/view/prasaeriver/home/%E0%B9%81%E0%B8%AB%E0%B8%A5%E0%B8%87%E0%B8%9B%E0%B8%A3%E0%B8%B0%E0%B8%A7%E0%B8%95%E0%B8%A8%E0%B8%B2%E0%B8%AA%E0%B8%95%E0%B8%A3-%E0%B9%82%E0%B8%9A%E0%B8%A3%E0%B8%B2%E0%B8%93%E0%B8%84%E0%B8%94-%E0%B8%A8%E0%B8%A5%E0%B8%9B%E0%B8%81%E0%B8%A3%E0%B8%A3%E0%B8%A1/%E0%B8%A2%E0%B8%B2%E0%B8%99%E0%B8%9B%E0%B8%A3%E0%B8%B0%E0%B8%A7%E0%B8%95%E0%B8%A8%E0%B8%B2%E0%B8%AA%E0%B8%95%E0%B8%A3/%E0%B8%8A%E0%B8%A1%E0%B8%8A%E0%B8%99%E0%B8%9B%E0%B8%B2%E0%B8%81%E0%B8%99%E0%B8%B3%E0%B8%9B%E0%B8%A3%E0%B8%B0%E0%B9%81%E0%B8%AA</x:v>
      </x:c>
      <x:c r="K775" s="8" t="str"/>
      <x:c r="L775" s="8" t="str">
        <x:v>https://web.codi.or.th/20190830-8229/</x:v>
      </x:c>
      <x:c r="M775" s="8" t="str">
        <x:v>https://wikicommunity.sac.or.th/community/420</x:v>
      </x:c>
      <x:c r="N775" s="8" t="str">
        <x:v>ยังไม่ยืนยัน</x:v>
      </x:c>
      <x:c r="O775" s="8" t="str">
        <x:v>ตรวจการเปิด ตัวตนสาขา ช่องทางติดต่อ และเงื่อนไขบังคับตามประเภท</x:v>
      </x:c>
      <x:c r="P775" s="40" t="n">
        <x:v>46316</x:v>
      </x:c>
      <x:c r="Q775" s="59" t="str">
        <x:v>ยังไม่ตรวจ</x:v>
      </x:c>
      <x:c r="R775" s="59" t="str">
        <x:v>รอติดต่อ</x:v>
      </x:c>
    </x:row>
    <x:row r="776" ht="84" customHeight="1">
      <x:c r="A776" s="2" t="str">
        <x:v>R26-304</x:v>
      </x:c>
      <x:c r="B776" s="8" t="str">
        <x:v>สวนละไม</x:v>
      </x:c>
      <x:c r="C776" s="8" t="str">
        <x:v>ระยอง</x:v>
      </x:c>
      <x:c r="D776" s="8" t="str">
        <x:v>อยู่ในชุด 600 ตามเส้นทาง</x:v>
      </x:c>
      <x:c r="E776" s="8" t="str">
        <x:v>พบชื่อสัมพันธ์หลายเว็บไซต์ รอยืนยันสาขา</x:v>
      </x:c>
      <x:c r="F776" s="8" t="str">
        <x:v>ยังไม่ยืนยันการเปิดให้บริการปัจจุบัน</x:v>
      </x:c>
      <x:c r="G776" s="8" t="n">
        <x:v>14</x:v>
      </x:c>
      <x:c r="H776" s="8" t="str">
        <x:v>https://www.youtube.com/watch?v=WMlziOoEzGM</x:v>
      </x:c>
      <x:c r="I776" s="8" t="str"/>
      <x:c r="J776" s="8" t="str">
        <x:v>https://www.wongnai.com/restaurants/209085Nf-%E0%B8%AA%E0%B8%A7%E0%B8%99%E0%B8%A5%E0%B8%B0%E0%B9%84%E0%B8%A1</x:v>
      </x:c>
      <x:c r="K776" s="8" t="str"/>
      <x:c r="L776" s="8" t="str">
        <x:v>https://www.thailandtourismdirectory.go.th/attraction/4684</x:v>
      </x:c>
      <x:c r="M776" s="8" t="str">
        <x:v>https://www.rayong-pao.go.th/th/travel/g/6/detail-news/20687.html</x:v>
      </x:c>
      <x:c r="N776" s="8" t="str">
        <x:v>ยังไม่ยืนยัน</x:v>
      </x:c>
      <x:c r="O776" s="8" t="str">
        <x:v>ตรวจการเปิด ตัวตนสาขา ช่องทางติดต่อ และเงื่อนไขบังคับตามประเภท</x:v>
      </x:c>
      <x:c r="P776" s="40" t="n">
        <x:v>46316</x:v>
      </x:c>
      <x:c r="Q776" s="59" t="str">
        <x:v>ยังไม่ตรวจ</x:v>
      </x:c>
      <x:c r="R776" s="59" t="str">
        <x:v>รอติดต่อ</x:v>
      </x:c>
    </x:row>
    <x:row r="777" ht="84" customHeight="1">
      <x:c r="A777" s="2" t="str">
        <x:v>R26-071</x:v>
      </x:c>
      <x:c r="B777" s="8" t="str">
        <x:v>The Seaside Halal เกาะยอ</x:v>
      </x:c>
      <x:c r="C777" s="8" t="str">
        <x:v>สงขลา</x:v>
      </x:c>
      <x:c r="D777" s="8" t="str">
        <x:v>อยู่ในชุด 600 ตามเส้นทาง</x:v>
      </x:c>
      <x:c r="E777" s="8" t="str">
        <x:v>พบชื่อสัมพันธ์หลายเว็บไซต์ รอยืนยันสาขา</x:v>
      </x:c>
      <x:c r="F777" s="8" t="str">
        <x:v>ยังไม่ยืนยันการเปิดให้บริการปัจจุบัน</x:v>
      </x:c>
      <x:c r="G777" s="8" t="n">
        <x:v>4</x:v>
      </x:c>
      <x:c r="H777" s="8" t="str"/>
      <x:c r="I777" s="8" t="str"/>
      <x:c r="J777" s="8" t="str">
        <x:v>https://th.tripadvisor.com/Restaurant_Review-g2301765-d23820594-Reviews-The_Seaside_Halal-Ko_Yo_Songkhla_Province.html</x:v>
      </x:c>
      <x:c r="K777" s="8" t="str">
        <x:v>https://www.wongnai.com/restaurants/489686hz-the-seaside-halal</x:v>
      </x:c>
      <x:c r="L777" s="8" t="str">
        <x:v>https://thesesidehalal.songkhlafoodcity.com/</x:v>
      </x:c>
      <x:c r="M777" s="8" t="str">
        <x:v>https://wanderlog.com/place/details/3475258/the-seaside-halal</x:v>
      </x:c>
      <x:c r="N777" s="8" t="str">
        <x:v>ยังไม่ยืนยัน</x:v>
      </x:c>
      <x:c r="O777" s="8" t="str">
        <x:v>ตรวจการเปิด ตัวตนสาขา ช่องทางติดต่อ และเงื่อนไขบังคับตามประเภท</x:v>
      </x:c>
      <x:c r="P777" s="40" t="n">
        <x:v>46316</x:v>
      </x:c>
      <x:c r="Q777" s="59" t="str">
        <x:v>ยังไม่ตรวจ</x:v>
      </x:c>
      <x:c r="R777" s="59" t="str">
        <x:v>รอติดต่อ</x:v>
      </x:c>
    </x:row>
    <x:row r="778" ht="84" customHeight="1">
      <x:c r="A778" s="2" t="str">
        <x:v>R26-068</x:v>
      </x:c>
      <x:c r="B778" s="8" t="str">
        <x:v>ข้าวมันไก่ไข่ฮาลาลบ้านบน</x:v>
      </x:c>
      <x:c r="C778" s="8" t="str">
        <x:v>สงขลา</x:v>
      </x:c>
      <x:c r="D778" s="8" t="str">
        <x:v>อยู่ในชุด 600 ตามเส้นทาง</x:v>
      </x:c>
      <x:c r="E778" s="8" t="str">
        <x:v>ยังไม่มีแหล่งออนไลน์อิสระที่สองชัดเจน</x:v>
      </x:c>
      <x:c r="F778" s="8" t="str">
        <x:v>ยังไม่ยืนยันการเปิดให้บริการปัจจุบัน</x:v>
      </x:c>
      <x:c r="G778" s="8" t="n">
        <x:v>1</x:v>
      </x:c>
      <x:c r="H778" s="8" t="str"/>
      <x:c r="I778" s="8" t="str"/>
      <x:c r="J778" s="8" t="str">
        <x:v>https://www.wongnai.com/restaurants/948857US-%E0%B8%82%E0%B9%89%E0%B8%B2%E0%B8%A7%E0%B8%A1%E0%B8%B1%E0%B8%99%E0%B9%84%E0%B8%81%E0%B9%88%E0%B9%84%E0%B8%82%E0%B9%88%E0%B8%AE%E0%B8%B2%E0%B8%A5%E0%B8%B2%E0%B8%A5%E0%B8%9A%E0%B9%89%E0%B8%B2%E0%B8%99%E0%B8%9A%E0%B8%99</x:v>
      </x:c>
      <x:c r="K778" s="8" t="str"/>
      <x:c r="L778" s="8" t="str">
        <x:v>https://www.wongnai.com/restaurants/948857US-%E0%B8%82%E0%B9%89%E0%B8%B2%E0%B8%A7%E0%B8%A1%E0%B8%B1%E0%B8%99%E0%B9%84%E0%B8%81%E0%B9%88%E0%B9%84%E0%B8%82%E0%B9%88%E0%B8%AE%E0%B8%B2%E0%B8%A5%E0%B8%B2%E0%B8%A5%E0%B8%9A%E0%B9%89%E0%B8%B2%E0%B8%99%E0%B8%9A%E0%B8%99</x:v>
      </x:c>
      <x:c r="M778" s="8" t="str"/>
      <x:c r="N778" s="8" t="str">
        <x:v>ยังไม่ยืนยัน</x:v>
      </x:c>
      <x:c r="O778" s="8" t="str">
        <x:v>ตรวจการเปิด ตัวตนสาขา ช่องทางติดต่อ และเงื่อนไขบังคับตามประเภท / ยังไม่มีแหล่งออนไลน์อิสระที่สองชัดเจน ต้องติดต่อยืนยันก่อนใช้เป็นจุดหลัก</x:v>
      </x:c>
      <x:c r="P778" s="40" t="n">
        <x:v>46316</x:v>
      </x:c>
      <x:c r="Q778" s="59" t="str">
        <x:v>ยังไม่ตรวจ</x:v>
      </x:c>
      <x:c r="R778" s="59" t="str">
        <x:v>รอติดต่อ</x:v>
      </x:c>
    </x:row>
    <x:row r="779" ht="84" customHeight="1">
      <x:c r="A779" s="2" t="str">
        <x:v>R26-070</x:v>
      </x:c>
      <x:c r="B779" s="8" t="str">
        <x:v>หาดสมิหลา</x:v>
      </x:c>
      <x:c r="C779" s="8" t="str">
        <x:v>สงขลา</x:v>
      </x:c>
      <x:c r="D779" s="8" t="str">
        <x:v>อยู่ในชุด 600 ตามเส้นทาง</x:v>
      </x:c>
      <x:c r="E779" s="8" t="str">
        <x:v>พบชื่อสัมพันธ์หลายเว็บไซต์ รอยืนยันสาขา</x:v>
      </x:c>
      <x:c r="F779" s="8" t="str">
        <x:v>ยังไม่ยืนยันการเปิดให้บริการปัจจุบัน</x:v>
      </x:c>
      <x:c r="G779" s="8" t="n">
        <x:v>15</x:v>
      </x:c>
      <x:c r="H779" s="8" t="str">
        <x:v>https://www.youtube.com/watch?v=TcakfaQpHhs</x:v>
      </x:c>
      <x:c r="I779" s="8" t="str"/>
      <x:c r="J779" s="8" t="str">
        <x:v>https://www.wongnai.com/attractions/347632rh-%E0%B8%AB%E0%B8%B2%E0%B8%94%E0%B8%AA%E0%B8%A1%E0%B8%B4%E0%B8%AB%E0%B8%A5%E0%B8%B2-samila-beach</x:v>
      </x:c>
      <x:c r="K779" s="8" t="str"/>
      <x:c r="L779" s="8" t="str">
        <x:v>https://songkhla.mots.go.th/news/394</x:v>
      </x:c>
      <x:c r="M779" s="8" t="str">
        <x:v>https://thailandaddict.com/samila-beach</x:v>
      </x:c>
      <x:c r="N779" s="8" t="str">
        <x:v>ยังไม่ยืนยัน</x:v>
      </x:c>
      <x:c r="O779" s="8" t="str">
        <x:v>ตรวจการเปิด ตัวตนสาขา ช่องทางติดต่อ และเงื่อนไขบังคับตามประเภท</x:v>
      </x:c>
      <x:c r="P779" s="40" t="n">
        <x:v>46316</x:v>
      </x:c>
      <x:c r="Q779" s="59" t="str">
        <x:v>ยังไม่ตรวจ</x:v>
      </x:c>
      <x:c r="R779" s="59" t="str">
        <x:v>รอติดต่อ</x:v>
      </x:c>
    </x:row>
    <x:row r="780" ht="84" customHeight="1">
      <x:c r="A780" s="2" t="str">
        <x:v>R26-069</x:v>
      </x:c>
      <x:c r="B780" s="8" t="str">
        <x:v>เขาตังกวน</x:v>
      </x:c>
      <x:c r="C780" s="8" t="str">
        <x:v>สงขลา</x:v>
      </x:c>
      <x:c r="D780" s="8" t="str">
        <x:v>อยู่ในชุด 600 ตามเส้นทาง</x:v>
      </x:c>
      <x:c r="E780" s="8" t="str">
        <x:v>พบชื่อสัมพันธ์หลายเว็บไซต์ รอยืนยันสาขา</x:v>
      </x:c>
      <x:c r="F780" s="8" t="str">
        <x:v>ยังไม่ยืนยันการเปิดให้บริการปัจจุบัน</x:v>
      </x:c>
      <x:c r="G780" s="8" t="n">
        <x:v>13</x:v>
      </x:c>
      <x:c r="H780" s="8" t="str"/>
      <x:c r="I780" s="8" t="str"/>
      <x:c r="J780" s="8" t="str">
        <x:v>https://www.wongnai.com/attractions/338680oI-%E0%B9%80%E0%B8%82%E0%B8%B2%E0%B8%95%E0%B8%B1%E0%B8%87%E0%B8%81%E0%B8%A7%E0%B8%99/photos/44fc7f65410e46b4b9546edc7b6c3b01</x:v>
      </x:c>
      <x:c r="K780" s="8" t="str"/>
      <x:c r="L780" s="8" t="str">
        <x:v>https://songkhla.mots.go.th/news/393</x:v>
      </x:c>
      <x:c r="M780" s="8" t="str">
        <x:v>https://www.songkhlacity.go.th/2020/travel/detail/7/data.html</x:v>
      </x:c>
      <x:c r="N780" s="8" t="str">
        <x:v>ยังไม่ยืนยัน</x:v>
      </x:c>
      <x:c r="O780" s="8" t="str">
        <x:v>ตรวจการเปิด ตัวตนสาขา ช่องทางติดต่อ และเงื่อนไขบังคับตามประเภท</x:v>
      </x:c>
      <x:c r="P780" s="40" t="n">
        <x:v>46316</x:v>
      </x:c>
      <x:c r="Q780" s="59" t="str">
        <x:v>ยังไม่ตรวจ</x:v>
      </x:c>
      <x:c r="R780" s="59" t="str">
        <x:v>รอติดต่อ</x:v>
      </x:c>
    </x:row>
    <x:row r="781" ht="84" customHeight="1">
      <x:c r="A781" s="2" t="str">
        <x:v>R26-066</x:v>
      </x:c>
      <x:c r="B781" s="8" t="str">
        <x:v>ย่านเมืองเก่าสงขลา</x:v>
      </x:c>
      <x:c r="C781" s="8" t="str">
        <x:v>สงขลา</x:v>
      </x:c>
      <x:c r="D781" s="8" t="str">
        <x:v>อยู่ในชุด 600 ตามเส้นทาง</x:v>
      </x:c>
      <x:c r="E781" s="8" t="str">
        <x:v>พบชื่อสัมพันธ์หลายเว็บไซต์ รอยืนยันสาขา</x:v>
      </x:c>
      <x:c r="F781" s="8" t="str">
        <x:v>ยังไม่ยืนยันการเปิดให้บริการปัจจุบัน</x:v>
      </x:c>
      <x:c r="G781" s="8" t="n">
        <x:v>13</x:v>
      </x:c>
      <x:c r="H781" s="8" t="str">
        <x:v>https://www.youtube.com/watch?v=8ygub86MGAQ</x:v>
      </x:c>
      <x:c r="I781" s="8" t="str"/>
      <x:c r="J781" s="8" t="str"/>
      <x:c r="K781" s="8" t="str"/>
      <x:c r="L781" s="8" t="str">
        <x:v>https://wikicommunity.sac.or.th/community/349</x:v>
      </x:c>
      <x:c r="M781" s="8" t="str">
        <x:v>https://www.thailandtourismdirectory.go.th/attraction/379</x:v>
      </x:c>
      <x:c r="N781" s="8" t="str">
        <x:v>ยังไม่ยืนยัน</x:v>
      </x:c>
      <x:c r="O781" s="8" t="str">
        <x:v>ตรวจการเปิด ตัวตนสาขา ช่องทางติดต่อ และเงื่อนไขบังคับตามประเภท</x:v>
      </x:c>
      <x:c r="P781" s="40" t="n">
        <x:v>46316</x:v>
      </x:c>
      <x:c r="Q781" s="59" t="str">
        <x:v>ยังไม่ตรวจ</x:v>
      </x:c>
      <x:c r="R781" s="59" t="str">
        <x:v>รอติดต่อ</x:v>
      </x:c>
    </x:row>
    <x:row r="782" ht="84" customHeight="1">
      <x:c r="A782" s="2" t="str">
        <x:v>R26-067</x:v>
      </x:c>
      <x:c r="B782" s="8" t="str">
        <x:v>ชุมชนมัสยิดบ้านบน สงขลา</x:v>
      </x:c>
      <x:c r="C782" s="8" t="str">
        <x:v>สงขลา</x:v>
      </x:c>
      <x:c r="D782" s="8" t="str">
        <x:v>อยู่ในชุด 600 ตามเส้นทาง</x:v>
      </x:c>
      <x:c r="E782" s="8" t="str">
        <x:v>พบชื่อสัมพันธ์หลายเว็บไซต์ รอยืนยันสาขา</x:v>
      </x:c>
      <x:c r="F782" s="8" t="str">
        <x:v>ยังไม่ยืนยันการเปิดให้บริการปัจจุบัน</x:v>
      </x:c>
      <x:c r="G782" s="8" t="n">
        <x:v>4</x:v>
      </x:c>
      <x:c r="H782" s="8" t="str"/>
      <x:c r="I782" s="8" t="str"/>
      <x:c r="J782" s="8" t="str"/>
      <x:c r="K782" s="8" t="str"/>
      <x:c r="L782" s="8" t="str">
        <x:v>https://wikicommunity.sac.or.th/community/1779</x:v>
      </x:c>
      <x:c r="M782" s="8" t="str">
        <x:v>https://songkhla.prd.go.th/th/content/category/detail/id/33/iid/105473</x:v>
      </x:c>
      <x:c r="N782" s="8" t="str">
        <x:v>ยังไม่ยืนยัน</x:v>
      </x:c>
      <x:c r="O782" s="8" t="str">
        <x:v>ตรวจการเปิด ตัวตนสาขา ช่องทางติดต่อ และเงื่อนไขบังคับตามประเภท</x:v>
      </x:c>
      <x:c r="P782" s="40" t="n">
        <x:v>46316</x:v>
      </x:c>
      <x:c r="Q782" s="59" t="str">
        <x:v>ยังไม่ตรวจ</x:v>
      </x:c>
      <x:c r="R782" s="59" t="str">
        <x:v>รอติดต่อ</x:v>
      </x:c>
    </x:row>
    <x:row r="783" ht="84" customHeight="1">
      <x:c r="A783" s="2" t="str">
        <x:v>R26-267</x:v>
      </x:c>
      <x:c r="B783" s="8" t="str">
        <x:v>Central Hatyai</x:v>
      </x:c>
      <x:c r="C783" s="8" t="str">
        <x:v>สงขลา</x:v>
      </x:c>
      <x:c r="D783" s="8" t="str">
        <x:v>อยู่ในชุด 600 ตามเส้นทาง</x:v>
      </x:c>
      <x:c r="E783" s="8" t="str">
        <x:v>พบชื่อสัมพันธ์หลายเว็บไซต์ รอยืนยันสาขา</x:v>
      </x:c>
      <x:c r="F783" s="8" t="str">
        <x:v>ยังไม่ยืนยันการเปิดให้บริการปัจจุบัน</x:v>
      </x:c>
      <x:c r="G783" s="8" t="n">
        <x:v>6</x:v>
      </x:c>
      <x:c r="H783" s="8" t="str">
        <x:v>https://www.facebook.com/CentralHatyaiFanpage</x:v>
      </x:c>
      <x:c r="I783" s="8" t="str">
        <x:v>https://www.instagram.com/central_hatyai</x:v>
      </x:c>
      <x:c r="J783" s="8" t="str"/>
      <x:c r="K783" s="8" t="str"/>
      <x:c r="L783" s="8" t="str">
        <x:v>https://www.centralhatyai.com/th</x:v>
      </x:c>
      <x:c r="M783" s="8" t="str">
        <x:v>https://shoppingcenter.centralpattana.co.th/branch/central-hatyai/contact-us</x:v>
      </x:c>
      <x:c r="N783" s="8" t="str">
        <x:v>ยังไม่ยืนยัน</x:v>
      </x:c>
      <x:c r="O783" s="8" t="str">
        <x:v>ตรวจการเปิด ตัวตนสาขา ช่องทางติดต่อ และเงื่อนไขบังคับตามประเภท</x:v>
      </x:c>
      <x:c r="P783" s="40" t="n">
        <x:v>46316</x:v>
      </x:c>
      <x:c r="Q783" s="59" t="str">
        <x:v>ยังไม่ตรวจ</x:v>
      </x:c>
      <x:c r="R783" s="59" t="str">
        <x:v>รอติดต่อ</x:v>
      </x:c>
    </x:row>
    <x:row r="784" ht="84" customHeight="1">
      <x:c r="A784" s="2" t="str">
        <x:v>R26-309</x:v>
      </x:c>
      <x:c r="B784" s="8" t="str">
        <x:v>สวนสัตว์สงขลา</x:v>
      </x:c>
      <x:c r="C784" s="8" t="str">
        <x:v>สงขลา</x:v>
      </x:c>
      <x:c r="D784" s="8" t="str">
        <x:v>อยู่ในชุด 600 ตามเส้นทาง</x:v>
      </x:c>
      <x:c r="E784" s="8" t="str">
        <x:v>พบชื่อสัมพันธ์หลายเว็บไซต์ รอยืนยันสาขา</x:v>
      </x:c>
      <x:c r="F784" s="8" t="str">
        <x:v>ยังไม่ยืนยันการเปิดให้บริการปัจจุบัน</x:v>
      </x:c>
      <x:c r="G784" s="8" t="n">
        <x:v>9</x:v>
      </x:c>
      <x:c r="H784" s="8" t="str"/>
      <x:c r="I784" s="8" t="str"/>
      <x:c r="J784" s="8" t="str"/>
      <x:c r="K784" s="8" t="str"/>
      <x:c r="L784" s="8" t="str">
        <x:v>https://www.krc.go.th/travel/detail/4/data.html</x:v>
      </x:c>
      <x:c r="M784" s="8" t="str">
        <x:v>https://songkhla.prd.go.th/th/content/category/detail/id/297/iid/168530</x:v>
      </x:c>
      <x:c r="N784" s="8" t="str">
        <x:v>ยังไม่ยืนยัน</x:v>
      </x:c>
      <x:c r="O784" s="8" t="str">
        <x:v>ตรวจการเปิด ตัวตนสาขา ช่องทางติดต่อ และเงื่อนไขบังคับตามประเภท</x:v>
      </x:c>
      <x:c r="P784" s="40" t="n">
        <x:v>46316</x:v>
      </x:c>
      <x:c r="Q784" s="59" t="str">
        <x:v>ยังไม่ตรวจ</x:v>
      </x:c>
      <x:c r="R784" s="59" t="str">
        <x:v>รอติดต่อ</x:v>
      </x:c>
    </x:row>
    <x:row r="785" ht="84" customHeight="1">
      <x:c r="A785" s="2" t="str">
        <x:v>R26-072</x:v>
      </x:c>
      <x:c r="B785" s="8" t="str">
        <x:v>ปราสาทหินพันยอด</x:v>
      </x:c>
      <x:c r="C785" s="8" t="str">
        <x:v>สตูล</x:v>
      </x:c>
      <x:c r="D785" s="8" t="str">
        <x:v>อยู่ในชุด 600 ตามเส้นทาง</x:v>
      </x:c>
      <x:c r="E785" s="8" t="str">
        <x:v>พบชื่อสัมพันธ์หลายเว็บไซต์ รอยืนยันสาขา</x:v>
      </x:c>
      <x:c r="F785" s="8" t="str">
        <x:v>ยังไม่ยืนยันการเปิดให้บริการปัจจุบัน</x:v>
      </x:c>
      <x:c r="G785" s="8" t="n">
        <x:v>15</x:v>
      </x:c>
      <x:c r="H785" s="8" t="str">
        <x:v>https://www.youtube.com/watch?v=gKcpR1MYolc</x:v>
      </x:c>
      <x:c r="I785" s="8" t="str"/>
      <x:c r="J785" s="8" t="str"/>
      <x:c r="K785" s="8" t="str"/>
      <x:c r="L785" s="8" t="str">
        <x:v>https://www.satun.go.th/travel/detail/4</x:v>
      </x:c>
      <x:c r="M785" s="8" t="str">
        <x:v>https://www.thaipbs.or.th/news/gallery/133</x:v>
      </x:c>
      <x:c r="N785" s="8" t="str">
        <x:v>ยังไม่ยืนยัน</x:v>
      </x:c>
      <x:c r="O785" s="8" t="str">
        <x:v>ตรวจการเปิด ตัวตนสาขา ช่องทางติดต่อ และเงื่อนไขบังคับตามประเภท</x:v>
      </x:c>
      <x:c r="P785" s="40" t="n">
        <x:v>46316</x:v>
      </x:c>
      <x:c r="Q785" s="59" t="str">
        <x:v>ยังไม่ตรวจ</x:v>
      </x:c>
      <x:c r="R785" s="59" t="str">
        <x:v>รอติดต่อ</x:v>
      </x:c>
    </x:row>
    <x:row r="786" ht="84" customHeight="1">
      <x:c r="A786" s="2" t="str">
        <x:v>R26-075</x:v>
      </x:c>
      <x:c r="B786" s="8" t="str">
        <x:v>มัสยิดมำบัง</x:v>
      </x:c>
      <x:c r="C786" s="8" t="str">
        <x:v>สตูล</x:v>
      </x:c>
      <x:c r="D786" s="8" t="str">
        <x:v>อยู่ในชุด 600 ตามเส้นทาง</x:v>
      </x:c>
      <x:c r="E786" s="8" t="str">
        <x:v>พบชื่อสัมพันธ์หลายเว็บไซต์ รอยืนยันสาขา</x:v>
      </x:c>
      <x:c r="F786" s="8" t="str">
        <x:v>ยังไม่ยืนยันการเปิดให้บริการปัจจุบัน</x:v>
      </x:c>
      <x:c r="G786" s="8" t="n">
        <x:v>9</x:v>
      </x:c>
      <x:c r="H786" s="8" t="str"/>
      <x:c r="I786" s="8" t="str"/>
      <x:c r="J786" s="8" t="str">
        <x:v>https://www.wongnai.com/restaurants/1411610oV-%E0%B8%82%E0%B8%99%E0%B8%A1%E0%B8%AB%E0%B8%A7%E0%B8%B2%E0%B8%99%E0%B8%AB%E0%B8%AD%E0%B8%99%E0%B8%B2%E0%B8%AC%E0%B8%B4%E0%B8%81%E0%B8%B2%E0%B8%A1%E0%B8%B1%E0%B8%AA%E0%B8%A2%E0%B8%B4%E0%B8%94%E0%B8%A1%E0%B8%B3%E0%B8%9A%E0%B8%B1%E0%B8%87</x:v>
      </x:c>
      <x:c r="K786" s="8" t="str"/>
      <x:c r="L786" s="8" t="str">
        <x:v>https://www.thailandtourismdirectory.go.th/attraction/21236</x:v>
      </x:c>
      <x:c r="M786" s="8" t="str">
        <x:v>https://webapi.satunpao.go.th/uploads/news-docs/1743740621955-706547210.pdf</x:v>
      </x:c>
      <x:c r="N786" s="8" t="str">
        <x:v>ยังไม่ยืนยัน</x:v>
      </x:c>
      <x:c r="O78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786" s="40" t="n">
        <x:v>46316</x:v>
      </x:c>
      <x:c r="Q786" s="59" t="str">
        <x:v>ยังไม่ตรวจ</x:v>
      </x:c>
      <x:c r="R786" s="59" t="str">
        <x:v>รอติดต่อ</x:v>
      </x:c>
    </x:row>
    <x:row r="787" ht="84" customHeight="1">
      <x:c r="A787" s="2" t="str">
        <x:v>R26-073</x:v>
      </x:c>
      <x:c r="B787" s="8" t="str">
        <x:v>ชุมชนบ้านบ่อเจ็ดลูก</x:v>
      </x:c>
      <x:c r="C787" s="8" t="str">
        <x:v>สตูล</x:v>
      </x:c>
      <x:c r="D787" s="8" t="str">
        <x:v>อยู่ในชุด 600 ตามเส้นทาง</x:v>
      </x:c>
      <x:c r="E787" s="8" t="str">
        <x:v>พบชื่อสัมพันธ์หลายเว็บไซต์ รอยืนยันสาขา</x:v>
      </x:c>
      <x:c r="F787" s="8" t="str">
        <x:v>ยังไม่ยืนยันการเปิดให้บริการปัจจุบัน</x:v>
      </x:c>
      <x:c r="G787" s="8" t="n">
        <x:v>8</x:v>
      </x:c>
      <x:c r="H787" s="8" t="str">
        <x:v>https://www.youtube.com/watch?v=VYWs1jJ9piU</x:v>
      </x:c>
      <x:c r="I787" s="8" t="str"/>
      <x:c r="J787" s="8" t="str"/>
      <x:c r="K787" s="8" t="str"/>
      <x:c r="L787" s="8" t="str">
        <x:v>https://wikicommunity.sac.or.th/community/2436</x:v>
      </x:c>
      <x:c r="M787" s="8" t="str">
        <x:v>https://www.thailandtourismdirectory.go.th/attraction/21604</x:v>
      </x:c>
      <x:c r="N787" s="8" t="str">
        <x:v>ยังไม่ยืนยัน</x:v>
      </x:c>
      <x:c r="O787" s="8" t="str">
        <x:v>ตรวจการเปิด ตัวตนสาขา ช่องทางติดต่อ และเงื่อนไขบังคับตามประเภท</x:v>
      </x:c>
      <x:c r="P787" s="40" t="n">
        <x:v>46316</x:v>
      </x:c>
      <x:c r="Q787" s="59" t="str">
        <x:v>ยังไม่ตรวจ</x:v>
      </x:c>
      <x:c r="R787" s="59" t="str">
        <x:v>รอติดต่อ</x:v>
      </x:c>
    </x:row>
    <x:row r="788" ht="84" customHeight="1">
      <x:c r="A788" s="2" t="str">
        <x:v>R26-384</x:v>
      </x:c>
      <x:c r="B788" s="8" t="str">
        <x:v>Sinkiat Thani Hotel</x:v>
      </x:c>
      <x:c r="C788" s="8" t="str">
        <x:v>สตูล</x:v>
      </x:c>
      <x:c r="D788" s="8" t="str">
        <x:v>อยู่ในชุด 600 ตามเส้นทาง</x:v>
      </x:c>
      <x:c r="E788" s="8" t="str">
        <x:v>พบชื่อสัมพันธ์หลายเว็บไซต์ รอยืนยันสาขา</x:v>
      </x:c>
      <x:c r="F788" s="8" t="str">
        <x:v>ยังไม่ยืนยันการเปิดให้บริการปัจจุบัน</x:v>
      </x:c>
      <x:c r="G788" s="8" t="n">
        <x:v>9</x:v>
      </x:c>
      <x:c r="H788" s="8" t="str"/>
      <x:c r="I788" s="8" t="str"/>
      <x:c r="J788" s="8" t="str">
        <x:v>https://www.booking.com/hotel/th/sinkiat-thani.html</x:v>
      </x:c>
      <x:c r="K788" s="8" t="str">
        <x:v>https://www.google.co.th/travel/hotels/entity/ChgIsbfF2auY18_KARoLL2cvMXRjeDltdGMQAQ?ap=MAE&amp;g2lb=4207876%2C4208993%2C4223281%2C4242898%2C4251619%2C4252383%2C4253230%2C4254308%2C4258168%2C4260037%2C4260580%2C4250437%2C4253015%2C4256182&amp;gl=th&amp;hl=en&amp;q=%E0%B8%9A%E0%B8%B9%E0%B8%97%E0%B8%B5%E0%B8%84+%E0%B9%82%E0%B8%AE%E0%B9%80%E0%B8%97%E0%B8%A5&amp;rp=OAFAAEgC&amp;tcfs=EhoaGAoKMjAxOS0wNS0xOBIKMjAxOS0wNS0xOVIA&amp;ts=CAEaBAoCGgAqBAoAGgA&amp;un=0</x:v>
      </x:c>
      <x:c r="L788" s="8" t="str">
        <x:v>https://www.sinkiathotel.com/</x:v>
      </x:c>
      <x:c r="M788" s="8" t="str">
        <x:v>https://thailandaddict.com/review-sinkiat-thani-hotel-satun</x:v>
      </x:c>
      <x:c r="N788" s="8" t="str">
        <x:v>ยังไม่ยืนยัน</x:v>
      </x:c>
      <x:c r="O788" s="8" t="str">
        <x:v>ตรวจการเปิด ตัวตนสาขา ช่องทางติดต่อ และเงื่อนไขบังคับตามประเภท</x:v>
      </x:c>
      <x:c r="P788" s="40" t="n">
        <x:v>46316</x:v>
      </x:c>
      <x:c r="Q788" s="59" t="str">
        <x:v>ยังไม่ตรวจ</x:v>
      </x:c>
      <x:c r="R788" s="59" t="str">
        <x:v>รอติดต่อ</x:v>
      </x:c>
    </x:row>
    <x:row r="789" ht="84" customHeight="1">
      <x:c r="A789" s="2" t="str">
        <x:v>R26-347</x:v>
      </x:c>
      <x:c r="B789" s="8" t="str">
        <x:v>SP ติ่มซำฮาลาล</x:v>
      </x:c>
      <x:c r="C789" s="8" t="str">
        <x:v>สตูล</x:v>
      </x:c>
      <x:c r="D789" s="8" t="str">
        <x:v>อยู่ในชุด 600 ตามเส้นทาง</x:v>
      </x:c>
      <x:c r="E789" s="8" t="str">
        <x:v>พบชื่อสัมพันธ์หลายเว็บไซต์ รอยืนยันสาขา</x:v>
      </x:c>
      <x:c r="F789" s="8" t="str">
        <x:v>ยังไม่ยืนยันการเปิดให้บริการปัจจุบัน</x:v>
      </x:c>
      <x:c r="G789" s="8" t="n">
        <x:v>5</x:v>
      </x:c>
      <x:c r="H789" s="8" t="str"/>
      <x:c r="I789" s="8" t="str"/>
      <x:c r="J789" s="8" t="str">
        <x:v>https://www.wongnai.com/restaurants/1020059Cp-sp-%E0%B8%95%E0%B8%B4%E0%B9%88%E0%B8%A1%E0%B8%8B%E0%B8%B3%E0%B8%AE%E0%B8%B2%E0%B8%A5%E0%B8%B2%E0%B8%A5</x:v>
      </x:c>
      <x:c r="K789" s="8" t="str"/>
      <x:c r="L789" s="8" t="str">
        <x:v>https://www.lemon8-app.com/%40nanaphatttt/7653811458740699668?region=th</x:v>
      </x:c>
      <x:c r="M789" s="8" t="str">
        <x:v>https://makanhalalguide.com/shop/detail/2680</x:v>
      </x:c>
      <x:c r="N789" s="8" t="str">
        <x:v>ยังไม่ยืนยัน</x:v>
      </x:c>
      <x:c r="O789" s="8" t="str">
        <x:v>ตรวจการเปิด ตัวตนสาขา ช่องทางติดต่อ และเงื่อนไขบังคับตามประเภท</x:v>
      </x:c>
      <x:c r="P789" s="40" t="n">
        <x:v>46316</x:v>
      </x:c>
      <x:c r="Q789" s="59" t="str">
        <x:v>ยังไม่ตรวจ</x:v>
      </x:c>
      <x:c r="R789" s="59" t="str">
        <x:v>รอติดต่อ</x:v>
      </x:c>
    </x:row>
    <x:row r="790" ht="84" customHeight="1">
      <x:c r="A790" s="2" t="str">
        <x:v>R26-349</x:v>
      </x:c>
      <x:c r="B790" s="8" t="str">
        <x:v>ครัวฮาลาล บขส.สตูล</x:v>
      </x:c>
      <x:c r="C790" s="8" t="str">
        <x:v>สตูล</x:v>
      </x:c>
      <x:c r="D790" s="8" t="str">
        <x:v>อยู่ในชุด 600 ตามเส้นทาง</x:v>
      </x:c>
      <x:c r="E790" s="8" t="str">
        <x:v>พบชื่อสัมพันธ์หลายเว็บไซต์ รอยืนยันสาขา</x:v>
      </x:c>
      <x:c r="F790" s="8" t="str">
        <x:v>ยังไม่ยืนยันการเปิดให้บริการปัจจุบัน</x:v>
      </x:c>
      <x:c r="G790" s="8" t="n">
        <x:v>2</x:v>
      </x:c>
      <x:c r="H790" s="8" t="str"/>
      <x:c r="I790" s="8" t="str"/>
      <x:c r="J790" s="8" t="str">
        <x:v>https://www.wongnai.com/restaurants/1001959lF-%E0%B8%84%E0%B8%A3%E0%B8%B1%E0%B8%A7%E0%B8%AE%E0%B8%B2%E0%B8%A5%E0%B8%B2%E0%B8%A5-%E0%B8%9A%E0%B8%82%E0%B8%AA-%E0%B8%AA%E0%B8%95%E0%B8%B9%E0%B8%A5</x:v>
      </x:c>
      <x:c r="K790" s="8" t="str"/>
      <x:c r="L790" s="8" t="str">
        <x:v>https://www.thaithurkic.com/%E0%B8%84%E0%B8%A3%E0%B8%B1%E0%B8%A7%E0%B8%AE%E0%B8%B2%E0%B8%A5%E0%B8%B2%E0%B8%A5-%E0%B8%9A%E0%B8%82%E0%B8%AA-%E0%B8%AA%E0%B8%95%E0%B8%B9%E0%B8%A5-089-658-6678</x:v>
      </x:c>
      <x:c r="M790" s="8" t="str">
        <x:v>https://www.wongnai.com/restaurants/1001959lF-%E0%B8%84%E0%B8%A3%E0%B8%B1%E0%B8%A7%E0%B8%AE%E0%B8%B2%E0%B8%A5%E0%B8%B2%E0%B8%A5-%E0%B8%9A%E0%B8%82%E0%B8%AA-%E0%B8%AA%E0%B8%95%E0%B8%B9%E0%B8%A5</x:v>
      </x:c>
      <x:c r="N790" s="8" t="str">
        <x:v>ยังไม่ยืนยัน</x:v>
      </x:c>
      <x:c r="O790" s="8" t="str">
        <x:v>ตรวจการเปิด ตัวตนสาขา ช่องทางติดต่อ และเงื่อนไขบังคับตามประเภท</x:v>
      </x:c>
      <x:c r="P790" s="40" t="n">
        <x:v>46316</x:v>
      </x:c>
      <x:c r="Q790" s="59" t="str">
        <x:v>ยังไม่ตรวจ</x:v>
      </x:c>
      <x:c r="R790" s="59" t="str">
        <x:v>รอติดต่อ</x:v>
      </x:c>
    </x:row>
    <x:row r="791" ht="84" customHeight="1">
      <x:c r="A791" s="2" t="str">
        <x:v>R26-348</x:v>
      </x:c>
      <x:c r="B791" s="8" t="str">
        <x:v>บาราโรตี</x:v>
      </x:c>
      <x:c r="C791" s="8" t="str">
        <x:v>สตูล</x:v>
      </x:c>
      <x:c r="D791" s="8" t="str">
        <x:v>อยู่ในชุด 600 ตามเส้นทาง</x:v>
      </x:c>
      <x:c r="E791" s="8" t="str">
        <x:v>พบชื่อสัมพันธ์หลายเว็บไซต์ รอยืนยันสาขา</x:v>
      </x:c>
      <x:c r="F791" s="8" t="str">
        <x:v>ยังไม่ยืนยันการเปิดให้บริการปัจจุบัน</x:v>
      </x:c>
      <x:c r="G791" s="8" t="n">
        <x:v>7</x:v>
      </x:c>
      <x:c r="H791" s="8" t="str"/>
      <x:c r="I791" s="8" t="str"/>
      <x:c r="J791" s="8" t="str">
        <x:v>https://www.wongnai.com/reviews/c0be6ffd034d4b9ebff41518581bd65e</x:v>
      </x:c>
      <x:c r="K791" s="8" t="str"/>
      <x:c r="L791" s="8" t="str">
        <x:v>https://www.satun.go.th/food/detail/54/data.html</x:v>
      </x:c>
      <x:c r="M791" s="8" t="str">
        <x:v>https://www.sanook.com/travel/1398855/</x:v>
      </x:c>
      <x:c r="N791" s="8" t="str">
        <x:v>ยังไม่ยืนยัน</x:v>
      </x:c>
      <x:c r="O791" s="8" t="str">
        <x:v>ตรวจการเปิด ตัวตนสาขา ช่องทางติดต่อ และเงื่อนไขบังคับตามประเภท</x:v>
      </x:c>
      <x:c r="P791" s="40" t="n">
        <x:v>46316</x:v>
      </x:c>
      <x:c r="Q791" s="59" t="str">
        <x:v>ยังไม่ตรวจ</x:v>
      </x:c>
      <x:c r="R791" s="59" t="str">
        <x:v>รอติดต่อ</x:v>
      </x:c>
    </x:row>
    <x:row r="792" ht="84" customHeight="1">
      <x:c r="A792" s="2" t="str">
        <x:v>R26-169</x:v>
      </x:c>
      <x:c r="B792" s="8" t="str">
        <x:v>ถ้ำเลสเตโกดอน</x:v>
      </x:c>
      <x:c r="C792" s="8" t="str">
        <x:v>สตูล</x:v>
      </x:c>
      <x:c r="D792" s="8" t="str">
        <x:v>อยู่ในชุด 600 ตามเส้นทาง</x:v>
      </x:c>
      <x:c r="E792" s="8" t="str">
        <x:v>พบชื่อสัมพันธ์หลายเว็บไซต์ รอยืนยันสาขา</x:v>
      </x:c>
      <x:c r="F792" s="8" t="str">
        <x:v>ยังไม่ยืนยันการเปิดให้บริการปัจจุบัน</x:v>
      </x:c>
      <x:c r="G792" s="8" t="n">
        <x:v>13</x:v>
      </x:c>
      <x:c r="H792" s="8" t="str"/>
      <x:c r="I792" s="8" t="str"/>
      <x:c r="J792" s="8" t="str">
        <x:v>https://sites.google.com/view/location-ratchaneekorn/%E0%B8%A0%E0%B8%B2%E0%B8%84%E0%B9%83%E0%B8%95/%E0%B8%96%E0%B8%B3/%E0%B8%96%E0%B8%B3%E0%B9%80%E0%B8%A5%E0%B8%AA%E0%B9%80%E0%B8%95%E0%B9%82%E0%B8%81%E0%B8%94%E0%B8%AD%E0%B8%99-%E0%B8%88%E0%B8%87%E0%B8%AB%E0%B8%A7%E0%B8%94%E0%B8%AA%E0%B8%95%E0%B8%A5</x:v>
      </x:c>
      <x:c r="K792" s="8" t="str"/>
      <x:c r="L792" s="8" t="str">
        <x:v>https://www.nstda.or.th/sci2pub/stegodon/</x:v>
      </x:c>
      <x:c r="M792" s="8" t="str">
        <x:v>https://www.thaipbs.or.th/program/TuaThin/episodes/34557</x:v>
      </x:c>
      <x:c r="N792" s="8" t="str">
        <x:v>ยังไม่ยืนยัน</x:v>
      </x:c>
      <x:c r="O792" s="8" t="str">
        <x:v>ตรวจการเปิด ตัวตนสาขา ช่องทางติดต่อ และเงื่อนไขบังคับตามประเภท</x:v>
      </x:c>
      <x:c r="P792" s="40" t="n">
        <x:v>46316</x:v>
      </x:c>
      <x:c r="Q792" s="59" t="str">
        <x:v>ยังไม่ตรวจ</x:v>
      </x:c>
      <x:c r="R792" s="59" t="str">
        <x:v>รอติดต่อ</x:v>
      </x:c>
    </x:row>
    <x:row r="793" ht="84" customHeight="1">
      <x:c r="A793" s="2" t="str">
        <x:v>R26-170</x:v>
      </x:c>
      <x:c r="B793" s="8" t="str">
        <x:v>หาดปากบารา</x:v>
      </x:c>
      <x:c r="C793" s="8" t="str">
        <x:v>สตูล</x:v>
      </x:c>
      <x:c r="D793" s="8" t="str">
        <x:v>อยู่ในชุด 600 ตามเส้นทาง</x:v>
      </x:c>
      <x:c r="E793" s="8" t="str">
        <x:v>พบชื่อสัมพันธ์หลายเว็บไซต์ รอยืนยันสาขา</x:v>
      </x:c>
      <x:c r="F793" s="8" t="str">
        <x:v>ยังไม่ยืนยันการเปิดให้บริการปัจจุบัน</x:v>
      </x:c>
      <x:c r="G793" s="8" t="n">
        <x:v>15</x:v>
      </x:c>
      <x:c r="H793" s="8" t="str">
        <x:v>https://www.youtube.com/watch?v=MxWXtLC-y3A</x:v>
      </x:c>
      <x:c r="I793" s="8" t="str"/>
      <x:c r="J793" s="8" t="str">
        <x:v>https://www.wongnai.com/attractions/326835uo-%E0%B8%AB%E0%B8%B2%E0%B8%94%E0%B8%9B%E0%B8%B2%E0%B8%81%E0%B8%9A%E0%B8%B2%E0%B8%A3%E0%B8%B2</x:v>
      </x:c>
      <x:c r="K793" s="8" t="str"/>
      <x:c r="L793" s="8" t="str">
        <x:v>https://cbtthailand.dasta.or.th/webapp/relattraction/content/1332/</x:v>
      </x:c>
      <x:c r="M793" s="8" t="str">
        <x:v>https://secretary.mots.go.th/tourist/images/download/article/article_20170505115256.pdf</x:v>
      </x:c>
      <x:c r="N793" s="8" t="str">
        <x:v>ยังไม่ยืนยัน</x:v>
      </x:c>
      <x:c r="O793" s="8" t="str">
        <x:v>ตรวจการเปิด ตัวตนสาขา ช่องทางติดต่อ และเงื่อนไขบังคับตามประเภท</x:v>
      </x:c>
      <x:c r="P793" s="40" t="n">
        <x:v>46316</x:v>
      </x:c>
      <x:c r="Q793" s="59" t="str">
        <x:v>ยังไม่ตรวจ</x:v>
      </x:c>
      <x:c r="R793" s="59" t="str">
        <x:v>รอติดต่อ</x:v>
      </x:c>
    </x:row>
    <x:row r="794" ht="84" customHeight="1">
      <x:c r="A794" s="2" t="str">
        <x:v>R26-167</x:v>
      </x:c>
      <x:c r="B794" s="8" t="str">
        <x:v>อุทยานแห่งชาติทะเลบัน</x:v>
      </x:c>
      <x:c r="C794" s="8" t="str">
        <x:v>สตูล</x:v>
      </x:c>
      <x:c r="D794" s="8" t="str">
        <x:v>อยู่ในชุด 600 ตามเส้นทาง</x:v>
      </x:c>
      <x:c r="E794" s="8" t="str">
        <x:v>พบชื่อสัมพันธ์หลายเว็บไซต์ รอยืนยันสาขา</x:v>
      </x:c>
      <x:c r="F794" s="8" t="str">
        <x:v>ยังไม่ยืนยันการเปิดให้บริการปัจจุบัน</x:v>
      </x:c>
      <x:c r="G794" s="8" t="n">
        <x:v>12</x:v>
      </x:c>
      <x:c r="H794" s="8" t="str"/>
      <x:c r="I794" s="8" t="str"/>
      <x:c r="J794" s="8" t="str"/>
      <x:c r="K794" s="8" t="str"/>
      <x:c r="L794" s="8" t="str">
        <x:v>https://satun.mnre.go.th/th/news/detail/255869</x:v>
      </x:c>
      <x:c r="M794" s="8" t="str">
        <x:v>https://www.thailandtourismdirectory.go.th/th/attraction/21149</x:v>
      </x:c>
      <x:c r="N794" s="8" t="str">
        <x:v>ยังไม่ยืนยัน</x:v>
      </x:c>
      <x:c r="O794" s="8" t="str">
        <x:v>ตรวจการเปิด ตัวตนสาขา ช่องทางติดต่อ และเงื่อนไขบังคับตามประเภท</x:v>
      </x:c>
      <x:c r="P794" s="40" t="n">
        <x:v>46316</x:v>
      </x:c>
      <x:c r="Q794" s="59" t="str">
        <x:v>ยังไม่ตรวจ</x:v>
      </x:c>
      <x:c r="R794" s="59" t="str">
        <x:v>รอติดต่อ</x:v>
      </x:c>
    </x:row>
    <x:row r="795" ht="84" customHeight="1">
      <x:c r="A795" s="2" t="str">
        <x:v>R26-168</x:v>
      </x:c>
      <x:c r="B795" s="8" t="str">
        <x:v>อุทยานแห่งชาติหมู่เกาะเภตรา</x:v>
      </x:c>
      <x:c r="C795" s="8" t="str">
        <x:v>สตูล</x:v>
      </x:c>
      <x:c r="D795" s="8" t="str">
        <x:v>อยู่ในชุด 600 ตามเส้นทาง</x:v>
      </x:c>
      <x:c r="E795" s="8" t="str">
        <x:v>พบชื่อสัมพันธ์หลายเว็บไซต์ รอยืนยันสาขา</x:v>
      </x:c>
      <x:c r="F795" s="8" t="str">
        <x:v>ยังไม่ยืนยันการเปิดให้บริการปัจจุบัน</x:v>
      </x:c>
      <x:c r="G795" s="8" t="n">
        <x:v>14</x:v>
      </x:c>
      <x:c r="H795" s="8" t="str">
        <x:v>https://www.youtube.com/watch?v=6SnVXz162cE</x:v>
      </x:c>
      <x:c r="I795" s="8" t="str"/>
      <x:c r="J795" s="8" t="str"/>
      <x:c r="K795" s="8" t="str"/>
      <x:c r="L795" s="8" t="str">
        <x:v>https://www.satun.go.th/travel/detail/22</x:v>
      </x:c>
      <x:c r="M795" s="8" t="str">
        <x:v>https://www.thailandtourismdirectory.go.th/attraction/21426</x:v>
      </x:c>
      <x:c r="N795" s="8" t="str">
        <x:v>ยังไม่ยืนยัน</x:v>
      </x:c>
      <x:c r="O795" s="8" t="str">
        <x:v>ตรวจการเปิด ตัวตนสาขา ช่องทางติดต่อ และเงื่อนไขบังคับตามประเภท</x:v>
      </x:c>
      <x:c r="P795" s="40" t="n">
        <x:v>46316</x:v>
      </x:c>
      <x:c r="Q795" s="59" t="str">
        <x:v>ยังไม่ตรวจ</x:v>
      </x:c>
      <x:c r="R795" s="59" t="str">
        <x:v>รอติดต่อ</x:v>
      </x:c>
    </x:row>
    <x:row r="796" ht="84" customHeight="1">
      <x:c r="A796" s="2" t="str">
        <x:v>R26-175</x:v>
      </x:c>
      <x:c r="B796" s="8" t="str">
        <x:v>พิพิธภัณฑ์ช้างดึกดำบรรพ์ทุ่งหว้า</x:v>
      </x:c>
      <x:c r="C796" s="8" t="str">
        <x:v>สตูล</x:v>
      </x:c>
      <x:c r="D796" s="8" t="str">
        <x:v>อยู่ในชุด 600 ตามเส้นทาง</x:v>
      </x:c>
      <x:c r="E796" s="8" t="str">
        <x:v>พบชื่อสัมพันธ์หลายเว็บไซต์ รอยืนยันสาขา</x:v>
      </x:c>
      <x:c r="F796" s="8" t="str">
        <x:v>ยังไม่ยืนยันการเปิดให้บริการปัจจุบัน</x:v>
      </x:c>
      <x:c r="G796" s="8" t="n">
        <x:v>12</x:v>
      </x:c>
      <x:c r="H796" s="8" t="str">
        <x:v>https://www.youtube.com/watch?v=qKag1vth45Q</x:v>
      </x:c>
      <x:c r="I796" s="8" t="str"/>
      <x:c r="J796" s="8" t="str">
        <x:v>https://www.wongnai.com/travel/trips/e9af1801e5f64623bfd7f79939264fbb</x:v>
      </x:c>
      <x:c r="K796" s="8" t="str">
        <x:v>https://sites.google.com/view/thainess-tkp/global-geopark/%E0%B8%AA%E0%B8%95%E0%B8%A5</x:v>
      </x:c>
      <x:c r="L796" s="8" t="str">
        <x:v>https://cbtthailand.dasta.or.th/webapp/relattraction/content/1754/</x:v>
      </x:c>
      <x:c r="M796" s="8" t="str">
        <x:v>https://www.dmr.go.th/wp-content/uploads/2022/10/article_20160923103033-1.pdf</x:v>
      </x:c>
      <x:c r="N796" s="8" t="str">
        <x:v>ยังไม่ยืนยัน</x:v>
      </x:c>
      <x:c r="O796" s="8" t="str">
        <x:v>ตรวจการเปิด ตัวตนสาขา ช่องทางติดต่อ และเงื่อนไขบังคับตามประเภท</x:v>
      </x:c>
      <x:c r="P796" s="40" t="n">
        <x:v>46316</x:v>
      </x:c>
      <x:c r="Q796" s="59" t="str">
        <x:v>ยังไม่ตรวจ</x:v>
      </x:c>
      <x:c r="R796" s="59" t="str">
        <x:v>รอติดต่อ</x:v>
      </x:c>
    </x:row>
    <x:row r="797" ht="84" customHeight="1">
      <x:c r="A797" s="2" t="str">
        <x:v>R26-172</x:v>
      </x:c>
      <x:c r="B797" s="8" t="str">
        <x:v>ชุมชนบ้านทุ่งหว้า</x:v>
      </x:c>
      <x:c r="C797" s="8" t="str">
        <x:v>สตูล</x:v>
      </x:c>
      <x:c r="D797" s="8" t="str">
        <x:v>อยู่ในชุด 600 ตามเส้นทาง</x:v>
      </x:c>
      <x:c r="E797" s="8" t="str">
        <x:v>พบชื่อสัมพันธ์หลายเว็บไซต์ รอยืนยันสาขา</x:v>
      </x:c>
      <x:c r="F797" s="8" t="str">
        <x:v>ยังไม่ยืนยันการเปิดให้บริการปัจจุบัน</x:v>
      </x:c>
      <x:c r="G797" s="8" t="n">
        <x:v>9</x:v>
      </x:c>
      <x:c r="H797" s="8" t="str"/>
      <x:c r="I797" s="8" t="str"/>
      <x:c r="J797" s="8" t="str"/>
      <x:c r="K797" s="8" t="str"/>
      <x:c r="L797" s="8" t="str">
        <x:v>https://thungwacity.go.th/index/</x:v>
      </x:c>
      <x:c r="M797" s="8" t="str">
        <x:v>https://cbtthailand.dasta.or.th/webapp/community/content/67/</x:v>
      </x:c>
      <x:c r="N797" s="8" t="str">
        <x:v>ยังไม่ยืนยัน</x:v>
      </x:c>
      <x:c r="O797" s="8" t="str">
        <x:v>ตรวจการเปิด ตัวตนสาขา ช่องทางติดต่อ และเงื่อนไขบังคับตามประเภท</x:v>
      </x:c>
      <x:c r="P797" s="40" t="n">
        <x:v>46316</x:v>
      </x:c>
      <x:c r="Q797" s="59" t="str">
        <x:v>ยังไม่ตรวจ</x:v>
      </x:c>
      <x:c r="R797" s="59" t="str">
        <x:v>รอติดต่อ</x:v>
      </x:c>
    </x:row>
    <x:row r="798" ht="84" customHeight="1">
      <x:c r="A798" s="2" t="str">
        <x:v>R26-173</x:v>
      </x:c>
      <x:c r="B798" s="8" t="str">
        <x:v>ชุมชนบ้านบากันใหญ่</x:v>
      </x:c>
      <x:c r="C798" s="8" t="str">
        <x:v>สตูล</x:v>
      </x:c>
      <x:c r="D798" s="8" t="str">
        <x:v>อยู่ในชุด 600 ตามเส้นทาง</x:v>
      </x:c>
      <x:c r="E798" s="8" t="str">
        <x:v>พบชื่อสัมพันธ์หลายเว็บไซต์ รอยืนยันสาขา</x:v>
      </x:c>
      <x:c r="F798" s="8" t="str">
        <x:v>ยังไม่ยืนยันการเปิดให้บริการปัจจุบัน</x:v>
      </x:c>
      <x:c r="G798" s="8" t="n">
        <x:v>7</x:v>
      </x:c>
      <x:c r="H798" s="8" t="str"/>
      <x:c r="I798" s="8" t="str"/>
      <x:c r="J798" s="8" t="str"/>
      <x:c r="K798" s="8" t="str"/>
      <x:c r="L798" s="8" t="str">
        <x:v>https://wikicommunity.sac.or.th/community/2637</x:v>
      </x:c>
      <x:c r="M798" s="8" t="str">
        <x:v>https://nbtworld.prd.go.th/th/news/detail/TCATG201019101840151</x:v>
      </x:c>
      <x:c r="N798" s="8" t="str">
        <x:v>ยังไม่ยืนยัน</x:v>
      </x:c>
      <x:c r="O798" s="8" t="str">
        <x:v>ตรวจการเปิด ตัวตนสาขา ช่องทางติดต่อ และเงื่อนไขบังคับตามประเภท</x:v>
      </x:c>
      <x:c r="P798" s="40" t="n">
        <x:v>46316</x:v>
      </x:c>
      <x:c r="Q798" s="59" t="str">
        <x:v>ยังไม่ตรวจ</x:v>
      </x:c>
      <x:c r="R798" s="59" t="str">
        <x:v>รอติดต่อ</x:v>
      </x:c>
    </x:row>
    <x:row r="799" ht="84" customHeight="1">
      <x:c r="A799" s="2" t="str">
        <x:v>R26-077</x:v>
      </x:c>
      <x:c r="B799" s="8" t="str">
        <x:v>น้ำตกร้อนคลองท่อม</x:v>
      </x:c>
      <x:c r="C799" s="8" t="str">
        <x:v>กระบี่</x:v>
      </x:c>
      <x:c r="D799" s="8" t="str">
        <x:v>อยู่ในชุด 600 ตามเส้นทาง</x:v>
      </x:c>
      <x:c r="E799" s="8" t="str">
        <x:v>พบชื่อสัมพันธ์หลายเว็บไซต์ รอยืนยันสาขา</x:v>
      </x:c>
      <x:c r="F799" s="8" t="str">
        <x:v>ยังไม่ยืนยันการเปิดให้บริการปัจจุบัน</x:v>
      </x:c>
      <x:c r="G799" s="8" t="n">
        <x:v>10</x:v>
      </x:c>
      <x:c r="H799" s="8" t="str">
        <x:v>https://www.youtube.com/watch?v=rc8M3vazk4Q</x:v>
      </x:c>
      <x:c r="I799" s="8" t="str"/>
      <x:c r="J799" s="8" t="str"/>
      <x:c r="K799" s="8" t="str"/>
      <x:c r="L799" s="8" t="str">
        <x:v>https://www.thailandtourismdirectory.go.th/attraction/99172</x:v>
      </x:c>
      <x:c r="M799" s="8" t="str">
        <x:v>https://cbtthailand.dasta.or.th/webapp/relattraction/content/2698/</x:v>
      </x:c>
      <x:c r="N799" s="8" t="str">
        <x:v>ยังไม่ยืนยัน</x:v>
      </x:c>
      <x:c r="O799" s="8" t="str">
        <x:v>ตรวจการเปิด ตัวตนสาขา ช่องทางติดต่อ และเงื่อนไขบังคับตามประเภท</x:v>
      </x:c>
      <x:c r="P799" s="40" t="n">
        <x:v>46316</x:v>
      </x:c>
      <x:c r="Q799" s="59" t="str">
        <x:v>ยังไม่ตรวจ</x:v>
      </x:c>
      <x:c r="R799" s="59" t="str">
        <x:v>รอติดต่อ</x:v>
      </x:c>
    </x:row>
    <x:row r="800" ht="84" customHeight="1">
      <x:c r="A800" s="2" t="str">
        <x:v>R26-079</x:v>
      </x:c>
      <x:c r="B800" s="8" t="str">
        <x:v>สระมรกต</x:v>
      </x:c>
      <x:c r="C800" s="8" t="str">
        <x:v>กระบี่</x:v>
      </x:c>
      <x:c r="D800" s="8" t="str">
        <x:v>อยู่ในชุด 600 ตามเส้นทาง</x:v>
      </x:c>
      <x:c r="E800" s="8" t="str">
        <x:v>พบชื่อสัมพันธ์หลายเว็บไซต์ รอยืนยันสาขา</x:v>
      </x:c>
      <x:c r="F800" s="8" t="str">
        <x:v>ยังไม่ยืนยันการเปิดให้บริการปัจจุบัน</x:v>
      </x:c>
      <x:c r="G800" s="8" t="n">
        <x:v>13</x:v>
      </x:c>
      <x:c r="H800" s="8" t="str">
        <x:v>https://www.youtube.com/watch?v=VIRBxDaDvGw</x:v>
      </x:c>
      <x:c r="I800" s="8" t="str"/>
      <x:c r="J800" s="8" t="str">
        <x:v>https://www.wongnai.com/reviews/225cd8c7766a48d4830a753d74b9b53d</x:v>
      </x:c>
      <x:c r="K800" s="8" t="str"/>
      <x:c r="L800" s="8" t="str">
        <x:v>https://www.thailandtourismdirectory.go.th/attraction/97955</x:v>
      </x:c>
      <x:c r="M800" s="8" t="str">
        <x:v>https://cbtthailand.dasta.or.th/webapp/relattraction/content/994/</x:v>
      </x:c>
      <x:c r="N800" s="8" t="str">
        <x:v>ยังไม่ยืนยัน</x:v>
      </x:c>
      <x:c r="O800" s="8" t="str">
        <x:v>ตรวจการเปิด ตัวตนสาขา ช่องทางติดต่อ และเงื่อนไขบังคับตามประเภท</x:v>
      </x:c>
      <x:c r="P800" s="40" t="n">
        <x:v>46316</x:v>
      </x:c>
      <x:c r="Q800" s="59" t="str">
        <x:v>ยังไม่ตรวจ</x:v>
      </x:c>
      <x:c r="R800" s="59" t="str">
        <x:v>รอติดต่อ</x:v>
      </x:c>
    </x:row>
    <x:row r="801" ht="84" customHeight="1">
      <x:c r="A801" s="2" t="str">
        <x:v>R26-076</x:v>
      </x:c>
      <x:c r="B801" s="8" t="str">
        <x:v>มัสยิดกลางจังหวัดกระบี่</x:v>
      </x:c>
      <x:c r="C801" s="8" t="str">
        <x:v>กระบี่</x:v>
      </x:c>
      <x:c r="D801" s="8" t="str">
        <x:v>อยู่ในชุด 600 ตามเส้นทาง</x:v>
      </x:c>
      <x:c r="E801" s="8" t="str">
        <x:v>พบชื่อสัมพันธ์หลายเว็บไซต์ รอยืนยันสาขา</x:v>
      </x:c>
      <x:c r="F801" s="8" t="str">
        <x:v>ยังไม่ยืนยันการเปิดให้บริการปัจจุบัน</x:v>
      </x:c>
      <x:c r="G801" s="8" t="n">
        <x:v>2</x:v>
      </x:c>
      <x:c r="H801" s="8" t="str"/>
      <x:c r="I801" s="8" t="str"/>
      <x:c r="J801" s="8" t="str"/>
      <x:c r="K801" s="8" t="str"/>
      <x:c r="L801" s="8" t="str">
        <x:v>https://elibrary.tsri.or.th/fullP/RDG60T0033/RDG60T0033V01/RDG60T0033V01_full.pdf</x:v>
      </x:c>
      <x:c r="M801" s="8" t="str">
        <x:v>https://www.mots.go.th/download/TourismData/BestRouteOfMuslimGroupInThailand.pdf</x:v>
      </x:c>
      <x:c r="N801" s="8" t="str">
        <x:v>ยังไม่ยืนยัน</x:v>
      </x:c>
      <x:c r="O801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801" s="40" t="n">
        <x:v>46316</x:v>
      </x:c>
      <x:c r="Q801" s="59" t="str">
        <x:v>ยังไม่ตรวจ</x:v>
      </x:c>
      <x:c r="R801" s="59" t="str">
        <x:v>รอติดต่อ</x:v>
      </x:c>
    </x:row>
    <x:row r="802" ht="84" customHeight="1">
      <x:c r="A802" s="2" t="str">
        <x:v>R26-287</x:v>
      </x:c>
      <x:c r="B802" s="8" t="str">
        <x:v>Let's Relax Spa Krabi Centara Anda Dhevi</x:v>
      </x:c>
      <x:c r="C802" s="8" t="str">
        <x:v>กระบี่</x:v>
      </x:c>
      <x:c r="D802" s="8" t="str">
        <x:v>อยู่ในชุด 600 ตามเส้นทาง</x:v>
      </x:c>
      <x:c r="E802" s="8" t="str">
        <x:v>พบชื่อสัมพันธ์หลายเว็บไซต์ รอยืนยันสาขา</x:v>
      </x:c>
      <x:c r="F802" s="8" t="str">
        <x:v>ยังไม่ยืนยันการเปิดให้บริการปัจจุบัน</x:v>
      </x:c>
      <x:c r="G802" s="8" t="n">
        <x:v>2</x:v>
      </x:c>
      <x:c r="H802" s="8" t="str">
        <x:v>https://www.facebook.com/letsrelaxspa.official/</x:v>
      </x:c>
      <x:c r="I802" s="8" t="str">
        <x:v>https://www.instagram.com/letsrelaxspa.official/?hl=en</x:v>
      </x:c>
      <x:c r="J802" s="8" t="str"/>
      <x:c r="K802" s="8" t="str"/>
      <x:c r="L802" s="8" t="str">
        <x:v>https://letsrelaxspa.com/branches/krabi-centara-anda-dhevi/</x:v>
      </x:c>
      <x:c r="M802" s="8" t="str">
        <x:v>https://www.gowabi.com/th/provider/let-s-relax-spa-krabi-centara-anda-dhevi</x:v>
      </x:c>
      <x:c r="N802" s="8" t="str">
        <x:v>ยังไม่ยืนยัน</x:v>
      </x:c>
      <x:c r="O802" s="8" t="str">
        <x:v>ตรวจการเปิด ตัวตนสาขา ช่องทางติดต่อ และเงื่อนไขบังคับตามประเภท</x:v>
      </x:c>
      <x:c r="P802" s="40" t="n">
        <x:v>46316</x:v>
      </x:c>
      <x:c r="Q802" s="59" t="str">
        <x:v>ยังไม่ตรวจ</x:v>
      </x:c>
      <x:c r="R802" s="59" t="str">
        <x:v>รอติดต่อ</x:v>
      </x:c>
    </x:row>
    <x:row r="803" ht="84" customHeight="1">
      <x:c r="A803" s="2" t="str">
        <x:v>R26-285</x:v>
      </x:c>
      <x:c r="B803" s="8" t="str">
        <x:v>Wareerak Hot Spring Wellness</x:v>
      </x:c>
      <x:c r="C803" s="8" t="str">
        <x:v>กระบี่</x:v>
      </x:c>
      <x:c r="D803" s="8" t="str">
        <x:v>อยู่ในชุด 600 ตามเส้นทาง</x:v>
      </x:c>
      <x:c r="E803" s="8" t="str">
        <x:v>พบชื่อสัมพันธ์หลายเว็บไซต์ รอยืนยันสาขา</x:v>
      </x:c>
      <x:c r="F803" s="8" t="str">
        <x:v>ยังไม่ยืนยันการเปิดให้บริการปัจจุบัน</x:v>
      </x:c>
      <x:c r="G803" s="8" t="n">
        <x:v>9</x:v>
      </x:c>
      <x:c r="H803" s="8" t="str">
        <x:v>https://www.youtube.com/watch?v=gYo-WIaCNUc</x:v>
      </x:c>
      <x:c r="I803" s="8" t="str">
        <x:v>https://www.facebook.com/Wareerakhotspringandwellness/</x:v>
      </x:c>
      <x:c r="J803" s="8" t="str">
        <x:v>https://www.tripadvisor.com/Attraction_Review-g2237643-d3384440-Reviews-Wareerak_Hot_Spring_Wellness-Khlong_Thom_Krabi_Province.html</x:v>
      </x:c>
      <x:c r="K803" s="8" t="str"/>
      <x:c r="L803" s="8" t="str">
        <x:v>https://www.wareerak.co.th/</x:v>
      </x:c>
      <x:c r="M803" s="8" t="str">
        <x:v>https://www.traveloka.com/th-th/hotel/thailand/wareerak-hot-spring--wellness--1000000463146</x:v>
      </x:c>
      <x:c r="N803" s="8" t="str">
        <x:v>ยังไม่ยืนยัน</x:v>
      </x:c>
      <x:c r="O803" s="8" t="str">
        <x:v>ตรวจการเปิด ตัวตนสาขา ช่องทางติดต่อ และเงื่อนไขบังคับตามประเภท</x:v>
      </x:c>
      <x:c r="P803" s="40" t="n">
        <x:v>46316</x:v>
      </x:c>
      <x:c r="Q803" s="59" t="str">
        <x:v>ยังไม่ตรวจ</x:v>
      </x:c>
      <x:c r="R803" s="59" t="str">
        <x:v>รอติดต่อ</x:v>
      </x:c>
    </x:row>
    <x:row r="804" ht="84" customHeight="1">
      <x:c r="A804" s="2" t="str">
        <x:v>R26-180</x:v>
      </x:c>
      <x:c r="B804" s="8" t="str">
        <x:v>ท่าปอมคลองสองน้ำ</x:v>
      </x:c>
      <x:c r="C804" s="8" t="str">
        <x:v>กระบี่</x:v>
      </x:c>
      <x:c r="D804" s="8" t="str">
        <x:v>อยู่ในชุด 600 ตามเส้นทาง</x:v>
      </x:c>
      <x:c r="E804" s="8" t="str">
        <x:v>พบชื่อสัมพันธ์หลายเว็บไซต์ รอยืนยันสาขา</x:v>
      </x:c>
      <x:c r="F804" s="8" t="str">
        <x:v>ยังไม่ยืนยันการเปิดให้บริการปัจจุบัน</x:v>
      </x:c>
      <x:c r="G804" s="8" t="n">
        <x:v>14</x:v>
      </x:c>
      <x:c r="H804" s="8" t="str">
        <x:v>https://www.youtube.com/watch?v=bqTkIRh4q94</x:v>
      </x:c>
      <x:c r="I804" s="8" t="str"/>
      <x:c r="J804" s="8" t="str">
        <x:v>https://www.wongnai.com/attractions/341293FP-%E0%B8%97%E0%B9%88%E0%B8%B2%E0%B8%9B%E0%B8%AD%E0%B8%A1-%E0%B8%84%E0%B8%A5%E0%B8%AD%E0%B8%87%E0%B8%AA%E0%B8%AD%E0%B8%87%E0%B8%99%E0%B9%89%E0%B8%B3</x:v>
      </x:c>
      <x:c r="K804" s="8" t="str"/>
      <x:c r="L804" s="8" t="str">
        <x:v>https://www.thailandtourismdirectory.go.th/attraction/1811</x:v>
      </x:c>
      <x:c r="M804" s="8" t="str">
        <x:v>https://cbtthailand.dasta.or.th/webapp/relattraction/content/930/</x:v>
      </x:c>
      <x:c r="N804" s="8" t="str">
        <x:v>ยังไม่ยืนยัน</x:v>
      </x:c>
      <x:c r="O804" s="8" t="str">
        <x:v>ตรวจการเปิด ตัวตนสาขา ช่องทางติดต่อ และเงื่อนไขบังคับตามประเภท</x:v>
      </x:c>
      <x:c r="P804" s="40" t="n">
        <x:v>46316</x:v>
      </x:c>
      <x:c r="Q804" s="59" t="str">
        <x:v>ยังไม่ตรวจ</x:v>
      </x:c>
      <x:c r="R804" s="59" t="str">
        <x:v>รอติดต่อ</x:v>
      </x:c>
    </x:row>
    <x:row r="805" ht="84" customHeight="1">
      <x:c r="A805" s="2" t="str">
        <x:v>R26-178</x:v>
      </x:c>
      <x:c r="B805" s="8" t="str">
        <x:v>หาดไร่เลย์</x:v>
      </x:c>
      <x:c r="C805" s="8" t="str">
        <x:v>กระบี่</x:v>
      </x:c>
      <x:c r="D805" s="8" t="str">
        <x:v>อยู่ในชุด 600 ตามเส้นทาง</x:v>
      </x:c>
      <x:c r="E805" s="8" t="str">
        <x:v>พบชื่อสัมพันธ์หลายเว็บไซต์ รอยืนยันสาขา</x:v>
      </x:c>
      <x:c r="F805" s="8" t="str">
        <x:v>ยังไม่ยืนยันการเปิดให้บริการปัจจุบัน</x:v>
      </x:c>
      <x:c r="G805" s="8" t="n">
        <x:v>15</x:v>
      </x:c>
      <x:c r="H805" s="8" t="str">
        <x:v>https://www.youtube.com/watch?v=vaqtNcVJ-7I</x:v>
      </x:c>
      <x:c r="I805" s="8" t="str"/>
      <x:c r="J805" s="8" t="str">
        <x:v>https://sites.google.com/view/krabi-thailand/%E0%B8%AD%E0%B8%B3%E0%B9%80%E0%B8%A0%E0%B8%AD%E0%B9%80%E0%B8%A1%E0%B8%AD%E0%B8%87%E0%B8%81%E0%B8%A3%E0%B8%B0%E0%B8%9A/%E0%B8%AB%E0%B8%B2%E0%B8%94%E0%B9%84%E0%B8%A3%E0%B9%80%E0%B8%A5%E0%B8%A2</x:v>
      </x:c>
      <x:c r="K805" s="8" t="str"/>
      <x:c r="L805" s="8" t="str">
        <x:v>https://www.krabipao.go.th/travel_top/detail/37/data.html</x:v>
      </x:c>
      <x:c r="M805" s="8" t="str">
        <x:v>https://www.thailandtourismdirectory.go.th/th/attraction/1805</x:v>
      </x:c>
      <x:c r="N805" s="8" t="str">
        <x:v>ยังไม่ยืนยัน</x:v>
      </x:c>
      <x:c r="O805" s="8" t="str">
        <x:v>ตรวจการเปิด ตัวตนสาขา ช่องทางติดต่อ และเงื่อนไขบังคับตามประเภท</x:v>
      </x:c>
      <x:c r="P805" s="40" t="n">
        <x:v>46316</x:v>
      </x:c>
      <x:c r="Q805" s="59" t="str">
        <x:v>ยังไม่ตรวจ</x:v>
      </x:c>
      <x:c r="R805" s="59" t="str">
        <x:v>รอติดต่อ</x:v>
      </x:c>
    </x:row>
    <x:row r="806" ht="84" customHeight="1">
      <x:c r="A806" s="2" t="str">
        <x:v>R26-176</x:v>
      </x:c>
      <x:c r="B806" s="8" t="str">
        <x:v>อุทยานแห่งชาติธารโบกขรณี</x:v>
      </x:c>
      <x:c r="C806" s="8" t="str">
        <x:v>กระบี่</x:v>
      </x:c>
      <x:c r="D806" s="8" t="str">
        <x:v>อยู่ในชุด 600 ตามเส้นทาง</x:v>
      </x:c>
      <x:c r="E806" s="8" t="str">
        <x:v>พบชื่อสัมพันธ์หลายเว็บไซต์ รอยืนยันสาขา</x:v>
      </x:c>
      <x:c r="F806" s="8" t="str">
        <x:v>ยังไม่ยืนยันการเปิดให้บริการปัจจุบัน</x:v>
      </x:c>
      <x:c r="G806" s="8" t="n">
        <x:v>10</x:v>
      </x:c>
      <x:c r="H806" s="8" t="str">
        <x:v>https://www.youtube.com/watch?v=jmSJW8Yd4mw</x:v>
      </x:c>
      <x:c r="I806" s="8" t="str"/>
      <x:c r="J806" s="8" t="str"/>
      <x:c r="K806" s="8" t="str"/>
      <x:c r="L806" s="8" t="str">
        <x:v>https://news.dnp.go.th/news/34480</x:v>
      </x:c>
      <x:c r="M806" s="8" t="str">
        <x:v>https://www.thailandtourismdirectory.go.th/attraction/1812</x:v>
      </x:c>
      <x:c r="N806" s="8" t="str">
        <x:v>ยังไม่ยืนยัน</x:v>
      </x:c>
      <x:c r="O806" s="8" t="str">
        <x:v>ตรวจการเปิด ตัวตนสาขา ช่องทางติดต่อ และเงื่อนไขบังคับตามประเภท</x:v>
      </x:c>
      <x:c r="P806" s="40" t="n">
        <x:v>46316</x:v>
      </x:c>
      <x:c r="Q806" s="59" t="str">
        <x:v>ยังไม่ตรวจ</x:v>
      </x:c>
      <x:c r="R806" s="59" t="str">
        <x:v>รอติดต่อ</x:v>
      </x:c>
    </x:row>
    <x:row r="807" ht="84" customHeight="1">
      <x:c r="A807" s="2" t="str">
        <x:v>R26-183</x:v>
      </x:c>
      <x:c r="B807" s="8" t="str">
        <x:v>ชุมชนบ้านทุ่งหยีเพ็ง</x:v>
      </x:c>
      <x:c r="C807" s="8" t="str">
        <x:v>กระบี่</x:v>
      </x:c>
      <x:c r="D807" s="8" t="str">
        <x:v>อยู่ในชุด 600 ตามเส้นทาง</x:v>
      </x:c>
      <x:c r="E807" s="8" t="str">
        <x:v>พบชื่อสัมพันธ์หลายเว็บไซต์ รอยืนยันสาขา</x:v>
      </x:c>
      <x:c r="F807" s="8" t="str">
        <x:v>ยังไม่ยืนยันการเปิดให้บริการปัจจุบัน</x:v>
      </x:c>
      <x:c r="G807" s="8" t="n">
        <x:v>10</x:v>
      </x:c>
      <x:c r="H807" s="8" t="str">
        <x:v>https://www.youtube.com/watch?v=N_a5-uQtIsM</x:v>
      </x:c>
      <x:c r="I807" s="8" t="str"/>
      <x:c r="J807" s="8" t="str"/>
      <x:c r="K807" s="8" t="str"/>
      <x:c r="L807" s="8" t="str">
        <x:v>https://wikicommunity.sac.or.th/community/1062</x:v>
      </x:c>
      <x:c r="M807" s="8" t="str">
        <x:v>https://thailand.go.th/guide-book-detail/001_02_213</x:v>
      </x:c>
      <x:c r="N807" s="8" t="str">
        <x:v>ยังไม่ยืนยัน</x:v>
      </x:c>
      <x:c r="O807" s="8" t="str">
        <x:v>ตรวจการเปิด ตัวตนสาขา ช่องทางติดต่อ และเงื่อนไขบังคับตามประเภท</x:v>
      </x:c>
      <x:c r="P807" s="40" t="n">
        <x:v>46316</x:v>
      </x:c>
      <x:c r="Q807" s="59" t="str">
        <x:v>ยังไม่ตรวจ</x:v>
      </x:c>
      <x:c r="R807" s="59" t="str">
        <x:v>รอติดต่อ</x:v>
      </x:c>
    </x:row>
    <x:row r="808" ht="84" customHeight="1">
      <x:c r="A808" s="2" t="str">
        <x:v>R26-184</x:v>
      </x:c>
      <x:c r="B808" s="8" t="str">
        <x:v>ชุมชนบ้านหนองทะเล</x:v>
      </x:c>
      <x:c r="C808" s="8" t="str">
        <x:v>กระบี่</x:v>
      </x:c>
      <x:c r="D808" s="8" t="str">
        <x:v>อยู่ในชุด 600 ตามเส้นทาง</x:v>
      </x:c>
      <x:c r="E808" s="8" t="str">
        <x:v>พบชื่อสัมพันธ์หลายเว็บไซต์ รอยืนยันสาขา</x:v>
      </x:c>
      <x:c r="F808" s="8" t="str">
        <x:v>ยังไม่ยืนยันการเปิดให้บริการปัจจุบัน</x:v>
      </x:c>
      <x:c r="G808" s="8" t="n">
        <x:v>8</x:v>
      </x:c>
      <x:c r="H808" s="8" t="str">
        <x:v>https://www.youtube.com/watch?v=S3Ckq_irUng</x:v>
      </x:c>
      <x:c r="I808" s="8" t="str"/>
      <x:c r="J808" s="8" t="str"/>
      <x:c r="K808" s="8" t="str"/>
      <x:c r="L808" s="8" t="str">
        <x:v>https://cbtthailand.dasta.or.th/webapp/community/content/58/</x:v>
      </x:c>
      <x:c r="M808" s="8" t="str">
        <x:v>https://anyflip.com/kyylf/kzhv/basic</x:v>
      </x:c>
      <x:c r="N808" s="8" t="str">
        <x:v>ยังไม่ยืนยัน</x:v>
      </x:c>
      <x:c r="O808" s="8" t="str">
        <x:v>ตรวจการเปิด ตัวตนสาขา ช่องทางติดต่อ และเงื่อนไขบังคับตามประเภท</x:v>
      </x:c>
      <x:c r="P808" s="40" t="n">
        <x:v>46316</x:v>
      </x:c>
      <x:c r="Q808" s="59" t="str">
        <x:v>ยังไม่ตรวจ</x:v>
      </x:c>
      <x:c r="R808" s="59" t="str">
        <x:v>รอติดต่อ</x:v>
      </x:c>
    </x:row>
    <x:row r="809" ht="84" customHeight="1">
      <x:c r="A809" s="2" t="str">
        <x:v>R26-081</x:v>
      </x:c>
      <x:c r="B809" s="8" t="str">
        <x:v>Rimnatee Resort Trang</x:v>
      </x:c>
      <x:c r="C809" s="8" t="str">
        <x:v>ตรัง</x:v>
      </x:c>
      <x:c r="D809" s="8" t="str">
        <x:v>อยู่ในชุด 600 ตามเส้นทาง</x:v>
      </x:c>
      <x:c r="E809" s="8" t="str">
        <x:v>พบชื่อสัมพันธ์หลายเว็บไซต์ รอยืนยันสาขา</x:v>
      </x:c>
      <x:c r="F809" s="8" t="str">
        <x:v>ยังไม่ยืนยันการเปิดให้บริการปัจจุบัน</x:v>
      </x:c>
      <x:c r="G809" s="8" t="n">
        <x:v>6</x:v>
      </x:c>
      <x:c r="H809" s="8" t="str"/>
      <x:c r="I809" s="8" t="str"/>
      <x:c r="J809" s="8" t="str">
        <x:v>https://www.booking.com/hotel/th/rimnatee-resort-trang.html</x:v>
      </x:c>
      <x:c r="K809" s="8" t="str">
        <x:v>https://www.google.co.th/travel/hotels/entity/ChkIu_LD3O3d8actGg0vZy8xMWI3N3Mzcm1rEAE?ts=CAEaBAoCGgAqBAoAGgA</x:v>
      </x:c>
      <x:c r="L809" s="8" t="str">
        <x:v>https://www.google.com.my/travel/hotels/entity/ChkIu_LD3O3d8actGg0vZy8xMWI3N3Mzcm1rEAE</x:v>
      </x:c>
      <x:c r="M809" s="8" t="str">
        <x:v>https://www.google.com.sa/travel/hotels/entity/ChkIu_LD3O3d8actGg0vZy8xMWI3N3Mzcm1rEAE?ap=MACIAQI&amp;gl=th&amp;gsas=1&amp;hl=th&amp;rp=OAFIAsICFyIVEhMIuJiQiN_XjgMVdaqrBx0cVBCZ&amp;ts=CAESCgoCCAMKAggDEAAabApOEkoyJDB4MzA0ZDhkZjE2NzI2OTQxMToweDQwMjIzYmMyYzM4M2RmMDoi4LiV4Liz4Lia4LilIOC5guC4hOC4geC4q-C4peC5iOC4rRoAEhoSFAoHCOkPEAcYGxIHCOkPEAcYHBgBMgIQACoJCgU6A1RIQhoA&amp;un=1</x:v>
      </x:c>
      <x:c r="N809" s="8" t="str">
        <x:v>ยังไม่ยืนยัน</x:v>
      </x:c>
      <x:c r="O809" s="8" t="str">
        <x:v>ตรวจการเปิด ตัวตนสาขา ช่องทางติดต่อ และเงื่อนไขบังคับตามประเภท</x:v>
      </x:c>
      <x:c r="P809" s="40" t="n">
        <x:v>46316</x:v>
      </x:c>
      <x:c r="Q809" s="59" t="str">
        <x:v>ยังไม่ตรวจ</x:v>
      </x:c>
      <x:c r="R809" s="59" t="str">
        <x:v>รอติดต่อ</x:v>
      </x:c>
    </x:row>
    <x:row r="810" ht="84" customHeight="1">
      <x:c r="A810" s="2" t="str">
        <x:v>R26-080</x:v>
      </x:c>
      <x:c r="B810" s="8" t="str">
        <x:v>ถวิล Since 1998</x:v>
      </x:c>
      <x:c r="C810" s="8" t="str">
        <x:v>ตรัง</x:v>
      </x:c>
      <x:c r="D810" s="8" t="str">
        <x:v>อยู่ในชุด 600 ตามเส้นทาง</x:v>
      </x:c>
      <x:c r="E810" s="8" t="str">
        <x:v>พบชื่อสัมพันธ์หลายเว็บไซต์ รอยืนยันสาขา</x:v>
      </x:c>
      <x:c r="F810" s="8" t="str">
        <x:v>ยังไม่ยืนยันการเปิดให้บริการปัจจุบัน</x:v>
      </x:c>
      <x:c r="G810" s="8" t="n">
        <x:v>3</x:v>
      </x:c>
      <x:c r="H810" s="8" t="str"/>
      <x:c r="I810" s="8" t="str"/>
      <x:c r="J810" s="8" t="str">
        <x:v>https://es.restaurantguru.com/%E0%B8%96%E0%B8%A7%E0%B8%B4%E0%B8%A5-Since-1998-Trang</x:v>
      </x:c>
      <x:c r="K810" s="8" t="str">
        <x:v>https://www.wongnai.com/restaurants/3921387kg-%E0%B8%96%E0%B8%A7%E0%B8%B4%E0%B8%A5-%E0%B8%AE%E0%B8%B2%E0%B8%A5%E0%B8%B2%E0%B8%A5%E0%B9%80%E0%B8%A1%E0%B8%B7%E0%B8%AD%E0%B8%87%E0%B8%95%E0%B8%A3%E0%B8%B1%E0%B8%87</x:v>
      </x:c>
      <x:c r="L810" s="8" t="str">
        <x:v>https://www.lemon8-app.com/%40noonkitty17/7630849184953860626?region=th</x:v>
      </x:c>
      <x:c r="M810" s="8" t="str">
        <x:v>https://es.restaurantguru.com/%E0%B8%96%E0%B8%A7%E0%B8%B4%E0%B8%A5-Since-1998-Trang</x:v>
      </x:c>
      <x:c r="N810" s="8" t="str">
        <x:v>ยังไม่ยืนยัน</x:v>
      </x:c>
      <x:c r="O810" s="8" t="str">
        <x:v>ตรวจการเปิด ตัวตนสาขา ช่องทางติดต่อ และเงื่อนไขบังคับตามประเภท</x:v>
      </x:c>
      <x:c r="P810" s="40" t="n">
        <x:v>46316</x:v>
      </x:c>
      <x:c r="Q810" s="59" t="str">
        <x:v>ยังไม่ตรวจ</x:v>
      </x:c>
      <x:c r="R810" s="59" t="str">
        <x:v>รอติดต่อ</x:v>
      </x:c>
    </x:row>
    <x:row r="811" ht="84" customHeight="1">
      <x:c r="A811" s="2" t="str">
        <x:v>R26-082</x:v>
      </x:c>
      <x:c r="B811" s="8" t="str">
        <x:v>เตอรัง ติ่มซำ</x:v>
      </x:c>
      <x:c r="C811" s="8" t="str">
        <x:v>ตรัง</x:v>
      </x:c>
      <x:c r="D811" s="8" t="str">
        <x:v>อยู่ในชุด 600 ตามเส้นทาง</x:v>
      </x:c>
      <x:c r="E811" s="8" t="str">
        <x:v>พบชื่อสัมพันธ์หลายเว็บไซต์ รอยืนยันสาขา</x:v>
      </x:c>
      <x:c r="F811" s="8" t="str">
        <x:v>ยังไม่ยืนยันการเปิดให้บริการปัจจุบัน</x:v>
      </x:c>
      <x:c r="G811" s="8" t="n">
        <x:v>5</x:v>
      </x:c>
      <x:c r="H811" s="8" t="str"/>
      <x:c r="I811" s="8" t="str"/>
      <x:c r="J811" s="8" t="str">
        <x:v>https://www.wongnai.com/restaurants/223748JY-%E0%B9%80%E0%B8%95%E0%B8%AD%E0%B8%A3%E0%B8%B1%E0%B8%87-%E0%B8%95%E0%B8%B4%E0%B9%88%E0%B8%A1%E0%B8%8B%E0%B8%B3/menu</x:v>
      </x:c>
      <x:c r="K811" s="8" t="str"/>
      <x:c r="L811" s="8" t="str">
        <x:v>https://www.thailandtourismdirectory.go.th/restaurants/87856</x:v>
      </x:c>
      <x:c r="M811" s="8" t="str">
        <x:v>https://www.thairath.co.th/lifestyle/food/review/1061414</x:v>
      </x:c>
      <x:c r="N811" s="8" t="str">
        <x:v>ยังไม่ยืนยัน</x:v>
      </x:c>
      <x:c r="O811" s="8" t="str">
        <x:v>ตรวจการเปิด ตัวตนสาขา ช่องทางติดต่อ และเงื่อนไขบังคับตามประเภท</x:v>
      </x:c>
      <x:c r="P811" s="40" t="n">
        <x:v>46316</x:v>
      </x:c>
      <x:c r="Q811" s="59" t="str">
        <x:v>ยังไม่ตรวจ</x:v>
      </x:c>
      <x:c r="R811" s="59" t="str">
        <x:v>รอติดต่อ</x:v>
      </x:c>
    </x:row>
    <x:row r="812" ht="84" customHeight="1">
      <x:c r="A812" s="2" t="str">
        <x:v>R26-084</x:v>
      </x:c>
      <x:c r="B812" s="8" t="str">
        <x:v>เสน่ห์ปู ตรัง</x:v>
      </x:c>
      <x:c r="C812" s="8" t="str">
        <x:v>ตรัง</x:v>
      </x:c>
      <x:c r="D812" s="8" t="str">
        <x:v>อยู่ในชุด 600 ตามเส้นทาง</x:v>
      </x:c>
      <x:c r="E812" s="8" t="str">
        <x:v>พบชื่อสัมพันธ์หลายเว็บไซต์ รอยืนยันสาขา</x:v>
      </x:c>
      <x:c r="F812" s="8" t="str">
        <x:v>ยังไม่ยืนยันการเปิดให้บริการปัจจุบัน</x:v>
      </x:c>
      <x:c r="G812" s="8" t="n">
        <x:v>2</x:v>
      </x:c>
      <x:c r="H812" s="8" t="str">
        <x:v>https://www.youtube.com/watch?v=d808oNhPBd8</x:v>
      </x:c>
      <x:c r="I812" s="8" t="str"/>
      <x:c r="J812" s="8" t="str"/>
      <x:c r="K812" s="8" t="str"/>
      <x:c r="L812" s="8" t="str">
        <x:v>https://www.lemon8-app.com/%40jayyanaka/7537714313755345425?region=th</x:v>
      </x:c>
      <x:c r="M812" s="8" t="str">
        <x:v>https://www.lemon8-app.com/%40jayyanaka/7537714313755345425?region=th</x:v>
      </x:c>
      <x:c r="N812" s="8" t="str">
        <x:v>ยังไม่ยืนยัน</x:v>
      </x:c>
      <x:c r="O812" s="8" t="str">
        <x:v>ตรวจการเปิด ตัวตนสาขา ช่องทางติดต่อ และเงื่อนไขบังคับตามประเภท</x:v>
      </x:c>
      <x:c r="P812" s="40" t="n">
        <x:v>46316</x:v>
      </x:c>
      <x:c r="Q812" s="59" t="str">
        <x:v>ยังไม่ตรวจ</x:v>
      </x:c>
      <x:c r="R812" s="59" t="str">
        <x:v>รอติดต่อ</x:v>
      </x:c>
    </x:row>
    <x:row r="813" ht="84" customHeight="1">
      <x:c r="A813" s="2" t="str">
        <x:v>R26-083</x:v>
      </x:c>
      <x:c r="B813" s="8" t="str">
        <x:v>ถ้ำเลเขากอบ</x:v>
      </x:c>
      <x:c r="C813" s="8" t="str">
        <x:v>ตรัง</x:v>
      </x:c>
      <x:c r="D813" s="8" t="str">
        <x:v>อยู่ในชุด 600 ตามเส้นทาง</x:v>
      </x:c>
      <x:c r="E813" s="8" t="str">
        <x:v>พบชื่อสัมพันธ์หลายเว็บไซต์ รอยืนยันสาขา</x:v>
      </x:c>
      <x:c r="F813" s="8" t="str">
        <x:v>ยังไม่ยืนยันการเปิดให้บริการปัจจุบัน</x:v>
      </x:c>
      <x:c r="G813" s="8" t="n">
        <x:v>15</x:v>
      </x:c>
      <x:c r="H813" s="8" t="str">
        <x:v>https://www.youtube.com/watch?v=WqQ0_O_bb4s</x:v>
      </x:c>
      <x:c r="I813" s="8" t="str"/>
      <x:c r="J813" s="8" t="str"/>
      <x:c r="K813" s="8" t="str"/>
      <x:c r="L813" s="8" t="str">
        <x:v>https://trang.mots.go.th/news/435</x:v>
      </x:c>
      <x:c r="M813" s="8" t="str">
        <x:v>https://www.trangpao.go.th/travel/detail/63</x:v>
      </x:c>
      <x:c r="N813" s="8" t="str">
        <x:v>ยังไม่ยืนยัน</x:v>
      </x:c>
      <x:c r="O813" s="8" t="str">
        <x:v>ตรวจการเปิด ตัวตนสาขา ช่องทางติดต่อ และเงื่อนไขบังคับตามประเภท</x:v>
      </x:c>
      <x:c r="P813" s="40" t="n">
        <x:v>46316</x:v>
      </x:c>
      <x:c r="Q813" s="59" t="str">
        <x:v>ยังไม่ตรวจ</x:v>
      </x:c>
      <x:c r="R813" s="59" t="str">
        <x:v>รอติดต่อ</x:v>
      </x:c>
    </x:row>
    <x:row r="814" ht="84" customHeight="1">
      <x:c r="A814" s="2" t="str">
        <x:v>R26-085</x:v>
      </x:c>
      <x:c r="B814" s="8" t="str">
        <x:v>ชุมชนบ้านน้ำราบ</x:v>
      </x:c>
      <x:c r="C814" s="8" t="str">
        <x:v>ตรัง</x:v>
      </x:c>
      <x:c r="D814" s="8" t="str">
        <x:v>อยู่ในชุด 600 ตามเส้นทาง</x:v>
      </x:c>
      <x:c r="E814" s="8" t="str">
        <x:v>พบชื่อสัมพันธ์หลายเว็บไซต์ รอยืนยันสาขา</x:v>
      </x:c>
      <x:c r="F814" s="8" t="str">
        <x:v>ยังไม่ยืนยันการเปิดให้บริการปัจจุบัน</x:v>
      </x:c>
      <x:c r="G814" s="8" t="n">
        <x:v>14</x:v>
      </x:c>
      <x:c r="H814" s="8" t="str">
        <x:v>https://www.youtube.com/watch?v=_GrlhQaScWA</x:v>
      </x:c>
      <x:c r="I814" s="8" t="str"/>
      <x:c r="J814" s="8" t="str"/>
      <x:c r="K814" s="8" t="str"/>
      <x:c r="L814" s="8" t="str">
        <x:v>https://ww2.trang.go.th/news/detail/5848</x:v>
      </x:c>
      <x:c r="M814" s="8" t="str">
        <x:v>https://www.dmcr.go.th/detailAll/47654/nws/</x:v>
      </x:c>
      <x:c r="N814" s="8" t="str">
        <x:v>ยังไม่ยืนยัน</x:v>
      </x:c>
      <x:c r="O814" s="8" t="str">
        <x:v>ตรวจการเปิด ตัวตนสาขา ช่องทางติดต่อ และเงื่อนไขบังคับตามประเภท</x:v>
      </x:c>
      <x:c r="P814" s="40" t="n">
        <x:v>46316</x:v>
      </x:c>
      <x:c r="Q814" s="59" t="str">
        <x:v>ยังไม่ตรวจ</x:v>
      </x:c>
      <x:c r="R814" s="59" t="str">
        <x:v>รอติดต่อ</x:v>
      </x:c>
    </x:row>
    <x:row r="815" ht="84" customHeight="1">
      <x:c r="A815" s="2" t="str">
        <x:v>R26-386</x:v>
      </x:c>
      <x:c r="B815" s="8" t="str">
        <x:v>Rua Rasada Hotel Trang</x:v>
      </x:c>
      <x:c r="C815" s="8" t="str">
        <x:v>ตรัง</x:v>
      </x:c>
      <x:c r="D815" s="8" t="str">
        <x:v>อยู่ในชุด 600 ตามเส้นทาง</x:v>
      </x:c>
      <x:c r="E815" s="8" t="str">
        <x:v>พบชื่อสัมพันธ์หลายเว็บไซต์ รอยืนยันสาขา</x:v>
      </x:c>
      <x:c r="F815" s="8" t="str">
        <x:v>ยังไม่ยืนยันการเปิดให้บริการปัจจุบัน</x:v>
      </x:c>
      <x:c r="G815" s="8" t="n">
        <x:v>6</x:v>
      </x:c>
      <x:c r="H815" s="8" t="str">
        <x:v>https://www.youtube.com/watch?v=VJkQmt1xPa4</x:v>
      </x:c>
      <x:c r="I815" s="8" t="str">
        <x:v>https://www.facebook.com/ruarasada/</x:v>
      </x:c>
      <x:c r="J815" s="8" t="str">
        <x:v>https://www.google.com/travel/hotels/entity/ChcI387Pnbr4-7lQGgsvZy8xdGc1cmgzNhAB?gsas=1</x:v>
      </x:c>
      <x:c r="K815" s="8" t="str"/>
      <x:c r="L815" s="8" t="str">
        <x:v>https://www.ruarasadahotel.com/</x:v>
      </x:c>
      <x:c r="M815" s="8" t="str">
        <x:v>https://elibrary.tceb.or.th/getattachment/e25a9f22-13a9-4ae1-b08d-4bad045db7aa/6366.aspx</x:v>
      </x:c>
      <x:c r="N815" s="8" t="str">
        <x:v>ยังไม่ยืนยัน</x:v>
      </x:c>
      <x:c r="O815" s="8" t="str">
        <x:v>ตรวจการเปิด ตัวตนสาขา ช่องทางติดต่อ และเงื่อนไขบังคับตามประเภท</x:v>
      </x:c>
      <x:c r="P815" s="40" t="n">
        <x:v>46316</x:v>
      </x:c>
      <x:c r="Q815" s="59" t="str">
        <x:v>ยังไม่ตรวจ</x:v>
      </x:c>
      <x:c r="R815" s="59" t="str">
        <x:v>รอติดต่อ</x:v>
      </x:c>
    </x:row>
    <x:row r="816" ht="84" customHeight="1">
      <x:c r="A816" s="2" t="str">
        <x:v>R26-357</x:v>
      </x:c>
      <x:c r="B816" s="8" t="str">
        <x:v>ร้านทางเลือก ตรัง</x:v>
      </x:c>
      <x:c r="C816" s="8" t="str">
        <x:v>ตรัง</x:v>
      </x:c>
      <x:c r="D816" s="8" t="str">
        <x:v>อยู่ในชุด 600 ตามเส้นทาง</x:v>
      </x:c>
      <x:c r="E816" s="8" t="str">
        <x:v>พบชื่อสัมพันธ์หลายเว็บไซต์ รอยืนยันสาขา</x:v>
      </x:c>
      <x:c r="F816" s="8" t="str">
        <x:v>ยังไม่ยืนยันการเปิดให้บริการปัจจุบัน</x:v>
      </x:c>
      <x:c r="G816" s="8" t="n">
        <x:v>2</x:v>
      </x:c>
      <x:c r="H816" s="8" t="str"/>
      <x:c r="I816" s="8" t="str"/>
      <x:c r="J816" s="8" t="str">
        <x:v>https://www.wongnai.com/reviews/9d47357e87fa48208833b9e55412a294</x:v>
      </x:c>
      <x:c r="K816" s="8" t="str"/>
      <x:c r="L816" s="8" t="str">
        <x:v>https://www.lemon8-app.com/%40anusara_paplern/7600045983167037960?region=us</x:v>
      </x:c>
      <x:c r="M816" s="8" t="str">
        <x:v>https://www.lemon8-app.com/%40anusara_paplern/7600045983167037960?region=us</x:v>
      </x:c>
      <x:c r="N816" s="8" t="str">
        <x:v>ยังไม่ยืนยัน</x:v>
      </x:c>
      <x:c r="O816" s="8" t="str">
        <x:v>ตรวจการเปิด ตัวตนสาขา ช่องทางติดต่อ และเงื่อนไขบังคับตามประเภท</x:v>
      </x:c>
      <x:c r="P816" s="40" t="n">
        <x:v>46316</x:v>
      </x:c>
      <x:c r="Q816" s="59" t="str">
        <x:v>ยังไม่ตรวจ</x:v>
      </x:c>
      <x:c r="R816" s="59" t="str">
        <x:v>รอติดต่อ</x:v>
      </x:c>
    </x:row>
    <x:row r="817" ht="84" customHeight="1">
      <x:c r="A817" s="2" t="str">
        <x:v>R26-356</x:v>
      </x:c>
      <x:c r="B817" s="8" t="str">
        <x:v>ฮานีส สวนอาหารฮาลาล</x:v>
      </x:c>
      <x:c r="C817" s="8" t="str">
        <x:v>ตรัง</x:v>
      </x:c>
      <x:c r="D817" s="8" t="str">
        <x:v>อยู่ในชุด 600 ตามเส้นทาง</x:v>
      </x:c>
      <x:c r="E817" s="8" t="str">
        <x:v>พบชื่อสัมพันธ์หลายเว็บไซต์ รอยืนยันสาขา</x:v>
      </x:c>
      <x:c r="F817" s="8" t="str">
        <x:v>ยังไม่ยืนยันการเปิดให้บริการปัจจุบัน</x:v>
      </x:c>
      <x:c r="G817" s="8" t="n">
        <x:v>4</x:v>
      </x:c>
      <x:c r="H817" s="8" t="str"/>
      <x:c r="I817" s="8" t="str"/>
      <x:c r="J817" s="8" t="str">
        <x:v>https://www.wongnai.com/restaurants/243391ak-%E0%B8%AE%E0%B8%B2%E0%B8%99%E0%B8%B5%E0%B8%AA/menu</x:v>
      </x:c>
      <x:c r="K817" s="8" t="str">
        <x:v>https://restaurantguru.com/Hanees-Halal-Restaurant-%E0%B8%AE%E0%B8%B2%E0%B8%99%E0%B8%B5%E0%B8%AA-%E0%B8%AA%E0%B8%A7%E0%B8%99%E0%B8%AD%E0%B8%B2%E0%B8%AB%E0%B8%B2%E0%B8%A3%E0%B8%AE%E0%B8%B2%E0%B8%A5%E0%B8%B2%E0%B8%A5-Ban-Na-Trang</x:v>
      </x:c>
      <x:c r="L817" s="8" t="str">
        <x:v>https://hpc12.anamai.moph.go.th/web-upload/37x999d733dc85b5a04c0a90046141e26d0/202503/m_document/38900/44874/file_download/665382792ef4126600e835f0c77d802a.pdf</x:v>
      </x:c>
      <x:c r="M817" s="8" t="str">
        <x:v>https://www.dusit.ac.th/home/2026/2157386.html</x:v>
      </x:c>
      <x:c r="N817" s="8" t="str">
        <x:v>ยังไม่ยืนยัน</x:v>
      </x:c>
      <x:c r="O817" s="8" t="str">
        <x:v>ตรวจการเปิด ตัวตนสาขา ช่องทางติดต่อ และเงื่อนไขบังคับตามประเภท</x:v>
      </x:c>
      <x:c r="P817" s="40" t="n">
        <x:v>46316</x:v>
      </x:c>
      <x:c r="Q817" s="59" t="str">
        <x:v>ยังไม่ตรวจ</x:v>
      </x:c>
      <x:c r="R817" s="59" t="str">
        <x:v>รอติดต่อ</x:v>
      </x:c>
    </x:row>
    <x:row r="818" ht="84" customHeight="1">
      <x:c r="A818" s="2" t="str">
        <x:v>R26-359</x:v>
      </x:c>
      <x:c r="B818" s="8" t="str">
        <x:v>โรตีเมืองตรัง</x:v>
      </x:c>
      <x:c r="C818" s="8" t="str">
        <x:v>ตรัง</x:v>
      </x:c>
      <x:c r="D818" s="8" t="str">
        <x:v>อยู่ในชุด 600 ตามเส้นทาง</x:v>
      </x:c>
      <x:c r="E818" s="8" t="str">
        <x:v>พบชื่อสัมพันธ์หลายเว็บไซต์ รอยืนยันสาขา</x:v>
      </x:c>
      <x:c r="F818" s="8" t="str">
        <x:v>ยังไม่ยืนยันการเปิดให้บริการปัจจุบัน</x:v>
      </x:c>
      <x:c r="G818" s="8" t="n">
        <x:v>9</x:v>
      </x:c>
      <x:c r="H818" s="8" t="str">
        <x:v>https://www.youtube.com/watch?v=WsegfSFPVBg</x:v>
      </x:c>
      <x:c r="I818" s="8" t="str"/>
      <x:c r="J818" s="8" t="str">
        <x:v>https://www.wongnai.com/reviews/23871ff5b6a44ea2a40faece7bdfb05d</x:v>
      </x:c>
      <x:c r="K818" s="8" t="str"/>
      <x:c r="L818" s="8" t="str">
        <x:v>https://trang.prd.go.th/th/content/category/detail/id/304/iid/99927</x:v>
      </x:c>
      <x:c r="M818" s="8" t="str">
        <x:v>https://patois.com/shop/60969-</x:v>
      </x:c>
      <x:c r="N818" s="8" t="str">
        <x:v>ยังไม่ยืนยัน</x:v>
      </x:c>
      <x:c r="O818" s="8" t="str">
        <x:v>ตรวจการเปิด ตัวตนสาขา ช่องทางติดต่อ และเงื่อนไขบังคับตามประเภท</x:v>
      </x:c>
      <x:c r="P818" s="40" t="n">
        <x:v>46316</x:v>
      </x:c>
      <x:c r="Q818" s="59" t="str">
        <x:v>ยังไม่ตรวจ</x:v>
      </x:c>
      <x:c r="R818" s="59" t="str">
        <x:v>รอติดต่อ</x:v>
      </x:c>
    </x:row>
    <x:row r="819" ht="84" customHeight="1">
      <x:c r="A819" s="2" t="str">
        <x:v>R26-288</x:v>
      </x:c>
      <x:c r="B819" s="8" t="str">
        <x:v>Let's Relax Spa Trang Rua Rasada</x:v>
      </x:c>
      <x:c r="C819" s="8" t="str">
        <x:v>ตรัง</x:v>
      </x:c>
      <x:c r="D819" s="8" t="str">
        <x:v>อยู่ในชุด 600 ตามเส้นทาง</x:v>
      </x:c>
      <x:c r="E819" s="8" t="str">
        <x:v>พบชื่อสัมพันธ์หลายเว็บไซต์ รอยืนยันสาขา</x:v>
      </x:c>
      <x:c r="F819" s="8" t="str">
        <x:v>ยังไม่ยืนยันการเปิดให้บริการปัจจุบัน</x:v>
      </x:c>
      <x:c r="G819" s="8" t="n">
        <x:v>2</x:v>
      </x:c>
      <x:c r="H819" s="8" t="str">
        <x:v>https://www.facebook.com/letsrelaxspa.official/</x:v>
      </x:c>
      <x:c r="I819" s="8" t="str">
        <x:v>https://www.instagram.com/letsrelaxspa.official/?hl=en</x:v>
      </x:c>
      <x:c r="J819" s="8" t="str"/>
      <x:c r="K819" s="8" t="str"/>
      <x:c r="L819" s="8" t="str">
        <x:v>https://letsrelaxspa.com/branches/trang-rua-rasada-hotel/</x:v>
      </x:c>
      <x:c r="M819" s="8" t="str">
        <x:v>https://www.traveloka.com/th-th/activities/thailand/product/lets-relax-spa-trang-rua-rasada-hotel-2000249463942</x:v>
      </x:c>
      <x:c r="N819" s="8" t="str">
        <x:v>ยังไม่ยืนยัน</x:v>
      </x:c>
      <x:c r="O819" s="8" t="str">
        <x:v>ตรวจการเปิด ตัวตนสาขา ช่องทางติดต่อ และเงื่อนไขบังคับตามประเภท</x:v>
      </x:c>
      <x:c r="P819" s="40" t="n">
        <x:v>46316</x:v>
      </x:c>
      <x:c r="Q819" s="59" t="str">
        <x:v>ยังไม่ตรวจ</x:v>
      </x:c>
      <x:c r="R819" s="59" t="str">
        <x:v>รอติดต่อ</x:v>
      </x:c>
    </x:row>
    <x:row r="820" ht="84" customHeight="1">
      <x:c r="A820" s="2" t="str">
        <x:v>R26-187</x:v>
      </x:c>
      <x:c r="B820" s="8" t="str">
        <x:v>น้ำตกโตนเต๊ะ</x:v>
      </x:c>
      <x:c r="C820" s="8" t="str">
        <x:v>ตรัง</x:v>
      </x:c>
      <x:c r="D820" s="8" t="str">
        <x:v>อยู่ในชุด 600 ตามเส้นทาง</x:v>
      </x:c>
      <x:c r="E820" s="8" t="str">
        <x:v>พบชื่อสัมพันธ์หลายเว็บไซต์ รอยืนยันสาขา</x:v>
      </x:c>
      <x:c r="F820" s="8" t="str">
        <x:v>ยังไม่ยืนยันการเปิดให้บริการปัจจุบัน</x:v>
      </x:c>
      <x:c r="G820" s="8" t="n">
        <x:v>13</x:v>
      </x:c>
      <x:c r="H820" s="8" t="str"/>
      <x:c r="I820" s="8" t="str"/>
      <x:c r="J820" s="8" t="str">
        <x:v>https://www.wongnai.com/attractions/326526vM-%E0%B8%99%E0%B9%89%E0%B8%B3%E0%B8%95%E0%B8%81%E0%B9%82%E0%B8%95%E0%B8%99%E0%B9%80%E0%B8%95%E0%B9%8A%E0%B8%B0</x:v>
      </x:c>
      <x:c r="K820" s="8" t="str"/>
      <x:c r="L820" s="8" t="str">
        <x:v>https://cbtthailand.dasta.or.th/webapp/relattraction/content/364/</x:v>
      </x:c>
      <x:c r="M820" s="8" t="str">
        <x:v>https://trang.prd.go.th/th/content/category/detail/id/33/iid/509724</x:v>
      </x:c>
      <x:c r="N820" s="8" t="str">
        <x:v>ยังไม่ยืนยัน</x:v>
      </x:c>
      <x:c r="O820" s="8" t="str">
        <x:v>ตรวจการเปิด ตัวตนสาขา ช่องทางติดต่อ และเงื่อนไขบังคับตามประเภท</x:v>
      </x:c>
      <x:c r="P820" s="40" t="n">
        <x:v>46316</x:v>
      </x:c>
      <x:c r="Q820" s="59" t="str">
        <x:v>ยังไม่ตรวจ</x:v>
      </x:c>
      <x:c r="R820" s="59" t="str">
        <x:v>รอติดต่อ</x:v>
      </x:c>
    </x:row>
    <x:row r="821" ht="84" customHeight="1">
      <x:c r="A821" s="2" t="str">
        <x:v>R26-185</x:v>
      </x:c>
      <x:c r="B821" s="8" t="str">
        <x:v>หาดปากเมง</x:v>
      </x:c>
      <x:c r="C821" s="8" t="str">
        <x:v>ตรัง</x:v>
      </x:c>
      <x:c r="D821" s="8" t="str">
        <x:v>อยู่ในชุด 600 ตามเส้นทาง</x:v>
      </x:c>
      <x:c r="E821" s="8" t="str">
        <x:v>พบชื่อสัมพันธ์หลายเว็บไซต์ รอยืนยันสาขา</x:v>
      </x:c>
      <x:c r="F821" s="8" t="str">
        <x:v>ยังไม่ยืนยันการเปิดให้บริการปัจจุบัน</x:v>
      </x:c>
      <x:c r="G821" s="8" t="n">
        <x:v>16</x:v>
      </x:c>
      <x:c r="H821" s="8" t="str">
        <x:v>https://www.youtube.com/watch?v=6p4gkNzdI-c</x:v>
      </x:c>
      <x:c r="I821" s="8" t="str"/>
      <x:c r="J821" s="8" t="str">
        <x:v>https://www.wongnai.com/attractions/336463zc-%E0%B8%AB%E0%B8%B2%E0%B8%94%E0%B8%9B%E0%B8%B2%E0%B8%81%E0%B9%80%E0%B8%A1%E0%B8%87</x:v>
      </x:c>
      <x:c r="K821" s="8" t="str"/>
      <x:c r="L821" s="8" t="str">
        <x:v>https://trang.mots.go.th/news/442</x:v>
      </x:c>
      <x:c r="M821" s="8" t="str">
        <x:v>https://www.trangpao.go.th/travel/detail/65</x:v>
      </x:c>
      <x:c r="N821" s="8" t="str">
        <x:v>ยังไม่ยืนยัน</x:v>
      </x:c>
      <x:c r="O821" s="8" t="str">
        <x:v>ตรวจการเปิด ตัวตนสาขา ช่องทางติดต่อ และเงื่อนไขบังคับตามประเภท</x:v>
      </x:c>
      <x:c r="P821" s="40" t="n">
        <x:v>46316</x:v>
      </x:c>
      <x:c r="Q821" s="59" t="str">
        <x:v>ยังไม่ตรวจ</x:v>
      </x:c>
      <x:c r="R821" s="59" t="str">
        <x:v>รอติดต่อ</x:v>
      </x:c>
    </x:row>
    <x:row r="822" ht="84" customHeight="1">
      <x:c r="A822" s="2" t="str">
        <x:v>R26-186</x:v>
      </x:c>
      <x:c r="B822" s="8" t="str">
        <x:v>อุทยานแห่งชาติหาดเจ้าไหม</x:v>
      </x:c>
      <x:c r="C822" s="8" t="str">
        <x:v>ตรัง</x:v>
      </x:c>
      <x:c r="D822" s="8" t="str">
        <x:v>อยู่ในชุด 600 ตามเส้นทาง</x:v>
      </x:c>
      <x:c r="E822" s="8" t="str">
        <x:v>พบชื่อสัมพันธ์หลายเว็บไซต์ รอยืนยันสาขา</x:v>
      </x:c>
      <x:c r="F822" s="8" t="str">
        <x:v>ยังไม่ยืนยันการเปิดให้บริการปัจจุบัน</x:v>
      </x:c>
      <x:c r="G822" s="8" t="n">
        <x:v>15</x:v>
      </x:c>
      <x:c r="H822" s="8" t="str">
        <x:v>https://www.youtube.com/watch?v=PnvoytgNasE</x:v>
      </x:c>
      <x:c r="I822" s="8" t="str"/>
      <x:c r="J822" s="8" t="str"/>
      <x:c r="K822" s="8" t="str"/>
      <x:c r="L822" s="8" t="str">
        <x:v>https://news.dnp.go.th/news/21534</x:v>
      </x:c>
      <x:c r="M822" s="8" t="str">
        <x:v>https://www.trangpao.go.th/news/detail/11438</x:v>
      </x:c>
      <x:c r="N822" s="8" t="str">
        <x:v>ยังไม่ยืนยัน</x:v>
      </x:c>
      <x:c r="O822" s="8" t="str">
        <x:v>ตรวจการเปิด ตัวตนสาขา ช่องทางติดต่อ และเงื่อนไขบังคับตามประเภท</x:v>
      </x:c>
      <x:c r="P822" s="40" t="n">
        <x:v>46316</x:v>
      </x:c>
      <x:c r="Q822" s="59" t="str">
        <x:v>ยังไม่ตรวจ</x:v>
      </x:c>
      <x:c r="R822" s="59" t="str">
        <x:v>รอติดต่อ</x:v>
      </x:c>
    </x:row>
    <x:row r="823" ht="84" customHeight="1">
      <x:c r="A823" s="2" t="str">
        <x:v>R26-192</x:v>
      </x:c>
      <x:c r="B823" s="8" t="str">
        <x:v>สถานีรถไฟกันตัง</x:v>
      </x:c>
      <x:c r="C823" s="8" t="str">
        <x:v>ตรัง</x:v>
      </x:c>
      <x:c r="D823" s="8" t="str">
        <x:v>อยู่ในชุด 600 ตามเส้นทาง</x:v>
      </x:c>
      <x:c r="E823" s="8" t="str">
        <x:v>พบชื่อสัมพันธ์หลายเว็บไซต์ รอยืนยันสาขา</x:v>
      </x:c>
      <x:c r="F823" s="8" t="str">
        <x:v>ยังไม่ยืนยันการเปิดให้บริการปัจจุบัน</x:v>
      </x:c>
      <x:c r="G823" s="8" t="n">
        <x:v>17</x:v>
      </x:c>
      <x:c r="H823" s="8" t="str">
        <x:v>https://www.youtube.com/watch?v=Pt-9hXFP_ds</x:v>
      </x:c>
      <x:c r="I823" s="8" t="str"/>
      <x:c r="J823" s="8" t="str">
        <x:v>https://www.wongnai.com/attractions/326845Vu-%E0%B8%AA%E0%B8%96%E0%B8%B2%E0%B8%99%E0%B8%B5%E0%B8%A3%E0%B8%96%E0%B9%84%E0%B8%9F%E0%B8%81%E0%B8%B1%E0%B8%99%E0%B8%95%E0%B8%B1%E0%B8%87</x:v>
      </x:c>
      <x:c r="K823" s="8" t="str"/>
      <x:c r="L823" s="8" t="str">
        <x:v>https://archaeology.sac.or.th/archaeology/754</x:v>
      </x:c>
      <x:c r="M823" s="8" t="str">
        <x:v>https://cbtthailand.dasta.or.th/webapp/relattraction/content/1723/</x:v>
      </x:c>
      <x:c r="N823" s="8" t="str">
        <x:v>ยังไม่ยืนยัน</x:v>
      </x:c>
      <x:c r="O823" s="8" t="str">
        <x:v>ตรวจการเปิด ตัวตนสาขา ช่องทางติดต่อ และเงื่อนไขบังคับตามประเภท</x:v>
      </x:c>
      <x:c r="P823" s="40" t="n">
        <x:v>46316</x:v>
      </x:c>
      <x:c r="Q823" s="59" t="str">
        <x:v>ยังไม่ตรวจ</x:v>
      </x:c>
      <x:c r="R823" s="59" t="str">
        <x:v>รอติดต่อ</x:v>
      </x:c>
    </x:row>
    <x:row r="824" ht="84" customHeight="1">
      <x:c r="A824" s="2" t="str">
        <x:v>R26-188</x:v>
      </x:c>
      <x:c r="B824" s="8" t="str">
        <x:v>ชุมชนบ้านนาหมื่นศรี</x:v>
      </x:c>
      <x:c r="C824" s="8" t="str">
        <x:v>ตรัง</x:v>
      </x:c>
      <x:c r="D824" s="8" t="str">
        <x:v>อยู่ในชุด 600 ตามเส้นทาง</x:v>
      </x:c>
      <x:c r="E824" s="8" t="str">
        <x:v>พบชื่อสัมพันธ์หลายเว็บไซต์ รอยืนยันสาขา</x:v>
      </x:c>
      <x:c r="F824" s="8" t="str">
        <x:v>ยังไม่ยืนยันการเปิดให้บริการปัจจุบัน</x:v>
      </x:c>
      <x:c r="G824" s="8" t="n">
        <x:v>6</x:v>
      </x:c>
      <x:c r="H824" s="8" t="str">
        <x:v>https://www.youtube.com/watch?v=9PFBCLYV3qE</x:v>
      </x:c>
      <x:c r="I824" s="8" t="str"/>
      <x:c r="J824" s="8" t="str"/>
      <x:c r="K824" s="8" t="str"/>
      <x:c r="L824" s="8" t="str">
        <x:v>https://wikicommunity.sac.or.th/community/1065</x:v>
      </x:c>
      <x:c r="M824" s="8" t="str">
        <x:v>https://thai.tourismthailand.org/Attraction/%E0%B8%8A%E0%B8%B8%E0%B8%A1%E0%B8%8A%E0%B8%99%E0%B8%99%E0%B8%B2%E0%B8%AB%E0%B8%A1%E0%B8%B7%E0%B9%88%E0%B8%99%E0%B8%A8%E0%B8%A3%E0%B8%B5</x:v>
      </x:c>
      <x:c r="N824" s="8" t="str">
        <x:v>ยังไม่ยืนยัน</x:v>
      </x:c>
      <x:c r="O824" s="8" t="str">
        <x:v>ตรวจการเปิด ตัวตนสาขา ช่องทางติดต่อ และเงื่อนไขบังคับตามประเภท</x:v>
      </x:c>
      <x:c r="P824" s="40" t="n">
        <x:v>46316</x:v>
      </x:c>
      <x:c r="Q824" s="59" t="str">
        <x:v>ยังไม่ตรวจ</x:v>
      </x:c>
      <x:c r="R824" s="59" t="str">
        <x:v>รอติดต่อ</x:v>
      </x:c>
    </x:row>
    <x:row r="825" ht="84" customHeight="1">
      <x:c r="A825" s="2" t="str">
        <x:v>R26-189</x:v>
      </x:c>
      <x:c r="B825" s="8" t="str">
        <x:v>ชุมชนบ้านมดตะนอย</x:v>
      </x:c>
      <x:c r="C825" s="8" t="str">
        <x:v>ตรัง</x:v>
      </x:c>
      <x:c r="D825" s="8" t="str">
        <x:v>อยู่ในชุด 600 ตามเส้นทาง</x:v>
      </x:c>
      <x:c r="E825" s="8" t="str">
        <x:v>พบชื่อสัมพันธ์หลายเว็บไซต์ รอยืนยันสาขา</x:v>
      </x:c>
      <x:c r="F825" s="8" t="str">
        <x:v>ยังไม่ยืนยันการเปิดให้บริการปัจจุบัน</x:v>
      </x:c>
      <x:c r="G825" s="8" t="n">
        <x:v>11</x:v>
      </x:c>
      <x:c r="H825" s="8" t="str">
        <x:v>https://www.youtube.com/watch?v=su-C2C0M-6w</x:v>
      </x:c>
      <x:c r="I825" s="8" t="str"/>
      <x:c r="J825" s="8" t="str"/>
      <x:c r="K825" s="8" t="str"/>
      <x:c r="L825" s="8" t="str">
        <x:v>https://www.kohlibong.go.th/storage/uploads/173950327356.pdf</x:v>
      </x:c>
      <x:c r="M825" s="8" t="str">
        <x:v>https://thainews.prd.go.th/thainews/news/view/1052094/?bid=1</x:v>
      </x:c>
      <x:c r="N825" s="8" t="str">
        <x:v>ยังไม่ยืนยัน</x:v>
      </x:c>
      <x:c r="O825" s="8" t="str">
        <x:v>ตรวจการเปิด ตัวตนสาขา ช่องทางติดต่อ และเงื่อนไขบังคับตามประเภท</x:v>
      </x:c>
      <x:c r="P825" s="40" t="n">
        <x:v>46316</x:v>
      </x:c>
      <x:c r="Q825" s="59" t="str">
        <x:v>ยังไม่ตรวจ</x:v>
      </x:c>
      <x:c r="R825" s="59" t="str">
        <x:v>รอติดต่อ</x:v>
      </x:c>
    </x:row>
    <x:row r="826" ht="84" customHeight="1">
      <x:c r="A826" s="2" t="str">
        <x:v>R26-191</x:v>
      </x:c>
      <x:c r="B826" s="8" t="str">
        <x:v>ชุมชนบ้านสุโสะ</x:v>
      </x:c>
      <x:c r="C826" s="8" t="str">
        <x:v>ตรัง</x:v>
      </x:c>
      <x:c r="D826" s="8" t="str">
        <x:v>อยู่ในชุด 600 ตามเส้นทาง</x:v>
      </x:c>
      <x:c r="E826" s="8" t="str">
        <x:v>พบชื่อสัมพันธ์หลายเว็บไซต์ รอยืนยันสาขา</x:v>
      </x:c>
      <x:c r="F826" s="8" t="str">
        <x:v>ยังไม่ยืนยันการเปิดให้บริการปัจจุบัน</x:v>
      </x:c>
      <x:c r="G826" s="8" t="n">
        <x:v>4</x:v>
      </x:c>
      <x:c r="H826" s="8" t="str"/>
      <x:c r="I826" s="8" t="str"/>
      <x:c r="J826" s="8" t="str"/>
      <x:c r="K826" s="8" t="str"/>
      <x:c r="L826" s="8" t="str">
        <x:v>https://wikicommunity.sac.or.th/community/2800</x:v>
      </x:c>
      <x:c r="M826" s="8" t="str">
        <x:v>https://newweb.dmcr.go.th/detailAll/68703/nws/257</x:v>
      </x:c>
      <x:c r="N826" s="8" t="str">
        <x:v>ยังไม่ยืนยัน</x:v>
      </x:c>
      <x:c r="O826" s="8" t="str">
        <x:v>ตรวจการเปิด ตัวตนสาขา ช่องทางติดต่อ และเงื่อนไขบังคับตามประเภท</x:v>
      </x:c>
      <x:c r="P826" s="40" t="n">
        <x:v>46316</x:v>
      </x:c>
      <x:c r="Q826" s="59" t="str">
        <x:v>ยังไม่ตรวจ</x:v>
      </x:c>
      <x:c r="R826" s="59" t="str">
        <x:v>รอติดต่อ</x:v>
      </x:c>
    </x:row>
    <x:row r="827" ht="84" customHeight="1">
      <x:c r="A827" s="2" t="str">
        <x:v>R26-190</x:v>
      </x:c>
      <x:c r="B827" s="8" t="str">
        <x:v>ชุมชนบ้านเกาะลิบง</x:v>
      </x:c>
      <x:c r="C827" s="8" t="str">
        <x:v>ตรัง</x:v>
      </x:c>
      <x:c r="D827" s="8" t="str">
        <x:v>อยู่ในชุด 600 ตามเส้นทาง</x:v>
      </x:c>
      <x:c r="E827" s="8" t="str">
        <x:v>พบชื่อสัมพันธ์หลายเว็บไซต์ รอยืนยันสาขา</x:v>
      </x:c>
      <x:c r="F827" s="8" t="str">
        <x:v>ยังไม่ยืนยันการเปิดให้บริการปัจจุบัน</x:v>
      </x:c>
      <x:c r="G827" s="8" t="n">
        <x:v>4</x:v>
      </x:c>
      <x:c r="H827" s="8" t="str">
        <x:v>https://www.youtube.com/watch?v=gEnBuB-jJeY</x:v>
      </x:c>
      <x:c r="I827" s="8" t="str"/>
      <x:c r="J827" s="8" t="str"/>
      <x:c r="K827" s="8" t="str"/>
      <x:c r="L827" s="8" t="str">
        <x:v>https://www.trangpao.go.th/travel/detail/67</x:v>
      </x:c>
      <x:c r="M827" s="8" t="str">
        <x:v>https://wikicommunity.sac.or.th/community/1913</x:v>
      </x:c>
      <x:c r="N827" s="8" t="str">
        <x:v>ยังไม่ยืนยัน</x:v>
      </x:c>
      <x:c r="O827" s="8" t="str">
        <x:v>ตรวจการเปิด ตัวตนสาขา ช่องทางติดต่อ และเงื่อนไขบังคับตามประเภท</x:v>
      </x:c>
      <x:c r="P827" s="40" t="n">
        <x:v>46316</x:v>
      </x:c>
      <x:c r="Q827" s="59" t="str">
        <x:v>ยังไม่ตรวจ</x:v>
      </x:c>
      <x:c r="R827" s="59" t="str">
        <x:v>รอติดต่อ</x:v>
      </x:c>
    </x:row>
    <x:row r="828" ht="84" customHeight="1">
      <x:c r="A828" s="2" t="str">
        <x:v>R26-089</x:v>
      </x:c>
      <x:c r="B828" s="8" t="str">
        <x:v>มิตรไมตรี Dining Cafe</x:v>
      </x:c>
      <x:c r="C828" s="8" t="str">
        <x:v>ปัตตานี</x:v>
      </x:c>
      <x:c r="D828" s="8" t="str">
        <x:v>อยู่ในชุด 600 ตามเส้นทาง</x:v>
      </x:c>
      <x:c r="E828" s="8" t="str">
        <x:v>พบชื่อสัมพันธ์หลายเว็บไซต์ รอยืนยันสาขา</x:v>
      </x:c>
      <x:c r="F828" s="8" t="str">
        <x:v>ยังไม่ยืนยันการเปิดให้บริการปัจจุบัน</x:v>
      </x:c>
      <x:c r="G828" s="8" t="n">
        <x:v>5</x:v>
      </x:c>
      <x:c r="H828" s="8" t="str">
        <x:v>https://www.youtube.com/watch?v=G7e3PkD6EdQ</x:v>
      </x:c>
      <x:c r="I828" s="8" t="str"/>
      <x:c r="J828" s="8" t="str">
        <x:v>https://www.wongnai.com/restaurants/mitmaitri</x:v>
      </x:c>
      <x:c r="K828" s="8" t="str">
        <x:v>https://sites.google.com/view/in-pattane/%E0%B8%A3%E0%B8%B2%E0%B8%99-%E0%B8%A1%E0%B8%95%E0%B8%A3%E0%B9%84%E0%B8%A1%E0%B8%95%E0%B8%A3</x:v>
      </x:c>
      <x:c r="L828" s="8" t="str">
        <x:v>https://salehere.co.th/posts/e862541030a44eff9c667c4e11eaaaeb</x:v>
      </x:c>
      <x:c r="M828" s="8" t="str">
        <x:v>https://api.tat.or.th/upload/live/multimedia/9785/South_14_Routes.pdf</x:v>
      </x:c>
      <x:c r="N828" s="8" t="str">
        <x:v>ยังไม่ยืนยัน</x:v>
      </x:c>
      <x:c r="O828" s="8" t="str">
        <x:v>ตรวจการเปิด ตัวตนสาขา ช่องทางติดต่อ และเงื่อนไขบังคับตามประเภท</x:v>
      </x:c>
      <x:c r="P828" s="40" t="n">
        <x:v>46316</x:v>
      </x:c>
      <x:c r="Q828" s="59" t="str">
        <x:v>ยังไม่ตรวจ</x:v>
      </x:c>
      <x:c r="R828" s="59" t="str">
        <x:v>รอติดต่อ</x:v>
      </x:c>
    </x:row>
    <x:row r="829" ht="84" customHeight="1">
      <x:c r="A829" s="2" t="str">
        <x:v>R26-092</x:v>
      </x:c>
      <x:c r="B829" s="8" t="str">
        <x:v>หาดตะโละกาโปร์</x:v>
      </x:c>
      <x:c r="C829" s="8" t="str">
        <x:v>ปัตตานี</x:v>
      </x:c>
      <x:c r="D829" s="8" t="str">
        <x:v>อยู่ในชุด 600 ตามเส้นทาง</x:v>
      </x:c>
      <x:c r="E829" s="8" t="str">
        <x:v>พบชื่อสัมพันธ์หลายเว็บไซต์ รอยืนยันสาขา</x:v>
      </x:c>
      <x:c r="F829" s="8" t="str">
        <x:v>ยังไม่ยืนยันการเปิดให้บริการปัจจุบัน</x:v>
      </x:c>
      <x:c r="G829" s="8" t="n">
        <x:v>15</x:v>
      </x:c>
      <x:c r="H829" s="8" t="str">
        <x:v>https://www.youtube.com/watch?v=byGNjboqgNI</x:v>
      </x:c>
      <x:c r="I829" s="8" t="str"/>
      <x:c r="J829" s="8" t="str"/>
      <x:c r="K829" s="8" t="str"/>
      <x:c r="L829" s="8" t="str">
        <x:v>https://pattani.mots.go.th/news/379</x:v>
      </x:c>
      <x:c r="M829" s="8" t="str">
        <x:v>https://www.pattani.go.th/travel/detail/59</x:v>
      </x:c>
      <x:c r="N829" s="8" t="str">
        <x:v>ยังไม่ยืนยัน</x:v>
      </x:c>
      <x:c r="O829" s="8" t="str">
        <x:v>ตรวจการเปิด ตัวตนสาขา ช่องทางติดต่อ และเงื่อนไขบังคับตามประเภท</x:v>
      </x:c>
      <x:c r="P829" s="40" t="n">
        <x:v>46316</x:v>
      </x:c>
      <x:c r="Q829" s="59" t="str">
        <x:v>ยังไม่ตรวจ</x:v>
      </x:c>
      <x:c r="R829" s="59" t="str">
        <x:v>รอติดต่อ</x:v>
      </x:c>
    </x:row>
    <x:row r="830" ht="84" customHeight="1">
      <x:c r="A830" s="2" t="str">
        <x:v>R26-088</x:v>
      </x:c>
      <x:c r="B830" s="8" t="str">
        <x:v>ย่านเมืองเก่าปัตตานี</x:v>
      </x:c>
      <x:c r="C830" s="8" t="str">
        <x:v>ปัตตานี</x:v>
      </x:c>
      <x:c r="D830" s="8" t="str">
        <x:v>อยู่ในชุด 600 ตามเส้นทาง</x:v>
      </x:c>
      <x:c r="E830" s="8" t="str">
        <x:v>พบชื่อสัมพันธ์หลายเว็บไซต์ รอยืนยันสาขา</x:v>
      </x:c>
      <x:c r="F830" s="8" t="str">
        <x:v>ยังไม่ยืนยันการเปิดให้บริการปัจจุบัน</x:v>
      </x:c>
      <x:c r="G830" s="8" t="n">
        <x:v>7</x:v>
      </x:c>
      <x:c r="H830" s="8" t="str"/>
      <x:c r="I830" s="8" t="str"/>
      <x:c r="J830" s="8" t="str"/>
      <x:c r="K830" s="8" t="str"/>
      <x:c r="L830" s="8" t="str">
        <x:v>https://pattani.go.th/gallery/detail/8318/data.html</x:v>
      </x:c>
      <x:c r="M830" s="8" t="str">
        <x:v>https://nced.onep.go.th/knowledge/oldtown/scenario_oldtown.pdf</x:v>
      </x:c>
      <x:c r="N830" s="8" t="str">
        <x:v>ยังไม่ยืนยัน</x:v>
      </x:c>
      <x:c r="O830" s="8" t="str">
        <x:v>ตรวจการเปิด ตัวตนสาขา ช่องทางติดต่อ และเงื่อนไขบังคับตามประเภท</x:v>
      </x:c>
      <x:c r="P830" s="40" t="n">
        <x:v>46316</x:v>
      </x:c>
      <x:c r="Q830" s="59" t="str">
        <x:v>ยังไม่ตรวจ</x:v>
      </x:c>
      <x:c r="R830" s="59" t="str">
        <x:v>รอติดต่อ</x:v>
      </x:c>
    </x:row>
    <x:row r="831" ht="84" customHeight="1">
      <x:c r="A831" s="2" t="str">
        <x:v>R26-087</x:v>
      </x:c>
      <x:c r="B831" s="8" t="str">
        <x:v>ศาลเจ้าแม่ลิ้มกอเหนี่ยว</x:v>
      </x:c>
      <x:c r="C831" s="8" t="str">
        <x:v>ปัตตานี</x:v>
      </x:c>
      <x:c r="D831" s="8" t="str">
        <x:v>อยู่ในชุด 600 ตามเส้นทาง</x:v>
      </x:c>
      <x:c r="E831" s="8" t="str">
        <x:v>พบชื่อสัมพันธ์หลายเว็บไซต์ รอยืนยันสาขา</x:v>
      </x:c>
      <x:c r="F831" s="8" t="str">
        <x:v>ยังไม่ยืนยันการเปิดให้บริการปัจจุบัน</x:v>
      </x:c>
      <x:c r="G831" s="8" t="n">
        <x:v>17</x:v>
      </x:c>
      <x:c r="H831" s="8" t="str">
        <x:v>https://www.youtube.com/watch?v=o_F2FVJwWHY</x:v>
      </x:c>
      <x:c r="I831" s="8" t="str"/>
      <x:c r="J831" s="8" t="str">
        <x:v>https://www.wongnai.com/attractions/366711oo</x:v>
      </x:c>
      <x:c r="K831" s="8" t="str"/>
      <x:c r="L831" s="8" t="str">
        <x:v>https://www.pattani.go.th/travel/detail/4</x:v>
      </x:c>
      <x:c r="M831" s="8" t="str">
        <x:v>https://www.pattanicity.go.th/travel/detail/10</x:v>
      </x:c>
      <x:c r="N831" s="8" t="str">
        <x:v>ยังไม่ยืนยัน</x:v>
      </x:c>
      <x:c r="O831" s="8" t="str">
        <x:v>ตรวจการเปิด ตัวตนสาขา ช่องทางติดต่อ และเงื่อนไขบังคับตามประเภท</x:v>
      </x:c>
      <x:c r="P831" s="40" t="n">
        <x:v>46316</x:v>
      </x:c>
      <x:c r="Q831" s="59" t="str">
        <x:v>ยังไม่ตรวจ</x:v>
      </x:c>
      <x:c r="R831" s="59" t="str">
        <x:v>รอติดต่อ</x:v>
      </x:c>
    </x:row>
    <x:row r="832" ht="84" customHeight="1">
      <x:c r="A832" s="2" t="str">
        <x:v>R26-091</x:v>
      </x:c>
      <x:c r="B832" s="8" t="str">
        <x:v>ชุมชนบาราโหม</x:v>
      </x:c>
      <x:c r="C832" s="8" t="str">
        <x:v>ปัตตานี</x:v>
      </x:c>
      <x:c r="D832" s="8" t="str">
        <x:v>อยู่ในชุด 600 ตามเส้นทาง</x:v>
      </x:c>
      <x:c r="E832" s="8" t="str">
        <x:v>พบชื่อสัมพันธ์หลายเว็บไซต์ รอยืนยันสาขา</x:v>
      </x:c>
      <x:c r="F832" s="8" t="str">
        <x:v>ยังไม่ยืนยันการเปิดให้บริการปัจจุบัน</x:v>
      </x:c>
      <x:c r="G832" s="8" t="n">
        <x:v>10</x:v>
      </x:c>
      <x:c r="H832" s="8" t="str">
        <x:v>https://www.youtube.com/watch?v=d-H2g6qLTqQ</x:v>
      </x:c>
      <x:c r="I832" s="8" t="str"/>
      <x:c r="J832" s="8" t="str">
        <x:v>https://sites.google.com/view/barahom-barzaar-pattani/%E0%B8%A7%E0%B8%AA%E0%B8%B2%E0%B8%AB%E0%B8%81%E0%B8%88%E0%B8%8A%E0%B8%A1%E0%B8%8A%E0%B8%99%E0%B8%9A%E0%B8%B2%E0%B8%A3%E0%B8%B2%E0%B9%82%E0%B8%AB%E0%B8%A1</x:v>
      </x:c>
      <x:c r="K832" s="8" t="str"/>
      <x:c r="L832" s="8" t="str">
        <x:v>https://pattani.go.th/travel/detail/43</x:v>
      </x:c>
      <x:c r="M832" s="8" t="str">
        <x:v>https://wikicommunity.sac.or.th/community/198</x:v>
      </x:c>
      <x:c r="N832" s="8" t="str">
        <x:v>ยังไม่ยืนยัน</x:v>
      </x:c>
      <x:c r="O832" s="8" t="str">
        <x:v>ตรวจการเปิด ตัวตนสาขา ช่องทางติดต่อ และเงื่อนไขบังคับตามประเภท</x:v>
      </x:c>
      <x:c r="P832" s="40" t="n">
        <x:v>46316</x:v>
      </x:c>
      <x:c r="Q832" s="59" t="str">
        <x:v>ยังไม่ตรวจ</x:v>
      </x:c>
      <x:c r="R832" s="59" t="str">
        <x:v>รอติดต่อ</x:v>
      </x:c>
    </x:row>
    <x:row r="833" ht="84" customHeight="1">
      <x:c r="A833" s="2" t="str">
        <x:v>R26-093</x:v>
      </x:c>
      <x:c r="B833" s="8" t="str">
        <x:v>ตลาดโต้รุ่งปัตตานี</x:v>
      </x:c>
      <x:c r="C833" s="8" t="str">
        <x:v>ปัตตานี</x:v>
      </x:c>
      <x:c r="D833" s="8" t="str">
        <x:v>อยู่ในชุด 600 ตามเส้นทาง</x:v>
      </x:c>
      <x:c r="E833" s="8" t="str">
        <x:v>พบชื่อสัมพันธ์หลายเว็บไซต์ รอยืนยันสาขา</x:v>
      </x:c>
      <x:c r="F833" s="8" t="str">
        <x:v>ยังไม่ยืนยันการเปิดให้บริการปัจจุบัน</x:v>
      </x:c>
      <x:c r="G833" s="8" t="n">
        <x:v>4</x:v>
      </x:c>
      <x:c r="H833" s="8" t="str">
        <x:v>https://www.youtube.com/watch?v=dGv2PiAUfMo</x:v>
      </x:c>
      <x:c r="I833" s="8" t="str"/>
      <x:c r="J833" s="8" t="str"/>
      <x:c r="K833" s="8" t="str"/>
      <x:c r="L833" s="8" t="str">
        <x:v>https://www.thaithurkic.com/%E0%B8%A3%E0%B9%89%E0%B8%B2%E0%B8%99%E0%B8%81%E0%B9%8B%E0%B8%A7%E0%B8%A2%E0%B9%80%E0%B8%95%E0%B8%B5%E0%B9%8B%E0%B8%A2%E0%B8%A7%E0%B9%80%E0%B8%9A%E0%B8%B4%E0%B9%89%E0%B8%A1%E0%B8%99%E0%B8%84%E0%B8%A3%E0%B8%9B%E0%B8%90%E0%B8%A1-081-748-7629</x:v>
      </x:c>
      <x:c r="M833" s="8" t="str">
        <x:v>https://food.trueid.net/detail/nK3XpmeaBmZ6</x:v>
      </x:c>
      <x:c r="N833" s="8" t="str">
        <x:v>ยังไม่ยืนยัน</x:v>
      </x:c>
      <x:c r="O833" s="8" t="str">
        <x:v>ตรวจการเปิด ตัวตนสาขา ช่องทางติดต่อ และเงื่อนไขบังคับตามประเภท</x:v>
      </x:c>
      <x:c r="P833" s="40" t="n">
        <x:v>46316</x:v>
      </x:c>
      <x:c r="Q833" s="59" t="str">
        <x:v>ยังไม่ตรวจ</x:v>
      </x:c>
      <x:c r="R833" s="59" t="str">
        <x:v>รอติดต่อ</x:v>
      </x:c>
    </x:row>
    <x:row r="834" ht="84" customHeight="1">
      <x:c r="A834" s="2" t="str">
        <x:v>R26-379</x:v>
      </x:c>
      <x:c r="B834" s="8" t="str">
        <x:v>Park View Resort Pattani</x:v>
      </x:c>
      <x:c r="C834" s="8" t="str">
        <x:v>ปัตตานี</x:v>
      </x:c>
      <x:c r="D834" s="8" t="str">
        <x:v>อยู่ในชุด 600 ตามเส้นทาง</x:v>
      </x:c>
      <x:c r="E834" s="8" t="str">
        <x:v>พบชื่อสัมพันธ์หลายเว็บไซต์ รอยืนยันสาขา</x:v>
      </x:c>
      <x:c r="F834" s="8" t="str">
        <x:v>ยังไม่ยืนยันการเปิดให้บริการปัจจุบัน</x:v>
      </x:c>
      <x:c r="G834" s="8" t="n">
        <x:v>7</x:v>
      </x:c>
      <x:c r="H834" s="8" t="str"/>
      <x:c r="I834" s="8" t="str"/>
      <x:c r="J834" s="8" t="str"/>
      <x:c r="K834" s="8" t="str"/>
      <x:c r="L834" s="8" t="str">
        <x:v>https://www.choowap.com/th/hotel/park-view-pattani</x:v>
      </x:c>
      <x:c r="M834" s="8" t="str">
        <x:v>https://www.thaithurkic.com/park-view-resort-pattani-073-335-100</x:v>
      </x:c>
      <x:c r="N834" s="8" t="str">
        <x:v>ยังไม่ยืนยัน</x:v>
      </x:c>
      <x:c r="O834" s="8" t="str">
        <x:v>ตรวจการเปิด ตัวตนสาขา ช่องทางติดต่อ และเงื่อนไขบังคับตามประเภท</x:v>
      </x:c>
      <x:c r="P834" s="40" t="n">
        <x:v>46316</x:v>
      </x:c>
      <x:c r="Q834" s="59" t="str">
        <x:v>ยังไม่ตรวจ</x:v>
      </x:c>
      <x:c r="R834" s="59" t="str">
        <x:v>รอติดต่อ</x:v>
      </x:c>
    </x:row>
    <x:row r="835" ht="84" customHeight="1">
      <x:c r="A835" s="2" t="str">
        <x:v>R26-378</x:v>
      </x:c>
      <x:c r="B835" s="8" t="str">
        <x:v>Southern View Hotel Pattani</x:v>
      </x:c>
      <x:c r="C835" s="8" t="str">
        <x:v>ปัตตานี</x:v>
      </x:c>
      <x:c r="D835" s="8" t="str">
        <x:v>อยู่ในชุด 600 ตามเส้นทาง</x:v>
      </x:c>
      <x:c r="E835" s="8" t="str">
        <x:v>พบชื่อสัมพันธ์หลายเว็บไซต์ รอยืนยันสาขา</x:v>
      </x:c>
      <x:c r="F835" s="8" t="str">
        <x:v>ยังไม่ยืนยันการเปิดให้บริการปัจจุบัน</x:v>
      </x:c>
      <x:c r="G835" s="8" t="n">
        <x:v>6</x:v>
      </x:c>
      <x:c r="H835" s="8" t="str"/>
      <x:c r="I835" s="8" t="str"/>
      <x:c r="J835" s="8" t="str">
        <x:v>https://www.google.com/travel/hotels/entity/CgsI07bvtsbPl43PARAB</x:v>
      </x:c>
      <x:c r="K835" s="8" t="str">
        <x:v>https://www.booking.com/hotel/th/po-southern-view-hotel-pattani.html</x:v>
      </x:c>
      <x:c r="L835" s="8" t="str">
        <x:v>https://www.traveloka.com/th-th/hotel/thailand/southern-view-hotel-pattani-9000002578319</x:v>
      </x:c>
      <x:c r="M835" s="8" t="str">
        <x:v>https://www.google.com.my/travel/hotels/entity/CgsI07bvtsbPl43PARAB?rp=OAHCAhciFRITCM3yhITQzogDFVAfiAkdLyUZXg&amp;ts=CAEaBAoCGgAqBAoAGgA</x:v>
      </x:c>
      <x:c r="N835" s="8" t="str">
        <x:v>ยังไม่ยืนยัน</x:v>
      </x:c>
      <x:c r="O835" s="8" t="str">
        <x:v>ตรวจการเปิด ตัวตนสาขา ช่องทางติดต่อ และเงื่อนไขบังคับตามประเภท</x:v>
      </x:c>
      <x:c r="P835" s="40" t="n">
        <x:v>46316</x:v>
      </x:c>
      <x:c r="Q835" s="59" t="str">
        <x:v>ยังไม่ตรวจ</x:v>
      </x:c>
      <x:c r="R835" s="59" t="str">
        <x:v>รอติดต่อ</x:v>
      </x:c>
    </x:row>
    <x:row r="836" ht="84" customHeight="1">
      <x:c r="A836" s="2" t="str">
        <x:v>R26-377</x:v>
      </x:c>
      <x:c r="B836" s="8" t="str">
        <x:v>The Wood Pattani Hotel</x:v>
      </x:c>
      <x:c r="C836" s="8" t="str">
        <x:v>ปัตตานี</x:v>
      </x:c>
      <x:c r="D836" s="8" t="str">
        <x:v>อยู่ในชุด 600 ตามเส้นทาง</x:v>
      </x:c>
      <x:c r="E836" s="8" t="str">
        <x:v>พบชื่อสัมพันธ์หลายเว็บไซต์ รอยืนยันสาขา</x:v>
      </x:c>
      <x:c r="F836" s="8" t="str">
        <x:v>ยังไม่ยืนยันการเปิดให้บริการปัจจุบัน</x:v>
      </x:c>
      <x:c r="G836" s="8" t="n">
        <x:v>5</x:v>
      </x:c>
      <x:c r="H836" s="8" t="str">
        <x:v>https://www.facebook.com/TheWoodPattaniHotel/</x:v>
      </x:c>
      <x:c r="I836" s="8" t="str"/>
      <x:c r="J836" s="8" t="str">
        <x:v>https://www.booking.com/hotel/th/the-wood-pattani-emuue-ngpattaanii.html</x:v>
      </x:c>
      <x:c r="K836" s="8" t="str">
        <x:v>https://www.google.com/travel/hotels/entity/ChkImb7pvI2lhc8oGg0vZy8xMXN3XzRwdDVyEAE</x:v>
      </x:c>
      <x:c r="L836" s="8" t="str">
        <x:v>https://thewoodpattani.com/</x:v>
      </x:c>
      <x:c r="M836" s="8" t="str">
        <x:v>https://www.google.com.sa/travel/hotels/entity/CgoImb7pvI2lhc8oEAE?gl=th&amp;gsas=1&amp;hl=th&amp;ts=CAEaBAoCGgAqBAoAGgA</x:v>
      </x:c>
      <x:c r="N836" s="8" t="str">
        <x:v>ยังไม่ยืนยัน</x:v>
      </x:c>
      <x:c r="O836" s="8" t="str">
        <x:v>ตรวจการเปิด ตัวตนสาขา ช่องทางติดต่อ และเงื่อนไขบังคับตามประเภท</x:v>
      </x:c>
      <x:c r="P836" s="40" t="n">
        <x:v>46316</x:v>
      </x:c>
      <x:c r="Q836" s="59" t="str">
        <x:v>ยังไม่ตรวจ</x:v>
      </x:c>
      <x:c r="R836" s="59" t="str">
        <x:v>รอติดต่อ</x:v>
      </x:c>
    </x:row>
    <x:row r="837" ht="84" customHeight="1">
      <x:c r="A837" s="2" t="str">
        <x:v>R26-339</x:v>
      </x:c>
      <x:c r="B837" s="8" t="str">
        <x:v>LEMU.CO</x:v>
      </x:c>
      <x:c r="C837" s="8" t="str">
        <x:v>ปัตตานี</x:v>
      </x:c>
      <x:c r="D837" s="8" t="str">
        <x:v>อยู่ในชุด 600 ตามเส้นทาง</x:v>
      </x:c>
      <x:c r="E837" s="8" t="str">
        <x:v>พบชื่อสัมพันธ์หลายเว็บไซต์ รอยืนยันสาขา</x:v>
      </x:c>
      <x:c r="F837" s="8" t="str">
        <x:v>ยังไม่ยืนยันการเปิดให้บริการปัจจุบัน</x:v>
      </x:c>
      <x:c r="G837" s="8" t="n">
        <x:v>3</x:v>
      </x:c>
      <x:c r="H837" s="8" t="str"/>
      <x:c r="I837" s="8" t="str"/>
      <x:c r="J837" s="8" t="str">
        <x:v>https://www.wongnai.com/restaurants/2626354Hy-lemu-co-halal-steakhouse</x:v>
      </x:c>
      <x:c r="K837" s="8" t="str"/>
      <x:c r="L837" s="8" t="str">
        <x:v>https://th.trip.com/moments/detail/pattani-1447200-126050297/</x:v>
      </x:c>
      <x:c r="M837" s="8" t="str">
        <x:v>https://www.lemon8-app.com/%40smiyah93/7554318303767233042?region=us</x:v>
      </x:c>
      <x:c r="N837" s="8" t="str">
        <x:v>ยังไม่ยืนยัน</x:v>
      </x:c>
      <x:c r="O837" s="8" t="str">
        <x:v>ตรวจการเปิด ตัวตนสาขา ช่องทางติดต่อ และเงื่อนไขบังคับตามประเภท</x:v>
      </x:c>
      <x:c r="P837" s="40" t="n">
        <x:v>46316</x:v>
      </x:c>
      <x:c r="Q837" s="59" t="str">
        <x:v>ยังไม่ตรวจ</x:v>
      </x:c>
      <x:c r="R837" s="59" t="str">
        <x:v>รอติดต่อ</x:v>
      </x:c>
    </x:row>
    <x:row r="838" ht="84" customHeight="1">
      <x:c r="A838" s="2" t="str">
        <x:v>R26-342</x:v>
      </x:c>
      <x:c r="B838" s="8" t="str">
        <x:v>Roti De Forest</x:v>
      </x:c>
      <x:c r="C838" s="8" t="str">
        <x:v>ปัตตานี</x:v>
      </x:c>
      <x:c r="D838" s="8" t="str">
        <x:v>อยู่ในชุด 600 ตามเส้นทาง</x:v>
      </x:c>
      <x:c r="E838" s="8" t="str">
        <x:v>พบชื่อสัมพันธ์หลายเว็บไซต์ รอยืนยันสาขา</x:v>
      </x:c>
      <x:c r="F838" s="8" t="str">
        <x:v>ยังไม่ยืนยันการเปิดให้บริการปัจจุบัน</x:v>
      </x:c>
      <x:c r="G838" s="8" t="n">
        <x:v>7</x:v>
      </x:c>
      <x:c r="H838" s="8" t="str">
        <x:v>https://www.youtube.com/watch?v=UTCUmW-VTfU</x:v>
      </x:c>
      <x:c r="I838" s="8" t="str"/>
      <x:c r="J838" s="8" t="str">
        <x:v>https://www.wongnai.com/restaurants/466896tx-roti-de-forest</x:v>
      </x:c>
      <x:c r="K838" s="8" t="str">
        <x:v>https://th.tripadvisor.com/Restaurant_Review-g2238716-d19735668-Reviews-Roti_De_Forest-Pattani_City_Pattani_Province.html</x:v>
      </x:c>
      <x:c r="L838" s="8" t="str">
        <x:v>https://tatmediaassets.com/file/3023407</x:v>
      </x:c>
      <x:c r="M838" s="8" t="str">
        <x:v>https://makanhalalguide.com/shop/detail/3301</x:v>
      </x:c>
      <x:c r="N838" s="8" t="str">
        <x:v>ยังไม่ยืนยัน</x:v>
      </x:c>
      <x:c r="O838" s="8" t="str">
        <x:v>ตรวจการเปิด ตัวตนสาขา ช่องทางติดต่อ และเงื่อนไขบังคับตามประเภท</x:v>
      </x:c>
      <x:c r="P838" s="40" t="n">
        <x:v>46316</x:v>
      </x:c>
      <x:c r="Q838" s="59" t="str">
        <x:v>ยังไม่ตรวจ</x:v>
      </x:c>
      <x:c r="R838" s="59" t="str">
        <x:v>รอติดต่อ</x:v>
      </x:c>
    </x:row>
    <x:row r="839" ht="84" customHeight="1">
      <x:c r="A839" s="2" t="str">
        <x:v>SRC-MAKAN-6357</x:v>
      </x:c>
      <x:c r="B839" s="8" t="str">
        <x:v>kopi pagi</x:v>
      </x:c>
      <x:c r="C839" s="8" t="str">
        <x:v>ปัตตานี</x:v>
      </x:c>
      <x:c r="D839" s="8" t="str">
        <x:v>อยู่ในชุด 600 ตามเส้นทาง</x:v>
      </x:c>
      <x:c r="E839" s="8" t="str">
        <x:v>พบชื่อสัมพันธ์หลายเว็บไซต์ รอยืนยันสาขา</x:v>
      </x:c>
      <x:c r="F839" s="8" t="str">
        <x:v>ยังไม่ยืนยันการเปิดให้บริการปัจจุบัน</x:v>
      </x:c>
      <x:c r="G839" s="8" t="n">
        <x:v>3</x:v>
      </x:c>
      <x:c r="H839" s="8" t="str"/>
      <x:c r="I839" s="8" t="str"/>
      <x:c r="J839" s="8" t="str">
        <x:v>https://www.wongnai.com/restaurants/3506128mx-kopi-pagi</x:v>
      </x:c>
      <x:c r="K839" s="8" t="str"/>
      <x:c r="L839" s="8" t="str">
        <x:v>https://www.lemon8-app.com/%40longmakan.review/7573109530567049736?region=th</x:v>
      </x:c>
      <x:c r="M839" s="8" t="str">
        <x:v>https://www.lemon8-app.com/%40longmakan.review/7573109530567049736?region=th</x:v>
      </x:c>
      <x:c r="N839" s="8" t="str">
        <x:v>ยังไม่ยืนยัน</x:v>
      </x:c>
      <x:c r="O839" s="8" t="str">
        <x:v>ยังต้องตรวจข้อมูลบริการมุสลิมและเงื่อนไขบังคับตามประเภท</x:v>
      </x:c>
      <x:c r="P839" s="40" t="n">
        <x:v>46316</x:v>
      </x:c>
      <x:c r="Q839" s="59" t="str">
        <x:v>ยังไม่ตรวจ</x:v>
      </x:c>
      <x:c r="R839" s="59" t="str">
        <x:v>รอติดต่อ</x:v>
      </x:c>
    </x:row>
    <x:row r="840" ht="84" customHeight="1">
      <x:c r="A840" s="2" t="str">
        <x:v>R26-344</x:v>
      </x:c>
      <x:c r="B840" s="8" t="str">
        <x:v>ครัวฮาลาล รูสะมิแล</x:v>
      </x:c>
      <x:c r="C840" s="8" t="str">
        <x:v>ปัตตานี</x:v>
      </x:c>
      <x:c r="D840" s="8" t="str">
        <x:v>อยู่ในชุด 600 ตามเส้นทาง</x:v>
      </x:c>
      <x:c r="E840" s="8" t="str">
        <x:v>พบชื่อสัมพันธ์หลายเว็บไซต์ รอยืนยันสาขา</x:v>
      </x:c>
      <x:c r="F840" s="8" t="str">
        <x:v>ยังไม่ยืนยันการเปิดให้บริการปัจจุบัน</x:v>
      </x:c>
      <x:c r="G840" s="8" t="n">
        <x:v>3</x:v>
      </x:c>
      <x:c r="H840" s="8" t="str"/>
      <x:c r="I840" s="8" t="str"/>
      <x:c r="J840" s="8" t="str">
        <x:v>https://www.wongnai.com/restaurants/2014160be-%E0%B8%84%E0%B8%A3%E0%B8%B1%E0%B8%A7%E0%B8%AE%E0%B8%B2%E0%B8%A5%E0%B8%B2%E0%B8%A5-%E0%B8%A3%E0%B8%B9%E0%B8%AA%E0%B8%B0%E0%B8%A1%E0%B8%B4%E0%B9%81%E0%B8%A5</x:v>
      </x:c>
      <x:c r="K840" s="8" t="str"/>
      <x:c r="L840" s="8" t="str">
        <x:v>https://halalthai.or.th/th/product/detail/322563</x:v>
      </x:c>
      <x:c r="M840" s="8" t="str">
        <x:v>https://halal.co.th/th/product/detail/383178</x:v>
      </x:c>
      <x:c r="N840" s="8" t="str">
        <x:v>ยังไม่ยืนยัน</x:v>
      </x:c>
      <x:c r="O840" s="8" t="str">
        <x:v>ตรวจการเปิด ตัวตนสาขา ช่องทางติดต่อ และเงื่อนไขบังคับตามประเภท</x:v>
      </x:c>
      <x:c r="P840" s="40" t="n">
        <x:v>46316</x:v>
      </x:c>
      <x:c r="Q840" s="59" t="str">
        <x:v>ยังไม่ตรวจ</x:v>
      </x:c>
      <x:c r="R840" s="59" t="str">
        <x:v>รอติดต่อ</x:v>
      </x:c>
    </x:row>
    <x:row r="841" ht="84" customHeight="1">
      <x:c r="A841" s="2" t="str">
        <x:v>R26-341</x:v>
      </x:c>
      <x:c r="B841" s="8" t="str">
        <x:v>ซุปช่อมาลี</x:v>
      </x:c>
      <x:c r="C841" s="8" t="str">
        <x:v>ปัตตานี</x:v>
      </x:c>
      <x:c r="D841" s="8" t="str">
        <x:v>อยู่ในชุด 600 ตามเส้นทาง</x:v>
      </x:c>
      <x:c r="E841" s="8" t="str">
        <x:v>พบชื่อสัมพันธ์หลายเว็บไซต์ รอยืนยันสาขา</x:v>
      </x:c>
      <x:c r="F841" s="8" t="str">
        <x:v>ยังไม่ยืนยันการเปิดให้บริการปัจจุบัน</x:v>
      </x:c>
      <x:c r="G841" s="8" t="n">
        <x:v>6</x:v>
      </x:c>
      <x:c r="H841" s="8" t="str">
        <x:v>https://www.youtube.com/watch?v=kjVzERq4m7M</x:v>
      </x:c>
      <x:c r="I841" s="8" t="str"/>
      <x:c r="J841" s="8" t="str">
        <x:v>https://www.wongnai.com/reviews/45db127e081e494db8f1ef42e2592022</x:v>
      </x:c>
      <x:c r="K841" s="8" t="str"/>
      <x:c r="L841" s="8" t="str">
        <x:v>https://www.lemon8-app.com/%40khariyah_pusu/7299968275268649473?region=th</x:v>
      </x:c>
      <x:c r="M841" s="8" t="str">
        <x:v>https://roman.thaiall.com/restaurant_tat/tat.php?id=10425&amp;n=%E0%B9%80%E0%B8%A1%E0%B8%B2%E0%B8%B0%E0%B8%8B%E0%B8%B9+%E0%B8%8B%E0%B8%B8%E0%B8%9B%E0%B8%8A%E0%B9%88%E0%B8%AD%E0%B8%A1%E0%B8%B2%E0%B8%A5%E0%B8%B5</x:v>
      </x:c>
      <x:c r="N841" s="8" t="str">
        <x:v>ยังไม่ยืนยัน</x:v>
      </x:c>
      <x:c r="O841" s="8" t="str">
        <x:v>ตรวจการเปิด ตัวตนสาขา ช่องทางติดต่อ และเงื่อนไขบังคับตามประเภท</x:v>
      </x:c>
      <x:c r="P841" s="40" t="n">
        <x:v>46316</x:v>
      </x:c>
      <x:c r="Q841" s="59" t="str">
        <x:v>ยังไม่ตรวจ</x:v>
      </x:c>
      <x:c r="R841" s="59" t="str">
        <x:v>รอติดต่อ</x:v>
      </x:c>
    </x:row>
    <x:row r="842" ht="84" customHeight="1">
      <x:c r="A842" s="2" t="str">
        <x:v>SRC-MAKAN-5805</x:v>
      </x:c>
      <x:c r="B842" s="8" t="str">
        <x:v>ถังถังหม่าล่าทัง สาขาปัตตานี</x:v>
      </x:c>
      <x:c r="C842" s="8" t="str">
        <x:v>ปัตตานี</x:v>
      </x:c>
      <x:c r="D842" s="8" t="str">
        <x:v>อยู่ในชุด 600 ตามเส้นทาง</x:v>
      </x:c>
      <x:c r="E842" s="8" t="str">
        <x:v>พบชื่อสัมพันธ์หลายเว็บไซต์ รอยืนยันสาขา</x:v>
      </x:c>
      <x:c r="F842" s="8" t="str">
        <x:v>ยังไม่ยืนยันการเปิดให้บริการปัจจุบัน</x:v>
      </x:c>
      <x:c r="G842" s="8" t="n">
        <x:v>3</x:v>
      </x:c>
      <x:c r="H842" s="8" t="str"/>
      <x:c r="I842" s="8" t="str"/>
      <x:c r="J842" s="8" t="str">
        <x:v>https://www.wongnai.com/restaurants/3224521sm-%E0%B8%AB%E0%B8%A1%E0%B9%88%E0%B8%B2%E0%B8%A5%E0%B9%88%E0%B8%B2%E0%B8%96%E0%B8%B1%E0%B8%87%E0%B8%9B%E0%B8%B1%E0%B8%95%E0%B8%95%E0%B8%B2%E0%B8%99%E0%B8%B5-%E0%B8%AB%E0%B8%A1%E0%B9%88%E0%B8%B2%E0%B8%A5%E0%B9%88%E0%B8%B2%E0%B8%96%E0%B8%B1%E0%B8%87%E0%B8%AA%E0%B8%B2%E0%B8%82%E0%B8%B2%E0%B8%9B%E0%B8%B1%E0%B8%95%E0%B8%95%E0%B8%B2%E0%B8%99%E0%B8%B5</x:v>
      </x:c>
      <x:c r="K842" s="8" t="str">
        <x:v>https://www.wongnai.com/restaurants/3166264ek-%E0%B8%96%E0%B8%B1%E0%B8%87%E0%B8%96%E0%B8%B1%E0%B8%87%E0%B8%AB%E0%B8%A1%E0%B9%88%E0%B8%B2%E0%B8%A5%E0%B9%88%E0%B8%B2%E0%B8%97%E0%B8%B1%E0%B8%87-%E0%B8%AA%E0%B8%B2%E0%B8%82%E0%B8%B2%E0%B8%9B%E0%B8%B1%E0%B8%95%E0%B8%95%E0%B8%B2%E0%B8%99%E0%B8%B5%D8%AD%D9%84%D8%A7%D9%84-%E7%91%AD%E7%91%AD%E9%BA%BB%E8%BE%A3%E7%83%AB</x:v>
      </x:c>
      <x:c r="L842" s="8" t="str">
        <x:v>https://www.khaosanroad.com/places/thangthanghmaalaathanghll-saakhaapattaanii-tang-tang-ma-la-tang</x:v>
      </x:c>
      <x:c r="M842" s="8" t="str">
        <x:v>https://www.wongnai.com/restaurants/3224521sm-%E0%B8%AB%E0%B8%A1%E0%B9%88%E0%B8%B2%E0%B8%A5%E0%B9%88%E0%B8%B2%E0%B8%96%E0%B8%B1%E0%B8%87%E0%B8%9B%E0%B8%B1%E0%B8%95%E0%B8%95%E0%B8%B2%E0%B8%99%E0%B8%B5-%E0%B8%AB%E0%B8%A1%E0%B9%88%E0%B8%B2%E0%B8%A5%E0%B9%88%E0%B8%B2%E0%B8%96%E0%B8%B1%E0%B8%87%E0%B8%AA%E0%B8%B2%E0%B8%82%E0%B8%B2%E0%B8%9B%E0%B8%B1%E0%B8%95%E0%B8%95%E0%B8%B2%E0%B8%99%E0%B8%B5</x:v>
      </x:c>
      <x:c r="N842" s="8" t="str">
        <x:v>ยังไม่ยืนยัน</x:v>
      </x:c>
      <x:c r="O842" s="8" t="str">
        <x:v>ยังต้องตรวจข้อมูลบริการมุสลิมและเงื่อนไขบังคับตามประเภท</x:v>
      </x:c>
      <x:c r="P842" s="40" t="n">
        <x:v>46316</x:v>
      </x:c>
      <x:c r="Q842" s="59" t="str">
        <x:v>ยังไม่ตรวจ</x:v>
      </x:c>
      <x:c r="R842" s="59" t="str">
        <x:v>รอติดต่อ</x:v>
      </x:c>
    </x:row>
    <x:row r="843" ht="84" customHeight="1">
      <x:c r="A843" s="2" t="str">
        <x:v>SRC-MAKAN-6359</x:v>
      </x:c>
      <x:c r="B843" s="8" t="str">
        <x:v>โรตี บังหนูด</x:v>
      </x:c>
      <x:c r="C843" s="8" t="str">
        <x:v>ปัตตานี</x:v>
      </x:c>
      <x:c r="D843" s="8" t="str">
        <x:v>อยู่ในชุด 600 ตามเส้นทาง</x:v>
      </x:c>
      <x:c r="E843" s="8" t="str">
        <x:v>พบชื่อสัมพันธ์หลายเว็บไซต์ รอยืนยันสาขา</x:v>
      </x:c>
      <x:c r="F843" s="8" t="str">
        <x:v>ยังไม่ยืนยันการเปิดให้บริการปัจจุบัน</x:v>
      </x:c>
      <x:c r="G843" s="8" t="n">
        <x:v>4</x:v>
      </x:c>
      <x:c r="H843" s="8" t="str">
        <x:v>https://www.youtube.com/watch?v=sitq5UdFkqA</x:v>
      </x:c>
      <x:c r="I843" s="8" t="str"/>
      <x:c r="J843" s="8" t="str">
        <x:v>https://www.wongnai.com/restaurants/134150Qx-%E0%B8%A3%E0%B9%89%E0%B8%B2%E0%B8%99%E0%B8%9A%E0%B8%B1%E0%B8%87%E0%B8%AB%E0%B8%99%E0%B8%B9%E0%B8%94/reviews</x:v>
      </x:c>
      <x:c r="K843" s="8" t="str">
        <x:v>https://www.wongnai.com/restaurants/134150Qx-%E0%B8%A3%E0%B9%89%E0%B8%B2%E0%B8%99%E0%B8%9A%E0%B8%B1%E0%B8%87%E0%B8%AB%E0%B8%99%E0%B8%B9%E0%B8%94/photos/375616f55fac48a1ba67399e140e4b77</x:v>
      </x:c>
      <x:c r="L843" s="8" t="str">
        <x:v>https://www.gotoknow.org/posts/358049</x:v>
      </x:c>
      <x:c r="M843" s="8" t="str">
        <x:v>https://www.wongnai.com/restaurants/134150Qx-%E0%B8%A3%E0%B9%89%E0%B8%B2%E0%B8%99%E0%B8%9A%E0%B8%B1%E0%B8%87%E0%B8%AB%E0%B8%99%E0%B8%B9%E0%B8%94/reviews</x:v>
      </x:c>
      <x:c r="N843" s="8" t="str">
        <x:v>ยังไม่ยืนยัน</x:v>
      </x:c>
      <x:c r="O843" s="8" t="str">
        <x:v>ยังต้องตรวจข้อมูลบริการมุสลิมและเงื่อนไขบังคับตามประเภท</x:v>
      </x:c>
      <x:c r="P843" s="40" t="n">
        <x:v>46316</x:v>
      </x:c>
      <x:c r="Q843" s="59" t="str">
        <x:v>ยังไม่ตรวจ</x:v>
      </x:c>
      <x:c r="R843" s="59" t="str">
        <x:v>รอติดต่อ</x:v>
      </x:c>
    </x:row>
    <x:row r="844" ht="84" customHeight="1">
      <x:c r="A844" s="2" t="str">
        <x:v>R26-340</x:v>
      </x:c>
      <x:c r="B844" s="8" t="str">
        <x:v>โรตีแวมะ</x:v>
      </x:c>
      <x:c r="C844" s="8" t="str">
        <x:v>ปัตตานี</x:v>
      </x:c>
      <x:c r="D844" s="8" t="str">
        <x:v>อยู่ในชุด 600 ตามเส้นทาง</x:v>
      </x:c>
      <x:c r="E844" s="8" t="str">
        <x:v>พบชื่อสัมพันธ์หลายเว็บไซต์ รอยืนยันสาขา</x:v>
      </x:c>
      <x:c r="F844" s="8" t="str">
        <x:v>ยังไม่ยืนยันการเปิดให้บริการปัจจุบัน</x:v>
      </x:c>
      <x:c r="G844" s="8" t="n">
        <x:v>5</x:v>
      </x:c>
      <x:c r="H844" s="8" t="str">
        <x:v>https://www.youtube.com/watch?v=vFL7oXqUQdc</x:v>
      </x:c>
      <x:c r="I844" s="8" t="str"/>
      <x:c r="J844" s="8" t="str">
        <x:v>https://www.wongnai.com/restaurants/1041346Dz-%E0%B9%81%E0%B8%A7%E0%B8%A1%E0%B8%B2%E0%B9%80%E0%B8%A3%E0%B8%B5%E0%B8%A2%E0%B8%99%E0%B8%B5-%E0%B9%82%E0%B8%A3%E0%B8%95%E0%B8%B5-%E0%B9%81%E0%B8%A7%E0%B8%A1%E0%B8%B0%E0%B8%AA%E0%B8%B2%E0%B8%82%E0%B8%B22</x:v>
      </x:c>
      <x:c r="K844" s="8" t="str"/>
      <x:c r="L844" s="8" t="str">
        <x:v>https://www.travelerbase.com/index.php?proc=search&amp;term=%E0%B9%84%E0%B8%A1%E0%B9%88%E0%B8%84%E0%B8%B8%E0%B9%89%E0%B8%99%E0%B8%81%E0%B8%B1%E0%B8%9A%E0%B8%81%E0%B8%B2%E0%B8%A3%E0%B8%81%E0%B8%B4%E0%B8%99%E0%B9%84%E0%B8%82%E0%B9%88%E0%B8%A5%E0%B8%A7%E0%B8%81%E0%B9%81%E0%B8%9A%E0%B8%9A%E0%B8%99%E0%B8%B5%E0%B9%89%21+%E0%B8%A3%E0%B9%89%E0%B8%B2%E0%B8%99%E0%B9%82%E0%B8%A3%E0%B8%95%E0%B8%B5%E0%B8%8A%E0%B8%B7%E0%B9%88%E0%B8%AD%E0%B8%94%E0%B8%B1%E0%B8%87%E0%B9%83%E0%B8%99%E0%B8%9B%E0%B8%B1%E0%B8%95%E0%B8%95%E0%B8%B2%E0%B8%99%E0%B8%B5+l+%E0%B9%82%E0%B8%A3%E0%B8%95%E0%B8%B5%E0%B9%81%E0%B8%A7%E0%B8%A1%E0%B8%B0</x:v>
      </x:c>
      <x:c r="M844" s="8" t="str">
        <x:v>https://pattaniheritagecity.psu.ac.th/map/</x:v>
      </x:c>
      <x:c r="N844" s="8" t="str">
        <x:v>ยังไม่ยืนยัน</x:v>
      </x:c>
      <x:c r="O844" s="8" t="str">
        <x:v>ตรวจการเปิด ตัวตนสาขา ช่องทางติดต่อ และเงื่อนไขบังคับตามประเภท</x:v>
      </x:c>
      <x:c r="P844" s="40" t="n">
        <x:v>46316</x:v>
      </x:c>
      <x:c r="Q844" s="59" t="str">
        <x:v>ยังไม่ตรวจ</x:v>
      </x:c>
      <x:c r="R844" s="59" t="str">
        <x:v>รอติดต่อ</x:v>
      </x:c>
    </x:row>
    <x:row r="845" ht="84" customHeight="1">
      <x:c r="A845" s="2" t="str">
        <x:v>R26-195</x:v>
      </x:c>
      <x:c r="B845" s="8" t="str">
        <x:v>สวนสมเด็จพระศรีนครินทร์ ปัตตานี</x:v>
      </x:c>
      <x:c r="C845" s="8" t="str">
        <x:v>ปัตตานี</x:v>
      </x:c>
      <x:c r="D845" s="8" t="str">
        <x:v>อยู่ในชุด 600 ตามเส้นทาง</x:v>
      </x:c>
      <x:c r="E845" s="8" t="str">
        <x:v>พบชื่อสัมพันธ์หลายเว็บไซต์ รอยืนยันสาขา</x:v>
      </x:c>
      <x:c r="F845" s="8" t="str">
        <x:v>ยังไม่ยืนยันการเปิดให้บริการปัจจุบัน</x:v>
      </x:c>
      <x:c r="G845" s="8" t="n">
        <x:v>9</x:v>
      </x:c>
      <x:c r="H845" s="8" t="str"/>
      <x:c r="I845" s="8" t="str"/>
      <x:c r="J845" s="8" t="str">
        <x:v>https://www.wongnai.com/attractions/374387xK-%E0%B8%AA%E0%B8%A7%E0%B8%99%E0%B8%AA%E0%B8%A1%E0%B9%80%E0%B8%94%E0%B9%87%E0%B8%88%E0%B8%9E%E0%B8%A3%E0%B8%B0%E0%B8%A8%E0%B8%A3%E0%B8%B5%E0%B8%99%E0%B8%84%E0%B8%A3%E0%B8%B4%E0%B8%99%E0%B8%97%E0%B8%A3%E0%B9%8C%E0%B8%9B%E0%B8%B1%E0%B8%95%E0%B8%95%E0%B8%B2%E0%B8%99%E0%B8%B5</x:v>
      </x:c>
      <x:c r="K845" s="8" t="str"/>
      <x:c r="L845" s="8" t="str">
        <x:v>https://www.thailandtourismdirectory.go.th/attraction/1915</x:v>
      </x:c>
      <x:c r="M845" s="8" t="str">
        <x:v>https://radiopattani.prd.go.th/th/content/category/detail/id/1038/iid/523041</x:v>
      </x:c>
      <x:c r="N845" s="8" t="str">
        <x:v>ยังไม่ยืนยัน</x:v>
      </x:c>
      <x:c r="O845" s="8" t="str">
        <x:v>ตรวจการเปิด ตัวตนสาขา ช่องทางติดต่อ และเงื่อนไขบังคับตามประเภท</x:v>
      </x:c>
      <x:c r="P845" s="40" t="n">
        <x:v>46316</x:v>
      </x:c>
      <x:c r="Q845" s="59" t="str">
        <x:v>ยังไม่ตรวจ</x:v>
      </x:c>
      <x:c r="R845" s="59" t="str">
        <x:v>รอติดต่อ</x:v>
      </x:c>
    </x:row>
    <x:row r="846" ht="84" customHeight="1">
      <x:c r="A846" s="2" t="str">
        <x:v>R26-193</x:v>
      </x:c>
      <x:c r="B846" s="8" t="str">
        <x:v>หาดแฆแฆ</x:v>
      </x:c>
      <x:c r="C846" s="8" t="str">
        <x:v>ปัตตานี</x:v>
      </x:c>
      <x:c r="D846" s="8" t="str">
        <x:v>อยู่ในชุด 600 ตามเส้นทาง</x:v>
      </x:c>
      <x:c r="E846" s="8" t="str">
        <x:v>พบชื่อสัมพันธ์หลายเว็บไซต์ รอยืนยันสาขา</x:v>
      </x:c>
      <x:c r="F846" s="8" t="str">
        <x:v>ยังไม่ยืนยันการเปิดให้บริการปัจจุบัน</x:v>
      </x:c>
      <x:c r="G846" s="8" t="n">
        <x:v>11</x:v>
      </x:c>
      <x:c r="H846" s="8" t="str">
        <x:v>https://www.youtube.com/watch?v=Z78hZ2ODp-I</x:v>
      </x:c>
      <x:c r="I846" s="8" t="str"/>
      <x:c r="J846" s="8" t="str">
        <x:v>https://sites.google.com/view/thethonthaiwnaiphattani/%E0%B8%AB%E0%B8%B2%E0%B8%94%E0%B9%81%E0%B8%86%E0%B9%81%E0%B8%86</x:v>
      </x:c>
      <x:c r="K846" s="8" t="str"/>
      <x:c r="L846" s="8" t="str">
        <x:v>https://pattani.mots.go.th/news/378</x:v>
      </x:c>
      <x:c r="M846" s="8" t="str">
        <x:v>https://www.dmcr.go.th/detailAll/52125/nws/259</x:v>
      </x:c>
      <x:c r="N846" s="8" t="str">
        <x:v>ยังไม่ยืนยัน</x:v>
      </x:c>
      <x:c r="O846" s="8" t="str">
        <x:v>ตรวจการเปิด ตัวตนสาขา ช่องทางติดต่อ และเงื่อนไขบังคับตามประเภท</x:v>
      </x:c>
      <x:c r="P846" s="40" t="n">
        <x:v>46316</x:v>
      </x:c>
      <x:c r="Q846" s="59" t="str">
        <x:v>ยังไม่ตรวจ</x:v>
      </x:c>
      <x:c r="R846" s="59" t="str">
        <x:v>รอติดต่อ</x:v>
      </x:c>
    </x:row>
    <x:row r="847" ht="84" customHeight="1">
      <x:c r="A847" s="2" t="str">
        <x:v>R26-194</x:v>
      </x:c>
      <x:c r="B847" s="8" t="str">
        <x:v>แหลมตาชี</x:v>
      </x:c>
      <x:c r="C847" s="8" t="str">
        <x:v>ปัตตานี</x:v>
      </x:c>
      <x:c r="D847" s="8" t="str">
        <x:v>อยู่ในชุด 600 ตามเส้นทาง</x:v>
      </x:c>
      <x:c r="E847" s="8" t="str">
        <x:v>พบชื่อสัมพันธ์หลายเว็บไซต์ รอยืนยันสาขา</x:v>
      </x:c>
      <x:c r="F847" s="8" t="str">
        <x:v>ยังไม่ยืนยันการเปิดให้บริการปัจจุบัน</x:v>
      </x:c>
      <x:c r="G847" s="8" t="n">
        <x:v>15</x:v>
      </x:c>
      <x:c r="H847" s="8" t="str"/>
      <x:c r="I847" s="8" t="str"/>
      <x:c r="J847" s="8" t="str">
        <x:v>https://www.wongnai.com/attractions/374738Ef-%E0%B9%81%E0%B8%AB%E0%B8%A5%E0%B8%A1%E0%B8%95%E0%B8%B2%E0%B8%8A%E0%B8%B5</x:v>
      </x:c>
      <x:c r="K847" s="8" t="str"/>
      <x:c r="L847" s="8" t="str">
        <x:v>https://www.pattanipao.go.th/travel_top/detail/9/data.html</x:v>
      </x:c>
      <x:c r="M847" s="8" t="str">
        <x:v>https://www.thailandtourismdirectory.go.th/attraction/100304</x:v>
      </x:c>
      <x:c r="N847" s="8" t="str">
        <x:v>ยังไม่ยืนยัน</x:v>
      </x:c>
      <x:c r="O847" s="8" t="str">
        <x:v>ตรวจการเปิด ตัวตนสาขา ช่องทางติดต่อ และเงื่อนไขบังคับตามประเภท</x:v>
      </x:c>
      <x:c r="P847" s="40" t="n">
        <x:v>46316</x:v>
      </x:c>
      <x:c r="Q847" s="59" t="str">
        <x:v>ยังไม่ตรวจ</x:v>
      </x:c>
      <x:c r="R847" s="59" t="str">
        <x:v>รอติดต่อ</x:v>
      </x:c>
    </x:row>
    <x:row r="848" ht="84" customHeight="1">
      <x:c r="A848" s="2" t="str">
        <x:v>R26-196</x:v>
      </x:c>
      <x:c r="B848" s="8" t="str">
        <x:v>ชุมชนบ้านบางปู ปัตตานี</x:v>
      </x:c>
      <x:c r="C848" s="8" t="str">
        <x:v>ปัตตานี</x:v>
      </x:c>
      <x:c r="D848" s="8" t="str">
        <x:v>อยู่ในชุด 600 ตามเส้นทาง</x:v>
      </x:c>
      <x:c r="E848" s="8" t="str">
        <x:v>พบชื่อสัมพันธ์หลายเว็บไซต์ รอยืนยันสาขา</x:v>
      </x:c>
      <x:c r="F848" s="8" t="str">
        <x:v>ยังไม่ยืนยันการเปิดให้บริการปัจจุบัน</x:v>
      </x:c>
      <x:c r="G848" s="8" t="n">
        <x:v>4</x:v>
      </x:c>
      <x:c r="H848" s="8" t="str"/>
      <x:c r="I848" s="8" t="str"/>
      <x:c r="J848" s="8" t="str">
        <x:v>https://www.wongnai.com/attractions/374745Dy-%E0%B8%8A%E0%B8%B8%E0%B8%A1%E0%B8%8A%E0%B8%99%E0%B8%97%E0%B9%88%E0%B8%AD%E0%B8%87%E0%B9%80%E0%B8%97%E0%B8%B5%E0%B9%88%E0%B8%A2%E0%B8%A7%E0%B8%9A%E0%B8%B2%E0%B8%87%E0%B8%9B%E0%B8%B9-%E0%B8%9B%E0%B8%B1%E0%B8%95%E0%B8%95%E0%B8%B2%E0%B8%99%E0%B8%B5/reviews</x:v>
      </x:c>
      <x:c r="K848" s="8" t="str">
        <x:v>https://www.wongnai.com/attractions/374745Dy-%E0%B8%8A%E0%B8%B8%E0%B8%A1%E0%B8%8A%E0%B8%99%E0%B8%97%E0%B9%88%E0%B8%AD%E0%B8%87%E0%B9%80%E0%B8%97%E0%B8%B5%E0%B9%88%E0%B8%A2%E0%B8%A7%E0%B8%9A%E0%B8%B2%E0%B8%87%E0%B8%9B%E0%B8%B9-%E0%B8%9B%E0%B8%B1%E0%B8%95%E0%B8%95%E0%B8%B2%E0%B8%99%E0%B8%B5/photos/717e35f1ffe64c82b5e68df43757cc9b</x:v>
      </x:c>
      <x:c r="L848" s="8" t="str">
        <x:v>https://www.bloggertravelista.com/ebook/%E0%B9%80%E0%B8%A5%E0%B9%88%E0%B8%B2%E0%B9%80%E0%B8%A3%E0%B8%B7%E0%B9%88%E0%B8%AD%E0%B8%87%E0%B9%80%E0%B8%A1%E0%B8%B7%E0%B8%AD%E0%B8%87%E0%B9%84%E0%B8%97%E0%B8%A2%E0%B9%83%E0%B8%99%E0%B8%A7%E0%B8%B4%E0%B8%96%E0%B8%B5%E0%B8%8A%E0%B8%B8%E0%B8%A1%E0%B8%8A%E0%B8%99.pdf</x:v>
      </x:c>
      <x:c r="M848" s="8" t="str">
        <x:v>https://602-17-44468.blogspot.com/2020/03/25-2542-16-4.html</x:v>
      </x:c>
      <x:c r="N848" s="8" t="str">
        <x:v>ยังไม่ยืนยัน</x:v>
      </x:c>
      <x:c r="O848" s="8" t="str">
        <x:v>ตรวจการเปิด ตัวตนสาขา ช่องทางติดต่อ และเงื่อนไขบังคับตามประเภท</x:v>
      </x:c>
      <x:c r="P848" s="40" t="n">
        <x:v>46316</x:v>
      </x:c>
      <x:c r="Q848" s="59" t="str">
        <x:v>ยังไม่ตรวจ</x:v>
      </x:c>
      <x:c r="R848" s="59" t="str">
        <x:v>รอติดต่อ</x:v>
      </x:c>
    </x:row>
    <x:row r="849" ht="84" customHeight="1">
      <x:c r="A849" s="2" t="str">
        <x:v>R26-198</x:v>
      </x:c>
      <x:c r="B849" s="8" t="str">
        <x:v>ชุมชนบ้านปะเสยะวอ</x:v>
      </x:c>
      <x:c r="C849" s="8" t="str">
        <x:v>ปัตตานี</x:v>
      </x:c>
      <x:c r="D849" s="8" t="str">
        <x:v>อยู่ในชุด 600 ตามเส้นทาง</x:v>
      </x:c>
      <x:c r="E849" s="8" t="str">
        <x:v>พบชื่อสัมพันธ์หลายเว็บไซต์ รอยืนยันสาขา</x:v>
      </x:c>
      <x:c r="F849" s="8" t="str">
        <x:v>ยังไม่ยืนยันการเปิดให้บริการปัจจุบัน</x:v>
      </x:c>
      <x:c r="G849" s="8" t="n">
        <x:v>6</x:v>
      </x:c>
      <x:c r="H849" s="8" t="str">
        <x:v>https://www.youtube.com/watch?v=ENQEn04Tn_8</x:v>
      </x:c>
      <x:c r="I849" s="8" t="str"/>
      <x:c r="J849" s="8" t="str"/>
      <x:c r="K849" s="8" t="str"/>
      <x:c r="L849" s="8" t="str">
        <x:v>https://www.thailandtourismdirectory.go.th/attraction/3552</x:v>
      </x:c>
      <x:c r="M849" s="8" t="str">
        <x:v>https://cbtthailand.dasta.or.th/webapp/relattraction/content/2532/</x:v>
      </x:c>
      <x:c r="N849" s="8" t="str">
        <x:v>ยังไม่ยืนยัน</x:v>
      </x:c>
      <x:c r="O849" s="8" t="str">
        <x:v>ตรวจการเปิด ตัวตนสาขา ช่องทางติดต่อ และเงื่อนไขบังคับตามประเภท</x:v>
      </x:c>
      <x:c r="P849" s="40" t="n">
        <x:v>46316</x:v>
      </x:c>
      <x:c r="Q849" s="59" t="str">
        <x:v>ยังไม่ตรวจ</x:v>
      </x:c>
      <x:c r="R849" s="59" t="str">
        <x:v>รอติดต่อ</x:v>
      </x:c>
    </x:row>
    <x:row r="850" ht="84" customHeight="1">
      <x:c r="A850" s="2" t="str">
        <x:v>R26-097</x:v>
      </x:c>
      <x:c r="B850" s="8" t="str">
        <x:v>สวนขวัญเมือง</x:v>
      </x:c>
      <x:c r="C850" s="8" t="str">
        <x:v>ยะลา</x:v>
      </x:c>
      <x:c r="D850" s="8" t="str">
        <x:v>อยู่ในชุด 600 ตามเส้นทาง</x:v>
      </x:c>
      <x:c r="E850" s="8" t="str">
        <x:v>พบชื่อสัมพันธ์หลายเว็บไซต์ รอยืนยันสาขา</x:v>
      </x:c>
      <x:c r="F850" s="8" t="str">
        <x:v>ยังไม่ยืนยันการเปิดให้บริการปัจจุบัน</x:v>
      </x:c>
      <x:c r="G850" s="8" t="n">
        <x:v>13</x:v>
      </x:c>
      <x:c r="H850" s="8" t="str">
        <x:v>https://www.youtube.com/watch?v=Xa4tbhrgssM</x:v>
      </x:c>
      <x:c r="I850" s="8" t="str"/>
      <x:c r="J850" s="8" t="str">
        <x:v>https://www.wongnai.com/restaurants/3444084Vl-fushka</x:v>
      </x:c>
      <x:c r="K850" s="8" t="str"/>
      <x:c r="L850" s="8" t="str">
        <x:v>https://yala.mots.go.th/news/343</x:v>
      </x:c>
      <x:c r="M850" s="8" t="str">
        <x:v>https://cbtthailand.dasta.or.th/webapp/relattraction/content/1664/</x:v>
      </x:c>
      <x:c r="N850" s="8" t="str">
        <x:v>ยังไม่ยืนยัน</x:v>
      </x:c>
      <x:c r="O850" s="8" t="str">
        <x:v>ตรวจการเปิด ตัวตนสาขา ช่องทางติดต่อ และเงื่อนไขบังคับตามประเภท</x:v>
      </x:c>
      <x:c r="P850" s="40" t="n">
        <x:v>46316</x:v>
      </x:c>
      <x:c r="Q850" s="59" t="str">
        <x:v>ยังไม่ตรวจ</x:v>
      </x:c>
      <x:c r="R850" s="59" t="str">
        <x:v>รอติดต่อ</x:v>
      </x:c>
    </x:row>
    <x:row r="851" ht="84" customHeight="1">
      <x:c r="A851" s="2" t="str">
        <x:v>R26-094</x:v>
      </x:c>
      <x:c r="B851" s="8" t="str">
        <x:v>Yala Bird City Street Art</x:v>
      </x:c>
      <x:c r="C851" s="8" t="str">
        <x:v>ยะลา</x:v>
      </x:c>
      <x:c r="D851" s="8" t="str">
        <x:v>อยู่ในชุด 600 ตามเส้นทาง</x:v>
      </x:c>
      <x:c r="E851" s="8" t="str">
        <x:v>พบชื่อสัมพันธ์หลายเว็บไซต์ รอยืนยันสาขา</x:v>
      </x:c>
      <x:c r="F851" s="8" t="str">
        <x:v>ยังไม่ยืนยันการเปิดให้บริการปัจจุบัน</x:v>
      </x:c>
      <x:c r="G851" s="8" t="n">
        <x:v>10</x:v>
      </x:c>
      <x:c r="H851" s="8" t="str">
        <x:v>https://www.youtube.com/watch?v=fFfppdILz7E</x:v>
      </x:c>
      <x:c r="I851" s="8" t="str"/>
      <x:c r="J851" s="8" t="str">
        <x:v>https://www.tripadvisor.com/Attraction_Review-g2237728-d15363808-Reviews-Bird_City_Street_Art-Yala_City_Yala_Province.html</x:v>
      </x:c>
      <x:c r="K851" s="8" t="str"/>
      <x:c r="L851" s="8" t="str">
        <x:v>https://wanderlog.com/place/details/329303</x:v>
      </x:c>
      <x:c r="M851" s="8" t="str">
        <x:v>https://in.trip.com/travel-guide/attraction/yala/yala-bird-city-street-art-133527428/</x:v>
      </x:c>
      <x:c r="N851" s="8" t="str">
        <x:v>ยังไม่ยืนยัน</x:v>
      </x:c>
      <x:c r="O851" s="8" t="str">
        <x:v>ตรวจการเปิด ตัวตนสาขา ช่องทางติดต่อ และเงื่อนไขบังคับตามประเภท</x:v>
      </x:c>
      <x:c r="P851" s="40" t="n">
        <x:v>46316</x:v>
      </x:c>
      <x:c r="Q851" s="59" t="str">
        <x:v>ยังไม่ตรวจ</x:v>
      </x:c>
      <x:c r="R851" s="59" t="str">
        <x:v>รอติดต่อ</x:v>
      </x:c>
    </x:row>
    <x:row r="852" ht="84" customHeight="1">
      <x:c r="A852" s="2" t="str">
        <x:v>R26-095</x:v>
      </x:c>
      <x:c r="B852" s="8" t="str">
        <x:v>มัสยิดกลางยะลา</x:v>
      </x:c>
      <x:c r="C852" s="8" t="str">
        <x:v>ยะลา</x:v>
      </x:c>
      <x:c r="D852" s="8" t="str">
        <x:v>อยู่ในชุด 600 ตามเส้นทาง</x:v>
      </x:c>
      <x:c r="E852" s="8" t="str">
        <x:v>พบชื่อสัมพันธ์หลายเว็บไซต์ รอยืนยันสาขา</x:v>
      </x:c>
      <x:c r="F852" s="8" t="str">
        <x:v>ยังไม่ยืนยันการเปิดให้บริการปัจจุบัน</x:v>
      </x:c>
      <x:c r="G852" s="8" t="n">
        <x:v>7</x:v>
      </x:c>
      <x:c r="H852" s="8" t="str"/>
      <x:c r="I852" s="8" t="str"/>
      <x:c r="J852" s="8" t="str">
        <x:v>https://www.wongnai.com/reviews/3c9bbb957bfb495e9d77824c1e29230a</x:v>
      </x:c>
      <x:c r="K852" s="8" t="str">
        <x:v>https://www.wongnai.com/attractions/401191ez-%E0%B8%A1%E0%B8%B1%E0%B8%AA%E0%B8%A2%E0%B8%B4%E0%B8%94%E0%B8%81%E0%B8%A5%E0%B8%B2%E0%B8%87%E0%B8%A2%E0%B8%B0%E0%B8%A5%E0%B8%B2/reviews</x:v>
      </x:c>
      <x:c r="L852" s="8" t="str">
        <x:v>https://yala.industry.go.th/web-upload/74x313b3ac4ee26bcd80fc6d420428093b9/202205/m_page/21299/3317/file_download/e337d4e9a0235aeb663e2afad1c0bbd5.pdf</x:v>
      </x:c>
      <x:c r="M852" s="8" t="str">
        <x:v>https://www.tripniceday.com/place/%E0%B8%A1%E0%B8%B1%E0%B8%AA%E0%B8%A2%E0%B8%B4%E0%B8%94%E0%B8%81%E0%B8%A5%E0%B8%B2%E0%B8%87%E0%B8%88%E0%B8%B1%E0%B8%87%E0%B8%AB%E0%B8%A7%E0%B8%B1%E0%B8%94%E0%B8%A2%E0%B8%B0%E0%B8%A5%E0%B8%B2</x:v>
      </x:c>
      <x:c r="N852" s="8" t="str">
        <x:v>ยังไม่ยืนยัน</x:v>
      </x:c>
      <x:c r="O85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852" s="40" t="n">
        <x:v>46316</x:v>
      </x:c>
      <x:c r="Q852" s="59" t="str">
        <x:v>ยังไม่ตรวจ</x:v>
      </x:c>
      <x:c r="R852" s="59" t="str">
        <x:v>รอติดต่อ</x:v>
      </x:c>
    </x:row>
    <x:row r="853" ht="84" customHeight="1">
      <x:c r="A853" s="2" t="str">
        <x:v>R26-098</x:v>
      </x:c>
      <x:c r="B853" s="8" t="str">
        <x:v>ตลาดเมืองใหม่ยะลา</x:v>
      </x:c>
      <x:c r="C853" s="8" t="str">
        <x:v>ยะลา</x:v>
      </x:c>
      <x:c r="D853" s="8" t="str">
        <x:v>อยู่ในชุด 600 ตามเส้นทาง</x:v>
      </x:c>
      <x:c r="E853" s="8" t="str">
        <x:v>พบชื่อสัมพันธ์หลายเว็บไซต์ รอยืนยันสาขา</x:v>
      </x:c>
      <x:c r="F853" s="8" t="str">
        <x:v>ยังไม่ยืนยันการเปิดให้บริการปัจจุบัน</x:v>
      </x:c>
      <x:c r="G853" s="8" t="n">
        <x:v>6</x:v>
      </x:c>
      <x:c r="H853" s="8" t="str"/>
      <x:c r="I853" s="8" t="str"/>
      <x:c r="J853" s="8" t="str">
        <x:v>https://www.wongnai.com/attractions/1603709uh-%E0%B8%95%E0%B8%A5%E0%B8%B2%E0%B8%94%E0%B9%80%E0%B8%A1%E0%B8%B7%E0%B8%AD%E0%B8%87%E0%B9%83%E0%B8%AB%E0%B8%A1%E0%B9%88%E0%B8%A2%E0%B8%B0%E0%B8%A5%E0%B8%B2</x:v>
      </x:c>
      <x:c r="K853" s="8" t="str"/>
      <x:c r="L853" s="8" t="str">
        <x:v>https://wikicommunity.sac.or.th/community/740</x:v>
      </x:c>
      <x:c r="M853" s="8" t="str">
        <x:v>https://nbtsongkhla.prd.go.th/th/content/category/detail/id/2988/iid/543789</x:v>
      </x:c>
      <x:c r="N853" s="8" t="str">
        <x:v>ยังไม่ยืนยัน</x:v>
      </x:c>
      <x:c r="O853" s="8" t="str">
        <x:v>ตรวจการเปิด ตัวตนสาขา ช่องทางติดต่อ และเงื่อนไขบังคับตามประเภท</x:v>
      </x:c>
      <x:c r="P853" s="40" t="n">
        <x:v>46316</x:v>
      </x:c>
      <x:c r="Q853" s="59" t="str">
        <x:v>ยังไม่ตรวจ</x:v>
      </x:c>
      <x:c r="R853" s="59" t="str">
        <x:v>รอติดต่อ</x:v>
      </x:c>
    </x:row>
    <x:row r="854" ht="84" customHeight="1">
      <x:c r="A854" s="2" t="str">
        <x:v>R26-380</x:v>
      </x:c>
      <x:c r="B854" s="8" t="str">
        <x:v>The Linux Garden Hotel Yala</x:v>
      </x:c>
      <x:c r="C854" s="8" t="str">
        <x:v>ยะลา</x:v>
      </x:c>
      <x:c r="D854" s="8" t="str">
        <x:v>อยู่ในชุด 600 ตามเส้นทาง</x:v>
      </x:c>
      <x:c r="E854" s="8" t="str">
        <x:v>พบชื่อสัมพันธ์หลายเว็บไซต์ รอยืนยันสาขา</x:v>
      </x:c>
      <x:c r="F854" s="8" t="str">
        <x:v>ยังไม่ยืนยันการเปิดให้บริการปัจจุบัน</x:v>
      </x:c>
      <x:c r="G854" s="8" t="n">
        <x:v>4</x:v>
      </x:c>
      <x:c r="H854" s="8" t="str"/>
      <x:c r="I854" s="8" t="str"/>
      <x:c r="J854" s="8" t="str">
        <x:v>https://sites.google.com/phetchabunpao.ac.th/yala-province/%E0%B8%97%E0%B8%9E%E0%B8%81/1-the-linux-garden-hotel</x:v>
      </x:c>
      <x:c r="K854" s="8" t="str">
        <x:v>https://www.booking.com/hotel/th/po-the-linux-garden-hotel-city-amphur-muang-yala.html</x:v>
      </x:c>
      <x:c r="L854" s="8" t="str">
        <x:v>https://www.google.com.my/travel/hotels/entity/CgoIvqir77Gy6swSEAE</x:v>
      </x:c>
      <x:c r="M854" s="8" t="str">
        <x:v>https://www.gother.com/th-th/hotels/thailand/yala/muang-yala/the-linux-garden-hotel-city-amphur-muang-yala</x:v>
      </x:c>
      <x:c r="N854" s="8" t="str">
        <x:v>ยังไม่ยืนยัน</x:v>
      </x:c>
      <x:c r="O854" s="8" t="str">
        <x:v>ตรวจการเปิด ตัวตนสาขา ช่องทางติดต่อ และเงื่อนไขบังคับตามประเภท</x:v>
      </x:c>
      <x:c r="P854" s="40" t="n">
        <x:v>46316</x:v>
      </x:c>
      <x:c r="Q854" s="59" t="str">
        <x:v>ยังไม่ตรวจ</x:v>
      </x:c>
      <x:c r="R854" s="59" t="str">
        <x:v>รอติดต่อ</x:v>
      </x:c>
    </x:row>
    <x:row r="855" ht="84" customHeight="1">
      <x:c r="A855" s="2" t="str">
        <x:v>R26-381</x:v>
      </x:c>
      <x:c r="B855" s="8" t="str">
        <x:v>Yala Grand Palace Hotel</x:v>
      </x:c>
      <x:c r="C855" s="8" t="str">
        <x:v>ยะลา</x:v>
      </x:c>
      <x:c r="D855" s="8" t="str">
        <x:v>อยู่ในชุด 600 ตามเส้นทาง</x:v>
      </x:c>
      <x:c r="E855" s="8" t="str">
        <x:v>พบชื่อสัมพันธ์หลายเว็บไซต์ รอยืนยันสาขา</x:v>
      </x:c>
      <x:c r="F855" s="8" t="str">
        <x:v>ยังไม่ยืนยันการเปิดให้บริการปัจจุบัน</x:v>
      </x:c>
      <x:c r="G855" s="8" t="n">
        <x:v>13</x:v>
      </x:c>
      <x:c r="H855" s="8" t="str">
        <x:v>https://page.line.me/ack5287a</x:v>
      </x:c>
      <x:c r="I855" s="8" t="str">
        <x:v>https://www.youtube.com/watch?v=IyU2MIHzbsE</x:v>
      </x:c>
      <x:c r="J855" s="8" t="str">
        <x:v>https://www.tripadvisor.com/Hotel_Review-g2237728-d34474617-Reviews-Yala_Grand_Palace_Hotel-Yala_City_Yala_Province.html</x:v>
      </x:c>
      <x:c r="K855" s="8" t="str">
        <x:v>https://www.wongnai.com/restaurants/39580vQ-%E0%B9%82%E0%B8%A3%E0%B8%87%E0%B9%81%E0%B8%A3%E0%B8%A1%E0%B8%A2%E0%B8%B0%E0%B8%A5%E0%B8%B2%E0%B9%81%E0%B8%81%E0%B8%A3%E0%B8%99%E0%B8%94%E0%B9%8C%E0%B8%9E%E0%B8%B2%E0%B9%80%E0%B8%A5%E0%B8%8A</x:v>
      </x:c>
      <x:c r="L855" s="8" t="str">
        <x:v>https://www.thailandaddict.com/review-yala-grand-palace-yala</x:v>
      </x:c>
      <x:c r="M855" s="8" t="str">
        <x:v>https://www.thaithurkic.com/yala-grand-palace-hotel-073-215-711</x:v>
      </x:c>
      <x:c r="N855" s="8" t="str">
        <x:v>ยังไม่ยืนยัน</x:v>
      </x:c>
      <x:c r="O855" s="8" t="str">
        <x:v>ตรวจการเปิด ตัวตนสาขา ช่องทางติดต่อ และเงื่อนไขบังคับตามประเภท</x:v>
      </x:c>
      <x:c r="P855" s="40" t="n">
        <x:v>46316</x:v>
      </x:c>
      <x:c r="Q855" s="59" t="str">
        <x:v>ยังไม่ตรวจ</x:v>
      </x:c>
      <x:c r="R855" s="59" t="str">
        <x:v>รอติดต่อ</x:v>
      </x:c>
    </x:row>
    <x:row r="856" ht="84" customHeight="1">
      <x:c r="A856" s="2" t="str">
        <x:v>R26-332</x:v>
      </x:c>
      <x:c r="B856" s="8" t="str">
        <x:v>Once Eatery by ประเทือง</x:v>
      </x:c>
      <x:c r="C856" s="8" t="str">
        <x:v>ยะลา</x:v>
      </x:c>
      <x:c r="D856" s="8" t="str">
        <x:v>อยู่ในชุด 600 ตามเส้นทาง</x:v>
      </x:c>
      <x:c r="E856" s="8" t="str">
        <x:v>พบชื่อสัมพันธ์หลายเว็บไซต์ รอยืนยันสาขา</x:v>
      </x:c>
      <x:c r="F856" s="8" t="str">
        <x:v>ยังไม่ยืนยันการเปิดให้บริการปัจจุบัน</x:v>
      </x:c>
      <x:c r="G856" s="8" t="n">
        <x:v>6</x:v>
      </x:c>
      <x:c r="H856" s="8" t="str"/>
      <x:c r="I856" s="8" t="str"/>
      <x:c r="J856" s="8" t="str">
        <x:v>https://restaurantguru.com/ONCE-Eatery-by-%E0%B8%9B%E0%B8%A3%E0%B8%B0%E0%B9%80%E0%B8%97%E0%B8%B7%E0%B8%AD%E0%B8%87-Yala</x:v>
      </x:c>
      <x:c r="K856" s="8" t="str">
        <x:v>https://www.wongnai.com/restaurants/426291FK-once-eatery-%E0%B8%9B%E0%B8%A3%E0%B8%B0%E0%B9%80%E0%B8%97%E0%B8%B7%E0%B8%AD%E0%B8%87</x:v>
      </x:c>
      <x:c r="L856" s="8" t="str">
        <x:v>https://www.thailandtourismdirectory.go.th/th/restaurants/98318</x:v>
      </x:c>
      <x:c r="M856" s="8" t="str">
        <x:v>https://www.thaithurkic.com/once-eatery-by-%E0%B8%9B%E0%B8%A3%E0%B8%B0%E0%B9%80%E0%B8%97%E0%B8%B7%E0%B8%AD%E0%B8%87-063-429-4655</x:v>
      </x:c>
      <x:c r="N856" s="8" t="str">
        <x:v>ยังไม่ยืนยัน</x:v>
      </x:c>
      <x:c r="O856" s="8" t="str">
        <x:v>ตรวจการเปิด ตัวตนสาขา ช่องทางติดต่อ และเงื่อนไขบังคับตามประเภท</x:v>
      </x:c>
      <x:c r="P856" s="40" t="n">
        <x:v>46316</x:v>
      </x:c>
      <x:c r="Q856" s="59" t="str">
        <x:v>ยังไม่ตรวจ</x:v>
      </x:c>
      <x:c r="R856" s="59" t="str">
        <x:v>รอติดต่อ</x:v>
      </x:c>
    </x:row>
    <x:row r="857" ht="84" customHeight="1">
      <x:c r="A857" s="2" t="str">
        <x:v>R26-333</x:v>
      </x:c>
      <x:c r="B857" s="8" t="str">
        <x:v>Yasmeen Seafood</x:v>
      </x:c>
      <x:c r="C857" s="8" t="str">
        <x:v>ยะลา</x:v>
      </x:c>
      <x:c r="D857" s="8" t="str">
        <x:v>อยู่ในชุด 600 ตามเส้นทาง</x:v>
      </x:c>
      <x:c r="E857" s="8" t="str">
        <x:v>พบชื่อสัมพันธ์หลายเว็บไซต์ รอยืนยันสาขา</x:v>
      </x:c>
      <x:c r="F857" s="8" t="str">
        <x:v>ยังไม่ยืนยันการเปิดให้บริการปัจจุบัน</x:v>
      </x:c>
      <x:c r="G857" s="8" t="n">
        <x:v>6</x:v>
      </x:c>
      <x:c r="H857" s="8" t="str"/>
      <x:c r="I857" s="8" t="str"/>
      <x:c r="J857" s="8" t="str">
        <x:v>https://www.wongnai.com/restaurants/909298LM-yasmeen-tea</x:v>
      </x:c>
      <x:c r="K857" s="8" t="str">
        <x:v>https://restaurantguru.com/Yala/75</x:v>
      </x:c>
      <x:c r="L857" s="8" t="str">
        <x:v>https://awmc.royalrain.go.th/awm2019/pdf/thailand/Halal.pdf</x:v>
      </x:c>
      <x:c r="M857" s="8" t="str">
        <x:v>https://www.findglocal.com/TH/Yala/200533-7/3</x:v>
      </x:c>
      <x:c r="N857" s="8" t="str">
        <x:v>ยังไม่ยืนยัน</x:v>
      </x:c>
      <x:c r="O857" s="8" t="str">
        <x:v>ตรวจการเปิด ตัวตนสาขา ช่องทางติดต่อ และเงื่อนไขบังคับตามประเภท</x:v>
      </x:c>
      <x:c r="P857" s="40" t="n">
        <x:v>46316</x:v>
      </x:c>
      <x:c r="Q857" s="59" t="str">
        <x:v>ยังไม่ตรวจ</x:v>
      </x:c>
      <x:c r="R857" s="59" t="str">
        <x:v>รอติดต่อ</x:v>
      </x:c>
    </x:row>
    <x:row r="858" ht="84" customHeight="1">
      <x:c r="A858" s="2" t="str">
        <x:v>R26-335</x:v>
      </x:c>
      <x:c r="B858" s="8" t="str">
        <x:v>บ้านอาหารมายโฮมยะลา</x:v>
      </x:c>
      <x:c r="C858" s="8" t="str">
        <x:v>ยะลา</x:v>
      </x:c>
      <x:c r="D858" s="8" t="str">
        <x:v>อยู่ในชุด 600 ตามเส้นทาง</x:v>
      </x:c>
      <x:c r="E858" s="8" t="str">
        <x:v>พบชื่อสัมพันธ์หลายเว็บไซต์ รอยืนยันสาขา</x:v>
      </x:c>
      <x:c r="F858" s="8" t="str">
        <x:v>ยังไม่ยืนยันการเปิดให้บริการปัจจุบัน</x:v>
      </x:c>
      <x:c r="G858" s="8" t="n">
        <x:v>3</x:v>
      </x:c>
      <x:c r="H858" s="8" t="str"/>
      <x:c r="I858" s="8" t="str"/>
      <x:c r="J858" s="8" t="str">
        <x:v>https://www.wongnai.com/delivery/businesses/129012Hr/order</x:v>
      </x:c>
      <x:c r="K858" s="8" t="str"/>
      <x:c r="L858" s="8" t="str">
        <x:v>https://www.findglocal.com/TH/Yala/200533-7/3</x:v>
      </x:c>
      <x:c r="M858" s="8" t="str">
        <x:v>https://esalah.com/th/halal-restaurants/thailand/yala/yala/</x:v>
      </x:c>
      <x:c r="N858" s="8" t="str">
        <x:v>ยังไม่ยืนยัน</x:v>
      </x:c>
      <x:c r="O858" s="8" t="str">
        <x:v>ตรวจการเปิด ตัวตนสาขา ช่องทางติดต่อ และเงื่อนไขบังคับตามประเภท</x:v>
      </x:c>
      <x:c r="P858" s="40" t="n">
        <x:v>46316</x:v>
      </x:c>
      <x:c r="Q858" s="59" t="str">
        <x:v>ยังไม่ตรวจ</x:v>
      </x:c>
      <x:c r="R858" s="59" t="str">
        <x:v>รอติดต่อ</x:v>
      </x:c>
    </x:row>
    <x:row r="859" ht="84" customHeight="1">
      <x:c r="A859" s="2" t="str">
        <x:v>R26-338</x:v>
      </x:c>
      <x:c r="B859" s="8" t="str">
        <x:v>มูฮัมหมัดฮาลีย์ ข้าวหน้าเป็ด</x:v>
      </x:c>
      <x:c r="C859" s="8" t="str">
        <x:v>ยะลา</x:v>
      </x:c>
      <x:c r="D859" s="8" t="str">
        <x:v>อยู่ในชุด 600 ตามเส้นทาง</x:v>
      </x:c>
      <x:c r="E859" s="8" t="str">
        <x:v>พบชื่อสัมพันธ์หลายเว็บไซต์ รอยืนยันสาขา</x:v>
      </x:c>
      <x:c r="F859" s="8" t="str">
        <x:v>ยังไม่ยืนยันการเปิดให้บริการปัจจุบัน</x:v>
      </x:c>
      <x:c r="G859" s="8" t="n">
        <x:v>4</x:v>
      </x:c>
      <x:c r="H859" s="8" t="str"/>
      <x:c r="I859" s="8" t="str"/>
      <x:c r="J859" s="8" t="str">
        <x:v>https://restaurantguru.com/%E0%B8%A1%E0%B8%B9%E0%B8%AE%E0%B8%B1%E0%B8%A1%E0%B8%AB%E0%B8%A1%E0%B8%B1%E0%B8%94%E0%B8%AD%E0%B8%B2%E0%B8%A5%E0%B8%B5%E0%B8%A2%E0%B9%8C-%E0%B8%82%E0%B9%89%E0%B8%B2%E0%B8%A7%E0%B8%AB%E0%B8%99%E0%B9%89%E0%B8%B2%E0%B9%80%E0%B8%9B%E0%B9%87%E0%B8%94-Yala</x:v>
      </x:c>
      <x:c r="K859" s="8" t="str"/>
      <x:c r="L859" s="8" t="str">
        <x:v>https://www.lemon8-app.com/%40theworldisfragile_/7241630001328701954?region=th</x:v>
      </x:c>
      <x:c r="M859" s="8" t="str">
        <x:v>https://masjid4all.com/id/businesses/thailand/yala/</x:v>
      </x:c>
      <x:c r="N859" s="8" t="str">
        <x:v>ยังไม่ยืนยัน</x:v>
      </x:c>
      <x:c r="O859" s="8" t="str">
        <x:v>ตรวจการเปิด ตัวตนสาขา ช่องทางติดต่อ และเงื่อนไขบังคับตามประเภท</x:v>
      </x:c>
      <x:c r="P859" s="40" t="n">
        <x:v>46316</x:v>
      </x:c>
      <x:c r="Q859" s="59" t="str">
        <x:v>ยังไม่ตรวจ</x:v>
      </x:c>
      <x:c r="R859" s="59" t="str">
        <x:v>รอติดต่อ</x:v>
      </x:c>
    </x:row>
    <x:row r="860" ht="84" customHeight="1">
      <x:c r="A860" s="2" t="str">
        <x:v>R26-337</x:v>
      </x:c>
      <x:c r="B860" s="8" t="str">
        <x:v>เนื้อแท้ โลตัสยะลา</x:v>
      </x:c>
      <x:c r="C860" s="8" t="str">
        <x:v>ยะลา</x:v>
      </x:c>
      <x:c r="D860" s="8" t="str">
        <x:v>อยู่ในชุด 600 ตามเส้นทาง</x:v>
      </x:c>
      <x:c r="E860" s="8" t="str">
        <x:v>พบชื่อสัมพันธ์หลายเว็บไซต์ รอยืนยันสาขา</x:v>
      </x:c>
      <x:c r="F860" s="8" t="str">
        <x:v>ยังไม่ยืนยันการเปิดให้บริการปัจจุบัน</x:v>
      </x:c>
      <x:c r="G860" s="8" t="n">
        <x:v>3</x:v>
      </x:c>
      <x:c r="H860" s="8" t="str">
        <x:v>https://notes.tiktok.com/%40___literally/7634826907544322578?region=th</x:v>
      </x:c>
      <x:c r="I860" s="8" t="str"/>
      <x:c r="J860" s="8" t="str">
        <x:v>https://www.wongnai.com/restaurants/2981690IO-%E0%B9%80%E0%B8%99%E0%B8%B7%E0%B9%89%E0%B8%AD%E0%B9%81%E0%B8%97%E0%B9%89-%E0%B8%A2%E0%B8%B0%E0%B8%A5%E0%B8%B2</x:v>
      </x:c>
      <x:c r="K860" s="8" t="str"/>
      <x:c r="L860" s="8" t="str">
        <x:v>https://th.trip.com/moments/detail/yala-1448263-153003699/</x:v>
      </x:c>
      <x:c r="M860" s="8" t="str">
        <x:v>https://th.trip.com/moments/detail/yala-1448263-153003699/</x:v>
      </x:c>
      <x:c r="N860" s="8" t="str">
        <x:v>ยังไม่ยืนยัน</x:v>
      </x:c>
      <x:c r="O860" s="8" t="str">
        <x:v>ตรวจการเปิด ตัวตนสาขา ช่องทางติดต่อ และเงื่อนไขบังคับตามประเภท</x:v>
      </x:c>
      <x:c r="P860" s="40" t="n">
        <x:v>46316</x:v>
      </x:c>
      <x:c r="Q860" s="59" t="str">
        <x:v>ยังไม่ตรวจ</x:v>
      </x:c>
      <x:c r="R860" s="59" t="str">
        <x:v>รอติดต่อ</x:v>
      </x:c>
    </x:row>
    <x:row r="861" ht="84" customHeight="1">
      <x:c r="A861" s="2" t="str">
        <x:v>R26-334</x:v>
      </x:c>
      <x:c r="B861" s="8" t="str">
        <x:v>โกกีม ก๋วยเตี๋ยวเนื้อตุ๋น</x:v>
      </x:c>
      <x:c r="C861" s="8" t="str">
        <x:v>ยะลา</x:v>
      </x:c>
      <x:c r="D861" s="8" t="str">
        <x:v>อยู่ในชุด 600 ตามเส้นทาง</x:v>
      </x:c>
      <x:c r="E861" s="8" t="str">
        <x:v>พบชื่อสัมพันธ์หลายเว็บไซต์ รอยืนยันสาขา</x:v>
      </x:c>
      <x:c r="F861" s="8" t="str">
        <x:v>ยังไม่ยืนยันการเปิดให้บริการปัจจุบัน</x:v>
      </x:c>
      <x:c r="G861" s="8" t="n">
        <x:v>3</x:v>
      </x:c>
      <x:c r="H861" s="8" t="str"/>
      <x:c r="I861" s="8" t="str"/>
      <x:c r="J861" s="8" t="str">
        <x:v>https://restaurantguru.com/%E0%B9%82%E0%B8%81%E0%B9%80%E0%B8%81%E0%B8%B5%E0%B9%8B%E0%B8%A2%E0%B8%87-%E0%B9%80%E0%B8%81%E0%B8%B2%E0%B9%80%E0%B8%AB%E0%B8%A5%E0%B8%B2%E0%B9%80%E0%B8%99%E0%B8%B7%E0%B9%89%E0%B8%AD%E0%B8%95%E0%B8%B8%E0%B9%8B%E0%B8%99%E0%B8%AB%E0%B8%99%E0%B9%89%E0%B8%B2%E0%B9%80%E0%B8%97%E0%B8%A8%E0%B8%9A%E0%B8%B2%E0%B8%A5-Hat-Yai</x:v>
      </x:c>
      <x:c r="K861" s="8" t="str">
        <x:v>https://www.wongnai.com/restaurants/2646394Qe-%E0%B8%A3%E0%B9%89%E0%B8%B2%E0%B8%99%E0%B8%81%E0%B9%8B%E0%B8%A7%E0%B8%A2%E0%B9%80%E0%B8%95%E0%B8%B5%E0%B9%8B%E0%B8%A2%E0%B8%A7%E0%B9%80%E0%B8%99%E0%B8%B7%E0%B9%89%E0%B8%AD%E0%B8%95%E0%B8%B8%E0%B9%8B%E0%B8%99-%E0%B9%82%E0%B8%81%E0%B8%81%E0%B8%B5%E0%B8%A1-%E0%B8%AE%E0%B8%B2%E0%B8%A5%E0%B8%B2%E0%B8%A5</x:v>
      </x:c>
      <x:c r="L861" s="8" t="str">
        <x:v>https://www.sararif.com/%E0%B8%A3%E0%B9%89%E0%B8%B2%E0%B8%99%E0%B8%81%E0%B9%8B%E0%B8%A7%E0%B8%A2%E0%B9%80%E0%B8%95%E0%B8%B5%E0%B9%8B%E0%B8%A2%E0%B8%A7%E0%B9%80%E0%B8%99%E0%B8%B7%E0%B9%89%E0%B8%AD%E0%B8%95%E0%B8%B8%E0%B9%8B%E0%B8%99-%E0%B9%82%E0%B8%81%E0%B8%81%E0%B8%B5%E0%B8%A1-%E0%B8%AE%E0%B8%B2%E0%B8%A5%E0%B8%B2%E0%B8%A5-%E0%B8%9E%E0%B8%B4%E0%B8%81%E0%B8%B1%E0%B8%94%E0%B9%84%E0%B8%9F%E0%B9%81%E0%B8%94%E0%B8%87-5-%E0%B9%81%E0%B8%A2%E0%B8%81-%E0%B8%A2%E0%B8%B0%E0%B8%A5%E0%B8%B2/</x:v>
      </x:c>
      <x:c r="M861" s="8" t="str">
        <x:v>https://www.wongnai.com/restaurants/2646394Qe-%E0%B8%A3%E0%B9%89%E0%B8%B2%E0%B8%99%E0%B8%81%E0%B9%8B%E0%B8%A7%E0%B8%A2%E0%B9%80%E0%B8%95%E0%B8%B5%E0%B9%8B%E0%B8%A2%E0%B8%A7%E0%B9%80%E0%B8%99%E0%B8%B7%E0%B9%89%E0%B8%AD%E0%B8%95%E0%B8%B8%E0%B9%8B%E0%B8%99-%E0%B9%82%E0%B8%81%E0%B8%81%E0%B8%B5%E0%B8%A1-%E0%B8%AE%E0%B8%B2%E0%B8%A5%E0%B8%B2%E0%B8%A5</x:v>
      </x:c>
      <x:c r="N861" s="8" t="str">
        <x:v>ยังไม่ยืนยัน</x:v>
      </x:c>
      <x:c r="O861" s="8" t="str">
        <x:v>ตรวจการเปิด ตัวตนสาขา ช่องทางติดต่อ และเงื่อนไขบังคับตามประเภท</x:v>
      </x:c>
      <x:c r="P861" s="40" t="n">
        <x:v>46316</x:v>
      </x:c>
      <x:c r="Q861" s="59" t="str">
        <x:v>ยังไม่ตรวจ</x:v>
      </x:c>
      <x:c r="R861" s="59" t="str">
        <x:v>รอติดต่อ</x:v>
      </x:c>
    </x:row>
    <x:row r="862" ht="84" customHeight="1">
      <x:c r="A862" s="2" t="str">
        <x:v>R26-200</x:v>
      </x:c>
      <x:c r="B862" s="8" t="str">
        <x:v>ทะเลหมอกอัยเยอร์เวง</x:v>
      </x:c>
      <x:c r="C862" s="8" t="str">
        <x:v>ยะลา</x:v>
      </x:c>
      <x:c r="D862" s="8" t="str">
        <x:v>อยู่ในชุด 600 ตามเส้นทาง</x:v>
      </x:c>
      <x:c r="E862" s="8" t="str">
        <x:v>พบชื่อสัมพันธ์หลายเว็บไซต์ รอยืนยันสาขา</x:v>
      </x:c>
      <x:c r="F862" s="8" t="str">
        <x:v>ยังไม่ยืนยันการเปิดให้บริการปัจจุบัน</x:v>
      </x:c>
      <x:c r="G862" s="8" t="n">
        <x:v>13</x:v>
      </x:c>
      <x:c r="H862" s="8" t="str">
        <x:v>https://www.youtube.com/watch?v=lo-o0G_3Vcc</x:v>
      </x:c>
      <x:c r="I862" s="8" t="str"/>
      <x:c r="J862" s="8" t="str"/>
      <x:c r="K862" s="8" t="str"/>
      <x:c r="L862" s="8" t="str">
        <x:v>https://www.betongcity.go.th/travel/detail/77</x:v>
      </x:c>
      <x:c r="M862" s="8" t="str">
        <x:v>https://www.forest.go.th/recreation/aiyerweng-rec/</x:v>
      </x:c>
      <x:c r="N862" s="8" t="str">
        <x:v>ยังไม่ยืนยัน</x:v>
      </x:c>
      <x:c r="O862" s="8" t="str">
        <x:v>ตรวจการเปิด ตัวตนสาขา ช่องทางติดต่อ และเงื่อนไขบังคับตามประเภท</x:v>
      </x:c>
      <x:c r="P862" s="40" t="n">
        <x:v>46316</x:v>
      </x:c>
      <x:c r="Q862" s="59" t="str">
        <x:v>ยังไม่ตรวจ</x:v>
      </x:c>
      <x:c r="R862" s="59" t="str">
        <x:v>รอติดต่อ</x:v>
      </x:c>
    </x:row>
    <x:row r="863" ht="84" customHeight="1">
      <x:c r="A863" s="2" t="str">
        <x:v>R26-201</x:v>
      </x:c>
      <x:c r="B863" s="8" t="str">
        <x:v>สวนดอกไม้เมืองหนาวเบตง</x:v>
      </x:c>
      <x:c r="C863" s="8" t="str">
        <x:v>ยะลา</x:v>
      </x:c>
      <x:c r="D863" s="8" t="str">
        <x:v>อยู่ในชุด 600 ตามเส้นทาง</x:v>
      </x:c>
      <x:c r="E863" s="8" t="str">
        <x:v>พบชื่อสัมพันธ์หลายเว็บไซต์ รอยืนยันสาขา</x:v>
      </x:c>
      <x:c r="F863" s="8" t="str">
        <x:v>ยังไม่ยืนยันการเปิดให้บริการปัจจุบัน</x:v>
      </x:c>
      <x:c r="G863" s="8" t="n">
        <x:v>9</x:v>
      </x:c>
      <x:c r="H863" s="8" t="str">
        <x:v>https://www.youtube.com/watch?v=rDXOT25JJUM</x:v>
      </x:c>
      <x:c r="I863" s="8" t="str"/>
      <x:c r="J863" s="8" t="str"/>
      <x:c r="K863" s="8" t="str"/>
      <x:c r="L863" s="8" t="str">
        <x:v>https://www.mots.go.th/news/1001039</x:v>
      </x:c>
      <x:c r="M863" s="8" t="str">
        <x:v>https://www.gplace.com/944890</x:v>
      </x:c>
      <x:c r="N863" s="8" t="str">
        <x:v>ยังไม่ยืนยัน</x:v>
      </x:c>
      <x:c r="O863" s="8" t="str">
        <x:v>ตรวจการเปิด ตัวตนสาขา ช่องทางติดต่อ และเงื่อนไขบังคับตามประเภท</x:v>
      </x:c>
      <x:c r="P863" s="40" t="n">
        <x:v>46316</x:v>
      </x:c>
      <x:c r="Q863" s="59" t="str">
        <x:v>ยังไม่ตรวจ</x:v>
      </x:c>
      <x:c r="R863" s="59" t="str">
        <x:v>รอติดต่อ</x:v>
      </x:c>
    </x:row>
    <x:row r="864" ht="84" customHeight="1">
      <x:c r="A864" s="2" t="str">
        <x:v>R26-199</x:v>
      </x:c>
      <x:c r="B864" s="8" t="str">
        <x:v>เขื่อนบางลาง</x:v>
      </x:c>
      <x:c r="C864" s="8" t="str">
        <x:v>ยะลา</x:v>
      </x:c>
      <x:c r="D864" s="8" t="str">
        <x:v>อยู่ในชุด 600 ตามเส้นทาง</x:v>
      </x:c>
      <x:c r="E864" s="8" t="str">
        <x:v>พบชื่อสัมพันธ์หลายเว็บไซต์ รอยืนยันสาขา</x:v>
      </x:c>
      <x:c r="F864" s="8" t="str">
        <x:v>ยังไม่ยืนยันการเปิดให้บริการปัจจุบัน</x:v>
      </x:c>
      <x:c r="G864" s="8" t="n">
        <x:v>11</x:v>
      </x:c>
      <x:c r="H864" s="8" t="str"/>
      <x:c r="I864" s="8" t="str"/>
      <x:c r="J864" s="8" t="str"/>
      <x:c r="K864" s="8" t="str"/>
      <x:c r="L864" s="8" t="str">
        <x:v>https://yala.mots.go.th/news/617</x:v>
      </x:c>
      <x:c r="M864" s="8" t="str">
        <x:v>https://www.thailandtourismdirectory.go.th/attraction/2006</x:v>
      </x:c>
      <x:c r="N864" s="8" t="str">
        <x:v>ยังไม่ยืนยัน</x:v>
      </x:c>
      <x:c r="O864" s="8" t="str">
        <x:v>ตรวจการเปิด ตัวตนสาขา ช่องทางติดต่อ และเงื่อนไขบังคับตามประเภท</x:v>
      </x:c>
      <x:c r="P864" s="40" t="n">
        <x:v>46316</x:v>
      </x:c>
      <x:c r="Q864" s="59" t="str">
        <x:v>ยังไม่ตรวจ</x:v>
      </x:c>
      <x:c r="R864" s="59" t="str">
        <x:v>รอติดต่อ</x:v>
      </x:c>
    </x:row>
    <x:row r="865" ht="84" customHeight="1">
      <x:c r="A865" s="2" t="str">
        <x:v>R26-202</x:v>
      </x:c>
      <x:c r="B865" s="8" t="str">
        <x:v>ชุมชนบ้านจุฬาภรณ์พัฒนา 9</x:v>
      </x:c>
      <x:c r="C865" s="8" t="str">
        <x:v>ยะลา</x:v>
      </x:c>
      <x:c r="D865" s="8" t="str">
        <x:v>อยู่ในชุด 600 ตามเส้นทาง</x:v>
      </x:c>
      <x:c r="E865" s="8" t="str">
        <x:v>พบชื่อสัมพันธ์หลายเว็บไซต์ รอยืนยันสาขา</x:v>
      </x:c>
      <x:c r="F865" s="8" t="str">
        <x:v>ยังไม่ยืนยันการเปิดให้บริการปัจจุบัน</x:v>
      </x:c>
      <x:c r="G865" s="8" t="n">
        <x:v>9</x:v>
      </x:c>
      <x:c r="H865" s="8" t="str">
        <x:v>https://www.youtube.com/watch?v=u0YT0OlrW8s</x:v>
      </x:c>
      <x:c r="I865" s="8" t="str"/>
      <x:c r="J865" s="8" t="str"/>
      <x:c r="K865" s="8" t="str"/>
      <x:c r="L865" s="8" t="str">
        <x:v>https://yala.mots.go.th/news/682</x:v>
      </x:c>
      <x:c r="M865" s="8" t="str">
        <x:v>https://km.rdpb.go.th/Project/View/8307</x:v>
      </x:c>
      <x:c r="N865" s="8" t="str">
        <x:v>ยังไม่ยืนยัน</x:v>
      </x:c>
      <x:c r="O865" s="8" t="str">
        <x:v>ตรวจการเปิด ตัวตนสาขา ช่องทางติดต่อ และเงื่อนไขบังคับตามประเภท</x:v>
      </x:c>
      <x:c r="P865" s="40" t="n">
        <x:v>46316</x:v>
      </x:c>
      <x:c r="Q865" s="59" t="str">
        <x:v>ยังไม่ตรวจ</x:v>
      </x:c>
      <x:c r="R865" s="59" t="str">
        <x:v>รอติดต่อ</x:v>
      </x:c>
    </x:row>
    <x:row r="866" ht="84" customHeight="1">
      <x:c r="A866" s="2" t="str">
        <x:v>R26-203</x:v>
      </x:c>
      <x:c r="B866" s="8" t="str">
        <x:v>ชุมชนบ้านบ่อน้ำร้อน เบตง</x:v>
      </x:c>
      <x:c r="C866" s="8" t="str">
        <x:v>ยะลา</x:v>
      </x:c>
      <x:c r="D866" s="8" t="str">
        <x:v>อยู่ในชุด 600 ตามเส้นทาง</x:v>
      </x:c>
      <x:c r="E866" s="8" t="str">
        <x:v>พบชื่อสัมพันธ์หลายเว็บไซต์ รอยืนยันสาขา</x:v>
      </x:c>
      <x:c r="F866" s="8" t="str">
        <x:v>ยังไม่ยืนยันการเปิดให้บริการปัจจุบัน</x:v>
      </x:c>
      <x:c r="G866" s="8" t="n">
        <x:v>7</x:v>
      </x:c>
      <x:c r="H866" s="8" t="str">
        <x:v>https://www.youtube.com/watch?v=_2Qwq50ZYyM</x:v>
      </x:c>
      <x:c r="I866" s="8" t="str"/>
      <x:c r="J866" s="8" t="str"/>
      <x:c r="K866" s="8" t="str"/>
      <x:c r="L866" s="8" t="str">
        <x:v>https://www.thaiverse.net/tourism/QwhKcU</x:v>
      </x:c>
      <x:c r="M866" s="8" t="str">
        <x:v>https://dpu.cdd.go.th/wp-content/uploads/sites/118/2021/12/950203.pdf</x:v>
      </x:c>
      <x:c r="N866" s="8" t="str">
        <x:v>ยังไม่ยืนยัน</x:v>
      </x:c>
      <x:c r="O866" s="8" t="str">
        <x:v>ตรวจการเปิด ตัวตนสาขา ช่องทางติดต่อ และเงื่อนไขบังคับตามประเภท</x:v>
      </x:c>
      <x:c r="P866" s="40" t="n">
        <x:v>46316</x:v>
      </x:c>
      <x:c r="Q866" s="59" t="str">
        <x:v>ยังไม่ตรวจ</x:v>
      </x:c>
      <x:c r="R866" s="59" t="str">
        <x:v>รอติดต่อ</x:v>
      </x:c>
    </x:row>
    <x:row r="867" ht="84" customHeight="1">
      <x:c r="A867" s="2" t="str">
        <x:v>R26-099</x:v>
      </x:c>
      <x:c r="B867" s="8" t="str">
        <x:v>ลันเบอร์เกอร์ ท่าศาลา</x:v>
      </x:c>
      <x:c r="C867" s="8" t="str">
        <x:v>นครศรีธรรมราช</x:v>
      </x:c>
      <x:c r="D867" s="8" t="str">
        <x:v>อยู่ในชุด 600 ตามเส้นทาง</x:v>
      </x:c>
      <x:c r="E867" s="8" t="str">
        <x:v>พบชื่อสัมพันธ์หลายเว็บไซต์ รอยืนยันสาขา</x:v>
      </x:c>
      <x:c r="F867" s="8" t="str">
        <x:v>ยังไม่ยืนยันการเปิดให้บริการปัจจุบัน</x:v>
      </x:c>
      <x:c r="G867" s="8" t="n">
        <x:v>2</x:v>
      </x:c>
      <x:c r="H867" s="8" t="str"/>
      <x:c r="I867" s="8" t="str"/>
      <x:c r="J867" s="8" t="str">
        <x:v>https://th.tripadvisor.com/Restaurant_Review-g2237660-d12912707-Reviews-Lun_Burger-Tha_Sala_Nakhon_Si_Thammarat_Province.html</x:v>
      </x:c>
      <x:c r="K867" s="8" t="str"/>
      <x:c r="L867" s="8" t="str">
        <x:v>https://dcg.wu.ac.th/wp-content/uploads/2025/05/%E0%B8%A3%E0%B8%B2%E0%B8%A2%E0%B8%A5%E0%B8%B0%E0%B9%80%E0%B8%AD%E0%B8%B5%E0%B8%A2%E0%B8%94%E0%B8%A3%E0%B9%89%E0%B8%B2%E0%B8%99%E0%B8%94%E0%B8%B1%E0%B8%87%E0%B8%97%E0%B9%88%E0%B8%B2%E0%B8%A8%E0%B8%B2%E0%B8%A5%E0%B8%B2.pdf</x:v>
      </x:c>
      <x:c r="M867" s="8" t="str">
        <x:v>https://th.tripadvisor.com/Restaurant_Review-g2237660-d12912707-Reviews-Lun_Burger-Tha_Sala_Nakhon_Si_Thammarat_Province.html</x:v>
      </x:c>
      <x:c r="N867" s="8" t="str">
        <x:v>ยังไม่ยืนยัน</x:v>
      </x:c>
      <x:c r="O867" s="8" t="str">
        <x:v>ตรวจการเปิด ตัวตนสาขา ช่องทางติดต่อ และเงื่อนไขบังคับตามประเภท</x:v>
      </x:c>
      <x:c r="P867" s="40" t="n">
        <x:v>46316</x:v>
      </x:c>
      <x:c r="Q867" s="59" t="str">
        <x:v>ยังไม่ตรวจ</x:v>
      </x:c>
      <x:c r="R867" s="59" t="str">
        <x:v>รอติดต่อ</x:v>
      </x:c>
    </x:row>
    <x:row r="868" ht="84" customHeight="1">
      <x:c r="A868" s="2" t="str">
        <x:v>R26-100</x:v>
      </x:c>
      <x:c r="B868" s="8" t="str">
        <x:v>มัสยิดกลางจังหวัดนครศรีธรรมราช</x:v>
      </x:c>
      <x:c r="C868" s="8" t="str">
        <x:v>นครศรีธรรมราช</x:v>
      </x:c>
      <x:c r="D868" s="8" t="str">
        <x:v>อยู่ในชุด 600 ตามเส้นทาง</x:v>
      </x:c>
      <x:c r="E868" s="8" t="str">
        <x:v>พบชื่อสัมพันธ์หลายเว็บไซต์ รอยืนยันสาขา</x:v>
      </x:c>
      <x:c r="F868" s="8" t="str">
        <x:v>ยังไม่ยืนยันการเปิดให้บริการปัจจุบัน</x:v>
      </x:c>
      <x:c r="G868" s="8" t="n">
        <x:v>7</x:v>
      </x:c>
      <x:c r="H868" s="8" t="str">
        <x:v>https://www.youtube.com/watch?v=PbIei9Z8eOc</x:v>
      </x:c>
      <x:c r="I868" s="8" t="str"/>
      <x:c r="J868" s="8" t="str"/>
      <x:c r="K868" s="8" t="str"/>
      <x:c r="L868" s="8" t="str">
        <x:v>https://www.thailandtourismdirectory.go.th/attraction/21521</x:v>
      </x:c>
      <x:c r="M868" s="8" t="str">
        <x:v>https://library.wu.ac.th/nst_localinfo/masjidnakhonsithammarat/</x:v>
      </x:c>
      <x:c r="N868" s="8" t="str">
        <x:v>ยังไม่ยืนยัน</x:v>
      </x:c>
      <x:c r="O868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868" s="40" t="n">
        <x:v>46316</x:v>
      </x:c>
      <x:c r="Q868" s="59" t="str">
        <x:v>ยังไม่ตรวจ</x:v>
      </x:c>
      <x:c r="R868" s="59" t="str">
        <x:v>รอติดต่อ</x:v>
      </x:c>
    </x:row>
    <x:row r="869" ht="84" customHeight="1">
      <x:c r="A869" s="2" t="str">
        <x:v>R26-103</x:v>
      </x:c>
      <x:c r="B869" s="8" t="str">
        <x:v>เมืองเก่านครศรีธรรมราช</x:v>
      </x:c>
      <x:c r="C869" s="8" t="str">
        <x:v>นครศรีธรรมราช</x:v>
      </x:c>
      <x:c r="D869" s="8" t="str">
        <x:v>อยู่ในชุด 600 ตามเส้นทาง</x:v>
      </x:c>
      <x:c r="E869" s="8" t="str">
        <x:v>พบชื่อสัมพันธ์หลายเว็บไซต์ รอยืนยันสาขา</x:v>
      </x:c>
      <x:c r="F869" s="8" t="str">
        <x:v>ยังไม่ยืนยันการเปิดให้บริการปัจจุบัน</x:v>
      </x:c>
      <x:c r="G869" s="8" t="n">
        <x:v>5</x:v>
      </x:c>
      <x:c r="H869" s="8" t="str"/>
      <x:c r="I869" s="8" t="str"/>
      <x:c r="J869" s="8" t="str"/>
      <x:c r="K869" s="8" t="str"/>
      <x:c r="L869" s="8" t="str">
        <x:v>https://nced.onep.go.th/knowledge/oldtown/scenario_oldtown.pdf</x:v>
      </x:c>
      <x:c r="M869" s="8" t="str">
        <x:v>https://nakhonsithammarat.prd.go.th/th/content/category/detail/id/13/cid/9/iid/507348</x:v>
      </x:c>
      <x:c r="N869" s="8" t="str">
        <x:v>ยังไม่ยืนยัน</x:v>
      </x:c>
      <x:c r="O869" s="8" t="str">
        <x:v>ตรวจการเปิด ตัวตนสาขา ช่องทางติดต่อ และเงื่อนไขบังคับตามประเภท</x:v>
      </x:c>
      <x:c r="P869" s="40" t="n">
        <x:v>46316</x:v>
      </x:c>
      <x:c r="Q869" s="59" t="str">
        <x:v>ยังไม่ตรวจ</x:v>
      </x:c>
      <x:c r="R869" s="59" t="str">
        <x:v>รอติดต่อ</x:v>
      </x:c>
    </x:row>
    <x:row r="870" ht="84" customHeight="1">
      <x:c r="A870" s="2" t="str">
        <x:v>R26-101</x:v>
      </x:c>
      <x:c r="B870" s="8" t="str">
        <x:v>ชุมชนบ้านคีรีวง</x:v>
      </x:c>
      <x:c r="C870" s="8" t="str">
        <x:v>นครศรีธรรมราช</x:v>
      </x:c>
      <x:c r="D870" s="8" t="str">
        <x:v>อยู่ในชุด 600 ตามเส้นทาง</x:v>
      </x:c>
      <x:c r="E870" s="8" t="str">
        <x:v>พบชื่อสัมพันธ์หลายเว็บไซต์ รอยืนยันสาขา</x:v>
      </x:c>
      <x:c r="F870" s="8" t="str">
        <x:v>ยังไม่ยืนยันการเปิดให้บริการปัจจุบัน</x:v>
      </x:c>
      <x:c r="G870" s="8" t="n">
        <x:v>9</x:v>
      </x:c>
      <x:c r="H870" s="8" t="str"/>
      <x:c r="I870" s="8" t="str"/>
      <x:c r="J870" s="8" t="str">
        <x:v>https://www.wongnai.com/restaurants/330986iy</x:v>
      </x:c>
      <x:c r="K870" s="8" t="str">
        <x:v>https://sites.google.com/dei.ac.th/kamlone-nfe/%E0%B9%81%E0%B8%AB%E0%B8%A5%E0%B8%87%E0%B8%97%E0%B8%AD%E0%B8%87%E0%B9%80%E0%B8%97%E0%B8%A2%E0%B8%A7/%E0%B8%9A%E0%B8%B2%E0%B8%99%E0%B8%84%E0%B8%A3%E0%B8%A7%E0%B8%87</x:v>
      </x:c>
      <x:c r="L870" s="8" t="str">
        <x:v>https://wikicommunity.sac.or.th/community/1059</x:v>
      </x:c>
      <x:c r="M870" s="8" t="str">
        <x:v>https://elibrary.tsri.or.th/fullP/RDG60T0188/RDG60T0188_full.pdf</x:v>
      </x:c>
      <x:c r="N870" s="8" t="str">
        <x:v>ยังไม่ยืนยัน</x:v>
      </x:c>
      <x:c r="O870" s="8" t="str">
        <x:v>ตรวจการเปิด ตัวตนสาขา ช่องทางติดต่อ และเงื่อนไขบังคับตามประเภท</x:v>
      </x:c>
      <x:c r="P870" s="40" t="n">
        <x:v>46316</x:v>
      </x:c>
      <x:c r="Q870" s="59" t="str">
        <x:v>ยังไม่ตรวจ</x:v>
      </x:c>
      <x:c r="R870" s="59" t="str">
        <x:v>รอติดต่อ</x:v>
      </x:c>
    </x:row>
    <x:row r="871" ht="84" customHeight="1">
      <x:c r="A871" s="2" t="str">
        <x:v>R26-102</x:v>
      </x:c>
      <x:c r="B871" s="8" t="str">
        <x:v>KIREE มัดย้อมสีธรรมชาติบ้านคีรีวง</x:v>
      </x:c>
      <x:c r="C871" s="8" t="str">
        <x:v>นครศรีธรรมราช</x:v>
      </x:c>
      <x:c r="D871" s="8" t="str">
        <x:v>อยู่ในชุด 600 ตามเส้นทาง</x:v>
      </x:c>
      <x:c r="E871" s="8" t="str">
        <x:v>พบชื่อสัมพันธ์หลายเว็บไซต์ รอยืนยันสาขา</x:v>
      </x:c>
      <x:c r="F871" s="8" t="str">
        <x:v>ยังไม่ยืนยันการเปิดให้บริการปัจจุบัน</x:v>
      </x:c>
      <x:c r="G871" s="8" t="n">
        <x:v>3</x:v>
      </x:c>
      <x:c r="H871" s="8" t="str"/>
      <x:c r="I871" s="8" t="str"/>
      <x:c r="J871" s="8" t="str"/>
      <x:c r="K871" s="8" t="str"/>
      <x:c r="L871" s="8" t="str">
        <x:v>https://nakhonsi.cdd.go.th/th/content/category/detail/id/74/iid/381180</x:v>
      </x:c>
      <x:c r="M871" s="8" t="str">
        <x:v>https://www.yellowpages.co.th/profile/%E0%B8%81%E0%B8%A5%E0%B8%B8%E0%B9%88%E0%B8%A1%E0%B8%A1%E0%B8%B1%E0%B8%94%E0%B8%A2%E0%B9%89%E0%B8%AD%E0%B8%A1%E0%B8%AA%E0%B8%B5%E0%B8%98%E0%B8%A3%E0%B8%A3%E0%B8%A1%E0%B8%8A%E0%B8%B2%E0%B8%95%E0%B8%B4%E0%B8%9A%E0%B9%89%E0%B8%B2%E0%B8%99%E0%B8%84%E0%B8%B5%E0%B8%A3%E0%B8%B5%E0%B8%A7%E0%B8%87-93kKPyl9i</x:v>
      </x:c>
      <x:c r="N871" s="8" t="str">
        <x:v>ยังไม่ยืนยัน</x:v>
      </x:c>
      <x:c r="O871" s="8" t="str">
        <x:v>ตรวจการเปิด ตัวตนสาขา ช่องทางติดต่อ และเงื่อนไขบังคับตามประเภท</x:v>
      </x:c>
      <x:c r="P871" s="40" t="n">
        <x:v>46316</x:v>
      </x:c>
      <x:c r="Q871" s="59" t="str">
        <x:v>ยังไม่ตรวจ</x:v>
      </x:c>
      <x:c r="R871" s="59" t="str">
        <x:v>รอติดต่อ</x:v>
      </x:c>
    </x:row>
    <x:row r="872" ht="84" customHeight="1">
      <x:c r="A872" s="2" t="str">
        <x:v>R26-271</x:v>
      </x:c>
      <x:c r="B872" s="8" t="str">
        <x:v>Central Nakhon Si</x:v>
      </x:c>
      <x:c r="C872" s="8" t="str">
        <x:v>นครศรีธรรมราช</x:v>
      </x:c>
      <x:c r="D872" s="8" t="str">
        <x:v>อยู่ในชุด 600 ตามเส้นทาง</x:v>
      </x:c>
      <x:c r="E872" s="8" t="str">
        <x:v>พบชื่อสัมพันธ์หลายเว็บไซต์ รอยืนยันสาขา</x:v>
      </x:c>
      <x:c r="F872" s="8" t="str">
        <x:v>ยังไม่ยืนยันการเปิดให้บริการปัจจุบัน</x:v>
      </x:c>
      <x:c r="G872" s="8" t="n">
        <x:v>5</x:v>
      </x:c>
      <x:c r="H872" s="8" t="str">
        <x:v>https://www.facebook.com/CentralNakhonSi</x:v>
      </x:c>
      <x:c r="I872" s="8" t="str">
        <x:v>https://instagram.com/central_nakhon</x:v>
      </x:c>
      <x:c r="J872" s="8" t="str">
        <x:v>https://www.wongnai.com/restaurants/1871357An-central-food-central-nakhon-si-thammarat</x:v>
      </x:c>
      <x:c r="K872" s="8" t="str"/>
      <x:c r="L872" s="8" t="str">
        <x:v>https://shoppingcenter.centralpattana.co.th/branch/central-nakhon-si/contact-us/</x:v>
      </x:c>
      <x:c r="M872" s="8" t="str">
        <x:v>https://www.waze.com/live-map/directions/th/%E0%B8%88.%E0%B8%99%E0%B8%84%E0%B8%A3%E0%B8%A8%E0%B8%A3%E0%B8%B5%E0%B8%98%E0%B8%A3%E0%B8%A3%E0%B8%A1%E0%B8%A3%E0%B8%B2%E0%B8%8A/central-nakhon-si?to=place.ChIJwR5SEpUBUzARXp2K0ClPc7M</x:v>
      </x:c>
      <x:c r="N872" s="8" t="str">
        <x:v>ยังไม่ยืนยัน</x:v>
      </x:c>
      <x:c r="O872" s="8" t="str">
        <x:v>ตรวจการเปิด ตัวตนสาขา ช่องทางติดต่อ และเงื่อนไขบังคับตามประเภท</x:v>
      </x:c>
      <x:c r="P872" s="40" t="n">
        <x:v>46316</x:v>
      </x:c>
      <x:c r="Q872" s="59" t="str">
        <x:v>ยังไม่ตรวจ</x:v>
      </x:c>
      <x:c r="R872" s="59" t="str">
        <x:v>รอติดต่อ</x:v>
      </x:c>
    </x:row>
    <x:row r="873" ht="84" customHeight="1">
      <x:c r="A873" s="2" t="str">
        <x:v>R26-205</x:v>
      </x:c>
      <x:c r="B873" s="8" t="str">
        <x:v>น้ำตกกรุงชิง</x:v>
      </x:c>
      <x:c r="C873" s="8" t="str">
        <x:v>นครศรีธรรมราช</x:v>
      </x:c>
      <x:c r="D873" s="8" t="str">
        <x:v>อยู่ในชุด 600 ตามเส้นทาง</x:v>
      </x:c>
      <x:c r="E873" s="8" t="str">
        <x:v>พบชื่อสัมพันธ์หลายเว็บไซต์ รอยืนยันสาขา</x:v>
      </x:c>
      <x:c r="F873" s="8" t="str">
        <x:v>ยังไม่ยืนยันการเปิดให้บริการปัจจุบัน</x:v>
      </x:c>
      <x:c r="G873" s="8" t="n">
        <x:v>12</x:v>
      </x:c>
      <x:c r="H873" s="8" t="str"/>
      <x:c r="I873" s="8" t="str"/>
      <x:c r="J873" s="8" t="str"/>
      <x:c r="K873" s="8" t="str"/>
      <x:c r="L873" s="8" t="str">
        <x:v>https://www.thailandtourismdirectory.go.th/attraction/1869</x:v>
      </x:c>
      <x:c r="M873" s="8" t="str">
        <x:v>https://cbtthailand.dasta.or.th/webapp/relattraction/content/450/</x:v>
      </x:c>
      <x:c r="N873" s="8" t="str">
        <x:v>ยังไม่ยืนยัน</x:v>
      </x:c>
      <x:c r="O873" s="8" t="str">
        <x:v>ตรวจการเปิด ตัวตนสาขา ช่องทางติดต่อ และเงื่อนไขบังคับตามประเภท</x:v>
      </x:c>
      <x:c r="P873" s="40" t="n">
        <x:v>46316</x:v>
      </x:c>
      <x:c r="Q873" s="59" t="str">
        <x:v>ยังไม่ตรวจ</x:v>
      </x:c>
      <x:c r="R873" s="59" t="str">
        <x:v>รอติดต่อ</x:v>
      </x:c>
    </x:row>
    <x:row r="874" ht="84" customHeight="1">
      <x:c r="A874" s="2" t="str">
        <x:v>R26-206</x:v>
      </x:c>
      <x:c r="B874" s="8" t="str">
        <x:v>หาดขนอม</x:v>
      </x:c>
      <x:c r="C874" s="8" t="str">
        <x:v>นครศรีธรรมราช</x:v>
      </x:c>
      <x:c r="D874" s="8" t="str">
        <x:v>อยู่ในชุด 600 ตามเส้นทาง</x:v>
      </x:c>
      <x:c r="E874" s="8" t="str">
        <x:v>พบชื่อสัมพันธ์หลายเว็บไซต์ รอยืนยันสาขา</x:v>
      </x:c>
      <x:c r="F874" s="8" t="str">
        <x:v>ยังไม่ยืนยันการเปิดให้บริการปัจจุบัน</x:v>
      </x:c>
      <x:c r="G874" s="8" t="n">
        <x:v>10</x:v>
      </x:c>
      <x:c r="H874" s="8" t="str">
        <x:v>https://www.youtube.com/watch?v=iaUDV2JeFoU</x:v>
      </x:c>
      <x:c r="I874" s="8" t="str"/>
      <x:c r="J874" s="8" t="str"/>
      <x:c r="K874" s="8" t="str"/>
      <x:c r="L874" s="8" t="str">
        <x:v>https://cbtthailand.dasta.or.th/webapp/relattraction/content/290/</x:v>
      </x:c>
      <x:c r="M874" s="8" t="str">
        <x:v>https://api.tat.or.th/upload/live/multimedia/9003/Provincial_eBook_Nakhon_Si_Thammarat_%28Th%29.pdf</x:v>
      </x:c>
      <x:c r="N874" s="8" t="str">
        <x:v>ยังไม่ยืนยัน</x:v>
      </x:c>
      <x:c r="O874" s="8" t="str">
        <x:v>ตรวจการเปิด ตัวตนสาขา ช่องทางติดต่อ และเงื่อนไขบังคับตามประเภท</x:v>
      </x:c>
      <x:c r="P874" s="40" t="n">
        <x:v>46316</x:v>
      </x:c>
      <x:c r="Q874" s="59" t="str">
        <x:v>ยังไม่ตรวจ</x:v>
      </x:c>
      <x:c r="R874" s="59" t="str">
        <x:v>รอติดต่อ</x:v>
      </x:c>
    </x:row>
    <x:row r="875" ht="84" customHeight="1">
      <x:c r="A875" s="2" t="str">
        <x:v>R26-204</x:v>
      </x:c>
      <x:c r="B875" s="8" t="str">
        <x:v>อุทยานแห่งชาติเขาหลวง</x:v>
      </x:c>
      <x:c r="C875" s="8" t="str">
        <x:v>นครศรีธรรมราช</x:v>
      </x:c>
      <x:c r="D875" s="8" t="str">
        <x:v>อยู่ในชุด 600 ตามเส้นทาง</x:v>
      </x:c>
      <x:c r="E875" s="8" t="str">
        <x:v>พบชื่อสัมพันธ์หลายเว็บไซต์ รอยืนยันสาขา</x:v>
      </x:c>
      <x:c r="F875" s="8" t="str">
        <x:v>ยังไม่ยืนยันการเปิดให้บริการปัจจุบัน</x:v>
      </x:c>
      <x:c r="G875" s="8" t="n">
        <x:v>10</x:v>
      </x:c>
      <x:c r="H875" s="8" t="str"/>
      <x:c r="I875" s="8" t="str"/>
      <x:c r="J875" s="8" t="str"/>
      <x:c r="K875" s="8" t="str"/>
      <x:c r="L875" s="8" t="str">
        <x:v>https://nakhonsi.mots.go.th/news/346</x:v>
      </x:c>
      <x:c r="M875" s="8" t="str">
        <x:v>https://booking.dnp.go.th/parksdetail.php?id=35</x:v>
      </x:c>
      <x:c r="N875" s="8" t="str">
        <x:v>ยังไม่ยืนยัน</x:v>
      </x:c>
      <x:c r="O875" s="8" t="str">
        <x:v>ตรวจการเปิด ตัวตนสาขา ช่องทางติดต่อ และเงื่อนไขบังคับตามประเภท</x:v>
      </x:c>
      <x:c r="P875" s="40" t="n">
        <x:v>46316</x:v>
      </x:c>
      <x:c r="Q875" s="59" t="str">
        <x:v>ยังไม่ตรวจ</x:v>
      </x:c>
      <x:c r="R875" s="59" t="str">
        <x:v>รอติดต่อ</x:v>
      </x:c>
    </x:row>
    <x:row r="876" ht="84" customHeight="1">
      <x:c r="A876" s="2" t="str">
        <x:v>R26-310</x:v>
      </x:c>
      <x:c r="B876" s="8" t="str">
        <x:v>บ้านหนังตะลุงสุชาติ ทรัพย์สิน</x:v>
      </x:c>
      <x:c r="C876" s="8" t="str">
        <x:v>นครศรีธรรมราช</x:v>
      </x:c>
      <x:c r="D876" s="8" t="str">
        <x:v>อยู่ในชุด 600 ตามเส้นทาง</x:v>
      </x:c>
      <x:c r="E876" s="8" t="str">
        <x:v>พบชื่อสัมพันธ์หลายเว็บไซต์ รอยืนยันสาขา</x:v>
      </x:c>
      <x:c r="F876" s="8" t="str">
        <x:v>ยังไม่ยืนยันการเปิดให้บริการปัจจุบัน</x:v>
      </x:c>
      <x:c r="G876" s="8" t="n">
        <x:v>12</x:v>
      </x:c>
      <x:c r="H876" s="8" t="str">
        <x:v>https://www.youtube.com/watch?v=HK4BFh0pQk4</x:v>
      </x:c>
      <x:c r="I876" s="8" t="str"/>
      <x:c r="J876" s="8" t="str">
        <x:v>https://www.wongnai.com/attractions/326466Sv-%E0%B8%9A%E0%B9%89%E0%B8%B2%E0%B8%99%E0%B8%AB%E0%B8%99%E0%B8%B1%E0%B8%87%E0%B8%95%E0%B8%B0%E0%B8%A5%E0%B8%B8%E0%B8%87%E0%B8%AA%E0%B8%B8%E0%B8%8A%E0%B8%B2%E0%B8%95%E0%B8%B4%E0%B8%97%E0%B8%A3%E0%B8%B1%E0%B8%9E%E0%B8%A2%E0%B9%8C%E0%B8%AA%E0%B8%B4%E0%B8%99</x:v>
      </x:c>
      <x:c r="K876" s="8" t="str"/>
      <x:c r="L876" s="8" t="str">
        <x:v>https://www.thailandtourismdirectory.go.th/th/attraction/1879</x:v>
      </x:c>
      <x:c r="M876" s="8" t="str">
        <x:v>https://cbtthailand.dasta.or.th/webapp/relattraction/content/1930/</x:v>
      </x:c>
      <x:c r="N876" s="8" t="str">
        <x:v>ยังไม่ยืนยัน</x:v>
      </x:c>
      <x:c r="O876" s="8" t="str">
        <x:v>ตรวจการเปิด ตัวตนสาขา ช่องทางติดต่อ และเงื่อนไขบังคับตามประเภท</x:v>
      </x:c>
      <x:c r="P876" s="40" t="n">
        <x:v>46316</x:v>
      </x:c>
      <x:c r="Q876" s="59" t="str">
        <x:v>ยังไม่ตรวจ</x:v>
      </x:c>
      <x:c r="R876" s="59" t="str">
        <x:v>รอติดต่อ</x:v>
      </x:c>
    </x:row>
    <x:row r="877" ht="84" customHeight="1">
      <x:c r="A877" s="2" t="str">
        <x:v>R26-208</x:v>
      </x:c>
      <x:c r="B877" s="8" t="str">
        <x:v>ชุมชนบ้านแหลมประทับ</x:v>
      </x:c>
      <x:c r="C877" s="8" t="str">
        <x:v>นครศรีธรรมราช</x:v>
      </x:c>
      <x:c r="D877" s="8" t="str">
        <x:v>อยู่ในชุด 600 ตามเส้นทาง</x:v>
      </x:c>
      <x:c r="E877" s="8" t="str">
        <x:v>พบชื่อสัมพันธ์หลายเว็บไซต์ รอยืนยันสาขา</x:v>
      </x:c>
      <x:c r="F877" s="8" t="str">
        <x:v>ยังไม่ยืนยันการเปิดให้บริการปัจจุบัน</x:v>
      </x:c>
      <x:c r="G877" s="8" t="n">
        <x:v>7</x:v>
      </x:c>
      <x:c r="H877" s="8" t="str">
        <x:v>https://www.youtube.com/watch?v=k2V1wvNJiZo</x:v>
      </x:c>
      <x:c r="I877" s="8" t="str"/>
      <x:c r="J877" s="8" t="str"/>
      <x:c r="K877" s="8" t="str"/>
      <x:c r="L877" s="8" t="str">
        <x:v>https://www.dmcr.go.th/detailAll/47885/nws/257</x:v>
      </x:c>
      <x:c r="M877" s="8" t="str">
        <x:v>https://thailandtourismdirectory.go.th/attraction/21576</x:v>
      </x:c>
      <x:c r="N877" s="8" t="str">
        <x:v>ยังไม่ยืนยัน</x:v>
      </x:c>
      <x:c r="O877" s="8" t="str">
        <x:v>ตรวจการเปิด ตัวตนสาขา ช่องทางติดต่อ และเงื่อนไขบังคับตามประเภท</x:v>
      </x:c>
      <x:c r="P877" s="40" t="n">
        <x:v>46316</x:v>
      </x:c>
      <x:c r="Q877" s="59" t="str">
        <x:v>ยังไม่ตรวจ</x:v>
      </x:c>
      <x:c r="R877" s="59" t="str">
        <x:v>รอติดต่อ</x:v>
      </x:c>
    </x:row>
    <x:row r="878" ht="84" customHeight="1">
      <x:c r="A878" s="2" t="str">
        <x:v>R26-105</x:v>
      </x:c>
      <x:c r="B878" s="8" t="str">
        <x:v>โรงแรมศิวา รอยัล พัทลุง</x:v>
      </x:c>
      <x:c r="C878" s="8" t="str">
        <x:v>พัทลุง</x:v>
      </x:c>
      <x:c r="D878" s="8" t="str">
        <x:v>อยู่ในชุด 600 ตามเส้นทาง</x:v>
      </x:c>
      <x:c r="E878" s="8" t="str">
        <x:v>พบชื่อสัมพันธ์หลายเว็บไซต์ รอยืนยันสาขา</x:v>
      </x:c>
      <x:c r="F878" s="8" t="str">
        <x:v>ยังไม่ยืนยันการเปิดให้บริการปัจจุบัน</x:v>
      </x:c>
      <x:c r="G878" s="8" t="n">
        <x:v>9</x:v>
      </x:c>
      <x:c r="H878" s="8" t="str">
        <x:v>https://www.youtube.com/watch?v=ztEp4b0fUTI</x:v>
      </x:c>
      <x:c r="I878" s="8" t="str">
        <x:v>https://www.facebook.com/sivaroyalhotelphatthalung/</x:v>
      </x:c>
      <x:c r="J878" s="8" t="str">
        <x:v>https://www.google.co.th/travel/hotels/entity/CgoI38G5iPP88ZhkEAE</x:v>
      </x:c>
      <x:c r="K878" s="8" t="str"/>
      <x:c r="L878" s="8" t="str">
        <x:v>https://www.phatthalungpao.go.th/hotel/detail/199</x:v>
      </x:c>
      <x:c r="M878" s="8" t="str">
        <x:v>https://www.sivaroyal.com/</x:v>
      </x:c>
      <x:c r="N878" s="8" t="str">
        <x:v>ยังไม่ยืนยัน</x:v>
      </x:c>
      <x:c r="O878" s="8" t="str">
        <x:v>ตรวจการเปิด ตัวตนสาขา ช่องทางติดต่อ และเงื่อนไขบังคับตามประเภท</x:v>
      </x:c>
      <x:c r="P878" s="40" t="n">
        <x:v>46316</x:v>
      </x:c>
      <x:c r="Q878" s="59" t="str">
        <x:v>ยังไม่ตรวจ</x:v>
      </x:c>
      <x:c r="R878" s="59" t="str">
        <x:v>รอติดต่อ</x:v>
      </x:c>
    </x:row>
    <x:row r="879" ht="84" customHeight="1">
      <x:c r="A879" s="2" t="str">
        <x:v>R26-104</x:v>
      </x:c>
      <x:c r="B879" s="8" t="str">
        <x:v>ร้านอาหารอิสลามซูบัยด๊ะ</x:v>
      </x:c>
      <x:c r="C879" s="8" t="str">
        <x:v>พัทลุง</x:v>
      </x:c>
      <x:c r="D879" s="8" t="str">
        <x:v>อยู่ในชุด 600 ตามเส้นทาง</x:v>
      </x:c>
      <x:c r="E879" s="8" t="str">
        <x:v>พบชื่อสัมพันธ์หลายเว็บไซต์ รอยืนยันสาขา</x:v>
      </x:c>
      <x:c r="F879" s="8" t="str">
        <x:v>ยังไม่ยืนยันการเปิดให้บริการปัจจุบัน</x:v>
      </x:c>
      <x:c r="G879" s="8" t="n">
        <x:v>5</x:v>
      </x:c>
      <x:c r="H879" s="8" t="str"/>
      <x:c r="I879" s="8" t="str"/>
      <x:c r="J879" s="8" t="str">
        <x:v>https://restaurantguru.com/%E0%B8%A3%E0%B9%89%E0%B8%B2%E0%B8%99%E0%B8%AD%E0%B8%B2%E0%B8%AB%E0%B8%B2%E0%B8%A3%E0%B8%AD%E0%B8%B4%E0%B8%AA%E0%B8%A5%E0%B8%B2%E0%B8%A1%E0%B8%8B%E0%B8%B9%E0%B8%9A%E0%B8%B1%E0%B8%9A%E0%B8%94%E0%B9%8A%E0%B8%B0-Thailand</x:v>
      </x:c>
      <x:c r="K879" s="8" t="str">
        <x:v>https://www.wongnai.com/restaurants/828331aG-%E0%B8%A3%E0%B9%89%E0%B8%B2%E0%B8%99%E0%B8%AD%E0%B8%B2%E0%B8%AB%E0%B8%B2%E0%B8%A3%E0%B8%AD%E0%B8%B4%E0%B8%AA%E0%B8%A5%E0%B8%B2%E0%B8%A1%E0%B8%8B%E0%B8%B9%E0%B8%9A%E0%B8%B1%E0%B8%A2%E0%B8%94%E0%B9%8A%E0%B8%B0-%E0%B8%AE%E0%B8%B2%E0%B8%A5%E0%B8%B2%E0%B8%A5</x:v>
      </x:c>
      <x:c r="L879" s="8" t="str">
        <x:v>https://yandex.com/maps/org/97038227098/</x:v>
      </x:c>
      <x:c r="M879" s="8" t="str">
        <x:v>https://phatlung.com/%E0%B8%A3%E0%B9%89%E0%B8%B2%E0%B8%99%E0%B8%AD%E0%B8%B2%E0%B8%AB%E0%B8%B2%E0%B8%A3-%E0%B8%8B%E0%B8%B9%E0%B8%9A%E0%B8%B1%E0%B8%A2%E0%B8%94%E0%B9%8A%E0%B8%B0/</x:v>
      </x:c>
      <x:c r="N879" s="8" t="str">
        <x:v>ยังไม่ยืนยัน</x:v>
      </x:c>
      <x:c r="O879" s="8" t="str">
        <x:v>ตรวจการเปิด ตัวตนสาขา ช่องทางติดต่อ และเงื่อนไขบังคับตามประเภท</x:v>
      </x:c>
      <x:c r="P879" s="40" t="n">
        <x:v>46316</x:v>
      </x:c>
      <x:c r="Q879" s="59" t="str">
        <x:v>ยังไม่ตรวจ</x:v>
      </x:c>
      <x:c r="R879" s="59" t="str">
        <x:v>รอติดต่อ</x:v>
      </x:c>
    </x:row>
    <x:row r="880" ht="84" customHeight="1">
      <x:c r="A880" s="2" t="str">
        <x:v>R26-107</x:v>
      </x:c>
      <x:c r="B880" s="8" t="str">
        <x:v>ไร่ชาพันไมล์</x:v>
      </x:c>
      <x:c r="C880" s="8" t="str">
        <x:v>พัทลุง</x:v>
      </x:c>
      <x:c r="D880" s="8" t="str">
        <x:v>อยู่ในชุด 600 ตามเส้นทาง</x:v>
      </x:c>
      <x:c r="E880" s="8" t="str">
        <x:v>พบชื่อสัมพันธ์หลายเว็บไซต์ รอยืนยันสาขา</x:v>
      </x:c>
      <x:c r="F880" s="8" t="str">
        <x:v>ยังไม่ยืนยันการเปิดให้บริการปัจจุบัน</x:v>
      </x:c>
      <x:c r="G880" s="8" t="n">
        <x:v>2</x:v>
      </x:c>
      <x:c r="H880" s="8" t="str"/>
      <x:c r="I880" s="8" t="str"/>
      <x:c r="J880" s="8" t="str">
        <x:v>https://www.booking.com/hotel/th/baanelkainpaaaihyohmsety.th.html</x:v>
      </x:c>
      <x:c r="K880" s="8" t="str"/>
      <x:c r="L880" s="8" t="str">
        <x:v>https://www.lemon8-app.com/%40iiikaniii/7454914081598767617?region=th</x:v>
      </x:c>
      <x:c r="M880" s="8" t="str">
        <x:v>https://www.booking.com/hotel/th/baanelkainpaaaihyohmsety.th.html</x:v>
      </x:c>
      <x:c r="N880" s="8" t="str">
        <x:v>ยังไม่ยืนยัน</x:v>
      </x:c>
      <x:c r="O880" s="8" t="str">
        <x:v>ตรวจการเปิด ตัวตนสาขา ช่องทางติดต่อ และเงื่อนไขบังคับตามประเภท</x:v>
      </x:c>
      <x:c r="P880" s="40" t="n">
        <x:v>46316</x:v>
      </x:c>
      <x:c r="Q880" s="59" t="str">
        <x:v>ยังไม่ตรวจ</x:v>
      </x:c>
      <x:c r="R880" s="59" t="str">
        <x:v>รอติดต่อ</x:v>
      </x:c>
    </x:row>
    <x:row r="881" ht="84" customHeight="1">
      <x:c r="A881" s="2" t="str">
        <x:v>R26-106</x:v>
      </x:c>
      <x:c r="B881" s="8" t="str">
        <x:v>ทะเลน้อย</x:v>
      </x:c>
      <x:c r="C881" s="8" t="str">
        <x:v>พัทลุง</x:v>
      </x:c>
      <x:c r="D881" s="8" t="str">
        <x:v>อยู่ในชุด 600 ตามเส้นทาง</x:v>
      </x:c>
      <x:c r="E881" s="8" t="str">
        <x:v>พบชื่อสัมพันธ์หลายเว็บไซต์ รอยืนยันสาขา</x:v>
      </x:c>
      <x:c r="F881" s="8" t="str">
        <x:v>ยังไม่ยืนยันการเปิดให้บริการปัจจุบัน</x:v>
      </x:c>
      <x:c r="G881" s="8" t="n">
        <x:v>16</x:v>
      </x:c>
      <x:c r="H881" s="8" t="str">
        <x:v>https://www.youtube.com/watch?v=VrRKonG6D8w</x:v>
      </x:c>
      <x:c r="I881" s="8" t="str"/>
      <x:c r="J881" s="8" t="str">
        <x:v>https://www.wongnai.com/attractions/343510ld-%E0%B8%97%E0%B8%B0%E0%B9%80%E0%B8%A5%E0%B8%99%E0%B9%89%E0%B8%AD%E0%B8%A2</x:v>
      </x:c>
      <x:c r="K881" s="8" t="str"/>
      <x:c r="L881" s="8" t="str">
        <x:v>https://epo14.pcd.go.th/th/news/detail/159874</x:v>
      </x:c>
      <x:c r="M881" s="8" t="str">
        <x:v>https://www.phatthalungpao.go.th/travel/detail/135</x:v>
      </x:c>
      <x:c r="N881" s="8" t="str">
        <x:v>ยังไม่ยืนยัน</x:v>
      </x:c>
      <x:c r="O881" s="8" t="str">
        <x:v>ตรวจการเปิด ตัวตนสาขา ช่องทางติดต่อ และเงื่อนไขบังคับตามประเภท</x:v>
      </x:c>
      <x:c r="P881" s="40" t="n">
        <x:v>46316</x:v>
      </x:c>
      <x:c r="Q881" s="59" t="str">
        <x:v>ยังไม่ตรวจ</x:v>
      </x:c>
      <x:c r="R881" s="59" t="str">
        <x:v>รอติดต่อ</x:v>
      </x:c>
    </x:row>
    <x:row r="882" ht="84" customHeight="1">
      <x:c r="A882" s="2" t="str">
        <x:v>R26-109</x:v>
      </x:c>
      <x:c r="B882" s="8" t="str">
        <x:v>มัสยิดกลางจังหวัดพัทลุง</x:v>
      </x:c>
      <x:c r="C882" s="8" t="str">
        <x:v>พัทลุง</x:v>
      </x:c>
      <x:c r="D882" s="8" t="str">
        <x:v>อยู่ในชุด 600 ตามเส้นทาง</x:v>
      </x:c>
      <x:c r="E882" s="8" t="str">
        <x:v>พบชื่อสัมพันธ์หลายเว็บไซต์ รอยืนยันสาขา</x:v>
      </x:c>
      <x:c r="F882" s="8" t="str">
        <x:v>ยังไม่ยืนยันการเปิดให้บริการปัจจุบัน</x:v>
      </x:c>
      <x:c r="G882" s="8" t="n">
        <x:v>3</x:v>
      </x:c>
      <x:c r="H882" s="8" t="str"/>
      <x:c r="I882" s="8" t="str"/>
      <x:c r="J882" s="8" t="str"/>
      <x:c r="K882" s="8" t="str"/>
      <x:c r="L882" s="8" t="str">
        <x:v>https://phatlung.nso.go.th/images/ebook/performance/000114.pdf</x:v>
      </x:c>
      <x:c r="M882" s="8" t="str">
        <x:v>https://www.phatthalung.go.th/2022/files/com_news_develop/2022-04_677cac2c26c2239.pdf</x:v>
      </x:c>
      <x:c r="N882" s="8" t="str">
        <x:v>ยังไม่ยืนยัน</x:v>
      </x:c>
      <x:c r="O882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882" s="40" t="n">
        <x:v>46316</x:v>
      </x:c>
      <x:c r="Q882" s="59" t="str">
        <x:v>ยังไม่ตรวจ</x:v>
      </x:c>
      <x:c r="R882" s="59" t="str">
        <x:v>รอติดต่อ</x:v>
      </x:c>
    </x:row>
    <x:row r="883" ht="84" customHeight="1">
      <x:c r="A883" s="2" t="str">
        <x:v>R26-110</x:v>
      </x:c>
      <x:c r="B883" s="8" t="str">
        <x:v>หลาดใต้ถุน ปากพะยูน ชุมชนบ้านกลาง</x:v>
      </x:c>
      <x:c r="C883" s="8" t="str">
        <x:v>พัทลุง</x:v>
      </x:c>
      <x:c r="D883" s="8" t="str">
        <x:v>อยู่ในชุด 600 ตามเส้นทาง</x:v>
      </x:c>
      <x:c r="E883" s="8" t="str">
        <x:v>พบชื่อสัมพันธ์หลายเว็บไซต์ รอยืนยันสาขา</x:v>
      </x:c>
      <x:c r="F883" s="8" t="str">
        <x:v>ยังไม่ยืนยันการเปิดให้บริการปัจจุบัน</x:v>
      </x:c>
      <x:c r="G883" s="8" t="n">
        <x:v>8</x:v>
      </x:c>
      <x:c r="H883" s="8" t="str">
        <x:v>https://www.youtube.com/watch?v=M0QIRIEUBvg</x:v>
      </x:c>
      <x:c r="I883" s="8" t="str"/>
      <x:c r="J883" s="8" t="str"/>
      <x:c r="K883" s="8" t="str"/>
      <x:c r="L883" s="8" t="str">
        <x:v>https://songkhlafocus.com/news/21585/05/</x:v>
      </x:c>
      <x:c r="M883" s="8" t="str">
        <x:v>https://www.tsu.ac.th/home/details.php?id=3365</x:v>
      </x:c>
      <x:c r="N883" s="8" t="str">
        <x:v>ยังไม่ยืนยัน</x:v>
      </x:c>
      <x:c r="O883" s="8" t="str">
        <x:v>ตรวจการเปิด ตัวตนสาขา ช่องทางติดต่อ และเงื่อนไขบังคับตามประเภท</x:v>
      </x:c>
      <x:c r="P883" s="40" t="n">
        <x:v>46316</x:v>
      </x:c>
      <x:c r="Q883" s="59" t="str">
        <x:v>ยังไม่ตรวจ</x:v>
      </x:c>
      <x:c r="R883" s="59" t="str">
        <x:v>รอติดต่อ</x:v>
      </x:c>
    </x:row>
    <x:row r="884" ht="84" customHeight="1">
      <x:c r="A884" s="2" t="str">
        <x:v>R26-108</x:v>
      </x:c>
      <x:c r="B884" s="8" t="str">
        <x:v>สวนเดอลอง</x:v>
      </x:c>
      <x:c r="C884" s="8" t="str">
        <x:v>พัทลุง</x:v>
      </x:c>
      <x:c r="D884" s="8" t="str">
        <x:v>อยู่ในชุด 600 ตามเส้นทาง</x:v>
      </x:c>
      <x:c r="E884" s="8" t="str">
        <x:v>พบชื่อสัมพันธ์หลายเว็บไซต์ รอยืนยันสาขา</x:v>
      </x:c>
      <x:c r="F884" s="8" t="str">
        <x:v>ยังไม่ยืนยันการเปิดให้บริการปัจจุบัน</x:v>
      </x:c>
      <x:c r="G884" s="8" t="n">
        <x:v>9</x:v>
      </x:c>
      <x:c r="H884" s="8" t="str">
        <x:v>https://www.youtube.com/watch?v=fVcxRY5_7QU</x:v>
      </x:c>
      <x:c r="I884" s="8" t="str">
        <x:v>https://lin.ee/sRAl2FS</x:v>
      </x:c>
      <x:c r="J884" s="8" t="str">
        <x:v>https://www.wongnai.com/attractions/472834aZ-%E0%B8%AA%E0%B8%A7%E0%B8%99%E0%B9%80%E0%B8%94%E0%B8%AD%E0%B8%A5%E0%B8%AD%E0%B8%87</x:v>
      </x:c>
      <x:c r="K884" s="8" t="str"/>
      <x:c r="L884" s="8" t="str">
        <x:v>https://www.delonggarden.com/</x:v>
      </x:c>
      <x:c r="M884" s="8" t="str">
        <x:v>https://www.tatstar.org/company/STAR-C00268</x:v>
      </x:c>
      <x:c r="N884" s="8" t="str">
        <x:v>ยังไม่ยืนยัน</x:v>
      </x:c>
      <x:c r="O884" s="8" t="str">
        <x:v>ตรวจการเปิด ตัวตนสาขา ช่องทางติดต่อ และเงื่อนไขบังคับตามประเภท</x:v>
      </x:c>
      <x:c r="P884" s="40" t="n">
        <x:v>46316</x:v>
      </x:c>
      <x:c r="Q884" s="59" t="str">
        <x:v>ยังไม่ตรวจ</x:v>
      </x:c>
      <x:c r="R884" s="59" t="str">
        <x:v>รอติดต่อ</x:v>
      </x:c>
    </x:row>
    <x:row r="885" ht="84" customHeight="1">
      <x:c r="A885" s="2" t="str">
        <x:v>R26-387</x:v>
      </x:c>
      <x:c r="B885" s="8" t="str">
        <x:v>Dusit Princess Phatthalung</x:v>
      </x:c>
      <x:c r="C885" s="8" t="str">
        <x:v>พัทลุง</x:v>
      </x:c>
      <x:c r="D885" s="8" t="str">
        <x:v>อยู่ในชุด 600 ตามเส้นทาง</x:v>
      </x:c>
      <x:c r="E885" s="8" t="str">
        <x:v>พบชื่อสัมพันธ์หลายเว็บไซต์ รอยืนยันสาขา</x:v>
      </x:c>
      <x:c r="F885" s="8" t="str">
        <x:v>ยังไม่ยืนยันการเปิดให้บริการปัจจุบัน</x:v>
      </x:c>
      <x:c r="G885" s="8" t="n">
        <x:v>12</x:v>
      </x:c>
      <x:c r="H885" s="8" t="str">
        <x:v>https://www.youtube.com/watch?v=8O5M9HbgFyI</x:v>
      </x:c>
      <x:c r="I885" s="8" t="str">
        <x:v>https://www.facebook.com/dusitprincessphatthalung</x:v>
      </x:c>
      <x:c r="J885" s="8" t="str">
        <x:v>https://www.booking.com/hotel/th/dusit-princess-phatthalung.html</x:v>
      </x:c>
      <x:c r="K885" s="8" t="str"/>
      <x:c r="L885" s="8" t="str">
        <x:v>https://www.dusit.com/dusitprincess-phatthalung/th/</x:v>
      </x:c>
      <x:c r="M885" s="8" t="str">
        <x:v>https://www.google.com.my/travel/hotels/entity/ChkIlq-OwdWNmsVSGg0vZy8xMXQ3MmswMl81EAE</x:v>
      </x:c>
      <x:c r="N885" s="8" t="str">
        <x:v>ยังไม่ยืนยัน</x:v>
      </x:c>
      <x:c r="O885" s="8" t="str">
        <x:v>ตรวจการเปิด ตัวตนสาขา ช่องทางติดต่อ และเงื่อนไขบังคับตามประเภท</x:v>
      </x:c>
      <x:c r="P885" s="40" t="n">
        <x:v>46316</x:v>
      </x:c>
      <x:c r="Q885" s="59" t="str">
        <x:v>ยังไม่ตรวจ</x:v>
      </x:c>
      <x:c r="R885" s="59" t="str">
        <x:v>รอติดต่อ</x:v>
      </x:c>
    </x:row>
    <x:row r="886" ht="84" customHeight="1">
      <x:c r="A886" s="2" t="str">
        <x:v>R26-388</x:v>
      </x:c>
      <x:c r="B886" s="8" t="str">
        <x:v>Sri Pakpra Boutique Resort Phatthalung</x:v>
      </x:c>
      <x:c r="C886" s="8" t="str">
        <x:v>พัทลุง</x:v>
      </x:c>
      <x:c r="D886" s="8" t="str">
        <x:v>อยู่ในชุด 600 ตามเส้นทาง</x:v>
      </x:c>
      <x:c r="E886" s="8" t="str">
        <x:v>พบชื่อสัมพันธ์หลายเว็บไซต์ รอยืนยันสาขา</x:v>
      </x:c>
      <x:c r="F886" s="8" t="str">
        <x:v>ยังไม่ยืนยันการเปิดให้บริการปัจจุบัน</x:v>
      </x:c>
      <x:c r="G886" s="8" t="n">
        <x:v>7</x:v>
      </x:c>
      <x:c r="H886" s="8" t="str">
        <x:v>https://www.youtube.com/watch?v=Y02k4yCL7A8</x:v>
      </x:c>
      <x:c r="I886" s="8" t="str"/>
      <x:c r="J886" s="8" t="str">
        <x:v>https://www.booking.com/hotel/th/sripakpra-andacura-boutique-resort-phattalung.html</x:v>
      </x:c>
      <x:c r="K886" s="8" t="str"/>
      <x:c r="L886" s="8" t="str">
        <x:v>https://www.google.com.my/travel/hotels/entity/ChoIxu3rnY2btdH-ARoNL2cvMTFiN3E1OTl4bRAB</x:v>
      </x:c>
      <x:c r="M886" s="8" t="str">
        <x:v>https://sripakpra.com/</x:v>
      </x:c>
      <x:c r="N886" s="8" t="str">
        <x:v>ยังไม่ยืนยัน</x:v>
      </x:c>
      <x:c r="O886" s="8" t="str">
        <x:v>ตรวจการเปิด ตัวตนสาขา ช่องทางติดต่อ และเงื่อนไขบังคับตามประเภท</x:v>
      </x:c>
      <x:c r="P886" s="40" t="n">
        <x:v>46316</x:v>
      </x:c>
      <x:c r="Q886" s="59" t="str">
        <x:v>ยังไม่ตรวจ</x:v>
      </x:c>
      <x:c r="R886" s="59" t="str">
        <x:v>รอติดต่อ</x:v>
      </x:c>
    </x:row>
    <x:row r="887" ht="84" customHeight="1">
      <x:c r="A887" s="2" t="str">
        <x:v>R26-352</x:v>
      </x:c>
      <x:c r="B887" s="8" t="str">
        <x:v>MONTE พัทลุง</x:v>
      </x:c>
      <x:c r="C887" s="8" t="str">
        <x:v>พัทลุง</x:v>
      </x:c>
      <x:c r="D887" s="8" t="str">
        <x:v>อยู่ในชุด 600 ตามเส้นทาง</x:v>
      </x:c>
      <x:c r="E887" s="8" t="str">
        <x:v>พบชื่อสัมพันธ์หลายเว็บไซต์ รอยืนยันสาขา</x:v>
      </x:c>
      <x:c r="F887" s="8" t="str">
        <x:v>ยังไม่ยืนยันการเปิดให้บริการปัจจุบัน</x:v>
      </x:c>
      <x:c r="G887" s="8" t="n">
        <x:v>4</x:v>
      </x:c>
      <x:c r="H887" s="8" t="str"/>
      <x:c r="I887" s="8" t="str"/>
      <x:c r="J887" s="8" t="str"/>
      <x:c r="K887" s="8" t="str"/>
      <x:c r="L887" s="8" t="str">
        <x:v>https://www.lemon8-app.com/%40prae_253928/7617386725786583559?region=th</x:v>
      </x:c>
      <x:c r="M887" s="8" t="str">
        <x:v>https://ph.trip.com/moments/detail/phatthalung-1447129-147399625</x:v>
      </x:c>
      <x:c r="N887" s="8" t="str">
        <x:v>ยังไม่ยืนยัน</x:v>
      </x:c>
      <x:c r="O887" s="8" t="str">
        <x:v>ตรวจการเปิด ตัวตนสาขา ช่องทางติดต่อ และเงื่อนไขบังคับตามประเภท</x:v>
      </x:c>
      <x:c r="P887" s="40" t="n">
        <x:v>46316</x:v>
      </x:c>
      <x:c r="Q887" s="59" t="str">
        <x:v>ยังไม่ตรวจ</x:v>
      </x:c>
      <x:c r="R887" s="59" t="str">
        <x:v>รอติดต่อ</x:v>
      </x:c>
    </x:row>
    <x:row r="888" ht="84" customHeight="1">
      <x:c r="A888" s="2" t="str">
        <x:v>R26-354</x:v>
      </x:c>
      <x:c r="B888" s="8" t="str">
        <x:v>ก๋วยเตี๋ยวจัมโบ้อิสลาม เกะฟ็ะ</x:v>
      </x:c>
      <x:c r="C888" s="8" t="str">
        <x:v>พัทลุง</x:v>
      </x:c>
      <x:c r="D888" s="8" t="str">
        <x:v>อยู่ในชุด 600 ตามเส้นทาง</x:v>
      </x:c>
      <x:c r="E888" s="8" t="str">
        <x:v>พบชื่อสัมพันธ์หลายเว็บไซต์ รอยืนยันสาขา</x:v>
      </x:c>
      <x:c r="F888" s="8" t="str">
        <x:v>ยังไม่ยืนยันการเปิดให้บริการปัจจุบัน</x:v>
      </x:c>
      <x:c r="G888" s="8" t="n">
        <x:v>2</x:v>
      </x:c>
      <x:c r="H888" s="8" t="str"/>
      <x:c r="I888" s="8" t="str"/>
      <x:c r="J888" s="8" t="str">
        <x:v>https://www.wongnai.com/restaurants/269214uC-%E0%B8%81%E0%B9%8B%E0%B8%A7%E0%B8%A2%E0%B9%80%E0%B8%95%E0%B8%B5%E0%B9%8B%E0%B8%A2%E0%B8%A7%E0%B8%88%E0%B8%B1%E0%B8%A1%E0%B9%82%E0%B8%9A%E0%B9%89%E0%B8%AD%E0%B8%B4%E0%B8%AA%E0%B8%A5%E0%B8%B2%E0%B8%A1/reviews</x:v>
      </x:c>
      <x:c r="K888" s="8" t="str"/>
      <x:c r="L888" s="8" t="str">
        <x:v>https://makanhalalguide.com/shop/detail/3868</x:v>
      </x:c>
      <x:c r="M888" s="8" t="str">
        <x:v>https://makanhalalguide.com/shop/detail/3868</x:v>
      </x:c>
      <x:c r="N888" s="8" t="str">
        <x:v>ยังไม่ยืนยัน</x:v>
      </x:c>
      <x:c r="O888" s="8" t="str">
        <x:v>ตรวจการเปิด ตัวตนสาขา ช่องทางติดต่อ และเงื่อนไขบังคับตามประเภท</x:v>
      </x:c>
      <x:c r="P888" s="40" t="n">
        <x:v>46316</x:v>
      </x:c>
      <x:c r="Q888" s="59" t="str">
        <x:v>ยังไม่ตรวจ</x:v>
      </x:c>
      <x:c r="R888" s="59" t="str">
        <x:v>รอติดต่อ</x:v>
      </x:c>
    </x:row>
    <x:row r="889" ht="84" customHeight="1">
      <x:c r="A889" s="2" t="str">
        <x:v>R26-210</x:v>
      </x:c>
      <x:c r="B889" s="8" t="str">
        <x:v>สะพานเฉลิมพระเกียรติ 80 พรรษา พัทลุง</x:v>
      </x:c>
      <x:c r="C889" s="8" t="str">
        <x:v>พัทลุง</x:v>
      </x:c>
      <x:c r="D889" s="8" t="str">
        <x:v>อยู่ในชุด 600 ตามเส้นทาง</x:v>
      </x:c>
      <x:c r="E889" s="8" t="str">
        <x:v>พบชื่อสัมพันธ์หลายเว็บไซต์ รอยืนยันสาขา</x:v>
      </x:c>
      <x:c r="F889" s="8" t="str">
        <x:v>ยังไม่ยืนยันการเปิดให้บริการปัจจุบัน</x:v>
      </x:c>
      <x:c r="G889" s="8" t="n">
        <x:v>8</x:v>
      </x:c>
      <x:c r="H889" s="8" t="str">
        <x:v>https://www.youtube.com/watch?v=9ENJNlj8K1k</x:v>
      </x:c>
      <x:c r="I889" s="8" t="str"/>
      <x:c r="J889" s="8" t="str">
        <x:v>https://www.wongnai.com/attractions/339540Nw-%E0%B8%AA%E0%B8%B0%E0%B8%9E%E0%B8%B2%E0%B8%99%E0%B9%80%E0%B8%89%E0%B8%A5%E0%B8%B4%E0%B8%A1%E0%B8%9E%E0%B8%A3%E0%B8%B0%E0%B9%80%E0%B8%81%E0%B8%B5%E0%B8%A2%E0%B8%A3%E0%B8%95%E0%B8%B4%E0%B8%AF-80-%E0%B8%9E%E0%B8%A3%E0%B8%A3%E0%B8%A9%E0%B8%B2/photos/2cd171cf689142539e09e0319ef8c9b7</x:v>
      </x:c>
      <x:c r="K889" s="8" t="str"/>
      <x:c r="L889" s="8" t="str">
        <x:v>https://paiduaykan.com/%E0%B8%AA%E0%B8%B0%E0%B8%9E%E0%B8%B2%E0%B8%99%E0%B9%80%E0%B8%AD%E0%B8%81%E0%B8%8A%E0%B8%B1%E0%B8%A2/</x:v>
      </x:c>
      <x:c r="M889" s="8" t="str">
        <x:v>https://atphatlung.com/%E0%B8%AA%E0%B8%B0%E0%B8%9E%E0%B8%B2%E0%B8%99%E0%B9%80%E0%B8%89%E0%B8%A5%E0%B8%B4%E0%B8%A1%E0%B8%9E%E0%B8%A3%E0%B8%B0%E0%B9%80%E0%B8%81%E0%B8%B5%E0%B8%A2%E0%B8%A3%E0%B8%95%E0%B8%B480/</x:v>
      </x:c>
      <x:c r="N889" s="8" t="str">
        <x:v>ยังไม่ยืนยัน</x:v>
      </x:c>
      <x:c r="O889" s="8" t="str">
        <x:v>ตรวจการเปิด ตัวตนสาขา ช่องทางติดต่อ และเงื่อนไขบังคับตามประเภท</x:v>
      </x:c>
      <x:c r="P889" s="40" t="n">
        <x:v>46316</x:v>
      </x:c>
      <x:c r="Q889" s="59" t="str">
        <x:v>ยังไม่ตรวจ</x:v>
      </x:c>
      <x:c r="R889" s="59" t="str">
        <x:v>รอติดต่อ</x:v>
      </x:c>
    </x:row>
    <x:row r="890" ht="84" customHeight="1">
      <x:c r="A890" s="2" t="str">
        <x:v>R26-211</x:v>
      </x:c>
      <x:c r="B890" s="8" t="str">
        <x:v>อุทยานแห่งชาติเขาปู่-เขาย่า</x:v>
      </x:c>
      <x:c r="C890" s="8" t="str">
        <x:v>พัทลุง</x:v>
      </x:c>
      <x:c r="D890" s="8" t="str">
        <x:v>อยู่ในชุด 600 ตามเส้นทาง</x:v>
      </x:c>
      <x:c r="E890" s="8" t="str">
        <x:v>พบชื่อสัมพันธ์หลายเว็บไซต์ รอยืนยันสาขา</x:v>
      </x:c>
      <x:c r="F890" s="8" t="str">
        <x:v>ยังไม่ยืนยันการเปิดให้บริการปัจจุบัน</x:v>
      </x:c>
      <x:c r="G890" s="8" t="n">
        <x:v>9</x:v>
      </x:c>
      <x:c r="H890" s="8" t="str"/>
      <x:c r="I890" s="8" t="str"/>
      <x:c r="J890" s="8" t="str"/>
      <x:c r="K890" s="8" t="str"/>
      <x:c r="L890" s="8" t="str">
        <x:v>https://news.dnp.go.th/news/49884</x:v>
      </x:c>
      <x:c r="M890" s="8" t="str">
        <x:v>https://www.thailandtourismdirectory.go.th/attraction/1984</x:v>
      </x:c>
      <x:c r="N890" s="8" t="str">
        <x:v>ยังไม่ยืนยัน</x:v>
      </x:c>
      <x:c r="O890" s="8" t="str">
        <x:v>ตรวจการเปิด ตัวตนสาขา ช่องทางติดต่อ และเงื่อนไขบังคับตามประเภท</x:v>
      </x:c>
      <x:c r="P890" s="40" t="n">
        <x:v>46316</x:v>
      </x:c>
      <x:c r="Q890" s="59" t="str">
        <x:v>ยังไม่ตรวจ</x:v>
      </x:c>
      <x:c r="R890" s="59" t="str">
        <x:v>รอติดต่อ</x:v>
      </x:c>
    </x:row>
    <x:row r="891" ht="84" customHeight="1">
      <x:c r="A891" s="2" t="str">
        <x:v>R26-215</x:v>
      </x:c>
      <x:c r="B891" s="8" t="str">
        <x:v>ชุมชนบ้านปากประ</x:v>
      </x:c>
      <x:c r="C891" s="8" t="str">
        <x:v>พัทลุง</x:v>
      </x:c>
      <x:c r="D891" s="8" t="str">
        <x:v>อยู่ในชุด 600 ตามเส้นทาง</x:v>
      </x:c>
      <x:c r="E891" s="8" t="str">
        <x:v>พบชื่อสัมพันธ์หลายเว็บไซต์ รอยืนยันสาขา</x:v>
      </x:c>
      <x:c r="F891" s="8" t="str">
        <x:v>ยังไม่ยืนยันการเปิดให้บริการปัจจุบัน</x:v>
      </x:c>
      <x:c r="G891" s="8" t="n">
        <x:v>8</x:v>
      </x:c>
      <x:c r="H891" s="8" t="str">
        <x:v>https://www.youtube.com/watch?v=1zYDYyoCk6o</x:v>
      </x:c>
      <x:c r="I891" s="8" t="str"/>
      <x:c r="J891" s="8" t="str"/>
      <x:c r="K891" s="8" t="str"/>
      <x:c r="L891" s="8" t="str">
        <x:v>https://wikicommunity.sac.or.th/community/1507</x:v>
      </x:c>
      <x:c r="M891" s="8" t="str">
        <x:v>https://www.nstda.or.th/home/news_post/yona-waree-20260526/</x:v>
      </x:c>
      <x:c r="N891" s="8" t="str">
        <x:v>ยังไม่ยืนยัน</x:v>
      </x:c>
      <x:c r="O891" s="8" t="str">
        <x:v>ตรวจการเปิด ตัวตนสาขา ช่องทางติดต่อ และเงื่อนไขบังคับตามประเภท</x:v>
      </x:c>
      <x:c r="P891" s="40" t="n">
        <x:v>46316</x:v>
      </x:c>
      <x:c r="Q891" s="59" t="str">
        <x:v>ยังไม่ตรวจ</x:v>
      </x:c>
      <x:c r="R891" s="59" t="str">
        <x:v>รอติดต่อ</x:v>
      </x:c>
    </x:row>
    <x:row r="892" ht="84" customHeight="1">
      <x:c r="A892" s="2" t="str">
        <x:v>R26-213</x:v>
      </x:c>
      <x:c r="B892" s="8" t="str">
        <x:v>ชุมชนบ้านลำปำ</x:v>
      </x:c>
      <x:c r="C892" s="8" t="str">
        <x:v>พัทลุง</x:v>
      </x:c>
      <x:c r="D892" s="8" t="str">
        <x:v>อยู่ในชุด 600 ตามเส้นทาง</x:v>
      </x:c>
      <x:c r="E892" s="8" t="str">
        <x:v>พบชื่อสัมพันธ์หลายเว็บไซต์ รอยืนยันสาขา</x:v>
      </x:c>
      <x:c r="F892" s="8" t="str">
        <x:v>ยังไม่ยืนยันการเปิดให้บริการปัจจุบัน</x:v>
      </x:c>
      <x:c r="G892" s="8" t="n">
        <x:v>8</x:v>
      </x:c>
      <x:c r="H892" s="8" t="str">
        <x:v>https://www.youtube.com/watch?v=BuSknDFs2ns</x:v>
      </x:c>
      <x:c r="I892" s="8" t="str"/>
      <x:c r="J892" s="8" t="str"/>
      <x:c r="K892" s="8" t="str"/>
      <x:c r="L892" s="8" t="str">
        <x:v>https://plg.onab.go.th/th/content/page/index/id/116799</x:v>
      </x:c>
      <x:c r="M892" s="8" t="str">
        <x:v>https://phatthalung.prd.go.th/th/content/category/detail/id/9/iid/456271</x:v>
      </x:c>
      <x:c r="N892" s="8" t="str">
        <x:v>ยังไม่ยืนยัน</x:v>
      </x:c>
      <x:c r="O892" s="8" t="str">
        <x:v>ตรวจการเปิด ตัวตนสาขา ช่องทางติดต่อ และเงื่อนไขบังคับตามประเภท</x:v>
      </x:c>
      <x:c r="P892" s="40" t="n">
        <x:v>46316</x:v>
      </x:c>
      <x:c r="Q892" s="59" t="str">
        <x:v>ยังไม่ตรวจ</x:v>
      </x:c>
      <x:c r="R892" s="59" t="str">
        <x:v>รอติดต่อ</x:v>
      </x:c>
    </x:row>
    <x:row r="893" ht="84" customHeight="1">
      <x:c r="A893" s="2" t="str">
        <x:v>R26-331</x:v>
      </x:c>
      <x:c r="B893" s="8" t="str">
        <x:v>ชุมชนบ้านหัวป่าเขียว</x:v>
      </x:c>
      <x:c r="C893" s="8" t="str">
        <x:v>พัทลุง</x:v>
      </x:c>
      <x:c r="D893" s="8" t="str">
        <x:v>อยู่ในชุด 600 ตามเส้นทาง</x:v>
      </x:c>
      <x:c r="E893" s="8" t="str">
        <x:v>พบชื่อสัมพันธ์หลายเว็บไซต์ รอยืนยันสาขา</x:v>
      </x:c>
      <x:c r="F893" s="8" t="str">
        <x:v>ยังไม่ยืนยันการเปิดให้บริการปัจจุบัน</x:v>
      </x:c>
      <x:c r="G893" s="8" t="n">
        <x:v>4</x:v>
      </x:c>
      <x:c r="H893" s="8" t="str"/>
      <x:c r="I893" s="8" t="str"/>
      <x:c r="J893" s="8" t="str"/>
      <x:c r="K893" s="8" t="str"/>
      <x:c r="L893" s="8" t="str">
        <x:v>https://km.rdpb.go.th/Project/View/8575</x:v>
      </x:c>
      <x:c r="M893" s="8" t="str">
        <x:v>https://mgronline.com/south/detail/9600000010417</x:v>
      </x:c>
      <x:c r="N893" s="8" t="str">
        <x:v>ยังไม่ยืนยัน</x:v>
      </x:c>
      <x:c r="O893" s="8" t="str">
        <x:v>ตรวจการเปิด ตัวตนสาขา ช่องทางติดต่อ และเงื่อนไขบังคับตามประเภท</x:v>
      </x:c>
      <x:c r="P893" s="40" t="n">
        <x:v>46316</x:v>
      </x:c>
      <x:c r="Q893" s="59" t="str">
        <x:v>ยังไม่ตรวจ</x:v>
      </x:c>
      <x:c r="R893" s="59" t="str">
        <x:v>รอติดต่อ</x:v>
      </x:c>
    </x:row>
    <x:row r="894" ht="84" customHeight="1">
      <x:c r="A894" s="2" t="str">
        <x:v>R26-216</x:v>
      </x:c>
      <x:c r="B894" s="8" t="str">
        <x:v>นาโปแก</x:v>
      </x:c>
      <x:c r="C894" s="8" t="str">
        <x:v>พัทลุง</x:v>
      </x:c>
      <x:c r="D894" s="8" t="str">
        <x:v>อยู่ในชุด 600 ตามเส้นทาง</x:v>
      </x:c>
      <x:c r="E894" s="8" t="str">
        <x:v>พบชื่อสัมพันธ์หลายเว็บไซต์ รอยืนยันสาขา</x:v>
      </x:c>
      <x:c r="F894" s="8" t="str">
        <x:v>ยังไม่ยืนยันการเปิดให้บริการปัจจุบัน</x:v>
      </x:c>
      <x:c r="G894" s="8" t="n">
        <x:v>14</x:v>
      </x:c>
      <x:c r="H894" s="8" t="str"/>
      <x:c r="I894" s="8" t="str"/>
      <x:c r="J894" s="8" t="str">
        <x:v>https://www.wongnai.com/attractions/338880eZ</x:v>
      </x:c>
      <x:c r="K894" s="8" t="str"/>
      <x:c r="L894" s="8" t="str">
        <x:v>https://www.thai-tour.com/place/4299</x:v>
      </x:c>
      <x:c r="M894" s="8" t="str">
        <x:v>https://gothaitrip.com/th/attractions/suunyeriiynruunaaopaek-plc16986</x:v>
      </x:c>
      <x:c r="N894" s="8" t="str">
        <x:v>ยังไม่ยืนยัน</x:v>
      </x:c>
      <x:c r="O894" s="8" t="str">
        <x:v>ตรวจการเปิด ตัวตนสาขา ช่องทางติดต่อ และเงื่อนไขบังคับตามประเภท</x:v>
      </x:c>
      <x:c r="P894" s="40" t="n">
        <x:v>46316</x:v>
      </x:c>
      <x:c r="Q894" s="59" t="str">
        <x:v>ยังไม่ตรวจ</x:v>
      </x:c>
      <x:c r="R894" s="59" t="str">
        <x:v>รอติดต่อ</x:v>
      </x:c>
    </x:row>
    <x:row r="895" ht="84" customHeight="1">
      <x:c r="A895" s="2" t="str">
        <x:v>R26-311</x:v>
      </x:c>
      <x:c r="B895" s="8" t="str">
        <x:v>หลาดป่าไผ่สร้างสุข</x:v>
      </x:c>
      <x:c r="C895" s="8" t="str">
        <x:v>พัทลุง</x:v>
      </x:c>
      <x:c r="D895" s="8" t="str">
        <x:v>อยู่ในชุด 600 ตามเส้นทาง</x:v>
      </x:c>
      <x:c r="E895" s="8" t="str">
        <x:v>พบชื่อสัมพันธ์หลายเว็บไซต์ รอยืนยันสาขา</x:v>
      </x:c>
      <x:c r="F895" s="8" t="str">
        <x:v>ยังไม่ยืนยันการเปิดให้บริการปัจจุบัน</x:v>
      </x:c>
      <x:c r="G895" s="8" t="n">
        <x:v>10</x:v>
      </x:c>
      <x:c r="H895" s="8" t="str">
        <x:v>https://www.youtube.com/watch?v=IfDejgl0adE</x:v>
      </x:c>
      <x:c r="I895" s="8" t="str"/>
      <x:c r="J895" s="8" t="str">
        <x:v>https://www.wongnai.com/attractions/338898rW-%E0%B8%9B%E0%B9%88%E0%B8%B2%E0%B9%84%E0%B8%9C%E0%B9%88%E0%B8%AA%E0%B8%A3%E0%B9%89%E0%B8%B2%E0%B8%87%E0%B8%AA%E0%B8%B8%E0%B8%82/photos/1093b15667f94ebc92e8409d914e0b71</x:v>
      </x:c>
      <x:c r="K895" s="8" t="str"/>
      <x:c r="L895" s="8" t="str">
        <x:v>https://www.mocagrimart.com/th/info/attraction/detail/itemid/6782</x:v>
      </x:c>
      <x:c r="M895" s="8" t="str">
        <x:v>https://www.tripniceday.com/place/%E0%B8%95%E0%B8%A5%E0%B8%B2%E0%B8%94%E0%B8%9B%E0%B9%88%E0%B8%B2%E0%B9%84%E0%B8%9C%E0%B9%88%E0%B8%AA%E0%B8%A3%E0%B9%89%E0%B8%B2%E0%B8%87%E0%B8%AA%E0%B8%B8%E0%B8%82</x:v>
      </x:c>
      <x:c r="N895" s="8" t="str">
        <x:v>ยังไม่ยืนยัน</x:v>
      </x:c>
      <x:c r="O895" s="8" t="str">
        <x:v>ตรวจการเปิด ตัวตนสาขา ช่องทางติดต่อ และเงื่อนไขบังคับตามประเภท</x:v>
      </x:c>
      <x:c r="P895" s="40" t="n">
        <x:v>46316</x:v>
      </x:c>
      <x:c r="Q895" s="59" t="str">
        <x:v>ยังไม่ตรวจ</x:v>
      </x:c>
      <x:c r="R895" s="59" t="str">
        <x:v>รอติดต่อ</x:v>
      </x:c>
    </x:row>
    <x:row r="896" ht="84" customHeight="1">
      <x:c r="A896" s="2" t="str">
        <x:v>R26-360</x:v>
      </x:c>
      <x:c r="B896" s="8" t="str">
        <x:v>ครัวนาคนาวา ข้าวหมกไฮโซ เขาใหญ่</x:v>
      </x:c>
      <x:c r="C896" s="8" t="str">
        <x:v>นครราชสีมา</x:v>
      </x:c>
      <x:c r="D896" s="8" t="str">
        <x:v>อยู่ในชุด 600 ตามเส้นทาง</x:v>
      </x:c>
      <x:c r="E896" s="8" t="str">
        <x:v>พบชื่อสัมพันธ์หลายเว็บไซต์ รอยืนยันสาขา</x:v>
      </x:c>
      <x:c r="F896" s="8" t="str">
        <x:v>ยังไม่ยืนยันการเปิดให้บริการปัจจุบัน</x:v>
      </x:c>
      <x:c r="G896" s="8" t="n">
        <x:v>3</x:v>
      </x:c>
      <x:c r="H896" s="8" t="str"/>
      <x:c r="I896" s="8" t="str"/>
      <x:c r="J896" s="8" t="str">
        <x:v>https://www.wongnai.com/reviews/8584384db379457d97df8753165a278b</x:v>
      </x:c>
      <x:c r="K896" s="8" t="str"/>
      <x:c r="L896" s="8" t="str">
        <x:v>https://www.gplace.com/177165</x:v>
      </x:c>
      <x:c r="M896" s="8" t="str">
        <x:v>https://www.yellowpages.co.th/profile/%E0%B8%84%E0%B8%A3%E0%B8%B1%E0%B8%A7%E0%B8%99%E0%B8%B2%E0%B8%84%E0%B8%99%E0%B8%B2%E0%B8%A7%E0%B8%B2-%E0%B8%82%E0%B9%89%E0%B8%B2%E0%B8%A7%E0%B8%AB%E0%B8%A1%E0%B8%81%E0%B9%84%E0%B8%AE%E0%B9%82%E0%B8%8B-93FK4qBpv</x:v>
      </x:c>
      <x:c r="N896" s="8" t="str">
        <x:v>ยังไม่ยืนยัน</x:v>
      </x:c>
      <x:c r="O896" s="8" t="str">
        <x:v>ตรวจการเปิด ตัวตนสาขา ช่องทางติดต่อ และเงื่อนไขบังคับตามประเภท</x:v>
      </x:c>
      <x:c r="P896" s="40" t="n">
        <x:v>46316</x:v>
      </x:c>
      <x:c r="Q896" s="59" t="str">
        <x:v>ยังไม่ตรวจ</x:v>
      </x:c>
      <x:c r="R896" s="59" t="str">
        <x:v>รอติดต่อ</x:v>
      </x:c>
    </x:row>
    <x:row r="897" ht="84" customHeight="1">
      <x:c r="A897" s="2" t="str">
        <x:v>R26-361</x:v>
      </x:c>
      <x:c r="B897" s="8" t="str">
        <x:v>ร้านอาหารอายะห์ ปากช่อง</x:v>
      </x:c>
      <x:c r="C897" s="8" t="str">
        <x:v>นครราชสีมา</x:v>
      </x:c>
      <x:c r="D897" s="8" t="str">
        <x:v>อยู่ในชุด 600 ตามเส้นทาง</x:v>
      </x:c>
      <x:c r="E897" s="8" t="str">
        <x:v>พบชื่อสัมพันธ์หลายเว็บไซต์ รอยืนยันสาขา</x:v>
      </x:c>
      <x:c r="F897" s="8" t="str">
        <x:v>ยังไม่ยืนยันการเปิดให้บริการปัจจุบัน</x:v>
      </x:c>
      <x:c r="G897" s="8" t="n">
        <x:v>3</x:v>
      </x:c>
      <x:c r="H897" s="8" t="str"/>
      <x:c r="I897" s="8" t="str"/>
      <x:c r="J897" s="8" t="str">
        <x:v>https://th.tripadvisor.com/Restaurant_Review-g641719-d15686247-Reviews-Ayah_Restaurant_Halal-Pak_Chong_Pak_Chong_District_Nakhon_Ratchasima_Province.html</x:v>
      </x:c>
      <x:c r="K897" s="8" t="str">
        <x:v>https://www.wongnai.com/restaurants/119535VL-%E0%B8%AD%E0%B8%B2%E0%B8%A2%E0%B8%B0%E0%B8%AB%E0%B9%8C-%E0%B8%9B%E0%B8%B2%E0%B8%81%E0%B8%8A%E0%B9%88%E0%B8%AD%E0%B8%87</x:v>
      </x:c>
      <x:c r="L897" s="8" t="str">
        <x:v>https://www.thaithurkic.com/%E0%B8%A3%E0%B9%89%E0%B8%B2%E0%B8%99%E0%B8%AD%E0%B8%B2%E0%B8%AB%E0%B8%B2%E0%B8%A3%E0%B8%AD%E0%B8%B1%E0%B8%8D%E0%B8%8A%E0%B8%B1%E0%B8%99-%E0%B8%9B%E0%B8%B2%E0%B8%81%E0%B8%8A%E0%B9%88%E0%B8%AD%E0%B8%87-unchan-cuisine_1C-044-079-815</x:v>
      </x:c>
      <x:c r="M897" s="8" t="str">
        <x:v>https://www.wongnai.com/restaurants/119535VL-%E0%B8%AD%E0%B8%B2%E0%B8%A2%E0%B8%B0%E0%B8%AB%E0%B9%8C-%E0%B8%9B%E0%B8%B2%E0%B8%81%E0%B8%8A%E0%B9%88%E0%B8%AD%E0%B8%87</x:v>
      </x:c>
      <x:c r="N897" s="8" t="str">
        <x:v>ยังไม่ยืนยัน</x:v>
      </x:c>
      <x:c r="O897" s="8" t="str">
        <x:v>ตรวจการเปิด ตัวตนสาขา ช่องทางติดต่อ และเงื่อนไขบังคับตามประเภท</x:v>
      </x:c>
      <x:c r="P897" s="40" t="n">
        <x:v>46316</x:v>
      </x:c>
      <x:c r="Q897" s="59" t="str">
        <x:v>ยังไม่ตรวจ</x:v>
      </x:c>
      <x:c r="R897" s="59" t="str">
        <x:v>รอติดต่อ</x:v>
      </x:c>
    </x:row>
    <x:row r="898" ht="84" customHeight="1">
      <x:c r="A898" s="2" t="str">
        <x:v>R26-243</x:v>
      </x:c>
      <x:c r="B898" s="8" t="str">
        <x:v>น้ำผุดธรรมชาติบ้านท่าช้าง</x:v>
      </x:c>
      <x:c r="C898" s="8" t="str">
        <x:v>นครราชสีมา</x:v>
      </x:c>
      <x:c r="D898" s="8" t="str">
        <x:v>อยู่ในชุด 600 ตามเส้นทาง</x:v>
      </x:c>
      <x:c r="E898" s="8" t="str">
        <x:v>พบชื่อสัมพันธ์หลายเว็บไซต์ รอยืนยันสาขา</x:v>
      </x:c>
      <x:c r="F898" s="8" t="str">
        <x:v>ยังไม่ยืนยันการเปิดให้บริการปัจจุบัน</x:v>
      </x:c>
      <x:c r="G898" s="8" t="n">
        <x:v>7</x:v>
      </x:c>
      <x:c r="H898" s="8" t="str">
        <x:v>https://www.youtube.com/watch?v=45DhS5PFyWw</x:v>
      </x:c>
      <x:c r="I898" s="8" t="str"/>
      <x:c r="J898" s="8" t="str">
        <x:v>https://www.wongnai.com/attractions/432193XK-%E0%B8%99%E0%B9%89%E0%B8%B3%E0%B8%9E%E0%B8%B8%E0%B8%98%E0%B8%A3%E0%B8%A3%E0%B8%A1%E0%B8%8A%E0%B8%B2%E0%B8%95%E0%B8%B4%E0%B8%9A%E0%B9%89%E0%B8%B2%E0%B8%99%E0%B8%97%E0%B9%88%E0%B8%B2%E0%B8%8A%E0%B9%89%E0%B8%B2%E0%B8%87-%E0%B8%99%E0%B9%89%E0%B8%B3%E0%B8%9C%E0%B8%B8%E0%B8%94%E0%B8%9B%E0%B8%B2%E0%B8%81%E0%B8%8A%E0%B9%88%E0%B8%AD%E0%B8%87/photos</x:v>
      </x:c>
      <x:c r="K898" s="8" t="str"/>
      <x:c r="L898" s="8" t="str">
        <x:v>https://www.imaokimjaifoundation.or.th/public/our-project/nam-pood</x:v>
      </x:c>
      <x:c r="M898" s="8" t="str">
        <x:v>https://www.sayhithailand.com/th/view/?pro_id=972</x:v>
      </x:c>
      <x:c r="N898" s="8" t="str">
        <x:v>ยังไม่ยืนยัน</x:v>
      </x:c>
      <x:c r="O898" s="8" t="str">
        <x:v>ตรวจการเปิด ตัวตนสาขา ช่องทางติดต่อ และเงื่อนไขบังคับตามประเภท</x:v>
      </x:c>
      <x:c r="P898" s="40" t="n">
        <x:v>46316</x:v>
      </x:c>
      <x:c r="Q898" s="59" t="str">
        <x:v>ยังไม่ตรวจ</x:v>
      </x:c>
      <x:c r="R898" s="59" t="str">
        <x:v>รอติดต่อ</x:v>
      </x:c>
    </x:row>
    <x:row r="899" ht="84" customHeight="1">
      <x:c r="A899" s="2" t="str">
        <x:v>R26-242</x:v>
      </x:c>
      <x:c r="B899" s="8" t="str">
        <x:v>อุทยานแห่งชาติเขาใหญ่</x:v>
      </x:c>
      <x:c r="C899" s="8" t="str">
        <x:v>นครราชสีมา</x:v>
      </x:c>
      <x:c r="D899" s="8" t="str">
        <x:v>อยู่ในชุด 600 ตามเส้นทาง</x:v>
      </x:c>
      <x:c r="E899" s="8" t="str">
        <x:v>พบชื่อสัมพันธ์หลายเว็บไซต์ รอยืนยันสาขา</x:v>
      </x:c>
      <x:c r="F899" s="8" t="str">
        <x:v>ยังไม่ยืนยันการเปิดให้บริการปัจจุบัน</x:v>
      </x:c>
      <x:c r="G899" s="8" t="n">
        <x:v>12</x:v>
      </x:c>
      <x:c r="H899" s="8" t="str">
        <x:v>https://www.youtube.com/watch?v=uA6S_gLh7kc</x:v>
      </x:c>
      <x:c r="I899" s="8" t="str"/>
      <x:c r="J899" s="8" t="str"/>
      <x:c r="K899" s="8" t="str"/>
      <x:c r="L899" s="8" t="str">
        <x:v>https://q.saraburipao.go.th/tt168.pdf</x:v>
      </x:c>
      <x:c r="M899" s="8" t="str">
        <x:v>https://www2.nakhonratchasima.go.th/travel/detail/3</x:v>
      </x:c>
      <x:c r="N899" s="8" t="str">
        <x:v>ยังไม่ยืนยัน</x:v>
      </x:c>
      <x:c r="O899" s="8" t="str">
        <x:v>ตรวจการเปิด ตัวตนสาขา ช่องทางติดต่อ และเงื่อนไขบังคับตามประเภท</x:v>
      </x:c>
      <x:c r="P899" s="40" t="n">
        <x:v>46316</x:v>
      </x:c>
      <x:c r="Q899" s="59" t="str">
        <x:v>ยังไม่ตรวจ</x:v>
      </x:c>
      <x:c r="R899" s="59" t="str">
        <x:v>รอติดต่อ</x:v>
      </x:c>
    </x:row>
    <x:row r="900" ht="84" customHeight="1">
      <x:c r="A900" s="2" t="str">
        <x:v>R26-326</x:v>
      </x:c>
      <x:c r="B900" s="8" t="str">
        <x:v>Khao Yai Speedkart</x:v>
      </x:c>
      <x:c r="C900" s="8" t="str">
        <x:v>นครราชสีมา</x:v>
      </x:c>
      <x:c r="D900" s="8" t="str">
        <x:v>อยู่ในชุด 600 ตามเส้นทาง</x:v>
      </x:c>
      <x:c r="E900" s="8" t="str">
        <x:v>พบชื่อสัมพันธ์หลายเว็บไซต์ รอยืนยันสาขา</x:v>
      </x:c>
      <x:c r="F900" s="8" t="str">
        <x:v>ยังไม่ยืนยันการเปิดให้บริการปัจจุบัน</x:v>
      </x:c>
      <x:c r="G900" s="8" t="n">
        <x:v>10</x:v>
      </x:c>
      <x:c r="H900" s="8" t="str">
        <x:v>https://www.youtube.com/watch?v=7LFXi1LUSVA</x:v>
      </x:c>
      <x:c r="I900" s="8" t="str"/>
      <x:c r="J900" s="8" t="str"/>
      <x:c r="K900" s="8" t="str"/>
      <x:c r="L900" s="8" t="str">
        <x:v>https://khaoyaispeedkart.com/en/</x:v>
      </x:c>
      <x:c r="M900" s="8" t="str">
        <x:v>https://jertam.com/en/places/14124</x:v>
      </x:c>
      <x:c r="N900" s="8" t="str">
        <x:v>ยังไม่ยืนยัน</x:v>
      </x:c>
      <x:c r="O900" s="8" t="str">
        <x:v>ตรวจการเปิด ตัวตนสาขา ช่องทางติดต่อ และเงื่อนไขบังคับตามประเภท</x:v>
      </x:c>
      <x:c r="P900" s="40" t="n">
        <x:v>46316</x:v>
      </x:c>
      <x:c r="Q900" s="59" t="str">
        <x:v>ยังไม่ตรวจ</x:v>
      </x:c>
      <x:c r="R900" s="59" t="str">
        <x:v>รอติดต่อ</x:v>
      </x:c>
    </x:row>
    <x:row r="901" ht="84" customHeight="1">
      <x:c r="A901" s="2" t="str">
        <x:v>R26-244</x:v>
      </x:c>
      <x:c r="B901" s="8" t="str">
        <x:v>ฟาร์มโชคชัย</x:v>
      </x:c>
      <x:c r="C901" s="8" t="str">
        <x:v>นครราชสีมา</x:v>
      </x:c>
      <x:c r="D901" s="8" t="str">
        <x:v>อยู่ในชุด 600 ตามเส้นทาง</x:v>
      </x:c>
      <x:c r="E901" s="8" t="str">
        <x:v>พบชื่อสัมพันธ์หลายเว็บไซต์ รอยืนยันสาขา</x:v>
      </x:c>
      <x:c r="F901" s="8" t="str">
        <x:v>ยังไม่ยืนยันการเปิดให้บริการปัจจุบัน</x:v>
      </x:c>
      <x:c r="G901" s="8" t="n">
        <x:v>15</x:v>
      </x:c>
      <x:c r="H901" s="8" t="str">
        <x:v>https://www.youtube.com/watch?v=sbTVHxrL__k</x:v>
      </x:c>
      <x:c r="I901" s="8" t="str"/>
      <x:c r="J901" s="8" t="str">
        <x:v>https://sites.google.com/htp.ac.th/kritasart-it/%E0%B8%AB%E0%B8%99%E0%B8%B2%E0%B9%81%E0%B8%A3%E0%B8%81/%E0%B8%AA%E0%B8%96%E0%B8%B2%E0%B8%99%E0%B8%97%E0%B8%97%E0%B8%AD%E0%B8%87%E0%B9%80%E0%B8%97%E0%B8%A2%E0%B8%A7/farm-chokchai-%E0%B8%9F%E0%B8%B2%E0%B8%A3%E0%B8%A1%E0%B9%82%E0%B8%8A%E0%B8%84%E0%B8%8A%E0%B8%A2</x:v>
      </x:c>
      <x:c r="K901" s="8" t="str"/>
      <x:c r="L901" s="8" t="str">
        <x:v>https://www2.nakhonratchasima.go.th/travel/detail/1/data.html</x:v>
      </x:c>
      <x:c r="M901" s="8" t="str">
        <x:v>https://cbtthailand.dasta.or.th/webapp/relattraction/content/2724/</x:v>
      </x:c>
      <x:c r="N901" s="8" t="str">
        <x:v>ยังไม่ยืนยัน</x:v>
      </x:c>
      <x:c r="O901" s="8" t="str">
        <x:v>ตรวจการเปิด ตัวตนสาขา ช่องทางติดต่อ และเงื่อนไขบังคับตามประเภท</x:v>
      </x:c>
      <x:c r="P901" s="40" t="n">
        <x:v>46316</x:v>
      </x:c>
      <x:c r="Q901" s="59" t="str">
        <x:v>ยังไม่ตรวจ</x:v>
      </x:c>
      <x:c r="R901" s="59" t="str">
        <x:v>รอติดต่อ</x:v>
      </x:c>
    </x:row>
    <x:row r="902" ht="84" customHeight="1">
      <x:c r="A902" s="2" t="str">
        <x:v>R26-383</x:v>
      </x:c>
      <x:c r="B902" s="8" t="str">
        <x:v>Tanyong Hotel Narathiwat</x:v>
      </x:c>
      <x:c r="C902" s="8" t="str">
        <x:v>นราธิวาส</x:v>
      </x:c>
      <x:c r="D902" s="8" t="str">
        <x:v>อยู่ในชุด 600 ตามเส้นทาง</x:v>
      </x:c>
      <x:c r="E902" s="8" t="str">
        <x:v>พบชื่อสัมพันธ์หลายเว็บไซต์ รอยืนยันสาขา</x:v>
      </x:c>
      <x:c r="F902" s="8" t="str">
        <x:v>ยังไม่ยืนยันการเปิดให้บริการปัจจุบัน</x:v>
      </x:c>
      <x:c r="G902" s="8" t="n">
        <x:v>7</x:v>
      </x:c>
      <x:c r="H902" s="8" t="str">
        <x:v>https://www.youtube.com/watch?v=R-A_8nlZcaA</x:v>
      </x:c>
      <x:c r="I902" s="8" t="str"/>
      <x:c r="J902" s="8" t="str">
        <x:v>https://www.booking.com/hotel/th/tan-yong.html</x:v>
      </x:c>
      <x:c r="K902" s="8" t="str">
        <x:v>https://www.agoda.com/tanyong-hotel/hotel/narathiwat-th.html</x:v>
      </x:c>
      <x:c r="L902" s="8" t="str">
        <x:v>https://www.traveloka.com/th-th/hotel/thailand/tanyong-hotel-narathiwat-3000020011631</x:v>
      </x:c>
      <x:c r="M902" s="8" t="str">
        <x:v>https://www.google.com.my/travel/hotels/entity/CgoIst2et66TkO9FEAE?rp=OAHCAhciFRITCPOQzZqc1ogDFUWBLQkdmHE5tg&amp;ts=CAESCgoCCAMKAggDEAAaIAoCGgASGhIUCgcI6Q8QCxgeEgcI6Q8QDBgBGAEyAhAAKgkKBToDVVNEGgA</x:v>
      </x:c>
      <x:c r="N902" s="8" t="str">
        <x:v>ยังไม่ยืนยัน</x:v>
      </x:c>
      <x:c r="O902" s="8" t="str">
        <x:v>ตรวจการเปิด ตัวตนสาขา ช่องทางติดต่อ และเงื่อนไขบังคับตามประเภท</x:v>
      </x:c>
      <x:c r="P902" s="40" t="n">
        <x:v>46316</x:v>
      </x:c>
      <x:c r="Q902" s="59" t="str">
        <x:v>ยังไม่ตรวจ</x:v>
      </x:c>
      <x:c r="R902" s="59" t="str">
        <x:v>รอติดต่อ</x:v>
      </x:c>
    </x:row>
    <x:row r="903" ht="84" customHeight="1">
      <x:c r="A903" s="2" t="str">
        <x:v>R26-350</x:v>
      </x:c>
      <x:c r="B903" s="8" t="str">
        <x:v>กะละห์ชวนชิม</x:v>
      </x:c>
      <x:c r="C903" s="8" t="str">
        <x:v>นราธิวาส</x:v>
      </x:c>
      <x:c r="D903" s="8" t="str">
        <x:v>อยู่ในชุด 600 ตามเส้นทาง</x:v>
      </x:c>
      <x:c r="E903" s="8" t="str">
        <x:v>พบชื่อสัมพันธ์หลายเว็บไซต์ รอยืนยันสาขา</x:v>
      </x:c>
      <x:c r="F903" s="8" t="str">
        <x:v>ยังไม่ยืนยันการเปิดให้บริการปัจจุบัน</x:v>
      </x:c>
      <x:c r="G903" s="8" t="n">
        <x:v>4</x:v>
      </x:c>
      <x:c r="H903" s="8" t="str"/>
      <x:c r="I903" s="8" t="str"/>
      <x:c r="J903" s="8" t="str"/>
      <x:c r="K903" s="8" t="str"/>
      <x:c r="L903" s="8" t="str">
        <x:v>https://www.thaithurkic.com/%E0%B8%A3%E0%B9%89%E0%B8%B2%E0%B8%99%E0%B8%81%E0%B8%B0%E0%B8%A5%E0%B8%B0%E0%B8%AB%E0%B9%8C%E0%B8%8A%E0%B8%A7%E0%B8%99%E0%B8%8A%E0%B8%B4%E0%B8%A1-084-067-4915</x:v>
      </x:c>
      <x:c r="M903" s="8" t="str">
        <x:v>https://www.komchadluek.net/kom-lifestyle/283484</x:v>
      </x:c>
      <x:c r="N903" s="8" t="str">
        <x:v>ยังไม่ยืนยัน</x:v>
      </x:c>
      <x:c r="O903" s="8" t="str">
        <x:v>ตรวจการเปิด ตัวตนสาขา ช่องทางติดต่อ และเงื่อนไขบังคับตามประเภท</x:v>
      </x:c>
      <x:c r="P903" s="40" t="n">
        <x:v>46316</x:v>
      </x:c>
      <x:c r="Q903" s="59" t="str">
        <x:v>ยังไม่ตรวจ</x:v>
      </x:c>
      <x:c r="R903" s="59" t="str">
        <x:v>รอติดต่อ</x:v>
      </x:c>
    </x:row>
    <x:row r="904" ht="84" customHeight="1">
      <x:c r="A904" s="2" t="str">
        <x:v>R26-236</x:v>
      </x:c>
      <x:c r="B904" s="8" t="str">
        <x:v>ป่าพรุโต๊ะแดง</x:v>
      </x:c>
      <x:c r="C904" s="8" t="str">
        <x:v>นราธิวาส</x:v>
      </x:c>
      <x:c r="D904" s="8" t="str">
        <x:v>อยู่ในชุด 600 ตามเส้นทาง</x:v>
      </x:c>
      <x:c r="E904" s="8" t="str">
        <x:v>พบชื่อสัมพันธ์หลายเว็บไซต์ รอยืนยันสาขา</x:v>
      </x:c>
      <x:c r="F904" s="8" t="str">
        <x:v>ยังไม่ยืนยันการเปิดให้บริการปัจจุบัน</x:v>
      </x:c>
      <x:c r="G904" s="8" t="n">
        <x:v>14</x:v>
      </x:c>
      <x:c r="H904" s="8" t="str">
        <x:v>https://www.youtube.com/watch?v=zBspop5G7u8</x:v>
      </x:c>
      <x:c r="I904" s="8" t="str"/>
      <x:c r="J904" s="8" t="str">
        <x:v>https://www.wongnai.com/attractions/363813vk-%E0%B8%9B%E0%B9%88%E0%B8%B2%E0%B8%9E%E0%B8%A3%E0%B8%B8%E0%B9%82%E0%B8%95%E0%B9%8A%E0%B8%B0%E0%B9%81%E0%B8%94%E0%B8%87</x:v>
      </x:c>
      <x:c r="K904" s="8" t="str"/>
      <x:c r="L904" s="8" t="str">
        <x:v>https://news.dnp.go.th/news/44162</x:v>
      </x:c>
      <x:c r="M904" s="8" t="str">
        <x:v>https://elibrary.tsri.or.th/fullP/RDG55S0001/RDG55S0001_full.pdf</x:v>
      </x:c>
      <x:c r="N904" s="8" t="str">
        <x:v>ยังไม่ยืนยัน</x:v>
      </x:c>
      <x:c r="O904" s="8" t="str">
        <x:v>ตรวจการเปิด ตัวตนสาขา ช่องทางติดต่อ และเงื่อนไขบังคับตามประเภท</x:v>
      </x:c>
      <x:c r="P904" s="40" t="n">
        <x:v>46316</x:v>
      </x:c>
      <x:c r="Q904" s="59" t="str">
        <x:v>ยังไม่ตรวจ</x:v>
      </x:c>
      <x:c r="R904" s="59" t="str">
        <x:v>รอติดต่อ</x:v>
      </x:c>
    </x:row>
    <x:row r="905" ht="84" customHeight="1">
      <x:c r="A905" s="2" t="str">
        <x:v>R26-235</x:v>
      </x:c>
      <x:c r="B905" s="8" t="str">
        <x:v>อุทยานแห่งชาติอ่าวมะนาว-เขาตันหยง</x:v>
      </x:c>
      <x:c r="C905" s="8" t="str">
        <x:v>นราธิวาส</x:v>
      </x:c>
      <x:c r="D905" s="8" t="str">
        <x:v>อยู่ในชุด 600 ตามเส้นทาง</x:v>
      </x:c>
      <x:c r="E905" s="8" t="str">
        <x:v>พบชื่อสัมพันธ์หลายเว็บไซต์ รอยืนยันสาขา</x:v>
      </x:c>
      <x:c r="F905" s="8" t="str">
        <x:v>ยังไม่ยืนยันการเปิดให้บริการปัจจุบัน</x:v>
      </x:c>
      <x:c r="G905" s="8" t="n">
        <x:v>12</x:v>
      </x:c>
      <x:c r="H905" s="8" t="str">
        <x:v>https://www.youtube.com/watch?v=EgAYhGlyYNM</x:v>
      </x:c>
      <x:c r="I905" s="8" t="str"/>
      <x:c r="J905" s="8" t="str"/>
      <x:c r="K905" s="8" t="str"/>
      <x:c r="L905" s="8" t="str">
        <x:v>https://news.dnp.go.th/news/19898</x:v>
      </x:c>
      <x:c r="M905" s="8" t="str">
        <x:v>https://www.thailandtourismdirectory.go.th/attraction/1901</x:v>
      </x:c>
      <x:c r="N905" s="8" t="str">
        <x:v>ยังไม่ยืนยัน</x:v>
      </x:c>
      <x:c r="O905" s="8" t="str">
        <x:v>ตรวจการเปิด ตัวตนสาขา ช่องทางติดต่อ และเงื่อนไขบังคับตามประเภท</x:v>
      </x:c>
      <x:c r="P905" s="40" t="n">
        <x:v>46316</x:v>
      </x:c>
      <x:c r="Q905" s="59" t="str">
        <x:v>ยังไม่ตรวจ</x:v>
      </x:c>
      <x:c r="R905" s="59" t="str">
        <x:v>รอติดต่อ</x:v>
      </x:c>
    </x:row>
    <x:row r="906" ht="84" customHeight="1">
      <x:c r="A906" s="2" t="str">
        <x:v>R26-237</x:v>
      </x:c>
      <x:c r="B906" s="8" t="str">
        <x:v>มัสยิดกลางจังหวัดนราธิวาส</x:v>
      </x:c>
      <x:c r="C906" s="8" t="str">
        <x:v>นราธิวาส</x:v>
      </x:c>
      <x:c r="D906" s="8" t="str">
        <x:v>อยู่ในชุด 600 ตามเส้นทาง</x:v>
      </x:c>
      <x:c r="E906" s="8" t="str">
        <x:v>พบชื่อสัมพันธ์หลายเว็บไซต์ รอยืนยันสาขา</x:v>
      </x:c>
      <x:c r="F906" s="8" t="str">
        <x:v>ยังไม่ยืนยันการเปิดให้บริการปัจจุบัน</x:v>
      </x:c>
      <x:c r="G906" s="8" t="n">
        <x:v>3</x:v>
      </x:c>
      <x:c r="H906" s="8" t="str">
        <x:v>https://www.youtube.com/watch?v=lPApgIWEHHU</x:v>
      </x:c>
      <x:c r="I906" s="8" t="str"/>
      <x:c r="J906" s="8" t="str"/>
      <x:c r="K906" s="8" t="str"/>
      <x:c r="L906" s="8" t="str">
        <x:v>https://naracity.go.th/travel/detail/47/data.html</x:v>
      </x:c>
      <x:c r="M906" s="8" t="str">
        <x:v>https://www.narathiwat.go.th/narathiwat/documents/information56.pdf</x:v>
      </x:c>
      <x:c r="N906" s="8" t="str">
        <x:v>ยังไม่ยืนยัน</x:v>
      </x:c>
      <x:c r="O906" s="8" t="str">
        <x:v>อาหารและแอลกอฮอล์ไม่ประเมินตาม v7; ตรวจการเปิดรับผู้เยี่ยมชม เวลาละหมาด พื้นที่สตรี ที่อาบน้ำละหมาด ห้องน้ำ มารยาท หลายภาษา และข้อมูลร้านฮาลาลใกล้เคียง</x:v>
      </x:c>
      <x:c r="P906" s="40" t="n">
        <x:v>46316</x:v>
      </x:c>
      <x:c r="Q906" s="59" t="str">
        <x:v>ยังไม่ตรวจ</x:v>
      </x:c>
      <x:c r="R906" s="59" t="str">
        <x:v>รอติดต่อ</x:v>
      </x:c>
    </x:row>
    <x:row r="907" ht="84" customHeight="1">
      <x:c r="A907" s="2" t="str">
        <x:v>R26-233</x:v>
      </x:c>
      <x:c r="B907" s="8" t="str">
        <x:v>ชุมชนบ้านทอน</x:v>
      </x:c>
      <x:c r="C907" s="8" t="str">
        <x:v>นราธิวาส</x:v>
      </x:c>
      <x:c r="D907" s="8" t="str">
        <x:v>อยู่ในชุด 600 ตามเส้นทาง</x:v>
      </x:c>
      <x:c r="E907" s="8" t="str">
        <x:v>พบชื่อสัมพันธ์หลายเว็บไซต์ รอยืนยันสาขา</x:v>
      </x:c>
      <x:c r="F907" s="8" t="str">
        <x:v>ยังไม่ยืนยันการเปิดให้บริการปัจจุบัน</x:v>
      </x:c>
      <x:c r="G907" s="8" t="n">
        <x:v>10</x:v>
      </x:c>
      <x:c r="H907" s="8" t="str">
        <x:v>https://www.youtube.com/watch?v=Ti03oUoE5cI</x:v>
      </x:c>
      <x:c r="I907" s="8" t="str"/>
      <x:c r="J907" s="8" t="str"/>
      <x:c r="K907" s="8" t="str"/>
      <x:c r="L907" s="8" t="str">
        <x:v>https://wikicommunity.sac.or.th/community/1769</x:v>
      </x:c>
      <x:c r="M907" s="8" t="str">
        <x:v>https://www2.narathiwat.go.th/nara2016/news/detail/810</x:v>
      </x:c>
      <x:c r="N907" s="8" t="str">
        <x:v>ยังไม่ยืนยัน</x:v>
      </x:c>
      <x:c r="O907" s="8" t="str">
        <x:v>ตรวจการเปิด ตัวตนสาขา ช่องทางติดต่อ และเงื่อนไขบังคับตามประเภท</x:v>
      </x:c>
      <x:c r="P907" s="40" t="n">
        <x:v>46316</x:v>
      </x:c>
      <x:c r="Q907" s="59" t="str">
        <x:v>ยังไม่ตรวจ</x:v>
      </x:c>
      <x:c r="R907" s="59" t="str">
        <x:v>รอติดต่อ</x:v>
      </x:c>
    </x:row>
    <x:row r="908" ht="84" customHeight="1">
      <x:c r="A908" s="2" t="str">
        <x:v>R26-234</x:v>
      </x:c>
      <x:c r="B908" s="8" t="str">
        <x:v>ชุมชนบ้านภูเขาทอง</x:v>
      </x:c>
      <x:c r="C908" s="8" t="str">
        <x:v>นราธิวาส</x:v>
      </x:c>
      <x:c r="D908" s="8" t="str">
        <x:v>อยู่ในชุด 600 ตามเส้นทาง</x:v>
      </x:c>
      <x:c r="E908" s="8" t="str">
        <x:v>พบชื่อสัมพันธ์หลายเว็บไซต์ รอยืนยันสาขา</x:v>
      </x:c>
      <x:c r="F908" s="8" t="str">
        <x:v>ยังไม่ยืนยันการเปิดให้บริการปัจจุบัน</x:v>
      </x:c>
      <x:c r="G908" s="8" t="n">
        <x:v>4</x:v>
      </x:c>
      <x:c r="H908" s="8" t="str"/>
      <x:c r="I908" s="8" t="str"/>
      <x:c r="J908" s="8" t="str"/>
      <x:c r="K908" s="8" t="str"/>
      <x:c r="L908" s="8" t="str">
        <x:v>https://wikicommunity.sac.or.th/community/923</x:v>
      </x:c>
      <x:c r="M908" s="8" t="str">
        <x:v>https://www.nara2.go.th/storage/document/1146-8a3363abe792db2d8761d6403605aeb7/attach/%E0%B9%81%E0%B8%9C%E0%B8%99%E0%B8%9B%E0%B8%8F%E0%B8%B4%E0%B8%9A%E0%B8%B1%E0%B8%95%E0%B8%B4%E0%B8%81%E0%B8%B2%E0%B8%A3%E0%B9%82%E0%B8%A3%E0%B8%87%E0%B9%80%E0%B8%A3%E0%B8%B5%E0%B8%A2%E0%B8%99%E0%B8%9A%E0%B9%89%E0%B8%B2%E0%B8%99%E0%B8%A0%E0%B8%B9%E0%B9%80%E0%B8%82%E0%B8%B2%E0%B8%97%E0%B8%AD%E0%B8%87-%E0%B8%9B%E0%B8%B5%E0%B8%81%E0%B8%B2%E0%B8%A3%E0%B8%A8_6875d083939b9.pdf</x:v>
      </x:c>
      <x:c r="N908" s="8" t="str">
        <x:v>ยังไม่ยืนยัน</x:v>
      </x:c>
      <x:c r="O908" s="8" t="str">
        <x:v>ตรวจการเปิด ตัวตนสาขา ช่องทางติดต่อ และเงื่อนไขบังคับตามประเภท</x:v>
      </x:c>
      <x:c r="P908" s="40" t="n">
        <x:v>46316</x:v>
      </x:c>
      <x:c r="Q908" s="59" t="str">
        <x:v>ยังไม่ตรวจ</x:v>
      </x:c>
      <x:c r="R908" s="59" t="str">
        <x:v>รอติดต่อ</x:v>
      </x:c>
    </x:row>
    <x:row r="909" ht="84" customHeight="1">
      <x:c r="A909" s="2" t="str">
        <x:v>R26-297</x:v>
      </x:c>
      <x:c r="B909" s="8" t="str">
        <x:v>Chiva-Som Hua Hin</x:v>
      </x:c>
      <x:c r="C909" s="8" t="str">
        <x:v>ประจวบคีรีขันธ์</x:v>
      </x:c>
      <x:c r="D909" s="8" t="str">
        <x:v>อยู่ในชุด 600 ตามเส้นทาง</x:v>
      </x:c>
      <x:c r="E909" s="8" t="str">
        <x:v>พบชื่อสัมพันธ์หลายเว็บไซต์ รอยืนยันสาขา</x:v>
      </x:c>
      <x:c r="F909" s="8" t="str">
        <x:v>ยังไม่ยืนยันการเปิดให้บริการปัจจุบัน</x:v>
      </x:c>
      <x:c r="G909" s="8" t="n">
        <x:v>7</x:v>
      </x:c>
      <x:c r="H909" s="8" t="str">
        <x:v>https://page.line.me/218ikoko</x:v>
      </x:c>
      <x:c r="I909" s="8" t="str">
        <x:v>https://www.facebook.com/chivasomhuahin</x:v>
      </x:c>
      <x:c r="J909" s="8" t="str"/>
      <x:c r="K909" s="8" t="str"/>
      <x:c r="L909" s="8" t="str">
        <x:v>https://linktr.ee/chivasomhuahin</x:v>
      </x:c>
      <x:c r="M909" s="8" t="str">
        <x:v>https://www.chivasom.com/th/chiva-som-hua-hin/</x:v>
      </x:c>
      <x:c r="N909" s="8" t="str">
        <x:v>ยังไม่ยืนยัน</x:v>
      </x:c>
      <x:c r="O909" s="8" t="str">
        <x:v>ตรวจการเปิด ตัวตนสาขา ช่องทางติดต่อ และเงื่อนไขบังคับตามประเภท</x:v>
      </x:c>
      <x:c r="P909" s="40" t="n">
        <x:v>46316</x:v>
      </x:c>
      <x:c r="Q909" s="59" t="str">
        <x:v>ยังไม่ตรวจ</x:v>
      </x:c>
      <x:c r="R909" s="59" t="str">
        <x:v>รอติดต่อ</x:v>
      </x:c>
    </x:row>
    <x:row r="910" ht="84" customHeight="1">
      <x:c r="A910" s="2" t="str">
        <x:v>R26-296</x:v>
      </x:c>
      <x:c r="B910" s="8" t="str">
        <x:v>Let's Relax Spa Hua Hin Market Village</x:v>
      </x:c>
      <x:c r="C910" s="8" t="str">
        <x:v>ประจวบคีรีขันธ์</x:v>
      </x:c>
      <x:c r="D910" s="8" t="str">
        <x:v>อยู่ในชุด 600 ตามเส้นทาง</x:v>
      </x:c>
      <x:c r="E910" s="8" t="str">
        <x:v>พบชื่อสัมพันธ์หลายเว็บไซต์ รอยืนยันสาขา</x:v>
      </x:c>
      <x:c r="F910" s="8" t="str">
        <x:v>ยังไม่ยืนยันการเปิดให้บริการปัจจุบัน</x:v>
      </x:c>
      <x:c r="G910" s="8" t="n">
        <x:v>3</x:v>
      </x:c>
      <x:c r="H910" s="8" t="str">
        <x:v>https://www.facebook.com/letsrelaxspa.official/</x:v>
      </x:c>
      <x:c r="I910" s="8" t="str">
        <x:v>https://www.instagram.com/letsrelaxspa.official/?hl=en</x:v>
      </x:c>
      <x:c r="J910" s="8" t="str"/>
      <x:c r="K910" s="8" t="str"/>
      <x:c r="L910" s="8" t="str">
        <x:v>https://letsrelaxspa.com/branches/hua-hin-market-village/</x:v>
      </x:c>
      <x:c r="M910" s="8" t="str">
        <x:v>https://en.wikipedia.org/wiki/Hua_Hin_Market_Village</x:v>
      </x:c>
      <x:c r="N910" s="8" t="str">
        <x:v>ยังไม่ยืนยัน</x:v>
      </x:c>
      <x:c r="O910" s="8" t="str">
        <x:v>ตรวจการเปิด ตัวตนสาขา ช่องทางติดต่อ และเงื่อนไขบังคับตามประเภท</x:v>
      </x:c>
      <x:c r="P910" s="40" t="n">
        <x:v>46316</x:v>
      </x:c>
      <x:c r="Q910" s="59" t="str">
        <x:v>ยังไม่ตรวจ</x:v>
      </x:c>
      <x:c r="R910" s="59" t="str">
        <x:v>รอติดต่อ</x:v>
      </x:c>
    </x:row>
    <x:row r="911" ht="84" customHeight="1">
      <x:c r="A911" s="2" t="str">
        <x:v>R26-247</x:v>
      </x:c>
      <x:c r="B911" s="8" t="str">
        <x:v>หาดหัวหิน</x:v>
      </x:c>
      <x:c r="C911" s="8" t="str">
        <x:v>ประจวบคีรีขันธ์</x:v>
      </x:c>
      <x:c r="D911" s="8" t="str">
        <x:v>อยู่ในชุด 600 ตามเส้นทาง</x:v>
      </x:c>
      <x:c r="E911" s="8" t="str">
        <x:v>พบชื่อสัมพันธ์หลายเว็บไซต์ รอยืนยันสาขา</x:v>
      </x:c>
      <x:c r="F911" s="8" t="str">
        <x:v>ยังไม่ยืนยันการเปิดให้บริการปัจจุบัน</x:v>
      </x:c>
      <x:c r="G911" s="8" t="n">
        <x:v>8</x:v>
      </x:c>
      <x:c r="H911" s="8" t="str"/>
      <x:c r="I911" s="8" t="str"/>
      <x:c r="J911" s="8" t="str">
        <x:v>https://www.wongnai.com/restaurants/324361Qx</x:v>
      </x:c>
      <x:c r="K911" s="8" t="str"/>
      <x:c r="L911" s="8" t="str">
        <x:v>https://www.thailandtourismdirectory.go.th/attraction/1439</x:v>
      </x:c>
      <x:c r="M911" s="8" t="str">
        <x:v>https://cbtthailand.dasta.or.th/webapp/relattraction/content/1137/</x:v>
      </x:c>
      <x:c r="N911" s="8" t="str">
        <x:v>ยังไม่ยืนยัน</x:v>
      </x:c>
      <x:c r="O911" s="8" t="str">
        <x:v>ตรวจการเปิด ตัวตนสาขา ช่องทางติดต่อ และเงื่อนไขบังคับตามประเภท</x:v>
      </x:c>
      <x:c r="P911" s="40" t="n">
        <x:v>46316</x:v>
      </x:c>
      <x:c r="Q911" s="59" t="str">
        <x:v>ยังไม่ตรวจ</x:v>
      </x:c>
      <x:c r="R911" s="59" t="str">
        <x:v>รอติดต่อ</x:v>
      </x:c>
    </x:row>
    <x:row r="912" ht="84" customHeight="1">
      <x:c r="A912" s="2" t="str">
        <x:v>R26-246</x:v>
      </x:c>
      <x:c r="B912" s="8" t="str">
        <x:v>อุทยานแห่งชาติสามร้อยยอด</x:v>
      </x:c>
      <x:c r="C912" s="8" t="str">
        <x:v>ประจวบคีรีขันธ์</x:v>
      </x:c>
      <x:c r="D912" s="8" t="str">
        <x:v>อยู่ในชุด 600 ตามเส้นทาง</x:v>
      </x:c>
      <x:c r="E912" s="8" t="str">
        <x:v>พบชื่อสัมพันธ์หลายเว็บไซต์ รอยืนยันสาขา</x:v>
      </x:c>
      <x:c r="F912" s="8" t="str">
        <x:v>ยังไม่ยืนยันการเปิดให้บริการปัจจุบัน</x:v>
      </x:c>
      <x:c r="G912" s="8" t="n">
        <x:v>5</x:v>
      </x:c>
      <x:c r="H912" s="8" t="str">
        <x:v>https://www.youtube.com/watch?v=tSbjqr8JNmI</x:v>
      </x:c>
      <x:c r="I912" s="8" t="str"/>
      <x:c r="J912" s="8" t="str">
        <x:v>https://sites.google.com/pnru.ac.th/thailandta/%E0%B8%AD%E0%B8%97%E0%B8%A2%E0%B8%B2%E0%B8%99%E0%B9%81%E0%B8%AB%E0%B8%87%E0%B8%8A%E0%B8%B2%E0%B8%95%E0%B8%AA%E0%B8%B2%E0%B8%A1%E0%B8%A3%E0%B8%AD%E0%B8%A2%E0%B8%A2%E0%B8%AD%E0%B8%94</x:v>
      </x:c>
      <x:c r="K912" s="8" t="str"/>
      <x:c r="L912" s="8" t="str">
        <x:v>https://epo13.pcd.go.th/th/calendar/detail/572</x:v>
      </x:c>
      <x:c r="M912" s="8" t="str">
        <x:v>https://www.thailandtourismdirectory.go.th/attraction/1427</x:v>
      </x:c>
      <x:c r="N912" s="8" t="str">
        <x:v>ยังไม่ยืนยัน</x:v>
      </x:c>
      <x:c r="O912" s="8" t="str">
        <x:v>ตรวจการเปิด ตัวตนสาขา ช่องทางติดต่อ และเงื่อนไขบังคับตามประเภท</x:v>
      </x:c>
      <x:c r="P912" s="40" t="n">
        <x:v>46316</x:v>
      </x:c>
      <x:c r="Q912" s="59" t="str">
        <x:v>ยังไม่ตรวจ</x:v>
      </x:c>
      <x:c r="R912" s="59" t="str">
        <x:v>รอติดต่อ</x:v>
      </x:c>
    </x:row>
    <x:row r="913" ht="84" customHeight="1">
      <x:c r="A913" s="2" t="str">
        <x:v>R26-248</x:v>
      </x:c>
      <x:c r="B913" s="8" t="str">
        <x:v>ชุมชนบ้านเขาเต่า</x:v>
      </x:c>
      <x:c r="C913" s="8" t="str">
        <x:v>ประจวบคีรีขันธ์</x:v>
      </x:c>
      <x:c r="D913" s="8" t="str">
        <x:v>อยู่ในชุด 600 ตามเส้นทาง</x:v>
      </x:c>
      <x:c r="E913" s="8" t="str">
        <x:v>พบชื่อสัมพันธ์หลายเว็บไซต์ รอยืนยันสาขา</x:v>
      </x:c>
      <x:c r="F913" s="8" t="str">
        <x:v>ยังไม่ยืนยันการเปิดให้บริการปัจจุบัน</x:v>
      </x:c>
      <x:c r="G913" s="8" t="n">
        <x:v>9</x:v>
      </x:c>
      <x:c r="H913" s="8" t="str">
        <x:v>https://www.youtube.com/watch?v=FyJvYWh7t4k</x:v>
      </x:c>
      <x:c r="I913" s="8" t="str"/>
      <x:c r="J913" s="8" t="str">
        <x:v>https://www.wongnai.com/attractions/406467MD-%E0%B8%AD%E0%B9%88%E0%B8%B2%E0%B8%87%E0%B9%80%E0%B8%81%E0%B9%87%E0%B8%9A%E0%B8%99%E0%B9%89%E0%B8%B3%E0%B9%80%E0%B8%82%E0%B8%B2%E0%B9%80%E0%B8%95%E0%B9%88%E0%B8%B2</x:v>
      </x:c>
      <x:c r="K913" s="8" t="str"/>
      <x:c r="L913" s="8" t="str">
        <x:v>https://files.huahin.go.th/com_ebook/2025-04_ab063cf2f4f000e.pdf</x:v>
      </x:c>
      <x:c r="M913" s="8" t="str">
        <x:v>https://www.thaipost.net/main/detail/74843</x:v>
      </x:c>
      <x:c r="N913" s="8" t="str">
        <x:v>ยังไม่ยืนยัน</x:v>
      </x:c>
      <x:c r="O913" s="8" t="str">
        <x:v>ตรวจการเปิด ตัวตนสาขา ช่องทางติดต่อ และเงื่อนไขบังคับตามประเภท</x:v>
      </x:c>
      <x:c r="P913" s="40" t="n">
        <x:v>46316</x:v>
      </x:c>
      <x:c r="Q913" s="59" t="str">
        <x:v>ยังไม่ตรวจ</x:v>
      </x:c>
      <x:c r="R913" s="59" t="str">
        <x:v>รอติดต่อ</x:v>
      </x:c>
    </x:row>
    <x:row r="914" ht="84" customHeight="1">
      <x:c r="A914" s="2" t="str">
        <x:v>R26-294</x:v>
      </x:c>
      <x:c r="B914" s="8" t="str">
        <x:v>Devasom Spa Khao Lak</x:v>
      </x:c>
      <x:c r="C914" s="8" t="str">
        <x:v>พังงา</x:v>
      </x:c>
      <x:c r="D914" s="8" t="str">
        <x:v>อยู่ในชุด 600 ตามเส้นทาง</x:v>
      </x:c>
      <x:c r="E914" s="8" t="str">
        <x:v>พบชื่อสัมพันธ์หลายเว็บไซต์ รอยืนยันสาขา</x:v>
      </x:c>
      <x:c r="F914" s="8" t="str">
        <x:v>ยังไม่ยืนยันการเปิดให้บริการปัจจุบัน</x:v>
      </x:c>
      <x:c r="G914" s="8" t="n">
        <x:v>7</x:v>
      </x:c>
      <x:c r="H914" s="8" t="str">
        <x:v>https://page.line.me/674lugic</x:v>
      </x:c>
      <x:c r="I914" s="8" t="str">
        <x:v>https://www.youtube.com/watch?v=P8ZBR0FFAr8</x:v>
      </x:c>
      <x:c r="J914" s="8" t="str">
        <x:v>https://www.google.com/travel/hotels/entity/CgsInt3uhOrJuJioARAB</x:v>
      </x:c>
      <x:c r="K914" s="8" t="str">
        <x:v>https://www.google.co.th/travel/hotels/entity/ChoInt3uhOrJuJioARoNL2cvMTFmNjU5eDZxMRAB?ap=ugEGcHJpY2Vz&amp;g2lb=4207876%2C4208993%2C4223281%2C4242898%2C4251619%2C4252383%2C4253230%2C4254308%2C4258168%2C4260037%2C4260580%2C4250437%2C4253015%2C4256182&amp;gl=th&amp;hl=en&amp;q=%E0%B8%9A%E0%B8%B9%E0%B8%97%E0%B8%B5%E0%B8%84+%E0%B9%82%E0%B8%AE%E0%B9%80%E0%B8%97%E0%B8%A5&amp;rp=OAE&amp;tcfs=EhoaGAoKMjAxOS0wNS0xOBIKMjAxOS0wNS0xOVIA&amp;ts=CAEaBAoCGgAqBAoAGgA&amp;un=0</x:v>
      </x:c>
      <x:c r="L914" s="8" t="str">
        <x:v>https://www.devasom.com/khaolak/</x:v>
      </x:c>
      <x:c r="M914" s="8" t="str">
        <x:v>https://www.reddit.com/r/u_Automatic-Ice3444/comments/1fz2eaa</x:v>
      </x:c>
      <x:c r="N914" s="8" t="str">
        <x:v>ยังไม่ยืนยัน</x:v>
      </x:c>
      <x:c r="O914" s="8" t="str">
        <x:v>ตรวจการเปิด ตัวตนสาขา ช่องทางติดต่อ และเงื่อนไขบังคับตามประเภท</x:v>
      </x:c>
      <x:c r="P914" s="40" t="n">
        <x:v>46316</x:v>
      </x:c>
      <x:c r="Q914" s="59" t="str">
        <x:v>ยังไม่ตรวจ</x:v>
      </x:c>
      <x:c r="R914" s="59" t="str">
        <x:v>รอติดต่อ</x:v>
      </x:c>
    </x:row>
    <x:row r="915" ht="84" customHeight="1">
      <x:c r="A915" s="2" t="str">
        <x:v>R26-228</x:v>
      </x:c>
      <x:c r="B915" s="8" t="str">
        <x:v>น้ำตกโตนช่องฟ้า</x:v>
      </x:c>
      <x:c r="C915" s="8" t="str">
        <x:v>พังงา</x:v>
      </x:c>
      <x:c r="D915" s="8" t="str">
        <x:v>อยู่ในชุด 600 ตามเส้นทาง</x:v>
      </x:c>
      <x:c r="E915" s="8" t="str">
        <x:v>พบชื่อสัมพันธ์หลายเว็บไซต์ รอยืนยันสาขา</x:v>
      </x:c>
      <x:c r="F915" s="8" t="str">
        <x:v>ยังไม่ยืนยันการเปิดให้บริการปัจจุบัน</x:v>
      </x:c>
      <x:c r="G915" s="8" t="n">
        <x:v>12</x:v>
      </x:c>
      <x:c r="H915" s="8" t="str"/>
      <x:c r="I915" s="8" t="str"/>
      <x:c r="J915" s="8" t="str"/>
      <x:c r="K915" s="8" t="str"/>
      <x:c r="L915" s="8" t="str">
        <x:v>https://www.phangngapao.go.th/travel/detail/96</x:v>
      </x:c>
      <x:c r="M915" s="8" t="str">
        <x:v>https://cbtthailand.dasta.or.th/webapp/relattraction/content/389/</x:v>
      </x:c>
      <x:c r="N915" s="8" t="str">
        <x:v>ยังไม่ยืนยัน</x:v>
      </x:c>
      <x:c r="O915" s="8" t="str">
        <x:v>ตรวจการเปิด ตัวตนสาขา ช่องทางติดต่อ และเงื่อนไขบังคับตามประเภท</x:v>
      </x:c>
      <x:c r="P915" s="40" t="n">
        <x:v>46316</x:v>
      </x:c>
      <x:c r="Q915" s="59" t="str">
        <x:v>ยังไม่ตรวจ</x:v>
      </x:c>
      <x:c r="R915" s="59" t="str">
        <x:v>รอติดต่อ</x:v>
      </x:c>
    </x:row>
    <x:row r="916" ht="84" customHeight="1">
      <x:c r="A916" s="2" t="str">
        <x:v>R26-227</x:v>
      </x:c>
      <x:c r="B916" s="8" t="str">
        <x:v>หาดบางสัก</x:v>
      </x:c>
      <x:c r="C916" s="8" t="str">
        <x:v>พังงา</x:v>
      </x:c>
      <x:c r="D916" s="8" t="str">
        <x:v>อยู่ในชุด 600 ตามเส้นทาง</x:v>
      </x:c>
      <x:c r="E916" s="8" t="str">
        <x:v>พบชื่อสัมพันธ์หลายเว็บไซต์ รอยืนยันสาขา</x:v>
      </x:c>
      <x:c r="F916" s="8" t="str">
        <x:v>ยังไม่ยืนยันการเปิดให้บริการปัจจุบัน</x:v>
      </x:c>
      <x:c r="G916" s="8" t="n">
        <x:v>14</x:v>
      </x:c>
      <x:c r="H916" s="8" t="str">
        <x:v>https://www.youtube.com/watch?v=HWJE1waj5b4</x:v>
      </x:c>
      <x:c r="I916" s="8" t="str"/>
      <x:c r="J916" s="8" t="str">
        <x:v>https://www.wongnai.com/attractions/326609iO-%E0%B8%AB%E0%B8%B2%E0%B8%94%E0%B8%9A%E0%B8%B2%E0%B8%87%E0%B8%AA%E0%B8%B1%E0%B8%81</x:v>
      </x:c>
      <x:c r="K916" s="8" t="str"/>
      <x:c r="L916" s="8" t="str">
        <x:v>https://www.dmcr.go.th/detailAll/57807/nws/</x:v>
      </x:c>
      <x:c r="M916" s="8" t="str">
        <x:v>https://www.phangngapao.go.th/travel/detail/95</x:v>
      </x:c>
      <x:c r="N916" s="8" t="str">
        <x:v>ยังไม่ยืนยัน</x:v>
      </x:c>
      <x:c r="O916" s="8" t="str">
        <x:v>ตรวจการเปิด ตัวตนสาขา ช่องทางติดต่อ และเงื่อนไขบังคับตามประเภท</x:v>
      </x:c>
      <x:c r="P916" s="40" t="n">
        <x:v>46316</x:v>
      </x:c>
      <x:c r="Q916" s="59" t="str">
        <x:v>ยังไม่ตรวจ</x:v>
      </x:c>
      <x:c r="R916" s="59" t="str">
        <x:v>รอติดต่อ</x:v>
      </x:c>
    </x:row>
    <x:row r="917" ht="84" customHeight="1">
      <x:c r="A917" s="2" t="str">
        <x:v>R26-226</x:v>
      </x:c>
      <x:c r="B917" s="8" t="str">
        <x:v>อุทยานแห่งชาติเขาหลัก-ลำรู่</x:v>
      </x:c>
      <x:c r="C917" s="8" t="str">
        <x:v>พังงา</x:v>
      </x:c>
      <x:c r="D917" s="8" t="str">
        <x:v>อยู่ในชุด 600 ตามเส้นทาง</x:v>
      </x:c>
      <x:c r="E917" s="8" t="str">
        <x:v>พบชื่อสัมพันธ์หลายเว็บไซต์ รอยืนยันสาขา</x:v>
      </x:c>
      <x:c r="F917" s="8" t="str">
        <x:v>ยังไม่ยืนยันการเปิดให้บริการปัจจุบัน</x:v>
      </x:c>
      <x:c r="G917" s="8" t="n">
        <x:v>10</x:v>
      </x:c>
      <x:c r="H917" s="8" t="str"/>
      <x:c r="I917" s="8" t="str"/>
      <x:c r="J917" s="8" t="str">
        <x:v>https://www.wongnai.com/attractions/324285AY-%E0%B8%AD%E0%B8%B8%E0%B8%97%E0%B8%A2%E0%B8%B2%E0%B8%99%E0%B9%81%E0%B8%AB%E0%B9%88%E0%B8%87%E0%B8%8A%E0%B8%B2%E0%B8%95%E0%B8%B4%E0%B9%80%E0%B8%82%E0%B8%B2%E0%B8%AB%E0%B8%A5%E0%B8%B1%E0%B8%81-%E0%B8%A5%E0%B8%B3%E0%B8%A3%E0%B8%B9%E0%B9%88</x:v>
      </x:c>
      <x:c r="K917" s="8" t="str"/>
      <x:c r="L917" s="8" t="str">
        <x:v>https://www.phangngapao.go.th/travel/detail/94</x:v>
      </x:c>
      <x:c r="M917" s="8" t="str">
        <x:v>https://www.thailandtourismdirectory.go.th/th/attraction/1949</x:v>
      </x:c>
      <x:c r="N917" s="8" t="str">
        <x:v>ยังไม่ยืนยัน</x:v>
      </x:c>
      <x:c r="O917" s="8" t="str">
        <x:v>ตรวจการเปิด ตัวตนสาขา ช่องทางติดต่อ และเงื่อนไขบังคับตามประเภท</x:v>
      </x:c>
      <x:c r="P917" s="40" t="n">
        <x:v>46316</x:v>
      </x:c>
      <x:c r="Q917" s="59" t="str">
        <x:v>ยังไม่ตรวจ</x:v>
      </x:c>
      <x:c r="R917" s="59" t="str">
        <x:v>รอติดต่อ</x:v>
      </x:c>
    </x:row>
    <x:row r="918" ht="84" customHeight="1">
      <x:c r="A918" s="2" t="str">
        <x:v>R26-225</x:v>
      </x:c>
      <x:c r="B918" s="8" t="str">
        <x:v>ชุมชนบ้านท่าดินแดง</x:v>
      </x:c>
      <x:c r="C918" s="8" t="str">
        <x:v>พังงา</x:v>
      </x:c>
      <x:c r="D918" s="8" t="str">
        <x:v>อยู่ในชุด 600 ตามเส้นทาง</x:v>
      </x:c>
      <x:c r="E918" s="8" t="str">
        <x:v>พบชื่อสัมพันธ์หลายเว็บไซต์ รอยืนยันสาขา</x:v>
      </x:c>
      <x:c r="F918" s="8" t="str">
        <x:v>ยังไม่ยืนยันการเปิดให้บริการปัจจุบัน</x:v>
      </x:c>
      <x:c r="G918" s="8" t="n">
        <x:v>10</x:v>
      </x:c>
      <x:c r="H918" s="8" t="str">
        <x:v>https://www.youtube.com/watch?v=ECsIt3eEUqg</x:v>
      </x:c>
      <x:c r="I918" s="8" t="str"/>
      <x:c r="J918" s="8" t="str"/>
      <x:c r="K918" s="8" t="str"/>
      <x:c r="L918" s="8" t="str">
        <x:v>https://agrotourismapp.doae.go.th/article/127</x:v>
      </x:c>
      <x:c r="M918" s="8" t="str">
        <x:v>https://www.phangngapao.go.th/travel/detail/103</x:v>
      </x:c>
      <x:c r="N918" s="8" t="str">
        <x:v>ยังไม่ยืนยัน</x:v>
      </x:c>
      <x:c r="O918" s="8" t="str">
        <x:v>ตรวจการเปิด ตัวตนสาขา ช่องทางติดต่อ และเงื่อนไขบังคับตามประเภท</x:v>
      </x:c>
      <x:c r="P918" s="40" t="n">
        <x:v>46316</x:v>
      </x:c>
      <x:c r="Q918" s="59" t="str">
        <x:v>ยังไม่ตรวจ</x:v>
      </x:c>
      <x:c r="R918" s="59" t="str">
        <x:v>รอติดต่อ</x:v>
      </x:c>
    </x:row>
    <x:row r="919" ht="84" customHeight="1">
      <x:c r="A919" s="2" t="str">
        <x:v>R26-223</x:v>
      </x:c>
      <x:c r="B919" s="8" t="str">
        <x:v>ชุมชนบ้านสามช่องเหนือ</x:v>
      </x:c>
      <x:c r="C919" s="8" t="str">
        <x:v>พังงา</x:v>
      </x:c>
      <x:c r="D919" s="8" t="str">
        <x:v>อยู่ในชุด 600 ตามเส้นทาง</x:v>
      </x:c>
      <x:c r="E919" s="8" t="str">
        <x:v>พบชื่อสัมพันธ์หลายเว็บไซต์ รอยืนยันสาขา</x:v>
      </x:c>
      <x:c r="F919" s="8" t="str">
        <x:v>ยังไม่ยืนยันการเปิดให้บริการปัจจุบัน</x:v>
      </x:c>
      <x:c r="G919" s="8" t="n">
        <x:v>11</x:v>
      </x:c>
      <x:c r="H919" s="8" t="str">
        <x:v>https://www.youtube.com/watch?v=rubLSJ_3204</x:v>
      </x:c>
      <x:c r="I919" s="8" t="str"/>
      <x:c r="J919" s="8" t="str"/>
      <x:c r="K919" s="8" t="str"/>
      <x:c r="L919" s="8" t="str">
        <x:v>https://wikicommunity.sac.or.th/community/3094</x:v>
      </x:c>
      <x:c r="M919" s="8" t="str">
        <x:v>https://www.phangngapao.go.th/travel/detail/187</x:v>
      </x:c>
      <x:c r="N919" s="8" t="str">
        <x:v>ยังไม่ยืนยัน</x:v>
      </x:c>
      <x:c r="O919" s="8" t="str">
        <x:v>ตรวจการเปิด ตัวตนสาขา ช่องทางติดต่อ และเงื่อนไขบังคับตามประเภท</x:v>
      </x:c>
      <x:c r="P919" s="40" t="n">
        <x:v>46316</x:v>
      </x:c>
      <x:c r="Q919" s="59" t="str">
        <x:v>ยังไม่ตรวจ</x:v>
      </x:c>
      <x:c r="R919" s="59" t="str">
        <x:v>รอติดต่อ</x:v>
      </x:c>
    </x:row>
    <x:row r="920" ht="84" customHeight="1">
      <x:c r="A920" s="2" t="str">
        <x:v>R26-224</x:v>
      </x:c>
      <x:c r="B920" s="8" t="str">
        <x:v>ชุมชนบ้านโคกไคร</x:v>
      </x:c>
      <x:c r="C920" s="8" t="str">
        <x:v>พังงา</x:v>
      </x:c>
      <x:c r="D920" s="8" t="str">
        <x:v>อยู่ในชุด 600 ตามเส้นทาง</x:v>
      </x:c>
      <x:c r="E920" s="8" t="str">
        <x:v>พบชื่อสัมพันธ์หลายเว็บไซต์ รอยืนยันสาขา</x:v>
      </x:c>
      <x:c r="F920" s="8" t="str">
        <x:v>ยังไม่ยืนยันการเปิดให้บริการปัจจุบัน</x:v>
      </x:c>
      <x:c r="G920" s="8" t="n">
        <x:v>12</x:v>
      </x:c>
      <x:c r="H920" s="8" t="str">
        <x:v>https://www.youtube.com/watch?v=nfgEQEf65JQ</x:v>
      </x:c>
      <x:c r="I920" s="8" t="str"/>
      <x:c r="J920" s="8" t="str"/>
      <x:c r="K920" s="8" t="str"/>
      <x:c r="L920" s="8" t="str">
        <x:v>https://www.dasta.or.th/th/article/392</x:v>
      </x:c>
      <x:c r="M920" s="8" t="str">
        <x:v>https://www.thailandtourismdirectory.go.th/attraction/97483</x:v>
      </x:c>
      <x:c r="N920" s="8" t="str">
        <x:v>ยังไม่ยืนยัน</x:v>
      </x:c>
      <x:c r="O920" s="8" t="str">
        <x:v>ตรวจการเปิด ตัวตนสาขา ช่องทางติดต่อ และเงื่อนไขบังคับตามประเภท</x:v>
      </x:c>
      <x:c r="P920" s="40" t="n">
        <x:v>46316</x:v>
      </x:c>
      <x:c r="Q920" s="59" t="str">
        <x:v>ยังไม่ตรวจ</x:v>
      </x:c>
      <x:c r="R920" s="59" t="str">
        <x:v>รอติดต่อ</x:v>
      </x:c>
    </x:row>
    <x:row r="921" ht="84" customHeight="1">
      <x:c r="A921" s="2" t="str">
        <x:v>R26-293</x:v>
      </x:c>
      <x:c r="B921" s="8" t="str">
        <x:v>Banyan Tree Spa Phuket</x:v>
      </x:c>
      <x:c r="C921" s="8" t="str">
        <x:v>ภูเก็ต</x:v>
      </x:c>
      <x:c r="D921" s="8" t="str">
        <x:v>อยู่ในชุด 600 ตามเส้นทาง</x:v>
      </x:c>
      <x:c r="E921" s="8" t="str">
        <x:v>พบชื่อสัมพันธ์หลายเว็บไซต์ รอยืนยันสาขา</x:v>
      </x:c>
      <x:c r="F921" s="8" t="str">
        <x:v>ยังไม่ยืนยันการเปิดให้บริการปัจจุบัน</x:v>
      </x:c>
      <x:c r="G921" s="8" t="n">
        <x:v>6</x:v>
      </x:c>
      <x:c r="H921" s="8" t="str"/>
      <x:c r="I921" s="8" t="str"/>
      <x:c r="J921" s="8" t="str">
        <x:v>https://www.wongnai.com/businesses/179894md-banyan-tree-spa-phuket</x:v>
      </x:c>
      <x:c r="K921" s="8" t="str">
        <x:v>https://www.google.com/maps/search/Spa%2BTreatment%2Bat%2BBanyan%2BTree%2BSpa%2C%2BPhuket%2C%2BThailand</x:v>
      </x:c>
      <x:c r="L921" s="8" t="str">
        <x:v>https://www.banyantree.com/thailand/phuket</x:v>
      </x:c>
      <x:c r="M921" s="8" t="str">
        <x:v>https://www.phuket101.net/banyan-tree-spa-phuket/</x:v>
      </x:c>
      <x:c r="N921" s="8" t="str">
        <x:v>ยังไม่ยืนยัน</x:v>
      </x:c>
      <x:c r="O921" s="8" t="str">
        <x:v>ตรวจการเปิด ตัวตนสาขา ช่องทางติดต่อ และเงื่อนไขบังคับตามประเภท</x:v>
      </x:c>
      <x:c r="P921" s="40" t="n">
        <x:v>46316</x:v>
      </x:c>
      <x:c r="Q921" s="59" t="str">
        <x:v>ยังไม่ตรวจ</x:v>
      </x:c>
      <x:c r="R921" s="59" t="str">
        <x:v>รอติดต่อ</x:v>
      </x:c>
    </x:row>
    <x:row r="922" ht="84" customHeight="1">
      <x:c r="A922" s="2" t="str">
        <x:v>R26-289</x:v>
      </x:c>
      <x:c r="B922" s="8" t="str">
        <x:v>Let's Relax Spa Phuket Boat Lagoon</x:v>
      </x:c>
      <x:c r="C922" s="8" t="str">
        <x:v>ภูเก็ต</x:v>
      </x:c>
      <x:c r="D922" s="8" t="str">
        <x:v>อยู่ในชุด 600 ตามเส้นทาง</x:v>
      </x:c>
      <x:c r="E922" s="8" t="str">
        <x:v>พบชื่อสัมพันธ์หลายเว็บไซต์ รอยืนยันสาขา</x:v>
      </x:c>
      <x:c r="F922" s="8" t="str">
        <x:v>ยังไม่ยืนยันการเปิดให้บริการปัจจุบัน</x:v>
      </x:c>
      <x:c r="G922" s="8" t="n">
        <x:v>2</x:v>
      </x:c>
      <x:c r="H922" s="8" t="str">
        <x:v>https://www.facebook.com/letsrelaxspa.official/</x:v>
      </x:c>
      <x:c r="I922" s="8" t="str">
        <x:v>https://www.instagram.com/letsrelaxspa.official/?hl=en</x:v>
      </x:c>
      <x:c r="J922" s="8" t="str"/>
      <x:c r="K922" s="8" t="str"/>
      <x:c r="L922" s="8" t="str">
        <x:v>https://letsrelaxspa.com/branches/phuket-boat-lagoon/</x:v>
      </x:c>
      <x:c r="M922" s="8" t="str">
        <x:v>https://www.phuketboatlagoon.com/tenant-directory/?cate=6</x:v>
      </x:c>
      <x:c r="N922" s="8" t="str">
        <x:v>ยังไม่ยืนยัน</x:v>
      </x:c>
      <x:c r="O922" s="8" t="str">
        <x:v>ตรวจการเปิด ตัวตนสาขา ช่องทางติดต่อ และเงื่อนไขบังคับตามประเภท</x:v>
      </x:c>
      <x:c r="P922" s="40" t="n">
        <x:v>46316</x:v>
      </x:c>
      <x:c r="Q922" s="59" t="str">
        <x:v>ยังไม่ตรวจ</x:v>
      </x:c>
      <x:c r="R922" s="59" t="str">
        <x:v>รอติดต่อ</x:v>
      </x:c>
    </x:row>
    <x:row r="923" ht="84" customHeight="1">
      <x:c r="A923" s="2" t="str">
        <x:v>R26-290</x:v>
      </x:c>
      <x:c r="B923" s="8" t="str">
        <x:v>Let's Relax Spa Phuket Patong 2nd Street</x:v>
      </x:c>
      <x:c r="C923" s="8" t="str">
        <x:v>ภูเก็ต</x:v>
      </x:c>
      <x:c r="D923" s="8" t="str">
        <x:v>อยู่ในชุด 600 ตามเส้นทาง</x:v>
      </x:c>
      <x:c r="E923" s="8" t="str">
        <x:v>พบชื่อสัมพันธ์หลายเว็บไซต์ รอยืนยันสาขา</x:v>
      </x:c>
      <x:c r="F923" s="8" t="str">
        <x:v>ยังไม่ยืนยันการเปิดให้บริการปัจจุบัน</x:v>
      </x:c>
      <x:c r="G923" s="8" t="n">
        <x:v>2</x:v>
      </x:c>
      <x:c r="H923" s="8" t="str">
        <x:v>https://www.facebook.com/letsrelaxspa.official/</x:v>
      </x:c>
      <x:c r="I923" s="8" t="str">
        <x:v>https://www.instagram.com/letsrelaxspa.official/?hl=en</x:v>
      </x:c>
      <x:c r="J923" s="8" t="str">
        <x:v>https://www.wongnai.com/businesses/291075Nr-let-s-relax-phuket-patong-2nd-street</x:v>
      </x:c>
      <x:c r="K923" s="8" t="str"/>
      <x:c r="L923" s="8" t="str">
        <x:v>https://letsrelaxspa.com/branches/phuket-2nd-street/</x:v>
      </x:c>
      <x:c r="M923" s="8" t="str">
        <x:v>https://www.wongnai.com/businesses/291075Nr-let-s-relax-phuket-patong-2nd-street</x:v>
      </x:c>
      <x:c r="N923" s="8" t="str">
        <x:v>ยังไม่ยืนยัน</x:v>
      </x:c>
      <x:c r="O923" s="8" t="str">
        <x:v>ตรวจการเปิด ตัวตนสาขา ช่องทางติดต่อ และเงื่อนไขบังคับตามประเภท</x:v>
      </x:c>
      <x:c r="P923" s="40" t="n">
        <x:v>46316</x:v>
      </x:c>
      <x:c r="Q923" s="59" t="str">
        <x:v>ยังไม่ตรวจ</x:v>
      </x:c>
      <x:c r="R923" s="59" t="str">
        <x:v>รอติดต่อ</x:v>
      </x:c>
    </x:row>
    <x:row r="924" ht="84" customHeight="1">
      <x:c r="A924" s="2" t="str">
        <x:v>R26-291</x:v>
      </x:c>
      <x:c r="B924" s="8" t="str">
        <x:v>Let's Relax Spa Phuket Porto de Phuket</x:v>
      </x:c>
      <x:c r="C924" s="8" t="str">
        <x:v>ภูเก็ต</x:v>
      </x:c>
      <x:c r="D924" s="8" t="str">
        <x:v>อยู่ในชุด 600 ตามเส้นทาง</x:v>
      </x:c>
      <x:c r="E924" s="8" t="str">
        <x:v>พบชื่อสัมพันธ์หลายเว็บไซต์ รอยืนยันสาขา</x:v>
      </x:c>
      <x:c r="F924" s="8" t="str">
        <x:v>ยังไม่ยืนยันการเปิดให้บริการปัจจุบัน</x:v>
      </x:c>
      <x:c r="G924" s="8" t="n">
        <x:v>2</x:v>
      </x:c>
      <x:c r="H924" s="8" t="str">
        <x:v>https://www.facebook.com/letsrelaxspa.official/</x:v>
      </x:c>
      <x:c r="I924" s="8" t="str">
        <x:v>https://www.instagram.com/letsrelaxspa.official/?hl=en</x:v>
      </x:c>
      <x:c r="J924" s="8" t="str">
        <x:v>https://www.wongnai.com/businesses/470686Ve-let-s-relax-spa-porto-de-phuket/reviews</x:v>
      </x:c>
      <x:c r="K924" s="8" t="str"/>
      <x:c r="L924" s="8" t="str">
        <x:v>https://letsrelaxspa.com/branches/phuket-laguna-porto-de-phuket/</x:v>
      </x:c>
      <x:c r="M924" s="8" t="str">
        <x:v>https://www.wongnai.com/businesses/470686Ve-let-s-relax-spa-porto-de-phuket/reviews</x:v>
      </x:c>
      <x:c r="N924" s="8" t="str">
        <x:v>ยังไม่ยืนยัน</x:v>
      </x:c>
      <x:c r="O924" s="8" t="str">
        <x:v>ตรวจการเปิด ตัวตนสาขา ช่องทางติดต่อ และเงื่อนไขบังคับตามประเภท</x:v>
      </x:c>
      <x:c r="P924" s="40" t="n">
        <x:v>46316</x:v>
      </x:c>
      <x:c r="Q924" s="59" t="str">
        <x:v>ยังไม่ตรวจ</x:v>
      </x:c>
      <x:c r="R924" s="59" t="str">
        <x:v>รอติดต่อ</x:v>
      </x:c>
    </x:row>
    <x:row r="925" ht="84" customHeight="1">
      <x:c r="A925" s="2" t="str">
        <x:v>R26-292</x:v>
      </x:c>
      <x:c r="B925" s="8" t="str">
        <x:v>Sukko Spa Phuket</x:v>
      </x:c>
      <x:c r="C925" s="8" t="str">
        <x:v>ภูเก็ต</x:v>
      </x:c>
      <x:c r="D925" s="8" t="str">
        <x:v>อยู่ในชุด 600 ตามเส้นทาง</x:v>
      </x:c>
      <x:c r="E925" s="8" t="str">
        <x:v>พบชื่อสัมพันธ์หลายเว็บไซต์ รอยืนยันสาขา</x:v>
      </x:c>
      <x:c r="F925" s="8" t="str">
        <x:v>ยังไม่ยืนยันการเปิดให้บริการปัจจุบัน</x:v>
      </x:c>
      <x:c r="G925" s="8" t="n">
        <x:v>3</x:v>
      </x:c>
      <x:c r="H925" s="8" t="str"/>
      <x:c r="I925" s="8" t="str"/>
      <x:c r="J925" s="8" t="str">
        <x:v>https://th.tripadvisor.com/Attraction_Review-g293920-d658581-Reviews-Sukko_Spa-Phuket.html</x:v>
      </x:c>
      <x:c r="K925" s="8" t="str"/>
      <x:c r="L925" s="8" t="str">
        <x:v>https://www.tripadvisor.co.uk/Attraction_Review-g293920-d658581-Reviews-Sukko_Spa-Phuket.html</x:v>
      </x:c>
      <x:c r="M925" s="8" t="str">
        <x:v>https://api.tat.or.th/upload/multimedia/ebrochure/file/live/TH-Discover-Thainess-Through-Thai-Wellness-21-Oct-2015-1449146515.pdf</x:v>
      </x:c>
      <x:c r="N925" s="8" t="str">
        <x:v>ยังไม่ยืนยัน</x:v>
      </x:c>
      <x:c r="O925" s="8" t="str">
        <x:v>ตรวจการเปิด ตัวตนสาขา ช่องทางติดต่อ และเงื่อนไขบังคับตามประเภท</x:v>
      </x:c>
      <x:c r="P925" s="40" t="n">
        <x:v>46316</x:v>
      </x:c>
      <x:c r="Q925" s="59" t="str">
        <x:v>ยังไม่ตรวจ</x:v>
      </x:c>
      <x:c r="R925" s="59" t="str">
        <x:v>รอติดต่อ</x:v>
      </x:c>
    </x:row>
    <x:row r="926" ht="84" customHeight="1">
      <x:c r="A926" s="2" t="str">
        <x:v>R26-268</x:v>
      </x:c>
      <x:c r="B926" s="8" t="str">
        <x:v>Central Phuket</x:v>
      </x:c>
      <x:c r="C926" s="8" t="str">
        <x:v>ภูเก็ต</x:v>
      </x:c>
      <x:c r="D926" s="8" t="str">
        <x:v>อยู่ในชุด 600 ตามเส้นทาง</x:v>
      </x:c>
      <x:c r="E926" s="8" t="str">
        <x:v>พบชื่อสัมพันธ์หลายเว็บไซต์ รอยืนยันสาขา</x:v>
      </x:c>
      <x:c r="F926" s="8" t="str">
        <x:v>ยังไม่ยืนยันการเปิดให้บริการปัจจุบัน</x:v>
      </x:c>
      <x:c r="G926" s="8" t="n">
        <x:v>11</x:v>
      </x:c>
      <x:c r="H926" s="8" t="str">
        <x:v>https://www.youtube.com/watch?v=ehH02F5yrW4</x:v>
      </x:c>
      <x:c r="I926" s="8" t="str"/>
      <x:c r="J926" s="8" t="str"/>
      <x:c r="K926" s="8" t="str"/>
      <x:c r="L926" s="8" t="str">
        <x:v>https://www.phuket.go.th/webpk/file_data/matter/morning56.pdf</x:v>
      </x:c>
      <x:c r="M926" s="8" t="str">
        <x:v>https://image.mfa.go.th/mfa/0/uK8Kxy2oDV/E_Brochure_TAT_2024_English_Version.pdf</x:v>
      </x:c>
      <x:c r="N926" s="8" t="str">
        <x:v>ยังไม่ยืนยัน</x:v>
      </x:c>
      <x:c r="O926" s="8" t="str">
        <x:v>ตรวจการเปิด ตัวตนสาขา ช่องทางติดต่อ และเงื่อนไขบังคับตามประเภท</x:v>
      </x:c>
      <x:c r="P926" s="40" t="n">
        <x:v>46316</x:v>
      </x:c>
      <x:c r="Q926" s="59" t="str">
        <x:v>ยังไม่ตรวจ</x:v>
      </x:c>
      <x:c r="R926" s="59" t="str">
        <x:v>รอติดต่อ</x:v>
      </x:c>
    </x:row>
    <x:row r="927" ht="84" customHeight="1">
      <x:c r="A927" s="2" t="str">
        <x:v>R26-269</x:v>
      </x:c>
      <x:c r="B927" s="8" t="str">
        <x:v>Jungceylon Phuket</x:v>
      </x:c>
      <x:c r="C927" s="8" t="str">
        <x:v>ภูเก็ต</x:v>
      </x:c>
      <x:c r="D927" s="8" t="str">
        <x:v>อยู่ในชุด 600 ตามเส้นทาง</x:v>
      </x:c>
      <x:c r="E927" s="8" t="str">
        <x:v>พบชื่อสัมพันธ์หลายเว็บไซต์ รอยืนยันสาขา</x:v>
      </x:c>
      <x:c r="F927" s="8" t="str">
        <x:v>ยังไม่ยืนยันการเปิดให้บริการปัจจุบัน</x:v>
      </x:c>
      <x:c r="G927" s="8" t="n">
        <x:v>5</x:v>
      </x:c>
      <x:c r="H927" s="8" t="str">
        <x:v>https://www.facebook.com/JungceylonFanpage</x:v>
      </x:c>
      <x:c r="I927" s="8" t="str">
        <x:v>https://line.me/R/ti/p/%40142qdbjf</x:v>
      </x:c>
      <x:c r="J927" s="8" t="str">
        <x:v>https://www.google.com/maps/search/Shopping%2Bat%2BJungceylon%2C%2BJungceylon%2C%2BPhuket%2C%2BThailand</x:v>
      </x:c>
      <x:c r="K927" s="8" t="str"/>
      <x:c r="L927" s="8" t="str">
        <x:v>https://jungceylon.com/en/contactus</x:v>
      </x:c>
      <x:c r="M927" s="8" t="str">
        <x:v>https://www.phuket101.net/jungceylon-phuket/</x:v>
      </x:c>
      <x:c r="N927" s="8" t="str">
        <x:v>ยังไม่ยืนยัน</x:v>
      </x:c>
      <x:c r="O927" s="8" t="str">
        <x:v>ตรวจการเปิด ตัวตนสาขา ช่องทางติดต่อ และเงื่อนไขบังคับตามประเภท</x:v>
      </x:c>
      <x:c r="P927" s="40" t="n">
        <x:v>46316</x:v>
      </x:c>
      <x:c r="Q927" s="59" t="str">
        <x:v>ยังไม่ตรวจ</x:v>
      </x:c>
      <x:c r="R927" s="59" t="str">
        <x:v>รอติดต่อ</x:v>
      </x:c>
    </x:row>
    <x:row r="928" ht="84" customHeight="1">
      <x:c r="A928" s="2" t="str">
        <x:v>R26-222</x:v>
      </x:c>
      <x:c r="B928" s="8" t="str">
        <x:v>จุดชมวิวเขารัง</x:v>
      </x:c>
      <x:c r="C928" s="8" t="str">
        <x:v>ภูเก็ต</x:v>
      </x:c>
      <x:c r="D928" s="8" t="str">
        <x:v>อยู่ในชุด 600 ตามเส้นทาง</x:v>
      </x:c>
      <x:c r="E928" s="8" t="str">
        <x:v>พบชื่อสัมพันธ์หลายเว็บไซต์ รอยืนยันสาขา</x:v>
      </x:c>
      <x:c r="F928" s="8" t="str">
        <x:v>ยังไม่ยืนยันการเปิดให้บริการปัจจุบัน</x:v>
      </x:c>
      <x:c r="G928" s="8" t="n">
        <x:v>11</x:v>
      </x:c>
      <x:c r="H928" s="8" t="str">
        <x:v>https://www.youtube.com/watch?v=DfLXiNfyAXw</x:v>
      </x:c>
      <x:c r="I928" s="8" t="str"/>
      <x:c r="J928" s="8" t="str">
        <x:v>https://www.wongnai.com/attractions/335226eI-%E0%B8%88%E0%B8%B8%E0%B8%94%E0%B8%8A%E0%B8%A1%E0%B8%A7%E0%B8%B4%E0%B8%A7%E0%B9%80%E0%B8%82%E0%B8%B2%E0%B8%A3%E0%B8%B1%E0%B8%87-%E0%B8%A0%E0%B8%B9%E0%B9%80%E0%B8%81%E0%B9%87%E0%B8%95</x:v>
      </x:c>
      <x:c r="K928" s="8" t="str"/>
      <x:c r="L928" s="8" t="str">
        <x:v>https://www.thailandtourismdirectory.go.th/th/attraction/21955</x:v>
      </x:c>
      <x:c r="M928" s="8" t="str">
        <x:v>https://elibrary.tsri.or.th/fullP/RDC5880004/RDC5880004V04/RDC5880004V04_full.pdf</x:v>
      </x:c>
      <x:c r="N928" s="8" t="str">
        <x:v>ยังไม่ยืนยัน</x:v>
      </x:c>
      <x:c r="O928" s="8" t="str">
        <x:v>ตรวจการเปิด ตัวตนสาขา ช่องทางติดต่อ และเงื่อนไขบังคับตามประเภท</x:v>
      </x:c>
      <x:c r="P928" s="40" t="n">
        <x:v>46316</x:v>
      </x:c>
      <x:c r="Q928" s="59" t="str">
        <x:v>ยังไม่ตรวจ</x:v>
      </x:c>
      <x:c r="R928" s="59" t="str">
        <x:v>รอติดต่อ</x:v>
      </x:c>
    </x:row>
    <x:row r="929" ht="84" customHeight="1">
      <x:c r="A929" s="2" t="str">
        <x:v>R26-220</x:v>
      </x:c>
      <x:c r="B929" s="8" t="str">
        <x:v>หาดในยาง</x:v>
      </x:c>
      <x:c r="C929" s="8" t="str">
        <x:v>ภูเก็ต</x:v>
      </x:c>
      <x:c r="D929" s="8" t="str">
        <x:v>อยู่ในชุด 600 ตามเส้นทาง</x:v>
      </x:c>
      <x:c r="E929" s="8" t="str">
        <x:v>พบชื่อสัมพันธ์หลายเว็บไซต์ รอยืนยันสาขา</x:v>
      </x:c>
      <x:c r="F929" s="8" t="str">
        <x:v>ยังไม่ยืนยันการเปิดให้บริการปัจจุบัน</x:v>
      </x:c>
      <x:c r="G929" s="8" t="n">
        <x:v>15</x:v>
      </x:c>
      <x:c r="H929" s="8" t="str">
        <x:v>https://www.youtube.com/watch?v=xMwhQPlLKm8</x:v>
      </x:c>
      <x:c r="I929" s="8" t="str"/>
      <x:c r="J929" s="8" t="str">
        <x:v>https://www.wongnai.com/attractions/326773ue-%E0%B8%AB%E0%B8%B2%E0%B8%94%E0%B9%83%E0%B8%99%E0%B8%A2%E0%B8%B2%E0%B8%87</x:v>
      </x:c>
      <x:c r="K929" s="8" t="str"/>
      <x:c r="L929" s="8" t="str">
        <x:v>https://www.thailandtourismdirectory.go.th/th/attraction/2680</x:v>
      </x:c>
      <x:c r="M929" s="8" t="str">
        <x:v>https://www.gplace.com/526863</x:v>
      </x:c>
      <x:c r="N929" s="8" t="str">
        <x:v>ยังไม่ยืนยัน</x:v>
      </x:c>
      <x:c r="O929" s="8" t="str">
        <x:v>ตรวจการเปิด ตัวตนสาขา ช่องทางติดต่อ และเงื่อนไขบังคับตามประเภท</x:v>
      </x:c>
      <x:c r="P929" s="40" t="n">
        <x:v>46316</x:v>
      </x:c>
      <x:c r="Q929" s="59" t="str">
        <x:v>ยังไม่ตรวจ</x:v>
      </x:c>
      <x:c r="R929" s="59" t="str">
        <x:v>รอติดต่อ</x:v>
      </x:c>
    </x:row>
    <x:row r="930" ht="84" customHeight="1">
      <x:c r="A930" s="2" t="str">
        <x:v>R26-221</x:v>
      </x:c>
      <x:c r="B930" s="8" t="str">
        <x:v>อุทยานแห่งชาติสิรินาถ</x:v>
      </x:c>
      <x:c r="C930" s="8" t="str">
        <x:v>ภูเก็ต</x:v>
      </x:c>
      <x:c r="D930" s="8" t="str">
        <x:v>อยู่ในชุด 600 ตามเส้นทาง</x:v>
      </x:c>
      <x:c r="E930" s="8" t="str">
        <x:v>พบชื่อสัมพันธ์หลายเว็บไซต์ รอยืนยันสาขา</x:v>
      </x:c>
      <x:c r="F930" s="8" t="str">
        <x:v>ยังไม่ยืนยันการเปิดให้บริการปัจจุบัน</x:v>
      </x:c>
      <x:c r="G930" s="8" t="n">
        <x:v>12</x:v>
      </x:c>
      <x:c r="H930" s="8" t="str">
        <x:v>https://www.youtube.com/watch?v=Ivr1Nm4uovA</x:v>
      </x:c>
      <x:c r="I930" s="8" t="str"/>
      <x:c r="J930" s="8" t="str"/>
      <x:c r="K930" s="8" t="str"/>
      <x:c r="L930" s="8" t="str">
        <x:v>https://www.thepcity.go.th/travel/detail/233</x:v>
      </x:c>
      <x:c r="M930" s="8" t="str">
        <x:v>https://www.thailandtourismdirectory.go.th/attraction/3276</x:v>
      </x:c>
      <x:c r="N930" s="8" t="str">
        <x:v>ยังไม่ยืนยัน</x:v>
      </x:c>
      <x:c r="O930" s="8" t="str">
        <x:v>ตรวจการเปิด ตัวตนสาขา ช่องทางติดต่อ และเงื่อนไขบังคับตามประเภท</x:v>
      </x:c>
      <x:c r="P930" s="40" t="n">
        <x:v>46316</x:v>
      </x:c>
      <x:c r="Q930" s="59" t="str">
        <x:v>ยังไม่ตรวจ</x:v>
      </x:c>
      <x:c r="R930" s="59" t="str">
        <x:v>รอติดต่อ</x:v>
      </x:c>
    </x:row>
    <x:row r="931" ht="84" customHeight="1">
      <x:c r="A931" s="2" t="str">
        <x:v>R26-218</x:v>
      </x:c>
      <x:c r="B931" s="8" t="str">
        <x:v>ชุมชนบ้านบ่อแร่</x:v>
      </x:c>
      <x:c r="C931" s="8" t="str">
        <x:v>ภูเก็ต</x:v>
      </x:c>
      <x:c r="D931" s="8" t="str">
        <x:v>อยู่ในชุด 600 ตามเส้นทาง</x:v>
      </x:c>
      <x:c r="E931" s="8" t="str">
        <x:v>พบชื่อสัมพันธ์หลายเว็บไซต์ รอยืนยันสาขา</x:v>
      </x:c>
      <x:c r="F931" s="8" t="str">
        <x:v>ยังไม่ยืนยันการเปิดให้บริการปัจจุบัน</x:v>
      </x:c>
      <x:c r="G931" s="8" t="n">
        <x:v>9</x:v>
      </x:c>
      <x:c r="H931" s="8" t="str">
        <x:v>https://www.youtube.com/watch?v=34TDKgH9hq4</x:v>
      </x:c>
      <x:c r="I931" s="8" t="str"/>
      <x:c r="J931" s="8" t="str"/>
      <x:c r="K931" s="8" t="str"/>
      <x:c r="L931" s="8" t="str">
        <x:v>https://www.phuketarea.go.th/web/view.php?article_id=14828</x:v>
      </x:c>
      <x:c r="M931" s="8" t="str">
        <x:v>https://phuket.moc.go.th/th/content/category/detail/id/161/iid/137681</x:v>
      </x:c>
      <x:c r="N931" s="8" t="str">
        <x:v>ยังไม่ยืนยัน</x:v>
      </x:c>
      <x:c r="O931" s="8" t="str">
        <x:v>ตรวจการเปิด ตัวตนสาขา ช่องทางติดต่อ และเงื่อนไขบังคับตามประเภท</x:v>
      </x:c>
      <x:c r="P931" s="40" t="n">
        <x:v>46316</x:v>
      </x:c>
      <x:c r="Q931" s="59" t="str">
        <x:v>ยังไม่ตรวจ</x:v>
      </x:c>
      <x:c r="R931" s="59" t="str">
        <x:v>รอติดต่อ</x:v>
      </x:c>
    </x:row>
    <x:row r="932" ht="84" customHeight="1">
      <x:c r="A932" s="2" t="str">
        <x:v>R26-219</x:v>
      </x:c>
      <x:c r="B932" s="8" t="str">
        <x:v>ชุมชนบ้านเกาะมะพร้าว</x:v>
      </x:c>
      <x:c r="C932" s="8" t="str">
        <x:v>ภูเก็ต</x:v>
      </x:c>
      <x:c r="D932" s="8" t="str">
        <x:v>อยู่ในชุด 600 ตามเส้นทาง</x:v>
      </x:c>
      <x:c r="E932" s="8" t="str">
        <x:v>พบชื่อสัมพันธ์หลายเว็บไซต์ รอยืนยันสาขา</x:v>
      </x:c>
      <x:c r="F932" s="8" t="str">
        <x:v>ยังไม่ยืนยันการเปิดให้บริการปัจจุบัน</x:v>
      </x:c>
      <x:c r="G932" s="8" t="n">
        <x:v>4</x:v>
      </x:c>
      <x:c r="H932" s="8" t="str"/>
      <x:c r="I932" s="8" t="str"/>
      <x:c r="J932" s="8" t="str"/>
      <x:c r="K932" s="8" t="str"/>
      <x:c r="L932" s="8" t="str">
        <x:v>https://wikicommunity.sac.or.th/community/2432</x:v>
      </x:c>
      <x:c r="M932" s="8" t="str">
        <x:v>https://www.seabridge.space/content/coconut-island</x:v>
      </x:c>
      <x:c r="N932" s="8" t="str">
        <x:v>ยังไม่ยืนยัน</x:v>
      </x:c>
      <x:c r="O932" s="8" t="str">
        <x:v>ตรวจการเปิด ตัวตนสาขา ช่องทางติดต่อ และเงื่อนไขบังคับตามประเภท</x:v>
      </x:c>
      <x:c r="P932" s="40" t="n">
        <x:v>46316</x:v>
      </x:c>
      <x:c r="Q932" s="59" t="str">
        <x:v>ยังไม่ตรวจ</x:v>
      </x:c>
      <x:c r="R932" s="59" t="str">
        <x:v>รอติดต่อ</x:v>
      </x:c>
    </x:row>
    <x:row r="933" ht="84" customHeight="1">
      <x:c r="A933" s="2" t="str">
        <x:v>R26-307</x:v>
      </x:c>
      <x:c r="B933" s="8" t="str">
        <x:v>Aquaria Phuket</x:v>
      </x:c>
      <x:c r="C933" s="8" t="str">
        <x:v>ภูเก็ต</x:v>
      </x:c>
      <x:c r="D933" s="8" t="str">
        <x:v>อยู่ในชุด 600 ตามเส้นทาง</x:v>
      </x:c>
      <x:c r="E933" s="8" t="str">
        <x:v>พบชื่อสัมพันธ์หลายเว็บไซต์ รอยืนยันสาขา</x:v>
      </x:c>
      <x:c r="F933" s="8" t="str">
        <x:v>ยังไม่ยืนยันการเปิดให้บริการปัจจุบัน</x:v>
      </x:c>
      <x:c r="G933" s="8" t="n">
        <x:v>11</x:v>
      </x:c>
      <x:c r="H933" s="8" t="str">
        <x:v>https://page.line.me/056svyst</x:v>
      </x:c>
      <x:c r="I933" s="8" t="str">
        <x:v>https://www.youtube.com/watch?v=nqDeF8BWMOI</x:v>
      </x:c>
      <x:c r="J933" s="8" t="str">
        <x:v>https://www.wongnai.com/attractions/435733NZ-aquaria-phuket</x:v>
      </x:c>
      <x:c r="K933" s="8" t="str"/>
      <x:c r="L933" s="8" t="str">
        <x:v>https://aquaria-phuket.com/ru/</x:v>
      </x:c>
      <x:c r="M933" s="8" t="str">
        <x:v>https://aquariumphuket.com/how-to-get-there/</x:v>
      </x:c>
      <x:c r="N933" s="8" t="str">
        <x:v>ยังไม่ยืนยัน</x:v>
      </x:c>
      <x:c r="O933" s="8" t="str">
        <x:v>ตรวจการเปิด ตัวตนสาขา ช่องทางติดต่อ และเงื่อนไขบังคับตามประเภท</x:v>
      </x:c>
      <x:c r="P933" s="40" t="n">
        <x:v>46316</x:v>
      </x:c>
      <x:c r="Q933" s="59" t="str">
        <x:v>ยังไม่ตรวจ</x:v>
      </x:c>
      <x:c r="R933" s="59" t="str">
        <x:v>รอติดต่อ</x:v>
      </x:c>
    </x:row>
    <x:row r="934" ht="84" customHeight="1">
      <x:c r="A934" s="2" t="str">
        <x:v>R26-305</x:v>
      </x:c>
      <x:c r="B934" s="8" t="str">
        <x:v>Hanuman World Phuket</x:v>
      </x:c>
      <x:c r="C934" s="8" t="str">
        <x:v>ภูเก็ต</x:v>
      </x:c>
      <x:c r="D934" s="8" t="str">
        <x:v>อยู่ในชุด 600 ตามเส้นทาง</x:v>
      </x:c>
      <x:c r="E934" s="8" t="str">
        <x:v>พบชื่อสัมพันธ์หลายเว็บไซต์ รอยืนยันสาขา</x:v>
      </x:c>
      <x:c r="F934" s="8" t="str">
        <x:v>ยังไม่ยืนยันการเปิดให้บริการปัจจุบัน</x:v>
      </x:c>
      <x:c r="G934" s="8" t="n">
        <x:v>8</x:v>
      </x:c>
      <x:c r="H934" s="8" t="str">
        <x:v>https://www.youtube.com/watch?v=u8Lz8vr7wDY</x:v>
      </x:c>
      <x:c r="I934" s="8" t="str">
        <x:v>https://www.instagram.com/hanumanworldphuket</x:v>
      </x:c>
      <x:c r="J934" s="8" t="str">
        <x:v>https://www.wongnai.com/attractions/352332Xk-hanuman-world</x:v>
      </x:c>
      <x:c r="K934" s="8" t="str"/>
      <x:c r="L934" s="8" t="str">
        <x:v>https://image.mfa.go.th/mfa/0/uK8Kxy2oDV/E_Brochure_TAT_2024_English_Version.pdf</x:v>
      </x:c>
      <x:c r="M934" s="8" t="str">
        <x:v>https://hanumanworldphuket.com/th</x:v>
      </x:c>
      <x:c r="N934" s="8" t="str">
        <x:v>ยังไม่ยืนยัน</x:v>
      </x:c>
      <x:c r="O934" s="8" t="str">
        <x:v>ตรวจการเปิด ตัวตนสาขา ช่องทางติดต่อ และเงื่อนไขบังคับตามประเภท</x:v>
      </x:c>
      <x:c r="P934" s="40" t="n">
        <x:v>46316</x:v>
      </x:c>
      <x:c r="Q934" s="59" t="str">
        <x:v>ยังไม่ตรวจ</x:v>
      </x:c>
      <x:c r="R934" s="59" t="str">
        <x:v>รอติดต่อ</x:v>
      </x:c>
    </x:row>
    <x:row r="935" ht="84" customHeight="1">
      <x:c r="A935" s="2" t="str">
        <x:v>R26-306</x:v>
      </x:c>
      <x:c r="B935" s="8" t="str">
        <x:v>Phuket Aquarium</x:v>
      </x:c>
      <x:c r="C935" s="8" t="str">
        <x:v>ภูเก็ต</x:v>
      </x:c>
      <x:c r="D935" s="8" t="str">
        <x:v>อยู่ในชุด 600 ตามเส้นทาง</x:v>
      </x:c>
      <x:c r="E935" s="8" t="str">
        <x:v>พบชื่อสัมพันธ์หลายเว็บไซต์ รอยืนยันสาขา</x:v>
      </x:c>
      <x:c r="F935" s="8" t="str">
        <x:v>ยังไม่ยืนยันการเปิดให้บริการปัจจุบัน</x:v>
      </x:c>
      <x:c r="G935" s="8" t="n">
        <x:v>14</x:v>
      </x:c>
      <x:c r="H935" s="8" t="str">
        <x:v>https://www.youtube.com/watch?v=nqDeF8BWMOI</x:v>
      </x:c>
      <x:c r="I935" s="8" t="str"/>
      <x:c r="J935" s="8" t="str"/>
      <x:c r="K935" s="8" t="str"/>
      <x:c r="L935" s="8" t="str">
        <x:v>https://www.tourismthailand.org/Attraction/phuket-aquarium</x:v>
      </x:c>
      <x:c r="M935" s="8" t="str">
        <x:v>https://phuketaquarium.com/</x:v>
      </x:c>
      <x:c r="N935" s="8" t="str">
        <x:v>ยังไม่ยืนยัน</x:v>
      </x:c>
      <x:c r="O935" s="8" t="str">
        <x:v>ตรวจการเปิด ตัวตนสาขา ช่องทางติดต่อ และเงื่อนไขบังคับตามประเภท</x:v>
      </x:c>
      <x:c r="P935" s="40" t="n">
        <x:v>46316</x:v>
      </x:c>
      <x:c r="Q935" s="59" t="str">
        <x:v>ยังไม่ตรวจ</x:v>
      </x:c>
      <x:c r="R935" s="59" t="str">
        <x:v>รอติดต่อ</x:v>
      </x:c>
    </x:row>
    <x:row r="936" ht="84" customHeight="1">
      <x:c r="A936" s="2" t="str">
        <x:v>R26-308</x:v>
      </x:c>
      <x:c r="B936" s="8" t="str">
        <x:v>Phuket Elephant Sanctuary</x:v>
      </x:c>
      <x:c r="C936" s="8" t="str">
        <x:v>ภูเก็ต</x:v>
      </x:c>
      <x:c r="D936" s="8" t="str">
        <x:v>อยู่ในชุด 600 ตามเส้นทาง</x:v>
      </x:c>
      <x:c r="E936" s="8" t="str">
        <x:v>พบชื่อสัมพันธ์หลายเว็บไซต์ รอยืนยันสาขา</x:v>
      </x:c>
      <x:c r="F936" s="8" t="str">
        <x:v>ยังไม่ยืนยันการเปิดให้บริการปัจจุบัน</x:v>
      </x:c>
      <x:c r="G936" s="8" t="n">
        <x:v>9</x:v>
      </x:c>
      <x:c r="H936" s="8" t="str">
        <x:v>https://www.youtube.com/watch?v=yTSKCIdBWuE</x:v>
      </x:c>
      <x:c r="I936" s="8" t="str">
        <x:v>https://www.facebook.com/phuketelephantsanctuary</x:v>
      </x:c>
      <x:c r="J936" s="8" t="str"/>
      <x:c r="K936" s="8" t="str"/>
      <x:c r="L936" s="8" t="str">
        <x:v>https://www.phuketelephantsanctuary.org/</x:v>
      </x:c>
      <x:c r="M936" s="8" t="str">
        <x:v>https://elephantsanctuary-phuket.org/contact</x:v>
      </x:c>
      <x:c r="N936" s="8" t="str">
        <x:v>ยังไม่ยืนยัน</x:v>
      </x:c>
      <x:c r="O936" s="8" t="str">
        <x:v>ตรวจการเปิด ตัวตนสาขา ช่องทางติดต่อ และเงื่อนไขบังคับตามประเภท</x:v>
      </x:c>
      <x:c r="P936" s="40" t="n">
        <x:v>46316</x:v>
      </x:c>
      <x:c r="Q936" s="59" t="str">
        <x:v>ยังไม่ตรวจ</x:v>
      </x:c>
      <x:c r="R936" s="59" t="str">
        <x:v>รอติดต่อ</x:v>
      </x:c>
    </x:row>
    <x:row r="937" ht="84" customHeight="1">
      <x:c r="A937" s="2" t="str">
        <x:v>R26-300</x:v>
      </x:c>
      <x:c r="B937" s="8" t="str">
        <x:v>RAKxa Wellness Bang Krachao</x:v>
      </x:c>
      <x:c r="C937" s="8" t="str">
        <x:v>สมุทรปราการ</x:v>
      </x:c>
      <x:c r="D937" s="8" t="str">
        <x:v>อยู่ในชุด 600 ตามเส้นทาง</x:v>
      </x:c>
      <x:c r="E937" s="8" t="str">
        <x:v>พบชื่อสัมพันธ์หลายเว็บไซต์ รอยืนยันสาขา</x:v>
      </x:c>
      <x:c r="F937" s="8" t="str">
        <x:v>ยังไม่ยืนยันการเปิดให้บริการปัจจุบัน</x:v>
      </x:c>
      <x:c r="G937" s="8" t="n">
        <x:v>2</x:v>
      </x:c>
      <x:c r="H937" s="8" t="str"/>
      <x:c r="I937" s="8" t="str"/>
      <x:c r="J937" s="8" t="str"/>
      <x:c r="K937" s="8" t="str"/>
      <x:c r="L937" s="8" t="str">
        <x:v>https://thaicheckup.com/ar/providers/rakxa-wellness</x:v>
      </x:c>
      <x:c r="M937" s="8" t="str">
        <x:v>https://tre.ma/rakxawellness</x:v>
      </x:c>
      <x:c r="N937" s="8" t="str">
        <x:v>ยังไม่ยืนยัน</x:v>
      </x:c>
      <x:c r="O937" s="8" t="str">
        <x:v>ตรวจการเปิด ตัวตนสาขา ช่องทางติดต่อ และเงื่อนไขบังคับตามประเภท</x:v>
      </x:c>
      <x:c r="P937" s="40" t="n">
        <x:v>46316</x:v>
      </x:c>
      <x:c r="Q937" s="59" t="str">
        <x:v>ยังไม่ตรวจ</x:v>
      </x:c>
      <x:c r="R937" s="59" t="str">
        <x:v>รอติดต่อ</x:v>
      </x:c>
    </x:row>
    <x:row r="938" ht="84" customHeight="1">
      <x:c r="A938" s="2" t="str">
        <x:v>R26-270</x:v>
      </x:c>
      <x:c r="B938" s="8" t="str">
        <x:v>Mega Bangna</x:v>
      </x:c>
      <x:c r="C938" s="8" t="str">
        <x:v>สมุทรปราการ</x:v>
      </x:c>
      <x:c r="D938" s="8" t="str">
        <x:v>อยู่ในชุด 600 ตามเส้นทาง</x:v>
      </x:c>
      <x:c r="E938" s="8" t="str">
        <x:v>พบชื่อสัมพันธ์หลายเว็บไซต์ รอยืนยันสาขา</x:v>
      </x:c>
      <x:c r="F938" s="8" t="str">
        <x:v>ยังไม่ยืนยันการเปิดให้บริการปัจจุบัน</x:v>
      </x:c>
      <x:c r="G938" s="8" t="n">
        <x:v>10</x:v>
      </x:c>
      <x:c r="H938" s="8" t="str">
        <x:v>https://page.line.me/661nfatv</x:v>
      </x:c>
      <x:c r="I938" s="8" t="str">
        <x:v>https://lin.ee/9EkhTT9</x:v>
      </x:c>
      <x:c r="J938" s="8" t="str">
        <x:v>https://www.wongnai.com/places/mega-bangna</x:v>
      </x:c>
      <x:c r="K938" s="8" t="str"/>
      <x:c r="L938" s="8" t="str">
        <x:v>https://www.mega-bangna.com/?lang=en</x:v>
      </x:c>
      <x:c r="M938" s="8" t="str">
        <x:v>https://aeonfantasy.co.th/main/stores/PU-MBN</x:v>
      </x:c>
      <x:c r="N938" s="8" t="str">
        <x:v>ยังไม่ยืนยัน</x:v>
      </x:c>
      <x:c r="O938" s="8" t="str">
        <x:v>ตรวจการเปิด ตัวตนสาขา ช่องทางติดต่อ และเงื่อนไขบังคับตามประเภท</x:v>
      </x:c>
      <x:c r="P938" s="40" t="n">
        <x:v>46316</x:v>
      </x:c>
      <x:c r="Q938" s="59" t="str">
        <x:v>ยังไม่ตรวจ</x:v>
      </x:c>
      <x:c r="R938" s="59" t="str">
        <x:v>รอติดต่อ</x:v>
      </x:c>
    </x:row>
    <x:row r="939" ht="84" customHeight="1">
      <x:c r="A939" s="2" t="str">
        <x:v>R26-238</x:v>
      </x:c>
      <x:c r="B939" s="8" t="str">
        <x:v>สถานตากอากาศบางปู</x:v>
      </x:c>
      <x:c r="C939" s="8" t="str">
        <x:v>สมุทรปราการ</x:v>
      </x:c>
      <x:c r="D939" s="8" t="str">
        <x:v>อยู่ในชุด 600 ตามเส้นทาง</x:v>
      </x:c>
      <x:c r="E939" s="8" t="str">
        <x:v>พบชื่อสัมพันธ์หลายเว็บไซต์ รอยืนยันสาขา</x:v>
      </x:c>
      <x:c r="F939" s="8" t="str">
        <x:v>ยังไม่ยืนยันการเปิดให้บริการปัจจุบัน</x:v>
      </x:c>
      <x:c r="G939" s="8" t="n">
        <x:v>15</x:v>
      </x:c>
      <x:c r="H939" s="8" t="str">
        <x:v>https://www.youtube.com/watch?v=m-sXQcSKy1E</x:v>
      </x:c>
      <x:c r="I939" s="8" t="str"/>
      <x:c r="J939" s="8" t="str"/>
      <x:c r="K939" s="8" t="str"/>
      <x:c r="L939" s="8" t="str">
        <x:v>https://samutprakan.mots.go.th/news/501</x:v>
      </x:c>
      <x:c r="M939" s="8" t="str">
        <x:v>https://www.thailandtourismdirectory.go.th/attraction/1557</x:v>
      </x:c>
      <x:c r="N939" s="8" t="str">
        <x:v>ยังไม่ยืนยัน</x:v>
      </x:c>
      <x:c r="O939" s="8" t="str">
        <x:v>ตรวจการเปิด ตัวตนสาขา ช่องทางติดต่อ และเงื่อนไขบังคับตามประเภท</x:v>
      </x:c>
      <x:c r="P939" s="40" t="n">
        <x:v>46316</x:v>
      </x:c>
      <x:c r="Q939" s="59" t="str">
        <x:v>ยังไม่ตรวจ</x:v>
      </x:c>
      <x:c r="R939" s="59" t="str">
        <x:v>รอติดต่อ</x:v>
      </x:c>
    </x:row>
    <x:row r="940" ht="84" customHeight="1">
      <x:c r="A940" s="2" t="str">
        <x:v>R26-239</x:v>
      </x:c>
      <x:c r="B940" s="8" t="str">
        <x:v>สวนศรีนครเขื่อนขันธ์</x:v>
      </x:c>
      <x:c r="C940" s="8" t="str">
        <x:v>สมุทรปราการ</x:v>
      </x:c>
      <x:c r="D940" s="8" t="str">
        <x:v>อยู่ในชุด 600 ตามเส้นทาง</x:v>
      </x:c>
      <x:c r="E940" s="8" t="str">
        <x:v>พบชื่อสัมพันธ์หลายเว็บไซต์ รอยืนยันสาขา</x:v>
      </x:c>
      <x:c r="F940" s="8" t="str">
        <x:v>ยังไม่ยืนยันการเปิดให้บริการปัจจุบัน</x:v>
      </x:c>
      <x:c r="G940" s="8" t="n">
        <x:v>11</x:v>
      </x:c>
      <x:c r="H940" s="8" t="str">
        <x:v>https://www.youtube.com/watch?v=j-jtINhHjZQ</x:v>
      </x:c>
      <x:c r="I940" s="8" t="str"/>
      <x:c r="J940" s="8" t="str"/>
      <x:c r="K940" s="8" t="str"/>
      <x:c r="L940" s="8" t="str">
        <x:v>https://www.onep.go.th/ebook/eurban/bangkachao-2562.pdf</x:v>
      </x:c>
      <x:c r="M940" s="8" t="str">
        <x:v>https://cbtthailand.dasta.or.th/webapp/relattraction/content/6/</x:v>
      </x:c>
      <x:c r="N940" s="8" t="str">
        <x:v>ยังไม่ยืนยัน</x:v>
      </x:c>
      <x:c r="O940" s="8" t="str">
        <x:v>ตรวจการเปิด ตัวตนสาขา ช่องทางติดต่อ และเงื่อนไขบังคับตามประเภท</x:v>
      </x:c>
      <x:c r="P940" s="40" t="n">
        <x:v>46316</x:v>
      </x:c>
      <x:c r="Q940" s="59" t="str">
        <x:v>ยังไม่ตรวจ</x:v>
      </x:c>
      <x:c r="R940" s="59" t="str">
        <x:v>รอติดต่อ</x:v>
      </x:c>
    </x:row>
    <x:row r="941" ht="84" customHeight="1">
      <x:c r="A941" s="2" t="str">
        <x:v>R26-241</x:v>
      </x:c>
      <x:c r="B941" s="8" t="str">
        <x:v>เมืองโบราณ สมุทรปราการ</x:v>
      </x:c>
      <x:c r="C941" s="8" t="str">
        <x:v>สมุทรปราการ</x:v>
      </x:c>
      <x:c r="D941" s="8" t="str">
        <x:v>อยู่ในชุด 600 ตามเส้นทาง</x:v>
      </x:c>
      <x:c r="E941" s="8" t="str">
        <x:v>พบชื่อสัมพันธ์หลายเว็บไซต์ รอยืนยันสาขา</x:v>
      </x:c>
      <x:c r="F941" s="8" t="str">
        <x:v>ยังไม่ยืนยันการเปิดให้บริการปัจจุบัน</x:v>
      </x:c>
      <x:c r="G941" s="8" t="n">
        <x:v>4</x:v>
      </x:c>
      <x:c r="H941" s="8" t="str">
        <x:v>https://www.youtube.com/watch?v=0x5M2vRoUnw</x:v>
      </x:c>
      <x:c r="I941" s="8" t="str"/>
      <x:c r="J941" s="8" t="str"/>
      <x:c r="K941" s="8" t="str"/>
      <x:c r="L941" s="8" t="str">
        <x:v>https://www.samutprakan.go.th/portfolio/%E0%B9%80%E0%B8%A1%E0%B8%B7%E0%B8%AD%E0%B8%87%E0%B9%82%E0%B8%9A%E0%B8%A3%E0%B8%B2%E0%B8%93-2/</x:v>
      </x:c>
      <x:c r="M941" s="8" t="str">
        <x:v>https://www.muangboran.co.th/</x:v>
      </x:c>
      <x:c r="N941" s="8" t="str">
        <x:v>ยังไม่ยืนยัน</x:v>
      </x:c>
      <x:c r="O941" s="8" t="str">
        <x:v>ตรวจการเปิด ตัวตนสาขา ช่องทางติดต่อ และเงื่อนไขบังคับตามประเภท</x:v>
      </x:c>
      <x:c r="P941" s="40" t="n">
        <x:v>46316</x:v>
      </x:c>
      <x:c r="Q941" s="59" t="str">
        <x:v>ยังไม่ตรวจ</x:v>
      </x:c>
      <x:c r="R941" s="59" t="str">
        <x:v>รอติดต่อ</x:v>
      </x:c>
    </x:row>
    <x:row r="942" ht="84" customHeight="1">
      <x:c r="A942" s="2" t="str">
        <x:v>R26-240</x:v>
      </x:c>
      <x:c r="B942" s="8" t="str">
        <x:v>ชุมชนบางกะเจ้า</x:v>
      </x:c>
      <x:c r="C942" s="8" t="str">
        <x:v>สมุทรปราการ</x:v>
      </x:c>
      <x:c r="D942" s="8" t="str">
        <x:v>อยู่ในชุด 600 ตามเส้นทาง</x:v>
      </x:c>
      <x:c r="E942" s="8" t="str">
        <x:v>พบชื่อสัมพันธ์หลายเว็บไซต์ รอยืนยันสาขา</x:v>
      </x:c>
      <x:c r="F942" s="8" t="str">
        <x:v>ยังไม่ยืนยันการเปิดให้บริการปัจจุบัน</x:v>
      </x:c>
      <x:c r="G942" s="8" t="n">
        <x:v>9</x:v>
      </x:c>
      <x:c r="H942" s="8" t="str"/>
      <x:c r="I942" s="8" t="str"/>
      <x:c r="J942" s="8" t="str"/>
      <x:c r="K942" s="8" t="str"/>
      <x:c r="L942" s="8" t="str">
        <x:v>https://bangkachao.go.th/</x:v>
      </x:c>
      <x:c r="M942" s="8" t="str">
        <x:v>https://www.dasta.or.th/th/article/315</x:v>
      </x:c>
      <x:c r="N942" s="8" t="str">
        <x:v>ยังไม่ยืนยัน</x:v>
      </x:c>
      <x:c r="O942" s="8" t="str">
        <x:v>ตรวจการเปิด ตัวตนสาขา ช่องทางติดต่อ และเงื่อนไขบังคับตามประเภท</x:v>
      </x:c>
      <x:c r="P942" s="40" t="n">
        <x:v>46316</x:v>
      </x:c>
      <x:c r="Q942" s="59" t="str">
        <x:v>ยังไม่ตรวจ</x:v>
      </x:c>
      <x:c r="R942" s="59" t="str">
        <x:v>รอติดต่อ</x:v>
      </x:c>
    </x:row>
    <x:row r="943" ht="84" customHeight="1">
      <x:c r="A943" s="2" t="str">
        <x:v>R26-322</x:v>
      </x:c>
      <x:c r="B943" s="8" t="str">
        <x:v>ฟาร์มจระเข้และสวนสัตว์สมุทรปราการ</x:v>
      </x:c>
      <x:c r="C943" s="8" t="str">
        <x:v>สมุทรปราการ</x:v>
      </x:c>
      <x:c r="D943" s="8" t="str">
        <x:v>อยู่ในชุด 600 ตามเส้นทาง</x:v>
      </x:c>
      <x:c r="E943" s="8" t="str">
        <x:v>พบชื่อสัมพันธ์หลายเว็บไซต์ รอยืนยันสาขา</x:v>
      </x:c>
      <x:c r="F943" s="8" t="str">
        <x:v>ยังไม่ยืนยันการเปิดให้บริการปัจจุบัน</x:v>
      </x:c>
      <x:c r="G943" s="8" t="n">
        <x:v>12</x:v>
      </x:c>
      <x:c r="H943" s="8" t="str">
        <x:v>https://www.youtube.com/watch?v=cO9Z4CwoP5c</x:v>
      </x:c>
      <x:c r="I943" s="8" t="str"/>
      <x:c r="J943" s="8" t="str"/>
      <x:c r="K943" s="8" t="str"/>
      <x:c r="L943" s="8" t="str">
        <x:v>https://samutprakan.mots.go.th/news/502</x:v>
      </x:c>
      <x:c r="M943" s="8" t="str">
        <x:v>https://cbtthailand.dasta.or.th/webapp/relattraction/content/3872/</x:v>
      </x:c>
      <x:c r="N943" s="8" t="str">
        <x:v>ยังไม่ยืนยัน</x:v>
      </x:c>
      <x:c r="O943" s="8" t="str">
        <x:v>ตรวจการเปิด ตัวตนสาขา ช่องทางติดต่อ และเงื่อนไขบังคับตามประเภท</x:v>
      </x:c>
      <x:c r="P943" s="40" t="n">
        <x:v>46316</x:v>
      </x:c>
      <x:c r="Q943" s="59" t="str">
        <x:v>ยังไม่ตรวจ</x:v>
      </x:c>
      <x:c r="R943" s="59" t="str">
        <x:v>รอติดต่อ</x:v>
      </x:c>
    </x:row>
    <x:row r="944" ht="84" customHeight="1">
      <x:c r="A944" s="2" t="str">
        <x:v>R26-298</x:v>
      </x:c>
      <x:c r="B944" s="8" t="str">
        <x:v>Tamarind Springs Forest Spa Koh Samui</x:v>
      </x:c>
      <x:c r="C944" s="8" t="str">
        <x:v>สุราษฎร์ธานี</x:v>
      </x:c>
      <x:c r="D944" s="8" t="str">
        <x:v>อยู่ในชุด 600 ตามเส้นทาง</x:v>
      </x:c>
      <x:c r="E944" s="8" t="str">
        <x:v>พบชื่อสัมพันธ์หลายเว็บไซต์ รอยืนยันสาขา</x:v>
      </x:c>
      <x:c r="F944" s="8" t="str">
        <x:v>ยังไม่ยืนยันการเปิดให้บริการปัจจุบัน</x:v>
      </x:c>
      <x:c r="G944" s="8" t="n">
        <x:v>2</x:v>
      </x:c>
      <x:c r="H944" s="8" t="str">
        <x:v>https://www.facebook.com/TamarindSprings</x:v>
      </x:c>
      <x:c r="I944" s="8" t="str">
        <x:v>https://www.instagram.com/tamarindsprings/</x:v>
      </x:c>
      <x:c r="J944" s="8" t="str"/>
      <x:c r="K944" s="8" t="str"/>
      <x:c r="L944" s="8" t="str">
        <x:v>https://tamarindspa.com/</x:v>
      </x:c>
      <x:c r="M944" s="8" t="str">
        <x:v>https://tamarindsprings.com/en</x:v>
      </x:c>
      <x:c r="N944" s="8" t="str">
        <x:v>ยังไม่ยืนยัน</x:v>
      </x:c>
      <x:c r="O944" s="8" t="str">
        <x:v>ตรวจการเปิด ตัวตนสาขา ช่องทางติดต่อ และเงื่อนไขบังคับตามประเภท</x:v>
      </x:c>
      <x:c r="P944" s="40" t="n">
        <x:v>46316</x:v>
      </x:c>
      <x:c r="Q944" s="59" t="str">
        <x:v>ยังไม่ตรวจ</x:v>
      </x:c>
      <x:c r="R944" s="59" t="str">
        <x:v>รอติดต่อ</x:v>
      </x:c>
    </x:row>
    <x:row r="945" ht="84" customHeight="1">
      <x:c r="A945" s="2" t="str">
        <x:v>R26-231</x:v>
      </x:c>
      <x:c r="B945" s="8" t="str">
        <x:v>อุทยานแห่งชาติเขาสก</x:v>
      </x:c>
      <x:c r="C945" s="8" t="str">
        <x:v>สุราษฎร์ธานี</x:v>
      </x:c>
      <x:c r="D945" s="8" t="str">
        <x:v>อยู่ในชุด 600 ตามเส้นทาง</x:v>
      </x:c>
      <x:c r="E945" s="8" t="str">
        <x:v>พบชื่อสัมพันธ์หลายเว็บไซต์ รอยืนยันสาขา</x:v>
      </x:c>
      <x:c r="F945" s="8" t="str">
        <x:v>ยังไม่ยืนยันการเปิดให้บริการปัจจุบัน</x:v>
      </x:c>
      <x:c r="G945" s="8" t="n">
        <x:v>15</x:v>
      </x:c>
      <x:c r="H945" s="8" t="str"/>
      <x:c r="I945" s="8" t="str"/>
      <x:c r="J945" s="8" t="str">
        <x:v>https://www.wongnai.com/attractions/324283zg-%E0%B8%AD%E0%B8%B8%E0%B8%97%E0%B8%A2%E0%B8%B2%E0%B8%99%E0%B9%81%E0%B8%AB%E0%B9%88%E0%B8%87%E0%B8%8A%E0%B8%B2%E0%B8%95%E0%B8%B4%E0%B9%80%E0%B8%82%E0%B8%B2%E0%B8%AA%E0%B8%81?_st=cD0wO2I9MzI0MjgzO2FkPWZhbHNlO3Q9MTY0ODc0MjA5Mjg2NDtyaT0xWDdhUjdHN1lPdDB1UHl5dHVkN21uWFRCRTEweXU7aT0xWDZ6dVIxaTdxRm82RTM2TmptU05ZNDBOdk1UU0o7d3JlZj1zcjs%3D</x:v>
      </x:c>
      <x:c r="K945" s="8" t="str"/>
      <x:c r="L945" s="8" t="str">
        <x:v>https://booking.dnp.go.th/parksdetail.php?id=21</x:v>
      </x:c>
      <x:c r="M945" s="8" t="str">
        <x:v>https://tourismproduct.tourismthailand.org/th/destination/7812</x:v>
      </x:c>
      <x:c r="N945" s="8" t="str">
        <x:v>ยังไม่ยืนยัน</x:v>
      </x:c>
      <x:c r="O945" s="8" t="str">
        <x:v>ตรวจการเปิด ตัวตนสาขา ช่องทางติดต่อ และเงื่อนไขบังคับตามประเภท</x:v>
      </x:c>
      <x:c r="P945" s="40" t="n">
        <x:v>46316</x:v>
      </x:c>
      <x:c r="Q945" s="59" t="str">
        <x:v>ยังไม่ตรวจ</x:v>
      </x:c>
      <x:c r="R945" s="59" t="str">
        <x:v>รอติดต่อ</x:v>
      </x:c>
    </x:row>
    <x:row r="946" ht="84" customHeight="1">
      <x:c r="A946" s="2" t="str">
        <x:v>R26-232</x:v>
      </x:c>
      <x:c r="B946" s="8" t="str">
        <x:v>เขื่อนรัชชประภา</x:v>
      </x:c>
      <x:c r="C946" s="8" t="str">
        <x:v>สุราษฎร์ธานี</x:v>
      </x:c>
      <x:c r="D946" s="8" t="str">
        <x:v>อยู่ในชุด 600 ตามเส้นทาง</x:v>
      </x:c>
      <x:c r="E946" s="8" t="str">
        <x:v>พบชื่อสัมพันธ์หลายเว็บไซต์ รอยืนยันสาขา</x:v>
      </x:c>
      <x:c r="F946" s="8" t="str">
        <x:v>ยังไม่ยืนยันการเปิดให้บริการปัจจุบัน</x:v>
      </x:c>
      <x:c r="G946" s="8" t="n">
        <x:v>13</x:v>
      </x:c>
      <x:c r="H946" s="8" t="str">
        <x:v>https://www.youtube.com/watch?v=CaackNou5Zk</x:v>
      </x:c>
      <x:c r="I946" s="8" t="str"/>
      <x:c r="J946" s="8" t="str"/>
      <x:c r="K946" s="8" t="str"/>
      <x:c r="L946" s="8" t="str">
        <x:v>https://dwr.go.th/news_inside.php?news_id=127242</x:v>
      </x:c>
      <x:c r="M946" s="8" t="str">
        <x:v>https://suratthani.prd.go.th/th/content/category/detail/id/289/iid/3828</x:v>
      </x:c>
      <x:c r="N946" s="8" t="str">
        <x:v>ยังไม่ยืนยัน</x:v>
      </x:c>
      <x:c r="O946" s="8" t="str">
        <x:v>ตรวจการเปิด ตัวตนสาขา ช่องทางติดต่อ และเงื่อนไขบังคับตามประเภท</x:v>
      </x:c>
      <x:c r="P946" s="40" t="n">
        <x:v>46316</x:v>
      </x:c>
      <x:c r="Q946" s="59" t="str">
        <x:v>ยังไม่ตรวจ</x:v>
      </x:c>
      <x:c r="R946" s="59" t="str">
        <x:v>รอติดต่อ</x:v>
      </x:c>
    </x:row>
    <x:row r="947" ht="84" customHeight="1">
      <x:c r="A947" s="2" t="str">
        <x:v>R26-229</x:v>
      </x:c>
      <x:c r="B947" s="8" t="str">
        <x:v>ชุมชนบ้านพุมเรียง</x:v>
      </x:c>
      <x:c r="C947" s="8" t="str">
        <x:v>สุราษฎร์ธานี</x:v>
      </x:c>
      <x:c r="D947" s="8" t="str">
        <x:v>อยู่ในชุด 600 ตามเส้นทาง</x:v>
      </x:c>
      <x:c r="E947" s="8" t="str">
        <x:v>พบชื่อสัมพันธ์หลายเว็บไซต์ รอยืนยันสาขา</x:v>
      </x:c>
      <x:c r="F947" s="8" t="str">
        <x:v>ยังไม่ยืนยันการเปิดให้บริการปัจจุบัน</x:v>
      </x:c>
      <x:c r="G947" s="8" t="n">
        <x:v>7</x:v>
      </x:c>
      <x:c r="H947" s="8" t="str">
        <x:v>https://www.youtube.com/watch?v=xh7sE61H2Eg</x:v>
      </x:c>
      <x:c r="I947" s="8" t="str"/>
      <x:c r="J947" s="8" t="str"/>
      <x:c r="K947" s="8" t="str"/>
      <x:c r="L947" s="8" t="str">
        <x:v>https://wikicommunity.sac.or.th/community/285</x:v>
      </x:c>
      <x:c r="M947" s="8" t="str">
        <x:v>https://www.thailandtourismdirectory.go.th/attraction/1013</x:v>
      </x:c>
      <x:c r="N947" s="8" t="str">
        <x:v>ยังไม่ยืนยัน</x:v>
      </x:c>
      <x:c r="O947" s="8" t="str">
        <x:v>ตรวจการเปิด ตัวตนสาขา ช่องทางติดต่อ และเงื่อนไขบังคับตามประเภท</x:v>
      </x:c>
      <x:c r="P947" s="40" t="n">
        <x:v>46316</x:v>
      </x:c>
      <x:c r="Q947" s="59" t="str">
        <x:v>ยังไม่ตรวจ</x:v>
      </x:c>
      <x:c r="R947" s="59" t="str">
        <x:v>รอติดต่อ</x:v>
      </x:c>
    </x:row>
    <x:row r="948" ht="84" customHeight="1">
      <x:c r="A948" s="2" t="str">
        <x:v>R26-230</x:v>
      </x:c>
      <x:c r="B948" s="8" t="str">
        <x:v>ชุมชนบ้านลีเล็ด</x:v>
      </x:c>
      <x:c r="C948" s="8" t="str">
        <x:v>สุราษฎร์ธานี</x:v>
      </x:c>
      <x:c r="D948" s="8" t="str">
        <x:v>อยู่ในชุด 600 ตามเส้นทาง</x:v>
      </x:c>
      <x:c r="E948" s="8" t="str">
        <x:v>พบชื่อสัมพันธ์หลายเว็บไซต์ รอยืนยันสาขา</x:v>
      </x:c>
      <x:c r="F948" s="8" t="str">
        <x:v>ยังไม่ยืนยันการเปิดให้บริการปัจจุบัน</x:v>
      </x:c>
      <x:c r="G948" s="8" t="n">
        <x:v>14</x:v>
      </x:c>
      <x:c r="H948" s="8" t="str">
        <x:v>https://www.youtube.com/watch?v=CUwbS5DWr0U</x:v>
      </x:c>
      <x:c r="I948" s="8" t="str"/>
      <x:c r="J948" s="8" t="str"/>
      <x:c r="K948" s="8" t="str"/>
      <x:c r="L948" s="8" t="str">
        <x:v>https://wikicommunity.sac.or.th/community/1055</x:v>
      </x:c>
      <x:c r="M948" s="8" t="str">
        <x:v>https://www.sanook.com/travel/1403385/</x:v>
      </x:c>
      <x:c r="N948" s="8" t="str">
        <x:v>ยังไม่ยืนยัน</x:v>
      </x:c>
      <x:c r="O948" s="8" t="str">
        <x:v>ตรวจการเปิด ตัวตนสาขา ช่องทางติดต่อ และเงื่อนไขบังคับตามประเภท</x:v>
      </x:c>
      <x:c r="P948" s="40" t="n">
        <x:v>46316</x:v>
      </x:c>
      <x:c r="Q948" s="59" t="str">
        <x:v>ยังไม่ตรวจ</x:v>
      </x:c>
      <x:c r="R948" s="59" t="str">
        <x:v>รอติดต่อ</x:v>
      </x:c>
    </x:row>
  </x:sheetData>
  <x:dataValidations count="2">
    <x:dataValidation type="list" sqref="Q9:Q948">
      <x:formula1>"ยังไม่ตรวจ,ยืนยันตรงสาขา,คนละสาขา,ไม่ตรงตัวตน"</x:formula1>
    </x:dataValidation>
    <x:dataValidation type="list" sqref="R9:R948">
      <x:formula1>"รอติดต่อ,ยืนยันเปิดจากผู้ประกอบการ,ปิดชั่วคราว,ปิดถาวร,ติดต่อไม่ได้"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4a6ed0cdcc48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24" hidden="0" customWidth="1"/>
    <x:col min="4" max="4" width="40" hidden="0" customWidth="1"/>
    <x:col min="5" max="5" width="12" hidden="0" customWidth="1"/>
    <x:col min="6" max="6" width="20" hidden="0" customWidth="1"/>
    <x:col min="7" max="7" width="43" hidden="0" customWidth="1"/>
    <x:col min="8" max="8" width="29" hidden="0" customWidth="1"/>
    <x:col min="9" max="9" width="18" hidden="0" customWidth="1"/>
    <x:col min="10" max="10" width="18" hidden="0" customWidth="1"/>
    <x:col min="11" max="11" width="47" hidden="0" customWidth="1"/>
    <x:col min="12" max="12" width="90" hidden="0" customWidth="1"/>
    <x:col min="13" max="13" width="30" hidden="0" customWidth="1"/>
    <x:col min="14" max="14" width="30" hidden="0" customWidth="1"/>
    <x:col min="15" max="15" width="18" hidden="0" customWidth="1"/>
    <x:col min="16" max="16" width="33" hidden="0" customWidth="1"/>
    <x:col min="17" max="17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2"/>
      <x:c r="B2" s="3" t="str">
        <x:v>เทียบทะเบียนสาธารณะ GMHI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>
      <x:c r="A4" s="2"/>
      <x:c r="B4" s="19" t="str">
        <x:v>29 ชื่อในทะเบียน รวมเป็น 27 ธุรกิจ ทุกธุรกิจอยู่ในชุด 600 มีชื่อซ้ำ Regent และ Just Salt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/>
      <x:c r="B5" s="19" t="str">
        <x:v>ดาว GMHI และใบรับรองอาหารฮาลาลเป็นหลักฐานคนละรายการ วันที่ใบรับรองลงเฉพาะภาพที่จับคู่ชื่อได้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19" t="str">
        <x:v>ตรวจทะเบียนสาธารณะซ้ำ 21/10/2026: 29 รายชื่อ รวมเป็น 27 กิจการ; ภาพใบรับรองยังอ้างอิงการตรวจ 20/10/2026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34" customHeight="1">
      <x:c r="A8" s="16" t="str">
        <x:v>รหัสทะเบียน</x:v>
      </x:c>
      <x:c r="B8" s="17" t="str">
        <x:v>ชื่อในทะเบียน</x:v>
      </x:c>
      <x:c r="C8" s="17" t="str">
        <x:v>จังหวัด</x:v>
      </x:c>
      <x:c r="D8" s="17" t="str">
        <x:v>ประเภท</x:v>
      </x:c>
      <x:c r="E8" s="17" t="str">
        <x:v>ดาวในทะเบียน</x:v>
      </x:c>
      <x:c r="F8" s="17" t="str">
        <x:v>ช่องใบรับรอง</x:v>
      </x:c>
      <x:c r="G8" s="17" t="str">
        <x:v>ชื่อบนภาพใบรับรอง</x:v>
      </x:c>
      <x:c r="H8" s="17" t="str">
        <x:v>เลขใบรับรองในภาพ</x:v>
      </x:c>
      <x:c r="I8" s="17" t="str">
        <x:v>วันออก (จับคู่ชื่อ)</x:v>
      </x:c>
      <x:c r="J8" s="17" t="str">
        <x:v>หมดอายุ (จับคู่ชื่อ)</x:v>
      </x:c>
      <x:c r="K8" s="17" t="str">
        <x:v>ผลจับคู่ภาพ</x:v>
      </x:c>
      <x:c r="L8" s="17" t="str">
        <x:v>ประเด็นต้องยืนยัน</x:v>
      </x:c>
      <x:c r="M8" s="17" t="str">
        <x:v>ทะเบียนสาธารณะ</x:v>
      </x:c>
      <x:c r="N8" s="17" t="str">
        <x:v>ภาพใบรับรอง</x:v>
      </x:c>
      <x:c r="O8" s="17" t="str">
        <x:v>รหัสในชุด 600</x:v>
      </x:c>
      <x:c r="P8" s="17" t="str">
        <x:v>ผลรวมชื่อซ้ำ</x:v>
      </x:c>
      <x:c r="Q8" s="18" t="str">
        <x:v>วันที่ตรวจ</x:v>
      </x:c>
    </x:row>
    <x:row r="9" ht="76" customHeight="1">
      <x:c r="A9" s="24" t="str">
        <x:v>48</x:v>
      </x:c>
      <x:c r="B9" s="20" t="str">
        <x:v>Nikudake Halal Wagyu Sukiyaki</x:v>
      </x:c>
      <x:c r="C9" s="20" t="str">
        <x:v>สงขลา</x:v>
      </x:c>
      <x:c r="D9" s="20" t="str">
        <x:v>ร้านอาหารและคาเฟ่</x:v>
      </x:c>
      <x:c r="E9" s="29" t="n">
        <x:v>6</x:v>
      </x:c>
      <x:c r="F9" s="30" t="str">
        <x:v>GMHI</x:v>
      </x:c>
      <x:c r="G9" s="20" t="str">
        <x:v>NIKUDAKE HALAL WAGYU SUKIYAKI</x:v>
      </x:c>
      <x:c r="H9" s="20" t="str">
        <x:v>GMHI-2026-TH-020703</x:v>
      </x:c>
      <x:c r="I9" s="28" t="n">
        <x:v>46205</x:v>
      </x:c>
      <x:c r="J9" s="28" t="n">
        <x:v>47300</x:v>
      </x:c>
      <x:c r="K9" s="20" t="str">
        <x:v>ชื่อตรงกับรายการ</x:v>
      </x:c>
      <x:c r="L9" s="20" t="str">
        <x:v>อ่านวันออกและวันหมดอายุจากภาพใบรับรองสาธารณะ</x:v>
      </x:c>
      <x:c r="M9" s="23" t="str">
        <x:v>https://gmhi.co/th-th/services/Nikudake%20Halal%20Wagyu%20Sukiyaki-48</x:v>
      </x:c>
      <x:c r="N9" s="23" t="str">
        <x:v>https://gmhi.co/images/2026/08/CERTIFICATE22202608051403181.png</x:v>
      </x:c>
      <x:c r="O9" s="20" t="str">
        <x:v>GMHI-48</x:v>
      </x:c>
      <x:c r="P9" s="20" t="str">
        <x:v>อยู่ในชุด 600</x:v>
      </x:c>
      <x:c r="Q9" s="25" t="n">
        <x:v>46316</x:v>
      </x:c>
    </x:row>
    <x:row r="10" ht="76" customHeight="1">
      <x:c r="A10" s="24" t="str">
        <x:v>27</x:v>
      </x:c>
      <x:c r="B10" s="20" t="str">
        <x:v>H-Banaat</x:v>
      </x:c>
      <x:c r="C10" s="20" t="str">
        <x:v>กรุงเทพมหานคร</x:v>
      </x:c>
      <x:c r="D10" s="20" t="str">
        <x:v>ที่พัก</x:v>
      </x:c>
      <x:c r="E10" s="29" t="n">
        <x:v>4</x:v>
      </x:c>
      <x:c r="F10" s="30" t="str">
        <x:v>GMHI</x:v>
      </x:c>
      <x:c r="G10" s="20" t="str">
        <x:v>ยังไม่พบภาพ</x:v>
      </x:c>
      <x:c r="H10" s="20" t="str"/>
      <x:c r="I10" s="28" t="str"/>
      <x:c r="J10" s="28" t="str"/>
      <x:c r="K10" s="20" t="str">
        <x:v>ยังไม่ยืนยันจากภาพ</x:v>
      </x:c>
      <x:c r="L10" s="20" t="str">
        <x:v>ยังไม่ยืนยันใบฉบับปัจจุบันและวันหมดอายุ</x:v>
      </x:c>
      <x:c r="M10" s="23" t="str">
        <x:v>https://gmhi.co/th-th/services/H-Banaat-27</x:v>
      </x:c>
      <x:c r="N10" s="23"/>
      <x:c r="O10" s="20" t="str">
        <x:v>GMHI-27</x:v>
      </x:c>
      <x:c r="P10" s="20" t="str">
        <x:v>อยู่ในชุด 600</x:v>
      </x:c>
      <x:c r="Q10" s="25" t="n">
        <x:v>46316</x:v>
      </x:c>
    </x:row>
    <x:row r="11" ht="76" customHeight="1">
      <x:c r="A11" s="24" t="str">
        <x:v>22</x:v>
      </x:c>
      <x:c r="B11" s="20" t="str">
        <x:v>สไปซี่คัก</x:v>
      </x:c>
      <x:c r="C11" s="20" t="str">
        <x:v>กรุงเทพมหานคร</x:v>
      </x:c>
      <x:c r="D11" s="20" t="str">
        <x:v>ร้านอาหารและคาเฟ่</x:v>
      </x:c>
      <x:c r="E11" s="29" t="n">
        <x:v>6</x:v>
      </x:c>
      <x:c r="F11" s="30" t="str">
        <x:v>GMHI</x:v>
      </x:c>
      <x:c r="G11" s="20" t="str">
        <x:v>ยังไม่พบภาพ</x:v>
      </x:c>
      <x:c r="H11" s="20" t="str"/>
      <x:c r="I11" s="28" t="str"/>
      <x:c r="J11" s="28" t="str"/>
      <x:c r="K11" s="20" t="str">
        <x:v>ยังไม่ยืนยันจากภาพ</x:v>
      </x:c>
      <x:c r="L11" s="20" t="str">
        <x:v>ยังไม่ยืนยันใบฉบับปัจจุบันและวันหมดอายุ</x:v>
      </x:c>
      <x:c r="M11" s="23" t="str">
        <x:v>https://gmhi.co/th-th/services/%E0%B8%AA%E0%B9%84%E0%B8%9B%E0%B8%8B%E0%B8%B5%E0%B9%88%E0%B8%84%E0%B8%B1%E0%B8%81-22</x:v>
      </x:c>
      <x:c r="N11" s="23"/>
      <x:c r="O11" s="20" t="str">
        <x:v>TMF-087</x:v>
      </x:c>
      <x:c r="P11" s="20" t="str">
        <x:v>อยู่ในชุด 600</x:v>
      </x:c>
      <x:c r="Q11" s="25" t="n">
        <x:v>46316</x:v>
      </x:c>
    </x:row>
    <x:row r="12" ht="76" customHeight="1">
      <x:c r="A12" s="24" t="str">
        <x:v>28</x:v>
      </x:c>
      <x:c r="B12" s="20" t="str">
        <x:v>The Grill</x:v>
      </x:c>
      <x:c r="C12" s="20" t="str">
        <x:v>กรุงเทพมหานคร</x:v>
      </x:c>
      <x:c r="D12" s="20" t="str">
        <x:v>ร้านอาหารและคาเฟ่</x:v>
      </x:c>
      <x:c r="E12" s="29" t="n">
        <x:v>5</x:v>
      </x:c>
      <x:c r="F12" s="30" t="str">
        <x:v>GMHI</x:v>
      </x:c>
      <x:c r="G12" s="20" t="str">
        <x:v>ยังไม่พบภาพ</x:v>
      </x:c>
      <x:c r="H12" s="20" t="str"/>
      <x:c r="I12" s="28" t="str"/>
      <x:c r="J12" s="28" t="str"/>
      <x:c r="K12" s="20" t="str">
        <x:v>ยังไม่ยืนยันจากภาพ</x:v>
      </x:c>
      <x:c r="L12" s="20" t="str">
        <x:v>ยังไม่ยืนยันใบฉบับปัจจุบันและวันหมดอายุ</x:v>
      </x:c>
      <x:c r="M12" s="23" t="str">
        <x:v>https://gmhi.co/th-th/services/The%20Grill-28</x:v>
      </x:c>
      <x:c r="N12" s="23"/>
      <x:c r="O12" s="20" t="str">
        <x:v>GMHI-28</x:v>
      </x:c>
      <x:c r="P12" s="20" t="str">
        <x:v>อยู่ในชุด 600</x:v>
      </x:c>
      <x:c r="Q12" s="25" t="n">
        <x:v>46316</x:v>
      </x:c>
    </x:row>
    <x:row r="13" ht="76" customHeight="1">
      <x:c r="A13" s="24" t="str">
        <x:v>38</x:v>
      </x:c>
      <x:c r="B13" s="20" t="str">
        <x:v>FARAYA Cruise Restaurant</x:v>
      </x:c>
      <x:c r="C13" s="20" t="str">
        <x:v>กรุงเทพมหานคร</x:v>
      </x:c>
      <x:c r="D13" s="20" t="str">
        <x:v>ร้านอาหารและคาเฟ่</x:v>
      </x:c>
      <x:c r="E13" s="29" t="n">
        <x:v>7</x:v>
      </x:c>
      <x:c r="F13" s="30" t="str">
        <x:v>ไม่ระบุ</x:v>
      </x:c>
      <x:c r="G13" s="20" t="str">
        <x:v>ยังไม่พบภาพ</x:v>
      </x:c>
      <x:c r="H13" s="20" t="str"/>
      <x:c r="I13" s="28" t="str"/>
      <x:c r="J13" s="28" t="str"/>
      <x:c r="K13" s="20" t="str">
        <x:v>ยังไม่ยืนยันจากภาพ</x:v>
      </x:c>
      <x:c r="L13" s="20" t="str">
        <x:v>ยังไม่ยืนยันใบฉบับปัจจุบันและวันหมดอายุ</x:v>
      </x:c>
      <x:c r="M13" s="23" t="str">
        <x:v>https://gmhi.co/th-th/services/FARAYA%20Cruise%20Restaurant-38</x:v>
      </x:c>
      <x:c r="N13" s="23"/>
      <x:c r="O13" s="20" t="str">
        <x:v>GMHI-38</x:v>
      </x:c>
      <x:c r="P13" s="20" t="str">
        <x:v>อยู่ในชุด 600</x:v>
      </x:c>
      <x:c r="Q13" s="25" t="n">
        <x:v>46316</x:v>
      </x:c>
    </x:row>
    <x:row r="14" ht="76" customHeight="1">
      <x:c r="A14" s="24" t="str">
        <x:v>31</x:v>
      </x:c>
      <x:c r="B14" s="20" t="str">
        <x:v>The Suan Dusit Place</x:v>
      </x:c>
      <x:c r="C14" s="20" t="str">
        <x:v>กรุงเทพมหานคร</x:v>
      </x:c>
      <x:c r="D14" s="20" t="str">
        <x:v>ที่พัก</x:v>
      </x:c>
      <x:c r="E14" s="29" t="n">
        <x:v>4</x:v>
      </x:c>
      <x:c r="F14" s="30" t="str">
        <x:v>ไม่ระบุ</x:v>
      </x:c>
      <x:c r="G14" s="20" t="str">
        <x:v>ยังไม่พบภาพ</x:v>
      </x:c>
      <x:c r="H14" s="20" t="str"/>
      <x:c r="I14" s="28" t="str"/>
      <x:c r="J14" s="28" t="str"/>
      <x:c r="K14" s="20" t="str">
        <x:v>ยังไม่ยืนยันจากภาพ</x:v>
      </x:c>
      <x:c r="L14" s="20" t="str">
        <x:v>ยังไม่ยืนยันใบฉบับปัจจุบันและวันหมดอายุ</x:v>
      </x:c>
      <x:c r="M14" s="23" t="str">
        <x:v>https://gmhi.co/th-th/services/The%20Suan%20Dusit%20Place-31</x:v>
      </x:c>
      <x:c r="N14" s="23"/>
      <x:c r="O14" s="20" t="str">
        <x:v>GMHI-31</x:v>
      </x:c>
      <x:c r="P14" s="20" t="str">
        <x:v>อยู่ในชุด 600</x:v>
      </x:c>
      <x:c r="Q14" s="25" t="n">
        <x:v>46316</x:v>
      </x:c>
    </x:row>
    <x:row r="15" ht="76" customHeight="1">
      <x:c r="A15" s="24" t="str">
        <x:v>54</x:v>
      </x:c>
      <x:c r="B15" s="20" t="str">
        <x:v>มิตรไมตรี dining café hatyai village</x:v>
      </x:c>
      <x:c r="C15" s="20" t="str">
        <x:v>สงขลา</x:v>
      </x:c>
      <x:c r="D15" s="20" t="str">
        <x:v>ร้านอาหารและคาเฟ่</x:v>
      </x:c>
      <x:c r="E15" s="29" t="n">
        <x:v>7</x:v>
      </x:c>
      <x:c r="F15" s="30" t="str">
        <x:v>GMHI</x:v>
      </x:c>
      <x:c r="G15" s="20" t="str">
        <x:v>MITMAITREE DINING CAFE HATYAI VILLAGE</x:v>
      </x:c>
      <x:c r="H15" s="20" t="str">
        <x:v>GMHI-2026-TH-020707</x:v>
      </x:c>
      <x:c r="I15" s="28" t="n">
        <x:v>46224</x:v>
      </x:c>
      <x:c r="J15" s="28" t="n">
        <x:v>47319</x:v>
      </x:c>
      <x:c r="K15" s="20" t="str">
        <x:v>ชื่อตรงกับรายการ แต่ระดับดาวต่างกัน</x:v>
      </x:c>
      <x:c r="L15" s="20" t="str">
        <x:v>ทะเบียนแสดง 7 ดาว แต่ภาพใบรับรองแสดง 6 ดาว ต้องสอบถามผู้ออกใบรับรอง</x:v>
      </x:c>
      <x:c r="M15" s="23" t="str">
        <x:v>https://gmhi.co/th-th/services/%E0%B8%A1%E0%B8%B4%E0%B8%95%E0%B8%A3%E0%B9%84%E0%B8%A1%E0%B8%95%E0%B8%A3%E0%B8%B5%20dining%20caf%C3%A9%20hatyai%20village-54</x:v>
      </x:c>
      <x:c r="N15" s="23" t="str">
        <x:v>https://gmhi.co/images/2026/08/CERTIFICATE52202608062253121.jpg</x:v>
      </x:c>
      <x:c r="O15" s="20" t="str">
        <x:v>GMHI-54</x:v>
      </x:c>
      <x:c r="P15" s="20" t="str">
        <x:v>อยู่ในชุด 600</x:v>
      </x:c>
      <x:c r="Q15" s="25" t="n">
        <x:v>46316</x:v>
      </x:c>
    </x:row>
    <x:row r="16" ht="76" customHeight="1">
      <x:c r="A16" s="24" t="str">
        <x:v>37</x:v>
      </x:c>
      <x:c r="B16" s="20" t="str">
        <x:v>Bi'halalika Roti &amp; Bistro</x:v>
      </x:c>
      <x:c r="C16" s="20" t="str">
        <x:v>กรุงเทพมหานคร</x:v>
      </x:c>
      <x:c r="D16" s="20" t="str">
        <x:v>ร้านอาหารและคาเฟ่</x:v>
      </x:c>
      <x:c r="E16" s="29" t="n">
        <x:v>7</x:v>
      </x:c>
      <x:c r="F16" s="30" t="str">
        <x:v>ไม่ระบุ</x:v>
      </x:c>
      <x:c r="G16" s="20" t="str">
        <x:v>ยังไม่พบภาพ</x:v>
      </x:c>
      <x:c r="H16" s="20" t="str"/>
      <x:c r="I16" s="28" t="str"/>
      <x:c r="J16" s="28" t="str"/>
      <x:c r="K16" s="20" t="str">
        <x:v>ยังไม่ยืนยันจากภาพ</x:v>
      </x:c>
      <x:c r="L16" s="20" t="str">
        <x:v>ยังไม่ยืนยันใบฉบับปัจจุบันและวันหมดอายุ</x:v>
      </x:c>
      <x:c r="M16" s="23" t="str">
        <x:v>https://gmhi.co/th-th/services/Bi%27halalika%20Roti%20%26%20Bistro-37</x:v>
      </x:c>
      <x:c r="N16" s="23"/>
      <x:c r="O16" s="20" t="str">
        <x:v>GMHI-37</x:v>
      </x:c>
      <x:c r="P16" s="20" t="str">
        <x:v>อยู่ในชุด 600</x:v>
      </x:c>
      <x:c r="Q16" s="25" t="n">
        <x:v>46316</x:v>
      </x:c>
    </x:row>
    <x:row r="17" ht="76" customHeight="1">
      <x:c r="A17" s="24" t="str">
        <x:v>50</x:v>
      </x:c>
      <x:c r="B17" s="20" t="str">
        <x:v>เนื้อล้วนล้วน Halal Wagyu Yakiniku Hatyai</x:v>
      </x:c>
      <x:c r="C17" s="20" t="str">
        <x:v>สงขลา</x:v>
      </x:c>
      <x:c r="D17" s="20" t="str">
        <x:v>ร้านอาหารและคาเฟ่</x:v>
      </x:c>
      <x:c r="E17" s="29" t="n">
        <x:v>6</x:v>
      </x:c>
      <x:c r="F17" s="30" t="str">
        <x:v>GMHI</x:v>
      </x:c>
      <x:c r="G17" s="20" t="str">
        <x:v>NIKUDAKE GRAND YAKINIKU</x:v>
      </x:c>
      <x:c r="H17" s="20" t="str">
        <x:v>GMHI-2026-TH-020704</x:v>
      </x:c>
      <x:c r="I17" s="28" t="str"/>
      <x:c r="J17" s="28" t="str"/>
      <x:c r="K17" s="20" t="str">
        <x:v>ชื่อในภาพต่างจากชื่อในทะเบียน</x:v>
      </x:c>
      <x:c r="L17" s="20" t="str">
        <x:v>ทะเบียนชื่อ เนื้อล้วนล้วน Halal Wagyu Yakiniku Hatyai ต้องยืนยันว่าเป็นชื่อใหม่หรือเอกสารผิดรายการ</x:v>
      </x:c>
      <x:c r="M17" s="23" t="str">
        <x:v>https://gmhi.co/th-th/services/%E0%B9%80%E0%B8%99%E0%B8%B7%E0%B9%89%E0%B8%AD%E0%B8%A5%E0%B9%89%E0%B8%A7%E0%B8%99%E0%B8%A5%E0%B9%89%E0%B8%A7%E0%B8%99%20Halal%20Wagyu%20Yakiniku%20Hatyai-50</x:v>
      </x:c>
      <x:c r="N17" s="23" t="str">
        <x:v>https://gmhi.co/images/2026/08/CERTIFICATE46202608061127321.png</x:v>
      </x:c>
      <x:c r="O17" s="20" t="str">
        <x:v>GMHI-50</x:v>
      </x:c>
      <x:c r="P17" s="20" t="str">
        <x:v>อยู่ในชุด 600</x:v>
      </x:c>
      <x:c r="Q17" s="25" t="n">
        <x:v>46316</x:v>
      </x:c>
    </x:row>
    <x:row r="18" ht="76" customHeight="1">
      <x:c r="A18" s="24" t="str">
        <x:v>33</x:v>
      </x:c>
      <x:c r="B18" s="20" t="str">
        <x:v>Just Salt Steak</x:v>
      </x:c>
      <x:c r="C18" s="20" t="str">
        <x:v>กรุงเทพมหานคร</x:v>
      </x:c>
      <x:c r="D18" s="20" t="str">
        <x:v>ร้านอาหารและคาเฟ่</x:v>
      </x:c>
      <x:c r="E18" s="29" t="n">
        <x:v>5</x:v>
      </x:c>
      <x:c r="F18" s="30" t="str">
        <x:v>GMHI</x:v>
      </x:c>
      <x:c r="G18" s="20" t="str">
        <x:v>ยังไม่พบภาพ</x:v>
      </x:c>
      <x:c r="H18" s="20" t="str"/>
      <x:c r="I18" s="28" t="str"/>
      <x:c r="J18" s="28" t="str"/>
      <x:c r="K18" s="20" t="str">
        <x:v>ยังไม่ยืนยันจากภาพ</x:v>
      </x:c>
      <x:c r="L18" s="20" t="str">
        <x:v>ยังไม่ยืนยันใบฉบับปัจจุบันและวันหมดอายุ</x:v>
      </x:c>
      <x:c r="M18" s="23" t="str">
        <x:v>https://gmhi.co/th-th/services/Just%20Salt%20Steak-33</x:v>
      </x:c>
      <x:c r="N18" s="23"/>
      <x:c r="O18" s="20" t="str">
        <x:v>GMHI-33</x:v>
      </x:c>
      <x:c r="P18" s="20" t="str">
        <x:v>อยู่ในชุด 600</x:v>
      </x:c>
      <x:c r="Q18" s="25" t="n">
        <x:v>46316</x:v>
      </x:c>
    </x:row>
    <x:row r="19" ht="76" customHeight="1">
      <x:c r="A19" s="24" t="str">
        <x:v>2</x:v>
      </x:c>
      <x:c r="B19" s="20" t="str">
        <x:v>Rembrandt Hotel Bangkok</x:v>
      </x:c>
      <x:c r="C19" s="20" t="str">
        <x:v>กรุงเทพมหานคร</x:v>
      </x:c>
      <x:c r="D19" s="20" t="str">
        <x:v>ที่พัก</x:v>
      </x:c>
      <x:c r="E19" s="29" t="n">
        <x:v>4</x:v>
      </x:c>
      <x:c r="F19" s="30" t="str">
        <x:v>GMHI</x:v>
      </x:c>
      <x:c r="G19" s="20" t="str">
        <x:v>ยังไม่พบภาพ</x:v>
      </x:c>
      <x:c r="H19" s="20" t="str"/>
      <x:c r="I19" s="28" t="str"/>
      <x:c r="J19" s="28" t="str"/>
      <x:c r="K19" s="20" t="str">
        <x:v>ยังไม่ยืนยันจากภาพ</x:v>
      </x:c>
      <x:c r="L19" s="20" t="str">
        <x:v>ยังไม่ยืนยันใบฉบับปัจจุบันและวันหมดอายุ</x:v>
      </x:c>
      <x:c r="M19" s="23" t="str">
        <x:v>https://gmhi.co/th-th/services/Rembrandt%20Hotel%20Bangkok-2</x:v>
      </x:c>
      <x:c r="N19" s="23"/>
      <x:c r="O19" s="20" t="str">
        <x:v>GMHI-2</x:v>
      </x:c>
      <x:c r="P19" s="20" t="str">
        <x:v>อยู่ในชุด 600</x:v>
      </x:c>
      <x:c r="Q19" s="25" t="n">
        <x:v>46316</x:v>
      </x:c>
    </x:row>
    <x:row r="20" ht="76" customHeight="1">
      <x:c r="A20" s="24" t="str">
        <x:v>30</x:v>
      </x:c>
      <x:c r="B20" s="20" t="str">
        <x:v>W22 by Burasari</x:v>
      </x:c>
      <x:c r="C20" s="20" t="str">
        <x:v>กรุงเทพมหานคร</x:v>
      </x:c>
      <x:c r="D20" s="20" t="str">
        <x:v>ที่พัก</x:v>
      </x:c>
      <x:c r="E20" s="29" t="n">
        <x:v>4</x:v>
      </x:c>
      <x:c r="F20" s="30" t="str">
        <x:v>ไม่ระบุ</x:v>
      </x:c>
      <x:c r="G20" s="20" t="str">
        <x:v>ยังไม่พบภาพ</x:v>
      </x:c>
      <x:c r="H20" s="20" t="str"/>
      <x:c r="I20" s="28" t="str"/>
      <x:c r="J20" s="28" t="str"/>
      <x:c r="K20" s="20" t="str">
        <x:v>ยังไม่ยืนยันจากภาพ</x:v>
      </x:c>
      <x:c r="L20" s="20" t="str">
        <x:v>ยังไม่ยืนยันใบฉบับปัจจุบันและวันหมดอายุ</x:v>
      </x:c>
      <x:c r="M20" s="23" t="str">
        <x:v>https://gmhi.co/th-th/services/W22%20by%20Burasari-30</x:v>
      </x:c>
      <x:c r="N20" s="23"/>
      <x:c r="O20" s="20" t="str">
        <x:v>GMHI-30</x:v>
      </x:c>
      <x:c r="P20" s="20" t="str">
        <x:v>อยู่ในชุด 600</x:v>
      </x:c>
      <x:c r="Q20" s="25" t="n">
        <x:v>46316</x:v>
      </x:c>
    </x:row>
    <x:row r="21" ht="76" customHeight="1">
      <x:c r="A21" s="24" t="str">
        <x:v>53</x:v>
      </x:c>
      <x:c r="B21" s="20" t="str">
        <x:v>Reborn</x:v>
      </x:c>
      <x:c r="C21" s="20" t="str">
        <x:v>สงขลา</x:v>
      </x:c>
      <x:c r="D21" s="20" t="str">
        <x:v>สถานประกอบการเพื่อสุขภาพและเวลเนส</x:v>
      </x:c>
      <x:c r="E21" s="29" t="n">
        <x:v>7</x:v>
      </x:c>
      <x:c r="F21" s="30" t="str">
        <x:v>GMHI</x:v>
      </x:c>
      <x:c r="G21" s="20" t="str">
        <x:v>ยังไม่พบภาพ</x:v>
      </x:c>
      <x:c r="H21" s="20" t="str"/>
      <x:c r="I21" s="28" t="str"/>
      <x:c r="J21" s="28" t="str"/>
      <x:c r="K21" s="20" t="str">
        <x:v>ยังไม่ยืนยันจากภาพ</x:v>
      </x:c>
      <x:c r="L21" s="20" t="str">
        <x:v>ยังไม่ยืนยันใบฉบับปัจจุบันและวันหมดอายุ</x:v>
      </x:c>
      <x:c r="M21" s="23" t="str">
        <x:v>https://gmhi.co/th-th/services/Reborn-53</x:v>
      </x:c>
      <x:c r="N21" s="23"/>
      <x:c r="O21" s="20" t="str">
        <x:v>GMHI-53</x:v>
      </x:c>
      <x:c r="P21" s="20" t="str">
        <x:v>อยู่ในชุด 600</x:v>
      </x:c>
      <x:c r="Q21" s="25" t="n">
        <x:v>46316</x:v>
      </x:c>
    </x:row>
    <x:row r="22" ht="76" customHeight="1">
      <x:c r="A22" s="24" t="str">
        <x:v>3</x:v>
      </x:c>
      <x:c r="B22" s="20" t="str">
        <x:v>Crystal Hotel Hat Yai</x:v>
      </x:c>
      <x:c r="C22" s="20" t="str">
        <x:v>สงขลา</x:v>
      </x:c>
      <x:c r="D22" s="20" t="str">
        <x:v>ที่พัก</x:v>
      </x:c>
      <x:c r="E22" s="29" t="n">
        <x:v>4</x:v>
      </x:c>
      <x:c r="F22" s="30" t="str">
        <x:v>GMHI</x:v>
      </x:c>
      <x:c r="G22" s="20" t="str">
        <x:v>ยังไม่พบภาพ</x:v>
      </x:c>
      <x:c r="H22" s="20" t="str"/>
      <x:c r="I22" s="28" t="str"/>
      <x:c r="J22" s="28" t="str"/>
      <x:c r="K22" s="20" t="str">
        <x:v>ยังไม่ยืนยันจากภาพ</x:v>
      </x:c>
      <x:c r="L22" s="20" t="str">
        <x:v>ยังไม่ยืนยันใบฉบับปัจจุบันและวันหมดอายุ</x:v>
      </x:c>
      <x:c r="M22" s="23" t="str">
        <x:v>https://gmhi.co/th-th/services/Crystal%20Hotel%20Hat%20Yai-3</x:v>
      </x:c>
      <x:c r="N22" s="23"/>
      <x:c r="O22" s="20" t="str">
        <x:v>GMHI-3</x:v>
      </x:c>
      <x:c r="P22" s="20" t="str">
        <x:v>อยู่ในชุด 600</x:v>
      </x:c>
      <x:c r="Q22" s="25" t="n">
        <x:v>46316</x:v>
      </x:c>
    </x:row>
    <x:row r="23" ht="76" customHeight="1">
      <x:c r="A23" s="24" t="str">
        <x:v>24</x:v>
      </x:c>
      <x:c r="B23" s="20" t="str">
        <x:v>Riski Hotel</x:v>
      </x:c>
      <x:c r="C23" s="20" t="str">
        <x:v>กรุงเทพมหานคร</x:v>
      </x:c>
      <x:c r="D23" s="20" t="str">
        <x:v>ที่พัก</x:v>
      </x:c>
      <x:c r="E23" s="29" t="n">
        <x:v>5</x:v>
      </x:c>
      <x:c r="F23" s="30" t="str">
        <x:v>GMHI</x:v>
      </x:c>
      <x:c r="G23" s="20" t="str">
        <x:v>ยังไม่พบภาพ</x:v>
      </x:c>
      <x:c r="H23" s="20" t="str"/>
      <x:c r="I23" s="28" t="str"/>
      <x:c r="J23" s="28" t="str"/>
      <x:c r="K23" s="20" t="str">
        <x:v>ยังไม่ยืนยันจากภาพ</x:v>
      </x:c>
      <x:c r="L23" s="20" t="str">
        <x:v>ยังไม่ยืนยันใบฉบับปัจจุบันและวันหมดอายุ</x:v>
      </x:c>
      <x:c r="M23" s="23" t="str">
        <x:v>https://gmhi.co/th-th/services/Riski%20Hotel-24</x:v>
      </x:c>
      <x:c r="N23" s="23"/>
      <x:c r="O23" s="20" t="str">
        <x:v>TMF-041</x:v>
      </x:c>
      <x:c r="P23" s="20" t="str">
        <x:v>อยู่ในชุด 600</x:v>
      </x:c>
      <x:c r="Q23" s="25" t="n">
        <x:v>46316</x:v>
      </x:c>
    </x:row>
    <x:row r="24" ht="76" customHeight="1">
      <x:c r="A24" s="24" t="str">
        <x:v>6</x:v>
      </x:c>
      <x:c r="B24" s="20" t="str">
        <x:v>The Three Sleep</x:v>
      </x:c>
      <x:c r="C24" s="20" t="str">
        <x:v>ตรัง</x:v>
      </x:c>
      <x:c r="D24" s="20" t="str">
        <x:v>ที่พัก</x:v>
      </x:c>
      <x:c r="E24" s="29" t="n">
        <x:v>3</x:v>
      </x:c>
      <x:c r="F24" s="30" t="str">
        <x:v>ไม่ระบุ</x:v>
      </x:c>
      <x:c r="G24" s="20" t="str">
        <x:v>ยังไม่พบภาพ</x:v>
      </x:c>
      <x:c r="H24" s="20" t="str"/>
      <x:c r="I24" s="28" t="str"/>
      <x:c r="J24" s="28" t="str"/>
      <x:c r="K24" s="20" t="str">
        <x:v>ยังไม่ยืนยันจากภาพ</x:v>
      </x:c>
      <x:c r="L24" s="20" t="str">
        <x:v>ยังไม่ยืนยันใบฉบับปัจจุบันและวันหมดอายุ</x:v>
      </x:c>
      <x:c r="M24" s="23" t="str">
        <x:v>https://gmhi.co/th-th/services/The%20Three%20Sleep-6</x:v>
      </x:c>
      <x:c r="N24" s="23"/>
      <x:c r="O24" s="20" t="str">
        <x:v>GMHI-6</x:v>
      </x:c>
      <x:c r="P24" s="20" t="str">
        <x:v>อยู่ในชุด 600</x:v>
      </x:c>
      <x:c r="Q24" s="25" t="n">
        <x:v>46316</x:v>
      </x:c>
    </x:row>
    <x:row r="25" ht="76" customHeight="1">
      <x:c r="A25" s="24" t="str">
        <x:v>7</x:v>
      </x:c>
      <x:c r="B25" s="20" t="str">
        <x:v>PUN Chocolate</x:v>
      </x:c>
      <x:c r="C25" s="20" t="str">
        <x:v>สงขลา</x:v>
      </x:c>
      <x:c r="D25" s="20" t="str">
        <x:v>ร้านอาหารและคาเฟ่</x:v>
      </x:c>
      <x:c r="E25" s="29" t="n">
        <x:v>3</x:v>
      </x:c>
      <x:c r="F25" s="30" t="str">
        <x:v>GMHI</x:v>
      </x:c>
      <x:c r="G25" s="20" t="str">
        <x:v>ยังไม่พบภาพ</x:v>
      </x:c>
      <x:c r="H25" s="20" t="str"/>
      <x:c r="I25" s="28" t="str"/>
      <x:c r="J25" s="28" t="str"/>
      <x:c r="K25" s="20" t="str">
        <x:v>ยังไม่ยืนยันจากภาพ</x:v>
      </x:c>
      <x:c r="L25" s="20" t="str">
        <x:v>ยังไม่ยืนยันใบฉบับปัจจุบันและวันหมดอายุ</x:v>
      </x:c>
      <x:c r="M25" s="23" t="str">
        <x:v>https://gmhi.co/th-th/services/PUN%20Chocolate-7</x:v>
      </x:c>
      <x:c r="N25" s="23"/>
      <x:c r="O25" s="20" t="str">
        <x:v>GMHI-7</x:v>
      </x:c>
      <x:c r="P25" s="20" t="str">
        <x:v>อยู่ในชุด 600</x:v>
      </x:c>
      <x:c r="Q25" s="25" t="n">
        <x:v>46316</x:v>
      </x:c>
    </x:row>
    <x:row r="26" ht="76" customHeight="1">
      <x:c r="A26" s="24" t="str">
        <x:v>20</x:v>
      </x:c>
      <x:c r="B26" s="20" t="str">
        <x:v>The signature hotel airport</x:v>
      </x:c>
      <x:c r="C26" s="20" t="str">
        <x:v>สงขลา</x:v>
      </x:c>
      <x:c r="D26" s="20" t="str">
        <x:v>ที่พัก</x:v>
      </x:c>
      <x:c r="E26" s="29" t="n">
        <x:v>4</x:v>
      </x:c>
      <x:c r="F26" s="30" t="str">
        <x:v>GMHI</x:v>
      </x:c>
      <x:c r="G26" s="20" t="str">
        <x:v>ยังไม่พบภาพ</x:v>
      </x:c>
      <x:c r="H26" s="20" t="str"/>
      <x:c r="I26" s="28" t="str"/>
      <x:c r="J26" s="28" t="str"/>
      <x:c r="K26" s="20" t="str">
        <x:v>ยังไม่ยืนยันจากภาพ</x:v>
      </x:c>
      <x:c r="L26" s="20" t="str">
        <x:v>ยังไม่ยืนยันใบฉบับปัจจุบันและวันหมดอายุ</x:v>
      </x:c>
      <x:c r="M26" s="23" t="str">
        <x:v>https://gmhi.co/th-th/services/The%20signature%20hotel%20airport-20</x:v>
      </x:c>
      <x:c r="N26" s="23"/>
      <x:c r="O26" s="20" t="str">
        <x:v>GMHI-20</x:v>
      </x:c>
      <x:c r="P26" s="20" t="str">
        <x:v>อยู่ในชุด 600</x:v>
      </x:c>
      <x:c r="Q26" s="25" t="n">
        <x:v>46316</x:v>
      </x:c>
    </x:row>
    <x:row r="27" ht="76" customHeight="1">
      <x:c r="A27" s="24" t="str">
        <x:v>26</x:v>
      </x:c>
      <x:c r="B27" s="20" t="str">
        <x:v>โรงแรม รีเจนท์ รามคำแหง22</x:v>
      </x:c>
      <x:c r="C27" s="20" t="str">
        <x:v>กรุงเทพมหานคร</x:v>
      </x:c>
      <x:c r="D27" s="20" t="str">
        <x:v>ที่พัก</x:v>
      </x:c>
      <x:c r="E27" s="29" t="n">
        <x:v>5</x:v>
      </x:c>
      <x:c r="F27" s="30" t="str">
        <x:v>GMHI</x:v>
      </x:c>
      <x:c r="G27" s="20" t="str">
        <x:v>ยังไม่พบภาพ</x:v>
      </x:c>
      <x:c r="H27" s="20" t="str"/>
      <x:c r="I27" s="28" t="str"/>
      <x:c r="J27" s="28" t="str"/>
      <x:c r="K27" s="20" t="str">
        <x:v>ยังไม่ยืนยันจากภาพ</x:v>
      </x:c>
      <x:c r="L27" s="20" t="str">
        <x:v>ยังไม่ยืนยันใบฉบับปัจจุบันและวันหมดอายุ</x:v>
      </x:c>
      <x:c r="M27" s="23" t="str">
        <x:v>https://gmhi.co/th-th/services/%E0%B9%82%E0%B8%A3%E0%B8%87%E0%B9%81%E0%B8%A3%E0%B8%A1%20%E0%B8%A3%E0%B8%B5%E0%B9%80%E0%B8%88%E0%B8%99%E0%B8%97%E0%B9%8C%20%E0%B8%A3%E0%B8%B2%E0%B8%A1%E0%B8%84%E0%B8%B3%E0%B9%81%E0%B8%AB%E0%B8%8722-26</x:v>
      </x:c>
      <x:c r="N27" s="23"/>
      <x:c r="O27" s="20" t="str">
        <x:v>TMF-040</x:v>
      </x:c>
      <x:c r="P27" s="20" t="str">
        <x:v>อยู่ในชุด 600</x:v>
      </x:c>
      <x:c r="Q27" s="25" t="n">
        <x:v>46316</x:v>
      </x:c>
    </x:row>
    <x:row r="28" ht="76" customHeight="1">
      <x:c r="A28" s="24" t="str">
        <x:v>56</x:v>
      </x:c>
      <x:c r="B28" s="20" t="str">
        <x:v>The Grand Fourwings Convention Hotel Bangkok</x:v>
      </x:c>
      <x:c r="C28" s="20" t="str">
        <x:v>กรุงเทพมหานคร</x:v>
      </x:c>
      <x:c r="D28" s="20" t="str">
        <x:v>ที่พัก</x:v>
      </x:c>
      <x:c r="E28" s="29" t="str"/>
      <x:c r="F28" s="30" t="str">
        <x:v>GMHI</x:v>
      </x:c>
      <x:c r="G28" s="20" t="str">
        <x:v>ยังไม่พบภาพ</x:v>
      </x:c>
      <x:c r="H28" s="20" t="str"/>
      <x:c r="I28" s="28" t="str"/>
      <x:c r="J28" s="28" t="str"/>
      <x:c r="K28" s="20" t="str">
        <x:v>ยังไม่ยืนยันจากภาพ</x:v>
      </x:c>
      <x:c r="L28" s="20" t="str">
        <x:v>ยังไม่ยืนยันใบฉบับปัจจุบันและวันหมดอายุ</x:v>
      </x:c>
      <x:c r="M28" s="23" t="str">
        <x:v>https://gmhi.co/th-th/services/The%20Grand%20Fourwings%20Convention%20Hotel%20Bangkok-56</x:v>
      </x:c>
      <x:c r="N28" s="23"/>
      <x:c r="O28" s="20" t="str">
        <x:v>GMHI-56</x:v>
      </x:c>
      <x:c r="P28" s="20" t="str">
        <x:v>อยู่ในชุด 600</x:v>
      </x:c>
      <x:c r="Q28" s="25" t="n">
        <x:v>46316</x:v>
      </x:c>
    </x:row>
    <x:row r="29" ht="76" customHeight="1">
      <x:c r="A29" s="24" t="str">
        <x:v>51</x:v>
      </x:c>
      <x:c r="B29" s="20" t="str">
        <x:v>ATG Southsea</x:v>
      </x:c>
      <x:c r="C29" s="20" t="str">
        <x:v>ภูเก็ต</x:v>
      </x:c>
      <x:c r="D29" s="20" t="str">
        <x:v>สถานประกอบการเพื่อสุขภาพและเวลเนส</x:v>
      </x:c>
      <x:c r="E29" s="29" t="n">
        <x:v>3</x:v>
      </x:c>
      <x:c r="F29" s="30" t="str">
        <x:v>GMHI</x:v>
      </x:c>
      <x:c r="G29" s="20" t="str">
        <x:v>ยังไม่พบภาพ</x:v>
      </x:c>
      <x:c r="H29" s="20" t="str"/>
      <x:c r="I29" s="28" t="str"/>
      <x:c r="J29" s="28" t="str"/>
      <x:c r="K29" s="20" t="str">
        <x:v>ยังไม่ยืนยันจากภาพ</x:v>
      </x:c>
      <x:c r="L29" s="20" t="str">
        <x:v>ยังไม่ยืนยันใบฉบับปัจจุบันและวันหมดอายุ</x:v>
      </x:c>
      <x:c r="M29" s="23" t="str">
        <x:v>https://gmhi.co/th-th/services/ATG%20Southsea-51</x:v>
      </x:c>
      <x:c r="N29" s="23"/>
      <x:c r="O29" s="20" t="str">
        <x:v>GMHI-51</x:v>
      </x:c>
      <x:c r="P29" s="20" t="str">
        <x:v>อยู่ในชุด 600</x:v>
      </x:c>
      <x:c r="Q29" s="25" t="n">
        <x:v>46316</x:v>
      </x:c>
    </x:row>
    <x:row r="30" ht="76" customHeight="1">
      <x:c r="A30" s="24" t="str">
        <x:v>21</x:v>
      </x:c>
      <x:c r="B30" s="20" t="str">
        <x:v>The Cozy 77</x:v>
      </x:c>
      <x:c r="C30" s="20" t="str">
        <x:v>กรุงเทพมหานคร</x:v>
      </x:c>
      <x:c r="D30" s="20" t="str">
        <x:v>ที่พัก</x:v>
      </x:c>
      <x:c r="E30" s="29" t="n">
        <x:v>4</x:v>
      </x:c>
      <x:c r="F30" s="30" t="str">
        <x:v>GMHI</x:v>
      </x:c>
      <x:c r="G30" s="20" t="str">
        <x:v>ยังไม่พบภาพ</x:v>
      </x:c>
      <x:c r="H30" s="20" t="str"/>
      <x:c r="I30" s="28" t="str"/>
      <x:c r="J30" s="28" t="str"/>
      <x:c r="K30" s="20" t="str">
        <x:v>ยังไม่ยืนยันจากภาพ</x:v>
      </x:c>
      <x:c r="L30" s="20" t="str">
        <x:v>ยังไม่ยืนยันใบฉบับปัจจุบันและวันหมดอายุ</x:v>
      </x:c>
      <x:c r="M30" s="23" t="str">
        <x:v>https://gmhi.co/th-th/services/The%20Cozy%2077-21</x:v>
      </x:c>
      <x:c r="N30" s="23"/>
      <x:c r="O30" s="20" t="str">
        <x:v>GMHI-21</x:v>
      </x:c>
      <x:c r="P30" s="20" t="str">
        <x:v>อยู่ในชุด 600</x:v>
      </x:c>
      <x:c r="Q30" s="25" t="n">
        <x:v>46316</x:v>
      </x:c>
    </x:row>
    <x:row r="31" ht="76" customHeight="1">
      <x:c r="A31" s="24" t="str">
        <x:v>46</x:v>
      </x:c>
      <x:c r="B31" s="20" t="str">
        <x:v>ParimaHotel</x:v>
      </x:c>
      <x:c r="C31" s="20" t="str">
        <x:v>ตรัง</x:v>
      </x:c>
      <x:c r="D31" s="20" t="str">
        <x:v>ที่พัก</x:v>
      </x:c>
      <x:c r="E31" s="29" t="n">
        <x:v>4</x:v>
      </x:c>
      <x:c r="F31" s="30" t="str">
        <x:v>GMHI</x:v>
      </x:c>
      <x:c r="G31" s="20" t="str">
        <x:v>THE SIGNATURE HOTEL AIRPORT</x:v>
      </x:c>
      <x:c r="H31" s="20" t="str">
        <x:v>GMHI-2026-TH-010706</x:v>
      </x:c>
      <x:c r="I31" s="28" t="str"/>
      <x:c r="J31" s="28" t="str"/>
      <x:c r="K31" s="20" t="str">
        <x:v>ภาพใบรับรองระบุคนละธุรกิจ</x:v>
      </x:c>
      <x:c r="L31" s="20" t="str">
        <x:v>รูปที่ผูกกับ ParimaHotel ระบุ The Signature Hotel Airport จึงยังใช้ยืนยันใบรับรองของ ParimaHotel ไม่ได้</x:v>
      </x:c>
      <x:c r="M31" s="23" t="str">
        <x:v>https://gmhi.co/th-th/services/ParimaHotel-46</x:v>
      </x:c>
      <x:c r="N31" s="23" t="str">
        <x:v>https://gmhi.co/images/2026/08/CERTIFICATE44202608062242491.jpg</x:v>
      </x:c>
      <x:c r="O31" s="20" t="str">
        <x:v>GMHI-46</x:v>
      </x:c>
      <x:c r="P31" s="20" t="str">
        <x:v>อยู่ในชุด 600</x:v>
      </x:c>
      <x:c r="Q31" s="25" t="n">
        <x:v>46316</x:v>
      </x:c>
    </x:row>
    <x:row r="32" ht="76" customHeight="1">
      <x:c r="A32" s="24" t="str">
        <x:v>57</x:v>
      </x:c>
      <x:c r="B32" s="20" t="str">
        <x:v>Regent Ramkhamhaeng 22</x:v>
      </x:c>
      <x:c r="C32" s="20" t="str">
        <x:v>กรุงเทพมหานคร</x:v>
      </x:c>
      <x:c r="D32" s="20" t="str">
        <x:v>ที่พัก</x:v>
      </x:c>
      <x:c r="E32" s="29" t="str"/>
      <x:c r="F32" s="30" t="str">
        <x:v>ไม่ระบุ</x:v>
      </x:c>
      <x:c r="G32" s="20" t="str">
        <x:v>ยังไม่พบภาพ</x:v>
      </x:c>
      <x:c r="H32" s="20" t="str"/>
      <x:c r="I32" s="28" t="str"/>
      <x:c r="J32" s="28" t="str"/>
      <x:c r="K32" s="20" t="str">
        <x:v>ยังไม่ยืนยันจากภาพ</x:v>
      </x:c>
      <x:c r="L32" s="20" t="str">
        <x:v>ยังไม่ยืนยันใบฉบับปัจจุบันและวันหมดอายุ</x:v>
      </x:c>
      <x:c r="M32" s="23" t="str">
        <x:v>https://gmhi.co/th-th/services/Regent%20Ramkhamhaeng%2022-57</x:v>
      </x:c>
      <x:c r="N32" s="23"/>
      <x:c r="O32" s="20" t="str">
        <x:v>TMF-040</x:v>
      </x:c>
      <x:c r="P32" s="20" t="str">
        <x:v>รวมกับทะเบียน 26</x:v>
      </x:c>
      <x:c r="Q32" s="25" t="n">
        <x:v>46316</x:v>
      </x:c>
    </x:row>
    <x:row r="33" ht="76" customHeight="1">
      <x:c r="A33" s="24" t="str">
        <x:v>47</x:v>
      </x:c>
      <x:c r="B33" s="20" t="str">
        <x:v>สภากาแฟ’36 สาขาหาดใหญ่</x:v>
      </x:c>
      <x:c r="C33" s="20" t="str">
        <x:v>สงขลา</x:v>
      </x:c>
      <x:c r="D33" s="20" t="str">
        <x:v>ร้านอาหารและคาเฟ่</x:v>
      </x:c>
      <x:c r="E33" s="29" t="n">
        <x:v>6</x:v>
      </x:c>
      <x:c r="F33" s="30" t="str">
        <x:v>GMHI</x:v>
      </x:c>
      <x:c r="G33" s="20" t="str">
        <x:v>SAPAKAFE 36</x:v>
      </x:c>
      <x:c r="H33" s="20" t="str">
        <x:v>GMHI-2026-TH-020702</x:v>
      </x:c>
      <x:c r="I33" s="28" t="n">
        <x:v>46205</x:v>
      </x:c>
      <x:c r="J33" s="28" t="n">
        <x:v>47300</x:v>
      </x:c>
      <x:c r="K33" s="20" t="str">
        <x:v>ชื่อตรงกับรายการ</x:v>
      </x:c>
      <x:c r="L33" s="20" t="str">
        <x:v>อ่านวันออกและวันหมดอายุจากภาพใบรับรองสาธารณะ</x:v>
      </x:c>
      <x:c r="M33" s="23" t="str">
        <x:v>https://gmhi.co/th-th/services/%E0%B8%AA%E0%B8%A0%E0%B8%B2%E0%B8%81%E0%B8%B2%E0%B9%81%E0%B8%9F%E2%80%9936%20%E0%B8%AA%E0%B8%B2%E0%B8%82%E0%B8%B2%E0%B8%AB%E0%B8%B2%E0%B8%94%E0%B9%83%E0%B8%AB%E0%B8%8D%E0%B9%88-47</x:v>
      </x:c>
      <x:c r="N33" s="23" t="str">
        <x:v>https://gmhi.co/images/2026/08/CERTIFICATE42202608061035381.png</x:v>
      </x:c>
      <x:c r="O33" s="20" t="str">
        <x:v>GMHI-47</x:v>
      </x:c>
      <x:c r="P33" s="20" t="str">
        <x:v>อยู่ในชุด 600</x:v>
      </x:c>
      <x:c r="Q33" s="25" t="n">
        <x:v>46316</x:v>
      </x:c>
    </x:row>
    <x:row r="34" ht="76" customHeight="1">
      <x:c r="A34" s="24" t="str">
        <x:v>52</x:v>
      </x:c>
      <x:c r="B34" s="20" t="str">
        <x:v>Icellare</x:v>
      </x:c>
      <x:c r="C34" s="20" t="str">
        <x:v>ภูเก็ต</x:v>
      </x:c>
      <x:c r="D34" s="20" t="str">
        <x:v>สถานประกอบการเพื่อสุขภาพและเวลเนส</x:v>
      </x:c>
      <x:c r="E34" s="29" t="n">
        <x:v>4</x:v>
      </x:c>
      <x:c r="F34" s="30" t="str">
        <x:v>ไม่ระบุ</x:v>
      </x:c>
      <x:c r="G34" s="20" t="str">
        <x:v>ยังไม่พบภาพ</x:v>
      </x:c>
      <x:c r="H34" s="20" t="str"/>
      <x:c r="I34" s="28" t="str"/>
      <x:c r="J34" s="28" t="str"/>
      <x:c r="K34" s="20" t="str">
        <x:v>ยังไม่ยืนยันจากภาพ</x:v>
      </x:c>
      <x:c r="L34" s="20" t="str">
        <x:v>ยังไม่ยืนยันใบฉบับปัจจุบันและวันหมดอายุ</x:v>
      </x:c>
      <x:c r="M34" s="23" t="str">
        <x:v>https://gmhi.co/th-th/services/Icellare-52</x:v>
      </x:c>
      <x:c r="N34" s="23"/>
      <x:c r="O34" s="20" t="str">
        <x:v>GMHI-52</x:v>
      </x:c>
      <x:c r="P34" s="20" t="str">
        <x:v>อยู่ในชุด 600</x:v>
      </x:c>
      <x:c r="Q34" s="25" t="n">
        <x:v>46316</x:v>
      </x:c>
    </x:row>
    <x:row r="35" ht="76" customHeight="1">
      <x:c r="A35" s="24" t="str">
        <x:v>58</x:v>
      </x:c>
      <x:c r="B35" s="20" t="str">
        <x:v>JUST SALT STEAK</x:v>
      </x:c>
      <x:c r="C35" s="20" t="str">
        <x:v>กรุงเทพมหานคร</x:v>
      </x:c>
      <x:c r="D35" s="20" t="str">
        <x:v>ร้านอาหารและคาเฟ่</x:v>
      </x:c>
      <x:c r="E35" s="29" t="str"/>
      <x:c r="F35" s="30" t="str">
        <x:v>ไม่ระบุ</x:v>
      </x:c>
      <x:c r="G35" s="20" t="str">
        <x:v>ยังไม่พบภาพ</x:v>
      </x:c>
      <x:c r="H35" s="20" t="str"/>
      <x:c r="I35" s="28" t="str"/>
      <x:c r="J35" s="28" t="str"/>
      <x:c r="K35" s="20" t="str">
        <x:v>ยังไม่ยืนยันจากภาพ</x:v>
      </x:c>
      <x:c r="L35" s="20" t="str">
        <x:v>ยังไม่ยืนยันใบฉบับปัจจุบันและวันหมดอายุ</x:v>
      </x:c>
      <x:c r="M35" s="23" t="str">
        <x:v>https://gmhi.co/th-th/services/JUST%20SALT%20STEAK-58</x:v>
      </x:c>
      <x:c r="N35" s="23"/>
      <x:c r="O35" s="20" t="str">
        <x:v>GMHI-33</x:v>
      </x:c>
      <x:c r="P35" s="20" t="str">
        <x:v>รวมกับทะเบียน 33</x:v>
      </x:c>
      <x:c r="Q35" s="25" t="n">
        <x:v>46316</x:v>
      </x:c>
    </x:row>
    <x:row r="36" ht="76" customHeight="1">
      <x:c r="A36" s="24" t="str">
        <x:v>36</x:v>
      </x:c>
      <x:c r="B36" s="20" t="str">
        <x:v>Amman Unique Hotel</x:v>
      </x:c>
      <x:c r="C36" s="20" t="str">
        <x:v>อุดรธานี</x:v>
      </x:c>
      <x:c r="D36" s="20" t="str">
        <x:v>ที่พัก</x:v>
      </x:c>
      <x:c r="E36" s="29" t="n">
        <x:v>5</x:v>
      </x:c>
      <x:c r="F36" s="30" t="str">
        <x:v>GMHI</x:v>
      </x:c>
      <x:c r="G36" s="20" t="str">
        <x:v>ยังไม่พบภาพ</x:v>
      </x:c>
      <x:c r="H36" s="20" t="str"/>
      <x:c r="I36" s="28" t="str"/>
      <x:c r="J36" s="28" t="str"/>
      <x:c r="K36" s="20" t="str">
        <x:v>ยังไม่ยืนยันจากภาพ</x:v>
      </x:c>
      <x:c r="L36" s="20" t="str">
        <x:v>ยังไม่ยืนยันใบฉบับปัจจุบันและวันหมดอายุ</x:v>
      </x:c>
      <x:c r="M36" s="23" t="str">
        <x:v>https://gmhi.co/th-th/services/Amman%20Unique%20Hotel-36</x:v>
      </x:c>
      <x:c r="N36" s="23"/>
      <x:c r="O36" s="20" t="str">
        <x:v>GMHI-36</x:v>
      </x:c>
      <x:c r="P36" s="20" t="str">
        <x:v>อยู่ในชุด 600</x:v>
      </x:c>
      <x:c r="Q36" s="25" t="n">
        <x:v>46316</x:v>
      </x:c>
    </x:row>
    <x:row r="37" ht="76" customHeight="1">
      <x:c r="A37" s="24" t="str">
        <x:v>29</x:v>
      </x:c>
      <x:c r="B37" s="20" t="str">
        <x:v>DEWAN BANGKOK</x:v>
      </x:c>
      <x:c r="C37" s="20" t="str">
        <x:v>กรุงเทพมหานคร</x:v>
      </x:c>
      <x:c r="D37" s="20" t="str">
        <x:v>ที่พัก</x:v>
      </x:c>
      <x:c r="E37" s="29" t="n">
        <x:v>5</x:v>
      </x:c>
      <x:c r="F37" s="30" t="str">
        <x:v>GMHI</x:v>
      </x:c>
      <x:c r="G37" s="20" t="str">
        <x:v>ยังไม่พบภาพ</x:v>
      </x:c>
      <x:c r="H37" s="20" t="str"/>
      <x:c r="I37" s="28" t="str"/>
      <x:c r="J37" s="28" t="str"/>
      <x:c r="K37" s="20" t="str">
        <x:v>ยังไม่ยืนยันจากภาพ</x:v>
      </x:c>
      <x:c r="L37" s="20" t="str">
        <x:v>ยังไม่ยืนยันใบฉบับปัจจุบันและวันหมดอายุ</x:v>
      </x:c>
      <x:c r="M37" s="23" t="str">
        <x:v>https://gmhi.co/th-th/services/DEWAN%20BANGKOK-29</x:v>
      </x:c>
      <x:c r="N37" s="23"/>
      <x:c r="O37" s="20" t="str">
        <x:v>GMHI-29</x:v>
      </x:c>
      <x:c r="P37" s="20" t="str">
        <x:v>อยู่ในชุด 600</x:v>
      </x:c>
      <x:c r="Q37" s="25" t="n">
        <x:v>46316</x:v>
      </x:c>
    </x:row>
  </x:sheetData>
  <x:pageMargins left="0.7" right="0.7" top="0.75" bottom="0.75" header="0.3" footer="0.3"/>
  <x:tableParts count="1">
    <x:tablePart xmlns:r="http://schemas.openxmlformats.org/officeDocument/2006/relationships" r:id="R3bc9e328e62742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" hidden="0" customWidth="1"/>
    <x:col min="2" max="2" width="49" hidden="0" customWidth="1"/>
    <x:col min="3" max="3" width="24" hidden="0" customWidth="1"/>
    <x:col min="4" max="4" width="42" hidden="0" customWidth="1"/>
    <x:col min="5" max="5" width="24" hidden="0" customWidth="1"/>
    <x:col min="6" max="6" width="21" hidden="0" customWidth="1"/>
    <x:col min="7" max="7" width="9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2"/>
      <x:c r="B2" s="31" t="str">
        <x:v>รายการเปลี่ยนแปลงและประเภทที่แก้ไข</x:v>
      </x:c>
      <x:c r="C2" s="2"/>
      <x:c r="D2" s="2"/>
      <x:c r="E2" s="2"/>
      <x:c r="F2" s="2"/>
      <x:c r="G2" s="2"/>
    </x:row>
    <x:row r="3">
      <x:c r="A3" s="2"/>
      <x:c r="B3" s="4"/>
      <x:c r="C3" s="4"/>
      <x:c r="D3" s="4"/>
      <x:c r="E3" s="4"/>
      <x:c r="F3" s="4"/>
      <x:c r="G3" s="4"/>
    </x:row>
    <x:row r="4">
      <x:c r="A4" s="2"/>
      <x:c r="B4" s="2" t="str">
        <x:v>รายชื่อสำรองเก็บไว้ตรวจย้อนหลัง การย้ายออกเพราะประเภท พื้นที่ หรือหลักฐาน ไม่ใช่ข้อสรุปว่าปิดหรือไม่ผ่าน</x:v>
      </x:c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>
      <x:c r="A7" s="2"/>
      <x:c r="B7" s="2"/>
      <x:c r="C7" s="2"/>
      <x:c r="D7" s="2"/>
      <x:c r="E7" s="2"/>
      <x:c r="F7" s="2"/>
      <x:c r="G7" s="2"/>
    </x:row>
    <x:row r="8" ht="36" customHeight="1">
      <x:c r="A8" s="45" t="str">
        <x:v>รหัสเดิม</x:v>
      </x:c>
      <x:c r="B8" s="46" t="str">
        <x:v>ชื่อเดิม</x:v>
      </x:c>
      <x:c r="C8" s="46" t="str">
        <x:v>จังหวัด</x:v>
      </x:c>
      <x:c r="D8" s="46" t="str">
        <x:v>กลุ่มเดิม</x:v>
      </x:c>
      <x:c r="E8" s="46" t="str">
        <x:v>การเปลี่ยนแปลง</x:v>
      </x:c>
      <x:c r="F8" s="46" t="str">
        <x:v>รหัสที่คงไว้</x:v>
      </x:c>
      <x:c r="G8" s="47" t="str">
        <x:v>เหตุผล</x:v>
      </x:c>
    </x:row>
    <x:row r="9" ht="65" customHeight="1">
      <x:c r="A9" s="2" t="str">
        <x:v>TMF-050</x:v>
      </x:c>
      <x:c r="B9" s="8" t="str">
        <x:v>Heyyyy Bangkok Cafe</x:v>
      </x:c>
      <x:c r="C9" s="8" t="str">
        <x:v>กรุงเทพมหานคร</x:v>
      </x:c>
      <x:c r="D9" s="8" t="str">
        <x:v>พร้อมขาย</x:v>
      </x:c>
      <x:c r="E9" s="8" t="str">
        <x:v>รวมรายการซ้ำ</x:v>
      </x:c>
      <x:c r="F9" s="8" t="str">
        <x:v>TMF-051</x:v>
      </x:c>
      <x:c r="G9" s="8" t="str">
        <x:v>ชื่อและสถานที่/บริการประกอบซ้ำกัน นับสถานที่เดียว</x:v>
      </x:c>
    </x:row>
    <x:row r="10" ht="65" customHeight="1">
      <x:c r="A10" s="2" t="str">
        <x:v>TMF-097</x:v>
      </x:c>
      <x:c r="B10" s="8" t="str">
        <x:v>๑๐๐นัด ฮาลาล</x:v>
      </x:c>
      <x:c r="C10" s="8" t="str">
        <x:v>กรุงเทพมหานคร</x:v>
      </x:c>
      <x:c r="D10" s="8" t="str">
        <x:v>พร้อมขาย</x:v>
      </x:c>
      <x:c r="E10" s="8" t="str">
        <x:v>ย้ายเป็นสำรอง</x:v>
      </x:c>
      <x:c r="F10" s="8"/>
      <x:c r="G10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11" ht="65" customHeight="1">
      <x:c r="A11" s="2" t="str">
        <x:v>TMF-134</x:v>
      </x:c>
      <x:c r="B11" s="8" t="str">
        <x:v>ฟอสซิล แคมป์&amp;คาเฟ่</x:v>
      </x:c>
      <x:c r="C11" s="8" t="str">
        <x:v>นครราชสีมา</x:v>
      </x:c>
      <x:c r="D11" s="8" t="str">
        <x:v>พร้อมขาย</x:v>
      </x:c>
      <x:c r="E11" s="8" t="str">
        <x:v>รวมรายการซ้ำ</x:v>
      </x:c>
      <x:c r="F11" s="8" t="str">
        <x:v>TMF-133</x:v>
      </x:c>
      <x:c r="G11" s="8" t="str">
        <x:v>ชื่อและสถานที่/บริการประกอบซ้ำกัน นับสถานที่เดียว</x:v>
      </x:c>
    </x:row>
    <x:row r="12" ht="65" customHeight="1">
      <x:c r="A12" s="2" t="str">
        <x:v>TMF-137</x:v>
      </x:c>
      <x:c r="B12" s="8" t="str">
        <x:v>I Lay Cafe Sichon</x:v>
      </x:c>
      <x:c r="C12" s="8" t="str">
        <x:v>นครศรีธรรมราช</x:v>
      </x:c>
      <x:c r="D12" s="8" t="str">
        <x:v>พร้อมขาย</x:v>
      </x:c>
      <x:c r="E12" s="8" t="str">
        <x:v>รวมรายการซ้ำ</x:v>
      </x:c>
      <x:c r="F12" s="8" t="str">
        <x:v>TMF-136</x:v>
      </x:c>
      <x:c r="G12" s="8" t="str">
        <x:v>ชื่อและสถานที่/บริการประกอบซ้ำกัน นับสถานที่เดียว</x:v>
      </x:c>
    </x:row>
    <x:row r="13" ht="65" customHeight="1">
      <x:c r="A13" s="2" t="str">
        <x:v>TMF-242</x:v>
      </x:c>
      <x:c r="B13" s="8" t="str">
        <x:v>โก เบอร์เกอร์ แอนด์ พาสต้า</x:v>
      </x:c>
      <x:c r="C13" s="8" t="str">
        <x:v>กรุงเทพมหานคร</x:v>
      </x:c>
      <x:c r="D13" s="8" t="str">
        <x:v>พร้อมขาย</x:v>
      </x:c>
      <x:c r="E13" s="8" t="str">
        <x:v>ย้ายเป็นสำรอง</x:v>
      </x:c>
      <x:c r="F13" s="8"/>
      <x:c r="G13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14" ht="65" customHeight="1">
      <x:c r="A14" s="2" t="str">
        <x:v>TMF-246</x:v>
      </x:c>
      <x:c r="B14" s="8" t="str">
        <x:v>ส้มตำ มุสลิม ซูจี</x:v>
      </x:c>
      <x:c r="C14" s="8" t="str">
        <x:v>กรุงเทพมหานคร</x:v>
      </x:c>
      <x:c r="D14" s="8" t="str">
        <x:v>พร้อมขาย</x:v>
      </x:c>
      <x:c r="E14" s="8" t="str">
        <x:v>ย้ายเป็นสำรอง</x:v>
      </x:c>
      <x:c r="F14" s="8"/>
      <x:c r="G14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15" ht="65" customHeight="1">
      <x:c r="A15" s="2" t="str">
        <x:v>TMF-271</x:v>
      </x:c>
      <x:c r="B15" s="8" t="str">
        <x:v>มุสลิมโฮม 2 Muslimhome2</x:v>
      </x:c>
      <x:c r="C15" s="8" t="str">
        <x:v>กรุงเทพมหานคร</x:v>
      </x:c>
      <x:c r="D15" s="8" t="str">
        <x:v>พัฒนาเพื่อพร้อมขาย</x:v>
      </x:c>
      <x:c r="E15" s="8" t="str">
        <x:v>รวมรายการซ้ำ</x:v>
      </x:c>
      <x:c r="F15" s="8" t="str">
        <x:v>TMF-083</x:v>
      </x:c>
      <x:c r="G15" s="8" t="str">
        <x:v>ชื่อและสถานที่/บริการประกอบซ้ำกัน นับสถานที่เดียว</x:v>
      </x:c>
    </x:row>
    <x:row r="16" ht="65" customHeight="1">
      <x:c r="A16" s="2" t="str">
        <x:v>TMF-282</x:v>
      </x:c>
      <x:c r="B16" s="8" t="str">
        <x:v>มัสยิดกมาลุ๊ลอิมาน(วังตาหนวด)</x:v>
      </x:c>
      <x:c r="C16" s="8" t="str">
        <x:v>กรุงเทพมหานคร</x:v>
      </x:c>
      <x:c r="D16" s="8" t="str">
        <x:v>พัฒนาเพื่อพร้อมขาย</x:v>
      </x:c>
      <x:c r="E16" s="8" t="str">
        <x:v>ย้ายเป็นสำรอง</x:v>
      </x:c>
      <x:c r="F16" s="8"/>
      <x:c r="G16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17" ht="65" customHeight="1">
      <x:c r="A17" s="2" t="str">
        <x:v>TMF-286</x:v>
      </x:c>
      <x:c r="B17" s="8" t="str">
        <x:v>มัสยิดดารุลมุมินีน (คู้ฝั่งเหนือ)</x:v>
      </x:c>
      <x:c r="C17" s="8" t="str">
        <x:v>กรุงเทพมหานคร</x:v>
      </x:c>
      <x:c r="D17" s="8" t="str">
        <x:v>พัฒนาเพื่อพร้อมขาย</x:v>
      </x:c>
      <x:c r="E17" s="8" t="str">
        <x:v>ย้ายเป็นสำรอง</x:v>
      </x:c>
      <x:c r="F17" s="8"/>
      <x:c r="G17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18" ht="65" customHeight="1">
      <x:c r="A18" s="2" t="str">
        <x:v>TMF-290</x:v>
      </x:c>
      <x:c r="B18" s="8" t="str">
        <x:v>มัสยิดดารุ้ลคอยรอต(เจียรดับ)</x:v>
      </x:c>
      <x:c r="C18" s="8" t="str">
        <x:v>กรุงเทพมหานคร</x:v>
      </x:c>
      <x:c r="D18" s="8" t="str">
        <x:v>พัฒนาเพื่อพร้อมขาย</x:v>
      </x:c>
      <x:c r="E18" s="8" t="str">
        <x:v>ย้ายเป็นสำรอง</x:v>
      </x:c>
      <x:c r="F18" s="8"/>
      <x:c r="G18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19" ht="65" customHeight="1">
      <x:c r="A19" s="2" t="str">
        <x:v>TMF-297</x:v>
      </x:c>
      <x:c r="B19" s="8" t="str">
        <x:v>มัสยิดนูรุลฮิดายะห์ (สุวินทวงศ์)</x:v>
      </x:c>
      <x:c r="C19" s="8" t="str">
        <x:v>กรุงเทพมหานคร</x:v>
      </x:c>
      <x:c r="D19" s="8" t="str">
        <x:v>พัฒนาเพื่อพร้อมขาย</x:v>
      </x:c>
      <x:c r="E19" s="8" t="str">
        <x:v>ย้ายเป็นสำรอง</x:v>
      </x:c>
      <x:c r="F19" s="8"/>
      <x:c r="G19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0" ht="65" customHeight="1">
      <x:c r="A20" s="2" t="str">
        <x:v>TMF-302</x:v>
      </x:c>
      <x:c r="B20" s="8" t="str">
        <x:v>มัสยิดบางอุทิศ (บางอุทิศ)</x:v>
      </x:c>
      <x:c r="C20" s="8" t="str">
        <x:v>กรุงเทพมหานคร</x:v>
      </x:c>
      <x:c r="D20" s="8" t="str">
        <x:v>พัฒนาเพื่อพร้อมขาย</x:v>
      </x:c>
      <x:c r="E20" s="8" t="str">
        <x:v>ย้ายเป็นสำรอง</x:v>
      </x:c>
      <x:c r="F20" s="8"/>
      <x:c r="G20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1" ht="65" customHeight="1">
      <x:c r="A21" s="2" t="str">
        <x:v>TMF-304</x:v>
      </x:c>
      <x:c r="B21" s="8" t="str">
        <x:v>มัสยิดมิตรภาพไทย-ปากีสตาน (มิตรภาพไทย-ปากีสตาน)</x:v>
      </x:c>
      <x:c r="C21" s="8" t="str">
        <x:v>กรุงเทพมหานคร</x:v>
      </x:c>
      <x:c r="D21" s="8" t="str">
        <x:v>พัฒนาเพื่อพร้อมขาย</x:v>
      </x:c>
      <x:c r="E21" s="8" t="str">
        <x:v>ย้ายเป็นสำรอง</x:v>
      </x:c>
      <x:c r="F21" s="8"/>
      <x:c r="G21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2" ht="65" customHeight="1">
      <x:c r="A22" s="2" t="str">
        <x:v>TMF-309</x:v>
      </x:c>
      <x:c r="B22" s="8" t="str">
        <x:v>มัสยิดอะห์ลิสซุนนะห์วั้ลยะมาอะฮ์</x:v>
      </x:c>
      <x:c r="C22" s="8" t="str">
        <x:v>กรุงเทพมหานคร</x:v>
      </x:c>
      <x:c r="D22" s="8" t="str">
        <x:v>พัฒนาเพื่อพร้อมขาย</x:v>
      </x:c>
      <x:c r="E22" s="8" t="str">
        <x:v>ย้ายเป็นสำรอง</x:v>
      </x:c>
      <x:c r="F22" s="8"/>
      <x:c r="G22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3" ht="65" customHeight="1">
      <x:c r="A23" s="2" t="str">
        <x:v>TMF-317</x:v>
      </x:c>
      <x:c r="B23" s="8" t="str">
        <x:v>มัสยิดอัลเอี้ยะซาน ศาลาคู้</x:v>
      </x:c>
      <x:c r="C23" s="8" t="str">
        <x:v>กรุงเทพมหานคร</x:v>
      </x:c>
      <x:c r="D23" s="8" t="str">
        <x:v>พัฒนาเพื่อพร้อมขาย</x:v>
      </x:c>
      <x:c r="E23" s="8" t="str">
        <x:v>ย้ายเป็นสำรอง</x:v>
      </x:c>
      <x:c r="F23" s="8"/>
      <x:c r="G23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4" ht="65" customHeight="1">
      <x:c r="A24" s="2" t="str">
        <x:v>TMF-324</x:v>
      </x:c>
      <x:c r="B24" s="8" t="str">
        <x:v>มัสยิดฮีดาย่าตุลอิสลามียะฮ์ (แสนแสบ)</x:v>
      </x:c>
      <x:c r="C24" s="8" t="str">
        <x:v>กรุงเทพมหานคร</x:v>
      </x:c>
      <x:c r="D24" s="8" t="str">
        <x:v>พัฒนาเพื่อพร้อมขาย</x:v>
      </x:c>
      <x:c r="E24" s="8" t="str">
        <x:v>ย้ายเป็นสำรอง</x:v>
      </x:c>
      <x:c r="F24" s="8"/>
      <x:c r="G24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5" ht="65" customHeight="1">
      <x:c r="A25" s="2" t="str">
        <x:v>TMF-405</x:v>
      </x:c>
      <x:c r="B25" s="8" t="str">
        <x:v>โกกี้ นมสด สถานีพัฒน์</x:v>
      </x:c>
      <x:c r="C25" s="8" t="str">
        <x:v>กรุงเทพมหานคร</x:v>
      </x:c>
      <x:c r="D25" s="8" t="str">
        <x:v>พัฒนาเพื่อพร้อมขาย</x:v>
      </x:c>
      <x:c r="E25" s="8" t="str">
        <x:v>ย้ายเป็นสำรอง</x:v>
      </x:c>
      <x:c r="F25" s="8"/>
      <x:c r="G25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6" ht="65" customHeight="1">
      <x:c r="A26" s="2" t="str">
        <x:v>TMF-407</x:v>
      </x:c>
      <x:c r="B26" s="8" t="str">
        <x:v>Gigi chicken &amp; kebab</x:v>
      </x:c>
      <x:c r="C26" s="8" t="str">
        <x:v>กรุงเทพมหานคร</x:v>
      </x:c>
      <x:c r="D26" s="8" t="str">
        <x:v>พัฒนาเพื่อพร้อมขาย</x:v>
      </x:c>
      <x:c r="E26" s="8" t="str">
        <x:v>ย้ายเป็นสำรอง</x:v>
      </x:c>
      <x:c r="F26" s="8"/>
      <x:c r="G26" s="8" t="str">
        <x:v>พบหน้ารีวิวระบุปิดถาวร สาขาตรงกับที่อยู่เดิม ย้ายเป็นสำรองระหว่างรอยืนยันจากเจ้าของและแหล่งที่สอง</x:v>
      </x:c>
    </x:row>
    <x:row r="27" ht="65" customHeight="1">
      <x:c r="A27" s="2" t="str">
        <x:v>TMF-409</x:v>
      </x:c>
      <x:c r="B27" s="8" t="str">
        <x:v>ฟาติมะห์ไก่ย่างนมสด</x:v>
      </x:c>
      <x:c r="C27" s="8" t="str">
        <x:v>กรุงเทพมหานคร</x:v>
      </x:c>
      <x:c r="D27" s="8" t="str">
        <x:v>พัฒนาเพื่อพร้อมขาย</x:v>
      </x:c>
      <x:c r="E27" s="8" t="str">
        <x:v>ย้ายเป็นสำรอง</x:v>
      </x:c>
      <x:c r="F27" s="8"/>
      <x:c r="G27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8" ht="65" customHeight="1">
      <x:c r="A28" s="2" t="str">
        <x:v>TMF-410</x:v>
      </x:c>
      <x:c r="B28" s="8" t="str">
        <x:v>ละห์ ข้าวราดแกง</x:v>
      </x:c>
      <x:c r="C28" s="8" t="str">
        <x:v>กรุงเทพมหานคร</x:v>
      </x:c>
      <x:c r="D28" s="8" t="str">
        <x:v>พัฒนาเพื่อพร้อมขาย</x:v>
      </x:c>
      <x:c r="E28" s="8" t="str">
        <x:v>ย้ายเป็นสำรอง</x:v>
      </x:c>
      <x:c r="F28" s="8"/>
      <x:c r="G28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29" ht="65" customHeight="1">
      <x:c r="A29" s="2" t="str">
        <x:v>TMF-411</x:v>
      </x:c>
      <x:c r="B29" s="8" t="str">
        <x:v>ซาฟรอง อาหารตามสั่งริมคลอง</x:v>
      </x:c>
      <x:c r="C29" s="8" t="str">
        <x:v>กรุงเทพมหานคร</x:v>
      </x:c>
      <x:c r="D29" s="8" t="str">
        <x:v>พัฒนาเพื่อพร้อมขาย</x:v>
      </x:c>
      <x:c r="E29" s="8" t="str">
        <x:v>ย้ายเป็นสำรอง</x:v>
      </x:c>
      <x:c r="F29" s="8"/>
      <x:c r="G29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30" ht="65" customHeight="1">
      <x:c r="A30" s="2" t="str">
        <x:v>TMF-412</x:v>
      </x:c>
      <x:c r="B30" s="8" t="str">
        <x:v>ลิบง</x:v>
      </x:c>
      <x:c r="C30" s="8" t="str">
        <x:v>กรุงเทพมหานคร</x:v>
      </x:c>
      <x:c r="D30" s="8" t="str">
        <x:v>พัฒนาเพื่อพร้อมขาย</x:v>
      </x:c>
      <x:c r="E30" s="8" t="str">
        <x:v>ย้ายเป็นสำรอง</x:v>
      </x:c>
      <x:c r="F30" s="8"/>
      <x:c r="G30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31" ht="65" customHeight="1">
      <x:c r="A31" s="2" t="str">
        <x:v>TMF-555</x:v>
      </x:c>
      <x:c r="B31" s="8" t="str">
        <x:v>ไก่ย่างอัสรี</x:v>
      </x:c>
      <x:c r="C31" s="8" t="str">
        <x:v>กรุงเทพมหานคร</x:v>
      </x:c>
      <x:c r="D31" s="8" t="str">
        <x:v>มีศักยภาพ แต่ต้องพัฒนามาตรฐาน</x:v>
      </x:c>
      <x:c r="E31" s="8" t="str">
        <x:v>ย้ายเป็นสำรอง</x:v>
      </x:c>
      <x:c r="F31" s="8"/>
      <x:c r="G31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32" ht="65" customHeight="1">
      <x:c r="A32" s="2" t="str">
        <x:v>TMF-598</x:v>
      </x:c>
      <x:c r="B32" s="8" t="str">
        <x:v>กะเพรากระทะเดือด ฮาลาล &amp; Greek yogurt</x:v>
      </x:c>
      <x:c r="C32" s="8" t="str">
        <x:v>กรุงเทพมหานคร</x:v>
      </x:c>
      <x:c r="D32" s="8" t="str">
        <x:v>มีศักยภาพ แต่ต้องพัฒนามาตรฐาน</x:v>
      </x:c>
      <x:c r="E32" s="8" t="str">
        <x:v>ย้ายเป็นสำรอง</x:v>
      </x:c>
      <x:c r="F32" s="8"/>
      <x:c r="G32" s="8" t="str">
        <x:v>รอบค้นหาซ้ำยังจับคู่แหล่งที่สองไม่ได้ จัดลำดับให้ธุรกิจในทะเบียน GMHI; ไม่ได้สรุปว่าปิดกิจการ</x:v>
      </x:c>
    </x:row>
    <x:row r="33" ht="65" customHeight="1">
      <x:c r="A33" s="2" t="str">
        <x:v>TMF-003</x:v>
      </x:c>
      <x:c r="B33" s="8" t="str">
        <x:v>นอร์ธผาฮี้</x:v>
      </x:c>
      <x:c r="C33" s="8" t="str">
        <x:v>เชียงราย</x:v>
      </x:c>
      <x:c r="D33" s="8" t="str">
        <x:v>พร้อมขาย</x:v>
      </x:c>
      <x:c r="E33" s="8" t="str">
        <x:v>ปรับประเภทเป็นที่พัก</x:v>
      </x:c>
      <x:c r="F33" s="8" t="str">
        <x:v>TMF-003</x:v>
      </x:c>
      <x:c r="G33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34" ht="65" customHeight="1">
      <x:c r="A34" s="2" t="str">
        <x:v>TMF-031</x:v>
      </x:c>
      <x:c r="B34" s="8" t="str">
        <x:v>Ahad Suite Ao Nang</x:v>
      </x:c>
      <x:c r="C34" s="8" t="str">
        <x:v>กระบี่</x:v>
      </x:c>
      <x:c r="D34" s="8" t="str">
        <x:v>พร้อมขาย</x:v>
      </x:c>
      <x:c r="E34" s="8" t="str">
        <x:v>ปรับประเภทเป็นที่พัก</x:v>
      </x:c>
      <x:c r="F34" s="8" t="str">
        <x:v>TMF-031</x:v>
      </x:c>
      <x:c r="G34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35" ht="65" customHeight="1">
      <x:c r="A35" s="2" t="str">
        <x:v>TMF-032</x:v>
      </x:c>
      <x:c r="B35" s="8" t="str">
        <x:v>White Sand Halal House Krabi</x:v>
      </x:c>
      <x:c r="C35" s="8" t="str">
        <x:v>กระบี่</x:v>
      </x:c>
      <x:c r="D35" s="8" t="str">
        <x:v>พร้อมขาย</x:v>
      </x:c>
      <x:c r="E35" s="8" t="str">
        <x:v>ปรับประเภทเป็นที่พัก</x:v>
      </x:c>
      <x:c r="F35" s="8" t="str">
        <x:v>TMF-032</x:v>
      </x:c>
      <x:c r="G35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36" ht="65" customHeight="1">
      <x:c r="A36" s="2" t="str">
        <x:v>TMF-051</x:v>
      </x:c>
      <x:c r="B36" s="8" t="str">
        <x:v>Heyyyy Bangkok Hostel</x:v>
      </x:c>
      <x:c r="C36" s="8" t="str">
        <x:v>กรุงเทพมหานคร</x:v>
      </x:c>
      <x:c r="D36" s="8" t="str">
        <x:v>พร้อมขาย</x:v>
      </x:c>
      <x:c r="E36" s="8" t="str">
        <x:v>ปรับประเภทเป็นที่พัก</x:v>
      </x:c>
      <x:c r="F36" s="8" t="str">
        <x:v>TMF-051</x:v>
      </x:c>
      <x:c r="G36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37" ht="65" customHeight="1">
      <x:c r="A37" s="2" t="str">
        <x:v>TMF-062</x:v>
      </x:c>
      <x:c r="B37" s="8" t="str">
        <x:v>P-Park Residence</x:v>
      </x:c>
      <x:c r="C37" s="8" t="str">
        <x:v>กรุงเทพมหานคร</x:v>
      </x:c>
      <x:c r="D37" s="8" t="str">
        <x:v>พร้อมขาย</x:v>
      </x:c>
      <x:c r="E37" s="8" t="str">
        <x:v>ปรับประเภทเป็นที่พัก</x:v>
      </x:c>
      <x:c r="F37" s="8" t="str">
        <x:v>TMF-062</x:v>
      </x:c>
      <x:c r="G37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38" ht="65" customHeight="1">
      <x:c r="A38" s="2" t="str">
        <x:v>TMF-065</x:v>
      </x:c>
      <x:c r="B38" s="8" t="str">
        <x:v>Rotinis Hostel</x:v>
      </x:c>
      <x:c r="C38" s="8" t="str">
        <x:v>กรุงเทพมหานคร</x:v>
      </x:c>
      <x:c r="D38" s="8" t="str">
        <x:v>พร้อมขาย</x:v>
      </x:c>
      <x:c r="E38" s="8" t="str">
        <x:v>ปรับประเภทเป็นที่พัก</x:v>
      </x:c>
      <x:c r="F38" s="8" t="str">
        <x:v>TMF-065</x:v>
      </x:c>
      <x:c r="G38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39" ht="65" customHeight="1">
      <x:c r="A39" s="2" t="str">
        <x:v>TMF-083</x:v>
      </x:c>
      <x:c r="B39" s="8" t="str">
        <x:v>มุสลิมโฮม2 ห้องพักรายวัน</x:v>
      </x:c>
      <x:c r="C39" s="8" t="str">
        <x:v>กรุงเทพมหานคร</x:v>
      </x:c>
      <x:c r="D39" s="8" t="str">
        <x:v>พร้อมขาย</x:v>
      </x:c>
      <x:c r="E39" s="8" t="str">
        <x:v>ปรับประเภทเป็นที่พัก</x:v>
      </x:c>
      <x:c r="F39" s="8" t="str">
        <x:v>TMF-083</x:v>
      </x:c>
      <x:c r="G39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0" ht="65" customHeight="1">
      <x:c r="A40" s="2" t="str">
        <x:v>TMF-099</x:v>
      </x:c>
      <x:c r="B40" s="8" t="str">
        <x:v>Nanthawan park 888</x:v>
      </x:c>
      <x:c r="C40" s="8" t="str">
        <x:v>ฉะเชิงเทรา</x:v>
      </x:c>
      <x:c r="D40" s="8" t="str">
        <x:v>พร้อมขาย</x:v>
      </x:c>
      <x:c r="E40" s="8" t="str">
        <x:v>ปรับประเภทเป็นที่พัก</x:v>
      </x:c>
      <x:c r="F40" s="8" t="str">
        <x:v>TMF-099</x:v>
      </x:c>
      <x:c r="G40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1" ht="65" customHeight="1">
      <x:c r="A41" s="2" t="str">
        <x:v>TMF-101</x:v>
      </x:c>
      <x:c r="B41" s="8" t="str">
        <x:v>บ้านผู้การ DZEN Home Station</x:v>
      </x:c>
      <x:c r="C41" s="8" t="str">
        <x:v>ฉะเชิงเทรา</x:v>
      </x:c>
      <x:c r="D41" s="8" t="str">
        <x:v>พร้อมขาย</x:v>
      </x:c>
      <x:c r="E41" s="8" t="str">
        <x:v>ปรับประเภทเป็นที่พัก</x:v>
      </x:c>
      <x:c r="F41" s="8" t="str">
        <x:v>TMF-101</x:v>
      </x:c>
      <x:c r="G41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2" ht="65" customHeight="1">
      <x:c r="A42" s="2" t="str">
        <x:v>TMF-107</x:v>
      </x:c>
      <x:c r="B42" s="8" t="str">
        <x:v>Farida House - ฟาริดาเฮ้าส์</x:v>
      </x:c>
      <x:c r="C42" s="8" t="str">
        <x:v>ชลบุรี</x:v>
      </x:c>
      <x:c r="D42" s="8" t="str">
        <x:v>พร้อมขาย</x:v>
      </x:c>
      <x:c r="E42" s="8" t="str">
        <x:v>ปรับประเภทเป็นที่พัก</x:v>
      </x:c>
      <x:c r="F42" s="8" t="str">
        <x:v>TMF-107</x:v>
      </x:c>
      <x:c r="G42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3" ht="65" customHeight="1">
      <x:c r="A43" s="2" t="str">
        <x:v>TMF-109</x:v>
      </x:c>
      <x:c r="B43" s="8" t="str">
        <x:v>Noursabah Pattaya - ณุศบา พัทยา</x:v>
      </x:c>
      <x:c r="C43" s="8" t="str">
        <x:v>ชลบุรี</x:v>
      </x:c>
      <x:c r="D43" s="8" t="str">
        <x:v>พร้อมขาย</x:v>
      </x:c>
      <x:c r="E43" s="8" t="str">
        <x:v>ปรับประเภทเป็นที่พัก</x:v>
      </x:c>
      <x:c r="F43" s="8" t="str">
        <x:v>TMF-109</x:v>
      </x:c>
      <x:c r="G43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4" ht="65" customHeight="1">
      <x:c r="A44" s="2" t="str">
        <x:v>TMF-110</x:v>
      </x:c>
      <x:c r="B44" s="8" t="str">
        <x:v>Pattaya Bed Boutique</x:v>
      </x:c>
      <x:c r="C44" s="8" t="str">
        <x:v>ชลบุรี</x:v>
      </x:c>
      <x:c r="D44" s="8" t="str">
        <x:v>พร้อมขาย</x:v>
      </x:c>
      <x:c r="E44" s="8" t="str">
        <x:v>ปรับประเภทเป็นที่พัก</x:v>
      </x:c>
      <x:c r="F44" s="8" t="str">
        <x:v>TMF-110</x:v>
      </x:c>
      <x:c r="G44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5" ht="65" customHeight="1">
      <x:c r="A45" s="2" t="str">
        <x:v>TMF-111</x:v>
      </x:c>
      <x:c r="B45" s="8" t="str">
        <x:v>Valida Cottage</x:v>
      </x:c>
      <x:c r="C45" s="8" t="str">
        <x:v>ชลบุรี</x:v>
      </x:c>
      <x:c r="D45" s="8" t="str">
        <x:v>พร้อมขาย</x:v>
      </x:c>
      <x:c r="E45" s="8" t="str">
        <x:v>ปรับประเภทเป็นที่พัก</x:v>
      </x:c>
      <x:c r="F45" s="8" t="str">
        <x:v>TMF-111</x:v>
      </x:c>
      <x:c r="G45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6" ht="65" customHeight="1">
      <x:c r="A46" s="2" t="str">
        <x:v>TMF-127</x:v>
      </x:c>
      <x:c r="B46" s="8" t="str">
        <x:v>PICNIC CAMP เขายายเที่ยง</x:v>
      </x:c>
      <x:c r="C46" s="8" t="str">
        <x:v>นครราชสีมา</x:v>
      </x:c>
      <x:c r="D46" s="8" t="str">
        <x:v>พร้อมขาย</x:v>
      </x:c>
      <x:c r="E46" s="8" t="str">
        <x:v>ปรับประเภทเป็นที่พัก</x:v>
      </x:c>
      <x:c r="F46" s="8" t="str">
        <x:v>TMF-127</x:v>
      </x:c>
      <x:c r="G46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7" ht="65" customHeight="1">
      <x:c r="A47" s="2" t="str">
        <x:v>TMF-135</x:v>
      </x:c>
      <x:c r="B47" s="8" t="str">
        <x:v>ภูล้านดาวแคมป์ ณ เขายายเที่ยง</x:v>
      </x:c>
      <x:c r="C47" s="8" t="str">
        <x:v>นครราชสีมา</x:v>
      </x:c>
      <x:c r="D47" s="8" t="str">
        <x:v>พร้อมขาย</x:v>
      </x:c>
      <x:c r="E47" s="8" t="str">
        <x:v>ปรับประเภทเป็นที่พัก</x:v>
      </x:c>
      <x:c r="F47" s="8" t="str">
        <x:v>TMF-135</x:v>
      </x:c>
      <x:c r="G47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8" ht="65" customHeight="1">
      <x:c r="A48" s="2" t="str">
        <x:v>TMF-158</x:v>
      </x:c>
      <x:c r="B48" s="8" t="str">
        <x:v>Regent Ngamwongwan</x:v>
      </x:c>
      <x:c r="C48" s="8" t="str">
        <x:v>นนทบุรี</x:v>
      </x:c>
      <x:c r="D48" s="8" t="str">
        <x:v>พร้อมขาย</x:v>
      </x:c>
      <x:c r="E48" s="8" t="str">
        <x:v>ปรับประเภทเป็นที่พัก</x:v>
      </x:c>
      <x:c r="F48" s="8" t="str">
        <x:v>TMF-158</x:v>
      </x:c>
      <x:c r="G48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49" ht="65" customHeight="1">
      <x:c r="A49" s="2" t="str">
        <x:v>TMF-178</x:v>
      </x:c>
      <x:c r="B49" s="8" t="str">
        <x:v>Hello Winter บ่อเกลือHalal</x:v>
      </x:c>
      <x:c r="C49" s="8" t="str">
        <x:v>น่าน</x:v>
      </x:c>
      <x:c r="D49" s="8" t="str">
        <x:v>พร้อมขาย</x:v>
      </x:c>
      <x:c r="E49" s="8" t="str">
        <x:v>ปรับประเภทเป็นที่พัก</x:v>
      </x:c>
      <x:c r="F49" s="8" t="str">
        <x:v>TMF-178</x:v>
      </x:c>
      <x:c r="G49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0" ht="65" customHeight="1">
      <x:c r="A50" s="2" t="str">
        <x:v>TMF-184</x:v>
      </x:c>
      <x:c r="B50" s="8" t="str">
        <x:v>Coco Pina Boutique Resort ที่พัก&amp;คาเฟ่ประจวบ</x:v>
      </x:c>
      <x:c r="C50" s="8" t="str">
        <x:v>ประจวบคีรีขันธ์</x:v>
      </x:c>
      <x:c r="D50" s="8" t="str">
        <x:v>พร้อมขาย</x:v>
      </x:c>
      <x:c r="E50" s="8" t="str">
        <x:v>ปรับประเภทเป็นที่พัก</x:v>
      </x:c>
      <x:c r="F50" s="8" t="str">
        <x:v>TMF-184</x:v>
      </x:c>
      <x:c r="G50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1" ht="65" customHeight="1">
      <x:c r="A51" s="2" t="str">
        <x:v>TMF-222</x:v>
      </x:c>
      <x:c r="B51" s="8" t="str">
        <x:v>ไมอามี่ ซีวิว</x:v>
      </x:c>
      <x:c r="C51" s="8" t="str">
        <x:v>สตูล</x:v>
      </x:c>
      <x:c r="D51" s="8" t="str">
        <x:v>พร้อมขาย</x:v>
      </x:c>
      <x:c r="E51" s="8" t="str">
        <x:v>ปรับประเภทเป็นที่พัก</x:v>
      </x:c>
      <x:c r="F51" s="8" t="str">
        <x:v>TMF-222</x:v>
      </x:c>
      <x:c r="G51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2" ht="65" customHeight="1">
      <x:c r="A52" s="2" t="str">
        <x:v>TMF-235</x:v>
      </x:c>
      <x:c r="B52" s="8" t="str">
        <x:v>Aba Village</x:v>
      </x:c>
      <x:c r="C52" s="8" t="str">
        <x:v>เชียงใหม่</x:v>
      </x:c>
      <x:c r="D52" s="8" t="str">
        <x:v>พร้อมขาย</x:v>
      </x:c>
      <x:c r="E52" s="8" t="str">
        <x:v>ปรับประเภทเป็นที่พัก</x:v>
      </x:c>
      <x:c r="F52" s="8" t="str">
        <x:v>TMF-235</x:v>
      </x:c>
      <x:c r="G52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3" ht="65" customHeight="1">
      <x:c r="A53" s="2" t="str">
        <x:v>TMF-244</x:v>
      </x:c>
      <x:c r="B53" s="8" t="str">
        <x:v>DD O-Zone พูลวิลล่า ฮาลาลฟู้ด ภูทับเบิก</x:v>
      </x:c>
      <x:c r="C53" s="8" t="str">
        <x:v>เพชรบูรณ์</x:v>
      </x:c>
      <x:c r="D53" s="8" t="str">
        <x:v>พร้อมขาย</x:v>
      </x:c>
      <x:c r="E53" s="8" t="str">
        <x:v>ปรับประเภทเป็นที่พัก</x:v>
      </x:c>
      <x:c r="F53" s="8" t="str">
        <x:v>TMF-244</x:v>
      </x:c>
      <x:c r="G53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4" ht="65" customHeight="1">
      <x:c r="A54" s="2" t="str">
        <x:v>TMF-249</x:v>
      </x:c>
      <x:c r="B54" s="8" t="str">
        <x:v>Mp house at pai</x:v>
      </x:c>
      <x:c r="C54" s="8" t="str">
        <x:v>แม่ฮ่องสอน</x:v>
      </x:c>
      <x:c r="D54" s="8" t="str">
        <x:v>พร้อมขาย</x:v>
      </x:c>
      <x:c r="E54" s="8" t="str">
        <x:v>ปรับประเภทเป็นที่พัก</x:v>
      </x:c>
      <x:c r="F54" s="8" t="str">
        <x:v>TMF-249</x:v>
      </x:c>
      <x:c r="G54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5" ht="65" customHeight="1">
      <x:c r="A55" s="2" t="str">
        <x:v>TMF-600</x:v>
      </x:c>
      <x:c r="B55" s="8" t="str">
        <x:v>สบายดีเฮ้าส์ แอทปาย</x:v>
      </x:c>
      <x:c r="C55" s="8" t="str">
        <x:v>แม่ฮ่องสอน</x:v>
      </x:c>
      <x:c r="D55" s="8" t="str">
        <x:v>มีศักยภาพ แต่ต้องพัฒนามาตรฐาน</x:v>
      </x:c>
      <x:c r="E55" s="8" t="str">
        <x:v>ปรับประเภทเป็นที่พัก</x:v>
      </x:c>
      <x:c r="F55" s="8" t="str">
        <x:v>TMF-600</x:v>
      </x:c>
      <x:c r="G55" s="8" t="str">
        <x:v>ประเภทเดิมร้านอาหารและคาเฟ่ แต่ชื่อและข้อมูลที่พัก/รีวิวระบุการให้บริการห้องพัก แคมป์ หรือรีสอร์ท; คงกลุ่มเป็นข้อเสนอรอตรวจมาตรฐาน</x:v>
      </x:c>
    </x:row>
    <x:row r="56" ht="65" customHeight="1">
      <x:c r="A56" s="2" t="str">
        <x:v>TMF-006</x:v>
      </x:c>
      <x:c r="B56" s="8" t="str">
        <x:v>ก๋วยเตี๋ยวเป็ดดาหวัน ปัญรีดา 786</x:v>
      </x:c>
      <x:c r="C56" s="8" t="str">
        <x:v>พระนครศรีอยุธยา</x:v>
      </x:c>
      <x:c r="D56" s="8" t="str">
        <x:v>พร้อมขาย</x:v>
      </x:c>
      <x:c r="E56" s="8" t="str">
        <x:v>ย้ายเป็นสำรอง</x:v>
      </x:c>
      <x:c r="F56" s="8" t="str"/>
      <x:c r="G5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57" ht="65" customHeight="1">
      <x:c r="A57" s="2" t="str">
        <x:v>TMF-010</x:v>
      </x:c>
      <x:c r="B57" s="8" t="str">
        <x:v>สเต็กรอมะฮ์ กระเพราแซ่บ ผัดเผ็ดปลาแม่น้ำ</x:v>
      </x:c>
      <x:c r="C57" s="8" t="str">
        <x:v>พระนครศรีอยุธยา</x:v>
      </x:c>
      <x:c r="D57" s="8" t="str">
        <x:v>พร้อมขาย</x:v>
      </x:c>
      <x:c r="E57" s="8" t="str">
        <x:v>ย้ายเป็นสำรอง</x:v>
      </x:c>
      <x:c r="F57" s="8" t="str"/>
      <x:c r="G5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58" ht="65" customHeight="1">
      <x:c r="A58" s="2" t="str">
        <x:v>TMF-014</x:v>
      </x:c>
      <x:c r="B58" s="8" t="str">
        <x:v>เตี๋ยวติดน้ำ บ้านผู้ใหญ่ลี</x:v>
      </x:c>
      <x:c r="C58" s="8" t="str">
        <x:v>พระนครศรีอยุธยา</x:v>
      </x:c>
      <x:c r="D58" s="8" t="str">
        <x:v>พร้อมขาย</x:v>
      </x:c>
      <x:c r="E58" s="8" t="str">
        <x:v>ย้ายเป็นสำรอง</x:v>
      </x:c>
      <x:c r="F58" s="8" t="str"/>
      <x:c r="G5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59" ht="65" customHeight="1">
      <x:c r="A59" s="2" t="str">
        <x:v>TMF-017</x:v>
      </x:c>
      <x:c r="B59" s="8" t="str">
        <x:v>อาบี อาหารไทยมุสลิม&amp;โรตีแป้งทอด</x:v>
      </x:c>
      <x:c r="C59" s="8" t="str">
        <x:v>ราชบุรี</x:v>
      </x:c>
      <x:c r="D59" s="8" t="str">
        <x:v>พร้อมขาย</x:v>
      </x:c>
      <x:c r="E59" s="8" t="str">
        <x:v>ย้ายเป็นสำรอง</x:v>
      </x:c>
      <x:c r="F59" s="8" t="str"/>
      <x:c r="G5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0" ht="65" customHeight="1">
      <x:c r="A60" s="2" t="str">
        <x:v>TMF-023</x:v>
      </x:c>
      <x:c r="B60" s="8" t="str">
        <x:v>Lanta Emerald Resort ลันตา เอ็มเมอรัล ห้องพัก ติดทะเล เกาะลันตาใหญ่ กระบี่</x:v>
      </x:c>
      <x:c r="C60" s="8" t="str">
        <x:v>กระบี่</x:v>
      </x:c>
      <x:c r="D60" s="8" t="str">
        <x:v>พร้อมขาย</x:v>
      </x:c>
      <x:c r="E60" s="8" t="str">
        <x:v>ย้ายเป็นสำรอง</x:v>
      </x:c>
      <x:c r="F60" s="8" t="str"/>
      <x:c r="G6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1" ht="65" customHeight="1">
      <x:c r="A61" s="2" t="str">
        <x:v>TMF-048</x:v>
      </x:c>
      <x:c r="B61" s="8" t="str">
        <x:v>Dawiya Thai food halal</x:v>
      </x:c>
      <x:c r="C61" s="8" t="str">
        <x:v>กรุงเทพมหานคร</x:v>
      </x:c>
      <x:c r="D61" s="8" t="str">
        <x:v>พร้อมขาย</x:v>
      </x:c>
      <x:c r="E61" s="8" t="str">
        <x:v>ย้ายเป็นสำรอง</x:v>
      </x:c>
      <x:c r="F61" s="8" t="str"/>
      <x:c r="G6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2" ht="65" customHeight="1">
      <x:c r="A62" s="2" t="str">
        <x:v>TMF-055</x:v>
      </x:c>
      <x:c r="B62" s="8" t="str">
        <x:v>La pizza fahana</x:v>
      </x:c>
      <x:c r="C62" s="8" t="str">
        <x:v>กรุงเทพมหานคร</x:v>
      </x:c>
      <x:c r="D62" s="8" t="str">
        <x:v>พร้อมขาย</x:v>
      </x:c>
      <x:c r="E62" s="8" t="str">
        <x:v>ย้ายเป็นสำรอง</x:v>
      </x:c>
      <x:c r="F62" s="8" t="str"/>
      <x:c r="G6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3" ht="65" customHeight="1">
      <x:c r="A63" s="2" t="str">
        <x:v>TMF-064</x:v>
      </x:c>
      <x:c r="B63" s="8" t="str">
        <x:v>Ram21Place</x:v>
      </x:c>
      <x:c r="C63" s="8" t="str">
        <x:v>กรุงเทพมหานคร</x:v>
      </x:c>
      <x:c r="D63" s="8" t="str">
        <x:v>พร้อมขาย</x:v>
      </x:c>
      <x:c r="E63" s="8" t="str">
        <x:v>ย้ายเป็นสำรอง</x:v>
      </x:c>
      <x:c r="F63" s="8" t="str"/>
      <x:c r="G6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4" ht="65" customHeight="1">
      <x:c r="A64" s="2" t="str">
        <x:v>TMF-066</x:v>
      </x:c>
      <x:c r="B64" s="8" t="str">
        <x:v>Seven Sisters Home Cafe &amp; Halal Cuisine</x:v>
      </x:c>
      <x:c r="C64" s="8" t="str">
        <x:v>กรุงเทพมหานคร</x:v>
      </x:c>
      <x:c r="D64" s="8" t="str">
        <x:v>พร้อมขาย</x:v>
      </x:c>
      <x:c r="E64" s="8" t="str">
        <x:v>ย้ายเป็นสำรอง</x:v>
      </x:c>
      <x:c r="F64" s="8" t="str"/>
      <x:c r="G6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5" ht="65" customHeight="1">
      <x:c r="A65" s="2" t="str">
        <x:v>TMF-067</x:v>
      </x:c>
      <x:c r="B65" s="8" t="str">
        <x:v>WOK &amp; MORE thai internationnal cuisine</x:v>
      </x:c>
      <x:c r="C65" s="8" t="str">
        <x:v>กรุงเทพมหานคร</x:v>
      </x:c>
      <x:c r="D65" s="8" t="str">
        <x:v>พร้อมขาย</x:v>
      </x:c>
      <x:c r="E65" s="8" t="str">
        <x:v>ย้ายเป็นสำรอง</x:v>
      </x:c>
      <x:c r="F65" s="8" t="str"/>
      <x:c r="G6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6" ht="65" customHeight="1">
      <x:c r="A66" s="2" t="str">
        <x:v>TMF-068</x:v>
      </x:c>
      <x:c r="B66" s="8" t="str">
        <x:v>กุ้งแช่บรรทัดทองbyฮาลาล</x:v>
      </x:c>
      <x:c r="C66" s="8" t="str">
        <x:v>กรุงเทพมหานคร</x:v>
      </x:c>
      <x:c r="D66" s="8" t="str">
        <x:v>พร้อมขาย</x:v>
      </x:c>
      <x:c r="E66" s="8" t="str">
        <x:v>ย้ายเป็นสำรอง</x:v>
      </x:c>
      <x:c r="F66" s="8" t="str"/>
      <x:c r="G6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7" ht="65" customHeight="1">
      <x:c r="A67" s="2" t="str">
        <x:v>TMF-069</x:v>
      </x:c>
      <x:c r="B67" s="8" t="str">
        <x:v>ข้าวต้มบารอกัต สาขาหนองจอก</x:v>
      </x:c>
      <x:c r="C67" s="8" t="str">
        <x:v>กรุงเทพมหานคร</x:v>
      </x:c>
      <x:c r="D67" s="8" t="str">
        <x:v>พร้อมขาย</x:v>
      </x:c>
      <x:c r="E67" s="8" t="str">
        <x:v>ย้ายเป็นสำรอง</x:v>
      </x:c>
      <x:c r="F67" s="8" t="str"/>
      <x:c r="G6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8" ht="65" customHeight="1">
      <x:c r="A68" s="2" t="str">
        <x:v>TMF-070</x:v>
      </x:c>
      <x:c r="B68" s="8" t="str">
        <x:v>ข้าวเช้า ฮาลาล breakfast &amp; lunch</x:v>
      </x:c>
      <x:c r="C68" s="8" t="str">
        <x:v>กรุงเทพมหานคร</x:v>
      </x:c>
      <x:c r="D68" s="8" t="str">
        <x:v>พร้อมขาย</x:v>
      </x:c>
      <x:c r="E68" s="8" t="str">
        <x:v>ย้ายเป็นสำรอง</x:v>
      </x:c>
      <x:c r="F68" s="8" t="str"/>
      <x:c r="G6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69" ht="65" customHeight="1">
      <x:c r="A69" s="2" t="str">
        <x:v>TMF-071</x:v>
      </x:c>
      <x:c r="B69" s="8" t="str">
        <x:v>ครัวบ้านวัง-ฮาลาลฟู้ด</x:v>
      </x:c>
      <x:c r="C69" s="8" t="str">
        <x:v>กรุงเทพมหานคร</x:v>
      </x:c>
      <x:c r="D69" s="8" t="str">
        <x:v>พร้อมขาย</x:v>
      </x:c>
      <x:c r="E69" s="8" t="str">
        <x:v>ย้ายเป็นสำรอง</x:v>
      </x:c>
      <x:c r="F69" s="8" t="str"/>
      <x:c r="G6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0" ht="65" customHeight="1">
      <x:c r="A70" s="2" t="str">
        <x:v>TMF-072</x:v>
      </x:c>
      <x:c r="B70" s="8" t="str">
        <x:v>ครัวอารีฟฮาลาล</x:v>
      </x:c>
      <x:c r="C70" s="8" t="str">
        <x:v>กรุงเทพมหานคร</x:v>
      </x:c>
      <x:c r="D70" s="8" t="str">
        <x:v>พร้อมขาย</x:v>
      </x:c>
      <x:c r="E70" s="8" t="str">
        <x:v>ย้ายเป็นสำรอง</x:v>
      </x:c>
      <x:c r="F70" s="8" t="str"/>
      <x:c r="G7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1" ht="65" customHeight="1">
      <x:c r="A71" s="2" t="str">
        <x:v>TMF-073</x:v>
      </x:c>
      <x:c r="B71" s="8" t="str">
        <x:v>ครัวแยกบาแลอาหารตามสั่ง</x:v>
      </x:c>
      <x:c r="C71" s="8" t="str">
        <x:v>กรุงเทพมหานคร</x:v>
      </x:c>
      <x:c r="D71" s="8" t="str">
        <x:v>พร้อมขาย</x:v>
      </x:c>
      <x:c r="E71" s="8" t="str">
        <x:v>ย้ายเป็นสำรอง</x:v>
      </x:c>
      <x:c r="F71" s="8" t="str"/>
      <x:c r="G7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2" ht="65" customHeight="1">
      <x:c r="A72" s="2" t="str">
        <x:v>TMF-074</x:v>
      </x:c>
      <x:c r="B72" s="8" t="str">
        <x:v>ตั้งโต๊ะ ชาบูฮาลาล</x:v>
      </x:c>
      <x:c r="C72" s="8" t="str">
        <x:v>กรุงเทพมหานคร</x:v>
      </x:c>
      <x:c r="D72" s="8" t="str">
        <x:v>พร้อมขาย</x:v>
      </x:c>
      <x:c r="E72" s="8" t="str">
        <x:v>ย้ายเป็นสำรอง</x:v>
      </x:c>
      <x:c r="F72" s="8" t="str"/>
      <x:c r="G7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3" ht="65" customHeight="1">
      <x:c r="A73" s="2" t="str">
        <x:v>TMF-075</x:v>
      </x:c>
      <x:c r="B73" s="8" t="str">
        <x:v>ตำตำ ยำยำ ราม53</x:v>
      </x:c>
      <x:c r="C73" s="8" t="str">
        <x:v>กรุงเทพมหานคร</x:v>
      </x:c>
      <x:c r="D73" s="8" t="str">
        <x:v>พร้อมขาย</x:v>
      </x:c>
      <x:c r="E73" s="8" t="str">
        <x:v>ย้ายเป็นสำรอง</x:v>
      </x:c>
      <x:c r="F73" s="8" t="str"/>
      <x:c r="G7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4" ht="65" customHeight="1">
      <x:c r="A74" s="2" t="str">
        <x:v>TMF-076</x:v>
      </x:c>
      <x:c r="B74" s="8" t="str">
        <x:v>ท่าพระคิทเช่น</x:v>
      </x:c>
      <x:c r="C74" s="8" t="str">
        <x:v>กรุงเทพมหานคร</x:v>
      </x:c>
      <x:c r="D74" s="8" t="str">
        <x:v>พร้อมขาย</x:v>
      </x:c>
      <x:c r="E74" s="8" t="str">
        <x:v>ย้ายเป็นสำรอง</x:v>
      </x:c>
      <x:c r="F74" s="8" t="str"/>
      <x:c r="G7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5" ht="65" customHeight="1">
      <x:c r="A75" s="2" t="str">
        <x:v>TMF-077</x:v>
      </x:c>
      <x:c r="B75" s="8" t="str">
        <x:v>บังสอนซุปหางวัว  ข้าวหางวัว</x:v>
      </x:c>
      <x:c r="C75" s="8" t="str">
        <x:v>กรุงเทพมหานคร</x:v>
      </x:c>
      <x:c r="D75" s="8" t="str">
        <x:v>พร้อมขาย</x:v>
      </x:c>
      <x:c r="E75" s="8" t="str">
        <x:v>ย้ายเป็นสำรอง</x:v>
      </x:c>
      <x:c r="F75" s="8" t="str"/>
      <x:c r="G7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6" ht="65" customHeight="1">
      <x:c r="A76" s="2" t="str">
        <x:v>TMF-078</x:v>
      </x:c>
      <x:c r="B76" s="8" t="str">
        <x:v>บิสมิลลาฮ์ บังชามิล ก๋วยเตี๋ยวเรือ 20 บาท</x:v>
      </x:c>
      <x:c r="C76" s="8" t="str">
        <x:v>กรุงเทพมหานคร</x:v>
      </x:c>
      <x:c r="D76" s="8" t="str">
        <x:v>พร้อมขาย</x:v>
      </x:c>
      <x:c r="E76" s="8" t="str">
        <x:v>ย้ายเป็นสำรอง</x:v>
      </x:c>
      <x:c r="F76" s="8" t="str"/>
      <x:c r="G7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7" ht="65" customHeight="1">
      <x:c r="A77" s="2" t="str">
        <x:v>TMF-079</x:v>
      </x:c>
      <x:c r="B77" s="8" t="str">
        <x:v>บ้านเกี๊ยวเย็นตาโฟ</x:v>
      </x:c>
      <x:c r="C77" s="8" t="str">
        <x:v>กรุงเทพมหานคร</x:v>
      </x:c>
      <x:c r="D77" s="8" t="str">
        <x:v>พร้อมขาย</x:v>
      </x:c>
      <x:c r="E77" s="8" t="str">
        <x:v>ย้ายเป็นสำรอง</x:v>
      </x:c>
      <x:c r="F77" s="8" t="str"/>
      <x:c r="G7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8" ht="65" customHeight="1">
      <x:c r="A78" s="2" t="str">
        <x:v>TMF-080</x:v>
      </x:c>
      <x:c r="B78" s="8" t="str">
        <x:v>ฟาตินชิ้นสะดุ้ง สาขา ซีคอนศรีนครินทร์</x:v>
      </x:c>
      <x:c r="C78" s="8" t="str">
        <x:v>กรุงเทพมหานคร</x:v>
      </x:c>
      <x:c r="D78" s="8" t="str">
        <x:v>พร้อมขาย</x:v>
      </x:c>
      <x:c r="E78" s="8" t="str">
        <x:v>ย้ายเป็นสำรอง</x:v>
      </x:c>
      <x:c r="F78" s="8" t="str"/>
      <x:c r="G7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79" ht="65" customHeight="1">
      <x:c r="A79" s="2" t="str">
        <x:v>TMF-081</x:v>
      </x:c>
      <x:c r="B79" s="8" t="str">
        <x:v>ฟาตินชิ้นสะดุ้ง สาขา แฟชั่นไอส์แลนด์</x:v>
      </x:c>
      <x:c r="C79" s="8" t="str">
        <x:v>กรุงเทพมหานคร</x:v>
      </x:c>
      <x:c r="D79" s="8" t="str">
        <x:v>พร้อมขาย</x:v>
      </x:c>
      <x:c r="E79" s="8" t="str">
        <x:v>ย้ายเป็นสำรอง</x:v>
      </x:c>
      <x:c r="F79" s="8" t="str"/>
      <x:c r="G7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0" ht="65" customHeight="1">
      <x:c r="A80" s="2" t="str">
        <x:v>TMF-082</x:v>
      </x:c>
      <x:c r="B80" s="8" t="str">
        <x:v>มัส -มัน-ไก่-มาก</x:v>
      </x:c>
      <x:c r="C80" s="8" t="str">
        <x:v>กรุงเทพมหานคร</x:v>
      </x:c>
      <x:c r="D80" s="8" t="str">
        <x:v>พร้อมขาย</x:v>
      </x:c>
      <x:c r="E80" s="8" t="str">
        <x:v>ย้ายเป็นสำรอง</x:v>
      </x:c>
      <x:c r="F80" s="8" t="str"/>
      <x:c r="G8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1" ht="65" customHeight="1">
      <x:c r="A81" s="2" t="str">
        <x:v>TMF-084</x:v>
      </x:c>
      <x:c r="B81" s="8" t="str">
        <x:v>ม๋อต้มตุ๋น ก๋วยเตี๋ยวเนื้อ-ข้าวมันไก่เบตง</x:v>
      </x:c>
      <x:c r="C81" s="8" t="str">
        <x:v>กรุงเทพมหานคร</x:v>
      </x:c>
      <x:c r="D81" s="8" t="str">
        <x:v>พร้อมขาย</x:v>
      </x:c>
      <x:c r="E81" s="8" t="str">
        <x:v>ย้ายเป็นสำรอง</x:v>
      </x:c>
      <x:c r="F81" s="8" t="str"/>
      <x:c r="G8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2" ht="65" customHeight="1">
      <x:c r="A82" s="2" t="str">
        <x:v>TMF-085</x:v>
      </x:c>
      <x:c r="B82" s="8" t="str">
        <x:v>รอดียา - Rodeeya Halal food bangkok</x:v>
      </x:c>
      <x:c r="C82" s="8" t="str">
        <x:v>กรุงเทพมหานคร</x:v>
      </x:c>
      <x:c r="D82" s="8" t="str">
        <x:v>พร้อมขาย</x:v>
      </x:c>
      <x:c r="E82" s="8" t="str">
        <x:v>ย้ายเป็นสำรอง</x:v>
      </x:c>
      <x:c r="F82" s="8" t="str"/>
      <x:c r="G8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3" ht="65" customHeight="1">
      <x:c r="A83" s="2" t="str">
        <x:v>TMF-086</x:v>
      </x:c>
      <x:c r="B83" s="8" t="str">
        <x:v>ลี่หยาง Li yang สาขา Charn at the Avenue</x:v>
      </x:c>
      <x:c r="C83" s="8" t="str">
        <x:v>กรุงเทพมหานคร</x:v>
      </x:c>
      <x:c r="D83" s="8" t="str">
        <x:v>พร้อมขาย</x:v>
      </x:c>
      <x:c r="E83" s="8" t="str">
        <x:v>ย้ายเป็นสำรอง</x:v>
      </x:c>
      <x:c r="F83" s="8" t="str"/>
      <x:c r="G8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4" ht="65" customHeight="1">
      <x:c r="A84" s="2" t="str">
        <x:v>TMF-088</x:v>
      </x:c>
      <x:c r="B84" s="8" t="str">
        <x:v>อาลีบาบา ราเมงเส้นสด</x:v>
      </x:c>
      <x:c r="C84" s="8" t="str">
        <x:v>กรุงเทพมหานคร</x:v>
      </x:c>
      <x:c r="D84" s="8" t="str">
        <x:v>พร้อมขาย</x:v>
      </x:c>
      <x:c r="E84" s="8" t="str">
        <x:v>ย้ายเป็นสำรอง</x:v>
      </x:c>
      <x:c r="F84" s="8" t="str"/>
      <x:c r="G8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5" ht="65" customHeight="1">
      <x:c r="A85" s="2" t="str">
        <x:v>TMF-089</x:v>
      </x:c>
      <x:c r="B85" s="8" t="str">
        <x:v>อาไบมาโคขุน สาขา2</x:v>
      </x:c>
      <x:c r="C85" s="8" t="str">
        <x:v>กรุงเทพมหานคร</x:v>
      </x:c>
      <x:c r="D85" s="8" t="str">
        <x:v>พร้อมขาย</x:v>
      </x:c>
      <x:c r="E85" s="8" t="str">
        <x:v>ย้ายเป็นสำรอง</x:v>
      </x:c>
      <x:c r="F85" s="8" t="str"/>
      <x:c r="G8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6" ht="65" customHeight="1">
      <x:c r="A86" s="2" t="str">
        <x:v>TMF-090</x:v>
      </x:c>
      <x:c r="B86" s="8" t="str">
        <x:v>เจริญบัง สุกี้ ฮาลาล</x:v>
      </x:c>
      <x:c r="C86" s="8" t="str">
        <x:v>กรุงเทพมหานคร</x:v>
      </x:c>
      <x:c r="D86" s="8" t="str">
        <x:v>พร้อมขาย</x:v>
      </x:c>
      <x:c r="E86" s="8" t="str">
        <x:v>ย้ายเป็นสำรอง</x:v>
      </x:c>
      <x:c r="F86" s="8" t="str"/>
      <x:c r="G8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7" ht="65" customHeight="1">
      <x:c r="A87" s="2" t="str">
        <x:v>TMF-091</x:v>
      </x:c>
      <x:c r="B87" s="8" t="str">
        <x:v>เซี้ยะ ข้าวมันไก่ สูตรเบตง - สาขามีนบุรี حلا</x:v>
      </x:c>
      <x:c r="C87" s="8" t="str">
        <x:v>กรุงเทพมหานคร</x:v>
      </x:c>
      <x:c r="D87" s="8" t="str">
        <x:v>พร้อมขาย</x:v>
      </x:c>
      <x:c r="E87" s="8" t="str">
        <x:v>ย้ายเป็นสำรอง</x:v>
      </x:c>
      <x:c r="F87" s="8" t="str"/>
      <x:c r="G8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8" ht="65" customHeight="1">
      <x:c r="A88" s="2" t="str">
        <x:v>TMF-092</x:v>
      </x:c>
      <x:c r="B88" s="8" t="str">
        <x:v>เทียนถังหม่าล่า สาขา OR Space รามคำแหง 129</x:v>
      </x:c>
      <x:c r="C88" s="8" t="str">
        <x:v>กรุงเทพมหานคร</x:v>
      </x:c>
      <x:c r="D88" s="8" t="str">
        <x:v>พร้อมขาย</x:v>
      </x:c>
      <x:c r="E88" s="8" t="str">
        <x:v>ย้ายเป็นสำรอง</x:v>
      </x:c>
      <x:c r="F88" s="8" t="str"/>
      <x:c r="G8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89" ht="65" customHeight="1">
      <x:c r="A89" s="2" t="str">
        <x:v>TMF-093</x:v>
      </x:c>
      <x:c r="B89" s="8" t="str">
        <x:v>เย็นตาโฟโก๋ยา สาขา 2 พัฒนาการ</x:v>
      </x:c>
      <x:c r="C89" s="8" t="str">
        <x:v>กรุงเทพมหานคร</x:v>
      </x:c>
      <x:c r="D89" s="8" t="str">
        <x:v>พร้อมขาย</x:v>
      </x:c>
      <x:c r="E89" s="8" t="str">
        <x:v>ย้ายเป็นสำรอง</x:v>
      </x:c>
      <x:c r="F89" s="8" t="str"/>
      <x:c r="G8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0" ht="65" customHeight="1">
      <x:c r="A90" s="2" t="str">
        <x:v>TMF-094</x:v>
      </x:c>
      <x:c r="B90" s="8" t="str">
        <x:v>เหล่าม่า ฮาลาล โจ๊กฮ่องกง ติ่มซำกุ้งเด้ง</x:v>
      </x:c>
      <x:c r="C90" s="8" t="str">
        <x:v>กรุงเทพมหานคร</x:v>
      </x:c>
      <x:c r="D90" s="8" t="str">
        <x:v>พร้อมขาย</x:v>
      </x:c>
      <x:c r="E90" s="8" t="str">
        <x:v>ย้ายเป็นสำรอง</x:v>
      </x:c>
      <x:c r="F90" s="8" t="str"/>
      <x:c r="G9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1" ht="65" customHeight="1">
      <x:c r="A91" s="2" t="str">
        <x:v>TMF-095</x:v>
      </x:c>
      <x:c r="B91" s="8" t="str">
        <x:v>แมนดาริน สุกี้&amp;ติ่มซำ สาขา พระราม9-รามคำแหง</x:v>
      </x:c>
      <x:c r="C91" s="8" t="str">
        <x:v>กรุงเทพมหานคร</x:v>
      </x:c>
      <x:c r="D91" s="8" t="str">
        <x:v>พร้อมขาย</x:v>
      </x:c>
      <x:c r="E91" s="8" t="str">
        <x:v>ย้ายเป็นสำรอง</x:v>
      </x:c>
      <x:c r="F91" s="8" t="str"/>
      <x:c r="G9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2" ht="65" customHeight="1">
      <x:c r="A92" s="2" t="str">
        <x:v>TMF-096</x:v>
      </x:c>
      <x:c r="B92" s="8" t="str">
        <x:v>แมนดาริน สุกี้&amp;ติ่มซำ สาขา เดอะมอลล์ไลฟ์สโตร์ บางกะปิ</x:v>
      </x:c>
      <x:c r="C92" s="8" t="str">
        <x:v>กรุงเทพมหานคร</x:v>
      </x:c>
      <x:c r="D92" s="8" t="str">
        <x:v>พร้อมขาย</x:v>
      </x:c>
      <x:c r="E92" s="8" t="str">
        <x:v>ย้ายเป็นสำรอง</x:v>
      </x:c>
      <x:c r="F92" s="8" t="str"/>
      <x:c r="G9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3" ht="65" customHeight="1">
      <x:c r="A93" s="2" t="str">
        <x:v>TMF-099</x:v>
      </x:c>
      <x:c r="B93" s="8" t="str">
        <x:v>Nanthawan park 888</x:v>
      </x:c>
      <x:c r="C93" s="8" t="str">
        <x:v>ฉะเชิงเทรา</x:v>
      </x:c>
      <x:c r="D93" s="8" t="str">
        <x:v>พร้อมขาย</x:v>
      </x:c>
      <x:c r="E93" s="8" t="str">
        <x:v>ย้ายเป็นสำรอง</x:v>
      </x:c>
      <x:c r="F93" s="8" t="str"/>
      <x:c r="G9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4" ht="65" customHeight="1">
      <x:c r="A94" s="2" t="str">
        <x:v>TMF-100</x:v>
      </x:c>
      <x:c r="B94" s="8" t="str">
        <x:v>บังคอลิดน้ำลำไยสด</x:v>
      </x:c>
      <x:c r="C94" s="8" t="str">
        <x:v>ฉะเชิงเทรา</x:v>
      </x:c>
      <x:c r="D94" s="8" t="str">
        <x:v>พร้อมขาย</x:v>
      </x:c>
      <x:c r="E94" s="8" t="str">
        <x:v>ย้ายเป็นสำรอง</x:v>
      </x:c>
      <x:c r="F94" s="8" t="str"/>
      <x:c r="G9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5" ht="65" customHeight="1">
      <x:c r="A95" s="2" t="str">
        <x:v>TMF-101</x:v>
      </x:c>
      <x:c r="B95" s="8" t="str">
        <x:v>บ้านผู้การ DZEN Home Station</x:v>
      </x:c>
      <x:c r="C95" s="8" t="str">
        <x:v>ฉะเชิงเทรา</x:v>
      </x:c>
      <x:c r="D95" s="8" t="str">
        <x:v>พร้อมขาย</x:v>
      </x:c>
      <x:c r="E95" s="8" t="str">
        <x:v>ย้ายเป็นสำรอง</x:v>
      </x:c>
      <x:c r="F95" s="8" t="str"/>
      <x:c r="G9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6" ht="65" customHeight="1">
      <x:c r="A96" s="2" t="str">
        <x:v>TMF-102</x:v>
      </x:c>
      <x:c r="B96" s="8" t="str">
        <x:v>รอเธอมา คาเฟ่</x:v>
      </x:c>
      <x:c r="C96" s="8" t="str">
        <x:v>ฉะเชิงเทรา</x:v>
      </x:c>
      <x:c r="D96" s="8" t="str">
        <x:v>พร้อมขาย</x:v>
      </x:c>
      <x:c r="E96" s="8" t="str">
        <x:v>ย้ายเป็นสำรอง</x:v>
      </x:c>
      <x:c r="F96" s="8" t="str"/>
      <x:c r="G9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7" ht="65" customHeight="1">
      <x:c r="A97" s="2" t="str">
        <x:v>TMF-103</x:v>
      </x:c>
      <x:c r="B97" s="8" t="str">
        <x:v>แมนดาริน สุกี้&amp;ติ่มซำ สาขา โรบินสัน ฉะเชิงเทรา</x:v>
      </x:c>
      <x:c r="C97" s="8" t="str">
        <x:v>ฉะเชิงเทรา</x:v>
      </x:c>
      <x:c r="D97" s="8" t="str">
        <x:v>พร้อมขาย</x:v>
      </x:c>
      <x:c r="E97" s="8" t="str">
        <x:v>ย้ายเป็นสำรอง</x:v>
      </x:c>
      <x:c r="F97" s="8" t="str"/>
      <x:c r="G9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8" ht="65" customHeight="1">
      <x:c r="A98" s="2" t="str">
        <x:v>TMF-113</x:v>
      </x:c>
      <x:c r="B98" s="8" t="str">
        <x:v>พูลวิลล่า ครัวไทรงามพัทยา</x:v>
      </x:c>
      <x:c r="C98" s="8" t="str">
        <x:v>ชลบุรี</x:v>
      </x:c>
      <x:c r="D98" s="8" t="str">
        <x:v>พร้อมขาย</x:v>
      </x:c>
      <x:c r="E98" s="8" t="str">
        <x:v>ย้ายเป็นสำรอง</x:v>
      </x:c>
      <x:c r="F98" s="8" t="str"/>
      <x:c r="G9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99" ht="65" customHeight="1">
      <x:c r="A99" s="2" t="str">
        <x:v>TMF-114</x:v>
      </x:c>
      <x:c r="B99" s="8" t="str">
        <x:v>ไก่ทอดอินโด บูดายามลายู  พัทยา</x:v>
      </x:c>
      <x:c r="C99" s="8" t="str">
        <x:v>ชลบุรี</x:v>
      </x:c>
      <x:c r="D99" s="8" t="str">
        <x:v>พร้อมขาย</x:v>
      </x:c>
      <x:c r="E99" s="8" t="str">
        <x:v>ย้ายเป็นสำรอง</x:v>
      </x:c>
      <x:c r="F99" s="8" t="str"/>
      <x:c r="G9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0" ht="65" customHeight="1">
      <x:c r="A100" s="2" t="str">
        <x:v>TMF-115</x:v>
      </x:c>
      <x:c r="B100" s="8" t="str">
        <x:v>Fisherman's Kitchen on The Beach Hala food ครัวชาวประมง</x:v>
      </x:c>
      <x:c r="C100" s="8" t="str">
        <x:v>ตรัง</x:v>
      </x:c>
      <x:c r="D100" s="8" t="str">
        <x:v>พร้อมขาย</x:v>
      </x:c>
      <x:c r="E100" s="8" t="str">
        <x:v>ย้ายเป็นสำรอง</x:v>
      </x:c>
      <x:c r="F100" s="8" t="str"/>
      <x:c r="G10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1" ht="65" customHeight="1">
      <x:c r="A101" s="2" t="str">
        <x:v>TMF-116</x:v>
      </x:c>
      <x:c r="B101" s="8" t="str">
        <x:v>Coconut Beach Resort Koh Chang</x:v>
      </x:c>
      <x:c r="C101" s="8" t="str">
        <x:v>ตราด</x:v>
      </x:c>
      <x:c r="D101" s="8" t="str">
        <x:v>พร้อมขาย</x:v>
      </x:c>
      <x:c r="E101" s="8" t="str">
        <x:v>ย้ายเป็นสำรอง</x:v>
      </x:c>
      <x:c r="F101" s="8" t="str"/>
      <x:c r="G10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2" ht="65" customHeight="1">
      <x:c r="A102" s="2" t="str">
        <x:v>TMF-117</x:v>
      </x:c>
      <x:c r="B102" s="8" t="str">
        <x:v>อาหารมุสลิม เกาะช้าง</x:v>
      </x:c>
      <x:c r="C102" s="8" t="str">
        <x:v>ตราด</x:v>
      </x:c>
      <x:c r="D102" s="8" t="str">
        <x:v>พร้อมขาย</x:v>
      </x:c>
      <x:c r="E102" s="8" t="str">
        <x:v>ย้ายเป็นสำรอง</x:v>
      </x:c>
      <x:c r="F102" s="8" t="str"/>
      <x:c r="G10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3" ht="65" customHeight="1">
      <x:c r="A103" s="2" t="str">
        <x:v>TMF-118</x:v>
      </x:c>
      <x:c r="B103" s="8" t="str">
        <x:v>Ninland Resort</x:v>
      </x:c>
      <x:c r="C103" s="8" t="str">
        <x:v>นครนายก</x:v>
      </x:c>
      <x:c r="D103" s="8" t="str">
        <x:v>พร้อมขาย</x:v>
      </x:c>
      <x:c r="E103" s="8" t="str">
        <x:v>ย้ายเป็นสำรอง</x:v>
      </x:c>
      <x:c r="F103" s="8" t="str"/>
      <x:c r="G10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4" ht="65" customHeight="1">
      <x:c r="A104" s="2" t="str">
        <x:v>TMF-119</x:v>
      </x:c>
      <x:c r="B104" s="8" t="str">
        <x:v>ขุนด่านอีโค รีสอร์ท&amp;ข้าวหมกบ้านเขื่อน Halal Food นครนายก</x:v>
      </x:c>
      <x:c r="C104" s="8" t="str">
        <x:v>นครนายก</x:v>
      </x:c>
      <x:c r="D104" s="8" t="str">
        <x:v>พร้อมขาย</x:v>
      </x:c>
      <x:c r="E104" s="8" t="str">
        <x:v>ย้ายเป็นสำรอง</x:v>
      </x:c>
      <x:c r="F104" s="8" t="str"/>
      <x:c r="G10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5" ht="65" customHeight="1">
      <x:c r="A105" s="2" t="str">
        <x:v>TMF-120</x:v>
      </x:c>
      <x:c r="B105" s="8" t="str">
        <x:v>แสงวิมานรีสอร์ท</x:v>
      </x:c>
      <x:c r="C105" s="8" t="str">
        <x:v>นครนายก</x:v>
      </x:c>
      <x:c r="D105" s="8" t="str">
        <x:v>พร้อมขาย</x:v>
      </x:c>
      <x:c r="E105" s="8" t="str">
        <x:v>ย้ายเป็นสำรอง</x:v>
      </x:c>
      <x:c r="F105" s="8" t="str"/>
      <x:c r="G10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6" ht="65" customHeight="1">
      <x:c r="A106" s="2" t="str">
        <x:v>TMF-121</x:v>
      </x:c>
      <x:c r="B106" s="8" t="str">
        <x:v>สวนทันใด</x:v>
      </x:c>
      <x:c r="C106" s="8" t="str">
        <x:v>นครนายก</x:v>
      </x:c>
      <x:c r="D106" s="8" t="str">
        <x:v>พร้อมขาย</x:v>
      </x:c>
      <x:c r="E106" s="8" t="str">
        <x:v>ย้ายเป็นสำรอง</x:v>
      </x:c>
      <x:c r="F106" s="8" t="str"/>
      <x:c r="G10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7" ht="65" customHeight="1">
      <x:c r="A107" s="2" t="str">
        <x:v>TMF-129</x:v>
      </x:c>
      <x:c r="B107" s="8" t="str">
        <x:v>ขนมบ้านคลอเดียร์ หลักกม.9 เขายายเที่ยงใต้</x:v>
      </x:c>
      <x:c r="C107" s="8" t="str">
        <x:v>นครราชสีมา</x:v>
      </x:c>
      <x:c r="D107" s="8" t="str">
        <x:v>พร้อมขาย</x:v>
      </x:c>
      <x:c r="E107" s="8" t="str">
        <x:v>ย้ายเป็นสำรอง</x:v>
      </x:c>
      <x:c r="F107" s="8" t="str"/>
      <x:c r="G10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8" ht="65" customHeight="1">
      <x:c r="A108" s="2" t="str">
        <x:v>TMF-132</x:v>
      </x:c>
      <x:c r="B108" s="8" t="str">
        <x:v>ป้าจันทร์ฮาลาล ช้างเผือก</x:v>
      </x:c>
      <x:c r="C108" s="8" t="str">
        <x:v>นครราชสีมา</x:v>
      </x:c>
      <x:c r="D108" s="8" t="str">
        <x:v>พร้อมขาย</x:v>
      </x:c>
      <x:c r="E108" s="8" t="str">
        <x:v>ย้ายเป็นสำรอง</x:v>
      </x:c>
      <x:c r="F108" s="8" t="str"/>
      <x:c r="G10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09" ht="65" customHeight="1">
      <x:c r="A109" s="2" t="str">
        <x:v>TMF-141</x:v>
      </x:c>
      <x:c r="B109" s="8" t="str">
        <x:v>จันทร์เจ้าขา ร้านอาหาร นครศรีธรรมราช</x:v>
      </x:c>
      <x:c r="C109" s="8" t="str">
        <x:v>นครศรีธรรมราช</x:v>
      </x:c>
      <x:c r="D109" s="8" t="str">
        <x:v>พร้อมขาย</x:v>
      </x:c>
      <x:c r="E109" s="8" t="str">
        <x:v>ย้ายเป็นสำรอง</x:v>
      </x:c>
      <x:c r="F109" s="8" t="str"/>
      <x:c r="G10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0" ht="65" customHeight="1">
      <x:c r="A110" s="2" t="str">
        <x:v>TMF-144</x:v>
      </x:c>
      <x:c r="B110" s="8" t="str">
        <x:v>Bed By Cruise Hotel at Samakkhi-Tivanont</x:v>
      </x:c>
      <x:c r="C110" s="8" t="str">
        <x:v>นนทบุรี</x:v>
      </x:c>
      <x:c r="D110" s="8" t="str">
        <x:v>พร้อมขาย</x:v>
      </x:c>
      <x:c r="E110" s="8" t="str">
        <x:v>ย้ายเป็นสำรอง</x:v>
      </x:c>
      <x:c r="F110" s="8" t="str"/>
      <x:c r="G11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1" ht="65" customHeight="1">
      <x:c r="A111" s="2" t="str">
        <x:v>TMF-145</x:v>
      </x:c>
      <x:c r="B111" s="8" t="str">
        <x:v>Ma Non Nont Hotel and Apartment</x:v>
      </x:c>
      <x:c r="C111" s="8" t="str">
        <x:v>นนทบุรี</x:v>
      </x:c>
      <x:c r="D111" s="8" t="str">
        <x:v>พร้อมขาย</x:v>
      </x:c>
      <x:c r="E111" s="8" t="str">
        <x:v>ย้ายเป็นสำรอง</x:v>
      </x:c>
      <x:c r="F111" s="8" t="str"/>
      <x:c r="G11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2" ht="65" customHeight="1">
      <x:c r="A112" s="2" t="str">
        <x:v>TMF-146</x:v>
      </x:c>
      <x:c r="B112" s="8" t="str">
        <x:v>Arnani Cafe X Burger Kitor</x:v>
      </x:c>
      <x:c r="C112" s="8" t="str">
        <x:v>นนทบุรี</x:v>
      </x:c>
      <x:c r="D112" s="8" t="str">
        <x:v>พร้อมขาย</x:v>
      </x:c>
      <x:c r="E112" s="8" t="str">
        <x:v>ย้ายเป็นสำรอง</x:v>
      </x:c>
      <x:c r="F112" s="8" t="str"/>
      <x:c r="G11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3" ht="65" customHeight="1">
      <x:c r="A113" s="2" t="str">
        <x:v>TMF-147</x:v>
      </x:c>
      <x:c r="B113" s="8" t="str">
        <x:v>Butcher boy บุฟเฟ่ต์เนื้อดรายเอจ สาขา ราชพฤกษ์</x:v>
      </x:c>
      <x:c r="C113" s="8" t="str">
        <x:v>นนทบุรี</x:v>
      </x:c>
      <x:c r="D113" s="8" t="str">
        <x:v>พร้อมขาย</x:v>
      </x:c>
      <x:c r="E113" s="8" t="str">
        <x:v>ย้ายเป็นสำรอง</x:v>
      </x:c>
      <x:c r="F113" s="8" t="str"/>
      <x:c r="G11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4" ht="65" customHeight="1">
      <x:c r="A114" s="2" t="str">
        <x:v>TMF-148</x:v>
      </x:c>
      <x:c r="B114" s="8" t="str">
        <x:v>C-Kids Village</x:v>
      </x:c>
      <x:c r="C114" s="8" t="str">
        <x:v>นนทบุรี</x:v>
      </x:c>
      <x:c r="D114" s="8" t="str">
        <x:v>พร้อมขาย</x:v>
      </x:c>
      <x:c r="E114" s="8" t="str">
        <x:v>ย้ายเป็นสำรอง</x:v>
      </x:c>
      <x:c r="F114" s="8" t="str"/>
      <x:c r="G11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5" ht="65" customHeight="1">
      <x:c r="A115" s="2" t="str">
        <x:v>TMF-149</x:v>
      </x:c>
      <x:c r="B115" s="8" t="str">
        <x:v>Churn Dimsum Halal</x:v>
      </x:c>
      <x:c r="C115" s="8" t="str">
        <x:v>นนทบุรี</x:v>
      </x:c>
      <x:c r="D115" s="8" t="str">
        <x:v>พร้อมขาย</x:v>
      </x:c>
      <x:c r="E115" s="8" t="str">
        <x:v>ย้ายเป็นสำรอง</x:v>
      </x:c>
      <x:c r="F115" s="8" t="str"/>
      <x:c r="G11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6" ht="65" customHeight="1">
      <x:c r="A116" s="2" t="str">
        <x:v>TMF-150</x:v>
      </x:c>
      <x:c r="B116" s="8" t="str">
        <x:v>Ikhlas House ครัวบ้านอิคลาส</x:v>
      </x:c>
      <x:c r="C116" s="8" t="str">
        <x:v>นนทบุรี</x:v>
      </x:c>
      <x:c r="D116" s="8" t="str">
        <x:v>พร้อมขาย</x:v>
      </x:c>
      <x:c r="E116" s="8" t="str">
        <x:v>ย้ายเป็นสำรอง</x:v>
      </x:c>
      <x:c r="F116" s="8" t="str"/>
      <x:c r="G11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7" ht="65" customHeight="1">
      <x:c r="A117" s="2" t="str">
        <x:v>TMF-151</x:v>
      </x:c>
      <x:c r="B117" s="8" t="str">
        <x:v>Intania Home</x:v>
      </x:c>
      <x:c r="C117" s="8" t="str">
        <x:v>นนทบุรี</x:v>
      </x:c>
      <x:c r="D117" s="8" t="str">
        <x:v>พร้อมขาย</x:v>
      </x:c>
      <x:c r="E117" s="8" t="str">
        <x:v>ย้ายเป็นสำรอง</x:v>
      </x:c>
      <x:c r="F117" s="8" t="str"/>
      <x:c r="G11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8" ht="65" customHeight="1">
      <x:c r="A118" s="2" t="str">
        <x:v>TMF-152</x:v>
      </x:c>
      <x:c r="B118" s="8" t="str">
        <x:v>Labani</x:v>
      </x:c>
      <x:c r="C118" s="8" t="str">
        <x:v>นนทบุรี</x:v>
      </x:c>
      <x:c r="D118" s="8" t="str">
        <x:v>พร้อมขาย</x:v>
      </x:c>
      <x:c r="E118" s="8" t="str">
        <x:v>ย้ายเป็นสำรอง</x:v>
      </x:c>
      <x:c r="F118" s="8" t="str"/>
      <x:c r="G11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19" ht="65" customHeight="1">
      <x:c r="A119" s="2" t="str">
        <x:v>TMF-153</x:v>
      </x:c>
      <x:c r="B119" s="8" t="str">
        <x:v>Lawang cafe"&amp; Bistro</x:v>
      </x:c>
      <x:c r="C119" s="8" t="str">
        <x:v>นนทบุรี</x:v>
      </x:c>
      <x:c r="D119" s="8" t="str">
        <x:v>พร้อมขาย</x:v>
      </x:c>
      <x:c r="E119" s="8" t="str">
        <x:v>ย้ายเป็นสำรอง</x:v>
      </x:c>
      <x:c r="F119" s="8" t="str"/>
      <x:c r="G11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0" ht="65" customHeight="1">
      <x:c r="A120" s="2" t="str">
        <x:v>TMF-154</x:v>
      </x:c>
      <x:c r="B120" s="8" t="str">
        <x:v>M's Flame Burger</x:v>
      </x:c>
      <x:c r="C120" s="8" t="str">
        <x:v>นนทบุรี</x:v>
      </x:c>
      <x:c r="D120" s="8" t="str">
        <x:v>พร้อมขาย</x:v>
      </x:c>
      <x:c r="E120" s="8" t="str">
        <x:v>ย้ายเป็นสำรอง</x:v>
      </x:c>
      <x:c r="F120" s="8" t="str"/>
      <x:c r="G12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1" ht="65" customHeight="1">
      <x:c r="A121" s="2" t="str">
        <x:v>TMF-155</x:v>
      </x:c>
      <x:c r="B121" s="8" t="str">
        <x:v>Maldi thai</x:v>
      </x:c>
      <x:c r="C121" s="8" t="str">
        <x:v>นนทบุรี</x:v>
      </x:c>
      <x:c r="D121" s="8" t="str">
        <x:v>พร้อมขาย</x:v>
      </x:c>
      <x:c r="E121" s="8" t="str">
        <x:v>ย้ายเป็นสำรอง</x:v>
      </x:c>
      <x:c r="F121" s="8" t="str"/>
      <x:c r="G12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2" ht="65" customHeight="1">
      <x:c r="A122" s="2" t="str">
        <x:v>TMF-156</x:v>
      </x:c>
      <x:c r="B122" s="8" t="str">
        <x:v>Moozna เนื้อย่างโคขุน สาขาซอยวากั๊ฟ</x:v>
      </x:c>
      <x:c r="C122" s="8" t="str">
        <x:v>นนทบุรี</x:v>
      </x:c>
      <x:c r="D122" s="8" t="str">
        <x:v>พร้อมขาย</x:v>
      </x:c>
      <x:c r="E122" s="8" t="str">
        <x:v>ย้ายเป็นสำรอง</x:v>
      </x:c>
      <x:c r="F122" s="8" t="str"/>
      <x:c r="G12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3" ht="65" customHeight="1">
      <x:c r="A123" s="2" t="str">
        <x:v>TMF-157</x:v>
      </x:c>
      <x:c r="B123" s="8" t="str">
        <x:v>OUR TIME CAFE</x:v>
      </x:c>
      <x:c r="C123" s="8" t="str">
        <x:v>นนทบุรี</x:v>
      </x:c>
      <x:c r="D123" s="8" t="str">
        <x:v>พร้อมขาย</x:v>
      </x:c>
      <x:c r="E123" s="8" t="str">
        <x:v>ย้ายเป็นสำรอง</x:v>
      </x:c>
      <x:c r="F123" s="8" t="str"/>
      <x:c r="G12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4" ht="65" customHeight="1">
      <x:c r="A124" s="2" t="str">
        <x:v>TMF-158</x:v>
      </x:c>
      <x:c r="B124" s="8" t="str">
        <x:v>Regent Ngamwongwan</x:v>
      </x:c>
      <x:c r="C124" s="8" t="str">
        <x:v>นนทบุรี</x:v>
      </x:c>
      <x:c r="D124" s="8" t="str">
        <x:v>พร้อมขาย</x:v>
      </x:c>
      <x:c r="E124" s="8" t="str">
        <x:v>ย้ายเป็นสำรอง</x:v>
      </x:c>
      <x:c r="F124" s="8" t="str"/>
      <x:c r="G12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5" ht="65" customHeight="1">
      <x:c r="A125" s="2" t="str">
        <x:v>TMF-159</x:v>
      </x:c>
      <x:c r="B125" s="8" t="str">
        <x:v>Tonnam Cafe</x:v>
      </x:c>
      <x:c r="C125" s="8" t="str">
        <x:v>นนทบุรี</x:v>
      </x:c>
      <x:c r="D125" s="8" t="str">
        <x:v>พร้อมขาย</x:v>
      </x:c>
      <x:c r="E125" s="8" t="str">
        <x:v>ย้ายเป็นสำรอง</x:v>
      </x:c>
      <x:c r="F125" s="8" t="str"/>
      <x:c r="G12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6" ht="65" customHeight="1">
      <x:c r="A126" s="2" t="str">
        <x:v>TMF-160</x:v>
      </x:c>
      <x:c r="B126" s="8" t="str">
        <x:v>Zam.Cafe : Slowbar n' Specialty Coffee</x:v>
      </x:c>
      <x:c r="C126" s="8" t="str">
        <x:v>นนทบุรี</x:v>
      </x:c>
      <x:c r="D126" s="8" t="str">
        <x:v>พร้อมขาย</x:v>
      </x:c>
      <x:c r="E126" s="8" t="str">
        <x:v>ย้ายเป็นสำรอง</x:v>
      </x:c>
      <x:c r="F126" s="8" t="str"/>
      <x:c r="G12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7" ht="65" customHeight="1">
      <x:c r="A127" s="2" t="str">
        <x:v>TMF-161</x:v>
      </x:c>
      <x:c r="B127" s="8" t="str">
        <x:v>salamah ข้าวขาวัว</x:v>
      </x:c>
      <x:c r="C127" s="8" t="str">
        <x:v>นนทบุรี</x:v>
      </x:c>
      <x:c r="D127" s="8" t="str">
        <x:v>พร้อมขาย</x:v>
      </x:c>
      <x:c r="E127" s="8" t="str">
        <x:v>ย้ายเป็นสำรอง</x:v>
      </x:c>
      <x:c r="F127" s="8" t="str"/>
      <x:c r="G12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8" ht="65" customHeight="1">
      <x:c r="A128" s="2" t="str">
        <x:v>TMF-162</x:v>
      </x:c>
      <x:c r="B128" s="8" t="str">
        <x:v>กะเพราพริกแห้ง ฮาลาล</x:v>
      </x:c>
      <x:c r="C128" s="8" t="str">
        <x:v>นนทบุรี</x:v>
      </x:c>
      <x:c r="D128" s="8" t="str">
        <x:v>พร้อมขาย</x:v>
      </x:c>
      <x:c r="E128" s="8" t="str">
        <x:v>ย้ายเป็นสำรอง</x:v>
      </x:c>
      <x:c r="F128" s="8" t="str"/>
      <x:c r="G12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29" ht="65" customHeight="1">
      <x:c r="A129" s="2" t="str">
        <x:v>TMF-163</x:v>
      </x:c>
      <x:c r="B129" s="8" t="str">
        <x:v>ก๋วยเตี๋ยวอามีนะห์</x:v>
      </x:c>
      <x:c r="C129" s="8" t="str">
        <x:v>นนทบุรี</x:v>
      </x:c>
      <x:c r="D129" s="8" t="str">
        <x:v>พร้อมขาย</x:v>
      </x:c>
      <x:c r="E129" s="8" t="str">
        <x:v>ย้ายเป็นสำรอง</x:v>
      </x:c>
      <x:c r="F129" s="8" t="str"/>
      <x:c r="G12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0" ht="65" customHeight="1">
      <x:c r="A130" s="2" t="str">
        <x:v>TMF-164</x:v>
      </x:c>
      <x:c r="B130" s="8" t="str">
        <x:v>ก๋วยเตี๋ยวเรือฮิปปี้ by วาซิล</x:v>
      </x:c>
      <x:c r="C130" s="8" t="str">
        <x:v>นนทบุรี</x:v>
      </x:c>
      <x:c r="D130" s="8" t="str">
        <x:v>พร้อมขาย</x:v>
      </x:c>
      <x:c r="E130" s="8" t="str">
        <x:v>ย้ายเป็นสำรอง</x:v>
      </x:c>
      <x:c r="F130" s="8" t="str"/>
      <x:c r="G13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1" ht="65" customHeight="1">
      <x:c r="A131" s="2" t="str">
        <x:v>TMF-165</x:v>
      </x:c>
      <x:c r="B131" s="8" t="str">
        <x:v>ครัวซำซี</x:v>
      </x:c>
      <x:c r="C131" s="8" t="str">
        <x:v>นนทบุรี</x:v>
      </x:c>
      <x:c r="D131" s="8" t="str">
        <x:v>พร้อมขาย</x:v>
      </x:c>
      <x:c r="E131" s="8" t="str">
        <x:v>ย้ายเป็นสำรอง</x:v>
      </x:c>
      <x:c r="F131" s="8" t="str"/>
      <x:c r="G13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2" ht="65" customHeight="1">
      <x:c r="A132" s="2" t="str">
        <x:v>TMF-166</x:v>
      </x:c>
      <x:c r="B132" s="8" t="str">
        <x:v>นูรรีญันนะห์</x:v>
      </x:c>
      <x:c r="C132" s="8" t="str">
        <x:v>นนทบุรี</x:v>
      </x:c>
      <x:c r="D132" s="8" t="str">
        <x:v>พร้อมขาย</x:v>
      </x:c>
      <x:c r="E132" s="8" t="str">
        <x:v>ย้ายเป็นสำรอง</x:v>
      </x:c>
      <x:c r="F132" s="8" t="str"/>
      <x:c r="G13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3" ht="65" customHeight="1">
      <x:c r="A133" s="2" t="str">
        <x:v>TMF-167</x:v>
      </x:c>
      <x:c r="B133" s="8" t="str">
        <x:v>ฟาตินชิ้นสะดุ้ง สาขา นนทบุรี แยกบางพลู</x:v>
      </x:c>
      <x:c r="C133" s="8" t="str">
        <x:v>นนทบุรี</x:v>
      </x:c>
      <x:c r="D133" s="8" t="str">
        <x:v>พร้อมขาย</x:v>
      </x:c>
      <x:c r="E133" s="8" t="str">
        <x:v>ย้ายเป็นสำรอง</x:v>
      </x:c>
      <x:c r="F133" s="8" t="str"/>
      <x:c r="G13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4" ht="65" customHeight="1">
      <x:c r="A134" s="2" t="str">
        <x:v>TMF-168</x:v>
      </x:c>
      <x:c r="B134" s="8" t="str">
        <x:v>วีอาร์เอ็น คาเฟ่</x:v>
      </x:c>
      <x:c r="C134" s="8" t="str">
        <x:v>นนทบุรี</x:v>
      </x:c>
      <x:c r="D134" s="8" t="str">
        <x:v>พร้อมขาย</x:v>
      </x:c>
      <x:c r="E134" s="8" t="str">
        <x:v>ย้ายเป็นสำรอง</x:v>
      </x:c>
      <x:c r="F134" s="8" t="str"/>
      <x:c r="G13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5" ht="65" customHeight="1">
      <x:c r="A135" s="2" t="str">
        <x:v>TMF-169</x:v>
      </x:c>
      <x:c r="B135" s="8" t="str">
        <x:v>สาวเส้น เย็นตาโฟ&amp;ข้าวต้มปลา</x:v>
      </x:c>
      <x:c r="C135" s="8" t="str">
        <x:v>นนทบุรี</x:v>
      </x:c>
      <x:c r="D135" s="8" t="str">
        <x:v>พร้อมขาย</x:v>
      </x:c>
      <x:c r="E135" s="8" t="str">
        <x:v>ย้ายเป็นสำรอง</x:v>
      </x:c>
      <x:c r="F135" s="8" t="str"/>
      <x:c r="G13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6" ht="65" customHeight="1">
      <x:c r="A136" s="2" t="str">
        <x:v>TMF-170</x:v>
      </x:c>
      <x:c r="B136" s="8" t="str">
        <x:v>หลงมา ข้าวต้มปลากระพงทรงเครื่องฮาลาล สูตรเยาวราช</x:v>
      </x:c>
      <x:c r="C136" s="8" t="str">
        <x:v>นนทบุรี</x:v>
      </x:c>
      <x:c r="D136" s="8" t="str">
        <x:v>พร้อมขาย</x:v>
      </x:c>
      <x:c r="E136" s="8" t="str">
        <x:v>ย้ายเป็นสำรอง</x:v>
      </x:c>
      <x:c r="F136" s="8" t="str"/>
      <x:c r="G13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7" ht="65" customHeight="1">
      <x:c r="A137" s="2" t="str">
        <x:v>TMF-171</x:v>
      </x:c>
      <x:c r="B137" s="8" t="str">
        <x:v>เซี๊ยะ ข้าวมันไก่ (ท่าอิฐ)</x:v>
      </x:c>
      <x:c r="C137" s="8" t="str">
        <x:v>นนทบุรี</x:v>
      </x:c>
      <x:c r="D137" s="8" t="str">
        <x:v>พร้อมขาย</x:v>
      </x:c>
      <x:c r="E137" s="8" t="str">
        <x:v>ย้ายเป็นสำรอง</x:v>
      </x:c>
      <x:c r="F137" s="8" t="str"/>
      <x:c r="G13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8" ht="65" customHeight="1">
      <x:c r="A138" s="2" t="str">
        <x:v>TMF-172</x:v>
      </x:c>
      <x:c r="B138" s="8" t="str">
        <x:v>เรา มี นัส ตลาดศรียานนท์</x:v>
      </x:c>
      <x:c r="C138" s="8" t="str">
        <x:v>นนทบุรี</x:v>
      </x:c>
      <x:c r="D138" s="8" t="str">
        <x:v>พร้อมขาย</x:v>
      </x:c>
      <x:c r="E138" s="8" t="str">
        <x:v>ย้ายเป็นสำรอง</x:v>
      </x:c>
      <x:c r="F138" s="8" t="str"/>
      <x:c r="G13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39" ht="65" customHeight="1">
      <x:c r="A139" s="2" t="str">
        <x:v>TMF-173</x:v>
      </x:c>
      <x:c r="B139" s="8" t="str">
        <x:v>โกกี้ นมสด บางบัวทอง</x:v>
      </x:c>
      <x:c r="C139" s="8" t="str">
        <x:v>นนทบุรี</x:v>
      </x:c>
      <x:c r="D139" s="8" t="str">
        <x:v>พร้อมขาย</x:v>
      </x:c>
      <x:c r="E139" s="8" t="str">
        <x:v>ย้ายเป็นสำรอง</x:v>
      </x:c>
      <x:c r="F139" s="8" t="str"/>
      <x:c r="G13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0" ht="65" customHeight="1">
      <x:c r="A140" s="2" t="str">
        <x:v>TMF-174</x:v>
      </x:c>
      <x:c r="B140" s="8" t="str">
        <x:v>โคมันส์ว่ะ</x:v>
      </x:c>
      <x:c r="C140" s="8" t="str">
        <x:v>นนทบุรี</x:v>
      </x:c>
      <x:c r="D140" s="8" t="str">
        <x:v>พร้อมขาย</x:v>
      </x:c>
      <x:c r="E140" s="8" t="str">
        <x:v>ย้ายเป็นสำรอง</x:v>
      </x:c>
      <x:c r="F140" s="8" t="str"/>
      <x:c r="G14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1" ht="65" customHeight="1">
      <x:c r="A141" s="2" t="str">
        <x:v>TMF-175</x:v>
      </x:c>
      <x:c r="B141" s="8" t="str">
        <x:v>โจ๊กเมืองทอง ฮาลาล สาขาเมืองทองธานี</x:v>
      </x:c>
      <x:c r="C141" s="8" t="str">
        <x:v>นนทบุรี</x:v>
      </x:c>
      <x:c r="D141" s="8" t="str">
        <x:v>พร้อมขาย</x:v>
      </x:c>
      <x:c r="E141" s="8" t="str">
        <x:v>ย้ายเป็นสำรอง</x:v>
      </x:c>
      <x:c r="F141" s="8" t="str"/>
      <x:c r="G14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2" ht="65" customHeight="1">
      <x:c r="A142" s="2" t="str">
        <x:v>TMF-176</x:v>
      </x:c>
      <x:c r="B142" s="8" t="str">
        <x:v>นานา โฮมสเตย์ บ้านทอน</x:v>
      </x:c>
      <x:c r="C142" s="8" t="str">
        <x:v>นราธิวาส</x:v>
      </x:c>
      <x:c r="D142" s="8" t="str">
        <x:v>พร้อมขาย</x:v>
      </x:c>
      <x:c r="E142" s="8" t="str">
        <x:v>ย้ายเป็นสำรอง</x:v>
      </x:c>
      <x:c r="F142" s="8" t="str"/>
      <x:c r="G14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3" ht="65" customHeight="1">
      <x:c r="A143" s="2" t="str">
        <x:v>TMF-177</x:v>
      </x:c>
      <x:c r="B143" s="8" t="str">
        <x:v>Talay Sea</x:v>
      </x:c>
      <x:c r="C143" s="8" t="str">
        <x:v>นราธิวาส</x:v>
      </x:c>
      <x:c r="D143" s="8" t="str">
        <x:v>พร้อมขาย</x:v>
      </x:c>
      <x:c r="E143" s="8" t="str">
        <x:v>ย้ายเป็นสำรอง</x:v>
      </x:c>
      <x:c r="F143" s="8" t="str"/>
      <x:c r="G14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4" ht="65" customHeight="1">
      <x:c r="A144" s="2" t="str">
        <x:v>TMF-178</x:v>
      </x:c>
      <x:c r="B144" s="8" t="str">
        <x:v>Hello Winter บ่อเกลือHalal</x:v>
      </x:c>
      <x:c r="C144" s="8" t="str">
        <x:v>น่าน</x:v>
      </x:c>
      <x:c r="D144" s="8" t="str">
        <x:v>พร้อมขาย</x:v>
      </x:c>
      <x:c r="E144" s="8" t="str">
        <x:v>ย้ายเป็นสำรอง</x:v>
      </x:c>
      <x:c r="F144" s="8" t="str"/>
      <x:c r="G14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5" ht="65" customHeight="1">
      <x:c r="A145" s="2" t="str">
        <x:v>TMF-179</x:v>
      </x:c>
      <x:c r="B145" s="8" t="str">
        <x:v>828 มะตะบะ อร่อย</x:v>
      </x:c>
      <x:c r="C145" s="8" t="str">
        <x:v>ปทุมธานี</x:v>
      </x:c>
      <x:c r="D145" s="8" t="str">
        <x:v>พร้อมขาย</x:v>
      </x:c>
      <x:c r="E145" s="8" t="str">
        <x:v>ย้ายเป็นสำรอง</x:v>
      </x:c>
      <x:c r="F145" s="8" t="str"/>
      <x:c r="G14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6" ht="65" customHeight="1">
      <x:c r="A146" s="2" t="str">
        <x:v>TMF-180</x:v>
      </x:c>
      <x:c r="B146" s="8" t="str">
        <x:v>ก๋วยจั๊บญวน บังโต้</x:v>
      </x:c>
      <x:c r="C146" s="8" t="str">
        <x:v>ปทุมธานี</x:v>
      </x:c>
      <x:c r="D146" s="8" t="str">
        <x:v>พร้อมขาย</x:v>
      </x:c>
      <x:c r="E146" s="8" t="str">
        <x:v>ย้ายเป็นสำรอง</x:v>
      </x:c>
      <x:c r="F146" s="8" t="str"/>
      <x:c r="G14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7" ht="65" customHeight="1">
      <x:c r="A147" s="2" t="str">
        <x:v>TMF-181</x:v>
      </x:c>
      <x:c r="B147" s="8" t="str">
        <x:v>รสเจริญข้าวหมกไก่ - ซุปหางวัว โรตี ชาชัก Halal</x:v>
      </x:c>
      <x:c r="C147" s="8" t="str">
        <x:v>ปทุมธานี</x:v>
      </x:c>
      <x:c r="D147" s="8" t="str">
        <x:v>พร้อมขาย</x:v>
      </x:c>
      <x:c r="E147" s="8" t="str">
        <x:v>ย้ายเป็นสำรอง</x:v>
      </x:c>
      <x:c r="F147" s="8" t="str"/>
      <x:c r="G14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8" ht="65" customHeight="1">
      <x:c r="A148" s="2" t="str">
        <x:v>TMF-182</x:v>
      </x:c>
      <x:c r="B148" s="8" t="str">
        <x:v>ห้องอาหาร สุใบด๊ะห์ชวนชิม สาขาลาดสวาย</x:v>
      </x:c>
      <x:c r="C148" s="8" t="str">
        <x:v>ปทุมธานี</x:v>
      </x:c>
      <x:c r="D148" s="8" t="str">
        <x:v>พร้อมขาย</x:v>
      </x:c>
      <x:c r="E148" s="8" t="str">
        <x:v>ย้ายเป็นสำรอง</x:v>
      </x:c>
      <x:c r="F148" s="8" t="str"/>
      <x:c r="G14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49" ht="65" customHeight="1">
      <x:c r="A149" s="2" t="str">
        <x:v>TMF-193</x:v>
      </x:c>
      <x:c r="B149" s="8" t="str">
        <x:v>ก๋วยเตี๋ยวประชาชื่น</x:v>
      </x:c>
      <x:c r="C149" s="8" t="str">
        <x:v>ยะลา</x:v>
      </x:c>
      <x:c r="D149" s="8" t="str">
        <x:v>พร้อมขาย</x:v>
      </x:c>
      <x:c r="E149" s="8" t="str">
        <x:v>ย้ายเป็นสำรอง</x:v>
      </x:c>
      <x:c r="F149" s="8" t="str"/>
      <x:c r="G14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0" ht="65" customHeight="1">
      <x:c r="A150" s="2" t="str">
        <x:v>TMF-194</x:v>
      </x:c>
      <x:c r="B150" s="8" t="str">
        <x:v>ขนมไข่เต๋า เจ้าเก่า สูตรดั้งเดิม</x:v>
      </x:c>
      <x:c r="C150" s="8" t="str">
        <x:v>ยะลา</x:v>
      </x:c>
      <x:c r="D150" s="8" t="str">
        <x:v>พร้อมขาย</x:v>
      </x:c>
      <x:c r="E150" s="8" t="str">
        <x:v>ย้ายเป็นสำรอง</x:v>
      </x:c>
      <x:c r="F150" s="8" t="str"/>
      <x:c r="G15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1" ht="65" customHeight="1">
      <x:c r="A151" s="2" t="str">
        <x:v>TMF-195</x:v>
      </x:c>
      <x:c r="B151" s="8" t="str">
        <x:v>ซาซ่า ยำแซ่บซี๊ด</x:v>
      </x:c>
      <x:c r="C151" s="8" t="str">
        <x:v>ยะลา</x:v>
      </x:c>
      <x:c r="D151" s="8" t="str">
        <x:v>พร้อมขาย</x:v>
      </x:c>
      <x:c r="E151" s="8" t="str">
        <x:v>ย้ายเป็นสำรอง</x:v>
      </x:c>
      <x:c r="F151" s="8" t="str"/>
      <x:c r="G15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2" ht="65" customHeight="1">
      <x:c r="A152" s="2" t="str">
        <x:v>TMF-197</x:v>
      </x:c>
      <x:c r="B152" s="8" t="str">
        <x:v>ดีเอ็นอาร์ ช็อป</x:v>
      </x:c>
      <x:c r="C152" s="8" t="str">
        <x:v>ยะลา</x:v>
      </x:c>
      <x:c r="D152" s="8" t="str">
        <x:v>พร้อมขาย</x:v>
      </x:c>
      <x:c r="E152" s="8" t="str">
        <x:v>ย้ายเป็นสำรอง</x:v>
      </x:c>
      <x:c r="F152" s="8" t="str"/>
      <x:c r="G15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3" ht="65" customHeight="1">
      <x:c r="A153" s="2" t="str">
        <x:v>TMF-199</x:v>
      </x:c>
      <x:c r="B153" s="8" t="str">
        <x:v>น้ำปั่นอันดาลีฟ</x:v>
      </x:c>
      <x:c r="C153" s="8" t="str">
        <x:v>ยะลา</x:v>
      </x:c>
      <x:c r="D153" s="8" t="str">
        <x:v>พร้อมขาย</x:v>
      </x:c>
      <x:c r="E153" s="8" t="str">
        <x:v>ย้ายเป็นสำรอง</x:v>
      </x:c>
      <x:c r="F153" s="8" t="str"/>
      <x:c r="G15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4" ht="65" customHeight="1">
      <x:c r="A154" s="2" t="str">
        <x:v>TMF-200</x:v>
      </x:c>
      <x:c r="B154" s="8" t="str">
        <x:v>น้ำแข็งใสตรอกซอยซุป</x:v>
      </x:c>
      <x:c r="C154" s="8" t="str">
        <x:v>ยะลา</x:v>
      </x:c>
      <x:c r="D154" s="8" t="str">
        <x:v>พร้อมขาย</x:v>
      </x:c>
      <x:c r="E154" s="8" t="str">
        <x:v>ย้ายเป็นสำรอง</x:v>
      </x:c>
      <x:c r="F154" s="8" t="str"/>
      <x:c r="G15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5" ht="65" customHeight="1">
      <x:c r="A155" s="2" t="str">
        <x:v>TMF-201</x:v>
      </x:c>
      <x:c r="B155" s="8" t="str">
        <x:v>บังวีไก่ย่าง 5 บาท</x:v>
      </x:c>
      <x:c r="C155" s="8" t="str">
        <x:v>ยะลา</x:v>
      </x:c>
      <x:c r="D155" s="8" t="str">
        <x:v>พร้อมขาย</x:v>
      </x:c>
      <x:c r="E155" s="8" t="str">
        <x:v>ย้ายเป็นสำรอง</x:v>
      </x:c>
      <x:c r="F155" s="8" t="str"/>
      <x:c r="G15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6" ht="65" customHeight="1">
      <x:c r="A156" s="2" t="str">
        <x:v>TMF-202</x:v>
      </x:c>
      <x:c r="B156" s="8" t="str">
        <x:v>ฟารีดาซูซิ</x:v>
      </x:c>
      <x:c r="C156" s="8" t="str">
        <x:v>ยะลา</x:v>
      </x:c>
      <x:c r="D156" s="8" t="str">
        <x:v>พร้อมขาย</x:v>
      </x:c>
      <x:c r="E156" s="8" t="str">
        <x:v>ย้ายเป็นสำรอง</x:v>
      </x:c>
      <x:c r="F156" s="8" t="str"/>
      <x:c r="G15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7" ht="65" customHeight="1">
      <x:c r="A157" s="2" t="str">
        <x:v>TMF-203</x:v>
      </x:c>
      <x:c r="B157" s="8" t="str">
        <x:v>หมึกย่างน้ำจิ้มซีฟู้ด</x:v>
      </x:c>
      <x:c r="C157" s="8" t="str">
        <x:v>ยะลา</x:v>
      </x:c>
      <x:c r="D157" s="8" t="str">
        <x:v>พร้อมขาย</x:v>
      </x:c>
      <x:c r="E157" s="8" t="str">
        <x:v>ย้ายเป็นสำรอง</x:v>
      </x:c>
      <x:c r="F157" s="8" t="str"/>
      <x:c r="G15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8" ht="65" customHeight="1">
      <x:c r="A158" s="2" t="str">
        <x:v>TMF-204</x:v>
      </x:c>
      <x:c r="B158" s="8" t="str">
        <x:v>โรตีนานา</x:v>
      </x:c>
      <x:c r="C158" s="8" t="str">
        <x:v>ยะลา</x:v>
      </x:c>
      <x:c r="D158" s="8" t="str">
        <x:v>พร้อมขาย</x:v>
      </x:c>
      <x:c r="E158" s="8" t="str">
        <x:v>ย้ายเป็นสำรอง</x:v>
      </x:c>
      <x:c r="F158" s="8" t="str"/>
      <x:c r="G15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59" ht="65" customHeight="1">
      <x:c r="A159" s="2" t="str">
        <x:v>TMF-205</x:v>
      </x:c>
      <x:c r="B159" s="8" t="str">
        <x:v>BANG KEE BURGER</x:v>
      </x:c>
      <x:c r="C159" s="8" t="str">
        <x:v>ระยอง</x:v>
      </x:c>
      <x:c r="D159" s="8" t="str">
        <x:v>พร้อมขาย</x:v>
      </x:c>
      <x:c r="E159" s="8" t="str">
        <x:v>ย้ายเป็นสำรอง</x:v>
      </x:c>
      <x:c r="F159" s="8" t="str"/>
      <x:c r="G15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0" ht="65" customHeight="1">
      <x:c r="A160" s="2" t="str">
        <x:v>TMF-206</x:v>
      </x:c>
      <x:c r="B160" s="8" t="str">
        <x:v>Hala Little Home Rayong</x:v>
      </x:c>
      <x:c r="C160" s="8" t="str">
        <x:v>ระยอง</x:v>
      </x:c>
      <x:c r="D160" s="8" t="str">
        <x:v>พร้อมขาย</x:v>
      </x:c>
      <x:c r="E160" s="8" t="str">
        <x:v>ย้ายเป็นสำรอง</x:v>
      </x:c>
      <x:c r="F160" s="8" t="str"/>
      <x:c r="G16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1" ht="65" customHeight="1">
      <x:c r="A161" s="2" t="str">
        <x:v>TMF-210</x:v>
      </x:c>
      <x:c r="B161" s="8" t="str">
        <x:v>บังเล็กสะเต๊ะเนื้อ-สะเต๊ะไก่</x:v>
      </x:c>
      <x:c r="C161" s="8" t="str">
        <x:v>ระยอง</x:v>
      </x:c>
      <x:c r="D161" s="8" t="str">
        <x:v>พร้อมขาย</x:v>
      </x:c>
      <x:c r="E161" s="8" t="str">
        <x:v>ย้ายเป็นสำรอง</x:v>
      </x:c>
      <x:c r="F161" s="8" t="str"/>
      <x:c r="G16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2" ht="65" customHeight="1">
      <x:c r="A162" s="2" t="str">
        <x:v>TMF-211</x:v>
      </x:c>
      <x:c r="B162" s="8" t="str">
        <x:v>ไลลา คอฟฟี่</x:v>
      </x:c>
      <x:c r="C162" s="8" t="str">
        <x:v>ระยอง</x:v>
      </x:c>
      <x:c r="D162" s="8" t="str">
        <x:v>พร้อมขาย</x:v>
      </x:c>
      <x:c r="E162" s="8" t="str">
        <x:v>ย้ายเป็นสำรอง</x:v>
      </x:c>
      <x:c r="F162" s="8" t="str"/>
      <x:c r="G16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3" ht="65" customHeight="1">
      <x:c r="A163" s="2" t="str">
        <x:v>TMF-212</x:v>
      </x:c>
      <x:c r="B163" s="8" t="str">
        <x:v>ไอดม ไอแดด คาเฟ่ X ระยอง</x:v>
      </x:c>
      <x:c r="C163" s="8" t="str">
        <x:v>ระยอง</x:v>
      </x:c>
      <x:c r="D163" s="8" t="str">
        <x:v>พร้อมขาย</x:v>
      </x:c>
      <x:c r="E163" s="8" t="str">
        <x:v>ย้ายเป็นสำรอง</x:v>
      </x:c>
      <x:c r="F163" s="8" t="str"/>
      <x:c r="G16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4" ht="65" customHeight="1">
      <x:c r="A164" s="2" t="str">
        <x:v>TMF-213</x:v>
      </x:c>
      <x:c r="B164" s="8" t="str">
        <x:v>TRAVELLER'S CAFE+BISTRO มุมพักนักเดินทาง</x:v>
      </x:c>
      <x:c r="C164" s="8" t="str">
        <x:v>ลพบุรี</x:v>
      </x:c>
      <x:c r="D164" s="8" t="str">
        <x:v>พร้อมขาย</x:v>
      </x:c>
      <x:c r="E164" s="8" t="str">
        <x:v>ย้ายเป็นสำรอง</x:v>
      </x:c>
      <x:c r="F164" s="8" t="str"/>
      <x:c r="G16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5" ht="65" customHeight="1">
      <x:c r="A165" s="2" t="str">
        <x:v>TMF-226</x:v>
      </x:c>
      <x:c r="B165" s="8" t="str">
        <x:v>มา กิน เนื้อ จันบี Dry aged halal</x:v>
      </x:c>
      <x:c r="C165" s="8" t="str">
        <x:v>สระบุรี</x:v>
      </x:c>
      <x:c r="D165" s="8" t="str">
        <x:v>พร้อมขาย</x:v>
      </x:c>
      <x:c r="E165" s="8" t="str">
        <x:v>ย้ายเป็นสำรอง</x:v>
      </x:c>
      <x:c r="F165" s="8" t="str"/>
      <x:c r="G16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6" ht="65" customHeight="1">
      <x:c r="A166" s="2" t="str">
        <x:v>TMF-227</x:v>
      </x:c>
      <x:c r="B166" s="8" t="str">
        <x:v>ฮาลาลปากช่อง-ดุนยา ออกานิค</x:v>
      </x:c>
      <x:c r="C166" s="8" t="str">
        <x:v>สระบุรี</x:v>
      </x:c>
      <x:c r="D166" s="8" t="str">
        <x:v>พร้อมขาย</x:v>
      </x:c>
      <x:c r="E166" s="8" t="str">
        <x:v>ย้ายเป็นสำรอง</x:v>
      </x:c>
      <x:c r="F166" s="8" t="str"/>
      <x:c r="G16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7" ht="65" customHeight="1">
      <x:c r="A167" s="2" t="str">
        <x:v>TMF-229</x:v>
      </x:c>
      <x:c r="B167" s="8" t="str">
        <x:v>Love Halal Food at AngThong</x:v>
      </x:c>
      <x:c r="C167" s="8" t="str">
        <x:v>อ่างทอง</x:v>
      </x:c>
      <x:c r="D167" s="8" t="str">
        <x:v>พร้อมขาย</x:v>
      </x:c>
      <x:c r="E167" s="8" t="str">
        <x:v>ย้ายเป็นสำรอง</x:v>
      </x:c>
      <x:c r="F167" s="8" t="str"/>
      <x:c r="G16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8" ht="65" customHeight="1">
      <x:c r="A168" s="2" t="str">
        <x:v>TMF-230</x:v>
      </x:c>
      <x:c r="B168" s="8" t="str">
        <x:v>เตี๋ยวเนื้อตุ๋น บังยุบ อ่างทอง</x:v>
      </x:c>
      <x:c r="C168" s="8" t="str">
        <x:v>อ่างทอง</x:v>
      </x:c>
      <x:c r="D168" s="8" t="str">
        <x:v>พร้อมขาย</x:v>
      </x:c>
      <x:c r="E168" s="8" t="str">
        <x:v>ย้ายเป็นสำรอง</x:v>
      </x:c>
      <x:c r="F168" s="8" t="str"/>
      <x:c r="G16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69" ht="65" customHeight="1">
      <x:c r="A169" s="2" t="str">
        <x:v>TMF-241</x:v>
      </x:c>
      <x:c r="B169" s="8" t="str">
        <x:v>Hnisme family poolvilla</x:v>
      </x:c>
      <x:c r="C169" s="8" t="str">
        <x:v>เพชรบุรี</x:v>
      </x:c>
      <x:c r="D169" s="8" t="str">
        <x:v>พร้อมขาย</x:v>
      </x:c>
      <x:c r="E169" s="8" t="str">
        <x:v>ย้ายเป็นสำรอง</x:v>
      </x:c>
      <x:c r="F169" s="8" t="str"/>
      <x:c r="G16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0" ht="65" customHeight="1">
      <x:c r="A170" s="2" t="str">
        <x:v>TMF-243</x:v>
      </x:c>
      <x:c r="B170" s="8" t="str">
        <x:v>ไร่ธัญเบอรี่ Tanya Berry Resort</x:v>
      </x:c>
      <x:c r="C170" s="8" t="str">
        <x:v>เพชรบูรณ์</x:v>
      </x:c>
      <x:c r="D170" s="8" t="str">
        <x:v>พร้อมขาย</x:v>
      </x:c>
      <x:c r="E170" s="8" t="str">
        <x:v>ย้ายเป็นสำรอง</x:v>
      </x:c>
      <x:c r="F170" s="8" t="str"/>
      <x:c r="G17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1" ht="65" customHeight="1">
      <x:c r="A171" s="2" t="str">
        <x:v>TMF-244</x:v>
      </x:c>
      <x:c r="B171" s="8" t="str">
        <x:v>DD O-Zone พูลวิลล่า ฮาลาลฟู้ด ภูทับเบิก</x:v>
      </x:c>
      <x:c r="C171" s="8" t="str">
        <x:v>เพชรบูรณ์</x:v>
      </x:c>
      <x:c r="D171" s="8" t="str">
        <x:v>พร้อมขาย</x:v>
      </x:c>
      <x:c r="E171" s="8" t="str">
        <x:v>ย้ายเป็นสำรอง</x:v>
      </x:c>
      <x:c r="F171" s="8" t="str"/>
      <x:c r="G17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2" ht="65" customHeight="1">
      <x:c r="A172" s="2" t="str">
        <x:v>TMF-247</x:v>
      </x:c>
      <x:c r="B172" s="8" t="str">
        <x:v>โรงชา@คลองแม่จัน</x:v>
      </x:c>
      <x:c r="C172" s="8" t="str">
        <x:v>กรุงเทพมหานคร</x:v>
      </x:c>
      <x:c r="D172" s="8" t="str">
        <x:v>พร้อมขาย</x:v>
      </x:c>
      <x:c r="E172" s="8" t="str">
        <x:v>ย้ายเป็นสำรอง</x:v>
      </x:c>
      <x:c r="F172" s="8" t="str"/>
      <x:c r="G17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3" ht="65" customHeight="1">
      <x:c r="A173" s="2" t="str">
        <x:v>TMF-248</x:v>
      </x:c>
      <x:c r="B173" s="8" t="str">
        <x:v>Pai In Town Hotel</x:v>
      </x:c>
      <x:c r="C173" s="8" t="str">
        <x:v>แม่ฮ่องสอน</x:v>
      </x:c>
      <x:c r="D173" s="8" t="str">
        <x:v>พร้อมขาย</x:v>
      </x:c>
      <x:c r="E173" s="8" t="str">
        <x:v>ย้ายเป็นสำรอง</x:v>
      </x:c>
      <x:c r="F173" s="8" t="str"/>
      <x:c r="G17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4" ht="65" customHeight="1">
      <x:c r="A174" s="2" t="str">
        <x:v>TMF-249</x:v>
      </x:c>
      <x:c r="B174" s="8" t="str">
        <x:v>Mp house at pai</x:v>
      </x:c>
      <x:c r="C174" s="8" t="str">
        <x:v>แม่ฮ่องสอน</x:v>
      </x:c>
      <x:c r="D174" s="8" t="str">
        <x:v>พร้อมขาย</x:v>
      </x:c>
      <x:c r="E174" s="8" t="str">
        <x:v>ย้ายเป็นสำรอง</x:v>
      </x:c>
      <x:c r="F174" s="8" t="str"/>
      <x:c r="G17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5" ht="65" customHeight="1">
      <x:c r="A175" s="2" t="str">
        <x:v>TMF-250</x:v>
      </x:c>
      <x:c r="B175" s="8" t="str">
        <x:v>zeesma halal food</x:v>
      </x:c>
      <x:c r="C175" s="8" t="str">
        <x:v>แม่ฮ่องสอน</x:v>
      </x:c>
      <x:c r="D175" s="8" t="str">
        <x:v>พร้อมขาย</x:v>
      </x:c>
      <x:c r="E175" s="8" t="str">
        <x:v>ย้ายเป็นสำรอง</x:v>
      </x:c>
      <x:c r="F175" s="8" t="str"/>
      <x:c r="G17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6" ht="65" customHeight="1">
      <x:c r="A176" s="2" t="str">
        <x:v>TMF-251</x:v>
      </x:c>
      <x:c r="B176" s="8" t="str">
        <x:v>Mareeya Resort &amp; Farm.ไร่มารียาฟาร์ม</x:v>
      </x:c>
      <x:c r="C176" s="8" t="str">
        <x:v>เชียงราย</x:v>
      </x:c>
      <x:c r="D176" s="8" t="str">
        <x:v>พัฒนาเพื่อพร้อมขาย</x:v>
      </x:c>
      <x:c r="E176" s="8" t="str">
        <x:v>ย้ายเป็นสำรอง</x:v>
      </x:c>
      <x:c r="F176" s="8" t="str"/>
      <x:c r="G17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7" ht="65" customHeight="1">
      <x:c r="A177" s="2" t="str">
        <x:v>TMF-252</x:v>
      </x:c>
      <x:c r="B177" s="8" t="str">
        <x:v>กาแฟหัวโค้ง</x:v>
      </x:c>
      <x:c r="C177" s="8" t="str">
        <x:v>พระนครศรีอยุธยา</x:v>
      </x:c>
      <x:c r="D177" s="8" t="str">
        <x:v>พัฒนาเพื่อพร้อมขาย</x:v>
      </x:c>
      <x:c r="E177" s="8" t="str">
        <x:v>ย้ายเป็นสำรอง</x:v>
      </x:c>
      <x:c r="F177" s="8" t="str"/>
      <x:c r="G17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8" ht="65" customHeight="1">
      <x:c r="A178" s="2" t="str">
        <x:v>TMF-253</x:v>
      </x:c>
      <x:c r="B178" s="8" t="str">
        <x:v>ครัวล้านนา อาหารเหนือมุสลิม (ลุมพลี)</x:v>
      </x:c>
      <x:c r="C178" s="8" t="str">
        <x:v>พระนครศรีอยุธยา</x:v>
      </x:c>
      <x:c r="D178" s="8" t="str">
        <x:v>พัฒนาเพื่อพร้อมขาย</x:v>
      </x:c>
      <x:c r="E178" s="8" t="str">
        <x:v>ย้ายเป็นสำรอง</x:v>
      </x:c>
      <x:c r="F178" s="8" t="str"/>
      <x:c r="G17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79" ht="65" customHeight="1">
      <x:c r="A179" s="2" t="str">
        <x:v>TMF-254</x:v>
      </x:c>
      <x:c r="B179" s="8" t="str">
        <x:v>ชามิลฮาล้าล ก๋วยเตี๋ยว กาแฟสด คลองตะเคียน</x:v>
      </x:c>
      <x:c r="C179" s="8" t="str">
        <x:v>พระนครศรีอยุธยา</x:v>
      </x:c>
      <x:c r="D179" s="8" t="str">
        <x:v>พัฒนาเพื่อพร้อมขาย</x:v>
      </x:c>
      <x:c r="E179" s="8" t="str">
        <x:v>ย้ายเป็นสำรอง</x:v>
      </x:c>
      <x:c r="F179" s="8" t="str"/>
      <x:c r="G17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0" ht="65" customHeight="1">
      <x:c r="A180" s="2" t="str">
        <x:v>TMF-257</x:v>
      </x:c>
      <x:c r="B180" s="8" t="str">
        <x:v>ฮัจยีแดง สาขา 4</x:v>
      </x:c>
      <x:c r="C180" s="8" t="str">
        <x:v>พระนครศรีอยุธยา</x:v>
      </x:c>
      <x:c r="D180" s="8" t="str">
        <x:v>พัฒนาเพื่อพร้อมขาย</x:v>
      </x:c>
      <x:c r="E180" s="8" t="str">
        <x:v>ย้ายเป็นสำรอง</x:v>
      </x:c>
      <x:c r="F180" s="8" t="str"/>
      <x:c r="G18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1" ht="65" customHeight="1">
      <x:c r="A181" s="2" t="str">
        <x:v>TMF-258</x:v>
      </x:c>
      <x:c r="B181" s="8" t="str">
        <x:v>โจ๊กเสือร้องไห้</x:v>
      </x:c>
      <x:c r="C181" s="8" t="str">
        <x:v>พระนครศรีอยุธยา</x:v>
      </x:c>
      <x:c r="D181" s="8" t="str">
        <x:v>พัฒนาเพื่อพร้อมขาย</x:v>
      </x:c>
      <x:c r="E181" s="8" t="str">
        <x:v>ย้ายเป็นสำรอง</x:v>
      </x:c>
      <x:c r="F181" s="8" t="str"/>
      <x:c r="G18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2" ht="65" customHeight="1">
      <x:c r="A182" s="2" t="str">
        <x:v>TMF-262</x:v>
      </x:c>
      <x:c r="B182" s="8" t="str">
        <x:v>โรตีฮาลาลเจ้าเก่าน้ำพรุร้อนหินดาด</x:v>
      </x:c>
      <x:c r="C182" s="8" t="str">
        <x:v>กาญจนบุรี</x:v>
      </x:c>
      <x:c r="D182" s="8" t="str">
        <x:v>พัฒนาเพื่อพร้อมขาย</x:v>
      </x:c>
      <x:c r="E182" s="8" t="str">
        <x:v>ย้ายเป็นสำรอง</x:v>
      </x:c>
      <x:c r="F182" s="8" t="str"/>
      <x:c r="G18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3" ht="65" customHeight="1">
      <x:c r="A183" s="2" t="str">
        <x:v>TMF-268</x:v>
      </x:c>
      <x:c r="B183" s="8" t="str">
        <x:v>โรงแรมแองโคล่า วายแอนด์ดับบลิว</x:v>
      </x:c>
      <x:c r="C183" s="8" t="str">
        <x:v>กระบี่</x:v>
      </x:c>
      <x:c r="D183" s="8" t="str">
        <x:v>พัฒนาเพื่อพร้อมขาย</x:v>
      </x:c>
      <x:c r="E183" s="8" t="str">
        <x:v>ย้ายเป็นสำรอง</x:v>
      </x:c>
      <x:c r="F183" s="8" t="str"/>
      <x:c r="G18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4" ht="65" customHeight="1">
      <x:c r="A184" s="2" t="str">
        <x:v>TMF-272</x:v>
      </x:c>
      <x:c r="B184" s="8" t="str">
        <x:v>โรงแรมอัญชาลีน่าแกรนด์</x:v>
      </x:c>
      <x:c r="C184" s="8" t="str">
        <x:v>กรุงเทพมหานคร</x:v>
      </x:c>
      <x:c r="D184" s="8" t="str">
        <x:v>พัฒนาเพื่อพร้อมขาย</x:v>
      </x:c>
      <x:c r="E184" s="8" t="str">
        <x:v>ย้ายเป็นสำรอง</x:v>
      </x:c>
      <x:c r="F184" s="8" t="str"/>
      <x:c r="G18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5" ht="65" customHeight="1">
      <x:c r="A185" s="2" t="str">
        <x:v>TMF-273</x:v>
      </x:c>
      <x:c r="B185" s="8" t="str">
        <x:v>AMI MALAYA INDONESIAN HALAL FOOD (Phenix ประตูน้ำ)</x:v>
      </x:c>
      <x:c r="C185" s="8" t="str">
        <x:v>กรุงเทพมหานคร</x:v>
      </x:c>
      <x:c r="D185" s="8" t="str">
        <x:v>พัฒนาเพื่อพร้อมขาย</x:v>
      </x:c>
      <x:c r="E185" s="8" t="str">
        <x:v>ย้ายเป็นสำรอง</x:v>
      </x:c>
      <x:c r="F185" s="8" t="str"/>
      <x:c r="G18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6" ht="65" customHeight="1">
      <x:c r="A186" s="2" t="str">
        <x:v>TMF-274</x:v>
      </x:c>
      <x:c r="B186" s="8" t="str">
        <x:v>APA SOI- ข้าวซอยยูนนาน ฮาลาล</x:v>
      </x:c>
      <x:c r="C186" s="8" t="str">
        <x:v>กรุงเทพมหานคร</x:v>
      </x:c>
      <x:c r="D186" s="8" t="str">
        <x:v>พัฒนาเพื่อพร้อมขาย</x:v>
      </x:c>
      <x:c r="E186" s="8" t="str">
        <x:v>ย้ายเป็นสำรอง</x:v>
      </x:c>
      <x:c r="F186" s="8" t="str"/>
      <x:c r="G18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7" ht="65" customHeight="1">
      <x:c r="A187" s="2" t="str">
        <x:v>TMF-275</x:v>
      </x:c>
      <x:c r="B187" s="8" t="str">
        <x:v>Afanti XinJiang Halal Food สาขาบรรทัดทอง</x:v>
      </x:c>
      <x:c r="C187" s="8" t="str">
        <x:v>กรุงเทพมหานคร</x:v>
      </x:c>
      <x:c r="D187" s="8" t="str">
        <x:v>พัฒนาเพื่อพร้อมขาย</x:v>
      </x:c>
      <x:c r="E187" s="8" t="str">
        <x:v>ย้ายเป็นสำรอง</x:v>
      </x:c>
      <x:c r="F187" s="8" t="str"/>
      <x:c r="G18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8" ht="65" customHeight="1">
      <x:c r="A188" s="2" t="str">
        <x:v>TMF-276</x:v>
      </x:c>
      <x:c r="B188" s="8" t="str">
        <x:v>Aladeen Restaurant &amp; Cafe</x:v>
      </x:c>
      <x:c r="C188" s="8" t="str">
        <x:v>กรุงเทพมหานคร</x:v>
      </x:c>
      <x:c r="D188" s="8" t="str">
        <x:v>พัฒนาเพื่อพร้อมขาย</x:v>
      </x:c>
      <x:c r="E188" s="8" t="str">
        <x:v>ย้ายเป็นสำรอง</x:v>
      </x:c>
      <x:c r="F188" s="8" t="str"/>
      <x:c r="G18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89" ht="65" customHeight="1">
      <x:c r="A189" s="2" t="str">
        <x:v>TMF-277</x:v>
      </x:c>
      <x:c r="B189" s="8" t="str">
        <x:v>Aladia Ramen</x:v>
      </x:c>
      <x:c r="C189" s="8" t="str">
        <x:v>กรุงเทพมหานคร</x:v>
      </x:c>
      <x:c r="D189" s="8" t="str">
        <x:v>พัฒนาเพื่อพร้อมขาย</x:v>
      </x:c>
      <x:c r="E189" s="8" t="str">
        <x:v>ย้ายเป็นสำรอง</x:v>
      </x:c>
      <x:c r="F189" s="8" t="str"/>
      <x:c r="G18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0" ht="65" customHeight="1">
      <x:c r="A190" s="2" t="str">
        <x:v>TMF-319</x:v>
      </x:c>
      <x:c r="B190" s="8" t="str">
        <x:v>มัสยิดอิควานุ้ลมุตตะกีน (เกาะขุนเณร)</x:v>
      </x:c>
      <x:c r="C190" s="8" t="str">
        <x:v>กรุงเทพมหานคร</x:v>
      </x:c>
      <x:c r="D190" s="8" t="str">
        <x:v>พัฒนาเพื่อพร้อมขาย</x:v>
      </x:c>
      <x:c r="E190" s="8" t="str">
        <x:v>ย้ายเป็นสำรอง</x:v>
      </x:c>
      <x:c r="F190" s="8" t="str"/>
      <x:c r="G19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1" ht="65" customHeight="1">
      <x:c r="A191" s="2" t="str">
        <x:v>TMF-326</x:v>
      </x:c>
      <x:c r="B191" s="8" t="str">
        <x:v>มัสยิด สมเด็จ อัลฮายาต จ.กาฬสินธุ์</x:v>
      </x:c>
      <x:c r="C191" s="8" t="str">
        <x:v>กาฬสินธุ์</x:v>
      </x:c>
      <x:c r="D191" s="8" t="str">
        <x:v>พัฒนาเพื่อพร้อมขาย</x:v>
      </x:c>
      <x:c r="E191" s="8" t="str">
        <x:v>ย้ายเป็นสำรอง</x:v>
      </x:c>
      <x:c r="F191" s="8" t="str"/>
      <x:c r="G19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2" ht="65" customHeight="1">
      <x:c r="A192" s="2" t="str">
        <x:v>TMF-327</x:v>
      </x:c>
      <x:c r="B192" s="8" t="str">
        <x:v>มัสยิดกลางกาฬสินธุ์</x:v>
      </x:c>
      <x:c r="C192" s="8" t="str">
        <x:v>กาฬสินธุ์</x:v>
      </x:c>
      <x:c r="D192" s="8" t="str">
        <x:v>พัฒนาเพื่อพร้อมขาย</x:v>
      </x:c>
      <x:c r="E192" s="8" t="str">
        <x:v>ย้ายเป็นสำรอง</x:v>
      </x:c>
      <x:c r="F192" s="8" t="str"/>
      <x:c r="G19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3" ht="65" customHeight="1">
      <x:c r="A193" s="2" t="str">
        <x:v>TMF-328</x:v>
      </x:c>
      <x:c r="B193" s="8" t="str">
        <x:v>มัสยิดดารุลอามาน (บ้านไผ่) จ.ขอนแก่น</x:v>
      </x:c>
      <x:c r="C193" s="8" t="str">
        <x:v>ขอนแก่น</x:v>
      </x:c>
      <x:c r="D193" s="8" t="str">
        <x:v>พัฒนาเพื่อพร้อมขาย</x:v>
      </x:c>
      <x:c r="E193" s="8" t="str">
        <x:v>ย้ายเป็นสำรอง</x:v>
      </x:c>
      <x:c r="F193" s="8" t="str"/>
      <x:c r="G19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4" ht="65" customHeight="1">
      <x:c r="A194" s="2" t="str">
        <x:v>TMF-330</x:v>
      </x:c>
      <x:c r="B194" s="8" t="str">
        <x:v>นิยะห์ฮาลาลฟู้ด</x:v>
      </x:c>
      <x:c r="C194" s="8" t="str">
        <x:v>ชลบุรี</x:v>
      </x:c>
      <x:c r="D194" s="8" t="str">
        <x:v>พัฒนาเพื่อพร้อมขาย</x:v>
      </x:c>
      <x:c r="E194" s="8" t="str">
        <x:v>ย้ายเป็นสำรอง</x:v>
      </x:c>
      <x:c r="F194" s="8" t="str"/>
      <x:c r="G19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5" ht="65" customHeight="1">
      <x:c r="A195" s="2" t="str">
        <x:v>TMF-341</x:v>
      </x:c>
      <x:c r="B195" s="8" t="str">
        <x:v>มัสยิดอัล-อิตติฮาดียะห์ (บ้านหนองพรหม)</x:v>
      </x:c>
      <x:c r="C195" s="8" t="str">
        <x:v>ชลบุรี</x:v>
      </x:c>
      <x:c r="D195" s="8" t="str">
        <x:v>พัฒนาเพื่อพร้อมขาย</x:v>
      </x:c>
      <x:c r="E195" s="8" t="str">
        <x:v>ย้ายเป็นสำรอง</x:v>
      </x:c>
      <x:c r="F195" s="8" t="str"/>
      <x:c r="G19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6" ht="65" customHeight="1">
      <x:c r="A196" s="2" t="str">
        <x:v>TMF-344</x:v>
      </x:c>
      <x:c r="B196" s="8" t="str">
        <x:v>มัสยิดอัลอิตติฟากียะฮ์</x:v>
      </x:c>
      <x:c r="C196" s="8" t="str">
        <x:v>ชลบุรี</x:v>
      </x:c>
      <x:c r="D196" s="8" t="str">
        <x:v>พัฒนาเพื่อพร้อมขาย</x:v>
      </x:c>
      <x:c r="E196" s="8" t="str">
        <x:v>ย้ายเป็นสำรอง</x:v>
      </x:c>
      <x:c r="F196" s="8" t="str"/>
      <x:c r="G19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7" ht="65" customHeight="1">
      <x:c r="A197" s="2" t="str">
        <x:v>TMF-349</x:v>
      </x:c>
      <x:c r="B197" s="8" t="str">
        <x:v>นิซีผลไม้ (ท่าเรืออ่าวธรรมชาติ)</x:v>
      </x:c>
      <x:c r="C197" s="8" t="str">
        <x:v>ตราด</x:v>
      </x:c>
      <x:c r="D197" s="8" t="str">
        <x:v>พัฒนาเพื่อพร้อมขาย</x:v>
      </x:c>
      <x:c r="E197" s="8" t="str">
        <x:v>ย้ายเป็นสำรอง</x:v>
      </x:c>
      <x:c r="F197" s="8" t="str"/>
      <x:c r="G19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8" ht="65" customHeight="1">
      <x:c r="A198" s="2" t="str">
        <x:v>TMF-350</x:v>
      </x:c>
      <x:c r="B198" s="8" t="str">
        <x:v>น้องอานัส ข้าวแกงปักษ์ใต้</x:v>
      </x:c>
      <x:c r="C198" s="8" t="str">
        <x:v>ตราด</x:v>
      </x:c>
      <x:c r="D198" s="8" t="str">
        <x:v>พัฒนาเพื่อพร้อมขาย</x:v>
      </x:c>
      <x:c r="E198" s="8" t="str">
        <x:v>ย้ายเป็นสำรอง</x:v>
      </x:c>
      <x:c r="F198" s="8" t="str"/>
      <x:c r="G19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199" ht="65" customHeight="1">
      <x:c r="A199" s="2" t="str">
        <x:v>TMF-351</x:v>
      </x:c>
      <x:c r="B199" s="8" t="str">
        <x:v>ฮัจเญาะห์ซาเราะห์ สมุนไพรไก่ทอด</x:v>
      </x:c>
      <x:c r="C199" s="8" t="str">
        <x:v>ตราด</x:v>
      </x:c>
      <x:c r="D199" s="8" t="str">
        <x:v>พัฒนาเพื่อพร้อมขาย</x:v>
      </x:c>
      <x:c r="E199" s="8" t="str">
        <x:v>ย้ายเป็นสำรอง</x:v>
      </x:c>
      <x:c r="F199" s="8" t="str"/>
      <x:c r="G19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0" ht="65" customHeight="1">
      <x:c r="A200" s="2" t="str">
        <x:v>TMF-352</x:v>
      </x:c>
      <x:c r="B200" s="8" t="str">
        <x:v>Aria Restaurant</x:v>
      </x:c>
      <x:c r="C200" s="8" t="str">
        <x:v>นครราชสีมา</x:v>
      </x:c>
      <x:c r="D200" s="8" t="str">
        <x:v>พัฒนาเพื่อพร้อมขาย</x:v>
      </x:c>
      <x:c r="E200" s="8" t="str">
        <x:v>ย้ายเป็นสำรอง</x:v>
      </x:c>
      <x:c r="F200" s="8" t="str"/>
      <x:c r="G20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1" ht="65" customHeight="1">
      <x:c r="A201" s="2" t="str">
        <x:v>TMF-353</x:v>
      </x:c>
      <x:c r="B201" s="8" t="str">
        <x:v>I HA DA ME</x:v>
      </x:c>
      <x:c r="C201" s="8" t="str">
        <x:v>นครราชสีมา</x:v>
      </x:c>
      <x:c r="D201" s="8" t="str">
        <x:v>พัฒนาเพื่อพร้อมขาย</x:v>
      </x:c>
      <x:c r="E201" s="8" t="str">
        <x:v>ย้ายเป็นสำรอง</x:v>
      </x:c>
      <x:c r="F201" s="8" t="str"/>
      <x:c r="G20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2" ht="65" customHeight="1">
      <x:c r="A202" s="2" t="str">
        <x:v>TMF-354</x:v>
      </x:c>
      <x:c r="B202" s="8" t="str">
        <x:v>JR. โรตี</x:v>
      </x:c>
      <x:c r="C202" s="8" t="str">
        <x:v>นครราชสีมา</x:v>
      </x:c>
      <x:c r="D202" s="8" t="str">
        <x:v>พัฒนาเพื่อพร้อมขาย</x:v>
      </x:c>
      <x:c r="E202" s="8" t="str">
        <x:v>ย้ายเป็นสำรอง</x:v>
      </x:c>
      <x:c r="F202" s="8" t="str"/>
      <x:c r="G20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3" ht="65" customHeight="1">
      <x:c r="A203" s="2" t="str">
        <x:v>TMF-355</x:v>
      </x:c>
      <x:c r="B203" s="8" t="str">
        <x:v>R.K. BURGER</x:v>
      </x:c>
      <x:c r="C203" s="8" t="str">
        <x:v>นครราชสีมา</x:v>
      </x:c>
      <x:c r="D203" s="8" t="str">
        <x:v>พัฒนาเพื่อพร้อมขาย</x:v>
      </x:c>
      <x:c r="E203" s="8" t="str">
        <x:v>ย้ายเป็นสำรอง</x:v>
      </x:c>
      <x:c r="F203" s="8" t="str"/>
      <x:c r="G20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4" ht="65" customHeight="1">
      <x:c r="A204" s="2" t="str">
        <x:v>TMF-356</x:v>
      </x:c>
      <x:c r="B204" s="8" t="str">
        <x:v>ก๊ะรุ่ง ข้าวแกงใต้แอบแซ่บ</x:v>
      </x:c>
      <x:c r="C204" s="8" t="str">
        <x:v>นครราชสีมา</x:v>
      </x:c>
      <x:c r="D204" s="8" t="str">
        <x:v>พัฒนาเพื่อพร้อมขาย</x:v>
      </x:c>
      <x:c r="E204" s="8" t="str">
        <x:v>ย้ายเป็นสำรอง</x:v>
      </x:c>
      <x:c r="F204" s="8" t="str"/>
      <x:c r="G20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5" ht="65" customHeight="1">
      <x:c r="A205" s="2" t="str">
        <x:v>TMF-360</x:v>
      </x:c>
      <x:c r="B205" s="8" t="str">
        <x:v>Kuncleleaw Korean Halal (สาขานนทบุรี)</x:v>
      </x:c>
      <x:c r="C205" s="8" t="str">
        <x:v>นนทบุรี</x:v>
      </x:c>
      <x:c r="D205" s="8" t="str">
        <x:v>พัฒนาเพื่อพร้อมขาย</x:v>
      </x:c>
      <x:c r="E205" s="8" t="str">
        <x:v>ย้ายเป็นสำรอง</x:v>
      </x:c>
      <x:c r="F205" s="8" t="str"/>
      <x:c r="G20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6" ht="65" customHeight="1">
      <x:c r="A206" s="2" t="str">
        <x:v>TMF-361</x:v>
      </x:c>
      <x:c r="B206" s="8" t="str">
        <x:v>Mr.bung steak</x:v>
      </x:c>
      <x:c r="C206" s="8" t="str">
        <x:v>นนทบุรี</x:v>
      </x:c>
      <x:c r="D206" s="8" t="str">
        <x:v>พัฒนาเพื่อพร้อมขาย</x:v>
      </x:c>
      <x:c r="E206" s="8" t="str">
        <x:v>ย้ายเป็นสำรอง</x:v>
      </x:c>
      <x:c r="F206" s="8" t="str"/>
      <x:c r="G20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7" ht="65" customHeight="1">
      <x:c r="A207" s="2" t="str">
        <x:v>TMF-362</x:v>
      </x:c>
      <x:c r="B207" s="8" t="str">
        <x:v>Shibuya Japanese curry</x:v>
      </x:c>
      <x:c r="C207" s="8" t="str">
        <x:v>นนทบุรี</x:v>
      </x:c>
      <x:c r="D207" s="8" t="str">
        <x:v>พัฒนาเพื่อพร้อมขาย</x:v>
      </x:c>
      <x:c r="E207" s="8" t="str">
        <x:v>ย้ายเป็นสำรอง</x:v>
      </x:c>
      <x:c r="F207" s="8" t="str"/>
      <x:c r="G20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8" ht="65" customHeight="1">
      <x:c r="A208" s="2" t="str">
        <x:v>TMF-363</x:v>
      </x:c>
      <x:c r="B208" s="8" t="str">
        <x:v>ZIN Steak and Dessert</x:v>
      </x:c>
      <x:c r="C208" s="8" t="str">
        <x:v>นนทบุรี</x:v>
      </x:c>
      <x:c r="D208" s="8" t="str">
        <x:v>พัฒนาเพื่อพร้อมขาย</x:v>
      </x:c>
      <x:c r="E208" s="8" t="str">
        <x:v>ย้ายเป็นสำรอง</x:v>
      </x:c>
      <x:c r="F208" s="8" t="str"/>
      <x:c r="G20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09" ht="65" customHeight="1">
      <x:c r="A209" s="2" t="str">
        <x:v>TMF-364</x:v>
      </x:c>
      <x:c r="B209" s="8" t="str">
        <x:v>ก๋วยเตี๋ยวนูรีน</x:v>
      </x:c>
      <x:c r="C209" s="8" t="str">
        <x:v>นนทบุรี</x:v>
      </x:c>
      <x:c r="D209" s="8" t="str">
        <x:v>พัฒนาเพื่อพร้อมขาย</x:v>
      </x:c>
      <x:c r="E209" s="8" t="str">
        <x:v>ย้ายเป็นสำรอง</x:v>
      </x:c>
      <x:c r="F209" s="8" t="str"/>
      <x:c r="G20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0" ht="65" customHeight="1">
      <x:c r="A210" s="2" t="str">
        <x:v>TMF-367</x:v>
      </x:c>
      <x:c r="B210" s="8" t="str">
        <x:v>ก๋วยเตี๋ยว ข้าวมันไก่ โก๋ฟา</x:v>
      </x:c>
      <x:c r="C210" s="8" t="str">
        <x:v>ปทุมธานี</x:v>
      </x:c>
      <x:c r="D210" s="8" t="str">
        <x:v>พัฒนาเพื่อพร้อมขาย</x:v>
      </x:c>
      <x:c r="E210" s="8" t="str">
        <x:v>ย้ายเป็นสำรอง</x:v>
      </x:c>
      <x:c r="F210" s="8" t="str"/>
      <x:c r="G21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1" ht="65" customHeight="1">
      <x:c r="A211" s="2" t="str">
        <x:v>TMF-368</x:v>
      </x:c>
      <x:c r="B211" s="8" t="str">
        <x:v>ก๋วยเตี๋ยวเนื้อ &amp; ไก่อาหารอิสลาม</x:v>
      </x:c>
      <x:c r="C211" s="8" t="str">
        <x:v>ปทุมธานี</x:v>
      </x:c>
      <x:c r="D211" s="8" t="str">
        <x:v>พัฒนาเพื่อพร้อมขาย</x:v>
      </x:c>
      <x:c r="E211" s="8" t="str">
        <x:v>ย้ายเป็นสำรอง</x:v>
      </x:c>
      <x:c r="F211" s="8" t="str"/>
      <x:c r="G21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2" ht="65" customHeight="1">
      <x:c r="A212" s="2" t="str">
        <x:v>TMF-369</x:v>
      </x:c>
      <x:c r="B212" s="8" t="str">
        <x:v>ข้าวมันไก่หวังบู่ สาขาหน้าเซเว่นมัสยิดแก้วนิมิตร</x:v>
      </x:c>
      <x:c r="C212" s="8" t="str">
        <x:v>ปทุมธานี</x:v>
      </x:c>
      <x:c r="D212" s="8" t="str">
        <x:v>พัฒนาเพื่อพร้อมขาย</x:v>
      </x:c>
      <x:c r="E212" s="8" t="str">
        <x:v>ย้ายเป็นสำรอง</x:v>
      </x:c>
      <x:c r="F212" s="8" t="str"/>
      <x:c r="G21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3" ht="65" customHeight="1">
      <x:c r="A213" s="2" t="str">
        <x:v>TMF-370</x:v>
      </x:c>
      <x:c r="B213" s="8" t="str">
        <x:v>ครัวฟาตีมะห์-หวังรัญ</x:v>
      </x:c>
      <x:c r="C213" s="8" t="str">
        <x:v>ปทุมธานี</x:v>
      </x:c>
      <x:c r="D213" s="8" t="str">
        <x:v>พัฒนาเพื่อพร้อมขาย</x:v>
      </x:c>
      <x:c r="E213" s="8" t="str">
        <x:v>ย้ายเป็นสำรอง</x:v>
      </x:c>
      <x:c r="F213" s="8" t="str"/>
      <x:c r="G21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4" ht="65" customHeight="1">
      <x:c r="A214" s="2" t="str">
        <x:v>TMF-371</x:v>
      </x:c>
      <x:c r="B214" s="8" t="str">
        <x:v>ครัวเตาถ่าน</x:v>
      </x:c>
      <x:c r="C214" s="8" t="str">
        <x:v>ปทุมธานี</x:v>
      </x:c>
      <x:c r="D214" s="8" t="str">
        <x:v>พัฒนาเพื่อพร้อมขาย</x:v>
      </x:c>
      <x:c r="E214" s="8" t="str">
        <x:v>ย้ายเป็นสำรอง</x:v>
      </x:c>
      <x:c r="F214" s="8" t="str"/>
      <x:c r="G21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5" ht="65" customHeight="1">
      <x:c r="A215" s="2" t="str">
        <x:v>TMF-372</x:v>
      </x:c>
      <x:c r="B215" s="8" t="str">
        <x:v>ดรีมเวิลด์</x:v>
      </x:c>
      <x:c r="C215" s="8" t="str">
        <x:v>ปทุมธานี</x:v>
      </x:c>
      <x:c r="D215" s="8" t="str">
        <x:v>พัฒนาเพื่อพร้อมขาย</x:v>
      </x:c>
      <x:c r="E215" s="8" t="str">
        <x:v>ย้ายเป็นสำรอง</x:v>
      </x:c>
      <x:c r="F215" s="8" t="str"/>
      <x:c r="G21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6" ht="65" customHeight="1">
      <x:c r="A216" s="2" t="str">
        <x:v>TMF-380</x:v>
      </x:c>
      <x:c r="B216" s="8" t="str">
        <x:v>มัสยิดกลาง จ.มุกดาหาร</x:v>
      </x:c>
      <x:c r="C216" s="8" t="str">
        <x:v>มุกดาหาร</x:v>
      </x:c>
      <x:c r="D216" s="8" t="str">
        <x:v>พัฒนาเพื่อพร้อมขาย</x:v>
      </x:c>
      <x:c r="E216" s="8" t="str">
        <x:v>ย้ายเป็นสำรอง</x:v>
      </x:c>
      <x:c r="F216" s="8" t="str"/>
      <x:c r="G21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7" ht="65" customHeight="1">
      <x:c r="A217" s="2" t="str">
        <x:v>TMF-381</x:v>
      </x:c>
      <x:c r="B217" s="8" t="str">
        <x:v>% persen coffee</x:v>
      </x:c>
      <x:c r="C217" s="8" t="str">
        <x:v>ยะลา</x:v>
      </x:c>
      <x:c r="D217" s="8" t="str">
        <x:v>พัฒนาเพื่อพร้อมขาย</x:v>
      </x:c>
      <x:c r="E217" s="8" t="str">
        <x:v>ย้ายเป็นสำรอง</x:v>
      </x:c>
      <x:c r="F217" s="8" t="str"/>
      <x:c r="G21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8" ht="65" customHeight="1">
      <x:c r="A218" s="2" t="str">
        <x:v>TMF-382</x:v>
      </x:c>
      <x:c r="B218" s="8" t="str">
        <x:v>24 house กาแฟหน้าบ้าน</x:v>
      </x:c>
      <x:c r="C218" s="8" t="str">
        <x:v>ยะลา</x:v>
      </x:c>
      <x:c r="D218" s="8" t="str">
        <x:v>พัฒนาเพื่อพร้อมขาย</x:v>
      </x:c>
      <x:c r="E218" s="8" t="str">
        <x:v>ย้ายเป็นสำรอง</x:v>
      </x:c>
      <x:c r="F218" s="8" t="str"/>
      <x:c r="G21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19" ht="65" customHeight="1">
      <x:c r="A219" s="2" t="str">
        <x:v>TMF-386</x:v>
      </x:c>
      <x:c r="B219" s="8" t="str">
        <x:v>CTRL (Wh)y? Coffn'mat</x:v>
      </x:c>
      <x:c r="C219" s="8" t="str">
        <x:v>ระยอง</x:v>
      </x:c>
      <x:c r="D219" s="8" t="str">
        <x:v>พัฒนาเพื่อพร้อมขาย</x:v>
      </x:c>
      <x:c r="E219" s="8" t="str">
        <x:v>ย้ายเป็นสำรอง</x:v>
      </x:c>
      <x:c r="F219" s="8" t="str"/>
      <x:c r="G21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0" ht="65" customHeight="1">
      <x:c r="A220" s="2" t="str">
        <x:v>TMF-387</x:v>
      </x:c>
      <x:c r="B220" s="8" t="str">
        <x:v>Super เนื้อ 98 ก๋วยเตี๋ยวเนื้อตุ๋น</x:v>
      </x:c>
      <x:c r="C220" s="8" t="str">
        <x:v>ระยอง</x:v>
      </x:c>
      <x:c r="D220" s="8" t="str">
        <x:v>พัฒนาเพื่อพร้อมขาย</x:v>
      </x:c>
      <x:c r="E220" s="8" t="str">
        <x:v>ย้ายเป็นสำรอง</x:v>
      </x:c>
      <x:c r="F220" s="8" t="str"/>
      <x:c r="G22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1" ht="65" customHeight="1">
      <x:c r="A221" s="2" t="str">
        <x:v>TMF-388</x:v>
      </x:c>
      <x:c r="B221" s="8" t="str">
        <x:v>กัยนา (เล็กเมืองตรัง) ไก่ทอดหาดใหญ่</x:v>
      </x:c>
      <x:c r="C221" s="8" t="str">
        <x:v>ระยอง</x:v>
      </x:c>
      <x:c r="D221" s="8" t="str">
        <x:v>พัฒนาเพื่อพร้อมขาย</x:v>
      </x:c>
      <x:c r="E221" s="8" t="str">
        <x:v>ย้ายเป็นสำรอง</x:v>
      </x:c>
      <x:c r="F221" s="8" t="str"/>
      <x:c r="G22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2" ht="65" customHeight="1">
      <x:c r="A222" s="2" t="str">
        <x:v>TMF-389</x:v>
      </x:c>
      <x:c r="B222" s="8" t="str">
        <x:v>กินเส้น @ บายบัง</x:v>
      </x:c>
      <x:c r="C222" s="8" t="str">
        <x:v>ระยอง</x:v>
      </x:c>
      <x:c r="D222" s="8" t="str">
        <x:v>พัฒนาเพื่อพร้อมขาย</x:v>
      </x:c>
      <x:c r="E222" s="8" t="str">
        <x:v>ย้ายเป็นสำรอง</x:v>
      </x:c>
      <x:c r="F222" s="8" t="str"/>
      <x:c r="G22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3" ht="65" customHeight="1">
      <x:c r="A223" s="2" t="str">
        <x:v>TMF-392</x:v>
      </x:c>
      <x:c r="B223" s="8" t="str">
        <x:v>รีเจนท์ ลอด์จ โฮเตล</x:v>
      </x:c>
      <x:c r="C223" s="8" t="str">
        <x:v>ลำปาง</x:v>
      </x:c>
      <x:c r="D223" s="8" t="str">
        <x:v>พัฒนาเพื่อพร้อมขาย</x:v>
      </x:c>
      <x:c r="E223" s="8" t="str">
        <x:v>ย้ายเป็นสำรอง</x:v>
      </x:c>
      <x:c r="F223" s="8" t="str"/>
      <x:c r="G22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4" ht="65" customHeight="1">
      <x:c r="A224" s="2" t="str">
        <x:v>TMF-393</x:v>
      </x:c>
      <x:c r="B224" s="8" t="str">
        <x:v>มัสยิดนูรุลอิสลามสกลนคร</x:v>
      </x:c>
      <x:c r="C224" s="8" t="str">
        <x:v>สกลนคร</x:v>
      </x:c>
      <x:c r="D224" s="8" t="str">
        <x:v>พัฒนาเพื่อพร้อมขาย</x:v>
      </x:c>
      <x:c r="E224" s="8" t="str">
        <x:v>ย้ายเป็นสำรอง</x:v>
      </x:c>
      <x:c r="F224" s="8" t="str"/>
      <x:c r="G22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5" ht="65" customHeight="1">
      <x:c r="A225" s="2" t="str">
        <x:v>TMF-400</x:v>
      </x:c>
      <x:c r="B225" s="8" t="str">
        <x:v>กลิ่นมาลัย</x:v>
      </x:c>
      <x:c r="C225" s="8" t="str">
        <x:v>สมุทรปราการ</x:v>
      </x:c>
      <x:c r="D225" s="8" t="str">
        <x:v>พัฒนาเพื่อพร้อมขาย</x:v>
      </x:c>
      <x:c r="E225" s="8" t="str">
        <x:v>ย้ายเป็นสำรอง</x:v>
      </x:c>
      <x:c r="F225" s="8" t="str"/>
      <x:c r="G22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6" ht="65" customHeight="1">
      <x:c r="A226" s="2" t="str">
        <x:v>TMF-402</x:v>
      </x:c>
      <x:c r="B226" s="8" t="str">
        <x:v>ก๋วยเตี๋ยว อาหารอิสลาม บังจ๋า มาแว้ว</x:v>
      </x:c>
      <x:c r="C226" s="8" t="str">
        <x:v>สมุทรปราการ</x:v>
      </x:c>
      <x:c r="D226" s="8" t="str">
        <x:v>พัฒนาเพื่อพร้อมขาย</x:v>
      </x:c>
      <x:c r="E226" s="8" t="str">
        <x:v>ย้ายเป็นสำรอง</x:v>
      </x:c>
      <x:c r="F226" s="8" t="str"/>
      <x:c r="G22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7" ht="65" customHeight="1">
      <x:c r="A227" s="2" t="str">
        <x:v>TMF-403</x:v>
      </x:c>
      <x:c r="B227" s="8" t="str">
        <x:v>ก๋วยเตี๋ยวซากีนะห์</x:v>
      </x:c>
      <x:c r="C227" s="8" t="str">
        <x:v>สมุทรปราการ</x:v>
      </x:c>
      <x:c r="D227" s="8" t="str">
        <x:v>พัฒนาเพื่อพร้อมขาย</x:v>
      </x:c>
      <x:c r="E227" s="8" t="str">
        <x:v>ย้ายเป็นสำรอง</x:v>
      </x:c>
      <x:c r="F227" s="8" t="str"/>
      <x:c r="G22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8" ht="65" customHeight="1">
      <x:c r="A228" s="2" t="str">
        <x:v>TMF-404</x:v>
      </x:c>
      <x:c r="B228" s="8" t="str">
        <x:v>สถานีโรตี</x:v>
      </x:c>
      <x:c r="C228" s="8" t="str">
        <x:v>สระบุรี</x:v>
      </x:c>
      <x:c r="D228" s="8" t="str">
        <x:v>พัฒนาเพื่อพร้อมขาย</x:v>
      </x:c>
      <x:c r="E228" s="8" t="str">
        <x:v>ย้ายเป็นสำรอง</x:v>
      </x:c>
      <x:c r="F228" s="8" t="str"/>
      <x:c r="G22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29" ht="65" customHeight="1">
      <x:c r="A229" s="2" t="str">
        <x:v>TMF-408</x:v>
      </x:c>
      <x:c r="B229" s="8" t="str">
        <x:v>ก๋วยเตี๋ยวเรือฮาลาลบังหนวด เพชรบุรีซอย7</x:v>
      </x:c>
      <x:c r="C229" s="8" t="str">
        <x:v>กรุงเทพมหานคร</x:v>
      </x:c>
      <x:c r="D229" s="8" t="str">
        <x:v>พัฒนาเพื่อพร้อมขาย</x:v>
      </x:c>
      <x:c r="E229" s="8" t="str">
        <x:v>ย้ายเป็นสำรอง</x:v>
      </x:c>
      <x:c r="F229" s="8" t="str"/>
      <x:c r="G22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0" ht="65" customHeight="1">
      <x:c r="A230" s="2" t="str">
        <x:v>TMF-413</x:v>
      </x:c>
      <x:c r="B230" s="8" t="str">
        <x:v>ครัวจัสมิน</x:v>
      </x:c>
      <x:c r="C230" s="8" t="str">
        <x:v>เชียงราย</x:v>
      </x:c>
      <x:c r="D230" s="8" t="str">
        <x:v>มีศักยภาพ แต่ต้องพัฒนามาตรฐาน</x:v>
      </x:c>
      <x:c r="E230" s="8" t="str">
        <x:v>ย้ายเป็นสำรอง</x:v>
      </x:c>
      <x:c r="F230" s="8" t="str"/>
      <x:c r="G23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1" ht="65" customHeight="1">
      <x:c r="A231" s="2" t="str">
        <x:v>TMF-415</x:v>
      </x:c>
      <x:c r="B231" s="8" t="str">
        <x:v>ฮาลาลเป็ดย่างฮ่องกง แม่สาย</x:v>
      </x:c>
      <x:c r="C231" s="8" t="str">
        <x:v>เชียงราย</x:v>
      </x:c>
      <x:c r="D231" s="8" t="str">
        <x:v>มีศักยภาพ แต่ต้องพัฒนามาตรฐาน</x:v>
      </x:c>
      <x:c r="E231" s="8" t="str">
        <x:v>ย้ายเป็นสำรอง</x:v>
      </x:c>
      <x:c r="F231" s="8" t="str"/>
      <x:c r="G23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2" ht="65" customHeight="1">
      <x:c r="A232" s="2" t="str">
        <x:v>TMF-416</x:v>
      </x:c>
      <x:c r="B232" s="8" t="str">
        <x:v>ฮาเลฟา ฮาลาล เชียงราย</x:v>
      </x:c>
      <x:c r="C232" s="8" t="str">
        <x:v>เชียงราย</x:v>
      </x:c>
      <x:c r="D232" s="8" t="str">
        <x:v>มีศักยภาพ แต่ต้องพัฒนามาตรฐาน</x:v>
      </x:c>
      <x:c r="E232" s="8" t="str">
        <x:v>ย้ายเป็นสำรอง</x:v>
      </x:c>
      <x:c r="F232" s="8" t="str"/>
      <x:c r="G23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3" ht="65" customHeight="1">
      <x:c r="A233" s="2" t="str">
        <x:v>TMF-420</x:v>
      </x:c>
      <x:c r="B233" s="8" t="str">
        <x:v>Halal Street Food จิ้มจุ่ม&amp;ชากา</x:v>
      </x:c>
      <x:c r="C233" s="8" t="str">
        <x:v>พระนครศรีอยุธยา</x:v>
      </x:c>
      <x:c r="D233" s="8" t="str">
        <x:v>มีศักยภาพ แต่ต้องพัฒนามาตรฐาน</x:v>
      </x:c>
      <x:c r="E233" s="8" t="str">
        <x:v>ย้ายเป็นสำรอง</x:v>
      </x:c>
      <x:c r="F233" s="8" t="str"/>
      <x:c r="G23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4" ht="65" customHeight="1">
      <x:c r="A234" s="2" t="str">
        <x:v>TMF-421</x:v>
      </x:c>
      <x:c r="B234" s="8" t="str">
        <x:v>PIZZA HALAL by beedah</x:v>
      </x:c>
      <x:c r="C234" s="8" t="str">
        <x:v>พระนครศรีอยุธยา</x:v>
      </x:c>
      <x:c r="D234" s="8" t="str">
        <x:v>มีศักยภาพ แต่ต้องพัฒนามาตรฐาน</x:v>
      </x:c>
      <x:c r="E234" s="8" t="str">
        <x:v>ย้ายเป็นสำรอง</x:v>
      </x:c>
      <x:c r="F234" s="8" t="str"/>
      <x:c r="G23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5" ht="65" customHeight="1">
      <x:c r="A235" s="2" t="str">
        <x:v>TMF-422</x:v>
      </x:c>
      <x:c r="B235" s="8" t="str">
        <x:v>กะเตี๋ยวยา</x:v>
      </x:c>
      <x:c r="C235" s="8" t="str">
        <x:v>พระนครศรีอยุธยา</x:v>
      </x:c>
      <x:c r="D235" s="8" t="str">
        <x:v>มีศักยภาพ แต่ต้องพัฒนามาตรฐาน</x:v>
      </x:c>
      <x:c r="E235" s="8" t="str">
        <x:v>ย้ายเป็นสำรอง</x:v>
      </x:c>
      <x:c r="F235" s="8" t="str"/>
      <x:c r="G23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6" ht="65" customHeight="1">
      <x:c r="A236" s="2" t="str">
        <x:v>TMF-424</x:v>
      </x:c>
      <x:c r="B236" s="8" t="str">
        <x:v>ข้าวต้มหัวโค้ง Ros Malee</x:v>
      </x:c>
      <x:c r="C236" s="8" t="str">
        <x:v>พระนครศรีอยุธยา</x:v>
      </x:c>
      <x:c r="D236" s="8" t="str">
        <x:v>มีศักยภาพ แต่ต้องพัฒนามาตรฐาน</x:v>
      </x:c>
      <x:c r="E236" s="8" t="str">
        <x:v>ย้ายเป็นสำรอง</x:v>
      </x:c>
      <x:c r="F236" s="8" t="str"/>
      <x:c r="G23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7" ht="65" customHeight="1">
      <x:c r="A237" s="2" t="str">
        <x:v>TMF-425</x:v>
      </x:c>
      <x:c r="B237" s="8" t="str">
        <x:v>ข้าวมันไก่  ข้าวยำไก่แซ่บ ข้าวหมกไก่</x:v>
      </x:c>
      <x:c r="C237" s="8" t="str">
        <x:v>พระนครศรีอยุธยา</x:v>
      </x:c>
      <x:c r="D237" s="8" t="str">
        <x:v>มีศักยภาพ แต่ต้องพัฒนามาตรฐาน</x:v>
      </x:c>
      <x:c r="E237" s="8" t="str">
        <x:v>ย้ายเป็นสำรอง</x:v>
      </x:c>
      <x:c r="F237" s="8" t="str"/>
      <x:c r="G23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8" ht="65" customHeight="1">
      <x:c r="A238" s="2" t="str">
        <x:v>TMF-427</x:v>
      </x:c>
      <x:c r="B238" s="8" t="str">
        <x:v>จูเด๊ะ</x:v>
      </x:c>
      <x:c r="C238" s="8" t="str">
        <x:v>พระนครศรีอยุธยา</x:v>
      </x:c>
      <x:c r="D238" s="8" t="str">
        <x:v>มีศักยภาพ แต่ต้องพัฒนามาตรฐาน</x:v>
      </x:c>
      <x:c r="E238" s="8" t="str">
        <x:v>ย้ายเป็นสำรอง</x:v>
      </x:c>
      <x:c r="F238" s="8" t="str"/>
      <x:c r="G23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39" ht="65" customHeight="1">
      <x:c r="A239" s="2" t="str">
        <x:v>TMF-428</x:v>
      </x:c>
      <x:c r="B239" s="8" t="str">
        <x:v>ซามีมี่ฮาลาล  ซาลาเปา อาหารตามสั่ง</x:v>
      </x:c>
      <x:c r="C239" s="8" t="str">
        <x:v>พระนครศรีอยุธยา</x:v>
      </x:c>
      <x:c r="D239" s="8" t="str">
        <x:v>มีศักยภาพ แต่ต้องพัฒนามาตรฐาน</x:v>
      </x:c>
      <x:c r="E239" s="8" t="str">
        <x:v>ย้ายเป็นสำรอง</x:v>
      </x:c>
      <x:c r="F239" s="8" t="str"/>
      <x:c r="G23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0" ht="65" customHeight="1">
      <x:c r="A240" s="2" t="str">
        <x:v>TMF-429</x:v>
      </x:c>
      <x:c r="B240" s="8" t="str">
        <x:v>ตอฮา 25  อาหารตามสั่ง / หอยกระทะร้อน</x:v>
      </x:c>
      <x:c r="C240" s="8" t="str">
        <x:v>พระนครศรีอยุธยา</x:v>
      </x:c>
      <x:c r="D240" s="8" t="str">
        <x:v>มีศักยภาพ แต่ต้องพัฒนามาตรฐาน</x:v>
      </x:c>
      <x:c r="E240" s="8" t="str">
        <x:v>ย้ายเป็นสำรอง</x:v>
      </x:c>
      <x:c r="F240" s="8" t="str"/>
      <x:c r="G24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1" ht="65" customHeight="1">
      <x:c r="A241" s="2" t="str">
        <x:v>TMF-430</x:v>
      </x:c>
      <x:c r="B241" s="8" t="str">
        <x:v>บังบูบะหมี่เกี๊ยว ฮาลาล</x:v>
      </x:c>
      <x:c r="C241" s="8" t="str">
        <x:v>พระนครศรีอยุธยา</x:v>
      </x:c>
      <x:c r="D241" s="8" t="str">
        <x:v>มีศักยภาพ แต่ต้องพัฒนามาตรฐาน</x:v>
      </x:c>
      <x:c r="E241" s="8" t="str">
        <x:v>ย้ายเป็นสำรอง</x:v>
      </x:c>
      <x:c r="F241" s="8" t="str"/>
      <x:c r="G24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2" ht="65" customHeight="1">
      <x:c r="A242" s="2" t="str">
        <x:v>TMF-431</x:v>
      </x:c>
      <x:c r="B242" s="8" t="str">
        <x:v>บังลิก - ยีเลาะห์ เจ้าเก่า - ร้านอาหารมุสลิม อยุธยา</x:v>
      </x:c>
      <x:c r="C242" s="8" t="str">
        <x:v>พระนครศรีอยุธยา</x:v>
      </x:c>
      <x:c r="D242" s="8" t="str">
        <x:v>มีศักยภาพ แต่ต้องพัฒนามาตรฐาน</x:v>
      </x:c>
      <x:c r="E242" s="8" t="str">
        <x:v>ย้ายเป็นสำรอง</x:v>
      </x:c>
      <x:c r="F242" s="8" t="str"/>
      <x:c r="G24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3" ht="65" customHeight="1">
      <x:c r="A243" s="2" t="str">
        <x:v>TMF-432</x:v>
      </x:c>
      <x:c r="B243" s="8" t="str">
        <x:v>บ้านไวยรูป ขนมอบ</x:v>
      </x:c>
      <x:c r="C243" s="8" t="str">
        <x:v>พระนครศรีอยุธยา</x:v>
      </x:c>
      <x:c r="D243" s="8" t="str">
        <x:v>มีศักยภาพ แต่ต้องพัฒนามาตรฐาน</x:v>
      </x:c>
      <x:c r="E243" s="8" t="str">
        <x:v>ย้ายเป็นสำรอง</x:v>
      </x:c>
      <x:c r="F243" s="8" t="str"/>
      <x:c r="G24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4" ht="65" customHeight="1">
      <x:c r="A244" s="2" t="str">
        <x:v>TMF-433</x:v>
      </x:c>
      <x:c r="B244" s="8" t="str">
        <x:v>ฟาติเมาะฮ์  ก๋วยเตี๋ยว ลูกชิ้นทอด</x:v>
      </x:c>
      <x:c r="C244" s="8" t="str">
        <x:v>พระนครศรีอยุธยา</x:v>
      </x:c>
      <x:c r="D244" s="8" t="str">
        <x:v>มีศักยภาพ แต่ต้องพัฒนามาตรฐาน</x:v>
      </x:c>
      <x:c r="E244" s="8" t="str">
        <x:v>ย้ายเป็นสำรอง</x:v>
      </x:c>
      <x:c r="F244" s="8" t="str"/>
      <x:c r="G24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5" ht="65" customHeight="1">
      <x:c r="A245" s="2" t="str">
        <x:v>TMF-434</x:v>
      </x:c>
      <x:c r="B245" s="8" t="str">
        <x:v>ส้มตำนิดา (อิสลาม-ฮาลาล)</x:v>
      </x:c>
      <x:c r="C245" s="8" t="str">
        <x:v>พระนครศรีอยุธยา</x:v>
      </x:c>
      <x:c r="D245" s="8" t="str">
        <x:v>มีศักยภาพ แต่ต้องพัฒนามาตรฐาน</x:v>
      </x:c>
      <x:c r="E245" s="8" t="str">
        <x:v>ย้ายเป็นสำรอง</x:v>
      </x:c>
      <x:c r="F245" s="8" t="str"/>
      <x:c r="G24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6" ht="65" customHeight="1">
      <x:c r="A246" s="2" t="str">
        <x:v>TMF-435</x:v>
      </x:c>
      <x:c r="B246" s="8" t="str">
        <x:v>อาบีดีน อาหารตามสั่ง</x:v>
      </x:c>
      <x:c r="C246" s="8" t="str">
        <x:v>พระนครศรีอยุธยา</x:v>
      </x:c>
      <x:c r="D246" s="8" t="str">
        <x:v>มีศักยภาพ แต่ต้องพัฒนามาตรฐาน</x:v>
      </x:c>
      <x:c r="E246" s="8" t="str">
        <x:v>ย้ายเป็นสำรอง</x:v>
      </x:c>
      <x:c r="F246" s="8" t="str"/>
      <x:c r="G24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7" ht="65" customHeight="1">
      <x:c r="A247" s="2" t="str">
        <x:v>TMF-436</x:v>
      </x:c>
      <x:c r="B247" s="8" t="str">
        <x:v>อามีนะ ข้าวเหนียวมะม่วง</x:v>
      </x:c>
      <x:c r="C247" s="8" t="str">
        <x:v>พระนครศรีอยุธยา</x:v>
      </x:c>
      <x:c r="D247" s="8" t="str">
        <x:v>มีศักยภาพ แต่ต้องพัฒนามาตรฐาน</x:v>
      </x:c>
      <x:c r="E247" s="8" t="str">
        <x:v>ย้ายเป็นสำรอง</x:v>
      </x:c>
      <x:c r="F247" s="8" t="str"/>
      <x:c r="G24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8" ht="65" customHeight="1">
      <x:c r="A248" s="2" t="str">
        <x:v>TMF-437</x:v>
      </x:c>
      <x:c r="B248" s="8" t="str">
        <x:v>อามีนะห์ก๋วยเตี๋ยวเนื้อริมน้ำ</x:v>
      </x:c>
      <x:c r="C248" s="8" t="str">
        <x:v>พระนครศรีอยุธยา</x:v>
      </x:c>
      <x:c r="D248" s="8" t="str">
        <x:v>มีศักยภาพ แต่ต้องพัฒนามาตรฐาน</x:v>
      </x:c>
      <x:c r="E248" s="8" t="str">
        <x:v>ย้ายเป็นสำรอง</x:v>
      </x:c>
      <x:c r="F248" s="8" t="str"/>
      <x:c r="G24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49" ht="65" customHeight="1">
      <x:c r="A249" s="2" t="str">
        <x:v>TMF-438</x:v>
      </x:c>
      <x:c r="B249" s="8" t="str">
        <x:v>โจ๊กริมน้ำเจ้าพระยา</x:v>
      </x:c>
      <x:c r="C249" s="8" t="str">
        <x:v>พระนครศรีอยุธยา</x:v>
      </x:c>
      <x:c r="D249" s="8" t="str">
        <x:v>มีศักยภาพ แต่ต้องพัฒนามาตรฐาน</x:v>
      </x:c>
      <x:c r="E249" s="8" t="str">
        <x:v>ย้ายเป็นสำรอง</x:v>
      </x:c>
      <x:c r="F249" s="8" t="str"/>
      <x:c r="G24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0" ht="65" customHeight="1">
      <x:c r="A250" s="2" t="str">
        <x:v>TMF-439</x:v>
      </x:c>
      <x:c r="B250" s="8" t="str">
        <x:v>ไมนูเนาห์ ก๋วยเตี๋ยว อาหารตามสั่ง</x:v>
      </x:c>
      <x:c r="C250" s="8" t="str">
        <x:v>พระนครศรีอยุธยา</x:v>
      </x:c>
      <x:c r="D250" s="8" t="str">
        <x:v>มีศักยภาพ แต่ต้องพัฒนามาตรฐาน</x:v>
      </x:c>
      <x:c r="E250" s="8" t="str">
        <x:v>ย้ายเป็นสำรอง</x:v>
      </x:c>
      <x:c r="F250" s="8" t="str"/>
      <x:c r="G25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1" ht="65" customHeight="1">
      <x:c r="A251" s="2" t="str">
        <x:v>TMF-441</x:v>
      </x:c>
      <x:c r="B251" s="8" t="str">
        <x:v>ซาโมซ่าใส้ไก่ ก๊วยเตี๋ยว เย็นตาโฟ โรตี</x:v>
      </x:c>
      <x:c r="C251" s="8" t="str">
        <x:v>กาญจนบุรี</x:v>
      </x:c>
      <x:c r="D251" s="8" t="str">
        <x:v>มีศักยภาพ แต่ต้องพัฒนามาตรฐาน</x:v>
      </x:c>
      <x:c r="E251" s="8" t="str">
        <x:v>ย้ายเป็นสำรอง</x:v>
      </x:c>
      <x:c r="F251" s="8" t="str"/>
      <x:c r="G25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2" ht="65" customHeight="1">
      <x:c r="A252" s="2" t="str">
        <x:v>TMF-448</x:v>
      </x:c>
      <x:c r="B252" s="8" t="str">
        <x:v>เขากาโรส</x:v>
      </x:c>
      <x:c r="C252" s="8" t="str">
        <x:v>กระบี่</x:v>
      </x:c>
      <x:c r="D252" s="8" t="str">
        <x:v>มีศักยภาพ แต่ต้องพัฒนามาตรฐาน</x:v>
      </x:c>
      <x:c r="E252" s="8" t="str">
        <x:v>ย้ายเป็นสำรอง</x:v>
      </x:c>
      <x:c r="F252" s="8" t="str"/>
      <x:c r="G25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3" ht="65" customHeight="1">
      <x:c r="A253" s="2" t="str">
        <x:v>TMF-449</x:v>
      </x:c>
      <x:c r="B253" s="8" t="str">
        <x:v>3Howw Hostel Sukhumvit 21</x:v>
      </x:c>
      <x:c r="C253" s="8" t="str">
        <x:v>กรุงเทพมหานคร</x:v>
      </x:c>
      <x:c r="D253" s="8" t="str">
        <x:v>มีศักยภาพ แต่ต้องพัฒนามาตรฐาน</x:v>
      </x:c>
      <x:c r="E253" s="8" t="str">
        <x:v>ย้ายเป็นสำรอง</x:v>
      </x:c>
      <x:c r="F253" s="8" t="str"/>
      <x:c r="G25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4" ht="65" customHeight="1">
      <x:c r="A254" s="2" t="str">
        <x:v>TMF-450</x:v>
      </x:c>
      <x:c r="B254" s="8" t="str">
        <x:v>63 แบงค็อก โฮสเต็ล</x:v>
      </x:c>
      <x:c r="C254" s="8" t="str">
        <x:v>กรุงเทพมหานคร</x:v>
      </x:c>
      <x:c r="D254" s="8" t="str">
        <x:v>มีศักยภาพ แต่ต้องพัฒนามาตรฐาน</x:v>
      </x:c>
      <x:c r="E254" s="8" t="str">
        <x:v>ย้ายเป็นสำรอง</x:v>
      </x:c>
      <x:c r="F254" s="8" t="str"/>
      <x:c r="G25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5" ht="65" customHeight="1">
      <x:c r="A255" s="2" t="str">
        <x:v>TMF-451</x:v>
      </x:c>
      <x:c r="B255" s="8" t="str">
        <x:v>D&amp;D INN KHAOSAN</x:v>
      </x:c>
      <x:c r="C255" s="8" t="str">
        <x:v>กรุงเทพมหานคร</x:v>
      </x:c>
      <x:c r="D255" s="8" t="str">
        <x:v>มีศักยภาพ แต่ต้องพัฒนามาตรฐาน</x:v>
      </x:c>
      <x:c r="E255" s="8" t="str">
        <x:v>ย้ายเป็นสำรอง</x:v>
      </x:c>
      <x:c r="F255" s="8" t="str"/>
      <x:c r="G25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6" ht="65" customHeight="1">
      <x:c r="A256" s="2" t="str">
        <x:v>TMF-452</x:v>
      </x:c>
      <x:c r="B256" s="8" t="str">
        <x:v>DT Hotel Pratunam (Dream Town Hotel)</x:v>
      </x:c>
      <x:c r="C256" s="8" t="str">
        <x:v>กรุงเทพมหานคร</x:v>
      </x:c>
      <x:c r="D256" s="8" t="str">
        <x:v>มีศักยภาพ แต่ต้องพัฒนามาตรฐาน</x:v>
      </x:c>
      <x:c r="E256" s="8" t="str">
        <x:v>ย้ายเป็นสำรอง</x:v>
      </x:c>
      <x:c r="F256" s="8" t="str"/>
      <x:c r="G25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7" ht="65" customHeight="1">
      <x:c r="A257" s="2" t="str">
        <x:v>TMF-453</x:v>
      </x:c>
      <x:c r="B257" s="8" t="str">
        <x:v>GATEWAY HOTEL PRATUNAM</x:v>
      </x:c>
      <x:c r="C257" s="8" t="str">
        <x:v>กรุงเทพมหานคร</x:v>
      </x:c>
      <x:c r="D257" s="8" t="str">
        <x:v>มีศักยภาพ แต่ต้องพัฒนามาตรฐาน</x:v>
      </x:c>
      <x:c r="E257" s="8" t="str">
        <x:v>ย้ายเป็นสำรอง</x:v>
      </x:c>
      <x:c r="F257" s="8" t="str"/>
      <x:c r="G25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8" ht="65" customHeight="1">
      <x:c r="A258" s="2" t="str">
        <x:v>TMF-454</x:v>
      </x:c>
      <x:c r="B258" s="8" t="str">
        <x:v>GO INN Khaosan Road</x:v>
      </x:c>
      <x:c r="C258" s="8" t="str">
        <x:v>กรุงเทพมหานคร</x:v>
      </x:c>
      <x:c r="D258" s="8" t="str">
        <x:v>มีศักยภาพ แต่ต้องพัฒนามาตรฐาน</x:v>
      </x:c>
      <x:c r="E258" s="8" t="str">
        <x:v>ย้ายเป็นสำรอง</x:v>
      </x:c>
      <x:c r="F258" s="8" t="str"/>
      <x:c r="G25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59" ht="65" customHeight="1">
      <x:c r="A259" s="2" t="str">
        <x:v>TMF-455</x:v>
      </x:c>
      <x:c r="B259" s="8" t="str">
        <x:v>Golden Inn Bangkok</x:v>
      </x:c>
      <x:c r="C259" s="8" t="str">
        <x:v>กรุงเทพมหานคร</x:v>
      </x:c>
      <x:c r="D259" s="8" t="str">
        <x:v>มีศักยภาพ แต่ต้องพัฒนามาตรฐาน</x:v>
      </x:c>
      <x:c r="E259" s="8" t="str">
        <x:v>ย้ายเป็นสำรอง</x:v>
      </x:c>
      <x:c r="F259" s="8" t="str"/>
      <x:c r="G25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0" ht="65" customHeight="1">
      <x:c r="A260" s="2" t="str">
        <x:v>TMF-456</x:v>
      </x:c>
      <x:c r="B260" s="8" t="str">
        <x:v>KC Place Hotel</x:v>
      </x:c>
      <x:c r="C260" s="8" t="str">
        <x:v>กรุงเทพมหานคร</x:v>
      </x:c>
      <x:c r="D260" s="8" t="str">
        <x:v>มีศักยภาพ แต่ต้องพัฒนามาตรฐาน</x:v>
      </x:c>
      <x:c r="E260" s="8" t="str">
        <x:v>ย้ายเป็นสำรอง</x:v>
      </x:c>
      <x:c r="F260" s="8" t="str"/>
      <x:c r="G26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1" ht="65" customHeight="1">
      <x:c r="A261" s="2" t="str">
        <x:v>TMF-457</x:v>
      </x:c>
      <x:c r="B261" s="8" t="str">
        <x:v>Khaosan Palace Hotel</x:v>
      </x:c>
      <x:c r="C261" s="8" t="str">
        <x:v>กรุงเทพมหานคร</x:v>
      </x:c>
      <x:c r="D261" s="8" t="str">
        <x:v>มีศักยภาพ แต่ต้องพัฒนามาตรฐาน</x:v>
      </x:c>
      <x:c r="E261" s="8" t="str">
        <x:v>ย้ายเป็นสำรอง</x:v>
      </x:c>
      <x:c r="F261" s="8" t="str"/>
      <x:c r="G26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2" ht="65" customHeight="1">
      <x:c r="A262" s="2" t="str">
        <x:v>TMF-458</x:v>
      </x:c>
      <x:c r="B262" s="8" t="str">
        <x:v>Luck Hotel Huai Khwang MRT Ratchada</x:v>
      </x:c>
      <x:c r="C262" s="8" t="str">
        <x:v>กรุงเทพมหานคร</x:v>
      </x:c>
      <x:c r="D262" s="8" t="str">
        <x:v>มีศักยภาพ แต่ต้องพัฒนามาตรฐาน</x:v>
      </x:c>
      <x:c r="E262" s="8" t="str">
        <x:v>ย้ายเป็นสำรอง</x:v>
      </x:c>
      <x:c r="F262" s="8" t="str"/>
      <x:c r="G26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3" ht="65" customHeight="1">
      <x:c r="A263" s="2" t="str">
        <x:v>TMF-459</x:v>
      </x:c>
      <x:c r="B263" s="8" t="str">
        <x:v>Mode Sathorn Hotel Bangkok</x:v>
      </x:c>
      <x:c r="C263" s="8" t="str">
        <x:v>กรุงเทพมหานคร</x:v>
      </x:c>
      <x:c r="D263" s="8" t="str">
        <x:v>มีศักยภาพ แต่ต้องพัฒนามาตรฐาน</x:v>
      </x:c>
      <x:c r="E263" s="8" t="str">
        <x:v>ย้ายเป็นสำรอง</x:v>
      </x:c>
      <x:c r="F263" s="8" t="str"/>
      <x:c r="G26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4" ht="65" customHeight="1">
      <x:c r="A264" s="2" t="str">
        <x:v>TMF-460</x:v>
      </x:c>
      <x:c r="B264" s="8" t="str">
        <x:v>My Hotel Ratchada CMYK</x:v>
      </x:c>
      <x:c r="C264" s="8" t="str">
        <x:v>กรุงเทพมหานคร</x:v>
      </x:c>
      <x:c r="D264" s="8" t="str">
        <x:v>มีศักยภาพ แต่ต้องพัฒนามาตรฐาน</x:v>
      </x:c>
      <x:c r="E264" s="8" t="str">
        <x:v>ย้ายเป็นสำรอง</x:v>
      </x:c>
      <x:c r="F264" s="8" t="str"/>
      <x:c r="G26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5" ht="65" customHeight="1">
      <x:c r="A265" s="2" t="str">
        <x:v>TMF-461</x:v>
      </x:c>
      <x:c r="B265" s="8" t="str">
        <x:v>My Hotel ประตูน้ำ</x:v>
      </x:c>
      <x:c r="C265" s="8" t="str">
        <x:v>กรุงเทพมหานคร</x:v>
      </x:c>
      <x:c r="D265" s="8" t="str">
        <x:v>มีศักยภาพ แต่ต้องพัฒนามาตรฐาน</x:v>
      </x:c>
      <x:c r="E265" s="8" t="str">
        <x:v>ย้ายเป็นสำรอง</x:v>
      </x:c>
      <x:c r="F265" s="8" t="str"/>
      <x:c r="G26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6" ht="65" customHeight="1">
      <x:c r="A266" s="2" t="str">
        <x:v>TMF-462</x:v>
      </x:c>
      <x:c r="B266" s="8" t="str">
        <x:v>Pratunam City Inn Hotel</x:v>
      </x:c>
      <x:c r="C266" s="8" t="str">
        <x:v>กรุงเทพมหานคร</x:v>
      </x:c>
      <x:c r="D266" s="8" t="str">
        <x:v>มีศักยภาพ แต่ต้องพัฒนามาตรฐาน</x:v>
      </x:c>
      <x:c r="E266" s="8" t="str">
        <x:v>ย้ายเป็นสำรอง</x:v>
      </x:c>
      <x:c r="F266" s="8" t="str"/>
      <x:c r="G26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7" ht="65" customHeight="1">
      <x:c r="A267" s="2" t="str">
        <x:v>TMF-463</x:v>
      </x:c>
      <x:c r="B267" s="8" t="str">
        <x:v>Public House Sukhumvit 31 Hotel</x:v>
      </x:c>
      <x:c r="C267" s="8" t="str">
        <x:v>กรุงเทพมหานคร</x:v>
      </x:c>
      <x:c r="D267" s="8" t="str">
        <x:v>มีศักยภาพ แต่ต้องพัฒนามาตรฐาน</x:v>
      </x:c>
      <x:c r="E267" s="8" t="str">
        <x:v>ย้ายเป็นสำรอง</x:v>
      </x:c>
      <x:c r="F267" s="8" t="str"/>
      <x:c r="G26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8" ht="65" customHeight="1">
      <x:c r="A268" s="2" t="str">
        <x:v>TMF-464</x:v>
      </x:c>
      <x:c r="B268" s="8" t="str">
        <x:v>RoomQuest Bangkok Sukhumvit 50</x:v>
      </x:c>
      <x:c r="C268" s="8" t="str">
        <x:v>กรุงเทพมหานคร</x:v>
      </x:c>
      <x:c r="D268" s="8" t="str">
        <x:v>มีศักยภาพ แต่ต้องพัฒนามาตรฐาน</x:v>
      </x:c>
      <x:c r="E268" s="8" t="str">
        <x:v>ย้ายเป็นสำรอง</x:v>
      </x:c>
      <x:c r="F268" s="8" t="str"/>
      <x:c r="G26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69" ht="65" customHeight="1">
      <x:c r="A269" s="2" t="str">
        <x:v>TMF-465</x:v>
      </x:c>
      <x:c r="B269" s="8" t="str">
        <x:v>Sleep Withinn Bangkok</x:v>
      </x:c>
      <x:c r="C269" s="8" t="str">
        <x:v>กรุงเทพมหานคร</x:v>
      </x:c>
      <x:c r="D269" s="8" t="str">
        <x:v>มีศักยภาพ แต่ต้องพัฒนามาตรฐาน</x:v>
      </x:c>
      <x:c r="E269" s="8" t="str">
        <x:v>ย้ายเป็นสำรอง</x:v>
      </x:c>
      <x:c r="F269" s="8" t="str"/>
      <x:c r="G26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0" ht="65" customHeight="1">
      <x:c r="A270" s="2" t="str">
        <x:v>TMF-466</x:v>
      </x:c>
      <x:c r="B270" s="8" t="str">
        <x:v>The Quarter Saladaeng by UHG</x:v>
      </x:c>
      <x:c r="C270" s="8" t="str">
        <x:v>กรุงเทพมหานคร</x:v>
      </x:c>
      <x:c r="D270" s="8" t="str">
        <x:v>มีศักยภาพ แต่ต้องพัฒนามาตรฐาน</x:v>
      </x:c>
      <x:c r="E270" s="8" t="str">
        <x:v>ย้ายเป็นสำรอง</x:v>
      </x:c>
      <x:c r="F270" s="8" t="str"/>
      <x:c r="G27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1" ht="65" customHeight="1">
      <x:c r="A271" s="2" t="str">
        <x:v>TMF-467</x:v>
      </x:c>
      <x:c r="B271" s="8" t="str">
        <x:v>Tim Mansion Bangkok Hotel</x:v>
      </x:c>
      <x:c r="C271" s="8" t="str">
        <x:v>กรุงเทพมหานคร</x:v>
      </x:c>
      <x:c r="D271" s="8" t="str">
        <x:v>มีศักยภาพ แต่ต้องพัฒนามาตรฐาน</x:v>
      </x:c>
      <x:c r="E271" s="8" t="str">
        <x:v>ย้ายเป็นสำรอง</x:v>
      </x:c>
      <x:c r="F271" s="8" t="str"/>
      <x:c r="G27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2" ht="65" customHeight="1">
      <x:c r="A272" s="2" t="str">
        <x:v>TMF-468</x:v>
      </x:c>
      <x:c r="B272" s="8" t="str">
        <x:v>Vignette Collection Sindhorn Midtown Hotel Bangkok</x:v>
      </x:c>
      <x:c r="C272" s="8" t="str">
        <x:v>กรุงเทพมหานคร</x:v>
      </x:c>
      <x:c r="D272" s="8" t="str">
        <x:v>มีศักยภาพ แต่ต้องพัฒนามาตรฐาน</x:v>
      </x:c>
      <x:c r="E272" s="8" t="str">
        <x:v>ย้ายเป็นสำรอง</x:v>
      </x:c>
      <x:c r="F272" s="8" t="str"/>
      <x:c r="G27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3" ht="65" customHeight="1">
      <x:c r="A273" s="2" t="str">
        <x:v>TMF-469</x:v>
      </x:c>
      <x:c r="B273" s="8" t="str">
        <x:v>ข้าวสารพาร์ครีสอร์ท</x:v>
      </x:c>
      <x:c r="C273" s="8" t="str">
        <x:v>กรุงเทพมหานคร</x:v>
      </x:c>
      <x:c r="D273" s="8" t="str">
        <x:v>มีศักยภาพ แต่ต้องพัฒนามาตรฐาน</x:v>
      </x:c>
      <x:c r="E273" s="8" t="str">
        <x:v>ย้ายเป็นสำรอง</x:v>
      </x:c>
      <x:c r="F273" s="8" t="str"/>
      <x:c r="G27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4" ht="65" customHeight="1">
      <x:c r="A274" s="2" t="str">
        <x:v>TMF-470</x:v>
      </x:c>
      <x:c r="B274" s="8" t="str">
        <x:v>ควอเทียร์ บาย มอนทราจ สุขุมวิท</x:v>
      </x:c>
      <x:c r="C274" s="8" t="str">
        <x:v>กรุงเทพมหานคร</x:v>
      </x:c>
      <x:c r="D274" s="8" t="str">
        <x:v>มีศักยภาพ แต่ต้องพัฒนามาตรฐาน</x:v>
      </x:c>
      <x:c r="E274" s="8" t="str">
        <x:v>ย้ายเป็นสำรอง</x:v>
      </x:c>
      <x:c r="F274" s="8" t="str"/>
      <x:c r="G27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5" ht="65" customHeight="1">
      <x:c r="A275" s="2" t="str">
        <x:v>TMF-471</x:v>
      </x:c>
      <x:c r="B275" s="8" t="str">
        <x:v>ฌานวิลล่า สุขุมวิท</x:v>
      </x:c>
      <x:c r="C275" s="8" t="str">
        <x:v>กรุงเทพมหานคร</x:v>
      </x:c>
      <x:c r="D275" s="8" t="str">
        <x:v>มีศักยภาพ แต่ต้องพัฒนามาตรฐาน</x:v>
      </x:c>
      <x:c r="E275" s="8" t="str">
        <x:v>ย้ายเป็นสำรอง</x:v>
      </x:c>
      <x:c r="F275" s="8" t="str"/>
      <x:c r="G27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6" ht="65" customHeight="1">
      <x:c r="A276" s="2" t="str">
        <x:v>TMF-472</x:v>
      </x:c>
      <x:c r="B276" s="8" t="str">
        <x:v>นอนเยาวราช</x:v>
      </x:c>
      <x:c r="C276" s="8" t="str">
        <x:v>กรุงเทพมหานคร</x:v>
      </x:c>
      <x:c r="D276" s="8" t="str">
        <x:v>มีศักยภาพ แต่ต้องพัฒนามาตรฐาน</x:v>
      </x:c>
      <x:c r="E276" s="8" t="str">
        <x:v>ย้ายเป็นสำรอง</x:v>
      </x:c>
      <x:c r="F276" s="8" t="str"/>
      <x:c r="G27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7" ht="65" customHeight="1">
      <x:c r="A277" s="2" t="str">
        <x:v>TMF-473</x:v>
      </x:c>
      <x:c r="B277" s="8" t="str">
        <x:v>ฟูราม่า สีลม</x:v>
      </x:c>
      <x:c r="C277" s="8" t="str">
        <x:v>กรุงเทพมหานคร</x:v>
      </x:c>
      <x:c r="D277" s="8" t="str">
        <x:v>มีศักยภาพ แต่ต้องพัฒนามาตรฐาน</x:v>
      </x:c>
      <x:c r="E277" s="8" t="str">
        <x:v>ย้ายเป็นสำรอง</x:v>
      </x:c>
      <x:c r="F277" s="8" t="str"/>
      <x:c r="G27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8" ht="65" customHeight="1">
      <x:c r="A278" s="2" t="str">
        <x:v>TMF-474</x:v>
      </x:c>
      <x:c r="B278" s="8" t="str">
        <x:v>รอยัลวิว รีสอร์ท รางน้ำ</x:v>
      </x:c>
      <x:c r="C278" s="8" t="str">
        <x:v>กรุงเทพมหานคร</x:v>
      </x:c>
      <x:c r="D278" s="8" t="str">
        <x:v>มีศักยภาพ แต่ต้องพัฒนามาตรฐาน</x:v>
      </x:c>
      <x:c r="E278" s="8" t="str">
        <x:v>ย้ายเป็นสำรอง</x:v>
      </x:c>
      <x:c r="F278" s="8" t="str"/>
      <x:c r="G27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79" ht="65" customHeight="1">
      <x:c r="A279" s="2" t="str">
        <x:v>TMF-476</x:v>
      </x:c>
      <x:c r="B279" s="8" t="str">
        <x:v>ลัคกี้เฮ้าส์</x:v>
      </x:c>
      <x:c r="C279" s="8" t="str">
        <x:v>กรุงเทพมหานคร</x:v>
      </x:c>
      <x:c r="D279" s="8" t="str">
        <x:v>มีศักยภาพ แต่ต้องพัฒนามาตรฐาน</x:v>
      </x:c>
      <x:c r="E279" s="8" t="str">
        <x:v>ย้ายเป็นสำรอง</x:v>
      </x:c>
      <x:c r="F279" s="8" t="str"/>
      <x:c r="G27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0" ht="65" customHeight="1">
      <x:c r="A280" s="2" t="str">
        <x:v>TMF-481</x:v>
      </x:c>
      <x:c r="B280" s="8" t="str">
        <x:v>โรงแรม เซนเตอร์ พอยต์ พลัส สีลม</x:v>
      </x:c>
      <x:c r="C280" s="8" t="str">
        <x:v>กรุงเทพมหานคร</x:v>
      </x:c>
      <x:c r="D280" s="8" t="str">
        <x:v>มีศักยภาพ แต่ต้องพัฒนามาตรฐาน</x:v>
      </x:c>
      <x:c r="E280" s="8" t="str">
        <x:v>ย้ายเป็นสำรอง</x:v>
      </x:c>
      <x:c r="F280" s="8" t="str"/>
      <x:c r="G28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1" ht="65" customHeight="1">
      <x:c r="A281" s="2" t="str">
        <x:v>TMF-482</x:v>
      </x:c>
      <x:c r="B281" s="8" t="str">
        <x:v>โรงแรม เดอะ กราวิทิค โฮเทล ข้าวสาร</x:v>
      </x:c>
      <x:c r="C281" s="8" t="str">
        <x:v>กรุงเทพมหานคร</x:v>
      </x:c>
      <x:c r="D281" s="8" t="str">
        <x:v>มีศักยภาพ แต่ต้องพัฒนามาตรฐาน</x:v>
      </x:c>
      <x:c r="E281" s="8" t="str">
        <x:v>ย้ายเป็นสำรอง</x:v>
      </x:c>
      <x:c r="F281" s="8" t="str"/>
      <x:c r="G28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2" ht="65" customHeight="1">
      <x:c r="A282" s="2" t="str">
        <x:v>TMF-488</x:v>
      </x:c>
      <x:c r="B282" s="8" t="str">
        <x:v>โรงแรมรอยัลเอเชียประตูน้ำ</x:v>
      </x:c>
      <x:c r="C282" s="8" t="str">
        <x:v>กรุงเทพมหานคร</x:v>
      </x:c>
      <x:c r="D282" s="8" t="str">
        <x:v>มีศักยภาพ แต่ต้องพัฒนามาตรฐาน</x:v>
      </x:c>
      <x:c r="E282" s="8" t="str">
        <x:v>ย้ายเป็นสำรอง</x:v>
      </x:c>
      <x:c r="F282" s="8" t="str"/>
      <x:c r="G28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3" ht="65" customHeight="1">
      <x:c r="A283" s="2" t="str">
        <x:v>TMF-489</x:v>
      </x:c>
      <x:c r="B283" s="8" t="str">
        <x:v>โรงแรมสีลม ศิรีนทร์</x:v>
      </x:c>
      <x:c r="C283" s="8" t="str">
        <x:v>กรุงเทพมหานคร</x:v>
      </x:c>
      <x:c r="D283" s="8" t="str">
        <x:v>มีศักยภาพ แต่ต้องพัฒนามาตรฐาน</x:v>
      </x:c>
      <x:c r="E283" s="8" t="str">
        <x:v>ย้ายเป็นสำรอง</x:v>
      </x:c>
      <x:c r="F283" s="8" t="str"/>
      <x:c r="G28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4" ht="65" customHeight="1">
      <x:c r="A284" s="2" t="str">
        <x:v>TMF-490</x:v>
      </x:c>
      <x:c r="B284" s="8" t="str">
        <x:v>โรงแรมอาศัย กรุงเทพฯ สาทร</x:v>
      </x:c>
      <x:c r="C284" s="8" t="str">
        <x:v>กรุงเทพมหานคร</x:v>
      </x:c>
      <x:c r="D284" s="8" t="str">
        <x:v>มีศักยภาพ แต่ต้องพัฒนามาตรฐาน</x:v>
      </x:c>
      <x:c r="E284" s="8" t="str">
        <x:v>ย้ายเป็นสำรอง</x:v>
      </x:c>
      <x:c r="F284" s="8" t="str"/>
      <x:c r="G28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5" ht="65" customHeight="1">
      <x:c r="A285" s="2" t="str">
        <x:v>TMF-491</x:v>
      </x:c>
      <x:c r="B285" s="8" t="str">
        <x:v>โรงแรมอโนมา แกรนด์ กรุงเทพฯ</x:v>
      </x:c>
      <x:c r="C285" s="8" t="str">
        <x:v>กรุงเทพมหานคร</x:v>
      </x:c>
      <x:c r="D285" s="8" t="str">
        <x:v>มีศักยภาพ แต่ต้องพัฒนามาตรฐาน</x:v>
      </x:c>
      <x:c r="E285" s="8" t="str">
        <x:v>ย้ายเป็นสำรอง</x:v>
      </x:c>
      <x:c r="F285" s="8" t="str"/>
      <x:c r="G28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6" ht="65" customHeight="1">
      <x:c r="A286" s="2" t="str">
        <x:v>TMF-492</x:v>
      </x:c>
      <x:c r="B286" s="8" t="str">
        <x:v>โรงแรมฮอลิเดย์ อินน์ เอ็กซ์เพรส กรุงเทพ สาทร</x:v>
      </x:c>
      <x:c r="C286" s="8" t="str">
        <x:v>กรุงเทพมหานคร</x:v>
      </x:c>
      <x:c r="D286" s="8" t="str">
        <x:v>มีศักยภาพ แต่ต้องพัฒนามาตรฐาน</x:v>
      </x:c>
      <x:c r="E286" s="8" t="str">
        <x:v>ย้ายเป็นสำรอง</x:v>
      </x:c>
      <x:c r="F286" s="8" t="str"/>
      <x:c r="G28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7" ht="65" customHeight="1">
      <x:c r="A287" s="2" t="str">
        <x:v>TMF-493</x:v>
      </x:c>
      <x:c r="B287" s="8" t="str">
        <x:v>โรงแรมเซ็นเตอร์ พอยต์ พลัส ประตูน้ำ</x:v>
      </x:c>
      <x:c r="C287" s="8" t="str">
        <x:v>กรุงเทพมหานคร</x:v>
      </x:c>
      <x:c r="D287" s="8" t="str">
        <x:v>มีศักยภาพ แต่ต้องพัฒนามาตรฐาน</x:v>
      </x:c>
      <x:c r="E287" s="8" t="str">
        <x:v>ย้ายเป็นสำรอง</x:v>
      </x:c>
      <x:c r="F287" s="8" t="str"/>
      <x:c r="G28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8" ht="65" customHeight="1">
      <x:c r="A288" s="2" t="str">
        <x:v>TMF-494</x:v>
      </x:c>
      <x:c r="B288" s="8" t="str">
        <x:v>โรงแรมเดอะ ควอเตอร์ สีลม บาย ยูเอชจี</x:v>
      </x:c>
      <x:c r="C288" s="8" t="str">
        <x:v>กรุงเทพมหานคร</x:v>
      </x:c>
      <x:c r="D288" s="8" t="str">
        <x:v>มีศักยภาพ แต่ต้องพัฒนามาตรฐาน</x:v>
      </x:c>
      <x:c r="E288" s="8" t="str">
        <x:v>ย้ายเป็นสำรอง</x:v>
      </x:c>
      <x:c r="F288" s="8" t="str"/>
      <x:c r="G28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89" ht="65" customHeight="1">
      <x:c r="A289" s="2" t="str">
        <x:v>TMF-495</x:v>
      </x:c>
      <x:c r="B289" s="8" t="str">
        <x:v>โรงแรมเดอะ เบอร์เคลีย์ ประตูน้ำ</x:v>
      </x:c>
      <x:c r="C289" s="8" t="str">
        <x:v>กรุงเทพมหานคร</x:v>
      </x:c>
      <x:c r="D289" s="8" t="str">
        <x:v>มีศักยภาพ แต่ต้องพัฒนามาตรฐาน</x:v>
      </x:c>
      <x:c r="E289" s="8" t="str">
        <x:v>ย้ายเป็นสำรอง</x:v>
      </x:c>
      <x:c r="F289" s="8" t="str"/>
      <x:c r="G28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0" ht="65" customHeight="1">
      <x:c r="A290" s="2" t="str">
        <x:v>TMF-496</x:v>
      </x:c>
      <x:c r="B290" s="8" t="str">
        <x:v>โรงแรมเลอฟินิกซ์ สุขุมวิท</x:v>
      </x:c>
      <x:c r="C290" s="8" t="str">
        <x:v>กรุงเทพมหานคร</x:v>
      </x:c>
      <x:c r="D290" s="8" t="str">
        <x:v>มีศักยภาพ แต่ต้องพัฒนามาตรฐาน</x:v>
      </x:c>
      <x:c r="E290" s="8" t="str">
        <x:v>ย้ายเป็นสำรอง</x:v>
      </x:c>
      <x:c r="F290" s="8" t="str"/>
      <x:c r="G29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1" ht="65" customHeight="1">
      <x:c r="A291" s="2" t="str">
        <x:v>TMF-497</x:v>
      </x:c>
      <x:c r="B291" s="8" t="str">
        <x:v>โรงแรมโฟร์ซีซั่นส์ กรุงเทพ ริมแม่น้ำเจ้าพระยา</x:v>
      </x:c>
      <x:c r="C291" s="8" t="str">
        <x:v>กรุงเทพมหานคร</x:v>
      </x:c>
      <x:c r="D291" s="8" t="str">
        <x:v>มีศักยภาพ แต่ต้องพัฒนามาตรฐาน</x:v>
      </x:c>
      <x:c r="E291" s="8" t="str">
        <x:v>ย้ายเป็นสำรอง</x:v>
      </x:c>
      <x:c r="F291" s="8" t="str"/>
      <x:c r="G29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2" ht="65" customHeight="1">
      <x:c r="A292" s="2" t="str">
        <x:v>TMF-498</x:v>
      </x:c>
      <x:c r="B292" s="8" t="str">
        <x:v>โรงแรมไชน่าทาวน์</x:v>
      </x:c>
      <x:c r="C292" s="8" t="str">
        <x:v>กรุงเทพมหานคร</x:v>
      </x:c>
      <x:c r="D292" s="8" t="str">
        <x:v>มีศักยภาพ แต่ต้องพัฒนามาตรฐาน</x:v>
      </x:c>
      <x:c r="E292" s="8" t="str">
        <x:v>ย้ายเป็นสำรอง</x:v>
      </x:c>
      <x:c r="F292" s="8" t="str"/>
      <x:c r="G29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3" ht="65" customHeight="1">
      <x:c r="A293" s="2" t="str">
        <x:v>TMF-499</x:v>
      </x:c>
      <x:c r="B293" s="8" t="str">
        <x:v>เอ็มโพเรียม (Emporium)</x:v>
      </x:c>
      <x:c r="C293" s="8" t="str">
        <x:v>กรุงเทพมหานคร</x:v>
      </x:c>
      <x:c r="D293" s="8" t="str">
        <x:v>มีศักยภาพ แต่ต้องพัฒนามาตรฐาน</x:v>
      </x:c>
      <x:c r="E293" s="8" t="str">
        <x:v>ย้ายเป็นสำรอง</x:v>
      </x:c>
      <x:c r="F293" s="8" t="str"/>
      <x:c r="G29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4" ht="65" customHeight="1">
      <x:c r="A294" s="2" t="str">
        <x:v>TMF-501</x:v>
      </x:c>
      <x:c r="B294" s="8" t="str">
        <x:v>เออร์เบินโอเอซิสสปา ทองหล่อ</x:v>
      </x:c>
      <x:c r="C294" s="8" t="str">
        <x:v>กรุงเทพมหานคร</x:v>
      </x:c>
      <x:c r="D294" s="8" t="str">
        <x:v>มีศักยภาพ แต่ต้องพัฒนามาตรฐาน</x:v>
      </x:c>
      <x:c r="E294" s="8" t="str">
        <x:v>ย้ายเป็นสำรอง</x:v>
      </x:c>
      <x:c r="F294" s="8" t="str"/>
      <x:c r="G29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5" ht="65" customHeight="1">
      <x:c r="A295" s="2" t="str">
        <x:v>TMF-502</x:v>
      </x:c>
      <x:c r="B295" s="8" t="str">
        <x:v>โอเอซิสสปา สุขุมวิท 31</x:v>
      </x:c>
      <x:c r="C295" s="8" t="str">
        <x:v>กรุงเทพมหานคร</x:v>
      </x:c>
      <x:c r="D295" s="8" t="str">
        <x:v>มีศักยภาพ แต่ต้องพัฒนามาตรฐาน</x:v>
      </x:c>
      <x:c r="E295" s="8" t="str">
        <x:v>ย้ายเป็นสำรอง</x:v>
      </x:c>
      <x:c r="F295" s="8" t="str"/>
      <x:c r="G29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6" ht="65" customHeight="1">
      <x:c r="A296" s="2" t="str">
        <x:v>TMF-503</x:v>
      </x:c>
      <x:c r="B296" s="8" t="str">
        <x:v>จุดชมวิวทะเลบางขุนเทียน</x:v>
      </x:c>
      <x:c r="C296" s="8" t="str">
        <x:v>กรุงเทพมหานคร</x:v>
      </x:c>
      <x:c r="D296" s="8" t="str">
        <x:v>มีศักยภาพ แต่ต้องพัฒนามาตรฐาน</x:v>
      </x:c>
      <x:c r="E296" s="8" t="str">
        <x:v>ย้ายเป็นสำรอง</x:v>
      </x:c>
      <x:c r="F296" s="8" t="str"/>
      <x:c r="G29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7" ht="65" customHeight="1">
      <x:c r="A297" s="2" t="str">
        <x:v>TMF-504</x:v>
      </x:c>
      <x:c r="B297" s="8" t="str">
        <x:v>ตลาดแหลมทอง</x:v>
      </x:c>
      <x:c r="C297" s="8" t="str">
        <x:v>กรุงเทพมหานคร</x:v>
      </x:c>
      <x:c r="D297" s="8" t="str">
        <x:v>มีศักยภาพ แต่ต้องพัฒนามาตรฐาน</x:v>
      </x:c>
      <x:c r="E297" s="8" t="str">
        <x:v>ย้ายเป็นสำรอง</x:v>
      </x:c>
      <x:c r="F297" s="8" t="str"/>
      <x:c r="G29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8" ht="65" customHeight="1">
      <x:c r="A298" s="2" t="str">
        <x:v>TMF-505</x:v>
      </x:c>
      <x:c r="B298" s="8" t="str">
        <x:v>สวนนวมินทร์ภิรมย์</x:v>
      </x:c>
      <x:c r="C298" s="8" t="str">
        <x:v>กรุงเทพมหานคร</x:v>
      </x:c>
      <x:c r="D298" s="8" t="str">
        <x:v>มีศักยภาพ แต่ต้องพัฒนามาตรฐาน</x:v>
      </x:c>
      <x:c r="E298" s="8" t="str">
        <x:v>ย้ายเป็นสำรอง</x:v>
      </x:c>
      <x:c r="F298" s="8" t="str"/>
      <x:c r="G29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299" ht="65" customHeight="1">
      <x:c r="A299" s="2" t="str">
        <x:v>TMF-507</x:v>
      </x:c>
      <x:c r="B299" s="8" t="str">
        <x:v>สวนลุมพินี</x:v>
      </x:c>
      <x:c r="C299" s="8" t="str">
        <x:v>กรุงเทพมหานคร</x:v>
      </x:c>
      <x:c r="D299" s="8" t="str">
        <x:v>มีศักยภาพ แต่ต้องพัฒนามาตรฐาน</x:v>
      </x:c>
      <x:c r="E299" s="8" t="str">
        <x:v>ย้ายเป็นสำรอง</x:v>
      </x:c>
      <x:c r="F299" s="8" t="str"/>
      <x:c r="G29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0" ht="65" customHeight="1">
      <x:c r="A300" s="2" t="str">
        <x:v>TMF-508</x:v>
      </x:c>
      <x:c r="B300" s="8" t="str">
        <x:v>สวนวชิรเบญจทัศ (สวนรถไฟ)</x:v>
      </x:c>
      <x:c r="C300" s="8" t="str">
        <x:v>กรุงเทพมหานคร</x:v>
      </x:c>
      <x:c r="D300" s="8" t="str">
        <x:v>มีศักยภาพ แต่ต้องพัฒนามาตรฐาน</x:v>
      </x:c>
      <x:c r="E300" s="8" t="str">
        <x:v>ย้ายเป็นสำรอง</x:v>
      </x:c>
      <x:c r="F300" s="8" t="str"/>
      <x:c r="G30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1" ht="65" customHeight="1">
      <x:c r="A301" s="2" t="str">
        <x:v>TMF-509</x:v>
      </x:c>
      <x:c r="B301" s="8" t="str">
        <x:v>สวนวารีภิรมย์</x:v>
      </x:c>
      <x:c r="C301" s="8" t="str">
        <x:v>กรุงเทพมหานคร</x:v>
      </x:c>
      <x:c r="D301" s="8" t="str">
        <x:v>มีศักยภาพ แต่ต้องพัฒนามาตรฐาน</x:v>
      </x:c>
      <x:c r="E301" s="8" t="str">
        <x:v>ย้ายเป็นสำรอง</x:v>
      </x:c>
      <x:c r="F301" s="8" t="str"/>
      <x:c r="G30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2" ht="65" customHeight="1">
      <x:c r="A302" s="2" t="str">
        <x:v>TMF-510</x:v>
      </x:c>
      <x:c r="B302" s="8" t="str">
        <x:v>สวนสันติภาพ</x:v>
      </x:c>
      <x:c r="C302" s="8" t="str">
        <x:v>กรุงเทพมหานคร</x:v>
      </x:c>
      <x:c r="D302" s="8" t="str">
        <x:v>มีศักยภาพ แต่ต้องพัฒนามาตรฐาน</x:v>
      </x:c>
      <x:c r="E302" s="8" t="str">
        <x:v>ย้ายเป็นสำรอง</x:v>
      </x:c>
      <x:c r="F302" s="8" t="str"/>
      <x:c r="G30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3" ht="65" customHeight="1">
      <x:c r="A303" s="2" t="str">
        <x:v>TMF-511</x:v>
      </x:c>
      <x:c r="B303" s="8" t="str">
        <x:v>สวนสาธารณะบึงหนองบอน</x:v>
      </x:c>
      <x:c r="C303" s="8" t="str">
        <x:v>กรุงเทพมหานคร</x:v>
      </x:c>
      <x:c r="D303" s="8" t="str">
        <x:v>มีศักยภาพ แต่ต้องพัฒนามาตรฐาน</x:v>
      </x:c>
      <x:c r="E303" s="8" t="str">
        <x:v>ย้ายเป็นสำรอง</x:v>
      </x:c>
      <x:c r="F303" s="8" t="str"/>
      <x:c r="G30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4" ht="65" customHeight="1">
      <x:c r="A304" s="2" t="str">
        <x:v>TMF-512</x:v>
      </x:c>
      <x:c r="B304" s="8" t="str">
        <x:v>สวนสาธารณะเฉลิมพระเกียรติ 6 รอบฯ</x:v>
      </x:c>
      <x:c r="C304" s="8" t="str">
        <x:v>กรุงเทพมหานคร</x:v>
      </x:c>
      <x:c r="D304" s="8" t="str">
        <x:v>มีศักยภาพ แต่ต้องพัฒนามาตรฐาน</x:v>
      </x:c>
      <x:c r="E304" s="8" t="str">
        <x:v>ย้ายเป็นสำรอง</x:v>
      </x:c>
      <x:c r="F304" s="8" t="str"/>
      <x:c r="G30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5" ht="65" customHeight="1">
      <x:c r="A305" s="2" t="str">
        <x:v>TMF-513</x:v>
      </x:c>
      <x:c r="B305" s="8" t="str">
        <x:v>สวนหลวง ร.9</x:v>
      </x:c>
      <x:c r="C305" s="8" t="str">
        <x:v>กรุงเทพมหานคร</x:v>
      </x:c>
      <x:c r="D305" s="8" t="str">
        <x:v>มีศักยภาพ แต่ต้องพัฒนามาตรฐาน</x:v>
      </x:c>
      <x:c r="E305" s="8" t="str">
        <x:v>ย้ายเป็นสำรอง</x:v>
      </x:c>
      <x:c r="F305" s="8" t="str"/>
      <x:c r="G30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6" ht="65" customHeight="1">
      <x:c r="A306" s="2" t="str">
        <x:v>TMF-514</x:v>
      </x:c>
      <x:c r="B306" s="8" t="str">
        <x:v>จ๊อดแฟร์ รัชดา</x:v>
      </x:c>
      <x:c r="C306" s="8" t="str">
        <x:v>กรุงเทพมหานคร</x:v>
      </x:c>
      <x:c r="D306" s="8" t="str">
        <x:v>มีศักยภาพ แต่ต้องพัฒนามาตรฐาน</x:v>
      </x:c>
      <x:c r="E306" s="8" t="str">
        <x:v>ย้ายเป็นสำรอง</x:v>
      </x:c>
      <x:c r="F306" s="8" t="str"/>
      <x:c r="G30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7" ht="65" customHeight="1">
      <x:c r="A307" s="2" t="str">
        <x:v>TMF-515</x:v>
      </x:c>
      <x:c r="B307" s="8" t="str">
        <x:v>ตลาดกรีนวินเทจ รัชโยธิน</x:v>
      </x:c>
      <x:c r="C307" s="8" t="str">
        <x:v>กรุงเทพมหานคร</x:v>
      </x:c>
      <x:c r="D307" s="8" t="str">
        <x:v>มีศักยภาพ แต่ต้องพัฒนามาตรฐาน</x:v>
      </x:c>
      <x:c r="E307" s="8" t="str">
        <x:v>ย้ายเป็นสำรอง</x:v>
      </x:c>
      <x:c r="F307" s="8" t="str"/>
      <x:c r="G30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8" ht="65" customHeight="1">
      <x:c r="A308" s="2" t="str">
        <x:v>TMF-516</x:v>
      </x:c>
      <x:c r="B308" s="8" t="str">
        <x:v>ตลาดคุ้มเกล้า</x:v>
      </x:c>
      <x:c r="C308" s="8" t="str">
        <x:v>กรุงเทพมหานคร</x:v>
      </x:c>
      <x:c r="D308" s="8" t="str">
        <x:v>มีศักยภาพ แต่ต้องพัฒนามาตรฐาน</x:v>
      </x:c>
      <x:c r="E308" s="8" t="str">
        <x:v>ย้ายเป็นสำรอง</x:v>
      </x:c>
      <x:c r="F308" s="8" t="str"/>
      <x:c r="G30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09" ht="65" customHeight="1">
      <x:c r="A309" s="2" t="str">
        <x:v>TMF-517</x:v>
      </x:c>
      <x:c r="B309" s="8" t="str">
        <x:v>ตลาดนัดกรีนเดย์ไนท์</x:v>
      </x:c>
      <x:c r="C309" s="8" t="str">
        <x:v>กรุงเทพมหานคร</x:v>
      </x:c>
      <x:c r="D309" s="8" t="str">
        <x:v>มีศักยภาพ แต่ต้องพัฒนามาตรฐาน</x:v>
      </x:c>
      <x:c r="E309" s="8" t="str">
        <x:v>ย้ายเป็นสำรอง</x:v>
      </x:c>
      <x:c r="F309" s="8" t="str"/>
      <x:c r="G30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0" ht="65" customHeight="1">
      <x:c r="A310" s="2" t="str">
        <x:v>TMF-518</x:v>
      </x:c>
      <x:c r="B310" s="8" t="str">
        <x:v>ตลาดนัดกลางคืนพัลลาเดียม</x:v>
      </x:c>
      <x:c r="C310" s="8" t="str">
        <x:v>กรุงเทพมหานคร</x:v>
      </x:c>
      <x:c r="D310" s="8" t="str">
        <x:v>มีศักยภาพ แต่ต้องพัฒนามาตรฐาน</x:v>
      </x:c>
      <x:c r="E310" s="8" t="str">
        <x:v>ย้ายเป็นสำรอง</x:v>
      </x:c>
      <x:c r="F310" s="8" t="str"/>
      <x:c r="G31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1" ht="65" customHeight="1">
      <x:c r="A311" s="2" t="str">
        <x:v>TMF-519</x:v>
      </x:c>
      <x:c r="B311" s="8" t="str">
        <x:v>ตลาดนัดลำผักชี</x:v>
      </x:c>
      <x:c r="C311" s="8" t="str">
        <x:v>กรุงเทพมหานคร</x:v>
      </x:c>
      <x:c r="D311" s="8" t="str">
        <x:v>มีศักยภาพ แต่ต้องพัฒนามาตรฐาน</x:v>
      </x:c>
      <x:c r="E311" s="8" t="str">
        <x:v>ย้ายเป็นสำรอง</x:v>
      </x:c>
      <x:c r="F311" s="8" t="str"/>
      <x:c r="G31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2" ht="65" customHeight="1">
      <x:c r="A312" s="2" t="str">
        <x:v>TMF-520</x:v>
      </x:c>
      <x:c r="B312" s="8" t="str">
        <x:v>ตลาดนัดอิสลาม</x:v>
      </x:c>
      <x:c r="C312" s="8" t="str">
        <x:v>กรุงเทพมหานคร</x:v>
      </x:c>
      <x:c r="D312" s="8" t="str">
        <x:v>มีศักยภาพ แต่ต้องพัฒนามาตรฐาน</x:v>
      </x:c>
      <x:c r="E312" s="8" t="str">
        <x:v>ย้ายเป็นสำรอง</x:v>
      </x:c>
      <x:c r="F312" s="8" t="str"/>
      <x:c r="G31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3" ht="65" customHeight="1">
      <x:c r="A313" s="2" t="str">
        <x:v>TMF-521</x:v>
      </x:c>
      <x:c r="B313" s="8" t="str">
        <x:v>ตลาดนานาชาติ</x:v>
      </x:c>
      <x:c r="C313" s="8" t="str">
        <x:v>กรุงเทพมหานคร</x:v>
      </x:c>
      <x:c r="D313" s="8" t="str">
        <x:v>มีศักยภาพ แต่ต้องพัฒนามาตรฐาน</x:v>
      </x:c>
      <x:c r="E313" s="8" t="str">
        <x:v>ย้ายเป็นสำรอง</x:v>
      </x:c>
      <x:c r="F313" s="8" t="str"/>
      <x:c r="G31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4" ht="65" customHeight="1">
      <x:c r="A314" s="2" t="str">
        <x:v>TMF-522</x:v>
      </x:c>
      <x:c r="B314" s="8" t="str">
        <x:v>ตลาดน้ำคลองลัดมะยม</x:v>
      </x:c>
      <x:c r="C314" s="8" t="str">
        <x:v>กรุงเทพมหานคร</x:v>
      </x:c>
      <x:c r="D314" s="8" t="str">
        <x:v>มีศักยภาพ แต่ต้องพัฒนามาตรฐาน</x:v>
      </x:c>
      <x:c r="E314" s="8" t="str">
        <x:v>ย้ายเป็นสำรอง</x:v>
      </x:c>
      <x:c r="F314" s="8" t="str"/>
      <x:c r="G31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5" ht="65" customHeight="1">
      <x:c r="A315" s="2" t="str">
        <x:v>TMF-523</x:v>
      </x:c>
      <x:c r="B315" s="8" t="str">
        <x:v>ตลาดน้ำตลิ่งชัน</x:v>
      </x:c>
      <x:c r="C315" s="8" t="str">
        <x:v>กรุงเทพมหานคร</x:v>
      </x:c>
      <x:c r="D315" s="8" t="str">
        <x:v>มีศักยภาพ แต่ต้องพัฒนามาตรฐาน</x:v>
      </x:c>
      <x:c r="E315" s="8" t="str">
        <x:v>ย้ายเป็นสำรอง</x:v>
      </x:c>
      <x:c r="F315" s="8" t="str"/>
      <x:c r="G31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6" ht="65" customHeight="1">
      <x:c r="A316" s="2" t="str">
        <x:v>TMF-524</x:v>
      </x:c>
      <x:c r="B316" s="8" t="str">
        <x:v>ตลาดน้ำบางคูลัด</x:v>
      </x:c>
      <x:c r="C316" s="8" t="str">
        <x:v>กรุงเทพมหานคร</x:v>
      </x:c>
      <x:c r="D316" s="8" t="str">
        <x:v>มีศักยภาพ แต่ต้องพัฒนามาตรฐาน</x:v>
      </x:c>
      <x:c r="E316" s="8" t="str">
        <x:v>ย้ายเป็นสำรอง</x:v>
      </x:c>
      <x:c r="F316" s="8" t="str"/>
      <x:c r="G31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7" ht="65" customHeight="1">
      <x:c r="A317" s="2" t="str">
        <x:v>TMF-525</x:v>
      </x:c>
      <x:c r="B317" s="8" t="str">
        <x:v>ตลาดน้ำวัดสะพาน ราชพฤกษ์</x:v>
      </x:c>
      <x:c r="C317" s="8" t="str">
        <x:v>กรุงเทพมหานคร</x:v>
      </x:c>
      <x:c r="D317" s="8" t="str">
        <x:v>มีศักยภาพ แต่ต้องพัฒนามาตรฐาน</x:v>
      </x:c>
      <x:c r="E317" s="8" t="str">
        <x:v>ย้ายเป็นสำรอง</x:v>
      </x:c>
      <x:c r="F317" s="8" t="str"/>
      <x:c r="G31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8" ht="65" customHeight="1">
      <x:c r="A318" s="2" t="str">
        <x:v>TMF-526</x:v>
      </x:c>
      <x:c r="B318" s="8" t="str">
        <x:v>ตลาดน้ำสองคลองวัดตลิ่งชัน</x:v>
      </x:c>
      <x:c r="C318" s="8" t="str">
        <x:v>กรุงเทพมหานคร</x:v>
      </x:c>
      <x:c r="D318" s="8" t="str">
        <x:v>มีศักยภาพ แต่ต้องพัฒนามาตรฐาน</x:v>
      </x:c>
      <x:c r="E318" s="8" t="str">
        <x:v>ย้ายเป็นสำรอง</x:v>
      </x:c>
      <x:c r="F318" s="8" t="str"/>
      <x:c r="G31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19" ht="65" customHeight="1">
      <x:c r="A319" s="2" t="str">
        <x:v>TMF-527</x:v>
      </x:c>
      <x:c r="B319" s="8" t="str">
        <x:v>ตลาดมีนบุรี</x:v>
      </x:c>
      <x:c r="C319" s="8" t="str">
        <x:v>กรุงเทพมหานคร</x:v>
      </x:c>
      <x:c r="D319" s="8" t="str">
        <x:v>มีศักยภาพ แต่ต้องพัฒนามาตรฐาน</x:v>
      </x:c>
      <x:c r="E319" s="8" t="str">
        <x:v>ย้ายเป็นสำรอง</x:v>
      </x:c>
      <x:c r="F319" s="8" t="str"/>
      <x:c r="G31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0" ht="65" customHeight="1">
      <x:c r="A320" s="2" t="str">
        <x:v>TMF-528</x:v>
      </x:c>
      <x:c r="B320" s="8" t="str">
        <x:v>ตลาดริมคลอง เจริญกรุง 103</x:v>
      </x:c>
      <x:c r="C320" s="8" t="str">
        <x:v>กรุงเทพมหานคร</x:v>
      </x:c>
      <x:c r="D320" s="8" t="str">
        <x:v>มีศักยภาพ แต่ต้องพัฒนามาตรฐาน</x:v>
      </x:c>
      <x:c r="E320" s="8" t="str">
        <x:v>ย้ายเป็นสำรอง</x:v>
      </x:c>
      <x:c r="F320" s="8" t="str"/>
      <x:c r="G32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1" ht="65" customHeight="1">
      <x:c r="A321" s="2" t="str">
        <x:v>TMF-529</x:v>
      </x:c>
      <x:c r="B321" s="8" t="str">
        <x:v>ตลาดริมน้ำ วัดพระยาสุเรนทร์</x:v>
      </x:c>
      <x:c r="C321" s="8" t="str">
        <x:v>กรุงเทพมหานคร</x:v>
      </x:c>
      <x:c r="D321" s="8" t="str">
        <x:v>มีศักยภาพ แต่ต้องพัฒนามาตรฐาน</x:v>
      </x:c>
      <x:c r="E321" s="8" t="str">
        <x:v>ย้ายเป็นสำรอง</x:v>
      </x:c>
      <x:c r="F321" s="8" t="str"/>
      <x:c r="G32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2" ht="65" customHeight="1">
      <x:c r="A322" s="2" t="str">
        <x:v>TMF-530</x:v>
      </x:c>
      <x:c r="B322" s="8" t="str">
        <x:v>ตลาดหนองจอก</x:v>
      </x:c>
      <x:c r="C322" s="8" t="str">
        <x:v>กรุงเทพมหานคร</x:v>
      </x:c>
      <x:c r="D322" s="8" t="str">
        <x:v>มีศักยภาพ แต่ต้องพัฒนามาตรฐาน</x:v>
      </x:c>
      <x:c r="E322" s="8" t="str">
        <x:v>ย้ายเป็นสำรอง</x:v>
      </x:c>
      <x:c r="F322" s="8" t="str"/>
      <x:c r="G32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3" ht="65" customHeight="1">
      <x:c r="A323" s="2" t="str">
        <x:v>TMF-531</x:v>
      </x:c>
      <x:c r="B323" s="8" t="str">
        <x:v>พิพิธบางลำพู</x:v>
      </x:c>
      <x:c r="C323" s="8" t="str">
        <x:v>กรุงเทพมหานคร</x:v>
      </x:c>
      <x:c r="D323" s="8" t="str">
        <x:v>มีศักยภาพ แต่ต้องพัฒนามาตรฐาน</x:v>
      </x:c>
      <x:c r="E323" s="8" t="str">
        <x:v>ย้ายเป็นสำรอง</x:v>
      </x:c>
      <x:c r="F323" s="8" t="str"/>
      <x:c r="G32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4" ht="65" customHeight="1">
      <x:c r="A324" s="2" t="str">
        <x:v>TMF-532</x:v>
      </x:c>
      <x:c r="B324" s="8" t="str">
        <x:v>พิพิธภัณฑสถานแห่งชาติ พระนคร</x:v>
      </x:c>
      <x:c r="C324" s="8" t="str">
        <x:v>กรุงเทพมหานคร</x:v>
      </x:c>
      <x:c r="D324" s="8" t="str">
        <x:v>มีศักยภาพ แต่ต้องพัฒนามาตรฐาน</x:v>
      </x:c>
      <x:c r="E324" s="8" t="str">
        <x:v>ย้ายเป็นสำรอง</x:v>
      </x:c>
      <x:c r="F324" s="8" t="str"/>
      <x:c r="G32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5" ht="65" customHeight="1">
      <x:c r="A325" s="2" t="str">
        <x:v>TMF-533</x:v>
      </x:c>
      <x:c r="B325" s="8" t="str">
        <x:v>พิพิธภัณฑ์กองทัพอากาศและการบินแห่งชาติ</x:v>
      </x:c>
      <x:c r="C325" s="8" t="str">
        <x:v>กรุงเทพมหานคร</x:v>
      </x:c>
      <x:c r="D325" s="8" t="str">
        <x:v>มีศักยภาพ แต่ต้องพัฒนามาตรฐาน</x:v>
      </x:c>
      <x:c r="E325" s="8" t="str">
        <x:v>ย้ายเป็นสำรอง</x:v>
      </x:c>
      <x:c r="F325" s="8" t="str"/>
      <x:c r="G32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6" ht="65" customHeight="1">
      <x:c r="A326" s="2" t="str">
        <x:v>TMF-534</x:v>
      </x:c>
      <x:c r="B326" s="8" t="str">
        <x:v>พิพิธภัณฑ์ชาวบางกอก</x:v>
      </x:c>
      <x:c r="C326" s="8" t="str">
        <x:v>กรุงเทพมหานคร</x:v>
      </x:c>
      <x:c r="D326" s="8" t="str">
        <x:v>มีศักยภาพ แต่ต้องพัฒนามาตรฐาน</x:v>
      </x:c>
      <x:c r="E326" s="8" t="str">
        <x:v>ย้ายเป็นสำรอง</x:v>
      </x:c>
      <x:c r="F326" s="8" t="str"/>
      <x:c r="G32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7" ht="65" customHeight="1">
      <x:c r="A327" s="2" t="str">
        <x:v>TMF-535</x:v>
      </x:c>
      <x:c r="B327" s="8" t="str">
        <x:v>พิพิธภัณฑ์ผ้าในสมเด็จพระนางเจ้าสิริกิติ์ฯ</x:v>
      </x:c>
      <x:c r="C327" s="8" t="str">
        <x:v>กรุงเทพมหานคร</x:v>
      </x:c>
      <x:c r="D327" s="8" t="str">
        <x:v>มีศักยภาพ แต่ต้องพัฒนามาตรฐาน</x:v>
      </x:c>
      <x:c r="E327" s="8" t="str">
        <x:v>ย้ายเป็นสำรอง</x:v>
      </x:c>
      <x:c r="F327" s="8" t="str"/>
      <x:c r="G32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8" ht="65" customHeight="1">
      <x:c r="A328" s="2" t="str">
        <x:v>TMF-536</x:v>
      </x:c>
      <x:c r="B328" s="8" t="str">
        <x:v>พิพิธภัณฑ์ศิลปะไทยร่วมสมัย (MOCA)</x:v>
      </x:c>
      <x:c r="C328" s="8" t="str">
        <x:v>กรุงเทพมหานคร</x:v>
      </x:c>
      <x:c r="D328" s="8" t="str">
        <x:v>มีศักยภาพ แต่ต้องพัฒนามาตรฐาน</x:v>
      </x:c>
      <x:c r="E328" s="8" t="str">
        <x:v>ย้ายเป็นสำรอง</x:v>
      </x:c>
      <x:c r="F328" s="8" t="str"/>
      <x:c r="G32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29" ht="65" customHeight="1">
      <x:c r="A329" s="2" t="str">
        <x:v>TMF-537</x:v>
      </x:c>
      <x:c r="B329" s="8" t="str">
        <x:v>พิพิธภัณฑ์เด็กกรุงเทพมหานคร แห่งที่ 1 (จตุจักร)</x:v>
      </x:c>
      <x:c r="C329" s="8" t="str">
        <x:v>กรุงเทพมหานคร</x:v>
      </x:c>
      <x:c r="D329" s="8" t="str">
        <x:v>มีศักยภาพ แต่ต้องพัฒนามาตรฐาน</x:v>
      </x:c>
      <x:c r="E329" s="8" t="str">
        <x:v>ย้ายเป็นสำรอง</x:v>
      </x:c>
      <x:c r="F329" s="8" t="str"/>
      <x:c r="G32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0" ht="65" customHeight="1">
      <x:c r="A330" s="2" t="str">
        <x:v>TMF-538</x:v>
      </x:c>
      <x:c r="B330" s="8" t="str">
        <x:v>พิพิธภัณฑ์เหรียญกษาปณานุรักษ์</x:v>
      </x:c>
      <x:c r="C330" s="8" t="str">
        <x:v>กรุงเทพมหานคร</x:v>
      </x:c>
      <x:c r="D330" s="8" t="str">
        <x:v>มีศักยภาพ แต่ต้องพัฒนามาตรฐาน</x:v>
      </x:c>
      <x:c r="E330" s="8" t="str">
        <x:v>ย้ายเป็นสำรอง</x:v>
      </x:c>
      <x:c r="F330" s="8" t="str"/>
      <x:c r="G33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1" ht="65" customHeight="1">
      <x:c r="A331" s="2" t="str">
        <x:v>TMF-539</x:v>
      </x:c>
      <x:c r="B331" s="8" t="str">
        <x:v>ศูนย์การเรียนรู้ ธนาคารแห่งประเทศไทย</x:v>
      </x:c>
      <x:c r="C331" s="8" t="str">
        <x:v>กรุงเทพมหานคร</x:v>
      </x:c>
      <x:c r="D331" s="8" t="str">
        <x:v>มีศักยภาพ แต่ต้องพัฒนามาตรฐาน</x:v>
      </x:c>
      <x:c r="E331" s="8" t="str">
        <x:v>ย้ายเป็นสำรอง</x:v>
      </x:c>
      <x:c r="F331" s="8" t="str"/>
      <x:c r="G33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2" ht="65" customHeight="1">
      <x:c r="A332" s="2" t="str">
        <x:v>TMF-540</x:v>
      </x:c>
      <x:c r="B332" s="8" t="str">
        <x:v>เสาชิงช้า</x:v>
      </x:c>
      <x:c r="C332" s="8" t="str">
        <x:v>กรุงเทพมหานคร</x:v>
      </x:c>
      <x:c r="D332" s="8" t="str">
        <x:v>มีศักยภาพ แต่ต้องพัฒนามาตรฐาน</x:v>
      </x:c>
      <x:c r="E332" s="8" t="str">
        <x:v>ย้ายเป็นสำรอง</x:v>
      </x:c>
      <x:c r="F332" s="8" t="str"/>
      <x:c r="G33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3" ht="65" customHeight="1">
      <x:c r="A333" s="2" t="str">
        <x:v>TMF-541</x:v>
      </x:c>
      <x:c r="B333" s="8" t="str">
        <x:v>Ccไก่กรอบ สาขา บางน้ำเปรี้ยว ฉะเชิงเทรา</x:v>
      </x:c>
      <x:c r="C333" s="8" t="str">
        <x:v>ฉะเชิงเทรา</x:v>
      </x:c>
      <x:c r="D333" s="8" t="str">
        <x:v>มีศักยภาพ แต่ต้องพัฒนามาตรฐาน</x:v>
      </x:c>
      <x:c r="E333" s="8" t="str">
        <x:v>ย้ายเป็นสำรอง</x:v>
      </x:c>
      <x:c r="F333" s="8" t="str"/>
      <x:c r="G33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4" ht="65" customHeight="1">
      <x:c r="A334" s="2" t="str">
        <x:v>TMF-542</x:v>
      </x:c>
      <x:c r="B334" s="8" t="str">
        <x:v>โต๊ะนวย</x:v>
      </x:c>
      <x:c r="C334" s="8" t="str">
        <x:v>ฉะเชิงเทรา</x:v>
      </x:c>
      <x:c r="D334" s="8" t="str">
        <x:v>มีศักยภาพ แต่ต้องพัฒนามาตรฐาน</x:v>
      </x:c>
      <x:c r="E334" s="8" t="str">
        <x:v>ย้ายเป็นสำรอง</x:v>
      </x:c>
      <x:c r="F334" s="8" t="str"/>
      <x:c r="G33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5" ht="65" customHeight="1">
      <x:c r="A335" s="2" t="str">
        <x:v>TMF-543</x:v>
      </x:c>
      <x:c r="B335" s="8" t="str">
        <x:v>p.p.ครัวอิสลาม</x:v>
      </x:c>
      <x:c r="C335" s="8" t="str">
        <x:v>ชลบุรี</x:v>
      </x:c>
      <x:c r="D335" s="8" t="str">
        <x:v>มีศักยภาพ แต่ต้องพัฒนามาตรฐาน</x:v>
      </x:c>
      <x:c r="E335" s="8" t="str">
        <x:v>ย้ายเป็นสำรอง</x:v>
      </x:c>
      <x:c r="F335" s="8" t="str"/>
      <x:c r="G33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6" ht="65" customHeight="1">
      <x:c r="A336" s="2" t="str">
        <x:v>TMF-544</x:v>
      </x:c>
      <x:c r="B336" s="8" t="str">
        <x:v>ครัว อาลี</x:v>
      </x:c>
      <x:c r="C336" s="8" t="str">
        <x:v>ชลบุรี</x:v>
      </x:c>
      <x:c r="D336" s="8" t="str">
        <x:v>มีศักยภาพ แต่ต้องพัฒนามาตรฐาน</x:v>
      </x:c>
      <x:c r="E336" s="8" t="str">
        <x:v>ย้ายเป็นสำรอง</x:v>
      </x:c>
      <x:c r="F336" s="8" t="str"/>
      <x:c r="G33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7" ht="65" customHeight="1">
      <x:c r="A337" s="2" t="str">
        <x:v>TMF-545</x:v>
      </x:c>
      <x:c r="B337" s="8" t="str">
        <x:v>คามิส เซน ฮาลาล เรสเตอรองท์</x:v>
      </x:c>
      <x:c r="C337" s="8" t="str">
        <x:v>ชลบุรี</x:v>
      </x:c>
      <x:c r="D337" s="8" t="str">
        <x:v>มีศักยภาพ แต่ต้องพัฒนามาตรฐาน</x:v>
      </x:c>
      <x:c r="E337" s="8" t="str">
        <x:v>ย้ายเป็นสำรอง</x:v>
      </x:c>
      <x:c r="F337" s="8" t="str"/>
      <x:c r="G33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8" ht="65" customHeight="1">
      <x:c r="A338" s="2" t="str">
        <x:v>TMF-546</x:v>
      </x:c>
      <x:c r="B338" s="8" t="str">
        <x:v>ซีน่าพิซซ่าฮาลาลพัทยา สาขา 1 (สุขุมวิท26/1)</x:v>
      </x:c>
      <x:c r="C338" s="8" t="str">
        <x:v>ชลบุรี</x:v>
      </x:c>
      <x:c r="D338" s="8" t="str">
        <x:v>มีศักยภาพ แต่ต้องพัฒนามาตรฐาน</x:v>
      </x:c>
      <x:c r="E338" s="8" t="str">
        <x:v>ย้ายเป็นสำรอง</x:v>
      </x:c>
      <x:c r="F338" s="8" t="str"/>
      <x:c r="G33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39" ht="65" customHeight="1">
      <x:c r="A339" s="2" t="str">
        <x:v>TMF-547</x:v>
      </x:c>
      <x:c r="B339" s="8" t="str">
        <x:v>โอเอซิสสปา พัทยา จอมเทียน</x:v>
      </x:c>
      <x:c r="C339" s="8" t="str">
        <x:v>ชลบุรี</x:v>
      </x:c>
      <x:c r="D339" s="8" t="str">
        <x:v>มีศักยภาพ แต่ต้องพัฒนามาตรฐาน</x:v>
      </x:c>
      <x:c r="E339" s="8" t="str">
        <x:v>ย้ายเป็นสำรอง</x:v>
      </x:c>
      <x:c r="F339" s="8" t="str"/>
      <x:c r="G33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0" ht="65" customHeight="1">
      <x:c r="A340" s="2" t="str">
        <x:v>TMF-548</x:v>
      </x:c>
      <x:c r="B340" s="8" t="str">
        <x:v>ครัวฟาตีเมาะห์</x:v>
      </x:c>
      <x:c r="C340" s="8" t="str">
        <x:v>ชัยภูมิ</x:v>
      </x:c>
      <x:c r="D340" s="8" t="str">
        <x:v>มีศักยภาพ แต่ต้องพัฒนามาตรฐาน</x:v>
      </x:c>
      <x:c r="E340" s="8" t="str">
        <x:v>ย้ายเป็นสำรอง</x:v>
      </x:c>
      <x:c r="F340" s="8" t="str"/>
      <x:c r="G34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1" ht="65" customHeight="1">
      <x:c r="A341" s="2" t="str">
        <x:v>TMF-549</x:v>
      </x:c>
      <x:c r="B341" s="8" t="str">
        <x:v>อาหารมุสลิมนาป้อ ตรัง</x:v>
      </x:c>
      <x:c r="C341" s="8" t="str">
        <x:v>ตรัง</x:v>
      </x:c>
      <x:c r="D341" s="8" t="str">
        <x:v>มีศักยภาพ แต่ต้องพัฒนามาตรฐาน</x:v>
      </x:c>
      <x:c r="E341" s="8" t="str">
        <x:v>ย้ายเป็นสำรอง</x:v>
      </x:c>
      <x:c r="F341" s="8" t="str"/>
      <x:c r="G34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2" ht="65" customHeight="1">
      <x:c r="A342" s="2" t="str">
        <x:v>TMF-550</x:v>
      </x:c>
      <x:c r="B342" s="8" t="str">
        <x:v>โรตี ยีเลาะฮ์</x:v>
      </x:c>
      <x:c r="C342" s="8" t="str">
        <x:v>ตรัง</x:v>
      </x:c>
      <x:c r="D342" s="8" t="str">
        <x:v>มีศักยภาพ แต่ต้องพัฒนามาตรฐาน</x:v>
      </x:c>
      <x:c r="E342" s="8" t="str">
        <x:v>ย้ายเป็นสำรอง</x:v>
      </x:c>
      <x:c r="F342" s="8" t="str"/>
      <x:c r="G34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3" ht="65" customHeight="1">
      <x:c r="A343" s="2" t="str">
        <x:v>TMF-551</x:v>
      </x:c>
      <x:c r="B343" s="8" t="str">
        <x:v>ชุมชนบ้านธรรมชาติล่าง</x:v>
      </x:c>
      <x:c r="C343" s="8" t="str">
        <x:v>ตราด</x:v>
      </x:c>
      <x:c r="D343" s="8" t="str">
        <x:v>มีศักยภาพ แต่ต้องพัฒนามาตรฐาน</x:v>
      </x:c>
      <x:c r="E343" s="8" t="str">
        <x:v>ย้ายเป็นสำรอง</x:v>
      </x:c>
      <x:c r="F343" s="8" t="str"/>
      <x:c r="G34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4" ht="65" customHeight="1">
      <x:c r="A344" s="2" t="str">
        <x:v>TMF-552</x:v>
      </x:c>
      <x:c r="B344" s="8" t="str">
        <x:v>ครัวมุสลิม ตลาดโต้รุ่ง</x:v>
      </x:c>
      <x:c r="C344" s="8" t="str">
        <x:v>ตราด</x:v>
      </x:c>
      <x:c r="D344" s="8" t="str">
        <x:v>มีศักยภาพ แต่ต้องพัฒนามาตรฐาน</x:v>
      </x:c>
      <x:c r="E344" s="8" t="str">
        <x:v>ย้ายเป็นสำรอง</x:v>
      </x:c>
      <x:c r="F344" s="8" t="str"/>
      <x:c r="G34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5" ht="65" customHeight="1">
      <x:c r="A345" s="2" t="str">
        <x:v>TMF-553</x:v>
      </x:c>
      <x:c r="B345" s="8" t="str">
        <x:v>MAZAH KITCH</x:v>
      </x:c>
      <x:c r="C345" s="8" t="str">
        <x:v>ตาก</x:v>
      </x:c>
      <x:c r="D345" s="8" t="str">
        <x:v>มีศักยภาพ แต่ต้องพัฒนามาตรฐาน</x:v>
      </x:c>
      <x:c r="E345" s="8" t="str">
        <x:v>ย้ายเป็นสำรอง</x:v>
      </x:c>
      <x:c r="F345" s="8" t="str"/>
      <x:c r="G34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6" ht="65" customHeight="1">
      <x:c r="A346" s="2" t="str">
        <x:v>TMF-554</x:v>
      </x:c>
      <x:c r="B346" s="8" t="str">
        <x:v>โรงชานครแม่สอด</x:v>
      </x:c>
      <x:c r="C346" s="8" t="str">
        <x:v>ตาก</x:v>
      </x:c>
      <x:c r="D346" s="8" t="str">
        <x:v>มีศักยภาพ แต่ต้องพัฒนามาตรฐาน</x:v>
      </x:c>
      <x:c r="E346" s="8" t="str">
        <x:v>ย้ายเป็นสำรอง</x:v>
      </x:c>
      <x:c r="F346" s="8" t="str"/>
      <x:c r="G34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7" ht="65" customHeight="1">
      <x:c r="A347" s="2" t="str">
        <x:v>TMF-556</x:v>
      </x:c>
      <x:c r="B347" s="8" t="str">
        <x:v>ร้านฮาลาลตลาดโรงสี หนองเบน</x:v>
      </x:c>
      <x:c r="C347" s="8" t="str">
        <x:v>นครสวรรค์</x:v>
      </x:c>
      <x:c r="D347" s="8" t="str">
        <x:v>มีศักยภาพ แต่ต้องพัฒนามาตรฐาน</x:v>
      </x:c>
      <x:c r="E347" s="8" t="str">
        <x:v>ย้ายเป็นสำรอง</x:v>
      </x:c>
      <x:c r="F347" s="8" t="str"/>
      <x:c r="G34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8" ht="65" customHeight="1">
      <x:c r="A348" s="2" t="str">
        <x:v>TMF-557</x:v>
      </x:c>
      <x:c r="B348" s="8" t="str">
        <x:v>อาหารมุสลิมนครสวรรค์</x:v>
      </x:c>
      <x:c r="C348" s="8" t="str">
        <x:v>นครสวรรค์</x:v>
      </x:c>
      <x:c r="D348" s="8" t="str">
        <x:v>มีศักยภาพ แต่ต้องพัฒนามาตรฐาน</x:v>
      </x:c>
      <x:c r="E348" s="8" t="str">
        <x:v>ย้ายเป็นสำรอง</x:v>
      </x:c>
      <x:c r="F348" s="8" t="str"/>
      <x:c r="G34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49" ht="65" customHeight="1">
      <x:c r="A349" s="2" t="str">
        <x:v>TMF-558</x:v>
      </x:c>
      <x:c r="B349" s="8" t="str">
        <x:v>ก๋วยเตี๋ยวเรืออิสลาม ครัวอารยา ตากใบ</x:v>
      </x:c>
      <x:c r="C349" s="8" t="str">
        <x:v>นราธิวาส</x:v>
      </x:c>
      <x:c r="D349" s="8" t="str">
        <x:v>มีศักยภาพ แต่ต้องพัฒนามาตรฐาน</x:v>
      </x:c>
      <x:c r="E349" s="8" t="str">
        <x:v>ย้ายเป็นสำรอง</x:v>
      </x:c>
      <x:c r="F349" s="8" t="str"/>
      <x:c r="G34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0" ht="65" customHeight="1">
      <x:c r="A350" s="2" t="str">
        <x:v>TMF-560</x:v>
      </x:c>
      <x:c r="B350" s="8" t="str">
        <x:v>พระนครศรีอยุธยาฮาลาล ปราจีนบุรี</x:v>
      </x:c>
      <x:c r="C350" s="8" t="str">
        <x:v>ปราจีนบุรี</x:v>
      </x:c>
      <x:c r="D350" s="8" t="str">
        <x:v>มีศักยภาพ แต่ต้องพัฒนามาตรฐาน</x:v>
      </x:c>
      <x:c r="E350" s="8" t="str">
        <x:v>ย้ายเป็นสำรอง</x:v>
      </x:c>
      <x:c r="F350" s="8" t="str"/>
      <x:c r="G35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1" ht="65" customHeight="1">
      <x:c r="A351" s="2" t="str">
        <x:v>TMF-562</x:v>
      </x:c>
      <x:c r="B351" s="8" t="str">
        <x:v>KITA BUAT DIA</x:v>
      </x:c>
      <x:c r="C351" s="8" t="str">
        <x:v>ปัตตานี</x:v>
      </x:c>
      <x:c r="D351" s="8" t="str">
        <x:v>มีศักยภาพ แต่ต้องพัฒนามาตรฐาน</x:v>
      </x:c>
      <x:c r="E351" s="8" t="str">
        <x:v>ย้ายเป็นสำรอง</x:v>
      </x:c>
      <x:c r="F351" s="8" t="str"/>
      <x:c r="G35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2" ht="65" customHeight="1">
      <x:c r="A352" s="2" t="str">
        <x:v>TMF-565</x:v>
      </x:c>
      <x:c r="B352" s="8" t="str">
        <x:v>ครัวฮาลาลไทย-มาเลย์ ม่อนเงาะ 2</x:v>
      </x:c>
      <x:c r="C352" s="8" t="str">
        <x:v>พะเยา</x:v>
      </x:c>
      <x:c r="D352" s="8" t="str">
        <x:v>มีศักยภาพ แต่ต้องพัฒนามาตรฐาน</x:v>
      </x:c>
      <x:c r="E352" s="8" t="str">
        <x:v>ย้ายเป็นสำรอง</x:v>
      </x:c>
      <x:c r="F352" s="8" t="str"/>
      <x:c r="G35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3" ht="65" customHeight="1">
      <x:c r="A353" s="2" t="str">
        <x:v>TMF-566</x:v>
      </x:c>
      <x:c r="B353" s="8" t="str">
        <x:v>สากีน๊ะ อาหารใต้</x:v>
      </x:c>
      <x:c r="C353" s="8" t="str">
        <x:v>พะเยา</x:v>
      </x:c>
      <x:c r="D353" s="8" t="str">
        <x:v>มีศักยภาพ แต่ต้องพัฒนามาตรฐาน</x:v>
      </x:c>
      <x:c r="E353" s="8" t="str">
        <x:v>ย้ายเป็นสำรอง</x:v>
      </x:c>
      <x:c r="F353" s="8" t="str"/>
      <x:c r="G35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4" ht="65" customHeight="1">
      <x:c r="A354" s="2" t="str">
        <x:v>TMF-570</x:v>
      </x:c>
      <x:c r="B354" s="8" t="str">
        <x:v>Billion food Thai-Indian Restaurant  2</x:v>
      </x:c>
      <x:c r="C354" s="8" t="str">
        <x:v>ภูเก็ต</x:v>
      </x:c>
      <x:c r="D354" s="8" t="str">
        <x:v>มีศักยภาพ แต่ต้องพัฒนามาตรฐาน</x:v>
      </x:c>
      <x:c r="E354" s="8" t="str">
        <x:v>ย้ายเป็นสำรอง</x:v>
      </x:c>
      <x:c r="F354" s="8" t="str"/>
      <x:c r="G35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5" ht="65" customHeight="1">
      <x:c r="A355" s="2" t="str">
        <x:v>TMF-573</x:v>
      </x:c>
      <x:c r="B355" s="8" t="str">
        <x:v>ร้านข้าวแกงฮาริษา Harisa's Curries Rice Factory</x:v>
      </x:c>
      <x:c r="C355" s="8" t="str">
        <x:v>ภูเก็ต</x:v>
      </x:c>
      <x:c r="D355" s="8" t="str">
        <x:v>มีศักยภาพ แต่ต้องพัฒนามาตรฐาน</x:v>
      </x:c>
      <x:c r="E355" s="8" t="str">
        <x:v>ย้ายเป็นสำรอง</x:v>
      </x:c>
      <x:c r="F355" s="8" t="str"/>
      <x:c r="G35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6" ht="65" customHeight="1">
      <x:c r="A356" s="2" t="str">
        <x:v>TMF-580</x:v>
      </x:c>
      <x:c r="B356" s="8" t="str">
        <x:v>ไก่หมุนหมักน้ำผึ้ง</x:v>
      </x:c>
      <x:c r="C356" s="8" t="str">
        <x:v>ระนอง</x:v>
      </x:c>
      <x:c r="D356" s="8" t="str">
        <x:v>มีศักยภาพ แต่ต้องพัฒนามาตรฐาน</x:v>
      </x:c>
      <x:c r="E356" s="8" t="str">
        <x:v>ย้ายเป็นสำรอง</x:v>
      </x:c>
      <x:c r="F356" s="8" t="str"/>
      <x:c r="G35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7" ht="65" customHeight="1">
      <x:c r="A357" s="2" t="str">
        <x:v>TMF-581</x:v>
      </x:c>
      <x:c r="B357" s="8" t="str">
        <x:v>ไพจิตร์ก๋วยเตี๋ยวเนื้อ</x:v>
      </x:c>
      <x:c r="C357" s="8" t="str">
        <x:v>สงขลา</x:v>
      </x:c>
      <x:c r="D357" s="8" t="str">
        <x:v>มีศักยภาพ แต่ต้องพัฒนามาตรฐาน</x:v>
      </x:c>
      <x:c r="E357" s="8" t="str">
        <x:v>ย้ายเป็นสำรอง</x:v>
      </x:c>
      <x:c r="F357" s="8" t="str"/>
      <x:c r="G35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8" ht="65" customHeight="1">
      <x:c r="A358" s="2" t="str">
        <x:v>TMF-582</x:v>
      </x:c>
      <x:c r="B358" s="8" t="str">
        <x:v>ตลาดน้ำชุมชนวัดศรีวารีน้อย</x:v>
      </x:c>
      <x:c r="C358" s="8" t="str">
        <x:v>สมุทรปราการ</x:v>
      </x:c>
      <x:c r="D358" s="8" t="str">
        <x:v>มีศักยภาพ แต่ต้องพัฒนามาตรฐาน</x:v>
      </x:c>
      <x:c r="E358" s="8" t="str">
        <x:v>ย้ายเป็นสำรอง</x:v>
      </x:c>
      <x:c r="F358" s="8" t="str"/>
      <x:c r="G35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59" ht="65" customHeight="1">
      <x:c r="A359" s="2" t="str">
        <x:v>TMF-583</x:v>
      </x:c>
      <x:c r="B359" s="8" t="str">
        <x:v>ฮกฮวดอาหารอิสลามแม่กลอง ฮาลาลฟู้ด</x:v>
      </x:c>
      <x:c r="C359" s="8" t="str">
        <x:v>สมุทรสงคราม</x:v>
      </x:c>
      <x:c r="D359" s="8" t="str">
        <x:v>มีศักยภาพ แต่ต้องพัฒนามาตรฐาน</x:v>
      </x:c>
      <x:c r="E359" s="8" t="str">
        <x:v>ย้ายเป็นสำรอง</x:v>
      </x:c>
      <x:c r="F359" s="8" t="str"/>
      <x:c r="G35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0" ht="65" customHeight="1">
      <x:c r="A360" s="2" t="str">
        <x:v>TMF-584</x:v>
      </x:c>
      <x:c r="B360" s="8" t="str">
        <x:v>ไก่ทอดอารีฟหาดใหญ่</x:v>
      </x:c>
      <x:c r="C360" s="8" t="str">
        <x:v>สมุทรสาคร</x:v>
      </x:c>
      <x:c r="D360" s="8" t="str">
        <x:v>มีศักยภาพ แต่ต้องพัฒนามาตรฐาน</x:v>
      </x:c>
      <x:c r="E360" s="8" t="str">
        <x:v>ย้ายเป็นสำรอง</x:v>
      </x:c>
      <x:c r="F360" s="8" t="str"/>
      <x:c r="G36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1" ht="65" customHeight="1">
      <x:c r="A361" s="2" t="str">
        <x:v>TMF-585</x:v>
      </x:c>
      <x:c r="B361" s="8" t="str">
        <x:v>ชุมชนบ้านพุแค</x:v>
      </x:c>
      <x:c r="C361" s="8" t="str">
        <x:v>สระบุรี</x:v>
      </x:c>
      <x:c r="D361" s="8" t="str">
        <x:v>มีศักยภาพ แต่ต้องพัฒนามาตรฐาน</x:v>
      </x:c>
      <x:c r="E361" s="8" t="str">
        <x:v>ย้ายเป็นสำรอง</x:v>
      </x:c>
      <x:c r="F361" s="8" t="str"/>
      <x:c r="G36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2" ht="65" customHeight="1">
      <x:c r="A362" s="2" t="str">
        <x:v>TMF-586</x:v>
      </x:c>
      <x:c r="B362" s="8" t="str">
        <x:v>ชุมชนท่าชัย</x:v>
      </x:c>
      <x:c r="C362" s="8" t="str">
        <x:v>สุโขทัย</x:v>
      </x:c>
      <x:c r="D362" s="8" t="str">
        <x:v>มีศักยภาพ แต่ต้องพัฒนามาตรฐาน</x:v>
      </x:c>
      <x:c r="E362" s="8" t="str">
        <x:v>ย้ายเป็นสำรอง</x:v>
      </x:c>
      <x:c r="F362" s="8" t="str"/>
      <x:c r="G362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3" ht="65" customHeight="1">
      <x:c r="A363" s="2" t="str">
        <x:v>TMF-587</x:v>
      </x:c>
      <x:c r="B363" s="8" t="str">
        <x:v>ชุมชนบ้านเดื่อ</x:v>
      </x:c>
      <x:c r="C363" s="8" t="str">
        <x:v>หนองคาย</x:v>
      </x:c>
      <x:c r="D363" s="8" t="str">
        <x:v>มีศักยภาพ แต่ต้องพัฒนามาตรฐาน</x:v>
      </x:c>
      <x:c r="E363" s="8" t="str">
        <x:v>ย้ายเป็นสำรอง</x:v>
      </x:c>
      <x:c r="F363" s="8" t="str"/>
      <x:c r="G363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4" ht="65" customHeight="1">
      <x:c r="A364" s="2" t="str">
        <x:v>TMF-588</x:v>
      </x:c>
      <x:c r="B364" s="8" t="str">
        <x:v>ไก่ย่างจีระพันธ์ ปตท.โนนสะอาด(ขาเข้า) จ.อุดรธานี</x:v>
      </x:c>
      <x:c r="C364" s="8" t="str">
        <x:v>อุดรธานี</x:v>
      </x:c>
      <x:c r="D364" s="8" t="str">
        <x:v>มีศักยภาพ แต่ต้องพัฒนามาตรฐาน</x:v>
      </x:c>
      <x:c r="E364" s="8" t="str">
        <x:v>ย้ายเป็นสำรอง</x:v>
      </x:c>
      <x:c r="F364" s="8" t="str"/>
      <x:c r="G364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5" ht="65" customHeight="1">
      <x:c r="A365" s="2" t="str">
        <x:v>TMF-589</x:v>
      </x:c>
      <x:c r="B365" s="8" t="str">
        <x:v>ก๋วยเตี๋ยวเรือฮาลาลอาหารตามสั่ง Byม๊ะเกมส์</x:v>
      </x:c>
      <x:c r="C365" s="8" t="str">
        <x:v>อ่างทอง</x:v>
      </x:c>
      <x:c r="D365" s="8" t="str">
        <x:v>มีศักยภาพ แต่ต้องพัฒนามาตรฐาน</x:v>
      </x:c>
      <x:c r="E365" s="8" t="str">
        <x:v>ย้ายเป็นสำรอง</x:v>
      </x:c>
      <x:c r="F365" s="8" t="str"/>
      <x:c r="G365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6" ht="65" customHeight="1">
      <x:c r="A366" s="2" t="str">
        <x:v>TMF-590</x:v>
      </x:c>
      <x:c r="B366" s="8" t="str">
        <x:v>ไก่ทอดใบคานอิสลามหาดใหญ่</x:v>
      </x:c>
      <x:c r="C366" s="8" t="str">
        <x:v>กรุงเทพมหานคร</x:v>
      </x:c>
      <x:c r="D366" s="8" t="str">
        <x:v>มีศักยภาพ แต่ต้องพัฒนามาตรฐาน</x:v>
      </x:c>
      <x:c r="E366" s="8" t="str">
        <x:v>ย้ายเป็นสำรอง</x:v>
      </x:c>
      <x:c r="F366" s="8" t="str"/>
      <x:c r="G366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7" ht="65" customHeight="1">
      <x:c r="A367" s="2" t="str">
        <x:v>TMF-592</x:v>
      </x:c>
      <x:c r="B367" s="8" t="str">
        <x:v>Aunt Nan Halal Khanom Jeen</x:v>
      </x:c>
      <x:c r="C367" s="8" t="str">
        <x:v>เชียงใหม่</x:v>
      </x:c>
      <x:c r="D367" s="8" t="str">
        <x:v>มีศักยภาพ แต่ต้องพัฒนามาตรฐาน</x:v>
      </x:c>
      <x:c r="E367" s="8" t="str">
        <x:v>ย้ายเป็นสำรอง</x:v>
      </x:c>
      <x:c r="F367" s="8" t="str"/>
      <x:c r="G367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8" ht="65" customHeight="1">
      <x:c r="A368" s="2" t="str">
        <x:v>TMF-596</x:v>
      </x:c>
      <x:c r="B368" s="8" t="str">
        <x:v>ครัวอามีนะห์ (เจ๊มุ้ย) เพชรบูรณ์</x:v>
      </x:c>
      <x:c r="C368" s="8" t="str">
        <x:v>เพชรบูรณ์</x:v>
      </x:c>
      <x:c r="D368" s="8" t="str">
        <x:v>มีศักยภาพ แต่ต้องพัฒนามาตรฐาน</x:v>
      </x:c>
      <x:c r="E368" s="8" t="str">
        <x:v>ย้ายเป็นสำรอง</x:v>
      </x:c>
      <x:c r="F368" s="8" t="str"/>
      <x:c r="G368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69" ht="65" customHeight="1">
      <x:c r="A369" s="2" t="str">
        <x:v>TMF-597</x:v>
      </x:c>
      <x:c r="B369" s="8" t="str">
        <x:v>AZIZ halal bread สุขุมวิท 49/14</x:v>
      </x:c>
      <x:c r="C369" s="8" t="str">
        <x:v>กรุงเทพมหานคร</x:v>
      </x:c>
      <x:c r="D369" s="8" t="str">
        <x:v>มีศักยภาพ แต่ต้องพัฒนามาตรฐาน</x:v>
      </x:c>
      <x:c r="E369" s="8" t="str">
        <x:v>ย้ายเป็นสำรอง</x:v>
      </x:c>
      <x:c r="F369" s="8" t="str"/>
      <x:c r="G369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70" ht="65" customHeight="1">
      <x:c r="A370" s="2" t="str">
        <x:v>TMF-599</x:v>
      </x:c>
      <x:c r="B370" s="8" t="str">
        <x:v>บัง ปัง ปาย</x:v>
      </x:c>
      <x:c r="C370" s="8" t="str">
        <x:v>แม่ฮ่องสอน</x:v>
      </x:c>
      <x:c r="D370" s="8" t="str">
        <x:v>มีศักยภาพ แต่ต้องพัฒนามาตรฐาน</x:v>
      </x:c>
      <x:c r="E370" s="8" t="str">
        <x:v>ย้ายเป็นสำรอง</x:v>
      </x:c>
      <x:c r="F370" s="8" t="str"/>
      <x:c r="G370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71" ht="65" customHeight="1">
      <x:c r="A371" s="2" t="str">
        <x:v>TMF-600</x:v>
      </x:c>
      <x:c r="B371" s="8" t="str">
        <x:v>สบายดีเฮ้าส์ แอทปาย</x:v>
      </x:c>
      <x:c r="C371" s="8" t="str">
        <x:v>แม่ฮ่องสอน</x:v>
      </x:c>
      <x:c r="D371" s="8" t="str">
        <x:v>มีศักยภาพ แต่ต้องพัฒนามาตรฐาน</x:v>
      </x:c>
      <x:c r="E371" s="8" t="str">
        <x:v>ย้ายเป็นสำรอง</x:v>
      </x:c>
      <x:c r="F371" s="8" t="str"/>
      <x:c r="G371" s="8" t="str">
        <x:v>ปรับสัดส่วนประเภทและพื้นที่ตาม 10 เส้นทางและบรีฟ ไม่ใช่การตัดสินว่าปิดหรือไม่ผ่าน</x:v>
      </x:c>
    </x:row>
    <x:row r="372" ht="65" customHeight="1">
      <x:c r="A372" s="2" t="str">
        <x:v>R26-007</x:v>
      </x:c>
      <x:c r="B372" s="8" t="str">
        <x:v>มัสยิดอันซอรี</x:v>
      </x:c>
      <x:c r="C372" s="8" t="str">
        <x:v>ลำพูน</x:v>
      </x:c>
      <x:c r="D372" s="8" t="str"/>
      <x:c r="E372" s="8" t="str">
        <x:v>เพิ่มเข้าชุด 600</x:v>
      </x:c>
      <x:c r="F372" s="8" t="str">
        <x:v>R26-007</x:v>
      </x:c>
      <x:c r="G372" s="8" t="str">
        <x:v>จุดในเอกสาร 10 เส้นทาง</x:v>
      </x:c>
    </x:row>
    <x:row r="373" ht="65" customHeight="1">
      <x:c r="A373" s="2" t="str">
        <x:v>R26-009</x:v>
      </x:c>
      <x:c r="B373" s="8" t="str">
        <x:v>เมืองเก่าลำพูน</x:v>
      </x:c>
      <x:c r="C373" s="8" t="str">
        <x:v>ลำพูน</x:v>
      </x:c>
      <x:c r="D373" s="8" t="str"/>
      <x:c r="E373" s="8" t="str">
        <x:v>เพิ่มเข้าชุด 600</x:v>
      </x:c>
      <x:c r="F373" s="8" t="str">
        <x:v>R26-009</x:v>
      </x:c>
      <x:c r="G373" s="8" t="str">
        <x:v>จุดในเอกสาร 10 เส้นทาง</x:v>
      </x:c>
    </x:row>
    <x:row r="374" ht="65" customHeight="1">
      <x:c r="A374" s="2" t="str">
        <x:v>R26-366</x:v>
      </x:c>
      <x:c r="B374" s="8" t="str">
        <x:v>Easy Hotel Lamphun</x:v>
      </x:c>
      <x:c r="C374" s="8" t="str">
        <x:v>ลำพูน</x:v>
      </x:c>
      <x:c r="D374" s="8" t="str"/>
      <x:c r="E374" s="8" t="str">
        <x:v>เพิ่มเข้าชุด 600</x:v>
      </x:c>
      <x:c r="F374" s="8" t="str">
        <x:v>R26-366</x:v>
      </x:c>
      <x:c r="G374" s="8" t="str">
        <x:v>เติมประเภทและพื้นที่ตามบรีฟ</x:v>
      </x:c>
    </x:row>
    <x:row r="375" ht="65" customHeight="1">
      <x:c r="A375" s="2" t="str">
        <x:v>R26-365</x:v>
      </x:c>
      <x:c r="B375" s="8" t="str">
        <x:v>Grand PA Hotel Resort Lamphun</x:v>
      </x:c>
      <x:c r="C375" s="8" t="str">
        <x:v>ลำพูน</x:v>
      </x:c>
      <x:c r="D375" s="8" t="str"/>
      <x:c r="E375" s="8" t="str">
        <x:v>เพิ่มเข้าชุด 600</x:v>
      </x:c>
      <x:c r="F375" s="8" t="str">
        <x:v>R26-365</x:v>
      </x:c>
      <x:c r="G375" s="8" t="str">
        <x:v>เติมประเภทและพื้นที่ตามบรีฟ</x:v>
      </x:c>
    </x:row>
    <x:row r="376" ht="65" customHeight="1">
      <x:c r="A376" s="2" t="str">
        <x:v>R26-118</x:v>
      </x:c>
      <x:c r="B376" s="8" t="str">
        <x:v>น้ำตกก้อหลวง</x:v>
      </x:c>
      <x:c r="C376" s="8" t="str">
        <x:v>ลำพูน</x:v>
      </x:c>
      <x:c r="D376" s="8" t="str"/>
      <x:c r="E376" s="8" t="str">
        <x:v>เพิ่มเข้าชุด 600</x:v>
      </x:c>
      <x:c r="F376" s="8" t="str">
        <x:v>R26-118</x:v>
      </x:c>
      <x:c r="G376" s="8" t="str">
        <x:v>เติมประเภทและพื้นที่ตามบรีฟ</x:v>
      </x:c>
    </x:row>
    <x:row r="377" ht="65" customHeight="1">
      <x:c r="A377" s="2" t="str">
        <x:v>R26-117</x:v>
      </x:c>
      <x:c r="B377" s="8" t="str">
        <x:v>อุทยานแห่งชาติแม่ปิง</x:v>
      </x:c>
      <x:c r="C377" s="8" t="str">
        <x:v>ลำพูน</x:v>
      </x:c>
      <x:c r="D377" s="8" t="str"/>
      <x:c r="E377" s="8" t="str">
        <x:v>เพิ่มเข้าชุด 600</x:v>
      </x:c>
      <x:c r="F377" s="8" t="str">
        <x:v>R26-117</x:v>
      </x:c>
      <x:c r="G377" s="8" t="str">
        <x:v>เติมประเภทและพื้นที่ตามบรีฟ</x:v>
      </x:c>
    </x:row>
    <x:row r="378" ht="65" customHeight="1">
      <x:c r="A378" s="2" t="str">
        <x:v>R26-119</x:v>
      </x:c>
      <x:c r="B378" s="8" t="str">
        <x:v>ชุมชนบ้านดอนหลวง</x:v>
      </x:c>
      <x:c r="C378" s="8" t="str">
        <x:v>ลำพูน</x:v>
      </x:c>
      <x:c r="D378" s="8" t="str"/>
      <x:c r="E378" s="8" t="str">
        <x:v>เพิ่มเข้าชุด 600</x:v>
      </x:c>
      <x:c r="F378" s="8" t="str">
        <x:v>R26-119</x:v>
      </x:c>
      <x:c r="G378" s="8" t="str">
        <x:v>เติมประเภทและพื้นที่ตามบรีฟ</x:v>
      </x:c>
    </x:row>
    <x:row r="379" ht="65" customHeight="1">
      <x:c r="A379" s="2" t="str">
        <x:v>R26-120</x:v>
      </x:c>
      <x:c r="B379" s="8" t="str">
        <x:v>ชุมชนบ้านหนองเงือก</x:v>
      </x:c>
      <x:c r="C379" s="8" t="str">
        <x:v>ลำพูน</x:v>
      </x:c>
      <x:c r="D379" s="8" t="str"/>
      <x:c r="E379" s="8" t="str">
        <x:v>เพิ่มเข้าชุด 600</x:v>
      </x:c>
      <x:c r="F379" s="8" t="str">
        <x:v>R26-120</x:v>
      </x:c>
      <x:c r="G379" s="8" t="str">
        <x:v>เติมประเภทและพื้นที่ตามบรีฟ</x:v>
      </x:c>
    </x:row>
    <x:row r="380" ht="65" customHeight="1">
      <x:c r="A380" s="2" t="str">
        <x:v>R26-003</x:v>
      </x:c>
      <x:c r="B380" s="8" t="str">
        <x:v>ฮาบิ๊บ อาหารยูนนาน</x:v>
      </x:c>
      <x:c r="C380" s="8" t="str">
        <x:v>เชียงใหม่</x:v>
      </x:c>
      <x:c r="D380" s="8" t="str"/>
      <x:c r="E380" s="8" t="str">
        <x:v>เพิ่มเข้าชุด 600</x:v>
      </x:c>
      <x:c r="F380" s="8" t="str">
        <x:v>R26-003</x:v>
      </x:c>
      <x:c r="G380" s="8" t="str">
        <x:v>จุดในเอกสาร 10 เส้นทาง</x:v>
      </x:c>
    </x:row>
    <x:row r="381" ht="65" customHeight="1">
      <x:c r="A381" s="2" t="str">
        <x:v>R26-005</x:v>
      </x:c>
      <x:c r="B381" s="8" t="str">
        <x:v>ถนนคนเดินท่าแพ</x:v>
      </x:c>
      <x:c r="C381" s="8" t="str">
        <x:v>เชียงใหม่</x:v>
      </x:c>
      <x:c r="D381" s="8" t="str"/>
      <x:c r="E381" s="8" t="str">
        <x:v>เพิ่มเข้าชุด 600</x:v>
      </x:c>
      <x:c r="F381" s="8" t="str">
        <x:v>R26-005</x:v>
      </x:c>
      <x:c r="G381" s="8" t="str">
        <x:v>จุดในเอกสาร 10 เส้นทาง</x:v>
      </x:c>
    </x:row>
    <x:row r="382" ht="65" customHeight="1">
      <x:c r="A382" s="2" t="str">
        <x:v>R26-004</x:v>
      </x:c>
      <x:c r="B382" s="8" t="str">
        <x:v>มัสยิดช้างเผือก</x:v>
      </x:c>
      <x:c r="C382" s="8" t="str">
        <x:v>เชียงใหม่</x:v>
      </x:c>
      <x:c r="D382" s="8" t="str"/>
      <x:c r="E382" s="8" t="str">
        <x:v>เพิ่มเข้าชุด 600</x:v>
      </x:c>
      <x:c r="F382" s="8" t="str">
        <x:v>R26-004</x:v>
      </x:c>
      <x:c r="G382" s="8" t="str">
        <x:v>จุดในเอกสาร 10 เส้นทาง</x:v>
      </x:c>
    </x:row>
    <x:row r="383" ht="65" customHeight="1">
      <x:c r="A383" s="2" t="str">
        <x:v>R26-002</x:v>
      </x:c>
      <x:c r="B383" s="8" t="str">
        <x:v>มัสยิดเฮดายาตุลอิสลาม บ้านฮ่อ</x:v>
      </x:c>
      <x:c r="C383" s="8" t="str">
        <x:v>เชียงใหม่</x:v>
      </x:c>
      <x:c r="D383" s="8" t="str"/>
      <x:c r="E383" s="8" t="str">
        <x:v>เพิ่มเข้าชุด 600</x:v>
      </x:c>
      <x:c r="F383" s="8" t="str">
        <x:v>R26-002</x:v>
      </x:c>
      <x:c r="G383" s="8" t="str">
        <x:v>จุดในเอกสาร 10 เส้นทาง</x:v>
      </x:c>
    </x:row>
    <x:row r="384" ht="65" customHeight="1">
      <x:c r="A384" s="2" t="str">
        <x:v>R26-001</x:v>
      </x:c>
      <x:c r="B384" s="8" t="str">
        <x:v>กาดบ้านฮ่อ</x:v>
      </x:c>
      <x:c r="C384" s="8" t="str">
        <x:v>เชียงใหม่</x:v>
      </x:c>
      <x:c r="D384" s="8" t="str"/>
      <x:c r="E384" s="8" t="str">
        <x:v>เพิ่มเข้าชุด 600</x:v>
      </x:c>
      <x:c r="F384" s="8" t="str">
        <x:v>R26-001</x:v>
      </x:c>
      <x:c r="G384" s="8" t="str">
        <x:v>จุดในเอกสาร 10 เส้นทาง</x:v>
      </x:c>
    </x:row>
    <x:row r="385" ht="65" customHeight="1">
      <x:c r="A385" s="2" t="str">
        <x:v>R26-008</x:v>
      </x:c>
      <x:c r="B385" s="8" t="str">
        <x:v>บ้านขันโตกฮาลาล</x:v>
      </x:c>
      <x:c r="C385" s="8" t="str">
        <x:v>เชียงใหม่</x:v>
      </x:c>
      <x:c r="D385" s="8" t="str"/>
      <x:c r="E385" s="8" t="str">
        <x:v>เพิ่มเข้าชุด 600</x:v>
      </x:c>
      <x:c r="F385" s="8" t="str">
        <x:v>R26-008</x:v>
      </x:c>
      <x:c r="G385" s="8" t="str">
        <x:v>จุดในเอกสาร 10 เส้นทาง</x:v>
      </x:c>
    </x:row>
    <x:row r="386" ht="65" customHeight="1">
      <x:c r="A386" s="2" t="str">
        <x:v>R26-010</x:v>
      </x:c>
      <x:c r="B386" s="8" t="str">
        <x:v>จริงใจมาร์เก็ต เชียงใหม่</x:v>
      </x:c>
      <x:c r="C386" s="8" t="str">
        <x:v>เชียงใหม่</x:v>
      </x:c>
      <x:c r="D386" s="8" t="str"/>
      <x:c r="E386" s="8" t="str">
        <x:v>เพิ่มเข้าชุด 600</x:v>
      </x:c>
      <x:c r="F386" s="8" t="str">
        <x:v>R26-010</x:v>
      </x:c>
      <x:c r="G386" s="8" t="str">
        <x:v>จุดในเอกสาร 10 เส้นทาง</x:v>
      </x:c>
    </x:row>
    <x:row r="387" ht="65" customHeight="1">
      <x:c r="A387" s="2" t="str">
        <x:v>R26-364</x:v>
      </x:c>
      <x:c r="B387" s="8" t="str">
        <x:v>U Chiang Mai</x:v>
      </x:c>
      <x:c r="C387" s="8" t="str">
        <x:v>เชียงใหม่</x:v>
      </x:c>
      <x:c r="D387" s="8" t="str"/>
      <x:c r="E387" s="8" t="str">
        <x:v>เพิ่มเข้าชุด 600</x:v>
      </x:c>
      <x:c r="F387" s="8" t="str">
        <x:v>R26-364</x:v>
      </x:c>
      <x:c r="G387" s="8" t="str">
        <x:v>เติมประเภทและพื้นที่ตามบรีฟ</x:v>
      </x:c>
    </x:row>
    <x:row r="388" ht="65" customHeight="1">
      <x:c r="A388" s="2" t="str">
        <x:v>R26-317</x:v>
      </x:c>
      <x:c r="B388" s="8" t="str">
        <x:v>Fah Lanna Spa Nimman Chiang Mai</x:v>
      </x:c>
      <x:c r="C388" s="8" t="str">
        <x:v>เชียงใหม่</x:v>
      </x:c>
      <x:c r="D388" s="8" t="str"/>
      <x:c r="E388" s="8" t="str">
        <x:v>เพิ่มเข้าชุด 600</x:v>
      </x:c>
      <x:c r="F388" s="8" t="str">
        <x:v>R26-317</x:v>
      </x:c>
      <x:c r="G388" s="8" t="str">
        <x:v>เติมประเภทและพื้นที่ตามบรีฟ</x:v>
      </x:c>
    </x:row>
    <x:row r="389" ht="65" customHeight="1">
      <x:c r="A389" s="2" t="str">
        <x:v>R26-316</x:v>
      </x:c>
      <x:c r="B389" s="8" t="str">
        <x:v>Fah Lanna Spa Old City Chiang Mai</x:v>
      </x:c>
      <x:c r="C389" s="8" t="str">
        <x:v>เชียงใหม่</x:v>
      </x:c>
      <x:c r="D389" s="8" t="str"/>
      <x:c r="E389" s="8" t="str">
        <x:v>เพิ่มเข้าชุด 600</x:v>
      </x:c>
      <x:c r="F389" s="8" t="str">
        <x:v>R26-316</x:v>
      </x:c>
      <x:c r="G389" s="8" t="str">
        <x:v>เติมประเภทและพื้นที่ตามบรีฟ</x:v>
      </x:c>
    </x:row>
    <x:row r="390" ht="65" customHeight="1">
      <x:c r="A390" s="2" t="str">
        <x:v>R26-278</x:v>
      </x:c>
      <x:c r="B390" s="8" t="str">
        <x:v>Let's Relax Spa Chiang Mai Nimman One</x:v>
      </x:c>
      <x:c r="C390" s="8" t="str">
        <x:v>เชียงใหม่</x:v>
      </x:c>
      <x:c r="D390" s="8" t="str"/>
      <x:c r="E390" s="8" t="str">
        <x:v>เพิ่มเข้าชุด 600</x:v>
      </x:c>
      <x:c r="F390" s="8" t="str">
        <x:v>R26-278</x:v>
      </x:c>
      <x:c r="G390" s="8" t="str">
        <x:v>เติมประเภทและพื้นที่ตามบรีฟ</x:v>
      </x:c>
    </x:row>
    <x:row r="391" ht="65" customHeight="1">
      <x:c r="A391" s="2" t="str">
        <x:v>R26-277</x:v>
      </x:c>
      <x:c r="B391" s="8" t="str">
        <x:v>Let's Relax Spa Chiang Mai Thapae</x:v>
      </x:c>
      <x:c r="C391" s="8" t="str">
        <x:v>เชียงใหม่</x:v>
      </x:c>
      <x:c r="D391" s="8" t="str"/>
      <x:c r="E391" s="8" t="str">
        <x:v>เพิ่มเข้าชุด 600</x:v>
      </x:c>
      <x:c r="F391" s="8" t="str">
        <x:v>R26-277</x:v>
      </x:c>
      <x:c r="G391" s="8" t="str">
        <x:v>เติมประเภทและพื้นที่ตามบรีฟ</x:v>
      </x:c>
    </x:row>
    <x:row r="392" ht="65" customHeight="1">
      <x:c r="A392" s="2" t="str">
        <x:v>R26-315</x:v>
      </x:c>
      <x:c r="B392" s="8" t="str">
        <x:v>RarinJinda Wellness Spa Chiang Mai</x:v>
      </x:c>
      <x:c r="C392" s="8" t="str">
        <x:v>เชียงใหม่</x:v>
      </x:c>
      <x:c r="D392" s="8" t="str"/>
      <x:c r="E392" s="8" t="str">
        <x:v>เพิ่มเข้าชุด 600</x:v>
      </x:c>
      <x:c r="F392" s="8" t="str">
        <x:v>R26-315</x:v>
      </x:c>
      <x:c r="G392" s="8" t="str">
        <x:v>เติมประเภทและพื้นที่ตามบรีฟ</x:v>
      </x:c>
    </x:row>
    <x:row r="393" ht="65" customHeight="1">
      <x:c r="A393" s="2" t="str">
        <x:v>R26-259</x:v>
      </x:c>
      <x:c r="B393" s="8" t="str">
        <x:v>Central Chiangmai</x:v>
      </x:c>
      <x:c r="C393" s="8" t="str">
        <x:v>เชียงใหม่</x:v>
      </x:c>
      <x:c r="D393" s="8" t="str"/>
      <x:c r="E393" s="8" t="str">
        <x:v>เพิ่มเข้าชุด 600</x:v>
      </x:c>
      <x:c r="F393" s="8" t="str">
        <x:v>R26-259</x:v>
      </x:c>
      <x:c r="G393" s="8" t="str">
        <x:v>เติมประเภทและพื้นที่ตามบรีฟ</x:v>
      </x:c>
    </x:row>
    <x:row r="394" ht="65" customHeight="1">
      <x:c r="A394" s="2" t="str">
        <x:v>R26-261</x:v>
      </x:c>
      <x:c r="B394" s="8" t="str">
        <x:v>Central Chiangmai Airport</x:v>
      </x:c>
      <x:c r="C394" s="8" t="str">
        <x:v>เชียงใหม่</x:v>
      </x:c>
      <x:c r="D394" s="8" t="str"/>
      <x:c r="E394" s="8" t="str">
        <x:v>เพิ่มเข้าชุด 600</x:v>
      </x:c>
      <x:c r="F394" s="8" t="str">
        <x:v>R26-261</x:v>
      </x:c>
      <x:c r="G394" s="8" t="str">
        <x:v>เติมประเภทและพื้นที่ตามบรีฟ</x:v>
      </x:c>
    </x:row>
    <x:row r="395" ht="65" customHeight="1">
      <x:c r="A395" s="2" t="str">
        <x:v>R26-260</x:v>
      </x:c>
      <x:c r="B395" s="8" t="str">
        <x:v>MAYA Lifestyle Shopping Center</x:v>
      </x:c>
      <x:c r="C395" s="8" t="str">
        <x:v>เชียงใหม่</x:v>
      </x:c>
      <x:c r="D395" s="8" t="str"/>
      <x:c r="E395" s="8" t="str">
        <x:v>เพิ่มเข้าชุด 600</x:v>
      </x:c>
      <x:c r="F395" s="8" t="str">
        <x:v>R26-260</x:v>
      </x:c>
      <x:c r="G395" s="8" t="str">
        <x:v>เติมประเภทและพื้นที่ตามบรีฟ</x:v>
      </x:c>
    </x:row>
    <x:row r="396" ht="65" customHeight="1">
      <x:c r="A396" s="2" t="str">
        <x:v>R26-116</x:v>
      </x:c>
      <x:c r="B396" s="8" t="str">
        <x:v>สวนพฤกษศาสตร์สมเด็จพระนางเจ้าสิริกิติ์</x:v>
      </x:c>
      <x:c r="C396" s="8" t="str">
        <x:v>เชียงใหม่</x:v>
      </x:c>
      <x:c r="D396" s="8" t="str"/>
      <x:c r="E396" s="8" t="str">
        <x:v>เพิ่มเข้าชุด 600</x:v>
      </x:c>
      <x:c r="F396" s="8" t="str">
        <x:v>R26-116</x:v>
      </x:c>
      <x:c r="G396" s="8" t="str">
        <x:v>เติมประเภทและพื้นที่ตามบรีฟ</x:v>
      </x:c>
    </x:row>
    <x:row r="397" ht="65" customHeight="1">
      <x:c r="A397" s="2" t="str">
        <x:v>R26-123</x:v>
      </x:c>
      <x:c r="B397" s="8" t="str">
        <x:v>ชุมชนบ้านออนใต้</x:v>
      </x:c>
      <x:c r="C397" s="8" t="str">
        <x:v>เชียงใหม่</x:v>
      </x:c>
      <x:c r="D397" s="8" t="str"/>
      <x:c r="E397" s="8" t="str">
        <x:v>เพิ่มเข้าชุด 600</x:v>
      </x:c>
      <x:c r="F397" s="8" t="str">
        <x:v>R26-123</x:v>
      </x:c>
      <x:c r="G397" s="8" t="str">
        <x:v>เติมประเภทและพื้นที่ตามบรีฟ</x:v>
      </x:c>
    </x:row>
    <x:row r="398" ht="65" customHeight="1">
      <x:c r="A398" s="2" t="str">
        <x:v>R26-324</x:v>
      </x:c>
      <x:c r="B398" s="8" t="str">
        <x:v>สวนสัตว์เชียงใหม่</x:v>
      </x:c>
      <x:c r="C398" s="8" t="str">
        <x:v>เชียงใหม่</x:v>
      </x:c>
      <x:c r="D398" s="8" t="str"/>
      <x:c r="E398" s="8" t="str">
        <x:v>เพิ่มเข้าชุด 600</x:v>
      </x:c>
      <x:c r="F398" s="8" t="str">
        <x:v>R26-324</x:v>
      </x:c>
      <x:c r="G398" s="8" t="str">
        <x:v>เติมประเภทและพื้นที่ตามบรีฟ</x:v>
      </x:c>
    </x:row>
    <x:row r="399" ht="65" customHeight="1">
      <x:c r="A399" s="2" t="str">
        <x:v>R26-323</x:v>
      </x:c>
      <x:c r="B399" s="8" t="str">
        <x:v>เชียงใหม่ไนท์ซาฟารี</x:v>
      </x:c>
      <x:c r="C399" s="8" t="str">
        <x:v>เชียงใหม่</x:v>
      </x:c>
      <x:c r="D399" s="8" t="str"/>
      <x:c r="E399" s="8" t="str">
        <x:v>เพิ่มเข้าชุด 600</x:v>
      </x:c>
      <x:c r="F399" s="8" t="str">
        <x:v>R26-323</x:v>
      </x:c>
      <x:c r="G399" s="8" t="str">
        <x:v>เติมประเภทและพื้นที่ตามบรีฟ</x:v>
      </x:c>
    </x:row>
    <x:row r="400" ht="65" customHeight="1">
      <x:c r="A400" s="2" t="str">
        <x:v>R26-017</x:v>
      </x:c>
      <x:c r="B400" s="8" t="str">
        <x:v>Rasa Boutique Hotel Chiang Rai</x:v>
      </x:c>
      <x:c r="C400" s="8" t="str">
        <x:v>เชียงราย</x:v>
      </x:c>
      <x:c r="D400" s="8" t="str"/>
      <x:c r="E400" s="8" t="str">
        <x:v>เพิ่มเข้าชุด 600</x:v>
      </x:c>
      <x:c r="F400" s="8" t="str">
        <x:v>R26-017</x:v>
      </x:c>
      <x:c r="G400" s="8" t="str">
        <x:v>จุดในเอกสาร 10 เส้นทาง</x:v>
      </x:c>
    </x:row>
    <x:row r="401" ht="65" customHeight="1">
      <x:c r="A401" s="2" t="str">
        <x:v>R26-013</x:v>
      </x:c>
      <x:c r="B401" s="8" t="str">
        <x:v>บุหงา ตานี cafe bistro</x:v>
      </x:c>
      <x:c r="C401" s="8" t="str">
        <x:v>เชียงราย</x:v>
      </x:c>
      <x:c r="D401" s="8" t="str"/>
      <x:c r="E401" s="8" t="str">
        <x:v>เพิ่มเข้าชุด 600</x:v>
      </x:c>
      <x:c r="F401" s="8" t="str">
        <x:v>R26-013</x:v>
      </x:c>
      <x:c r="G401" s="8" t="str">
        <x:v>จุดในเอกสาร 10 เส้นทาง</x:v>
      </x:c>
    </x:row>
    <x:row r="402" ht="65" customHeight="1">
      <x:c r="A402" s="2" t="str">
        <x:v>R26-016</x:v>
      </x:c>
      <x:c r="B402" s="8" t="str">
        <x:v>บ้านเนื้อฮาลาล เชียงราย</x:v>
      </x:c>
      <x:c r="C402" s="8" t="str">
        <x:v>เชียงราย</x:v>
      </x:c>
      <x:c r="D402" s="8" t="str"/>
      <x:c r="E402" s="8" t="str">
        <x:v>เพิ่มเข้าชุด 600</x:v>
      </x:c>
      <x:c r="F402" s="8" t="str">
        <x:v>R26-016</x:v>
      </x:c>
      <x:c r="G402" s="8" t="str">
        <x:v>จุดในเอกสาร 10 เส้นทาง</x:v>
      </x:c>
    </x:row>
    <x:row r="403" ht="65" customHeight="1">
      <x:c r="A403" s="2" t="str">
        <x:v>R26-012</x:v>
      </x:c>
      <x:c r="B403" s="8" t="str">
        <x:v>มัสยิดกลางเชียงราย ดารุลอามาน</x:v>
      </x:c>
      <x:c r="C403" s="8" t="str">
        <x:v>เชียงราย</x:v>
      </x:c>
      <x:c r="D403" s="8" t="str"/>
      <x:c r="E403" s="8" t="str">
        <x:v>เพิ่มเข้าชุด 600</x:v>
      </x:c>
      <x:c r="F403" s="8" t="str">
        <x:v>R26-012</x:v>
      </x:c>
      <x:c r="G403" s="8" t="str">
        <x:v>จุดในเอกสาร 10 เส้นทาง</x:v>
      </x:c>
    </x:row>
    <x:row r="404" ht="65" customHeight="1">
      <x:c r="A404" s="2" t="str">
        <x:v>R26-014</x:v>
      </x:c>
      <x:c r="B404" s="8" t="str">
        <x:v>วัดร่องขุ่น</x:v>
      </x:c>
      <x:c r="C404" s="8" t="str">
        <x:v>เชียงราย</x:v>
      </x:c>
      <x:c r="D404" s="8" t="str"/>
      <x:c r="E404" s="8" t="str">
        <x:v>เพิ่มเข้าชุด 600</x:v>
      </x:c>
      <x:c r="F404" s="8" t="str">
        <x:v>R26-014</x:v>
      </x:c>
      <x:c r="G404" s="8" t="str">
        <x:v>จุดในเอกสาร 10 เส้นทาง</x:v>
      </x:c>
    </x:row>
    <x:row r="405" ht="65" customHeight="1">
      <x:c r="A405" s="2" t="str">
        <x:v>R26-011</x:v>
      </x:c>
      <x:c r="B405" s="8" t="str">
        <x:v>ดอยดินแดง เครื่องปั้นดินเผา</x:v>
      </x:c>
      <x:c r="C405" s="8" t="str">
        <x:v>เชียงราย</x:v>
      </x:c>
      <x:c r="D405" s="8" t="str"/>
      <x:c r="E405" s="8" t="str">
        <x:v>เพิ่มเข้าชุด 600</x:v>
      </x:c>
      <x:c r="F405" s="8" t="str">
        <x:v>R26-011</x:v>
      </x:c>
      <x:c r="G405" s="8" t="str">
        <x:v>จุดในเอกสาร 10 เส้นทาง</x:v>
      </x:c>
    </x:row>
    <x:row r="406" ht="65" customHeight="1">
      <x:c r="A406" s="2" t="str">
        <x:v>R26-021</x:v>
      </x:c>
      <x:c r="B406" s="8" t="str">
        <x:v>Saleema Muslim Food Yunnan แม่สลอง</x:v>
      </x:c>
      <x:c r="C406" s="8" t="str">
        <x:v>เชียงราย</x:v>
      </x:c>
      <x:c r="D406" s="8" t="str"/>
      <x:c r="E406" s="8" t="str">
        <x:v>เพิ่มเข้าชุด 600</x:v>
      </x:c>
      <x:c r="F406" s="8" t="str">
        <x:v>R26-021</x:v>
      </x:c>
      <x:c r="G406" s="8" t="str">
        <x:v>จุดในเอกสาร 10 เส้นทาง</x:v>
      </x:c>
    </x:row>
    <x:row r="407" ht="65" customHeight="1">
      <x:c r="A407" s="2" t="str">
        <x:v>R26-018</x:v>
      </x:c>
      <x:c r="B407" s="8" t="str">
        <x:v>ชุมชนสันติคีรี ดอยแม่สลอง</x:v>
      </x:c>
      <x:c r="C407" s="8" t="str">
        <x:v>เชียงราย</x:v>
      </x:c>
      <x:c r="D407" s="8" t="str"/>
      <x:c r="E407" s="8" t="str">
        <x:v>เพิ่มเข้าชุด 600</x:v>
      </x:c>
      <x:c r="F407" s="8" t="str">
        <x:v>R26-018</x:v>
      </x:c>
      <x:c r="G407" s="8" t="str">
        <x:v>จุดในเอกสาร 10 เส้นทาง</x:v>
      </x:c>
    </x:row>
    <x:row r="408" ht="65" customHeight="1">
      <x:c r="A408" s="2" t="str">
        <x:v>R26-019</x:v>
      </x:c>
      <x:c r="B408" s="8" t="str">
        <x:v>ไร่ชา 101 ดอยแม่สลอง</x:v>
      </x:c>
      <x:c r="C408" s="8" t="str">
        <x:v>เชียงราย</x:v>
      </x:c>
      <x:c r="D408" s="8" t="str"/>
      <x:c r="E408" s="8" t="str">
        <x:v>เพิ่มเข้าชุด 600</x:v>
      </x:c>
      <x:c r="F408" s="8" t="str">
        <x:v>R26-019</x:v>
      </x:c>
      <x:c r="G408" s="8" t="str">
        <x:v>จุดในเอกสาร 10 เส้นทาง</x:v>
      </x:c>
    </x:row>
    <x:row r="409" ht="65" customHeight="1">
      <x:c r="A409" s="2" t="str">
        <x:v>R26-020</x:v>
      </x:c>
      <x:c r="B409" s="8" t="str">
        <x:v>ไร่ชาวังพุดตาล</x:v>
      </x:c>
      <x:c r="C409" s="8" t="str">
        <x:v>เชียงราย</x:v>
      </x:c>
      <x:c r="D409" s="8" t="str"/>
      <x:c r="E409" s="8" t="str">
        <x:v>เพิ่มเข้าชุด 600</x:v>
      </x:c>
      <x:c r="F409" s="8" t="str">
        <x:v>R26-020</x:v>
      </x:c>
      <x:c r="G409" s="8" t="str">
        <x:v>จุดในเอกสาร 10 เส้นทาง</x:v>
      </x:c>
    </x:row>
    <x:row r="410" ht="65" customHeight="1">
      <x:c r="A410" s="2" t="str">
        <x:v>R26-362</x:v>
      </x:c>
      <x:c r="B410" s="8" t="str">
        <x:v>Nak Nakara Hotel Chiang Rai</x:v>
      </x:c>
      <x:c r="C410" s="8" t="str">
        <x:v>เชียงราย</x:v>
      </x:c>
      <x:c r="D410" s="8" t="str"/>
      <x:c r="E410" s="8" t="str">
        <x:v>เพิ่มเข้าชุด 600</x:v>
      </x:c>
      <x:c r="F410" s="8" t="str">
        <x:v>R26-362</x:v>
      </x:c>
      <x:c r="G410" s="8" t="str">
        <x:v>เติมประเภทและพื้นที่ตามบรีฟ</x:v>
      </x:c>
    </x:row>
    <x:row r="411" ht="65" customHeight="1">
      <x:c r="A411" s="2" t="str">
        <x:v>R26-363</x:v>
      </x:c>
      <x:c r="B411" s="8" t="str">
        <x:v>Sann Hotel Chiang Rai</x:v>
      </x:c>
      <x:c r="C411" s="8" t="str">
        <x:v>เชียงราย</x:v>
      </x:c>
      <x:c r="D411" s="8" t="str"/>
      <x:c r="E411" s="8" t="str">
        <x:v>เพิ่มเข้าชุด 600</x:v>
      </x:c>
      <x:c r="F411" s="8" t="str">
        <x:v>R26-363</x:v>
      </x:c>
      <x:c r="G411" s="8" t="str">
        <x:v>เติมประเภทและพื้นที่ตามบรีฟ</x:v>
      </x:c>
    </x:row>
    <x:row r="412" ht="65" customHeight="1">
      <x:c r="A412" s="2" t="str">
        <x:v>R26-279</x:v>
      </x:c>
      <x:c r="B412" s="8" t="str">
        <x:v>Anantara Spa Golden Triangle</x:v>
      </x:c>
      <x:c r="C412" s="8" t="str">
        <x:v>เชียงราย</x:v>
      </x:c>
      <x:c r="D412" s="8" t="str"/>
      <x:c r="E412" s="8" t="str">
        <x:v>เพิ่มเข้าชุด 600</x:v>
      </x:c>
      <x:c r="F412" s="8" t="str">
        <x:v>R26-279</x:v>
      </x:c>
      <x:c r="G412" s="8" t="str">
        <x:v>เติมประเภทและพื้นที่ตามบรีฟ</x:v>
      </x:c>
    </x:row>
    <x:row r="413" ht="65" customHeight="1">
      <x:c r="A413" s="2" t="str">
        <x:v>R26-258</x:v>
      </x:c>
      <x:c r="B413" s="8" t="str">
        <x:v>Central Chiangrai</x:v>
      </x:c>
      <x:c r="C413" s="8" t="str">
        <x:v>เชียงราย</x:v>
      </x:c>
      <x:c r="D413" s="8" t="str"/>
      <x:c r="E413" s="8" t="str">
        <x:v>เพิ่มเข้าชุด 600</x:v>
      </x:c>
      <x:c r="F413" s="8" t="str">
        <x:v>R26-258</x:v>
      </x:c>
      <x:c r="G413" s="8" t="str">
        <x:v>เติมประเภทและพื้นที่ตามบรีฟ</x:v>
      </x:c>
    </x:row>
    <x:row r="414" ht="65" customHeight="1">
      <x:c r="A414" s="2" t="str">
        <x:v>R26-112</x:v>
      </x:c>
      <x:c r="B414" s="8" t="str">
        <x:v>ดอยตุง สวนรุกขชาติแม่ฟ้าหลวง</x:v>
      </x:c>
      <x:c r="C414" s="8" t="str">
        <x:v>เชียงราย</x:v>
      </x:c>
      <x:c r="D414" s="8" t="str"/>
      <x:c r="E414" s="8" t="str">
        <x:v>เพิ่มเข้าชุด 600</x:v>
      </x:c>
      <x:c r="F414" s="8" t="str">
        <x:v>R26-112</x:v>
      </x:c>
      <x:c r="G414" s="8" t="str">
        <x:v>เติมประเภทและพื้นที่ตามบรีฟ</x:v>
      </x:c>
    </x:row>
    <x:row r="415" ht="65" customHeight="1">
      <x:c r="A415" s="2" t="str">
        <x:v>R26-111</x:v>
      </x:c>
      <x:c r="B415" s="8" t="str">
        <x:v>น้ำตกขุนกรณ์</x:v>
      </x:c>
      <x:c r="C415" s="8" t="str">
        <x:v>เชียงราย</x:v>
      </x:c>
      <x:c r="D415" s="8" t="str"/>
      <x:c r="E415" s="8" t="str">
        <x:v>เพิ่มเข้าชุด 600</x:v>
      </x:c>
      <x:c r="F415" s="8" t="str">
        <x:v>R26-111</x:v>
      </x:c>
      <x:c r="G415" s="8" t="str">
        <x:v>เติมประเภทและพื้นที่ตามบรีฟ</x:v>
      </x:c>
    </x:row>
    <x:row r="416" ht="65" customHeight="1">
      <x:c r="A416" s="2" t="str">
        <x:v>R26-113</x:v>
      </x:c>
      <x:c r="B416" s="8" t="str">
        <x:v>วนอุทยานภูชี้ฟ้า</x:v>
      </x:c>
      <x:c r="C416" s="8" t="str">
        <x:v>เชียงราย</x:v>
      </x:c>
      <x:c r="D416" s="8" t="str"/>
      <x:c r="E416" s="8" t="str">
        <x:v>เพิ่มเข้าชุด 600</x:v>
      </x:c>
      <x:c r="F416" s="8" t="str">
        <x:v>R26-113</x:v>
      </x:c>
      <x:c r="G416" s="8" t="str">
        <x:v>เติมประเภทและพื้นที่ตามบรีฟ</x:v>
      </x:c>
    </x:row>
    <x:row r="417" ht="65" customHeight="1">
      <x:c r="A417" s="2" t="str">
        <x:v>R26-125</x:v>
      </x:c>
      <x:c r="B417" s="8" t="str">
        <x:v>ชุมชนบ้านท่าขันทอง</x:v>
      </x:c>
      <x:c r="C417" s="8" t="str">
        <x:v>เชียงราย</x:v>
      </x:c>
      <x:c r="D417" s="8" t="str"/>
      <x:c r="E417" s="8" t="str">
        <x:v>เพิ่มเข้าชุด 600</x:v>
      </x:c>
      <x:c r="F417" s="8" t="str">
        <x:v>R26-125</x:v>
      </x:c>
      <x:c r="G417" s="8" t="str">
        <x:v>เติมประเภทและพื้นที่ตามบรีฟ</x:v>
      </x:c>
    </x:row>
    <x:row r="418" ht="65" customHeight="1">
      <x:c r="A418" s="2" t="str">
        <x:v>R26-124</x:v>
      </x:c>
      <x:c r="B418" s="8" t="str">
        <x:v>ชุมชนบ้านปางห้า</x:v>
      </x:c>
      <x:c r="C418" s="8" t="str">
        <x:v>เชียงราย</x:v>
      </x:c>
      <x:c r="D418" s="8" t="str"/>
      <x:c r="E418" s="8" t="str">
        <x:v>เพิ่มเข้าชุด 600</x:v>
      </x:c>
      <x:c r="F418" s="8" t="str">
        <x:v>R26-124</x:v>
      </x:c>
      <x:c r="G418" s="8" t="str">
        <x:v>เติมประเภทและพื้นที่ตามบรีฟ</x:v>
      </x:c>
    </x:row>
    <x:row r="419" ht="65" customHeight="1">
      <x:c r="A419" s="2" t="str">
        <x:v>R26-027</x:v>
      </x:c>
      <x:c r="B419" s="8" t="str">
        <x:v>Beirut Restaurant สุขุมวิท 39</x:v>
      </x:c>
      <x:c r="C419" s="8" t="str">
        <x:v>กรุงเทพมหานคร</x:v>
      </x:c>
      <x:c r="D419" s="8" t="str"/>
      <x:c r="E419" s="8" t="str">
        <x:v>เพิ่มเข้าชุด 600</x:v>
      </x:c>
      <x:c r="F419" s="8" t="str">
        <x:v>R26-027</x:v>
      </x:c>
      <x:c r="G419" s="8" t="str">
        <x:v>จุดในเอกสาร 10 เส้นทาง</x:v>
      </x:c>
    </x:row>
    <x:row r="420" ht="65" customHeight="1">
      <x:c r="A420" s="2" t="str">
        <x:v>R26-025</x:v>
      </x:c>
      <x:c r="B420" s="8" t="str">
        <x:v>หอศิลปวัฒนธรรมแห่งกรุงเทพมหานคร</x:v>
      </x:c>
      <x:c r="C420" s="8" t="str">
        <x:v>กรุงเทพมหานคร</x:v>
      </x:c>
      <x:c r="D420" s="8" t="str"/>
      <x:c r="E420" s="8" t="str">
        <x:v>เพิ่มเข้าชุด 600</x:v>
      </x:c>
      <x:c r="F420" s="8" t="str">
        <x:v>R26-025</x:v>
      </x:c>
      <x:c r="G420" s="8" t="str">
        <x:v>จุดในเอกสาร 10 เส้นทาง</x:v>
      </x:c>
    </x:row>
    <x:row r="421" ht="65" customHeight="1">
      <x:c r="A421" s="2" t="str">
        <x:v>R26-024</x:v>
      </x:c>
      <x:c r="B421" s="8" t="str">
        <x:v>ชุมชนกุฎีขาว</x:v>
      </x:c>
      <x:c r="C421" s="8" t="str">
        <x:v>กรุงเทพมหานคร</x:v>
      </x:c>
      <x:c r="D421" s="8" t="str"/>
      <x:c r="E421" s="8" t="str">
        <x:v>เพิ่มเข้าชุด 600</x:v>
      </x:c>
      <x:c r="F421" s="8" t="str">
        <x:v>R26-024</x:v>
      </x:c>
      <x:c r="G421" s="8" t="str">
        <x:v>จุดในเอกสาร 10 เส้นทาง</x:v>
      </x:c>
    </x:row>
    <x:row r="422" ht="65" customHeight="1">
      <x:c r="A422" s="2" t="str">
        <x:v>R26-026</x:v>
      </x:c>
      <x:c r="B422" s="8" t="str">
        <x:v>ชุมชนบ้านครัว</x:v>
      </x:c>
      <x:c r="C422" s="8" t="str">
        <x:v>กรุงเทพมหานคร</x:v>
      </x:c>
      <x:c r="D422" s="8" t="str"/>
      <x:c r="E422" s="8" t="str">
        <x:v>เพิ่มเข้าชุด 600</x:v>
      </x:c>
      <x:c r="F422" s="8" t="str">
        <x:v>R26-026</x:v>
      </x:c>
      <x:c r="G422" s="8" t="str">
        <x:v>จุดในเอกสาร 10 เส้นทาง</x:v>
      </x:c>
    </x:row>
    <x:row r="423" ht="65" customHeight="1">
      <x:c r="A423" s="2" t="str">
        <x:v>R26-029</x:v>
      </x:c>
      <x:c r="B423" s="8" t="str">
        <x:v>Prem Yoga Ayurveda Center</x:v>
      </x:c>
      <x:c r="C423" s="8" t="str">
        <x:v>กรุงเทพมหานคร</x:v>
      </x:c>
      <x:c r="D423" s="8" t="str"/>
      <x:c r="E423" s="8" t="str">
        <x:v>เพิ่มเข้าชุด 600</x:v>
      </x:c>
      <x:c r="F423" s="8" t="str">
        <x:v>R26-029</x:v>
      </x:c>
      <x:c r="G423" s="8" t="str">
        <x:v>จุดในเอกสาร 10 เส้นทาง</x:v>
      </x:c>
    </x:row>
    <x:row r="424" ht="65" customHeight="1">
      <x:c r="A424" s="2" t="str">
        <x:v>R26-314</x:v>
      </x:c>
      <x:c r="B424" s="8" t="str">
        <x:v>Divana Scentuara Spa</x:v>
      </x:c>
      <x:c r="C424" s="8" t="str">
        <x:v>กรุงเทพมหานคร</x:v>
      </x:c>
      <x:c r="D424" s="8" t="str"/>
      <x:c r="E424" s="8" t="str">
        <x:v>เพิ่มเข้าชุด 600</x:v>
      </x:c>
      <x:c r="F424" s="8" t="str">
        <x:v>R26-314</x:v>
      </x:c>
      <x:c r="G424" s="8" t="str">
        <x:v>เติมประเภทและพื้นที่ตามบรีฟ</x:v>
      </x:c>
    </x:row>
    <x:row r="425" ht="65" customHeight="1">
      <x:c r="A425" s="2" t="str">
        <x:v>R26-276</x:v>
      </x:c>
      <x:c r="B425" s="8" t="str">
        <x:v>Health Land Asoke</x:v>
      </x:c>
      <x:c r="C425" s="8" t="str">
        <x:v>กรุงเทพมหานคร</x:v>
      </x:c>
      <x:c r="D425" s="8" t="str"/>
      <x:c r="E425" s="8" t="str">
        <x:v>เพิ่มเข้าชุด 600</x:v>
      </x:c>
      <x:c r="F425" s="8" t="str">
        <x:v>R26-276</x:v>
      </x:c>
      <x:c r="G425" s="8" t="str">
        <x:v>เติมประเภทและพื้นที่ตามบรีฟ</x:v>
      </x:c>
    </x:row>
    <x:row r="426" ht="65" customHeight="1">
      <x:c r="A426" s="2" t="str">
        <x:v>R26-318</x:v>
      </x:c>
      <x:c r="B426" s="8" t="str">
        <x:v>Health Land Ekkamai</x:v>
      </x:c>
      <x:c r="C426" s="8" t="str">
        <x:v>กรุงเทพมหานคร</x:v>
      </x:c>
      <x:c r="D426" s="8" t="str"/>
      <x:c r="E426" s="8" t="str">
        <x:v>เพิ่มเข้าชุด 600</x:v>
      </x:c>
      <x:c r="F426" s="8" t="str">
        <x:v>R26-318</x:v>
      </x:c>
      <x:c r="G426" s="8" t="str">
        <x:v>เติมประเภทและพื้นที่ตามบรีฟ</x:v>
      </x:c>
    </x:row>
    <x:row r="427" ht="65" customHeight="1">
      <x:c r="A427" s="2" t="str">
        <x:v>R26-275</x:v>
      </x:c>
      <x:c r="B427" s="8" t="str">
        <x:v>Health Land Sathorn</x:v>
      </x:c>
      <x:c r="C427" s="8" t="str">
        <x:v>กรุงเทพมหานคร</x:v>
      </x:c>
      <x:c r="D427" s="8" t="str"/>
      <x:c r="E427" s="8" t="str">
        <x:v>เพิ่มเข้าชุด 600</x:v>
      </x:c>
      <x:c r="F427" s="8" t="str">
        <x:v>R26-275</x:v>
      </x:c>
      <x:c r="G427" s="8" t="str">
        <x:v>เติมประเภทและพื้นที่ตามบรีฟ</x:v>
      </x:c>
    </x:row>
    <x:row r="428" ht="65" customHeight="1">
      <x:c r="A428" s="2" t="str">
        <x:v>R26-272</x:v>
      </x:c>
      <x:c r="B428" s="8" t="str">
        <x:v>Let's Relax Spa Sukhumvit 39</x:v>
      </x:c>
      <x:c r="C428" s="8" t="str">
        <x:v>กรุงเทพมหานคร</x:v>
      </x:c>
      <x:c r="D428" s="8" t="str"/>
      <x:c r="E428" s="8" t="str">
        <x:v>เพิ่มเข้าชุด 600</x:v>
      </x:c>
      <x:c r="F428" s="8" t="str">
        <x:v>R26-272</x:v>
      </x:c>
      <x:c r="G428" s="8" t="str">
        <x:v>เติมประเภทและพื้นที่ตามบรีฟ</x:v>
      </x:c>
    </x:row>
    <x:row r="429" ht="65" customHeight="1">
      <x:c r="A429" s="2" t="str">
        <x:v>R26-313</x:v>
      </x:c>
      <x:c r="B429" s="8" t="str">
        <x:v>PAÑPURI Wellness Gaysorn Tower</x:v>
      </x:c>
      <x:c r="C429" s="8" t="str">
        <x:v>กรุงเทพมหานคร</x:v>
      </x:c>
      <x:c r="D429" s="8" t="str"/>
      <x:c r="E429" s="8" t="str">
        <x:v>เพิ่มเข้าชุด 600</x:v>
      </x:c>
      <x:c r="F429" s="8" t="str">
        <x:v>R26-313</x:v>
      </x:c>
      <x:c r="G429" s="8" t="str">
        <x:v>เติมประเภทและพื้นที่ตามบรีฟ</x:v>
      </x:c>
    </x:row>
    <x:row r="430" ht="65" customHeight="1">
      <x:c r="A430" s="2" t="str">
        <x:v>R26-255</x:v>
      </x:c>
      <x:c r="B430" s="8" t="str">
        <x:v>Central Ladprao</x:v>
      </x:c>
      <x:c r="C430" s="8" t="str">
        <x:v>กรุงเทพมหานคร</x:v>
      </x:c>
      <x:c r="D430" s="8" t="str"/>
      <x:c r="E430" s="8" t="str">
        <x:v>เพิ่มเข้าชุด 600</x:v>
      </x:c>
      <x:c r="F430" s="8" t="str">
        <x:v>R26-255</x:v>
      </x:c>
      <x:c r="G430" s="8" t="str">
        <x:v>เติมประเภทและพื้นที่ตามบรีฟ</x:v>
      </x:c>
    </x:row>
    <x:row r="431" ht="65" customHeight="1">
      <x:c r="A431" s="2" t="str">
        <x:v>R26-254</x:v>
      </x:c>
      <x:c r="B431" s="8" t="str">
        <x:v>Central Rama 9</x:v>
      </x:c>
      <x:c r="C431" s="8" t="str">
        <x:v>กรุงเทพมหานคร</x:v>
      </x:c>
      <x:c r="D431" s="8" t="str"/>
      <x:c r="E431" s="8" t="str">
        <x:v>เพิ่มเข้าชุด 600</x:v>
      </x:c>
      <x:c r="F431" s="8" t="str">
        <x:v>R26-254</x:v>
      </x:c>
      <x:c r="G431" s="8" t="str">
        <x:v>เติมประเภทและพื้นที่ตามบรีฟ</x:v>
      </x:c>
    </x:row>
    <x:row r="432" ht="65" customHeight="1">
      <x:c r="A432" s="2" t="str">
        <x:v>R26-252</x:v>
      </x:c>
      <x:c r="B432" s="8" t="str">
        <x:v>EMQUARTIER</x:v>
      </x:c>
      <x:c r="C432" s="8" t="str">
        <x:v>กรุงเทพมหานคร</x:v>
      </x:c>
      <x:c r="D432" s="8" t="str"/>
      <x:c r="E432" s="8" t="str">
        <x:v>เพิ่มเข้าชุด 600</x:v>
      </x:c>
      <x:c r="F432" s="8" t="str">
        <x:v>R26-252</x:v>
      </x:c>
      <x:c r="G432" s="8" t="str">
        <x:v>เติมประเภทและพื้นที่ตามบรีฟ</x:v>
      </x:c>
    </x:row>
    <x:row r="433" ht="65" customHeight="1">
      <x:c r="A433" s="2" t="str">
        <x:v>R26-253</x:v>
      </x:c>
      <x:c r="B433" s="8" t="str">
        <x:v>EMSPHERE</x:v>
      </x:c>
      <x:c r="C433" s="8" t="str">
        <x:v>กรุงเทพมหานคร</x:v>
      </x:c>
      <x:c r="D433" s="8" t="str"/>
      <x:c r="E433" s="8" t="str">
        <x:v>เพิ่มเข้าชุด 600</x:v>
      </x:c>
      <x:c r="F433" s="8" t="str">
        <x:v>R26-253</x:v>
      </x:c>
      <x:c r="G433" s="8" t="str">
        <x:v>เติมประเภทและพื้นที่ตามบรีฟ</x:v>
      </x:c>
    </x:row>
    <x:row r="434" ht="65" customHeight="1">
      <x:c r="A434" s="2" t="str">
        <x:v>R26-249</x:v>
      </x:c>
      <x:c r="B434" s="8" t="str">
        <x:v>ICONSIAM</x:v>
      </x:c>
      <x:c r="C434" s="8" t="str">
        <x:v>กรุงเทพมหานคร</x:v>
      </x:c>
      <x:c r="D434" s="8" t="str"/>
      <x:c r="E434" s="8" t="str">
        <x:v>เพิ่มเข้าชุด 600</x:v>
      </x:c>
      <x:c r="F434" s="8" t="str">
        <x:v>R26-249</x:v>
      </x:c>
      <x:c r="G434" s="8" t="str">
        <x:v>เติมประเภทและพื้นที่ตามบรีฟ</x:v>
      </x:c>
    </x:row>
    <x:row r="435" ht="65" customHeight="1">
      <x:c r="A435" s="2" t="str">
        <x:v>R26-250</x:v>
      </x:c>
      <x:c r="B435" s="8" t="str">
        <x:v>MBK Center</x:v>
      </x:c>
      <x:c r="C435" s="8" t="str">
        <x:v>กรุงเทพมหานคร</x:v>
      </x:c>
      <x:c r="D435" s="8" t="str"/>
      <x:c r="E435" s="8" t="str">
        <x:v>เพิ่มเข้าชุด 600</x:v>
      </x:c>
      <x:c r="F435" s="8" t="str">
        <x:v>R26-250</x:v>
      </x:c>
      <x:c r="G435" s="8" t="str">
        <x:v>เติมประเภทและพื้นที่ตามบรีฟ</x:v>
      </x:c>
    </x:row>
    <x:row r="436" ht="65" customHeight="1">
      <x:c r="A436" s="2" t="str">
        <x:v>R26-251</x:v>
      </x:c>
      <x:c r="B436" s="8" t="str">
        <x:v>Terminal 21 Asok</x:v>
      </x:c>
      <x:c r="C436" s="8" t="str">
        <x:v>กรุงเทพมหานคร</x:v>
      </x:c>
      <x:c r="D436" s="8" t="str"/>
      <x:c r="E436" s="8" t="str">
        <x:v>เพิ่มเข้าชุด 600</x:v>
      </x:c>
      <x:c r="F436" s="8" t="str">
        <x:v>R26-251</x:v>
      </x:c>
      <x:c r="G436" s="8" t="str">
        <x:v>เติมประเภทและพื้นที่ตามบรีฟ</x:v>
      </x:c>
    </x:row>
    <x:row r="437" ht="65" customHeight="1">
      <x:c r="A437" s="2" t="str">
        <x:v>R26-256</x:v>
      </x:c>
      <x:c r="B437" s="8" t="str">
        <x:v>The Mall Lifestore Bangkapi</x:v>
      </x:c>
      <x:c r="C437" s="8" t="str">
        <x:v>กรุงเทพมหานคร</x:v>
      </x:c>
      <x:c r="D437" s="8" t="str"/>
      <x:c r="E437" s="8" t="str">
        <x:v>เพิ่มเข้าชุด 600</x:v>
      </x:c>
      <x:c r="F437" s="8" t="str">
        <x:v>R26-256</x:v>
      </x:c>
      <x:c r="G437" s="8" t="str">
        <x:v>เติมประเภทและพื้นที่ตามบรีฟ</x:v>
      </x:c>
    </x:row>
    <x:row r="438" ht="65" customHeight="1">
      <x:c r="A438" s="2" t="str">
        <x:v>R26-312</x:v>
      </x:c>
      <x:c r="B438" s="8" t="str">
        <x:v>พิพิธภัณฑ์เด็กกรุงเทพมหานคร แห่งที่ 2</x:v>
      </x:c>
      <x:c r="C438" s="8" t="str">
        <x:v>กรุงเทพมหานคร</x:v>
      </x:c>
      <x:c r="D438" s="8" t="str"/>
      <x:c r="E438" s="8" t="str">
        <x:v>เพิ่มเข้าชุด 600</x:v>
      </x:c>
      <x:c r="F438" s="8" t="str">
        <x:v>R26-312</x:v>
      </x:c>
      <x:c r="G438" s="8" t="str">
        <x:v>เติมประเภทและพื้นที่ตามบรีฟ</x:v>
      </x:c>
    </x:row>
    <x:row r="439" ht="65" customHeight="1">
      <x:c r="A439" s="2" t="str">
        <x:v>R26-038</x:v>
      </x:c>
      <x:c r="B439" s="8" t="str">
        <x:v>Khun Anan Riverfront Ayutthaya</x:v>
      </x:c>
      <x:c r="C439" s="8" t="str">
        <x:v>พระนครศรีอยุธยา</x:v>
      </x:c>
      <x:c r="D439" s="8" t="str"/>
      <x:c r="E439" s="8" t="str">
        <x:v>เพิ่มเข้าชุด 600</x:v>
      </x:c>
      <x:c r="F439" s="8" t="str">
        <x:v>R26-038</x:v>
      </x:c>
      <x:c r="G439" s="8" t="str">
        <x:v>จุดในเอกสาร 10 เส้นทาง</x:v>
      </x:c>
    </x:row>
    <x:row r="440" ht="65" customHeight="1">
      <x:c r="A440" s="2" t="str">
        <x:v>R26-034</x:v>
      </x:c>
      <x:c r="B440" s="8" t="str">
        <x:v>มัสยิดยามิอุ้ลอิสลาม</x:v>
      </x:c>
      <x:c r="C440" s="8" t="str">
        <x:v>พระนครศรีอยุธยา</x:v>
      </x:c>
      <x:c r="D440" s="8" t="str"/>
      <x:c r="E440" s="8" t="str">
        <x:v>เพิ่มเข้าชุด 600</x:v>
      </x:c>
      <x:c r="F440" s="8" t="str">
        <x:v>R26-034</x:v>
      </x:c>
      <x:c r="G440" s="8" t="str">
        <x:v>จุดในเอกสาร 10 เส้นทาง</x:v>
      </x:c>
    </x:row>
    <x:row r="441" ht="65" customHeight="1">
      <x:c r="A441" s="2" t="str">
        <x:v>R26-035</x:v>
      </x:c>
      <x:c r="B441" s="8" t="str">
        <x:v>อุทยานประวัติศาสตร์พระนครศรีอยุธยา</x:v>
      </x:c>
      <x:c r="C441" s="8" t="str">
        <x:v>พระนครศรีอยุธยา</x:v>
      </x:c>
      <x:c r="D441" s="8" t="str"/>
      <x:c r="E441" s="8" t="str">
        <x:v>เพิ่มเข้าชุด 600</x:v>
      </x:c>
      <x:c r="F441" s="8" t="str">
        <x:v>R26-035</x:v>
      </x:c>
      <x:c r="G441" s="8" t="str">
        <x:v>จุดในเอกสาร 10 เส้นทาง</x:v>
      </x:c>
    </x:row>
    <x:row r="442" ht="65" customHeight="1">
      <x:c r="A442" s="2" t="str">
        <x:v>R26-033</x:v>
      </x:c>
      <x:c r="B442" s="8" t="str">
        <x:v>ชุมชนมุสลิมคลองตะเคียน</x:v>
      </x:c>
      <x:c r="C442" s="8" t="str">
        <x:v>พระนครศรีอยุธยา</x:v>
      </x:c>
      <x:c r="D442" s="8" t="str"/>
      <x:c r="E442" s="8" t="str">
        <x:v>เพิ่มเข้าชุด 600</x:v>
      </x:c>
      <x:c r="F442" s="8" t="str">
        <x:v>R26-033</x:v>
      </x:c>
      <x:c r="G442" s="8" t="str">
        <x:v>จุดในเอกสาร 10 เส้นทาง</x:v>
      </x:c>
    </x:row>
    <x:row r="443" ht="65" customHeight="1">
      <x:c r="A443" s="2" t="str">
        <x:v>R26-037</x:v>
      </x:c>
      <x:c r="B443" s="8" t="str">
        <x:v>The Wonder Blue Classic Boathouse Ayutthaya</x:v>
      </x:c>
      <x:c r="C443" s="8" t="str">
        <x:v>พระนครศรีอยุธยา</x:v>
      </x:c>
      <x:c r="D443" s="8" t="str"/>
      <x:c r="E443" s="8" t="str">
        <x:v>เพิ่มเข้าชุด 600</x:v>
      </x:c>
      <x:c r="F443" s="8" t="str">
        <x:v>R26-037</x:v>
      </x:c>
      <x:c r="G443" s="8" t="str">
        <x:v>จุดในเอกสาร 10 เส้นทาง</x:v>
      </x:c>
    </x:row>
    <x:row r="444" ht="65" customHeight="1">
      <x:c r="A444" s="2" t="str">
        <x:v>R26-042</x:v>
      </x:c>
      <x:c r="B444" s="8" t="str">
        <x:v>บ้านฮอลันดา</x:v>
      </x:c>
      <x:c r="C444" s="8" t="str">
        <x:v>พระนครศรีอยุธยา</x:v>
      </x:c>
      <x:c r="D444" s="8" t="str"/>
      <x:c r="E444" s="8" t="str">
        <x:v>เพิ่มเข้าชุด 600</x:v>
      </x:c>
      <x:c r="F444" s="8" t="str">
        <x:v>R26-042</x:v>
      </x:c>
      <x:c r="G444" s="8" t="str">
        <x:v>จุดในเอกสาร 10 เส้นทาง</x:v>
      </x:c>
    </x:row>
    <x:row r="445" ht="65" customHeight="1">
      <x:c r="A445" s="2" t="str">
        <x:v>R26-041</x:v>
      </x:c>
      <x:c r="B445" s="8" t="str">
        <x:v>หมู่บ้านญี่ปุ่น อยุธยา</x:v>
      </x:c>
      <x:c r="C445" s="8" t="str">
        <x:v>พระนครศรีอยุธยา</x:v>
      </x:c>
      <x:c r="D445" s="8" t="str"/>
      <x:c r="E445" s="8" t="str">
        <x:v>เพิ่มเข้าชุด 600</x:v>
      </x:c>
      <x:c r="F445" s="8" t="str">
        <x:v>R26-041</x:v>
      </x:c>
      <x:c r="G445" s="8" t="str">
        <x:v>จุดในเอกสาร 10 เส้นทาง</x:v>
      </x:c>
    </x:row>
    <x:row r="446" ht="65" customHeight="1">
      <x:c r="A446" s="2" t="str">
        <x:v>R26-043</x:v>
      </x:c>
      <x:c r="B446" s="8" t="str">
        <x:v>หมู่บ้านโปรตุเกส อยุธยา</x:v>
      </x:c>
      <x:c r="C446" s="8" t="str">
        <x:v>พระนครศรีอยุธยา</x:v>
      </x:c>
      <x:c r="D446" s="8" t="str"/>
      <x:c r="E446" s="8" t="str">
        <x:v>เพิ่มเข้าชุด 600</x:v>
      </x:c>
      <x:c r="F446" s="8" t="str">
        <x:v>R26-043</x:v>
      </x:c>
      <x:c r="G446" s="8" t="str">
        <x:v>จุดในเอกสาร 10 เส้นทาง</x:v>
      </x:c>
    </x:row>
    <x:row r="447" ht="65" customHeight="1">
      <x:c r="A447" s="2" t="str">
        <x:v>R26-039</x:v>
      </x:c>
      <x:c r="B447" s="8" t="str">
        <x:v>อนุสรณ์สถานท่านเฉกอะหมัด</x:v>
      </x:c>
      <x:c r="C447" s="8" t="str">
        <x:v>พระนครศรีอยุธยา</x:v>
      </x:c>
      <x:c r="D447" s="8" t="str"/>
      <x:c r="E447" s="8" t="str">
        <x:v>เพิ่มเข้าชุด 600</x:v>
      </x:c>
      <x:c r="F447" s="8" t="str">
        <x:v>R26-039</x:v>
      </x:c>
      <x:c r="G447" s="8" t="str">
        <x:v>จุดในเอกสาร 10 เส้นทาง</x:v>
      </x:c>
    </x:row>
    <x:row r="448" ht="65" customHeight="1">
      <x:c r="A448" s="2" t="str">
        <x:v>R26-040</x:v>
      </x:c>
      <x:c r="B448" s="8" t="str">
        <x:v>ชุมชนสำเภาล่ม</x:v>
      </x:c>
      <x:c r="C448" s="8" t="str">
        <x:v>พระนครศรีอยุธยา</x:v>
      </x:c>
      <x:c r="D448" s="8" t="str"/>
      <x:c r="E448" s="8" t="str">
        <x:v>เพิ่มเข้าชุด 600</x:v>
      </x:c>
      <x:c r="F448" s="8" t="str">
        <x:v>R26-040</x:v>
      </x:c>
      <x:c r="G448" s="8" t="str">
        <x:v>จุดในเอกสาร 10 เส้นทาง</x:v>
      </x:c>
    </x:row>
    <x:row r="449" ht="65" customHeight="1">
      <x:c r="A449" s="2" t="str">
        <x:v>R26-045</x:v>
      </x:c>
      <x:c r="B449" s="8" t="str">
        <x:v>ศูนย์ศิลปาชีพบางไทร</x:v>
      </x:c>
      <x:c r="C449" s="8" t="str">
        <x:v>พระนครศรีอยุธยา</x:v>
      </x:c>
      <x:c r="D449" s="8" t="str"/>
      <x:c r="E449" s="8" t="str">
        <x:v>เพิ่มเข้าชุด 600</x:v>
      </x:c>
      <x:c r="F449" s="8" t="str">
        <x:v>R26-045</x:v>
      </x:c>
      <x:c r="G449" s="8" t="str">
        <x:v>จุดในเอกสาร 10 เส้นทาง</x:v>
      </x:c>
    </x:row>
    <x:row r="450" ht="65" customHeight="1">
      <x:c r="A450" s="2" t="str">
        <x:v>R26-368</x:v>
      </x:c>
      <x:c r="B450" s="8" t="str">
        <x:v>Classic Kameo Hotel Ayutthaya</x:v>
      </x:c>
      <x:c r="C450" s="8" t="str">
        <x:v>พระนครศรีอยุธยา</x:v>
      </x:c>
      <x:c r="D450" s="8" t="str"/>
      <x:c r="E450" s="8" t="str">
        <x:v>เพิ่มเข้าชุด 600</x:v>
      </x:c>
      <x:c r="F450" s="8" t="str">
        <x:v>R26-368</x:v>
      </x:c>
      <x:c r="G450" s="8" t="str">
        <x:v>เติมประเภทและพื้นที่ตามบรีฟ</x:v>
      </x:c>
    </x:row>
    <x:row r="451" ht="65" customHeight="1">
      <x:c r="A451" s="2" t="str">
        <x:v>R26-367</x:v>
      </x:c>
      <x:c r="B451" s="8" t="str">
        <x:v>Kantary Hotel Ayutthaya</x:v>
      </x:c>
      <x:c r="C451" s="8" t="str">
        <x:v>พระนครศรีอยุธยา</x:v>
      </x:c>
      <x:c r="D451" s="8" t="str"/>
      <x:c r="E451" s="8" t="str">
        <x:v>เพิ่มเข้าชุด 600</x:v>
      </x:c>
      <x:c r="F451" s="8" t="str">
        <x:v>R26-367</x:v>
      </x:c>
      <x:c r="G451" s="8" t="str">
        <x:v>เติมประเภทและพื้นที่ตามบรีฟ</x:v>
      </x:c>
    </x:row>
    <x:row r="452" ht="65" customHeight="1">
      <x:c r="A452" s="2" t="str">
        <x:v>R26-257</x:v>
      </x:c>
      <x:c r="B452" s="8" t="str">
        <x:v>Central Ayutthaya</x:v>
      </x:c>
      <x:c r="C452" s="8" t="str">
        <x:v>พระนครศรีอยุธยา</x:v>
      </x:c>
      <x:c r="D452" s="8" t="str"/>
      <x:c r="E452" s="8" t="str">
        <x:v>เพิ่มเข้าชุด 600</x:v>
      </x:c>
      <x:c r="F452" s="8" t="str">
        <x:v>R26-257</x:v>
      </x:c>
      <x:c r="G452" s="8" t="str">
        <x:v>เติมประเภทและพื้นที่ตามบรีฟ</x:v>
      </x:c>
    </x:row>
    <x:row r="453" ht="65" customHeight="1">
      <x:c r="A453" s="2" t="str">
        <x:v>R26-327</x:v>
      </x:c>
      <x:c r="B453" s="8" t="str">
        <x:v>ตลาดน้ำอโยธยา</x:v>
      </x:c>
      <x:c r="C453" s="8" t="str">
        <x:v>พระนครศรีอยุธยา</x:v>
      </x:c>
      <x:c r="D453" s="8" t="str"/>
      <x:c r="E453" s="8" t="str">
        <x:v>เพิ่มเข้าชุด 600</x:v>
      </x:c>
      <x:c r="F453" s="8" t="str">
        <x:v>R26-327</x:v>
      </x:c>
      <x:c r="G453" s="8" t="str">
        <x:v>เติมประเภทและพื้นที่ตามบรีฟ</x:v>
      </x:c>
    </x:row>
    <x:row r="454" ht="65" customHeight="1">
      <x:c r="A454" s="2" t="str">
        <x:v>R26-049</x:v>
      </x:c>
      <x:c r="B454" s="8" t="str">
        <x:v>Sai Tharn Iyara Resort</x:v>
      </x:c>
      <x:c r="C454" s="8" t="str">
        <x:v>กาญจนบุรี</x:v>
      </x:c>
      <x:c r="D454" s="8" t="str"/>
      <x:c r="E454" s="8" t="str">
        <x:v>เพิ่มเข้าชุด 600</x:v>
      </x:c>
      <x:c r="F454" s="8" t="str">
        <x:v>R26-049</x:v>
      </x:c>
      <x:c r="G454" s="8" t="str">
        <x:v>จุดในเอกสาร 10 เส้นทาง</x:v>
      </x:c>
    </x:row>
    <x:row r="455" ht="65" customHeight="1">
      <x:c r="A455" s="2" t="str">
        <x:v>R26-047</x:v>
      </x:c>
      <x:c r="B455" s="8" t="str">
        <x:v>ครัวซุเบรฟาร์ม อาหารอิสลาม</x:v>
      </x:c>
      <x:c r="C455" s="8" t="str">
        <x:v>กาญจนบุรี</x:v>
      </x:c>
      <x:c r="D455" s="8" t="str"/>
      <x:c r="E455" s="8" t="str">
        <x:v>เพิ่มเข้าชุด 600</x:v>
      </x:c>
      <x:c r="F455" s="8" t="str">
        <x:v>R26-047</x:v>
      </x:c>
      <x:c r="G455" s="8" t="str">
        <x:v>จุดในเอกสาร 10 เส้นทาง</x:v>
      </x:c>
    </x:row>
    <x:row r="456" ht="65" customHeight="1">
      <x:c r="A456" s="2" t="str">
        <x:v>R26-046</x:v>
      </x:c>
      <x:c r="B456" s="8" t="str">
        <x:v>สะพานข้ามแม่น้ำแคว</x:v>
      </x:c>
      <x:c r="C456" s="8" t="str">
        <x:v>กาญจนบุรี</x:v>
      </x:c>
      <x:c r="D456" s="8" t="str"/>
      <x:c r="E456" s="8" t="str">
        <x:v>เพิ่มเข้าชุด 600</x:v>
      </x:c>
      <x:c r="F456" s="8" t="str">
        <x:v>R26-046</x:v>
      </x:c>
      <x:c r="G456" s="8" t="str">
        <x:v>จุดในเอกสาร 10 เส้นทาง</x:v>
      </x:c>
    </x:row>
    <x:row r="457" ht="65" customHeight="1">
      <x:c r="A457" s="2" t="str">
        <x:v>R26-050</x:v>
      </x:c>
      <x:c r="B457" s="8" t="str">
        <x:v>ปางช้างไทรโยค</x:v>
      </x:c>
      <x:c r="C457" s="8" t="str">
        <x:v>กาญจนบุรี</x:v>
      </x:c>
      <x:c r="D457" s="8" t="str"/>
      <x:c r="E457" s="8" t="str">
        <x:v>เพิ่มเข้าชุด 600</x:v>
      </x:c>
      <x:c r="F457" s="8" t="str">
        <x:v>R26-050</x:v>
      </x:c>
      <x:c r="G457" s="8" t="str">
        <x:v>จุดในเอกสาร 10 เส้นทาง</x:v>
      </x:c>
    </x:row>
    <x:row r="458" ht="65" customHeight="1">
      <x:c r="A458" s="2" t="str">
        <x:v>R26-369</x:v>
      </x:c>
      <x:c r="B458" s="8" t="str">
        <x:v>Felix River Kwai Resort</x:v>
      </x:c>
      <x:c r="C458" s="8" t="str">
        <x:v>กาญจนบุรี</x:v>
      </x:c>
      <x:c r="D458" s="8" t="str"/>
      <x:c r="E458" s="8" t="str">
        <x:v>เพิ่มเข้าชุด 600</x:v>
      </x:c>
      <x:c r="F458" s="8" t="str">
        <x:v>R26-369</x:v>
      </x:c>
      <x:c r="G458" s="8" t="str">
        <x:v>เติมประเภทและพื้นที่ตามบรีฟ</x:v>
      </x:c>
    </x:row>
    <x:row r="459" ht="65" customHeight="1">
      <x:c r="A459" s="2" t="str">
        <x:v>R26-371</x:v>
      </x:c>
      <x:c r="B459" s="8" t="str">
        <x:v>Natee The Riverfront Hotel Kanchanaburi</x:v>
      </x:c>
      <x:c r="C459" s="8" t="str">
        <x:v>กาญจนบุรี</x:v>
      </x:c>
      <x:c r="D459" s="8" t="str"/>
      <x:c r="E459" s="8" t="str">
        <x:v>เพิ่มเข้าชุด 600</x:v>
      </x:c>
      <x:c r="F459" s="8" t="str">
        <x:v>R26-371</x:v>
      </x:c>
      <x:c r="G459" s="8" t="str">
        <x:v>เติมประเภทและพื้นที่ตามบรีฟ</x:v>
      </x:c>
    </x:row>
    <x:row r="460" ht="65" customHeight="1">
      <x:c r="A460" s="2" t="str">
        <x:v>R26-372</x:v>
      </x:c>
      <x:c r="B460" s="8" t="str">
        <x:v>River Kwai Resotel</x:v>
      </x:c>
      <x:c r="C460" s="8" t="str">
        <x:v>กาญจนบุรี</x:v>
      </x:c>
      <x:c r="D460" s="8" t="str"/>
      <x:c r="E460" s="8" t="str">
        <x:v>เพิ่มเข้าชุด 600</x:v>
      </x:c>
      <x:c r="F460" s="8" t="str">
        <x:v>R26-372</x:v>
      </x:c>
      <x:c r="G460" s="8" t="str">
        <x:v>เติมประเภทและพื้นที่ตามบรีฟ</x:v>
      </x:c>
    </x:row>
    <x:row r="461" ht="65" customHeight="1">
      <x:c r="A461" s="2" t="str">
        <x:v>R26-370</x:v>
      </x:c>
      <x:c r="B461" s="8" t="str">
        <x:v>U Inchantree Kanchanaburi</x:v>
      </x:c>
      <x:c r="C461" s="8" t="str">
        <x:v>กาญจนบุรี</x:v>
      </x:c>
      <x:c r="D461" s="8" t="str"/>
      <x:c r="E461" s="8" t="str">
        <x:v>เพิ่มเข้าชุด 600</x:v>
      </x:c>
      <x:c r="F461" s="8" t="str">
        <x:v>R26-370</x:v>
      </x:c>
      <x:c r="G461" s="8" t="str">
        <x:v>เติมประเภทและพื้นที่ตามบรีฟ</x:v>
      </x:c>
    </x:row>
    <x:row r="462" ht="65" customHeight="1">
      <x:c r="A462" s="2" t="str">
        <x:v>R26-280</x:v>
      </x:c>
      <x:c r="B462" s="8" t="str">
        <x:v>Dheva Mantra Spa Kanchanaburi</x:v>
      </x:c>
      <x:c r="C462" s="8" t="str">
        <x:v>กาญจนบุรี</x:v>
      </x:c>
      <x:c r="D462" s="8" t="str"/>
      <x:c r="E462" s="8" t="str">
        <x:v>เพิ่มเข้าชุด 600</x:v>
      </x:c>
      <x:c r="F462" s="8" t="str">
        <x:v>R26-280</x:v>
      </x:c>
      <x:c r="G462" s="8" t="str">
        <x:v>เติมประเภทและพื้นที่ตามบรีฟ</x:v>
      </x:c>
    </x:row>
    <x:row r="463" ht="65" customHeight="1">
      <x:c r="A463" s="2" t="str">
        <x:v>R26-262</x:v>
      </x:c>
      <x:c r="B463" s="8" t="str">
        <x:v>Robinson Lifestyle Kanchanaburi</x:v>
      </x:c>
      <x:c r="C463" s="8" t="str">
        <x:v>กาญจนบุรี</x:v>
      </x:c>
      <x:c r="D463" s="8" t="str"/>
      <x:c r="E463" s="8" t="str">
        <x:v>เพิ่มเข้าชุด 600</x:v>
      </x:c>
      <x:c r="F463" s="8" t="str">
        <x:v>R26-262</x:v>
      </x:c>
      <x:c r="G463" s="8" t="str">
        <x:v>เติมประเภทและพื้นที่ตามบรีฟ</x:v>
      </x:c>
    </x:row>
    <x:row r="464" ht="65" customHeight="1">
      <x:c r="A464" s="2" t="str">
        <x:v>R26-131</x:v>
      </x:c>
      <x:c r="B464" s="8" t="str">
        <x:v>ต้นจามจุรียักษ์ กาญจนบุรี</x:v>
      </x:c>
      <x:c r="C464" s="8" t="str">
        <x:v>กาญจนบุรี</x:v>
      </x:c>
      <x:c r="D464" s="8" t="str"/>
      <x:c r="E464" s="8" t="str">
        <x:v>เพิ่มเข้าชุด 600</x:v>
      </x:c>
      <x:c r="F464" s="8" t="str">
        <x:v>R26-131</x:v>
      </x:c>
      <x:c r="G464" s="8" t="str">
        <x:v>เติมประเภทและพื้นที่ตามบรีฟ</x:v>
      </x:c>
    </x:row>
    <x:row r="465" ht="65" customHeight="1">
      <x:c r="A465" s="2" t="str">
        <x:v>R26-128</x:v>
      </x:c>
      <x:c r="B465" s="8" t="str">
        <x:v>น้ำตกห้วยแม่ขมิ้น</x:v>
      </x:c>
      <x:c r="C465" s="8" t="str">
        <x:v>กาญจนบุรี</x:v>
      </x:c>
      <x:c r="D465" s="8" t="str"/>
      <x:c r="E465" s="8" t="str">
        <x:v>เพิ่มเข้าชุด 600</x:v>
      </x:c>
      <x:c r="F465" s="8" t="str">
        <x:v>R26-128</x:v>
      </x:c>
      <x:c r="G465" s="8" t="str">
        <x:v>เติมประเภทและพื้นที่ตามบรีฟ</x:v>
      </x:c>
    </x:row>
    <x:row r="466" ht="65" customHeight="1">
      <x:c r="A466" s="2" t="str">
        <x:v>R26-130</x:v>
      </x:c>
      <x:c r="B466" s="8" t="str">
        <x:v>น้ำตกไทรโยคน้อย</x:v>
      </x:c>
      <x:c r="C466" s="8" t="str">
        <x:v>กาญจนบุรี</x:v>
      </x:c>
      <x:c r="D466" s="8" t="str"/>
      <x:c r="E466" s="8" t="str">
        <x:v>เพิ่มเข้าชุด 600</x:v>
      </x:c>
      <x:c r="F466" s="8" t="str">
        <x:v>R26-130</x:v>
      </x:c>
      <x:c r="G466" s="8" t="str">
        <x:v>เติมประเภทและพื้นที่ตามบรีฟ</x:v>
      </x:c>
    </x:row>
    <x:row r="467" ht="65" customHeight="1">
      <x:c r="A467" s="2" t="str">
        <x:v>R26-129</x:v>
      </x:c>
      <x:c r="B467" s="8" t="str">
        <x:v>อุทยานแห่งชาติไทรโยค</x:v>
      </x:c>
      <x:c r="C467" s="8" t="str">
        <x:v>กาญจนบุรี</x:v>
      </x:c>
      <x:c r="D467" s="8" t="str"/>
      <x:c r="E467" s="8" t="str">
        <x:v>เพิ่มเข้าชุด 600</x:v>
      </x:c>
      <x:c r="F467" s="8" t="str">
        <x:v>R26-129</x:v>
      </x:c>
      <x:c r="G467" s="8" t="str">
        <x:v>เติมประเภทและพื้นที่ตามบรีฟ</x:v>
      </x:c>
    </x:row>
    <x:row r="468" ht="65" customHeight="1">
      <x:c r="A468" s="2" t="str">
        <x:v>R26-133</x:v>
      </x:c>
      <x:c r="B468" s="8" t="str">
        <x:v>พิพิธภัณฑ์ช่องเขาขาด</x:v>
      </x:c>
      <x:c r="C468" s="8" t="str">
        <x:v>กาญจนบุรี</x:v>
      </x:c>
      <x:c r="D468" s="8" t="str"/>
      <x:c r="E468" s="8" t="str">
        <x:v>เพิ่มเข้าชุด 600</x:v>
      </x:c>
      <x:c r="F468" s="8" t="str">
        <x:v>R26-133</x:v>
      </x:c>
      <x:c r="G468" s="8" t="str">
        <x:v>เติมประเภทและพื้นที่ตามบรีฟ</x:v>
      </x:c>
    </x:row>
    <x:row r="469" ht="65" customHeight="1">
      <x:c r="A469" s="2" t="str">
        <x:v>R26-134</x:v>
      </x:c>
      <x:c r="B469" s="8" t="str">
        <x:v>พิพิธภัณฑ์ทางรถไฟไทย-พม่า</x:v>
      </x:c>
      <x:c r="C469" s="8" t="str">
        <x:v>กาญจนบุรี</x:v>
      </x:c>
      <x:c r="D469" s="8" t="str"/>
      <x:c r="E469" s="8" t="str">
        <x:v>เพิ่มเข้าชุด 600</x:v>
      </x:c>
      <x:c r="F469" s="8" t="str">
        <x:v>R26-134</x:v>
      </x:c>
      <x:c r="G469" s="8" t="str">
        <x:v>เติมประเภทและพื้นที่ตามบรีฟ</x:v>
      </x:c>
    </x:row>
    <x:row r="470" ht="65" customHeight="1">
      <x:c r="A470" s="2" t="str">
        <x:v>R26-137</x:v>
      </x:c>
      <x:c r="B470" s="8" t="str">
        <x:v>ชุมชนบ้านพุองกะ</x:v>
      </x:c>
      <x:c r="C470" s="8" t="str">
        <x:v>กาญจนบุรี</x:v>
      </x:c>
      <x:c r="D470" s="8" t="str"/>
      <x:c r="E470" s="8" t="str">
        <x:v>เพิ่มเข้าชุด 600</x:v>
      </x:c>
      <x:c r="F470" s="8" t="str">
        <x:v>R26-137</x:v>
      </x:c>
      <x:c r="G470" s="8" t="str">
        <x:v>เติมประเภทและพื้นที่ตามบรีฟ</x:v>
      </x:c>
    </x:row>
    <x:row r="471" ht="65" customHeight="1">
      <x:c r="A471" s="2" t="str">
        <x:v>R26-136</x:v>
      </x:c>
      <x:c r="B471" s="8" t="str">
        <x:v>ชุมชนบ้านสามัคคีธรรม กาญจนบุรี</x:v>
      </x:c>
      <x:c r="C471" s="8" t="str">
        <x:v>กาญจนบุรี</x:v>
      </x:c>
      <x:c r="D471" s="8" t="str"/>
      <x:c r="E471" s="8" t="str">
        <x:v>เพิ่มเข้าชุด 600</x:v>
      </x:c>
      <x:c r="F471" s="8" t="str">
        <x:v>R26-136</x:v>
      </x:c>
      <x:c r="G471" s="8" t="str">
        <x:v>เติมประเภทและพื้นที่ตามบรีฟ</x:v>
      </x:c>
    </x:row>
    <x:row r="472" ht="65" customHeight="1">
      <x:c r="A472" s="2" t="str">
        <x:v>R26-135</x:v>
      </x:c>
      <x:c r="B472" s="8" t="str">
        <x:v>ชุมชนบ้านหนองขาว</x:v>
      </x:c>
      <x:c r="C472" s="8" t="str">
        <x:v>กาญจนบุรี</x:v>
      </x:c>
      <x:c r="D472" s="8" t="str"/>
      <x:c r="E472" s="8" t="str">
        <x:v>เพิ่มเข้าชุด 600</x:v>
      </x:c>
      <x:c r="F472" s="8" t="str">
        <x:v>R26-135</x:v>
      </x:c>
      <x:c r="G472" s="8" t="str">
        <x:v>เติมประเภทและพื้นที่ตามบรีฟ</x:v>
      </x:c>
    </x:row>
    <x:row r="473" ht="65" customHeight="1">
      <x:c r="A473" s="2" t="str">
        <x:v>R26-302</x:v>
      </x:c>
      <x:c r="B473" s="8" t="str">
        <x:v>ElephantsWorld</x:v>
      </x:c>
      <x:c r="C473" s="8" t="str">
        <x:v>กาญจนบุรี</x:v>
      </x:c>
      <x:c r="D473" s="8" t="str"/>
      <x:c r="E473" s="8" t="str">
        <x:v>เพิ่มเข้าชุด 600</x:v>
      </x:c>
      <x:c r="F473" s="8" t="str">
        <x:v>R26-302</x:v>
      </x:c>
      <x:c r="G473" s="8" t="str">
        <x:v>เติมประเภทและพื้นที่ตามบรีฟ</x:v>
      </x:c>
    </x:row>
    <x:row r="474" ht="65" customHeight="1">
      <x:c r="A474" s="2" t="str">
        <x:v>R26-054</x:v>
      </x:c>
      <x:c r="B474" s="8" t="str">
        <x:v>ย่านเมืองเก่าราชบุรี</x:v>
      </x:c>
      <x:c r="C474" s="8" t="str">
        <x:v>ราชบุรี</x:v>
      </x:c>
      <x:c r="D474" s="8" t="str"/>
      <x:c r="E474" s="8" t="str">
        <x:v>เพิ่มเข้าชุด 600</x:v>
      </x:c>
      <x:c r="F474" s="8" t="str">
        <x:v>R26-054</x:v>
      </x:c>
      <x:c r="G474" s="8" t="str">
        <x:v>จุดในเอกสาร 10 เส้นทาง</x:v>
      </x:c>
    </x:row>
    <x:row r="475" ht="65" customHeight="1">
      <x:c r="A475" s="2" t="str">
        <x:v>R26-051</x:v>
      </x:c>
      <x:c r="B475" s="8" t="str">
        <x:v>เถ้าฮงไถ่</x:v>
      </x:c>
      <x:c r="C475" s="8" t="str">
        <x:v>ราชบุรี</x:v>
      </x:c>
      <x:c r="D475" s="8" t="str"/>
      <x:c r="E475" s="8" t="str">
        <x:v>เพิ่มเข้าชุด 600</x:v>
      </x:c>
      <x:c r="F475" s="8" t="str">
        <x:v>R26-051</x:v>
      </x:c>
      <x:c r="G475" s="8" t="str">
        <x:v>จุดในเอกสาร 10 เส้นทาง</x:v>
      </x:c>
    </x:row>
    <x:row r="476" ht="65" customHeight="1">
      <x:c r="A476" s="2" t="str">
        <x:v>R26-053</x:v>
      </x:c>
      <x:c r="B476" s="8" t="str">
        <x:v>เรื่องของโอ่ง Pottery Legend</x:v>
      </x:c>
      <x:c r="C476" s="8" t="str">
        <x:v>ราชบุรี</x:v>
      </x:c>
      <x:c r="D476" s="8" t="str"/>
      <x:c r="E476" s="8" t="str">
        <x:v>เพิ่มเข้าชุด 600</x:v>
      </x:c>
      <x:c r="F476" s="8" t="str">
        <x:v>R26-053</x:v>
      </x:c>
      <x:c r="G476" s="8" t="str">
        <x:v>จุดในเอกสาร 10 เส้นทาง</x:v>
      </x:c>
    </x:row>
    <x:row r="477" ht="65" customHeight="1">
      <x:c r="A477" s="2" t="str">
        <x:v>R26-376</x:v>
      </x:c>
      <x:c r="B477" s="8" t="str">
        <x:v>Inlaya Ratchaburi</x:v>
      </x:c>
      <x:c r="C477" s="8" t="str">
        <x:v>ราชบุรี</x:v>
      </x:c>
      <x:c r="D477" s="8" t="str"/>
      <x:c r="E477" s="8" t="str">
        <x:v>เพิ่มเข้าชุด 600</x:v>
      </x:c>
      <x:c r="F477" s="8" t="str">
        <x:v>R26-376</x:v>
      </x:c>
      <x:c r="G477" s="8" t="str">
        <x:v>เติมประเภทและพื้นที่ตามบรีฟ</x:v>
      </x:c>
    </x:row>
    <x:row r="478" ht="65" customHeight="1">
      <x:c r="A478" s="2" t="str">
        <x:v>R26-375</x:v>
      </x:c>
      <x:c r="B478" s="8" t="str">
        <x:v>Le Lert Hotel Ratchaburi</x:v>
      </x:c>
      <x:c r="C478" s="8" t="str">
        <x:v>ราชบุรี</x:v>
      </x:c>
      <x:c r="D478" s="8" t="str"/>
      <x:c r="E478" s="8" t="str">
        <x:v>เพิ่มเข้าชุด 600</x:v>
      </x:c>
      <x:c r="F478" s="8" t="str">
        <x:v>R26-375</x:v>
      </x:c>
      <x:c r="G478" s="8" t="str">
        <x:v>เติมประเภทและพื้นที่ตามบรีฟ</x:v>
      </x:c>
    </x:row>
    <x:row r="479" ht="65" customHeight="1">
      <x:c r="A479" s="2" t="str">
        <x:v>R26-374</x:v>
      </x:c>
      <x:c r="B479" s="8" t="str">
        <x:v>Rachabhura Hotel</x:v>
      </x:c>
      <x:c r="C479" s="8" t="str">
        <x:v>ราชบุรี</x:v>
      </x:c>
      <x:c r="D479" s="8" t="str"/>
      <x:c r="E479" s="8" t="str">
        <x:v>เพิ่มเข้าชุด 600</x:v>
      </x:c>
      <x:c r="F479" s="8" t="str">
        <x:v>R26-374</x:v>
      </x:c>
      <x:c r="G479" s="8" t="str">
        <x:v>เติมประเภทและพื้นที่ตามบรีฟ</x:v>
      </x:c>
    </x:row>
    <x:row r="480" ht="65" customHeight="1">
      <x:c r="A480" s="2" t="str">
        <x:v>R26-281</x:v>
      </x:c>
      <x:c r="B480" s="8" t="str">
        <x:v>ธารน้ำร้อนบ่อคลึง</x:v>
      </x:c>
      <x:c r="C480" s="8" t="str">
        <x:v>ราชบุรี</x:v>
      </x:c>
      <x:c r="D480" s="8" t="str"/>
      <x:c r="E480" s="8" t="str">
        <x:v>เพิ่มเข้าชุด 600</x:v>
      </x:c>
      <x:c r="F480" s="8" t="str">
        <x:v>R26-281</x:v>
      </x:c>
      <x:c r="G480" s="8" t="str">
        <x:v>เติมประเภทและพื้นที่ตามบรีฟ</x:v>
      </x:c>
    </x:row>
    <x:row r="481" ht="65" customHeight="1">
      <x:c r="A481" s="2" t="str">
        <x:v>R26-263</x:v>
      </x:c>
      <x:c r="B481" s="8" t="str">
        <x:v>Robinson Lifestyle Ratchaburi</x:v>
      </x:c>
      <x:c r="C481" s="8" t="str">
        <x:v>ราชบุรี</x:v>
      </x:c>
      <x:c r="D481" s="8" t="str"/>
      <x:c r="E481" s="8" t="str">
        <x:v>เพิ่มเข้าชุด 600</x:v>
      </x:c>
      <x:c r="F481" s="8" t="str">
        <x:v>R26-263</x:v>
      </x:c>
      <x:c r="G481" s="8" t="str">
        <x:v>เติมประเภทและพื้นที่ตามบรีฟ</x:v>
      </x:c>
    </x:row>
    <x:row r="482" ht="65" customHeight="1">
      <x:c r="A482" s="2" t="str">
        <x:v>R26-139</x:v>
      </x:c>
      <x:c r="B482" s="8" t="str">
        <x:v>ถ้ำเขาบิน</x:v>
      </x:c>
      <x:c r="C482" s="8" t="str">
        <x:v>ราชบุรี</x:v>
      </x:c>
      <x:c r="D482" s="8" t="str"/>
      <x:c r="E482" s="8" t="str">
        <x:v>เพิ่มเข้าชุด 600</x:v>
      </x:c>
      <x:c r="F482" s="8" t="str">
        <x:v>R26-139</x:v>
      </x:c>
      <x:c r="G482" s="8" t="str">
        <x:v>เติมประเภทและพื้นที่ตามบรีฟ</x:v>
      </x:c>
    </x:row>
    <x:row r="483" ht="65" customHeight="1">
      <x:c r="A483" s="2" t="str">
        <x:v>R26-140</x:v>
      </x:c>
      <x:c r="B483" s="8" t="str">
        <x:v>น้ำตกเก้าโจน</x:v>
      </x:c>
      <x:c r="C483" s="8" t="str">
        <x:v>ราชบุรี</x:v>
      </x:c>
      <x:c r="D483" s="8" t="str"/>
      <x:c r="E483" s="8" t="str">
        <x:v>เพิ่มเข้าชุด 600</x:v>
      </x:c>
      <x:c r="F483" s="8" t="str">
        <x:v>R26-140</x:v>
      </x:c>
      <x:c r="G483" s="8" t="str">
        <x:v>เติมประเภทและพื้นที่ตามบรีฟ</x:v>
      </x:c>
    </x:row>
    <x:row r="484" ht="65" customHeight="1">
      <x:c r="A484" s="2" t="str">
        <x:v>R26-141</x:v>
      </x:c>
      <x:c r="B484" s="8" t="str">
        <x:v>สวนพฤกษศาสตร์วรรณคดีภาคกลาง ราชบุรี</x:v>
      </x:c>
      <x:c r="C484" s="8" t="str">
        <x:v>ราชบุรี</x:v>
      </x:c>
      <x:c r="D484" s="8" t="str"/>
      <x:c r="E484" s="8" t="str">
        <x:v>เพิ่มเข้าชุด 600</x:v>
      </x:c>
      <x:c r="F484" s="8" t="str">
        <x:v>R26-141</x:v>
      </x:c>
      <x:c r="G484" s="8" t="str">
        <x:v>เติมประเภทและพื้นที่ตามบรีฟ</x:v>
      </x:c>
    </x:row>
    <x:row r="485" ht="65" customHeight="1">
      <x:c r="A485" s="2" t="str">
        <x:v>R26-138</x:v>
      </x:c>
      <x:c r="B485" s="8" t="str">
        <x:v>อุทยานหินเขางู</x:v>
      </x:c>
      <x:c r="C485" s="8" t="str">
        <x:v>ราชบุรี</x:v>
      </x:c>
      <x:c r="D485" s="8" t="str"/>
      <x:c r="E485" s="8" t="str">
        <x:v>เพิ่มเข้าชุด 600</x:v>
      </x:c>
      <x:c r="F485" s="8" t="str">
        <x:v>R26-138</x:v>
      </x:c>
      <x:c r="G485" s="8" t="str">
        <x:v>เติมประเภทและพื้นที่ตามบรีฟ</x:v>
      </x:c>
    </x:row>
    <x:row r="486" ht="65" customHeight="1">
      <x:c r="A486" s="2" t="str">
        <x:v>R26-143</x:v>
      </x:c>
      <x:c r="B486" s="8" t="str">
        <x:v>ชุมชนบ้านคูบัว</x:v>
      </x:c>
      <x:c r="C486" s="8" t="str">
        <x:v>ราชบุรี</x:v>
      </x:c>
      <x:c r="D486" s="8" t="str"/>
      <x:c r="E486" s="8" t="str">
        <x:v>เพิ่มเข้าชุด 600</x:v>
      </x:c>
      <x:c r="F486" s="8" t="str">
        <x:v>R26-143</x:v>
      </x:c>
      <x:c r="G486" s="8" t="str">
        <x:v>เติมประเภทและพื้นที่ตามบรีฟ</x:v>
      </x:c>
    </x:row>
    <x:row r="487" ht="65" customHeight="1">
      <x:c r="A487" s="2" t="str">
        <x:v>R26-144</x:v>
      </x:c>
      <x:c r="B487" s="8" t="str">
        <x:v>ชุมชนบ้านม่วง ราชบุรี</x:v>
      </x:c>
      <x:c r="C487" s="8" t="str">
        <x:v>ราชบุรี</x:v>
      </x:c>
      <x:c r="D487" s="8" t="str"/>
      <x:c r="E487" s="8" t="str">
        <x:v>เพิ่มเข้าชุด 600</x:v>
      </x:c>
      <x:c r="F487" s="8" t="str">
        <x:v>R26-144</x:v>
      </x:c>
      <x:c r="G487" s="8" t="str">
        <x:v>เติมประเภทและพื้นที่ตามบรีฟ</x:v>
      </x:c>
    </x:row>
    <x:row r="488" ht="65" customHeight="1">
      <x:c r="A488" s="2" t="str">
        <x:v>R26-149</x:v>
      </x:c>
      <x:c r="B488" s="8" t="str">
        <x:v>Alpaca Hill</x:v>
      </x:c>
      <x:c r="C488" s="8" t="str">
        <x:v>ราชบุรี</x:v>
      </x:c>
      <x:c r="D488" s="8" t="str"/>
      <x:c r="E488" s="8" t="str">
        <x:v>เพิ่มเข้าชุด 600</x:v>
      </x:c>
      <x:c r="F488" s="8" t="str">
        <x:v>R26-149</x:v>
      </x:c>
      <x:c r="G488" s="8" t="str">
        <x:v>เติมประเภทและพื้นที่ตามบรีฟ</x:v>
      </x:c>
    </x:row>
    <x:row r="489" ht="65" customHeight="1">
      <x:c r="A489" s="2" t="str">
        <x:v>R26-303</x:v>
      </x:c>
      <x:c r="B489" s="8" t="str">
        <x:v>CORO Field</x:v>
      </x:c>
      <x:c r="C489" s="8" t="str">
        <x:v>ราชบุรี</x:v>
      </x:c>
      <x:c r="D489" s="8" t="str"/>
      <x:c r="E489" s="8" t="str">
        <x:v>เพิ่มเข้าชุด 600</x:v>
      </x:c>
      <x:c r="F489" s="8" t="str">
        <x:v>R26-303</x:v>
      </x:c>
      <x:c r="G489" s="8" t="str">
        <x:v>เติมประเภทและพื้นที่ตามบรีฟ</x:v>
      </x:c>
    </x:row>
    <x:row r="490" ht="65" customHeight="1">
      <x:c r="A490" s="2" t="str">
        <x:v>R26-148</x:v>
      </x:c>
      <x:c r="B490" s="8" t="str">
        <x:v>The Scenery Vintage Farm</x:v>
      </x:c>
      <x:c r="C490" s="8" t="str">
        <x:v>ราชบุรี</x:v>
      </x:c>
      <x:c r="D490" s="8" t="str"/>
      <x:c r="E490" s="8" t="str">
        <x:v>เพิ่มเข้าชุด 600</x:v>
      </x:c>
      <x:c r="F490" s="8" t="str">
        <x:v>R26-148</x:v>
      </x:c>
      <x:c r="G490" s="8" t="str">
        <x:v>เติมประเภทและพื้นที่ตามบรีฟ</x:v>
      </x:c>
    </x:row>
    <x:row r="491" ht="65" customHeight="1">
      <x:c r="A491" s="2" t="str">
        <x:v>R26-147</x:v>
      </x:c>
      <x:c r="B491" s="8" t="str">
        <x:v>สวนผึ้งไฮแลนด์</x:v>
      </x:c>
      <x:c r="C491" s="8" t="str">
        <x:v>ราชบุรี</x:v>
      </x:c>
      <x:c r="D491" s="8" t="str"/>
      <x:c r="E491" s="8" t="str">
        <x:v>เพิ่มเข้าชุด 600</x:v>
      </x:c>
      <x:c r="F491" s="8" t="str">
        <x:v>R26-147</x:v>
      </x:c>
      <x:c r="G491" s="8" t="str">
        <x:v>เติมประเภทและพื้นที่ตามบรีฟ</x:v>
      </x:c>
    </x:row>
    <x:row r="492" ht="65" customHeight="1">
      <x:c r="A492" s="2" t="str">
        <x:v>R26-060</x:v>
      </x:c>
      <x:c r="B492" s="8" t="str">
        <x:v>ครัวไทรงาม ฮาลาลฟู้ด พัทยา</x:v>
      </x:c>
      <x:c r="C492" s="8" t="str">
        <x:v>ชลบุรี</x:v>
      </x:c>
      <x:c r="D492" s="8" t="str"/>
      <x:c r="E492" s="8" t="str">
        <x:v>เพิ่มเข้าชุด 600</x:v>
      </x:c>
      <x:c r="F492" s="8" t="str">
        <x:v>R26-060</x:v>
      </x:c>
      <x:c r="G492" s="8" t="str">
        <x:v>จุดในเอกสาร 10 เส้นทาง</x:v>
      </x:c>
    </x:row>
    <x:row r="493" ht="65" customHeight="1">
      <x:c r="A493" s="2" t="str">
        <x:v>R26-059</x:v>
      </x:c>
      <x:c r="B493" s="8" t="str">
        <x:v>หาดจอมเทียน</x:v>
      </x:c>
      <x:c r="C493" s="8" t="str">
        <x:v>ชลบุรี</x:v>
      </x:c>
      <x:c r="D493" s="8" t="str"/>
      <x:c r="E493" s="8" t="str">
        <x:v>เพิ่มเข้าชุด 600</x:v>
      </x:c>
      <x:c r="F493" s="8" t="str">
        <x:v>R26-059</x:v>
      </x:c>
      <x:c r="G493" s="8" t="str">
        <x:v>จุดในเอกสาร 10 เส้นทาง</x:v>
      </x:c>
    </x:row>
    <x:row r="494" ht="65" customHeight="1">
      <x:c r="A494" s="2" t="str">
        <x:v>R26-056</x:v>
      </x:c>
      <x:c r="B494" s="8" t="str">
        <x:v>ตลาดน้ำ 4 ภาค พัทยา</x:v>
      </x:c>
      <x:c r="C494" s="8" t="str">
        <x:v>ชลบุรี</x:v>
      </x:c>
      <x:c r="D494" s="8" t="str"/>
      <x:c r="E494" s="8" t="str">
        <x:v>เพิ่มเข้าชุด 600</x:v>
      </x:c>
      <x:c r="F494" s="8" t="str">
        <x:v>R26-056</x:v>
      </x:c>
      <x:c r="G494" s="8" t="str">
        <x:v>จุดในเอกสาร 10 เส้นทาง</x:v>
      </x:c>
    </x:row>
    <x:row r="495" ht="65" customHeight="1">
      <x:c r="A495" s="2" t="str">
        <x:v>R26-058</x:v>
      </x:c>
      <x:c r="B495" s="8" t="str">
        <x:v>สวนนงนุช พัทยา</x:v>
      </x:c>
      <x:c r="C495" s="8" t="str">
        <x:v>ชลบุรี</x:v>
      </x:c>
      <x:c r="D495" s="8" t="str"/>
      <x:c r="E495" s="8" t="str">
        <x:v>เพิ่มเข้าชุด 600</x:v>
      </x:c>
      <x:c r="F495" s="8" t="str">
        <x:v>R26-058</x:v>
      </x:c>
      <x:c r="G495" s="8" t="str">
        <x:v>จุดในเอกสาร 10 เส้นทาง</x:v>
      </x:c>
    </x:row>
    <x:row r="496" ht="65" customHeight="1">
      <x:c r="A496" s="2" t="str">
        <x:v>R26-282</x:v>
      </x:c>
      <x:c r="B496" s="8" t="str">
        <x:v>Health Land Pattaya</x:v>
      </x:c>
      <x:c r="C496" s="8" t="str">
        <x:v>ชลบุรี</x:v>
      </x:c>
      <x:c r="D496" s="8" t="str"/>
      <x:c r="E496" s="8" t="str">
        <x:v>เพิ่มเข้าชุด 600</x:v>
      </x:c>
      <x:c r="F496" s="8" t="str">
        <x:v>R26-282</x:v>
      </x:c>
      <x:c r="G496" s="8" t="str">
        <x:v>เติมประเภทและพื้นที่ตามบรีฟ</x:v>
      </x:c>
    </x:row>
    <x:row r="497" ht="65" customHeight="1">
      <x:c r="A497" s="2" t="str">
        <x:v>R26-283</x:v>
      </x:c>
      <x:c r="B497" s="8" t="str">
        <x:v>Let's Relax Onsen and Spa Pattaya</x:v>
      </x:c>
      <x:c r="C497" s="8" t="str">
        <x:v>ชลบุรี</x:v>
      </x:c>
      <x:c r="D497" s="8" t="str"/>
      <x:c r="E497" s="8" t="str">
        <x:v>เพิ่มเข้าชุด 600</x:v>
      </x:c>
      <x:c r="F497" s="8" t="str">
        <x:v>R26-283</x:v>
      </x:c>
      <x:c r="G497" s="8" t="str">
        <x:v>เติมประเภทและพื้นที่ตามบรีฟ</x:v>
      </x:c>
    </x:row>
    <x:row r="498" ht="65" customHeight="1">
      <x:c r="A498" s="2" t="str">
        <x:v>R26-264</x:v>
      </x:c>
      <x:c r="B498" s="8" t="str">
        <x:v>Central Pattaya</x:v>
      </x:c>
      <x:c r="C498" s="8" t="str">
        <x:v>ชลบุรี</x:v>
      </x:c>
      <x:c r="D498" s="8" t="str"/>
      <x:c r="E498" s="8" t="str">
        <x:v>เพิ่มเข้าชุด 600</x:v>
      </x:c>
      <x:c r="F498" s="8" t="str">
        <x:v>R26-264</x:v>
      </x:c>
      <x:c r="G498" s="8" t="str">
        <x:v>เติมประเภทและพื้นที่ตามบรีฟ</x:v>
      </x:c>
    </x:row>
    <x:row r="499" ht="65" customHeight="1">
      <x:c r="A499" s="2" t="str">
        <x:v>R26-265</x:v>
      </x:c>
      <x:c r="B499" s="8" t="str">
        <x:v>Terminal 21 Pattaya</x:v>
      </x:c>
      <x:c r="C499" s="8" t="str">
        <x:v>ชลบุรี</x:v>
      </x:c>
      <x:c r="D499" s="8" t="str"/>
      <x:c r="E499" s="8" t="str">
        <x:v>เพิ่มเข้าชุด 600</x:v>
      </x:c>
      <x:c r="F499" s="8" t="str">
        <x:v>R26-265</x:v>
      </x:c>
      <x:c r="G499" s="8" t="str">
        <x:v>เติมประเภทและพื้นที่ตามบรีฟ</x:v>
      </x:c>
    </x:row>
    <x:row r="500" ht="65" customHeight="1">
      <x:c r="A500" s="2" t="str">
        <x:v>R26-160</x:v>
      </x:c>
      <x:c r="B500" s="8" t="str">
        <x:v>Columbia Pictures Aquaverse</x:v>
      </x:c>
      <x:c r="C500" s="8" t="str">
        <x:v>ชลบุรี</x:v>
      </x:c>
      <x:c r="D500" s="8" t="str"/>
      <x:c r="E500" s="8" t="str">
        <x:v>เพิ่มเข้าชุด 600</x:v>
      </x:c>
      <x:c r="F500" s="8" t="str">
        <x:v>R26-160</x:v>
      </x:c>
      <x:c r="G500" s="8" t="str">
        <x:v>เติมประเภทและพื้นที่ตามบรีฟ</x:v>
      </x:c>
    </x:row>
    <x:row r="501" ht="65" customHeight="1">
      <x:c r="A501" s="2" t="str">
        <x:v>R26-328</x:v>
      </x:c>
      <x:c r="B501" s="8" t="str">
        <x:v>Ramayana Water Park</x:v>
      </x:c>
      <x:c r="C501" s="8" t="str">
        <x:v>ชลบุรี</x:v>
      </x:c>
      <x:c r="D501" s="8" t="str"/>
      <x:c r="E501" s="8" t="str">
        <x:v>เพิ่มเข้าชุด 600</x:v>
      </x:c>
      <x:c r="F501" s="8" t="str">
        <x:v>R26-328</x:v>
      </x:c>
      <x:c r="G501" s="8" t="str">
        <x:v>เติมประเภทและพื้นที่ตามบรีฟ</x:v>
      </x:c>
    </x:row>
    <x:row r="502" ht="65" customHeight="1">
      <x:c r="A502" s="2" t="str">
        <x:v>R26-161</x:v>
      </x:c>
      <x:c r="B502" s="8" t="str">
        <x:v>Underwater World Pattaya</x:v>
      </x:c>
      <x:c r="C502" s="8" t="str">
        <x:v>ชลบุรี</x:v>
      </x:c>
      <x:c r="D502" s="8" t="str"/>
      <x:c r="E502" s="8" t="str">
        <x:v>เพิ่มเข้าชุด 600</x:v>
      </x:c>
      <x:c r="F502" s="8" t="str">
        <x:v>R26-161</x:v>
      </x:c>
      <x:c r="G502" s="8" t="str">
        <x:v>เติมประเภทและพื้นที่ตามบรีฟ</x:v>
      </x:c>
    </x:row>
    <x:row r="503" ht="65" customHeight="1">
      <x:c r="A503" s="2" t="str">
        <x:v>R26-062</x:v>
      </x:c>
      <x:c r="B503" s="8" t="str">
        <x:v>ส้มตำกำแพงแตก ระยอง</x:v>
      </x:c>
      <x:c r="C503" s="8" t="str">
        <x:v>ระยอง</x:v>
      </x:c>
      <x:c r="D503" s="8" t="str"/>
      <x:c r="E503" s="8" t="str">
        <x:v>เพิ่มเข้าชุด 600</x:v>
      </x:c>
      <x:c r="F503" s="8" t="str">
        <x:v>R26-062</x:v>
      </x:c>
      <x:c r="G503" s="8" t="str">
        <x:v>จุดในเอกสาร 10 เส้นทาง</x:v>
      </x:c>
    </x:row>
    <x:row r="504" ht="65" customHeight="1">
      <x:c r="A504" s="2" t="str">
        <x:v>R26-064</x:v>
      </x:c>
      <x:c r="B504" s="8" t="str">
        <x:v>หาดแหลมเจริญ</x:v>
      </x:c>
      <x:c r="C504" s="8" t="str">
        <x:v>ระยอง</x:v>
      </x:c>
      <x:c r="D504" s="8" t="str"/>
      <x:c r="E504" s="8" t="str">
        <x:v>เพิ่มเข้าชุด 600</x:v>
      </x:c>
      <x:c r="F504" s="8" t="str">
        <x:v>R26-064</x:v>
      </x:c>
      <x:c r="G504" s="8" t="str">
        <x:v>จุดในเอกสาร 10 เส้นทาง</x:v>
      </x:c>
    </x:row>
    <x:row r="505" ht="65" customHeight="1">
      <x:c r="A505" s="2" t="str">
        <x:v>R26-063</x:v>
      </x:c>
      <x:c r="B505" s="8" t="str">
        <x:v>ชุมชนบ้านเพ</x:v>
      </x:c>
      <x:c r="C505" s="8" t="str">
        <x:v>ระยอง</x:v>
      </x:c>
      <x:c r="D505" s="8" t="str"/>
      <x:c r="E505" s="8" t="str">
        <x:v>เพิ่มเข้าชุด 600</x:v>
      </x:c>
      <x:c r="F505" s="8" t="str">
        <x:v>R26-063</x:v>
      </x:c>
      <x:c r="G505" s="8" t="str">
        <x:v>จุดในเอกสาร 10 เส้นทาง</x:v>
      </x:c>
    </x:row>
    <x:row r="506" ht="65" customHeight="1">
      <x:c r="A506" s="2" t="str">
        <x:v>R26-061</x:v>
      </x:c>
      <x:c r="B506" s="8" t="str">
        <x:v>สวนสุภัทราแลนด์</x:v>
      </x:c>
      <x:c r="C506" s="8" t="str">
        <x:v>ระยอง</x:v>
      </x:c>
      <x:c r="D506" s="8" t="str"/>
      <x:c r="E506" s="8" t="str">
        <x:v>เพิ่มเข้าชุด 600</x:v>
      </x:c>
      <x:c r="F506" s="8" t="str">
        <x:v>R26-061</x:v>
      </x:c>
      <x:c r="G506" s="8" t="str">
        <x:v>จุดในเอกสาร 10 เส้นทาง</x:v>
      </x:c>
    </x:row>
    <x:row r="507" ht="65" customHeight="1">
      <x:c r="A507" s="2" t="str">
        <x:v>R26-284</x:v>
      </x:c>
      <x:c r="B507" s="8" t="str">
        <x:v>Quan Spa Rayong Marriott</x:v>
      </x:c>
      <x:c r="C507" s="8" t="str">
        <x:v>ระยอง</x:v>
      </x:c>
      <x:c r="D507" s="8" t="str"/>
      <x:c r="E507" s="8" t="str">
        <x:v>เพิ่มเข้าชุด 600</x:v>
      </x:c>
      <x:c r="F507" s="8" t="str">
        <x:v>R26-284</x:v>
      </x:c>
      <x:c r="G507" s="8" t="str">
        <x:v>เติมประเภทและพื้นที่ตามบรีฟ</x:v>
      </x:c>
    </x:row>
    <x:row r="508" ht="65" customHeight="1">
      <x:c r="A508" s="2" t="str">
        <x:v>R26-266</x:v>
      </x:c>
      <x:c r="B508" s="8" t="str">
        <x:v>Central Rayong</x:v>
      </x:c>
      <x:c r="C508" s="8" t="str">
        <x:v>ระยอง</x:v>
      </x:c>
      <x:c r="D508" s="8" t="str"/>
      <x:c r="E508" s="8" t="str">
        <x:v>เพิ่มเข้าชุด 600</x:v>
      </x:c>
      <x:c r="F508" s="8" t="str">
        <x:v>R26-266</x:v>
      </x:c>
      <x:c r="G508" s="8" t="str">
        <x:v>เติมประเภทและพื้นที่ตามบรีฟ</x:v>
      </x:c>
    </x:row>
    <x:row r="509" ht="65" customHeight="1">
      <x:c r="A509" s="2" t="str">
        <x:v>R26-154</x:v>
      </x:c>
      <x:c r="B509" s="8" t="str">
        <x:v>ทุ่งโปรงทอง</x:v>
      </x:c>
      <x:c r="C509" s="8" t="str">
        <x:v>ระยอง</x:v>
      </x:c>
      <x:c r="D509" s="8" t="str"/>
      <x:c r="E509" s="8" t="str">
        <x:v>เพิ่มเข้าชุด 600</x:v>
      </x:c>
      <x:c r="F509" s="8" t="str">
        <x:v>R26-154</x:v>
      </x:c>
      <x:c r="G509" s="8" t="str">
        <x:v>เติมประเภทและพื้นที่ตามบรีฟ</x:v>
      </x:c>
    </x:row>
    <x:row r="510" ht="65" customHeight="1">
      <x:c r="A510" s="2" t="str">
        <x:v>R26-152</x:v>
      </x:c>
      <x:c r="B510" s="8" t="str">
        <x:v>สวนพฤกษศาสตร์ระยอง</x:v>
      </x:c>
      <x:c r="C510" s="8" t="str">
        <x:v>ระยอง</x:v>
      </x:c>
      <x:c r="D510" s="8" t="str"/>
      <x:c r="E510" s="8" t="str">
        <x:v>เพิ่มเข้าชุด 600</x:v>
      </x:c>
      <x:c r="F510" s="8" t="str">
        <x:v>R26-152</x:v>
      </x:c>
      <x:c r="G510" s="8" t="str">
        <x:v>เติมประเภทและพื้นที่ตามบรีฟ</x:v>
      </x:c>
    </x:row>
    <x:row r="511" ht="65" customHeight="1">
      <x:c r="A511" s="2" t="str">
        <x:v>R26-155</x:v>
      </x:c>
      <x:c r="B511" s="8" t="str">
        <x:v>หาดแม่รำพึง</x:v>
      </x:c>
      <x:c r="C511" s="8" t="str">
        <x:v>ระยอง</x:v>
      </x:c>
      <x:c r="D511" s="8" t="str"/>
      <x:c r="E511" s="8" t="str">
        <x:v>เพิ่มเข้าชุด 600</x:v>
      </x:c>
      <x:c r="F511" s="8" t="str">
        <x:v>R26-155</x:v>
      </x:c>
      <x:c r="G511" s="8" t="str">
        <x:v>เติมประเภทและพื้นที่ตามบรีฟ</x:v>
      </x:c>
    </x:row>
    <x:row r="512" ht="65" customHeight="1">
      <x:c r="A512" s="2" t="str">
        <x:v>R26-153</x:v>
      </x:c>
      <x:c r="B512" s="8" t="str">
        <x:v>อุทยานแห่งชาติเขาแหลมหญ้า-หมู่เกาะเสม็ด</x:v>
      </x:c>
      <x:c r="C512" s="8" t="str">
        <x:v>ระยอง</x:v>
      </x:c>
      <x:c r="D512" s="8" t="str"/>
      <x:c r="E512" s="8" t="str">
        <x:v>เพิ่มเข้าชุด 600</x:v>
      </x:c>
      <x:c r="F512" s="8" t="str">
        <x:v>R26-153</x:v>
      </x:c>
      <x:c r="G512" s="8" t="str">
        <x:v>เติมประเภทและพื้นที่ตามบรีฟ</x:v>
      </x:c>
    </x:row>
    <x:row r="513" ht="65" customHeight="1">
      <x:c r="A513" s="2" t="str">
        <x:v>R26-157</x:v>
      </x:c>
      <x:c r="B513" s="8" t="str">
        <x:v>ชุมชนบ้านทะเลน้อย ระยอง</x:v>
      </x:c>
      <x:c r="C513" s="8" t="str">
        <x:v>ระยอง</x:v>
      </x:c>
      <x:c r="D513" s="8" t="str"/>
      <x:c r="E513" s="8" t="str">
        <x:v>เพิ่มเข้าชุด 600</x:v>
      </x:c>
      <x:c r="F513" s="8" t="str">
        <x:v>R26-157</x:v>
      </x:c>
      <x:c r="G513" s="8" t="str">
        <x:v>เติมประเภทและพื้นที่ตามบรีฟ</x:v>
      </x:c>
    </x:row>
    <x:row r="514" ht="65" customHeight="1">
      <x:c r="A514" s="2" t="str">
        <x:v>R26-156</x:v>
      </x:c>
      <x:c r="B514" s="8" t="str">
        <x:v>ชุมชนปากน้ำประแส</x:v>
      </x:c>
      <x:c r="C514" s="8" t="str">
        <x:v>ระยอง</x:v>
      </x:c>
      <x:c r="D514" s="8" t="str"/>
      <x:c r="E514" s="8" t="str">
        <x:v>เพิ่มเข้าชุด 600</x:v>
      </x:c>
      <x:c r="F514" s="8" t="str">
        <x:v>R26-156</x:v>
      </x:c>
      <x:c r="G514" s="8" t="str">
        <x:v>เติมประเภทและพื้นที่ตามบรีฟ</x:v>
      </x:c>
    </x:row>
    <x:row r="515" ht="65" customHeight="1">
      <x:c r="A515" s="2" t="str">
        <x:v>R26-304</x:v>
      </x:c>
      <x:c r="B515" s="8" t="str">
        <x:v>สวนละไม</x:v>
      </x:c>
      <x:c r="C515" s="8" t="str">
        <x:v>ระยอง</x:v>
      </x:c>
      <x:c r="D515" s="8" t="str"/>
      <x:c r="E515" s="8" t="str">
        <x:v>เพิ่มเข้าชุด 600</x:v>
      </x:c>
      <x:c r="F515" s="8" t="str">
        <x:v>R26-304</x:v>
      </x:c>
      <x:c r="G515" s="8" t="str">
        <x:v>เติมประเภทและพื้นที่ตามบรีฟ</x:v>
      </x:c>
    </x:row>
    <x:row r="516" ht="65" customHeight="1">
      <x:c r="A516" s="2" t="str">
        <x:v>R26-071</x:v>
      </x:c>
      <x:c r="B516" s="8" t="str">
        <x:v>The Seaside Halal เกาะยอ</x:v>
      </x:c>
      <x:c r="C516" s="8" t="str">
        <x:v>สงขลา</x:v>
      </x:c>
      <x:c r="D516" s="8" t="str"/>
      <x:c r="E516" s="8" t="str">
        <x:v>เพิ่มเข้าชุด 600</x:v>
      </x:c>
      <x:c r="F516" s="8" t="str">
        <x:v>R26-071</x:v>
      </x:c>
      <x:c r="G516" s="8" t="str">
        <x:v>จุดในเอกสาร 10 เส้นทาง</x:v>
      </x:c>
    </x:row>
    <x:row r="517" ht="65" customHeight="1">
      <x:c r="A517" s="2" t="str">
        <x:v>R26-068</x:v>
      </x:c>
      <x:c r="B517" s="8" t="str">
        <x:v>ข้าวมันไก่ไข่ฮาลาลบ้านบน</x:v>
      </x:c>
      <x:c r="C517" s="8" t="str">
        <x:v>สงขลา</x:v>
      </x:c>
      <x:c r="D517" s="8" t="str"/>
      <x:c r="E517" s="8" t="str">
        <x:v>เพิ่มเข้าชุด 600</x:v>
      </x:c>
      <x:c r="F517" s="8" t="str">
        <x:v>R26-068</x:v>
      </x:c>
      <x:c r="G517" s="8" t="str">
        <x:v>จุดในเอกสาร 10 เส้นทาง</x:v>
      </x:c>
    </x:row>
    <x:row r="518" ht="65" customHeight="1">
      <x:c r="A518" s="2" t="str">
        <x:v>R26-070</x:v>
      </x:c>
      <x:c r="B518" s="8" t="str">
        <x:v>หาดสมิหลา</x:v>
      </x:c>
      <x:c r="C518" s="8" t="str">
        <x:v>สงขลา</x:v>
      </x:c>
      <x:c r="D518" s="8" t="str"/>
      <x:c r="E518" s="8" t="str">
        <x:v>เพิ่มเข้าชุด 600</x:v>
      </x:c>
      <x:c r="F518" s="8" t="str">
        <x:v>R26-070</x:v>
      </x:c>
      <x:c r="G518" s="8" t="str">
        <x:v>จุดในเอกสาร 10 เส้นทาง</x:v>
      </x:c>
    </x:row>
    <x:row r="519" ht="65" customHeight="1">
      <x:c r="A519" s="2" t="str">
        <x:v>R26-069</x:v>
      </x:c>
      <x:c r="B519" s="8" t="str">
        <x:v>เขาตังกวน</x:v>
      </x:c>
      <x:c r="C519" s="8" t="str">
        <x:v>สงขลา</x:v>
      </x:c>
      <x:c r="D519" s="8" t="str"/>
      <x:c r="E519" s="8" t="str">
        <x:v>เพิ่มเข้าชุด 600</x:v>
      </x:c>
      <x:c r="F519" s="8" t="str">
        <x:v>R26-069</x:v>
      </x:c>
      <x:c r="G519" s="8" t="str">
        <x:v>จุดในเอกสาร 10 เส้นทาง</x:v>
      </x:c>
    </x:row>
    <x:row r="520" ht="65" customHeight="1">
      <x:c r="A520" s="2" t="str">
        <x:v>R26-066</x:v>
      </x:c>
      <x:c r="B520" s="8" t="str">
        <x:v>ย่านเมืองเก่าสงขลา</x:v>
      </x:c>
      <x:c r="C520" s="8" t="str">
        <x:v>สงขลา</x:v>
      </x:c>
      <x:c r="D520" s="8" t="str"/>
      <x:c r="E520" s="8" t="str">
        <x:v>เพิ่มเข้าชุด 600</x:v>
      </x:c>
      <x:c r="F520" s="8" t="str">
        <x:v>R26-066</x:v>
      </x:c>
      <x:c r="G520" s="8" t="str">
        <x:v>จุดในเอกสาร 10 เส้นทาง</x:v>
      </x:c>
    </x:row>
    <x:row r="521" ht="65" customHeight="1">
      <x:c r="A521" s="2" t="str">
        <x:v>R26-067</x:v>
      </x:c>
      <x:c r="B521" s="8" t="str">
        <x:v>ชุมชนมัสยิดบ้านบน สงขลา</x:v>
      </x:c>
      <x:c r="C521" s="8" t="str">
        <x:v>สงขลา</x:v>
      </x:c>
      <x:c r="D521" s="8" t="str"/>
      <x:c r="E521" s="8" t="str">
        <x:v>เพิ่มเข้าชุด 600</x:v>
      </x:c>
      <x:c r="F521" s="8" t="str">
        <x:v>R26-067</x:v>
      </x:c>
      <x:c r="G521" s="8" t="str">
        <x:v>จุดในเอกสาร 10 เส้นทาง</x:v>
      </x:c>
    </x:row>
    <x:row r="522" ht="65" customHeight="1">
      <x:c r="A522" s="2" t="str">
        <x:v>R26-267</x:v>
      </x:c>
      <x:c r="B522" s="8" t="str">
        <x:v>Central Hatyai</x:v>
      </x:c>
      <x:c r="C522" s="8" t="str">
        <x:v>สงขลา</x:v>
      </x:c>
      <x:c r="D522" s="8" t="str"/>
      <x:c r="E522" s="8" t="str">
        <x:v>เพิ่มเข้าชุด 600</x:v>
      </x:c>
      <x:c r="F522" s="8" t="str">
        <x:v>R26-267</x:v>
      </x:c>
      <x:c r="G522" s="8" t="str">
        <x:v>เติมประเภทและพื้นที่ตามบรีฟ</x:v>
      </x:c>
    </x:row>
    <x:row r="523" ht="65" customHeight="1">
      <x:c r="A523" s="2" t="str">
        <x:v>R26-309</x:v>
      </x:c>
      <x:c r="B523" s="8" t="str">
        <x:v>สวนสัตว์สงขลา</x:v>
      </x:c>
      <x:c r="C523" s="8" t="str">
        <x:v>สงขลา</x:v>
      </x:c>
      <x:c r="D523" s="8" t="str"/>
      <x:c r="E523" s="8" t="str">
        <x:v>เพิ่มเข้าชุด 600</x:v>
      </x:c>
      <x:c r="F523" s="8" t="str">
        <x:v>R26-309</x:v>
      </x:c>
      <x:c r="G523" s="8" t="str">
        <x:v>เติมประเภทและพื้นที่ตามบรีฟ</x:v>
      </x:c>
    </x:row>
    <x:row r="524" ht="65" customHeight="1">
      <x:c r="A524" s="2" t="str">
        <x:v>R26-072</x:v>
      </x:c>
      <x:c r="B524" s="8" t="str">
        <x:v>ปราสาทหินพันยอด</x:v>
      </x:c>
      <x:c r="C524" s="8" t="str">
        <x:v>สตูล</x:v>
      </x:c>
      <x:c r="D524" s="8" t="str"/>
      <x:c r="E524" s="8" t="str">
        <x:v>เพิ่มเข้าชุด 600</x:v>
      </x:c>
      <x:c r="F524" s="8" t="str">
        <x:v>R26-072</x:v>
      </x:c>
      <x:c r="G524" s="8" t="str">
        <x:v>จุดในเอกสาร 10 เส้นทาง</x:v>
      </x:c>
    </x:row>
    <x:row r="525" ht="65" customHeight="1">
      <x:c r="A525" s="2" t="str">
        <x:v>R26-075</x:v>
      </x:c>
      <x:c r="B525" s="8" t="str">
        <x:v>มัสยิดมำบัง</x:v>
      </x:c>
      <x:c r="C525" s="8" t="str">
        <x:v>สตูล</x:v>
      </x:c>
      <x:c r="D525" s="8" t="str"/>
      <x:c r="E525" s="8" t="str">
        <x:v>เพิ่มเข้าชุด 600</x:v>
      </x:c>
      <x:c r="F525" s="8" t="str">
        <x:v>R26-075</x:v>
      </x:c>
      <x:c r="G525" s="8" t="str">
        <x:v>จุดในเอกสาร 10 เส้นทาง</x:v>
      </x:c>
    </x:row>
    <x:row r="526" ht="65" customHeight="1">
      <x:c r="A526" s="2" t="str">
        <x:v>R26-073</x:v>
      </x:c>
      <x:c r="B526" s="8" t="str">
        <x:v>ชุมชนบ้านบ่อเจ็ดลูก</x:v>
      </x:c>
      <x:c r="C526" s="8" t="str">
        <x:v>สตูล</x:v>
      </x:c>
      <x:c r="D526" s="8" t="str"/>
      <x:c r="E526" s="8" t="str">
        <x:v>เพิ่มเข้าชุด 600</x:v>
      </x:c>
      <x:c r="F526" s="8" t="str">
        <x:v>R26-073</x:v>
      </x:c>
      <x:c r="G526" s="8" t="str">
        <x:v>จุดในเอกสาร 10 เส้นทาง</x:v>
      </x:c>
    </x:row>
    <x:row r="527" ht="65" customHeight="1">
      <x:c r="A527" s="2" t="str">
        <x:v>R26-384</x:v>
      </x:c>
      <x:c r="B527" s="8" t="str">
        <x:v>Sinkiat Thani Hotel</x:v>
      </x:c>
      <x:c r="C527" s="8" t="str">
        <x:v>สตูล</x:v>
      </x:c>
      <x:c r="D527" s="8" t="str"/>
      <x:c r="E527" s="8" t="str">
        <x:v>เพิ่มเข้าชุด 600</x:v>
      </x:c>
      <x:c r="F527" s="8" t="str">
        <x:v>R26-384</x:v>
      </x:c>
      <x:c r="G527" s="8" t="str">
        <x:v>เติมประเภทและพื้นที่ตามบรีฟ</x:v>
      </x:c>
    </x:row>
    <x:row r="528" ht="65" customHeight="1">
      <x:c r="A528" s="2" t="str">
        <x:v>R26-347</x:v>
      </x:c>
      <x:c r="B528" s="8" t="str">
        <x:v>SP ติ่มซำฮาลาล</x:v>
      </x:c>
      <x:c r="C528" s="8" t="str">
        <x:v>สตูล</x:v>
      </x:c>
      <x:c r="D528" s="8" t="str"/>
      <x:c r="E528" s="8" t="str">
        <x:v>เพิ่มเข้าชุด 600</x:v>
      </x:c>
      <x:c r="F528" s="8" t="str">
        <x:v>R26-347</x:v>
      </x:c>
      <x:c r="G528" s="8" t="str">
        <x:v>เติมประเภทและพื้นที่ตามบรีฟ</x:v>
      </x:c>
    </x:row>
    <x:row r="529" ht="65" customHeight="1">
      <x:c r="A529" s="2" t="str">
        <x:v>R26-349</x:v>
      </x:c>
      <x:c r="B529" s="8" t="str">
        <x:v>ครัวฮาลาล บขส.สตูล</x:v>
      </x:c>
      <x:c r="C529" s="8" t="str">
        <x:v>สตูล</x:v>
      </x:c>
      <x:c r="D529" s="8" t="str"/>
      <x:c r="E529" s="8" t="str">
        <x:v>เพิ่มเข้าชุด 600</x:v>
      </x:c>
      <x:c r="F529" s="8" t="str">
        <x:v>R26-349</x:v>
      </x:c>
      <x:c r="G529" s="8" t="str">
        <x:v>เติมประเภทและพื้นที่ตามบรีฟ</x:v>
      </x:c>
    </x:row>
    <x:row r="530" ht="65" customHeight="1">
      <x:c r="A530" s="2" t="str">
        <x:v>R26-348</x:v>
      </x:c>
      <x:c r="B530" s="8" t="str">
        <x:v>บาราโรตี</x:v>
      </x:c>
      <x:c r="C530" s="8" t="str">
        <x:v>สตูล</x:v>
      </x:c>
      <x:c r="D530" s="8" t="str"/>
      <x:c r="E530" s="8" t="str">
        <x:v>เพิ่มเข้าชุด 600</x:v>
      </x:c>
      <x:c r="F530" s="8" t="str">
        <x:v>R26-348</x:v>
      </x:c>
      <x:c r="G530" s="8" t="str">
        <x:v>เติมประเภทและพื้นที่ตามบรีฟ</x:v>
      </x:c>
    </x:row>
    <x:row r="531" ht="65" customHeight="1">
      <x:c r="A531" s="2" t="str">
        <x:v>R26-169</x:v>
      </x:c>
      <x:c r="B531" s="8" t="str">
        <x:v>ถ้ำเลสเตโกดอน</x:v>
      </x:c>
      <x:c r="C531" s="8" t="str">
        <x:v>สตูล</x:v>
      </x:c>
      <x:c r="D531" s="8" t="str"/>
      <x:c r="E531" s="8" t="str">
        <x:v>เพิ่มเข้าชุด 600</x:v>
      </x:c>
      <x:c r="F531" s="8" t="str">
        <x:v>R26-169</x:v>
      </x:c>
      <x:c r="G531" s="8" t="str">
        <x:v>เติมประเภทและพื้นที่ตามบรีฟ</x:v>
      </x:c>
    </x:row>
    <x:row r="532" ht="65" customHeight="1">
      <x:c r="A532" s="2" t="str">
        <x:v>R26-170</x:v>
      </x:c>
      <x:c r="B532" s="8" t="str">
        <x:v>หาดปากบารา</x:v>
      </x:c>
      <x:c r="C532" s="8" t="str">
        <x:v>สตูล</x:v>
      </x:c>
      <x:c r="D532" s="8" t="str"/>
      <x:c r="E532" s="8" t="str">
        <x:v>เพิ่มเข้าชุด 600</x:v>
      </x:c>
      <x:c r="F532" s="8" t="str">
        <x:v>R26-170</x:v>
      </x:c>
      <x:c r="G532" s="8" t="str">
        <x:v>เติมประเภทและพื้นที่ตามบรีฟ</x:v>
      </x:c>
    </x:row>
    <x:row r="533" ht="65" customHeight="1">
      <x:c r="A533" s="2" t="str">
        <x:v>R26-167</x:v>
      </x:c>
      <x:c r="B533" s="8" t="str">
        <x:v>อุทยานแห่งชาติทะเลบัน</x:v>
      </x:c>
      <x:c r="C533" s="8" t="str">
        <x:v>สตูล</x:v>
      </x:c>
      <x:c r="D533" s="8" t="str"/>
      <x:c r="E533" s="8" t="str">
        <x:v>เพิ่มเข้าชุด 600</x:v>
      </x:c>
      <x:c r="F533" s="8" t="str">
        <x:v>R26-167</x:v>
      </x:c>
      <x:c r="G533" s="8" t="str">
        <x:v>เติมประเภทและพื้นที่ตามบรีฟ</x:v>
      </x:c>
    </x:row>
    <x:row r="534" ht="65" customHeight="1">
      <x:c r="A534" s="2" t="str">
        <x:v>R26-168</x:v>
      </x:c>
      <x:c r="B534" s="8" t="str">
        <x:v>อุทยานแห่งชาติหมู่เกาะเภตรา</x:v>
      </x:c>
      <x:c r="C534" s="8" t="str">
        <x:v>สตูล</x:v>
      </x:c>
      <x:c r="D534" s="8" t="str"/>
      <x:c r="E534" s="8" t="str">
        <x:v>เพิ่มเข้าชุด 600</x:v>
      </x:c>
      <x:c r="F534" s="8" t="str">
        <x:v>R26-168</x:v>
      </x:c>
      <x:c r="G534" s="8" t="str">
        <x:v>เติมประเภทและพื้นที่ตามบรีฟ</x:v>
      </x:c>
    </x:row>
    <x:row r="535" ht="65" customHeight="1">
      <x:c r="A535" s="2" t="str">
        <x:v>R26-175</x:v>
      </x:c>
      <x:c r="B535" s="8" t="str">
        <x:v>พิพิธภัณฑ์ช้างดึกดำบรรพ์ทุ่งหว้า</x:v>
      </x:c>
      <x:c r="C535" s="8" t="str">
        <x:v>สตูล</x:v>
      </x:c>
      <x:c r="D535" s="8" t="str"/>
      <x:c r="E535" s="8" t="str">
        <x:v>เพิ่มเข้าชุด 600</x:v>
      </x:c>
      <x:c r="F535" s="8" t="str">
        <x:v>R26-175</x:v>
      </x:c>
      <x:c r="G535" s="8" t="str">
        <x:v>เติมประเภทและพื้นที่ตามบรีฟ</x:v>
      </x:c>
    </x:row>
    <x:row r="536" ht="65" customHeight="1">
      <x:c r="A536" s="2" t="str">
        <x:v>R26-172</x:v>
      </x:c>
      <x:c r="B536" s="8" t="str">
        <x:v>ชุมชนบ้านทุ่งหว้า</x:v>
      </x:c>
      <x:c r="C536" s="8" t="str">
        <x:v>สตูล</x:v>
      </x:c>
      <x:c r="D536" s="8" t="str"/>
      <x:c r="E536" s="8" t="str">
        <x:v>เพิ่มเข้าชุด 600</x:v>
      </x:c>
      <x:c r="F536" s="8" t="str">
        <x:v>R26-172</x:v>
      </x:c>
      <x:c r="G536" s="8" t="str">
        <x:v>เติมประเภทและพื้นที่ตามบรีฟ</x:v>
      </x:c>
    </x:row>
    <x:row r="537" ht="65" customHeight="1">
      <x:c r="A537" s="2" t="str">
        <x:v>R26-173</x:v>
      </x:c>
      <x:c r="B537" s="8" t="str">
        <x:v>ชุมชนบ้านบากันใหญ่</x:v>
      </x:c>
      <x:c r="C537" s="8" t="str">
        <x:v>สตูล</x:v>
      </x:c>
      <x:c r="D537" s="8" t="str"/>
      <x:c r="E537" s="8" t="str">
        <x:v>เพิ่มเข้าชุด 600</x:v>
      </x:c>
      <x:c r="F537" s="8" t="str">
        <x:v>R26-173</x:v>
      </x:c>
      <x:c r="G537" s="8" t="str">
        <x:v>เติมประเภทและพื้นที่ตามบรีฟ</x:v>
      </x:c>
    </x:row>
    <x:row r="538" ht="65" customHeight="1">
      <x:c r="A538" s="2" t="str">
        <x:v>R26-077</x:v>
      </x:c>
      <x:c r="B538" s="8" t="str">
        <x:v>น้ำตกร้อนคลองท่อม</x:v>
      </x:c>
      <x:c r="C538" s="8" t="str">
        <x:v>กระบี่</x:v>
      </x:c>
      <x:c r="D538" s="8" t="str"/>
      <x:c r="E538" s="8" t="str">
        <x:v>เพิ่มเข้าชุด 600</x:v>
      </x:c>
      <x:c r="F538" s="8" t="str">
        <x:v>R26-077</x:v>
      </x:c>
      <x:c r="G538" s="8" t="str">
        <x:v>จุดในเอกสาร 10 เส้นทาง</x:v>
      </x:c>
    </x:row>
    <x:row r="539" ht="65" customHeight="1">
      <x:c r="A539" s="2" t="str">
        <x:v>R26-079</x:v>
      </x:c>
      <x:c r="B539" s="8" t="str">
        <x:v>สระมรกต</x:v>
      </x:c>
      <x:c r="C539" s="8" t="str">
        <x:v>กระบี่</x:v>
      </x:c>
      <x:c r="D539" s="8" t="str"/>
      <x:c r="E539" s="8" t="str">
        <x:v>เพิ่มเข้าชุด 600</x:v>
      </x:c>
      <x:c r="F539" s="8" t="str">
        <x:v>R26-079</x:v>
      </x:c>
      <x:c r="G539" s="8" t="str">
        <x:v>จุดในเอกสาร 10 เส้นทาง</x:v>
      </x:c>
    </x:row>
    <x:row r="540" ht="65" customHeight="1">
      <x:c r="A540" s="2" t="str">
        <x:v>R26-076</x:v>
      </x:c>
      <x:c r="B540" s="8" t="str">
        <x:v>มัสยิดกลางจังหวัดกระบี่</x:v>
      </x:c>
      <x:c r="C540" s="8" t="str">
        <x:v>กระบี่</x:v>
      </x:c>
      <x:c r="D540" s="8" t="str"/>
      <x:c r="E540" s="8" t="str">
        <x:v>เพิ่มเข้าชุด 600</x:v>
      </x:c>
      <x:c r="F540" s="8" t="str">
        <x:v>R26-076</x:v>
      </x:c>
      <x:c r="G540" s="8" t="str">
        <x:v>จุดในเอกสาร 10 เส้นทาง</x:v>
      </x:c>
    </x:row>
    <x:row r="541" ht="65" customHeight="1">
      <x:c r="A541" s="2" t="str">
        <x:v>R26-287</x:v>
      </x:c>
      <x:c r="B541" s="8" t="str">
        <x:v>Let's Relax Spa Krabi Centara Anda Dhevi</x:v>
      </x:c>
      <x:c r="C541" s="8" t="str">
        <x:v>กระบี่</x:v>
      </x:c>
      <x:c r="D541" s="8" t="str"/>
      <x:c r="E541" s="8" t="str">
        <x:v>เพิ่มเข้าชุด 600</x:v>
      </x:c>
      <x:c r="F541" s="8" t="str">
        <x:v>R26-287</x:v>
      </x:c>
      <x:c r="G541" s="8" t="str">
        <x:v>เติมประเภทและพื้นที่ตามบรีฟ</x:v>
      </x:c>
    </x:row>
    <x:row r="542" ht="65" customHeight="1">
      <x:c r="A542" s="2" t="str">
        <x:v>R26-285</x:v>
      </x:c>
      <x:c r="B542" s="8" t="str">
        <x:v>Wareerak Hot Spring Wellness</x:v>
      </x:c>
      <x:c r="C542" s="8" t="str">
        <x:v>กระบี่</x:v>
      </x:c>
      <x:c r="D542" s="8" t="str"/>
      <x:c r="E542" s="8" t="str">
        <x:v>เพิ่มเข้าชุด 600</x:v>
      </x:c>
      <x:c r="F542" s="8" t="str">
        <x:v>R26-285</x:v>
      </x:c>
      <x:c r="G542" s="8" t="str">
        <x:v>เติมประเภทและพื้นที่ตามบรีฟ</x:v>
      </x:c>
    </x:row>
    <x:row r="543" ht="65" customHeight="1">
      <x:c r="A543" s="2" t="str">
        <x:v>R26-180</x:v>
      </x:c>
      <x:c r="B543" s="8" t="str">
        <x:v>ท่าปอมคลองสองน้ำ</x:v>
      </x:c>
      <x:c r="C543" s="8" t="str">
        <x:v>กระบี่</x:v>
      </x:c>
      <x:c r="D543" s="8" t="str"/>
      <x:c r="E543" s="8" t="str">
        <x:v>เพิ่มเข้าชุด 600</x:v>
      </x:c>
      <x:c r="F543" s="8" t="str">
        <x:v>R26-180</x:v>
      </x:c>
      <x:c r="G543" s="8" t="str">
        <x:v>เติมประเภทและพื้นที่ตามบรีฟ</x:v>
      </x:c>
    </x:row>
    <x:row r="544" ht="65" customHeight="1">
      <x:c r="A544" s="2" t="str">
        <x:v>R26-178</x:v>
      </x:c>
      <x:c r="B544" s="8" t="str">
        <x:v>หาดไร่เลย์</x:v>
      </x:c>
      <x:c r="C544" s="8" t="str">
        <x:v>กระบี่</x:v>
      </x:c>
      <x:c r="D544" s="8" t="str"/>
      <x:c r="E544" s="8" t="str">
        <x:v>เพิ่มเข้าชุด 600</x:v>
      </x:c>
      <x:c r="F544" s="8" t="str">
        <x:v>R26-178</x:v>
      </x:c>
      <x:c r="G544" s="8" t="str">
        <x:v>เติมประเภทและพื้นที่ตามบรีฟ</x:v>
      </x:c>
    </x:row>
    <x:row r="545" ht="65" customHeight="1">
      <x:c r="A545" s="2" t="str">
        <x:v>R26-176</x:v>
      </x:c>
      <x:c r="B545" s="8" t="str">
        <x:v>อุทยานแห่งชาติธารโบกขรณี</x:v>
      </x:c>
      <x:c r="C545" s="8" t="str">
        <x:v>กระบี่</x:v>
      </x:c>
      <x:c r="D545" s="8" t="str"/>
      <x:c r="E545" s="8" t="str">
        <x:v>เพิ่มเข้าชุด 600</x:v>
      </x:c>
      <x:c r="F545" s="8" t="str">
        <x:v>R26-176</x:v>
      </x:c>
      <x:c r="G545" s="8" t="str">
        <x:v>เติมประเภทและพื้นที่ตามบรีฟ</x:v>
      </x:c>
    </x:row>
    <x:row r="546" ht="65" customHeight="1">
      <x:c r="A546" s="2" t="str">
        <x:v>R26-183</x:v>
      </x:c>
      <x:c r="B546" s="8" t="str">
        <x:v>ชุมชนบ้านทุ่งหยีเพ็ง</x:v>
      </x:c>
      <x:c r="C546" s="8" t="str">
        <x:v>กระบี่</x:v>
      </x:c>
      <x:c r="D546" s="8" t="str"/>
      <x:c r="E546" s="8" t="str">
        <x:v>เพิ่มเข้าชุด 600</x:v>
      </x:c>
      <x:c r="F546" s="8" t="str">
        <x:v>R26-183</x:v>
      </x:c>
      <x:c r="G546" s="8" t="str">
        <x:v>เติมประเภทและพื้นที่ตามบรีฟ</x:v>
      </x:c>
    </x:row>
    <x:row r="547" ht="65" customHeight="1">
      <x:c r="A547" s="2" t="str">
        <x:v>R26-184</x:v>
      </x:c>
      <x:c r="B547" s="8" t="str">
        <x:v>ชุมชนบ้านหนองทะเล</x:v>
      </x:c>
      <x:c r="C547" s="8" t="str">
        <x:v>กระบี่</x:v>
      </x:c>
      <x:c r="D547" s="8" t="str"/>
      <x:c r="E547" s="8" t="str">
        <x:v>เพิ่มเข้าชุด 600</x:v>
      </x:c>
      <x:c r="F547" s="8" t="str">
        <x:v>R26-184</x:v>
      </x:c>
      <x:c r="G547" s="8" t="str">
        <x:v>เติมประเภทและพื้นที่ตามบรีฟ</x:v>
      </x:c>
    </x:row>
    <x:row r="548" ht="65" customHeight="1">
      <x:c r="A548" s="2" t="str">
        <x:v>R26-081</x:v>
      </x:c>
      <x:c r="B548" s="8" t="str">
        <x:v>Rimnatee Resort Trang</x:v>
      </x:c>
      <x:c r="C548" s="8" t="str">
        <x:v>ตรัง</x:v>
      </x:c>
      <x:c r="D548" s="8" t="str"/>
      <x:c r="E548" s="8" t="str">
        <x:v>เพิ่มเข้าชุด 600</x:v>
      </x:c>
      <x:c r="F548" s="8" t="str">
        <x:v>R26-081</x:v>
      </x:c>
      <x:c r="G548" s="8" t="str">
        <x:v>จุดในเอกสาร 10 เส้นทาง</x:v>
      </x:c>
    </x:row>
    <x:row r="549" ht="65" customHeight="1">
      <x:c r="A549" s="2" t="str">
        <x:v>R26-080</x:v>
      </x:c>
      <x:c r="B549" s="8" t="str">
        <x:v>ถวิล Since 1998</x:v>
      </x:c>
      <x:c r="C549" s="8" t="str">
        <x:v>ตรัง</x:v>
      </x:c>
      <x:c r="D549" s="8" t="str"/>
      <x:c r="E549" s="8" t="str">
        <x:v>เพิ่มเข้าชุด 600</x:v>
      </x:c>
      <x:c r="F549" s="8" t="str">
        <x:v>R26-080</x:v>
      </x:c>
      <x:c r="G549" s="8" t="str">
        <x:v>จุดในเอกสาร 10 เส้นทาง</x:v>
      </x:c>
    </x:row>
    <x:row r="550" ht="65" customHeight="1">
      <x:c r="A550" s="2" t="str">
        <x:v>R26-082</x:v>
      </x:c>
      <x:c r="B550" s="8" t="str">
        <x:v>เตอรัง ติ่มซำ</x:v>
      </x:c>
      <x:c r="C550" s="8" t="str">
        <x:v>ตรัง</x:v>
      </x:c>
      <x:c r="D550" s="8" t="str"/>
      <x:c r="E550" s="8" t="str">
        <x:v>เพิ่มเข้าชุด 600</x:v>
      </x:c>
      <x:c r="F550" s="8" t="str">
        <x:v>R26-082</x:v>
      </x:c>
      <x:c r="G550" s="8" t="str">
        <x:v>จุดในเอกสาร 10 เส้นทาง</x:v>
      </x:c>
    </x:row>
    <x:row r="551" ht="65" customHeight="1">
      <x:c r="A551" s="2" t="str">
        <x:v>R26-084</x:v>
      </x:c>
      <x:c r="B551" s="8" t="str">
        <x:v>เสน่ห์ปู ตรัง</x:v>
      </x:c>
      <x:c r="C551" s="8" t="str">
        <x:v>ตรัง</x:v>
      </x:c>
      <x:c r="D551" s="8" t="str"/>
      <x:c r="E551" s="8" t="str">
        <x:v>เพิ่มเข้าชุด 600</x:v>
      </x:c>
      <x:c r="F551" s="8" t="str">
        <x:v>R26-084</x:v>
      </x:c>
      <x:c r="G551" s="8" t="str">
        <x:v>จุดในเอกสาร 10 เส้นทาง</x:v>
      </x:c>
    </x:row>
    <x:row r="552" ht="65" customHeight="1">
      <x:c r="A552" s="2" t="str">
        <x:v>R26-083</x:v>
      </x:c>
      <x:c r="B552" s="8" t="str">
        <x:v>ถ้ำเลเขากอบ</x:v>
      </x:c>
      <x:c r="C552" s="8" t="str">
        <x:v>ตรัง</x:v>
      </x:c>
      <x:c r="D552" s="8" t="str"/>
      <x:c r="E552" s="8" t="str">
        <x:v>เพิ่มเข้าชุด 600</x:v>
      </x:c>
      <x:c r="F552" s="8" t="str">
        <x:v>R26-083</x:v>
      </x:c>
      <x:c r="G552" s="8" t="str">
        <x:v>จุดในเอกสาร 10 เส้นทาง</x:v>
      </x:c>
    </x:row>
    <x:row r="553" ht="65" customHeight="1">
      <x:c r="A553" s="2" t="str">
        <x:v>R26-085</x:v>
      </x:c>
      <x:c r="B553" s="8" t="str">
        <x:v>ชุมชนบ้านน้ำราบ</x:v>
      </x:c>
      <x:c r="C553" s="8" t="str">
        <x:v>ตรัง</x:v>
      </x:c>
      <x:c r="D553" s="8" t="str"/>
      <x:c r="E553" s="8" t="str">
        <x:v>เพิ่มเข้าชุด 600</x:v>
      </x:c>
      <x:c r="F553" s="8" t="str">
        <x:v>R26-085</x:v>
      </x:c>
      <x:c r="G553" s="8" t="str">
        <x:v>จุดในเอกสาร 10 เส้นทาง</x:v>
      </x:c>
    </x:row>
    <x:row r="554" ht="65" customHeight="1">
      <x:c r="A554" s="2" t="str">
        <x:v>R26-386</x:v>
      </x:c>
      <x:c r="B554" s="8" t="str">
        <x:v>Rua Rasada Hotel Trang</x:v>
      </x:c>
      <x:c r="C554" s="8" t="str">
        <x:v>ตรัง</x:v>
      </x:c>
      <x:c r="D554" s="8" t="str"/>
      <x:c r="E554" s="8" t="str">
        <x:v>เพิ่มเข้าชุด 600</x:v>
      </x:c>
      <x:c r="F554" s="8" t="str">
        <x:v>R26-386</x:v>
      </x:c>
      <x:c r="G554" s="8" t="str">
        <x:v>เติมประเภทและพื้นที่ตามบรีฟ</x:v>
      </x:c>
    </x:row>
    <x:row r="555" ht="65" customHeight="1">
      <x:c r="A555" s="2" t="str">
        <x:v>R26-357</x:v>
      </x:c>
      <x:c r="B555" s="8" t="str">
        <x:v>ร้านทางเลือก ตรัง</x:v>
      </x:c>
      <x:c r="C555" s="8" t="str">
        <x:v>ตรัง</x:v>
      </x:c>
      <x:c r="D555" s="8" t="str"/>
      <x:c r="E555" s="8" t="str">
        <x:v>เพิ่มเข้าชุด 600</x:v>
      </x:c>
      <x:c r="F555" s="8" t="str">
        <x:v>R26-357</x:v>
      </x:c>
      <x:c r="G555" s="8" t="str">
        <x:v>เติมประเภทและพื้นที่ตามบรีฟ</x:v>
      </x:c>
    </x:row>
    <x:row r="556" ht="65" customHeight="1">
      <x:c r="A556" s="2" t="str">
        <x:v>R26-356</x:v>
      </x:c>
      <x:c r="B556" s="8" t="str">
        <x:v>ฮานีส สวนอาหารฮาลาล</x:v>
      </x:c>
      <x:c r="C556" s="8" t="str">
        <x:v>ตรัง</x:v>
      </x:c>
      <x:c r="D556" s="8" t="str"/>
      <x:c r="E556" s="8" t="str">
        <x:v>เพิ่มเข้าชุด 600</x:v>
      </x:c>
      <x:c r="F556" s="8" t="str">
        <x:v>R26-356</x:v>
      </x:c>
      <x:c r="G556" s="8" t="str">
        <x:v>เติมประเภทและพื้นที่ตามบรีฟ</x:v>
      </x:c>
    </x:row>
    <x:row r="557" ht="65" customHeight="1">
      <x:c r="A557" s="2" t="str">
        <x:v>R26-359</x:v>
      </x:c>
      <x:c r="B557" s="8" t="str">
        <x:v>โรตีเมืองตรัง</x:v>
      </x:c>
      <x:c r="C557" s="8" t="str">
        <x:v>ตรัง</x:v>
      </x:c>
      <x:c r="D557" s="8" t="str"/>
      <x:c r="E557" s="8" t="str">
        <x:v>เพิ่มเข้าชุด 600</x:v>
      </x:c>
      <x:c r="F557" s="8" t="str">
        <x:v>R26-359</x:v>
      </x:c>
      <x:c r="G557" s="8" t="str">
        <x:v>เติมประเภทและพื้นที่ตามบรีฟ</x:v>
      </x:c>
    </x:row>
    <x:row r="558" ht="65" customHeight="1">
      <x:c r="A558" s="2" t="str">
        <x:v>R26-288</x:v>
      </x:c>
      <x:c r="B558" s="8" t="str">
        <x:v>Let's Relax Spa Trang Rua Rasada</x:v>
      </x:c>
      <x:c r="C558" s="8" t="str">
        <x:v>ตรัง</x:v>
      </x:c>
      <x:c r="D558" s="8" t="str"/>
      <x:c r="E558" s="8" t="str">
        <x:v>เพิ่มเข้าชุด 600</x:v>
      </x:c>
      <x:c r="F558" s="8" t="str">
        <x:v>R26-288</x:v>
      </x:c>
      <x:c r="G558" s="8" t="str">
        <x:v>เติมประเภทและพื้นที่ตามบรีฟ</x:v>
      </x:c>
    </x:row>
    <x:row r="559" ht="65" customHeight="1">
      <x:c r="A559" s="2" t="str">
        <x:v>R26-187</x:v>
      </x:c>
      <x:c r="B559" s="8" t="str">
        <x:v>น้ำตกโตนเต๊ะ</x:v>
      </x:c>
      <x:c r="C559" s="8" t="str">
        <x:v>ตรัง</x:v>
      </x:c>
      <x:c r="D559" s="8" t="str"/>
      <x:c r="E559" s="8" t="str">
        <x:v>เพิ่มเข้าชุด 600</x:v>
      </x:c>
      <x:c r="F559" s="8" t="str">
        <x:v>R26-187</x:v>
      </x:c>
      <x:c r="G559" s="8" t="str">
        <x:v>เติมประเภทและพื้นที่ตามบรีฟ</x:v>
      </x:c>
    </x:row>
    <x:row r="560" ht="65" customHeight="1">
      <x:c r="A560" s="2" t="str">
        <x:v>R26-185</x:v>
      </x:c>
      <x:c r="B560" s="8" t="str">
        <x:v>หาดปากเมง</x:v>
      </x:c>
      <x:c r="C560" s="8" t="str">
        <x:v>ตรัง</x:v>
      </x:c>
      <x:c r="D560" s="8" t="str"/>
      <x:c r="E560" s="8" t="str">
        <x:v>เพิ่มเข้าชุด 600</x:v>
      </x:c>
      <x:c r="F560" s="8" t="str">
        <x:v>R26-185</x:v>
      </x:c>
      <x:c r="G560" s="8" t="str">
        <x:v>เติมประเภทและพื้นที่ตามบรีฟ</x:v>
      </x:c>
    </x:row>
    <x:row r="561" ht="65" customHeight="1">
      <x:c r="A561" s="2" t="str">
        <x:v>R26-186</x:v>
      </x:c>
      <x:c r="B561" s="8" t="str">
        <x:v>อุทยานแห่งชาติหาดเจ้าไหม</x:v>
      </x:c>
      <x:c r="C561" s="8" t="str">
        <x:v>ตรัง</x:v>
      </x:c>
      <x:c r="D561" s="8" t="str"/>
      <x:c r="E561" s="8" t="str">
        <x:v>เพิ่มเข้าชุด 600</x:v>
      </x:c>
      <x:c r="F561" s="8" t="str">
        <x:v>R26-186</x:v>
      </x:c>
      <x:c r="G561" s="8" t="str">
        <x:v>เติมประเภทและพื้นที่ตามบรีฟ</x:v>
      </x:c>
    </x:row>
    <x:row r="562" ht="65" customHeight="1">
      <x:c r="A562" s="2" t="str">
        <x:v>R26-192</x:v>
      </x:c>
      <x:c r="B562" s="8" t="str">
        <x:v>สถานีรถไฟกันตัง</x:v>
      </x:c>
      <x:c r="C562" s="8" t="str">
        <x:v>ตรัง</x:v>
      </x:c>
      <x:c r="D562" s="8" t="str"/>
      <x:c r="E562" s="8" t="str">
        <x:v>เพิ่มเข้าชุด 600</x:v>
      </x:c>
      <x:c r="F562" s="8" t="str">
        <x:v>R26-192</x:v>
      </x:c>
      <x:c r="G562" s="8" t="str">
        <x:v>เติมประเภทและพื้นที่ตามบรีฟ</x:v>
      </x:c>
    </x:row>
    <x:row r="563" ht="65" customHeight="1">
      <x:c r="A563" s="2" t="str">
        <x:v>R26-188</x:v>
      </x:c>
      <x:c r="B563" s="8" t="str">
        <x:v>ชุมชนบ้านนาหมื่นศรี</x:v>
      </x:c>
      <x:c r="C563" s="8" t="str">
        <x:v>ตรัง</x:v>
      </x:c>
      <x:c r="D563" s="8" t="str"/>
      <x:c r="E563" s="8" t="str">
        <x:v>เพิ่มเข้าชุด 600</x:v>
      </x:c>
      <x:c r="F563" s="8" t="str">
        <x:v>R26-188</x:v>
      </x:c>
      <x:c r="G563" s="8" t="str">
        <x:v>เติมประเภทและพื้นที่ตามบรีฟ</x:v>
      </x:c>
    </x:row>
    <x:row r="564" ht="65" customHeight="1">
      <x:c r="A564" s="2" t="str">
        <x:v>R26-189</x:v>
      </x:c>
      <x:c r="B564" s="8" t="str">
        <x:v>ชุมชนบ้านมดตะนอย</x:v>
      </x:c>
      <x:c r="C564" s="8" t="str">
        <x:v>ตรัง</x:v>
      </x:c>
      <x:c r="D564" s="8" t="str"/>
      <x:c r="E564" s="8" t="str">
        <x:v>เพิ่มเข้าชุด 600</x:v>
      </x:c>
      <x:c r="F564" s="8" t="str">
        <x:v>R26-189</x:v>
      </x:c>
      <x:c r="G564" s="8" t="str">
        <x:v>เติมประเภทและพื้นที่ตามบรีฟ</x:v>
      </x:c>
    </x:row>
    <x:row r="565" ht="65" customHeight="1">
      <x:c r="A565" s="2" t="str">
        <x:v>R26-191</x:v>
      </x:c>
      <x:c r="B565" s="8" t="str">
        <x:v>ชุมชนบ้านสุโสะ</x:v>
      </x:c>
      <x:c r="C565" s="8" t="str">
        <x:v>ตรัง</x:v>
      </x:c>
      <x:c r="D565" s="8" t="str"/>
      <x:c r="E565" s="8" t="str">
        <x:v>เพิ่มเข้าชุด 600</x:v>
      </x:c>
      <x:c r="F565" s="8" t="str">
        <x:v>R26-191</x:v>
      </x:c>
      <x:c r="G565" s="8" t="str">
        <x:v>เติมประเภทและพื้นที่ตามบรีฟ</x:v>
      </x:c>
    </x:row>
    <x:row r="566" ht="65" customHeight="1">
      <x:c r="A566" s="2" t="str">
        <x:v>R26-190</x:v>
      </x:c>
      <x:c r="B566" s="8" t="str">
        <x:v>ชุมชนบ้านเกาะลิบง</x:v>
      </x:c>
      <x:c r="C566" s="8" t="str">
        <x:v>ตรัง</x:v>
      </x:c>
      <x:c r="D566" s="8" t="str"/>
      <x:c r="E566" s="8" t="str">
        <x:v>เพิ่มเข้าชุด 600</x:v>
      </x:c>
      <x:c r="F566" s="8" t="str">
        <x:v>R26-190</x:v>
      </x:c>
      <x:c r="G566" s="8" t="str">
        <x:v>เติมประเภทและพื้นที่ตามบรีฟ</x:v>
      </x:c>
    </x:row>
    <x:row r="567" ht="65" customHeight="1">
      <x:c r="A567" s="2" t="str">
        <x:v>R26-089</x:v>
      </x:c>
      <x:c r="B567" s="8" t="str">
        <x:v>มิตรไมตรี Dining Cafe</x:v>
      </x:c>
      <x:c r="C567" s="8" t="str">
        <x:v>ปัตตานี</x:v>
      </x:c>
      <x:c r="D567" s="8" t="str"/>
      <x:c r="E567" s="8" t="str">
        <x:v>เพิ่มเข้าชุด 600</x:v>
      </x:c>
      <x:c r="F567" s="8" t="str">
        <x:v>R26-089</x:v>
      </x:c>
      <x:c r="G567" s="8" t="str">
        <x:v>จุดในเอกสาร 10 เส้นทาง</x:v>
      </x:c>
    </x:row>
    <x:row r="568" ht="65" customHeight="1">
      <x:c r="A568" s="2" t="str">
        <x:v>R26-092</x:v>
      </x:c>
      <x:c r="B568" s="8" t="str">
        <x:v>หาดตะโละกาโปร์</x:v>
      </x:c>
      <x:c r="C568" s="8" t="str">
        <x:v>ปัตตานี</x:v>
      </x:c>
      <x:c r="D568" s="8" t="str"/>
      <x:c r="E568" s="8" t="str">
        <x:v>เพิ่มเข้าชุด 600</x:v>
      </x:c>
      <x:c r="F568" s="8" t="str">
        <x:v>R26-092</x:v>
      </x:c>
      <x:c r="G568" s="8" t="str">
        <x:v>จุดในเอกสาร 10 เส้นทาง</x:v>
      </x:c>
    </x:row>
    <x:row r="569" ht="65" customHeight="1">
      <x:c r="A569" s="2" t="str">
        <x:v>R26-088</x:v>
      </x:c>
      <x:c r="B569" s="8" t="str">
        <x:v>ย่านเมืองเก่าปัตตานี</x:v>
      </x:c>
      <x:c r="C569" s="8" t="str">
        <x:v>ปัตตานี</x:v>
      </x:c>
      <x:c r="D569" s="8" t="str"/>
      <x:c r="E569" s="8" t="str">
        <x:v>เพิ่มเข้าชุด 600</x:v>
      </x:c>
      <x:c r="F569" s="8" t="str">
        <x:v>R26-088</x:v>
      </x:c>
      <x:c r="G569" s="8" t="str">
        <x:v>จุดในเอกสาร 10 เส้นทาง</x:v>
      </x:c>
    </x:row>
    <x:row r="570" ht="65" customHeight="1">
      <x:c r="A570" s="2" t="str">
        <x:v>R26-087</x:v>
      </x:c>
      <x:c r="B570" s="8" t="str">
        <x:v>ศาลเจ้าแม่ลิ้มกอเหนี่ยว</x:v>
      </x:c>
      <x:c r="C570" s="8" t="str">
        <x:v>ปัตตานี</x:v>
      </x:c>
      <x:c r="D570" s="8" t="str"/>
      <x:c r="E570" s="8" t="str">
        <x:v>เพิ่มเข้าชุด 600</x:v>
      </x:c>
      <x:c r="F570" s="8" t="str">
        <x:v>R26-087</x:v>
      </x:c>
      <x:c r="G570" s="8" t="str">
        <x:v>จุดในเอกสาร 10 เส้นทาง</x:v>
      </x:c>
    </x:row>
    <x:row r="571" ht="65" customHeight="1">
      <x:c r="A571" s="2" t="str">
        <x:v>R26-091</x:v>
      </x:c>
      <x:c r="B571" s="8" t="str">
        <x:v>ชุมชนบาราโหม</x:v>
      </x:c>
      <x:c r="C571" s="8" t="str">
        <x:v>ปัตตานี</x:v>
      </x:c>
      <x:c r="D571" s="8" t="str"/>
      <x:c r="E571" s="8" t="str">
        <x:v>เพิ่มเข้าชุด 600</x:v>
      </x:c>
      <x:c r="F571" s="8" t="str">
        <x:v>R26-091</x:v>
      </x:c>
      <x:c r="G571" s="8" t="str">
        <x:v>จุดในเอกสาร 10 เส้นทาง</x:v>
      </x:c>
    </x:row>
    <x:row r="572" ht="65" customHeight="1">
      <x:c r="A572" s="2" t="str">
        <x:v>R26-093</x:v>
      </x:c>
      <x:c r="B572" s="8" t="str">
        <x:v>ตลาดโต้รุ่งปัตตานี</x:v>
      </x:c>
      <x:c r="C572" s="8" t="str">
        <x:v>ปัตตานี</x:v>
      </x:c>
      <x:c r="D572" s="8" t="str"/>
      <x:c r="E572" s="8" t="str">
        <x:v>เพิ่มเข้าชุด 600</x:v>
      </x:c>
      <x:c r="F572" s="8" t="str">
        <x:v>R26-093</x:v>
      </x:c>
      <x:c r="G572" s="8" t="str">
        <x:v>จุดในเอกสาร 10 เส้นทาง</x:v>
      </x:c>
    </x:row>
    <x:row r="573" ht="65" customHeight="1">
      <x:c r="A573" s="2" t="str">
        <x:v>R26-379</x:v>
      </x:c>
      <x:c r="B573" s="8" t="str">
        <x:v>Park View Resort Pattani</x:v>
      </x:c>
      <x:c r="C573" s="8" t="str">
        <x:v>ปัตตานี</x:v>
      </x:c>
      <x:c r="D573" s="8" t="str"/>
      <x:c r="E573" s="8" t="str">
        <x:v>เพิ่มเข้าชุด 600</x:v>
      </x:c>
      <x:c r="F573" s="8" t="str">
        <x:v>R26-379</x:v>
      </x:c>
      <x:c r="G573" s="8" t="str">
        <x:v>เติมประเภทและพื้นที่ตามบรีฟ</x:v>
      </x:c>
    </x:row>
    <x:row r="574" ht="65" customHeight="1">
      <x:c r="A574" s="2" t="str">
        <x:v>R26-378</x:v>
      </x:c>
      <x:c r="B574" s="8" t="str">
        <x:v>Southern View Hotel Pattani</x:v>
      </x:c>
      <x:c r="C574" s="8" t="str">
        <x:v>ปัตตานี</x:v>
      </x:c>
      <x:c r="D574" s="8" t="str"/>
      <x:c r="E574" s="8" t="str">
        <x:v>เพิ่มเข้าชุด 600</x:v>
      </x:c>
      <x:c r="F574" s="8" t="str">
        <x:v>R26-378</x:v>
      </x:c>
      <x:c r="G574" s="8" t="str">
        <x:v>เติมประเภทและพื้นที่ตามบรีฟ</x:v>
      </x:c>
    </x:row>
    <x:row r="575" ht="65" customHeight="1">
      <x:c r="A575" s="2" t="str">
        <x:v>R26-377</x:v>
      </x:c>
      <x:c r="B575" s="8" t="str">
        <x:v>The Wood Pattani Hotel</x:v>
      </x:c>
      <x:c r="C575" s="8" t="str">
        <x:v>ปัตตานี</x:v>
      </x:c>
      <x:c r="D575" s="8" t="str"/>
      <x:c r="E575" s="8" t="str">
        <x:v>เพิ่มเข้าชุด 600</x:v>
      </x:c>
      <x:c r="F575" s="8" t="str">
        <x:v>R26-377</x:v>
      </x:c>
      <x:c r="G575" s="8" t="str">
        <x:v>เติมประเภทและพื้นที่ตามบรีฟ</x:v>
      </x:c>
    </x:row>
    <x:row r="576" ht="65" customHeight="1">
      <x:c r="A576" s="2" t="str">
        <x:v>R26-339</x:v>
      </x:c>
      <x:c r="B576" s="8" t="str">
        <x:v>LEMU.CO</x:v>
      </x:c>
      <x:c r="C576" s="8" t="str">
        <x:v>ปัตตานี</x:v>
      </x:c>
      <x:c r="D576" s="8" t="str"/>
      <x:c r="E576" s="8" t="str">
        <x:v>เพิ่มเข้าชุด 600</x:v>
      </x:c>
      <x:c r="F576" s="8" t="str">
        <x:v>R26-339</x:v>
      </x:c>
      <x:c r="G576" s="8" t="str">
        <x:v>เติมประเภทและพื้นที่ตามบรีฟ</x:v>
      </x:c>
    </x:row>
    <x:row r="577" ht="65" customHeight="1">
      <x:c r="A577" s="2" t="str">
        <x:v>R26-342</x:v>
      </x:c>
      <x:c r="B577" s="8" t="str">
        <x:v>Roti De Forest</x:v>
      </x:c>
      <x:c r="C577" s="8" t="str">
        <x:v>ปัตตานี</x:v>
      </x:c>
      <x:c r="D577" s="8" t="str"/>
      <x:c r="E577" s="8" t="str">
        <x:v>เพิ่มเข้าชุด 600</x:v>
      </x:c>
      <x:c r="F577" s="8" t="str">
        <x:v>R26-342</x:v>
      </x:c>
      <x:c r="G577" s="8" t="str">
        <x:v>เติมประเภทและพื้นที่ตามบรีฟ</x:v>
      </x:c>
    </x:row>
    <x:row r="578" ht="65" customHeight="1">
      <x:c r="A578" s="2" t="str">
        <x:v>SRC-MAKAN-6357</x:v>
      </x:c>
      <x:c r="B578" s="8" t="str">
        <x:v>kopi pagi</x:v>
      </x:c>
      <x:c r="C578" s="8" t="str">
        <x:v>ปัตตานี</x:v>
      </x:c>
      <x:c r="D578" s="8" t="str"/>
      <x:c r="E578" s="8" t="str">
        <x:v>เพิ่มเข้าชุด 600</x:v>
      </x:c>
      <x:c r="F578" s="8" t="str">
        <x:v>SRC-MAKAN-6357</x:v>
      </x:c>
      <x:c r="G578" s="8" t="str">
        <x:v>เติมประเภทและพื้นที่ตามบรีฟ</x:v>
      </x:c>
    </x:row>
    <x:row r="579" ht="65" customHeight="1">
      <x:c r="A579" s="2" t="str">
        <x:v>R26-344</x:v>
      </x:c>
      <x:c r="B579" s="8" t="str">
        <x:v>ครัวฮาลาล รูสะมิแล</x:v>
      </x:c>
      <x:c r="C579" s="8" t="str">
        <x:v>ปัตตานี</x:v>
      </x:c>
      <x:c r="D579" s="8" t="str"/>
      <x:c r="E579" s="8" t="str">
        <x:v>เพิ่มเข้าชุด 600</x:v>
      </x:c>
      <x:c r="F579" s="8" t="str">
        <x:v>R26-344</x:v>
      </x:c>
      <x:c r="G579" s="8" t="str">
        <x:v>เติมประเภทและพื้นที่ตามบรีฟ</x:v>
      </x:c>
    </x:row>
    <x:row r="580" ht="65" customHeight="1">
      <x:c r="A580" s="2" t="str">
        <x:v>R26-341</x:v>
      </x:c>
      <x:c r="B580" s="8" t="str">
        <x:v>ซุปช่อมาลี</x:v>
      </x:c>
      <x:c r="C580" s="8" t="str">
        <x:v>ปัตตานี</x:v>
      </x:c>
      <x:c r="D580" s="8" t="str"/>
      <x:c r="E580" s="8" t="str">
        <x:v>เพิ่มเข้าชุด 600</x:v>
      </x:c>
      <x:c r="F580" s="8" t="str">
        <x:v>R26-341</x:v>
      </x:c>
      <x:c r="G580" s="8" t="str">
        <x:v>เติมประเภทและพื้นที่ตามบรีฟ</x:v>
      </x:c>
    </x:row>
    <x:row r="581" ht="65" customHeight="1">
      <x:c r="A581" s="2" t="str">
        <x:v>SRC-MAKAN-5805</x:v>
      </x:c>
      <x:c r="B581" s="8" t="str">
        <x:v>ถังถังหม่าล่าทัง สาขาปัตตานี</x:v>
      </x:c>
      <x:c r="C581" s="8" t="str">
        <x:v>ปัตตานี</x:v>
      </x:c>
      <x:c r="D581" s="8" t="str"/>
      <x:c r="E581" s="8" t="str">
        <x:v>เพิ่มเข้าชุด 600</x:v>
      </x:c>
      <x:c r="F581" s="8" t="str">
        <x:v>SRC-MAKAN-5805</x:v>
      </x:c>
      <x:c r="G581" s="8" t="str">
        <x:v>เติมประเภทและพื้นที่ตามบรีฟ</x:v>
      </x:c>
    </x:row>
    <x:row r="582" ht="65" customHeight="1">
      <x:c r="A582" s="2" t="str">
        <x:v>SRC-MAKAN-6359</x:v>
      </x:c>
      <x:c r="B582" s="8" t="str">
        <x:v>โรตี บังหนูด</x:v>
      </x:c>
      <x:c r="C582" s="8" t="str">
        <x:v>ปัตตานี</x:v>
      </x:c>
      <x:c r="D582" s="8" t="str"/>
      <x:c r="E582" s="8" t="str">
        <x:v>เพิ่มเข้าชุด 600</x:v>
      </x:c>
      <x:c r="F582" s="8" t="str">
        <x:v>SRC-MAKAN-6359</x:v>
      </x:c>
      <x:c r="G582" s="8" t="str">
        <x:v>เติมประเภทและพื้นที่ตามบรีฟ</x:v>
      </x:c>
    </x:row>
    <x:row r="583" ht="65" customHeight="1">
      <x:c r="A583" s="2" t="str">
        <x:v>R26-340</x:v>
      </x:c>
      <x:c r="B583" s="8" t="str">
        <x:v>โรตีแวมะ</x:v>
      </x:c>
      <x:c r="C583" s="8" t="str">
        <x:v>ปัตตานี</x:v>
      </x:c>
      <x:c r="D583" s="8" t="str"/>
      <x:c r="E583" s="8" t="str">
        <x:v>เพิ่มเข้าชุด 600</x:v>
      </x:c>
      <x:c r="F583" s="8" t="str">
        <x:v>R26-340</x:v>
      </x:c>
      <x:c r="G583" s="8" t="str">
        <x:v>เติมประเภทและพื้นที่ตามบรีฟ</x:v>
      </x:c>
    </x:row>
    <x:row r="584" ht="65" customHeight="1">
      <x:c r="A584" s="2" t="str">
        <x:v>R26-195</x:v>
      </x:c>
      <x:c r="B584" s="8" t="str">
        <x:v>สวนสมเด็จพระศรีนครินทร์ ปัตตานี</x:v>
      </x:c>
      <x:c r="C584" s="8" t="str">
        <x:v>ปัตตานี</x:v>
      </x:c>
      <x:c r="D584" s="8" t="str"/>
      <x:c r="E584" s="8" t="str">
        <x:v>เพิ่มเข้าชุด 600</x:v>
      </x:c>
      <x:c r="F584" s="8" t="str">
        <x:v>R26-195</x:v>
      </x:c>
      <x:c r="G584" s="8" t="str">
        <x:v>เติมประเภทและพื้นที่ตามบรีฟ</x:v>
      </x:c>
    </x:row>
    <x:row r="585" ht="65" customHeight="1">
      <x:c r="A585" s="2" t="str">
        <x:v>R26-193</x:v>
      </x:c>
      <x:c r="B585" s="8" t="str">
        <x:v>หาดแฆแฆ</x:v>
      </x:c>
      <x:c r="C585" s="8" t="str">
        <x:v>ปัตตานี</x:v>
      </x:c>
      <x:c r="D585" s="8" t="str"/>
      <x:c r="E585" s="8" t="str">
        <x:v>เพิ่มเข้าชุด 600</x:v>
      </x:c>
      <x:c r="F585" s="8" t="str">
        <x:v>R26-193</x:v>
      </x:c>
      <x:c r="G585" s="8" t="str">
        <x:v>เติมประเภทและพื้นที่ตามบรีฟ</x:v>
      </x:c>
    </x:row>
    <x:row r="586" ht="65" customHeight="1">
      <x:c r="A586" s="2" t="str">
        <x:v>R26-194</x:v>
      </x:c>
      <x:c r="B586" s="8" t="str">
        <x:v>แหลมตาชี</x:v>
      </x:c>
      <x:c r="C586" s="8" t="str">
        <x:v>ปัตตานี</x:v>
      </x:c>
      <x:c r="D586" s="8" t="str"/>
      <x:c r="E586" s="8" t="str">
        <x:v>เพิ่มเข้าชุด 600</x:v>
      </x:c>
      <x:c r="F586" s="8" t="str">
        <x:v>R26-194</x:v>
      </x:c>
      <x:c r="G586" s="8" t="str">
        <x:v>เติมประเภทและพื้นที่ตามบรีฟ</x:v>
      </x:c>
    </x:row>
    <x:row r="587" ht="65" customHeight="1">
      <x:c r="A587" s="2" t="str">
        <x:v>R26-196</x:v>
      </x:c>
      <x:c r="B587" s="8" t="str">
        <x:v>ชุมชนบ้านบางปู ปัตตานี</x:v>
      </x:c>
      <x:c r="C587" s="8" t="str">
        <x:v>ปัตตานี</x:v>
      </x:c>
      <x:c r="D587" s="8" t="str"/>
      <x:c r="E587" s="8" t="str">
        <x:v>เพิ่มเข้าชุด 600</x:v>
      </x:c>
      <x:c r="F587" s="8" t="str">
        <x:v>R26-196</x:v>
      </x:c>
      <x:c r="G587" s="8" t="str">
        <x:v>เติมประเภทและพื้นที่ตามบรีฟ</x:v>
      </x:c>
    </x:row>
    <x:row r="588" ht="65" customHeight="1">
      <x:c r="A588" s="2" t="str">
        <x:v>R26-198</x:v>
      </x:c>
      <x:c r="B588" s="8" t="str">
        <x:v>ชุมชนบ้านปะเสยะวอ</x:v>
      </x:c>
      <x:c r="C588" s="8" t="str">
        <x:v>ปัตตานี</x:v>
      </x:c>
      <x:c r="D588" s="8" t="str"/>
      <x:c r="E588" s="8" t="str">
        <x:v>เพิ่มเข้าชุด 600</x:v>
      </x:c>
      <x:c r="F588" s="8" t="str">
        <x:v>R26-198</x:v>
      </x:c>
      <x:c r="G588" s="8" t="str">
        <x:v>เติมประเภทและพื้นที่ตามบรีฟ</x:v>
      </x:c>
    </x:row>
    <x:row r="589" ht="65" customHeight="1">
      <x:c r="A589" s="2" t="str">
        <x:v>R26-097</x:v>
      </x:c>
      <x:c r="B589" s="8" t="str">
        <x:v>สวนขวัญเมือง</x:v>
      </x:c>
      <x:c r="C589" s="8" t="str">
        <x:v>ยะลา</x:v>
      </x:c>
      <x:c r="D589" s="8" t="str"/>
      <x:c r="E589" s="8" t="str">
        <x:v>เพิ่มเข้าชุด 600</x:v>
      </x:c>
      <x:c r="F589" s="8" t="str">
        <x:v>R26-097</x:v>
      </x:c>
      <x:c r="G589" s="8" t="str">
        <x:v>จุดในเอกสาร 10 เส้นทาง</x:v>
      </x:c>
    </x:row>
    <x:row r="590" ht="65" customHeight="1">
      <x:c r="A590" s="2" t="str">
        <x:v>R26-094</x:v>
      </x:c>
      <x:c r="B590" s="8" t="str">
        <x:v>Yala Bird City Street Art</x:v>
      </x:c>
      <x:c r="C590" s="8" t="str">
        <x:v>ยะลา</x:v>
      </x:c>
      <x:c r="D590" s="8" t="str"/>
      <x:c r="E590" s="8" t="str">
        <x:v>เพิ่มเข้าชุด 600</x:v>
      </x:c>
      <x:c r="F590" s="8" t="str">
        <x:v>R26-094</x:v>
      </x:c>
      <x:c r="G590" s="8" t="str">
        <x:v>จุดในเอกสาร 10 เส้นทาง</x:v>
      </x:c>
    </x:row>
    <x:row r="591" ht="65" customHeight="1">
      <x:c r="A591" s="2" t="str">
        <x:v>R26-095</x:v>
      </x:c>
      <x:c r="B591" s="8" t="str">
        <x:v>มัสยิดกลางยะลา</x:v>
      </x:c>
      <x:c r="C591" s="8" t="str">
        <x:v>ยะลา</x:v>
      </x:c>
      <x:c r="D591" s="8" t="str"/>
      <x:c r="E591" s="8" t="str">
        <x:v>เพิ่มเข้าชุด 600</x:v>
      </x:c>
      <x:c r="F591" s="8" t="str">
        <x:v>R26-095</x:v>
      </x:c>
      <x:c r="G591" s="8" t="str">
        <x:v>จุดในเอกสาร 10 เส้นทาง</x:v>
      </x:c>
    </x:row>
    <x:row r="592" ht="65" customHeight="1">
      <x:c r="A592" s="2" t="str">
        <x:v>R26-098</x:v>
      </x:c>
      <x:c r="B592" s="8" t="str">
        <x:v>ตลาดเมืองใหม่ยะลา</x:v>
      </x:c>
      <x:c r="C592" s="8" t="str">
        <x:v>ยะลา</x:v>
      </x:c>
      <x:c r="D592" s="8" t="str"/>
      <x:c r="E592" s="8" t="str">
        <x:v>เพิ่มเข้าชุด 600</x:v>
      </x:c>
      <x:c r="F592" s="8" t="str">
        <x:v>R26-098</x:v>
      </x:c>
      <x:c r="G592" s="8" t="str">
        <x:v>จุดในเอกสาร 10 เส้นทาง</x:v>
      </x:c>
    </x:row>
    <x:row r="593" ht="65" customHeight="1">
      <x:c r="A593" s="2" t="str">
        <x:v>R26-380</x:v>
      </x:c>
      <x:c r="B593" s="8" t="str">
        <x:v>The Linux Garden Hotel Yala</x:v>
      </x:c>
      <x:c r="C593" s="8" t="str">
        <x:v>ยะลา</x:v>
      </x:c>
      <x:c r="D593" s="8" t="str"/>
      <x:c r="E593" s="8" t="str">
        <x:v>เพิ่มเข้าชุด 600</x:v>
      </x:c>
      <x:c r="F593" s="8" t="str">
        <x:v>R26-380</x:v>
      </x:c>
      <x:c r="G593" s="8" t="str">
        <x:v>เติมประเภทและพื้นที่ตามบรีฟ</x:v>
      </x:c>
    </x:row>
    <x:row r="594" ht="65" customHeight="1">
      <x:c r="A594" s="2" t="str">
        <x:v>R26-381</x:v>
      </x:c>
      <x:c r="B594" s="8" t="str">
        <x:v>Yala Grand Palace Hotel</x:v>
      </x:c>
      <x:c r="C594" s="8" t="str">
        <x:v>ยะลา</x:v>
      </x:c>
      <x:c r="D594" s="8" t="str"/>
      <x:c r="E594" s="8" t="str">
        <x:v>เพิ่มเข้าชุด 600</x:v>
      </x:c>
      <x:c r="F594" s="8" t="str">
        <x:v>R26-381</x:v>
      </x:c>
      <x:c r="G594" s="8" t="str">
        <x:v>เติมประเภทและพื้นที่ตามบรีฟ</x:v>
      </x:c>
    </x:row>
    <x:row r="595" ht="65" customHeight="1">
      <x:c r="A595" s="2" t="str">
        <x:v>R26-332</x:v>
      </x:c>
      <x:c r="B595" s="8" t="str">
        <x:v>Once Eatery by ประเทือง</x:v>
      </x:c>
      <x:c r="C595" s="8" t="str">
        <x:v>ยะลา</x:v>
      </x:c>
      <x:c r="D595" s="8" t="str"/>
      <x:c r="E595" s="8" t="str">
        <x:v>เพิ่มเข้าชุด 600</x:v>
      </x:c>
      <x:c r="F595" s="8" t="str">
        <x:v>R26-332</x:v>
      </x:c>
      <x:c r="G595" s="8" t="str">
        <x:v>เติมประเภทและพื้นที่ตามบรีฟ</x:v>
      </x:c>
    </x:row>
    <x:row r="596" ht="65" customHeight="1">
      <x:c r="A596" s="2" t="str">
        <x:v>R26-333</x:v>
      </x:c>
      <x:c r="B596" s="8" t="str">
        <x:v>Yasmeen Seafood</x:v>
      </x:c>
      <x:c r="C596" s="8" t="str">
        <x:v>ยะลา</x:v>
      </x:c>
      <x:c r="D596" s="8" t="str"/>
      <x:c r="E596" s="8" t="str">
        <x:v>เพิ่มเข้าชุด 600</x:v>
      </x:c>
      <x:c r="F596" s="8" t="str">
        <x:v>R26-333</x:v>
      </x:c>
      <x:c r="G596" s="8" t="str">
        <x:v>เติมประเภทและพื้นที่ตามบรีฟ</x:v>
      </x:c>
    </x:row>
    <x:row r="597" ht="65" customHeight="1">
      <x:c r="A597" s="2" t="str">
        <x:v>R26-335</x:v>
      </x:c>
      <x:c r="B597" s="8" t="str">
        <x:v>บ้านอาหารมายโฮมยะลา</x:v>
      </x:c>
      <x:c r="C597" s="8" t="str">
        <x:v>ยะลา</x:v>
      </x:c>
      <x:c r="D597" s="8" t="str"/>
      <x:c r="E597" s="8" t="str">
        <x:v>เพิ่มเข้าชุด 600</x:v>
      </x:c>
      <x:c r="F597" s="8" t="str">
        <x:v>R26-335</x:v>
      </x:c>
      <x:c r="G597" s="8" t="str">
        <x:v>เติมประเภทและพื้นที่ตามบรีฟ</x:v>
      </x:c>
    </x:row>
    <x:row r="598" ht="65" customHeight="1">
      <x:c r="A598" s="2" t="str">
        <x:v>R26-338</x:v>
      </x:c>
      <x:c r="B598" s="8" t="str">
        <x:v>มูฮัมหมัดฮาลีย์ ข้าวหน้าเป็ด</x:v>
      </x:c>
      <x:c r="C598" s="8" t="str">
        <x:v>ยะลา</x:v>
      </x:c>
      <x:c r="D598" s="8" t="str"/>
      <x:c r="E598" s="8" t="str">
        <x:v>เพิ่มเข้าชุด 600</x:v>
      </x:c>
      <x:c r="F598" s="8" t="str">
        <x:v>R26-338</x:v>
      </x:c>
      <x:c r="G598" s="8" t="str">
        <x:v>เติมประเภทและพื้นที่ตามบรีฟ</x:v>
      </x:c>
    </x:row>
    <x:row r="599" ht="65" customHeight="1">
      <x:c r="A599" s="2" t="str">
        <x:v>R26-337</x:v>
      </x:c>
      <x:c r="B599" s="8" t="str">
        <x:v>เนื้อแท้ โลตัสยะลา</x:v>
      </x:c>
      <x:c r="C599" s="8" t="str">
        <x:v>ยะลา</x:v>
      </x:c>
      <x:c r="D599" s="8" t="str"/>
      <x:c r="E599" s="8" t="str">
        <x:v>เพิ่มเข้าชุด 600</x:v>
      </x:c>
      <x:c r="F599" s="8" t="str">
        <x:v>R26-337</x:v>
      </x:c>
      <x:c r="G599" s="8" t="str">
        <x:v>เติมประเภทและพื้นที่ตามบรีฟ</x:v>
      </x:c>
    </x:row>
    <x:row r="600" ht="65" customHeight="1">
      <x:c r="A600" s="2" t="str">
        <x:v>R26-334</x:v>
      </x:c>
      <x:c r="B600" s="8" t="str">
        <x:v>โกกีม ก๋วยเตี๋ยวเนื้อตุ๋น</x:v>
      </x:c>
      <x:c r="C600" s="8" t="str">
        <x:v>ยะลา</x:v>
      </x:c>
      <x:c r="D600" s="8" t="str"/>
      <x:c r="E600" s="8" t="str">
        <x:v>เพิ่มเข้าชุด 600</x:v>
      </x:c>
      <x:c r="F600" s="8" t="str">
        <x:v>R26-334</x:v>
      </x:c>
      <x:c r="G600" s="8" t="str">
        <x:v>เติมประเภทและพื้นที่ตามบรีฟ</x:v>
      </x:c>
    </x:row>
    <x:row r="601" ht="65" customHeight="1">
      <x:c r="A601" s="2" t="str">
        <x:v>R26-200</x:v>
      </x:c>
      <x:c r="B601" s="8" t="str">
        <x:v>ทะเลหมอกอัยเยอร์เวง</x:v>
      </x:c>
      <x:c r="C601" s="8" t="str">
        <x:v>ยะลา</x:v>
      </x:c>
      <x:c r="D601" s="8" t="str"/>
      <x:c r="E601" s="8" t="str">
        <x:v>เพิ่มเข้าชุด 600</x:v>
      </x:c>
      <x:c r="F601" s="8" t="str">
        <x:v>R26-200</x:v>
      </x:c>
      <x:c r="G601" s="8" t="str">
        <x:v>เติมประเภทและพื้นที่ตามบรีฟ</x:v>
      </x:c>
    </x:row>
    <x:row r="602" ht="65" customHeight="1">
      <x:c r="A602" s="2" t="str">
        <x:v>R26-201</x:v>
      </x:c>
      <x:c r="B602" s="8" t="str">
        <x:v>สวนดอกไม้เมืองหนาวเบตง</x:v>
      </x:c>
      <x:c r="C602" s="8" t="str">
        <x:v>ยะลา</x:v>
      </x:c>
      <x:c r="D602" s="8" t="str"/>
      <x:c r="E602" s="8" t="str">
        <x:v>เพิ่มเข้าชุด 600</x:v>
      </x:c>
      <x:c r="F602" s="8" t="str">
        <x:v>R26-201</x:v>
      </x:c>
      <x:c r="G602" s="8" t="str">
        <x:v>เติมประเภทและพื้นที่ตามบรีฟ</x:v>
      </x:c>
    </x:row>
    <x:row r="603" ht="65" customHeight="1">
      <x:c r="A603" s="2" t="str">
        <x:v>R26-199</x:v>
      </x:c>
      <x:c r="B603" s="8" t="str">
        <x:v>เขื่อนบางลาง</x:v>
      </x:c>
      <x:c r="C603" s="8" t="str">
        <x:v>ยะลา</x:v>
      </x:c>
      <x:c r="D603" s="8" t="str"/>
      <x:c r="E603" s="8" t="str">
        <x:v>เพิ่มเข้าชุด 600</x:v>
      </x:c>
      <x:c r="F603" s="8" t="str">
        <x:v>R26-199</x:v>
      </x:c>
      <x:c r="G603" s="8" t="str">
        <x:v>เติมประเภทและพื้นที่ตามบรีฟ</x:v>
      </x:c>
    </x:row>
    <x:row r="604" ht="65" customHeight="1">
      <x:c r="A604" s="2" t="str">
        <x:v>R26-202</x:v>
      </x:c>
      <x:c r="B604" s="8" t="str">
        <x:v>ชุมชนบ้านจุฬาภรณ์พัฒนา 9</x:v>
      </x:c>
      <x:c r="C604" s="8" t="str">
        <x:v>ยะลา</x:v>
      </x:c>
      <x:c r="D604" s="8" t="str"/>
      <x:c r="E604" s="8" t="str">
        <x:v>เพิ่มเข้าชุด 600</x:v>
      </x:c>
      <x:c r="F604" s="8" t="str">
        <x:v>R26-202</x:v>
      </x:c>
      <x:c r="G604" s="8" t="str">
        <x:v>เติมประเภทและพื้นที่ตามบรีฟ</x:v>
      </x:c>
    </x:row>
    <x:row r="605" ht="65" customHeight="1">
      <x:c r="A605" s="2" t="str">
        <x:v>R26-203</x:v>
      </x:c>
      <x:c r="B605" s="8" t="str">
        <x:v>ชุมชนบ้านบ่อน้ำร้อน เบตง</x:v>
      </x:c>
      <x:c r="C605" s="8" t="str">
        <x:v>ยะลา</x:v>
      </x:c>
      <x:c r="D605" s="8" t="str"/>
      <x:c r="E605" s="8" t="str">
        <x:v>เพิ่มเข้าชุด 600</x:v>
      </x:c>
      <x:c r="F605" s="8" t="str">
        <x:v>R26-203</x:v>
      </x:c>
      <x:c r="G605" s="8" t="str">
        <x:v>เติมประเภทและพื้นที่ตามบรีฟ</x:v>
      </x:c>
    </x:row>
    <x:row r="606" ht="65" customHeight="1">
      <x:c r="A606" s="2" t="str">
        <x:v>R26-099</x:v>
      </x:c>
      <x:c r="B606" s="8" t="str">
        <x:v>ลันเบอร์เกอร์ ท่าศาลา</x:v>
      </x:c>
      <x:c r="C606" s="8" t="str">
        <x:v>นครศรีธรรมราช</x:v>
      </x:c>
      <x:c r="D606" s="8" t="str"/>
      <x:c r="E606" s="8" t="str">
        <x:v>เพิ่มเข้าชุด 600</x:v>
      </x:c>
      <x:c r="F606" s="8" t="str">
        <x:v>R26-099</x:v>
      </x:c>
      <x:c r="G606" s="8" t="str">
        <x:v>จุดในเอกสาร 10 เส้นทาง</x:v>
      </x:c>
    </x:row>
    <x:row r="607" ht="65" customHeight="1">
      <x:c r="A607" s="2" t="str">
        <x:v>R26-100</x:v>
      </x:c>
      <x:c r="B607" s="8" t="str">
        <x:v>มัสยิดกลางจังหวัดนครศรีธรรมราช</x:v>
      </x:c>
      <x:c r="C607" s="8" t="str">
        <x:v>นครศรีธรรมราช</x:v>
      </x:c>
      <x:c r="D607" s="8" t="str"/>
      <x:c r="E607" s="8" t="str">
        <x:v>เพิ่มเข้าชุด 600</x:v>
      </x:c>
      <x:c r="F607" s="8" t="str">
        <x:v>R26-100</x:v>
      </x:c>
      <x:c r="G607" s="8" t="str">
        <x:v>จุดในเอกสาร 10 เส้นทาง</x:v>
      </x:c>
    </x:row>
    <x:row r="608" ht="65" customHeight="1">
      <x:c r="A608" s="2" t="str">
        <x:v>R26-103</x:v>
      </x:c>
      <x:c r="B608" s="8" t="str">
        <x:v>เมืองเก่านครศรีธรรมราช</x:v>
      </x:c>
      <x:c r="C608" s="8" t="str">
        <x:v>นครศรีธรรมราช</x:v>
      </x:c>
      <x:c r="D608" s="8" t="str"/>
      <x:c r="E608" s="8" t="str">
        <x:v>เพิ่มเข้าชุด 600</x:v>
      </x:c>
      <x:c r="F608" s="8" t="str">
        <x:v>R26-103</x:v>
      </x:c>
      <x:c r="G608" s="8" t="str">
        <x:v>จุดในเอกสาร 10 เส้นทาง</x:v>
      </x:c>
    </x:row>
    <x:row r="609" ht="65" customHeight="1">
      <x:c r="A609" s="2" t="str">
        <x:v>R26-101</x:v>
      </x:c>
      <x:c r="B609" s="8" t="str">
        <x:v>ชุมชนบ้านคีรีวง</x:v>
      </x:c>
      <x:c r="C609" s="8" t="str">
        <x:v>นครศรีธรรมราช</x:v>
      </x:c>
      <x:c r="D609" s="8" t="str"/>
      <x:c r="E609" s="8" t="str">
        <x:v>เพิ่มเข้าชุด 600</x:v>
      </x:c>
      <x:c r="F609" s="8" t="str">
        <x:v>R26-101</x:v>
      </x:c>
      <x:c r="G609" s="8" t="str">
        <x:v>จุดในเอกสาร 10 เส้นทาง</x:v>
      </x:c>
    </x:row>
    <x:row r="610" ht="65" customHeight="1">
      <x:c r="A610" s="2" t="str">
        <x:v>R26-102</x:v>
      </x:c>
      <x:c r="B610" s="8" t="str">
        <x:v>KIREE มัดย้อมสีธรรมชาติบ้านคีรีวง</x:v>
      </x:c>
      <x:c r="C610" s="8" t="str">
        <x:v>นครศรีธรรมราช</x:v>
      </x:c>
      <x:c r="D610" s="8" t="str"/>
      <x:c r="E610" s="8" t="str">
        <x:v>เพิ่มเข้าชุด 600</x:v>
      </x:c>
      <x:c r="F610" s="8" t="str">
        <x:v>R26-102</x:v>
      </x:c>
      <x:c r="G610" s="8" t="str">
        <x:v>จุดในเอกสาร 10 เส้นทาง</x:v>
      </x:c>
    </x:row>
    <x:row r="611" ht="65" customHeight="1">
      <x:c r="A611" s="2" t="str">
        <x:v>R26-271</x:v>
      </x:c>
      <x:c r="B611" s="8" t="str">
        <x:v>Central Nakhon Si</x:v>
      </x:c>
      <x:c r="C611" s="8" t="str">
        <x:v>นครศรีธรรมราช</x:v>
      </x:c>
      <x:c r="D611" s="8" t="str"/>
      <x:c r="E611" s="8" t="str">
        <x:v>เพิ่มเข้าชุด 600</x:v>
      </x:c>
      <x:c r="F611" s="8" t="str">
        <x:v>R26-271</x:v>
      </x:c>
      <x:c r="G611" s="8" t="str">
        <x:v>เติมประเภทและพื้นที่ตามบรีฟ</x:v>
      </x:c>
    </x:row>
    <x:row r="612" ht="65" customHeight="1">
      <x:c r="A612" s="2" t="str">
        <x:v>R26-205</x:v>
      </x:c>
      <x:c r="B612" s="8" t="str">
        <x:v>น้ำตกกรุงชิง</x:v>
      </x:c>
      <x:c r="C612" s="8" t="str">
        <x:v>นครศรีธรรมราช</x:v>
      </x:c>
      <x:c r="D612" s="8" t="str"/>
      <x:c r="E612" s="8" t="str">
        <x:v>เพิ่มเข้าชุด 600</x:v>
      </x:c>
      <x:c r="F612" s="8" t="str">
        <x:v>R26-205</x:v>
      </x:c>
      <x:c r="G612" s="8" t="str">
        <x:v>เติมประเภทและพื้นที่ตามบรีฟ</x:v>
      </x:c>
    </x:row>
    <x:row r="613" ht="65" customHeight="1">
      <x:c r="A613" s="2" t="str">
        <x:v>R26-206</x:v>
      </x:c>
      <x:c r="B613" s="8" t="str">
        <x:v>หาดขนอม</x:v>
      </x:c>
      <x:c r="C613" s="8" t="str">
        <x:v>นครศรีธรรมราช</x:v>
      </x:c>
      <x:c r="D613" s="8" t="str"/>
      <x:c r="E613" s="8" t="str">
        <x:v>เพิ่มเข้าชุด 600</x:v>
      </x:c>
      <x:c r="F613" s="8" t="str">
        <x:v>R26-206</x:v>
      </x:c>
      <x:c r="G613" s="8" t="str">
        <x:v>เติมประเภทและพื้นที่ตามบรีฟ</x:v>
      </x:c>
    </x:row>
    <x:row r="614" ht="65" customHeight="1">
      <x:c r="A614" s="2" t="str">
        <x:v>R26-204</x:v>
      </x:c>
      <x:c r="B614" s="8" t="str">
        <x:v>อุทยานแห่งชาติเขาหลวง</x:v>
      </x:c>
      <x:c r="C614" s="8" t="str">
        <x:v>นครศรีธรรมราช</x:v>
      </x:c>
      <x:c r="D614" s="8" t="str"/>
      <x:c r="E614" s="8" t="str">
        <x:v>เพิ่มเข้าชุด 600</x:v>
      </x:c>
      <x:c r="F614" s="8" t="str">
        <x:v>R26-204</x:v>
      </x:c>
      <x:c r="G614" s="8" t="str">
        <x:v>เติมประเภทและพื้นที่ตามบรีฟ</x:v>
      </x:c>
    </x:row>
    <x:row r="615" ht="65" customHeight="1">
      <x:c r="A615" s="2" t="str">
        <x:v>R26-310</x:v>
      </x:c>
      <x:c r="B615" s="8" t="str">
        <x:v>บ้านหนังตะลุงสุชาติ ทรัพย์สิน</x:v>
      </x:c>
      <x:c r="C615" s="8" t="str">
        <x:v>นครศรีธรรมราช</x:v>
      </x:c>
      <x:c r="D615" s="8" t="str"/>
      <x:c r="E615" s="8" t="str">
        <x:v>เพิ่มเข้าชุด 600</x:v>
      </x:c>
      <x:c r="F615" s="8" t="str">
        <x:v>R26-310</x:v>
      </x:c>
      <x:c r="G615" s="8" t="str">
        <x:v>เติมประเภทและพื้นที่ตามบรีฟ</x:v>
      </x:c>
    </x:row>
    <x:row r="616" ht="65" customHeight="1">
      <x:c r="A616" s="2" t="str">
        <x:v>R26-208</x:v>
      </x:c>
      <x:c r="B616" s="8" t="str">
        <x:v>ชุมชนบ้านแหลมประทับ</x:v>
      </x:c>
      <x:c r="C616" s="8" t="str">
        <x:v>นครศรีธรรมราช</x:v>
      </x:c>
      <x:c r="D616" s="8" t="str"/>
      <x:c r="E616" s="8" t="str">
        <x:v>เพิ่มเข้าชุด 600</x:v>
      </x:c>
      <x:c r="F616" s="8" t="str">
        <x:v>R26-208</x:v>
      </x:c>
      <x:c r="G616" s="8" t="str">
        <x:v>เติมประเภทและพื้นที่ตามบรีฟ</x:v>
      </x:c>
    </x:row>
    <x:row r="617" ht="65" customHeight="1">
      <x:c r="A617" s="2" t="str">
        <x:v>R26-105</x:v>
      </x:c>
      <x:c r="B617" s="8" t="str">
        <x:v>โรงแรมศิวา รอยัล พัทลุง</x:v>
      </x:c>
      <x:c r="C617" s="8" t="str">
        <x:v>พัทลุง</x:v>
      </x:c>
      <x:c r="D617" s="8" t="str"/>
      <x:c r="E617" s="8" t="str">
        <x:v>เพิ่มเข้าชุด 600</x:v>
      </x:c>
      <x:c r="F617" s="8" t="str">
        <x:v>R26-105</x:v>
      </x:c>
      <x:c r="G617" s="8" t="str">
        <x:v>จุดในเอกสาร 10 เส้นทาง</x:v>
      </x:c>
    </x:row>
    <x:row r="618" ht="65" customHeight="1">
      <x:c r="A618" s="2" t="str">
        <x:v>R26-104</x:v>
      </x:c>
      <x:c r="B618" s="8" t="str">
        <x:v>ร้านอาหารอิสลามซูบัยด๊ะ</x:v>
      </x:c>
      <x:c r="C618" s="8" t="str">
        <x:v>พัทลุง</x:v>
      </x:c>
      <x:c r="D618" s="8" t="str"/>
      <x:c r="E618" s="8" t="str">
        <x:v>เพิ่มเข้าชุด 600</x:v>
      </x:c>
      <x:c r="F618" s="8" t="str">
        <x:v>R26-104</x:v>
      </x:c>
      <x:c r="G618" s="8" t="str">
        <x:v>จุดในเอกสาร 10 เส้นทาง</x:v>
      </x:c>
    </x:row>
    <x:row r="619" ht="65" customHeight="1">
      <x:c r="A619" s="2" t="str">
        <x:v>R26-107</x:v>
      </x:c>
      <x:c r="B619" s="8" t="str">
        <x:v>ไร่ชาพันไมล์</x:v>
      </x:c>
      <x:c r="C619" s="8" t="str">
        <x:v>พัทลุง</x:v>
      </x:c>
      <x:c r="D619" s="8" t="str"/>
      <x:c r="E619" s="8" t="str">
        <x:v>เพิ่มเข้าชุด 600</x:v>
      </x:c>
      <x:c r="F619" s="8" t="str">
        <x:v>R26-107</x:v>
      </x:c>
      <x:c r="G619" s="8" t="str">
        <x:v>จุดในเอกสาร 10 เส้นทาง</x:v>
      </x:c>
    </x:row>
    <x:row r="620" ht="65" customHeight="1">
      <x:c r="A620" s="2" t="str">
        <x:v>R26-106</x:v>
      </x:c>
      <x:c r="B620" s="8" t="str">
        <x:v>ทะเลน้อย</x:v>
      </x:c>
      <x:c r="C620" s="8" t="str">
        <x:v>พัทลุง</x:v>
      </x:c>
      <x:c r="D620" s="8" t="str"/>
      <x:c r="E620" s="8" t="str">
        <x:v>เพิ่มเข้าชุด 600</x:v>
      </x:c>
      <x:c r="F620" s="8" t="str">
        <x:v>R26-106</x:v>
      </x:c>
      <x:c r="G620" s="8" t="str">
        <x:v>จุดในเอกสาร 10 เส้นทาง</x:v>
      </x:c>
    </x:row>
    <x:row r="621" ht="65" customHeight="1">
      <x:c r="A621" s="2" t="str">
        <x:v>R26-109</x:v>
      </x:c>
      <x:c r="B621" s="8" t="str">
        <x:v>มัสยิดกลางจังหวัดพัทลุง</x:v>
      </x:c>
      <x:c r="C621" s="8" t="str">
        <x:v>พัทลุง</x:v>
      </x:c>
      <x:c r="D621" s="8" t="str"/>
      <x:c r="E621" s="8" t="str">
        <x:v>เพิ่มเข้าชุด 600</x:v>
      </x:c>
      <x:c r="F621" s="8" t="str">
        <x:v>R26-109</x:v>
      </x:c>
      <x:c r="G621" s="8" t="str">
        <x:v>จุดในเอกสาร 10 เส้นทาง</x:v>
      </x:c>
    </x:row>
    <x:row r="622" ht="65" customHeight="1">
      <x:c r="A622" s="2" t="str">
        <x:v>R26-110</x:v>
      </x:c>
      <x:c r="B622" s="8" t="str">
        <x:v>หลาดใต้ถุน ปากพะยูน ชุมชนบ้านกลาง</x:v>
      </x:c>
      <x:c r="C622" s="8" t="str">
        <x:v>พัทลุง</x:v>
      </x:c>
      <x:c r="D622" s="8" t="str"/>
      <x:c r="E622" s="8" t="str">
        <x:v>เพิ่มเข้าชุด 600</x:v>
      </x:c>
      <x:c r="F622" s="8" t="str">
        <x:v>R26-110</x:v>
      </x:c>
      <x:c r="G622" s="8" t="str">
        <x:v>จุดในเอกสาร 10 เส้นทาง</x:v>
      </x:c>
    </x:row>
    <x:row r="623" ht="65" customHeight="1">
      <x:c r="A623" s="2" t="str">
        <x:v>R26-108</x:v>
      </x:c>
      <x:c r="B623" s="8" t="str">
        <x:v>สวนเดอลอง</x:v>
      </x:c>
      <x:c r="C623" s="8" t="str">
        <x:v>พัทลุง</x:v>
      </x:c>
      <x:c r="D623" s="8" t="str"/>
      <x:c r="E623" s="8" t="str">
        <x:v>เพิ่มเข้าชุด 600</x:v>
      </x:c>
      <x:c r="F623" s="8" t="str">
        <x:v>R26-108</x:v>
      </x:c>
      <x:c r="G623" s="8" t="str">
        <x:v>จุดในเอกสาร 10 เส้นทาง</x:v>
      </x:c>
    </x:row>
    <x:row r="624" ht="65" customHeight="1">
      <x:c r="A624" s="2" t="str">
        <x:v>R26-387</x:v>
      </x:c>
      <x:c r="B624" s="8" t="str">
        <x:v>Dusit Princess Phatthalung</x:v>
      </x:c>
      <x:c r="C624" s="8" t="str">
        <x:v>พัทลุง</x:v>
      </x:c>
      <x:c r="D624" s="8" t="str"/>
      <x:c r="E624" s="8" t="str">
        <x:v>เพิ่มเข้าชุด 600</x:v>
      </x:c>
      <x:c r="F624" s="8" t="str">
        <x:v>R26-387</x:v>
      </x:c>
      <x:c r="G624" s="8" t="str">
        <x:v>เติมประเภทและพื้นที่ตามบรีฟ</x:v>
      </x:c>
    </x:row>
    <x:row r="625" ht="65" customHeight="1">
      <x:c r="A625" s="2" t="str">
        <x:v>R26-388</x:v>
      </x:c>
      <x:c r="B625" s="8" t="str">
        <x:v>Sri Pakpra Boutique Resort Phatthalung</x:v>
      </x:c>
      <x:c r="C625" s="8" t="str">
        <x:v>พัทลุง</x:v>
      </x:c>
      <x:c r="D625" s="8" t="str"/>
      <x:c r="E625" s="8" t="str">
        <x:v>เพิ่มเข้าชุด 600</x:v>
      </x:c>
      <x:c r="F625" s="8" t="str">
        <x:v>R26-388</x:v>
      </x:c>
      <x:c r="G625" s="8" t="str">
        <x:v>เติมประเภทและพื้นที่ตามบรีฟ</x:v>
      </x:c>
    </x:row>
    <x:row r="626" ht="65" customHeight="1">
      <x:c r="A626" s="2" t="str">
        <x:v>R26-352</x:v>
      </x:c>
      <x:c r="B626" s="8" t="str">
        <x:v>MONTE พัทลุง</x:v>
      </x:c>
      <x:c r="C626" s="8" t="str">
        <x:v>พัทลุง</x:v>
      </x:c>
      <x:c r="D626" s="8" t="str"/>
      <x:c r="E626" s="8" t="str">
        <x:v>เพิ่มเข้าชุด 600</x:v>
      </x:c>
      <x:c r="F626" s="8" t="str">
        <x:v>R26-352</x:v>
      </x:c>
      <x:c r="G626" s="8" t="str">
        <x:v>เติมประเภทและพื้นที่ตามบรีฟ</x:v>
      </x:c>
    </x:row>
    <x:row r="627" ht="65" customHeight="1">
      <x:c r="A627" s="2" t="str">
        <x:v>R26-354</x:v>
      </x:c>
      <x:c r="B627" s="8" t="str">
        <x:v>ก๋วยเตี๋ยวจัมโบ้อิสลาม เกะฟ็ะ</x:v>
      </x:c>
      <x:c r="C627" s="8" t="str">
        <x:v>พัทลุง</x:v>
      </x:c>
      <x:c r="D627" s="8" t="str"/>
      <x:c r="E627" s="8" t="str">
        <x:v>เพิ่มเข้าชุด 600</x:v>
      </x:c>
      <x:c r="F627" s="8" t="str">
        <x:v>R26-354</x:v>
      </x:c>
      <x:c r="G627" s="8" t="str">
        <x:v>เติมประเภทและพื้นที่ตามบรีฟ</x:v>
      </x:c>
    </x:row>
    <x:row r="628" ht="65" customHeight="1">
      <x:c r="A628" s="2" t="str">
        <x:v>R26-210</x:v>
      </x:c>
      <x:c r="B628" s="8" t="str">
        <x:v>สะพานเฉลิมพระเกียรติ 80 พรรษา พัทลุง</x:v>
      </x:c>
      <x:c r="C628" s="8" t="str">
        <x:v>พัทลุง</x:v>
      </x:c>
      <x:c r="D628" s="8" t="str"/>
      <x:c r="E628" s="8" t="str">
        <x:v>เพิ่มเข้าชุด 600</x:v>
      </x:c>
      <x:c r="F628" s="8" t="str">
        <x:v>R26-210</x:v>
      </x:c>
      <x:c r="G628" s="8" t="str">
        <x:v>เติมประเภทและพื้นที่ตามบรีฟ</x:v>
      </x:c>
    </x:row>
    <x:row r="629" ht="65" customHeight="1">
      <x:c r="A629" s="2" t="str">
        <x:v>R26-211</x:v>
      </x:c>
      <x:c r="B629" s="8" t="str">
        <x:v>อุทยานแห่งชาติเขาปู่-เขาย่า</x:v>
      </x:c>
      <x:c r="C629" s="8" t="str">
        <x:v>พัทลุง</x:v>
      </x:c>
      <x:c r="D629" s="8" t="str"/>
      <x:c r="E629" s="8" t="str">
        <x:v>เพิ่มเข้าชุด 600</x:v>
      </x:c>
      <x:c r="F629" s="8" t="str">
        <x:v>R26-211</x:v>
      </x:c>
      <x:c r="G629" s="8" t="str">
        <x:v>เติมประเภทและพื้นที่ตามบรีฟ</x:v>
      </x:c>
    </x:row>
    <x:row r="630" ht="65" customHeight="1">
      <x:c r="A630" s="2" t="str">
        <x:v>R26-215</x:v>
      </x:c>
      <x:c r="B630" s="8" t="str">
        <x:v>ชุมชนบ้านปากประ</x:v>
      </x:c>
      <x:c r="C630" s="8" t="str">
        <x:v>พัทลุง</x:v>
      </x:c>
      <x:c r="D630" s="8" t="str"/>
      <x:c r="E630" s="8" t="str">
        <x:v>เพิ่มเข้าชุด 600</x:v>
      </x:c>
      <x:c r="F630" s="8" t="str">
        <x:v>R26-215</x:v>
      </x:c>
      <x:c r="G630" s="8" t="str">
        <x:v>เติมประเภทและพื้นที่ตามบรีฟ</x:v>
      </x:c>
    </x:row>
    <x:row r="631" ht="65" customHeight="1">
      <x:c r="A631" s="2" t="str">
        <x:v>R26-213</x:v>
      </x:c>
      <x:c r="B631" s="8" t="str">
        <x:v>ชุมชนบ้านลำปำ</x:v>
      </x:c>
      <x:c r="C631" s="8" t="str">
        <x:v>พัทลุง</x:v>
      </x:c>
      <x:c r="D631" s="8" t="str"/>
      <x:c r="E631" s="8" t="str">
        <x:v>เพิ่มเข้าชุด 600</x:v>
      </x:c>
      <x:c r="F631" s="8" t="str">
        <x:v>R26-213</x:v>
      </x:c>
      <x:c r="G631" s="8" t="str">
        <x:v>เติมประเภทและพื้นที่ตามบรีฟ</x:v>
      </x:c>
    </x:row>
    <x:row r="632" ht="65" customHeight="1">
      <x:c r="A632" s="2" t="str">
        <x:v>R26-331</x:v>
      </x:c>
      <x:c r="B632" s="8" t="str">
        <x:v>ชุมชนบ้านหัวป่าเขียว</x:v>
      </x:c>
      <x:c r="C632" s="8" t="str">
        <x:v>พัทลุง</x:v>
      </x:c>
      <x:c r="D632" s="8" t="str"/>
      <x:c r="E632" s="8" t="str">
        <x:v>เพิ่มเข้าชุด 600</x:v>
      </x:c>
      <x:c r="F632" s="8" t="str">
        <x:v>R26-331</x:v>
      </x:c>
      <x:c r="G632" s="8" t="str">
        <x:v>เติมประเภทและพื้นที่ตามบรีฟ</x:v>
      </x:c>
    </x:row>
    <x:row r="633" ht="65" customHeight="1">
      <x:c r="A633" s="2" t="str">
        <x:v>R26-216</x:v>
      </x:c>
      <x:c r="B633" s="8" t="str">
        <x:v>นาโปแก</x:v>
      </x:c>
      <x:c r="C633" s="8" t="str">
        <x:v>พัทลุง</x:v>
      </x:c>
      <x:c r="D633" s="8" t="str"/>
      <x:c r="E633" s="8" t="str">
        <x:v>เพิ่มเข้าชุด 600</x:v>
      </x:c>
      <x:c r="F633" s="8" t="str">
        <x:v>R26-216</x:v>
      </x:c>
      <x:c r="G633" s="8" t="str">
        <x:v>เติมประเภทและพื้นที่ตามบรีฟ</x:v>
      </x:c>
    </x:row>
    <x:row r="634" ht="65" customHeight="1">
      <x:c r="A634" s="2" t="str">
        <x:v>R26-311</x:v>
      </x:c>
      <x:c r="B634" s="8" t="str">
        <x:v>หลาดป่าไผ่สร้างสุข</x:v>
      </x:c>
      <x:c r="C634" s="8" t="str">
        <x:v>พัทลุง</x:v>
      </x:c>
      <x:c r="D634" s="8" t="str"/>
      <x:c r="E634" s="8" t="str">
        <x:v>เพิ่มเข้าชุด 600</x:v>
      </x:c>
      <x:c r="F634" s="8" t="str">
        <x:v>R26-311</x:v>
      </x:c>
      <x:c r="G634" s="8" t="str">
        <x:v>เติมประเภทและพื้นที่ตามบรีฟ</x:v>
      </x:c>
    </x:row>
    <x:row r="635" ht="65" customHeight="1">
      <x:c r="A635" s="2" t="str">
        <x:v>R26-360</x:v>
      </x:c>
      <x:c r="B635" s="8" t="str">
        <x:v>ครัวนาคนาวา ข้าวหมกไฮโซ เขาใหญ่</x:v>
      </x:c>
      <x:c r="C635" s="8" t="str">
        <x:v>นครราชสีมา</x:v>
      </x:c>
      <x:c r="D635" s="8" t="str"/>
      <x:c r="E635" s="8" t="str">
        <x:v>เพิ่มเข้าชุด 600</x:v>
      </x:c>
      <x:c r="F635" s="8" t="str">
        <x:v>R26-360</x:v>
      </x:c>
      <x:c r="G635" s="8" t="str">
        <x:v>เติมประเภทและพื้นที่ตามบรีฟ</x:v>
      </x:c>
    </x:row>
    <x:row r="636" ht="65" customHeight="1">
      <x:c r="A636" s="2" t="str">
        <x:v>R26-361</x:v>
      </x:c>
      <x:c r="B636" s="8" t="str">
        <x:v>ร้านอาหารอายะห์ ปากช่อง</x:v>
      </x:c>
      <x:c r="C636" s="8" t="str">
        <x:v>นครราชสีมา</x:v>
      </x:c>
      <x:c r="D636" s="8" t="str"/>
      <x:c r="E636" s="8" t="str">
        <x:v>เพิ่มเข้าชุด 600</x:v>
      </x:c>
      <x:c r="F636" s="8" t="str">
        <x:v>R26-361</x:v>
      </x:c>
      <x:c r="G636" s="8" t="str">
        <x:v>เติมประเภทและพื้นที่ตามบรีฟ</x:v>
      </x:c>
    </x:row>
    <x:row r="637" ht="65" customHeight="1">
      <x:c r="A637" s="2" t="str">
        <x:v>R26-243</x:v>
      </x:c>
      <x:c r="B637" s="8" t="str">
        <x:v>น้ำผุดธรรมชาติบ้านท่าช้าง</x:v>
      </x:c>
      <x:c r="C637" s="8" t="str">
        <x:v>นครราชสีมา</x:v>
      </x:c>
      <x:c r="D637" s="8" t="str"/>
      <x:c r="E637" s="8" t="str">
        <x:v>เพิ่มเข้าชุด 600</x:v>
      </x:c>
      <x:c r="F637" s="8" t="str">
        <x:v>R26-243</x:v>
      </x:c>
      <x:c r="G637" s="8" t="str">
        <x:v>เติมประเภทและพื้นที่ตามบรีฟ</x:v>
      </x:c>
    </x:row>
    <x:row r="638" ht="65" customHeight="1">
      <x:c r="A638" s="2" t="str">
        <x:v>R26-242</x:v>
      </x:c>
      <x:c r="B638" s="8" t="str">
        <x:v>อุทยานแห่งชาติเขาใหญ่</x:v>
      </x:c>
      <x:c r="C638" s="8" t="str">
        <x:v>นครราชสีมา</x:v>
      </x:c>
      <x:c r="D638" s="8" t="str"/>
      <x:c r="E638" s="8" t="str">
        <x:v>เพิ่มเข้าชุด 600</x:v>
      </x:c>
      <x:c r="F638" s="8" t="str">
        <x:v>R26-242</x:v>
      </x:c>
      <x:c r="G638" s="8" t="str">
        <x:v>เติมประเภทและพื้นที่ตามบรีฟ</x:v>
      </x:c>
    </x:row>
    <x:row r="639" ht="65" customHeight="1">
      <x:c r="A639" s="2" t="str">
        <x:v>R26-326</x:v>
      </x:c>
      <x:c r="B639" s="8" t="str">
        <x:v>Khao Yai Speedkart</x:v>
      </x:c>
      <x:c r="C639" s="8" t="str">
        <x:v>นครราชสีมา</x:v>
      </x:c>
      <x:c r="D639" s="8" t="str"/>
      <x:c r="E639" s="8" t="str">
        <x:v>เพิ่มเข้าชุด 600</x:v>
      </x:c>
      <x:c r="F639" s="8" t="str">
        <x:v>R26-326</x:v>
      </x:c>
      <x:c r="G639" s="8" t="str">
        <x:v>เติมประเภทและพื้นที่ตามบรีฟ</x:v>
      </x:c>
    </x:row>
    <x:row r="640" ht="65" customHeight="1">
      <x:c r="A640" s="2" t="str">
        <x:v>R26-244</x:v>
      </x:c>
      <x:c r="B640" s="8" t="str">
        <x:v>ฟาร์มโชคชัย</x:v>
      </x:c>
      <x:c r="C640" s="8" t="str">
        <x:v>นครราชสีมา</x:v>
      </x:c>
      <x:c r="D640" s="8" t="str"/>
      <x:c r="E640" s="8" t="str">
        <x:v>เพิ่มเข้าชุด 600</x:v>
      </x:c>
      <x:c r="F640" s="8" t="str">
        <x:v>R26-244</x:v>
      </x:c>
      <x:c r="G640" s="8" t="str">
        <x:v>เติมประเภทและพื้นที่ตามบรีฟ</x:v>
      </x:c>
    </x:row>
    <x:row r="641" ht="65" customHeight="1">
      <x:c r="A641" s="2" t="str">
        <x:v>R26-383</x:v>
      </x:c>
      <x:c r="B641" s="8" t="str">
        <x:v>Tanyong Hotel Narathiwat</x:v>
      </x:c>
      <x:c r="C641" s="8" t="str">
        <x:v>นราธิวาส</x:v>
      </x:c>
      <x:c r="D641" s="8" t="str"/>
      <x:c r="E641" s="8" t="str">
        <x:v>เพิ่มเข้าชุด 600</x:v>
      </x:c>
      <x:c r="F641" s="8" t="str">
        <x:v>R26-383</x:v>
      </x:c>
      <x:c r="G641" s="8" t="str">
        <x:v>เติมประเภทและพื้นที่ตามบรีฟ</x:v>
      </x:c>
    </x:row>
    <x:row r="642" ht="65" customHeight="1">
      <x:c r="A642" s="2" t="str">
        <x:v>R26-350</x:v>
      </x:c>
      <x:c r="B642" s="8" t="str">
        <x:v>กะละห์ชวนชิม</x:v>
      </x:c>
      <x:c r="C642" s="8" t="str">
        <x:v>นราธิวาส</x:v>
      </x:c>
      <x:c r="D642" s="8" t="str"/>
      <x:c r="E642" s="8" t="str">
        <x:v>เพิ่มเข้าชุด 600</x:v>
      </x:c>
      <x:c r="F642" s="8" t="str">
        <x:v>R26-350</x:v>
      </x:c>
      <x:c r="G642" s="8" t="str">
        <x:v>เติมประเภทและพื้นที่ตามบรีฟ</x:v>
      </x:c>
    </x:row>
    <x:row r="643" ht="65" customHeight="1">
      <x:c r="A643" s="2" t="str">
        <x:v>R26-236</x:v>
      </x:c>
      <x:c r="B643" s="8" t="str">
        <x:v>ป่าพรุโต๊ะแดง</x:v>
      </x:c>
      <x:c r="C643" s="8" t="str">
        <x:v>นราธิวาส</x:v>
      </x:c>
      <x:c r="D643" s="8" t="str"/>
      <x:c r="E643" s="8" t="str">
        <x:v>เพิ่มเข้าชุด 600</x:v>
      </x:c>
      <x:c r="F643" s="8" t="str">
        <x:v>R26-236</x:v>
      </x:c>
      <x:c r="G643" s="8" t="str">
        <x:v>เติมประเภทและพื้นที่ตามบรีฟ</x:v>
      </x:c>
    </x:row>
    <x:row r="644" ht="65" customHeight="1">
      <x:c r="A644" s="2" t="str">
        <x:v>R26-235</x:v>
      </x:c>
      <x:c r="B644" s="8" t="str">
        <x:v>อุทยานแห่งชาติอ่าวมะนาว-เขาตันหยง</x:v>
      </x:c>
      <x:c r="C644" s="8" t="str">
        <x:v>นราธิวาส</x:v>
      </x:c>
      <x:c r="D644" s="8" t="str"/>
      <x:c r="E644" s="8" t="str">
        <x:v>เพิ่มเข้าชุด 600</x:v>
      </x:c>
      <x:c r="F644" s="8" t="str">
        <x:v>R26-235</x:v>
      </x:c>
      <x:c r="G644" s="8" t="str">
        <x:v>เติมประเภทและพื้นที่ตามบรีฟ</x:v>
      </x:c>
    </x:row>
    <x:row r="645" ht="65" customHeight="1">
      <x:c r="A645" s="2" t="str">
        <x:v>R26-237</x:v>
      </x:c>
      <x:c r="B645" s="8" t="str">
        <x:v>มัสยิดกลางจังหวัดนราธิวาส</x:v>
      </x:c>
      <x:c r="C645" s="8" t="str">
        <x:v>นราธิวาส</x:v>
      </x:c>
      <x:c r="D645" s="8" t="str"/>
      <x:c r="E645" s="8" t="str">
        <x:v>เพิ่มเข้าชุด 600</x:v>
      </x:c>
      <x:c r="F645" s="8" t="str">
        <x:v>R26-237</x:v>
      </x:c>
      <x:c r="G645" s="8" t="str">
        <x:v>เติมประเภทและพื้นที่ตามบรีฟ</x:v>
      </x:c>
    </x:row>
    <x:row r="646" ht="65" customHeight="1">
      <x:c r="A646" s="2" t="str">
        <x:v>R26-233</x:v>
      </x:c>
      <x:c r="B646" s="8" t="str">
        <x:v>ชุมชนบ้านทอน</x:v>
      </x:c>
      <x:c r="C646" s="8" t="str">
        <x:v>นราธิวาส</x:v>
      </x:c>
      <x:c r="D646" s="8" t="str"/>
      <x:c r="E646" s="8" t="str">
        <x:v>เพิ่มเข้าชุด 600</x:v>
      </x:c>
      <x:c r="F646" s="8" t="str">
        <x:v>R26-233</x:v>
      </x:c>
      <x:c r="G646" s="8" t="str">
        <x:v>เติมประเภทและพื้นที่ตามบรีฟ</x:v>
      </x:c>
    </x:row>
    <x:row r="647" ht="65" customHeight="1">
      <x:c r="A647" s="2" t="str">
        <x:v>R26-234</x:v>
      </x:c>
      <x:c r="B647" s="8" t="str">
        <x:v>ชุมชนบ้านภูเขาทอง</x:v>
      </x:c>
      <x:c r="C647" s="8" t="str">
        <x:v>นราธิวาส</x:v>
      </x:c>
      <x:c r="D647" s="8" t="str"/>
      <x:c r="E647" s="8" t="str">
        <x:v>เพิ่มเข้าชุด 600</x:v>
      </x:c>
      <x:c r="F647" s="8" t="str">
        <x:v>R26-234</x:v>
      </x:c>
      <x:c r="G647" s="8" t="str">
        <x:v>เติมประเภทและพื้นที่ตามบรีฟ</x:v>
      </x:c>
    </x:row>
    <x:row r="648" ht="65" customHeight="1">
      <x:c r="A648" s="2" t="str">
        <x:v>R26-297</x:v>
      </x:c>
      <x:c r="B648" s="8" t="str">
        <x:v>Chiva-Som Hua Hin</x:v>
      </x:c>
      <x:c r="C648" s="8" t="str">
        <x:v>ประจวบคีรีขันธ์</x:v>
      </x:c>
      <x:c r="D648" s="8" t="str"/>
      <x:c r="E648" s="8" t="str">
        <x:v>เพิ่มเข้าชุด 600</x:v>
      </x:c>
      <x:c r="F648" s="8" t="str">
        <x:v>R26-297</x:v>
      </x:c>
      <x:c r="G648" s="8" t="str">
        <x:v>เติมประเภทและพื้นที่ตามบรีฟ</x:v>
      </x:c>
    </x:row>
    <x:row r="649" ht="65" customHeight="1">
      <x:c r="A649" s="2" t="str">
        <x:v>R26-296</x:v>
      </x:c>
      <x:c r="B649" s="8" t="str">
        <x:v>Let's Relax Spa Hua Hin Market Village</x:v>
      </x:c>
      <x:c r="C649" s="8" t="str">
        <x:v>ประจวบคีรีขันธ์</x:v>
      </x:c>
      <x:c r="D649" s="8" t="str"/>
      <x:c r="E649" s="8" t="str">
        <x:v>เพิ่มเข้าชุด 600</x:v>
      </x:c>
      <x:c r="F649" s="8" t="str">
        <x:v>R26-296</x:v>
      </x:c>
      <x:c r="G649" s="8" t="str">
        <x:v>เติมประเภทและพื้นที่ตามบรีฟ</x:v>
      </x:c>
    </x:row>
    <x:row r="650" ht="65" customHeight="1">
      <x:c r="A650" s="2" t="str">
        <x:v>R26-247</x:v>
      </x:c>
      <x:c r="B650" s="8" t="str">
        <x:v>หาดหัวหิน</x:v>
      </x:c>
      <x:c r="C650" s="8" t="str">
        <x:v>ประจวบคีรีขันธ์</x:v>
      </x:c>
      <x:c r="D650" s="8" t="str"/>
      <x:c r="E650" s="8" t="str">
        <x:v>เพิ่มเข้าชุด 600</x:v>
      </x:c>
      <x:c r="F650" s="8" t="str">
        <x:v>R26-247</x:v>
      </x:c>
      <x:c r="G650" s="8" t="str">
        <x:v>เติมประเภทและพื้นที่ตามบรีฟ</x:v>
      </x:c>
    </x:row>
    <x:row r="651" ht="65" customHeight="1">
      <x:c r="A651" s="2" t="str">
        <x:v>R26-246</x:v>
      </x:c>
      <x:c r="B651" s="8" t="str">
        <x:v>อุทยานแห่งชาติสามร้อยยอด</x:v>
      </x:c>
      <x:c r="C651" s="8" t="str">
        <x:v>ประจวบคีรีขันธ์</x:v>
      </x:c>
      <x:c r="D651" s="8" t="str"/>
      <x:c r="E651" s="8" t="str">
        <x:v>เพิ่มเข้าชุด 600</x:v>
      </x:c>
      <x:c r="F651" s="8" t="str">
        <x:v>R26-246</x:v>
      </x:c>
      <x:c r="G651" s="8" t="str">
        <x:v>เติมประเภทและพื้นที่ตามบรีฟ</x:v>
      </x:c>
    </x:row>
    <x:row r="652" ht="65" customHeight="1">
      <x:c r="A652" s="2" t="str">
        <x:v>R26-248</x:v>
      </x:c>
      <x:c r="B652" s="8" t="str">
        <x:v>ชุมชนบ้านเขาเต่า</x:v>
      </x:c>
      <x:c r="C652" s="8" t="str">
        <x:v>ประจวบคีรีขันธ์</x:v>
      </x:c>
      <x:c r="D652" s="8" t="str"/>
      <x:c r="E652" s="8" t="str">
        <x:v>เพิ่มเข้าชุด 600</x:v>
      </x:c>
      <x:c r="F652" s="8" t="str">
        <x:v>R26-248</x:v>
      </x:c>
      <x:c r="G652" s="8" t="str">
        <x:v>เติมประเภทและพื้นที่ตามบรีฟ</x:v>
      </x:c>
    </x:row>
    <x:row r="653" ht="65" customHeight="1">
      <x:c r="A653" s="2" t="str">
        <x:v>R26-294</x:v>
      </x:c>
      <x:c r="B653" s="8" t="str">
        <x:v>Devasom Spa Khao Lak</x:v>
      </x:c>
      <x:c r="C653" s="8" t="str">
        <x:v>พังงา</x:v>
      </x:c>
      <x:c r="D653" s="8" t="str"/>
      <x:c r="E653" s="8" t="str">
        <x:v>เพิ่มเข้าชุด 600</x:v>
      </x:c>
      <x:c r="F653" s="8" t="str">
        <x:v>R26-294</x:v>
      </x:c>
      <x:c r="G653" s="8" t="str">
        <x:v>เติมประเภทและพื้นที่ตามบรีฟ</x:v>
      </x:c>
    </x:row>
    <x:row r="654" ht="65" customHeight="1">
      <x:c r="A654" s="2" t="str">
        <x:v>R26-228</x:v>
      </x:c>
      <x:c r="B654" s="8" t="str">
        <x:v>น้ำตกโตนช่องฟ้า</x:v>
      </x:c>
      <x:c r="C654" s="8" t="str">
        <x:v>พังงา</x:v>
      </x:c>
      <x:c r="D654" s="8" t="str"/>
      <x:c r="E654" s="8" t="str">
        <x:v>เพิ่มเข้าชุด 600</x:v>
      </x:c>
      <x:c r="F654" s="8" t="str">
        <x:v>R26-228</x:v>
      </x:c>
      <x:c r="G654" s="8" t="str">
        <x:v>เติมประเภทและพื้นที่ตามบรีฟ</x:v>
      </x:c>
    </x:row>
    <x:row r="655" ht="65" customHeight="1">
      <x:c r="A655" s="2" t="str">
        <x:v>R26-227</x:v>
      </x:c>
      <x:c r="B655" s="8" t="str">
        <x:v>หาดบางสัก</x:v>
      </x:c>
      <x:c r="C655" s="8" t="str">
        <x:v>พังงา</x:v>
      </x:c>
      <x:c r="D655" s="8" t="str"/>
      <x:c r="E655" s="8" t="str">
        <x:v>เพิ่มเข้าชุด 600</x:v>
      </x:c>
      <x:c r="F655" s="8" t="str">
        <x:v>R26-227</x:v>
      </x:c>
      <x:c r="G655" s="8" t="str">
        <x:v>เติมประเภทและพื้นที่ตามบรีฟ</x:v>
      </x:c>
    </x:row>
    <x:row r="656" ht="65" customHeight="1">
      <x:c r="A656" s="2" t="str">
        <x:v>R26-226</x:v>
      </x:c>
      <x:c r="B656" s="8" t="str">
        <x:v>อุทยานแห่งชาติเขาหลัก-ลำรู่</x:v>
      </x:c>
      <x:c r="C656" s="8" t="str">
        <x:v>พังงา</x:v>
      </x:c>
      <x:c r="D656" s="8" t="str"/>
      <x:c r="E656" s="8" t="str">
        <x:v>เพิ่มเข้าชุด 600</x:v>
      </x:c>
      <x:c r="F656" s="8" t="str">
        <x:v>R26-226</x:v>
      </x:c>
      <x:c r="G656" s="8" t="str">
        <x:v>เติมประเภทและพื้นที่ตามบรีฟ</x:v>
      </x:c>
    </x:row>
    <x:row r="657" ht="65" customHeight="1">
      <x:c r="A657" s="2" t="str">
        <x:v>R26-225</x:v>
      </x:c>
      <x:c r="B657" s="8" t="str">
        <x:v>ชุมชนบ้านท่าดินแดง</x:v>
      </x:c>
      <x:c r="C657" s="8" t="str">
        <x:v>พังงา</x:v>
      </x:c>
      <x:c r="D657" s="8" t="str"/>
      <x:c r="E657" s="8" t="str">
        <x:v>เพิ่มเข้าชุด 600</x:v>
      </x:c>
      <x:c r="F657" s="8" t="str">
        <x:v>R26-225</x:v>
      </x:c>
      <x:c r="G657" s="8" t="str">
        <x:v>เติมประเภทและพื้นที่ตามบรีฟ</x:v>
      </x:c>
    </x:row>
    <x:row r="658" ht="65" customHeight="1">
      <x:c r="A658" s="2" t="str">
        <x:v>R26-223</x:v>
      </x:c>
      <x:c r="B658" s="8" t="str">
        <x:v>ชุมชนบ้านสามช่องเหนือ</x:v>
      </x:c>
      <x:c r="C658" s="8" t="str">
        <x:v>พังงา</x:v>
      </x:c>
      <x:c r="D658" s="8" t="str"/>
      <x:c r="E658" s="8" t="str">
        <x:v>เพิ่มเข้าชุด 600</x:v>
      </x:c>
      <x:c r="F658" s="8" t="str">
        <x:v>R26-223</x:v>
      </x:c>
      <x:c r="G658" s="8" t="str">
        <x:v>เติมประเภทและพื้นที่ตามบรีฟ</x:v>
      </x:c>
    </x:row>
    <x:row r="659" ht="65" customHeight="1">
      <x:c r="A659" s="2" t="str">
        <x:v>R26-224</x:v>
      </x:c>
      <x:c r="B659" s="8" t="str">
        <x:v>ชุมชนบ้านโคกไคร</x:v>
      </x:c>
      <x:c r="C659" s="8" t="str">
        <x:v>พังงา</x:v>
      </x:c>
      <x:c r="D659" s="8" t="str"/>
      <x:c r="E659" s="8" t="str">
        <x:v>เพิ่มเข้าชุด 600</x:v>
      </x:c>
      <x:c r="F659" s="8" t="str">
        <x:v>R26-224</x:v>
      </x:c>
      <x:c r="G659" s="8" t="str">
        <x:v>เติมประเภทและพื้นที่ตามบรีฟ</x:v>
      </x:c>
    </x:row>
    <x:row r="660" ht="65" customHeight="1">
      <x:c r="A660" s="2" t="str">
        <x:v>R26-293</x:v>
      </x:c>
      <x:c r="B660" s="8" t="str">
        <x:v>Banyan Tree Spa Phuket</x:v>
      </x:c>
      <x:c r="C660" s="8" t="str">
        <x:v>ภูเก็ต</x:v>
      </x:c>
      <x:c r="D660" s="8" t="str"/>
      <x:c r="E660" s="8" t="str">
        <x:v>เพิ่มเข้าชุด 600</x:v>
      </x:c>
      <x:c r="F660" s="8" t="str">
        <x:v>R26-293</x:v>
      </x:c>
      <x:c r="G660" s="8" t="str">
        <x:v>เติมประเภทและพื้นที่ตามบรีฟ</x:v>
      </x:c>
    </x:row>
    <x:row r="661" ht="65" customHeight="1">
      <x:c r="A661" s="2" t="str">
        <x:v>R26-289</x:v>
      </x:c>
      <x:c r="B661" s="8" t="str">
        <x:v>Let's Relax Spa Phuket Boat Lagoon</x:v>
      </x:c>
      <x:c r="C661" s="8" t="str">
        <x:v>ภูเก็ต</x:v>
      </x:c>
      <x:c r="D661" s="8" t="str"/>
      <x:c r="E661" s="8" t="str">
        <x:v>เพิ่มเข้าชุด 600</x:v>
      </x:c>
      <x:c r="F661" s="8" t="str">
        <x:v>R26-289</x:v>
      </x:c>
      <x:c r="G661" s="8" t="str">
        <x:v>เติมประเภทและพื้นที่ตามบรีฟ</x:v>
      </x:c>
    </x:row>
    <x:row r="662" ht="65" customHeight="1">
      <x:c r="A662" s="2" t="str">
        <x:v>R26-290</x:v>
      </x:c>
      <x:c r="B662" s="8" t="str">
        <x:v>Let's Relax Spa Phuket Patong 2nd Street</x:v>
      </x:c>
      <x:c r="C662" s="8" t="str">
        <x:v>ภูเก็ต</x:v>
      </x:c>
      <x:c r="D662" s="8" t="str"/>
      <x:c r="E662" s="8" t="str">
        <x:v>เพิ่มเข้าชุด 600</x:v>
      </x:c>
      <x:c r="F662" s="8" t="str">
        <x:v>R26-290</x:v>
      </x:c>
      <x:c r="G662" s="8" t="str">
        <x:v>เติมประเภทและพื้นที่ตามบรีฟ</x:v>
      </x:c>
    </x:row>
    <x:row r="663" ht="65" customHeight="1">
      <x:c r="A663" s="2" t="str">
        <x:v>R26-291</x:v>
      </x:c>
      <x:c r="B663" s="8" t="str">
        <x:v>Let's Relax Spa Phuket Porto de Phuket</x:v>
      </x:c>
      <x:c r="C663" s="8" t="str">
        <x:v>ภูเก็ต</x:v>
      </x:c>
      <x:c r="D663" s="8" t="str"/>
      <x:c r="E663" s="8" t="str">
        <x:v>เพิ่มเข้าชุด 600</x:v>
      </x:c>
      <x:c r="F663" s="8" t="str">
        <x:v>R26-291</x:v>
      </x:c>
      <x:c r="G663" s="8" t="str">
        <x:v>เติมประเภทและพื้นที่ตามบรีฟ</x:v>
      </x:c>
    </x:row>
    <x:row r="664" ht="65" customHeight="1">
      <x:c r="A664" s="2" t="str">
        <x:v>R26-292</x:v>
      </x:c>
      <x:c r="B664" s="8" t="str">
        <x:v>Sukko Spa Phuket</x:v>
      </x:c>
      <x:c r="C664" s="8" t="str">
        <x:v>ภูเก็ต</x:v>
      </x:c>
      <x:c r="D664" s="8" t="str"/>
      <x:c r="E664" s="8" t="str">
        <x:v>เพิ่มเข้าชุด 600</x:v>
      </x:c>
      <x:c r="F664" s="8" t="str">
        <x:v>R26-292</x:v>
      </x:c>
      <x:c r="G664" s="8" t="str">
        <x:v>เติมประเภทและพื้นที่ตามบรีฟ</x:v>
      </x:c>
    </x:row>
    <x:row r="665" ht="65" customHeight="1">
      <x:c r="A665" s="2" t="str">
        <x:v>R26-268</x:v>
      </x:c>
      <x:c r="B665" s="8" t="str">
        <x:v>Central Phuket</x:v>
      </x:c>
      <x:c r="C665" s="8" t="str">
        <x:v>ภูเก็ต</x:v>
      </x:c>
      <x:c r="D665" s="8" t="str"/>
      <x:c r="E665" s="8" t="str">
        <x:v>เพิ่มเข้าชุด 600</x:v>
      </x:c>
      <x:c r="F665" s="8" t="str">
        <x:v>R26-268</x:v>
      </x:c>
      <x:c r="G665" s="8" t="str">
        <x:v>เติมประเภทและพื้นที่ตามบรีฟ</x:v>
      </x:c>
    </x:row>
    <x:row r="666" ht="65" customHeight="1">
      <x:c r="A666" s="2" t="str">
        <x:v>R26-269</x:v>
      </x:c>
      <x:c r="B666" s="8" t="str">
        <x:v>Jungceylon Phuket</x:v>
      </x:c>
      <x:c r="C666" s="8" t="str">
        <x:v>ภูเก็ต</x:v>
      </x:c>
      <x:c r="D666" s="8" t="str"/>
      <x:c r="E666" s="8" t="str">
        <x:v>เพิ่มเข้าชุด 600</x:v>
      </x:c>
      <x:c r="F666" s="8" t="str">
        <x:v>R26-269</x:v>
      </x:c>
      <x:c r="G666" s="8" t="str">
        <x:v>เติมประเภทและพื้นที่ตามบรีฟ</x:v>
      </x:c>
    </x:row>
    <x:row r="667" ht="65" customHeight="1">
      <x:c r="A667" s="2" t="str">
        <x:v>R26-222</x:v>
      </x:c>
      <x:c r="B667" s="8" t="str">
        <x:v>จุดชมวิวเขารัง</x:v>
      </x:c>
      <x:c r="C667" s="8" t="str">
        <x:v>ภูเก็ต</x:v>
      </x:c>
      <x:c r="D667" s="8" t="str"/>
      <x:c r="E667" s="8" t="str">
        <x:v>เพิ่มเข้าชุด 600</x:v>
      </x:c>
      <x:c r="F667" s="8" t="str">
        <x:v>R26-222</x:v>
      </x:c>
      <x:c r="G667" s="8" t="str">
        <x:v>เติมประเภทและพื้นที่ตามบรีฟ</x:v>
      </x:c>
    </x:row>
    <x:row r="668" ht="65" customHeight="1">
      <x:c r="A668" s="2" t="str">
        <x:v>R26-220</x:v>
      </x:c>
      <x:c r="B668" s="8" t="str">
        <x:v>หาดในยาง</x:v>
      </x:c>
      <x:c r="C668" s="8" t="str">
        <x:v>ภูเก็ต</x:v>
      </x:c>
      <x:c r="D668" s="8" t="str"/>
      <x:c r="E668" s="8" t="str">
        <x:v>เพิ่มเข้าชุด 600</x:v>
      </x:c>
      <x:c r="F668" s="8" t="str">
        <x:v>R26-220</x:v>
      </x:c>
      <x:c r="G668" s="8" t="str">
        <x:v>เติมประเภทและพื้นที่ตามบรีฟ</x:v>
      </x:c>
    </x:row>
    <x:row r="669" ht="65" customHeight="1">
      <x:c r="A669" s="2" t="str">
        <x:v>R26-221</x:v>
      </x:c>
      <x:c r="B669" s="8" t="str">
        <x:v>อุทยานแห่งชาติสิรินาถ</x:v>
      </x:c>
      <x:c r="C669" s="8" t="str">
        <x:v>ภูเก็ต</x:v>
      </x:c>
      <x:c r="D669" s="8" t="str"/>
      <x:c r="E669" s="8" t="str">
        <x:v>เพิ่มเข้าชุด 600</x:v>
      </x:c>
      <x:c r="F669" s="8" t="str">
        <x:v>R26-221</x:v>
      </x:c>
      <x:c r="G669" s="8" t="str">
        <x:v>เติมประเภทและพื้นที่ตามบรีฟ</x:v>
      </x:c>
    </x:row>
    <x:row r="670" ht="65" customHeight="1">
      <x:c r="A670" s="2" t="str">
        <x:v>R26-218</x:v>
      </x:c>
      <x:c r="B670" s="8" t="str">
        <x:v>ชุมชนบ้านบ่อแร่</x:v>
      </x:c>
      <x:c r="C670" s="8" t="str">
        <x:v>ภูเก็ต</x:v>
      </x:c>
      <x:c r="D670" s="8" t="str"/>
      <x:c r="E670" s="8" t="str">
        <x:v>เพิ่มเข้าชุด 600</x:v>
      </x:c>
      <x:c r="F670" s="8" t="str">
        <x:v>R26-218</x:v>
      </x:c>
      <x:c r="G670" s="8" t="str">
        <x:v>เติมประเภทและพื้นที่ตามบรีฟ</x:v>
      </x:c>
    </x:row>
    <x:row r="671" ht="65" customHeight="1">
      <x:c r="A671" s="2" t="str">
        <x:v>R26-219</x:v>
      </x:c>
      <x:c r="B671" s="8" t="str">
        <x:v>ชุมชนบ้านเกาะมะพร้าว</x:v>
      </x:c>
      <x:c r="C671" s="8" t="str">
        <x:v>ภูเก็ต</x:v>
      </x:c>
      <x:c r="D671" s="8" t="str"/>
      <x:c r="E671" s="8" t="str">
        <x:v>เพิ่มเข้าชุด 600</x:v>
      </x:c>
      <x:c r="F671" s="8" t="str">
        <x:v>R26-219</x:v>
      </x:c>
      <x:c r="G671" s="8" t="str">
        <x:v>เติมประเภทและพื้นที่ตามบรีฟ</x:v>
      </x:c>
    </x:row>
    <x:row r="672" ht="65" customHeight="1">
      <x:c r="A672" s="2" t="str">
        <x:v>R26-307</x:v>
      </x:c>
      <x:c r="B672" s="8" t="str">
        <x:v>Aquaria Phuket</x:v>
      </x:c>
      <x:c r="C672" s="8" t="str">
        <x:v>ภูเก็ต</x:v>
      </x:c>
      <x:c r="D672" s="8" t="str"/>
      <x:c r="E672" s="8" t="str">
        <x:v>เพิ่มเข้าชุด 600</x:v>
      </x:c>
      <x:c r="F672" s="8" t="str">
        <x:v>R26-307</x:v>
      </x:c>
      <x:c r="G672" s="8" t="str">
        <x:v>เติมประเภทและพื้นที่ตามบรีฟ</x:v>
      </x:c>
    </x:row>
    <x:row r="673" ht="65" customHeight="1">
      <x:c r="A673" s="2" t="str">
        <x:v>R26-305</x:v>
      </x:c>
      <x:c r="B673" s="8" t="str">
        <x:v>Hanuman World Phuket</x:v>
      </x:c>
      <x:c r="C673" s="8" t="str">
        <x:v>ภูเก็ต</x:v>
      </x:c>
      <x:c r="D673" s="8" t="str"/>
      <x:c r="E673" s="8" t="str">
        <x:v>เพิ่มเข้าชุด 600</x:v>
      </x:c>
      <x:c r="F673" s="8" t="str">
        <x:v>R26-305</x:v>
      </x:c>
      <x:c r="G673" s="8" t="str">
        <x:v>เติมประเภทและพื้นที่ตามบรีฟ</x:v>
      </x:c>
    </x:row>
    <x:row r="674" ht="65" customHeight="1">
      <x:c r="A674" s="2" t="str">
        <x:v>R26-306</x:v>
      </x:c>
      <x:c r="B674" s="8" t="str">
        <x:v>Phuket Aquarium</x:v>
      </x:c>
      <x:c r="C674" s="8" t="str">
        <x:v>ภูเก็ต</x:v>
      </x:c>
      <x:c r="D674" s="8" t="str"/>
      <x:c r="E674" s="8" t="str">
        <x:v>เพิ่มเข้าชุด 600</x:v>
      </x:c>
      <x:c r="F674" s="8" t="str">
        <x:v>R26-306</x:v>
      </x:c>
      <x:c r="G674" s="8" t="str">
        <x:v>เติมประเภทและพื้นที่ตามบรีฟ</x:v>
      </x:c>
    </x:row>
    <x:row r="675" ht="65" customHeight="1">
      <x:c r="A675" s="2" t="str">
        <x:v>R26-308</x:v>
      </x:c>
      <x:c r="B675" s="8" t="str">
        <x:v>Phuket Elephant Sanctuary</x:v>
      </x:c>
      <x:c r="C675" s="8" t="str">
        <x:v>ภูเก็ต</x:v>
      </x:c>
      <x:c r="D675" s="8" t="str"/>
      <x:c r="E675" s="8" t="str">
        <x:v>เพิ่มเข้าชุด 600</x:v>
      </x:c>
      <x:c r="F675" s="8" t="str">
        <x:v>R26-308</x:v>
      </x:c>
      <x:c r="G675" s="8" t="str">
        <x:v>เติมประเภทและพื้นที่ตามบรีฟ</x:v>
      </x:c>
    </x:row>
    <x:row r="676" ht="65" customHeight="1">
      <x:c r="A676" s="2" t="str">
        <x:v>R26-300</x:v>
      </x:c>
      <x:c r="B676" s="8" t="str">
        <x:v>RAKxa Wellness Bang Krachao</x:v>
      </x:c>
      <x:c r="C676" s="8" t="str">
        <x:v>สมุทรปราการ</x:v>
      </x:c>
      <x:c r="D676" s="8" t="str"/>
      <x:c r="E676" s="8" t="str">
        <x:v>เพิ่มเข้าชุด 600</x:v>
      </x:c>
      <x:c r="F676" s="8" t="str">
        <x:v>R26-300</x:v>
      </x:c>
      <x:c r="G676" s="8" t="str">
        <x:v>เติมประเภทและพื้นที่ตามบรีฟ</x:v>
      </x:c>
    </x:row>
    <x:row r="677" ht="65" customHeight="1">
      <x:c r="A677" s="2" t="str">
        <x:v>R26-270</x:v>
      </x:c>
      <x:c r="B677" s="8" t="str">
        <x:v>Mega Bangna</x:v>
      </x:c>
      <x:c r="C677" s="8" t="str">
        <x:v>สมุทรปราการ</x:v>
      </x:c>
      <x:c r="D677" s="8" t="str"/>
      <x:c r="E677" s="8" t="str">
        <x:v>เพิ่มเข้าชุด 600</x:v>
      </x:c>
      <x:c r="F677" s="8" t="str">
        <x:v>R26-270</x:v>
      </x:c>
      <x:c r="G677" s="8" t="str">
        <x:v>เติมประเภทและพื้นที่ตามบรีฟ</x:v>
      </x:c>
    </x:row>
    <x:row r="678" ht="65" customHeight="1">
      <x:c r="A678" s="2" t="str">
        <x:v>R26-238</x:v>
      </x:c>
      <x:c r="B678" s="8" t="str">
        <x:v>สถานตากอากาศบางปู</x:v>
      </x:c>
      <x:c r="C678" s="8" t="str">
        <x:v>สมุทรปราการ</x:v>
      </x:c>
      <x:c r="D678" s="8" t="str"/>
      <x:c r="E678" s="8" t="str">
        <x:v>เพิ่มเข้าชุด 600</x:v>
      </x:c>
      <x:c r="F678" s="8" t="str">
        <x:v>R26-238</x:v>
      </x:c>
      <x:c r="G678" s="8" t="str">
        <x:v>เติมประเภทและพื้นที่ตามบรีฟ</x:v>
      </x:c>
    </x:row>
    <x:row r="679" ht="65" customHeight="1">
      <x:c r="A679" s="2" t="str">
        <x:v>R26-239</x:v>
      </x:c>
      <x:c r="B679" s="8" t="str">
        <x:v>สวนศรีนครเขื่อนขันธ์</x:v>
      </x:c>
      <x:c r="C679" s="8" t="str">
        <x:v>สมุทรปราการ</x:v>
      </x:c>
      <x:c r="D679" s="8" t="str"/>
      <x:c r="E679" s="8" t="str">
        <x:v>เพิ่มเข้าชุด 600</x:v>
      </x:c>
      <x:c r="F679" s="8" t="str">
        <x:v>R26-239</x:v>
      </x:c>
      <x:c r="G679" s="8" t="str">
        <x:v>เติมประเภทและพื้นที่ตามบรีฟ</x:v>
      </x:c>
    </x:row>
    <x:row r="680" ht="65" customHeight="1">
      <x:c r="A680" s="2" t="str">
        <x:v>R26-241</x:v>
      </x:c>
      <x:c r="B680" s="8" t="str">
        <x:v>เมืองโบราณ สมุทรปราการ</x:v>
      </x:c>
      <x:c r="C680" s="8" t="str">
        <x:v>สมุทรปราการ</x:v>
      </x:c>
      <x:c r="D680" s="8" t="str"/>
      <x:c r="E680" s="8" t="str">
        <x:v>เพิ่มเข้าชุด 600</x:v>
      </x:c>
      <x:c r="F680" s="8" t="str">
        <x:v>R26-241</x:v>
      </x:c>
      <x:c r="G680" s="8" t="str">
        <x:v>เติมประเภทและพื้นที่ตามบรีฟ</x:v>
      </x:c>
    </x:row>
    <x:row r="681" ht="65" customHeight="1">
      <x:c r="A681" s="2" t="str">
        <x:v>R26-240</x:v>
      </x:c>
      <x:c r="B681" s="8" t="str">
        <x:v>ชุมชนบางกะเจ้า</x:v>
      </x:c>
      <x:c r="C681" s="8" t="str">
        <x:v>สมุทรปราการ</x:v>
      </x:c>
      <x:c r="D681" s="8" t="str"/>
      <x:c r="E681" s="8" t="str">
        <x:v>เพิ่มเข้าชุด 600</x:v>
      </x:c>
      <x:c r="F681" s="8" t="str">
        <x:v>R26-240</x:v>
      </x:c>
      <x:c r="G681" s="8" t="str">
        <x:v>เติมประเภทและพื้นที่ตามบรีฟ</x:v>
      </x:c>
    </x:row>
    <x:row r="682" ht="65" customHeight="1">
      <x:c r="A682" s="2" t="str">
        <x:v>R26-322</x:v>
      </x:c>
      <x:c r="B682" s="8" t="str">
        <x:v>ฟาร์มจระเข้และสวนสัตว์สมุทรปราการ</x:v>
      </x:c>
      <x:c r="C682" s="8" t="str">
        <x:v>สมุทรปราการ</x:v>
      </x:c>
      <x:c r="D682" s="8" t="str"/>
      <x:c r="E682" s="8" t="str">
        <x:v>เพิ่มเข้าชุด 600</x:v>
      </x:c>
      <x:c r="F682" s="8" t="str">
        <x:v>R26-322</x:v>
      </x:c>
      <x:c r="G682" s="8" t="str">
        <x:v>เติมประเภทและพื้นที่ตามบรีฟ</x:v>
      </x:c>
    </x:row>
    <x:row r="683" ht="65" customHeight="1">
      <x:c r="A683" s="2" t="str">
        <x:v>R26-298</x:v>
      </x:c>
      <x:c r="B683" s="8" t="str">
        <x:v>Tamarind Springs Forest Spa Koh Samui</x:v>
      </x:c>
      <x:c r="C683" s="8" t="str">
        <x:v>สุราษฎร์ธานี</x:v>
      </x:c>
      <x:c r="D683" s="8" t="str"/>
      <x:c r="E683" s="8" t="str">
        <x:v>เพิ่มเข้าชุด 600</x:v>
      </x:c>
      <x:c r="F683" s="8" t="str">
        <x:v>R26-298</x:v>
      </x:c>
      <x:c r="G683" s="8" t="str">
        <x:v>เติมประเภทและพื้นที่ตามบรีฟ</x:v>
      </x:c>
    </x:row>
    <x:row r="684" ht="65" customHeight="1">
      <x:c r="A684" s="2" t="str">
        <x:v>R26-231</x:v>
      </x:c>
      <x:c r="B684" s="8" t="str">
        <x:v>อุทยานแห่งชาติเขาสก</x:v>
      </x:c>
      <x:c r="C684" s="8" t="str">
        <x:v>สุราษฎร์ธานี</x:v>
      </x:c>
      <x:c r="D684" s="8" t="str"/>
      <x:c r="E684" s="8" t="str">
        <x:v>เพิ่มเข้าชุด 600</x:v>
      </x:c>
      <x:c r="F684" s="8" t="str">
        <x:v>R26-231</x:v>
      </x:c>
      <x:c r="G684" s="8" t="str">
        <x:v>เติมประเภทและพื้นที่ตามบรีฟ</x:v>
      </x:c>
    </x:row>
    <x:row r="685" ht="65" customHeight="1">
      <x:c r="A685" s="2" t="str">
        <x:v>R26-232</x:v>
      </x:c>
      <x:c r="B685" s="8" t="str">
        <x:v>เขื่อนรัชชประภา</x:v>
      </x:c>
      <x:c r="C685" s="8" t="str">
        <x:v>สุราษฎร์ธานี</x:v>
      </x:c>
      <x:c r="D685" s="8" t="str"/>
      <x:c r="E685" s="8" t="str">
        <x:v>เพิ่มเข้าชุด 600</x:v>
      </x:c>
      <x:c r="F685" s="8" t="str">
        <x:v>R26-232</x:v>
      </x:c>
      <x:c r="G685" s="8" t="str">
        <x:v>เติมประเภทและพื้นที่ตามบรีฟ</x:v>
      </x:c>
    </x:row>
    <x:row r="686" ht="65" customHeight="1">
      <x:c r="A686" s="2" t="str">
        <x:v>R26-229</x:v>
      </x:c>
      <x:c r="B686" s="8" t="str">
        <x:v>ชุมชนบ้านพุมเรียง</x:v>
      </x:c>
      <x:c r="C686" s="8" t="str">
        <x:v>สุราษฎร์ธานี</x:v>
      </x:c>
      <x:c r="D686" s="8" t="str"/>
      <x:c r="E686" s="8" t="str">
        <x:v>เพิ่มเข้าชุด 600</x:v>
      </x:c>
      <x:c r="F686" s="8" t="str">
        <x:v>R26-229</x:v>
      </x:c>
      <x:c r="G686" s="8" t="str">
        <x:v>เติมประเภทและพื้นที่ตามบรีฟ</x:v>
      </x:c>
    </x:row>
    <x:row r="687" ht="65" customHeight="1">
      <x:c r="A687" s="2" t="str">
        <x:v>R26-230</x:v>
      </x:c>
      <x:c r="B687" s="8" t="str">
        <x:v>ชุมชนบ้านลีเล็ด</x:v>
      </x:c>
      <x:c r="C687" s="8" t="str">
        <x:v>สุราษฎร์ธานี</x:v>
      </x:c>
      <x:c r="D687" s="8" t="str"/>
      <x:c r="E687" s="8" t="str">
        <x:v>เพิ่มเข้าชุด 600</x:v>
      </x:c>
      <x:c r="F687" s="8" t="str">
        <x:v>R26-230</x:v>
      </x:c>
      <x:c r="G687" s="8" t="str">
        <x:v>เติมประเภทและพื้นที่ตามบรีฟ</x:v>
      </x:c>
    </x:row>
  </x:sheetData>
  <x:pageMargins left="0.7" right="0.7" top="0.75" bottom="0.75" header="0.3" footer="0.3"/>
  <x:tableParts count="1">
    <x:tablePart xmlns:r="http://schemas.openxmlformats.org/officeDocument/2006/relationships" r:id="Re7442ef6f41545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6" hidden="0" customWidth="1"/>
    <x:col min="4" max="4" width="16" hidden="0" customWidth="1"/>
    <x:col min="5" max="5" width="4" hidden="0" customWidth="1"/>
    <x:col min="6" max="6" width="14" hidden="0" customWidth="1"/>
    <x:col min="7" max="7" width="43" hidden="0" customWidth="1"/>
    <x:col min="8" max="8" width="20" hidden="0" customWidth="1"/>
    <x:col min="9" max="9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2"/>
      <x:c r="B2" s="3" t="str">
        <x:v>สรุป 600 แหล่งและเป้าหมายตามบรีฟ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63" t="str">
        <x:v>600 แหล่งเพื่อเสนอ ททท. คัดเลือก 250 แห่ง; กลุ่มในรายชื่อยังเป็นข้อเสนอ</x:v>
      </x:c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2"/>
      <x:c r="B6" s="50" t="str">
        <x:v>ประเภท</x:v>
      </x:c>
      <x:c r="C6" s="50" t="str">
        <x:v>เป้าหมาย</x:v>
      </x:c>
      <x:c r="D6" s="50" t="str">
        <x:v>จำนวนในรายชื่อ</x:v>
      </x:c>
      <x:c r="E6" s="2"/>
      <x:c r="F6" s="50" t="str">
        <x:v>เส้นทาง</x:v>
      </x:c>
      <x:c r="G6" s="50" t="str">
        <x:v>ชื่อเส้นทาง</x:v>
      </x:c>
      <x:c r="H6" s="50" t="str">
        <x:v>จำนวนแหล่ง</x:v>
      </x:c>
      <x:c r="I6" s="50" t="str">
        <x:v>จุดในต้นฉบับ</x:v>
      </x:c>
    </x:row>
    <x:row r="7" ht="40" customHeight="1">
      <x:c r="A7" s="2"/>
      <x:c r="B7" s="8" t="str">
        <x:v>ที่พัก</x:v>
      </x:c>
      <x:c r="C7" s="2" t="n">
        <x:v>120</x:v>
      </x:c>
      <x:c r="D7" s="2" t="n">
        <x:f>COUNTIFS('รายชื่อ 600 แหล่ง'!$E$9:$E$608,B7)</x:f>
        <x:v>120</x:v>
      </x:c>
      <x:c r="E7" s="2"/>
      <x:c r="F7" s="37" t="str">
        <x:v>01</x:v>
      </x:c>
      <x:c r="G7" s="8" t="str">
        <x:v>From Silk Road to Lanna</x:v>
      </x:c>
      <x:c r="H7" s="2" t="n">
        <x:f>COUNTIFS('รายชื่อ 600 แหล่ง'!$H$9:$H$608,F7)</x:f>
        <x:v>43</x:v>
      </x:c>
      <x:c r="I7" s="2" t="n">
        <x:f>COUNTIFS('รายชื่อ 600 แหล่ง'!$H$9:$H$608,F7,'รายชื่อ 600 แหล่ง'!$M$9:$M$608,"จุดในเอกสารเส้นทาง")</x:f>
        <x:v>9</x:v>
      </x:c>
    </x:row>
    <x:row r="8" ht="40" customHeight="1">
      <x:c r="A8" s="2"/>
      <x:c r="B8" s="8" t="str">
        <x:v>ร้านอาหารและคาเฟ่</x:v>
      </x:c>
      <x:c r="C8" s="2" t="n">
        <x:v>150</x:v>
      </x:c>
      <x:c r="D8" s="2" t="n">
        <x:f>COUNTIFS('รายชื่อ 600 แหล่ง'!$E$9:$E$608,B8)</x:f>
        <x:v>150</x:v>
      </x:c>
      <x:c r="E8" s="2"/>
      <x:c r="F8" s="37" t="str">
        <x:v>02</x:v>
      </x:c>
      <x:c r="G8" s="8" t="str">
        <x:v>Highland Halal Journey</x:v>
      </x:c>
      <x:c r="H8" s="2" t="n">
        <x:f>COUNTIFS('รายชื่อ 600 แหล่ง'!$H$9:$H$608,F8)</x:f>
        <x:v>27</x:v>
      </x:c>
      <x:c r="I8" s="2" t="n">
        <x:f>COUNTIFS('รายชื่อ 600 แหล่ง'!$H$9:$H$608,F8,'รายชื่อ 600 แหล่ง'!$M$9:$M$608,"จุดในเอกสารเส้นทาง")</x:f>
        <x:v>11</x:v>
      </x:c>
    </x:row>
    <x:row r="9" ht="40" customHeight="1">
      <x:c r="A9" s="2"/>
      <x:c r="B9" s="8" t="str">
        <x:v>สถานประกอบการเพื่อสุขภาพและเวลเนส</x:v>
      </x:c>
      <x:c r="C9" s="2" t="n">
        <x:v>40</x:v>
      </x:c>
      <x:c r="D9" s="2" t="n">
        <x:f>COUNTIFS('รายชื่อ 600 แหล่ง'!$E$9:$E$608,B9)</x:f>
        <x:v>40</x:v>
      </x:c>
      <x:c r="E9" s="2"/>
      <x:c r="F9" s="37" t="str">
        <x:v>03</x:v>
      </x:c>
      <x:c r="G9" s="8" t="str">
        <x:v>Bangkok Muslim Heritage</x:v>
      </x:c>
      <x:c r="H9" s="2" t="n">
        <x:f>COUNTIFS('รายชื่อ 600 แหล่ง'!$H$9:$H$608,F9)</x:f>
        <x:v>115</x:v>
      </x:c>
      <x:c r="I9" s="2" t="n">
        <x:f>COUNTIFS('รายชื่อ 600 แหล่ง'!$H$9:$H$608,F9,'รายชื่อ 600 แหล่ง'!$M$9:$M$608,"จุดในเอกสารเส้นทาง")</x:f>
        <x:v>10</x:v>
      </x:c>
    </x:row>
    <x:row r="10" ht="40" customHeight="1">
      <x:c r="A10" s="2"/>
      <x:c r="B10" s="8" t="str">
        <x:v>ศูนย์การค้า</x:v>
      </x:c>
      <x:c r="C10" s="2" t="n">
        <x:v>25</x:v>
      </x:c>
      <x:c r="D10" s="2" t="n">
        <x:f>COUNTIFS('รายชื่อ 600 แหล่ง'!$E$9:$E$608,B10)</x:f>
        <x:v>25</x:v>
      </x:c>
      <x:c r="E10" s="2"/>
      <x:c r="F10" s="37" t="str">
        <x:v>04</x:v>
      </x:c>
      <x:c r="G10" s="8" t="str">
        <x:v>The Muslim Legacy</x:v>
      </x:c>
      <x:c r="H10" s="2" t="n">
        <x:f>COUNTIFS('รายชื่อ 600 แหล่ง'!$H$9:$H$608,F10)</x:f>
        <x:v>30</x:v>
      </x:c>
      <x:c r="I10" s="2" t="n">
        <x:f>COUNTIFS('รายชื่อ 600 แหล่ง'!$H$9:$H$608,F10,'รายชื่อ 600 แหล่ง'!$M$9:$M$608,"จุดในเอกสารเส้นทาง")</x:f>
        <x:v>13</x:v>
      </x:c>
    </x:row>
    <x:row r="11" ht="40" customHeight="1">
      <x:c r="A11" s="2"/>
      <x:c r="B11" s="8" t="str">
        <x:v>แหล่งท่องเที่ยวทางธรรมชาติ</x:v>
      </x:c>
      <x:c r="C11" s="2" t="n">
        <x:v>70</x:v>
      </x:c>
      <x:c r="D11" s="2" t="n">
        <x:f>COUNTIFS('รายชื่อ 600 แหล่ง'!$E$9:$E$608,B11)</x:f>
        <x:v>70</x:v>
      </x:c>
      <x:c r="E11" s="2"/>
      <x:c r="F11" s="37" t="str">
        <x:v>05</x:v>
      </x:c>
      <x:c r="G11" s="8" t="str">
        <x:v>River For (est)</x:v>
      </x:c>
      <x:c r="H11" s="2" t="n">
        <x:f>COUNTIFS('รายชื่อ 600 แหล่ง'!$H$9:$H$608,F11)</x:f>
        <x:v>48</x:v>
      </x:c>
      <x:c r="I11" s="2" t="n">
        <x:f>COUNTIFS('รายชื่อ 600 แหล่ง'!$H$9:$H$608,F11,'รายชื่อ 600 แหล่ง'!$M$9:$M$608,"จุดในเอกสารเส้นทาง")</x:f>
        <x:v>8</x:v>
      </x:c>
    </x:row>
    <x:row r="12" ht="40" customHeight="1">
      <x:c r="A12" s="2"/>
      <x:c r="B12" s="8" t="str">
        <x:v>แหล่งท่องเที่ยวทางประวัติศาสตร์และวัฒนธรรม</x:v>
      </x:c>
      <x:c r="C12" s="2" t="n">
        <x:v>100</x:v>
      </x:c>
      <x:c r="D12" s="2" t="n">
        <x:f>COUNTIFS('รายชื่อ 600 แหล่ง'!$E$9:$E$608,B12)</x:f>
        <x:v>100</x:v>
      </x:c>
      <x:c r="E12" s="2"/>
      <x:c r="F12" s="37" t="str">
        <x:v>06</x:v>
      </x:c>
      <x:c r="G12" s="8" t="str">
        <x:v>Eastern Seaside Delight</x:v>
      </x:c>
      <x:c r="H12" s="2" t="n">
        <x:f>COUNTIFS('รายชื่อ 600 แหล่ง'!$H$9:$H$608,F12)</x:f>
        <x:v>55</x:v>
      </x:c>
      <x:c r="I12" s="2" t="n">
        <x:f>COUNTIFS('รายชื่อ 600 แหล่ง'!$H$9:$H$608,F12,'รายชื่อ 600 แหล่ง'!$M$9:$M$608,"จุดในเอกสารเส้นทาง")</x:f>
        <x:v>10</x:v>
      </x:c>
    </x:row>
    <x:row r="13" ht="40" customHeight="1">
      <x:c r="A13" s="2"/>
      <x:c r="B13" s="8" t="str">
        <x:v>ชุมชนท่องเที่ยว</x:v>
      </x:c>
      <x:c r="C13" s="2" t="n">
        <x:v>55</x:v>
      </x:c>
      <x:c r="D13" s="2" t="n">
        <x:f>COUNTIFS('รายชื่อ 600 แหล่ง'!$E$9:$E$608,B13)</x:f>
        <x:v>55</x:v>
      </x:c>
      <x:c r="E13" s="2"/>
      <x:c r="F13" s="37" t="str">
        <x:v>07</x:v>
      </x:c>
      <x:c r="G13" s="8" t="str">
        <x:v>Sea, Soul &amp; Serenity</x:v>
      </x:c>
      <x:c r="H13" s="2" t="n">
        <x:f>COUNTIFS('รายชื่อ 600 แหล่ง'!$H$9:$H$608,F13)</x:f>
        <x:v>45</x:v>
      </x:c>
      <x:c r="I13" s="2" t="n">
        <x:f>COUNTIFS('รายชื่อ 600 แหล่ง'!$H$9:$H$608,F13,'รายชื่อ 600 แหล่ง'!$M$9:$M$608,"จุดในเอกสารเส้นทาง")</x:f>
        <x:v>10</x:v>
      </x:c>
    </x:row>
    <x:row r="14" ht="40" customHeight="1">
      <x:c r="A14" s="2"/>
      <x:c r="B14" s="8" t="str">
        <x:v>ศูนย์กิจกรรมและนันทนาการ</x:v>
      </x:c>
      <x:c r="C14" s="2" t="n">
        <x:v>40</x:v>
      </x:c>
      <x:c r="D14" s="2" t="n">
        <x:f>COUNTIFS('รายชื่อ 600 แหล่ง'!$E$9:$E$608,B14)</x:f>
        <x:v>40</x:v>
      </x:c>
      <x:c r="E14" s="2"/>
      <x:c r="F14" s="37" t="str">
        <x:v>08</x:v>
      </x:c>
      <x:c r="G14" s="8" t="str">
        <x:v>Andaman Halal Escape</x:v>
      </x:c>
      <x:c r="H14" s="2" t="n">
        <x:f>COUNTIFS('รายชื่อ 600 แหล่ง'!$H$9:$H$608,F14)</x:f>
        <x:v>49</x:v>
      </x:c>
      <x:c r="I14" s="2" t="n">
        <x:f>COUNTIFS('รายชื่อ 600 แหล่ง'!$H$9:$H$608,F14,'รายชื่อ 600 แหล่ง'!$M$9:$M$608,"จุดในเอกสารเส้นทาง")</x:f>
        <x:v>9</x:v>
      </x:c>
    </x:row>
    <x:row r="15" ht="40" customHeight="1">
      <x:c r="A15" s="2"/>
      <x:c r="B15" s="64" t="str">
        <x:v>รวม</x:v>
      </x:c>
      <x:c r="C15" s="64" t="n">
        <x:f>SUM(C7:C14)</x:f>
        <x:v>600</x:v>
      </x:c>
      <x:c r="D15" s="64" t="n">
        <x:f>SUM(D7:D14)</x:f>
        <x:v>600</x:v>
      </x:c>
      <x:c r="E15" s="2"/>
      <x:c r="F15" s="37" t="str">
        <x:v>09</x:v>
      </x:c>
      <x:c r="G15" s="8" t="str">
        <x:v>Roots of Faith</x:v>
      </x:c>
      <x:c r="H15" s="2" t="n">
        <x:f>COUNTIFS('รายชื่อ 600 แหล่ง'!$H$9:$H$608,F15)</x:f>
        <x:v>54</x:v>
      </x:c>
      <x:c r="I15" s="2" t="n">
        <x:f>COUNTIFS('รายชื่อ 600 แหล่ง'!$H$9:$H$608,F15,'รายชื่อ 600 แหล่ง'!$M$9:$M$608,"จุดในเอกสารเส้นทาง")</x:f>
        <x:v>12</x:v>
      </x:c>
    </x:row>
    <x:row r="16" ht="40" customHeight="1">
      <x:c r="A16" s="2"/>
      <x:c r="B16" s="2"/>
      <x:c r="C16" s="2"/>
      <x:c r="D16" s="2"/>
      <x:c r="E16" s="2"/>
      <x:c r="F16" s="37" t="str">
        <x:v>10</x:v>
      </x:c>
      <x:c r="G16" s="8" t="str">
        <x:v>Green Heart of the South</x:v>
      </x:c>
      <x:c r="H16" s="2" t="n">
        <x:f>COUNTIFS('รายชื่อ 600 แหล่ง'!$H$9:$H$608,F16)</x:f>
        <x:v>37</x:v>
      </x:c>
      <x:c r="I16" s="2" t="n">
        <x:f>COUNTIFS('รายชื่อ 600 แหล่ง'!$H$9:$H$608,F16,'รายชื่อ 600 แหล่ง'!$M$9:$M$608,"จุดในเอกสารเส้นทาง")</x:f>
        <x:v>12</x:v>
      </x:c>
    </x:row>
    <x:row r="17">
      <x:c r="A17" s="2"/>
      <x:c r="B17" s="2"/>
      <x:c r="C17" s="2"/>
      <x:c r="D17" s="2"/>
      <x:c r="E17" s="2"/>
      <x:c r="F17" s="2" t="str">
        <x:v>เพิ่มเติม</x:v>
      </x:c>
      <x:c r="G17" s="2" t="str">
        <x:v>พื้นที่เพิ่มเติม/GMHI</x:v>
      </x:c>
      <x:c r="H17" s="2" t="n">
        <x:f>COUNTIFS('รายชื่อ 600 แหล่ง'!$H$9:$H$608,"เพิ่มเติม")</x:f>
        <x:v>97</x:v>
      </x:c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6" customHeight="1">
      <x:c r="A19" s="2"/>
      <x:c r="B19" s="50" t="str">
        <x:v>พื้นที่ตามบรีฟ</x:v>
      </x:c>
      <x:c r="C19" s="50" t="str">
        <x:v>เป้าประมาณ</x:v>
      </x:c>
      <x:c r="D19" s="50" t="str">
        <x:v>จำนวน</x:v>
      </x:c>
      <x:c r="E19" s="2"/>
      <x:c r="F19" s="2"/>
      <x:c r="G19" s="2"/>
      <x:c r="H19" s="2"/>
      <x:c r="I19" s="2"/>
    </x:row>
    <x:row r="20">
      <x:c r="A20" s="2"/>
      <x:c r="B20" s="2" t="str">
        <x:v>จังหวัดหลัก</x:v>
      </x:c>
      <x:c r="C20" s="2" t="n">
        <x:v>330</x:v>
      </x:c>
      <x:c r="D20" s="2" t="n">
        <x:v>330</x:v>
      </x:c>
      <x:c r="E20" s="2"/>
      <x:c r="F20" s="19" t="str">
        <x:v>จังหวัดรองและจังหวัดเชื่อมเส้นทาง</x:v>
      </x:c>
      <x:c r="G20" s="2"/>
      <x:c r="H20" s="2"/>
      <x:c r="I20" s="2" t="n">
        <x:v>149</x:v>
      </x:c>
    </x:row>
    <x:row r="21">
      <x:c r="A21" s="2"/>
      <x:c r="B21" s="2" t="str">
        <x:v>จังหวัดรอง</x:v>
      </x:c>
      <x:c r="C21" s="2" t="n">
        <x:v>150</x:v>
      </x:c>
      <x:c r="D21" s="2" t="n">
        <x:v>86</x:v>
      </x:c>
      <x:c r="E21" s="2"/>
      <x:c r="F21" s="2"/>
      <x:c r="G21" s="2"/>
      <x:c r="H21" s="2"/>
      <x:c r="I21" s="2"/>
    </x:row>
    <x:row r="22">
      <x:c r="A22" s="2"/>
      <x:c r="B22" s="2" t="str">
        <x:v>จังหวัดศักยภาพ</x:v>
      </x:c>
      <x:c r="C22" s="2" t="n">
        <x:v>120</x:v>
      </x:c>
      <x:c r="D22" s="2" t="n">
        <x:v>120</x:v>
      </x:c>
      <x:c r="E22" s="2"/>
      <x:c r="F22" s="2"/>
      <x:c r="G22" s="2"/>
      <x:c r="H22" s="2"/>
      <x:c r="I22" s="2"/>
    </x:row>
    <x:row r="23">
      <x:c r="A23" s="2"/>
      <x:c r="B23" s="2" t="str">
        <x:v>จังหวัดเชื่อมเส้นทาง</x:v>
      </x:c>
      <x:c r="C23" s="2" t="str">
        <x:v>รวมในพื้นที่รอง</x:v>
      </x:c>
      <x:c r="D23" s="2" t="n">
        <x:v>63</x:v>
      </x:c>
      <x:c r="E23" s="2"/>
      <x:c r="F23" s="2"/>
      <x:c r="G23" s="2"/>
      <x:c r="H23" s="2"/>
      <x:c r="I23" s="2"/>
    </x:row>
    <x:row r="24">
      <x:c r="A24" s="2"/>
      <x:c r="B24" s="2" t="str">
        <x:v>ทะเบียน GMHI นอกพื้นที่</x:v>
      </x:c>
      <x:c r="C24" s="2" t="str">
        <x:v>คงทะเบียน GMHI</x:v>
      </x:c>
      <x:c r="D24" s="2" t="n">
        <x:v>1</x:v>
      </x:c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36" customHeight="1">
      <x:c r="A26" s="2"/>
      <x:c r="B26" s="2"/>
      <x:c r="C26" s="2"/>
      <x:c r="D26" s="2"/>
      <x:c r="E26" s="2"/>
      <x:c r="F26" s="50" t="str">
        <x:v>กลุ่มเสนอ</x:v>
      </x:c>
      <x:c r="G26" s="50"/>
      <x:c r="H26" s="50"/>
      <x:c r="I26" s="50" t="str">
        <x:v>จำนวน</x:v>
      </x:c>
    </x:row>
    <x:row r="27" ht="36" customHeight="1">
      <x:c r="A27" s="2"/>
      <x:c r="B27" s="50" t="str">
        <x:v>จังหวัด</x:v>
      </x:c>
      <x:c r="C27" s="50" t="str">
        <x:v>จำนวน</x:v>
      </x:c>
      <x:c r="D27" s="50" t="str">
        <x:v>ข้อสังเกต</x:v>
      </x:c>
      <x:c r="E27" s="2"/>
      <x:c r="F27" s="2"/>
      <x:c r="G27" s="8" t="str">
        <x:v>พร้อมขาย</x:v>
      </x:c>
      <x:c r="H27" s="2"/>
      <x:c r="I27" s="2" t="n">
        <x:f>COUNTIFS('รายชื่อ 600 แหล่ง'!$D$9:$D$608,G27)</x:f>
        <x:v>130</x:v>
      </x:c>
    </x:row>
    <x:row r="28" ht="40" customHeight="1">
      <x:c r="A28" s="2"/>
      <x:c r="B28" s="2" t="str">
        <x:v>กระบี่</x:v>
      </x:c>
      <x:c r="C28" s="2" t="n">
        <x:f>COUNTIFS('รายชื่อ 600 แหล่ง'!$C$9:$C$608,B28)</x:f>
        <x:v>28</x:v>
      </x:c>
      <x:c r="D28" s="2" t="str"/>
      <x:c r="E28" s="2"/>
      <x:c r="F28" s="2"/>
      <x:c r="G28" s="8" t="str">
        <x:v>พัฒนาเพื่อพร้อมขาย</x:v>
      </x:c>
      <x:c r="H28" s="2"/>
      <x:c r="I28" s="2" t="n">
        <x:f>COUNTIFS('รายชื่อ 600 แหล่ง'!$D$9:$D$608,G28)</x:f>
        <x:v>108</x:v>
      </x:c>
    </x:row>
    <x:row r="29" ht="40" customHeight="1">
      <x:c r="A29" s="2"/>
      <x:c r="B29" s="2" t="str">
        <x:v>กรุงเทพมหานคร</x:v>
      </x:c>
      <x:c r="C29" s="2" t="n">
        <x:f>COUNTIFS('รายชื่อ 600 แหล่ง'!$C$9:$C$608,B29)</x:f>
        <x:v>115</x:v>
      </x:c>
      <x:c r="D29" s="2" t="str"/>
      <x:c r="E29" s="2"/>
      <x:c r="F29" s="2"/>
      <x:c r="G29" s="8" t="str">
        <x:v>มีศักยภาพ แต่ต้องพัฒนามาตรฐาน</x:v>
      </x:c>
      <x:c r="H29" s="2"/>
      <x:c r="I29" s="2" t="n">
        <x:f>COUNTIFS('รายชื่อ 600 แหล่ง'!$D$9:$D$608,G29)</x:f>
        <x:v>362</x:v>
      </x:c>
    </x:row>
    <x:row r="30">
      <x:c r="A30" s="2"/>
      <x:c r="B30" s="2" t="str">
        <x:v>กาญจนบุรี</x:v>
      </x:c>
      <x:c r="C30" s="2" t="n">
        <x:f>COUNTIFS('รายชื่อ 600 แหล่ง'!$C$9:$C$608,B30)</x:f>
        <x:v>24</x:v>
      </x:c>
      <x:c r="D30" s="2" t="str">
        <x:v>อย่างน้อย 20</x:v>
      </x:c>
      <x:c r="E30" s="2"/>
      <x:c r="F30" s="2"/>
      <x:c r="G30" s="2"/>
      <x:c r="H30" s="2"/>
      <x:c r="I30" s="2"/>
    </x:row>
    <x:row r="31">
      <x:c r="A31" s="2"/>
      <x:c r="B31" s="2" t="str">
        <x:v>ชลบุรี</x:v>
      </x:c>
      <x:c r="C31" s="2" t="n">
        <x:f>COUNTIFS('รายชื่อ 600 แหล่ง'!$C$9:$C$608,B31)</x:f>
        <x:v>37</x:v>
      </x:c>
      <x:c r="D31" s="2" t="str"/>
      <x:c r="E31" s="2"/>
      <x:c r="F31" s="2"/>
      <x:c r="G31" s="2" t="str">
        <x:v>ผลประเมินที่ยังไม่ครบ</x:v>
      </x:c>
      <x:c r="H31" s="2"/>
      <x:c r="I31" s="2" t="n">
        <x:f>COUNTIFS('ประเมินเกณฑ์'!$AE$9:$AE$608,"รอประเมิน")</x:f>
        <x:v>600</x:v>
      </x:c>
    </x:row>
    <x:row r="32">
      <x:c r="A32" s="2"/>
      <x:c r="B32" s="2" t="str">
        <x:v>เชียงราย</x:v>
      </x:c>
      <x:c r="C32" s="2" t="n">
        <x:f>COUNTIFS('รายชื่อ 600 แหล่ง'!$C$9:$C$608,B32)</x:f>
        <x:v>27</x:v>
      </x:c>
      <x:c r="D32" s="2" t="str">
        <x:v>อย่างน้อย 20</x:v>
      </x:c>
      <x:c r="E32" s="2"/>
      <x:c r="F32" s="2"/>
      <x:c r="G32" s="2"/>
      <x:c r="H32" s="2"/>
      <x:c r="I32" s="2"/>
    </x:row>
    <x:row r="33">
      <x:c r="A33" s="2"/>
      <x:c r="B33" s="2" t="str">
        <x:v>เชียงใหม่</x:v>
      </x:c>
      <x:c r="C33" s="2" t="n">
        <x:f>COUNTIFS('รายชื่อ 600 แหล่ง'!$C$9:$C$608,B33)</x:f>
        <x:v>35</x:v>
      </x:c>
      <x:c r="D33" s="2" t="str"/>
      <x:c r="E33" s="2"/>
      <x:c r="F33" s="2"/>
      <x:c r="G33" s="2"/>
      <x:c r="H33" s="2"/>
      <x:c r="I33" s="2"/>
    </x:row>
    <x:row r="34">
      <x:c r="A34" s="2"/>
      <x:c r="B34" s="2" t="str">
        <x:v>ตรัง</x:v>
      </x:c>
      <x:c r="C34" s="2" t="n">
        <x:f>COUNTIFS('รายชื่อ 600 แหล่ง'!$C$9:$C$608,B34)</x:f>
        <x:v>21</x:v>
      </x:c>
      <x:c r="D34" s="2" t="str"/>
      <x:c r="E34" s="2"/>
      <x:c r="F34" s="2"/>
      <x:c r="G34" s="2" t="str">
        <x:v>GMHI ครบตามทะเบียนที่ตรวจ</x:v>
      </x:c>
      <x:c r="H34" s="2"/>
      <x:c r="I34" s="2" t="n">
        <x:v>27</x:v>
      </x:c>
    </x:row>
    <x:row r="35">
      <x:c r="A35" s="2"/>
      <x:c r="B35" s="2" t="str">
        <x:v>นครราชสีมา</x:v>
      </x:c>
      <x:c r="C35" s="2" t="n">
        <x:f>COUNTIFS('รายชื่อ 600 แหล่ง'!$C$9:$C$608,B35)</x:f>
        <x:v>18</x:v>
      </x:c>
      <x:c r="D35" s="2" t="str"/>
      <x:c r="E35" s="2"/>
      <x:c r="F35" s="2"/>
      <x:c r="G35" s="2" t="str">
        <x:v>Phuket</x:v>
      </x:c>
      <x:c r="H35" s="2"/>
      <x:c r="I35" s="2" t="n">
        <x:v>31</x:v>
      </x:c>
    </x:row>
    <x:row r="36">
      <x:c r="A36" s="2"/>
      <x:c r="B36" s="2" t="str">
        <x:v>นครศรีธรรมราช</x:v>
      </x:c>
      <x:c r="C36" s="2" t="n">
        <x:f>COUNTIFS('รายชื่อ 600 แหล่ง'!$C$9:$C$608,B36)</x:f>
        <x:v>19</x:v>
      </x:c>
      <x:c r="D36" s="2" t="str"/>
      <x:c r="E36" s="2"/>
      <x:c r="F36" s="2"/>
      <x:c r="G36" s="2" t="str">
        <x:v>เขาใหญ่–ปากช่อง</x:v>
      </x:c>
      <x:c r="H36" s="2"/>
      <x:c r="I36" s="2" t="n">
        <x:v>11</x:v>
      </x:c>
    </x:row>
    <x:row r="37">
      <x:c r="A37" s="2"/>
      <x:c r="B37" s="2" t="str">
        <x:v>นราธิวาส</x:v>
      </x:c>
      <x:c r="C37" s="2" t="n">
        <x:f>COUNTIFS('รายชื่อ 600 แหล่ง'!$C$9:$C$608,B37)</x:f>
        <x:v>9</x:v>
      </x:c>
      <x:c r="D37" s="2" t="str"/>
      <x:c r="E37" s="2"/>
      <x:c r="F37" s="2"/>
      <x:c r="G37" s="2" t="str">
        <x:v>มีพิกัดจากแหล่งข้อมูล</x:v>
      </x:c>
      <x:c r="H37" s="2"/>
      <x:c r="I37" s="2" t="n">
        <x:v>479</x:v>
      </x:c>
    </x:row>
    <x:row r="38">
      <x:c r="A38" s="2"/>
      <x:c r="B38" s="2" t="str">
        <x:v>ประจวบคีรีขันธ์</x:v>
      </x:c>
      <x:c r="C38" s="2" t="n">
        <x:f>COUNTIFS('รายชื่อ 600 แหล่ง'!$C$9:$C$608,B38)</x:f>
        <x:v>8</x:v>
      </x:c>
      <x:c r="D38" s="2" t="str"/>
      <x:c r="E38" s="2"/>
      <x:c r="F38" s="2"/>
      <x:c r="G38" s="2" t="str">
        <x:v>ยังรอยืนยันพิกัด</x:v>
      </x:c>
      <x:c r="H38" s="2"/>
      <x:c r="I38" s="2" t="n">
        <x:v>121</x:v>
      </x:c>
    </x:row>
    <x:row r="39">
      <x:c r="A39" s="2"/>
      <x:c r="B39" s="2" t="str">
        <x:v>ปัตตานี</x:v>
      </x:c>
      <x:c r="C39" s="2" t="n">
        <x:f>COUNTIFS('รายชื่อ 600 แหล่ง'!$C$9:$C$608,B39)</x:f>
        <x:v>29</x:v>
      </x:c>
      <x:c r="D39" s="2" t="str"/>
      <x:c r="E39" s="2"/>
      <x:c r="F39" s="2"/>
      <x:c r="G39" s="2"/>
      <x:c r="H39" s="2"/>
      <x:c r="I39" s="2"/>
    </x:row>
    <x:row r="40">
      <x:c r="A40" s="2"/>
      <x:c r="B40" s="2" t="str">
        <x:v>พระนครศรีอยุธยา</x:v>
      </x:c>
      <x:c r="C40" s="2" t="n">
        <x:f>COUNTIFS('รายชื่อ 600 แหล่ง'!$C$9:$C$608,B40)</x:f>
        <x:v>30</x:v>
      </x:c>
      <x:c r="D40" s="2" t="str">
        <x:v>อย่างน้อย 20</x:v>
      </x:c>
      <x:c r="E40" s="2"/>
      <x:c r="F40" s="2"/>
      <x:c r="G40" s="2"/>
      <x:c r="H40" s="2"/>
      <x:c r="I40" s="2"/>
    </x:row>
    <x:row r="41">
      <x:c r="A41" s="2"/>
      <x:c r="B41" s="2" t="str">
        <x:v>พังงา</x:v>
      </x:c>
      <x:c r="C41" s="2" t="n">
        <x:f>COUNTIFS('รายชื่อ 600 แหล่ง'!$C$9:$C$608,B41)</x:f>
        <x:v>13</x:v>
      </x:c>
      <x:c r="D41" s="2" t="str"/>
      <x:c r="E41" s="2"/>
      <x:c r="F41" s="2"/>
      <x:c r="G41" s="2"/>
      <x:c r="H41" s="2"/>
      <x:c r="I41" s="2"/>
    </x:row>
    <x:row r="42">
      <x:c r="A42" s="2"/>
      <x:c r="B42" s="2" t="str">
        <x:v>พัทลุง</x:v>
      </x:c>
      <x:c r="C42" s="2" t="n">
        <x:f>COUNTIFS('รายชื่อ 600 แหล่ง'!$C$9:$C$608,B42)</x:f>
        <x:v>18</x:v>
      </x:c>
      <x:c r="D42" s="2" t="str"/>
      <x:c r="E42" s="2"/>
      <x:c r="F42" s="2"/>
      <x:c r="G42" s="2"/>
      <x:c r="H42" s="2"/>
      <x:c r="I42" s="2"/>
    </x:row>
    <x:row r="43">
      <x:c r="A43" s="2"/>
      <x:c r="B43" s="2" t="str">
        <x:v>ภูเก็ต</x:v>
      </x:c>
      <x:c r="C43" s="2" t="n">
        <x:f>COUNTIFS('รายชื่อ 600 แหล่ง'!$C$9:$C$608,B43)</x:f>
        <x:v>31</x:v>
      </x:c>
      <x:c r="D43" s="2" t="str"/>
      <x:c r="E43" s="2"/>
      <x:c r="F43" s="2"/>
      <x:c r="G43" s="2"/>
      <x:c r="H43" s="2"/>
      <x:c r="I43" s="2"/>
    </x:row>
    <x:row r="44">
      <x:c r="A44" s="2"/>
      <x:c r="B44" s="2" t="str">
        <x:v>ยะลา</x:v>
      </x:c>
      <x:c r="C44" s="2" t="n">
        <x:f>COUNTIFS('รายชื่อ 600 แหล่ง'!$C$9:$C$608,B44)</x:f>
        <x:v>25</x:v>
      </x:c>
      <x:c r="D44" s="2" t="str"/>
      <x:c r="E44" s="2"/>
      <x:c r="F44" s="2"/>
      <x:c r="G44" s="2"/>
      <x:c r="H44" s="2"/>
      <x:c r="I44" s="2"/>
    </x:row>
    <x:row r="45">
      <x:c r="A45" s="2"/>
      <x:c r="B45" s="2" t="str">
        <x:v>ระยอง</x:v>
      </x:c>
      <x:c r="C45" s="2" t="n">
        <x:f>COUNTIFS('รายชื่อ 600 แหล่ง'!$C$9:$C$608,B45)</x:f>
        <x:v>18</x:v>
      </x:c>
      <x:c r="D45" s="2" t="str"/>
      <x:c r="E45" s="2"/>
      <x:c r="F45" s="2"/>
      <x:c r="G45" s="2"/>
      <x:c r="H45" s="2"/>
      <x:c r="I45" s="2"/>
    </x:row>
    <x:row r="46">
      <x:c r="A46" s="2"/>
      <x:c r="B46" s="2" t="str">
        <x:v>ราชบุรี</x:v>
      </x:c>
      <x:c r="C46" s="2" t="n">
        <x:f>COUNTIFS('รายชื่อ 600 แหล่ง'!$C$9:$C$608,B46)</x:f>
        <x:v>24</x:v>
      </x:c>
      <x:c r="D46" s="2" t="str">
        <x:v>อย่างน้อย 20</x:v>
      </x:c>
      <x:c r="E46" s="2"/>
      <x:c r="F46" s="2"/>
      <x:c r="G46" s="2"/>
      <x:c r="H46" s="2"/>
      <x:c r="I46" s="2"/>
    </x:row>
    <x:row r="47">
      <x:c r="A47" s="2"/>
      <x:c r="B47" s="2" t="str">
        <x:v>ลำพูน</x:v>
      </x:c>
      <x:c r="C47" s="2" t="n">
        <x:f>COUNTIFS('รายชื่อ 600 แหล่ง'!$C$9:$C$608,B47)</x:f>
        <x:v>8</x:v>
      </x:c>
      <x:c r="D47" s="2" t="str"/>
      <x:c r="E47" s="2"/>
      <x:c r="F47" s="2"/>
      <x:c r="G47" s="2"/>
      <x:c r="H47" s="2"/>
      <x:c r="I47" s="2"/>
    </x:row>
    <x:row r="48">
      <x:c r="A48" s="2"/>
      <x:c r="B48" s="2" t="str">
        <x:v>สงขลา</x:v>
      </x:c>
      <x:c r="C48" s="2" t="n">
        <x:f>COUNTIFS('รายชื่อ 600 แหล่ง'!$C$9:$C$608,B48)</x:f>
        <x:v>27</x:v>
      </x:c>
      <x:c r="D48" s="2" t="str"/>
      <x:c r="E48" s="2"/>
      <x:c r="F48" s="2"/>
      <x:c r="G48" s="2"/>
      <x:c r="H48" s="2"/>
      <x:c r="I48" s="2"/>
    </x:row>
    <x:row r="49">
      <x:c r="A49" s="2"/>
      <x:c r="B49" s="2" t="str">
        <x:v>สตูล</x:v>
      </x:c>
      <x:c r="C49" s="2" t="n">
        <x:f>COUNTIFS('รายชื่อ 600 แหล่ง'!$C$9:$C$608,B49)</x:f>
        <x:v>18</x:v>
      </x:c>
      <x:c r="D49" s="2" t="str"/>
      <x:c r="E49" s="2"/>
      <x:c r="F49" s="2"/>
      <x:c r="G49" s="2"/>
      <x:c r="H49" s="2"/>
      <x:c r="I49" s="2"/>
    </x:row>
    <x:row r="50">
      <x:c r="A50" s="2"/>
      <x:c r="B50" s="2" t="str">
        <x:v>สมุทรปราการ</x:v>
      </x:c>
      <x:c r="C50" s="2" t="n">
        <x:f>COUNTIFS('รายชื่อ 600 แหล่ง'!$C$9:$C$608,B50)</x:f>
        <x:v>11</x:v>
      </x:c>
      <x:c r="D50" s="2" t="str"/>
      <x:c r="E50" s="2"/>
      <x:c r="F50" s="2"/>
      <x:c r="G50" s="2"/>
      <x:c r="H50" s="2"/>
      <x:c r="I50" s="2"/>
    </x:row>
    <x:row r="51">
      <x:c r="A51" s="2"/>
      <x:c r="B51" s="2" t="str">
        <x:v>สุราษฎร์ธานี</x:v>
      </x:c>
      <x:c r="C51" s="2" t="n">
        <x:f>COUNTIFS('รายชื่อ 600 แหล่ง'!$C$9:$C$608,B51)</x:f>
        <x:v>6</x:v>
      </x:c>
      <x:c r="D51" s="2" t="str"/>
      <x:c r="E51" s="2"/>
      <x:c r="F51" s="2"/>
      <x:c r="G51" s="2"/>
      <x:c r="H51" s="2"/>
      <x:c r="I51" s="2"/>
    </x:row>
    <x:row r="52">
      <x:c r="A52" s="2"/>
      <x:c r="B52" s="2" t="str">
        <x:v>อุดรธานี</x:v>
      </x:c>
      <x:c r="C52" s="2" t="n">
        <x:f>COUNTIFS('รายชื่อ 600 แหล่ง'!$C$9:$C$608,B52)</x:f>
        <x:v>1</x:v>
      </x:c>
      <x:c r="D52" s="2" t="str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64" t="str">
        <x:v>แหล่งอ้างอิงและข้อจำกัด</x:v>
      </x:c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66" t="str">
        <x:v>บรีฟทีม คัดกรองสถานประกอบการ 600 แห่ง-2 หน้า 4–7 และ 12</x:v>
      </x:c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66" t="str">
        <x:v>[10 เส้นทาง] Muslim Friendly Tourism หน้า PDF 1–32 (ตัวอย่างปรับได้)</x:v>
      </x:c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66" t="str">
        <x:v>Report_1.2_Definition_and_Criteria_FINAL_2026-10-20_v7 ตาราง 5-1 ถึง 5-5</x:v>
      </x:c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66" t="str">
        <x:v>จังหวัดเชื่อมเส้นทาง: ลำพูน ระยอง นครศรีธรรมราช และเขาใหญ่ นับเพิ่มจากรายชื่อจังหวัดในบรีฟ</x:v>
      </x:c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66" t="str">
        <x:v>GMHI นอกพื้นที่ 1 แห่งที่อุดรธานี เพื่อคงความครบของทะเบียนที่ตรวจ</x:v>
      </x:c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66" t="str">
        <x:v>จำนวนเว็บไซต์เป็นผลคัดชื่อสัมพันธ์ ไม่ยืนยันเปิดอยู่ สาขา หรือเจ้าของช่องทาง</x:v>
      </x:c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66" t="str">
        <x:v>คะแนน 16 ข้อและเงื่อนไขบังคับยังต้องมีหลักฐานก่อนยืนยันกลุ่ม</x:v>
      </x:c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66" t="str">
        <x:v>ข้อมูลออนไลน์ที่ไม่พบคงเป็นไม่ทราบ ติดต่อเฉพาะผู้ประกอบการตามขั้นตอนทีม</x:v>
      </x:c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50" hidden="0" customWidth="1"/>
    <x:col min="4" max="4" width="23" hidden="0" customWidth="1"/>
    <x:col min="5" max="5" width="22" hidden="0" customWidth="1"/>
    <x:col min="6" max="6" width="51" hidden="0" customWidth="1"/>
    <x:col min="7" max="7" width="21" hidden="0" customWidth="1"/>
    <x:col min="8" max="8" width="75" hidden="0" customWidth="1"/>
    <x:col min="9" max="9" width="42" hidden="0" customWidth="1"/>
    <x:col min="10" max="10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2"/>
      <x:c r="B2" s="3" t="str">
        <x:v>ตรวจจุดแวะจากเอกสาร 10 เส้นทาง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 t="str">
        <x:v>จุดในเอกสารเป็นตัวอย่าง ตรวจชื่อ ประเภท วันเดินทาง และสถานะเปิด ก่อนจัดโปรแกรมขาย</x:v>
      </x:c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6" customHeight="1">
      <x:c r="A8" s="50" t="str">
        <x:v>เส้นทาง</x:v>
      </x:c>
      <x:c r="B8" s="50" t="str">
        <x:v>วัน</x:v>
      </x:c>
      <x:c r="C8" s="50" t="str">
        <x:v>ชื่อในต้นฉบับ</x:v>
      </x:c>
      <x:c r="D8" s="50" t="str">
        <x:v>จังหวัด</x:v>
      </x:c>
      <x:c r="E8" s="50" t="str">
        <x:v>รหัสในชุด 600</x:v>
      </x:c>
      <x:c r="F8" s="50" t="str">
        <x:v>ชื่อในชุดหลัก</x:v>
      </x:c>
      <x:c r="G8" s="50" t="str">
        <x:v>ผลคัดกรอง</x:v>
      </x:c>
      <x:c r="H8" s="50" t="str">
        <x:v>ประเด็นตรวจทาน</x:v>
      </x:c>
      <x:c r="I8" s="50" t="str">
        <x:v>แหล่งข้อมูล 1</x:v>
      </x:c>
      <x:c r="J8" s="50" t="str">
        <x:v>แหล่งข้อมูล 2</x:v>
      </x:c>
    </x:row>
    <x:row r="9" ht="76" customHeight="1">
      <x:c r="A9" s="2" t="str">
        <x:v>01</x:v>
      </x:c>
      <x:c r="B9" s="2" t="str">
        <x:v>1</x:v>
      </x:c>
      <x:c r="C9" s="8" t="str">
        <x:v>กาดบ้านฮ่อ</x:v>
      </x:c>
      <x:c r="D9" s="8" t="str">
        <x:v>เชียงใหม่</x:v>
      </x:c>
      <x:c r="E9" s="8" t="str">
        <x:v>R26-001</x:v>
      </x:c>
      <x:c r="F9" s="8" t="str">
        <x:v>กาดบ้านฮ่อ</x:v>
      </x:c>
      <x:c r="G9" s="8" t="str">
        <x:v>มีในชุด 600</x:v>
      </x:c>
      <x:c r="H9" s="8" t="str">
        <x:v>อยู่ในต้นฉบับเส้นทาง</x:v>
      </x:c>
      <x:c r="I9" s="8" t="str">
        <x:v>https://www.youtube.com/watch?v=ZSPXhRo4Uoc</x:v>
      </x:c>
      <x:c r="J9" s="8" t="str">
        <x:v>https://krua.co/food_story/yunnan-flea-market-cnx</x:v>
      </x:c>
    </x:row>
    <x:row r="10" ht="76" customHeight="1">
      <x:c r="A10" s="2" t="str">
        <x:v>01</x:v>
      </x:c>
      <x:c r="B10" s="2" t="str">
        <x:v>1</x:v>
      </x:c>
      <x:c r="C10" s="8" t="str">
        <x:v>มัสยิดเฮดายาตุลอิสลาม บ้านฮ่อ</x:v>
      </x:c>
      <x:c r="D10" s="8" t="str">
        <x:v>เชียงใหม่</x:v>
      </x:c>
      <x:c r="E10" s="8" t="str">
        <x:v>R26-002</x:v>
      </x:c>
      <x:c r="F10" s="8" t="str">
        <x:v>มัสยิดเฮดายาตุลอิสลาม บ้านฮ่อ</x:v>
      </x:c>
      <x:c r="G10" s="8" t="str">
        <x:v>มีในชุด 600</x:v>
      </x:c>
      <x:c r="H10" s="8" t="str">
        <x:v>อยู่ในต้นฉบับเส้นทาง</x:v>
      </x:c>
      <x:c r="I10" s="8" t="str">
        <x:v>https://www.gotoknow.org/posts/217762</x:v>
      </x:c>
      <x:c r="J10" s="8" t="str">
        <x:v>https://www.youtube.com/watch?v=Xs1RyR4jtCk</x:v>
      </x:c>
    </x:row>
    <x:row r="11" ht="76" customHeight="1">
      <x:c r="A11" s="2" t="str">
        <x:v>01</x:v>
      </x:c>
      <x:c r="B11" s="2" t="str">
        <x:v>1</x:v>
      </x:c>
      <x:c r="C11" s="8" t="str">
        <x:v>ฮาบิ๊บ อาหารยูนนาน</x:v>
      </x:c>
      <x:c r="D11" s="8" t="str">
        <x:v>เชียงใหม่</x:v>
      </x:c>
      <x:c r="E11" s="8" t="str">
        <x:v>R26-003</x:v>
      </x:c>
      <x:c r="F11" s="8" t="str">
        <x:v>ฮาบิ๊บ อาหารยูนนาน</x:v>
      </x:c>
      <x:c r="G11" s="8" t="str">
        <x:v>มีในชุด 600</x:v>
      </x:c>
      <x:c r="H11" s="8" t="str">
        <x:v>อยู่ในต้นฉบับเส้นทาง</x:v>
      </x:c>
      <x:c r="I11" s="8" t="str">
        <x:v>https://www.wongnai.com/restaurants/465814oP-%E0%B8%AE%E0%B8%B2%E0%B8%9A%E0%B8%B5%E0%B9%8A%E0%B8%9A-%E0%B8%AD%E0%B8%B2%E0%B8%AB%E0%B8%B2%E0%B8%A3%E0%B8%A2%E0%B8%B9%E0%B8%99%E0%B8%99%E0%B8%B2%E0%B8%99-%E0%B9%80%E0%B8%8A%E0%B8%B5%E0%B8%A2%E0%B8%87%E0%B9%83%E0%B8%AB%E0%B8%A1%E0%B9%88</x:v>
      </x:c>
      <x:c r="J11" s="8" t="str">
        <x:v>https://www.bester-eats.com/area/PRO1/ARE1/SUB15/</x:v>
      </x:c>
    </x:row>
    <x:row r="12" ht="76" customHeight="1">
      <x:c r="A12" s="2" t="str">
        <x:v>01</x:v>
      </x:c>
      <x:c r="B12" s="2" t="str">
        <x:v>1</x:v>
      </x:c>
      <x:c r="C12" s="8" t="str">
        <x:v>มัสยิดช้างเผือก</x:v>
      </x:c>
      <x:c r="D12" s="8" t="str">
        <x:v>เชียงใหม่</x:v>
      </x:c>
      <x:c r="E12" s="8" t="str">
        <x:v>R26-004</x:v>
      </x:c>
      <x:c r="F12" s="8" t="str">
        <x:v>มัสยิดช้างเผือก</x:v>
      </x:c>
      <x:c r="G12" s="8" t="str">
        <x:v>มีในชุด 600</x:v>
      </x:c>
      <x:c r="H12" s="8" t="str">
        <x:v>อยู่ในต้นฉบับเส้นทาง</x:v>
      </x:c>
      <x:c r="I12" s="8" t="str">
        <x:v>https://chiangmai.prd.go.th/th/content/category/detail/id/9/iid/252247</x:v>
      </x:c>
      <x:c r="J12" s="8" t="str">
        <x:v>https://chaangpeuak.go.th/%E0%B8%AA%E0%B8%A0%E0%B8%B2%E0%B8%9E%E0%B8%97%E0%B8%B1%E0%B9%88%E0%B8%A7%E0%B9%84%E0%B8%9B/</x:v>
      </x:c>
    </x:row>
    <x:row r="13" ht="76" customHeight="1">
      <x:c r="A13" s="2" t="str">
        <x:v>01</x:v>
      </x:c>
      <x:c r="B13" s="2" t="str">
        <x:v>1</x:v>
      </x:c>
      <x:c r="C13" s="8" t="str">
        <x:v>ถนนคนเดินท่าแพ</x:v>
      </x:c>
      <x:c r="D13" s="8" t="str">
        <x:v>เชียงใหม่</x:v>
      </x:c>
      <x:c r="E13" s="8" t="str">
        <x:v>R26-005</x:v>
      </x:c>
      <x:c r="F13" s="8" t="str">
        <x:v>ถนนคนเดินท่าแพ</x:v>
      </x:c>
      <x:c r="G13" s="8" t="str">
        <x:v>มีในชุด 600</x:v>
      </x:c>
      <x:c r="H13" s="8" t="str">
        <x:v>อยู่ในต้นฉบับเส้นทาง</x:v>
      </x:c>
      <x:c r="I13" s="8" t="str">
        <x:v>https://www.cmcity.go.th/News/8198-%E0%B8%9B%E0%B8%A3%E0%B8%B0%E0%B8%A7%E0%B8%B1%E0%B8%95%E0%B8%B4.html</x:v>
      </x:c>
      <x:c r="J13" s="8" t="str">
        <x:v>https://icoh.anamai.moph.go.th/web-upload/migrated/files/icoh/n1174_05247296402e0581a03f727b2c9d5898_article_20200302120639.pdf</x:v>
      </x:c>
    </x:row>
    <x:row r="14" ht="76" customHeight="1">
      <x:c r="A14" s="2" t="str">
        <x:v>01</x:v>
      </x:c>
      <x:c r="B14" s="2" t="str">
        <x:v>2</x:v>
      </x:c>
      <x:c r="C14" s="8" t="str">
        <x:v>บ้านสวนทองมาอินทผลัม</x:v>
      </x:c>
      <x:c r="D14" s="8" t="str">
        <x:v>เชียงใหม่</x:v>
      </x:c>
      <x:c r="E14" s="8" t="str"/>
      <x:c r="F14" s="8" t="str"/>
      <x:c r="G14" s="8" t="str">
        <x:v>พักไว้/ไม่แยกนับ</x:v>
      </x:c>
      <x:c r="H14" s="8" t="str">
        <x:v>ชื่อสวนอินทผลัมยังหาตัวตนตรงกันไม่ได้</x:v>
      </x:c>
      <x:c r="I14" s="8" t="str"/>
      <x:c r="J14" s="8" t="str"/>
    </x:row>
    <x:row r="15" ht="76" customHeight="1">
      <x:c r="A15" s="2" t="str">
        <x:v>01</x:v>
      </x:c>
      <x:c r="B15" s="2" t="str">
        <x:v>2</x:v>
      </x:c>
      <x:c r="C15" s="8" t="str">
        <x:v>มัสยิดอันซอรี</x:v>
      </x:c>
      <x:c r="D15" s="8" t="str">
        <x:v>ลำพูน</x:v>
      </x:c>
      <x:c r="E15" s="8" t="str">
        <x:v>R26-007</x:v>
      </x:c>
      <x:c r="F15" s="8" t="str">
        <x:v>มัสยิดอันซอรี</x:v>
      </x:c>
      <x:c r="G15" s="8" t="str">
        <x:v>มีในชุด 600</x:v>
      </x:c>
      <x:c r="H15" s="8" t="str">
        <x:v>อยู่ในต้นฉบับเส้นทาง</x:v>
      </x:c>
      <x:c r="I15" s="8" t="str">
        <x:v>https://www.youtube.com/watch?v=iIUwIHMYRVg</x:v>
      </x:c>
      <x:c r="J15" s="8" t="str">
        <x:v>https://www.lovethailand.org/travel/th/4-%E0%B8%A5%E0%B8%B3%E0%B8%9E%E0%B8%B9%E0%B8%99/8364-%E0%B8%A1%E0%B8%B1%E0%B8%AA%E0%B8%A2%E0%B8%B4%E0%B8%94%E0%B8%AD%E0%B8%B1%E0%B8%A5%E0%B8%AD%E0%B8%B1%E0%B8%99%E0%B8%8B%E0%B8%AD%E0%B8%A3%E0%B8%B5.html</x:v>
      </x:c>
    </x:row>
    <x:row r="16" ht="76" customHeight="1">
      <x:c r="A16" s="2" t="str">
        <x:v>01</x:v>
      </x:c>
      <x:c r="B16" s="2" t="str">
        <x:v>2</x:v>
      </x:c>
      <x:c r="C16" s="8" t="str">
        <x:v>บ้านขันโตกฮาลาล</x:v>
      </x:c>
      <x:c r="D16" s="8" t="str">
        <x:v>เชียงใหม่</x:v>
      </x:c>
      <x:c r="E16" s="8" t="str">
        <x:v>R26-008</x:v>
      </x:c>
      <x:c r="F16" s="8" t="str">
        <x:v>บ้านขันโตกฮาลาล</x:v>
      </x:c>
      <x:c r="G16" s="8" t="str">
        <x:v>มีในชุด 600</x:v>
      </x:c>
      <x:c r="H16" s="8" t="str">
        <x:v>อยู่ในต้นฉบับเส้นทาง</x:v>
      </x:c>
      <x:c r="I16" s="8" t="str">
        <x:v>https://makanhalalguide.com/shop/detail/257</x:v>
      </x:c>
      <x:c r="J16" s="8" t="str">
        <x:v>https://www.youtube.com/watch?v=ArckI0-M7RA</x:v>
      </x:c>
    </x:row>
    <x:row r="17" ht="76" customHeight="1">
      <x:c r="A17" s="2" t="str">
        <x:v>01</x:v>
      </x:c>
      <x:c r="B17" s="2" t="str">
        <x:v>2</x:v>
      </x:c>
      <x:c r="C17" s="8" t="str">
        <x:v>เมืองเก่าลำพูน</x:v>
      </x:c>
      <x:c r="D17" s="8" t="str">
        <x:v>ลำพูน</x:v>
      </x:c>
      <x:c r="E17" s="8" t="str">
        <x:v>R26-009</x:v>
      </x:c>
      <x:c r="F17" s="8" t="str">
        <x:v>เมืองเก่าลำพูน</x:v>
      </x:c>
      <x:c r="G17" s="8" t="str">
        <x:v>มีในชุด 600</x:v>
      </x:c>
      <x:c r="H17" s="8" t="str">
        <x:v>อยู่ในต้นฉบับเส้นทาง</x:v>
      </x:c>
      <x:c r="I17" s="8" t="str">
        <x:v>https://nced.onep.go.th/knowledge/oldtown/scenario_oldtown.pdf</x:v>
      </x:c>
      <x:c r="J17" s="8" t="str">
        <x:v>https://lamphun.prd.go.th/th/content/category/detail/id/33/iid/552170</x:v>
      </x:c>
    </x:row>
    <x:row r="18" ht="76" customHeight="1">
      <x:c r="A18" s="2" t="str">
        <x:v>01</x:v>
      </x:c>
      <x:c r="B18" s="2" t="str">
        <x:v>2</x:v>
      </x:c>
      <x:c r="C18" s="8" t="str">
        <x:v>จริงใจมาร์เก็ต เชียงใหม่</x:v>
      </x:c>
      <x:c r="D18" s="8" t="str">
        <x:v>เชียงใหม่</x:v>
      </x:c>
      <x:c r="E18" s="8" t="str">
        <x:v>R26-010</x:v>
      </x:c>
      <x:c r="F18" s="8" t="str">
        <x:v>จริงใจมาร์เก็ต เชียงใหม่</x:v>
      </x:c>
      <x:c r="G18" s="8" t="str">
        <x:v>มีในชุด 600</x:v>
      </x:c>
      <x:c r="H18" s="8" t="str">
        <x:v>อยู่ในต้นฉบับเส้นทาง</x:v>
      </x:c>
      <x:c r="I18" s="8" t="str">
        <x:v>https://thai.tourismthailand.org/Articles/%E0%B8%88%E0%B8%A3%E0%B8%B4%E0%B8%87%E0%B9%83%E0%B8%88%E0%B8%A1%E0%B8%B2%E0%B8%A3%E0%B9%8C%E0%B9%80%E0%B8%81%E0%B9%87%E0%B8%95%E0%B9%80%E0%B8%8A%E0%B8%B5%E0%B8%A2%E0%B8%87%E0%B9%83%E0%B8%AB%E0%B8%A1%E0%B9%88</x:v>
      </x:c>
      <x:c r="J18" s="8" t="str">
        <x:v>https://www.wongnai.com/reviews/c772a07e39cc40fb817ae19d1e93d850</x:v>
      </x:c>
    </x:row>
    <x:row r="19" ht="76" customHeight="1">
      <x:c r="A19" s="2" t="str">
        <x:v>02</x:v>
      </x:c>
      <x:c r="B19" s="2" t="str">
        <x:v>1</x:v>
      </x:c>
      <x:c r="C19" s="8" t="str">
        <x:v>ดอยดินแดง เครื่องปั้นดินเผา</x:v>
      </x:c>
      <x:c r="D19" s="8" t="str">
        <x:v>เชียงราย</x:v>
      </x:c>
      <x:c r="E19" s="8" t="str">
        <x:v>R26-011</x:v>
      </x:c>
      <x:c r="F19" s="8" t="str">
        <x:v>ดอยดินแดง เครื่องปั้นดินเผา</x:v>
      </x:c>
      <x:c r="G19" s="8" t="str">
        <x:v>มีในชุด 600</x:v>
      </x:c>
      <x:c r="H19" s="8" t="str">
        <x:v>อยู่ในต้นฉบับเส้นทาง</x:v>
      </x:c>
      <x:c r="I19" s="8" t="str">
        <x:v>https://www.youtube.com/watch?v=F7fgbxwlxkY</x:v>
      </x:c>
      <x:c r="J19" s="8" t="str">
        <x:v>https://sites.google.com/view/doydindang/%E0%B8%95%E0%B8%94%E0%B8%95%E0%B8%AD</x:v>
      </x:c>
    </x:row>
    <x:row r="20" ht="76" customHeight="1">
      <x:c r="A20" s="2" t="str">
        <x:v>02</x:v>
      </x:c>
      <x:c r="B20" s="2" t="str">
        <x:v>1</x:v>
      </x:c>
      <x:c r="C20" s="8" t="str">
        <x:v>มัสยิดกลางเชียงราย ดารุลอามาน</x:v>
      </x:c>
      <x:c r="D20" s="8" t="str">
        <x:v>เชียงราย</x:v>
      </x:c>
      <x:c r="E20" s="8" t="str">
        <x:v>R26-012</x:v>
      </x:c>
      <x:c r="F20" s="8" t="str">
        <x:v>มัสยิดกลางเชียงราย ดารุลอามาน</x:v>
      </x:c>
      <x:c r="G20" s="8" t="str">
        <x:v>มีในชุด 600</x:v>
      </x:c>
      <x:c r="H20" s="8" t="str">
        <x:v>อยู่ในต้นฉบับเส้นทาง</x:v>
      </x:c>
      <x:c r="I20" s="8" t="str">
        <x:v>https://www.youtube.com/watch?v=ZBF-DU8o8qc</x:v>
      </x:c>
      <x:c r="J20" s="8" t="str">
        <x:v>https://muslimchiangmainews.blogspot.com/2019/11/blog-post_14.html</x:v>
      </x:c>
    </x:row>
    <x:row r="21" ht="76" customHeight="1">
      <x:c r="A21" s="2" t="str">
        <x:v>02</x:v>
      </x:c>
      <x:c r="B21" s="2" t="str">
        <x:v>1</x:v>
      </x:c>
      <x:c r="C21" s="8" t="str">
        <x:v>บุหงา ตานี cafe bistro</x:v>
      </x:c>
      <x:c r="D21" s="8" t="str">
        <x:v>เชียงราย</x:v>
      </x:c>
      <x:c r="E21" s="8" t="str">
        <x:v>R26-013</x:v>
      </x:c>
      <x:c r="F21" s="8" t="str">
        <x:v>บุหงา ตานี cafe bistro</x:v>
      </x:c>
      <x:c r="G21" s="8" t="str">
        <x:v>มีในชุด 600</x:v>
      </x:c>
      <x:c r="H21" s="8" t="str">
        <x:v>อยู่ในต้นฉบับเส้นทาง</x:v>
      </x:c>
      <x:c r="I21" s="8" t="str">
        <x:v>https://mapcarta.com/N8440021025</x:v>
      </x:c>
      <x:c r="J21" s="8" t="str">
        <x:v>https://www.lemon8-app.com/%40varisa.ck/7185227914152034817?region=th</x:v>
      </x:c>
    </x:row>
    <x:row r="22" ht="76" customHeight="1">
      <x:c r="A22" s="2" t="str">
        <x:v>02</x:v>
      </x:c>
      <x:c r="B22" s="2" t="str">
        <x:v>1</x:v>
      </x:c>
      <x:c r="C22" s="8" t="str">
        <x:v>วัดร่องขุ่น</x:v>
      </x:c>
      <x:c r="D22" s="8" t="str">
        <x:v>เชียงราย</x:v>
      </x:c>
      <x:c r="E22" s="8" t="str">
        <x:v>R26-014</x:v>
      </x:c>
      <x:c r="F22" s="8" t="str">
        <x:v>วัดร่องขุ่น</x:v>
      </x:c>
      <x:c r="G22" s="8" t="str">
        <x:v>มีในชุด 600</x:v>
      </x:c>
      <x:c r="H22" s="8" t="str">
        <x:v>อยู่ในต้นฉบับเส้นทาง</x:v>
      </x:c>
      <x:c r="I22" s="8" t="str">
        <x:v>https://chiangrai.mots.go.th/news/1507</x:v>
      </x:c>
      <x:c r="J22" s="8" t="str">
        <x:v>https://www.chiangraicity.go.th/travel/detail/109</x:v>
      </x:c>
    </x:row>
    <x:row r="23" ht="76" customHeight="1">
      <x:c r="A23" s="2" t="str">
        <x:v>02</x:v>
      </x:c>
      <x:c r="B23" s="2" t="str">
        <x:v>1</x:v>
      </x:c>
      <x:c r="C23" s="8" t="str">
        <x:v>สิงห์ปาร์ค เชียงราย</x:v>
      </x:c>
      <x:c r="D23" s="8" t="str">
        <x:v>เชียงราย</x:v>
      </x:c>
      <x:c r="E23" s="8" t="str">
        <x:v>TMF-418</x:v>
      </x:c>
      <x:c r="F23" s="8" t="str">
        <x:v>สิงห์ปาร์ค เชียงราย</x:v>
      </x:c>
      <x:c r="G23" s="8" t="str">
        <x:v>มีในชุด 600</x:v>
      </x:c>
      <x:c r="H23" s="8" t="str">
        <x:v>อยู่ในต้นฉบับเส้นทาง</x:v>
      </x:c>
      <x:c r="I23" s="8" t="str">
        <x:v>https://www.tourismthailand.org/Attraction/singha-park-chiangrai</x:v>
      </x:c>
      <x:c r="J23" s="8" t="str">
        <x:v>https://th.trip.com/travel-guide/attraction/chiang-rai/singha-park-chiang-rai-15056939?curr=JPY&amp;locale=th-TH&amp;rankingId=10070000551130</x:v>
      </x:c>
    </x:row>
    <x:row r="24" ht="76" customHeight="1">
      <x:c r="A24" s="2" t="str">
        <x:v>02</x:v>
      </x:c>
      <x:c r="B24" s="2" t="str">
        <x:v>1</x:v>
      </x:c>
      <x:c r="C24" s="8" t="str">
        <x:v>บ้านเนื้อฮาลาล เชียงราย</x:v>
      </x:c>
      <x:c r="D24" s="8" t="str">
        <x:v>เชียงราย</x:v>
      </x:c>
      <x:c r="E24" s="8" t="str">
        <x:v>R26-016</x:v>
      </x:c>
      <x:c r="F24" s="8" t="str">
        <x:v>บ้านเนื้อฮาลาล เชียงราย</x:v>
      </x:c>
      <x:c r="G24" s="8" t="str">
        <x:v>มีในชุด 600</x:v>
      </x:c>
      <x:c r="H24" s="8" t="str">
        <x:v>อยู่ในต้นฉบับเส้นทาง</x:v>
      </x:c>
      <x:c r="I24" s="8" t="str">
        <x:v>https://www.wongnai.com/reviews/22dc925868bb43e4a6a531cefee92fd8</x:v>
      </x:c>
      <x:c r="J24" s="8" t="str">
        <x:v>https://www.lemon8-app.com/%40armsapareview/7590601900031230471?region=th</x:v>
      </x:c>
    </x:row>
    <x:row r="25" ht="76" customHeight="1">
      <x:c r="A25" s="2" t="str">
        <x:v>02</x:v>
      </x:c>
      <x:c r="B25" s="2" t="str">
        <x:v>1</x:v>
      </x:c>
      <x:c r="C25" s="8" t="str">
        <x:v>Rasa Boutique Hotel Chiang Rai</x:v>
      </x:c>
      <x:c r="D25" s="8" t="str">
        <x:v>เชียงราย</x:v>
      </x:c>
      <x:c r="E25" s="8" t="str">
        <x:v>R26-017</x:v>
      </x:c>
      <x:c r="F25" s="8" t="str">
        <x:v>Rasa Boutique Hotel Chiang Rai</x:v>
      </x:c>
      <x:c r="G25" s="8" t="str">
        <x:v>มีในชุด 600</x:v>
      </x:c>
      <x:c r="H25" s="8" t="str">
        <x:v>อยู่ในต้นฉบับเส้นทาง</x:v>
      </x:c>
      <x:c r="I25" s="8" t="str">
        <x:v>https://rasahotel.com/</x:v>
      </x:c>
      <x:c r="J25" s="8" t="str">
        <x:v>https://www.booking.com/hotel/th/rasa-boutique-chiang-rai.html</x:v>
      </x:c>
    </x:row>
    <x:row r="26" ht="76" customHeight="1">
      <x:c r="A26" s="2" t="str">
        <x:v>02</x:v>
      </x:c>
      <x:c r="B26" s="2" t="str">
        <x:v>2</x:v>
      </x:c>
      <x:c r="C26" s="8" t="str">
        <x:v>ชุมชนสันติคีรี ดอยแม่สลอง</x:v>
      </x:c>
      <x:c r="D26" s="8" t="str">
        <x:v>เชียงราย</x:v>
      </x:c>
      <x:c r="E26" s="8" t="str">
        <x:v>R26-018</x:v>
      </x:c>
      <x:c r="F26" s="8" t="str">
        <x:v>ชุมชนสันติคีรี ดอยแม่สลอง</x:v>
      </x:c>
      <x:c r="G26" s="8" t="str">
        <x:v>มีในชุด 600</x:v>
      </x:c>
      <x:c r="H26" s="8" t="str">
        <x:v>อยู่ในต้นฉบับเส้นทาง</x:v>
      </x:c>
      <x:c r="I26" s="8" t="str">
        <x:v>https://web.codi.or.th/20190829-8169/</x:v>
      </x:c>
      <x:c r="J26" s="8" t="str">
        <x:v>https://wikicommunity.sac.or.th/community/2439</x:v>
      </x:c>
    </x:row>
    <x:row r="27" ht="76" customHeight="1">
      <x:c r="A27" s="2" t="str">
        <x:v>02</x:v>
      </x:c>
      <x:c r="B27" s="2" t="str">
        <x:v>2</x:v>
      </x:c>
      <x:c r="C27" s="8" t="str">
        <x:v>ไร่ชา 101 ดอยแม่สลอง</x:v>
      </x:c>
      <x:c r="D27" s="8" t="str">
        <x:v>เชียงราย</x:v>
      </x:c>
      <x:c r="E27" s="8" t="str">
        <x:v>R26-019</x:v>
      </x:c>
      <x:c r="F27" s="8" t="str">
        <x:v>ไร่ชา 101 ดอยแม่สลอง</x:v>
      </x:c>
      <x:c r="G27" s="8" t="str">
        <x:v>มีในชุด 600</x:v>
      </x:c>
      <x:c r="H27" s="8" t="str">
        <x:v>อยู่ในต้นฉบับเส้นทาง</x:v>
      </x:c>
      <x:c r="I27" s="8" t="str">
        <x:v>https://chiangrai.mots.go.th/news/1682</x:v>
      </x:c>
      <x:c r="J27" s="8" t="str">
        <x:v>https://www.koratcity.go.th/wp-content/uploads/2021/02/%E0%B8%9C%E0%B8%A5%E0%B8%81%E0%B8%B2%E0%B8%A3%E0%B8%9B%E0%B8%8F%E0%B8%B4%E0%B8%9A%E0%B8%B1%E0%B8%95%E0%B8%B4%E0%B8%87%E0%B8%B2%E0%B8%99%E0%B8%95%E0%B8%B2%E0%B8%A1%E0%B8%99%E0%B9%82%E0%B8%A2%E0%B8%9A%E0%B8%B2%E0%B8%A263.pdf</x:v>
      </x:c>
    </x:row>
    <x:row r="28" ht="76" customHeight="1">
      <x:c r="A28" s="2" t="str">
        <x:v>02</x:v>
      </x:c>
      <x:c r="B28" s="2" t="str">
        <x:v>2</x:v>
      </x:c>
      <x:c r="C28" s="8" t="str">
        <x:v>ไร่ชาวังพุดตาล</x:v>
      </x:c>
      <x:c r="D28" s="8" t="str">
        <x:v>เชียงราย</x:v>
      </x:c>
      <x:c r="E28" s="8" t="str">
        <x:v>R26-020</x:v>
      </x:c>
      <x:c r="F28" s="8" t="str">
        <x:v>ไร่ชาวังพุดตาล</x:v>
      </x:c>
      <x:c r="G28" s="8" t="str">
        <x:v>มีในชุด 600</x:v>
      </x:c>
      <x:c r="H28" s="8" t="str">
        <x:v>อยู่ในต้นฉบับเส้นทาง</x:v>
      </x:c>
      <x:c r="I28" s="8" t="str">
        <x:v>https://www.youtube.com/watch?v=A-EEYAxtTOk</x:v>
      </x:c>
      <x:c r="J28" s="8" t="str">
        <x:v>https://tfind-travel.com/place/wang-put-tan-tea-plantation-chiang-rai/</x:v>
      </x:c>
    </x:row>
    <x:row r="29" ht="76" customHeight="1">
      <x:c r="A29" s="2" t="str">
        <x:v>02</x:v>
      </x:c>
      <x:c r="B29" s="2" t="str">
        <x:v>2</x:v>
      </x:c>
      <x:c r="C29" s="8" t="str">
        <x:v>Saleema Muslim Food Yunnan แม่สลอง</x:v>
      </x:c>
      <x:c r="D29" s="8" t="str">
        <x:v>เชียงราย</x:v>
      </x:c>
      <x:c r="E29" s="8" t="str">
        <x:v>R26-021</x:v>
      </x:c>
      <x:c r="F29" s="8" t="str">
        <x:v>Saleema Muslim Food Yunnan แม่สลอง</x:v>
      </x:c>
      <x:c r="G29" s="8" t="str">
        <x:v>มีในชุด 600</x:v>
      </x:c>
      <x:c r="H29" s="8" t="str">
        <x:v>อยู่ในต้นฉบับเส้นทาง</x:v>
      </x:c>
      <x:c r="I29" s="8" t="str">
        <x:v>https://makanhalalguide.com/shop/detail/784</x:v>
      </x:c>
      <x:c r="J29" s="8" t="str">
        <x:v>https://www.thaithurkic.com/saleema-muslim-food-081-104-7373</x:v>
      </x:c>
    </x:row>
    <x:row r="30" ht="76" customHeight="1">
      <x:c r="A30" s="2" t="str">
        <x:v>02</x:v>
      </x:c>
      <x:c r="B30" s="2" t="str">
        <x:v>2</x:v>
      </x:c>
      <x:c r="C30" s="8" t="str">
        <x:v>จุดชมวิวดอยแม่สลอง</x:v>
      </x:c>
      <x:c r="D30" s="8" t="str">
        <x:v>เชียงราย</x:v>
      </x:c>
      <x:c r="E30" s="8" t="str"/>
      <x:c r="F30" s="8" t="str"/>
      <x:c r="G30" s="8" t="str">
        <x:v>พักไว้/ไม่แยกนับ</x:v>
      </x:c>
      <x:c r="H30" s="8" t="str">
        <x:v>จุดชมวิวไม่ระบุชื่อเฉพาะ รวมบริบทไว้กับดอยแม่สลอง</x:v>
      </x:c>
      <x:c r="I30" s="8" t="str"/>
      <x:c r="J30" s="8" t="str"/>
    </x:row>
    <x:row r="31" ht="76" customHeight="1">
      <x:c r="A31" s="2" t="str">
        <x:v>03</x:v>
      </x:c>
      <x:c r="B31" s="2" t="str">
        <x:v>1</x:v>
      </x:c>
      <x:c r="C31" s="8" t="str">
        <x:v>มัสยิดต้นสน</x:v>
      </x:c>
      <x:c r="D31" s="8" t="str">
        <x:v>กรุงเทพมหานคร</x:v>
      </x:c>
      <x:c r="E31" s="8" t="str">
        <x:v>TMF-295</x:v>
      </x:c>
      <x:c r="F31" s="8" t="str">
        <x:v>มัสยิดต้นสน</x:v>
      </x:c>
      <x:c r="G31" s="8" t="str">
        <x:v>มีในชุด 600</x:v>
      </x:c>
      <x:c r="H31" s="8" t="str">
        <x:v>อยู่ในต้นฉบับเส้นทาง</x:v>
      </x:c>
      <x:c r="I31" s="8" t="str">
        <x:v>https://www.thic.or.th/th/tourist/detail/mosques/43</x:v>
      </x:c>
      <x:c r="J31" s="8" t="str">
        <x:v>https://th.trip.com/travel-guide/attraction/bangkok/ton-son-mosque-97364728/</x:v>
      </x:c>
    </x:row>
    <x:row r="32" ht="76" customHeight="1">
      <x:c r="A32" s="2" t="str">
        <x:v>03</x:v>
      </x:c>
      <x:c r="B32" s="2" t="str">
        <x:v>1</x:v>
      </x:c>
      <x:c r="C32" s="8" t="str">
        <x:v>ชุมชนกุฎีขาว</x:v>
      </x:c>
      <x:c r="D32" s="8" t="str">
        <x:v>กรุงเทพมหานคร</x:v>
      </x:c>
      <x:c r="E32" s="8" t="str">
        <x:v>R26-024</x:v>
      </x:c>
      <x:c r="F32" s="8" t="str">
        <x:v>ชุมชนกุฎีขาว</x:v>
      </x:c>
      <x:c r="G32" s="8" t="str">
        <x:v>มีในชุด 600</x:v>
      </x:c>
      <x:c r="H32" s="8" t="str">
        <x:v>อยู่ในต้นฉบับเส้นทาง</x:v>
      </x:c>
      <x:c r="I32" s="8" t="str">
        <x:v>https://wikicommunity.sac.or.th/community/822</x:v>
      </x:c>
      <x:c r="J32" s="8" t="str">
        <x:v>https://www.niems.go.th/1/Upload/migrate/File/255612021324347624_VGyLj7jmr6cVVFLg.pdf</x:v>
      </x:c>
    </x:row>
    <x:row r="33" ht="76" customHeight="1">
      <x:c r="A33" s="2" t="str">
        <x:v>03</x:v>
      </x:c>
      <x:c r="B33" s="2" t="str">
        <x:v>1</x:v>
      </x:c>
      <x:c r="C33" s="8" t="str">
        <x:v>หอศิลปวัฒนธรรมแห่งกรุงเทพมหานคร</x:v>
      </x:c>
      <x:c r="D33" s="8" t="str">
        <x:v>กรุงเทพมหานคร</x:v>
      </x:c>
      <x:c r="E33" s="8" t="str">
        <x:v>R26-025</x:v>
      </x:c>
      <x:c r="F33" s="8" t="str">
        <x:v>หอศิลปวัฒนธรรมแห่งกรุงเทพมหานคร</x:v>
      </x:c>
      <x:c r="G33" s="8" t="str">
        <x:v>มีในชุด 600</x:v>
      </x:c>
      <x:c r="H33" s="8" t="str">
        <x:v>อยู่ในต้นฉบับเส้นทาง</x:v>
      </x:c>
      <x:c r="I33" s="8" t="str">
        <x:v>https://www.bacc.or.th/publication/61871</x:v>
      </x:c>
      <x:c r="J33" s="8" t="str">
        <x:v>https://publicspace.bangkok.go.th/Spaces/Info/C2D5D7EB-8309-4CD8-A709-144D8C1C3A70</x:v>
      </x:c>
    </x:row>
    <x:row r="34" ht="76" customHeight="1">
      <x:c r="A34" s="2" t="str">
        <x:v>03</x:v>
      </x:c>
      <x:c r="B34" s="2" t="str">
        <x:v>1</x:v>
      </x:c>
      <x:c r="C34" s="8" t="str">
        <x:v>ชุมชนบ้านครัว</x:v>
      </x:c>
      <x:c r="D34" s="8" t="str">
        <x:v>กรุงเทพมหานคร</x:v>
      </x:c>
      <x:c r="E34" s="8" t="str">
        <x:v>R26-026</x:v>
      </x:c>
      <x:c r="F34" s="8" t="str">
        <x:v>ชุมชนบ้านครัว</x:v>
      </x:c>
      <x:c r="G34" s="8" t="str">
        <x:v>มีในชุด 600</x:v>
      </x:c>
      <x:c r="H34" s="8" t="str">
        <x:v>อยู่ในต้นฉบับเส้นทาง</x:v>
      </x:c>
      <x:c r="I34" s="8" t="str">
        <x:v>https://wikicommunity.sac.or.th/community/466</x:v>
      </x:c>
      <x:c r="J34" s="8" t="str">
        <x:v>https://cbtthailand.dasta.or.th/webapp/relattraction/content/3422/</x:v>
      </x:c>
    </x:row>
    <x:row r="35" ht="76" customHeight="1">
      <x:c r="A35" s="2" t="str">
        <x:v>03</x:v>
      </x:c>
      <x:c r="B35" s="2" t="str">
        <x:v>1</x:v>
      </x:c>
      <x:c r="C35" s="8" t="str">
        <x:v>Beirut Restaurant สุขุมวิท 39</x:v>
      </x:c>
      <x:c r="D35" s="8" t="str">
        <x:v>กรุงเทพมหานคร</x:v>
      </x:c>
      <x:c r="E35" s="8" t="str">
        <x:v>R26-027</x:v>
      </x:c>
      <x:c r="F35" s="8" t="str">
        <x:v>Beirut Restaurant สุขุมวิท 39</x:v>
      </x:c>
      <x:c r="G35" s="8" t="str">
        <x:v>มีในชุด 600</x:v>
      </x:c>
      <x:c r="H35" s="8" t="str">
        <x:v>อยู่ในต้นฉบับเส้นทาง</x:v>
      </x:c>
      <x:c r="I35" s="8" t="str">
        <x:v>https://www.wongnai.com/reviews/5af2c6b5063f4427b165bad77ef47bc6</x:v>
      </x:c>
      <x:c r="J35" s="8" t="str">
        <x:v>https://www.beirut-restaurant.com/</x:v>
      </x:c>
    </x:row>
    <x:row r="36" ht="76" customHeight="1">
      <x:c r="A36" s="2" t="str">
        <x:v>03</x:v>
      </x:c>
      <x:c r="B36" s="2" t="str">
        <x:v>1</x:v>
      </x:c>
      <x:c r="C36" s="8" t="str">
        <x:v>Al Meroz Hotel Bangkok</x:v>
      </x:c>
      <x:c r="D36" s="8" t="str">
        <x:v>กรุงเทพมหานคร</x:v>
      </x:c>
      <x:c r="E36" s="8" t="str">
        <x:v>TMF-044</x:v>
      </x:c>
      <x:c r="F36" s="8" t="str">
        <x:v>โรงแรมอัล มีรอซ กรุงเทพ</x:v>
      </x:c>
      <x:c r="G36" s="8" t="str">
        <x:v>มีในชุด 600</x:v>
      </x:c>
      <x:c r="H36" s="8" t="str">
        <x:v>อยู่ในต้นฉบับเส้นทาง / อยู่รามคำแหง ไม่ใช่สุขุมวิท</x:v>
      </x:c>
      <x:c r="I36" s="8" t="str">
        <x:v>https://www.thic.or.th/th/tourist/detail/accommodation/538</x:v>
      </x:c>
      <x:c r="J36" s="8" t="str">
        <x:v>https://www.almerozhotel.com/th/hotel/about-us</x:v>
      </x:c>
    </x:row>
    <x:row r="37" ht="76" customHeight="1">
      <x:c r="A37" s="2" t="str">
        <x:v>03</x:v>
      </x:c>
      <x:c r="B37" s="2" t="str">
        <x:v>2</x:v>
      </x:c>
      <x:c r="C37" s="8" t="str">
        <x:v>Prem Yoga Ayurveda Center</x:v>
      </x:c>
      <x:c r="D37" s="8" t="str">
        <x:v>กรุงเทพมหานคร</x:v>
      </x:c>
      <x:c r="E37" s="8" t="str">
        <x:v>R26-029</x:v>
      </x:c>
      <x:c r="F37" s="8" t="str">
        <x:v>Prem Yoga Ayurveda Center</x:v>
      </x:c>
      <x:c r="G37" s="8" t="str">
        <x:v>มีในชุด 600</x:v>
      </x:c>
      <x:c r="H37" s="8" t="str">
        <x:v>อยู่ในต้นฉบับเส้นทาง</x:v>
      </x:c>
      <x:c r="I37" s="8" t="str">
        <x:v>https://www.reddit.com/r/u_elvawoodj/comments/faayru</x:v>
      </x:c>
      <x:c r="J37" s="8" t="str">
        <x:v>https://premyogaayurveda.com/</x:v>
      </x:c>
    </x:row>
    <x:row r="38" ht="76" customHeight="1">
      <x:c r="A38" s="2" t="str">
        <x:v>03</x:v>
      </x:c>
      <x:c r="B38" s="2" t="str">
        <x:v>2</x:v>
      </x:c>
      <x:c r="C38" s="8" t="str">
        <x:v>มัสยิดฮารูณ</x:v>
      </x:c>
      <x:c r="D38" s="8" t="str">
        <x:v>กรุงเทพมหานคร</x:v>
      </x:c>
      <x:c r="E38" s="8" t="str">
        <x:v>TMF-323</x:v>
      </x:c>
      <x:c r="F38" s="8" t="str">
        <x:v>มัสยิดฮารูณ (เจริญกรุง)</x:v>
      </x:c>
      <x:c r="G38" s="8" t="str">
        <x:v>มีในชุด 600</x:v>
      </x:c>
      <x:c r="H38" s="8" t="str">
        <x:v>อยู่ในต้นฉบับเส้นทาง</x:v>
      </x:c>
      <x:c r="I38" s="8" t="str">
        <x:v>https://www.thic.or.th/th/tourist/detail/mosques/465</x:v>
      </x:c>
      <x:c r="J38" s="8" t="str">
        <x:v>https://masjid.islamicbangkok.or.th/masjid/id/10129</x:v>
      </x:c>
    </x:row>
    <x:row r="39" ht="76" customHeight="1">
      <x:c r="A39" s="2" t="str">
        <x:v>03</x:v>
      </x:c>
      <x:c r="B39" s="2" t="str">
        <x:v>2</x:v>
      </x:c>
      <x:c r="C39" s="8" t="str">
        <x:v>สวนลอยฟ้าเจ้าพระยา</x:v>
      </x:c>
      <x:c r="D39" s="8" t="str">
        <x:v>กรุงเทพมหานคร</x:v>
      </x:c>
      <x:c r="E39" s="8" t="str">
        <x:v>TMF-506</x:v>
      </x:c>
      <x:c r="F39" s="8" t="str">
        <x:v>สวนลอยฟ้าเจ้าพระยา</x:v>
      </x:c>
      <x:c r="G39" s="8" t="str">
        <x:v>มีในชุด 600</x:v>
      </x:c>
      <x:c r="H39" s="8" t="str">
        <x:v>อยู่ในต้นฉบับเส้นทาง</x:v>
      </x:c>
      <x:c r="I39" s="8" t="str">
        <x:v>https://www.thic.or.th/th/tourist/detail/tourist/365</x:v>
      </x:c>
      <x:c r="J39" s="8" t="str">
        <x:v>https://www.wongnai.com/attractions/588174Pz-%E0%B8%AA%E0%B8%A7%E0%B8%99%E0%B8%A5%E0%B8%AD%E0%B8%A2%E0%B8%9F%E0%B9%89%E0%B8%B2%E0%B9%80%E0%B8%88%E0%B9%89%E0%B8%B2%E0%B8%9E%E0%B8%A3%E0%B8%B0%E0%B8%A2%E0%B8%B2</x:v>
      </x:c>
    </x:row>
    <x:row r="40" ht="76" customHeight="1">
      <x:c r="A40" s="2" t="str">
        <x:v>03</x:v>
      </x:c>
      <x:c r="B40" s="2" t="str">
        <x:v>2</x:v>
      </x:c>
      <x:c r="C40" s="8" t="str">
        <x:v>Riverside Faraya Halal Dinner Cruise</x:v>
      </x:c>
      <x:c r="D40" s="8" t="str">
        <x:v>กรุงเทพมหานคร</x:v>
      </x:c>
      <x:c r="E40" s="8" t="str">
        <x:v>GMHI-38</x:v>
      </x:c>
      <x:c r="F40" s="8" t="str">
        <x:v>FARAYA Cruise Restaurant</x:v>
      </x:c>
      <x:c r="G40" s="8" t="str">
        <x:v>มีในชุด 600</x:v>
      </x:c>
      <x:c r="H40" s="8" t="str">
        <x:v>อยู่ในต้นฉบับเส้นทาง</x:v>
      </x:c>
      <x:c r="I40" s="8" t="str">
        <x:v>https://gmhi.co/th-th/services/FARAYA%20Cruise%20Restaurant-38</x:v>
      </x:c>
      <x:c r="J40" s="8" t="str">
        <x:v>https://www.riversidebangkok.com/cruises/</x:v>
      </x:c>
    </x:row>
    <x:row r="41" ht="76" customHeight="1">
      <x:c r="A41" s="2" t="str">
        <x:v>04</x:v>
      </x:c>
      <x:c r="B41" s="2" t="str">
        <x:v>1</x:v>
      </x:c>
      <x:c r="C41" s="8" t="str">
        <x:v>ชุมชนมุสลิมคลองตะเคียน</x:v>
      </x:c>
      <x:c r="D41" s="8" t="str">
        <x:v>พระนครศรีอยุธยา</x:v>
      </x:c>
      <x:c r="E41" s="8" t="str">
        <x:v>R26-033</x:v>
      </x:c>
      <x:c r="F41" s="8" t="str">
        <x:v>ชุมชนมุสลิมคลองตะเคียน</x:v>
      </x:c>
      <x:c r="G41" s="8" t="str">
        <x:v>มีในชุด 600</x:v>
      </x:c>
      <x:c r="H41" s="8" t="str">
        <x:v>อยู่ในต้นฉบับเส้นทาง</x:v>
      </x:c>
      <x:c r="I41" s="8" t="str">
        <x:v>https://www.youtube.com/watch?v=DiJNgn5-hiA</x:v>
      </x:c>
      <x:c r="J41" s="8" t="str">
        <x:v>https://so02.tci-thaijo.org/index.php/jas/article/view/247119</x:v>
      </x:c>
    </x:row>
    <x:row r="42" ht="76" customHeight="1">
      <x:c r="A42" s="2" t="str">
        <x:v>04</x:v>
      </x:c>
      <x:c r="B42" s="2" t="str">
        <x:v>1</x:v>
      </x:c>
      <x:c r="C42" s="8" t="str">
        <x:v>มัสยิดยามิอุ้ลอิสลาม</x:v>
      </x:c>
      <x:c r="D42" s="8" t="str">
        <x:v>พระนครศรีอยุธยา</x:v>
      </x:c>
      <x:c r="E42" s="8" t="str">
        <x:v>R26-034</x:v>
      </x:c>
      <x:c r="F42" s="8" t="str">
        <x:v>มัสยิดยามิอุ้ลอิสลาม</x:v>
      </x:c>
      <x:c r="G42" s="8" t="str">
        <x:v>มีในชุด 600</x:v>
      </x:c>
      <x:c r="H42" s="8" t="str">
        <x:v>อยู่ในต้นฉบับเส้นทาง</x:v>
      </x:c>
      <x:c r="I42" s="8" t="str">
        <x:v>https://masjid.islamicbangkok.or.th/masjid/id/87686</x:v>
      </x:c>
      <x:c r="J42" s="8" t="str">
        <x:v>https://www.cicot.or.th/th/mosque/detail/2325/2/%E0%B8%A1%E0%B8%B1%E0%B8%AA%E0%B8%A2%E0%B8%B4%E0%B8%94%E0%B8%A2%E0%B8%B2%E0%B8%A1%E0%B8%B5%E0%B8%AD%E0%B8%B8%E0%B9%89%E0%B8%A5%E0%B8%AD%E0%B8%B4%E0%B8%AA%E0%B8%A5%E0%B8%B2%E0%B8%A1</x:v>
      </x:c>
    </x:row>
    <x:row r="43" ht="76" customHeight="1">
      <x:c r="A43" s="2" t="str">
        <x:v>04</x:v>
      </x:c>
      <x:c r="B43" s="2" t="str">
        <x:v>1</x:v>
      </x:c>
      <x:c r="C43" s="8" t="str">
        <x:v>อุทยานประวัติศาสตร์พระนครศรีอยุธยา</x:v>
      </x:c>
      <x:c r="D43" s="8" t="str">
        <x:v>พระนครศรีอยุธยา</x:v>
      </x:c>
      <x:c r="E43" s="8" t="str">
        <x:v>R26-035</x:v>
      </x:c>
      <x:c r="F43" s="8" t="str">
        <x:v>อุทยานประวัติศาสตร์พระนครศรีอยุธยา</x:v>
      </x:c>
      <x:c r="G43" s="8" t="str">
        <x:v>มีในชุด 600</x:v>
      </x:c>
      <x:c r="H43" s="8" t="str">
        <x:v>อยู่ในต้นฉบับเส้นทาง</x:v>
      </x:c>
      <x:c r="I43" s="8" t="str">
        <x:v>https://www.thailandtourismdirectory.go.th/th/attraction/1461</x:v>
      </x:c>
      <x:c r="J43" s="8" t="str">
        <x:v>https://tfo.dot.go.th/th/locations/the-ayutthaya-historical-park/</x:v>
      </x:c>
    </x:row>
    <x:row r="44" ht="76" customHeight="1">
      <x:c r="A44" s="2" t="str">
        <x:v>04</x:v>
      </x:c>
      <x:c r="B44" s="2" t="str">
        <x:v>1</x:v>
      </x:c>
      <x:c r="C44" s="8" t="str">
        <x:v>ก๋วยเตี๋ยวผักหวานอยุธยา</x:v>
      </x:c>
      <x:c r="D44" s="8" t="str">
        <x:v>พระนครศรีอยุธยา</x:v>
      </x:c>
      <x:c r="E44" s="8" t="str">
        <x:v>TMF-005</x:v>
      </x:c>
      <x:c r="F44" s="8" t="str">
        <x:v>ก๋วยเตี๋ยวผักหวาน อยุธยา</x:v>
      </x:c>
      <x:c r="G44" s="8" t="str">
        <x:v>มีในชุด 600</x:v>
      </x:c>
      <x:c r="H44" s="8" t="str">
        <x:v>อยู่ในต้นฉบับเส้นทาง</x:v>
      </x:c>
      <x:c r="I44" s="8" t="str">
        <x:v>https://makanhalalguide.com/shop/detail/1286</x:v>
      </x:c>
      <x:c r="J44" s="8" t="str">
        <x:v>https://www.wongnai.com/restaurants/8993sS-%E0%B8%81%E0%B9%8B%E0%B8%A7%E0%B8%A2%E0%B9%80%E0%B8%95%E0%B8%B5%E0%B9%8B%E0%B8%A2%E0%B8%A7%E0%B8%9C%E0%B8%B1%E0%B8%81%E0%B8%AB%E0%B8%A7%E0%B8%B2%E0%B8%99%E0%B8%AD%E0%B8%A2%E0%B8%B8%E0%B8%98%E0%B8%A2%E0%B8%B2/reviews</x:v>
      </x:c>
    </x:row>
    <x:row r="45" ht="76" customHeight="1">
      <x:c r="A45" s="2" t="str">
        <x:v>04</x:v>
      </x:c>
      <x:c r="B45" s="2" t="str">
        <x:v>1</x:v>
      </x:c>
      <x:c r="C45" s="8" t="str">
        <x:v>The Wonder Blue Classic Boathouse Ayutthaya</x:v>
      </x:c>
      <x:c r="D45" s="8" t="str">
        <x:v>พระนครศรีอยุธยา</x:v>
      </x:c>
      <x:c r="E45" s="8" t="str">
        <x:v>R26-037</x:v>
      </x:c>
      <x:c r="F45" s="8" t="str">
        <x:v>The Wonder Blue Classic Boathouse Ayutthaya</x:v>
      </x:c>
      <x:c r="G45" s="8" t="str">
        <x:v>มีในชุด 600</x:v>
      </x:c>
      <x:c r="H45" s="8" t="str">
        <x:v>อยู่ในต้นฉบับเส้นทาง</x:v>
      </x:c>
      <x:c r="I45" s="8" t="str">
        <x:v>https://www.trueproperties.co.th/5-7-popup/</x:v>
      </x:c>
      <x:c r="J45" s="8" t="str">
        <x:v>https://www.wearecp.com/trueleasing-2025-02-25/</x:v>
      </x:c>
    </x:row>
    <x:row r="46" ht="76" customHeight="1">
      <x:c r="A46" s="2" t="str">
        <x:v>04</x:v>
      </x:c>
      <x:c r="B46" s="2" t="str">
        <x:v>1</x:v>
      </x:c>
      <x:c r="C46" s="8" t="str">
        <x:v>Khun Anan Riverfront Ayutthaya</x:v>
      </x:c>
      <x:c r="D46" s="8" t="str">
        <x:v>พระนครศรีอยุธยา</x:v>
      </x:c>
      <x:c r="E46" s="8" t="str">
        <x:v>R26-038</x:v>
      </x:c>
      <x:c r="F46" s="8" t="str">
        <x:v>Khun Anan Riverfront Ayutthaya</x:v>
      </x:c>
      <x:c r="G46" s="8" t="str">
        <x:v>มีในชุด 600</x:v>
      </x:c>
      <x:c r="H46" s="8" t="str">
        <x:v>อยู่ในต้นฉบับเส้นทาง / ร้านอาหาร ไม่ใช่ที่พัก</x:v>
      </x:c>
      <x:c r="I46" s="8" t="str">
        <x:v>https://wanderlog.com/place/details/8431891/khun-anan-riverfront-halal</x:v>
      </x:c>
      <x:c r="J46" s="8" t="str">
        <x:v>https://es.restaurantguru.com/%E0%B8%81%E0%B9%8B%E0%B8%A7%E0%B8%A2%E0%B9%80%E0%B8%95%E0%B8%B5%E0%B9%8B%E0%B8%A2%E0%B8%A7%E0%B8%A7%E0%B8%B1%E0%B8%99%E0%B8%AD%E0%B8%B2%E0%B8%97%E0%B8%B4%E0%B8%95%E0%B8%A2%E0%B9%8C-Ban-Krot</x:v>
      </x:c>
    </x:row>
    <x:row r="47" ht="76" customHeight="1">
      <x:c r="A47" s="2" t="str">
        <x:v>04</x:v>
      </x:c>
      <x:c r="B47" s="2" t="str">
        <x:v>2</x:v>
      </x:c>
      <x:c r="C47" s="8" t="str">
        <x:v>อนุสรณ์สถานท่านเฉกอะหมัด</x:v>
      </x:c>
      <x:c r="D47" s="8" t="str">
        <x:v>พระนครศรีอยุธยา</x:v>
      </x:c>
      <x:c r="E47" s="8" t="str">
        <x:v>R26-039</x:v>
      </x:c>
      <x:c r="F47" s="8" t="str">
        <x:v>อนุสรณ์สถานท่านเฉกอะหมัด</x:v>
      </x:c>
      <x:c r="G47" s="8" t="str">
        <x:v>มีในชุด 600</x:v>
      </x:c>
      <x:c r="H47" s="8" t="str">
        <x:v>อยู่ในต้นฉบับเส้นทาง</x:v>
      </x:c>
      <x:c r="I47" s="8" t="str">
        <x:v>https://ayutthaya.prd.go.th/th/content/category/detail/id/9/iid/342110</x:v>
      </x:c>
      <x:c r="J47" s="8" t="str">
        <x:v>https://masjid.islamicbangkok.or.th/masjid/news/4638118267</x:v>
      </x:c>
    </x:row>
    <x:row r="48" ht="76" customHeight="1">
      <x:c r="A48" s="2" t="str">
        <x:v>04</x:v>
      </x:c>
      <x:c r="B48" s="2" t="str">
        <x:v>2</x:v>
      </x:c>
      <x:c r="C48" s="8" t="str">
        <x:v>ชุมชนสำเภาล่ม</x:v>
      </x:c>
      <x:c r="D48" s="8" t="str">
        <x:v>พระนครศรีอยุธยา</x:v>
      </x:c>
      <x:c r="E48" s="8" t="str">
        <x:v>R26-040</x:v>
      </x:c>
      <x:c r="F48" s="8" t="str">
        <x:v>ชุมชนสำเภาล่ม</x:v>
      </x:c>
      <x:c r="G48" s="8" t="str">
        <x:v>มีในชุด 600</x:v>
      </x:c>
      <x:c r="H48" s="8" t="str">
        <x:v>อยู่ในต้นฉบับเส้นทาง</x:v>
      </x:c>
      <x:c r="I48" s="8" t="str">
        <x:v>https://www.samphaolom.go.th/</x:v>
      </x:c>
      <x:c r="J48" s="8" t="str">
        <x:v>https://www.pakkran.go.th/17391386/%E0%B8%A7%E0%B8%B1%E0%B8%94%E0%B8%AA%E0%B8%B3%E0%B9%80%E0%B8%A0%E0%B8%B2%E0%B8%A5%E0%B9%88%E0%B8%A1-%E0%B8%97%E0%B8%B3%E0%B9%83%E0%B8%AB%E0%B8%A1%E0%B9%88</x:v>
      </x:c>
    </x:row>
    <x:row r="49" ht="76" customHeight="1">
      <x:c r="A49" s="2" t="str">
        <x:v>04</x:v>
      </x:c>
      <x:c r="B49" s="2" t="str">
        <x:v>2</x:v>
      </x:c>
      <x:c r="C49" s="8" t="str">
        <x:v>หมู่บ้านญี่ปุ่น อยุธยา</x:v>
      </x:c>
      <x:c r="D49" s="8" t="str">
        <x:v>พระนครศรีอยุธยา</x:v>
      </x:c>
      <x:c r="E49" s="8" t="str">
        <x:v>R26-041</x:v>
      </x:c>
      <x:c r="F49" s="8" t="str">
        <x:v>หมู่บ้านญี่ปุ่น อยุธยา</x:v>
      </x:c>
      <x:c r="G49" s="8" t="str">
        <x:v>มีในชุด 600</x:v>
      </x:c>
      <x:c r="H49" s="8" t="str">
        <x:v>อยู่ในต้นฉบับเส้นทาง</x:v>
      </x:c>
      <x:c r="I49" s="8" t="str">
        <x:v>https://www.thailandtourismdirectory.go.th/th/attraction/1463</x:v>
      </x:c>
      <x:c r="J49" s="8" t="str">
        <x:v>https://japanesevillage.org/</x:v>
      </x:c>
    </x:row>
    <x:row r="50" ht="76" customHeight="1">
      <x:c r="A50" s="2" t="str">
        <x:v>04</x:v>
      </x:c>
      <x:c r="B50" s="2" t="str">
        <x:v>2</x:v>
      </x:c>
      <x:c r="C50" s="8" t="str">
        <x:v>บ้านฮอลันดา</x:v>
      </x:c>
      <x:c r="D50" s="8" t="str">
        <x:v>พระนครศรีอยุธยา</x:v>
      </x:c>
      <x:c r="E50" s="8" t="str">
        <x:v>R26-042</x:v>
      </x:c>
      <x:c r="F50" s="8" t="str">
        <x:v>บ้านฮอลันดา</x:v>
      </x:c>
      <x:c r="G50" s="8" t="str">
        <x:v>มีในชุด 600</x:v>
      </x:c>
      <x:c r="H50" s="8" t="str">
        <x:v>อยู่ในต้นฉบับเส้นทาง</x:v>
      </x:c>
      <x:c r="I50" s="8" t="str">
        <x:v>https://www.thailandtourismdirectory.go.th/attraction/547</x:v>
      </x:c>
      <x:c r="J50" s="8" t="str">
        <x:v>https://go.ayutthaya.go.th/%E0%B9%81%E0%B8%99%E0%B8%B0%E0%B8%99%E0%B8%B3%E0%B8%97%E0%B8%B5%E0%B9%88%E0%B9%80%E0%B8%97%E0%B8%B5%E0%B9%88%E0%B8%A2%E0%B8%A7/%E0%B8%AD%E0%B8%B7%E0%B9%88%E0%B8%99%E0%B9%86/%E0%B9%81%E0%B8%AD%E0%B8%94%E0%B8%A1%E0%B8%B4%E0%B8%99%E0%B8%9E%E0%B8%B2%E0%B9%80%E0%B8%97%E0%B8%B5%E0%B9%88%E0%B8%A2%E0%B8%A7-%E0%B8%9E%E0%B8%B2%E0%B8%A3%E0%B8%B5%E0%B8%A7%E0%B8%B4%E0%B8%A7-%E0%B8%9A/</x:v>
      </x:c>
    </x:row>
    <x:row r="51" ht="76" customHeight="1">
      <x:c r="A51" s="2" t="str">
        <x:v>04</x:v>
      </x:c>
      <x:c r="B51" s="2" t="str">
        <x:v>2</x:v>
      </x:c>
      <x:c r="C51" s="8" t="str">
        <x:v>หมู่บ้านโปรตุเกส อยุธยา</x:v>
      </x:c>
      <x:c r="D51" s="8" t="str">
        <x:v>พระนครศรีอยุธยา</x:v>
      </x:c>
      <x:c r="E51" s="8" t="str">
        <x:v>R26-043</x:v>
      </x:c>
      <x:c r="F51" s="8" t="str">
        <x:v>หมู่บ้านโปรตุเกส อยุธยา</x:v>
      </x:c>
      <x:c r="G51" s="8" t="str">
        <x:v>มีในชุด 600</x:v>
      </x:c>
      <x:c r="H51" s="8" t="str">
        <x:v>อยู่ในต้นฉบับเส้นทาง</x:v>
      </x:c>
      <x:c r="I51" s="8" t="str">
        <x:v>https://www.thai-tour.com/place/1527</x:v>
      </x:c>
      <x:c r="J51" s="8" t="str">
        <x:v>https://www.tatmediaassets.com/file/1357670</x:v>
      </x:c>
    </x:row>
    <x:row r="52" ht="76" customHeight="1">
      <x:c r="A52" s="2" t="str">
        <x:v>04</x:v>
      </x:c>
      <x:c r="B52" s="2" t="str">
        <x:v>2</x:v>
      </x:c>
      <x:c r="C52" s="8" t="str">
        <x:v>ฮาลาลบ้านไม้ อยุธยา</x:v>
      </x:c>
      <x:c r="D52" s="8" t="str">
        <x:v>พระนครศรีอยุธยา</x:v>
      </x:c>
      <x:c r="E52" s="8" t="str">
        <x:v>TMF-013</x:v>
      </x:c>
      <x:c r="F52" s="8" t="str">
        <x:v>ฮาลาล บ้านไม้</x:v>
      </x:c>
      <x:c r="G52" s="8" t="str">
        <x:v>มีในชุด 600</x:v>
      </x:c>
      <x:c r="H52" s="8" t="str">
        <x:v>อยู่ในต้นฉบับเส้นทาง</x:v>
      </x:c>
      <x:c r="I52" s="8" t="str">
        <x:v>https://makanhalalguide.com/shop/detail/4875</x:v>
      </x:c>
      <x:c r="J52" s="8" t="str">
        <x:v>https://halaman-kuning.cybo.com/TH/phra-nakhon-si-ayutthaya/restoran-halal</x:v>
      </x:c>
    </x:row>
    <x:row r="53" ht="76" customHeight="1">
      <x:c r="A53" s="2" t="str">
        <x:v>04</x:v>
      </x:c>
      <x:c r="B53" s="2" t="str">
        <x:v>2</x:v>
      </x:c>
      <x:c r="C53" s="8" t="str">
        <x:v>ศูนย์ศิลปาชีพบางไทร</x:v>
      </x:c>
      <x:c r="D53" s="8" t="str">
        <x:v>พระนครศรีอยุธยา</x:v>
      </x:c>
      <x:c r="E53" s="8" t="str">
        <x:v>R26-045</x:v>
      </x:c>
      <x:c r="F53" s="8" t="str">
        <x:v>ศูนย์ศิลปาชีพบางไทร</x:v>
      </x:c>
      <x:c r="G53" s="8" t="str">
        <x:v>มีในชุด 600</x:v>
      </x:c>
      <x:c r="H53" s="8" t="str">
        <x:v>อยู่ในต้นฉบับเส้นทาง</x:v>
      </x:c>
      <x:c r="I53" s="8" t="str">
        <x:v>https://ayutthayacity.go.th/travel_activity/detail/6</x:v>
      </x:c>
      <x:c r="J53" s="8" t="str">
        <x:v>https://cbtthailand.dasta.or.th/webapp/relattraction/content/1355/</x:v>
      </x:c>
    </x:row>
    <x:row r="54" ht="76" customHeight="1">
      <x:c r="A54" s="2" t="str">
        <x:v>05</x:v>
      </x:c>
      <x:c r="B54" s="2" t="str">
        <x:v>1</x:v>
      </x:c>
      <x:c r="C54" s="8" t="str">
        <x:v>สะพานข้ามแม่น้ำแคว</x:v>
      </x:c>
      <x:c r="D54" s="8" t="str">
        <x:v>กาญจนบุรี</x:v>
      </x:c>
      <x:c r="E54" s="8" t="str">
        <x:v>R26-046</x:v>
      </x:c>
      <x:c r="F54" s="8" t="str">
        <x:v>สะพานข้ามแม่น้ำแคว</x:v>
      </x:c>
      <x:c r="G54" s="8" t="str">
        <x:v>มีในชุด 600</x:v>
      </x:c>
      <x:c r="H54" s="8" t="str">
        <x:v>อยู่ในต้นฉบับเส้นทาง</x:v>
      </x:c>
      <x:c r="I54" s="8" t="str">
        <x:v>https://kanchanaburi.mots.go.th/news/410</x:v>
      </x:c>
      <x:c r="J54" s="8" t="str">
        <x:v>https://ww2.kanchanaburi.go.th/travel_top/detail/8</x:v>
      </x:c>
    </x:row>
    <x:row r="55" ht="76" customHeight="1">
      <x:c r="A55" s="2" t="str">
        <x:v>05</x:v>
      </x:c>
      <x:c r="B55" s="2" t="str">
        <x:v>1</x:v>
      </x:c>
      <x:c r="C55" s="8" t="str">
        <x:v>ครัวซุเบรฟาร์ม อาหารอิสลาม</x:v>
      </x:c>
      <x:c r="D55" s="8" t="str">
        <x:v>กาญจนบุรี</x:v>
      </x:c>
      <x:c r="E55" s="8" t="str">
        <x:v>R26-047</x:v>
      </x:c>
      <x:c r="F55" s="8" t="str">
        <x:v>ครัวซุเบรฟาร์ม อาหารอิสลาม</x:v>
      </x:c>
      <x:c r="G55" s="8" t="str">
        <x:v>มีในชุด 600</x:v>
      </x:c>
      <x:c r="H55" s="8" t="str">
        <x:v>อยู่ในต้นฉบับเส้นทาง</x:v>
      </x:c>
      <x:c r="I55" s="8" t="str">
        <x:v>https://www.ryoiireview.com/restaurant/view/14916</x:v>
      </x:c>
      <x:c r="J55" s="8" t="str">
        <x:v>https://www.wongnai.com/delivery/businesses/1054260Dd/order</x:v>
      </x:c>
    </x:row>
    <x:row r="56" ht="76" customHeight="1">
      <x:c r="A56" s="2" t="str">
        <x:v>05</x:v>
      </x:c>
      <x:c r="B56" s="2" t="str">
        <x:v>1</x:v>
      </x:c>
      <x:c r="C56" s="8" t="str">
        <x:v>น้ำตกเอราวัณ</x:v>
      </x:c>
      <x:c r="D56" s="8" t="str">
        <x:v>กาญจนบุรี</x:v>
      </x:c>
      <x:c r="E56" s="8" t="str">
        <x:v>TMF-443</x:v>
      </x:c>
      <x:c r="F56" s="8" t="str">
        <x:v>น้ำตกเอราวัณ</x:v>
      </x:c>
      <x:c r="G56" s="8" t="str">
        <x:v>มีในชุด 600</x:v>
      </x:c>
      <x:c r="H56" s="8" t="str">
        <x:v>อยู่ในต้นฉบับเส้นทาง</x:v>
      </x:c>
      <x:c r="I56" s="8" t="str">
        <x:v>https://www.tourismthailand.org/Attraction/erawan-waterfall</x:v>
      </x:c>
      <x:c r="J56" s="8" t="str">
        <x:v>https://th.trip.com/travel-guide/attraction/si-sawat/erawan-falls-23914248/?curr=THB&amp;locale=th-TH</x:v>
      </x:c>
    </x:row>
    <x:row r="57" ht="76" customHeight="1">
      <x:c r="A57" s="2" t="str">
        <x:v>05</x:v>
      </x:c>
      <x:c r="B57" s="2" t="str">
        <x:v>1</x:v>
      </x:c>
      <x:c r="C57" s="8" t="str">
        <x:v>Sai Tharn Iyara Resort</x:v>
      </x:c>
      <x:c r="D57" s="8" t="str">
        <x:v>กาญจนบุรี</x:v>
      </x:c>
      <x:c r="E57" s="8" t="str">
        <x:v>R26-049</x:v>
      </x:c>
      <x:c r="F57" s="8" t="str">
        <x:v>Sai Tharn Iyara Resort</x:v>
      </x:c>
      <x:c r="G57" s="8" t="str">
        <x:v>มีในชุด 600</x:v>
      </x:c>
      <x:c r="H57" s="8" t="str">
        <x:v>อยู่ในต้นฉบับเส้นทาง</x:v>
      </x:c>
      <x:c r="I57" s="8" t="str">
        <x:v>https://saitharniyararesort.com/</x:v>
      </x:c>
      <x:c r="J57" s="8" t="str">
        <x:v>https://www.booking.com/hotel/th/saitharn-iyara-resort.html</x:v>
      </x:c>
    </x:row>
    <x:row r="58" ht="76" customHeight="1">
      <x:c r="A58" s="2" t="str">
        <x:v>05</x:v>
      </x:c>
      <x:c r="B58" s="2" t="str">
        <x:v>1</x:v>
      </x:c>
      <x:c r="C58" s="8" t="str">
        <x:v>ปางช้างไทรโยค</x:v>
      </x:c>
      <x:c r="D58" s="8" t="str">
        <x:v>กาญจนบุรี</x:v>
      </x:c>
      <x:c r="E58" s="8" t="str">
        <x:v>R26-050</x:v>
      </x:c>
      <x:c r="F58" s="8" t="str">
        <x:v>ปางช้างไทรโยค</x:v>
      </x:c>
      <x:c r="G58" s="8" t="str">
        <x:v>มีในชุด 600</x:v>
      </x:c>
      <x:c r="H58" s="8" t="str">
        <x:v>อยู่ในต้นฉบับเส้นทาง</x:v>
      </x:c>
      <x:c r="I58" s="8" t="str">
        <x:v>https://cbtthailand.dasta.or.th/webapp/relattraction/content/3837/</x:v>
      </x:c>
      <x:c r="J58" s="8" t="str">
        <x:v>https://www.youtube.com/watch?v=8ri-91EjMOM</x:v>
      </x:c>
    </x:row>
    <x:row r="59" ht="76" customHeight="1">
      <x:c r="A59" s="2" t="str">
        <x:v>05</x:v>
      </x:c>
      <x:c r="B59" s="2" t="str">
        <x:v>2</x:v>
      </x:c>
      <x:c r="C59" s="8" t="str">
        <x:v>เถ้าฮงไถ่</x:v>
      </x:c>
      <x:c r="D59" s="8" t="str">
        <x:v>ราชบุรี</x:v>
      </x:c>
      <x:c r="E59" s="8" t="str">
        <x:v>R26-051</x:v>
      </x:c>
      <x:c r="F59" s="8" t="str">
        <x:v>เถ้าฮงไถ่</x:v>
      </x:c>
      <x:c r="G59" s="8" t="str">
        <x:v>มีในชุด 600</x:v>
      </x:c>
      <x:c r="H59" s="8" t="str">
        <x:v>อยู่ในต้นฉบับเส้นทาง</x:v>
      </x:c>
      <x:c r="I59" s="8" t="str">
        <x:v>https://www.thailandtourismdirectory.go.th/th/attraction/22285</x:v>
      </x:c>
      <x:c r="J59" s="8" t="str">
        <x:v>https://thai.tourismthailand.org/Attraction/%E0%B9%80%E0%B8%96%E0%B9%89%E0%B8%B2%E0%B8%AE%E0%B8%87%E0%B9%84%E0%B8%96%E0%B9%88</x:v>
      </x:c>
    </x:row>
    <x:row r="60" ht="76" customHeight="1">
      <x:c r="A60" s="2" t="str">
        <x:v>05</x:v>
      </x:c>
      <x:c r="B60" s="2" t="str">
        <x:v>2</x:v>
      </x:c>
      <x:c r="C60" s="8" t="str">
        <x:v>ร้านอาหารปิ้งหงาย ราชบุรี</x:v>
      </x:c>
      <x:c r="D60" s="8" t="str">
        <x:v>ราชบุรี</x:v>
      </x:c>
      <x:c r="E60" s="8" t="str"/>
      <x:c r="F60" s="8" t="str"/>
      <x:c r="G60" s="8" t="str">
        <x:v>พักไว้/ไม่แยกนับ</x:v>
      </x:c>
      <x:c r="H60" s="8" t="str">
        <x:v>ชื่อร้านในต้นฉบับคลุมเครือ ยังยืนยันตัวร้านและสถานะฮาลาลไม่ได้</x:v>
      </x:c>
      <x:c r="I60" s="8" t="str"/>
      <x:c r="J60" s="8" t="str"/>
    </x:row>
    <x:row r="61" ht="76" customHeight="1">
      <x:c r="A61" s="2" t="str">
        <x:v>05</x:v>
      </x:c>
      <x:c r="B61" s="2" t="str">
        <x:v>2</x:v>
      </x:c>
      <x:c r="C61" s="8" t="str">
        <x:v>เรื่องของโอ่ง Pottery Legend</x:v>
      </x:c>
      <x:c r="D61" s="8" t="str">
        <x:v>ราชบุรี</x:v>
      </x:c>
      <x:c r="E61" s="8" t="str">
        <x:v>R26-053</x:v>
      </x:c>
      <x:c r="F61" s="8" t="str">
        <x:v>เรื่องของโอ่ง Pottery Legend</x:v>
      </x:c>
      <x:c r="G61" s="8" t="str">
        <x:v>มีในชุด 600</x:v>
      </x:c>
      <x:c r="H61" s="8" t="str">
        <x:v>อยู่ในต้นฉบับเส้นทาง</x:v>
      </x:c>
      <x:c r="I61" s="8" t="str">
        <x:v>https://activy.co/th/a/a0926</x:v>
      </x:c>
      <x:c r="J61" s="8" t="str">
        <x:v>https://www.youtube.com/watch?v=92J2dykJg9A</x:v>
      </x:c>
    </x:row>
    <x:row r="62" ht="76" customHeight="1">
      <x:c r="A62" s="2" t="str">
        <x:v>05</x:v>
      </x:c>
      <x:c r="B62" s="2" t="str">
        <x:v>2</x:v>
      </x:c>
      <x:c r="C62" s="8" t="str">
        <x:v>ย่านเมืองเก่าราชบุรี</x:v>
      </x:c>
      <x:c r="D62" s="8" t="str">
        <x:v>ราชบุรี</x:v>
      </x:c>
      <x:c r="E62" s="8" t="str">
        <x:v>R26-054</x:v>
      </x:c>
      <x:c r="F62" s="8" t="str">
        <x:v>ย่านเมืองเก่าราชบุรี</x:v>
      </x:c>
      <x:c r="G62" s="8" t="str">
        <x:v>มีในชุด 600</x:v>
      </x:c>
      <x:c r="H62" s="8" t="str">
        <x:v>อยู่ในต้นฉบับเส้นทาง</x:v>
      </x:c>
      <x:c r="I62" s="8" t="str">
        <x:v>https://nced.onep.go.th/opendata/2568/oldtown36_announce/ratburi.pdf</x:v>
      </x:c>
      <x:c r="J62" s="8" t="str">
        <x:v>https://wikicommunity.sac.or.th/community/2453</x:v>
      </x:c>
    </x:row>
    <x:row r="63" ht="76" customHeight="1">
      <x:c r="A63" s="2" t="str">
        <x:v>06</x:v>
      </x:c>
      <x:c r="B63" s="2" t="str">
        <x:v>1</x:v>
      </x:c>
      <x:c r="C63" s="8" t="str">
        <x:v>มัสยิดนูรุลยากีน พัทยา</x:v>
      </x:c>
      <x:c r="D63" s="8" t="str">
        <x:v>ชลบุรี</x:v>
      </x:c>
      <x:c r="E63" s="8" t="str">
        <x:v>TMF-337</x:v>
      </x:c>
      <x:c r="F63" s="8" t="str">
        <x:v>มัสยิดนูรุลยากีน</x:v>
      </x:c>
      <x:c r="G63" s="8" t="str">
        <x:v>มีในชุด 600</x:v>
      </x:c>
      <x:c r="H63" s="8" t="str">
        <x:v>อยู่ในต้นฉบับเส้นทาง</x:v>
      </x:c>
      <x:c r="I63" s="8" t="str">
        <x:v>https://www.thic.or.th/th/tourist/detail/mosques/246</x:v>
      </x:c>
      <x:c r="J63" s="8" t="str">
        <x:v>https://www.picoc.or.th/mosque/detail/28</x:v>
      </x:c>
    </x:row>
    <x:row r="64" ht="76" customHeight="1">
      <x:c r="A64" s="2" t="str">
        <x:v>06</x:v>
      </x:c>
      <x:c r="B64" s="2" t="str">
        <x:v>1</x:v>
      </x:c>
      <x:c r="C64" s="8" t="str">
        <x:v>ตลาดน้ำ 4 ภาค พัทยา</x:v>
      </x:c>
      <x:c r="D64" s="8" t="str">
        <x:v>ชลบุรี</x:v>
      </x:c>
      <x:c r="E64" s="8" t="str">
        <x:v>R26-056</x:v>
      </x:c>
      <x:c r="F64" s="8" t="str">
        <x:v>ตลาดน้ำ 4 ภาค พัทยา</x:v>
      </x:c>
      <x:c r="G64" s="8" t="str">
        <x:v>มีในชุด 600</x:v>
      </x:c>
      <x:c r="H64" s="8" t="str">
        <x:v>อยู่ในต้นฉบับเส้นทาง</x:v>
      </x:c>
      <x:c r="I64" s="8" t="str">
        <x:v>https://cbtthailand.dasta.or.th/webapp/relattraction/content/1567/</x:v>
      </x:c>
      <x:c r="J64" s="8" t="str">
        <x:v>https://thai.tourismthailand.org/Attraction/%E0%B8%95%E0%B8%A5%E0%B8%B2%E0%B8%94%E0%B8%99%E0%B9%89%E0%B8%B3-4-%E0%B8%A0%E0%B8%B2%E0%B8%84-%E0%B8%9E%E0%B8%B1%E0%B8%97%E0%B8%A2%E0%B8%B2</x:v>
      </x:c>
    </x:row>
    <x:row r="65" ht="76" customHeight="1">
      <x:c r="A65" s="2" t="str">
        <x:v>06</x:v>
      </x:c>
      <x:c r="B65" s="2" t="str">
        <x:v>1</x:v>
      </x:c>
      <x:c r="C65" s="8" t="str">
        <x:v>ข้าวยำ ทำถึง พัทยา</x:v>
      </x:c>
      <x:c r="D65" s="8" t="str">
        <x:v>ชลบุรี</x:v>
      </x:c>
      <x:c r="E65" s="8" t="str">
        <x:v>TMF-112</x:v>
      </x:c>
      <x:c r="F65" s="8" t="str">
        <x:v>ข้าว-ยำ ทำถึง</x:v>
      </x:c>
      <x:c r="G65" s="8" t="str">
        <x:v>มีในชุด 600</x:v>
      </x:c>
      <x:c r="H65" s="8" t="str">
        <x:v>เชื่อมกับชื่อเดิมที่ต่างเฉพาะการเว้นวรรคหรือเครื่องหมาย ยังคงรอยืนยันสาขาและฮาลาล</x:v>
      </x:c>
      <x:c r="I65" s="8" t="str">
        <x:v>https://makanhalalguide.com/shop/detail/5935</x:v>
      </x:c>
      <x:c r="J65" s="8" t="str">
        <x:v>https://www.lemon8-app.com/%40cianacia/7555534823125778961?region=th</x:v>
      </x:c>
    </x:row>
    <x:row r="66" ht="76" customHeight="1">
      <x:c r="A66" s="2" t="str">
        <x:v>06</x:v>
      </x:c>
      <x:c r="B66" s="2" t="str">
        <x:v>1</x:v>
      </x:c>
      <x:c r="C66" s="8" t="str">
        <x:v>สวนนงนุช พัทยา</x:v>
      </x:c>
      <x:c r="D66" s="8" t="str">
        <x:v>ชลบุรี</x:v>
      </x:c>
      <x:c r="E66" s="8" t="str">
        <x:v>R26-058</x:v>
      </x:c>
      <x:c r="F66" s="8" t="str">
        <x:v>สวนนงนุช พัทยา</x:v>
      </x:c>
      <x:c r="G66" s="8" t="str">
        <x:v>มีในชุด 600</x:v>
      </x:c>
      <x:c r="H66" s="8" t="str">
        <x:v>อยู่ในต้นฉบับเส้นทาง</x:v>
      </x:c>
      <x:c r="I66" s="8" t="str">
        <x:v>https://www.wongnai.com/attractions/324378uL</x:v>
      </x:c>
      <x:c r="J66" s="8" t="str">
        <x:v>https://www.nongnoochpattaya.com/th/services</x:v>
      </x:c>
    </x:row>
    <x:row r="67" ht="76" customHeight="1">
      <x:c r="A67" s="2" t="str">
        <x:v>06</x:v>
      </x:c>
      <x:c r="B67" s="2" t="str">
        <x:v>1</x:v>
      </x:c>
      <x:c r="C67" s="8" t="str">
        <x:v>หาดจอมเทียน</x:v>
      </x:c>
      <x:c r="D67" s="8" t="str">
        <x:v>ชลบุรี</x:v>
      </x:c>
      <x:c r="E67" s="8" t="str">
        <x:v>R26-059</x:v>
      </x:c>
      <x:c r="F67" s="8" t="str">
        <x:v>หาดจอมเทียน</x:v>
      </x:c>
      <x:c r="G67" s="8" t="str">
        <x:v>มีในชุด 600</x:v>
      </x:c>
      <x:c r="H67" s="8" t="str">
        <x:v>อยู่ในต้นฉบับเส้นทาง</x:v>
      </x:c>
      <x:c r="I67" s="8" t="str">
        <x:v>https://nongpruecity.go.th/travel_activity/detail/11/data.html</x:v>
      </x:c>
      <x:c r="J67" s="8" t="str">
        <x:v>https://cbtthailand.dasta.or.th/webapp/relattraction/content/2719/</x:v>
      </x:c>
    </x:row>
    <x:row r="68" ht="76" customHeight="1">
      <x:c r="A68" s="2" t="str">
        <x:v>06</x:v>
      </x:c>
      <x:c r="B68" s="2" t="str">
        <x:v>1</x:v>
      </x:c>
      <x:c r="C68" s="8" t="str">
        <x:v>ครัวไทรงาม ฮาลาลฟู้ด พัทยา</x:v>
      </x:c>
      <x:c r="D68" s="8" t="str">
        <x:v>ชลบุรี</x:v>
      </x:c>
      <x:c r="E68" s="8" t="str">
        <x:v>R26-060</x:v>
      </x:c>
      <x:c r="F68" s="8" t="str">
        <x:v>ครัวไทรงาม ฮาลาลฟู้ด พัทยา</x:v>
      </x:c>
      <x:c r="G68" s="8" t="str">
        <x:v>มีในชุด 600</x:v>
      </x:c>
      <x:c r="H68" s="8" t="str">
        <x:v>อยู่ในต้นฉบับเส้นทาง</x:v>
      </x:c>
      <x:c r="I68" s="8" t="str">
        <x:v>https://www.youtube.com/watch?v=kXz8-rtbe9Q</x:v>
      </x:c>
      <x:c r="J68" s="8" t="str">
        <x:v>https://www.tripniceday.com/place/%E0%B8%84%E0%B8%A3%E0%B8%B1%E0%B8%A7%E0%B9%84%E0%B8%97%E0%B8%A3%E0%B8%87%E0%B8%B2%E0%B8%A1-%E0%B8%AE%E0%B8%B2%E0%B8%A5%E0%B8%B2%E0%B8%A5%E0%B8%9F%E0%B8%B9%E0%B9%8A%E0%B8%94-%E0%B8%9E%E0%B8%B1%E0%B8%97%E0%B8%A2%E0%B8%B2</x:v>
      </x:c>
    </x:row>
    <x:row r="69" ht="76" customHeight="1">
      <x:c r="A69" s="2" t="str">
        <x:v>06</x:v>
      </x:c>
      <x:c r="B69" s="2" t="str">
        <x:v>2</x:v>
      </x:c>
      <x:c r="C69" s="8" t="str">
        <x:v>สวนสุภัทราแลนด์</x:v>
      </x:c>
      <x:c r="D69" s="8" t="str">
        <x:v>ระยอง</x:v>
      </x:c>
      <x:c r="E69" s="8" t="str">
        <x:v>R26-061</x:v>
      </x:c>
      <x:c r="F69" s="8" t="str">
        <x:v>สวนสุภัทราแลนด์</x:v>
      </x:c>
      <x:c r="G69" s="8" t="str">
        <x:v>มีในชุด 600</x:v>
      </x:c>
      <x:c r="H69" s="8" t="str">
        <x:v>อยู่ในต้นฉบับเส้นทาง</x:v>
      </x:c>
      <x:c r="I69" s="8" t="str">
        <x:v>https://www.thailandtourismdirectory.go.th/activities/102553</x:v>
      </x:c>
      <x:c r="J69" s="8" t="str">
        <x:v>https://cbtthailand.dasta.or.th/webapp/relattraction/content/1277/</x:v>
      </x:c>
    </x:row>
    <x:row r="70" ht="76" customHeight="1">
      <x:c r="A70" s="2" t="str">
        <x:v>06</x:v>
      </x:c>
      <x:c r="B70" s="2" t="str">
        <x:v>2</x:v>
      </x:c>
      <x:c r="C70" s="8" t="str">
        <x:v>ส้มตำกำแพงแตก ระยอง</x:v>
      </x:c>
      <x:c r="D70" s="8" t="str">
        <x:v>ระยอง</x:v>
      </x:c>
      <x:c r="E70" s="8" t="str">
        <x:v>R26-062</x:v>
      </x:c>
      <x:c r="F70" s="8" t="str">
        <x:v>ส้มตำกำแพงแตก ระยอง</x:v>
      </x:c>
      <x:c r="G70" s="8" t="str">
        <x:v>มีในชุด 600</x:v>
      </x:c>
      <x:c r="H70" s="8" t="str">
        <x:v>อยู่ในต้นฉบับเส้นทาง</x:v>
      </x:c>
      <x:c r="I70" s="8" t="str">
        <x:v>https://www.lemon8-app.com/%40fonhiw/7677030595478454805?region=th</x:v>
      </x:c>
      <x:c r="J70" s="8" t="str">
        <x:v>https://www.wongnai.com/restaurants/266276fb-%E0%B8%AA%E0%B9%89%E0%B8%A1%E0%B8%95%E0%B8%B3%E0%B8%81%E0%B8%B3%E0%B9%81%E0%B8%9E%E0%B8%87%E0%B9%81%E0%B8%95%E0%B8%81/menu</x:v>
      </x:c>
    </x:row>
    <x:row r="71" ht="76" customHeight="1">
      <x:c r="A71" s="2" t="str">
        <x:v>06</x:v>
      </x:c>
      <x:c r="B71" s="2" t="str">
        <x:v>2</x:v>
      </x:c>
      <x:c r="C71" s="8" t="str">
        <x:v>ชุมชนบ้านเพ</x:v>
      </x:c>
      <x:c r="D71" s="8" t="str">
        <x:v>ระยอง</x:v>
      </x:c>
      <x:c r="E71" s="8" t="str">
        <x:v>R26-063</x:v>
      </x:c>
      <x:c r="F71" s="8" t="str">
        <x:v>ชุมชนบ้านเพ</x:v>
      </x:c>
      <x:c r="G71" s="8" t="str">
        <x:v>มีในชุด 600</x:v>
      </x:c>
      <x:c r="H71" s="8" t="str">
        <x:v>อยู่ในต้นฉบับเส้นทาง</x:v>
      </x:c>
      <x:c r="I71" s="8" t="str">
        <x:v>https://wikicommunity.sac.or.th/community/1072</x:v>
      </x:c>
      <x:c r="J71" s="8" t="str">
        <x:v>https://www.thailandtourismdirectory.go.th/attraction/3761</x:v>
      </x:c>
    </x:row>
    <x:row r="72" ht="76" customHeight="1">
      <x:c r="A72" s="2" t="str">
        <x:v>06</x:v>
      </x:c>
      <x:c r="B72" s="2" t="str">
        <x:v>2</x:v>
      </x:c>
      <x:c r="C72" s="8" t="str">
        <x:v>หาดแหลมเจริญ</x:v>
      </x:c>
      <x:c r="D72" s="8" t="str">
        <x:v>ระยอง</x:v>
      </x:c>
      <x:c r="E72" s="8" t="str">
        <x:v>R26-064</x:v>
      </x:c>
      <x:c r="F72" s="8" t="str">
        <x:v>หาดแหลมเจริญ</x:v>
      </x:c>
      <x:c r="G72" s="8" t="str">
        <x:v>มีในชุด 600</x:v>
      </x:c>
      <x:c r="H72" s="8" t="str">
        <x:v>อยู่ในต้นฉบับเส้นทาง</x:v>
      </x:c>
      <x:c r="I72" s="8" t="str">
        <x:v>https://www.opsmoac.go.th/rayong-dwl-files-452791791049</x:v>
      </x:c>
      <x:c r="J72" s="8" t="str">
        <x:v>https://www.thailandtourismdirectory.go.th/th/attraction/1777</x:v>
      </x:c>
    </x:row>
    <x:row r="73" ht="76" customHeight="1">
      <x:c r="A73" s="2" t="str">
        <x:v>07</x:v>
      </x:c>
      <x:c r="B73" s="2" t="str">
        <x:v>1</x:v>
      </x:c>
      <x:c r="C73" s="8" t="str">
        <x:v>มัสยิดกลางดิยานุ้ลอิสลาม สงขลา</x:v>
      </x:c>
      <x:c r="D73" s="8" t="str">
        <x:v>สงขลา</x:v>
      </x:c>
      <x:c r="E73" s="8" t="str">
        <x:v>TMF-399</x:v>
      </x:c>
      <x:c r="F73" s="8" t="str">
        <x:v>มัสยิดกลางประจำจังหวัดสงขลา</x:v>
      </x:c>
      <x:c r="G73" s="8" t="str">
        <x:v>มีในชุด 600</x:v>
      </x:c>
      <x:c r="H73" s="8" t="str">
        <x:v>อยู่ในต้นฉบับเส้นทาง</x:v>
      </x:c>
      <x:c r="I73" s="8" t="str">
        <x:v>https://www.thic.or.th/th/tourist/detail/mosques/47</x:v>
      </x:c>
      <x:c r="J73" s="8" t="str">
        <x:v>https://th.trip.com/travel-guide/attraction/hat-yai/the-central-mosque-of-songkhla-61871424/?curr=THB&amp;locale=th-TH</x:v>
      </x:c>
    </x:row>
    <x:row r="74" ht="76" customHeight="1">
      <x:c r="A74" s="2" t="str">
        <x:v>07</x:v>
      </x:c>
      <x:c r="B74" s="2" t="str">
        <x:v>1</x:v>
      </x:c>
      <x:c r="C74" s="8" t="str">
        <x:v>ย่านเมืองเก่าสงขลา</x:v>
      </x:c>
      <x:c r="D74" s="8" t="str">
        <x:v>สงขลา</x:v>
      </x:c>
      <x:c r="E74" s="8" t="str">
        <x:v>R26-066</x:v>
      </x:c>
      <x:c r="F74" s="8" t="str">
        <x:v>ย่านเมืองเก่าสงขลา</x:v>
      </x:c>
      <x:c r="G74" s="8" t="str">
        <x:v>มีในชุด 600</x:v>
      </x:c>
      <x:c r="H74" s="8" t="str">
        <x:v>อยู่ในต้นฉบับเส้นทาง</x:v>
      </x:c>
      <x:c r="I74" s="8" t="str">
        <x:v>https://wikicommunity.sac.or.th/community/349</x:v>
      </x:c>
      <x:c r="J74" s="8" t="str">
        <x:v>https://www.thailandtourismdirectory.go.th/attraction/379</x:v>
      </x:c>
    </x:row>
    <x:row r="75" ht="76" customHeight="1">
      <x:c r="A75" s="2" t="str">
        <x:v>07</x:v>
      </x:c>
      <x:c r="B75" s="2" t="str">
        <x:v>1</x:v>
      </x:c>
      <x:c r="C75" s="8" t="str">
        <x:v>ชุมชนมัสยิดบ้านบน สงขลา</x:v>
      </x:c>
      <x:c r="D75" s="8" t="str">
        <x:v>สงขลา</x:v>
      </x:c>
      <x:c r="E75" s="8" t="str">
        <x:v>R26-067</x:v>
      </x:c>
      <x:c r="F75" s="8" t="str">
        <x:v>ชุมชนมัสยิดบ้านบน สงขลา</x:v>
      </x:c>
      <x:c r="G75" s="8" t="str">
        <x:v>มีในชุด 600</x:v>
      </x:c>
      <x:c r="H75" s="8" t="str">
        <x:v>อยู่ในต้นฉบับเส้นทาง</x:v>
      </x:c>
      <x:c r="I75" s="8" t="str">
        <x:v>https://wikicommunity.sac.or.th/community/1779</x:v>
      </x:c>
      <x:c r="J75" s="8" t="str">
        <x:v>https://songkhla.prd.go.th/th/content/category/detail/id/33/iid/105473</x:v>
      </x:c>
    </x:row>
    <x:row r="76" ht="76" customHeight="1">
      <x:c r="A76" s="2" t="str">
        <x:v>07</x:v>
      </x:c>
      <x:c r="B76" s="2" t="str">
        <x:v>1</x:v>
      </x:c>
      <x:c r="C76" s="8" t="str">
        <x:v>ข้าวมันไก่ไข่ฮาลาลบ้านบน</x:v>
      </x:c>
      <x:c r="D76" s="8" t="str">
        <x:v>สงขลา</x:v>
      </x:c>
      <x:c r="E76" s="8" t="str">
        <x:v>R26-068</x:v>
      </x:c>
      <x:c r="F76" s="8" t="str">
        <x:v>ข้าวมันไก่ไข่ฮาลาลบ้านบน</x:v>
      </x:c>
      <x:c r="G76" s="8" t="str">
        <x:v>มีในชุด 600</x:v>
      </x:c>
      <x:c r="H76" s="8" t="str">
        <x:v>อยู่ในต้นฉบับเส้นทาง</x:v>
      </x:c>
      <x:c r="I76" s="8" t="str">
        <x:v>https://www.wongnai.com/restaurants/948857US-%E0%B8%82%E0%B9%89%E0%B8%B2%E0%B8%A7%E0%B8%A1%E0%B8%B1%E0%B8%99%E0%B9%84%E0%B8%81%E0%B9%88%E0%B9%84%E0%B8%82%E0%B9%88%E0%B8%AE%E0%B8%B2%E0%B8%A5%E0%B8%B2%E0%B8%A5%E0%B8%9A%E0%B9%89%E0%B8%B2%E0%B8%99%E0%B8%9A%E0%B8%99</x:v>
      </x:c>
      <x:c r="J76" s="8" t="str"/>
    </x:row>
    <x:row r="77" ht="76" customHeight="1">
      <x:c r="A77" s="2" t="str">
        <x:v>07</x:v>
      </x:c>
      <x:c r="B77" s="2" t="str">
        <x:v>1</x:v>
      </x:c>
      <x:c r="C77" s="8" t="str">
        <x:v>เขาตังกวน</x:v>
      </x:c>
      <x:c r="D77" s="8" t="str">
        <x:v>สงขลา</x:v>
      </x:c>
      <x:c r="E77" s="8" t="str">
        <x:v>R26-069</x:v>
      </x:c>
      <x:c r="F77" s="8" t="str">
        <x:v>เขาตังกวน</x:v>
      </x:c>
      <x:c r="G77" s="8" t="str">
        <x:v>มีในชุด 600</x:v>
      </x:c>
      <x:c r="H77" s="8" t="str">
        <x:v>อยู่ในต้นฉบับเส้นทาง</x:v>
      </x:c>
      <x:c r="I77" s="8" t="str">
        <x:v>https://songkhla.mots.go.th/news/393</x:v>
      </x:c>
      <x:c r="J77" s="8" t="str">
        <x:v>https://www.songkhlacity.go.th/2020/travel/detail/7/data.html</x:v>
      </x:c>
    </x:row>
    <x:row r="78" ht="76" customHeight="1">
      <x:c r="A78" s="2" t="str">
        <x:v>07</x:v>
      </x:c>
      <x:c r="B78" s="2" t="str">
        <x:v>1</x:v>
      </x:c>
      <x:c r="C78" s="8" t="str">
        <x:v>หาดสมิหลา</x:v>
      </x:c>
      <x:c r="D78" s="8" t="str">
        <x:v>สงขลา</x:v>
      </x:c>
      <x:c r="E78" s="8" t="str">
        <x:v>R26-070</x:v>
      </x:c>
      <x:c r="F78" s="8" t="str">
        <x:v>หาดสมิหลา</x:v>
      </x:c>
      <x:c r="G78" s="8" t="str">
        <x:v>มีในชุด 600</x:v>
      </x:c>
      <x:c r="H78" s="8" t="str">
        <x:v>อยู่ในต้นฉบับเส้นทาง</x:v>
      </x:c>
      <x:c r="I78" s="8" t="str">
        <x:v>https://songkhla.mots.go.th/news/394</x:v>
      </x:c>
      <x:c r="J78" s="8" t="str">
        <x:v>https://thailandaddict.com/samila-beach</x:v>
      </x:c>
    </x:row>
    <x:row r="79" ht="76" customHeight="1">
      <x:c r="A79" s="2" t="str">
        <x:v>07</x:v>
      </x:c>
      <x:c r="B79" s="2" t="str">
        <x:v>1</x:v>
      </x:c>
      <x:c r="C79" s="8" t="str">
        <x:v>The Seaside Halal เกาะยอ</x:v>
      </x:c>
      <x:c r="D79" s="8" t="str">
        <x:v>สงขลา</x:v>
      </x:c>
      <x:c r="E79" s="8" t="str">
        <x:v>R26-071</x:v>
      </x:c>
      <x:c r="F79" s="8" t="str">
        <x:v>The Seaside Halal เกาะยอ</x:v>
      </x:c>
      <x:c r="G79" s="8" t="str">
        <x:v>มีในชุด 600</x:v>
      </x:c>
      <x:c r="H79" s="8" t="str">
        <x:v>อยู่ในต้นฉบับเส้นทาง</x:v>
      </x:c>
      <x:c r="I79" s="8" t="str">
        <x:v>https://thesesidehalal.songkhlafoodcity.com/</x:v>
      </x:c>
      <x:c r="J79" s="8" t="str">
        <x:v>https://th.tripadvisor.com/Restaurant_Review-g2301765-d23820594-Reviews-The_Seaside_Halal-Ko_Yo_Songkhla_Province.html</x:v>
      </x:c>
    </x:row>
    <x:row r="80" ht="76" customHeight="1">
      <x:c r="A80" s="2" t="str">
        <x:v>07</x:v>
      </x:c>
      <x:c r="B80" s="2" t="str">
        <x:v>2</x:v>
      </x:c>
      <x:c r="C80" s="8" t="str">
        <x:v>ปราสาทหินพันยอด</x:v>
      </x:c>
      <x:c r="D80" s="8" t="str">
        <x:v>สตูล</x:v>
      </x:c>
      <x:c r="E80" s="8" t="str">
        <x:v>R26-072</x:v>
      </x:c>
      <x:c r="F80" s="8" t="str">
        <x:v>ปราสาทหินพันยอด</x:v>
      </x:c>
      <x:c r="G80" s="8" t="str">
        <x:v>มีในชุด 600</x:v>
      </x:c>
      <x:c r="H80" s="8" t="str">
        <x:v>อยู่ในต้นฉบับเส้นทาง</x:v>
      </x:c>
      <x:c r="I80" s="8" t="str">
        <x:v>https://www.satun.go.th/travel/detail/4</x:v>
      </x:c>
      <x:c r="J80" s="8" t="str">
        <x:v>https://www.thaipbs.or.th/news/gallery/133</x:v>
      </x:c>
    </x:row>
    <x:row r="81" ht="76" customHeight="1">
      <x:c r="A81" s="2" t="str">
        <x:v>07</x:v>
      </x:c>
      <x:c r="B81" s="2" t="str">
        <x:v>2</x:v>
      </x:c>
      <x:c r="C81" s="8" t="str">
        <x:v>ชุมชนบ้านบ่อเจ็ดลูก</x:v>
      </x:c>
      <x:c r="D81" s="8" t="str">
        <x:v>สตูล</x:v>
      </x:c>
      <x:c r="E81" s="8" t="str">
        <x:v>R26-073</x:v>
      </x:c>
      <x:c r="F81" s="8" t="str">
        <x:v>ชุมชนบ้านบ่อเจ็ดลูก</x:v>
      </x:c>
      <x:c r="G81" s="8" t="str">
        <x:v>มีในชุด 600</x:v>
      </x:c>
      <x:c r="H81" s="8" t="str">
        <x:v>อยู่ในต้นฉบับเส้นทาง</x:v>
      </x:c>
      <x:c r="I81" s="8" t="str">
        <x:v>https://wikicommunity.sac.or.th/community/2436</x:v>
      </x:c>
      <x:c r="J81" s="8" t="str">
        <x:v>https://www.thailandtourismdirectory.go.th/attraction/21604</x:v>
      </x:c>
    </x:row>
    <x:row r="82" ht="76" customHeight="1">
      <x:c r="A82" s="2" t="str">
        <x:v>07</x:v>
      </x:c>
      <x:c r="B82" s="2" t="str">
        <x:v>2</x:v>
      </x:c>
      <x:c r="C82" s="8" t="str">
        <x:v>สันหลังมังกร บ้านบ่อเจ็ดลูก</x:v>
      </x:c>
      <x:c r="D82" s="8" t="str">
        <x:v>สตูล</x:v>
      </x:c>
      <x:c r="E82" s="8" t="str"/>
      <x:c r="F82" s="8" t="str"/>
      <x:c r="G82" s="8" t="str">
        <x:v>พักไว้/ไม่แยกนับ</x:v>
      </x:c>
      <x:c r="H82" s="8" t="str">
        <x:v>ยังไม่มีแหล่งออนไลน์ที่ชื่อตรงชัดเจน</x:v>
      </x:c>
      <x:c r="I82" s="8" t="str"/>
      <x:c r="J82" s="8" t="str"/>
    </x:row>
    <x:row r="83" ht="76" customHeight="1">
      <x:c r="A83" s="2" t="str">
        <x:v>07</x:v>
      </x:c>
      <x:c r="B83" s="2" t="str">
        <x:v>2</x:v>
      </x:c>
      <x:c r="C83" s="8" t="str">
        <x:v>มัสยิดมำบัง</x:v>
      </x:c>
      <x:c r="D83" s="8" t="str">
        <x:v>สตูล</x:v>
      </x:c>
      <x:c r="E83" s="8" t="str">
        <x:v>R26-075</x:v>
      </x:c>
      <x:c r="F83" s="8" t="str">
        <x:v>มัสยิดมำบัง</x:v>
      </x:c>
      <x:c r="G83" s="8" t="str">
        <x:v>มีในชุด 600</x:v>
      </x:c>
      <x:c r="H83" s="8" t="str">
        <x:v>อยู่ในต้นฉบับเส้นทาง</x:v>
      </x:c>
      <x:c r="I83" s="8" t="str">
        <x:v>https://www.thailandtourismdirectory.go.th/attraction/21236</x:v>
      </x:c>
      <x:c r="J83" s="8" t="str">
        <x:v>https://webapi.satunpao.go.th/uploads/news-docs/1743740621955-706547210.pdf</x:v>
      </x:c>
    </x:row>
    <x:row r="84" ht="76" customHeight="1">
      <x:c r="A84" s="2" t="str">
        <x:v>08</x:v>
      </x:c>
      <x:c r="B84" s="2" t="str">
        <x:v>1</x:v>
      </x:c>
      <x:c r="C84" s="8" t="str">
        <x:v>มัสยิดกลางจังหวัดกระบี่</x:v>
      </x:c>
      <x:c r="D84" s="8" t="str">
        <x:v>กระบี่</x:v>
      </x:c>
      <x:c r="E84" s="8" t="str">
        <x:v>R26-076</x:v>
      </x:c>
      <x:c r="F84" s="8" t="str">
        <x:v>มัสยิดกลางจังหวัดกระบี่</x:v>
      </x:c>
      <x:c r="G84" s="8" t="str">
        <x:v>มีในชุด 600</x:v>
      </x:c>
      <x:c r="H84" s="8" t="str">
        <x:v>อยู่ในต้นฉบับเส้นทาง</x:v>
      </x:c>
      <x:c r="I84" s="8" t="str">
        <x:v>https://elibrary.tsri.or.th/fullP/RDG60T0033/RDG60T0033V01/RDG60T0033V01_full.pdf</x:v>
      </x:c>
      <x:c r="J84" s="8" t="str">
        <x:v>https://www.mots.go.th/download/TourismData/BestRouteOfMuslimGroupInThailand.pdf</x:v>
      </x:c>
    </x:row>
    <x:row r="85" ht="76" customHeight="1">
      <x:c r="A85" s="2" t="str">
        <x:v>08</x:v>
      </x:c>
      <x:c r="B85" s="2" t="str">
        <x:v>1</x:v>
      </x:c>
      <x:c r="C85" s="8" t="str">
        <x:v>น้ำตกร้อนคลองท่อม</x:v>
      </x:c>
      <x:c r="D85" s="8" t="str">
        <x:v>กระบี่</x:v>
      </x:c>
      <x:c r="E85" s="8" t="str">
        <x:v>R26-077</x:v>
      </x:c>
      <x:c r="F85" s="8" t="str">
        <x:v>น้ำตกร้อนคลองท่อม</x:v>
      </x:c>
      <x:c r="G85" s="8" t="str">
        <x:v>มีในชุด 600</x:v>
      </x:c>
      <x:c r="H85" s="8" t="str">
        <x:v>อยู่ในต้นฉบับเส้นทาง</x:v>
      </x:c>
      <x:c r="I85" s="8" t="str">
        <x:v>https://www.thailandtourismdirectory.go.th/attraction/99172</x:v>
      </x:c>
      <x:c r="J85" s="8" t="str">
        <x:v>https://cbtthailand.dasta.or.th/webapp/relattraction/content/2698/</x:v>
      </x:c>
    </x:row>
    <x:row r="86" ht="76" customHeight="1">
      <x:c r="A86" s="2" t="str">
        <x:v>08</x:v>
      </x:c>
      <x:c r="B86" s="2" t="str">
        <x:v>1</x:v>
      </x:c>
      <x:c r="C86" s="8" t="str">
        <x:v>ครัวในหลาด ฮาลาล คลองท่อม</x:v>
      </x:c>
      <x:c r="D86" s="8" t="str">
        <x:v>กระบี่</x:v>
      </x:c>
      <x:c r="E86" s="8" t="str"/>
      <x:c r="F86" s="8" t="str"/>
      <x:c r="G86" s="8" t="str">
        <x:v>พักไว้/ไม่แยกนับ</x:v>
      </x:c>
      <x:c r="H86" s="8" t="str">
        <x:v>ยังหาช่องทางของร้านครัวในหลาดตรงชื่อไม่ได้</x:v>
      </x:c>
      <x:c r="I86" s="8" t="str"/>
      <x:c r="J86" s="8" t="str"/>
    </x:row>
    <x:row r="87" ht="76" customHeight="1">
      <x:c r="A87" s="2" t="str">
        <x:v>08</x:v>
      </x:c>
      <x:c r="B87" s="2" t="str">
        <x:v>1</x:v>
      </x:c>
      <x:c r="C87" s="8" t="str">
        <x:v>สระมรกต</x:v>
      </x:c>
      <x:c r="D87" s="8" t="str">
        <x:v>กระบี่</x:v>
      </x:c>
      <x:c r="E87" s="8" t="str">
        <x:v>R26-079</x:v>
      </x:c>
      <x:c r="F87" s="8" t="str">
        <x:v>สระมรกต</x:v>
      </x:c>
      <x:c r="G87" s="8" t="str">
        <x:v>มีในชุด 600</x:v>
      </x:c>
      <x:c r="H87" s="8" t="str">
        <x:v>อยู่ในต้นฉบับเส้นทาง</x:v>
      </x:c>
      <x:c r="I87" s="8" t="str">
        <x:v>https://www.thailandtourismdirectory.go.th/attraction/97955</x:v>
      </x:c>
      <x:c r="J87" s="8" t="str">
        <x:v>https://cbtthailand.dasta.or.th/webapp/relattraction/content/994/</x:v>
      </x:c>
    </x:row>
    <x:row r="88" ht="76" customHeight="1">
      <x:c r="A88" s="2" t="str">
        <x:v>08</x:v>
      </x:c>
      <x:c r="B88" s="2" t="str">
        <x:v>1</x:v>
      </x:c>
      <x:c r="C88" s="8" t="str">
        <x:v>ถวิล Since 1998</x:v>
      </x:c>
      <x:c r="D88" s="8" t="str">
        <x:v>ตรัง</x:v>
      </x:c>
      <x:c r="E88" s="8" t="str">
        <x:v>R26-080</x:v>
      </x:c>
      <x:c r="F88" s="8" t="str">
        <x:v>ถวิล Since 1998</x:v>
      </x:c>
      <x:c r="G88" s="8" t="str">
        <x:v>มีในชุด 600</x:v>
      </x:c>
      <x:c r="H88" s="8" t="str">
        <x:v>อยู่ในต้นฉบับเส้นทาง</x:v>
      </x:c>
      <x:c r="I88" s="8" t="str">
        <x:v>https://www.lemon8-app.com/%40noonkitty17/7630849184953860626?region=th</x:v>
      </x:c>
      <x:c r="J88" s="8" t="str">
        <x:v>https://es.restaurantguru.com/%E0%B8%96%E0%B8%A7%E0%B8%B4%E0%B8%A5-Since-1998-Trang</x:v>
      </x:c>
    </x:row>
    <x:row r="89" ht="76" customHeight="1">
      <x:c r="A89" s="2" t="str">
        <x:v>08</x:v>
      </x:c>
      <x:c r="B89" s="2" t="str">
        <x:v>1</x:v>
      </x:c>
      <x:c r="C89" s="8" t="str">
        <x:v>Rimnatee Resort Trang</x:v>
      </x:c>
      <x:c r="D89" s="8" t="str">
        <x:v>ตรัง</x:v>
      </x:c>
      <x:c r="E89" s="8" t="str">
        <x:v>R26-081</x:v>
      </x:c>
      <x:c r="F89" s="8" t="str">
        <x:v>Rimnatee Resort Trang</x:v>
      </x:c>
      <x:c r="G89" s="8" t="str">
        <x:v>มีในชุด 600</x:v>
      </x:c>
      <x:c r="H89" s="8" t="str">
        <x:v>อยู่ในต้นฉบับเส้นทาง</x:v>
      </x:c>
      <x:c r="I89" s="8" t="str">
        <x:v>https://www.booking.com/hotel/th/rimnatee-resort-trang.html</x:v>
      </x:c>
      <x:c r="J89" s="8" t="str">
        <x:v>https://www.google.com.my/travel/hotels/entity/ChkIu_LD3O3d8actGg0vZy8xMWI3N3Mzcm1rEAE</x:v>
      </x:c>
    </x:row>
    <x:row r="90" ht="76" customHeight="1">
      <x:c r="A90" s="2" t="str">
        <x:v>08</x:v>
      </x:c>
      <x:c r="B90" s="2" t="str">
        <x:v>2</x:v>
      </x:c>
      <x:c r="C90" s="8" t="str">
        <x:v>เตอรัง ติ่มซำ</x:v>
      </x:c>
      <x:c r="D90" s="8" t="str">
        <x:v>ตรัง</x:v>
      </x:c>
      <x:c r="E90" s="8" t="str">
        <x:v>R26-082</x:v>
      </x:c>
      <x:c r="F90" s="8" t="str">
        <x:v>เตอรัง ติ่มซำ</x:v>
      </x:c>
      <x:c r="G90" s="8" t="str">
        <x:v>มีในชุด 600</x:v>
      </x:c>
      <x:c r="H90" s="8" t="str">
        <x:v>อยู่ในต้นฉบับเส้นทาง</x:v>
      </x:c>
      <x:c r="I90" s="8" t="str">
        <x:v>https://www.thailandtourismdirectory.go.th/restaurants/87856</x:v>
      </x:c>
      <x:c r="J90" s="8" t="str">
        <x:v>https://www.thairath.co.th/lifestyle/food/review/1061414</x:v>
      </x:c>
    </x:row>
    <x:row r="91" ht="76" customHeight="1">
      <x:c r="A91" s="2" t="str">
        <x:v>08</x:v>
      </x:c>
      <x:c r="B91" s="2" t="str">
        <x:v>2</x:v>
      </x:c>
      <x:c r="C91" s="8" t="str">
        <x:v>ถ้ำเลเขากอบ</x:v>
      </x:c>
      <x:c r="D91" s="8" t="str">
        <x:v>ตรัง</x:v>
      </x:c>
      <x:c r="E91" s="8" t="str">
        <x:v>R26-083</x:v>
      </x:c>
      <x:c r="F91" s="8" t="str">
        <x:v>ถ้ำเลเขากอบ</x:v>
      </x:c>
      <x:c r="G91" s="8" t="str">
        <x:v>มีในชุด 600</x:v>
      </x:c>
      <x:c r="H91" s="8" t="str">
        <x:v>อยู่ในต้นฉบับเส้นทาง</x:v>
      </x:c>
      <x:c r="I91" s="8" t="str">
        <x:v>https://trang.mots.go.th/news/435</x:v>
      </x:c>
      <x:c r="J91" s="8" t="str">
        <x:v>https://www.trangpao.go.th/travel/detail/63</x:v>
      </x:c>
    </x:row>
    <x:row r="92" ht="76" customHeight="1">
      <x:c r="A92" s="2" t="str">
        <x:v>08</x:v>
      </x:c>
      <x:c r="B92" s="2" t="str">
        <x:v>2</x:v>
      </x:c>
      <x:c r="C92" s="8" t="str">
        <x:v>เสน่ห์ปู ตรัง</x:v>
      </x:c>
      <x:c r="D92" s="8" t="str">
        <x:v>ตรัง</x:v>
      </x:c>
      <x:c r="E92" s="8" t="str">
        <x:v>R26-084</x:v>
      </x:c>
      <x:c r="F92" s="8" t="str">
        <x:v>เสน่ห์ปู ตรัง</x:v>
      </x:c>
      <x:c r="G92" s="8" t="str">
        <x:v>มีในชุด 600</x:v>
      </x:c>
      <x:c r="H92" s="8" t="str">
        <x:v>อยู่ในต้นฉบับเส้นทาง</x:v>
      </x:c>
      <x:c r="I92" s="8" t="str">
        <x:v>https://www.youtube.com/watch?v=d808oNhPBd8</x:v>
      </x:c>
      <x:c r="J92" s="8" t="str">
        <x:v>https://www.lemon8-app.com/%40jayyanaka/7537714313755345425?region=th</x:v>
      </x:c>
    </x:row>
    <x:row r="93" ht="76" customHeight="1">
      <x:c r="A93" s="2" t="str">
        <x:v>08</x:v>
      </x:c>
      <x:c r="B93" s="2" t="str">
        <x:v>2</x:v>
      </x:c>
      <x:c r="C93" s="8" t="str">
        <x:v>ชุมชนบ้านน้ำราบ</x:v>
      </x:c>
      <x:c r="D93" s="8" t="str">
        <x:v>ตรัง</x:v>
      </x:c>
      <x:c r="E93" s="8" t="str">
        <x:v>R26-085</x:v>
      </x:c>
      <x:c r="F93" s="8" t="str">
        <x:v>ชุมชนบ้านน้ำราบ</x:v>
      </x:c>
      <x:c r="G93" s="8" t="str">
        <x:v>มีในชุด 600</x:v>
      </x:c>
      <x:c r="H93" s="8" t="str">
        <x:v>อยู่ในต้นฉบับเส้นทาง</x:v>
      </x:c>
      <x:c r="I93" s="8" t="str">
        <x:v>https://ww2.trang.go.th/news/detail/5848</x:v>
      </x:c>
      <x:c r="J93" s="8" t="str">
        <x:v>https://www.dmcr.go.th/detailAll/47654/nws/</x:v>
      </x:c>
    </x:row>
    <x:row r="94" ht="76" customHeight="1">
      <x:c r="A94" s="2" t="str">
        <x:v>09</x:v>
      </x:c>
      <x:c r="B94" s="2" t="str">
        <x:v>1</x:v>
      </x:c>
      <x:c r="C94" s="8" t="str">
        <x:v>มัสยิดกรือเซะ</x:v>
      </x:c>
      <x:c r="D94" s="8" t="str">
        <x:v>ปัตตานี</x:v>
      </x:c>
      <x:c r="E94" s="8" t="str">
        <x:v>TMF-374</x:v>
      </x:c>
      <x:c r="F94" s="8" t="str">
        <x:v>มัสยิดกรือเซะ</x:v>
      </x:c>
      <x:c r="G94" s="8" t="str">
        <x:v>มีในชุด 600</x:v>
      </x:c>
      <x:c r="H94" s="8" t="str">
        <x:v>อยู่ในต้นฉบับเส้นทาง</x:v>
      </x:c>
      <x:c r="I94" s="8" t="str">
        <x:v>https://www.thic.or.th/th/tourist/detail/mosques/46</x:v>
      </x:c>
      <x:c r="J94" s="8" t="str">
        <x:v>https://www.wongnai.com/reviews/40d5e90369ca42ec983d4e370fd997b3</x:v>
      </x:c>
    </x:row>
    <x:row r="95" ht="76" customHeight="1">
      <x:c r="A95" s="2" t="str">
        <x:v>09</x:v>
      </x:c>
      <x:c r="B95" s="2" t="str">
        <x:v>1</x:v>
      </x:c>
      <x:c r="C95" s="8" t="str">
        <x:v>ศาลเจ้าแม่ลิ้มกอเหนี่ยว</x:v>
      </x:c>
      <x:c r="D95" s="8" t="str">
        <x:v>ปัตตานี</x:v>
      </x:c>
      <x:c r="E95" s="8" t="str">
        <x:v>R26-087</x:v>
      </x:c>
      <x:c r="F95" s="8" t="str">
        <x:v>ศาลเจ้าแม่ลิ้มกอเหนี่ยว</x:v>
      </x:c>
      <x:c r="G95" s="8" t="str">
        <x:v>มีในชุด 600</x:v>
      </x:c>
      <x:c r="H95" s="8" t="str">
        <x:v>อยู่ในต้นฉบับเส้นทาง</x:v>
      </x:c>
      <x:c r="I95" s="8" t="str">
        <x:v>https://www.pattani.go.th/travel/detail/4</x:v>
      </x:c>
      <x:c r="J95" s="8" t="str">
        <x:v>https://www.pattanicity.go.th/travel/detail/10</x:v>
      </x:c>
    </x:row>
    <x:row r="96" ht="76" customHeight="1">
      <x:c r="A96" s="2" t="str">
        <x:v>09</x:v>
      </x:c>
      <x:c r="B96" s="2" t="str">
        <x:v>1</x:v>
      </x:c>
      <x:c r="C96" s="8" t="str">
        <x:v>ย่านเมืองเก่าปัตตานี</x:v>
      </x:c>
      <x:c r="D96" s="8" t="str">
        <x:v>ปัตตานี</x:v>
      </x:c>
      <x:c r="E96" s="8" t="str">
        <x:v>R26-088</x:v>
      </x:c>
      <x:c r="F96" s="8" t="str">
        <x:v>ย่านเมืองเก่าปัตตานี</x:v>
      </x:c>
      <x:c r="G96" s="8" t="str">
        <x:v>มีในชุด 600</x:v>
      </x:c>
      <x:c r="H96" s="8" t="str">
        <x:v>อยู่ในต้นฉบับเส้นทาง</x:v>
      </x:c>
      <x:c r="I96" s="8" t="str">
        <x:v>https://pattani.go.th/gallery/detail/8318/data.html</x:v>
      </x:c>
      <x:c r="J96" s="8" t="str">
        <x:v>https://nced.onep.go.th/knowledge/oldtown/scenario_oldtown.pdf</x:v>
      </x:c>
    </x:row>
    <x:row r="97" ht="76" customHeight="1">
      <x:c r="A97" s="2" t="str">
        <x:v>09</x:v>
      </x:c>
      <x:c r="B97" s="2" t="str">
        <x:v>1</x:v>
      </x:c>
      <x:c r="C97" s="8" t="str">
        <x:v>มิตรไมตรี Dining Cafe</x:v>
      </x:c>
      <x:c r="D97" s="8" t="str">
        <x:v>ปัตตานี</x:v>
      </x:c>
      <x:c r="E97" s="8" t="str">
        <x:v>R26-089</x:v>
      </x:c>
      <x:c r="F97" s="8" t="str">
        <x:v>มิตรไมตรี Dining Cafe</x:v>
      </x:c>
      <x:c r="G97" s="8" t="str">
        <x:v>มีในชุด 600</x:v>
      </x:c>
      <x:c r="H97" s="8" t="str">
        <x:v>อยู่ในต้นฉบับเส้นทาง</x:v>
      </x:c>
      <x:c r="I97" s="8" t="str">
        <x:v>https://www.youtube.com/watch?v=G7e3PkD6EdQ</x:v>
      </x:c>
      <x:c r="J97" s="8" t="str">
        <x:v>https://www.wongnai.com/restaurants/mitmaitri</x:v>
      </x:c>
    </x:row>
    <x:row r="98" ht="76" customHeight="1">
      <x:c r="A98" s="2" t="str">
        <x:v>09</x:v>
      </x:c>
      <x:c r="B98" s="2" t="str">
        <x:v>1</x:v>
      </x:c>
      <x:c r="C98" s="8" t="str">
        <x:v>มัสยิดกลางปัตตานี</x:v>
      </x:c>
      <x:c r="D98" s="8" t="str">
        <x:v>ปัตตานี</x:v>
      </x:c>
      <x:c r="E98" s="8" t="str">
        <x:v>TMF-375</x:v>
      </x:c>
      <x:c r="F98" s="8" t="str">
        <x:v>มัสยิดกลางจังหวัดปัตตานี</x:v>
      </x:c>
      <x:c r="G98" s="8" t="str">
        <x:v>มีในชุด 600</x:v>
      </x:c>
      <x:c r="H98" s="8" t="str">
        <x:v>อยู่ในต้นฉบับเส้นทาง</x:v>
      </x:c>
      <x:c r="I98" s="8" t="str">
        <x:v>https://www.thic.or.th/th/tourist/detail/mosques/45</x:v>
      </x:c>
      <x:c r="J98" s="8" t="str">
        <x:v>https://th.trip.com/travel-guide/attraction/pattani-city/pattani-central-mosque-56081620/?curr=BRL&amp;locale=th-TH</x:v>
      </x:c>
    </x:row>
    <x:row r="99" ht="76" customHeight="1">
      <x:c r="A99" s="2" t="str">
        <x:v>09</x:v>
      </x:c>
      <x:c r="B99" s="2" t="str">
        <x:v>1</x:v>
      </x:c>
      <x:c r="C99" s="8" t="str">
        <x:v>ชุมชนบาราโหม</x:v>
      </x:c>
      <x:c r="D99" s="8" t="str">
        <x:v>ปัตตานี</x:v>
      </x:c>
      <x:c r="E99" s="8" t="str">
        <x:v>R26-091</x:v>
      </x:c>
      <x:c r="F99" s="8" t="str">
        <x:v>ชุมชนบาราโหม</x:v>
      </x:c>
      <x:c r="G99" s="8" t="str">
        <x:v>มีในชุด 600</x:v>
      </x:c>
      <x:c r="H99" s="8" t="str">
        <x:v>อยู่ในต้นฉบับเส้นทาง</x:v>
      </x:c>
      <x:c r="I99" s="8" t="str">
        <x:v>https://pattani.go.th/travel/detail/43</x:v>
      </x:c>
      <x:c r="J99" s="8" t="str">
        <x:v>https://wikicommunity.sac.or.th/community/198</x:v>
      </x:c>
    </x:row>
    <x:row r="100" ht="76" customHeight="1">
      <x:c r="A100" s="2" t="str">
        <x:v>09</x:v>
      </x:c>
      <x:c r="B100" s="2" t="str">
        <x:v>1</x:v>
      </x:c>
      <x:c r="C100" s="8" t="str">
        <x:v>หาดตะโละกาโปร์</x:v>
      </x:c>
      <x:c r="D100" s="8" t="str">
        <x:v>ปัตตานี</x:v>
      </x:c>
      <x:c r="E100" s="8" t="str">
        <x:v>R26-092</x:v>
      </x:c>
      <x:c r="F100" s="8" t="str">
        <x:v>หาดตะโละกาโปร์</x:v>
      </x:c>
      <x:c r="G100" s="8" t="str">
        <x:v>มีในชุด 600</x:v>
      </x:c>
      <x:c r="H100" s="8" t="str">
        <x:v>อยู่ในต้นฉบับเส้นทาง</x:v>
      </x:c>
      <x:c r="I100" s="8" t="str">
        <x:v>https://pattani.mots.go.th/news/379</x:v>
      </x:c>
      <x:c r="J100" s="8" t="str">
        <x:v>https://www.pattani.go.th/travel/detail/59</x:v>
      </x:c>
    </x:row>
    <x:row r="101" ht="76" customHeight="1">
      <x:c r="A101" s="2" t="str">
        <x:v>09</x:v>
      </x:c>
      <x:c r="B101" s="2" t="str">
        <x:v>1</x:v>
      </x:c>
      <x:c r="C101" s="8" t="str">
        <x:v>ตลาดโต้รุ่งปัตตานี</x:v>
      </x:c>
      <x:c r="D101" s="8" t="str">
        <x:v>ปัตตานี</x:v>
      </x:c>
      <x:c r="E101" s="8" t="str">
        <x:v>R26-093</x:v>
      </x:c>
      <x:c r="F101" s="8" t="str">
        <x:v>ตลาดโต้รุ่งปัตตานี</x:v>
      </x:c>
      <x:c r="G101" s="8" t="str">
        <x:v>มีในชุด 600</x:v>
      </x:c>
      <x:c r="H101" s="8" t="str">
        <x:v>อยู่ในต้นฉบับเส้นทาง</x:v>
      </x:c>
      <x:c r="I101" s="8" t="str">
        <x:v>https://www.youtube.com/watch?v=dGv2PiAUfMo</x:v>
      </x:c>
      <x:c r="J101" s="8" t="str">
        <x:v>https://www.thaithurkic.com/%E0%B8%A3%E0%B9%89%E0%B8%B2%E0%B8%99%E0%B8%81%E0%B9%8B%E0%B8%A7%E0%B8%A2%E0%B9%80%E0%B8%95%E0%B8%B5%E0%B9%8B%E0%B8%A2%E0%B8%A7%E0%B9%80%E0%B8%9A%E0%B8%B4%E0%B9%89%E0%B8%A1%E0%B8%99%E0%B8%84%E0%B8%A3%E0%B8%9B%E0%B8%90%E0%B8%A1-081-748-7629</x:v>
      </x:c>
    </x:row>
    <x:row r="102" ht="76" customHeight="1">
      <x:c r="A102" s="2" t="str">
        <x:v>09</x:v>
      </x:c>
      <x:c r="B102" s="2" t="str">
        <x:v>2</x:v>
      </x:c>
      <x:c r="C102" s="8" t="str">
        <x:v>Yala Bird City Street Art</x:v>
      </x:c>
      <x:c r="D102" s="8" t="str">
        <x:v>ยะลา</x:v>
      </x:c>
      <x:c r="E102" s="8" t="str">
        <x:v>R26-094</x:v>
      </x:c>
      <x:c r="F102" s="8" t="str">
        <x:v>Yala Bird City Street Art</x:v>
      </x:c>
      <x:c r="G102" s="8" t="str">
        <x:v>มีในชุด 600</x:v>
      </x:c>
      <x:c r="H102" s="8" t="str">
        <x:v>อยู่ในต้นฉบับเส้นทาง</x:v>
      </x:c>
      <x:c r="I102" s="8" t="str">
        <x:v>https://wanderlog.com/place/details/329303</x:v>
      </x:c>
      <x:c r="J102" s="8" t="str">
        <x:v>https://in.trip.com/travel-guide/attraction/yala/yala-bird-city-street-art-133527428/</x:v>
      </x:c>
    </x:row>
    <x:row r="103" ht="76" customHeight="1">
      <x:c r="A103" s="2" t="str">
        <x:v>09</x:v>
      </x:c>
      <x:c r="B103" s="2" t="str">
        <x:v>2</x:v>
      </x:c>
      <x:c r="C103" s="8" t="str">
        <x:v>มัสยิดกลางยะลา</x:v>
      </x:c>
      <x:c r="D103" s="8" t="str">
        <x:v>ยะลา</x:v>
      </x:c>
      <x:c r="E103" s="8" t="str">
        <x:v>R26-095</x:v>
      </x:c>
      <x:c r="F103" s="8" t="str">
        <x:v>มัสยิดกลางยะลา</x:v>
      </x:c>
      <x:c r="G103" s="8" t="str">
        <x:v>มีในชุด 600</x:v>
      </x:c>
      <x:c r="H103" s="8" t="str">
        <x:v>อยู่ในต้นฉบับเส้นทาง</x:v>
      </x:c>
      <x:c r="I103" s="8" t="str">
        <x:v>https://yala.industry.go.th/web-upload/74x313b3ac4ee26bcd80fc6d420428093b9/202205/m_page/21299/3317/file_download/e337d4e9a0235aeb663e2afad1c0bbd5.pdf</x:v>
      </x:c>
      <x:c r="J103" s="8" t="str">
        <x:v>https://www.wongnai.com/reviews/3c9bbb957bfb495e9d77824c1e29230a</x:v>
      </x:c>
    </x:row>
    <x:row r="104" ht="76" customHeight="1">
      <x:c r="A104" s="2" t="str">
        <x:v>09</x:v>
      </x:c>
      <x:c r="B104" s="2" t="str">
        <x:v>2</x:v>
      </x:c>
      <x:c r="C104" s="8" t="str">
        <x:v>ลือซง ยะลา</x:v>
      </x:c>
      <x:c r="D104" s="8" t="str">
        <x:v>ยะลา</x:v>
      </x:c>
      <x:c r="E104" s="8" t="str"/>
      <x:c r="F104" s="8" t="str"/>
      <x:c r="G104" s="8" t="str">
        <x:v>พักไว้/ไม่แยกนับ</x:v>
      </x:c>
      <x:c r="H104" s="8" t="str">
        <x:v>ยังยืนยันร้านลือซงในยะลาไม่ได้</x:v>
      </x:c>
      <x:c r="I104" s="8" t="str"/>
      <x:c r="J104" s="8" t="str"/>
    </x:row>
    <x:row r="105" ht="76" customHeight="1">
      <x:c r="A105" s="2" t="str">
        <x:v>09</x:v>
      </x:c>
      <x:c r="B105" s="2" t="str">
        <x:v>2</x:v>
      </x:c>
      <x:c r="C105" s="8" t="str">
        <x:v>สวนขวัญเมือง</x:v>
      </x:c>
      <x:c r="D105" s="8" t="str">
        <x:v>ยะลา</x:v>
      </x:c>
      <x:c r="E105" s="8" t="str">
        <x:v>R26-097</x:v>
      </x:c>
      <x:c r="F105" s="8" t="str">
        <x:v>สวนขวัญเมือง</x:v>
      </x:c>
      <x:c r="G105" s="8" t="str">
        <x:v>มีในชุด 600</x:v>
      </x:c>
      <x:c r="H105" s="8" t="str">
        <x:v>อยู่ในต้นฉบับเส้นทาง</x:v>
      </x:c>
      <x:c r="I105" s="8" t="str">
        <x:v>https://yala.mots.go.th/news/343</x:v>
      </x:c>
      <x:c r="J105" s="8" t="str">
        <x:v>https://cbtthailand.dasta.or.th/webapp/relattraction/content/1664/</x:v>
      </x:c>
    </x:row>
    <x:row r="106" ht="76" customHeight="1">
      <x:c r="A106" s="2" t="str">
        <x:v>09</x:v>
      </x:c>
      <x:c r="B106" s="2" t="str">
        <x:v>2</x:v>
      </x:c>
      <x:c r="C106" s="8" t="str">
        <x:v>ตลาดเมืองใหม่ยะลา</x:v>
      </x:c>
      <x:c r="D106" s="8" t="str">
        <x:v>ยะลา</x:v>
      </x:c>
      <x:c r="E106" s="8" t="str">
        <x:v>R26-098</x:v>
      </x:c>
      <x:c r="F106" s="8" t="str">
        <x:v>ตลาดเมืองใหม่ยะลา</x:v>
      </x:c>
      <x:c r="G106" s="8" t="str">
        <x:v>มีในชุด 600</x:v>
      </x:c>
      <x:c r="H106" s="8" t="str">
        <x:v>อยู่ในต้นฉบับเส้นทาง</x:v>
      </x:c>
      <x:c r="I106" s="8" t="str">
        <x:v>https://wikicommunity.sac.or.th/community/740</x:v>
      </x:c>
      <x:c r="J106" s="8" t="str">
        <x:v>https://nbtsongkhla.prd.go.th/th/content/category/detail/id/2988/iid/543789</x:v>
      </x:c>
    </x:row>
    <x:row r="107" ht="76" customHeight="1">
      <x:c r="A107" s="2" t="str">
        <x:v>10</x:v>
      </x:c>
      <x:c r="B107" s="2" t="str">
        <x:v>1</x:v>
      </x:c>
      <x:c r="C107" s="8" t="str">
        <x:v>ลันเบอร์เกอร์ ท่าศาลา</x:v>
      </x:c>
      <x:c r="D107" s="8" t="str">
        <x:v>นครศรีธรรมราช</x:v>
      </x:c>
      <x:c r="E107" s="8" t="str">
        <x:v>R26-099</x:v>
      </x:c>
      <x:c r="F107" s="8" t="str">
        <x:v>ลันเบอร์เกอร์ ท่าศาลา</x:v>
      </x:c>
      <x:c r="G107" s="8" t="str">
        <x:v>มีในชุด 600</x:v>
      </x:c>
      <x:c r="H107" s="8" t="str">
        <x:v>อยู่ในต้นฉบับเส้นทาง</x:v>
      </x:c>
      <x:c r="I107" s="8" t="str">
        <x:v>https://dcg.wu.ac.th/wp-content/uploads/2025/05/%E0%B8%A3%E0%B8%B2%E0%B8%A2%E0%B8%A5%E0%B8%B0%E0%B9%80%E0%B8%AD%E0%B8%B5%E0%B8%A2%E0%B8%94%E0%B8%A3%E0%B9%89%E0%B8%B2%E0%B8%99%E0%B8%94%E0%B8%B1%E0%B8%87%E0%B8%97%E0%B9%88%E0%B8%B2%E0%B8%A8%E0%B8%B2%E0%B8%A5%E0%B8%B2.pdf</x:v>
      </x:c>
      <x:c r="J107" s="8" t="str">
        <x:v>https://th.tripadvisor.com/Restaurant_Review-g2237660-d12912707-Reviews-Lun_Burger-Tha_Sala_Nakhon_Si_Thammarat_Province.html</x:v>
      </x:c>
    </x:row>
    <x:row r="108" ht="76" customHeight="1">
      <x:c r="A108" s="2" t="str">
        <x:v>10</x:v>
      </x:c>
      <x:c r="B108" s="2" t="str">
        <x:v>1</x:v>
      </x:c>
      <x:c r="C108" s="8" t="str">
        <x:v>มัสยิดกลางจังหวัดนครศรีธรรมราช</x:v>
      </x:c>
      <x:c r="D108" s="8" t="str">
        <x:v>นครศรีธรรมราช</x:v>
      </x:c>
      <x:c r="E108" s="8" t="str">
        <x:v>R26-100</x:v>
      </x:c>
      <x:c r="F108" s="8" t="str">
        <x:v>มัสยิดกลางจังหวัดนครศรีธรรมราช</x:v>
      </x:c>
      <x:c r="G108" s="8" t="str">
        <x:v>มีในชุด 600</x:v>
      </x:c>
      <x:c r="H108" s="8" t="str">
        <x:v>อยู่ในต้นฉบับเส้นทาง</x:v>
      </x:c>
      <x:c r="I108" s="8" t="str">
        <x:v>https://www.thailandtourismdirectory.go.th/attraction/21521</x:v>
      </x:c>
      <x:c r="J108" s="8" t="str">
        <x:v>https://www.youtube.com/watch?v=PbIei9Z8eOc</x:v>
      </x:c>
    </x:row>
    <x:row r="109" ht="76" customHeight="1">
      <x:c r="A109" s="2" t="str">
        <x:v>10</x:v>
      </x:c>
      <x:c r="B109" s="2" t="str">
        <x:v>1</x:v>
      </x:c>
      <x:c r="C109" s="8" t="str">
        <x:v>ชุมชนบ้านคีรีวง</x:v>
      </x:c>
      <x:c r="D109" s="8" t="str">
        <x:v>นครศรีธรรมราช</x:v>
      </x:c>
      <x:c r="E109" s="8" t="str">
        <x:v>R26-101</x:v>
      </x:c>
      <x:c r="F109" s="8" t="str">
        <x:v>ชุมชนบ้านคีรีวง</x:v>
      </x:c>
      <x:c r="G109" s="8" t="str">
        <x:v>มีในชุด 600</x:v>
      </x:c>
      <x:c r="H109" s="8" t="str">
        <x:v>อยู่ในต้นฉบับเส้นทาง</x:v>
      </x:c>
      <x:c r="I109" s="8" t="str">
        <x:v>https://wikicommunity.sac.or.th/community/1059</x:v>
      </x:c>
      <x:c r="J109" s="8" t="str">
        <x:v>https://elibrary.tsri.or.th/fullP/RDG60T0188/RDG60T0188_full.pdf</x:v>
      </x:c>
    </x:row>
    <x:row r="110" ht="76" customHeight="1">
      <x:c r="A110" s="2" t="str">
        <x:v>10</x:v>
      </x:c>
      <x:c r="B110" s="2" t="str">
        <x:v>1</x:v>
      </x:c>
      <x:c r="C110" s="8" t="str">
        <x:v>KIREE มัดย้อมสีธรรมชาติบ้านคีรีวง</x:v>
      </x:c>
      <x:c r="D110" s="8" t="str">
        <x:v>นครศรีธรรมราช</x:v>
      </x:c>
      <x:c r="E110" s="8" t="str">
        <x:v>R26-102</x:v>
      </x:c>
      <x:c r="F110" s="8" t="str">
        <x:v>KIREE มัดย้อมสีธรรมชาติบ้านคีรีวง</x:v>
      </x:c>
      <x:c r="G110" s="8" t="str">
        <x:v>มีในชุด 600</x:v>
      </x:c>
      <x:c r="H110" s="8" t="str">
        <x:v>อยู่ในต้นฉบับเส้นทาง</x:v>
      </x:c>
      <x:c r="I110" s="8" t="str">
        <x:v>https://nakhonsi.cdd.go.th/th/content/category/detail/id/74/iid/381180</x:v>
      </x:c>
      <x:c r="J110" s="8" t="str">
        <x:v>https://www.yellowpages.co.th/profile/%E0%B8%81%E0%B8%A5%E0%B8%B8%E0%B9%88%E0%B8%A1%E0%B8%A1%E0%B8%B1%E0%B8%94%E0%B8%A2%E0%B9%89%E0%B8%AD%E0%B8%A1%E0%B8%AA%E0%B8%B5%E0%B8%98%E0%B8%A3%E0%B8%A3%E0%B8%A1%E0%B8%8A%E0%B8%B2%E0%B8%95%E0%B8%B4%E0%B8%9A%E0%B9%89%E0%B8%B2%E0%B8%99%E0%B8%84%E0%B8%B5%E0%B8%A3%E0%B8%B5%E0%B8%A7%E0%B8%87-93kKPyl9i</x:v>
      </x:c>
    </x:row>
    <x:row r="111" ht="76" customHeight="1">
      <x:c r="A111" s="2" t="str">
        <x:v>10</x:v>
      </x:c>
      <x:c r="B111" s="2" t="str">
        <x:v>1</x:v>
      </x:c>
      <x:c r="C111" s="8" t="str">
        <x:v>เมืองเก่านครศรีธรรมราช</x:v>
      </x:c>
      <x:c r="D111" s="8" t="str">
        <x:v>นครศรีธรรมราช</x:v>
      </x:c>
      <x:c r="E111" s="8" t="str">
        <x:v>R26-103</x:v>
      </x:c>
      <x:c r="F111" s="8" t="str">
        <x:v>เมืองเก่านครศรีธรรมราช</x:v>
      </x:c>
      <x:c r="G111" s="8" t="str">
        <x:v>มีในชุด 600</x:v>
      </x:c>
      <x:c r="H111" s="8" t="str">
        <x:v>อยู่ในต้นฉบับเส้นทาง</x:v>
      </x:c>
      <x:c r="I111" s="8" t="str">
        <x:v>https://nced.onep.go.th/knowledge/oldtown/scenario_oldtown.pdf</x:v>
      </x:c>
      <x:c r="J111" s="8" t="str">
        <x:v>https://nakhonsithammarat.prd.go.th/th/content/category/detail/id/13/cid/9/iid/507348</x:v>
      </x:c>
    </x:row>
    <x:row r="112" ht="76" customHeight="1">
      <x:c r="A112" s="2" t="str">
        <x:v>10</x:v>
      </x:c>
      <x:c r="B112" s="2" t="str">
        <x:v>1</x:v>
      </x:c>
      <x:c r="C112" s="8" t="str">
        <x:v>ร้านอาหารอิสลามซูบัยด๊ะ</x:v>
      </x:c>
      <x:c r="D112" s="8" t="str">
        <x:v>พัทลุง</x:v>
      </x:c>
      <x:c r="E112" s="8" t="str">
        <x:v>R26-104</x:v>
      </x:c>
      <x:c r="F112" s="8" t="str">
        <x:v>ร้านอาหารอิสลามซูบัยด๊ะ</x:v>
      </x:c>
      <x:c r="G112" s="8" t="str">
        <x:v>มีในชุด 600</x:v>
      </x:c>
      <x:c r="H112" s="8" t="str">
        <x:v>อยู่ในต้นฉบับเส้นทาง</x:v>
      </x:c>
      <x:c r="I112" s="8" t="str">
        <x:v>https://restaurantguru.com/%E0%B8%A3%E0%B9%89%E0%B8%B2%E0%B8%99%E0%B8%AD%E0%B8%B2%E0%B8%AB%E0%B8%B2%E0%B8%A3%E0%B8%AD%E0%B8%B4%E0%B8%AA%E0%B8%A5%E0%B8%B2%E0%B8%A1%E0%B8%8B%E0%B8%B9%E0%B8%9A%E0%B8%B1%E0%B8%9A%E0%B8%94%E0%B9%8A%E0%B8%B0-Thailand</x:v>
      </x:c>
      <x:c r="J112" s="8" t="str">
        <x:v>https://www.wongnai.com/restaurants/828331aG-%E0%B8%A3%E0%B9%89%E0%B8%B2%E0%B8%99%E0%B8%AD%E0%B8%B2%E0%B8%AB%E0%B8%B2%E0%B8%A3%E0%B8%AD%E0%B8%B4%E0%B8%AA%E0%B8%A5%E0%B8%B2%E0%B8%A1%E0%B8%8B%E0%B8%B9%E0%B8%9A%E0%B8%B1%E0%B8%A2%E0%B8%94%E0%B9%8A%E0%B8%B0-%E0%B8%AE%E0%B8%B2%E0%B8%A5%E0%B8%B2%E0%B8%A5</x:v>
      </x:c>
    </x:row>
    <x:row r="113" ht="76" customHeight="1">
      <x:c r="A113" s="2" t="str">
        <x:v>10</x:v>
      </x:c>
      <x:c r="B113" s="2" t="str">
        <x:v>1</x:v>
      </x:c>
      <x:c r="C113" s="8" t="str">
        <x:v>โรงแรมศิวา รอยัล พัทลุง</x:v>
      </x:c>
      <x:c r="D113" s="8" t="str">
        <x:v>พัทลุง</x:v>
      </x:c>
      <x:c r="E113" s="8" t="str">
        <x:v>R26-105</x:v>
      </x:c>
      <x:c r="F113" s="8" t="str">
        <x:v>โรงแรมศิวา รอยัล พัทลุง</x:v>
      </x:c>
      <x:c r="G113" s="8" t="str">
        <x:v>มีในชุด 600</x:v>
      </x:c>
      <x:c r="H113" s="8" t="str">
        <x:v>อยู่ในต้นฉบับเส้นทาง</x:v>
      </x:c>
      <x:c r="I113" s="8" t="str">
        <x:v>https://www.phatthalungpao.go.th/hotel/detail/199</x:v>
      </x:c>
      <x:c r="J113" s="8" t="str">
        <x:v>https://www.sivaroyal.com/</x:v>
      </x:c>
    </x:row>
    <x:row r="114" ht="76" customHeight="1">
      <x:c r="A114" s="2" t="str">
        <x:v>10</x:v>
      </x:c>
      <x:c r="B114" s="2" t="str">
        <x:v>2</x:v>
      </x:c>
      <x:c r="C114" s="8" t="str">
        <x:v>ทะเลน้อย</x:v>
      </x:c>
      <x:c r="D114" s="8" t="str">
        <x:v>พัทลุง</x:v>
      </x:c>
      <x:c r="E114" s="8" t="str">
        <x:v>R26-106</x:v>
      </x:c>
      <x:c r="F114" s="8" t="str">
        <x:v>ทะเลน้อย</x:v>
      </x:c>
      <x:c r="G114" s="8" t="str">
        <x:v>มีในชุด 600</x:v>
      </x:c>
      <x:c r="H114" s="8" t="str">
        <x:v>อยู่ในต้นฉบับเส้นทาง</x:v>
      </x:c>
      <x:c r="I114" s="8" t="str">
        <x:v>https://epo14.pcd.go.th/th/news/detail/159874</x:v>
      </x:c>
      <x:c r="J114" s="8" t="str">
        <x:v>https://www.phatthalungpao.go.th/travel/detail/135</x:v>
      </x:c>
    </x:row>
    <x:row r="115" ht="76" customHeight="1">
      <x:c r="A115" s="2" t="str">
        <x:v>10</x:v>
      </x:c>
      <x:c r="B115" s="2" t="str">
        <x:v>2</x:v>
      </x:c>
      <x:c r="C115" s="8" t="str">
        <x:v>ไร่ชาพันไมล์</x:v>
      </x:c>
      <x:c r="D115" s="8" t="str">
        <x:v>พัทลุง</x:v>
      </x:c>
      <x:c r="E115" s="8" t="str">
        <x:v>R26-107</x:v>
      </x:c>
      <x:c r="F115" s="8" t="str">
        <x:v>ไร่ชาพันไมล์</x:v>
      </x:c>
      <x:c r="G115" s="8" t="str">
        <x:v>มีในชุด 600</x:v>
      </x:c>
      <x:c r="H115" s="8" t="str">
        <x:v>อยู่ในต้นฉบับเส้นทาง</x:v>
      </x:c>
      <x:c r="I115" s="8" t="str">
        <x:v>https://www.lemon8-app.com/%40iiikaniii/7454914081598767617?region=th</x:v>
      </x:c>
      <x:c r="J115" s="8" t="str">
        <x:v>https://www.booking.com/hotel/th/baanelkainpaaaihyohmsety.th.html</x:v>
      </x:c>
    </x:row>
    <x:row r="116" ht="76" customHeight="1">
      <x:c r="A116" s="2" t="str">
        <x:v>10</x:v>
      </x:c>
      <x:c r="B116" s="2" t="str">
        <x:v>2</x:v>
      </x:c>
      <x:c r="C116" s="8" t="str">
        <x:v>สวนเดอลอง</x:v>
      </x:c>
      <x:c r="D116" s="8" t="str">
        <x:v>พัทลุง</x:v>
      </x:c>
      <x:c r="E116" s="8" t="str">
        <x:v>R26-108</x:v>
      </x:c>
      <x:c r="F116" s="8" t="str">
        <x:v>สวนเดอลอง</x:v>
      </x:c>
      <x:c r="G116" s="8" t="str">
        <x:v>มีในชุด 600</x:v>
      </x:c>
      <x:c r="H116" s="8" t="str">
        <x:v>อยู่ในต้นฉบับเส้นทาง</x:v>
      </x:c>
      <x:c r="I116" s="8" t="str">
        <x:v>https://www.delonggarden.com/</x:v>
      </x:c>
      <x:c r="J116" s="8" t="str">
        <x:v>https://www.tatstar.org/company/STAR-C00268</x:v>
      </x:c>
    </x:row>
    <x:row r="117" ht="76" customHeight="1">
      <x:c r="A117" s="2" t="str">
        <x:v>10</x:v>
      </x:c>
      <x:c r="B117" s="2" t="str">
        <x:v>2</x:v>
      </x:c>
      <x:c r="C117" s="8" t="str">
        <x:v>มัสยิดกลางจังหวัดพัทลุง</x:v>
      </x:c>
      <x:c r="D117" s="8" t="str">
        <x:v>พัทลุง</x:v>
      </x:c>
      <x:c r="E117" s="8" t="str">
        <x:v>R26-109</x:v>
      </x:c>
      <x:c r="F117" s="8" t="str">
        <x:v>มัสยิดกลางจังหวัดพัทลุง</x:v>
      </x:c>
      <x:c r="G117" s="8" t="str">
        <x:v>มีในชุด 600</x:v>
      </x:c>
      <x:c r="H117" s="8" t="str">
        <x:v>อยู่ในต้นฉบับเส้นทาง</x:v>
      </x:c>
      <x:c r="I117" s="8" t="str">
        <x:v>https://phatlung.nso.go.th/images/ebook/performance/000114.pdf</x:v>
      </x:c>
      <x:c r="J117" s="8" t="str">
        <x:v>https://www.phatthalung.go.th/2022/files/com_news_develop/2022-04_677cac2c26c2239.pdf</x:v>
      </x:c>
    </x:row>
    <x:row r="118" ht="76" customHeight="1">
      <x:c r="A118" s="2" t="str">
        <x:v>10</x:v>
      </x:c>
      <x:c r="B118" s="2" t="str">
        <x:v>2</x:v>
      </x:c>
      <x:c r="C118" s="8" t="str">
        <x:v>หลาดใต้ถุน ปากพะยูน ชุมชนบ้านกลาง</x:v>
      </x:c>
      <x:c r="D118" s="8" t="str">
        <x:v>พัทลุง</x:v>
      </x:c>
      <x:c r="E118" s="8" t="str">
        <x:v>R26-110</x:v>
      </x:c>
      <x:c r="F118" s="8" t="str">
        <x:v>หลาดใต้ถุน ปากพะยูน ชุมชนบ้านกลาง</x:v>
      </x:c>
      <x:c r="G118" s="8" t="str">
        <x:v>มีในชุด 600</x:v>
      </x:c>
      <x:c r="H118" s="8" t="str">
        <x:v>อยู่ในต้นฉบับเส้นทาง</x:v>
      </x:c>
      <x:c r="I118" s="8" t="str">
        <x:v>https://songkhlafocus.com/news/21585/05/</x:v>
      </x:c>
      <x:c r="J118" s="8" t="str">
        <x:v>https://www.youtube.com/watch?v=M0QIRIEUBvg</x:v>
      </x:c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64" t="str">
        <x:v>ข้อแก้ไขและประเด็นระดับเส้นทาง</x:v>
      </x:c>
      <x:c r="D121" s="2"/>
      <x:c r="E121" s="2"/>
      <x:c r="F121" s="2"/>
      <x:c r="G121" s="2"/>
      <x:c r="H121" s="2"/>
      <x:c r="I121" s="2"/>
      <x:c r="J121" s="2"/>
    </x:row>
    <x:row r="122" ht="100" customHeight="1">
      <x:c r="A122" s="2" t="str">
        <x:v>01</x:v>
      </x:c>
      <x:c r="B122" s="2"/>
      <x:c r="C122" s="8" t="str">
        <x:v>กาดบ้านฮ่อเป็นตลาดวันศุกร์ แต่ถนนคนเดินท่าแพเป็นวันอาทิตย์ ต้องปรับวันเดินทางหรือเปลี่ยนจุดแวะ</x:v>
      </x:c>
      <x:c r="D122" s="2"/>
      <x:c r="E122" s="2"/>
      <x:c r="F122" s="2"/>
      <x:c r="G122" s="2"/>
      <x:c r="H122" s="2"/>
      <x:c r="I122" s="2"/>
      <x:c r="J122" s="2"/>
    </x:row>
    <x:row r="123" ht="100" customHeight="1">
      <x:c r="A123" s="2" t="str">
        <x:v>03</x:v>
      </x:c>
      <x:c r="B123" s="2"/>
      <x:c r="C123" s="8" t="str">
        <x:v>Al Meroz อยู่ย่านรามคำแหง ไม่ใช่สุขุมวิท ต้องคำนวณเวลาเดินทางใหม่</x:v>
      </x:c>
      <x:c r="D123" s="2"/>
      <x:c r="E123" s="2"/>
      <x:c r="F123" s="2"/>
      <x:c r="G123" s="2"/>
      <x:c r="H123" s="2"/>
      <x:c r="I123" s="2"/>
      <x:c r="J123" s="2"/>
    </x:row>
    <x:row r="124" ht="100" customHeight="1">
      <x:c r="A124" s="2" t="str">
        <x:v>03</x:v>
      </x:c>
      <x:c r="B124" s="2"/>
      <x:c r="C124" s="8" t="str">
        <x:v>FARAYA ยังต้องยืนยันการเปิดหลังซ่อมบำรุงและท่าเรือ</x:v>
      </x:c>
      <x:c r="D124" s="2"/>
      <x:c r="E124" s="2"/>
      <x:c r="F124" s="2"/>
      <x:c r="G124" s="2"/>
      <x:c r="H124" s="2"/>
      <x:c r="I124" s="2"/>
      <x:c r="J124" s="2"/>
    </x:row>
    <x:row r="125" ht="100" customHeight="1">
      <x:c r="A125" s="2" t="str">
        <x:v>04</x:v>
      </x:c>
      <x:c r="B125" s="2"/>
      <x:c r="C125" s="8" t="str">
        <x:v>Khun Anan Riverfront เป็นร้านอาหารจากแหล่งออนไลน์ ต้องจัดที่พักอื่นแยกและยืนยันกับผู้ประกอบการ</x:v>
      </x:c>
      <x:c r="D125" s="2"/>
      <x:c r="E125" s="2"/>
      <x:c r="F125" s="2"/>
      <x:c r="G125" s="2"/>
      <x:c r="H125" s="2"/>
      <x:c r="I125" s="2"/>
      <x:c r="J125" s="2"/>
    </x:row>
    <x:row r="126" ht="100" customHeight="1">
      <x:c r="A126" s="2" t="str">
        <x:v>06</x:v>
      </x:c>
      <x:c r="B126" s="2"/>
      <x:c r="C126" s="8" t="str">
        <x:v>หัวข้อ Day 2 ในต้นฉบับเขียน Pattaya แต่สถานที่อยู่ระยอง ใช้จังหวัดจริงในรายการ</x:v>
      </x:c>
      <x:c r="D126" s="2"/>
      <x:c r="E126" s="2"/>
      <x:c r="F126" s="2"/>
      <x:c r="G126" s="2"/>
      <x:c r="H126" s="2"/>
      <x:c r="I126" s="2"/>
      <x:c r="J126" s="2"/>
    </x:row>
    <x:row r="127" ht="100" customHeight="1">
      <x:c r="A127" s="2" t="str">
        <x:v>07</x:v>
      </x:c>
      <x:c r="B127" s="2"/>
      <x:c r="C127" s="8" t="str">
        <x:v>จุดสันหลังมังกรต้องยืนยันตำแหน่งว่าเป็นบ้านบ่อเจ็ดลูกหรือพื้นที่อื่น ก่อนแยกนับ</x:v>
      </x:c>
      <x:c r="D127" s="2"/>
      <x:c r="E127" s="2"/>
      <x:c r="F127" s="2"/>
      <x:c r="G127" s="2"/>
      <x:c r="H127" s="2"/>
      <x:c r="I127" s="2"/>
      <x:c r="J127" s="2"/>
    </x:row>
    <x:row r="128" ht="100" customHeight="1">
      <x:c r="A128" s="2" t="str">
        <x:v>ทุกเส้นทาง</x:v>
      </x:c>
      <x:c r="B128" s="2"/>
      <x:c r="C128" s="8" t="str">
        <x:v>ระยะทาง เวลาเดินทาง เวลาเปิด และโปรแกรมเรือใน PDF เป็นตัวอย่าง ยังไม่ยืนยันภาคสนาม</x:v>
      </x:c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</x:sheetData>
  <x:pageMargins left="0.7" right="0.7" top="0.75" bottom="0.75" header="0.3" footer="0.3"/>
  <x:tableParts count="1">
    <x:tablePart xmlns:r="http://schemas.openxmlformats.org/officeDocument/2006/relationships" r:id="R17d512478f35431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0" hidden="0" customWidth="1"/>
    <x:col min="2" max="2" width="50" hidden="0" customWidth="1"/>
    <x:col min="3" max="3" width="2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5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2" hidden="0" customWidth="1"/>
    <x:col min="28" max="28" width="20" hidden="0" customWidth="1"/>
    <x:col min="29" max="29" width="23" hidden="0" customWidth="1"/>
    <x:col min="30" max="30" width="24" hidden="0" customWidth="1"/>
    <x:col min="31" max="31" width="43" hidden="0" customWidth="1"/>
    <x:col min="32" max="32" width="25" hidden="0" customWidth="1"/>
    <x:col min="33" max="33" width="55" hidden="0" customWidth="1"/>
    <x:col min="34" max="34" width="26" hidden="0" customWidth="1"/>
    <x:col min="35" max="35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>
      <x:c r="A2" s="2"/>
      <x:c r="B2" s="3" t="str">
        <x:v>แบบประเมินตามเกณฑ์ v7 สำหรับทีมตรวจทาน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</x:row>
    <x:row r="4">
      <x:c r="A4" s="2"/>
      <x:c r="B4" s="2" t="str">
        <x:v>ช่องสีอ่อนเป็นข้อมูลทีมกรอก ไม่เติมคะแนนแทนหลักฐาน ไม่ทราบต่างจาก 0 และ N/A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>
      <x:c r="A5" s="2"/>
      <x:c r="B5" s="2" t="str">
        <x:v>เลือกการจำหน่ายอาหารก่อน: 1.1 กับ 1.2 ใช้เพียงข้อเดียว; มัสยิดไม่ประเมินคะแนนอาหารและแอลกอฮอล์ แต่ตรวจข้อมูลร้านฮาลาลใกล้เคียง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</x:row>
    <x:row r="6">
      <x:c r="A6" s="2"/>
      <x:c r="B6" s="2" t="str">
        <x:v>อ้างอิง Report_1.2_Definition_and_Criteria_FINAL_2026-10-20_v7 ตาราง 5-1 ถึง 5-5 หน้าเอกสาร 15–19; บรีฟทีมหน้า 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</x:row>
    <x:row r="7">
      <x:c r="A7" s="2"/>
      <x:c r="B7" s="2" t="str">
        <x:v>คะแนนสูงสุดรายข้อ (อาหาร 1.1/1.2 เป็นทางเลือก)</x:v>
      </x:c>
      <x:c r="C7" s="2"/>
      <x:c r="D7" s="2"/>
      <x:c r="E7" s="2"/>
      <x:c r="F7" s="2"/>
      <x:c r="G7" s="2"/>
      <x:c r="H7" s="2"/>
      <x:c r="I7" s="2"/>
      <x:c r="J7" s="2"/>
      <x:c r="K7" s="5" t="n">
        <x:v>30</x:v>
      </x:c>
      <x:c r="L7" s="5" t="n">
        <x:v>15</x:v>
      </x:c>
      <x:c r="M7" s="5" t="n">
        <x:v>15</x:v>
      </x:c>
      <x:c r="N7" s="5" t="n">
        <x:v>5</x:v>
      </x:c>
      <x:c r="O7" s="5" t="n">
        <x:v>5</x:v>
      </x:c>
      <x:c r="P7" s="5" t="n">
        <x:v>10</x:v>
      </x:c>
      <x:c r="Q7" s="5" t="n">
        <x:v>5</x:v>
      </x:c>
      <x:c r="R7" s="5" t="n">
        <x:v>4</x:v>
      </x:c>
      <x:c r="S7" s="5" t="n">
        <x:v>3</x:v>
      </x:c>
      <x:c r="T7" s="5" t="n">
        <x:v>3</x:v>
      </x:c>
      <x:c r="U7" s="5" t="n">
        <x:v>6</x:v>
      </x:c>
      <x:c r="V7" s="5" t="n">
        <x:v>4</x:v>
      </x:c>
      <x:c r="W7" s="5" t="n">
        <x:v>3</x:v>
      </x:c>
      <x:c r="X7" s="5" t="n">
        <x:v>3</x:v>
      </x:c>
      <x:c r="Y7" s="5" t="n">
        <x:v>2</x:v>
      </x:c>
      <x:c r="Z7" s="5" t="n">
        <x:v>2</x:v>
      </x:c>
      <x:c r="AA7" s="2"/>
      <x:c r="AB7" s="2"/>
      <x:c r="AC7" s="2"/>
      <x:c r="AD7" s="2"/>
      <x:c r="AE7" s="2"/>
      <x:c r="AF7" s="2"/>
      <x:c r="AG7" s="2"/>
      <x:c r="AH7" s="2"/>
      <x:c r="AI7" s="2"/>
    </x:row>
    <x:row r="8" ht="36" customHeight="1">
      <x:c r="A8" s="50" t="str">
        <x:v>รหัส</x:v>
      </x:c>
      <x:c r="B8" s="50" t="str">
        <x:v>ชื่อแหล่ง</x:v>
      </x:c>
      <x:c r="C8" s="50" t="str">
        <x:v>การจำหน่ายอาหาร</x:v>
      </x:c>
      <x:c r="D8" s="50" t="str">
        <x:v>บังคับ อาหาร/การเข้าถึง</x:v>
      </x:c>
      <x:c r="E8" s="50" t="str">
        <x:v>บังคับ ละหมาด/อาบน้ำ</x:v>
      </x:c>
      <x:c r="F8" s="50" t="str">
        <x:v>บังคับ ข้อมูลตรงจริง</x:v>
      </x:c>
      <x:c r="G8" s="50" t="str">
        <x:v>บังคับ แอลกอฮอล์</x:v>
      </x:c>
      <x:c r="H8" s="50" t="str">
        <x:v>บังคับ ห้องปลอดสัตว์เลี้ยง</x:v>
      </x:c>
      <x:c r="I8" s="50" t="str">
        <x:v>ปัจจัยศักยภาพที่ยืนยัน (จำนวน)</x:v>
      </x:c>
      <x:c r="J8" s="50" t="str">
        <x:v>ครัวมุสลิมยังไม่รับรอง</x:v>
      </x:c>
      <x:c r="K8" s="50" t="str">
        <x:v>1.1 ครัวรับรองและมุสลิมดูแล</x:v>
      </x:c>
      <x:c r="L8" s="50" t="str">
        <x:v>1.2 เข้าถึงอาหารฮาลาล</x:v>
      </x:c>
      <x:c r="M8" s="50" t="str">
        <x:v>2.1 ละหมาดและอาบน้ำละหมาด</x:v>
      </x:c>
      <x:c r="N8" s="50" t="str">
        <x:v>2.2 ทิศกิบละ</x:v>
      </x:c>
      <x:c r="O8" s="50" t="str">
        <x:v>2.3 อุปกรณ์ละหมาด</x:v>
      </x:c>
      <x:c r="P8" s="50" t="str">
        <x:v>3.1 น้ำชำระ/สายฉีด</x:v>
      </x:c>
      <x:c r="Q8" s="50" t="str">
        <x:v>4.1 ข้อมูลตรงจริง</x:v>
      </x:c>
      <x:c r="R8" s="50" t="str">
        <x:v>4.2 ข้อมูลออนไลน์</x:v>
      </x:c>
      <x:c r="S8" s="50" t="str">
        <x:v>4.3 ภาษา</x:v>
      </x:c>
      <x:c r="T8" s="50" t="str">
        <x:v>4.4 ประสบการณ์/เครือข่าย</x:v>
      </x:c>
      <x:c r="U8" s="50" t="str">
        <x:v>5.1 อบรม/เข้าใจอิสลาม</x:v>
      </x:c>
      <x:c r="V8" s="50" t="str">
        <x:v>5.2 ผู้รับผิดชอบ</x:v>
      </x:c>
      <x:c r="W8" s="50" t="str">
        <x:v>6.1 บริการแยกเพศ</x:v>
      </x:c>
      <x:c r="X8" s="50" t="str">
        <x:v>6.2 แอลกอฮอล์</x:v>
      </x:c>
      <x:c r="Y8" s="50" t="str">
        <x:v>6.3 รอมฎอน/อีด</x:v>
      </x:c>
      <x:c r="Z8" s="50" t="str">
        <x:v>6.4 กิจกรรมสอดคล้อง</x:v>
      </x:c>
      <x:c r="AA8" s="50" t="str">
        <x:v>คะแนนเต็มที่ใช้</x:v>
      </x:c>
      <x:c r="AB8" s="50" t="str">
        <x:v>คะแนนที่ได้</x:v>
      </x:c>
      <x:c r="AC8" s="50" t="str">
        <x:v>คะแนนปรับเป็น 100</x:v>
      </x:c>
      <x:c r="AD8" s="50" t="str">
        <x:v>ผลเงื่อนไขบังคับ</x:v>
      </x:c>
      <x:c r="AE8" s="50" t="str">
        <x:v>กลุ่มจากผลประเมิน</x:v>
      </x:c>
      <x:c r="AF8" s="50" t="str">
        <x:v>เหตุไม่ผ่านคัดเลือก</x:v>
      </x:c>
      <x:c r="AG8" s="50" t="str">
        <x:v>สิ่งที่ต้องทำ</x:v>
      </x:c>
      <x:c r="AH8" s="50" t="str">
        <x:v>ผู้ประเมิน</x:v>
      </x:c>
      <x:c r="AI8" s="50" t="str">
        <x:v>วันที่ประเมิน</x:v>
      </x:c>
    </x:row>
    <x:row r="9" ht="60" customHeight="1">
      <x:c r="A9" s="2" t="str">
        <x:v>R26-007</x:v>
      </x:c>
      <x:c r="B9" s="8" t="str">
        <x:v>มัสยิดอันซอรี</x:v>
      </x:c>
      <x:c r="C9" s="59" t="str">
        <x:v>มัสยิด</x:v>
      </x:c>
      <x:c r="D9" s="59" t="str">
        <x:v>ไม่ทราบ</x:v>
      </x:c>
      <x:c r="E9" s="59" t="str">
        <x:v>ไม่ทราบ</x:v>
      </x:c>
      <x:c r="F9" s="59" t="str">
        <x:v>ไม่ทราบ</x:v>
      </x:c>
      <x:c r="G9" s="59" t="str">
        <x:v>N/A</x:v>
      </x:c>
      <x:c r="H9" s="59" t="str">
        <x:v>N/A</x:v>
      </x:c>
      <x:c r="I9" s="59"/>
      <x:c r="J9" s="59" t="str">
        <x:v>ไม่ทราบ</x:v>
      </x:c>
      <x:c r="K9" s="59" t="str">
        <x:v>N/A</x:v>
      </x:c>
      <x:c r="L9" s="59" t="str">
        <x:v>N/A</x:v>
      </x:c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 t="str">
        <x:v>N/A</x:v>
      </x:c>
      <x:c r="Y9" s="59"/>
      <x:c r="Z9" s="59"/>
      <x:c r="AA9" s="8" t="n">
        <x:f>IF(C9="ไม่ทราบ","",SUMIFS($K$7:$Z$7,K9:Z9,"&lt;&gt;N/A"))</x:f>
        <x:v>67</x:v>
      </x:c>
      <x:c r="AB9" s="8" t="str">
        <x:f>IF(AND(OR(AND(C9="จำหน่ายอาหาร",ISNUMBER(K9),L9="N/A"),AND(C9="ไม่จำหน่ายอาหาร",K9="N/A",ISNUMBER(L9)),AND(C9="มัสยิด",K9="N/A",L9="N/A",X9="N/A")),COUNT(K9:Z9)+COUNTIFS(K9:Z9,"N/A")=16),SUM(K9:Z9),"")</x:f>
      </x:c>
      <x:c r="AC9" s="62" t="str">
        <x:f>IF(OR(AB9="",AA9&lt;=0),"",ROUND(AB9/AA9*100,1))</x:f>
      </x:c>
      <x:c r="AD9" s="8" t="str">
        <x:f>IF(COUNTIFS(D9:H9,"ไม่ผ่าน")&gt;0,"ไม่ผ่าน",IF(COUNTIFS(D9:H9,"ไม่ทราบ")+COUNTBLANK(D9:H9)&gt;0,"รอยืนยัน","ผ่าน"))</x:f>
        <x:v>รอยืนยัน</x:v>
      </x:c>
      <x:c r="AE9" s="8" t="str">
        <x:f>IF(AF9="ใช่","ไม่ผ่านการคัดเลือก",IF(AND(AD9="ผ่าน",ISNUMBER(AC9),AC9&gt;=70),"พร้อมขาย",IF(OR(J9="ใช่",AND(ISNUMBER(AC9),AC9&gt;=50)),"พัฒนาเพื่อพร้อมขาย",IF(AND(ISNUMBER(AC9),AC9&lt;50,I9&gt;=1),"มีศักยภาพ แต่ต้องพัฒนามาตรฐาน","รอประเมิน"))))</x:f>
        <x:v>รอประเมิน</x:v>
      </x:c>
      <x:c r="AF9" s="59" t="str">
        <x:v>ไม่ทราบ</x:v>
      </x:c>
      <x:c r="AG9" s="8" t="str">
        <x:f>IF(AF9="ใช่","หัวหน้าทีมพิจารณาเหตุไม่ผ่าน",IF(OR(AA9&lt;=0,NOT(OR(AND(C9="จำหน่ายอาหาร",ISNUMBER(K9),L9="N/A"),AND(C9="ไม่จำหน่ายอาหาร",K9="N/A",ISNUMBER(L9)),AND(C9="มัสยิด",K9="N/A",L9="N/A",X9="N/A"))),AD9="รอยืนยัน",COUNT(K9:Z9)+COUNTIFS(K9:Z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" s="59" t="str"/>
      <x:c r="AI9" s="61"/>
    </x:row>
    <x:row r="10" ht="60" customHeight="1">
      <x:c r="A10" s="2" t="str">
        <x:v>R26-009</x:v>
      </x:c>
      <x:c r="B10" s="8" t="str">
        <x:v>เมืองเก่าลำพูน</x:v>
      </x:c>
      <x:c r="C10" s="59" t="str">
        <x:v>ไม่ทราบ</x:v>
      </x:c>
      <x:c r="D10" s="59" t="str">
        <x:v>ไม่ทราบ</x:v>
      </x:c>
      <x:c r="E10" s="59" t="str">
        <x:v>ไม่ทราบ</x:v>
      </x:c>
      <x:c r="F10" s="59" t="str">
        <x:v>ไม่ทราบ</x:v>
      </x:c>
      <x:c r="G10" s="59" t="str">
        <x:v>ไม่ทราบ</x:v>
      </x:c>
      <x:c r="H10" s="59" t="str">
        <x:v>N/A</x:v>
      </x:c>
      <x:c r="I10" s="59"/>
      <x:c r="J10" s="59" t="str">
        <x:v>ไม่ทราบ</x:v>
      </x:c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  <x:c r="AA10" s="8" t="str">
        <x:f>IF(C10="ไม่ทราบ","",SUMIFS($K$7:$Z$7,K10:Z10,"&lt;&gt;N/A"))</x:f>
      </x:c>
      <x:c r="AB10" s="8" t="str">
        <x:f>IF(AND(OR(AND(C10="จำหน่ายอาหาร",ISNUMBER(K10),L10="N/A"),AND(C10="ไม่จำหน่ายอาหาร",K10="N/A",ISNUMBER(L10)),AND(C10="มัสยิด",K10="N/A",L10="N/A",X10="N/A")),COUNT(K10:Z10)+COUNTIFS(K10:Z10,"N/A")=16),SUM(K10:Z10),"")</x:f>
      </x:c>
      <x:c r="AC10" s="62" t="str">
        <x:f>IF(OR(AB10="",AA10&lt;=0),"",ROUND(AB10/AA10*100,1))</x:f>
      </x:c>
      <x:c r="AD10" s="8" t="str">
        <x:f>IF(COUNTIFS(D10:H10,"ไม่ผ่าน")&gt;0,"ไม่ผ่าน",IF(COUNTIFS(D10:H10,"ไม่ทราบ")+COUNTBLANK(D10:H10)&gt;0,"รอยืนยัน","ผ่าน"))</x:f>
        <x:v>รอยืนยัน</x:v>
      </x:c>
      <x:c r="AE10" s="8" t="str">
        <x:f>IF(AF10="ใช่","ไม่ผ่านการคัดเลือก",IF(AND(AD10="ผ่าน",ISNUMBER(AC10),AC10&gt;=70),"พร้อมขาย",IF(OR(J10="ใช่",AND(ISNUMBER(AC10),AC10&gt;=50)),"พัฒนาเพื่อพร้อมขาย",IF(AND(ISNUMBER(AC10),AC10&lt;50,I10&gt;=1),"มีศักยภาพ แต่ต้องพัฒนามาตรฐาน","รอประเมิน"))))</x:f>
        <x:v>รอประเมิน</x:v>
      </x:c>
      <x:c r="AF10" s="59" t="str">
        <x:v>ไม่ทราบ</x:v>
      </x:c>
      <x:c r="AG10" s="8" t="str">
        <x:f>IF(AF10="ใช่","หัวหน้าทีมพิจารณาเหตุไม่ผ่าน",IF(OR(AA10&lt;=0,NOT(OR(AND(C10="จำหน่ายอาหาร",ISNUMBER(K10),L10="N/A"),AND(C10="ไม่จำหน่ายอาหาร",K10="N/A",ISNUMBER(L10)),AND(C10="มัสยิด",K10="N/A",L10="N/A",X10="N/A"))),AD10="รอยืนยัน",COUNT(K10:Z10)+COUNTIFS(K10:Z10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" s="59" t="str"/>
      <x:c r="AI10" s="61"/>
    </x:row>
    <x:row r="11" ht="60" customHeight="1">
      <x:c r="A11" s="2" t="str">
        <x:v>R26-366</x:v>
      </x:c>
      <x:c r="B11" s="8" t="str">
        <x:v>Easy Hotel Lamphun</x:v>
      </x:c>
      <x:c r="C11" s="59" t="str">
        <x:v>ไม่ทราบ</x:v>
      </x:c>
      <x:c r="D11" s="59" t="str">
        <x:v>ไม่ทราบ</x:v>
      </x:c>
      <x:c r="E11" s="59" t="str">
        <x:v>ไม่ทราบ</x:v>
      </x:c>
      <x:c r="F11" s="59" t="str">
        <x:v>ไม่ทราบ</x:v>
      </x:c>
      <x:c r="G11" s="59" t="str">
        <x:v>ไม่ทราบ</x:v>
      </x:c>
      <x:c r="H11" s="59" t="str">
        <x:v>ไม่ทราบ</x:v>
      </x:c>
      <x:c r="I11" s="59"/>
      <x:c r="J11" s="59" t="str">
        <x:v>ไม่ทราบ</x:v>
      </x:c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  <x:c r="AA11" s="8" t="str">
        <x:f>IF(C11="ไม่ทราบ","",SUMIFS($K$7:$Z$7,K11:Z11,"&lt;&gt;N/A"))</x:f>
      </x:c>
      <x:c r="AB11" s="8" t="str">
        <x:f>IF(AND(OR(AND(C11="จำหน่ายอาหาร",ISNUMBER(K11),L11="N/A"),AND(C11="ไม่จำหน่ายอาหาร",K11="N/A",ISNUMBER(L11)),AND(C11="มัสยิด",K11="N/A",L11="N/A",X11="N/A")),COUNT(K11:Z11)+COUNTIFS(K11:Z11,"N/A")=16),SUM(K11:Z11),"")</x:f>
      </x:c>
      <x:c r="AC11" s="62" t="str">
        <x:f>IF(OR(AB11="",AA11&lt;=0),"",ROUND(AB11/AA11*100,1))</x:f>
      </x:c>
      <x:c r="AD11" s="8" t="str">
        <x:f>IF(COUNTIFS(D11:H11,"ไม่ผ่าน")&gt;0,"ไม่ผ่าน",IF(COUNTIFS(D11:H11,"ไม่ทราบ")+COUNTBLANK(D11:H11)&gt;0,"รอยืนยัน","ผ่าน"))</x:f>
        <x:v>รอยืนยัน</x:v>
      </x:c>
      <x:c r="AE11" s="8" t="str">
        <x:f>IF(AF11="ใช่","ไม่ผ่านการคัดเลือก",IF(AND(AD11="ผ่าน",ISNUMBER(AC11),AC11&gt;=70),"พร้อมขาย",IF(OR(J11="ใช่",AND(ISNUMBER(AC11),AC11&gt;=50)),"พัฒนาเพื่อพร้อมขาย",IF(AND(ISNUMBER(AC11),AC11&lt;50,I11&gt;=1),"มีศักยภาพ แต่ต้องพัฒนามาตรฐาน","รอประเมิน"))))</x:f>
        <x:v>รอประเมิน</x:v>
      </x:c>
      <x:c r="AF11" s="59" t="str">
        <x:v>ไม่ทราบ</x:v>
      </x:c>
      <x:c r="AG11" s="8" t="str">
        <x:f>IF(AF11="ใช่","หัวหน้าทีมพิจารณาเหตุไม่ผ่าน",IF(OR(AA11&lt;=0,NOT(OR(AND(C11="จำหน่ายอาหาร",ISNUMBER(K11),L11="N/A"),AND(C11="ไม่จำหน่ายอาหาร",K11="N/A",ISNUMBER(L11)),AND(C11="มัสยิด",K11="N/A",L11="N/A",X11="N/A"))),AD11="รอยืนยัน",COUNT(K11:Z11)+COUNTIFS(K11:Z11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" s="59" t="str"/>
      <x:c r="AI11" s="61"/>
    </x:row>
    <x:row r="12" ht="60" customHeight="1">
      <x:c r="A12" s="2" t="str">
        <x:v>R26-365</x:v>
      </x:c>
      <x:c r="B12" s="8" t="str">
        <x:v>Grand PA Hotel Resort Lamphun</x:v>
      </x:c>
      <x:c r="C12" s="59" t="str">
        <x:v>ไม่ทราบ</x:v>
      </x:c>
      <x:c r="D12" s="59" t="str">
        <x:v>ไม่ทราบ</x:v>
      </x:c>
      <x:c r="E12" s="59" t="str">
        <x:v>ไม่ทราบ</x:v>
      </x:c>
      <x:c r="F12" s="59" t="str">
        <x:v>ไม่ทราบ</x:v>
      </x:c>
      <x:c r="G12" s="59" t="str">
        <x:v>ไม่ทราบ</x:v>
      </x:c>
      <x:c r="H12" s="59" t="str">
        <x:v>ไม่ทราบ</x:v>
      </x:c>
      <x:c r="I12" s="59"/>
      <x:c r="J12" s="59" t="str">
        <x:v>ไม่ทราบ</x:v>
      </x:c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  <x:c r="AA12" s="8" t="str">
        <x:f>IF(C12="ไม่ทราบ","",SUMIFS($K$7:$Z$7,K12:Z12,"&lt;&gt;N/A"))</x:f>
      </x:c>
      <x:c r="AB12" s="8" t="str">
        <x:f>IF(AND(OR(AND(C12="จำหน่ายอาหาร",ISNUMBER(K12),L12="N/A"),AND(C12="ไม่จำหน่ายอาหาร",K12="N/A",ISNUMBER(L12)),AND(C12="มัสยิด",K12="N/A",L12="N/A",X12="N/A")),COUNT(K12:Z12)+COUNTIFS(K12:Z12,"N/A")=16),SUM(K12:Z12),"")</x:f>
      </x:c>
      <x:c r="AC12" s="62" t="str">
        <x:f>IF(OR(AB12="",AA12&lt;=0),"",ROUND(AB12/AA12*100,1))</x:f>
      </x:c>
      <x:c r="AD12" s="8" t="str">
        <x:f>IF(COUNTIFS(D12:H12,"ไม่ผ่าน")&gt;0,"ไม่ผ่าน",IF(COUNTIFS(D12:H12,"ไม่ทราบ")+COUNTBLANK(D12:H12)&gt;0,"รอยืนยัน","ผ่าน"))</x:f>
        <x:v>รอยืนยัน</x:v>
      </x:c>
      <x:c r="AE12" s="8" t="str">
        <x:f>IF(AF12="ใช่","ไม่ผ่านการคัดเลือก",IF(AND(AD12="ผ่าน",ISNUMBER(AC12),AC12&gt;=70),"พร้อมขาย",IF(OR(J12="ใช่",AND(ISNUMBER(AC12),AC12&gt;=50)),"พัฒนาเพื่อพร้อมขาย",IF(AND(ISNUMBER(AC12),AC12&lt;50,I12&gt;=1),"มีศักยภาพ แต่ต้องพัฒนามาตรฐาน","รอประเมิน"))))</x:f>
        <x:v>รอประเมิน</x:v>
      </x:c>
      <x:c r="AF12" s="59" t="str">
        <x:v>ไม่ทราบ</x:v>
      </x:c>
      <x:c r="AG12" s="8" t="str">
        <x:f>IF(AF12="ใช่","หัวหน้าทีมพิจารณาเหตุไม่ผ่าน",IF(OR(AA12&lt;=0,NOT(OR(AND(C12="จำหน่ายอาหาร",ISNUMBER(K12),L12="N/A"),AND(C12="ไม่จำหน่ายอาหาร",K12="N/A",ISNUMBER(L12)),AND(C12="มัสยิด",K12="N/A",L12="N/A",X12="N/A"))),AD12="รอยืนยัน",COUNT(K12:Z12)+COUNTIFS(K12:Z12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" s="59" t="str"/>
      <x:c r="AI12" s="61"/>
    </x:row>
    <x:row r="13" ht="60" customHeight="1">
      <x:c r="A13" s="2" t="str">
        <x:v>R26-118</x:v>
      </x:c>
      <x:c r="B13" s="8" t="str">
        <x:v>น้ำตกก้อหลวง</x:v>
      </x:c>
      <x:c r="C13" s="59" t="str">
        <x:v>ไม่ทราบ</x:v>
      </x:c>
      <x:c r="D13" s="59" t="str">
        <x:v>ไม่ทราบ</x:v>
      </x:c>
      <x:c r="E13" s="59" t="str">
        <x:v>ไม่ทราบ</x:v>
      </x:c>
      <x:c r="F13" s="59" t="str">
        <x:v>ไม่ทราบ</x:v>
      </x:c>
      <x:c r="G13" s="59" t="str">
        <x:v>ไม่ทราบ</x:v>
      </x:c>
      <x:c r="H13" s="59" t="str">
        <x:v>N/A</x:v>
      </x:c>
      <x:c r="I13" s="59"/>
      <x:c r="J13" s="59" t="str">
        <x:v>ไม่ทราบ</x:v>
      </x:c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  <x:c r="AA13" s="8" t="str">
        <x:f>IF(C13="ไม่ทราบ","",SUMIFS($K$7:$Z$7,K13:Z13,"&lt;&gt;N/A"))</x:f>
      </x:c>
      <x:c r="AB13" s="8" t="str">
        <x:f>IF(AND(OR(AND(C13="จำหน่ายอาหาร",ISNUMBER(K13),L13="N/A"),AND(C13="ไม่จำหน่ายอาหาร",K13="N/A",ISNUMBER(L13)),AND(C13="มัสยิด",K13="N/A",L13="N/A",X13="N/A")),COUNT(K13:Z13)+COUNTIFS(K13:Z13,"N/A")=16),SUM(K13:Z13),"")</x:f>
      </x:c>
      <x:c r="AC13" s="62" t="str">
        <x:f>IF(OR(AB13="",AA13&lt;=0),"",ROUND(AB13/AA13*100,1))</x:f>
      </x:c>
      <x:c r="AD13" s="8" t="str">
        <x:f>IF(COUNTIFS(D13:H13,"ไม่ผ่าน")&gt;0,"ไม่ผ่าน",IF(COUNTIFS(D13:H13,"ไม่ทราบ")+COUNTBLANK(D13:H13)&gt;0,"รอยืนยัน","ผ่าน"))</x:f>
        <x:v>รอยืนยัน</x:v>
      </x:c>
      <x:c r="AE13" s="8" t="str">
        <x:f>IF(AF13="ใช่","ไม่ผ่านการคัดเลือก",IF(AND(AD13="ผ่าน",ISNUMBER(AC13),AC13&gt;=70),"พร้อมขาย",IF(OR(J13="ใช่",AND(ISNUMBER(AC13),AC13&gt;=50)),"พัฒนาเพื่อพร้อมขาย",IF(AND(ISNUMBER(AC13),AC13&lt;50,I13&gt;=1),"มีศักยภาพ แต่ต้องพัฒนามาตรฐาน","รอประเมิน"))))</x:f>
        <x:v>รอประเมิน</x:v>
      </x:c>
      <x:c r="AF13" s="59" t="str">
        <x:v>ไม่ทราบ</x:v>
      </x:c>
      <x:c r="AG13" s="8" t="str">
        <x:f>IF(AF13="ใช่","หัวหน้าทีมพิจารณาเหตุไม่ผ่าน",IF(OR(AA13&lt;=0,NOT(OR(AND(C13="จำหน่ายอาหาร",ISNUMBER(K13),L13="N/A"),AND(C13="ไม่จำหน่ายอาหาร",K13="N/A",ISNUMBER(L13)),AND(C13="มัสยิด",K13="N/A",L13="N/A",X13="N/A"))),AD13="รอยืนยัน",COUNT(K13:Z13)+COUNTIFS(K13:Z13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" s="59" t="str"/>
      <x:c r="AI13" s="61"/>
    </x:row>
    <x:row r="14" ht="60" customHeight="1">
      <x:c r="A14" s="2" t="str">
        <x:v>R26-117</x:v>
      </x:c>
      <x:c r="B14" s="8" t="str">
        <x:v>อุทยานแห่งชาติแม่ปิง</x:v>
      </x:c>
      <x:c r="C14" s="59" t="str">
        <x:v>ไม่ทราบ</x:v>
      </x:c>
      <x:c r="D14" s="59" t="str">
        <x:v>ไม่ทราบ</x:v>
      </x:c>
      <x:c r="E14" s="59" t="str">
        <x:v>ไม่ทราบ</x:v>
      </x:c>
      <x:c r="F14" s="59" t="str">
        <x:v>ไม่ทราบ</x:v>
      </x:c>
      <x:c r="G14" s="59" t="str">
        <x:v>ไม่ทราบ</x:v>
      </x:c>
      <x:c r="H14" s="59" t="str">
        <x:v>N/A</x:v>
      </x:c>
      <x:c r="I14" s="59"/>
      <x:c r="J14" s="59" t="str">
        <x:v>ไม่ทราบ</x:v>
      </x:c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  <x:c r="AA14" s="8" t="str">
        <x:f>IF(C14="ไม่ทราบ","",SUMIFS($K$7:$Z$7,K14:Z14,"&lt;&gt;N/A"))</x:f>
      </x:c>
      <x:c r="AB14" s="8" t="str">
        <x:f>IF(AND(OR(AND(C14="จำหน่ายอาหาร",ISNUMBER(K14),L14="N/A"),AND(C14="ไม่จำหน่ายอาหาร",K14="N/A",ISNUMBER(L14)),AND(C14="มัสยิด",K14="N/A",L14="N/A",X14="N/A")),COUNT(K14:Z14)+COUNTIFS(K14:Z14,"N/A")=16),SUM(K14:Z14),"")</x:f>
      </x:c>
      <x:c r="AC14" s="62" t="str">
        <x:f>IF(OR(AB14="",AA14&lt;=0),"",ROUND(AB14/AA14*100,1))</x:f>
      </x:c>
      <x:c r="AD14" s="8" t="str">
        <x:f>IF(COUNTIFS(D14:H14,"ไม่ผ่าน")&gt;0,"ไม่ผ่าน",IF(COUNTIFS(D14:H14,"ไม่ทราบ")+COUNTBLANK(D14:H14)&gt;0,"รอยืนยัน","ผ่าน"))</x:f>
        <x:v>รอยืนยัน</x:v>
      </x:c>
      <x:c r="AE14" s="8" t="str">
        <x:f>IF(AF14="ใช่","ไม่ผ่านการคัดเลือก",IF(AND(AD14="ผ่าน",ISNUMBER(AC14),AC14&gt;=70),"พร้อมขาย",IF(OR(J14="ใช่",AND(ISNUMBER(AC14),AC14&gt;=50)),"พัฒนาเพื่อพร้อมขาย",IF(AND(ISNUMBER(AC14),AC14&lt;50,I14&gt;=1),"มีศักยภาพ แต่ต้องพัฒนามาตรฐาน","รอประเมิน"))))</x:f>
        <x:v>รอประเมิน</x:v>
      </x:c>
      <x:c r="AF14" s="59" t="str">
        <x:v>ไม่ทราบ</x:v>
      </x:c>
      <x:c r="AG14" s="8" t="str">
        <x:f>IF(AF14="ใช่","หัวหน้าทีมพิจารณาเหตุไม่ผ่าน",IF(OR(AA14&lt;=0,NOT(OR(AND(C14="จำหน่ายอาหาร",ISNUMBER(K14),L14="N/A"),AND(C14="ไม่จำหน่ายอาหาร",K14="N/A",ISNUMBER(L14)),AND(C14="มัสยิด",K14="N/A",L14="N/A",X14="N/A"))),AD14="รอยืนยัน",COUNT(K14:Z14)+COUNTIFS(K14:Z14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" s="59" t="str"/>
      <x:c r="AI14" s="61"/>
    </x:row>
    <x:row r="15" ht="60" customHeight="1">
      <x:c r="A15" s="2" t="str">
        <x:v>R26-119</x:v>
      </x:c>
      <x:c r="B15" s="8" t="str">
        <x:v>ชุมชนบ้านดอนหลวง</x:v>
      </x:c>
      <x:c r="C15" s="59" t="str">
        <x:v>ไม่ทราบ</x:v>
      </x:c>
      <x:c r="D15" s="59" t="str">
        <x:v>ไม่ทราบ</x:v>
      </x:c>
      <x:c r="E15" s="59" t="str">
        <x:v>ไม่ทราบ</x:v>
      </x:c>
      <x:c r="F15" s="59" t="str">
        <x:v>ไม่ทราบ</x:v>
      </x:c>
      <x:c r="G15" s="59" t="str">
        <x:v>ไม่ทราบ</x:v>
      </x:c>
      <x:c r="H15" s="59" t="str">
        <x:v>N/A</x:v>
      </x:c>
      <x:c r="I15" s="59"/>
      <x:c r="J15" s="59" t="str">
        <x:v>ไม่ทราบ</x:v>
      </x:c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  <x:c r="AA15" s="8" t="str">
        <x:f>IF(C15="ไม่ทราบ","",SUMIFS($K$7:$Z$7,K15:Z15,"&lt;&gt;N/A"))</x:f>
      </x:c>
      <x:c r="AB15" s="8" t="str">
        <x:f>IF(AND(OR(AND(C15="จำหน่ายอาหาร",ISNUMBER(K15),L15="N/A"),AND(C15="ไม่จำหน่ายอาหาร",K15="N/A",ISNUMBER(L15)),AND(C15="มัสยิด",K15="N/A",L15="N/A",X15="N/A")),COUNT(K15:Z15)+COUNTIFS(K15:Z15,"N/A")=16),SUM(K15:Z15),"")</x:f>
      </x:c>
      <x:c r="AC15" s="62" t="str">
        <x:f>IF(OR(AB15="",AA15&lt;=0),"",ROUND(AB15/AA15*100,1))</x:f>
      </x:c>
      <x:c r="AD15" s="8" t="str">
        <x:f>IF(COUNTIFS(D15:H15,"ไม่ผ่าน")&gt;0,"ไม่ผ่าน",IF(COUNTIFS(D15:H15,"ไม่ทราบ")+COUNTBLANK(D15:H15)&gt;0,"รอยืนยัน","ผ่าน"))</x:f>
        <x:v>รอยืนยัน</x:v>
      </x:c>
      <x:c r="AE15" s="8" t="str">
        <x:f>IF(AF15="ใช่","ไม่ผ่านการคัดเลือก",IF(AND(AD15="ผ่าน",ISNUMBER(AC15),AC15&gt;=70),"พร้อมขาย",IF(OR(J15="ใช่",AND(ISNUMBER(AC15),AC15&gt;=50)),"พัฒนาเพื่อพร้อมขาย",IF(AND(ISNUMBER(AC15),AC15&lt;50,I15&gt;=1),"มีศักยภาพ แต่ต้องพัฒนามาตรฐาน","รอประเมิน"))))</x:f>
        <x:v>รอประเมิน</x:v>
      </x:c>
      <x:c r="AF15" s="59" t="str">
        <x:v>ไม่ทราบ</x:v>
      </x:c>
      <x:c r="AG15" s="8" t="str">
        <x:f>IF(AF15="ใช่","หัวหน้าทีมพิจารณาเหตุไม่ผ่าน",IF(OR(AA15&lt;=0,NOT(OR(AND(C15="จำหน่ายอาหาร",ISNUMBER(K15),L15="N/A"),AND(C15="ไม่จำหน่ายอาหาร",K15="N/A",ISNUMBER(L15)),AND(C15="มัสยิด",K15="N/A",L15="N/A",X15="N/A"))),AD15="รอยืนยัน",COUNT(K15:Z15)+COUNTIFS(K15:Z15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" s="59" t="str"/>
      <x:c r="AI15" s="61"/>
    </x:row>
    <x:row r="16" ht="60" customHeight="1">
      <x:c r="A16" s="2" t="str">
        <x:v>R26-120</x:v>
      </x:c>
      <x:c r="B16" s="8" t="str">
        <x:v>ชุมชนบ้านหนองเงือก</x:v>
      </x:c>
      <x:c r="C16" s="59" t="str">
        <x:v>ไม่ทราบ</x:v>
      </x:c>
      <x:c r="D16" s="59" t="str">
        <x:v>ไม่ทราบ</x:v>
      </x:c>
      <x:c r="E16" s="59" t="str">
        <x:v>ไม่ทราบ</x:v>
      </x:c>
      <x:c r="F16" s="59" t="str">
        <x:v>ไม่ทราบ</x:v>
      </x:c>
      <x:c r="G16" s="59" t="str">
        <x:v>ไม่ทราบ</x:v>
      </x:c>
      <x:c r="H16" s="59" t="str">
        <x:v>N/A</x:v>
      </x:c>
      <x:c r="I16" s="59"/>
      <x:c r="J16" s="59" t="str">
        <x:v>ไม่ทราบ</x:v>
      </x:c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  <x:c r="AA16" s="8" t="str">
        <x:f>IF(C16="ไม่ทราบ","",SUMIFS($K$7:$Z$7,K16:Z16,"&lt;&gt;N/A"))</x:f>
      </x:c>
      <x:c r="AB16" s="8" t="str">
        <x:f>IF(AND(OR(AND(C16="จำหน่ายอาหาร",ISNUMBER(K16),L16="N/A"),AND(C16="ไม่จำหน่ายอาหาร",K16="N/A",ISNUMBER(L16)),AND(C16="มัสยิด",K16="N/A",L16="N/A",X16="N/A")),COUNT(K16:Z16)+COUNTIFS(K16:Z16,"N/A")=16),SUM(K16:Z16),"")</x:f>
      </x:c>
      <x:c r="AC16" s="62" t="str">
        <x:f>IF(OR(AB16="",AA16&lt;=0),"",ROUND(AB16/AA16*100,1))</x:f>
      </x:c>
      <x:c r="AD16" s="8" t="str">
        <x:f>IF(COUNTIFS(D16:H16,"ไม่ผ่าน")&gt;0,"ไม่ผ่าน",IF(COUNTIFS(D16:H16,"ไม่ทราบ")+COUNTBLANK(D16:H16)&gt;0,"รอยืนยัน","ผ่าน"))</x:f>
        <x:v>รอยืนยัน</x:v>
      </x:c>
      <x:c r="AE16" s="8" t="str">
        <x:f>IF(AF16="ใช่","ไม่ผ่านการคัดเลือก",IF(AND(AD16="ผ่าน",ISNUMBER(AC16),AC16&gt;=70),"พร้อมขาย",IF(OR(J16="ใช่",AND(ISNUMBER(AC16),AC16&gt;=50)),"พัฒนาเพื่อพร้อมขาย",IF(AND(ISNUMBER(AC16),AC16&lt;50,I16&gt;=1),"มีศักยภาพ แต่ต้องพัฒนามาตรฐาน","รอประเมิน"))))</x:f>
        <x:v>รอประเมิน</x:v>
      </x:c>
      <x:c r="AF16" s="59" t="str">
        <x:v>ไม่ทราบ</x:v>
      </x:c>
      <x:c r="AG16" s="8" t="str">
        <x:f>IF(AF16="ใช่","หัวหน้าทีมพิจารณาเหตุไม่ผ่าน",IF(OR(AA16&lt;=0,NOT(OR(AND(C16="จำหน่ายอาหาร",ISNUMBER(K16),L16="N/A"),AND(C16="ไม่จำหน่ายอาหาร",K16="N/A",ISNUMBER(L16)),AND(C16="มัสยิด",K16="N/A",L16="N/A",X16="N/A"))),AD16="รอยืนยัน",COUNT(K16:Z16)+COUNTIFS(K16:Z16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" s="59" t="str"/>
      <x:c r="AI16" s="61"/>
    </x:row>
    <x:row r="17" ht="60" customHeight="1">
      <x:c r="A17" s="2" t="str">
        <x:v>R26-003</x:v>
      </x:c>
      <x:c r="B17" s="8" t="str">
        <x:v>ฮาบิ๊บ อาหารยูนนาน</x:v>
      </x:c>
      <x:c r="C17" s="59" t="str">
        <x:v>จำหน่ายอาหาร</x:v>
      </x:c>
      <x:c r="D17" s="59" t="str">
        <x:v>ไม่ทราบ</x:v>
      </x:c>
      <x:c r="E17" s="59" t="str">
        <x:v>ไม่ทราบ</x:v>
      </x:c>
      <x:c r="F17" s="59" t="str">
        <x:v>ไม่ทราบ</x:v>
      </x:c>
      <x:c r="G17" s="59" t="str">
        <x:v>ไม่ทราบ</x:v>
      </x:c>
      <x:c r="H17" s="59" t="str">
        <x:v>N/A</x:v>
      </x:c>
      <x:c r="I17" s="59"/>
      <x:c r="J17" s="59" t="str">
        <x:v>ไม่ทราบ</x:v>
      </x:c>
      <x:c r="K17" s="59"/>
      <x:c r="L17" s="59" t="str">
        <x:v>N/A</x:v>
      </x:c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  <x:c r="AA17" s="8" t="n">
        <x:f>IF(C17="ไม่ทราบ","",SUMIFS($K$7:$Z$7,K17:Z17,"&lt;&gt;N/A"))</x:f>
        <x:v>100</x:v>
      </x:c>
      <x:c r="AB17" s="8" t="str">
        <x:f>IF(AND(OR(AND(C17="จำหน่ายอาหาร",ISNUMBER(K17),L17="N/A"),AND(C17="ไม่จำหน่ายอาหาร",K17="N/A",ISNUMBER(L17)),AND(C17="มัสยิด",K17="N/A",L17="N/A",X17="N/A")),COUNT(K17:Z17)+COUNTIFS(K17:Z17,"N/A")=16),SUM(K17:Z17),"")</x:f>
      </x:c>
      <x:c r="AC17" s="62" t="str">
        <x:f>IF(OR(AB17="",AA17&lt;=0),"",ROUND(AB17/AA17*100,1))</x:f>
      </x:c>
      <x:c r="AD17" s="8" t="str">
        <x:f>IF(COUNTIFS(D17:H17,"ไม่ผ่าน")&gt;0,"ไม่ผ่าน",IF(COUNTIFS(D17:H17,"ไม่ทราบ")+COUNTBLANK(D17:H17)&gt;0,"รอยืนยัน","ผ่าน"))</x:f>
        <x:v>รอยืนยัน</x:v>
      </x:c>
      <x:c r="AE17" s="8" t="str">
        <x:f>IF(AF17="ใช่","ไม่ผ่านการคัดเลือก",IF(AND(AD17="ผ่าน",ISNUMBER(AC17),AC17&gt;=70),"พร้อมขาย",IF(OR(J17="ใช่",AND(ISNUMBER(AC17),AC17&gt;=50)),"พัฒนาเพื่อพร้อมขาย",IF(AND(ISNUMBER(AC17),AC17&lt;50,I17&gt;=1),"มีศักยภาพ แต่ต้องพัฒนามาตรฐาน","รอประเมิน"))))</x:f>
        <x:v>รอประเมิน</x:v>
      </x:c>
      <x:c r="AF17" s="59" t="str">
        <x:v>ไม่ทราบ</x:v>
      </x:c>
      <x:c r="AG17" s="8" t="str">
        <x:f>IF(AF17="ใช่","หัวหน้าทีมพิจารณาเหตุไม่ผ่าน",IF(OR(AA17&lt;=0,NOT(OR(AND(C17="จำหน่ายอาหาร",ISNUMBER(K17),L17="N/A"),AND(C17="ไม่จำหน่ายอาหาร",K17="N/A",ISNUMBER(L17)),AND(C17="มัสยิด",K17="N/A",L17="N/A",X17="N/A"))),AD17="รอยืนยัน",COUNT(K17:Z17)+COUNTIFS(K17:Z17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" s="59" t="str"/>
      <x:c r="AI17" s="61"/>
    </x:row>
    <x:row r="18" ht="60" customHeight="1">
      <x:c r="A18" s="2" t="str">
        <x:v>R26-005</x:v>
      </x:c>
      <x:c r="B18" s="8" t="str">
        <x:v>ถนนคนเดินท่าแพ</x:v>
      </x:c>
      <x:c r="C18" s="59" t="str">
        <x:v>ไม่ทราบ</x:v>
      </x:c>
      <x:c r="D18" s="59" t="str">
        <x:v>ไม่ทราบ</x:v>
      </x:c>
      <x:c r="E18" s="59" t="str">
        <x:v>ไม่ทราบ</x:v>
      </x:c>
      <x:c r="F18" s="59" t="str">
        <x:v>ไม่ทราบ</x:v>
      </x:c>
      <x:c r="G18" s="59" t="str">
        <x:v>ไม่ทราบ</x:v>
      </x:c>
      <x:c r="H18" s="59" t="str">
        <x:v>N/A</x:v>
      </x:c>
      <x:c r="I18" s="59"/>
      <x:c r="J18" s="59" t="str">
        <x:v>ไม่ทราบ</x:v>
      </x:c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  <x:c r="AA18" s="8" t="str">
        <x:f>IF(C18="ไม่ทราบ","",SUMIFS($K$7:$Z$7,K18:Z18,"&lt;&gt;N/A"))</x:f>
      </x:c>
      <x:c r="AB18" s="8" t="str">
        <x:f>IF(AND(OR(AND(C18="จำหน่ายอาหาร",ISNUMBER(K18),L18="N/A"),AND(C18="ไม่จำหน่ายอาหาร",K18="N/A",ISNUMBER(L18)),AND(C18="มัสยิด",K18="N/A",L18="N/A",X18="N/A")),COUNT(K18:Z18)+COUNTIFS(K18:Z18,"N/A")=16),SUM(K18:Z18),"")</x:f>
      </x:c>
      <x:c r="AC18" s="62" t="str">
        <x:f>IF(OR(AB18="",AA18&lt;=0),"",ROUND(AB18/AA18*100,1))</x:f>
      </x:c>
      <x:c r="AD18" s="8" t="str">
        <x:f>IF(COUNTIFS(D18:H18,"ไม่ผ่าน")&gt;0,"ไม่ผ่าน",IF(COUNTIFS(D18:H18,"ไม่ทราบ")+COUNTBLANK(D18:H18)&gt;0,"รอยืนยัน","ผ่าน"))</x:f>
        <x:v>รอยืนยัน</x:v>
      </x:c>
      <x:c r="AE18" s="8" t="str">
        <x:f>IF(AF18="ใช่","ไม่ผ่านการคัดเลือก",IF(AND(AD18="ผ่าน",ISNUMBER(AC18),AC18&gt;=70),"พร้อมขาย",IF(OR(J18="ใช่",AND(ISNUMBER(AC18),AC18&gt;=50)),"พัฒนาเพื่อพร้อมขาย",IF(AND(ISNUMBER(AC18),AC18&lt;50,I18&gt;=1),"มีศักยภาพ แต่ต้องพัฒนามาตรฐาน","รอประเมิน"))))</x:f>
        <x:v>รอประเมิน</x:v>
      </x:c>
      <x:c r="AF18" s="59" t="str">
        <x:v>ไม่ทราบ</x:v>
      </x:c>
      <x:c r="AG18" s="8" t="str">
        <x:f>IF(AF18="ใช่","หัวหน้าทีมพิจารณาเหตุไม่ผ่าน",IF(OR(AA18&lt;=0,NOT(OR(AND(C18="จำหน่ายอาหาร",ISNUMBER(K18),L18="N/A"),AND(C18="ไม่จำหน่ายอาหาร",K18="N/A",ISNUMBER(L18)),AND(C18="มัสยิด",K18="N/A",L18="N/A",X18="N/A"))),AD18="รอยืนยัน",COUNT(K18:Z18)+COUNTIFS(K18:Z18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" s="59" t="str"/>
      <x:c r="AI18" s="61"/>
    </x:row>
    <x:row r="19" ht="60" customHeight="1">
      <x:c r="A19" s="2" t="str">
        <x:v>R26-004</x:v>
      </x:c>
      <x:c r="B19" s="8" t="str">
        <x:v>มัสยิดช้างเผือก</x:v>
      </x:c>
      <x:c r="C19" s="59" t="str">
        <x:v>มัสยิด</x:v>
      </x:c>
      <x:c r="D19" s="59" t="str">
        <x:v>ไม่ทราบ</x:v>
      </x:c>
      <x:c r="E19" s="59" t="str">
        <x:v>ไม่ทราบ</x:v>
      </x:c>
      <x:c r="F19" s="59" t="str">
        <x:v>ไม่ทราบ</x:v>
      </x:c>
      <x:c r="G19" s="59" t="str">
        <x:v>N/A</x:v>
      </x:c>
      <x:c r="H19" s="59" t="str">
        <x:v>N/A</x:v>
      </x:c>
      <x:c r="I19" s="59"/>
      <x:c r="J19" s="59" t="str">
        <x:v>ไม่ทราบ</x:v>
      </x:c>
      <x:c r="K19" s="59" t="str">
        <x:v>N/A</x:v>
      </x:c>
      <x:c r="L19" s="59" t="str">
        <x:v>N/A</x:v>
      </x:c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 t="str">
        <x:v>N/A</x:v>
      </x:c>
      <x:c r="Y19" s="59"/>
      <x:c r="Z19" s="59"/>
      <x:c r="AA19" s="8" t="n">
        <x:f>IF(C19="ไม่ทราบ","",SUMIFS($K$7:$Z$7,K19:Z19,"&lt;&gt;N/A"))</x:f>
        <x:v>67</x:v>
      </x:c>
      <x:c r="AB19" s="8" t="str">
        <x:f>IF(AND(OR(AND(C19="จำหน่ายอาหาร",ISNUMBER(K19),L19="N/A"),AND(C19="ไม่จำหน่ายอาหาร",K19="N/A",ISNUMBER(L19)),AND(C19="มัสยิด",K19="N/A",L19="N/A",X19="N/A")),COUNT(K19:Z19)+COUNTIFS(K19:Z19,"N/A")=16),SUM(K19:Z19),"")</x:f>
      </x:c>
      <x:c r="AC19" s="62" t="str">
        <x:f>IF(OR(AB19="",AA19&lt;=0),"",ROUND(AB19/AA19*100,1))</x:f>
      </x:c>
      <x:c r="AD19" s="8" t="str">
        <x:f>IF(COUNTIFS(D19:H19,"ไม่ผ่าน")&gt;0,"ไม่ผ่าน",IF(COUNTIFS(D19:H19,"ไม่ทราบ")+COUNTBLANK(D19:H19)&gt;0,"รอยืนยัน","ผ่าน"))</x:f>
        <x:v>รอยืนยัน</x:v>
      </x:c>
      <x:c r="AE19" s="8" t="str">
        <x:f>IF(AF19="ใช่","ไม่ผ่านการคัดเลือก",IF(AND(AD19="ผ่าน",ISNUMBER(AC19),AC19&gt;=70),"พร้อมขาย",IF(OR(J19="ใช่",AND(ISNUMBER(AC19),AC19&gt;=50)),"พัฒนาเพื่อพร้อมขาย",IF(AND(ISNUMBER(AC19),AC19&lt;50,I19&gt;=1),"มีศักยภาพ แต่ต้องพัฒนามาตรฐาน","รอประเมิน"))))</x:f>
        <x:v>รอประเมิน</x:v>
      </x:c>
      <x:c r="AF19" s="59" t="str">
        <x:v>ไม่ทราบ</x:v>
      </x:c>
      <x:c r="AG19" s="8" t="str">
        <x:f>IF(AF19="ใช่","หัวหน้าทีมพิจารณาเหตุไม่ผ่าน",IF(OR(AA19&lt;=0,NOT(OR(AND(C19="จำหน่ายอาหาร",ISNUMBER(K19),L19="N/A"),AND(C19="ไม่จำหน่ายอาหาร",K19="N/A",ISNUMBER(L19)),AND(C19="มัสยิด",K19="N/A",L19="N/A",X19="N/A"))),AD19="รอยืนยัน",COUNT(K19:Z19)+COUNTIFS(K19:Z19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" s="59" t="str"/>
      <x:c r="AI19" s="61"/>
    </x:row>
    <x:row r="20" ht="60" customHeight="1">
      <x:c r="A20" s="2" t="str">
        <x:v>R26-002</x:v>
      </x:c>
      <x:c r="B20" s="8" t="str">
        <x:v>มัสยิดเฮดายาตุลอิสลาม บ้านฮ่อ</x:v>
      </x:c>
      <x:c r="C20" s="59" t="str">
        <x:v>มัสยิด</x:v>
      </x:c>
      <x:c r="D20" s="59" t="str">
        <x:v>ไม่ทราบ</x:v>
      </x:c>
      <x:c r="E20" s="59" t="str">
        <x:v>ไม่ทราบ</x:v>
      </x:c>
      <x:c r="F20" s="59" t="str">
        <x:v>ไม่ทราบ</x:v>
      </x:c>
      <x:c r="G20" s="59" t="str">
        <x:v>N/A</x:v>
      </x:c>
      <x:c r="H20" s="59" t="str">
        <x:v>N/A</x:v>
      </x:c>
      <x:c r="I20" s="59"/>
      <x:c r="J20" s="59" t="str">
        <x:v>ไม่ทราบ</x:v>
      </x:c>
      <x:c r="K20" s="59" t="str">
        <x:v>N/A</x:v>
      </x:c>
      <x:c r="L20" s="59" t="str">
        <x:v>N/A</x:v>
      </x:c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 t="str">
        <x:v>N/A</x:v>
      </x:c>
      <x:c r="Y20" s="59"/>
      <x:c r="Z20" s="59"/>
      <x:c r="AA20" s="8" t="n">
        <x:f>IF(C20="ไม่ทราบ","",SUMIFS($K$7:$Z$7,K20:Z20,"&lt;&gt;N/A"))</x:f>
        <x:v>67</x:v>
      </x:c>
      <x:c r="AB20" s="8" t="str">
        <x:f>IF(AND(OR(AND(C20="จำหน่ายอาหาร",ISNUMBER(K20),L20="N/A"),AND(C20="ไม่จำหน่ายอาหาร",K20="N/A",ISNUMBER(L20)),AND(C20="มัสยิด",K20="N/A",L20="N/A",X20="N/A")),COUNT(K20:Z20)+COUNTIFS(K20:Z20,"N/A")=16),SUM(K20:Z20),"")</x:f>
      </x:c>
      <x:c r="AC20" s="62" t="str">
        <x:f>IF(OR(AB20="",AA20&lt;=0),"",ROUND(AB20/AA20*100,1))</x:f>
      </x:c>
      <x:c r="AD20" s="8" t="str">
        <x:f>IF(COUNTIFS(D20:H20,"ไม่ผ่าน")&gt;0,"ไม่ผ่าน",IF(COUNTIFS(D20:H20,"ไม่ทราบ")+COUNTBLANK(D20:H20)&gt;0,"รอยืนยัน","ผ่าน"))</x:f>
        <x:v>รอยืนยัน</x:v>
      </x:c>
      <x:c r="AE20" s="8" t="str">
        <x:f>IF(AF20="ใช่","ไม่ผ่านการคัดเลือก",IF(AND(AD20="ผ่าน",ISNUMBER(AC20),AC20&gt;=70),"พร้อมขาย",IF(OR(J20="ใช่",AND(ISNUMBER(AC20),AC20&gt;=50)),"พัฒนาเพื่อพร้อมขาย",IF(AND(ISNUMBER(AC20),AC20&lt;50,I20&gt;=1),"มีศักยภาพ แต่ต้องพัฒนามาตรฐาน","รอประเมิน"))))</x:f>
        <x:v>รอประเมิน</x:v>
      </x:c>
      <x:c r="AF20" s="59" t="str">
        <x:v>ไม่ทราบ</x:v>
      </x:c>
      <x:c r="AG20" s="8" t="str">
        <x:f>IF(AF20="ใช่","หัวหน้าทีมพิจารณาเหตุไม่ผ่าน",IF(OR(AA20&lt;=0,NOT(OR(AND(C20="จำหน่ายอาหาร",ISNUMBER(K20),L20="N/A"),AND(C20="ไม่จำหน่ายอาหาร",K20="N/A",ISNUMBER(L20)),AND(C20="มัสยิด",K20="N/A",L20="N/A",X20="N/A"))),AD20="รอยืนยัน",COUNT(K20:Z20)+COUNTIFS(K20:Z20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" s="59" t="str"/>
      <x:c r="AI20" s="61"/>
    </x:row>
    <x:row r="21" ht="60" customHeight="1">
      <x:c r="A21" s="2" t="str">
        <x:v>R26-001</x:v>
      </x:c>
      <x:c r="B21" s="8" t="str">
        <x:v>กาดบ้านฮ่อ</x:v>
      </x:c>
      <x:c r="C21" s="59" t="str">
        <x:v>ไม่ทราบ</x:v>
      </x:c>
      <x:c r="D21" s="59" t="str">
        <x:v>ไม่ทราบ</x:v>
      </x:c>
      <x:c r="E21" s="59" t="str">
        <x:v>ไม่ทราบ</x:v>
      </x:c>
      <x:c r="F21" s="59" t="str">
        <x:v>ไม่ทราบ</x:v>
      </x:c>
      <x:c r="G21" s="59" t="str">
        <x:v>ไม่ทราบ</x:v>
      </x:c>
      <x:c r="H21" s="59" t="str">
        <x:v>N/A</x:v>
      </x:c>
      <x:c r="I21" s="59"/>
      <x:c r="J21" s="59" t="str">
        <x:v>ไม่ทราบ</x:v>
      </x:c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  <x:c r="AA21" s="8" t="str">
        <x:f>IF(C21="ไม่ทราบ","",SUMIFS($K$7:$Z$7,K21:Z21,"&lt;&gt;N/A"))</x:f>
      </x:c>
      <x:c r="AB21" s="8" t="str">
        <x:f>IF(AND(OR(AND(C21="จำหน่ายอาหาร",ISNUMBER(K21),L21="N/A"),AND(C21="ไม่จำหน่ายอาหาร",K21="N/A",ISNUMBER(L21)),AND(C21="มัสยิด",K21="N/A",L21="N/A",X21="N/A")),COUNT(K21:Z21)+COUNTIFS(K21:Z21,"N/A")=16),SUM(K21:Z21),"")</x:f>
      </x:c>
      <x:c r="AC21" s="62" t="str">
        <x:f>IF(OR(AB21="",AA21&lt;=0),"",ROUND(AB21/AA21*100,1))</x:f>
      </x:c>
      <x:c r="AD21" s="8" t="str">
        <x:f>IF(COUNTIFS(D21:H21,"ไม่ผ่าน")&gt;0,"ไม่ผ่าน",IF(COUNTIFS(D21:H21,"ไม่ทราบ")+COUNTBLANK(D21:H21)&gt;0,"รอยืนยัน","ผ่าน"))</x:f>
        <x:v>รอยืนยัน</x:v>
      </x:c>
      <x:c r="AE21" s="8" t="str">
        <x:f>IF(AF21="ใช่","ไม่ผ่านการคัดเลือก",IF(AND(AD21="ผ่าน",ISNUMBER(AC21),AC21&gt;=70),"พร้อมขาย",IF(OR(J21="ใช่",AND(ISNUMBER(AC21),AC21&gt;=50)),"พัฒนาเพื่อพร้อมขาย",IF(AND(ISNUMBER(AC21),AC21&lt;50,I21&gt;=1),"มีศักยภาพ แต่ต้องพัฒนามาตรฐาน","รอประเมิน"))))</x:f>
        <x:v>รอประเมิน</x:v>
      </x:c>
      <x:c r="AF21" s="59" t="str">
        <x:v>ไม่ทราบ</x:v>
      </x:c>
      <x:c r="AG21" s="8" t="str">
        <x:f>IF(AF21="ใช่","หัวหน้าทีมพิจารณาเหตุไม่ผ่าน",IF(OR(AA21&lt;=0,NOT(OR(AND(C21="จำหน่ายอาหาร",ISNUMBER(K21),L21="N/A"),AND(C21="ไม่จำหน่ายอาหาร",K21="N/A",ISNUMBER(L21)),AND(C21="มัสยิด",K21="N/A",L21="N/A",X21="N/A"))),AD21="รอยืนยัน",COUNT(K21:Z21)+COUNTIFS(K21:Z21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" s="59" t="str"/>
      <x:c r="AI21" s="61"/>
    </x:row>
    <x:row r="22" ht="60" customHeight="1">
      <x:c r="A22" s="2" t="str">
        <x:v>R26-008</x:v>
      </x:c>
      <x:c r="B22" s="8" t="str">
        <x:v>บ้านขันโตกฮาลาล</x:v>
      </x:c>
      <x:c r="C22" s="59" t="str">
        <x:v>จำหน่ายอาหาร</x:v>
      </x:c>
      <x:c r="D22" s="59" t="str">
        <x:v>ไม่ทราบ</x:v>
      </x:c>
      <x:c r="E22" s="59" t="str">
        <x:v>ไม่ทราบ</x:v>
      </x:c>
      <x:c r="F22" s="59" t="str">
        <x:v>ไม่ทราบ</x:v>
      </x:c>
      <x:c r="G22" s="59" t="str">
        <x:v>ไม่ทราบ</x:v>
      </x:c>
      <x:c r="H22" s="59" t="str">
        <x:v>N/A</x:v>
      </x:c>
      <x:c r="I22" s="59"/>
      <x:c r="J22" s="59" t="str">
        <x:v>ไม่ทราบ</x:v>
      </x:c>
      <x:c r="K22" s="59"/>
      <x:c r="L22" s="59" t="str">
        <x:v>N/A</x:v>
      </x:c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  <x:c r="AA22" s="8" t="n">
        <x:f>IF(C22="ไม่ทราบ","",SUMIFS($K$7:$Z$7,K22:Z22,"&lt;&gt;N/A"))</x:f>
        <x:v>100</x:v>
      </x:c>
      <x:c r="AB22" s="8" t="str">
        <x:f>IF(AND(OR(AND(C22="จำหน่ายอาหาร",ISNUMBER(K22),L22="N/A"),AND(C22="ไม่จำหน่ายอาหาร",K22="N/A",ISNUMBER(L22)),AND(C22="มัสยิด",K22="N/A",L22="N/A",X22="N/A")),COUNT(K22:Z22)+COUNTIFS(K22:Z22,"N/A")=16),SUM(K22:Z22),"")</x:f>
      </x:c>
      <x:c r="AC22" s="62" t="str">
        <x:f>IF(OR(AB22="",AA22&lt;=0),"",ROUND(AB22/AA22*100,1))</x:f>
      </x:c>
      <x:c r="AD22" s="8" t="str">
        <x:f>IF(COUNTIFS(D22:H22,"ไม่ผ่าน")&gt;0,"ไม่ผ่าน",IF(COUNTIFS(D22:H22,"ไม่ทราบ")+COUNTBLANK(D22:H22)&gt;0,"รอยืนยัน","ผ่าน"))</x:f>
        <x:v>รอยืนยัน</x:v>
      </x:c>
      <x:c r="AE22" s="8" t="str">
        <x:f>IF(AF22="ใช่","ไม่ผ่านการคัดเลือก",IF(AND(AD22="ผ่าน",ISNUMBER(AC22),AC22&gt;=70),"พร้อมขาย",IF(OR(J22="ใช่",AND(ISNUMBER(AC22),AC22&gt;=50)),"พัฒนาเพื่อพร้อมขาย",IF(AND(ISNUMBER(AC22),AC22&lt;50,I22&gt;=1),"มีศักยภาพ แต่ต้องพัฒนามาตรฐาน","รอประเมิน"))))</x:f>
        <x:v>รอประเมิน</x:v>
      </x:c>
      <x:c r="AF22" s="59" t="str">
        <x:v>ไม่ทราบ</x:v>
      </x:c>
      <x:c r="AG22" s="8" t="str">
        <x:f>IF(AF22="ใช่","หัวหน้าทีมพิจารณาเหตุไม่ผ่าน",IF(OR(AA22&lt;=0,NOT(OR(AND(C22="จำหน่ายอาหาร",ISNUMBER(K22),L22="N/A"),AND(C22="ไม่จำหน่ายอาหาร",K22="N/A",ISNUMBER(L22)),AND(C22="มัสยิด",K22="N/A",L22="N/A",X22="N/A"))),AD22="รอยืนยัน",COUNT(K22:Z22)+COUNTIFS(K22:Z22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" s="59" t="str"/>
      <x:c r="AI22" s="61"/>
    </x:row>
    <x:row r="23" ht="60" customHeight="1">
      <x:c r="A23" s="2" t="str">
        <x:v>R26-010</x:v>
      </x:c>
      <x:c r="B23" s="8" t="str">
        <x:v>จริงใจมาร์เก็ต เชียงใหม่</x:v>
      </x:c>
      <x:c r="C23" s="59" t="str">
        <x:v>ไม่ทราบ</x:v>
      </x:c>
      <x:c r="D23" s="59" t="str">
        <x:v>ไม่ทราบ</x:v>
      </x:c>
      <x:c r="E23" s="59" t="str">
        <x:v>ไม่ทราบ</x:v>
      </x:c>
      <x:c r="F23" s="59" t="str">
        <x:v>ไม่ทราบ</x:v>
      </x:c>
      <x:c r="G23" s="59" t="str">
        <x:v>ไม่ทราบ</x:v>
      </x:c>
      <x:c r="H23" s="59" t="str">
        <x:v>N/A</x:v>
      </x:c>
      <x:c r="I23" s="59"/>
      <x:c r="J23" s="59" t="str">
        <x:v>ไม่ทราบ</x:v>
      </x:c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  <x:c r="AA23" s="8" t="str">
        <x:f>IF(C23="ไม่ทราบ","",SUMIFS($K$7:$Z$7,K23:Z23,"&lt;&gt;N/A"))</x:f>
      </x:c>
      <x:c r="AB23" s="8" t="str">
        <x:f>IF(AND(OR(AND(C23="จำหน่ายอาหาร",ISNUMBER(K23),L23="N/A"),AND(C23="ไม่จำหน่ายอาหาร",K23="N/A",ISNUMBER(L23)),AND(C23="มัสยิด",K23="N/A",L23="N/A",X23="N/A")),COUNT(K23:Z23)+COUNTIFS(K23:Z23,"N/A")=16),SUM(K23:Z23),"")</x:f>
      </x:c>
      <x:c r="AC23" s="62" t="str">
        <x:f>IF(OR(AB23="",AA23&lt;=0),"",ROUND(AB23/AA23*100,1))</x:f>
      </x:c>
      <x:c r="AD23" s="8" t="str">
        <x:f>IF(COUNTIFS(D23:H23,"ไม่ผ่าน")&gt;0,"ไม่ผ่าน",IF(COUNTIFS(D23:H23,"ไม่ทราบ")+COUNTBLANK(D23:H23)&gt;0,"รอยืนยัน","ผ่าน"))</x:f>
        <x:v>รอยืนยัน</x:v>
      </x:c>
      <x:c r="AE23" s="8" t="str">
        <x:f>IF(AF23="ใช่","ไม่ผ่านการคัดเลือก",IF(AND(AD23="ผ่าน",ISNUMBER(AC23),AC23&gt;=70),"พร้อมขาย",IF(OR(J23="ใช่",AND(ISNUMBER(AC23),AC23&gt;=50)),"พัฒนาเพื่อพร้อมขาย",IF(AND(ISNUMBER(AC23),AC23&lt;50,I23&gt;=1),"มีศักยภาพ แต่ต้องพัฒนามาตรฐาน","รอประเมิน"))))</x:f>
        <x:v>รอประเมิน</x:v>
      </x:c>
      <x:c r="AF23" s="59" t="str">
        <x:v>ไม่ทราบ</x:v>
      </x:c>
      <x:c r="AG23" s="8" t="str">
        <x:f>IF(AF23="ใช่","หัวหน้าทีมพิจารณาเหตุไม่ผ่าน",IF(OR(AA23&lt;=0,NOT(OR(AND(C23="จำหน่ายอาหาร",ISNUMBER(K23),L23="N/A"),AND(C23="ไม่จำหน่ายอาหาร",K23="N/A",ISNUMBER(L23)),AND(C23="มัสยิด",K23="N/A",L23="N/A",X23="N/A"))),AD23="รอยืนยัน",COUNT(K23:Z23)+COUNTIFS(K23:Z23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" s="59" t="str"/>
      <x:c r="AI23" s="61"/>
    </x:row>
    <x:row r="24" ht="60" customHeight="1">
      <x:c r="A24" s="2" t="str">
        <x:v>TMF-235</x:v>
      </x:c>
      <x:c r="B24" s="8" t="str">
        <x:v>Aba Village</x:v>
      </x:c>
      <x:c r="C24" s="59" t="str">
        <x:v>ไม่ทราบ</x:v>
      </x:c>
      <x:c r="D24" s="59" t="str">
        <x:v>ไม่ทราบ</x:v>
      </x:c>
      <x:c r="E24" s="59" t="str">
        <x:v>ไม่ทราบ</x:v>
      </x:c>
      <x:c r="F24" s="59" t="str">
        <x:v>ไม่ทราบ</x:v>
      </x:c>
      <x:c r="G24" s="59" t="str">
        <x:v>ไม่ทราบ</x:v>
      </x:c>
      <x:c r="H24" s="59" t="str">
        <x:v>ไม่ทราบ</x:v>
      </x:c>
      <x:c r="I24" s="59"/>
      <x:c r="J24" s="59" t="str">
        <x:v>ไม่ทราบ</x:v>
      </x:c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  <x:c r="AA24" s="8" t="str">
        <x:f>IF(C24="ไม่ทราบ","",SUMIFS($K$7:$Z$7,K24:Z24,"&lt;&gt;N/A"))</x:f>
      </x:c>
      <x:c r="AB24" s="8" t="str">
        <x:f>IF(AND(OR(AND(C24="จำหน่ายอาหาร",ISNUMBER(K24),L24="N/A"),AND(C24="ไม่จำหน่ายอาหาร",K24="N/A",ISNUMBER(L24)),AND(C24="มัสยิด",K24="N/A",L24="N/A",X24="N/A")),COUNT(K24:Z24)+COUNTIFS(K24:Z24,"N/A")=16),SUM(K24:Z24),"")</x:f>
      </x:c>
      <x:c r="AC24" s="62" t="str">
        <x:f>IF(OR(AB24="",AA24&lt;=0),"",ROUND(AB24/AA24*100,1))</x:f>
      </x:c>
      <x:c r="AD24" s="8" t="str">
        <x:f>IF(COUNTIFS(D24:H24,"ไม่ผ่าน")&gt;0,"ไม่ผ่าน",IF(COUNTIFS(D24:H24,"ไม่ทราบ")+COUNTBLANK(D24:H24)&gt;0,"รอยืนยัน","ผ่าน"))</x:f>
        <x:v>รอยืนยัน</x:v>
      </x:c>
      <x:c r="AE24" s="8" t="str">
        <x:f>IF(AF24="ใช่","ไม่ผ่านการคัดเลือก",IF(AND(AD24="ผ่าน",ISNUMBER(AC24),AC24&gt;=70),"พร้อมขาย",IF(OR(J24="ใช่",AND(ISNUMBER(AC24),AC24&gt;=50)),"พัฒนาเพื่อพร้อมขาย",IF(AND(ISNUMBER(AC24),AC24&lt;50,I24&gt;=1),"มีศักยภาพ แต่ต้องพัฒนามาตรฐาน","รอประเมิน"))))</x:f>
        <x:v>รอประเมิน</x:v>
      </x:c>
      <x:c r="AF24" s="59" t="str">
        <x:v>ไม่ทราบ</x:v>
      </x:c>
      <x:c r="AG24" s="8" t="str">
        <x:f>IF(AF24="ใช่","หัวหน้าทีมพิจารณาเหตุไม่ผ่าน",IF(OR(AA24&lt;=0,NOT(OR(AND(C24="จำหน่ายอาหาร",ISNUMBER(K24),L24="N/A"),AND(C24="ไม่จำหน่ายอาหาร",K24="N/A",ISNUMBER(L24)),AND(C24="มัสยิด",K24="N/A",L24="N/A",X24="N/A"))),AD24="รอยืนยัน",COUNT(K24:Z24)+COUNTIFS(K24:Z24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" s="59" t="str"/>
      <x:c r="AI24" s="61"/>
    </x:row>
    <x:row r="25" ht="60" customHeight="1">
      <x:c r="A25" s="2" t="str">
        <x:v>TMF-231</x:v>
      </x:c>
      <x:c r="B25" s="8" t="str">
        <x:v>Arsh Boutique Hotel</x:v>
      </x:c>
      <x:c r="C25" s="59" t="str">
        <x:v>ไม่ทราบ</x:v>
      </x:c>
      <x:c r="D25" s="59" t="str">
        <x:v>ไม่ทราบ</x:v>
      </x:c>
      <x:c r="E25" s="59" t="str">
        <x:v>ไม่ทราบ</x:v>
      </x:c>
      <x:c r="F25" s="59" t="str">
        <x:v>ไม่ทราบ</x:v>
      </x:c>
      <x:c r="G25" s="59" t="str">
        <x:v>ไม่ทราบ</x:v>
      </x:c>
      <x:c r="H25" s="59" t="str">
        <x:v>ไม่ทราบ</x:v>
      </x:c>
      <x:c r="I25" s="59"/>
      <x:c r="J25" s="59" t="str">
        <x:v>ไม่ทราบ</x:v>
      </x:c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  <x:c r="AA25" s="8" t="str">
        <x:f>IF(C25="ไม่ทราบ","",SUMIFS($K$7:$Z$7,K25:Z25,"&lt;&gt;N/A"))</x:f>
      </x:c>
      <x:c r="AB25" s="8" t="str">
        <x:f>IF(AND(OR(AND(C25="จำหน่ายอาหาร",ISNUMBER(K25),L25="N/A"),AND(C25="ไม่จำหน่ายอาหาร",K25="N/A",ISNUMBER(L25)),AND(C25="มัสยิด",K25="N/A",L25="N/A",X25="N/A")),COUNT(K25:Z25)+COUNTIFS(K25:Z25,"N/A")=16),SUM(K25:Z25),"")</x:f>
      </x:c>
      <x:c r="AC25" s="62" t="str">
        <x:f>IF(OR(AB25="",AA25&lt;=0),"",ROUND(AB25/AA25*100,1))</x:f>
      </x:c>
      <x:c r="AD25" s="8" t="str">
        <x:f>IF(COUNTIFS(D25:H25,"ไม่ผ่าน")&gt;0,"ไม่ผ่าน",IF(COUNTIFS(D25:H25,"ไม่ทราบ")+COUNTBLANK(D25:H25)&gt;0,"รอยืนยัน","ผ่าน"))</x:f>
        <x:v>รอยืนยัน</x:v>
      </x:c>
      <x:c r="AE25" s="8" t="str">
        <x:f>IF(AF25="ใช่","ไม่ผ่านการคัดเลือก",IF(AND(AD25="ผ่าน",ISNUMBER(AC25),AC25&gt;=70),"พร้อมขาย",IF(OR(J25="ใช่",AND(ISNUMBER(AC25),AC25&gt;=50)),"พัฒนาเพื่อพร้อมขาย",IF(AND(ISNUMBER(AC25),AC25&lt;50,I25&gt;=1),"มีศักยภาพ แต่ต้องพัฒนามาตรฐาน","รอประเมิน"))))</x:f>
        <x:v>รอประเมิน</x:v>
      </x:c>
      <x:c r="AF25" s="59" t="str">
        <x:v>ไม่ทราบ</x:v>
      </x:c>
      <x:c r="AG25" s="8" t="str">
        <x:f>IF(AF25="ใช่","หัวหน้าทีมพิจารณาเหตุไม่ผ่าน",IF(OR(AA25&lt;=0,NOT(OR(AND(C25="จำหน่ายอาหาร",ISNUMBER(K25),L25="N/A"),AND(C25="ไม่จำหน่ายอาหาร",K25="N/A",ISNUMBER(L25)),AND(C25="มัสยิด",K25="N/A",L25="N/A",X25="N/A"))),AD25="รอยืนยัน",COUNT(K25:Z25)+COUNTIFS(K25:Z25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" s="59" t="str"/>
      <x:c r="AI25" s="61"/>
    </x:row>
    <x:row r="26" ht="60" customHeight="1">
      <x:c r="A26" s="2" t="str">
        <x:v>TMF-232</x:v>
      </x:c>
      <x:c r="B26" s="8" t="str">
        <x:v>Lima Lanna Hotel</x:v>
      </x:c>
      <x:c r="C26" s="59" t="str">
        <x:v>ไม่ทราบ</x:v>
      </x:c>
      <x:c r="D26" s="59" t="str">
        <x:v>ไม่ทราบ</x:v>
      </x:c>
      <x:c r="E26" s="59" t="str">
        <x:v>ไม่ทราบ</x:v>
      </x:c>
      <x:c r="F26" s="59" t="str">
        <x:v>ไม่ทราบ</x:v>
      </x:c>
      <x:c r="G26" s="59" t="str">
        <x:v>ไม่ทราบ</x:v>
      </x:c>
      <x:c r="H26" s="59" t="str">
        <x:v>ไม่ทราบ</x:v>
      </x:c>
      <x:c r="I26" s="59"/>
      <x:c r="J26" s="59" t="str">
        <x:v>ไม่ทราบ</x:v>
      </x:c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  <x:c r="AA26" s="8" t="str">
        <x:f>IF(C26="ไม่ทราบ","",SUMIFS($K$7:$Z$7,K26:Z26,"&lt;&gt;N/A"))</x:f>
      </x:c>
      <x:c r="AB26" s="8" t="str">
        <x:f>IF(AND(OR(AND(C26="จำหน่ายอาหาร",ISNUMBER(K26),L26="N/A"),AND(C26="ไม่จำหน่ายอาหาร",K26="N/A",ISNUMBER(L26)),AND(C26="มัสยิด",K26="N/A",L26="N/A",X26="N/A")),COUNT(K26:Z26)+COUNTIFS(K26:Z26,"N/A")=16),SUM(K26:Z26),"")</x:f>
      </x:c>
      <x:c r="AC26" s="62" t="str">
        <x:f>IF(OR(AB26="",AA26&lt;=0),"",ROUND(AB26/AA26*100,1))</x:f>
      </x:c>
      <x:c r="AD26" s="8" t="str">
        <x:f>IF(COUNTIFS(D26:H26,"ไม่ผ่าน")&gt;0,"ไม่ผ่าน",IF(COUNTIFS(D26:H26,"ไม่ทราบ")+COUNTBLANK(D26:H26)&gt;0,"รอยืนยัน","ผ่าน"))</x:f>
        <x:v>รอยืนยัน</x:v>
      </x:c>
      <x:c r="AE26" s="8" t="str">
        <x:f>IF(AF26="ใช่","ไม่ผ่านการคัดเลือก",IF(AND(AD26="ผ่าน",ISNUMBER(AC26),AC26&gt;=70),"พร้อมขาย",IF(OR(J26="ใช่",AND(ISNUMBER(AC26),AC26&gt;=50)),"พัฒนาเพื่อพร้อมขาย",IF(AND(ISNUMBER(AC26),AC26&lt;50,I26&gt;=1),"มีศักยภาพ แต่ต้องพัฒนามาตรฐาน","รอประเมิน"))))</x:f>
        <x:v>รอประเมิน</x:v>
      </x:c>
      <x:c r="AF26" s="59" t="str">
        <x:v>ไม่ทราบ</x:v>
      </x:c>
      <x:c r="AG26" s="8" t="str">
        <x:f>IF(AF26="ใช่","หัวหน้าทีมพิจารณาเหตุไม่ผ่าน",IF(OR(AA26&lt;=0,NOT(OR(AND(C26="จำหน่ายอาหาร",ISNUMBER(K26),L26="N/A"),AND(C26="ไม่จำหน่ายอาหาร",K26="N/A",ISNUMBER(L26)),AND(C26="มัสยิด",K26="N/A",L26="N/A",X26="N/A"))),AD26="รอยืนยัน",COUNT(K26:Z26)+COUNTIFS(K26:Z26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" s="59" t="str"/>
      <x:c r="AI26" s="61"/>
    </x:row>
    <x:row r="27" ht="60" customHeight="1">
      <x:c r="A27" s="2" t="str">
        <x:v>R26-364</x:v>
      </x:c>
      <x:c r="B27" s="8" t="str">
        <x:v>U Chiang Mai</x:v>
      </x:c>
      <x:c r="C27" s="59" t="str">
        <x:v>ไม่ทราบ</x:v>
      </x:c>
      <x:c r="D27" s="59" t="str">
        <x:v>ไม่ทราบ</x:v>
      </x:c>
      <x:c r="E27" s="59" t="str">
        <x:v>ไม่ทราบ</x:v>
      </x:c>
      <x:c r="F27" s="59" t="str">
        <x:v>ไม่ทราบ</x:v>
      </x:c>
      <x:c r="G27" s="59" t="str">
        <x:v>ไม่ทราบ</x:v>
      </x:c>
      <x:c r="H27" s="59" t="str">
        <x:v>ไม่ทราบ</x:v>
      </x:c>
      <x:c r="I27" s="59"/>
      <x:c r="J27" s="59" t="str">
        <x:v>ไม่ทราบ</x:v>
      </x:c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  <x:c r="AA27" s="8" t="str">
        <x:f>IF(C27="ไม่ทราบ","",SUMIFS($K$7:$Z$7,K27:Z27,"&lt;&gt;N/A"))</x:f>
      </x:c>
      <x:c r="AB27" s="8" t="str">
        <x:f>IF(AND(OR(AND(C27="จำหน่ายอาหาร",ISNUMBER(K27),L27="N/A"),AND(C27="ไม่จำหน่ายอาหาร",K27="N/A",ISNUMBER(L27)),AND(C27="มัสยิด",K27="N/A",L27="N/A",X27="N/A")),COUNT(K27:Z27)+COUNTIFS(K27:Z27,"N/A")=16),SUM(K27:Z27),"")</x:f>
      </x:c>
      <x:c r="AC27" s="62" t="str">
        <x:f>IF(OR(AB27="",AA27&lt;=0),"",ROUND(AB27/AA27*100,1))</x:f>
      </x:c>
      <x:c r="AD27" s="8" t="str">
        <x:f>IF(COUNTIFS(D27:H27,"ไม่ผ่าน")&gt;0,"ไม่ผ่าน",IF(COUNTIFS(D27:H27,"ไม่ทราบ")+COUNTBLANK(D27:H27)&gt;0,"รอยืนยัน","ผ่าน"))</x:f>
        <x:v>รอยืนยัน</x:v>
      </x:c>
      <x:c r="AE27" s="8" t="str">
        <x:f>IF(AF27="ใช่","ไม่ผ่านการคัดเลือก",IF(AND(AD27="ผ่าน",ISNUMBER(AC27),AC27&gt;=70),"พร้อมขาย",IF(OR(J27="ใช่",AND(ISNUMBER(AC27),AC27&gt;=50)),"พัฒนาเพื่อพร้อมขาย",IF(AND(ISNUMBER(AC27),AC27&lt;50,I27&gt;=1),"มีศักยภาพ แต่ต้องพัฒนามาตรฐาน","รอประเมิน"))))</x:f>
        <x:v>รอประเมิน</x:v>
      </x:c>
      <x:c r="AF27" s="59" t="str">
        <x:v>ไม่ทราบ</x:v>
      </x:c>
      <x:c r="AG27" s="8" t="str">
        <x:f>IF(AF27="ใช่","หัวหน้าทีมพิจารณาเหตุไม่ผ่าน",IF(OR(AA27&lt;=0,NOT(OR(AND(C27="จำหน่ายอาหาร",ISNUMBER(K27),L27="N/A"),AND(C27="ไม่จำหน่ายอาหาร",K27="N/A",ISNUMBER(L27)),AND(C27="มัสยิด",K27="N/A",L27="N/A",X27="N/A"))),AD27="รอยืนยัน",COUNT(K27:Z27)+COUNTIFS(K27:Z27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" s="59" t="str"/>
      <x:c r="AI27" s="61"/>
    </x:row>
    <x:row r="28" ht="60" customHeight="1">
      <x:c r="A28" s="2" t="str">
        <x:v>TMF-233</x:v>
      </x:c>
      <x:c r="B28" s="8" t="str">
        <x:v>มิรา เรสซิเดนซ์ &amp; รีสอร์ท</x:v>
      </x:c>
      <x:c r="C28" s="59" t="str">
        <x:v>ไม่ทราบ</x:v>
      </x:c>
      <x:c r="D28" s="59" t="str">
        <x:v>ไม่ทราบ</x:v>
      </x:c>
      <x:c r="E28" s="59" t="str">
        <x:v>ไม่ทราบ</x:v>
      </x:c>
      <x:c r="F28" s="59" t="str">
        <x:v>ไม่ทราบ</x:v>
      </x:c>
      <x:c r="G28" s="59" t="str">
        <x:v>ไม่ทราบ</x:v>
      </x:c>
      <x:c r="H28" s="59" t="str">
        <x:v>ไม่ทราบ</x:v>
      </x:c>
      <x:c r="I28" s="59"/>
      <x:c r="J28" s="59" t="str">
        <x:v>ไม่ทราบ</x:v>
      </x:c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  <x:c r="AA28" s="8" t="str">
        <x:f>IF(C28="ไม่ทราบ","",SUMIFS($K$7:$Z$7,K28:Z28,"&lt;&gt;N/A"))</x:f>
      </x:c>
      <x:c r="AB28" s="8" t="str">
        <x:f>IF(AND(OR(AND(C28="จำหน่ายอาหาร",ISNUMBER(K28),L28="N/A"),AND(C28="ไม่จำหน่ายอาหาร",K28="N/A",ISNUMBER(L28)),AND(C28="มัสยิด",K28="N/A",L28="N/A",X28="N/A")),COUNT(K28:Z28)+COUNTIFS(K28:Z28,"N/A")=16),SUM(K28:Z28),"")</x:f>
      </x:c>
      <x:c r="AC28" s="62" t="str">
        <x:f>IF(OR(AB28="",AA28&lt;=0),"",ROUND(AB28/AA28*100,1))</x:f>
      </x:c>
      <x:c r="AD28" s="8" t="str">
        <x:f>IF(COUNTIFS(D28:H28,"ไม่ผ่าน")&gt;0,"ไม่ผ่าน",IF(COUNTIFS(D28:H28,"ไม่ทราบ")+COUNTBLANK(D28:H28)&gt;0,"รอยืนยัน","ผ่าน"))</x:f>
        <x:v>รอยืนยัน</x:v>
      </x:c>
      <x:c r="AE28" s="8" t="str">
        <x:f>IF(AF28="ใช่","ไม่ผ่านการคัดเลือก",IF(AND(AD28="ผ่าน",ISNUMBER(AC28),AC28&gt;=70),"พร้อมขาย",IF(OR(J28="ใช่",AND(ISNUMBER(AC28),AC28&gt;=50)),"พัฒนาเพื่อพร้อมขาย",IF(AND(ISNUMBER(AC28),AC28&lt;50,I28&gt;=1),"มีศักยภาพ แต่ต้องพัฒนามาตรฐาน","รอประเมิน"))))</x:f>
        <x:v>รอประเมิน</x:v>
      </x:c>
      <x:c r="AF28" s="59" t="str">
        <x:v>ไม่ทราบ</x:v>
      </x:c>
      <x:c r="AG28" s="8" t="str">
        <x:f>IF(AF28="ใช่","หัวหน้าทีมพิจารณาเหตุไม่ผ่าน",IF(OR(AA28&lt;=0,NOT(OR(AND(C28="จำหน่ายอาหาร",ISNUMBER(K28),L28="N/A"),AND(C28="ไม่จำหน่ายอาหาร",K28="N/A",ISNUMBER(L28)),AND(C28="มัสยิด",K28="N/A",L28="N/A",X28="N/A"))),AD28="รอยืนยัน",COUNT(K28:Z28)+COUNTIFS(K28:Z28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" s="59" t="str"/>
      <x:c r="AI28" s="61"/>
    </x:row>
    <x:row r="29" ht="60" customHeight="1">
      <x:c r="A29" s="2" t="str">
        <x:v>TMF-234</x:v>
      </x:c>
      <x:c r="B29" s="8" t="str">
        <x:v>โรงแรม คาซ่า มารอค เชียงใหม่ Casa Marocc Chiangmai</x:v>
      </x:c>
      <x:c r="C29" s="59" t="str">
        <x:v>ไม่ทราบ</x:v>
      </x:c>
      <x:c r="D29" s="59" t="str">
        <x:v>ไม่ทราบ</x:v>
      </x:c>
      <x:c r="E29" s="59" t="str">
        <x:v>ไม่ทราบ</x:v>
      </x:c>
      <x:c r="F29" s="59" t="str">
        <x:v>ไม่ทราบ</x:v>
      </x:c>
      <x:c r="G29" s="59" t="str">
        <x:v>ไม่ทราบ</x:v>
      </x:c>
      <x:c r="H29" s="59" t="str">
        <x:v>ไม่ทราบ</x:v>
      </x:c>
      <x:c r="I29" s="59"/>
      <x:c r="J29" s="59" t="str">
        <x:v>ไม่ทราบ</x:v>
      </x:c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  <x:c r="AA29" s="8" t="str">
        <x:f>IF(C29="ไม่ทราบ","",SUMIFS($K$7:$Z$7,K29:Z29,"&lt;&gt;N/A"))</x:f>
      </x:c>
      <x:c r="AB29" s="8" t="str">
        <x:f>IF(AND(OR(AND(C29="จำหน่ายอาหาร",ISNUMBER(K29),L29="N/A"),AND(C29="ไม่จำหน่ายอาหาร",K29="N/A",ISNUMBER(L29)),AND(C29="มัสยิด",K29="N/A",L29="N/A",X29="N/A")),COUNT(K29:Z29)+COUNTIFS(K29:Z29,"N/A")=16),SUM(K29:Z29),"")</x:f>
      </x:c>
      <x:c r="AC29" s="62" t="str">
        <x:f>IF(OR(AB29="",AA29&lt;=0),"",ROUND(AB29/AA29*100,1))</x:f>
      </x:c>
      <x:c r="AD29" s="8" t="str">
        <x:f>IF(COUNTIFS(D29:H29,"ไม่ผ่าน")&gt;0,"ไม่ผ่าน",IF(COUNTIFS(D29:H29,"ไม่ทราบ")+COUNTBLANK(D29:H29)&gt;0,"รอยืนยัน","ผ่าน"))</x:f>
        <x:v>รอยืนยัน</x:v>
      </x:c>
      <x:c r="AE29" s="8" t="str">
        <x:f>IF(AF29="ใช่","ไม่ผ่านการคัดเลือก",IF(AND(AD29="ผ่าน",ISNUMBER(AC29),AC29&gt;=70),"พร้อมขาย",IF(OR(J29="ใช่",AND(ISNUMBER(AC29),AC29&gt;=50)),"พัฒนาเพื่อพร้อมขาย",IF(AND(ISNUMBER(AC29),AC29&lt;50,I29&gt;=1),"มีศักยภาพ แต่ต้องพัฒนามาตรฐาน","รอประเมิน"))))</x:f>
        <x:v>รอประเมิน</x:v>
      </x:c>
      <x:c r="AF29" s="59" t="str">
        <x:v>ไม่ทราบ</x:v>
      </x:c>
      <x:c r="AG29" s="8" t="str">
        <x:f>IF(AF29="ใช่","หัวหน้าทีมพิจารณาเหตุไม่ผ่าน",IF(OR(AA29&lt;=0,NOT(OR(AND(C29="จำหน่ายอาหาร",ISNUMBER(K29),L29="N/A"),AND(C29="ไม่จำหน่ายอาหาร",K29="N/A",ISNUMBER(L29)),AND(C29="มัสยิด",K29="N/A",L29="N/A",X29="N/A"))),AD29="รอยืนยัน",COUNT(K29:Z29)+COUNTIFS(K29:Z29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" s="59" t="str"/>
      <x:c r="AI29" s="61"/>
    </x:row>
    <x:row r="30" ht="60" customHeight="1">
      <x:c r="A30" s="2" t="str">
        <x:v>TMF-591</x:v>
      </x:c>
      <x:c r="B30" s="8" t="str">
        <x:v>Ancient beef Thai Cuisine – ข้าวขาวัว</x:v>
      </x:c>
      <x:c r="C30" s="59" t="str">
        <x:v>จำหน่ายอาหาร</x:v>
      </x:c>
      <x:c r="D30" s="59" t="str">
        <x:v>ไม่ทราบ</x:v>
      </x:c>
      <x:c r="E30" s="59" t="str">
        <x:v>ไม่ทราบ</x:v>
      </x:c>
      <x:c r="F30" s="59" t="str">
        <x:v>ไม่ทราบ</x:v>
      </x:c>
      <x:c r="G30" s="59" t="str">
        <x:v>ไม่ทราบ</x:v>
      </x:c>
      <x:c r="H30" s="59" t="str">
        <x:v>N/A</x:v>
      </x:c>
      <x:c r="I30" s="59"/>
      <x:c r="J30" s="59" t="str">
        <x:v>ไม่ทราบ</x:v>
      </x:c>
      <x:c r="K30" s="59"/>
      <x:c r="L30" s="59" t="str">
        <x:v>N/A</x:v>
      </x:c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  <x:c r="AA30" s="8" t="n">
        <x:f>IF(C30="ไม่ทราบ","",SUMIFS($K$7:$Z$7,K30:Z30,"&lt;&gt;N/A"))</x:f>
        <x:v>100</x:v>
      </x:c>
      <x:c r="AB30" s="8" t="str">
        <x:f>IF(AND(OR(AND(C30="จำหน่ายอาหาร",ISNUMBER(K30),L30="N/A"),AND(C30="ไม่จำหน่ายอาหาร",K30="N/A",ISNUMBER(L30)),AND(C30="มัสยิด",K30="N/A",L30="N/A",X30="N/A")),COUNT(K30:Z30)+COUNTIFS(K30:Z30,"N/A")=16),SUM(K30:Z30),"")</x:f>
      </x:c>
      <x:c r="AC30" s="62" t="str">
        <x:f>IF(OR(AB30="",AA30&lt;=0),"",ROUND(AB30/AA30*100,1))</x:f>
      </x:c>
      <x:c r="AD30" s="8" t="str">
        <x:f>IF(COUNTIFS(D30:H30,"ไม่ผ่าน")&gt;0,"ไม่ผ่าน",IF(COUNTIFS(D30:H30,"ไม่ทราบ")+COUNTBLANK(D30:H30)&gt;0,"รอยืนยัน","ผ่าน"))</x:f>
        <x:v>รอยืนยัน</x:v>
      </x:c>
      <x:c r="AE30" s="8" t="str">
        <x:f>IF(AF30="ใช่","ไม่ผ่านการคัดเลือก",IF(AND(AD30="ผ่าน",ISNUMBER(AC30),AC30&gt;=70),"พร้อมขาย",IF(OR(J30="ใช่",AND(ISNUMBER(AC30),AC30&gt;=50)),"พัฒนาเพื่อพร้อมขาย",IF(AND(ISNUMBER(AC30),AC30&lt;50,I30&gt;=1),"มีศักยภาพ แต่ต้องพัฒนามาตรฐาน","รอประเมิน"))))</x:f>
        <x:v>รอประเมิน</x:v>
      </x:c>
      <x:c r="AF30" s="59" t="str">
        <x:v>ไม่ทราบ</x:v>
      </x:c>
      <x:c r="AG30" s="8" t="str">
        <x:f>IF(AF30="ใช่","หัวหน้าทีมพิจารณาเหตุไม่ผ่าน",IF(OR(AA30&lt;=0,NOT(OR(AND(C30="จำหน่ายอาหาร",ISNUMBER(K30),L30="N/A"),AND(C30="ไม่จำหน่ายอาหาร",K30="N/A",ISNUMBER(L30)),AND(C30="มัสยิด",K30="N/A",L30="N/A",X30="N/A"))),AD30="รอยืนยัน",COUNT(K30:Z30)+COUNTIFS(K30:Z30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" s="59" t="str"/>
      <x:c r="AI30" s="61"/>
    </x:row>
    <x:row r="31" ht="60" customHeight="1">
      <x:c r="A31" s="2" t="str">
        <x:v>TMF-236</x:v>
      </x:c>
      <x:c r="B31" s="8" t="str">
        <x:v>Everything Halal CNX</x:v>
      </x:c>
      <x:c r="C31" s="59" t="str">
        <x:v>จำหน่ายอาหาร</x:v>
      </x:c>
      <x:c r="D31" s="59" t="str">
        <x:v>ไม่ทราบ</x:v>
      </x:c>
      <x:c r="E31" s="59" t="str">
        <x:v>ไม่ทราบ</x:v>
      </x:c>
      <x:c r="F31" s="59" t="str">
        <x:v>ไม่ทราบ</x:v>
      </x:c>
      <x:c r="G31" s="59" t="str">
        <x:v>ไม่ทราบ</x:v>
      </x:c>
      <x:c r="H31" s="59" t="str">
        <x:v>N/A</x:v>
      </x:c>
      <x:c r="I31" s="59"/>
      <x:c r="J31" s="59" t="str">
        <x:v>ไม่ทราบ</x:v>
      </x:c>
      <x:c r="K31" s="59"/>
      <x:c r="L31" s="59" t="str">
        <x:v>N/A</x:v>
      </x:c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  <x:c r="AA31" s="8" t="n">
        <x:f>IF(C31="ไม่ทราบ","",SUMIFS($K$7:$Z$7,K31:Z31,"&lt;&gt;N/A"))</x:f>
        <x:v>100</x:v>
      </x:c>
      <x:c r="AB31" s="8" t="str">
        <x:f>IF(AND(OR(AND(C31="จำหน่ายอาหาร",ISNUMBER(K31),L31="N/A"),AND(C31="ไม่จำหน่ายอาหาร",K31="N/A",ISNUMBER(L31)),AND(C31="มัสยิด",K31="N/A",L31="N/A",X31="N/A")),COUNT(K31:Z31)+COUNTIFS(K31:Z31,"N/A")=16),SUM(K31:Z31),"")</x:f>
      </x:c>
      <x:c r="AC31" s="62" t="str">
        <x:f>IF(OR(AB31="",AA31&lt;=0),"",ROUND(AB31/AA31*100,1))</x:f>
      </x:c>
      <x:c r="AD31" s="8" t="str">
        <x:f>IF(COUNTIFS(D31:H31,"ไม่ผ่าน")&gt;0,"ไม่ผ่าน",IF(COUNTIFS(D31:H31,"ไม่ทราบ")+COUNTBLANK(D31:H31)&gt;0,"รอยืนยัน","ผ่าน"))</x:f>
        <x:v>รอยืนยัน</x:v>
      </x:c>
      <x:c r="AE31" s="8" t="str">
        <x:f>IF(AF31="ใช่","ไม่ผ่านการคัดเลือก",IF(AND(AD31="ผ่าน",ISNUMBER(AC31),AC31&gt;=70),"พร้อมขาย",IF(OR(J31="ใช่",AND(ISNUMBER(AC31),AC31&gt;=50)),"พัฒนาเพื่อพร้อมขาย",IF(AND(ISNUMBER(AC31),AC31&lt;50,I31&gt;=1),"มีศักยภาพ แต่ต้องพัฒนามาตรฐาน","รอประเมิน"))))</x:f>
        <x:v>รอประเมิน</x:v>
      </x:c>
      <x:c r="AF31" s="59" t="str">
        <x:v>ไม่ทราบ</x:v>
      </x:c>
      <x:c r="AG31" s="8" t="str">
        <x:f>IF(AF31="ใช่","หัวหน้าทีมพิจารณาเหตุไม่ผ่าน",IF(OR(AA31&lt;=0,NOT(OR(AND(C31="จำหน่ายอาหาร",ISNUMBER(K31),L31="N/A"),AND(C31="ไม่จำหน่ายอาหาร",K31="N/A",ISNUMBER(L31)),AND(C31="มัสยิด",K31="N/A",L31="N/A",X31="N/A"))),AD31="รอยืนยัน",COUNT(K31:Z31)+COUNTIFS(K31:Z31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" s="59" t="str"/>
      <x:c r="AI31" s="61"/>
    </x:row>
    <x:row r="32" ht="60" customHeight="1">
      <x:c r="A32" s="2" t="str">
        <x:v>TMF-593</x:v>
      </x:c>
      <x:c r="B32" s="8" t="str">
        <x:v>Mme caffee</x:v>
      </x:c>
      <x:c r="C32" s="59" t="str">
        <x:v>จำหน่ายอาหาร</x:v>
      </x:c>
      <x:c r="D32" s="59" t="str">
        <x:v>ไม่ทราบ</x:v>
      </x:c>
      <x:c r="E32" s="59" t="str">
        <x:v>ไม่ทราบ</x:v>
      </x:c>
      <x:c r="F32" s="59" t="str">
        <x:v>ไม่ทราบ</x:v>
      </x:c>
      <x:c r="G32" s="59" t="str">
        <x:v>ไม่ทราบ</x:v>
      </x:c>
      <x:c r="H32" s="59" t="str">
        <x:v>N/A</x:v>
      </x:c>
      <x:c r="I32" s="59"/>
      <x:c r="J32" s="59" t="str">
        <x:v>ไม่ทราบ</x:v>
      </x:c>
      <x:c r="K32" s="59"/>
      <x:c r="L32" s="59" t="str">
        <x:v>N/A</x:v>
      </x:c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  <x:c r="AA32" s="8" t="n">
        <x:f>IF(C32="ไม่ทราบ","",SUMIFS($K$7:$Z$7,K32:Z32,"&lt;&gt;N/A"))</x:f>
        <x:v>100</x:v>
      </x:c>
      <x:c r="AB32" s="8" t="str">
        <x:f>IF(AND(OR(AND(C32="จำหน่ายอาหาร",ISNUMBER(K32),L32="N/A"),AND(C32="ไม่จำหน่ายอาหาร",K32="N/A",ISNUMBER(L32)),AND(C32="มัสยิด",K32="N/A",L32="N/A",X32="N/A")),COUNT(K32:Z32)+COUNTIFS(K32:Z32,"N/A")=16),SUM(K32:Z32),"")</x:f>
      </x:c>
      <x:c r="AC32" s="62" t="str">
        <x:f>IF(OR(AB32="",AA32&lt;=0),"",ROUND(AB32/AA32*100,1))</x:f>
      </x:c>
      <x:c r="AD32" s="8" t="str">
        <x:f>IF(COUNTIFS(D32:H32,"ไม่ผ่าน")&gt;0,"ไม่ผ่าน",IF(COUNTIFS(D32:H32,"ไม่ทราบ")+COUNTBLANK(D32:H32)&gt;0,"รอยืนยัน","ผ่าน"))</x:f>
        <x:v>รอยืนยัน</x:v>
      </x:c>
      <x:c r="AE32" s="8" t="str">
        <x:f>IF(AF32="ใช่","ไม่ผ่านการคัดเลือก",IF(AND(AD32="ผ่าน",ISNUMBER(AC32),AC32&gt;=70),"พร้อมขาย",IF(OR(J32="ใช่",AND(ISNUMBER(AC32),AC32&gt;=50)),"พัฒนาเพื่อพร้อมขาย",IF(AND(ISNUMBER(AC32),AC32&lt;50,I32&gt;=1),"มีศักยภาพ แต่ต้องพัฒนามาตรฐาน","รอประเมิน"))))</x:f>
        <x:v>รอประเมิน</x:v>
      </x:c>
      <x:c r="AF32" s="59" t="str">
        <x:v>ไม่ทราบ</x:v>
      </x:c>
      <x:c r="AG32" s="8" t="str">
        <x:f>IF(AF32="ใช่","หัวหน้าทีมพิจารณาเหตุไม่ผ่าน",IF(OR(AA32&lt;=0,NOT(OR(AND(C32="จำหน่ายอาหาร",ISNUMBER(K32),L32="N/A"),AND(C32="ไม่จำหน่ายอาหาร",K32="N/A",ISNUMBER(L32)),AND(C32="มัสยิด",K32="N/A",L32="N/A",X32="N/A"))),AD32="รอยืนยัน",COUNT(K32:Z32)+COUNTIFS(K32:Z32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" s="59" t="str"/>
      <x:c r="AI32" s="61"/>
    </x:row>
    <x:row r="33" ht="60" customHeight="1">
      <x:c r="A33" s="2" t="str">
        <x:v>TMF-237</x:v>
      </x:c>
      <x:c r="B33" s="8" t="str">
        <x:v>ก๋วยเตี๋ยวเนื้อตุ๋น ครัวมัยซาเราะห์ ครัวบังมัต</x:v>
      </x:c>
      <x:c r="C33" s="59" t="str">
        <x:v>จำหน่ายอาหาร</x:v>
      </x:c>
      <x:c r="D33" s="59" t="str">
        <x:v>ไม่ทราบ</x:v>
      </x:c>
      <x:c r="E33" s="59" t="str">
        <x:v>ไม่ทราบ</x:v>
      </x:c>
      <x:c r="F33" s="59" t="str">
        <x:v>ไม่ทราบ</x:v>
      </x:c>
      <x:c r="G33" s="59" t="str">
        <x:v>ไม่ทราบ</x:v>
      </x:c>
      <x:c r="H33" s="59" t="str">
        <x:v>N/A</x:v>
      </x:c>
      <x:c r="I33" s="59"/>
      <x:c r="J33" s="59" t="str">
        <x:v>ไม่ทราบ</x:v>
      </x:c>
      <x:c r="K33" s="59"/>
      <x:c r="L33" s="59" t="str">
        <x:v>N/A</x:v>
      </x:c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  <x:c r="AA33" s="8" t="n">
        <x:f>IF(C33="ไม่ทราบ","",SUMIFS($K$7:$Z$7,K33:Z33,"&lt;&gt;N/A"))</x:f>
        <x:v>100</x:v>
      </x:c>
      <x:c r="AB33" s="8" t="str">
        <x:f>IF(AND(OR(AND(C33="จำหน่ายอาหาร",ISNUMBER(K33),L33="N/A"),AND(C33="ไม่จำหน่ายอาหาร",K33="N/A",ISNUMBER(L33)),AND(C33="มัสยิด",K33="N/A",L33="N/A",X33="N/A")),COUNT(K33:Z33)+COUNTIFS(K33:Z33,"N/A")=16),SUM(K33:Z33),"")</x:f>
      </x:c>
      <x:c r="AC33" s="62" t="str">
        <x:f>IF(OR(AB33="",AA33&lt;=0),"",ROUND(AB33/AA33*100,1))</x:f>
      </x:c>
      <x:c r="AD33" s="8" t="str">
        <x:f>IF(COUNTIFS(D33:H33,"ไม่ผ่าน")&gt;0,"ไม่ผ่าน",IF(COUNTIFS(D33:H33,"ไม่ทราบ")+COUNTBLANK(D33:H33)&gt;0,"รอยืนยัน","ผ่าน"))</x:f>
        <x:v>รอยืนยัน</x:v>
      </x:c>
      <x:c r="AE33" s="8" t="str">
        <x:f>IF(AF33="ใช่","ไม่ผ่านการคัดเลือก",IF(AND(AD33="ผ่าน",ISNUMBER(AC33),AC33&gt;=70),"พร้อมขาย",IF(OR(J33="ใช่",AND(ISNUMBER(AC33),AC33&gt;=50)),"พัฒนาเพื่อพร้อมขาย",IF(AND(ISNUMBER(AC33),AC33&lt;50,I33&gt;=1),"มีศักยภาพ แต่ต้องพัฒนามาตรฐาน","รอประเมิน"))))</x:f>
        <x:v>รอประเมิน</x:v>
      </x:c>
      <x:c r="AF33" s="59" t="str">
        <x:v>ไม่ทราบ</x:v>
      </x:c>
      <x:c r="AG33" s="8" t="str">
        <x:f>IF(AF33="ใช่","หัวหน้าทีมพิจารณาเหตุไม่ผ่าน",IF(OR(AA33&lt;=0,NOT(OR(AND(C33="จำหน่ายอาหาร",ISNUMBER(K33),L33="N/A"),AND(C33="ไม่จำหน่ายอาหาร",K33="N/A",ISNUMBER(L33)),AND(C33="มัสยิด",K33="N/A",L33="N/A",X33="N/A"))),AD33="รอยืนยัน",COUNT(K33:Z33)+COUNTIFS(K33:Z33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" s="59" t="str"/>
      <x:c r="AI33" s="61"/>
    </x:row>
    <x:row r="34" ht="60" customHeight="1">
      <x:c r="A34" s="2" t="str">
        <x:v>TMF-238</x:v>
      </x:c>
      <x:c r="B34" s="8" t="str">
        <x:v>หรอยลำนัว</x:v>
      </x:c>
      <x:c r="C34" s="59" t="str">
        <x:v>จำหน่ายอาหาร</x:v>
      </x:c>
      <x:c r="D34" s="59" t="str">
        <x:v>ไม่ทราบ</x:v>
      </x:c>
      <x:c r="E34" s="59" t="str">
        <x:v>ไม่ทราบ</x:v>
      </x:c>
      <x:c r="F34" s="59" t="str">
        <x:v>ไม่ทราบ</x:v>
      </x:c>
      <x:c r="G34" s="59" t="str">
        <x:v>ไม่ทราบ</x:v>
      </x:c>
      <x:c r="H34" s="59" t="str">
        <x:v>N/A</x:v>
      </x:c>
      <x:c r="I34" s="59"/>
      <x:c r="J34" s="59" t="str">
        <x:v>ไม่ทราบ</x:v>
      </x:c>
      <x:c r="K34" s="59"/>
      <x:c r="L34" s="59" t="str">
        <x:v>N/A</x:v>
      </x:c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  <x:c r="AA34" s="8" t="n">
        <x:f>IF(C34="ไม่ทราบ","",SUMIFS($K$7:$Z$7,K34:Z34,"&lt;&gt;N/A"))</x:f>
        <x:v>100</x:v>
      </x:c>
      <x:c r="AB34" s="8" t="str">
        <x:f>IF(AND(OR(AND(C34="จำหน่ายอาหาร",ISNUMBER(K34),L34="N/A"),AND(C34="ไม่จำหน่ายอาหาร",K34="N/A",ISNUMBER(L34)),AND(C34="มัสยิด",K34="N/A",L34="N/A",X34="N/A")),COUNT(K34:Z34)+COUNTIFS(K34:Z34,"N/A")=16),SUM(K34:Z34),"")</x:f>
      </x:c>
      <x:c r="AC34" s="62" t="str">
        <x:f>IF(OR(AB34="",AA34&lt;=0),"",ROUND(AB34/AA34*100,1))</x:f>
      </x:c>
      <x:c r="AD34" s="8" t="str">
        <x:f>IF(COUNTIFS(D34:H34,"ไม่ผ่าน")&gt;0,"ไม่ผ่าน",IF(COUNTIFS(D34:H34,"ไม่ทราบ")+COUNTBLANK(D34:H34)&gt;0,"รอยืนยัน","ผ่าน"))</x:f>
        <x:v>รอยืนยัน</x:v>
      </x:c>
      <x:c r="AE34" s="8" t="str">
        <x:f>IF(AF34="ใช่","ไม่ผ่านการคัดเลือก",IF(AND(AD34="ผ่าน",ISNUMBER(AC34),AC34&gt;=70),"พร้อมขาย",IF(OR(J34="ใช่",AND(ISNUMBER(AC34),AC34&gt;=50)),"พัฒนาเพื่อพร้อมขาย",IF(AND(ISNUMBER(AC34),AC34&lt;50,I34&gt;=1),"มีศักยภาพ แต่ต้องพัฒนามาตรฐาน","รอประเมิน"))))</x:f>
        <x:v>รอประเมิน</x:v>
      </x:c>
      <x:c r="AF34" s="59" t="str">
        <x:v>ไม่ทราบ</x:v>
      </x:c>
      <x:c r="AG34" s="8" t="str">
        <x:f>IF(AF34="ใช่","หัวหน้าทีมพิจารณาเหตุไม่ผ่าน",IF(OR(AA34&lt;=0,NOT(OR(AND(C34="จำหน่ายอาหาร",ISNUMBER(K34),L34="N/A"),AND(C34="ไม่จำหน่ายอาหาร",K34="N/A",ISNUMBER(L34)),AND(C34="มัสยิด",K34="N/A",L34="N/A",X34="N/A"))),AD34="รอยืนยัน",COUNT(K34:Z34)+COUNTIFS(K34:Z34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" s="59" t="str"/>
      <x:c r="AI34" s="61"/>
    </x:row>
    <x:row r="35" ht="60" customHeight="1">
      <x:c r="A35" s="2" t="str">
        <x:v>TMF-406</x:v>
      </x:c>
      <x:c r="B35" s="8" t="str">
        <x:v>เดอะกี โรตี The gee roti</x:v>
      </x:c>
      <x:c r="C35" s="59" t="str">
        <x:v>จำหน่ายอาหาร</x:v>
      </x:c>
      <x:c r="D35" s="59" t="str">
        <x:v>ไม่ทราบ</x:v>
      </x:c>
      <x:c r="E35" s="59" t="str">
        <x:v>ไม่ทราบ</x:v>
      </x:c>
      <x:c r="F35" s="59" t="str">
        <x:v>ไม่ทราบ</x:v>
      </x:c>
      <x:c r="G35" s="59" t="str">
        <x:v>ไม่ทราบ</x:v>
      </x:c>
      <x:c r="H35" s="59" t="str">
        <x:v>N/A</x:v>
      </x:c>
      <x:c r="I35" s="59"/>
      <x:c r="J35" s="59" t="str">
        <x:v>ไม่ทราบ</x:v>
      </x:c>
      <x:c r="K35" s="59"/>
      <x:c r="L35" s="59" t="str">
        <x:v>N/A</x:v>
      </x:c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  <x:c r="AA35" s="8" t="n">
        <x:f>IF(C35="ไม่ทราบ","",SUMIFS($K$7:$Z$7,K35:Z35,"&lt;&gt;N/A"))</x:f>
        <x:v>100</x:v>
      </x:c>
      <x:c r="AB35" s="8" t="str">
        <x:f>IF(AND(OR(AND(C35="จำหน่ายอาหาร",ISNUMBER(K35),L35="N/A"),AND(C35="ไม่จำหน่ายอาหาร",K35="N/A",ISNUMBER(L35)),AND(C35="มัสยิด",K35="N/A",L35="N/A",X35="N/A")),COUNT(K35:Z35)+COUNTIFS(K35:Z35,"N/A")=16),SUM(K35:Z35),"")</x:f>
      </x:c>
      <x:c r="AC35" s="62" t="str">
        <x:f>IF(OR(AB35="",AA35&lt;=0),"",ROUND(AB35/AA35*100,1))</x:f>
      </x:c>
      <x:c r="AD35" s="8" t="str">
        <x:f>IF(COUNTIFS(D35:H35,"ไม่ผ่าน")&gt;0,"ไม่ผ่าน",IF(COUNTIFS(D35:H35,"ไม่ทราบ")+COUNTBLANK(D35:H35)&gt;0,"รอยืนยัน","ผ่าน"))</x:f>
        <x:v>รอยืนยัน</x:v>
      </x:c>
      <x:c r="AE35" s="8" t="str">
        <x:f>IF(AF35="ใช่","ไม่ผ่านการคัดเลือก",IF(AND(AD35="ผ่าน",ISNUMBER(AC35),AC35&gt;=70),"พร้อมขาย",IF(OR(J35="ใช่",AND(ISNUMBER(AC35),AC35&gt;=50)),"พัฒนาเพื่อพร้อมขาย",IF(AND(ISNUMBER(AC35),AC35&lt;50,I35&gt;=1),"มีศักยภาพ แต่ต้องพัฒนามาตรฐาน","รอประเมิน"))))</x:f>
        <x:v>รอประเมิน</x:v>
      </x:c>
      <x:c r="AF35" s="59" t="str">
        <x:v>ไม่ทราบ</x:v>
      </x:c>
      <x:c r="AG35" s="8" t="str">
        <x:f>IF(AF35="ใช่","หัวหน้าทีมพิจารณาเหตุไม่ผ่าน",IF(OR(AA35&lt;=0,NOT(OR(AND(C35="จำหน่ายอาหาร",ISNUMBER(K35),L35="N/A"),AND(C35="ไม่จำหน่ายอาหาร",K35="N/A",ISNUMBER(L35)),AND(C35="มัสยิด",K35="N/A",L35="N/A",X35="N/A"))),AD35="รอยืนยัน",COUNT(K35:Z35)+COUNTIFS(K35:Z35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" s="59" t="str"/>
      <x:c r="AI35" s="61"/>
    </x:row>
    <x:row r="36" ht="60" customHeight="1">
      <x:c r="A36" s="2" t="str">
        <x:v>TMF-239</x:v>
      </x:c>
      <x:c r="B36" s="8" t="str">
        <x:v>เลอบิส</x:v>
      </x:c>
      <x:c r="C36" s="59" t="str">
        <x:v>จำหน่ายอาหาร</x:v>
      </x:c>
      <x:c r="D36" s="59" t="str">
        <x:v>ไม่ทราบ</x:v>
      </x:c>
      <x:c r="E36" s="59" t="str">
        <x:v>ไม่ทราบ</x:v>
      </x:c>
      <x:c r="F36" s="59" t="str">
        <x:v>ไม่ทราบ</x:v>
      </x:c>
      <x:c r="G36" s="59" t="str">
        <x:v>ไม่ทราบ</x:v>
      </x:c>
      <x:c r="H36" s="59" t="str">
        <x:v>N/A</x:v>
      </x:c>
      <x:c r="I36" s="59"/>
      <x:c r="J36" s="59" t="str">
        <x:v>ไม่ทราบ</x:v>
      </x:c>
      <x:c r="K36" s="59"/>
      <x:c r="L36" s="59" t="str">
        <x:v>N/A</x:v>
      </x:c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  <x:c r="AA36" s="8" t="n">
        <x:f>IF(C36="ไม่ทราบ","",SUMIFS($K$7:$Z$7,K36:Z36,"&lt;&gt;N/A"))</x:f>
        <x:v>100</x:v>
      </x:c>
      <x:c r="AB36" s="8" t="str">
        <x:f>IF(AND(OR(AND(C36="จำหน่ายอาหาร",ISNUMBER(K36),L36="N/A"),AND(C36="ไม่จำหน่ายอาหาร",K36="N/A",ISNUMBER(L36)),AND(C36="มัสยิด",K36="N/A",L36="N/A",X36="N/A")),COUNT(K36:Z36)+COUNTIFS(K36:Z36,"N/A")=16),SUM(K36:Z36),"")</x:f>
      </x:c>
      <x:c r="AC36" s="62" t="str">
        <x:f>IF(OR(AB36="",AA36&lt;=0),"",ROUND(AB36/AA36*100,1))</x:f>
      </x:c>
      <x:c r="AD36" s="8" t="str">
        <x:f>IF(COUNTIFS(D36:H36,"ไม่ผ่าน")&gt;0,"ไม่ผ่าน",IF(COUNTIFS(D36:H36,"ไม่ทราบ")+COUNTBLANK(D36:H36)&gt;0,"รอยืนยัน","ผ่าน"))</x:f>
        <x:v>รอยืนยัน</x:v>
      </x:c>
      <x:c r="AE36" s="8" t="str">
        <x:f>IF(AF36="ใช่","ไม่ผ่านการคัดเลือก",IF(AND(AD36="ผ่าน",ISNUMBER(AC36),AC36&gt;=70),"พร้อมขาย",IF(OR(J36="ใช่",AND(ISNUMBER(AC36),AC36&gt;=50)),"พัฒนาเพื่อพร้อมขาย",IF(AND(ISNUMBER(AC36),AC36&lt;50,I36&gt;=1),"มีศักยภาพ แต่ต้องพัฒนามาตรฐาน","รอประเมิน"))))</x:f>
        <x:v>รอประเมิน</x:v>
      </x:c>
      <x:c r="AF36" s="59" t="str">
        <x:v>ไม่ทราบ</x:v>
      </x:c>
      <x:c r="AG36" s="8" t="str">
        <x:f>IF(AF36="ใช่","หัวหน้าทีมพิจารณาเหตุไม่ผ่าน",IF(OR(AA36&lt;=0,NOT(OR(AND(C36="จำหน่ายอาหาร",ISNUMBER(K36),L36="N/A"),AND(C36="ไม่จำหน่ายอาหาร",K36="N/A",ISNUMBER(L36)),AND(C36="มัสยิด",K36="N/A",L36="N/A",X36="N/A"))),AD36="รอยืนยัน",COUNT(K36:Z36)+COUNTIFS(K36:Z36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" s="59" t="str"/>
      <x:c r="AI36" s="61"/>
    </x:row>
    <x:row r="37" ht="60" customHeight="1">
      <x:c r="A37" s="2" t="str">
        <x:v>TMF-240</x:v>
      </x:c>
      <x:c r="B37" s="8" t="str">
        <x:v>ไท่ไท่ทองอินทร์</x:v>
      </x:c>
      <x:c r="C37" s="59" t="str">
        <x:v>จำหน่ายอาหาร</x:v>
      </x:c>
      <x:c r="D37" s="59" t="str">
        <x:v>ไม่ทราบ</x:v>
      </x:c>
      <x:c r="E37" s="59" t="str">
        <x:v>ไม่ทราบ</x:v>
      </x:c>
      <x:c r="F37" s="59" t="str">
        <x:v>ไม่ทราบ</x:v>
      </x:c>
      <x:c r="G37" s="59" t="str">
        <x:v>ไม่ทราบ</x:v>
      </x:c>
      <x:c r="H37" s="59" t="str">
        <x:v>N/A</x:v>
      </x:c>
      <x:c r="I37" s="59"/>
      <x:c r="J37" s="59" t="str">
        <x:v>ไม่ทราบ</x:v>
      </x:c>
      <x:c r="K37" s="59"/>
      <x:c r="L37" s="59" t="str">
        <x:v>N/A</x:v>
      </x:c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  <x:c r="AA37" s="8" t="n">
        <x:f>IF(C37="ไม่ทราบ","",SUMIFS($K$7:$Z$7,K37:Z37,"&lt;&gt;N/A"))</x:f>
        <x:v>100</x:v>
      </x:c>
      <x:c r="AB37" s="8" t="str">
        <x:f>IF(AND(OR(AND(C37="จำหน่ายอาหาร",ISNUMBER(K37),L37="N/A"),AND(C37="ไม่จำหน่ายอาหาร",K37="N/A",ISNUMBER(L37)),AND(C37="มัสยิด",K37="N/A",L37="N/A",X37="N/A")),COUNT(K37:Z37)+COUNTIFS(K37:Z37,"N/A")=16),SUM(K37:Z37),"")</x:f>
      </x:c>
      <x:c r="AC37" s="62" t="str">
        <x:f>IF(OR(AB37="",AA37&lt;=0),"",ROUND(AB37/AA37*100,1))</x:f>
      </x:c>
      <x:c r="AD37" s="8" t="str">
        <x:f>IF(COUNTIFS(D37:H37,"ไม่ผ่าน")&gt;0,"ไม่ผ่าน",IF(COUNTIFS(D37:H37,"ไม่ทราบ")+COUNTBLANK(D37:H37)&gt;0,"รอยืนยัน","ผ่าน"))</x:f>
        <x:v>รอยืนยัน</x:v>
      </x:c>
      <x:c r="AE37" s="8" t="str">
        <x:f>IF(AF37="ใช่","ไม่ผ่านการคัดเลือก",IF(AND(AD37="ผ่าน",ISNUMBER(AC37),AC37&gt;=70),"พร้อมขาย",IF(OR(J37="ใช่",AND(ISNUMBER(AC37),AC37&gt;=50)),"พัฒนาเพื่อพร้อมขาย",IF(AND(ISNUMBER(AC37),AC37&lt;50,I37&gt;=1),"มีศักยภาพ แต่ต้องพัฒนามาตรฐาน","รอประเมิน"))))</x:f>
        <x:v>รอประเมิน</x:v>
      </x:c>
      <x:c r="AF37" s="59" t="str">
        <x:v>ไม่ทราบ</x:v>
      </x:c>
      <x:c r="AG37" s="8" t="str">
        <x:f>IF(AF37="ใช่","หัวหน้าทีมพิจารณาเหตุไม่ผ่าน",IF(OR(AA37&lt;=0,NOT(OR(AND(C37="จำหน่ายอาหาร",ISNUMBER(K37),L37="N/A"),AND(C37="ไม่จำหน่ายอาหาร",K37="N/A",ISNUMBER(L37)),AND(C37="มัสยิด",K37="N/A",L37="N/A",X37="N/A"))),AD37="รอยืนยัน",COUNT(K37:Z37)+COUNTIFS(K37:Z37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" s="59" t="str"/>
      <x:c r="AI37" s="61"/>
    </x:row>
    <x:row r="38" ht="60" customHeight="1">
      <x:c r="A38" s="2" t="str">
        <x:v>R26-317</x:v>
      </x:c>
      <x:c r="B38" s="8" t="str">
        <x:v>Fah Lanna Spa Nimman Chiang Mai</x:v>
      </x:c>
      <x:c r="C38" s="59" t="str">
        <x:v>ไม่ทราบ</x:v>
      </x:c>
      <x:c r="D38" s="59" t="str">
        <x:v>ไม่ทราบ</x:v>
      </x:c>
      <x:c r="E38" s="59" t="str">
        <x:v>ไม่ทราบ</x:v>
      </x:c>
      <x:c r="F38" s="59" t="str">
        <x:v>ไม่ทราบ</x:v>
      </x:c>
      <x:c r="G38" s="59" t="str">
        <x:v>ไม่ทราบ</x:v>
      </x:c>
      <x:c r="H38" s="59" t="str">
        <x:v>N/A</x:v>
      </x:c>
      <x:c r="I38" s="59"/>
      <x:c r="J38" s="59" t="str">
        <x:v>ไม่ทราบ</x:v>
      </x:c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  <x:c r="AA38" s="8" t="str">
        <x:f>IF(C38="ไม่ทราบ","",SUMIFS($K$7:$Z$7,K38:Z38,"&lt;&gt;N/A"))</x:f>
      </x:c>
      <x:c r="AB38" s="8" t="str">
        <x:f>IF(AND(OR(AND(C38="จำหน่ายอาหาร",ISNUMBER(K38),L38="N/A"),AND(C38="ไม่จำหน่ายอาหาร",K38="N/A",ISNUMBER(L38)),AND(C38="มัสยิด",K38="N/A",L38="N/A",X38="N/A")),COUNT(K38:Z38)+COUNTIFS(K38:Z38,"N/A")=16),SUM(K38:Z38),"")</x:f>
      </x:c>
      <x:c r="AC38" s="62" t="str">
        <x:f>IF(OR(AB38="",AA38&lt;=0),"",ROUND(AB38/AA38*100,1))</x:f>
      </x:c>
      <x:c r="AD38" s="8" t="str">
        <x:f>IF(COUNTIFS(D38:H38,"ไม่ผ่าน")&gt;0,"ไม่ผ่าน",IF(COUNTIFS(D38:H38,"ไม่ทราบ")+COUNTBLANK(D38:H38)&gt;0,"รอยืนยัน","ผ่าน"))</x:f>
        <x:v>รอยืนยัน</x:v>
      </x:c>
      <x:c r="AE38" s="8" t="str">
        <x:f>IF(AF38="ใช่","ไม่ผ่านการคัดเลือก",IF(AND(AD38="ผ่าน",ISNUMBER(AC38),AC38&gt;=70),"พร้อมขาย",IF(OR(J38="ใช่",AND(ISNUMBER(AC38),AC38&gt;=50)),"พัฒนาเพื่อพร้อมขาย",IF(AND(ISNUMBER(AC38),AC38&lt;50,I38&gt;=1),"มีศักยภาพ แต่ต้องพัฒนามาตรฐาน","รอประเมิน"))))</x:f>
        <x:v>รอประเมิน</x:v>
      </x:c>
      <x:c r="AF38" s="59" t="str">
        <x:v>ไม่ทราบ</x:v>
      </x:c>
      <x:c r="AG38" s="8" t="str">
        <x:f>IF(AF38="ใช่","หัวหน้าทีมพิจารณาเหตุไม่ผ่าน",IF(OR(AA38&lt;=0,NOT(OR(AND(C38="จำหน่ายอาหาร",ISNUMBER(K38),L38="N/A"),AND(C38="ไม่จำหน่ายอาหาร",K38="N/A",ISNUMBER(L38)),AND(C38="มัสยิด",K38="N/A",L38="N/A",X38="N/A"))),AD38="รอยืนยัน",COUNT(K38:Z38)+COUNTIFS(K38:Z38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" s="59" t="str"/>
      <x:c r="AI38" s="61"/>
    </x:row>
    <x:row r="39" ht="60" customHeight="1">
      <x:c r="A39" s="2" t="str">
        <x:v>R26-316</x:v>
      </x:c>
      <x:c r="B39" s="8" t="str">
        <x:v>Fah Lanna Spa Old City Chiang Mai</x:v>
      </x:c>
      <x:c r="C39" s="59" t="str">
        <x:v>ไม่ทราบ</x:v>
      </x:c>
      <x:c r="D39" s="59" t="str">
        <x:v>ไม่ทราบ</x:v>
      </x:c>
      <x:c r="E39" s="59" t="str">
        <x:v>ไม่ทราบ</x:v>
      </x:c>
      <x:c r="F39" s="59" t="str">
        <x:v>ไม่ทราบ</x:v>
      </x:c>
      <x:c r="G39" s="59" t="str">
        <x:v>ไม่ทราบ</x:v>
      </x:c>
      <x:c r="H39" s="59" t="str">
        <x:v>N/A</x:v>
      </x:c>
      <x:c r="I39" s="59"/>
      <x:c r="J39" s="59" t="str">
        <x:v>ไม่ทราบ</x:v>
      </x:c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  <x:c r="AA39" s="8" t="str">
        <x:f>IF(C39="ไม่ทราบ","",SUMIFS($K$7:$Z$7,K39:Z39,"&lt;&gt;N/A"))</x:f>
      </x:c>
      <x:c r="AB39" s="8" t="str">
        <x:f>IF(AND(OR(AND(C39="จำหน่ายอาหาร",ISNUMBER(K39),L39="N/A"),AND(C39="ไม่จำหน่ายอาหาร",K39="N/A",ISNUMBER(L39)),AND(C39="มัสยิด",K39="N/A",L39="N/A",X39="N/A")),COUNT(K39:Z39)+COUNTIFS(K39:Z39,"N/A")=16),SUM(K39:Z39),"")</x:f>
      </x:c>
      <x:c r="AC39" s="62" t="str">
        <x:f>IF(OR(AB39="",AA39&lt;=0),"",ROUND(AB39/AA39*100,1))</x:f>
      </x:c>
      <x:c r="AD39" s="8" t="str">
        <x:f>IF(COUNTIFS(D39:H39,"ไม่ผ่าน")&gt;0,"ไม่ผ่าน",IF(COUNTIFS(D39:H39,"ไม่ทราบ")+COUNTBLANK(D39:H39)&gt;0,"รอยืนยัน","ผ่าน"))</x:f>
        <x:v>รอยืนยัน</x:v>
      </x:c>
      <x:c r="AE39" s="8" t="str">
        <x:f>IF(AF39="ใช่","ไม่ผ่านการคัดเลือก",IF(AND(AD39="ผ่าน",ISNUMBER(AC39),AC39&gt;=70),"พร้อมขาย",IF(OR(J39="ใช่",AND(ISNUMBER(AC39),AC39&gt;=50)),"พัฒนาเพื่อพร้อมขาย",IF(AND(ISNUMBER(AC39),AC39&lt;50,I39&gt;=1),"มีศักยภาพ แต่ต้องพัฒนามาตรฐาน","รอประเมิน"))))</x:f>
        <x:v>รอประเมิน</x:v>
      </x:c>
      <x:c r="AF39" s="59" t="str">
        <x:v>ไม่ทราบ</x:v>
      </x:c>
      <x:c r="AG39" s="8" t="str">
        <x:f>IF(AF39="ใช่","หัวหน้าทีมพิจารณาเหตุไม่ผ่าน",IF(OR(AA39&lt;=0,NOT(OR(AND(C39="จำหน่ายอาหาร",ISNUMBER(K39),L39="N/A"),AND(C39="ไม่จำหน่ายอาหาร",K39="N/A",ISNUMBER(L39)),AND(C39="มัสยิด",K39="N/A",L39="N/A",X39="N/A"))),AD39="รอยืนยัน",COUNT(K39:Z39)+COUNTIFS(K39:Z39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" s="59" t="str"/>
      <x:c r="AI39" s="61"/>
    </x:row>
    <x:row r="40" ht="60" customHeight="1">
      <x:c r="A40" s="2" t="str">
        <x:v>R26-278</x:v>
      </x:c>
      <x:c r="B40" s="8" t="str">
        <x:v>Let's Relax Spa Chiang Mai Nimman One</x:v>
      </x:c>
      <x:c r="C40" s="59" t="str">
        <x:v>ไม่ทราบ</x:v>
      </x:c>
      <x:c r="D40" s="59" t="str">
        <x:v>ไม่ทราบ</x:v>
      </x:c>
      <x:c r="E40" s="59" t="str">
        <x:v>ไม่ทราบ</x:v>
      </x:c>
      <x:c r="F40" s="59" t="str">
        <x:v>ไม่ทราบ</x:v>
      </x:c>
      <x:c r="G40" s="59" t="str">
        <x:v>ไม่ทราบ</x:v>
      </x:c>
      <x:c r="H40" s="59" t="str">
        <x:v>N/A</x:v>
      </x:c>
      <x:c r="I40" s="59"/>
      <x:c r="J40" s="59" t="str">
        <x:v>ไม่ทราบ</x:v>
      </x:c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  <x:c r="AA40" s="8" t="str">
        <x:f>IF(C40="ไม่ทราบ","",SUMIFS($K$7:$Z$7,K40:Z40,"&lt;&gt;N/A"))</x:f>
      </x:c>
      <x:c r="AB40" s="8" t="str">
        <x:f>IF(AND(OR(AND(C40="จำหน่ายอาหาร",ISNUMBER(K40),L40="N/A"),AND(C40="ไม่จำหน่ายอาหาร",K40="N/A",ISNUMBER(L40)),AND(C40="มัสยิด",K40="N/A",L40="N/A",X40="N/A")),COUNT(K40:Z40)+COUNTIFS(K40:Z40,"N/A")=16),SUM(K40:Z40),"")</x:f>
      </x:c>
      <x:c r="AC40" s="62" t="str">
        <x:f>IF(OR(AB40="",AA40&lt;=0),"",ROUND(AB40/AA40*100,1))</x:f>
      </x:c>
      <x:c r="AD40" s="8" t="str">
        <x:f>IF(COUNTIFS(D40:H40,"ไม่ผ่าน")&gt;0,"ไม่ผ่าน",IF(COUNTIFS(D40:H40,"ไม่ทราบ")+COUNTBLANK(D40:H40)&gt;0,"รอยืนยัน","ผ่าน"))</x:f>
        <x:v>รอยืนยัน</x:v>
      </x:c>
      <x:c r="AE40" s="8" t="str">
        <x:f>IF(AF40="ใช่","ไม่ผ่านการคัดเลือก",IF(AND(AD40="ผ่าน",ISNUMBER(AC40),AC40&gt;=70),"พร้อมขาย",IF(OR(J40="ใช่",AND(ISNUMBER(AC40),AC40&gt;=50)),"พัฒนาเพื่อพร้อมขาย",IF(AND(ISNUMBER(AC40),AC40&lt;50,I40&gt;=1),"มีศักยภาพ แต่ต้องพัฒนามาตรฐาน","รอประเมิน"))))</x:f>
        <x:v>รอประเมิน</x:v>
      </x:c>
      <x:c r="AF40" s="59" t="str">
        <x:v>ไม่ทราบ</x:v>
      </x:c>
      <x:c r="AG40" s="8" t="str">
        <x:f>IF(AF40="ใช่","หัวหน้าทีมพิจารณาเหตุไม่ผ่าน",IF(OR(AA40&lt;=0,NOT(OR(AND(C40="จำหน่ายอาหาร",ISNUMBER(K40),L40="N/A"),AND(C40="ไม่จำหน่ายอาหาร",K40="N/A",ISNUMBER(L40)),AND(C40="มัสยิด",K40="N/A",L40="N/A",X40="N/A"))),AD40="รอยืนยัน",COUNT(K40:Z40)+COUNTIFS(K40:Z40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" s="59" t="str"/>
      <x:c r="AI40" s="61"/>
    </x:row>
    <x:row r="41" ht="60" customHeight="1">
      <x:c r="A41" s="2" t="str">
        <x:v>R26-277</x:v>
      </x:c>
      <x:c r="B41" s="8" t="str">
        <x:v>Let's Relax Spa Chiang Mai Thapae</x:v>
      </x:c>
      <x:c r="C41" s="59" t="str">
        <x:v>ไม่ทราบ</x:v>
      </x:c>
      <x:c r="D41" s="59" t="str">
        <x:v>ไม่ทราบ</x:v>
      </x:c>
      <x:c r="E41" s="59" t="str">
        <x:v>ไม่ทราบ</x:v>
      </x:c>
      <x:c r="F41" s="59" t="str">
        <x:v>ไม่ทราบ</x:v>
      </x:c>
      <x:c r="G41" s="59" t="str">
        <x:v>ไม่ทราบ</x:v>
      </x:c>
      <x:c r="H41" s="59" t="str">
        <x:v>N/A</x:v>
      </x:c>
      <x:c r="I41" s="59"/>
      <x:c r="J41" s="59" t="str">
        <x:v>ไม่ทราบ</x:v>
      </x:c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  <x:c r="AA41" s="8" t="str">
        <x:f>IF(C41="ไม่ทราบ","",SUMIFS($K$7:$Z$7,K41:Z41,"&lt;&gt;N/A"))</x:f>
      </x:c>
      <x:c r="AB41" s="8" t="str">
        <x:f>IF(AND(OR(AND(C41="จำหน่ายอาหาร",ISNUMBER(K41),L41="N/A"),AND(C41="ไม่จำหน่ายอาหาร",K41="N/A",ISNUMBER(L41)),AND(C41="มัสยิด",K41="N/A",L41="N/A",X41="N/A")),COUNT(K41:Z41)+COUNTIFS(K41:Z41,"N/A")=16),SUM(K41:Z41),"")</x:f>
      </x:c>
      <x:c r="AC41" s="62" t="str">
        <x:f>IF(OR(AB41="",AA41&lt;=0),"",ROUND(AB41/AA41*100,1))</x:f>
      </x:c>
      <x:c r="AD41" s="8" t="str">
        <x:f>IF(COUNTIFS(D41:H41,"ไม่ผ่าน")&gt;0,"ไม่ผ่าน",IF(COUNTIFS(D41:H41,"ไม่ทราบ")+COUNTBLANK(D41:H41)&gt;0,"รอยืนยัน","ผ่าน"))</x:f>
        <x:v>รอยืนยัน</x:v>
      </x:c>
      <x:c r="AE41" s="8" t="str">
        <x:f>IF(AF41="ใช่","ไม่ผ่านการคัดเลือก",IF(AND(AD41="ผ่าน",ISNUMBER(AC41),AC41&gt;=70),"พร้อมขาย",IF(OR(J41="ใช่",AND(ISNUMBER(AC41),AC41&gt;=50)),"พัฒนาเพื่อพร้อมขาย",IF(AND(ISNUMBER(AC41),AC41&lt;50,I41&gt;=1),"มีศักยภาพ แต่ต้องพัฒนามาตรฐาน","รอประเมิน"))))</x:f>
        <x:v>รอประเมิน</x:v>
      </x:c>
      <x:c r="AF41" s="59" t="str">
        <x:v>ไม่ทราบ</x:v>
      </x:c>
      <x:c r="AG41" s="8" t="str">
        <x:f>IF(AF41="ใช่","หัวหน้าทีมพิจารณาเหตุไม่ผ่าน",IF(OR(AA41&lt;=0,NOT(OR(AND(C41="จำหน่ายอาหาร",ISNUMBER(K41),L41="N/A"),AND(C41="ไม่จำหน่ายอาหาร",K41="N/A",ISNUMBER(L41)),AND(C41="มัสยิด",K41="N/A",L41="N/A",X41="N/A"))),AD41="รอยืนยัน",COUNT(K41:Z41)+COUNTIFS(K41:Z41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" s="59" t="str"/>
      <x:c r="AI41" s="61"/>
    </x:row>
    <x:row r="42" ht="60" customHeight="1">
      <x:c r="A42" s="2" t="str">
        <x:v>R26-315</x:v>
      </x:c>
      <x:c r="B42" s="8" t="str">
        <x:v>RarinJinda Wellness Spa Chiang Mai</x:v>
      </x:c>
      <x:c r="C42" s="59" t="str">
        <x:v>ไม่ทราบ</x:v>
      </x:c>
      <x:c r="D42" s="59" t="str">
        <x:v>ไม่ทราบ</x:v>
      </x:c>
      <x:c r="E42" s="59" t="str">
        <x:v>ไม่ทราบ</x:v>
      </x:c>
      <x:c r="F42" s="59" t="str">
        <x:v>ไม่ทราบ</x:v>
      </x:c>
      <x:c r="G42" s="59" t="str">
        <x:v>ไม่ทราบ</x:v>
      </x:c>
      <x:c r="H42" s="59" t="str">
        <x:v>N/A</x:v>
      </x:c>
      <x:c r="I42" s="59"/>
      <x:c r="J42" s="59" t="str">
        <x:v>ไม่ทราบ</x:v>
      </x:c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  <x:c r="AA42" s="8" t="str">
        <x:f>IF(C42="ไม่ทราบ","",SUMIFS($K$7:$Z$7,K42:Z42,"&lt;&gt;N/A"))</x:f>
      </x:c>
      <x:c r="AB42" s="8" t="str">
        <x:f>IF(AND(OR(AND(C42="จำหน่ายอาหาร",ISNUMBER(K42),L42="N/A"),AND(C42="ไม่จำหน่ายอาหาร",K42="N/A",ISNUMBER(L42)),AND(C42="มัสยิด",K42="N/A",L42="N/A",X42="N/A")),COUNT(K42:Z42)+COUNTIFS(K42:Z42,"N/A")=16),SUM(K42:Z42),"")</x:f>
      </x:c>
      <x:c r="AC42" s="62" t="str">
        <x:f>IF(OR(AB42="",AA42&lt;=0),"",ROUND(AB42/AA42*100,1))</x:f>
      </x:c>
      <x:c r="AD42" s="8" t="str">
        <x:f>IF(COUNTIFS(D42:H42,"ไม่ผ่าน")&gt;0,"ไม่ผ่าน",IF(COUNTIFS(D42:H42,"ไม่ทราบ")+COUNTBLANK(D42:H42)&gt;0,"รอยืนยัน","ผ่าน"))</x:f>
        <x:v>รอยืนยัน</x:v>
      </x:c>
      <x:c r="AE42" s="8" t="str">
        <x:f>IF(AF42="ใช่","ไม่ผ่านการคัดเลือก",IF(AND(AD42="ผ่าน",ISNUMBER(AC42),AC42&gt;=70),"พร้อมขาย",IF(OR(J42="ใช่",AND(ISNUMBER(AC42),AC42&gt;=50)),"พัฒนาเพื่อพร้อมขาย",IF(AND(ISNUMBER(AC42),AC42&lt;50,I42&gt;=1),"มีศักยภาพ แต่ต้องพัฒนามาตรฐาน","รอประเมิน"))))</x:f>
        <x:v>รอประเมิน</x:v>
      </x:c>
      <x:c r="AF42" s="59" t="str">
        <x:v>ไม่ทราบ</x:v>
      </x:c>
      <x:c r="AG42" s="8" t="str">
        <x:f>IF(AF42="ใช่","หัวหน้าทีมพิจารณาเหตุไม่ผ่าน",IF(OR(AA42&lt;=0,NOT(OR(AND(C42="จำหน่ายอาหาร",ISNUMBER(K42),L42="N/A"),AND(C42="ไม่จำหน่ายอาหาร",K42="N/A",ISNUMBER(L42)),AND(C42="มัสยิด",K42="N/A",L42="N/A",X42="N/A"))),AD42="รอยืนยัน",COUNT(K42:Z42)+COUNTIFS(K42:Z42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" s="59" t="str"/>
      <x:c r="AI42" s="61"/>
    </x:row>
    <x:row r="43" ht="60" customHeight="1">
      <x:c r="A43" s="2" t="str">
        <x:v>TMF-594</x:v>
      </x:c>
      <x:c r="B43" s="8" t="str">
        <x:v>โอเอซิสสปา ล้านนา วัดพระสิงห์</x:v>
      </x:c>
      <x:c r="C43" s="59" t="str">
        <x:v>ไม่ทราบ</x:v>
      </x:c>
      <x:c r="D43" s="59" t="str">
        <x:v>ไม่ทราบ</x:v>
      </x:c>
      <x:c r="E43" s="59" t="str">
        <x:v>ไม่ทราบ</x:v>
      </x:c>
      <x:c r="F43" s="59" t="str">
        <x:v>ไม่ทราบ</x:v>
      </x:c>
      <x:c r="G43" s="59" t="str">
        <x:v>ไม่ทราบ</x:v>
      </x:c>
      <x:c r="H43" s="59" t="str">
        <x:v>N/A</x:v>
      </x:c>
      <x:c r="I43" s="59"/>
      <x:c r="J43" s="59" t="str">
        <x:v>ไม่ทราบ</x:v>
      </x:c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  <x:c r="AA43" s="8" t="str">
        <x:f>IF(C43="ไม่ทราบ","",SUMIFS($K$7:$Z$7,K43:Z43,"&lt;&gt;N/A"))</x:f>
      </x:c>
      <x:c r="AB43" s="8" t="str">
        <x:f>IF(AND(OR(AND(C43="จำหน่ายอาหาร",ISNUMBER(K43),L43="N/A"),AND(C43="ไม่จำหน่ายอาหาร",K43="N/A",ISNUMBER(L43)),AND(C43="มัสยิด",K43="N/A",L43="N/A",X43="N/A")),COUNT(K43:Z43)+COUNTIFS(K43:Z43,"N/A")=16),SUM(K43:Z43),"")</x:f>
      </x:c>
      <x:c r="AC43" s="62" t="str">
        <x:f>IF(OR(AB43="",AA43&lt;=0),"",ROUND(AB43/AA43*100,1))</x:f>
      </x:c>
      <x:c r="AD43" s="8" t="str">
        <x:f>IF(COUNTIFS(D43:H43,"ไม่ผ่าน")&gt;0,"ไม่ผ่าน",IF(COUNTIFS(D43:H43,"ไม่ทราบ")+COUNTBLANK(D43:H43)&gt;0,"รอยืนยัน","ผ่าน"))</x:f>
        <x:v>รอยืนยัน</x:v>
      </x:c>
      <x:c r="AE43" s="8" t="str">
        <x:f>IF(AF43="ใช่","ไม่ผ่านการคัดเลือก",IF(AND(AD43="ผ่าน",ISNUMBER(AC43),AC43&gt;=70),"พร้อมขาย",IF(OR(J43="ใช่",AND(ISNUMBER(AC43),AC43&gt;=50)),"พัฒนาเพื่อพร้อมขาย",IF(AND(ISNUMBER(AC43),AC43&lt;50,I43&gt;=1),"มีศักยภาพ แต่ต้องพัฒนามาตรฐาน","รอประเมิน"))))</x:f>
        <x:v>รอประเมิน</x:v>
      </x:c>
      <x:c r="AF43" s="59" t="str">
        <x:v>ไม่ทราบ</x:v>
      </x:c>
      <x:c r="AG43" s="8" t="str">
        <x:f>IF(AF43="ใช่","หัวหน้าทีมพิจารณาเหตุไม่ผ่าน",IF(OR(AA43&lt;=0,NOT(OR(AND(C43="จำหน่ายอาหาร",ISNUMBER(K43),L43="N/A"),AND(C43="ไม่จำหน่ายอาหาร",K43="N/A",ISNUMBER(L43)),AND(C43="มัสยิด",K43="N/A",L43="N/A",X43="N/A"))),AD43="รอยืนยัน",COUNT(K43:Z43)+COUNTIFS(K43:Z43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" s="59" t="str"/>
      <x:c r="AI43" s="61"/>
    </x:row>
    <x:row r="44" ht="60" customHeight="1">
      <x:c r="A44" s="2" t="str">
        <x:v>TMF-595</x:v>
      </x:c>
      <x:c r="B44" s="8" t="str">
        <x:v>โอเอซิสสปา แอทนิมมาน</x:v>
      </x:c>
      <x:c r="C44" s="59" t="str">
        <x:v>ไม่ทราบ</x:v>
      </x:c>
      <x:c r="D44" s="59" t="str">
        <x:v>ไม่ทราบ</x:v>
      </x:c>
      <x:c r="E44" s="59" t="str">
        <x:v>ไม่ทราบ</x:v>
      </x:c>
      <x:c r="F44" s="59" t="str">
        <x:v>ไม่ทราบ</x:v>
      </x:c>
      <x:c r="G44" s="59" t="str">
        <x:v>ไม่ทราบ</x:v>
      </x:c>
      <x:c r="H44" s="59" t="str">
        <x:v>N/A</x:v>
      </x:c>
      <x:c r="I44" s="59"/>
      <x:c r="J44" s="59" t="str">
        <x:v>ไม่ทราบ</x:v>
      </x:c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  <x:c r="AA44" s="8" t="str">
        <x:f>IF(C44="ไม่ทราบ","",SUMIFS($K$7:$Z$7,K44:Z44,"&lt;&gt;N/A"))</x:f>
      </x:c>
      <x:c r="AB44" s="8" t="str">
        <x:f>IF(AND(OR(AND(C44="จำหน่ายอาหาร",ISNUMBER(K44),L44="N/A"),AND(C44="ไม่จำหน่ายอาหาร",K44="N/A",ISNUMBER(L44)),AND(C44="มัสยิด",K44="N/A",L44="N/A",X44="N/A")),COUNT(K44:Z44)+COUNTIFS(K44:Z44,"N/A")=16),SUM(K44:Z44),"")</x:f>
      </x:c>
      <x:c r="AC44" s="62" t="str">
        <x:f>IF(OR(AB44="",AA44&lt;=0),"",ROUND(AB44/AA44*100,1))</x:f>
      </x:c>
      <x:c r="AD44" s="8" t="str">
        <x:f>IF(COUNTIFS(D44:H44,"ไม่ผ่าน")&gt;0,"ไม่ผ่าน",IF(COUNTIFS(D44:H44,"ไม่ทราบ")+COUNTBLANK(D44:H44)&gt;0,"รอยืนยัน","ผ่าน"))</x:f>
        <x:v>รอยืนยัน</x:v>
      </x:c>
      <x:c r="AE44" s="8" t="str">
        <x:f>IF(AF44="ใช่","ไม่ผ่านการคัดเลือก",IF(AND(AD44="ผ่าน",ISNUMBER(AC44),AC44&gt;=70),"พร้อมขาย",IF(OR(J44="ใช่",AND(ISNUMBER(AC44),AC44&gt;=50)),"พัฒนาเพื่อพร้อมขาย",IF(AND(ISNUMBER(AC44),AC44&lt;50,I44&gt;=1),"มีศักยภาพ แต่ต้องพัฒนามาตรฐาน","รอประเมิน"))))</x:f>
        <x:v>รอประเมิน</x:v>
      </x:c>
      <x:c r="AF44" s="59" t="str">
        <x:v>ไม่ทราบ</x:v>
      </x:c>
      <x:c r="AG44" s="8" t="str">
        <x:f>IF(AF44="ใช่","หัวหน้าทีมพิจารณาเหตุไม่ผ่าน",IF(OR(AA44&lt;=0,NOT(OR(AND(C44="จำหน่ายอาหาร",ISNUMBER(K44),L44="N/A"),AND(C44="ไม่จำหน่ายอาหาร",K44="N/A",ISNUMBER(L44)),AND(C44="มัสยิด",K44="N/A",L44="N/A",X44="N/A"))),AD44="รอยืนยัน",COUNT(K44:Z44)+COUNTIFS(K44:Z44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" s="59" t="str"/>
      <x:c r="AI44" s="61"/>
    </x:row>
    <x:row r="45" ht="60" customHeight="1">
      <x:c r="A45" s="2" t="str">
        <x:v>R26-259</x:v>
      </x:c>
      <x:c r="B45" s="8" t="str">
        <x:v>Central Chiangmai</x:v>
      </x:c>
      <x:c r="C45" s="59" t="str">
        <x:v>ไม่ทราบ</x:v>
      </x:c>
      <x:c r="D45" s="59" t="str">
        <x:v>ไม่ทราบ</x:v>
      </x:c>
      <x:c r="E45" s="59" t="str">
        <x:v>ไม่ทราบ</x:v>
      </x:c>
      <x:c r="F45" s="59" t="str">
        <x:v>ไม่ทราบ</x:v>
      </x:c>
      <x:c r="G45" s="59" t="str">
        <x:v>ไม่ทราบ</x:v>
      </x:c>
      <x:c r="H45" s="59" t="str">
        <x:v>N/A</x:v>
      </x:c>
      <x:c r="I45" s="59"/>
      <x:c r="J45" s="59" t="str">
        <x:v>ไม่ทราบ</x:v>
      </x:c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  <x:c r="AA45" s="8" t="str">
        <x:f>IF(C45="ไม่ทราบ","",SUMIFS($K$7:$Z$7,K45:Z45,"&lt;&gt;N/A"))</x:f>
      </x:c>
      <x:c r="AB45" s="8" t="str">
        <x:f>IF(AND(OR(AND(C45="จำหน่ายอาหาร",ISNUMBER(K45),L45="N/A"),AND(C45="ไม่จำหน่ายอาหาร",K45="N/A",ISNUMBER(L45)),AND(C45="มัสยิด",K45="N/A",L45="N/A",X45="N/A")),COUNT(K45:Z45)+COUNTIFS(K45:Z45,"N/A")=16),SUM(K45:Z45),"")</x:f>
      </x:c>
      <x:c r="AC45" s="62" t="str">
        <x:f>IF(OR(AB45="",AA45&lt;=0),"",ROUND(AB45/AA45*100,1))</x:f>
      </x:c>
      <x:c r="AD45" s="8" t="str">
        <x:f>IF(COUNTIFS(D45:H45,"ไม่ผ่าน")&gt;0,"ไม่ผ่าน",IF(COUNTIFS(D45:H45,"ไม่ทราบ")+COUNTBLANK(D45:H45)&gt;0,"รอยืนยัน","ผ่าน"))</x:f>
        <x:v>รอยืนยัน</x:v>
      </x:c>
      <x:c r="AE45" s="8" t="str">
        <x:f>IF(AF45="ใช่","ไม่ผ่านการคัดเลือก",IF(AND(AD45="ผ่าน",ISNUMBER(AC45),AC45&gt;=70),"พร้อมขาย",IF(OR(J45="ใช่",AND(ISNUMBER(AC45),AC45&gt;=50)),"พัฒนาเพื่อพร้อมขาย",IF(AND(ISNUMBER(AC45),AC45&lt;50,I45&gt;=1),"มีศักยภาพ แต่ต้องพัฒนามาตรฐาน","รอประเมิน"))))</x:f>
        <x:v>รอประเมิน</x:v>
      </x:c>
      <x:c r="AF45" s="59" t="str">
        <x:v>ไม่ทราบ</x:v>
      </x:c>
      <x:c r="AG45" s="8" t="str">
        <x:f>IF(AF45="ใช่","หัวหน้าทีมพิจารณาเหตุไม่ผ่าน",IF(OR(AA45&lt;=0,NOT(OR(AND(C45="จำหน่ายอาหาร",ISNUMBER(K45),L45="N/A"),AND(C45="ไม่จำหน่ายอาหาร",K45="N/A",ISNUMBER(L45)),AND(C45="มัสยิด",K45="N/A",L45="N/A",X45="N/A"))),AD45="รอยืนยัน",COUNT(K45:Z45)+COUNTIFS(K45:Z45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" s="59" t="str"/>
      <x:c r="AI45" s="61"/>
    </x:row>
    <x:row r="46" ht="60" customHeight="1">
      <x:c r="A46" s="2" t="str">
        <x:v>R26-261</x:v>
      </x:c>
      <x:c r="B46" s="8" t="str">
        <x:v>Central Chiangmai Airport</x:v>
      </x:c>
      <x:c r="C46" s="59" t="str">
        <x:v>ไม่ทราบ</x:v>
      </x:c>
      <x:c r="D46" s="59" t="str">
        <x:v>ไม่ทราบ</x:v>
      </x:c>
      <x:c r="E46" s="59" t="str">
        <x:v>ไม่ทราบ</x:v>
      </x:c>
      <x:c r="F46" s="59" t="str">
        <x:v>ไม่ทราบ</x:v>
      </x:c>
      <x:c r="G46" s="59" t="str">
        <x:v>ไม่ทราบ</x:v>
      </x:c>
      <x:c r="H46" s="59" t="str">
        <x:v>N/A</x:v>
      </x:c>
      <x:c r="I46" s="59"/>
      <x:c r="J46" s="59" t="str">
        <x:v>ไม่ทราบ</x:v>
      </x:c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  <x:c r="AA46" s="8" t="str">
        <x:f>IF(C46="ไม่ทราบ","",SUMIFS($K$7:$Z$7,K46:Z46,"&lt;&gt;N/A"))</x:f>
      </x:c>
      <x:c r="AB46" s="8" t="str">
        <x:f>IF(AND(OR(AND(C46="จำหน่ายอาหาร",ISNUMBER(K46),L46="N/A"),AND(C46="ไม่จำหน่ายอาหาร",K46="N/A",ISNUMBER(L46)),AND(C46="มัสยิด",K46="N/A",L46="N/A",X46="N/A")),COUNT(K46:Z46)+COUNTIFS(K46:Z46,"N/A")=16),SUM(K46:Z46),"")</x:f>
      </x:c>
      <x:c r="AC46" s="62" t="str">
        <x:f>IF(OR(AB46="",AA46&lt;=0),"",ROUND(AB46/AA46*100,1))</x:f>
      </x:c>
      <x:c r="AD46" s="8" t="str">
        <x:f>IF(COUNTIFS(D46:H46,"ไม่ผ่าน")&gt;0,"ไม่ผ่าน",IF(COUNTIFS(D46:H46,"ไม่ทราบ")+COUNTBLANK(D46:H46)&gt;0,"รอยืนยัน","ผ่าน"))</x:f>
        <x:v>รอยืนยัน</x:v>
      </x:c>
      <x:c r="AE46" s="8" t="str">
        <x:f>IF(AF46="ใช่","ไม่ผ่านการคัดเลือก",IF(AND(AD46="ผ่าน",ISNUMBER(AC46),AC46&gt;=70),"พร้อมขาย",IF(OR(J46="ใช่",AND(ISNUMBER(AC46),AC46&gt;=50)),"พัฒนาเพื่อพร้อมขาย",IF(AND(ISNUMBER(AC46),AC46&lt;50,I46&gt;=1),"มีศักยภาพ แต่ต้องพัฒนามาตรฐาน","รอประเมิน"))))</x:f>
        <x:v>รอประเมิน</x:v>
      </x:c>
      <x:c r="AF46" s="59" t="str">
        <x:v>ไม่ทราบ</x:v>
      </x:c>
      <x:c r="AG46" s="8" t="str">
        <x:f>IF(AF46="ใช่","หัวหน้าทีมพิจารณาเหตุไม่ผ่าน",IF(OR(AA46&lt;=0,NOT(OR(AND(C46="จำหน่ายอาหาร",ISNUMBER(K46),L46="N/A"),AND(C46="ไม่จำหน่ายอาหาร",K46="N/A",ISNUMBER(L46)),AND(C46="มัสยิด",K46="N/A",L46="N/A",X46="N/A"))),AD46="รอยืนยัน",COUNT(K46:Z46)+COUNTIFS(K46:Z46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" s="59" t="str"/>
      <x:c r="AI46" s="61"/>
    </x:row>
    <x:row r="47" ht="60" customHeight="1">
      <x:c r="A47" s="2" t="str">
        <x:v>R26-260</x:v>
      </x:c>
      <x:c r="B47" s="8" t="str">
        <x:v>MAYA Lifestyle Shopping Center</x:v>
      </x:c>
      <x:c r="C47" s="59" t="str">
        <x:v>ไม่ทราบ</x:v>
      </x:c>
      <x:c r="D47" s="59" t="str">
        <x:v>ไม่ทราบ</x:v>
      </x:c>
      <x:c r="E47" s="59" t="str">
        <x:v>ไม่ทราบ</x:v>
      </x:c>
      <x:c r="F47" s="59" t="str">
        <x:v>ไม่ทราบ</x:v>
      </x:c>
      <x:c r="G47" s="59" t="str">
        <x:v>ไม่ทราบ</x:v>
      </x:c>
      <x:c r="H47" s="59" t="str">
        <x:v>N/A</x:v>
      </x:c>
      <x:c r="I47" s="59"/>
      <x:c r="J47" s="59" t="str">
        <x:v>ไม่ทราบ</x:v>
      </x:c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  <x:c r="AA47" s="8" t="str">
        <x:f>IF(C47="ไม่ทราบ","",SUMIFS($K$7:$Z$7,K47:Z47,"&lt;&gt;N/A"))</x:f>
      </x:c>
      <x:c r="AB47" s="8" t="str">
        <x:f>IF(AND(OR(AND(C47="จำหน่ายอาหาร",ISNUMBER(K47),L47="N/A"),AND(C47="ไม่จำหน่ายอาหาร",K47="N/A",ISNUMBER(L47)),AND(C47="มัสยิด",K47="N/A",L47="N/A",X47="N/A")),COUNT(K47:Z47)+COUNTIFS(K47:Z47,"N/A")=16),SUM(K47:Z47),"")</x:f>
      </x:c>
      <x:c r="AC47" s="62" t="str">
        <x:f>IF(OR(AB47="",AA47&lt;=0),"",ROUND(AB47/AA47*100,1))</x:f>
      </x:c>
      <x:c r="AD47" s="8" t="str">
        <x:f>IF(COUNTIFS(D47:H47,"ไม่ผ่าน")&gt;0,"ไม่ผ่าน",IF(COUNTIFS(D47:H47,"ไม่ทราบ")+COUNTBLANK(D47:H47)&gt;0,"รอยืนยัน","ผ่าน"))</x:f>
        <x:v>รอยืนยัน</x:v>
      </x:c>
      <x:c r="AE47" s="8" t="str">
        <x:f>IF(AF47="ใช่","ไม่ผ่านการคัดเลือก",IF(AND(AD47="ผ่าน",ISNUMBER(AC47),AC47&gt;=70),"พร้อมขาย",IF(OR(J47="ใช่",AND(ISNUMBER(AC47),AC47&gt;=50)),"พัฒนาเพื่อพร้อมขาย",IF(AND(ISNUMBER(AC47),AC47&lt;50,I47&gt;=1),"มีศักยภาพ แต่ต้องพัฒนามาตรฐาน","รอประเมิน"))))</x:f>
        <x:v>รอประเมิน</x:v>
      </x:c>
      <x:c r="AF47" s="59" t="str">
        <x:v>ไม่ทราบ</x:v>
      </x:c>
      <x:c r="AG47" s="8" t="str">
        <x:f>IF(AF47="ใช่","หัวหน้าทีมพิจารณาเหตุไม่ผ่าน",IF(OR(AA47&lt;=0,NOT(OR(AND(C47="จำหน่ายอาหาร",ISNUMBER(K47),L47="N/A"),AND(C47="ไม่จำหน่ายอาหาร",K47="N/A",ISNUMBER(L47)),AND(C47="มัสยิด",K47="N/A",L47="N/A",X47="N/A"))),AD47="รอยืนยัน",COUNT(K47:Z47)+COUNTIFS(K47:Z47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" s="59" t="str"/>
      <x:c r="AI47" s="61"/>
    </x:row>
    <x:row r="48" ht="60" customHeight="1">
      <x:c r="A48" s="2" t="str">
        <x:v>R26-116</x:v>
      </x:c>
      <x:c r="B48" s="8" t="str">
        <x:v>สวนพฤกษศาสตร์สมเด็จพระนางเจ้าสิริกิติ์</x:v>
      </x:c>
      <x:c r="C48" s="59" t="str">
        <x:v>ไม่ทราบ</x:v>
      </x:c>
      <x:c r="D48" s="59" t="str">
        <x:v>ไม่ทราบ</x:v>
      </x:c>
      <x:c r="E48" s="59" t="str">
        <x:v>ไม่ทราบ</x:v>
      </x:c>
      <x:c r="F48" s="59" t="str">
        <x:v>ไม่ทราบ</x:v>
      </x:c>
      <x:c r="G48" s="59" t="str">
        <x:v>ไม่ทราบ</x:v>
      </x:c>
      <x:c r="H48" s="59" t="str">
        <x:v>N/A</x:v>
      </x:c>
      <x:c r="I48" s="59"/>
      <x:c r="J48" s="59" t="str">
        <x:v>ไม่ทราบ</x:v>
      </x:c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  <x:c r="AA48" s="8" t="str">
        <x:f>IF(C48="ไม่ทราบ","",SUMIFS($K$7:$Z$7,K48:Z48,"&lt;&gt;N/A"))</x:f>
      </x:c>
      <x:c r="AB48" s="8" t="str">
        <x:f>IF(AND(OR(AND(C48="จำหน่ายอาหาร",ISNUMBER(K48),L48="N/A"),AND(C48="ไม่จำหน่ายอาหาร",K48="N/A",ISNUMBER(L48)),AND(C48="มัสยิด",K48="N/A",L48="N/A",X48="N/A")),COUNT(K48:Z48)+COUNTIFS(K48:Z48,"N/A")=16),SUM(K48:Z48),"")</x:f>
      </x:c>
      <x:c r="AC48" s="62" t="str">
        <x:f>IF(OR(AB48="",AA48&lt;=0),"",ROUND(AB48/AA48*100,1))</x:f>
      </x:c>
      <x:c r="AD48" s="8" t="str">
        <x:f>IF(COUNTIFS(D48:H48,"ไม่ผ่าน")&gt;0,"ไม่ผ่าน",IF(COUNTIFS(D48:H48,"ไม่ทราบ")+COUNTBLANK(D48:H48)&gt;0,"รอยืนยัน","ผ่าน"))</x:f>
        <x:v>รอยืนยัน</x:v>
      </x:c>
      <x:c r="AE48" s="8" t="str">
        <x:f>IF(AF48="ใช่","ไม่ผ่านการคัดเลือก",IF(AND(AD48="ผ่าน",ISNUMBER(AC48),AC48&gt;=70),"พร้อมขาย",IF(OR(J48="ใช่",AND(ISNUMBER(AC48),AC48&gt;=50)),"พัฒนาเพื่อพร้อมขาย",IF(AND(ISNUMBER(AC48),AC48&lt;50,I48&gt;=1),"มีศักยภาพ แต่ต้องพัฒนามาตรฐาน","รอประเมิน"))))</x:f>
        <x:v>รอประเมิน</x:v>
      </x:c>
      <x:c r="AF48" s="59" t="str">
        <x:v>ไม่ทราบ</x:v>
      </x:c>
      <x:c r="AG48" s="8" t="str">
        <x:f>IF(AF48="ใช่","หัวหน้าทีมพิจารณาเหตุไม่ผ่าน",IF(OR(AA48&lt;=0,NOT(OR(AND(C48="จำหน่ายอาหาร",ISNUMBER(K48),L48="N/A"),AND(C48="ไม่จำหน่ายอาหาร",K48="N/A",ISNUMBER(L48)),AND(C48="มัสยิด",K48="N/A",L48="N/A",X48="N/A"))),AD48="รอยืนยัน",COUNT(K48:Z48)+COUNTIFS(K48:Z48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" s="59" t="str"/>
      <x:c r="AI48" s="61"/>
    </x:row>
    <x:row r="49" ht="60" customHeight="1">
      <x:c r="A49" s="2" t="str">
        <x:v>R26-123</x:v>
      </x:c>
      <x:c r="B49" s="8" t="str">
        <x:v>ชุมชนบ้านออนใต้</x:v>
      </x:c>
      <x:c r="C49" s="59" t="str">
        <x:v>ไม่ทราบ</x:v>
      </x:c>
      <x:c r="D49" s="59" t="str">
        <x:v>ไม่ทราบ</x:v>
      </x:c>
      <x:c r="E49" s="59" t="str">
        <x:v>ไม่ทราบ</x:v>
      </x:c>
      <x:c r="F49" s="59" t="str">
        <x:v>ไม่ทราบ</x:v>
      </x:c>
      <x:c r="G49" s="59" t="str">
        <x:v>ไม่ทราบ</x:v>
      </x:c>
      <x:c r="H49" s="59" t="str">
        <x:v>N/A</x:v>
      </x:c>
      <x:c r="I49" s="59"/>
      <x:c r="J49" s="59" t="str">
        <x:v>ไม่ทราบ</x:v>
      </x:c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  <x:c r="AA49" s="8" t="str">
        <x:f>IF(C49="ไม่ทราบ","",SUMIFS($K$7:$Z$7,K49:Z49,"&lt;&gt;N/A"))</x:f>
      </x:c>
      <x:c r="AB49" s="8" t="str">
        <x:f>IF(AND(OR(AND(C49="จำหน่ายอาหาร",ISNUMBER(K49),L49="N/A"),AND(C49="ไม่จำหน่ายอาหาร",K49="N/A",ISNUMBER(L49)),AND(C49="มัสยิด",K49="N/A",L49="N/A",X49="N/A")),COUNT(K49:Z49)+COUNTIFS(K49:Z49,"N/A")=16),SUM(K49:Z49),"")</x:f>
      </x:c>
      <x:c r="AC49" s="62" t="str">
        <x:f>IF(OR(AB49="",AA49&lt;=0),"",ROUND(AB49/AA49*100,1))</x:f>
      </x:c>
      <x:c r="AD49" s="8" t="str">
        <x:f>IF(COUNTIFS(D49:H49,"ไม่ผ่าน")&gt;0,"ไม่ผ่าน",IF(COUNTIFS(D49:H49,"ไม่ทราบ")+COUNTBLANK(D49:H49)&gt;0,"รอยืนยัน","ผ่าน"))</x:f>
        <x:v>รอยืนยัน</x:v>
      </x:c>
      <x:c r="AE49" s="8" t="str">
        <x:f>IF(AF49="ใช่","ไม่ผ่านการคัดเลือก",IF(AND(AD49="ผ่าน",ISNUMBER(AC49),AC49&gt;=70),"พร้อมขาย",IF(OR(J49="ใช่",AND(ISNUMBER(AC49),AC49&gt;=50)),"พัฒนาเพื่อพร้อมขาย",IF(AND(ISNUMBER(AC49),AC49&lt;50,I49&gt;=1),"มีศักยภาพ แต่ต้องพัฒนามาตรฐาน","รอประเมิน"))))</x:f>
        <x:v>รอประเมิน</x:v>
      </x:c>
      <x:c r="AF49" s="59" t="str">
        <x:v>ไม่ทราบ</x:v>
      </x:c>
      <x:c r="AG49" s="8" t="str">
        <x:f>IF(AF49="ใช่","หัวหน้าทีมพิจารณาเหตุไม่ผ่าน",IF(OR(AA49&lt;=0,NOT(OR(AND(C49="จำหน่ายอาหาร",ISNUMBER(K49),L49="N/A"),AND(C49="ไม่จำหน่ายอาหาร",K49="N/A",ISNUMBER(L49)),AND(C49="มัสยิด",K49="N/A",L49="N/A",X49="N/A"))),AD49="รอยืนยัน",COUNT(K49:Z49)+COUNTIFS(K49:Z49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" s="59" t="str"/>
      <x:c r="AI49" s="61"/>
    </x:row>
    <x:row r="50" ht="60" customHeight="1">
      <x:c r="A50" s="2" t="str">
        <x:v>R26-324</x:v>
      </x:c>
      <x:c r="B50" s="8" t="str">
        <x:v>สวนสัตว์เชียงใหม่</x:v>
      </x:c>
      <x:c r="C50" s="59" t="str">
        <x:v>ไม่ทราบ</x:v>
      </x:c>
      <x:c r="D50" s="59" t="str">
        <x:v>ไม่ทราบ</x:v>
      </x:c>
      <x:c r="E50" s="59" t="str">
        <x:v>ไม่ทราบ</x:v>
      </x:c>
      <x:c r="F50" s="59" t="str">
        <x:v>ไม่ทราบ</x:v>
      </x:c>
      <x:c r="G50" s="59" t="str">
        <x:v>ไม่ทราบ</x:v>
      </x:c>
      <x:c r="H50" s="59" t="str">
        <x:v>N/A</x:v>
      </x:c>
      <x:c r="I50" s="59"/>
      <x:c r="J50" s="59" t="str">
        <x:v>ไม่ทราบ</x:v>
      </x:c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  <x:c r="AA50" s="8" t="str">
        <x:f>IF(C50="ไม่ทราบ","",SUMIFS($K$7:$Z$7,K50:Z50,"&lt;&gt;N/A"))</x:f>
      </x:c>
      <x:c r="AB50" s="8" t="str">
        <x:f>IF(AND(OR(AND(C50="จำหน่ายอาหาร",ISNUMBER(K50),L50="N/A"),AND(C50="ไม่จำหน่ายอาหาร",K50="N/A",ISNUMBER(L50)),AND(C50="มัสยิด",K50="N/A",L50="N/A",X50="N/A")),COUNT(K50:Z50)+COUNTIFS(K50:Z50,"N/A")=16),SUM(K50:Z50),"")</x:f>
      </x:c>
      <x:c r="AC50" s="62" t="str">
        <x:f>IF(OR(AB50="",AA50&lt;=0),"",ROUND(AB50/AA50*100,1))</x:f>
      </x:c>
      <x:c r="AD50" s="8" t="str">
        <x:f>IF(COUNTIFS(D50:H50,"ไม่ผ่าน")&gt;0,"ไม่ผ่าน",IF(COUNTIFS(D50:H50,"ไม่ทราบ")+COUNTBLANK(D50:H50)&gt;0,"รอยืนยัน","ผ่าน"))</x:f>
        <x:v>รอยืนยัน</x:v>
      </x:c>
      <x:c r="AE50" s="8" t="str">
        <x:f>IF(AF50="ใช่","ไม่ผ่านการคัดเลือก",IF(AND(AD50="ผ่าน",ISNUMBER(AC50),AC50&gt;=70),"พร้อมขาย",IF(OR(J50="ใช่",AND(ISNUMBER(AC50),AC50&gt;=50)),"พัฒนาเพื่อพร้อมขาย",IF(AND(ISNUMBER(AC50),AC50&lt;50,I50&gt;=1),"มีศักยภาพ แต่ต้องพัฒนามาตรฐาน","รอประเมิน"))))</x:f>
        <x:v>รอประเมิน</x:v>
      </x:c>
      <x:c r="AF50" s="59" t="str">
        <x:v>ไม่ทราบ</x:v>
      </x:c>
      <x:c r="AG50" s="8" t="str">
        <x:f>IF(AF50="ใช่","หัวหน้าทีมพิจารณาเหตุไม่ผ่าน",IF(OR(AA50&lt;=0,NOT(OR(AND(C50="จำหน่ายอาหาร",ISNUMBER(K50),L50="N/A"),AND(C50="ไม่จำหน่ายอาหาร",K50="N/A",ISNUMBER(L50)),AND(C50="มัสยิด",K50="N/A",L50="N/A",X50="N/A"))),AD50="รอยืนยัน",COUNT(K50:Z50)+COUNTIFS(K50:Z50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" s="59" t="str"/>
      <x:c r="AI50" s="61"/>
    </x:row>
    <x:row r="51" ht="60" customHeight="1">
      <x:c r="A51" s="2" t="str">
        <x:v>R26-323</x:v>
      </x:c>
      <x:c r="B51" s="8" t="str">
        <x:v>เชียงใหม่ไนท์ซาฟารี</x:v>
      </x:c>
      <x:c r="C51" s="59" t="str">
        <x:v>ไม่ทราบ</x:v>
      </x:c>
      <x:c r="D51" s="59" t="str">
        <x:v>ไม่ทราบ</x:v>
      </x:c>
      <x:c r="E51" s="59" t="str">
        <x:v>ไม่ทราบ</x:v>
      </x:c>
      <x:c r="F51" s="59" t="str">
        <x:v>ไม่ทราบ</x:v>
      </x:c>
      <x:c r="G51" s="59" t="str">
        <x:v>ไม่ทราบ</x:v>
      </x:c>
      <x:c r="H51" s="59" t="str">
        <x:v>N/A</x:v>
      </x:c>
      <x:c r="I51" s="59"/>
      <x:c r="J51" s="59" t="str">
        <x:v>ไม่ทราบ</x:v>
      </x:c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  <x:c r="AA51" s="8" t="str">
        <x:f>IF(C51="ไม่ทราบ","",SUMIFS($K$7:$Z$7,K51:Z51,"&lt;&gt;N/A"))</x:f>
      </x:c>
      <x:c r="AB51" s="8" t="str">
        <x:f>IF(AND(OR(AND(C51="จำหน่ายอาหาร",ISNUMBER(K51),L51="N/A"),AND(C51="ไม่จำหน่ายอาหาร",K51="N/A",ISNUMBER(L51)),AND(C51="มัสยิด",K51="N/A",L51="N/A",X51="N/A")),COUNT(K51:Z51)+COUNTIFS(K51:Z51,"N/A")=16),SUM(K51:Z51),"")</x:f>
      </x:c>
      <x:c r="AC51" s="62" t="str">
        <x:f>IF(OR(AB51="",AA51&lt;=0),"",ROUND(AB51/AA51*100,1))</x:f>
      </x:c>
      <x:c r="AD51" s="8" t="str">
        <x:f>IF(COUNTIFS(D51:H51,"ไม่ผ่าน")&gt;0,"ไม่ผ่าน",IF(COUNTIFS(D51:H51,"ไม่ทราบ")+COUNTBLANK(D51:H51)&gt;0,"รอยืนยัน","ผ่าน"))</x:f>
        <x:v>รอยืนยัน</x:v>
      </x:c>
      <x:c r="AE51" s="8" t="str">
        <x:f>IF(AF51="ใช่","ไม่ผ่านการคัดเลือก",IF(AND(AD51="ผ่าน",ISNUMBER(AC51),AC51&gt;=70),"พร้อมขาย",IF(OR(J51="ใช่",AND(ISNUMBER(AC51),AC51&gt;=50)),"พัฒนาเพื่อพร้อมขาย",IF(AND(ISNUMBER(AC51),AC51&lt;50,I51&gt;=1),"มีศักยภาพ แต่ต้องพัฒนามาตรฐาน","รอประเมิน"))))</x:f>
        <x:v>รอประเมิน</x:v>
      </x:c>
      <x:c r="AF51" s="59" t="str">
        <x:v>ไม่ทราบ</x:v>
      </x:c>
      <x:c r="AG51" s="8" t="str">
        <x:f>IF(AF51="ใช่","หัวหน้าทีมพิจารณาเหตุไม่ผ่าน",IF(OR(AA51&lt;=0,NOT(OR(AND(C51="จำหน่ายอาหาร",ISNUMBER(K51),L51="N/A"),AND(C51="ไม่จำหน่ายอาหาร",K51="N/A",ISNUMBER(L51)),AND(C51="มัสยิด",K51="N/A",L51="N/A",X51="N/A"))),AD51="รอยืนยัน",COUNT(K51:Z51)+COUNTIFS(K51:Z51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" s="59" t="str"/>
      <x:c r="AI51" s="61"/>
    </x:row>
    <x:row r="52" ht="60" customHeight="1">
      <x:c r="A52" s="2" t="str">
        <x:v>R26-017</x:v>
      </x:c>
      <x:c r="B52" s="8" t="str">
        <x:v>Rasa Boutique Hotel Chiang Rai</x:v>
      </x:c>
      <x:c r="C52" s="59" t="str">
        <x:v>ไม่ทราบ</x:v>
      </x:c>
      <x:c r="D52" s="59" t="str">
        <x:v>ไม่ทราบ</x:v>
      </x:c>
      <x:c r="E52" s="59" t="str">
        <x:v>ไม่ทราบ</x:v>
      </x:c>
      <x:c r="F52" s="59" t="str">
        <x:v>ไม่ทราบ</x:v>
      </x:c>
      <x:c r="G52" s="59" t="str">
        <x:v>ไม่ทราบ</x:v>
      </x:c>
      <x:c r="H52" s="59" t="str">
        <x:v>ไม่ทราบ</x:v>
      </x:c>
      <x:c r="I52" s="59"/>
      <x:c r="J52" s="59" t="str">
        <x:v>ไม่ทราบ</x:v>
      </x:c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  <x:c r="AA52" s="8" t="str">
        <x:f>IF(C52="ไม่ทราบ","",SUMIFS($K$7:$Z$7,K52:Z52,"&lt;&gt;N/A"))</x:f>
      </x:c>
      <x:c r="AB52" s="8" t="str">
        <x:f>IF(AND(OR(AND(C52="จำหน่ายอาหาร",ISNUMBER(K52),L52="N/A"),AND(C52="ไม่จำหน่ายอาหาร",K52="N/A",ISNUMBER(L52)),AND(C52="มัสยิด",K52="N/A",L52="N/A",X52="N/A")),COUNT(K52:Z52)+COUNTIFS(K52:Z52,"N/A")=16),SUM(K52:Z52),"")</x:f>
      </x:c>
      <x:c r="AC52" s="62" t="str">
        <x:f>IF(OR(AB52="",AA52&lt;=0),"",ROUND(AB52/AA52*100,1))</x:f>
      </x:c>
      <x:c r="AD52" s="8" t="str">
        <x:f>IF(COUNTIFS(D52:H52,"ไม่ผ่าน")&gt;0,"ไม่ผ่าน",IF(COUNTIFS(D52:H52,"ไม่ทราบ")+COUNTBLANK(D52:H52)&gt;0,"รอยืนยัน","ผ่าน"))</x:f>
        <x:v>รอยืนยัน</x:v>
      </x:c>
      <x:c r="AE52" s="8" t="str">
        <x:f>IF(AF52="ใช่","ไม่ผ่านการคัดเลือก",IF(AND(AD52="ผ่าน",ISNUMBER(AC52),AC52&gt;=70),"พร้อมขาย",IF(OR(J52="ใช่",AND(ISNUMBER(AC52),AC52&gt;=50)),"พัฒนาเพื่อพร้อมขาย",IF(AND(ISNUMBER(AC52),AC52&lt;50,I52&gt;=1),"มีศักยภาพ แต่ต้องพัฒนามาตรฐาน","รอประเมิน"))))</x:f>
        <x:v>รอประเมิน</x:v>
      </x:c>
      <x:c r="AF52" s="59" t="str">
        <x:v>ไม่ทราบ</x:v>
      </x:c>
      <x:c r="AG52" s="8" t="str">
        <x:f>IF(AF52="ใช่","หัวหน้าทีมพิจารณาเหตุไม่ผ่าน",IF(OR(AA52&lt;=0,NOT(OR(AND(C52="จำหน่ายอาหาร",ISNUMBER(K52),L52="N/A"),AND(C52="ไม่จำหน่ายอาหาร",K52="N/A",ISNUMBER(L52)),AND(C52="มัสยิด",K52="N/A",L52="N/A",X52="N/A"))),AD52="รอยืนยัน",COUNT(K52:Z52)+COUNTIFS(K52:Z52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" s="59" t="str"/>
      <x:c r="AI52" s="61"/>
    </x:row>
    <x:row r="53" ht="60" customHeight="1">
      <x:c r="A53" s="2" t="str">
        <x:v>R26-013</x:v>
      </x:c>
      <x:c r="B53" s="8" t="str">
        <x:v>บุหงา ตานี cafe bistro</x:v>
      </x:c>
      <x:c r="C53" s="59" t="str">
        <x:v>จำหน่ายอาหาร</x:v>
      </x:c>
      <x:c r="D53" s="59" t="str">
        <x:v>ไม่ทราบ</x:v>
      </x:c>
      <x:c r="E53" s="59" t="str">
        <x:v>ไม่ทราบ</x:v>
      </x:c>
      <x:c r="F53" s="59" t="str">
        <x:v>ไม่ทราบ</x:v>
      </x:c>
      <x:c r="G53" s="59" t="str">
        <x:v>ไม่ทราบ</x:v>
      </x:c>
      <x:c r="H53" s="59" t="str">
        <x:v>N/A</x:v>
      </x:c>
      <x:c r="I53" s="59"/>
      <x:c r="J53" s="59" t="str">
        <x:v>ไม่ทราบ</x:v>
      </x:c>
      <x:c r="K53" s="59"/>
      <x:c r="L53" s="59" t="str">
        <x:v>N/A</x:v>
      </x:c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  <x:c r="AA53" s="8" t="n">
        <x:f>IF(C53="ไม่ทราบ","",SUMIFS($K$7:$Z$7,K53:Z53,"&lt;&gt;N/A"))</x:f>
        <x:v>100</x:v>
      </x:c>
      <x:c r="AB53" s="8" t="str">
        <x:f>IF(AND(OR(AND(C53="จำหน่ายอาหาร",ISNUMBER(K53),L53="N/A"),AND(C53="ไม่จำหน่ายอาหาร",K53="N/A",ISNUMBER(L53)),AND(C53="มัสยิด",K53="N/A",L53="N/A",X53="N/A")),COUNT(K53:Z53)+COUNTIFS(K53:Z53,"N/A")=16),SUM(K53:Z53),"")</x:f>
      </x:c>
      <x:c r="AC53" s="62" t="str">
        <x:f>IF(OR(AB53="",AA53&lt;=0),"",ROUND(AB53/AA53*100,1))</x:f>
      </x:c>
      <x:c r="AD53" s="8" t="str">
        <x:f>IF(COUNTIFS(D53:H53,"ไม่ผ่าน")&gt;0,"ไม่ผ่าน",IF(COUNTIFS(D53:H53,"ไม่ทราบ")+COUNTBLANK(D53:H53)&gt;0,"รอยืนยัน","ผ่าน"))</x:f>
        <x:v>รอยืนยัน</x:v>
      </x:c>
      <x:c r="AE53" s="8" t="str">
        <x:f>IF(AF53="ใช่","ไม่ผ่านการคัดเลือก",IF(AND(AD53="ผ่าน",ISNUMBER(AC53),AC53&gt;=70),"พร้อมขาย",IF(OR(J53="ใช่",AND(ISNUMBER(AC53),AC53&gt;=50)),"พัฒนาเพื่อพร้อมขาย",IF(AND(ISNUMBER(AC53),AC53&lt;50,I53&gt;=1),"มีศักยภาพ แต่ต้องพัฒนามาตรฐาน","รอประเมิน"))))</x:f>
        <x:v>รอประเมิน</x:v>
      </x:c>
      <x:c r="AF53" s="59" t="str">
        <x:v>ไม่ทราบ</x:v>
      </x:c>
      <x:c r="AG53" s="8" t="str">
        <x:f>IF(AF53="ใช่","หัวหน้าทีมพิจารณาเหตุไม่ผ่าน",IF(OR(AA53&lt;=0,NOT(OR(AND(C53="จำหน่ายอาหาร",ISNUMBER(K53),L53="N/A"),AND(C53="ไม่จำหน่ายอาหาร",K53="N/A",ISNUMBER(L53)),AND(C53="มัสยิด",K53="N/A",L53="N/A",X53="N/A"))),AD53="รอยืนยัน",COUNT(K53:Z53)+COUNTIFS(K53:Z53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" s="59" t="str"/>
      <x:c r="AI53" s="61"/>
    </x:row>
    <x:row r="54" ht="60" customHeight="1">
      <x:c r="A54" s="2" t="str">
        <x:v>R26-016</x:v>
      </x:c>
      <x:c r="B54" s="8" t="str">
        <x:v>บ้านเนื้อฮาลาล เชียงราย</x:v>
      </x:c>
      <x:c r="C54" s="59" t="str">
        <x:v>จำหน่ายอาหาร</x:v>
      </x:c>
      <x:c r="D54" s="59" t="str">
        <x:v>ไม่ทราบ</x:v>
      </x:c>
      <x:c r="E54" s="59" t="str">
        <x:v>ไม่ทราบ</x:v>
      </x:c>
      <x:c r="F54" s="59" t="str">
        <x:v>ไม่ทราบ</x:v>
      </x:c>
      <x:c r="G54" s="59" t="str">
        <x:v>ไม่ทราบ</x:v>
      </x:c>
      <x:c r="H54" s="59" t="str">
        <x:v>N/A</x:v>
      </x:c>
      <x:c r="I54" s="59"/>
      <x:c r="J54" s="59" t="str">
        <x:v>ไม่ทราบ</x:v>
      </x:c>
      <x:c r="K54" s="59"/>
      <x:c r="L54" s="59" t="str">
        <x:v>N/A</x:v>
      </x:c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  <x:c r="AA54" s="8" t="n">
        <x:f>IF(C54="ไม่ทราบ","",SUMIFS($K$7:$Z$7,K54:Z54,"&lt;&gt;N/A"))</x:f>
        <x:v>100</x:v>
      </x:c>
      <x:c r="AB54" s="8" t="str">
        <x:f>IF(AND(OR(AND(C54="จำหน่ายอาหาร",ISNUMBER(K54),L54="N/A"),AND(C54="ไม่จำหน่ายอาหาร",K54="N/A",ISNUMBER(L54)),AND(C54="มัสยิด",K54="N/A",L54="N/A",X54="N/A")),COUNT(K54:Z54)+COUNTIFS(K54:Z54,"N/A")=16),SUM(K54:Z54),"")</x:f>
      </x:c>
      <x:c r="AC54" s="62" t="str">
        <x:f>IF(OR(AB54="",AA54&lt;=0),"",ROUND(AB54/AA54*100,1))</x:f>
      </x:c>
      <x:c r="AD54" s="8" t="str">
        <x:f>IF(COUNTIFS(D54:H54,"ไม่ผ่าน")&gt;0,"ไม่ผ่าน",IF(COUNTIFS(D54:H54,"ไม่ทราบ")+COUNTBLANK(D54:H54)&gt;0,"รอยืนยัน","ผ่าน"))</x:f>
        <x:v>รอยืนยัน</x:v>
      </x:c>
      <x:c r="AE54" s="8" t="str">
        <x:f>IF(AF54="ใช่","ไม่ผ่านการคัดเลือก",IF(AND(AD54="ผ่าน",ISNUMBER(AC54),AC54&gt;=70),"พร้อมขาย",IF(OR(J54="ใช่",AND(ISNUMBER(AC54),AC54&gt;=50)),"พัฒนาเพื่อพร้อมขาย",IF(AND(ISNUMBER(AC54),AC54&lt;50,I54&gt;=1),"มีศักยภาพ แต่ต้องพัฒนามาตรฐาน","รอประเมิน"))))</x:f>
        <x:v>รอประเมิน</x:v>
      </x:c>
      <x:c r="AF54" s="59" t="str">
        <x:v>ไม่ทราบ</x:v>
      </x:c>
      <x:c r="AG54" s="8" t="str">
        <x:f>IF(AF54="ใช่","หัวหน้าทีมพิจารณาเหตุไม่ผ่าน",IF(OR(AA54&lt;=0,NOT(OR(AND(C54="จำหน่ายอาหาร",ISNUMBER(K54),L54="N/A"),AND(C54="ไม่จำหน่ายอาหาร",K54="N/A",ISNUMBER(L54)),AND(C54="มัสยิด",K54="N/A",L54="N/A",X54="N/A"))),AD54="รอยืนยัน",COUNT(K54:Z54)+COUNTIFS(K54:Z54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" s="59" t="str"/>
      <x:c r="AI54" s="61"/>
    </x:row>
    <x:row r="55" ht="60" customHeight="1">
      <x:c r="A55" s="2" t="str">
        <x:v>R26-012</x:v>
      </x:c>
      <x:c r="B55" s="8" t="str">
        <x:v>มัสยิดกลางเชียงราย ดารุลอามาน</x:v>
      </x:c>
      <x:c r="C55" s="59" t="str">
        <x:v>มัสยิด</x:v>
      </x:c>
      <x:c r="D55" s="59" t="str">
        <x:v>ไม่ทราบ</x:v>
      </x:c>
      <x:c r="E55" s="59" t="str">
        <x:v>ไม่ทราบ</x:v>
      </x:c>
      <x:c r="F55" s="59" t="str">
        <x:v>ไม่ทราบ</x:v>
      </x:c>
      <x:c r="G55" s="59" t="str">
        <x:v>N/A</x:v>
      </x:c>
      <x:c r="H55" s="59" t="str">
        <x:v>N/A</x:v>
      </x:c>
      <x:c r="I55" s="59"/>
      <x:c r="J55" s="59" t="str">
        <x:v>ไม่ทราบ</x:v>
      </x:c>
      <x:c r="K55" s="59" t="str">
        <x:v>N/A</x:v>
      </x:c>
      <x:c r="L55" s="59" t="str">
        <x:v>N/A</x:v>
      </x:c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 t="str">
        <x:v>N/A</x:v>
      </x:c>
      <x:c r="Y55" s="59"/>
      <x:c r="Z55" s="59"/>
      <x:c r="AA55" s="8" t="n">
        <x:f>IF(C55="ไม่ทราบ","",SUMIFS($K$7:$Z$7,K55:Z55,"&lt;&gt;N/A"))</x:f>
        <x:v>67</x:v>
      </x:c>
      <x:c r="AB55" s="8" t="str">
        <x:f>IF(AND(OR(AND(C55="จำหน่ายอาหาร",ISNUMBER(K55),L55="N/A"),AND(C55="ไม่จำหน่ายอาหาร",K55="N/A",ISNUMBER(L55)),AND(C55="มัสยิด",K55="N/A",L55="N/A",X55="N/A")),COUNT(K55:Z55)+COUNTIFS(K55:Z55,"N/A")=16),SUM(K55:Z55),"")</x:f>
      </x:c>
      <x:c r="AC55" s="62" t="str">
        <x:f>IF(OR(AB55="",AA55&lt;=0),"",ROUND(AB55/AA55*100,1))</x:f>
      </x:c>
      <x:c r="AD55" s="8" t="str">
        <x:f>IF(COUNTIFS(D55:H55,"ไม่ผ่าน")&gt;0,"ไม่ผ่าน",IF(COUNTIFS(D55:H55,"ไม่ทราบ")+COUNTBLANK(D55:H55)&gt;0,"รอยืนยัน","ผ่าน"))</x:f>
        <x:v>รอยืนยัน</x:v>
      </x:c>
      <x:c r="AE55" s="8" t="str">
        <x:f>IF(AF55="ใช่","ไม่ผ่านการคัดเลือก",IF(AND(AD55="ผ่าน",ISNUMBER(AC55),AC55&gt;=70),"พร้อมขาย",IF(OR(J55="ใช่",AND(ISNUMBER(AC55),AC55&gt;=50)),"พัฒนาเพื่อพร้อมขาย",IF(AND(ISNUMBER(AC55),AC55&lt;50,I55&gt;=1),"มีศักยภาพ แต่ต้องพัฒนามาตรฐาน","รอประเมิน"))))</x:f>
        <x:v>รอประเมิน</x:v>
      </x:c>
      <x:c r="AF55" s="59" t="str">
        <x:v>ไม่ทราบ</x:v>
      </x:c>
      <x:c r="AG55" s="8" t="str">
        <x:f>IF(AF55="ใช่","หัวหน้าทีมพิจารณาเหตุไม่ผ่าน",IF(OR(AA55&lt;=0,NOT(OR(AND(C55="จำหน่ายอาหาร",ISNUMBER(K55),L55="N/A"),AND(C55="ไม่จำหน่ายอาหาร",K55="N/A",ISNUMBER(L55)),AND(C55="มัสยิด",K55="N/A",L55="N/A",X55="N/A"))),AD55="รอยืนยัน",COUNT(K55:Z55)+COUNTIFS(K55:Z55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" s="59" t="str"/>
      <x:c r="AI55" s="61"/>
    </x:row>
    <x:row r="56" ht="60" customHeight="1">
      <x:c r="A56" s="2" t="str">
        <x:v>R26-014</x:v>
      </x:c>
      <x:c r="B56" s="8" t="str">
        <x:v>วัดร่องขุ่น</x:v>
      </x:c>
      <x:c r="C56" s="59" t="str">
        <x:v>ไม่ทราบ</x:v>
      </x:c>
      <x:c r="D56" s="59" t="str">
        <x:v>ไม่ทราบ</x:v>
      </x:c>
      <x:c r="E56" s="59" t="str">
        <x:v>ไม่ทราบ</x:v>
      </x:c>
      <x:c r="F56" s="59" t="str">
        <x:v>ไม่ทราบ</x:v>
      </x:c>
      <x:c r="G56" s="59" t="str">
        <x:v>ไม่ทราบ</x:v>
      </x:c>
      <x:c r="H56" s="59" t="str">
        <x:v>N/A</x:v>
      </x:c>
      <x:c r="I56" s="59"/>
      <x:c r="J56" s="59" t="str">
        <x:v>ไม่ทราบ</x:v>
      </x:c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  <x:c r="AA56" s="8" t="str">
        <x:f>IF(C56="ไม่ทราบ","",SUMIFS($K$7:$Z$7,K56:Z56,"&lt;&gt;N/A"))</x:f>
      </x:c>
      <x:c r="AB56" s="8" t="str">
        <x:f>IF(AND(OR(AND(C56="จำหน่ายอาหาร",ISNUMBER(K56),L56="N/A"),AND(C56="ไม่จำหน่ายอาหาร",K56="N/A",ISNUMBER(L56)),AND(C56="มัสยิด",K56="N/A",L56="N/A",X56="N/A")),COUNT(K56:Z56)+COUNTIFS(K56:Z56,"N/A")=16),SUM(K56:Z56),"")</x:f>
      </x:c>
      <x:c r="AC56" s="62" t="str">
        <x:f>IF(OR(AB56="",AA56&lt;=0),"",ROUND(AB56/AA56*100,1))</x:f>
      </x:c>
      <x:c r="AD56" s="8" t="str">
        <x:f>IF(COUNTIFS(D56:H56,"ไม่ผ่าน")&gt;0,"ไม่ผ่าน",IF(COUNTIFS(D56:H56,"ไม่ทราบ")+COUNTBLANK(D56:H56)&gt;0,"รอยืนยัน","ผ่าน"))</x:f>
        <x:v>รอยืนยัน</x:v>
      </x:c>
      <x:c r="AE56" s="8" t="str">
        <x:f>IF(AF56="ใช่","ไม่ผ่านการคัดเลือก",IF(AND(AD56="ผ่าน",ISNUMBER(AC56),AC56&gt;=70),"พร้อมขาย",IF(OR(J56="ใช่",AND(ISNUMBER(AC56),AC56&gt;=50)),"พัฒนาเพื่อพร้อมขาย",IF(AND(ISNUMBER(AC56),AC56&lt;50,I56&gt;=1),"มีศักยภาพ แต่ต้องพัฒนามาตรฐาน","รอประเมิน"))))</x:f>
        <x:v>รอประเมิน</x:v>
      </x:c>
      <x:c r="AF56" s="59" t="str">
        <x:v>ไม่ทราบ</x:v>
      </x:c>
      <x:c r="AG56" s="8" t="str">
        <x:f>IF(AF56="ใช่","หัวหน้าทีมพิจารณาเหตุไม่ผ่าน",IF(OR(AA56&lt;=0,NOT(OR(AND(C56="จำหน่ายอาหาร",ISNUMBER(K56),L56="N/A"),AND(C56="ไม่จำหน่ายอาหาร",K56="N/A",ISNUMBER(L56)),AND(C56="มัสยิด",K56="N/A",L56="N/A",X56="N/A"))),AD56="รอยืนยัน",COUNT(K56:Z56)+COUNTIFS(K56:Z56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" s="59" t="str"/>
      <x:c r="AI56" s="61"/>
    </x:row>
    <x:row r="57" ht="60" customHeight="1">
      <x:c r="A57" s="2" t="str">
        <x:v>R26-011</x:v>
      </x:c>
      <x:c r="B57" s="8" t="str">
        <x:v>ดอยดินแดง เครื่องปั้นดินเผา</x:v>
      </x:c>
      <x:c r="C57" s="59" t="str">
        <x:v>ไม่ทราบ</x:v>
      </x:c>
      <x:c r="D57" s="59" t="str">
        <x:v>ไม่ทราบ</x:v>
      </x:c>
      <x:c r="E57" s="59" t="str">
        <x:v>ไม่ทราบ</x:v>
      </x:c>
      <x:c r="F57" s="59" t="str">
        <x:v>ไม่ทราบ</x:v>
      </x:c>
      <x:c r="G57" s="59" t="str">
        <x:v>ไม่ทราบ</x:v>
      </x:c>
      <x:c r="H57" s="59" t="str">
        <x:v>N/A</x:v>
      </x:c>
      <x:c r="I57" s="59"/>
      <x:c r="J57" s="59" t="str">
        <x:v>ไม่ทราบ</x:v>
      </x:c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  <x:c r="AA57" s="8" t="str">
        <x:f>IF(C57="ไม่ทราบ","",SUMIFS($K$7:$Z$7,K57:Z57,"&lt;&gt;N/A"))</x:f>
      </x:c>
      <x:c r="AB57" s="8" t="str">
        <x:f>IF(AND(OR(AND(C57="จำหน่ายอาหาร",ISNUMBER(K57),L57="N/A"),AND(C57="ไม่จำหน่ายอาหาร",K57="N/A",ISNUMBER(L57)),AND(C57="มัสยิด",K57="N/A",L57="N/A",X57="N/A")),COUNT(K57:Z57)+COUNTIFS(K57:Z57,"N/A")=16),SUM(K57:Z57),"")</x:f>
      </x:c>
      <x:c r="AC57" s="62" t="str">
        <x:f>IF(OR(AB57="",AA57&lt;=0),"",ROUND(AB57/AA57*100,1))</x:f>
      </x:c>
      <x:c r="AD57" s="8" t="str">
        <x:f>IF(COUNTIFS(D57:H57,"ไม่ผ่าน")&gt;0,"ไม่ผ่าน",IF(COUNTIFS(D57:H57,"ไม่ทราบ")+COUNTBLANK(D57:H57)&gt;0,"รอยืนยัน","ผ่าน"))</x:f>
        <x:v>รอยืนยัน</x:v>
      </x:c>
      <x:c r="AE57" s="8" t="str">
        <x:f>IF(AF57="ใช่","ไม่ผ่านการคัดเลือก",IF(AND(AD57="ผ่าน",ISNUMBER(AC57),AC57&gt;=70),"พร้อมขาย",IF(OR(J57="ใช่",AND(ISNUMBER(AC57),AC57&gt;=50)),"พัฒนาเพื่อพร้อมขาย",IF(AND(ISNUMBER(AC57),AC57&lt;50,I57&gt;=1),"มีศักยภาพ แต่ต้องพัฒนามาตรฐาน","รอประเมิน"))))</x:f>
        <x:v>รอประเมิน</x:v>
      </x:c>
      <x:c r="AF57" s="59" t="str">
        <x:v>ไม่ทราบ</x:v>
      </x:c>
      <x:c r="AG57" s="8" t="str">
        <x:f>IF(AF57="ใช่","หัวหน้าทีมพิจารณาเหตุไม่ผ่าน",IF(OR(AA57&lt;=0,NOT(OR(AND(C57="จำหน่ายอาหาร",ISNUMBER(K57),L57="N/A"),AND(C57="ไม่จำหน่ายอาหาร",K57="N/A",ISNUMBER(L57)),AND(C57="มัสยิด",K57="N/A",L57="N/A",X57="N/A"))),AD57="รอยืนยัน",COUNT(K57:Z57)+COUNTIFS(K57:Z57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" s="59" t="str"/>
      <x:c r="AI57" s="61"/>
    </x:row>
    <x:row r="58" ht="60" customHeight="1">
      <x:c r="A58" s="2" t="str">
        <x:v>TMF-418</x:v>
      </x:c>
      <x:c r="B58" s="8" t="str">
        <x:v>สิงห์ปาร์ค เชียงราย</x:v>
      </x:c>
      <x:c r="C58" s="59" t="str">
        <x:v>ไม่ทราบ</x:v>
      </x:c>
      <x:c r="D58" s="59" t="str">
        <x:v>ไม่ทราบ</x:v>
      </x:c>
      <x:c r="E58" s="59" t="str">
        <x:v>ไม่ทราบ</x:v>
      </x:c>
      <x:c r="F58" s="59" t="str">
        <x:v>ไม่ทราบ</x:v>
      </x:c>
      <x:c r="G58" s="59" t="str">
        <x:v>ไม่ทราบ</x:v>
      </x:c>
      <x:c r="H58" s="59" t="str">
        <x:v>N/A</x:v>
      </x:c>
      <x:c r="I58" s="59"/>
      <x:c r="J58" s="59" t="str">
        <x:v>ไม่ทราบ</x:v>
      </x:c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  <x:c r="AA58" s="8" t="str">
        <x:f>IF(C58="ไม่ทราบ","",SUMIFS($K$7:$Z$7,K58:Z58,"&lt;&gt;N/A"))</x:f>
      </x:c>
      <x:c r="AB58" s="8" t="str">
        <x:f>IF(AND(OR(AND(C58="จำหน่ายอาหาร",ISNUMBER(K58),L58="N/A"),AND(C58="ไม่จำหน่ายอาหาร",K58="N/A",ISNUMBER(L58)),AND(C58="มัสยิด",K58="N/A",L58="N/A",X58="N/A")),COUNT(K58:Z58)+COUNTIFS(K58:Z58,"N/A")=16),SUM(K58:Z58),"")</x:f>
      </x:c>
      <x:c r="AC58" s="62" t="str">
        <x:f>IF(OR(AB58="",AA58&lt;=0),"",ROUND(AB58/AA58*100,1))</x:f>
      </x:c>
      <x:c r="AD58" s="8" t="str">
        <x:f>IF(COUNTIFS(D58:H58,"ไม่ผ่าน")&gt;0,"ไม่ผ่าน",IF(COUNTIFS(D58:H58,"ไม่ทราบ")+COUNTBLANK(D58:H58)&gt;0,"รอยืนยัน","ผ่าน"))</x:f>
        <x:v>รอยืนยัน</x:v>
      </x:c>
      <x:c r="AE58" s="8" t="str">
        <x:f>IF(AF58="ใช่","ไม่ผ่านการคัดเลือก",IF(AND(AD58="ผ่าน",ISNUMBER(AC58),AC58&gt;=70),"พร้อมขาย",IF(OR(J58="ใช่",AND(ISNUMBER(AC58),AC58&gt;=50)),"พัฒนาเพื่อพร้อมขาย",IF(AND(ISNUMBER(AC58),AC58&lt;50,I58&gt;=1),"มีศักยภาพ แต่ต้องพัฒนามาตรฐาน","รอประเมิน"))))</x:f>
        <x:v>รอประเมิน</x:v>
      </x:c>
      <x:c r="AF58" s="59" t="str">
        <x:v>ไม่ทราบ</x:v>
      </x:c>
      <x:c r="AG58" s="8" t="str">
        <x:f>IF(AF58="ใช่","หัวหน้าทีมพิจารณาเหตุไม่ผ่าน",IF(OR(AA58&lt;=0,NOT(OR(AND(C58="จำหน่ายอาหาร",ISNUMBER(K58),L58="N/A"),AND(C58="ไม่จำหน่ายอาหาร",K58="N/A",ISNUMBER(L58)),AND(C58="มัสยิด",K58="N/A",L58="N/A",X58="N/A"))),AD58="รอยืนยัน",COUNT(K58:Z58)+COUNTIFS(K58:Z58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" s="59" t="str"/>
      <x:c r="AI58" s="61"/>
    </x:row>
    <x:row r="59" ht="60" customHeight="1">
      <x:c r="A59" s="2" t="str">
        <x:v>R26-021</x:v>
      </x:c>
      <x:c r="B59" s="8" t="str">
        <x:v>Saleema Muslim Food Yunnan แม่สลอง</x:v>
      </x:c>
      <x:c r="C59" s="59" t="str">
        <x:v>จำหน่ายอาหาร</x:v>
      </x:c>
      <x:c r="D59" s="59" t="str">
        <x:v>ไม่ทราบ</x:v>
      </x:c>
      <x:c r="E59" s="59" t="str">
        <x:v>ไม่ทราบ</x:v>
      </x:c>
      <x:c r="F59" s="59" t="str">
        <x:v>ไม่ทราบ</x:v>
      </x:c>
      <x:c r="G59" s="59" t="str">
        <x:v>ไม่ทราบ</x:v>
      </x:c>
      <x:c r="H59" s="59" t="str">
        <x:v>N/A</x:v>
      </x:c>
      <x:c r="I59" s="59"/>
      <x:c r="J59" s="59" t="str">
        <x:v>ไม่ทราบ</x:v>
      </x:c>
      <x:c r="K59" s="59"/>
      <x:c r="L59" s="59" t="str">
        <x:v>N/A</x:v>
      </x:c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  <x:c r="AA59" s="8" t="n">
        <x:f>IF(C59="ไม่ทราบ","",SUMIFS($K$7:$Z$7,K59:Z59,"&lt;&gt;N/A"))</x:f>
        <x:v>100</x:v>
      </x:c>
      <x:c r="AB59" s="8" t="str">
        <x:f>IF(AND(OR(AND(C59="จำหน่ายอาหาร",ISNUMBER(K59),L59="N/A"),AND(C59="ไม่จำหน่ายอาหาร",K59="N/A",ISNUMBER(L59)),AND(C59="มัสยิด",K59="N/A",L59="N/A",X59="N/A")),COUNT(K59:Z59)+COUNTIFS(K59:Z59,"N/A")=16),SUM(K59:Z59),"")</x:f>
      </x:c>
      <x:c r="AC59" s="62" t="str">
        <x:f>IF(OR(AB59="",AA59&lt;=0),"",ROUND(AB59/AA59*100,1))</x:f>
      </x:c>
      <x:c r="AD59" s="8" t="str">
        <x:f>IF(COUNTIFS(D59:H59,"ไม่ผ่าน")&gt;0,"ไม่ผ่าน",IF(COUNTIFS(D59:H59,"ไม่ทราบ")+COUNTBLANK(D59:H59)&gt;0,"รอยืนยัน","ผ่าน"))</x:f>
        <x:v>รอยืนยัน</x:v>
      </x:c>
      <x:c r="AE59" s="8" t="str">
        <x:f>IF(AF59="ใช่","ไม่ผ่านการคัดเลือก",IF(AND(AD59="ผ่าน",ISNUMBER(AC59),AC59&gt;=70),"พร้อมขาย",IF(OR(J59="ใช่",AND(ISNUMBER(AC59),AC59&gt;=50)),"พัฒนาเพื่อพร้อมขาย",IF(AND(ISNUMBER(AC59),AC59&lt;50,I59&gt;=1),"มีศักยภาพ แต่ต้องพัฒนามาตรฐาน","รอประเมิน"))))</x:f>
        <x:v>รอประเมิน</x:v>
      </x:c>
      <x:c r="AF59" s="59" t="str">
        <x:v>ไม่ทราบ</x:v>
      </x:c>
      <x:c r="AG59" s="8" t="str">
        <x:f>IF(AF59="ใช่","หัวหน้าทีมพิจารณาเหตุไม่ผ่าน",IF(OR(AA59&lt;=0,NOT(OR(AND(C59="จำหน่ายอาหาร",ISNUMBER(K59),L59="N/A"),AND(C59="ไม่จำหน่ายอาหาร",K59="N/A",ISNUMBER(L59)),AND(C59="มัสยิด",K59="N/A",L59="N/A",X59="N/A"))),AD59="รอยืนยัน",COUNT(K59:Z59)+COUNTIFS(K59:Z59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" s="59" t="str"/>
      <x:c r="AI59" s="61"/>
    </x:row>
    <x:row r="60" ht="60" customHeight="1">
      <x:c r="A60" s="2" t="str">
        <x:v>R26-018</x:v>
      </x:c>
      <x:c r="B60" s="8" t="str">
        <x:v>ชุมชนสันติคีรี ดอยแม่สลอง</x:v>
      </x:c>
      <x:c r="C60" s="59" t="str">
        <x:v>ไม่ทราบ</x:v>
      </x:c>
      <x:c r="D60" s="59" t="str">
        <x:v>ไม่ทราบ</x:v>
      </x:c>
      <x:c r="E60" s="59" t="str">
        <x:v>ไม่ทราบ</x:v>
      </x:c>
      <x:c r="F60" s="59" t="str">
        <x:v>ไม่ทราบ</x:v>
      </x:c>
      <x:c r="G60" s="59" t="str">
        <x:v>ไม่ทราบ</x:v>
      </x:c>
      <x:c r="H60" s="59" t="str">
        <x:v>N/A</x:v>
      </x:c>
      <x:c r="I60" s="59"/>
      <x:c r="J60" s="59" t="str">
        <x:v>ไม่ทราบ</x:v>
      </x:c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  <x:c r="AA60" s="8" t="str">
        <x:f>IF(C60="ไม่ทราบ","",SUMIFS($K$7:$Z$7,K60:Z60,"&lt;&gt;N/A"))</x:f>
      </x:c>
      <x:c r="AB60" s="8" t="str">
        <x:f>IF(AND(OR(AND(C60="จำหน่ายอาหาร",ISNUMBER(K60),L60="N/A"),AND(C60="ไม่จำหน่ายอาหาร",K60="N/A",ISNUMBER(L60)),AND(C60="มัสยิด",K60="N/A",L60="N/A",X60="N/A")),COUNT(K60:Z60)+COUNTIFS(K60:Z60,"N/A")=16),SUM(K60:Z60),"")</x:f>
      </x:c>
      <x:c r="AC60" s="62" t="str">
        <x:f>IF(OR(AB60="",AA60&lt;=0),"",ROUND(AB60/AA60*100,1))</x:f>
      </x:c>
      <x:c r="AD60" s="8" t="str">
        <x:f>IF(COUNTIFS(D60:H60,"ไม่ผ่าน")&gt;0,"ไม่ผ่าน",IF(COUNTIFS(D60:H60,"ไม่ทราบ")+COUNTBLANK(D60:H60)&gt;0,"รอยืนยัน","ผ่าน"))</x:f>
        <x:v>รอยืนยัน</x:v>
      </x:c>
      <x:c r="AE60" s="8" t="str">
        <x:f>IF(AF60="ใช่","ไม่ผ่านการคัดเลือก",IF(AND(AD60="ผ่าน",ISNUMBER(AC60),AC60&gt;=70),"พร้อมขาย",IF(OR(J60="ใช่",AND(ISNUMBER(AC60),AC60&gt;=50)),"พัฒนาเพื่อพร้อมขาย",IF(AND(ISNUMBER(AC60),AC60&lt;50,I60&gt;=1),"มีศักยภาพ แต่ต้องพัฒนามาตรฐาน","รอประเมิน"))))</x:f>
        <x:v>รอประเมิน</x:v>
      </x:c>
      <x:c r="AF60" s="59" t="str">
        <x:v>ไม่ทราบ</x:v>
      </x:c>
      <x:c r="AG60" s="8" t="str">
        <x:f>IF(AF60="ใช่","หัวหน้าทีมพิจารณาเหตุไม่ผ่าน",IF(OR(AA60&lt;=0,NOT(OR(AND(C60="จำหน่ายอาหาร",ISNUMBER(K60),L60="N/A"),AND(C60="ไม่จำหน่ายอาหาร",K60="N/A",ISNUMBER(L60)),AND(C60="มัสยิด",K60="N/A",L60="N/A",X60="N/A"))),AD60="รอยืนยัน",COUNT(K60:Z60)+COUNTIFS(K60:Z60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" s="59" t="str"/>
      <x:c r="AI60" s="61"/>
    </x:row>
    <x:row r="61" ht="60" customHeight="1">
      <x:c r="A61" s="2" t="str">
        <x:v>R26-019</x:v>
      </x:c>
      <x:c r="B61" s="8" t="str">
        <x:v>ไร่ชา 101 ดอยแม่สลอง</x:v>
      </x:c>
      <x:c r="C61" s="59" t="str">
        <x:v>ไม่ทราบ</x:v>
      </x:c>
      <x:c r="D61" s="59" t="str">
        <x:v>ไม่ทราบ</x:v>
      </x:c>
      <x:c r="E61" s="59" t="str">
        <x:v>ไม่ทราบ</x:v>
      </x:c>
      <x:c r="F61" s="59" t="str">
        <x:v>ไม่ทราบ</x:v>
      </x:c>
      <x:c r="G61" s="59" t="str">
        <x:v>ไม่ทราบ</x:v>
      </x:c>
      <x:c r="H61" s="59" t="str">
        <x:v>N/A</x:v>
      </x:c>
      <x:c r="I61" s="59"/>
      <x:c r="J61" s="59" t="str">
        <x:v>ไม่ทราบ</x:v>
      </x:c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  <x:c r="AA61" s="8" t="str">
        <x:f>IF(C61="ไม่ทราบ","",SUMIFS($K$7:$Z$7,K61:Z61,"&lt;&gt;N/A"))</x:f>
      </x:c>
      <x:c r="AB61" s="8" t="str">
        <x:f>IF(AND(OR(AND(C61="จำหน่ายอาหาร",ISNUMBER(K61),L61="N/A"),AND(C61="ไม่จำหน่ายอาหาร",K61="N/A",ISNUMBER(L61)),AND(C61="มัสยิด",K61="N/A",L61="N/A",X61="N/A")),COUNT(K61:Z61)+COUNTIFS(K61:Z61,"N/A")=16),SUM(K61:Z61),"")</x:f>
      </x:c>
      <x:c r="AC61" s="62" t="str">
        <x:f>IF(OR(AB61="",AA61&lt;=0),"",ROUND(AB61/AA61*100,1))</x:f>
      </x:c>
      <x:c r="AD61" s="8" t="str">
        <x:f>IF(COUNTIFS(D61:H61,"ไม่ผ่าน")&gt;0,"ไม่ผ่าน",IF(COUNTIFS(D61:H61,"ไม่ทราบ")+COUNTBLANK(D61:H61)&gt;0,"รอยืนยัน","ผ่าน"))</x:f>
        <x:v>รอยืนยัน</x:v>
      </x:c>
      <x:c r="AE61" s="8" t="str">
        <x:f>IF(AF61="ใช่","ไม่ผ่านการคัดเลือก",IF(AND(AD61="ผ่าน",ISNUMBER(AC61),AC61&gt;=70),"พร้อมขาย",IF(OR(J61="ใช่",AND(ISNUMBER(AC61),AC61&gt;=50)),"พัฒนาเพื่อพร้อมขาย",IF(AND(ISNUMBER(AC61),AC61&lt;50,I61&gt;=1),"มีศักยภาพ แต่ต้องพัฒนามาตรฐาน","รอประเมิน"))))</x:f>
        <x:v>รอประเมิน</x:v>
      </x:c>
      <x:c r="AF61" s="59" t="str">
        <x:v>ไม่ทราบ</x:v>
      </x:c>
      <x:c r="AG61" s="8" t="str">
        <x:f>IF(AF61="ใช่","หัวหน้าทีมพิจารณาเหตุไม่ผ่าน",IF(OR(AA61&lt;=0,NOT(OR(AND(C61="จำหน่ายอาหาร",ISNUMBER(K61),L61="N/A"),AND(C61="ไม่จำหน่ายอาหาร",K61="N/A",ISNUMBER(L61)),AND(C61="มัสยิด",K61="N/A",L61="N/A",X61="N/A"))),AD61="รอยืนยัน",COUNT(K61:Z61)+COUNTIFS(K61:Z61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1" s="59" t="str"/>
      <x:c r="AI61" s="61"/>
    </x:row>
    <x:row r="62" ht="60" customHeight="1">
      <x:c r="A62" s="2" t="str">
        <x:v>R26-020</x:v>
      </x:c>
      <x:c r="B62" s="8" t="str">
        <x:v>ไร่ชาวังพุดตาล</x:v>
      </x:c>
      <x:c r="C62" s="59" t="str">
        <x:v>ไม่ทราบ</x:v>
      </x:c>
      <x:c r="D62" s="59" t="str">
        <x:v>ไม่ทราบ</x:v>
      </x:c>
      <x:c r="E62" s="59" t="str">
        <x:v>ไม่ทราบ</x:v>
      </x:c>
      <x:c r="F62" s="59" t="str">
        <x:v>ไม่ทราบ</x:v>
      </x:c>
      <x:c r="G62" s="59" t="str">
        <x:v>ไม่ทราบ</x:v>
      </x:c>
      <x:c r="H62" s="59" t="str">
        <x:v>N/A</x:v>
      </x:c>
      <x:c r="I62" s="59"/>
      <x:c r="J62" s="59" t="str">
        <x:v>ไม่ทราบ</x:v>
      </x:c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  <x:c r="AA62" s="8" t="str">
        <x:f>IF(C62="ไม่ทราบ","",SUMIFS($K$7:$Z$7,K62:Z62,"&lt;&gt;N/A"))</x:f>
      </x:c>
      <x:c r="AB62" s="8" t="str">
        <x:f>IF(AND(OR(AND(C62="จำหน่ายอาหาร",ISNUMBER(K62),L62="N/A"),AND(C62="ไม่จำหน่ายอาหาร",K62="N/A",ISNUMBER(L62)),AND(C62="มัสยิด",K62="N/A",L62="N/A",X62="N/A")),COUNT(K62:Z62)+COUNTIFS(K62:Z62,"N/A")=16),SUM(K62:Z62),"")</x:f>
      </x:c>
      <x:c r="AC62" s="62" t="str">
        <x:f>IF(OR(AB62="",AA62&lt;=0),"",ROUND(AB62/AA62*100,1))</x:f>
      </x:c>
      <x:c r="AD62" s="8" t="str">
        <x:f>IF(COUNTIFS(D62:H62,"ไม่ผ่าน")&gt;0,"ไม่ผ่าน",IF(COUNTIFS(D62:H62,"ไม่ทราบ")+COUNTBLANK(D62:H62)&gt;0,"รอยืนยัน","ผ่าน"))</x:f>
        <x:v>รอยืนยัน</x:v>
      </x:c>
      <x:c r="AE62" s="8" t="str">
        <x:f>IF(AF62="ใช่","ไม่ผ่านการคัดเลือก",IF(AND(AD62="ผ่าน",ISNUMBER(AC62),AC62&gt;=70),"พร้อมขาย",IF(OR(J62="ใช่",AND(ISNUMBER(AC62),AC62&gt;=50)),"พัฒนาเพื่อพร้อมขาย",IF(AND(ISNUMBER(AC62),AC62&lt;50,I62&gt;=1),"มีศักยภาพ แต่ต้องพัฒนามาตรฐาน","รอประเมิน"))))</x:f>
        <x:v>รอประเมิน</x:v>
      </x:c>
      <x:c r="AF62" s="59" t="str">
        <x:v>ไม่ทราบ</x:v>
      </x:c>
      <x:c r="AG62" s="8" t="str">
        <x:f>IF(AF62="ใช่","หัวหน้าทีมพิจารณาเหตุไม่ผ่าน",IF(OR(AA62&lt;=0,NOT(OR(AND(C62="จำหน่ายอาหาร",ISNUMBER(K62),L62="N/A"),AND(C62="ไม่จำหน่ายอาหาร",K62="N/A",ISNUMBER(L62)),AND(C62="มัสยิด",K62="N/A",L62="N/A",X62="N/A"))),AD62="รอยืนยัน",COUNT(K62:Z62)+COUNTIFS(K62:Z62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2" s="59" t="str"/>
      <x:c r="AI62" s="61"/>
    </x:row>
    <x:row r="63" ht="60" customHeight="1">
      <x:c r="A63" s="2" t="str">
        <x:v>R26-362</x:v>
      </x:c>
      <x:c r="B63" s="8" t="str">
        <x:v>Nak Nakara Hotel Chiang Rai</x:v>
      </x:c>
      <x:c r="C63" s="59" t="str">
        <x:v>ไม่ทราบ</x:v>
      </x:c>
      <x:c r="D63" s="59" t="str">
        <x:v>ไม่ทราบ</x:v>
      </x:c>
      <x:c r="E63" s="59" t="str">
        <x:v>ไม่ทราบ</x:v>
      </x:c>
      <x:c r="F63" s="59" t="str">
        <x:v>ไม่ทราบ</x:v>
      </x:c>
      <x:c r="G63" s="59" t="str">
        <x:v>ไม่ทราบ</x:v>
      </x:c>
      <x:c r="H63" s="59" t="str">
        <x:v>ไม่ทราบ</x:v>
      </x:c>
      <x:c r="I63" s="59"/>
      <x:c r="J63" s="59" t="str">
        <x:v>ไม่ทราบ</x:v>
      </x:c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  <x:c r="AA63" s="8" t="str">
        <x:f>IF(C63="ไม่ทราบ","",SUMIFS($K$7:$Z$7,K63:Z63,"&lt;&gt;N/A"))</x:f>
      </x:c>
      <x:c r="AB63" s="8" t="str">
        <x:f>IF(AND(OR(AND(C63="จำหน่ายอาหาร",ISNUMBER(K63),L63="N/A"),AND(C63="ไม่จำหน่ายอาหาร",K63="N/A",ISNUMBER(L63)),AND(C63="มัสยิด",K63="N/A",L63="N/A",X63="N/A")),COUNT(K63:Z63)+COUNTIFS(K63:Z63,"N/A")=16),SUM(K63:Z63),"")</x:f>
      </x:c>
      <x:c r="AC63" s="62" t="str">
        <x:f>IF(OR(AB63="",AA63&lt;=0),"",ROUND(AB63/AA63*100,1))</x:f>
      </x:c>
      <x:c r="AD63" s="8" t="str">
        <x:f>IF(COUNTIFS(D63:H63,"ไม่ผ่าน")&gt;0,"ไม่ผ่าน",IF(COUNTIFS(D63:H63,"ไม่ทราบ")+COUNTBLANK(D63:H63)&gt;0,"รอยืนยัน","ผ่าน"))</x:f>
        <x:v>รอยืนยัน</x:v>
      </x:c>
      <x:c r="AE63" s="8" t="str">
        <x:f>IF(AF63="ใช่","ไม่ผ่านการคัดเลือก",IF(AND(AD63="ผ่าน",ISNUMBER(AC63),AC63&gt;=70),"พร้อมขาย",IF(OR(J63="ใช่",AND(ISNUMBER(AC63),AC63&gt;=50)),"พัฒนาเพื่อพร้อมขาย",IF(AND(ISNUMBER(AC63),AC63&lt;50,I63&gt;=1),"มีศักยภาพ แต่ต้องพัฒนามาตรฐาน","รอประเมิน"))))</x:f>
        <x:v>รอประเมิน</x:v>
      </x:c>
      <x:c r="AF63" s="59" t="str">
        <x:v>ไม่ทราบ</x:v>
      </x:c>
      <x:c r="AG63" s="8" t="str">
        <x:f>IF(AF63="ใช่","หัวหน้าทีมพิจารณาเหตุไม่ผ่าน",IF(OR(AA63&lt;=0,NOT(OR(AND(C63="จำหน่ายอาหาร",ISNUMBER(K63),L63="N/A"),AND(C63="ไม่จำหน่ายอาหาร",K63="N/A",ISNUMBER(L63)),AND(C63="มัสยิด",K63="N/A",L63="N/A",X63="N/A"))),AD63="รอยืนยัน",COUNT(K63:Z63)+COUNTIFS(K63:Z63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3" s="59" t="str"/>
      <x:c r="AI63" s="61"/>
    </x:row>
    <x:row r="64" ht="60" customHeight="1">
      <x:c r="A64" s="2" t="str">
        <x:v>R26-363</x:v>
      </x:c>
      <x:c r="B64" s="8" t="str">
        <x:v>Sann Hotel Chiang Rai</x:v>
      </x:c>
      <x:c r="C64" s="59" t="str">
        <x:v>ไม่ทราบ</x:v>
      </x:c>
      <x:c r="D64" s="59" t="str">
        <x:v>ไม่ทราบ</x:v>
      </x:c>
      <x:c r="E64" s="59" t="str">
        <x:v>ไม่ทราบ</x:v>
      </x:c>
      <x:c r="F64" s="59" t="str">
        <x:v>ไม่ทราบ</x:v>
      </x:c>
      <x:c r="G64" s="59" t="str">
        <x:v>ไม่ทราบ</x:v>
      </x:c>
      <x:c r="H64" s="59" t="str">
        <x:v>ไม่ทราบ</x:v>
      </x:c>
      <x:c r="I64" s="59"/>
      <x:c r="J64" s="59" t="str">
        <x:v>ไม่ทราบ</x:v>
      </x:c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  <x:c r="AA64" s="8" t="str">
        <x:f>IF(C64="ไม่ทราบ","",SUMIFS($K$7:$Z$7,K64:Z64,"&lt;&gt;N/A"))</x:f>
      </x:c>
      <x:c r="AB64" s="8" t="str">
        <x:f>IF(AND(OR(AND(C64="จำหน่ายอาหาร",ISNUMBER(K64),L64="N/A"),AND(C64="ไม่จำหน่ายอาหาร",K64="N/A",ISNUMBER(L64)),AND(C64="มัสยิด",K64="N/A",L64="N/A",X64="N/A")),COUNT(K64:Z64)+COUNTIFS(K64:Z64,"N/A")=16),SUM(K64:Z64),"")</x:f>
      </x:c>
      <x:c r="AC64" s="62" t="str">
        <x:f>IF(OR(AB64="",AA64&lt;=0),"",ROUND(AB64/AA64*100,1))</x:f>
      </x:c>
      <x:c r="AD64" s="8" t="str">
        <x:f>IF(COUNTIFS(D64:H64,"ไม่ผ่าน")&gt;0,"ไม่ผ่าน",IF(COUNTIFS(D64:H64,"ไม่ทราบ")+COUNTBLANK(D64:H64)&gt;0,"รอยืนยัน","ผ่าน"))</x:f>
        <x:v>รอยืนยัน</x:v>
      </x:c>
      <x:c r="AE64" s="8" t="str">
        <x:f>IF(AF64="ใช่","ไม่ผ่านการคัดเลือก",IF(AND(AD64="ผ่าน",ISNUMBER(AC64),AC64&gt;=70),"พร้อมขาย",IF(OR(J64="ใช่",AND(ISNUMBER(AC64),AC64&gt;=50)),"พัฒนาเพื่อพร้อมขาย",IF(AND(ISNUMBER(AC64),AC64&lt;50,I64&gt;=1),"มีศักยภาพ แต่ต้องพัฒนามาตรฐาน","รอประเมิน"))))</x:f>
        <x:v>รอประเมิน</x:v>
      </x:c>
      <x:c r="AF64" s="59" t="str">
        <x:v>ไม่ทราบ</x:v>
      </x:c>
      <x:c r="AG64" s="8" t="str">
        <x:f>IF(AF64="ใช่","หัวหน้าทีมพิจารณาเหตุไม่ผ่าน",IF(OR(AA64&lt;=0,NOT(OR(AND(C64="จำหน่ายอาหาร",ISNUMBER(K64),L64="N/A"),AND(C64="ไม่จำหน่ายอาหาร",K64="N/A",ISNUMBER(L64)),AND(C64="มัสยิด",K64="N/A",L64="N/A",X64="N/A"))),AD64="รอยืนยัน",COUNT(K64:Z64)+COUNTIFS(K64:Z64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4" s="59" t="str"/>
      <x:c r="AI64" s="61"/>
    </x:row>
    <x:row r="65" ht="60" customHeight="1">
      <x:c r="A65" s="2" t="str">
        <x:v>TMF-003</x:v>
      </x:c>
      <x:c r="B65" s="8" t="str">
        <x:v>นอร์ธผาฮี้</x:v>
      </x:c>
      <x:c r="C65" s="59" t="str">
        <x:v>ไม่ทราบ</x:v>
      </x:c>
      <x:c r="D65" s="59" t="str">
        <x:v>ไม่ทราบ</x:v>
      </x:c>
      <x:c r="E65" s="59" t="str">
        <x:v>ไม่ทราบ</x:v>
      </x:c>
      <x:c r="F65" s="59" t="str">
        <x:v>ไม่ทราบ</x:v>
      </x:c>
      <x:c r="G65" s="59" t="str">
        <x:v>ไม่ทราบ</x:v>
      </x:c>
      <x:c r="H65" s="59" t="str">
        <x:v>ไม่ทราบ</x:v>
      </x:c>
      <x:c r="I65" s="59"/>
      <x:c r="J65" s="59" t="str">
        <x:v>ไม่ทราบ</x:v>
      </x:c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  <x:c r="AA65" s="8" t="str">
        <x:f>IF(C65="ไม่ทราบ","",SUMIFS($K$7:$Z$7,K65:Z65,"&lt;&gt;N/A"))</x:f>
      </x:c>
      <x:c r="AB65" s="8" t="str">
        <x:f>IF(AND(OR(AND(C65="จำหน่ายอาหาร",ISNUMBER(K65),L65="N/A"),AND(C65="ไม่จำหน่ายอาหาร",K65="N/A",ISNUMBER(L65)),AND(C65="มัสยิด",K65="N/A",L65="N/A",X65="N/A")),COUNT(K65:Z65)+COUNTIFS(K65:Z65,"N/A")=16),SUM(K65:Z65),"")</x:f>
      </x:c>
      <x:c r="AC65" s="62" t="str">
        <x:f>IF(OR(AB65="",AA65&lt;=0),"",ROUND(AB65/AA65*100,1))</x:f>
      </x:c>
      <x:c r="AD65" s="8" t="str">
        <x:f>IF(COUNTIFS(D65:H65,"ไม่ผ่าน")&gt;0,"ไม่ผ่าน",IF(COUNTIFS(D65:H65,"ไม่ทราบ")+COUNTBLANK(D65:H65)&gt;0,"รอยืนยัน","ผ่าน"))</x:f>
        <x:v>รอยืนยัน</x:v>
      </x:c>
      <x:c r="AE65" s="8" t="str">
        <x:f>IF(AF65="ใช่","ไม่ผ่านการคัดเลือก",IF(AND(AD65="ผ่าน",ISNUMBER(AC65),AC65&gt;=70),"พร้อมขาย",IF(OR(J65="ใช่",AND(ISNUMBER(AC65),AC65&gt;=50)),"พัฒนาเพื่อพร้อมขาย",IF(AND(ISNUMBER(AC65),AC65&lt;50,I65&gt;=1),"มีศักยภาพ แต่ต้องพัฒนามาตรฐาน","รอประเมิน"))))</x:f>
        <x:v>รอประเมิน</x:v>
      </x:c>
      <x:c r="AF65" s="59" t="str">
        <x:v>ไม่ทราบ</x:v>
      </x:c>
      <x:c r="AG65" s="8" t="str">
        <x:f>IF(AF65="ใช่","หัวหน้าทีมพิจารณาเหตุไม่ผ่าน",IF(OR(AA65&lt;=0,NOT(OR(AND(C65="จำหน่ายอาหาร",ISNUMBER(K65),L65="N/A"),AND(C65="ไม่จำหน่ายอาหาร",K65="N/A",ISNUMBER(L65)),AND(C65="มัสยิด",K65="N/A",L65="N/A",X65="N/A"))),AD65="รอยืนยัน",COUNT(K65:Z65)+COUNTIFS(K65:Z65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5" s="59" t="str"/>
      <x:c r="AI65" s="61"/>
    </x:row>
    <x:row r="66" ht="60" customHeight="1">
      <x:c r="A66" s="2" t="str">
        <x:v>TMF-001</x:v>
      </x:c>
      <x:c r="B66" s="8" t="str">
        <x:v>บ้านหนาวดาวเดือนรีสอร์ท</x:v>
      </x:c>
      <x:c r="C66" s="59" t="str">
        <x:v>ไม่ทราบ</x:v>
      </x:c>
      <x:c r="D66" s="59" t="str">
        <x:v>ไม่ทราบ</x:v>
      </x:c>
      <x:c r="E66" s="59" t="str">
        <x:v>ไม่ทราบ</x:v>
      </x:c>
      <x:c r="F66" s="59" t="str">
        <x:v>ไม่ทราบ</x:v>
      </x:c>
      <x:c r="G66" s="59" t="str">
        <x:v>ไม่ทราบ</x:v>
      </x:c>
      <x:c r="H66" s="59" t="str">
        <x:v>ไม่ทราบ</x:v>
      </x:c>
      <x:c r="I66" s="59"/>
      <x:c r="J66" s="59" t="str">
        <x:v>ไม่ทราบ</x:v>
      </x:c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  <x:c r="AA66" s="8" t="str">
        <x:f>IF(C66="ไม่ทราบ","",SUMIFS($K$7:$Z$7,K66:Z66,"&lt;&gt;N/A"))</x:f>
      </x:c>
      <x:c r="AB66" s="8" t="str">
        <x:f>IF(AND(OR(AND(C66="จำหน่ายอาหาร",ISNUMBER(K66),L66="N/A"),AND(C66="ไม่จำหน่ายอาหาร",K66="N/A",ISNUMBER(L66)),AND(C66="มัสยิด",K66="N/A",L66="N/A",X66="N/A")),COUNT(K66:Z66)+COUNTIFS(K66:Z66,"N/A")=16),SUM(K66:Z66),"")</x:f>
      </x:c>
      <x:c r="AC66" s="62" t="str">
        <x:f>IF(OR(AB66="",AA66&lt;=0),"",ROUND(AB66/AA66*100,1))</x:f>
      </x:c>
      <x:c r="AD66" s="8" t="str">
        <x:f>IF(COUNTIFS(D66:H66,"ไม่ผ่าน")&gt;0,"ไม่ผ่าน",IF(COUNTIFS(D66:H66,"ไม่ทราบ")+COUNTBLANK(D66:H66)&gt;0,"รอยืนยัน","ผ่าน"))</x:f>
        <x:v>รอยืนยัน</x:v>
      </x:c>
      <x:c r="AE66" s="8" t="str">
        <x:f>IF(AF66="ใช่","ไม่ผ่านการคัดเลือก",IF(AND(AD66="ผ่าน",ISNUMBER(AC66),AC66&gt;=70),"พร้อมขาย",IF(OR(J66="ใช่",AND(ISNUMBER(AC66),AC66&gt;=50)),"พัฒนาเพื่อพร้อมขาย",IF(AND(ISNUMBER(AC66),AC66&lt;50,I66&gt;=1),"มีศักยภาพ แต่ต้องพัฒนามาตรฐาน","รอประเมิน"))))</x:f>
        <x:v>รอประเมิน</x:v>
      </x:c>
      <x:c r="AF66" s="59" t="str">
        <x:v>ไม่ทราบ</x:v>
      </x:c>
      <x:c r="AG66" s="8" t="str">
        <x:f>IF(AF66="ใช่","หัวหน้าทีมพิจารณาเหตุไม่ผ่าน",IF(OR(AA66&lt;=0,NOT(OR(AND(C66="จำหน่ายอาหาร",ISNUMBER(K66),L66="N/A"),AND(C66="ไม่จำหน่ายอาหาร",K66="N/A",ISNUMBER(L66)),AND(C66="มัสยิด",K66="N/A",L66="N/A",X66="N/A"))),AD66="รอยืนยัน",COUNT(K66:Z66)+COUNTIFS(K66:Z66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6" s="59" t="str"/>
      <x:c r="AI66" s="61"/>
    </x:row>
    <x:row r="67" ht="60" customHeight="1">
      <x:c r="A67" s="2" t="str">
        <x:v>TMF-002</x:v>
      </x:c>
      <x:c r="B67" s="8" t="str">
        <x:v>Sareeneen food &amp; Sweet</x:v>
      </x:c>
      <x:c r="C67" s="59" t="str">
        <x:v>จำหน่ายอาหาร</x:v>
      </x:c>
      <x:c r="D67" s="59" t="str">
        <x:v>ไม่ทราบ</x:v>
      </x:c>
      <x:c r="E67" s="59" t="str">
        <x:v>ไม่ทราบ</x:v>
      </x:c>
      <x:c r="F67" s="59" t="str">
        <x:v>ไม่ทราบ</x:v>
      </x:c>
      <x:c r="G67" s="59" t="str">
        <x:v>ไม่ทราบ</x:v>
      </x:c>
      <x:c r="H67" s="59" t="str">
        <x:v>N/A</x:v>
      </x:c>
      <x:c r="I67" s="59"/>
      <x:c r="J67" s="59" t="str">
        <x:v>ไม่ทราบ</x:v>
      </x:c>
      <x:c r="K67" s="59"/>
      <x:c r="L67" s="59" t="str">
        <x:v>N/A</x:v>
      </x:c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  <x:c r="AA67" s="8" t="n">
        <x:f>IF(C67="ไม่ทราบ","",SUMIFS($K$7:$Z$7,K67:Z67,"&lt;&gt;N/A"))</x:f>
        <x:v>100</x:v>
      </x:c>
      <x:c r="AB67" s="8" t="str">
        <x:f>IF(AND(OR(AND(C67="จำหน่ายอาหาร",ISNUMBER(K67),L67="N/A"),AND(C67="ไม่จำหน่ายอาหาร",K67="N/A",ISNUMBER(L67)),AND(C67="มัสยิด",K67="N/A",L67="N/A",X67="N/A")),COUNT(K67:Z67)+COUNTIFS(K67:Z67,"N/A")=16),SUM(K67:Z67),"")</x:f>
      </x:c>
      <x:c r="AC67" s="62" t="str">
        <x:f>IF(OR(AB67="",AA67&lt;=0),"",ROUND(AB67/AA67*100,1))</x:f>
      </x:c>
      <x:c r="AD67" s="8" t="str">
        <x:f>IF(COUNTIFS(D67:H67,"ไม่ผ่าน")&gt;0,"ไม่ผ่าน",IF(COUNTIFS(D67:H67,"ไม่ทราบ")+COUNTBLANK(D67:H67)&gt;0,"รอยืนยัน","ผ่าน"))</x:f>
        <x:v>รอยืนยัน</x:v>
      </x:c>
      <x:c r="AE67" s="8" t="str">
        <x:f>IF(AF67="ใช่","ไม่ผ่านการคัดเลือก",IF(AND(AD67="ผ่าน",ISNUMBER(AC67),AC67&gt;=70),"พร้อมขาย",IF(OR(J67="ใช่",AND(ISNUMBER(AC67),AC67&gt;=50)),"พัฒนาเพื่อพร้อมขาย",IF(AND(ISNUMBER(AC67),AC67&lt;50,I67&gt;=1),"มีศักยภาพ แต่ต้องพัฒนามาตรฐาน","รอประเมิน"))))</x:f>
        <x:v>รอประเมิน</x:v>
      </x:c>
      <x:c r="AF67" s="59" t="str">
        <x:v>ไม่ทราบ</x:v>
      </x:c>
      <x:c r="AG67" s="8" t="str">
        <x:f>IF(AF67="ใช่","หัวหน้าทีมพิจารณาเหตุไม่ผ่าน",IF(OR(AA67&lt;=0,NOT(OR(AND(C67="จำหน่ายอาหาร",ISNUMBER(K67),L67="N/A"),AND(C67="ไม่จำหน่ายอาหาร",K67="N/A",ISNUMBER(L67)),AND(C67="มัสยิด",K67="N/A",L67="N/A",X67="N/A"))),AD67="รอยืนยัน",COUNT(K67:Z67)+COUNTIFS(K67:Z67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7" s="59" t="str"/>
      <x:c r="AI67" s="61"/>
    </x:row>
    <x:row r="68" ht="60" customHeight="1">
      <x:c r="A68" s="2" t="str">
        <x:v>TMF-414</x:v>
      </x:c>
      <x:c r="B68" s="8" t="str">
        <x:v>ซัลมานเคบับ</x:v>
      </x:c>
      <x:c r="C68" s="59" t="str">
        <x:v>จำหน่ายอาหาร</x:v>
      </x:c>
      <x:c r="D68" s="59" t="str">
        <x:v>ไม่ทราบ</x:v>
      </x:c>
      <x:c r="E68" s="59" t="str">
        <x:v>ไม่ทราบ</x:v>
      </x:c>
      <x:c r="F68" s="59" t="str">
        <x:v>ไม่ทราบ</x:v>
      </x:c>
      <x:c r="G68" s="59" t="str">
        <x:v>ไม่ทราบ</x:v>
      </x:c>
      <x:c r="H68" s="59" t="str">
        <x:v>N/A</x:v>
      </x:c>
      <x:c r="I68" s="59"/>
      <x:c r="J68" s="59" t="str">
        <x:v>ไม่ทราบ</x:v>
      </x:c>
      <x:c r="K68" s="59"/>
      <x:c r="L68" s="59" t="str">
        <x:v>N/A</x:v>
      </x:c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  <x:c r="AA68" s="8" t="n">
        <x:f>IF(C68="ไม่ทราบ","",SUMIFS($K$7:$Z$7,K68:Z68,"&lt;&gt;N/A"))</x:f>
        <x:v>100</x:v>
      </x:c>
      <x:c r="AB68" s="8" t="str">
        <x:f>IF(AND(OR(AND(C68="จำหน่ายอาหาร",ISNUMBER(K68),L68="N/A"),AND(C68="ไม่จำหน่ายอาหาร",K68="N/A",ISNUMBER(L68)),AND(C68="มัสยิด",K68="N/A",L68="N/A",X68="N/A")),COUNT(K68:Z68)+COUNTIFS(K68:Z68,"N/A")=16),SUM(K68:Z68),"")</x:f>
      </x:c>
      <x:c r="AC68" s="62" t="str">
        <x:f>IF(OR(AB68="",AA68&lt;=0),"",ROUND(AB68/AA68*100,1))</x:f>
      </x:c>
      <x:c r="AD68" s="8" t="str">
        <x:f>IF(COUNTIFS(D68:H68,"ไม่ผ่าน")&gt;0,"ไม่ผ่าน",IF(COUNTIFS(D68:H68,"ไม่ทราบ")+COUNTBLANK(D68:H68)&gt;0,"รอยืนยัน","ผ่าน"))</x:f>
        <x:v>รอยืนยัน</x:v>
      </x:c>
      <x:c r="AE68" s="8" t="str">
        <x:f>IF(AF68="ใช่","ไม่ผ่านการคัดเลือก",IF(AND(AD68="ผ่าน",ISNUMBER(AC68),AC68&gt;=70),"พร้อมขาย",IF(OR(J68="ใช่",AND(ISNUMBER(AC68),AC68&gt;=50)),"พัฒนาเพื่อพร้อมขาย",IF(AND(ISNUMBER(AC68),AC68&lt;50,I68&gt;=1),"มีศักยภาพ แต่ต้องพัฒนามาตรฐาน","รอประเมิน"))))</x:f>
        <x:v>รอประเมิน</x:v>
      </x:c>
      <x:c r="AF68" s="59" t="str">
        <x:v>ไม่ทราบ</x:v>
      </x:c>
      <x:c r="AG68" s="8" t="str">
        <x:f>IF(AF68="ใช่","หัวหน้าทีมพิจารณาเหตุไม่ผ่าน",IF(OR(AA68&lt;=0,NOT(OR(AND(C68="จำหน่ายอาหาร",ISNUMBER(K68),L68="N/A"),AND(C68="ไม่จำหน่ายอาหาร",K68="N/A",ISNUMBER(L68)),AND(C68="มัสยิด",K68="N/A",L68="N/A",X68="N/A"))),AD68="รอยืนยัน",COUNT(K68:Z68)+COUNTIFS(K68:Z68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8" s="59" t="str"/>
      <x:c r="AI68" s="61"/>
    </x:row>
    <x:row r="69" ht="60" customHeight="1">
      <x:c r="A69" s="2" t="str">
        <x:v>TMF-004</x:v>
      </x:c>
      <x:c r="B69" s="8" t="str">
        <x:v>อาหาร ซากีน่า อาหารเหนือ+อิสลาม</x:v>
      </x:c>
      <x:c r="C69" s="59" t="str">
        <x:v>จำหน่ายอาหาร</x:v>
      </x:c>
      <x:c r="D69" s="59" t="str">
        <x:v>ไม่ทราบ</x:v>
      </x:c>
      <x:c r="E69" s="59" t="str">
        <x:v>ไม่ทราบ</x:v>
      </x:c>
      <x:c r="F69" s="59" t="str">
        <x:v>ไม่ทราบ</x:v>
      </x:c>
      <x:c r="G69" s="59" t="str">
        <x:v>ไม่ทราบ</x:v>
      </x:c>
      <x:c r="H69" s="59" t="str">
        <x:v>N/A</x:v>
      </x:c>
      <x:c r="I69" s="59"/>
      <x:c r="J69" s="59" t="str">
        <x:v>ไม่ทราบ</x:v>
      </x:c>
      <x:c r="K69" s="59"/>
      <x:c r="L69" s="59" t="str">
        <x:v>N/A</x:v>
      </x:c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  <x:c r="AA69" s="8" t="n">
        <x:f>IF(C69="ไม่ทราบ","",SUMIFS($K$7:$Z$7,K69:Z69,"&lt;&gt;N/A"))</x:f>
        <x:v>100</x:v>
      </x:c>
      <x:c r="AB69" s="8" t="str">
        <x:f>IF(AND(OR(AND(C69="จำหน่ายอาหาร",ISNUMBER(K69),L69="N/A"),AND(C69="ไม่จำหน่ายอาหาร",K69="N/A",ISNUMBER(L69)),AND(C69="มัสยิด",K69="N/A",L69="N/A",X69="N/A")),COUNT(K69:Z69)+COUNTIFS(K69:Z69,"N/A")=16),SUM(K69:Z69),"")</x:f>
      </x:c>
      <x:c r="AC69" s="62" t="str">
        <x:f>IF(OR(AB69="",AA69&lt;=0),"",ROUND(AB69/AA69*100,1))</x:f>
      </x:c>
      <x:c r="AD69" s="8" t="str">
        <x:f>IF(COUNTIFS(D69:H69,"ไม่ผ่าน")&gt;0,"ไม่ผ่าน",IF(COUNTIFS(D69:H69,"ไม่ทราบ")+COUNTBLANK(D69:H69)&gt;0,"รอยืนยัน","ผ่าน"))</x:f>
        <x:v>รอยืนยัน</x:v>
      </x:c>
      <x:c r="AE69" s="8" t="str">
        <x:f>IF(AF69="ใช่","ไม่ผ่านการคัดเลือก",IF(AND(AD69="ผ่าน",ISNUMBER(AC69),AC69&gt;=70),"พร้อมขาย",IF(OR(J69="ใช่",AND(ISNUMBER(AC69),AC69&gt;=50)),"พัฒนาเพื่อพร้อมขาย",IF(AND(ISNUMBER(AC69),AC69&lt;50,I69&gt;=1),"มีศักยภาพ แต่ต้องพัฒนามาตรฐาน","รอประเมิน"))))</x:f>
        <x:v>รอประเมิน</x:v>
      </x:c>
      <x:c r="AF69" s="59" t="str">
        <x:v>ไม่ทราบ</x:v>
      </x:c>
      <x:c r="AG69" s="8" t="str">
        <x:f>IF(AF69="ใช่","หัวหน้าทีมพิจารณาเหตุไม่ผ่าน",IF(OR(AA69&lt;=0,NOT(OR(AND(C69="จำหน่ายอาหาร",ISNUMBER(K69),L69="N/A"),AND(C69="ไม่จำหน่ายอาหาร",K69="N/A",ISNUMBER(L69)),AND(C69="มัสยิด",K69="N/A",L69="N/A",X69="N/A"))),AD69="รอยืนยัน",COUNT(K69:Z69)+COUNTIFS(K69:Z69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9" s="59" t="str"/>
      <x:c r="AI69" s="61"/>
    </x:row>
    <x:row r="70" ht="60" customHeight="1">
      <x:c r="A70" s="2" t="str">
        <x:v>TMF-417</x:v>
      </x:c>
      <x:c r="B70" s="8" t="str">
        <x:v>โรตีซัลมา</x:v>
      </x:c>
      <x:c r="C70" s="59" t="str">
        <x:v>จำหน่ายอาหาร</x:v>
      </x:c>
      <x:c r="D70" s="59" t="str">
        <x:v>ไม่ทราบ</x:v>
      </x:c>
      <x:c r="E70" s="59" t="str">
        <x:v>ไม่ทราบ</x:v>
      </x:c>
      <x:c r="F70" s="59" t="str">
        <x:v>ไม่ทราบ</x:v>
      </x:c>
      <x:c r="G70" s="59" t="str">
        <x:v>ไม่ทราบ</x:v>
      </x:c>
      <x:c r="H70" s="59" t="str">
        <x:v>N/A</x:v>
      </x:c>
      <x:c r="I70" s="59"/>
      <x:c r="J70" s="59" t="str">
        <x:v>ไม่ทราบ</x:v>
      </x:c>
      <x:c r="K70" s="59"/>
      <x:c r="L70" s="59" t="str">
        <x:v>N/A</x:v>
      </x:c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  <x:c r="AA70" s="8" t="n">
        <x:f>IF(C70="ไม่ทราบ","",SUMIFS($K$7:$Z$7,K70:Z70,"&lt;&gt;N/A"))</x:f>
        <x:v>100</x:v>
      </x:c>
      <x:c r="AB70" s="8" t="str">
        <x:f>IF(AND(OR(AND(C70="จำหน่ายอาหาร",ISNUMBER(K70),L70="N/A"),AND(C70="ไม่จำหน่ายอาหาร",K70="N/A",ISNUMBER(L70)),AND(C70="มัสยิด",K70="N/A",L70="N/A",X70="N/A")),COUNT(K70:Z70)+COUNTIFS(K70:Z70,"N/A")=16),SUM(K70:Z70),"")</x:f>
      </x:c>
      <x:c r="AC70" s="62" t="str">
        <x:f>IF(OR(AB70="",AA70&lt;=0),"",ROUND(AB70/AA70*100,1))</x:f>
      </x:c>
      <x:c r="AD70" s="8" t="str">
        <x:f>IF(COUNTIFS(D70:H70,"ไม่ผ่าน")&gt;0,"ไม่ผ่าน",IF(COUNTIFS(D70:H70,"ไม่ทราบ")+COUNTBLANK(D70:H70)&gt;0,"รอยืนยัน","ผ่าน"))</x:f>
        <x:v>รอยืนยัน</x:v>
      </x:c>
      <x:c r="AE70" s="8" t="str">
        <x:f>IF(AF70="ใช่","ไม่ผ่านการคัดเลือก",IF(AND(AD70="ผ่าน",ISNUMBER(AC70),AC70&gt;=70),"พร้อมขาย",IF(OR(J70="ใช่",AND(ISNUMBER(AC70),AC70&gt;=50)),"พัฒนาเพื่อพร้อมขาย",IF(AND(ISNUMBER(AC70),AC70&lt;50,I70&gt;=1),"มีศักยภาพ แต่ต้องพัฒนามาตรฐาน","รอประเมิน"))))</x:f>
        <x:v>รอประเมิน</x:v>
      </x:c>
      <x:c r="AF70" s="59" t="str">
        <x:v>ไม่ทราบ</x:v>
      </x:c>
      <x:c r="AG70" s="8" t="str">
        <x:f>IF(AF70="ใช่","หัวหน้าทีมพิจารณาเหตุไม่ผ่าน",IF(OR(AA70&lt;=0,NOT(OR(AND(C70="จำหน่ายอาหาร",ISNUMBER(K70),L70="N/A"),AND(C70="ไม่จำหน่ายอาหาร",K70="N/A",ISNUMBER(L70)),AND(C70="มัสยิด",K70="N/A",L70="N/A",X70="N/A"))),AD70="รอยืนยัน",COUNT(K70:Z70)+COUNTIFS(K70:Z70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0" s="59" t="str"/>
      <x:c r="AI70" s="61"/>
    </x:row>
    <x:row r="71" ht="60" customHeight="1">
      <x:c r="A71" s="2" t="str">
        <x:v>R26-279</x:v>
      </x:c>
      <x:c r="B71" s="8" t="str">
        <x:v>Anantara Spa Golden Triangle</x:v>
      </x:c>
      <x:c r="C71" s="59" t="str">
        <x:v>ไม่ทราบ</x:v>
      </x:c>
      <x:c r="D71" s="59" t="str">
        <x:v>ไม่ทราบ</x:v>
      </x:c>
      <x:c r="E71" s="59" t="str">
        <x:v>ไม่ทราบ</x:v>
      </x:c>
      <x:c r="F71" s="59" t="str">
        <x:v>ไม่ทราบ</x:v>
      </x:c>
      <x:c r="G71" s="59" t="str">
        <x:v>ไม่ทราบ</x:v>
      </x:c>
      <x:c r="H71" s="59" t="str">
        <x:v>N/A</x:v>
      </x:c>
      <x:c r="I71" s="59"/>
      <x:c r="J71" s="59" t="str">
        <x:v>ไม่ทราบ</x:v>
      </x:c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  <x:c r="AA71" s="8" t="str">
        <x:f>IF(C71="ไม่ทราบ","",SUMIFS($K$7:$Z$7,K71:Z71,"&lt;&gt;N/A"))</x:f>
      </x:c>
      <x:c r="AB71" s="8" t="str">
        <x:f>IF(AND(OR(AND(C71="จำหน่ายอาหาร",ISNUMBER(K71),L71="N/A"),AND(C71="ไม่จำหน่ายอาหาร",K71="N/A",ISNUMBER(L71)),AND(C71="มัสยิด",K71="N/A",L71="N/A",X71="N/A")),COUNT(K71:Z71)+COUNTIFS(K71:Z71,"N/A")=16),SUM(K71:Z71),"")</x:f>
      </x:c>
      <x:c r="AC71" s="62" t="str">
        <x:f>IF(OR(AB71="",AA71&lt;=0),"",ROUND(AB71/AA71*100,1))</x:f>
      </x:c>
      <x:c r="AD71" s="8" t="str">
        <x:f>IF(COUNTIFS(D71:H71,"ไม่ผ่าน")&gt;0,"ไม่ผ่าน",IF(COUNTIFS(D71:H71,"ไม่ทราบ")+COUNTBLANK(D71:H71)&gt;0,"รอยืนยัน","ผ่าน"))</x:f>
        <x:v>รอยืนยัน</x:v>
      </x:c>
      <x:c r="AE71" s="8" t="str">
        <x:f>IF(AF71="ใช่","ไม่ผ่านการคัดเลือก",IF(AND(AD71="ผ่าน",ISNUMBER(AC71),AC71&gt;=70),"พร้อมขาย",IF(OR(J71="ใช่",AND(ISNUMBER(AC71),AC71&gt;=50)),"พัฒนาเพื่อพร้อมขาย",IF(AND(ISNUMBER(AC71),AC71&lt;50,I71&gt;=1),"มีศักยภาพ แต่ต้องพัฒนามาตรฐาน","รอประเมิน"))))</x:f>
        <x:v>รอประเมิน</x:v>
      </x:c>
      <x:c r="AF71" s="59" t="str">
        <x:v>ไม่ทราบ</x:v>
      </x:c>
      <x:c r="AG71" s="8" t="str">
        <x:f>IF(AF71="ใช่","หัวหน้าทีมพิจารณาเหตุไม่ผ่าน",IF(OR(AA71&lt;=0,NOT(OR(AND(C71="จำหน่ายอาหาร",ISNUMBER(K71),L71="N/A"),AND(C71="ไม่จำหน่ายอาหาร",K71="N/A",ISNUMBER(L71)),AND(C71="มัสยิด",K71="N/A",L71="N/A",X71="N/A"))),AD71="รอยืนยัน",COUNT(K71:Z71)+COUNTIFS(K71:Z71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1" s="59" t="str"/>
      <x:c r="AI71" s="61"/>
    </x:row>
    <x:row r="72" ht="60" customHeight="1">
      <x:c r="A72" s="2" t="str">
        <x:v>R26-258</x:v>
      </x:c>
      <x:c r="B72" s="8" t="str">
        <x:v>Central Chiangrai</x:v>
      </x:c>
      <x:c r="C72" s="59" t="str">
        <x:v>ไม่ทราบ</x:v>
      </x:c>
      <x:c r="D72" s="59" t="str">
        <x:v>ไม่ทราบ</x:v>
      </x:c>
      <x:c r="E72" s="59" t="str">
        <x:v>ไม่ทราบ</x:v>
      </x:c>
      <x:c r="F72" s="59" t="str">
        <x:v>ไม่ทราบ</x:v>
      </x:c>
      <x:c r="G72" s="59" t="str">
        <x:v>ไม่ทราบ</x:v>
      </x:c>
      <x:c r="H72" s="59" t="str">
        <x:v>N/A</x:v>
      </x:c>
      <x:c r="I72" s="59"/>
      <x:c r="J72" s="59" t="str">
        <x:v>ไม่ทราบ</x:v>
      </x:c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  <x:c r="AA72" s="8" t="str">
        <x:f>IF(C72="ไม่ทราบ","",SUMIFS($K$7:$Z$7,K72:Z72,"&lt;&gt;N/A"))</x:f>
      </x:c>
      <x:c r="AB72" s="8" t="str">
        <x:f>IF(AND(OR(AND(C72="จำหน่ายอาหาร",ISNUMBER(K72),L72="N/A"),AND(C72="ไม่จำหน่ายอาหาร",K72="N/A",ISNUMBER(L72)),AND(C72="มัสยิด",K72="N/A",L72="N/A",X72="N/A")),COUNT(K72:Z72)+COUNTIFS(K72:Z72,"N/A")=16),SUM(K72:Z72),"")</x:f>
      </x:c>
      <x:c r="AC72" s="62" t="str">
        <x:f>IF(OR(AB72="",AA72&lt;=0),"",ROUND(AB72/AA72*100,1))</x:f>
      </x:c>
      <x:c r="AD72" s="8" t="str">
        <x:f>IF(COUNTIFS(D72:H72,"ไม่ผ่าน")&gt;0,"ไม่ผ่าน",IF(COUNTIFS(D72:H72,"ไม่ทราบ")+COUNTBLANK(D72:H72)&gt;0,"รอยืนยัน","ผ่าน"))</x:f>
        <x:v>รอยืนยัน</x:v>
      </x:c>
      <x:c r="AE72" s="8" t="str">
        <x:f>IF(AF72="ใช่","ไม่ผ่านการคัดเลือก",IF(AND(AD72="ผ่าน",ISNUMBER(AC72),AC72&gt;=70),"พร้อมขาย",IF(OR(J72="ใช่",AND(ISNUMBER(AC72),AC72&gt;=50)),"พัฒนาเพื่อพร้อมขาย",IF(AND(ISNUMBER(AC72),AC72&lt;50,I72&gt;=1),"มีศักยภาพ แต่ต้องพัฒนามาตรฐาน","รอประเมิน"))))</x:f>
        <x:v>รอประเมิน</x:v>
      </x:c>
      <x:c r="AF72" s="59" t="str">
        <x:v>ไม่ทราบ</x:v>
      </x:c>
      <x:c r="AG72" s="8" t="str">
        <x:f>IF(AF72="ใช่","หัวหน้าทีมพิจารณาเหตุไม่ผ่าน",IF(OR(AA72&lt;=0,NOT(OR(AND(C72="จำหน่ายอาหาร",ISNUMBER(K72),L72="N/A"),AND(C72="ไม่จำหน่ายอาหาร",K72="N/A",ISNUMBER(L72)),AND(C72="มัสยิด",K72="N/A",L72="N/A",X72="N/A"))),AD72="รอยืนยัน",COUNT(K72:Z72)+COUNTIFS(K72:Z72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2" s="59" t="str"/>
      <x:c r="AI72" s="61"/>
    </x:row>
    <x:row r="73" ht="60" customHeight="1">
      <x:c r="A73" s="2" t="str">
        <x:v>R26-112</x:v>
      </x:c>
      <x:c r="B73" s="8" t="str">
        <x:v>ดอยตุง สวนรุกขชาติแม่ฟ้าหลวง</x:v>
      </x:c>
      <x:c r="C73" s="59" t="str">
        <x:v>ไม่ทราบ</x:v>
      </x:c>
      <x:c r="D73" s="59" t="str">
        <x:v>ไม่ทราบ</x:v>
      </x:c>
      <x:c r="E73" s="59" t="str">
        <x:v>ไม่ทราบ</x:v>
      </x:c>
      <x:c r="F73" s="59" t="str">
        <x:v>ไม่ทราบ</x:v>
      </x:c>
      <x:c r="G73" s="59" t="str">
        <x:v>ไม่ทราบ</x:v>
      </x:c>
      <x:c r="H73" s="59" t="str">
        <x:v>N/A</x:v>
      </x:c>
      <x:c r="I73" s="59"/>
      <x:c r="J73" s="59" t="str">
        <x:v>ไม่ทราบ</x:v>
      </x:c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  <x:c r="AA73" s="8" t="str">
        <x:f>IF(C73="ไม่ทราบ","",SUMIFS($K$7:$Z$7,K73:Z73,"&lt;&gt;N/A"))</x:f>
      </x:c>
      <x:c r="AB73" s="8" t="str">
        <x:f>IF(AND(OR(AND(C73="จำหน่ายอาหาร",ISNUMBER(K73),L73="N/A"),AND(C73="ไม่จำหน่ายอาหาร",K73="N/A",ISNUMBER(L73)),AND(C73="มัสยิด",K73="N/A",L73="N/A",X73="N/A")),COUNT(K73:Z73)+COUNTIFS(K73:Z73,"N/A")=16),SUM(K73:Z73),"")</x:f>
      </x:c>
      <x:c r="AC73" s="62" t="str">
        <x:f>IF(OR(AB73="",AA73&lt;=0),"",ROUND(AB73/AA73*100,1))</x:f>
      </x:c>
      <x:c r="AD73" s="8" t="str">
        <x:f>IF(COUNTIFS(D73:H73,"ไม่ผ่าน")&gt;0,"ไม่ผ่าน",IF(COUNTIFS(D73:H73,"ไม่ทราบ")+COUNTBLANK(D73:H73)&gt;0,"รอยืนยัน","ผ่าน"))</x:f>
        <x:v>รอยืนยัน</x:v>
      </x:c>
      <x:c r="AE73" s="8" t="str">
        <x:f>IF(AF73="ใช่","ไม่ผ่านการคัดเลือก",IF(AND(AD73="ผ่าน",ISNUMBER(AC73),AC73&gt;=70),"พร้อมขาย",IF(OR(J73="ใช่",AND(ISNUMBER(AC73),AC73&gt;=50)),"พัฒนาเพื่อพร้อมขาย",IF(AND(ISNUMBER(AC73),AC73&lt;50,I73&gt;=1),"มีศักยภาพ แต่ต้องพัฒนามาตรฐาน","รอประเมิน"))))</x:f>
        <x:v>รอประเมิน</x:v>
      </x:c>
      <x:c r="AF73" s="59" t="str">
        <x:v>ไม่ทราบ</x:v>
      </x:c>
      <x:c r="AG73" s="8" t="str">
        <x:f>IF(AF73="ใช่","หัวหน้าทีมพิจารณาเหตุไม่ผ่าน",IF(OR(AA73&lt;=0,NOT(OR(AND(C73="จำหน่ายอาหาร",ISNUMBER(K73),L73="N/A"),AND(C73="ไม่จำหน่ายอาหาร",K73="N/A",ISNUMBER(L73)),AND(C73="มัสยิด",K73="N/A",L73="N/A",X73="N/A"))),AD73="รอยืนยัน",COUNT(K73:Z73)+COUNTIFS(K73:Z73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3" s="59" t="str"/>
      <x:c r="AI73" s="61"/>
    </x:row>
    <x:row r="74" ht="60" customHeight="1">
      <x:c r="A74" s="2" t="str">
        <x:v>R26-111</x:v>
      </x:c>
      <x:c r="B74" s="8" t="str">
        <x:v>น้ำตกขุนกรณ์</x:v>
      </x:c>
      <x:c r="C74" s="59" t="str">
        <x:v>ไม่ทราบ</x:v>
      </x:c>
      <x:c r="D74" s="59" t="str">
        <x:v>ไม่ทราบ</x:v>
      </x:c>
      <x:c r="E74" s="59" t="str">
        <x:v>ไม่ทราบ</x:v>
      </x:c>
      <x:c r="F74" s="59" t="str">
        <x:v>ไม่ทราบ</x:v>
      </x:c>
      <x:c r="G74" s="59" t="str">
        <x:v>ไม่ทราบ</x:v>
      </x:c>
      <x:c r="H74" s="59" t="str">
        <x:v>N/A</x:v>
      </x:c>
      <x:c r="I74" s="59"/>
      <x:c r="J74" s="59" t="str">
        <x:v>ไม่ทราบ</x:v>
      </x:c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  <x:c r="AA74" s="8" t="str">
        <x:f>IF(C74="ไม่ทราบ","",SUMIFS($K$7:$Z$7,K74:Z74,"&lt;&gt;N/A"))</x:f>
      </x:c>
      <x:c r="AB74" s="8" t="str">
        <x:f>IF(AND(OR(AND(C74="จำหน่ายอาหาร",ISNUMBER(K74),L74="N/A"),AND(C74="ไม่จำหน่ายอาหาร",K74="N/A",ISNUMBER(L74)),AND(C74="มัสยิด",K74="N/A",L74="N/A",X74="N/A")),COUNT(K74:Z74)+COUNTIFS(K74:Z74,"N/A")=16),SUM(K74:Z74),"")</x:f>
      </x:c>
      <x:c r="AC74" s="62" t="str">
        <x:f>IF(OR(AB74="",AA74&lt;=0),"",ROUND(AB74/AA74*100,1))</x:f>
      </x:c>
      <x:c r="AD74" s="8" t="str">
        <x:f>IF(COUNTIFS(D74:H74,"ไม่ผ่าน")&gt;0,"ไม่ผ่าน",IF(COUNTIFS(D74:H74,"ไม่ทราบ")+COUNTBLANK(D74:H74)&gt;0,"รอยืนยัน","ผ่าน"))</x:f>
        <x:v>รอยืนยัน</x:v>
      </x:c>
      <x:c r="AE74" s="8" t="str">
        <x:f>IF(AF74="ใช่","ไม่ผ่านการคัดเลือก",IF(AND(AD74="ผ่าน",ISNUMBER(AC74),AC74&gt;=70),"พร้อมขาย",IF(OR(J74="ใช่",AND(ISNUMBER(AC74),AC74&gt;=50)),"พัฒนาเพื่อพร้อมขาย",IF(AND(ISNUMBER(AC74),AC74&lt;50,I74&gt;=1),"มีศักยภาพ แต่ต้องพัฒนามาตรฐาน","รอประเมิน"))))</x:f>
        <x:v>รอประเมิน</x:v>
      </x:c>
      <x:c r="AF74" s="59" t="str">
        <x:v>ไม่ทราบ</x:v>
      </x:c>
      <x:c r="AG74" s="8" t="str">
        <x:f>IF(AF74="ใช่","หัวหน้าทีมพิจารณาเหตุไม่ผ่าน",IF(OR(AA74&lt;=0,NOT(OR(AND(C74="จำหน่ายอาหาร",ISNUMBER(K74),L74="N/A"),AND(C74="ไม่จำหน่ายอาหาร",K74="N/A",ISNUMBER(L74)),AND(C74="มัสยิด",K74="N/A",L74="N/A",X74="N/A"))),AD74="รอยืนยัน",COUNT(K74:Z74)+COUNTIFS(K74:Z74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4" s="59" t="str"/>
      <x:c r="AI74" s="61"/>
    </x:row>
    <x:row r="75" ht="60" customHeight="1">
      <x:c r="A75" s="2" t="str">
        <x:v>R26-113</x:v>
      </x:c>
      <x:c r="B75" s="8" t="str">
        <x:v>วนอุทยานภูชี้ฟ้า</x:v>
      </x:c>
      <x:c r="C75" s="59" t="str">
        <x:v>ไม่ทราบ</x:v>
      </x:c>
      <x:c r="D75" s="59" t="str">
        <x:v>ไม่ทราบ</x:v>
      </x:c>
      <x:c r="E75" s="59" t="str">
        <x:v>ไม่ทราบ</x:v>
      </x:c>
      <x:c r="F75" s="59" t="str">
        <x:v>ไม่ทราบ</x:v>
      </x:c>
      <x:c r="G75" s="59" t="str">
        <x:v>ไม่ทราบ</x:v>
      </x:c>
      <x:c r="H75" s="59" t="str">
        <x:v>N/A</x:v>
      </x:c>
      <x:c r="I75" s="59"/>
      <x:c r="J75" s="59" t="str">
        <x:v>ไม่ทราบ</x:v>
      </x:c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  <x:c r="AA75" s="8" t="str">
        <x:f>IF(C75="ไม่ทราบ","",SUMIFS($K$7:$Z$7,K75:Z75,"&lt;&gt;N/A"))</x:f>
      </x:c>
      <x:c r="AB75" s="8" t="str">
        <x:f>IF(AND(OR(AND(C75="จำหน่ายอาหาร",ISNUMBER(K75),L75="N/A"),AND(C75="ไม่จำหน่ายอาหาร",K75="N/A",ISNUMBER(L75)),AND(C75="มัสยิด",K75="N/A",L75="N/A",X75="N/A")),COUNT(K75:Z75)+COUNTIFS(K75:Z75,"N/A")=16),SUM(K75:Z75),"")</x:f>
      </x:c>
      <x:c r="AC75" s="62" t="str">
        <x:f>IF(OR(AB75="",AA75&lt;=0),"",ROUND(AB75/AA75*100,1))</x:f>
      </x:c>
      <x:c r="AD75" s="8" t="str">
        <x:f>IF(COUNTIFS(D75:H75,"ไม่ผ่าน")&gt;0,"ไม่ผ่าน",IF(COUNTIFS(D75:H75,"ไม่ทราบ")+COUNTBLANK(D75:H75)&gt;0,"รอยืนยัน","ผ่าน"))</x:f>
        <x:v>รอยืนยัน</x:v>
      </x:c>
      <x:c r="AE75" s="8" t="str">
        <x:f>IF(AF75="ใช่","ไม่ผ่านการคัดเลือก",IF(AND(AD75="ผ่าน",ISNUMBER(AC75),AC75&gt;=70),"พร้อมขาย",IF(OR(J75="ใช่",AND(ISNUMBER(AC75),AC75&gt;=50)),"พัฒนาเพื่อพร้อมขาย",IF(AND(ISNUMBER(AC75),AC75&lt;50,I75&gt;=1),"มีศักยภาพ แต่ต้องพัฒนามาตรฐาน","รอประเมิน"))))</x:f>
        <x:v>รอประเมิน</x:v>
      </x:c>
      <x:c r="AF75" s="59" t="str">
        <x:v>ไม่ทราบ</x:v>
      </x:c>
      <x:c r="AG75" s="8" t="str">
        <x:f>IF(AF75="ใช่","หัวหน้าทีมพิจารณาเหตุไม่ผ่าน",IF(OR(AA75&lt;=0,NOT(OR(AND(C75="จำหน่ายอาหาร",ISNUMBER(K75),L75="N/A"),AND(C75="ไม่จำหน่ายอาหาร",K75="N/A",ISNUMBER(L75)),AND(C75="มัสยิด",K75="N/A",L75="N/A",X75="N/A"))),AD75="รอยืนยัน",COUNT(K75:Z75)+COUNTIFS(K75:Z75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5" s="59" t="str"/>
      <x:c r="AI75" s="61"/>
    </x:row>
    <x:row r="76" ht="60" customHeight="1">
      <x:c r="A76" s="2" t="str">
        <x:v>TMF-419</x:v>
      </x:c>
      <x:c r="B76" s="8" t="str">
        <x:v>พิพิธภัณฑ์บ้านดำ</x:v>
      </x:c>
      <x:c r="C76" s="59" t="str">
        <x:v>ไม่ทราบ</x:v>
      </x:c>
      <x:c r="D76" s="59" t="str">
        <x:v>ไม่ทราบ</x:v>
      </x:c>
      <x:c r="E76" s="59" t="str">
        <x:v>ไม่ทราบ</x:v>
      </x:c>
      <x:c r="F76" s="59" t="str">
        <x:v>ไม่ทราบ</x:v>
      </x:c>
      <x:c r="G76" s="59" t="str">
        <x:v>ไม่ทราบ</x:v>
      </x:c>
      <x:c r="H76" s="59" t="str">
        <x:v>N/A</x:v>
      </x:c>
      <x:c r="I76" s="59"/>
      <x:c r="J76" s="59" t="str">
        <x:v>ไม่ทราบ</x:v>
      </x:c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  <x:c r="AA76" s="8" t="str">
        <x:f>IF(C76="ไม่ทราบ","",SUMIFS($K$7:$Z$7,K76:Z76,"&lt;&gt;N/A"))</x:f>
      </x:c>
      <x:c r="AB76" s="8" t="str">
        <x:f>IF(AND(OR(AND(C76="จำหน่ายอาหาร",ISNUMBER(K76),L76="N/A"),AND(C76="ไม่จำหน่ายอาหาร",K76="N/A",ISNUMBER(L76)),AND(C76="มัสยิด",K76="N/A",L76="N/A",X76="N/A")),COUNT(K76:Z76)+COUNTIFS(K76:Z76,"N/A")=16),SUM(K76:Z76),"")</x:f>
      </x:c>
      <x:c r="AC76" s="62" t="str">
        <x:f>IF(OR(AB76="",AA76&lt;=0),"",ROUND(AB76/AA76*100,1))</x:f>
      </x:c>
      <x:c r="AD76" s="8" t="str">
        <x:f>IF(COUNTIFS(D76:H76,"ไม่ผ่าน")&gt;0,"ไม่ผ่าน",IF(COUNTIFS(D76:H76,"ไม่ทราบ")+COUNTBLANK(D76:H76)&gt;0,"รอยืนยัน","ผ่าน"))</x:f>
        <x:v>รอยืนยัน</x:v>
      </x:c>
      <x:c r="AE76" s="8" t="str">
        <x:f>IF(AF76="ใช่","ไม่ผ่านการคัดเลือก",IF(AND(AD76="ผ่าน",ISNUMBER(AC76),AC76&gt;=70),"พร้อมขาย",IF(OR(J76="ใช่",AND(ISNUMBER(AC76),AC76&gt;=50)),"พัฒนาเพื่อพร้อมขาย",IF(AND(ISNUMBER(AC76),AC76&lt;50,I76&gt;=1),"มีศักยภาพ แต่ต้องพัฒนามาตรฐาน","รอประเมิน"))))</x:f>
        <x:v>รอประเมิน</x:v>
      </x:c>
      <x:c r="AF76" s="59" t="str">
        <x:v>ไม่ทราบ</x:v>
      </x:c>
      <x:c r="AG76" s="8" t="str">
        <x:f>IF(AF76="ใช่","หัวหน้าทีมพิจารณาเหตุไม่ผ่าน",IF(OR(AA76&lt;=0,NOT(OR(AND(C76="จำหน่ายอาหาร",ISNUMBER(K76),L76="N/A"),AND(C76="ไม่จำหน่ายอาหาร",K76="N/A",ISNUMBER(L76)),AND(C76="มัสยิด",K76="N/A",L76="N/A",X76="N/A"))),AD76="รอยืนยัน",COUNT(K76:Z76)+COUNTIFS(K76:Z76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6" s="59" t="str"/>
      <x:c r="AI76" s="61"/>
    </x:row>
    <x:row r="77" ht="60" customHeight="1">
      <x:c r="A77" s="2" t="str">
        <x:v>R26-125</x:v>
      </x:c>
      <x:c r="B77" s="8" t="str">
        <x:v>ชุมชนบ้านท่าขันทอง</x:v>
      </x:c>
      <x:c r="C77" s="59" t="str">
        <x:v>ไม่ทราบ</x:v>
      </x:c>
      <x:c r="D77" s="59" t="str">
        <x:v>ไม่ทราบ</x:v>
      </x:c>
      <x:c r="E77" s="59" t="str">
        <x:v>ไม่ทราบ</x:v>
      </x:c>
      <x:c r="F77" s="59" t="str">
        <x:v>ไม่ทราบ</x:v>
      </x:c>
      <x:c r="G77" s="59" t="str">
        <x:v>ไม่ทราบ</x:v>
      </x:c>
      <x:c r="H77" s="59" t="str">
        <x:v>N/A</x:v>
      </x:c>
      <x:c r="I77" s="59"/>
      <x:c r="J77" s="59" t="str">
        <x:v>ไม่ทราบ</x:v>
      </x:c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  <x:c r="AA77" s="8" t="str">
        <x:f>IF(C77="ไม่ทราบ","",SUMIFS($K$7:$Z$7,K77:Z77,"&lt;&gt;N/A"))</x:f>
      </x:c>
      <x:c r="AB77" s="8" t="str">
        <x:f>IF(AND(OR(AND(C77="จำหน่ายอาหาร",ISNUMBER(K77),L77="N/A"),AND(C77="ไม่จำหน่ายอาหาร",K77="N/A",ISNUMBER(L77)),AND(C77="มัสยิด",K77="N/A",L77="N/A",X77="N/A")),COUNT(K77:Z77)+COUNTIFS(K77:Z77,"N/A")=16),SUM(K77:Z77),"")</x:f>
      </x:c>
      <x:c r="AC77" s="62" t="str">
        <x:f>IF(OR(AB77="",AA77&lt;=0),"",ROUND(AB77/AA77*100,1))</x:f>
      </x:c>
      <x:c r="AD77" s="8" t="str">
        <x:f>IF(COUNTIFS(D77:H77,"ไม่ผ่าน")&gt;0,"ไม่ผ่าน",IF(COUNTIFS(D77:H77,"ไม่ทราบ")+COUNTBLANK(D77:H77)&gt;0,"รอยืนยัน","ผ่าน"))</x:f>
        <x:v>รอยืนยัน</x:v>
      </x:c>
      <x:c r="AE77" s="8" t="str">
        <x:f>IF(AF77="ใช่","ไม่ผ่านการคัดเลือก",IF(AND(AD77="ผ่าน",ISNUMBER(AC77),AC77&gt;=70),"พร้อมขาย",IF(OR(J77="ใช่",AND(ISNUMBER(AC77),AC77&gt;=50)),"พัฒนาเพื่อพร้อมขาย",IF(AND(ISNUMBER(AC77),AC77&lt;50,I77&gt;=1),"มีศักยภาพ แต่ต้องพัฒนามาตรฐาน","รอประเมิน"))))</x:f>
        <x:v>รอประเมิน</x:v>
      </x:c>
      <x:c r="AF77" s="59" t="str">
        <x:v>ไม่ทราบ</x:v>
      </x:c>
      <x:c r="AG77" s="8" t="str">
        <x:f>IF(AF77="ใช่","หัวหน้าทีมพิจารณาเหตุไม่ผ่าน",IF(OR(AA77&lt;=0,NOT(OR(AND(C77="จำหน่ายอาหาร",ISNUMBER(K77),L77="N/A"),AND(C77="ไม่จำหน่ายอาหาร",K77="N/A",ISNUMBER(L77)),AND(C77="มัสยิด",K77="N/A",L77="N/A",X77="N/A"))),AD77="รอยืนยัน",COUNT(K77:Z77)+COUNTIFS(K77:Z77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7" s="59" t="str"/>
      <x:c r="AI77" s="61"/>
    </x:row>
    <x:row r="78" ht="60" customHeight="1">
      <x:c r="A78" s="2" t="str">
        <x:v>R26-124</x:v>
      </x:c>
      <x:c r="B78" s="8" t="str">
        <x:v>ชุมชนบ้านปางห้า</x:v>
      </x:c>
      <x:c r="C78" s="59" t="str">
        <x:v>ไม่ทราบ</x:v>
      </x:c>
      <x:c r="D78" s="59" t="str">
        <x:v>ไม่ทราบ</x:v>
      </x:c>
      <x:c r="E78" s="59" t="str">
        <x:v>ไม่ทราบ</x:v>
      </x:c>
      <x:c r="F78" s="59" t="str">
        <x:v>ไม่ทราบ</x:v>
      </x:c>
      <x:c r="G78" s="59" t="str">
        <x:v>ไม่ทราบ</x:v>
      </x:c>
      <x:c r="H78" s="59" t="str">
        <x:v>N/A</x:v>
      </x:c>
      <x:c r="I78" s="59"/>
      <x:c r="J78" s="59" t="str">
        <x:v>ไม่ทราบ</x:v>
      </x:c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  <x:c r="AA78" s="8" t="str">
        <x:f>IF(C78="ไม่ทราบ","",SUMIFS($K$7:$Z$7,K78:Z78,"&lt;&gt;N/A"))</x:f>
      </x:c>
      <x:c r="AB78" s="8" t="str">
        <x:f>IF(AND(OR(AND(C78="จำหน่ายอาหาร",ISNUMBER(K78),L78="N/A"),AND(C78="ไม่จำหน่ายอาหาร",K78="N/A",ISNUMBER(L78)),AND(C78="มัสยิด",K78="N/A",L78="N/A",X78="N/A")),COUNT(K78:Z78)+COUNTIFS(K78:Z78,"N/A")=16),SUM(K78:Z78),"")</x:f>
      </x:c>
      <x:c r="AC78" s="62" t="str">
        <x:f>IF(OR(AB78="",AA78&lt;=0),"",ROUND(AB78/AA78*100,1))</x:f>
      </x:c>
      <x:c r="AD78" s="8" t="str">
        <x:f>IF(COUNTIFS(D78:H78,"ไม่ผ่าน")&gt;0,"ไม่ผ่าน",IF(COUNTIFS(D78:H78,"ไม่ทราบ")+COUNTBLANK(D78:H78)&gt;0,"รอยืนยัน","ผ่าน"))</x:f>
        <x:v>รอยืนยัน</x:v>
      </x:c>
      <x:c r="AE78" s="8" t="str">
        <x:f>IF(AF78="ใช่","ไม่ผ่านการคัดเลือก",IF(AND(AD78="ผ่าน",ISNUMBER(AC78),AC78&gt;=70),"พร้อมขาย",IF(OR(J78="ใช่",AND(ISNUMBER(AC78),AC78&gt;=50)),"พัฒนาเพื่อพร้อมขาย",IF(AND(ISNUMBER(AC78),AC78&lt;50,I78&gt;=1),"มีศักยภาพ แต่ต้องพัฒนามาตรฐาน","รอประเมิน"))))</x:f>
        <x:v>รอประเมิน</x:v>
      </x:c>
      <x:c r="AF78" s="59" t="str">
        <x:v>ไม่ทราบ</x:v>
      </x:c>
      <x:c r="AG78" s="8" t="str">
        <x:f>IF(AF78="ใช่","หัวหน้าทีมพิจารณาเหตุไม่ผ่าน",IF(OR(AA78&lt;=0,NOT(OR(AND(C78="จำหน่ายอาหาร",ISNUMBER(K78),L78="N/A"),AND(C78="ไม่จำหน่ายอาหาร",K78="N/A",ISNUMBER(L78)),AND(C78="มัสยิด",K78="N/A",L78="N/A",X78="N/A"))),AD78="รอยืนยัน",COUNT(K78:Z78)+COUNTIFS(K78:Z78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8" s="59" t="str"/>
      <x:c r="AI78" s="61"/>
    </x:row>
    <x:row r="79" ht="60" customHeight="1">
      <x:c r="A79" s="2" t="str">
        <x:v>TMF-044</x:v>
      </x:c>
      <x:c r="B79" s="8" t="str">
        <x:v>โรงแรมอัล มีรอซ กรุงเทพ</x:v>
      </x:c>
      <x:c r="C79" s="59" t="str">
        <x:v>ไม่ทราบ</x:v>
      </x:c>
      <x:c r="D79" s="59" t="str">
        <x:v>ไม่ทราบ</x:v>
      </x:c>
      <x:c r="E79" s="59" t="str">
        <x:v>ไม่ทราบ</x:v>
      </x:c>
      <x:c r="F79" s="59" t="str">
        <x:v>ไม่ทราบ</x:v>
      </x:c>
      <x:c r="G79" s="59" t="str">
        <x:v>ไม่ทราบ</x:v>
      </x:c>
      <x:c r="H79" s="59" t="str">
        <x:v>ไม่ทราบ</x:v>
      </x:c>
      <x:c r="I79" s="59"/>
      <x:c r="J79" s="59" t="str">
        <x:v>ไม่ทราบ</x:v>
      </x:c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  <x:c r="AA79" s="8" t="str">
        <x:f>IF(C79="ไม่ทราบ","",SUMIFS($K$7:$Z$7,K79:Z79,"&lt;&gt;N/A"))</x:f>
      </x:c>
      <x:c r="AB79" s="8" t="str">
        <x:f>IF(AND(OR(AND(C79="จำหน่ายอาหาร",ISNUMBER(K79),L79="N/A"),AND(C79="ไม่จำหน่ายอาหาร",K79="N/A",ISNUMBER(L79)),AND(C79="มัสยิด",K79="N/A",L79="N/A",X79="N/A")),COUNT(K79:Z79)+COUNTIFS(K79:Z79,"N/A")=16),SUM(K79:Z79),"")</x:f>
      </x:c>
      <x:c r="AC79" s="62" t="str">
        <x:f>IF(OR(AB79="",AA79&lt;=0),"",ROUND(AB79/AA79*100,1))</x:f>
      </x:c>
      <x:c r="AD79" s="8" t="str">
        <x:f>IF(COUNTIFS(D79:H79,"ไม่ผ่าน")&gt;0,"ไม่ผ่าน",IF(COUNTIFS(D79:H79,"ไม่ทราบ")+COUNTBLANK(D79:H79)&gt;0,"รอยืนยัน","ผ่าน"))</x:f>
        <x:v>รอยืนยัน</x:v>
      </x:c>
      <x:c r="AE79" s="8" t="str">
        <x:f>IF(AF79="ใช่","ไม่ผ่านการคัดเลือก",IF(AND(AD79="ผ่าน",ISNUMBER(AC79),AC79&gt;=70),"พร้อมขาย",IF(OR(J79="ใช่",AND(ISNUMBER(AC79),AC79&gt;=50)),"พัฒนาเพื่อพร้อมขาย",IF(AND(ISNUMBER(AC79),AC79&lt;50,I79&gt;=1),"มีศักยภาพ แต่ต้องพัฒนามาตรฐาน","รอประเมิน"))))</x:f>
        <x:v>รอประเมิน</x:v>
      </x:c>
      <x:c r="AF79" s="59" t="str">
        <x:v>ไม่ทราบ</x:v>
      </x:c>
      <x:c r="AG79" s="8" t="str">
        <x:f>IF(AF79="ใช่","หัวหน้าทีมพิจารณาเหตุไม่ผ่าน",IF(OR(AA79&lt;=0,NOT(OR(AND(C79="จำหน่ายอาหาร",ISNUMBER(K79),L79="N/A"),AND(C79="ไม่จำหน่ายอาหาร",K79="N/A",ISNUMBER(L79)),AND(C79="มัสยิด",K79="N/A",L79="N/A",X79="N/A"))),AD79="รอยืนยัน",COUNT(K79:Z79)+COUNTIFS(K79:Z79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79" s="59" t="str"/>
      <x:c r="AI79" s="61"/>
    </x:row>
    <x:row r="80" ht="60" customHeight="1">
      <x:c r="A80" s="2" t="str">
        <x:v>R26-027</x:v>
      </x:c>
      <x:c r="B80" s="8" t="str">
        <x:v>Beirut Restaurant สุขุมวิท 39</x:v>
      </x:c>
      <x:c r="C80" s="59" t="str">
        <x:v>จำหน่ายอาหาร</x:v>
      </x:c>
      <x:c r="D80" s="59" t="str">
        <x:v>ไม่ทราบ</x:v>
      </x:c>
      <x:c r="E80" s="59" t="str">
        <x:v>ไม่ทราบ</x:v>
      </x:c>
      <x:c r="F80" s="59" t="str">
        <x:v>ไม่ทราบ</x:v>
      </x:c>
      <x:c r="G80" s="59" t="str">
        <x:v>ไม่ทราบ</x:v>
      </x:c>
      <x:c r="H80" s="59" t="str">
        <x:v>N/A</x:v>
      </x:c>
      <x:c r="I80" s="59"/>
      <x:c r="J80" s="59" t="str">
        <x:v>ไม่ทราบ</x:v>
      </x:c>
      <x:c r="K80" s="59"/>
      <x:c r="L80" s="59" t="str">
        <x:v>N/A</x:v>
      </x:c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  <x:c r="AA80" s="8" t="n">
        <x:f>IF(C80="ไม่ทราบ","",SUMIFS($K$7:$Z$7,K80:Z80,"&lt;&gt;N/A"))</x:f>
        <x:v>100</x:v>
      </x:c>
      <x:c r="AB80" s="8" t="str">
        <x:f>IF(AND(OR(AND(C80="จำหน่ายอาหาร",ISNUMBER(K80),L80="N/A"),AND(C80="ไม่จำหน่ายอาหาร",K80="N/A",ISNUMBER(L80)),AND(C80="มัสยิด",K80="N/A",L80="N/A",X80="N/A")),COUNT(K80:Z80)+COUNTIFS(K80:Z80,"N/A")=16),SUM(K80:Z80),"")</x:f>
      </x:c>
      <x:c r="AC80" s="62" t="str">
        <x:f>IF(OR(AB80="",AA80&lt;=0),"",ROUND(AB80/AA80*100,1))</x:f>
      </x:c>
      <x:c r="AD80" s="8" t="str">
        <x:f>IF(COUNTIFS(D80:H80,"ไม่ผ่าน")&gt;0,"ไม่ผ่าน",IF(COUNTIFS(D80:H80,"ไม่ทราบ")+COUNTBLANK(D80:H80)&gt;0,"รอยืนยัน","ผ่าน"))</x:f>
        <x:v>รอยืนยัน</x:v>
      </x:c>
      <x:c r="AE80" s="8" t="str">
        <x:f>IF(AF80="ใช่","ไม่ผ่านการคัดเลือก",IF(AND(AD80="ผ่าน",ISNUMBER(AC80),AC80&gt;=70),"พร้อมขาย",IF(OR(J80="ใช่",AND(ISNUMBER(AC80),AC80&gt;=50)),"พัฒนาเพื่อพร้อมขาย",IF(AND(ISNUMBER(AC80),AC80&lt;50,I80&gt;=1),"มีศักยภาพ แต่ต้องพัฒนามาตรฐาน","รอประเมิน"))))</x:f>
        <x:v>รอประเมิน</x:v>
      </x:c>
      <x:c r="AF80" s="59" t="str">
        <x:v>ไม่ทราบ</x:v>
      </x:c>
      <x:c r="AG80" s="8" t="str">
        <x:f>IF(AF80="ใช่","หัวหน้าทีมพิจารณาเหตุไม่ผ่าน",IF(OR(AA80&lt;=0,NOT(OR(AND(C80="จำหน่ายอาหาร",ISNUMBER(K80),L80="N/A"),AND(C80="ไม่จำหน่ายอาหาร",K80="N/A",ISNUMBER(L80)),AND(C80="มัสยิด",K80="N/A",L80="N/A",X80="N/A"))),AD80="รอยืนยัน",COUNT(K80:Z80)+COUNTIFS(K80:Z80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0" s="59" t="str"/>
      <x:c r="AI80" s="61"/>
    </x:row>
    <x:row r="81" ht="60" customHeight="1">
      <x:c r="A81" s="2" t="str">
        <x:v>TMF-295</x:v>
      </x:c>
      <x:c r="B81" s="8" t="str">
        <x:v>มัสยิดต้นสน</x:v>
      </x:c>
      <x:c r="C81" s="59" t="str">
        <x:v>มัสยิด</x:v>
      </x:c>
      <x:c r="D81" s="59" t="str">
        <x:v>ไม่ทราบ</x:v>
      </x:c>
      <x:c r="E81" s="59" t="str">
        <x:v>ไม่ทราบ</x:v>
      </x:c>
      <x:c r="F81" s="59" t="str">
        <x:v>ไม่ทราบ</x:v>
      </x:c>
      <x:c r="G81" s="59" t="str">
        <x:v>N/A</x:v>
      </x:c>
      <x:c r="H81" s="59" t="str">
        <x:v>N/A</x:v>
      </x:c>
      <x:c r="I81" s="59"/>
      <x:c r="J81" s="59" t="str">
        <x:v>ไม่ทราบ</x:v>
      </x:c>
      <x:c r="K81" s="59" t="str">
        <x:v>N/A</x:v>
      </x:c>
      <x:c r="L81" s="59" t="str">
        <x:v>N/A</x:v>
      </x:c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 t="str">
        <x:v>N/A</x:v>
      </x:c>
      <x:c r="Y81" s="59"/>
      <x:c r="Z81" s="59"/>
      <x:c r="AA81" s="8" t="n">
        <x:f>IF(C81="ไม่ทราบ","",SUMIFS($K$7:$Z$7,K81:Z81,"&lt;&gt;N/A"))</x:f>
        <x:v>67</x:v>
      </x:c>
      <x:c r="AB81" s="8" t="str">
        <x:f>IF(AND(OR(AND(C81="จำหน่ายอาหาร",ISNUMBER(K81),L81="N/A"),AND(C81="ไม่จำหน่ายอาหาร",K81="N/A",ISNUMBER(L81)),AND(C81="มัสยิด",K81="N/A",L81="N/A",X81="N/A")),COUNT(K81:Z81)+COUNTIFS(K81:Z81,"N/A")=16),SUM(K81:Z81),"")</x:f>
      </x:c>
      <x:c r="AC81" s="62" t="str">
        <x:f>IF(OR(AB81="",AA81&lt;=0),"",ROUND(AB81/AA81*100,1))</x:f>
      </x:c>
      <x:c r="AD81" s="8" t="str">
        <x:f>IF(COUNTIFS(D81:H81,"ไม่ผ่าน")&gt;0,"ไม่ผ่าน",IF(COUNTIFS(D81:H81,"ไม่ทราบ")+COUNTBLANK(D81:H81)&gt;0,"รอยืนยัน","ผ่าน"))</x:f>
        <x:v>รอยืนยัน</x:v>
      </x:c>
      <x:c r="AE81" s="8" t="str">
        <x:f>IF(AF81="ใช่","ไม่ผ่านการคัดเลือก",IF(AND(AD81="ผ่าน",ISNUMBER(AC81),AC81&gt;=70),"พร้อมขาย",IF(OR(J81="ใช่",AND(ISNUMBER(AC81),AC81&gt;=50)),"พัฒนาเพื่อพร้อมขาย",IF(AND(ISNUMBER(AC81),AC81&lt;50,I81&gt;=1),"มีศักยภาพ แต่ต้องพัฒนามาตรฐาน","รอประเมิน"))))</x:f>
        <x:v>รอประเมิน</x:v>
      </x:c>
      <x:c r="AF81" s="59" t="str">
        <x:v>ไม่ทราบ</x:v>
      </x:c>
      <x:c r="AG81" s="8" t="str">
        <x:f>IF(AF81="ใช่","หัวหน้าทีมพิจารณาเหตุไม่ผ่าน",IF(OR(AA81&lt;=0,NOT(OR(AND(C81="จำหน่ายอาหาร",ISNUMBER(K81),L81="N/A"),AND(C81="ไม่จำหน่ายอาหาร",K81="N/A",ISNUMBER(L81)),AND(C81="มัสยิด",K81="N/A",L81="N/A",X81="N/A"))),AD81="รอยืนยัน",COUNT(K81:Z81)+COUNTIFS(K81:Z81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1" s="59" t="str"/>
      <x:c r="AI81" s="61"/>
    </x:row>
    <x:row r="82" ht="60" customHeight="1">
      <x:c r="A82" s="2" t="str">
        <x:v>R26-025</x:v>
      </x:c>
      <x:c r="B82" s="8" t="str">
        <x:v>หอศิลปวัฒนธรรมแห่งกรุงเทพมหานคร</x:v>
      </x:c>
      <x:c r="C82" s="59" t="str">
        <x:v>ไม่ทราบ</x:v>
      </x:c>
      <x:c r="D82" s="59" t="str">
        <x:v>ไม่ทราบ</x:v>
      </x:c>
      <x:c r="E82" s="59" t="str">
        <x:v>ไม่ทราบ</x:v>
      </x:c>
      <x:c r="F82" s="59" t="str">
        <x:v>ไม่ทราบ</x:v>
      </x:c>
      <x:c r="G82" s="59" t="str">
        <x:v>ไม่ทราบ</x:v>
      </x:c>
      <x:c r="H82" s="59" t="str">
        <x:v>N/A</x:v>
      </x:c>
      <x:c r="I82" s="59"/>
      <x:c r="J82" s="59" t="str">
        <x:v>ไม่ทราบ</x:v>
      </x:c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  <x:c r="AA82" s="8" t="str">
        <x:f>IF(C82="ไม่ทราบ","",SUMIFS($K$7:$Z$7,K82:Z82,"&lt;&gt;N/A"))</x:f>
      </x:c>
      <x:c r="AB82" s="8" t="str">
        <x:f>IF(AND(OR(AND(C82="จำหน่ายอาหาร",ISNUMBER(K82),L82="N/A"),AND(C82="ไม่จำหน่ายอาหาร",K82="N/A",ISNUMBER(L82)),AND(C82="มัสยิด",K82="N/A",L82="N/A",X82="N/A")),COUNT(K82:Z82)+COUNTIFS(K82:Z82,"N/A")=16),SUM(K82:Z82),"")</x:f>
      </x:c>
      <x:c r="AC82" s="62" t="str">
        <x:f>IF(OR(AB82="",AA82&lt;=0),"",ROUND(AB82/AA82*100,1))</x:f>
      </x:c>
      <x:c r="AD82" s="8" t="str">
        <x:f>IF(COUNTIFS(D82:H82,"ไม่ผ่าน")&gt;0,"ไม่ผ่าน",IF(COUNTIFS(D82:H82,"ไม่ทราบ")+COUNTBLANK(D82:H82)&gt;0,"รอยืนยัน","ผ่าน"))</x:f>
        <x:v>รอยืนยัน</x:v>
      </x:c>
      <x:c r="AE82" s="8" t="str">
        <x:f>IF(AF82="ใช่","ไม่ผ่านการคัดเลือก",IF(AND(AD82="ผ่าน",ISNUMBER(AC82),AC82&gt;=70),"พร้อมขาย",IF(OR(J82="ใช่",AND(ISNUMBER(AC82),AC82&gt;=50)),"พัฒนาเพื่อพร้อมขาย",IF(AND(ISNUMBER(AC82),AC82&lt;50,I82&gt;=1),"มีศักยภาพ แต่ต้องพัฒนามาตรฐาน","รอประเมิน"))))</x:f>
        <x:v>รอประเมิน</x:v>
      </x:c>
      <x:c r="AF82" s="59" t="str">
        <x:v>ไม่ทราบ</x:v>
      </x:c>
      <x:c r="AG82" s="8" t="str">
        <x:f>IF(AF82="ใช่","หัวหน้าทีมพิจารณาเหตุไม่ผ่าน",IF(OR(AA82&lt;=0,NOT(OR(AND(C82="จำหน่ายอาหาร",ISNUMBER(K82),L82="N/A"),AND(C82="ไม่จำหน่ายอาหาร",K82="N/A",ISNUMBER(L82)),AND(C82="มัสยิด",K82="N/A",L82="N/A",X82="N/A"))),AD82="รอยืนยัน",COUNT(K82:Z82)+COUNTIFS(K82:Z82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2" s="59" t="str"/>
      <x:c r="AI82" s="61"/>
    </x:row>
    <x:row r="83" ht="60" customHeight="1">
      <x:c r="A83" s="2" t="str">
        <x:v>R26-024</x:v>
      </x:c>
      <x:c r="B83" s="8" t="str">
        <x:v>ชุมชนกุฎีขาว</x:v>
      </x:c>
      <x:c r="C83" s="59" t="str">
        <x:v>ไม่ทราบ</x:v>
      </x:c>
      <x:c r="D83" s="59" t="str">
        <x:v>ไม่ทราบ</x:v>
      </x:c>
      <x:c r="E83" s="59" t="str">
        <x:v>ไม่ทราบ</x:v>
      </x:c>
      <x:c r="F83" s="59" t="str">
        <x:v>ไม่ทราบ</x:v>
      </x:c>
      <x:c r="G83" s="59" t="str">
        <x:v>ไม่ทราบ</x:v>
      </x:c>
      <x:c r="H83" s="59" t="str">
        <x:v>N/A</x:v>
      </x:c>
      <x:c r="I83" s="59"/>
      <x:c r="J83" s="59" t="str">
        <x:v>ไม่ทราบ</x:v>
      </x:c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  <x:c r="AA83" s="8" t="str">
        <x:f>IF(C83="ไม่ทราบ","",SUMIFS($K$7:$Z$7,K83:Z83,"&lt;&gt;N/A"))</x:f>
      </x:c>
      <x:c r="AB83" s="8" t="str">
        <x:f>IF(AND(OR(AND(C83="จำหน่ายอาหาร",ISNUMBER(K83),L83="N/A"),AND(C83="ไม่จำหน่ายอาหาร",K83="N/A",ISNUMBER(L83)),AND(C83="มัสยิด",K83="N/A",L83="N/A",X83="N/A")),COUNT(K83:Z83)+COUNTIFS(K83:Z83,"N/A")=16),SUM(K83:Z83),"")</x:f>
      </x:c>
      <x:c r="AC83" s="62" t="str">
        <x:f>IF(OR(AB83="",AA83&lt;=0),"",ROUND(AB83/AA83*100,1))</x:f>
      </x:c>
      <x:c r="AD83" s="8" t="str">
        <x:f>IF(COUNTIFS(D83:H83,"ไม่ผ่าน")&gt;0,"ไม่ผ่าน",IF(COUNTIFS(D83:H83,"ไม่ทราบ")+COUNTBLANK(D83:H83)&gt;0,"รอยืนยัน","ผ่าน"))</x:f>
        <x:v>รอยืนยัน</x:v>
      </x:c>
      <x:c r="AE83" s="8" t="str">
        <x:f>IF(AF83="ใช่","ไม่ผ่านการคัดเลือก",IF(AND(AD83="ผ่าน",ISNUMBER(AC83),AC83&gt;=70),"พร้อมขาย",IF(OR(J83="ใช่",AND(ISNUMBER(AC83),AC83&gt;=50)),"พัฒนาเพื่อพร้อมขาย",IF(AND(ISNUMBER(AC83),AC83&lt;50,I83&gt;=1),"มีศักยภาพ แต่ต้องพัฒนามาตรฐาน","รอประเมิน"))))</x:f>
        <x:v>รอประเมิน</x:v>
      </x:c>
      <x:c r="AF83" s="59" t="str">
        <x:v>ไม่ทราบ</x:v>
      </x:c>
      <x:c r="AG83" s="8" t="str">
        <x:f>IF(AF83="ใช่","หัวหน้าทีมพิจารณาเหตุไม่ผ่าน",IF(OR(AA83&lt;=0,NOT(OR(AND(C83="จำหน่ายอาหาร",ISNUMBER(K83),L83="N/A"),AND(C83="ไม่จำหน่ายอาหาร",K83="N/A",ISNUMBER(L83)),AND(C83="มัสยิด",K83="N/A",L83="N/A",X83="N/A"))),AD83="รอยืนยัน",COUNT(K83:Z83)+COUNTIFS(K83:Z83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3" s="59" t="str"/>
      <x:c r="AI83" s="61"/>
    </x:row>
    <x:row r="84" ht="60" customHeight="1">
      <x:c r="A84" s="2" t="str">
        <x:v>R26-026</x:v>
      </x:c>
      <x:c r="B84" s="8" t="str">
        <x:v>ชุมชนบ้านครัว</x:v>
      </x:c>
      <x:c r="C84" s="59" t="str">
        <x:v>ไม่ทราบ</x:v>
      </x:c>
      <x:c r="D84" s="59" t="str">
        <x:v>ไม่ทราบ</x:v>
      </x:c>
      <x:c r="E84" s="59" t="str">
        <x:v>ไม่ทราบ</x:v>
      </x:c>
      <x:c r="F84" s="59" t="str">
        <x:v>ไม่ทราบ</x:v>
      </x:c>
      <x:c r="G84" s="59" t="str">
        <x:v>ไม่ทราบ</x:v>
      </x:c>
      <x:c r="H84" s="59" t="str">
        <x:v>N/A</x:v>
      </x:c>
      <x:c r="I84" s="59"/>
      <x:c r="J84" s="59" t="str">
        <x:v>ไม่ทราบ</x:v>
      </x:c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  <x:c r="AA84" s="8" t="str">
        <x:f>IF(C84="ไม่ทราบ","",SUMIFS($K$7:$Z$7,K84:Z84,"&lt;&gt;N/A"))</x:f>
      </x:c>
      <x:c r="AB84" s="8" t="str">
        <x:f>IF(AND(OR(AND(C84="จำหน่ายอาหาร",ISNUMBER(K84),L84="N/A"),AND(C84="ไม่จำหน่ายอาหาร",K84="N/A",ISNUMBER(L84)),AND(C84="มัสยิด",K84="N/A",L84="N/A",X84="N/A")),COUNT(K84:Z84)+COUNTIFS(K84:Z84,"N/A")=16),SUM(K84:Z84),"")</x:f>
      </x:c>
      <x:c r="AC84" s="62" t="str">
        <x:f>IF(OR(AB84="",AA84&lt;=0),"",ROUND(AB84/AA84*100,1))</x:f>
      </x:c>
      <x:c r="AD84" s="8" t="str">
        <x:f>IF(COUNTIFS(D84:H84,"ไม่ผ่าน")&gt;0,"ไม่ผ่าน",IF(COUNTIFS(D84:H84,"ไม่ทราบ")+COUNTBLANK(D84:H84)&gt;0,"รอยืนยัน","ผ่าน"))</x:f>
        <x:v>รอยืนยัน</x:v>
      </x:c>
      <x:c r="AE84" s="8" t="str">
        <x:f>IF(AF84="ใช่","ไม่ผ่านการคัดเลือก",IF(AND(AD84="ผ่าน",ISNUMBER(AC84),AC84&gt;=70),"พร้อมขาย",IF(OR(J84="ใช่",AND(ISNUMBER(AC84),AC84&gt;=50)),"พัฒนาเพื่อพร้อมขาย",IF(AND(ISNUMBER(AC84),AC84&lt;50,I84&gt;=1),"มีศักยภาพ แต่ต้องพัฒนามาตรฐาน","รอประเมิน"))))</x:f>
        <x:v>รอประเมิน</x:v>
      </x:c>
      <x:c r="AF84" s="59" t="str">
        <x:v>ไม่ทราบ</x:v>
      </x:c>
      <x:c r="AG84" s="8" t="str">
        <x:f>IF(AF84="ใช่","หัวหน้าทีมพิจารณาเหตุไม่ผ่าน",IF(OR(AA84&lt;=0,NOT(OR(AND(C84="จำหน่ายอาหาร",ISNUMBER(K84),L84="N/A"),AND(C84="ไม่จำหน่ายอาหาร",K84="N/A",ISNUMBER(L84)),AND(C84="มัสยิด",K84="N/A",L84="N/A",X84="N/A"))),AD84="รอยืนยัน",COUNT(K84:Z84)+COUNTIFS(K84:Z84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4" s="59" t="str"/>
      <x:c r="AI84" s="61"/>
    </x:row>
    <x:row r="85" ht="60" customHeight="1">
      <x:c r="A85" s="2" t="str">
        <x:v>GMHI-38</x:v>
      </x:c>
      <x:c r="B85" s="8" t="str">
        <x:v>FARAYA Cruise Restaurant</x:v>
      </x:c>
      <x:c r="C85" s="59" t="str">
        <x:v>จำหน่ายอาหาร</x:v>
      </x:c>
      <x:c r="D85" s="59" t="str">
        <x:v>ไม่ทราบ</x:v>
      </x:c>
      <x:c r="E85" s="59" t="str">
        <x:v>ไม่ทราบ</x:v>
      </x:c>
      <x:c r="F85" s="59" t="str">
        <x:v>ไม่ทราบ</x:v>
      </x:c>
      <x:c r="G85" s="59" t="str">
        <x:v>ไม่ทราบ</x:v>
      </x:c>
      <x:c r="H85" s="59" t="str">
        <x:v>N/A</x:v>
      </x:c>
      <x:c r="I85" s="59"/>
      <x:c r="J85" s="59" t="str">
        <x:v>ไม่ทราบ</x:v>
      </x:c>
      <x:c r="K85" s="59"/>
      <x:c r="L85" s="59" t="str">
        <x:v>N/A</x:v>
      </x:c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  <x:c r="AA85" s="8" t="n">
        <x:f>IF(C85="ไม่ทราบ","",SUMIFS($K$7:$Z$7,K85:Z85,"&lt;&gt;N/A"))</x:f>
        <x:v>100</x:v>
      </x:c>
      <x:c r="AB85" s="8" t="str">
        <x:f>IF(AND(OR(AND(C85="จำหน่ายอาหาร",ISNUMBER(K85),L85="N/A"),AND(C85="ไม่จำหน่ายอาหาร",K85="N/A",ISNUMBER(L85)),AND(C85="มัสยิด",K85="N/A",L85="N/A",X85="N/A")),COUNT(K85:Z85)+COUNTIFS(K85:Z85,"N/A")=16),SUM(K85:Z85),"")</x:f>
      </x:c>
      <x:c r="AC85" s="62" t="str">
        <x:f>IF(OR(AB85="",AA85&lt;=0),"",ROUND(AB85/AA85*100,1))</x:f>
      </x:c>
      <x:c r="AD85" s="8" t="str">
        <x:f>IF(COUNTIFS(D85:H85,"ไม่ผ่าน")&gt;0,"ไม่ผ่าน",IF(COUNTIFS(D85:H85,"ไม่ทราบ")+COUNTBLANK(D85:H85)&gt;0,"รอยืนยัน","ผ่าน"))</x:f>
        <x:v>รอยืนยัน</x:v>
      </x:c>
      <x:c r="AE85" s="8" t="str">
        <x:f>IF(AF85="ใช่","ไม่ผ่านการคัดเลือก",IF(AND(AD85="ผ่าน",ISNUMBER(AC85),AC85&gt;=70),"พร้อมขาย",IF(OR(J85="ใช่",AND(ISNUMBER(AC85),AC85&gt;=50)),"พัฒนาเพื่อพร้อมขาย",IF(AND(ISNUMBER(AC85),AC85&lt;50,I85&gt;=1),"มีศักยภาพ แต่ต้องพัฒนามาตรฐาน","รอประเมิน"))))</x:f>
        <x:v>รอประเมิน</x:v>
      </x:c>
      <x:c r="AF85" s="59" t="str">
        <x:v>ไม่ทราบ</x:v>
      </x:c>
      <x:c r="AG85" s="8" t="str">
        <x:f>IF(AF85="ใช่","หัวหน้าทีมพิจารณาเหตุไม่ผ่าน",IF(OR(AA85&lt;=0,NOT(OR(AND(C85="จำหน่ายอาหาร",ISNUMBER(K85),L85="N/A"),AND(C85="ไม่จำหน่ายอาหาร",K85="N/A",ISNUMBER(L85)),AND(C85="มัสยิด",K85="N/A",L85="N/A",X85="N/A"))),AD85="รอยืนยัน",COUNT(K85:Z85)+COUNTIFS(K85:Z85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5" s="59" t="str"/>
      <x:c r="AI85" s="61"/>
    </x:row>
    <x:row r="86" ht="60" customHeight="1">
      <x:c r="A86" s="2" t="str">
        <x:v>R26-029</x:v>
      </x:c>
      <x:c r="B86" s="8" t="str">
        <x:v>Prem Yoga Ayurveda Center</x:v>
      </x:c>
      <x:c r="C86" s="59" t="str">
        <x:v>ไม่ทราบ</x:v>
      </x:c>
      <x:c r="D86" s="59" t="str">
        <x:v>ไม่ทราบ</x:v>
      </x:c>
      <x:c r="E86" s="59" t="str">
        <x:v>ไม่ทราบ</x:v>
      </x:c>
      <x:c r="F86" s="59" t="str">
        <x:v>ไม่ทราบ</x:v>
      </x:c>
      <x:c r="G86" s="59" t="str">
        <x:v>ไม่ทราบ</x:v>
      </x:c>
      <x:c r="H86" s="59" t="str">
        <x:v>N/A</x:v>
      </x:c>
      <x:c r="I86" s="59"/>
      <x:c r="J86" s="59" t="str">
        <x:v>ไม่ทราบ</x:v>
      </x:c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  <x:c r="AA86" s="8" t="str">
        <x:f>IF(C86="ไม่ทราบ","",SUMIFS($K$7:$Z$7,K86:Z86,"&lt;&gt;N/A"))</x:f>
      </x:c>
      <x:c r="AB86" s="8" t="str">
        <x:f>IF(AND(OR(AND(C86="จำหน่ายอาหาร",ISNUMBER(K86),L86="N/A"),AND(C86="ไม่จำหน่ายอาหาร",K86="N/A",ISNUMBER(L86)),AND(C86="มัสยิด",K86="N/A",L86="N/A",X86="N/A")),COUNT(K86:Z86)+COUNTIFS(K86:Z86,"N/A")=16),SUM(K86:Z86),"")</x:f>
      </x:c>
      <x:c r="AC86" s="62" t="str">
        <x:f>IF(OR(AB86="",AA86&lt;=0),"",ROUND(AB86/AA86*100,1))</x:f>
      </x:c>
      <x:c r="AD86" s="8" t="str">
        <x:f>IF(COUNTIFS(D86:H86,"ไม่ผ่าน")&gt;0,"ไม่ผ่าน",IF(COUNTIFS(D86:H86,"ไม่ทราบ")+COUNTBLANK(D86:H86)&gt;0,"รอยืนยัน","ผ่าน"))</x:f>
        <x:v>รอยืนยัน</x:v>
      </x:c>
      <x:c r="AE86" s="8" t="str">
        <x:f>IF(AF86="ใช่","ไม่ผ่านการคัดเลือก",IF(AND(AD86="ผ่าน",ISNUMBER(AC86),AC86&gt;=70),"พร้อมขาย",IF(OR(J86="ใช่",AND(ISNUMBER(AC86),AC86&gt;=50)),"พัฒนาเพื่อพร้อมขาย",IF(AND(ISNUMBER(AC86),AC86&lt;50,I86&gt;=1),"มีศักยภาพ แต่ต้องพัฒนามาตรฐาน","รอประเมิน"))))</x:f>
        <x:v>รอประเมิน</x:v>
      </x:c>
      <x:c r="AF86" s="59" t="str">
        <x:v>ไม่ทราบ</x:v>
      </x:c>
      <x:c r="AG86" s="8" t="str">
        <x:f>IF(AF86="ใช่","หัวหน้าทีมพิจารณาเหตุไม่ผ่าน",IF(OR(AA86&lt;=0,NOT(OR(AND(C86="จำหน่ายอาหาร",ISNUMBER(K86),L86="N/A"),AND(C86="ไม่จำหน่ายอาหาร",K86="N/A",ISNUMBER(L86)),AND(C86="มัสยิด",K86="N/A",L86="N/A",X86="N/A"))),AD86="รอยืนยัน",COUNT(K86:Z86)+COUNTIFS(K86:Z86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6" s="59" t="str"/>
      <x:c r="AI86" s="61"/>
    </x:row>
    <x:row r="87" ht="60" customHeight="1">
      <x:c r="A87" s="2" t="str">
        <x:v>TMF-506</x:v>
      </x:c>
      <x:c r="B87" s="8" t="str">
        <x:v>สวนลอยฟ้าเจ้าพระยา</x:v>
      </x:c>
      <x:c r="C87" s="59" t="str">
        <x:v>ไม่ทราบ</x:v>
      </x:c>
      <x:c r="D87" s="59" t="str">
        <x:v>ไม่ทราบ</x:v>
      </x:c>
      <x:c r="E87" s="59" t="str">
        <x:v>ไม่ทราบ</x:v>
      </x:c>
      <x:c r="F87" s="59" t="str">
        <x:v>ไม่ทราบ</x:v>
      </x:c>
      <x:c r="G87" s="59" t="str">
        <x:v>ไม่ทราบ</x:v>
      </x:c>
      <x:c r="H87" s="59" t="str">
        <x:v>N/A</x:v>
      </x:c>
      <x:c r="I87" s="59"/>
      <x:c r="J87" s="59" t="str">
        <x:v>ไม่ทราบ</x:v>
      </x:c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  <x:c r="AA87" s="8" t="str">
        <x:f>IF(C87="ไม่ทราบ","",SUMIFS($K$7:$Z$7,K87:Z87,"&lt;&gt;N/A"))</x:f>
      </x:c>
      <x:c r="AB87" s="8" t="str">
        <x:f>IF(AND(OR(AND(C87="จำหน่ายอาหาร",ISNUMBER(K87),L87="N/A"),AND(C87="ไม่จำหน่ายอาหาร",K87="N/A",ISNUMBER(L87)),AND(C87="มัสยิด",K87="N/A",L87="N/A",X87="N/A")),COUNT(K87:Z87)+COUNTIFS(K87:Z87,"N/A")=16),SUM(K87:Z87),"")</x:f>
      </x:c>
      <x:c r="AC87" s="62" t="str">
        <x:f>IF(OR(AB87="",AA87&lt;=0),"",ROUND(AB87/AA87*100,1))</x:f>
      </x:c>
      <x:c r="AD87" s="8" t="str">
        <x:f>IF(COUNTIFS(D87:H87,"ไม่ผ่าน")&gt;0,"ไม่ผ่าน",IF(COUNTIFS(D87:H87,"ไม่ทราบ")+COUNTBLANK(D87:H87)&gt;0,"รอยืนยัน","ผ่าน"))</x:f>
        <x:v>รอยืนยัน</x:v>
      </x:c>
      <x:c r="AE87" s="8" t="str">
        <x:f>IF(AF87="ใช่","ไม่ผ่านการคัดเลือก",IF(AND(AD87="ผ่าน",ISNUMBER(AC87),AC87&gt;=70),"พร้อมขาย",IF(OR(J87="ใช่",AND(ISNUMBER(AC87),AC87&gt;=50)),"พัฒนาเพื่อพร้อมขาย",IF(AND(ISNUMBER(AC87),AC87&lt;50,I87&gt;=1),"มีศักยภาพ แต่ต้องพัฒนามาตรฐาน","รอประเมิน"))))</x:f>
        <x:v>รอประเมิน</x:v>
      </x:c>
      <x:c r="AF87" s="59" t="str">
        <x:v>ไม่ทราบ</x:v>
      </x:c>
      <x:c r="AG87" s="8" t="str">
        <x:f>IF(AF87="ใช่","หัวหน้าทีมพิจารณาเหตุไม่ผ่าน",IF(OR(AA87&lt;=0,NOT(OR(AND(C87="จำหน่ายอาหาร",ISNUMBER(K87),L87="N/A"),AND(C87="ไม่จำหน่ายอาหาร",K87="N/A",ISNUMBER(L87)),AND(C87="มัสยิด",K87="N/A",L87="N/A",X87="N/A"))),AD87="รอยืนยัน",COUNT(K87:Z87)+COUNTIFS(K87:Z87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7" s="59" t="str"/>
      <x:c r="AI87" s="61"/>
    </x:row>
    <x:row r="88" ht="60" customHeight="1">
      <x:c r="A88" s="2" t="str">
        <x:v>TMF-323</x:v>
      </x:c>
      <x:c r="B88" s="8" t="str">
        <x:v>มัสยิดฮารูณ (เจริญกรุง)</x:v>
      </x:c>
      <x:c r="C88" s="59" t="str">
        <x:v>มัสยิด</x:v>
      </x:c>
      <x:c r="D88" s="59" t="str">
        <x:v>ไม่ทราบ</x:v>
      </x:c>
      <x:c r="E88" s="59" t="str">
        <x:v>ไม่ทราบ</x:v>
      </x:c>
      <x:c r="F88" s="59" t="str">
        <x:v>ไม่ทราบ</x:v>
      </x:c>
      <x:c r="G88" s="59" t="str">
        <x:v>N/A</x:v>
      </x:c>
      <x:c r="H88" s="59" t="str">
        <x:v>N/A</x:v>
      </x:c>
      <x:c r="I88" s="59"/>
      <x:c r="J88" s="59" t="str">
        <x:v>ไม่ทราบ</x:v>
      </x:c>
      <x:c r="K88" s="59" t="str">
        <x:v>N/A</x:v>
      </x:c>
      <x:c r="L88" s="59" t="str">
        <x:v>N/A</x:v>
      </x:c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 t="str">
        <x:v>N/A</x:v>
      </x:c>
      <x:c r="Y88" s="59"/>
      <x:c r="Z88" s="59"/>
      <x:c r="AA88" s="8" t="n">
        <x:f>IF(C88="ไม่ทราบ","",SUMIFS($K$7:$Z$7,K88:Z88,"&lt;&gt;N/A"))</x:f>
        <x:v>67</x:v>
      </x:c>
      <x:c r="AB88" s="8" t="str">
        <x:f>IF(AND(OR(AND(C88="จำหน่ายอาหาร",ISNUMBER(K88),L88="N/A"),AND(C88="ไม่จำหน่ายอาหาร",K88="N/A",ISNUMBER(L88)),AND(C88="มัสยิด",K88="N/A",L88="N/A",X88="N/A")),COUNT(K88:Z88)+COUNTIFS(K88:Z88,"N/A")=16),SUM(K88:Z88),"")</x:f>
      </x:c>
      <x:c r="AC88" s="62" t="str">
        <x:f>IF(OR(AB88="",AA88&lt;=0),"",ROUND(AB88/AA88*100,1))</x:f>
      </x:c>
      <x:c r="AD88" s="8" t="str">
        <x:f>IF(COUNTIFS(D88:H88,"ไม่ผ่าน")&gt;0,"ไม่ผ่าน",IF(COUNTIFS(D88:H88,"ไม่ทราบ")+COUNTBLANK(D88:H88)&gt;0,"รอยืนยัน","ผ่าน"))</x:f>
        <x:v>รอยืนยัน</x:v>
      </x:c>
      <x:c r="AE88" s="8" t="str">
        <x:f>IF(AF88="ใช่","ไม่ผ่านการคัดเลือก",IF(AND(AD88="ผ่าน",ISNUMBER(AC88),AC88&gt;=70),"พร้อมขาย",IF(OR(J88="ใช่",AND(ISNUMBER(AC88),AC88&gt;=50)),"พัฒนาเพื่อพร้อมขาย",IF(AND(ISNUMBER(AC88),AC88&lt;50,I88&gt;=1),"มีศักยภาพ แต่ต้องพัฒนามาตรฐาน","รอประเมิน"))))</x:f>
        <x:v>รอประเมิน</x:v>
      </x:c>
      <x:c r="AF88" s="59" t="str">
        <x:v>ไม่ทราบ</x:v>
      </x:c>
      <x:c r="AG88" s="8" t="str">
        <x:f>IF(AF88="ใช่","หัวหน้าทีมพิจารณาเหตุไม่ผ่าน",IF(OR(AA88&lt;=0,NOT(OR(AND(C88="จำหน่ายอาหาร",ISNUMBER(K88),L88="N/A"),AND(C88="ไม่จำหน่ายอาหาร",K88="N/A",ISNUMBER(L88)),AND(C88="มัสยิด",K88="N/A",L88="N/A",X88="N/A"))),AD88="รอยืนยัน",COUNT(K88:Z88)+COUNTIFS(K88:Z88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8" s="59" t="str"/>
      <x:c r="AI88" s="61"/>
    </x:row>
    <x:row r="89" ht="60" customHeight="1">
      <x:c r="A89" s="2" t="str">
        <x:v>TMF-034</x:v>
      </x:c>
      <x:c r="B89" s="8" t="str">
        <x:v>Almas Hotel Bangkok</x:v>
      </x:c>
      <x:c r="C89" s="59" t="str">
        <x:v>ไม่ทราบ</x:v>
      </x:c>
      <x:c r="D89" s="59" t="str">
        <x:v>ไม่ทราบ</x:v>
      </x:c>
      <x:c r="E89" s="59" t="str">
        <x:v>ไม่ทราบ</x:v>
      </x:c>
      <x:c r="F89" s="59" t="str">
        <x:v>ไม่ทราบ</x:v>
      </x:c>
      <x:c r="G89" s="59" t="str">
        <x:v>ไม่ทราบ</x:v>
      </x:c>
      <x:c r="H89" s="59" t="str">
        <x:v>ไม่ทราบ</x:v>
      </x:c>
      <x:c r="I89" s="59"/>
      <x:c r="J89" s="59" t="str">
        <x:v>ไม่ทราบ</x:v>
      </x:c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  <x:c r="AA89" s="8" t="str">
        <x:f>IF(C89="ไม่ทราบ","",SUMIFS($K$7:$Z$7,K89:Z89,"&lt;&gt;N/A"))</x:f>
      </x:c>
      <x:c r="AB89" s="8" t="str">
        <x:f>IF(AND(OR(AND(C89="จำหน่ายอาหาร",ISNUMBER(K89),L89="N/A"),AND(C89="ไม่จำหน่ายอาหาร",K89="N/A",ISNUMBER(L89)),AND(C89="มัสยิด",K89="N/A",L89="N/A",X89="N/A")),COUNT(K89:Z89)+COUNTIFS(K89:Z89,"N/A")=16),SUM(K89:Z89),"")</x:f>
      </x:c>
      <x:c r="AC89" s="62" t="str">
        <x:f>IF(OR(AB89="",AA89&lt;=0),"",ROUND(AB89/AA89*100,1))</x:f>
      </x:c>
      <x:c r="AD89" s="8" t="str">
        <x:f>IF(COUNTIFS(D89:H89,"ไม่ผ่าน")&gt;0,"ไม่ผ่าน",IF(COUNTIFS(D89:H89,"ไม่ทราบ")+COUNTBLANK(D89:H89)&gt;0,"รอยืนยัน","ผ่าน"))</x:f>
        <x:v>รอยืนยัน</x:v>
      </x:c>
      <x:c r="AE89" s="8" t="str">
        <x:f>IF(AF89="ใช่","ไม่ผ่านการคัดเลือก",IF(AND(AD89="ผ่าน",ISNUMBER(AC89),AC89&gt;=70),"พร้อมขาย",IF(OR(J89="ใช่",AND(ISNUMBER(AC89),AC89&gt;=50)),"พัฒนาเพื่อพร้อมขาย",IF(AND(ISNUMBER(AC89),AC89&lt;50,I89&gt;=1),"มีศักยภาพ แต่ต้องพัฒนามาตรฐาน","รอประเมิน"))))</x:f>
        <x:v>รอประเมิน</x:v>
      </x:c>
      <x:c r="AF89" s="59" t="str">
        <x:v>ไม่ทราบ</x:v>
      </x:c>
      <x:c r="AG89" s="8" t="str">
        <x:f>IF(AF89="ใช่","หัวหน้าทีมพิจารณาเหตุไม่ผ่าน",IF(OR(AA89&lt;=0,NOT(OR(AND(C89="จำหน่ายอาหาร",ISNUMBER(K89),L89="N/A"),AND(C89="ไม่จำหน่ายอาหาร",K89="N/A",ISNUMBER(L89)),AND(C89="มัสยิด",K89="N/A",L89="N/A",X89="N/A"))),AD89="รอยืนยัน",COUNT(K89:Z89)+COUNTIFS(K89:Z89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89" s="59" t="str"/>
      <x:c r="AI89" s="61"/>
    </x:row>
    <x:row r="90" ht="60" customHeight="1">
      <x:c r="A90" s="2" t="str">
        <x:v>TMF-269</x:v>
      </x:c>
      <x:c r="B90" s="8" t="str">
        <x:v>Amanah Bangkok</x:v>
      </x:c>
      <x:c r="C90" s="59" t="str">
        <x:v>ไม่ทราบ</x:v>
      </x:c>
      <x:c r="D90" s="59" t="str">
        <x:v>ไม่ทราบ</x:v>
      </x:c>
      <x:c r="E90" s="59" t="str">
        <x:v>ไม่ทราบ</x:v>
      </x:c>
      <x:c r="F90" s="59" t="str">
        <x:v>ไม่ทราบ</x:v>
      </x:c>
      <x:c r="G90" s="59" t="str">
        <x:v>ไม่ทราบ</x:v>
      </x:c>
      <x:c r="H90" s="59" t="str">
        <x:v>ไม่ทราบ</x:v>
      </x:c>
      <x:c r="I90" s="59"/>
      <x:c r="J90" s="59" t="str">
        <x:v>ไม่ทราบ</x:v>
      </x:c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  <x:c r="AA90" s="8" t="str">
        <x:f>IF(C90="ไม่ทราบ","",SUMIFS($K$7:$Z$7,K90:Z90,"&lt;&gt;N/A"))</x:f>
      </x:c>
      <x:c r="AB90" s="8" t="str">
        <x:f>IF(AND(OR(AND(C90="จำหน่ายอาหาร",ISNUMBER(K90),L90="N/A"),AND(C90="ไม่จำหน่ายอาหาร",K90="N/A",ISNUMBER(L90)),AND(C90="มัสยิด",K90="N/A",L90="N/A",X90="N/A")),COUNT(K90:Z90)+COUNTIFS(K90:Z90,"N/A")=16),SUM(K90:Z90),"")</x:f>
      </x:c>
      <x:c r="AC90" s="62" t="str">
        <x:f>IF(OR(AB90="",AA90&lt;=0),"",ROUND(AB90/AA90*100,1))</x:f>
      </x:c>
      <x:c r="AD90" s="8" t="str">
        <x:f>IF(COUNTIFS(D90:H90,"ไม่ผ่าน")&gt;0,"ไม่ผ่าน",IF(COUNTIFS(D90:H90,"ไม่ทราบ")+COUNTBLANK(D90:H90)&gt;0,"รอยืนยัน","ผ่าน"))</x:f>
        <x:v>รอยืนยัน</x:v>
      </x:c>
      <x:c r="AE90" s="8" t="str">
        <x:f>IF(AF90="ใช่","ไม่ผ่านการคัดเลือก",IF(AND(AD90="ผ่าน",ISNUMBER(AC90),AC90&gt;=70),"พร้อมขาย",IF(OR(J90="ใช่",AND(ISNUMBER(AC90),AC90&gt;=50)),"พัฒนาเพื่อพร้อมขาย",IF(AND(ISNUMBER(AC90),AC90&lt;50,I90&gt;=1),"มีศักยภาพ แต่ต้องพัฒนามาตรฐาน","รอประเมิน"))))</x:f>
        <x:v>รอประเมิน</x:v>
      </x:c>
      <x:c r="AF90" s="59" t="str">
        <x:v>ไม่ทราบ</x:v>
      </x:c>
      <x:c r="AG90" s="8" t="str">
        <x:f>IF(AF90="ใช่","หัวหน้าทีมพิจารณาเหตุไม่ผ่าน",IF(OR(AA90&lt;=0,NOT(OR(AND(C90="จำหน่ายอาหาร",ISNUMBER(K90),L90="N/A"),AND(C90="ไม่จำหน่ายอาหาร",K90="N/A",ISNUMBER(L90)),AND(C90="มัสยิด",K90="N/A",L90="N/A",X90="N/A"))),AD90="รอยืนยัน",COUNT(K90:Z90)+COUNTIFS(K90:Z90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0" s="59" t="str"/>
      <x:c r="AI90" s="61"/>
    </x:row>
    <x:row r="91" ht="60" customHeight="1">
      <x:c r="A91" s="2" t="str">
        <x:v>TMF-035</x:v>
      </x:c>
      <x:c r="B91" s="8" t="str">
        <x:v>Bed By City Hotel</x:v>
      </x:c>
      <x:c r="C91" s="59" t="str">
        <x:v>ไม่ทราบ</x:v>
      </x:c>
      <x:c r="D91" s="59" t="str">
        <x:v>ไม่ทราบ</x:v>
      </x:c>
      <x:c r="E91" s="59" t="str">
        <x:v>ไม่ทราบ</x:v>
      </x:c>
      <x:c r="F91" s="59" t="str">
        <x:v>ไม่ทราบ</x:v>
      </x:c>
      <x:c r="G91" s="59" t="str">
        <x:v>ไม่ทราบ</x:v>
      </x:c>
      <x:c r="H91" s="59" t="str">
        <x:v>ไม่ทราบ</x:v>
      </x:c>
      <x:c r="I91" s="59"/>
      <x:c r="J91" s="59" t="str">
        <x:v>ไม่ทราบ</x:v>
      </x:c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  <x:c r="AA91" s="8" t="str">
        <x:f>IF(C91="ไม่ทราบ","",SUMIFS($K$7:$Z$7,K91:Z91,"&lt;&gt;N/A"))</x:f>
      </x:c>
      <x:c r="AB91" s="8" t="str">
        <x:f>IF(AND(OR(AND(C91="จำหน่ายอาหาร",ISNUMBER(K91),L91="N/A"),AND(C91="ไม่จำหน่ายอาหาร",K91="N/A",ISNUMBER(L91)),AND(C91="มัสยิด",K91="N/A",L91="N/A",X91="N/A")),COUNT(K91:Z91)+COUNTIFS(K91:Z91,"N/A")=16),SUM(K91:Z91),"")</x:f>
      </x:c>
      <x:c r="AC91" s="62" t="str">
        <x:f>IF(OR(AB91="",AA91&lt;=0),"",ROUND(AB91/AA91*100,1))</x:f>
      </x:c>
      <x:c r="AD91" s="8" t="str">
        <x:f>IF(COUNTIFS(D91:H91,"ไม่ผ่าน")&gt;0,"ไม่ผ่าน",IF(COUNTIFS(D91:H91,"ไม่ทราบ")+COUNTBLANK(D91:H91)&gt;0,"รอยืนยัน","ผ่าน"))</x:f>
        <x:v>รอยืนยัน</x:v>
      </x:c>
      <x:c r="AE91" s="8" t="str">
        <x:f>IF(AF91="ใช่","ไม่ผ่านการคัดเลือก",IF(AND(AD91="ผ่าน",ISNUMBER(AC91),AC91&gt;=70),"พร้อมขาย",IF(OR(J91="ใช่",AND(ISNUMBER(AC91),AC91&gt;=50)),"พัฒนาเพื่อพร้อมขาย",IF(AND(ISNUMBER(AC91),AC91&lt;50,I91&gt;=1),"มีศักยภาพ แต่ต้องพัฒนามาตรฐาน","รอประเมิน"))))</x:f>
        <x:v>รอประเมิน</x:v>
      </x:c>
      <x:c r="AF91" s="59" t="str">
        <x:v>ไม่ทราบ</x:v>
      </x:c>
      <x:c r="AG91" s="8" t="str">
        <x:f>IF(AF91="ใช่","หัวหน้าทีมพิจารณาเหตุไม่ผ่าน",IF(OR(AA91&lt;=0,NOT(OR(AND(C91="จำหน่ายอาหาร",ISNUMBER(K91),L91="N/A"),AND(C91="ไม่จำหน่ายอาหาร",K91="N/A",ISNUMBER(L91)),AND(C91="มัสยิด",K91="N/A",L91="N/A",X91="N/A"))),AD91="รอยืนยัน",COUNT(K91:Z91)+COUNTIFS(K91:Z91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1" s="59" t="str"/>
      <x:c r="AI91" s="61"/>
    </x:row>
    <x:row r="92" ht="60" customHeight="1">
      <x:c r="A92" s="2" t="str">
        <x:v>TMF-036</x:v>
      </x:c>
      <x:c r="B92" s="8" t="str">
        <x:v>Bed by Thapra Hotel</x:v>
      </x:c>
      <x:c r="C92" s="59" t="str">
        <x:v>ไม่ทราบ</x:v>
      </x:c>
      <x:c r="D92" s="59" t="str">
        <x:v>ไม่ทราบ</x:v>
      </x:c>
      <x:c r="E92" s="59" t="str">
        <x:v>ไม่ทราบ</x:v>
      </x:c>
      <x:c r="F92" s="59" t="str">
        <x:v>ไม่ทราบ</x:v>
      </x:c>
      <x:c r="G92" s="59" t="str">
        <x:v>ไม่ทราบ</x:v>
      </x:c>
      <x:c r="H92" s="59" t="str">
        <x:v>ไม่ทราบ</x:v>
      </x:c>
      <x:c r="I92" s="59"/>
      <x:c r="J92" s="59" t="str">
        <x:v>ไม่ทราบ</x:v>
      </x:c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  <x:c r="AA92" s="8" t="str">
        <x:f>IF(C92="ไม่ทราบ","",SUMIFS($K$7:$Z$7,K92:Z92,"&lt;&gt;N/A"))</x:f>
      </x:c>
      <x:c r="AB92" s="8" t="str">
        <x:f>IF(AND(OR(AND(C92="จำหน่ายอาหาร",ISNUMBER(K92),L92="N/A"),AND(C92="ไม่จำหน่ายอาหาร",K92="N/A",ISNUMBER(L92)),AND(C92="มัสยิด",K92="N/A",L92="N/A",X92="N/A")),COUNT(K92:Z92)+COUNTIFS(K92:Z92,"N/A")=16),SUM(K92:Z92),"")</x:f>
      </x:c>
      <x:c r="AC92" s="62" t="str">
        <x:f>IF(OR(AB92="",AA92&lt;=0),"",ROUND(AB92/AA92*100,1))</x:f>
      </x:c>
      <x:c r="AD92" s="8" t="str">
        <x:f>IF(COUNTIFS(D92:H92,"ไม่ผ่าน")&gt;0,"ไม่ผ่าน",IF(COUNTIFS(D92:H92,"ไม่ทราบ")+COUNTBLANK(D92:H92)&gt;0,"รอยืนยัน","ผ่าน"))</x:f>
        <x:v>รอยืนยัน</x:v>
      </x:c>
      <x:c r="AE92" s="8" t="str">
        <x:f>IF(AF92="ใช่","ไม่ผ่านการคัดเลือก",IF(AND(AD92="ผ่าน",ISNUMBER(AC92),AC92&gt;=70),"พร้อมขาย",IF(OR(J92="ใช่",AND(ISNUMBER(AC92),AC92&gt;=50)),"พัฒนาเพื่อพร้อมขาย",IF(AND(ISNUMBER(AC92),AC92&lt;50,I92&gt;=1),"มีศักยภาพ แต่ต้องพัฒนามาตรฐาน","รอประเมิน"))))</x:f>
        <x:v>รอประเมิน</x:v>
      </x:c>
      <x:c r="AF92" s="59" t="str">
        <x:v>ไม่ทราบ</x:v>
      </x:c>
      <x:c r="AG92" s="8" t="str">
        <x:f>IF(AF92="ใช่","หัวหน้าทีมพิจารณาเหตุไม่ผ่าน",IF(OR(AA92&lt;=0,NOT(OR(AND(C92="จำหน่ายอาหาร",ISNUMBER(K92),L92="N/A"),AND(C92="ไม่จำหน่ายอาหาร",K92="N/A",ISNUMBER(L92)),AND(C92="มัสยิด",K92="N/A",L92="N/A",X92="N/A"))),AD92="รอยืนยัน",COUNT(K92:Z92)+COUNTIFS(K92:Z92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2" s="59" t="str"/>
      <x:c r="AI92" s="61"/>
    </x:row>
    <x:row r="93" ht="60" customHeight="1">
      <x:c r="A93" s="2" t="str">
        <x:v>GMHI-29</x:v>
      </x:c>
      <x:c r="B93" s="8" t="str">
        <x:v>DEWAN BANGKOK</x:v>
      </x:c>
      <x:c r="C93" s="59" t="str">
        <x:v>ไม่ทราบ</x:v>
      </x:c>
      <x:c r="D93" s="59" t="str">
        <x:v>ไม่ทราบ</x:v>
      </x:c>
      <x:c r="E93" s="59" t="str">
        <x:v>ไม่ทราบ</x:v>
      </x:c>
      <x:c r="F93" s="59" t="str">
        <x:v>ไม่ทราบ</x:v>
      </x:c>
      <x:c r="G93" s="59" t="str">
        <x:v>ไม่ทราบ</x:v>
      </x:c>
      <x:c r="H93" s="59" t="str">
        <x:v>ไม่ทราบ</x:v>
      </x:c>
      <x:c r="I93" s="59"/>
      <x:c r="J93" s="59" t="str">
        <x:v>ไม่ทราบ</x:v>
      </x:c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  <x:c r="AA93" s="8" t="str">
        <x:f>IF(C93="ไม่ทราบ","",SUMIFS($K$7:$Z$7,K93:Z93,"&lt;&gt;N/A"))</x:f>
      </x:c>
      <x:c r="AB93" s="8" t="str">
        <x:f>IF(AND(OR(AND(C93="จำหน่ายอาหาร",ISNUMBER(K93),L93="N/A"),AND(C93="ไม่จำหน่ายอาหาร",K93="N/A",ISNUMBER(L93)),AND(C93="มัสยิด",K93="N/A",L93="N/A",X93="N/A")),COUNT(K93:Z93)+COUNTIFS(K93:Z93,"N/A")=16),SUM(K93:Z93),"")</x:f>
      </x:c>
      <x:c r="AC93" s="62" t="str">
        <x:f>IF(OR(AB93="",AA93&lt;=0),"",ROUND(AB93/AA93*100,1))</x:f>
      </x:c>
      <x:c r="AD93" s="8" t="str">
        <x:f>IF(COUNTIFS(D93:H93,"ไม่ผ่าน")&gt;0,"ไม่ผ่าน",IF(COUNTIFS(D93:H93,"ไม่ทราบ")+COUNTBLANK(D93:H93)&gt;0,"รอยืนยัน","ผ่าน"))</x:f>
        <x:v>รอยืนยัน</x:v>
      </x:c>
      <x:c r="AE93" s="8" t="str">
        <x:f>IF(AF93="ใช่","ไม่ผ่านการคัดเลือก",IF(AND(AD93="ผ่าน",ISNUMBER(AC93),AC93&gt;=70),"พร้อมขาย",IF(OR(J93="ใช่",AND(ISNUMBER(AC93),AC93&gt;=50)),"พัฒนาเพื่อพร้อมขาย",IF(AND(ISNUMBER(AC93),AC93&lt;50,I93&gt;=1),"มีศักยภาพ แต่ต้องพัฒนามาตรฐาน","รอประเมิน"))))</x:f>
        <x:v>รอประเมิน</x:v>
      </x:c>
      <x:c r="AF93" s="59" t="str">
        <x:v>ไม่ทราบ</x:v>
      </x:c>
      <x:c r="AG93" s="8" t="str">
        <x:f>IF(AF93="ใช่","หัวหน้าทีมพิจารณาเหตุไม่ผ่าน",IF(OR(AA93&lt;=0,NOT(OR(AND(C93="จำหน่ายอาหาร",ISNUMBER(K93),L93="N/A"),AND(C93="ไม่จำหน่ายอาหาร",K93="N/A",ISNUMBER(L93)),AND(C93="มัสยิด",K93="N/A",L93="N/A",X93="N/A"))),AD93="รอยืนยัน",COUNT(K93:Z93)+COUNTIFS(K93:Z93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3" s="59" t="str"/>
      <x:c r="AI93" s="61"/>
    </x:row>
    <x:row r="94" ht="60" customHeight="1">
      <x:c r="A94" s="2" t="str">
        <x:v>TMF-037</x:v>
      </x:c>
      <x:c r="B94" s="8" t="str">
        <x:v>Diya Hotel Srinakarin</x:v>
      </x:c>
      <x:c r="C94" s="59" t="str">
        <x:v>ไม่ทราบ</x:v>
      </x:c>
      <x:c r="D94" s="59" t="str">
        <x:v>ไม่ทราบ</x:v>
      </x:c>
      <x:c r="E94" s="59" t="str">
        <x:v>ไม่ทราบ</x:v>
      </x:c>
      <x:c r="F94" s="59" t="str">
        <x:v>ไม่ทราบ</x:v>
      </x:c>
      <x:c r="G94" s="59" t="str">
        <x:v>ไม่ทราบ</x:v>
      </x:c>
      <x:c r="H94" s="59" t="str">
        <x:v>ไม่ทราบ</x:v>
      </x:c>
      <x:c r="I94" s="59"/>
      <x:c r="J94" s="59" t="str">
        <x:v>ไม่ทราบ</x:v>
      </x:c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  <x:c r="AA94" s="8" t="str">
        <x:f>IF(C94="ไม่ทราบ","",SUMIFS($K$7:$Z$7,K94:Z94,"&lt;&gt;N/A"))</x:f>
      </x:c>
      <x:c r="AB94" s="8" t="str">
        <x:f>IF(AND(OR(AND(C94="จำหน่ายอาหาร",ISNUMBER(K94),L94="N/A"),AND(C94="ไม่จำหน่ายอาหาร",K94="N/A",ISNUMBER(L94)),AND(C94="มัสยิด",K94="N/A",L94="N/A",X94="N/A")),COUNT(K94:Z94)+COUNTIFS(K94:Z94,"N/A")=16),SUM(K94:Z94),"")</x:f>
      </x:c>
      <x:c r="AC94" s="62" t="str">
        <x:f>IF(OR(AB94="",AA94&lt;=0),"",ROUND(AB94/AA94*100,1))</x:f>
      </x:c>
      <x:c r="AD94" s="8" t="str">
        <x:f>IF(COUNTIFS(D94:H94,"ไม่ผ่าน")&gt;0,"ไม่ผ่าน",IF(COUNTIFS(D94:H94,"ไม่ทราบ")+COUNTBLANK(D94:H94)&gt;0,"รอยืนยัน","ผ่าน"))</x:f>
        <x:v>รอยืนยัน</x:v>
      </x:c>
      <x:c r="AE94" s="8" t="str">
        <x:f>IF(AF94="ใช่","ไม่ผ่านการคัดเลือก",IF(AND(AD94="ผ่าน",ISNUMBER(AC94),AC94&gt;=70),"พร้อมขาย",IF(OR(J94="ใช่",AND(ISNUMBER(AC94),AC94&gt;=50)),"พัฒนาเพื่อพร้อมขาย",IF(AND(ISNUMBER(AC94),AC94&lt;50,I94&gt;=1),"มีศักยภาพ แต่ต้องพัฒนามาตรฐาน","รอประเมิน"))))</x:f>
        <x:v>รอประเมิน</x:v>
      </x:c>
      <x:c r="AF94" s="59" t="str">
        <x:v>ไม่ทราบ</x:v>
      </x:c>
      <x:c r="AG94" s="8" t="str">
        <x:f>IF(AF94="ใช่","หัวหน้าทีมพิจารณาเหตุไม่ผ่าน",IF(OR(AA94&lt;=0,NOT(OR(AND(C94="จำหน่ายอาหาร",ISNUMBER(K94),L94="N/A"),AND(C94="ไม่จำหน่ายอาหาร",K94="N/A",ISNUMBER(L94)),AND(C94="มัสยิด",K94="N/A",L94="N/A",X94="N/A"))),AD94="รอยืนยัน",COUNT(K94:Z94)+COUNTIFS(K94:Z94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4" s="59" t="str"/>
      <x:c r="AI94" s="61"/>
    </x:row>
    <x:row r="95" ht="60" customHeight="1">
      <x:c r="A95" s="2" t="str">
        <x:v>GMHI-27</x:v>
      </x:c>
      <x:c r="B95" s="8" t="str">
        <x:v>H-Banaat</x:v>
      </x:c>
      <x:c r="C95" s="59" t="str">
        <x:v>ไม่ทราบ</x:v>
      </x:c>
      <x:c r="D95" s="59" t="str">
        <x:v>ไม่ทราบ</x:v>
      </x:c>
      <x:c r="E95" s="59" t="str">
        <x:v>ไม่ทราบ</x:v>
      </x:c>
      <x:c r="F95" s="59" t="str">
        <x:v>ไม่ทราบ</x:v>
      </x:c>
      <x:c r="G95" s="59" t="str">
        <x:v>ไม่ทราบ</x:v>
      </x:c>
      <x:c r="H95" s="59" t="str">
        <x:v>ไม่ทราบ</x:v>
      </x:c>
      <x:c r="I95" s="59"/>
      <x:c r="J95" s="59" t="str">
        <x:v>ไม่ทราบ</x:v>
      </x:c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  <x:c r="AA95" s="8" t="str">
        <x:f>IF(C95="ไม่ทราบ","",SUMIFS($K$7:$Z$7,K95:Z95,"&lt;&gt;N/A"))</x:f>
      </x:c>
      <x:c r="AB95" s="8" t="str">
        <x:f>IF(AND(OR(AND(C95="จำหน่ายอาหาร",ISNUMBER(K95),L95="N/A"),AND(C95="ไม่จำหน่ายอาหาร",K95="N/A",ISNUMBER(L95)),AND(C95="มัสยิด",K95="N/A",L95="N/A",X95="N/A")),COUNT(K95:Z95)+COUNTIFS(K95:Z95,"N/A")=16),SUM(K95:Z95),"")</x:f>
      </x:c>
      <x:c r="AC95" s="62" t="str">
        <x:f>IF(OR(AB95="",AA95&lt;=0),"",ROUND(AB95/AA95*100,1))</x:f>
      </x:c>
      <x:c r="AD95" s="8" t="str">
        <x:f>IF(COUNTIFS(D95:H95,"ไม่ผ่าน")&gt;0,"ไม่ผ่าน",IF(COUNTIFS(D95:H95,"ไม่ทราบ")+COUNTBLANK(D95:H95)&gt;0,"รอยืนยัน","ผ่าน"))</x:f>
        <x:v>รอยืนยัน</x:v>
      </x:c>
      <x:c r="AE95" s="8" t="str">
        <x:f>IF(AF95="ใช่","ไม่ผ่านการคัดเลือก",IF(AND(AD95="ผ่าน",ISNUMBER(AC95),AC95&gt;=70),"พร้อมขาย",IF(OR(J95="ใช่",AND(ISNUMBER(AC95),AC95&gt;=50)),"พัฒนาเพื่อพร้อมขาย",IF(AND(ISNUMBER(AC95),AC95&lt;50,I95&gt;=1),"มีศักยภาพ แต่ต้องพัฒนามาตรฐาน","รอประเมิน"))))</x:f>
        <x:v>รอประเมิน</x:v>
      </x:c>
      <x:c r="AF95" s="59" t="str">
        <x:v>ไม่ทราบ</x:v>
      </x:c>
      <x:c r="AG95" s="8" t="str">
        <x:f>IF(AF95="ใช่","หัวหน้าทีมพิจารณาเหตุไม่ผ่าน",IF(OR(AA95&lt;=0,NOT(OR(AND(C95="จำหน่ายอาหาร",ISNUMBER(K95),L95="N/A"),AND(C95="ไม่จำหน่ายอาหาร",K95="N/A",ISNUMBER(L95)),AND(C95="มัสยิด",K95="N/A",L95="N/A",X95="N/A"))),AD95="รอยืนยัน",COUNT(K95:Z95)+COUNTIFS(K95:Z95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5" s="59" t="str"/>
      <x:c r="AI95" s="61"/>
    </x:row>
    <x:row r="96" ht="60" customHeight="1">
      <x:c r="A96" s="2" t="str">
        <x:v>TMF-051</x:v>
      </x:c>
      <x:c r="B96" s="8" t="str">
        <x:v>Heyyyy Bangkok Hostel</x:v>
      </x:c>
      <x:c r="C96" s="59" t="str">
        <x:v>ไม่ทราบ</x:v>
      </x:c>
      <x:c r="D96" s="59" t="str">
        <x:v>ไม่ทราบ</x:v>
      </x:c>
      <x:c r="E96" s="59" t="str">
        <x:v>ไม่ทราบ</x:v>
      </x:c>
      <x:c r="F96" s="59" t="str">
        <x:v>ไม่ทราบ</x:v>
      </x:c>
      <x:c r="G96" s="59" t="str">
        <x:v>ไม่ทราบ</x:v>
      </x:c>
      <x:c r="H96" s="59" t="str">
        <x:v>ไม่ทราบ</x:v>
      </x:c>
      <x:c r="I96" s="59"/>
      <x:c r="J96" s="59" t="str">
        <x:v>ไม่ทราบ</x:v>
      </x:c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  <x:c r="AA96" s="8" t="str">
        <x:f>IF(C96="ไม่ทราบ","",SUMIFS($K$7:$Z$7,K96:Z96,"&lt;&gt;N/A"))</x:f>
      </x:c>
      <x:c r="AB96" s="8" t="str">
        <x:f>IF(AND(OR(AND(C96="จำหน่ายอาหาร",ISNUMBER(K96),L96="N/A"),AND(C96="ไม่จำหน่ายอาหาร",K96="N/A",ISNUMBER(L96)),AND(C96="มัสยิด",K96="N/A",L96="N/A",X96="N/A")),COUNT(K96:Z96)+COUNTIFS(K96:Z96,"N/A")=16),SUM(K96:Z96),"")</x:f>
      </x:c>
      <x:c r="AC96" s="62" t="str">
        <x:f>IF(OR(AB96="",AA96&lt;=0),"",ROUND(AB96/AA96*100,1))</x:f>
      </x:c>
      <x:c r="AD96" s="8" t="str">
        <x:f>IF(COUNTIFS(D96:H96,"ไม่ผ่าน")&gt;0,"ไม่ผ่าน",IF(COUNTIFS(D96:H96,"ไม่ทราบ")+COUNTBLANK(D96:H96)&gt;0,"รอยืนยัน","ผ่าน"))</x:f>
        <x:v>รอยืนยัน</x:v>
      </x:c>
      <x:c r="AE96" s="8" t="str">
        <x:f>IF(AF96="ใช่","ไม่ผ่านการคัดเลือก",IF(AND(AD96="ผ่าน",ISNUMBER(AC96),AC96&gt;=70),"พร้อมขาย",IF(OR(J96="ใช่",AND(ISNUMBER(AC96),AC96&gt;=50)),"พัฒนาเพื่อพร้อมขาย",IF(AND(ISNUMBER(AC96),AC96&lt;50,I96&gt;=1),"มีศักยภาพ แต่ต้องพัฒนามาตรฐาน","รอประเมิน"))))</x:f>
        <x:v>รอประเมิน</x:v>
      </x:c>
      <x:c r="AF96" s="59" t="str">
        <x:v>ไม่ทราบ</x:v>
      </x:c>
      <x:c r="AG96" s="8" t="str">
        <x:f>IF(AF96="ใช่","หัวหน้าทีมพิจารณาเหตุไม่ผ่าน",IF(OR(AA96&lt;=0,NOT(OR(AND(C96="จำหน่ายอาหาร",ISNUMBER(K96),L96="N/A"),AND(C96="ไม่จำหน่ายอาหาร",K96="N/A",ISNUMBER(L96)),AND(C96="มัสยิด",K96="N/A",L96="N/A",X96="N/A"))),AD96="รอยืนยัน",COUNT(K96:Z96)+COUNTIFS(K96:Z96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6" s="59" t="str"/>
      <x:c r="AI96" s="61"/>
    </x:row>
    <x:row r="97" ht="60" customHeight="1">
      <x:c r="A97" s="2" t="str">
        <x:v>TMF-038</x:v>
      </x:c>
      <x:c r="B97" s="8" t="str">
        <x:v>Lilit Banglumphu Hotel - Bangkok</x:v>
      </x:c>
      <x:c r="C97" s="59" t="str">
        <x:v>ไม่ทราบ</x:v>
      </x:c>
      <x:c r="D97" s="59" t="str">
        <x:v>ไม่ทราบ</x:v>
      </x:c>
      <x:c r="E97" s="59" t="str">
        <x:v>ไม่ทราบ</x:v>
      </x:c>
      <x:c r="F97" s="59" t="str">
        <x:v>ไม่ทราบ</x:v>
      </x:c>
      <x:c r="G97" s="59" t="str">
        <x:v>ไม่ทราบ</x:v>
      </x:c>
      <x:c r="H97" s="59" t="str">
        <x:v>ไม่ทราบ</x:v>
      </x:c>
      <x:c r="I97" s="59"/>
      <x:c r="J97" s="59" t="str">
        <x:v>ไม่ทราบ</x:v>
      </x:c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  <x:c r="AA97" s="8" t="str">
        <x:f>IF(C97="ไม่ทราบ","",SUMIFS($K$7:$Z$7,K97:Z97,"&lt;&gt;N/A"))</x:f>
      </x:c>
      <x:c r="AB97" s="8" t="str">
        <x:f>IF(AND(OR(AND(C97="จำหน่ายอาหาร",ISNUMBER(K97),L97="N/A"),AND(C97="ไม่จำหน่ายอาหาร",K97="N/A",ISNUMBER(L97)),AND(C97="มัสยิด",K97="N/A",L97="N/A",X97="N/A")),COUNT(K97:Z97)+COUNTIFS(K97:Z97,"N/A")=16),SUM(K97:Z97),"")</x:f>
      </x:c>
      <x:c r="AC97" s="62" t="str">
        <x:f>IF(OR(AB97="",AA97&lt;=0),"",ROUND(AB97/AA97*100,1))</x:f>
      </x:c>
      <x:c r="AD97" s="8" t="str">
        <x:f>IF(COUNTIFS(D97:H97,"ไม่ผ่าน")&gt;0,"ไม่ผ่าน",IF(COUNTIFS(D97:H97,"ไม่ทราบ")+COUNTBLANK(D97:H97)&gt;0,"รอยืนยัน","ผ่าน"))</x:f>
        <x:v>รอยืนยัน</x:v>
      </x:c>
      <x:c r="AE97" s="8" t="str">
        <x:f>IF(AF97="ใช่","ไม่ผ่านการคัดเลือก",IF(AND(AD97="ผ่าน",ISNUMBER(AC97),AC97&gt;=70),"พร้อมขาย",IF(OR(J97="ใช่",AND(ISNUMBER(AC97),AC97&gt;=50)),"พัฒนาเพื่อพร้อมขาย",IF(AND(ISNUMBER(AC97),AC97&lt;50,I97&gt;=1),"มีศักยภาพ แต่ต้องพัฒนามาตรฐาน","รอประเมิน"))))</x:f>
        <x:v>รอประเมิน</x:v>
      </x:c>
      <x:c r="AF97" s="59" t="str">
        <x:v>ไม่ทราบ</x:v>
      </x:c>
      <x:c r="AG97" s="8" t="str">
        <x:f>IF(AF97="ใช่","หัวหน้าทีมพิจารณาเหตุไม่ผ่าน",IF(OR(AA97&lt;=0,NOT(OR(AND(C97="จำหน่ายอาหาร",ISNUMBER(K97),L97="N/A"),AND(C97="ไม่จำหน่ายอาหาร",K97="N/A",ISNUMBER(L97)),AND(C97="มัสยิด",K97="N/A",L97="N/A",X97="N/A"))),AD97="รอยืนยัน",COUNT(K97:Z97)+COUNTIFS(K97:Z97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7" s="59" t="str"/>
      <x:c r="AI97" s="61"/>
    </x:row>
    <x:row r="98" ht="60" customHeight="1">
      <x:c r="A98" s="2" t="str">
        <x:v>TMF-270</x:v>
      </x:c>
      <x:c r="B98" s="8" t="str">
        <x:v>Noursabah Boutique Bed Bangkok</x:v>
      </x:c>
      <x:c r="C98" s="59" t="str">
        <x:v>ไม่ทราบ</x:v>
      </x:c>
      <x:c r="D98" s="59" t="str">
        <x:v>ไม่ทราบ</x:v>
      </x:c>
      <x:c r="E98" s="59" t="str">
        <x:v>ไม่ทราบ</x:v>
      </x:c>
      <x:c r="F98" s="59" t="str">
        <x:v>ไม่ทราบ</x:v>
      </x:c>
      <x:c r="G98" s="59" t="str">
        <x:v>ไม่ทราบ</x:v>
      </x:c>
      <x:c r="H98" s="59" t="str">
        <x:v>ไม่ทราบ</x:v>
      </x:c>
      <x:c r="I98" s="59"/>
      <x:c r="J98" s="59" t="str">
        <x:v>ไม่ทราบ</x:v>
      </x:c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  <x:c r="AA98" s="8" t="str">
        <x:f>IF(C98="ไม่ทราบ","",SUMIFS($K$7:$Z$7,K98:Z98,"&lt;&gt;N/A"))</x:f>
      </x:c>
      <x:c r="AB98" s="8" t="str">
        <x:f>IF(AND(OR(AND(C98="จำหน่ายอาหาร",ISNUMBER(K98),L98="N/A"),AND(C98="ไม่จำหน่ายอาหาร",K98="N/A",ISNUMBER(L98)),AND(C98="มัสยิด",K98="N/A",L98="N/A",X98="N/A")),COUNT(K98:Z98)+COUNTIFS(K98:Z98,"N/A")=16),SUM(K98:Z98),"")</x:f>
      </x:c>
      <x:c r="AC98" s="62" t="str">
        <x:f>IF(OR(AB98="",AA98&lt;=0),"",ROUND(AB98/AA98*100,1))</x:f>
      </x:c>
      <x:c r="AD98" s="8" t="str">
        <x:f>IF(COUNTIFS(D98:H98,"ไม่ผ่าน")&gt;0,"ไม่ผ่าน",IF(COUNTIFS(D98:H98,"ไม่ทราบ")+COUNTBLANK(D98:H98)&gt;0,"รอยืนยัน","ผ่าน"))</x:f>
        <x:v>รอยืนยัน</x:v>
      </x:c>
      <x:c r="AE98" s="8" t="str">
        <x:f>IF(AF98="ใช่","ไม่ผ่านการคัดเลือก",IF(AND(AD98="ผ่าน",ISNUMBER(AC98),AC98&gt;=70),"พร้อมขาย",IF(OR(J98="ใช่",AND(ISNUMBER(AC98),AC98&gt;=50)),"พัฒนาเพื่อพร้อมขาย",IF(AND(ISNUMBER(AC98),AC98&lt;50,I98&gt;=1),"มีศักยภาพ แต่ต้องพัฒนามาตรฐาน","รอประเมิน"))))</x:f>
        <x:v>รอประเมิน</x:v>
      </x:c>
      <x:c r="AF98" s="59" t="str">
        <x:v>ไม่ทราบ</x:v>
      </x:c>
      <x:c r="AG98" s="8" t="str">
        <x:f>IF(AF98="ใช่","หัวหน้าทีมพิจารณาเหตุไม่ผ่าน",IF(OR(AA98&lt;=0,NOT(OR(AND(C98="จำหน่ายอาหาร",ISNUMBER(K98),L98="N/A"),AND(C98="ไม่จำหน่ายอาหาร",K98="N/A",ISNUMBER(L98)),AND(C98="มัสยิด",K98="N/A",L98="N/A",X98="N/A"))),AD98="รอยืนยัน",COUNT(K98:Z98)+COUNTIFS(K98:Z98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8" s="59" t="str"/>
      <x:c r="AI98" s="61"/>
    </x:row>
    <x:row r="99" ht="60" customHeight="1">
      <x:c r="A99" s="2" t="str">
        <x:v>TMF-039</x:v>
      </x:c>
      <x:c r="B99" s="8" t="str">
        <x:v>Nouvo City Hotel - โรงแรมนูโว ซิตี</x:v>
      </x:c>
      <x:c r="C99" s="59" t="str">
        <x:v>ไม่ทราบ</x:v>
      </x:c>
      <x:c r="D99" s="59" t="str">
        <x:v>ไม่ทราบ</x:v>
      </x:c>
      <x:c r="E99" s="59" t="str">
        <x:v>ไม่ทราบ</x:v>
      </x:c>
      <x:c r="F99" s="59" t="str">
        <x:v>ไม่ทราบ</x:v>
      </x:c>
      <x:c r="G99" s="59" t="str">
        <x:v>ไม่ทราบ</x:v>
      </x:c>
      <x:c r="H99" s="59" t="str">
        <x:v>ไม่ทราบ</x:v>
      </x:c>
      <x:c r="I99" s="59"/>
      <x:c r="J99" s="59" t="str">
        <x:v>ไม่ทราบ</x:v>
      </x:c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  <x:c r="AA99" s="8" t="str">
        <x:f>IF(C99="ไม่ทราบ","",SUMIFS($K$7:$Z$7,K99:Z99,"&lt;&gt;N/A"))</x:f>
      </x:c>
      <x:c r="AB99" s="8" t="str">
        <x:f>IF(AND(OR(AND(C99="จำหน่ายอาหาร",ISNUMBER(K99),L99="N/A"),AND(C99="ไม่จำหน่ายอาหาร",K99="N/A",ISNUMBER(L99)),AND(C99="มัสยิด",K99="N/A",L99="N/A",X99="N/A")),COUNT(K99:Z99)+COUNTIFS(K99:Z99,"N/A")=16),SUM(K99:Z99),"")</x:f>
      </x:c>
      <x:c r="AC99" s="62" t="str">
        <x:f>IF(OR(AB99="",AA99&lt;=0),"",ROUND(AB99/AA99*100,1))</x:f>
      </x:c>
      <x:c r="AD99" s="8" t="str">
        <x:f>IF(COUNTIFS(D99:H99,"ไม่ผ่าน")&gt;0,"ไม่ผ่าน",IF(COUNTIFS(D99:H99,"ไม่ทราบ")+COUNTBLANK(D99:H99)&gt;0,"รอยืนยัน","ผ่าน"))</x:f>
        <x:v>รอยืนยัน</x:v>
      </x:c>
      <x:c r="AE99" s="8" t="str">
        <x:f>IF(AF99="ใช่","ไม่ผ่านการคัดเลือก",IF(AND(AD99="ผ่าน",ISNUMBER(AC99),AC99&gt;=70),"พร้อมขาย",IF(OR(J99="ใช่",AND(ISNUMBER(AC99),AC99&gt;=50)),"พัฒนาเพื่อพร้อมขาย",IF(AND(ISNUMBER(AC99),AC99&lt;50,I99&gt;=1),"มีศักยภาพ แต่ต้องพัฒนามาตรฐาน","รอประเมิน"))))</x:f>
        <x:v>รอประเมิน</x:v>
      </x:c>
      <x:c r="AF99" s="59" t="str">
        <x:v>ไม่ทราบ</x:v>
      </x:c>
      <x:c r="AG99" s="8" t="str">
        <x:f>IF(AF99="ใช่","หัวหน้าทีมพิจารณาเหตุไม่ผ่าน",IF(OR(AA99&lt;=0,NOT(OR(AND(C99="จำหน่ายอาหาร",ISNUMBER(K99),L99="N/A"),AND(C99="ไม่จำหน่ายอาหาร",K99="N/A",ISNUMBER(L99)),AND(C99="มัสยิด",K99="N/A",L99="N/A",X99="N/A"))),AD99="รอยืนยัน",COUNT(K99:Z99)+COUNTIFS(K99:Z99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99" s="59" t="str"/>
      <x:c r="AI99" s="61"/>
    </x:row>
    <x:row r="100" ht="60" customHeight="1">
      <x:c r="A100" s="2" t="str">
        <x:v>TMF-062</x:v>
      </x:c>
      <x:c r="B100" s="8" t="str">
        <x:v>P-Park Residence</x:v>
      </x:c>
      <x:c r="C100" s="59" t="str">
        <x:v>ไม่ทราบ</x:v>
      </x:c>
      <x:c r="D100" s="59" t="str">
        <x:v>ไม่ทราบ</x:v>
      </x:c>
      <x:c r="E100" s="59" t="str">
        <x:v>ไม่ทราบ</x:v>
      </x:c>
      <x:c r="F100" s="59" t="str">
        <x:v>ไม่ทราบ</x:v>
      </x:c>
      <x:c r="G100" s="59" t="str">
        <x:v>ไม่ทราบ</x:v>
      </x:c>
      <x:c r="H100" s="59" t="str">
        <x:v>ไม่ทราบ</x:v>
      </x:c>
      <x:c r="I100" s="59"/>
      <x:c r="J100" s="59" t="str">
        <x:v>ไม่ทราบ</x:v>
      </x:c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  <x:c r="AA100" s="8" t="str">
        <x:f>IF(C100="ไม่ทราบ","",SUMIFS($K$7:$Z$7,K100:Z100,"&lt;&gt;N/A"))</x:f>
      </x:c>
      <x:c r="AB100" s="8" t="str">
        <x:f>IF(AND(OR(AND(C100="จำหน่ายอาหาร",ISNUMBER(K100),L100="N/A"),AND(C100="ไม่จำหน่ายอาหาร",K100="N/A",ISNUMBER(L100)),AND(C100="มัสยิด",K100="N/A",L100="N/A",X100="N/A")),COUNT(K100:Z100)+COUNTIFS(K100:Z100,"N/A")=16),SUM(K100:Z100),"")</x:f>
      </x:c>
      <x:c r="AC100" s="62" t="str">
        <x:f>IF(OR(AB100="",AA100&lt;=0),"",ROUND(AB100/AA100*100,1))</x:f>
      </x:c>
      <x:c r="AD100" s="8" t="str">
        <x:f>IF(COUNTIFS(D100:H100,"ไม่ผ่าน")&gt;0,"ไม่ผ่าน",IF(COUNTIFS(D100:H100,"ไม่ทราบ")+COUNTBLANK(D100:H100)&gt;0,"รอยืนยัน","ผ่าน"))</x:f>
        <x:v>รอยืนยัน</x:v>
      </x:c>
      <x:c r="AE100" s="8" t="str">
        <x:f>IF(AF100="ใช่","ไม่ผ่านการคัดเลือก",IF(AND(AD100="ผ่าน",ISNUMBER(AC100),AC100&gt;=70),"พร้อมขาย",IF(OR(J100="ใช่",AND(ISNUMBER(AC100),AC100&gt;=50)),"พัฒนาเพื่อพร้อมขาย",IF(AND(ISNUMBER(AC100),AC100&lt;50,I100&gt;=1),"มีศักยภาพ แต่ต้องพัฒนามาตรฐาน","รอประเมิน"))))</x:f>
        <x:v>รอประเมิน</x:v>
      </x:c>
      <x:c r="AF100" s="59" t="str">
        <x:v>ไม่ทราบ</x:v>
      </x:c>
      <x:c r="AG100" s="8" t="str">
        <x:f>IF(AF100="ใช่","หัวหน้าทีมพิจารณาเหตุไม่ผ่าน",IF(OR(AA100&lt;=0,NOT(OR(AND(C100="จำหน่ายอาหาร",ISNUMBER(K100),L100="N/A"),AND(C100="ไม่จำหน่ายอาหาร",K100="N/A",ISNUMBER(L100)),AND(C100="มัสยิด",K100="N/A",L100="N/A",X100="N/A"))),AD100="รอยืนยัน",COUNT(K100:Z100)+COUNTIFS(K100:Z100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0" s="59" t="str"/>
      <x:c r="AI100" s="61"/>
    </x:row>
    <x:row r="101" ht="60" customHeight="1">
      <x:c r="A101" s="2" t="str">
        <x:v>TMF-040</x:v>
      </x:c>
      <x:c r="B101" s="8" t="str">
        <x:v>Regent Thailand Hotel รามคำแหง22</x:v>
      </x:c>
      <x:c r="C101" s="59" t="str">
        <x:v>ไม่ทราบ</x:v>
      </x:c>
      <x:c r="D101" s="59" t="str">
        <x:v>ไม่ทราบ</x:v>
      </x:c>
      <x:c r="E101" s="59" t="str">
        <x:v>ไม่ทราบ</x:v>
      </x:c>
      <x:c r="F101" s="59" t="str">
        <x:v>ไม่ทราบ</x:v>
      </x:c>
      <x:c r="G101" s="59" t="str">
        <x:v>ไม่ทราบ</x:v>
      </x:c>
      <x:c r="H101" s="59" t="str">
        <x:v>ไม่ทราบ</x:v>
      </x:c>
      <x:c r="I101" s="59"/>
      <x:c r="J101" s="59" t="str">
        <x:v>ไม่ทราบ</x:v>
      </x:c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  <x:c r="AA101" s="8" t="str">
        <x:f>IF(C101="ไม่ทราบ","",SUMIFS($K$7:$Z$7,K101:Z101,"&lt;&gt;N/A"))</x:f>
      </x:c>
      <x:c r="AB101" s="8" t="str">
        <x:f>IF(AND(OR(AND(C101="จำหน่ายอาหาร",ISNUMBER(K101),L101="N/A"),AND(C101="ไม่จำหน่ายอาหาร",K101="N/A",ISNUMBER(L101)),AND(C101="มัสยิด",K101="N/A",L101="N/A",X101="N/A")),COUNT(K101:Z101)+COUNTIFS(K101:Z101,"N/A")=16),SUM(K101:Z101),"")</x:f>
      </x:c>
      <x:c r="AC101" s="62" t="str">
        <x:f>IF(OR(AB101="",AA101&lt;=0),"",ROUND(AB101/AA101*100,1))</x:f>
      </x:c>
      <x:c r="AD101" s="8" t="str">
        <x:f>IF(COUNTIFS(D101:H101,"ไม่ผ่าน")&gt;0,"ไม่ผ่าน",IF(COUNTIFS(D101:H101,"ไม่ทราบ")+COUNTBLANK(D101:H101)&gt;0,"รอยืนยัน","ผ่าน"))</x:f>
        <x:v>รอยืนยัน</x:v>
      </x:c>
      <x:c r="AE101" s="8" t="str">
        <x:f>IF(AF101="ใช่","ไม่ผ่านการคัดเลือก",IF(AND(AD101="ผ่าน",ISNUMBER(AC101),AC101&gt;=70),"พร้อมขาย",IF(OR(J101="ใช่",AND(ISNUMBER(AC101),AC101&gt;=50)),"พัฒนาเพื่อพร้อมขาย",IF(AND(ISNUMBER(AC101),AC101&lt;50,I101&gt;=1),"มีศักยภาพ แต่ต้องพัฒนามาตรฐาน","รอประเมิน"))))</x:f>
        <x:v>รอประเมิน</x:v>
      </x:c>
      <x:c r="AF101" s="59" t="str">
        <x:v>ไม่ทราบ</x:v>
      </x:c>
      <x:c r="AG101" s="8" t="str">
        <x:f>IF(AF101="ใช่","หัวหน้าทีมพิจารณาเหตุไม่ผ่าน",IF(OR(AA101&lt;=0,NOT(OR(AND(C101="จำหน่ายอาหาร",ISNUMBER(K101),L101="N/A"),AND(C101="ไม่จำหน่ายอาหาร",K101="N/A",ISNUMBER(L101)),AND(C101="มัสยิด",K101="N/A",L101="N/A",X101="N/A"))),AD101="รอยืนยัน",COUNT(K101:Z101)+COUNTIFS(K101:Z101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1" s="59" t="str"/>
      <x:c r="AI101" s="61"/>
    </x:row>
    <x:row r="102" ht="60" customHeight="1">
      <x:c r="A102" s="2" t="str">
        <x:v>GMHI-2</x:v>
      </x:c>
      <x:c r="B102" s="8" t="str">
        <x:v>Rembrandt Hotel Bangkok</x:v>
      </x:c>
      <x:c r="C102" s="59" t="str">
        <x:v>ไม่ทราบ</x:v>
      </x:c>
      <x:c r="D102" s="59" t="str">
        <x:v>ไม่ทราบ</x:v>
      </x:c>
      <x:c r="E102" s="59" t="str">
        <x:v>ไม่ทราบ</x:v>
      </x:c>
      <x:c r="F102" s="59" t="str">
        <x:v>ไม่ทราบ</x:v>
      </x:c>
      <x:c r="G102" s="59" t="str">
        <x:v>ไม่ทราบ</x:v>
      </x:c>
      <x:c r="H102" s="59" t="str">
        <x:v>ไม่ทราบ</x:v>
      </x:c>
      <x:c r="I102" s="59"/>
      <x:c r="J102" s="59" t="str">
        <x:v>ไม่ทราบ</x:v>
      </x:c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  <x:c r="AA102" s="8" t="str">
        <x:f>IF(C102="ไม่ทราบ","",SUMIFS($K$7:$Z$7,K102:Z102,"&lt;&gt;N/A"))</x:f>
      </x:c>
      <x:c r="AB102" s="8" t="str">
        <x:f>IF(AND(OR(AND(C102="จำหน่ายอาหาร",ISNUMBER(K102),L102="N/A"),AND(C102="ไม่จำหน่ายอาหาร",K102="N/A",ISNUMBER(L102)),AND(C102="มัสยิด",K102="N/A",L102="N/A",X102="N/A")),COUNT(K102:Z102)+COUNTIFS(K102:Z102,"N/A")=16),SUM(K102:Z102),"")</x:f>
      </x:c>
      <x:c r="AC102" s="62" t="str">
        <x:f>IF(OR(AB102="",AA102&lt;=0),"",ROUND(AB102/AA102*100,1))</x:f>
      </x:c>
      <x:c r="AD102" s="8" t="str">
        <x:f>IF(COUNTIFS(D102:H102,"ไม่ผ่าน")&gt;0,"ไม่ผ่าน",IF(COUNTIFS(D102:H102,"ไม่ทราบ")+COUNTBLANK(D102:H102)&gt;0,"รอยืนยัน","ผ่าน"))</x:f>
        <x:v>รอยืนยัน</x:v>
      </x:c>
      <x:c r="AE102" s="8" t="str">
        <x:f>IF(AF102="ใช่","ไม่ผ่านการคัดเลือก",IF(AND(AD102="ผ่าน",ISNUMBER(AC102),AC102&gt;=70),"พร้อมขาย",IF(OR(J102="ใช่",AND(ISNUMBER(AC102),AC102&gt;=50)),"พัฒนาเพื่อพร้อมขาย",IF(AND(ISNUMBER(AC102),AC102&lt;50,I102&gt;=1),"มีศักยภาพ แต่ต้องพัฒนามาตรฐาน","รอประเมิน"))))</x:f>
        <x:v>รอประเมิน</x:v>
      </x:c>
      <x:c r="AF102" s="59" t="str">
        <x:v>ไม่ทราบ</x:v>
      </x:c>
      <x:c r="AG102" s="8" t="str">
        <x:f>IF(AF102="ใช่","หัวหน้าทีมพิจารณาเหตุไม่ผ่าน",IF(OR(AA102&lt;=0,NOT(OR(AND(C102="จำหน่ายอาหาร",ISNUMBER(K102),L102="N/A"),AND(C102="ไม่จำหน่ายอาหาร",K102="N/A",ISNUMBER(L102)),AND(C102="มัสยิด",K102="N/A",L102="N/A",X102="N/A"))),AD102="รอยืนยัน",COUNT(K102:Z102)+COUNTIFS(K102:Z102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2" s="59" t="str"/>
      <x:c r="AI102" s="61"/>
    </x:row>
    <x:row r="103" ht="60" customHeight="1">
      <x:c r="A103" s="2" t="str">
        <x:v>TMF-065</x:v>
      </x:c>
      <x:c r="B103" s="8" t="str">
        <x:v>Rotinis Hostel</x:v>
      </x:c>
      <x:c r="C103" s="59" t="str">
        <x:v>ไม่ทราบ</x:v>
      </x:c>
      <x:c r="D103" s="59" t="str">
        <x:v>ไม่ทราบ</x:v>
      </x:c>
      <x:c r="E103" s="59" t="str">
        <x:v>ไม่ทราบ</x:v>
      </x:c>
      <x:c r="F103" s="59" t="str">
        <x:v>ไม่ทราบ</x:v>
      </x:c>
      <x:c r="G103" s="59" t="str">
        <x:v>ไม่ทราบ</x:v>
      </x:c>
      <x:c r="H103" s="59" t="str">
        <x:v>ไม่ทราบ</x:v>
      </x:c>
      <x:c r="I103" s="59"/>
      <x:c r="J103" s="59" t="str">
        <x:v>ไม่ทราบ</x:v>
      </x:c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  <x:c r="AA103" s="8" t="str">
        <x:f>IF(C103="ไม่ทราบ","",SUMIFS($K$7:$Z$7,K103:Z103,"&lt;&gt;N/A"))</x:f>
      </x:c>
      <x:c r="AB103" s="8" t="str">
        <x:f>IF(AND(OR(AND(C103="จำหน่ายอาหาร",ISNUMBER(K103),L103="N/A"),AND(C103="ไม่จำหน่ายอาหาร",K103="N/A",ISNUMBER(L103)),AND(C103="มัสยิด",K103="N/A",L103="N/A",X103="N/A")),COUNT(K103:Z103)+COUNTIFS(K103:Z103,"N/A")=16),SUM(K103:Z103),"")</x:f>
      </x:c>
      <x:c r="AC103" s="62" t="str">
        <x:f>IF(OR(AB103="",AA103&lt;=0),"",ROUND(AB103/AA103*100,1))</x:f>
      </x:c>
      <x:c r="AD103" s="8" t="str">
        <x:f>IF(COUNTIFS(D103:H103,"ไม่ผ่าน")&gt;0,"ไม่ผ่าน",IF(COUNTIFS(D103:H103,"ไม่ทราบ")+COUNTBLANK(D103:H103)&gt;0,"รอยืนยัน","ผ่าน"))</x:f>
        <x:v>รอยืนยัน</x:v>
      </x:c>
      <x:c r="AE103" s="8" t="str">
        <x:f>IF(AF103="ใช่","ไม่ผ่านการคัดเลือก",IF(AND(AD103="ผ่าน",ISNUMBER(AC103),AC103&gt;=70),"พร้อมขาย",IF(OR(J103="ใช่",AND(ISNUMBER(AC103),AC103&gt;=50)),"พัฒนาเพื่อพร้อมขาย",IF(AND(ISNUMBER(AC103),AC103&lt;50,I103&gt;=1),"มีศักยภาพ แต่ต้องพัฒนามาตรฐาน","รอประเมิน"))))</x:f>
        <x:v>รอประเมิน</x:v>
      </x:c>
      <x:c r="AF103" s="59" t="str">
        <x:v>ไม่ทราบ</x:v>
      </x:c>
      <x:c r="AG103" s="8" t="str">
        <x:f>IF(AF103="ใช่","หัวหน้าทีมพิจารณาเหตุไม่ผ่าน",IF(OR(AA103&lt;=0,NOT(OR(AND(C103="จำหน่ายอาหาร",ISNUMBER(K103),L103="N/A"),AND(C103="ไม่จำหน่ายอาหาร",K103="N/A",ISNUMBER(L103)),AND(C103="มัสยิด",K103="N/A",L103="N/A",X103="N/A"))),AD103="รอยืนยัน",COUNT(K103:Z103)+COUNTIFS(K103:Z103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3" s="59" t="str"/>
      <x:c r="AI103" s="61"/>
    </x:row>
    <x:row r="104" ht="60" customHeight="1">
      <x:c r="A104" s="2" t="str">
        <x:v>GMHI-21</x:v>
      </x:c>
      <x:c r="B104" s="8" t="str">
        <x:v>The Cozy 77</x:v>
      </x:c>
      <x:c r="C104" s="59" t="str">
        <x:v>ไม่ทราบ</x:v>
      </x:c>
      <x:c r="D104" s="59" t="str">
        <x:v>ไม่ทราบ</x:v>
      </x:c>
      <x:c r="E104" s="59" t="str">
        <x:v>ไม่ทราบ</x:v>
      </x:c>
      <x:c r="F104" s="59" t="str">
        <x:v>ไม่ทราบ</x:v>
      </x:c>
      <x:c r="G104" s="59" t="str">
        <x:v>ไม่ทราบ</x:v>
      </x:c>
      <x:c r="H104" s="59" t="str">
        <x:v>ไม่ทราบ</x:v>
      </x:c>
      <x:c r="I104" s="59"/>
      <x:c r="J104" s="59" t="str">
        <x:v>ไม่ทราบ</x:v>
      </x:c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  <x:c r="AA104" s="8" t="str">
        <x:f>IF(C104="ไม่ทราบ","",SUMIFS($K$7:$Z$7,K104:Z104,"&lt;&gt;N/A"))</x:f>
      </x:c>
      <x:c r="AB104" s="8" t="str">
        <x:f>IF(AND(OR(AND(C104="จำหน่ายอาหาร",ISNUMBER(K104),L104="N/A"),AND(C104="ไม่จำหน่ายอาหาร",K104="N/A",ISNUMBER(L104)),AND(C104="มัสยิด",K104="N/A",L104="N/A",X104="N/A")),COUNT(K104:Z104)+COUNTIFS(K104:Z104,"N/A")=16),SUM(K104:Z104),"")</x:f>
      </x:c>
      <x:c r="AC104" s="62" t="str">
        <x:f>IF(OR(AB104="",AA104&lt;=0),"",ROUND(AB104/AA104*100,1))</x:f>
      </x:c>
      <x:c r="AD104" s="8" t="str">
        <x:f>IF(COUNTIFS(D104:H104,"ไม่ผ่าน")&gt;0,"ไม่ผ่าน",IF(COUNTIFS(D104:H104,"ไม่ทราบ")+COUNTBLANK(D104:H104)&gt;0,"รอยืนยัน","ผ่าน"))</x:f>
        <x:v>รอยืนยัน</x:v>
      </x:c>
      <x:c r="AE104" s="8" t="str">
        <x:f>IF(AF104="ใช่","ไม่ผ่านการคัดเลือก",IF(AND(AD104="ผ่าน",ISNUMBER(AC104),AC104&gt;=70),"พร้อมขาย",IF(OR(J104="ใช่",AND(ISNUMBER(AC104),AC104&gt;=50)),"พัฒนาเพื่อพร้อมขาย",IF(AND(ISNUMBER(AC104),AC104&lt;50,I104&gt;=1),"มีศักยภาพ แต่ต้องพัฒนามาตรฐาน","รอประเมิน"))))</x:f>
        <x:v>รอประเมิน</x:v>
      </x:c>
      <x:c r="AF104" s="59" t="str">
        <x:v>ไม่ทราบ</x:v>
      </x:c>
      <x:c r="AG104" s="8" t="str">
        <x:f>IF(AF104="ใช่","หัวหน้าทีมพิจารณาเหตุไม่ผ่าน",IF(OR(AA104&lt;=0,NOT(OR(AND(C104="จำหน่ายอาหาร",ISNUMBER(K104),L104="N/A"),AND(C104="ไม่จำหน่ายอาหาร",K104="N/A",ISNUMBER(L104)),AND(C104="มัสยิด",K104="N/A",L104="N/A",X104="N/A"))),AD104="รอยืนยัน",COUNT(K104:Z104)+COUNTIFS(K104:Z104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4" s="59" t="str"/>
      <x:c r="AI104" s="61"/>
    </x:row>
    <x:row r="105" ht="60" customHeight="1">
      <x:c r="A105" s="2" t="str">
        <x:v>GMHI-56</x:v>
      </x:c>
      <x:c r="B105" s="8" t="str">
        <x:v>The Grand Fourwings Convention Hotel Bangkok</x:v>
      </x:c>
      <x:c r="C105" s="59" t="str">
        <x:v>ไม่ทราบ</x:v>
      </x:c>
      <x:c r="D105" s="59" t="str">
        <x:v>ไม่ทราบ</x:v>
      </x:c>
      <x:c r="E105" s="59" t="str">
        <x:v>ไม่ทราบ</x:v>
      </x:c>
      <x:c r="F105" s="59" t="str">
        <x:v>ไม่ทราบ</x:v>
      </x:c>
      <x:c r="G105" s="59" t="str">
        <x:v>ไม่ทราบ</x:v>
      </x:c>
      <x:c r="H105" s="59" t="str">
        <x:v>ไม่ทราบ</x:v>
      </x:c>
      <x:c r="I105" s="59"/>
      <x:c r="J105" s="59" t="str">
        <x:v>ไม่ทราบ</x:v>
      </x:c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  <x:c r="AA105" s="8" t="str">
        <x:f>IF(C105="ไม่ทราบ","",SUMIFS($K$7:$Z$7,K105:Z105,"&lt;&gt;N/A"))</x:f>
      </x:c>
      <x:c r="AB105" s="8" t="str">
        <x:f>IF(AND(OR(AND(C105="จำหน่ายอาหาร",ISNUMBER(K105),L105="N/A"),AND(C105="ไม่จำหน่ายอาหาร",K105="N/A",ISNUMBER(L105)),AND(C105="มัสยิด",K105="N/A",L105="N/A",X105="N/A")),COUNT(K105:Z105)+COUNTIFS(K105:Z105,"N/A")=16),SUM(K105:Z105),"")</x:f>
      </x:c>
      <x:c r="AC105" s="62" t="str">
        <x:f>IF(OR(AB105="",AA105&lt;=0),"",ROUND(AB105/AA105*100,1))</x:f>
      </x:c>
      <x:c r="AD105" s="8" t="str">
        <x:f>IF(COUNTIFS(D105:H105,"ไม่ผ่าน")&gt;0,"ไม่ผ่าน",IF(COUNTIFS(D105:H105,"ไม่ทราบ")+COUNTBLANK(D105:H105)&gt;0,"รอยืนยัน","ผ่าน"))</x:f>
        <x:v>รอยืนยัน</x:v>
      </x:c>
      <x:c r="AE105" s="8" t="str">
        <x:f>IF(AF105="ใช่","ไม่ผ่านการคัดเลือก",IF(AND(AD105="ผ่าน",ISNUMBER(AC105),AC105&gt;=70),"พร้อมขาย",IF(OR(J105="ใช่",AND(ISNUMBER(AC105),AC105&gt;=50)),"พัฒนาเพื่อพร้อมขาย",IF(AND(ISNUMBER(AC105),AC105&lt;50,I105&gt;=1),"มีศักยภาพ แต่ต้องพัฒนามาตรฐาน","รอประเมิน"))))</x:f>
        <x:v>รอประเมิน</x:v>
      </x:c>
      <x:c r="AF105" s="59" t="str">
        <x:v>ไม่ทราบ</x:v>
      </x:c>
      <x:c r="AG105" s="8" t="str">
        <x:f>IF(AF105="ใช่","หัวหน้าทีมพิจารณาเหตุไม่ผ่าน",IF(OR(AA105&lt;=0,NOT(OR(AND(C105="จำหน่ายอาหาร",ISNUMBER(K105),L105="N/A"),AND(C105="ไม่จำหน่ายอาหาร",K105="N/A",ISNUMBER(L105)),AND(C105="มัสยิด",K105="N/A",L105="N/A",X105="N/A"))),AD105="รอยืนยัน",COUNT(K105:Z105)+COUNTIFS(K105:Z105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5" s="59" t="str"/>
      <x:c r="AI105" s="61"/>
    </x:row>
    <x:row r="106" ht="60" customHeight="1">
      <x:c r="A106" s="2" t="str">
        <x:v>TMF-041</x:v>
      </x:c>
      <x:c r="B106" s="8" t="str">
        <x:v>The Riski Hotel &amp; Residence Bangphlat Station</x:v>
      </x:c>
      <x:c r="C106" s="59" t="str">
        <x:v>ไม่ทราบ</x:v>
      </x:c>
      <x:c r="D106" s="59" t="str">
        <x:v>ไม่ทราบ</x:v>
      </x:c>
      <x:c r="E106" s="59" t="str">
        <x:v>ไม่ทราบ</x:v>
      </x:c>
      <x:c r="F106" s="59" t="str">
        <x:v>ไม่ทราบ</x:v>
      </x:c>
      <x:c r="G106" s="59" t="str">
        <x:v>ไม่ทราบ</x:v>
      </x:c>
      <x:c r="H106" s="59" t="str">
        <x:v>ไม่ทราบ</x:v>
      </x:c>
      <x:c r="I106" s="59"/>
      <x:c r="J106" s="59" t="str">
        <x:v>ไม่ทราบ</x:v>
      </x:c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  <x:c r="AA106" s="8" t="str">
        <x:f>IF(C106="ไม่ทราบ","",SUMIFS($K$7:$Z$7,K106:Z106,"&lt;&gt;N/A"))</x:f>
      </x:c>
      <x:c r="AB106" s="8" t="str">
        <x:f>IF(AND(OR(AND(C106="จำหน่ายอาหาร",ISNUMBER(K106),L106="N/A"),AND(C106="ไม่จำหน่ายอาหาร",K106="N/A",ISNUMBER(L106)),AND(C106="มัสยิด",K106="N/A",L106="N/A",X106="N/A")),COUNT(K106:Z106)+COUNTIFS(K106:Z106,"N/A")=16),SUM(K106:Z106),"")</x:f>
      </x:c>
      <x:c r="AC106" s="62" t="str">
        <x:f>IF(OR(AB106="",AA106&lt;=0),"",ROUND(AB106/AA106*100,1))</x:f>
      </x:c>
      <x:c r="AD106" s="8" t="str">
        <x:f>IF(COUNTIFS(D106:H106,"ไม่ผ่าน")&gt;0,"ไม่ผ่าน",IF(COUNTIFS(D106:H106,"ไม่ทราบ")+COUNTBLANK(D106:H106)&gt;0,"รอยืนยัน","ผ่าน"))</x:f>
        <x:v>รอยืนยัน</x:v>
      </x:c>
      <x:c r="AE106" s="8" t="str">
        <x:f>IF(AF106="ใช่","ไม่ผ่านการคัดเลือก",IF(AND(AD106="ผ่าน",ISNUMBER(AC106),AC106&gt;=70),"พร้อมขาย",IF(OR(J106="ใช่",AND(ISNUMBER(AC106),AC106&gt;=50)),"พัฒนาเพื่อพร้อมขาย",IF(AND(ISNUMBER(AC106),AC106&lt;50,I106&gt;=1),"มีศักยภาพ แต่ต้องพัฒนามาตรฐาน","รอประเมิน"))))</x:f>
        <x:v>รอประเมิน</x:v>
      </x:c>
      <x:c r="AF106" s="59" t="str">
        <x:v>ไม่ทราบ</x:v>
      </x:c>
      <x:c r="AG106" s="8" t="str">
        <x:f>IF(AF106="ใช่","หัวหน้าทีมพิจารณาเหตุไม่ผ่าน",IF(OR(AA106&lt;=0,NOT(OR(AND(C106="จำหน่ายอาหาร",ISNUMBER(K106),L106="N/A"),AND(C106="ไม่จำหน่ายอาหาร",K106="N/A",ISNUMBER(L106)),AND(C106="มัสยิด",K106="N/A",L106="N/A",X106="N/A"))),AD106="รอยืนยัน",COUNT(K106:Z106)+COUNTIFS(K106:Z106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6" s="59" t="str"/>
      <x:c r="AI106" s="61"/>
    </x:row>
    <x:row r="107" ht="60" customHeight="1">
      <x:c r="A107" s="2" t="str">
        <x:v>GMHI-31</x:v>
      </x:c>
      <x:c r="B107" s="8" t="str">
        <x:v>The Suan Dusit Place</x:v>
      </x:c>
      <x:c r="C107" s="59" t="str">
        <x:v>ไม่ทราบ</x:v>
      </x:c>
      <x:c r="D107" s="59" t="str">
        <x:v>ไม่ทราบ</x:v>
      </x:c>
      <x:c r="E107" s="59" t="str">
        <x:v>ไม่ทราบ</x:v>
      </x:c>
      <x:c r="F107" s="59" t="str">
        <x:v>ไม่ทราบ</x:v>
      </x:c>
      <x:c r="G107" s="59" t="str">
        <x:v>ไม่ทราบ</x:v>
      </x:c>
      <x:c r="H107" s="59" t="str">
        <x:v>ไม่ทราบ</x:v>
      </x:c>
      <x:c r="I107" s="59"/>
      <x:c r="J107" s="59" t="str">
        <x:v>ไม่ทราบ</x:v>
      </x:c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  <x:c r="AA107" s="8" t="str">
        <x:f>IF(C107="ไม่ทราบ","",SUMIFS($K$7:$Z$7,K107:Z107,"&lt;&gt;N/A"))</x:f>
      </x:c>
      <x:c r="AB107" s="8" t="str">
        <x:f>IF(AND(OR(AND(C107="จำหน่ายอาหาร",ISNUMBER(K107),L107="N/A"),AND(C107="ไม่จำหน่ายอาหาร",K107="N/A",ISNUMBER(L107)),AND(C107="มัสยิด",K107="N/A",L107="N/A",X107="N/A")),COUNT(K107:Z107)+COUNTIFS(K107:Z107,"N/A")=16),SUM(K107:Z107),"")</x:f>
      </x:c>
      <x:c r="AC107" s="62" t="str">
        <x:f>IF(OR(AB107="",AA107&lt;=0),"",ROUND(AB107/AA107*100,1))</x:f>
      </x:c>
      <x:c r="AD107" s="8" t="str">
        <x:f>IF(COUNTIFS(D107:H107,"ไม่ผ่าน")&gt;0,"ไม่ผ่าน",IF(COUNTIFS(D107:H107,"ไม่ทราบ")+COUNTBLANK(D107:H107)&gt;0,"รอยืนยัน","ผ่าน"))</x:f>
        <x:v>รอยืนยัน</x:v>
      </x:c>
      <x:c r="AE107" s="8" t="str">
        <x:f>IF(AF107="ใช่","ไม่ผ่านการคัดเลือก",IF(AND(AD107="ผ่าน",ISNUMBER(AC107),AC107&gt;=70),"พร้อมขาย",IF(OR(J107="ใช่",AND(ISNUMBER(AC107),AC107&gt;=50)),"พัฒนาเพื่อพร้อมขาย",IF(AND(ISNUMBER(AC107),AC107&lt;50,I107&gt;=1),"มีศักยภาพ แต่ต้องพัฒนามาตรฐาน","รอประเมิน"))))</x:f>
        <x:v>รอประเมิน</x:v>
      </x:c>
      <x:c r="AF107" s="59" t="str">
        <x:v>ไม่ทราบ</x:v>
      </x:c>
      <x:c r="AG107" s="8" t="str">
        <x:f>IF(AF107="ใช่","หัวหน้าทีมพิจารณาเหตุไม่ผ่าน",IF(OR(AA107&lt;=0,NOT(OR(AND(C107="จำหน่ายอาหาร",ISNUMBER(K107),L107="N/A"),AND(C107="ไม่จำหน่ายอาหาร",K107="N/A",ISNUMBER(L107)),AND(C107="มัสยิด",K107="N/A",L107="N/A",X107="N/A"))),AD107="รอยืนยัน",COUNT(K107:Z107)+COUNTIFS(K107:Z107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7" s="59" t="str"/>
      <x:c r="AI107" s="61"/>
    </x:row>
    <x:row r="108" ht="60" customHeight="1">
      <x:c r="A108" s="2" t="str">
        <x:v>GMHI-30</x:v>
      </x:c>
      <x:c r="B108" s="8" t="str">
        <x:v>W22 by Burasari</x:v>
      </x:c>
      <x:c r="C108" s="59" t="str">
        <x:v>ไม่ทราบ</x:v>
      </x:c>
      <x:c r="D108" s="59" t="str">
        <x:v>ไม่ทราบ</x:v>
      </x:c>
      <x:c r="E108" s="59" t="str">
        <x:v>ไม่ทราบ</x:v>
      </x:c>
      <x:c r="F108" s="59" t="str">
        <x:v>ไม่ทราบ</x:v>
      </x:c>
      <x:c r="G108" s="59" t="str">
        <x:v>ไม่ทราบ</x:v>
      </x:c>
      <x:c r="H108" s="59" t="str">
        <x:v>ไม่ทราบ</x:v>
      </x:c>
      <x:c r="I108" s="59"/>
      <x:c r="J108" s="59" t="str">
        <x:v>ไม่ทราบ</x:v>
      </x:c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  <x:c r="AA108" s="8" t="str">
        <x:f>IF(C108="ไม่ทราบ","",SUMIFS($K$7:$Z$7,K108:Z108,"&lt;&gt;N/A"))</x:f>
      </x:c>
      <x:c r="AB108" s="8" t="str">
        <x:f>IF(AND(OR(AND(C108="จำหน่ายอาหาร",ISNUMBER(K108),L108="N/A"),AND(C108="ไม่จำหน่ายอาหาร",K108="N/A",ISNUMBER(L108)),AND(C108="มัสยิด",K108="N/A",L108="N/A",X108="N/A")),COUNT(K108:Z108)+COUNTIFS(K108:Z108,"N/A")=16),SUM(K108:Z108),"")</x:f>
      </x:c>
      <x:c r="AC108" s="62" t="str">
        <x:f>IF(OR(AB108="",AA108&lt;=0),"",ROUND(AB108/AA108*100,1))</x:f>
      </x:c>
      <x:c r="AD108" s="8" t="str">
        <x:f>IF(COUNTIFS(D108:H108,"ไม่ผ่าน")&gt;0,"ไม่ผ่าน",IF(COUNTIFS(D108:H108,"ไม่ทราบ")+COUNTBLANK(D108:H108)&gt;0,"รอยืนยัน","ผ่าน"))</x:f>
        <x:v>รอยืนยัน</x:v>
      </x:c>
      <x:c r="AE108" s="8" t="str">
        <x:f>IF(AF108="ใช่","ไม่ผ่านการคัดเลือก",IF(AND(AD108="ผ่าน",ISNUMBER(AC108),AC108&gt;=70),"พร้อมขาย",IF(OR(J108="ใช่",AND(ISNUMBER(AC108),AC108&gt;=50)),"พัฒนาเพื่อพร้อมขาย",IF(AND(ISNUMBER(AC108),AC108&lt;50,I108&gt;=1),"มีศักยภาพ แต่ต้องพัฒนามาตรฐาน","รอประเมิน"))))</x:f>
        <x:v>รอประเมิน</x:v>
      </x:c>
      <x:c r="AF108" s="59" t="str">
        <x:v>ไม่ทราบ</x:v>
      </x:c>
      <x:c r="AG108" s="8" t="str">
        <x:f>IF(AF108="ใช่","หัวหน้าทีมพิจารณาเหตุไม่ผ่าน",IF(OR(AA108&lt;=0,NOT(OR(AND(C108="จำหน่ายอาหาร",ISNUMBER(K108),L108="N/A"),AND(C108="ไม่จำหน่ายอาหาร",K108="N/A",ISNUMBER(L108)),AND(C108="มัสยิด",K108="N/A",L108="N/A",X108="N/A"))),AD108="รอยืนยัน",COUNT(K108:Z108)+COUNTIFS(K108:Z108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8" s="59" t="str"/>
      <x:c r="AI108" s="61"/>
    </x:row>
    <x:row r="109" ht="60" customHeight="1">
      <x:c r="A109" s="2" t="str">
        <x:v>TMF-042</x:v>
      </x:c>
      <x:c r="B109" s="8" t="str">
        <x:v>Zayn Hotel Bangkok</x:v>
      </x:c>
      <x:c r="C109" s="59" t="str">
        <x:v>ไม่ทราบ</x:v>
      </x:c>
      <x:c r="D109" s="59" t="str">
        <x:v>ไม่ทราบ</x:v>
      </x:c>
      <x:c r="E109" s="59" t="str">
        <x:v>ไม่ทราบ</x:v>
      </x:c>
      <x:c r="F109" s="59" t="str">
        <x:v>ไม่ทราบ</x:v>
      </x:c>
      <x:c r="G109" s="59" t="str">
        <x:v>ไม่ทราบ</x:v>
      </x:c>
      <x:c r="H109" s="59" t="str">
        <x:v>ไม่ทราบ</x:v>
      </x:c>
      <x:c r="I109" s="59"/>
      <x:c r="J109" s="59" t="str">
        <x:v>ไม่ทราบ</x:v>
      </x:c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  <x:c r="AA109" s="8" t="str">
        <x:f>IF(C109="ไม่ทราบ","",SUMIFS($K$7:$Z$7,K109:Z109,"&lt;&gt;N/A"))</x:f>
      </x:c>
      <x:c r="AB109" s="8" t="str">
        <x:f>IF(AND(OR(AND(C109="จำหน่ายอาหาร",ISNUMBER(K109),L109="N/A"),AND(C109="ไม่จำหน่ายอาหาร",K109="N/A",ISNUMBER(L109)),AND(C109="มัสยิด",K109="N/A",L109="N/A",X109="N/A")),COUNT(K109:Z109)+COUNTIFS(K109:Z109,"N/A")=16),SUM(K109:Z109),"")</x:f>
      </x:c>
      <x:c r="AC109" s="62" t="str">
        <x:f>IF(OR(AB109="",AA109&lt;=0),"",ROUND(AB109/AA109*100,1))</x:f>
      </x:c>
      <x:c r="AD109" s="8" t="str">
        <x:f>IF(COUNTIFS(D109:H109,"ไม่ผ่าน")&gt;0,"ไม่ผ่าน",IF(COUNTIFS(D109:H109,"ไม่ทราบ")+COUNTBLANK(D109:H109)&gt;0,"รอยืนยัน","ผ่าน"))</x:f>
        <x:v>รอยืนยัน</x:v>
      </x:c>
      <x:c r="AE109" s="8" t="str">
        <x:f>IF(AF109="ใช่","ไม่ผ่านการคัดเลือก",IF(AND(AD109="ผ่าน",ISNUMBER(AC109),AC109&gt;=70),"พร้อมขาย",IF(OR(J109="ใช่",AND(ISNUMBER(AC109),AC109&gt;=50)),"พัฒนาเพื่อพร้อมขาย",IF(AND(ISNUMBER(AC109),AC109&lt;50,I109&gt;=1),"มีศักยภาพ แต่ต้องพัฒนามาตรฐาน","รอประเมิน"))))</x:f>
        <x:v>รอประเมิน</x:v>
      </x:c>
      <x:c r="AF109" s="59" t="str">
        <x:v>ไม่ทราบ</x:v>
      </x:c>
      <x:c r="AG109" s="8" t="str">
        <x:f>IF(AF109="ใช่","หัวหน้าทีมพิจารณาเหตุไม่ผ่าน",IF(OR(AA109&lt;=0,NOT(OR(AND(C109="จำหน่ายอาหาร",ISNUMBER(K109),L109="N/A"),AND(C109="ไม่จำหน่ายอาหาร",K109="N/A",ISNUMBER(L109)),AND(C109="มัสยิด",K109="N/A",L109="N/A",X109="N/A"))),AD109="รอยืนยัน",COUNT(K109:Z109)+COUNTIFS(K109:Z109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09" s="59" t="str"/>
      <x:c r="AI109" s="61"/>
    </x:row>
    <x:row r="110" ht="60" customHeight="1">
      <x:c r="A110" s="2" t="str">
        <x:v>TMF-083</x:v>
      </x:c>
      <x:c r="B110" s="8" t="str">
        <x:v>มุสลิมโฮม2 ห้องพักรายวัน</x:v>
      </x:c>
      <x:c r="C110" s="59" t="str">
        <x:v>ไม่ทราบ</x:v>
      </x:c>
      <x:c r="D110" s="59" t="str">
        <x:v>ไม่ทราบ</x:v>
      </x:c>
      <x:c r="E110" s="59" t="str">
        <x:v>ไม่ทราบ</x:v>
      </x:c>
      <x:c r="F110" s="59" t="str">
        <x:v>ไม่ทราบ</x:v>
      </x:c>
      <x:c r="G110" s="59" t="str">
        <x:v>ไม่ทราบ</x:v>
      </x:c>
      <x:c r="H110" s="59" t="str">
        <x:v>ไม่ทราบ</x:v>
      </x:c>
      <x:c r="I110" s="59"/>
      <x:c r="J110" s="59" t="str">
        <x:v>ไม่ทราบ</x:v>
      </x:c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  <x:c r="AA110" s="8" t="str">
        <x:f>IF(C110="ไม่ทราบ","",SUMIFS($K$7:$Z$7,K110:Z110,"&lt;&gt;N/A"))</x:f>
      </x:c>
      <x:c r="AB110" s="8" t="str">
        <x:f>IF(AND(OR(AND(C110="จำหน่ายอาหาร",ISNUMBER(K110),L110="N/A"),AND(C110="ไม่จำหน่ายอาหาร",K110="N/A",ISNUMBER(L110)),AND(C110="มัสยิด",K110="N/A",L110="N/A",X110="N/A")),COUNT(K110:Z110)+COUNTIFS(K110:Z110,"N/A")=16),SUM(K110:Z110),"")</x:f>
      </x:c>
      <x:c r="AC110" s="62" t="str">
        <x:f>IF(OR(AB110="",AA110&lt;=0),"",ROUND(AB110/AA110*100,1))</x:f>
      </x:c>
      <x:c r="AD110" s="8" t="str">
        <x:f>IF(COUNTIFS(D110:H110,"ไม่ผ่าน")&gt;0,"ไม่ผ่าน",IF(COUNTIFS(D110:H110,"ไม่ทราบ")+COUNTBLANK(D110:H110)&gt;0,"รอยืนยัน","ผ่าน"))</x:f>
        <x:v>รอยืนยัน</x:v>
      </x:c>
      <x:c r="AE110" s="8" t="str">
        <x:f>IF(AF110="ใช่","ไม่ผ่านการคัดเลือก",IF(AND(AD110="ผ่าน",ISNUMBER(AC110),AC110&gt;=70),"พร้อมขาย",IF(OR(J110="ใช่",AND(ISNUMBER(AC110),AC110&gt;=50)),"พัฒนาเพื่อพร้อมขาย",IF(AND(ISNUMBER(AC110),AC110&lt;50,I110&gt;=1),"มีศักยภาพ แต่ต้องพัฒนามาตรฐาน","รอประเมิน"))))</x:f>
        <x:v>รอประเมิน</x:v>
      </x:c>
      <x:c r="AF110" s="59" t="str">
        <x:v>ไม่ทราบ</x:v>
      </x:c>
      <x:c r="AG110" s="8" t="str">
        <x:f>IF(AF110="ใช่","หัวหน้าทีมพิจารณาเหตุไม่ผ่าน",IF(OR(AA110&lt;=0,NOT(OR(AND(C110="จำหน่ายอาหาร",ISNUMBER(K110),L110="N/A"),AND(C110="ไม่จำหน่ายอาหาร",K110="N/A",ISNUMBER(L110)),AND(C110="มัสยิด",K110="N/A",L110="N/A",X110="N/A"))),AD110="รอยืนยัน",COUNT(K110:Z110)+COUNTIFS(K110:Z110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0" s="59" t="str"/>
      <x:c r="AI110" s="61"/>
    </x:row>
    <x:row r="111" ht="60" customHeight="1">
      <x:c r="A111" s="2" t="str">
        <x:v>TMF-475</x:v>
      </x:c>
      <x:c r="B111" s="8" t="str">
        <x:v>รัชดา บูทีค โฮเทล</x:v>
      </x:c>
      <x:c r="C111" s="59" t="str">
        <x:v>ไม่ทราบ</x:v>
      </x:c>
      <x:c r="D111" s="59" t="str">
        <x:v>ไม่ทราบ</x:v>
      </x:c>
      <x:c r="E111" s="59" t="str">
        <x:v>ไม่ทราบ</x:v>
      </x:c>
      <x:c r="F111" s="59" t="str">
        <x:v>ไม่ทราบ</x:v>
      </x:c>
      <x:c r="G111" s="59" t="str">
        <x:v>ไม่ทราบ</x:v>
      </x:c>
      <x:c r="H111" s="59" t="str">
        <x:v>ไม่ทราบ</x:v>
      </x:c>
      <x:c r="I111" s="59"/>
      <x:c r="J111" s="59" t="str">
        <x:v>ไม่ทราบ</x:v>
      </x:c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  <x:c r="AA111" s="8" t="str">
        <x:f>IF(C111="ไม่ทราบ","",SUMIFS($K$7:$Z$7,K111:Z111,"&lt;&gt;N/A"))</x:f>
      </x:c>
      <x:c r="AB111" s="8" t="str">
        <x:f>IF(AND(OR(AND(C111="จำหน่ายอาหาร",ISNUMBER(K111),L111="N/A"),AND(C111="ไม่จำหน่ายอาหาร",K111="N/A",ISNUMBER(L111)),AND(C111="มัสยิด",K111="N/A",L111="N/A",X111="N/A")),COUNT(K111:Z111)+COUNTIFS(K111:Z111,"N/A")=16),SUM(K111:Z111),"")</x:f>
      </x:c>
      <x:c r="AC111" s="62" t="str">
        <x:f>IF(OR(AB111="",AA111&lt;=0),"",ROUND(AB111/AA111*100,1))</x:f>
      </x:c>
      <x:c r="AD111" s="8" t="str">
        <x:f>IF(COUNTIFS(D111:H111,"ไม่ผ่าน")&gt;0,"ไม่ผ่าน",IF(COUNTIFS(D111:H111,"ไม่ทราบ")+COUNTBLANK(D111:H111)&gt;0,"รอยืนยัน","ผ่าน"))</x:f>
        <x:v>รอยืนยัน</x:v>
      </x:c>
      <x:c r="AE111" s="8" t="str">
        <x:f>IF(AF111="ใช่","ไม่ผ่านการคัดเลือก",IF(AND(AD111="ผ่าน",ISNUMBER(AC111),AC111&gt;=70),"พร้อมขาย",IF(OR(J111="ใช่",AND(ISNUMBER(AC111),AC111&gt;=50)),"พัฒนาเพื่อพร้อมขาย",IF(AND(ISNUMBER(AC111),AC111&lt;50,I111&gt;=1),"มีศักยภาพ แต่ต้องพัฒนามาตรฐาน","รอประเมิน"))))</x:f>
        <x:v>รอประเมิน</x:v>
      </x:c>
      <x:c r="AF111" s="59" t="str">
        <x:v>ไม่ทราบ</x:v>
      </x:c>
      <x:c r="AG111" s="8" t="str">
        <x:f>IF(AF111="ใช่","หัวหน้าทีมพิจารณาเหตุไม่ผ่าน",IF(OR(AA111&lt;=0,NOT(OR(AND(C111="จำหน่ายอาหาร",ISNUMBER(K111),L111="N/A"),AND(C111="ไม่จำหน่ายอาหาร",K111="N/A",ISNUMBER(L111)),AND(C111="มัสยิด",K111="N/A",L111="N/A",X111="N/A"))),AD111="รอยืนยัน",COUNT(K111:Z111)+COUNTIFS(K111:Z111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1" s="59" t="str"/>
      <x:c r="AI111" s="61"/>
    </x:row>
    <x:row r="112" ht="60" customHeight="1">
      <x:c r="A112" s="2" t="str">
        <x:v>TMF-477</x:v>
      </x:c>
      <x:c r="B112" s="8" t="str">
        <x:v>โซลิแทร์ แบงค็อก สุขุมวิท 11</x:v>
      </x:c>
      <x:c r="C112" s="59" t="str">
        <x:v>ไม่ทราบ</x:v>
      </x:c>
      <x:c r="D112" s="59" t="str">
        <x:v>ไม่ทราบ</x:v>
      </x:c>
      <x:c r="E112" s="59" t="str">
        <x:v>ไม่ทราบ</x:v>
      </x:c>
      <x:c r="F112" s="59" t="str">
        <x:v>ไม่ทราบ</x:v>
      </x:c>
      <x:c r="G112" s="59" t="str">
        <x:v>ไม่ทราบ</x:v>
      </x:c>
      <x:c r="H112" s="59" t="str">
        <x:v>ไม่ทราบ</x:v>
      </x:c>
      <x:c r="I112" s="59"/>
      <x:c r="J112" s="59" t="str">
        <x:v>ไม่ทราบ</x:v>
      </x:c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  <x:c r="AA112" s="8" t="str">
        <x:f>IF(C112="ไม่ทราบ","",SUMIFS($K$7:$Z$7,K112:Z112,"&lt;&gt;N/A"))</x:f>
      </x:c>
      <x:c r="AB112" s="8" t="str">
        <x:f>IF(AND(OR(AND(C112="จำหน่ายอาหาร",ISNUMBER(K112),L112="N/A"),AND(C112="ไม่จำหน่ายอาหาร",K112="N/A",ISNUMBER(L112)),AND(C112="มัสยิด",K112="N/A",L112="N/A",X112="N/A")),COUNT(K112:Z112)+COUNTIFS(K112:Z112,"N/A")=16),SUM(K112:Z112),"")</x:f>
      </x:c>
      <x:c r="AC112" s="62" t="str">
        <x:f>IF(OR(AB112="",AA112&lt;=0),"",ROUND(AB112/AA112*100,1))</x:f>
      </x:c>
      <x:c r="AD112" s="8" t="str">
        <x:f>IF(COUNTIFS(D112:H112,"ไม่ผ่าน")&gt;0,"ไม่ผ่าน",IF(COUNTIFS(D112:H112,"ไม่ทราบ")+COUNTBLANK(D112:H112)&gt;0,"รอยืนยัน","ผ่าน"))</x:f>
        <x:v>รอยืนยัน</x:v>
      </x:c>
      <x:c r="AE112" s="8" t="str">
        <x:f>IF(AF112="ใช่","ไม่ผ่านการคัดเลือก",IF(AND(AD112="ผ่าน",ISNUMBER(AC112),AC112&gt;=70),"พร้อมขาย",IF(OR(J112="ใช่",AND(ISNUMBER(AC112),AC112&gt;=50)),"พัฒนาเพื่อพร้อมขาย",IF(AND(ISNUMBER(AC112),AC112&lt;50,I112&gt;=1),"มีศักยภาพ แต่ต้องพัฒนามาตรฐาน","รอประเมิน"))))</x:f>
        <x:v>รอประเมิน</x:v>
      </x:c>
      <x:c r="AF112" s="59" t="str">
        <x:v>ไม่ทราบ</x:v>
      </x:c>
      <x:c r="AG112" s="8" t="str">
        <x:f>IF(AF112="ใช่","หัวหน้าทีมพิจารณาเหตุไม่ผ่าน",IF(OR(AA112&lt;=0,NOT(OR(AND(C112="จำหน่ายอาหาร",ISNUMBER(K112),L112="N/A"),AND(C112="ไม่จำหน่ายอาหาร",K112="N/A",ISNUMBER(L112)),AND(C112="มัสยิด",K112="N/A",L112="N/A",X112="N/A"))),AD112="รอยืนยัน",COUNT(K112:Z112)+COUNTIFS(K112:Z112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2" s="59" t="str"/>
      <x:c r="AI112" s="61"/>
    </x:row>
    <x:row r="113" ht="60" customHeight="1">
      <x:c r="A113" s="2" t="str">
        <x:v>TMF-478</x:v>
      </x:c>
      <x:c r="B113" s="8" t="str">
        <x:v>โรงแรม วิลล่า เดอร์ ข้าวสาร</x:v>
      </x:c>
      <x:c r="C113" s="59" t="str">
        <x:v>ไม่ทราบ</x:v>
      </x:c>
      <x:c r="D113" s="59" t="str">
        <x:v>ไม่ทราบ</x:v>
      </x:c>
      <x:c r="E113" s="59" t="str">
        <x:v>ไม่ทราบ</x:v>
      </x:c>
      <x:c r="F113" s="59" t="str">
        <x:v>ไม่ทราบ</x:v>
      </x:c>
      <x:c r="G113" s="59" t="str">
        <x:v>ไม่ทราบ</x:v>
      </x:c>
      <x:c r="H113" s="59" t="str">
        <x:v>ไม่ทราบ</x:v>
      </x:c>
      <x:c r="I113" s="59"/>
      <x:c r="J113" s="59" t="str">
        <x:v>ไม่ทราบ</x:v>
      </x:c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  <x:c r="AA113" s="8" t="str">
        <x:f>IF(C113="ไม่ทราบ","",SUMIFS($K$7:$Z$7,K113:Z113,"&lt;&gt;N/A"))</x:f>
      </x:c>
      <x:c r="AB113" s="8" t="str">
        <x:f>IF(AND(OR(AND(C113="จำหน่ายอาหาร",ISNUMBER(K113),L113="N/A"),AND(C113="ไม่จำหน่ายอาหาร",K113="N/A",ISNUMBER(L113)),AND(C113="มัสยิด",K113="N/A",L113="N/A",X113="N/A")),COUNT(K113:Z113)+COUNTIFS(K113:Z113,"N/A")=16),SUM(K113:Z113),"")</x:f>
      </x:c>
      <x:c r="AC113" s="62" t="str">
        <x:f>IF(OR(AB113="",AA113&lt;=0),"",ROUND(AB113/AA113*100,1))</x:f>
      </x:c>
      <x:c r="AD113" s="8" t="str">
        <x:f>IF(COUNTIFS(D113:H113,"ไม่ผ่าน")&gt;0,"ไม่ผ่าน",IF(COUNTIFS(D113:H113,"ไม่ทราบ")+COUNTBLANK(D113:H113)&gt;0,"รอยืนยัน","ผ่าน"))</x:f>
        <x:v>รอยืนยัน</x:v>
      </x:c>
      <x:c r="AE113" s="8" t="str">
        <x:f>IF(AF113="ใช่","ไม่ผ่านการคัดเลือก",IF(AND(AD113="ผ่าน",ISNUMBER(AC113),AC113&gt;=70),"พร้อมขาย",IF(OR(J113="ใช่",AND(ISNUMBER(AC113),AC113&gt;=50)),"พัฒนาเพื่อพร้อมขาย",IF(AND(ISNUMBER(AC113),AC113&lt;50,I113&gt;=1),"มีศักยภาพ แต่ต้องพัฒนามาตรฐาน","รอประเมิน"))))</x:f>
        <x:v>รอประเมิน</x:v>
      </x:c>
      <x:c r="AF113" s="59" t="str">
        <x:v>ไม่ทราบ</x:v>
      </x:c>
      <x:c r="AG113" s="8" t="str">
        <x:f>IF(AF113="ใช่","หัวหน้าทีมพิจารณาเหตุไม่ผ่าน",IF(OR(AA113&lt;=0,NOT(OR(AND(C113="จำหน่ายอาหาร",ISNUMBER(K113),L113="N/A"),AND(C113="ไม่จำหน่ายอาหาร",K113="N/A",ISNUMBER(L113)),AND(C113="มัสยิด",K113="N/A",L113="N/A",X113="N/A"))),AD113="รอยืนยัน",COUNT(K113:Z113)+COUNTIFS(K113:Z113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3" s="59" t="str"/>
      <x:c r="AI113" s="61"/>
    </x:row>
    <x:row r="114" ht="60" customHeight="1">
      <x:c r="A114" s="2" t="str">
        <x:v>TMF-479</x:v>
      </x:c>
      <x:c r="B114" s="8" t="str">
        <x:v>โรงแรม อิมเพรส ห้วยขวาง</x:v>
      </x:c>
      <x:c r="C114" s="59" t="str">
        <x:v>ไม่ทราบ</x:v>
      </x:c>
      <x:c r="D114" s="59" t="str">
        <x:v>ไม่ทราบ</x:v>
      </x:c>
      <x:c r="E114" s="59" t="str">
        <x:v>ไม่ทราบ</x:v>
      </x:c>
      <x:c r="F114" s="59" t="str">
        <x:v>ไม่ทราบ</x:v>
      </x:c>
      <x:c r="G114" s="59" t="str">
        <x:v>ไม่ทราบ</x:v>
      </x:c>
      <x:c r="H114" s="59" t="str">
        <x:v>ไม่ทราบ</x:v>
      </x:c>
      <x:c r="I114" s="59"/>
      <x:c r="J114" s="59" t="str">
        <x:v>ไม่ทราบ</x:v>
      </x:c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  <x:c r="AA114" s="8" t="str">
        <x:f>IF(C114="ไม่ทราบ","",SUMIFS($K$7:$Z$7,K114:Z114,"&lt;&gt;N/A"))</x:f>
      </x:c>
      <x:c r="AB114" s="8" t="str">
        <x:f>IF(AND(OR(AND(C114="จำหน่ายอาหาร",ISNUMBER(K114),L114="N/A"),AND(C114="ไม่จำหน่ายอาหาร",K114="N/A",ISNUMBER(L114)),AND(C114="มัสยิด",K114="N/A",L114="N/A",X114="N/A")),COUNT(K114:Z114)+COUNTIFS(K114:Z114,"N/A")=16),SUM(K114:Z114),"")</x:f>
      </x:c>
      <x:c r="AC114" s="62" t="str">
        <x:f>IF(OR(AB114="",AA114&lt;=0),"",ROUND(AB114/AA114*100,1))</x:f>
      </x:c>
      <x:c r="AD114" s="8" t="str">
        <x:f>IF(COUNTIFS(D114:H114,"ไม่ผ่าน")&gt;0,"ไม่ผ่าน",IF(COUNTIFS(D114:H114,"ไม่ทราบ")+COUNTBLANK(D114:H114)&gt;0,"รอยืนยัน","ผ่าน"))</x:f>
        <x:v>รอยืนยัน</x:v>
      </x:c>
      <x:c r="AE114" s="8" t="str">
        <x:f>IF(AF114="ใช่","ไม่ผ่านการคัดเลือก",IF(AND(AD114="ผ่าน",ISNUMBER(AC114),AC114&gt;=70),"พร้อมขาย",IF(OR(J114="ใช่",AND(ISNUMBER(AC114),AC114&gt;=50)),"พัฒนาเพื่อพร้อมขาย",IF(AND(ISNUMBER(AC114),AC114&lt;50,I114&gt;=1),"มีศักยภาพ แต่ต้องพัฒนามาตรฐาน","รอประเมิน"))))</x:f>
        <x:v>รอประเมิน</x:v>
      </x:c>
      <x:c r="AF114" s="59" t="str">
        <x:v>ไม่ทราบ</x:v>
      </x:c>
      <x:c r="AG114" s="8" t="str">
        <x:f>IF(AF114="ใช่","หัวหน้าทีมพิจารณาเหตุไม่ผ่าน",IF(OR(AA114&lt;=0,NOT(OR(AND(C114="จำหน่ายอาหาร",ISNUMBER(K114),L114="N/A"),AND(C114="ไม่จำหน่ายอาหาร",K114="N/A",ISNUMBER(L114)),AND(C114="มัสยิด",K114="N/A",L114="N/A",X114="N/A"))),AD114="รอยืนยัน",COUNT(K114:Z114)+COUNTIFS(K114:Z114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4" s="59" t="str"/>
      <x:c r="AI114" s="61"/>
    </x:row>
    <x:row r="115" ht="60" customHeight="1">
      <x:c r="A115" s="2" t="str">
        <x:v>TMF-480</x:v>
      </x:c>
      <x:c r="B115" s="8" t="str">
        <x:v>โรงแรม เจทูเอส ประตูน้ำ</x:v>
      </x:c>
      <x:c r="C115" s="59" t="str">
        <x:v>ไม่ทราบ</x:v>
      </x:c>
      <x:c r="D115" s="59" t="str">
        <x:v>ไม่ทราบ</x:v>
      </x:c>
      <x:c r="E115" s="59" t="str">
        <x:v>ไม่ทราบ</x:v>
      </x:c>
      <x:c r="F115" s="59" t="str">
        <x:v>ไม่ทราบ</x:v>
      </x:c>
      <x:c r="G115" s="59" t="str">
        <x:v>ไม่ทราบ</x:v>
      </x:c>
      <x:c r="H115" s="59" t="str">
        <x:v>ไม่ทราบ</x:v>
      </x:c>
      <x:c r="I115" s="59"/>
      <x:c r="J115" s="59" t="str">
        <x:v>ไม่ทราบ</x:v>
      </x:c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  <x:c r="AA115" s="8" t="str">
        <x:f>IF(C115="ไม่ทราบ","",SUMIFS($K$7:$Z$7,K115:Z115,"&lt;&gt;N/A"))</x:f>
      </x:c>
      <x:c r="AB115" s="8" t="str">
        <x:f>IF(AND(OR(AND(C115="จำหน่ายอาหาร",ISNUMBER(K115),L115="N/A"),AND(C115="ไม่จำหน่ายอาหาร",K115="N/A",ISNUMBER(L115)),AND(C115="มัสยิด",K115="N/A",L115="N/A",X115="N/A")),COUNT(K115:Z115)+COUNTIFS(K115:Z115,"N/A")=16),SUM(K115:Z115),"")</x:f>
      </x:c>
      <x:c r="AC115" s="62" t="str">
        <x:f>IF(OR(AB115="",AA115&lt;=0),"",ROUND(AB115/AA115*100,1))</x:f>
      </x:c>
      <x:c r="AD115" s="8" t="str">
        <x:f>IF(COUNTIFS(D115:H115,"ไม่ผ่าน")&gt;0,"ไม่ผ่าน",IF(COUNTIFS(D115:H115,"ไม่ทราบ")+COUNTBLANK(D115:H115)&gt;0,"รอยืนยัน","ผ่าน"))</x:f>
        <x:v>รอยืนยัน</x:v>
      </x:c>
      <x:c r="AE115" s="8" t="str">
        <x:f>IF(AF115="ใช่","ไม่ผ่านการคัดเลือก",IF(AND(AD115="ผ่าน",ISNUMBER(AC115),AC115&gt;=70),"พร้อมขาย",IF(OR(J115="ใช่",AND(ISNUMBER(AC115),AC115&gt;=50)),"พัฒนาเพื่อพร้อมขาย",IF(AND(ISNUMBER(AC115),AC115&lt;50,I115&gt;=1),"มีศักยภาพ แต่ต้องพัฒนามาตรฐาน","รอประเมิน"))))</x:f>
        <x:v>รอประเมิน</x:v>
      </x:c>
      <x:c r="AF115" s="59" t="str">
        <x:v>ไม่ทราบ</x:v>
      </x:c>
      <x:c r="AG115" s="8" t="str">
        <x:f>IF(AF115="ใช่","หัวหน้าทีมพิจารณาเหตุไม่ผ่าน",IF(OR(AA115&lt;=0,NOT(OR(AND(C115="จำหน่ายอาหาร",ISNUMBER(K115),L115="N/A"),AND(C115="ไม่จำหน่ายอาหาร",K115="N/A",ISNUMBER(L115)),AND(C115="มัสยิด",K115="N/A",L115="N/A",X115="N/A"))),AD115="รอยืนยัน",COUNT(K115:Z115)+COUNTIFS(K115:Z115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5" s="59" t="str"/>
      <x:c r="AI115" s="61"/>
    </x:row>
    <x:row r="116" ht="60" customHeight="1">
      <x:c r="A116" s="2" t="str">
        <x:v>TMF-483</x:v>
      </x:c>
      <x:c r="B116" s="8" t="str">
        <x:v>โรงแรม เดอะ คอตตอน ศาลาแดง</x:v>
      </x:c>
      <x:c r="C116" s="59" t="str">
        <x:v>ไม่ทราบ</x:v>
      </x:c>
      <x:c r="D116" s="59" t="str">
        <x:v>ไม่ทราบ</x:v>
      </x:c>
      <x:c r="E116" s="59" t="str">
        <x:v>ไม่ทราบ</x:v>
      </x:c>
      <x:c r="F116" s="59" t="str">
        <x:v>ไม่ทราบ</x:v>
      </x:c>
      <x:c r="G116" s="59" t="str">
        <x:v>ไม่ทราบ</x:v>
      </x:c>
      <x:c r="H116" s="59" t="str">
        <x:v>ไม่ทราบ</x:v>
      </x:c>
      <x:c r="I116" s="59"/>
      <x:c r="J116" s="59" t="str">
        <x:v>ไม่ทราบ</x:v>
      </x:c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  <x:c r="AA116" s="8" t="str">
        <x:f>IF(C116="ไม่ทราบ","",SUMIFS($K$7:$Z$7,K116:Z116,"&lt;&gt;N/A"))</x:f>
      </x:c>
      <x:c r="AB116" s="8" t="str">
        <x:f>IF(AND(OR(AND(C116="จำหน่ายอาหาร",ISNUMBER(K116),L116="N/A"),AND(C116="ไม่จำหน่ายอาหาร",K116="N/A",ISNUMBER(L116)),AND(C116="มัสยิด",K116="N/A",L116="N/A",X116="N/A")),COUNT(K116:Z116)+COUNTIFS(K116:Z116,"N/A")=16),SUM(K116:Z116),"")</x:f>
      </x:c>
      <x:c r="AC116" s="62" t="str">
        <x:f>IF(OR(AB116="",AA116&lt;=0),"",ROUND(AB116/AA116*100,1))</x:f>
      </x:c>
      <x:c r="AD116" s="8" t="str">
        <x:f>IF(COUNTIFS(D116:H116,"ไม่ผ่าน")&gt;0,"ไม่ผ่าน",IF(COUNTIFS(D116:H116,"ไม่ทราบ")+COUNTBLANK(D116:H116)&gt;0,"รอยืนยัน","ผ่าน"))</x:f>
        <x:v>รอยืนยัน</x:v>
      </x:c>
      <x:c r="AE116" s="8" t="str">
        <x:f>IF(AF116="ใช่","ไม่ผ่านการคัดเลือก",IF(AND(AD116="ผ่าน",ISNUMBER(AC116),AC116&gt;=70),"พร้อมขาย",IF(OR(J116="ใช่",AND(ISNUMBER(AC116),AC116&gt;=50)),"พัฒนาเพื่อพร้อมขาย",IF(AND(ISNUMBER(AC116),AC116&lt;50,I116&gt;=1),"มีศักยภาพ แต่ต้องพัฒนามาตรฐาน","รอประเมิน"))))</x:f>
        <x:v>รอประเมิน</x:v>
      </x:c>
      <x:c r="AF116" s="59" t="str">
        <x:v>ไม่ทราบ</x:v>
      </x:c>
      <x:c r="AG116" s="8" t="str">
        <x:f>IF(AF116="ใช่","หัวหน้าทีมพิจารณาเหตุไม่ผ่าน",IF(OR(AA116&lt;=0,NOT(OR(AND(C116="จำหน่ายอาหาร",ISNUMBER(K116),L116="N/A"),AND(C116="ไม่จำหน่ายอาหาร",K116="N/A",ISNUMBER(L116)),AND(C116="มัสยิด",K116="N/A",L116="N/A",X116="N/A"))),AD116="รอยืนยัน",COUNT(K116:Z116)+COUNTIFS(K116:Z116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6" s="59" t="str"/>
      <x:c r="AI116" s="61"/>
    </x:row>
    <x:row r="117" ht="60" customHeight="1">
      <x:c r="A117" s="2" t="str">
        <x:v>TMF-484</x:v>
      </x:c>
      <x:c r="B117" s="8" t="str">
        <x:v>โรงแรม เดอะ สยาม</x:v>
      </x:c>
      <x:c r="C117" s="59" t="str">
        <x:v>ไม่ทราบ</x:v>
      </x:c>
      <x:c r="D117" s="59" t="str">
        <x:v>ไม่ทราบ</x:v>
      </x:c>
      <x:c r="E117" s="59" t="str">
        <x:v>ไม่ทราบ</x:v>
      </x:c>
      <x:c r="F117" s="59" t="str">
        <x:v>ไม่ทราบ</x:v>
      </x:c>
      <x:c r="G117" s="59" t="str">
        <x:v>ไม่ทราบ</x:v>
      </x:c>
      <x:c r="H117" s="59" t="str">
        <x:v>ไม่ทราบ</x:v>
      </x:c>
      <x:c r="I117" s="59"/>
      <x:c r="J117" s="59" t="str">
        <x:v>ไม่ทราบ</x:v>
      </x:c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  <x:c r="AA117" s="8" t="str">
        <x:f>IF(C117="ไม่ทราบ","",SUMIFS($K$7:$Z$7,K117:Z117,"&lt;&gt;N/A"))</x:f>
      </x:c>
      <x:c r="AB117" s="8" t="str">
        <x:f>IF(AND(OR(AND(C117="จำหน่ายอาหาร",ISNUMBER(K117),L117="N/A"),AND(C117="ไม่จำหน่ายอาหาร",K117="N/A",ISNUMBER(L117)),AND(C117="มัสยิด",K117="N/A",L117="N/A",X117="N/A")),COUNT(K117:Z117)+COUNTIFS(K117:Z117,"N/A")=16),SUM(K117:Z117),"")</x:f>
      </x:c>
      <x:c r="AC117" s="62" t="str">
        <x:f>IF(OR(AB117="",AA117&lt;=0),"",ROUND(AB117/AA117*100,1))</x:f>
      </x:c>
      <x:c r="AD117" s="8" t="str">
        <x:f>IF(COUNTIFS(D117:H117,"ไม่ผ่าน")&gt;0,"ไม่ผ่าน",IF(COUNTIFS(D117:H117,"ไม่ทราบ")+COUNTBLANK(D117:H117)&gt;0,"รอยืนยัน","ผ่าน"))</x:f>
        <x:v>รอยืนยัน</x:v>
      </x:c>
      <x:c r="AE117" s="8" t="str">
        <x:f>IF(AF117="ใช่","ไม่ผ่านการคัดเลือก",IF(AND(AD117="ผ่าน",ISNUMBER(AC117),AC117&gt;=70),"พร้อมขาย",IF(OR(J117="ใช่",AND(ISNUMBER(AC117),AC117&gt;=50)),"พัฒนาเพื่อพร้อมขาย",IF(AND(ISNUMBER(AC117),AC117&lt;50,I117&gt;=1),"มีศักยภาพ แต่ต้องพัฒนามาตรฐาน","รอประเมิน"))))</x:f>
        <x:v>รอประเมิน</x:v>
      </x:c>
      <x:c r="AF117" s="59" t="str">
        <x:v>ไม่ทราบ</x:v>
      </x:c>
      <x:c r="AG117" s="8" t="str">
        <x:f>IF(AF117="ใช่","หัวหน้าทีมพิจารณาเหตุไม่ผ่าน",IF(OR(AA117&lt;=0,NOT(OR(AND(C117="จำหน่ายอาหาร",ISNUMBER(K117),L117="N/A"),AND(C117="ไม่จำหน่ายอาหาร",K117="N/A",ISNUMBER(L117)),AND(C117="มัสยิด",K117="N/A",L117="N/A",X117="N/A"))),AD117="รอยืนยัน",COUNT(K117:Z117)+COUNTIFS(K117:Z117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7" s="59" t="str"/>
      <x:c r="AI117" s="61"/>
    </x:row>
    <x:row r="118" ht="60" customHeight="1">
      <x:c r="A118" s="2" t="str">
        <x:v>TMF-485</x:v>
      </x:c>
      <x:c r="B118" s="8" t="str">
        <x:v>โรงแรม เดอะ เซนต์ รีจิส กรุงเทพ</x:v>
      </x:c>
      <x:c r="C118" s="59" t="str">
        <x:v>ไม่ทราบ</x:v>
      </x:c>
      <x:c r="D118" s="59" t="str">
        <x:v>ไม่ทราบ</x:v>
      </x:c>
      <x:c r="E118" s="59" t="str">
        <x:v>ไม่ทราบ</x:v>
      </x:c>
      <x:c r="F118" s="59" t="str">
        <x:v>ไม่ทราบ</x:v>
      </x:c>
      <x:c r="G118" s="59" t="str">
        <x:v>ไม่ทราบ</x:v>
      </x:c>
      <x:c r="H118" s="59" t="str">
        <x:v>ไม่ทราบ</x:v>
      </x:c>
      <x:c r="I118" s="59"/>
      <x:c r="J118" s="59" t="str">
        <x:v>ไม่ทราบ</x:v>
      </x:c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  <x:c r="AA118" s="8" t="str">
        <x:f>IF(C118="ไม่ทราบ","",SUMIFS($K$7:$Z$7,K118:Z118,"&lt;&gt;N/A"))</x:f>
      </x:c>
      <x:c r="AB118" s="8" t="str">
        <x:f>IF(AND(OR(AND(C118="จำหน่ายอาหาร",ISNUMBER(K118),L118="N/A"),AND(C118="ไม่จำหน่ายอาหาร",K118="N/A",ISNUMBER(L118)),AND(C118="มัสยิด",K118="N/A",L118="N/A",X118="N/A")),COUNT(K118:Z118)+COUNTIFS(K118:Z118,"N/A")=16),SUM(K118:Z118),"")</x:f>
      </x:c>
      <x:c r="AC118" s="62" t="str">
        <x:f>IF(OR(AB118="",AA118&lt;=0),"",ROUND(AB118/AA118*100,1))</x:f>
      </x:c>
      <x:c r="AD118" s="8" t="str">
        <x:f>IF(COUNTIFS(D118:H118,"ไม่ผ่าน")&gt;0,"ไม่ผ่าน",IF(COUNTIFS(D118:H118,"ไม่ทราบ")+COUNTBLANK(D118:H118)&gt;0,"รอยืนยัน","ผ่าน"))</x:f>
        <x:v>รอยืนยัน</x:v>
      </x:c>
      <x:c r="AE118" s="8" t="str">
        <x:f>IF(AF118="ใช่","ไม่ผ่านการคัดเลือก",IF(AND(AD118="ผ่าน",ISNUMBER(AC118),AC118&gt;=70),"พร้อมขาย",IF(OR(J118="ใช่",AND(ISNUMBER(AC118),AC118&gt;=50)),"พัฒนาเพื่อพร้อมขาย",IF(AND(ISNUMBER(AC118),AC118&lt;50,I118&gt;=1),"มีศักยภาพ แต่ต้องพัฒนามาตรฐาน","รอประเมิน"))))</x:f>
        <x:v>รอประเมิน</x:v>
      </x:c>
      <x:c r="AF118" s="59" t="str">
        <x:v>ไม่ทราบ</x:v>
      </x:c>
      <x:c r="AG118" s="8" t="str">
        <x:f>IF(AF118="ใช่","หัวหน้าทีมพิจารณาเหตุไม่ผ่าน",IF(OR(AA118&lt;=0,NOT(OR(AND(C118="จำหน่ายอาหาร",ISNUMBER(K118),L118="N/A"),AND(C118="ไม่จำหน่ายอาหาร",K118="N/A",ISNUMBER(L118)),AND(C118="มัสยิด",K118="N/A",L118="N/A",X118="N/A"))),AD118="รอยืนยัน",COUNT(K118:Z118)+COUNTIFS(K118:Z118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8" s="59" t="str"/>
      <x:c r="AI118" s="61"/>
    </x:row>
    <x:row r="119" ht="60" customHeight="1">
      <x:c r="A119" s="2" t="str">
        <x:v>TMF-486</x:v>
      </x:c>
      <x:c r="B119" s="8" t="str">
        <x:v>โรงแรม เอส รัชดา เลเชอร์</x:v>
      </x:c>
      <x:c r="C119" s="59" t="str">
        <x:v>ไม่ทราบ</x:v>
      </x:c>
      <x:c r="D119" s="59" t="str">
        <x:v>ไม่ทราบ</x:v>
      </x:c>
      <x:c r="E119" s="59" t="str">
        <x:v>ไม่ทราบ</x:v>
      </x:c>
      <x:c r="F119" s="59" t="str">
        <x:v>ไม่ทราบ</x:v>
      </x:c>
      <x:c r="G119" s="59" t="str">
        <x:v>ไม่ทราบ</x:v>
      </x:c>
      <x:c r="H119" s="59" t="str">
        <x:v>ไม่ทราบ</x:v>
      </x:c>
      <x:c r="I119" s="59"/>
      <x:c r="J119" s="59" t="str">
        <x:v>ไม่ทราบ</x:v>
      </x:c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  <x:c r="AA119" s="8" t="str">
        <x:f>IF(C119="ไม่ทราบ","",SUMIFS($K$7:$Z$7,K119:Z119,"&lt;&gt;N/A"))</x:f>
      </x:c>
      <x:c r="AB119" s="8" t="str">
        <x:f>IF(AND(OR(AND(C119="จำหน่ายอาหาร",ISNUMBER(K119),L119="N/A"),AND(C119="ไม่จำหน่ายอาหาร",K119="N/A",ISNUMBER(L119)),AND(C119="มัสยิด",K119="N/A",L119="N/A",X119="N/A")),COUNT(K119:Z119)+COUNTIFS(K119:Z119,"N/A")=16),SUM(K119:Z119),"")</x:f>
      </x:c>
      <x:c r="AC119" s="62" t="str">
        <x:f>IF(OR(AB119="",AA119&lt;=0),"",ROUND(AB119/AA119*100,1))</x:f>
      </x:c>
      <x:c r="AD119" s="8" t="str">
        <x:f>IF(COUNTIFS(D119:H119,"ไม่ผ่าน")&gt;0,"ไม่ผ่าน",IF(COUNTIFS(D119:H119,"ไม่ทราบ")+COUNTBLANK(D119:H119)&gt;0,"รอยืนยัน","ผ่าน"))</x:f>
        <x:v>รอยืนยัน</x:v>
      </x:c>
      <x:c r="AE119" s="8" t="str">
        <x:f>IF(AF119="ใช่","ไม่ผ่านการคัดเลือก",IF(AND(AD119="ผ่าน",ISNUMBER(AC119),AC119&gt;=70),"พร้อมขาย",IF(OR(J119="ใช่",AND(ISNUMBER(AC119),AC119&gt;=50)),"พัฒนาเพื่อพร้อมขาย",IF(AND(ISNUMBER(AC119),AC119&lt;50,I119&gt;=1),"มีศักยภาพ แต่ต้องพัฒนามาตรฐาน","รอประเมิน"))))</x:f>
        <x:v>รอประเมิน</x:v>
      </x:c>
      <x:c r="AF119" s="59" t="str">
        <x:v>ไม่ทราบ</x:v>
      </x:c>
      <x:c r="AG119" s="8" t="str">
        <x:f>IF(AF119="ใช่","หัวหน้าทีมพิจารณาเหตุไม่ผ่าน",IF(OR(AA119&lt;=0,NOT(OR(AND(C119="จำหน่ายอาหาร",ISNUMBER(K119),L119="N/A"),AND(C119="ไม่จำหน่ายอาหาร",K119="N/A",ISNUMBER(L119)),AND(C119="มัสยิด",K119="N/A",L119="N/A",X119="N/A"))),AD119="รอยืนยัน",COUNT(K119:Z119)+COUNTIFS(K119:Z119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19" s="59" t="str"/>
      <x:c r="AI119" s="61"/>
    </x:row>
    <x:row r="120" ht="60" customHeight="1">
      <x:c r="A120" s="2" t="str">
        <x:v>TMF-487</x:v>
      </x:c>
      <x:c r="B120" s="8" t="str">
        <x:v>โรงแรมดับเบิ้ลยู กรุงเทพ</x:v>
      </x:c>
      <x:c r="C120" s="59" t="str">
        <x:v>ไม่ทราบ</x:v>
      </x:c>
      <x:c r="D120" s="59" t="str">
        <x:v>ไม่ทราบ</x:v>
      </x:c>
      <x:c r="E120" s="59" t="str">
        <x:v>ไม่ทราบ</x:v>
      </x:c>
      <x:c r="F120" s="59" t="str">
        <x:v>ไม่ทราบ</x:v>
      </x:c>
      <x:c r="G120" s="59" t="str">
        <x:v>ไม่ทราบ</x:v>
      </x:c>
      <x:c r="H120" s="59" t="str">
        <x:v>ไม่ทราบ</x:v>
      </x:c>
      <x:c r="I120" s="59"/>
      <x:c r="J120" s="59" t="str">
        <x:v>ไม่ทราบ</x:v>
      </x:c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  <x:c r="AA120" s="8" t="str">
        <x:f>IF(C120="ไม่ทราบ","",SUMIFS($K$7:$Z$7,K120:Z120,"&lt;&gt;N/A"))</x:f>
      </x:c>
      <x:c r="AB120" s="8" t="str">
        <x:f>IF(AND(OR(AND(C120="จำหน่ายอาหาร",ISNUMBER(K120),L120="N/A"),AND(C120="ไม่จำหน่ายอาหาร",K120="N/A",ISNUMBER(L120)),AND(C120="มัสยิด",K120="N/A",L120="N/A",X120="N/A")),COUNT(K120:Z120)+COUNTIFS(K120:Z120,"N/A")=16),SUM(K120:Z120),"")</x:f>
      </x:c>
      <x:c r="AC120" s="62" t="str">
        <x:f>IF(OR(AB120="",AA120&lt;=0),"",ROUND(AB120/AA120*100,1))</x:f>
      </x:c>
      <x:c r="AD120" s="8" t="str">
        <x:f>IF(COUNTIFS(D120:H120,"ไม่ผ่าน")&gt;0,"ไม่ผ่าน",IF(COUNTIFS(D120:H120,"ไม่ทราบ")+COUNTBLANK(D120:H120)&gt;0,"รอยืนยัน","ผ่าน"))</x:f>
        <x:v>รอยืนยัน</x:v>
      </x:c>
      <x:c r="AE120" s="8" t="str">
        <x:f>IF(AF120="ใช่","ไม่ผ่านการคัดเลือก",IF(AND(AD120="ผ่าน",ISNUMBER(AC120),AC120&gt;=70),"พร้อมขาย",IF(OR(J120="ใช่",AND(ISNUMBER(AC120),AC120&gt;=50)),"พัฒนาเพื่อพร้อมขาย",IF(AND(ISNUMBER(AC120),AC120&lt;50,I120&gt;=1),"มีศักยภาพ แต่ต้องพัฒนามาตรฐาน","รอประเมิน"))))</x:f>
        <x:v>รอประเมิน</x:v>
      </x:c>
      <x:c r="AF120" s="59" t="str">
        <x:v>ไม่ทราบ</x:v>
      </x:c>
      <x:c r="AG120" s="8" t="str">
        <x:f>IF(AF120="ใช่","หัวหน้าทีมพิจารณาเหตุไม่ผ่าน",IF(OR(AA120&lt;=0,NOT(OR(AND(C120="จำหน่ายอาหาร",ISNUMBER(K120),L120="N/A"),AND(C120="ไม่จำหน่ายอาหาร",K120="N/A",ISNUMBER(L120)),AND(C120="มัสยิด",K120="N/A",L120="N/A",X120="N/A"))),AD120="รอยืนยัน",COUNT(K120:Z120)+COUNTIFS(K120:Z120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0" s="59" t="str"/>
      <x:c r="AI120" s="61"/>
    </x:row>
    <x:row r="121" ht="60" customHeight="1">
      <x:c r="A121" s="2" t="str">
        <x:v>TMF-043</x:v>
      </x:c>
      <x:c r="B121" s="8" t="str">
        <x:v>โรงแรมบ้านเจ้าคุณ เคหะร่มเกล้า</x:v>
      </x:c>
      <x:c r="C121" s="59" t="str">
        <x:v>ไม่ทราบ</x:v>
      </x:c>
      <x:c r="D121" s="59" t="str">
        <x:v>ไม่ทราบ</x:v>
      </x:c>
      <x:c r="E121" s="59" t="str">
        <x:v>ไม่ทราบ</x:v>
      </x:c>
      <x:c r="F121" s="59" t="str">
        <x:v>ไม่ทราบ</x:v>
      </x:c>
      <x:c r="G121" s="59" t="str">
        <x:v>ไม่ทราบ</x:v>
      </x:c>
      <x:c r="H121" s="59" t="str">
        <x:v>ไม่ทราบ</x:v>
      </x:c>
      <x:c r="I121" s="59"/>
      <x:c r="J121" s="59" t="str">
        <x:v>ไม่ทราบ</x:v>
      </x:c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  <x:c r="AA121" s="8" t="str">
        <x:f>IF(C121="ไม่ทราบ","",SUMIFS($K$7:$Z$7,K121:Z121,"&lt;&gt;N/A"))</x:f>
      </x:c>
      <x:c r="AB121" s="8" t="str">
        <x:f>IF(AND(OR(AND(C121="จำหน่ายอาหาร",ISNUMBER(K121),L121="N/A"),AND(C121="ไม่จำหน่ายอาหาร",K121="N/A",ISNUMBER(L121)),AND(C121="มัสยิด",K121="N/A",L121="N/A",X121="N/A")),COUNT(K121:Z121)+COUNTIFS(K121:Z121,"N/A")=16),SUM(K121:Z121),"")</x:f>
      </x:c>
      <x:c r="AC121" s="62" t="str">
        <x:f>IF(OR(AB121="",AA121&lt;=0),"",ROUND(AB121/AA121*100,1))</x:f>
      </x:c>
      <x:c r="AD121" s="8" t="str">
        <x:f>IF(COUNTIFS(D121:H121,"ไม่ผ่าน")&gt;0,"ไม่ผ่าน",IF(COUNTIFS(D121:H121,"ไม่ทราบ")+COUNTBLANK(D121:H121)&gt;0,"รอยืนยัน","ผ่าน"))</x:f>
        <x:v>รอยืนยัน</x:v>
      </x:c>
      <x:c r="AE121" s="8" t="str">
        <x:f>IF(AF121="ใช่","ไม่ผ่านการคัดเลือก",IF(AND(AD121="ผ่าน",ISNUMBER(AC121),AC121&gt;=70),"พร้อมขาย",IF(OR(J121="ใช่",AND(ISNUMBER(AC121),AC121&gt;=50)),"พัฒนาเพื่อพร้อมขาย",IF(AND(ISNUMBER(AC121),AC121&lt;50,I121&gt;=1),"มีศักยภาพ แต่ต้องพัฒนามาตรฐาน","รอประเมิน"))))</x:f>
        <x:v>รอประเมิน</x:v>
      </x:c>
      <x:c r="AF121" s="59" t="str">
        <x:v>ไม่ทราบ</x:v>
      </x:c>
      <x:c r="AG121" s="8" t="str">
        <x:f>IF(AF121="ใช่","หัวหน้าทีมพิจารณาเหตุไม่ผ่าน",IF(OR(AA121&lt;=0,NOT(OR(AND(C121="จำหน่ายอาหาร",ISNUMBER(K121),L121="N/A"),AND(C121="ไม่จำหน่ายอาหาร",K121="N/A",ISNUMBER(L121)),AND(C121="มัสยิด",K121="N/A",L121="N/A",X121="N/A"))),AD121="รอยืนยัน",COUNT(K121:Z121)+COUNTIFS(K121:Z121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1" s="59" t="str"/>
      <x:c r="AI121" s="61"/>
    </x:row>
    <x:row r="122" ht="60" customHeight="1">
      <x:c r="A122" s="2" t="str">
        <x:v>TMF-045</x:v>
      </x:c>
      <x:c r="B122" s="8" t="str">
        <x:v>Abu Ali Cuisine By Iraqi Restaurant</x:v>
      </x:c>
      <x:c r="C122" s="59" t="str">
        <x:v>จำหน่ายอาหาร</x:v>
      </x:c>
      <x:c r="D122" s="59" t="str">
        <x:v>ไม่ทราบ</x:v>
      </x:c>
      <x:c r="E122" s="59" t="str">
        <x:v>ไม่ทราบ</x:v>
      </x:c>
      <x:c r="F122" s="59" t="str">
        <x:v>ไม่ทราบ</x:v>
      </x:c>
      <x:c r="G122" s="59" t="str">
        <x:v>ไม่ทราบ</x:v>
      </x:c>
      <x:c r="H122" s="59" t="str">
        <x:v>N/A</x:v>
      </x:c>
      <x:c r="I122" s="59"/>
      <x:c r="J122" s="59" t="str">
        <x:v>ไม่ทราบ</x:v>
      </x:c>
      <x:c r="K122" s="59"/>
      <x:c r="L122" s="59" t="str">
        <x:v>N/A</x:v>
      </x:c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  <x:c r="AA122" s="8" t="n">
        <x:f>IF(C122="ไม่ทราบ","",SUMIFS($K$7:$Z$7,K122:Z122,"&lt;&gt;N/A"))</x:f>
        <x:v>100</x:v>
      </x:c>
      <x:c r="AB122" s="8" t="str">
        <x:f>IF(AND(OR(AND(C122="จำหน่ายอาหาร",ISNUMBER(K122),L122="N/A"),AND(C122="ไม่จำหน่ายอาหาร",K122="N/A",ISNUMBER(L122)),AND(C122="มัสยิด",K122="N/A",L122="N/A",X122="N/A")),COUNT(K122:Z122)+COUNTIFS(K122:Z122,"N/A")=16),SUM(K122:Z122),"")</x:f>
      </x:c>
      <x:c r="AC122" s="62" t="str">
        <x:f>IF(OR(AB122="",AA122&lt;=0),"",ROUND(AB122/AA122*100,1))</x:f>
      </x:c>
      <x:c r="AD122" s="8" t="str">
        <x:f>IF(COUNTIFS(D122:H122,"ไม่ผ่าน")&gt;0,"ไม่ผ่าน",IF(COUNTIFS(D122:H122,"ไม่ทราบ")+COUNTBLANK(D122:H122)&gt;0,"รอยืนยัน","ผ่าน"))</x:f>
        <x:v>รอยืนยัน</x:v>
      </x:c>
      <x:c r="AE122" s="8" t="str">
        <x:f>IF(AF122="ใช่","ไม่ผ่านการคัดเลือก",IF(AND(AD122="ผ่าน",ISNUMBER(AC122),AC122&gt;=70),"พร้อมขาย",IF(OR(J122="ใช่",AND(ISNUMBER(AC122),AC122&gt;=50)),"พัฒนาเพื่อพร้อมขาย",IF(AND(ISNUMBER(AC122),AC122&lt;50,I122&gt;=1),"มีศักยภาพ แต่ต้องพัฒนามาตรฐาน","รอประเมิน"))))</x:f>
        <x:v>รอประเมิน</x:v>
      </x:c>
      <x:c r="AF122" s="59" t="str">
        <x:v>ไม่ทราบ</x:v>
      </x:c>
      <x:c r="AG122" s="8" t="str">
        <x:f>IF(AF122="ใช่","หัวหน้าทีมพิจารณาเหตุไม่ผ่าน",IF(OR(AA122&lt;=0,NOT(OR(AND(C122="จำหน่ายอาหาร",ISNUMBER(K122),L122="N/A"),AND(C122="ไม่จำหน่ายอาหาร",K122="N/A",ISNUMBER(L122)),AND(C122="มัสยิด",K122="N/A",L122="N/A",X122="N/A"))),AD122="รอยืนยัน",COUNT(K122:Z122)+COUNTIFS(K122:Z122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2" s="59" t="str"/>
      <x:c r="AI122" s="61"/>
    </x:row>
    <x:row r="123" ht="60" customHeight="1">
      <x:c r="A123" s="2" t="str">
        <x:v>TMF-046</x:v>
      </x:c>
      <x:c r="B123" s="8" t="str">
        <x:v>Alinga Tea &amp; Dining - อลิงก้า</x:v>
      </x:c>
      <x:c r="C123" s="59" t="str">
        <x:v>จำหน่ายอาหาร</x:v>
      </x:c>
      <x:c r="D123" s="59" t="str">
        <x:v>ไม่ทราบ</x:v>
      </x:c>
      <x:c r="E123" s="59" t="str">
        <x:v>ไม่ทราบ</x:v>
      </x:c>
      <x:c r="F123" s="59" t="str">
        <x:v>ไม่ทราบ</x:v>
      </x:c>
      <x:c r="G123" s="59" t="str">
        <x:v>ไม่ทราบ</x:v>
      </x:c>
      <x:c r="H123" s="59" t="str">
        <x:v>N/A</x:v>
      </x:c>
      <x:c r="I123" s="59"/>
      <x:c r="J123" s="59" t="str">
        <x:v>ไม่ทราบ</x:v>
      </x:c>
      <x:c r="K123" s="59"/>
      <x:c r="L123" s="59" t="str">
        <x:v>N/A</x:v>
      </x:c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  <x:c r="AA123" s="8" t="n">
        <x:f>IF(C123="ไม่ทราบ","",SUMIFS($K$7:$Z$7,K123:Z123,"&lt;&gt;N/A"))</x:f>
        <x:v>100</x:v>
      </x:c>
      <x:c r="AB123" s="8" t="str">
        <x:f>IF(AND(OR(AND(C123="จำหน่ายอาหาร",ISNUMBER(K123),L123="N/A"),AND(C123="ไม่จำหน่ายอาหาร",K123="N/A",ISNUMBER(L123)),AND(C123="มัสยิด",K123="N/A",L123="N/A",X123="N/A")),COUNT(K123:Z123)+COUNTIFS(K123:Z123,"N/A")=16),SUM(K123:Z123),"")</x:f>
      </x:c>
      <x:c r="AC123" s="62" t="str">
        <x:f>IF(OR(AB123="",AA123&lt;=0),"",ROUND(AB123/AA123*100,1))</x:f>
      </x:c>
      <x:c r="AD123" s="8" t="str">
        <x:f>IF(COUNTIFS(D123:H123,"ไม่ผ่าน")&gt;0,"ไม่ผ่าน",IF(COUNTIFS(D123:H123,"ไม่ทราบ")+COUNTBLANK(D123:H123)&gt;0,"รอยืนยัน","ผ่าน"))</x:f>
        <x:v>รอยืนยัน</x:v>
      </x:c>
      <x:c r="AE123" s="8" t="str">
        <x:f>IF(AF123="ใช่","ไม่ผ่านการคัดเลือก",IF(AND(AD123="ผ่าน",ISNUMBER(AC123),AC123&gt;=70),"พร้อมขาย",IF(OR(J123="ใช่",AND(ISNUMBER(AC123),AC123&gt;=50)),"พัฒนาเพื่อพร้อมขาย",IF(AND(ISNUMBER(AC123),AC123&lt;50,I123&gt;=1),"มีศักยภาพ แต่ต้องพัฒนามาตรฐาน","รอประเมิน"))))</x:f>
        <x:v>รอประเมิน</x:v>
      </x:c>
      <x:c r="AF123" s="59" t="str">
        <x:v>ไม่ทราบ</x:v>
      </x:c>
      <x:c r="AG123" s="8" t="str">
        <x:f>IF(AF123="ใช่","หัวหน้าทีมพิจารณาเหตุไม่ผ่าน",IF(OR(AA123&lt;=0,NOT(OR(AND(C123="จำหน่ายอาหาร",ISNUMBER(K123),L123="N/A"),AND(C123="ไม่จำหน่ายอาหาร",K123="N/A",ISNUMBER(L123)),AND(C123="มัสยิด",K123="N/A",L123="N/A",X123="N/A"))),AD123="รอยืนยัน",COUNT(K123:Z123)+COUNTIFS(K123:Z123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3" s="59" t="str"/>
      <x:c r="AI123" s="61"/>
    </x:row>
    <x:row r="124" ht="60" customHeight="1">
      <x:c r="A124" s="2" t="str">
        <x:v>GMHI-37</x:v>
      </x:c>
      <x:c r="B124" s="8" t="str">
        <x:v>Bi'halalika Roti &amp; Bistro</x:v>
      </x:c>
      <x:c r="C124" s="59" t="str">
        <x:v>จำหน่ายอาหาร</x:v>
      </x:c>
      <x:c r="D124" s="59" t="str">
        <x:v>ไม่ทราบ</x:v>
      </x:c>
      <x:c r="E124" s="59" t="str">
        <x:v>ไม่ทราบ</x:v>
      </x:c>
      <x:c r="F124" s="59" t="str">
        <x:v>ไม่ทราบ</x:v>
      </x:c>
      <x:c r="G124" s="59" t="str">
        <x:v>ไม่ทราบ</x:v>
      </x:c>
      <x:c r="H124" s="59" t="str">
        <x:v>N/A</x:v>
      </x:c>
      <x:c r="I124" s="59"/>
      <x:c r="J124" s="59" t="str">
        <x:v>ไม่ทราบ</x:v>
      </x:c>
      <x:c r="K124" s="59"/>
      <x:c r="L124" s="59" t="str">
        <x:v>N/A</x:v>
      </x:c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  <x:c r="AA124" s="8" t="n">
        <x:f>IF(C124="ไม่ทราบ","",SUMIFS($K$7:$Z$7,K124:Z124,"&lt;&gt;N/A"))</x:f>
        <x:v>100</x:v>
      </x:c>
      <x:c r="AB124" s="8" t="str">
        <x:f>IF(AND(OR(AND(C124="จำหน่ายอาหาร",ISNUMBER(K124),L124="N/A"),AND(C124="ไม่จำหน่ายอาหาร",K124="N/A",ISNUMBER(L124)),AND(C124="มัสยิด",K124="N/A",L124="N/A",X124="N/A")),COUNT(K124:Z124)+COUNTIFS(K124:Z124,"N/A")=16),SUM(K124:Z124),"")</x:f>
      </x:c>
      <x:c r="AC124" s="62" t="str">
        <x:f>IF(OR(AB124="",AA124&lt;=0),"",ROUND(AB124/AA124*100,1))</x:f>
      </x:c>
      <x:c r="AD124" s="8" t="str">
        <x:f>IF(COUNTIFS(D124:H124,"ไม่ผ่าน")&gt;0,"ไม่ผ่าน",IF(COUNTIFS(D124:H124,"ไม่ทราบ")+COUNTBLANK(D124:H124)&gt;0,"รอยืนยัน","ผ่าน"))</x:f>
        <x:v>รอยืนยัน</x:v>
      </x:c>
      <x:c r="AE124" s="8" t="str">
        <x:f>IF(AF124="ใช่","ไม่ผ่านการคัดเลือก",IF(AND(AD124="ผ่าน",ISNUMBER(AC124),AC124&gt;=70),"พร้อมขาย",IF(OR(J124="ใช่",AND(ISNUMBER(AC124),AC124&gt;=50)),"พัฒนาเพื่อพร้อมขาย",IF(AND(ISNUMBER(AC124),AC124&lt;50,I124&gt;=1),"มีศักยภาพ แต่ต้องพัฒนามาตรฐาน","รอประเมิน"))))</x:f>
        <x:v>รอประเมิน</x:v>
      </x:c>
      <x:c r="AF124" s="59" t="str">
        <x:v>ไม่ทราบ</x:v>
      </x:c>
      <x:c r="AG124" s="8" t="str">
        <x:f>IF(AF124="ใช่","หัวหน้าทีมพิจารณาเหตุไม่ผ่าน",IF(OR(AA124&lt;=0,NOT(OR(AND(C124="จำหน่ายอาหาร",ISNUMBER(K124),L124="N/A"),AND(C124="ไม่จำหน่ายอาหาร",K124="N/A",ISNUMBER(L124)),AND(C124="มัสยิด",K124="N/A",L124="N/A",X124="N/A"))),AD124="รอยืนยัน",COUNT(K124:Z124)+COUNTIFS(K124:Z124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4" s="59" t="str"/>
      <x:c r="AI124" s="61"/>
    </x:row>
    <x:row r="125" ht="60" customHeight="1">
      <x:c r="A125" s="2" t="str">
        <x:v>TMF-047</x:v>
      </x:c>
      <x:c r="B125" s="8" t="str">
        <x:v>Bigbeef Premium HALAL Buffet</x:v>
      </x:c>
      <x:c r="C125" s="59" t="str">
        <x:v>จำหน่ายอาหาร</x:v>
      </x:c>
      <x:c r="D125" s="59" t="str">
        <x:v>ไม่ทราบ</x:v>
      </x:c>
      <x:c r="E125" s="59" t="str">
        <x:v>ไม่ทราบ</x:v>
      </x:c>
      <x:c r="F125" s="59" t="str">
        <x:v>ไม่ทราบ</x:v>
      </x:c>
      <x:c r="G125" s="59" t="str">
        <x:v>ไม่ทราบ</x:v>
      </x:c>
      <x:c r="H125" s="59" t="str">
        <x:v>N/A</x:v>
      </x:c>
      <x:c r="I125" s="59"/>
      <x:c r="J125" s="59" t="str">
        <x:v>ไม่ทราบ</x:v>
      </x:c>
      <x:c r="K125" s="59"/>
      <x:c r="L125" s="59" t="str">
        <x:v>N/A</x:v>
      </x:c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  <x:c r="AA125" s="8" t="n">
        <x:f>IF(C125="ไม่ทราบ","",SUMIFS($K$7:$Z$7,K125:Z125,"&lt;&gt;N/A"))</x:f>
        <x:v>100</x:v>
      </x:c>
      <x:c r="AB125" s="8" t="str">
        <x:f>IF(AND(OR(AND(C125="จำหน่ายอาหาร",ISNUMBER(K125),L125="N/A"),AND(C125="ไม่จำหน่ายอาหาร",K125="N/A",ISNUMBER(L125)),AND(C125="มัสยิด",K125="N/A",L125="N/A",X125="N/A")),COUNT(K125:Z125)+COUNTIFS(K125:Z125,"N/A")=16),SUM(K125:Z125),"")</x:f>
      </x:c>
      <x:c r="AC125" s="62" t="str">
        <x:f>IF(OR(AB125="",AA125&lt;=0),"",ROUND(AB125/AA125*100,1))</x:f>
      </x:c>
      <x:c r="AD125" s="8" t="str">
        <x:f>IF(COUNTIFS(D125:H125,"ไม่ผ่าน")&gt;0,"ไม่ผ่าน",IF(COUNTIFS(D125:H125,"ไม่ทราบ")+COUNTBLANK(D125:H125)&gt;0,"รอยืนยัน","ผ่าน"))</x:f>
        <x:v>รอยืนยัน</x:v>
      </x:c>
      <x:c r="AE125" s="8" t="str">
        <x:f>IF(AF125="ใช่","ไม่ผ่านการคัดเลือก",IF(AND(AD125="ผ่าน",ISNUMBER(AC125),AC125&gt;=70),"พร้อมขาย",IF(OR(J125="ใช่",AND(ISNUMBER(AC125),AC125&gt;=50)),"พัฒนาเพื่อพร้อมขาย",IF(AND(ISNUMBER(AC125),AC125&lt;50,I125&gt;=1),"มีศักยภาพ แต่ต้องพัฒนามาตรฐาน","รอประเมิน"))))</x:f>
        <x:v>รอประเมิน</x:v>
      </x:c>
      <x:c r="AF125" s="59" t="str">
        <x:v>ไม่ทราบ</x:v>
      </x:c>
      <x:c r="AG125" s="8" t="str">
        <x:f>IF(AF125="ใช่","หัวหน้าทีมพิจารณาเหตุไม่ผ่าน",IF(OR(AA125&lt;=0,NOT(OR(AND(C125="จำหน่ายอาหาร",ISNUMBER(K125),L125="N/A"),AND(C125="ไม่จำหน่ายอาหาร",K125="N/A",ISNUMBER(L125)),AND(C125="มัสยิด",K125="N/A",L125="N/A",X125="N/A"))),AD125="รอยืนยัน",COUNT(K125:Z125)+COUNTIFS(K125:Z125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5" s="59" t="str"/>
      <x:c r="AI125" s="61"/>
    </x:row>
    <x:row r="126" ht="60" customHeight="1">
      <x:c r="A126" s="2" t="str">
        <x:v>TMF-049</x:v>
      </x:c>
      <x:c r="B126" s="8" t="str">
        <x:v>Good Mood  Cafe and Milk  Bar</x:v>
      </x:c>
      <x:c r="C126" s="59" t="str">
        <x:v>จำหน่ายอาหาร</x:v>
      </x:c>
      <x:c r="D126" s="59" t="str">
        <x:v>ไม่ทราบ</x:v>
      </x:c>
      <x:c r="E126" s="59" t="str">
        <x:v>ไม่ทราบ</x:v>
      </x:c>
      <x:c r="F126" s="59" t="str">
        <x:v>ไม่ทราบ</x:v>
      </x:c>
      <x:c r="G126" s="59" t="str">
        <x:v>ไม่ทราบ</x:v>
      </x:c>
      <x:c r="H126" s="59" t="str">
        <x:v>N/A</x:v>
      </x:c>
      <x:c r="I126" s="59"/>
      <x:c r="J126" s="59" t="str">
        <x:v>ไม่ทราบ</x:v>
      </x:c>
      <x:c r="K126" s="59"/>
      <x:c r="L126" s="59" t="str">
        <x:v>N/A</x:v>
      </x:c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  <x:c r="AA126" s="8" t="n">
        <x:f>IF(C126="ไม่ทราบ","",SUMIFS($K$7:$Z$7,K126:Z126,"&lt;&gt;N/A"))</x:f>
        <x:v>100</x:v>
      </x:c>
      <x:c r="AB126" s="8" t="str">
        <x:f>IF(AND(OR(AND(C126="จำหน่ายอาหาร",ISNUMBER(K126),L126="N/A"),AND(C126="ไม่จำหน่ายอาหาร",K126="N/A",ISNUMBER(L126)),AND(C126="มัสยิด",K126="N/A",L126="N/A",X126="N/A")),COUNT(K126:Z126)+COUNTIFS(K126:Z126,"N/A")=16),SUM(K126:Z126),"")</x:f>
      </x:c>
      <x:c r="AC126" s="62" t="str">
        <x:f>IF(OR(AB126="",AA126&lt;=0),"",ROUND(AB126/AA126*100,1))</x:f>
      </x:c>
      <x:c r="AD126" s="8" t="str">
        <x:f>IF(COUNTIFS(D126:H126,"ไม่ผ่าน")&gt;0,"ไม่ผ่าน",IF(COUNTIFS(D126:H126,"ไม่ทราบ")+COUNTBLANK(D126:H126)&gt;0,"รอยืนยัน","ผ่าน"))</x:f>
        <x:v>รอยืนยัน</x:v>
      </x:c>
      <x:c r="AE126" s="8" t="str">
        <x:f>IF(AF126="ใช่","ไม่ผ่านการคัดเลือก",IF(AND(AD126="ผ่าน",ISNUMBER(AC126),AC126&gt;=70),"พร้อมขาย",IF(OR(J126="ใช่",AND(ISNUMBER(AC126),AC126&gt;=50)),"พัฒนาเพื่อพร้อมขาย",IF(AND(ISNUMBER(AC126),AC126&lt;50,I126&gt;=1),"มีศักยภาพ แต่ต้องพัฒนามาตรฐาน","รอประเมิน"))))</x:f>
        <x:v>รอประเมิน</x:v>
      </x:c>
      <x:c r="AF126" s="59" t="str">
        <x:v>ไม่ทราบ</x:v>
      </x:c>
      <x:c r="AG126" s="8" t="str">
        <x:f>IF(AF126="ใช่","หัวหน้าทีมพิจารณาเหตุไม่ผ่าน",IF(OR(AA126&lt;=0,NOT(OR(AND(C126="จำหน่ายอาหาร",ISNUMBER(K126),L126="N/A"),AND(C126="ไม่จำหน่ายอาหาร",K126="N/A",ISNUMBER(L126)),AND(C126="มัสยิด",K126="N/A",L126="N/A",X126="N/A"))),AD126="รอยืนยัน",COUNT(K126:Z126)+COUNTIFS(K126:Z126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6" s="59" t="str"/>
      <x:c r="AI126" s="61"/>
    </x:row>
    <x:row r="127" ht="60" customHeight="1">
      <x:c r="A127" s="2" t="str">
        <x:v>TMF-245</x:v>
      </x:c>
      <x:c r="B127" s="8" t="str">
        <x:v>Hilwah น้ำแซนวิชโบราณฮาลาล</x:v>
      </x:c>
      <x:c r="C127" s="59" t="str">
        <x:v>จำหน่ายอาหาร</x:v>
      </x:c>
      <x:c r="D127" s="59" t="str">
        <x:v>ไม่ทราบ</x:v>
      </x:c>
      <x:c r="E127" s="59" t="str">
        <x:v>ไม่ทราบ</x:v>
      </x:c>
      <x:c r="F127" s="59" t="str">
        <x:v>ไม่ทราบ</x:v>
      </x:c>
      <x:c r="G127" s="59" t="str">
        <x:v>ไม่ทราบ</x:v>
      </x:c>
      <x:c r="H127" s="59" t="str">
        <x:v>N/A</x:v>
      </x:c>
      <x:c r="I127" s="59"/>
      <x:c r="J127" s="59" t="str">
        <x:v>ไม่ทราบ</x:v>
      </x:c>
      <x:c r="K127" s="59"/>
      <x:c r="L127" s="59" t="str">
        <x:v>N/A</x:v>
      </x:c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  <x:c r="AA127" s="8" t="n">
        <x:f>IF(C127="ไม่ทราบ","",SUMIFS($K$7:$Z$7,K127:Z127,"&lt;&gt;N/A"))</x:f>
        <x:v>100</x:v>
      </x:c>
      <x:c r="AB127" s="8" t="str">
        <x:f>IF(AND(OR(AND(C127="จำหน่ายอาหาร",ISNUMBER(K127),L127="N/A"),AND(C127="ไม่จำหน่ายอาหาร",K127="N/A",ISNUMBER(L127)),AND(C127="มัสยิด",K127="N/A",L127="N/A",X127="N/A")),COUNT(K127:Z127)+COUNTIFS(K127:Z127,"N/A")=16),SUM(K127:Z127),"")</x:f>
      </x:c>
      <x:c r="AC127" s="62" t="str">
        <x:f>IF(OR(AB127="",AA127&lt;=0),"",ROUND(AB127/AA127*100,1))</x:f>
      </x:c>
      <x:c r="AD127" s="8" t="str">
        <x:f>IF(COUNTIFS(D127:H127,"ไม่ผ่าน")&gt;0,"ไม่ผ่าน",IF(COUNTIFS(D127:H127,"ไม่ทราบ")+COUNTBLANK(D127:H127)&gt;0,"รอยืนยัน","ผ่าน"))</x:f>
        <x:v>รอยืนยัน</x:v>
      </x:c>
      <x:c r="AE127" s="8" t="str">
        <x:f>IF(AF127="ใช่","ไม่ผ่านการคัดเลือก",IF(AND(AD127="ผ่าน",ISNUMBER(AC127),AC127&gt;=70),"พร้อมขาย",IF(OR(J127="ใช่",AND(ISNUMBER(AC127),AC127&gt;=50)),"พัฒนาเพื่อพร้อมขาย",IF(AND(ISNUMBER(AC127),AC127&lt;50,I127&gt;=1),"มีศักยภาพ แต่ต้องพัฒนามาตรฐาน","รอประเมิน"))))</x:f>
        <x:v>รอประเมิน</x:v>
      </x:c>
      <x:c r="AF127" s="59" t="str">
        <x:v>ไม่ทราบ</x:v>
      </x:c>
      <x:c r="AG127" s="8" t="str">
        <x:f>IF(AF127="ใช่","หัวหน้าทีมพิจารณาเหตุไม่ผ่าน",IF(OR(AA127&lt;=0,NOT(OR(AND(C127="จำหน่ายอาหาร",ISNUMBER(K127),L127="N/A"),AND(C127="ไม่จำหน่ายอาหาร",K127="N/A",ISNUMBER(L127)),AND(C127="มัสยิด",K127="N/A",L127="N/A",X127="N/A"))),AD127="รอยืนยัน",COUNT(K127:Z127)+COUNTIFS(K127:Z127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7" s="59" t="str"/>
      <x:c r="AI127" s="61"/>
    </x:row>
    <x:row r="128" ht="60" customHeight="1">
      <x:c r="A128" s="2" t="str">
        <x:v>TMF-052</x:v>
      </x:c>
      <x:c r="B128" s="8" t="str">
        <x:v>Jidrid Cafe</x:v>
      </x:c>
      <x:c r="C128" s="59" t="str">
        <x:v>จำหน่ายอาหาร</x:v>
      </x:c>
      <x:c r="D128" s="59" t="str">
        <x:v>ไม่ทราบ</x:v>
      </x:c>
      <x:c r="E128" s="59" t="str">
        <x:v>ไม่ทราบ</x:v>
      </x:c>
      <x:c r="F128" s="59" t="str">
        <x:v>ไม่ทราบ</x:v>
      </x:c>
      <x:c r="G128" s="59" t="str">
        <x:v>ไม่ทราบ</x:v>
      </x:c>
      <x:c r="H128" s="59" t="str">
        <x:v>N/A</x:v>
      </x:c>
      <x:c r="I128" s="59"/>
      <x:c r="J128" s="59" t="str">
        <x:v>ไม่ทราบ</x:v>
      </x:c>
      <x:c r="K128" s="59"/>
      <x:c r="L128" s="59" t="str">
        <x:v>N/A</x:v>
      </x:c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  <x:c r="AA128" s="8" t="n">
        <x:f>IF(C128="ไม่ทราบ","",SUMIFS($K$7:$Z$7,K128:Z128,"&lt;&gt;N/A"))</x:f>
        <x:v>100</x:v>
      </x:c>
      <x:c r="AB128" s="8" t="str">
        <x:f>IF(AND(OR(AND(C128="จำหน่ายอาหาร",ISNUMBER(K128),L128="N/A"),AND(C128="ไม่จำหน่ายอาหาร",K128="N/A",ISNUMBER(L128)),AND(C128="มัสยิด",K128="N/A",L128="N/A",X128="N/A")),COUNT(K128:Z128)+COUNTIFS(K128:Z128,"N/A")=16),SUM(K128:Z128),"")</x:f>
      </x:c>
      <x:c r="AC128" s="62" t="str">
        <x:f>IF(OR(AB128="",AA128&lt;=0),"",ROUND(AB128/AA128*100,1))</x:f>
      </x:c>
      <x:c r="AD128" s="8" t="str">
        <x:f>IF(COUNTIFS(D128:H128,"ไม่ผ่าน")&gt;0,"ไม่ผ่าน",IF(COUNTIFS(D128:H128,"ไม่ทราบ")+COUNTBLANK(D128:H128)&gt;0,"รอยืนยัน","ผ่าน"))</x:f>
        <x:v>รอยืนยัน</x:v>
      </x:c>
      <x:c r="AE128" s="8" t="str">
        <x:f>IF(AF128="ใช่","ไม่ผ่านการคัดเลือก",IF(AND(AD128="ผ่าน",ISNUMBER(AC128),AC128&gt;=70),"พร้อมขาย",IF(OR(J128="ใช่",AND(ISNUMBER(AC128),AC128&gt;=50)),"พัฒนาเพื่อพร้อมขาย",IF(AND(ISNUMBER(AC128),AC128&lt;50,I128&gt;=1),"มีศักยภาพ แต่ต้องพัฒนามาตรฐาน","รอประเมิน"))))</x:f>
        <x:v>รอประเมิน</x:v>
      </x:c>
      <x:c r="AF128" s="59" t="str">
        <x:v>ไม่ทราบ</x:v>
      </x:c>
      <x:c r="AG128" s="8" t="str">
        <x:f>IF(AF128="ใช่","หัวหน้าทีมพิจารณาเหตุไม่ผ่าน",IF(OR(AA128&lt;=0,NOT(OR(AND(C128="จำหน่ายอาหาร",ISNUMBER(K128),L128="N/A"),AND(C128="ไม่จำหน่ายอาหาร",K128="N/A",ISNUMBER(L128)),AND(C128="มัสยิด",K128="N/A",L128="N/A",X128="N/A"))),AD128="รอยืนยัน",COUNT(K128:Z128)+COUNTIFS(K128:Z128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8" s="59" t="str"/>
      <x:c r="AI128" s="61"/>
    </x:row>
    <x:row r="129" ht="60" customHeight="1">
      <x:c r="A129" s="2" t="str">
        <x:v>GMHI-33</x:v>
      </x:c>
      <x:c r="B129" s="8" t="str">
        <x:v>Just Salt Steak</x:v>
      </x:c>
      <x:c r="C129" s="59" t="str">
        <x:v>จำหน่ายอาหาร</x:v>
      </x:c>
      <x:c r="D129" s="59" t="str">
        <x:v>ไม่ทราบ</x:v>
      </x:c>
      <x:c r="E129" s="59" t="str">
        <x:v>ไม่ทราบ</x:v>
      </x:c>
      <x:c r="F129" s="59" t="str">
        <x:v>ไม่ทราบ</x:v>
      </x:c>
      <x:c r="G129" s="59" t="str">
        <x:v>ไม่ทราบ</x:v>
      </x:c>
      <x:c r="H129" s="59" t="str">
        <x:v>N/A</x:v>
      </x:c>
      <x:c r="I129" s="59"/>
      <x:c r="J129" s="59" t="str">
        <x:v>ไม่ทราบ</x:v>
      </x:c>
      <x:c r="K129" s="59"/>
      <x:c r="L129" s="59" t="str">
        <x:v>N/A</x:v>
      </x:c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  <x:c r="AA129" s="8" t="n">
        <x:f>IF(C129="ไม่ทราบ","",SUMIFS($K$7:$Z$7,K129:Z129,"&lt;&gt;N/A"))</x:f>
        <x:v>100</x:v>
      </x:c>
      <x:c r="AB129" s="8" t="str">
        <x:f>IF(AND(OR(AND(C129="จำหน่ายอาหาร",ISNUMBER(K129),L129="N/A"),AND(C129="ไม่จำหน่ายอาหาร",K129="N/A",ISNUMBER(L129)),AND(C129="มัสยิด",K129="N/A",L129="N/A",X129="N/A")),COUNT(K129:Z129)+COUNTIFS(K129:Z129,"N/A")=16),SUM(K129:Z129),"")</x:f>
      </x:c>
      <x:c r="AC129" s="62" t="str">
        <x:f>IF(OR(AB129="",AA129&lt;=0),"",ROUND(AB129/AA129*100,1))</x:f>
      </x:c>
      <x:c r="AD129" s="8" t="str">
        <x:f>IF(COUNTIFS(D129:H129,"ไม่ผ่าน")&gt;0,"ไม่ผ่าน",IF(COUNTIFS(D129:H129,"ไม่ทราบ")+COUNTBLANK(D129:H129)&gt;0,"รอยืนยัน","ผ่าน"))</x:f>
        <x:v>รอยืนยัน</x:v>
      </x:c>
      <x:c r="AE129" s="8" t="str">
        <x:f>IF(AF129="ใช่","ไม่ผ่านการคัดเลือก",IF(AND(AD129="ผ่าน",ISNUMBER(AC129),AC129&gt;=70),"พร้อมขาย",IF(OR(J129="ใช่",AND(ISNUMBER(AC129),AC129&gt;=50)),"พัฒนาเพื่อพร้อมขาย",IF(AND(ISNUMBER(AC129),AC129&lt;50,I129&gt;=1),"มีศักยภาพ แต่ต้องพัฒนามาตรฐาน","รอประเมิน"))))</x:f>
        <x:v>รอประเมิน</x:v>
      </x:c>
      <x:c r="AF129" s="59" t="str">
        <x:v>ไม่ทราบ</x:v>
      </x:c>
      <x:c r="AG129" s="8" t="str">
        <x:f>IF(AF129="ใช่","หัวหน้าทีมพิจารณาเหตุไม่ผ่าน",IF(OR(AA129&lt;=0,NOT(OR(AND(C129="จำหน่ายอาหาร",ISNUMBER(K129),L129="N/A"),AND(C129="ไม่จำหน่ายอาหาร",K129="N/A",ISNUMBER(L129)),AND(C129="มัสยิด",K129="N/A",L129="N/A",X129="N/A"))),AD129="รอยืนยัน",COUNT(K129:Z129)+COUNTIFS(K129:Z129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29" s="59" t="str"/>
      <x:c r="AI129" s="61"/>
    </x:row>
    <x:row r="130" ht="60" customHeight="1">
      <x:c r="A130" s="2" t="str">
        <x:v>TMF-053</x:v>
      </x:c>
      <x:c r="B130" s="8" t="str">
        <x:v>KIN YOUBI HALAL</x:v>
      </x:c>
      <x:c r="C130" s="59" t="str">
        <x:v>จำหน่ายอาหาร</x:v>
      </x:c>
      <x:c r="D130" s="59" t="str">
        <x:v>ไม่ทราบ</x:v>
      </x:c>
      <x:c r="E130" s="59" t="str">
        <x:v>ไม่ทราบ</x:v>
      </x:c>
      <x:c r="F130" s="59" t="str">
        <x:v>ไม่ทราบ</x:v>
      </x:c>
      <x:c r="G130" s="59" t="str">
        <x:v>ไม่ทราบ</x:v>
      </x:c>
      <x:c r="H130" s="59" t="str">
        <x:v>N/A</x:v>
      </x:c>
      <x:c r="I130" s="59"/>
      <x:c r="J130" s="59" t="str">
        <x:v>ไม่ทราบ</x:v>
      </x:c>
      <x:c r="K130" s="59"/>
      <x:c r="L130" s="59" t="str">
        <x:v>N/A</x:v>
      </x:c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  <x:c r="AA130" s="8" t="n">
        <x:f>IF(C130="ไม่ทราบ","",SUMIFS($K$7:$Z$7,K130:Z130,"&lt;&gt;N/A"))</x:f>
        <x:v>100</x:v>
      </x:c>
      <x:c r="AB130" s="8" t="str">
        <x:f>IF(AND(OR(AND(C130="จำหน่ายอาหาร",ISNUMBER(K130),L130="N/A"),AND(C130="ไม่จำหน่ายอาหาร",K130="N/A",ISNUMBER(L130)),AND(C130="มัสยิด",K130="N/A",L130="N/A",X130="N/A")),COUNT(K130:Z130)+COUNTIFS(K130:Z130,"N/A")=16),SUM(K130:Z130),"")</x:f>
      </x:c>
      <x:c r="AC130" s="62" t="str">
        <x:f>IF(OR(AB130="",AA130&lt;=0),"",ROUND(AB130/AA130*100,1))</x:f>
      </x:c>
      <x:c r="AD130" s="8" t="str">
        <x:f>IF(COUNTIFS(D130:H130,"ไม่ผ่าน")&gt;0,"ไม่ผ่าน",IF(COUNTIFS(D130:H130,"ไม่ทราบ")+COUNTBLANK(D130:H130)&gt;0,"รอยืนยัน","ผ่าน"))</x:f>
        <x:v>รอยืนยัน</x:v>
      </x:c>
      <x:c r="AE130" s="8" t="str">
        <x:f>IF(AF130="ใช่","ไม่ผ่านการคัดเลือก",IF(AND(AD130="ผ่าน",ISNUMBER(AC130),AC130&gt;=70),"พร้อมขาย",IF(OR(J130="ใช่",AND(ISNUMBER(AC130),AC130&gt;=50)),"พัฒนาเพื่อพร้อมขาย",IF(AND(ISNUMBER(AC130),AC130&lt;50,I130&gt;=1),"มีศักยภาพ แต่ต้องพัฒนามาตรฐาน","รอประเมิน"))))</x:f>
        <x:v>รอประเมิน</x:v>
      </x:c>
      <x:c r="AF130" s="59" t="str">
        <x:v>ไม่ทราบ</x:v>
      </x:c>
      <x:c r="AG130" s="8" t="str">
        <x:f>IF(AF130="ใช่","หัวหน้าทีมพิจารณาเหตุไม่ผ่าน",IF(OR(AA130&lt;=0,NOT(OR(AND(C130="จำหน่ายอาหาร",ISNUMBER(K130),L130="N/A"),AND(C130="ไม่จำหน่ายอาหาร",K130="N/A",ISNUMBER(L130)),AND(C130="มัสยิด",K130="N/A",L130="N/A",X130="N/A"))),AD130="รอยืนยัน",COUNT(K130:Z130)+COUNTIFS(K130:Z130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0" s="59" t="str"/>
      <x:c r="AI130" s="61"/>
    </x:row>
    <x:row r="131" ht="60" customHeight="1">
      <x:c r="A131" s="2" t="str">
        <x:v>TMF-054</x:v>
      </x:c>
      <x:c r="B131" s="8" t="str">
        <x:v>LAHORE RESTAURANT สีลม</x:v>
      </x:c>
      <x:c r="C131" s="59" t="str">
        <x:v>จำหน่ายอาหาร</x:v>
      </x:c>
      <x:c r="D131" s="59" t="str">
        <x:v>ไม่ทราบ</x:v>
      </x:c>
      <x:c r="E131" s="59" t="str">
        <x:v>ไม่ทราบ</x:v>
      </x:c>
      <x:c r="F131" s="59" t="str">
        <x:v>ไม่ทราบ</x:v>
      </x:c>
      <x:c r="G131" s="59" t="str">
        <x:v>ไม่ทราบ</x:v>
      </x:c>
      <x:c r="H131" s="59" t="str">
        <x:v>N/A</x:v>
      </x:c>
      <x:c r="I131" s="59"/>
      <x:c r="J131" s="59" t="str">
        <x:v>ไม่ทราบ</x:v>
      </x:c>
      <x:c r="K131" s="59"/>
      <x:c r="L131" s="59" t="str">
        <x:v>N/A</x:v>
      </x:c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  <x:c r="AA131" s="8" t="n">
        <x:f>IF(C131="ไม่ทราบ","",SUMIFS($K$7:$Z$7,K131:Z131,"&lt;&gt;N/A"))</x:f>
        <x:v>100</x:v>
      </x:c>
      <x:c r="AB131" s="8" t="str">
        <x:f>IF(AND(OR(AND(C131="จำหน่ายอาหาร",ISNUMBER(K131),L131="N/A"),AND(C131="ไม่จำหน่ายอาหาร",K131="N/A",ISNUMBER(L131)),AND(C131="มัสยิด",K131="N/A",L131="N/A",X131="N/A")),COUNT(K131:Z131)+COUNTIFS(K131:Z131,"N/A")=16),SUM(K131:Z131),"")</x:f>
      </x:c>
      <x:c r="AC131" s="62" t="str">
        <x:f>IF(OR(AB131="",AA131&lt;=0),"",ROUND(AB131/AA131*100,1))</x:f>
      </x:c>
      <x:c r="AD131" s="8" t="str">
        <x:f>IF(COUNTIFS(D131:H131,"ไม่ผ่าน")&gt;0,"ไม่ผ่าน",IF(COUNTIFS(D131:H131,"ไม่ทราบ")+COUNTBLANK(D131:H131)&gt;0,"รอยืนยัน","ผ่าน"))</x:f>
        <x:v>รอยืนยัน</x:v>
      </x:c>
      <x:c r="AE131" s="8" t="str">
        <x:f>IF(AF131="ใช่","ไม่ผ่านการคัดเลือก",IF(AND(AD131="ผ่าน",ISNUMBER(AC131),AC131&gt;=70),"พร้อมขาย",IF(OR(J131="ใช่",AND(ISNUMBER(AC131),AC131&gt;=50)),"พัฒนาเพื่อพร้อมขาย",IF(AND(ISNUMBER(AC131),AC131&lt;50,I131&gt;=1),"มีศักยภาพ แต่ต้องพัฒนามาตรฐาน","รอประเมิน"))))</x:f>
        <x:v>รอประเมิน</x:v>
      </x:c>
      <x:c r="AF131" s="59" t="str">
        <x:v>ไม่ทราบ</x:v>
      </x:c>
      <x:c r="AG131" s="8" t="str">
        <x:f>IF(AF131="ใช่","หัวหน้าทีมพิจารณาเหตุไม่ผ่าน",IF(OR(AA131&lt;=0,NOT(OR(AND(C131="จำหน่ายอาหาร",ISNUMBER(K131),L131="N/A"),AND(C131="ไม่จำหน่ายอาหาร",K131="N/A",ISNUMBER(L131)),AND(C131="มัสยิด",K131="N/A",L131="N/A",X131="N/A"))),AD131="รอยืนยัน",COUNT(K131:Z131)+COUNTIFS(K131:Z131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1" s="59" t="str"/>
      <x:c r="AI131" s="61"/>
    </x:row>
    <x:row r="132" ht="60" customHeight="1">
      <x:c r="A132" s="2" t="str">
        <x:v>TMF-056</x:v>
      </x:c>
      <x:c r="B132" s="8" t="str">
        <x:v>Mini Coffee</x:v>
      </x:c>
      <x:c r="C132" s="59" t="str">
        <x:v>จำหน่ายอาหาร</x:v>
      </x:c>
      <x:c r="D132" s="59" t="str">
        <x:v>ไม่ทราบ</x:v>
      </x:c>
      <x:c r="E132" s="59" t="str">
        <x:v>ไม่ทราบ</x:v>
      </x:c>
      <x:c r="F132" s="59" t="str">
        <x:v>ไม่ทราบ</x:v>
      </x:c>
      <x:c r="G132" s="59" t="str">
        <x:v>ไม่ทราบ</x:v>
      </x:c>
      <x:c r="H132" s="59" t="str">
        <x:v>N/A</x:v>
      </x:c>
      <x:c r="I132" s="59"/>
      <x:c r="J132" s="59" t="str">
        <x:v>ไม่ทราบ</x:v>
      </x:c>
      <x:c r="K132" s="59"/>
      <x:c r="L132" s="59" t="str">
        <x:v>N/A</x:v>
      </x:c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  <x:c r="AA132" s="8" t="n">
        <x:f>IF(C132="ไม่ทราบ","",SUMIFS($K$7:$Z$7,K132:Z132,"&lt;&gt;N/A"))</x:f>
        <x:v>100</x:v>
      </x:c>
      <x:c r="AB132" s="8" t="str">
        <x:f>IF(AND(OR(AND(C132="จำหน่ายอาหาร",ISNUMBER(K132),L132="N/A"),AND(C132="ไม่จำหน่ายอาหาร",K132="N/A",ISNUMBER(L132)),AND(C132="มัสยิด",K132="N/A",L132="N/A",X132="N/A")),COUNT(K132:Z132)+COUNTIFS(K132:Z132,"N/A")=16),SUM(K132:Z132),"")</x:f>
      </x:c>
      <x:c r="AC132" s="62" t="str">
        <x:f>IF(OR(AB132="",AA132&lt;=0),"",ROUND(AB132/AA132*100,1))</x:f>
      </x:c>
      <x:c r="AD132" s="8" t="str">
        <x:f>IF(COUNTIFS(D132:H132,"ไม่ผ่าน")&gt;0,"ไม่ผ่าน",IF(COUNTIFS(D132:H132,"ไม่ทราบ")+COUNTBLANK(D132:H132)&gt;0,"รอยืนยัน","ผ่าน"))</x:f>
        <x:v>รอยืนยัน</x:v>
      </x:c>
      <x:c r="AE132" s="8" t="str">
        <x:f>IF(AF132="ใช่","ไม่ผ่านการคัดเลือก",IF(AND(AD132="ผ่าน",ISNUMBER(AC132),AC132&gt;=70),"พร้อมขาย",IF(OR(J132="ใช่",AND(ISNUMBER(AC132),AC132&gt;=50)),"พัฒนาเพื่อพร้อมขาย",IF(AND(ISNUMBER(AC132),AC132&lt;50,I132&gt;=1),"มีศักยภาพ แต่ต้องพัฒนามาตรฐาน","รอประเมิน"))))</x:f>
        <x:v>รอประเมิน</x:v>
      </x:c>
      <x:c r="AF132" s="59" t="str">
        <x:v>ไม่ทราบ</x:v>
      </x:c>
      <x:c r="AG132" s="8" t="str">
        <x:f>IF(AF132="ใช่","หัวหน้าทีมพิจารณาเหตุไม่ผ่าน",IF(OR(AA132&lt;=0,NOT(OR(AND(C132="จำหน่ายอาหาร",ISNUMBER(K132),L132="N/A"),AND(C132="ไม่จำหน่ายอาหาร",K132="N/A",ISNUMBER(L132)),AND(C132="มัสยิด",K132="N/A",L132="N/A",X132="N/A"))),AD132="รอยืนยัน",COUNT(K132:Z132)+COUNTIFS(K132:Z132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2" s="59" t="str"/>
      <x:c r="AI132" s="61"/>
    </x:row>
    <x:row r="133" ht="60" customHeight="1">
      <x:c r="A133" s="2" t="str">
        <x:v>TMF-057</x:v>
      </x:c>
      <x:c r="B133" s="8" t="str">
        <x:v>Mom’s Restaurant</x:v>
      </x:c>
      <x:c r="C133" s="59" t="str">
        <x:v>จำหน่ายอาหาร</x:v>
      </x:c>
      <x:c r="D133" s="59" t="str">
        <x:v>ไม่ทราบ</x:v>
      </x:c>
      <x:c r="E133" s="59" t="str">
        <x:v>ไม่ทราบ</x:v>
      </x:c>
      <x:c r="F133" s="59" t="str">
        <x:v>ไม่ทราบ</x:v>
      </x:c>
      <x:c r="G133" s="59" t="str">
        <x:v>ไม่ทราบ</x:v>
      </x:c>
      <x:c r="H133" s="59" t="str">
        <x:v>N/A</x:v>
      </x:c>
      <x:c r="I133" s="59"/>
      <x:c r="J133" s="59" t="str">
        <x:v>ไม่ทราบ</x:v>
      </x:c>
      <x:c r="K133" s="59"/>
      <x:c r="L133" s="59" t="str">
        <x:v>N/A</x:v>
      </x:c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  <x:c r="AA133" s="8" t="n">
        <x:f>IF(C133="ไม่ทราบ","",SUMIFS($K$7:$Z$7,K133:Z133,"&lt;&gt;N/A"))</x:f>
        <x:v>100</x:v>
      </x:c>
      <x:c r="AB133" s="8" t="str">
        <x:f>IF(AND(OR(AND(C133="จำหน่ายอาหาร",ISNUMBER(K133),L133="N/A"),AND(C133="ไม่จำหน่ายอาหาร",K133="N/A",ISNUMBER(L133)),AND(C133="มัสยิด",K133="N/A",L133="N/A",X133="N/A")),COUNT(K133:Z133)+COUNTIFS(K133:Z133,"N/A")=16),SUM(K133:Z133),"")</x:f>
      </x:c>
      <x:c r="AC133" s="62" t="str">
        <x:f>IF(OR(AB133="",AA133&lt;=0),"",ROUND(AB133/AA133*100,1))</x:f>
      </x:c>
      <x:c r="AD133" s="8" t="str">
        <x:f>IF(COUNTIFS(D133:H133,"ไม่ผ่าน")&gt;0,"ไม่ผ่าน",IF(COUNTIFS(D133:H133,"ไม่ทราบ")+COUNTBLANK(D133:H133)&gt;0,"รอยืนยัน","ผ่าน"))</x:f>
        <x:v>รอยืนยัน</x:v>
      </x:c>
      <x:c r="AE133" s="8" t="str">
        <x:f>IF(AF133="ใช่","ไม่ผ่านการคัดเลือก",IF(AND(AD133="ผ่าน",ISNUMBER(AC133),AC133&gt;=70),"พร้อมขาย",IF(OR(J133="ใช่",AND(ISNUMBER(AC133),AC133&gt;=50)),"พัฒนาเพื่อพร้อมขาย",IF(AND(ISNUMBER(AC133),AC133&lt;50,I133&gt;=1),"มีศักยภาพ แต่ต้องพัฒนามาตรฐาน","รอประเมิน"))))</x:f>
        <x:v>รอประเมิน</x:v>
      </x:c>
      <x:c r="AF133" s="59" t="str">
        <x:v>ไม่ทราบ</x:v>
      </x:c>
      <x:c r="AG133" s="8" t="str">
        <x:f>IF(AF133="ใช่","หัวหน้าทีมพิจารณาเหตุไม่ผ่าน",IF(OR(AA133&lt;=0,NOT(OR(AND(C133="จำหน่ายอาหาร",ISNUMBER(K133),L133="N/A"),AND(C133="ไม่จำหน่ายอาหาร",K133="N/A",ISNUMBER(L133)),AND(C133="มัสยิด",K133="N/A",L133="N/A",X133="N/A"))),AD133="รอยืนยัน",COUNT(K133:Z133)+COUNTIFS(K133:Z133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3" s="59" t="str"/>
      <x:c r="AI133" s="61"/>
    </x:row>
    <x:row r="134" ht="60" customHeight="1">
      <x:c r="A134" s="2" t="str">
        <x:v>TMF-058</x:v>
      </x:c>
      <x:c r="B134" s="8" t="str">
        <x:v>Monkey Suki Halal มีนบุรีคู้ขวา</x:v>
      </x:c>
      <x:c r="C134" s="59" t="str">
        <x:v>จำหน่ายอาหาร</x:v>
      </x:c>
      <x:c r="D134" s="59" t="str">
        <x:v>ไม่ทราบ</x:v>
      </x:c>
      <x:c r="E134" s="59" t="str">
        <x:v>ไม่ทราบ</x:v>
      </x:c>
      <x:c r="F134" s="59" t="str">
        <x:v>ไม่ทราบ</x:v>
      </x:c>
      <x:c r="G134" s="59" t="str">
        <x:v>ไม่ทราบ</x:v>
      </x:c>
      <x:c r="H134" s="59" t="str">
        <x:v>N/A</x:v>
      </x:c>
      <x:c r="I134" s="59"/>
      <x:c r="J134" s="59" t="str">
        <x:v>ไม่ทราบ</x:v>
      </x:c>
      <x:c r="K134" s="59"/>
      <x:c r="L134" s="59" t="str">
        <x:v>N/A</x:v>
      </x:c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  <x:c r="AA134" s="8" t="n">
        <x:f>IF(C134="ไม่ทราบ","",SUMIFS($K$7:$Z$7,K134:Z134,"&lt;&gt;N/A"))</x:f>
        <x:v>100</x:v>
      </x:c>
      <x:c r="AB134" s="8" t="str">
        <x:f>IF(AND(OR(AND(C134="จำหน่ายอาหาร",ISNUMBER(K134),L134="N/A"),AND(C134="ไม่จำหน่ายอาหาร",K134="N/A",ISNUMBER(L134)),AND(C134="มัสยิด",K134="N/A",L134="N/A",X134="N/A")),COUNT(K134:Z134)+COUNTIFS(K134:Z134,"N/A")=16),SUM(K134:Z134),"")</x:f>
      </x:c>
      <x:c r="AC134" s="62" t="str">
        <x:f>IF(OR(AB134="",AA134&lt;=0),"",ROUND(AB134/AA134*100,1))</x:f>
      </x:c>
      <x:c r="AD134" s="8" t="str">
        <x:f>IF(COUNTIFS(D134:H134,"ไม่ผ่าน")&gt;0,"ไม่ผ่าน",IF(COUNTIFS(D134:H134,"ไม่ทราบ")+COUNTBLANK(D134:H134)&gt;0,"รอยืนยัน","ผ่าน"))</x:f>
        <x:v>รอยืนยัน</x:v>
      </x:c>
      <x:c r="AE134" s="8" t="str">
        <x:f>IF(AF134="ใช่","ไม่ผ่านการคัดเลือก",IF(AND(AD134="ผ่าน",ISNUMBER(AC134),AC134&gt;=70),"พร้อมขาย",IF(OR(J134="ใช่",AND(ISNUMBER(AC134),AC134&gt;=50)),"พัฒนาเพื่อพร้อมขาย",IF(AND(ISNUMBER(AC134),AC134&lt;50,I134&gt;=1),"มีศักยภาพ แต่ต้องพัฒนามาตรฐาน","รอประเมิน"))))</x:f>
        <x:v>รอประเมิน</x:v>
      </x:c>
      <x:c r="AF134" s="59" t="str">
        <x:v>ไม่ทราบ</x:v>
      </x:c>
      <x:c r="AG134" s="8" t="str">
        <x:f>IF(AF134="ใช่","หัวหน้าทีมพิจารณาเหตุไม่ผ่าน",IF(OR(AA134&lt;=0,NOT(OR(AND(C134="จำหน่ายอาหาร",ISNUMBER(K134),L134="N/A"),AND(C134="ไม่จำหน่ายอาหาร",K134="N/A",ISNUMBER(L134)),AND(C134="มัสยิด",K134="N/A",L134="N/A",X134="N/A"))),AD134="รอยืนยัน",COUNT(K134:Z134)+COUNTIFS(K134:Z134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4" s="59" t="str"/>
      <x:c r="AI134" s="61"/>
    </x:row>
    <x:row r="135" ht="60" customHeight="1">
      <x:c r="A135" s="2" t="str">
        <x:v>TMF-059</x:v>
      </x:c>
      <x:c r="B135" s="8" t="str">
        <x:v>Monkey Suki รามคำแหง81</x:v>
      </x:c>
      <x:c r="C135" s="59" t="str">
        <x:v>จำหน่ายอาหาร</x:v>
      </x:c>
      <x:c r="D135" s="59" t="str">
        <x:v>ไม่ทราบ</x:v>
      </x:c>
      <x:c r="E135" s="59" t="str">
        <x:v>ไม่ทราบ</x:v>
      </x:c>
      <x:c r="F135" s="59" t="str">
        <x:v>ไม่ทราบ</x:v>
      </x:c>
      <x:c r="G135" s="59" t="str">
        <x:v>ไม่ทราบ</x:v>
      </x:c>
      <x:c r="H135" s="59" t="str">
        <x:v>N/A</x:v>
      </x:c>
      <x:c r="I135" s="59"/>
      <x:c r="J135" s="59" t="str">
        <x:v>ไม่ทราบ</x:v>
      </x:c>
      <x:c r="K135" s="59"/>
      <x:c r="L135" s="59" t="str">
        <x:v>N/A</x:v>
      </x:c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  <x:c r="AA135" s="8" t="n">
        <x:f>IF(C135="ไม่ทราบ","",SUMIFS($K$7:$Z$7,K135:Z135,"&lt;&gt;N/A"))</x:f>
        <x:v>100</x:v>
      </x:c>
      <x:c r="AB135" s="8" t="str">
        <x:f>IF(AND(OR(AND(C135="จำหน่ายอาหาร",ISNUMBER(K135),L135="N/A"),AND(C135="ไม่จำหน่ายอาหาร",K135="N/A",ISNUMBER(L135)),AND(C135="มัสยิด",K135="N/A",L135="N/A",X135="N/A")),COUNT(K135:Z135)+COUNTIFS(K135:Z135,"N/A")=16),SUM(K135:Z135),"")</x:f>
      </x:c>
      <x:c r="AC135" s="62" t="str">
        <x:f>IF(OR(AB135="",AA135&lt;=0),"",ROUND(AB135/AA135*100,1))</x:f>
      </x:c>
      <x:c r="AD135" s="8" t="str">
        <x:f>IF(COUNTIFS(D135:H135,"ไม่ผ่าน")&gt;0,"ไม่ผ่าน",IF(COUNTIFS(D135:H135,"ไม่ทราบ")+COUNTBLANK(D135:H135)&gt;0,"รอยืนยัน","ผ่าน"))</x:f>
        <x:v>รอยืนยัน</x:v>
      </x:c>
      <x:c r="AE135" s="8" t="str">
        <x:f>IF(AF135="ใช่","ไม่ผ่านการคัดเลือก",IF(AND(AD135="ผ่าน",ISNUMBER(AC135),AC135&gt;=70),"พร้อมขาย",IF(OR(J135="ใช่",AND(ISNUMBER(AC135),AC135&gt;=50)),"พัฒนาเพื่อพร้อมขาย",IF(AND(ISNUMBER(AC135),AC135&lt;50,I135&gt;=1),"มีศักยภาพ แต่ต้องพัฒนามาตรฐาน","รอประเมิน"))))</x:f>
        <x:v>รอประเมิน</x:v>
      </x:c>
      <x:c r="AF135" s="59" t="str">
        <x:v>ไม่ทราบ</x:v>
      </x:c>
      <x:c r="AG135" s="8" t="str">
        <x:f>IF(AF135="ใช่","หัวหน้าทีมพิจารณาเหตุไม่ผ่าน",IF(OR(AA135&lt;=0,NOT(OR(AND(C135="จำหน่ายอาหาร",ISNUMBER(K135),L135="N/A"),AND(C135="ไม่จำหน่ายอาหาร",K135="N/A",ISNUMBER(L135)),AND(C135="มัสยิด",K135="N/A",L135="N/A",X135="N/A"))),AD135="รอยืนยัน",COUNT(K135:Z135)+COUNTIFS(K135:Z135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5" s="59" t="str"/>
      <x:c r="AI135" s="61"/>
    </x:row>
    <x:row r="136" ht="60" customHeight="1">
      <x:c r="A136" s="2" t="str">
        <x:v>TMF-060</x:v>
      </x:c>
      <x:c r="B136" s="8" t="str">
        <x:v>Monkey Suki เสรีไทย16</x:v>
      </x:c>
      <x:c r="C136" s="59" t="str">
        <x:v>จำหน่ายอาหาร</x:v>
      </x:c>
      <x:c r="D136" s="59" t="str">
        <x:v>ไม่ทราบ</x:v>
      </x:c>
      <x:c r="E136" s="59" t="str">
        <x:v>ไม่ทราบ</x:v>
      </x:c>
      <x:c r="F136" s="59" t="str">
        <x:v>ไม่ทราบ</x:v>
      </x:c>
      <x:c r="G136" s="59" t="str">
        <x:v>ไม่ทราบ</x:v>
      </x:c>
      <x:c r="H136" s="59" t="str">
        <x:v>N/A</x:v>
      </x:c>
      <x:c r="I136" s="59"/>
      <x:c r="J136" s="59" t="str">
        <x:v>ไม่ทราบ</x:v>
      </x:c>
      <x:c r="K136" s="59"/>
      <x:c r="L136" s="59" t="str">
        <x:v>N/A</x:v>
      </x:c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  <x:c r="AA136" s="8" t="n">
        <x:f>IF(C136="ไม่ทราบ","",SUMIFS($K$7:$Z$7,K136:Z136,"&lt;&gt;N/A"))</x:f>
        <x:v>100</x:v>
      </x:c>
      <x:c r="AB136" s="8" t="str">
        <x:f>IF(AND(OR(AND(C136="จำหน่ายอาหาร",ISNUMBER(K136),L136="N/A"),AND(C136="ไม่จำหน่ายอาหาร",K136="N/A",ISNUMBER(L136)),AND(C136="มัสยิด",K136="N/A",L136="N/A",X136="N/A")),COUNT(K136:Z136)+COUNTIFS(K136:Z136,"N/A")=16),SUM(K136:Z136),"")</x:f>
      </x:c>
      <x:c r="AC136" s="62" t="str">
        <x:f>IF(OR(AB136="",AA136&lt;=0),"",ROUND(AB136/AA136*100,1))</x:f>
      </x:c>
      <x:c r="AD136" s="8" t="str">
        <x:f>IF(COUNTIFS(D136:H136,"ไม่ผ่าน")&gt;0,"ไม่ผ่าน",IF(COUNTIFS(D136:H136,"ไม่ทราบ")+COUNTBLANK(D136:H136)&gt;0,"รอยืนยัน","ผ่าน"))</x:f>
        <x:v>รอยืนยัน</x:v>
      </x:c>
      <x:c r="AE136" s="8" t="str">
        <x:f>IF(AF136="ใช่","ไม่ผ่านการคัดเลือก",IF(AND(AD136="ผ่าน",ISNUMBER(AC136),AC136&gt;=70),"พร้อมขาย",IF(OR(J136="ใช่",AND(ISNUMBER(AC136),AC136&gt;=50)),"พัฒนาเพื่อพร้อมขาย",IF(AND(ISNUMBER(AC136),AC136&lt;50,I136&gt;=1),"มีศักยภาพ แต่ต้องพัฒนามาตรฐาน","รอประเมิน"))))</x:f>
        <x:v>รอประเมิน</x:v>
      </x:c>
      <x:c r="AF136" s="59" t="str">
        <x:v>ไม่ทราบ</x:v>
      </x:c>
      <x:c r="AG136" s="8" t="str">
        <x:f>IF(AF136="ใช่","หัวหน้าทีมพิจารณาเหตุไม่ผ่าน",IF(OR(AA136&lt;=0,NOT(OR(AND(C136="จำหน่ายอาหาร",ISNUMBER(K136),L136="N/A"),AND(C136="ไม่จำหน่ายอาหาร",K136="N/A",ISNUMBER(L136)),AND(C136="มัสยิด",K136="N/A",L136="N/A",X136="N/A"))),AD136="รอยืนยัน",COUNT(K136:Z136)+COUNTIFS(K136:Z136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6" s="59" t="str"/>
      <x:c r="AI136" s="61"/>
    </x:row>
    <x:row r="137" ht="60" customHeight="1">
      <x:c r="A137" s="2" t="str">
        <x:v>TMF-061</x:v>
      </x:c>
      <x:c r="B137" s="8" t="str">
        <x:v>Nes Tea Boba</x:v>
      </x:c>
      <x:c r="C137" s="59" t="str">
        <x:v>จำหน่ายอาหาร</x:v>
      </x:c>
      <x:c r="D137" s="59" t="str">
        <x:v>ไม่ทราบ</x:v>
      </x:c>
      <x:c r="E137" s="59" t="str">
        <x:v>ไม่ทราบ</x:v>
      </x:c>
      <x:c r="F137" s="59" t="str">
        <x:v>ไม่ทราบ</x:v>
      </x:c>
      <x:c r="G137" s="59" t="str">
        <x:v>ไม่ทราบ</x:v>
      </x:c>
      <x:c r="H137" s="59" t="str">
        <x:v>N/A</x:v>
      </x:c>
      <x:c r="I137" s="59"/>
      <x:c r="J137" s="59" t="str">
        <x:v>ไม่ทราบ</x:v>
      </x:c>
      <x:c r="K137" s="59"/>
      <x:c r="L137" s="59" t="str">
        <x:v>N/A</x:v>
      </x:c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  <x:c r="AA137" s="8" t="n">
        <x:f>IF(C137="ไม่ทราบ","",SUMIFS($K$7:$Z$7,K137:Z137,"&lt;&gt;N/A"))</x:f>
        <x:v>100</x:v>
      </x:c>
      <x:c r="AB137" s="8" t="str">
        <x:f>IF(AND(OR(AND(C137="จำหน่ายอาหาร",ISNUMBER(K137),L137="N/A"),AND(C137="ไม่จำหน่ายอาหาร",K137="N/A",ISNUMBER(L137)),AND(C137="มัสยิด",K137="N/A",L137="N/A",X137="N/A")),COUNT(K137:Z137)+COUNTIFS(K137:Z137,"N/A")=16),SUM(K137:Z137),"")</x:f>
      </x:c>
      <x:c r="AC137" s="62" t="str">
        <x:f>IF(OR(AB137="",AA137&lt;=0),"",ROUND(AB137/AA137*100,1))</x:f>
      </x:c>
      <x:c r="AD137" s="8" t="str">
        <x:f>IF(COUNTIFS(D137:H137,"ไม่ผ่าน")&gt;0,"ไม่ผ่าน",IF(COUNTIFS(D137:H137,"ไม่ทราบ")+COUNTBLANK(D137:H137)&gt;0,"รอยืนยัน","ผ่าน"))</x:f>
        <x:v>รอยืนยัน</x:v>
      </x:c>
      <x:c r="AE137" s="8" t="str">
        <x:f>IF(AF137="ใช่","ไม่ผ่านการคัดเลือก",IF(AND(AD137="ผ่าน",ISNUMBER(AC137),AC137&gt;=70),"พร้อมขาย",IF(OR(J137="ใช่",AND(ISNUMBER(AC137),AC137&gt;=50)),"พัฒนาเพื่อพร้อมขาย",IF(AND(ISNUMBER(AC137),AC137&lt;50,I137&gt;=1),"มีศักยภาพ แต่ต้องพัฒนามาตรฐาน","รอประเมิน"))))</x:f>
        <x:v>รอประเมิน</x:v>
      </x:c>
      <x:c r="AF137" s="59" t="str">
        <x:v>ไม่ทราบ</x:v>
      </x:c>
      <x:c r="AG137" s="8" t="str">
        <x:f>IF(AF137="ใช่","หัวหน้าทีมพิจารณาเหตุไม่ผ่าน",IF(OR(AA137&lt;=0,NOT(OR(AND(C137="จำหน่ายอาหาร",ISNUMBER(K137),L137="N/A"),AND(C137="ไม่จำหน่ายอาหาร",K137="N/A",ISNUMBER(L137)),AND(C137="มัสยิด",K137="N/A",L137="N/A",X137="N/A"))),AD137="รอยืนยัน",COUNT(K137:Z137)+COUNTIFS(K137:Z137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7" s="59" t="str"/>
      <x:c r="AI137" s="61"/>
    </x:row>
    <x:row r="138" ht="60" customHeight="1">
      <x:c r="A138" s="2" t="str">
        <x:v>TMF-063</x:v>
      </x:c>
      <x:c r="B138" s="8" t="str">
        <x:v>REEZQ Residence Phyathai</x:v>
      </x:c>
      <x:c r="C138" s="59" t="str">
        <x:v>จำหน่ายอาหาร</x:v>
      </x:c>
      <x:c r="D138" s="59" t="str">
        <x:v>ไม่ทราบ</x:v>
      </x:c>
      <x:c r="E138" s="59" t="str">
        <x:v>ไม่ทราบ</x:v>
      </x:c>
      <x:c r="F138" s="59" t="str">
        <x:v>ไม่ทราบ</x:v>
      </x:c>
      <x:c r="G138" s="59" t="str">
        <x:v>ไม่ทราบ</x:v>
      </x:c>
      <x:c r="H138" s="59" t="str">
        <x:v>N/A</x:v>
      </x:c>
      <x:c r="I138" s="59"/>
      <x:c r="J138" s="59" t="str">
        <x:v>ไม่ทราบ</x:v>
      </x:c>
      <x:c r="K138" s="59"/>
      <x:c r="L138" s="59" t="str">
        <x:v>N/A</x:v>
      </x:c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  <x:c r="AA138" s="8" t="n">
        <x:f>IF(C138="ไม่ทราบ","",SUMIFS($K$7:$Z$7,K138:Z138,"&lt;&gt;N/A"))</x:f>
        <x:v>100</x:v>
      </x:c>
      <x:c r="AB138" s="8" t="str">
        <x:f>IF(AND(OR(AND(C138="จำหน่ายอาหาร",ISNUMBER(K138),L138="N/A"),AND(C138="ไม่จำหน่ายอาหาร",K138="N/A",ISNUMBER(L138)),AND(C138="มัสยิด",K138="N/A",L138="N/A",X138="N/A")),COUNT(K138:Z138)+COUNTIFS(K138:Z138,"N/A")=16),SUM(K138:Z138),"")</x:f>
      </x:c>
      <x:c r="AC138" s="62" t="str">
        <x:f>IF(OR(AB138="",AA138&lt;=0),"",ROUND(AB138/AA138*100,1))</x:f>
      </x:c>
      <x:c r="AD138" s="8" t="str">
        <x:f>IF(COUNTIFS(D138:H138,"ไม่ผ่าน")&gt;0,"ไม่ผ่าน",IF(COUNTIFS(D138:H138,"ไม่ทราบ")+COUNTBLANK(D138:H138)&gt;0,"รอยืนยัน","ผ่าน"))</x:f>
        <x:v>รอยืนยัน</x:v>
      </x:c>
      <x:c r="AE138" s="8" t="str">
        <x:f>IF(AF138="ใช่","ไม่ผ่านการคัดเลือก",IF(AND(AD138="ผ่าน",ISNUMBER(AC138),AC138&gt;=70),"พร้อมขาย",IF(OR(J138="ใช่",AND(ISNUMBER(AC138),AC138&gt;=50)),"พัฒนาเพื่อพร้อมขาย",IF(AND(ISNUMBER(AC138),AC138&lt;50,I138&gt;=1),"มีศักยภาพ แต่ต้องพัฒนามาตรฐาน","รอประเมิน"))))</x:f>
        <x:v>รอประเมิน</x:v>
      </x:c>
      <x:c r="AF138" s="59" t="str">
        <x:v>ไม่ทราบ</x:v>
      </x:c>
      <x:c r="AG138" s="8" t="str">
        <x:f>IF(AF138="ใช่","หัวหน้าทีมพิจารณาเหตุไม่ผ่าน",IF(OR(AA138&lt;=0,NOT(OR(AND(C138="จำหน่ายอาหาร",ISNUMBER(K138),L138="N/A"),AND(C138="ไม่จำหน่ายอาหาร",K138="N/A",ISNUMBER(L138)),AND(C138="มัสยิด",K138="N/A",L138="N/A",X138="N/A"))),AD138="รอยืนยัน",COUNT(K138:Z138)+COUNTIFS(K138:Z138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8" s="59" t="str"/>
      <x:c r="AI138" s="61"/>
    </x:row>
    <x:row r="139" ht="60" customHeight="1">
      <x:c r="A139" s="2" t="str">
        <x:v>GMHI-28</x:v>
      </x:c>
      <x:c r="B139" s="8" t="str">
        <x:v>The Grill</x:v>
      </x:c>
      <x:c r="C139" s="59" t="str">
        <x:v>จำหน่ายอาหาร</x:v>
      </x:c>
      <x:c r="D139" s="59" t="str">
        <x:v>ไม่ทราบ</x:v>
      </x:c>
      <x:c r="E139" s="59" t="str">
        <x:v>ไม่ทราบ</x:v>
      </x:c>
      <x:c r="F139" s="59" t="str">
        <x:v>ไม่ทราบ</x:v>
      </x:c>
      <x:c r="G139" s="59" t="str">
        <x:v>ไม่ทราบ</x:v>
      </x:c>
      <x:c r="H139" s="59" t="str">
        <x:v>N/A</x:v>
      </x:c>
      <x:c r="I139" s="59"/>
      <x:c r="J139" s="59" t="str">
        <x:v>ไม่ทราบ</x:v>
      </x:c>
      <x:c r="K139" s="59"/>
      <x:c r="L139" s="59" t="str">
        <x:v>N/A</x:v>
      </x:c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  <x:c r="AA139" s="8" t="n">
        <x:f>IF(C139="ไม่ทราบ","",SUMIFS($K$7:$Z$7,K139:Z139,"&lt;&gt;N/A"))</x:f>
        <x:v>100</x:v>
      </x:c>
      <x:c r="AB139" s="8" t="str">
        <x:f>IF(AND(OR(AND(C139="จำหน่ายอาหาร",ISNUMBER(K139),L139="N/A"),AND(C139="ไม่จำหน่ายอาหาร",K139="N/A",ISNUMBER(L139)),AND(C139="มัสยิด",K139="N/A",L139="N/A",X139="N/A")),COUNT(K139:Z139)+COUNTIFS(K139:Z139,"N/A")=16),SUM(K139:Z139),"")</x:f>
      </x:c>
      <x:c r="AC139" s="62" t="str">
        <x:f>IF(OR(AB139="",AA139&lt;=0),"",ROUND(AB139/AA139*100,1))</x:f>
      </x:c>
      <x:c r="AD139" s="8" t="str">
        <x:f>IF(COUNTIFS(D139:H139,"ไม่ผ่าน")&gt;0,"ไม่ผ่าน",IF(COUNTIFS(D139:H139,"ไม่ทราบ")+COUNTBLANK(D139:H139)&gt;0,"รอยืนยัน","ผ่าน"))</x:f>
        <x:v>รอยืนยัน</x:v>
      </x:c>
      <x:c r="AE139" s="8" t="str">
        <x:f>IF(AF139="ใช่","ไม่ผ่านการคัดเลือก",IF(AND(AD139="ผ่าน",ISNUMBER(AC139),AC139&gt;=70),"พร้อมขาย",IF(OR(J139="ใช่",AND(ISNUMBER(AC139),AC139&gt;=50)),"พัฒนาเพื่อพร้อมขาย",IF(AND(ISNUMBER(AC139),AC139&lt;50,I139&gt;=1),"มีศักยภาพ แต่ต้องพัฒนามาตรฐาน","รอประเมิน"))))</x:f>
        <x:v>รอประเมิน</x:v>
      </x:c>
      <x:c r="AF139" s="59" t="str">
        <x:v>ไม่ทราบ</x:v>
      </x:c>
      <x:c r="AG139" s="8" t="str">
        <x:f>IF(AF139="ใช่","หัวหน้าทีมพิจารณาเหตุไม่ผ่าน",IF(OR(AA139&lt;=0,NOT(OR(AND(C139="จำหน่ายอาหาร",ISNUMBER(K139),L139="N/A"),AND(C139="ไม่จำหน่ายอาหาร",K139="N/A",ISNUMBER(L139)),AND(C139="มัสยิด",K139="N/A",L139="N/A",X139="N/A"))),AD139="รอยืนยัน",COUNT(K139:Z139)+COUNTIFS(K139:Z139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39" s="59" t="str"/>
      <x:c r="AI139" s="61"/>
    </x:row>
    <x:row r="140" ht="60" customHeight="1">
      <x:c r="A140" s="2" t="str">
        <x:v>TMF-087</x:v>
      </x:c>
      <x:c r="B140" s="8" t="str">
        <x:v>สไปซี่คัก ริมน้ำ by Amdangtyphoon</x:v>
      </x:c>
      <x:c r="C140" s="59" t="str">
        <x:v>จำหน่ายอาหาร</x:v>
      </x:c>
      <x:c r="D140" s="59" t="str">
        <x:v>ไม่ทราบ</x:v>
      </x:c>
      <x:c r="E140" s="59" t="str">
        <x:v>ไม่ทราบ</x:v>
      </x:c>
      <x:c r="F140" s="59" t="str">
        <x:v>ไม่ทราบ</x:v>
      </x:c>
      <x:c r="G140" s="59" t="str">
        <x:v>ไม่ทราบ</x:v>
      </x:c>
      <x:c r="H140" s="59" t="str">
        <x:v>N/A</x:v>
      </x:c>
      <x:c r="I140" s="59"/>
      <x:c r="J140" s="59" t="str">
        <x:v>ไม่ทราบ</x:v>
      </x:c>
      <x:c r="K140" s="59"/>
      <x:c r="L140" s="59" t="str">
        <x:v>N/A</x:v>
      </x:c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  <x:c r="AA140" s="8" t="n">
        <x:f>IF(C140="ไม่ทราบ","",SUMIFS($K$7:$Z$7,K140:Z140,"&lt;&gt;N/A"))</x:f>
        <x:v>100</x:v>
      </x:c>
      <x:c r="AB140" s="8" t="str">
        <x:f>IF(AND(OR(AND(C140="จำหน่ายอาหาร",ISNUMBER(K140),L140="N/A"),AND(C140="ไม่จำหน่ายอาหาร",K140="N/A",ISNUMBER(L140)),AND(C140="มัสยิด",K140="N/A",L140="N/A",X140="N/A")),COUNT(K140:Z140)+COUNTIFS(K140:Z140,"N/A")=16),SUM(K140:Z140),"")</x:f>
      </x:c>
      <x:c r="AC140" s="62" t="str">
        <x:f>IF(OR(AB140="",AA140&lt;=0),"",ROUND(AB140/AA140*100,1))</x:f>
      </x:c>
      <x:c r="AD140" s="8" t="str">
        <x:f>IF(COUNTIFS(D140:H140,"ไม่ผ่าน")&gt;0,"ไม่ผ่าน",IF(COUNTIFS(D140:H140,"ไม่ทราบ")+COUNTBLANK(D140:H140)&gt;0,"รอยืนยัน","ผ่าน"))</x:f>
        <x:v>รอยืนยัน</x:v>
      </x:c>
      <x:c r="AE140" s="8" t="str">
        <x:f>IF(AF140="ใช่","ไม่ผ่านการคัดเลือก",IF(AND(AD140="ผ่าน",ISNUMBER(AC140),AC140&gt;=70),"พร้อมขาย",IF(OR(J140="ใช่",AND(ISNUMBER(AC140),AC140&gt;=50)),"พัฒนาเพื่อพร้อมขาย",IF(AND(ISNUMBER(AC140),AC140&lt;50,I140&gt;=1),"มีศักยภาพ แต่ต้องพัฒนามาตรฐาน","รอประเมิน"))))</x:f>
        <x:v>รอประเมิน</x:v>
      </x:c>
      <x:c r="AF140" s="59" t="str">
        <x:v>ไม่ทราบ</x:v>
      </x:c>
      <x:c r="AG140" s="8" t="str">
        <x:f>IF(AF140="ใช่","หัวหน้าทีมพิจารณาเหตุไม่ผ่าน",IF(OR(AA140&lt;=0,NOT(OR(AND(C140="จำหน่ายอาหาร",ISNUMBER(K140),L140="N/A"),AND(C140="ไม่จำหน่ายอาหาร",K140="N/A",ISNUMBER(L140)),AND(C140="มัสยิด",K140="N/A",L140="N/A",X140="N/A"))),AD140="รอยืนยัน",COUNT(K140:Z140)+COUNTIFS(K140:Z140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0" s="59" t="str"/>
      <x:c r="AI140" s="61"/>
    </x:row>
    <x:row r="141" ht="60" customHeight="1">
      <x:c r="A141" s="2" t="str">
        <x:v>R26-314</x:v>
      </x:c>
      <x:c r="B141" s="8" t="str">
        <x:v>Divana Scentuara Spa</x:v>
      </x:c>
      <x:c r="C141" s="59" t="str">
        <x:v>ไม่ทราบ</x:v>
      </x:c>
      <x:c r="D141" s="59" t="str">
        <x:v>ไม่ทราบ</x:v>
      </x:c>
      <x:c r="E141" s="59" t="str">
        <x:v>ไม่ทราบ</x:v>
      </x:c>
      <x:c r="F141" s="59" t="str">
        <x:v>ไม่ทราบ</x:v>
      </x:c>
      <x:c r="G141" s="59" t="str">
        <x:v>ไม่ทราบ</x:v>
      </x:c>
      <x:c r="H141" s="59" t="str">
        <x:v>N/A</x:v>
      </x:c>
      <x:c r="I141" s="59"/>
      <x:c r="J141" s="59" t="str">
        <x:v>ไม่ทราบ</x:v>
      </x:c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  <x:c r="AA141" s="8" t="str">
        <x:f>IF(C141="ไม่ทราบ","",SUMIFS($K$7:$Z$7,K141:Z141,"&lt;&gt;N/A"))</x:f>
      </x:c>
      <x:c r="AB141" s="8" t="str">
        <x:f>IF(AND(OR(AND(C141="จำหน่ายอาหาร",ISNUMBER(K141),L141="N/A"),AND(C141="ไม่จำหน่ายอาหาร",K141="N/A",ISNUMBER(L141)),AND(C141="มัสยิด",K141="N/A",L141="N/A",X141="N/A")),COUNT(K141:Z141)+COUNTIFS(K141:Z141,"N/A")=16),SUM(K141:Z141),"")</x:f>
      </x:c>
      <x:c r="AC141" s="62" t="str">
        <x:f>IF(OR(AB141="",AA141&lt;=0),"",ROUND(AB141/AA141*100,1))</x:f>
      </x:c>
      <x:c r="AD141" s="8" t="str">
        <x:f>IF(COUNTIFS(D141:H141,"ไม่ผ่าน")&gt;0,"ไม่ผ่าน",IF(COUNTIFS(D141:H141,"ไม่ทราบ")+COUNTBLANK(D141:H141)&gt;0,"รอยืนยัน","ผ่าน"))</x:f>
        <x:v>รอยืนยัน</x:v>
      </x:c>
      <x:c r="AE141" s="8" t="str">
        <x:f>IF(AF141="ใช่","ไม่ผ่านการคัดเลือก",IF(AND(AD141="ผ่าน",ISNUMBER(AC141),AC141&gt;=70),"พร้อมขาย",IF(OR(J141="ใช่",AND(ISNUMBER(AC141),AC141&gt;=50)),"พัฒนาเพื่อพร้อมขาย",IF(AND(ISNUMBER(AC141),AC141&lt;50,I141&gt;=1),"มีศักยภาพ แต่ต้องพัฒนามาตรฐาน","รอประเมิน"))))</x:f>
        <x:v>รอประเมิน</x:v>
      </x:c>
      <x:c r="AF141" s="59" t="str">
        <x:v>ไม่ทราบ</x:v>
      </x:c>
      <x:c r="AG141" s="8" t="str">
        <x:f>IF(AF141="ใช่","หัวหน้าทีมพิจารณาเหตุไม่ผ่าน",IF(OR(AA141&lt;=0,NOT(OR(AND(C141="จำหน่ายอาหาร",ISNUMBER(K141),L141="N/A"),AND(C141="ไม่จำหน่ายอาหาร",K141="N/A",ISNUMBER(L141)),AND(C141="มัสยิด",K141="N/A",L141="N/A",X141="N/A"))),AD141="รอยืนยัน",COUNT(K141:Z141)+COUNTIFS(K141:Z141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1" s="59" t="str"/>
      <x:c r="AI141" s="61"/>
    </x:row>
    <x:row r="142" ht="60" customHeight="1">
      <x:c r="A142" s="2" t="str">
        <x:v>R26-276</x:v>
      </x:c>
      <x:c r="B142" s="8" t="str">
        <x:v>Health Land Asoke</x:v>
      </x:c>
      <x:c r="C142" s="59" t="str">
        <x:v>ไม่ทราบ</x:v>
      </x:c>
      <x:c r="D142" s="59" t="str">
        <x:v>ไม่ทราบ</x:v>
      </x:c>
      <x:c r="E142" s="59" t="str">
        <x:v>ไม่ทราบ</x:v>
      </x:c>
      <x:c r="F142" s="59" t="str">
        <x:v>ไม่ทราบ</x:v>
      </x:c>
      <x:c r="G142" s="59" t="str">
        <x:v>ไม่ทราบ</x:v>
      </x:c>
      <x:c r="H142" s="59" t="str">
        <x:v>N/A</x:v>
      </x:c>
      <x:c r="I142" s="59"/>
      <x:c r="J142" s="59" t="str">
        <x:v>ไม่ทราบ</x:v>
      </x:c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  <x:c r="AA142" s="8" t="str">
        <x:f>IF(C142="ไม่ทราบ","",SUMIFS($K$7:$Z$7,K142:Z142,"&lt;&gt;N/A"))</x:f>
      </x:c>
      <x:c r="AB142" s="8" t="str">
        <x:f>IF(AND(OR(AND(C142="จำหน่ายอาหาร",ISNUMBER(K142),L142="N/A"),AND(C142="ไม่จำหน่ายอาหาร",K142="N/A",ISNUMBER(L142)),AND(C142="มัสยิด",K142="N/A",L142="N/A",X142="N/A")),COUNT(K142:Z142)+COUNTIFS(K142:Z142,"N/A")=16),SUM(K142:Z142),"")</x:f>
      </x:c>
      <x:c r="AC142" s="62" t="str">
        <x:f>IF(OR(AB142="",AA142&lt;=0),"",ROUND(AB142/AA142*100,1))</x:f>
      </x:c>
      <x:c r="AD142" s="8" t="str">
        <x:f>IF(COUNTIFS(D142:H142,"ไม่ผ่าน")&gt;0,"ไม่ผ่าน",IF(COUNTIFS(D142:H142,"ไม่ทราบ")+COUNTBLANK(D142:H142)&gt;0,"รอยืนยัน","ผ่าน"))</x:f>
        <x:v>รอยืนยัน</x:v>
      </x:c>
      <x:c r="AE142" s="8" t="str">
        <x:f>IF(AF142="ใช่","ไม่ผ่านการคัดเลือก",IF(AND(AD142="ผ่าน",ISNUMBER(AC142),AC142&gt;=70),"พร้อมขาย",IF(OR(J142="ใช่",AND(ISNUMBER(AC142),AC142&gt;=50)),"พัฒนาเพื่อพร้อมขาย",IF(AND(ISNUMBER(AC142),AC142&lt;50,I142&gt;=1),"มีศักยภาพ แต่ต้องพัฒนามาตรฐาน","รอประเมิน"))))</x:f>
        <x:v>รอประเมิน</x:v>
      </x:c>
      <x:c r="AF142" s="59" t="str">
        <x:v>ไม่ทราบ</x:v>
      </x:c>
      <x:c r="AG142" s="8" t="str">
        <x:f>IF(AF142="ใช่","หัวหน้าทีมพิจารณาเหตุไม่ผ่าน",IF(OR(AA142&lt;=0,NOT(OR(AND(C142="จำหน่ายอาหาร",ISNUMBER(K142),L142="N/A"),AND(C142="ไม่จำหน่ายอาหาร",K142="N/A",ISNUMBER(L142)),AND(C142="มัสยิด",K142="N/A",L142="N/A",X142="N/A"))),AD142="รอยืนยัน",COUNT(K142:Z142)+COUNTIFS(K142:Z142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2" s="59" t="str"/>
      <x:c r="AI142" s="61"/>
    </x:row>
    <x:row r="143" ht="60" customHeight="1">
      <x:c r="A143" s="2" t="str">
        <x:v>R26-318</x:v>
      </x:c>
      <x:c r="B143" s="8" t="str">
        <x:v>Health Land Ekkamai</x:v>
      </x:c>
      <x:c r="C143" s="59" t="str">
        <x:v>ไม่ทราบ</x:v>
      </x:c>
      <x:c r="D143" s="59" t="str">
        <x:v>ไม่ทราบ</x:v>
      </x:c>
      <x:c r="E143" s="59" t="str">
        <x:v>ไม่ทราบ</x:v>
      </x:c>
      <x:c r="F143" s="59" t="str">
        <x:v>ไม่ทราบ</x:v>
      </x:c>
      <x:c r="G143" s="59" t="str">
        <x:v>ไม่ทราบ</x:v>
      </x:c>
      <x:c r="H143" s="59" t="str">
        <x:v>N/A</x:v>
      </x:c>
      <x:c r="I143" s="59"/>
      <x:c r="J143" s="59" t="str">
        <x:v>ไม่ทราบ</x:v>
      </x:c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  <x:c r="AA143" s="8" t="str">
        <x:f>IF(C143="ไม่ทราบ","",SUMIFS($K$7:$Z$7,K143:Z143,"&lt;&gt;N/A"))</x:f>
      </x:c>
      <x:c r="AB143" s="8" t="str">
        <x:f>IF(AND(OR(AND(C143="จำหน่ายอาหาร",ISNUMBER(K143),L143="N/A"),AND(C143="ไม่จำหน่ายอาหาร",K143="N/A",ISNUMBER(L143)),AND(C143="มัสยิด",K143="N/A",L143="N/A",X143="N/A")),COUNT(K143:Z143)+COUNTIFS(K143:Z143,"N/A")=16),SUM(K143:Z143),"")</x:f>
      </x:c>
      <x:c r="AC143" s="62" t="str">
        <x:f>IF(OR(AB143="",AA143&lt;=0),"",ROUND(AB143/AA143*100,1))</x:f>
      </x:c>
      <x:c r="AD143" s="8" t="str">
        <x:f>IF(COUNTIFS(D143:H143,"ไม่ผ่าน")&gt;0,"ไม่ผ่าน",IF(COUNTIFS(D143:H143,"ไม่ทราบ")+COUNTBLANK(D143:H143)&gt;0,"รอยืนยัน","ผ่าน"))</x:f>
        <x:v>รอยืนยัน</x:v>
      </x:c>
      <x:c r="AE143" s="8" t="str">
        <x:f>IF(AF143="ใช่","ไม่ผ่านการคัดเลือก",IF(AND(AD143="ผ่าน",ISNUMBER(AC143),AC143&gt;=70),"พร้อมขาย",IF(OR(J143="ใช่",AND(ISNUMBER(AC143),AC143&gt;=50)),"พัฒนาเพื่อพร้อมขาย",IF(AND(ISNUMBER(AC143),AC143&lt;50,I143&gt;=1),"มีศักยภาพ แต่ต้องพัฒนามาตรฐาน","รอประเมิน"))))</x:f>
        <x:v>รอประเมิน</x:v>
      </x:c>
      <x:c r="AF143" s="59" t="str">
        <x:v>ไม่ทราบ</x:v>
      </x:c>
      <x:c r="AG143" s="8" t="str">
        <x:f>IF(AF143="ใช่","หัวหน้าทีมพิจารณาเหตุไม่ผ่าน",IF(OR(AA143&lt;=0,NOT(OR(AND(C143="จำหน่ายอาหาร",ISNUMBER(K143),L143="N/A"),AND(C143="ไม่จำหน่ายอาหาร",K143="N/A",ISNUMBER(L143)),AND(C143="มัสยิด",K143="N/A",L143="N/A",X143="N/A"))),AD143="รอยืนยัน",COUNT(K143:Z143)+COUNTIFS(K143:Z143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3" s="59" t="str"/>
      <x:c r="AI143" s="61"/>
    </x:row>
    <x:row r="144" ht="60" customHeight="1">
      <x:c r="A144" s="2" t="str">
        <x:v>R26-275</x:v>
      </x:c>
      <x:c r="B144" s="8" t="str">
        <x:v>Health Land Sathorn</x:v>
      </x:c>
      <x:c r="C144" s="59" t="str">
        <x:v>ไม่ทราบ</x:v>
      </x:c>
      <x:c r="D144" s="59" t="str">
        <x:v>ไม่ทราบ</x:v>
      </x:c>
      <x:c r="E144" s="59" t="str">
        <x:v>ไม่ทราบ</x:v>
      </x:c>
      <x:c r="F144" s="59" t="str">
        <x:v>ไม่ทราบ</x:v>
      </x:c>
      <x:c r="G144" s="59" t="str">
        <x:v>ไม่ทราบ</x:v>
      </x:c>
      <x:c r="H144" s="59" t="str">
        <x:v>N/A</x:v>
      </x:c>
      <x:c r="I144" s="59"/>
      <x:c r="J144" s="59" t="str">
        <x:v>ไม่ทราบ</x:v>
      </x:c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  <x:c r="AA144" s="8" t="str">
        <x:f>IF(C144="ไม่ทราบ","",SUMIFS($K$7:$Z$7,K144:Z144,"&lt;&gt;N/A"))</x:f>
      </x:c>
      <x:c r="AB144" s="8" t="str">
        <x:f>IF(AND(OR(AND(C144="จำหน่ายอาหาร",ISNUMBER(K144),L144="N/A"),AND(C144="ไม่จำหน่ายอาหาร",K144="N/A",ISNUMBER(L144)),AND(C144="มัสยิด",K144="N/A",L144="N/A",X144="N/A")),COUNT(K144:Z144)+COUNTIFS(K144:Z144,"N/A")=16),SUM(K144:Z144),"")</x:f>
      </x:c>
      <x:c r="AC144" s="62" t="str">
        <x:f>IF(OR(AB144="",AA144&lt;=0),"",ROUND(AB144/AA144*100,1))</x:f>
      </x:c>
      <x:c r="AD144" s="8" t="str">
        <x:f>IF(COUNTIFS(D144:H144,"ไม่ผ่าน")&gt;0,"ไม่ผ่าน",IF(COUNTIFS(D144:H144,"ไม่ทราบ")+COUNTBLANK(D144:H144)&gt;0,"รอยืนยัน","ผ่าน"))</x:f>
        <x:v>รอยืนยัน</x:v>
      </x:c>
      <x:c r="AE144" s="8" t="str">
        <x:f>IF(AF144="ใช่","ไม่ผ่านการคัดเลือก",IF(AND(AD144="ผ่าน",ISNUMBER(AC144),AC144&gt;=70),"พร้อมขาย",IF(OR(J144="ใช่",AND(ISNUMBER(AC144),AC144&gt;=50)),"พัฒนาเพื่อพร้อมขาย",IF(AND(ISNUMBER(AC144),AC144&lt;50,I144&gt;=1),"มีศักยภาพ แต่ต้องพัฒนามาตรฐาน","รอประเมิน"))))</x:f>
        <x:v>รอประเมิน</x:v>
      </x:c>
      <x:c r="AF144" s="59" t="str">
        <x:v>ไม่ทราบ</x:v>
      </x:c>
      <x:c r="AG144" s="8" t="str">
        <x:f>IF(AF144="ใช่","หัวหน้าทีมพิจารณาเหตุไม่ผ่าน",IF(OR(AA144&lt;=0,NOT(OR(AND(C144="จำหน่ายอาหาร",ISNUMBER(K144),L144="N/A"),AND(C144="ไม่จำหน่ายอาหาร",K144="N/A",ISNUMBER(L144)),AND(C144="มัสยิด",K144="N/A",L144="N/A",X144="N/A"))),AD144="รอยืนยัน",COUNT(K144:Z144)+COUNTIFS(K144:Z144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4" s="59" t="str"/>
      <x:c r="AI144" s="61"/>
    </x:row>
    <x:row r="145" ht="60" customHeight="1">
      <x:c r="A145" s="2" t="str">
        <x:v>R26-272</x:v>
      </x:c>
      <x:c r="B145" s="8" t="str">
        <x:v>Let's Relax Spa Sukhumvit 39</x:v>
      </x:c>
      <x:c r="C145" s="59" t="str">
        <x:v>ไม่ทราบ</x:v>
      </x:c>
      <x:c r="D145" s="59" t="str">
        <x:v>ไม่ทราบ</x:v>
      </x:c>
      <x:c r="E145" s="59" t="str">
        <x:v>ไม่ทราบ</x:v>
      </x:c>
      <x:c r="F145" s="59" t="str">
        <x:v>ไม่ทราบ</x:v>
      </x:c>
      <x:c r="G145" s="59" t="str">
        <x:v>ไม่ทราบ</x:v>
      </x:c>
      <x:c r="H145" s="59" t="str">
        <x:v>N/A</x:v>
      </x:c>
      <x:c r="I145" s="59"/>
      <x:c r="J145" s="59" t="str">
        <x:v>ไม่ทราบ</x:v>
      </x:c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  <x:c r="AA145" s="8" t="str">
        <x:f>IF(C145="ไม่ทราบ","",SUMIFS($K$7:$Z$7,K145:Z145,"&lt;&gt;N/A"))</x:f>
      </x:c>
      <x:c r="AB145" s="8" t="str">
        <x:f>IF(AND(OR(AND(C145="จำหน่ายอาหาร",ISNUMBER(K145),L145="N/A"),AND(C145="ไม่จำหน่ายอาหาร",K145="N/A",ISNUMBER(L145)),AND(C145="มัสยิด",K145="N/A",L145="N/A",X145="N/A")),COUNT(K145:Z145)+COUNTIFS(K145:Z145,"N/A")=16),SUM(K145:Z145),"")</x:f>
      </x:c>
      <x:c r="AC145" s="62" t="str">
        <x:f>IF(OR(AB145="",AA145&lt;=0),"",ROUND(AB145/AA145*100,1))</x:f>
      </x:c>
      <x:c r="AD145" s="8" t="str">
        <x:f>IF(COUNTIFS(D145:H145,"ไม่ผ่าน")&gt;0,"ไม่ผ่าน",IF(COUNTIFS(D145:H145,"ไม่ทราบ")+COUNTBLANK(D145:H145)&gt;0,"รอยืนยัน","ผ่าน"))</x:f>
        <x:v>รอยืนยัน</x:v>
      </x:c>
      <x:c r="AE145" s="8" t="str">
        <x:f>IF(AF145="ใช่","ไม่ผ่านการคัดเลือก",IF(AND(AD145="ผ่าน",ISNUMBER(AC145),AC145&gt;=70),"พร้อมขาย",IF(OR(J145="ใช่",AND(ISNUMBER(AC145),AC145&gt;=50)),"พัฒนาเพื่อพร้อมขาย",IF(AND(ISNUMBER(AC145),AC145&lt;50,I145&gt;=1),"มีศักยภาพ แต่ต้องพัฒนามาตรฐาน","รอประเมิน"))))</x:f>
        <x:v>รอประเมิน</x:v>
      </x:c>
      <x:c r="AF145" s="59" t="str">
        <x:v>ไม่ทราบ</x:v>
      </x:c>
      <x:c r="AG145" s="8" t="str">
        <x:f>IF(AF145="ใช่","หัวหน้าทีมพิจารณาเหตุไม่ผ่าน",IF(OR(AA145&lt;=0,NOT(OR(AND(C145="จำหน่ายอาหาร",ISNUMBER(K145),L145="N/A"),AND(C145="ไม่จำหน่ายอาหาร",K145="N/A",ISNUMBER(L145)),AND(C145="มัสยิด",K145="N/A",L145="N/A",X145="N/A"))),AD145="รอยืนยัน",COUNT(K145:Z145)+COUNTIFS(K145:Z145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5" s="59" t="str"/>
      <x:c r="AI145" s="61"/>
    </x:row>
    <x:row r="146" ht="60" customHeight="1">
      <x:c r="A146" s="2" t="str">
        <x:v>R26-313</x:v>
      </x:c>
      <x:c r="B146" s="8" t="str">
        <x:v>PAÑPURI Wellness Gaysorn Tower</x:v>
      </x:c>
      <x:c r="C146" s="59" t="str">
        <x:v>ไม่ทราบ</x:v>
      </x:c>
      <x:c r="D146" s="59" t="str">
        <x:v>ไม่ทราบ</x:v>
      </x:c>
      <x:c r="E146" s="59" t="str">
        <x:v>ไม่ทราบ</x:v>
      </x:c>
      <x:c r="F146" s="59" t="str">
        <x:v>ไม่ทราบ</x:v>
      </x:c>
      <x:c r="G146" s="59" t="str">
        <x:v>ไม่ทราบ</x:v>
      </x:c>
      <x:c r="H146" s="59" t="str">
        <x:v>N/A</x:v>
      </x:c>
      <x:c r="I146" s="59"/>
      <x:c r="J146" s="59" t="str">
        <x:v>ไม่ทราบ</x:v>
      </x:c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  <x:c r="AA146" s="8" t="str">
        <x:f>IF(C146="ไม่ทราบ","",SUMIFS($K$7:$Z$7,K146:Z146,"&lt;&gt;N/A"))</x:f>
      </x:c>
      <x:c r="AB146" s="8" t="str">
        <x:f>IF(AND(OR(AND(C146="จำหน่ายอาหาร",ISNUMBER(K146),L146="N/A"),AND(C146="ไม่จำหน่ายอาหาร",K146="N/A",ISNUMBER(L146)),AND(C146="มัสยิด",K146="N/A",L146="N/A",X146="N/A")),COUNT(K146:Z146)+COUNTIFS(K146:Z146,"N/A")=16),SUM(K146:Z146),"")</x:f>
      </x:c>
      <x:c r="AC146" s="62" t="str">
        <x:f>IF(OR(AB146="",AA146&lt;=0),"",ROUND(AB146/AA146*100,1))</x:f>
      </x:c>
      <x:c r="AD146" s="8" t="str">
        <x:f>IF(COUNTIFS(D146:H146,"ไม่ผ่าน")&gt;0,"ไม่ผ่าน",IF(COUNTIFS(D146:H146,"ไม่ทราบ")+COUNTBLANK(D146:H146)&gt;0,"รอยืนยัน","ผ่าน"))</x:f>
        <x:v>รอยืนยัน</x:v>
      </x:c>
      <x:c r="AE146" s="8" t="str">
        <x:f>IF(AF146="ใช่","ไม่ผ่านการคัดเลือก",IF(AND(AD146="ผ่าน",ISNUMBER(AC146),AC146&gt;=70),"พร้อมขาย",IF(OR(J146="ใช่",AND(ISNUMBER(AC146),AC146&gt;=50)),"พัฒนาเพื่อพร้อมขาย",IF(AND(ISNUMBER(AC146),AC146&lt;50,I146&gt;=1),"มีศักยภาพ แต่ต้องพัฒนามาตรฐาน","รอประเมิน"))))</x:f>
        <x:v>รอประเมิน</x:v>
      </x:c>
      <x:c r="AF146" s="59" t="str">
        <x:v>ไม่ทราบ</x:v>
      </x:c>
      <x:c r="AG146" s="8" t="str">
        <x:f>IF(AF146="ใช่","หัวหน้าทีมพิจารณาเหตุไม่ผ่าน",IF(OR(AA146&lt;=0,NOT(OR(AND(C146="จำหน่ายอาหาร",ISNUMBER(K146),L146="N/A"),AND(C146="ไม่จำหน่ายอาหาร",K146="N/A",ISNUMBER(L146)),AND(C146="มัสยิด",K146="N/A",L146="N/A",X146="N/A"))),AD146="รอยืนยัน",COUNT(K146:Z146)+COUNTIFS(K146:Z146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6" s="59" t="str"/>
      <x:c r="AI146" s="61"/>
    </x:row>
    <x:row r="147" ht="60" customHeight="1">
      <x:c r="A147" s="2" t="str">
        <x:v>TMF-500</x:v>
      </x:c>
      <x:c r="B147" s="8" t="str">
        <x:v>กายา บาย โอเอซิสสปา</x:v>
      </x:c>
      <x:c r="C147" s="59" t="str">
        <x:v>ไม่ทราบ</x:v>
      </x:c>
      <x:c r="D147" s="59" t="str">
        <x:v>ไม่ทราบ</x:v>
      </x:c>
      <x:c r="E147" s="59" t="str">
        <x:v>ไม่ทราบ</x:v>
      </x:c>
      <x:c r="F147" s="59" t="str">
        <x:v>ไม่ทราบ</x:v>
      </x:c>
      <x:c r="G147" s="59" t="str">
        <x:v>ไม่ทราบ</x:v>
      </x:c>
      <x:c r="H147" s="59" t="str">
        <x:v>N/A</x:v>
      </x:c>
      <x:c r="I147" s="59"/>
      <x:c r="J147" s="59" t="str">
        <x:v>ไม่ทราบ</x:v>
      </x:c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  <x:c r="AA147" s="8" t="str">
        <x:f>IF(C147="ไม่ทราบ","",SUMIFS($K$7:$Z$7,K147:Z147,"&lt;&gt;N/A"))</x:f>
      </x:c>
      <x:c r="AB147" s="8" t="str">
        <x:f>IF(AND(OR(AND(C147="จำหน่ายอาหาร",ISNUMBER(K147),L147="N/A"),AND(C147="ไม่จำหน่ายอาหาร",K147="N/A",ISNUMBER(L147)),AND(C147="มัสยิด",K147="N/A",L147="N/A",X147="N/A")),COUNT(K147:Z147)+COUNTIFS(K147:Z147,"N/A")=16),SUM(K147:Z147),"")</x:f>
      </x:c>
      <x:c r="AC147" s="62" t="str">
        <x:f>IF(OR(AB147="",AA147&lt;=0),"",ROUND(AB147/AA147*100,1))</x:f>
      </x:c>
      <x:c r="AD147" s="8" t="str">
        <x:f>IF(COUNTIFS(D147:H147,"ไม่ผ่าน")&gt;0,"ไม่ผ่าน",IF(COUNTIFS(D147:H147,"ไม่ทราบ")+COUNTBLANK(D147:H147)&gt;0,"รอยืนยัน","ผ่าน"))</x:f>
        <x:v>รอยืนยัน</x:v>
      </x:c>
      <x:c r="AE147" s="8" t="str">
        <x:f>IF(AF147="ใช่","ไม่ผ่านการคัดเลือก",IF(AND(AD147="ผ่าน",ISNUMBER(AC147),AC147&gt;=70),"พร้อมขาย",IF(OR(J147="ใช่",AND(ISNUMBER(AC147),AC147&gt;=50)),"พัฒนาเพื่อพร้อมขาย",IF(AND(ISNUMBER(AC147),AC147&lt;50,I147&gt;=1),"มีศักยภาพ แต่ต้องพัฒนามาตรฐาน","รอประเมิน"))))</x:f>
        <x:v>รอประเมิน</x:v>
      </x:c>
      <x:c r="AF147" s="59" t="str">
        <x:v>ไม่ทราบ</x:v>
      </x:c>
      <x:c r="AG147" s="8" t="str">
        <x:f>IF(AF147="ใช่","หัวหน้าทีมพิจารณาเหตุไม่ผ่าน",IF(OR(AA147&lt;=0,NOT(OR(AND(C147="จำหน่ายอาหาร",ISNUMBER(K147),L147="N/A"),AND(C147="ไม่จำหน่ายอาหาร",K147="N/A",ISNUMBER(L147)),AND(C147="มัสยิด",K147="N/A",L147="N/A",X147="N/A"))),AD147="รอยืนยัน",COUNT(K147:Z147)+COUNTIFS(K147:Z147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7" s="59" t="str"/>
      <x:c r="AI147" s="61"/>
    </x:row>
    <x:row r="148" ht="60" customHeight="1">
      <x:c r="A148" s="2" t="str">
        <x:v>R26-255</x:v>
      </x:c>
      <x:c r="B148" s="8" t="str">
        <x:v>Central Ladprao</x:v>
      </x:c>
      <x:c r="C148" s="59" t="str">
        <x:v>ไม่ทราบ</x:v>
      </x:c>
      <x:c r="D148" s="59" t="str">
        <x:v>ไม่ทราบ</x:v>
      </x:c>
      <x:c r="E148" s="59" t="str">
        <x:v>ไม่ทราบ</x:v>
      </x:c>
      <x:c r="F148" s="59" t="str">
        <x:v>ไม่ทราบ</x:v>
      </x:c>
      <x:c r="G148" s="59" t="str">
        <x:v>ไม่ทราบ</x:v>
      </x:c>
      <x:c r="H148" s="59" t="str">
        <x:v>N/A</x:v>
      </x:c>
      <x:c r="I148" s="59"/>
      <x:c r="J148" s="59" t="str">
        <x:v>ไม่ทราบ</x:v>
      </x:c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  <x:c r="AA148" s="8" t="str">
        <x:f>IF(C148="ไม่ทราบ","",SUMIFS($K$7:$Z$7,K148:Z148,"&lt;&gt;N/A"))</x:f>
      </x:c>
      <x:c r="AB148" s="8" t="str">
        <x:f>IF(AND(OR(AND(C148="จำหน่ายอาหาร",ISNUMBER(K148),L148="N/A"),AND(C148="ไม่จำหน่ายอาหาร",K148="N/A",ISNUMBER(L148)),AND(C148="มัสยิด",K148="N/A",L148="N/A",X148="N/A")),COUNT(K148:Z148)+COUNTIFS(K148:Z148,"N/A")=16),SUM(K148:Z148),"")</x:f>
      </x:c>
      <x:c r="AC148" s="62" t="str">
        <x:f>IF(OR(AB148="",AA148&lt;=0),"",ROUND(AB148/AA148*100,1))</x:f>
      </x:c>
      <x:c r="AD148" s="8" t="str">
        <x:f>IF(COUNTIFS(D148:H148,"ไม่ผ่าน")&gt;0,"ไม่ผ่าน",IF(COUNTIFS(D148:H148,"ไม่ทราบ")+COUNTBLANK(D148:H148)&gt;0,"รอยืนยัน","ผ่าน"))</x:f>
        <x:v>รอยืนยัน</x:v>
      </x:c>
      <x:c r="AE148" s="8" t="str">
        <x:f>IF(AF148="ใช่","ไม่ผ่านการคัดเลือก",IF(AND(AD148="ผ่าน",ISNUMBER(AC148),AC148&gt;=70),"พร้อมขาย",IF(OR(J148="ใช่",AND(ISNUMBER(AC148),AC148&gt;=50)),"พัฒนาเพื่อพร้อมขาย",IF(AND(ISNUMBER(AC148),AC148&lt;50,I148&gt;=1),"มีศักยภาพ แต่ต้องพัฒนามาตรฐาน","รอประเมิน"))))</x:f>
        <x:v>รอประเมิน</x:v>
      </x:c>
      <x:c r="AF148" s="59" t="str">
        <x:v>ไม่ทราบ</x:v>
      </x:c>
      <x:c r="AG148" s="8" t="str">
        <x:f>IF(AF148="ใช่","หัวหน้าทีมพิจารณาเหตุไม่ผ่าน",IF(OR(AA148&lt;=0,NOT(OR(AND(C148="จำหน่ายอาหาร",ISNUMBER(K148),L148="N/A"),AND(C148="ไม่จำหน่ายอาหาร",K148="N/A",ISNUMBER(L148)),AND(C148="มัสยิด",K148="N/A",L148="N/A",X148="N/A"))),AD148="รอยืนยัน",COUNT(K148:Z148)+COUNTIFS(K148:Z148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8" s="59" t="str"/>
      <x:c r="AI148" s="61"/>
    </x:row>
    <x:row r="149" ht="60" customHeight="1">
      <x:c r="A149" s="2" t="str">
        <x:v>R26-254</x:v>
      </x:c>
      <x:c r="B149" s="8" t="str">
        <x:v>Central Rama 9</x:v>
      </x:c>
      <x:c r="C149" s="59" t="str">
        <x:v>ไม่ทราบ</x:v>
      </x:c>
      <x:c r="D149" s="59" t="str">
        <x:v>ไม่ทราบ</x:v>
      </x:c>
      <x:c r="E149" s="59" t="str">
        <x:v>ไม่ทราบ</x:v>
      </x:c>
      <x:c r="F149" s="59" t="str">
        <x:v>ไม่ทราบ</x:v>
      </x:c>
      <x:c r="G149" s="59" t="str">
        <x:v>ไม่ทราบ</x:v>
      </x:c>
      <x:c r="H149" s="59" t="str">
        <x:v>N/A</x:v>
      </x:c>
      <x:c r="I149" s="59"/>
      <x:c r="J149" s="59" t="str">
        <x:v>ไม่ทราบ</x:v>
      </x:c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  <x:c r="AA149" s="8" t="str">
        <x:f>IF(C149="ไม่ทราบ","",SUMIFS($K$7:$Z$7,K149:Z149,"&lt;&gt;N/A"))</x:f>
      </x:c>
      <x:c r="AB149" s="8" t="str">
        <x:f>IF(AND(OR(AND(C149="จำหน่ายอาหาร",ISNUMBER(K149),L149="N/A"),AND(C149="ไม่จำหน่ายอาหาร",K149="N/A",ISNUMBER(L149)),AND(C149="มัสยิด",K149="N/A",L149="N/A",X149="N/A")),COUNT(K149:Z149)+COUNTIFS(K149:Z149,"N/A")=16),SUM(K149:Z149),"")</x:f>
      </x:c>
      <x:c r="AC149" s="62" t="str">
        <x:f>IF(OR(AB149="",AA149&lt;=0),"",ROUND(AB149/AA149*100,1))</x:f>
      </x:c>
      <x:c r="AD149" s="8" t="str">
        <x:f>IF(COUNTIFS(D149:H149,"ไม่ผ่าน")&gt;0,"ไม่ผ่าน",IF(COUNTIFS(D149:H149,"ไม่ทราบ")+COUNTBLANK(D149:H149)&gt;0,"รอยืนยัน","ผ่าน"))</x:f>
        <x:v>รอยืนยัน</x:v>
      </x:c>
      <x:c r="AE149" s="8" t="str">
        <x:f>IF(AF149="ใช่","ไม่ผ่านการคัดเลือก",IF(AND(AD149="ผ่าน",ISNUMBER(AC149),AC149&gt;=70),"พร้อมขาย",IF(OR(J149="ใช่",AND(ISNUMBER(AC149),AC149&gt;=50)),"พัฒนาเพื่อพร้อมขาย",IF(AND(ISNUMBER(AC149),AC149&lt;50,I149&gt;=1),"มีศักยภาพ แต่ต้องพัฒนามาตรฐาน","รอประเมิน"))))</x:f>
        <x:v>รอประเมิน</x:v>
      </x:c>
      <x:c r="AF149" s="59" t="str">
        <x:v>ไม่ทราบ</x:v>
      </x:c>
      <x:c r="AG149" s="8" t="str">
        <x:f>IF(AF149="ใช่","หัวหน้าทีมพิจารณาเหตุไม่ผ่าน",IF(OR(AA149&lt;=0,NOT(OR(AND(C149="จำหน่ายอาหาร",ISNUMBER(K149),L149="N/A"),AND(C149="ไม่จำหน่ายอาหาร",K149="N/A",ISNUMBER(L149)),AND(C149="มัสยิด",K149="N/A",L149="N/A",X149="N/A"))),AD149="รอยืนยัน",COUNT(K149:Z149)+COUNTIFS(K149:Z149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49" s="59" t="str"/>
      <x:c r="AI149" s="61"/>
    </x:row>
    <x:row r="150" ht="60" customHeight="1">
      <x:c r="A150" s="2" t="str">
        <x:v>R26-252</x:v>
      </x:c>
      <x:c r="B150" s="8" t="str">
        <x:v>EMQUARTIER</x:v>
      </x:c>
      <x:c r="C150" s="59" t="str">
        <x:v>ไม่ทราบ</x:v>
      </x:c>
      <x:c r="D150" s="59" t="str">
        <x:v>ไม่ทราบ</x:v>
      </x:c>
      <x:c r="E150" s="59" t="str">
        <x:v>ไม่ทราบ</x:v>
      </x:c>
      <x:c r="F150" s="59" t="str">
        <x:v>ไม่ทราบ</x:v>
      </x:c>
      <x:c r="G150" s="59" t="str">
        <x:v>ไม่ทราบ</x:v>
      </x:c>
      <x:c r="H150" s="59" t="str">
        <x:v>N/A</x:v>
      </x:c>
      <x:c r="I150" s="59"/>
      <x:c r="J150" s="59" t="str">
        <x:v>ไม่ทราบ</x:v>
      </x:c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  <x:c r="AA150" s="8" t="str">
        <x:f>IF(C150="ไม่ทราบ","",SUMIFS($K$7:$Z$7,K150:Z150,"&lt;&gt;N/A"))</x:f>
      </x:c>
      <x:c r="AB150" s="8" t="str">
        <x:f>IF(AND(OR(AND(C150="จำหน่ายอาหาร",ISNUMBER(K150),L150="N/A"),AND(C150="ไม่จำหน่ายอาหาร",K150="N/A",ISNUMBER(L150)),AND(C150="มัสยิด",K150="N/A",L150="N/A",X150="N/A")),COUNT(K150:Z150)+COUNTIFS(K150:Z150,"N/A")=16),SUM(K150:Z150),"")</x:f>
      </x:c>
      <x:c r="AC150" s="62" t="str">
        <x:f>IF(OR(AB150="",AA150&lt;=0),"",ROUND(AB150/AA150*100,1))</x:f>
      </x:c>
      <x:c r="AD150" s="8" t="str">
        <x:f>IF(COUNTIFS(D150:H150,"ไม่ผ่าน")&gt;0,"ไม่ผ่าน",IF(COUNTIFS(D150:H150,"ไม่ทราบ")+COUNTBLANK(D150:H150)&gt;0,"รอยืนยัน","ผ่าน"))</x:f>
        <x:v>รอยืนยัน</x:v>
      </x:c>
      <x:c r="AE150" s="8" t="str">
        <x:f>IF(AF150="ใช่","ไม่ผ่านการคัดเลือก",IF(AND(AD150="ผ่าน",ISNUMBER(AC150),AC150&gt;=70),"พร้อมขาย",IF(OR(J150="ใช่",AND(ISNUMBER(AC150),AC150&gt;=50)),"พัฒนาเพื่อพร้อมขาย",IF(AND(ISNUMBER(AC150),AC150&lt;50,I150&gt;=1),"มีศักยภาพ แต่ต้องพัฒนามาตรฐาน","รอประเมิน"))))</x:f>
        <x:v>รอประเมิน</x:v>
      </x:c>
      <x:c r="AF150" s="59" t="str">
        <x:v>ไม่ทราบ</x:v>
      </x:c>
      <x:c r="AG150" s="8" t="str">
        <x:f>IF(AF150="ใช่","หัวหน้าทีมพิจารณาเหตุไม่ผ่าน",IF(OR(AA150&lt;=0,NOT(OR(AND(C150="จำหน่ายอาหาร",ISNUMBER(K150),L150="N/A"),AND(C150="ไม่จำหน่ายอาหาร",K150="N/A",ISNUMBER(L150)),AND(C150="มัสยิด",K150="N/A",L150="N/A",X150="N/A"))),AD150="รอยืนยัน",COUNT(K150:Z150)+COUNTIFS(K150:Z150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0" s="59" t="str"/>
      <x:c r="AI150" s="61"/>
    </x:row>
    <x:row r="151" ht="60" customHeight="1">
      <x:c r="A151" s="2" t="str">
        <x:v>R26-253</x:v>
      </x:c>
      <x:c r="B151" s="8" t="str">
        <x:v>EMSPHERE</x:v>
      </x:c>
      <x:c r="C151" s="59" t="str">
        <x:v>ไม่ทราบ</x:v>
      </x:c>
      <x:c r="D151" s="59" t="str">
        <x:v>ไม่ทราบ</x:v>
      </x:c>
      <x:c r="E151" s="59" t="str">
        <x:v>ไม่ทราบ</x:v>
      </x:c>
      <x:c r="F151" s="59" t="str">
        <x:v>ไม่ทราบ</x:v>
      </x:c>
      <x:c r="G151" s="59" t="str">
        <x:v>ไม่ทราบ</x:v>
      </x:c>
      <x:c r="H151" s="59" t="str">
        <x:v>N/A</x:v>
      </x:c>
      <x:c r="I151" s="59"/>
      <x:c r="J151" s="59" t="str">
        <x:v>ไม่ทราบ</x:v>
      </x:c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  <x:c r="AA151" s="8" t="str">
        <x:f>IF(C151="ไม่ทราบ","",SUMIFS($K$7:$Z$7,K151:Z151,"&lt;&gt;N/A"))</x:f>
      </x:c>
      <x:c r="AB151" s="8" t="str">
        <x:f>IF(AND(OR(AND(C151="จำหน่ายอาหาร",ISNUMBER(K151),L151="N/A"),AND(C151="ไม่จำหน่ายอาหาร",K151="N/A",ISNUMBER(L151)),AND(C151="มัสยิด",K151="N/A",L151="N/A",X151="N/A")),COUNT(K151:Z151)+COUNTIFS(K151:Z151,"N/A")=16),SUM(K151:Z151),"")</x:f>
      </x:c>
      <x:c r="AC151" s="62" t="str">
        <x:f>IF(OR(AB151="",AA151&lt;=0),"",ROUND(AB151/AA151*100,1))</x:f>
      </x:c>
      <x:c r="AD151" s="8" t="str">
        <x:f>IF(COUNTIFS(D151:H151,"ไม่ผ่าน")&gt;0,"ไม่ผ่าน",IF(COUNTIFS(D151:H151,"ไม่ทราบ")+COUNTBLANK(D151:H151)&gt;0,"รอยืนยัน","ผ่าน"))</x:f>
        <x:v>รอยืนยัน</x:v>
      </x:c>
      <x:c r="AE151" s="8" t="str">
        <x:f>IF(AF151="ใช่","ไม่ผ่านการคัดเลือก",IF(AND(AD151="ผ่าน",ISNUMBER(AC151),AC151&gt;=70),"พร้อมขาย",IF(OR(J151="ใช่",AND(ISNUMBER(AC151),AC151&gt;=50)),"พัฒนาเพื่อพร้อมขาย",IF(AND(ISNUMBER(AC151),AC151&lt;50,I151&gt;=1),"มีศักยภาพ แต่ต้องพัฒนามาตรฐาน","รอประเมิน"))))</x:f>
        <x:v>รอประเมิน</x:v>
      </x:c>
      <x:c r="AF151" s="59" t="str">
        <x:v>ไม่ทราบ</x:v>
      </x:c>
      <x:c r="AG151" s="8" t="str">
        <x:f>IF(AF151="ใช่","หัวหน้าทีมพิจารณาเหตุไม่ผ่าน",IF(OR(AA151&lt;=0,NOT(OR(AND(C151="จำหน่ายอาหาร",ISNUMBER(K151),L151="N/A"),AND(C151="ไม่จำหน่ายอาหาร",K151="N/A",ISNUMBER(L151)),AND(C151="มัสยิด",K151="N/A",L151="N/A",X151="N/A"))),AD151="รอยืนยัน",COUNT(K151:Z151)+COUNTIFS(K151:Z151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1" s="59" t="str"/>
      <x:c r="AI151" s="61"/>
    </x:row>
    <x:row r="152" ht="60" customHeight="1">
      <x:c r="A152" s="2" t="str">
        <x:v>R26-249</x:v>
      </x:c>
      <x:c r="B152" s="8" t="str">
        <x:v>ICONSIAM</x:v>
      </x:c>
      <x:c r="C152" s="59" t="str">
        <x:v>ไม่ทราบ</x:v>
      </x:c>
      <x:c r="D152" s="59" t="str">
        <x:v>ไม่ทราบ</x:v>
      </x:c>
      <x:c r="E152" s="59" t="str">
        <x:v>ไม่ทราบ</x:v>
      </x:c>
      <x:c r="F152" s="59" t="str">
        <x:v>ไม่ทราบ</x:v>
      </x:c>
      <x:c r="G152" s="59" t="str">
        <x:v>ไม่ทราบ</x:v>
      </x:c>
      <x:c r="H152" s="59" t="str">
        <x:v>N/A</x:v>
      </x:c>
      <x:c r="I152" s="59"/>
      <x:c r="J152" s="59" t="str">
        <x:v>ไม่ทราบ</x:v>
      </x:c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  <x:c r="AA152" s="8" t="str">
        <x:f>IF(C152="ไม่ทราบ","",SUMIFS($K$7:$Z$7,K152:Z152,"&lt;&gt;N/A"))</x:f>
      </x:c>
      <x:c r="AB152" s="8" t="str">
        <x:f>IF(AND(OR(AND(C152="จำหน่ายอาหาร",ISNUMBER(K152),L152="N/A"),AND(C152="ไม่จำหน่ายอาหาร",K152="N/A",ISNUMBER(L152)),AND(C152="มัสยิด",K152="N/A",L152="N/A",X152="N/A")),COUNT(K152:Z152)+COUNTIFS(K152:Z152,"N/A")=16),SUM(K152:Z152),"")</x:f>
      </x:c>
      <x:c r="AC152" s="62" t="str">
        <x:f>IF(OR(AB152="",AA152&lt;=0),"",ROUND(AB152/AA152*100,1))</x:f>
      </x:c>
      <x:c r="AD152" s="8" t="str">
        <x:f>IF(COUNTIFS(D152:H152,"ไม่ผ่าน")&gt;0,"ไม่ผ่าน",IF(COUNTIFS(D152:H152,"ไม่ทราบ")+COUNTBLANK(D152:H152)&gt;0,"รอยืนยัน","ผ่าน"))</x:f>
        <x:v>รอยืนยัน</x:v>
      </x:c>
      <x:c r="AE152" s="8" t="str">
        <x:f>IF(AF152="ใช่","ไม่ผ่านการคัดเลือก",IF(AND(AD152="ผ่าน",ISNUMBER(AC152),AC152&gt;=70),"พร้อมขาย",IF(OR(J152="ใช่",AND(ISNUMBER(AC152),AC152&gt;=50)),"พัฒนาเพื่อพร้อมขาย",IF(AND(ISNUMBER(AC152),AC152&lt;50,I152&gt;=1),"มีศักยภาพ แต่ต้องพัฒนามาตรฐาน","รอประเมิน"))))</x:f>
        <x:v>รอประเมิน</x:v>
      </x:c>
      <x:c r="AF152" s="59" t="str">
        <x:v>ไม่ทราบ</x:v>
      </x:c>
      <x:c r="AG152" s="8" t="str">
        <x:f>IF(AF152="ใช่","หัวหน้าทีมพิจารณาเหตุไม่ผ่าน",IF(OR(AA152&lt;=0,NOT(OR(AND(C152="จำหน่ายอาหาร",ISNUMBER(K152),L152="N/A"),AND(C152="ไม่จำหน่ายอาหาร",K152="N/A",ISNUMBER(L152)),AND(C152="มัสยิด",K152="N/A",L152="N/A",X152="N/A"))),AD152="รอยืนยัน",COUNT(K152:Z152)+COUNTIFS(K152:Z152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2" s="59" t="str"/>
      <x:c r="AI152" s="61"/>
    </x:row>
    <x:row r="153" ht="60" customHeight="1">
      <x:c r="A153" s="2" t="str">
        <x:v>R26-250</x:v>
      </x:c>
      <x:c r="B153" s="8" t="str">
        <x:v>MBK Center</x:v>
      </x:c>
      <x:c r="C153" s="59" t="str">
        <x:v>ไม่ทราบ</x:v>
      </x:c>
      <x:c r="D153" s="59" t="str">
        <x:v>ไม่ทราบ</x:v>
      </x:c>
      <x:c r="E153" s="59" t="str">
        <x:v>ไม่ทราบ</x:v>
      </x:c>
      <x:c r="F153" s="59" t="str">
        <x:v>ไม่ทราบ</x:v>
      </x:c>
      <x:c r="G153" s="59" t="str">
        <x:v>ไม่ทราบ</x:v>
      </x:c>
      <x:c r="H153" s="59" t="str">
        <x:v>N/A</x:v>
      </x:c>
      <x:c r="I153" s="59"/>
      <x:c r="J153" s="59" t="str">
        <x:v>ไม่ทราบ</x:v>
      </x:c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  <x:c r="AA153" s="8" t="str">
        <x:f>IF(C153="ไม่ทราบ","",SUMIFS($K$7:$Z$7,K153:Z153,"&lt;&gt;N/A"))</x:f>
      </x:c>
      <x:c r="AB153" s="8" t="str">
        <x:f>IF(AND(OR(AND(C153="จำหน่ายอาหาร",ISNUMBER(K153),L153="N/A"),AND(C153="ไม่จำหน่ายอาหาร",K153="N/A",ISNUMBER(L153)),AND(C153="มัสยิด",K153="N/A",L153="N/A",X153="N/A")),COUNT(K153:Z153)+COUNTIFS(K153:Z153,"N/A")=16),SUM(K153:Z153),"")</x:f>
      </x:c>
      <x:c r="AC153" s="62" t="str">
        <x:f>IF(OR(AB153="",AA153&lt;=0),"",ROUND(AB153/AA153*100,1))</x:f>
      </x:c>
      <x:c r="AD153" s="8" t="str">
        <x:f>IF(COUNTIFS(D153:H153,"ไม่ผ่าน")&gt;0,"ไม่ผ่าน",IF(COUNTIFS(D153:H153,"ไม่ทราบ")+COUNTBLANK(D153:H153)&gt;0,"รอยืนยัน","ผ่าน"))</x:f>
        <x:v>รอยืนยัน</x:v>
      </x:c>
      <x:c r="AE153" s="8" t="str">
        <x:f>IF(AF153="ใช่","ไม่ผ่านการคัดเลือก",IF(AND(AD153="ผ่าน",ISNUMBER(AC153),AC153&gt;=70),"พร้อมขาย",IF(OR(J153="ใช่",AND(ISNUMBER(AC153),AC153&gt;=50)),"พัฒนาเพื่อพร้อมขาย",IF(AND(ISNUMBER(AC153),AC153&lt;50,I153&gt;=1),"มีศักยภาพ แต่ต้องพัฒนามาตรฐาน","รอประเมิน"))))</x:f>
        <x:v>รอประเมิน</x:v>
      </x:c>
      <x:c r="AF153" s="59" t="str">
        <x:v>ไม่ทราบ</x:v>
      </x:c>
      <x:c r="AG153" s="8" t="str">
        <x:f>IF(AF153="ใช่","หัวหน้าทีมพิจารณาเหตุไม่ผ่าน",IF(OR(AA153&lt;=0,NOT(OR(AND(C153="จำหน่ายอาหาร",ISNUMBER(K153),L153="N/A"),AND(C153="ไม่จำหน่ายอาหาร",K153="N/A",ISNUMBER(L153)),AND(C153="มัสยิด",K153="N/A",L153="N/A",X153="N/A"))),AD153="รอยืนยัน",COUNT(K153:Z153)+COUNTIFS(K153:Z153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3" s="59" t="str"/>
      <x:c r="AI153" s="61"/>
    </x:row>
    <x:row r="154" ht="60" customHeight="1">
      <x:c r="A154" s="2" t="str">
        <x:v>R26-251</x:v>
      </x:c>
      <x:c r="B154" s="8" t="str">
        <x:v>Terminal 21 Asok</x:v>
      </x:c>
      <x:c r="C154" s="59" t="str">
        <x:v>ไม่ทราบ</x:v>
      </x:c>
      <x:c r="D154" s="59" t="str">
        <x:v>ไม่ทราบ</x:v>
      </x:c>
      <x:c r="E154" s="59" t="str">
        <x:v>ไม่ทราบ</x:v>
      </x:c>
      <x:c r="F154" s="59" t="str">
        <x:v>ไม่ทราบ</x:v>
      </x:c>
      <x:c r="G154" s="59" t="str">
        <x:v>ไม่ทราบ</x:v>
      </x:c>
      <x:c r="H154" s="59" t="str">
        <x:v>N/A</x:v>
      </x:c>
      <x:c r="I154" s="59"/>
      <x:c r="J154" s="59" t="str">
        <x:v>ไม่ทราบ</x:v>
      </x:c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  <x:c r="AA154" s="8" t="str">
        <x:f>IF(C154="ไม่ทราบ","",SUMIFS($K$7:$Z$7,K154:Z154,"&lt;&gt;N/A"))</x:f>
      </x:c>
      <x:c r="AB154" s="8" t="str">
        <x:f>IF(AND(OR(AND(C154="จำหน่ายอาหาร",ISNUMBER(K154),L154="N/A"),AND(C154="ไม่จำหน่ายอาหาร",K154="N/A",ISNUMBER(L154)),AND(C154="มัสยิด",K154="N/A",L154="N/A",X154="N/A")),COUNT(K154:Z154)+COUNTIFS(K154:Z154,"N/A")=16),SUM(K154:Z154),"")</x:f>
      </x:c>
      <x:c r="AC154" s="62" t="str">
        <x:f>IF(OR(AB154="",AA154&lt;=0),"",ROUND(AB154/AA154*100,1))</x:f>
      </x:c>
      <x:c r="AD154" s="8" t="str">
        <x:f>IF(COUNTIFS(D154:H154,"ไม่ผ่าน")&gt;0,"ไม่ผ่าน",IF(COUNTIFS(D154:H154,"ไม่ทราบ")+COUNTBLANK(D154:H154)&gt;0,"รอยืนยัน","ผ่าน"))</x:f>
        <x:v>รอยืนยัน</x:v>
      </x:c>
      <x:c r="AE154" s="8" t="str">
        <x:f>IF(AF154="ใช่","ไม่ผ่านการคัดเลือก",IF(AND(AD154="ผ่าน",ISNUMBER(AC154),AC154&gt;=70),"พร้อมขาย",IF(OR(J154="ใช่",AND(ISNUMBER(AC154),AC154&gt;=50)),"พัฒนาเพื่อพร้อมขาย",IF(AND(ISNUMBER(AC154),AC154&lt;50,I154&gt;=1),"มีศักยภาพ แต่ต้องพัฒนามาตรฐาน","รอประเมิน"))))</x:f>
        <x:v>รอประเมิน</x:v>
      </x:c>
      <x:c r="AF154" s="59" t="str">
        <x:v>ไม่ทราบ</x:v>
      </x:c>
      <x:c r="AG154" s="8" t="str">
        <x:f>IF(AF154="ใช่","หัวหน้าทีมพิจารณาเหตุไม่ผ่าน",IF(OR(AA154&lt;=0,NOT(OR(AND(C154="จำหน่ายอาหาร",ISNUMBER(K154),L154="N/A"),AND(C154="ไม่จำหน่ายอาหาร",K154="N/A",ISNUMBER(L154)),AND(C154="มัสยิด",K154="N/A",L154="N/A",X154="N/A"))),AD154="รอยืนยัน",COUNT(K154:Z154)+COUNTIFS(K154:Z154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4" s="59" t="str"/>
      <x:c r="AI154" s="61"/>
    </x:row>
    <x:row r="155" ht="60" customHeight="1">
      <x:c r="A155" s="2" t="str">
        <x:v>R26-256</x:v>
      </x:c>
      <x:c r="B155" s="8" t="str">
        <x:v>The Mall Lifestore Bangkapi</x:v>
      </x:c>
      <x:c r="C155" s="59" t="str">
        <x:v>ไม่ทราบ</x:v>
      </x:c>
      <x:c r="D155" s="59" t="str">
        <x:v>ไม่ทราบ</x:v>
      </x:c>
      <x:c r="E155" s="59" t="str">
        <x:v>ไม่ทราบ</x:v>
      </x:c>
      <x:c r="F155" s="59" t="str">
        <x:v>ไม่ทราบ</x:v>
      </x:c>
      <x:c r="G155" s="59" t="str">
        <x:v>ไม่ทราบ</x:v>
      </x:c>
      <x:c r="H155" s="59" t="str">
        <x:v>N/A</x:v>
      </x:c>
      <x:c r="I155" s="59"/>
      <x:c r="J155" s="59" t="str">
        <x:v>ไม่ทราบ</x:v>
      </x:c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  <x:c r="AA155" s="8" t="str">
        <x:f>IF(C155="ไม่ทราบ","",SUMIFS($K$7:$Z$7,K155:Z155,"&lt;&gt;N/A"))</x:f>
      </x:c>
      <x:c r="AB155" s="8" t="str">
        <x:f>IF(AND(OR(AND(C155="จำหน่ายอาหาร",ISNUMBER(K155),L155="N/A"),AND(C155="ไม่จำหน่ายอาหาร",K155="N/A",ISNUMBER(L155)),AND(C155="มัสยิด",K155="N/A",L155="N/A",X155="N/A")),COUNT(K155:Z155)+COUNTIFS(K155:Z155,"N/A")=16),SUM(K155:Z155),"")</x:f>
      </x:c>
      <x:c r="AC155" s="62" t="str">
        <x:f>IF(OR(AB155="",AA155&lt;=0),"",ROUND(AB155/AA155*100,1))</x:f>
      </x:c>
      <x:c r="AD155" s="8" t="str">
        <x:f>IF(COUNTIFS(D155:H155,"ไม่ผ่าน")&gt;0,"ไม่ผ่าน",IF(COUNTIFS(D155:H155,"ไม่ทราบ")+COUNTBLANK(D155:H155)&gt;0,"รอยืนยัน","ผ่าน"))</x:f>
        <x:v>รอยืนยัน</x:v>
      </x:c>
      <x:c r="AE155" s="8" t="str">
        <x:f>IF(AF155="ใช่","ไม่ผ่านการคัดเลือก",IF(AND(AD155="ผ่าน",ISNUMBER(AC155),AC155&gt;=70),"พร้อมขาย",IF(OR(J155="ใช่",AND(ISNUMBER(AC155),AC155&gt;=50)),"พัฒนาเพื่อพร้อมขาย",IF(AND(ISNUMBER(AC155),AC155&lt;50,I155&gt;=1),"มีศักยภาพ แต่ต้องพัฒนามาตรฐาน","รอประเมิน"))))</x:f>
        <x:v>รอประเมิน</x:v>
      </x:c>
      <x:c r="AF155" s="59" t="str">
        <x:v>ไม่ทราบ</x:v>
      </x:c>
      <x:c r="AG155" s="8" t="str">
        <x:f>IF(AF155="ใช่","หัวหน้าทีมพิจารณาเหตุไม่ผ่าน",IF(OR(AA155&lt;=0,NOT(OR(AND(C155="จำหน่ายอาหาร",ISNUMBER(K155),L155="N/A"),AND(C155="ไม่จำหน่ายอาหาร",K155="N/A",ISNUMBER(L155)),AND(C155="มัสยิด",K155="N/A",L155="N/A",X155="N/A"))),AD155="รอยืนยัน",COUNT(K155:Z155)+COUNTIFS(K155:Z155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5" s="59" t="str"/>
      <x:c r="AI155" s="61"/>
    </x:row>
    <x:row r="156" ht="60" customHeight="1">
      <x:c r="A156" s="2" t="str">
        <x:v>TMF-278</x:v>
      </x:c>
      <x:c r="B156" s="8" t="str">
        <x:v>สยามพารากอน</x:v>
      </x:c>
      <x:c r="C156" s="59" t="str">
        <x:v>ไม่ทราบ</x:v>
      </x:c>
      <x:c r="D156" s="59" t="str">
        <x:v>ไม่ทราบ</x:v>
      </x:c>
      <x:c r="E156" s="59" t="str">
        <x:v>ไม่ทราบ</x:v>
      </x:c>
      <x:c r="F156" s="59" t="str">
        <x:v>ไม่ทราบ</x:v>
      </x:c>
      <x:c r="G156" s="59" t="str">
        <x:v>ไม่ทราบ</x:v>
      </x:c>
      <x:c r="H156" s="59" t="str">
        <x:v>N/A</x:v>
      </x:c>
      <x:c r="I156" s="59"/>
      <x:c r="J156" s="59" t="str">
        <x:v>ไม่ทราบ</x:v>
      </x:c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  <x:c r="AA156" s="8" t="str">
        <x:f>IF(C156="ไม่ทราบ","",SUMIFS($K$7:$Z$7,K156:Z156,"&lt;&gt;N/A"))</x:f>
      </x:c>
      <x:c r="AB156" s="8" t="str">
        <x:f>IF(AND(OR(AND(C156="จำหน่ายอาหาร",ISNUMBER(K156),L156="N/A"),AND(C156="ไม่จำหน่ายอาหาร",K156="N/A",ISNUMBER(L156)),AND(C156="มัสยิด",K156="N/A",L156="N/A",X156="N/A")),COUNT(K156:Z156)+COUNTIFS(K156:Z156,"N/A")=16),SUM(K156:Z156),"")</x:f>
      </x:c>
      <x:c r="AC156" s="62" t="str">
        <x:f>IF(OR(AB156="",AA156&lt;=0),"",ROUND(AB156/AA156*100,1))</x:f>
      </x:c>
      <x:c r="AD156" s="8" t="str">
        <x:f>IF(COUNTIFS(D156:H156,"ไม่ผ่าน")&gt;0,"ไม่ผ่าน",IF(COUNTIFS(D156:H156,"ไม่ทราบ")+COUNTBLANK(D156:H156)&gt;0,"รอยืนยัน","ผ่าน"))</x:f>
        <x:v>รอยืนยัน</x:v>
      </x:c>
      <x:c r="AE156" s="8" t="str">
        <x:f>IF(AF156="ใช่","ไม่ผ่านการคัดเลือก",IF(AND(AD156="ผ่าน",ISNUMBER(AC156),AC156&gt;=70),"พร้อมขาย",IF(OR(J156="ใช่",AND(ISNUMBER(AC156),AC156&gt;=50)),"พัฒนาเพื่อพร้อมขาย",IF(AND(ISNUMBER(AC156),AC156&lt;50,I156&gt;=1),"มีศักยภาพ แต่ต้องพัฒนามาตรฐาน","รอประเมิน"))))</x:f>
        <x:v>รอประเมิน</x:v>
      </x:c>
      <x:c r="AF156" s="59" t="str">
        <x:v>ไม่ทราบ</x:v>
      </x:c>
      <x:c r="AG156" s="8" t="str">
        <x:f>IF(AF156="ใช่","หัวหน้าทีมพิจารณาเหตุไม่ผ่าน",IF(OR(AA156&lt;=0,NOT(OR(AND(C156="จำหน่ายอาหาร",ISNUMBER(K156),L156="N/A"),AND(C156="ไม่จำหน่ายอาหาร",K156="N/A",ISNUMBER(L156)),AND(C156="มัสยิด",K156="N/A",L156="N/A",X156="N/A"))),AD156="รอยืนยัน",COUNT(K156:Z156)+COUNTIFS(K156:Z156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6" s="59" t="str"/>
      <x:c r="AI156" s="61"/>
    </x:row>
    <x:row r="157" ht="60" customHeight="1">
      <x:c r="A157" s="2" t="str">
        <x:v>TMF-098</x:v>
      </x:c>
      <x:c r="B157" s="8" t="str">
        <x:v>เซ็นทรัลเวิลด์</x:v>
      </x:c>
      <x:c r="C157" s="59" t="str">
        <x:v>ไม่ทราบ</x:v>
      </x:c>
      <x:c r="D157" s="59" t="str">
        <x:v>ไม่ทราบ</x:v>
      </x:c>
      <x:c r="E157" s="59" t="str">
        <x:v>ไม่ทราบ</x:v>
      </x:c>
      <x:c r="F157" s="59" t="str">
        <x:v>ไม่ทราบ</x:v>
      </x:c>
      <x:c r="G157" s="59" t="str">
        <x:v>ไม่ทราบ</x:v>
      </x:c>
      <x:c r="H157" s="59" t="str">
        <x:v>N/A</x:v>
      </x:c>
      <x:c r="I157" s="59"/>
      <x:c r="J157" s="59" t="str">
        <x:v>ไม่ทราบ</x:v>
      </x:c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  <x:c r="AA157" s="8" t="str">
        <x:f>IF(C157="ไม่ทราบ","",SUMIFS($K$7:$Z$7,K157:Z157,"&lt;&gt;N/A"))</x:f>
      </x:c>
      <x:c r="AB157" s="8" t="str">
        <x:f>IF(AND(OR(AND(C157="จำหน่ายอาหาร",ISNUMBER(K157),L157="N/A"),AND(C157="ไม่จำหน่ายอาหาร",K157="N/A",ISNUMBER(L157)),AND(C157="มัสยิด",K157="N/A",L157="N/A",X157="N/A")),COUNT(K157:Z157)+COUNTIFS(K157:Z157,"N/A")=16),SUM(K157:Z157),"")</x:f>
      </x:c>
      <x:c r="AC157" s="62" t="str">
        <x:f>IF(OR(AB157="",AA157&lt;=0),"",ROUND(AB157/AA157*100,1))</x:f>
      </x:c>
      <x:c r="AD157" s="8" t="str">
        <x:f>IF(COUNTIFS(D157:H157,"ไม่ผ่าน")&gt;0,"ไม่ผ่าน",IF(COUNTIFS(D157:H157,"ไม่ทราบ")+COUNTBLANK(D157:H157)&gt;0,"รอยืนยัน","ผ่าน"))</x:f>
        <x:v>รอยืนยัน</x:v>
      </x:c>
      <x:c r="AE157" s="8" t="str">
        <x:f>IF(AF157="ใช่","ไม่ผ่านการคัดเลือก",IF(AND(AD157="ผ่าน",ISNUMBER(AC157),AC157&gt;=70),"พร้อมขาย",IF(OR(J157="ใช่",AND(ISNUMBER(AC157),AC157&gt;=50)),"พัฒนาเพื่อพร้อมขาย",IF(AND(ISNUMBER(AC157),AC157&lt;50,I157&gt;=1),"มีศักยภาพ แต่ต้องพัฒนามาตรฐาน","รอประเมิน"))))</x:f>
        <x:v>รอประเมิน</x:v>
      </x:c>
      <x:c r="AF157" s="59" t="str">
        <x:v>ไม่ทราบ</x:v>
      </x:c>
      <x:c r="AG157" s="8" t="str">
        <x:f>IF(AF157="ใช่","หัวหน้าทีมพิจารณาเหตุไม่ผ่าน",IF(OR(AA157&lt;=0,NOT(OR(AND(C157="จำหน่ายอาหาร",ISNUMBER(K157),L157="N/A"),AND(C157="ไม่จำหน่ายอาหาร",K157="N/A",ISNUMBER(L157)),AND(C157="มัสยิด",K157="N/A",L157="N/A",X157="N/A"))),AD157="รอยืนยัน",COUNT(K157:Z157)+COUNTIFS(K157:Z157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7" s="59" t="str"/>
      <x:c r="AI157" s="61"/>
    </x:row>
    <x:row r="158" ht="60" customHeight="1">
      <x:c r="A158" s="2" t="str">
        <x:v>R26-312</x:v>
      </x:c>
      <x:c r="B158" s="8" t="str">
        <x:v>พิพิธภัณฑ์เด็กกรุงเทพมหานคร แห่งที่ 2</x:v>
      </x:c>
      <x:c r="C158" s="59" t="str">
        <x:v>ไม่ทราบ</x:v>
      </x:c>
      <x:c r="D158" s="59" t="str">
        <x:v>ไม่ทราบ</x:v>
      </x:c>
      <x:c r="E158" s="59" t="str">
        <x:v>ไม่ทราบ</x:v>
      </x:c>
      <x:c r="F158" s="59" t="str">
        <x:v>ไม่ทราบ</x:v>
      </x:c>
      <x:c r="G158" s="59" t="str">
        <x:v>ไม่ทราบ</x:v>
      </x:c>
      <x:c r="H158" s="59" t="str">
        <x:v>N/A</x:v>
      </x:c>
      <x:c r="I158" s="59"/>
      <x:c r="J158" s="59" t="str">
        <x:v>ไม่ทราบ</x:v>
      </x:c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  <x:c r="AA158" s="8" t="str">
        <x:f>IF(C158="ไม่ทราบ","",SUMIFS($K$7:$Z$7,K158:Z158,"&lt;&gt;N/A"))</x:f>
      </x:c>
      <x:c r="AB158" s="8" t="str">
        <x:f>IF(AND(OR(AND(C158="จำหน่ายอาหาร",ISNUMBER(K158),L158="N/A"),AND(C158="ไม่จำหน่ายอาหาร",K158="N/A",ISNUMBER(L158)),AND(C158="มัสยิด",K158="N/A",L158="N/A",X158="N/A")),COUNT(K158:Z158)+COUNTIFS(K158:Z158,"N/A")=16),SUM(K158:Z158),"")</x:f>
      </x:c>
      <x:c r="AC158" s="62" t="str">
        <x:f>IF(OR(AB158="",AA158&lt;=0),"",ROUND(AB158/AA158*100,1))</x:f>
      </x:c>
      <x:c r="AD158" s="8" t="str">
        <x:f>IF(COUNTIFS(D158:H158,"ไม่ผ่าน")&gt;0,"ไม่ผ่าน",IF(COUNTIFS(D158:H158,"ไม่ทราบ")+COUNTBLANK(D158:H158)&gt;0,"รอยืนยัน","ผ่าน"))</x:f>
        <x:v>รอยืนยัน</x:v>
      </x:c>
      <x:c r="AE158" s="8" t="str">
        <x:f>IF(AF158="ใช่","ไม่ผ่านการคัดเลือก",IF(AND(AD158="ผ่าน",ISNUMBER(AC158),AC158&gt;=70),"พร้อมขาย",IF(OR(J158="ใช่",AND(ISNUMBER(AC158),AC158&gt;=50)),"พัฒนาเพื่อพร้อมขาย",IF(AND(ISNUMBER(AC158),AC158&lt;50,I158&gt;=1),"มีศักยภาพ แต่ต้องพัฒนามาตรฐาน","รอประเมิน"))))</x:f>
        <x:v>รอประเมิน</x:v>
      </x:c>
      <x:c r="AF158" s="59" t="str">
        <x:v>ไม่ทราบ</x:v>
      </x:c>
      <x:c r="AG158" s="8" t="str">
        <x:f>IF(AF158="ใช่","หัวหน้าทีมพิจารณาเหตุไม่ผ่าน",IF(OR(AA158&lt;=0,NOT(OR(AND(C158="จำหน่ายอาหาร",ISNUMBER(K158),L158="N/A"),AND(C158="ไม่จำหน่ายอาหาร",K158="N/A",ISNUMBER(L158)),AND(C158="มัสยิด",K158="N/A",L158="N/A",X158="N/A"))),AD158="รอยืนยัน",COUNT(K158:Z158)+COUNTIFS(K158:Z158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8" s="59" t="str"/>
      <x:c r="AI158" s="61"/>
    </x:row>
    <x:row r="159" ht="60" customHeight="1">
      <x:c r="A159" s="2" t="str">
        <x:v>TMF-279</x:v>
      </x:c>
      <x:c r="B159" s="8" t="str">
        <x:v>มัรกัส มีนบุรี</x:v>
      </x:c>
      <x:c r="C159" s="59" t="str">
        <x:v>มัสยิด</x:v>
      </x:c>
      <x:c r="D159" s="59" t="str">
        <x:v>ไม่ทราบ</x:v>
      </x:c>
      <x:c r="E159" s="59" t="str">
        <x:v>ไม่ทราบ</x:v>
      </x:c>
      <x:c r="F159" s="59" t="str">
        <x:v>ไม่ทราบ</x:v>
      </x:c>
      <x:c r="G159" s="59" t="str">
        <x:v>N/A</x:v>
      </x:c>
      <x:c r="H159" s="59" t="str">
        <x:v>N/A</x:v>
      </x:c>
      <x:c r="I159" s="59"/>
      <x:c r="J159" s="59" t="str">
        <x:v>ไม่ทราบ</x:v>
      </x:c>
      <x:c r="K159" s="59" t="str">
        <x:v>N/A</x:v>
      </x:c>
      <x:c r="L159" s="59" t="str">
        <x:v>N/A</x:v>
      </x:c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 t="str">
        <x:v>N/A</x:v>
      </x:c>
      <x:c r="Y159" s="59"/>
      <x:c r="Z159" s="59"/>
      <x:c r="AA159" s="8" t="n">
        <x:f>IF(C159="ไม่ทราบ","",SUMIFS($K$7:$Z$7,K159:Z159,"&lt;&gt;N/A"))</x:f>
        <x:v>67</x:v>
      </x:c>
      <x:c r="AB159" s="8" t="str">
        <x:f>IF(AND(OR(AND(C159="จำหน่ายอาหาร",ISNUMBER(K159),L159="N/A"),AND(C159="ไม่จำหน่ายอาหาร",K159="N/A",ISNUMBER(L159)),AND(C159="มัสยิด",K159="N/A",L159="N/A",X159="N/A")),COUNT(K159:Z159)+COUNTIFS(K159:Z159,"N/A")=16),SUM(K159:Z159),"")</x:f>
      </x:c>
      <x:c r="AC159" s="62" t="str">
        <x:f>IF(OR(AB159="",AA159&lt;=0),"",ROUND(AB159/AA159*100,1))</x:f>
      </x:c>
      <x:c r="AD159" s="8" t="str">
        <x:f>IF(COUNTIFS(D159:H159,"ไม่ผ่าน")&gt;0,"ไม่ผ่าน",IF(COUNTIFS(D159:H159,"ไม่ทราบ")+COUNTBLANK(D159:H159)&gt;0,"รอยืนยัน","ผ่าน"))</x:f>
        <x:v>รอยืนยัน</x:v>
      </x:c>
      <x:c r="AE159" s="8" t="str">
        <x:f>IF(AF159="ใช่","ไม่ผ่านการคัดเลือก",IF(AND(AD159="ผ่าน",ISNUMBER(AC159),AC159&gt;=70),"พร้อมขาย",IF(OR(J159="ใช่",AND(ISNUMBER(AC159),AC159&gt;=50)),"พัฒนาเพื่อพร้อมขาย",IF(AND(ISNUMBER(AC159),AC159&lt;50,I159&gt;=1),"มีศักยภาพ แต่ต้องพัฒนามาตรฐาน","รอประเมิน"))))</x:f>
        <x:v>รอประเมิน</x:v>
      </x:c>
      <x:c r="AF159" s="59" t="str">
        <x:v>ไม่ทราบ</x:v>
      </x:c>
      <x:c r="AG159" s="8" t="str">
        <x:f>IF(AF159="ใช่","หัวหน้าทีมพิจารณาเหตุไม่ผ่าน",IF(OR(AA159&lt;=0,NOT(OR(AND(C159="จำหน่ายอาหาร",ISNUMBER(K159),L159="N/A"),AND(C159="ไม่จำหน่ายอาหาร",K159="N/A",ISNUMBER(L159)),AND(C159="มัสยิด",K159="N/A",L159="N/A",X159="N/A"))),AD159="รอยืนยัน",COUNT(K159:Z159)+COUNTIFS(K159:Z159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59" s="59" t="str"/>
      <x:c r="AI159" s="61"/>
    </x:row>
    <x:row r="160" ht="60" customHeight="1">
      <x:c r="A160" s="2" t="str">
        <x:v>TMF-280</x:v>
      </x:c>
      <x:c r="B160" s="8" t="str">
        <x:v>มัสยิดกมาลุ้ลอิสลาม (ทรายกองดิน)</x:v>
      </x:c>
      <x:c r="C160" s="59" t="str">
        <x:v>มัสยิด</x:v>
      </x:c>
      <x:c r="D160" s="59" t="str">
        <x:v>ไม่ทราบ</x:v>
      </x:c>
      <x:c r="E160" s="59" t="str">
        <x:v>ไม่ทราบ</x:v>
      </x:c>
      <x:c r="F160" s="59" t="str">
        <x:v>ไม่ทราบ</x:v>
      </x:c>
      <x:c r="G160" s="59" t="str">
        <x:v>N/A</x:v>
      </x:c>
      <x:c r="H160" s="59" t="str">
        <x:v>N/A</x:v>
      </x:c>
      <x:c r="I160" s="59"/>
      <x:c r="J160" s="59" t="str">
        <x:v>ไม่ทราบ</x:v>
      </x:c>
      <x:c r="K160" s="59" t="str">
        <x:v>N/A</x:v>
      </x:c>
      <x:c r="L160" s="59" t="str">
        <x:v>N/A</x:v>
      </x:c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 t="str">
        <x:v>N/A</x:v>
      </x:c>
      <x:c r="Y160" s="59"/>
      <x:c r="Z160" s="59"/>
      <x:c r="AA160" s="8" t="n">
        <x:f>IF(C160="ไม่ทราบ","",SUMIFS($K$7:$Z$7,K160:Z160,"&lt;&gt;N/A"))</x:f>
        <x:v>67</x:v>
      </x:c>
      <x:c r="AB160" s="8" t="str">
        <x:f>IF(AND(OR(AND(C160="จำหน่ายอาหาร",ISNUMBER(K160),L160="N/A"),AND(C160="ไม่จำหน่ายอาหาร",K160="N/A",ISNUMBER(L160)),AND(C160="มัสยิด",K160="N/A",L160="N/A",X160="N/A")),COUNT(K160:Z160)+COUNTIFS(K160:Z160,"N/A")=16),SUM(K160:Z160),"")</x:f>
      </x:c>
      <x:c r="AC160" s="62" t="str">
        <x:f>IF(OR(AB160="",AA160&lt;=0),"",ROUND(AB160/AA160*100,1))</x:f>
      </x:c>
      <x:c r="AD160" s="8" t="str">
        <x:f>IF(COUNTIFS(D160:H160,"ไม่ผ่าน")&gt;0,"ไม่ผ่าน",IF(COUNTIFS(D160:H160,"ไม่ทราบ")+COUNTBLANK(D160:H160)&gt;0,"รอยืนยัน","ผ่าน"))</x:f>
        <x:v>รอยืนยัน</x:v>
      </x:c>
      <x:c r="AE160" s="8" t="str">
        <x:f>IF(AF160="ใช่","ไม่ผ่านการคัดเลือก",IF(AND(AD160="ผ่าน",ISNUMBER(AC160),AC160&gt;=70),"พร้อมขาย",IF(OR(J160="ใช่",AND(ISNUMBER(AC160),AC160&gt;=50)),"พัฒนาเพื่อพร้อมขาย",IF(AND(ISNUMBER(AC160),AC160&lt;50,I160&gt;=1),"มีศักยภาพ แต่ต้องพัฒนามาตรฐาน","รอประเมิน"))))</x:f>
        <x:v>รอประเมิน</x:v>
      </x:c>
      <x:c r="AF160" s="59" t="str">
        <x:v>ไม่ทราบ</x:v>
      </x:c>
      <x:c r="AG160" s="8" t="str">
        <x:f>IF(AF160="ใช่","หัวหน้าทีมพิจารณาเหตุไม่ผ่าน",IF(OR(AA160&lt;=0,NOT(OR(AND(C160="จำหน่ายอาหาร",ISNUMBER(K160),L160="N/A"),AND(C160="ไม่จำหน่ายอาหาร",K160="N/A",ISNUMBER(L160)),AND(C160="มัสยิด",K160="N/A",L160="N/A",X160="N/A"))),AD160="รอยืนยัน",COUNT(K160:Z160)+COUNTIFS(K160:Z160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0" s="59" t="str"/>
      <x:c r="AI160" s="61"/>
    </x:row>
    <x:row r="161" ht="60" customHeight="1">
      <x:c r="A161" s="2" t="str">
        <x:v>TMF-281</x:v>
      </x:c>
      <x:c r="B161" s="8" t="str">
        <x:v>มัสยิดกมาลุ้ลเอี๊ยะห์ซาน (มัสยิดกระจก)</x:v>
      </x:c>
      <x:c r="C161" s="59" t="str">
        <x:v>มัสยิด</x:v>
      </x:c>
      <x:c r="D161" s="59" t="str">
        <x:v>ไม่ทราบ</x:v>
      </x:c>
      <x:c r="E161" s="59" t="str">
        <x:v>ไม่ทราบ</x:v>
      </x:c>
      <x:c r="F161" s="59" t="str">
        <x:v>ไม่ทราบ</x:v>
      </x:c>
      <x:c r="G161" s="59" t="str">
        <x:v>N/A</x:v>
      </x:c>
      <x:c r="H161" s="59" t="str">
        <x:v>N/A</x:v>
      </x:c>
      <x:c r="I161" s="59"/>
      <x:c r="J161" s="59" t="str">
        <x:v>ไม่ทราบ</x:v>
      </x:c>
      <x:c r="K161" s="59" t="str">
        <x:v>N/A</x:v>
      </x:c>
      <x:c r="L161" s="59" t="str">
        <x:v>N/A</x:v>
      </x:c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 t="str">
        <x:v>N/A</x:v>
      </x:c>
      <x:c r="Y161" s="59"/>
      <x:c r="Z161" s="59"/>
      <x:c r="AA161" s="8" t="n">
        <x:f>IF(C161="ไม่ทราบ","",SUMIFS($K$7:$Z$7,K161:Z161,"&lt;&gt;N/A"))</x:f>
        <x:v>67</x:v>
      </x:c>
      <x:c r="AB161" s="8" t="str">
        <x:f>IF(AND(OR(AND(C161="จำหน่ายอาหาร",ISNUMBER(K161),L161="N/A"),AND(C161="ไม่จำหน่ายอาหาร",K161="N/A",ISNUMBER(L161)),AND(C161="มัสยิด",K161="N/A",L161="N/A",X161="N/A")),COUNT(K161:Z161)+COUNTIFS(K161:Z161,"N/A")=16),SUM(K161:Z161),"")</x:f>
      </x:c>
      <x:c r="AC161" s="62" t="str">
        <x:f>IF(OR(AB161="",AA161&lt;=0),"",ROUND(AB161/AA161*100,1))</x:f>
      </x:c>
      <x:c r="AD161" s="8" t="str">
        <x:f>IF(COUNTIFS(D161:H161,"ไม่ผ่าน")&gt;0,"ไม่ผ่าน",IF(COUNTIFS(D161:H161,"ไม่ทราบ")+COUNTBLANK(D161:H161)&gt;0,"รอยืนยัน","ผ่าน"))</x:f>
        <x:v>รอยืนยัน</x:v>
      </x:c>
      <x:c r="AE161" s="8" t="str">
        <x:f>IF(AF161="ใช่","ไม่ผ่านการคัดเลือก",IF(AND(AD161="ผ่าน",ISNUMBER(AC161),AC161&gt;=70),"พร้อมขาย",IF(OR(J161="ใช่",AND(ISNUMBER(AC161),AC161&gt;=50)),"พัฒนาเพื่อพร้อมขาย",IF(AND(ISNUMBER(AC161),AC161&lt;50,I161&gt;=1),"มีศักยภาพ แต่ต้องพัฒนามาตรฐาน","รอประเมิน"))))</x:f>
        <x:v>รอประเมิน</x:v>
      </x:c>
      <x:c r="AF161" s="59" t="str">
        <x:v>ไม่ทราบ</x:v>
      </x:c>
      <x:c r="AG161" s="8" t="str">
        <x:f>IF(AF161="ใช่","หัวหน้าทีมพิจารณาเหตุไม่ผ่าน",IF(OR(AA161&lt;=0,NOT(OR(AND(C161="จำหน่ายอาหาร",ISNUMBER(K161),L161="N/A"),AND(C161="ไม่จำหน่ายอาหาร",K161="N/A",ISNUMBER(L161)),AND(C161="มัสยิด",K161="N/A",L161="N/A",X161="N/A"))),AD161="รอยืนยัน",COUNT(K161:Z161)+COUNTIFS(K161:Z161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1" s="59" t="str"/>
      <x:c r="AI161" s="61"/>
    </x:row>
    <x:row r="162" ht="60" customHeight="1">
      <x:c r="A162" s="2" t="str">
        <x:v>TMF-283</x:v>
      </x:c>
      <x:c r="B162" s="8" t="str">
        <x:v>มัสยิดซอลาฮุดดีน</x:v>
      </x:c>
      <x:c r="C162" s="59" t="str">
        <x:v>มัสยิด</x:v>
      </x:c>
      <x:c r="D162" s="59" t="str">
        <x:v>ไม่ทราบ</x:v>
      </x:c>
      <x:c r="E162" s="59" t="str">
        <x:v>ไม่ทราบ</x:v>
      </x:c>
      <x:c r="F162" s="59" t="str">
        <x:v>ไม่ทราบ</x:v>
      </x:c>
      <x:c r="G162" s="59" t="str">
        <x:v>N/A</x:v>
      </x:c>
      <x:c r="H162" s="59" t="str">
        <x:v>N/A</x:v>
      </x:c>
      <x:c r="I162" s="59"/>
      <x:c r="J162" s="59" t="str">
        <x:v>ไม่ทราบ</x:v>
      </x:c>
      <x:c r="K162" s="59" t="str">
        <x:v>N/A</x:v>
      </x:c>
      <x:c r="L162" s="59" t="str">
        <x:v>N/A</x:v>
      </x:c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 t="str">
        <x:v>N/A</x:v>
      </x:c>
      <x:c r="Y162" s="59"/>
      <x:c r="Z162" s="59"/>
      <x:c r="AA162" s="8" t="n">
        <x:f>IF(C162="ไม่ทราบ","",SUMIFS($K$7:$Z$7,K162:Z162,"&lt;&gt;N/A"))</x:f>
        <x:v>67</x:v>
      </x:c>
      <x:c r="AB162" s="8" t="str">
        <x:f>IF(AND(OR(AND(C162="จำหน่ายอาหาร",ISNUMBER(K162),L162="N/A"),AND(C162="ไม่จำหน่ายอาหาร",K162="N/A",ISNUMBER(L162)),AND(C162="มัสยิด",K162="N/A",L162="N/A",X162="N/A")),COUNT(K162:Z162)+COUNTIFS(K162:Z162,"N/A")=16),SUM(K162:Z162),"")</x:f>
      </x:c>
      <x:c r="AC162" s="62" t="str">
        <x:f>IF(OR(AB162="",AA162&lt;=0),"",ROUND(AB162/AA162*100,1))</x:f>
      </x:c>
      <x:c r="AD162" s="8" t="str">
        <x:f>IF(COUNTIFS(D162:H162,"ไม่ผ่าน")&gt;0,"ไม่ผ่าน",IF(COUNTIFS(D162:H162,"ไม่ทราบ")+COUNTBLANK(D162:H162)&gt;0,"รอยืนยัน","ผ่าน"))</x:f>
        <x:v>รอยืนยัน</x:v>
      </x:c>
      <x:c r="AE162" s="8" t="str">
        <x:f>IF(AF162="ใช่","ไม่ผ่านการคัดเลือก",IF(AND(AD162="ผ่าน",ISNUMBER(AC162),AC162&gt;=70),"พร้อมขาย",IF(OR(J162="ใช่",AND(ISNUMBER(AC162),AC162&gt;=50)),"พัฒนาเพื่อพร้อมขาย",IF(AND(ISNUMBER(AC162),AC162&lt;50,I162&gt;=1),"มีศักยภาพ แต่ต้องพัฒนามาตรฐาน","รอประเมิน"))))</x:f>
        <x:v>รอประเมิน</x:v>
      </x:c>
      <x:c r="AF162" s="59" t="str">
        <x:v>ไม่ทราบ</x:v>
      </x:c>
      <x:c r="AG162" s="8" t="str">
        <x:f>IF(AF162="ใช่","หัวหน้าทีมพิจารณาเหตุไม่ผ่าน",IF(OR(AA162&lt;=0,NOT(OR(AND(C162="จำหน่ายอาหาร",ISNUMBER(K162),L162="N/A"),AND(C162="ไม่จำหน่ายอาหาร",K162="N/A",ISNUMBER(L162)),AND(C162="มัสยิด",K162="N/A",L162="N/A",X162="N/A"))),AD162="รอยืนยัน",COUNT(K162:Z162)+COUNTIFS(K162:Z162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2" s="59" t="str"/>
      <x:c r="AI162" s="61"/>
    </x:row>
    <x:row r="163" ht="60" customHeight="1">
      <x:c r="A163" s="2" t="str">
        <x:v>TMF-284</x:v>
      </x:c>
      <x:c r="B163" s="8" t="str">
        <x:v>มัสยิดญามีอุ๊ลค็อยร๊อต (บางอุทิศใน)</x:v>
      </x:c>
      <x:c r="C163" s="59" t="str">
        <x:v>มัสยิด</x:v>
      </x:c>
      <x:c r="D163" s="59" t="str">
        <x:v>ไม่ทราบ</x:v>
      </x:c>
      <x:c r="E163" s="59" t="str">
        <x:v>ไม่ทราบ</x:v>
      </x:c>
      <x:c r="F163" s="59" t="str">
        <x:v>ไม่ทราบ</x:v>
      </x:c>
      <x:c r="G163" s="59" t="str">
        <x:v>N/A</x:v>
      </x:c>
      <x:c r="H163" s="59" t="str">
        <x:v>N/A</x:v>
      </x:c>
      <x:c r="I163" s="59"/>
      <x:c r="J163" s="59" t="str">
        <x:v>ไม่ทราบ</x:v>
      </x:c>
      <x:c r="K163" s="59" t="str">
        <x:v>N/A</x:v>
      </x:c>
      <x:c r="L163" s="59" t="str">
        <x:v>N/A</x:v>
      </x:c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 t="str">
        <x:v>N/A</x:v>
      </x:c>
      <x:c r="Y163" s="59"/>
      <x:c r="Z163" s="59"/>
      <x:c r="AA163" s="8" t="n">
        <x:f>IF(C163="ไม่ทราบ","",SUMIFS($K$7:$Z$7,K163:Z163,"&lt;&gt;N/A"))</x:f>
        <x:v>67</x:v>
      </x:c>
      <x:c r="AB163" s="8" t="str">
        <x:f>IF(AND(OR(AND(C163="จำหน่ายอาหาร",ISNUMBER(K163),L163="N/A"),AND(C163="ไม่จำหน่ายอาหาร",K163="N/A",ISNUMBER(L163)),AND(C163="มัสยิด",K163="N/A",L163="N/A",X163="N/A")),COUNT(K163:Z163)+COUNTIFS(K163:Z163,"N/A")=16),SUM(K163:Z163),"")</x:f>
      </x:c>
      <x:c r="AC163" s="62" t="str">
        <x:f>IF(OR(AB163="",AA163&lt;=0),"",ROUND(AB163/AA163*100,1))</x:f>
      </x:c>
      <x:c r="AD163" s="8" t="str">
        <x:f>IF(COUNTIFS(D163:H163,"ไม่ผ่าน")&gt;0,"ไม่ผ่าน",IF(COUNTIFS(D163:H163,"ไม่ทราบ")+COUNTBLANK(D163:H163)&gt;0,"รอยืนยัน","ผ่าน"))</x:f>
        <x:v>รอยืนยัน</x:v>
      </x:c>
      <x:c r="AE163" s="8" t="str">
        <x:f>IF(AF163="ใช่","ไม่ผ่านการคัดเลือก",IF(AND(AD163="ผ่าน",ISNUMBER(AC163),AC163&gt;=70),"พร้อมขาย",IF(OR(J163="ใช่",AND(ISNUMBER(AC163),AC163&gt;=50)),"พัฒนาเพื่อพร้อมขาย",IF(AND(ISNUMBER(AC163),AC163&lt;50,I163&gt;=1),"มีศักยภาพ แต่ต้องพัฒนามาตรฐาน","รอประเมิน"))))</x:f>
        <x:v>รอประเมิน</x:v>
      </x:c>
      <x:c r="AF163" s="59" t="str">
        <x:v>ไม่ทราบ</x:v>
      </x:c>
      <x:c r="AG163" s="8" t="str">
        <x:f>IF(AF163="ใช่","หัวหน้าทีมพิจารณาเหตุไม่ผ่าน",IF(OR(AA163&lt;=0,NOT(OR(AND(C163="จำหน่ายอาหาร",ISNUMBER(K163),L163="N/A"),AND(C163="ไม่จำหน่ายอาหาร",K163="N/A",ISNUMBER(L163)),AND(C163="มัสยิด",K163="N/A",L163="N/A",X163="N/A"))),AD163="รอยืนยัน",COUNT(K163:Z163)+COUNTIFS(K163:Z163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3" s="59" t="str"/>
      <x:c r="AI163" s="61"/>
    </x:row>
    <x:row r="164" ht="60" customHeight="1">
      <x:c r="A164" s="2" t="str">
        <x:v>TMF-285</x:v>
      </x:c>
      <x:c r="B164" s="8" t="str">
        <x:v>มัสยิดดารุล-อิหซาน</x:v>
      </x:c>
      <x:c r="C164" s="59" t="str">
        <x:v>มัสยิด</x:v>
      </x:c>
      <x:c r="D164" s="59" t="str">
        <x:v>ไม่ทราบ</x:v>
      </x:c>
      <x:c r="E164" s="59" t="str">
        <x:v>ไม่ทราบ</x:v>
      </x:c>
      <x:c r="F164" s="59" t="str">
        <x:v>ไม่ทราบ</x:v>
      </x:c>
      <x:c r="G164" s="59" t="str">
        <x:v>N/A</x:v>
      </x:c>
      <x:c r="H164" s="59" t="str">
        <x:v>N/A</x:v>
      </x:c>
      <x:c r="I164" s="59"/>
      <x:c r="J164" s="59" t="str">
        <x:v>ไม่ทราบ</x:v>
      </x:c>
      <x:c r="K164" s="59" t="str">
        <x:v>N/A</x:v>
      </x:c>
      <x:c r="L164" s="59" t="str">
        <x:v>N/A</x:v>
      </x:c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 t="str">
        <x:v>N/A</x:v>
      </x:c>
      <x:c r="Y164" s="59"/>
      <x:c r="Z164" s="59"/>
      <x:c r="AA164" s="8" t="n">
        <x:f>IF(C164="ไม่ทราบ","",SUMIFS($K$7:$Z$7,K164:Z164,"&lt;&gt;N/A"))</x:f>
        <x:v>67</x:v>
      </x:c>
      <x:c r="AB164" s="8" t="str">
        <x:f>IF(AND(OR(AND(C164="จำหน่ายอาหาร",ISNUMBER(K164),L164="N/A"),AND(C164="ไม่จำหน่ายอาหาร",K164="N/A",ISNUMBER(L164)),AND(C164="มัสยิด",K164="N/A",L164="N/A",X164="N/A")),COUNT(K164:Z164)+COUNTIFS(K164:Z164,"N/A")=16),SUM(K164:Z164),"")</x:f>
      </x:c>
      <x:c r="AC164" s="62" t="str">
        <x:f>IF(OR(AB164="",AA164&lt;=0),"",ROUND(AB164/AA164*100,1))</x:f>
      </x:c>
      <x:c r="AD164" s="8" t="str">
        <x:f>IF(COUNTIFS(D164:H164,"ไม่ผ่าน")&gt;0,"ไม่ผ่าน",IF(COUNTIFS(D164:H164,"ไม่ทราบ")+COUNTBLANK(D164:H164)&gt;0,"รอยืนยัน","ผ่าน"))</x:f>
        <x:v>รอยืนยัน</x:v>
      </x:c>
      <x:c r="AE164" s="8" t="str">
        <x:f>IF(AF164="ใช่","ไม่ผ่านการคัดเลือก",IF(AND(AD164="ผ่าน",ISNUMBER(AC164),AC164&gt;=70),"พร้อมขาย",IF(OR(J164="ใช่",AND(ISNUMBER(AC164),AC164&gt;=50)),"พัฒนาเพื่อพร้อมขาย",IF(AND(ISNUMBER(AC164),AC164&lt;50,I164&gt;=1),"มีศักยภาพ แต่ต้องพัฒนามาตรฐาน","รอประเมิน"))))</x:f>
        <x:v>รอประเมิน</x:v>
      </x:c>
      <x:c r="AF164" s="59" t="str">
        <x:v>ไม่ทราบ</x:v>
      </x:c>
      <x:c r="AG164" s="8" t="str">
        <x:f>IF(AF164="ใช่","หัวหน้าทีมพิจารณาเหตุไม่ผ่าน",IF(OR(AA164&lt;=0,NOT(OR(AND(C164="จำหน่ายอาหาร",ISNUMBER(K164),L164="N/A"),AND(C164="ไม่จำหน่ายอาหาร",K164="N/A",ISNUMBER(L164)),AND(C164="มัสยิด",K164="N/A",L164="N/A",X164="N/A"))),AD164="รอยืนยัน",COUNT(K164:Z164)+COUNTIFS(K164:Z164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4" s="59" t="str"/>
      <x:c r="AI164" s="61"/>
    </x:row>
    <x:row r="165" ht="60" customHeight="1">
      <x:c r="A165" s="2" t="str">
        <x:v>TMF-287</x:v>
      </x:c>
      <x:c r="B165" s="8" t="str">
        <x:v>มัสยิดดารุสซุนนี</x:v>
      </x:c>
      <x:c r="C165" s="59" t="str">
        <x:v>มัสยิด</x:v>
      </x:c>
      <x:c r="D165" s="59" t="str">
        <x:v>ไม่ทราบ</x:v>
      </x:c>
      <x:c r="E165" s="59" t="str">
        <x:v>ไม่ทราบ</x:v>
      </x:c>
      <x:c r="F165" s="59" t="str">
        <x:v>ไม่ทราบ</x:v>
      </x:c>
      <x:c r="G165" s="59" t="str">
        <x:v>N/A</x:v>
      </x:c>
      <x:c r="H165" s="59" t="str">
        <x:v>N/A</x:v>
      </x:c>
      <x:c r="I165" s="59"/>
      <x:c r="J165" s="59" t="str">
        <x:v>ไม่ทราบ</x:v>
      </x:c>
      <x:c r="K165" s="59" t="str">
        <x:v>N/A</x:v>
      </x:c>
      <x:c r="L165" s="59" t="str">
        <x:v>N/A</x:v>
      </x:c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 t="str">
        <x:v>N/A</x:v>
      </x:c>
      <x:c r="Y165" s="59"/>
      <x:c r="Z165" s="59"/>
      <x:c r="AA165" s="8" t="n">
        <x:f>IF(C165="ไม่ทราบ","",SUMIFS($K$7:$Z$7,K165:Z165,"&lt;&gt;N/A"))</x:f>
        <x:v>67</x:v>
      </x:c>
      <x:c r="AB165" s="8" t="str">
        <x:f>IF(AND(OR(AND(C165="จำหน่ายอาหาร",ISNUMBER(K165),L165="N/A"),AND(C165="ไม่จำหน่ายอาหาร",K165="N/A",ISNUMBER(L165)),AND(C165="มัสยิด",K165="N/A",L165="N/A",X165="N/A")),COUNT(K165:Z165)+COUNTIFS(K165:Z165,"N/A")=16),SUM(K165:Z165),"")</x:f>
      </x:c>
      <x:c r="AC165" s="62" t="str">
        <x:f>IF(OR(AB165="",AA165&lt;=0),"",ROUND(AB165/AA165*100,1))</x:f>
      </x:c>
      <x:c r="AD165" s="8" t="str">
        <x:f>IF(COUNTIFS(D165:H165,"ไม่ผ่าน")&gt;0,"ไม่ผ่าน",IF(COUNTIFS(D165:H165,"ไม่ทราบ")+COUNTBLANK(D165:H165)&gt;0,"รอยืนยัน","ผ่าน"))</x:f>
        <x:v>รอยืนยัน</x:v>
      </x:c>
      <x:c r="AE165" s="8" t="str">
        <x:f>IF(AF165="ใช่","ไม่ผ่านการคัดเลือก",IF(AND(AD165="ผ่าน",ISNUMBER(AC165),AC165&gt;=70),"พร้อมขาย",IF(OR(J165="ใช่",AND(ISNUMBER(AC165),AC165&gt;=50)),"พัฒนาเพื่อพร้อมขาย",IF(AND(ISNUMBER(AC165),AC165&lt;50,I165&gt;=1),"มีศักยภาพ แต่ต้องพัฒนามาตรฐาน","รอประเมิน"))))</x:f>
        <x:v>รอประเมิน</x:v>
      </x:c>
      <x:c r="AF165" s="59" t="str">
        <x:v>ไม่ทราบ</x:v>
      </x:c>
      <x:c r="AG165" s="8" t="str">
        <x:f>IF(AF165="ใช่","หัวหน้าทีมพิจารณาเหตุไม่ผ่าน",IF(OR(AA165&lt;=0,NOT(OR(AND(C165="จำหน่ายอาหาร",ISNUMBER(K165),L165="N/A"),AND(C165="ไม่จำหน่ายอาหาร",K165="N/A",ISNUMBER(L165)),AND(C165="มัสยิด",K165="N/A",L165="N/A",X165="N/A"))),AD165="รอยืนยัน",COUNT(K165:Z165)+COUNTIFS(K165:Z165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5" s="59" t="str"/>
      <x:c r="AI165" s="61"/>
    </x:row>
    <x:row r="166" ht="60" customHeight="1">
      <x:c r="A166" s="2" t="str">
        <x:v>TMF-288</x:v>
      </x:c>
      <x:c r="B166" s="8" t="str">
        <x:v>มัสยิดดารุสสลาม บาหยัน</x:v>
      </x:c>
      <x:c r="C166" s="59" t="str">
        <x:v>มัสยิด</x:v>
      </x:c>
      <x:c r="D166" s="59" t="str">
        <x:v>ไม่ทราบ</x:v>
      </x:c>
      <x:c r="E166" s="59" t="str">
        <x:v>ไม่ทราบ</x:v>
      </x:c>
      <x:c r="F166" s="59" t="str">
        <x:v>ไม่ทราบ</x:v>
      </x:c>
      <x:c r="G166" s="59" t="str">
        <x:v>N/A</x:v>
      </x:c>
      <x:c r="H166" s="59" t="str">
        <x:v>N/A</x:v>
      </x:c>
      <x:c r="I166" s="59"/>
      <x:c r="J166" s="59" t="str">
        <x:v>ไม่ทราบ</x:v>
      </x:c>
      <x:c r="K166" s="59" t="str">
        <x:v>N/A</x:v>
      </x:c>
      <x:c r="L166" s="59" t="str">
        <x:v>N/A</x:v>
      </x:c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 t="str">
        <x:v>N/A</x:v>
      </x:c>
      <x:c r="Y166" s="59"/>
      <x:c r="Z166" s="59"/>
      <x:c r="AA166" s="8" t="n">
        <x:f>IF(C166="ไม่ทราบ","",SUMIFS($K$7:$Z$7,K166:Z166,"&lt;&gt;N/A"))</x:f>
        <x:v>67</x:v>
      </x:c>
      <x:c r="AB166" s="8" t="str">
        <x:f>IF(AND(OR(AND(C166="จำหน่ายอาหาร",ISNUMBER(K166),L166="N/A"),AND(C166="ไม่จำหน่ายอาหาร",K166="N/A",ISNUMBER(L166)),AND(C166="มัสยิด",K166="N/A",L166="N/A",X166="N/A")),COUNT(K166:Z166)+COUNTIFS(K166:Z166,"N/A")=16),SUM(K166:Z166),"")</x:f>
      </x:c>
      <x:c r="AC166" s="62" t="str">
        <x:f>IF(OR(AB166="",AA166&lt;=0),"",ROUND(AB166/AA166*100,1))</x:f>
      </x:c>
      <x:c r="AD166" s="8" t="str">
        <x:f>IF(COUNTIFS(D166:H166,"ไม่ผ่าน")&gt;0,"ไม่ผ่าน",IF(COUNTIFS(D166:H166,"ไม่ทราบ")+COUNTBLANK(D166:H166)&gt;0,"รอยืนยัน","ผ่าน"))</x:f>
        <x:v>รอยืนยัน</x:v>
      </x:c>
      <x:c r="AE166" s="8" t="str">
        <x:f>IF(AF166="ใช่","ไม่ผ่านการคัดเลือก",IF(AND(AD166="ผ่าน",ISNUMBER(AC166),AC166&gt;=70),"พร้อมขาย",IF(OR(J166="ใช่",AND(ISNUMBER(AC166),AC166&gt;=50)),"พัฒนาเพื่อพร้อมขาย",IF(AND(ISNUMBER(AC166),AC166&lt;50,I166&gt;=1),"มีศักยภาพ แต่ต้องพัฒนามาตรฐาน","รอประเมิน"))))</x:f>
        <x:v>รอประเมิน</x:v>
      </x:c>
      <x:c r="AF166" s="59" t="str">
        <x:v>ไม่ทราบ</x:v>
      </x:c>
      <x:c r="AG166" s="8" t="str">
        <x:f>IF(AF166="ใช่","หัวหน้าทีมพิจารณาเหตุไม่ผ่าน",IF(OR(AA166&lt;=0,NOT(OR(AND(C166="จำหน่ายอาหาร",ISNUMBER(K166),L166="N/A"),AND(C166="ไม่จำหน่ายอาหาร",K166="N/A",ISNUMBER(L166)),AND(C166="มัสยิด",K166="N/A",L166="N/A",X166="N/A"))),AD166="รอยืนยัน",COUNT(K166:Z166)+COUNTIFS(K166:Z166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6" s="59" t="str"/>
      <x:c r="AI166" s="61"/>
    </x:row>
    <x:row r="167" ht="60" customHeight="1">
      <x:c r="A167" s="2" t="str">
        <x:v>TMF-289</x:v>
      </x:c>
      <x:c r="B167" s="8" t="str">
        <x:v>มัสยิดดารุสสะลาม (เจียรดับใหญ่)</x:v>
      </x:c>
      <x:c r="C167" s="59" t="str">
        <x:v>มัสยิด</x:v>
      </x:c>
      <x:c r="D167" s="59" t="str">
        <x:v>ไม่ทราบ</x:v>
      </x:c>
      <x:c r="E167" s="59" t="str">
        <x:v>ไม่ทราบ</x:v>
      </x:c>
      <x:c r="F167" s="59" t="str">
        <x:v>ไม่ทราบ</x:v>
      </x:c>
      <x:c r="G167" s="59" t="str">
        <x:v>N/A</x:v>
      </x:c>
      <x:c r="H167" s="59" t="str">
        <x:v>N/A</x:v>
      </x:c>
      <x:c r="I167" s="59"/>
      <x:c r="J167" s="59" t="str">
        <x:v>ไม่ทราบ</x:v>
      </x:c>
      <x:c r="K167" s="59" t="str">
        <x:v>N/A</x:v>
      </x:c>
      <x:c r="L167" s="59" t="str">
        <x:v>N/A</x:v>
      </x:c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 t="str">
        <x:v>N/A</x:v>
      </x:c>
      <x:c r="Y167" s="59"/>
      <x:c r="Z167" s="59"/>
      <x:c r="AA167" s="8" t="n">
        <x:f>IF(C167="ไม่ทราบ","",SUMIFS($K$7:$Z$7,K167:Z167,"&lt;&gt;N/A"))</x:f>
        <x:v>67</x:v>
      </x:c>
      <x:c r="AB167" s="8" t="str">
        <x:f>IF(AND(OR(AND(C167="จำหน่ายอาหาร",ISNUMBER(K167),L167="N/A"),AND(C167="ไม่จำหน่ายอาหาร",K167="N/A",ISNUMBER(L167)),AND(C167="มัสยิด",K167="N/A",L167="N/A",X167="N/A")),COUNT(K167:Z167)+COUNTIFS(K167:Z167,"N/A")=16),SUM(K167:Z167),"")</x:f>
      </x:c>
      <x:c r="AC167" s="62" t="str">
        <x:f>IF(OR(AB167="",AA167&lt;=0),"",ROUND(AB167/AA167*100,1))</x:f>
      </x:c>
      <x:c r="AD167" s="8" t="str">
        <x:f>IF(COUNTIFS(D167:H167,"ไม่ผ่าน")&gt;0,"ไม่ผ่าน",IF(COUNTIFS(D167:H167,"ไม่ทราบ")+COUNTBLANK(D167:H167)&gt;0,"รอยืนยัน","ผ่าน"))</x:f>
        <x:v>รอยืนยัน</x:v>
      </x:c>
      <x:c r="AE167" s="8" t="str">
        <x:f>IF(AF167="ใช่","ไม่ผ่านการคัดเลือก",IF(AND(AD167="ผ่าน",ISNUMBER(AC167),AC167&gt;=70),"พร้อมขาย",IF(OR(J167="ใช่",AND(ISNUMBER(AC167),AC167&gt;=50)),"พัฒนาเพื่อพร้อมขาย",IF(AND(ISNUMBER(AC167),AC167&lt;50,I167&gt;=1),"มีศักยภาพ แต่ต้องพัฒนามาตรฐาน","รอประเมิน"))))</x:f>
        <x:v>รอประเมิน</x:v>
      </x:c>
      <x:c r="AF167" s="59" t="str">
        <x:v>ไม่ทราบ</x:v>
      </x:c>
      <x:c r="AG167" s="8" t="str">
        <x:f>IF(AF167="ใช่","หัวหน้าทีมพิจารณาเหตุไม่ผ่าน",IF(OR(AA167&lt;=0,NOT(OR(AND(C167="จำหน่ายอาหาร",ISNUMBER(K167),L167="N/A"),AND(C167="ไม่จำหน่ายอาหาร",K167="N/A",ISNUMBER(L167)),AND(C167="มัสยิด",K167="N/A",L167="N/A",X167="N/A"))),AD167="รอยืนยัน",COUNT(K167:Z167)+COUNTIFS(K167:Z167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7" s="59" t="str"/>
      <x:c r="AI167" s="61"/>
    </x:row>
    <x:row r="168" ht="60" customHeight="1">
      <x:c r="A168" s="2" t="str">
        <x:v>TMF-291</x:v>
      </x:c>
      <x:c r="B168" s="8" t="str">
        <x:v>มัสยิดดารุ้ลฆอนี (โต๊ะนิล)</x:v>
      </x:c>
      <x:c r="C168" s="59" t="str">
        <x:v>มัสยิด</x:v>
      </x:c>
      <x:c r="D168" s="59" t="str">
        <x:v>ไม่ทราบ</x:v>
      </x:c>
      <x:c r="E168" s="59" t="str">
        <x:v>ไม่ทราบ</x:v>
      </x:c>
      <x:c r="F168" s="59" t="str">
        <x:v>ไม่ทราบ</x:v>
      </x:c>
      <x:c r="G168" s="59" t="str">
        <x:v>N/A</x:v>
      </x:c>
      <x:c r="H168" s="59" t="str">
        <x:v>N/A</x:v>
      </x:c>
      <x:c r="I168" s="59"/>
      <x:c r="J168" s="59" t="str">
        <x:v>ไม่ทราบ</x:v>
      </x:c>
      <x:c r="K168" s="59" t="str">
        <x:v>N/A</x:v>
      </x:c>
      <x:c r="L168" s="59" t="str">
        <x:v>N/A</x:v>
      </x:c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 t="str">
        <x:v>N/A</x:v>
      </x:c>
      <x:c r="Y168" s="59"/>
      <x:c r="Z168" s="59"/>
      <x:c r="AA168" s="8" t="n">
        <x:f>IF(C168="ไม่ทราบ","",SUMIFS($K$7:$Z$7,K168:Z168,"&lt;&gt;N/A"))</x:f>
        <x:v>67</x:v>
      </x:c>
      <x:c r="AB168" s="8" t="str">
        <x:f>IF(AND(OR(AND(C168="จำหน่ายอาหาร",ISNUMBER(K168),L168="N/A"),AND(C168="ไม่จำหน่ายอาหาร",K168="N/A",ISNUMBER(L168)),AND(C168="มัสยิด",K168="N/A",L168="N/A",X168="N/A")),COUNT(K168:Z168)+COUNTIFS(K168:Z168,"N/A")=16),SUM(K168:Z168),"")</x:f>
      </x:c>
      <x:c r="AC168" s="62" t="str">
        <x:f>IF(OR(AB168="",AA168&lt;=0),"",ROUND(AB168/AA168*100,1))</x:f>
      </x:c>
      <x:c r="AD168" s="8" t="str">
        <x:f>IF(COUNTIFS(D168:H168,"ไม่ผ่าน")&gt;0,"ไม่ผ่าน",IF(COUNTIFS(D168:H168,"ไม่ทราบ")+COUNTBLANK(D168:H168)&gt;0,"รอยืนยัน","ผ่าน"))</x:f>
        <x:v>รอยืนยัน</x:v>
      </x:c>
      <x:c r="AE168" s="8" t="str">
        <x:f>IF(AF168="ใช่","ไม่ผ่านการคัดเลือก",IF(AND(AD168="ผ่าน",ISNUMBER(AC168),AC168&gt;=70),"พร้อมขาย",IF(OR(J168="ใช่",AND(ISNUMBER(AC168),AC168&gt;=50)),"พัฒนาเพื่อพร้อมขาย",IF(AND(ISNUMBER(AC168),AC168&lt;50,I168&gt;=1),"มีศักยภาพ แต่ต้องพัฒนามาตรฐาน","รอประเมิน"))))</x:f>
        <x:v>รอประเมิน</x:v>
      </x:c>
      <x:c r="AF168" s="59" t="str">
        <x:v>ไม่ทราบ</x:v>
      </x:c>
      <x:c r="AG168" s="8" t="str">
        <x:f>IF(AF168="ใช่","หัวหน้าทีมพิจารณาเหตุไม่ผ่าน",IF(OR(AA168&lt;=0,NOT(OR(AND(C168="จำหน่ายอาหาร",ISNUMBER(K168),L168="N/A"),AND(C168="ไม่จำหน่ายอาหาร",K168="N/A",ISNUMBER(L168)),AND(C168="มัสยิด",K168="N/A",L168="N/A",X168="N/A"))),AD168="รอยืนยัน",COUNT(K168:Z168)+COUNTIFS(K168:Z168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8" s="59" t="str"/>
      <x:c r="AI168" s="61"/>
    </x:row>
    <x:row r="169" ht="60" customHeight="1">
      <x:c r="A169" s="2" t="str">
        <x:v>TMF-292</x:v>
      </x:c>
      <x:c r="B169" s="8" t="str">
        <x:v>มัสยิดดารุ้ลนาอีม (แบนชะโด)</x:v>
      </x:c>
      <x:c r="C169" s="59" t="str">
        <x:v>มัสยิด</x:v>
      </x:c>
      <x:c r="D169" s="59" t="str">
        <x:v>ไม่ทราบ</x:v>
      </x:c>
      <x:c r="E169" s="59" t="str">
        <x:v>ไม่ทราบ</x:v>
      </x:c>
      <x:c r="F169" s="59" t="str">
        <x:v>ไม่ทราบ</x:v>
      </x:c>
      <x:c r="G169" s="59" t="str">
        <x:v>N/A</x:v>
      </x:c>
      <x:c r="H169" s="59" t="str">
        <x:v>N/A</x:v>
      </x:c>
      <x:c r="I169" s="59"/>
      <x:c r="J169" s="59" t="str">
        <x:v>ไม่ทราบ</x:v>
      </x:c>
      <x:c r="K169" s="59" t="str">
        <x:v>N/A</x:v>
      </x:c>
      <x:c r="L169" s="59" t="str">
        <x:v>N/A</x:v>
      </x:c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 t="str">
        <x:v>N/A</x:v>
      </x:c>
      <x:c r="Y169" s="59"/>
      <x:c r="Z169" s="59"/>
      <x:c r="AA169" s="8" t="n">
        <x:f>IF(C169="ไม่ทราบ","",SUMIFS($K$7:$Z$7,K169:Z169,"&lt;&gt;N/A"))</x:f>
        <x:v>67</x:v>
      </x:c>
      <x:c r="AB169" s="8" t="str">
        <x:f>IF(AND(OR(AND(C169="จำหน่ายอาหาร",ISNUMBER(K169),L169="N/A"),AND(C169="ไม่จำหน่ายอาหาร",K169="N/A",ISNUMBER(L169)),AND(C169="มัสยิด",K169="N/A",L169="N/A",X169="N/A")),COUNT(K169:Z169)+COUNTIFS(K169:Z169,"N/A")=16),SUM(K169:Z169),"")</x:f>
      </x:c>
      <x:c r="AC169" s="62" t="str">
        <x:f>IF(OR(AB169="",AA169&lt;=0),"",ROUND(AB169/AA169*100,1))</x:f>
      </x:c>
      <x:c r="AD169" s="8" t="str">
        <x:f>IF(COUNTIFS(D169:H169,"ไม่ผ่าน")&gt;0,"ไม่ผ่าน",IF(COUNTIFS(D169:H169,"ไม่ทราบ")+COUNTBLANK(D169:H169)&gt;0,"รอยืนยัน","ผ่าน"))</x:f>
        <x:v>รอยืนยัน</x:v>
      </x:c>
      <x:c r="AE169" s="8" t="str">
        <x:f>IF(AF169="ใช่","ไม่ผ่านการคัดเลือก",IF(AND(AD169="ผ่าน",ISNUMBER(AC169),AC169&gt;=70),"พร้อมขาย",IF(OR(J169="ใช่",AND(ISNUMBER(AC169),AC169&gt;=50)),"พัฒนาเพื่อพร้อมขาย",IF(AND(ISNUMBER(AC169),AC169&lt;50,I169&gt;=1),"มีศักยภาพ แต่ต้องพัฒนามาตรฐาน","รอประเมิน"))))</x:f>
        <x:v>รอประเมิน</x:v>
      </x:c>
      <x:c r="AF169" s="59" t="str">
        <x:v>ไม่ทราบ</x:v>
      </x:c>
      <x:c r="AG169" s="8" t="str">
        <x:f>IF(AF169="ใช่","หัวหน้าทีมพิจารณาเหตุไม่ผ่าน",IF(OR(AA169&lt;=0,NOT(OR(AND(C169="จำหน่ายอาหาร",ISNUMBER(K169),L169="N/A"),AND(C169="ไม่จำหน่ายอาหาร",K169="N/A",ISNUMBER(L169)),AND(C169="มัสยิด",K169="N/A",L169="N/A",X169="N/A"))),AD169="รอยืนยัน",COUNT(K169:Z169)+COUNTIFS(K169:Z169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69" s="59" t="str"/>
      <x:c r="AI169" s="61"/>
    </x:row>
    <x:row r="170" ht="60" customHeight="1">
      <x:c r="A170" s="2" t="str">
        <x:v>TMF-293</x:v>
      </x:c>
      <x:c r="B170" s="8" t="str">
        <x:v>มัสยิดดารุ้ลมุตตะกีน</x:v>
      </x:c>
      <x:c r="C170" s="59" t="str">
        <x:v>มัสยิด</x:v>
      </x:c>
      <x:c r="D170" s="59" t="str">
        <x:v>ไม่ทราบ</x:v>
      </x:c>
      <x:c r="E170" s="59" t="str">
        <x:v>ไม่ทราบ</x:v>
      </x:c>
      <x:c r="F170" s="59" t="str">
        <x:v>ไม่ทราบ</x:v>
      </x:c>
      <x:c r="G170" s="59" t="str">
        <x:v>N/A</x:v>
      </x:c>
      <x:c r="H170" s="59" t="str">
        <x:v>N/A</x:v>
      </x:c>
      <x:c r="I170" s="59"/>
      <x:c r="J170" s="59" t="str">
        <x:v>ไม่ทราบ</x:v>
      </x:c>
      <x:c r="K170" s="59" t="str">
        <x:v>N/A</x:v>
      </x:c>
      <x:c r="L170" s="59" t="str">
        <x:v>N/A</x:v>
      </x:c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 t="str">
        <x:v>N/A</x:v>
      </x:c>
      <x:c r="Y170" s="59"/>
      <x:c r="Z170" s="59"/>
      <x:c r="AA170" s="8" t="n">
        <x:f>IF(C170="ไม่ทราบ","",SUMIFS($K$7:$Z$7,K170:Z170,"&lt;&gt;N/A"))</x:f>
        <x:v>67</x:v>
      </x:c>
      <x:c r="AB170" s="8" t="str">
        <x:f>IF(AND(OR(AND(C170="จำหน่ายอาหาร",ISNUMBER(K170),L170="N/A"),AND(C170="ไม่จำหน่ายอาหาร",K170="N/A",ISNUMBER(L170)),AND(C170="มัสยิด",K170="N/A",L170="N/A",X170="N/A")),COUNT(K170:Z170)+COUNTIFS(K170:Z170,"N/A")=16),SUM(K170:Z170),"")</x:f>
      </x:c>
      <x:c r="AC170" s="62" t="str">
        <x:f>IF(OR(AB170="",AA170&lt;=0),"",ROUND(AB170/AA170*100,1))</x:f>
      </x:c>
      <x:c r="AD170" s="8" t="str">
        <x:f>IF(COUNTIFS(D170:H170,"ไม่ผ่าน")&gt;0,"ไม่ผ่าน",IF(COUNTIFS(D170:H170,"ไม่ทราบ")+COUNTBLANK(D170:H170)&gt;0,"รอยืนยัน","ผ่าน"))</x:f>
        <x:v>รอยืนยัน</x:v>
      </x:c>
      <x:c r="AE170" s="8" t="str">
        <x:f>IF(AF170="ใช่","ไม่ผ่านการคัดเลือก",IF(AND(AD170="ผ่าน",ISNUMBER(AC170),AC170&gt;=70),"พร้อมขาย",IF(OR(J170="ใช่",AND(ISNUMBER(AC170),AC170&gt;=50)),"พัฒนาเพื่อพร้อมขาย",IF(AND(ISNUMBER(AC170),AC170&lt;50,I170&gt;=1),"มีศักยภาพ แต่ต้องพัฒนามาตรฐาน","รอประเมิน"))))</x:f>
        <x:v>รอประเมิน</x:v>
      </x:c>
      <x:c r="AF170" s="59" t="str">
        <x:v>ไม่ทราบ</x:v>
      </x:c>
      <x:c r="AG170" s="8" t="str">
        <x:f>IF(AF170="ใช่","หัวหน้าทีมพิจารณาเหตุไม่ผ่าน",IF(OR(AA170&lt;=0,NOT(OR(AND(C170="จำหน่ายอาหาร",ISNUMBER(K170),L170="N/A"),AND(C170="ไม่จำหน่ายอาหาร",K170="N/A",ISNUMBER(L170)),AND(C170="มัสยิด",K170="N/A",L170="N/A",X170="N/A"))),AD170="รอยืนยัน",COUNT(K170:Z170)+COUNTIFS(K170:Z170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0" s="59" t="str"/>
      <x:c r="AI170" s="61"/>
    </x:row>
    <x:row r="171" ht="60" customHeight="1">
      <x:c r="A171" s="2" t="str">
        <x:v>TMF-294</x:v>
      </x:c>
      <x:c r="B171" s="8" t="str">
        <x:v>มัสยิดดารุ้ลมุสลิมีน (กลิ่นชื่นอุปถัมภ์)</x:v>
      </x:c>
      <x:c r="C171" s="59" t="str">
        <x:v>มัสยิด</x:v>
      </x:c>
      <x:c r="D171" s="59" t="str">
        <x:v>ไม่ทราบ</x:v>
      </x:c>
      <x:c r="E171" s="59" t="str">
        <x:v>ไม่ทราบ</x:v>
      </x:c>
      <x:c r="F171" s="59" t="str">
        <x:v>ไม่ทราบ</x:v>
      </x:c>
      <x:c r="G171" s="59" t="str">
        <x:v>N/A</x:v>
      </x:c>
      <x:c r="H171" s="59" t="str">
        <x:v>N/A</x:v>
      </x:c>
      <x:c r="I171" s="59"/>
      <x:c r="J171" s="59" t="str">
        <x:v>ไม่ทราบ</x:v>
      </x:c>
      <x:c r="K171" s="59" t="str">
        <x:v>N/A</x:v>
      </x:c>
      <x:c r="L171" s="59" t="str">
        <x:v>N/A</x:v>
      </x:c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 t="str">
        <x:v>N/A</x:v>
      </x:c>
      <x:c r="Y171" s="59"/>
      <x:c r="Z171" s="59"/>
      <x:c r="AA171" s="8" t="n">
        <x:f>IF(C171="ไม่ทราบ","",SUMIFS($K$7:$Z$7,K171:Z171,"&lt;&gt;N/A"))</x:f>
        <x:v>67</x:v>
      </x:c>
      <x:c r="AB171" s="8" t="str">
        <x:f>IF(AND(OR(AND(C171="จำหน่ายอาหาร",ISNUMBER(K171),L171="N/A"),AND(C171="ไม่จำหน่ายอาหาร",K171="N/A",ISNUMBER(L171)),AND(C171="มัสยิด",K171="N/A",L171="N/A",X171="N/A")),COUNT(K171:Z171)+COUNTIFS(K171:Z171,"N/A")=16),SUM(K171:Z171),"")</x:f>
      </x:c>
      <x:c r="AC171" s="62" t="str">
        <x:f>IF(OR(AB171="",AA171&lt;=0),"",ROUND(AB171/AA171*100,1))</x:f>
      </x:c>
      <x:c r="AD171" s="8" t="str">
        <x:f>IF(COUNTIFS(D171:H171,"ไม่ผ่าน")&gt;0,"ไม่ผ่าน",IF(COUNTIFS(D171:H171,"ไม่ทราบ")+COUNTBLANK(D171:H171)&gt;0,"รอยืนยัน","ผ่าน"))</x:f>
        <x:v>รอยืนยัน</x:v>
      </x:c>
      <x:c r="AE171" s="8" t="str">
        <x:f>IF(AF171="ใช่","ไม่ผ่านการคัดเลือก",IF(AND(AD171="ผ่าน",ISNUMBER(AC171),AC171&gt;=70),"พร้อมขาย",IF(OR(J171="ใช่",AND(ISNUMBER(AC171),AC171&gt;=50)),"พัฒนาเพื่อพร้อมขาย",IF(AND(ISNUMBER(AC171),AC171&lt;50,I171&gt;=1),"มีศักยภาพ แต่ต้องพัฒนามาตรฐาน","รอประเมิน"))))</x:f>
        <x:v>รอประเมิน</x:v>
      </x:c>
      <x:c r="AF171" s="59" t="str">
        <x:v>ไม่ทราบ</x:v>
      </x:c>
      <x:c r="AG171" s="8" t="str">
        <x:f>IF(AF171="ใช่","หัวหน้าทีมพิจารณาเหตุไม่ผ่าน",IF(OR(AA171&lt;=0,NOT(OR(AND(C171="จำหน่ายอาหาร",ISNUMBER(K171),L171="N/A"),AND(C171="ไม่จำหน่ายอาหาร",K171="N/A",ISNUMBER(L171)),AND(C171="มัสยิด",K171="N/A",L171="N/A",X171="N/A"))),AD171="รอยืนยัน",COUNT(K171:Z171)+COUNTIFS(K171:Z171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1" s="59" t="str"/>
      <x:c r="AI171" s="61"/>
    </x:row>
    <x:row r="172" ht="60" customHeight="1">
      <x:c r="A172" s="2" t="str">
        <x:v>TMF-296</x:v>
      </x:c>
      <x:c r="B172" s="8" t="str">
        <x:v>มัสยิดนูรุดดีน (บ้านเกาะคลอง 13)</x:v>
      </x:c>
      <x:c r="C172" s="59" t="str">
        <x:v>มัสยิด</x:v>
      </x:c>
      <x:c r="D172" s="59" t="str">
        <x:v>ไม่ทราบ</x:v>
      </x:c>
      <x:c r="E172" s="59" t="str">
        <x:v>ไม่ทราบ</x:v>
      </x:c>
      <x:c r="F172" s="59" t="str">
        <x:v>ไม่ทราบ</x:v>
      </x:c>
      <x:c r="G172" s="59" t="str">
        <x:v>N/A</x:v>
      </x:c>
      <x:c r="H172" s="59" t="str">
        <x:v>N/A</x:v>
      </x:c>
      <x:c r="I172" s="59"/>
      <x:c r="J172" s="59" t="str">
        <x:v>ไม่ทราบ</x:v>
      </x:c>
      <x:c r="K172" s="59" t="str">
        <x:v>N/A</x:v>
      </x:c>
      <x:c r="L172" s="59" t="str">
        <x:v>N/A</x:v>
      </x:c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 t="str">
        <x:v>N/A</x:v>
      </x:c>
      <x:c r="Y172" s="59"/>
      <x:c r="Z172" s="59"/>
      <x:c r="AA172" s="8" t="n">
        <x:f>IF(C172="ไม่ทราบ","",SUMIFS($K$7:$Z$7,K172:Z172,"&lt;&gt;N/A"))</x:f>
        <x:v>67</x:v>
      </x:c>
      <x:c r="AB172" s="8" t="str">
        <x:f>IF(AND(OR(AND(C172="จำหน่ายอาหาร",ISNUMBER(K172),L172="N/A"),AND(C172="ไม่จำหน่ายอาหาร",K172="N/A",ISNUMBER(L172)),AND(C172="มัสยิด",K172="N/A",L172="N/A",X172="N/A")),COUNT(K172:Z172)+COUNTIFS(K172:Z172,"N/A")=16),SUM(K172:Z172),"")</x:f>
      </x:c>
      <x:c r="AC172" s="62" t="str">
        <x:f>IF(OR(AB172="",AA172&lt;=0),"",ROUND(AB172/AA172*100,1))</x:f>
      </x:c>
      <x:c r="AD172" s="8" t="str">
        <x:f>IF(COUNTIFS(D172:H172,"ไม่ผ่าน")&gt;0,"ไม่ผ่าน",IF(COUNTIFS(D172:H172,"ไม่ทราบ")+COUNTBLANK(D172:H172)&gt;0,"รอยืนยัน","ผ่าน"))</x:f>
        <x:v>รอยืนยัน</x:v>
      </x:c>
      <x:c r="AE172" s="8" t="str">
        <x:f>IF(AF172="ใช่","ไม่ผ่านการคัดเลือก",IF(AND(AD172="ผ่าน",ISNUMBER(AC172),AC172&gt;=70),"พร้อมขาย",IF(OR(J172="ใช่",AND(ISNUMBER(AC172),AC172&gt;=50)),"พัฒนาเพื่อพร้อมขาย",IF(AND(ISNUMBER(AC172),AC172&lt;50,I172&gt;=1),"มีศักยภาพ แต่ต้องพัฒนามาตรฐาน","รอประเมิน"))))</x:f>
        <x:v>รอประเมิน</x:v>
      </x:c>
      <x:c r="AF172" s="59" t="str">
        <x:v>ไม่ทราบ</x:v>
      </x:c>
      <x:c r="AG172" s="8" t="str">
        <x:f>IF(AF172="ใช่","หัวหน้าทีมพิจารณาเหตุไม่ผ่าน",IF(OR(AA172&lt;=0,NOT(OR(AND(C172="จำหน่ายอาหาร",ISNUMBER(K172),L172="N/A"),AND(C172="ไม่จำหน่ายอาหาร",K172="N/A",ISNUMBER(L172)),AND(C172="มัสยิด",K172="N/A",L172="N/A",X172="N/A"))),AD172="รอยืนยัน",COUNT(K172:Z172)+COUNTIFS(K172:Z172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2" s="59" t="str"/>
      <x:c r="AI172" s="61"/>
    </x:row>
    <x:row r="173" ht="60" customHeight="1">
      <x:c r="A173" s="2" t="str">
        <x:v>TMF-298</x:v>
      </x:c>
      <x:c r="B173" s="8" t="str">
        <x:v>มัสยิดนูรุสสะลาม กุโบร์โต๊ะเยาะห์</x:v>
      </x:c>
      <x:c r="C173" s="59" t="str">
        <x:v>มัสยิด</x:v>
      </x:c>
      <x:c r="D173" s="59" t="str">
        <x:v>ไม่ทราบ</x:v>
      </x:c>
      <x:c r="E173" s="59" t="str">
        <x:v>ไม่ทราบ</x:v>
      </x:c>
      <x:c r="F173" s="59" t="str">
        <x:v>ไม่ทราบ</x:v>
      </x:c>
      <x:c r="G173" s="59" t="str">
        <x:v>N/A</x:v>
      </x:c>
      <x:c r="H173" s="59" t="str">
        <x:v>N/A</x:v>
      </x:c>
      <x:c r="I173" s="59"/>
      <x:c r="J173" s="59" t="str">
        <x:v>ไม่ทราบ</x:v>
      </x:c>
      <x:c r="K173" s="59" t="str">
        <x:v>N/A</x:v>
      </x:c>
      <x:c r="L173" s="59" t="str">
        <x:v>N/A</x:v>
      </x:c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 t="str">
        <x:v>N/A</x:v>
      </x:c>
      <x:c r="Y173" s="59"/>
      <x:c r="Z173" s="59"/>
      <x:c r="AA173" s="8" t="n">
        <x:f>IF(C173="ไม่ทราบ","",SUMIFS($K$7:$Z$7,K173:Z173,"&lt;&gt;N/A"))</x:f>
        <x:v>67</x:v>
      </x:c>
      <x:c r="AB173" s="8" t="str">
        <x:f>IF(AND(OR(AND(C173="จำหน่ายอาหาร",ISNUMBER(K173),L173="N/A"),AND(C173="ไม่จำหน่ายอาหาร",K173="N/A",ISNUMBER(L173)),AND(C173="มัสยิด",K173="N/A",L173="N/A",X173="N/A")),COUNT(K173:Z173)+COUNTIFS(K173:Z173,"N/A")=16),SUM(K173:Z173),"")</x:f>
      </x:c>
      <x:c r="AC173" s="62" t="str">
        <x:f>IF(OR(AB173="",AA173&lt;=0),"",ROUND(AB173/AA173*100,1))</x:f>
      </x:c>
      <x:c r="AD173" s="8" t="str">
        <x:f>IF(COUNTIFS(D173:H173,"ไม่ผ่าน")&gt;0,"ไม่ผ่าน",IF(COUNTIFS(D173:H173,"ไม่ทราบ")+COUNTBLANK(D173:H173)&gt;0,"รอยืนยัน","ผ่าน"))</x:f>
        <x:v>รอยืนยัน</x:v>
      </x:c>
      <x:c r="AE173" s="8" t="str">
        <x:f>IF(AF173="ใช่","ไม่ผ่านการคัดเลือก",IF(AND(AD173="ผ่าน",ISNUMBER(AC173),AC173&gt;=70),"พร้อมขาย",IF(OR(J173="ใช่",AND(ISNUMBER(AC173),AC173&gt;=50)),"พัฒนาเพื่อพร้อมขาย",IF(AND(ISNUMBER(AC173),AC173&lt;50,I173&gt;=1),"มีศักยภาพ แต่ต้องพัฒนามาตรฐาน","รอประเมิน"))))</x:f>
        <x:v>รอประเมิน</x:v>
      </x:c>
      <x:c r="AF173" s="59" t="str">
        <x:v>ไม่ทราบ</x:v>
      </x:c>
      <x:c r="AG173" s="8" t="str">
        <x:f>IF(AF173="ใช่","หัวหน้าทีมพิจารณาเหตุไม่ผ่าน",IF(OR(AA173&lt;=0,NOT(OR(AND(C173="จำหน่ายอาหาร",ISNUMBER(K173),L173="N/A"),AND(C173="ไม่จำหน่ายอาหาร",K173="N/A",ISNUMBER(L173)),AND(C173="มัสยิด",K173="N/A",L173="N/A",X173="N/A"))),AD173="รอยืนยัน",COUNT(K173:Z173)+COUNTIFS(K173:Z173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3" s="59" t="str"/>
      <x:c r="AI173" s="61"/>
    </x:row>
    <x:row r="174" ht="60" customHeight="1">
      <x:c r="A174" s="2" t="str">
        <x:v>TMF-299</x:v>
      </x:c>
      <x:c r="B174" s="8" t="str">
        <x:v>มัสยิดนูรุ้ลอิสลาม (วังใหญ่)</x:v>
      </x:c>
      <x:c r="C174" s="59" t="str">
        <x:v>มัสยิด</x:v>
      </x:c>
      <x:c r="D174" s="59" t="str">
        <x:v>ไม่ทราบ</x:v>
      </x:c>
      <x:c r="E174" s="59" t="str">
        <x:v>ไม่ทราบ</x:v>
      </x:c>
      <x:c r="F174" s="59" t="str">
        <x:v>ไม่ทราบ</x:v>
      </x:c>
      <x:c r="G174" s="59" t="str">
        <x:v>N/A</x:v>
      </x:c>
      <x:c r="H174" s="59" t="str">
        <x:v>N/A</x:v>
      </x:c>
      <x:c r="I174" s="59"/>
      <x:c r="J174" s="59" t="str">
        <x:v>ไม่ทราบ</x:v>
      </x:c>
      <x:c r="K174" s="59" t="str">
        <x:v>N/A</x:v>
      </x:c>
      <x:c r="L174" s="59" t="str">
        <x:v>N/A</x:v>
      </x:c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 t="str">
        <x:v>N/A</x:v>
      </x:c>
      <x:c r="Y174" s="59"/>
      <x:c r="Z174" s="59"/>
      <x:c r="AA174" s="8" t="n">
        <x:f>IF(C174="ไม่ทราบ","",SUMIFS($K$7:$Z$7,K174:Z174,"&lt;&gt;N/A"))</x:f>
        <x:v>67</x:v>
      </x:c>
      <x:c r="AB174" s="8" t="str">
        <x:f>IF(AND(OR(AND(C174="จำหน่ายอาหาร",ISNUMBER(K174),L174="N/A"),AND(C174="ไม่จำหน่ายอาหาร",K174="N/A",ISNUMBER(L174)),AND(C174="มัสยิด",K174="N/A",L174="N/A",X174="N/A")),COUNT(K174:Z174)+COUNTIFS(K174:Z174,"N/A")=16),SUM(K174:Z174),"")</x:f>
      </x:c>
      <x:c r="AC174" s="62" t="str">
        <x:f>IF(OR(AB174="",AA174&lt;=0),"",ROUND(AB174/AA174*100,1))</x:f>
      </x:c>
      <x:c r="AD174" s="8" t="str">
        <x:f>IF(COUNTIFS(D174:H174,"ไม่ผ่าน")&gt;0,"ไม่ผ่าน",IF(COUNTIFS(D174:H174,"ไม่ทราบ")+COUNTBLANK(D174:H174)&gt;0,"รอยืนยัน","ผ่าน"))</x:f>
        <x:v>รอยืนยัน</x:v>
      </x:c>
      <x:c r="AE174" s="8" t="str">
        <x:f>IF(AF174="ใช่","ไม่ผ่านการคัดเลือก",IF(AND(AD174="ผ่าน",ISNUMBER(AC174),AC174&gt;=70),"พร้อมขาย",IF(OR(J174="ใช่",AND(ISNUMBER(AC174),AC174&gt;=50)),"พัฒนาเพื่อพร้อมขาย",IF(AND(ISNUMBER(AC174),AC174&lt;50,I174&gt;=1),"มีศักยภาพ แต่ต้องพัฒนามาตรฐาน","รอประเมิน"))))</x:f>
        <x:v>รอประเมิน</x:v>
      </x:c>
      <x:c r="AF174" s="59" t="str">
        <x:v>ไม่ทราบ</x:v>
      </x:c>
      <x:c r="AG174" s="8" t="str">
        <x:f>IF(AF174="ใช่","หัวหน้าทีมพิจารณาเหตุไม่ผ่าน",IF(OR(AA174&lt;=0,NOT(OR(AND(C174="จำหน่ายอาหาร",ISNUMBER(K174),L174="N/A"),AND(C174="ไม่จำหน่ายอาหาร",K174="N/A",ISNUMBER(L174)),AND(C174="มัสยิด",K174="N/A",L174="N/A",X174="N/A"))),AD174="รอยืนยัน",COUNT(K174:Z174)+COUNTIFS(K174:Z174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4" s="59" t="str"/>
      <x:c r="AI174" s="61"/>
    </x:row>
    <x:row r="175" ht="60" customHeight="1">
      <x:c r="A175" s="2" t="str">
        <x:v>TMF-300</x:v>
      </x:c>
      <x:c r="B175" s="8" t="str">
        <x:v>มัสยิดนูรุ้ลฮูดา (คลองสองต้นนุ่น)</x:v>
      </x:c>
      <x:c r="C175" s="59" t="str">
        <x:v>มัสยิด</x:v>
      </x:c>
      <x:c r="D175" s="59" t="str">
        <x:v>ไม่ทราบ</x:v>
      </x:c>
      <x:c r="E175" s="59" t="str">
        <x:v>ไม่ทราบ</x:v>
      </x:c>
      <x:c r="F175" s="59" t="str">
        <x:v>ไม่ทราบ</x:v>
      </x:c>
      <x:c r="G175" s="59" t="str">
        <x:v>N/A</x:v>
      </x:c>
      <x:c r="H175" s="59" t="str">
        <x:v>N/A</x:v>
      </x:c>
      <x:c r="I175" s="59"/>
      <x:c r="J175" s="59" t="str">
        <x:v>ไม่ทราบ</x:v>
      </x:c>
      <x:c r="K175" s="59" t="str">
        <x:v>N/A</x:v>
      </x:c>
      <x:c r="L175" s="59" t="str">
        <x:v>N/A</x:v>
      </x:c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 t="str">
        <x:v>N/A</x:v>
      </x:c>
      <x:c r="Y175" s="59"/>
      <x:c r="Z175" s="59"/>
      <x:c r="AA175" s="8" t="n">
        <x:f>IF(C175="ไม่ทราบ","",SUMIFS($K$7:$Z$7,K175:Z175,"&lt;&gt;N/A"))</x:f>
        <x:v>67</x:v>
      </x:c>
      <x:c r="AB175" s="8" t="str">
        <x:f>IF(AND(OR(AND(C175="จำหน่ายอาหาร",ISNUMBER(K175),L175="N/A"),AND(C175="ไม่จำหน่ายอาหาร",K175="N/A",ISNUMBER(L175)),AND(C175="มัสยิด",K175="N/A",L175="N/A",X175="N/A")),COUNT(K175:Z175)+COUNTIFS(K175:Z175,"N/A")=16),SUM(K175:Z175),"")</x:f>
      </x:c>
      <x:c r="AC175" s="62" t="str">
        <x:f>IF(OR(AB175="",AA175&lt;=0),"",ROUND(AB175/AA175*100,1))</x:f>
      </x:c>
      <x:c r="AD175" s="8" t="str">
        <x:f>IF(COUNTIFS(D175:H175,"ไม่ผ่าน")&gt;0,"ไม่ผ่าน",IF(COUNTIFS(D175:H175,"ไม่ทราบ")+COUNTBLANK(D175:H175)&gt;0,"รอยืนยัน","ผ่าน"))</x:f>
        <x:v>รอยืนยัน</x:v>
      </x:c>
      <x:c r="AE175" s="8" t="str">
        <x:f>IF(AF175="ใช่","ไม่ผ่านการคัดเลือก",IF(AND(AD175="ผ่าน",ISNUMBER(AC175),AC175&gt;=70),"พร้อมขาย",IF(OR(J175="ใช่",AND(ISNUMBER(AC175),AC175&gt;=50)),"พัฒนาเพื่อพร้อมขาย",IF(AND(ISNUMBER(AC175),AC175&lt;50,I175&gt;=1),"มีศักยภาพ แต่ต้องพัฒนามาตรฐาน","รอประเมิน"))))</x:f>
        <x:v>รอประเมิน</x:v>
      </x:c>
      <x:c r="AF175" s="59" t="str">
        <x:v>ไม่ทราบ</x:v>
      </x:c>
      <x:c r="AG175" s="8" t="str">
        <x:f>IF(AF175="ใช่","หัวหน้าทีมพิจารณาเหตุไม่ผ่าน",IF(OR(AA175&lt;=0,NOT(OR(AND(C175="จำหน่ายอาหาร",ISNUMBER(K175),L175="N/A"),AND(C175="ไม่จำหน่ายอาหาร",K175="N/A",ISNUMBER(L175)),AND(C175="มัสยิด",K175="N/A",L175="N/A",X175="N/A"))),AD175="รอยืนยัน",COUNT(K175:Z175)+COUNTIFS(K175:Z175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5" s="59" t="str"/>
      <x:c r="AI175" s="61"/>
    </x:row>
    <x:row r="176" ht="60" customHeight="1">
      <x:c r="A176" s="2" t="str">
        <x:v>TMF-301</x:v>
      </x:c>
      <x:c r="B176" s="8" t="str">
        <x:v>มัสยิดนูรุ้ลเอี๊ยะห์ซาน (ลำตาจีน)</x:v>
      </x:c>
      <x:c r="C176" s="59" t="str">
        <x:v>มัสยิด</x:v>
      </x:c>
      <x:c r="D176" s="59" t="str">
        <x:v>ไม่ทราบ</x:v>
      </x:c>
      <x:c r="E176" s="59" t="str">
        <x:v>ไม่ทราบ</x:v>
      </x:c>
      <x:c r="F176" s="59" t="str">
        <x:v>ไม่ทราบ</x:v>
      </x:c>
      <x:c r="G176" s="59" t="str">
        <x:v>N/A</x:v>
      </x:c>
      <x:c r="H176" s="59" t="str">
        <x:v>N/A</x:v>
      </x:c>
      <x:c r="I176" s="59"/>
      <x:c r="J176" s="59" t="str">
        <x:v>ไม่ทราบ</x:v>
      </x:c>
      <x:c r="K176" s="59" t="str">
        <x:v>N/A</x:v>
      </x:c>
      <x:c r="L176" s="59" t="str">
        <x:v>N/A</x:v>
      </x:c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 t="str">
        <x:v>N/A</x:v>
      </x:c>
      <x:c r="Y176" s="59"/>
      <x:c r="Z176" s="59"/>
      <x:c r="AA176" s="8" t="n">
        <x:f>IF(C176="ไม่ทราบ","",SUMIFS($K$7:$Z$7,K176:Z176,"&lt;&gt;N/A"))</x:f>
        <x:v>67</x:v>
      </x:c>
      <x:c r="AB176" s="8" t="str">
        <x:f>IF(AND(OR(AND(C176="จำหน่ายอาหาร",ISNUMBER(K176),L176="N/A"),AND(C176="ไม่จำหน่ายอาหาร",K176="N/A",ISNUMBER(L176)),AND(C176="มัสยิด",K176="N/A",L176="N/A",X176="N/A")),COUNT(K176:Z176)+COUNTIFS(K176:Z176,"N/A")=16),SUM(K176:Z176),"")</x:f>
      </x:c>
      <x:c r="AC176" s="62" t="str">
        <x:f>IF(OR(AB176="",AA176&lt;=0),"",ROUND(AB176/AA176*100,1))</x:f>
      </x:c>
      <x:c r="AD176" s="8" t="str">
        <x:f>IF(COUNTIFS(D176:H176,"ไม่ผ่าน")&gt;0,"ไม่ผ่าน",IF(COUNTIFS(D176:H176,"ไม่ทราบ")+COUNTBLANK(D176:H176)&gt;0,"รอยืนยัน","ผ่าน"))</x:f>
        <x:v>รอยืนยัน</x:v>
      </x:c>
      <x:c r="AE176" s="8" t="str">
        <x:f>IF(AF176="ใช่","ไม่ผ่านการคัดเลือก",IF(AND(AD176="ผ่าน",ISNUMBER(AC176),AC176&gt;=70),"พร้อมขาย",IF(OR(J176="ใช่",AND(ISNUMBER(AC176),AC176&gt;=50)),"พัฒนาเพื่อพร้อมขาย",IF(AND(ISNUMBER(AC176),AC176&lt;50,I176&gt;=1),"มีศักยภาพ แต่ต้องพัฒนามาตรฐาน","รอประเมิน"))))</x:f>
        <x:v>รอประเมิน</x:v>
      </x:c>
      <x:c r="AF176" s="59" t="str">
        <x:v>ไม่ทราบ</x:v>
      </x:c>
      <x:c r="AG176" s="8" t="str">
        <x:f>IF(AF176="ใช่","หัวหน้าทีมพิจารณาเหตุไม่ผ่าน",IF(OR(AA176&lt;=0,NOT(OR(AND(C176="จำหน่ายอาหาร",ISNUMBER(K176),L176="N/A"),AND(C176="ไม่จำหน่ายอาหาร",K176="N/A",ISNUMBER(L176)),AND(C176="มัสยิด",K176="N/A",L176="N/A",X176="N/A"))),AD176="รอยืนยัน",COUNT(K176:Z176)+COUNTIFS(K176:Z176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6" s="59" t="str"/>
      <x:c r="AI176" s="61"/>
    </x:row>
    <x:row r="177" ht="60" customHeight="1">
      <x:c r="A177" s="2" t="str">
        <x:v>TMF-303</x:v>
      </x:c>
      <x:c r="B177" s="8" t="str">
        <x:v>มัสยิดบางอ้อ</x:v>
      </x:c>
      <x:c r="C177" s="59" t="str">
        <x:v>มัสยิด</x:v>
      </x:c>
      <x:c r="D177" s="59" t="str">
        <x:v>ไม่ทราบ</x:v>
      </x:c>
      <x:c r="E177" s="59" t="str">
        <x:v>ไม่ทราบ</x:v>
      </x:c>
      <x:c r="F177" s="59" t="str">
        <x:v>ไม่ทราบ</x:v>
      </x:c>
      <x:c r="G177" s="59" t="str">
        <x:v>N/A</x:v>
      </x:c>
      <x:c r="H177" s="59" t="str">
        <x:v>N/A</x:v>
      </x:c>
      <x:c r="I177" s="59"/>
      <x:c r="J177" s="59" t="str">
        <x:v>ไม่ทราบ</x:v>
      </x:c>
      <x:c r="K177" s="59" t="str">
        <x:v>N/A</x:v>
      </x:c>
      <x:c r="L177" s="59" t="str">
        <x:v>N/A</x:v>
      </x:c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 t="str">
        <x:v>N/A</x:v>
      </x:c>
      <x:c r="Y177" s="59"/>
      <x:c r="Z177" s="59"/>
      <x:c r="AA177" s="8" t="n">
        <x:f>IF(C177="ไม่ทราบ","",SUMIFS($K$7:$Z$7,K177:Z177,"&lt;&gt;N/A"))</x:f>
        <x:v>67</x:v>
      </x:c>
      <x:c r="AB177" s="8" t="str">
        <x:f>IF(AND(OR(AND(C177="จำหน่ายอาหาร",ISNUMBER(K177),L177="N/A"),AND(C177="ไม่จำหน่ายอาหาร",K177="N/A",ISNUMBER(L177)),AND(C177="มัสยิด",K177="N/A",L177="N/A",X177="N/A")),COUNT(K177:Z177)+COUNTIFS(K177:Z177,"N/A")=16),SUM(K177:Z177),"")</x:f>
      </x:c>
      <x:c r="AC177" s="62" t="str">
        <x:f>IF(OR(AB177="",AA177&lt;=0),"",ROUND(AB177/AA177*100,1))</x:f>
      </x:c>
      <x:c r="AD177" s="8" t="str">
        <x:f>IF(COUNTIFS(D177:H177,"ไม่ผ่าน")&gt;0,"ไม่ผ่าน",IF(COUNTIFS(D177:H177,"ไม่ทราบ")+COUNTBLANK(D177:H177)&gt;0,"รอยืนยัน","ผ่าน"))</x:f>
        <x:v>รอยืนยัน</x:v>
      </x:c>
      <x:c r="AE177" s="8" t="str">
        <x:f>IF(AF177="ใช่","ไม่ผ่านการคัดเลือก",IF(AND(AD177="ผ่าน",ISNUMBER(AC177),AC177&gt;=70),"พร้อมขาย",IF(OR(J177="ใช่",AND(ISNUMBER(AC177),AC177&gt;=50)),"พัฒนาเพื่อพร้อมขาย",IF(AND(ISNUMBER(AC177),AC177&lt;50,I177&gt;=1),"มีศักยภาพ แต่ต้องพัฒนามาตรฐาน","รอประเมิน"))))</x:f>
        <x:v>รอประเมิน</x:v>
      </x:c>
      <x:c r="AF177" s="59" t="str">
        <x:v>ไม่ทราบ</x:v>
      </x:c>
      <x:c r="AG177" s="8" t="str">
        <x:f>IF(AF177="ใช่","หัวหน้าทีมพิจารณาเหตุไม่ผ่าน",IF(OR(AA177&lt;=0,NOT(OR(AND(C177="จำหน่ายอาหาร",ISNUMBER(K177),L177="N/A"),AND(C177="ไม่จำหน่ายอาหาร",K177="N/A",ISNUMBER(L177)),AND(C177="มัสยิด",K177="N/A",L177="N/A",X177="N/A"))),AD177="รอยืนยัน",COUNT(K177:Z177)+COUNTIFS(K177:Z177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7" s="59" t="str"/>
      <x:c r="AI177" s="61"/>
    </x:row>
    <x:row r="178" ht="60" customHeight="1">
      <x:c r="A178" s="2" t="str">
        <x:v>TMF-305</x:v>
      </x:c>
      <x:c r="B178" s="8" t="str">
        <x:v>มัสยิดยะมีอุ้ลมุตตะกีน (ลำหินใต้)</x:v>
      </x:c>
      <x:c r="C178" s="59" t="str">
        <x:v>มัสยิด</x:v>
      </x:c>
      <x:c r="D178" s="59" t="str">
        <x:v>ไม่ทราบ</x:v>
      </x:c>
      <x:c r="E178" s="59" t="str">
        <x:v>ไม่ทราบ</x:v>
      </x:c>
      <x:c r="F178" s="59" t="str">
        <x:v>ไม่ทราบ</x:v>
      </x:c>
      <x:c r="G178" s="59" t="str">
        <x:v>N/A</x:v>
      </x:c>
      <x:c r="H178" s="59" t="str">
        <x:v>N/A</x:v>
      </x:c>
      <x:c r="I178" s="59"/>
      <x:c r="J178" s="59" t="str">
        <x:v>ไม่ทราบ</x:v>
      </x:c>
      <x:c r="K178" s="59" t="str">
        <x:v>N/A</x:v>
      </x:c>
      <x:c r="L178" s="59" t="str">
        <x:v>N/A</x:v>
      </x:c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 t="str">
        <x:v>N/A</x:v>
      </x:c>
      <x:c r="Y178" s="59"/>
      <x:c r="Z178" s="59"/>
      <x:c r="AA178" s="8" t="n">
        <x:f>IF(C178="ไม่ทราบ","",SUMIFS($K$7:$Z$7,K178:Z178,"&lt;&gt;N/A"))</x:f>
        <x:v>67</x:v>
      </x:c>
      <x:c r="AB178" s="8" t="str">
        <x:f>IF(AND(OR(AND(C178="จำหน่ายอาหาร",ISNUMBER(K178),L178="N/A"),AND(C178="ไม่จำหน่ายอาหาร",K178="N/A",ISNUMBER(L178)),AND(C178="มัสยิด",K178="N/A",L178="N/A",X178="N/A")),COUNT(K178:Z178)+COUNTIFS(K178:Z178,"N/A")=16),SUM(K178:Z178),"")</x:f>
      </x:c>
      <x:c r="AC178" s="62" t="str">
        <x:f>IF(OR(AB178="",AA178&lt;=0),"",ROUND(AB178/AA178*100,1))</x:f>
      </x:c>
      <x:c r="AD178" s="8" t="str">
        <x:f>IF(COUNTIFS(D178:H178,"ไม่ผ่าน")&gt;0,"ไม่ผ่าน",IF(COUNTIFS(D178:H178,"ไม่ทราบ")+COUNTBLANK(D178:H178)&gt;0,"รอยืนยัน","ผ่าน"))</x:f>
        <x:v>รอยืนยัน</x:v>
      </x:c>
      <x:c r="AE178" s="8" t="str">
        <x:f>IF(AF178="ใช่","ไม่ผ่านการคัดเลือก",IF(AND(AD178="ผ่าน",ISNUMBER(AC178),AC178&gt;=70),"พร้อมขาย",IF(OR(J178="ใช่",AND(ISNUMBER(AC178),AC178&gt;=50)),"พัฒนาเพื่อพร้อมขาย",IF(AND(ISNUMBER(AC178),AC178&lt;50,I178&gt;=1),"มีศักยภาพ แต่ต้องพัฒนามาตรฐาน","รอประเมิน"))))</x:f>
        <x:v>รอประเมิน</x:v>
      </x:c>
      <x:c r="AF178" s="59" t="str">
        <x:v>ไม่ทราบ</x:v>
      </x:c>
      <x:c r="AG178" s="8" t="str">
        <x:f>IF(AF178="ใช่","หัวหน้าทีมพิจารณาเหตุไม่ผ่าน",IF(OR(AA178&lt;=0,NOT(OR(AND(C178="จำหน่ายอาหาร",ISNUMBER(K178),L178="N/A"),AND(C178="ไม่จำหน่ายอาหาร",K178="N/A",ISNUMBER(L178)),AND(C178="มัสยิด",K178="N/A",L178="N/A",X178="N/A"))),AD178="รอยืนยัน",COUNT(K178:Z178)+COUNTIFS(K178:Z178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8" s="59" t="str"/>
      <x:c r="AI178" s="61"/>
    </x:row>
    <x:row r="179" ht="60" customHeight="1">
      <x:c r="A179" s="2" t="str">
        <x:v>TMF-306</x:v>
      </x:c>
      <x:c r="B179" s="8" t="str">
        <x:v>มัสยิดยำอุลอิควาน (ลำมดตะนอย)</x:v>
      </x:c>
      <x:c r="C179" s="59" t="str">
        <x:v>มัสยิด</x:v>
      </x:c>
      <x:c r="D179" s="59" t="str">
        <x:v>ไม่ทราบ</x:v>
      </x:c>
      <x:c r="E179" s="59" t="str">
        <x:v>ไม่ทราบ</x:v>
      </x:c>
      <x:c r="F179" s="59" t="str">
        <x:v>ไม่ทราบ</x:v>
      </x:c>
      <x:c r="G179" s="59" t="str">
        <x:v>N/A</x:v>
      </x:c>
      <x:c r="H179" s="59" t="str">
        <x:v>N/A</x:v>
      </x:c>
      <x:c r="I179" s="59"/>
      <x:c r="J179" s="59" t="str">
        <x:v>ไม่ทราบ</x:v>
      </x:c>
      <x:c r="K179" s="59" t="str">
        <x:v>N/A</x:v>
      </x:c>
      <x:c r="L179" s="59" t="str">
        <x:v>N/A</x:v>
      </x:c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 t="str">
        <x:v>N/A</x:v>
      </x:c>
      <x:c r="Y179" s="59"/>
      <x:c r="Z179" s="59"/>
      <x:c r="AA179" s="8" t="n">
        <x:f>IF(C179="ไม่ทราบ","",SUMIFS($K$7:$Z$7,K179:Z179,"&lt;&gt;N/A"))</x:f>
        <x:v>67</x:v>
      </x:c>
      <x:c r="AB179" s="8" t="str">
        <x:f>IF(AND(OR(AND(C179="จำหน่ายอาหาร",ISNUMBER(K179),L179="N/A"),AND(C179="ไม่จำหน่ายอาหาร",K179="N/A",ISNUMBER(L179)),AND(C179="มัสยิด",K179="N/A",L179="N/A",X179="N/A")),COUNT(K179:Z179)+COUNTIFS(K179:Z179,"N/A")=16),SUM(K179:Z179),"")</x:f>
      </x:c>
      <x:c r="AC179" s="62" t="str">
        <x:f>IF(OR(AB179="",AA179&lt;=0),"",ROUND(AB179/AA179*100,1))</x:f>
      </x:c>
      <x:c r="AD179" s="8" t="str">
        <x:f>IF(COUNTIFS(D179:H179,"ไม่ผ่าน")&gt;0,"ไม่ผ่าน",IF(COUNTIFS(D179:H179,"ไม่ทราบ")+COUNTBLANK(D179:H179)&gt;0,"รอยืนยัน","ผ่าน"))</x:f>
        <x:v>รอยืนยัน</x:v>
      </x:c>
      <x:c r="AE179" s="8" t="str">
        <x:f>IF(AF179="ใช่","ไม่ผ่านการคัดเลือก",IF(AND(AD179="ผ่าน",ISNUMBER(AC179),AC179&gt;=70),"พร้อมขาย",IF(OR(J179="ใช่",AND(ISNUMBER(AC179),AC179&gt;=50)),"พัฒนาเพื่อพร้อมขาย",IF(AND(ISNUMBER(AC179),AC179&lt;50,I179&gt;=1),"มีศักยภาพ แต่ต้องพัฒนามาตรฐาน","รอประเมิน"))))</x:f>
        <x:v>รอประเมิน</x:v>
      </x:c>
      <x:c r="AF179" s="59" t="str">
        <x:v>ไม่ทราบ</x:v>
      </x:c>
      <x:c r="AG179" s="8" t="str">
        <x:f>IF(AF179="ใช่","หัวหน้าทีมพิจารณาเหตุไม่ผ่าน",IF(OR(AA179&lt;=0,NOT(OR(AND(C179="จำหน่ายอาหาร",ISNUMBER(K179),L179="N/A"),AND(C179="ไม่จำหน่ายอาหาร",K179="N/A",ISNUMBER(L179)),AND(C179="มัสยิด",K179="N/A",L179="N/A",X179="N/A"))),AD179="รอยืนยัน",COUNT(K179:Z179)+COUNTIFS(K179:Z179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79" s="59" t="str"/>
      <x:c r="AI179" s="61"/>
    </x:row>
    <x:row r="180" ht="60" customHeight="1">
      <x:c r="A180" s="2" t="str">
        <x:v>TMF-307</x:v>
      </x:c>
      <x:c r="B180" s="8" t="str">
        <x:v>มัสยิดสุวรรณภูมิ</x:v>
      </x:c>
      <x:c r="C180" s="59" t="str">
        <x:v>มัสยิด</x:v>
      </x:c>
      <x:c r="D180" s="59" t="str">
        <x:v>ไม่ทราบ</x:v>
      </x:c>
      <x:c r="E180" s="59" t="str">
        <x:v>ไม่ทราบ</x:v>
      </x:c>
      <x:c r="F180" s="59" t="str">
        <x:v>ไม่ทราบ</x:v>
      </x:c>
      <x:c r="G180" s="59" t="str">
        <x:v>N/A</x:v>
      </x:c>
      <x:c r="H180" s="59" t="str">
        <x:v>N/A</x:v>
      </x:c>
      <x:c r="I180" s="59"/>
      <x:c r="J180" s="59" t="str">
        <x:v>ไม่ทราบ</x:v>
      </x:c>
      <x:c r="K180" s="59" t="str">
        <x:v>N/A</x:v>
      </x:c>
      <x:c r="L180" s="59" t="str">
        <x:v>N/A</x:v>
      </x:c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 t="str">
        <x:v>N/A</x:v>
      </x:c>
      <x:c r="Y180" s="59"/>
      <x:c r="Z180" s="59"/>
      <x:c r="AA180" s="8" t="n">
        <x:f>IF(C180="ไม่ทราบ","",SUMIFS($K$7:$Z$7,K180:Z180,"&lt;&gt;N/A"))</x:f>
        <x:v>67</x:v>
      </x:c>
      <x:c r="AB180" s="8" t="str">
        <x:f>IF(AND(OR(AND(C180="จำหน่ายอาหาร",ISNUMBER(K180),L180="N/A"),AND(C180="ไม่จำหน่ายอาหาร",K180="N/A",ISNUMBER(L180)),AND(C180="มัสยิด",K180="N/A",L180="N/A",X180="N/A")),COUNT(K180:Z180)+COUNTIFS(K180:Z180,"N/A")=16),SUM(K180:Z180),"")</x:f>
      </x:c>
      <x:c r="AC180" s="62" t="str">
        <x:f>IF(OR(AB180="",AA180&lt;=0),"",ROUND(AB180/AA180*100,1))</x:f>
      </x:c>
      <x:c r="AD180" s="8" t="str">
        <x:f>IF(COUNTIFS(D180:H180,"ไม่ผ่าน")&gt;0,"ไม่ผ่าน",IF(COUNTIFS(D180:H180,"ไม่ทราบ")+COUNTBLANK(D180:H180)&gt;0,"รอยืนยัน","ผ่าน"))</x:f>
        <x:v>รอยืนยัน</x:v>
      </x:c>
      <x:c r="AE180" s="8" t="str">
        <x:f>IF(AF180="ใช่","ไม่ผ่านการคัดเลือก",IF(AND(AD180="ผ่าน",ISNUMBER(AC180),AC180&gt;=70),"พร้อมขาย",IF(OR(J180="ใช่",AND(ISNUMBER(AC180),AC180&gt;=50)),"พัฒนาเพื่อพร้อมขาย",IF(AND(ISNUMBER(AC180),AC180&lt;50,I180&gt;=1),"มีศักยภาพ แต่ต้องพัฒนามาตรฐาน","รอประเมิน"))))</x:f>
        <x:v>รอประเมิน</x:v>
      </x:c>
      <x:c r="AF180" s="59" t="str">
        <x:v>ไม่ทราบ</x:v>
      </x:c>
      <x:c r="AG180" s="8" t="str">
        <x:f>IF(AF180="ใช่","หัวหน้าทีมพิจารณาเหตุไม่ผ่าน",IF(OR(AA180&lt;=0,NOT(OR(AND(C180="จำหน่ายอาหาร",ISNUMBER(K180),L180="N/A"),AND(C180="ไม่จำหน่ายอาหาร",K180="N/A",ISNUMBER(L180)),AND(C180="มัสยิด",K180="N/A",L180="N/A",X180="N/A"))),AD180="รอยืนยัน",COUNT(K180:Z180)+COUNTIFS(K180:Z180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0" s="59" t="str"/>
      <x:c r="AI180" s="61"/>
    </x:row>
    <x:row r="181" ht="60" customHeight="1">
      <x:c r="A181" s="2" t="str">
        <x:v>TMF-308</x:v>
      </x:c>
      <x:c r="B181" s="8" t="str">
        <x:v>มัสยิดอมันนฤมิต (สาธุประดิษฐ์)</x:v>
      </x:c>
      <x:c r="C181" s="59" t="str">
        <x:v>มัสยิด</x:v>
      </x:c>
      <x:c r="D181" s="59" t="str">
        <x:v>ไม่ทราบ</x:v>
      </x:c>
      <x:c r="E181" s="59" t="str">
        <x:v>ไม่ทราบ</x:v>
      </x:c>
      <x:c r="F181" s="59" t="str">
        <x:v>ไม่ทราบ</x:v>
      </x:c>
      <x:c r="G181" s="59" t="str">
        <x:v>N/A</x:v>
      </x:c>
      <x:c r="H181" s="59" t="str">
        <x:v>N/A</x:v>
      </x:c>
      <x:c r="I181" s="59"/>
      <x:c r="J181" s="59" t="str">
        <x:v>ไม่ทราบ</x:v>
      </x:c>
      <x:c r="K181" s="59" t="str">
        <x:v>N/A</x:v>
      </x:c>
      <x:c r="L181" s="59" t="str">
        <x:v>N/A</x:v>
      </x:c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 t="str">
        <x:v>N/A</x:v>
      </x:c>
      <x:c r="Y181" s="59"/>
      <x:c r="Z181" s="59"/>
      <x:c r="AA181" s="8" t="n">
        <x:f>IF(C181="ไม่ทราบ","",SUMIFS($K$7:$Z$7,K181:Z181,"&lt;&gt;N/A"))</x:f>
        <x:v>67</x:v>
      </x:c>
      <x:c r="AB181" s="8" t="str">
        <x:f>IF(AND(OR(AND(C181="จำหน่ายอาหาร",ISNUMBER(K181),L181="N/A"),AND(C181="ไม่จำหน่ายอาหาร",K181="N/A",ISNUMBER(L181)),AND(C181="มัสยิด",K181="N/A",L181="N/A",X181="N/A")),COUNT(K181:Z181)+COUNTIFS(K181:Z181,"N/A")=16),SUM(K181:Z181),"")</x:f>
      </x:c>
      <x:c r="AC181" s="62" t="str">
        <x:f>IF(OR(AB181="",AA181&lt;=0),"",ROUND(AB181/AA181*100,1))</x:f>
      </x:c>
      <x:c r="AD181" s="8" t="str">
        <x:f>IF(COUNTIFS(D181:H181,"ไม่ผ่าน")&gt;0,"ไม่ผ่าน",IF(COUNTIFS(D181:H181,"ไม่ทราบ")+COUNTBLANK(D181:H181)&gt;0,"รอยืนยัน","ผ่าน"))</x:f>
        <x:v>รอยืนยัน</x:v>
      </x:c>
      <x:c r="AE181" s="8" t="str">
        <x:f>IF(AF181="ใช่","ไม่ผ่านการคัดเลือก",IF(AND(AD181="ผ่าน",ISNUMBER(AC181),AC181&gt;=70),"พร้อมขาย",IF(OR(J181="ใช่",AND(ISNUMBER(AC181),AC181&gt;=50)),"พัฒนาเพื่อพร้อมขาย",IF(AND(ISNUMBER(AC181),AC181&lt;50,I181&gt;=1),"มีศักยภาพ แต่ต้องพัฒนามาตรฐาน","รอประเมิน"))))</x:f>
        <x:v>รอประเมิน</x:v>
      </x:c>
      <x:c r="AF181" s="59" t="str">
        <x:v>ไม่ทราบ</x:v>
      </x:c>
      <x:c r="AG181" s="8" t="str">
        <x:f>IF(AF181="ใช่","หัวหน้าทีมพิจารณาเหตุไม่ผ่าน",IF(OR(AA181&lt;=0,NOT(OR(AND(C181="จำหน่ายอาหาร",ISNUMBER(K181),L181="N/A"),AND(C181="ไม่จำหน่ายอาหาร",K181="N/A",ISNUMBER(L181)),AND(C181="มัสยิด",K181="N/A",L181="N/A",X181="N/A"))),AD181="รอยืนยัน",COUNT(K181:Z181)+COUNTIFS(K181:Z181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1" s="59" t="str"/>
      <x:c r="AI181" s="61"/>
    </x:row>
    <x:row r="182" ht="60" customHeight="1">
      <x:c r="A182" s="2" t="str">
        <x:v>TMF-310</x:v>
      </x:c>
      <x:c r="B182" s="8" t="str">
        <x:v>มัสยิดอันนูรอยน์ (บึงขวาง)</x:v>
      </x:c>
      <x:c r="C182" s="59" t="str">
        <x:v>มัสยิด</x:v>
      </x:c>
      <x:c r="D182" s="59" t="str">
        <x:v>ไม่ทราบ</x:v>
      </x:c>
      <x:c r="E182" s="59" t="str">
        <x:v>ไม่ทราบ</x:v>
      </x:c>
      <x:c r="F182" s="59" t="str">
        <x:v>ไม่ทราบ</x:v>
      </x:c>
      <x:c r="G182" s="59" t="str">
        <x:v>N/A</x:v>
      </x:c>
      <x:c r="H182" s="59" t="str">
        <x:v>N/A</x:v>
      </x:c>
      <x:c r="I182" s="59"/>
      <x:c r="J182" s="59" t="str">
        <x:v>ไม่ทราบ</x:v>
      </x:c>
      <x:c r="K182" s="59" t="str">
        <x:v>N/A</x:v>
      </x:c>
      <x:c r="L182" s="59" t="str">
        <x:v>N/A</x:v>
      </x:c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 t="str">
        <x:v>N/A</x:v>
      </x:c>
      <x:c r="Y182" s="59"/>
      <x:c r="Z182" s="59"/>
      <x:c r="AA182" s="8" t="n">
        <x:f>IF(C182="ไม่ทราบ","",SUMIFS($K$7:$Z$7,K182:Z182,"&lt;&gt;N/A"))</x:f>
        <x:v>67</x:v>
      </x:c>
      <x:c r="AB182" s="8" t="str">
        <x:f>IF(AND(OR(AND(C182="จำหน่ายอาหาร",ISNUMBER(K182),L182="N/A"),AND(C182="ไม่จำหน่ายอาหาร",K182="N/A",ISNUMBER(L182)),AND(C182="มัสยิด",K182="N/A",L182="N/A",X182="N/A")),COUNT(K182:Z182)+COUNTIFS(K182:Z182,"N/A")=16),SUM(K182:Z182),"")</x:f>
      </x:c>
      <x:c r="AC182" s="62" t="str">
        <x:f>IF(OR(AB182="",AA182&lt;=0),"",ROUND(AB182/AA182*100,1))</x:f>
      </x:c>
      <x:c r="AD182" s="8" t="str">
        <x:f>IF(COUNTIFS(D182:H182,"ไม่ผ่าน")&gt;0,"ไม่ผ่าน",IF(COUNTIFS(D182:H182,"ไม่ทราบ")+COUNTBLANK(D182:H182)&gt;0,"รอยืนยัน","ผ่าน"))</x:f>
        <x:v>รอยืนยัน</x:v>
      </x:c>
      <x:c r="AE182" s="8" t="str">
        <x:f>IF(AF182="ใช่","ไม่ผ่านการคัดเลือก",IF(AND(AD182="ผ่าน",ISNUMBER(AC182),AC182&gt;=70),"พร้อมขาย",IF(OR(J182="ใช่",AND(ISNUMBER(AC182),AC182&gt;=50)),"พัฒนาเพื่อพร้อมขาย",IF(AND(ISNUMBER(AC182),AC182&lt;50,I182&gt;=1),"มีศักยภาพ แต่ต้องพัฒนามาตรฐาน","รอประเมิน"))))</x:f>
        <x:v>รอประเมิน</x:v>
      </x:c>
      <x:c r="AF182" s="59" t="str">
        <x:v>ไม่ทราบ</x:v>
      </x:c>
      <x:c r="AG182" s="8" t="str">
        <x:f>IF(AF182="ใช่","หัวหน้าทีมพิจารณาเหตุไม่ผ่าน",IF(OR(AA182&lt;=0,NOT(OR(AND(C182="จำหน่ายอาหาร",ISNUMBER(K182),L182="N/A"),AND(C182="ไม่จำหน่ายอาหาร",K182="N/A",ISNUMBER(L182)),AND(C182="มัสยิด",K182="N/A",L182="N/A",X182="N/A"))),AD182="รอยืนยัน",COUNT(K182:Z182)+COUNTIFS(K182:Z182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2" s="59" t="str"/>
      <x:c r="AI182" s="61"/>
    </x:row>
    <x:row r="183" ht="60" customHeight="1">
      <x:c r="A183" s="2" t="str">
        <x:v>TMF-311</x:v>
      </x:c>
      <x:c r="B183" s="8" t="str">
        <x:v>มัสยิดอัลมาดานี (มัซกัร)</x:v>
      </x:c>
      <x:c r="C183" s="59" t="str">
        <x:v>มัสยิด</x:v>
      </x:c>
      <x:c r="D183" s="59" t="str">
        <x:v>ไม่ทราบ</x:v>
      </x:c>
      <x:c r="E183" s="59" t="str">
        <x:v>ไม่ทราบ</x:v>
      </x:c>
      <x:c r="F183" s="59" t="str">
        <x:v>ไม่ทราบ</x:v>
      </x:c>
      <x:c r="G183" s="59" t="str">
        <x:v>N/A</x:v>
      </x:c>
      <x:c r="H183" s="59" t="str">
        <x:v>N/A</x:v>
      </x:c>
      <x:c r="I183" s="59"/>
      <x:c r="J183" s="59" t="str">
        <x:v>ไม่ทราบ</x:v>
      </x:c>
      <x:c r="K183" s="59" t="str">
        <x:v>N/A</x:v>
      </x:c>
      <x:c r="L183" s="59" t="str">
        <x:v>N/A</x:v>
      </x:c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 t="str">
        <x:v>N/A</x:v>
      </x:c>
      <x:c r="Y183" s="59"/>
      <x:c r="Z183" s="59"/>
      <x:c r="AA183" s="8" t="n">
        <x:f>IF(C183="ไม่ทราบ","",SUMIFS($K$7:$Z$7,K183:Z183,"&lt;&gt;N/A"))</x:f>
        <x:v>67</x:v>
      </x:c>
      <x:c r="AB183" s="8" t="str">
        <x:f>IF(AND(OR(AND(C183="จำหน่ายอาหาร",ISNUMBER(K183),L183="N/A"),AND(C183="ไม่จำหน่ายอาหาร",K183="N/A",ISNUMBER(L183)),AND(C183="มัสยิด",K183="N/A",L183="N/A",X183="N/A")),COUNT(K183:Z183)+COUNTIFS(K183:Z183,"N/A")=16),SUM(K183:Z183),"")</x:f>
      </x:c>
      <x:c r="AC183" s="62" t="str">
        <x:f>IF(OR(AB183="",AA183&lt;=0),"",ROUND(AB183/AA183*100,1))</x:f>
      </x:c>
      <x:c r="AD183" s="8" t="str">
        <x:f>IF(COUNTIFS(D183:H183,"ไม่ผ่าน")&gt;0,"ไม่ผ่าน",IF(COUNTIFS(D183:H183,"ไม่ทราบ")+COUNTBLANK(D183:H183)&gt;0,"รอยืนยัน","ผ่าน"))</x:f>
        <x:v>รอยืนยัน</x:v>
      </x:c>
      <x:c r="AE183" s="8" t="str">
        <x:f>IF(AF183="ใช่","ไม่ผ่านการคัดเลือก",IF(AND(AD183="ผ่าน",ISNUMBER(AC183),AC183&gt;=70),"พร้อมขาย",IF(OR(J183="ใช่",AND(ISNUMBER(AC183),AC183&gt;=50)),"พัฒนาเพื่อพร้อมขาย",IF(AND(ISNUMBER(AC183),AC183&lt;50,I183&gt;=1),"มีศักยภาพ แต่ต้องพัฒนามาตรฐาน","รอประเมิน"))))</x:f>
        <x:v>รอประเมิน</x:v>
      </x:c>
      <x:c r="AF183" s="59" t="str">
        <x:v>ไม่ทราบ</x:v>
      </x:c>
      <x:c r="AG183" s="8" t="str">
        <x:f>IF(AF183="ใช่","หัวหน้าทีมพิจารณาเหตุไม่ผ่าน",IF(OR(AA183&lt;=0,NOT(OR(AND(C183="จำหน่ายอาหาร",ISNUMBER(K183),L183="N/A"),AND(C183="ไม่จำหน่ายอาหาร",K183="N/A",ISNUMBER(L183)),AND(C183="มัสยิด",K183="N/A",L183="N/A",X183="N/A"))),AD183="รอยืนยัน",COUNT(K183:Z183)+COUNTIFS(K183:Z183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3" s="59" t="str"/>
      <x:c r="AI183" s="61"/>
    </x:row>
    <x:row r="184" ht="60" customHeight="1">
      <x:c r="A184" s="2" t="str">
        <x:v>TMF-312</x:v>
      </x:c>
      <x:c r="B184" s="8" t="str">
        <x:v>มัสยิดอัลยามิอะห์ (ลำอีรั้ว)</x:v>
      </x:c>
      <x:c r="C184" s="59" t="str">
        <x:v>มัสยิด</x:v>
      </x:c>
      <x:c r="D184" s="59" t="str">
        <x:v>ไม่ทราบ</x:v>
      </x:c>
      <x:c r="E184" s="59" t="str">
        <x:v>ไม่ทราบ</x:v>
      </x:c>
      <x:c r="F184" s="59" t="str">
        <x:v>ไม่ทราบ</x:v>
      </x:c>
      <x:c r="G184" s="59" t="str">
        <x:v>N/A</x:v>
      </x:c>
      <x:c r="H184" s="59" t="str">
        <x:v>N/A</x:v>
      </x:c>
      <x:c r="I184" s="59"/>
      <x:c r="J184" s="59" t="str">
        <x:v>ไม่ทราบ</x:v>
      </x:c>
      <x:c r="K184" s="59" t="str">
        <x:v>N/A</x:v>
      </x:c>
      <x:c r="L184" s="59" t="str">
        <x:v>N/A</x:v>
      </x:c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 t="str">
        <x:v>N/A</x:v>
      </x:c>
      <x:c r="Y184" s="59"/>
      <x:c r="Z184" s="59"/>
      <x:c r="AA184" s="8" t="n">
        <x:f>IF(C184="ไม่ทราบ","",SUMIFS($K$7:$Z$7,K184:Z184,"&lt;&gt;N/A"))</x:f>
        <x:v>67</x:v>
      </x:c>
      <x:c r="AB184" s="8" t="str">
        <x:f>IF(AND(OR(AND(C184="จำหน่ายอาหาร",ISNUMBER(K184),L184="N/A"),AND(C184="ไม่จำหน่ายอาหาร",K184="N/A",ISNUMBER(L184)),AND(C184="มัสยิด",K184="N/A",L184="N/A",X184="N/A")),COUNT(K184:Z184)+COUNTIFS(K184:Z184,"N/A")=16),SUM(K184:Z184),"")</x:f>
      </x:c>
      <x:c r="AC184" s="62" t="str">
        <x:f>IF(OR(AB184="",AA184&lt;=0),"",ROUND(AB184/AA184*100,1))</x:f>
      </x:c>
      <x:c r="AD184" s="8" t="str">
        <x:f>IF(COUNTIFS(D184:H184,"ไม่ผ่าน")&gt;0,"ไม่ผ่าน",IF(COUNTIFS(D184:H184,"ไม่ทราบ")+COUNTBLANK(D184:H184)&gt;0,"รอยืนยัน","ผ่าน"))</x:f>
        <x:v>รอยืนยัน</x:v>
      </x:c>
      <x:c r="AE184" s="8" t="str">
        <x:f>IF(AF184="ใช่","ไม่ผ่านการคัดเลือก",IF(AND(AD184="ผ่าน",ISNUMBER(AC184),AC184&gt;=70),"พร้อมขาย",IF(OR(J184="ใช่",AND(ISNUMBER(AC184),AC184&gt;=50)),"พัฒนาเพื่อพร้อมขาย",IF(AND(ISNUMBER(AC184),AC184&lt;50,I184&gt;=1),"มีศักยภาพ แต่ต้องพัฒนามาตรฐาน","รอประเมิน"))))</x:f>
        <x:v>รอประเมิน</x:v>
      </x:c>
      <x:c r="AF184" s="59" t="str">
        <x:v>ไม่ทราบ</x:v>
      </x:c>
      <x:c r="AG184" s="8" t="str">
        <x:f>IF(AF184="ใช่","หัวหน้าทีมพิจารณาเหตุไม่ผ่าน",IF(OR(AA184&lt;=0,NOT(OR(AND(C184="จำหน่ายอาหาร",ISNUMBER(K184),L184="N/A"),AND(C184="ไม่จำหน่ายอาหาร",K184="N/A",ISNUMBER(L184)),AND(C184="มัสยิด",K184="N/A",L184="N/A",X184="N/A"))),AD184="รอยืนยัน",COUNT(K184:Z184)+COUNTIFS(K184:Z184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4" s="59" t="str"/>
      <x:c r="AI184" s="61"/>
    </x:row>
    <x:row r="185" ht="60" customHeight="1">
      <x:c r="A185" s="2" t="str">
        <x:v>TMF-313</x:v>
      </x:c>
      <x:c r="B185" s="8" t="str">
        <x:v>มัสยิดอัลอะติ๊ก (สุเหร่าเก่า)</x:v>
      </x:c>
      <x:c r="C185" s="59" t="str">
        <x:v>มัสยิด</x:v>
      </x:c>
      <x:c r="D185" s="59" t="str">
        <x:v>ไม่ทราบ</x:v>
      </x:c>
      <x:c r="E185" s="59" t="str">
        <x:v>ไม่ทราบ</x:v>
      </x:c>
      <x:c r="F185" s="59" t="str">
        <x:v>ไม่ทราบ</x:v>
      </x:c>
      <x:c r="G185" s="59" t="str">
        <x:v>N/A</x:v>
      </x:c>
      <x:c r="H185" s="59" t="str">
        <x:v>N/A</x:v>
      </x:c>
      <x:c r="I185" s="59"/>
      <x:c r="J185" s="59" t="str">
        <x:v>ไม่ทราบ</x:v>
      </x:c>
      <x:c r="K185" s="59" t="str">
        <x:v>N/A</x:v>
      </x:c>
      <x:c r="L185" s="59" t="str">
        <x:v>N/A</x:v>
      </x:c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 t="str">
        <x:v>N/A</x:v>
      </x:c>
      <x:c r="Y185" s="59"/>
      <x:c r="Z185" s="59"/>
      <x:c r="AA185" s="8" t="n">
        <x:f>IF(C185="ไม่ทราบ","",SUMIFS($K$7:$Z$7,K185:Z185,"&lt;&gt;N/A"))</x:f>
        <x:v>67</x:v>
      </x:c>
      <x:c r="AB185" s="8" t="str">
        <x:f>IF(AND(OR(AND(C185="จำหน่ายอาหาร",ISNUMBER(K185),L185="N/A"),AND(C185="ไม่จำหน่ายอาหาร",K185="N/A",ISNUMBER(L185)),AND(C185="มัสยิด",K185="N/A",L185="N/A",X185="N/A")),COUNT(K185:Z185)+COUNTIFS(K185:Z185,"N/A")=16),SUM(K185:Z185),"")</x:f>
      </x:c>
      <x:c r="AC185" s="62" t="str">
        <x:f>IF(OR(AB185="",AA185&lt;=0),"",ROUND(AB185/AA185*100,1))</x:f>
      </x:c>
      <x:c r="AD185" s="8" t="str">
        <x:f>IF(COUNTIFS(D185:H185,"ไม่ผ่าน")&gt;0,"ไม่ผ่าน",IF(COUNTIFS(D185:H185,"ไม่ทราบ")+COUNTBLANK(D185:H185)&gt;0,"รอยืนยัน","ผ่าน"))</x:f>
        <x:v>รอยืนยัน</x:v>
      </x:c>
      <x:c r="AE185" s="8" t="str">
        <x:f>IF(AF185="ใช่","ไม่ผ่านการคัดเลือก",IF(AND(AD185="ผ่าน",ISNUMBER(AC185),AC185&gt;=70),"พร้อมขาย",IF(OR(J185="ใช่",AND(ISNUMBER(AC185),AC185&gt;=50)),"พัฒนาเพื่อพร้อมขาย",IF(AND(ISNUMBER(AC185),AC185&lt;50,I185&gt;=1),"มีศักยภาพ แต่ต้องพัฒนามาตรฐาน","รอประเมิน"))))</x:f>
        <x:v>รอประเมิน</x:v>
      </x:c>
      <x:c r="AF185" s="59" t="str">
        <x:v>ไม่ทราบ</x:v>
      </x:c>
      <x:c r="AG185" s="8" t="str">
        <x:f>IF(AF185="ใช่","หัวหน้าทีมพิจารณาเหตุไม่ผ่าน",IF(OR(AA185&lt;=0,NOT(OR(AND(C185="จำหน่ายอาหาร",ISNUMBER(K185),L185="N/A"),AND(C185="ไม่จำหน่ายอาหาร",K185="N/A",ISNUMBER(L185)),AND(C185="มัสยิด",K185="N/A",L185="N/A",X185="N/A"))),AD185="รอยืนยัน",COUNT(K185:Z185)+COUNTIFS(K185:Z185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5" s="59" t="str"/>
      <x:c r="AI185" s="61"/>
    </x:row>
    <x:row r="186" ht="60" customHeight="1">
      <x:c r="A186" s="2" t="str">
        <x:v>TMF-314</x:v>
      </x:c>
      <x:c r="B186" s="8" t="str">
        <x:v>มัสยิดอัลฮุดา</x:v>
      </x:c>
      <x:c r="C186" s="59" t="str">
        <x:v>มัสยิด</x:v>
      </x:c>
      <x:c r="D186" s="59" t="str">
        <x:v>ไม่ทราบ</x:v>
      </x:c>
      <x:c r="E186" s="59" t="str">
        <x:v>ไม่ทราบ</x:v>
      </x:c>
      <x:c r="F186" s="59" t="str">
        <x:v>ไม่ทราบ</x:v>
      </x:c>
      <x:c r="G186" s="59" t="str">
        <x:v>N/A</x:v>
      </x:c>
      <x:c r="H186" s="59" t="str">
        <x:v>N/A</x:v>
      </x:c>
      <x:c r="I186" s="59"/>
      <x:c r="J186" s="59" t="str">
        <x:v>ไม่ทราบ</x:v>
      </x:c>
      <x:c r="K186" s="59" t="str">
        <x:v>N/A</x:v>
      </x:c>
      <x:c r="L186" s="59" t="str">
        <x:v>N/A</x:v>
      </x:c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 t="str">
        <x:v>N/A</x:v>
      </x:c>
      <x:c r="Y186" s="59"/>
      <x:c r="Z186" s="59"/>
      <x:c r="AA186" s="8" t="n">
        <x:f>IF(C186="ไม่ทราบ","",SUMIFS($K$7:$Z$7,K186:Z186,"&lt;&gt;N/A"))</x:f>
        <x:v>67</x:v>
      </x:c>
      <x:c r="AB186" s="8" t="str">
        <x:f>IF(AND(OR(AND(C186="จำหน่ายอาหาร",ISNUMBER(K186),L186="N/A"),AND(C186="ไม่จำหน่ายอาหาร",K186="N/A",ISNUMBER(L186)),AND(C186="มัสยิด",K186="N/A",L186="N/A",X186="N/A")),COUNT(K186:Z186)+COUNTIFS(K186:Z186,"N/A")=16),SUM(K186:Z186),"")</x:f>
      </x:c>
      <x:c r="AC186" s="62" t="str">
        <x:f>IF(OR(AB186="",AA186&lt;=0),"",ROUND(AB186/AA186*100,1))</x:f>
      </x:c>
      <x:c r="AD186" s="8" t="str">
        <x:f>IF(COUNTIFS(D186:H186,"ไม่ผ่าน")&gt;0,"ไม่ผ่าน",IF(COUNTIFS(D186:H186,"ไม่ทราบ")+COUNTBLANK(D186:H186)&gt;0,"รอยืนยัน","ผ่าน"))</x:f>
        <x:v>รอยืนยัน</x:v>
      </x:c>
      <x:c r="AE186" s="8" t="str">
        <x:f>IF(AF186="ใช่","ไม่ผ่านการคัดเลือก",IF(AND(AD186="ผ่าน",ISNUMBER(AC186),AC186&gt;=70),"พร้อมขาย",IF(OR(J186="ใช่",AND(ISNUMBER(AC186),AC186&gt;=50)),"พัฒนาเพื่อพร้อมขาย",IF(AND(ISNUMBER(AC186),AC186&lt;50,I186&gt;=1),"มีศักยภาพ แต่ต้องพัฒนามาตรฐาน","รอประเมิน"))))</x:f>
        <x:v>รอประเมิน</x:v>
      </x:c>
      <x:c r="AF186" s="59" t="str">
        <x:v>ไม่ทราบ</x:v>
      </x:c>
      <x:c r="AG186" s="8" t="str">
        <x:f>IF(AF186="ใช่","หัวหน้าทีมพิจารณาเหตุไม่ผ่าน",IF(OR(AA186&lt;=0,NOT(OR(AND(C186="จำหน่ายอาหาร",ISNUMBER(K186),L186="N/A"),AND(C186="ไม่จำหน่ายอาหาร",K186="N/A",ISNUMBER(L186)),AND(C186="มัสยิด",K186="N/A",L186="N/A",X186="N/A"))),AD186="รอยืนยัน",COUNT(K186:Z186)+COUNTIFS(K186:Z186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6" s="59" t="str"/>
      <x:c r="AI186" s="61"/>
    </x:row>
    <x:row r="187" ht="60" customHeight="1">
      <x:c r="A187" s="2" t="str">
        <x:v>TMF-315</x:v>
      </x:c>
      <x:c r="B187" s="8" t="str">
        <x:v>มัสยิดอัลฮุสนา เจียรดับ</x:v>
      </x:c>
      <x:c r="C187" s="59" t="str">
        <x:v>มัสยิด</x:v>
      </x:c>
      <x:c r="D187" s="59" t="str">
        <x:v>ไม่ทราบ</x:v>
      </x:c>
      <x:c r="E187" s="59" t="str">
        <x:v>ไม่ทราบ</x:v>
      </x:c>
      <x:c r="F187" s="59" t="str">
        <x:v>ไม่ทราบ</x:v>
      </x:c>
      <x:c r="G187" s="59" t="str">
        <x:v>N/A</x:v>
      </x:c>
      <x:c r="H187" s="59" t="str">
        <x:v>N/A</x:v>
      </x:c>
      <x:c r="I187" s="59"/>
      <x:c r="J187" s="59" t="str">
        <x:v>ไม่ทราบ</x:v>
      </x:c>
      <x:c r="K187" s="59" t="str">
        <x:v>N/A</x:v>
      </x:c>
      <x:c r="L187" s="59" t="str">
        <x:v>N/A</x:v>
      </x:c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 t="str">
        <x:v>N/A</x:v>
      </x:c>
      <x:c r="Y187" s="59"/>
      <x:c r="Z187" s="59"/>
      <x:c r="AA187" s="8" t="n">
        <x:f>IF(C187="ไม่ทราบ","",SUMIFS($K$7:$Z$7,K187:Z187,"&lt;&gt;N/A"))</x:f>
        <x:v>67</x:v>
      </x:c>
      <x:c r="AB187" s="8" t="str">
        <x:f>IF(AND(OR(AND(C187="จำหน่ายอาหาร",ISNUMBER(K187),L187="N/A"),AND(C187="ไม่จำหน่ายอาหาร",K187="N/A",ISNUMBER(L187)),AND(C187="มัสยิด",K187="N/A",L187="N/A",X187="N/A")),COUNT(K187:Z187)+COUNTIFS(K187:Z187,"N/A")=16),SUM(K187:Z187),"")</x:f>
      </x:c>
      <x:c r="AC187" s="62" t="str">
        <x:f>IF(OR(AB187="",AA187&lt;=0),"",ROUND(AB187/AA187*100,1))</x:f>
      </x:c>
      <x:c r="AD187" s="8" t="str">
        <x:f>IF(COUNTIFS(D187:H187,"ไม่ผ่าน")&gt;0,"ไม่ผ่าน",IF(COUNTIFS(D187:H187,"ไม่ทราบ")+COUNTBLANK(D187:H187)&gt;0,"รอยืนยัน","ผ่าน"))</x:f>
        <x:v>รอยืนยัน</x:v>
      </x:c>
      <x:c r="AE187" s="8" t="str">
        <x:f>IF(AF187="ใช่","ไม่ผ่านการคัดเลือก",IF(AND(AD187="ผ่าน",ISNUMBER(AC187),AC187&gt;=70),"พร้อมขาย",IF(OR(J187="ใช่",AND(ISNUMBER(AC187),AC187&gt;=50)),"พัฒนาเพื่อพร้อมขาย",IF(AND(ISNUMBER(AC187),AC187&lt;50,I187&gt;=1),"มีศักยภาพ แต่ต้องพัฒนามาตรฐาน","รอประเมิน"))))</x:f>
        <x:v>รอประเมิน</x:v>
      </x:c>
      <x:c r="AF187" s="59" t="str">
        <x:v>ไม่ทราบ</x:v>
      </x:c>
      <x:c r="AG187" s="8" t="str">
        <x:f>IF(AF187="ใช่","หัวหน้าทีมพิจารณาเหตุไม่ผ่าน",IF(OR(AA187&lt;=0,NOT(OR(AND(C187="จำหน่ายอาหาร",ISNUMBER(K187),L187="N/A"),AND(C187="ไม่จำหน่ายอาหาร",K187="N/A",ISNUMBER(L187)),AND(C187="มัสยิด",K187="N/A",L187="N/A",X187="N/A"))),AD187="รอยืนยัน",COUNT(K187:Z187)+COUNTIFS(K187:Z187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7" s="59" t="str"/>
      <x:c r="AI187" s="61"/>
    </x:row>
    <x:row r="188" ht="60" customHeight="1">
      <x:c r="A188" s="2" t="str">
        <x:v>TMF-316</x:v>
      </x:c>
      <x:c r="B188" s="8" t="str">
        <x:v>มัสยิดอัลเอียะซาน (ลำเจดีย์)</x:v>
      </x:c>
      <x:c r="C188" s="59" t="str">
        <x:v>มัสยิด</x:v>
      </x:c>
      <x:c r="D188" s="59" t="str">
        <x:v>ไม่ทราบ</x:v>
      </x:c>
      <x:c r="E188" s="59" t="str">
        <x:v>ไม่ทราบ</x:v>
      </x:c>
      <x:c r="F188" s="59" t="str">
        <x:v>ไม่ทราบ</x:v>
      </x:c>
      <x:c r="G188" s="59" t="str">
        <x:v>N/A</x:v>
      </x:c>
      <x:c r="H188" s="59" t="str">
        <x:v>N/A</x:v>
      </x:c>
      <x:c r="I188" s="59"/>
      <x:c r="J188" s="59" t="str">
        <x:v>ไม่ทราบ</x:v>
      </x:c>
      <x:c r="K188" s="59" t="str">
        <x:v>N/A</x:v>
      </x:c>
      <x:c r="L188" s="59" t="str">
        <x:v>N/A</x:v>
      </x:c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 t="str">
        <x:v>N/A</x:v>
      </x:c>
      <x:c r="Y188" s="59"/>
      <x:c r="Z188" s="59"/>
      <x:c r="AA188" s="8" t="n">
        <x:f>IF(C188="ไม่ทราบ","",SUMIFS($K$7:$Z$7,K188:Z188,"&lt;&gt;N/A"))</x:f>
        <x:v>67</x:v>
      </x:c>
      <x:c r="AB188" s="8" t="str">
        <x:f>IF(AND(OR(AND(C188="จำหน่ายอาหาร",ISNUMBER(K188),L188="N/A"),AND(C188="ไม่จำหน่ายอาหาร",K188="N/A",ISNUMBER(L188)),AND(C188="มัสยิด",K188="N/A",L188="N/A",X188="N/A")),COUNT(K188:Z188)+COUNTIFS(K188:Z188,"N/A")=16),SUM(K188:Z188),"")</x:f>
      </x:c>
      <x:c r="AC188" s="62" t="str">
        <x:f>IF(OR(AB188="",AA188&lt;=0),"",ROUND(AB188/AA188*100,1))</x:f>
      </x:c>
      <x:c r="AD188" s="8" t="str">
        <x:f>IF(COUNTIFS(D188:H188,"ไม่ผ่าน")&gt;0,"ไม่ผ่าน",IF(COUNTIFS(D188:H188,"ไม่ทราบ")+COUNTBLANK(D188:H188)&gt;0,"รอยืนยัน","ผ่าน"))</x:f>
        <x:v>รอยืนยัน</x:v>
      </x:c>
      <x:c r="AE188" s="8" t="str">
        <x:f>IF(AF188="ใช่","ไม่ผ่านการคัดเลือก",IF(AND(AD188="ผ่าน",ISNUMBER(AC188),AC188&gt;=70),"พร้อมขาย",IF(OR(J188="ใช่",AND(ISNUMBER(AC188),AC188&gt;=50)),"พัฒนาเพื่อพร้อมขาย",IF(AND(ISNUMBER(AC188),AC188&lt;50,I188&gt;=1),"มีศักยภาพ แต่ต้องพัฒนามาตรฐาน","รอประเมิน"))))</x:f>
        <x:v>รอประเมิน</x:v>
      </x:c>
      <x:c r="AF188" s="59" t="str">
        <x:v>ไม่ทราบ</x:v>
      </x:c>
      <x:c r="AG188" s="8" t="str">
        <x:f>IF(AF188="ใช่","หัวหน้าทีมพิจารณาเหตุไม่ผ่าน",IF(OR(AA188&lt;=0,NOT(OR(AND(C188="จำหน่ายอาหาร",ISNUMBER(K188),L188="N/A"),AND(C188="ไม่จำหน่ายอาหาร",K188="N/A",ISNUMBER(L188)),AND(C188="มัสยิด",K188="N/A",L188="N/A",X188="N/A"))),AD188="รอยืนยัน",COUNT(K188:Z188)+COUNTIFS(K188:Z188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8" s="59" t="str"/>
      <x:c r="AI188" s="61"/>
    </x:row>
    <x:row r="189" ht="60" customHeight="1">
      <x:c r="A189" s="2" t="str">
        <x:v>TMF-318</x:v>
      </x:c>
      <x:c r="B189" s="8" t="str">
        <x:v>มัสยิดอัสสลาม (คลองกุ่ม)</x:v>
      </x:c>
      <x:c r="C189" s="59" t="str">
        <x:v>มัสยิด</x:v>
      </x:c>
      <x:c r="D189" s="59" t="str">
        <x:v>ไม่ทราบ</x:v>
      </x:c>
      <x:c r="E189" s="59" t="str">
        <x:v>ไม่ทราบ</x:v>
      </x:c>
      <x:c r="F189" s="59" t="str">
        <x:v>ไม่ทราบ</x:v>
      </x:c>
      <x:c r="G189" s="59" t="str">
        <x:v>N/A</x:v>
      </x:c>
      <x:c r="H189" s="59" t="str">
        <x:v>N/A</x:v>
      </x:c>
      <x:c r="I189" s="59"/>
      <x:c r="J189" s="59" t="str">
        <x:v>ไม่ทราบ</x:v>
      </x:c>
      <x:c r="K189" s="59" t="str">
        <x:v>N/A</x:v>
      </x:c>
      <x:c r="L189" s="59" t="str">
        <x:v>N/A</x:v>
      </x:c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 t="str">
        <x:v>N/A</x:v>
      </x:c>
      <x:c r="Y189" s="59"/>
      <x:c r="Z189" s="59"/>
      <x:c r="AA189" s="8" t="n">
        <x:f>IF(C189="ไม่ทราบ","",SUMIFS($K$7:$Z$7,K189:Z189,"&lt;&gt;N/A"))</x:f>
        <x:v>67</x:v>
      </x:c>
      <x:c r="AB189" s="8" t="str">
        <x:f>IF(AND(OR(AND(C189="จำหน่ายอาหาร",ISNUMBER(K189),L189="N/A"),AND(C189="ไม่จำหน่ายอาหาร",K189="N/A",ISNUMBER(L189)),AND(C189="มัสยิด",K189="N/A",L189="N/A",X189="N/A")),COUNT(K189:Z189)+COUNTIFS(K189:Z189,"N/A")=16),SUM(K189:Z189),"")</x:f>
      </x:c>
      <x:c r="AC189" s="62" t="str">
        <x:f>IF(OR(AB189="",AA189&lt;=0),"",ROUND(AB189/AA189*100,1))</x:f>
      </x:c>
      <x:c r="AD189" s="8" t="str">
        <x:f>IF(COUNTIFS(D189:H189,"ไม่ผ่าน")&gt;0,"ไม่ผ่าน",IF(COUNTIFS(D189:H189,"ไม่ทราบ")+COUNTBLANK(D189:H189)&gt;0,"รอยืนยัน","ผ่าน"))</x:f>
        <x:v>รอยืนยัน</x:v>
      </x:c>
      <x:c r="AE189" s="8" t="str">
        <x:f>IF(AF189="ใช่","ไม่ผ่านการคัดเลือก",IF(AND(AD189="ผ่าน",ISNUMBER(AC189),AC189&gt;=70),"พร้อมขาย",IF(OR(J189="ใช่",AND(ISNUMBER(AC189),AC189&gt;=50)),"พัฒนาเพื่อพร้อมขาย",IF(AND(ISNUMBER(AC189),AC189&lt;50,I189&gt;=1),"มีศักยภาพ แต่ต้องพัฒนามาตรฐาน","รอประเมิน"))))</x:f>
        <x:v>รอประเมิน</x:v>
      </x:c>
      <x:c r="AF189" s="59" t="str">
        <x:v>ไม่ทราบ</x:v>
      </x:c>
      <x:c r="AG189" s="8" t="str">
        <x:f>IF(AF189="ใช่","หัวหน้าทีมพิจารณาเหตุไม่ผ่าน",IF(OR(AA189&lt;=0,NOT(OR(AND(C189="จำหน่ายอาหาร",ISNUMBER(K189),L189="N/A"),AND(C189="ไม่จำหน่ายอาหาร",K189="N/A",ISNUMBER(L189)),AND(C189="มัสยิด",K189="N/A",L189="N/A",X189="N/A"))),AD189="รอยืนยัน",COUNT(K189:Z189)+COUNTIFS(K189:Z189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89" s="59" t="str"/>
      <x:c r="AI189" s="61"/>
    </x:row>
    <x:row r="190" ht="60" customHeight="1">
      <x:c r="A190" s="2" t="str">
        <x:v>TMF-320</x:v>
      </x:c>
      <x:c r="B190" s="8" t="str">
        <x:v>มัสยิดอิดด์ฮาดร์อูลูมุดดีน</x:v>
      </x:c>
      <x:c r="C190" s="59" t="str">
        <x:v>มัสยิด</x:v>
      </x:c>
      <x:c r="D190" s="59" t="str">
        <x:v>ไม่ทราบ</x:v>
      </x:c>
      <x:c r="E190" s="59" t="str">
        <x:v>ไม่ทราบ</x:v>
      </x:c>
      <x:c r="F190" s="59" t="str">
        <x:v>ไม่ทราบ</x:v>
      </x:c>
      <x:c r="G190" s="59" t="str">
        <x:v>N/A</x:v>
      </x:c>
      <x:c r="H190" s="59" t="str">
        <x:v>N/A</x:v>
      </x:c>
      <x:c r="I190" s="59"/>
      <x:c r="J190" s="59" t="str">
        <x:v>ไม่ทราบ</x:v>
      </x:c>
      <x:c r="K190" s="59" t="str">
        <x:v>N/A</x:v>
      </x:c>
      <x:c r="L190" s="59" t="str">
        <x:v>N/A</x:v>
      </x:c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 t="str">
        <x:v>N/A</x:v>
      </x:c>
      <x:c r="Y190" s="59"/>
      <x:c r="Z190" s="59"/>
      <x:c r="AA190" s="8" t="n">
        <x:f>IF(C190="ไม่ทราบ","",SUMIFS($K$7:$Z$7,K190:Z190,"&lt;&gt;N/A"))</x:f>
        <x:v>67</x:v>
      </x:c>
      <x:c r="AB190" s="8" t="str">
        <x:f>IF(AND(OR(AND(C190="จำหน่ายอาหาร",ISNUMBER(K190),L190="N/A"),AND(C190="ไม่จำหน่ายอาหาร",K190="N/A",ISNUMBER(L190)),AND(C190="มัสยิด",K190="N/A",L190="N/A",X190="N/A")),COUNT(K190:Z190)+COUNTIFS(K190:Z190,"N/A")=16),SUM(K190:Z190),"")</x:f>
      </x:c>
      <x:c r="AC190" s="62" t="str">
        <x:f>IF(OR(AB190="",AA190&lt;=0),"",ROUND(AB190/AA190*100,1))</x:f>
      </x:c>
      <x:c r="AD190" s="8" t="str">
        <x:f>IF(COUNTIFS(D190:H190,"ไม่ผ่าน")&gt;0,"ไม่ผ่าน",IF(COUNTIFS(D190:H190,"ไม่ทราบ")+COUNTBLANK(D190:H190)&gt;0,"รอยืนยัน","ผ่าน"))</x:f>
        <x:v>รอยืนยัน</x:v>
      </x:c>
      <x:c r="AE190" s="8" t="str">
        <x:f>IF(AF190="ใช่","ไม่ผ่านการคัดเลือก",IF(AND(AD190="ผ่าน",ISNUMBER(AC190),AC190&gt;=70),"พร้อมขาย",IF(OR(J190="ใช่",AND(ISNUMBER(AC190),AC190&gt;=50)),"พัฒนาเพื่อพร้อมขาย",IF(AND(ISNUMBER(AC190),AC190&lt;50,I190&gt;=1),"มีศักยภาพ แต่ต้องพัฒนามาตรฐาน","รอประเมิน"))))</x:f>
        <x:v>รอประเมิน</x:v>
      </x:c>
      <x:c r="AF190" s="59" t="str">
        <x:v>ไม่ทราบ</x:v>
      </x:c>
      <x:c r="AG190" s="8" t="str">
        <x:f>IF(AF190="ใช่","หัวหน้าทีมพิจารณาเหตุไม่ผ่าน",IF(OR(AA190&lt;=0,NOT(OR(AND(C190="จำหน่ายอาหาร",ISNUMBER(K190),L190="N/A"),AND(C190="ไม่จำหน่ายอาหาร",K190="N/A",ISNUMBER(L190)),AND(C190="มัสยิด",K190="N/A",L190="N/A",X190="N/A"))),AD190="รอยืนยัน",COUNT(K190:Z190)+COUNTIFS(K190:Z190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0" s="59" t="str"/>
      <x:c r="AI190" s="61"/>
    </x:row>
    <x:row r="191" ht="60" customHeight="1">
      <x:c r="A191" s="2" t="str">
        <x:v>TMF-321</x:v>
      </x:c>
      <x:c r="B191" s="8" t="str">
        <x:v>มัสยิดอิบรอฮีม (บึงเตย)</x:v>
      </x:c>
      <x:c r="C191" s="59" t="str">
        <x:v>มัสยิด</x:v>
      </x:c>
      <x:c r="D191" s="59" t="str">
        <x:v>ไม่ทราบ</x:v>
      </x:c>
      <x:c r="E191" s="59" t="str">
        <x:v>ไม่ทราบ</x:v>
      </x:c>
      <x:c r="F191" s="59" t="str">
        <x:v>ไม่ทราบ</x:v>
      </x:c>
      <x:c r="G191" s="59" t="str">
        <x:v>N/A</x:v>
      </x:c>
      <x:c r="H191" s="59" t="str">
        <x:v>N/A</x:v>
      </x:c>
      <x:c r="I191" s="59"/>
      <x:c r="J191" s="59" t="str">
        <x:v>ไม่ทราบ</x:v>
      </x:c>
      <x:c r="K191" s="59" t="str">
        <x:v>N/A</x:v>
      </x:c>
      <x:c r="L191" s="59" t="str">
        <x:v>N/A</x:v>
      </x:c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 t="str">
        <x:v>N/A</x:v>
      </x:c>
      <x:c r="Y191" s="59"/>
      <x:c r="Z191" s="59"/>
      <x:c r="AA191" s="8" t="n">
        <x:f>IF(C191="ไม่ทราบ","",SUMIFS($K$7:$Z$7,K191:Z191,"&lt;&gt;N/A"))</x:f>
        <x:v>67</x:v>
      </x:c>
      <x:c r="AB191" s="8" t="str">
        <x:f>IF(AND(OR(AND(C191="จำหน่ายอาหาร",ISNUMBER(K191),L191="N/A"),AND(C191="ไม่จำหน่ายอาหาร",K191="N/A",ISNUMBER(L191)),AND(C191="มัสยิด",K191="N/A",L191="N/A",X191="N/A")),COUNT(K191:Z191)+COUNTIFS(K191:Z191,"N/A")=16),SUM(K191:Z191),"")</x:f>
      </x:c>
      <x:c r="AC191" s="62" t="str">
        <x:f>IF(OR(AB191="",AA191&lt;=0),"",ROUND(AB191/AA191*100,1))</x:f>
      </x:c>
      <x:c r="AD191" s="8" t="str">
        <x:f>IF(COUNTIFS(D191:H191,"ไม่ผ่าน")&gt;0,"ไม่ผ่าน",IF(COUNTIFS(D191:H191,"ไม่ทราบ")+COUNTBLANK(D191:H191)&gt;0,"รอยืนยัน","ผ่าน"))</x:f>
        <x:v>รอยืนยัน</x:v>
      </x:c>
      <x:c r="AE191" s="8" t="str">
        <x:f>IF(AF191="ใช่","ไม่ผ่านการคัดเลือก",IF(AND(AD191="ผ่าน",ISNUMBER(AC191),AC191&gt;=70),"พร้อมขาย",IF(OR(J191="ใช่",AND(ISNUMBER(AC191),AC191&gt;=50)),"พัฒนาเพื่อพร้อมขาย",IF(AND(ISNUMBER(AC191),AC191&lt;50,I191&gt;=1),"มีศักยภาพ แต่ต้องพัฒนามาตรฐาน","รอประเมิน"))))</x:f>
        <x:v>รอประเมิน</x:v>
      </x:c>
      <x:c r="AF191" s="59" t="str">
        <x:v>ไม่ทราบ</x:v>
      </x:c>
      <x:c r="AG191" s="8" t="str">
        <x:f>IF(AF191="ใช่","หัวหน้าทีมพิจารณาเหตุไม่ผ่าน",IF(OR(AA191&lt;=0,NOT(OR(AND(C191="จำหน่ายอาหาร",ISNUMBER(K191),L191="N/A"),AND(C191="ไม่จำหน่ายอาหาร",K191="N/A",ISNUMBER(L191)),AND(C191="มัสยิด",K191="N/A",L191="N/A",X191="N/A"))),AD191="รอยืนยัน",COUNT(K191:Z191)+COUNTIFS(K191:Z191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1" s="59" t="str"/>
      <x:c r="AI191" s="61"/>
    </x:row>
    <x:row r="192" ht="60" customHeight="1">
      <x:c r="A192" s="2" t="str">
        <x:v>TMF-322</x:v>
      </x:c>
      <x:c r="B192" s="8" t="str">
        <x:v>มัสยิดฮาซานุดดีน (ศาลาแดง)</x:v>
      </x:c>
      <x:c r="C192" s="59" t="str">
        <x:v>มัสยิด</x:v>
      </x:c>
      <x:c r="D192" s="59" t="str">
        <x:v>ไม่ทราบ</x:v>
      </x:c>
      <x:c r="E192" s="59" t="str">
        <x:v>ไม่ทราบ</x:v>
      </x:c>
      <x:c r="F192" s="59" t="str">
        <x:v>ไม่ทราบ</x:v>
      </x:c>
      <x:c r="G192" s="59" t="str">
        <x:v>N/A</x:v>
      </x:c>
      <x:c r="H192" s="59" t="str">
        <x:v>N/A</x:v>
      </x:c>
      <x:c r="I192" s="59"/>
      <x:c r="J192" s="59" t="str">
        <x:v>ไม่ทราบ</x:v>
      </x:c>
      <x:c r="K192" s="59" t="str">
        <x:v>N/A</x:v>
      </x:c>
      <x:c r="L192" s="59" t="str">
        <x:v>N/A</x:v>
      </x:c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 t="str">
        <x:v>N/A</x:v>
      </x:c>
      <x:c r="Y192" s="59"/>
      <x:c r="Z192" s="59"/>
      <x:c r="AA192" s="8" t="n">
        <x:f>IF(C192="ไม่ทราบ","",SUMIFS($K$7:$Z$7,K192:Z192,"&lt;&gt;N/A"))</x:f>
        <x:v>67</x:v>
      </x:c>
      <x:c r="AB192" s="8" t="str">
        <x:f>IF(AND(OR(AND(C192="จำหน่ายอาหาร",ISNUMBER(K192),L192="N/A"),AND(C192="ไม่จำหน่ายอาหาร",K192="N/A",ISNUMBER(L192)),AND(C192="มัสยิด",K192="N/A",L192="N/A",X192="N/A")),COUNT(K192:Z192)+COUNTIFS(K192:Z192,"N/A")=16),SUM(K192:Z192),"")</x:f>
      </x:c>
      <x:c r="AC192" s="62" t="str">
        <x:f>IF(OR(AB192="",AA192&lt;=0),"",ROUND(AB192/AA192*100,1))</x:f>
      </x:c>
      <x:c r="AD192" s="8" t="str">
        <x:f>IF(COUNTIFS(D192:H192,"ไม่ผ่าน")&gt;0,"ไม่ผ่าน",IF(COUNTIFS(D192:H192,"ไม่ทราบ")+COUNTBLANK(D192:H192)&gt;0,"รอยืนยัน","ผ่าน"))</x:f>
        <x:v>รอยืนยัน</x:v>
      </x:c>
      <x:c r="AE192" s="8" t="str">
        <x:f>IF(AF192="ใช่","ไม่ผ่านการคัดเลือก",IF(AND(AD192="ผ่าน",ISNUMBER(AC192),AC192&gt;=70),"พร้อมขาย",IF(OR(J192="ใช่",AND(ISNUMBER(AC192),AC192&gt;=50)),"พัฒนาเพื่อพร้อมขาย",IF(AND(ISNUMBER(AC192),AC192&lt;50,I192&gt;=1),"มีศักยภาพ แต่ต้องพัฒนามาตรฐาน","รอประเมิน"))))</x:f>
        <x:v>รอประเมิน</x:v>
      </x:c>
      <x:c r="AF192" s="59" t="str">
        <x:v>ไม่ทราบ</x:v>
      </x:c>
      <x:c r="AG192" s="8" t="str">
        <x:f>IF(AF192="ใช่","หัวหน้าทีมพิจารณาเหตุไม่ผ่าน",IF(OR(AA192&lt;=0,NOT(OR(AND(C192="จำหน่ายอาหาร",ISNUMBER(K192),L192="N/A"),AND(C192="ไม่จำหน่ายอาหาร",K192="N/A",ISNUMBER(L192)),AND(C192="มัสยิด",K192="N/A",L192="N/A",X192="N/A"))),AD192="รอยืนยัน",COUNT(K192:Z192)+COUNTIFS(K192:Z192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2" s="59" t="str"/>
      <x:c r="AI192" s="61"/>
    </x:row>
    <x:row r="193" ht="60" customHeight="1">
      <x:c r="A193" s="2" t="str">
        <x:v>TMF-325</x:v>
      </x:c>
      <x:c r="B193" s="8" t="str">
        <x:v>มัสยิดเราะห์มาตุ้ลอิสลามียะห์ (บ้านเกาะ)</x:v>
      </x:c>
      <x:c r="C193" s="59" t="str">
        <x:v>มัสยิด</x:v>
      </x:c>
      <x:c r="D193" s="59" t="str">
        <x:v>ไม่ทราบ</x:v>
      </x:c>
      <x:c r="E193" s="59" t="str">
        <x:v>ไม่ทราบ</x:v>
      </x:c>
      <x:c r="F193" s="59" t="str">
        <x:v>ไม่ทราบ</x:v>
      </x:c>
      <x:c r="G193" s="59" t="str">
        <x:v>N/A</x:v>
      </x:c>
      <x:c r="H193" s="59" t="str">
        <x:v>N/A</x:v>
      </x:c>
      <x:c r="I193" s="59"/>
      <x:c r="J193" s="59" t="str">
        <x:v>ไม่ทราบ</x:v>
      </x:c>
      <x:c r="K193" s="59" t="str">
        <x:v>N/A</x:v>
      </x:c>
      <x:c r="L193" s="59" t="str">
        <x:v>N/A</x:v>
      </x:c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 t="str">
        <x:v>N/A</x:v>
      </x:c>
      <x:c r="Y193" s="59"/>
      <x:c r="Z193" s="59"/>
      <x:c r="AA193" s="8" t="n">
        <x:f>IF(C193="ไม่ทราบ","",SUMIFS($K$7:$Z$7,K193:Z193,"&lt;&gt;N/A"))</x:f>
        <x:v>67</x:v>
      </x:c>
      <x:c r="AB193" s="8" t="str">
        <x:f>IF(AND(OR(AND(C193="จำหน่ายอาหาร",ISNUMBER(K193),L193="N/A"),AND(C193="ไม่จำหน่ายอาหาร",K193="N/A",ISNUMBER(L193)),AND(C193="มัสยิด",K193="N/A",L193="N/A",X193="N/A")),COUNT(K193:Z193)+COUNTIFS(K193:Z193,"N/A")=16),SUM(K193:Z193),"")</x:f>
      </x:c>
      <x:c r="AC193" s="62" t="str">
        <x:f>IF(OR(AB193="",AA193&lt;=0),"",ROUND(AB193/AA193*100,1))</x:f>
      </x:c>
      <x:c r="AD193" s="8" t="str">
        <x:f>IF(COUNTIFS(D193:H193,"ไม่ผ่าน")&gt;0,"ไม่ผ่าน",IF(COUNTIFS(D193:H193,"ไม่ทราบ")+COUNTBLANK(D193:H193)&gt;0,"รอยืนยัน","ผ่าน"))</x:f>
        <x:v>รอยืนยัน</x:v>
      </x:c>
      <x:c r="AE193" s="8" t="str">
        <x:f>IF(AF193="ใช่","ไม่ผ่านการคัดเลือก",IF(AND(AD193="ผ่าน",ISNUMBER(AC193),AC193&gt;=70),"พร้อมขาย",IF(OR(J193="ใช่",AND(ISNUMBER(AC193),AC193&gt;=50)),"พัฒนาเพื่อพร้อมขาย",IF(AND(ISNUMBER(AC193),AC193&lt;50,I193&gt;=1),"มีศักยภาพ แต่ต้องพัฒนามาตรฐาน","รอประเมิน"))))</x:f>
        <x:v>รอประเมิน</x:v>
      </x:c>
      <x:c r="AF193" s="59" t="str">
        <x:v>ไม่ทราบ</x:v>
      </x:c>
      <x:c r="AG193" s="8" t="str">
        <x:f>IF(AF193="ใช่","หัวหน้าทีมพิจารณาเหตุไม่ผ่าน",IF(OR(AA193&lt;=0,NOT(OR(AND(C193="จำหน่ายอาหาร",ISNUMBER(K193),L193="N/A"),AND(C193="ไม่จำหน่ายอาหาร",K193="N/A",ISNUMBER(L193)),AND(C193="มัสยิด",K193="N/A",L193="N/A",X193="N/A"))),AD193="รอยืนยัน",COUNT(K193:Z193)+COUNTIFS(K193:Z193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3" s="59" t="str"/>
      <x:c r="AI193" s="61"/>
    </x:row>
    <x:row r="194" ht="60" customHeight="1">
      <x:c r="A194" s="2" t="str">
        <x:v>R26-038</x:v>
      </x:c>
      <x:c r="B194" s="8" t="str">
        <x:v>Khun Anan Riverfront Ayutthaya</x:v>
      </x:c>
      <x:c r="C194" s="59" t="str">
        <x:v>จำหน่ายอาหาร</x:v>
      </x:c>
      <x:c r="D194" s="59" t="str">
        <x:v>ไม่ทราบ</x:v>
      </x:c>
      <x:c r="E194" s="59" t="str">
        <x:v>ไม่ทราบ</x:v>
      </x:c>
      <x:c r="F194" s="59" t="str">
        <x:v>ไม่ทราบ</x:v>
      </x:c>
      <x:c r="G194" s="59" t="str">
        <x:v>ไม่ทราบ</x:v>
      </x:c>
      <x:c r="H194" s="59" t="str">
        <x:v>N/A</x:v>
      </x:c>
      <x:c r="I194" s="59"/>
      <x:c r="J194" s="59" t="str">
        <x:v>ไม่ทราบ</x:v>
      </x:c>
      <x:c r="K194" s="59"/>
      <x:c r="L194" s="59" t="str">
        <x:v>N/A</x:v>
      </x:c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  <x:c r="AA194" s="8" t="n">
        <x:f>IF(C194="ไม่ทราบ","",SUMIFS($K$7:$Z$7,K194:Z194,"&lt;&gt;N/A"))</x:f>
        <x:v>100</x:v>
      </x:c>
      <x:c r="AB194" s="8" t="str">
        <x:f>IF(AND(OR(AND(C194="จำหน่ายอาหาร",ISNUMBER(K194),L194="N/A"),AND(C194="ไม่จำหน่ายอาหาร",K194="N/A",ISNUMBER(L194)),AND(C194="มัสยิด",K194="N/A",L194="N/A",X194="N/A")),COUNT(K194:Z194)+COUNTIFS(K194:Z194,"N/A")=16),SUM(K194:Z194),"")</x:f>
      </x:c>
      <x:c r="AC194" s="62" t="str">
        <x:f>IF(OR(AB194="",AA194&lt;=0),"",ROUND(AB194/AA194*100,1))</x:f>
      </x:c>
      <x:c r="AD194" s="8" t="str">
        <x:f>IF(COUNTIFS(D194:H194,"ไม่ผ่าน")&gt;0,"ไม่ผ่าน",IF(COUNTIFS(D194:H194,"ไม่ทราบ")+COUNTBLANK(D194:H194)&gt;0,"รอยืนยัน","ผ่าน"))</x:f>
        <x:v>รอยืนยัน</x:v>
      </x:c>
      <x:c r="AE194" s="8" t="str">
        <x:f>IF(AF194="ใช่","ไม่ผ่านการคัดเลือก",IF(AND(AD194="ผ่าน",ISNUMBER(AC194),AC194&gt;=70),"พร้อมขาย",IF(OR(J194="ใช่",AND(ISNUMBER(AC194),AC194&gt;=50)),"พัฒนาเพื่อพร้อมขาย",IF(AND(ISNUMBER(AC194),AC194&lt;50,I194&gt;=1),"มีศักยภาพ แต่ต้องพัฒนามาตรฐาน","รอประเมิน"))))</x:f>
        <x:v>รอประเมิน</x:v>
      </x:c>
      <x:c r="AF194" s="59" t="str">
        <x:v>ไม่ทราบ</x:v>
      </x:c>
      <x:c r="AG194" s="8" t="str">
        <x:f>IF(AF194="ใช่","หัวหน้าทีมพิจารณาเหตุไม่ผ่าน",IF(OR(AA194&lt;=0,NOT(OR(AND(C194="จำหน่ายอาหาร",ISNUMBER(K194),L194="N/A"),AND(C194="ไม่จำหน่ายอาหาร",K194="N/A",ISNUMBER(L194)),AND(C194="มัสยิด",K194="N/A",L194="N/A",X194="N/A"))),AD194="รอยืนยัน",COUNT(K194:Z194)+COUNTIFS(K194:Z194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4" s="59" t="str"/>
      <x:c r="AI194" s="61"/>
    </x:row>
    <x:row r="195" ht="60" customHeight="1">
      <x:c r="A195" s="2" t="str">
        <x:v>TMF-005</x:v>
      </x:c>
      <x:c r="B195" s="8" t="str">
        <x:v>ก๋วยเตี๋ยวผักหวาน อยุธยา</x:v>
      </x:c>
      <x:c r="C195" s="59" t="str">
        <x:v>จำหน่ายอาหาร</x:v>
      </x:c>
      <x:c r="D195" s="59" t="str">
        <x:v>ไม่ทราบ</x:v>
      </x:c>
      <x:c r="E195" s="59" t="str">
        <x:v>ไม่ทราบ</x:v>
      </x:c>
      <x:c r="F195" s="59" t="str">
        <x:v>ไม่ทราบ</x:v>
      </x:c>
      <x:c r="G195" s="59" t="str">
        <x:v>ไม่ทราบ</x:v>
      </x:c>
      <x:c r="H195" s="59" t="str">
        <x:v>N/A</x:v>
      </x:c>
      <x:c r="I195" s="59"/>
      <x:c r="J195" s="59" t="str">
        <x:v>ไม่ทราบ</x:v>
      </x:c>
      <x:c r="K195" s="59"/>
      <x:c r="L195" s="59" t="str">
        <x:v>N/A</x:v>
      </x:c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  <x:c r="AA195" s="8" t="n">
        <x:f>IF(C195="ไม่ทราบ","",SUMIFS($K$7:$Z$7,K195:Z195,"&lt;&gt;N/A"))</x:f>
        <x:v>100</x:v>
      </x:c>
      <x:c r="AB195" s="8" t="str">
        <x:f>IF(AND(OR(AND(C195="จำหน่ายอาหาร",ISNUMBER(K195),L195="N/A"),AND(C195="ไม่จำหน่ายอาหาร",K195="N/A",ISNUMBER(L195)),AND(C195="มัสยิด",K195="N/A",L195="N/A",X195="N/A")),COUNT(K195:Z195)+COUNTIFS(K195:Z195,"N/A")=16),SUM(K195:Z195),"")</x:f>
      </x:c>
      <x:c r="AC195" s="62" t="str">
        <x:f>IF(OR(AB195="",AA195&lt;=0),"",ROUND(AB195/AA195*100,1))</x:f>
      </x:c>
      <x:c r="AD195" s="8" t="str">
        <x:f>IF(COUNTIFS(D195:H195,"ไม่ผ่าน")&gt;0,"ไม่ผ่าน",IF(COUNTIFS(D195:H195,"ไม่ทราบ")+COUNTBLANK(D195:H195)&gt;0,"รอยืนยัน","ผ่าน"))</x:f>
        <x:v>รอยืนยัน</x:v>
      </x:c>
      <x:c r="AE195" s="8" t="str">
        <x:f>IF(AF195="ใช่","ไม่ผ่านการคัดเลือก",IF(AND(AD195="ผ่าน",ISNUMBER(AC195),AC195&gt;=70),"พร้อมขาย",IF(OR(J195="ใช่",AND(ISNUMBER(AC195),AC195&gt;=50)),"พัฒนาเพื่อพร้อมขาย",IF(AND(ISNUMBER(AC195),AC195&lt;50,I195&gt;=1),"มีศักยภาพ แต่ต้องพัฒนามาตรฐาน","รอประเมิน"))))</x:f>
        <x:v>รอประเมิน</x:v>
      </x:c>
      <x:c r="AF195" s="59" t="str">
        <x:v>ไม่ทราบ</x:v>
      </x:c>
      <x:c r="AG195" s="8" t="str">
        <x:f>IF(AF195="ใช่","หัวหน้าทีมพิจารณาเหตุไม่ผ่าน",IF(OR(AA195&lt;=0,NOT(OR(AND(C195="จำหน่ายอาหาร",ISNUMBER(K195),L195="N/A"),AND(C195="ไม่จำหน่ายอาหาร",K195="N/A",ISNUMBER(L195)),AND(C195="มัสยิด",K195="N/A",L195="N/A",X195="N/A"))),AD195="รอยืนยัน",COUNT(K195:Z195)+COUNTIFS(K195:Z195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5" s="59" t="str"/>
      <x:c r="AI195" s="61"/>
    </x:row>
    <x:row r="196" ht="60" customHeight="1">
      <x:c r="A196" s="2" t="str">
        <x:v>R26-034</x:v>
      </x:c>
      <x:c r="B196" s="8" t="str">
        <x:v>มัสยิดยามิอุ้ลอิสลาม</x:v>
      </x:c>
      <x:c r="C196" s="59" t="str">
        <x:v>มัสยิด</x:v>
      </x:c>
      <x:c r="D196" s="59" t="str">
        <x:v>ไม่ทราบ</x:v>
      </x:c>
      <x:c r="E196" s="59" t="str">
        <x:v>ไม่ทราบ</x:v>
      </x:c>
      <x:c r="F196" s="59" t="str">
        <x:v>ไม่ทราบ</x:v>
      </x:c>
      <x:c r="G196" s="59" t="str">
        <x:v>N/A</x:v>
      </x:c>
      <x:c r="H196" s="59" t="str">
        <x:v>N/A</x:v>
      </x:c>
      <x:c r="I196" s="59"/>
      <x:c r="J196" s="59" t="str">
        <x:v>ไม่ทราบ</x:v>
      </x:c>
      <x:c r="K196" s="59" t="str">
        <x:v>N/A</x:v>
      </x:c>
      <x:c r="L196" s="59" t="str">
        <x:v>N/A</x:v>
      </x:c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 t="str">
        <x:v>N/A</x:v>
      </x:c>
      <x:c r="Y196" s="59"/>
      <x:c r="Z196" s="59"/>
      <x:c r="AA196" s="8" t="n">
        <x:f>IF(C196="ไม่ทราบ","",SUMIFS($K$7:$Z$7,K196:Z196,"&lt;&gt;N/A"))</x:f>
        <x:v>67</x:v>
      </x:c>
      <x:c r="AB196" s="8" t="str">
        <x:f>IF(AND(OR(AND(C196="จำหน่ายอาหาร",ISNUMBER(K196),L196="N/A"),AND(C196="ไม่จำหน่ายอาหาร",K196="N/A",ISNUMBER(L196)),AND(C196="มัสยิด",K196="N/A",L196="N/A",X196="N/A")),COUNT(K196:Z196)+COUNTIFS(K196:Z196,"N/A")=16),SUM(K196:Z196),"")</x:f>
      </x:c>
      <x:c r="AC196" s="62" t="str">
        <x:f>IF(OR(AB196="",AA196&lt;=0),"",ROUND(AB196/AA196*100,1))</x:f>
      </x:c>
      <x:c r="AD196" s="8" t="str">
        <x:f>IF(COUNTIFS(D196:H196,"ไม่ผ่าน")&gt;0,"ไม่ผ่าน",IF(COUNTIFS(D196:H196,"ไม่ทราบ")+COUNTBLANK(D196:H196)&gt;0,"รอยืนยัน","ผ่าน"))</x:f>
        <x:v>รอยืนยัน</x:v>
      </x:c>
      <x:c r="AE196" s="8" t="str">
        <x:f>IF(AF196="ใช่","ไม่ผ่านการคัดเลือก",IF(AND(AD196="ผ่าน",ISNUMBER(AC196),AC196&gt;=70),"พร้อมขาย",IF(OR(J196="ใช่",AND(ISNUMBER(AC196),AC196&gt;=50)),"พัฒนาเพื่อพร้อมขาย",IF(AND(ISNUMBER(AC196),AC196&lt;50,I196&gt;=1),"มีศักยภาพ แต่ต้องพัฒนามาตรฐาน","รอประเมิน"))))</x:f>
        <x:v>รอประเมิน</x:v>
      </x:c>
      <x:c r="AF196" s="59" t="str">
        <x:v>ไม่ทราบ</x:v>
      </x:c>
      <x:c r="AG196" s="8" t="str">
        <x:f>IF(AF196="ใช่","หัวหน้าทีมพิจารณาเหตุไม่ผ่าน",IF(OR(AA196&lt;=0,NOT(OR(AND(C196="จำหน่ายอาหาร",ISNUMBER(K196),L196="N/A"),AND(C196="ไม่จำหน่ายอาหาร",K196="N/A",ISNUMBER(L196)),AND(C196="มัสยิด",K196="N/A",L196="N/A",X196="N/A"))),AD196="รอยืนยัน",COUNT(K196:Z196)+COUNTIFS(K196:Z196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6" s="59" t="str"/>
      <x:c r="AI196" s="61"/>
    </x:row>
    <x:row r="197" ht="60" customHeight="1">
      <x:c r="A197" s="2" t="str">
        <x:v>R26-035</x:v>
      </x:c>
      <x:c r="B197" s="8" t="str">
        <x:v>อุทยานประวัติศาสตร์พระนครศรีอยุธยา</x:v>
      </x:c>
      <x:c r="C197" s="59" t="str">
        <x:v>ไม่ทราบ</x:v>
      </x:c>
      <x:c r="D197" s="59" t="str">
        <x:v>ไม่ทราบ</x:v>
      </x:c>
      <x:c r="E197" s="59" t="str">
        <x:v>ไม่ทราบ</x:v>
      </x:c>
      <x:c r="F197" s="59" t="str">
        <x:v>ไม่ทราบ</x:v>
      </x:c>
      <x:c r="G197" s="59" t="str">
        <x:v>ไม่ทราบ</x:v>
      </x:c>
      <x:c r="H197" s="59" t="str">
        <x:v>N/A</x:v>
      </x:c>
      <x:c r="I197" s="59"/>
      <x:c r="J197" s="59" t="str">
        <x:v>ไม่ทราบ</x:v>
      </x:c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  <x:c r="AA197" s="8" t="str">
        <x:f>IF(C197="ไม่ทราบ","",SUMIFS($K$7:$Z$7,K197:Z197,"&lt;&gt;N/A"))</x:f>
      </x:c>
      <x:c r="AB197" s="8" t="str">
        <x:f>IF(AND(OR(AND(C197="จำหน่ายอาหาร",ISNUMBER(K197),L197="N/A"),AND(C197="ไม่จำหน่ายอาหาร",K197="N/A",ISNUMBER(L197)),AND(C197="มัสยิด",K197="N/A",L197="N/A",X197="N/A")),COUNT(K197:Z197)+COUNTIFS(K197:Z197,"N/A")=16),SUM(K197:Z197),"")</x:f>
      </x:c>
      <x:c r="AC197" s="62" t="str">
        <x:f>IF(OR(AB197="",AA197&lt;=0),"",ROUND(AB197/AA197*100,1))</x:f>
      </x:c>
      <x:c r="AD197" s="8" t="str">
        <x:f>IF(COUNTIFS(D197:H197,"ไม่ผ่าน")&gt;0,"ไม่ผ่าน",IF(COUNTIFS(D197:H197,"ไม่ทราบ")+COUNTBLANK(D197:H197)&gt;0,"รอยืนยัน","ผ่าน"))</x:f>
        <x:v>รอยืนยัน</x:v>
      </x:c>
      <x:c r="AE197" s="8" t="str">
        <x:f>IF(AF197="ใช่","ไม่ผ่านการคัดเลือก",IF(AND(AD197="ผ่าน",ISNUMBER(AC197),AC197&gt;=70),"พร้อมขาย",IF(OR(J197="ใช่",AND(ISNUMBER(AC197),AC197&gt;=50)),"พัฒนาเพื่อพร้อมขาย",IF(AND(ISNUMBER(AC197),AC197&lt;50,I197&gt;=1),"มีศักยภาพ แต่ต้องพัฒนามาตรฐาน","รอประเมิน"))))</x:f>
        <x:v>รอประเมิน</x:v>
      </x:c>
      <x:c r="AF197" s="59" t="str">
        <x:v>ไม่ทราบ</x:v>
      </x:c>
      <x:c r="AG197" s="8" t="str">
        <x:f>IF(AF197="ใช่","หัวหน้าทีมพิจารณาเหตุไม่ผ่าน",IF(OR(AA197&lt;=0,NOT(OR(AND(C197="จำหน่ายอาหาร",ISNUMBER(K197),L197="N/A"),AND(C197="ไม่จำหน่ายอาหาร",K197="N/A",ISNUMBER(L197)),AND(C197="มัสยิด",K197="N/A",L197="N/A",X197="N/A"))),AD197="รอยืนยัน",COUNT(K197:Z197)+COUNTIFS(K197:Z197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7" s="59" t="str"/>
      <x:c r="AI197" s="61"/>
    </x:row>
    <x:row r="198" ht="60" customHeight="1">
      <x:c r="A198" s="2" t="str">
        <x:v>R26-033</x:v>
      </x:c>
      <x:c r="B198" s="8" t="str">
        <x:v>ชุมชนมุสลิมคลองตะเคียน</x:v>
      </x:c>
      <x:c r="C198" s="59" t="str">
        <x:v>ไม่ทราบ</x:v>
      </x:c>
      <x:c r="D198" s="59" t="str">
        <x:v>ไม่ทราบ</x:v>
      </x:c>
      <x:c r="E198" s="59" t="str">
        <x:v>ไม่ทราบ</x:v>
      </x:c>
      <x:c r="F198" s="59" t="str">
        <x:v>ไม่ทราบ</x:v>
      </x:c>
      <x:c r="G198" s="59" t="str">
        <x:v>ไม่ทราบ</x:v>
      </x:c>
      <x:c r="H198" s="59" t="str">
        <x:v>N/A</x:v>
      </x:c>
      <x:c r="I198" s="59"/>
      <x:c r="J198" s="59" t="str">
        <x:v>ไม่ทราบ</x:v>
      </x:c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  <x:c r="AA198" s="8" t="str">
        <x:f>IF(C198="ไม่ทราบ","",SUMIFS($K$7:$Z$7,K198:Z198,"&lt;&gt;N/A"))</x:f>
      </x:c>
      <x:c r="AB198" s="8" t="str">
        <x:f>IF(AND(OR(AND(C198="จำหน่ายอาหาร",ISNUMBER(K198),L198="N/A"),AND(C198="ไม่จำหน่ายอาหาร",K198="N/A",ISNUMBER(L198)),AND(C198="มัสยิด",K198="N/A",L198="N/A",X198="N/A")),COUNT(K198:Z198)+COUNTIFS(K198:Z198,"N/A")=16),SUM(K198:Z198),"")</x:f>
      </x:c>
      <x:c r="AC198" s="62" t="str">
        <x:f>IF(OR(AB198="",AA198&lt;=0),"",ROUND(AB198/AA198*100,1))</x:f>
      </x:c>
      <x:c r="AD198" s="8" t="str">
        <x:f>IF(COUNTIFS(D198:H198,"ไม่ผ่าน")&gt;0,"ไม่ผ่าน",IF(COUNTIFS(D198:H198,"ไม่ทราบ")+COUNTBLANK(D198:H198)&gt;0,"รอยืนยัน","ผ่าน"))</x:f>
        <x:v>รอยืนยัน</x:v>
      </x:c>
      <x:c r="AE198" s="8" t="str">
        <x:f>IF(AF198="ใช่","ไม่ผ่านการคัดเลือก",IF(AND(AD198="ผ่าน",ISNUMBER(AC198),AC198&gt;=70),"พร้อมขาย",IF(OR(J198="ใช่",AND(ISNUMBER(AC198),AC198&gt;=50)),"พัฒนาเพื่อพร้อมขาย",IF(AND(ISNUMBER(AC198),AC198&lt;50,I198&gt;=1),"มีศักยภาพ แต่ต้องพัฒนามาตรฐาน","รอประเมิน"))))</x:f>
        <x:v>รอประเมิน</x:v>
      </x:c>
      <x:c r="AF198" s="59" t="str">
        <x:v>ไม่ทราบ</x:v>
      </x:c>
      <x:c r="AG198" s="8" t="str">
        <x:f>IF(AF198="ใช่","หัวหน้าทีมพิจารณาเหตุไม่ผ่าน",IF(OR(AA198&lt;=0,NOT(OR(AND(C198="จำหน่ายอาหาร",ISNUMBER(K198),L198="N/A"),AND(C198="ไม่จำหน่ายอาหาร",K198="N/A",ISNUMBER(L198)),AND(C198="มัสยิด",K198="N/A",L198="N/A",X198="N/A"))),AD198="รอยืนยัน",COUNT(K198:Z198)+COUNTIFS(K198:Z198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8" s="59" t="str"/>
      <x:c r="AI198" s="61"/>
    </x:row>
    <x:row r="199" ht="60" customHeight="1">
      <x:c r="A199" s="2" t="str">
        <x:v>R26-037</x:v>
      </x:c>
      <x:c r="B199" s="8" t="str">
        <x:v>The Wonder Blue Classic Boathouse Ayutthaya</x:v>
      </x:c>
      <x:c r="C199" s="59" t="str">
        <x:v>ไม่ทราบ</x:v>
      </x:c>
      <x:c r="D199" s="59" t="str">
        <x:v>ไม่ทราบ</x:v>
      </x:c>
      <x:c r="E199" s="59" t="str">
        <x:v>ไม่ทราบ</x:v>
      </x:c>
      <x:c r="F199" s="59" t="str">
        <x:v>ไม่ทราบ</x:v>
      </x:c>
      <x:c r="G199" s="59" t="str">
        <x:v>ไม่ทราบ</x:v>
      </x:c>
      <x:c r="H199" s="59" t="str">
        <x:v>N/A</x:v>
      </x:c>
      <x:c r="I199" s="59"/>
      <x:c r="J199" s="59" t="str">
        <x:v>ไม่ทราบ</x:v>
      </x:c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  <x:c r="AA199" s="8" t="str">
        <x:f>IF(C199="ไม่ทราบ","",SUMIFS($K$7:$Z$7,K199:Z199,"&lt;&gt;N/A"))</x:f>
      </x:c>
      <x:c r="AB199" s="8" t="str">
        <x:f>IF(AND(OR(AND(C199="จำหน่ายอาหาร",ISNUMBER(K199),L199="N/A"),AND(C199="ไม่จำหน่ายอาหาร",K199="N/A",ISNUMBER(L199)),AND(C199="มัสยิด",K199="N/A",L199="N/A",X199="N/A")),COUNT(K199:Z199)+COUNTIFS(K199:Z199,"N/A")=16),SUM(K199:Z199),"")</x:f>
      </x:c>
      <x:c r="AC199" s="62" t="str">
        <x:f>IF(OR(AB199="",AA199&lt;=0),"",ROUND(AB199/AA199*100,1))</x:f>
      </x:c>
      <x:c r="AD199" s="8" t="str">
        <x:f>IF(COUNTIFS(D199:H199,"ไม่ผ่าน")&gt;0,"ไม่ผ่าน",IF(COUNTIFS(D199:H199,"ไม่ทราบ")+COUNTBLANK(D199:H199)&gt;0,"รอยืนยัน","ผ่าน"))</x:f>
        <x:v>รอยืนยัน</x:v>
      </x:c>
      <x:c r="AE199" s="8" t="str">
        <x:f>IF(AF199="ใช่","ไม่ผ่านการคัดเลือก",IF(AND(AD199="ผ่าน",ISNUMBER(AC199),AC199&gt;=70),"พร้อมขาย",IF(OR(J199="ใช่",AND(ISNUMBER(AC199),AC199&gt;=50)),"พัฒนาเพื่อพร้อมขาย",IF(AND(ISNUMBER(AC199),AC199&lt;50,I199&gt;=1),"มีศักยภาพ แต่ต้องพัฒนามาตรฐาน","รอประเมิน"))))</x:f>
        <x:v>รอประเมิน</x:v>
      </x:c>
      <x:c r="AF199" s="59" t="str">
        <x:v>ไม่ทราบ</x:v>
      </x:c>
      <x:c r="AG199" s="8" t="str">
        <x:f>IF(AF199="ใช่","หัวหน้าทีมพิจารณาเหตุไม่ผ่าน",IF(OR(AA199&lt;=0,NOT(OR(AND(C199="จำหน่ายอาหาร",ISNUMBER(K199),L199="N/A"),AND(C199="ไม่จำหน่ายอาหาร",K199="N/A",ISNUMBER(L199)),AND(C199="มัสยิด",K199="N/A",L199="N/A",X199="N/A"))),AD199="รอยืนยัน",COUNT(K199:Z199)+COUNTIFS(K199:Z199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199" s="59" t="str"/>
      <x:c r="AI199" s="61"/>
    </x:row>
    <x:row r="200" ht="60" customHeight="1">
      <x:c r="A200" s="2" t="str">
        <x:v>TMF-013</x:v>
      </x:c>
      <x:c r="B200" s="8" t="str">
        <x:v>ฮาลาล บ้านไม้</x:v>
      </x:c>
      <x:c r="C200" s="59" t="str">
        <x:v>จำหน่ายอาหาร</x:v>
      </x:c>
      <x:c r="D200" s="59" t="str">
        <x:v>ไม่ทราบ</x:v>
      </x:c>
      <x:c r="E200" s="59" t="str">
        <x:v>ไม่ทราบ</x:v>
      </x:c>
      <x:c r="F200" s="59" t="str">
        <x:v>ไม่ทราบ</x:v>
      </x:c>
      <x:c r="G200" s="59" t="str">
        <x:v>ไม่ทราบ</x:v>
      </x:c>
      <x:c r="H200" s="59" t="str">
        <x:v>N/A</x:v>
      </x:c>
      <x:c r="I200" s="59"/>
      <x:c r="J200" s="59" t="str">
        <x:v>ไม่ทราบ</x:v>
      </x:c>
      <x:c r="K200" s="59"/>
      <x:c r="L200" s="59" t="str">
        <x:v>N/A</x:v>
      </x:c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  <x:c r="AA200" s="8" t="n">
        <x:f>IF(C200="ไม่ทราบ","",SUMIFS($K$7:$Z$7,K200:Z200,"&lt;&gt;N/A"))</x:f>
        <x:v>100</x:v>
      </x:c>
      <x:c r="AB200" s="8" t="str">
        <x:f>IF(AND(OR(AND(C200="จำหน่ายอาหาร",ISNUMBER(K200),L200="N/A"),AND(C200="ไม่จำหน่ายอาหาร",K200="N/A",ISNUMBER(L200)),AND(C200="มัสยิด",K200="N/A",L200="N/A",X200="N/A")),COUNT(K200:Z200)+COUNTIFS(K200:Z200,"N/A")=16),SUM(K200:Z200),"")</x:f>
      </x:c>
      <x:c r="AC200" s="62" t="str">
        <x:f>IF(OR(AB200="",AA200&lt;=0),"",ROUND(AB200/AA200*100,1))</x:f>
      </x:c>
      <x:c r="AD200" s="8" t="str">
        <x:f>IF(COUNTIFS(D200:H200,"ไม่ผ่าน")&gt;0,"ไม่ผ่าน",IF(COUNTIFS(D200:H200,"ไม่ทราบ")+COUNTBLANK(D200:H200)&gt;0,"รอยืนยัน","ผ่าน"))</x:f>
        <x:v>รอยืนยัน</x:v>
      </x:c>
      <x:c r="AE200" s="8" t="str">
        <x:f>IF(AF200="ใช่","ไม่ผ่านการคัดเลือก",IF(AND(AD200="ผ่าน",ISNUMBER(AC200),AC200&gt;=70),"พร้อมขาย",IF(OR(J200="ใช่",AND(ISNUMBER(AC200),AC200&gt;=50)),"พัฒนาเพื่อพร้อมขาย",IF(AND(ISNUMBER(AC200),AC200&lt;50,I200&gt;=1),"มีศักยภาพ แต่ต้องพัฒนามาตรฐาน","รอประเมิน"))))</x:f>
        <x:v>รอประเมิน</x:v>
      </x:c>
      <x:c r="AF200" s="59" t="str">
        <x:v>ไม่ทราบ</x:v>
      </x:c>
      <x:c r="AG200" s="8" t="str">
        <x:f>IF(AF200="ใช่","หัวหน้าทีมพิจารณาเหตุไม่ผ่าน",IF(OR(AA200&lt;=0,NOT(OR(AND(C200="จำหน่ายอาหาร",ISNUMBER(K200),L200="N/A"),AND(C200="ไม่จำหน่ายอาหาร",K200="N/A",ISNUMBER(L200)),AND(C200="มัสยิด",K200="N/A",L200="N/A",X200="N/A"))),AD200="รอยืนยัน",COUNT(K200:Z200)+COUNTIFS(K200:Z200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0" s="59" t="str"/>
      <x:c r="AI200" s="61"/>
    </x:row>
    <x:row r="201" ht="60" customHeight="1">
      <x:c r="A201" s="2" t="str">
        <x:v>R26-042</x:v>
      </x:c>
      <x:c r="B201" s="8" t="str">
        <x:v>บ้านฮอลันดา</x:v>
      </x:c>
      <x:c r="C201" s="59" t="str">
        <x:v>ไม่ทราบ</x:v>
      </x:c>
      <x:c r="D201" s="59" t="str">
        <x:v>ไม่ทราบ</x:v>
      </x:c>
      <x:c r="E201" s="59" t="str">
        <x:v>ไม่ทราบ</x:v>
      </x:c>
      <x:c r="F201" s="59" t="str">
        <x:v>ไม่ทราบ</x:v>
      </x:c>
      <x:c r="G201" s="59" t="str">
        <x:v>ไม่ทราบ</x:v>
      </x:c>
      <x:c r="H201" s="59" t="str">
        <x:v>N/A</x:v>
      </x:c>
      <x:c r="I201" s="59"/>
      <x:c r="J201" s="59" t="str">
        <x:v>ไม่ทราบ</x:v>
      </x:c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  <x:c r="AA201" s="8" t="str">
        <x:f>IF(C201="ไม่ทราบ","",SUMIFS($K$7:$Z$7,K201:Z201,"&lt;&gt;N/A"))</x:f>
      </x:c>
      <x:c r="AB201" s="8" t="str">
        <x:f>IF(AND(OR(AND(C201="จำหน่ายอาหาร",ISNUMBER(K201),L201="N/A"),AND(C201="ไม่จำหน่ายอาหาร",K201="N/A",ISNUMBER(L201)),AND(C201="มัสยิด",K201="N/A",L201="N/A",X201="N/A")),COUNT(K201:Z201)+COUNTIFS(K201:Z201,"N/A")=16),SUM(K201:Z201),"")</x:f>
      </x:c>
      <x:c r="AC201" s="62" t="str">
        <x:f>IF(OR(AB201="",AA201&lt;=0),"",ROUND(AB201/AA201*100,1))</x:f>
      </x:c>
      <x:c r="AD201" s="8" t="str">
        <x:f>IF(COUNTIFS(D201:H201,"ไม่ผ่าน")&gt;0,"ไม่ผ่าน",IF(COUNTIFS(D201:H201,"ไม่ทราบ")+COUNTBLANK(D201:H201)&gt;0,"รอยืนยัน","ผ่าน"))</x:f>
        <x:v>รอยืนยัน</x:v>
      </x:c>
      <x:c r="AE201" s="8" t="str">
        <x:f>IF(AF201="ใช่","ไม่ผ่านการคัดเลือก",IF(AND(AD201="ผ่าน",ISNUMBER(AC201),AC201&gt;=70),"พร้อมขาย",IF(OR(J201="ใช่",AND(ISNUMBER(AC201),AC201&gt;=50)),"พัฒนาเพื่อพร้อมขาย",IF(AND(ISNUMBER(AC201),AC201&lt;50,I201&gt;=1),"มีศักยภาพ แต่ต้องพัฒนามาตรฐาน","รอประเมิน"))))</x:f>
        <x:v>รอประเมิน</x:v>
      </x:c>
      <x:c r="AF201" s="59" t="str">
        <x:v>ไม่ทราบ</x:v>
      </x:c>
      <x:c r="AG201" s="8" t="str">
        <x:f>IF(AF201="ใช่","หัวหน้าทีมพิจารณาเหตุไม่ผ่าน",IF(OR(AA201&lt;=0,NOT(OR(AND(C201="จำหน่ายอาหาร",ISNUMBER(K201),L201="N/A"),AND(C201="ไม่จำหน่ายอาหาร",K201="N/A",ISNUMBER(L201)),AND(C201="มัสยิด",K201="N/A",L201="N/A",X201="N/A"))),AD201="รอยืนยัน",COUNT(K201:Z201)+COUNTIFS(K201:Z201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1" s="59" t="str"/>
      <x:c r="AI201" s="61"/>
    </x:row>
    <x:row r="202" ht="60" customHeight="1">
      <x:c r="A202" s="2" t="str">
        <x:v>R26-041</x:v>
      </x:c>
      <x:c r="B202" s="8" t="str">
        <x:v>หมู่บ้านญี่ปุ่น อยุธยา</x:v>
      </x:c>
      <x:c r="C202" s="59" t="str">
        <x:v>ไม่ทราบ</x:v>
      </x:c>
      <x:c r="D202" s="59" t="str">
        <x:v>ไม่ทราบ</x:v>
      </x:c>
      <x:c r="E202" s="59" t="str">
        <x:v>ไม่ทราบ</x:v>
      </x:c>
      <x:c r="F202" s="59" t="str">
        <x:v>ไม่ทราบ</x:v>
      </x:c>
      <x:c r="G202" s="59" t="str">
        <x:v>ไม่ทราบ</x:v>
      </x:c>
      <x:c r="H202" s="59" t="str">
        <x:v>N/A</x:v>
      </x:c>
      <x:c r="I202" s="59"/>
      <x:c r="J202" s="59" t="str">
        <x:v>ไม่ทราบ</x:v>
      </x:c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  <x:c r="AA202" s="8" t="str">
        <x:f>IF(C202="ไม่ทราบ","",SUMIFS($K$7:$Z$7,K202:Z202,"&lt;&gt;N/A"))</x:f>
      </x:c>
      <x:c r="AB202" s="8" t="str">
        <x:f>IF(AND(OR(AND(C202="จำหน่ายอาหาร",ISNUMBER(K202),L202="N/A"),AND(C202="ไม่จำหน่ายอาหาร",K202="N/A",ISNUMBER(L202)),AND(C202="มัสยิด",K202="N/A",L202="N/A",X202="N/A")),COUNT(K202:Z202)+COUNTIFS(K202:Z202,"N/A")=16),SUM(K202:Z202),"")</x:f>
      </x:c>
      <x:c r="AC202" s="62" t="str">
        <x:f>IF(OR(AB202="",AA202&lt;=0),"",ROUND(AB202/AA202*100,1))</x:f>
      </x:c>
      <x:c r="AD202" s="8" t="str">
        <x:f>IF(COUNTIFS(D202:H202,"ไม่ผ่าน")&gt;0,"ไม่ผ่าน",IF(COUNTIFS(D202:H202,"ไม่ทราบ")+COUNTBLANK(D202:H202)&gt;0,"รอยืนยัน","ผ่าน"))</x:f>
        <x:v>รอยืนยัน</x:v>
      </x:c>
      <x:c r="AE202" s="8" t="str">
        <x:f>IF(AF202="ใช่","ไม่ผ่านการคัดเลือก",IF(AND(AD202="ผ่าน",ISNUMBER(AC202),AC202&gt;=70),"พร้อมขาย",IF(OR(J202="ใช่",AND(ISNUMBER(AC202),AC202&gt;=50)),"พัฒนาเพื่อพร้อมขาย",IF(AND(ISNUMBER(AC202),AC202&lt;50,I202&gt;=1),"มีศักยภาพ แต่ต้องพัฒนามาตรฐาน","รอประเมิน"))))</x:f>
        <x:v>รอประเมิน</x:v>
      </x:c>
      <x:c r="AF202" s="59" t="str">
        <x:v>ไม่ทราบ</x:v>
      </x:c>
      <x:c r="AG202" s="8" t="str">
        <x:f>IF(AF202="ใช่","หัวหน้าทีมพิจารณาเหตุไม่ผ่าน",IF(OR(AA202&lt;=0,NOT(OR(AND(C202="จำหน่ายอาหาร",ISNUMBER(K202),L202="N/A"),AND(C202="ไม่จำหน่ายอาหาร",K202="N/A",ISNUMBER(L202)),AND(C202="มัสยิด",K202="N/A",L202="N/A",X202="N/A"))),AD202="รอยืนยัน",COUNT(K202:Z202)+COUNTIFS(K202:Z202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2" s="59" t="str"/>
      <x:c r="AI202" s="61"/>
    </x:row>
    <x:row r="203" ht="60" customHeight="1">
      <x:c r="A203" s="2" t="str">
        <x:v>R26-043</x:v>
      </x:c>
      <x:c r="B203" s="8" t="str">
        <x:v>หมู่บ้านโปรตุเกส อยุธยา</x:v>
      </x:c>
      <x:c r="C203" s="59" t="str">
        <x:v>ไม่ทราบ</x:v>
      </x:c>
      <x:c r="D203" s="59" t="str">
        <x:v>ไม่ทราบ</x:v>
      </x:c>
      <x:c r="E203" s="59" t="str">
        <x:v>ไม่ทราบ</x:v>
      </x:c>
      <x:c r="F203" s="59" t="str">
        <x:v>ไม่ทราบ</x:v>
      </x:c>
      <x:c r="G203" s="59" t="str">
        <x:v>ไม่ทราบ</x:v>
      </x:c>
      <x:c r="H203" s="59" t="str">
        <x:v>N/A</x:v>
      </x:c>
      <x:c r="I203" s="59"/>
      <x:c r="J203" s="59" t="str">
        <x:v>ไม่ทราบ</x:v>
      </x:c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  <x:c r="AA203" s="8" t="str">
        <x:f>IF(C203="ไม่ทราบ","",SUMIFS($K$7:$Z$7,K203:Z203,"&lt;&gt;N/A"))</x:f>
      </x:c>
      <x:c r="AB203" s="8" t="str">
        <x:f>IF(AND(OR(AND(C203="จำหน่ายอาหาร",ISNUMBER(K203),L203="N/A"),AND(C203="ไม่จำหน่ายอาหาร",K203="N/A",ISNUMBER(L203)),AND(C203="มัสยิด",K203="N/A",L203="N/A",X203="N/A")),COUNT(K203:Z203)+COUNTIFS(K203:Z203,"N/A")=16),SUM(K203:Z203),"")</x:f>
      </x:c>
      <x:c r="AC203" s="62" t="str">
        <x:f>IF(OR(AB203="",AA203&lt;=0),"",ROUND(AB203/AA203*100,1))</x:f>
      </x:c>
      <x:c r="AD203" s="8" t="str">
        <x:f>IF(COUNTIFS(D203:H203,"ไม่ผ่าน")&gt;0,"ไม่ผ่าน",IF(COUNTIFS(D203:H203,"ไม่ทราบ")+COUNTBLANK(D203:H203)&gt;0,"รอยืนยัน","ผ่าน"))</x:f>
        <x:v>รอยืนยัน</x:v>
      </x:c>
      <x:c r="AE203" s="8" t="str">
        <x:f>IF(AF203="ใช่","ไม่ผ่านการคัดเลือก",IF(AND(AD203="ผ่าน",ISNUMBER(AC203),AC203&gt;=70),"พร้อมขาย",IF(OR(J203="ใช่",AND(ISNUMBER(AC203),AC203&gt;=50)),"พัฒนาเพื่อพร้อมขาย",IF(AND(ISNUMBER(AC203),AC203&lt;50,I203&gt;=1),"มีศักยภาพ แต่ต้องพัฒนามาตรฐาน","รอประเมิน"))))</x:f>
        <x:v>รอประเมิน</x:v>
      </x:c>
      <x:c r="AF203" s="59" t="str">
        <x:v>ไม่ทราบ</x:v>
      </x:c>
      <x:c r="AG203" s="8" t="str">
        <x:f>IF(AF203="ใช่","หัวหน้าทีมพิจารณาเหตุไม่ผ่าน",IF(OR(AA203&lt;=0,NOT(OR(AND(C203="จำหน่ายอาหาร",ISNUMBER(K203),L203="N/A"),AND(C203="ไม่จำหน่ายอาหาร",K203="N/A",ISNUMBER(L203)),AND(C203="มัสยิด",K203="N/A",L203="N/A",X203="N/A"))),AD203="รอยืนยัน",COUNT(K203:Z203)+COUNTIFS(K203:Z203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3" s="59" t="str"/>
      <x:c r="AI203" s="61"/>
    </x:row>
    <x:row r="204" ht="60" customHeight="1">
      <x:c r="A204" s="2" t="str">
        <x:v>R26-039</x:v>
      </x:c>
      <x:c r="B204" s="8" t="str">
        <x:v>อนุสรณ์สถานท่านเฉกอะหมัด</x:v>
      </x:c>
      <x:c r="C204" s="59" t="str">
        <x:v>ไม่ทราบ</x:v>
      </x:c>
      <x:c r="D204" s="59" t="str">
        <x:v>ไม่ทราบ</x:v>
      </x:c>
      <x:c r="E204" s="59" t="str">
        <x:v>ไม่ทราบ</x:v>
      </x:c>
      <x:c r="F204" s="59" t="str">
        <x:v>ไม่ทราบ</x:v>
      </x:c>
      <x:c r="G204" s="59" t="str">
        <x:v>ไม่ทราบ</x:v>
      </x:c>
      <x:c r="H204" s="59" t="str">
        <x:v>N/A</x:v>
      </x:c>
      <x:c r="I204" s="59"/>
      <x:c r="J204" s="59" t="str">
        <x:v>ไม่ทราบ</x:v>
      </x:c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  <x:c r="AA204" s="8" t="str">
        <x:f>IF(C204="ไม่ทราบ","",SUMIFS($K$7:$Z$7,K204:Z204,"&lt;&gt;N/A"))</x:f>
      </x:c>
      <x:c r="AB204" s="8" t="str">
        <x:f>IF(AND(OR(AND(C204="จำหน่ายอาหาร",ISNUMBER(K204),L204="N/A"),AND(C204="ไม่จำหน่ายอาหาร",K204="N/A",ISNUMBER(L204)),AND(C204="มัสยิด",K204="N/A",L204="N/A",X204="N/A")),COUNT(K204:Z204)+COUNTIFS(K204:Z204,"N/A")=16),SUM(K204:Z204),"")</x:f>
      </x:c>
      <x:c r="AC204" s="62" t="str">
        <x:f>IF(OR(AB204="",AA204&lt;=0),"",ROUND(AB204/AA204*100,1))</x:f>
      </x:c>
      <x:c r="AD204" s="8" t="str">
        <x:f>IF(COUNTIFS(D204:H204,"ไม่ผ่าน")&gt;0,"ไม่ผ่าน",IF(COUNTIFS(D204:H204,"ไม่ทราบ")+COUNTBLANK(D204:H204)&gt;0,"รอยืนยัน","ผ่าน"))</x:f>
        <x:v>รอยืนยัน</x:v>
      </x:c>
      <x:c r="AE204" s="8" t="str">
        <x:f>IF(AF204="ใช่","ไม่ผ่านการคัดเลือก",IF(AND(AD204="ผ่าน",ISNUMBER(AC204),AC204&gt;=70),"พร้อมขาย",IF(OR(J204="ใช่",AND(ISNUMBER(AC204),AC204&gt;=50)),"พัฒนาเพื่อพร้อมขาย",IF(AND(ISNUMBER(AC204),AC204&lt;50,I204&gt;=1),"มีศักยภาพ แต่ต้องพัฒนามาตรฐาน","รอประเมิน"))))</x:f>
        <x:v>รอประเมิน</x:v>
      </x:c>
      <x:c r="AF204" s="59" t="str">
        <x:v>ไม่ทราบ</x:v>
      </x:c>
      <x:c r="AG204" s="8" t="str">
        <x:f>IF(AF204="ใช่","หัวหน้าทีมพิจารณาเหตุไม่ผ่าน",IF(OR(AA204&lt;=0,NOT(OR(AND(C204="จำหน่ายอาหาร",ISNUMBER(K204),L204="N/A"),AND(C204="ไม่จำหน่ายอาหาร",K204="N/A",ISNUMBER(L204)),AND(C204="มัสยิด",K204="N/A",L204="N/A",X204="N/A"))),AD204="รอยืนยัน",COUNT(K204:Z204)+COUNTIFS(K204:Z204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4" s="59" t="str"/>
      <x:c r="AI204" s="61"/>
    </x:row>
    <x:row r="205" ht="60" customHeight="1">
      <x:c r="A205" s="2" t="str">
        <x:v>R26-040</x:v>
      </x:c>
      <x:c r="B205" s="8" t="str">
        <x:v>ชุมชนสำเภาล่ม</x:v>
      </x:c>
      <x:c r="C205" s="59" t="str">
        <x:v>ไม่ทราบ</x:v>
      </x:c>
      <x:c r="D205" s="59" t="str">
        <x:v>ไม่ทราบ</x:v>
      </x:c>
      <x:c r="E205" s="59" t="str">
        <x:v>ไม่ทราบ</x:v>
      </x:c>
      <x:c r="F205" s="59" t="str">
        <x:v>ไม่ทราบ</x:v>
      </x:c>
      <x:c r="G205" s="59" t="str">
        <x:v>ไม่ทราบ</x:v>
      </x:c>
      <x:c r="H205" s="59" t="str">
        <x:v>N/A</x:v>
      </x:c>
      <x:c r="I205" s="59"/>
      <x:c r="J205" s="59" t="str">
        <x:v>ไม่ทราบ</x:v>
      </x:c>
      <x:c r="K205" s="59"/>
      <x:c r="L205" s="59"/>
      <x:c r="M205" s="59"/>
      <x:c r="N205" s="59"/>
      <x:c r="O205" s="59"/>
      <x:c r="P205" s="59"/>
      <x:c r="Q205" s="59"/>
      <x:c r="R205" s="59"/>
      <x:c r="S205" s="59"/>
      <x:c r="T205" s="59"/>
      <x:c r="U205" s="59"/>
      <x:c r="V205" s="59"/>
      <x:c r="W205" s="59"/>
      <x:c r="X205" s="59"/>
      <x:c r="Y205" s="59"/>
      <x:c r="Z205" s="59"/>
      <x:c r="AA205" s="8" t="str">
        <x:f>IF(C205="ไม่ทราบ","",SUMIFS($K$7:$Z$7,K205:Z205,"&lt;&gt;N/A"))</x:f>
      </x:c>
      <x:c r="AB205" s="8" t="str">
        <x:f>IF(AND(OR(AND(C205="จำหน่ายอาหาร",ISNUMBER(K205),L205="N/A"),AND(C205="ไม่จำหน่ายอาหาร",K205="N/A",ISNUMBER(L205)),AND(C205="มัสยิด",K205="N/A",L205="N/A",X205="N/A")),COUNT(K205:Z205)+COUNTIFS(K205:Z205,"N/A")=16),SUM(K205:Z205),"")</x:f>
      </x:c>
      <x:c r="AC205" s="62" t="str">
        <x:f>IF(OR(AB205="",AA205&lt;=0),"",ROUND(AB205/AA205*100,1))</x:f>
      </x:c>
      <x:c r="AD205" s="8" t="str">
        <x:f>IF(COUNTIFS(D205:H205,"ไม่ผ่าน")&gt;0,"ไม่ผ่าน",IF(COUNTIFS(D205:H205,"ไม่ทราบ")+COUNTBLANK(D205:H205)&gt;0,"รอยืนยัน","ผ่าน"))</x:f>
        <x:v>รอยืนยัน</x:v>
      </x:c>
      <x:c r="AE205" s="8" t="str">
        <x:f>IF(AF205="ใช่","ไม่ผ่านการคัดเลือก",IF(AND(AD205="ผ่าน",ISNUMBER(AC205),AC205&gt;=70),"พร้อมขาย",IF(OR(J205="ใช่",AND(ISNUMBER(AC205),AC205&gt;=50)),"พัฒนาเพื่อพร้อมขาย",IF(AND(ISNUMBER(AC205),AC205&lt;50,I205&gt;=1),"มีศักยภาพ แต่ต้องพัฒนามาตรฐาน","รอประเมิน"))))</x:f>
        <x:v>รอประเมิน</x:v>
      </x:c>
      <x:c r="AF205" s="59" t="str">
        <x:v>ไม่ทราบ</x:v>
      </x:c>
      <x:c r="AG205" s="8" t="str">
        <x:f>IF(AF205="ใช่","หัวหน้าทีมพิจารณาเหตุไม่ผ่าน",IF(OR(AA205&lt;=0,NOT(OR(AND(C205="จำหน่ายอาหาร",ISNUMBER(K205),L205="N/A"),AND(C205="ไม่จำหน่ายอาหาร",K205="N/A",ISNUMBER(L205)),AND(C205="มัสยิด",K205="N/A",L205="N/A",X205="N/A"))),AD205="รอยืนยัน",COUNT(K205:Z205)+COUNTIFS(K205:Z205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5" s="59" t="str"/>
      <x:c r="AI205" s="61"/>
    </x:row>
    <x:row r="206" ht="60" customHeight="1">
      <x:c r="A206" s="2" t="str">
        <x:v>R26-045</x:v>
      </x:c>
      <x:c r="B206" s="8" t="str">
        <x:v>ศูนย์ศิลปาชีพบางไทร</x:v>
      </x:c>
      <x:c r="C206" s="59" t="str">
        <x:v>ไม่ทราบ</x:v>
      </x:c>
      <x:c r="D206" s="59" t="str">
        <x:v>ไม่ทราบ</x:v>
      </x:c>
      <x:c r="E206" s="59" t="str">
        <x:v>ไม่ทราบ</x:v>
      </x:c>
      <x:c r="F206" s="59" t="str">
        <x:v>ไม่ทราบ</x:v>
      </x:c>
      <x:c r="G206" s="59" t="str">
        <x:v>ไม่ทราบ</x:v>
      </x:c>
      <x:c r="H206" s="59" t="str">
        <x:v>N/A</x:v>
      </x:c>
      <x:c r="I206" s="59"/>
      <x:c r="J206" s="59" t="str">
        <x:v>ไม่ทราบ</x:v>
      </x:c>
      <x:c r="K206" s="59"/>
      <x:c r="L206" s="59"/>
      <x:c r="M206" s="59"/>
      <x:c r="N206" s="59"/>
      <x:c r="O206" s="59"/>
      <x:c r="P206" s="59"/>
      <x:c r="Q206" s="59"/>
      <x:c r="R206" s="59"/>
      <x:c r="S206" s="59"/>
      <x:c r="T206" s="59"/>
      <x:c r="U206" s="59"/>
      <x:c r="V206" s="59"/>
      <x:c r="W206" s="59"/>
      <x:c r="X206" s="59"/>
      <x:c r="Y206" s="59"/>
      <x:c r="Z206" s="59"/>
      <x:c r="AA206" s="8" t="str">
        <x:f>IF(C206="ไม่ทราบ","",SUMIFS($K$7:$Z$7,K206:Z206,"&lt;&gt;N/A"))</x:f>
      </x:c>
      <x:c r="AB206" s="8" t="str">
        <x:f>IF(AND(OR(AND(C206="จำหน่ายอาหาร",ISNUMBER(K206),L206="N/A"),AND(C206="ไม่จำหน่ายอาหาร",K206="N/A",ISNUMBER(L206)),AND(C206="มัสยิด",K206="N/A",L206="N/A",X206="N/A")),COUNT(K206:Z206)+COUNTIFS(K206:Z206,"N/A")=16),SUM(K206:Z206),"")</x:f>
      </x:c>
      <x:c r="AC206" s="62" t="str">
        <x:f>IF(OR(AB206="",AA206&lt;=0),"",ROUND(AB206/AA206*100,1))</x:f>
      </x:c>
      <x:c r="AD206" s="8" t="str">
        <x:f>IF(COUNTIFS(D206:H206,"ไม่ผ่าน")&gt;0,"ไม่ผ่าน",IF(COUNTIFS(D206:H206,"ไม่ทราบ")+COUNTBLANK(D206:H206)&gt;0,"รอยืนยัน","ผ่าน"))</x:f>
        <x:v>รอยืนยัน</x:v>
      </x:c>
      <x:c r="AE206" s="8" t="str">
        <x:f>IF(AF206="ใช่","ไม่ผ่านการคัดเลือก",IF(AND(AD206="ผ่าน",ISNUMBER(AC206),AC206&gt;=70),"พร้อมขาย",IF(OR(J206="ใช่",AND(ISNUMBER(AC206),AC206&gt;=50)),"พัฒนาเพื่อพร้อมขาย",IF(AND(ISNUMBER(AC206),AC206&lt;50,I206&gt;=1),"มีศักยภาพ แต่ต้องพัฒนามาตรฐาน","รอประเมิน"))))</x:f>
        <x:v>รอประเมิน</x:v>
      </x:c>
      <x:c r="AF206" s="59" t="str">
        <x:v>ไม่ทราบ</x:v>
      </x:c>
      <x:c r="AG206" s="8" t="str">
        <x:f>IF(AF206="ใช่","หัวหน้าทีมพิจารณาเหตุไม่ผ่าน",IF(OR(AA206&lt;=0,NOT(OR(AND(C206="จำหน่ายอาหาร",ISNUMBER(K206),L206="N/A"),AND(C206="ไม่จำหน่ายอาหาร",K206="N/A",ISNUMBER(L206)),AND(C206="มัสยิด",K206="N/A",L206="N/A",X206="N/A"))),AD206="รอยืนยัน",COUNT(K206:Z206)+COUNTIFS(K206:Z206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6" s="59" t="str"/>
      <x:c r="AI206" s="61"/>
    </x:row>
    <x:row r="207" ht="60" customHeight="1">
      <x:c r="A207" s="2" t="str">
        <x:v>R26-368</x:v>
      </x:c>
      <x:c r="B207" s="8" t="str">
        <x:v>Classic Kameo Hotel Ayutthaya</x:v>
      </x:c>
      <x:c r="C207" s="59" t="str">
        <x:v>ไม่ทราบ</x:v>
      </x:c>
      <x:c r="D207" s="59" t="str">
        <x:v>ไม่ทราบ</x:v>
      </x:c>
      <x:c r="E207" s="59" t="str">
        <x:v>ไม่ทราบ</x:v>
      </x:c>
      <x:c r="F207" s="59" t="str">
        <x:v>ไม่ทราบ</x:v>
      </x:c>
      <x:c r="G207" s="59" t="str">
        <x:v>ไม่ทราบ</x:v>
      </x:c>
      <x:c r="H207" s="59" t="str">
        <x:v>ไม่ทราบ</x:v>
      </x:c>
      <x:c r="I207" s="59"/>
      <x:c r="J207" s="59" t="str">
        <x:v>ไม่ทราบ</x:v>
      </x:c>
      <x:c r="K207" s="59"/>
      <x:c r="L207" s="59"/>
      <x:c r="M207" s="59"/>
      <x:c r="N207" s="59"/>
      <x:c r="O207" s="59"/>
      <x:c r="P207" s="59"/>
      <x:c r="Q207" s="59"/>
      <x:c r="R207" s="59"/>
      <x:c r="S207" s="59"/>
      <x:c r="T207" s="59"/>
      <x:c r="U207" s="59"/>
      <x:c r="V207" s="59"/>
      <x:c r="W207" s="59"/>
      <x:c r="X207" s="59"/>
      <x:c r="Y207" s="59"/>
      <x:c r="Z207" s="59"/>
      <x:c r="AA207" s="8" t="str">
        <x:f>IF(C207="ไม่ทราบ","",SUMIFS($K$7:$Z$7,K207:Z207,"&lt;&gt;N/A"))</x:f>
      </x:c>
      <x:c r="AB207" s="8" t="str">
        <x:f>IF(AND(OR(AND(C207="จำหน่ายอาหาร",ISNUMBER(K207),L207="N/A"),AND(C207="ไม่จำหน่ายอาหาร",K207="N/A",ISNUMBER(L207)),AND(C207="มัสยิด",K207="N/A",L207="N/A",X207="N/A")),COUNT(K207:Z207)+COUNTIFS(K207:Z207,"N/A")=16),SUM(K207:Z207),"")</x:f>
      </x:c>
      <x:c r="AC207" s="62" t="str">
        <x:f>IF(OR(AB207="",AA207&lt;=0),"",ROUND(AB207/AA207*100,1))</x:f>
      </x:c>
      <x:c r="AD207" s="8" t="str">
        <x:f>IF(COUNTIFS(D207:H207,"ไม่ผ่าน")&gt;0,"ไม่ผ่าน",IF(COUNTIFS(D207:H207,"ไม่ทราบ")+COUNTBLANK(D207:H207)&gt;0,"รอยืนยัน","ผ่าน"))</x:f>
        <x:v>รอยืนยัน</x:v>
      </x:c>
      <x:c r="AE207" s="8" t="str">
        <x:f>IF(AF207="ใช่","ไม่ผ่านการคัดเลือก",IF(AND(AD207="ผ่าน",ISNUMBER(AC207),AC207&gt;=70),"พร้อมขาย",IF(OR(J207="ใช่",AND(ISNUMBER(AC207),AC207&gt;=50)),"พัฒนาเพื่อพร้อมขาย",IF(AND(ISNUMBER(AC207),AC207&lt;50,I207&gt;=1),"มีศักยภาพ แต่ต้องพัฒนามาตรฐาน","รอประเมิน"))))</x:f>
        <x:v>รอประเมิน</x:v>
      </x:c>
      <x:c r="AF207" s="59" t="str">
        <x:v>ไม่ทราบ</x:v>
      </x:c>
      <x:c r="AG207" s="8" t="str">
        <x:f>IF(AF207="ใช่","หัวหน้าทีมพิจารณาเหตุไม่ผ่าน",IF(OR(AA207&lt;=0,NOT(OR(AND(C207="จำหน่ายอาหาร",ISNUMBER(K207),L207="N/A"),AND(C207="ไม่จำหน่ายอาหาร",K207="N/A",ISNUMBER(L207)),AND(C207="มัสยิด",K207="N/A",L207="N/A",X207="N/A"))),AD207="รอยืนยัน",COUNT(K207:Z207)+COUNTIFS(K207:Z207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7" s="59" t="str"/>
      <x:c r="AI207" s="61"/>
    </x:row>
    <x:row r="208" ht="60" customHeight="1">
      <x:c r="A208" s="2" t="str">
        <x:v>R26-367</x:v>
      </x:c>
      <x:c r="B208" s="8" t="str">
        <x:v>Kantary Hotel Ayutthaya</x:v>
      </x:c>
      <x:c r="C208" s="59" t="str">
        <x:v>ไม่ทราบ</x:v>
      </x:c>
      <x:c r="D208" s="59" t="str">
        <x:v>ไม่ทราบ</x:v>
      </x:c>
      <x:c r="E208" s="59" t="str">
        <x:v>ไม่ทราบ</x:v>
      </x:c>
      <x:c r="F208" s="59" t="str">
        <x:v>ไม่ทราบ</x:v>
      </x:c>
      <x:c r="G208" s="59" t="str">
        <x:v>ไม่ทราบ</x:v>
      </x:c>
      <x:c r="H208" s="59" t="str">
        <x:v>ไม่ทราบ</x:v>
      </x:c>
      <x:c r="I208" s="59"/>
      <x:c r="J208" s="59" t="str">
        <x:v>ไม่ทราบ</x:v>
      </x:c>
      <x:c r="K208" s="59"/>
      <x:c r="L208" s="59"/>
      <x:c r="M208" s="59"/>
      <x:c r="N208" s="59"/>
      <x:c r="O208" s="59"/>
      <x:c r="P208" s="59"/>
      <x:c r="Q208" s="59"/>
      <x:c r="R208" s="59"/>
      <x:c r="S208" s="59"/>
      <x:c r="T208" s="59"/>
      <x:c r="U208" s="59"/>
      <x:c r="V208" s="59"/>
      <x:c r="W208" s="59"/>
      <x:c r="X208" s="59"/>
      <x:c r="Y208" s="59"/>
      <x:c r="Z208" s="59"/>
      <x:c r="AA208" s="8" t="str">
        <x:f>IF(C208="ไม่ทราบ","",SUMIFS($K$7:$Z$7,K208:Z208,"&lt;&gt;N/A"))</x:f>
      </x:c>
      <x:c r="AB208" s="8" t="str">
        <x:f>IF(AND(OR(AND(C208="จำหน่ายอาหาร",ISNUMBER(K208),L208="N/A"),AND(C208="ไม่จำหน่ายอาหาร",K208="N/A",ISNUMBER(L208)),AND(C208="มัสยิด",K208="N/A",L208="N/A",X208="N/A")),COUNT(K208:Z208)+COUNTIFS(K208:Z208,"N/A")=16),SUM(K208:Z208),"")</x:f>
      </x:c>
      <x:c r="AC208" s="62" t="str">
        <x:f>IF(OR(AB208="",AA208&lt;=0),"",ROUND(AB208/AA208*100,1))</x:f>
      </x:c>
      <x:c r="AD208" s="8" t="str">
        <x:f>IF(COUNTIFS(D208:H208,"ไม่ผ่าน")&gt;0,"ไม่ผ่าน",IF(COUNTIFS(D208:H208,"ไม่ทราบ")+COUNTBLANK(D208:H208)&gt;0,"รอยืนยัน","ผ่าน"))</x:f>
        <x:v>รอยืนยัน</x:v>
      </x:c>
      <x:c r="AE208" s="8" t="str">
        <x:f>IF(AF208="ใช่","ไม่ผ่านการคัดเลือก",IF(AND(AD208="ผ่าน",ISNUMBER(AC208),AC208&gt;=70),"พร้อมขาย",IF(OR(J208="ใช่",AND(ISNUMBER(AC208),AC208&gt;=50)),"พัฒนาเพื่อพร้อมขาย",IF(AND(ISNUMBER(AC208),AC208&lt;50,I208&gt;=1),"มีศักยภาพ แต่ต้องพัฒนามาตรฐาน","รอประเมิน"))))</x:f>
        <x:v>รอประเมิน</x:v>
      </x:c>
      <x:c r="AF208" s="59" t="str">
        <x:v>ไม่ทราบ</x:v>
      </x:c>
      <x:c r="AG208" s="8" t="str">
        <x:f>IF(AF208="ใช่","หัวหน้าทีมพิจารณาเหตุไม่ผ่าน",IF(OR(AA208&lt;=0,NOT(OR(AND(C208="จำหน่ายอาหาร",ISNUMBER(K208),L208="N/A"),AND(C208="ไม่จำหน่ายอาหาร",K208="N/A",ISNUMBER(L208)),AND(C208="มัสยิด",K208="N/A",L208="N/A",X208="N/A"))),AD208="รอยืนยัน",COUNT(K208:Z208)+COUNTIFS(K208:Z208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8" s="59" t="str"/>
      <x:c r="AI208" s="61"/>
    </x:row>
    <x:row r="209" ht="60" customHeight="1">
      <x:c r="A209" s="2" t="str">
        <x:v>TMF-423</x:v>
      </x:c>
      <x:c r="B209" s="8" t="str">
        <x:v>ก๋วยเตี๋ยวเนื้อเปื่อย ฮาลาล ตลาดรุ่งเจริญ</x:v>
      </x:c>
      <x:c r="C209" s="59" t="str">
        <x:v>จำหน่ายอาหาร</x:v>
      </x:c>
      <x:c r="D209" s="59" t="str">
        <x:v>ไม่ทราบ</x:v>
      </x:c>
      <x:c r="E209" s="59" t="str">
        <x:v>ไม่ทราบ</x:v>
      </x:c>
      <x:c r="F209" s="59" t="str">
        <x:v>ไม่ทราบ</x:v>
      </x:c>
      <x:c r="G209" s="59" t="str">
        <x:v>ไม่ทราบ</x:v>
      </x:c>
      <x:c r="H209" s="59" t="str">
        <x:v>N/A</x:v>
      </x:c>
      <x:c r="I209" s="59"/>
      <x:c r="J209" s="59" t="str">
        <x:v>ไม่ทราบ</x:v>
      </x:c>
      <x:c r="K209" s="59"/>
      <x:c r="L209" s="59" t="str">
        <x:v>N/A</x:v>
      </x:c>
      <x:c r="M209" s="59"/>
      <x:c r="N209" s="59"/>
      <x:c r="O209" s="59"/>
      <x:c r="P209" s="59"/>
      <x:c r="Q209" s="59"/>
      <x:c r="R209" s="59"/>
      <x:c r="S209" s="59"/>
      <x:c r="T209" s="59"/>
      <x:c r="U209" s="59"/>
      <x:c r="V209" s="59"/>
      <x:c r="W209" s="59"/>
      <x:c r="X209" s="59"/>
      <x:c r="Y209" s="59"/>
      <x:c r="Z209" s="59"/>
      <x:c r="AA209" s="8" t="n">
        <x:f>IF(C209="ไม่ทราบ","",SUMIFS($K$7:$Z$7,K209:Z209,"&lt;&gt;N/A"))</x:f>
        <x:v>100</x:v>
      </x:c>
      <x:c r="AB209" s="8" t="str">
        <x:f>IF(AND(OR(AND(C209="จำหน่ายอาหาร",ISNUMBER(K209),L209="N/A"),AND(C209="ไม่จำหน่ายอาหาร",K209="N/A",ISNUMBER(L209)),AND(C209="มัสยิด",K209="N/A",L209="N/A",X209="N/A")),COUNT(K209:Z209)+COUNTIFS(K209:Z209,"N/A")=16),SUM(K209:Z209),"")</x:f>
      </x:c>
      <x:c r="AC209" s="62" t="str">
        <x:f>IF(OR(AB209="",AA209&lt;=0),"",ROUND(AB209/AA209*100,1))</x:f>
      </x:c>
      <x:c r="AD209" s="8" t="str">
        <x:f>IF(COUNTIFS(D209:H209,"ไม่ผ่าน")&gt;0,"ไม่ผ่าน",IF(COUNTIFS(D209:H209,"ไม่ทราบ")+COUNTBLANK(D209:H209)&gt;0,"รอยืนยัน","ผ่าน"))</x:f>
        <x:v>รอยืนยัน</x:v>
      </x:c>
      <x:c r="AE209" s="8" t="str">
        <x:f>IF(AF209="ใช่","ไม่ผ่านการคัดเลือก",IF(AND(AD209="ผ่าน",ISNUMBER(AC209),AC209&gt;=70),"พร้อมขาย",IF(OR(J209="ใช่",AND(ISNUMBER(AC209),AC209&gt;=50)),"พัฒนาเพื่อพร้อมขาย",IF(AND(ISNUMBER(AC209),AC209&lt;50,I209&gt;=1),"มีศักยภาพ แต่ต้องพัฒนามาตรฐาน","รอประเมิน"))))</x:f>
        <x:v>รอประเมิน</x:v>
      </x:c>
      <x:c r="AF209" s="59" t="str">
        <x:v>ไม่ทราบ</x:v>
      </x:c>
      <x:c r="AG209" s="8" t="str">
        <x:f>IF(AF209="ใช่","หัวหน้าทีมพิจารณาเหตุไม่ผ่าน",IF(OR(AA209&lt;=0,NOT(OR(AND(C209="จำหน่ายอาหาร",ISNUMBER(K209),L209="N/A"),AND(C209="ไม่จำหน่ายอาหาร",K209="N/A",ISNUMBER(L209)),AND(C209="มัสยิด",K209="N/A",L209="N/A",X209="N/A"))),AD209="รอยืนยัน",COUNT(K209:Z209)+COUNTIFS(K209:Z209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09" s="59" t="str"/>
      <x:c r="AI209" s="61"/>
    </x:row>
    <x:row r="210" ht="60" customHeight="1">
      <x:c r="A210" s="2" t="str">
        <x:v>TMF-426</x:v>
      </x:c>
      <x:c r="B210" s="8" t="str">
        <x:v>ครัวมุสลิม สาขา2 โรจนะ</x:v>
      </x:c>
      <x:c r="C210" s="59" t="str">
        <x:v>จำหน่ายอาหาร</x:v>
      </x:c>
      <x:c r="D210" s="59" t="str">
        <x:v>ไม่ทราบ</x:v>
      </x:c>
      <x:c r="E210" s="59" t="str">
        <x:v>ไม่ทราบ</x:v>
      </x:c>
      <x:c r="F210" s="59" t="str">
        <x:v>ไม่ทราบ</x:v>
      </x:c>
      <x:c r="G210" s="59" t="str">
        <x:v>ไม่ทราบ</x:v>
      </x:c>
      <x:c r="H210" s="59" t="str">
        <x:v>N/A</x:v>
      </x:c>
      <x:c r="I210" s="59"/>
      <x:c r="J210" s="59" t="str">
        <x:v>ไม่ทราบ</x:v>
      </x:c>
      <x:c r="K210" s="59"/>
      <x:c r="L210" s="59" t="str">
        <x:v>N/A</x:v>
      </x:c>
      <x:c r="M210" s="59"/>
      <x:c r="N210" s="59"/>
      <x:c r="O210" s="59"/>
      <x:c r="P210" s="59"/>
      <x:c r="Q210" s="59"/>
      <x:c r="R210" s="59"/>
      <x:c r="S210" s="59"/>
      <x:c r="T210" s="59"/>
      <x:c r="U210" s="59"/>
      <x:c r="V210" s="59"/>
      <x:c r="W210" s="59"/>
      <x:c r="X210" s="59"/>
      <x:c r="Y210" s="59"/>
      <x:c r="Z210" s="59"/>
      <x:c r="AA210" s="8" t="n">
        <x:f>IF(C210="ไม่ทราบ","",SUMIFS($K$7:$Z$7,K210:Z210,"&lt;&gt;N/A"))</x:f>
        <x:v>100</x:v>
      </x:c>
      <x:c r="AB210" s="8" t="str">
        <x:f>IF(AND(OR(AND(C210="จำหน่ายอาหาร",ISNUMBER(K210),L210="N/A"),AND(C210="ไม่จำหน่ายอาหาร",K210="N/A",ISNUMBER(L210)),AND(C210="มัสยิด",K210="N/A",L210="N/A",X210="N/A")),COUNT(K210:Z210)+COUNTIFS(K210:Z210,"N/A")=16),SUM(K210:Z210),"")</x:f>
      </x:c>
      <x:c r="AC210" s="62" t="str">
        <x:f>IF(OR(AB210="",AA210&lt;=0),"",ROUND(AB210/AA210*100,1))</x:f>
      </x:c>
      <x:c r="AD210" s="8" t="str">
        <x:f>IF(COUNTIFS(D210:H210,"ไม่ผ่าน")&gt;0,"ไม่ผ่าน",IF(COUNTIFS(D210:H210,"ไม่ทราบ")+COUNTBLANK(D210:H210)&gt;0,"รอยืนยัน","ผ่าน"))</x:f>
        <x:v>รอยืนยัน</x:v>
      </x:c>
      <x:c r="AE210" s="8" t="str">
        <x:f>IF(AF210="ใช่","ไม่ผ่านการคัดเลือก",IF(AND(AD210="ผ่าน",ISNUMBER(AC210),AC210&gt;=70),"พร้อมขาย",IF(OR(J210="ใช่",AND(ISNUMBER(AC210),AC210&gt;=50)),"พัฒนาเพื่อพร้อมขาย",IF(AND(ISNUMBER(AC210),AC210&lt;50,I210&gt;=1),"มีศักยภาพ แต่ต้องพัฒนามาตรฐาน","รอประเมิน"))))</x:f>
        <x:v>รอประเมิน</x:v>
      </x:c>
      <x:c r="AF210" s="59" t="str">
        <x:v>ไม่ทราบ</x:v>
      </x:c>
      <x:c r="AG210" s="8" t="str">
        <x:f>IF(AF210="ใช่","หัวหน้าทีมพิจารณาเหตุไม่ผ่าน",IF(OR(AA210&lt;=0,NOT(OR(AND(C210="จำหน่ายอาหาร",ISNUMBER(K210),L210="N/A"),AND(C210="ไม่จำหน่ายอาหาร",K210="N/A",ISNUMBER(L210)),AND(C210="มัสยิด",K210="N/A",L210="N/A",X210="N/A"))),AD210="รอยืนยัน",COUNT(K210:Z210)+COUNTIFS(K210:Z210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0" s="59" t="str"/>
      <x:c r="AI210" s="61"/>
    </x:row>
    <x:row r="211" ht="60" customHeight="1">
      <x:c r="A211" s="2" t="str">
        <x:v>TMF-007</x:v>
      </x:c>
      <x:c r="B211" s="8" t="str">
        <x:v>ครัวมุสลิมกรุงเก่า</x:v>
      </x:c>
      <x:c r="C211" s="59" t="str">
        <x:v>จำหน่ายอาหาร</x:v>
      </x:c>
      <x:c r="D211" s="59" t="str">
        <x:v>ไม่ทราบ</x:v>
      </x:c>
      <x:c r="E211" s="59" t="str">
        <x:v>ไม่ทราบ</x:v>
      </x:c>
      <x:c r="F211" s="59" t="str">
        <x:v>ไม่ทราบ</x:v>
      </x:c>
      <x:c r="G211" s="59" t="str">
        <x:v>ไม่ทราบ</x:v>
      </x:c>
      <x:c r="H211" s="59" t="str">
        <x:v>N/A</x:v>
      </x:c>
      <x:c r="I211" s="59"/>
      <x:c r="J211" s="59" t="str">
        <x:v>ไม่ทราบ</x:v>
      </x:c>
      <x:c r="K211" s="59"/>
      <x:c r="L211" s="59" t="str">
        <x:v>N/A</x:v>
      </x:c>
      <x:c r="M211" s="59"/>
      <x:c r="N211" s="59"/>
      <x:c r="O211" s="59"/>
      <x:c r="P211" s="59"/>
      <x:c r="Q211" s="59"/>
      <x:c r="R211" s="59"/>
      <x:c r="S211" s="59"/>
      <x:c r="T211" s="59"/>
      <x:c r="U211" s="59"/>
      <x:c r="V211" s="59"/>
      <x:c r="W211" s="59"/>
      <x:c r="X211" s="59"/>
      <x:c r="Y211" s="59"/>
      <x:c r="Z211" s="59"/>
      <x:c r="AA211" s="8" t="n">
        <x:f>IF(C211="ไม่ทราบ","",SUMIFS($K$7:$Z$7,K211:Z211,"&lt;&gt;N/A"))</x:f>
        <x:v>100</x:v>
      </x:c>
      <x:c r="AB211" s="8" t="str">
        <x:f>IF(AND(OR(AND(C211="จำหน่ายอาหาร",ISNUMBER(K211),L211="N/A"),AND(C211="ไม่จำหน่ายอาหาร",K211="N/A",ISNUMBER(L211)),AND(C211="มัสยิด",K211="N/A",L211="N/A",X211="N/A")),COUNT(K211:Z211)+COUNTIFS(K211:Z211,"N/A")=16),SUM(K211:Z211),"")</x:f>
      </x:c>
      <x:c r="AC211" s="62" t="str">
        <x:f>IF(OR(AB211="",AA211&lt;=0),"",ROUND(AB211/AA211*100,1))</x:f>
      </x:c>
      <x:c r="AD211" s="8" t="str">
        <x:f>IF(COUNTIFS(D211:H211,"ไม่ผ่าน")&gt;0,"ไม่ผ่าน",IF(COUNTIFS(D211:H211,"ไม่ทราบ")+COUNTBLANK(D211:H211)&gt;0,"รอยืนยัน","ผ่าน"))</x:f>
        <x:v>รอยืนยัน</x:v>
      </x:c>
      <x:c r="AE211" s="8" t="str">
        <x:f>IF(AF211="ใช่","ไม่ผ่านการคัดเลือก",IF(AND(AD211="ผ่าน",ISNUMBER(AC211),AC211&gt;=70),"พร้อมขาย",IF(OR(J211="ใช่",AND(ISNUMBER(AC211),AC211&gt;=50)),"พัฒนาเพื่อพร้อมขาย",IF(AND(ISNUMBER(AC211),AC211&lt;50,I211&gt;=1),"มีศักยภาพ แต่ต้องพัฒนามาตรฐาน","รอประเมิน"))))</x:f>
        <x:v>รอประเมิน</x:v>
      </x:c>
      <x:c r="AF211" s="59" t="str">
        <x:v>ไม่ทราบ</x:v>
      </x:c>
      <x:c r="AG211" s="8" t="str">
        <x:f>IF(AF211="ใช่","หัวหน้าทีมพิจารณาเหตุไม่ผ่าน",IF(OR(AA211&lt;=0,NOT(OR(AND(C211="จำหน่ายอาหาร",ISNUMBER(K211),L211="N/A"),AND(C211="ไม่จำหน่ายอาหาร",K211="N/A",ISNUMBER(L211)),AND(C211="มัสยิด",K211="N/A",L211="N/A",X211="N/A"))),AD211="รอยืนยัน",COUNT(K211:Z211)+COUNTIFS(K211:Z211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1" s="59" t="str"/>
      <x:c r="AI211" s="61"/>
    </x:row>
    <x:row r="212" ht="60" customHeight="1">
      <x:c r="A212" s="2" t="str">
        <x:v>TMF-008</x:v>
      </x:c>
      <x:c r="B212" s="8" t="str">
        <x:v>บะละดี้ ขนมปังโฮมเมด Bread &amp; Bakery</x:v>
      </x:c>
      <x:c r="C212" s="59" t="str">
        <x:v>จำหน่ายอาหาร</x:v>
      </x:c>
      <x:c r="D212" s="59" t="str">
        <x:v>ไม่ทราบ</x:v>
      </x:c>
      <x:c r="E212" s="59" t="str">
        <x:v>ไม่ทราบ</x:v>
      </x:c>
      <x:c r="F212" s="59" t="str">
        <x:v>ไม่ทราบ</x:v>
      </x:c>
      <x:c r="G212" s="59" t="str">
        <x:v>ไม่ทราบ</x:v>
      </x:c>
      <x:c r="H212" s="59" t="str">
        <x:v>N/A</x:v>
      </x:c>
      <x:c r="I212" s="59"/>
      <x:c r="J212" s="59" t="str">
        <x:v>ไม่ทราบ</x:v>
      </x:c>
      <x:c r="K212" s="59"/>
      <x:c r="L212" s="59" t="str">
        <x:v>N/A</x:v>
      </x:c>
      <x:c r="M212" s="59"/>
      <x:c r="N212" s="59"/>
      <x:c r="O212" s="59"/>
      <x:c r="P212" s="59"/>
      <x:c r="Q212" s="59"/>
      <x:c r="R212" s="59"/>
      <x:c r="S212" s="59"/>
      <x:c r="T212" s="59"/>
      <x:c r="U212" s="59"/>
      <x:c r="V212" s="59"/>
      <x:c r="W212" s="59"/>
      <x:c r="X212" s="59"/>
      <x:c r="Y212" s="59"/>
      <x:c r="Z212" s="59"/>
      <x:c r="AA212" s="8" t="n">
        <x:f>IF(C212="ไม่ทราบ","",SUMIFS($K$7:$Z$7,K212:Z212,"&lt;&gt;N/A"))</x:f>
        <x:v>100</x:v>
      </x:c>
      <x:c r="AB212" s="8" t="str">
        <x:f>IF(AND(OR(AND(C212="จำหน่ายอาหาร",ISNUMBER(K212),L212="N/A"),AND(C212="ไม่จำหน่ายอาหาร",K212="N/A",ISNUMBER(L212)),AND(C212="มัสยิด",K212="N/A",L212="N/A",X212="N/A")),COUNT(K212:Z212)+COUNTIFS(K212:Z212,"N/A")=16),SUM(K212:Z212),"")</x:f>
      </x:c>
      <x:c r="AC212" s="62" t="str">
        <x:f>IF(OR(AB212="",AA212&lt;=0),"",ROUND(AB212/AA212*100,1))</x:f>
      </x:c>
      <x:c r="AD212" s="8" t="str">
        <x:f>IF(COUNTIFS(D212:H212,"ไม่ผ่าน")&gt;0,"ไม่ผ่าน",IF(COUNTIFS(D212:H212,"ไม่ทราบ")+COUNTBLANK(D212:H212)&gt;0,"รอยืนยัน","ผ่าน"))</x:f>
        <x:v>รอยืนยัน</x:v>
      </x:c>
      <x:c r="AE212" s="8" t="str">
        <x:f>IF(AF212="ใช่","ไม่ผ่านการคัดเลือก",IF(AND(AD212="ผ่าน",ISNUMBER(AC212),AC212&gt;=70),"พร้อมขาย",IF(OR(J212="ใช่",AND(ISNUMBER(AC212),AC212&gt;=50)),"พัฒนาเพื่อพร้อมขาย",IF(AND(ISNUMBER(AC212),AC212&lt;50,I212&gt;=1),"มีศักยภาพ แต่ต้องพัฒนามาตรฐาน","รอประเมิน"))))</x:f>
        <x:v>รอประเมิน</x:v>
      </x:c>
      <x:c r="AF212" s="59" t="str">
        <x:v>ไม่ทราบ</x:v>
      </x:c>
      <x:c r="AG212" s="8" t="str">
        <x:f>IF(AF212="ใช่","หัวหน้าทีมพิจารณาเหตุไม่ผ่าน",IF(OR(AA212&lt;=0,NOT(OR(AND(C212="จำหน่ายอาหาร",ISNUMBER(K212),L212="N/A"),AND(C212="ไม่จำหน่ายอาหาร",K212="N/A",ISNUMBER(L212)),AND(C212="มัสยิด",K212="N/A",L212="N/A",X212="N/A"))),AD212="รอยืนยัน",COUNT(K212:Z212)+COUNTIFS(K212:Z212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2" s="59" t="str"/>
      <x:c r="AI212" s="61"/>
    </x:row>
    <x:row r="213" ht="60" customHeight="1">
      <x:c r="A213" s="2" t="str">
        <x:v>TMF-009</x:v>
      </x:c>
      <x:c r="B213" s="8" t="str">
        <x:v>วนิดา ฮาลาลฟู้ด</x:v>
      </x:c>
      <x:c r="C213" s="59" t="str">
        <x:v>จำหน่ายอาหาร</x:v>
      </x:c>
      <x:c r="D213" s="59" t="str">
        <x:v>ไม่ทราบ</x:v>
      </x:c>
      <x:c r="E213" s="59" t="str">
        <x:v>ไม่ทราบ</x:v>
      </x:c>
      <x:c r="F213" s="59" t="str">
        <x:v>ไม่ทราบ</x:v>
      </x:c>
      <x:c r="G213" s="59" t="str">
        <x:v>ไม่ทราบ</x:v>
      </x:c>
      <x:c r="H213" s="59" t="str">
        <x:v>N/A</x:v>
      </x:c>
      <x:c r="I213" s="59"/>
      <x:c r="J213" s="59" t="str">
        <x:v>ไม่ทราบ</x:v>
      </x:c>
      <x:c r="K213" s="59"/>
      <x:c r="L213" s="59" t="str">
        <x:v>N/A</x:v>
      </x:c>
      <x:c r="M213" s="59"/>
      <x:c r="N213" s="59"/>
      <x:c r="O213" s="59"/>
      <x:c r="P213" s="59"/>
      <x:c r="Q213" s="59"/>
      <x:c r="R213" s="59"/>
      <x:c r="S213" s="59"/>
      <x:c r="T213" s="59"/>
      <x:c r="U213" s="59"/>
      <x:c r="V213" s="59"/>
      <x:c r="W213" s="59"/>
      <x:c r="X213" s="59"/>
      <x:c r="Y213" s="59"/>
      <x:c r="Z213" s="59"/>
      <x:c r="AA213" s="8" t="n">
        <x:f>IF(C213="ไม่ทราบ","",SUMIFS($K$7:$Z$7,K213:Z213,"&lt;&gt;N/A"))</x:f>
        <x:v>100</x:v>
      </x:c>
      <x:c r="AB213" s="8" t="str">
        <x:f>IF(AND(OR(AND(C213="จำหน่ายอาหาร",ISNUMBER(K213),L213="N/A"),AND(C213="ไม่จำหน่ายอาหาร",K213="N/A",ISNUMBER(L213)),AND(C213="มัสยิด",K213="N/A",L213="N/A",X213="N/A")),COUNT(K213:Z213)+COUNTIFS(K213:Z213,"N/A")=16),SUM(K213:Z213),"")</x:f>
      </x:c>
      <x:c r="AC213" s="62" t="str">
        <x:f>IF(OR(AB213="",AA213&lt;=0),"",ROUND(AB213/AA213*100,1))</x:f>
      </x:c>
      <x:c r="AD213" s="8" t="str">
        <x:f>IF(COUNTIFS(D213:H213,"ไม่ผ่าน")&gt;0,"ไม่ผ่าน",IF(COUNTIFS(D213:H213,"ไม่ทราบ")+COUNTBLANK(D213:H213)&gt;0,"รอยืนยัน","ผ่าน"))</x:f>
        <x:v>รอยืนยัน</x:v>
      </x:c>
      <x:c r="AE213" s="8" t="str">
        <x:f>IF(AF213="ใช่","ไม่ผ่านการคัดเลือก",IF(AND(AD213="ผ่าน",ISNUMBER(AC213),AC213&gt;=70),"พร้อมขาย",IF(OR(J213="ใช่",AND(ISNUMBER(AC213),AC213&gt;=50)),"พัฒนาเพื่อพร้อมขาย",IF(AND(ISNUMBER(AC213),AC213&lt;50,I213&gt;=1),"มีศักยภาพ แต่ต้องพัฒนามาตรฐาน","รอประเมิน"))))</x:f>
        <x:v>รอประเมิน</x:v>
      </x:c>
      <x:c r="AF213" s="59" t="str">
        <x:v>ไม่ทราบ</x:v>
      </x:c>
      <x:c r="AG213" s="8" t="str">
        <x:f>IF(AF213="ใช่","หัวหน้าทีมพิจารณาเหตุไม่ผ่าน",IF(OR(AA213&lt;=0,NOT(OR(AND(C213="จำหน่ายอาหาร",ISNUMBER(K213),L213="N/A"),AND(C213="ไม่จำหน่ายอาหาร",K213="N/A",ISNUMBER(L213)),AND(C213="มัสยิด",K213="N/A",L213="N/A",X213="N/A"))),AD213="รอยืนยัน",COUNT(K213:Z213)+COUNTIFS(K213:Z213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3" s="59" t="str"/>
      <x:c r="AI213" s="61"/>
    </x:row>
    <x:row r="214" ht="60" customHeight="1">
      <x:c r="A214" s="2" t="str">
        <x:v>TMF-011</x:v>
      </x:c>
      <x:c r="B214" s="8" t="str">
        <x:v>สเต๊กครูตา มุสลิมอยุธยา</x:v>
      </x:c>
      <x:c r="C214" s="59" t="str">
        <x:v>จำหน่ายอาหาร</x:v>
      </x:c>
      <x:c r="D214" s="59" t="str">
        <x:v>ไม่ทราบ</x:v>
      </x:c>
      <x:c r="E214" s="59" t="str">
        <x:v>ไม่ทราบ</x:v>
      </x:c>
      <x:c r="F214" s="59" t="str">
        <x:v>ไม่ทราบ</x:v>
      </x:c>
      <x:c r="G214" s="59" t="str">
        <x:v>ไม่ทราบ</x:v>
      </x:c>
      <x:c r="H214" s="59" t="str">
        <x:v>N/A</x:v>
      </x:c>
      <x:c r="I214" s="59"/>
      <x:c r="J214" s="59" t="str">
        <x:v>ไม่ทราบ</x:v>
      </x:c>
      <x:c r="K214" s="59"/>
      <x:c r="L214" s="59" t="str">
        <x:v>N/A</x:v>
      </x:c>
      <x:c r="M214" s="59"/>
      <x:c r="N214" s="59"/>
      <x:c r="O214" s="59"/>
      <x:c r="P214" s="59"/>
      <x:c r="Q214" s="59"/>
      <x:c r="R214" s="59"/>
      <x:c r="S214" s="59"/>
      <x:c r="T214" s="59"/>
      <x:c r="U214" s="59"/>
      <x:c r="V214" s="59"/>
      <x:c r="W214" s="59"/>
      <x:c r="X214" s="59"/>
      <x:c r="Y214" s="59"/>
      <x:c r="Z214" s="59"/>
      <x:c r="AA214" s="8" t="n">
        <x:f>IF(C214="ไม่ทราบ","",SUMIFS($K$7:$Z$7,K214:Z214,"&lt;&gt;N/A"))</x:f>
        <x:v>100</x:v>
      </x:c>
      <x:c r="AB214" s="8" t="str">
        <x:f>IF(AND(OR(AND(C214="จำหน่ายอาหาร",ISNUMBER(K214),L214="N/A"),AND(C214="ไม่จำหน่ายอาหาร",K214="N/A",ISNUMBER(L214)),AND(C214="มัสยิด",K214="N/A",L214="N/A",X214="N/A")),COUNT(K214:Z214)+COUNTIFS(K214:Z214,"N/A")=16),SUM(K214:Z214),"")</x:f>
      </x:c>
      <x:c r="AC214" s="62" t="str">
        <x:f>IF(OR(AB214="",AA214&lt;=0),"",ROUND(AB214/AA214*100,1))</x:f>
      </x:c>
      <x:c r="AD214" s="8" t="str">
        <x:f>IF(COUNTIFS(D214:H214,"ไม่ผ่าน")&gt;0,"ไม่ผ่าน",IF(COUNTIFS(D214:H214,"ไม่ทราบ")+COUNTBLANK(D214:H214)&gt;0,"รอยืนยัน","ผ่าน"))</x:f>
        <x:v>รอยืนยัน</x:v>
      </x:c>
      <x:c r="AE214" s="8" t="str">
        <x:f>IF(AF214="ใช่","ไม่ผ่านการคัดเลือก",IF(AND(AD214="ผ่าน",ISNUMBER(AC214),AC214&gt;=70),"พร้อมขาย",IF(OR(J214="ใช่",AND(ISNUMBER(AC214),AC214&gt;=50)),"พัฒนาเพื่อพร้อมขาย",IF(AND(ISNUMBER(AC214),AC214&lt;50,I214&gt;=1),"มีศักยภาพ แต่ต้องพัฒนามาตรฐาน","รอประเมิน"))))</x:f>
        <x:v>รอประเมิน</x:v>
      </x:c>
      <x:c r="AF214" s="59" t="str">
        <x:v>ไม่ทราบ</x:v>
      </x:c>
      <x:c r="AG214" s="8" t="str">
        <x:f>IF(AF214="ใช่","หัวหน้าทีมพิจารณาเหตุไม่ผ่าน",IF(OR(AA214&lt;=0,NOT(OR(AND(C214="จำหน่ายอาหาร",ISNUMBER(K214),L214="N/A"),AND(C214="ไม่จำหน่ายอาหาร",K214="N/A",ISNUMBER(L214)),AND(C214="มัสยิด",K214="N/A",L214="N/A",X214="N/A"))),AD214="รอยืนยัน",COUNT(K214:Z214)+COUNTIFS(K214:Z214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4" s="59" t="str"/>
      <x:c r="AI214" s="61"/>
    </x:row>
    <x:row r="215" ht="60" customHeight="1">
      <x:c r="A215" s="2" t="str">
        <x:v>TMF-012</x:v>
      </x:c>
      <x:c r="B215" s="8" t="str">
        <x:v>ห้องอาหาร สุใบด๊ะห์ชวนชิม สาขาไม้ตรา (อยุธยา)</x:v>
      </x:c>
      <x:c r="C215" s="59" t="str">
        <x:v>จำหน่ายอาหาร</x:v>
      </x:c>
      <x:c r="D215" s="59" t="str">
        <x:v>ไม่ทราบ</x:v>
      </x:c>
      <x:c r="E215" s="59" t="str">
        <x:v>ไม่ทราบ</x:v>
      </x:c>
      <x:c r="F215" s="59" t="str">
        <x:v>ไม่ทราบ</x:v>
      </x:c>
      <x:c r="G215" s="59" t="str">
        <x:v>ไม่ทราบ</x:v>
      </x:c>
      <x:c r="H215" s="59" t="str">
        <x:v>N/A</x:v>
      </x:c>
      <x:c r="I215" s="59"/>
      <x:c r="J215" s="59" t="str">
        <x:v>ไม่ทราบ</x:v>
      </x:c>
      <x:c r="K215" s="59"/>
      <x:c r="L215" s="59" t="str">
        <x:v>N/A</x:v>
      </x:c>
      <x:c r="M215" s="59"/>
      <x:c r="N215" s="59"/>
      <x:c r="O215" s="59"/>
      <x:c r="P215" s="59"/>
      <x:c r="Q215" s="59"/>
      <x:c r="R215" s="59"/>
      <x:c r="S215" s="59"/>
      <x:c r="T215" s="59"/>
      <x:c r="U215" s="59"/>
      <x:c r="V215" s="59"/>
      <x:c r="W215" s="59"/>
      <x:c r="X215" s="59"/>
      <x:c r="Y215" s="59"/>
      <x:c r="Z215" s="59"/>
      <x:c r="AA215" s="8" t="n">
        <x:f>IF(C215="ไม่ทราบ","",SUMIFS($K$7:$Z$7,K215:Z215,"&lt;&gt;N/A"))</x:f>
        <x:v>100</x:v>
      </x:c>
      <x:c r="AB215" s="8" t="str">
        <x:f>IF(AND(OR(AND(C215="จำหน่ายอาหาร",ISNUMBER(K215),L215="N/A"),AND(C215="ไม่จำหน่ายอาหาร",K215="N/A",ISNUMBER(L215)),AND(C215="มัสยิด",K215="N/A",L215="N/A",X215="N/A")),COUNT(K215:Z215)+COUNTIFS(K215:Z215,"N/A")=16),SUM(K215:Z215),"")</x:f>
      </x:c>
      <x:c r="AC215" s="62" t="str">
        <x:f>IF(OR(AB215="",AA215&lt;=0),"",ROUND(AB215/AA215*100,1))</x:f>
      </x:c>
      <x:c r="AD215" s="8" t="str">
        <x:f>IF(COUNTIFS(D215:H215,"ไม่ผ่าน")&gt;0,"ไม่ผ่าน",IF(COUNTIFS(D215:H215,"ไม่ทราบ")+COUNTBLANK(D215:H215)&gt;0,"รอยืนยัน","ผ่าน"))</x:f>
        <x:v>รอยืนยัน</x:v>
      </x:c>
      <x:c r="AE215" s="8" t="str">
        <x:f>IF(AF215="ใช่","ไม่ผ่านการคัดเลือก",IF(AND(AD215="ผ่าน",ISNUMBER(AC215),AC215&gt;=70),"พร้อมขาย",IF(OR(J215="ใช่",AND(ISNUMBER(AC215),AC215&gt;=50)),"พัฒนาเพื่อพร้อมขาย",IF(AND(ISNUMBER(AC215),AC215&lt;50,I215&gt;=1),"มีศักยภาพ แต่ต้องพัฒนามาตรฐาน","รอประเมิน"))))</x:f>
        <x:v>รอประเมิน</x:v>
      </x:c>
      <x:c r="AF215" s="59" t="str">
        <x:v>ไม่ทราบ</x:v>
      </x:c>
      <x:c r="AG215" s="8" t="str">
        <x:f>IF(AF215="ใช่","หัวหน้าทีมพิจารณาเหตุไม่ผ่าน",IF(OR(AA215&lt;=0,NOT(OR(AND(C215="จำหน่ายอาหาร",ISNUMBER(K215),L215="N/A"),AND(C215="ไม่จำหน่ายอาหาร",K215="N/A",ISNUMBER(L215)),AND(C215="มัสยิด",K215="N/A",L215="N/A",X215="N/A"))),AD215="รอยืนยัน",COUNT(K215:Z215)+COUNTIFS(K215:Z215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5" s="59" t="str"/>
      <x:c r="AI215" s="61"/>
    </x:row>
    <x:row r="216" ht="60" customHeight="1">
      <x:c r="A216" s="2" t="str">
        <x:v>TMF-255</x:v>
      </x:c>
      <x:c r="B216" s="8" t="str">
        <x:v>อะฟาฟ อาหารมุสลิม</x:v>
      </x:c>
      <x:c r="C216" s="59" t="str">
        <x:v>จำหน่ายอาหาร</x:v>
      </x:c>
      <x:c r="D216" s="59" t="str">
        <x:v>ไม่ทราบ</x:v>
      </x:c>
      <x:c r="E216" s="59" t="str">
        <x:v>ไม่ทราบ</x:v>
      </x:c>
      <x:c r="F216" s="59" t="str">
        <x:v>ไม่ทราบ</x:v>
      </x:c>
      <x:c r="G216" s="59" t="str">
        <x:v>ไม่ทราบ</x:v>
      </x:c>
      <x:c r="H216" s="59" t="str">
        <x:v>N/A</x:v>
      </x:c>
      <x:c r="I216" s="59"/>
      <x:c r="J216" s="59" t="str">
        <x:v>ไม่ทราบ</x:v>
      </x:c>
      <x:c r="K216" s="59"/>
      <x:c r="L216" s="59" t="str">
        <x:v>N/A</x:v>
      </x:c>
      <x:c r="M216" s="59"/>
      <x:c r="N216" s="59"/>
      <x:c r="O216" s="59"/>
      <x:c r="P216" s="59"/>
      <x:c r="Q216" s="59"/>
      <x:c r="R216" s="59"/>
      <x:c r="S216" s="59"/>
      <x:c r="T216" s="59"/>
      <x:c r="U216" s="59"/>
      <x:c r="V216" s="59"/>
      <x:c r="W216" s="59"/>
      <x:c r="X216" s="59"/>
      <x:c r="Y216" s="59"/>
      <x:c r="Z216" s="59"/>
      <x:c r="AA216" s="8" t="n">
        <x:f>IF(C216="ไม่ทราบ","",SUMIFS($K$7:$Z$7,K216:Z216,"&lt;&gt;N/A"))</x:f>
        <x:v>100</x:v>
      </x:c>
      <x:c r="AB216" s="8" t="str">
        <x:f>IF(AND(OR(AND(C216="จำหน่ายอาหาร",ISNUMBER(K216),L216="N/A"),AND(C216="ไม่จำหน่ายอาหาร",K216="N/A",ISNUMBER(L216)),AND(C216="มัสยิด",K216="N/A",L216="N/A",X216="N/A")),COUNT(K216:Z216)+COUNTIFS(K216:Z216,"N/A")=16),SUM(K216:Z216),"")</x:f>
      </x:c>
      <x:c r="AC216" s="62" t="str">
        <x:f>IF(OR(AB216="",AA216&lt;=0),"",ROUND(AB216/AA216*100,1))</x:f>
      </x:c>
      <x:c r="AD216" s="8" t="str">
        <x:f>IF(COUNTIFS(D216:H216,"ไม่ผ่าน")&gt;0,"ไม่ผ่าน",IF(COUNTIFS(D216:H216,"ไม่ทราบ")+COUNTBLANK(D216:H216)&gt;0,"รอยืนยัน","ผ่าน"))</x:f>
        <x:v>รอยืนยัน</x:v>
      </x:c>
      <x:c r="AE216" s="8" t="str">
        <x:f>IF(AF216="ใช่","ไม่ผ่านการคัดเลือก",IF(AND(AD216="ผ่าน",ISNUMBER(AC216),AC216&gt;=70),"พร้อมขาย",IF(OR(J216="ใช่",AND(ISNUMBER(AC216),AC216&gt;=50)),"พัฒนาเพื่อพร้อมขาย",IF(AND(ISNUMBER(AC216),AC216&lt;50,I216&gt;=1),"มีศักยภาพ แต่ต้องพัฒนามาตรฐาน","รอประเมิน"))))</x:f>
        <x:v>รอประเมิน</x:v>
      </x:c>
      <x:c r="AF216" s="59" t="str">
        <x:v>ไม่ทราบ</x:v>
      </x:c>
      <x:c r="AG216" s="8" t="str">
        <x:f>IF(AF216="ใช่","หัวหน้าทีมพิจารณาเหตุไม่ผ่าน",IF(OR(AA216&lt;=0,NOT(OR(AND(C216="จำหน่ายอาหาร",ISNUMBER(K216),L216="N/A"),AND(C216="ไม่จำหน่ายอาหาร",K216="N/A",ISNUMBER(L216)),AND(C216="มัสยิด",K216="N/A",L216="N/A",X216="N/A"))),AD216="รอยืนยัน",COUNT(K216:Z216)+COUNTIFS(K216:Z216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6" s="59" t="str"/>
      <x:c r="AI216" s="61"/>
    </x:row>
    <x:row r="217" ht="60" customHeight="1">
      <x:c r="A217" s="2" t="str">
        <x:v>TMF-256</x:v>
      </x:c>
      <x:c r="B217" s="8" t="str">
        <x:v>อะฟาฟ อาหารมุสลิม สาขาบ้านสวน 3</x:v>
      </x:c>
      <x:c r="C217" s="59" t="str">
        <x:v>จำหน่ายอาหาร</x:v>
      </x:c>
      <x:c r="D217" s="59" t="str">
        <x:v>ไม่ทราบ</x:v>
      </x:c>
      <x:c r="E217" s="59" t="str">
        <x:v>ไม่ทราบ</x:v>
      </x:c>
      <x:c r="F217" s="59" t="str">
        <x:v>ไม่ทราบ</x:v>
      </x:c>
      <x:c r="G217" s="59" t="str">
        <x:v>ไม่ทราบ</x:v>
      </x:c>
      <x:c r="H217" s="59" t="str">
        <x:v>N/A</x:v>
      </x:c>
      <x:c r="I217" s="59"/>
      <x:c r="J217" s="59" t="str">
        <x:v>ไม่ทราบ</x:v>
      </x:c>
      <x:c r="K217" s="59"/>
      <x:c r="L217" s="59" t="str">
        <x:v>N/A</x:v>
      </x:c>
      <x:c r="M217" s="59"/>
      <x:c r="N217" s="59"/>
      <x:c r="O217" s="59"/>
      <x:c r="P217" s="59"/>
      <x:c r="Q217" s="59"/>
      <x:c r="R217" s="59"/>
      <x:c r="S217" s="59"/>
      <x:c r="T217" s="59"/>
      <x:c r="U217" s="59"/>
      <x:c r="V217" s="59"/>
      <x:c r="W217" s="59"/>
      <x:c r="X217" s="59"/>
      <x:c r="Y217" s="59"/>
      <x:c r="Z217" s="59"/>
      <x:c r="AA217" s="8" t="n">
        <x:f>IF(C217="ไม่ทราบ","",SUMIFS($K$7:$Z$7,K217:Z217,"&lt;&gt;N/A"))</x:f>
        <x:v>100</x:v>
      </x:c>
      <x:c r="AB217" s="8" t="str">
        <x:f>IF(AND(OR(AND(C217="จำหน่ายอาหาร",ISNUMBER(K217),L217="N/A"),AND(C217="ไม่จำหน่ายอาหาร",K217="N/A",ISNUMBER(L217)),AND(C217="มัสยิด",K217="N/A",L217="N/A",X217="N/A")),COUNT(K217:Z217)+COUNTIFS(K217:Z217,"N/A")=16),SUM(K217:Z217),"")</x:f>
      </x:c>
      <x:c r="AC217" s="62" t="str">
        <x:f>IF(OR(AB217="",AA217&lt;=0),"",ROUND(AB217/AA217*100,1))</x:f>
      </x:c>
      <x:c r="AD217" s="8" t="str">
        <x:f>IF(COUNTIFS(D217:H217,"ไม่ผ่าน")&gt;0,"ไม่ผ่าน",IF(COUNTIFS(D217:H217,"ไม่ทราบ")+COUNTBLANK(D217:H217)&gt;0,"รอยืนยัน","ผ่าน"))</x:f>
        <x:v>รอยืนยัน</x:v>
      </x:c>
      <x:c r="AE217" s="8" t="str">
        <x:f>IF(AF217="ใช่","ไม่ผ่านการคัดเลือก",IF(AND(AD217="ผ่าน",ISNUMBER(AC217),AC217&gt;=70),"พร้อมขาย",IF(OR(J217="ใช่",AND(ISNUMBER(AC217),AC217&gt;=50)),"พัฒนาเพื่อพร้อมขาย",IF(AND(ISNUMBER(AC217),AC217&lt;50,I217&gt;=1),"มีศักยภาพ แต่ต้องพัฒนามาตรฐาน","รอประเมิน"))))</x:f>
        <x:v>รอประเมิน</x:v>
      </x:c>
      <x:c r="AF217" s="59" t="str">
        <x:v>ไม่ทราบ</x:v>
      </x:c>
      <x:c r="AG217" s="8" t="str">
        <x:f>IF(AF217="ใช่","หัวหน้าทีมพิจารณาเหตุไม่ผ่าน",IF(OR(AA217&lt;=0,NOT(OR(AND(C217="จำหน่ายอาหาร",ISNUMBER(K217),L217="N/A"),AND(C217="ไม่จำหน่ายอาหาร",K217="N/A",ISNUMBER(L217)),AND(C217="มัสยิด",K217="N/A",L217="N/A",X217="N/A"))),AD217="รอยืนยัน",COUNT(K217:Z217)+COUNTIFS(K217:Z217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7" s="59" t="str"/>
      <x:c r="AI217" s="61"/>
    </x:row>
    <x:row r="218" ht="60" customHeight="1">
      <x:c r="A218" s="2" t="str">
        <x:v>TMF-259</x:v>
      </x:c>
      <x:c r="B218" s="8" t="str">
        <x:v>โรตีสายไหม อาบีดีน-ประนอม แสงอรุณ สาขา 2</x:v>
      </x:c>
      <x:c r="C218" s="59" t="str">
        <x:v>จำหน่ายอาหาร</x:v>
      </x:c>
      <x:c r="D218" s="59" t="str">
        <x:v>ไม่ทราบ</x:v>
      </x:c>
      <x:c r="E218" s="59" t="str">
        <x:v>ไม่ทราบ</x:v>
      </x:c>
      <x:c r="F218" s="59" t="str">
        <x:v>ไม่ทราบ</x:v>
      </x:c>
      <x:c r="G218" s="59" t="str">
        <x:v>ไม่ทราบ</x:v>
      </x:c>
      <x:c r="H218" s="59" t="str">
        <x:v>N/A</x:v>
      </x:c>
      <x:c r="I218" s="59"/>
      <x:c r="J218" s="59" t="str">
        <x:v>ไม่ทราบ</x:v>
      </x:c>
      <x:c r="K218" s="59"/>
      <x:c r="L218" s="59" t="str">
        <x:v>N/A</x:v>
      </x:c>
      <x:c r="M218" s="59"/>
      <x:c r="N218" s="59"/>
      <x:c r="O218" s="59"/>
      <x:c r="P218" s="59"/>
      <x:c r="Q218" s="59"/>
      <x:c r="R218" s="59"/>
      <x:c r="S218" s="59"/>
      <x:c r="T218" s="59"/>
      <x:c r="U218" s="59"/>
      <x:c r="V218" s="59"/>
      <x:c r="W218" s="59"/>
      <x:c r="X218" s="59"/>
      <x:c r="Y218" s="59"/>
      <x:c r="Z218" s="59"/>
      <x:c r="AA218" s="8" t="n">
        <x:f>IF(C218="ไม่ทราบ","",SUMIFS($K$7:$Z$7,K218:Z218,"&lt;&gt;N/A"))</x:f>
        <x:v>100</x:v>
      </x:c>
      <x:c r="AB218" s="8" t="str">
        <x:f>IF(AND(OR(AND(C218="จำหน่ายอาหาร",ISNUMBER(K218),L218="N/A"),AND(C218="ไม่จำหน่ายอาหาร",K218="N/A",ISNUMBER(L218)),AND(C218="มัสยิด",K218="N/A",L218="N/A",X218="N/A")),COUNT(K218:Z218)+COUNTIFS(K218:Z218,"N/A")=16),SUM(K218:Z218),"")</x:f>
      </x:c>
      <x:c r="AC218" s="62" t="str">
        <x:f>IF(OR(AB218="",AA218&lt;=0),"",ROUND(AB218/AA218*100,1))</x:f>
      </x:c>
      <x:c r="AD218" s="8" t="str">
        <x:f>IF(COUNTIFS(D218:H218,"ไม่ผ่าน")&gt;0,"ไม่ผ่าน",IF(COUNTIFS(D218:H218,"ไม่ทราบ")+COUNTBLANK(D218:H218)&gt;0,"รอยืนยัน","ผ่าน"))</x:f>
        <x:v>รอยืนยัน</x:v>
      </x:c>
      <x:c r="AE218" s="8" t="str">
        <x:f>IF(AF218="ใช่","ไม่ผ่านการคัดเลือก",IF(AND(AD218="ผ่าน",ISNUMBER(AC218),AC218&gt;=70),"พร้อมขาย",IF(OR(J218="ใช่",AND(ISNUMBER(AC218),AC218&gt;=50)),"พัฒนาเพื่อพร้อมขาย",IF(AND(ISNUMBER(AC218),AC218&lt;50,I218&gt;=1),"มีศักยภาพ แต่ต้องพัฒนามาตรฐาน","รอประเมิน"))))</x:f>
        <x:v>รอประเมิน</x:v>
      </x:c>
      <x:c r="AF218" s="59" t="str">
        <x:v>ไม่ทราบ</x:v>
      </x:c>
      <x:c r="AG218" s="8" t="str">
        <x:f>IF(AF218="ใช่","หัวหน้าทีมพิจารณาเหตุไม่ผ่าน",IF(OR(AA218&lt;=0,NOT(OR(AND(C218="จำหน่ายอาหาร",ISNUMBER(K218),L218="N/A"),AND(C218="ไม่จำหน่ายอาหาร",K218="N/A",ISNUMBER(L218)),AND(C218="มัสยิด",K218="N/A",L218="N/A",X218="N/A"))),AD218="รอยืนยัน",COUNT(K218:Z218)+COUNTIFS(K218:Z218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8" s="59" t="str"/>
      <x:c r="AI218" s="61"/>
    </x:row>
    <x:row r="219" ht="60" customHeight="1">
      <x:c r="A219" s="2" t="str">
        <x:v>TMF-260</x:v>
      </x:c>
      <x:c r="B219" s="8" t="str">
        <x:v>ไก่ทอดหาดใหญ่ มูฮำหมัด อยุธยา สาขา 2 (ตรงข้ามวัดธรรมิกราช)</x:v>
      </x:c>
      <x:c r="C219" s="59" t="str">
        <x:v>จำหน่ายอาหาร</x:v>
      </x:c>
      <x:c r="D219" s="59" t="str">
        <x:v>ไม่ทราบ</x:v>
      </x:c>
      <x:c r="E219" s="59" t="str">
        <x:v>ไม่ทราบ</x:v>
      </x:c>
      <x:c r="F219" s="59" t="str">
        <x:v>ไม่ทราบ</x:v>
      </x:c>
      <x:c r="G219" s="59" t="str">
        <x:v>ไม่ทราบ</x:v>
      </x:c>
      <x:c r="H219" s="59" t="str">
        <x:v>N/A</x:v>
      </x:c>
      <x:c r="I219" s="59"/>
      <x:c r="J219" s="59" t="str">
        <x:v>ไม่ทราบ</x:v>
      </x:c>
      <x:c r="K219" s="59"/>
      <x:c r="L219" s="59" t="str">
        <x:v>N/A</x:v>
      </x:c>
      <x:c r="M219" s="59"/>
      <x:c r="N219" s="59"/>
      <x:c r="O219" s="59"/>
      <x:c r="P219" s="59"/>
      <x:c r="Q219" s="59"/>
      <x:c r="R219" s="59"/>
      <x:c r="S219" s="59"/>
      <x:c r="T219" s="59"/>
      <x:c r="U219" s="59"/>
      <x:c r="V219" s="59"/>
      <x:c r="W219" s="59"/>
      <x:c r="X219" s="59"/>
      <x:c r="Y219" s="59"/>
      <x:c r="Z219" s="59"/>
      <x:c r="AA219" s="8" t="n">
        <x:f>IF(C219="ไม่ทราบ","",SUMIFS($K$7:$Z$7,K219:Z219,"&lt;&gt;N/A"))</x:f>
        <x:v>100</x:v>
      </x:c>
      <x:c r="AB219" s="8" t="str">
        <x:f>IF(AND(OR(AND(C219="จำหน่ายอาหาร",ISNUMBER(K219),L219="N/A"),AND(C219="ไม่จำหน่ายอาหาร",K219="N/A",ISNUMBER(L219)),AND(C219="มัสยิด",K219="N/A",L219="N/A",X219="N/A")),COUNT(K219:Z219)+COUNTIFS(K219:Z219,"N/A")=16),SUM(K219:Z219),"")</x:f>
      </x:c>
      <x:c r="AC219" s="62" t="str">
        <x:f>IF(OR(AB219="",AA219&lt;=0),"",ROUND(AB219/AA219*100,1))</x:f>
      </x:c>
      <x:c r="AD219" s="8" t="str">
        <x:f>IF(COUNTIFS(D219:H219,"ไม่ผ่าน")&gt;0,"ไม่ผ่าน",IF(COUNTIFS(D219:H219,"ไม่ทราบ")+COUNTBLANK(D219:H219)&gt;0,"รอยืนยัน","ผ่าน"))</x:f>
        <x:v>รอยืนยัน</x:v>
      </x:c>
      <x:c r="AE219" s="8" t="str">
        <x:f>IF(AF219="ใช่","ไม่ผ่านการคัดเลือก",IF(AND(AD219="ผ่าน",ISNUMBER(AC219),AC219&gt;=70),"พร้อมขาย",IF(OR(J219="ใช่",AND(ISNUMBER(AC219),AC219&gt;=50)),"พัฒนาเพื่อพร้อมขาย",IF(AND(ISNUMBER(AC219),AC219&lt;50,I219&gt;=1),"มีศักยภาพ แต่ต้องพัฒนามาตรฐาน","รอประเมิน"))))</x:f>
        <x:v>รอประเมิน</x:v>
      </x:c>
      <x:c r="AF219" s="59" t="str">
        <x:v>ไม่ทราบ</x:v>
      </x:c>
      <x:c r="AG219" s="8" t="str">
        <x:f>IF(AF219="ใช่","หัวหน้าทีมพิจารณาเหตุไม่ผ่าน",IF(OR(AA219&lt;=0,NOT(OR(AND(C219="จำหน่ายอาหาร",ISNUMBER(K219),L219="N/A"),AND(C219="ไม่จำหน่ายอาหาร",K219="N/A",ISNUMBER(L219)),AND(C219="มัสยิด",K219="N/A",L219="N/A",X219="N/A"))),AD219="รอยืนยัน",COUNT(K219:Z219)+COUNTIFS(K219:Z219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19" s="59" t="str"/>
      <x:c r="AI219" s="61"/>
    </x:row>
    <x:row r="220" ht="60" customHeight="1">
      <x:c r="A220" s="2" t="str">
        <x:v>TMF-261</x:v>
      </x:c>
      <x:c r="B220" s="8" t="str">
        <x:v>ไก่ทอดหาดใหญ่ มูฮำหมัด-อยุธยา สาขา 1</x:v>
      </x:c>
      <x:c r="C220" s="59" t="str">
        <x:v>จำหน่ายอาหาร</x:v>
      </x:c>
      <x:c r="D220" s="59" t="str">
        <x:v>ไม่ทราบ</x:v>
      </x:c>
      <x:c r="E220" s="59" t="str">
        <x:v>ไม่ทราบ</x:v>
      </x:c>
      <x:c r="F220" s="59" t="str">
        <x:v>ไม่ทราบ</x:v>
      </x:c>
      <x:c r="G220" s="59" t="str">
        <x:v>ไม่ทราบ</x:v>
      </x:c>
      <x:c r="H220" s="59" t="str">
        <x:v>N/A</x:v>
      </x:c>
      <x:c r="I220" s="59"/>
      <x:c r="J220" s="59" t="str">
        <x:v>ไม่ทราบ</x:v>
      </x:c>
      <x:c r="K220" s="59"/>
      <x:c r="L220" s="59" t="str">
        <x:v>N/A</x:v>
      </x:c>
      <x:c r="M220" s="59"/>
      <x:c r="N220" s="59"/>
      <x:c r="O220" s="59"/>
      <x:c r="P220" s="59"/>
      <x:c r="Q220" s="59"/>
      <x:c r="R220" s="59"/>
      <x:c r="S220" s="59"/>
      <x:c r="T220" s="59"/>
      <x:c r="U220" s="59"/>
      <x:c r="V220" s="59"/>
      <x:c r="W220" s="59"/>
      <x:c r="X220" s="59"/>
      <x:c r="Y220" s="59"/>
      <x:c r="Z220" s="59"/>
      <x:c r="AA220" s="8" t="n">
        <x:f>IF(C220="ไม่ทราบ","",SUMIFS($K$7:$Z$7,K220:Z220,"&lt;&gt;N/A"))</x:f>
        <x:v>100</x:v>
      </x:c>
      <x:c r="AB220" s="8" t="str">
        <x:f>IF(AND(OR(AND(C220="จำหน่ายอาหาร",ISNUMBER(K220),L220="N/A"),AND(C220="ไม่จำหน่ายอาหาร",K220="N/A",ISNUMBER(L220)),AND(C220="มัสยิด",K220="N/A",L220="N/A",X220="N/A")),COUNT(K220:Z220)+COUNTIFS(K220:Z220,"N/A")=16),SUM(K220:Z220),"")</x:f>
      </x:c>
      <x:c r="AC220" s="62" t="str">
        <x:f>IF(OR(AB220="",AA220&lt;=0),"",ROUND(AB220/AA220*100,1))</x:f>
      </x:c>
      <x:c r="AD220" s="8" t="str">
        <x:f>IF(COUNTIFS(D220:H220,"ไม่ผ่าน")&gt;0,"ไม่ผ่าน",IF(COUNTIFS(D220:H220,"ไม่ทราบ")+COUNTBLANK(D220:H220)&gt;0,"รอยืนยัน","ผ่าน"))</x:f>
        <x:v>รอยืนยัน</x:v>
      </x:c>
      <x:c r="AE220" s="8" t="str">
        <x:f>IF(AF220="ใช่","ไม่ผ่านการคัดเลือก",IF(AND(AD220="ผ่าน",ISNUMBER(AC220),AC220&gt;=70),"พร้อมขาย",IF(OR(J220="ใช่",AND(ISNUMBER(AC220),AC220&gt;=50)),"พัฒนาเพื่อพร้อมขาย",IF(AND(ISNUMBER(AC220),AC220&lt;50,I220&gt;=1),"มีศักยภาพ แต่ต้องพัฒนามาตรฐาน","รอประเมิน"))))</x:f>
        <x:v>รอประเมิน</x:v>
      </x:c>
      <x:c r="AF220" s="59" t="str">
        <x:v>ไม่ทราบ</x:v>
      </x:c>
      <x:c r="AG220" s="8" t="str">
        <x:f>IF(AF220="ใช่","หัวหน้าทีมพิจารณาเหตุไม่ผ่าน",IF(OR(AA220&lt;=0,NOT(OR(AND(C220="จำหน่ายอาหาร",ISNUMBER(K220),L220="N/A"),AND(C220="ไม่จำหน่ายอาหาร",K220="N/A",ISNUMBER(L220)),AND(C220="มัสยิด",K220="N/A",L220="N/A",X220="N/A"))),AD220="รอยืนยัน",COUNT(K220:Z220)+COUNTIFS(K220:Z220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0" s="59" t="str"/>
      <x:c r="AI220" s="61"/>
    </x:row>
    <x:row r="221" ht="60" customHeight="1">
      <x:c r="A221" s="2" t="str">
        <x:v>R26-257</x:v>
      </x:c>
      <x:c r="B221" s="8" t="str">
        <x:v>Central Ayutthaya</x:v>
      </x:c>
      <x:c r="C221" s="59" t="str">
        <x:v>ไม่ทราบ</x:v>
      </x:c>
      <x:c r="D221" s="59" t="str">
        <x:v>ไม่ทราบ</x:v>
      </x:c>
      <x:c r="E221" s="59" t="str">
        <x:v>ไม่ทราบ</x:v>
      </x:c>
      <x:c r="F221" s="59" t="str">
        <x:v>ไม่ทราบ</x:v>
      </x:c>
      <x:c r="G221" s="59" t="str">
        <x:v>ไม่ทราบ</x:v>
      </x:c>
      <x:c r="H221" s="59" t="str">
        <x:v>N/A</x:v>
      </x:c>
      <x:c r="I221" s="59"/>
      <x:c r="J221" s="59" t="str">
        <x:v>ไม่ทราบ</x:v>
      </x:c>
      <x:c r="K221" s="59"/>
      <x:c r="L221" s="59"/>
      <x:c r="M221" s="59"/>
      <x:c r="N221" s="59"/>
      <x:c r="O221" s="59"/>
      <x:c r="P221" s="59"/>
      <x:c r="Q221" s="59"/>
      <x:c r="R221" s="59"/>
      <x:c r="S221" s="59"/>
      <x:c r="T221" s="59"/>
      <x:c r="U221" s="59"/>
      <x:c r="V221" s="59"/>
      <x:c r="W221" s="59"/>
      <x:c r="X221" s="59"/>
      <x:c r="Y221" s="59"/>
      <x:c r="Z221" s="59"/>
      <x:c r="AA221" s="8" t="str">
        <x:f>IF(C221="ไม่ทราบ","",SUMIFS($K$7:$Z$7,K221:Z221,"&lt;&gt;N/A"))</x:f>
      </x:c>
      <x:c r="AB221" s="8" t="str">
        <x:f>IF(AND(OR(AND(C221="จำหน่ายอาหาร",ISNUMBER(K221),L221="N/A"),AND(C221="ไม่จำหน่ายอาหาร",K221="N/A",ISNUMBER(L221)),AND(C221="มัสยิด",K221="N/A",L221="N/A",X221="N/A")),COUNT(K221:Z221)+COUNTIFS(K221:Z221,"N/A")=16),SUM(K221:Z221),"")</x:f>
      </x:c>
      <x:c r="AC221" s="62" t="str">
        <x:f>IF(OR(AB221="",AA221&lt;=0),"",ROUND(AB221/AA221*100,1))</x:f>
      </x:c>
      <x:c r="AD221" s="8" t="str">
        <x:f>IF(COUNTIFS(D221:H221,"ไม่ผ่าน")&gt;0,"ไม่ผ่าน",IF(COUNTIFS(D221:H221,"ไม่ทราบ")+COUNTBLANK(D221:H221)&gt;0,"รอยืนยัน","ผ่าน"))</x:f>
        <x:v>รอยืนยัน</x:v>
      </x:c>
      <x:c r="AE221" s="8" t="str">
        <x:f>IF(AF221="ใช่","ไม่ผ่านการคัดเลือก",IF(AND(AD221="ผ่าน",ISNUMBER(AC221),AC221&gt;=70),"พร้อมขาย",IF(OR(J221="ใช่",AND(ISNUMBER(AC221),AC221&gt;=50)),"พัฒนาเพื่อพร้อมขาย",IF(AND(ISNUMBER(AC221),AC221&lt;50,I221&gt;=1),"มีศักยภาพ แต่ต้องพัฒนามาตรฐาน","รอประเมิน"))))</x:f>
        <x:v>รอประเมิน</x:v>
      </x:c>
      <x:c r="AF221" s="59" t="str">
        <x:v>ไม่ทราบ</x:v>
      </x:c>
      <x:c r="AG221" s="8" t="str">
        <x:f>IF(AF221="ใช่","หัวหน้าทีมพิจารณาเหตุไม่ผ่าน",IF(OR(AA221&lt;=0,NOT(OR(AND(C221="จำหน่ายอาหาร",ISNUMBER(K221),L221="N/A"),AND(C221="ไม่จำหน่ายอาหาร",K221="N/A",ISNUMBER(L221)),AND(C221="มัสยิด",K221="N/A",L221="N/A",X221="N/A"))),AD221="รอยืนยัน",COUNT(K221:Z221)+COUNTIFS(K221:Z221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1" s="59" t="str"/>
      <x:c r="AI221" s="61"/>
    </x:row>
    <x:row r="222" ht="60" customHeight="1">
      <x:c r="A222" s="2" t="str">
        <x:v>TMF-440</x:v>
      </x:c>
      <x:c r="B222" s="8" t="str">
        <x:v>ศูนย์ศึกษาประวัติศาสตร์อยุธยา</x:v>
      </x:c>
      <x:c r="C222" s="59" t="str">
        <x:v>ไม่ทราบ</x:v>
      </x:c>
      <x:c r="D222" s="59" t="str">
        <x:v>ไม่ทราบ</x:v>
      </x:c>
      <x:c r="E222" s="59" t="str">
        <x:v>ไม่ทราบ</x:v>
      </x:c>
      <x:c r="F222" s="59" t="str">
        <x:v>ไม่ทราบ</x:v>
      </x:c>
      <x:c r="G222" s="59" t="str">
        <x:v>ไม่ทราบ</x:v>
      </x:c>
      <x:c r="H222" s="59" t="str">
        <x:v>N/A</x:v>
      </x:c>
      <x:c r="I222" s="59"/>
      <x:c r="J222" s="59" t="str">
        <x:v>ไม่ทราบ</x:v>
      </x:c>
      <x:c r="K222" s="59"/>
      <x:c r="L222" s="59"/>
      <x:c r="M222" s="59"/>
      <x:c r="N222" s="59"/>
      <x:c r="O222" s="59"/>
      <x:c r="P222" s="59"/>
      <x:c r="Q222" s="59"/>
      <x:c r="R222" s="59"/>
      <x:c r="S222" s="59"/>
      <x:c r="T222" s="59"/>
      <x:c r="U222" s="59"/>
      <x:c r="V222" s="59"/>
      <x:c r="W222" s="59"/>
      <x:c r="X222" s="59"/>
      <x:c r="Y222" s="59"/>
      <x:c r="Z222" s="59"/>
      <x:c r="AA222" s="8" t="str">
        <x:f>IF(C222="ไม่ทราบ","",SUMIFS($K$7:$Z$7,K222:Z222,"&lt;&gt;N/A"))</x:f>
      </x:c>
      <x:c r="AB222" s="8" t="str">
        <x:f>IF(AND(OR(AND(C222="จำหน่ายอาหาร",ISNUMBER(K222),L222="N/A"),AND(C222="ไม่จำหน่ายอาหาร",K222="N/A",ISNUMBER(L222)),AND(C222="มัสยิด",K222="N/A",L222="N/A",X222="N/A")),COUNT(K222:Z222)+COUNTIFS(K222:Z222,"N/A")=16),SUM(K222:Z222),"")</x:f>
      </x:c>
      <x:c r="AC222" s="62" t="str">
        <x:f>IF(OR(AB222="",AA222&lt;=0),"",ROUND(AB222/AA222*100,1))</x:f>
      </x:c>
      <x:c r="AD222" s="8" t="str">
        <x:f>IF(COUNTIFS(D222:H222,"ไม่ผ่าน")&gt;0,"ไม่ผ่าน",IF(COUNTIFS(D222:H222,"ไม่ทราบ")+COUNTBLANK(D222:H222)&gt;0,"รอยืนยัน","ผ่าน"))</x:f>
        <x:v>รอยืนยัน</x:v>
      </x:c>
      <x:c r="AE222" s="8" t="str">
        <x:f>IF(AF222="ใช่","ไม่ผ่านการคัดเลือก",IF(AND(AD222="ผ่าน",ISNUMBER(AC222),AC222&gt;=70),"พร้อมขาย",IF(OR(J222="ใช่",AND(ISNUMBER(AC222),AC222&gt;=50)),"พัฒนาเพื่อพร้อมขาย",IF(AND(ISNUMBER(AC222),AC222&lt;50,I222&gt;=1),"มีศักยภาพ แต่ต้องพัฒนามาตรฐาน","รอประเมิน"))))</x:f>
        <x:v>รอประเมิน</x:v>
      </x:c>
      <x:c r="AF222" s="59" t="str">
        <x:v>ไม่ทราบ</x:v>
      </x:c>
      <x:c r="AG222" s="8" t="str">
        <x:f>IF(AF222="ใช่","หัวหน้าทีมพิจารณาเหตุไม่ผ่าน",IF(OR(AA222&lt;=0,NOT(OR(AND(C222="จำหน่ายอาหาร",ISNUMBER(K222),L222="N/A"),AND(C222="ไม่จำหน่ายอาหาร",K222="N/A",ISNUMBER(L222)),AND(C222="มัสยิด",K222="N/A",L222="N/A",X222="N/A"))),AD222="รอยืนยัน",COUNT(K222:Z222)+COUNTIFS(K222:Z222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2" s="59" t="str"/>
      <x:c r="AI222" s="61"/>
    </x:row>
    <x:row r="223" ht="60" customHeight="1">
      <x:c r="A223" s="2" t="str">
        <x:v>R26-327</x:v>
      </x:c>
      <x:c r="B223" s="8" t="str">
        <x:v>ตลาดน้ำอโยธยา</x:v>
      </x:c>
      <x:c r="C223" s="59" t="str">
        <x:v>ไม่ทราบ</x:v>
      </x:c>
      <x:c r="D223" s="59" t="str">
        <x:v>ไม่ทราบ</x:v>
      </x:c>
      <x:c r="E223" s="59" t="str">
        <x:v>ไม่ทราบ</x:v>
      </x:c>
      <x:c r="F223" s="59" t="str">
        <x:v>ไม่ทราบ</x:v>
      </x:c>
      <x:c r="G223" s="59" t="str">
        <x:v>ไม่ทราบ</x:v>
      </x:c>
      <x:c r="H223" s="59" t="str">
        <x:v>N/A</x:v>
      </x:c>
      <x:c r="I223" s="59"/>
      <x:c r="J223" s="59" t="str">
        <x:v>ไม่ทราบ</x:v>
      </x:c>
      <x:c r="K223" s="59"/>
      <x:c r="L223" s="59"/>
      <x:c r="M223" s="59"/>
      <x:c r="N223" s="59"/>
      <x:c r="O223" s="59"/>
      <x:c r="P223" s="59"/>
      <x:c r="Q223" s="59"/>
      <x:c r="R223" s="59"/>
      <x:c r="S223" s="59"/>
      <x:c r="T223" s="59"/>
      <x:c r="U223" s="59"/>
      <x:c r="V223" s="59"/>
      <x:c r="W223" s="59"/>
      <x:c r="X223" s="59"/>
      <x:c r="Y223" s="59"/>
      <x:c r="Z223" s="59"/>
      <x:c r="AA223" s="8" t="str">
        <x:f>IF(C223="ไม่ทราบ","",SUMIFS($K$7:$Z$7,K223:Z223,"&lt;&gt;N/A"))</x:f>
      </x:c>
      <x:c r="AB223" s="8" t="str">
        <x:f>IF(AND(OR(AND(C223="จำหน่ายอาหาร",ISNUMBER(K223),L223="N/A"),AND(C223="ไม่จำหน่ายอาหาร",K223="N/A",ISNUMBER(L223)),AND(C223="มัสยิด",K223="N/A",L223="N/A",X223="N/A")),COUNT(K223:Z223)+COUNTIFS(K223:Z223,"N/A")=16),SUM(K223:Z223),"")</x:f>
      </x:c>
      <x:c r="AC223" s="62" t="str">
        <x:f>IF(OR(AB223="",AA223&lt;=0),"",ROUND(AB223/AA223*100,1))</x:f>
      </x:c>
      <x:c r="AD223" s="8" t="str">
        <x:f>IF(COUNTIFS(D223:H223,"ไม่ผ่าน")&gt;0,"ไม่ผ่าน",IF(COUNTIFS(D223:H223,"ไม่ทราบ")+COUNTBLANK(D223:H223)&gt;0,"รอยืนยัน","ผ่าน"))</x:f>
        <x:v>รอยืนยัน</x:v>
      </x:c>
      <x:c r="AE223" s="8" t="str">
        <x:f>IF(AF223="ใช่","ไม่ผ่านการคัดเลือก",IF(AND(AD223="ผ่าน",ISNUMBER(AC223),AC223&gt;=70),"พร้อมขาย",IF(OR(J223="ใช่",AND(ISNUMBER(AC223),AC223&gt;=50)),"พัฒนาเพื่อพร้อมขาย",IF(AND(ISNUMBER(AC223),AC223&lt;50,I223&gt;=1),"มีศักยภาพ แต่ต้องพัฒนามาตรฐาน","รอประเมิน"))))</x:f>
        <x:v>รอประเมิน</x:v>
      </x:c>
      <x:c r="AF223" s="59" t="str">
        <x:v>ไม่ทราบ</x:v>
      </x:c>
      <x:c r="AG223" s="8" t="str">
        <x:f>IF(AF223="ใช่","หัวหน้าทีมพิจารณาเหตุไม่ผ่าน",IF(OR(AA223&lt;=0,NOT(OR(AND(C223="จำหน่ายอาหาร",ISNUMBER(K223),L223="N/A"),AND(C223="ไม่จำหน่ายอาหาร",K223="N/A",ISNUMBER(L223)),AND(C223="มัสยิด",K223="N/A",L223="N/A",X223="N/A"))),AD223="รอยืนยัน",COUNT(K223:Z223)+COUNTIFS(K223:Z223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3" s="59" t="str"/>
      <x:c r="AI223" s="61"/>
    </x:row>
    <x:row r="224" ht="60" customHeight="1">
      <x:c r="A224" s="2" t="str">
        <x:v>R26-049</x:v>
      </x:c>
      <x:c r="B224" s="8" t="str">
        <x:v>Sai Tharn Iyara Resort</x:v>
      </x:c>
      <x:c r="C224" s="59" t="str">
        <x:v>ไม่ทราบ</x:v>
      </x:c>
      <x:c r="D224" s="59" t="str">
        <x:v>ไม่ทราบ</x:v>
      </x:c>
      <x:c r="E224" s="59" t="str">
        <x:v>ไม่ทราบ</x:v>
      </x:c>
      <x:c r="F224" s="59" t="str">
        <x:v>ไม่ทราบ</x:v>
      </x:c>
      <x:c r="G224" s="59" t="str">
        <x:v>ไม่ทราบ</x:v>
      </x:c>
      <x:c r="H224" s="59" t="str">
        <x:v>ไม่ทราบ</x:v>
      </x:c>
      <x:c r="I224" s="59"/>
      <x:c r="J224" s="59" t="str">
        <x:v>ไม่ทราบ</x:v>
      </x:c>
      <x:c r="K224" s="59"/>
      <x:c r="L224" s="59"/>
      <x:c r="M224" s="59"/>
      <x:c r="N224" s="59"/>
      <x:c r="O224" s="59"/>
      <x:c r="P224" s="59"/>
      <x:c r="Q224" s="59"/>
      <x:c r="R224" s="59"/>
      <x:c r="S224" s="59"/>
      <x:c r="T224" s="59"/>
      <x:c r="U224" s="59"/>
      <x:c r="V224" s="59"/>
      <x:c r="W224" s="59"/>
      <x:c r="X224" s="59"/>
      <x:c r="Y224" s="59"/>
      <x:c r="Z224" s="59"/>
      <x:c r="AA224" s="8" t="str">
        <x:f>IF(C224="ไม่ทราบ","",SUMIFS($K$7:$Z$7,K224:Z224,"&lt;&gt;N/A"))</x:f>
      </x:c>
      <x:c r="AB224" s="8" t="str">
        <x:f>IF(AND(OR(AND(C224="จำหน่ายอาหาร",ISNUMBER(K224),L224="N/A"),AND(C224="ไม่จำหน่ายอาหาร",K224="N/A",ISNUMBER(L224)),AND(C224="มัสยิด",K224="N/A",L224="N/A",X224="N/A")),COUNT(K224:Z224)+COUNTIFS(K224:Z224,"N/A")=16),SUM(K224:Z224),"")</x:f>
      </x:c>
      <x:c r="AC224" s="62" t="str">
        <x:f>IF(OR(AB224="",AA224&lt;=0),"",ROUND(AB224/AA224*100,1))</x:f>
      </x:c>
      <x:c r="AD224" s="8" t="str">
        <x:f>IF(COUNTIFS(D224:H224,"ไม่ผ่าน")&gt;0,"ไม่ผ่าน",IF(COUNTIFS(D224:H224,"ไม่ทราบ")+COUNTBLANK(D224:H224)&gt;0,"รอยืนยัน","ผ่าน"))</x:f>
        <x:v>รอยืนยัน</x:v>
      </x:c>
      <x:c r="AE224" s="8" t="str">
        <x:f>IF(AF224="ใช่","ไม่ผ่านการคัดเลือก",IF(AND(AD224="ผ่าน",ISNUMBER(AC224),AC224&gt;=70),"พร้อมขาย",IF(OR(J224="ใช่",AND(ISNUMBER(AC224),AC224&gt;=50)),"พัฒนาเพื่อพร้อมขาย",IF(AND(ISNUMBER(AC224),AC224&lt;50,I224&gt;=1),"มีศักยภาพ แต่ต้องพัฒนามาตรฐาน","รอประเมิน"))))</x:f>
        <x:v>รอประเมิน</x:v>
      </x:c>
      <x:c r="AF224" s="59" t="str">
        <x:v>ไม่ทราบ</x:v>
      </x:c>
      <x:c r="AG224" s="8" t="str">
        <x:f>IF(AF224="ใช่","หัวหน้าทีมพิจารณาเหตุไม่ผ่าน",IF(OR(AA224&lt;=0,NOT(OR(AND(C224="จำหน่ายอาหาร",ISNUMBER(K224),L224="N/A"),AND(C224="ไม่จำหน่ายอาหาร",K224="N/A",ISNUMBER(L224)),AND(C224="มัสยิด",K224="N/A",L224="N/A",X224="N/A"))),AD224="รอยืนยัน",COUNT(K224:Z224)+COUNTIFS(K224:Z224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4" s="59" t="str"/>
      <x:c r="AI224" s="61"/>
    </x:row>
    <x:row r="225" ht="60" customHeight="1">
      <x:c r="A225" s="2" t="str">
        <x:v>R26-047</x:v>
      </x:c>
      <x:c r="B225" s="8" t="str">
        <x:v>ครัวซุเบรฟาร์ม อาหารอิสลาม</x:v>
      </x:c>
      <x:c r="C225" s="59" t="str">
        <x:v>จำหน่ายอาหาร</x:v>
      </x:c>
      <x:c r="D225" s="59" t="str">
        <x:v>ไม่ทราบ</x:v>
      </x:c>
      <x:c r="E225" s="59" t="str">
        <x:v>ไม่ทราบ</x:v>
      </x:c>
      <x:c r="F225" s="59" t="str">
        <x:v>ไม่ทราบ</x:v>
      </x:c>
      <x:c r="G225" s="59" t="str">
        <x:v>ไม่ทราบ</x:v>
      </x:c>
      <x:c r="H225" s="59" t="str">
        <x:v>N/A</x:v>
      </x:c>
      <x:c r="I225" s="59"/>
      <x:c r="J225" s="59" t="str">
        <x:v>ไม่ทราบ</x:v>
      </x:c>
      <x:c r="K225" s="59"/>
      <x:c r="L225" s="59" t="str">
        <x:v>N/A</x:v>
      </x:c>
      <x:c r="M225" s="59"/>
      <x:c r="N225" s="59"/>
      <x:c r="O225" s="59"/>
      <x:c r="P225" s="59"/>
      <x:c r="Q225" s="59"/>
      <x:c r="R225" s="59"/>
      <x:c r="S225" s="59"/>
      <x:c r="T225" s="59"/>
      <x:c r="U225" s="59"/>
      <x:c r="V225" s="59"/>
      <x:c r="W225" s="59"/>
      <x:c r="X225" s="59"/>
      <x:c r="Y225" s="59"/>
      <x:c r="Z225" s="59"/>
      <x:c r="AA225" s="8" t="n">
        <x:f>IF(C225="ไม่ทราบ","",SUMIFS($K$7:$Z$7,K225:Z225,"&lt;&gt;N/A"))</x:f>
        <x:v>100</x:v>
      </x:c>
      <x:c r="AB225" s="8" t="str">
        <x:f>IF(AND(OR(AND(C225="จำหน่ายอาหาร",ISNUMBER(K225),L225="N/A"),AND(C225="ไม่จำหน่ายอาหาร",K225="N/A",ISNUMBER(L225)),AND(C225="มัสยิด",K225="N/A",L225="N/A",X225="N/A")),COUNT(K225:Z225)+COUNTIFS(K225:Z225,"N/A")=16),SUM(K225:Z225),"")</x:f>
      </x:c>
      <x:c r="AC225" s="62" t="str">
        <x:f>IF(OR(AB225="",AA225&lt;=0),"",ROUND(AB225/AA225*100,1))</x:f>
      </x:c>
      <x:c r="AD225" s="8" t="str">
        <x:f>IF(COUNTIFS(D225:H225,"ไม่ผ่าน")&gt;0,"ไม่ผ่าน",IF(COUNTIFS(D225:H225,"ไม่ทราบ")+COUNTBLANK(D225:H225)&gt;0,"รอยืนยัน","ผ่าน"))</x:f>
        <x:v>รอยืนยัน</x:v>
      </x:c>
      <x:c r="AE225" s="8" t="str">
        <x:f>IF(AF225="ใช่","ไม่ผ่านการคัดเลือก",IF(AND(AD225="ผ่าน",ISNUMBER(AC225),AC225&gt;=70),"พร้อมขาย",IF(OR(J225="ใช่",AND(ISNUMBER(AC225),AC225&gt;=50)),"พัฒนาเพื่อพร้อมขาย",IF(AND(ISNUMBER(AC225),AC225&lt;50,I225&gt;=1),"มีศักยภาพ แต่ต้องพัฒนามาตรฐาน","รอประเมิน"))))</x:f>
        <x:v>รอประเมิน</x:v>
      </x:c>
      <x:c r="AF225" s="59" t="str">
        <x:v>ไม่ทราบ</x:v>
      </x:c>
      <x:c r="AG225" s="8" t="str">
        <x:f>IF(AF225="ใช่","หัวหน้าทีมพิจารณาเหตุไม่ผ่าน",IF(OR(AA225&lt;=0,NOT(OR(AND(C225="จำหน่ายอาหาร",ISNUMBER(K225),L225="N/A"),AND(C225="ไม่จำหน่ายอาหาร",K225="N/A",ISNUMBER(L225)),AND(C225="มัสยิด",K225="N/A",L225="N/A",X225="N/A"))),AD225="รอยืนยัน",COUNT(K225:Z225)+COUNTIFS(K225:Z225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5" s="59" t="str"/>
      <x:c r="AI225" s="61"/>
    </x:row>
    <x:row r="226" ht="60" customHeight="1">
      <x:c r="A226" s="2" t="str">
        <x:v>TMF-443</x:v>
      </x:c>
      <x:c r="B226" s="8" t="str">
        <x:v>น้ำตกเอราวัณ</x:v>
      </x:c>
      <x:c r="C226" s="59" t="str">
        <x:v>ไม่ทราบ</x:v>
      </x:c>
      <x:c r="D226" s="59" t="str">
        <x:v>ไม่ทราบ</x:v>
      </x:c>
      <x:c r="E226" s="59" t="str">
        <x:v>ไม่ทราบ</x:v>
      </x:c>
      <x:c r="F226" s="59" t="str">
        <x:v>ไม่ทราบ</x:v>
      </x:c>
      <x:c r="G226" s="59" t="str">
        <x:v>ไม่ทราบ</x:v>
      </x:c>
      <x:c r="H226" s="59" t="str">
        <x:v>N/A</x:v>
      </x:c>
      <x:c r="I226" s="59"/>
      <x:c r="J226" s="59" t="str">
        <x:v>ไม่ทราบ</x:v>
      </x:c>
      <x:c r="K226" s="59"/>
      <x:c r="L226" s="59"/>
      <x:c r="M226" s="59"/>
      <x:c r="N226" s="59"/>
      <x:c r="O226" s="59"/>
      <x:c r="P226" s="59"/>
      <x:c r="Q226" s="59"/>
      <x:c r="R226" s="59"/>
      <x:c r="S226" s="59"/>
      <x:c r="T226" s="59"/>
      <x:c r="U226" s="59"/>
      <x:c r="V226" s="59"/>
      <x:c r="W226" s="59"/>
      <x:c r="X226" s="59"/>
      <x:c r="Y226" s="59"/>
      <x:c r="Z226" s="59"/>
      <x:c r="AA226" s="8" t="str">
        <x:f>IF(C226="ไม่ทราบ","",SUMIFS($K$7:$Z$7,K226:Z226,"&lt;&gt;N/A"))</x:f>
      </x:c>
      <x:c r="AB226" s="8" t="str">
        <x:f>IF(AND(OR(AND(C226="จำหน่ายอาหาร",ISNUMBER(K226),L226="N/A"),AND(C226="ไม่จำหน่ายอาหาร",K226="N/A",ISNUMBER(L226)),AND(C226="มัสยิด",K226="N/A",L226="N/A",X226="N/A")),COUNT(K226:Z226)+COUNTIFS(K226:Z226,"N/A")=16),SUM(K226:Z226),"")</x:f>
      </x:c>
      <x:c r="AC226" s="62" t="str">
        <x:f>IF(OR(AB226="",AA226&lt;=0),"",ROUND(AB226/AA226*100,1))</x:f>
      </x:c>
      <x:c r="AD226" s="8" t="str">
        <x:f>IF(COUNTIFS(D226:H226,"ไม่ผ่าน")&gt;0,"ไม่ผ่าน",IF(COUNTIFS(D226:H226,"ไม่ทราบ")+COUNTBLANK(D226:H226)&gt;0,"รอยืนยัน","ผ่าน"))</x:f>
        <x:v>รอยืนยัน</x:v>
      </x:c>
      <x:c r="AE226" s="8" t="str">
        <x:f>IF(AF226="ใช่","ไม่ผ่านการคัดเลือก",IF(AND(AD226="ผ่าน",ISNUMBER(AC226),AC226&gt;=70),"พร้อมขาย",IF(OR(J226="ใช่",AND(ISNUMBER(AC226),AC226&gt;=50)),"พัฒนาเพื่อพร้อมขาย",IF(AND(ISNUMBER(AC226),AC226&lt;50,I226&gt;=1),"มีศักยภาพ แต่ต้องพัฒนามาตรฐาน","รอประเมิน"))))</x:f>
        <x:v>รอประเมิน</x:v>
      </x:c>
      <x:c r="AF226" s="59" t="str">
        <x:v>ไม่ทราบ</x:v>
      </x:c>
      <x:c r="AG226" s="8" t="str">
        <x:f>IF(AF226="ใช่","หัวหน้าทีมพิจารณาเหตุไม่ผ่าน",IF(OR(AA226&lt;=0,NOT(OR(AND(C226="จำหน่ายอาหาร",ISNUMBER(K226),L226="N/A"),AND(C226="ไม่จำหน่ายอาหาร",K226="N/A",ISNUMBER(L226)),AND(C226="มัสยิด",K226="N/A",L226="N/A",X226="N/A"))),AD226="รอยืนยัน",COUNT(K226:Z226)+COUNTIFS(K226:Z226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6" s="59" t="str"/>
      <x:c r="AI226" s="61"/>
    </x:row>
    <x:row r="227" ht="60" customHeight="1">
      <x:c r="A227" s="2" t="str">
        <x:v>R26-046</x:v>
      </x:c>
      <x:c r="B227" s="8" t="str">
        <x:v>สะพานข้ามแม่น้ำแคว</x:v>
      </x:c>
      <x:c r="C227" s="59" t="str">
        <x:v>ไม่ทราบ</x:v>
      </x:c>
      <x:c r="D227" s="59" t="str">
        <x:v>ไม่ทราบ</x:v>
      </x:c>
      <x:c r="E227" s="59" t="str">
        <x:v>ไม่ทราบ</x:v>
      </x:c>
      <x:c r="F227" s="59" t="str">
        <x:v>ไม่ทราบ</x:v>
      </x:c>
      <x:c r="G227" s="59" t="str">
        <x:v>ไม่ทราบ</x:v>
      </x:c>
      <x:c r="H227" s="59" t="str">
        <x:v>N/A</x:v>
      </x:c>
      <x:c r="I227" s="59"/>
      <x:c r="J227" s="59" t="str">
        <x:v>ไม่ทราบ</x:v>
      </x:c>
      <x:c r="K227" s="59"/>
      <x:c r="L227" s="59"/>
      <x:c r="M227" s="59"/>
      <x:c r="N227" s="59"/>
      <x:c r="O227" s="59"/>
      <x:c r="P227" s="59"/>
      <x:c r="Q227" s="59"/>
      <x:c r="R227" s="59"/>
      <x:c r="S227" s="59"/>
      <x:c r="T227" s="59"/>
      <x:c r="U227" s="59"/>
      <x:c r="V227" s="59"/>
      <x:c r="W227" s="59"/>
      <x:c r="X227" s="59"/>
      <x:c r="Y227" s="59"/>
      <x:c r="Z227" s="59"/>
      <x:c r="AA227" s="8" t="str">
        <x:f>IF(C227="ไม่ทราบ","",SUMIFS($K$7:$Z$7,K227:Z227,"&lt;&gt;N/A"))</x:f>
      </x:c>
      <x:c r="AB227" s="8" t="str">
        <x:f>IF(AND(OR(AND(C227="จำหน่ายอาหาร",ISNUMBER(K227),L227="N/A"),AND(C227="ไม่จำหน่ายอาหาร",K227="N/A",ISNUMBER(L227)),AND(C227="มัสยิด",K227="N/A",L227="N/A",X227="N/A")),COUNT(K227:Z227)+COUNTIFS(K227:Z227,"N/A")=16),SUM(K227:Z227),"")</x:f>
      </x:c>
      <x:c r="AC227" s="62" t="str">
        <x:f>IF(OR(AB227="",AA227&lt;=0),"",ROUND(AB227/AA227*100,1))</x:f>
      </x:c>
      <x:c r="AD227" s="8" t="str">
        <x:f>IF(COUNTIFS(D227:H227,"ไม่ผ่าน")&gt;0,"ไม่ผ่าน",IF(COUNTIFS(D227:H227,"ไม่ทราบ")+COUNTBLANK(D227:H227)&gt;0,"รอยืนยัน","ผ่าน"))</x:f>
        <x:v>รอยืนยัน</x:v>
      </x:c>
      <x:c r="AE227" s="8" t="str">
        <x:f>IF(AF227="ใช่","ไม่ผ่านการคัดเลือก",IF(AND(AD227="ผ่าน",ISNUMBER(AC227),AC227&gt;=70),"พร้อมขาย",IF(OR(J227="ใช่",AND(ISNUMBER(AC227),AC227&gt;=50)),"พัฒนาเพื่อพร้อมขาย",IF(AND(ISNUMBER(AC227),AC227&lt;50,I227&gt;=1),"มีศักยภาพ แต่ต้องพัฒนามาตรฐาน","รอประเมิน"))))</x:f>
        <x:v>รอประเมิน</x:v>
      </x:c>
      <x:c r="AF227" s="59" t="str">
        <x:v>ไม่ทราบ</x:v>
      </x:c>
      <x:c r="AG227" s="8" t="str">
        <x:f>IF(AF227="ใช่","หัวหน้าทีมพิจารณาเหตุไม่ผ่าน",IF(OR(AA227&lt;=0,NOT(OR(AND(C227="จำหน่ายอาหาร",ISNUMBER(K227),L227="N/A"),AND(C227="ไม่จำหน่ายอาหาร",K227="N/A",ISNUMBER(L227)),AND(C227="มัสยิด",K227="N/A",L227="N/A",X227="N/A"))),AD227="รอยืนยัน",COUNT(K227:Z227)+COUNTIFS(K227:Z227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7" s="59" t="str"/>
      <x:c r="AI227" s="61"/>
    </x:row>
    <x:row r="228" ht="60" customHeight="1">
      <x:c r="A228" s="2" t="str">
        <x:v>R26-050</x:v>
      </x:c>
      <x:c r="B228" s="8" t="str">
        <x:v>ปางช้างไทรโยค</x:v>
      </x:c>
      <x:c r="C228" s="59" t="str">
        <x:v>ไม่ทราบ</x:v>
      </x:c>
      <x:c r="D228" s="59" t="str">
        <x:v>ไม่ทราบ</x:v>
      </x:c>
      <x:c r="E228" s="59" t="str">
        <x:v>ไม่ทราบ</x:v>
      </x:c>
      <x:c r="F228" s="59" t="str">
        <x:v>ไม่ทราบ</x:v>
      </x:c>
      <x:c r="G228" s="59" t="str">
        <x:v>ไม่ทราบ</x:v>
      </x:c>
      <x:c r="H228" s="59" t="str">
        <x:v>N/A</x:v>
      </x:c>
      <x:c r="I228" s="59"/>
      <x:c r="J228" s="59" t="str">
        <x:v>ไม่ทราบ</x:v>
      </x:c>
      <x:c r="K228" s="59"/>
      <x:c r="L228" s="59"/>
      <x:c r="M228" s="59"/>
      <x:c r="N228" s="59"/>
      <x:c r="O228" s="59"/>
      <x:c r="P228" s="59"/>
      <x:c r="Q228" s="59"/>
      <x:c r="R228" s="59"/>
      <x:c r="S228" s="59"/>
      <x:c r="T228" s="59"/>
      <x:c r="U228" s="59"/>
      <x:c r="V228" s="59"/>
      <x:c r="W228" s="59"/>
      <x:c r="X228" s="59"/>
      <x:c r="Y228" s="59"/>
      <x:c r="Z228" s="59"/>
      <x:c r="AA228" s="8" t="str">
        <x:f>IF(C228="ไม่ทราบ","",SUMIFS($K$7:$Z$7,K228:Z228,"&lt;&gt;N/A"))</x:f>
      </x:c>
      <x:c r="AB228" s="8" t="str">
        <x:f>IF(AND(OR(AND(C228="จำหน่ายอาหาร",ISNUMBER(K228),L228="N/A"),AND(C228="ไม่จำหน่ายอาหาร",K228="N/A",ISNUMBER(L228)),AND(C228="มัสยิด",K228="N/A",L228="N/A",X228="N/A")),COUNT(K228:Z228)+COUNTIFS(K228:Z228,"N/A")=16),SUM(K228:Z228),"")</x:f>
      </x:c>
      <x:c r="AC228" s="62" t="str">
        <x:f>IF(OR(AB228="",AA228&lt;=0),"",ROUND(AB228/AA228*100,1))</x:f>
      </x:c>
      <x:c r="AD228" s="8" t="str">
        <x:f>IF(COUNTIFS(D228:H228,"ไม่ผ่าน")&gt;0,"ไม่ผ่าน",IF(COUNTIFS(D228:H228,"ไม่ทราบ")+COUNTBLANK(D228:H228)&gt;0,"รอยืนยัน","ผ่าน"))</x:f>
        <x:v>รอยืนยัน</x:v>
      </x:c>
      <x:c r="AE228" s="8" t="str">
        <x:f>IF(AF228="ใช่","ไม่ผ่านการคัดเลือก",IF(AND(AD228="ผ่าน",ISNUMBER(AC228),AC228&gt;=70),"พร้อมขาย",IF(OR(J228="ใช่",AND(ISNUMBER(AC228),AC228&gt;=50)),"พัฒนาเพื่อพร้อมขาย",IF(AND(ISNUMBER(AC228),AC228&lt;50,I228&gt;=1),"มีศักยภาพ แต่ต้องพัฒนามาตรฐาน","รอประเมิน"))))</x:f>
        <x:v>รอประเมิน</x:v>
      </x:c>
      <x:c r="AF228" s="59" t="str">
        <x:v>ไม่ทราบ</x:v>
      </x:c>
      <x:c r="AG228" s="8" t="str">
        <x:f>IF(AF228="ใช่","หัวหน้าทีมพิจารณาเหตุไม่ผ่าน",IF(OR(AA228&lt;=0,NOT(OR(AND(C228="จำหน่ายอาหาร",ISNUMBER(K228),L228="N/A"),AND(C228="ไม่จำหน่ายอาหาร",K228="N/A",ISNUMBER(L228)),AND(C228="มัสยิด",K228="N/A",L228="N/A",X228="N/A"))),AD228="รอยืนยัน",COUNT(K228:Z228)+COUNTIFS(K228:Z228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8" s="59" t="str"/>
      <x:c r="AI228" s="61"/>
    </x:row>
    <x:row r="229" ht="60" customHeight="1">
      <x:c r="A229" s="2" t="str">
        <x:v>R26-369</x:v>
      </x:c>
      <x:c r="B229" s="8" t="str">
        <x:v>Felix River Kwai Resort</x:v>
      </x:c>
      <x:c r="C229" s="59" t="str">
        <x:v>ไม่ทราบ</x:v>
      </x:c>
      <x:c r="D229" s="59" t="str">
        <x:v>ไม่ทราบ</x:v>
      </x:c>
      <x:c r="E229" s="59" t="str">
        <x:v>ไม่ทราบ</x:v>
      </x:c>
      <x:c r="F229" s="59" t="str">
        <x:v>ไม่ทราบ</x:v>
      </x:c>
      <x:c r="G229" s="59" t="str">
        <x:v>ไม่ทราบ</x:v>
      </x:c>
      <x:c r="H229" s="59" t="str">
        <x:v>ไม่ทราบ</x:v>
      </x:c>
      <x:c r="I229" s="59"/>
      <x:c r="J229" s="59" t="str">
        <x:v>ไม่ทราบ</x:v>
      </x:c>
      <x:c r="K229" s="59"/>
      <x:c r="L229" s="59"/>
      <x:c r="M229" s="59"/>
      <x:c r="N229" s="59"/>
      <x:c r="O229" s="59"/>
      <x:c r="P229" s="59"/>
      <x:c r="Q229" s="59"/>
      <x:c r="R229" s="59"/>
      <x:c r="S229" s="59"/>
      <x:c r="T229" s="59"/>
      <x:c r="U229" s="59"/>
      <x:c r="V229" s="59"/>
      <x:c r="W229" s="59"/>
      <x:c r="X229" s="59"/>
      <x:c r="Y229" s="59"/>
      <x:c r="Z229" s="59"/>
      <x:c r="AA229" s="8" t="str">
        <x:f>IF(C229="ไม่ทราบ","",SUMIFS($K$7:$Z$7,K229:Z229,"&lt;&gt;N/A"))</x:f>
      </x:c>
      <x:c r="AB229" s="8" t="str">
        <x:f>IF(AND(OR(AND(C229="จำหน่ายอาหาร",ISNUMBER(K229),L229="N/A"),AND(C229="ไม่จำหน่ายอาหาร",K229="N/A",ISNUMBER(L229)),AND(C229="มัสยิด",K229="N/A",L229="N/A",X229="N/A")),COUNT(K229:Z229)+COUNTIFS(K229:Z229,"N/A")=16),SUM(K229:Z229),"")</x:f>
      </x:c>
      <x:c r="AC229" s="62" t="str">
        <x:f>IF(OR(AB229="",AA229&lt;=0),"",ROUND(AB229/AA229*100,1))</x:f>
      </x:c>
      <x:c r="AD229" s="8" t="str">
        <x:f>IF(COUNTIFS(D229:H229,"ไม่ผ่าน")&gt;0,"ไม่ผ่าน",IF(COUNTIFS(D229:H229,"ไม่ทราบ")+COUNTBLANK(D229:H229)&gt;0,"รอยืนยัน","ผ่าน"))</x:f>
        <x:v>รอยืนยัน</x:v>
      </x:c>
      <x:c r="AE229" s="8" t="str">
        <x:f>IF(AF229="ใช่","ไม่ผ่านการคัดเลือก",IF(AND(AD229="ผ่าน",ISNUMBER(AC229),AC229&gt;=70),"พร้อมขาย",IF(OR(J229="ใช่",AND(ISNUMBER(AC229),AC229&gt;=50)),"พัฒนาเพื่อพร้อมขาย",IF(AND(ISNUMBER(AC229),AC229&lt;50,I229&gt;=1),"มีศักยภาพ แต่ต้องพัฒนามาตรฐาน","รอประเมิน"))))</x:f>
        <x:v>รอประเมิน</x:v>
      </x:c>
      <x:c r="AF229" s="59" t="str">
        <x:v>ไม่ทราบ</x:v>
      </x:c>
      <x:c r="AG229" s="8" t="str">
        <x:f>IF(AF229="ใช่","หัวหน้าทีมพิจารณาเหตุไม่ผ่าน",IF(OR(AA229&lt;=0,NOT(OR(AND(C229="จำหน่ายอาหาร",ISNUMBER(K229),L229="N/A"),AND(C229="ไม่จำหน่ายอาหาร",K229="N/A",ISNUMBER(L229)),AND(C229="มัสยิด",K229="N/A",L229="N/A",X229="N/A"))),AD229="รอยืนยัน",COUNT(K229:Z229)+COUNTIFS(K229:Z229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29" s="59" t="str"/>
      <x:c r="AI229" s="61"/>
    </x:row>
    <x:row r="230" ht="60" customHeight="1">
      <x:c r="A230" s="2" t="str">
        <x:v>R26-371</x:v>
      </x:c>
      <x:c r="B230" s="8" t="str">
        <x:v>Natee The Riverfront Hotel Kanchanaburi</x:v>
      </x:c>
      <x:c r="C230" s="59" t="str">
        <x:v>ไม่ทราบ</x:v>
      </x:c>
      <x:c r="D230" s="59" t="str">
        <x:v>ไม่ทราบ</x:v>
      </x:c>
      <x:c r="E230" s="59" t="str">
        <x:v>ไม่ทราบ</x:v>
      </x:c>
      <x:c r="F230" s="59" t="str">
        <x:v>ไม่ทราบ</x:v>
      </x:c>
      <x:c r="G230" s="59" t="str">
        <x:v>ไม่ทราบ</x:v>
      </x:c>
      <x:c r="H230" s="59" t="str">
        <x:v>ไม่ทราบ</x:v>
      </x:c>
      <x:c r="I230" s="59"/>
      <x:c r="J230" s="59" t="str">
        <x:v>ไม่ทราบ</x:v>
      </x:c>
      <x:c r="K230" s="59"/>
      <x:c r="L230" s="59"/>
      <x:c r="M230" s="59"/>
      <x:c r="N230" s="59"/>
      <x:c r="O230" s="59"/>
      <x:c r="P230" s="59"/>
      <x:c r="Q230" s="59"/>
      <x:c r="R230" s="59"/>
      <x:c r="S230" s="59"/>
      <x:c r="T230" s="59"/>
      <x:c r="U230" s="59"/>
      <x:c r="V230" s="59"/>
      <x:c r="W230" s="59"/>
      <x:c r="X230" s="59"/>
      <x:c r="Y230" s="59"/>
      <x:c r="Z230" s="59"/>
      <x:c r="AA230" s="8" t="str">
        <x:f>IF(C230="ไม่ทราบ","",SUMIFS($K$7:$Z$7,K230:Z230,"&lt;&gt;N/A"))</x:f>
      </x:c>
      <x:c r="AB230" s="8" t="str">
        <x:f>IF(AND(OR(AND(C230="จำหน่ายอาหาร",ISNUMBER(K230),L230="N/A"),AND(C230="ไม่จำหน่ายอาหาร",K230="N/A",ISNUMBER(L230)),AND(C230="มัสยิด",K230="N/A",L230="N/A",X230="N/A")),COUNT(K230:Z230)+COUNTIFS(K230:Z230,"N/A")=16),SUM(K230:Z230),"")</x:f>
      </x:c>
      <x:c r="AC230" s="62" t="str">
        <x:f>IF(OR(AB230="",AA230&lt;=0),"",ROUND(AB230/AA230*100,1))</x:f>
      </x:c>
      <x:c r="AD230" s="8" t="str">
        <x:f>IF(COUNTIFS(D230:H230,"ไม่ผ่าน")&gt;0,"ไม่ผ่าน",IF(COUNTIFS(D230:H230,"ไม่ทราบ")+COUNTBLANK(D230:H230)&gt;0,"รอยืนยัน","ผ่าน"))</x:f>
        <x:v>รอยืนยัน</x:v>
      </x:c>
      <x:c r="AE230" s="8" t="str">
        <x:f>IF(AF230="ใช่","ไม่ผ่านการคัดเลือก",IF(AND(AD230="ผ่าน",ISNUMBER(AC230),AC230&gt;=70),"พร้อมขาย",IF(OR(J230="ใช่",AND(ISNUMBER(AC230),AC230&gt;=50)),"พัฒนาเพื่อพร้อมขาย",IF(AND(ISNUMBER(AC230),AC230&lt;50,I230&gt;=1),"มีศักยภาพ แต่ต้องพัฒนามาตรฐาน","รอประเมิน"))))</x:f>
        <x:v>รอประเมิน</x:v>
      </x:c>
      <x:c r="AF230" s="59" t="str">
        <x:v>ไม่ทราบ</x:v>
      </x:c>
      <x:c r="AG230" s="8" t="str">
        <x:f>IF(AF230="ใช่","หัวหน้าทีมพิจารณาเหตุไม่ผ่าน",IF(OR(AA230&lt;=0,NOT(OR(AND(C230="จำหน่ายอาหาร",ISNUMBER(K230),L230="N/A"),AND(C230="ไม่จำหน่ายอาหาร",K230="N/A",ISNUMBER(L230)),AND(C230="มัสยิด",K230="N/A",L230="N/A",X230="N/A"))),AD230="รอยืนยัน",COUNT(K230:Z230)+COUNTIFS(K230:Z230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0" s="59" t="str"/>
      <x:c r="AI230" s="61"/>
    </x:row>
    <x:row r="231" ht="60" customHeight="1">
      <x:c r="A231" s="2" t="str">
        <x:v>R26-372</x:v>
      </x:c>
      <x:c r="B231" s="8" t="str">
        <x:v>River Kwai Resotel</x:v>
      </x:c>
      <x:c r="C231" s="59" t="str">
        <x:v>ไม่ทราบ</x:v>
      </x:c>
      <x:c r="D231" s="59" t="str">
        <x:v>ไม่ทราบ</x:v>
      </x:c>
      <x:c r="E231" s="59" t="str">
        <x:v>ไม่ทราบ</x:v>
      </x:c>
      <x:c r="F231" s="59" t="str">
        <x:v>ไม่ทราบ</x:v>
      </x:c>
      <x:c r="G231" s="59" t="str">
        <x:v>ไม่ทราบ</x:v>
      </x:c>
      <x:c r="H231" s="59" t="str">
        <x:v>ไม่ทราบ</x:v>
      </x:c>
      <x:c r="I231" s="59"/>
      <x:c r="J231" s="59" t="str">
        <x:v>ไม่ทราบ</x:v>
      </x:c>
      <x:c r="K231" s="59"/>
      <x:c r="L231" s="59"/>
      <x:c r="M231" s="59"/>
      <x:c r="N231" s="59"/>
      <x:c r="O231" s="59"/>
      <x:c r="P231" s="59"/>
      <x:c r="Q231" s="59"/>
      <x:c r="R231" s="59"/>
      <x:c r="S231" s="59"/>
      <x:c r="T231" s="59"/>
      <x:c r="U231" s="59"/>
      <x:c r="V231" s="59"/>
      <x:c r="W231" s="59"/>
      <x:c r="X231" s="59"/>
      <x:c r="Y231" s="59"/>
      <x:c r="Z231" s="59"/>
      <x:c r="AA231" s="8" t="str">
        <x:f>IF(C231="ไม่ทราบ","",SUMIFS($K$7:$Z$7,K231:Z231,"&lt;&gt;N/A"))</x:f>
      </x:c>
      <x:c r="AB231" s="8" t="str">
        <x:f>IF(AND(OR(AND(C231="จำหน่ายอาหาร",ISNUMBER(K231),L231="N/A"),AND(C231="ไม่จำหน่ายอาหาร",K231="N/A",ISNUMBER(L231)),AND(C231="มัสยิด",K231="N/A",L231="N/A",X231="N/A")),COUNT(K231:Z231)+COUNTIFS(K231:Z231,"N/A")=16),SUM(K231:Z231),"")</x:f>
      </x:c>
      <x:c r="AC231" s="62" t="str">
        <x:f>IF(OR(AB231="",AA231&lt;=0),"",ROUND(AB231/AA231*100,1))</x:f>
      </x:c>
      <x:c r="AD231" s="8" t="str">
        <x:f>IF(COUNTIFS(D231:H231,"ไม่ผ่าน")&gt;0,"ไม่ผ่าน",IF(COUNTIFS(D231:H231,"ไม่ทราบ")+COUNTBLANK(D231:H231)&gt;0,"รอยืนยัน","ผ่าน"))</x:f>
        <x:v>รอยืนยัน</x:v>
      </x:c>
      <x:c r="AE231" s="8" t="str">
        <x:f>IF(AF231="ใช่","ไม่ผ่านการคัดเลือก",IF(AND(AD231="ผ่าน",ISNUMBER(AC231),AC231&gt;=70),"พร้อมขาย",IF(OR(J231="ใช่",AND(ISNUMBER(AC231),AC231&gt;=50)),"พัฒนาเพื่อพร้อมขาย",IF(AND(ISNUMBER(AC231),AC231&lt;50,I231&gt;=1),"มีศักยภาพ แต่ต้องพัฒนามาตรฐาน","รอประเมิน"))))</x:f>
        <x:v>รอประเมิน</x:v>
      </x:c>
      <x:c r="AF231" s="59" t="str">
        <x:v>ไม่ทราบ</x:v>
      </x:c>
      <x:c r="AG231" s="8" t="str">
        <x:f>IF(AF231="ใช่","หัวหน้าทีมพิจารณาเหตุไม่ผ่าน",IF(OR(AA231&lt;=0,NOT(OR(AND(C231="จำหน่ายอาหาร",ISNUMBER(K231),L231="N/A"),AND(C231="ไม่จำหน่ายอาหาร",K231="N/A",ISNUMBER(L231)),AND(C231="มัสยิด",K231="N/A",L231="N/A",X231="N/A"))),AD231="รอยืนยัน",COUNT(K231:Z231)+COUNTIFS(K231:Z231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1" s="59" t="str"/>
      <x:c r="AI231" s="61"/>
    </x:row>
    <x:row r="232" ht="60" customHeight="1">
      <x:c r="A232" s="2" t="str">
        <x:v>R26-370</x:v>
      </x:c>
      <x:c r="B232" s="8" t="str">
        <x:v>U Inchantree Kanchanaburi</x:v>
      </x:c>
      <x:c r="C232" s="59" t="str">
        <x:v>ไม่ทราบ</x:v>
      </x:c>
      <x:c r="D232" s="59" t="str">
        <x:v>ไม่ทราบ</x:v>
      </x:c>
      <x:c r="E232" s="59" t="str">
        <x:v>ไม่ทราบ</x:v>
      </x:c>
      <x:c r="F232" s="59" t="str">
        <x:v>ไม่ทราบ</x:v>
      </x:c>
      <x:c r="G232" s="59" t="str">
        <x:v>ไม่ทราบ</x:v>
      </x:c>
      <x:c r="H232" s="59" t="str">
        <x:v>ไม่ทราบ</x:v>
      </x:c>
      <x:c r="I232" s="59"/>
      <x:c r="J232" s="59" t="str">
        <x:v>ไม่ทราบ</x:v>
      </x:c>
      <x:c r="K232" s="59"/>
      <x:c r="L232" s="59"/>
      <x:c r="M232" s="59"/>
      <x:c r="N232" s="59"/>
      <x:c r="O232" s="59"/>
      <x:c r="P232" s="59"/>
      <x:c r="Q232" s="59"/>
      <x:c r="R232" s="59"/>
      <x:c r="S232" s="59"/>
      <x:c r="T232" s="59"/>
      <x:c r="U232" s="59"/>
      <x:c r="V232" s="59"/>
      <x:c r="W232" s="59"/>
      <x:c r="X232" s="59"/>
      <x:c r="Y232" s="59"/>
      <x:c r="Z232" s="59"/>
      <x:c r="AA232" s="8" t="str">
        <x:f>IF(C232="ไม่ทราบ","",SUMIFS($K$7:$Z$7,K232:Z232,"&lt;&gt;N/A"))</x:f>
      </x:c>
      <x:c r="AB232" s="8" t="str">
        <x:f>IF(AND(OR(AND(C232="จำหน่ายอาหาร",ISNUMBER(K232),L232="N/A"),AND(C232="ไม่จำหน่ายอาหาร",K232="N/A",ISNUMBER(L232)),AND(C232="มัสยิด",K232="N/A",L232="N/A",X232="N/A")),COUNT(K232:Z232)+COUNTIFS(K232:Z232,"N/A")=16),SUM(K232:Z232),"")</x:f>
      </x:c>
      <x:c r="AC232" s="62" t="str">
        <x:f>IF(OR(AB232="",AA232&lt;=0),"",ROUND(AB232/AA232*100,1))</x:f>
      </x:c>
      <x:c r="AD232" s="8" t="str">
        <x:f>IF(COUNTIFS(D232:H232,"ไม่ผ่าน")&gt;0,"ไม่ผ่าน",IF(COUNTIFS(D232:H232,"ไม่ทราบ")+COUNTBLANK(D232:H232)&gt;0,"รอยืนยัน","ผ่าน"))</x:f>
        <x:v>รอยืนยัน</x:v>
      </x:c>
      <x:c r="AE232" s="8" t="str">
        <x:f>IF(AF232="ใช่","ไม่ผ่านการคัดเลือก",IF(AND(AD232="ผ่าน",ISNUMBER(AC232),AC232&gt;=70),"พร้อมขาย",IF(OR(J232="ใช่",AND(ISNUMBER(AC232),AC232&gt;=50)),"พัฒนาเพื่อพร้อมขาย",IF(AND(ISNUMBER(AC232),AC232&lt;50,I232&gt;=1),"มีศักยภาพ แต่ต้องพัฒนามาตรฐาน","รอประเมิน"))))</x:f>
        <x:v>รอประเมิน</x:v>
      </x:c>
      <x:c r="AF232" s="59" t="str">
        <x:v>ไม่ทราบ</x:v>
      </x:c>
      <x:c r="AG232" s="8" t="str">
        <x:f>IF(AF232="ใช่","หัวหน้าทีมพิจารณาเหตุไม่ผ่าน",IF(OR(AA232&lt;=0,NOT(OR(AND(C232="จำหน่ายอาหาร",ISNUMBER(K232),L232="N/A"),AND(C232="ไม่จำหน่ายอาหาร",K232="N/A",ISNUMBER(L232)),AND(C232="มัสยิด",K232="N/A",L232="N/A",X232="N/A"))),AD232="รอยืนยัน",COUNT(K232:Z232)+COUNTIFS(K232:Z232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2" s="59" t="str"/>
      <x:c r="AI232" s="61"/>
    </x:row>
    <x:row r="233" ht="60" customHeight="1">
      <x:c r="A233" s="2" t="str">
        <x:v>TMF-015</x:v>
      </x:c>
      <x:c r="B233" s="8" t="str">
        <x:v>ครัวฮาลาล ณ.กาญจนบุรี</x:v>
      </x:c>
      <x:c r="C233" s="59" t="str">
        <x:v>จำหน่ายอาหาร</x:v>
      </x:c>
      <x:c r="D233" s="59" t="str">
        <x:v>ไม่ทราบ</x:v>
      </x:c>
      <x:c r="E233" s="59" t="str">
        <x:v>ไม่ทราบ</x:v>
      </x:c>
      <x:c r="F233" s="59" t="str">
        <x:v>ไม่ทราบ</x:v>
      </x:c>
      <x:c r="G233" s="59" t="str">
        <x:v>ไม่ทราบ</x:v>
      </x:c>
      <x:c r="H233" s="59" t="str">
        <x:v>N/A</x:v>
      </x:c>
      <x:c r="I233" s="59"/>
      <x:c r="J233" s="59" t="str">
        <x:v>ไม่ทราบ</x:v>
      </x:c>
      <x:c r="K233" s="59"/>
      <x:c r="L233" s="59" t="str">
        <x:v>N/A</x:v>
      </x:c>
      <x:c r="M233" s="59"/>
      <x:c r="N233" s="59"/>
      <x:c r="O233" s="59"/>
      <x:c r="P233" s="59"/>
      <x:c r="Q233" s="59"/>
      <x:c r="R233" s="59"/>
      <x:c r="S233" s="59"/>
      <x:c r="T233" s="59"/>
      <x:c r="U233" s="59"/>
      <x:c r="V233" s="59"/>
      <x:c r="W233" s="59"/>
      <x:c r="X233" s="59"/>
      <x:c r="Y233" s="59"/>
      <x:c r="Z233" s="59"/>
      <x:c r="AA233" s="8" t="n">
        <x:f>IF(C233="ไม่ทราบ","",SUMIFS($K$7:$Z$7,K233:Z233,"&lt;&gt;N/A"))</x:f>
        <x:v>100</x:v>
      </x:c>
      <x:c r="AB233" s="8" t="str">
        <x:f>IF(AND(OR(AND(C233="จำหน่ายอาหาร",ISNUMBER(K233),L233="N/A"),AND(C233="ไม่จำหน่ายอาหาร",K233="N/A",ISNUMBER(L233)),AND(C233="มัสยิด",K233="N/A",L233="N/A",X233="N/A")),COUNT(K233:Z233)+COUNTIFS(K233:Z233,"N/A")=16),SUM(K233:Z233),"")</x:f>
      </x:c>
      <x:c r="AC233" s="62" t="str">
        <x:f>IF(OR(AB233="",AA233&lt;=0),"",ROUND(AB233/AA233*100,1))</x:f>
      </x:c>
      <x:c r="AD233" s="8" t="str">
        <x:f>IF(COUNTIFS(D233:H233,"ไม่ผ่าน")&gt;0,"ไม่ผ่าน",IF(COUNTIFS(D233:H233,"ไม่ทราบ")+COUNTBLANK(D233:H233)&gt;0,"รอยืนยัน","ผ่าน"))</x:f>
        <x:v>รอยืนยัน</x:v>
      </x:c>
      <x:c r="AE233" s="8" t="str">
        <x:f>IF(AF233="ใช่","ไม่ผ่านการคัดเลือก",IF(AND(AD233="ผ่าน",ISNUMBER(AC233),AC233&gt;=70),"พร้อมขาย",IF(OR(J233="ใช่",AND(ISNUMBER(AC233),AC233&gt;=50)),"พัฒนาเพื่อพร้อมขาย",IF(AND(ISNUMBER(AC233),AC233&lt;50,I233&gt;=1),"มีศักยภาพ แต่ต้องพัฒนามาตรฐาน","รอประเมิน"))))</x:f>
        <x:v>รอประเมิน</x:v>
      </x:c>
      <x:c r="AF233" s="59" t="str">
        <x:v>ไม่ทราบ</x:v>
      </x:c>
      <x:c r="AG233" s="8" t="str">
        <x:f>IF(AF233="ใช่","หัวหน้าทีมพิจารณาเหตุไม่ผ่าน",IF(OR(AA233&lt;=0,NOT(OR(AND(C233="จำหน่ายอาหาร",ISNUMBER(K233),L233="N/A"),AND(C233="ไม่จำหน่ายอาหาร",K233="N/A",ISNUMBER(L233)),AND(C233="มัสยิด",K233="N/A",L233="N/A",X233="N/A"))),AD233="รอยืนยัน",COUNT(K233:Z233)+COUNTIFS(K233:Z233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3" s="59" t="str"/>
      <x:c r="AI233" s="61"/>
    </x:row>
    <x:row r="234" ht="60" customHeight="1">
      <x:c r="A234" s="2" t="str">
        <x:v>TMF-016</x:v>
      </x:c>
      <x:c r="B234" s="8" t="str">
        <x:v>ดาดาโรตีโอ่ง กาญจนบุรี</x:v>
      </x:c>
      <x:c r="C234" s="59" t="str">
        <x:v>จำหน่ายอาหาร</x:v>
      </x:c>
      <x:c r="D234" s="59" t="str">
        <x:v>ไม่ทราบ</x:v>
      </x:c>
      <x:c r="E234" s="59" t="str">
        <x:v>ไม่ทราบ</x:v>
      </x:c>
      <x:c r="F234" s="59" t="str">
        <x:v>ไม่ทราบ</x:v>
      </x:c>
      <x:c r="G234" s="59" t="str">
        <x:v>ไม่ทราบ</x:v>
      </x:c>
      <x:c r="H234" s="59" t="str">
        <x:v>N/A</x:v>
      </x:c>
      <x:c r="I234" s="59"/>
      <x:c r="J234" s="59" t="str">
        <x:v>ไม่ทราบ</x:v>
      </x:c>
      <x:c r="K234" s="59"/>
      <x:c r="L234" s="59" t="str">
        <x:v>N/A</x:v>
      </x:c>
      <x:c r="M234" s="59"/>
      <x:c r="N234" s="59"/>
      <x:c r="O234" s="59"/>
      <x:c r="P234" s="59"/>
      <x:c r="Q234" s="59"/>
      <x:c r="R234" s="59"/>
      <x:c r="S234" s="59"/>
      <x:c r="T234" s="59"/>
      <x:c r="U234" s="59"/>
      <x:c r="V234" s="59"/>
      <x:c r="W234" s="59"/>
      <x:c r="X234" s="59"/>
      <x:c r="Y234" s="59"/>
      <x:c r="Z234" s="59"/>
      <x:c r="AA234" s="8" t="n">
        <x:f>IF(C234="ไม่ทราบ","",SUMIFS($K$7:$Z$7,K234:Z234,"&lt;&gt;N/A"))</x:f>
        <x:v>100</x:v>
      </x:c>
      <x:c r="AB234" s="8" t="str">
        <x:f>IF(AND(OR(AND(C234="จำหน่ายอาหาร",ISNUMBER(K234),L234="N/A"),AND(C234="ไม่จำหน่ายอาหาร",K234="N/A",ISNUMBER(L234)),AND(C234="มัสยิด",K234="N/A",L234="N/A",X234="N/A")),COUNT(K234:Z234)+COUNTIFS(K234:Z234,"N/A")=16),SUM(K234:Z234),"")</x:f>
      </x:c>
      <x:c r="AC234" s="62" t="str">
        <x:f>IF(OR(AB234="",AA234&lt;=0),"",ROUND(AB234/AA234*100,1))</x:f>
      </x:c>
      <x:c r="AD234" s="8" t="str">
        <x:f>IF(COUNTIFS(D234:H234,"ไม่ผ่าน")&gt;0,"ไม่ผ่าน",IF(COUNTIFS(D234:H234,"ไม่ทราบ")+COUNTBLANK(D234:H234)&gt;0,"รอยืนยัน","ผ่าน"))</x:f>
        <x:v>รอยืนยัน</x:v>
      </x:c>
      <x:c r="AE234" s="8" t="str">
        <x:f>IF(AF234="ใช่","ไม่ผ่านการคัดเลือก",IF(AND(AD234="ผ่าน",ISNUMBER(AC234),AC234&gt;=70),"พร้อมขาย",IF(OR(J234="ใช่",AND(ISNUMBER(AC234),AC234&gt;=50)),"พัฒนาเพื่อพร้อมขาย",IF(AND(ISNUMBER(AC234),AC234&lt;50,I234&gt;=1),"มีศักยภาพ แต่ต้องพัฒนามาตรฐาน","รอประเมิน"))))</x:f>
        <x:v>รอประเมิน</x:v>
      </x:c>
      <x:c r="AF234" s="59" t="str">
        <x:v>ไม่ทราบ</x:v>
      </x:c>
      <x:c r="AG234" s="8" t="str">
        <x:f>IF(AF234="ใช่","หัวหน้าทีมพิจารณาเหตุไม่ผ่าน",IF(OR(AA234&lt;=0,NOT(OR(AND(C234="จำหน่ายอาหาร",ISNUMBER(K234),L234="N/A"),AND(C234="ไม่จำหน่ายอาหาร",K234="N/A",ISNUMBER(L234)),AND(C234="มัสยิด",K234="N/A",L234="N/A",X234="N/A"))),AD234="รอยืนยัน",COUNT(K234:Z234)+COUNTIFS(K234:Z234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4" s="59" t="str"/>
      <x:c r="AI234" s="61"/>
    </x:row>
    <x:row r="235" ht="60" customHeight="1">
      <x:c r="A235" s="2" t="str">
        <x:v>TMF-442</x:v>
      </x:c>
      <x:c r="B235" s="8" t="str">
        <x:v>รสโบราณบ้านกาญ</x:v>
      </x:c>
      <x:c r="C235" s="59" t="str">
        <x:v>จำหน่ายอาหาร</x:v>
      </x:c>
      <x:c r="D235" s="59" t="str">
        <x:v>ไม่ทราบ</x:v>
      </x:c>
      <x:c r="E235" s="59" t="str">
        <x:v>ไม่ทราบ</x:v>
      </x:c>
      <x:c r="F235" s="59" t="str">
        <x:v>ไม่ทราบ</x:v>
      </x:c>
      <x:c r="G235" s="59" t="str">
        <x:v>ไม่ทราบ</x:v>
      </x:c>
      <x:c r="H235" s="59" t="str">
        <x:v>N/A</x:v>
      </x:c>
      <x:c r="I235" s="59"/>
      <x:c r="J235" s="59" t="str">
        <x:v>ไม่ทราบ</x:v>
      </x:c>
      <x:c r="K235" s="59"/>
      <x:c r="L235" s="59" t="str">
        <x:v>N/A</x:v>
      </x:c>
      <x:c r="M235" s="59"/>
      <x:c r="N235" s="59"/>
      <x:c r="O235" s="59"/>
      <x:c r="P235" s="59"/>
      <x:c r="Q235" s="59"/>
      <x:c r="R235" s="59"/>
      <x:c r="S235" s="59"/>
      <x:c r="T235" s="59"/>
      <x:c r="U235" s="59"/>
      <x:c r="V235" s="59"/>
      <x:c r="W235" s="59"/>
      <x:c r="X235" s="59"/>
      <x:c r="Y235" s="59"/>
      <x:c r="Z235" s="59"/>
      <x:c r="AA235" s="8" t="n">
        <x:f>IF(C235="ไม่ทราบ","",SUMIFS($K$7:$Z$7,K235:Z235,"&lt;&gt;N/A"))</x:f>
        <x:v>100</x:v>
      </x:c>
      <x:c r="AB235" s="8" t="str">
        <x:f>IF(AND(OR(AND(C235="จำหน่ายอาหาร",ISNUMBER(K235),L235="N/A"),AND(C235="ไม่จำหน่ายอาหาร",K235="N/A",ISNUMBER(L235)),AND(C235="มัสยิด",K235="N/A",L235="N/A",X235="N/A")),COUNT(K235:Z235)+COUNTIFS(K235:Z235,"N/A")=16),SUM(K235:Z235),"")</x:f>
      </x:c>
      <x:c r="AC235" s="62" t="str">
        <x:f>IF(OR(AB235="",AA235&lt;=0),"",ROUND(AB235/AA235*100,1))</x:f>
      </x:c>
      <x:c r="AD235" s="8" t="str">
        <x:f>IF(COUNTIFS(D235:H235,"ไม่ผ่าน")&gt;0,"ไม่ผ่าน",IF(COUNTIFS(D235:H235,"ไม่ทราบ")+COUNTBLANK(D235:H235)&gt;0,"รอยืนยัน","ผ่าน"))</x:f>
        <x:v>รอยืนยัน</x:v>
      </x:c>
      <x:c r="AE235" s="8" t="str">
        <x:f>IF(AF235="ใช่","ไม่ผ่านการคัดเลือก",IF(AND(AD235="ผ่าน",ISNUMBER(AC235),AC235&gt;=70),"พร้อมขาย",IF(OR(J235="ใช่",AND(ISNUMBER(AC235),AC235&gt;=50)),"พัฒนาเพื่อพร้อมขาย",IF(AND(ISNUMBER(AC235),AC235&lt;50,I235&gt;=1),"มีศักยภาพ แต่ต้องพัฒนามาตรฐาน","รอประเมิน"))))</x:f>
        <x:v>รอประเมิน</x:v>
      </x:c>
      <x:c r="AF235" s="59" t="str">
        <x:v>ไม่ทราบ</x:v>
      </x:c>
      <x:c r="AG235" s="8" t="str">
        <x:f>IF(AF235="ใช่","หัวหน้าทีมพิจารณาเหตุไม่ผ่าน",IF(OR(AA235&lt;=0,NOT(OR(AND(C235="จำหน่ายอาหาร",ISNUMBER(K235),L235="N/A"),AND(C235="ไม่จำหน่ายอาหาร",K235="N/A",ISNUMBER(L235)),AND(C235="มัสยิด",K235="N/A",L235="N/A",X235="N/A"))),AD235="รอยืนยัน",COUNT(K235:Z235)+COUNTIFS(K235:Z235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5" s="59" t="str"/>
      <x:c r="AI235" s="61"/>
    </x:row>
    <x:row r="236" ht="60" customHeight="1">
      <x:c r="A236" s="2" t="str">
        <x:v>R26-280</x:v>
      </x:c>
      <x:c r="B236" s="8" t="str">
        <x:v>Dheva Mantra Spa Kanchanaburi</x:v>
      </x:c>
      <x:c r="C236" s="59" t="str">
        <x:v>ไม่ทราบ</x:v>
      </x:c>
      <x:c r="D236" s="59" t="str">
        <x:v>ไม่ทราบ</x:v>
      </x:c>
      <x:c r="E236" s="59" t="str">
        <x:v>ไม่ทราบ</x:v>
      </x:c>
      <x:c r="F236" s="59" t="str">
        <x:v>ไม่ทราบ</x:v>
      </x:c>
      <x:c r="G236" s="59" t="str">
        <x:v>ไม่ทราบ</x:v>
      </x:c>
      <x:c r="H236" s="59" t="str">
        <x:v>N/A</x:v>
      </x:c>
      <x:c r="I236" s="59"/>
      <x:c r="J236" s="59" t="str">
        <x:v>ไม่ทราบ</x:v>
      </x:c>
      <x:c r="K236" s="59"/>
      <x:c r="L236" s="59"/>
      <x:c r="M236" s="59"/>
      <x:c r="N236" s="59"/>
      <x:c r="O236" s="59"/>
      <x:c r="P236" s="59"/>
      <x:c r="Q236" s="59"/>
      <x:c r="R236" s="59"/>
      <x:c r="S236" s="59"/>
      <x:c r="T236" s="59"/>
      <x:c r="U236" s="59"/>
      <x:c r="V236" s="59"/>
      <x:c r="W236" s="59"/>
      <x:c r="X236" s="59"/>
      <x:c r="Y236" s="59"/>
      <x:c r="Z236" s="59"/>
      <x:c r="AA236" s="8" t="str">
        <x:f>IF(C236="ไม่ทราบ","",SUMIFS($K$7:$Z$7,K236:Z236,"&lt;&gt;N/A"))</x:f>
      </x:c>
      <x:c r="AB236" s="8" t="str">
        <x:f>IF(AND(OR(AND(C236="จำหน่ายอาหาร",ISNUMBER(K236),L236="N/A"),AND(C236="ไม่จำหน่ายอาหาร",K236="N/A",ISNUMBER(L236)),AND(C236="มัสยิด",K236="N/A",L236="N/A",X236="N/A")),COUNT(K236:Z236)+COUNTIFS(K236:Z236,"N/A")=16),SUM(K236:Z236),"")</x:f>
      </x:c>
      <x:c r="AC236" s="62" t="str">
        <x:f>IF(OR(AB236="",AA236&lt;=0),"",ROUND(AB236/AA236*100,1))</x:f>
      </x:c>
      <x:c r="AD236" s="8" t="str">
        <x:f>IF(COUNTIFS(D236:H236,"ไม่ผ่าน")&gt;0,"ไม่ผ่าน",IF(COUNTIFS(D236:H236,"ไม่ทราบ")+COUNTBLANK(D236:H236)&gt;0,"รอยืนยัน","ผ่าน"))</x:f>
        <x:v>รอยืนยัน</x:v>
      </x:c>
      <x:c r="AE236" s="8" t="str">
        <x:f>IF(AF236="ใช่","ไม่ผ่านการคัดเลือก",IF(AND(AD236="ผ่าน",ISNUMBER(AC236),AC236&gt;=70),"พร้อมขาย",IF(OR(J236="ใช่",AND(ISNUMBER(AC236),AC236&gt;=50)),"พัฒนาเพื่อพร้อมขาย",IF(AND(ISNUMBER(AC236),AC236&lt;50,I236&gt;=1),"มีศักยภาพ แต่ต้องพัฒนามาตรฐาน","รอประเมิน"))))</x:f>
        <x:v>รอประเมิน</x:v>
      </x:c>
      <x:c r="AF236" s="59" t="str">
        <x:v>ไม่ทราบ</x:v>
      </x:c>
      <x:c r="AG236" s="8" t="str">
        <x:f>IF(AF236="ใช่","หัวหน้าทีมพิจารณาเหตุไม่ผ่าน",IF(OR(AA236&lt;=0,NOT(OR(AND(C236="จำหน่ายอาหาร",ISNUMBER(K236),L236="N/A"),AND(C236="ไม่จำหน่ายอาหาร",K236="N/A",ISNUMBER(L236)),AND(C236="มัสยิด",K236="N/A",L236="N/A",X236="N/A"))),AD236="รอยืนยัน",COUNT(K236:Z236)+COUNTIFS(K236:Z236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6" s="59" t="str"/>
      <x:c r="AI236" s="61"/>
    </x:row>
    <x:row r="237" ht="60" customHeight="1">
      <x:c r="A237" s="2" t="str">
        <x:v>R26-262</x:v>
      </x:c>
      <x:c r="B237" s="8" t="str">
        <x:v>Robinson Lifestyle Kanchanaburi</x:v>
      </x:c>
      <x:c r="C237" s="59" t="str">
        <x:v>ไม่ทราบ</x:v>
      </x:c>
      <x:c r="D237" s="59" t="str">
        <x:v>ไม่ทราบ</x:v>
      </x:c>
      <x:c r="E237" s="59" t="str">
        <x:v>ไม่ทราบ</x:v>
      </x:c>
      <x:c r="F237" s="59" t="str">
        <x:v>ไม่ทราบ</x:v>
      </x:c>
      <x:c r="G237" s="59" t="str">
        <x:v>ไม่ทราบ</x:v>
      </x:c>
      <x:c r="H237" s="59" t="str">
        <x:v>N/A</x:v>
      </x:c>
      <x:c r="I237" s="59"/>
      <x:c r="J237" s="59" t="str">
        <x:v>ไม่ทราบ</x:v>
      </x:c>
      <x:c r="K237" s="59"/>
      <x:c r="L237" s="59"/>
      <x:c r="M237" s="59"/>
      <x:c r="N237" s="59"/>
      <x:c r="O237" s="59"/>
      <x:c r="P237" s="59"/>
      <x:c r="Q237" s="59"/>
      <x:c r="R237" s="59"/>
      <x:c r="S237" s="59"/>
      <x:c r="T237" s="59"/>
      <x:c r="U237" s="59"/>
      <x:c r="V237" s="59"/>
      <x:c r="W237" s="59"/>
      <x:c r="X237" s="59"/>
      <x:c r="Y237" s="59"/>
      <x:c r="Z237" s="59"/>
      <x:c r="AA237" s="8" t="str">
        <x:f>IF(C237="ไม่ทราบ","",SUMIFS($K$7:$Z$7,K237:Z237,"&lt;&gt;N/A"))</x:f>
      </x:c>
      <x:c r="AB237" s="8" t="str">
        <x:f>IF(AND(OR(AND(C237="จำหน่ายอาหาร",ISNUMBER(K237),L237="N/A"),AND(C237="ไม่จำหน่ายอาหาร",K237="N/A",ISNUMBER(L237)),AND(C237="มัสยิด",K237="N/A",L237="N/A",X237="N/A")),COUNT(K237:Z237)+COUNTIFS(K237:Z237,"N/A")=16),SUM(K237:Z237),"")</x:f>
      </x:c>
      <x:c r="AC237" s="62" t="str">
        <x:f>IF(OR(AB237="",AA237&lt;=0),"",ROUND(AB237/AA237*100,1))</x:f>
      </x:c>
      <x:c r="AD237" s="8" t="str">
        <x:f>IF(COUNTIFS(D237:H237,"ไม่ผ่าน")&gt;0,"ไม่ผ่าน",IF(COUNTIFS(D237:H237,"ไม่ทราบ")+COUNTBLANK(D237:H237)&gt;0,"รอยืนยัน","ผ่าน"))</x:f>
        <x:v>รอยืนยัน</x:v>
      </x:c>
      <x:c r="AE237" s="8" t="str">
        <x:f>IF(AF237="ใช่","ไม่ผ่านการคัดเลือก",IF(AND(AD237="ผ่าน",ISNUMBER(AC237),AC237&gt;=70),"พร้อมขาย",IF(OR(J237="ใช่",AND(ISNUMBER(AC237),AC237&gt;=50)),"พัฒนาเพื่อพร้อมขาย",IF(AND(ISNUMBER(AC237),AC237&lt;50,I237&gt;=1),"มีศักยภาพ แต่ต้องพัฒนามาตรฐาน","รอประเมิน"))))</x:f>
        <x:v>รอประเมิน</x:v>
      </x:c>
      <x:c r="AF237" s="59" t="str">
        <x:v>ไม่ทราบ</x:v>
      </x:c>
      <x:c r="AG237" s="8" t="str">
        <x:f>IF(AF237="ใช่","หัวหน้าทีมพิจารณาเหตุไม่ผ่าน",IF(OR(AA237&lt;=0,NOT(OR(AND(C237="จำหน่ายอาหาร",ISNUMBER(K237),L237="N/A"),AND(C237="ไม่จำหน่ายอาหาร",K237="N/A",ISNUMBER(L237)),AND(C237="มัสยิด",K237="N/A",L237="N/A",X237="N/A"))),AD237="รอยืนยัน",COUNT(K237:Z237)+COUNTIFS(K237:Z237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7" s="59" t="str"/>
      <x:c r="AI237" s="61"/>
    </x:row>
    <x:row r="238" ht="60" customHeight="1">
      <x:c r="A238" s="2" t="str">
        <x:v>R26-131</x:v>
      </x:c>
      <x:c r="B238" s="8" t="str">
        <x:v>ต้นจามจุรียักษ์ กาญจนบุรี</x:v>
      </x:c>
      <x:c r="C238" s="59" t="str">
        <x:v>ไม่ทราบ</x:v>
      </x:c>
      <x:c r="D238" s="59" t="str">
        <x:v>ไม่ทราบ</x:v>
      </x:c>
      <x:c r="E238" s="59" t="str">
        <x:v>ไม่ทราบ</x:v>
      </x:c>
      <x:c r="F238" s="59" t="str">
        <x:v>ไม่ทราบ</x:v>
      </x:c>
      <x:c r="G238" s="59" t="str">
        <x:v>ไม่ทราบ</x:v>
      </x:c>
      <x:c r="H238" s="59" t="str">
        <x:v>N/A</x:v>
      </x:c>
      <x:c r="I238" s="59"/>
      <x:c r="J238" s="59" t="str">
        <x:v>ไม่ทราบ</x:v>
      </x:c>
      <x:c r="K238" s="59"/>
      <x:c r="L238" s="59"/>
      <x:c r="M238" s="59"/>
      <x:c r="N238" s="59"/>
      <x:c r="O238" s="59"/>
      <x:c r="P238" s="59"/>
      <x:c r="Q238" s="59"/>
      <x:c r="R238" s="59"/>
      <x:c r="S238" s="59"/>
      <x:c r="T238" s="59"/>
      <x:c r="U238" s="59"/>
      <x:c r="V238" s="59"/>
      <x:c r="W238" s="59"/>
      <x:c r="X238" s="59"/>
      <x:c r="Y238" s="59"/>
      <x:c r="Z238" s="59"/>
      <x:c r="AA238" s="8" t="str">
        <x:f>IF(C238="ไม่ทราบ","",SUMIFS($K$7:$Z$7,K238:Z238,"&lt;&gt;N/A"))</x:f>
      </x:c>
      <x:c r="AB238" s="8" t="str">
        <x:f>IF(AND(OR(AND(C238="จำหน่ายอาหาร",ISNUMBER(K238),L238="N/A"),AND(C238="ไม่จำหน่ายอาหาร",K238="N/A",ISNUMBER(L238)),AND(C238="มัสยิด",K238="N/A",L238="N/A",X238="N/A")),COUNT(K238:Z238)+COUNTIFS(K238:Z238,"N/A")=16),SUM(K238:Z238),"")</x:f>
      </x:c>
      <x:c r="AC238" s="62" t="str">
        <x:f>IF(OR(AB238="",AA238&lt;=0),"",ROUND(AB238/AA238*100,1))</x:f>
      </x:c>
      <x:c r="AD238" s="8" t="str">
        <x:f>IF(COUNTIFS(D238:H238,"ไม่ผ่าน")&gt;0,"ไม่ผ่าน",IF(COUNTIFS(D238:H238,"ไม่ทราบ")+COUNTBLANK(D238:H238)&gt;0,"รอยืนยัน","ผ่าน"))</x:f>
        <x:v>รอยืนยัน</x:v>
      </x:c>
      <x:c r="AE238" s="8" t="str">
        <x:f>IF(AF238="ใช่","ไม่ผ่านการคัดเลือก",IF(AND(AD238="ผ่าน",ISNUMBER(AC238),AC238&gt;=70),"พร้อมขาย",IF(OR(J238="ใช่",AND(ISNUMBER(AC238),AC238&gt;=50)),"พัฒนาเพื่อพร้อมขาย",IF(AND(ISNUMBER(AC238),AC238&lt;50,I238&gt;=1),"มีศักยภาพ แต่ต้องพัฒนามาตรฐาน","รอประเมิน"))))</x:f>
        <x:v>รอประเมิน</x:v>
      </x:c>
      <x:c r="AF238" s="59" t="str">
        <x:v>ไม่ทราบ</x:v>
      </x:c>
      <x:c r="AG238" s="8" t="str">
        <x:f>IF(AF238="ใช่","หัวหน้าทีมพิจารณาเหตุไม่ผ่าน",IF(OR(AA238&lt;=0,NOT(OR(AND(C238="จำหน่ายอาหาร",ISNUMBER(K238),L238="N/A"),AND(C238="ไม่จำหน่ายอาหาร",K238="N/A",ISNUMBER(L238)),AND(C238="มัสยิด",K238="N/A",L238="N/A",X238="N/A"))),AD238="รอยืนยัน",COUNT(K238:Z238)+COUNTIFS(K238:Z238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8" s="59" t="str"/>
      <x:c r="AI238" s="61"/>
    </x:row>
    <x:row r="239" ht="60" customHeight="1">
      <x:c r="A239" s="2" t="str">
        <x:v>R26-128</x:v>
      </x:c>
      <x:c r="B239" s="8" t="str">
        <x:v>น้ำตกห้วยแม่ขมิ้น</x:v>
      </x:c>
      <x:c r="C239" s="59" t="str">
        <x:v>ไม่ทราบ</x:v>
      </x:c>
      <x:c r="D239" s="59" t="str">
        <x:v>ไม่ทราบ</x:v>
      </x:c>
      <x:c r="E239" s="59" t="str">
        <x:v>ไม่ทราบ</x:v>
      </x:c>
      <x:c r="F239" s="59" t="str">
        <x:v>ไม่ทราบ</x:v>
      </x:c>
      <x:c r="G239" s="59" t="str">
        <x:v>ไม่ทราบ</x:v>
      </x:c>
      <x:c r="H239" s="59" t="str">
        <x:v>N/A</x:v>
      </x:c>
      <x:c r="I239" s="59"/>
      <x:c r="J239" s="59" t="str">
        <x:v>ไม่ทราบ</x:v>
      </x:c>
      <x:c r="K239" s="59"/>
      <x:c r="L239" s="59"/>
      <x:c r="M239" s="59"/>
      <x:c r="N239" s="59"/>
      <x:c r="O239" s="59"/>
      <x:c r="P239" s="59"/>
      <x:c r="Q239" s="59"/>
      <x:c r="R239" s="59"/>
      <x:c r="S239" s="59"/>
      <x:c r="T239" s="59"/>
      <x:c r="U239" s="59"/>
      <x:c r="V239" s="59"/>
      <x:c r="W239" s="59"/>
      <x:c r="X239" s="59"/>
      <x:c r="Y239" s="59"/>
      <x:c r="Z239" s="59"/>
      <x:c r="AA239" s="8" t="str">
        <x:f>IF(C239="ไม่ทราบ","",SUMIFS($K$7:$Z$7,K239:Z239,"&lt;&gt;N/A"))</x:f>
      </x:c>
      <x:c r="AB239" s="8" t="str">
        <x:f>IF(AND(OR(AND(C239="จำหน่ายอาหาร",ISNUMBER(K239),L239="N/A"),AND(C239="ไม่จำหน่ายอาหาร",K239="N/A",ISNUMBER(L239)),AND(C239="มัสยิด",K239="N/A",L239="N/A",X239="N/A")),COUNT(K239:Z239)+COUNTIFS(K239:Z239,"N/A")=16),SUM(K239:Z239),"")</x:f>
      </x:c>
      <x:c r="AC239" s="62" t="str">
        <x:f>IF(OR(AB239="",AA239&lt;=0),"",ROUND(AB239/AA239*100,1))</x:f>
      </x:c>
      <x:c r="AD239" s="8" t="str">
        <x:f>IF(COUNTIFS(D239:H239,"ไม่ผ่าน")&gt;0,"ไม่ผ่าน",IF(COUNTIFS(D239:H239,"ไม่ทราบ")+COUNTBLANK(D239:H239)&gt;0,"รอยืนยัน","ผ่าน"))</x:f>
        <x:v>รอยืนยัน</x:v>
      </x:c>
      <x:c r="AE239" s="8" t="str">
        <x:f>IF(AF239="ใช่","ไม่ผ่านการคัดเลือก",IF(AND(AD239="ผ่าน",ISNUMBER(AC239),AC239&gt;=70),"พร้อมขาย",IF(OR(J239="ใช่",AND(ISNUMBER(AC239),AC239&gt;=50)),"พัฒนาเพื่อพร้อมขาย",IF(AND(ISNUMBER(AC239),AC239&lt;50,I239&gt;=1),"มีศักยภาพ แต่ต้องพัฒนามาตรฐาน","รอประเมิน"))))</x:f>
        <x:v>รอประเมิน</x:v>
      </x:c>
      <x:c r="AF239" s="59" t="str">
        <x:v>ไม่ทราบ</x:v>
      </x:c>
      <x:c r="AG239" s="8" t="str">
        <x:f>IF(AF239="ใช่","หัวหน้าทีมพิจารณาเหตุไม่ผ่าน",IF(OR(AA239&lt;=0,NOT(OR(AND(C239="จำหน่ายอาหาร",ISNUMBER(K239),L239="N/A"),AND(C239="ไม่จำหน่ายอาหาร",K239="N/A",ISNUMBER(L239)),AND(C239="มัสยิด",K239="N/A",L239="N/A",X239="N/A"))),AD239="รอยืนยัน",COUNT(K239:Z239)+COUNTIFS(K239:Z239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39" s="59" t="str"/>
      <x:c r="AI239" s="61"/>
    </x:row>
    <x:row r="240" ht="60" customHeight="1">
      <x:c r="A240" s="2" t="str">
        <x:v>R26-130</x:v>
      </x:c>
      <x:c r="B240" s="8" t="str">
        <x:v>น้ำตกไทรโยคน้อย</x:v>
      </x:c>
      <x:c r="C240" s="59" t="str">
        <x:v>ไม่ทราบ</x:v>
      </x:c>
      <x:c r="D240" s="59" t="str">
        <x:v>ไม่ทราบ</x:v>
      </x:c>
      <x:c r="E240" s="59" t="str">
        <x:v>ไม่ทราบ</x:v>
      </x:c>
      <x:c r="F240" s="59" t="str">
        <x:v>ไม่ทราบ</x:v>
      </x:c>
      <x:c r="G240" s="59" t="str">
        <x:v>ไม่ทราบ</x:v>
      </x:c>
      <x:c r="H240" s="59" t="str">
        <x:v>N/A</x:v>
      </x:c>
      <x:c r="I240" s="59"/>
      <x:c r="J240" s="59" t="str">
        <x:v>ไม่ทราบ</x:v>
      </x:c>
      <x:c r="K240" s="59"/>
      <x:c r="L240" s="59"/>
      <x:c r="M240" s="59"/>
      <x:c r="N240" s="59"/>
      <x:c r="O240" s="59"/>
      <x:c r="P240" s="59"/>
      <x:c r="Q240" s="59"/>
      <x:c r="R240" s="59"/>
      <x:c r="S240" s="59"/>
      <x:c r="T240" s="59"/>
      <x:c r="U240" s="59"/>
      <x:c r="V240" s="59"/>
      <x:c r="W240" s="59"/>
      <x:c r="X240" s="59"/>
      <x:c r="Y240" s="59"/>
      <x:c r="Z240" s="59"/>
      <x:c r="AA240" s="8" t="str">
        <x:f>IF(C240="ไม่ทราบ","",SUMIFS($K$7:$Z$7,K240:Z240,"&lt;&gt;N/A"))</x:f>
      </x:c>
      <x:c r="AB240" s="8" t="str">
        <x:f>IF(AND(OR(AND(C240="จำหน่ายอาหาร",ISNUMBER(K240),L240="N/A"),AND(C240="ไม่จำหน่ายอาหาร",K240="N/A",ISNUMBER(L240)),AND(C240="มัสยิด",K240="N/A",L240="N/A",X240="N/A")),COUNT(K240:Z240)+COUNTIFS(K240:Z240,"N/A")=16),SUM(K240:Z240),"")</x:f>
      </x:c>
      <x:c r="AC240" s="62" t="str">
        <x:f>IF(OR(AB240="",AA240&lt;=0),"",ROUND(AB240/AA240*100,1))</x:f>
      </x:c>
      <x:c r="AD240" s="8" t="str">
        <x:f>IF(COUNTIFS(D240:H240,"ไม่ผ่าน")&gt;0,"ไม่ผ่าน",IF(COUNTIFS(D240:H240,"ไม่ทราบ")+COUNTBLANK(D240:H240)&gt;0,"รอยืนยัน","ผ่าน"))</x:f>
        <x:v>รอยืนยัน</x:v>
      </x:c>
      <x:c r="AE240" s="8" t="str">
        <x:f>IF(AF240="ใช่","ไม่ผ่านการคัดเลือก",IF(AND(AD240="ผ่าน",ISNUMBER(AC240),AC240&gt;=70),"พร้อมขาย",IF(OR(J240="ใช่",AND(ISNUMBER(AC240),AC240&gt;=50)),"พัฒนาเพื่อพร้อมขาย",IF(AND(ISNUMBER(AC240),AC240&lt;50,I240&gt;=1),"มีศักยภาพ แต่ต้องพัฒนามาตรฐาน","รอประเมิน"))))</x:f>
        <x:v>รอประเมิน</x:v>
      </x:c>
      <x:c r="AF240" s="59" t="str">
        <x:v>ไม่ทราบ</x:v>
      </x:c>
      <x:c r="AG240" s="8" t="str">
        <x:f>IF(AF240="ใช่","หัวหน้าทีมพิจารณาเหตุไม่ผ่าน",IF(OR(AA240&lt;=0,NOT(OR(AND(C240="จำหน่ายอาหาร",ISNUMBER(K240),L240="N/A"),AND(C240="ไม่จำหน่ายอาหาร",K240="N/A",ISNUMBER(L240)),AND(C240="มัสยิด",K240="N/A",L240="N/A",X240="N/A"))),AD240="รอยืนยัน",COUNT(K240:Z240)+COUNTIFS(K240:Z240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0" s="59" t="str"/>
      <x:c r="AI240" s="61"/>
    </x:row>
    <x:row r="241" ht="60" customHeight="1">
      <x:c r="A241" s="2" t="str">
        <x:v>R26-129</x:v>
      </x:c>
      <x:c r="B241" s="8" t="str">
        <x:v>อุทยานแห่งชาติไทรโยค</x:v>
      </x:c>
      <x:c r="C241" s="59" t="str">
        <x:v>ไม่ทราบ</x:v>
      </x:c>
      <x:c r="D241" s="59" t="str">
        <x:v>ไม่ทราบ</x:v>
      </x:c>
      <x:c r="E241" s="59" t="str">
        <x:v>ไม่ทราบ</x:v>
      </x:c>
      <x:c r="F241" s="59" t="str">
        <x:v>ไม่ทราบ</x:v>
      </x:c>
      <x:c r="G241" s="59" t="str">
        <x:v>ไม่ทราบ</x:v>
      </x:c>
      <x:c r="H241" s="59" t="str">
        <x:v>N/A</x:v>
      </x:c>
      <x:c r="I241" s="59"/>
      <x:c r="J241" s="59" t="str">
        <x:v>ไม่ทราบ</x:v>
      </x:c>
      <x:c r="K241" s="59"/>
      <x:c r="L241" s="59"/>
      <x:c r="M241" s="59"/>
      <x:c r="N241" s="59"/>
      <x:c r="O241" s="59"/>
      <x:c r="P241" s="59"/>
      <x:c r="Q241" s="59"/>
      <x:c r="R241" s="59"/>
      <x:c r="S241" s="59"/>
      <x:c r="T241" s="59"/>
      <x:c r="U241" s="59"/>
      <x:c r="V241" s="59"/>
      <x:c r="W241" s="59"/>
      <x:c r="X241" s="59"/>
      <x:c r="Y241" s="59"/>
      <x:c r="Z241" s="59"/>
      <x:c r="AA241" s="8" t="str">
        <x:f>IF(C241="ไม่ทราบ","",SUMIFS($K$7:$Z$7,K241:Z241,"&lt;&gt;N/A"))</x:f>
      </x:c>
      <x:c r="AB241" s="8" t="str">
        <x:f>IF(AND(OR(AND(C241="จำหน่ายอาหาร",ISNUMBER(K241),L241="N/A"),AND(C241="ไม่จำหน่ายอาหาร",K241="N/A",ISNUMBER(L241)),AND(C241="มัสยิด",K241="N/A",L241="N/A",X241="N/A")),COUNT(K241:Z241)+COUNTIFS(K241:Z241,"N/A")=16),SUM(K241:Z241),"")</x:f>
      </x:c>
      <x:c r="AC241" s="62" t="str">
        <x:f>IF(OR(AB241="",AA241&lt;=0),"",ROUND(AB241/AA241*100,1))</x:f>
      </x:c>
      <x:c r="AD241" s="8" t="str">
        <x:f>IF(COUNTIFS(D241:H241,"ไม่ผ่าน")&gt;0,"ไม่ผ่าน",IF(COUNTIFS(D241:H241,"ไม่ทราบ")+COUNTBLANK(D241:H241)&gt;0,"รอยืนยัน","ผ่าน"))</x:f>
        <x:v>รอยืนยัน</x:v>
      </x:c>
      <x:c r="AE241" s="8" t="str">
        <x:f>IF(AF241="ใช่","ไม่ผ่านการคัดเลือก",IF(AND(AD241="ผ่าน",ISNUMBER(AC241),AC241&gt;=70),"พร้อมขาย",IF(OR(J241="ใช่",AND(ISNUMBER(AC241),AC241&gt;=50)),"พัฒนาเพื่อพร้อมขาย",IF(AND(ISNUMBER(AC241),AC241&lt;50,I241&gt;=1),"มีศักยภาพ แต่ต้องพัฒนามาตรฐาน","รอประเมิน"))))</x:f>
        <x:v>รอประเมิน</x:v>
      </x:c>
      <x:c r="AF241" s="59" t="str">
        <x:v>ไม่ทราบ</x:v>
      </x:c>
      <x:c r="AG241" s="8" t="str">
        <x:f>IF(AF241="ใช่","หัวหน้าทีมพิจารณาเหตุไม่ผ่าน",IF(OR(AA241&lt;=0,NOT(OR(AND(C241="จำหน่ายอาหาร",ISNUMBER(K241),L241="N/A"),AND(C241="ไม่จำหน่ายอาหาร",K241="N/A",ISNUMBER(L241)),AND(C241="มัสยิด",K241="N/A",L241="N/A",X241="N/A"))),AD241="รอยืนยัน",COUNT(K241:Z241)+COUNTIFS(K241:Z241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1" s="59" t="str"/>
      <x:c r="AI241" s="61"/>
    </x:row>
    <x:row r="242" ht="60" customHeight="1">
      <x:c r="A242" s="2" t="str">
        <x:v>R26-133</x:v>
      </x:c>
      <x:c r="B242" s="8" t="str">
        <x:v>พิพิธภัณฑ์ช่องเขาขาด</x:v>
      </x:c>
      <x:c r="C242" s="59" t="str">
        <x:v>ไม่ทราบ</x:v>
      </x:c>
      <x:c r="D242" s="59" t="str">
        <x:v>ไม่ทราบ</x:v>
      </x:c>
      <x:c r="E242" s="59" t="str">
        <x:v>ไม่ทราบ</x:v>
      </x:c>
      <x:c r="F242" s="59" t="str">
        <x:v>ไม่ทราบ</x:v>
      </x:c>
      <x:c r="G242" s="59" t="str">
        <x:v>ไม่ทราบ</x:v>
      </x:c>
      <x:c r="H242" s="59" t="str">
        <x:v>N/A</x:v>
      </x:c>
      <x:c r="I242" s="59"/>
      <x:c r="J242" s="59" t="str">
        <x:v>ไม่ทราบ</x:v>
      </x:c>
      <x:c r="K242" s="59"/>
      <x:c r="L242" s="59"/>
      <x:c r="M242" s="59"/>
      <x:c r="N242" s="59"/>
      <x:c r="O242" s="59"/>
      <x:c r="P242" s="59"/>
      <x:c r="Q242" s="59"/>
      <x:c r="R242" s="59"/>
      <x:c r="S242" s="59"/>
      <x:c r="T242" s="59"/>
      <x:c r="U242" s="59"/>
      <x:c r="V242" s="59"/>
      <x:c r="W242" s="59"/>
      <x:c r="X242" s="59"/>
      <x:c r="Y242" s="59"/>
      <x:c r="Z242" s="59"/>
      <x:c r="AA242" s="8" t="str">
        <x:f>IF(C242="ไม่ทราบ","",SUMIFS($K$7:$Z$7,K242:Z242,"&lt;&gt;N/A"))</x:f>
      </x:c>
      <x:c r="AB242" s="8" t="str">
        <x:f>IF(AND(OR(AND(C242="จำหน่ายอาหาร",ISNUMBER(K242),L242="N/A"),AND(C242="ไม่จำหน่ายอาหาร",K242="N/A",ISNUMBER(L242)),AND(C242="มัสยิด",K242="N/A",L242="N/A",X242="N/A")),COUNT(K242:Z242)+COUNTIFS(K242:Z242,"N/A")=16),SUM(K242:Z242),"")</x:f>
      </x:c>
      <x:c r="AC242" s="62" t="str">
        <x:f>IF(OR(AB242="",AA242&lt;=0),"",ROUND(AB242/AA242*100,1))</x:f>
      </x:c>
      <x:c r="AD242" s="8" t="str">
        <x:f>IF(COUNTIFS(D242:H242,"ไม่ผ่าน")&gt;0,"ไม่ผ่าน",IF(COUNTIFS(D242:H242,"ไม่ทราบ")+COUNTBLANK(D242:H242)&gt;0,"รอยืนยัน","ผ่าน"))</x:f>
        <x:v>รอยืนยัน</x:v>
      </x:c>
      <x:c r="AE242" s="8" t="str">
        <x:f>IF(AF242="ใช่","ไม่ผ่านการคัดเลือก",IF(AND(AD242="ผ่าน",ISNUMBER(AC242),AC242&gt;=70),"พร้อมขาย",IF(OR(J242="ใช่",AND(ISNUMBER(AC242),AC242&gt;=50)),"พัฒนาเพื่อพร้อมขาย",IF(AND(ISNUMBER(AC242),AC242&lt;50,I242&gt;=1),"มีศักยภาพ แต่ต้องพัฒนามาตรฐาน","รอประเมิน"))))</x:f>
        <x:v>รอประเมิน</x:v>
      </x:c>
      <x:c r="AF242" s="59" t="str">
        <x:v>ไม่ทราบ</x:v>
      </x:c>
      <x:c r="AG242" s="8" t="str">
        <x:f>IF(AF242="ใช่","หัวหน้าทีมพิจารณาเหตุไม่ผ่าน",IF(OR(AA242&lt;=0,NOT(OR(AND(C242="จำหน่ายอาหาร",ISNUMBER(K242),L242="N/A"),AND(C242="ไม่จำหน่ายอาหาร",K242="N/A",ISNUMBER(L242)),AND(C242="มัสยิด",K242="N/A",L242="N/A",X242="N/A"))),AD242="รอยืนยัน",COUNT(K242:Z242)+COUNTIFS(K242:Z242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2" s="59" t="str"/>
      <x:c r="AI242" s="61"/>
    </x:row>
    <x:row r="243" ht="60" customHeight="1">
      <x:c r="A243" s="2" t="str">
        <x:v>R26-134</x:v>
      </x:c>
      <x:c r="B243" s="8" t="str">
        <x:v>พิพิธภัณฑ์ทางรถไฟไทย-พม่า</x:v>
      </x:c>
      <x:c r="C243" s="59" t="str">
        <x:v>ไม่ทราบ</x:v>
      </x:c>
      <x:c r="D243" s="59" t="str">
        <x:v>ไม่ทราบ</x:v>
      </x:c>
      <x:c r="E243" s="59" t="str">
        <x:v>ไม่ทราบ</x:v>
      </x:c>
      <x:c r="F243" s="59" t="str">
        <x:v>ไม่ทราบ</x:v>
      </x:c>
      <x:c r="G243" s="59" t="str">
        <x:v>ไม่ทราบ</x:v>
      </x:c>
      <x:c r="H243" s="59" t="str">
        <x:v>N/A</x:v>
      </x:c>
      <x:c r="I243" s="59"/>
      <x:c r="J243" s="59" t="str">
        <x:v>ไม่ทราบ</x:v>
      </x:c>
      <x:c r="K243" s="59"/>
      <x:c r="L243" s="59"/>
      <x:c r="M243" s="59"/>
      <x:c r="N243" s="59"/>
      <x:c r="O243" s="59"/>
      <x:c r="P243" s="59"/>
      <x:c r="Q243" s="59"/>
      <x:c r="R243" s="59"/>
      <x:c r="S243" s="59"/>
      <x:c r="T243" s="59"/>
      <x:c r="U243" s="59"/>
      <x:c r="V243" s="59"/>
      <x:c r="W243" s="59"/>
      <x:c r="X243" s="59"/>
      <x:c r="Y243" s="59"/>
      <x:c r="Z243" s="59"/>
      <x:c r="AA243" s="8" t="str">
        <x:f>IF(C243="ไม่ทราบ","",SUMIFS($K$7:$Z$7,K243:Z243,"&lt;&gt;N/A"))</x:f>
      </x:c>
      <x:c r="AB243" s="8" t="str">
        <x:f>IF(AND(OR(AND(C243="จำหน่ายอาหาร",ISNUMBER(K243),L243="N/A"),AND(C243="ไม่จำหน่ายอาหาร",K243="N/A",ISNUMBER(L243)),AND(C243="มัสยิด",K243="N/A",L243="N/A",X243="N/A")),COUNT(K243:Z243)+COUNTIFS(K243:Z243,"N/A")=16),SUM(K243:Z243),"")</x:f>
      </x:c>
      <x:c r="AC243" s="62" t="str">
        <x:f>IF(OR(AB243="",AA243&lt;=0),"",ROUND(AB243/AA243*100,1))</x:f>
      </x:c>
      <x:c r="AD243" s="8" t="str">
        <x:f>IF(COUNTIFS(D243:H243,"ไม่ผ่าน")&gt;0,"ไม่ผ่าน",IF(COUNTIFS(D243:H243,"ไม่ทราบ")+COUNTBLANK(D243:H243)&gt;0,"รอยืนยัน","ผ่าน"))</x:f>
        <x:v>รอยืนยัน</x:v>
      </x:c>
      <x:c r="AE243" s="8" t="str">
        <x:f>IF(AF243="ใช่","ไม่ผ่านการคัดเลือก",IF(AND(AD243="ผ่าน",ISNUMBER(AC243),AC243&gt;=70),"พร้อมขาย",IF(OR(J243="ใช่",AND(ISNUMBER(AC243),AC243&gt;=50)),"พัฒนาเพื่อพร้อมขาย",IF(AND(ISNUMBER(AC243),AC243&lt;50,I243&gt;=1),"มีศักยภาพ แต่ต้องพัฒนามาตรฐาน","รอประเมิน"))))</x:f>
        <x:v>รอประเมิน</x:v>
      </x:c>
      <x:c r="AF243" s="59" t="str">
        <x:v>ไม่ทราบ</x:v>
      </x:c>
      <x:c r="AG243" s="8" t="str">
        <x:f>IF(AF243="ใช่","หัวหน้าทีมพิจารณาเหตุไม่ผ่าน",IF(OR(AA243&lt;=0,NOT(OR(AND(C243="จำหน่ายอาหาร",ISNUMBER(K243),L243="N/A"),AND(C243="ไม่จำหน่ายอาหาร",K243="N/A",ISNUMBER(L243)),AND(C243="มัสยิด",K243="N/A",L243="N/A",X243="N/A"))),AD243="รอยืนยัน",COUNT(K243:Z243)+COUNTIFS(K243:Z243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3" s="59" t="str"/>
      <x:c r="AI243" s="61"/>
    </x:row>
    <x:row r="244" ht="60" customHeight="1">
      <x:c r="A244" s="2" t="str">
        <x:v>R26-137</x:v>
      </x:c>
      <x:c r="B244" s="8" t="str">
        <x:v>ชุมชนบ้านพุองกะ</x:v>
      </x:c>
      <x:c r="C244" s="59" t="str">
        <x:v>ไม่ทราบ</x:v>
      </x:c>
      <x:c r="D244" s="59" t="str">
        <x:v>ไม่ทราบ</x:v>
      </x:c>
      <x:c r="E244" s="59" t="str">
        <x:v>ไม่ทราบ</x:v>
      </x:c>
      <x:c r="F244" s="59" t="str">
        <x:v>ไม่ทราบ</x:v>
      </x:c>
      <x:c r="G244" s="59" t="str">
        <x:v>ไม่ทราบ</x:v>
      </x:c>
      <x:c r="H244" s="59" t="str">
        <x:v>N/A</x:v>
      </x:c>
      <x:c r="I244" s="59"/>
      <x:c r="J244" s="59" t="str">
        <x:v>ไม่ทราบ</x:v>
      </x:c>
      <x:c r="K244" s="59"/>
      <x:c r="L244" s="59"/>
      <x:c r="M244" s="59"/>
      <x:c r="N244" s="59"/>
      <x:c r="O244" s="59"/>
      <x:c r="P244" s="59"/>
      <x:c r="Q244" s="59"/>
      <x:c r="R244" s="59"/>
      <x:c r="S244" s="59"/>
      <x:c r="T244" s="59"/>
      <x:c r="U244" s="59"/>
      <x:c r="V244" s="59"/>
      <x:c r="W244" s="59"/>
      <x:c r="X244" s="59"/>
      <x:c r="Y244" s="59"/>
      <x:c r="Z244" s="59"/>
      <x:c r="AA244" s="8" t="str">
        <x:f>IF(C244="ไม่ทราบ","",SUMIFS($K$7:$Z$7,K244:Z244,"&lt;&gt;N/A"))</x:f>
      </x:c>
      <x:c r="AB244" s="8" t="str">
        <x:f>IF(AND(OR(AND(C244="จำหน่ายอาหาร",ISNUMBER(K244),L244="N/A"),AND(C244="ไม่จำหน่ายอาหาร",K244="N/A",ISNUMBER(L244)),AND(C244="มัสยิด",K244="N/A",L244="N/A",X244="N/A")),COUNT(K244:Z244)+COUNTIFS(K244:Z244,"N/A")=16),SUM(K244:Z244),"")</x:f>
      </x:c>
      <x:c r="AC244" s="62" t="str">
        <x:f>IF(OR(AB244="",AA244&lt;=0),"",ROUND(AB244/AA244*100,1))</x:f>
      </x:c>
      <x:c r="AD244" s="8" t="str">
        <x:f>IF(COUNTIFS(D244:H244,"ไม่ผ่าน")&gt;0,"ไม่ผ่าน",IF(COUNTIFS(D244:H244,"ไม่ทราบ")+COUNTBLANK(D244:H244)&gt;0,"รอยืนยัน","ผ่าน"))</x:f>
        <x:v>รอยืนยัน</x:v>
      </x:c>
      <x:c r="AE244" s="8" t="str">
        <x:f>IF(AF244="ใช่","ไม่ผ่านการคัดเลือก",IF(AND(AD244="ผ่าน",ISNUMBER(AC244),AC244&gt;=70),"พร้อมขาย",IF(OR(J244="ใช่",AND(ISNUMBER(AC244),AC244&gt;=50)),"พัฒนาเพื่อพร้อมขาย",IF(AND(ISNUMBER(AC244),AC244&lt;50,I244&gt;=1),"มีศักยภาพ แต่ต้องพัฒนามาตรฐาน","รอประเมิน"))))</x:f>
        <x:v>รอประเมิน</x:v>
      </x:c>
      <x:c r="AF244" s="59" t="str">
        <x:v>ไม่ทราบ</x:v>
      </x:c>
      <x:c r="AG244" s="8" t="str">
        <x:f>IF(AF244="ใช่","หัวหน้าทีมพิจารณาเหตุไม่ผ่าน",IF(OR(AA244&lt;=0,NOT(OR(AND(C244="จำหน่ายอาหาร",ISNUMBER(K244),L244="N/A"),AND(C244="ไม่จำหน่ายอาหาร",K244="N/A",ISNUMBER(L244)),AND(C244="มัสยิด",K244="N/A",L244="N/A",X244="N/A"))),AD244="รอยืนยัน",COUNT(K244:Z244)+COUNTIFS(K244:Z244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4" s="59" t="str"/>
      <x:c r="AI244" s="61"/>
    </x:row>
    <x:row r="245" ht="60" customHeight="1">
      <x:c r="A245" s="2" t="str">
        <x:v>R26-136</x:v>
      </x:c>
      <x:c r="B245" s="8" t="str">
        <x:v>ชุมชนบ้านสามัคคีธรรม กาญจนบุรี</x:v>
      </x:c>
      <x:c r="C245" s="59" t="str">
        <x:v>ไม่ทราบ</x:v>
      </x:c>
      <x:c r="D245" s="59" t="str">
        <x:v>ไม่ทราบ</x:v>
      </x:c>
      <x:c r="E245" s="59" t="str">
        <x:v>ไม่ทราบ</x:v>
      </x:c>
      <x:c r="F245" s="59" t="str">
        <x:v>ไม่ทราบ</x:v>
      </x:c>
      <x:c r="G245" s="59" t="str">
        <x:v>ไม่ทราบ</x:v>
      </x:c>
      <x:c r="H245" s="59" t="str">
        <x:v>N/A</x:v>
      </x:c>
      <x:c r="I245" s="59"/>
      <x:c r="J245" s="59" t="str">
        <x:v>ไม่ทราบ</x:v>
      </x:c>
      <x:c r="K245" s="59"/>
      <x:c r="L245" s="59"/>
      <x:c r="M245" s="59"/>
      <x:c r="N245" s="59"/>
      <x:c r="O245" s="59"/>
      <x:c r="P245" s="59"/>
      <x:c r="Q245" s="59"/>
      <x:c r="R245" s="59"/>
      <x:c r="S245" s="59"/>
      <x:c r="T245" s="59"/>
      <x:c r="U245" s="59"/>
      <x:c r="V245" s="59"/>
      <x:c r="W245" s="59"/>
      <x:c r="X245" s="59"/>
      <x:c r="Y245" s="59"/>
      <x:c r="Z245" s="59"/>
      <x:c r="AA245" s="8" t="str">
        <x:f>IF(C245="ไม่ทราบ","",SUMIFS($K$7:$Z$7,K245:Z245,"&lt;&gt;N/A"))</x:f>
      </x:c>
      <x:c r="AB245" s="8" t="str">
        <x:f>IF(AND(OR(AND(C245="จำหน่ายอาหาร",ISNUMBER(K245),L245="N/A"),AND(C245="ไม่จำหน่ายอาหาร",K245="N/A",ISNUMBER(L245)),AND(C245="มัสยิด",K245="N/A",L245="N/A",X245="N/A")),COUNT(K245:Z245)+COUNTIFS(K245:Z245,"N/A")=16),SUM(K245:Z245),"")</x:f>
      </x:c>
      <x:c r="AC245" s="62" t="str">
        <x:f>IF(OR(AB245="",AA245&lt;=0),"",ROUND(AB245/AA245*100,1))</x:f>
      </x:c>
      <x:c r="AD245" s="8" t="str">
        <x:f>IF(COUNTIFS(D245:H245,"ไม่ผ่าน")&gt;0,"ไม่ผ่าน",IF(COUNTIFS(D245:H245,"ไม่ทราบ")+COUNTBLANK(D245:H245)&gt;0,"รอยืนยัน","ผ่าน"))</x:f>
        <x:v>รอยืนยัน</x:v>
      </x:c>
      <x:c r="AE245" s="8" t="str">
        <x:f>IF(AF245="ใช่","ไม่ผ่านการคัดเลือก",IF(AND(AD245="ผ่าน",ISNUMBER(AC245),AC245&gt;=70),"พร้อมขาย",IF(OR(J245="ใช่",AND(ISNUMBER(AC245),AC245&gt;=50)),"พัฒนาเพื่อพร้อมขาย",IF(AND(ISNUMBER(AC245),AC245&lt;50,I245&gt;=1),"มีศักยภาพ แต่ต้องพัฒนามาตรฐาน","รอประเมิน"))))</x:f>
        <x:v>รอประเมิน</x:v>
      </x:c>
      <x:c r="AF245" s="59" t="str">
        <x:v>ไม่ทราบ</x:v>
      </x:c>
      <x:c r="AG245" s="8" t="str">
        <x:f>IF(AF245="ใช่","หัวหน้าทีมพิจารณาเหตุไม่ผ่าน",IF(OR(AA245&lt;=0,NOT(OR(AND(C245="จำหน่ายอาหาร",ISNUMBER(K245),L245="N/A"),AND(C245="ไม่จำหน่ายอาหาร",K245="N/A",ISNUMBER(L245)),AND(C245="มัสยิด",K245="N/A",L245="N/A",X245="N/A"))),AD245="รอยืนยัน",COUNT(K245:Z245)+COUNTIFS(K245:Z245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5" s="59" t="str"/>
      <x:c r="AI245" s="61"/>
    </x:row>
    <x:row r="246" ht="60" customHeight="1">
      <x:c r="A246" s="2" t="str">
        <x:v>R26-135</x:v>
      </x:c>
      <x:c r="B246" s="8" t="str">
        <x:v>ชุมชนบ้านหนองขาว</x:v>
      </x:c>
      <x:c r="C246" s="59" t="str">
        <x:v>ไม่ทราบ</x:v>
      </x:c>
      <x:c r="D246" s="59" t="str">
        <x:v>ไม่ทราบ</x:v>
      </x:c>
      <x:c r="E246" s="59" t="str">
        <x:v>ไม่ทราบ</x:v>
      </x:c>
      <x:c r="F246" s="59" t="str">
        <x:v>ไม่ทราบ</x:v>
      </x:c>
      <x:c r="G246" s="59" t="str">
        <x:v>ไม่ทราบ</x:v>
      </x:c>
      <x:c r="H246" s="59" t="str">
        <x:v>N/A</x:v>
      </x:c>
      <x:c r="I246" s="59"/>
      <x:c r="J246" s="59" t="str">
        <x:v>ไม่ทราบ</x:v>
      </x:c>
      <x:c r="K246" s="59"/>
      <x:c r="L246" s="59"/>
      <x:c r="M246" s="59"/>
      <x:c r="N246" s="59"/>
      <x:c r="O246" s="59"/>
      <x:c r="P246" s="59"/>
      <x:c r="Q246" s="59"/>
      <x:c r="R246" s="59"/>
      <x:c r="S246" s="59"/>
      <x:c r="T246" s="59"/>
      <x:c r="U246" s="59"/>
      <x:c r="V246" s="59"/>
      <x:c r="W246" s="59"/>
      <x:c r="X246" s="59"/>
      <x:c r="Y246" s="59"/>
      <x:c r="Z246" s="59"/>
      <x:c r="AA246" s="8" t="str">
        <x:f>IF(C246="ไม่ทราบ","",SUMIFS($K$7:$Z$7,K246:Z246,"&lt;&gt;N/A"))</x:f>
      </x:c>
      <x:c r="AB246" s="8" t="str">
        <x:f>IF(AND(OR(AND(C246="จำหน่ายอาหาร",ISNUMBER(K246),L246="N/A"),AND(C246="ไม่จำหน่ายอาหาร",K246="N/A",ISNUMBER(L246)),AND(C246="มัสยิด",K246="N/A",L246="N/A",X246="N/A")),COUNT(K246:Z246)+COUNTIFS(K246:Z246,"N/A")=16),SUM(K246:Z246),"")</x:f>
      </x:c>
      <x:c r="AC246" s="62" t="str">
        <x:f>IF(OR(AB246="",AA246&lt;=0),"",ROUND(AB246/AA246*100,1))</x:f>
      </x:c>
      <x:c r="AD246" s="8" t="str">
        <x:f>IF(COUNTIFS(D246:H246,"ไม่ผ่าน")&gt;0,"ไม่ผ่าน",IF(COUNTIFS(D246:H246,"ไม่ทราบ")+COUNTBLANK(D246:H246)&gt;0,"รอยืนยัน","ผ่าน"))</x:f>
        <x:v>รอยืนยัน</x:v>
      </x:c>
      <x:c r="AE246" s="8" t="str">
        <x:f>IF(AF246="ใช่","ไม่ผ่านการคัดเลือก",IF(AND(AD246="ผ่าน",ISNUMBER(AC246),AC246&gt;=70),"พร้อมขาย",IF(OR(J246="ใช่",AND(ISNUMBER(AC246),AC246&gt;=50)),"พัฒนาเพื่อพร้อมขาย",IF(AND(ISNUMBER(AC246),AC246&lt;50,I246&gt;=1),"มีศักยภาพ แต่ต้องพัฒนามาตรฐาน","รอประเมิน"))))</x:f>
        <x:v>รอประเมิน</x:v>
      </x:c>
      <x:c r="AF246" s="59" t="str">
        <x:v>ไม่ทราบ</x:v>
      </x:c>
      <x:c r="AG246" s="8" t="str">
        <x:f>IF(AF246="ใช่","หัวหน้าทีมพิจารณาเหตุไม่ผ่าน",IF(OR(AA246&lt;=0,NOT(OR(AND(C246="จำหน่ายอาหาร",ISNUMBER(K246),L246="N/A"),AND(C246="ไม่จำหน่ายอาหาร",K246="N/A",ISNUMBER(L246)),AND(C246="มัสยิด",K246="N/A",L246="N/A",X246="N/A"))),AD246="รอยืนยัน",COUNT(K246:Z246)+COUNTIFS(K246:Z246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6" s="59" t="str"/>
      <x:c r="AI246" s="61"/>
    </x:row>
    <x:row r="247" ht="60" customHeight="1">
      <x:c r="A247" s="2" t="str">
        <x:v>R26-302</x:v>
      </x:c>
      <x:c r="B247" s="8" t="str">
        <x:v>ElephantsWorld</x:v>
      </x:c>
      <x:c r="C247" s="59" t="str">
        <x:v>ไม่ทราบ</x:v>
      </x:c>
      <x:c r="D247" s="59" t="str">
        <x:v>ไม่ทราบ</x:v>
      </x:c>
      <x:c r="E247" s="59" t="str">
        <x:v>ไม่ทราบ</x:v>
      </x:c>
      <x:c r="F247" s="59" t="str">
        <x:v>ไม่ทราบ</x:v>
      </x:c>
      <x:c r="G247" s="59" t="str">
        <x:v>ไม่ทราบ</x:v>
      </x:c>
      <x:c r="H247" s="59" t="str">
        <x:v>N/A</x:v>
      </x:c>
      <x:c r="I247" s="59"/>
      <x:c r="J247" s="59" t="str">
        <x:v>ไม่ทราบ</x:v>
      </x:c>
      <x:c r="K247" s="59"/>
      <x:c r="L247" s="59"/>
      <x:c r="M247" s="59"/>
      <x:c r="N247" s="59"/>
      <x:c r="O247" s="59"/>
      <x:c r="P247" s="59"/>
      <x:c r="Q247" s="59"/>
      <x:c r="R247" s="59"/>
      <x:c r="S247" s="59"/>
      <x:c r="T247" s="59"/>
      <x:c r="U247" s="59"/>
      <x:c r="V247" s="59"/>
      <x:c r="W247" s="59"/>
      <x:c r="X247" s="59"/>
      <x:c r="Y247" s="59"/>
      <x:c r="Z247" s="59"/>
      <x:c r="AA247" s="8" t="str">
        <x:f>IF(C247="ไม่ทราบ","",SUMIFS($K$7:$Z$7,K247:Z247,"&lt;&gt;N/A"))</x:f>
      </x:c>
      <x:c r="AB247" s="8" t="str">
        <x:f>IF(AND(OR(AND(C247="จำหน่ายอาหาร",ISNUMBER(K247),L247="N/A"),AND(C247="ไม่จำหน่ายอาหาร",K247="N/A",ISNUMBER(L247)),AND(C247="มัสยิด",K247="N/A",L247="N/A",X247="N/A")),COUNT(K247:Z247)+COUNTIFS(K247:Z247,"N/A")=16),SUM(K247:Z247),"")</x:f>
      </x:c>
      <x:c r="AC247" s="62" t="str">
        <x:f>IF(OR(AB247="",AA247&lt;=0),"",ROUND(AB247/AA247*100,1))</x:f>
      </x:c>
      <x:c r="AD247" s="8" t="str">
        <x:f>IF(COUNTIFS(D247:H247,"ไม่ผ่าน")&gt;0,"ไม่ผ่าน",IF(COUNTIFS(D247:H247,"ไม่ทราบ")+COUNTBLANK(D247:H247)&gt;0,"รอยืนยัน","ผ่าน"))</x:f>
        <x:v>รอยืนยัน</x:v>
      </x:c>
      <x:c r="AE247" s="8" t="str">
        <x:f>IF(AF247="ใช่","ไม่ผ่านการคัดเลือก",IF(AND(AD247="ผ่าน",ISNUMBER(AC247),AC247&gt;=70),"พร้อมขาย",IF(OR(J247="ใช่",AND(ISNUMBER(AC247),AC247&gt;=50)),"พัฒนาเพื่อพร้อมขาย",IF(AND(ISNUMBER(AC247),AC247&lt;50,I247&gt;=1),"มีศักยภาพ แต่ต้องพัฒนามาตรฐาน","รอประเมิน"))))</x:f>
        <x:v>รอประเมิน</x:v>
      </x:c>
      <x:c r="AF247" s="59" t="str">
        <x:v>ไม่ทราบ</x:v>
      </x:c>
      <x:c r="AG247" s="8" t="str">
        <x:f>IF(AF247="ใช่","หัวหน้าทีมพิจารณาเหตุไม่ผ่าน",IF(OR(AA247&lt;=0,NOT(OR(AND(C247="จำหน่ายอาหาร",ISNUMBER(K247),L247="N/A"),AND(C247="ไม่จำหน่ายอาหาร",K247="N/A",ISNUMBER(L247)),AND(C247="มัสยิด",K247="N/A",L247="N/A",X247="N/A"))),AD247="รอยืนยัน",COUNT(K247:Z247)+COUNTIFS(K247:Z247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7" s="59" t="str"/>
      <x:c r="AI247" s="61"/>
    </x:row>
    <x:row r="248" ht="60" customHeight="1">
      <x:c r="A248" s="2" t="str">
        <x:v>R26-054</x:v>
      </x:c>
      <x:c r="B248" s="8" t="str">
        <x:v>ย่านเมืองเก่าราชบุรี</x:v>
      </x:c>
      <x:c r="C248" s="59" t="str">
        <x:v>ไม่ทราบ</x:v>
      </x:c>
      <x:c r="D248" s="59" t="str">
        <x:v>ไม่ทราบ</x:v>
      </x:c>
      <x:c r="E248" s="59" t="str">
        <x:v>ไม่ทราบ</x:v>
      </x:c>
      <x:c r="F248" s="59" t="str">
        <x:v>ไม่ทราบ</x:v>
      </x:c>
      <x:c r="G248" s="59" t="str">
        <x:v>ไม่ทราบ</x:v>
      </x:c>
      <x:c r="H248" s="59" t="str">
        <x:v>N/A</x:v>
      </x:c>
      <x:c r="I248" s="59"/>
      <x:c r="J248" s="59" t="str">
        <x:v>ไม่ทราบ</x:v>
      </x:c>
      <x:c r="K248" s="59"/>
      <x:c r="L248" s="59"/>
      <x:c r="M248" s="59"/>
      <x:c r="N248" s="59"/>
      <x:c r="O248" s="59"/>
      <x:c r="P248" s="59"/>
      <x:c r="Q248" s="59"/>
      <x:c r="R248" s="59"/>
      <x:c r="S248" s="59"/>
      <x:c r="T248" s="59"/>
      <x:c r="U248" s="59"/>
      <x:c r="V248" s="59"/>
      <x:c r="W248" s="59"/>
      <x:c r="X248" s="59"/>
      <x:c r="Y248" s="59"/>
      <x:c r="Z248" s="59"/>
      <x:c r="AA248" s="8" t="str">
        <x:f>IF(C248="ไม่ทราบ","",SUMIFS($K$7:$Z$7,K248:Z248,"&lt;&gt;N/A"))</x:f>
      </x:c>
      <x:c r="AB248" s="8" t="str">
        <x:f>IF(AND(OR(AND(C248="จำหน่ายอาหาร",ISNUMBER(K248),L248="N/A"),AND(C248="ไม่จำหน่ายอาหาร",K248="N/A",ISNUMBER(L248)),AND(C248="มัสยิด",K248="N/A",L248="N/A",X248="N/A")),COUNT(K248:Z248)+COUNTIFS(K248:Z248,"N/A")=16),SUM(K248:Z248),"")</x:f>
      </x:c>
      <x:c r="AC248" s="62" t="str">
        <x:f>IF(OR(AB248="",AA248&lt;=0),"",ROUND(AB248/AA248*100,1))</x:f>
      </x:c>
      <x:c r="AD248" s="8" t="str">
        <x:f>IF(COUNTIFS(D248:H248,"ไม่ผ่าน")&gt;0,"ไม่ผ่าน",IF(COUNTIFS(D248:H248,"ไม่ทราบ")+COUNTBLANK(D248:H248)&gt;0,"รอยืนยัน","ผ่าน"))</x:f>
        <x:v>รอยืนยัน</x:v>
      </x:c>
      <x:c r="AE248" s="8" t="str">
        <x:f>IF(AF248="ใช่","ไม่ผ่านการคัดเลือก",IF(AND(AD248="ผ่าน",ISNUMBER(AC248),AC248&gt;=70),"พร้อมขาย",IF(OR(J248="ใช่",AND(ISNUMBER(AC248),AC248&gt;=50)),"พัฒนาเพื่อพร้อมขาย",IF(AND(ISNUMBER(AC248),AC248&lt;50,I248&gt;=1),"มีศักยภาพ แต่ต้องพัฒนามาตรฐาน","รอประเมิน"))))</x:f>
        <x:v>รอประเมิน</x:v>
      </x:c>
      <x:c r="AF248" s="59" t="str">
        <x:v>ไม่ทราบ</x:v>
      </x:c>
      <x:c r="AG248" s="8" t="str">
        <x:f>IF(AF248="ใช่","หัวหน้าทีมพิจารณาเหตุไม่ผ่าน",IF(OR(AA248&lt;=0,NOT(OR(AND(C248="จำหน่ายอาหาร",ISNUMBER(K248),L248="N/A"),AND(C248="ไม่จำหน่ายอาหาร",K248="N/A",ISNUMBER(L248)),AND(C248="มัสยิด",K248="N/A",L248="N/A",X248="N/A"))),AD248="รอยืนยัน",COUNT(K248:Z248)+COUNTIFS(K248:Z248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8" s="59" t="str"/>
      <x:c r="AI248" s="61"/>
    </x:row>
    <x:row r="249" ht="60" customHeight="1">
      <x:c r="A249" s="2" t="str">
        <x:v>R26-051</x:v>
      </x:c>
      <x:c r="B249" s="8" t="str">
        <x:v>เถ้าฮงไถ่</x:v>
      </x:c>
      <x:c r="C249" s="59" t="str">
        <x:v>ไม่ทราบ</x:v>
      </x:c>
      <x:c r="D249" s="59" t="str">
        <x:v>ไม่ทราบ</x:v>
      </x:c>
      <x:c r="E249" s="59" t="str">
        <x:v>ไม่ทราบ</x:v>
      </x:c>
      <x:c r="F249" s="59" t="str">
        <x:v>ไม่ทราบ</x:v>
      </x:c>
      <x:c r="G249" s="59" t="str">
        <x:v>ไม่ทราบ</x:v>
      </x:c>
      <x:c r="H249" s="59" t="str">
        <x:v>N/A</x:v>
      </x:c>
      <x:c r="I249" s="59"/>
      <x:c r="J249" s="59" t="str">
        <x:v>ไม่ทราบ</x:v>
      </x:c>
      <x:c r="K249" s="59"/>
      <x:c r="L249" s="59"/>
      <x:c r="M249" s="59"/>
      <x:c r="N249" s="59"/>
      <x:c r="O249" s="59"/>
      <x:c r="P249" s="59"/>
      <x:c r="Q249" s="59"/>
      <x:c r="R249" s="59"/>
      <x:c r="S249" s="59"/>
      <x:c r="T249" s="59"/>
      <x:c r="U249" s="59"/>
      <x:c r="V249" s="59"/>
      <x:c r="W249" s="59"/>
      <x:c r="X249" s="59"/>
      <x:c r="Y249" s="59"/>
      <x:c r="Z249" s="59"/>
      <x:c r="AA249" s="8" t="str">
        <x:f>IF(C249="ไม่ทราบ","",SUMIFS($K$7:$Z$7,K249:Z249,"&lt;&gt;N/A"))</x:f>
      </x:c>
      <x:c r="AB249" s="8" t="str">
        <x:f>IF(AND(OR(AND(C249="จำหน่ายอาหาร",ISNUMBER(K249),L249="N/A"),AND(C249="ไม่จำหน่ายอาหาร",K249="N/A",ISNUMBER(L249)),AND(C249="มัสยิด",K249="N/A",L249="N/A",X249="N/A")),COUNT(K249:Z249)+COUNTIFS(K249:Z249,"N/A")=16),SUM(K249:Z249),"")</x:f>
      </x:c>
      <x:c r="AC249" s="62" t="str">
        <x:f>IF(OR(AB249="",AA249&lt;=0),"",ROUND(AB249/AA249*100,1))</x:f>
      </x:c>
      <x:c r="AD249" s="8" t="str">
        <x:f>IF(COUNTIFS(D249:H249,"ไม่ผ่าน")&gt;0,"ไม่ผ่าน",IF(COUNTIFS(D249:H249,"ไม่ทราบ")+COUNTBLANK(D249:H249)&gt;0,"รอยืนยัน","ผ่าน"))</x:f>
        <x:v>รอยืนยัน</x:v>
      </x:c>
      <x:c r="AE249" s="8" t="str">
        <x:f>IF(AF249="ใช่","ไม่ผ่านการคัดเลือก",IF(AND(AD249="ผ่าน",ISNUMBER(AC249),AC249&gt;=70),"พร้อมขาย",IF(OR(J249="ใช่",AND(ISNUMBER(AC249),AC249&gt;=50)),"พัฒนาเพื่อพร้อมขาย",IF(AND(ISNUMBER(AC249),AC249&lt;50,I249&gt;=1),"มีศักยภาพ แต่ต้องพัฒนามาตรฐาน","รอประเมิน"))))</x:f>
        <x:v>รอประเมิน</x:v>
      </x:c>
      <x:c r="AF249" s="59" t="str">
        <x:v>ไม่ทราบ</x:v>
      </x:c>
      <x:c r="AG249" s="8" t="str">
        <x:f>IF(AF249="ใช่","หัวหน้าทีมพิจารณาเหตุไม่ผ่าน",IF(OR(AA249&lt;=0,NOT(OR(AND(C249="จำหน่ายอาหาร",ISNUMBER(K249),L249="N/A"),AND(C249="ไม่จำหน่ายอาหาร",K249="N/A",ISNUMBER(L249)),AND(C249="มัสยิด",K249="N/A",L249="N/A",X249="N/A"))),AD249="รอยืนยัน",COUNT(K249:Z249)+COUNTIFS(K249:Z249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49" s="59" t="str"/>
      <x:c r="AI249" s="61"/>
    </x:row>
    <x:row r="250" ht="60" customHeight="1">
      <x:c r="A250" s="2" t="str">
        <x:v>R26-053</x:v>
      </x:c>
      <x:c r="B250" s="8" t="str">
        <x:v>เรื่องของโอ่ง Pottery Legend</x:v>
      </x:c>
      <x:c r="C250" s="59" t="str">
        <x:v>ไม่ทราบ</x:v>
      </x:c>
      <x:c r="D250" s="59" t="str">
        <x:v>ไม่ทราบ</x:v>
      </x:c>
      <x:c r="E250" s="59" t="str">
        <x:v>ไม่ทราบ</x:v>
      </x:c>
      <x:c r="F250" s="59" t="str">
        <x:v>ไม่ทราบ</x:v>
      </x:c>
      <x:c r="G250" s="59" t="str">
        <x:v>ไม่ทราบ</x:v>
      </x:c>
      <x:c r="H250" s="59" t="str">
        <x:v>N/A</x:v>
      </x:c>
      <x:c r="I250" s="59"/>
      <x:c r="J250" s="59" t="str">
        <x:v>ไม่ทราบ</x:v>
      </x:c>
      <x:c r="K250" s="59"/>
      <x:c r="L250" s="59"/>
      <x:c r="M250" s="59"/>
      <x:c r="N250" s="59"/>
      <x:c r="O250" s="59"/>
      <x:c r="P250" s="59"/>
      <x:c r="Q250" s="59"/>
      <x:c r="R250" s="59"/>
      <x:c r="S250" s="59"/>
      <x:c r="T250" s="59"/>
      <x:c r="U250" s="59"/>
      <x:c r="V250" s="59"/>
      <x:c r="W250" s="59"/>
      <x:c r="X250" s="59"/>
      <x:c r="Y250" s="59"/>
      <x:c r="Z250" s="59"/>
      <x:c r="AA250" s="8" t="str">
        <x:f>IF(C250="ไม่ทราบ","",SUMIFS($K$7:$Z$7,K250:Z250,"&lt;&gt;N/A"))</x:f>
      </x:c>
      <x:c r="AB250" s="8" t="str">
        <x:f>IF(AND(OR(AND(C250="จำหน่ายอาหาร",ISNUMBER(K250),L250="N/A"),AND(C250="ไม่จำหน่ายอาหาร",K250="N/A",ISNUMBER(L250)),AND(C250="มัสยิด",K250="N/A",L250="N/A",X250="N/A")),COUNT(K250:Z250)+COUNTIFS(K250:Z250,"N/A")=16),SUM(K250:Z250),"")</x:f>
      </x:c>
      <x:c r="AC250" s="62" t="str">
        <x:f>IF(OR(AB250="",AA250&lt;=0),"",ROUND(AB250/AA250*100,1))</x:f>
      </x:c>
      <x:c r="AD250" s="8" t="str">
        <x:f>IF(COUNTIFS(D250:H250,"ไม่ผ่าน")&gt;0,"ไม่ผ่าน",IF(COUNTIFS(D250:H250,"ไม่ทราบ")+COUNTBLANK(D250:H250)&gt;0,"รอยืนยัน","ผ่าน"))</x:f>
        <x:v>รอยืนยัน</x:v>
      </x:c>
      <x:c r="AE250" s="8" t="str">
        <x:f>IF(AF250="ใช่","ไม่ผ่านการคัดเลือก",IF(AND(AD250="ผ่าน",ISNUMBER(AC250),AC250&gt;=70),"พร้อมขาย",IF(OR(J250="ใช่",AND(ISNUMBER(AC250),AC250&gt;=50)),"พัฒนาเพื่อพร้อมขาย",IF(AND(ISNUMBER(AC250),AC250&lt;50,I250&gt;=1),"มีศักยภาพ แต่ต้องพัฒนามาตรฐาน","รอประเมิน"))))</x:f>
        <x:v>รอประเมิน</x:v>
      </x:c>
      <x:c r="AF250" s="59" t="str">
        <x:v>ไม่ทราบ</x:v>
      </x:c>
      <x:c r="AG250" s="8" t="str">
        <x:f>IF(AF250="ใช่","หัวหน้าทีมพิจารณาเหตุไม่ผ่าน",IF(OR(AA250&lt;=0,NOT(OR(AND(C250="จำหน่ายอาหาร",ISNUMBER(K250),L250="N/A"),AND(C250="ไม่จำหน่ายอาหาร",K250="N/A",ISNUMBER(L250)),AND(C250="มัสยิด",K250="N/A",L250="N/A",X250="N/A"))),AD250="รอยืนยัน",COUNT(K250:Z250)+COUNTIFS(K250:Z250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0" s="59" t="str"/>
      <x:c r="AI250" s="61"/>
    </x:row>
    <x:row r="251" ht="60" customHeight="1">
      <x:c r="A251" s="2" t="str">
        <x:v>R26-376</x:v>
      </x:c>
      <x:c r="B251" s="8" t="str">
        <x:v>Inlaya Ratchaburi</x:v>
      </x:c>
      <x:c r="C251" s="59" t="str">
        <x:v>ไม่ทราบ</x:v>
      </x:c>
      <x:c r="D251" s="59" t="str">
        <x:v>ไม่ทราบ</x:v>
      </x:c>
      <x:c r="E251" s="59" t="str">
        <x:v>ไม่ทราบ</x:v>
      </x:c>
      <x:c r="F251" s="59" t="str">
        <x:v>ไม่ทราบ</x:v>
      </x:c>
      <x:c r="G251" s="59" t="str">
        <x:v>ไม่ทราบ</x:v>
      </x:c>
      <x:c r="H251" s="59" t="str">
        <x:v>ไม่ทราบ</x:v>
      </x:c>
      <x:c r="I251" s="59"/>
      <x:c r="J251" s="59" t="str">
        <x:v>ไม่ทราบ</x:v>
      </x:c>
      <x:c r="K251" s="59"/>
      <x:c r="L251" s="59"/>
      <x:c r="M251" s="59"/>
      <x:c r="N251" s="59"/>
      <x:c r="O251" s="59"/>
      <x:c r="P251" s="59"/>
      <x:c r="Q251" s="59"/>
      <x:c r="R251" s="59"/>
      <x:c r="S251" s="59"/>
      <x:c r="T251" s="59"/>
      <x:c r="U251" s="59"/>
      <x:c r="V251" s="59"/>
      <x:c r="W251" s="59"/>
      <x:c r="X251" s="59"/>
      <x:c r="Y251" s="59"/>
      <x:c r="Z251" s="59"/>
      <x:c r="AA251" s="8" t="str">
        <x:f>IF(C251="ไม่ทราบ","",SUMIFS($K$7:$Z$7,K251:Z251,"&lt;&gt;N/A"))</x:f>
      </x:c>
      <x:c r="AB251" s="8" t="str">
        <x:f>IF(AND(OR(AND(C251="จำหน่ายอาหาร",ISNUMBER(K251),L251="N/A"),AND(C251="ไม่จำหน่ายอาหาร",K251="N/A",ISNUMBER(L251)),AND(C251="มัสยิด",K251="N/A",L251="N/A",X251="N/A")),COUNT(K251:Z251)+COUNTIFS(K251:Z251,"N/A")=16),SUM(K251:Z251),"")</x:f>
      </x:c>
      <x:c r="AC251" s="62" t="str">
        <x:f>IF(OR(AB251="",AA251&lt;=0),"",ROUND(AB251/AA251*100,1))</x:f>
      </x:c>
      <x:c r="AD251" s="8" t="str">
        <x:f>IF(COUNTIFS(D251:H251,"ไม่ผ่าน")&gt;0,"ไม่ผ่าน",IF(COUNTIFS(D251:H251,"ไม่ทราบ")+COUNTBLANK(D251:H251)&gt;0,"รอยืนยัน","ผ่าน"))</x:f>
        <x:v>รอยืนยัน</x:v>
      </x:c>
      <x:c r="AE251" s="8" t="str">
        <x:f>IF(AF251="ใช่","ไม่ผ่านการคัดเลือก",IF(AND(AD251="ผ่าน",ISNUMBER(AC251),AC251&gt;=70),"พร้อมขาย",IF(OR(J251="ใช่",AND(ISNUMBER(AC251),AC251&gt;=50)),"พัฒนาเพื่อพร้อมขาย",IF(AND(ISNUMBER(AC251),AC251&lt;50,I251&gt;=1),"มีศักยภาพ แต่ต้องพัฒนามาตรฐาน","รอประเมิน"))))</x:f>
        <x:v>รอประเมิน</x:v>
      </x:c>
      <x:c r="AF251" s="59" t="str">
        <x:v>ไม่ทราบ</x:v>
      </x:c>
      <x:c r="AG251" s="8" t="str">
        <x:f>IF(AF251="ใช่","หัวหน้าทีมพิจารณาเหตุไม่ผ่าน",IF(OR(AA251&lt;=0,NOT(OR(AND(C251="จำหน่ายอาหาร",ISNUMBER(K251),L251="N/A"),AND(C251="ไม่จำหน่ายอาหาร",K251="N/A",ISNUMBER(L251)),AND(C251="มัสยิด",K251="N/A",L251="N/A",X251="N/A"))),AD251="รอยืนยัน",COUNT(K251:Z251)+COUNTIFS(K251:Z251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1" s="59" t="str"/>
      <x:c r="AI251" s="61"/>
    </x:row>
    <x:row r="252" ht="60" customHeight="1">
      <x:c r="A252" s="2" t="str">
        <x:v>R26-375</x:v>
      </x:c>
      <x:c r="B252" s="8" t="str">
        <x:v>Le Lert Hotel Ratchaburi</x:v>
      </x:c>
      <x:c r="C252" s="59" t="str">
        <x:v>ไม่ทราบ</x:v>
      </x:c>
      <x:c r="D252" s="59" t="str">
        <x:v>ไม่ทราบ</x:v>
      </x:c>
      <x:c r="E252" s="59" t="str">
        <x:v>ไม่ทราบ</x:v>
      </x:c>
      <x:c r="F252" s="59" t="str">
        <x:v>ไม่ทราบ</x:v>
      </x:c>
      <x:c r="G252" s="59" t="str">
        <x:v>ไม่ทราบ</x:v>
      </x:c>
      <x:c r="H252" s="59" t="str">
        <x:v>ไม่ทราบ</x:v>
      </x:c>
      <x:c r="I252" s="59"/>
      <x:c r="J252" s="59" t="str">
        <x:v>ไม่ทราบ</x:v>
      </x:c>
      <x:c r="K252" s="59"/>
      <x:c r="L252" s="59"/>
      <x:c r="M252" s="59"/>
      <x:c r="N252" s="59"/>
      <x:c r="O252" s="59"/>
      <x:c r="P252" s="59"/>
      <x:c r="Q252" s="59"/>
      <x:c r="R252" s="59"/>
      <x:c r="S252" s="59"/>
      <x:c r="T252" s="59"/>
      <x:c r="U252" s="59"/>
      <x:c r="V252" s="59"/>
      <x:c r="W252" s="59"/>
      <x:c r="X252" s="59"/>
      <x:c r="Y252" s="59"/>
      <x:c r="Z252" s="59"/>
      <x:c r="AA252" s="8" t="str">
        <x:f>IF(C252="ไม่ทราบ","",SUMIFS($K$7:$Z$7,K252:Z252,"&lt;&gt;N/A"))</x:f>
      </x:c>
      <x:c r="AB252" s="8" t="str">
        <x:f>IF(AND(OR(AND(C252="จำหน่ายอาหาร",ISNUMBER(K252),L252="N/A"),AND(C252="ไม่จำหน่ายอาหาร",K252="N/A",ISNUMBER(L252)),AND(C252="มัสยิด",K252="N/A",L252="N/A",X252="N/A")),COUNT(K252:Z252)+COUNTIFS(K252:Z252,"N/A")=16),SUM(K252:Z252),"")</x:f>
      </x:c>
      <x:c r="AC252" s="62" t="str">
        <x:f>IF(OR(AB252="",AA252&lt;=0),"",ROUND(AB252/AA252*100,1))</x:f>
      </x:c>
      <x:c r="AD252" s="8" t="str">
        <x:f>IF(COUNTIFS(D252:H252,"ไม่ผ่าน")&gt;0,"ไม่ผ่าน",IF(COUNTIFS(D252:H252,"ไม่ทราบ")+COUNTBLANK(D252:H252)&gt;0,"รอยืนยัน","ผ่าน"))</x:f>
        <x:v>รอยืนยัน</x:v>
      </x:c>
      <x:c r="AE252" s="8" t="str">
        <x:f>IF(AF252="ใช่","ไม่ผ่านการคัดเลือก",IF(AND(AD252="ผ่าน",ISNUMBER(AC252),AC252&gt;=70),"พร้อมขาย",IF(OR(J252="ใช่",AND(ISNUMBER(AC252),AC252&gt;=50)),"พัฒนาเพื่อพร้อมขาย",IF(AND(ISNUMBER(AC252),AC252&lt;50,I252&gt;=1),"มีศักยภาพ แต่ต้องพัฒนามาตรฐาน","รอประเมิน"))))</x:f>
        <x:v>รอประเมิน</x:v>
      </x:c>
      <x:c r="AF252" s="59" t="str">
        <x:v>ไม่ทราบ</x:v>
      </x:c>
      <x:c r="AG252" s="8" t="str">
        <x:f>IF(AF252="ใช่","หัวหน้าทีมพิจารณาเหตุไม่ผ่าน",IF(OR(AA252&lt;=0,NOT(OR(AND(C252="จำหน่ายอาหาร",ISNUMBER(K252),L252="N/A"),AND(C252="ไม่จำหน่ายอาหาร",K252="N/A",ISNUMBER(L252)),AND(C252="มัสยิด",K252="N/A",L252="N/A",X252="N/A"))),AD252="รอยืนยัน",COUNT(K252:Z252)+COUNTIFS(K252:Z252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2" s="59" t="str"/>
      <x:c r="AI252" s="61"/>
    </x:row>
    <x:row r="253" ht="60" customHeight="1">
      <x:c r="A253" s="2" t="str">
        <x:v>R26-374</x:v>
      </x:c>
      <x:c r="B253" s="8" t="str">
        <x:v>Rachabhura Hotel</x:v>
      </x:c>
      <x:c r="C253" s="59" t="str">
        <x:v>ไม่ทราบ</x:v>
      </x:c>
      <x:c r="D253" s="59" t="str">
        <x:v>ไม่ทราบ</x:v>
      </x:c>
      <x:c r="E253" s="59" t="str">
        <x:v>ไม่ทราบ</x:v>
      </x:c>
      <x:c r="F253" s="59" t="str">
        <x:v>ไม่ทราบ</x:v>
      </x:c>
      <x:c r="G253" s="59" t="str">
        <x:v>ไม่ทราบ</x:v>
      </x:c>
      <x:c r="H253" s="59" t="str">
        <x:v>ไม่ทราบ</x:v>
      </x:c>
      <x:c r="I253" s="59"/>
      <x:c r="J253" s="59" t="str">
        <x:v>ไม่ทราบ</x:v>
      </x:c>
      <x:c r="K253" s="59"/>
      <x:c r="L253" s="59"/>
      <x:c r="M253" s="59"/>
      <x:c r="N253" s="59"/>
      <x:c r="O253" s="59"/>
      <x:c r="P253" s="59"/>
      <x:c r="Q253" s="59"/>
      <x:c r="R253" s="59"/>
      <x:c r="S253" s="59"/>
      <x:c r="T253" s="59"/>
      <x:c r="U253" s="59"/>
      <x:c r="V253" s="59"/>
      <x:c r="W253" s="59"/>
      <x:c r="X253" s="59"/>
      <x:c r="Y253" s="59"/>
      <x:c r="Z253" s="59"/>
      <x:c r="AA253" s="8" t="str">
        <x:f>IF(C253="ไม่ทราบ","",SUMIFS($K$7:$Z$7,K253:Z253,"&lt;&gt;N/A"))</x:f>
      </x:c>
      <x:c r="AB253" s="8" t="str">
        <x:f>IF(AND(OR(AND(C253="จำหน่ายอาหาร",ISNUMBER(K253),L253="N/A"),AND(C253="ไม่จำหน่ายอาหาร",K253="N/A",ISNUMBER(L253)),AND(C253="มัสยิด",K253="N/A",L253="N/A",X253="N/A")),COUNT(K253:Z253)+COUNTIFS(K253:Z253,"N/A")=16),SUM(K253:Z253),"")</x:f>
      </x:c>
      <x:c r="AC253" s="62" t="str">
        <x:f>IF(OR(AB253="",AA253&lt;=0),"",ROUND(AB253/AA253*100,1))</x:f>
      </x:c>
      <x:c r="AD253" s="8" t="str">
        <x:f>IF(COUNTIFS(D253:H253,"ไม่ผ่าน")&gt;0,"ไม่ผ่าน",IF(COUNTIFS(D253:H253,"ไม่ทราบ")+COUNTBLANK(D253:H253)&gt;0,"รอยืนยัน","ผ่าน"))</x:f>
        <x:v>รอยืนยัน</x:v>
      </x:c>
      <x:c r="AE253" s="8" t="str">
        <x:f>IF(AF253="ใช่","ไม่ผ่านการคัดเลือก",IF(AND(AD253="ผ่าน",ISNUMBER(AC253),AC253&gt;=70),"พร้อมขาย",IF(OR(J253="ใช่",AND(ISNUMBER(AC253),AC253&gt;=50)),"พัฒนาเพื่อพร้อมขาย",IF(AND(ISNUMBER(AC253),AC253&lt;50,I253&gt;=1),"มีศักยภาพ แต่ต้องพัฒนามาตรฐาน","รอประเมิน"))))</x:f>
        <x:v>รอประเมิน</x:v>
      </x:c>
      <x:c r="AF253" s="59" t="str">
        <x:v>ไม่ทราบ</x:v>
      </x:c>
      <x:c r="AG253" s="8" t="str">
        <x:f>IF(AF253="ใช่","หัวหน้าทีมพิจารณาเหตุไม่ผ่าน",IF(OR(AA253&lt;=0,NOT(OR(AND(C253="จำหน่ายอาหาร",ISNUMBER(K253),L253="N/A"),AND(C253="ไม่จำหน่ายอาหาร",K253="N/A",ISNUMBER(L253)),AND(C253="มัสยิด",K253="N/A",L253="N/A",X253="N/A"))),AD253="รอยืนยัน",COUNT(K253:Z253)+COUNTIFS(K253:Z253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3" s="59" t="str"/>
      <x:c r="AI253" s="61"/>
    </x:row>
    <x:row r="254" ht="60" customHeight="1">
      <x:c r="A254" s="2" t="str">
        <x:v>TMF-018</x:v>
      </x:c>
      <x:c r="B254" s="8" t="str">
        <x:v>โรตีบังมิง บ้านสวน</x:v>
      </x:c>
      <x:c r="C254" s="59" t="str">
        <x:v>จำหน่ายอาหาร</x:v>
      </x:c>
      <x:c r="D254" s="59" t="str">
        <x:v>ไม่ทราบ</x:v>
      </x:c>
      <x:c r="E254" s="59" t="str">
        <x:v>ไม่ทราบ</x:v>
      </x:c>
      <x:c r="F254" s="59" t="str">
        <x:v>ไม่ทราบ</x:v>
      </x:c>
      <x:c r="G254" s="59" t="str">
        <x:v>ไม่ทราบ</x:v>
      </x:c>
      <x:c r="H254" s="59" t="str">
        <x:v>N/A</x:v>
      </x:c>
      <x:c r="I254" s="59"/>
      <x:c r="J254" s="59" t="str">
        <x:v>ไม่ทราบ</x:v>
      </x:c>
      <x:c r="K254" s="59"/>
      <x:c r="L254" s="59" t="str">
        <x:v>N/A</x:v>
      </x:c>
      <x:c r="M254" s="59"/>
      <x:c r="N254" s="59"/>
      <x:c r="O254" s="59"/>
      <x:c r="P254" s="59"/>
      <x:c r="Q254" s="59"/>
      <x:c r="R254" s="59"/>
      <x:c r="S254" s="59"/>
      <x:c r="T254" s="59"/>
      <x:c r="U254" s="59"/>
      <x:c r="V254" s="59"/>
      <x:c r="W254" s="59"/>
      <x:c r="X254" s="59"/>
      <x:c r="Y254" s="59"/>
      <x:c r="Z254" s="59"/>
      <x:c r="AA254" s="8" t="n">
        <x:f>IF(C254="ไม่ทราบ","",SUMIFS($K$7:$Z$7,K254:Z254,"&lt;&gt;N/A"))</x:f>
        <x:v>100</x:v>
      </x:c>
      <x:c r="AB254" s="8" t="str">
        <x:f>IF(AND(OR(AND(C254="จำหน่ายอาหาร",ISNUMBER(K254),L254="N/A"),AND(C254="ไม่จำหน่ายอาหาร",K254="N/A",ISNUMBER(L254)),AND(C254="มัสยิด",K254="N/A",L254="N/A",X254="N/A")),COUNT(K254:Z254)+COUNTIFS(K254:Z254,"N/A")=16),SUM(K254:Z254),"")</x:f>
      </x:c>
      <x:c r="AC254" s="62" t="str">
        <x:f>IF(OR(AB254="",AA254&lt;=0),"",ROUND(AB254/AA254*100,1))</x:f>
      </x:c>
      <x:c r="AD254" s="8" t="str">
        <x:f>IF(COUNTIFS(D254:H254,"ไม่ผ่าน")&gt;0,"ไม่ผ่าน",IF(COUNTIFS(D254:H254,"ไม่ทราบ")+COUNTBLANK(D254:H254)&gt;0,"รอยืนยัน","ผ่าน"))</x:f>
        <x:v>รอยืนยัน</x:v>
      </x:c>
      <x:c r="AE254" s="8" t="str">
        <x:f>IF(AF254="ใช่","ไม่ผ่านการคัดเลือก",IF(AND(AD254="ผ่าน",ISNUMBER(AC254),AC254&gt;=70),"พร้อมขาย",IF(OR(J254="ใช่",AND(ISNUMBER(AC254),AC254&gt;=50)),"พัฒนาเพื่อพร้อมขาย",IF(AND(ISNUMBER(AC254),AC254&lt;50,I254&gt;=1),"มีศักยภาพ แต่ต้องพัฒนามาตรฐาน","รอประเมิน"))))</x:f>
        <x:v>รอประเมิน</x:v>
      </x:c>
      <x:c r="AF254" s="59" t="str">
        <x:v>ไม่ทราบ</x:v>
      </x:c>
      <x:c r="AG254" s="8" t="str">
        <x:f>IF(AF254="ใช่","หัวหน้าทีมพิจารณาเหตุไม่ผ่าน",IF(OR(AA254&lt;=0,NOT(OR(AND(C254="จำหน่ายอาหาร",ISNUMBER(K254),L254="N/A"),AND(C254="ไม่จำหน่ายอาหาร",K254="N/A",ISNUMBER(L254)),AND(C254="มัสยิด",K254="N/A",L254="N/A",X254="N/A"))),AD254="รอยืนยัน",COUNT(K254:Z254)+COUNTIFS(K254:Z254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4" s="59" t="str"/>
      <x:c r="AI254" s="61"/>
    </x:row>
    <x:row r="255" ht="60" customHeight="1">
      <x:c r="A255" s="2" t="str">
        <x:v>TMF-019</x:v>
      </x:c>
      <x:c r="B255" s="8" t="str">
        <x:v>ไทย-มุสลิม(Thai-Muslim Restaurant)</x:v>
      </x:c>
      <x:c r="C255" s="59" t="str">
        <x:v>จำหน่ายอาหาร</x:v>
      </x:c>
      <x:c r="D255" s="59" t="str">
        <x:v>ไม่ทราบ</x:v>
      </x:c>
      <x:c r="E255" s="59" t="str">
        <x:v>ไม่ทราบ</x:v>
      </x:c>
      <x:c r="F255" s="59" t="str">
        <x:v>ไม่ทราบ</x:v>
      </x:c>
      <x:c r="G255" s="59" t="str">
        <x:v>ไม่ทราบ</x:v>
      </x:c>
      <x:c r="H255" s="59" t="str">
        <x:v>N/A</x:v>
      </x:c>
      <x:c r="I255" s="59"/>
      <x:c r="J255" s="59" t="str">
        <x:v>ไม่ทราบ</x:v>
      </x:c>
      <x:c r="K255" s="59"/>
      <x:c r="L255" s="59" t="str">
        <x:v>N/A</x:v>
      </x:c>
      <x:c r="M255" s="59"/>
      <x:c r="N255" s="59"/>
      <x:c r="O255" s="59"/>
      <x:c r="P255" s="59"/>
      <x:c r="Q255" s="59"/>
      <x:c r="R255" s="59"/>
      <x:c r="S255" s="59"/>
      <x:c r="T255" s="59"/>
      <x:c r="U255" s="59"/>
      <x:c r="V255" s="59"/>
      <x:c r="W255" s="59"/>
      <x:c r="X255" s="59"/>
      <x:c r="Y255" s="59"/>
      <x:c r="Z255" s="59"/>
      <x:c r="AA255" s="8" t="n">
        <x:f>IF(C255="ไม่ทราบ","",SUMIFS($K$7:$Z$7,K255:Z255,"&lt;&gt;N/A"))</x:f>
        <x:v>100</x:v>
      </x:c>
      <x:c r="AB255" s="8" t="str">
        <x:f>IF(AND(OR(AND(C255="จำหน่ายอาหาร",ISNUMBER(K255),L255="N/A"),AND(C255="ไม่จำหน่ายอาหาร",K255="N/A",ISNUMBER(L255)),AND(C255="มัสยิด",K255="N/A",L255="N/A",X255="N/A")),COUNT(K255:Z255)+COUNTIFS(K255:Z255,"N/A")=16),SUM(K255:Z255),"")</x:f>
      </x:c>
      <x:c r="AC255" s="62" t="str">
        <x:f>IF(OR(AB255="",AA255&lt;=0),"",ROUND(AB255/AA255*100,1))</x:f>
      </x:c>
      <x:c r="AD255" s="8" t="str">
        <x:f>IF(COUNTIFS(D255:H255,"ไม่ผ่าน")&gt;0,"ไม่ผ่าน",IF(COUNTIFS(D255:H255,"ไม่ทราบ")+COUNTBLANK(D255:H255)&gt;0,"รอยืนยัน","ผ่าน"))</x:f>
        <x:v>รอยืนยัน</x:v>
      </x:c>
      <x:c r="AE255" s="8" t="str">
        <x:f>IF(AF255="ใช่","ไม่ผ่านการคัดเลือก",IF(AND(AD255="ผ่าน",ISNUMBER(AC255),AC255&gt;=70),"พร้อมขาย",IF(OR(J255="ใช่",AND(ISNUMBER(AC255),AC255&gt;=50)),"พัฒนาเพื่อพร้อมขาย",IF(AND(ISNUMBER(AC255),AC255&lt;50,I255&gt;=1),"มีศักยภาพ แต่ต้องพัฒนามาตรฐาน","รอประเมิน"))))</x:f>
        <x:v>รอประเมิน</x:v>
      </x:c>
      <x:c r="AF255" s="59" t="str">
        <x:v>ไม่ทราบ</x:v>
      </x:c>
      <x:c r="AG255" s="8" t="str">
        <x:f>IF(AF255="ใช่","หัวหน้าทีมพิจารณาเหตุไม่ผ่าน",IF(OR(AA255&lt;=0,NOT(OR(AND(C255="จำหน่ายอาหาร",ISNUMBER(K255),L255="N/A"),AND(C255="ไม่จำหน่ายอาหาร",K255="N/A",ISNUMBER(L255)),AND(C255="มัสยิด",K255="N/A",L255="N/A",X255="N/A"))),AD255="รอยืนยัน",COUNT(K255:Z255)+COUNTIFS(K255:Z255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5" s="59" t="str"/>
      <x:c r="AI255" s="61"/>
    </x:row>
    <x:row r="256" ht="60" customHeight="1">
      <x:c r="A256" s="2" t="str">
        <x:v>R26-281</x:v>
      </x:c>
      <x:c r="B256" s="8" t="str">
        <x:v>ธารน้ำร้อนบ่อคลึง</x:v>
      </x:c>
      <x:c r="C256" s="59" t="str">
        <x:v>ไม่ทราบ</x:v>
      </x:c>
      <x:c r="D256" s="59" t="str">
        <x:v>ไม่ทราบ</x:v>
      </x:c>
      <x:c r="E256" s="59" t="str">
        <x:v>ไม่ทราบ</x:v>
      </x:c>
      <x:c r="F256" s="59" t="str">
        <x:v>ไม่ทราบ</x:v>
      </x:c>
      <x:c r="G256" s="59" t="str">
        <x:v>ไม่ทราบ</x:v>
      </x:c>
      <x:c r="H256" s="59" t="str">
        <x:v>N/A</x:v>
      </x:c>
      <x:c r="I256" s="59"/>
      <x:c r="J256" s="59" t="str">
        <x:v>ไม่ทราบ</x:v>
      </x:c>
      <x:c r="K256" s="59"/>
      <x:c r="L256" s="59"/>
      <x:c r="M256" s="59"/>
      <x:c r="N256" s="59"/>
      <x:c r="O256" s="59"/>
      <x:c r="P256" s="59"/>
      <x:c r="Q256" s="59"/>
      <x:c r="R256" s="59"/>
      <x:c r="S256" s="59"/>
      <x:c r="T256" s="59"/>
      <x:c r="U256" s="59"/>
      <x:c r="V256" s="59"/>
      <x:c r="W256" s="59"/>
      <x:c r="X256" s="59"/>
      <x:c r="Y256" s="59"/>
      <x:c r="Z256" s="59"/>
      <x:c r="AA256" s="8" t="str">
        <x:f>IF(C256="ไม่ทราบ","",SUMIFS($K$7:$Z$7,K256:Z256,"&lt;&gt;N/A"))</x:f>
      </x:c>
      <x:c r="AB256" s="8" t="str">
        <x:f>IF(AND(OR(AND(C256="จำหน่ายอาหาร",ISNUMBER(K256),L256="N/A"),AND(C256="ไม่จำหน่ายอาหาร",K256="N/A",ISNUMBER(L256)),AND(C256="มัสยิด",K256="N/A",L256="N/A",X256="N/A")),COUNT(K256:Z256)+COUNTIFS(K256:Z256,"N/A")=16),SUM(K256:Z256),"")</x:f>
      </x:c>
      <x:c r="AC256" s="62" t="str">
        <x:f>IF(OR(AB256="",AA256&lt;=0),"",ROUND(AB256/AA256*100,1))</x:f>
      </x:c>
      <x:c r="AD256" s="8" t="str">
        <x:f>IF(COUNTIFS(D256:H256,"ไม่ผ่าน")&gt;0,"ไม่ผ่าน",IF(COUNTIFS(D256:H256,"ไม่ทราบ")+COUNTBLANK(D256:H256)&gt;0,"รอยืนยัน","ผ่าน"))</x:f>
        <x:v>รอยืนยัน</x:v>
      </x:c>
      <x:c r="AE256" s="8" t="str">
        <x:f>IF(AF256="ใช่","ไม่ผ่านการคัดเลือก",IF(AND(AD256="ผ่าน",ISNUMBER(AC256),AC256&gt;=70),"พร้อมขาย",IF(OR(J256="ใช่",AND(ISNUMBER(AC256),AC256&gt;=50)),"พัฒนาเพื่อพร้อมขาย",IF(AND(ISNUMBER(AC256),AC256&lt;50,I256&gt;=1),"มีศักยภาพ แต่ต้องพัฒนามาตรฐาน","รอประเมิน"))))</x:f>
        <x:v>รอประเมิน</x:v>
      </x:c>
      <x:c r="AF256" s="59" t="str">
        <x:v>ไม่ทราบ</x:v>
      </x:c>
      <x:c r="AG256" s="8" t="str">
        <x:f>IF(AF256="ใช่","หัวหน้าทีมพิจารณาเหตุไม่ผ่าน",IF(OR(AA256&lt;=0,NOT(OR(AND(C256="จำหน่ายอาหาร",ISNUMBER(K256),L256="N/A"),AND(C256="ไม่จำหน่ายอาหาร",K256="N/A",ISNUMBER(L256)),AND(C256="มัสยิด",K256="N/A",L256="N/A",X256="N/A"))),AD256="รอยืนยัน",COUNT(K256:Z256)+COUNTIFS(K256:Z256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6" s="59" t="str"/>
      <x:c r="AI256" s="61"/>
    </x:row>
    <x:row r="257" ht="60" customHeight="1">
      <x:c r="A257" s="2" t="str">
        <x:v>R26-263</x:v>
      </x:c>
      <x:c r="B257" s="8" t="str">
        <x:v>Robinson Lifestyle Ratchaburi</x:v>
      </x:c>
      <x:c r="C257" s="59" t="str">
        <x:v>ไม่ทราบ</x:v>
      </x:c>
      <x:c r="D257" s="59" t="str">
        <x:v>ไม่ทราบ</x:v>
      </x:c>
      <x:c r="E257" s="59" t="str">
        <x:v>ไม่ทราบ</x:v>
      </x:c>
      <x:c r="F257" s="59" t="str">
        <x:v>ไม่ทราบ</x:v>
      </x:c>
      <x:c r="G257" s="59" t="str">
        <x:v>ไม่ทราบ</x:v>
      </x:c>
      <x:c r="H257" s="59" t="str">
        <x:v>N/A</x:v>
      </x:c>
      <x:c r="I257" s="59"/>
      <x:c r="J257" s="59" t="str">
        <x:v>ไม่ทราบ</x:v>
      </x:c>
      <x:c r="K257" s="59"/>
      <x:c r="L257" s="59"/>
      <x:c r="M257" s="59"/>
      <x:c r="N257" s="59"/>
      <x:c r="O257" s="59"/>
      <x:c r="P257" s="59"/>
      <x:c r="Q257" s="59"/>
      <x:c r="R257" s="59"/>
      <x:c r="S257" s="59"/>
      <x:c r="T257" s="59"/>
      <x:c r="U257" s="59"/>
      <x:c r="V257" s="59"/>
      <x:c r="W257" s="59"/>
      <x:c r="X257" s="59"/>
      <x:c r="Y257" s="59"/>
      <x:c r="Z257" s="59"/>
      <x:c r="AA257" s="8" t="str">
        <x:f>IF(C257="ไม่ทราบ","",SUMIFS($K$7:$Z$7,K257:Z257,"&lt;&gt;N/A"))</x:f>
      </x:c>
      <x:c r="AB257" s="8" t="str">
        <x:f>IF(AND(OR(AND(C257="จำหน่ายอาหาร",ISNUMBER(K257),L257="N/A"),AND(C257="ไม่จำหน่ายอาหาร",K257="N/A",ISNUMBER(L257)),AND(C257="มัสยิด",K257="N/A",L257="N/A",X257="N/A")),COUNT(K257:Z257)+COUNTIFS(K257:Z257,"N/A")=16),SUM(K257:Z257),"")</x:f>
      </x:c>
      <x:c r="AC257" s="62" t="str">
        <x:f>IF(OR(AB257="",AA257&lt;=0),"",ROUND(AB257/AA257*100,1))</x:f>
      </x:c>
      <x:c r="AD257" s="8" t="str">
        <x:f>IF(COUNTIFS(D257:H257,"ไม่ผ่าน")&gt;0,"ไม่ผ่าน",IF(COUNTIFS(D257:H257,"ไม่ทราบ")+COUNTBLANK(D257:H257)&gt;0,"รอยืนยัน","ผ่าน"))</x:f>
        <x:v>รอยืนยัน</x:v>
      </x:c>
      <x:c r="AE257" s="8" t="str">
        <x:f>IF(AF257="ใช่","ไม่ผ่านการคัดเลือก",IF(AND(AD257="ผ่าน",ISNUMBER(AC257),AC257&gt;=70),"พร้อมขาย",IF(OR(J257="ใช่",AND(ISNUMBER(AC257),AC257&gt;=50)),"พัฒนาเพื่อพร้อมขาย",IF(AND(ISNUMBER(AC257),AC257&lt;50,I257&gt;=1),"มีศักยภาพ แต่ต้องพัฒนามาตรฐาน","รอประเมิน"))))</x:f>
        <x:v>รอประเมิน</x:v>
      </x:c>
      <x:c r="AF257" s="59" t="str">
        <x:v>ไม่ทราบ</x:v>
      </x:c>
      <x:c r="AG257" s="8" t="str">
        <x:f>IF(AF257="ใช่","หัวหน้าทีมพิจารณาเหตุไม่ผ่าน",IF(OR(AA257&lt;=0,NOT(OR(AND(C257="จำหน่ายอาหาร",ISNUMBER(K257),L257="N/A"),AND(C257="ไม่จำหน่ายอาหาร",K257="N/A",ISNUMBER(L257)),AND(C257="มัสยิด",K257="N/A",L257="N/A",X257="N/A"))),AD257="รอยืนยัน",COUNT(K257:Z257)+COUNTIFS(K257:Z257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7" s="59" t="str"/>
      <x:c r="AI257" s="61"/>
    </x:row>
    <x:row r="258" ht="60" customHeight="1">
      <x:c r="A258" s="2" t="str">
        <x:v>R26-139</x:v>
      </x:c>
      <x:c r="B258" s="8" t="str">
        <x:v>ถ้ำเขาบิน</x:v>
      </x:c>
      <x:c r="C258" s="59" t="str">
        <x:v>ไม่ทราบ</x:v>
      </x:c>
      <x:c r="D258" s="59" t="str">
        <x:v>ไม่ทราบ</x:v>
      </x:c>
      <x:c r="E258" s="59" t="str">
        <x:v>ไม่ทราบ</x:v>
      </x:c>
      <x:c r="F258" s="59" t="str">
        <x:v>ไม่ทราบ</x:v>
      </x:c>
      <x:c r="G258" s="59" t="str">
        <x:v>ไม่ทราบ</x:v>
      </x:c>
      <x:c r="H258" s="59" t="str">
        <x:v>N/A</x:v>
      </x:c>
      <x:c r="I258" s="59"/>
      <x:c r="J258" s="59" t="str">
        <x:v>ไม่ทราบ</x:v>
      </x:c>
      <x:c r="K258" s="59"/>
      <x:c r="L258" s="59"/>
      <x:c r="M258" s="59"/>
      <x:c r="N258" s="59"/>
      <x:c r="O258" s="59"/>
      <x:c r="P258" s="59"/>
      <x:c r="Q258" s="59"/>
      <x:c r="R258" s="59"/>
      <x:c r="S258" s="59"/>
      <x:c r="T258" s="59"/>
      <x:c r="U258" s="59"/>
      <x:c r="V258" s="59"/>
      <x:c r="W258" s="59"/>
      <x:c r="X258" s="59"/>
      <x:c r="Y258" s="59"/>
      <x:c r="Z258" s="59"/>
      <x:c r="AA258" s="8" t="str">
        <x:f>IF(C258="ไม่ทราบ","",SUMIFS($K$7:$Z$7,K258:Z258,"&lt;&gt;N/A"))</x:f>
      </x:c>
      <x:c r="AB258" s="8" t="str">
        <x:f>IF(AND(OR(AND(C258="จำหน่ายอาหาร",ISNUMBER(K258),L258="N/A"),AND(C258="ไม่จำหน่ายอาหาร",K258="N/A",ISNUMBER(L258)),AND(C258="มัสยิด",K258="N/A",L258="N/A",X258="N/A")),COUNT(K258:Z258)+COUNTIFS(K258:Z258,"N/A")=16),SUM(K258:Z258),"")</x:f>
      </x:c>
      <x:c r="AC258" s="62" t="str">
        <x:f>IF(OR(AB258="",AA258&lt;=0),"",ROUND(AB258/AA258*100,1))</x:f>
      </x:c>
      <x:c r="AD258" s="8" t="str">
        <x:f>IF(COUNTIFS(D258:H258,"ไม่ผ่าน")&gt;0,"ไม่ผ่าน",IF(COUNTIFS(D258:H258,"ไม่ทราบ")+COUNTBLANK(D258:H258)&gt;0,"รอยืนยัน","ผ่าน"))</x:f>
        <x:v>รอยืนยัน</x:v>
      </x:c>
      <x:c r="AE258" s="8" t="str">
        <x:f>IF(AF258="ใช่","ไม่ผ่านการคัดเลือก",IF(AND(AD258="ผ่าน",ISNUMBER(AC258),AC258&gt;=70),"พร้อมขาย",IF(OR(J258="ใช่",AND(ISNUMBER(AC258),AC258&gt;=50)),"พัฒนาเพื่อพร้อมขาย",IF(AND(ISNUMBER(AC258),AC258&lt;50,I258&gt;=1),"มีศักยภาพ แต่ต้องพัฒนามาตรฐาน","รอประเมิน"))))</x:f>
        <x:v>รอประเมิน</x:v>
      </x:c>
      <x:c r="AF258" s="59" t="str">
        <x:v>ไม่ทราบ</x:v>
      </x:c>
      <x:c r="AG258" s="8" t="str">
        <x:f>IF(AF258="ใช่","หัวหน้าทีมพิจารณาเหตุไม่ผ่าน",IF(OR(AA258&lt;=0,NOT(OR(AND(C258="จำหน่ายอาหาร",ISNUMBER(K258),L258="N/A"),AND(C258="ไม่จำหน่ายอาหาร",K258="N/A",ISNUMBER(L258)),AND(C258="มัสยิด",K258="N/A",L258="N/A",X258="N/A"))),AD258="รอยืนยัน",COUNT(K258:Z258)+COUNTIFS(K258:Z258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8" s="59" t="str"/>
      <x:c r="AI258" s="61"/>
    </x:row>
    <x:row r="259" ht="60" customHeight="1">
      <x:c r="A259" s="2" t="str">
        <x:v>R26-140</x:v>
      </x:c>
      <x:c r="B259" s="8" t="str">
        <x:v>น้ำตกเก้าโจน</x:v>
      </x:c>
      <x:c r="C259" s="59" t="str">
        <x:v>ไม่ทราบ</x:v>
      </x:c>
      <x:c r="D259" s="59" t="str">
        <x:v>ไม่ทราบ</x:v>
      </x:c>
      <x:c r="E259" s="59" t="str">
        <x:v>ไม่ทราบ</x:v>
      </x:c>
      <x:c r="F259" s="59" t="str">
        <x:v>ไม่ทราบ</x:v>
      </x:c>
      <x:c r="G259" s="59" t="str">
        <x:v>ไม่ทราบ</x:v>
      </x:c>
      <x:c r="H259" s="59" t="str">
        <x:v>N/A</x:v>
      </x:c>
      <x:c r="I259" s="59"/>
      <x:c r="J259" s="59" t="str">
        <x:v>ไม่ทราบ</x:v>
      </x:c>
      <x:c r="K259" s="59"/>
      <x:c r="L259" s="59"/>
      <x:c r="M259" s="59"/>
      <x:c r="N259" s="59"/>
      <x:c r="O259" s="59"/>
      <x:c r="P259" s="59"/>
      <x:c r="Q259" s="59"/>
      <x:c r="R259" s="59"/>
      <x:c r="S259" s="59"/>
      <x:c r="T259" s="59"/>
      <x:c r="U259" s="59"/>
      <x:c r="V259" s="59"/>
      <x:c r="W259" s="59"/>
      <x:c r="X259" s="59"/>
      <x:c r="Y259" s="59"/>
      <x:c r="Z259" s="59"/>
      <x:c r="AA259" s="8" t="str">
        <x:f>IF(C259="ไม่ทราบ","",SUMIFS($K$7:$Z$7,K259:Z259,"&lt;&gt;N/A"))</x:f>
      </x:c>
      <x:c r="AB259" s="8" t="str">
        <x:f>IF(AND(OR(AND(C259="จำหน่ายอาหาร",ISNUMBER(K259),L259="N/A"),AND(C259="ไม่จำหน่ายอาหาร",K259="N/A",ISNUMBER(L259)),AND(C259="มัสยิด",K259="N/A",L259="N/A",X259="N/A")),COUNT(K259:Z259)+COUNTIFS(K259:Z259,"N/A")=16),SUM(K259:Z259),"")</x:f>
      </x:c>
      <x:c r="AC259" s="62" t="str">
        <x:f>IF(OR(AB259="",AA259&lt;=0),"",ROUND(AB259/AA259*100,1))</x:f>
      </x:c>
      <x:c r="AD259" s="8" t="str">
        <x:f>IF(COUNTIFS(D259:H259,"ไม่ผ่าน")&gt;0,"ไม่ผ่าน",IF(COUNTIFS(D259:H259,"ไม่ทราบ")+COUNTBLANK(D259:H259)&gt;0,"รอยืนยัน","ผ่าน"))</x:f>
        <x:v>รอยืนยัน</x:v>
      </x:c>
      <x:c r="AE259" s="8" t="str">
        <x:f>IF(AF259="ใช่","ไม่ผ่านการคัดเลือก",IF(AND(AD259="ผ่าน",ISNUMBER(AC259),AC259&gt;=70),"พร้อมขาย",IF(OR(J259="ใช่",AND(ISNUMBER(AC259),AC259&gt;=50)),"พัฒนาเพื่อพร้อมขาย",IF(AND(ISNUMBER(AC259),AC259&lt;50,I259&gt;=1),"มีศักยภาพ แต่ต้องพัฒนามาตรฐาน","รอประเมิน"))))</x:f>
        <x:v>รอประเมิน</x:v>
      </x:c>
      <x:c r="AF259" s="59" t="str">
        <x:v>ไม่ทราบ</x:v>
      </x:c>
      <x:c r="AG259" s="8" t="str">
        <x:f>IF(AF259="ใช่","หัวหน้าทีมพิจารณาเหตุไม่ผ่าน",IF(OR(AA259&lt;=0,NOT(OR(AND(C259="จำหน่ายอาหาร",ISNUMBER(K259),L259="N/A"),AND(C259="ไม่จำหน่ายอาหาร",K259="N/A",ISNUMBER(L259)),AND(C259="มัสยิด",K259="N/A",L259="N/A",X259="N/A"))),AD259="รอยืนยัน",COUNT(K259:Z259)+COUNTIFS(K259:Z259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59" s="59" t="str"/>
      <x:c r="AI259" s="61"/>
    </x:row>
    <x:row r="260" ht="60" customHeight="1">
      <x:c r="A260" s="2" t="str">
        <x:v>R26-141</x:v>
      </x:c>
      <x:c r="B260" s="8" t="str">
        <x:v>สวนพฤกษศาสตร์วรรณคดีภาคกลาง ราชบุรี</x:v>
      </x:c>
      <x:c r="C260" s="59" t="str">
        <x:v>ไม่ทราบ</x:v>
      </x:c>
      <x:c r="D260" s="59" t="str">
        <x:v>ไม่ทราบ</x:v>
      </x:c>
      <x:c r="E260" s="59" t="str">
        <x:v>ไม่ทราบ</x:v>
      </x:c>
      <x:c r="F260" s="59" t="str">
        <x:v>ไม่ทราบ</x:v>
      </x:c>
      <x:c r="G260" s="59" t="str">
        <x:v>ไม่ทราบ</x:v>
      </x:c>
      <x:c r="H260" s="59" t="str">
        <x:v>N/A</x:v>
      </x:c>
      <x:c r="I260" s="59"/>
      <x:c r="J260" s="59" t="str">
        <x:v>ไม่ทราบ</x:v>
      </x:c>
      <x:c r="K260" s="59"/>
      <x:c r="L260" s="59"/>
      <x:c r="M260" s="59"/>
      <x:c r="N260" s="59"/>
      <x:c r="O260" s="59"/>
      <x:c r="P260" s="59"/>
      <x:c r="Q260" s="59"/>
      <x:c r="R260" s="59"/>
      <x:c r="S260" s="59"/>
      <x:c r="T260" s="59"/>
      <x:c r="U260" s="59"/>
      <x:c r="V260" s="59"/>
      <x:c r="W260" s="59"/>
      <x:c r="X260" s="59"/>
      <x:c r="Y260" s="59"/>
      <x:c r="Z260" s="59"/>
      <x:c r="AA260" s="8" t="str">
        <x:f>IF(C260="ไม่ทราบ","",SUMIFS($K$7:$Z$7,K260:Z260,"&lt;&gt;N/A"))</x:f>
      </x:c>
      <x:c r="AB260" s="8" t="str">
        <x:f>IF(AND(OR(AND(C260="จำหน่ายอาหาร",ISNUMBER(K260),L260="N/A"),AND(C260="ไม่จำหน่ายอาหาร",K260="N/A",ISNUMBER(L260)),AND(C260="มัสยิด",K260="N/A",L260="N/A",X260="N/A")),COUNT(K260:Z260)+COUNTIFS(K260:Z260,"N/A")=16),SUM(K260:Z260),"")</x:f>
      </x:c>
      <x:c r="AC260" s="62" t="str">
        <x:f>IF(OR(AB260="",AA260&lt;=0),"",ROUND(AB260/AA260*100,1))</x:f>
      </x:c>
      <x:c r="AD260" s="8" t="str">
        <x:f>IF(COUNTIFS(D260:H260,"ไม่ผ่าน")&gt;0,"ไม่ผ่าน",IF(COUNTIFS(D260:H260,"ไม่ทราบ")+COUNTBLANK(D260:H260)&gt;0,"รอยืนยัน","ผ่าน"))</x:f>
        <x:v>รอยืนยัน</x:v>
      </x:c>
      <x:c r="AE260" s="8" t="str">
        <x:f>IF(AF260="ใช่","ไม่ผ่านการคัดเลือก",IF(AND(AD260="ผ่าน",ISNUMBER(AC260),AC260&gt;=70),"พร้อมขาย",IF(OR(J260="ใช่",AND(ISNUMBER(AC260),AC260&gt;=50)),"พัฒนาเพื่อพร้อมขาย",IF(AND(ISNUMBER(AC260),AC260&lt;50,I260&gt;=1),"มีศักยภาพ แต่ต้องพัฒนามาตรฐาน","รอประเมิน"))))</x:f>
        <x:v>รอประเมิน</x:v>
      </x:c>
      <x:c r="AF260" s="59" t="str">
        <x:v>ไม่ทราบ</x:v>
      </x:c>
      <x:c r="AG260" s="8" t="str">
        <x:f>IF(AF260="ใช่","หัวหน้าทีมพิจารณาเหตุไม่ผ่าน",IF(OR(AA260&lt;=0,NOT(OR(AND(C260="จำหน่ายอาหาร",ISNUMBER(K260),L260="N/A"),AND(C260="ไม่จำหน่ายอาหาร",K260="N/A",ISNUMBER(L260)),AND(C260="มัสยิด",K260="N/A",L260="N/A",X260="N/A"))),AD260="รอยืนยัน",COUNT(K260:Z260)+COUNTIFS(K260:Z260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0" s="59" t="str"/>
      <x:c r="AI260" s="61"/>
    </x:row>
    <x:row r="261" ht="60" customHeight="1">
      <x:c r="A261" s="2" t="str">
        <x:v>R26-138</x:v>
      </x:c>
      <x:c r="B261" s="8" t="str">
        <x:v>อุทยานหินเขางู</x:v>
      </x:c>
      <x:c r="C261" s="59" t="str">
        <x:v>ไม่ทราบ</x:v>
      </x:c>
      <x:c r="D261" s="59" t="str">
        <x:v>ไม่ทราบ</x:v>
      </x:c>
      <x:c r="E261" s="59" t="str">
        <x:v>ไม่ทราบ</x:v>
      </x:c>
      <x:c r="F261" s="59" t="str">
        <x:v>ไม่ทราบ</x:v>
      </x:c>
      <x:c r="G261" s="59" t="str">
        <x:v>ไม่ทราบ</x:v>
      </x:c>
      <x:c r="H261" s="59" t="str">
        <x:v>N/A</x:v>
      </x:c>
      <x:c r="I261" s="59"/>
      <x:c r="J261" s="59" t="str">
        <x:v>ไม่ทราบ</x:v>
      </x:c>
      <x:c r="K261" s="59"/>
      <x:c r="L261" s="59"/>
      <x:c r="M261" s="59"/>
      <x:c r="N261" s="59"/>
      <x:c r="O261" s="59"/>
      <x:c r="P261" s="59"/>
      <x:c r="Q261" s="59"/>
      <x:c r="R261" s="59"/>
      <x:c r="S261" s="59"/>
      <x:c r="T261" s="59"/>
      <x:c r="U261" s="59"/>
      <x:c r="V261" s="59"/>
      <x:c r="W261" s="59"/>
      <x:c r="X261" s="59"/>
      <x:c r="Y261" s="59"/>
      <x:c r="Z261" s="59"/>
      <x:c r="AA261" s="8" t="str">
        <x:f>IF(C261="ไม่ทราบ","",SUMIFS($K$7:$Z$7,K261:Z261,"&lt;&gt;N/A"))</x:f>
      </x:c>
      <x:c r="AB261" s="8" t="str">
        <x:f>IF(AND(OR(AND(C261="จำหน่ายอาหาร",ISNUMBER(K261),L261="N/A"),AND(C261="ไม่จำหน่ายอาหาร",K261="N/A",ISNUMBER(L261)),AND(C261="มัสยิด",K261="N/A",L261="N/A",X261="N/A")),COUNT(K261:Z261)+COUNTIFS(K261:Z261,"N/A")=16),SUM(K261:Z261),"")</x:f>
      </x:c>
      <x:c r="AC261" s="62" t="str">
        <x:f>IF(OR(AB261="",AA261&lt;=0),"",ROUND(AB261/AA261*100,1))</x:f>
      </x:c>
      <x:c r="AD261" s="8" t="str">
        <x:f>IF(COUNTIFS(D261:H261,"ไม่ผ่าน")&gt;0,"ไม่ผ่าน",IF(COUNTIFS(D261:H261,"ไม่ทราบ")+COUNTBLANK(D261:H261)&gt;0,"รอยืนยัน","ผ่าน"))</x:f>
        <x:v>รอยืนยัน</x:v>
      </x:c>
      <x:c r="AE261" s="8" t="str">
        <x:f>IF(AF261="ใช่","ไม่ผ่านการคัดเลือก",IF(AND(AD261="ผ่าน",ISNUMBER(AC261),AC261&gt;=70),"พร้อมขาย",IF(OR(J261="ใช่",AND(ISNUMBER(AC261),AC261&gt;=50)),"พัฒนาเพื่อพร้อมขาย",IF(AND(ISNUMBER(AC261),AC261&lt;50,I261&gt;=1),"มีศักยภาพ แต่ต้องพัฒนามาตรฐาน","รอประเมิน"))))</x:f>
        <x:v>รอประเมิน</x:v>
      </x:c>
      <x:c r="AF261" s="59" t="str">
        <x:v>ไม่ทราบ</x:v>
      </x:c>
      <x:c r="AG261" s="8" t="str">
        <x:f>IF(AF261="ใช่","หัวหน้าทีมพิจารณาเหตุไม่ผ่าน",IF(OR(AA261&lt;=0,NOT(OR(AND(C261="จำหน่ายอาหาร",ISNUMBER(K261),L261="N/A"),AND(C261="ไม่จำหน่ายอาหาร",K261="N/A",ISNUMBER(L261)),AND(C261="มัสยิด",K261="N/A",L261="N/A",X261="N/A"))),AD261="รอยืนยัน",COUNT(K261:Z261)+COUNTIFS(K261:Z261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1" s="59" t="str"/>
      <x:c r="AI261" s="61"/>
    </x:row>
    <x:row r="262" ht="60" customHeight="1">
      <x:c r="A262" s="2" t="str">
        <x:v>TMF-444</x:v>
      </x:c>
      <x:c r="B262" s="8" t="str">
        <x:v>ตลาดน้ำดำเนินสะดวก</x:v>
      </x:c>
      <x:c r="C262" s="59" t="str">
        <x:v>ไม่ทราบ</x:v>
      </x:c>
      <x:c r="D262" s="59" t="str">
        <x:v>ไม่ทราบ</x:v>
      </x:c>
      <x:c r="E262" s="59" t="str">
        <x:v>ไม่ทราบ</x:v>
      </x:c>
      <x:c r="F262" s="59" t="str">
        <x:v>ไม่ทราบ</x:v>
      </x:c>
      <x:c r="G262" s="59" t="str">
        <x:v>ไม่ทราบ</x:v>
      </x:c>
      <x:c r="H262" s="59" t="str">
        <x:v>N/A</x:v>
      </x:c>
      <x:c r="I262" s="59"/>
      <x:c r="J262" s="59" t="str">
        <x:v>ไม่ทราบ</x:v>
      </x:c>
      <x:c r="K262" s="59"/>
      <x:c r="L262" s="59"/>
      <x:c r="M262" s="59"/>
      <x:c r="N262" s="59"/>
      <x:c r="O262" s="59"/>
      <x:c r="P262" s="59"/>
      <x:c r="Q262" s="59"/>
      <x:c r="R262" s="59"/>
      <x:c r="S262" s="59"/>
      <x:c r="T262" s="59"/>
      <x:c r="U262" s="59"/>
      <x:c r="V262" s="59"/>
      <x:c r="W262" s="59"/>
      <x:c r="X262" s="59"/>
      <x:c r="Y262" s="59"/>
      <x:c r="Z262" s="59"/>
      <x:c r="AA262" s="8" t="str">
        <x:f>IF(C262="ไม่ทราบ","",SUMIFS($K$7:$Z$7,K262:Z262,"&lt;&gt;N/A"))</x:f>
      </x:c>
      <x:c r="AB262" s="8" t="str">
        <x:f>IF(AND(OR(AND(C262="จำหน่ายอาหาร",ISNUMBER(K262),L262="N/A"),AND(C262="ไม่จำหน่ายอาหาร",K262="N/A",ISNUMBER(L262)),AND(C262="มัสยิด",K262="N/A",L262="N/A",X262="N/A")),COUNT(K262:Z262)+COUNTIFS(K262:Z262,"N/A")=16),SUM(K262:Z262),"")</x:f>
      </x:c>
      <x:c r="AC262" s="62" t="str">
        <x:f>IF(OR(AB262="",AA262&lt;=0),"",ROUND(AB262/AA262*100,1))</x:f>
      </x:c>
      <x:c r="AD262" s="8" t="str">
        <x:f>IF(COUNTIFS(D262:H262,"ไม่ผ่าน")&gt;0,"ไม่ผ่าน",IF(COUNTIFS(D262:H262,"ไม่ทราบ")+COUNTBLANK(D262:H262)&gt;0,"รอยืนยัน","ผ่าน"))</x:f>
        <x:v>รอยืนยัน</x:v>
      </x:c>
      <x:c r="AE262" s="8" t="str">
        <x:f>IF(AF262="ใช่","ไม่ผ่านการคัดเลือก",IF(AND(AD262="ผ่าน",ISNUMBER(AC262),AC262&gt;=70),"พร้อมขาย",IF(OR(J262="ใช่",AND(ISNUMBER(AC262),AC262&gt;=50)),"พัฒนาเพื่อพร้อมขาย",IF(AND(ISNUMBER(AC262),AC262&lt;50,I262&gt;=1),"มีศักยภาพ แต่ต้องพัฒนามาตรฐาน","รอประเมิน"))))</x:f>
        <x:v>รอประเมิน</x:v>
      </x:c>
      <x:c r="AF262" s="59" t="str">
        <x:v>ไม่ทราบ</x:v>
      </x:c>
      <x:c r="AG262" s="8" t="str">
        <x:f>IF(AF262="ใช่","หัวหน้าทีมพิจารณาเหตุไม่ผ่าน",IF(OR(AA262&lt;=0,NOT(OR(AND(C262="จำหน่ายอาหาร",ISNUMBER(K262),L262="N/A"),AND(C262="ไม่จำหน่ายอาหาร",K262="N/A",ISNUMBER(L262)),AND(C262="มัสยิด",K262="N/A",L262="N/A",X262="N/A"))),AD262="รอยืนยัน",COUNT(K262:Z262)+COUNTIFS(K262:Z262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2" s="59" t="str"/>
      <x:c r="AI262" s="61"/>
    </x:row>
    <x:row r="263" ht="60" customHeight="1">
      <x:c r="A263" s="2" t="str">
        <x:v>TMF-445</x:v>
      </x:c>
      <x:c r="B263" s="8" t="str">
        <x:v>ตลาดเก่าโคยกี๊</x:v>
      </x:c>
      <x:c r="C263" s="59" t="str">
        <x:v>ไม่ทราบ</x:v>
      </x:c>
      <x:c r="D263" s="59" t="str">
        <x:v>ไม่ทราบ</x:v>
      </x:c>
      <x:c r="E263" s="59" t="str">
        <x:v>ไม่ทราบ</x:v>
      </x:c>
      <x:c r="F263" s="59" t="str">
        <x:v>ไม่ทราบ</x:v>
      </x:c>
      <x:c r="G263" s="59" t="str">
        <x:v>ไม่ทราบ</x:v>
      </x:c>
      <x:c r="H263" s="59" t="str">
        <x:v>N/A</x:v>
      </x:c>
      <x:c r="I263" s="59"/>
      <x:c r="J263" s="59" t="str">
        <x:v>ไม่ทราบ</x:v>
      </x:c>
      <x:c r="K263" s="59"/>
      <x:c r="L263" s="59"/>
      <x:c r="M263" s="59"/>
      <x:c r="N263" s="59"/>
      <x:c r="O263" s="59"/>
      <x:c r="P263" s="59"/>
      <x:c r="Q263" s="59"/>
      <x:c r="R263" s="59"/>
      <x:c r="S263" s="59"/>
      <x:c r="T263" s="59"/>
      <x:c r="U263" s="59"/>
      <x:c r="V263" s="59"/>
      <x:c r="W263" s="59"/>
      <x:c r="X263" s="59"/>
      <x:c r="Y263" s="59"/>
      <x:c r="Z263" s="59"/>
      <x:c r="AA263" s="8" t="str">
        <x:f>IF(C263="ไม่ทราบ","",SUMIFS($K$7:$Z$7,K263:Z263,"&lt;&gt;N/A"))</x:f>
      </x:c>
      <x:c r="AB263" s="8" t="str">
        <x:f>IF(AND(OR(AND(C263="จำหน่ายอาหาร",ISNUMBER(K263),L263="N/A"),AND(C263="ไม่จำหน่ายอาหาร",K263="N/A",ISNUMBER(L263)),AND(C263="มัสยิด",K263="N/A",L263="N/A",X263="N/A")),COUNT(K263:Z263)+COUNTIFS(K263:Z263,"N/A")=16),SUM(K263:Z263),"")</x:f>
      </x:c>
      <x:c r="AC263" s="62" t="str">
        <x:f>IF(OR(AB263="",AA263&lt;=0),"",ROUND(AB263/AA263*100,1))</x:f>
      </x:c>
      <x:c r="AD263" s="8" t="str">
        <x:f>IF(COUNTIFS(D263:H263,"ไม่ผ่าน")&gt;0,"ไม่ผ่าน",IF(COUNTIFS(D263:H263,"ไม่ทราบ")+COUNTBLANK(D263:H263)&gt;0,"รอยืนยัน","ผ่าน"))</x:f>
        <x:v>รอยืนยัน</x:v>
      </x:c>
      <x:c r="AE263" s="8" t="str">
        <x:f>IF(AF263="ใช่","ไม่ผ่านการคัดเลือก",IF(AND(AD263="ผ่าน",ISNUMBER(AC263),AC263&gt;=70),"พร้อมขาย",IF(OR(J263="ใช่",AND(ISNUMBER(AC263),AC263&gt;=50)),"พัฒนาเพื่อพร้อมขาย",IF(AND(ISNUMBER(AC263),AC263&lt;50,I263&gt;=1),"มีศักยภาพ แต่ต้องพัฒนามาตรฐาน","รอประเมิน"))))</x:f>
        <x:v>รอประเมิน</x:v>
      </x:c>
      <x:c r="AF263" s="59" t="str">
        <x:v>ไม่ทราบ</x:v>
      </x:c>
      <x:c r="AG263" s="8" t="str">
        <x:f>IF(AF263="ใช่","หัวหน้าทีมพิจารณาเหตุไม่ผ่าน",IF(OR(AA263&lt;=0,NOT(OR(AND(C263="จำหน่ายอาหาร",ISNUMBER(K263),L263="N/A"),AND(C263="ไม่จำหน่ายอาหาร",K263="N/A",ISNUMBER(L263)),AND(C263="มัสยิด",K263="N/A",L263="N/A",X263="N/A"))),AD263="รอยืนยัน",COUNT(K263:Z263)+COUNTIFS(K263:Z263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3" s="59" t="str"/>
      <x:c r="AI263" s="61"/>
    </x:row>
    <x:row r="264" ht="60" customHeight="1">
      <x:c r="A264" s="2" t="str">
        <x:v>TMF-446</x:v>
      </x:c>
      <x:c r="B264" s="8" t="str">
        <x:v>พิพิธภัณฑสถานแห่งชาติ ราชบุรี</x:v>
      </x:c>
      <x:c r="C264" s="59" t="str">
        <x:v>ไม่ทราบ</x:v>
      </x:c>
      <x:c r="D264" s="59" t="str">
        <x:v>ไม่ทราบ</x:v>
      </x:c>
      <x:c r="E264" s="59" t="str">
        <x:v>ไม่ทราบ</x:v>
      </x:c>
      <x:c r="F264" s="59" t="str">
        <x:v>ไม่ทราบ</x:v>
      </x:c>
      <x:c r="G264" s="59" t="str">
        <x:v>ไม่ทราบ</x:v>
      </x:c>
      <x:c r="H264" s="59" t="str">
        <x:v>N/A</x:v>
      </x:c>
      <x:c r="I264" s="59"/>
      <x:c r="J264" s="59" t="str">
        <x:v>ไม่ทราบ</x:v>
      </x:c>
      <x:c r="K264" s="59"/>
      <x:c r="L264" s="59"/>
      <x:c r="M264" s="59"/>
      <x:c r="N264" s="59"/>
      <x:c r="O264" s="59"/>
      <x:c r="P264" s="59"/>
      <x:c r="Q264" s="59"/>
      <x:c r="R264" s="59"/>
      <x:c r="S264" s="59"/>
      <x:c r="T264" s="59"/>
      <x:c r="U264" s="59"/>
      <x:c r="V264" s="59"/>
      <x:c r="W264" s="59"/>
      <x:c r="X264" s="59"/>
      <x:c r="Y264" s="59"/>
      <x:c r="Z264" s="59"/>
      <x:c r="AA264" s="8" t="str">
        <x:f>IF(C264="ไม่ทราบ","",SUMIFS($K$7:$Z$7,K264:Z264,"&lt;&gt;N/A"))</x:f>
      </x:c>
      <x:c r="AB264" s="8" t="str">
        <x:f>IF(AND(OR(AND(C264="จำหน่ายอาหาร",ISNUMBER(K264),L264="N/A"),AND(C264="ไม่จำหน่ายอาหาร",K264="N/A",ISNUMBER(L264)),AND(C264="มัสยิด",K264="N/A",L264="N/A",X264="N/A")),COUNT(K264:Z264)+COUNTIFS(K264:Z264,"N/A")=16),SUM(K264:Z264),"")</x:f>
      </x:c>
      <x:c r="AC264" s="62" t="str">
        <x:f>IF(OR(AB264="",AA264&lt;=0),"",ROUND(AB264/AA264*100,1))</x:f>
      </x:c>
      <x:c r="AD264" s="8" t="str">
        <x:f>IF(COUNTIFS(D264:H264,"ไม่ผ่าน")&gt;0,"ไม่ผ่าน",IF(COUNTIFS(D264:H264,"ไม่ทราบ")+COUNTBLANK(D264:H264)&gt;0,"รอยืนยัน","ผ่าน"))</x:f>
        <x:v>รอยืนยัน</x:v>
      </x:c>
      <x:c r="AE264" s="8" t="str">
        <x:f>IF(AF264="ใช่","ไม่ผ่านการคัดเลือก",IF(AND(AD264="ผ่าน",ISNUMBER(AC264),AC264&gt;=70),"พร้อมขาย",IF(OR(J264="ใช่",AND(ISNUMBER(AC264),AC264&gt;=50)),"พัฒนาเพื่อพร้อมขาย",IF(AND(ISNUMBER(AC264),AC264&lt;50,I264&gt;=1),"มีศักยภาพ แต่ต้องพัฒนามาตรฐาน","รอประเมิน"))))</x:f>
        <x:v>รอประเมิน</x:v>
      </x:c>
      <x:c r="AF264" s="59" t="str">
        <x:v>ไม่ทราบ</x:v>
      </x:c>
      <x:c r="AG264" s="8" t="str">
        <x:f>IF(AF264="ใช่","หัวหน้าทีมพิจารณาเหตุไม่ผ่าน",IF(OR(AA264&lt;=0,NOT(OR(AND(C264="จำหน่ายอาหาร",ISNUMBER(K264),L264="N/A"),AND(C264="ไม่จำหน่ายอาหาร",K264="N/A",ISNUMBER(L264)),AND(C264="มัสยิด",K264="N/A",L264="N/A",X264="N/A"))),AD264="รอยืนยัน",COUNT(K264:Z264)+COUNTIFS(K264:Z264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4" s="59" t="str"/>
      <x:c r="AI264" s="61"/>
    </x:row>
    <x:row r="265" ht="60" customHeight="1">
      <x:c r="A265" s="2" t="str">
        <x:v>TMF-447</x:v>
      </x:c>
      <x:c r="B265" s="8" t="str">
        <x:v>พิพิธภัณฑ์หนังใหญ่วัดขนอน</x:v>
      </x:c>
      <x:c r="C265" s="59" t="str">
        <x:v>ไม่ทราบ</x:v>
      </x:c>
      <x:c r="D265" s="59" t="str">
        <x:v>ไม่ทราบ</x:v>
      </x:c>
      <x:c r="E265" s="59" t="str">
        <x:v>ไม่ทราบ</x:v>
      </x:c>
      <x:c r="F265" s="59" t="str">
        <x:v>ไม่ทราบ</x:v>
      </x:c>
      <x:c r="G265" s="59" t="str">
        <x:v>ไม่ทราบ</x:v>
      </x:c>
      <x:c r="H265" s="59" t="str">
        <x:v>N/A</x:v>
      </x:c>
      <x:c r="I265" s="59"/>
      <x:c r="J265" s="59" t="str">
        <x:v>ไม่ทราบ</x:v>
      </x:c>
      <x:c r="K265" s="59"/>
      <x:c r="L265" s="59"/>
      <x:c r="M265" s="59"/>
      <x:c r="N265" s="59"/>
      <x:c r="O265" s="59"/>
      <x:c r="P265" s="59"/>
      <x:c r="Q265" s="59"/>
      <x:c r="R265" s="59"/>
      <x:c r="S265" s="59"/>
      <x:c r="T265" s="59"/>
      <x:c r="U265" s="59"/>
      <x:c r="V265" s="59"/>
      <x:c r="W265" s="59"/>
      <x:c r="X265" s="59"/>
      <x:c r="Y265" s="59"/>
      <x:c r="Z265" s="59"/>
      <x:c r="AA265" s="8" t="str">
        <x:f>IF(C265="ไม่ทราบ","",SUMIFS($K$7:$Z$7,K265:Z265,"&lt;&gt;N/A"))</x:f>
      </x:c>
      <x:c r="AB265" s="8" t="str">
        <x:f>IF(AND(OR(AND(C265="จำหน่ายอาหาร",ISNUMBER(K265),L265="N/A"),AND(C265="ไม่จำหน่ายอาหาร",K265="N/A",ISNUMBER(L265)),AND(C265="มัสยิด",K265="N/A",L265="N/A",X265="N/A")),COUNT(K265:Z265)+COUNTIFS(K265:Z265,"N/A")=16),SUM(K265:Z265),"")</x:f>
      </x:c>
      <x:c r="AC265" s="62" t="str">
        <x:f>IF(OR(AB265="",AA265&lt;=0),"",ROUND(AB265/AA265*100,1))</x:f>
      </x:c>
      <x:c r="AD265" s="8" t="str">
        <x:f>IF(COUNTIFS(D265:H265,"ไม่ผ่าน")&gt;0,"ไม่ผ่าน",IF(COUNTIFS(D265:H265,"ไม่ทราบ")+COUNTBLANK(D265:H265)&gt;0,"รอยืนยัน","ผ่าน"))</x:f>
        <x:v>รอยืนยัน</x:v>
      </x:c>
      <x:c r="AE265" s="8" t="str">
        <x:f>IF(AF265="ใช่","ไม่ผ่านการคัดเลือก",IF(AND(AD265="ผ่าน",ISNUMBER(AC265),AC265&gt;=70),"พร้อมขาย",IF(OR(J265="ใช่",AND(ISNUMBER(AC265),AC265&gt;=50)),"พัฒนาเพื่อพร้อมขาย",IF(AND(ISNUMBER(AC265),AC265&lt;50,I265&gt;=1),"มีศักยภาพ แต่ต้องพัฒนามาตรฐาน","รอประเมิน"))))</x:f>
        <x:v>รอประเมิน</x:v>
      </x:c>
      <x:c r="AF265" s="59" t="str">
        <x:v>ไม่ทราบ</x:v>
      </x:c>
      <x:c r="AG265" s="8" t="str">
        <x:f>IF(AF265="ใช่","หัวหน้าทีมพิจารณาเหตุไม่ผ่าน",IF(OR(AA265&lt;=0,NOT(OR(AND(C265="จำหน่ายอาหาร",ISNUMBER(K265),L265="N/A"),AND(C265="ไม่จำหน่ายอาหาร",K265="N/A",ISNUMBER(L265)),AND(C265="มัสยิด",K265="N/A",L265="N/A",X265="N/A"))),AD265="รอยืนยัน",COUNT(K265:Z265)+COUNTIFS(K265:Z265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5" s="59" t="str"/>
      <x:c r="AI265" s="61"/>
    </x:row>
    <x:row r="266" ht="60" customHeight="1">
      <x:c r="A266" s="2" t="str">
        <x:v>R26-143</x:v>
      </x:c>
      <x:c r="B266" s="8" t="str">
        <x:v>ชุมชนบ้านคูบัว</x:v>
      </x:c>
      <x:c r="C266" s="59" t="str">
        <x:v>ไม่ทราบ</x:v>
      </x:c>
      <x:c r="D266" s="59" t="str">
        <x:v>ไม่ทราบ</x:v>
      </x:c>
      <x:c r="E266" s="59" t="str">
        <x:v>ไม่ทราบ</x:v>
      </x:c>
      <x:c r="F266" s="59" t="str">
        <x:v>ไม่ทราบ</x:v>
      </x:c>
      <x:c r="G266" s="59" t="str">
        <x:v>ไม่ทราบ</x:v>
      </x:c>
      <x:c r="H266" s="59" t="str">
        <x:v>N/A</x:v>
      </x:c>
      <x:c r="I266" s="59"/>
      <x:c r="J266" s="59" t="str">
        <x:v>ไม่ทราบ</x:v>
      </x:c>
      <x:c r="K266" s="59"/>
      <x:c r="L266" s="59"/>
      <x:c r="M266" s="59"/>
      <x:c r="N266" s="59"/>
      <x:c r="O266" s="59"/>
      <x:c r="P266" s="59"/>
      <x:c r="Q266" s="59"/>
      <x:c r="R266" s="59"/>
      <x:c r="S266" s="59"/>
      <x:c r="T266" s="59"/>
      <x:c r="U266" s="59"/>
      <x:c r="V266" s="59"/>
      <x:c r="W266" s="59"/>
      <x:c r="X266" s="59"/>
      <x:c r="Y266" s="59"/>
      <x:c r="Z266" s="59"/>
      <x:c r="AA266" s="8" t="str">
        <x:f>IF(C266="ไม่ทราบ","",SUMIFS($K$7:$Z$7,K266:Z266,"&lt;&gt;N/A"))</x:f>
      </x:c>
      <x:c r="AB266" s="8" t="str">
        <x:f>IF(AND(OR(AND(C266="จำหน่ายอาหาร",ISNUMBER(K266),L266="N/A"),AND(C266="ไม่จำหน่ายอาหาร",K266="N/A",ISNUMBER(L266)),AND(C266="มัสยิด",K266="N/A",L266="N/A",X266="N/A")),COUNT(K266:Z266)+COUNTIFS(K266:Z266,"N/A")=16),SUM(K266:Z266),"")</x:f>
      </x:c>
      <x:c r="AC266" s="62" t="str">
        <x:f>IF(OR(AB266="",AA266&lt;=0),"",ROUND(AB266/AA266*100,1))</x:f>
      </x:c>
      <x:c r="AD266" s="8" t="str">
        <x:f>IF(COUNTIFS(D266:H266,"ไม่ผ่าน")&gt;0,"ไม่ผ่าน",IF(COUNTIFS(D266:H266,"ไม่ทราบ")+COUNTBLANK(D266:H266)&gt;0,"รอยืนยัน","ผ่าน"))</x:f>
        <x:v>รอยืนยัน</x:v>
      </x:c>
      <x:c r="AE266" s="8" t="str">
        <x:f>IF(AF266="ใช่","ไม่ผ่านการคัดเลือก",IF(AND(AD266="ผ่าน",ISNUMBER(AC266),AC266&gt;=70),"พร้อมขาย",IF(OR(J266="ใช่",AND(ISNUMBER(AC266),AC266&gt;=50)),"พัฒนาเพื่อพร้อมขาย",IF(AND(ISNUMBER(AC266),AC266&lt;50,I266&gt;=1),"มีศักยภาพ แต่ต้องพัฒนามาตรฐาน","รอประเมิน"))))</x:f>
        <x:v>รอประเมิน</x:v>
      </x:c>
      <x:c r="AF266" s="59" t="str">
        <x:v>ไม่ทราบ</x:v>
      </x:c>
      <x:c r="AG266" s="8" t="str">
        <x:f>IF(AF266="ใช่","หัวหน้าทีมพิจารณาเหตุไม่ผ่าน",IF(OR(AA266&lt;=0,NOT(OR(AND(C266="จำหน่ายอาหาร",ISNUMBER(K266),L266="N/A"),AND(C266="ไม่จำหน่ายอาหาร",K266="N/A",ISNUMBER(L266)),AND(C266="มัสยิด",K266="N/A",L266="N/A",X266="N/A"))),AD266="รอยืนยัน",COUNT(K266:Z266)+COUNTIFS(K266:Z266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6" s="59" t="str"/>
      <x:c r="AI266" s="61"/>
    </x:row>
    <x:row r="267" ht="60" customHeight="1">
      <x:c r="A267" s="2" t="str">
        <x:v>R26-144</x:v>
      </x:c>
      <x:c r="B267" s="8" t="str">
        <x:v>ชุมชนบ้านม่วง ราชบุรี</x:v>
      </x:c>
      <x:c r="C267" s="59" t="str">
        <x:v>ไม่ทราบ</x:v>
      </x:c>
      <x:c r="D267" s="59" t="str">
        <x:v>ไม่ทราบ</x:v>
      </x:c>
      <x:c r="E267" s="59" t="str">
        <x:v>ไม่ทราบ</x:v>
      </x:c>
      <x:c r="F267" s="59" t="str">
        <x:v>ไม่ทราบ</x:v>
      </x:c>
      <x:c r="G267" s="59" t="str">
        <x:v>ไม่ทราบ</x:v>
      </x:c>
      <x:c r="H267" s="59" t="str">
        <x:v>N/A</x:v>
      </x:c>
      <x:c r="I267" s="59"/>
      <x:c r="J267" s="59" t="str">
        <x:v>ไม่ทราบ</x:v>
      </x:c>
      <x:c r="K267" s="59"/>
      <x:c r="L267" s="59"/>
      <x:c r="M267" s="59"/>
      <x:c r="N267" s="59"/>
      <x:c r="O267" s="59"/>
      <x:c r="P267" s="59"/>
      <x:c r="Q267" s="59"/>
      <x:c r="R267" s="59"/>
      <x:c r="S267" s="59"/>
      <x:c r="T267" s="59"/>
      <x:c r="U267" s="59"/>
      <x:c r="V267" s="59"/>
      <x:c r="W267" s="59"/>
      <x:c r="X267" s="59"/>
      <x:c r="Y267" s="59"/>
      <x:c r="Z267" s="59"/>
      <x:c r="AA267" s="8" t="str">
        <x:f>IF(C267="ไม่ทราบ","",SUMIFS($K$7:$Z$7,K267:Z267,"&lt;&gt;N/A"))</x:f>
      </x:c>
      <x:c r="AB267" s="8" t="str">
        <x:f>IF(AND(OR(AND(C267="จำหน่ายอาหาร",ISNUMBER(K267),L267="N/A"),AND(C267="ไม่จำหน่ายอาหาร",K267="N/A",ISNUMBER(L267)),AND(C267="มัสยิด",K267="N/A",L267="N/A",X267="N/A")),COUNT(K267:Z267)+COUNTIFS(K267:Z267,"N/A")=16),SUM(K267:Z267),"")</x:f>
      </x:c>
      <x:c r="AC267" s="62" t="str">
        <x:f>IF(OR(AB267="",AA267&lt;=0),"",ROUND(AB267/AA267*100,1))</x:f>
      </x:c>
      <x:c r="AD267" s="8" t="str">
        <x:f>IF(COUNTIFS(D267:H267,"ไม่ผ่าน")&gt;0,"ไม่ผ่าน",IF(COUNTIFS(D267:H267,"ไม่ทราบ")+COUNTBLANK(D267:H267)&gt;0,"รอยืนยัน","ผ่าน"))</x:f>
        <x:v>รอยืนยัน</x:v>
      </x:c>
      <x:c r="AE267" s="8" t="str">
        <x:f>IF(AF267="ใช่","ไม่ผ่านการคัดเลือก",IF(AND(AD267="ผ่าน",ISNUMBER(AC267),AC267&gt;=70),"พร้อมขาย",IF(OR(J267="ใช่",AND(ISNUMBER(AC267),AC267&gt;=50)),"พัฒนาเพื่อพร้อมขาย",IF(AND(ISNUMBER(AC267),AC267&lt;50,I267&gt;=1),"มีศักยภาพ แต่ต้องพัฒนามาตรฐาน","รอประเมิน"))))</x:f>
        <x:v>รอประเมิน</x:v>
      </x:c>
      <x:c r="AF267" s="59" t="str">
        <x:v>ไม่ทราบ</x:v>
      </x:c>
      <x:c r="AG267" s="8" t="str">
        <x:f>IF(AF267="ใช่","หัวหน้าทีมพิจารณาเหตุไม่ผ่าน",IF(OR(AA267&lt;=0,NOT(OR(AND(C267="จำหน่ายอาหาร",ISNUMBER(K267),L267="N/A"),AND(C267="ไม่จำหน่ายอาหาร",K267="N/A",ISNUMBER(L267)),AND(C267="มัสยิด",K267="N/A",L267="N/A",X267="N/A"))),AD267="รอยืนยัน",COUNT(K267:Z267)+COUNTIFS(K267:Z267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7" s="59" t="str"/>
      <x:c r="AI267" s="61"/>
    </x:row>
    <x:row r="268" ht="60" customHeight="1">
      <x:c r="A268" s="2" t="str">
        <x:v>R26-149</x:v>
      </x:c>
      <x:c r="B268" s="8" t="str">
        <x:v>Alpaca Hill</x:v>
      </x:c>
      <x:c r="C268" s="59" t="str">
        <x:v>ไม่ทราบ</x:v>
      </x:c>
      <x:c r="D268" s="59" t="str">
        <x:v>ไม่ทราบ</x:v>
      </x:c>
      <x:c r="E268" s="59" t="str">
        <x:v>ไม่ทราบ</x:v>
      </x:c>
      <x:c r="F268" s="59" t="str">
        <x:v>ไม่ทราบ</x:v>
      </x:c>
      <x:c r="G268" s="59" t="str">
        <x:v>ไม่ทราบ</x:v>
      </x:c>
      <x:c r="H268" s="59" t="str">
        <x:v>N/A</x:v>
      </x:c>
      <x:c r="I268" s="59"/>
      <x:c r="J268" s="59" t="str">
        <x:v>ไม่ทราบ</x:v>
      </x:c>
      <x:c r="K268" s="59"/>
      <x:c r="L268" s="59"/>
      <x:c r="M268" s="59"/>
      <x:c r="N268" s="59"/>
      <x:c r="O268" s="59"/>
      <x:c r="P268" s="59"/>
      <x:c r="Q268" s="59"/>
      <x:c r="R268" s="59"/>
      <x:c r="S268" s="59"/>
      <x:c r="T268" s="59"/>
      <x:c r="U268" s="59"/>
      <x:c r="V268" s="59"/>
      <x:c r="W268" s="59"/>
      <x:c r="X268" s="59"/>
      <x:c r="Y268" s="59"/>
      <x:c r="Z268" s="59"/>
      <x:c r="AA268" s="8" t="str">
        <x:f>IF(C268="ไม่ทราบ","",SUMIFS($K$7:$Z$7,K268:Z268,"&lt;&gt;N/A"))</x:f>
      </x:c>
      <x:c r="AB268" s="8" t="str">
        <x:f>IF(AND(OR(AND(C268="จำหน่ายอาหาร",ISNUMBER(K268),L268="N/A"),AND(C268="ไม่จำหน่ายอาหาร",K268="N/A",ISNUMBER(L268)),AND(C268="มัสยิด",K268="N/A",L268="N/A",X268="N/A")),COUNT(K268:Z268)+COUNTIFS(K268:Z268,"N/A")=16),SUM(K268:Z268),"")</x:f>
      </x:c>
      <x:c r="AC268" s="62" t="str">
        <x:f>IF(OR(AB268="",AA268&lt;=0),"",ROUND(AB268/AA268*100,1))</x:f>
      </x:c>
      <x:c r="AD268" s="8" t="str">
        <x:f>IF(COUNTIFS(D268:H268,"ไม่ผ่าน")&gt;0,"ไม่ผ่าน",IF(COUNTIFS(D268:H268,"ไม่ทราบ")+COUNTBLANK(D268:H268)&gt;0,"รอยืนยัน","ผ่าน"))</x:f>
        <x:v>รอยืนยัน</x:v>
      </x:c>
      <x:c r="AE268" s="8" t="str">
        <x:f>IF(AF268="ใช่","ไม่ผ่านการคัดเลือก",IF(AND(AD268="ผ่าน",ISNUMBER(AC268),AC268&gt;=70),"พร้อมขาย",IF(OR(J268="ใช่",AND(ISNUMBER(AC268),AC268&gt;=50)),"พัฒนาเพื่อพร้อมขาย",IF(AND(ISNUMBER(AC268),AC268&lt;50,I268&gt;=1),"มีศักยภาพ แต่ต้องพัฒนามาตรฐาน","รอประเมิน"))))</x:f>
        <x:v>รอประเมิน</x:v>
      </x:c>
      <x:c r="AF268" s="59" t="str">
        <x:v>ไม่ทราบ</x:v>
      </x:c>
      <x:c r="AG268" s="8" t="str">
        <x:f>IF(AF268="ใช่","หัวหน้าทีมพิจารณาเหตุไม่ผ่าน",IF(OR(AA268&lt;=0,NOT(OR(AND(C268="จำหน่ายอาหาร",ISNUMBER(K268),L268="N/A"),AND(C268="ไม่จำหน่ายอาหาร",K268="N/A",ISNUMBER(L268)),AND(C268="มัสยิด",K268="N/A",L268="N/A",X268="N/A"))),AD268="รอยืนยัน",COUNT(K268:Z268)+COUNTIFS(K268:Z268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8" s="59" t="str"/>
      <x:c r="AI268" s="61"/>
    </x:row>
    <x:row r="269" ht="60" customHeight="1">
      <x:c r="A269" s="2" t="str">
        <x:v>R26-303</x:v>
      </x:c>
      <x:c r="B269" s="8" t="str">
        <x:v>CORO Field</x:v>
      </x:c>
      <x:c r="C269" s="59" t="str">
        <x:v>ไม่ทราบ</x:v>
      </x:c>
      <x:c r="D269" s="59" t="str">
        <x:v>ไม่ทราบ</x:v>
      </x:c>
      <x:c r="E269" s="59" t="str">
        <x:v>ไม่ทราบ</x:v>
      </x:c>
      <x:c r="F269" s="59" t="str">
        <x:v>ไม่ทราบ</x:v>
      </x:c>
      <x:c r="G269" s="59" t="str">
        <x:v>ไม่ทราบ</x:v>
      </x:c>
      <x:c r="H269" s="59" t="str">
        <x:v>N/A</x:v>
      </x:c>
      <x:c r="I269" s="59"/>
      <x:c r="J269" s="59" t="str">
        <x:v>ไม่ทราบ</x:v>
      </x:c>
      <x:c r="K269" s="59"/>
      <x:c r="L269" s="59"/>
      <x:c r="M269" s="59"/>
      <x:c r="N269" s="59"/>
      <x:c r="O269" s="59"/>
      <x:c r="P269" s="59"/>
      <x:c r="Q269" s="59"/>
      <x:c r="R269" s="59"/>
      <x:c r="S269" s="59"/>
      <x:c r="T269" s="59"/>
      <x:c r="U269" s="59"/>
      <x:c r="V269" s="59"/>
      <x:c r="W269" s="59"/>
      <x:c r="X269" s="59"/>
      <x:c r="Y269" s="59"/>
      <x:c r="Z269" s="59"/>
      <x:c r="AA269" s="8" t="str">
        <x:f>IF(C269="ไม่ทราบ","",SUMIFS($K$7:$Z$7,K269:Z269,"&lt;&gt;N/A"))</x:f>
      </x:c>
      <x:c r="AB269" s="8" t="str">
        <x:f>IF(AND(OR(AND(C269="จำหน่ายอาหาร",ISNUMBER(K269),L269="N/A"),AND(C269="ไม่จำหน่ายอาหาร",K269="N/A",ISNUMBER(L269)),AND(C269="มัสยิด",K269="N/A",L269="N/A",X269="N/A")),COUNT(K269:Z269)+COUNTIFS(K269:Z269,"N/A")=16),SUM(K269:Z269),"")</x:f>
      </x:c>
      <x:c r="AC269" s="62" t="str">
        <x:f>IF(OR(AB269="",AA269&lt;=0),"",ROUND(AB269/AA269*100,1))</x:f>
      </x:c>
      <x:c r="AD269" s="8" t="str">
        <x:f>IF(COUNTIFS(D269:H269,"ไม่ผ่าน")&gt;0,"ไม่ผ่าน",IF(COUNTIFS(D269:H269,"ไม่ทราบ")+COUNTBLANK(D269:H269)&gt;0,"รอยืนยัน","ผ่าน"))</x:f>
        <x:v>รอยืนยัน</x:v>
      </x:c>
      <x:c r="AE269" s="8" t="str">
        <x:f>IF(AF269="ใช่","ไม่ผ่านการคัดเลือก",IF(AND(AD269="ผ่าน",ISNUMBER(AC269),AC269&gt;=70),"พร้อมขาย",IF(OR(J269="ใช่",AND(ISNUMBER(AC269),AC269&gt;=50)),"พัฒนาเพื่อพร้อมขาย",IF(AND(ISNUMBER(AC269),AC269&lt;50,I269&gt;=1),"มีศักยภาพ แต่ต้องพัฒนามาตรฐาน","รอประเมิน"))))</x:f>
        <x:v>รอประเมิน</x:v>
      </x:c>
      <x:c r="AF269" s="59" t="str">
        <x:v>ไม่ทราบ</x:v>
      </x:c>
      <x:c r="AG269" s="8" t="str">
        <x:f>IF(AF269="ใช่","หัวหน้าทีมพิจารณาเหตุไม่ผ่าน",IF(OR(AA269&lt;=0,NOT(OR(AND(C269="จำหน่ายอาหาร",ISNUMBER(K269),L269="N/A"),AND(C269="ไม่จำหน่ายอาหาร",K269="N/A",ISNUMBER(L269)),AND(C269="มัสยิด",K269="N/A",L269="N/A",X269="N/A"))),AD269="รอยืนยัน",COUNT(K269:Z269)+COUNTIFS(K269:Z269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69" s="59" t="str"/>
      <x:c r="AI269" s="61"/>
    </x:row>
    <x:row r="270" ht="60" customHeight="1">
      <x:c r="A270" s="2" t="str">
        <x:v>R26-148</x:v>
      </x:c>
      <x:c r="B270" s="8" t="str">
        <x:v>The Scenery Vintage Farm</x:v>
      </x:c>
      <x:c r="C270" s="59" t="str">
        <x:v>ไม่ทราบ</x:v>
      </x:c>
      <x:c r="D270" s="59" t="str">
        <x:v>ไม่ทราบ</x:v>
      </x:c>
      <x:c r="E270" s="59" t="str">
        <x:v>ไม่ทราบ</x:v>
      </x:c>
      <x:c r="F270" s="59" t="str">
        <x:v>ไม่ทราบ</x:v>
      </x:c>
      <x:c r="G270" s="59" t="str">
        <x:v>ไม่ทราบ</x:v>
      </x:c>
      <x:c r="H270" s="59" t="str">
        <x:v>N/A</x:v>
      </x:c>
      <x:c r="I270" s="59"/>
      <x:c r="J270" s="59" t="str">
        <x:v>ไม่ทราบ</x:v>
      </x:c>
      <x:c r="K270" s="59"/>
      <x:c r="L270" s="59"/>
      <x:c r="M270" s="59"/>
      <x:c r="N270" s="59"/>
      <x:c r="O270" s="59"/>
      <x:c r="P270" s="59"/>
      <x:c r="Q270" s="59"/>
      <x:c r="R270" s="59"/>
      <x:c r="S270" s="59"/>
      <x:c r="T270" s="59"/>
      <x:c r="U270" s="59"/>
      <x:c r="V270" s="59"/>
      <x:c r="W270" s="59"/>
      <x:c r="X270" s="59"/>
      <x:c r="Y270" s="59"/>
      <x:c r="Z270" s="59"/>
      <x:c r="AA270" s="8" t="str">
        <x:f>IF(C270="ไม่ทราบ","",SUMIFS($K$7:$Z$7,K270:Z270,"&lt;&gt;N/A"))</x:f>
      </x:c>
      <x:c r="AB270" s="8" t="str">
        <x:f>IF(AND(OR(AND(C270="จำหน่ายอาหาร",ISNUMBER(K270),L270="N/A"),AND(C270="ไม่จำหน่ายอาหาร",K270="N/A",ISNUMBER(L270)),AND(C270="มัสยิด",K270="N/A",L270="N/A",X270="N/A")),COUNT(K270:Z270)+COUNTIFS(K270:Z270,"N/A")=16),SUM(K270:Z270),"")</x:f>
      </x:c>
      <x:c r="AC270" s="62" t="str">
        <x:f>IF(OR(AB270="",AA270&lt;=0),"",ROUND(AB270/AA270*100,1))</x:f>
      </x:c>
      <x:c r="AD270" s="8" t="str">
        <x:f>IF(COUNTIFS(D270:H270,"ไม่ผ่าน")&gt;0,"ไม่ผ่าน",IF(COUNTIFS(D270:H270,"ไม่ทราบ")+COUNTBLANK(D270:H270)&gt;0,"รอยืนยัน","ผ่าน"))</x:f>
        <x:v>รอยืนยัน</x:v>
      </x:c>
      <x:c r="AE270" s="8" t="str">
        <x:f>IF(AF270="ใช่","ไม่ผ่านการคัดเลือก",IF(AND(AD270="ผ่าน",ISNUMBER(AC270),AC270&gt;=70),"พร้อมขาย",IF(OR(J270="ใช่",AND(ISNUMBER(AC270),AC270&gt;=50)),"พัฒนาเพื่อพร้อมขาย",IF(AND(ISNUMBER(AC270),AC270&lt;50,I270&gt;=1),"มีศักยภาพ แต่ต้องพัฒนามาตรฐาน","รอประเมิน"))))</x:f>
        <x:v>รอประเมิน</x:v>
      </x:c>
      <x:c r="AF270" s="59" t="str">
        <x:v>ไม่ทราบ</x:v>
      </x:c>
      <x:c r="AG270" s="8" t="str">
        <x:f>IF(AF270="ใช่","หัวหน้าทีมพิจารณาเหตุไม่ผ่าน",IF(OR(AA270&lt;=0,NOT(OR(AND(C270="จำหน่ายอาหาร",ISNUMBER(K270),L270="N/A"),AND(C270="ไม่จำหน่ายอาหาร",K270="N/A",ISNUMBER(L270)),AND(C270="มัสยิด",K270="N/A",L270="N/A",X270="N/A"))),AD270="รอยืนยัน",COUNT(K270:Z270)+COUNTIFS(K270:Z270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0" s="59" t="str"/>
      <x:c r="AI270" s="61"/>
    </x:row>
    <x:row r="271" ht="60" customHeight="1">
      <x:c r="A271" s="2" t="str">
        <x:v>R26-147</x:v>
      </x:c>
      <x:c r="B271" s="8" t="str">
        <x:v>สวนผึ้งไฮแลนด์</x:v>
      </x:c>
      <x:c r="C271" s="59" t="str">
        <x:v>ไม่ทราบ</x:v>
      </x:c>
      <x:c r="D271" s="59" t="str">
        <x:v>ไม่ทราบ</x:v>
      </x:c>
      <x:c r="E271" s="59" t="str">
        <x:v>ไม่ทราบ</x:v>
      </x:c>
      <x:c r="F271" s="59" t="str">
        <x:v>ไม่ทราบ</x:v>
      </x:c>
      <x:c r="G271" s="59" t="str">
        <x:v>ไม่ทราบ</x:v>
      </x:c>
      <x:c r="H271" s="59" t="str">
        <x:v>N/A</x:v>
      </x:c>
      <x:c r="I271" s="59"/>
      <x:c r="J271" s="59" t="str">
        <x:v>ไม่ทราบ</x:v>
      </x:c>
      <x:c r="K271" s="59"/>
      <x:c r="L271" s="59"/>
      <x:c r="M271" s="59"/>
      <x:c r="N271" s="59"/>
      <x:c r="O271" s="59"/>
      <x:c r="P271" s="59"/>
      <x:c r="Q271" s="59"/>
      <x:c r="R271" s="59"/>
      <x:c r="S271" s="59"/>
      <x:c r="T271" s="59"/>
      <x:c r="U271" s="59"/>
      <x:c r="V271" s="59"/>
      <x:c r="W271" s="59"/>
      <x:c r="X271" s="59"/>
      <x:c r="Y271" s="59"/>
      <x:c r="Z271" s="59"/>
      <x:c r="AA271" s="8" t="str">
        <x:f>IF(C271="ไม่ทราบ","",SUMIFS($K$7:$Z$7,K271:Z271,"&lt;&gt;N/A"))</x:f>
      </x:c>
      <x:c r="AB271" s="8" t="str">
        <x:f>IF(AND(OR(AND(C271="จำหน่ายอาหาร",ISNUMBER(K271),L271="N/A"),AND(C271="ไม่จำหน่ายอาหาร",K271="N/A",ISNUMBER(L271)),AND(C271="มัสยิด",K271="N/A",L271="N/A",X271="N/A")),COUNT(K271:Z271)+COUNTIFS(K271:Z271,"N/A")=16),SUM(K271:Z271),"")</x:f>
      </x:c>
      <x:c r="AC271" s="62" t="str">
        <x:f>IF(OR(AB271="",AA271&lt;=0),"",ROUND(AB271/AA271*100,1))</x:f>
      </x:c>
      <x:c r="AD271" s="8" t="str">
        <x:f>IF(COUNTIFS(D271:H271,"ไม่ผ่าน")&gt;0,"ไม่ผ่าน",IF(COUNTIFS(D271:H271,"ไม่ทราบ")+COUNTBLANK(D271:H271)&gt;0,"รอยืนยัน","ผ่าน"))</x:f>
        <x:v>รอยืนยัน</x:v>
      </x:c>
      <x:c r="AE271" s="8" t="str">
        <x:f>IF(AF271="ใช่","ไม่ผ่านการคัดเลือก",IF(AND(AD271="ผ่าน",ISNUMBER(AC271),AC271&gt;=70),"พร้อมขาย",IF(OR(J271="ใช่",AND(ISNUMBER(AC271),AC271&gt;=50)),"พัฒนาเพื่อพร้อมขาย",IF(AND(ISNUMBER(AC271),AC271&lt;50,I271&gt;=1),"มีศักยภาพ แต่ต้องพัฒนามาตรฐาน","รอประเมิน"))))</x:f>
        <x:v>รอประเมิน</x:v>
      </x:c>
      <x:c r="AF271" s="59" t="str">
        <x:v>ไม่ทราบ</x:v>
      </x:c>
      <x:c r="AG271" s="8" t="str">
        <x:f>IF(AF271="ใช่","หัวหน้าทีมพิจารณาเหตุไม่ผ่าน",IF(OR(AA271&lt;=0,NOT(OR(AND(C271="จำหน่ายอาหาร",ISNUMBER(K271),L271="N/A"),AND(C271="ไม่จำหน่ายอาหาร",K271="N/A",ISNUMBER(L271)),AND(C271="มัสยิด",K271="N/A",L271="N/A",X271="N/A"))),AD271="รอยืนยัน",COUNT(K271:Z271)+COUNTIFS(K271:Z271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1" s="59" t="str"/>
      <x:c r="AI271" s="61"/>
    </x:row>
    <x:row r="272" ht="60" customHeight="1">
      <x:c r="A272" s="2" t="str">
        <x:v>R26-060</x:v>
      </x:c>
      <x:c r="B272" s="8" t="str">
        <x:v>ครัวไทรงาม ฮาลาลฟู้ด พัทยา</x:v>
      </x:c>
      <x:c r="C272" s="59" t="str">
        <x:v>จำหน่ายอาหาร</x:v>
      </x:c>
      <x:c r="D272" s="59" t="str">
        <x:v>ไม่ทราบ</x:v>
      </x:c>
      <x:c r="E272" s="59" t="str">
        <x:v>ไม่ทราบ</x:v>
      </x:c>
      <x:c r="F272" s="59" t="str">
        <x:v>ไม่ทราบ</x:v>
      </x:c>
      <x:c r="G272" s="59" t="str">
        <x:v>ไม่ทราบ</x:v>
      </x:c>
      <x:c r="H272" s="59" t="str">
        <x:v>N/A</x:v>
      </x:c>
      <x:c r="I272" s="59"/>
      <x:c r="J272" s="59" t="str">
        <x:v>ไม่ทราบ</x:v>
      </x:c>
      <x:c r="K272" s="59"/>
      <x:c r="L272" s="59" t="str">
        <x:v>N/A</x:v>
      </x:c>
      <x:c r="M272" s="59"/>
      <x:c r="N272" s="59"/>
      <x:c r="O272" s="59"/>
      <x:c r="P272" s="59"/>
      <x:c r="Q272" s="59"/>
      <x:c r="R272" s="59"/>
      <x:c r="S272" s="59"/>
      <x:c r="T272" s="59"/>
      <x:c r="U272" s="59"/>
      <x:c r="V272" s="59"/>
      <x:c r="W272" s="59"/>
      <x:c r="X272" s="59"/>
      <x:c r="Y272" s="59"/>
      <x:c r="Z272" s="59"/>
      <x:c r="AA272" s="8" t="n">
        <x:f>IF(C272="ไม่ทราบ","",SUMIFS($K$7:$Z$7,K272:Z272,"&lt;&gt;N/A"))</x:f>
        <x:v>100</x:v>
      </x:c>
      <x:c r="AB272" s="8" t="str">
        <x:f>IF(AND(OR(AND(C272="จำหน่ายอาหาร",ISNUMBER(K272),L272="N/A"),AND(C272="ไม่จำหน่ายอาหาร",K272="N/A",ISNUMBER(L272)),AND(C272="มัสยิด",K272="N/A",L272="N/A",X272="N/A")),COUNT(K272:Z272)+COUNTIFS(K272:Z272,"N/A")=16),SUM(K272:Z272),"")</x:f>
      </x:c>
      <x:c r="AC272" s="62" t="str">
        <x:f>IF(OR(AB272="",AA272&lt;=0),"",ROUND(AB272/AA272*100,1))</x:f>
      </x:c>
      <x:c r="AD272" s="8" t="str">
        <x:f>IF(COUNTIFS(D272:H272,"ไม่ผ่าน")&gt;0,"ไม่ผ่าน",IF(COUNTIFS(D272:H272,"ไม่ทราบ")+COUNTBLANK(D272:H272)&gt;0,"รอยืนยัน","ผ่าน"))</x:f>
        <x:v>รอยืนยัน</x:v>
      </x:c>
      <x:c r="AE272" s="8" t="str">
        <x:f>IF(AF272="ใช่","ไม่ผ่านการคัดเลือก",IF(AND(AD272="ผ่าน",ISNUMBER(AC272),AC272&gt;=70),"พร้อมขาย",IF(OR(J272="ใช่",AND(ISNUMBER(AC272),AC272&gt;=50)),"พัฒนาเพื่อพร้อมขาย",IF(AND(ISNUMBER(AC272),AC272&lt;50,I272&gt;=1),"มีศักยภาพ แต่ต้องพัฒนามาตรฐาน","รอประเมิน"))))</x:f>
        <x:v>รอประเมิน</x:v>
      </x:c>
      <x:c r="AF272" s="59" t="str">
        <x:v>ไม่ทราบ</x:v>
      </x:c>
      <x:c r="AG272" s="8" t="str">
        <x:f>IF(AF272="ใช่","หัวหน้าทีมพิจารณาเหตุไม่ผ่าน",IF(OR(AA272&lt;=0,NOT(OR(AND(C272="จำหน่ายอาหาร",ISNUMBER(K272),L272="N/A"),AND(C272="ไม่จำหน่ายอาหาร",K272="N/A",ISNUMBER(L272)),AND(C272="มัสยิด",K272="N/A",L272="N/A",X272="N/A"))),AD272="รอยืนยัน",COUNT(K272:Z272)+COUNTIFS(K272:Z272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2" s="59" t="str"/>
      <x:c r="AI272" s="61"/>
    </x:row>
    <x:row r="273" ht="60" customHeight="1">
      <x:c r="A273" s="2" t="str">
        <x:v>R26-059</x:v>
      </x:c>
      <x:c r="B273" s="8" t="str">
        <x:v>หาดจอมเทียน</x:v>
      </x:c>
      <x:c r="C273" s="59" t="str">
        <x:v>ไม่ทราบ</x:v>
      </x:c>
      <x:c r="D273" s="59" t="str">
        <x:v>ไม่ทราบ</x:v>
      </x:c>
      <x:c r="E273" s="59" t="str">
        <x:v>ไม่ทราบ</x:v>
      </x:c>
      <x:c r="F273" s="59" t="str">
        <x:v>ไม่ทราบ</x:v>
      </x:c>
      <x:c r="G273" s="59" t="str">
        <x:v>ไม่ทราบ</x:v>
      </x:c>
      <x:c r="H273" s="59" t="str">
        <x:v>N/A</x:v>
      </x:c>
      <x:c r="I273" s="59"/>
      <x:c r="J273" s="59" t="str">
        <x:v>ไม่ทราบ</x:v>
      </x:c>
      <x:c r="K273" s="59"/>
      <x:c r="L273" s="59"/>
      <x:c r="M273" s="59"/>
      <x:c r="N273" s="59"/>
      <x:c r="O273" s="59"/>
      <x:c r="P273" s="59"/>
      <x:c r="Q273" s="59"/>
      <x:c r="R273" s="59"/>
      <x:c r="S273" s="59"/>
      <x:c r="T273" s="59"/>
      <x:c r="U273" s="59"/>
      <x:c r="V273" s="59"/>
      <x:c r="W273" s="59"/>
      <x:c r="X273" s="59"/>
      <x:c r="Y273" s="59"/>
      <x:c r="Z273" s="59"/>
      <x:c r="AA273" s="8" t="str">
        <x:f>IF(C273="ไม่ทราบ","",SUMIFS($K$7:$Z$7,K273:Z273,"&lt;&gt;N/A"))</x:f>
      </x:c>
      <x:c r="AB273" s="8" t="str">
        <x:f>IF(AND(OR(AND(C273="จำหน่ายอาหาร",ISNUMBER(K273),L273="N/A"),AND(C273="ไม่จำหน่ายอาหาร",K273="N/A",ISNUMBER(L273)),AND(C273="มัสยิด",K273="N/A",L273="N/A",X273="N/A")),COUNT(K273:Z273)+COUNTIFS(K273:Z273,"N/A")=16),SUM(K273:Z273),"")</x:f>
      </x:c>
      <x:c r="AC273" s="62" t="str">
        <x:f>IF(OR(AB273="",AA273&lt;=0),"",ROUND(AB273/AA273*100,1))</x:f>
      </x:c>
      <x:c r="AD273" s="8" t="str">
        <x:f>IF(COUNTIFS(D273:H273,"ไม่ผ่าน")&gt;0,"ไม่ผ่าน",IF(COUNTIFS(D273:H273,"ไม่ทราบ")+COUNTBLANK(D273:H273)&gt;0,"รอยืนยัน","ผ่าน"))</x:f>
        <x:v>รอยืนยัน</x:v>
      </x:c>
      <x:c r="AE273" s="8" t="str">
        <x:f>IF(AF273="ใช่","ไม่ผ่านการคัดเลือก",IF(AND(AD273="ผ่าน",ISNUMBER(AC273),AC273&gt;=70),"พร้อมขาย",IF(OR(J273="ใช่",AND(ISNUMBER(AC273),AC273&gt;=50)),"พัฒนาเพื่อพร้อมขาย",IF(AND(ISNUMBER(AC273),AC273&lt;50,I273&gt;=1),"มีศักยภาพ แต่ต้องพัฒนามาตรฐาน","รอประเมิน"))))</x:f>
        <x:v>รอประเมิน</x:v>
      </x:c>
      <x:c r="AF273" s="59" t="str">
        <x:v>ไม่ทราบ</x:v>
      </x:c>
      <x:c r="AG273" s="8" t="str">
        <x:f>IF(AF273="ใช่","หัวหน้าทีมพิจารณาเหตุไม่ผ่าน",IF(OR(AA273&lt;=0,NOT(OR(AND(C273="จำหน่ายอาหาร",ISNUMBER(K273),L273="N/A"),AND(C273="ไม่จำหน่ายอาหาร",K273="N/A",ISNUMBER(L273)),AND(C273="มัสยิด",K273="N/A",L273="N/A",X273="N/A"))),AD273="รอยืนยัน",COUNT(K273:Z273)+COUNTIFS(K273:Z273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3" s="59" t="str"/>
      <x:c r="AI273" s="61"/>
    </x:row>
    <x:row r="274" ht="60" customHeight="1">
      <x:c r="A274" s="2" t="str">
        <x:v>TMF-337</x:v>
      </x:c>
      <x:c r="B274" s="8" t="str">
        <x:v>มัสยิดนูรุลยากีน</x:v>
      </x:c>
      <x:c r="C274" s="59" t="str">
        <x:v>มัสยิด</x:v>
      </x:c>
      <x:c r="D274" s="59" t="str">
        <x:v>ไม่ทราบ</x:v>
      </x:c>
      <x:c r="E274" s="59" t="str">
        <x:v>ไม่ทราบ</x:v>
      </x:c>
      <x:c r="F274" s="59" t="str">
        <x:v>ไม่ทราบ</x:v>
      </x:c>
      <x:c r="G274" s="59" t="str">
        <x:v>N/A</x:v>
      </x:c>
      <x:c r="H274" s="59" t="str">
        <x:v>N/A</x:v>
      </x:c>
      <x:c r="I274" s="59"/>
      <x:c r="J274" s="59" t="str">
        <x:v>ไม่ทราบ</x:v>
      </x:c>
      <x:c r="K274" s="59" t="str">
        <x:v>N/A</x:v>
      </x:c>
      <x:c r="L274" s="59" t="str">
        <x:v>N/A</x:v>
      </x:c>
      <x:c r="M274" s="59"/>
      <x:c r="N274" s="59"/>
      <x:c r="O274" s="59"/>
      <x:c r="P274" s="59"/>
      <x:c r="Q274" s="59"/>
      <x:c r="R274" s="59"/>
      <x:c r="S274" s="59"/>
      <x:c r="T274" s="59"/>
      <x:c r="U274" s="59"/>
      <x:c r="V274" s="59"/>
      <x:c r="W274" s="59"/>
      <x:c r="X274" s="59" t="str">
        <x:v>N/A</x:v>
      </x:c>
      <x:c r="Y274" s="59"/>
      <x:c r="Z274" s="59"/>
      <x:c r="AA274" s="8" t="n">
        <x:f>IF(C274="ไม่ทราบ","",SUMIFS($K$7:$Z$7,K274:Z274,"&lt;&gt;N/A"))</x:f>
        <x:v>67</x:v>
      </x:c>
      <x:c r="AB274" s="8" t="str">
        <x:f>IF(AND(OR(AND(C274="จำหน่ายอาหาร",ISNUMBER(K274),L274="N/A"),AND(C274="ไม่จำหน่ายอาหาร",K274="N/A",ISNUMBER(L274)),AND(C274="มัสยิด",K274="N/A",L274="N/A",X274="N/A")),COUNT(K274:Z274)+COUNTIFS(K274:Z274,"N/A")=16),SUM(K274:Z274),"")</x:f>
      </x:c>
      <x:c r="AC274" s="62" t="str">
        <x:f>IF(OR(AB274="",AA274&lt;=0),"",ROUND(AB274/AA274*100,1))</x:f>
      </x:c>
      <x:c r="AD274" s="8" t="str">
        <x:f>IF(COUNTIFS(D274:H274,"ไม่ผ่าน")&gt;0,"ไม่ผ่าน",IF(COUNTIFS(D274:H274,"ไม่ทราบ")+COUNTBLANK(D274:H274)&gt;0,"รอยืนยัน","ผ่าน"))</x:f>
        <x:v>รอยืนยัน</x:v>
      </x:c>
      <x:c r="AE274" s="8" t="str">
        <x:f>IF(AF274="ใช่","ไม่ผ่านการคัดเลือก",IF(AND(AD274="ผ่าน",ISNUMBER(AC274),AC274&gt;=70),"พร้อมขาย",IF(OR(J274="ใช่",AND(ISNUMBER(AC274),AC274&gt;=50)),"พัฒนาเพื่อพร้อมขาย",IF(AND(ISNUMBER(AC274),AC274&lt;50,I274&gt;=1),"มีศักยภาพ แต่ต้องพัฒนามาตรฐาน","รอประเมิน"))))</x:f>
        <x:v>รอประเมิน</x:v>
      </x:c>
      <x:c r="AF274" s="59" t="str">
        <x:v>ไม่ทราบ</x:v>
      </x:c>
      <x:c r="AG274" s="8" t="str">
        <x:f>IF(AF274="ใช่","หัวหน้าทีมพิจารณาเหตุไม่ผ่าน",IF(OR(AA274&lt;=0,NOT(OR(AND(C274="จำหน่ายอาหาร",ISNUMBER(K274),L274="N/A"),AND(C274="ไม่จำหน่ายอาหาร",K274="N/A",ISNUMBER(L274)),AND(C274="มัสยิด",K274="N/A",L274="N/A",X274="N/A"))),AD274="รอยืนยัน",COUNT(K274:Z274)+COUNTIFS(K274:Z274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4" s="59" t="str"/>
      <x:c r="AI274" s="61"/>
    </x:row>
    <x:row r="275" ht="60" customHeight="1">
      <x:c r="A275" s="2" t="str">
        <x:v>R26-056</x:v>
      </x:c>
      <x:c r="B275" s="8" t="str">
        <x:v>ตลาดน้ำ 4 ภาค พัทยา</x:v>
      </x:c>
      <x:c r="C275" s="59" t="str">
        <x:v>ไม่ทราบ</x:v>
      </x:c>
      <x:c r="D275" s="59" t="str">
        <x:v>ไม่ทราบ</x:v>
      </x:c>
      <x:c r="E275" s="59" t="str">
        <x:v>ไม่ทราบ</x:v>
      </x:c>
      <x:c r="F275" s="59" t="str">
        <x:v>ไม่ทราบ</x:v>
      </x:c>
      <x:c r="G275" s="59" t="str">
        <x:v>ไม่ทราบ</x:v>
      </x:c>
      <x:c r="H275" s="59" t="str">
        <x:v>N/A</x:v>
      </x:c>
      <x:c r="I275" s="59"/>
      <x:c r="J275" s="59" t="str">
        <x:v>ไม่ทราบ</x:v>
      </x:c>
      <x:c r="K275" s="59"/>
      <x:c r="L275" s="59"/>
      <x:c r="M275" s="59"/>
      <x:c r="N275" s="59"/>
      <x:c r="O275" s="59"/>
      <x:c r="P275" s="59"/>
      <x:c r="Q275" s="59"/>
      <x:c r="R275" s="59"/>
      <x:c r="S275" s="59"/>
      <x:c r="T275" s="59"/>
      <x:c r="U275" s="59"/>
      <x:c r="V275" s="59"/>
      <x:c r="W275" s="59"/>
      <x:c r="X275" s="59"/>
      <x:c r="Y275" s="59"/>
      <x:c r="Z275" s="59"/>
      <x:c r="AA275" s="8" t="str">
        <x:f>IF(C275="ไม่ทราบ","",SUMIFS($K$7:$Z$7,K275:Z275,"&lt;&gt;N/A"))</x:f>
      </x:c>
      <x:c r="AB275" s="8" t="str">
        <x:f>IF(AND(OR(AND(C275="จำหน่ายอาหาร",ISNUMBER(K275),L275="N/A"),AND(C275="ไม่จำหน่ายอาหาร",K275="N/A",ISNUMBER(L275)),AND(C275="มัสยิด",K275="N/A",L275="N/A",X275="N/A")),COUNT(K275:Z275)+COUNTIFS(K275:Z275,"N/A")=16),SUM(K275:Z275),"")</x:f>
      </x:c>
      <x:c r="AC275" s="62" t="str">
        <x:f>IF(OR(AB275="",AA275&lt;=0),"",ROUND(AB275/AA275*100,1))</x:f>
      </x:c>
      <x:c r="AD275" s="8" t="str">
        <x:f>IF(COUNTIFS(D275:H275,"ไม่ผ่าน")&gt;0,"ไม่ผ่าน",IF(COUNTIFS(D275:H275,"ไม่ทราบ")+COUNTBLANK(D275:H275)&gt;0,"รอยืนยัน","ผ่าน"))</x:f>
        <x:v>รอยืนยัน</x:v>
      </x:c>
      <x:c r="AE275" s="8" t="str">
        <x:f>IF(AF275="ใช่","ไม่ผ่านการคัดเลือก",IF(AND(AD275="ผ่าน",ISNUMBER(AC275),AC275&gt;=70),"พร้อมขาย",IF(OR(J275="ใช่",AND(ISNUMBER(AC275),AC275&gt;=50)),"พัฒนาเพื่อพร้อมขาย",IF(AND(ISNUMBER(AC275),AC275&lt;50,I275&gt;=1),"มีศักยภาพ แต่ต้องพัฒนามาตรฐาน","รอประเมิน"))))</x:f>
        <x:v>รอประเมิน</x:v>
      </x:c>
      <x:c r="AF275" s="59" t="str">
        <x:v>ไม่ทราบ</x:v>
      </x:c>
      <x:c r="AG275" s="8" t="str">
        <x:f>IF(AF275="ใช่","หัวหน้าทีมพิจารณาเหตุไม่ผ่าน",IF(OR(AA275&lt;=0,NOT(OR(AND(C275="จำหน่ายอาหาร",ISNUMBER(K275),L275="N/A"),AND(C275="ไม่จำหน่ายอาหาร",K275="N/A",ISNUMBER(L275)),AND(C275="มัสยิด",K275="N/A",L275="N/A",X275="N/A"))),AD275="รอยืนยัน",COUNT(K275:Z275)+COUNTIFS(K275:Z275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5" s="59" t="str"/>
      <x:c r="AI275" s="61"/>
    </x:row>
    <x:row r="276" ht="60" customHeight="1">
      <x:c r="A276" s="2" t="str">
        <x:v>R26-058</x:v>
      </x:c>
      <x:c r="B276" s="8" t="str">
        <x:v>สวนนงนุช พัทยา</x:v>
      </x:c>
      <x:c r="C276" s="59" t="str">
        <x:v>ไม่ทราบ</x:v>
      </x:c>
      <x:c r="D276" s="59" t="str">
        <x:v>ไม่ทราบ</x:v>
      </x:c>
      <x:c r="E276" s="59" t="str">
        <x:v>ไม่ทราบ</x:v>
      </x:c>
      <x:c r="F276" s="59" t="str">
        <x:v>ไม่ทราบ</x:v>
      </x:c>
      <x:c r="G276" s="59" t="str">
        <x:v>ไม่ทราบ</x:v>
      </x:c>
      <x:c r="H276" s="59" t="str">
        <x:v>N/A</x:v>
      </x:c>
      <x:c r="I276" s="59"/>
      <x:c r="J276" s="59" t="str">
        <x:v>ไม่ทราบ</x:v>
      </x:c>
      <x:c r="K276" s="59"/>
      <x:c r="L276" s="59"/>
      <x:c r="M276" s="59"/>
      <x:c r="N276" s="59"/>
      <x:c r="O276" s="59"/>
      <x:c r="P276" s="59"/>
      <x:c r="Q276" s="59"/>
      <x:c r="R276" s="59"/>
      <x:c r="S276" s="59"/>
      <x:c r="T276" s="59"/>
      <x:c r="U276" s="59"/>
      <x:c r="V276" s="59"/>
      <x:c r="W276" s="59"/>
      <x:c r="X276" s="59"/>
      <x:c r="Y276" s="59"/>
      <x:c r="Z276" s="59"/>
      <x:c r="AA276" s="8" t="str">
        <x:f>IF(C276="ไม่ทราบ","",SUMIFS($K$7:$Z$7,K276:Z276,"&lt;&gt;N/A"))</x:f>
      </x:c>
      <x:c r="AB276" s="8" t="str">
        <x:f>IF(AND(OR(AND(C276="จำหน่ายอาหาร",ISNUMBER(K276),L276="N/A"),AND(C276="ไม่จำหน่ายอาหาร",K276="N/A",ISNUMBER(L276)),AND(C276="มัสยิด",K276="N/A",L276="N/A",X276="N/A")),COUNT(K276:Z276)+COUNTIFS(K276:Z276,"N/A")=16),SUM(K276:Z276),"")</x:f>
      </x:c>
      <x:c r="AC276" s="62" t="str">
        <x:f>IF(OR(AB276="",AA276&lt;=0),"",ROUND(AB276/AA276*100,1))</x:f>
      </x:c>
      <x:c r="AD276" s="8" t="str">
        <x:f>IF(COUNTIFS(D276:H276,"ไม่ผ่าน")&gt;0,"ไม่ผ่าน",IF(COUNTIFS(D276:H276,"ไม่ทราบ")+COUNTBLANK(D276:H276)&gt;0,"รอยืนยัน","ผ่าน"))</x:f>
        <x:v>รอยืนยัน</x:v>
      </x:c>
      <x:c r="AE276" s="8" t="str">
        <x:f>IF(AF276="ใช่","ไม่ผ่านการคัดเลือก",IF(AND(AD276="ผ่าน",ISNUMBER(AC276),AC276&gt;=70),"พร้อมขาย",IF(OR(J276="ใช่",AND(ISNUMBER(AC276),AC276&gt;=50)),"พัฒนาเพื่อพร้อมขาย",IF(AND(ISNUMBER(AC276),AC276&lt;50,I276&gt;=1),"มีศักยภาพ แต่ต้องพัฒนามาตรฐาน","รอประเมิน"))))</x:f>
        <x:v>รอประเมิน</x:v>
      </x:c>
      <x:c r="AF276" s="59" t="str">
        <x:v>ไม่ทราบ</x:v>
      </x:c>
      <x:c r="AG276" s="8" t="str">
        <x:f>IF(AF276="ใช่","หัวหน้าทีมพิจารณาเหตุไม่ผ่าน",IF(OR(AA276&lt;=0,NOT(OR(AND(C276="จำหน่ายอาหาร",ISNUMBER(K276),L276="N/A"),AND(C276="ไม่จำหน่ายอาหาร",K276="N/A",ISNUMBER(L276)),AND(C276="มัสยิด",K276="N/A",L276="N/A",X276="N/A"))),AD276="รอยืนยัน",COUNT(K276:Z276)+COUNTIFS(K276:Z276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6" s="59" t="str"/>
      <x:c r="AI276" s="61"/>
    </x:row>
    <x:row r="277" ht="60" customHeight="1">
      <x:c r="A277" s="2" t="str">
        <x:v>TMF-107</x:v>
      </x:c>
      <x:c r="B277" s="8" t="str">
        <x:v>Farida House - ฟาริดาเฮ้าส์</x:v>
      </x:c>
      <x:c r="C277" s="59" t="str">
        <x:v>ไม่ทราบ</x:v>
      </x:c>
      <x:c r="D277" s="59" t="str">
        <x:v>ไม่ทราบ</x:v>
      </x:c>
      <x:c r="E277" s="59" t="str">
        <x:v>ไม่ทราบ</x:v>
      </x:c>
      <x:c r="F277" s="59" t="str">
        <x:v>ไม่ทราบ</x:v>
      </x:c>
      <x:c r="G277" s="59" t="str">
        <x:v>ไม่ทราบ</x:v>
      </x:c>
      <x:c r="H277" s="59" t="str">
        <x:v>ไม่ทราบ</x:v>
      </x:c>
      <x:c r="I277" s="59"/>
      <x:c r="J277" s="59" t="str">
        <x:v>ไม่ทราบ</x:v>
      </x:c>
      <x:c r="K277" s="59"/>
      <x:c r="L277" s="59"/>
      <x:c r="M277" s="59"/>
      <x:c r="N277" s="59"/>
      <x:c r="O277" s="59"/>
      <x:c r="P277" s="59"/>
      <x:c r="Q277" s="59"/>
      <x:c r="R277" s="59"/>
      <x:c r="S277" s="59"/>
      <x:c r="T277" s="59"/>
      <x:c r="U277" s="59"/>
      <x:c r="V277" s="59"/>
      <x:c r="W277" s="59"/>
      <x:c r="X277" s="59"/>
      <x:c r="Y277" s="59"/>
      <x:c r="Z277" s="59"/>
      <x:c r="AA277" s="8" t="str">
        <x:f>IF(C277="ไม่ทราบ","",SUMIFS($K$7:$Z$7,K277:Z277,"&lt;&gt;N/A"))</x:f>
      </x:c>
      <x:c r="AB277" s="8" t="str">
        <x:f>IF(AND(OR(AND(C277="จำหน่ายอาหาร",ISNUMBER(K277),L277="N/A"),AND(C277="ไม่จำหน่ายอาหาร",K277="N/A",ISNUMBER(L277)),AND(C277="มัสยิด",K277="N/A",L277="N/A",X277="N/A")),COUNT(K277:Z277)+COUNTIFS(K277:Z277,"N/A")=16),SUM(K277:Z277),"")</x:f>
      </x:c>
      <x:c r="AC277" s="62" t="str">
        <x:f>IF(OR(AB277="",AA277&lt;=0),"",ROUND(AB277/AA277*100,1))</x:f>
      </x:c>
      <x:c r="AD277" s="8" t="str">
        <x:f>IF(COUNTIFS(D277:H277,"ไม่ผ่าน")&gt;0,"ไม่ผ่าน",IF(COUNTIFS(D277:H277,"ไม่ทราบ")+COUNTBLANK(D277:H277)&gt;0,"รอยืนยัน","ผ่าน"))</x:f>
        <x:v>รอยืนยัน</x:v>
      </x:c>
      <x:c r="AE277" s="8" t="str">
        <x:f>IF(AF277="ใช่","ไม่ผ่านการคัดเลือก",IF(AND(AD277="ผ่าน",ISNUMBER(AC277),AC277&gt;=70),"พร้อมขาย",IF(OR(J277="ใช่",AND(ISNUMBER(AC277),AC277&gt;=50)),"พัฒนาเพื่อพร้อมขาย",IF(AND(ISNUMBER(AC277),AC277&lt;50,I277&gt;=1),"มีศักยภาพ แต่ต้องพัฒนามาตรฐาน","รอประเมิน"))))</x:f>
        <x:v>รอประเมิน</x:v>
      </x:c>
      <x:c r="AF277" s="59" t="str">
        <x:v>ไม่ทราบ</x:v>
      </x:c>
      <x:c r="AG277" s="8" t="str">
        <x:f>IF(AF277="ใช่","หัวหน้าทีมพิจารณาเหตุไม่ผ่าน",IF(OR(AA277&lt;=0,NOT(OR(AND(C277="จำหน่ายอาหาร",ISNUMBER(K277),L277="N/A"),AND(C277="ไม่จำหน่ายอาหาร",K277="N/A",ISNUMBER(L277)),AND(C277="มัสยิด",K277="N/A",L277="N/A",X277="N/A"))),AD277="รอยืนยัน",COUNT(K277:Z277)+COUNTIFS(K277:Z277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7" s="59" t="str"/>
      <x:c r="AI277" s="61"/>
    </x:row>
    <x:row r="278" ht="60" customHeight="1">
      <x:c r="A278" s="2" t="str">
        <x:v>TMF-104</x:v>
      </x:c>
      <x:c r="B278" s="8" t="str">
        <x:v>LANA House and Hill Homestay</x:v>
      </x:c>
      <x:c r="C278" s="59" t="str">
        <x:v>ไม่ทราบ</x:v>
      </x:c>
      <x:c r="D278" s="59" t="str">
        <x:v>ไม่ทราบ</x:v>
      </x:c>
      <x:c r="E278" s="59" t="str">
        <x:v>ไม่ทราบ</x:v>
      </x:c>
      <x:c r="F278" s="59" t="str">
        <x:v>ไม่ทราบ</x:v>
      </x:c>
      <x:c r="G278" s="59" t="str">
        <x:v>ไม่ทราบ</x:v>
      </x:c>
      <x:c r="H278" s="59" t="str">
        <x:v>ไม่ทราบ</x:v>
      </x:c>
      <x:c r="I278" s="59"/>
      <x:c r="J278" s="59" t="str">
        <x:v>ไม่ทราบ</x:v>
      </x:c>
      <x:c r="K278" s="59"/>
      <x:c r="L278" s="59"/>
      <x:c r="M278" s="59"/>
      <x:c r="N278" s="59"/>
      <x:c r="O278" s="59"/>
      <x:c r="P278" s="59"/>
      <x:c r="Q278" s="59"/>
      <x:c r="R278" s="59"/>
      <x:c r="S278" s="59"/>
      <x:c r="T278" s="59"/>
      <x:c r="U278" s="59"/>
      <x:c r="V278" s="59"/>
      <x:c r="W278" s="59"/>
      <x:c r="X278" s="59"/>
      <x:c r="Y278" s="59"/>
      <x:c r="Z278" s="59"/>
      <x:c r="AA278" s="8" t="str">
        <x:f>IF(C278="ไม่ทราบ","",SUMIFS($K$7:$Z$7,K278:Z278,"&lt;&gt;N/A"))</x:f>
      </x:c>
      <x:c r="AB278" s="8" t="str">
        <x:f>IF(AND(OR(AND(C278="จำหน่ายอาหาร",ISNUMBER(K278),L278="N/A"),AND(C278="ไม่จำหน่ายอาหาร",K278="N/A",ISNUMBER(L278)),AND(C278="มัสยิด",K278="N/A",L278="N/A",X278="N/A")),COUNT(K278:Z278)+COUNTIFS(K278:Z278,"N/A")=16),SUM(K278:Z278),"")</x:f>
      </x:c>
      <x:c r="AC278" s="62" t="str">
        <x:f>IF(OR(AB278="",AA278&lt;=0),"",ROUND(AB278/AA278*100,1))</x:f>
      </x:c>
      <x:c r="AD278" s="8" t="str">
        <x:f>IF(COUNTIFS(D278:H278,"ไม่ผ่าน")&gt;0,"ไม่ผ่าน",IF(COUNTIFS(D278:H278,"ไม่ทราบ")+COUNTBLANK(D278:H278)&gt;0,"รอยืนยัน","ผ่าน"))</x:f>
        <x:v>รอยืนยัน</x:v>
      </x:c>
      <x:c r="AE278" s="8" t="str">
        <x:f>IF(AF278="ใช่","ไม่ผ่านการคัดเลือก",IF(AND(AD278="ผ่าน",ISNUMBER(AC278),AC278&gt;=70),"พร้อมขาย",IF(OR(J278="ใช่",AND(ISNUMBER(AC278),AC278&gt;=50)),"พัฒนาเพื่อพร้อมขาย",IF(AND(ISNUMBER(AC278),AC278&lt;50,I278&gt;=1),"มีศักยภาพ แต่ต้องพัฒนามาตรฐาน","รอประเมิน"))))</x:f>
        <x:v>รอประเมิน</x:v>
      </x:c>
      <x:c r="AF278" s="59" t="str">
        <x:v>ไม่ทราบ</x:v>
      </x:c>
      <x:c r="AG278" s="8" t="str">
        <x:f>IF(AF278="ใช่","หัวหน้าทีมพิจารณาเหตุไม่ผ่าน",IF(OR(AA278&lt;=0,NOT(OR(AND(C278="จำหน่ายอาหาร",ISNUMBER(K278),L278="N/A"),AND(C278="ไม่จำหน่ายอาหาร",K278="N/A",ISNUMBER(L278)),AND(C278="มัสยิด",K278="N/A",L278="N/A",X278="N/A"))),AD278="รอยืนยัน",COUNT(K278:Z278)+COUNTIFS(K278:Z278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8" s="59" t="str"/>
      <x:c r="AI278" s="61"/>
    </x:row>
    <x:row r="279" ht="60" customHeight="1">
      <x:c r="A279" s="2" t="str">
        <x:v>TMF-105</x:v>
      </x:c>
      <x:c r="B279" s="8" t="str">
        <x:v>Nida House &amp; Hotel</x:v>
      </x:c>
      <x:c r="C279" s="59" t="str">
        <x:v>ไม่ทราบ</x:v>
      </x:c>
      <x:c r="D279" s="59" t="str">
        <x:v>ไม่ทราบ</x:v>
      </x:c>
      <x:c r="E279" s="59" t="str">
        <x:v>ไม่ทราบ</x:v>
      </x:c>
      <x:c r="F279" s="59" t="str">
        <x:v>ไม่ทราบ</x:v>
      </x:c>
      <x:c r="G279" s="59" t="str">
        <x:v>ไม่ทราบ</x:v>
      </x:c>
      <x:c r="H279" s="59" t="str">
        <x:v>ไม่ทราบ</x:v>
      </x:c>
      <x:c r="I279" s="59"/>
      <x:c r="J279" s="59" t="str">
        <x:v>ไม่ทราบ</x:v>
      </x:c>
      <x:c r="K279" s="59"/>
      <x:c r="L279" s="59"/>
      <x:c r="M279" s="59"/>
      <x:c r="N279" s="59"/>
      <x:c r="O279" s="59"/>
      <x:c r="P279" s="59"/>
      <x:c r="Q279" s="59"/>
      <x:c r="R279" s="59"/>
      <x:c r="S279" s="59"/>
      <x:c r="T279" s="59"/>
      <x:c r="U279" s="59"/>
      <x:c r="V279" s="59"/>
      <x:c r="W279" s="59"/>
      <x:c r="X279" s="59"/>
      <x:c r="Y279" s="59"/>
      <x:c r="Z279" s="59"/>
      <x:c r="AA279" s="8" t="str">
        <x:f>IF(C279="ไม่ทราบ","",SUMIFS($K$7:$Z$7,K279:Z279,"&lt;&gt;N/A"))</x:f>
      </x:c>
      <x:c r="AB279" s="8" t="str">
        <x:f>IF(AND(OR(AND(C279="จำหน่ายอาหาร",ISNUMBER(K279),L279="N/A"),AND(C279="ไม่จำหน่ายอาหาร",K279="N/A",ISNUMBER(L279)),AND(C279="มัสยิด",K279="N/A",L279="N/A",X279="N/A")),COUNT(K279:Z279)+COUNTIFS(K279:Z279,"N/A")=16),SUM(K279:Z279),"")</x:f>
      </x:c>
      <x:c r="AC279" s="62" t="str">
        <x:f>IF(OR(AB279="",AA279&lt;=0),"",ROUND(AB279/AA279*100,1))</x:f>
      </x:c>
      <x:c r="AD279" s="8" t="str">
        <x:f>IF(COUNTIFS(D279:H279,"ไม่ผ่าน")&gt;0,"ไม่ผ่าน",IF(COUNTIFS(D279:H279,"ไม่ทราบ")+COUNTBLANK(D279:H279)&gt;0,"รอยืนยัน","ผ่าน"))</x:f>
        <x:v>รอยืนยัน</x:v>
      </x:c>
      <x:c r="AE279" s="8" t="str">
        <x:f>IF(AF279="ใช่","ไม่ผ่านการคัดเลือก",IF(AND(AD279="ผ่าน",ISNUMBER(AC279),AC279&gt;=70),"พร้อมขาย",IF(OR(J279="ใช่",AND(ISNUMBER(AC279),AC279&gt;=50)),"พัฒนาเพื่อพร้อมขาย",IF(AND(ISNUMBER(AC279),AC279&lt;50,I279&gt;=1),"มีศักยภาพ แต่ต้องพัฒนามาตรฐาน","รอประเมิน"))))</x:f>
        <x:v>รอประเมิน</x:v>
      </x:c>
      <x:c r="AF279" s="59" t="str">
        <x:v>ไม่ทราบ</x:v>
      </x:c>
      <x:c r="AG279" s="8" t="str">
        <x:f>IF(AF279="ใช่","หัวหน้าทีมพิจารณาเหตุไม่ผ่าน",IF(OR(AA279&lt;=0,NOT(OR(AND(C279="จำหน่ายอาหาร",ISNUMBER(K279),L279="N/A"),AND(C279="ไม่จำหน่ายอาหาร",K279="N/A",ISNUMBER(L279)),AND(C279="มัสยิด",K279="N/A",L279="N/A",X279="N/A"))),AD279="รอยืนยัน",COUNT(K279:Z279)+COUNTIFS(K279:Z279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79" s="59" t="str"/>
      <x:c r="AI279" s="61"/>
    </x:row>
    <x:row r="280" ht="60" customHeight="1">
      <x:c r="A280" s="2" t="str">
        <x:v>TMF-109</x:v>
      </x:c>
      <x:c r="B280" s="8" t="str">
        <x:v>Noursabah Pattaya - ณุศบา พัทยา</x:v>
      </x:c>
      <x:c r="C280" s="59" t="str">
        <x:v>ไม่ทราบ</x:v>
      </x:c>
      <x:c r="D280" s="59" t="str">
        <x:v>ไม่ทราบ</x:v>
      </x:c>
      <x:c r="E280" s="59" t="str">
        <x:v>ไม่ทราบ</x:v>
      </x:c>
      <x:c r="F280" s="59" t="str">
        <x:v>ไม่ทราบ</x:v>
      </x:c>
      <x:c r="G280" s="59" t="str">
        <x:v>ไม่ทราบ</x:v>
      </x:c>
      <x:c r="H280" s="59" t="str">
        <x:v>ไม่ทราบ</x:v>
      </x:c>
      <x:c r="I280" s="59"/>
      <x:c r="J280" s="59" t="str">
        <x:v>ไม่ทราบ</x:v>
      </x:c>
      <x:c r="K280" s="59"/>
      <x:c r="L280" s="59"/>
      <x:c r="M280" s="59"/>
      <x:c r="N280" s="59"/>
      <x:c r="O280" s="59"/>
      <x:c r="P280" s="59"/>
      <x:c r="Q280" s="59"/>
      <x:c r="R280" s="59"/>
      <x:c r="S280" s="59"/>
      <x:c r="T280" s="59"/>
      <x:c r="U280" s="59"/>
      <x:c r="V280" s="59"/>
      <x:c r="W280" s="59"/>
      <x:c r="X280" s="59"/>
      <x:c r="Y280" s="59"/>
      <x:c r="Z280" s="59"/>
      <x:c r="AA280" s="8" t="str">
        <x:f>IF(C280="ไม่ทราบ","",SUMIFS($K$7:$Z$7,K280:Z280,"&lt;&gt;N/A"))</x:f>
      </x:c>
      <x:c r="AB280" s="8" t="str">
        <x:f>IF(AND(OR(AND(C280="จำหน่ายอาหาร",ISNUMBER(K280),L280="N/A"),AND(C280="ไม่จำหน่ายอาหาร",K280="N/A",ISNUMBER(L280)),AND(C280="มัสยิด",K280="N/A",L280="N/A",X280="N/A")),COUNT(K280:Z280)+COUNTIFS(K280:Z280,"N/A")=16),SUM(K280:Z280),"")</x:f>
      </x:c>
      <x:c r="AC280" s="62" t="str">
        <x:f>IF(OR(AB280="",AA280&lt;=0),"",ROUND(AB280/AA280*100,1))</x:f>
      </x:c>
      <x:c r="AD280" s="8" t="str">
        <x:f>IF(COUNTIFS(D280:H280,"ไม่ผ่าน")&gt;0,"ไม่ผ่าน",IF(COUNTIFS(D280:H280,"ไม่ทราบ")+COUNTBLANK(D280:H280)&gt;0,"รอยืนยัน","ผ่าน"))</x:f>
        <x:v>รอยืนยัน</x:v>
      </x:c>
      <x:c r="AE280" s="8" t="str">
        <x:f>IF(AF280="ใช่","ไม่ผ่านการคัดเลือก",IF(AND(AD280="ผ่าน",ISNUMBER(AC280),AC280&gt;=70),"พร้อมขาย",IF(OR(J280="ใช่",AND(ISNUMBER(AC280),AC280&gt;=50)),"พัฒนาเพื่อพร้อมขาย",IF(AND(ISNUMBER(AC280),AC280&lt;50,I280&gt;=1),"มีศักยภาพ แต่ต้องพัฒนามาตรฐาน","รอประเมิน"))))</x:f>
        <x:v>รอประเมิน</x:v>
      </x:c>
      <x:c r="AF280" s="59" t="str">
        <x:v>ไม่ทราบ</x:v>
      </x:c>
      <x:c r="AG280" s="8" t="str">
        <x:f>IF(AF280="ใช่","หัวหน้าทีมพิจารณาเหตุไม่ผ่าน",IF(OR(AA280&lt;=0,NOT(OR(AND(C280="จำหน่ายอาหาร",ISNUMBER(K280),L280="N/A"),AND(C280="ไม่จำหน่ายอาหาร",K280="N/A",ISNUMBER(L280)),AND(C280="มัสยิด",K280="N/A",L280="N/A",X280="N/A"))),AD280="รอยืนยัน",COUNT(K280:Z280)+COUNTIFS(K280:Z280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0" s="59" t="str"/>
      <x:c r="AI280" s="61"/>
    </x:row>
    <x:row r="281" ht="60" customHeight="1">
      <x:c r="A281" s="2" t="str">
        <x:v>TMF-106</x:v>
      </x:c>
      <x:c r="B281" s="8" t="str">
        <x:v>P-Park Hotel Pattaya</x:v>
      </x:c>
      <x:c r="C281" s="59" t="str">
        <x:v>ไม่ทราบ</x:v>
      </x:c>
      <x:c r="D281" s="59" t="str">
        <x:v>ไม่ทราบ</x:v>
      </x:c>
      <x:c r="E281" s="59" t="str">
        <x:v>ไม่ทราบ</x:v>
      </x:c>
      <x:c r="F281" s="59" t="str">
        <x:v>ไม่ทราบ</x:v>
      </x:c>
      <x:c r="G281" s="59" t="str">
        <x:v>ไม่ทราบ</x:v>
      </x:c>
      <x:c r="H281" s="59" t="str">
        <x:v>ไม่ทราบ</x:v>
      </x:c>
      <x:c r="I281" s="59"/>
      <x:c r="J281" s="59" t="str">
        <x:v>ไม่ทราบ</x:v>
      </x:c>
      <x:c r="K281" s="59"/>
      <x:c r="L281" s="59"/>
      <x:c r="M281" s="59"/>
      <x:c r="N281" s="59"/>
      <x:c r="O281" s="59"/>
      <x:c r="P281" s="59"/>
      <x:c r="Q281" s="59"/>
      <x:c r="R281" s="59"/>
      <x:c r="S281" s="59"/>
      <x:c r="T281" s="59"/>
      <x:c r="U281" s="59"/>
      <x:c r="V281" s="59"/>
      <x:c r="W281" s="59"/>
      <x:c r="X281" s="59"/>
      <x:c r="Y281" s="59"/>
      <x:c r="Z281" s="59"/>
      <x:c r="AA281" s="8" t="str">
        <x:f>IF(C281="ไม่ทราบ","",SUMIFS($K$7:$Z$7,K281:Z281,"&lt;&gt;N/A"))</x:f>
      </x:c>
      <x:c r="AB281" s="8" t="str">
        <x:f>IF(AND(OR(AND(C281="จำหน่ายอาหาร",ISNUMBER(K281),L281="N/A"),AND(C281="ไม่จำหน่ายอาหาร",K281="N/A",ISNUMBER(L281)),AND(C281="มัสยิด",K281="N/A",L281="N/A",X281="N/A")),COUNT(K281:Z281)+COUNTIFS(K281:Z281,"N/A")=16),SUM(K281:Z281),"")</x:f>
      </x:c>
      <x:c r="AC281" s="62" t="str">
        <x:f>IF(OR(AB281="",AA281&lt;=0),"",ROUND(AB281/AA281*100,1))</x:f>
      </x:c>
      <x:c r="AD281" s="8" t="str">
        <x:f>IF(COUNTIFS(D281:H281,"ไม่ผ่าน")&gt;0,"ไม่ผ่าน",IF(COUNTIFS(D281:H281,"ไม่ทราบ")+COUNTBLANK(D281:H281)&gt;0,"รอยืนยัน","ผ่าน"))</x:f>
        <x:v>รอยืนยัน</x:v>
      </x:c>
      <x:c r="AE281" s="8" t="str">
        <x:f>IF(AF281="ใช่","ไม่ผ่านการคัดเลือก",IF(AND(AD281="ผ่าน",ISNUMBER(AC281),AC281&gt;=70),"พร้อมขาย",IF(OR(J281="ใช่",AND(ISNUMBER(AC281),AC281&gt;=50)),"พัฒนาเพื่อพร้อมขาย",IF(AND(ISNUMBER(AC281),AC281&lt;50,I281&gt;=1),"มีศักยภาพ แต่ต้องพัฒนามาตรฐาน","รอประเมิน"))))</x:f>
        <x:v>รอประเมิน</x:v>
      </x:c>
      <x:c r="AF281" s="59" t="str">
        <x:v>ไม่ทราบ</x:v>
      </x:c>
      <x:c r="AG281" s="8" t="str">
        <x:f>IF(AF281="ใช่","หัวหน้าทีมพิจารณาเหตุไม่ผ่าน",IF(OR(AA281&lt;=0,NOT(OR(AND(C281="จำหน่ายอาหาร",ISNUMBER(K281),L281="N/A"),AND(C281="ไม่จำหน่ายอาหาร",K281="N/A",ISNUMBER(L281)),AND(C281="มัสยิด",K281="N/A",L281="N/A",X281="N/A"))),AD281="รอยืนยัน",COUNT(K281:Z281)+COUNTIFS(K281:Z281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1" s="59" t="str"/>
      <x:c r="AI281" s="61"/>
    </x:row>
    <x:row r="282" ht="60" customHeight="1">
      <x:c r="A282" s="2" t="str">
        <x:v>TMF-110</x:v>
      </x:c>
      <x:c r="B282" s="8" t="str">
        <x:v>Pattaya Bed Boutique</x:v>
      </x:c>
      <x:c r="C282" s="59" t="str">
        <x:v>ไม่ทราบ</x:v>
      </x:c>
      <x:c r="D282" s="59" t="str">
        <x:v>ไม่ทราบ</x:v>
      </x:c>
      <x:c r="E282" s="59" t="str">
        <x:v>ไม่ทราบ</x:v>
      </x:c>
      <x:c r="F282" s="59" t="str">
        <x:v>ไม่ทราบ</x:v>
      </x:c>
      <x:c r="G282" s="59" t="str">
        <x:v>ไม่ทราบ</x:v>
      </x:c>
      <x:c r="H282" s="59" t="str">
        <x:v>ไม่ทราบ</x:v>
      </x:c>
      <x:c r="I282" s="59"/>
      <x:c r="J282" s="59" t="str">
        <x:v>ไม่ทราบ</x:v>
      </x:c>
      <x:c r="K282" s="59"/>
      <x:c r="L282" s="59"/>
      <x:c r="M282" s="59"/>
      <x:c r="N282" s="59"/>
      <x:c r="O282" s="59"/>
      <x:c r="P282" s="59"/>
      <x:c r="Q282" s="59"/>
      <x:c r="R282" s="59"/>
      <x:c r="S282" s="59"/>
      <x:c r="T282" s="59"/>
      <x:c r="U282" s="59"/>
      <x:c r="V282" s="59"/>
      <x:c r="W282" s="59"/>
      <x:c r="X282" s="59"/>
      <x:c r="Y282" s="59"/>
      <x:c r="Z282" s="59"/>
      <x:c r="AA282" s="8" t="str">
        <x:f>IF(C282="ไม่ทราบ","",SUMIFS($K$7:$Z$7,K282:Z282,"&lt;&gt;N/A"))</x:f>
      </x:c>
      <x:c r="AB282" s="8" t="str">
        <x:f>IF(AND(OR(AND(C282="จำหน่ายอาหาร",ISNUMBER(K282),L282="N/A"),AND(C282="ไม่จำหน่ายอาหาร",K282="N/A",ISNUMBER(L282)),AND(C282="มัสยิด",K282="N/A",L282="N/A",X282="N/A")),COUNT(K282:Z282)+COUNTIFS(K282:Z282,"N/A")=16),SUM(K282:Z282),"")</x:f>
      </x:c>
      <x:c r="AC282" s="62" t="str">
        <x:f>IF(OR(AB282="",AA282&lt;=0),"",ROUND(AB282/AA282*100,1))</x:f>
      </x:c>
      <x:c r="AD282" s="8" t="str">
        <x:f>IF(COUNTIFS(D282:H282,"ไม่ผ่าน")&gt;0,"ไม่ผ่าน",IF(COUNTIFS(D282:H282,"ไม่ทราบ")+COUNTBLANK(D282:H282)&gt;0,"รอยืนยัน","ผ่าน"))</x:f>
        <x:v>รอยืนยัน</x:v>
      </x:c>
      <x:c r="AE282" s="8" t="str">
        <x:f>IF(AF282="ใช่","ไม่ผ่านการคัดเลือก",IF(AND(AD282="ผ่าน",ISNUMBER(AC282),AC282&gt;=70),"พร้อมขาย",IF(OR(J282="ใช่",AND(ISNUMBER(AC282),AC282&gt;=50)),"พัฒนาเพื่อพร้อมขาย",IF(AND(ISNUMBER(AC282),AC282&lt;50,I282&gt;=1),"มีศักยภาพ แต่ต้องพัฒนามาตรฐาน","รอประเมิน"))))</x:f>
        <x:v>รอประเมิน</x:v>
      </x:c>
      <x:c r="AF282" s="59" t="str">
        <x:v>ไม่ทราบ</x:v>
      </x:c>
      <x:c r="AG282" s="8" t="str">
        <x:f>IF(AF282="ใช่","หัวหน้าทีมพิจารณาเหตุไม่ผ่าน",IF(OR(AA282&lt;=0,NOT(OR(AND(C282="จำหน่ายอาหาร",ISNUMBER(K282),L282="N/A"),AND(C282="ไม่จำหน่ายอาหาร",K282="N/A",ISNUMBER(L282)),AND(C282="มัสยิด",K282="N/A",L282="N/A",X282="N/A"))),AD282="รอยืนยัน",COUNT(K282:Z282)+COUNTIFS(K282:Z282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2" s="59" t="str"/>
      <x:c r="AI282" s="61"/>
    </x:row>
    <x:row r="283" ht="60" customHeight="1">
      <x:c r="A283" s="2" t="str">
        <x:v>TMF-111</x:v>
      </x:c>
      <x:c r="B283" s="8" t="str">
        <x:v>Valida Cottage</x:v>
      </x:c>
      <x:c r="C283" s="59" t="str">
        <x:v>ไม่ทราบ</x:v>
      </x:c>
      <x:c r="D283" s="59" t="str">
        <x:v>ไม่ทราบ</x:v>
      </x:c>
      <x:c r="E283" s="59" t="str">
        <x:v>ไม่ทราบ</x:v>
      </x:c>
      <x:c r="F283" s="59" t="str">
        <x:v>ไม่ทราบ</x:v>
      </x:c>
      <x:c r="G283" s="59" t="str">
        <x:v>ไม่ทราบ</x:v>
      </x:c>
      <x:c r="H283" s="59" t="str">
        <x:v>ไม่ทราบ</x:v>
      </x:c>
      <x:c r="I283" s="59"/>
      <x:c r="J283" s="59" t="str">
        <x:v>ไม่ทราบ</x:v>
      </x:c>
      <x:c r="K283" s="59"/>
      <x:c r="L283" s="59"/>
      <x:c r="M283" s="59"/>
      <x:c r="N283" s="59"/>
      <x:c r="O283" s="59"/>
      <x:c r="P283" s="59"/>
      <x:c r="Q283" s="59"/>
      <x:c r="R283" s="59"/>
      <x:c r="S283" s="59"/>
      <x:c r="T283" s="59"/>
      <x:c r="U283" s="59"/>
      <x:c r="V283" s="59"/>
      <x:c r="W283" s="59"/>
      <x:c r="X283" s="59"/>
      <x:c r="Y283" s="59"/>
      <x:c r="Z283" s="59"/>
      <x:c r="AA283" s="8" t="str">
        <x:f>IF(C283="ไม่ทราบ","",SUMIFS($K$7:$Z$7,K283:Z283,"&lt;&gt;N/A"))</x:f>
      </x:c>
      <x:c r="AB283" s="8" t="str">
        <x:f>IF(AND(OR(AND(C283="จำหน่ายอาหาร",ISNUMBER(K283),L283="N/A"),AND(C283="ไม่จำหน่ายอาหาร",K283="N/A",ISNUMBER(L283)),AND(C283="มัสยิด",K283="N/A",L283="N/A",X283="N/A")),COUNT(K283:Z283)+COUNTIFS(K283:Z283,"N/A")=16),SUM(K283:Z283),"")</x:f>
      </x:c>
      <x:c r="AC283" s="62" t="str">
        <x:f>IF(OR(AB283="",AA283&lt;=0),"",ROUND(AB283/AA283*100,1))</x:f>
      </x:c>
      <x:c r="AD283" s="8" t="str">
        <x:f>IF(COUNTIFS(D283:H283,"ไม่ผ่าน")&gt;0,"ไม่ผ่าน",IF(COUNTIFS(D283:H283,"ไม่ทราบ")+COUNTBLANK(D283:H283)&gt;0,"รอยืนยัน","ผ่าน"))</x:f>
        <x:v>รอยืนยัน</x:v>
      </x:c>
      <x:c r="AE283" s="8" t="str">
        <x:f>IF(AF283="ใช่","ไม่ผ่านการคัดเลือก",IF(AND(AD283="ผ่าน",ISNUMBER(AC283),AC283&gt;=70),"พร้อมขาย",IF(OR(J283="ใช่",AND(ISNUMBER(AC283),AC283&gt;=50)),"พัฒนาเพื่อพร้อมขาย",IF(AND(ISNUMBER(AC283),AC283&lt;50,I283&gt;=1),"มีศักยภาพ แต่ต้องพัฒนามาตรฐาน","รอประเมิน"))))</x:f>
        <x:v>รอประเมิน</x:v>
      </x:c>
      <x:c r="AF283" s="59" t="str">
        <x:v>ไม่ทราบ</x:v>
      </x:c>
      <x:c r="AG283" s="8" t="str">
        <x:f>IF(AF283="ใช่","หัวหน้าทีมพิจารณาเหตุไม่ผ่าน",IF(OR(AA283&lt;=0,NOT(OR(AND(C283="จำหน่ายอาหาร",ISNUMBER(K283),L283="N/A"),AND(C283="ไม่จำหน่ายอาหาร",K283="N/A",ISNUMBER(L283)),AND(C283="มัสยิด",K283="N/A",L283="N/A",X283="N/A"))),AD283="รอยืนยัน",COUNT(K283:Z283)+COUNTIFS(K283:Z283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3" s="59" t="str"/>
      <x:c r="AI283" s="61"/>
    </x:row>
    <x:row r="284" ht="60" customHeight="1">
      <x:c r="A284" s="2" t="str">
        <x:v>TMF-329</x:v>
      </x:c>
      <x:c r="B284" s="8" t="str">
        <x:v>เซ็นทารา แกรนด์ มิราจ บีช รีสอร์ท พัทยา</x:v>
      </x:c>
      <x:c r="C284" s="59" t="str">
        <x:v>ไม่ทราบ</x:v>
      </x:c>
      <x:c r="D284" s="59" t="str">
        <x:v>ไม่ทราบ</x:v>
      </x:c>
      <x:c r="E284" s="59" t="str">
        <x:v>ไม่ทราบ</x:v>
      </x:c>
      <x:c r="F284" s="59" t="str">
        <x:v>ไม่ทราบ</x:v>
      </x:c>
      <x:c r="G284" s="59" t="str">
        <x:v>ไม่ทราบ</x:v>
      </x:c>
      <x:c r="H284" s="59" t="str">
        <x:v>ไม่ทราบ</x:v>
      </x:c>
      <x:c r="I284" s="59"/>
      <x:c r="J284" s="59" t="str">
        <x:v>ไม่ทราบ</x:v>
      </x:c>
      <x:c r="K284" s="59"/>
      <x:c r="L284" s="59"/>
      <x:c r="M284" s="59"/>
      <x:c r="N284" s="59"/>
      <x:c r="O284" s="59"/>
      <x:c r="P284" s="59"/>
      <x:c r="Q284" s="59"/>
      <x:c r="R284" s="59"/>
      <x:c r="S284" s="59"/>
      <x:c r="T284" s="59"/>
      <x:c r="U284" s="59"/>
      <x:c r="V284" s="59"/>
      <x:c r="W284" s="59"/>
      <x:c r="X284" s="59"/>
      <x:c r="Y284" s="59"/>
      <x:c r="Z284" s="59"/>
      <x:c r="AA284" s="8" t="str">
        <x:f>IF(C284="ไม่ทราบ","",SUMIFS($K$7:$Z$7,K284:Z284,"&lt;&gt;N/A"))</x:f>
      </x:c>
      <x:c r="AB284" s="8" t="str">
        <x:f>IF(AND(OR(AND(C284="จำหน่ายอาหาร",ISNUMBER(K284),L284="N/A"),AND(C284="ไม่จำหน่ายอาหาร",K284="N/A",ISNUMBER(L284)),AND(C284="มัสยิด",K284="N/A",L284="N/A",X284="N/A")),COUNT(K284:Z284)+COUNTIFS(K284:Z284,"N/A")=16),SUM(K284:Z284),"")</x:f>
      </x:c>
      <x:c r="AC284" s="62" t="str">
        <x:f>IF(OR(AB284="",AA284&lt;=0),"",ROUND(AB284/AA284*100,1))</x:f>
      </x:c>
      <x:c r="AD284" s="8" t="str">
        <x:f>IF(COUNTIFS(D284:H284,"ไม่ผ่าน")&gt;0,"ไม่ผ่าน",IF(COUNTIFS(D284:H284,"ไม่ทราบ")+COUNTBLANK(D284:H284)&gt;0,"รอยืนยัน","ผ่าน"))</x:f>
        <x:v>รอยืนยัน</x:v>
      </x:c>
      <x:c r="AE284" s="8" t="str">
        <x:f>IF(AF284="ใช่","ไม่ผ่านการคัดเลือก",IF(AND(AD284="ผ่าน",ISNUMBER(AC284),AC284&gt;=70),"พร้อมขาย",IF(OR(J284="ใช่",AND(ISNUMBER(AC284),AC284&gt;=50)),"พัฒนาเพื่อพร้อมขาย",IF(AND(ISNUMBER(AC284),AC284&lt;50,I284&gt;=1),"มีศักยภาพ แต่ต้องพัฒนามาตรฐาน","รอประเมิน"))))</x:f>
        <x:v>รอประเมิน</x:v>
      </x:c>
      <x:c r="AF284" s="59" t="str">
        <x:v>ไม่ทราบ</x:v>
      </x:c>
      <x:c r="AG284" s="8" t="str">
        <x:f>IF(AF284="ใช่","หัวหน้าทีมพิจารณาเหตุไม่ผ่าน",IF(OR(AA284&lt;=0,NOT(OR(AND(C284="จำหน่ายอาหาร",ISNUMBER(K284),L284="N/A"),AND(C284="ไม่จำหน่ายอาหาร",K284="N/A",ISNUMBER(L284)),AND(C284="มัสยิด",K284="N/A",L284="N/A",X284="N/A"))),AD284="รอยืนยัน",COUNT(K284:Z284)+COUNTIFS(K284:Z284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4" s="59" t="str"/>
      <x:c r="AI284" s="61"/>
    </x:row>
    <x:row r="285" ht="60" customHeight="1">
      <x:c r="A285" s="2" t="str">
        <x:v>TMF-108</x:v>
      </x:c>
      <x:c r="B285" s="8" t="str">
        <x:v>FindyHome Sattahip Poolvilla</x:v>
      </x:c>
      <x:c r="C285" s="59" t="str">
        <x:v>จำหน่ายอาหาร</x:v>
      </x:c>
      <x:c r="D285" s="59" t="str">
        <x:v>ไม่ทราบ</x:v>
      </x:c>
      <x:c r="E285" s="59" t="str">
        <x:v>ไม่ทราบ</x:v>
      </x:c>
      <x:c r="F285" s="59" t="str">
        <x:v>ไม่ทราบ</x:v>
      </x:c>
      <x:c r="G285" s="59" t="str">
        <x:v>ไม่ทราบ</x:v>
      </x:c>
      <x:c r="H285" s="59" t="str">
        <x:v>N/A</x:v>
      </x:c>
      <x:c r="I285" s="59"/>
      <x:c r="J285" s="59" t="str">
        <x:v>ไม่ทราบ</x:v>
      </x:c>
      <x:c r="K285" s="59"/>
      <x:c r="L285" s="59" t="str">
        <x:v>N/A</x:v>
      </x:c>
      <x:c r="M285" s="59"/>
      <x:c r="N285" s="59"/>
      <x:c r="O285" s="59"/>
      <x:c r="P285" s="59"/>
      <x:c r="Q285" s="59"/>
      <x:c r="R285" s="59"/>
      <x:c r="S285" s="59"/>
      <x:c r="T285" s="59"/>
      <x:c r="U285" s="59"/>
      <x:c r="V285" s="59"/>
      <x:c r="W285" s="59"/>
      <x:c r="X285" s="59"/>
      <x:c r="Y285" s="59"/>
      <x:c r="Z285" s="59"/>
      <x:c r="AA285" s="8" t="n">
        <x:f>IF(C285="ไม่ทราบ","",SUMIFS($K$7:$Z$7,K285:Z285,"&lt;&gt;N/A"))</x:f>
        <x:v>100</x:v>
      </x:c>
      <x:c r="AB285" s="8" t="str">
        <x:f>IF(AND(OR(AND(C285="จำหน่ายอาหาร",ISNUMBER(K285),L285="N/A"),AND(C285="ไม่จำหน่ายอาหาร",K285="N/A",ISNUMBER(L285)),AND(C285="มัสยิด",K285="N/A",L285="N/A",X285="N/A")),COUNT(K285:Z285)+COUNTIFS(K285:Z285,"N/A")=16),SUM(K285:Z285),"")</x:f>
      </x:c>
      <x:c r="AC285" s="62" t="str">
        <x:f>IF(OR(AB285="",AA285&lt;=0),"",ROUND(AB285/AA285*100,1))</x:f>
      </x:c>
      <x:c r="AD285" s="8" t="str">
        <x:f>IF(COUNTIFS(D285:H285,"ไม่ผ่าน")&gt;0,"ไม่ผ่าน",IF(COUNTIFS(D285:H285,"ไม่ทราบ")+COUNTBLANK(D285:H285)&gt;0,"รอยืนยัน","ผ่าน"))</x:f>
        <x:v>รอยืนยัน</x:v>
      </x:c>
      <x:c r="AE285" s="8" t="str">
        <x:f>IF(AF285="ใช่","ไม่ผ่านการคัดเลือก",IF(AND(AD285="ผ่าน",ISNUMBER(AC285),AC285&gt;=70),"พร้อมขาย",IF(OR(J285="ใช่",AND(ISNUMBER(AC285),AC285&gt;=50)),"พัฒนาเพื่อพร้อมขาย",IF(AND(ISNUMBER(AC285),AC285&lt;50,I285&gt;=1),"มีศักยภาพ แต่ต้องพัฒนามาตรฐาน","รอประเมิน"))))</x:f>
        <x:v>รอประเมิน</x:v>
      </x:c>
      <x:c r="AF285" s="59" t="str">
        <x:v>ไม่ทราบ</x:v>
      </x:c>
      <x:c r="AG285" s="8" t="str">
        <x:f>IF(AF285="ใช่","หัวหน้าทีมพิจารณาเหตุไม่ผ่าน",IF(OR(AA285&lt;=0,NOT(OR(AND(C285="จำหน่ายอาหาร",ISNUMBER(K285),L285="N/A"),AND(C285="ไม่จำหน่ายอาหาร",K285="N/A",ISNUMBER(L285)),AND(C285="มัสยิด",K285="N/A",L285="N/A",X285="N/A"))),AD285="รอยืนยัน",COUNT(K285:Z285)+COUNTIFS(K285:Z285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5" s="59" t="str"/>
      <x:c r="AI285" s="61"/>
    </x:row>
    <x:row r="286" ht="60" customHeight="1">
      <x:c r="A286" s="2" t="str">
        <x:v>TMF-112</x:v>
      </x:c>
      <x:c r="B286" s="8" t="str">
        <x:v>ข้าว-ยำ ทำถึง</x:v>
      </x:c>
      <x:c r="C286" s="59" t="str">
        <x:v>จำหน่ายอาหาร</x:v>
      </x:c>
      <x:c r="D286" s="59" t="str">
        <x:v>ไม่ทราบ</x:v>
      </x:c>
      <x:c r="E286" s="59" t="str">
        <x:v>ไม่ทราบ</x:v>
      </x:c>
      <x:c r="F286" s="59" t="str">
        <x:v>ไม่ทราบ</x:v>
      </x:c>
      <x:c r="G286" s="59" t="str">
        <x:v>ไม่ทราบ</x:v>
      </x:c>
      <x:c r="H286" s="59" t="str">
        <x:v>N/A</x:v>
      </x:c>
      <x:c r="I286" s="59"/>
      <x:c r="J286" s="59" t="str">
        <x:v>ไม่ทราบ</x:v>
      </x:c>
      <x:c r="K286" s="59"/>
      <x:c r="L286" s="59" t="str">
        <x:v>N/A</x:v>
      </x:c>
      <x:c r="M286" s="59"/>
      <x:c r="N286" s="59"/>
      <x:c r="O286" s="59"/>
      <x:c r="P286" s="59"/>
      <x:c r="Q286" s="59"/>
      <x:c r="R286" s="59"/>
      <x:c r="S286" s="59"/>
      <x:c r="T286" s="59"/>
      <x:c r="U286" s="59"/>
      <x:c r="V286" s="59"/>
      <x:c r="W286" s="59"/>
      <x:c r="X286" s="59"/>
      <x:c r="Y286" s="59"/>
      <x:c r="Z286" s="59"/>
      <x:c r="AA286" s="8" t="n">
        <x:f>IF(C286="ไม่ทราบ","",SUMIFS($K$7:$Z$7,K286:Z286,"&lt;&gt;N/A"))</x:f>
        <x:v>100</x:v>
      </x:c>
      <x:c r="AB286" s="8" t="str">
        <x:f>IF(AND(OR(AND(C286="จำหน่ายอาหาร",ISNUMBER(K286),L286="N/A"),AND(C286="ไม่จำหน่ายอาหาร",K286="N/A",ISNUMBER(L286)),AND(C286="มัสยิด",K286="N/A",L286="N/A",X286="N/A")),COUNT(K286:Z286)+COUNTIFS(K286:Z286,"N/A")=16),SUM(K286:Z286),"")</x:f>
      </x:c>
      <x:c r="AC286" s="62" t="str">
        <x:f>IF(OR(AB286="",AA286&lt;=0),"",ROUND(AB286/AA286*100,1))</x:f>
      </x:c>
      <x:c r="AD286" s="8" t="str">
        <x:f>IF(COUNTIFS(D286:H286,"ไม่ผ่าน")&gt;0,"ไม่ผ่าน",IF(COUNTIFS(D286:H286,"ไม่ทราบ")+COUNTBLANK(D286:H286)&gt;0,"รอยืนยัน","ผ่าน"))</x:f>
        <x:v>รอยืนยัน</x:v>
      </x:c>
      <x:c r="AE286" s="8" t="str">
        <x:f>IF(AF286="ใช่","ไม่ผ่านการคัดเลือก",IF(AND(AD286="ผ่าน",ISNUMBER(AC286),AC286&gt;=70),"พร้อมขาย",IF(OR(J286="ใช่",AND(ISNUMBER(AC286),AC286&gt;=50)),"พัฒนาเพื่อพร้อมขาย",IF(AND(ISNUMBER(AC286),AC286&lt;50,I286&gt;=1),"มีศักยภาพ แต่ต้องพัฒนามาตรฐาน","รอประเมิน"))))</x:f>
        <x:v>รอประเมิน</x:v>
      </x:c>
      <x:c r="AF286" s="59" t="str">
        <x:v>ไม่ทราบ</x:v>
      </x:c>
      <x:c r="AG286" s="8" t="str">
        <x:f>IF(AF286="ใช่","หัวหน้าทีมพิจารณาเหตุไม่ผ่าน",IF(OR(AA286&lt;=0,NOT(OR(AND(C286="จำหน่ายอาหาร",ISNUMBER(K286),L286="N/A"),AND(C286="ไม่จำหน่ายอาหาร",K286="N/A",ISNUMBER(L286)),AND(C286="มัสยิด",K286="N/A",L286="N/A",X286="N/A"))),AD286="รอยืนยัน",COUNT(K286:Z286)+COUNTIFS(K286:Z286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6" s="59" t="str"/>
      <x:c r="AI286" s="61"/>
    </x:row>
    <x:row r="287" ht="60" customHeight="1">
      <x:c r="A287" s="2" t="str">
        <x:v>R26-282</x:v>
      </x:c>
      <x:c r="B287" s="8" t="str">
        <x:v>Health Land Pattaya</x:v>
      </x:c>
      <x:c r="C287" s="59" t="str">
        <x:v>ไม่ทราบ</x:v>
      </x:c>
      <x:c r="D287" s="59" t="str">
        <x:v>ไม่ทราบ</x:v>
      </x:c>
      <x:c r="E287" s="59" t="str">
        <x:v>ไม่ทราบ</x:v>
      </x:c>
      <x:c r="F287" s="59" t="str">
        <x:v>ไม่ทราบ</x:v>
      </x:c>
      <x:c r="G287" s="59" t="str">
        <x:v>ไม่ทราบ</x:v>
      </x:c>
      <x:c r="H287" s="59" t="str">
        <x:v>N/A</x:v>
      </x:c>
      <x:c r="I287" s="59"/>
      <x:c r="J287" s="59" t="str">
        <x:v>ไม่ทราบ</x:v>
      </x:c>
      <x:c r="K287" s="59"/>
      <x:c r="L287" s="59"/>
      <x:c r="M287" s="59"/>
      <x:c r="N287" s="59"/>
      <x:c r="O287" s="59"/>
      <x:c r="P287" s="59"/>
      <x:c r="Q287" s="59"/>
      <x:c r="R287" s="59"/>
      <x:c r="S287" s="59"/>
      <x:c r="T287" s="59"/>
      <x:c r="U287" s="59"/>
      <x:c r="V287" s="59"/>
      <x:c r="W287" s="59"/>
      <x:c r="X287" s="59"/>
      <x:c r="Y287" s="59"/>
      <x:c r="Z287" s="59"/>
      <x:c r="AA287" s="8" t="str">
        <x:f>IF(C287="ไม่ทราบ","",SUMIFS($K$7:$Z$7,K287:Z287,"&lt;&gt;N/A"))</x:f>
      </x:c>
      <x:c r="AB287" s="8" t="str">
        <x:f>IF(AND(OR(AND(C287="จำหน่ายอาหาร",ISNUMBER(K287),L287="N/A"),AND(C287="ไม่จำหน่ายอาหาร",K287="N/A",ISNUMBER(L287)),AND(C287="มัสยิด",K287="N/A",L287="N/A",X287="N/A")),COUNT(K287:Z287)+COUNTIFS(K287:Z287,"N/A")=16),SUM(K287:Z287),"")</x:f>
      </x:c>
      <x:c r="AC287" s="62" t="str">
        <x:f>IF(OR(AB287="",AA287&lt;=0),"",ROUND(AB287/AA287*100,1))</x:f>
      </x:c>
      <x:c r="AD287" s="8" t="str">
        <x:f>IF(COUNTIFS(D287:H287,"ไม่ผ่าน")&gt;0,"ไม่ผ่าน",IF(COUNTIFS(D287:H287,"ไม่ทราบ")+COUNTBLANK(D287:H287)&gt;0,"รอยืนยัน","ผ่าน"))</x:f>
        <x:v>รอยืนยัน</x:v>
      </x:c>
      <x:c r="AE287" s="8" t="str">
        <x:f>IF(AF287="ใช่","ไม่ผ่านการคัดเลือก",IF(AND(AD287="ผ่าน",ISNUMBER(AC287),AC287&gt;=70),"พร้อมขาย",IF(OR(J287="ใช่",AND(ISNUMBER(AC287),AC287&gt;=50)),"พัฒนาเพื่อพร้อมขาย",IF(AND(ISNUMBER(AC287),AC287&lt;50,I287&gt;=1),"มีศักยภาพ แต่ต้องพัฒนามาตรฐาน","รอประเมิน"))))</x:f>
        <x:v>รอประเมิน</x:v>
      </x:c>
      <x:c r="AF287" s="59" t="str">
        <x:v>ไม่ทราบ</x:v>
      </x:c>
      <x:c r="AG287" s="8" t="str">
        <x:f>IF(AF287="ใช่","หัวหน้าทีมพิจารณาเหตุไม่ผ่าน",IF(OR(AA287&lt;=0,NOT(OR(AND(C287="จำหน่ายอาหาร",ISNUMBER(K287),L287="N/A"),AND(C287="ไม่จำหน่ายอาหาร",K287="N/A",ISNUMBER(L287)),AND(C287="มัสยิด",K287="N/A",L287="N/A",X287="N/A"))),AD287="รอยืนยัน",COUNT(K287:Z287)+COUNTIFS(K287:Z287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7" s="59" t="str"/>
      <x:c r="AI287" s="61"/>
    </x:row>
    <x:row r="288" ht="60" customHeight="1">
      <x:c r="A288" s="2" t="str">
        <x:v>R26-283</x:v>
      </x:c>
      <x:c r="B288" s="8" t="str">
        <x:v>Let's Relax Onsen and Spa Pattaya</x:v>
      </x:c>
      <x:c r="C288" s="59" t="str">
        <x:v>ไม่ทราบ</x:v>
      </x:c>
      <x:c r="D288" s="59" t="str">
        <x:v>ไม่ทราบ</x:v>
      </x:c>
      <x:c r="E288" s="59" t="str">
        <x:v>ไม่ทราบ</x:v>
      </x:c>
      <x:c r="F288" s="59" t="str">
        <x:v>ไม่ทราบ</x:v>
      </x:c>
      <x:c r="G288" s="59" t="str">
        <x:v>ไม่ทราบ</x:v>
      </x:c>
      <x:c r="H288" s="59" t="str">
        <x:v>N/A</x:v>
      </x:c>
      <x:c r="I288" s="59"/>
      <x:c r="J288" s="59" t="str">
        <x:v>ไม่ทราบ</x:v>
      </x:c>
      <x:c r="K288" s="59"/>
      <x:c r="L288" s="59"/>
      <x:c r="M288" s="59"/>
      <x:c r="N288" s="59"/>
      <x:c r="O288" s="59"/>
      <x:c r="P288" s="59"/>
      <x:c r="Q288" s="59"/>
      <x:c r="R288" s="59"/>
      <x:c r="S288" s="59"/>
      <x:c r="T288" s="59"/>
      <x:c r="U288" s="59"/>
      <x:c r="V288" s="59"/>
      <x:c r="W288" s="59"/>
      <x:c r="X288" s="59"/>
      <x:c r="Y288" s="59"/>
      <x:c r="Z288" s="59"/>
      <x:c r="AA288" s="8" t="str">
        <x:f>IF(C288="ไม่ทราบ","",SUMIFS($K$7:$Z$7,K288:Z288,"&lt;&gt;N/A"))</x:f>
      </x:c>
      <x:c r="AB288" s="8" t="str">
        <x:f>IF(AND(OR(AND(C288="จำหน่ายอาหาร",ISNUMBER(K288),L288="N/A"),AND(C288="ไม่จำหน่ายอาหาร",K288="N/A",ISNUMBER(L288)),AND(C288="มัสยิด",K288="N/A",L288="N/A",X288="N/A")),COUNT(K288:Z288)+COUNTIFS(K288:Z288,"N/A")=16),SUM(K288:Z288),"")</x:f>
      </x:c>
      <x:c r="AC288" s="62" t="str">
        <x:f>IF(OR(AB288="",AA288&lt;=0),"",ROUND(AB288/AA288*100,1))</x:f>
      </x:c>
      <x:c r="AD288" s="8" t="str">
        <x:f>IF(COUNTIFS(D288:H288,"ไม่ผ่าน")&gt;0,"ไม่ผ่าน",IF(COUNTIFS(D288:H288,"ไม่ทราบ")+COUNTBLANK(D288:H288)&gt;0,"รอยืนยัน","ผ่าน"))</x:f>
        <x:v>รอยืนยัน</x:v>
      </x:c>
      <x:c r="AE288" s="8" t="str">
        <x:f>IF(AF288="ใช่","ไม่ผ่านการคัดเลือก",IF(AND(AD288="ผ่าน",ISNUMBER(AC288),AC288&gt;=70),"พร้อมขาย",IF(OR(J288="ใช่",AND(ISNUMBER(AC288),AC288&gt;=50)),"พัฒนาเพื่อพร้อมขาย",IF(AND(ISNUMBER(AC288),AC288&lt;50,I288&gt;=1),"มีศักยภาพ แต่ต้องพัฒนามาตรฐาน","รอประเมิน"))))</x:f>
        <x:v>รอประเมิน</x:v>
      </x:c>
      <x:c r="AF288" s="59" t="str">
        <x:v>ไม่ทราบ</x:v>
      </x:c>
      <x:c r="AG288" s="8" t="str">
        <x:f>IF(AF288="ใช่","หัวหน้าทีมพิจารณาเหตุไม่ผ่าน",IF(OR(AA288&lt;=0,NOT(OR(AND(C288="จำหน่ายอาหาร",ISNUMBER(K288),L288="N/A"),AND(C288="ไม่จำหน่ายอาหาร",K288="N/A",ISNUMBER(L288)),AND(C288="มัสยิด",K288="N/A",L288="N/A",X288="N/A"))),AD288="รอยืนยัน",COUNT(K288:Z288)+COUNTIFS(K288:Z288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8" s="59" t="str"/>
      <x:c r="AI288" s="61"/>
    </x:row>
    <x:row r="289" ht="60" customHeight="1">
      <x:c r="A289" s="2" t="str">
        <x:v>R26-264</x:v>
      </x:c>
      <x:c r="B289" s="8" t="str">
        <x:v>Central Pattaya</x:v>
      </x:c>
      <x:c r="C289" s="59" t="str">
        <x:v>ไม่ทราบ</x:v>
      </x:c>
      <x:c r="D289" s="59" t="str">
        <x:v>ไม่ทราบ</x:v>
      </x:c>
      <x:c r="E289" s="59" t="str">
        <x:v>ไม่ทราบ</x:v>
      </x:c>
      <x:c r="F289" s="59" t="str">
        <x:v>ไม่ทราบ</x:v>
      </x:c>
      <x:c r="G289" s="59" t="str">
        <x:v>ไม่ทราบ</x:v>
      </x:c>
      <x:c r="H289" s="59" t="str">
        <x:v>N/A</x:v>
      </x:c>
      <x:c r="I289" s="59"/>
      <x:c r="J289" s="59" t="str">
        <x:v>ไม่ทราบ</x:v>
      </x:c>
      <x:c r="K289" s="59"/>
      <x:c r="L289" s="59"/>
      <x:c r="M289" s="59"/>
      <x:c r="N289" s="59"/>
      <x:c r="O289" s="59"/>
      <x:c r="P289" s="59"/>
      <x:c r="Q289" s="59"/>
      <x:c r="R289" s="59"/>
      <x:c r="S289" s="59"/>
      <x:c r="T289" s="59"/>
      <x:c r="U289" s="59"/>
      <x:c r="V289" s="59"/>
      <x:c r="W289" s="59"/>
      <x:c r="X289" s="59"/>
      <x:c r="Y289" s="59"/>
      <x:c r="Z289" s="59"/>
      <x:c r="AA289" s="8" t="str">
        <x:f>IF(C289="ไม่ทราบ","",SUMIFS($K$7:$Z$7,K289:Z289,"&lt;&gt;N/A"))</x:f>
      </x:c>
      <x:c r="AB289" s="8" t="str">
        <x:f>IF(AND(OR(AND(C289="จำหน่ายอาหาร",ISNUMBER(K289),L289="N/A"),AND(C289="ไม่จำหน่ายอาหาร",K289="N/A",ISNUMBER(L289)),AND(C289="มัสยิด",K289="N/A",L289="N/A",X289="N/A")),COUNT(K289:Z289)+COUNTIFS(K289:Z289,"N/A")=16),SUM(K289:Z289),"")</x:f>
      </x:c>
      <x:c r="AC289" s="62" t="str">
        <x:f>IF(OR(AB289="",AA289&lt;=0),"",ROUND(AB289/AA289*100,1))</x:f>
      </x:c>
      <x:c r="AD289" s="8" t="str">
        <x:f>IF(COUNTIFS(D289:H289,"ไม่ผ่าน")&gt;0,"ไม่ผ่าน",IF(COUNTIFS(D289:H289,"ไม่ทราบ")+COUNTBLANK(D289:H289)&gt;0,"รอยืนยัน","ผ่าน"))</x:f>
        <x:v>รอยืนยัน</x:v>
      </x:c>
      <x:c r="AE289" s="8" t="str">
        <x:f>IF(AF289="ใช่","ไม่ผ่านการคัดเลือก",IF(AND(AD289="ผ่าน",ISNUMBER(AC289),AC289&gt;=70),"พร้อมขาย",IF(OR(J289="ใช่",AND(ISNUMBER(AC289),AC289&gt;=50)),"พัฒนาเพื่อพร้อมขาย",IF(AND(ISNUMBER(AC289),AC289&lt;50,I289&gt;=1),"มีศักยภาพ แต่ต้องพัฒนามาตรฐาน","รอประเมิน"))))</x:f>
        <x:v>รอประเมิน</x:v>
      </x:c>
      <x:c r="AF289" s="59" t="str">
        <x:v>ไม่ทราบ</x:v>
      </x:c>
      <x:c r="AG289" s="8" t="str">
        <x:f>IF(AF289="ใช่","หัวหน้าทีมพิจารณาเหตุไม่ผ่าน",IF(OR(AA289&lt;=0,NOT(OR(AND(C289="จำหน่ายอาหาร",ISNUMBER(K289),L289="N/A"),AND(C289="ไม่จำหน่ายอาหาร",K289="N/A",ISNUMBER(L289)),AND(C289="มัสยิด",K289="N/A",L289="N/A",X289="N/A"))),AD289="รอยืนยัน",COUNT(K289:Z289)+COUNTIFS(K289:Z289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89" s="59" t="str"/>
      <x:c r="AI289" s="61"/>
    </x:row>
    <x:row r="290" ht="60" customHeight="1">
      <x:c r="A290" s="2" t="str">
        <x:v>R26-265</x:v>
      </x:c>
      <x:c r="B290" s="8" t="str">
        <x:v>Terminal 21 Pattaya</x:v>
      </x:c>
      <x:c r="C290" s="59" t="str">
        <x:v>ไม่ทราบ</x:v>
      </x:c>
      <x:c r="D290" s="59" t="str">
        <x:v>ไม่ทราบ</x:v>
      </x:c>
      <x:c r="E290" s="59" t="str">
        <x:v>ไม่ทราบ</x:v>
      </x:c>
      <x:c r="F290" s="59" t="str">
        <x:v>ไม่ทราบ</x:v>
      </x:c>
      <x:c r="G290" s="59" t="str">
        <x:v>ไม่ทราบ</x:v>
      </x:c>
      <x:c r="H290" s="59" t="str">
        <x:v>N/A</x:v>
      </x:c>
      <x:c r="I290" s="59"/>
      <x:c r="J290" s="59" t="str">
        <x:v>ไม่ทราบ</x:v>
      </x:c>
      <x:c r="K290" s="59"/>
      <x:c r="L290" s="59"/>
      <x:c r="M290" s="59"/>
      <x:c r="N290" s="59"/>
      <x:c r="O290" s="59"/>
      <x:c r="P290" s="59"/>
      <x:c r="Q290" s="59"/>
      <x:c r="R290" s="59"/>
      <x:c r="S290" s="59"/>
      <x:c r="T290" s="59"/>
      <x:c r="U290" s="59"/>
      <x:c r="V290" s="59"/>
      <x:c r="W290" s="59"/>
      <x:c r="X290" s="59"/>
      <x:c r="Y290" s="59"/>
      <x:c r="Z290" s="59"/>
      <x:c r="AA290" s="8" t="str">
        <x:f>IF(C290="ไม่ทราบ","",SUMIFS($K$7:$Z$7,K290:Z290,"&lt;&gt;N/A"))</x:f>
      </x:c>
      <x:c r="AB290" s="8" t="str">
        <x:f>IF(AND(OR(AND(C290="จำหน่ายอาหาร",ISNUMBER(K290),L290="N/A"),AND(C290="ไม่จำหน่ายอาหาร",K290="N/A",ISNUMBER(L290)),AND(C290="มัสยิด",K290="N/A",L290="N/A",X290="N/A")),COUNT(K290:Z290)+COUNTIFS(K290:Z290,"N/A")=16),SUM(K290:Z290),"")</x:f>
      </x:c>
      <x:c r="AC290" s="62" t="str">
        <x:f>IF(OR(AB290="",AA290&lt;=0),"",ROUND(AB290/AA290*100,1))</x:f>
      </x:c>
      <x:c r="AD290" s="8" t="str">
        <x:f>IF(COUNTIFS(D290:H290,"ไม่ผ่าน")&gt;0,"ไม่ผ่าน",IF(COUNTIFS(D290:H290,"ไม่ทราบ")+COUNTBLANK(D290:H290)&gt;0,"รอยืนยัน","ผ่าน"))</x:f>
        <x:v>รอยืนยัน</x:v>
      </x:c>
      <x:c r="AE290" s="8" t="str">
        <x:f>IF(AF290="ใช่","ไม่ผ่านการคัดเลือก",IF(AND(AD290="ผ่าน",ISNUMBER(AC290),AC290&gt;=70),"พร้อมขาย",IF(OR(J290="ใช่",AND(ISNUMBER(AC290),AC290&gt;=50)),"พัฒนาเพื่อพร้อมขาย",IF(AND(ISNUMBER(AC290),AC290&lt;50,I290&gt;=1),"มีศักยภาพ แต่ต้องพัฒนามาตรฐาน","รอประเมิน"))))</x:f>
        <x:v>รอประเมิน</x:v>
      </x:c>
      <x:c r="AF290" s="59" t="str">
        <x:v>ไม่ทราบ</x:v>
      </x:c>
      <x:c r="AG290" s="8" t="str">
        <x:f>IF(AF290="ใช่","หัวหน้าทีมพิจารณาเหตุไม่ผ่าน",IF(OR(AA290&lt;=0,NOT(OR(AND(C290="จำหน่ายอาหาร",ISNUMBER(K290),L290="N/A"),AND(C290="ไม่จำหน่ายอาหาร",K290="N/A",ISNUMBER(L290)),AND(C290="มัสยิด",K290="N/A",L290="N/A",X290="N/A"))),AD290="รอยืนยัน",COUNT(K290:Z290)+COUNTIFS(K290:Z290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0" s="59" t="str"/>
      <x:c r="AI290" s="61"/>
    </x:row>
    <x:row r="291" ht="60" customHeight="1">
      <x:c r="A291" s="2" t="str">
        <x:v>TMF-331</x:v>
      </x:c>
      <x:c r="B291" s="8" t="str">
        <x:v>มัสยิดญามีอุ้ลอิสลาม</x:v>
      </x:c>
      <x:c r="C291" s="59" t="str">
        <x:v>มัสยิด</x:v>
      </x:c>
      <x:c r="D291" s="59" t="str">
        <x:v>ไม่ทราบ</x:v>
      </x:c>
      <x:c r="E291" s="59" t="str">
        <x:v>ไม่ทราบ</x:v>
      </x:c>
      <x:c r="F291" s="59" t="str">
        <x:v>ไม่ทราบ</x:v>
      </x:c>
      <x:c r="G291" s="59" t="str">
        <x:v>N/A</x:v>
      </x:c>
      <x:c r="H291" s="59" t="str">
        <x:v>N/A</x:v>
      </x:c>
      <x:c r="I291" s="59"/>
      <x:c r="J291" s="59" t="str">
        <x:v>ไม่ทราบ</x:v>
      </x:c>
      <x:c r="K291" s="59" t="str">
        <x:v>N/A</x:v>
      </x:c>
      <x:c r="L291" s="59" t="str">
        <x:v>N/A</x:v>
      </x:c>
      <x:c r="M291" s="59"/>
      <x:c r="N291" s="59"/>
      <x:c r="O291" s="59"/>
      <x:c r="P291" s="59"/>
      <x:c r="Q291" s="59"/>
      <x:c r="R291" s="59"/>
      <x:c r="S291" s="59"/>
      <x:c r="T291" s="59"/>
      <x:c r="U291" s="59"/>
      <x:c r="V291" s="59"/>
      <x:c r="W291" s="59"/>
      <x:c r="X291" s="59" t="str">
        <x:v>N/A</x:v>
      </x:c>
      <x:c r="Y291" s="59"/>
      <x:c r="Z291" s="59"/>
      <x:c r="AA291" s="8" t="n">
        <x:f>IF(C291="ไม่ทราบ","",SUMIFS($K$7:$Z$7,K291:Z291,"&lt;&gt;N/A"))</x:f>
        <x:v>67</x:v>
      </x:c>
      <x:c r="AB291" s="8" t="str">
        <x:f>IF(AND(OR(AND(C291="จำหน่ายอาหาร",ISNUMBER(K291),L291="N/A"),AND(C291="ไม่จำหน่ายอาหาร",K291="N/A",ISNUMBER(L291)),AND(C291="มัสยิด",K291="N/A",L291="N/A",X291="N/A")),COUNT(K291:Z291)+COUNTIFS(K291:Z291,"N/A")=16),SUM(K291:Z291),"")</x:f>
      </x:c>
      <x:c r="AC291" s="62" t="str">
        <x:f>IF(OR(AB291="",AA291&lt;=0),"",ROUND(AB291/AA291*100,1))</x:f>
      </x:c>
      <x:c r="AD291" s="8" t="str">
        <x:f>IF(COUNTIFS(D291:H291,"ไม่ผ่าน")&gt;0,"ไม่ผ่าน",IF(COUNTIFS(D291:H291,"ไม่ทราบ")+COUNTBLANK(D291:H291)&gt;0,"รอยืนยัน","ผ่าน"))</x:f>
        <x:v>รอยืนยัน</x:v>
      </x:c>
      <x:c r="AE291" s="8" t="str">
        <x:f>IF(AF291="ใช่","ไม่ผ่านการคัดเลือก",IF(AND(AD291="ผ่าน",ISNUMBER(AC291),AC291&gt;=70),"พร้อมขาย",IF(OR(J291="ใช่",AND(ISNUMBER(AC291),AC291&gt;=50)),"พัฒนาเพื่อพร้อมขาย",IF(AND(ISNUMBER(AC291),AC291&lt;50,I291&gt;=1),"มีศักยภาพ แต่ต้องพัฒนามาตรฐาน","รอประเมิน"))))</x:f>
        <x:v>รอประเมิน</x:v>
      </x:c>
      <x:c r="AF291" s="59" t="str">
        <x:v>ไม่ทราบ</x:v>
      </x:c>
      <x:c r="AG291" s="8" t="str">
        <x:f>IF(AF291="ใช่","หัวหน้าทีมพิจารณาเหตุไม่ผ่าน",IF(OR(AA291&lt;=0,NOT(OR(AND(C291="จำหน่ายอาหาร",ISNUMBER(K291),L291="N/A"),AND(C291="ไม่จำหน่ายอาหาร",K291="N/A",ISNUMBER(L291)),AND(C291="มัสยิด",K291="N/A",L291="N/A",X291="N/A"))),AD291="รอยืนยัน",COUNT(K291:Z291)+COUNTIFS(K291:Z291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1" s="59" t="str"/>
      <x:c r="AI291" s="61"/>
    </x:row>
    <x:row r="292" ht="60" customHeight="1">
      <x:c r="A292" s="2" t="str">
        <x:v>TMF-332</x:v>
      </x:c>
      <x:c r="B292" s="8" t="str">
        <x:v>มัสยิดดารุสซิดดีกีน</x:v>
      </x:c>
      <x:c r="C292" s="59" t="str">
        <x:v>มัสยิด</x:v>
      </x:c>
      <x:c r="D292" s="59" t="str">
        <x:v>ไม่ทราบ</x:v>
      </x:c>
      <x:c r="E292" s="59" t="str">
        <x:v>ไม่ทราบ</x:v>
      </x:c>
      <x:c r="F292" s="59" t="str">
        <x:v>ไม่ทราบ</x:v>
      </x:c>
      <x:c r="G292" s="59" t="str">
        <x:v>N/A</x:v>
      </x:c>
      <x:c r="H292" s="59" t="str">
        <x:v>N/A</x:v>
      </x:c>
      <x:c r="I292" s="59"/>
      <x:c r="J292" s="59" t="str">
        <x:v>ไม่ทราบ</x:v>
      </x:c>
      <x:c r="K292" s="59" t="str">
        <x:v>N/A</x:v>
      </x:c>
      <x:c r="L292" s="59" t="str">
        <x:v>N/A</x:v>
      </x:c>
      <x:c r="M292" s="59"/>
      <x:c r="N292" s="59"/>
      <x:c r="O292" s="59"/>
      <x:c r="P292" s="59"/>
      <x:c r="Q292" s="59"/>
      <x:c r="R292" s="59"/>
      <x:c r="S292" s="59"/>
      <x:c r="T292" s="59"/>
      <x:c r="U292" s="59"/>
      <x:c r="V292" s="59"/>
      <x:c r="W292" s="59"/>
      <x:c r="X292" s="59" t="str">
        <x:v>N/A</x:v>
      </x:c>
      <x:c r="Y292" s="59"/>
      <x:c r="Z292" s="59"/>
      <x:c r="AA292" s="8" t="n">
        <x:f>IF(C292="ไม่ทราบ","",SUMIFS($K$7:$Z$7,K292:Z292,"&lt;&gt;N/A"))</x:f>
        <x:v>67</x:v>
      </x:c>
      <x:c r="AB292" s="8" t="str">
        <x:f>IF(AND(OR(AND(C292="จำหน่ายอาหาร",ISNUMBER(K292),L292="N/A"),AND(C292="ไม่จำหน่ายอาหาร",K292="N/A",ISNUMBER(L292)),AND(C292="มัสยิด",K292="N/A",L292="N/A",X292="N/A")),COUNT(K292:Z292)+COUNTIFS(K292:Z292,"N/A")=16),SUM(K292:Z292),"")</x:f>
      </x:c>
      <x:c r="AC292" s="62" t="str">
        <x:f>IF(OR(AB292="",AA292&lt;=0),"",ROUND(AB292/AA292*100,1))</x:f>
      </x:c>
      <x:c r="AD292" s="8" t="str">
        <x:f>IF(COUNTIFS(D292:H292,"ไม่ผ่าน")&gt;0,"ไม่ผ่าน",IF(COUNTIFS(D292:H292,"ไม่ทราบ")+COUNTBLANK(D292:H292)&gt;0,"รอยืนยัน","ผ่าน"))</x:f>
        <x:v>รอยืนยัน</x:v>
      </x:c>
      <x:c r="AE292" s="8" t="str">
        <x:f>IF(AF292="ใช่","ไม่ผ่านการคัดเลือก",IF(AND(AD292="ผ่าน",ISNUMBER(AC292),AC292&gt;=70),"พร้อมขาย",IF(OR(J292="ใช่",AND(ISNUMBER(AC292),AC292&gt;=50)),"พัฒนาเพื่อพร้อมขาย",IF(AND(ISNUMBER(AC292),AC292&lt;50,I292&gt;=1),"มีศักยภาพ แต่ต้องพัฒนามาตรฐาน","รอประเมิน"))))</x:f>
        <x:v>รอประเมิน</x:v>
      </x:c>
      <x:c r="AF292" s="59" t="str">
        <x:v>ไม่ทราบ</x:v>
      </x:c>
      <x:c r="AG292" s="8" t="str">
        <x:f>IF(AF292="ใช่","หัวหน้าทีมพิจารณาเหตุไม่ผ่าน",IF(OR(AA292&lt;=0,NOT(OR(AND(C292="จำหน่ายอาหาร",ISNUMBER(K292),L292="N/A"),AND(C292="ไม่จำหน่ายอาหาร",K292="N/A",ISNUMBER(L292)),AND(C292="มัสยิด",K292="N/A",L292="N/A",X292="N/A"))),AD292="รอยืนยัน",COUNT(K292:Z292)+COUNTIFS(K292:Z292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2" s="59" t="str"/>
      <x:c r="AI292" s="61"/>
    </x:row>
    <x:row r="293" ht="60" customHeight="1">
      <x:c r="A293" s="2" t="str">
        <x:v>TMF-333</x:v>
      </x:c>
      <x:c r="B293" s="8" t="str">
        <x:v>มัสยิดดารุ้ลมู่ฮายีรีน</x:v>
      </x:c>
      <x:c r="C293" s="59" t="str">
        <x:v>มัสยิด</x:v>
      </x:c>
      <x:c r="D293" s="59" t="str">
        <x:v>ไม่ทราบ</x:v>
      </x:c>
      <x:c r="E293" s="59" t="str">
        <x:v>ไม่ทราบ</x:v>
      </x:c>
      <x:c r="F293" s="59" t="str">
        <x:v>ไม่ทราบ</x:v>
      </x:c>
      <x:c r="G293" s="59" t="str">
        <x:v>N/A</x:v>
      </x:c>
      <x:c r="H293" s="59" t="str">
        <x:v>N/A</x:v>
      </x:c>
      <x:c r="I293" s="59"/>
      <x:c r="J293" s="59" t="str">
        <x:v>ไม่ทราบ</x:v>
      </x:c>
      <x:c r="K293" s="59" t="str">
        <x:v>N/A</x:v>
      </x:c>
      <x:c r="L293" s="59" t="str">
        <x:v>N/A</x:v>
      </x:c>
      <x:c r="M293" s="59"/>
      <x:c r="N293" s="59"/>
      <x:c r="O293" s="59"/>
      <x:c r="P293" s="59"/>
      <x:c r="Q293" s="59"/>
      <x:c r="R293" s="59"/>
      <x:c r="S293" s="59"/>
      <x:c r="T293" s="59"/>
      <x:c r="U293" s="59"/>
      <x:c r="V293" s="59"/>
      <x:c r="W293" s="59"/>
      <x:c r="X293" s="59" t="str">
        <x:v>N/A</x:v>
      </x:c>
      <x:c r="Y293" s="59"/>
      <x:c r="Z293" s="59"/>
      <x:c r="AA293" s="8" t="n">
        <x:f>IF(C293="ไม่ทราบ","",SUMIFS($K$7:$Z$7,K293:Z293,"&lt;&gt;N/A"))</x:f>
        <x:v>67</x:v>
      </x:c>
      <x:c r="AB293" s="8" t="str">
        <x:f>IF(AND(OR(AND(C293="จำหน่ายอาหาร",ISNUMBER(K293),L293="N/A"),AND(C293="ไม่จำหน่ายอาหาร",K293="N/A",ISNUMBER(L293)),AND(C293="มัสยิด",K293="N/A",L293="N/A",X293="N/A")),COUNT(K293:Z293)+COUNTIFS(K293:Z293,"N/A")=16),SUM(K293:Z293),"")</x:f>
      </x:c>
      <x:c r="AC293" s="62" t="str">
        <x:f>IF(OR(AB293="",AA293&lt;=0),"",ROUND(AB293/AA293*100,1))</x:f>
      </x:c>
      <x:c r="AD293" s="8" t="str">
        <x:f>IF(COUNTIFS(D293:H293,"ไม่ผ่าน")&gt;0,"ไม่ผ่าน",IF(COUNTIFS(D293:H293,"ไม่ทราบ")+COUNTBLANK(D293:H293)&gt;0,"รอยืนยัน","ผ่าน"))</x:f>
        <x:v>รอยืนยัน</x:v>
      </x:c>
      <x:c r="AE293" s="8" t="str">
        <x:f>IF(AF293="ใช่","ไม่ผ่านการคัดเลือก",IF(AND(AD293="ผ่าน",ISNUMBER(AC293),AC293&gt;=70),"พร้อมขาย",IF(OR(J293="ใช่",AND(ISNUMBER(AC293),AC293&gt;=50)),"พัฒนาเพื่อพร้อมขาย",IF(AND(ISNUMBER(AC293),AC293&lt;50,I293&gt;=1),"มีศักยภาพ แต่ต้องพัฒนามาตรฐาน","รอประเมิน"))))</x:f>
        <x:v>รอประเมิน</x:v>
      </x:c>
      <x:c r="AF293" s="59" t="str">
        <x:v>ไม่ทราบ</x:v>
      </x:c>
      <x:c r="AG293" s="8" t="str">
        <x:f>IF(AF293="ใช่","หัวหน้าทีมพิจารณาเหตุไม่ผ่าน",IF(OR(AA293&lt;=0,NOT(OR(AND(C293="จำหน่ายอาหาร",ISNUMBER(K293),L293="N/A"),AND(C293="ไม่จำหน่ายอาหาร",K293="N/A",ISNUMBER(L293)),AND(C293="มัสยิด",K293="N/A",L293="N/A",X293="N/A"))),AD293="รอยืนยัน",COUNT(K293:Z293)+COUNTIFS(K293:Z293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3" s="59" t="str"/>
      <x:c r="AI293" s="61"/>
    </x:row>
    <x:row r="294" ht="60" customHeight="1">
      <x:c r="A294" s="2" t="str">
        <x:v>TMF-334</x:v>
      </x:c>
      <x:c r="B294" s="8" t="str">
        <x:v>มัสยิดดารุ้ลยันนะห์</x:v>
      </x:c>
      <x:c r="C294" s="59" t="str">
        <x:v>มัสยิด</x:v>
      </x:c>
      <x:c r="D294" s="59" t="str">
        <x:v>ไม่ทราบ</x:v>
      </x:c>
      <x:c r="E294" s="59" t="str">
        <x:v>ไม่ทราบ</x:v>
      </x:c>
      <x:c r="F294" s="59" t="str">
        <x:v>ไม่ทราบ</x:v>
      </x:c>
      <x:c r="G294" s="59" t="str">
        <x:v>N/A</x:v>
      </x:c>
      <x:c r="H294" s="59" t="str">
        <x:v>N/A</x:v>
      </x:c>
      <x:c r="I294" s="59"/>
      <x:c r="J294" s="59" t="str">
        <x:v>ไม่ทราบ</x:v>
      </x:c>
      <x:c r="K294" s="59" t="str">
        <x:v>N/A</x:v>
      </x:c>
      <x:c r="L294" s="59" t="str">
        <x:v>N/A</x:v>
      </x:c>
      <x:c r="M294" s="59"/>
      <x:c r="N294" s="59"/>
      <x:c r="O294" s="59"/>
      <x:c r="P294" s="59"/>
      <x:c r="Q294" s="59"/>
      <x:c r="R294" s="59"/>
      <x:c r="S294" s="59"/>
      <x:c r="T294" s="59"/>
      <x:c r="U294" s="59"/>
      <x:c r="V294" s="59"/>
      <x:c r="W294" s="59"/>
      <x:c r="X294" s="59" t="str">
        <x:v>N/A</x:v>
      </x:c>
      <x:c r="Y294" s="59"/>
      <x:c r="Z294" s="59"/>
      <x:c r="AA294" s="8" t="n">
        <x:f>IF(C294="ไม่ทราบ","",SUMIFS($K$7:$Z$7,K294:Z294,"&lt;&gt;N/A"))</x:f>
        <x:v>67</x:v>
      </x:c>
      <x:c r="AB294" s="8" t="str">
        <x:f>IF(AND(OR(AND(C294="จำหน่ายอาหาร",ISNUMBER(K294),L294="N/A"),AND(C294="ไม่จำหน่ายอาหาร",K294="N/A",ISNUMBER(L294)),AND(C294="มัสยิด",K294="N/A",L294="N/A",X294="N/A")),COUNT(K294:Z294)+COUNTIFS(K294:Z294,"N/A")=16),SUM(K294:Z294),"")</x:f>
      </x:c>
      <x:c r="AC294" s="62" t="str">
        <x:f>IF(OR(AB294="",AA294&lt;=0),"",ROUND(AB294/AA294*100,1))</x:f>
      </x:c>
      <x:c r="AD294" s="8" t="str">
        <x:f>IF(COUNTIFS(D294:H294,"ไม่ผ่าน")&gt;0,"ไม่ผ่าน",IF(COUNTIFS(D294:H294,"ไม่ทราบ")+COUNTBLANK(D294:H294)&gt;0,"รอยืนยัน","ผ่าน"))</x:f>
        <x:v>รอยืนยัน</x:v>
      </x:c>
      <x:c r="AE294" s="8" t="str">
        <x:f>IF(AF294="ใช่","ไม่ผ่านการคัดเลือก",IF(AND(AD294="ผ่าน",ISNUMBER(AC294),AC294&gt;=70),"พร้อมขาย",IF(OR(J294="ใช่",AND(ISNUMBER(AC294),AC294&gt;=50)),"พัฒนาเพื่อพร้อมขาย",IF(AND(ISNUMBER(AC294),AC294&lt;50,I294&gt;=1),"มีศักยภาพ แต่ต้องพัฒนามาตรฐาน","รอประเมิน"))))</x:f>
        <x:v>รอประเมิน</x:v>
      </x:c>
      <x:c r="AF294" s="59" t="str">
        <x:v>ไม่ทราบ</x:v>
      </x:c>
      <x:c r="AG294" s="8" t="str">
        <x:f>IF(AF294="ใช่","หัวหน้าทีมพิจารณาเหตุไม่ผ่าน",IF(OR(AA294&lt;=0,NOT(OR(AND(C294="จำหน่ายอาหาร",ISNUMBER(K294),L294="N/A"),AND(C294="ไม่จำหน่ายอาหาร",K294="N/A",ISNUMBER(L294)),AND(C294="มัสยิด",K294="N/A",L294="N/A",X294="N/A"))),AD294="รอยืนยัน",COUNT(K294:Z294)+COUNTIFS(K294:Z294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4" s="59" t="str"/>
      <x:c r="AI294" s="61"/>
    </x:row>
    <x:row r="295" ht="60" customHeight="1">
      <x:c r="A295" s="2" t="str">
        <x:v>TMF-335</x:v>
      </x:c>
      <x:c r="B295" s="8" t="str">
        <x:v>มัสยิดดารุ้ลอิบาดะฮ์ (พัทยากลาง)</x:v>
      </x:c>
      <x:c r="C295" s="59" t="str">
        <x:v>มัสยิด</x:v>
      </x:c>
      <x:c r="D295" s="59" t="str">
        <x:v>ไม่ทราบ</x:v>
      </x:c>
      <x:c r="E295" s="59" t="str">
        <x:v>ไม่ทราบ</x:v>
      </x:c>
      <x:c r="F295" s="59" t="str">
        <x:v>ไม่ทราบ</x:v>
      </x:c>
      <x:c r="G295" s="59" t="str">
        <x:v>N/A</x:v>
      </x:c>
      <x:c r="H295" s="59" t="str">
        <x:v>N/A</x:v>
      </x:c>
      <x:c r="I295" s="59"/>
      <x:c r="J295" s="59" t="str">
        <x:v>ไม่ทราบ</x:v>
      </x:c>
      <x:c r="K295" s="59" t="str">
        <x:v>N/A</x:v>
      </x:c>
      <x:c r="L295" s="59" t="str">
        <x:v>N/A</x:v>
      </x:c>
      <x:c r="M295" s="59"/>
      <x:c r="N295" s="59"/>
      <x:c r="O295" s="59"/>
      <x:c r="P295" s="59"/>
      <x:c r="Q295" s="59"/>
      <x:c r="R295" s="59"/>
      <x:c r="S295" s="59"/>
      <x:c r="T295" s="59"/>
      <x:c r="U295" s="59"/>
      <x:c r="V295" s="59"/>
      <x:c r="W295" s="59"/>
      <x:c r="X295" s="59" t="str">
        <x:v>N/A</x:v>
      </x:c>
      <x:c r="Y295" s="59"/>
      <x:c r="Z295" s="59"/>
      <x:c r="AA295" s="8" t="n">
        <x:f>IF(C295="ไม่ทราบ","",SUMIFS($K$7:$Z$7,K295:Z295,"&lt;&gt;N/A"))</x:f>
        <x:v>67</x:v>
      </x:c>
      <x:c r="AB295" s="8" t="str">
        <x:f>IF(AND(OR(AND(C295="จำหน่ายอาหาร",ISNUMBER(K295),L295="N/A"),AND(C295="ไม่จำหน่ายอาหาร",K295="N/A",ISNUMBER(L295)),AND(C295="มัสยิด",K295="N/A",L295="N/A",X295="N/A")),COUNT(K295:Z295)+COUNTIFS(K295:Z295,"N/A")=16),SUM(K295:Z295),"")</x:f>
      </x:c>
      <x:c r="AC295" s="62" t="str">
        <x:f>IF(OR(AB295="",AA295&lt;=0),"",ROUND(AB295/AA295*100,1))</x:f>
      </x:c>
      <x:c r="AD295" s="8" t="str">
        <x:f>IF(COUNTIFS(D295:H295,"ไม่ผ่าน")&gt;0,"ไม่ผ่าน",IF(COUNTIFS(D295:H295,"ไม่ทราบ")+COUNTBLANK(D295:H295)&gt;0,"รอยืนยัน","ผ่าน"))</x:f>
        <x:v>รอยืนยัน</x:v>
      </x:c>
      <x:c r="AE295" s="8" t="str">
        <x:f>IF(AF295="ใช่","ไม่ผ่านการคัดเลือก",IF(AND(AD295="ผ่าน",ISNUMBER(AC295),AC295&gt;=70),"พร้อมขาย",IF(OR(J295="ใช่",AND(ISNUMBER(AC295),AC295&gt;=50)),"พัฒนาเพื่อพร้อมขาย",IF(AND(ISNUMBER(AC295),AC295&lt;50,I295&gt;=1),"มีศักยภาพ แต่ต้องพัฒนามาตรฐาน","รอประเมิน"))))</x:f>
        <x:v>รอประเมิน</x:v>
      </x:c>
      <x:c r="AF295" s="59" t="str">
        <x:v>ไม่ทราบ</x:v>
      </x:c>
      <x:c r="AG295" s="8" t="str">
        <x:f>IF(AF295="ใช่","หัวหน้าทีมพิจารณาเหตุไม่ผ่าน",IF(OR(AA295&lt;=0,NOT(OR(AND(C295="จำหน่ายอาหาร",ISNUMBER(K295),L295="N/A"),AND(C295="ไม่จำหน่ายอาหาร",K295="N/A",ISNUMBER(L295)),AND(C295="มัสยิด",K295="N/A",L295="N/A",X295="N/A"))),AD295="รอยืนยัน",COUNT(K295:Z295)+COUNTIFS(K295:Z295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5" s="59" t="str"/>
      <x:c r="AI295" s="61"/>
    </x:row>
    <x:row r="296" ht="60" customHeight="1">
      <x:c r="A296" s="2" t="str">
        <x:v>TMF-336</x:v>
      </x:c>
      <x:c r="B296" s="8" t="str">
        <x:v>มัสยิดตออะติ้ลละฮ์ (พัทยาใต้)</x:v>
      </x:c>
      <x:c r="C296" s="59" t="str">
        <x:v>มัสยิด</x:v>
      </x:c>
      <x:c r="D296" s="59" t="str">
        <x:v>ไม่ทราบ</x:v>
      </x:c>
      <x:c r="E296" s="59" t="str">
        <x:v>ไม่ทราบ</x:v>
      </x:c>
      <x:c r="F296" s="59" t="str">
        <x:v>ไม่ทราบ</x:v>
      </x:c>
      <x:c r="G296" s="59" t="str">
        <x:v>N/A</x:v>
      </x:c>
      <x:c r="H296" s="59" t="str">
        <x:v>N/A</x:v>
      </x:c>
      <x:c r="I296" s="59"/>
      <x:c r="J296" s="59" t="str">
        <x:v>ไม่ทราบ</x:v>
      </x:c>
      <x:c r="K296" s="59" t="str">
        <x:v>N/A</x:v>
      </x:c>
      <x:c r="L296" s="59" t="str">
        <x:v>N/A</x:v>
      </x:c>
      <x:c r="M296" s="59"/>
      <x:c r="N296" s="59"/>
      <x:c r="O296" s="59"/>
      <x:c r="P296" s="59"/>
      <x:c r="Q296" s="59"/>
      <x:c r="R296" s="59"/>
      <x:c r="S296" s="59"/>
      <x:c r="T296" s="59"/>
      <x:c r="U296" s="59"/>
      <x:c r="V296" s="59"/>
      <x:c r="W296" s="59"/>
      <x:c r="X296" s="59" t="str">
        <x:v>N/A</x:v>
      </x:c>
      <x:c r="Y296" s="59"/>
      <x:c r="Z296" s="59"/>
      <x:c r="AA296" s="8" t="n">
        <x:f>IF(C296="ไม่ทราบ","",SUMIFS($K$7:$Z$7,K296:Z296,"&lt;&gt;N/A"))</x:f>
        <x:v>67</x:v>
      </x:c>
      <x:c r="AB296" s="8" t="str">
        <x:f>IF(AND(OR(AND(C296="จำหน่ายอาหาร",ISNUMBER(K296),L296="N/A"),AND(C296="ไม่จำหน่ายอาหาร",K296="N/A",ISNUMBER(L296)),AND(C296="มัสยิด",K296="N/A",L296="N/A",X296="N/A")),COUNT(K296:Z296)+COUNTIFS(K296:Z296,"N/A")=16),SUM(K296:Z296),"")</x:f>
      </x:c>
      <x:c r="AC296" s="62" t="str">
        <x:f>IF(OR(AB296="",AA296&lt;=0),"",ROUND(AB296/AA296*100,1))</x:f>
      </x:c>
      <x:c r="AD296" s="8" t="str">
        <x:f>IF(COUNTIFS(D296:H296,"ไม่ผ่าน")&gt;0,"ไม่ผ่าน",IF(COUNTIFS(D296:H296,"ไม่ทราบ")+COUNTBLANK(D296:H296)&gt;0,"รอยืนยัน","ผ่าน"))</x:f>
        <x:v>รอยืนยัน</x:v>
      </x:c>
      <x:c r="AE296" s="8" t="str">
        <x:f>IF(AF296="ใช่","ไม่ผ่านการคัดเลือก",IF(AND(AD296="ผ่าน",ISNUMBER(AC296),AC296&gt;=70),"พร้อมขาย",IF(OR(J296="ใช่",AND(ISNUMBER(AC296),AC296&gt;=50)),"พัฒนาเพื่อพร้อมขาย",IF(AND(ISNUMBER(AC296),AC296&lt;50,I296&gt;=1),"มีศักยภาพ แต่ต้องพัฒนามาตรฐาน","รอประเมิน"))))</x:f>
        <x:v>รอประเมิน</x:v>
      </x:c>
      <x:c r="AF296" s="59" t="str">
        <x:v>ไม่ทราบ</x:v>
      </x:c>
      <x:c r="AG296" s="8" t="str">
        <x:f>IF(AF296="ใช่","หัวหน้าทีมพิจารณาเหตุไม่ผ่าน",IF(OR(AA296&lt;=0,NOT(OR(AND(C296="จำหน่ายอาหาร",ISNUMBER(K296),L296="N/A"),AND(C296="ไม่จำหน่ายอาหาร",K296="N/A",ISNUMBER(L296)),AND(C296="มัสยิด",K296="N/A",L296="N/A",X296="N/A"))),AD296="รอยืนยัน",COUNT(K296:Z296)+COUNTIFS(K296:Z296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6" s="59" t="str"/>
      <x:c r="AI296" s="61"/>
    </x:row>
    <x:row r="297" ht="60" customHeight="1">
      <x:c r="A297" s="2" t="str">
        <x:v>TMF-338</x:v>
      </x:c>
      <x:c r="B297" s="8" t="str">
        <x:v>มัสยิดนูรุลฮิดายะห์</x:v>
      </x:c>
      <x:c r="C297" s="59" t="str">
        <x:v>มัสยิด</x:v>
      </x:c>
      <x:c r="D297" s="59" t="str">
        <x:v>ไม่ทราบ</x:v>
      </x:c>
      <x:c r="E297" s="59" t="str">
        <x:v>ไม่ทราบ</x:v>
      </x:c>
      <x:c r="F297" s="59" t="str">
        <x:v>ไม่ทราบ</x:v>
      </x:c>
      <x:c r="G297" s="59" t="str">
        <x:v>N/A</x:v>
      </x:c>
      <x:c r="H297" s="59" t="str">
        <x:v>N/A</x:v>
      </x:c>
      <x:c r="I297" s="59"/>
      <x:c r="J297" s="59" t="str">
        <x:v>ไม่ทราบ</x:v>
      </x:c>
      <x:c r="K297" s="59" t="str">
        <x:v>N/A</x:v>
      </x:c>
      <x:c r="L297" s="59" t="str">
        <x:v>N/A</x:v>
      </x:c>
      <x:c r="M297" s="59"/>
      <x:c r="N297" s="59"/>
      <x:c r="O297" s="59"/>
      <x:c r="P297" s="59"/>
      <x:c r="Q297" s="59"/>
      <x:c r="R297" s="59"/>
      <x:c r="S297" s="59"/>
      <x:c r="T297" s="59"/>
      <x:c r="U297" s="59"/>
      <x:c r="V297" s="59"/>
      <x:c r="W297" s="59"/>
      <x:c r="X297" s="59" t="str">
        <x:v>N/A</x:v>
      </x:c>
      <x:c r="Y297" s="59"/>
      <x:c r="Z297" s="59"/>
      <x:c r="AA297" s="8" t="n">
        <x:f>IF(C297="ไม่ทราบ","",SUMIFS($K$7:$Z$7,K297:Z297,"&lt;&gt;N/A"))</x:f>
        <x:v>67</x:v>
      </x:c>
      <x:c r="AB297" s="8" t="str">
        <x:f>IF(AND(OR(AND(C297="จำหน่ายอาหาร",ISNUMBER(K297),L297="N/A"),AND(C297="ไม่จำหน่ายอาหาร",K297="N/A",ISNUMBER(L297)),AND(C297="มัสยิด",K297="N/A",L297="N/A",X297="N/A")),COUNT(K297:Z297)+COUNTIFS(K297:Z297,"N/A")=16),SUM(K297:Z297),"")</x:f>
      </x:c>
      <x:c r="AC297" s="62" t="str">
        <x:f>IF(OR(AB297="",AA297&lt;=0),"",ROUND(AB297/AA297*100,1))</x:f>
      </x:c>
      <x:c r="AD297" s="8" t="str">
        <x:f>IF(COUNTIFS(D297:H297,"ไม่ผ่าน")&gt;0,"ไม่ผ่าน",IF(COUNTIFS(D297:H297,"ไม่ทราบ")+COUNTBLANK(D297:H297)&gt;0,"รอยืนยัน","ผ่าน"))</x:f>
        <x:v>รอยืนยัน</x:v>
      </x:c>
      <x:c r="AE297" s="8" t="str">
        <x:f>IF(AF297="ใช่","ไม่ผ่านการคัดเลือก",IF(AND(AD297="ผ่าน",ISNUMBER(AC297),AC297&gt;=70),"พร้อมขาย",IF(OR(J297="ใช่",AND(ISNUMBER(AC297),AC297&gt;=50)),"พัฒนาเพื่อพร้อมขาย",IF(AND(ISNUMBER(AC297),AC297&lt;50,I297&gt;=1),"มีศักยภาพ แต่ต้องพัฒนามาตรฐาน","รอประเมิน"))))</x:f>
        <x:v>รอประเมิน</x:v>
      </x:c>
      <x:c r="AF297" s="59" t="str">
        <x:v>ไม่ทราบ</x:v>
      </x:c>
      <x:c r="AG297" s="8" t="str">
        <x:f>IF(AF297="ใช่","หัวหน้าทีมพิจารณาเหตุไม่ผ่าน",IF(OR(AA297&lt;=0,NOT(OR(AND(C297="จำหน่ายอาหาร",ISNUMBER(K297),L297="N/A"),AND(C297="ไม่จำหน่ายอาหาร",K297="N/A",ISNUMBER(L297)),AND(C297="มัสยิด",K297="N/A",L297="N/A",X297="N/A"))),AD297="รอยืนยัน",COUNT(K297:Z297)+COUNTIFS(K297:Z297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7" s="59" t="str"/>
      <x:c r="AI297" s="61"/>
    </x:row>
    <x:row r="298" ht="60" customHeight="1">
      <x:c r="A298" s="2" t="str">
        <x:v>TMF-339</x:v>
      </x:c>
      <x:c r="B298" s="8" t="str">
        <x:v>มัสยิดมิฟตาฮุ้นยีนาน</x:v>
      </x:c>
      <x:c r="C298" s="59" t="str">
        <x:v>มัสยิด</x:v>
      </x:c>
      <x:c r="D298" s="59" t="str">
        <x:v>ไม่ทราบ</x:v>
      </x:c>
      <x:c r="E298" s="59" t="str">
        <x:v>ไม่ทราบ</x:v>
      </x:c>
      <x:c r="F298" s="59" t="str">
        <x:v>ไม่ทราบ</x:v>
      </x:c>
      <x:c r="G298" s="59" t="str">
        <x:v>N/A</x:v>
      </x:c>
      <x:c r="H298" s="59" t="str">
        <x:v>N/A</x:v>
      </x:c>
      <x:c r="I298" s="59"/>
      <x:c r="J298" s="59" t="str">
        <x:v>ไม่ทราบ</x:v>
      </x:c>
      <x:c r="K298" s="59" t="str">
        <x:v>N/A</x:v>
      </x:c>
      <x:c r="L298" s="59" t="str">
        <x:v>N/A</x:v>
      </x:c>
      <x:c r="M298" s="59"/>
      <x:c r="N298" s="59"/>
      <x:c r="O298" s="59"/>
      <x:c r="P298" s="59"/>
      <x:c r="Q298" s="59"/>
      <x:c r="R298" s="59"/>
      <x:c r="S298" s="59"/>
      <x:c r="T298" s="59"/>
      <x:c r="U298" s="59"/>
      <x:c r="V298" s="59"/>
      <x:c r="W298" s="59"/>
      <x:c r="X298" s="59" t="str">
        <x:v>N/A</x:v>
      </x:c>
      <x:c r="Y298" s="59"/>
      <x:c r="Z298" s="59"/>
      <x:c r="AA298" s="8" t="n">
        <x:f>IF(C298="ไม่ทราบ","",SUMIFS($K$7:$Z$7,K298:Z298,"&lt;&gt;N/A"))</x:f>
        <x:v>67</x:v>
      </x:c>
      <x:c r="AB298" s="8" t="str">
        <x:f>IF(AND(OR(AND(C298="จำหน่ายอาหาร",ISNUMBER(K298),L298="N/A"),AND(C298="ไม่จำหน่ายอาหาร",K298="N/A",ISNUMBER(L298)),AND(C298="มัสยิด",K298="N/A",L298="N/A",X298="N/A")),COUNT(K298:Z298)+COUNTIFS(K298:Z298,"N/A")=16),SUM(K298:Z298),"")</x:f>
      </x:c>
      <x:c r="AC298" s="62" t="str">
        <x:f>IF(OR(AB298="",AA298&lt;=0),"",ROUND(AB298/AA298*100,1))</x:f>
      </x:c>
      <x:c r="AD298" s="8" t="str">
        <x:f>IF(COUNTIFS(D298:H298,"ไม่ผ่าน")&gt;0,"ไม่ผ่าน",IF(COUNTIFS(D298:H298,"ไม่ทราบ")+COUNTBLANK(D298:H298)&gt;0,"รอยืนยัน","ผ่าน"))</x:f>
        <x:v>รอยืนยัน</x:v>
      </x:c>
      <x:c r="AE298" s="8" t="str">
        <x:f>IF(AF298="ใช่","ไม่ผ่านการคัดเลือก",IF(AND(AD298="ผ่าน",ISNUMBER(AC298),AC298&gt;=70),"พร้อมขาย",IF(OR(J298="ใช่",AND(ISNUMBER(AC298),AC298&gt;=50)),"พัฒนาเพื่อพร้อมขาย",IF(AND(ISNUMBER(AC298),AC298&lt;50,I298&gt;=1),"มีศักยภาพ แต่ต้องพัฒนามาตรฐาน","รอประเมิน"))))</x:f>
        <x:v>รอประเมิน</x:v>
      </x:c>
      <x:c r="AF298" s="59" t="str">
        <x:v>ไม่ทราบ</x:v>
      </x:c>
      <x:c r="AG298" s="8" t="str">
        <x:f>IF(AF298="ใช่","หัวหน้าทีมพิจารณาเหตุไม่ผ่าน",IF(OR(AA298&lt;=0,NOT(OR(AND(C298="จำหน่ายอาหาร",ISNUMBER(K298),L298="N/A"),AND(C298="ไม่จำหน่ายอาหาร",K298="N/A",ISNUMBER(L298)),AND(C298="มัสยิด",K298="N/A",L298="N/A",X298="N/A"))),AD298="รอยืนยัน",COUNT(K298:Z298)+COUNTIFS(K298:Z298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8" s="59" t="str"/>
      <x:c r="AI298" s="61"/>
    </x:row>
    <x:row r="299" ht="60" customHeight="1">
      <x:c r="A299" s="2" t="str">
        <x:v>TMF-340</x:v>
      </x:c>
      <x:c r="B299" s="8" t="str">
        <x:v>มัสยิดสลาม่าตุลเลาะห์</x:v>
      </x:c>
      <x:c r="C299" s="59" t="str">
        <x:v>มัสยิด</x:v>
      </x:c>
      <x:c r="D299" s="59" t="str">
        <x:v>ไม่ทราบ</x:v>
      </x:c>
      <x:c r="E299" s="59" t="str">
        <x:v>ไม่ทราบ</x:v>
      </x:c>
      <x:c r="F299" s="59" t="str">
        <x:v>ไม่ทราบ</x:v>
      </x:c>
      <x:c r="G299" s="59" t="str">
        <x:v>N/A</x:v>
      </x:c>
      <x:c r="H299" s="59" t="str">
        <x:v>N/A</x:v>
      </x:c>
      <x:c r="I299" s="59"/>
      <x:c r="J299" s="59" t="str">
        <x:v>ไม่ทราบ</x:v>
      </x:c>
      <x:c r="K299" s="59" t="str">
        <x:v>N/A</x:v>
      </x:c>
      <x:c r="L299" s="59" t="str">
        <x:v>N/A</x:v>
      </x:c>
      <x:c r="M299" s="59"/>
      <x:c r="N299" s="59"/>
      <x:c r="O299" s="59"/>
      <x:c r="P299" s="59"/>
      <x:c r="Q299" s="59"/>
      <x:c r="R299" s="59"/>
      <x:c r="S299" s="59"/>
      <x:c r="T299" s="59"/>
      <x:c r="U299" s="59"/>
      <x:c r="V299" s="59"/>
      <x:c r="W299" s="59"/>
      <x:c r="X299" s="59" t="str">
        <x:v>N/A</x:v>
      </x:c>
      <x:c r="Y299" s="59"/>
      <x:c r="Z299" s="59"/>
      <x:c r="AA299" s="8" t="n">
        <x:f>IF(C299="ไม่ทราบ","",SUMIFS($K$7:$Z$7,K299:Z299,"&lt;&gt;N/A"))</x:f>
        <x:v>67</x:v>
      </x:c>
      <x:c r="AB299" s="8" t="str">
        <x:f>IF(AND(OR(AND(C299="จำหน่ายอาหาร",ISNUMBER(K299),L299="N/A"),AND(C299="ไม่จำหน่ายอาหาร",K299="N/A",ISNUMBER(L299)),AND(C299="มัสยิด",K299="N/A",L299="N/A",X299="N/A")),COUNT(K299:Z299)+COUNTIFS(K299:Z299,"N/A")=16),SUM(K299:Z299),"")</x:f>
      </x:c>
      <x:c r="AC299" s="62" t="str">
        <x:f>IF(OR(AB299="",AA299&lt;=0),"",ROUND(AB299/AA299*100,1))</x:f>
      </x:c>
      <x:c r="AD299" s="8" t="str">
        <x:f>IF(COUNTIFS(D299:H299,"ไม่ผ่าน")&gt;0,"ไม่ผ่าน",IF(COUNTIFS(D299:H299,"ไม่ทราบ")+COUNTBLANK(D299:H299)&gt;0,"รอยืนยัน","ผ่าน"))</x:f>
        <x:v>รอยืนยัน</x:v>
      </x:c>
      <x:c r="AE299" s="8" t="str">
        <x:f>IF(AF299="ใช่","ไม่ผ่านการคัดเลือก",IF(AND(AD299="ผ่าน",ISNUMBER(AC299),AC299&gt;=70),"พร้อมขาย",IF(OR(J299="ใช่",AND(ISNUMBER(AC299),AC299&gt;=50)),"พัฒนาเพื่อพร้อมขาย",IF(AND(ISNUMBER(AC299),AC299&lt;50,I299&gt;=1),"มีศักยภาพ แต่ต้องพัฒนามาตรฐาน","รอประเมิน"))))</x:f>
        <x:v>รอประเมิน</x:v>
      </x:c>
      <x:c r="AF299" s="59" t="str">
        <x:v>ไม่ทราบ</x:v>
      </x:c>
      <x:c r="AG299" s="8" t="str">
        <x:f>IF(AF299="ใช่","หัวหน้าทีมพิจารณาเหตุไม่ผ่าน",IF(OR(AA299&lt;=0,NOT(OR(AND(C299="จำหน่ายอาหาร",ISNUMBER(K299),L299="N/A"),AND(C299="ไม่จำหน่ายอาหาร",K299="N/A",ISNUMBER(L299)),AND(C299="มัสยิด",K299="N/A",L299="N/A",X299="N/A"))),AD299="รอยืนยัน",COUNT(K299:Z299)+COUNTIFS(K299:Z299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299" s="59" t="str"/>
      <x:c r="AI299" s="61"/>
    </x:row>
    <x:row r="300" ht="60" customHeight="1">
      <x:c r="A300" s="2" t="str">
        <x:v>TMF-342</x:v>
      </x:c>
      <x:c r="B300" s="8" t="str">
        <x:v>มัสยิดอัล-อิตติฮาต</x:v>
      </x:c>
      <x:c r="C300" s="59" t="str">
        <x:v>มัสยิด</x:v>
      </x:c>
      <x:c r="D300" s="59" t="str">
        <x:v>ไม่ทราบ</x:v>
      </x:c>
      <x:c r="E300" s="59" t="str">
        <x:v>ไม่ทราบ</x:v>
      </x:c>
      <x:c r="F300" s="59" t="str">
        <x:v>ไม่ทราบ</x:v>
      </x:c>
      <x:c r="G300" s="59" t="str">
        <x:v>N/A</x:v>
      </x:c>
      <x:c r="H300" s="59" t="str">
        <x:v>N/A</x:v>
      </x:c>
      <x:c r="I300" s="59"/>
      <x:c r="J300" s="59" t="str">
        <x:v>ไม่ทราบ</x:v>
      </x:c>
      <x:c r="K300" s="59" t="str">
        <x:v>N/A</x:v>
      </x:c>
      <x:c r="L300" s="59" t="str">
        <x:v>N/A</x:v>
      </x:c>
      <x:c r="M300" s="59"/>
      <x:c r="N300" s="59"/>
      <x:c r="O300" s="59"/>
      <x:c r="P300" s="59"/>
      <x:c r="Q300" s="59"/>
      <x:c r="R300" s="59"/>
      <x:c r="S300" s="59"/>
      <x:c r="T300" s="59"/>
      <x:c r="U300" s="59"/>
      <x:c r="V300" s="59"/>
      <x:c r="W300" s="59"/>
      <x:c r="X300" s="59" t="str">
        <x:v>N/A</x:v>
      </x:c>
      <x:c r="Y300" s="59"/>
      <x:c r="Z300" s="59"/>
      <x:c r="AA300" s="8" t="n">
        <x:f>IF(C300="ไม่ทราบ","",SUMIFS($K$7:$Z$7,K300:Z300,"&lt;&gt;N/A"))</x:f>
        <x:v>67</x:v>
      </x:c>
      <x:c r="AB300" s="8" t="str">
        <x:f>IF(AND(OR(AND(C300="จำหน่ายอาหาร",ISNUMBER(K300),L300="N/A"),AND(C300="ไม่จำหน่ายอาหาร",K300="N/A",ISNUMBER(L300)),AND(C300="มัสยิด",K300="N/A",L300="N/A",X300="N/A")),COUNT(K300:Z300)+COUNTIFS(K300:Z300,"N/A")=16),SUM(K300:Z300),"")</x:f>
      </x:c>
      <x:c r="AC300" s="62" t="str">
        <x:f>IF(OR(AB300="",AA300&lt;=0),"",ROUND(AB300/AA300*100,1))</x:f>
      </x:c>
      <x:c r="AD300" s="8" t="str">
        <x:f>IF(COUNTIFS(D300:H300,"ไม่ผ่าน")&gt;0,"ไม่ผ่าน",IF(COUNTIFS(D300:H300,"ไม่ทราบ")+COUNTBLANK(D300:H300)&gt;0,"รอยืนยัน","ผ่าน"))</x:f>
        <x:v>รอยืนยัน</x:v>
      </x:c>
      <x:c r="AE300" s="8" t="str">
        <x:f>IF(AF300="ใช่","ไม่ผ่านการคัดเลือก",IF(AND(AD300="ผ่าน",ISNUMBER(AC300),AC300&gt;=70),"พร้อมขาย",IF(OR(J300="ใช่",AND(ISNUMBER(AC300),AC300&gt;=50)),"พัฒนาเพื่อพร้อมขาย",IF(AND(ISNUMBER(AC300),AC300&lt;50,I300&gt;=1),"มีศักยภาพ แต่ต้องพัฒนามาตรฐาน","รอประเมิน"))))</x:f>
        <x:v>รอประเมิน</x:v>
      </x:c>
      <x:c r="AF300" s="59" t="str">
        <x:v>ไม่ทราบ</x:v>
      </x:c>
      <x:c r="AG300" s="8" t="str">
        <x:f>IF(AF300="ใช่","หัวหน้าทีมพิจารณาเหตุไม่ผ่าน",IF(OR(AA300&lt;=0,NOT(OR(AND(C300="จำหน่ายอาหาร",ISNUMBER(K300),L300="N/A"),AND(C300="ไม่จำหน่ายอาหาร",K300="N/A",ISNUMBER(L300)),AND(C300="มัสยิด",K300="N/A",L300="N/A",X300="N/A"))),AD300="รอยืนยัน",COUNT(K300:Z300)+COUNTIFS(K300:Z300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0" s="59" t="str"/>
      <x:c r="AI300" s="61"/>
    </x:row>
    <x:row r="301" ht="60" customHeight="1">
      <x:c r="A301" s="2" t="str">
        <x:v>TMF-343</x:v>
      </x:c>
      <x:c r="B301" s="8" t="str">
        <x:v>มัสยิดอัล-ฮุสนา</x:v>
      </x:c>
      <x:c r="C301" s="59" t="str">
        <x:v>มัสยิด</x:v>
      </x:c>
      <x:c r="D301" s="59" t="str">
        <x:v>ไม่ทราบ</x:v>
      </x:c>
      <x:c r="E301" s="59" t="str">
        <x:v>ไม่ทราบ</x:v>
      </x:c>
      <x:c r="F301" s="59" t="str">
        <x:v>ไม่ทราบ</x:v>
      </x:c>
      <x:c r="G301" s="59" t="str">
        <x:v>N/A</x:v>
      </x:c>
      <x:c r="H301" s="59" t="str">
        <x:v>N/A</x:v>
      </x:c>
      <x:c r="I301" s="59"/>
      <x:c r="J301" s="59" t="str">
        <x:v>ไม่ทราบ</x:v>
      </x:c>
      <x:c r="K301" s="59" t="str">
        <x:v>N/A</x:v>
      </x:c>
      <x:c r="L301" s="59" t="str">
        <x:v>N/A</x:v>
      </x:c>
      <x:c r="M301" s="59"/>
      <x:c r="N301" s="59"/>
      <x:c r="O301" s="59"/>
      <x:c r="P301" s="59"/>
      <x:c r="Q301" s="59"/>
      <x:c r="R301" s="59"/>
      <x:c r="S301" s="59"/>
      <x:c r="T301" s="59"/>
      <x:c r="U301" s="59"/>
      <x:c r="V301" s="59"/>
      <x:c r="W301" s="59"/>
      <x:c r="X301" s="59" t="str">
        <x:v>N/A</x:v>
      </x:c>
      <x:c r="Y301" s="59"/>
      <x:c r="Z301" s="59"/>
      <x:c r="AA301" s="8" t="n">
        <x:f>IF(C301="ไม่ทราบ","",SUMIFS($K$7:$Z$7,K301:Z301,"&lt;&gt;N/A"))</x:f>
        <x:v>67</x:v>
      </x:c>
      <x:c r="AB301" s="8" t="str">
        <x:f>IF(AND(OR(AND(C301="จำหน่ายอาหาร",ISNUMBER(K301),L301="N/A"),AND(C301="ไม่จำหน่ายอาหาร",K301="N/A",ISNUMBER(L301)),AND(C301="มัสยิด",K301="N/A",L301="N/A",X301="N/A")),COUNT(K301:Z301)+COUNTIFS(K301:Z301,"N/A")=16),SUM(K301:Z301),"")</x:f>
      </x:c>
      <x:c r="AC301" s="62" t="str">
        <x:f>IF(OR(AB301="",AA301&lt;=0),"",ROUND(AB301/AA301*100,1))</x:f>
      </x:c>
      <x:c r="AD301" s="8" t="str">
        <x:f>IF(COUNTIFS(D301:H301,"ไม่ผ่าน")&gt;0,"ไม่ผ่าน",IF(COUNTIFS(D301:H301,"ไม่ทราบ")+COUNTBLANK(D301:H301)&gt;0,"รอยืนยัน","ผ่าน"))</x:f>
        <x:v>รอยืนยัน</x:v>
      </x:c>
      <x:c r="AE301" s="8" t="str">
        <x:f>IF(AF301="ใช่","ไม่ผ่านการคัดเลือก",IF(AND(AD301="ผ่าน",ISNUMBER(AC301),AC301&gt;=70),"พร้อมขาย",IF(OR(J301="ใช่",AND(ISNUMBER(AC301),AC301&gt;=50)),"พัฒนาเพื่อพร้อมขาย",IF(AND(ISNUMBER(AC301),AC301&lt;50,I301&gt;=1),"มีศักยภาพ แต่ต้องพัฒนามาตรฐาน","รอประเมิน"))))</x:f>
        <x:v>รอประเมิน</x:v>
      </x:c>
      <x:c r="AF301" s="59" t="str">
        <x:v>ไม่ทราบ</x:v>
      </x:c>
      <x:c r="AG301" s="8" t="str">
        <x:f>IF(AF301="ใช่","หัวหน้าทีมพิจารณาเหตุไม่ผ่าน",IF(OR(AA301&lt;=0,NOT(OR(AND(C301="จำหน่ายอาหาร",ISNUMBER(K301),L301="N/A"),AND(C301="ไม่จำหน่ายอาหาร",K301="N/A",ISNUMBER(L301)),AND(C301="มัสยิด",K301="N/A",L301="N/A",X301="N/A"))),AD301="รอยืนยัน",COUNT(K301:Z301)+COUNTIFS(K301:Z301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1" s="59" t="str"/>
      <x:c r="AI301" s="61"/>
    </x:row>
    <x:row r="302" ht="60" customHeight="1">
      <x:c r="A302" s="2" t="str">
        <x:v>TMF-345</x:v>
      </x:c>
      <x:c r="B302" s="8" t="str">
        <x:v>มัสยิดอาลียิ้ลกามี่ลัยน์</x:v>
      </x:c>
      <x:c r="C302" s="59" t="str">
        <x:v>มัสยิด</x:v>
      </x:c>
      <x:c r="D302" s="59" t="str">
        <x:v>ไม่ทราบ</x:v>
      </x:c>
      <x:c r="E302" s="59" t="str">
        <x:v>ไม่ทราบ</x:v>
      </x:c>
      <x:c r="F302" s="59" t="str">
        <x:v>ไม่ทราบ</x:v>
      </x:c>
      <x:c r="G302" s="59" t="str">
        <x:v>N/A</x:v>
      </x:c>
      <x:c r="H302" s="59" t="str">
        <x:v>N/A</x:v>
      </x:c>
      <x:c r="I302" s="59"/>
      <x:c r="J302" s="59" t="str">
        <x:v>ไม่ทราบ</x:v>
      </x:c>
      <x:c r="K302" s="59" t="str">
        <x:v>N/A</x:v>
      </x:c>
      <x:c r="L302" s="59" t="str">
        <x:v>N/A</x:v>
      </x:c>
      <x:c r="M302" s="59"/>
      <x:c r="N302" s="59"/>
      <x:c r="O302" s="59"/>
      <x:c r="P302" s="59"/>
      <x:c r="Q302" s="59"/>
      <x:c r="R302" s="59"/>
      <x:c r="S302" s="59"/>
      <x:c r="T302" s="59"/>
      <x:c r="U302" s="59"/>
      <x:c r="V302" s="59"/>
      <x:c r="W302" s="59"/>
      <x:c r="X302" s="59" t="str">
        <x:v>N/A</x:v>
      </x:c>
      <x:c r="Y302" s="59"/>
      <x:c r="Z302" s="59"/>
      <x:c r="AA302" s="8" t="n">
        <x:f>IF(C302="ไม่ทราบ","",SUMIFS($K$7:$Z$7,K302:Z302,"&lt;&gt;N/A"))</x:f>
        <x:v>67</x:v>
      </x:c>
      <x:c r="AB302" s="8" t="str">
        <x:f>IF(AND(OR(AND(C302="จำหน่ายอาหาร",ISNUMBER(K302),L302="N/A"),AND(C302="ไม่จำหน่ายอาหาร",K302="N/A",ISNUMBER(L302)),AND(C302="มัสยิด",K302="N/A",L302="N/A",X302="N/A")),COUNT(K302:Z302)+COUNTIFS(K302:Z302,"N/A")=16),SUM(K302:Z302),"")</x:f>
      </x:c>
      <x:c r="AC302" s="62" t="str">
        <x:f>IF(OR(AB302="",AA302&lt;=0),"",ROUND(AB302/AA302*100,1))</x:f>
      </x:c>
      <x:c r="AD302" s="8" t="str">
        <x:f>IF(COUNTIFS(D302:H302,"ไม่ผ่าน")&gt;0,"ไม่ผ่าน",IF(COUNTIFS(D302:H302,"ไม่ทราบ")+COUNTBLANK(D302:H302)&gt;0,"รอยืนยัน","ผ่าน"))</x:f>
        <x:v>รอยืนยัน</x:v>
      </x:c>
      <x:c r="AE302" s="8" t="str">
        <x:f>IF(AF302="ใช่","ไม่ผ่านการคัดเลือก",IF(AND(AD302="ผ่าน",ISNUMBER(AC302),AC302&gt;=70),"พร้อมขาย",IF(OR(J302="ใช่",AND(ISNUMBER(AC302),AC302&gt;=50)),"พัฒนาเพื่อพร้อมขาย",IF(AND(ISNUMBER(AC302),AC302&lt;50,I302&gt;=1),"มีศักยภาพ แต่ต้องพัฒนามาตรฐาน","รอประเมิน"))))</x:f>
        <x:v>รอประเมิน</x:v>
      </x:c>
      <x:c r="AF302" s="59" t="str">
        <x:v>ไม่ทราบ</x:v>
      </x:c>
      <x:c r="AG302" s="8" t="str">
        <x:f>IF(AF302="ใช่","หัวหน้าทีมพิจารณาเหตุไม่ผ่าน",IF(OR(AA302&lt;=0,NOT(OR(AND(C302="จำหน่ายอาหาร",ISNUMBER(K302),L302="N/A"),AND(C302="ไม่จำหน่ายอาหาร",K302="N/A",ISNUMBER(L302)),AND(C302="มัสยิด",K302="N/A",L302="N/A",X302="N/A"))),AD302="รอยืนยัน",COUNT(K302:Z302)+COUNTIFS(K302:Z302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2" s="59" t="str"/>
      <x:c r="AI302" s="61"/>
    </x:row>
    <x:row r="303" ht="60" customHeight="1">
      <x:c r="A303" s="2" t="str">
        <x:v>TMF-346</x:v>
      </x:c>
      <x:c r="B303" s="8" t="str">
        <x:v>มัสยิดฮารูณมุสตอฟา</x:v>
      </x:c>
      <x:c r="C303" s="59" t="str">
        <x:v>มัสยิด</x:v>
      </x:c>
      <x:c r="D303" s="59" t="str">
        <x:v>ไม่ทราบ</x:v>
      </x:c>
      <x:c r="E303" s="59" t="str">
        <x:v>ไม่ทราบ</x:v>
      </x:c>
      <x:c r="F303" s="59" t="str">
        <x:v>ไม่ทราบ</x:v>
      </x:c>
      <x:c r="G303" s="59" t="str">
        <x:v>N/A</x:v>
      </x:c>
      <x:c r="H303" s="59" t="str">
        <x:v>N/A</x:v>
      </x:c>
      <x:c r="I303" s="59"/>
      <x:c r="J303" s="59" t="str">
        <x:v>ไม่ทราบ</x:v>
      </x:c>
      <x:c r="K303" s="59" t="str">
        <x:v>N/A</x:v>
      </x:c>
      <x:c r="L303" s="59" t="str">
        <x:v>N/A</x:v>
      </x:c>
      <x:c r="M303" s="59"/>
      <x:c r="N303" s="59"/>
      <x:c r="O303" s="59"/>
      <x:c r="P303" s="59"/>
      <x:c r="Q303" s="59"/>
      <x:c r="R303" s="59"/>
      <x:c r="S303" s="59"/>
      <x:c r="T303" s="59"/>
      <x:c r="U303" s="59"/>
      <x:c r="V303" s="59"/>
      <x:c r="W303" s="59"/>
      <x:c r="X303" s="59" t="str">
        <x:v>N/A</x:v>
      </x:c>
      <x:c r="Y303" s="59"/>
      <x:c r="Z303" s="59"/>
      <x:c r="AA303" s="8" t="n">
        <x:f>IF(C303="ไม่ทราบ","",SUMIFS($K$7:$Z$7,K303:Z303,"&lt;&gt;N/A"))</x:f>
        <x:v>67</x:v>
      </x:c>
      <x:c r="AB303" s="8" t="str">
        <x:f>IF(AND(OR(AND(C303="จำหน่ายอาหาร",ISNUMBER(K303),L303="N/A"),AND(C303="ไม่จำหน่ายอาหาร",K303="N/A",ISNUMBER(L303)),AND(C303="มัสยิด",K303="N/A",L303="N/A",X303="N/A")),COUNT(K303:Z303)+COUNTIFS(K303:Z303,"N/A")=16),SUM(K303:Z303),"")</x:f>
      </x:c>
      <x:c r="AC303" s="62" t="str">
        <x:f>IF(OR(AB303="",AA303&lt;=0),"",ROUND(AB303/AA303*100,1))</x:f>
      </x:c>
      <x:c r="AD303" s="8" t="str">
        <x:f>IF(COUNTIFS(D303:H303,"ไม่ผ่าน")&gt;0,"ไม่ผ่าน",IF(COUNTIFS(D303:H303,"ไม่ทราบ")+COUNTBLANK(D303:H303)&gt;0,"รอยืนยัน","ผ่าน"))</x:f>
        <x:v>รอยืนยัน</x:v>
      </x:c>
      <x:c r="AE303" s="8" t="str">
        <x:f>IF(AF303="ใช่","ไม่ผ่านการคัดเลือก",IF(AND(AD303="ผ่าน",ISNUMBER(AC303),AC303&gt;=70),"พร้อมขาย",IF(OR(J303="ใช่",AND(ISNUMBER(AC303),AC303&gt;=50)),"พัฒนาเพื่อพร้อมขาย",IF(AND(ISNUMBER(AC303),AC303&lt;50,I303&gt;=1),"มีศักยภาพ แต่ต้องพัฒนามาตรฐาน","รอประเมิน"))))</x:f>
        <x:v>รอประเมิน</x:v>
      </x:c>
      <x:c r="AF303" s="59" t="str">
        <x:v>ไม่ทราบ</x:v>
      </x:c>
      <x:c r="AG303" s="8" t="str">
        <x:f>IF(AF303="ใช่","หัวหน้าทีมพิจารณาเหตุไม่ผ่าน",IF(OR(AA303&lt;=0,NOT(OR(AND(C303="จำหน่ายอาหาร",ISNUMBER(K303),L303="N/A"),AND(C303="ไม่จำหน่ายอาหาร",K303="N/A",ISNUMBER(L303)),AND(C303="มัสยิด",K303="N/A",L303="N/A",X303="N/A"))),AD303="รอยืนยัน",COUNT(K303:Z303)+COUNTIFS(K303:Z303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3" s="59" t="str"/>
      <x:c r="AI303" s="61"/>
    </x:row>
    <x:row r="304" ht="60" customHeight="1">
      <x:c r="A304" s="2" t="str">
        <x:v>TMF-347</x:v>
      </x:c>
      <x:c r="B304" s="8" t="str">
        <x:v>มัสยิดฮิดาย่าตุสซาลีกีน</x:v>
      </x:c>
      <x:c r="C304" s="59" t="str">
        <x:v>มัสยิด</x:v>
      </x:c>
      <x:c r="D304" s="59" t="str">
        <x:v>ไม่ทราบ</x:v>
      </x:c>
      <x:c r="E304" s="59" t="str">
        <x:v>ไม่ทราบ</x:v>
      </x:c>
      <x:c r="F304" s="59" t="str">
        <x:v>ไม่ทราบ</x:v>
      </x:c>
      <x:c r="G304" s="59" t="str">
        <x:v>N/A</x:v>
      </x:c>
      <x:c r="H304" s="59" t="str">
        <x:v>N/A</x:v>
      </x:c>
      <x:c r="I304" s="59"/>
      <x:c r="J304" s="59" t="str">
        <x:v>ไม่ทราบ</x:v>
      </x:c>
      <x:c r="K304" s="59" t="str">
        <x:v>N/A</x:v>
      </x:c>
      <x:c r="L304" s="59" t="str">
        <x:v>N/A</x:v>
      </x:c>
      <x:c r="M304" s="59"/>
      <x:c r="N304" s="59"/>
      <x:c r="O304" s="59"/>
      <x:c r="P304" s="59"/>
      <x:c r="Q304" s="59"/>
      <x:c r="R304" s="59"/>
      <x:c r="S304" s="59"/>
      <x:c r="T304" s="59"/>
      <x:c r="U304" s="59"/>
      <x:c r="V304" s="59"/>
      <x:c r="W304" s="59"/>
      <x:c r="X304" s="59" t="str">
        <x:v>N/A</x:v>
      </x:c>
      <x:c r="Y304" s="59"/>
      <x:c r="Z304" s="59"/>
      <x:c r="AA304" s="8" t="n">
        <x:f>IF(C304="ไม่ทราบ","",SUMIFS($K$7:$Z$7,K304:Z304,"&lt;&gt;N/A"))</x:f>
        <x:v>67</x:v>
      </x:c>
      <x:c r="AB304" s="8" t="str">
        <x:f>IF(AND(OR(AND(C304="จำหน่ายอาหาร",ISNUMBER(K304),L304="N/A"),AND(C304="ไม่จำหน่ายอาหาร",K304="N/A",ISNUMBER(L304)),AND(C304="มัสยิด",K304="N/A",L304="N/A",X304="N/A")),COUNT(K304:Z304)+COUNTIFS(K304:Z304,"N/A")=16),SUM(K304:Z304),"")</x:f>
      </x:c>
      <x:c r="AC304" s="62" t="str">
        <x:f>IF(OR(AB304="",AA304&lt;=0),"",ROUND(AB304/AA304*100,1))</x:f>
      </x:c>
      <x:c r="AD304" s="8" t="str">
        <x:f>IF(COUNTIFS(D304:H304,"ไม่ผ่าน")&gt;0,"ไม่ผ่าน",IF(COUNTIFS(D304:H304,"ไม่ทราบ")+COUNTBLANK(D304:H304)&gt;0,"รอยืนยัน","ผ่าน"))</x:f>
        <x:v>รอยืนยัน</x:v>
      </x:c>
      <x:c r="AE304" s="8" t="str">
        <x:f>IF(AF304="ใช่","ไม่ผ่านการคัดเลือก",IF(AND(AD304="ผ่าน",ISNUMBER(AC304),AC304&gt;=70),"พร้อมขาย",IF(OR(J304="ใช่",AND(ISNUMBER(AC304),AC304&gt;=50)),"พัฒนาเพื่อพร้อมขาย",IF(AND(ISNUMBER(AC304),AC304&lt;50,I304&gt;=1),"มีศักยภาพ แต่ต้องพัฒนามาตรฐาน","รอประเมิน"))))</x:f>
        <x:v>รอประเมิน</x:v>
      </x:c>
      <x:c r="AF304" s="59" t="str">
        <x:v>ไม่ทราบ</x:v>
      </x:c>
      <x:c r="AG304" s="8" t="str">
        <x:f>IF(AF304="ใช่","หัวหน้าทีมพิจารณาเหตุไม่ผ่าน",IF(OR(AA304&lt;=0,NOT(OR(AND(C304="จำหน่ายอาหาร",ISNUMBER(K304),L304="N/A"),AND(C304="ไม่จำหน่ายอาหาร",K304="N/A",ISNUMBER(L304)),AND(C304="มัสยิด",K304="N/A",L304="N/A",X304="N/A"))),AD304="รอยืนยัน",COUNT(K304:Z304)+COUNTIFS(K304:Z304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4" s="59" t="str"/>
      <x:c r="AI304" s="61"/>
    </x:row>
    <x:row r="305" ht="60" customHeight="1">
      <x:c r="A305" s="2" t="str">
        <x:v>TMF-348</x:v>
      </x:c>
      <x:c r="B305" s="8" t="str">
        <x:v>มัสยิดแซ็คมูฮำหมัดอาลี</x:v>
      </x:c>
      <x:c r="C305" s="59" t="str">
        <x:v>มัสยิด</x:v>
      </x:c>
      <x:c r="D305" s="59" t="str">
        <x:v>ไม่ทราบ</x:v>
      </x:c>
      <x:c r="E305" s="59" t="str">
        <x:v>ไม่ทราบ</x:v>
      </x:c>
      <x:c r="F305" s="59" t="str">
        <x:v>ไม่ทราบ</x:v>
      </x:c>
      <x:c r="G305" s="59" t="str">
        <x:v>N/A</x:v>
      </x:c>
      <x:c r="H305" s="59" t="str">
        <x:v>N/A</x:v>
      </x:c>
      <x:c r="I305" s="59"/>
      <x:c r="J305" s="59" t="str">
        <x:v>ไม่ทราบ</x:v>
      </x:c>
      <x:c r="K305" s="59" t="str">
        <x:v>N/A</x:v>
      </x:c>
      <x:c r="L305" s="59" t="str">
        <x:v>N/A</x:v>
      </x:c>
      <x:c r="M305" s="59"/>
      <x:c r="N305" s="59"/>
      <x:c r="O305" s="59"/>
      <x:c r="P305" s="59"/>
      <x:c r="Q305" s="59"/>
      <x:c r="R305" s="59"/>
      <x:c r="S305" s="59"/>
      <x:c r="T305" s="59"/>
      <x:c r="U305" s="59"/>
      <x:c r="V305" s="59"/>
      <x:c r="W305" s="59"/>
      <x:c r="X305" s="59" t="str">
        <x:v>N/A</x:v>
      </x:c>
      <x:c r="Y305" s="59"/>
      <x:c r="Z305" s="59"/>
      <x:c r="AA305" s="8" t="n">
        <x:f>IF(C305="ไม่ทราบ","",SUMIFS($K$7:$Z$7,K305:Z305,"&lt;&gt;N/A"))</x:f>
        <x:v>67</x:v>
      </x:c>
      <x:c r="AB305" s="8" t="str">
        <x:f>IF(AND(OR(AND(C305="จำหน่ายอาหาร",ISNUMBER(K305),L305="N/A"),AND(C305="ไม่จำหน่ายอาหาร",K305="N/A",ISNUMBER(L305)),AND(C305="มัสยิด",K305="N/A",L305="N/A",X305="N/A")),COUNT(K305:Z305)+COUNTIFS(K305:Z305,"N/A")=16),SUM(K305:Z305),"")</x:f>
      </x:c>
      <x:c r="AC305" s="62" t="str">
        <x:f>IF(OR(AB305="",AA305&lt;=0),"",ROUND(AB305/AA305*100,1))</x:f>
      </x:c>
      <x:c r="AD305" s="8" t="str">
        <x:f>IF(COUNTIFS(D305:H305,"ไม่ผ่าน")&gt;0,"ไม่ผ่าน",IF(COUNTIFS(D305:H305,"ไม่ทราบ")+COUNTBLANK(D305:H305)&gt;0,"รอยืนยัน","ผ่าน"))</x:f>
        <x:v>รอยืนยัน</x:v>
      </x:c>
      <x:c r="AE305" s="8" t="str">
        <x:f>IF(AF305="ใช่","ไม่ผ่านการคัดเลือก",IF(AND(AD305="ผ่าน",ISNUMBER(AC305),AC305&gt;=70),"พร้อมขาย",IF(OR(J305="ใช่",AND(ISNUMBER(AC305),AC305&gt;=50)),"พัฒนาเพื่อพร้อมขาย",IF(AND(ISNUMBER(AC305),AC305&lt;50,I305&gt;=1),"มีศักยภาพ แต่ต้องพัฒนามาตรฐาน","รอประเมิน"))))</x:f>
        <x:v>รอประเมิน</x:v>
      </x:c>
      <x:c r="AF305" s="59" t="str">
        <x:v>ไม่ทราบ</x:v>
      </x:c>
      <x:c r="AG305" s="8" t="str">
        <x:f>IF(AF305="ใช่","หัวหน้าทีมพิจารณาเหตุไม่ผ่าน",IF(OR(AA305&lt;=0,NOT(OR(AND(C305="จำหน่ายอาหาร",ISNUMBER(K305),L305="N/A"),AND(C305="ไม่จำหน่ายอาหาร",K305="N/A",ISNUMBER(L305)),AND(C305="มัสยิด",K305="N/A",L305="N/A",X305="N/A"))),AD305="รอยืนยัน",COUNT(K305:Z305)+COUNTIFS(K305:Z305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5" s="59" t="str"/>
      <x:c r="AI305" s="61"/>
    </x:row>
    <x:row r="306" ht="60" customHeight="1">
      <x:c r="A306" s="2" t="str">
        <x:v>R26-160</x:v>
      </x:c>
      <x:c r="B306" s="8" t="str">
        <x:v>Columbia Pictures Aquaverse</x:v>
      </x:c>
      <x:c r="C306" s="59" t="str">
        <x:v>ไม่ทราบ</x:v>
      </x:c>
      <x:c r="D306" s="59" t="str">
        <x:v>ไม่ทราบ</x:v>
      </x:c>
      <x:c r="E306" s="59" t="str">
        <x:v>ไม่ทราบ</x:v>
      </x:c>
      <x:c r="F306" s="59" t="str">
        <x:v>ไม่ทราบ</x:v>
      </x:c>
      <x:c r="G306" s="59" t="str">
        <x:v>ไม่ทราบ</x:v>
      </x:c>
      <x:c r="H306" s="59" t="str">
        <x:v>N/A</x:v>
      </x:c>
      <x:c r="I306" s="59"/>
      <x:c r="J306" s="59" t="str">
        <x:v>ไม่ทราบ</x:v>
      </x:c>
      <x:c r="K306" s="59"/>
      <x:c r="L306" s="59"/>
      <x:c r="M306" s="59"/>
      <x:c r="N306" s="59"/>
      <x:c r="O306" s="59"/>
      <x:c r="P306" s="59"/>
      <x:c r="Q306" s="59"/>
      <x:c r="R306" s="59"/>
      <x:c r="S306" s="59"/>
      <x:c r="T306" s="59"/>
      <x:c r="U306" s="59"/>
      <x:c r="V306" s="59"/>
      <x:c r="W306" s="59"/>
      <x:c r="X306" s="59"/>
      <x:c r="Y306" s="59"/>
      <x:c r="Z306" s="59"/>
      <x:c r="AA306" s="8" t="str">
        <x:f>IF(C306="ไม่ทราบ","",SUMIFS($K$7:$Z$7,K306:Z306,"&lt;&gt;N/A"))</x:f>
      </x:c>
      <x:c r="AB306" s="8" t="str">
        <x:f>IF(AND(OR(AND(C306="จำหน่ายอาหาร",ISNUMBER(K306),L306="N/A"),AND(C306="ไม่จำหน่ายอาหาร",K306="N/A",ISNUMBER(L306)),AND(C306="มัสยิด",K306="N/A",L306="N/A",X306="N/A")),COUNT(K306:Z306)+COUNTIFS(K306:Z306,"N/A")=16),SUM(K306:Z306),"")</x:f>
      </x:c>
      <x:c r="AC306" s="62" t="str">
        <x:f>IF(OR(AB306="",AA306&lt;=0),"",ROUND(AB306/AA306*100,1))</x:f>
      </x:c>
      <x:c r="AD306" s="8" t="str">
        <x:f>IF(COUNTIFS(D306:H306,"ไม่ผ่าน")&gt;0,"ไม่ผ่าน",IF(COUNTIFS(D306:H306,"ไม่ทราบ")+COUNTBLANK(D306:H306)&gt;0,"รอยืนยัน","ผ่าน"))</x:f>
        <x:v>รอยืนยัน</x:v>
      </x:c>
      <x:c r="AE306" s="8" t="str">
        <x:f>IF(AF306="ใช่","ไม่ผ่านการคัดเลือก",IF(AND(AD306="ผ่าน",ISNUMBER(AC306),AC306&gt;=70),"พร้อมขาย",IF(OR(J306="ใช่",AND(ISNUMBER(AC306),AC306&gt;=50)),"พัฒนาเพื่อพร้อมขาย",IF(AND(ISNUMBER(AC306),AC306&lt;50,I306&gt;=1),"มีศักยภาพ แต่ต้องพัฒนามาตรฐาน","รอประเมิน"))))</x:f>
        <x:v>รอประเมิน</x:v>
      </x:c>
      <x:c r="AF306" s="59" t="str">
        <x:v>ไม่ทราบ</x:v>
      </x:c>
      <x:c r="AG306" s="8" t="str">
        <x:f>IF(AF306="ใช่","หัวหน้าทีมพิจารณาเหตุไม่ผ่าน",IF(OR(AA306&lt;=0,NOT(OR(AND(C306="จำหน่ายอาหาร",ISNUMBER(K306),L306="N/A"),AND(C306="ไม่จำหน่ายอาหาร",K306="N/A",ISNUMBER(L306)),AND(C306="มัสยิด",K306="N/A",L306="N/A",X306="N/A"))),AD306="รอยืนยัน",COUNT(K306:Z306)+COUNTIFS(K306:Z306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6" s="59" t="str"/>
      <x:c r="AI306" s="61"/>
    </x:row>
    <x:row r="307" ht="60" customHeight="1">
      <x:c r="A307" s="2" t="str">
        <x:v>R26-328</x:v>
      </x:c>
      <x:c r="B307" s="8" t="str">
        <x:v>Ramayana Water Park</x:v>
      </x:c>
      <x:c r="C307" s="59" t="str">
        <x:v>ไม่ทราบ</x:v>
      </x:c>
      <x:c r="D307" s="59" t="str">
        <x:v>ไม่ทราบ</x:v>
      </x:c>
      <x:c r="E307" s="59" t="str">
        <x:v>ไม่ทราบ</x:v>
      </x:c>
      <x:c r="F307" s="59" t="str">
        <x:v>ไม่ทราบ</x:v>
      </x:c>
      <x:c r="G307" s="59" t="str">
        <x:v>ไม่ทราบ</x:v>
      </x:c>
      <x:c r="H307" s="59" t="str">
        <x:v>N/A</x:v>
      </x:c>
      <x:c r="I307" s="59"/>
      <x:c r="J307" s="59" t="str">
        <x:v>ไม่ทราบ</x:v>
      </x:c>
      <x:c r="K307" s="59"/>
      <x:c r="L307" s="59"/>
      <x:c r="M307" s="59"/>
      <x:c r="N307" s="59"/>
      <x:c r="O307" s="59"/>
      <x:c r="P307" s="59"/>
      <x:c r="Q307" s="59"/>
      <x:c r="R307" s="59"/>
      <x:c r="S307" s="59"/>
      <x:c r="T307" s="59"/>
      <x:c r="U307" s="59"/>
      <x:c r="V307" s="59"/>
      <x:c r="W307" s="59"/>
      <x:c r="X307" s="59"/>
      <x:c r="Y307" s="59"/>
      <x:c r="Z307" s="59"/>
      <x:c r="AA307" s="8" t="str">
        <x:f>IF(C307="ไม่ทราบ","",SUMIFS($K$7:$Z$7,K307:Z307,"&lt;&gt;N/A"))</x:f>
      </x:c>
      <x:c r="AB307" s="8" t="str">
        <x:f>IF(AND(OR(AND(C307="จำหน่ายอาหาร",ISNUMBER(K307),L307="N/A"),AND(C307="ไม่จำหน่ายอาหาร",K307="N/A",ISNUMBER(L307)),AND(C307="มัสยิด",K307="N/A",L307="N/A",X307="N/A")),COUNT(K307:Z307)+COUNTIFS(K307:Z307,"N/A")=16),SUM(K307:Z307),"")</x:f>
      </x:c>
      <x:c r="AC307" s="62" t="str">
        <x:f>IF(OR(AB307="",AA307&lt;=0),"",ROUND(AB307/AA307*100,1))</x:f>
      </x:c>
      <x:c r="AD307" s="8" t="str">
        <x:f>IF(COUNTIFS(D307:H307,"ไม่ผ่าน")&gt;0,"ไม่ผ่าน",IF(COUNTIFS(D307:H307,"ไม่ทราบ")+COUNTBLANK(D307:H307)&gt;0,"รอยืนยัน","ผ่าน"))</x:f>
        <x:v>รอยืนยัน</x:v>
      </x:c>
      <x:c r="AE307" s="8" t="str">
        <x:f>IF(AF307="ใช่","ไม่ผ่านการคัดเลือก",IF(AND(AD307="ผ่าน",ISNUMBER(AC307),AC307&gt;=70),"พร้อมขาย",IF(OR(J307="ใช่",AND(ISNUMBER(AC307),AC307&gt;=50)),"พัฒนาเพื่อพร้อมขาย",IF(AND(ISNUMBER(AC307),AC307&lt;50,I307&gt;=1),"มีศักยภาพ แต่ต้องพัฒนามาตรฐาน","รอประเมิน"))))</x:f>
        <x:v>รอประเมิน</x:v>
      </x:c>
      <x:c r="AF307" s="59" t="str">
        <x:v>ไม่ทราบ</x:v>
      </x:c>
      <x:c r="AG307" s="8" t="str">
        <x:f>IF(AF307="ใช่","หัวหน้าทีมพิจารณาเหตุไม่ผ่าน",IF(OR(AA307&lt;=0,NOT(OR(AND(C307="จำหน่ายอาหาร",ISNUMBER(K307),L307="N/A"),AND(C307="ไม่จำหน่ายอาหาร",K307="N/A",ISNUMBER(L307)),AND(C307="มัสยิด",K307="N/A",L307="N/A",X307="N/A"))),AD307="รอยืนยัน",COUNT(K307:Z307)+COUNTIFS(K307:Z307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7" s="59" t="str"/>
      <x:c r="AI307" s="61"/>
    </x:row>
    <x:row r="308" ht="60" customHeight="1">
      <x:c r="A308" s="2" t="str">
        <x:v>R26-161</x:v>
      </x:c>
      <x:c r="B308" s="8" t="str">
        <x:v>Underwater World Pattaya</x:v>
      </x:c>
      <x:c r="C308" s="59" t="str">
        <x:v>ไม่ทราบ</x:v>
      </x:c>
      <x:c r="D308" s="59" t="str">
        <x:v>ไม่ทราบ</x:v>
      </x:c>
      <x:c r="E308" s="59" t="str">
        <x:v>ไม่ทราบ</x:v>
      </x:c>
      <x:c r="F308" s="59" t="str">
        <x:v>ไม่ทราบ</x:v>
      </x:c>
      <x:c r="G308" s="59" t="str">
        <x:v>ไม่ทราบ</x:v>
      </x:c>
      <x:c r="H308" s="59" t="str">
        <x:v>N/A</x:v>
      </x:c>
      <x:c r="I308" s="59"/>
      <x:c r="J308" s="59" t="str">
        <x:v>ไม่ทราบ</x:v>
      </x:c>
      <x:c r="K308" s="59"/>
      <x:c r="L308" s="59"/>
      <x:c r="M308" s="59"/>
      <x:c r="N308" s="59"/>
      <x:c r="O308" s="59"/>
      <x:c r="P308" s="59"/>
      <x:c r="Q308" s="59"/>
      <x:c r="R308" s="59"/>
      <x:c r="S308" s="59"/>
      <x:c r="T308" s="59"/>
      <x:c r="U308" s="59"/>
      <x:c r="V308" s="59"/>
      <x:c r="W308" s="59"/>
      <x:c r="X308" s="59"/>
      <x:c r="Y308" s="59"/>
      <x:c r="Z308" s="59"/>
      <x:c r="AA308" s="8" t="str">
        <x:f>IF(C308="ไม่ทราบ","",SUMIFS($K$7:$Z$7,K308:Z308,"&lt;&gt;N/A"))</x:f>
      </x:c>
      <x:c r="AB308" s="8" t="str">
        <x:f>IF(AND(OR(AND(C308="จำหน่ายอาหาร",ISNUMBER(K308),L308="N/A"),AND(C308="ไม่จำหน่ายอาหาร",K308="N/A",ISNUMBER(L308)),AND(C308="มัสยิด",K308="N/A",L308="N/A",X308="N/A")),COUNT(K308:Z308)+COUNTIFS(K308:Z308,"N/A")=16),SUM(K308:Z308),"")</x:f>
      </x:c>
      <x:c r="AC308" s="62" t="str">
        <x:f>IF(OR(AB308="",AA308&lt;=0),"",ROUND(AB308/AA308*100,1))</x:f>
      </x:c>
      <x:c r="AD308" s="8" t="str">
        <x:f>IF(COUNTIFS(D308:H308,"ไม่ผ่าน")&gt;0,"ไม่ผ่าน",IF(COUNTIFS(D308:H308,"ไม่ทราบ")+COUNTBLANK(D308:H308)&gt;0,"รอยืนยัน","ผ่าน"))</x:f>
        <x:v>รอยืนยัน</x:v>
      </x:c>
      <x:c r="AE308" s="8" t="str">
        <x:f>IF(AF308="ใช่","ไม่ผ่านการคัดเลือก",IF(AND(AD308="ผ่าน",ISNUMBER(AC308),AC308&gt;=70),"พร้อมขาย",IF(OR(J308="ใช่",AND(ISNUMBER(AC308),AC308&gt;=50)),"พัฒนาเพื่อพร้อมขาย",IF(AND(ISNUMBER(AC308),AC308&lt;50,I308&gt;=1),"มีศักยภาพ แต่ต้องพัฒนามาตรฐาน","รอประเมิน"))))</x:f>
        <x:v>รอประเมิน</x:v>
      </x:c>
      <x:c r="AF308" s="59" t="str">
        <x:v>ไม่ทราบ</x:v>
      </x:c>
      <x:c r="AG308" s="8" t="str">
        <x:f>IF(AF308="ใช่","หัวหน้าทีมพิจารณาเหตุไม่ผ่าน",IF(OR(AA308&lt;=0,NOT(OR(AND(C308="จำหน่ายอาหาร",ISNUMBER(K308),L308="N/A"),AND(C308="ไม่จำหน่ายอาหาร",K308="N/A",ISNUMBER(L308)),AND(C308="มัสยิด",K308="N/A",L308="N/A",X308="N/A"))),AD308="รอยืนยัน",COUNT(K308:Z308)+COUNTIFS(K308:Z308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8" s="59" t="str"/>
      <x:c r="AI308" s="61"/>
    </x:row>
    <x:row r="309" ht="60" customHeight="1">
      <x:c r="A309" s="2" t="str">
        <x:v>R26-062</x:v>
      </x:c>
      <x:c r="B309" s="8" t="str">
        <x:v>ส้มตำกำแพงแตก ระยอง</x:v>
      </x:c>
      <x:c r="C309" s="59" t="str">
        <x:v>จำหน่ายอาหาร</x:v>
      </x:c>
      <x:c r="D309" s="59" t="str">
        <x:v>ไม่ทราบ</x:v>
      </x:c>
      <x:c r="E309" s="59" t="str">
        <x:v>ไม่ทราบ</x:v>
      </x:c>
      <x:c r="F309" s="59" t="str">
        <x:v>ไม่ทราบ</x:v>
      </x:c>
      <x:c r="G309" s="59" t="str">
        <x:v>ไม่ทราบ</x:v>
      </x:c>
      <x:c r="H309" s="59" t="str">
        <x:v>N/A</x:v>
      </x:c>
      <x:c r="I309" s="59"/>
      <x:c r="J309" s="59" t="str">
        <x:v>ไม่ทราบ</x:v>
      </x:c>
      <x:c r="K309" s="59"/>
      <x:c r="L309" s="59" t="str">
        <x:v>N/A</x:v>
      </x:c>
      <x:c r="M309" s="59"/>
      <x:c r="N309" s="59"/>
      <x:c r="O309" s="59"/>
      <x:c r="P309" s="59"/>
      <x:c r="Q309" s="59"/>
      <x:c r="R309" s="59"/>
      <x:c r="S309" s="59"/>
      <x:c r="T309" s="59"/>
      <x:c r="U309" s="59"/>
      <x:c r="V309" s="59"/>
      <x:c r="W309" s="59"/>
      <x:c r="X309" s="59"/>
      <x:c r="Y309" s="59"/>
      <x:c r="Z309" s="59"/>
      <x:c r="AA309" s="8" t="n">
        <x:f>IF(C309="ไม่ทราบ","",SUMIFS($K$7:$Z$7,K309:Z309,"&lt;&gt;N/A"))</x:f>
        <x:v>100</x:v>
      </x:c>
      <x:c r="AB309" s="8" t="str">
        <x:f>IF(AND(OR(AND(C309="จำหน่ายอาหาร",ISNUMBER(K309),L309="N/A"),AND(C309="ไม่จำหน่ายอาหาร",K309="N/A",ISNUMBER(L309)),AND(C309="มัสยิด",K309="N/A",L309="N/A",X309="N/A")),COUNT(K309:Z309)+COUNTIFS(K309:Z309,"N/A")=16),SUM(K309:Z309),"")</x:f>
      </x:c>
      <x:c r="AC309" s="62" t="str">
        <x:f>IF(OR(AB309="",AA309&lt;=0),"",ROUND(AB309/AA309*100,1))</x:f>
      </x:c>
      <x:c r="AD309" s="8" t="str">
        <x:f>IF(COUNTIFS(D309:H309,"ไม่ผ่าน")&gt;0,"ไม่ผ่าน",IF(COUNTIFS(D309:H309,"ไม่ทราบ")+COUNTBLANK(D309:H309)&gt;0,"รอยืนยัน","ผ่าน"))</x:f>
        <x:v>รอยืนยัน</x:v>
      </x:c>
      <x:c r="AE309" s="8" t="str">
        <x:f>IF(AF309="ใช่","ไม่ผ่านการคัดเลือก",IF(AND(AD309="ผ่าน",ISNUMBER(AC309),AC309&gt;=70),"พร้อมขาย",IF(OR(J309="ใช่",AND(ISNUMBER(AC309),AC309&gt;=50)),"พัฒนาเพื่อพร้อมขาย",IF(AND(ISNUMBER(AC309),AC309&lt;50,I309&gt;=1),"มีศักยภาพ แต่ต้องพัฒนามาตรฐาน","รอประเมิน"))))</x:f>
        <x:v>รอประเมิน</x:v>
      </x:c>
      <x:c r="AF309" s="59" t="str">
        <x:v>ไม่ทราบ</x:v>
      </x:c>
      <x:c r="AG309" s="8" t="str">
        <x:f>IF(AF309="ใช่","หัวหน้าทีมพิจารณาเหตุไม่ผ่าน",IF(OR(AA309&lt;=0,NOT(OR(AND(C309="จำหน่ายอาหาร",ISNUMBER(K309),L309="N/A"),AND(C309="ไม่จำหน่ายอาหาร",K309="N/A",ISNUMBER(L309)),AND(C309="มัสยิด",K309="N/A",L309="N/A",X309="N/A"))),AD309="รอยืนยัน",COUNT(K309:Z309)+COUNTIFS(K309:Z309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09" s="59" t="str"/>
      <x:c r="AI309" s="61"/>
    </x:row>
    <x:row r="310" ht="60" customHeight="1">
      <x:c r="A310" s="2" t="str">
        <x:v>R26-064</x:v>
      </x:c>
      <x:c r="B310" s="8" t="str">
        <x:v>หาดแหลมเจริญ</x:v>
      </x:c>
      <x:c r="C310" s="59" t="str">
        <x:v>ไม่ทราบ</x:v>
      </x:c>
      <x:c r="D310" s="59" t="str">
        <x:v>ไม่ทราบ</x:v>
      </x:c>
      <x:c r="E310" s="59" t="str">
        <x:v>ไม่ทราบ</x:v>
      </x:c>
      <x:c r="F310" s="59" t="str">
        <x:v>ไม่ทราบ</x:v>
      </x:c>
      <x:c r="G310" s="59" t="str">
        <x:v>ไม่ทราบ</x:v>
      </x:c>
      <x:c r="H310" s="59" t="str">
        <x:v>N/A</x:v>
      </x:c>
      <x:c r="I310" s="59"/>
      <x:c r="J310" s="59" t="str">
        <x:v>ไม่ทราบ</x:v>
      </x:c>
      <x:c r="K310" s="59"/>
      <x:c r="L310" s="59"/>
      <x:c r="M310" s="59"/>
      <x:c r="N310" s="59"/>
      <x:c r="O310" s="59"/>
      <x:c r="P310" s="59"/>
      <x:c r="Q310" s="59"/>
      <x:c r="R310" s="59"/>
      <x:c r="S310" s="59"/>
      <x:c r="T310" s="59"/>
      <x:c r="U310" s="59"/>
      <x:c r="V310" s="59"/>
      <x:c r="W310" s="59"/>
      <x:c r="X310" s="59"/>
      <x:c r="Y310" s="59"/>
      <x:c r="Z310" s="59"/>
      <x:c r="AA310" s="8" t="str">
        <x:f>IF(C310="ไม่ทราบ","",SUMIFS($K$7:$Z$7,K310:Z310,"&lt;&gt;N/A"))</x:f>
      </x:c>
      <x:c r="AB310" s="8" t="str">
        <x:f>IF(AND(OR(AND(C310="จำหน่ายอาหาร",ISNUMBER(K310),L310="N/A"),AND(C310="ไม่จำหน่ายอาหาร",K310="N/A",ISNUMBER(L310)),AND(C310="มัสยิด",K310="N/A",L310="N/A",X310="N/A")),COUNT(K310:Z310)+COUNTIFS(K310:Z310,"N/A")=16),SUM(K310:Z310),"")</x:f>
      </x:c>
      <x:c r="AC310" s="62" t="str">
        <x:f>IF(OR(AB310="",AA310&lt;=0),"",ROUND(AB310/AA310*100,1))</x:f>
      </x:c>
      <x:c r="AD310" s="8" t="str">
        <x:f>IF(COUNTIFS(D310:H310,"ไม่ผ่าน")&gt;0,"ไม่ผ่าน",IF(COUNTIFS(D310:H310,"ไม่ทราบ")+COUNTBLANK(D310:H310)&gt;0,"รอยืนยัน","ผ่าน"))</x:f>
        <x:v>รอยืนยัน</x:v>
      </x:c>
      <x:c r="AE310" s="8" t="str">
        <x:f>IF(AF310="ใช่","ไม่ผ่านการคัดเลือก",IF(AND(AD310="ผ่าน",ISNUMBER(AC310),AC310&gt;=70),"พร้อมขาย",IF(OR(J310="ใช่",AND(ISNUMBER(AC310),AC310&gt;=50)),"พัฒนาเพื่อพร้อมขาย",IF(AND(ISNUMBER(AC310),AC310&lt;50,I310&gt;=1),"มีศักยภาพ แต่ต้องพัฒนามาตรฐาน","รอประเมิน"))))</x:f>
        <x:v>รอประเมิน</x:v>
      </x:c>
      <x:c r="AF310" s="59" t="str">
        <x:v>ไม่ทราบ</x:v>
      </x:c>
      <x:c r="AG310" s="8" t="str">
        <x:f>IF(AF310="ใช่","หัวหน้าทีมพิจารณาเหตุไม่ผ่าน",IF(OR(AA310&lt;=0,NOT(OR(AND(C310="จำหน่ายอาหาร",ISNUMBER(K310),L310="N/A"),AND(C310="ไม่จำหน่ายอาหาร",K310="N/A",ISNUMBER(L310)),AND(C310="มัสยิด",K310="N/A",L310="N/A",X310="N/A"))),AD310="รอยืนยัน",COUNT(K310:Z310)+COUNTIFS(K310:Z310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0" s="59" t="str"/>
      <x:c r="AI310" s="61"/>
    </x:row>
    <x:row r="311" ht="60" customHeight="1">
      <x:c r="A311" s="2" t="str">
        <x:v>R26-063</x:v>
      </x:c>
      <x:c r="B311" s="8" t="str">
        <x:v>ชุมชนบ้านเพ</x:v>
      </x:c>
      <x:c r="C311" s="59" t="str">
        <x:v>ไม่ทราบ</x:v>
      </x:c>
      <x:c r="D311" s="59" t="str">
        <x:v>ไม่ทราบ</x:v>
      </x:c>
      <x:c r="E311" s="59" t="str">
        <x:v>ไม่ทราบ</x:v>
      </x:c>
      <x:c r="F311" s="59" t="str">
        <x:v>ไม่ทราบ</x:v>
      </x:c>
      <x:c r="G311" s="59" t="str">
        <x:v>ไม่ทราบ</x:v>
      </x:c>
      <x:c r="H311" s="59" t="str">
        <x:v>N/A</x:v>
      </x:c>
      <x:c r="I311" s="59"/>
      <x:c r="J311" s="59" t="str">
        <x:v>ไม่ทราบ</x:v>
      </x:c>
      <x:c r="K311" s="59"/>
      <x:c r="L311" s="59"/>
      <x:c r="M311" s="59"/>
      <x:c r="N311" s="59"/>
      <x:c r="O311" s="59"/>
      <x:c r="P311" s="59"/>
      <x:c r="Q311" s="59"/>
      <x:c r="R311" s="59"/>
      <x:c r="S311" s="59"/>
      <x:c r="T311" s="59"/>
      <x:c r="U311" s="59"/>
      <x:c r="V311" s="59"/>
      <x:c r="W311" s="59"/>
      <x:c r="X311" s="59"/>
      <x:c r="Y311" s="59"/>
      <x:c r="Z311" s="59"/>
      <x:c r="AA311" s="8" t="str">
        <x:f>IF(C311="ไม่ทราบ","",SUMIFS($K$7:$Z$7,K311:Z311,"&lt;&gt;N/A"))</x:f>
      </x:c>
      <x:c r="AB311" s="8" t="str">
        <x:f>IF(AND(OR(AND(C311="จำหน่ายอาหาร",ISNUMBER(K311),L311="N/A"),AND(C311="ไม่จำหน่ายอาหาร",K311="N/A",ISNUMBER(L311)),AND(C311="มัสยิด",K311="N/A",L311="N/A",X311="N/A")),COUNT(K311:Z311)+COUNTIFS(K311:Z311,"N/A")=16),SUM(K311:Z311),"")</x:f>
      </x:c>
      <x:c r="AC311" s="62" t="str">
        <x:f>IF(OR(AB311="",AA311&lt;=0),"",ROUND(AB311/AA311*100,1))</x:f>
      </x:c>
      <x:c r="AD311" s="8" t="str">
        <x:f>IF(COUNTIFS(D311:H311,"ไม่ผ่าน")&gt;0,"ไม่ผ่าน",IF(COUNTIFS(D311:H311,"ไม่ทราบ")+COUNTBLANK(D311:H311)&gt;0,"รอยืนยัน","ผ่าน"))</x:f>
        <x:v>รอยืนยัน</x:v>
      </x:c>
      <x:c r="AE311" s="8" t="str">
        <x:f>IF(AF311="ใช่","ไม่ผ่านการคัดเลือก",IF(AND(AD311="ผ่าน",ISNUMBER(AC311),AC311&gt;=70),"พร้อมขาย",IF(OR(J311="ใช่",AND(ISNUMBER(AC311),AC311&gt;=50)),"พัฒนาเพื่อพร้อมขาย",IF(AND(ISNUMBER(AC311),AC311&lt;50,I311&gt;=1),"มีศักยภาพ แต่ต้องพัฒนามาตรฐาน","รอประเมิน"))))</x:f>
        <x:v>รอประเมิน</x:v>
      </x:c>
      <x:c r="AF311" s="59" t="str">
        <x:v>ไม่ทราบ</x:v>
      </x:c>
      <x:c r="AG311" s="8" t="str">
        <x:f>IF(AF311="ใช่","หัวหน้าทีมพิจารณาเหตุไม่ผ่าน",IF(OR(AA311&lt;=0,NOT(OR(AND(C311="จำหน่ายอาหาร",ISNUMBER(K311),L311="N/A"),AND(C311="ไม่จำหน่ายอาหาร",K311="N/A",ISNUMBER(L311)),AND(C311="มัสยิด",K311="N/A",L311="N/A",X311="N/A"))),AD311="รอยืนยัน",COUNT(K311:Z311)+COUNTIFS(K311:Z311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1" s="59" t="str"/>
      <x:c r="AI311" s="61"/>
    </x:row>
    <x:row r="312" ht="60" customHeight="1">
      <x:c r="A312" s="2" t="str">
        <x:v>R26-061</x:v>
      </x:c>
      <x:c r="B312" s="8" t="str">
        <x:v>สวนสุภัทราแลนด์</x:v>
      </x:c>
      <x:c r="C312" s="59" t="str">
        <x:v>ไม่ทราบ</x:v>
      </x:c>
      <x:c r="D312" s="59" t="str">
        <x:v>ไม่ทราบ</x:v>
      </x:c>
      <x:c r="E312" s="59" t="str">
        <x:v>ไม่ทราบ</x:v>
      </x:c>
      <x:c r="F312" s="59" t="str">
        <x:v>ไม่ทราบ</x:v>
      </x:c>
      <x:c r="G312" s="59" t="str">
        <x:v>ไม่ทราบ</x:v>
      </x:c>
      <x:c r="H312" s="59" t="str">
        <x:v>N/A</x:v>
      </x:c>
      <x:c r="I312" s="59"/>
      <x:c r="J312" s="59" t="str">
        <x:v>ไม่ทราบ</x:v>
      </x:c>
      <x:c r="K312" s="59"/>
      <x:c r="L312" s="59"/>
      <x:c r="M312" s="59"/>
      <x:c r="N312" s="59"/>
      <x:c r="O312" s="59"/>
      <x:c r="P312" s="59"/>
      <x:c r="Q312" s="59"/>
      <x:c r="R312" s="59"/>
      <x:c r="S312" s="59"/>
      <x:c r="T312" s="59"/>
      <x:c r="U312" s="59"/>
      <x:c r="V312" s="59"/>
      <x:c r="W312" s="59"/>
      <x:c r="X312" s="59"/>
      <x:c r="Y312" s="59"/>
      <x:c r="Z312" s="59"/>
      <x:c r="AA312" s="8" t="str">
        <x:f>IF(C312="ไม่ทราบ","",SUMIFS($K$7:$Z$7,K312:Z312,"&lt;&gt;N/A"))</x:f>
      </x:c>
      <x:c r="AB312" s="8" t="str">
        <x:f>IF(AND(OR(AND(C312="จำหน่ายอาหาร",ISNUMBER(K312),L312="N/A"),AND(C312="ไม่จำหน่ายอาหาร",K312="N/A",ISNUMBER(L312)),AND(C312="มัสยิด",K312="N/A",L312="N/A",X312="N/A")),COUNT(K312:Z312)+COUNTIFS(K312:Z312,"N/A")=16),SUM(K312:Z312),"")</x:f>
      </x:c>
      <x:c r="AC312" s="62" t="str">
        <x:f>IF(OR(AB312="",AA312&lt;=0),"",ROUND(AB312/AA312*100,1))</x:f>
      </x:c>
      <x:c r="AD312" s="8" t="str">
        <x:f>IF(COUNTIFS(D312:H312,"ไม่ผ่าน")&gt;0,"ไม่ผ่าน",IF(COUNTIFS(D312:H312,"ไม่ทราบ")+COUNTBLANK(D312:H312)&gt;0,"รอยืนยัน","ผ่าน"))</x:f>
        <x:v>รอยืนยัน</x:v>
      </x:c>
      <x:c r="AE312" s="8" t="str">
        <x:f>IF(AF312="ใช่","ไม่ผ่านการคัดเลือก",IF(AND(AD312="ผ่าน",ISNUMBER(AC312),AC312&gt;=70),"พร้อมขาย",IF(OR(J312="ใช่",AND(ISNUMBER(AC312),AC312&gt;=50)),"พัฒนาเพื่อพร้อมขาย",IF(AND(ISNUMBER(AC312),AC312&lt;50,I312&gt;=1),"มีศักยภาพ แต่ต้องพัฒนามาตรฐาน","รอประเมิน"))))</x:f>
        <x:v>รอประเมิน</x:v>
      </x:c>
      <x:c r="AF312" s="59" t="str">
        <x:v>ไม่ทราบ</x:v>
      </x:c>
      <x:c r="AG312" s="8" t="str">
        <x:f>IF(AF312="ใช่","หัวหน้าทีมพิจารณาเหตุไม่ผ่าน",IF(OR(AA312&lt;=0,NOT(OR(AND(C312="จำหน่ายอาหาร",ISNUMBER(K312),L312="N/A"),AND(C312="ไม่จำหน่ายอาหาร",K312="N/A",ISNUMBER(L312)),AND(C312="มัสยิด",K312="N/A",L312="N/A",X312="N/A"))),AD312="รอยืนยัน",COUNT(K312:Z312)+COUNTIFS(K312:Z312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2" s="59" t="str"/>
      <x:c r="AI312" s="61"/>
    </x:row>
    <x:row r="313" ht="60" customHeight="1">
      <x:c r="A313" s="2" t="str">
        <x:v>TMF-207</x:v>
      </x:c>
      <x:c r="B313" s="8" t="str">
        <x:v>Zento Cafe &amp; Pool villa</x:v>
      </x:c>
      <x:c r="C313" s="59" t="str">
        <x:v>จำหน่ายอาหาร</x:v>
      </x:c>
      <x:c r="D313" s="59" t="str">
        <x:v>ไม่ทราบ</x:v>
      </x:c>
      <x:c r="E313" s="59" t="str">
        <x:v>ไม่ทราบ</x:v>
      </x:c>
      <x:c r="F313" s="59" t="str">
        <x:v>ไม่ทราบ</x:v>
      </x:c>
      <x:c r="G313" s="59" t="str">
        <x:v>ไม่ทราบ</x:v>
      </x:c>
      <x:c r="H313" s="59" t="str">
        <x:v>N/A</x:v>
      </x:c>
      <x:c r="I313" s="59"/>
      <x:c r="J313" s="59" t="str">
        <x:v>ไม่ทราบ</x:v>
      </x:c>
      <x:c r="K313" s="59"/>
      <x:c r="L313" s="59" t="str">
        <x:v>N/A</x:v>
      </x:c>
      <x:c r="M313" s="59"/>
      <x:c r="N313" s="59"/>
      <x:c r="O313" s="59"/>
      <x:c r="P313" s="59"/>
      <x:c r="Q313" s="59"/>
      <x:c r="R313" s="59"/>
      <x:c r="S313" s="59"/>
      <x:c r="T313" s="59"/>
      <x:c r="U313" s="59"/>
      <x:c r="V313" s="59"/>
      <x:c r="W313" s="59"/>
      <x:c r="X313" s="59"/>
      <x:c r="Y313" s="59"/>
      <x:c r="Z313" s="59"/>
      <x:c r="AA313" s="8" t="n">
        <x:f>IF(C313="ไม่ทราบ","",SUMIFS($K$7:$Z$7,K313:Z313,"&lt;&gt;N/A"))</x:f>
        <x:v>100</x:v>
      </x:c>
      <x:c r="AB313" s="8" t="str">
        <x:f>IF(AND(OR(AND(C313="จำหน่ายอาหาร",ISNUMBER(K313),L313="N/A"),AND(C313="ไม่จำหน่ายอาหาร",K313="N/A",ISNUMBER(L313)),AND(C313="มัสยิด",K313="N/A",L313="N/A",X313="N/A")),COUNT(K313:Z313)+COUNTIFS(K313:Z313,"N/A")=16),SUM(K313:Z313),"")</x:f>
      </x:c>
      <x:c r="AC313" s="62" t="str">
        <x:f>IF(OR(AB313="",AA313&lt;=0),"",ROUND(AB313/AA313*100,1))</x:f>
      </x:c>
      <x:c r="AD313" s="8" t="str">
        <x:f>IF(COUNTIFS(D313:H313,"ไม่ผ่าน")&gt;0,"ไม่ผ่าน",IF(COUNTIFS(D313:H313,"ไม่ทราบ")+COUNTBLANK(D313:H313)&gt;0,"รอยืนยัน","ผ่าน"))</x:f>
        <x:v>รอยืนยัน</x:v>
      </x:c>
      <x:c r="AE313" s="8" t="str">
        <x:f>IF(AF313="ใช่","ไม่ผ่านการคัดเลือก",IF(AND(AD313="ผ่าน",ISNUMBER(AC313),AC313&gt;=70),"พร้อมขาย",IF(OR(J313="ใช่",AND(ISNUMBER(AC313),AC313&gt;=50)),"พัฒนาเพื่อพร้อมขาย",IF(AND(ISNUMBER(AC313),AC313&lt;50,I313&gt;=1),"มีศักยภาพ แต่ต้องพัฒนามาตรฐาน","รอประเมิน"))))</x:f>
        <x:v>รอประเมิน</x:v>
      </x:c>
      <x:c r="AF313" s="59" t="str">
        <x:v>ไม่ทราบ</x:v>
      </x:c>
      <x:c r="AG313" s="8" t="str">
        <x:f>IF(AF313="ใช่","หัวหน้าทีมพิจารณาเหตุไม่ผ่าน",IF(OR(AA313&lt;=0,NOT(OR(AND(C313="จำหน่ายอาหาร",ISNUMBER(K313),L313="N/A"),AND(C313="ไม่จำหน่ายอาหาร",K313="N/A",ISNUMBER(L313)),AND(C313="มัสยิด",K313="N/A",L313="N/A",X313="N/A"))),AD313="รอยืนยัน",COUNT(K313:Z313)+COUNTIFS(K313:Z313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3" s="59" t="str"/>
      <x:c r="AI313" s="61"/>
    </x:row>
    <x:row r="314" ht="60" customHeight="1">
      <x:c r="A314" s="2" t="str">
        <x:v>TMF-390</x:v>
      </x:c>
      <x:c r="B314" s="8" t="str">
        <x:v>ก๋วยเตี๋ยวเนื้อ โต๊ะจููละห์</x:v>
      </x:c>
      <x:c r="C314" s="59" t="str">
        <x:v>จำหน่ายอาหาร</x:v>
      </x:c>
      <x:c r="D314" s="59" t="str">
        <x:v>ไม่ทราบ</x:v>
      </x:c>
      <x:c r="E314" s="59" t="str">
        <x:v>ไม่ทราบ</x:v>
      </x:c>
      <x:c r="F314" s="59" t="str">
        <x:v>ไม่ทราบ</x:v>
      </x:c>
      <x:c r="G314" s="59" t="str">
        <x:v>ไม่ทราบ</x:v>
      </x:c>
      <x:c r="H314" s="59" t="str">
        <x:v>N/A</x:v>
      </x:c>
      <x:c r="I314" s="59"/>
      <x:c r="J314" s="59" t="str">
        <x:v>ไม่ทราบ</x:v>
      </x:c>
      <x:c r="K314" s="59"/>
      <x:c r="L314" s="59" t="str">
        <x:v>N/A</x:v>
      </x:c>
      <x:c r="M314" s="59"/>
      <x:c r="N314" s="59"/>
      <x:c r="O314" s="59"/>
      <x:c r="P314" s="59"/>
      <x:c r="Q314" s="59"/>
      <x:c r="R314" s="59"/>
      <x:c r="S314" s="59"/>
      <x:c r="T314" s="59"/>
      <x:c r="U314" s="59"/>
      <x:c r="V314" s="59"/>
      <x:c r="W314" s="59"/>
      <x:c r="X314" s="59"/>
      <x:c r="Y314" s="59"/>
      <x:c r="Z314" s="59"/>
      <x:c r="AA314" s="8" t="n">
        <x:f>IF(C314="ไม่ทราบ","",SUMIFS($K$7:$Z$7,K314:Z314,"&lt;&gt;N/A"))</x:f>
        <x:v>100</x:v>
      </x:c>
      <x:c r="AB314" s="8" t="str">
        <x:f>IF(AND(OR(AND(C314="จำหน่ายอาหาร",ISNUMBER(K314),L314="N/A"),AND(C314="ไม่จำหน่ายอาหาร",K314="N/A",ISNUMBER(L314)),AND(C314="มัสยิด",K314="N/A",L314="N/A",X314="N/A")),COUNT(K314:Z314)+COUNTIFS(K314:Z314,"N/A")=16),SUM(K314:Z314),"")</x:f>
      </x:c>
      <x:c r="AC314" s="62" t="str">
        <x:f>IF(OR(AB314="",AA314&lt;=0),"",ROUND(AB314/AA314*100,1))</x:f>
      </x:c>
      <x:c r="AD314" s="8" t="str">
        <x:f>IF(COUNTIFS(D314:H314,"ไม่ผ่าน")&gt;0,"ไม่ผ่าน",IF(COUNTIFS(D314:H314,"ไม่ทราบ")+COUNTBLANK(D314:H314)&gt;0,"รอยืนยัน","ผ่าน"))</x:f>
        <x:v>รอยืนยัน</x:v>
      </x:c>
      <x:c r="AE314" s="8" t="str">
        <x:f>IF(AF314="ใช่","ไม่ผ่านการคัดเลือก",IF(AND(AD314="ผ่าน",ISNUMBER(AC314),AC314&gt;=70),"พร้อมขาย",IF(OR(J314="ใช่",AND(ISNUMBER(AC314),AC314&gt;=50)),"พัฒนาเพื่อพร้อมขาย",IF(AND(ISNUMBER(AC314),AC314&lt;50,I314&gt;=1),"มีศักยภาพ แต่ต้องพัฒนามาตรฐาน","รอประเมิน"))))</x:f>
        <x:v>รอประเมิน</x:v>
      </x:c>
      <x:c r="AF314" s="59" t="str">
        <x:v>ไม่ทราบ</x:v>
      </x:c>
      <x:c r="AG314" s="8" t="str">
        <x:f>IF(AF314="ใช่","หัวหน้าทีมพิจารณาเหตุไม่ผ่าน",IF(OR(AA314&lt;=0,NOT(OR(AND(C314="จำหน่ายอาหาร",ISNUMBER(K314),L314="N/A"),AND(C314="ไม่จำหน่ายอาหาร",K314="N/A",ISNUMBER(L314)),AND(C314="มัสยิด",K314="N/A",L314="N/A",X314="N/A"))),AD314="รอยืนยัน",COUNT(K314:Z314)+COUNTIFS(K314:Z314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4" s="59" t="str"/>
      <x:c r="AI314" s="61"/>
    </x:row>
    <x:row r="315" ht="60" customHeight="1">
      <x:c r="A315" s="2" t="str">
        <x:v>TMF-208</x:v>
      </x:c>
      <x:c r="B315" s="8" t="str">
        <x:v>จูนาฮาลาล</x:v>
      </x:c>
      <x:c r="C315" s="59" t="str">
        <x:v>จำหน่ายอาหาร</x:v>
      </x:c>
      <x:c r="D315" s="59" t="str">
        <x:v>ไม่ทราบ</x:v>
      </x:c>
      <x:c r="E315" s="59" t="str">
        <x:v>ไม่ทราบ</x:v>
      </x:c>
      <x:c r="F315" s="59" t="str">
        <x:v>ไม่ทราบ</x:v>
      </x:c>
      <x:c r="G315" s="59" t="str">
        <x:v>ไม่ทราบ</x:v>
      </x:c>
      <x:c r="H315" s="59" t="str">
        <x:v>N/A</x:v>
      </x:c>
      <x:c r="I315" s="59"/>
      <x:c r="J315" s="59" t="str">
        <x:v>ไม่ทราบ</x:v>
      </x:c>
      <x:c r="K315" s="59"/>
      <x:c r="L315" s="59" t="str">
        <x:v>N/A</x:v>
      </x:c>
      <x:c r="M315" s="59"/>
      <x:c r="N315" s="59"/>
      <x:c r="O315" s="59"/>
      <x:c r="P315" s="59"/>
      <x:c r="Q315" s="59"/>
      <x:c r="R315" s="59"/>
      <x:c r="S315" s="59"/>
      <x:c r="T315" s="59"/>
      <x:c r="U315" s="59"/>
      <x:c r="V315" s="59"/>
      <x:c r="W315" s="59"/>
      <x:c r="X315" s="59"/>
      <x:c r="Y315" s="59"/>
      <x:c r="Z315" s="59"/>
      <x:c r="AA315" s="8" t="n">
        <x:f>IF(C315="ไม่ทราบ","",SUMIFS($K$7:$Z$7,K315:Z315,"&lt;&gt;N/A"))</x:f>
        <x:v>100</x:v>
      </x:c>
      <x:c r="AB315" s="8" t="str">
        <x:f>IF(AND(OR(AND(C315="จำหน่ายอาหาร",ISNUMBER(K315),L315="N/A"),AND(C315="ไม่จำหน่ายอาหาร",K315="N/A",ISNUMBER(L315)),AND(C315="มัสยิด",K315="N/A",L315="N/A",X315="N/A")),COUNT(K315:Z315)+COUNTIFS(K315:Z315,"N/A")=16),SUM(K315:Z315),"")</x:f>
      </x:c>
      <x:c r="AC315" s="62" t="str">
        <x:f>IF(OR(AB315="",AA315&lt;=0),"",ROUND(AB315/AA315*100,1))</x:f>
      </x:c>
      <x:c r="AD315" s="8" t="str">
        <x:f>IF(COUNTIFS(D315:H315,"ไม่ผ่าน")&gt;0,"ไม่ผ่าน",IF(COUNTIFS(D315:H315,"ไม่ทราบ")+COUNTBLANK(D315:H315)&gt;0,"รอยืนยัน","ผ่าน"))</x:f>
        <x:v>รอยืนยัน</x:v>
      </x:c>
      <x:c r="AE315" s="8" t="str">
        <x:f>IF(AF315="ใช่","ไม่ผ่านการคัดเลือก",IF(AND(AD315="ผ่าน",ISNUMBER(AC315),AC315&gt;=70),"พร้อมขาย",IF(OR(J315="ใช่",AND(ISNUMBER(AC315),AC315&gt;=50)),"พัฒนาเพื่อพร้อมขาย",IF(AND(ISNUMBER(AC315),AC315&lt;50,I315&gt;=1),"มีศักยภาพ แต่ต้องพัฒนามาตรฐาน","รอประเมิน"))))</x:f>
        <x:v>รอประเมิน</x:v>
      </x:c>
      <x:c r="AF315" s="59" t="str">
        <x:v>ไม่ทราบ</x:v>
      </x:c>
      <x:c r="AG315" s="8" t="str">
        <x:f>IF(AF315="ใช่","หัวหน้าทีมพิจารณาเหตุไม่ผ่าน",IF(OR(AA315&lt;=0,NOT(OR(AND(C315="จำหน่ายอาหาร",ISNUMBER(K315),L315="N/A"),AND(C315="ไม่จำหน่ายอาหาร",K315="N/A",ISNUMBER(L315)),AND(C315="มัสยิด",K315="N/A",L315="N/A",X315="N/A"))),AD315="รอยืนยัน",COUNT(K315:Z315)+COUNTIFS(K315:Z315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5" s="59" t="str"/>
      <x:c r="AI315" s="61"/>
    </x:row>
    <x:row r="316" ht="60" customHeight="1">
      <x:c r="A316" s="2" t="str">
        <x:v>TMF-209</x:v>
      </x:c>
      <x:c r="B316" s="8" t="str">
        <x:v>ตัสกีนข้าวมันไก่มุสลิม สูตรไหหลำ</x:v>
      </x:c>
      <x:c r="C316" s="59" t="str">
        <x:v>จำหน่ายอาหาร</x:v>
      </x:c>
      <x:c r="D316" s="59" t="str">
        <x:v>ไม่ทราบ</x:v>
      </x:c>
      <x:c r="E316" s="59" t="str">
        <x:v>ไม่ทราบ</x:v>
      </x:c>
      <x:c r="F316" s="59" t="str">
        <x:v>ไม่ทราบ</x:v>
      </x:c>
      <x:c r="G316" s="59" t="str">
        <x:v>ไม่ทราบ</x:v>
      </x:c>
      <x:c r="H316" s="59" t="str">
        <x:v>N/A</x:v>
      </x:c>
      <x:c r="I316" s="59"/>
      <x:c r="J316" s="59" t="str">
        <x:v>ไม่ทราบ</x:v>
      </x:c>
      <x:c r="K316" s="59"/>
      <x:c r="L316" s="59" t="str">
        <x:v>N/A</x:v>
      </x:c>
      <x:c r="M316" s="59"/>
      <x:c r="N316" s="59"/>
      <x:c r="O316" s="59"/>
      <x:c r="P316" s="59"/>
      <x:c r="Q316" s="59"/>
      <x:c r="R316" s="59"/>
      <x:c r="S316" s="59"/>
      <x:c r="T316" s="59"/>
      <x:c r="U316" s="59"/>
      <x:c r="V316" s="59"/>
      <x:c r="W316" s="59"/>
      <x:c r="X316" s="59"/>
      <x:c r="Y316" s="59"/>
      <x:c r="Z316" s="59"/>
      <x:c r="AA316" s="8" t="n">
        <x:f>IF(C316="ไม่ทราบ","",SUMIFS($K$7:$Z$7,K316:Z316,"&lt;&gt;N/A"))</x:f>
        <x:v>100</x:v>
      </x:c>
      <x:c r="AB316" s="8" t="str">
        <x:f>IF(AND(OR(AND(C316="จำหน่ายอาหาร",ISNUMBER(K316),L316="N/A"),AND(C316="ไม่จำหน่ายอาหาร",K316="N/A",ISNUMBER(L316)),AND(C316="มัสยิด",K316="N/A",L316="N/A",X316="N/A")),COUNT(K316:Z316)+COUNTIFS(K316:Z316,"N/A")=16),SUM(K316:Z316),"")</x:f>
      </x:c>
      <x:c r="AC316" s="62" t="str">
        <x:f>IF(OR(AB316="",AA316&lt;=0),"",ROUND(AB316/AA316*100,1))</x:f>
      </x:c>
      <x:c r="AD316" s="8" t="str">
        <x:f>IF(COUNTIFS(D316:H316,"ไม่ผ่าน")&gt;0,"ไม่ผ่าน",IF(COUNTIFS(D316:H316,"ไม่ทราบ")+COUNTBLANK(D316:H316)&gt;0,"รอยืนยัน","ผ่าน"))</x:f>
        <x:v>รอยืนยัน</x:v>
      </x:c>
      <x:c r="AE316" s="8" t="str">
        <x:f>IF(AF316="ใช่","ไม่ผ่านการคัดเลือก",IF(AND(AD316="ผ่าน",ISNUMBER(AC316),AC316&gt;=70),"พร้อมขาย",IF(OR(J316="ใช่",AND(ISNUMBER(AC316),AC316&gt;=50)),"พัฒนาเพื่อพร้อมขาย",IF(AND(ISNUMBER(AC316),AC316&lt;50,I316&gt;=1),"มีศักยภาพ แต่ต้องพัฒนามาตรฐาน","รอประเมิน"))))</x:f>
        <x:v>รอประเมิน</x:v>
      </x:c>
      <x:c r="AF316" s="59" t="str">
        <x:v>ไม่ทราบ</x:v>
      </x:c>
      <x:c r="AG316" s="8" t="str">
        <x:f>IF(AF316="ใช่","หัวหน้าทีมพิจารณาเหตุไม่ผ่าน",IF(OR(AA316&lt;=0,NOT(OR(AND(C316="จำหน่ายอาหาร",ISNUMBER(K316),L316="N/A"),AND(C316="ไม่จำหน่ายอาหาร",K316="N/A",ISNUMBER(L316)),AND(C316="มัสยิด",K316="N/A",L316="N/A",X316="N/A"))),AD316="รอยืนยัน",COUNT(K316:Z316)+COUNTIFS(K316:Z316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6" s="59" t="str"/>
      <x:c r="AI316" s="61"/>
    </x:row>
    <x:row r="317" ht="60" customHeight="1">
      <x:c r="A317" s="2" t="str">
        <x:v>R26-284</x:v>
      </x:c>
      <x:c r="B317" s="8" t="str">
        <x:v>Quan Spa Rayong Marriott</x:v>
      </x:c>
      <x:c r="C317" s="59" t="str">
        <x:v>ไม่ทราบ</x:v>
      </x:c>
      <x:c r="D317" s="59" t="str">
        <x:v>ไม่ทราบ</x:v>
      </x:c>
      <x:c r="E317" s="59" t="str">
        <x:v>ไม่ทราบ</x:v>
      </x:c>
      <x:c r="F317" s="59" t="str">
        <x:v>ไม่ทราบ</x:v>
      </x:c>
      <x:c r="G317" s="59" t="str">
        <x:v>ไม่ทราบ</x:v>
      </x:c>
      <x:c r="H317" s="59" t="str">
        <x:v>N/A</x:v>
      </x:c>
      <x:c r="I317" s="59"/>
      <x:c r="J317" s="59" t="str">
        <x:v>ไม่ทราบ</x:v>
      </x:c>
      <x:c r="K317" s="59"/>
      <x:c r="L317" s="59"/>
      <x:c r="M317" s="59"/>
      <x:c r="N317" s="59"/>
      <x:c r="O317" s="59"/>
      <x:c r="P317" s="59"/>
      <x:c r="Q317" s="59"/>
      <x:c r="R317" s="59"/>
      <x:c r="S317" s="59"/>
      <x:c r="T317" s="59"/>
      <x:c r="U317" s="59"/>
      <x:c r="V317" s="59"/>
      <x:c r="W317" s="59"/>
      <x:c r="X317" s="59"/>
      <x:c r="Y317" s="59"/>
      <x:c r="Z317" s="59"/>
      <x:c r="AA317" s="8" t="str">
        <x:f>IF(C317="ไม่ทราบ","",SUMIFS($K$7:$Z$7,K317:Z317,"&lt;&gt;N/A"))</x:f>
      </x:c>
      <x:c r="AB317" s="8" t="str">
        <x:f>IF(AND(OR(AND(C317="จำหน่ายอาหาร",ISNUMBER(K317),L317="N/A"),AND(C317="ไม่จำหน่ายอาหาร",K317="N/A",ISNUMBER(L317)),AND(C317="มัสยิด",K317="N/A",L317="N/A",X317="N/A")),COUNT(K317:Z317)+COUNTIFS(K317:Z317,"N/A")=16),SUM(K317:Z317),"")</x:f>
      </x:c>
      <x:c r="AC317" s="62" t="str">
        <x:f>IF(OR(AB317="",AA317&lt;=0),"",ROUND(AB317/AA317*100,1))</x:f>
      </x:c>
      <x:c r="AD317" s="8" t="str">
        <x:f>IF(COUNTIFS(D317:H317,"ไม่ผ่าน")&gt;0,"ไม่ผ่าน",IF(COUNTIFS(D317:H317,"ไม่ทราบ")+COUNTBLANK(D317:H317)&gt;0,"รอยืนยัน","ผ่าน"))</x:f>
        <x:v>รอยืนยัน</x:v>
      </x:c>
      <x:c r="AE317" s="8" t="str">
        <x:f>IF(AF317="ใช่","ไม่ผ่านการคัดเลือก",IF(AND(AD317="ผ่าน",ISNUMBER(AC317),AC317&gt;=70),"พร้อมขาย",IF(OR(J317="ใช่",AND(ISNUMBER(AC317),AC317&gt;=50)),"พัฒนาเพื่อพร้อมขาย",IF(AND(ISNUMBER(AC317),AC317&lt;50,I317&gt;=1),"มีศักยภาพ แต่ต้องพัฒนามาตรฐาน","รอประเมิน"))))</x:f>
        <x:v>รอประเมิน</x:v>
      </x:c>
      <x:c r="AF317" s="59" t="str">
        <x:v>ไม่ทราบ</x:v>
      </x:c>
      <x:c r="AG317" s="8" t="str">
        <x:f>IF(AF317="ใช่","หัวหน้าทีมพิจารณาเหตุไม่ผ่าน",IF(OR(AA317&lt;=0,NOT(OR(AND(C317="จำหน่ายอาหาร",ISNUMBER(K317),L317="N/A"),AND(C317="ไม่จำหน่ายอาหาร",K317="N/A",ISNUMBER(L317)),AND(C317="มัสยิด",K317="N/A",L317="N/A",X317="N/A"))),AD317="รอยืนยัน",COUNT(K317:Z317)+COUNTIFS(K317:Z317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7" s="59" t="str"/>
      <x:c r="AI317" s="61"/>
    </x:row>
    <x:row r="318" ht="60" customHeight="1">
      <x:c r="A318" s="2" t="str">
        <x:v>R26-266</x:v>
      </x:c>
      <x:c r="B318" s="8" t="str">
        <x:v>Central Rayong</x:v>
      </x:c>
      <x:c r="C318" s="59" t="str">
        <x:v>ไม่ทราบ</x:v>
      </x:c>
      <x:c r="D318" s="59" t="str">
        <x:v>ไม่ทราบ</x:v>
      </x:c>
      <x:c r="E318" s="59" t="str">
        <x:v>ไม่ทราบ</x:v>
      </x:c>
      <x:c r="F318" s="59" t="str">
        <x:v>ไม่ทราบ</x:v>
      </x:c>
      <x:c r="G318" s="59" t="str">
        <x:v>ไม่ทราบ</x:v>
      </x:c>
      <x:c r="H318" s="59" t="str">
        <x:v>N/A</x:v>
      </x:c>
      <x:c r="I318" s="59"/>
      <x:c r="J318" s="59" t="str">
        <x:v>ไม่ทราบ</x:v>
      </x:c>
      <x:c r="K318" s="59"/>
      <x:c r="L318" s="59"/>
      <x:c r="M318" s="59"/>
      <x:c r="N318" s="59"/>
      <x:c r="O318" s="59"/>
      <x:c r="P318" s="59"/>
      <x:c r="Q318" s="59"/>
      <x:c r="R318" s="59"/>
      <x:c r="S318" s="59"/>
      <x:c r="T318" s="59"/>
      <x:c r="U318" s="59"/>
      <x:c r="V318" s="59"/>
      <x:c r="W318" s="59"/>
      <x:c r="X318" s="59"/>
      <x:c r="Y318" s="59"/>
      <x:c r="Z318" s="59"/>
      <x:c r="AA318" s="8" t="str">
        <x:f>IF(C318="ไม่ทราบ","",SUMIFS($K$7:$Z$7,K318:Z318,"&lt;&gt;N/A"))</x:f>
      </x:c>
      <x:c r="AB318" s="8" t="str">
        <x:f>IF(AND(OR(AND(C318="จำหน่ายอาหาร",ISNUMBER(K318),L318="N/A"),AND(C318="ไม่จำหน่ายอาหาร",K318="N/A",ISNUMBER(L318)),AND(C318="มัสยิด",K318="N/A",L318="N/A",X318="N/A")),COUNT(K318:Z318)+COUNTIFS(K318:Z318,"N/A")=16),SUM(K318:Z318),"")</x:f>
      </x:c>
      <x:c r="AC318" s="62" t="str">
        <x:f>IF(OR(AB318="",AA318&lt;=0),"",ROUND(AB318/AA318*100,1))</x:f>
      </x:c>
      <x:c r="AD318" s="8" t="str">
        <x:f>IF(COUNTIFS(D318:H318,"ไม่ผ่าน")&gt;0,"ไม่ผ่าน",IF(COUNTIFS(D318:H318,"ไม่ทราบ")+COUNTBLANK(D318:H318)&gt;0,"รอยืนยัน","ผ่าน"))</x:f>
        <x:v>รอยืนยัน</x:v>
      </x:c>
      <x:c r="AE318" s="8" t="str">
        <x:f>IF(AF318="ใช่","ไม่ผ่านการคัดเลือก",IF(AND(AD318="ผ่าน",ISNUMBER(AC318),AC318&gt;=70),"พร้อมขาย",IF(OR(J318="ใช่",AND(ISNUMBER(AC318),AC318&gt;=50)),"พัฒนาเพื่อพร้อมขาย",IF(AND(ISNUMBER(AC318),AC318&lt;50,I318&gt;=1),"มีศักยภาพ แต่ต้องพัฒนามาตรฐาน","รอประเมิน"))))</x:f>
        <x:v>รอประเมิน</x:v>
      </x:c>
      <x:c r="AF318" s="59" t="str">
        <x:v>ไม่ทราบ</x:v>
      </x:c>
      <x:c r="AG318" s="8" t="str">
        <x:f>IF(AF318="ใช่","หัวหน้าทีมพิจารณาเหตุไม่ผ่าน",IF(OR(AA318&lt;=0,NOT(OR(AND(C318="จำหน่ายอาหาร",ISNUMBER(K318),L318="N/A"),AND(C318="ไม่จำหน่ายอาหาร",K318="N/A",ISNUMBER(L318)),AND(C318="มัสยิด",K318="N/A",L318="N/A",X318="N/A"))),AD318="รอยืนยัน",COUNT(K318:Z318)+COUNTIFS(K318:Z318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8" s="59" t="str"/>
      <x:c r="AI318" s="61"/>
    </x:row>
    <x:row r="319" ht="60" customHeight="1">
      <x:c r="A319" s="2" t="str">
        <x:v>R26-154</x:v>
      </x:c>
      <x:c r="B319" s="8" t="str">
        <x:v>ทุ่งโปรงทอง</x:v>
      </x:c>
      <x:c r="C319" s="59" t="str">
        <x:v>ไม่ทราบ</x:v>
      </x:c>
      <x:c r="D319" s="59" t="str">
        <x:v>ไม่ทราบ</x:v>
      </x:c>
      <x:c r="E319" s="59" t="str">
        <x:v>ไม่ทราบ</x:v>
      </x:c>
      <x:c r="F319" s="59" t="str">
        <x:v>ไม่ทราบ</x:v>
      </x:c>
      <x:c r="G319" s="59" t="str">
        <x:v>ไม่ทราบ</x:v>
      </x:c>
      <x:c r="H319" s="59" t="str">
        <x:v>N/A</x:v>
      </x:c>
      <x:c r="I319" s="59"/>
      <x:c r="J319" s="59" t="str">
        <x:v>ไม่ทราบ</x:v>
      </x:c>
      <x:c r="K319" s="59"/>
      <x:c r="L319" s="59"/>
      <x:c r="M319" s="59"/>
      <x:c r="N319" s="59"/>
      <x:c r="O319" s="59"/>
      <x:c r="P319" s="59"/>
      <x:c r="Q319" s="59"/>
      <x:c r="R319" s="59"/>
      <x:c r="S319" s="59"/>
      <x:c r="T319" s="59"/>
      <x:c r="U319" s="59"/>
      <x:c r="V319" s="59"/>
      <x:c r="W319" s="59"/>
      <x:c r="X319" s="59"/>
      <x:c r="Y319" s="59"/>
      <x:c r="Z319" s="59"/>
      <x:c r="AA319" s="8" t="str">
        <x:f>IF(C319="ไม่ทราบ","",SUMIFS($K$7:$Z$7,K319:Z319,"&lt;&gt;N/A"))</x:f>
      </x:c>
      <x:c r="AB319" s="8" t="str">
        <x:f>IF(AND(OR(AND(C319="จำหน่ายอาหาร",ISNUMBER(K319),L319="N/A"),AND(C319="ไม่จำหน่ายอาหาร",K319="N/A",ISNUMBER(L319)),AND(C319="มัสยิด",K319="N/A",L319="N/A",X319="N/A")),COUNT(K319:Z319)+COUNTIFS(K319:Z319,"N/A")=16),SUM(K319:Z319),"")</x:f>
      </x:c>
      <x:c r="AC319" s="62" t="str">
        <x:f>IF(OR(AB319="",AA319&lt;=0),"",ROUND(AB319/AA319*100,1))</x:f>
      </x:c>
      <x:c r="AD319" s="8" t="str">
        <x:f>IF(COUNTIFS(D319:H319,"ไม่ผ่าน")&gt;0,"ไม่ผ่าน",IF(COUNTIFS(D319:H319,"ไม่ทราบ")+COUNTBLANK(D319:H319)&gt;0,"รอยืนยัน","ผ่าน"))</x:f>
        <x:v>รอยืนยัน</x:v>
      </x:c>
      <x:c r="AE319" s="8" t="str">
        <x:f>IF(AF319="ใช่","ไม่ผ่านการคัดเลือก",IF(AND(AD319="ผ่าน",ISNUMBER(AC319),AC319&gt;=70),"พร้อมขาย",IF(OR(J319="ใช่",AND(ISNUMBER(AC319),AC319&gt;=50)),"พัฒนาเพื่อพร้อมขาย",IF(AND(ISNUMBER(AC319),AC319&lt;50,I319&gt;=1),"มีศักยภาพ แต่ต้องพัฒนามาตรฐาน","รอประเมิน"))))</x:f>
        <x:v>รอประเมิน</x:v>
      </x:c>
      <x:c r="AF319" s="59" t="str">
        <x:v>ไม่ทราบ</x:v>
      </x:c>
      <x:c r="AG319" s="8" t="str">
        <x:f>IF(AF319="ใช่","หัวหน้าทีมพิจารณาเหตุไม่ผ่าน",IF(OR(AA319&lt;=0,NOT(OR(AND(C319="จำหน่ายอาหาร",ISNUMBER(K319),L319="N/A"),AND(C319="ไม่จำหน่ายอาหาร",K319="N/A",ISNUMBER(L319)),AND(C319="มัสยิด",K319="N/A",L319="N/A",X319="N/A"))),AD319="รอยืนยัน",COUNT(K319:Z319)+COUNTIFS(K319:Z319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19" s="59" t="str"/>
      <x:c r="AI319" s="61"/>
    </x:row>
    <x:row r="320" ht="60" customHeight="1">
      <x:c r="A320" s="2" t="str">
        <x:v>R26-152</x:v>
      </x:c>
      <x:c r="B320" s="8" t="str">
        <x:v>สวนพฤกษศาสตร์ระยอง</x:v>
      </x:c>
      <x:c r="C320" s="59" t="str">
        <x:v>ไม่ทราบ</x:v>
      </x:c>
      <x:c r="D320" s="59" t="str">
        <x:v>ไม่ทราบ</x:v>
      </x:c>
      <x:c r="E320" s="59" t="str">
        <x:v>ไม่ทราบ</x:v>
      </x:c>
      <x:c r="F320" s="59" t="str">
        <x:v>ไม่ทราบ</x:v>
      </x:c>
      <x:c r="G320" s="59" t="str">
        <x:v>ไม่ทราบ</x:v>
      </x:c>
      <x:c r="H320" s="59" t="str">
        <x:v>N/A</x:v>
      </x:c>
      <x:c r="I320" s="59"/>
      <x:c r="J320" s="59" t="str">
        <x:v>ไม่ทราบ</x:v>
      </x:c>
      <x:c r="K320" s="59"/>
      <x:c r="L320" s="59"/>
      <x:c r="M320" s="59"/>
      <x:c r="N320" s="59"/>
      <x:c r="O320" s="59"/>
      <x:c r="P320" s="59"/>
      <x:c r="Q320" s="59"/>
      <x:c r="R320" s="59"/>
      <x:c r="S320" s="59"/>
      <x:c r="T320" s="59"/>
      <x:c r="U320" s="59"/>
      <x:c r="V320" s="59"/>
      <x:c r="W320" s="59"/>
      <x:c r="X320" s="59"/>
      <x:c r="Y320" s="59"/>
      <x:c r="Z320" s="59"/>
      <x:c r="AA320" s="8" t="str">
        <x:f>IF(C320="ไม่ทราบ","",SUMIFS($K$7:$Z$7,K320:Z320,"&lt;&gt;N/A"))</x:f>
      </x:c>
      <x:c r="AB320" s="8" t="str">
        <x:f>IF(AND(OR(AND(C320="จำหน่ายอาหาร",ISNUMBER(K320),L320="N/A"),AND(C320="ไม่จำหน่ายอาหาร",K320="N/A",ISNUMBER(L320)),AND(C320="มัสยิด",K320="N/A",L320="N/A",X320="N/A")),COUNT(K320:Z320)+COUNTIFS(K320:Z320,"N/A")=16),SUM(K320:Z320),"")</x:f>
      </x:c>
      <x:c r="AC320" s="62" t="str">
        <x:f>IF(OR(AB320="",AA320&lt;=0),"",ROUND(AB320/AA320*100,1))</x:f>
      </x:c>
      <x:c r="AD320" s="8" t="str">
        <x:f>IF(COUNTIFS(D320:H320,"ไม่ผ่าน")&gt;0,"ไม่ผ่าน",IF(COUNTIFS(D320:H320,"ไม่ทราบ")+COUNTBLANK(D320:H320)&gt;0,"รอยืนยัน","ผ่าน"))</x:f>
        <x:v>รอยืนยัน</x:v>
      </x:c>
      <x:c r="AE320" s="8" t="str">
        <x:f>IF(AF320="ใช่","ไม่ผ่านการคัดเลือก",IF(AND(AD320="ผ่าน",ISNUMBER(AC320),AC320&gt;=70),"พร้อมขาย",IF(OR(J320="ใช่",AND(ISNUMBER(AC320),AC320&gt;=50)),"พัฒนาเพื่อพร้อมขาย",IF(AND(ISNUMBER(AC320),AC320&lt;50,I320&gt;=1),"มีศักยภาพ แต่ต้องพัฒนามาตรฐาน","รอประเมิน"))))</x:f>
        <x:v>รอประเมิน</x:v>
      </x:c>
      <x:c r="AF320" s="59" t="str">
        <x:v>ไม่ทราบ</x:v>
      </x:c>
      <x:c r="AG320" s="8" t="str">
        <x:f>IF(AF320="ใช่","หัวหน้าทีมพิจารณาเหตุไม่ผ่าน",IF(OR(AA320&lt;=0,NOT(OR(AND(C320="จำหน่ายอาหาร",ISNUMBER(K320),L320="N/A"),AND(C320="ไม่จำหน่ายอาหาร",K320="N/A",ISNUMBER(L320)),AND(C320="มัสยิด",K320="N/A",L320="N/A",X320="N/A"))),AD320="รอยืนยัน",COUNT(K320:Z320)+COUNTIFS(K320:Z320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0" s="59" t="str"/>
      <x:c r="AI320" s="61"/>
    </x:row>
    <x:row r="321" ht="60" customHeight="1">
      <x:c r="A321" s="2" t="str">
        <x:v>R26-155</x:v>
      </x:c>
      <x:c r="B321" s="8" t="str">
        <x:v>หาดแม่รำพึง</x:v>
      </x:c>
      <x:c r="C321" s="59" t="str">
        <x:v>ไม่ทราบ</x:v>
      </x:c>
      <x:c r="D321" s="59" t="str">
        <x:v>ไม่ทราบ</x:v>
      </x:c>
      <x:c r="E321" s="59" t="str">
        <x:v>ไม่ทราบ</x:v>
      </x:c>
      <x:c r="F321" s="59" t="str">
        <x:v>ไม่ทราบ</x:v>
      </x:c>
      <x:c r="G321" s="59" t="str">
        <x:v>ไม่ทราบ</x:v>
      </x:c>
      <x:c r="H321" s="59" t="str">
        <x:v>N/A</x:v>
      </x:c>
      <x:c r="I321" s="59"/>
      <x:c r="J321" s="59" t="str">
        <x:v>ไม่ทราบ</x:v>
      </x:c>
      <x:c r="K321" s="59"/>
      <x:c r="L321" s="59"/>
      <x:c r="M321" s="59"/>
      <x:c r="N321" s="59"/>
      <x:c r="O321" s="59"/>
      <x:c r="P321" s="59"/>
      <x:c r="Q321" s="59"/>
      <x:c r="R321" s="59"/>
      <x:c r="S321" s="59"/>
      <x:c r="T321" s="59"/>
      <x:c r="U321" s="59"/>
      <x:c r="V321" s="59"/>
      <x:c r="W321" s="59"/>
      <x:c r="X321" s="59"/>
      <x:c r="Y321" s="59"/>
      <x:c r="Z321" s="59"/>
      <x:c r="AA321" s="8" t="str">
        <x:f>IF(C321="ไม่ทราบ","",SUMIFS($K$7:$Z$7,K321:Z321,"&lt;&gt;N/A"))</x:f>
      </x:c>
      <x:c r="AB321" s="8" t="str">
        <x:f>IF(AND(OR(AND(C321="จำหน่ายอาหาร",ISNUMBER(K321),L321="N/A"),AND(C321="ไม่จำหน่ายอาหาร",K321="N/A",ISNUMBER(L321)),AND(C321="มัสยิด",K321="N/A",L321="N/A",X321="N/A")),COUNT(K321:Z321)+COUNTIFS(K321:Z321,"N/A")=16),SUM(K321:Z321),"")</x:f>
      </x:c>
      <x:c r="AC321" s="62" t="str">
        <x:f>IF(OR(AB321="",AA321&lt;=0),"",ROUND(AB321/AA321*100,1))</x:f>
      </x:c>
      <x:c r="AD321" s="8" t="str">
        <x:f>IF(COUNTIFS(D321:H321,"ไม่ผ่าน")&gt;0,"ไม่ผ่าน",IF(COUNTIFS(D321:H321,"ไม่ทราบ")+COUNTBLANK(D321:H321)&gt;0,"รอยืนยัน","ผ่าน"))</x:f>
        <x:v>รอยืนยัน</x:v>
      </x:c>
      <x:c r="AE321" s="8" t="str">
        <x:f>IF(AF321="ใช่","ไม่ผ่านการคัดเลือก",IF(AND(AD321="ผ่าน",ISNUMBER(AC321),AC321&gt;=70),"พร้อมขาย",IF(OR(J321="ใช่",AND(ISNUMBER(AC321),AC321&gt;=50)),"พัฒนาเพื่อพร้อมขาย",IF(AND(ISNUMBER(AC321),AC321&lt;50,I321&gt;=1),"มีศักยภาพ แต่ต้องพัฒนามาตรฐาน","รอประเมิน"))))</x:f>
        <x:v>รอประเมิน</x:v>
      </x:c>
      <x:c r="AF321" s="59" t="str">
        <x:v>ไม่ทราบ</x:v>
      </x:c>
      <x:c r="AG321" s="8" t="str">
        <x:f>IF(AF321="ใช่","หัวหน้าทีมพิจารณาเหตุไม่ผ่าน",IF(OR(AA321&lt;=0,NOT(OR(AND(C321="จำหน่ายอาหาร",ISNUMBER(K321),L321="N/A"),AND(C321="ไม่จำหน่ายอาหาร",K321="N/A",ISNUMBER(L321)),AND(C321="มัสยิด",K321="N/A",L321="N/A",X321="N/A"))),AD321="รอยืนยัน",COUNT(K321:Z321)+COUNTIFS(K321:Z321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1" s="59" t="str"/>
      <x:c r="AI321" s="61"/>
    </x:row>
    <x:row r="322" ht="60" customHeight="1">
      <x:c r="A322" s="2" t="str">
        <x:v>R26-153</x:v>
      </x:c>
      <x:c r="B322" s="8" t="str">
        <x:v>อุทยานแห่งชาติเขาแหลมหญ้า-หมู่เกาะเสม็ด</x:v>
      </x:c>
      <x:c r="C322" s="59" t="str">
        <x:v>ไม่ทราบ</x:v>
      </x:c>
      <x:c r="D322" s="59" t="str">
        <x:v>ไม่ทราบ</x:v>
      </x:c>
      <x:c r="E322" s="59" t="str">
        <x:v>ไม่ทราบ</x:v>
      </x:c>
      <x:c r="F322" s="59" t="str">
        <x:v>ไม่ทราบ</x:v>
      </x:c>
      <x:c r="G322" s="59" t="str">
        <x:v>ไม่ทราบ</x:v>
      </x:c>
      <x:c r="H322" s="59" t="str">
        <x:v>N/A</x:v>
      </x:c>
      <x:c r="I322" s="59"/>
      <x:c r="J322" s="59" t="str">
        <x:v>ไม่ทราบ</x:v>
      </x:c>
      <x:c r="K322" s="59"/>
      <x:c r="L322" s="59"/>
      <x:c r="M322" s="59"/>
      <x:c r="N322" s="59"/>
      <x:c r="O322" s="59"/>
      <x:c r="P322" s="59"/>
      <x:c r="Q322" s="59"/>
      <x:c r="R322" s="59"/>
      <x:c r="S322" s="59"/>
      <x:c r="T322" s="59"/>
      <x:c r="U322" s="59"/>
      <x:c r="V322" s="59"/>
      <x:c r="W322" s="59"/>
      <x:c r="X322" s="59"/>
      <x:c r="Y322" s="59"/>
      <x:c r="Z322" s="59"/>
      <x:c r="AA322" s="8" t="str">
        <x:f>IF(C322="ไม่ทราบ","",SUMIFS($K$7:$Z$7,K322:Z322,"&lt;&gt;N/A"))</x:f>
      </x:c>
      <x:c r="AB322" s="8" t="str">
        <x:f>IF(AND(OR(AND(C322="จำหน่ายอาหาร",ISNUMBER(K322),L322="N/A"),AND(C322="ไม่จำหน่ายอาหาร",K322="N/A",ISNUMBER(L322)),AND(C322="มัสยิด",K322="N/A",L322="N/A",X322="N/A")),COUNT(K322:Z322)+COUNTIFS(K322:Z322,"N/A")=16),SUM(K322:Z322),"")</x:f>
      </x:c>
      <x:c r="AC322" s="62" t="str">
        <x:f>IF(OR(AB322="",AA322&lt;=0),"",ROUND(AB322/AA322*100,1))</x:f>
      </x:c>
      <x:c r="AD322" s="8" t="str">
        <x:f>IF(COUNTIFS(D322:H322,"ไม่ผ่าน")&gt;0,"ไม่ผ่าน",IF(COUNTIFS(D322:H322,"ไม่ทราบ")+COUNTBLANK(D322:H322)&gt;0,"รอยืนยัน","ผ่าน"))</x:f>
        <x:v>รอยืนยัน</x:v>
      </x:c>
      <x:c r="AE322" s="8" t="str">
        <x:f>IF(AF322="ใช่","ไม่ผ่านการคัดเลือก",IF(AND(AD322="ผ่าน",ISNUMBER(AC322),AC322&gt;=70),"พร้อมขาย",IF(OR(J322="ใช่",AND(ISNUMBER(AC322),AC322&gt;=50)),"พัฒนาเพื่อพร้อมขาย",IF(AND(ISNUMBER(AC322),AC322&lt;50,I322&gt;=1),"มีศักยภาพ แต่ต้องพัฒนามาตรฐาน","รอประเมิน"))))</x:f>
        <x:v>รอประเมิน</x:v>
      </x:c>
      <x:c r="AF322" s="59" t="str">
        <x:v>ไม่ทราบ</x:v>
      </x:c>
      <x:c r="AG322" s="8" t="str">
        <x:f>IF(AF322="ใช่","หัวหน้าทีมพิจารณาเหตุไม่ผ่าน",IF(OR(AA322&lt;=0,NOT(OR(AND(C322="จำหน่ายอาหาร",ISNUMBER(K322),L322="N/A"),AND(C322="ไม่จำหน่ายอาหาร",K322="N/A",ISNUMBER(L322)),AND(C322="มัสยิด",K322="N/A",L322="N/A",X322="N/A"))),AD322="รอยืนยัน",COUNT(K322:Z322)+COUNTIFS(K322:Z322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2" s="59" t="str"/>
      <x:c r="AI322" s="61"/>
    </x:row>
    <x:row r="323" ht="60" customHeight="1">
      <x:c r="A323" s="2" t="str">
        <x:v>TMF-391</x:v>
      </x:c>
      <x:c r="B323" s="8" t="str">
        <x:v>มัสยิดอัสซุนนะห์ จ.ระยอง</x:v>
      </x:c>
      <x:c r="C323" s="59" t="str">
        <x:v>มัสยิด</x:v>
      </x:c>
      <x:c r="D323" s="59" t="str">
        <x:v>ไม่ทราบ</x:v>
      </x:c>
      <x:c r="E323" s="59" t="str">
        <x:v>ไม่ทราบ</x:v>
      </x:c>
      <x:c r="F323" s="59" t="str">
        <x:v>ไม่ทราบ</x:v>
      </x:c>
      <x:c r="G323" s="59" t="str">
        <x:v>N/A</x:v>
      </x:c>
      <x:c r="H323" s="59" t="str">
        <x:v>N/A</x:v>
      </x:c>
      <x:c r="I323" s="59"/>
      <x:c r="J323" s="59" t="str">
        <x:v>ไม่ทราบ</x:v>
      </x:c>
      <x:c r="K323" s="59" t="str">
        <x:v>N/A</x:v>
      </x:c>
      <x:c r="L323" s="59" t="str">
        <x:v>N/A</x:v>
      </x:c>
      <x:c r="M323" s="59"/>
      <x:c r="N323" s="59"/>
      <x:c r="O323" s="59"/>
      <x:c r="P323" s="59"/>
      <x:c r="Q323" s="59"/>
      <x:c r="R323" s="59"/>
      <x:c r="S323" s="59"/>
      <x:c r="T323" s="59"/>
      <x:c r="U323" s="59"/>
      <x:c r="V323" s="59"/>
      <x:c r="W323" s="59"/>
      <x:c r="X323" s="59" t="str">
        <x:v>N/A</x:v>
      </x:c>
      <x:c r="Y323" s="59"/>
      <x:c r="Z323" s="59"/>
      <x:c r="AA323" s="8" t="n">
        <x:f>IF(C323="ไม่ทราบ","",SUMIFS($K$7:$Z$7,K323:Z323,"&lt;&gt;N/A"))</x:f>
        <x:v>67</x:v>
      </x:c>
      <x:c r="AB323" s="8" t="str">
        <x:f>IF(AND(OR(AND(C323="จำหน่ายอาหาร",ISNUMBER(K323),L323="N/A"),AND(C323="ไม่จำหน่ายอาหาร",K323="N/A",ISNUMBER(L323)),AND(C323="มัสยิด",K323="N/A",L323="N/A",X323="N/A")),COUNT(K323:Z323)+COUNTIFS(K323:Z323,"N/A")=16),SUM(K323:Z323),"")</x:f>
      </x:c>
      <x:c r="AC323" s="62" t="str">
        <x:f>IF(OR(AB323="",AA323&lt;=0),"",ROUND(AB323/AA323*100,1))</x:f>
      </x:c>
      <x:c r="AD323" s="8" t="str">
        <x:f>IF(COUNTIFS(D323:H323,"ไม่ผ่าน")&gt;0,"ไม่ผ่าน",IF(COUNTIFS(D323:H323,"ไม่ทราบ")+COUNTBLANK(D323:H323)&gt;0,"รอยืนยัน","ผ่าน"))</x:f>
        <x:v>รอยืนยัน</x:v>
      </x:c>
      <x:c r="AE323" s="8" t="str">
        <x:f>IF(AF323="ใช่","ไม่ผ่านการคัดเลือก",IF(AND(AD323="ผ่าน",ISNUMBER(AC323),AC323&gt;=70),"พร้อมขาย",IF(OR(J323="ใช่",AND(ISNUMBER(AC323),AC323&gt;=50)),"พัฒนาเพื่อพร้อมขาย",IF(AND(ISNUMBER(AC323),AC323&lt;50,I323&gt;=1),"มีศักยภาพ แต่ต้องพัฒนามาตรฐาน","รอประเมิน"))))</x:f>
        <x:v>รอประเมิน</x:v>
      </x:c>
      <x:c r="AF323" s="59" t="str">
        <x:v>ไม่ทราบ</x:v>
      </x:c>
      <x:c r="AG323" s="8" t="str">
        <x:f>IF(AF323="ใช่","หัวหน้าทีมพิจารณาเหตุไม่ผ่าน",IF(OR(AA323&lt;=0,NOT(OR(AND(C323="จำหน่ายอาหาร",ISNUMBER(K323),L323="N/A"),AND(C323="ไม่จำหน่ายอาหาร",K323="N/A",ISNUMBER(L323)),AND(C323="มัสยิด",K323="N/A",L323="N/A",X323="N/A"))),AD323="รอยืนยัน",COUNT(K323:Z323)+COUNTIFS(K323:Z323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3" s="59" t="str"/>
      <x:c r="AI323" s="61"/>
    </x:row>
    <x:row r="324" ht="60" customHeight="1">
      <x:c r="A324" s="2" t="str">
        <x:v>R26-157</x:v>
      </x:c>
      <x:c r="B324" s="8" t="str">
        <x:v>ชุมชนบ้านทะเลน้อย ระยอง</x:v>
      </x:c>
      <x:c r="C324" s="59" t="str">
        <x:v>ไม่ทราบ</x:v>
      </x:c>
      <x:c r="D324" s="59" t="str">
        <x:v>ไม่ทราบ</x:v>
      </x:c>
      <x:c r="E324" s="59" t="str">
        <x:v>ไม่ทราบ</x:v>
      </x:c>
      <x:c r="F324" s="59" t="str">
        <x:v>ไม่ทราบ</x:v>
      </x:c>
      <x:c r="G324" s="59" t="str">
        <x:v>ไม่ทราบ</x:v>
      </x:c>
      <x:c r="H324" s="59" t="str">
        <x:v>N/A</x:v>
      </x:c>
      <x:c r="I324" s="59"/>
      <x:c r="J324" s="59" t="str">
        <x:v>ไม่ทราบ</x:v>
      </x:c>
      <x:c r="K324" s="59"/>
      <x:c r="L324" s="59"/>
      <x:c r="M324" s="59"/>
      <x:c r="N324" s="59"/>
      <x:c r="O324" s="59"/>
      <x:c r="P324" s="59"/>
      <x:c r="Q324" s="59"/>
      <x:c r="R324" s="59"/>
      <x:c r="S324" s="59"/>
      <x:c r="T324" s="59"/>
      <x:c r="U324" s="59"/>
      <x:c r="V324" s="59"/>
      <x:c r="W324" s="59"/>
      <x:c r="X324" s="59"/>
      <x:c r="Y324" s="59"/>
      <x:c r="Z324" s="59"/>
      <x:c r="AA324" s="8" t="str">
        <x:f>IF(C324="ไม่ทราบ","",SUMIFS($K$7:$Z$7,K324:Z324,"&lt;&gt;N/A"))</x:f>
      </x:c>
      <x:c r="AB324" s="8" t="str">
        <x:f>IF(AND(OR(AND(C324="จำหน่ายอาหาร",ISNUMBER(K324),L324="N/A"),AND(C324="ไม่จำหน่ายอาหาร",K324="N/A",ISNUMBER(L324)),AND(C324="มัสยิด",K324="N/A",L324="N/A",X324="N/A")),COUNT(K324:Z324)+COUNTIFS(K324:Z324,"N/A")=16),SUM(K324:Z324),"")</x:f>
      </x:c>
      <x:c r="AC324" s="62" t="str">
        <x:f>IF(OR(AB324="",AA324&lt;=0),"",ROUND(AB324/AA324*100,1))</x:f>
      </x:c>
      <x:c r="AD324" s="8" t="str">
        <x:f>IF(COUNTIFS(D324:H324,"ไม่ผ่าน")&gt;0,"ไม่ผ่าน",IF(COUNTIFS(D324:H324,"ไม่ทราบ")+COUNTBLANK(D324:H324)&gt;0,"รอยืนยัน","ผ่าน"))</x:f>
        <x:v>รอยืนยัน</x:v>
      </x:c>
      <x:c r="AE324" s="8" t="str">
        <x:f>IF(AF324="ใช่","ไม่ผ่านการคัดเลือก",IF(AND(AD324="ผ่าน",ISNUMBER(AC324),AC324&gt;=70),"พร้อมขาย",IF(OR(J324="ใช่",AND(ISNUMBER(AC324),AC324&gt;=50)),"พัฒนาเพื่อพร้อมขาย",IF(AND(ISNUMBER(AC324),AC324&lt;50,I324&gt;=1),"มีศักยภาพ แต่ต้องพัฒนามาตรฐาน","รอประเมิน"))))</x:f>
        <x:v>รอประเมิน</x:v>
      </x:c>
      <x:c r="AF324" s="59" t="str">
        <x:v>ไม่ทราบ</x:v>
      </x:c>
      <x:c r="AG324" s="8" t="str">
        <x:f>IF(AF324="ใช่","หัวหน้าทีมพิจารณาเหตุไม่ผ่าน",IF(OR(AA324&lt;=0,NOT(OR(AND(C324="จำหน่ายอาหาร",ISNUMBER(K324),L324="N/A"),AND(C324="ไม่จำหน่ายอาหาร",K324="N/A",ISNUMBER(L324)),AND(C324="มัสยิด",K324="N/A",L324="N/A",X324="N/A"))),AD324="รอยืนยัน",COUNT(K324:Z324)+COUNTIFS(K324:Z324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4" s="59" t="str"/>
      <x:c r="AI324" s="61"/>
    </x:row>
    <x:row r="325" ht="60" customHeight="1">
      <x:c r="A325" s="2" t="str">
        <x:v>R26-156</x:v>
      </x:c>
      <x:c r="B325" s="8" t="str">
        <x:v>ชุมชนปากน้ำประแส</x:v>
      </x:c>
      <x:c r="C325" s="59" t="str">
        <x:v>ไม่ทราบ</x:v>
      </x:c>
      <x:c r="D325" s="59" t="str">
        <x:v>ไม่ทราบ</x:v>
      </x:c>
      <x:c r="E325" s="59" t="str">
        <x:v>ไม่ทราบ</x:v>
      </x:c>
      <x:c r="F325" s="59" t="str">
        <x:v>ไม่ทราบ</x:v>
      </x:c>
      <x:c r="G325" s="59" t="str">
        <x:v>ไม่ทราบ</x:v>
      </x:c>
      <x:c r="H325" s="59" t="str">
        <x:v>N/A</x:v>
      </x:c>
      <x:c r="I325" s="59"/>
      <x:c r="J325" s="59" t="str">
        <x:v>ไม่ทราบ</x:v>
      </x:c>
      <x:c r="K325" s="59"/>
      <x:c r="L325" s="59"/>
      <x:c r="M325" s="59"/>
      <x:c r="N325" s="59"/>
      <x:c r="O325" s="59"/>
      <x:c r="P325" s="59"/>
      <x:c r="Q325" s="59"/>
      <x:c r="R325" s="59"/>
      <x:c r="S325" s="59"/>
      <x:c r="T325" s="59"/>
      <x:c r="U325" s="59"/>
      <x:c r="V325" s="59"/>
      <x:c r="W325" s="59"/>
      <x:c r="X325" s="59"/>
      <x:c r="Y325" s="59"/>
      <x:c r="Z325" s="59"/>
      <x:c r="AA325" s="8" t="str">
        <x:f>IF(C325="ไม่ทราบ","",SUMIFS($K$7:$Z$7,K325:Z325,"&lt;&gt;N/A"))</x:f>
      </x:c>
      <x:c r="AB325" s="8" t="str">
        <x:f>IF(AND(OR(AND(C325="จำหน่ายอาหาร",ISNUMBER(K325),L325="N/A"),AND(C325="ไม่จำหน่ายอาหาร",K325="N/A",ISNUMBER(L325)),AND(C325="มัสยิด",K325="N/A",L325="N/A",X325="N/A")),COUNT(K325:Z325)+COUNTIFS(K325:Z325,"N/A")=16),SUM(K325:Z325),"")</x:f>
      </x:c>
      <x:c r="AC325" s="62" t="str">
        <x:f>IF(OR(AB325="",AA325&lt;=0),"",ROUND(AB325/AA325*100,1))</x:f>
      </x:c>
      <x:c r="AD325" s="8" t="str">
        <x:f>IF(COUNTIFS(D325:H325,"ไม่ผ่าน")&gt;0,"ไม่ผ่าน",IF(COUNTIFS(D325:H325,"ไม่ทราบ")+COUNTBLANK(D325:H325)&gt;0,"รอยืนยัน","ผ่าน"))</x:f>
        <x:v>รอยืนยัน</x:v>
      </x:c>
      <x:c r="AE325" s="8" t="str">
        <x:f>IF(AF325="ใช่","ไม่ผ่านการคัดเลือก",IF(AND(AD325="ผ่าน",ISNUMBER(AC325),AC325&gt;=70),"พร้อมขาย",IF(OR(J325="ใช่",AND(ISNUMBER(AC325),AC325&gt;=50)),"พัฒนาเพื่อพร้อมขาย",IF(AND(ISNUMBER(AC325),AC325&lt;50,I325&gt;=1),"มีศักยภาพ แต่ต้องพัฒนามาตรฐาน","รอประเมิน"))))</x:f>
        <x:v>รอประเมิน</x:v>
      </x:c>
      <x:c r="AF325" s="59" t="str">
        <x:v>ไม่ทราบ</x:v>
      </x:c>
      <x:c r="AG325" s="8" t="str">
        <x:f>IF(AF325="ใช่","หัวหน้าทีมพิจารณาเหตุไม่ผ่าน",IF(OR(AA325&lt;=0,NOT(OR(AND(C325="จำหน่ายอาหาร",ISNUMBER(K325),L325="N/A"),AND(C325="ไม่จำหน่ายอาหาร",K325="N/A",ISNUMBER(L325)),AND(C325="มัสยิด",K325="N/A",L325="N/A",X325="N/A"))),AD325="รอยืนยัน",COUNT(K325:Z325)+COUNTIFS(K325:Z325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5" s="59" t="str"/>
      <x:c r="AI325" s="61"/>
    </x:row>
    <x:row r="326" ht="60" customHeight="1">
      <x:c r="A326" s="2" t="str">
        <x:v>R26-304</x:v>
      </x:c>
      <x:c r="B326" s="8" t="str">
        <x:v>สวนละไม</x:v>
      </x:c>
      <x:c r="C326" s="59" t="str">
        <x:v>ไม่ทราบ</x:v>
      </x:c>
      <x:c r="D326" s="59" t="str">
        <x:v>ไม่ทราบ</x:v>
      </x:c>
      <x:c r="E326" s="59" t="str">
        <x:v>ไม่ทราบ</x:v>
      </x:c>
      <x:c r="F326" s="59" t="str">
        <x:v>ไม่ทราบ</x:v>
      </x:c>
      <x:c r="G326" s="59" t="str">
        <x:v>ไม่ทราบ</x:v>
      </x:c>
      <x:c r="H326" s="59" t="str">
        <x:v>N/A</x:v>
      </x:c>
      <x:c r="I326" s="59"/>
      <x:c r="J326" s="59" t="str">
        <x:v>ไม่ทราบ</x:v>
      </x:c>
      <x:c r="K326" s="59"/>
      <x:c r="L326" s="59"/>
      <x:c r="M326" s="59"/>
      <x:c r="N326" s="59"/>
      <x:c r="O326" s="59"/>
      <x:c r="P326" s="59"/>
      <x:c r="Q326" s="59"/>
      <x:c r="R326" s="59"/>
      <x:c r="S326" s="59"/>
      <x:c r="T326" s="59"/>
      <x:c r="U326" s="59"/>
      <x:c r="V326" s="59"/>
      <x:c r="W326" s="59"/>
      <x:c r="X326" s="59"/>
      <x:c r="Y326" s="59"/>
      <x:c r="Z326" s="59"/>
      <x:c r="AA326" s="8" t="str">
        <x:f>IF(C326="ไม่ทราบ","",SUMIFS($K$7:$Z$7,K326:Z326,"&lt;&gt;N/A"))</x:f>
      </x:c>
      <x:c r="AB326" s="8" t="str">
        <x:f>IF(AND(OR(AND(C326="จำหน่ายอาหาร",ISNUMBER(K326),L326="N/A"),AND(C326="ไม่จำหน่ายอาหาร",K326="N/A",ISNUMBER(L326)),AND(C326="มัสยิด",K326="N/A",L326="N/A",X326="N/A")),COUNT(K326:Z326)+COUNTIFS(K326:Z326,"N/A")=16),SUM(K326:Z326),"")</x:f>
      </x:c>
      <x:c r="AC326" s="62" t="str">
        <x:f>IF(OR(AB326="",AA326&lt;=0),"",ROUND(AB326/AA326*100,1))</x:f>
      </x:c>
      <x:c r="AD326" s="8" t="str">
        <x:f>IF(COUNTIFS(D326:H326,"ไม่ผ่าน")&gt;0,"ไม่ผ่าน",IF(COUNTIFS(D326:H326,"ไม่ทราบ")+COUNTBLANK(D326:H326)&gt;0,"รอยืนยัน","ผ่าน"))</x:f>
        <x:v>รอยืนยัน</x:v>
      </x:c>
      <x:c r="AE326" s="8" t="str">
        <x:f>IF(AF326="ใช่","ไม่ผ่านการคัดเลือก",IF(AND(AD326="ผ่าน",ISNUMBER(AC326),AC326&gt;=70),"พร้อมขาย",IF(OR(J326="ใช่",AND(ISNUMBER(AC326),AC326&gt;=50)),"พัฒนาเพื่อพร้อมขาย",IF(AND(ISNUMBER(AC326),AC326&lt;50,I326&gt;=1),"มีศักยภาพ แต่ต้องพัฒนามาตรฐาน","รอประเมิน"))))</x:f>
        <x:v>รอประเมิน</x:v>
      </x:c>
      <x:c r="AF326" s="59" t="str">
        <x:v>ไม่ทราบ</x:v>
      </x:c>
      <x:c r="AG326" s="8" t="str">
        <x:f>IF(AF326="ใช่","หัวหน้าทีมพิจารณาเหตุไม่ผ่าน",IF(OR(AA326&lt;=0,NOT(OR(AND(C326="จำหน่ายอาหาร",ISNUMBER(K326),L326="N/A"),AND(C326="ไม่จำหน่ายอาหาร",K326="N/A",ISNUMBER(L326)),AND(C326="มัสยิด",K326="N/A",L326="N/A",X326="N/A"))),AD326="รอยืนยัน",COUNT(K326:Z326)+COUNTIFS(K326:Z326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6" s="59" t="str"/>
      <x:c r="AI326" s="61"/>
    </x:row>
    <x:row r="327" ht="60" customHeight="1">
      <x:c r="A327" s="2" t="str">
        <x:v>R26-071</x:v>
      </x:c>
      <x:c r="B327" s="8" t="str">
        <x:v>The Seaside Halal เกาะยอ</x:v>
      </x:c>
      <x:c r="C327" s="59" t="str">
        <x:v>จำหน่ายอาหาร</x:v>
      </x:c>
      <x:c r="D327" s="59" t="str">
        <x:v>ไม่ทราบ</x:v>
      </x:c>
      <x:c r="E327" s="59" t="str">
        <x:v>ไม่ทราบ</x:v>
      </x:c>
      <x:c r="F327" s="59" t="str">
        <x:v>ไม่ทราบ</x:v>
      </x:c>
      <x:c r="G327" s="59" t="str">
        <x:v>ไม่ทราบ</x:v>
      </x:c>
      <x:c r="H327" s="59" t="str">
        <x:v>N/A</x:v>
      </x:c>
      <x:c r="I327" s="59"/>
      <x:c r="J327" s="59" t="str">
        <x:v>ไม่ทราบ</x:v>
      </x:c>
      <x:c r="K327" s="59"/>
      <x:c r="L327" s="59" t="str">
        <x:v>N/A</x:v>
      </x:c>
      <x:c r="M327" s="59"/>
      <x:c r="N327" s="59"/>
      <x:c r="O327" s="59"/>
      <x:c r="P327" s="59"/>
      <x:c r="Q327" s="59"/>
      <x:c r="R327" s="59"/>
      <x:c r="S327" s="59"/>
      <x:c r="T327" s="59"/>
      <x:c r="U327" s="59"/>
      <x:c r="V327" s="59"/>
      <x:c r="W327" s="59"/>
      <x:c r="X327" s="59"/>
      <x:c r="Y327" s="59"/>
      <x:c r="Z327" s="59"/>
      <x:c r="AA327" s="8" t="n">
        <x:f>IF(C327="ไม่ทราบ","",SUMIFS($K$7:$Z$7,K327:Z327,"&lt;&gt;N/A"))</x:f>
        <x:v>100</x:v>
      </x:c>
      <x:c r="AB327" s="8" t="str">
        <x:f>IF(AND(OR(AND(C327="จำหน่ายอาหาร",ISNUMBER(K327),L327="N/A"),AND(C327="ไม่จำหน่ายอาหาร",K327="N/A",ISNUMBER(L327)),AND(C327="มัสยิด",K327="N/A",L327="N/A",X327="N/A")),COUNT(K327:Z327)+COUNTIFS(K327:Z327,"N/A")=16),SUM(K327:Z327),"")</x:f>
      </x:c>
      <x:c r="AC327" s="62" t="str">
        <x:f>IF(OR(AB327="",AA327&lt;=0),"",ROUND(AB327/AA327*100,1))</x:f>
      </x:c>
      <x:c r="AD327" s="8" t="str">
        <x:f>IF(COUNTIFS(D327:H327,"ไม่ผ่าน")&gt;0,"ไม่ผ่าน",IF(COUNTIFS(D327:H327,"ไม่ทราบ")+COUNTBLANK(D327:H327)&gt;0,"รอยืนยัน","ผ่าน"))</x:f>
        <x:v>รอยืนยัน</x:v>
      </x:c>
      <x:c r="AE327" s="8" t="str">
        <x:f>IF(AF327="ใช่","ไม่ผ่านการคัดเลือก",IF(AND(AD327="ผ่าน",ISNUMBER(AC327),AC327&gt;=70),"พร้อมขาย",IF(OR(J327="ใช่",AND(ISNUMBER(AC327),AC327&gt;=50)),"พัฒนาเพื่อพร้อมขาย",IF(AND(ISNUMBER(AC327),AC327&lt;50,I327&gt;=1),"มีศักยภาพ แต่ต้องพัฒนามาตรฐาน","รอประเมิน"))))</x:f>
        <x:v>รอประเมิน</x:v>
      </x:c>
      <x:c r="AF327" s="59" t="str">
        <x:v>ไม่ทราบ</x:v>
      </x:c>
      <x:c r="AG327" s="8" t="str">
        <x:f>IF(AF327="ใช่","หัวหน้าทีมพิจารณาเหตุไม่ผ่าน",IF(OR(AA327&lt;=0,NOT(OR(AND(C327="จำหน่ายอาหาร",ISNUMBER(K327),L327="N/A"),AND(C327="ไม่จำหน่ายอาหาร",K327="N/A",ISNUMBER(L327)),AND(C327="มัสยิด",K327="N/A",L327="N/A",X327="N/A"))),AD327="รอยืนยัน",COUNT(K327:Z327)+COUNTIFS(K327:Z327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7" s="59" t="str"/>
      <x:c r="AI327" s="61"/>
    </x:row>
    <x:row r="328" ht="60" customHeight="1">
      <x:c r="A328" s="2" t="str">
        <x:v>R26-068</x:v>
      </x:c>
      <x:c r="B328" s="8" t="str">
        <x:v>ข้าวมันไก่ไข่ฮาลาลบ้านบน</x:v>
      </x:c>
      <x:c r="C328" s="59" t="str">
        <x:v>จำหน่ายอาหาร</x:v>
      </x:c>
      <x:c r="D328" s="59" t="str">
        <x:v>ไม่ทราบ</x:v>
      </x:c>
      <x:c r="E328" s="59" t="str">
        <x:v>ไม่ทราบ</x:v>
      </x:c>
      <x:c r="F328" s="59" t="str">
        <x:v>ไม่ทราบ</x:v>
      </x:c>
      <x:c r="G328" s="59" t="str">
        <x:v>ไม่ทราบ</x:v>
      </x:c>
      <x:c r="H328" s="59" t="str">
        <x:v>N/A</x:v>
      </x:c>
      <x:c r="I328" s="59"/>
      <x:c r="J328" s="59" t="str">
        <x:v>ไม่ทราบ</x:v>
      </x:c>
      <x:c r="K328" s="59"/>
      <x:c r="L328" s="59" t="str">
        <x:v>N/A</x:v>
      </x:c>
      <x:c r="M328" s="59"/>
      <x:c r="N328" s="59"/>
      <x:c r="O328" s="59"/>
      <x:c r="P328" s="59"/>
      <x:c r="Q328" s="59"/>
      <x:c r="R328" s="59"/>
      <x:c r="S328" s="59"/>
      <x:c r="T328" s="59"/>
      <x:c r="U328" s="59"/>
      <x:c r="V328" s="59"/>
      <x:c r="W328" s="59"/>
      <x:c r="X328" s="59"/>
      <x:c r="Y328" s="59"/>
      <x:c r="Z328" s="59"/>
      <x:c r="AA328" s="8" t="n">
        <x:f>IF(C328="ไม่ทราบ","",SUMIFS($K$7:$Z$7,K328:Z328,"&lt;&gt;N/A"))</x:f>
        <x:v>100</x:v>
      </x:c>
      <x:c r="AB328" s="8" t="str">
        <x:f>IF(AND(OR(AND(C328="จำหน่ายอาหาร",ISNUMBER(K328),L328="N/A"),AND(C328="ไม่จำหน่ายอาหาร",K328="N/A",ISNUMBER(L328)),AND(C328="มัสยิด",K328="N/A",L328="N/A",X328="N/A")),COUNT(K328:Z328)+COUNTIFS(K328:Z328,"N/A")=16),SUM(K328:Z328),"")</x:f>
      </x:c>
      <x:c r="AC328" s="62" t="str">
        <x:f>IF(OR(AB328="",AA328&lt;=0),"",ROUND(AB328/AA328*100,1))</x:f>
      </x:c>
      <x:c r="AD328" s="8" t="str">
        <x:f>IF(COUNTIFS(D328:H328,"ไม่ผ่าน")&gt;0,"ไม่ผ่าน",IF(COUNTIFS(D328:H328,"ไม่ทราบ")+COUNTBLANK(D328:H328)&gt;0,"รอยืนยัน","ผ่าน"))</x:f>
        <x:v>รอยืนยัน</x:v>
      </x:c>
      <x:c r="AE328" s="8" t="str">
        <x:f>IF(AF328="ใช่","ไม่ผ่านการคัดเลือก",IF(AND(AD328="ผ่าน",ISNUMBER(AC328),AC328&gt;=70),"พร้อมขาย",IF(OR(J328="ใช่",AND(ISNUMBER(AC328),AC328&gt;=50)),"พัฒนาเพื่อพร้อมขาย",IF(AND(ISNUMBER(AC328),AC328&lt;50,I328&gt;=1),"มีศักยภาพ แต่ต้องพัฒนามาตรฐาน","รอประเมิน"))))</x:f>
        <x:v>รอประเมิน</x:v>
      </x:c>
      <x:c r="AF328" s="59" t="str">
        <x:v>ไม่ทราบ</x:v>
      </x:c>
      <x:c r="AG328" s="8" t="str">
        <x:f>IF(AF328="ใช่","หัวหน้าทีมพิจารณาเหตุไม่ผ่าน",IF(OR(AA328&lt;=0,NOT(OR(AND(C328="จำหน่ายอาหาร",ISNUMBER(K328),L328="N/A"),AND(C328="ไม่จำหน่ายอาหาร",K328="N/A",ISNUMBER(L328)),AND(C328="มัสยิด",K328="N/A",L328="N/A",X328="N/A"))),AD328="รอยืนยัน",COUNT(K328:Z328)+COUNTIFS(K328:Z328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8" s="59" t="str"/>
      <x:c r="AI328" s="61"/>
    </x:row>
    <x:row r="329" ht="60" customHeight="1">
      <x:c r="A329" s="2" t="str">
        <x:v>R26-070</x:v>
      </x:c>
      <x:c r="B329" s="8" t="str">
        <x:v>หาดสมิหลา</x:v>
      </x:c>
      <x:c r="C329" s="59" t="str">
        <x:v>ไม่ทราบ</x:v>
      </x:c>
      <x:c r="D329" s="59" t="str">
        <x:v>ไม่ทราบ</x:v>
      </x:c>
      <x:c r="E329" s="59" t="str">
        <x:v>ไม่ทราบ</x:v>
      </x:c>
      <x:c r="F329" s="59" t="str">
        <x:v>ไม่ทราบ</x:v>
      </x:c>
      <x:c r="G329" s="59" t="str">
        <x:v>ไม่ทราบ</x:v>
      </x:c>
      <x:c r="H329" s="59" t="str">
        <x:v>N/A</x:v>
      </x:c>
      <x:c r="I329" s="59"/>
      <x:c r="J329" s="59" t="str">
        <x:v>ไม่ทราบ</x:v>
      </x:c>
      <x:c r="K329" s="59"/>
      <x:c r="L329" s="59"/>
      <x:c r="M329" s="59"/>
      <x:c r="N329" s="59"/>
      <x:c r="O329" s="59"/>
      <x:c r="P329" s="59"/>
      <x:c r="Q329" s="59"/>
      <x:c r="R329" s="59"/>
      <x:c r="S329" s="59"/>
      <x:c r="T329" s="59"/>
      <x:c r="U329" s="59"/>
      <x:c r="V329" s="59"/>
      <x:c r="W329" s="59"/>
      <x:c r="X329" s="59"/>
      <x:c r="Y329" s="59"/>
      <x:c r="Z329" s="59"/>
      <x:c r="AA329" s="8" t="str">
        <x:f>IF(C329="ไม่ทราบ","",SUMIFS($K$7:$Z$7,K329:Z329,"&lt;&gt;N/A"))</x:f>
      </x:c>
      <x:c r="AB329" s="8" t="str">
        <x:f>IF(AND(OR(AND(C329="จำหน่ายอาหาร",ISNUMBER(K329),L329="N/A"),AND(C329="ไม่จำหน่ายอาหาร",K329="N/A",ISNUMBER(L329)),AND(C329="มัสยิด",K329="N/A",L329="N/A",X329="N/A")),COUNT(K329:Z329)+COUNTIFS(K329:Z329,"N/A")=16),SUM(K329:Z329),"")</x:f>
      </x:c>
      <x:c r="AC329" s="62" t="str">
        <x:f>IF(OR(AB329="",AA329&lt;=0),"",ROUND(AB329/AA329*100,1))</x:f>
      </x:c>
      <x:c r="AD329" s="8" t="str">
        <x:f>IF(COUNTIFS(D329:H329,"ไม่ผ่าน")&gt;0,"ไม่ผ่าน",IF(COUNTIFS(D329:H329,"ไม่ทราบ")+COUNTBLANK(D329:H329)&gt;0,"รอยืนยัน","ผ่าน"))</x:f>
        <x:v>รอยืนยัน</x:v>
      </x:c>
      <x:c r="AE329" s="8" t="str">
        <x:f>IF(AF329="ใช่","ไม่ผ่านการคัดเลือก",IF(AND(AD329="ผ่าน",ISNUMBER(AC329),AC329&gt;=70),"พร้อมขาย",IF(OR(J329="ใช่",AND(ISNUMBER(AC329),AC329&gt;=50)),"พัฒนาเพื่อพร้อมขาย",IF(AND(ISNUMBER(AC329),AC329&lt;50,I329&gt;=1),"มีศักยภาพ แต่ต้องพัฒนามาตรฐาน","รอประเมิน"))))</x:f>
        <x:v>รอประเมิน</x:v>
      </x:c>
      <x:c r="AF329" s="59" t="str">
        <x:v>ไม่ทราบ</x:v>
      </x:c>
      <x:c r="AG329" s="8" t="str">
        <x:f>IF(AF329="ใช่","หัวหน้าทีมพิจารณาเหตุไม่ผ่าน",IF(OR(AA329&lt;=0,NOT(OR(AND(C329="จำหน่ายอาหาร",ISNUMBER(K329),L329="N/A"),AND(C329="ไม่จำหน่ายอาหาร",K329="N/A",ISNUMBER(L329)),AND(C329="มัสยิด",K329="N/A",L329="N/A",X329="N/A"))),AD329="รอยืนยัน",COUNT(K329:Z329)+COUNTIFS(K329:Z329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29" s="59" t="str"/>
      <x:c r="AI329" s="61"/>
    </x:row>
    <x:row r="330" ht="60" customHeight="1">
      <x:c r="A330" s="2" t="str">
        <x:v>R26-069</x:v>
      </x:c>
      <x:c r="B330" s="8" t="str">
        <x:v>เขาตังกวน</x:v>
      </x:c>
      <x:c r="C330" s="59" t="str">
        <x:v>ไม่ทราบ</x:v>
      </x:c>
      <x:c r="D330" s="59" t="str">
        <x:v>ไม่ทราบ</x:v>
      </x:c>
      <x:c r="E330" s="59" t="str">
        <x:v>ไม่ทราบ</x:v>
      </x:c>
      <x:c r="F330" s="59" t="str">
        <x:v>ไม่ทราบ</x:v>
      </x:c>
      <x:c r="G330" s="59" t="str">
        <x:v>ไม่ทราบ</x:v>
      </x:c>
      <x:c r="H330" s="59" t="str">
        <x:v>N/A</x:v>
      </x:c>
      <x:c r="I330" s="59"/>
      <x:c r="J330" s="59" t="str">
        <x:v>ไม่ทราบ</x:v>
      </x:c>
      <x:c r="K330" s="59"/>
      <x:c r="L330" s="59"/>
      <x:c r="M330" s="59"/>
      <x:c r="N330" s="59"/>
      <x:c r="O330" s="59"/>
      <x:c r="P330" s="59"/>
      <x:c r="Q330" s="59"/>
      <x:c r="R330" s="59"/>
      <x:c r="S330" s="59"/>
      <x:c r="T330" s="59"/>
      <x:c r="U330" s="59"/>
      <x:c r="V330" s="59"/>
      <x:c r="W330" s="59"/>
      <x:c r="X330" s="59"/>
      <x:c r="Y330" s="59"/>
      <x:c r="Z330" s="59"/>
      <x:c r="AA330" s="8" t="str">
        <x:f>IF(C330="ไม่ทราบ","",SUMIFS($K$7:$Z$7,K330:Z330,"&lt;&gt;N/A"))</x:f>
      </x:c>
      <x:c r="AB330" s="8" t="str">
        <x:f>IF(AND(OR(AND(C330="จำหน่ายอาหาร",ISNUMBER(K330),L330="N/A"),AND(C330="ไม่จำหน่ายอาหาร",K330="N/A",ISNUMBER(L330)),AND(C330="มัสยิด",K330="N/A",L330="N/A",X330="N/A")),COUNT(K330:Z330)+COUNTIFS(K330:Z330,"N/A")=16),SUM(K330:Z330),"")</x:f>
      </x:c>
      <x:c r="AC330" s="62" t="str">
        <x:f>IF(OR(AB330="",AA330&lt;=0),"",ROUND(AB330/AA330*100,1))</x:f>
      </x:c>
      <x:c r="AD330" s="8" t="str">
        <x:f>IF(COUNTIFS(D330:H330,"ไม่ผ่าน")&gt;0,"ไม่ผ่าน",IF(COUNTIFS(D330:H330,"ไม่ทราบ")+COUNTBLANK(D330:H330)&gt;0,"รอยืนยัน","ผ่าน"))</x:f>
        <x:v>รอยืนยัน</x:v>
      </x:c>
      <x:c r="AE330" s="8" t="str">
        <x:f>IF(AF330="ใช่","ไม่ผ่านการคัดเลือก",IF(AND(AD330="ผ่าน",ISNUMBER(AC330),AC330&gt;=70),"พร้อมขาย",IF(OR(J330="ใช่",AND(ISNUMBER(AC330),AC330&gt;=50)),"พัฒนาเพื่อพร้อมขาย",IF(AND(ISNUMBER(AC330),AC330&lt;50,I330&gt;=1),"มีศักยภาพ แต่ต้องพัฒนามาตรฐาน","รอประเมิน"))))</x:f>
        <x:v>รอประเมิน</x:v>
      </x:c>
      <x:c r="AF330" s="59" t="str">
        <x:v>ไม่ทราบ</x:v>
      </x:c>
      <x:c r="AG330" s="8" t="str">
        <x:f>IF(AF330="ใช่","หัวหน้าทีมพิจารณาเหตุไม่ผ่าน",IF(OR(AA330&lt;=0,NOT(OR(AND(C330="จำหน่ายอาหาร",ISNUMBER(K330),L330="N/A"),AND(C330="ไม่จำหน่ายอาหาร",K330="N/A",ISNUMBER(L330)),AND(C330="มัสยิด",K330="N/A",L330="N/A",X330="N/A"))),AD330="รอยืนยัน",COUNT(K330:Z330)+COUNTIFS(K330:Z330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0" s="59" t="str"/>
      <x:c r="AI330" s="61"/>
    </x:row>
    <x:row r="331" ht="60" customHeight="1">
      <x:c r="A331" s="2" t="str">
        <x:v>TMF-399</x:v>
      </x:c>
      <x:c r="B331" s="8" t="str">
        <x:v>มัสยิดกลางประจำจังหวัดสงขลา</x:v>
      </x:c>
      <x:c r="C331" s="59" t="str">
        <x:v>มัสยิด</x:v>
      </x:c>
      <x:c r="D331" s="59" t="str">
        <x:v>ไม่ทราบ</x:v>
      </x:c>
      <x:c r="E331" s="59" t="str">
        <x:v>ไม่ทราบ</x:v>
      </x:c>
      <x:c r="F331" s="59" t="str">
        <x:v>ไม่ทราบ</x:v>
      </x:c>
      <x:c r="G331" s="59" t="str">
        <x:v>N/A</x:v>
      </x:c>
      <x:c r="H331" s="59" t="str">
        <x:v>N/A</x:v>
      </x:c>
      <x:c r="I331" s="59"/>
      <x:c r="J331" s="59" t="str">
        <x:v>ไม่ทราบ</x:v>
      </x:c>
      <x:c r="K331" s="59" t="str">
        <x:v>N/A</x:v>
      </x:c>
      <x:c r="L331" s="59" t="str">
        <x:v>N/A</x:v>
      </x:c>
      <x:c r="M331" s="59"/>
      <x:c r="N331" s="59"/>
      <x:c r="O331" s="59"/>
      <x:c r="P331" s="59"/>
      <x:c r="Q331" s="59"/>
      <x:c r="R331" s="59"/>
      <x:c r="S331" s="59"/>
      <x:c r="T331" s="59"/>
      <x:c r="U331" s="59"/>
      <x:c r="V331" s="59"/>
      <x:c r="W331" s="59"/>
      <x:c r="X331" s="59" t="str">
        <x:v>N/A</x:v>
      </x:c>
      <x:c r="Y331" s="59"/>
      <x:c r="Z331" s="59"/>
      <x:c r="AA331" s="8" t="n">
        <x:f>IF(C331="ไม่ทราบ","",SUMIFS($K$7:$Z$7,K331:Z331,"&lt;&gt;N/A"))</x:f>
        <x:v>67</x:v>
      </x:c>
      <x:c r="AB331" s="8" t="str">
        <x:f>IF(AND(OR(AND(C331="จำหน่ายอาหาร",ISNUMBER(K331),L331="N/A"),AND(C331="ไม่จำหน่ายอาหาร",K331="N/A",ISNUMBER(L331)),AND(C331="มัสยิด",K331="N/A",L331="N/A",X331="N/A")),COUNT(K331:Z331)+COUNTIFS(K331:Z331,"N/A")=16),SUM(K331:Z331),"")</x:f>
      </x:c>
      <x:c r="AC331" s="62" t="str">
        <x:f>IF(OR(AB331="",AA331&lt;=0),"",ROUND(AB331/AA331*100,1))</x:f>
      </x:c>
      <x:c r="AD331" s="8" t="str">
        <x:f>IF(COUNTIFS(D331:H331,"ไม่ผ่าน")&gt;0,"ไม่ผ่าน",IF(COUNTIFS(D331:H331,"ไม่ทราบ")+COUNTBLANK(D331:H331)&gt;0,"รอยืนยัน","ผ่าน"))</x:f>
        <x:v>รอยืนยัน</x:v>
      </x:c>
      <x:c r="AE331" s="8" t="str">
        <x:f>IF(AF331="ใช่","ไม่ผ่านการคัดเลือก",IF(AND(AD331="ผ่าน",ISNUMBER(AC331),AC331&gt;=70),"พร้อมขาย",IF(OR(J331="ใช่",AND(ISNUMBER(AC331),AC331&gt;=50)),"พัฒนาเพื่อพร้อมขาย",IF(AND(ISNUMBER(AC331),AC331&lt;50,I331&gt;=1),"มีศักยภาพ แต่ต้องพัฒนามาตรฐาน","รอประเมิน"))))</x:f>
        <x:v>รอประเมิน</x:v>
      </x:c>
      <x:c r="AF331" s="59" t="str">
        <x:v>ไม่ทราบ</x:v>
      </x:c>
      <x:c r="AG331" s="8" t="str">
        <x:f>IF(AF331="ใช่","หัวหน้าทีมพิจารณาเหตุไม่ผ่าน",IF(OR(AA331&lt;=0,NOT(OR(AND(C331="จำหน่ายอาหาร",ISNUMBER(K331),L331="N/A"),AND(C331="ไม่จำหน่ายอาหาร",K331="N/A",ISNUMBER(L331)),AND(C331="มัสยิด",K331="N/A",L331="N/A",X331="N/A"))),AD331="รอยืนยัน",COUNT(K331:Z331)+COUNTIFS(K331:Z331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1" s="59" t="str"/>
      <x:c r="AI331" s="61"/>
    </x:row>
    <x:row r="332" ht="60" customHeight="1">
      <x:c r="A332" s="2" t="str">
        <x:v>R26-066</x:v>
      </x:c>
      <x:c r="B332" s="8" t="str">
        <x:v>ย่านเมืองเก่าสงขลา</x:v>
      </x:c>
      <x:c r="C332" s="59" t="str">
        <x:v>ไม่ทราบ</x:v>
      </x:c>
      <x:c r="D332" s="59" t="str">
        <x:v>ไม่ทราบ</x:v>
      </x:c>
      <x:c r="E332" s="59" t="str">
        <x:v>ไม่ทราบ</x:v>
      </x:c>
      <x:c r="F332" s="59" t="str">
        <x:v>ไม่ทราบ</x:v>
      </x:c>
      <x:c r="G332" s="59" t="str">
        <x:v>ไม่ทราบ</x:v>
      </x:c>
      <x:c r="H332" s="59" t="str">
        <x:v>N/A</x:v>
      </x:c>
      <x:c r="I332" s="59"/>
      <x:c r="J332" s="59" t="str">
        <x:v>ไม่ทราบ</x:v>
      </x:c>
      <x:c r="K332" s="59"/>
      <x:c r="L332" s="59"/>
      <x:c r="M332" s="59"/>
      <x:c r="N332" s="59"/>
      <x:c r="O332" s="59"/>
      <x:c r="P332" s="59"/>
      <x:c r="Q332" s="59"/>
      <x:c r="R332" s="59"/>
      <x:c r="S332" s="59"/>
      <x:c r="T332" s="59"/>
      <x:c r="U332" s="59"/>
      <x:c r="V332" s="59"/>
      <x:c r="W332" s="59"/>
      <x:c r="X332" s="59"/>
      <x:c r="Y332" s="59"/>
      <x:c r="Z332" s="59"/>
      <x:c r="AA332" s="8" t="str">
        <x:f>IF(C332="ไม่ทราบ","",SUMIFS($K$7:$Z$7,K332:Z332,"&lt;&gt;N/A"))</x:f>
      </x:c>
      <x:c r="AB332" s="8" t="str">
        <x:f>IF(AND(OR(AND(C332="จำหน่ายอาหาร",ISNUMBER(K332),L332="N/A"),AND(C332="ไม่จำหน่ายอาหาร",K332="N/A",ISNUMBER(L332)),AND(C332="มัสยิด",K332="N/A",L332="N/A",X332="N/A")),COUNT(K332:Z332)+COUNTIFS(K332:Z332,"N/A")=16),SUM(K332:Z332),"")</x:f>
      </x:c>
      <x:c r="AC332" s="62" t="str">
        <x:f>IF(OR(AB332="",AA332&lt;=0),"",ROUND(AB332/AA332*100,1))</x:f>
      </x:c>
      <x:c r="AD332" s="8" t="str">
        <x:f>IF(COUNTIFS(D332:H332,"ไม่ผ่าน")&gt;0,"ไม่ผ่าน",IF(COUNTIFS(D332:H332,"ไม่ทราบ")+COUNTBLANK(D332:H332)&gt;0,"รอยืนยัน","ผ่าน"))</x:f>
        <x:v>รอยืนยัน</x:v>
      </x:c>
      <x:c r="AE332" s="8" t="str">
        <x:f>IF(AF332="ใช่","ไม่ผ่านการคัดเลือก",IF(AND(AD332="ผ่าน",ISNUMBER(AC332),AC332&gt;=70),"พร้อมขาย",IF(OR(J332="ใช่",AND(ISNUMBER(AC332),AC332&gt;=50)),"พัฒนาเพื่อพร้อมขาย",IF(AND(ISNUMBER(AC332),AC332&lt;50,I332&gt;=1),"มีศักยภาพ แต่ต้องพัฒนามาตรฐาน","รอประเมิน"))))</x:f>
        <x:v>รอประเมิน</x:v>
      </x:c>
      <x:c r="AF332" s="59" t="str">
        <x:v>ไม่ทราบ</x:v>
      </x:c>
      <x:c r="AG332" s="8" t="str">
        <x:f>IF(AF332="ใช่","หัวหน้าทีมพิจารณาเหตุไม่ผ่าน",IF(OR(AA332&lt;=0,NOT(OR(AND(C332="จำหน่ายอาหาร",ISNUMBER(K332),L332="N/A"),AND(C332="ไม่จำหน่ายอาหาร",K332="N/A",ISNUMBER(L332)),AND(C332="มัสยิด",K332="N/A",L332="N/A",X332="N/A"))),AD332="รอยืนยัน",COUNT(K332:Z332)+COUNTIFS(K332:Z332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2" s="59" t="str"/>
      <x:c r="AI332" s="61"/>
    </x:row>
    <x:row r="333" ht="60" customHeight="1">
      <x:c r="A333" s="2" t="str">
        <x:v>R26-067</x:v>
      </x:c>
      <x:c r="B333" s="8" t="str">
        <x:v>ชุมชนมัสยิดบ้านบน สงขลา</x:v>
      </x:c>
      <x:c r="C333" s="59" t="str">
        <x:v>ไม่ทราบ</x:v>
      </x:c>
      <x:c r="D333" s="59" t="str">
        <x:v>ไม่ทราบ</x:v>
      </x:c>
      <x:c r="E333" s="59" t="str">
        <x:v>ไม่ทราบ</x:v>
      </x:c>
      <x:c r="F333" s="59" t="str">
        <x:v>ไม่ทราบ</x:v>
      </x:c>
      <x:c r="G333" s="59" t="str">
        <x:v>ไม่ทราบ</x:v>
      </x:c>
      <x:c r="H333" s="59" t="str">
        <x:v>N/A</x:v>
      </x:c>
      <x:c r="I333" s="59"/>
      <x:c r="J333" s="59" t="str">
        <x:v>ไม่ทราบ</x:v>
      </x:c>
      <x:c r="K333" s="59"/>
      <x:c r="L333" s="59"/>
      <x:c r="M333" s="59"/>
      <x:c r="N333" s="59"/>
      <x:c r="O333" s="59"/>
      <x:c r="P333" s="59"/>
      <x:c r="Q333" s="59"/>
      <x:c r="R333" s="59"/>
      <x:c r="S333" s="59"/>
      <x:c r="T333" s="59"/>
      <x:c r="U333" s="59"/>
      <x:c r="V333" s="59"/>
      <x:c r="W333" s="59"/>
      <x:c r="X333" s="59"/>
      <x:c r="Y333" s="59"/>
      <x:c r="Z333" s="59"/>
      <x:c r="AA333" s="8" t="str">
        <x:f>IF(C333="ไม่ทราบ","",SUMIFS($K$7:$Z$7,K333:Z333,"&lt;&gt;N/A"))</x:f>
      </x:c>
      <x:c r="AB333" s="8" t="str">
        <x:f>IF(AND(OR(AND(C333="จำหน่ายอาหาร",ISNUMBER(K333),L333="N/A"),AND(C333="ไม่จำหน่ายอาหาร",K333="N/A",ISNUMBER(L333)),AND(C333="มัสยิด",K333="N/A",L333="N/A",X333="N/A")),COUNT(K333:Z333)+COUNTIFS(K333:Z333,"N/A")=16),SUM(K333:Z333),"")</x:f>
      </x:c>
      <x:c r="AC333" s="62" t="str">
        <x:f>IF(OR(AB333="",AA333&lt;=0),"",ROUND(AB333/AA333*100,1))</x:f>
      </x:c>
      <x:c r="AD333" s="8" t="str">
        <x:f>IF(COUNTIFS(D333:H333,"ไม่ผ่าน")&gt;0,"ไม่ผ่าน",IF(COUNTIFS(D333:H333,"ไม่ทราบ")+COUNTBLANK(D333:H333)&gt;0,"รอยืนยัน","ผ่าน"))</x:f>
        <x:v>รอยืนยัน</x:v>
      </x:c>
      <x:c r="AE333" s="8" t="str">
        <x:f>IF(AF333="ใช่","ไม่ผ่านการคัดเลือก",IF(AND(AD333="ผ่าน",ISNUMBER(AC333),AC333&gt;=70),"พร้อมขาย",IF(OR(J333="ใช่",AND(ISNUMBER(AC333),AC333&gt;=50)),"พัฒนาเพื่อพร้อมขาย",IF(AND(ISNUMBER(AC333),AC333&lt;50,I333&gt;=1),"มีศักยภาพ แต่ต้องพัฒนามาตรฐาน","รอประเมิน"))))</x:f>
        <x:v>รอประเมิน</x:v>
      </x:c>
      <x:c r="AF333" s="59" t="str">
        <x:v>ไม่ทราบ</x:v>
      </x:c>
      <x:c r="AG333" s="8" t="str">
        <x:f>IF(AF333="ใช่","หัวหน้าทีมพิจารณาเหตุไม่ผ่าน",IF(OR(AA333&lt;=0,NOT(OR(AND(C333="จำหน่ายอาหาร",ISNUMBER(K333),L333="N/A"),AND(C333="ไม่จำหน่ายอาหาร",K333="N/A",ISNUMBER(L333)),AND(C333="มัสยิด",K333="N/A",L333="N/A",X333="N/A"))),AD333="รอยืนยัน",COUNT(K333:Z333)+COUNTIFS(K333:Z333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3" s="59" t="str"/>
      <x:c r="AI333" s="61"/>
    </x:row>
    <x:row r="334" ht="60" customHeight="1">
      <x:c r="A334" s="2" t="str">
        <x:v>TMF-214</x:v>
      </x:c>
      <x:c r="B334" s="8" t="str">
        <x:v>Alfahad Hotel</x:v>
      </x:c>
      <x:c r="C334" s="59" t="str">
        <x:v>ไม่ทราบ</x:v>
      </x:c>
      <x:c r="D334" s="59" t="str">
        <x:v>ไม่ทราบ</x:v>
      </x:c>
      <x:c r="E334" s="59" t="str">
        <x:v>ไม่ทราบ</x:v>
      </x:c>
      <x:c r="F334" s="59" t="str">
        <x:v>ไม่ทราบ</x:v>
      </x:c>
      <x:c r="G334" s="59" t="str">
        <x:v>ไม่ทราบ</x:v>
      </x:c>
      <x:c r="H334" s="59" t="str">
        <x:v>ไม่ทราบ</x:v>
      </x:c>
      <x:c r="I334" s="59"/>
      <x:c r="J334" s="59" t="str">
        <x:v>ไม่ทราบ</x:v>
      </x:c>
      <x:c r="K334" s="59"/>
      <x:c r="L334" s="59"/>
      <x:c r="M334" s="59"/>
      <x:c r="N334" s="59"/>
      <x:c r="O334" s="59"/>
      <x:c r="P334" s="59"/>
      <x:c r="Q334" s="59"/>
      <x:c r="R334" s="59"/>
      <x:c r="S334" s="59"/>
      <x:c r="T334" s="59"/>
      <x:c r="U334" s="59"/>
      <x:c r="V334" s="59"/>
      <x:c r="W334" s="59"/>
      <x:c r="X334" s="59"/>
      <x:c r="Y334" s="59"/>
      <x:c r="Z334" s="59"/>
      <x:c r="AA334" s="8" t="str">
        <x:f>IF(C334="ไม่ทราบ","",SUMIFS($K$7:$Z$7,K334:Z334,"&lt;&gt;N/A"))</x:f>
      </x:c>
      <x:c r="AB334" s="8" t="str">
        <x:f>IF(AND(OR(AND(C334="จำหน่ายอาหาร",ISNUMBER(K334),L334="N/A"),AND(C334="ไม่จำหน่ายอาหาร",K334="N/A",ISNUMBER(L334)),AND(C334="มัสยิด",K334="N/A",L334="N/A",X334="N/A")),COUNT(K334:Z334)+COUNTIFS(K334:Z334,"N/A")=16),SUM(K334:Z334),"")</x:f>
      </x:c>
      <x:c r="AC334" s="62" t="str">
        <x:f>IF(OR(AB334="",AA334&lt;=0),"",ROUND(AB334/AA334*100,1))</x:f>
      </x:c>
      <x:c r="AD334" s="8" t="str">
        <x:f>IF(COUNTIFS(D334:H334,"ไม่ผ่าน")&gt;0,"ไม่ผ่าน",IF(COUNTIFS(D334:H334,"ไม่ทราบ")+COUNTBLANK(D334:H334)&gt;0,"รอยืนยัน","ผ่าน"))</x:f>
        <x:v>รอยืนยัน</x:v>
      </x:c>
      <x:c r="AE334" s="8" t="str">
        <x:f>IF(AF334="ใช่","ไม่ผ่านการคัดเลือก",IF(AND(AD334="ผ่าน",ISNUMBER(AC334),AC334&gt;=70),"พร้อมขาย",IF(OR(J334="ใช่",AND(ISNUMBER(AC334),AC334&gt;=50)),"พัฒนาเพื่อพร้อมขาย",IF(AND(ISNUMBER(AC334),AC334&lt;50,I334&gt;=1),"มีศักยภาพ แต่ต้องพัฒนามาตรฐาน","รอประเมิน"))))</x:f>
        <x:v>รอประเมิน</x:v>
      </x:c>
      <x:c r="AF334" s="59" t="str">
        <x:v>ไม่ทราบ</x:v>
      </x:c>
      <x:c r="AG334" s="8" t="str">
        <x:f>IF(AF334="ใช่","หัวหน้าทีมพิจารณาเหตุไม่ผ่าน",IF(OR(AA334&lt;=0,NOT(OR(AND(C334="จำหน่ายอาหาร",ISNUMBER(K334),L334="N/A"),AND(C334="ไม่จำหน่ายอาหาร",K334="N/A",ISNUMBER(L334)),AND(C334="มัสยิด",K334="N/A",L334="N/A",X334="N/A"))),AD334="รอยืนยัน",COUNT(K334:Z334)+COUNTIFS(K334:Z334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4" s="59" t="str"/>
      <x:c r="AI334" s="61"/>
    </x:row>
    <x:row r="335" ht="60" customHeight="1">
      <x:c r="A335" s="2" t="str">
        <x:v>GMHI-3</x:v>
      </x:c>
      <x:c r="B335" s="8" t="str">
        <x:v>Crystal Hotel Hat Yai</x:v>
      </x:c>
      <x:c r="C335" s="59" t="str">
        <x:v>ไม่ทราบ</x:v>
      </x:c>
      <x:c r="D335" s="59" t="str">
        <x:v>ไม่ทราบ</x:v>
      </x:c>
      <x:c r="E335" s="59" t="str">
        <x:v>ไม่ทราบ</x:v>
      </x:c>
      <x:c r="F335" s="59" t="str">
        <x:v>ไม่ทราบ</x:v>
      </x:c>
      <x:c r="G335" s="59" t="str">
        <x:v>ไม่ทราบ</x:v>
      </x:c>
      <x:c r="H335" s="59" t="str">
        <x:v>ไม่ทราบ</x:v>
      </x:c>
      <x:c r="I335" s="59"/>
      <x:c r="J335" s="59" t="str">
        <x:v>ไม่ทราบ</x:v>
      </x:c>
      <x:c r="K335" s="59"/>
      <x:c r="L335" s="59"/>
      <x:c r="M335" s="59"/>
      <x:c r="N335" s="59"/>
      <x:c r="O335" s="59"/>
      <x:c r="P335" s="59"/>
      <x:c r="Q335" s="59"/>
      <x:c r="R335" s="59"/>
      <x:c r="S335" s="59"/>
      <x:c r="T335" s="59"/>
      <x:c r="U335" s="59"/>
      <x:c r="V335" s="59"/>
      <x:c r="W335" s="59"/>
      <x:c r="X335" s="59"/>
      <x:c r="Y335" s="59"/>
      <x:c r="Z335" s="59"/>
      <x:c r="AA335" s="8" t="str">
        <x:f>IF(C335="ไม่ทราบ","",SUMIFS($K$7:$Z$7,K335:Z335,"&lt;&gt;N/A"))</x:f>
      </x:c>
      <x:c r="AB335" s="8" t="str">
        <x:f>IF(AND(OR(AND(C335="จำหน่ายอาหาร",ISNUMBER(K335),L335="N/A"),AND(C335="ไม่จำหน่ายอาหาร",K335="N/A",ISNUMBER(L335)),AND(C335="มัสยิด",K335="N/A",L335="N/A",X335="N/A")),COUNT(K335:Z335)+COUNTIFS(K335:Z335,"N/A")=16),SUM(K335:Z335),"")</x:f>
      </x:c>
      <x:c r="AC335" s="62" t="str">
        <x:f>IF(OR(AB335="",AA335&lt;=0),"",ROUND(AB335/AA335*100,1))</x:f>
      </x:c>
      <x:c r="AD335" s="8" t="str">
        <x:f>IF(COUNTIFS(D335:H335,"ไม่ผ่าน")&gt;0,"ไม่ผ่าน",IF(COUNTIFS(D335:H335,"ไม่ทราบ")+COUNTBLANK(D335:H335)&gt;0,"รอยืนยัน","ผ่าน"))</x:f>
        <x:v>รอยืนยัน</x:v>
      </x:c>
      <x:c r="AE335" s="8" t="str">
        <x:f>IF(AF335="ใช่","ไม่ผ่านการคัดเลือก",IF(AND(AD335="ผ่าน",ISNUMBER(AC335),AC335&gt;=70),"พร้อมขาย",IF(OR(J335="ใช่",AND(ISNUMBER(AC335),AC335&gt;=50)),"พัฒนาเพื่อพร้อมขาย",IF(AND(ISNUMBER(AC335),AC335&lt;50,I335&gt;=1),"มีศักยภาพ แต่ต้องพัฒนามาตรฐาน","รอประเมิน"))))</x:f>
        <x:v>รอประเมิน</x:v>
      </x:c>
      <x:c r="AF335" s="59" t="str">
        <x:v>ไม่ทราบ</x:v>
      </x:c>
      <x:c r="AG335" s="8" t="str">
        <x:f>IF(AF335="ใช่","หัวหน้าทีมพิจารณาเหตุไม่ผ่าน",IF(OR(AA335&lt;=0,NOT(OR(AND(C335="จำหน่ายอาหาร",ISNUMBER(K335),L335="N/A"),AND(C335="ไม่จำหน่ายอาหาร",K335="N/A",ISNUMBER(L335)),AND(C335="มัสยิด",K335="N/A",L335="N/A",X335="N/A"))),AD335="รอยืนยัน",COUNT(K335:Z335)+COUNTIFS(K335:Z335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5" s="59" t="str"/>
      <x:c r="AI335" s="61"/>
    </x:row>
    <x:row r="336" ht="60" customHeight="1">
      <x:c r="A336" s="2" t="str">
        <x:v>GMHI-20</x:v>
      </x:c>
      <x:c r="B336" s="8" t="str">
        <x:v>The signature hotel airport</x:v>
      </x:c>
      <x:c r="C336" s="59" t="str">
        <x:v>ไม่ทราบ</x:v>
      </x:c>
      <x:c r="D336" s="59" t="str">
        <x:v>ไม่ทราบ</x:v>
      </x:c>
      <x:c r="E336" s="59" t="str">
        <x:v>ไม่ทราบ</x:v>
      </x:c>
      <x:c r="F336" s="59" t="str">
        <x:v>ไม่ทราบ</x:v>
      </x:c>
      <x:c r="G336" s="59" t="str">
        <x:v>ไม่ทราบ</x:v>
      </x:c>
      <x:c r="H336" s="59" t="str">
        <x:v>ไม่ทราบ</x:v>
      </x:c>
      <x:c r="I336" s="59"/>
      <x:c r="J336" s="59" t="str">
        <x:v>ไม่ทราบ</x:v>
      </x:c>
      <x:c r="K336" s="59"/>
      <x:c r="L336" s="59"/>
      <x:c r="M336" s="59"/>
      <x:c r="N336" s="59"/>
      <x:c r="O336" s="59"/>
      <x:c r="P336" s="59"/>
      <x:c r="Q336" s="59"/>
      <x:c r="R336" s="59"/>
      <x:c r="S336" s="59"/>
      <x:c r="T336" s="59"/>
      <x:c r="U336" s="59"/>
      <x:c r="V336" s="59"/>
      <x:c r="W336" s="59"/>
      <x:c r="X336" s="59"/>
      <x:c r="Y336" s="59"/>
      <x:c r="Z336" s="59"/>
      <x:c r="AA336" s="8" t="str">
        <x:f>IF(C336="ไม่ทราบ","",SUMIFS($K$7:$Z$7,K336:Z336,"&lt;&gt;N/A"))</x:f>
      </x:c>
      <x:c r="AB336" s="8" t="str">
        <x:f>IF(AND(OR(AND(C336="จำหน่ายอาหาร",ISNUMBER(K336),L336="N/A"),AND(C336="ไม่จำหน่ายอาหาร",K336="N/A",ISNUMBER(L336)),AND(C336="มัสยิด",K336="N/A",L336="N/A",X336="N/A")),COUNT(K336:Z336)+COUNTIFS(K336:Z336,"N/A")=16),SUM(K336:Z336),"")</x:f>
      </x:c>
      <x:c r="AC336" s="62" t="str">
        <x:f>IF(OR(AB336="",AA336&lt;=0),"",ROUND(AB336/AA336*100,1))</x:f>
      </x:c>
      <x:c r="AD336" s="8" t="str">
        <x:f>IF(COUNTIFS(D336:H336,"ไม่ผ่าน")&gt;0,"ไม่ผ่าน",IF(COUNTIFS(D336:H336,"ไม่ทราบ")+COUNTBLANK(D336:H336)&gt;0,"รอยืนยัน","ผ่าน"))</x:f>
        <x:v>รอยืนยัน</x:v>
      </x:c>
      <x:c r="AE336" s="8" t="str">
        <x:f>IF(AF336="ใช่","ไม่ผ่านการคัดเลือก",IF(AND(AD336="ผ่าน",ISNUMBER(AC336),AC336&gt;=70),"พร้อมขาย",IF(OR(J336="ใช่",AND(ISNUMBER(AC336),AC336&gt;=50)),"พัฒนาเพื่อพร้อมขาย",IF(AND(ISNUMBER(AC336),AC336&lt;50,I336&gt;=1),"มีศักยภาพ แต่ต้องพัฒนามาตรฐาน","รอประเมิน"))))</x:f>
        <x:v>รอประเมิน</x:v>
      </x:c>
      <x:c r="AF336" s="59" t="str">
        <x:v>ไม่ทราบ</x:v>
      </x:c>
      <x:c r="AG336" s="8" t="str">
        <x:f>IF(AF336="ใช่","หัวหน้าทีมพิจารณาเหตุไม่ผ่าน",IF(OR(AA336&lt;=0,NOT(OR(AND(C336="จำหน่ายอาหาร",ISNUMBER(K336),L336="N/A"),AND(C336="ไม่จำหน่ายอาหาร",K336="N/A",ISNUMBER(L336)),AND(C336="มัสยิด",K336="N/A",L336="N/A",X336="N/A"))),AD336="รอยืนยัน",COUNT(K336:Z336)+COUNTIFS(K336:Z336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6" s="59" t="str"/>
      <x:c r="AI336" s="61"/>
    </x:row>
    <x:row r="337" ht="60" customHeight="1">
      <x:c r="A337" s="2" t="str">
        <x:v>TMF-394</x:v>
      </x:c>
      <x:c r="B337" s="8" t="str">
        <x:v>โรงแรม บี.พี. แกรนด์ทาวเวอร์</x:v>
      </x:c>
      <x:c r="C337" s="59" t="str">
        <x:v>ไม่ทราบ</x:v>
      </x:c>
      <x:c r="D337" s="59" t="str">
        <x:v>ไม่ทราบ</x:v>
      </x:c>
      <x:c r="E337" s="59" t="str">
        <x:v>ไม่ทราบ</x:v>
      </x:c>
      <x:c r="F337" s="59" t="str">
        <x:v>ไม่ทราบ</x:v>
      </x:c>
      <x:c r="G337" s="59" t="str">
        <x:v>ไม่ทราบ</x:v>
      </x:c>
      <x:c r="H337" s="59" t="str">
        <x:v>ไม่ทราบ</x:v>
      </x:c>
      <x:c r="I337" s="59"/>
      <x:c r="J337" s="59" t="str">
        <x:v>ไม่ทราบ</x:v>
      </x:c>
      <x:c r="K337" s="59"/>
      <x:c r="L337" s="59"/>
      <x:c r="M337" s="59"/>
      <x:c r="N337" s="59"/>
      <x:c r="O337" s="59"/>
      <x:c r="P337" s="59"/>
      <x:c r="Q337" s="59"/>
      <x:c r="R337" s="59"/>
      <x:c r="S337" s="59"/>
      <x:c r="T337" s="59"/>
      <x:c r="U337" s="59"/>
      <x:c r="V337" s="59"/>
      <x:c r="W337" s="59"/>
      <x:c r="X337" s="59"/>
      <x:c r="Y337" s="59"/>
      <x:c r="Z337" s="59"/>
      <x:c r="AA337" s="8" t="str">
        <x:f>IF(C337="ไม่ทราบ","",SUMIFS($K$7:$Z$7,K337:Z337,"&lt;&gt;N/A"))</x:f>
      </x:c>
      <x:c r="AB337" s="8" t="str">
        <x:f>IF(AND(OR(AND(C337="จำหน่ายอาหาร",ISNUMBER(K337),L337="N/A"),AND(C337="ไม่จำหน่ายอาหาร",K337="N/A",ISNUMBER(L337)),AND(C337="มัสยิด",K337="N/A",L337="N/A",X337="N/A")),COUNT(K337:Z337)+COUNTIFS(K337:Z337,"N/A")=16),SUM(K337:Z337),"")</x:f>
      </x:c>
      <x:c r="AC337" s="62" t="str">
        <x:f>IF(OR(AB337="",AA337&lt;=0),"",ROUND(AB337/AA337*100,1))</x:f>
      </x:c>
      <x:c r="AD337" s="8" t="str">
        <x:f>IF(COUNTIFS(D337:H337,"ไม่ผ่าน")&gt;0,"ไม่ผ่าน",IF(COUNTIFS(D337:H337,"ไม่ทราบ")+COUNTBLANK(D337:H337)&gt;0,"รอยืนยัน","ผ่าน"))</x:f>
        <x:v>รอยืนยัน</x:v>
      </x:c>
      <x:c r="AE337" s="8" t="str">
        <x:f>IF(AF337="ใช่","ไม่ผ่านการคัดเลือก",IF(AND(AD337="ผ่าน",ISNUMBER(AC337),AC337&gt;=70),"พร้อมขาย",IF(OR(J337="ใช่",AND(ISNUMBER(AC337),AC337&gt;=50)),"พัฒนาเพื่อพร้อมขาย",IF(AND(ISNUMBER(AC337),AC337&lt;50,I337&gt;=1),"มีศักยภาพ แต่ต้องพัฒนามาตรฐาน","รอประเมิน"))))</x:f>
        <x:v>รอประเมิน</x:v>
      </x:c>
      <x:c r="AF337" s="59" t="str">
        <x:v>ไม่ทราบ</x:v>
      </x:c>
      <x:c r="AG337" s="8" t="str">
        <x:f>IF(AF337="ใช่","หัวหน้าทีมพิจารณาเหตุไม่ผ่าน",IF(OR(AA337&lt;=0,NOT(OR(AND(C337="จำหน่ายอาหาร",ISNUMBER(K337),L337="N/A"),AND(C337="ไม่จำหน่ายอาหาร",K337="N/A",ISNUMBER(L337)),AND(C337="มัสยิด",K337="N/A",L337="N/A",X337="N/A"))),AD337="รอยืนยัน",COUNT(K337:Z337)+COUNTIFS(K337:Z337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7" s="59" t="str"/>
      <x:c r="AI337" s="61"/>
    </x:row>
    <x:row r="338" ht="60" customHeight="1">
      <x:c r="A338" s="2" t="str">
        <x:v>TMF-395</x:v>
      </x:c>
      <x:c r="B338" s="8" t="str">
        <x:v>โรงแรม หรรษา เจบี</x:v>
      </x:c>
      <x:c r="C338" s="59" t="str">
        <x:v>ไม่ทราบ</x:v>
      </x:c>
      <x:c r="D338" s="59" t="str">
        <x:v>ไม่ทราบ</x:v>
      </x:c>
      <x:c r="E338" s="59" t="str">
        <x:v>ไม่ทราบ</x:v>
      </x:c>
      <x:c r="F338" s="59" t="str">
        <x:v>ไม่ทราบ</x:v>
      </x:c>
      <x:c r="G338" s="59" t="str">
        <x:v>ไม่ทราบ</x:v>
      </x:c>
      <x:c r="H338" s="59" t="str">
        <x:v>ไม่ทราบ</x:v>
      </x:c>
      <x:c r="I338" s="59"/>
      <x:c r="J338" s="59" t="str">
        <x:v>ไม่ทราบ</x:v>
      </x:c>
      <x:c r="K338" s="59"/>
      <x:c r="L338" s="59"/>
      <x:c r="M338" s="59"/>
      <x:c r="N338" s="59"/>
      <x:c r="O338" s="59"/>
      <x:c r="P338" s="59"/>
      <x:c r="Q338" s="59"/>
      <x:c r="R338" s="59"/>
      <x:c r="S338" s="59"/>
      <x:c r="T338" s="59"/>
      <x:c r="U338" s="59"/>
      <x:c r="V338" s="59"/>
      <x:c r="W338" s="59"/>
      <x:c r="X338" s="59"/>
      <x:c r="Y338" s="59"/>
      <x:c r="Z338" s="59"/>
      <x:c r="AA338" s="8" t="str">
        <x:f>IF(C338="ไม่ทราบ","",SUMIFS($K$7:$Z$7,K338:Z338,"&lt;&gt;N/A"))</x:f>
      </x:c>
      <x:c r="AB338" s="8" t="str">
        <x:f>IF(AND(OR(AND(C338="จำหน่ายอาหาร",ISNUMBER(K338),L338="N/A"),AND(C338="ไม่จำหน่ายอาหาร",K338="N/A",ISNUMBER(L338)),AND(C338="มัสยิด",K338="N/A",L338="N/A",X338="N/A")),COUNT(K338:Z338)+COUNTIFS(K338:Z338,"N/A")=16),SUM(K338:Z338),"")</x:f>
      </x:c>
      <x:c r="AC338" s="62" t="str">
        <x:f>IF(OR(AB338="",AA338&lt;=0),"",ROUND(AB338/AA338*100,1))</x:f>
      </x:c>
      <x:c r="AD338" s="8" t="str">
        <x:f>IF(COUNTIFS(D338:H338,"ไม่ผ่าน")&gt;0,"ไม่ผ่าน",IF(COUNTIFS(D338:H338,"ไม่ทราบ")+COUNTBLANK(D338:H338)&gt;0,"รอยืนยัน","ผ่าน"))</x:f>
        <x:v>รอยืนยัน</x:v>
      </x:c>
      <x:c r="AE338" s="8" t="str">
        <x:f>IF(AF338="ใช่","ไม่ผ่านการคัดเลือก",IF(AND(AD338="ผ่าน",ISNUMBER(AC338),AC338&gt;=70),"พร้อมขาย",IF(OR(J338="ใช่",AND(ISNUMBER(AC338),AC338&gt;=50)),"พัฒนาเพื่อพร้อมขาย",IF(AND(ISNUMBER(AC338),AC338&lt;50,I338&gt;=1),"มีศักยภาพ แต่ต้องพัฒนามาตรฐาน","รอประเมิน"))))</x:f>
        <x:v>รอประเมิน</x:v>
      </x:c>
      <x:c r="AF338" s="59" t="str">
        <x:v>ไม่ทราบ</x:v>
      </x:c>
      <x:c r="AG338" s="8" t="str">
        <x:f>IF(AF338="ใช่","หัวหน้าทีมพิจารณาเหตุไม่ผ่าน",IF(OR(AA338&lt;=0,NOT(OR(AND(C338="จำหน่ายอาหาร",ISNUMBER(K338),L338="N/A"),AND(C338="ไม่จำหน่ายอาหาร",K338="N/A",ISNUMBER(L338)),AND(C338="มัสยิด",K338="N/A",L338="N/A",X338="N/A"))),AD338="รอยืนยัน",COUNT(K338:Z338)+COUNTIFS(K338:Z338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8" s="59" t="str"/>
      <x:c r="AI338" s="61"/>
    </x:row>
    <x:row r="339" ht="60" customHeight="1">
      <x:c r="A339" s="2" t="str">
        <x:v>TMF-215</x:v>
      </x:c>
      <x:c r="B339" s="8" t="str">
        <x:v>โรงแรมญันนะตีย์</x:v>
      </x:c>
      <x:c r="C339" s="59" t="str">
        <x:v>ไม่ทราบ</x:v>
      </x:c>
      <x:c r="D339" s="59" t="str">
        <x:v>ไม่ทราบ</x:v>
      </x:c>
      <x:c r="E339" s="59" t="str">
        <x:v>ไม่ทราบ</x:v>
      </x:c>
      <x:c r="F339" s="59" t="str">
        <x:v>ไม่ทราบ</x:v>
      </x:c>
      <x:c r="G339" s="59" t="str">
        <x:v>ไม่ทราบ</x:v>
      </x:c>
      <x:c r="H339" s="59" t="str">
        <x:v>ไม่ทราบ</x:v>
      </x:c>
      <x:c r="I339" s="59"/>
      <x:c r="J339" s="59" t="str">
        <x:v>ไม่ทราบ</x:v>
      </x:c>
      <x:c r="K339" s="59"/>
      <x:c r="L339" s="59"/>
      <x:c r="M339" s="59"/>
      <x:c r="N339" s="59"/>
      <x:c r="O339" s="59"/>
      <x:c r="P339" s="59"/>
      <x:c r="Q339" s="59"/>
      <x:c r="R339" s="59"/>
      <x:c r="S339" s="59"/>
      <x:c r="T339" s="59"/>
      <x:c r="U339" s="59"/>
      <x:c r="V339" s="59"/>
      <x:c r="W339" s="59"/>
      <x:c r="X339" s="59"/>
      <x:c r="Y339" s="59"/>
      <x:c r="Z339" s="59"/>
      <x:c r="AA339" s="8" t="str">
        <x:f>IF(C339="ไม่ทราบ","",SUMIFS($K$7:$Z$7,K339:Z339,"&lt;&gt;N/A"))</x:f>
      </x:c>
      <x:c r="AB339" s="8" t="str">
        <x:f>IF(AND(OR(AND(C339="จำหน่ายอาหาร",ISNUMBER(K339),L339="N/A"),AND(C339="ไม่จำหน่ายอาหาร",K339="N/A",ISNUMBER(L339)),AND(C339="มัสยิด",K339="N/A",L339="N/A",X339="N/A")),COUNT(K339:Z339)+COUNTIFS(K339:Z339,"N/A")=16),SUM(K339:Z339),"")</x:f>
      </x:c>
      <x:c r="AC339" s="62" t="str">
        <x:f>IF(OR(AB339="",AA339&lt;=0),"",ROUND(AB339/AA339*100,1))</x:f>
      </x:c>
      <x:c r="AD339" s="8" t="str">
        <x:f>IF(COUNTIFS(D339:H339,"ไม่ผ่าน")&gt;0,"ไม่ผ่าน",IF(COUNTIFS(D339:H339,"ไม่ทราบ")+COUNTBLANK(D339:H339)&gt;0,"รอยืนยัน","ผ่าน"))</x:f>
        <x:v>รอยืนยัน</x:v>
      </x:c>
      <x:c r="AE339" s="8" t="str">
        <x:f>IF(AF339="ใช่","ไม่ผ่านการคัดเลือก",IF(AND(AD339="ผ่าน",ISNUMBER(AC339),AC339&gt;=70),"พร้อมขาย",IF(OR(J339="ใช่",AND(ISNUMBER(AC339),AC339&gt;=50)),"พัฒนาเพื่อพร้อมขาย",IF(AND(ISNUMBER(AC339),AC339&lt;50,I339&gt;=1),"มีศักยภาพ แต่ต้องพัฒนามาตรฐาน","รอประเมิน"))))</x:f>
        <x:v>รอประเมิน</x:v>
      </x:c>
      <x:c r="AF339" s="59" t="str">
        <x:v>ไม่ทราบ</x:v>
      </x:c>
      <x:c r="AG339" s="8" t="str">
        <x:f>IF(AF339="ใช่","หัวหน้าทีมพิจารณาเหตุไม่ผ่าน",IF(OR(AA339&lt;=0,NOT(OR(AND(C339="จำหน่ายอาหาร",ISNUMBER(K339),L339="N/A"),AND(C339="ไม่จำหน่ายอาหาร",K339="N/A",ISNUMBER(L339)),AND(C339="มัสยิด",K339="N/A",L339="N/A",X339="N/A"))),AD339="รอยืนยัน",COUNT(K339:Z339)+COUNTIFS(K339:Z339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39" s="59" t="str"/>
      <x:c r="AI339" s="61"/>
    </x:row>
    <x:row r="340" ht="60" customHeight="1">
      <x:c r="A340" s="2" t="str">
        <x:v>TMF-396</x:v>
      </x:c>
      <x:c r="B340" s="8" t="str">
        <x:v>โรงแรมหาดแก้ว รีสอร์ท สงขลา</x:v>
      </x:c>
      <x:c r="C340" s="59" t="str">
        <x:v>ไม่ทราบ</x:v>
      </x:c>
      <x:c r="D340" s="59" t="str">
        <x:v>ไม่ทราบ</x:v>
      </x:c>
      <x:c r="E340" s="59" t="str">
        <x:v>ไม่ทราบ</x:v>
      </x:c>
      <x:c r="F340" s="59" t="str">
        <x:v>ไม่ทราบ</x:v>
      </x:c>
      <x:c r="G340" s="59" t="str">
        <x:v>ไม่ทราบ</x:v>
      </x:c>
      <x:c r="H340" s="59" t="str">
        <x:v>ไม่ทราบ</x:v>
      </x:c>
      <x:c r="I340" s="59"/>
      <x:c r="J340" s="59" t="str">
        <x:v>ไม่ทราบ</x:v>
      </x:c>
      <x:c r="K340" s="59"/>
      <x:c r="L340" s="59"/>
      <x:c r="M340" s="59"/>
      <x:c r="N340" s="59"/>
      <x:c r="O340" s="59"/>
      <x:c r="P340" s="59"/>
      <x:c r="Q340" s="59"/>
      <x:c r="R340" s="59"/>
      <x:c r="S340" s="59"/>
      <x:c r="T340" s="59"/>
      <x:c r="U340" s="59"/>
      <x:c r="V340" s="59"/>
      <x:c r="W340" s="59"/>
      <x:c r="X340" s="59"/>
      <x:c r="Y340" s="59"/>
      <x:c r="Z340" s="59"/>
      <x:c r="AA340" s="8" t="str">
        <x:f>IF(C340="ไม่ทราบ","",SUMIFS($K$7:$Z$7,K340:Z340,"&lt;&gt;N/A"))</x:f>
      </x:c>
      <x:c r="AB340" s="8" t="str">
        <x:f>IF(AND(OR(AND(C340="จำหน่ายอาหาร",ISNUMBER(K340),L340="N/A"),AND(C340="ไม่จำหน่ายอาหาร",K340="N/A",ISNUMBER(L340)),AND(C340="มัสยิด",K340="N/A",L340="N/A",X340="N/A")),COUNT(K340:Z340)+COUNTIFS(K340:Z340,"N/A")=16),SUM(K340:Z340),"")</x:f>
      </x:c>
      <x:c r="AC340" s="62" t="str">
        <x:f>IF(OR(AB340="",AA340&lt;=0),"",ROUND(AB340/AA340*100,1))</x:f>
      </x:c>
      <x:c r="AD340" s="8" t="str">
        <x:f>IF(COUNTIFS(D340:H340,"ไม่ผ่าน")&gt;0,"ไม่ผ่าน",IF(COUNTIFS(D340:H340,"ไม่ทราบ")+COUNTBLANK(D340:H340)&gt;0,"รอยืนยัน","ผ่าน"))</x:f>
        <x:v>รอยืนยัน</x:v>
      </x:c>
      <x:c r="AE340" s="8" t="str">
        <x:f>IF(AF340="ใช่","ไม่ผ่านการคัดเลือก",IF(AND(AD340="ผ่าน",ISNUMBER(AC340),AC340&gt;=70),"พร้อมขาย",IF(OR(J340="ใช่",AND(ISNUMBER(AC340),AC340&gt;=50)),"พัฒนาเพื่อพร้อมขาย",IF(AND(ISNUMBER(AC340),AC340&lt;50,I340&gt;=1),"มีศักยภาพ แต่ต้องพัฒนามาตรฐาน","รอประเมิน"))))</x:f>
        <x:v>รอประเมิน</x:v>
      </x:c>
      <x:c r="AF340" s="59" t="str">
        <x:v>ไม่ทราบ</x:v>
      </x:c>
      <x:c r="AG340" s="8" t="str">
        <x:f>IF(AF340="ใช่","หัวหน้าทีมพิจารณาเหตุไม่ผ่าน",IF(OR(AA340&lt;=0,NOT(OR(AND(C340="จำหน่ายอาหาร",ISNUMBER(K340),L340="N/A"),AND(C340="ไม่จำหน่ายอาหาร",K340="N/A",ISNUMBER(L340)),AND(C340="มัสยิด",K340="N/A",L340="N/A",X340="N/A"))),AD340="รอยืนยัน",COUNT(K340:Z340)+COUNTIFS(K340:Z340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0" s="59" t="str"/>
      <x:c r="AI340" s="61"/>
    </x:row>
    <x:row r="341" ht="60" customHeight="1">
      <x:c r="A341" s="2" t="str">
        <x:v>TMF-397</x:v>
      </x:c>
      <x:c r="B341" s="8" t="str">
        <x:v>โรงแรมเซาท์เทอร์น แอร์พอร์ต</x:v>
      </x:c>
      <x:c r="C341" s="59" t="str">
        <x:v>ไม่ทราบ</x:v>
      </x:c>
      <x:c r="D341" s="59" t="str">
        <x:v>ไม่ทราบ</x:v>
      </x:c>
      <x:c r="E341" s="59" t="str">
        <x:v>ไม่ทราบ</x:v>
      </x:c>
      <x:c r="F341" s="59" t="str">
        <x:v>ไม่ทราบ</x:v>
      </x:c>
      <x:c r="G341" s="59" t="str">
        <x:v>ไม่ทราบ</x:v>
      </x:c>
      <x:c r="H341" s="59" t="str">
        <x:v>ไม่ทราบ</x:v>
      </x:c>
      <x:c r="I341" s="59"/>
      <x:c r="J341" s="59" t="str">
        <x:v>ไม่ทราบ</x:v>
      </x:c>
      <x:c r="K341" s="59"/>
      <x:c r="L341" s="59"/>
      <x:c r="M341" s="59"/>
      <x:c r="N341" s="59"/>
      <x:c r="O341" s="59"/>
      <x:c r="P341" s="59"/>
      <x:c r="Q341" s="59"/>
      <x:c r="R341" s="59"/>
      <x:c r="S341" s="59"/>
      <x:c r="T341" s="59"/>
      <x:c r="U341" s="59"/>
      <x:c r="V341" s="59"/>
      <x:c r="W341" s="59"/>
      <x:c r="X341" s="59"/>
      <x:c r="Y341" s="59"/>
      <x:c r="Z341" s="59"/>
      <x:c r="AA341" s="8" t="str">
        <x:f>IF(C341="ไม่ทราบ","",SUMIFS($K$7:$Z$7,K341:Z341,"&lt;&gt;N/A"))</x:f>
      </x:c>
      <x:c r="AB341" s="8" t="str">
        <x:f>IF(AND(OR(AND(C341="จำหน่ายอาหาร",ISNUMBER(K341),L341="N/A"),AND(C341="ไม่จำหน่ายอาหาร",K341="N/A",ISNUMBER(L341)),AND(C341="มัสยิด",K341="N/A",L341="N/A",X341="N/A")),COUNT(K341:Z341)+COUNTIFS(K341:Z341,"N/A")=16),SUM(K341:Z341),"")</x:f>
      </x:c>
      <x:c r="AC341" s="62" t="str">
        <x:f>IF(OR(AB341="",AA341&lt;=0),"",ROUND(AB341/AA341*100,1))</x:f>
      </x:c>
      <x:c r="AD341" s="8" t="str">
        <x:f>IF(COUNTIFS(D341:H341,"ไม่ผ่าน")&gt;0,"ไม่ผ่าน",IF(COUNTIFS(D341:H341,"ไม่ทราบ")+COUNTBLANK(D341:H341)&gt;0,"รอยืนยัน","ผ่าน"))</x:f>
        <x:v>รอยืนยัน</x:v>
      </x:c>
      <x:c r="AE341" s="8" t="str">
        <x:f>IF(AF341="ใช่","ไม่ผ่านการคัดเลือก",IF(AND(AD341="ผ่าน",ISNUMBER(AC341),AC341&gt;=70),"พร้อมขาย",IF(OR(J341="ใช่",AND(ISNUMBER(AC341),AC341&gt;=50)),"พัฒนาเพื่อพร้อมขาย",IF(AND(ISNUMBER(AC341),AC341&lt;50,I341&gt;=1),"มีศักยภาพ แต่ต้องพัฒนามาตรฐาน","รอประเมิน"))))</x:f>
        <x:v>รอประเมิน</x:v>
      </x:c>
      <x:c r="AF341" s="59" t="str">
        <x:v>ไม่ทราบ</x:v>
      </x:c>
      <x:c r="AG341" s="8" t="str">
        <x:f>IF(AF341="ใช่","หัวหน้าทีมพิจารณาเหตุไม่ผ่าน",IF(OR(AA341&lt;=0,NOT(OR(AND(C341="จำหน่ายอาหาร",ISNUMBER(K341),L341="N/A"),AND(C341="ไม่จำหน่ายอาหาร",K341="N/A",ISNUMBER(L341)),AND(C341="มัสยิด",K341="N/A",L341="N/A",X341="N/A"))),AD341="รอยืนยัน",COUNT(K341:Z341)+COUNTIFS(K341:Z341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1" s="59" t="str"/>
      <x:c r="AI341" s="61"/>
    </x:row>
    <x:row r="342" ht="60" customHeight="1">
      <x:c r="A342" s="2" t="str">
        <x:v>TMF-398</x:v>
      </x:c>
      <x:c r="B342" s="8" t="str">
        <x:v>AYAMCHON HATYAI</x:v>
      </x:c>
      <x:c r="C342" s="59" t="str">
        <x:v>จำหน่ายอาหาร</x:v>
      </x:c>
      <x:c r="D342" s="59" t="str">
        <x:v>ไม่ทราบ</x:v>
      </x:c>
      <x:c r="E342" s="59" t="str">
        <x:v>ไม่ทราบ</x:v>
      </x:c>
      <x:c r="F342" s="59" t="str">
        <x:v>ไม่ทราบ</x:v>
      </x:c>
      <x:c r="G342" s="59" t="str">
        <x:v>ไม่ทราบ</x:v>
      </x:c>
      <x:c r="H342" s="59" t="str">
        <x:v>N/A</x:v>
      </x:c>
      <x:c r="I342" s="59"/>
      <x:c r="J342" s="59" t="str">
        <x:v>ไม่ทราบ</x:v>
      </x:c>
      <x:c r="K342" s="59"/>
      <x:c r="L342" s="59" t="str">
        <x:v>N/A</x:v>
      </x:c>
      <x:c r="M342" s="59"/>
      <x:c r="N342" s="59"/>
      <x:c r="O342" s="59"/>
      <x:c r="P342" s="59"/>
      <x:c r="Q342" s="59"/>
      <x:c r="R342" s="59"/>
      <x:c r="S342" s="59"/>
      <x:c r="T342" s="59"/>
      <x:c r="U342" s="59"/>
      <x:c r="V342" s="59"/>
      <x:c r="W342" s="59"/>
      <x:c r="X342" s="59"/>
      <x:c r="Y342" s="59"/>
      <x:c r="Z342" s="59"/>
      <x:c r="AA342" s="8" t="n">
        <x:f>IF(C342="ไม่ทราบ","",SUMIFS($K$7:$Z$7,K342:Z342,"&lt;&gt;N/A"))</x:f>
        <x:v>100</x:v>
      </x:c>
      <x:c r="AB342" s="8" t="str">
        <x:f>IF(AND(OR(AND(C342="จำหน่ายอาหาร",ISNUMBER(K342),L342="N/A"),AND(C342="ไม่จำหน่ายอาหาร",K342="N/A",ISNUMBER(L342)),AND(C342="มัสยิด",K342="N/A",L342="N/A",X342="N/A")),COUNT(K342:Z342)+COUNTIFS(K342:Z342,"N/A")=16),SUM(K342:Z342),"")</x:f>
      </x:c>
      <x:c r="AC342" s="62" t="str">
        <x:f>IF(OR(AB342="",AA342&lt;=0),"",ROUND(AB342/AA342*100,1))</x:f>
      </x:c>
      <x:c r="AD342" s="8" t="str">
        <x:f>IF(COUNTIFS(D342:H342,"ไม่ผ่าน")&gt;0,"ไม่ผ่าน",IF(COUNTIFS(D342:H342,"ไม่ทราบ")+COUNTBLANK(D342:H342)&gt;0,"รอยืนยัน","ผ่าน"))</x:f>
        <x:v>รอยืนยัน</x:v>
      </x:c>
      <x:c r="AE342" s="8" t="str">
        <x:f>IF(AF342="ใช่","ไม่ผ่านการคัดเลือก",IF(AND(AD342="ผ่าน",ISNUMBER(AC342),AC342&gt;=70),"พร้อมขาย",IF(OR(J342="ใช่",AND(ISNUMBER(AC342),AC342&gt;=50)),"พัฒนาเพื่อพร้อมขาย",IF(AND(ISNUMBER(AC342),AC342&lt;50,I342&gt;=1),"มีศักยภาพ แต่ต้องพัฒนามาตรฐาน","รอประเมิน"))))</x:f>
        <x:v>รอประเมิน</x:v>
      </x:c>
      <x:c r="AF342" s="59" t="str">
        <x:v>ไม่ทราบ</x:v>
      </x:c>
      <x:c r="AG342" s="8" t="str">
        <x:f>IF(AF342="ใช่","หัวหน้าทีมพิจารณาเหตุไม่ผ่าน",IF(OR(AA342&lt;=0,NOT(OR(AND(C342="จำหน่ายอาหาร",ISNUMBER(K342),L342="N/A"),AND(C342="ไม่จำหน่ายอาหาร",K342="N/A",ISNUMBER(L342)),AND(C342="มัสยิด",K342="N/A",L342="N/A",X342="N/A"))),AD342="รอยืนยัน",COUNT(K342:Z342)+COUNTIFS(K342:Z342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2" s="59" t="str"/>
      <x:c r="AI342" s="61"/>
    </x:row>
    <x:row r="343" ht="60" customHeight="1">
      <x:c r="A343" s="2" t="str">
        <x:v>TMF-216</x:v>
      </x:c>
      <x:c r="B343" s="8" t="str">
        <x:v>Eat time อีทไทม์ - Halal food</x:v>
      </x:c>
      <x:c r="C343" s="59" t="str">
        <x:v>จำหน่ายอาหาร</x:v>
      </x:c>
      <x:c r="D343" s="59" t="str">
        <x:v>ไม่ทราบ</x:v>
      </x:c>
      <x:c r="E343" s="59" t="str">
        <x:v>ไม่ทราบ</x:v>
      </x:c>
      <x:c r="F343" s="59" t="str">
        <x:v>ไม่ทราบ</x:v>
      </x:c>
      <x:c r="G343" s="59" t="str">
        <x:v>ไม่ทราบ</x:v>
      </x:c>
      <x:c r="H343" s="59" t="str">
        <x:v>N/A</x:v>
      </x:c>
      <x:c r="I343" s="59"/>
      <x:c r="J343" s="59" t="str">
        <x:v>ไม่ทราบ</x:v>
      </x:c>
      <x:c r="K343" s="59"/>
      <x:c r="L343" s="59" t="str">
        <x:v>N/A</x:v>
      </x:c>
      <x:c r="M343" s="59"/>
      <x:c r="N343" s="59"/>
      <x:c r="O343" s="59"/>
      <x:c r="P343" s="59"/>
      <x:c r="Q343" s="59"/>
      <x:c r="R343" s="59"/>
      <x:c r="S343" s="59"/>
      <x:c r="T343" s="59"/>
      <x:c r="U343" s="59"/>
      <x:c r="V343" s="59"/>
      <x:c r="W343" s="59"/>
      <x:c r="X343" s="59"/>
      <x:c r="Y343" s="59"/>
      <x:c r="Z343" s="59"/>
      <x:c r="AA343" s="8" t="n">
        <x:f>IF(C343="ไม่ทราบ","",SUMIFS($K$7:$Z$7,K343:Z343,"&lt;&gt;N/A"))</x:f>
        <x:v>100</x:v>
      </x:c>
      <x:c r="AB343" s="8" t="str">
        <x:f>IF(AND(OR(AND(C343="จำหน่ายอาหาร",ISNUMBER(K343),L343="N/A"),AND(C343="ไม่จำหน่ายอาหาร",K343="N/A",ISNUMBER(L343)),AND(C343="มัสยิด",K343="N/A",L343="N/A",X343="N/A")),COUNT(K343:Z343)+COUNTIFS(K343:Z343,"N/A")=16),SUM(K343:Z343),"")</x:f>
      </x:c>
      <x:c r="AC343" s="62" t="str">
        <x:f>IF(OR(AB343="",AA343&lt;=0),"",ROUND(AB343/AA343*100,1))</x:f>
      </x:c>
      <x:c r="AD343" s="8" t="str">
        <x:f>IF(COUNTIFS(D343:H343,"ไม่ผ่าน")&gt;0,"ไม่ผ่าน",IF(COUNTIFS(D343:H343,"ไม่ทราบ")+COUNTBLANK(D343:H343)&gt;0,"รอยืนยัน","ผ่าน"))</x:f>
        <x:v>รอยืนยัน</x:v>
      </x:c>
      <x:c r="AE343" s="8" t="str">
        <x:f>IF(AF343="ใช่","ไม่ผ่านการคัดเลือก",IF(AND(AD343="ผ่าน",ISNUMBER(AC343),AC343&gt;=70),"พร้อมขาย",IF(OR(J343="ใช่",AND(ISNUMBER(AC343),AC343&gt;=50)),"พัฒนาเพื่อพร้อมขาย",IF(AND(ISNUMBER(AC343),AC343&lt;50,I343&gt;=1),"มีศักยภาพ แต่ต้องพัฒนามาตรฐาน","รอประเมิน"))))</x:f>
        <x:v>รอประเมิน</x:v>
      </x:c>
      <x:c r="AF343" s="59" t="str">
        <x:v>ไม่ทราบ</x:v>
      </x:c>
      <x:c r="AG343" s="8" t="str">
        <x:f>IF(AF343="ใช่","หัวหน้าทีมพิจารณาเหตุไม่ผ่าน",IF(OR(AA343&lt;=0,NOT(OR(AND(C343="จำหน่ายอาหาร",ISNUMBER(K343),L343="N/A"),AND(C343="ไม่จำหน่ายอาหาร",K343="N/A",ISNUMBER(L343)),AND(C343="มัสยิด",K343="N/A",L343="N/A",X343="N/A"))),AD343="รอยืนยัน",COUNT(K343:Z343)+COUNTIFS(K343:Z343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3" s="59" t="str"/>
      <x:c r="AI343" s="61"/>
    </x:row>
    <x:row r="344" ht="60" customHeight="1">
      <x:c r="A344" s="2" t="str">
        <x:v>GMHI-48</x:v>
      </x:c>
      <x:c r="B344" s="8" t="str">
        <x:v>Nikudake Halal Wagyu Sukiyaki</x:v>
      </x:c>
      <x:c r="C344" s="59" t="str">
        <x:v>จำหน่ายอาหาร</x:v>
      </x:c>
      <x:c r="D344" s="59" t="str">
        <x:v>ไม่ทราบ</x:v>
      </x:c>
      <x:c r="E344" s="59" t="str">
        <x:v>ไม่ทราบ</x:v>
      </x:c>
      <x:c r="F344" s="59" t="str">
        <x:v>ไม่ทราบ</x:v>
      </x:c>
      <x:c r="G344" s="59" t="str">
        <x:v>ไม่ทราบ</x:v>
      </x:c>
      <x:c r="H344" s="59" t="str">
        <x:v>N/A</x:v>
      </x:c>
      <x:c r="I344" s="59"/>
      <x:c r="J344" s="59" t="str">
        <x:v>ไม่ทราบ</x:v>
      </x:c>
      <x:c r="K344" s="59"/>
      <x:c r="L344" s="59" t="str">
        <x:v>N/A</x:v>
      </x:c>
      <x:c r="M344" s="59"/>
      <x:c r="N344" s="59"/>
      <x:c r="O344" s="59"/>
      <x:c r="P344" s="59"/>
      <x:c r="Q344" s="59"/>
      <x:c r="R344" s="59"/>
      <x:c r="S344" s="59"/>
      <x:c r="T344" s="59"/>
      <x:c r="U344" s="59"/>
      <x:c r="V344" s="59"/>
      <x:c r="W344" s="59"/>
      <x:c r="X344" s="59"/>
      <x:c r="Y344" s="59"/>
      <x:c r="Z344" s="59"/>
      <x:c r="AA344" s="8" t="n">
        <x:f>IF(C344="ไม่ทราบ","",SUMIFS($K$7:$Z$7,K344:Z344,"&lt;&gt;N/A"))</x:f>
        <x:v>100</x:v>
      </x:c>
      <x:c r="AB344" s="8" t="str">
        <x:f>IF(AND(OR(AND(C344="จำหน่ายอาหาร",ISNUMBER(K344),L344="N/A"),AND(C344="ไม่จำหน่ายอาหาร",K344="N/A",ISNUMBER(L344)),AND(C344="มัสยิด",K344="N/A",L344="N/A",X344="N/A")),COUNT(K344:Z344)+COUNTIFS(K344:Z344,"N/A")=16),SUM(K344:Z344),"")</x:f>
      </x:c>
      <x:c r="AC344" s="62" t="str">
        <x:f>IF(OR(AB344="",AA344&lt;=0),"",ROUND(AB344/AA344*100,1))</x:f>
      </x:c>
      <x:c r="AD344" s="8" t="str">
        <x:f>IF(COUNTIFS(D344:H344,"ไม่ผ่าน")&gt;0,"ไม่ผ่าน",IF(COUNTIFS(D344:H344,"ไม่ทราบ")+COUNTBLANK(D344:H344)&gt;0,"รอยืนยัน","ผ่าน"))</x:f>
        <x:v>รอยืนยัน</x:v>
      </x:c>
      <x:c r="AE344" s="8" t="str">
        <x:f>IF(AF344="ใช่","ไม่ผ่านการคัดเลือก",IF(AND(AD344="ผ่าน",ISNUMBER(AC344),AC344&gt;=70),"พร้อมขาย",IF(OR(J344="ใช่",AND(ISNUMBER(AC344),AC344&gt;=50)),"พัฒนาเพื่อพร้อมขาย",IF(AND(ISNUMBER(AC344),AC344&lt;50,I344&gt;=1),"มีศักยภาพ แต่ต้องพัฒนามาตรฐาน","รอประเมิน"))))</x:f>
        <x:v>รอประเมิน</x:v>
      </x:c>
      <x:c r="AF344" s="59" t="str">
        <x:v>ไม่ทราบ</x:v>
      </x:c>
      <x:c r="AG344" s="8" t="str">
        <x:f>IF(AF344="ใช่","หัวหน้าทีมพิจารณาเหตุไม่ผ่าน",IF(OR(AA344&lt;=0,NOT(OR(AND(C344="จำหน่ายอาหาร",ISNUMBER(K344),L344="N/A"),AND(C344="ไม่จำหน่ายอาหาร",K344="N/A",ISNUMBER(L344)),AND(C344="มัสยิด",K344="N/A",L344="N/A",X344="N/A"))),AD344="รอยืนยัน",COUNT(K344:Z344)+COUNTIFS(K344:Z344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4" s="59" t="str"/>
      <x:c r="AI344" s="61"/>
    </x:row>
    <x:row r="345" ht="60" customHeight="1">
      <x:c r="A345" s="2" t="str">
        <x:v>TMF-217</x:v>
      </x:c>
      <x:c r="B345" s="8" t="str">
        <x:v>Ozone ลวกเส้นตำแซ่บหาดใหญ่</x:v>
      </x:c>
      <x:c r="C345" s="59" t="str">
        <x:v>จำหน่ายอาหาร</x:v>
      </x:c>
      <x:c r="D345" s="59" t="str">
        <x:v>ไม่ทราบ</x:v>
      </x:c>
      <x:c r="E345" s="59" t="str">
        <x:v>ไม่ทราบ</x:v>
      </x:c>
      <x:c r="F345" s="59" t="str">
        <x:v>ไม่ทราบ</x:v>
      </x:c>
      <x:c r="G345" s="59" t="str">
        <x:v>ไม่ทราบ</x:v>
      </x:c>
      <x:c r="H345" s="59" t="str">
        <x:v>N/A</x:v>
      </x:c>
      <x:c r="I345" s="59"/>
      <x:c r="J345" s="59" t="str">
        <x:v>ไม่ทราบ</x:v>
      </x:c>
      <x:c r="K345" s="59"/>
      <x:c r="L345" s="59" t="str">
        <x:v>N/A</x:v>
      </x:c>
      <x:c r="M345" s="59"/>
      <x:c r="N345" s="59"/>
      <x:c r="O345" s="59"/>
      <x:c r="P345" s="59"/>
      <x:c r="Q345" s="59"/>
      <x:c r="R345" s="59"/>
      <x:c r="S345" s="59"/>
      <x:c r="T345" s="59"/>
      <x:c r="U345" s="59"/>
      <x:c r="V345" s="59"/>
      <x:c r="W345" s="59"/>
      <x:c r="X345" s="59"/>
      <x:c r="Y345" s="59"/>
      <x:c r="Z345" s="59"/>
      <x:c r="AA345" s="8" t="n">
        <x:f>IF(C345="ไม่ทราบ","",SUMIFS($K$7:$Z$7,K345:Z345,"&lt;&gt;N/A"))</x:f>
        <x:v>100</x:v>
      </x:c>
      <x:c r="AB345" s="8" t="str">
        <x:f>IF(AND(OR(AND(C345="จำหน่ายอาหาร",ISNUMBER(K345),L345="N/A"),AND(C345="ไม่จำหน่ายอาหาร",K345="N/A",ISNUMBER(L345)),AND(C345="มัสยิด",K345="N/A",L345="N/A",X345="N/A")),COUNT(K345:Z345)+COUNTIFS(K345:Z345,"N/A")=16),SUM(K345:Z345),"")</x:f>
      </x:c>
      <x:c r="AC345" s="62" t="str">
        <x:f>IF(OR(AB345="",AA345&lt;=0),"",ROUND(AB345/AA345*100,1))</x:f>
      </x:c>
      <x:c r="AD345" s="8" t="str">
        <x:f>IF(COUNTIFS(D345:H345,"ไม่ผ่าน")&gt;0,"ไม่ผ่าน",IF(COUNTIFS(D345:H345,"ไม่ทราบ")+COUNTBLANK(D345:H345)&gt;0,"รอยืนยัน","ผ่าน"))</x:f>
        <x:v>รอยืนยัน</x:v>
      </x:c>
      <x:c r="AE345" s="8" t="str">
        <x:f>IF(AF345="ใช่","ไม่ผ่านการคัดเลือก",IF(AND(AD345="ผ่าน",ISNUMBER(AC345),AC345&gt;=70),"พร้อมขาย",IF(OR(J345="ใช่",AND(ISNUMBER(AC345),AC345&gt;=50)),"พัฒนาเพื่อพร้อมขาย",IF(AND(ISNUMBER(AC345),AC345&lt;50,I345&gt;=1),"มีศักยภาพ แต่ต้องพัฒนามาตรฐาน","รอประเมิน"))))</x:f>
        <x:v>รอประเมิน</x:v>
      </x:c>
      <x:c r="AF345" s="59" t="str">
        <x:v>ไม่ทราบ</x:v>
      </x:c>
      <x:c r="AG345" s="8" t="str">
        <x:f>IF(AF345="ใช่","หัวหน้าทีมพิจารณาเหตุไม่ผ่าน",IF(OR(AA345&lt;=0,NOT(OR(AND(C345="จำหน่ายอาหาร",ISNUMBER(K345),L345="N/A"),AND(C345="ไม่จำหน่ายอาหาร",K345="N/A",ISNUMBER(L345)),AND(C345="มัสยิด",K345="N/A",L345="N/A",X345="N/A"))),AD345="รอยืนยัน",COUNT(K345:Z345)+COUNTIFS(K345:Z345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5" s="59" t="str"/>
      <x:c r="AI345" s="61"/>
    </x:row>
    <x:row r="346" ht="60" customHeight="1">
      <x:c r="A346" s="2" t="str">
        <x:v>GMHI-7</x:v>
      </x:c>
      <x:c r="B346" s="8" t="str">
        <x:v>PUN Chocolate</x:v>
      </x:c>
      <x:c r="C346" s="59" t="str">
        <x:v>จำหน่ายอาหาร</x:v>
      </x:c>
      <x:c r="D346" s="59" t="str">
        <x:v>ไม่ทราบ</x:v>
      </x:c>
      <x:c r="E346" s="59" t="str">
        <x:v>ไม่ทราบ</x:v>
      </x:c>
      <x:c r="F346" s="59" t="str">
        <x:v>ไม่ทราบ</x:v>
      </x:c>
      <x:c r="G346" s="59" t="str">
        <x:v>ไม่ทราบ</x:v>
      </x:c>
      <x:c r="H346" s="59" t="str">
        <x:v>N/A</x:v>
      </x:c>
      <x:c r="I346" s="59"/>
      <x:c r="J346" s="59" t="str">
        <x:v>ไม่ทราบ</x:v>
      </x:c>
      <x:c r="K346" s="59"/>
      <x:c r="L346" s="59" t="str">
        <x:v>N/A</x:v>
      </x:c>
      <x:c r="M346" s="59"/>
      <x:c r="N346" s="59"/>
      <x:c r="O346" s="59"/>
      <x:c r="P346" s="59"/>
      <x:c r="Q346" s="59"/>
      <x:c r="R346" s="59"/>
      <x:c r="S346" s="59"/>
      <x:c r="T346" s="59"/>
      <x:c r="U346" s="59"/>
      <x:c r="V346" s="59"/>
      <x:c r="W346" s="59"/>
      <x:c r="X346" s="59"/>
      <x:c r="Y346" s="59"/>
      <x:c r="Z346" s="59"/>
      <x:c r="AA346" s="8" t="n">
        <x:f>IF(C346="ไม่ทราบ","",SUMIFS($K$7:$Z$7,K346:Z346,"&lt;&gt;N/A"))</x:f>
        <x:v>100</x:v>
      </x:c>
      <x:c r="AB346" s="8" t="str">
        <x:f>IF(AND(OR(AND(C346="จำหน่ายอาหาร",ISNUMBER(K346),L346="N/A"),AND(C346="ไม่จำหน่ายอาหาร",K346="N/A",ISNUMBER(L346)),AND(C346="มัสยิด",K346="N/A",L346="N/A",X346="N/A")),COUNT(K346:Z346)+COUNTIFS(K346:Z346,"N/A")=16),SUM(K346:Z346),"")</x:f>
      </x:c>
      <x:c r="AC346" s="62" t="str">
        <x:f>IF(OR(AB346="",AA346&lt;=0),"",ROUND(AB346/AA346*100,1))</x:f>
      </x:c>
      <x:c r="AD346" s="8" t="str">
        <x:f>IF(COUNTIFS(D346:H346,"ไม่ผ่าน")&gt;0,"ไม่ผ่าน",IF(COUNTIFS(D346:H346,"ไม่ทราบ")+COUNTBLANK(D346:H346)&gt;0,"รอยืนยัน","ผ่าน"))</x:f>
        <x:v>รอยืนยัน</x:v>
      </x:c>
      <x:c r="AE346" s="8" t="str">
        <x:f>IF(AF346="ใช่","ไม่ผ่านการคัดเลือก",IF(AND(AD346="ผ่าน",ISNUMBER(AC346),AC346&gt;=70),"พร้อมขาย",IF(OR(J346="ใช่",AND(ISNUMBER(AC346),AC346&gt;=50)),"พัฒนาเพื่อพร้อมขาย",IF(AND(ISNUMBER(AC346),AC346&lt;50,I346&gt;=1),"มีศักยภาพ แต่ต้องพัฒนามาตรฐาน","รอประเมิน"))))</x:f>
        <x:v>รอประเมิน</x:v>
      </x:c>
      <x:c r="AF346" s="59" t="str">
        <x:v>ไม่ทราบ</x:v>
      </x:c>
      <x:c r="AG346" s="8" t="str">
        <x:f>IF(AF346="ใช่","หัวหน้าทีมพิจารณาเหตุไม่ผ่าน",IF(OR(AA346&lt;=0,NOT(OR(AND(C346="จำหน่ายอาหาร",ISNUMBER(K346),L346="N/A"),AND(C346="ไม่จำหน่ายอาหาร",K346="N/A",ISNUMBER(L346)),AND(C346="มัสยิด",K346="N/A",L346="N/A",X346="N/A"))),AD346="รอยืนยัน",COUNT(K346:Z346)+COUNTIFS(K346:Z346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6" s="59" t="str"/>
      <x:c r="AI346" s="61"/>
    </x:row>
    <x:row r="347" ht="60" customHeight="1">
      <x:c r="A347" s="2" t="str">
        <x:v>GMHI-54</x:v>
      </x:c>
      <x:c r="B347" s="8" t="str">
        <x:v>มิตรไมตรี dining café hatyai village</x:v>
      </x:c>
      <x:c r="C347" s="59" t="str">
        <x:v>จำหน่ายอาหาร</x:v>
      </x:c>
      <x:c r="D347" s="59" t="str">
        <x:v>ไม่ทราบ</x:v>
      </x:c>
      <x:c r="E347" s="59" t="str">
        <x:v>ไม่ทราบ</x:v>
      </x:c>
      <x:c r="F347" s="59" t="str">
        <x:v>ไม่ทราบ</x:v>
      </x:c>
      <x:c r="G347" s="59" t="str">
        <x:v>ไม่ทราบ</x:v>
      </x:c>
      <x:c r="H347" s="59" t="str">
        <x:v>N/A</x:v>
      </x:c>
      <x:c r="I347" s="59"/>
      <x:c r="J347" s="59" t="str">
        <x:v>ไม่ทราบ</x:v>
      </x:c>
      <x:c r="K347" s="59"/>
      <x:c r="L347" s="59" t="str">
        <x:v>N/A</x:v>
      </x:c>
      <x:c r="M347" s="59"/>
      <x:c r="N347" s="59"/>
      <x:c r="O347" s="59"/>
      <x:c r="P347" s="59"/>
      <x:c r="Q347" s="59"/>
      <x:c r="R347" s="59"/>
      <x:c r="S347" s="59"/>
      <x:c r="T347" s="59"/>
      <x:c r="U347" s="59"/>
      <x:c r="V347" s="59"/>
      <x:c r="W347" s="59"/>
      <x:c r="X347" s="59"/>
      <x:c r="Y347" s="59"/>
      <x:c r="Z347" s="59"/>
      <x:c r="AA347" s="8" t="n">
        <x:f>IF(C347="ไม่ทราบ","",SUMIFS($K$7:$Z$7,K347:Z347,"&lt;&gt;N/A"))</x:f>
        <x:v>100</x:v>
      </x:c>
      <x:c r="AB347" s="8" t="str">
        <x:f>IF(AND(OR(AND(C347="จำหน่ายอาหาร",ISNUMBER(K347),L347="N/A"),AND(C347="ไม่จำหน่ายอาหาร",K347="N/A",ISNUMBER(L347)),AND(C347="มัสยิด",K347="N/A",L347="N/A",X347="N/A")),COUNT(K347:Z347)+COUNTIFS(K347:Z347,"N/A")=16),SUM(K347:Z347),"")</x:f>
      </x:c>
      <x:c r="AC347" s="62" t="str">
        <x:f>IF(OR(AB347="",AA347&lt;=0),"",ROUND(AB347/AA347*100,1))</x:f>
      </x:c>
      <x:c r="AD347" s="8" t="str">
        <x:f>IF(COUNTIFS(D347:H347,"ไม่ผ่าน")&gt;0,"ไม่ผ่าน",IF(COUNTIFS(D347:H347,"ไม่ทราบ")+COUNTBLANK(D347:H347)&gt;0,"รอยืนยัน","ผ่าน"))</x:f>
        <x:v>รอยืนยัน</x:v>
      </x:c>
      <x:c r="AE347" s="8" t="str">
        <x:f>IF(AF347="ใช่","ไม่ผ่านการคัดเลือก",IF(AND(AD347="ผ่าน",ISNUMBER(AC347),AC347&gt;=70),"พร้อมขาย",IF(OR(J347="ใช่",AND(ISNUMBER(AC347),AC347&gt;=50)),"พัฒนาเพื่อพร้อมขาย",IF(AND(ISNUMBER(AC347),AC347&lt;50,I347&gt;=1),"มีศักยภาพ แต่ต้องพัฒนามาตรฐาน","รอประเมิน"))))</x:f>
        <x:v>รอประเมิน</x:v>
      </x:c>
      <x:c r="AF347" s="59" t="str">
        <x:v>ไม่ทราบ</x:v>
      </x:c>
      <x:c r="AG347" s="8" t="str">
        <x:f>IF(AF347="ใช่","หัวหน้าทีมพิจารณาเหตุไม่ผ่าน",IF(OR(AA347&lt;=0,NOT(OR(AND(C347="จำหน่ายอาหาร",ISNUMBER(K347),L347="N/A"),AND(C347="ไม่จำหน่ายอาหาร",K347="N/A",ISNUMBER(L347)),AND(C347="มัสยิด",K347="N/A",L347="N/A",X347="N/A"))),AD347="รอยืนยัน",COUNT(K347:Z347)+COUNTIFS(K347:Z347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7" s="59" t="str"/>
      <x:c r="AI347" s="61"/>
    </x:row>
    <x:row r="348" ht="60" customHeight="1">
      <x:c r="A348" s="2" t="str">
        <x:v>GMHI-47</x:v>
      </x:c>
      <x:c r="B348" s="8" t="str">
        <x:v>สภากาแฟ’36 สาขาหาดใหญ่</x:v>
      </x:c>
      <x:c r="C348" s="59" t="str">
        <x:v>จำหน่ายอาหาร</x:v>
      </x:c>
      <x:c r="D348" s="59" t="str">
        <x:v>ไม่ทราบ</x:v>
      </x:c>
      <x:c r="E348" s="59" t="str">
        <x:v>ไม่ทราบ</x:v>
      </x:c>
      <x:c r="F348" s="59" t="str">
        <x:v>ไม่ทราบ</x:v>
      </x:c>
      <x:c r="G348" s="59" t="str">
        <x:v>ไม่ทราบ</x:v>
      </x:c>
      <x:c r="H348" s="59" t="str">
        <x:v>N/A</x:v>
      </x:c>
      <x:c r="I348" s="59"/>
      <x:c r="J348" s="59" t="str">
        <x:v>ไม่ทราบ</x:v>
      </x:c>
      <x:c r="K348" s="59"/>
      <x:c r="L348" s="59" t="str">
        <x:v>N/A</x:v>
      </x:c>
      <x:c r="M348" s="59"/>
      <x:c r="N348" s="59"/>
      <x:c r="O348" s="59"/>
      <x:c r="P348" s="59"/>
      <x:c r="Q348" s="59"/>
      <x:c r="R348" s="59"/>
      <x:c r="S348" s="59"/>
      <x:c r="T348" s="59"/>
      <x:c r="U348" s="59"/>
      <x:c r="V348" s="59"/>
      <x:c r="W348" s="59"/>
      <x:c r="X348" s="59"/>
      <x:c r="Y348" s="59"/>
      <x:c r="Z348" s="59"/>
      <x:c r="AA348" s="8" t="n">
        <x:f>IF(C348="ไม่ทราบ","",SUMIFS($K$7:$Z$7,K348:Z348,"&lt;&gt;N/A"))</x:f>
        <x:v>100</x:v>
      </x:c>
      <x:c r="AB348" s="8" t="str">
        <x:f>IF(AND(OR(AND(C348="จำหน่ายอาหาร",ISNUMBER(K348),L348="N/A"),AND(C348="ไม่จำหน่ายอาหาร",K348="N/A",ISNUMBER(L348)),AND(C348="มัสยิด",K348="N/A",L348="N/A",X348="N/A")),COUNT(K348:Z348)+COUNTIFS(K348:Z348,"N/A")=16),SUM(K348:Z348),"")</x:f>
      </x:c>
      <x:c r="AC348" s="62" t="str">
        <x:f>IF(OR(AB348="",AA348&lt;=0),"",ROUND(AB348/AA348*100,1))</x:f>
      </x:c>
      <x:c r="AD348" s="8" t="str">
        <x:f>IF(COUNTIFS(D348:H348,"ไม่ผ่าน")&gt;0,"ไม่ผ่าน",IF(COUNTIFS(D348:H348,"ไม่ทราบ")+COUNTBLANK(D348:H348)&gt;0,"รอยืนยัน","ผ่าน"))</x:f>
        <x:v>รอยืนยัน</x:v>
      </x:c>
      <x:c r="AE348" s="8" t="str">
        <x:f>IF(AF348="ใช่","ไม่ผ่านการคัดเลือก",IF(AND(AD348="ผ่าน",ISNUMBER(AC348),AC348&gt;=70),"พร้อมขาย",IF(OR(J348="ใช่",AND(ISNUMBER(AC348),AC348&gt;=50)),"พัฒนาเพื่อพร้อมขาย",IF(AND(ISNUMBER(AC348),AC348&lt;50,I348&gt;=1),"มีศักยภาพ แต่ต้องพัฒนามาตรฐาน","รอประเมิน"))))</x:f>
        <x:v>รอประเมิน</x:v>
      </x:c>
      <x:c r="AF348" s="59" t="str">
        <x:v>ไม่ทราบ</x:v>
      </x:c>
      <x:c r="AG348" s="8" t="str">
        <x:f>IF(AF348="ใช่","หัวหน้าทีมพิจารณาเหตุไม่ผ่าน",IF(OR(AA348&lt;=0,NOT(OR(AND(C348="จำหน่ายอาหาร",ISNUMBER(K348),L348="N/A"),AND(C348="ไม่จำหน่ายอาหาร",K348="N/A",ISNUMBER(L348)),AND(C348="มัสยิด",K348="N/A",L348="N/A",X348="N/A"))),AD348="รอยืนยัน",COUNT(K348:Z348)+COUNTIFS(K348:Z348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8" s="59" t="str"/>
      <x:c r="AI348" s="61"/>
    </x:row>
    <x:row r="349" ht="60" customHeight="1">
      <x:c r="A349" s="2" t="str">
        <x:v>TMF-218</x:v>
      </x:c>
      <x:c r="B349" s="8" t="str">
        <x:v>เดอบัง สเต็ก - De' Bung สาขา ถนนเพชรเกษม หาดใหญ่ใน</x:v>
      </x:c>
      <x:c r="C349" s="59" t="str">
        <x:v>จำหน่ายอาหาร</x:v>
      </x:c>
      <x:c r="D349" s="59" t="str">
        <x:v>ไม่ทราบ</x:v>
      </x:c>
      <x:c r="E349" s="59" t="str">
        <x:v>ไม่ทราบ</x:v>
      </x:c>
      <x:c r="F349" s="59" t="str">
        <x:v>ไม่ทราบ</x:v>
      </x:c>
      <x:c r="G349" s="59" t="str">
        <x:v>ไม่ทราบ</x:v>
      </x:c>
      <x:c r="H349" s="59" t="str">
        <x:v>N/A</x:v>
      </x:c>
      <x:c r="I349" s="59"/>
      <x:c r="J349" s="59" t="str">
        <x:v>ไม่ทราบ</x:v>
      </x:c>
      <x:c r="K349" s="59"/>
      <x:c r="L349" s="59" t="str">
        <x:v>N/A</x:v>
      </x:c>
      <x:c r="M349" s="59"/>
      <x:c r="N349" s="59"/>
      <x:c r="O349" s="59"/>
      <x:c r="P349" s="59"/>
      <x:c r="Q349" s="59"/>
      <x:c r="R349" s="59"/>
      <x:c r="S349" s="59"/>
      <x:c r="T349" s="59"/>
      <x:c r="U349" s="59"/>
      <x:c r="V349" s="59"/>
      <x:c r="W349" s="59"/>
      <x:c r="X349" s="59"/>
      <x:c r="Y349" s="59"/>
      <x:c r="Z349" s="59"/>
      <x:c r="AA349" s="8" t="n">
        <x:f>IF(C349="ไม่ทราบ","",SUMIFS($K$7:$Z$7,K349:Z349,"&lt;&gt;N/A"))</x:f>
        <x:v>100</x:v>
      </x:c>
      <x:c r="AB349" s="8" t="str">
        <x:f>IF(AND(OR(AND(C349="จำหน่ายอาหาร",ISNUMBER(K349),L349="N/A"),AND(C349="ไม่จำหน่ายอาหาร",K349="N/A",ISNUMBER(L349)),AND(C349="มัสยิด",K349="N/A",L349="N/A",X349="N/A")),COUNT(K349:Z349)+COUNTIFS(K349:Z349,"N/A")=16),SUM(K349:Z349),"")</x:f>
      </x:c>
      <x:c r="AC349" s="62" t="str">
        <x:f>IF(OR(AB349="",AA349&lt;=0),"",ROUND(AB349/AA349*100,1))</x:f>
      </x:c>
      <x:c r="AD349" s="8" t="str">
        <x:f>IF(COUNTIFS(D349:H349,"ไม่ผ่าน")&gt;0,"ไม่ผ่าน",IF(COUNTIFS(D349:H349,"ไม่ทราบ")+COUNTBLANK(D349:H349)&gt;0,"รอยืนยัน","ผ่าน"))</x:f>
        <x:v>รอยืนยัน</x:v>
      </x:c>
      <x:c r="AE349" s="8" t="str">
        <x:f>IF(AF349="ใช่","ไม่ผ่านการคัดเลือก",IF(AND(AD349="ผ่าน",ISNUMBER(AC349),AC349&gt;=70),"พร้อมขาย",IF(OR(J349="ใช่",AND(ISNUMBER(AC349),AC349&gt;=50)),"พัฒนาเพื่อพร้อมขาย",IF(AND(ISNUMBER(AC349),AC349&lt;50,I349&gt;=1),"มีศักยภาพ แต่ต้องพัฒนามาตรฐาน","รอประเมิน"))))</x:f>
        <x:v>รอประเมิน</x:v>
      </x:c>
      <x:c r="AF349" s="59" t="str">
        <x:v>ไม่ทราบ</x:v>
      </x:c>
      <x:c r="AG349" s="8" t="str">
        <x:f>IF(AF349="ใช่","หัวหน้าทีมพิจารณาเหตุไม่ผ่าน",IF(OR(AA349&lt;=0,NOT(OR(AND(C349="จำหน่ายอาหาร",ISNUMBER(K349),L349="N/A"),AND(C349="ไม่จำหน่ายอาหาร",K349="N/A",ISNUMBER(L349)),AND(C349="มัสยิด",K349="N/A",L349="N/A",X349="N/A"))),AD349="รอยืนยัน",COUNT(K349:Z349)+COUNTIFS(K349:Z349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49" s="59" t="str"/>
      <x:c r="AI349" s="61"/>
    </x:row>
    <x:row r="350" ht="60" customHeight="1">
      <x:c r="A350" s="2" t="str">
        <x:v>GMHI-50</x:v>
      </x:c>
      <x:c r="B350" s="8" t="str">
        <x:v>เนื้อล้วนล้วน Halal Wagyu Yakiniku Hatyai</x:v>
      </x:c>
      <x:c r="C350" s="59" t="str">
        <x:v>จำหน่ายอาหาร</x:v>
      </x:c>
      <x:c r="D350" s="59" t="str">
        <x:v>ไม่ทราบ</x:v>
      </x:c>
      <x:c r="E350" s="59" t="str">
        <x:v>ไม่ทราบ</x:v>
      </x:c>
      <x:c r="F350" s="59" t="str">
        <x:v>ไม่ทราบ</x:v>
      </x:c>
      <x:c r="G350" s="59" t="str">
        <x:v>ไม่ทราบ</x:v>
      </x:c>
      <x:c r="H350" s="59" t="str">
        <x:v>N/A</x:v>
      </x:c>
      <x:c r="I350" s="59"/>
      <x:c r="J350" s="59" t="str">
        <x:v>ไม่ทราบ</x:v>
      </x:c>
      <x:c r="K350" s="59"/>
      <x:c r="L350" s="59" t="str">
        <x:v>N/A</x:v>
      </x:c>
      <x:c r="M350" s="59"/>
      <x:c r="N350" s="59"/>
      <x:c r="O350" s="59"/>
      <x:c r="P350" s="59"/>
      <x:c r="Q350" s="59"/>
      <x:c r="R350" s="59"/>
      <x:c r="S350" s="59"/>
      <x:c r="T350" s="59"/>
      <x:c r="U350" s="59"/>
      <x:c r="V350" s="59"/>
      <x:c r="W350" s="59"/>
      <x:c r="X350" s="59"/>
      <x:c r="Y350" s="59"/>
      <x:c r="Z350" s="59"/>
      <x:c r="AA350" s="8" t="n">
        <x:f>IF(C350="ไม่ทราบ","",SUMIFS($K$7:$Z$7,K350:Z350,"&lt;&gt;N/A"))</x:f>
        <x:v>100</x:v>
      </x:c>
      <x:c r="AB350" s="8" t="str">
        <x:f>IF(AND(OR(AND(C350="จำหน่ายอาหาร",ISNUMBER(K350),L350="N/A"),AND(C350="ไม่จำหน่ายอาหาร",K350="N/A",ISNUMBER(L350)),AND(C350="มัสยิด",K350="N/A",L350="N/A",X350="N/A")),COUNT(K350:Z350)+COUNTIFS(K350:Z350,"N/A")=16),SUM(K350:Z350),"")</x:f>
      </x:c>
      <x:c r="AC350" s="62" t="str">
        <x:f>IF(OR(AB350="",AA350&lt;=0),"",ROUND(AB350/AA350*100,1))</x:f>
      </x:c>
      <x:c r="AD350" s="8" t="str">
        <x:f>IF(COUNTIFS(D350:H350,"ไม่ผ่าน")&gt;0,"ไม่ผ่าน",IF(COUNTIFS(D350:H350,"ไม่ทราบ")+COUNTBLANK(D350:H350)&gt;0,"รอยืนยัน","ผ่าน"))</x:f>
        <x:v>รอยืนยัน</x:v>
      </x:c>
      <x:c r="AE350" s="8" t="str">
        <x:f>IF(AF350="ใช่","ไม่ผ่านการคัดเลือก",IF(AND(AD350="ผ่าน",ISNUMBER(AC350),AC350&gt;=70),"พร้อมขาย",IF(OR(J350="ใช่",AND(ISNUMBER(AC350),AC350&gt;=50)),"พัฒนาเพื่อพร้อมขาย",IF(AND(ISNUMBER(AC350),AC350&lt;50,I350&gt;=1),"มีศักยภาพ แต่ต้องพัฒนามาตรฐาน","รอประเมิน"))))</x:f>
        <x:v>รอประเมิน</x:v>
      </x:c>
      <x:c r="AF350" s="59" t="str">
        <x:v>ไม่ทราบ</x:v>
      </x:c>
      <x:c r="AG350" s="8" t="str">
        <x:f>IF(AF350="ใช่","หัวหน้าทีมพิจารณาเหตุไม่ผ่าน",IF(OR(AA350&lt;=0,NOT(OR(AND(C350="จำหน่ายอาหาร",ISNUMBER(K350),L350="N/A"),AND(C350="ไม่จำหน่ายอาหาร",K350="N/A",ISNUMBER(L350)),AND(C350="มัสยิด",K350="N/A",L350="N/A",X350="N/A"))),AD350="รอยืนยัน",COUNT(K350:Z350)+COUNTIFS(K350:Z350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0" s="59" t="str"/>
      <x:c r="AI350" s="61"/>
    </x:row>
    <x:row r="351" ht="60" customHeight="1">
      <x:c r="A351" s="2" t="str">
        <x:v>GMHI-53</x:v>
      </x:c>
      <x:c r="B351" s="8" t="str">
        <x:v>Reborn</x:v>
      </x:c>
      <x:c r="C351" s="59" t="str">
        <x:v>ไม่ทราบ</x:v>
      </x:c>
      <x:c r="D351" s="59" t="str">
        <x:v>ไม่ทราบ</x:v>
      </x:c>
      <x:c r="E351" s="59" t="str">
        <x:v>ไม่ทราบ</x:v>
      </x:c>
      <x:c r="F351" s="59" t="str">
        <x:v>ไม่ทราบ</x:v>
      </x:c>
      <x:c r="G351" s="59" t="str">
        <x:v>ไม่ทราบ</x:v>
      </x:c>
      <x:c r="H351" s="59" t="str">
        <x:v>N/A</x:v>
      </x:c>
      <x:c r="I351" s="59"/>
      <x:c r="J351" s="59" t="str">
        <x:v>ไม่ทราบ</x:v>
      </x:c>
      <x:c r="K351" s="59"/>
      <x:c r="L351" s="59"/>
      <x:c r="M351" s="59"/>
      <x:c r="N351" s="59"/>
      <x:c r="O351" s="59"/>
      <x:c r="P351" s="59"/>
      <x:c r="Q351" s="59"/>
      <x:c r="R351" s="59"/>
      <x:c r="S351" s="59"/>
      <x:c r="T351" s="59"/>
      <x:c r="U351" s="59"/>
      <x:c r="V351" s="59"/>
      <x:c r="W351" s="59"/>
      <x:c r="X351" s="59"/>
      <x:c r="Y351" s="59"/>
      <x:c r="Z351" s="59"/>
      <x:c r="AA351" s="8" t="str">
        <x:f>IF(C351="ไม่ทราบ","",SUMIFS($K$7:$Z$7,K351:Z351,"&lt;&gt;N/A"))</x:f>
      </x:c>
      <x:c r="AB351" s="8" t="str">
        <x:f>IF(AND(OR(AND(C351="จำหน่ายอาหาร",ISNUMBER(K351),L351="N/A"),AND(C351="ไม่จำหน่ายอาหาร",K351="N/A",ISNUMBER(L351)),AND(C351="มัสยิด",K351="N/A",L351="N/A",X351="N/A")),COUNT(K351:Z351)+COUNTIFS(K351:Z351,"N/A")=16),SUM(K351:Z351),"")</x:f>
      </x:c>
      <x:c r="AC351" s="62" t="str">
        <x:f>IF(OR(AB351="",AA351&lt;=0),"",ROUND(AB351/AA351*100,1))</x:f>
      </x:c>
      <x:c r="AD351" s="8" t="str">
        <x:f>IF(COUNTIFS(D351:H351,"ไม่ผ่าน")&gt;0,"ไม่ผ่าน",IF(COUNTIFS(D351:H351,"ไม่ทราบ")+COUNTBLANK(D351:H351)&gt;0,"รอยืนยัน","ผ่าน"))</x:f>
        <x:v>รอยืนยัน</x:v>
      </x:c>
      <x:c r="AE351" s="8" t="str">
        <x:f>IF(AF351="ใช่","ไม่ผ่านการคัดเลือก",IF(AND(AD351="ผ่าน",ISNUMBER(AC351),AC351&gt;=70),"พร้อมขาย",IF(OR(J351="ใช่",AND(ISNUMBER(AC351),AC351&gt;=50)),"พัฒนาเพื่อพร้อมขาย",IF(AND(ISNUMBER(AC351),AC351&lt;50,I351&gt;=1),"มีศักยภาพ แต่ต้องพัฒนามาตรฐาน","รอประเมิน"))))</x:f>
        <x:v>รอประเมิน</x:v>
      </x:c>
      <x:c r="AF351" s="59" t="str">
        <x:v>ไม่ทราบ</x:v>
      </x:c>
      <x:c r="AG351" s="8" t="str">
        <x:f>IF(AF351="ใช่","หัวหน้าทีมพิจารณาเหตุไม่ผ่าน",IF(OR(AA351&lt;=0,NOT(OR(AND(C351="จำหน่ายอาหาร",ISNUMBER(K351),L351="N/A"),AND(C351="ไม่จำหน่ายอาหาร",K351="N/A",ISNUMBER(L351)),AND(C351="มัสยิด",K351="N/A",L351="N/A",X351="N/A"))),AD351="รอยืนยัน",COUNT(K351:Z351)+COUNTIFS(K351:Z351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1" s="59" t="str"/>
      <x:c r="AI351" s="61"/>
    </x:row>
    <x:row r="352" ht="60" customHeight="1">
      <x:c r="A352" s="2" t="str">
        <x:v>R26-267</x:v>
      </x:c>
      <x:c r="B352" s="8" t="str">
        <x:v>Central Hatyai</x:v>
      </x:c>
      <x:c r="C352" s="59" t="str">
        <x:v>ไม่ทราบ</x:v>
      </x:c>
      <x:c r="D352" s="59" t="str">
        <x:v>ไม่ทราบ</x:v>
      </x:c>
      <x:c r="E352" s="59" t="str">
        <x:v>ไม่ทราบ</x:v>
      </x:c>
      <x:c r="F352" s="59" t="str">
        <x:v>ไม่ทราบ</x:v>
      </x:c>
      <x:c r="G352" s="59" t="str">
        <x:v>ไม่ทราบ</x:v>
      </x:c>
      <x:c r="H352" s="59" t="str">
        <x:v>N/A</x:v>
      </x:c>
      <x:c r="I352" s="59"/>
      <x:c r="J352" s="59" t="str">
        <x:v>ไม่ทราบ</x:v>
      </x:c>
      <x:c r="K352" s="59"/>
      <x:c r="L352" s="59"/>
      <x:c r="M352" s="59"/>
      <x:c r="N352" s="59"/>
      <x:c r="O352" s="59"/>
      <x:c r="P352" s="59"/>
      <x:c r="Q352" s="59"/>
      <x:c r="R352" s="59"/>
      <x:c r="S352" s="59"/>
      <x:c r="T352" s="59"/>
      <x:c r="U352" s="59"/>
      <x:c r="V352" s="59"/>
      <x:c r="W352" s="59"/>
      <x:c r="X352" s="59"/>
      <x:c r="Y352" s="59"/>
      <x:c r="Z352" s="59"/>
      <x:c r="AA352" s="8" t="str">
        <x:f>IF(C352="ไม่ทราบ","",SUMIFS($K$7:$Z$7,K352:Z352,"&lt;&gt;N/A"))</x:f>
      </x:c>
      <x:c r="AB352" s="8" t="str">
        <x:f>IF(AND(OR(AND(C352="จำหน่ายอาหาร",ISNUMBER(K352),L352="N/A"),AND(C352="ไม่จำหน่ายอาหาร",K352="N/A",ISNUMBER(L352)),AND(C352="มัสยิด",K352="N/A",L352="N/A",X352="N/A")),COUNT(K352:Z352)+COUNTIFS(K352:Z352,"N/A")=16),SUM(K352:Z352),"")</x:f>
      </x:c>
      <x:c r="AC352" s="62" t="str">
        <x:f>IF(OR(AB352="",AA352&lt;=0),"",ROUND(AB352/AA352*100,1))</x:f>
      </x:c>
      <x:c r="AD352" s="8" t="str">
        <x:f>IF(COUNTIFS(D352:H352,"ไม่ผ่าน")&gt;0,"ไม่ผ่าน",IF(COUNTIFS(D352:H352,"ไม่ทราบ")+COUNTBLANK(D352:H352)&gt;0,"รอยืนยัน","ผ่าน"))</x:f>
        <x:v>รอยืนยัน</x:v>
      </x:c>
      <x:c r="AE352" s="8" t="str">
        <x:f>IF(AF352="ใช่","ไม่ผ่านการคัดเลือก",IF(AND(AD352="ผ่าน",ISNUMBER(AC352),AC352&gt;=70),"พร้อมขาย",IF(OR(J352="ใช่",AND(ISNUMBER(AC352),AC352&gt;=50)),"พัฒนาเพื่อพร้อมขาย",IF(AND(ISNUMBER(AC352),AC352&lt;50,I352&gt;=1),"มีศักยภาพ แต่ต้องพัฒนามาตรฐาน","รอประเมิน"))))</x:f>
        <x:v>รอประเมิน</x:v>
      </x:c>
      <x:c r="AF352" s="59" t="str">
        <x:v>ไม่ทราบ</x:v>
      </x:c>
      <x:c r="AG352" s="8" t="str">
        <x:f>IF(AF352="ใช่","หัวหน้าทีมพิจารณาเหตุไม่ผ่าน",IF(OR(AA352&lt;=0,NOT(OR(AND(C352="จำหน่ายอาหาร",ISNUMBER(K352),L352="N/A"),AND(C352="ไม่จำหน่ายอาหาร",K352="N/A",ISNUMBER(L352)),AND(C352="มัสยิด",K352="N/A",L352="N/A",X352="N/A"))),AD352="รอยืนยัน",COUNT(K352:Z352)+COUNTIFS(K352:Z352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2" s="59" t="str"/>
      <x:c r="AI352" s="61"/>
    </x:row>
    <x:row r="353" ht="60" customHeight="1">
      <x:c r="A353" s="2" t="str">
        <x:v>R26-309</x:v>
      </x:c>
      <x:c r="B353" s="8" t="str">
        <x:v>สวนสัตว์สงขลา</x:v>
      </x:c>
      <x:c r="C353" s="59" t="str">
        <x:v>ไม่ทราบ</x:v>
      </x:c>
      <x:c r="D353" s="59" t="str">
        <x:v>ไม่ทราบ</x:v>
      </x:c>
      <x:c r="E353" s="59" t="str">
        <x:v>ไม่ทราบ</x:v>
      </x:c>
      <x:c r="F353" s="59" t="str">
        <x:v>ไม่ทราบ</x:v>
      </x:c>
      <x:c r="G353" s="59" t="str">
        <x:v>ไม่ทราบ</x:v>
      </x:c>
      <x:c r="H353" s="59" t="str">
        <x:v>N/A</x:v>
      </x:c>
      <x:c r="I353" s="59"/>
      <x:c r="J353" s="59" t="str">
        <x:v>ไม่ทราบ</x:v>
      </x:c>
      <x:c r="K353" s="59"/>
      <x:c r="L353" s="59"/>
      <x:c r="M353" s="59"/>
      <x:c r="N353" s="59"/>
      <x:c r="O353" s="59"/>
      <x:c r="P353" s="59"/>
      <x:c r="Q353" s="59"/>
      <x:c r="R353" s="59"/>
      <x:c r="S353" s="59"/>
      <x:c r="T353" s="59"/>
      <x:c r="U353" s="59"/>
      <x:c r="V353" s="59"/>
      <x:c r="W353" s="59"/>
      <x:c r="X353" s="59"/>
      <x:c r="Y353" s="59"/>
      <x:c r="Z353" s="59"/>
      <x:c r="AA353" s="8" t="str">
        <x:f>IF(C353="ไม่ทราบ","",SUMIFS($K$7:$Z$7,K353:Z353,"&lt;&gt;N/A"))</x:f>
      </x:c>
      <x:c r="AB353" s="8" t="str">
        <x:f>IF(AND(OR(AND(C353="จำหน่ายอาหาร",ISNUMBER(K353),L353="N/A"),AND(C353="ไม่จำหน่ายอาหาร",K353="N/A",ISNUMBER(L353)),AND(C353="มัสยิด",K353="N/A",L353="N/A",X353="N/A")),COUNT(K353:Z353)+COUNTIFS(K353:Z353,"N/A")=16),SUM(K353:Z353),"")</x:f>
      </x:c>
      <x:c r="AC353" s="62" t="str">
        <x:f>IF(OR(AB353="",AA353&lt;=0),"",ROUND(AB353/AA353*100,1))</x:f>
      </x:c>
      <x:c r="AD353" s="8" t="str">
        <x:f>IF(COUNTIFS(D353:H353,"ไม่ผ่าน")&gt;0,"ไม่ผ่าน",IF(COUNTIFS(D353:H353,"ไม่ทราบ")+COUNTBLANK(D353:H353)&gt;0,"รอยืนยัน","ผ่าน"))</x:f>
        <x:v>รอยืนยัน</x:v>
      </x:c>
      <x:c r="AE353" s="8" t="str">
        <x:f>IF(AF353="ใช่","ไม่ผ่านการคัดเลือก",IF(AND(AD353="ผ่าน",ISNUMBER(AC353),AC353&gt;=70),"พร้อมขาย",IF(OR(J353="ใช่",AND(ISNUMBER(AC353),AC353&gt;=50)),"พัฒนาเพื่อพร้อมขาย",IF(AND(ISNUMBER(AC353),AC353&lt;50,I353&gt;=1),"มีศักยภาพ แต่ต้องพัฒนามาตรฐาน","รอประเมิน"))))</x:f>
        <x:v>รอประเมิน</x:v>
      </x:c>
      <x:c r="AF353" s="59" t="str">
        <x:v>ไม่ทราบ</x:v>
      </x:c>
      <x:c r="AG353" s="8" t="str">
        <x:f>IF(AF353="ใช่","หัวหน้าทีมพิจารณาเหตุไม่ผ่าน",IF(OR(AA353&lt;=0,NOT(OR(AND(C353="จำหน่ายอาหาร",ISNUMBER(K353),L353="N/A"),AND(C353="ไม่จำหน่ายอาหาร",K353="N/A",ISNUMBER(L353)),AND(C353="มัสยิด",K353="N/A",L353="N/A",X353="N/A"))),AD353="รอยืนยัน",COUNT(K353:Z353)+COUNTIFS(K353:Z353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3" s="59" t="str"/>
      <x:c r="AI353" s="61"/>
    </x:row>
    <x:row r="354" ht="60" customHeight="1">
      <x:c r="A354" s="2" t="str">
        <x:v>R26-072</x:v>
      </x:c>
      <x:c r="B354" s="8" t="str">
        <x:v>ปราสาทหินพันยอด</x:v>
      </x:c>
      <x:c r="C354" s="59" t="str">
        <x:v>ไม่ทราบ</x:v>
      </x:c>
      <x:c r="D354" s="59" t="str">
        <x:v>ไม่ทราบ</x:v>
      </x:c>
      <x:c r="E354" s="59" t="str">
        <x:v>ไม่ทราบ</x:v>
      </x:c>
      <x:c r="F354" s="59" t="str">
        <x:v>ไม่ทราบ</x:v>
      </x:c>
      <x:c r="G354" s="59" t="str">
        <x:v>ไม่ทราบ</x:v>
      </x:c>
      <x:c r="H354" s="59" t="str">
        <x:v>N/A</x:v>
      </x:c>
      <x:c r="I354" s="59"/>
      <x:c r="J354" s="59" t="str">
        <x:v>ไม่ทราบ</x:v>
      </x:c>
      <x:c r="K354" s="59"/>
      <x:c r="L354" s="59"/>
      <x:c r="M354" s="59"/>
      <x:c r="N354" s="59"/>
      <x:c r="O354" s="59"/>
      <x:c r="P354" s="59"/>
      <x:c r="Q354" s="59"/>
      <x:c r="R354" s="59"/>
      <x:c r="S354" s="59"/>
      <x:c r="T354" s="59"/>
      <x:c r="U354" s="59"/>
      <x:c r="V354" s="59"/>
      <x:c r="W354" s="59"/>
      <x:c r="X354" s="59"/>
      <x:c r="Y354" s="59"/>
      <x:c r="Z354" s="59"/>
      <x:c r="AA354" s="8" t="str">
        <x:f>IF(C354="ไม่ทราบ","",SUMIFS($K$7:$Z$7,K354:Z354,"&lt;&gt;N/A"))</x:f>
      </x:c>
      <x:c r="AB354" s="8" t="str">
        <x:f>IF(AND(OR(AND(C354="จำหน่ายอาหาร",ISNUMBER(K354),L354="N/A"),AND(C354="ไม่จำหน่ายอาหาร",K354="N/A",ISNUMBER(L354)),AND(C354="มัสยิด",K354="N/A",L354="N/A",X354="N/A")),COUNT(K354:Z354)+COUNTIFS(K354:Z354,"N/A")=16),SUM(K354:Z354),"")</x:f>
      </x:c>
      <x:c r="AC354" s="62" t="str">
        <x:f>IF(OR(AB354="",AA354&lt;=0),"",ROUND(AB354/AA354*100,1))</x:f>
      </x:c>
      <x:c r="AD354" s="8" t="str">
        <x:f>IF(COUNTIFS(D354:H354,"ไม่ผ่าน")&gt;0,"ไม่ผ่าน",IF(COUNTIFS(D354:H354,"ไม่ทราบ")+COUNTBLANK(D354:H354)&gt;0,"รอยืนยัน","ผ่าน"))</x:f>
        <x:v>รอยืนยัน</x:v>
      </x:c>
      <x:c r="AE354" s="8" t="str">
        <x:f>IF(AF354="ใช่","ไม่ผ่านการคัดเลือก",IF(AND(AD354="ผ่าน",ISNUMBER(AC354),AC354&gt;=70),"พร้อมขาย",IF(OR(J354="ใช่",AND(ISNUMBER(AC354),AC354&gt;=50)),"พัฒนาเพื่อพร้อมขาย",IF(AND(ISNUMBER(AC354),AC354&lt;50,I354&gt;=1),"มีศักยภาพ แต่ต้องพัฒนามาตรฐาน","รอประเมิน"))))</x:f>
        <x:v>รอประเมิน</x:v>
      </x:c>
      <x:c r="AF354" s="59" t="str">
        <x:v>ไม่ทราบ</x:v>
      </x:c>
      <x:c r="AG354" s="8" t="str">
        <x:f>IF(AF354="ใช่","หัวหน้าทีมพิจารณาเหตุไม่ผ่าน",IF(OR(AA354&lt;=0,NOT(OR(AND(C354="จำหน่ายอาหาร",ISNUMBER(K354),L354="N/A"),AND(C354="ไม่จำหน่ายอาหาร",K354="N/A",ISNUMBER(L354)),AND(C354="มัสยิด",K354="N/A",L354="N/A",X354="N/A"))),AD354="รอยืนยัน",COUNT(K354:Z354)+COUNTIFS(K354:Z354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4" s="59" t="str"/>
      <x:c r="AI354" s="61"/>
    </x:row>
    <x:row r="355" ht="60" customHeight="1">
      <x:c r="A355" s="2" t="str">
        <x:v>R26-075</x:v>
      </x:c>
      <x:c r="B355" s="8" t="str">
        <x:v>มัสยิดมำบัง</x:v>
      </x:c>
      <x:c r="C355" s="59" t="str">
        <x:v>มัสยิด</x:v>
      </x:c>
      <x:c r="D355" s="59" t="str">
        <x:v>ไม่ทราบ</x:v>
      </x:c>
      <x:c r="E355" s="59" t="str">
        <x:v>ไม่ทราบ</x:v>
      </x:c>
      <x:c r="F355" s="59" t="str">
        <x:v>ไม่ทราบ</x:v>
      </x:c>
      <x:c r="G355" s="59" t="str">
        <x:v>N/A</x:v>
      </x:c>
      <x:c r="H355" s="59" t="str">
        <x:v>N/A</x:v>
      </x:c>
      <x:c r="I355" s="59"/>
      <x:c r="J355" s="59" t="str">
        <x:v>ไม่ทราบ</x:v>
      </x:c>
      <x:c r="K355" s="59" t="str">
        <x:v>N/A</x:v>
      </x:c>
      <x:c r="L355" s="59" t="str">
        <x:v>N/A</x:v>
      </x:c>
      <x:c r="M355" s="59"/>
      <x:c r="N355" s="59"/>
      <x:c r="O355" s="59"/>
      <x:c r="P355" s="59"/>
      <x:c r="Q355" s="59"/>
      <x:c r="R355" s="59"/>
      <x:c r="S355" s="59"/>
      <x:c r="T355" s="59"/>
      <x:c r="U355" s="59"/>
      <x:c r="V355" s="59"/>
      <x:c r="W355" s="59"/>
      <x:c r="X355" s="59" t="str">
        <x:v>N/A</x:v>
      </x:c>
      <x:c r="Y355" s="59"/>
      <x:c r="Z355" s="59"/>
      <x:c r="AA355" s="8" t="n">
        <x:f>IF(C355="ไม่ทราบ","",SUMIFS($K$7:$Z$7,K355:Z355,"&lt;&gt;N/A"))</x:f>
        <x:v>67</x:v>
      </x:c>
      <x:c r="AB355" s="8" t="str">
        <x:f>IF(AND(OR(AND(C355="จำหน่ายอาหาร",ISNUMBER(K355),L355="N/A"),AND(C355="ไม่จำหน่ายอาหาร",K355="N/A",ISNUMBER(L355)),AND(C355="มัสยิด",K355="N/A",L355="N/A",X355="N/A")),COUNT(K355:Z355)+COUNTIFS(K355:Z355,"N/A")=16),SUM(K355:Z355),"")</x:f>
      </x:c>
      <x:c r="AC355" s="62" t="str">
        <x:f>IF(OR(AB355="",AA355&lt;=0),"",ROUND(AB355/AA355*100,1))</x:f>
      </x:c>
      <x:c r="AD355" s="8" t="str">
        <x:f>IF(COUNTIFS(D355:H355,"ไม่ผ่าน")&gt;0,"ไม่ผ่าน",IF(COUNTIFS(D355:H355,"ไม่ทราบ")+COUNTBLANK(D355:H355)&gt;0,"รอยืนยัน","ผ่าน"))</x:f>
        <x:v>รอยืนยัน</x:v>
      </x:c>
      <x:c r="AE355" s="8" t="str">
        <x:f>IF(AF355="ใช่","ไม่ผ่านการคัดเลือก",IF(AND(AD355="ผ่าน",ISNUMBER(AC355),AC355&gt;=70),"พร้อมขาย",IF(OR(J355="ใช่",AND(ISNUMBER(AC355),AC355&gt;=50)),"พัฒนาเพื่อพร้อมขาย",IF(AND(ISNUMBER(AC355),AC355&lt;50,I355&gt;=1),"มีศักยภาพ แต่ต้องพัฒนามาตรฐาน","รอประเมิน"))))</x:f>
        <x:v>รอประเมิน</x:v>
      </x:c>
      <x:c r="AF355" s="59" t="str">
        <x:v>ไม่ทราบ</x:v>
      </x:c>
      <x:c r="AG355" s="8" t="str">
        <x:f>IF(AF355="ใช่","หัวหน้าทีมพิจารณาเหตุไม่ผ่าน",IF(OR(AA355&lt;=0,NOT(OR(AND(C355="จำหน่ายอาหาร",ISNUMBER(K355),L355="N/A"),AND(C355="ไม่จำหน่ายอาหาร",K355="N/A",ISNUMBER(L355)),AND(C355="มัสยิด",K355="N/A",L355="N/A",X355="N/A"))),AD355="รอยืนยัน",COUNT(K355:Z355)+COUNTIFS(K355:Z355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5" s="59" t="str"/>
      <x:c r="AI355" s="61"/>
    </x:row>
    <x:row r="356" ht="60" customHeight="1">
      <x:c r="A356" s="2" t="str">
        <x:v>R26-073</x:v>
      </x:c>
      <x:c r="B356" s="8" t="str">
        <x:v>ชุมชนบ้านบ่อเจ็ดลูก</x:v>
      </x:c>
      <x:c r="C356" s="59" t="str">
        <x:v>ไม่ทราบ</x:v>
      </x:c>
      <x:c r="D356" s="59" t="str">
        <x:v>ไม่ทราบ</x:v>
      </x:c>
      <x:c r="E356" s="59" t="str">
        <x:v>ไม่ทราบ</x:v>
      </x:c>
      <x:c r="F356" s="59" t="str">
        <x:v>ไม่ทราบ</x:v>
      </x:c>
      <x:c r="G356" s="59" t="str">
        <x:v>ไม่ทราบ</x:v>
      </x:c>
      <x:c r="H356" s="59" t="str">
        <x:v>N/A</x:v>
      </x:c>
      <x:c r="I356" s="59"/>
      <x:c r="J356" s="59" t="str">
        <x:v>ไม่ทราบ</x:v>
      </x:c>
      <x:c r="K356" s="59"/>
      <x:c r="L356" s="59"/>
      <x:c r="M356" s="59"/>
      <x:c r="N356" s="59"/>
      <x:c r="O356" s="59"/>
      <x:c r="P356" s="59"/>
      <x:c r="Q356" s="59"/>
      <x:c r="R356" s="59"/>
      <x:c r="S356" s="59"/>
      <x:c r="T356" s="59"/>
      <x:c r="U356" s="59"/>
      <x:c r="V356" s="59"/>
      <x:c r="W356" s="59"/>
      <x:c r="X356" s="59"/>
      <x:c r="Y356" s="59"/>
      <x:c r="Z356" s="59"/>
      <x:c r="AA356" s="8" t="str">
        <x:f>IF(C356="ไม่ทราบ","",SUMIFS($K$7:$Z$7,K356:Z356,"&lt;&gt;N/A"))</x:f>
      </x:c>
      <x:c r="AB356" s="8" t="str">
        <x:f>IF(AND(OR(AND(C356="จำหน่ายอาหาร",ISNUMBER(K356),L356="N/A"),AND(C356="ไม่จำหน่ายอาหาร",K356="N/A",ISNUMBER(L356)),AND(C356="มัสยิด",K356="N/A",L356="N/A",X356="N/A")),COUNT(K356:Z356)+COUNTIFS(K356:Z356,"N/A")=16),SUM(K356:Z356),"")</x:f>
      </x:c>
      <x:c r="AC356" s="62" t="str">
        <x:f>IF(OR(AB356="",AA356&lt;=0),"",ROUND(AB356/AA356*100,1))</x:f>
      </x:c>
      <x:c r="AD356" s="8" t="str">
        <x:f>IF(COUNTIFS(D356:H356,"ไม่ผ่าน")&gt;0,"ไม่ผ่าน",IF(COUNTIFS(D356:H356,"ไม่ทราบ")+COUNTBLANK(D356:H356)&gt;0,"รอยืนยัน","ผ่าน"))</x:f>
        <x:v>รอยืนยัน</x:v>
      </x:c>
      <x:c r="AE356" s="8" t="str">
        <x:f>IF(AF356="ใช่","ไม่ผ่านการคัดเลือก",IF(AND(AD356="ผ่าน",ISNUMBER(AC356),AC356&gt;=70),"พร้อมขาย",IF(OR(J356="ใช่",AND(ISNUMBER(AC356),AC356&gt;=50)),"พัฒนาเพื่อพร้อมขาย",IF(AND(ISNUMBER(AC356),AC356&lt;50,I356&gt;=1),"มีศักยภาพ แต่ต้องพัฒนามาตรฐาน","รอประเมิน"))))</x:f>
        <x:v>รอประเมิน</x:v>
      </x:c>
      <x:c r="AF356" s="59" t="str">
        <x:v>ไม่ทราบ</x:v>
      </x:c>
      <x:c r="AG356" s="8" t="str">
        <x:f>IF(AF356="ใช่","หัวหน้าทีมพิจารณาเหตุไม่ผ่าน",IF(OR(AA356&lt;=0,NOT(OR(AND(C356="จำหน่ายอาหาร",ISNUMBER(K356),L356="N/A"),AND(C356="ไม่จำหน่ายอาหาร",K356="N/A",ISNUMBER(L356)),AND(C356="มัสยิด",K356="N/A",L356="N/A",X356="N/A"))),AD356="รอยืนยัน",COUNT(K356:Z356)+COUNTIFS(K356:Z356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6" s="59" t="str"/>
      <x:c r="AI356" s="61"/>
    </x:row>
    <x:row r="357" ht="60" customHeight="1">
      <x:c r="A357" s="2" t="str">
        <x:v>R26-384</x:v>
      </x:c>
      <x:c r="B357" s="8" t="str">
        <x:v>Sinkiat Thani Hotel</x:v>
      </x:c>
      <x:c r="C357" s="59" t="str">
        <x:v>ไม่ทราบ</x:v>
      </x:c>
      <x:c r="D357" s="59" t="str">
        <x:v>ไม่ทราบ</x:v>
      </x:c>
      <x:c r="E357" s="59" t="str">
        <x:v>ไม่ทราบ</x:v>
      </x:c>
      <x:c r="F357" s="59" t="str">
        <x:v>ไม่ทราบ</x:v>
      </x:c>
      <x:c r="G357" s="59" t="str">
        <x:v>ไม่ทราบ</x:v>
      </x:c>
      <x:c r="H357" s="59" t="str">
        <x:v>ไม่ทราบ</x:v>
      </x:c>
      <x:c r="I357" s="59"/>
      <x:c r="J357" s="59" t="str">
        <x:v>ไม่ทราบ</x:v>
      </x:c>
      <x:c r="K357" s="59"/>
      <x:c r="L357" s="59"/>
      <x:c r="M357" s="59"/>
      <x:c r="N357" s="59"/>
      <x:c r="O357" s="59"/>
      <x:c r="P357" s="59"/>
      <x:c r="Q357" s="59"/>
      <x:c r="R357" s="59"/>
      <x:c r="S357" s="59"/>
      <x:c r="T357" s="59"/>
      <x:c r="U357" s="59"/>
      <x:c r="V357" s="59"/>
      <x:c r="W357" s="59"/>
      <x:c r="X357" s="59"/>
      <x:c r="Y357" s="59"/>
      <x:c r="Z357" s="59"/>
      <x:c r="AA357" s="8" t="str">
        <x:f>IF(C357="ไม่ทราบ","",SUMIFS($K$7:$Z$7,K357:Z357,"&lt;&gt;N/A"))</x:f>
      </x:c>
      <x:c r="AB357" s="8" t="str">
        <x:f>IF(AND(OR(AND(C357="จำหน่ายอาหาร",ISNUMBER(K357),L357="N/A"),AND(C357="ไม่จำหน่ายอาหาร",K357="N/A",ISNUMBER(L357)),AND(C357="มัสยิด",K357="N/A",L357="N/A",X357="N/A")),COUNT(K357:Z357)+COUNTIFS(K357:Z357,"N/A")=16),SUM(K357:Z357),"")</x:f>
      </x:c>
      <x:c r="AC357" s="62" t="str">
        <x:f>IF(OR(AB357="",AA357&lt;=0),"",ROUND(AB357/AA357*100,1))</x:f>
      </x:c>
      <x:c r="AD357" s="8" t="str">
        <x:f>IF(COUNTIFS(D357:H357,"ไม่ผ่าน")&gt;0,"ไม่ผ่าน",IF(COUNTIFS(D357:H357,"ไม่ทราบ")+COUNTBLANK(D357:H357)&gt;0,"รอยืนยัน","ผ่าน"))</x:f>
        <x:v>รอยืนยัน</x:v>
      </x:c>
      <x:c r="AE357" s="8" t="str">
        <x:f>IF(AF357="ใช่","ไม่ผ่านการคัดเลือก",IF(AND(AD357="ผ่าน",ISNUMBER(AC357),AC357&gt;=70),"พร้อมขาย",IF(OR(J357="ใช่",AND(ISNUMBER(AC357),AC357&gt;=50)),"พัฒนาเพื่อพร้อมขาย",IF(AND(ISNUMBER(AC357),AC357&lt;50,I357&gt;=1),"มีศักยภาพ แต่ต้องพัฒนามาตรฐาน","รอประเมิน"))))</x:f>
        <x:v>รอประเมิน</x:v>
      </x:c>
      <x:c r="AF357" s="59" t="str">
        <x:v>ไม่ทราบ</x:v>
      </x:c>
      <x:c r="AG357" s="8" t="str">
        <x:f>IF(AF357="ใช่","หัวหน้าทีมพิจารณาเหตุไม่ผ่าน",IF(OR(AA357&lt;=0,NOT(OR(AND(C357="จำหน่ายอาหาร",ISNUMBER(K357),L357="N/A"),AND(C357="ไม่จำหน่ายอาหาร",K357="N/A",ISNUMBER(L357)),AND(C357="มัสยิด",K357="N/A",L357="N/A",X357="N/A"))),AD357="รอยืนยัน",COUNT(K357:Z357)+COUNTIFS(K357:Z357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7" s="59" t="str"/>
      <x:c r="AI357" s="61"/>
    </x:row>
    <x:row r="358" ht="60" customHeight="1">
      <x:c r="A358" s="2" t="str">
        <x:v>TMF-222</x:v>
      </x:c>
      <x:c r="B358" s="8" t="str">
        <x:v>ไมอามี่ ซีวิว</x:v>
      </x:c>
      <x:c r="C358" s="59" t="str">
        <x:v>ไม่ทราบ</x:v>
      </x:c>
      <x:c r="D358" s="59" t="str">
        <x:v>ไม่ทราบ</x:v>
      </x:c>
      <x:c r="E358" s="59" t="str">
        <x:v>ไม่ทราบ</x:v>
      </x:c>
      <x:c r="F358" s="59" t="str">
        <x:v>ไม่ทราบ</x:v>
      </x:c>
      <x:c r="G358" s="59" t="str">
        <x:v>ไม่ทราบ</x:v>
      </x:c>
      <x:c r="H358" s="59" t="str">
        <x:v>ไม่ทราบ</x:v>
      </x:c>
      <x:c r="I358" s="59"/>
      <x:c r="J358" s="59" t="str">
        <x:v>ไม่ทราบ</x:v>
      </x:c>
      <x:c r="K358" s="59"/>
      <x:c r="L358" s="59"/>
      <x:c r="M358" s="59"/>
      <x:c r="N358" s="59"/>
      <x:c r="O358" s="59"/>
      <x:c r="P358" s="59"/>
      <x:c r="Q358" s="59"/>
      <x:c r="R358" s="59"/>
      <x:c r="S358" s="59"/>
      <x:c r="T358" s="59"/>
      <x:c r="U358" s="59"/>
      <x:c r="V358" s="59"/>
      <x:c r="W358" s="59"/>
      <x:c r="X358" s="59"/>
      <x:c r="Y358" s="59"/>
      <x:c r="Z358" s="59"/>
      <x:c r="AA358" s="8" t="str">
        <x:f>IF(C358="ไม่ทราบ","",SUMIFS($K$7:$Z$7,K358:Z358,"&lt;&gt;N/A"))</x:f>
      </x:c>
      <x:c r="AB358" s="8" t="str">
        <x:f>IF(AND(OR(AND(C358="จำหน่ายอาหาร",ISNUMBER(K358),L358="N/A"),AND(C358="ไม่จำหน่ายอาหาร",K358="N/A",ISNUMBER(L358)),AND(C358="มัสยิด",K358="N/A",L358="N/A",X358="N/A")),COUNT(K358:Z358)+COUNTIFS(K358:Z358,"N/A")=16),SUM(K358:Z358),"")</x:f>
      </x:c>
      <x:c r="AC358" s="62" t="str">
        <x:f>IF(OR(AB358="",AA358&lt;=0),"",ROUND(AB358/AA358*100,1))</x:f>
      </x:c>
      <x:c r="AD358" s="8" t="str">
        <x:f>IF(COUNTIFS(D358:H358,"ไม่ผ่าน")&gt;0,"ไม่ผ่าน",IF(COUNTIFS(D358:H358,"ไม่ทราบ")+COUNTBLANK(D358:H358)&gt;0,"รอยืนยัน","ผ่าน"))</x:f>
        <x:v>รอยืนยัน</x:v>
      </x:c>
      <x:c r="AE358" s="8" t="str">
        <x:f>IF(AF358="ใช่","ไม่ผ่านการคัดเลือก",IF(AND(AD358="ผ่าน",ISNUMBER(AC358),AC358&gt;=70),"พร้อมขาย",IF(OR(J358="ใช่",AND(ISNUMBER(AC358),AC358&gt;=50)),"พัฒนาเพื่อพร้อมขาย",IF(AND(ISNUMBER(AC358),AC358&lt;50,I358&gt;=1),"มีศักยภาพ แต่ต้องพัฒนามาตรฐาน","รอประเมิน"))))</x:f>
        <x:v>รอประเมิน</x:v>
      </x:c>
      <x:c r="AF358" s="59" t="str">
        <x:v>ไม่ทราบ</x:v>
      </x:c>
      <x:c r="AG358" s="8" t="str">
        <x:f>IF(AF358="ใช่","หัวหน้าทีมพิจารณาเหตุไม่ผ่าน",IF(OR(AA358&lt;=0,NOT(OR(AND(C358="จำหน่ายอาหาร",ISNUMBER(K358),L358="N/A"),AND(C358="ไม่จำหน่ายอาหาร",K358="N/A",ISNUMBER(L358)),AND(C358="มัสยิด",K358="N/A",L358="N/A",X358="N/A"))),AD358="รอยืนยัน",COUNT(K358:Z358)+COUNTIFS(K358:Z358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8" s="59" t="str"/>
      <x:c r="AI358" s="61"/>
    </x:row>
    <x:row r="359" ht="60" customHeight="1">
      <x:c r="A359" s="2" t="str">
        <x:v>R26-347</x:v>
      </x:c>
      <x:c r="B359" s="8" t="str">
        <x:v>SP ติ่มซำฮาลาล</x:v>
      </x:c>
      <x:c r="C359" s="59" t="str">
        <x:v>จำหน่ายอาหาร</x:v>
      </x:c>
      <x:c r="D359" s="59" t="str">
        <x:v>ไม่ทราบ</x:v>
      </x:c>
      <x:c r="E359" s="59" t="str">
        <x:v>ไม่ทราบ</x:v>
      </x:c>
      <x:c r="F359" s="59" t="str">
        <x:v>ไม่ทราบ</x:v>
      </x:c>
      <x:c r="G359" s="59" t="str">
        <x:v>ไม่ทราบ</x:v>
      </x:c>
      <x:c r="H359" s="59" t="str">
        <x:v>N/A</x:v>
      </x:c>
      <x:c r="I359" s="59"/>
      <x:c r="J359" s="59" t="str">
        <x:v>ไม่ทราบ</x:v>
      </x:c>
      <x:c r="K359" s="59"/>
      <x:c r="L359" s="59" t="str">
        <x:v>N/A</x:v>
      </x:c>
      <x:c r="M359" s="59"/>
      <x:c r="N359" s="59"/>
      <x:c r="O359" s="59"/>
      <x:c r="P359" s="59"/>
      <x:c r="Q359" s="59"/>
      <x:c r="R359" s="59"/>
      <x:c r="S359" s="59"/>
      <x:c r="T359" s="59"/>
      <x:c r="U359" s="59"/>
      <x:c r="V359" s="59"/>
      <x:c r="W359" s="59"/>
      <x:c r="X359" s="59"/>
      <x:c r="Y359" s="59"/>
      <x:c r="Z359" s="59"/>
      <x:c r="AA359" s="8" t="n">
        <x:f>IF(C359="ไม่ทราบ","",SUMIFS($K$7:$Z$7,K359:Z359,"&lt;&gt;N/A"))</x:f>
        <x:v>100</x:v>
      </x:c>
      <x:c r="AB359" s="8" t="str">
        <x:f>IF(AND(OR(AND(C359="จำหน่ายอาหาร",ISNUMBER(K359),L359="N/A"),AND(C359="ไม่จำหน่ายอาหาร",K359="N/A",ISNUMBER(L359)),AND(C359="มัสยิด",K359="N/A",L359="N/A",X359="N/A")),COUNT(K359:Z359)+COUNTIFS(K359:Z359,"N/A")=16),SUM(K359:Z359),"")</x:f>
      </x:c>
      <x:c r="AC359" s="62" t="str">
        <x:f>IF(OR(AB359="",AA359&lt;=0),"",ROUND(AB359/AA359*100,1))</x:f>
      </x:c>
      <x:c r="AD359" s="8" t="str">
        <x:f>IF(COUNTIFS(D359:H359,"ไม่ผ่าน")&gt;0,"ไม่ผ่าน",IF(COUNTIFS(D359:H359,"ไม่ทราบ")+COUNTBLANK(D359:H359)&gt;0,"รอยืนยัน","ผ่าน"))</x:f>
        <x:v>รอยืนยัน</x:v>
      </x:c>
      <x:c r="AE359" s="8" t="str">
        <x:f>IF(AF359="ใช่","ไม่ผ่านการคัดเลือก",IF(AND(AD359="ผ่าน",ISNUMBER(AC359),AC359&gt;=70),"พร้อมขาย",IF(OR(J359="ใช่",AND(ISNUMBER(AC359),AC359&gt;=50)),"พัฒนาเพื่อพร้อมขาย",IF(AND(ISNUMBER(AC359),AC359&lt;50,I359&gt;=1),"มีศักยภาพ แต่ต้องพัฒนามาตรฐาน","รอประเมิน"))))</x:f>
        <x:v>รอประเมิน</x:v>
      </x:c>
      <x:c r="AF359" s="59" t="str">
        <x:v>ไม่ทราบ</x:v>
      </x:c>
      <x:c r="AG359" s="8" t="str">
        <x:f>IF(AF359="ใช่","หัวหน้าทีมพิจารณาเหตุไม่ผ่าน",IF(OR(AA359&lt;=0,NOT(OR(AND(C359="จำหน่ายอาหาร",ISNUMBER(K359),L359="N/A"),AND(C359="ไม่จำหน่ายอาหาร",K359="N/A",ISNUMBER(L359)),AND(C359="มัสยิด",K359="N/A",L359="N/A",X359="N/A"))),AD359="รอยืนยัน",COUNT(K359:Z359)+COUNTIFS(K359:Z359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59" s="59" t="str"/>
      <x:c r="AI359" s="61"/>
    </x:row>
    <x:row r="360" ht="60" customHeight="1">
      <x:c r="A360" s="2" t="str">
        <x:v>R26-349</x:v>
      </x:c>
      <x:c r="B360" s="8" t="str">
        <x:v>ครัวฮาลาล บขส.สตูล</x:v>
      </x:c>
      <x:c r="C360" s="59" t="str">
        <x:v>จำหน่ายอาหาร</x:v>
      </x:c>
      <x:c r="D360" s="59" t="str">
        <x:v>ไม่ทราบ</x:v>
      </x:c>
      <x:c r="E360" s="59" t="str">
        <x:v>ไม่ทราบ</x:v>
      </x:c>
      <x:c r="F360" s="59" t="str">
        <x:v>ไม่ทราบ</x:v>
      </x:c>
      <x:c r="G360" s="59" t="str">
        <x:v>ไม่ทราบ</x:v>
      </x:c>
      <x:c r="H360" s="59" t="str">
        <x:v>N/A</x:v>
      </x:c>
      <x:c r="I360" s="59"/>
      <x:c r="J360" s="59" t="str">
        <x:v>ไม่ทราบ</x:v>
      </x:c>
      <x:c r="K360" s="59"/>
      <x:c r="L360" s="59" t="str">
        <x:v>N/A</x:v>
      </x:c>
      <x:c r="M360" s="59"/>
      <x:c r="N360" s="59"/>
      <x:c r="O360" s="59"/>
      <x:c r="P360" s="59"/>
      <x:c r="Q360" s="59"/>
      <x:c r="R360" s="59"/>
      <x:c r="S360" s="59"/>
      <x:c r="T360" s="59"/>
      <x:c r="U360" s="59"/>
      <x:c r="V360" s="59"/>
      <x:c r="W360" s="59"/>
      <x:c r="X360" s="59"/>
      <x:c r="Y360" s="59"/>
      <x:c r="Z360" s="59"/>
      <x:c r="AA360" s="8" t="n">
        <x:f>IF(C360="ไม่ทราบ","",SUMIFS($K$7:$Z$7,K360:Z360,"&lt;&gt;N/A"))</x:f>
        <x:v>100</x:v>
      </x:c>
      <x:c r="AB360" s="8" t="str">
        <x:f>IF(AND(OR(AND(C360="จำหน่ายอาหาร",ISNUMBER(K360),L360="N/A"),AND(C360="ไม่จำหน่ายอาหาร",K360="N/A",ISNUMBER(L360)),AND(C360="มัสยิด",K360="N/A",L360="N/A",X360="N/A")),COUNT(K360:Z360)+COUNTIFS(K360:Z360,"N/A")=16),SUM(K360:Z360),"")</x:f>
      </x:c>
      <x:c r="AC360" s="62" t="str">
        <x:f>IF(OR(AB360="",AA360&lt;=0),"",ROUND(AB360/AA360*100,1))</x:f>
      </x:c>
      <x:c r="AD360" s="8" t="str">
        <x:f>IF(COUNTIFS(D360:H360,"ไม่ผ่าน")&gt;0,"ไม่ผ่าน",IF(COUNTIFS(D360:H360,"ไม่ทราบ")+COUNTBLANK(D360:H360)&gt;0,"รอยืนยัน","ผ่าน"))</x:f>
        <x:v>รอยืนยัน</x:v>
      </x:c>
      <x:c r="AE360" s="8" t="str">
        <x:f>IF(AF360="ใช่","ไม่ผ่านการคัดเลือก",IF(AND(AD360="ผ่าน",ISNUMBER(AC360),AC360&gt;=70),"พร้อมขาย",IF(OR(J360="ใช่",AND(ISNUMBER(AC360),AC360&gt;=50)),"พัฒนาเพื่อพร้อมขาย",IF(AND(ISNUMBER(AC360),AC360&lt;50,I360&gt;=1),"มีศักยภาพ แต่ต้องพัฒนามาตรฐาน","รอประเมิน"))))</x:f>
        <x:v>รอประเมิน</x:v>
      </x:c>
      <x:c r="AF360" s="59" t="str">
        <x:v>ไม่ทราบ</x:v>
      </x:c>
      <x:c r="AG360" s="8" t="str">
        <x:f>IF(AF360="ใช่","หัวหน้าทีมพิจารณาเหตุไม่ผ่าน",IF(OR(AA360&lt;=0,NOT(OR(AND(C360="จำหน่ายอาหาร",ISNUMBER(K360),L360="N/A"),AND(C360="ไม่จำหน่ายอาหาร",K360="N/A",ISNUMBER(L360)),AND(C360="มัสยิด",K360="N/A",L360="N/A",X360="N/A"))),AD360="รอยืนยัน",COUNT(K360:Z360)+COUNTIFS(K360:Z360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0" s="59" t="str"/>
      <x:c r="AI360" s="61"/>
    </x:row>
    <x:row r="361" ht="60" customHeight="1">
      <x:c r="A361" s="2" t="str">
        <x:v>R26-348</x:v>
      </x:c>
      <x:c r="B361" s="8" t="str">
        <x:v>บาราโรตี</x:v>
      </x:c>
      <x:c r="C361" s="59" t="str">
        <x:v>จำหน่ายอาหาร</x:v>
      </x:c>
      <x:c r="D361" s="59" t="str">
        <x:v>ไม่ทราบ</x:v>
      </x:c>
      <x:c r="E361" s="59" t="str">
        <x:v>ไม่ทราบ</x:v>
      </x:c>
      <x:c r="F361" s="59" t="str">
        <x:v>ไม่ทราบ</x:v>
      </x:c>
      <x:c r="G361" s="59" t="str">
        <x:v>ไม่ทราบ</x:v>
      </x:c>
      <x:c r="H361" s="59" t="str">
        <x:v>N/A</x:v>
      </x:c>
      <x:c r="I361" s="59"/>
      <x:c r="J361" s="59" t="str">
        <x:v>ไม่ทราบ</x:v>
      </x:c>
      <x:c r="K361" s="59"/>
      <x:c r="L361" s="59" t="str">
        <x:v>N/A</x:v>
      </x:c>
      <x:c r="M361" s="59"/>
      <x:c r="N361" s="59"/>
      <x:c r="O361" s="59"/>
      <x:c r="P361" s="59"/>
      <x:c r="Q361" s="59"/>
      <x:c r="R361" s="59"/>
      <x:c r="S361" s="59"/>
      <x:c r="T361" s="59"/>
      <x:c r="U361" s="59"/>
      <x:c r="V361" s="59"/>
      <x:c r="W361" s="59"/>
      <x:c r="X361" s="59"/>
      <x:c r="Y361" s="59"/>
      <x:c r="Z361" s="59"/>
      <x:c r="AA361" s="8" t="n">
        <x:f>IF(C361="ไม่ทราบ","",SUMIFS($K$7:$Z$7,K361:Z361,"&lt;&gt;N/A"))</x:f>
        <x:v>100</x:v>
      </x:c>
      <x:c r="AB361" s="8" t="str">
        <x:f>IF(AND(OR(AND(C361="จำหน่ายอาหาร",ISNUMBER(K361),L361="N/A"),AND(C361="ไม่จำหน่ายอาหาร",K361="N/A",ISNUMBER(L361)),AND(C361="มัสยิด",K361="N/A",L361="N/A",X361="N/A")),COUNT(K361:Z361)+COUNTIFS(K361:Z361,"N/A")=16),SUM(K361:Z361),"")</x:f>
      </x:c>
      <x:c r="AC361" s="62" t="str">
        <x:f>IF(OR(AB361="",AA361&lt;=0),"",ROUND(AB361/AA361*100,1))</x:f>
      </x:c>
      <x:c r="AD361" s="8" t="str">
        <x:f>IF(COUNTIFS(D361:H361,"ไม่ผ่าน")&gt;0,"ไม่ผ่าน",IF(COUNTIFS(D361:H361,"ไม่ทราบ")+COUNTBLANK(D361:H361)&gt;0,"รอยืนยัน","ผ่าน"))</x:f>
        <x:v>รอยืนยัน</x:v>
      </x:c>
      <x:c r="AE361" s="8" t="str">
        <x:f>IF(AF361="ใช่","ไม่ผ่านการคัดเลือก",IF(AND(AD361="ผ่าน",ISNUMBER(AC361),AC361&gt;=70),"พร้อมขาย",IF(OR(J361="ใช่",AND(ISNUMBER(AC361),AC361&gt;=50)),"พัฒนาเพื่อพร้อมขาย",IF(AND(ISNUMBER(AC361),AC361&lt;50,I361&gt;=1),"มีศักยภาพ แต่ต้องพัฒนามาตรฐาน","รอประเมิน"))))</x:f>
        <x:v>รอประเมิน</x:v>
      </x:c>
      <x:c r="AF361" s="59" t="str">
        <x:v>ไม่ทราบ</x:v>
      </x:c>
      <x:c r="AG361" s="8" t="str">
        <x:f>IF(AF361="ใช่","หัวหน้าทีมพิจารณาเหตุไม่ผ่าน",IF(OR(AA361&lt;=0,NOT(OR(AND(C361="จำหน่ายอาหาร",ISNUMBER(K361),L361="N/A"),AND(C361="ไม่จำหน่ายอาหาร",K361="N/A",ISNUMBER(L361)),AND(C361="มัสยิด",K361="N/A",L361="N/A",X361="N/A"))),AD361="รอยืนยัน",COUNT(K361:Z361)+COUNTIFS(K361:Z361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1" s="59" t="str"/>
      <x:c r="AI361" s="61"/>
    </x:row>
    <x:row r="362" ht="60" customHeight="1">
      <x:c r="A362" s="2" t="str">
        <x:v>TMF-219</x:v>
      </x:c>
      <x:c r="B362" s="8" t="str">
        <x:v>วังรายา คาเฟ่</x:v>
      </x:c>
      <x:c r="C362" s="59" t="str">
        <x:v>จำหน่ายอาหาร</x:v>
      </x:c>
      <x:c r="D362" s="59" t="str">
        <x:v>ไม่ทราบ</x:v>
      </x:c>
      <x:c r="E362" s="59" t="str">
        <x:v>ไม่ทราบ</x:v>
      </x:c>
      <x:c r="F362" s="59" t="str">
        <x:v>ไม่ทราบ</x:v>
      </x:c>
      <x:c r="G362" s="59" t="str">
        <x:v>ไม่ทราบ</x:v>
      </x:c>
      <x:c r="H362" s="59" t="str">
        <x:v>N/A</x:v>
      </x:c>
      <x:c r="I362" s="59"/>
      <x:c r="J362" s="59" t="str">
        <x:v>ไม่ทราบ</x:v>
      </x:c>
      <x:c r="K362" s="59"/>
      <x:c r="L362" s="59" t="str">
        <x:v>N/A</x:v>
      </x:c>
      <x:c r="M362" s="59"/>
      <x:c r="N362" s="59"/>
      <x:c r="O362" s="59"/>
      <x:c r="P362" s="59"/>
      <x:c r="Q362" s="59"/>
      <x:c r="R362" s="59"/>
      <x:c r="S362" s="59"/>
      <x:c r="T362" s="59"/>
      <x:c r="U362" s="59"/>
      <x:c r="V362" s="59"/>
      <x:c r="W362" s="59"/>
      <x:c r="X362" s="59"/>
      <x:c r="Y362" s="59"/>
      <x:c r="Z362" s="59"/>
      <x:c r="AA362" s="8" t="n">
        <x:f>IF(C362="ไม่ทราบ","",SUMIFS($K$7:$Z$7,K362:Z362,"&lt;&gt;N/A"))</x:f>
        <x:v>100</x:v>
      </x:c>
      <x:c r="AB362" s="8" t="str">
        <x:f>IF(AND(OR(AND(C362="จำหน่ายอาหาร",ISNUMBER(K362),L362="N/A"),AND(C362="ไม่จำหน่ายอาหาร",K362="N/A",ISNUMBER(L362)),AND(C362="มัสยิด",K362="N/A",L362="N/A",X362="N/A")),COUNT(K362:Z362)+COUNTIFS(K362:Z362,"N/A")=16),SUM(K362:Z362),"")</x:f>
      </x:c>
      <x:c r="AC362" s="62" t="str">
        <x:f>IF(OR(AB362="",AA362&lt;=0),"",ROUND(AB362/AA362*100,1))</x:f>
      </x:c>
      <x:c r="AD362" s="8" t="str">
        <x:f>IF(COUNTIFS(D362:H362,"ไม่ผ่าน")&gt;0,"ไม่ผ่าน",IF(COUNTIFS(D362:H362,"ไม่ทราบ")+COUNTBLANK(D362:H362)&gt;0,"รอยืนยัน","ผ่าน"))</x:f>
        <x:v>รอยืนยัน</x:v>
      </x:c>
      <x:c r="AE362" s="8" t="str">
        <x:f>IF(AF362="ใช่","ไม่ผ่านการคัดเลือก",IF(AND(AD362="ผ่าน",ISNUMBER(AC362),AC362&gt;=70),"พร้อมขาย",IF(OR(J362="ใช่",AND(ISNUMBER(AC362),AC362&gt;=50)),"พัฒนาเพื่อพร้อมขาย",IF(AND(ISNUMBER(AC362),AC362&lt;50,I362&gt;=1),"มีศักยภาพ แต่ต้องพัฒนามาตรฐาน","รอประเมิน"))))</x:f>
        <x:v>รอประเมิน</x:v>
      </x:c>
      <x:c r="AF362" s="59" t="str">
        <x:v>ไม่ทราบ</x:v>
      </x:c>
      <x:c r="AG362" s="8" t="str">
        <x:f>IF(AF362="ใช่","หัวหน้าทีมพิจารณาเหตุไม่ผ่าน",IF(OR(AA362&lt;=0,NOT(OR(AND(C362="จำหน่ายอาหาร",ISNUMBER(K362),L362="N/A"),AND(C362="ไม่จำหน่ายอาหาร",K362="N/A",ISNUMBER(L362)),AND(C362="มัสยิด",K362="N/A",L362="N/A",X362="N/A"))),AD362="รอยืนยัน",COUNT(K362:Z362)+COUNTIFS(K362:Z362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2" s="59" t="str"/>
      <x:c r="AI362" s="61"/>
    </x:row>
    <x:row r="363" ht="60" customHeight="1">
      <x:c r="A363" s="2" t="str">
        <x:v>TMF-220</x:v>
      </x:c>
      <x:c r="B363" s="8" t="str">
        <x:v>เริน coffee beef plant</x:v>
      </x:c>
      <x:c r="C363" s="59" t="str">
        <x:v>จำหน่ายอาหาร</x:v>
      </x:c>
      <x:c r="D363" s="59" t="str">
        <x:v>ไม่ทราบ</x:v>
      </x:c>
      <x:c r="E363" s="59" t="str">
        <x:v>ไม่ทราบ</x:v>
      </x:c>
      <x:c r="F363" s="59" t="str">
        <x:v>ไม่ทราบ</x:v>
      </x:c>
      <x:c r="G363" s="59" t="str">
        <x:v>ไม่ทราบ</x:v>
      </x:c>
      <x:c r="H363" s="59" t="str">
        <x:v>N/A</x:v>
      </x:c>
      <x:c r="I363" s="59"/>
      <x:c r="J363" s="59" t="str">
        <x:v>ไม่ทราบ</x:v>
      </x:c>
      <x:c r="K363" s="59"/>
      <x:c r="L363" s="59" t="str">
        <x:v>N/A</x:v>
      </x:c>
      <x:c r="M363" s="59"/>
      <x:c r="N363" s="59"/>
      <x:c r="O363" s="59"/>
      <x:c r="P363" s="59"/>
      <x:c r="Q363" s="59"/>
      <x:c r="R363" s="59"/>
      <x:c r="S363" s="59"/>
      <x:c r="T363" s="59"/>
      <x:c r="U363" s="59"/>
      <x:c r="V363" s="59"/>
      <x:c r="W363" s="59"/>
      <x:c r="X363" s="59"/>
      <x:c r="Y363" s="59"/>
      <x:c r="Z363" s="59"/>
      <x:c r="AA363" s="8" t="n">
        <x:f>IF(C363="ไม่ทราบ","",SUMIFS($K$7:$Z$7,K363:Z363,"&lt;&gt;N/A"))</x:f>
        <x:v>100</x:v>
      </x:c>
      <x:c r="AB363" s="8" t="str">
        <x:f>IF(AND(OR(AND(C363="จำหน่ายอาหาร",ISNUMBER(K363),L363="N/A"),AND(C363="ไม่จำหน่ายอาหาร",K363="N/A",ISNUMBER(L363)),AND(C363="มัสยิด",K363="N/A",L363="N/A",X363="N/A")),COUNT(K363:Z363)+COUNTIFS(K363:Z363,"N/A")=16),SUM(K363:Z363),"")</x:f>
      </x:c>
      <x:c r="AC363" s="62" t="str">
        <x:f>IF(OR(AB363="",AA363&lt;=0),"",ROUND(AB363/AA363*100,1))</x:f>
      </x:c>
      <x:c r="AD363" s="8" t="str">
        <x:f>IF(COUNTIFS(D363:H363,"ไม่ผ่าน")&gt;0,"ไม่ผ่าน",IF(COUNTIFS(D363:H363,"ไม่ทราบ")+COUNTBLANK(D363:H363)&gt;0,"รอยืนยัน","ผ่าน"))</x:f>
        <x:v>รอยืนยัน</x:v>
      </x:c>
      <x:c r="AE363" s="8" t="str">
        <x:f>IF(AF363="ใช่","ไม่ผ่านการคัดเลือก",IF(AND(AD363="ผ่าน",ISNUMBER(AC363),AC363&gt;=70),"พร้อมขาย",IF(OR(J363="ใช่",AND(ISNUMBER(AC363),AC363&gt;=50)),"พัฒนาเพื่อพร้อมขาย",IF(AND(ISNUMBER(AC363),AC363&lt;50,I363&gt;=1),"มีศักยภาพ แต่ต้องพัฒนามาตรฐาน","รอประเมิน"))))</x:f>
        <x:v>รอประเมิน</x:v>
      </x:c>
      <x:c r="AF363" s="59" t="str">
        <x:v>ไม่ทราบ</x:v>
      </x:c>
      <x:c r="AG363" s="8" t="str">
        <x:f>IF(AF363="ใช่","หัวหน้าทีมพิจารณาเหตุไม่ผ่าน",IF(OR(AA363&lt;=0,NOT(OR(AND(C363="จำหน่ายอาหาร",ISNUMBER(K363),L363="N/A"),AND(C363="ไม่จำหน่ายอาหาร",K363="N/A",ISNUMBER(L363)),AND(C363="มัสยิด",K363="N/A",L363="N/A",X363="N/A"))),AD363="รอยืนยัน",COUNT(K363:Z363)+COUNTIFS(K363:Z363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3" s="59" t="str"/>
      <x:c r="AI363" s="61"/>
    </x:row>
    <x:row r="364" ht="60" customHeight="1">
      <x:c r="A364" s="2" t="str">
        <x:v>TMF-221</x:v>
      </x:c>
      <x:c r="B364" s="8" t="str">
        <x:v>แอ่นแอ้นคาเฟ่</x:v>
      </x:c>
      <x:c r="C364" s="59" t="str">
        <x:v>จำหน่ายอาหาร</x:v>
      </x:c>
      <x:c r="D364" s="59" t="str">
        <x:v>ไม่ทราบ</x:v>
      </x:c>
      <x:c r="E364" s="59" t="str">
        <x:v>ไม่ทราบ</x:v>
      </x:c>
      <x:c r="F364" s="59" t="str">
        <x:v>ไม่ทราบ</x:v>
      </x:c>
      <x:c r="G364" s="59" t="str">
        <x:v>ไม่ทราบ</x:v>
      </x:c>
      <x:c r="H364" s="59" t="str">
        <x:v>N/A</x:v>
      </x:c>
      <x:c r="I364" s="59"/>
      <x:c r="J364" s="59" t="str">
        <x:v>ไม่ทราบ</x:v>
      </x:c>
      <x:c r="K364" s="59"/>
      <x:c r="L364" s="59" t="str">
        <x:v>N/A</x:v>
      </x:c>
      <x:c r="M364" s="59"/>
      <x:c r="N364" s="59"/>
      <x:c r="O364" s="59"/>
      <x:c r="P364" s="59"/>
      <x:c r="Q364" s="59"/>
      <x:c r="R364" s="59"/>
      <x:c r="S364" s="59"/>
      <x:c r="T364" s="59"/>
      <x:c r="U364" s="59"/>
      <x:c r="V364" s="59"/>
      <x:c r="W364" s="59"/>
      <x:c r="X364" s="59"/>
      <x:c r="Y364" s="59"/>
      <x:c r="Z364" s="59"/>
      <x:c r="AA364" s="8" t="n">
        <x:f>IF(C364="ไม่ทราบ","",SUMIFS($K$7:$Z$7,K364:Z364,"&lt;&gt;N/A"))</x:f>
        <x:v>100</x:v>
      </x:c>
      <x:c r="AB364" s="8" t="str">
        <x:f>IF(AND(OR(AND(C364="จำหน่ายอาหาร",ISNUMBER(K364),L364="N/A"),AND(C364="ไม่จำหน่ายอาหาร",K364="N/A",ISNUMBER(L364)),AND(C364="มัสยิด",K364="N/A",L364="N/A",X364="N/A")),COUNT(K364:Z364)+COUNTIFS(K364:Z364,"N/A")=16),SUM(K364:Z364),"")</x:f>
      </x:c>
      <x:c r="AC364" s="62" t="str">
        <x:f>IF(OR(AB364="",AA364&lt;=0),"",ROUND(AB364/AA364*100,1))</x:f>
      </x:c>
      <x:c r="AD364" s="8" t="str">
        <x:f>IF(COUNTIFS(D364:H364,"ไม่ผ่าน")&gt;0,"ไม่ผ่าน",IF(COUNTIFS(D364:H364,"ไม่ทราบ")+COUNTBLANK(D364:H364)&gt;0,"รอยืนยัน","ผ่าน"))</x:f>
        <x:v>รอยืนยัน</x:v>
      </x:c>
      <x:c r="AE364" s="8" t="str">
        <x:f>IF(AF364="ใช่","ไม่ผ่านการคัดเลือก",IF(AND(AD364="ผ่าน",ISNUMBER(AC364),AC364&gt;=70),"พร้อมขาย",IF(OR(J364="ใช่",AND(ISNUMBER(AC364),AC364&gt;=50)),"พัฒนาเพื่อพร้อมขาย",IF(AND(ISNUMBER(AC364),AC364&lt;50,I364&gt;=1),"มีศักยภาพ แต่ต้องพัฒนามาตรฐาน","รอประเมิน"))))</x:f>
        <x:v>รอประเมิน</x:v>
      </x:c>
      <x:c r="AF364" s="59" t="str">
        <x:v>ไม่ทราบ</x:v>
      </x:c>
      <x:c r="AG364" s="8" t="str">
        <x:f>IF(AF364="ใช่","หัวหน้าทีมพิจารณาเหตุไม่ผ่าน",IF(OR(AA364&lt;=0,NOT(OR(AND(C364="จำหน่ายอาหาร",ISNUMBER(K364),L364="N/A"),AND(C364="ไม่จำหน่ายอาหาร",K364="N/A",ISNUMBER(L364)),AND(C364="มัสยิด",K364="N/A",L364="N/A",X364="N/A"))),AD364="รอยืนยัน",COUNT(K364:Z364)+COUNTIFS(K364:Z364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4" s="59" t="str"/>
      <x:c r="AI364" s="61"/>
    </x:row>
    <x:row r="365" ht="60" customHeight="1">
      <x:c r="A365" s="2" t="str">
        <x:v>R26-169</x:v>
      </x:c>
      <x:c r="B365" s="8" t="str">
        <x:v>ถ้ำเลสเตโกดอน</x:v>
      </x:c>
      <x:c r="C365" s="59" t="str">
        <x:v>ไม่ทราบ</x:v>
      </x:c>
      <x:c r="D365" s="59" t="str">
        <x:v>ไม่ทราบ</x:v>
      </x:c>
      <x:c r="E365" s="59" t="str">
        <x:v>ไม่ทราบ</x:v>
      </x:c>
      <x:c r="F365" s="59" t="str">
        <x:v>ไม่ทราบ</x:v>
      </x:c>
      <x:c r="G365" s="59" t="str">
        <x:v>ไม่ทราบ</x:v>
      </x:c>
      <x:c r="H365" s="59" t="str">
        <x:v>N/A</x:v>
      </x:c>
      <x:c r="I365" s="59"/>
      <x:c r="J365" s="59" t="str">
        <x:v>ไม่ทราบ</x:v>
      </x:c>
      <x:c r="K365" s="59"/>
      <x:c r="L365" s="59"/>
      <x:c r="M365" s="59"/>
      <x:c r="N365" s="59"/>
      <x:c r="O365" s="59"/>
      <x:c r="P365" s="59"/>
      <x:c r="Q365" s="59"/>
      <x:c r="R365" s="59"/>
      <x:c r="S365" s="59"/>
      <x:c r="T365" s="59"/>
      <x:c r="U365" s="59"/>
      <x:c r="V365" s="59"/>
      <x:c r="W365" s="59"/>
      <x:c r="X365" s="59"/>
      <x:c r="Y365" s="59"/>
      <x:c r="Z365" s="59"/>
      <x:c r="AA365" s="8" t="str">
        <x:f>IF(C365="ไม่ทราบ","",SUMIFS($K$7:$Z$7,K365:Z365,"&lt;&gt;N/A"))</x:f>
      </x:c>
      <x:c r="AB365" s="8" t="str">
        <x:f>IF(AND(OR(AND(C365="จำหน่ายอาหาร",ISNUMBER(K365),L365="N/A"),AND(C365="ไม่จำหน่ายอาหาร",K365="N/A",ISNUMBER(L365)),AND(C365="มัสยิด",K365="N/A",L365="N/A",X365="N/A")),COUNT(K365:Z365)+COUNTIFS(K365:Z365,"N/A")=16),SUM(K365:Z365),"")</x:f>
      </x:c>
      <x:c r="AC365" s="62" t="str">
        <x:f>IF(OR(AB365="",AA365&lt;=0),"",ROUND(AB365/AA365*100,1))</x:f>
      </x:c>
      <x:c r="AD365" s="8" t="str">
        <x:f>IF(COUNTIFS(D365:H365,"ไม่ผ่าน")&gt;0,"ไม่ผ่าน",IF(COUNTIFS(D365:H365,"ไม่ทราบ")+COUNTBLANK(D365:H365)&gt;0,"รอยืนยัน","ผ่าน"))</x:f>
        <x:v>รอยืนยัน</x:v>
      </x:c>
      <x:c r="AE365" s="8" t="str">
        <x:f>IF(AF365="ใช่","ไม่ผ่านการคัดเลือก",IF(AND(AD365="ผ่าน",ISNUMBER(AC365),AC365&gt;=70),"พร้อมขาย",IF(OR(J365="ใช่",AND(ISNUMBER(AC365),AC365&gt;=50)),"พัฒนาเพื่อพร้อมขาย",IF(AND(ISNUMBER(AC365),AC365&lt;50,I365&gt;=1),"มีศักยภาพ แต่ต้องพัฒนามาตรฐาน","รอประเมิน"))))</x:f>
        <x:v>รอประเมิน</x:v>
      </x:c>
      <x:c r="AF365" s="59" t="str">
        <x:v>ไม่ทราบ</x:v>
      </x:c>
      <x:c r="AG365" s="8" t="str">
        <x:f>IF(AF365="ใช่","หัวหน้าทีมพิจารณาเหตุไม่ผ่าน",IF(OR(AA365&lt;=0,NOT(OR(AND(C365="จำหน่ายอาหาร",ISNUMBER(K365),L365="N/A"),AND(C365="ไม่จำหน่ายอาหาร",K365="N/A",ISNUMBER(L365)),AND(C365="มัสยิด",K365="N/A",L365="N/A",X365="N/A"))),AD365="รอยืนยัน",COUNT(K365:Z365)+COUNTIFS(K365:Z365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5" s="59" t="str"/>
      <x:c r="AI365" s="61"/>
    </x:row>
    <x:row r="366" ht="60" customHeight="1">
      <x:c r="A366" s="2" t="str">
        <x:v>R26-170</x:v>
      </x:c>
      <x:c r="B366" s="8" t="str">
        <x:v>หาดปากบารา</x:v>
      </x:c>
      <x:c r="C366" s="59" t="str">
        <x:v>ไม่ทราบ</x:v>
      </x:c>
      <x:c r="D366" s="59" t="str">
        <x:v>ไม่ทราบ</x:v>
      </x:c>
      <x:c r="E366" s="59" t="str">
        <x:v>ไม่ทราบ</x:v>
      </x:c>
      <x:c r="F366" s="59" t="str">
        <x:v>ไม่ทราบ</x:v>
      </x:c>
      <x:c r="G366" s="59" t="str">
        <x:v>ไม่ทราบ</x:v>
      </x:c>
      <x:c r="H366" s="59" t="str">
        <x:v>N/A</x:v>
      </x:c>
      <x:c r="I366" s="59"/>
      <x:c r="J366" s="59" t="str">
        <x:v>ไม่ทราบ</x:v>
      </x:c>
      <x:c r="K366" s="59"/>
      <x:c r="L366" s="59"/>
      <x:c r="M366" s="59"/>
      <x:c r="N366" s="59"/>
      <x:c r="O366" s="59"/>
      <x:c r="P366" s="59"/>
      <x:c r="Q366" s="59"/>
      <x:c r="R366" s="59"/>
      <x:c r="S366" s="59"/>
      <x:c r="T366" s="59"/>
      <x:c r="U366" s="59"/>
      <x:c r="V366" s="59"/>
      <x:c r="W366" s="59"/>
      <x:c r="X366" s="59"/>
      <x:c r="Y366" s="59"/>
      <x:c r="Z366" s="59"/>
      <x:c r="AA366" s="8" t="str">
        <x:f>IF(C366="ไม่ทราบ","",SUMIFS($K$7:$Z$7,K366:Z366,"&lt;&gt;N/A"))</x:f>
      </x:c>
      <x:c r="AB366" s="8" t="str">
        <x:f>IF(AND(OR(AND(C366="จำหน่ายอาหาร",ISNUMBER(K366),L366="N/A"),AND(C366="ไม่จำหน่ายอาหาร",K366="N/A",ISNUMBER(L366)),AND(C366="มัสยิด",K366="N/A",L366="N/A",X366="N/A")),COUNT(K366:Z366)+COUNTIFS(K366:Z366,"N/A")=16),SUM(K366:Z366),"")</x:f>
      </x:c>
      <x:c r="AC366" s="62" t="str">
        <x:f>IF(OR(AB366="",AA366&lt;=0),"",ROUND(AB366/AA366*100,1))</x:f>
      </x:c>
      <x:c r="AD366" s="8" t="str">
        <x:f>IF(COUNTIFS(D366:H366,"ไม่ผ่าน")&gt;0,"ไม่ผ่าน",IF(COUNTIFS(D366:H366,"ไม่ทราบ")+COUNTBLANK(D366:H366)&gt;0,"รอยืนยัน","ผ่าน"))</x:f>
        <x:v>รอยืนยัน</x:v>
      </x:c>
      <x:c r="AE366" s="8" t="str">
        <x:f>IF(AF366="ใช่","ไม่ผ่านการคัดเลือก",IF(AND(AD366="ผ่าน",ISNUMBER(AC366),AC366&gt;=70),"พร้อมขาย",IF(OR(J366="ใช่",AND(ISNUMBER(AC366),AC366&gt;=50)),"พัฒนาเพื่อพร้อมขาย",IF(AND(ISNUMBER(AC366),AC366&lt;50,I366&gt;=1),"มีศักยภาพ แต่ต้องพัฒนามาตรฐาน","รอประเมิน"))))</x:f>
        <x:v>รอประเมิน</x:v>
      </x:c>
      <x:c r="AF366" s="59" t="str">
        <x:v>ไม่ทราบ</x:v>
      </x:c>
      <x:c r="AG366" s="8" t="str">
        <x:f>IF(AF366="ใช่","หัวหน้าทีมพิจารณาเหตุไม่ผ่าน",IF(OR(AA366&lt;=0,NOT(OR(AND(C366="จำหน่ายอาหาร",ISNUMBER(K366),L366="N/A"),AND(C366="ไม่จำหน่ายอาหาร",K366="N/A",ISNUMBER(L366)),AND(C366="มัสยิด",K366="N/A",L366="N/A",X366="N/A"))),AD366="รอยืนยัน",COUNT(K366:Z366)+COUNTIFS(K366:Z366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6" s="59" t="str"/>
      <x:c r="AI366" s="61"/>
    </x:row>
    <x:row r="367" ht="60" customHeight="1">
      <x:c r="A367" s="2" t="str">
        <x:v>R26-167</x:v>
      </x:c>
      <x:c r="B367" s="8" t="str">
        <x:v>อุทยานแห่งชาติทะเลบัน</x:v>
      </x:c>
      <x:c r="C367" s="59" t="str">
        <x:v>ไม่ทราบ</x:v>
      </x:c>
      <x:c r="D367" s="59" t="str">
        <x:v>ไม่ทราบ</x:v>
      </x:c>
      <x:c r="E367" s="59" t="str">
        <x:v>ไม่ทราบ</x:v>
      </x:c>
      <x:c r="F367" s="59" t="str">
        <x:v>ไม่ทราบ</x:v>
      </x:c>
      <x:c r="G367" s="59" t="str">
        <x:v>ไม่ทราบ</x:v>
      </x:c>
      <x:c r="H367" s="59" t="str">
        <x:v>N/A</x:v>
      </x:c>
      <x:c r="I367" s="59"/>
      <x:c r="J367" s="59" t="str">
        <x:v>ไม่ทราบ</x:v>
      </x:c>
      <x:c r="K367" s="59"/>
      <x:c r="L367" s="59"/>
      <x:c r="M367" s="59"/>
      <x:c r="N367" s="59"/>
      <x:c r="O367" s="59"/>
      <x:c r="P367" s="59"/>
      <x:c r="Q367" s="59"/>
      <x:c r="R367" s="59"/>
      <x:c r="S367" s="59"/>
      <x:c r="T367" s="59"/>
      <x:c r="U367" s="59"/>
      <x:c r="V367" s="59"/>
      <x:c r="W367" s="59"/>
      <x:c r="X367" s="59"/>
      <x:c r="Y367" s="59"/>
      <x:c r="Z367" s="59"/>
      <x:c r="AA367" s="8" t="str">
        <x:f>IF(C367="ไม่ทราบ","",SUMIFS($K$7:$Z$7,K367:Z367,"&lt;&gt;N/A"))</x:f>
      </x:c>
      <x:c r="AB367" s="8" t="str">
        <x:f>IF(AND(OR(AND(C367="จำหน่ายอาหาร",ISNUMBER(K367),L367="N/A"),AND(C367="ไม่จำหน่ายอาหาร",K367="N/A",ISNUMBER(L367)),AND(C367="มัสยิด",K367="N/A",L367="N/A",X367="N/A")),COUNT(K367:Z367)+COUNTIFS(K367:Z367,"N/A")=16),SUM(K367:Z367),"")</x:f>
      </x:c>
      <x:c r="AC367" s="62" t="str">
        <x:f>IF(OR(AB367="",AA367&lt;=0),"",ROUND(AB367/AA367*100,1))</x:f>
      </x:c>
      <x:c r="AD367" s="8" t="str">
        <x:f>IF(COUNTIFS(D367:H367,"ไม่ผ่าน")&gt;0,"ไม่ผ่าน",IF(COUNTIFS(D367:H367,"ไม่ทราบ")+COUNTBLANK(D367:H367)&gt;0,"รอยืนยัน","ผ่าน"))</x:f>
        <x:v>รอยืนยัน</x:v>
      </x:c>
      <x:c r="AE367" s="8" t="str">
        <x:f>IF(AF367="ใช่","ไม่ผ่านการคัดเลือก",IF(AND(AD367="ผ่าน",ISNUMBER(AC367),AC367&gt;=70),"พร้อมขาย",IF(OR(J367="ใช่",AND(ISNUMBER(AC367),AC367&gt;=50)),"พัฒนาเพื่อพร้อมขาย",IF(AND(ISNUMBER(AC367),AC367&lt;50,I367&gt;=1),"มีศักยภาพ แต่ต้องพัฒนามาตรฐาน","รอประเมิน"))))</x:f>
        <x:v>รอประเมิน</x:v>
      </x:c>
      <x:c r="AF367" s="59" t="str">
        <x:v>ไม่ทราบ</x:v>
      </x:c>
      <x:c r="AG367" s="8" t="str">
        <x:f>IF(AF367="ใช่","หัวหน้าทีมพิจารณาเหตุไม่ผ่าน",IF(OR(AA367&lt;=0,NOT(OR(AND(C367="จำหน่ายอาหาร",ISNUMBER(K367),L367="N/A"),AND(C367="ไม่จำหน่ายอาหาร",K367="N/A",ISNUMBER(L367)),AND(C367="มัสยิด",K367="N/A",L367="N/A",X367="N/A"))),AD367="รอยืนยัน",COUNT(K367:Z367)+COUNTIFS(K367:Z367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7" s="59" t="str"/>
      <x:c r="AI367" s="61"/>
    </x:row>
    <x:row r="368" ht="60" customHeight="1">
      <x:c r="A368" s="2" t="str">
        <x:v>R26-168</x:v>
      </x:c>
      <x:c r="B368" s="8" t="str">
        <x:v>อุทยานแห่งชาติหมู่เกาะเภตรา</x:v>
      </x:c>
      <x:c r="C368" s="59" t="str">
        <x:v>ไม่ทราบ</x:v>
      </x:c>
      <x:c r="D368" s="59" t="str">
        <x:v>ไม่ทราบ</x:v>
      </x:c>
      <x:c r="E368" s="59" t="str">
        <x:v>ไม่ทราบ</x:v>
      </x:c>
      <x:c r="F368" s="59" t="str">
        <x:v>ไม่ทราบ</x:v>
      </x:c>
      <x:c r="G368" s="59" t="str">
        <x:v>ไม่ทราบ</x:v>
      </x:c>
      <x:c r="H368" s="59" t="str">
        <x:v>N/A</x:v>
      </x:c>
      <x:c r="I368" s="59"/>
      <x:c r="J368" s="59" t="str">
        <x:v>ไม่ทราบ</x:v>
      </x:c>
      <x:c r="K368" s="59"/>
      <x:c r="L368" s="59"/>
      <x:c r="M368" s="59"/>
      <x:c r="N368" s="59"/>
      <x:c r="O368" s="59"/>
      <x:c r="P368" s="59"/>
      <x:c r="Q368" s="59"/>
      <x:c r="R368" s="59"/>
      <x:c r="S368" s="59"/>
      <x:c r="T368" s="59"/>
      <x:c r="U368" s="59"/>
      <x:c r="V368" s="59"/>
      <x:c r="W368" s="59"/>
      <x:c r="X368" s="59"/>
      <x:c r="Y368" s="59"/>
      <x:c r="Z368" s="59"/>
      <x:c r="AA368" s="8" t="str">
        <x:f>IF(C368="ไม่ทราบ","",SUMIFS($K$7:$Z$7,K368:Z368,"&lt;&gt;N/A"))</x:f>
      </x:c>
      <x:c r="AB368" s="8" t="str">
        <x:f>IF(AND(OR(AND(C368="จำหน่ายอาหาร",ISNUMBER(K368),L368="N/A"),AND(C368="ไม่จำหน่ายอาหาร",K368="N/A",ISNUMBER(L368)),AND(C368="มัสยิด",K368="N/A",L368="N/A",X368="N/A")),COUNT(K368:Z368)+COUNTIFS(K368:Z368,"N/A")=16),SUM(K368:Z368),"")</x:f>
      </x:c>
      <x:c r="AC368" s="62" t="str">
        <x:f>IF(OR(AB368="",AA368&lt;=0),"",ROUND(AB368/AA368*100,1))</x:f>
      </x:c>
      <x:c r="AD368" s="8" t="str">
        <x:f>IF(COUNTIFS(D368:H368,"ไม่ผ่าน")&gt;0,"ไม่ผ่าน",IF(COUNTIFS(D368:H368,"ไม่ทราบ")+COUNTBLANK(D368:H368)&gt;0,"รอยืนยัน","ผ่าน"))</x:f>
        <x:v>รอยืนยัน</x:v>
      </x:c>
      <x:c r="AE368" s="8" t="str">
        <x:f>IF(AF368="ใช่","ไม่ผ่านการคัดเลือก",IF(AND(AD368="ผ่าน",ISNUMBER(AC368),AC368&gt;=70),"พร้อมขาย",IF(OR(J368="ใช่",AND(ISNUMBER(AC368),AC368&gt;=50)),"พัฒนาเพื่อพร้อมขาย",IF(AND(ISNUMBER(AC368),AC368&lt;50,I368&gt;=1),"มีศักยภาพ แต่ต้องพัฒนามาตรฐาน","รอประเมิน"))))</x:f>
        <x:v>รอประเมิน</x:v>
      </x:c>
      <x:c r="AF368" s="59" t="str">
        <x:v>ไม่ทราบ</x:v>
      </x:c>
      <x:c r="AG368" s="8" t="str">
        <x:f>IF(AF368="ใช่","หัวหน้าทีมพิจารณาเหตุไม่ผ่าน",IF(OR(AA368&lt;=0,NOT(OR(AND(C368="จำหน่ายอาหาร",ISNUMBER(K368),L368="N/A"),AND(C368="ไม่จำหน่ายอาหาร",K368="N/A",ISNUMBER(L368)),AND(C368="มัสยิด",K368="N/A",L368="N/A",X368="N/A"))),AD368="รอยืนยัน",COUNT(K368:Z368)+COUNTIFS(K368:Z368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8" s="59" t="str"/>
      <x:c r="AI368" s="61"/>
    </x:row>
    <x:row r="369" ht="60" customHeight="1">
      <x:c r="A369" s="2" t="str">
        <x:v>R26-175</x:v>
      </x:c>
      <x:c r="B369" s="8" t="str">
        <x:v>พิพิธภัณฑ์ช้างดึกดำบรรพ์ทุ่งหว้า</x:v>
      </x:c>
      <x:c r="C369" s="59" t="str">
        <x:v>ไม่ทราบ</x:v>
      </x:c>
      <x:c r="D369" s="59" t="str">
        <x:v>ไม่ทราบ</x:v>
      </x:c>
      <x:c r="E369" s="59" t="str">
        <x:v>ไม่ทราบ</x:v>
      </x:c>
      <x:c r="F369" s="59" t="str">
        <x:v>ไม่ทราบ</x:v>
      </x:c>
      <x:c r="G369" s="59" t="str">
        <x:v>ไม่ทราบ</x:v>
      </x:c>
      <x:c r="H369" s="59" t="str">
        <x:v>N/A</x:v>
      </x:c>
      <x:c r="I369" s="59"/>
      <x:c r="J369" s="59" t="str">
        <x:v>ไม่ทราบ</x:v>
      </x:c>
      <x:c r="K369" s="59"/>
      <x:c r="L369" s="59"/>
      <x:c r="M369" s="59"/>
      <x:c r="N369" s="59"/>
      <x:c r="O369" s="59"/>
      <x:c r="P369" s="59"/>
      <x:c r="Q369" s="59"/>
      <x:c r="R369" s="59"/>
      <x:c r="S369" s="59"/>
      <x:c r="T369" s="59"/>
      <x:c r="U369" s="59"/>
      <x:c r="V369" s="59"/>
      <x:c r="W369" s="59"/>
      <x:c r="X369" s="59"/>
      <x:c r="Y369" s="59"/>
      <x:c r="Z369" s="59"/>
      <x:c r="AA369" s="8" t="str">
        <x:f>IF(C369="ไม่ทราบ","",SUMIFS($K$7:$Z$7,K369:Z369,"&lt;&gt;N/A"))</x:f>
      </x:c>
      <x:c r="AB369" s="8" t="str">
        <x:f>IF(AND(OR(AND(C369="จำหน่ายอาหาร",ISNUMBER(K369),L369="N/A"),AND(C369="ไม่จำหน่ายอาหาร",K369="N/A",ISNUMBER(L369)),AND(C369="มัสยิด",K369="N/A",L369="N/A",X369="N/A")),COUNT(K369:Z369)+COUNTIFS(K369:Z369,"N/A")=16),SUM(K369:Z369),"")</x:f>
      </x:c>
      <x:c r="AC369" s="62" t="str">
        <x:f>IF(OR(AB369="",AA369&lt;=0),"",ROUND(AB369/AA369*100,1))</x:f>
      </x:c>
      <x:c r="AD369" s="8" t="str">
        <x:f>IF(COUNTIFS(D369:H369,"ไม่ผ่าน")&gt;0,"ไม่ผ่าน",IF(COUNTIFS(D369:H369,"ไม่ทราบ")+COUNTBLANK(D369:H369)&gt;0,"รอยืนยัน","ผ่าน"))</x:f>
        <x:v>รอยืนยัน</x:v>
      </x:c>
      <x:c r="AE369" s="8" t="str">
        <x:f>IF(AF369="ใช่","ไม่ผ่านการคัดเลือก",IF(AND(AD369="ผ่าน",ISNUMBER(AC369),AC369&gt;=70),"พร้อมขาย",IF(OR(J369="ใช่",AND(ISNUMBER(AC369),AC369&gt;=50)),"พัฒนาเพื่อพร้อมขาย",IF(AND(ISNUMBER(AC369),AC369&lt;50,I369&gt;=1),"มีศักยภาพ แต่ต้องพัฒนามาตรฐาน","รอประเมิน"))))</x:f>
        <x:v>รอประเมิน</x:v>
      </x:c>
      <x:c r="AF369" s="59" t="str">
        <x:v>ไม่ทราบ</x:v>
      </x:c>
      <x:c r="AG369" s="8" t="str">
        <x:f>IF(AF369="ใช่","หัวหน้าทีมพิจารณาเหตุไม่ผ่าน",IF(OR(AA369&lt;=0,NOT(OR(AND(C369="จำหน่ายอาหาร",ISNUMBER(K369),L369="N/A"),AND(C369="ไม่จำหน่ายอาหาร",K369="N/A",ISNUMBER(L369)),AND(C369="มัสยิด",K369="N/A",L369="N/A",X369="N/A"))),AD369="รอยืนยัน",COUNT(K369:Z369)+COUNTIFS(K369:Z369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69" s="59" t="str"/>
      <x:c r="AI369" s="61"/>
    </x:row>
    <x:row r="370" ht="60" customHeight="1">
      <x:c r="A370" s="2" t="str">
        <x:v>R26-172</x:v>
      </x:c>
      <x:c r="B370" s="8" t="str">
        <x:v>ชุมชนบ้านทุ่งหว้า</x:v>
      </x:c>
      <x:c r="C370" s="59" t="str">
        <x:v>ไม่ทราบ</x:v>
      </x:c>
      <x:c r="D370" s="59" t="str">
        <x:v>ไม่ทราบ</x:v>
      </x:c>
      <x:c r="E370" s="59" t="str">
        <x:v>ไม่ทราบ</x:v>
      </x:c>
      <x:c r="F370" s="59" t="str">
        <x:v>ไม่ทราบ</x:v>
      </x:c>
      <x:c r="G370" s="59" t="str">
        <x:v>ไม่ทราบ</x:v>
      </x:c>
      <x:c r="H370" s="59" t="str">
        <x:v>N/A</x:v>
      </x:c>
      <x:c r="I370" s="59"/>
      <x:c r="J370" s="59" t="str">
        <x:v>ไม่ทราบ</x:v>
      </x:c>
      <x:c r="K370" s="59"/>
      <x:c r="L370" s="59"/>
      <x:c r="M370" s="59"/>
      <x:c r="N370" s="59"/>
      <x:c r="O370" s="59"/>
      <x:c r="P370" s="59"/>
      <x:c r="Q370" s="59"/>
      <x:c r="R370" s="59"/>
      <x:c r="S370" s="59"/>
      <x:c r="T370" s="59"/>
      <x:c r="U370" s="59"/>
      <x:c r="V370" s="59"/>
      <x:c r="W370" s="59"/>
      <x:c r="X370" s="59"/>
      <x:c r="Y370" s="59"/>
      <x:c r="Z370" s="59"/>
      <x:c r="AA370" s="8" t="str">
        <x:f>IF(C370="ไม่ทราบ","",SUMIFS($K$7:$Z$7,K370:Z370,"&lt;&gt;N/A"))</x:f>
      </x:c>
      <x:c r="AB370" s="8" t="str">
        <x:f>IF(AND(OR(AND(C370="จำหน่ายอาหาร",ISNUMBER(K370),L370="N/A"),AND(C370="ไม่จำหน่ายอาหาร",K370="N/A",ISNUMBER(L370)),AND(C370="มัสยิด",K370="N/A",L370="N/A",X370="N/A")),COUNT(K370:Z370)+COUNTIFS(K370:Z370,"N/A")=16),SUM(K370:Z370),"")</x:f>
      </x:c>
      <x:c r="AC370" s="62" t="str">
        <x:f>IF(OR(AB370="",AA370&lt;=0),"",ROUND(AB370/AA370*100,1))</x:f>
      </x:c>
      <x:c r="AD370" s="8" t="str">
        <x:f>IF(COUNTIFS(D370:H370,"ไม่ผ่าน")&gt;0,"ไม่ผ่าน",IF(COUNTIFS(D370:H370,"ไม่ทราบ")+COUNTBLANK(D370:H370)&gt;0,"รอยืนยัน","ผ่าน"))</x:f>
        <x:v>รอยืนยัน</x:v>
      </x:c>
      <x:c r="AE370" s="8" t="str">
        <x:f>IF(AF370="ใช่","ไม่ผ่านการคัดเลือก",IF(AND(AD370="ผ่าน",ISNUMBER(AC370),AC370&gt;=70),"พร้อมขาย",IF(OR(J370="ใช่",AND(ISNUMBER(AC370),AC370&gt;=50)),"พัฒนาเพื่อพร้อมขาย",IF(AND(ISNUMBER(AC370),AC370&lt;50,I370&gt;=1),"มีศักยภาพ แต่ต้องพัฒนามาตรฐาน","รอประเมิน"))))</x:f>
        <x:v>รอประเมิน</x:v>
      </x:c>
      <x:c r="AF370" s="59" t="str">
        <x:v>ไม่ทราบ</x:v>
      </x:c>
      <x:c r="AG370" s="8" t="str">
        <x:f>IF(AF370="ใช่","หัวหน้าทีมพิจารณาเหตุไม่ผ่าน",IF(OR(AA370&lt;=0,NOT(OR(AND(C370="จำหน่ายอาหาร",ISNUMBER(K370),L370="N/A"),AND(C370="ไม่จำหน่ายอาหาร",K370="N/A",ISNUMBER(L370)),AND(C370="มัสยิด",K370="N/A",L370="N/A",X370="N/A"))),AD370="รอยืนยัน",COUNT(K370:Z370)+COUNTIFS(K370:Z370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0" s="59" t="str"/>
      <x:c r="AI370" s="61"/>
    </x:row>
    <x:row r="371" ht="60" customHeight="1">
      <x:c r="A371" s="2" t="str">
        <x:v>R26-173</x:v>
      </x:c>
      <x:c r="B371" s="8" t="str">
        <x:v>ชุมชนบ้านบากันใหญ่</x:v>
      </x:c>
      <x:c r="C371" s="59" t="str">
        <x:v>ไม่ทราบ</x:v>
      </x:c>
      <x:c r="D371" s="59" t="str">
        <x:v>ไม่ทราบ</x:v>
      </x:c>
      <x:c r="E371" s="59" t="str">
        <x:v>ไม่ทราบ</x:v>
      </x:c>
      <x:c r="F371" s="59" t="str">
        <x:v>ไม่ทราบ</x:v>
      </x:c>
      <x:c r="G371" s="59" t="str">
        <x:v>ไม่ทราบ</x:v>
      </x:c>
      <x:c r="H371" s="59" t="str">
        <x:v>N/A</x:v>
      </x:c>
      <x:c r="I371" s="59"/>
      <x:c r="J371" s="59" t="str">
        <x:v>ไม่ทราบ</x:v>
      </x:c>
      <x:c r="K371" s="59"/>
      <x:c r="L371" s="59"/>
      <x:c r="M371" s="59"/>
      <x:c r="N371" s="59"/>
      <x:c r="O371" s="59"/>
      <x:c r="P371" s="59"/>
      <x:c r="Q371" s="59"/>
      <x:c r="R371" s="59"/>
      <x:c r="S371" s="59"/>
      <x:c r="T371" s="59"/>
      <x:c r="U371" s="59"/>
      <x:c r="V371" s="59"/>
      <x:c r="W371" s="59"/>
      <x:c r="X371" s="59"/>
      <x:c r="Y371" s="59"/>
      <x:c r="Z371" s="59"/>
      <x:c r="AA371" s="8" t="str">
        <x:f>IF(C371="ไม่ทราบ","",SUMIFS($K$7:$Z$7,K371:Z371,"&lt;&gt;N/A"))</x:f>
      </x:c>
      <x:c r="AB371" s="8" t="str">
        <x:f>IF(AND(OR(AND(C371="จำหน่ายอาหาร",ISNUMBER(K371),L371="N/A"),AND(C371="ไม่จำหน่ายอาหาร",K371="N/A",ISNUMBER(L371)),AND(C371="มัสยิด",K371="N/A",L371="N/A",X371="N/A")),COUNT(K371:Z371)+COUNTIFS(K371:Z371,"N/A")=16),SUM(K371:Z371),"")</x:f>
      </x:c>
      <x:c r="AC371" s="62" t="str">
        <x:f>IF(OR(AB371="",AA371&lt;=0),"",ROUND(AB371/AA371*100,1))</x:f>
      </x:c>
      <x:c r="AD371" s="8" t="str">
        <x:f>IF(COUNTIFS(D371:H371,"ไม่ผ่าน")&gt;0,"ไม่ผ่าน",IF(COUNTIFS(D371:H371,"ไม่ทราบ")+COUNTBLANK(D371:H371)&gt;0,"รอยืนยัน","ผ่าน"))</x:f>
        <x:v>รอยืนยัน</x:v>
      </x:c>
      <x:c r="AE371" s="8" t="str">
        <x:f>IF(AF371="ใช่","ไม่ผ่านการคัดเลือก",IF(AND(AD371="ผ่าน",ISNUMBER(AC371),AC371&gt;=70),"พร้อมขาย",IF(OR(J371="ใช่",AND(ISNUMBER(AC371),AC371&gt;=50)),"พัฒนาเพื่อพร้อมขาย",IF(AND(ISNUMBER(AC371),AC371&lt;50,I371&gt;=1),"มีศักยภาพ แต่ต้องพัฒนามาตรฐาน","รอประเมิน"))))</x:f>
        <x:v>รอประเมิน</x:v>
      </x:c>
      <x:c r="AF371" s="59" t="str">
        <x:v>ไม่ทราบ</x:v>
      </x:c>
      <x:c r="AG371" s="8" t="str">
        <x:f>IF(AF371="ใช่","หัวหน้าทีมพิจารณาเหตุไม่ผ่าน",IF(OR(AA371&lt;=0,NOT(OR(AND(C371="จำหน่ายอาหาร",ISNUMBER(K371),L371="N/A"),AND(C371="ไม่จำหน่ายอาหาร",K371="N/A",ISNUMBER(L371)),AND(C371="มัสยิด",K371="N/A",L371="N/A",X371="N/A"))),AD371="รอยืนยัน",COUNT(K371:Z371)+COUNTIFS(K371:Z371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1" s="59" t="str"/>
      <x:c r="AI371" s="61"/>
    </x:row>
    <x:row r="372" ht="60" customHeight="1">
      <x:c r="A372" s="2" t="str">
        <x:v>R26-077</x:v>
      </x:c>
      <x:c r="B372" s="8" t="str">
        <x:v>น้ำตกร้อนคลองท่อม</x:v>
      </x:c>
      <x:c r="C372" s="59" t="str">
        <x:v>ไม่ทราบ</x:v>
      </x:c>
      <x:c r="D372" s="59" t="str">
        <x:v>ไม่ทราบ</x:v>
      </x:c>
      <x:c r="E372" s="59" t="str">
        <x:v>ไม่ทราบ</x:v>
      </x:c>
      <x:c r="F372" s="59" t="str">
        <x:v>ไม่ทราบ</x:v>
      </x:c>
      <x:c r="G372" s="59" t="str">
        <x:v>ไม่ทราบ</x:v>
      </x:c>
      <x:c r="H372" s="59" t="str">
        <x:v>N/A</x:v>
      </x:c>
      <x:c r="I372" s="59"/>
      <x:c r="J372" s="59" t="str">
        <x:v>ไม่ทราบ</x:v>
      </x:c>
      <x:c r="K372" s="59"/>
      <x:c r="L372" s="59"/>
      <x:c r="M372" s="59"/>
      <x:c r="N372" s="59"/>
      <x:c r="O372" s="59"/>
      <x:c r="P372" s="59"/>
      <x:c r="Q372" s="59"/>
      <x:c r="R372" s="59"/>
      <x:c r="S372" s="59"/>
      <x:c r="T372" s="59"/>
      <x:c r="U372" s="59"/>
      <x:c r="V372" s="59"/>
      <x:c r="W372" s="59"/>
      <x:c r="X372" s="59"/>
      <x:c r="Y372" s="59"/>
      <x:c r="Z372" s="59"/>
      <x:c r="AA372" s="8" t="str">
        <x:f>IF(C372="ไม่ทราบ","",SUMIFS($K$7:$Z$7,K372:Z372,"&lt;&gt;N/A"))</x:f>
      </x:c>
      <x:c r="AB372" s="8" t="str">
        <x:f>IF(AND(OR(AND(C372="จำหน่ายอาหาร",ISNUMBER(K372),L372="N/A"),AND(C372="ไม่จำหน่ายอาหาร",K372="N/A",ISNUMBER(L372)),AND(C372="มัสยิด",K372="N/A",L372="N/A",X372="N/A")),COUNT(K372:Z372)+COUNTIFS(K372:Z372,"N/A")=16),SUM(K372:Z372),"")</x:f>
      </x:c>
      <x:c r="AC372" s="62" t="str">
        <x:f>IF(OR(AB372="",AA372&lt;=0),"",ROUND(AB372/AA372*100,1))</x:f>
      </x:c>
      <x:c r="AD372" s="8" t="str">
        <x:f>IF(COUNTIFS(D372:H372,"ไม่ผ่าน")&gt;0,"ไม่ผ่าน",IF(COUNTIFS(D372:H372,"ไม่ทราบ")+COUNTBLANK(D372:H372)&gt;0,"รอยืนยัน","ผ่าน"))</x:f>
        <x:v>รอยืนยัน</x:v>
      </x:c>
      <x:c r="AE372" s="8" t="str">
        <x:f>IF(AF372="ใช่","ไม่ผ่านการคัดเลือก",IF(AND(AD372="ผ่าน",ISNUMBER(AC372),AC372&gt;=70),"พร้อมขาย",IF(OR(J372="ใช่",AND(ISNUMBER(AC372),AC372&gt;=50)),"พัฒนาเพื่อพร้อมขาย",IF(AND(ISNUMBER(AC372),AC372&lt;50,I372&gt;=1),"มีศักยภาพ แต่ต้องพัฒนามาตรฐาน","รอประเมิน"))))</x:f>
        <x:v>รอประเมิน</x:v>
      </x:c>
      <x:c r="AF372" s="59" t="str">
        <x:v>ไม่ทราบ</x:v>
      </x:c>
      <x:c r="AG372" s="8" t="str">
        <x:f>IF(AF372="ใช่","หัวหน้าทีมพิจารณาเหตุไม่ผ่าน",IF(OR(AA372&lt;=0,NOT(OR(AND(C372="จำหน่ายอาหาร",ISNUMBER(K372),L372="N/A"),AND(C372="ไม่จำหน่ายอาหาร",K372="N/A",ISNUMBER(L372)),AND(C372="มัสยิด",K372="N/A",L372="N/A",X372="N/A"))),AD372="รอยืนยัน",COUNT(K372:Z372)+COUNTIFS(K372:Z372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2" s="59" t="str"/>
      <x:c r="AI372" s="61"/>
    </x:row>
    <x:row r="373" ht="60" customHeight="1">
      <x:c r="A373" s="2" t="str">
        <x:v>R26-079</x:v>
      </x:c>
      <x:c r="B373" s="8" t="str">
        <x:v>สระมรกต</x:v>
      </x:c>
      <x:c r="C373" s="59" t="str">
        <x:v>ไม่ทราบ</x:v>
      </x:c>
      <x:c r="D373" s="59" t="str">
        <x:v>ไม่ทราบ</x:v>
      </x:c>
      <x:c r="E373" s="59" t="str">
        <x:v>ไม่ทราบ</x:v>
      </x:c>
      <x:c r="F373" s="59" t="str">
        <x:v>ไม่ทราบ</x:v>
      </x:c>
      <x:c r="G373" s="59" t="str">
        <x:v>ไม่ทราบ</x:v>
      </x:c>
      <x:c r="H373" s="59" t="str">
        <x:v>N/A</x:v>
      </x:c>
      <x:c r="I373" s="59"/>
      <x:c r="J373" s="59" t="str">
        <x:v>ไม่ทราบ</x:v>
      </x:c>
      <x:c r="K373" s="59"/>
      <x:c r="L373" s="59"/>
      <x:c r="M373" s="59"/>
      <x:c r="N373" s="59"/>
      <x:c r="O373" s="59"/>
      <x:c r="P373" s="59"/>
      <x:c r="Q373" s="59"/>
      <x:c r="R373" s="59"/>
      <x:c r="S373" s="59"/>
      <x:c r="T373" s="59"/>
      <x:c r="U373" s="59"/>
      <x:c r="V373" s="59"/>
      <x:c r="W373" s="59"/>
      <x:c r="X373" s="59"/>
      <x:c r="Y373" s="59"/>
      <x:c r="Z373" s="59"/>
      <x:c r="AA373" s="8" t="str">
        <x:f>IF(C373="ไม่ทราบ","",SUMIFS($K$7:$Z$7,K373:Z373,"&lt;&gt;N/A"))</x:f>
      </x:c>
      <x:c r="AB373" s="8" t="str">
        <x:f>IF(AND(OR(AND(C373="จำหน่ายอาหาร",ISNUMBER(K373),L373="N/A"),AND(C373="ไม่จำหน่ายอาหาร",K373="N/A",ISNUMBER(L373)),AND(C373="มัสยิด",K373="N/A",L373="N/A",X373="N/A")),COUNT(K373:Z373)+COUNTIFS(K373:Z373,"N/A")=16),SUM(K373:Z373),"")</x:f>
      </x:c>
      <x:c r="AC373" s="62" t="str">
        <x:f>IF(OR(AB373="",AA373&lt;=0),"",ROUND(AB373/AA373*100,1))</x:f>
      </x:c>
      <x:c r="AD373" s="8" t="str">
        <x:f>IF(COUNTIFS(D373:H373,"ไม่ผ่าน")&gt;0,"ไม่ผ่าน",IF(COUNTIFS(D373:H373,"ไม่ทราบ")+COUNTBLANK(D373:H373)&gt;0,"รอยืนยัน","ผ่าน"))</x:f>
        <x:v>รอยืนยัน</x:v>
      </x:c>
      <x:c r="AE373" s="8" t="str">
        <x:f>IF(AF373="ใช่","ไม่ผ่านการคัดเลือก",IF(AND(AD373="ผ่าน",ISNUMBER(AC373),AC373&gt;=70),"พร้อมขาย",IF(OR(J373="ใช่",AND(ISNUMBER(AC373),AC373&gt;=50)),"พัฒนาเพื่อพร้อมขาย",IF(AND(ISNUMBER(AC373),AC373&lt;50,I373&gt;=1),"มีศักยภาพ แต่ต้องพัฒนามาตรฐาน","รอประเมิน"))))</x:f>
        <x:v>รอประเมิน</x:v>
      </x:c>
      <x:c r="AF373" s="59" t="str">
        <x:v>ไม่ทราบ</x:v>
      </x:c>
      <x:c r="AG373" s="8" t="str">
        <x:f>IF(AF373="ใช่","หัวหน้าทีมพิจารณาเหตุไม่ผ่าน",IF(OR(AA373&lt;=0,NOT(OR(AND(C373="จำหน่ายอาหาร",ISNUMBER(K373),L373="N/A"),AND(C373="ไม่จำหน่ายอาหาร",K373="N/A",ISNUMBER(L373)),AND(C373="มัสยิด",K373="N/A",L373="N/A",X373="N/A"))),AD373="รอยืนยัน",COUNT(K373:Z373)+COUNTIFS(K373:Z373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3" s="59" t="str"/>
      <x:c r="AI373" s="61"/>
    </x:row>
    <x:row r="374" ht="60" customHeight="1">
      <x:c r="A374" s="2" t="str">
        <x:v>R26-076</x:v>
      </x:c>
      <x:c r="B374" s="8" t="str">
        <x:v>มัสยิดกลางจังหวัดกระบี่</x:v>
      </x:c>
      <x:c r="C374" s="59" t="str">
        <x:v>มัสยิด</x:v>
      </x:c>
      <x:c r="D374" s="59" t="str">
        <x:v>ไม่ทราบ</x:v>
      </x:c>
      <x:c r="E374" s="59" t="str">
        <x:v>ไม่ทราบ</x:v>
      </x:c>
      <x:c r="F374" s="59" t="str">
        <x:v>ไม่ทราบ</x:v>
      </x:c>
      <x:c r="G374" s="59" t="str">
        <x:v>N/A</x:v>
      </x:c>
      <x:c r="H374" s="59" t="str">
        <x:v>N/A</x:v>
      </x:c>
      <x:c r="I374" s="59"/>
      <x:c r="J374" s="59" t="str">
        <x:v>ไม่ทราบ</x:v>
      </x:c>
      <x:c r="K374" s="59" t="str">
        <x:v>N/A</x:v>
      </x:c>
      <x:c r="L374" s="59" t="str">
        <x:v>N/A</x:v>
      </x:c>
      <x:c r="M374" s="59"/>
      <x:c r="N374" s="59"/>
      <x:c r="O374" s="59"/>
      <x:c r="P374" s="59"/>
      <x:c r="Q374" s="59"/>
      <x:c r="R374" s="59"/>
      <x:c r="S374" s="59"/>
      <x:c r="T374" s="59"/>
      <x:c r="U374" s="59"/>
      <x:c r="V374" s="59"/>
      <x:c r="W374" s="59"/>
      <x:c r="X374" s="59" t="str">
        <x:v>N/A</x:v>
      </x:c>
      <x:c r="Y374" s="59"/>
      <x:c r="Z374" s="59"/>
      <x:c r="AA374" s="8" t="n">
        <x:f>IF(C374="ไม่ทราบ","",SUMIFS($K$7:$Z$7,K374:Z374,"&lt;&gt;N/A"))</x:f>
        <x:v>67</x:v>
      </x:c>
      <x:c r="AB374" s="8" t="str">
        <x:f>IF(AND(OR(AND(C374="จำหน่ายอาหาร",ISNUMBER(K374),L374="N/A"),AND(C374="ไม่จำหน่ายอาหาร",K374="N/A",ISNUMBER(L374)),AND(C374="มัสยิด",K374="N/A",L374="N/A",X374="N/A")),COUNT(K374:Z374)+COUNTIFS(K374:Z374,"N/A")=16),SUM(K374:Z374),"")</x:f>
      </x:c>
      <x:c r="AC374" s="62" t="str">
        <x:f>IF(OR(AB374="",AA374&lt;=0),"",ROUND(AB374/AA374*100,1))</x:f>
      </x:c>
      <x:c r="AD374" s="8" t="str">
        <x:f>IF(COUNTIFS(D374:H374,"ไม่ผ่าน")&gt;0,"ไม่ผ่าน",IF(COUNTIFS(D374:H374,"ไม่ทราบ")+COUNTBLANK(D374:H374)&gt;0,"รอยืนยัน","ผ่าน"))</x:f>
        <x:v>รอยืนยัน</x:v>
      </x:c>
      <x:c r="AE374" s="8" t="str">
        <x:f>IF(AF374="ใช่","ไม่ผ่านการคัดเลือก",IF(AND(AD374="ผ่าน",ISNUMBER(AC374),AC374&gt;=70),"พร้อมขาย",IF(OR(J374="ใช่",AND(ISNUMBER(AC374),AC374&gt;=50)),"พัฒนาเพื่อพร้อมขาย",IF(AND(ISNUMBER(AC374),AC374&lt;50,I374&gt;=1),"มีศักยภาพ แต่ต้องพัฒนามาตรฐาน","รอประเมิน"))))</x:f>
        <x:v>รอประเมิน</x:v>
      </x:c>
      <x:c r="AF374" s="59" t="str">
        <x:v>ไม่ทราบ</x:v>
      </x:c>
      <x:c r="AG374" s="8" t="str">
        <x:f>IF(AF374="ใช่","หัวหน้าทีมพิจารณาเหตุไม่ผ่าน",IF(OR(AA374&lt;=0,NOT(OR(AND(C374="จำหน่ายอาหาร",ISNUMBER(K374),L374="N/A"),AND(C374="ไม่จำหน่ายอาหาร",K374="N/A",ISNUMBER(L374)),AND(C374="มัสยิด",K374="N/A",L374="N/A",X374="N/A"))),AD374="รอยืนยัน",COUNT(K374:Z374)+COUNTIFS(K374:Z374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4" s="59" t="str"/>
      <x:c r="AI374" s="61"/>
    </x:row>
    <x:row r="375" ht="60" customHeight="1">
      <x:c r="A375" s="2" t="str">
        <x:v>TMF-031</x:v>
      </x:c>
      <x:c r="B375" s="8" t="str">
        <x:v>Ahad Suite Ao Nang</x:v>
      </x:c>
      <x:c r="C375" s="59" t="str">
        <x:v>ไม่ทราบ</x:v>
      </x:c>
      <x:c r="D375" s="59" t="str">
        <x:v>ไม่ทราบ</x:v>
      </x:c>
      <x:c r="E375" s="59" t="str">
        <x:v>ไม่ทราบ</x:v>
      </x:c>
      <x:c r="F375" s="59" t="str">
        <x:v>ไม่ทราบ</x:v>
      </x:c>
      <x:c r="G375" s="59" t="str">
        <x:v>ไม่ทราบ</x:v>
      </x:c>
      <x:c r="H375" s="59" t="str">
        <x:v>ไม่ทราบ</x:v>
      </x:c>
      <x:c r="I375" s="59"/>
      <x:c r="J375" s="59" t="str">
        <x:v>ไม่ทราบ</x:v>
      </x:c>
      <x:c r="K375" s="59"/>
      <x:c r="L375" s="59"/>
      <x:c r="M375" s="59"/>
      <x:c r="N375" s="59"/>
      <x:c r="O375" s="59"/>
      <x:c r="P375" s="59"/>
      <x:c r="Q375" s="59"/>
      <x:c r="R375" s="59"/>
      <x:c r="S375" s="59"/>
      <x:c r="T375" s="59"/>
      <x:c r="U375" s="59"/>
      <x:c r="V375" s="59"/>
      <x:c r="W375" s="59"/>
      <x:c r="X375" s="59"/>
      <x:c r="Y375" s="59"/>
      <x:c r="Z375" s="59"/>
      <x:c r="AA375" s="8" t="str">
        <x:f>IF(C375="ไม่ทราบ","",SUMIFS($K$7:$Z$7,K375:Z375,"&lt;&gt;N/A"))</x:f>
      </x:c>
      <x:c r="AB375" s="8" t="str">
        <x:f>IF(AND(OR(AND(C375="จำหน่ายอาหาร",ISNUMBER(K375),L375="N/A"),AND(C375="ไม่จำหน่ายอาหาร",K375="N/A",ISNUMBER(L375)),AND(C375="มัสยิด",K375="N/A",L375="N/A",X375="N/A")),COUNT(K375:Z375)+COUNTIFS(K375:Z375,"N/A")=16),SUM(K375:Z375),"")</x:f>
      </x:c>
      <x:c r="AC375" s="62" t="str">
        <x:f>IF(OR(AB375="",AA375&lt;=0),"",ROUND(AB375/AA375*100,1))</x:f>
      </x:c>
      <x:c r="AD375" s="8" t="str">
        <x:f>IF(COUNTIFS(D375:H375,"ไม่ผ่าน")&gt;0,"ไม่ผ่าน",IF(COUNTIFS(D375:H375,"ไม่ทราบ")+COUNTBLANK(D375:H375)&gt;0,"รอยืนยัน","ผ่าน"))</x:f>
        <x:v>รอยืนยัน</x:v>
      </x:c>
      <x:c r="AE375" s="8" t="str">
        <x:f>IF(AF375="ใช่","ไม่ผ่านการคัดเลือก",IF(AND(AD375="ผ่าน",ISNUMBER(AC375),AC375&gt;=70),"พร้อมขาย",IF(OR(J375="ใช่",AND(ISNUMBER(AC375),AC375&gt;=50)),"พัฒนาเพื่อพร้อมขาย",IF(AND(ISNUMBER(AC375),AC375&lt;50,I375&gt;=1),"มีศักยภาพ แต่ต้องพัฒนามาตรฐาน","รอประเมิน"))))</x:f>
        <x:v>รอประเมิน</x:v>
      </x:c>
      <x:c r="AF375" s="59" t="str">
        <x:v>ไม่ทราบ</x:v>
      </x:c>
      <x:c r="AG375" s="8" t="str">
        <x:f>IF(AF375="ใช่","หัวหน้าทีมพิจารณาเหตุไม่ผ่าน",IF(OR(AA375&lt;=0,NOT(OR(AND(C375="จำหน่ายอาหาร",ISNUMBER(K375),L375="N/A"),AND(C375="ไม่จำหน่ายอาหาร",K375="N/A",ISNUMBER(L375)),AND(C375="มัสยิด",K375="N/A",L375="N/A",X375="N/A"))),AD375="รอยืนยัน",COUNT(K375:Z375)+COUNTIFS(K375:Z375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5" s="59" t="str"/>
      <x:c r="AI375" s="61"/>
    </x:row>
    <x:row r="376" ht="60" customHeight="1">
      <x:c r="A376" s="2" t="str">
        <x:v>TMF-020</x:v>
      </x:c>
      <x:c r="B376" s="8" t="str">
        <x:v>Alama Sea Village Resort Koh Lanta</x:v>
      </x:c>
      <x:c r="C376" s="59" t="str">
        <x:v>ไม่ทราบ</x:v>
      </x:c>
      <x:c r="D376" s="59" t="str">
        <x:v>ไม่ทราบ</x:v>
      </x:c>
      <x:c r="E376" s="59" t="str">
        <x:v>ไม่ทราบ</x:v>
      </x:c>
      <x:c r="F376" s="59" t="str">
        <x:v>ไม่ทราบ</x:v>
      </x:c>
      <x:c r="G376" s="59" t="str">
        <x:v>ไม่ทราบ</x:v>
      </x:c>
      <x:c r="H376" s="59" t="str">
        <x:v>ไม่ทราบ</x:v>
      </x:c>
      <x:c r="I376" s="59"/>
      <x:c r="J376" s="59" t="str">
        <x:v>ไม่ทราบ</x:v>
      </x:c>
      <x:c r="K376" s="59"/>
      <x:c r="L376" s="59"/>
      <x:c r="M376" s="59"/>
      <x:c r="N376" s="59"/>
      <x:c r="O376" s="59"/>
      <x:c r="P376" s="59"/>
      <x:c r="Q376" s="59"/>
      <x:c r="R376" s="59"/>
      <x:c r="S376" s="59"/>
      <x:c r="T376" s="59"/>
      <x:c r="U376" s="59"/>
      <x:c r="V376" s="59"/>
      <x:c r="W376" s="59"/>
      <x:c r="X376" s="59"/>
      <x:c r="Y376" s="59"/>
      <x:c r="Z376" s="59"/>
      <x:c r="AA376" s="8" t="str">
        <x:f>IF(C376="ไม่ทราบ","",SUMIFS($K$7:$Z$7,K376:Z376,"&lt;&gt;N/A"))</x:f>
      </x:c>
      <x:c r="AB376" s="8" t="str">
        <x:f>IF(AND(OR(AND(C376="จำหน่ายอาหาร",ISNUMBER(K376),L376="N/A"),AND(C376="ไม่จำหน่ายอาหาร",K376="N/A",ISNUMBER(L376)),AND(C376="มัสยิด",K376="N/A",L376="N/A",X376="N/A")),COUNT(K376:Z376)+COUNTIFS(K376:Z376,"N/A")=16),SUM(K376:Z376),"")</x:f>
      </x:c>
      <x:c r="AC376" s="62" t="str">
        <x:f>IF(OR(AB376="",AA376&lt;=0),"",ROUND(AB376/AA376*100,1))</x:f>
      </x:c>
      <x:c r="AD376" s="8" t="str">
        <x:f>IF(COUNTIFS(D376:H376,"ไม่ผ่าน")&gt;0,"ไม่ผ่าน",IF(COUNTIFS(D376:H376,"ไม่ทราบ")+COUNTBLANK(D376:H376)&gt;0,"รอยืนยัน","ผ่าน"))</x:f>
        <x:v>รอยืนยัน</x:v>
      </x:c>
      <x:c r="AE376" s="8" t="str">
        <x:f>IF(AF376="ใช่","ไม่ผ่านการคัดเลือก",IF(AND(AD376="ผ่าน",ISNUMBER(AC376),AC376&gt;=70),"พร้อมขาย",IF(OR(J376="ใช่",AND(ISNUMBER(AC376),AC376&gt;=50)),"พัฒนาเพื่อพร้อมขาย",IF(AND(ISNUMBER(AC376),AC376&lt;50,I376&gt;=1),"มีศักยภาพ แต่ต้องพัฒนามาตรฐาน","รอประเมิน"))))</x:f>
        <x:v>รอประเมิน</x:v>
      </x:c>
      <x:c r="AF376" s="59" t="str">
        <x:v>ไม่ทราบ</x:v>
      </x:c>
      <x:c r="AG376" s="8" t="str">
        <x:f>IF(AF376="ใช่","หัวหน้าทีมพิจารณาเหตุไม่ผ่าน",IF(OR(AA376&lt;=0,NOT(OR(AND(C376="จำหน่ายอาหาร",ISNUMBER(K376),L376="N/A"),AND(C376="ไม่จำหน่ายอาหาร",K376="N/A",ISNUMBER(L376)),AND(C376="มัสยิด",K376="N/A",L376="N/A",X376="N/A"))),AD376="รอยืนยัน",COUNT(K376:Z376)+COUNTIFS(K376:Z376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6" s="59" t="str"/>
      <x:c r="AI376" s="61"/>
    </x:row>
    <x:row r="377" ht="60" customHeight="1">
      <x:c r="A377" s="2" t="str">
        <x:v>TMF-021</x:v>
      </x:c>
      <x:c r="B377" s="8" t="str">
        <x:v>Aonang Fiore resort, Krabi Thailand</x:v>
      </x:c>
      <x:c r="C377" s="59" t="str">
        <x:v>ไม่ทราบ</x:v>
      </x:c>
      <x:c r="D377" s="59" t="str">
        <x:v>ไม่ทราบ</x:v>
      </x:c>
      <x:c r="E377" s="59" t="str">
        <x:v>ไม่ทราบ</x:v>
      </x:c>
      <x:c r="F377" s="59" t="str">
        <x:v>ไม่ทราบ</x:v>
      </x:c>
      <x:c r="G377" s="59" t="str">
        <x:v>ไม่ทราบ</x:v>
      </x:c>
      <x:c r="H377" s="59" t="str">
        <x:v>ไม่ทราบ</x:v>
      </x:c>
      <x:c r="I377" s="59"/>
      <x:c r="J377" s="59" t="str">
        <x:v>ไม่ทราบ</x:v>
      </x:c>
      <x:c r="K377" s="59"/>
      <x:c r="L377" s="59"/>
      <x:c r="M377" s="59"/>
      <x:c r="N377" s="59"/>
      <x:c r="O377" s="59"/>
      <x:c r="P377" s="59"/>
      <x:c r="Q377" s="59"/>
      <x:c r="R377" s="59"/>
      <x:c r="S377" s="59"/>
      <x:c r="T377" s="59"/>
      <x:c r="U377" s="59"/>
      <x:c r="V377" s="59"/>
      <x:c r="W377" s="59"/>
      <x:c r="X377" s="59"/>
      <x:c r="Y377" s="59"/>
      <x:c r="Z377" s="59"/>
      <x:c r="AA377" s="8" t="str">
        <x:f>IF(C377="ไม่ทราบ","",SUMIFS($K$7:$Z$7,K377:Z377,"&lt;&gt;N/A"))</x:f>
      </x:c>
      <x:c r="AB377" s="8" t="str">
        <x:f>IF(AND(OR(AND(C377="จำหน่ายอาหาร",ISNUMBER(K377),L377="N/A"),AND(C377="ไม่จำหน่ายอาหาร",K377="N/A",ISNUMBER(L377)),AND(C377="มัสยิด",K377="N/A",L377="N/A",X377="N/A")),COUNT(K377:Z377)+COUNTIFS(K377:Z377,"N/A")=16),SUM(K377:Z377),"")</x:f>
      </x:c>
      <x:c r="AC377" s="62" t="str">
        <x:f>IF(OR(AB377="",AA377&lt;=0),"",ROUND(AB377/AA377*100,1))</x:f>
      </x:c>
      <x:c r="AD377" s="8" t="str">
        <x:f>IF(COUNTIFS(D377:H377,"ไม่ผ่าน")&gt;0,"ไม่ผ่าน",IF(COUNTIFS(D377:H377,"ไม่ทราบ")+COUNTBLANK(D377:H377)&gt;0,"รอยืนยัน","ผ่าน"))</x:f>
        <x:v>รอยืนยัน</x:v>
      </x:c>
      <x:c r="AE377" s="8" t="str">
        <x:f>IF(AF377="ใช่","ไม่ผ่านการคัดเลือก",IF(AND(AD377="ผ่าน",ISNUMBER(AC377),AC377&gt;=70),"พร้อมขาย",IF(OR(J377="ใช่",AND(ISNUMBER(AC377),AC377&gt;=50)),"พัฒนาเพื่อพร้อมขาย",IF(AND(ISNUMBER(AC377),AC377&lt;50,I377&gt;=1),"มีศักยภาพ แต่ต้องพัฒนามาตรฐาน","รอประเมิน"))))</x:f>
        <x:v>รอประเมิน</x:v>
      </x:c>
      <x:c r="AF377" s="59" t="str">
        <x:v>ไม่ทราบ</x:v>
      </x:c>
      <x:c r="AG377" s="8" t="str">
        <x:f>IF(AF377="ใช่","หัวหน้าทีมพิจารณาเหตุไม่ผ่าน",IF(OR(AA377&lt;=0,NOT(OR(AND(C377="จำหน่ายอาหาร",ISNUMBER(K377),L377="N/A"),AND(C377="ไม่จำหน่ายอาหาร",K377="N/A",ISNUMBER(L377)),AND(C377="มัสยิด",K377="N/A",L377="N/A",X377="N/A"))),AD377="รอยืนยัน",COUNT(K377:Z377)+COUNTIFS(K377:Z377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7" s="59" t="str"/>
      <x:c r="AI377" s="61"/>
    </x:row>
    <x:row r="378" ht="60" customHeight="1">
      <x:c r="A378" s="2" t="str">
        <x:v>TMF-022</x:v>
      </x:c>
      <x:c r="B378" s="8" t="str">
        <x:v>Aonang Phu Pi Maan Resort &amp; Spa</x:v>
      </x:c>
      <x:c r="C378" s="59" t="str">
        <x:v>ไม่ทราบ</x:v>
      </x:c>
      <x:c r="D378" s="59" t="str">
        <x:v>ไม่ทราบ</x:v>
      </x:c>
      <x:c r="E378" s="59" t="str">
        <x:v>ไม่ทราบ</x:v>
      </x:c>
      <x:c r="F378" s="59" t="str">
        <x:v>ไม่ทราบ</x:v>
      </x:c>
      <x:c r="G378" s="59" t="str">
        <x:v>ไม่ทราบ</x:v>
      </x:c>
      <x:c r="H378" s="59" t="str">
        <x:v>ไม่ทราบ</x:v>
      </x:c>
      <x:c r="I378" s="59"/>
      <x:c r="J378" s="59" t="str">
        <x:v>ไม่ทราบ</x:v>
      </x:c>
      <x:c r="K378" s="59"/>
      <x:c r="L378" s="59"/>
      <x:c r="M378" s="59"/>
      <x:c r="N378" s="59"/>
      <x:c r="O378" s="59"/>
      <x:c r="P378" s="59"/>
      <x:c r="Q378" s="59"/>
      <x:c r="R378" s="59"/>
      <x:c r="S378" s="59"/>
      <x:c r="T378" s="59"/>
      <x:c r="U378" s="59"/>
      <x:c r="V378" s="59"/>
      <x:c r="W378" s="59"/>
      <x:c r="X378" s="59"/>
      <x:c r="Y378" s="59"/>
      <x:c r="Z378" s="59"/>
      <x:c r="AA378" s="8" t="str">
        <x:f>IF(C378="ไม่ทราบ","",SUMIFS($K$7:$Z$7,K378:Z378,"&lt;&gt;N/A"))</x:f>
      </x:c>
      <x:c r="AB378" s="8" t="str">
        <x:f>IF(AND(OR(AND(C378="จำหน่ายอาหาร",ISNUMBER(K378),L378="N/A"),AND(C378="ไม่จำหน่ายอาหาร",K378="N/A",ISNUMBER(L378)),AND(C378="มัสยิด",K378="N/A",L378="N/A",X378="N/A")),COUNT(K378:Z378)+COUNTIFS(K378:Z378,"N/A")=16),SUM(K378:Z378),"")</x:f>
      </x:c>
      <x:c r="AC378" s="62" t="str">
        <x:f>IF(OR(AB378="",AA378&lt;=0),"",ROUND(AB378/AA378*100,1))</x:f>
      </x:c>
      <x:c r="AD378" s="8" t="str">
        <x:f>IF(COUNTIFS(D378:H378,"ไม่ผ่าน")&gt;0,"ไม่ผ่าน",IF(COUNTIFS(D378:H378,"ไม่ทราบ")+COUNTBLANK(D378:H378)&gt;0,"รอยืนยัน","ผ่าน"))</x:f>
        <x:v>รอยืนยัน</x:v>
      </x:c>
      <x:c r="AE378" s="8" t="str">
        <x:f>IF(AF378="ใช่","ไม่ผ่านการคัดเลือก",IF(AND(AD378="ผ่าน",ISNUMBER(AC378),AC378&gt;=70),"พร้อมขาย",IF(OR(J378="ใช่",AND(ISNUMBER(AC378),AC378&gt;=50)),"พัฒนาเพื่อพร้อมขาย",IF(AND(ISNUMBER(AC378),AC378&lt;50,I378&gt;=1),"มีศักยภาพ แต่ต้องพัฒนามาตรฐาน","รอประเมิน"))))</x:f>
        <x:v>รอประเมิน</x:v>
      </x:c>
      <x:c r="AF378" s="59" t="str">
        <x:v>ไม่ทราบ</x:v>
      </x:c>
      <x:c r="AG378" s="8" t="str">
        <x:f>IF(AF378="ใช่","หัวหน้าทีมพิจารณาเหตุไม่ผ่าน",IF(OR(AA378&lt;=0,NOT(OR(AND(C378="จำหน่ายอาหาร",ISNUMBER(K378),L378="N/A"),AND(C378="ไม่จำหน่ายอาหาร",K378="N/A",ISNUMBER(L378)),AND(C378="มัสยิด",K378="N/A",L378="N/A",X378="N/A"))),AD378="รอยืนยัน",COUNT(K378:Z378)+COUNTIFS(K378:Z378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8" s="59" t="str"/>
      <x:c r="AI378" s="61"/>
    </x:row>
    <x:row r="379" ht="60" customHeight="1">
      <x:c r="A379" s="2" t="str">
        <x:v>TMF-024</x:v>
      </x:c>
      <x:c r="B379" s="8" t="str">
        <x:v>Railay Great View Resort &amp; Spa รีสอร์ท มุสลิม</x:v>
      </x:c>
      <x:c r="C379" s="59" t="str">
        <x:v>ไม่ทราบ</x:v>
      </x:c>
      <x:c r="D379" s="59" t="str">
        <x:v>ไม่ทราบ</x:v>
      </x:c>
      <x:c r="E379" s="59" t="str">
        <x:v>ไม่ทราบ</x:v>
      </x:c>
      <x:c r="F379" s="59" t="str">
        <x:v>ไม่ทราบ</x:v>
      </x:c>
      <x:c r="G379" s="59" t="str">
        <x:v>ไม่ทราบ</x:v>
      </x:c>
      <x:c r="H379" s="59" t="str">
        <x:v>ไม่ทราบ</x:v>
      </x:c>
      <x:c r="I379" s="59"/>
      <x:c r="J379" s="59" t="str">
        <x:v>ไม่ทราบ</x:v>
      </x:c>
      <x:c r="K379" s="59"/>
      <x:c r="L379" s="59"/>
      <x:c r="M379" s="59"/>
      <x:c r="N379" s="59"/>
      <x:c r="O379" s="59"/>
      <x:c r="P379" s="59"/>
      <x:c r="Q379" s="59"/>
      <x:c r="R379" s="59"/>
      <x:c r="S379" s="59"/>
      <x:c r="T379" s="59"/>
      <x:c r="U379" s="59"/>
      <x:c r="V379" s="59"/>
      <x:c r="W379" s="59"/>
      <x:c r="X379" s="59"/>
      <x:c r="Y379" s="59"/>
      <x:c r="Z379" s="59"/>
      <x:c r="AA379" s="8" t="str">
        <x:f>IF(C379="ไม่ทราบ","",SUMIFS($K$7:$Z$7,K379:Z379,"&lt;&gt;N/A"))</x:f>
      </x:c>
      <x:c r="AB379" s="8" t="str">
        <x:f>IF(AND(OR(AND(C379="จำหน่ายอาหาร",ISNUMBER(K379),L379="N/A"),AND(C379="ไม่จำหน่ายอาหาร",K379="N/A",ISNUMBER(L379)),AND(C379="มัสยิด",K379="N/A",L379="N/A",X379="N/A")),COUNT(K379:Z379)+COUNTIFS(K379:Z379,"N/A")=16),SUM(K379:Z379),"")</x:f>
      </x:c>
      <x:c r="AC379" s="62" t="str">
        <x:f>IF(OR(AB379="",AA379&lt;=0),"",ROUND(AB379/AA379*100,1))</x:f>
      </x:c>
      <x:c r="AD379" s="8" t="str">
        <x:f>IF(COUNTIFS(D379:H379,"ไม่ผ่าน")&gt;0,"ไม่ผ่าน",IF(COUNTIFS(D379:H379,"ไม่ทราบ")+COUNTBLANK(D379:H379)&gt;0,"รอยืนยัน","ผ่าน"))</x:f>
        <x:v>รอยืนยัน</x:v>
      </x:c>
      <x:c r="AE379" s="8" t="str">
        <x:f>IF(AF379="ใช่","ไม่ผ่านการคัดเลือก",IF(AND(AD379="ผ่าน",ISNUMBER(AC379),AC379&gt;=70),"พร้อมขาย",IF(OR(J379="ใช่",AND(ISNUMBER(AC379),AC379&gt;=50)),"พัฒนาเพื่อพร้อมขาย",IF(AND(ISNUMBER(AC379),AC379&lt;50,I379&gt;=1),"มีศักยภาพ แต่ต้องพัฒนามาตรฐาน","รอประเมิน"))))</x:f>
        <x:v>รอประเมิน</x:v>
      </x:c>
      <x:c r="AF379" s="59" t="str">
        <x:v>ไม่ทราบ</x:v>
      </x:c>
      <x:c r="AG379" s="8" t="str">
        <x:f>IF(AF379="ใช่","หัวหน้าทีมพิจารณาเหตุไม่ผ่าน",IF(OR(AA379&lt;=0,NOT(OR(AND(C379="จำหน่ายอาหาร",ISNUMBER(K379),L379="N/A"),AND(C379="ไม่จำหน่ายอาหาร",K379="N/A",ISNUMBER(L379)),AND(C379="มัสยิด",K379="N/A",L379="N/A",X379="N/A"))),AD379="รอยืนยัน",COUNT(K379:Z379)+COUNTIFS(K379:Z379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79" s="59" t="str"/>
      <x:c r="AI379" s="61"/>
    </x:row>
    <x:row r="380" ht="60" customHeight="1">
      <x:c r="A380" s="2" t="str">
        <x:v>TMF-025</x:v>
      </x:c>
      <x:c r="B380" s="8" t="str">
        <x:v>Railay Village Resort , Krabi - Thailand</x:v>
      </x:c>
      <x:c r="C380" s="59" t="str">
        <x:v>ไม่ทราบ</x:v>
      </x:c>
      <x:c r="D380" s="59" t="str">
        <x:v>ไม่ทราบ</x:v>
      </x:c>
      <x:c r="E380" s="59" t="str">
        <x:v>ไม่ทราบ</x:v>
      </x:c>
      <x:c r="F380" s="59" t="str">
        <x:v>ไม่ทราบ</x:v>
      </x:c>
      <x:c r="G380" s="59" t="str">
        <x:v>ไม่ทราบ</x:v>
      </x:c>
      <x:c r="H380" s="59" t="str">
        <x:v>ไม่ทราบ</x:v>
      </x:c>
      <x:c r="I380" s="59"/>
      <x:c r="J380" s="59" t="str">
        <x:v>ไม่ทราบ</x:v>
      </x:c>
      <x:c r="K380" s="59"/>
      <x:c r="L380" s="59"/>
      <x:c r="M380" s="59"/>
      <x:c r="N380" s="59"/>
      <x:c r="O380" s="59"/>
      <x:c r="P380" s="59"/>
      <x:c r="Q380" s="59"/>
      <x:c r="R380" s="59"/>
      <x:c r="S380" s="59"/>
      <x:c r="T380" s="59"/>
      <x:c r="U380" s="59"/>
      <x:c r="V380" s="59"/>
      <x:c r="W380" s="59"/>
      <x:c r="X380" s="59"/>
      <x:c r="Y380" s="59"/>
      <x:c r="Z380" s="59"/>
      <x:c r="AA380" s="8" t="str">
        <x:f>IF(C380="ไม่ทราบ","",SUMIFS($K$7:$Z$7,K380:Z380,"&lt;&gt;N/A"))</x:f>
      </x:c>
      <x:c r="AB380" s="8" t="str">
        <x:f>IF(AND(OR(AND(C380="จำหน่ายอาหาร",ISNUMBER(K380),L380="N/A"),AND(C380="ไม่จำหน่ายอาหาร",K380="N/A",ISNUMBER(L380)),AND(C380="มัสยิด",K380="N/A",L380="N/A",X380="N/A")),COUNT(K380:Z380)+COUNTIFS(K380:Z380,"N/A")=16),SUM(K380:Z380),"")</x:f>
      </x:c>
      <x:c r="AC380" s="62" t="str">
        <x:f>IF(OR(AB380="",AA380&lt;=0),"",ROUND(AB380/AA380*100,1))</x:f>
      </x:c>
      <x:c r="AD380" s="8" t="str">
        <x:f>IF(COUNTIFS(D380:H380,"ไม่ผ่าน")&gt;0,"ไม่ผ่าน",IF(COUNTIFS(D380:H380,"ไม่ทราบ")+COUNTBLANK(D380:H380)&gt;0,"รอยืนยัน","ผ่าน"))</x:f>
        <x:v>รอยืนยัน</x:v>
      </x:c>
      <x:c r="AE380" s="8" t="str">
        <x:f>IF(AF380="ใช่","ไม่ผ่านการคัดเลือก",IF(AND(AD380="ผ่าน",ISNUMBER(AC380),AC380&gt;=70),"พร้อมขาย",IF(OR(J380="ใช่",AND(ISNUMBER(AC380),AC380&gt;=50)),"พัฒนาเพื่อพร้อมขาย",IF(AND(ISNUMBER(AC380),AC380&lt;50,I380&gt;=1),"มีศักยภาพ แต่ต้องพัฒนามาตรฐาน","รอประเมิน"))))</x:f>
        <x:v>รอประเมิน</x:v>
      </x:c>
      <x:c r="AF380" s="59" t="str">
        <x:v>ไม่ทราบ</x:v>
      </x:c>
      <x:c r="AG380" s="8" t="str">
        <x:f>IF(AF380="ใช่","หัวหน้าทีมพิจารณาเหตุไม่ผ่าน",IF(OR(AA380&lt;=0,NOT(OR(AND(C380="จำหน่ายอาหาร",ISNUMBER(K380),L380="N/A"),AND(C380="ไม่จำหน่ายอาหาร",K380="N/A",ISNUMBER(L380)),AND(C380="มัสยิด",K380="N/A",L380="N/A",X380="N/A"))),AD380="รอยืนยัน",COUNT(K380:Z380)+COUNTIFS(K380:Z380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0" s="59" t="str"/>
      <x:c r="AI380" s="61"/>
    </x:row>
    <x:row r="381" ht="60" customHeight="1">
      <x:c r="A381" s="2" t="str">
        <x:v>TMF-026</x:v>
      </x:c>
      <x:c r="B381" s="8" t="str">
        <x:v>The tama hotel Krabi Thailand</x:v>
      </x:c>
      <x:c r="C381" s="59" t="str">
        <x:v>ไม่ทราบ</x:v>
      </x:c>
      <x:c r="D381" s="59" t="str">
        <x:v>ไม่ทราบ</x:v>
      </x:c>
      <x:c r="E381" s="59" t="str">
        <x:v>ไม่ทราบ</x:v>
      </x:c>
      <x:c r="F381" s="59" t="str">
        <x:v>ไม่ทราบ</x:v>
      </x:c>
      <x:c r="G381" s="59" t="str">
        <x:v>ไม่ทราบ</x:v>
      </x:c>
      <x:c r="H381" s="59" t="str">
        <x:v>ไม่ทราบ</x:v>
      </x:c>
      <x:c r="I381" s="59"/>
      <x:c r="J381" s="59" t="str">
        <x:v>ไม่ทราบ</x:v>
      </x:c>
      <x:c r="K381" s="59"/>
      <x:c r="L381" s="59"/>
      <x:c r="M381" s="59"/>
      <x:c r="N381" s="59"/>
      <x:c r="O381" s="59"/>
      <x:c r="P381" s="59"/>
      <x:c r="Q381" s="59"/>
      <x:c r="R381" s="59"/>
      <x:c r="S381" s="59"/>
      <x:c r="T381" s="59"/>
      <x:c r="U381" s="59"/>
      <x:c r="V381" s="59"/>
      <x:c r="W381" s="59"/>
      <x:c r="X381" s="59"/>
      <x:c r="Y381" s="59"/>
      <x:c r="Z381" s="59"/>
      <x:c r="AA381" s="8" t="str">
        <x:f>IF(C381="ไม่ทราบ","",SUMIFS($K$7:$Z$7,K381:Z381,"&lt;&gt;N/A"))</x:f>
      </x:c>
      <x:c r="AB381" s="8" t="str">
        <x:f>IF(AND(OR(AND(C381="จำหน่ายอาหาร",ISNUMBER(K381),L381="N/A"),AND(C381="ไม่จำหน่ายอาหาร",K381="N/A",ISNUMBER(L381)),AND(C381="มัสยิด",K381="N/A",L381="N/A",X381="N/A")),COUNT(K381:Z381)+COUNTIFS(K381:Z381,"N/A")=16),SUM(K381:Z381),"")</x:f>
      </x:c>
      <x:c r="AC381" s="62" t="str">
        <x:f>IF(OR(AB381="",AA381&lt;=0),"",ROUND(AB381/AA381*100,1))</x:f>
      </x:c>
      <x:c r="AD381" s="8" t="str">
        <x:f>IF(COUNTIFS(D381:H381,"ไม่ผ่าน")&gt;0,"ไม่ผ่าน",IF(COUNTIFS(D381:H381,"ไม่ทราบ")+COUNTBLANK(D381:H381)&gt;0,"รอยืนยัน","ผ่าน"))</x:f>
        <x:v>รอยืนยัน</x:v>
      </x:c>
      <x:c r="AE381" s="8" t="str">
        <x:f>IF(AF381="ใช่","ไม่ผ่านการคัดเลือก",IF(AND(AD381="ผ่าน",ISNUMBER(AC381),AC381&gt;=70),"พร้อมขาย",IF(OR(J381="ใช่",AND(ISNUMBER(AC381),AC381&gt;=50)),"พัฒนาเพื่อพร้อมขาย",IF(AND(ISNUMBER(AC381),AC381&lt;50,I381&gt;=1),"มีศักยภาพ แต่ต้องพัฒนามาตรฐาน","รอประเมิน"))))</x:f>
        <x:v>รอประเมิน</x:v>
      </x:c>
      <x:c r="AF381" s="59" t="str">
        <x:v>ไม่ทราบ</x:v>
      </x:c>
      <x:c r="AG381" s="8" t="str">
        <x:f>IF(AF381="ใช่","หัวหน้าทีมพิจารณาเหตุไม่ผ่าน",IF(OR(AA381&lt;=0,NOT(OR(AND(C381="จำหน่ายอาหาร",ISNUMBER(K381),L381="N/A"),AND(C381="ไม่จำหน่ายอาหาร",K381="N/A",ISNUMBER(L381)),AND(C381="มัสยิด",K381="N/A",L381="N/A",X381="N/A"))),AD381="รอยืนยัน",COUNT(K381:Z381)+COUNTIFS(K381:Z381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1" s="59" t="str"/>
      <x:c r="AI381" s="61"/>
    </x:row>
    <x:row r="382" ht="60" customHeight="1">
      <x:c r="A382" s="2" t="str">
        <x:v>TMF-263</x:v>
      </x:c>
      <x:c r="B382" s="8" t="str">
        <x:v>Venice Krabi Villa Resort</x:v>
      </x:c>
      <x:c r="C382" s="59" t="str">
        <x:v>ไม่ทราบ</x:v>
      </x:c>
      <x:c r="D382" s="59" t="str">
        <x:v>ไม่ทราบ</x:v>
      </x:c>
      <x:c r="E382" s="59" t="str">
        <x:v>ไม่ทราบ</x:v>
      </x:c>
      <x:c r="F382" s="59" t="str">
        <x:v>ไม่ทราบ</x:v>
      </x:c>
      <x:c r="G382" s="59" t="str">
        <x:v>ไม่ทราบ</x:v>
      </x:c>
      <x:c r="H382" s="59" t="str">
        <x:v>ไม่ทราบ</x:v>
      </x:c>
      <x:c r="I382" s="59"/>
      <x:c r="J382" s="59" t="str">
        <x:v>ไม่ทราบ</x:v>
      </x:c>
      <x:c r="K382" s="59"/>
      <x:c r="L382" s="59"/>
      <x:c r="M382" s="59"/>
      <x:c r="N382" s="59"/>
      <x:c r="O382" s="59"/>
      <x:c r="P382" s="59"/>
      <x:c r="Q382" s="59"/>
      <x:c r="R382" s="59"/>
      <x:c r="S382" s="59"/>
      <x:c r="T382" s="59"/>
      <x:c r="U382" s="59"/>
      <x:c r="V382" s="59"/>
      <x:c r="W382" s="59"/>
      <x:c r="X382" s="59"/>
      <x:c r="Y382" s="59"/>
      <x:c r="Z382" s="59"/>
      <x:c r="AA382" s="8" t="str">
        <x:f>IF(C382="ไม่ทราบ","",SUMIFS($K$7:$Z$7,K382:Z382,"&lt;&gt;N/A"))</x:f>
      </x:c>
      <x:c r="AB382" s="8" t="str">
        <x:f>IF(AND(OR(AND(C382="จำหน่ายอาหาร",ISNUMBER(K382),L382="N/A"),AND(C382="ไม่จำหน่ายอาหาร",K382="N/A",ISNUMBER(L382)),AND(C382="มัสยิด",K382="N/A",L382="N/A",X382="N/A")),COUNT(K382:Z382)+COUNTIFS(K382:Z382,"N/A")=16),SUM(K382:Z382),"")</x:f>
      </x:c>
      <x:c r="AC382" s="62" t="str">
        <x:f>IF(OR(AB382="",AA382&lt;=0),"",ROUND(AB382/AA382*100,1))</x:f>
      </x:c>
      <x:c r="AD382" s="8" t="str">
        <x:f>IF(COUNTIFS(D382:H382,"ไม่ผ่าน")&gt;0,"ไม่ผ่าน",IF(COUNTIFS(D382:H382,"ไม่ทราบ")+COUNTBLANK(D382:H382)&gt;0,"รอยืนยัน","ผ่าน"))</x:f>
        <x:v>รอยืนยัน</x:v>
      </x:c>
      <x:c r="AE382" s="8" t="str">
        <x:f>IF(AF382="ใช่","ไม่ผ่านการคัดเลือก",IF(AND(AD382="ผ่าน",ISNUMBER(AC382),AC382&gt;=70),"พร้อมขาย",IF(OR(J382="ใช่",AND(ISNUMBER(AC382),AC382&gt;=50)),"พัฒนาเพื่อพร้อมขาย",IF(AND(ISNUMBER(AC382),AC382&lt;50,I382&gt;=1),"มีศักยภาพ แต่ต้องพัฒนามาตรฐาน","รอประเมิน"))))</x:f>
        <x:v>รอประเมิน</x:v>
      </x:c>
      <x:c r="AF382" s="59" t="str">
        <x:v>ไม่ทราบ</x:v>
      </x:c>
      <x:c r="AG382" s="8" t="str">
        <x:f>IF(AF382="ใช่","หัวหน้าทีมพิจารณาเหตุไม่ผ่าน",IF(OR(AA382&lt;=0,NOT(OR(AND(C382="จำหน่ายอาหาร",ISNUMBER(K382),L382="N/A"),AND(C382="ไม่จำหน่ายอาหาร",K382="N/A",ISNUMBER(L382)),AND(C382="มัสยิด",K382="N/A",L382="N/A",X382="N/A"))),AD382="รอยืนยัน",COUNT(K382:Z382)+COUNTIFS(K382:Z382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2" s="59" t="str"/>
      <x:c r="AI382" s="61"/>
    </x:row>
    <x:row r="383" ht="60" customHeight="1">
      <x:c r="A383" s="2" t="str">
        <x:v>TMF-032</x:v>
      </x:c>
      <x:c r="B383" s="8" t="str">
        <x:v>White Sand Halal House Krabi</x:v>
      </x:c>
      <x:c r="C383" s="59" t="str">
        <x:v>ไม่ทราบ</x:v>
      </x:c>
      <x:c r="D383" s="59" t="str">
        <x:v>ไม่ทราบ</x:v>
      </x:c>
      <x:c r="E383" s="59" t="str">
        <x:v>ไม่ทราบ</x:v>
      </x:c>
      <x:c r="F383" s="59" t="str">
        <x:v>ไม่ทราบ</x:v>
      </x:c>
      <x:c r="G383" s="59" t="str">
        <x:v>ไม่ทราบ</x:v>
      </x:c>
      <x:c r="H383" s="59" t="str">
        <x:v>ไม่ทราบ</x:v>
      </x:c>
      <x:c r="I383" s="59"/>
      <x:c r="J383" s="59" t="str">
        <x:v>ไม่ทราบ</x:v>
      </x:c>
      <x:c r="K383" s="59"/>
      <x:c r="L383" s="59"/>
      <x:c r="M383" s="59"/>
      <x:c r="N383" s="59"/>
      <x:c r="O383" s="59"/>
      <x:c r="P383" s="59"/>
      <x:c r="Q383" s="59"/>
      <x:c r="R383" s="59"/>
      <x:c r="S383" s="59"/>
      <x:c r="T383" s="59"/>
      <x:c r="U383" s="59"/>
      <x:c r="V383" s="59"/>
      <x:c r="W383" s="59"/>
      <x:c r="X383" s="59"/>
      <x:c r="Y383" s="59"/>
      <x:c r="Z383" s="59"/>
      <x:c r="AA383" s="8" t="str">
        <x:f>IF(C383="ไม่ทราบ","",SUMIFS($K$7:$Z$7,K383:Z383,"&lt;&gt;N/A"))</x:f>
      </x:c>
      <x:c r="AB383" s="8" t="str">
        <x:f>IF(AND(OR(AND(C383="จำหน่ายอาหาร",ISNUMBER(K383),L383="N/A"),AND(C383="ไม่จำหน่ายอาหาร",K383="N/A",ISNUMBER(L383)),AND(C383="มัสยิด",K383="N/A",L383="N/A",X383="N/A")),COUNT(K383:Z383)+COUNTIFS(K383:Z383,"N/A")=16),SUM(K383:Z383),"")</x:f>
      </x:c>
      <x:c r="AC383" s="62" t="str">
        <x:f>IF(OR(AB383="",AA383&lt;=0),"",ROUND(AB383/AA383*100,1))</x:f>
      </x:c>
      <x:c r="AD383" s="8" t="str">
        <x:f>IF(COUNTIFS(D383:H383,"ไม่ผ่าน")&gt;0,"ไม่ผ่าน",IF(COUNTIFS(D383:H383,"ไม่ทราบ")+COUNTBLANK(D383:H383)&gt;0,"รอยืนยัน","ผ่าน"))</x:f>
        <x:v>รอยืนยัน</x:v>
      </x:c>
      <x:c r="AE383" s="8" t="str">
        <x:f>IF(AF383="ใช่","ไม่ผ่านการคัดเลือก",IF(AND(AD383="ผ่าน",ISNUMBER(AC383),AC383&gt;=70),"พร้อมขาย",IF(OR(J383="ใช่",AND(ISNUMBER(AC383),AC383&gt;=50)),"พัฒนาเพื่อพร้อมขาย",IF(AND(ISNUMBER(AC383),AC383&lt;50,I383&gt;=1),"มีศักยภาพ แต่ต้องพัฒนามาตรฐาน","รอประเมิน"))))</x:f>
        <x:v>รอประเมิน</x:v>
      </x:c>
      <x:c r="AF383" s="59" t="str">
        <x:v>ไม่ทราบ</x:v>
      </x:c>
      <x:c r="AG383" s="8" t="str">
        <x:f>IF(AF383="ใช่","หัวหน้าทีมพิจารณาเหตุไม่ผ่าน",IF(OR(AA383&lt;=0,NOT(OR(AND(C383="จำหน่ายอาหาร",ISNUMBER(K383),L383="N/A"),AND(C383="ไม่จำหน่ายอาหาร",K383="N/A",ISNUMBER(L383)),AND(C383="มัสยิด",K383="N/A",L383="N/A",X383="N/A"))),AD383="รอยืนยัน",COUNT(K383:Z383)+COUNTIFS(K383:Z383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3" s="59" t="str"/>
      <x:c r="AI383" s="61"/>
    </x:row>
    <x:row r="384" ht="60" customHeight="1">
      <x:c r="A384" s="2" t="str">
        <x:v>TMF-027</x:v>
      </x:c>
      <x:c r="B384" s="8" t="str">
        <x:v>sunda resort, Krabi Thailand</x:v>
      </x:c>
      <x:c r="C384" s="59" t="str">
        <x:v>ไม่ทราบ</x:v>
      </x:c>
      <x:c r="D384" s="59" t="str">
        <x:v>ไม่ทราบ</x:v>
      </x:c>
      <x:c r="E384" s="59" t="str">
        <x:v>ไม่ทราบ</x:v>
      </x:c>
      <x:c r="F384" s="59" t="str">
        <x:v>ไม่ทราบ</x:v>
      </x:c>
      <x:c r="G384" s="59" t="str">
        <x:v>ไม่ทราบ</x:v>
      </x:c>
      <x:c r="H384" s="59" t="str">
        <x:v>ไม่ทราบ</x:v>
      </x:c>
      <x:c r="I384" s="59"/>
      <x:c r="J384" s="59" t="str">
        <x:v>ไม่ทราบ</x:v>
      </x:c>
      <x:c r="K384" s="59"/>
      <x:c r="L384" s="59"/>
      <x:c r="M384" s="59"/>
      <x:c r="N384" s="59"/>
      <x:c r="O384" s="59"/>
      <x:c r="P384" s="59"/>
      <x:c r="Q384" s="59"/>
      <x:c r="R384" s="59"/>
      <x:c r="S384" s="59"/>
      <x:c r="T384" s="59"/>
      <x:c r="U384" s="59"/>
      <x:c r="V384" s="59"/>
      <x:c r="W384" s="59"/>
      <x:c r="X384" s="59"/>
      <x:c r="Y384" s="59"/>
      <x:c r="Z384" s="59"/>
      <x:c r="AA384" s="8" t="str">
        <x:f>IF(C384="ไม่ทราบ","",SUMIFS($K$7:$Z$7,K384:Z384,"&lt;&gt;N/A"))</x:f>
      </x:c>
      <x:c r="AB384" s="8" t="str">
        <x:f>IF(AND(OR(AND(C384="จำหน่ายอาหาร",ISNUMBER(K384),L384="N/A"),AND(C384="ไม่จำหน่ายอาหาร",K384="N/A",ISNUMBER(L384)),AND(C384="มัสยิด",K384="N/A",L384="N/A",X384="N/A")),COUNT(K384:Z384)+COUNTIFS(K384:Z384,"N/A")=16),SUM(K384:Z384),"")</x:f>
      </x:c>
      <x:c r="AC384" s="62" t="str">
        <x:f>IF(OR(AB384="",AA384&lt;=0),"",ROUND(AB384/AA384*100,1))</x:f>
      </x:c>
      <x:c r="AD384" s="8" t="str">
        <x:f>IF(COUNTIFS(D384:H384,"ไม่ผ่าน")&gt;0,"ไม่ผ่าน",IF(COUNTIFS(D384:H384,"ไม่ทราบ")+COUNTBLANK(D384:H384)&gt;0,"รอยืนยัน","ผ่าน"))</x:f>
        <x:v>รอยืนยัน</x:v>
      </x:c>
      <x:c r="AE384" s="8" t="str">
        <x:f>IF(AF384="ใช่","ไม่ผ่านการคัดเลือก",IF(AND(AD384="ผ่าน",ISNUMBER(AC384),AC384&gt;=70),"พร้อมขาย",IF(OR(J384="ใช่",AND(ISNUMBER(AC384),AC384&gt;=50)),"พัฒนาเพื่อพร้อมขาย",IF(AND(ISNUMBER(AC384),AC384&lt;50,I384&gt;=1),"มีศักยภาพ แต่ต้องพัฒนามาตรฐาน","รอประเมิน"))))</x:f>
        <x:v>รอประเมิน</x:v>
      </x:c>
      <x:c r="AF384" s="59" t="str">
        <x:v>ไม่ทราบ</x:v>
      </x:c>
      <x:c r="AG384" s="8" t="str">
        <x:f>IF(AF384="ใช่","หัวหน้าทีมพิจารณาเหตุไม่ผ่าน",IF(OR(AA384&lt;=0,NOT(OR(AND(C384="จำหน่ายอาหาร",ISNUMBER(K384),L384="N/A"),AND(C384="ไม่จำหน่ายอาหาร",K384="N/A",ISNUMBER(L384)),AND(C384="มัสยิด",K384="N/A",L384="N/A",X384="N/A"))),AD384="รอยืนยัน",COUNT(K384:Z384)+COUNTIFS(K384:Z384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4" s="59" t="str"/>
      <x:c r="AI384" s="61"/>
    </x:row>
    <x:row r="385" ht="60" customHeight="1">
      <x:c r="A385" s="2" t="str">
        <x:v>TMF-028</x:v>
      </x:c>
      <x:c r="B385" s="8" t="str">
        <x:v>บ้านครูเฉม โฮมสเตย์เกาะปู</x:v>
      </x:c>
      <x:c r="C385" s="59" t="str">
        <x:v>ไม่ทราบ</x:v>
      </x:c>
      <x:c r="D385" s="59" t="str">
        <x:v>ไม่ทราบ</x:v>
      </x:c>
      <x:c r="E385" s="59" t="str">
        <x:v>ไม่ทราบ</x:v>
      </x:c>
      <x:c r="F385" s="59" t="str">
        <x:v>ไม่ทราบ</x:v>
      </x:c>
      <x:c r="G385" s="59" t="str">
        <x:v>ไม่ทราบ</x:v>
      </x:c>
      <x:c r="H385" s="59" t="str">
        <x:v>ไม่ทราบ</x:v>
      </x:c>
      <x:c r="I385" s="59"/>
      <x:c r="J385" s="59" t="str">
        <x:v>ไม่ทราบ</x:v>
      </x:c>
      <x:c r="K385" s="59"/>
      <x:c r="L385" s="59"/>
      <x:c r="M385" s="59"/>
      <x:c r="N385" s="59"/>
      <x:c r="O385" s="59"/>
      <x:c r="P385" s="59"/>
      <x:c r="Q385" s="59"/>
      <x:c r="R385" s="59"/>
      <x:c r="S385" s="59"/>
      <x:c r="T385" s="59"/>
      <x:c r="U385" s="59"/>
      <x:c r="V385" s="59"/>
      <x:c r="W385" s="59"/>
      <x:c r="X385" s="59"/>
      <x:c r="Y385" s="59"/>
      <x:c r="Z385" s="59"/>
      <x:c r="AA385" s="8" t="str">
        <x:f>IF(C385="ไม่ทราบ","",SUMIFS($K$7:$Z$7,K385:Z385,"&lt;&gt;N/A"))</x:f>
      </x:c>
      <x:c r="AB385" s="8" t="str">
        <x:f>IF(AND(OR(AND(C385="จำหน่ายอาหาร",ISNUMBER(K385),L385="N/A"),AND(C385="ไม่จำหน่ายอาหาร",K385="N/A",ISNUMBER(L385)),AND(C385="มัสยิด",K385="N/A",L385="N/A",X385="N/A")),COUNT(K385:Z385)+COUNTIFS(K385:Z385,"N/A")=16),SUM(K385:Z385),"")</x:f>
      </x:c>
      <x:c r="AC385" s="62" t="str">
        <x:f>IF(OR(AB385="",AA385&lt;=0),"",ROUND(AB385/AA385*100,1))</x:f>
      </x:c>
      <x:c r="AD385" s="8" t="str">
        <x:f>IF(COUNTIFS(D385:H385,"ไม่ผ่าน")&gt;0,"ไม่ผ่าน",IF(COUNTIFS(D385:H385,"ไม่ทราบ")+COUNTBLANK(D385:H385)&gt;0,"รอยืนยัน","ผ่าน"))</x:f>
        <x:v>รอยืนยัน</x:v>
      </x:c>
      <x:c r="AE385" s="8" t="str">
        <x:f>IF(AF385="ใช่","ไม่ผ่านการคัดเลือก",IF(AND(AD385="ผ่าน",ISNUMBER(AC385),AC385&gt;=70),"พร้อมขาย",IF(OR(J385="ใช่",AND(ISNUMBER(AC385),AC385&gt;=50)),"พัฒนาเพื่อพร้อมขาย",IF(AND(ISNUMBER(AC385),AC385&lt;50,I385&gt;=1),"มีศักยภาพ แต่ต้องพัฒนามาตรฐาน","รอประเมิน"))))</x:f>
        <x:v>รอประเมิน</x:v>
      </x:c>
      <x:c r="AF385" s="59" t="str">
        <x:v>ไม่ทราบ</x:v>
      </x:c>
      <x:c r="AG385" s="8" t="str">
        <x:f>IF(AF385="ใช่","หัวหน้าทีมพิจารณาเหตุไม่ผ่าน",IF(OR(AA385&lt;=0,NOT(OR(AND(C385="จำหน่ายอาหาร",ISNUMBER(K385),L385="N/A"),AND(C385="ไม่จำหน่ายอาหาร",K385="N/A",ISNUMBER(L385)),AND(C385="มัสยิด",K385="N/A",L385="N/A",X385="N/A"))),AD385="รอยืนยัน",COUNT(K385:Z385)+COUNTIFS(K385:Z385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5" s="59" t="str"/>
      <x:c r="AI385" s="61"/>
    </x:row>
    <x:row r="386" ht="60" customHeight="1">
      <x:c r="A386" s="2" t="str">
        <x:v>TMF-264</x:v>
      </x:c>
      <x:c r="B386" s="8" t="str">
        <x:v>บ้านใสใน รีสอร์ท</x:v>
      </x:c>
      <x:c r="C386" s="59" t="str">
        <x:v>ไม่ทราบ</x:v>
      </x:c>
      <x:c r="D386" s="59" t="str">
        <x:v>ไม่ทราบ</x:v>
      </x:c>
      <x:c r="E386" s="59" t="str">
        <x:v>ไม่ทราบ</x:v>
      </x:c>
      <x:c r="F386" s="59" t="str">
        <x:v>ไม่ทราบ</x:v>
      </x:c>
      <x:c r="G386" s="59" t="str">
        <x:v>ไม่ทราบ</x:v>
      </x:c>
      <x:c r="H386" s="59" t="str">
        <x:v>ไม่ทราบ</x:v>
      </x:c>
      <x:c r="I386" s="59"/>
      <x:c r="J386" s="59" t="str">
        <x:v>ไม่ทราบ</x:v>
      </x:c>
      <x:c r="K386" s="59"/>
      <x:c r="L386" s="59"/>
      <x:c r="M386" s="59"/>
      <x:c r="N386" s="59"/>
      <x:c r="O386" s="59"/>
      <x:c r="P386" s="59"/>
      <x:c r="Q386" s="59"/>
      <x:c r="R386" s="59"/>
      <x:c r="S386" s="59"/>
      <x:c r="T386" s="59"/>
      <x:c r="U386" s="59"/>
      <x:c r="V386" s="59"/>
      <x:c r="W386" s="59"/>
      <x:c r="X386" s="59"/>
      <x:c r="Y386" s="59"/>
      <x:c r="Z386" s="59"/>
      <x:c r="AA386" s="8" t="str">
        <x:f>IF(C386="ไม่ทราบ","",SUMIFS($K$7:$Z$7,K386:Z386,"&lt;&gt;N/A"))</x:f>
      </x:c>
      <x:c r="AB386" s="8" t="str">
        <x:f>IF(AND(OR(AND(C386="จำหน่ายอาหาร",ISNUMBER(K386),L386="N/A"),AND(C386="ไม่จำหน่ายอาหาร",K386="N/A",ISNUMBER(L386)),AND(C386="มัสยิด",K386="N/A",L386="N/A",X386="N/A")),COUNT(K386:Z386)+COUNTIFS(K386:Z386,"N/A")=16),SUM(K386:Z386),"")</x:f>
      </x:c>
      <x:c r="AC386" s="62" t="str">
        <x:f>IF(OR(AB386="",AA386&lt;=0),"",ROUND(AB386/AA386*100,1))</x:f>
      </x:c>
      <x:c r="AD386" s="8" t="str">
        <x:f>IF(COUNTIFS(D386:H386,"ไม่ผ่าน")&gt;0,"ไม่ผ่าน",IF(COUNTIFS(D386:H386,"ไม่ทราบ")+COUNTBLANK(D386:H386)&gt;0,"รอยืนยัน","ผ่าน"))</x:f>
        <x:v>รอยืนยัน</x:v>
      </x:c>
      <x:c r="AE386" s="8" t="str">
        <x:f>IF(AF386="ใช่","ไม่ผ่านการคัดเลือก",IF(AND(AD386="ผ่าน",ISNUMBER(AC386),AC386&gt;=70),"พร้อมขาย",IF(OR(J386="ใช่",AND(ISNUMBER(AC386),AC386&gt;=50)),"พัฒนาเพื่อพร้อมขาย",IF(AND(ISNUMBER(AC386),AC386&lt;50,I386&gt;=1),"มีศักยภาพ แต่ต้องพัฒนามาตรฐาน","รอประเมิน"))))</x:f>
        <x:v>รอประเมิน</x:v>
      </x:c>
      <x:c r="AF386" s="59" t="str">
        <x:v>ไม่ทราบ</x:v>
      </x:c>
      <x:c r="AG386" s="8" t="str">
        <x:f>IF(AF386="ใช่","หัวหน้าทีมพิจารณาเหตุไม่ผ่าน",IF(OR(AA386&lt;=0,NOT(OR(AND(C386="จำหน่ายอาหาร",ISNUMBER(K386),L386="N/A"),AND(C386="ไม่จำหน่ายอาหาร",K386="N/A",ISNUMBER(L386)),AND(C386="มัสยิด",K386="N/A",L386="N/A",X386="N/A"))),AD386="รอยืนยัน",COUNT(K386:Z386)+COUNTIFS(K386:Z386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6" s="59" t="str"/>
      <x:c r="AI386" s="61"/>
    </x:row>
    <x:row r="387" ht="60" customHeight="1">
      <x:c r="A387" s="2" t="str">
        <x:v>TMF-029</x:v>
      </x:c>
      <x:c r="B387" s="8" t="str">
        <x:v>อันดามัน เพิร์ล รีสอร์ท อ่าวนาง</x:v>
      </x:c>
      <x:c r="C387" s="59" t="str">
        <x:v>ไม่ทราบ</x:v>
      </x:c>
      <x:c r="D387" s="59" t="str">
        <x:v>ไม่ทราบ</x:v>
      </x:c>
      <x:c r="E387" s="59" t="str">
        <x:v>ไม่ทราบ</x:v>
      </x:c>
      <x:c r="F387" s="59" t="str">
        <x:v>ไม่ทราบ</x:v>
      </x:c>
      <x:c r="G387" s="59" t="str">
        <x:v>ไม่ทราบ</x:v>
      </x:c>
      <x:c r="H387" s="59" t="str">
        <x:v>ไม่ทราบ</x:v>
      </x:c>
      <x:c r="I387" s="59"/>
      <x:c r="J387" s="59" t="str">
        <x:v>ไม่ทราบ</x:v>
      </x:c>
      <x:c r="K387" s="59"/>
      <x:c r="L387" s="59"/>
      <x:c r="M387" s="59"/>
      <x:c r="N387" s="59"/>
      <x:c r="O387" s="59"/>
      <x:c r="P387" s="59"/>
      <x:c r="Q387" s="59"/>
      <x:c r="R387" s="59"/>
      <x:c r="S387" s="59"/>
      <x:c r="T387" s="59"/>
      <x:c r="U387" s="59"/>
      <x:c r="V387" s="59"/>
      <x:c r="W387" s="59"/>
      <x:c r="X387" s="59"/>
      <x:c r="Y387" s="59"/>
      <x:c r="Z387" s="59"/>
      <x:c r="AA387" s="8" t="str">
        <x:f>IF(C387="ไม่ทราบ","",SUMIFS($K$7:$Z$7,K387:Z387,"&lt;&gt;N/A"))</x:f>
      </x:c>
      <x:c r="AB387" s="8" t="str">
        <x:f>IF(AND(OR(AND(C387="จำหน่ายอาหาร",ISNUMBER(K387),L387="N/A"),AND(C387="ไม่จำหน่ายอาหาร",K387="N/A",ISNUMBER(L387)),AND(C387="มัสยิด",K387="N/A",L387="N/A",X387="N/A")),COUNT(K387:Z387)+COUNTIFS(K387:Z387,"N/A")=16),SUM(K387:Z387),"")</x:f>
      </x:c>
      <x:c r="AC387" s="62" t="str">
        <x:f>IF(OR(AB387="",AA387&lt;=0),"",ROUND(AB387/AA387*100,1))</x:f>
      </x:c>
      <x:c r="AD387" s="8" t="str">
        <x:f>IF(COUNTIFS(D387:H387,"ไม่ผ่าน")&gt;0,"ไม่ผ่าน",IF(COUNTIFS(D387:H387,"ไม่ทราบ")+COUNTBLANK(D387:H387)&gt;0,"รอยืนยัน","ผ่าน"))</x:f>
        <x:v>รอยืนยัน</x:v>
      </x:c>
      <x:c r="AE387" s="8" t="str">
        <x:f>IF(AF387="ใช่","ไม่ผ่านการคัดเลือก",IF(AND(AD387="ผ่าน",ISNUMBER(AC387),AC387&gt;=70),"พร้อมขาย",IF(OR(J387="ใช่",AND(ISNUMBER(AC387),AC387&gt;=50)),"พัฒนาเพื่อพร้อมขาย",IF(AND(ISNUMBER(AC387),AC387&lt;50,I387&gt;=1),"มีศักยภาพ แต่ต้องพัฒนามาตรฐาน","รอประเมิน"))))</x:f>
        <x:v>รอประเมิน</x:v>
      </x:c>
      <x:c r="AF387" s="59" t="str">
        <x:v>ไม่ทราบ</x:v>
      </x:c>
      <x:c r="AG387" s="8" t="str">
        <x:f>IF(AF387="ใช่","หัวหน้าทีมพิจารณาเหตุไม่ผ่าน",IF(OR(AA387&lt;=0,NOT(OR(AND(C387="จำหน่ายอาหาร",ISNUMBER(K387),L387="N/A"),AND(C387="ไม่จำหน่ายอาหาร",K387="N/A",ISNUMBER(L387)),AND(C387="มัสยิด",K387="N/A",L387="N/A",X387="N/A"))),AD387="รอยืนยัน",COUNT(K387:Z387)+COUNTIFS(K387:Z387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7" s="59" t="str"/>
      <x:c r="AI387" s="61"/>
    </x:row>
    <x:row r="388" ht="60" customHeight="1">
      <x:c r="A388" s="2" t="str">
        <x:v>TMF-265</x:v>
      </x:c>
      <x:c r="B388" s="8" t="str">
        <x:v>อ่าวนาง ซิลเวอร์ ออร์คิด รีสอร์ท</x:v>
      </x:c>
      <x:c r="C388" s="59" t="str">
        <x:v>ไม่ทราบ</x:v>
      </x:c>
      <x:c r="D388" s="59" t="str">
        <x:v>ไม่ทราบ</x:v>
      </x:c>
      <x:c r="E388" s="59" t="str">
        <x:v>ไม่ทราบ</x:v>
      </x:c>
      <x:c r="F388" s="59" t="str">
        <x:v>ไม่ทราบ</x:v>
      </x:c>
      <x:c r="G388" s="59" t="str">
        <x:v>ไม่ทราบ</x:v>
      </x:c>
      <x:c r="H388" s="59" t="str">
        <x:v>ไม่ทราบ</x:v>
      </x:c>
      <x:c r="I388" s="59"/>
      <x:c r="J388" s="59" t="str">
        <x:v>ไม่ทราบ</x:v>
      </x:c>
      <x:c r="K388" s="59"/>
      <x:c r="L388" s="59"/>
      <x:c r="M388" s="59"/>
      <x:c r="N388" s="59"/>
      <x:c r="O388" s="59"/>
      <x:c r="P388" s="59"/>
      <x:c r="Q388" s="59"/>
      <x:c r="R388" s="59"/>
      <x:c r="S388" s="59"/>
      <x:c r="T388" s="59"/>
      <x:c r="U388" s="59"/>
      <x:c r="V388" s="59"/>
      <x:c r="W388" s="59"/>
      <x:c r="X388" s="59"/>
      <x:c r="Y388" s="59"/>
      <x:c r="Z388" s="59"/>
      <x:c r="AA388" s="8" t="str">
        <x:f>IF(C388="ไม่ทราบ","",SUMIFS($K$7:$Z$7,K388:Z388,"&lt;&gt;N/A"))</x:f>
      </x:c>
      <x:c r="AB388" s="8" t="str">
        <x:f>IF(AND(OR(AND(C388="จำหน่ายอาหาร",ISNUMBER(K388),L388="N/A"),AND(C388="ไม่จำหน่ายอาหาร",K388="N/A",ISNUMBER(L388)),AND(C388="มัสยิด",K388="N/A",L388="N/A",X388="N/A")),COUNT(K388:Z388)+COUNTIFS(K388:Z388,"N/A")=16),SUM(K388:Z388),"")</x:f>
      </x:c>
      <x:c r="AC388" s="62" t="str">
        <x:f>IF(OR(AB388="",AA388&lt;=0),"",ROUND(AB388/AA388*100,1))</x:f>
      </x:c>
      <x:c r="AD388" s="8" t="str">
        <x:f>IF(COUNTIFS(D388:H388,"ไม่ผ่าน")&gt;0,"ไม่ผ่าน",IF(COUNTIFS(D388:H388,"ไม่ทราบ")+COUNTBLANK(D388:H388)&gt;0,"รอยืนยัน","ผ่าน"))</x:f>
        <x:v>รอยืนยัน</x:v>
      </x:c>
      <x:c r="AE388" s="8" t="str">
        <x:f>IF(AF388="ใช่","ไม่ผ่านการคัดเลือก",IF(AND(AD388="ผ่าน",ISNUMBER(AC388),AC388&gt;=70),"พร้อมขาย",IF(OR(J388="ใช่",AND(ISNUMBER(AC388),AC388&gt;=50)),"พัฒนาเพื่อพร้อมขาย",IF(AND(ISNUMBER(AC388),AC388&lt;50,I388&gt;=1),"มีศักยภาพ แต่ต้องพัฒนามาตรฐาน","รอประเมิน"))))</x:f>
        <x:v>รอประเมิน</x:v>
      </x:c>
      <x:c r="AF388" s="59" t="str">
        <x:v>ไม่ทราบ</x:v>
      </x:c>
      <x:c r="AG388" s="8" t="str">
        <x:f>IF(AF388="ใช่","หัวหน้าทีมพิจารณาเหตุไม่ผ่าน",IF(OR(AA388&lt;=0,NOT(OR(AND(C388="จำหน่ายอาหาร",ISNUMBER(K388),L388="N/A"),AND(C388="ไม่จำหน่ายอาหาร",K388="N/A",ISNUMBER(L388)),AND(C388="มัสยิด",K388="N/A",L388="N/A",X388="N/A"))),AD388="รอยืนยัน",COUNT(K388:Z388)+COUNTIFS(K388:Z388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8" s="59" t="str"/>
      <x:c r="AI388" s="61"/>
    </x:row>
    <x:row r="389" ht="60" customHeight="1">
      <x:c r="A389" s="2" t="str">
        <x:v>TMF-030</x:v>
      </x:c>
      <x:c r="B389" s="8" t="str">
        <x:v>โรงแรม กระบี่ ฟร้อนท์ เบย์ รีสอร์ท</x:v>
      </x:c>
      <x:c r="C389" s="59" t="str">
        <x:v>ไม่ทราบ</x:v>
      </x:c>
      <x:c r="D389" s="59" t="str">
        <x:v>ไม่ทราบ</x:v>
      </x:c>
      <x:c r="E389" s="59" t="str">
        <x:v>ไม่ทราบ</x:v>
      </x:c>
      <x:c r="F389" s="59" t="str">
        <x:v>ไม่ทราบ</x:v>
      </x:c>
      <x:c r="G389" s="59" t="str">
        <x:v>ไม่ทราบ</x:v>
      </x:c>
      <x:c r="H389" s="59" t="str">
        <x:v>ไม่ทราบ</x:v>
      </x:c>
      <x:c r="I389" s="59"/>
      <x:c r="J389" s="59" t="str">
        <x:v>ไม่ทราบ</x:v>
      </x:c>
      <x:c r="K389" s="59"/>
      <x:c r="L389" s="59"/>
      <x:c r="M389" s="59"/>
      <x:c r="N389" s="59"/>
      <x:c r="O389" s="59"/>
      <x:c r="P389" s="59"/>
      <x:c r="Q389" s="59"/>
      <x:c r="R389" s="59"/>
      <x:c r="S389" s="59"/>
      <x:c r="T389" s="59"/>
      <x:c r="U389" s="59"/>
      <x:c r="V389" s="59"/>
      <x:c r="W389" s="59"/>
      <x:c r="X389" s="59"/>
      <x:c r="Y389" s="59"/>
      <x:c r="Z389" s="59"/>
      <x:c r="AA389" s="8" t="str">
        <x:f>IF(C389="ไม่ทราบ","",SUMIFS($K$7:$Z$7,K389:Z389,"&lt;&gt;N/A"))</x:f>
      </x:c>
      <x:c r="AB389" s="8" t="str">
        <x:f>IF(AND(OR(AND(C389="จำหน่ายอาหาร",ISNUMBER(K389),L389="N/A"),AND(C389="ไม่จำหน่ายอาหาร",K389="N/A",ISNUMBER(L389)),AND(C389="มัสยิด",K389="N/A",L389="N/A",X389="N/A")),COUNT(K389:Z389)+COUNTIFS(K389:Z389,"N/A")=16),SUM(K389:Z389),"")</x:f>
      </x:c>
      <x:c r="AC389" s="62" t="str">
        <x:f>IF(OR(AB389="",AA389&lt;=0),"",ROUND(AB389/AA389*100,1))</x:f>
      </x:c>
      <x:c r="AD389" s="8" t="str">
        <x:f>IF(COUNTIFS(D389:H389,"ไม่ผ่าน")&gt;0,"ไม่ผ่าน",IF(COUNTIFS(D389:H389,"ไม่ทราบ")+COUNTBLANK(D389:H389)&gt;0,"รอยืนยัน","ผ่าน"))</x:f>
        <x:v>รอยืนยัน</x:v>
      </x:c>
      <x:c r="AE389" s="8" t="str">
        <x:f>IF(AF389="ใช่","ไม่ผ่านการคัดเลือก",IF(AND(AD389="ผ่าน",ISNUMBER(AC389),AC389&gt;=70),"พร้อมขาย",IF(OR(J389="ใช่",AND(ISNUMBER(AC389),AC389&gt;=50)),"พัฒนาเพื่อพร้อมขาย",IF(AND(ISNUMBER(AC389),AC389&lt;50,I389&gt;=1),"มีศักยภาพ แต่ต้องพัฒนามาตรฐาน","รอประเมิน"))))</x:f>
        <x:v>รอประเมิน</x:v>
      </x:c>
      <x:c r="AF389" s="59" t="str">
        <x:v>ไม่ทราบ</x:v>
      </x:c>
      <x:c r="AG389" s="8" t="str">
        <x:f>IF(AF389="ใช่","หัวหน้าทีมพิจารณาเหตุไม่ผ่าน",IF(OR(AA389&lt;=0,NOT(OR(AND(C389="จำหน่ายอาหาร",ISNUMBER(K389),L389="N/A"),AND(C389="ไม่จำหน่ายอาหาร",K389="N/A",ISNUMBER(L389)),AND(C389="มัสยิด",K389="N/A",L389="N/A",X389="N/A"))),AD389="รอยืนยัน",COUNT(K389:Z389)+COUNTIFS(K389:Z389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89" s="59" t="str"/>
      <x:c r="AI389" s="61"/>
    </x:row>
    <x:row r="390" ht="60" customHeight="1">
      <x:c r="A390" s="2" t="str">
        <x:v>TMF-266</x:v>
      </x:c>
      <x:c r="B390" s="8" t="str">
        <x:v>โรงแรมกระบี่เพชรไพลิน</x:v>
      </x:c>
      <x:c r="C390" s="59" t="str">
        <x:v>ไม่ทราบ</x:v>
      </x:c>
      <x:c r="D390" s="59" t="str">
        <x:v>ไม่ทราบ</x:v>
      </x:c>
      <x:c r="E390" s="59" t="str">
        <x:v>ไม่ทราบ</x:v>
      </x:c>
      <x:c r="F390" s="59" t="str">
        <x:v>ไม่ทราบ</x:v>
      </x:c>
      <x:c r="G390" s="59" t="str">
        <x:v>ไม่ทราบ</x:v>
      </x:c>
      <x:c r="H390" s="59" t="str">
        <x:v>ไม่ทราบ</x:v>
      </x:c>
      <x:c r="I390" s="59"/>
      <x:c r="J390" s="59" t="str">
        <x:v>ไม่ทราบ</x:v>
      </x:c>
      <x:c r="K390" s="59"/>
      <x:c r="L390" s="59"/>
      <x:c r="M390" s="59"/>
      <x:c r="N390" s="59"/>
      <x:c r="O390" s="59"/>
      <x:c r="P390" s="59"/>
      <x:c r="Q390" s="59"/>
      <x:c r="R390" s="59"/>
      <x:c r="S390" s="59"/>
      <x:c r="T390" s="59"/>
      <x:c r="U390" s="59"/>
      <x:c r="V390" s="59"/>
      <x:c r="W390" s="59"/>
      <x:c r="X390" s="59"/>
      <x:c r="Y390" s="59"/>
      <x:c r="Z390" s="59"/>
      <x:c r="AA390" s="8" t="str">
        <x:f>IF(C390="ไม่ทราบ","",SUMIFS($K$7:$Z$7,K390:Z390,"&lt;&gt;N/A"))</x:f>
      </x:c>
      <x:c r="AB390" s="8" t="str">
        <x:f>IF(AND(OR(AND(C390="จำหน่ายอาหาร",ISNUMBER(K390),L390="N/A"),AND(C390="ไม่จำหน่ายอาหาร",K390="N/A",ISNUMBER(L390)),AND(C390="มัสยิด",K390="N/A",L390="N/A",X390="N/A")),COUNT(K390:Z390)+COUNTIFS(K390:Z390,"N/A")=16),SUM(K390:Z390),"")</x:f>
      </x:c>
      <x:c r="AC390" s="62" t="str">
        <x:f>IF(OR(AB390="",AA390&lt;=0),"",ROUND(AB390/AA390*100,1))</x:f>
      </x:c>
      <x:c r="AD390" s="8" t="str">
        <x:f>IF(COUNTIFS(D390:H390,"ไม่ผ่าน")&gt;0,"ไม่ผ่าน",IF(COUNTIFS(D390:H390,"ไม่ทราบ")+COUNTBLANK(D390:H390)&gt;0,"รอยืนยัน","ผ่าน"))</x:f>
        <x:v>รอยืนยัน</x:v>
      </x:c>
      <x:c r="AE390" s="8" t="str">
        <x:f>IF(AF390="ใช่","ไม่ผ่านการคัดเลือก",IF(AND(AD390="ผ่าน",ISNUMBER(AC390),AC390&gt;=70),"พร้อมขาย",IF(OR(J390="ใช่",AND(ISNUMBER(AC390),AC390&gt;=50)),"พัฒนาเพื่อพร้อมขาย",IF(AND(ISNUMBER(AC390),AC390&lt;50,I390&gt;=1),"มีศักยภาพ แต่ต้องพัฒนามาตรฐาน","รอประเมิน"))))</x:f>
        <x:v>รอประเมิน</x:v>
      </x:c>
      <x:c r="AF390" s="59" t="str">
        <x:v>ไม่ทราบ</x:v>
      </x:c>
      <x:c r="AG390" s="8" t="str">
        <x:f>IF(AF390="ใช่","หัวหน้าทีมพิจารณาเหตุไม่ผ่าน",IF(OR(AA390&lt;=0,NOT(OR(AND(C390="จำหน่ายอาหาร",ISNUMBER(K390),L390="N/A"),AND(C390="ไม่จำหน่ายอาหาร",K390="N/A",ISNUMBER(L390)),AND(C390="มัสยิด",K390="N/A",L390="N/A",X390="N/A"))),AD390="รอยืนยัน",COUNT(K390:Z390)+COUNTIFS(K390:Z390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0" s="59" t="str"/>
      <x:c r="AI390" s="61"/>
    </x:row>
    <x:row r="391" ht="60" customHeight="1">
      <x:c r="A391" s="2" t="str">
        <x:v>TMF-267</x:v>
      </x:c>
      <x:c r="B391" s="8" t="str">
        <x:v>โรงแรมอ่าวนางวิลล่า รีสอร์ท</x:v>
      </x:c>
      <x:c r="C391" s="59" t="str">
        <x:v>ไม่ทราบ</x:v>
      </x:c>
      <x:c r="D391" s="59" t="str">
        <x:v>ไม่ทราบ</x:v>
      </x:c>
      <x:c r="E391" s="59" t="str">
        <x:v>ไม่ทราบ</x:v>
      </x:c>
      <x:c r="F391" s="59" t="str">
        <x:v>ไม่ทราบ</x:v>
      </x:c>
      <x:c r="G391" s="59" t="str">
        <x:v>ไม่ทราบ</x:v>
      </x:c>
      <x:c r="H391" s="59" t="str">
        <x:v>ไม่ทราบ</x:v>
      </x:c>
      <x:c r="I391" s="59"/>
      <x:c r="J391" s="59" t="str">
        <x:v>ไม่ทราบ</x:v>
      </x:c>
      <x:c r="K391" s="59"/>
      <x:c r="L391" s="59"/>
      <x:c r="M391" s="59"/>
      <x:c r="N391" s="59"/>
      <x:c r="O391" s="59"/>
      <x:c r="P391" s="59"/>
      <x:c r="Q391" s="59"/>
      <x:c r="R391" s="59"/>
      <x:c r="S391" s="59"/>
      <x:c r="T391" s="59"/>
      <x:c r="U391" s="59"/>
      <x:c r="V391" s="59"/>
      <x:c r="W391" s="59"/>
      <x:c r="X391" s="59"/>
      <x:c r="Y391" s="59"/>
      <x:c r="Z391" s="59"/>
      <x:c r="AA391" s="8" t="str">
        <x:f>IF(C391="ไม่ทราบ","",SUMIFS($K$7:$Z$7,K391:Z391,"&lt;&gt;N/A"))</x:f>
      </x:c>
      <x:c r="AB391" s="8" t="str">
        <x:f>IF(AND(OR(AND(C391="จำหน่ายอาหาร",ISNUMBER(K391),L391="N/A"),AND(C391="ไม่จำหน่ายอาหาร",K391="N/A",ISNUMBER(L391)),AND(C391="มัสยิด",K391="N/A",L391="N/A",X391="N/A")),COUNT(K391:Z391)+COUNTIFS(K391:Z391,"N/A")=16),SUM(K391:Z391),"")</x:f>
      </x:c>
      <x:c r="AC391" s="62" t="str">
        <x:f>IF(OR(AB391="",AA391&lt;=0),"",ROUND(AB391/AA391*100,1))</x:f>
      </x:c>
      <x:c r="AD391" s="8" t="str">
        <x:f>IF(COUNTIFS(D391:H391,"ไม่ผ่าน")&gt;0,"ไม่ผ่าน",IF(COUNTIFS(D391:H391,"ไม่ทราบ")+COUNTBLANK(D391:H391)&gt;0,"รอยืนยัน","ผ่าน"))</x:f>
        <x:v>รอยืนยัน</x:v>
      </x:c>
      <x:c r="AE391" s="8" t="str">
        <x:f>IF(AF391="ใช่","ไม่ผ่านการคัดเลือก",IF(AND(AD391="ผ่าน",ISNUMBER(AC391),AC391&gt;=70),"พร้อมขาย",IF(OR(J391="ใช่",AND(ISNUMBER(AC391),AC391&gt;=50)),"พัฒนาเพื่อพร้อมขาย",IF(AND(ISNUMBER(AC391),AC391&lt;50,I391&gt;=1),"มีศักยภาพ แต่ต้องพัฒนามาตรฐาน","รอประเมิน"))))</x:f>
        <x:v>รอประเมิน</x:v>
      </x:c>
      <x:c r="AF391" s="59" t="str">
        <x:v>ไม่ทราบ</x:v>
      </x:c>
      <x:c r="AG391" s="8" t="str">
        <x:f>IF(AF391="ใช่","หัวหน้าทีมพิจารณาเหตุไม่ผ่าน",IF(OR(AA391&lt;=0,NOT(OR(AND(C391="จำหน่ายอาหาร",ISNUMBER(K391),L391="N/A"),AND(C391="ไม่จำหน่ายอาหาร",K391="N/A",ISNUMBER(L391)),AND(C391="มัสยิด",K391="N/A",L391="N/A",X391="N/A"))),AD391="รอยืนยัน",COUNT(K391:Z391)+COUNTIFS(K391:Z391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1" s="59" t="str"/>
      <x:c r="AI391" s="61"/>
    </x:row>
    <x:row r="392" ht="60" customHeight="1">
      <x:c r="A392" s="2" t="str">
        <x:v>TMF-033</x:v>
      </x:c>
      <x:c r="B392" s="8" t="str">
        <x:v>ฮัซซานฟาร์ม</x:v>
      </x:c>
      <x:c r="C392" s="59" t="str">
        <x:v>จำหน่ายอาหาร</x:v>
      </x:c>
      <x:c r="D392" s="59" t="str">
        <x:v>ไม่ทราบ</x:v>
      </x:c>
      <x:c r="E392" s="59" t="str">
        <x:v>ไม่ทราบ</x:v>
      </x:c>
      <x:c r="F392" s="59" t="str">
        <x:v>ไม่ทราบ</x:v>
      </x:c>
      <x:c r="G392" s="59" t="str">
        <x:v>ไม่ทราบ</x:v>
      </x:c>
      <x:c r="H392" s="59" t="str">
        <x:v>N/A</x:v>
      </x:c>
      <x:c r="I392" s="59"/>
      <x:c r="J392" s="59" t="str">
        <x:v>ไม่ทราบ</x:v>
      </x:c>
      <x:c r="K392" s="59"/>
      <x:c r="L392" s="59" t="str">
        <x:v>N/A</x:v>
      </x:c>
      <x:c r="M392" s="59"/>
      <x:c r="N392" s="59"/>
      <x:c r="O392" s="59"/>
      <x:c r="P392" s="59"/>
      <x:c r="Q392" s="59"/>
      <x:c r="R392" s="59"/>
      <x:c r="S392" s="59"/>
      <x:c r="T392" s="59"/>
      <x:c r="U392" s="59"/>
      <x:c r="V392" s="59"/>
      <x:c r="W392" s="59"/>
      <x:c r="X392" s="59"/>
      <x:c r="Y392" s="59"/>
      <x:c r="Z392" s="59"/>
      <x:c r="AA392" s="8" t="n">
        <x:f>IF(C392="ไม่ทราบ","",SUMIFS($K$7:$Z$7,K392:Z392,"&lt;&gt;N/A"))</x:f>
        <x:v>100</x:v>
      </x:c>
      <x:c r="AB392" s="8" t="str">
        <x:f>IF(AND(OR(AND(C392="จำหน่ายอาหาร",ISNUMBER(K392),L392="N/A"),AND(C392="ไม่จำหน่ายอาหาร",K392="N/A",ISNUMBER(L392)),AND(C392="มัสยิด",K392="N/A",L392="N/A",X392="N/A")),COUNT(K392:Z392)+COUNTIFS(K392:Z392,"N/A")=16),SUM(K392:Z392),"")</x:f>
      </x:c>
      <x:c r="AC392" s="62" t="str">
        <x:f>IF(OR(AB392="",AA392&lt;=0),"",ROUND(AB392/AA392*100,1))</x:f>
      </x:c>
      <x:c r="AD392" s="8" t="str">
        <x:f>IF(COUNTIFS(D392:H392,"ไม่ผ่าน")&gt;0,"ไม่ผ่าน",IF(COUNTIFS(D392:H392,"ไม่ทราบ")+COUNTBLANK(D392:H392)&gt;0,"รอยืนยัน","ผ่าน"))</x:f>
        <x:v>รอยืนยัน</x:v>
      </x:c>
      <x:c r="AE392" s="8" t="str">
        <x:f>IF(AF392="ใช่","ไม่ผ่านการคัดเลือก",IF(AND(AD392="ผ่าน",ISNUMBER(AC392),AC392&gt;=70),"พร้อมขาย",IF(OR(J392="ใช่",AND(ISNUMBER(AC392),AC392&gt;=50)),"พัฒนาเพื่อพร้อมขาย",IF(AND(ISNUMBER(AC392),AC392&lt;50,I392&gt;=1),"มีศักยภาพ แต่ต้องพัฒนามาตรฐาน","รอประเมิน"))))</x:f>
        <x:v>รอประเมิน</x:v>
      </x:c>
      <x:c r="AF392" s="59" t="str">
        <x:v>ไม่ทราบ</x:v>
      </x:c>
      <x:c r="AG392" s="8" t="str">
        <x:f>IF(AF392="ใช่","หัวหน้าทีมพิจารณาเหตุไม่ผ่าน",IF(OR(AA392&lt;=0,NOT(OR(AND(C392="จำหน่ายอาหาร",ISNUMBER(K392),L392="N/A"),AND(C392="ไม่จำหน่ายอาหาร",K392="N/A",ISNUMBER(L392)),AND(C392="มัสยิด",K392="N/A",L392="N/A",X392="N/A"))),AD392="รอยืนยัน",COUNT(K392:Z392)+COUNTIFS(K392:Z392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2" s="59" t="str"/>
      <x:c r="AI392" s="61"/>
    </x:row>
    <x:row r="393" ht="60" customHeight="1">
      <x:c r="A393" s="2" t="str">
        <x:v>R26-287</x:v>
      </x:c>
      <x:c r="B393" s="8" t="str">
        <x:v>Let's Relax Spa Krabi Centara Anda Dhevi</x:v>
      </x:c>
      <x:c r="C393" s="59" t="str">
        <x:v>ไม่ทราบ</x:v>
      </x:c>
      <x:c r="D393" s="59" t="str">
        <x:v>ไม่ทราบ</x:v>
      </x:c>
      <x:c r="E393" s="59" t="str">
        <x:v>ไม่ทราบ</x:v>
      </x:c>
      <x:c r="F393" s="59" t="str">
        <x:v>ไม่ทราบ</x:v>
      </x:c>
      <x:c r="G393" s="59" t="str">
        <x:v>ไม่ทราบ</x:v>
      </x:c>
      <x:c r="H393" s="59" t="str">
        <x:v>N/A</x:v>
      </x:c>
      <x:c r="I393" s="59"/>
      <x:c r="J393" s="59" t="str">
        <x:v>ไม่ทราบ</x:v>
      </x:c>
      <x:c r="K393" s="59"/>
      <x:c r="L393" s="59"/>
      <x:c r="M393" s="59"/>
      <x:c r="N393" s="59"/>
      <x:c r="O393" s="59"/>
      <x:c r="P393" s="59"/>
      <x:c r="Q393" s="59"/>
      <x:c r="R393" s="59"/>
      <x:c r="S393" s="59"/>
      <x:c r="T393" s="59"/>
      <x:c r="U393" s="59"/>
      <x:c r="V393" s="59"/>
      <x:c r="W393" s="59"/>
      <x:c r="X393" s="59"/>
      <x:c r="Y393" s="59"/>
      <x:c r="Z393" s="59"/>
      <x:c r="AA393" s="8" t="str">
        <x:f>IF(C393="ไม่ทราบ","",SUMIFS($K$7:$Z$7,K393:Z393,"&lt;&gt;N/A"))</x:f>
      </x:c>
      <x:c r="AB393" s="8" t="str">
        <x:f>IF(AND(OR(AND(C393="จำหน่ายอาหาร",ISNUMBER(K393),L393="N/A"),AND(C393="ไม่จำหน่ายอาหาร",K393="N/A",ISNUMBER(L393)),AND(C393="มัสยิด",K393="N/A",L393="N/A",X393="N/A")),COUNT(K393:Z393)+COUNTIFS(K393:Z393,"N/A")=16),SUM(K393:Z393),"")</x:f>
      </x:c>
      <x:c r="AC393" s="62" t="str">
        <x:f>IF(OR(AB393="",AA393&lt;=0),"",ROUND(AB393/AA393*100,1))</x:f>
      </x:c>
      <x:c r="AD393" s="8" t="str">
        <x:f>IF(COUNTIFS(D393:H393,"ไม่ผ่าน")&gt;0,"ไม่ผ่าน",IF(COUNTIFS(D393:H393,"ไม่ทราบ")+COUNTBLANK(D393:H393)&gt;0,"รอยืนยัน","ผ่าน"))</x:f>
        <x:v>รอยืนยัน</x:v>
      </x:c>
      <x:c r="AE393" s="8" t="str">
        <x:f>IF(AF393="ใช่","ไม่ผ่านการคัดเลือก",IF(AND(AD393="ผ่าน",ISNUMBER(AC393),AC393&gt;=70),"พร้อมขาย",IF(OR(J393="ใช่",AND(ISNUMBER(AC393),AC393&gt;=50)),"พัฒนาเพื่อพร้อมขาย",IF(AND(ISNUMBER(AC393),AC393&lt;50,I393&gt;=1),"มีศักยภาพ แต่ต้องพัฒนามาตรฐาน","รอประเมิน"))))</x:f>
        <x:v>รอประเมิน</x:v>
      </x:c>
      <x:c r="AF393" s="59" t="str">
        <x:v>ไม่ทราบ</x:v>
      </x:c>
      <x:c r="AG393" s="8" t="str">
        <x:f>IF(AF393="ใช่","หัวหน้าทีมพิจารณาเหตุไม่ผ่าน",IF(OR(AA393&lt;=0,NOT(OR(AND(C393="จำหน่ายอาหาร",ISNUMBER(K393),L393="N/A"),AND(C393="ไม่จำหน่ายอาหาร",K393="N/A",ISNUMBER(L393)),AND(C393="มัสยิด",K393="N/A",L393="N/A",X393="N/A"))),AD393="รอยืนยัน",COUNT(K393:Z393)+COUNTIFS(K393:Z393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3" s="59" t="str"/>
      <x:c r="AI393" s="61"/>
    </x:row>
    <x:row r="394" ht="60" customHeight="1">
      <x:c r="A394" s="2" t="str">
        <x:v>R26-285</x:v>
      </x:c>
      <x:c r="B394" s="8" t="str">
        <x:v>Wareerak Hot Spring Wellness</x:v>
      </x:c>
      <x:c r="C394" s="59" t="str">
        <x:v>ไม่ทราบ</x:v>
      </x:c>
      <x:c r="D394" s="59" t="str">
        <x:v>ไม่ทราบ</x:v>
      </x:c>
      <x:c r="E394" s="59" t="str">
        <x:v>ไม่ทราบ</x:v>
      </x:c>
      <x:c r="F394" s="59" t="str">
        <x:v>ไม่ทราบ</x:v>
      </x:c>
      <x:c r="G394" s="59" t="str">
        <x:v>ไม่ทราบ</x:v>
      </x:c>
      <x:c r="H394" s="59" t="str">
        <x:v>N/A</x:v>
      </x:c>
      <x:c r="I394" s="59"/>
      <x:c r="J394" s="59" t="str">
        <x:v>ไม่ทราบ</x:v>
      </x:c>
      <x:c r="K394" s="59"/>
      <x:c r="L394" s="59"/>
      <x:c r="M394" s="59"/>
      <x:c r="N394" s="59"/>
      <x:c r="O394" s="59"/>
      <x:c r="P394" s="59"/>
      <x:c r="Q394" s="59"/>
      <x:c r="R394" s="59"/>
      <x:c r="S394" s="59"/>
      <x:c r="T394" s="59"/>
      <x:c r="U394" s="59"/>
      <x:c r="V394" s="59"/>
      <x:c r="W394" s="59"/>
      <x:c r="X394" s="59"/>
      <x:c r="Y394" s="59"/>
      <x:c r="Z394" s="59"/>
      <x:c r="AA394" s="8" t="str">
        <x:f>IF(C394="ไม่ทราบ","",SUMIFS($K$7:$Z$7,K394:Z394,"&lt;&gt;N/A"))</x:f>
      </x:c>
      <x:c r="AB394" s="8" t="str">
        <x:f>IF(AND(OR(AND(C394="จำหน่ายอาหาร",ISNUMBER(K394),L394="N/A"),AND(C394="ไม่จำหน่ายอาหาร",K394="N/A",ISNUMBER(L394)),AND(C394="มัสยิด",K394="N/A",L394="N/A",X394="N/A")),COUNT(K394:Z394)+COUNTIFS(K394:Z394,"N/A")=16),SUM(K394:Z394),"")</x:f>
      </x:c>
      <x:c r="AC394" s="62" t="str">
        <x:f>IF(OR(AB394="",AA394&lt;=0),"",ROUND(AB394/AA394*100,1))</x:f>
      </x:c>
      <x:c r="AD394" s="8" t="str">
        <x:f>IF(COUNTIFS(D394:H394,"ไม่ผ่าน")&gt;0,"ไม่ผ่าน",IF(COUNTIFS(D394:H394,"ไม่ทราบ")+COUNTBLANK(D394:H394)&gt;0,"รอยืนยัน","ผ่าน"))</x:f>
        <x:v>รอยืนยัน</x:v>
      </x:c>
      <x:c r="AE394" s="8" t="str">
        <x:f>IF(AF394="ใช่","ไม่ผ่านการคัดเลือก",IF(AND(AD394="ผ่าน",ISNUMBER(AC394),AC394&gt;=70),"พร้อมขาย",IF(OR(J394="ใช่",AND(ISNUMBER(AC394),AC394&gt;=50)),"พัฒนาเพื่อพร้อมขาย",IF(AND(ISNUMBER(AC394),AC394&lt;50,I394&gt;=1),"มีศักยภาพ แต่ต้องพัฒนามาตรฐาน","รอประเมิน"))))</x:f>
        <x:v>รอประเมิน</x:v>
      </x:c>
      <x:c r="AF394" s="59" t="str">
        <x:v>ไม่ทราบ</x:v>
      </x:c>
      <x:c r="AG394" s="8" t="str">
        <x:f>IF(AF394="ใช่","หัวหน้าทีมพิจารณาเหตุไม่ผ่าน",IF(OR(AA394&lt;=0,NOT(OR(AND(C394="จำหน่ายอาหาร",ISNUMBER(K394),L394="N/A"),AND(C394="ไม่จำหน่ายอาหาร",K394="N/A",ISNUMBER(L394)),AND(C394="มัสยิด",K394="N/A",L394="N/A",X394="N/A"))),AD394="รอยืนยัน",COUNT(K394:Z394)+COUNTIFS(K394:Z394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4" s="59" t="str"/>
      <x:c r="AI394" s="61"/>
    </x:row>
    <x:row r="395" ht="60" customHeight="1">
      <x:c r="A395" s="2" t="str">
        <x:v>R26-180</x:v>
      </x:c>
      <x:c r="B395" s="8" t="str">
        <x:v>ท่าปอมคลองสองน้ำ</x:v>
      </x:c>
      <x:c r="C395" s="59" t="str">
        <x:v>ไม่ทราบ</x:v>
      </x:c>
      <x:c r="D395" s="59" t="str">
        <x:v>ไม่ทราบ</x:v>
      </x:c>
      <x:c r="E395" s="59" t="str">
        <x:v>ไม่ทราบ</x:v>
      </x:c>
      <x:c r="F395" s="59" t="str">
        <x:v>ไม่ทราบ</x:v>
      </x:c>
      <x:c r="G395" s="59" t="str">
        <x:v>ไม่ทราบ</x:v>
      </x:c>
      <x:c r="H395" s="59" t="str">
        <x:v>N/A</x:v>
      </x:c>
      <x:c r="I395" s="59"/>
      <x:c r="J395" s="59" t="str">
        <x:v>ไม่ทราบ</x:v>
      </x:c>
      <x:c r="K395" s="59"/>
      <x:c r="L395" s="59"/>
      <x:c r="M395" s="59"/>
      <x:c r="N395" s="59"/>
      <x:c r="O395" s="59"/>
      <x:c r="P395" s="59"/>
      <x:c r="Q395" s="59"/>
      <x:c r="R395" s="59"/>
      <x:c r="S395" s="59"/>
      <x:c r="T395" s="59"/>
      <x:c r="U395" s="59"/>
      <x:c r="V395" s="59"/>
      <x:c r="W395" s="59"/>
      <x:c r="X395" s="59"/>
      <x:c r="Y395" s="59"/>
      <x:c r="Z395" s="59"/>
      <x:c r="AA395" s="8" t="str">
        <x:f>IF(C395="ไม่ทราบ","",SUMIFS($K$7:$Z$7,K395:Z395,"&lt;&gt;N/A"))</x:f>
      </x:c>
      <x:c r="AB395" s="8" t="str">
        <x:f>IF(AND(OR(AND(C395="จำหน่ายอาหาร",ISNUMBER(K395),L395="N/A"),AND(C395="ไม่จำหน่ายอาหาร",K395="N/A",ISNUMBER(L395)),AND(C395="มัสยิด",K395="N/A",L395="N/A",X395="N/A")),COUNT(K395:Z395)+COUNTIFS(K395:Z395,"N/A")=16),SUM(K395:Z395),"")</x:f>
      </x:c>
      <x:c r="AC395" s="62" t="str">
        <x:f>IF(OR(AB395="",AA395&lt;=0),"",ROUND(AB395/AA395*100,1))</x:f>
      </x:c>
      <x:c r="AD395" s="8" t="str">
        <x:f>IF(COUNTIFS(D395:H395,"ไม่ผ่าน")&gt;0,"ไม่ผ่าน",IF(COUNTIFS(D395:H395,"ไม่ทราบ")+COUNTBLANK(D395:H395)&gt;0,"รอยืนยัน","ผ่าน"))</x:f>
        <x:v>รอยืนยัน</x:v>
      </x:c>
      <x:c r="AE395" s="8" t="str">
        <x:f>IF(AF395="ใช่","ไม่ผ่านการคัดเลือก",IF(AND(AD395="ผ่าน",ISNUMBER(AC395),AC395&gt;=70),"พร้อมขาย",IF(OR(J395="ใช่",AND(ISNUMBER(AC395),AC395&gt;=50)),"พัฒนาเพื่อพร้อมขาย",IF(AND(ISNUMBER(AC395),AC395&lt;50,I395&gt;=1),"มีศักยภาพ แต่ต้องพัฒนามาตรฐาน","รอประเมิน"))))</x:f>
        <x:v>รอประเมิน</x:v>
      </x:c>
      <x:c r="AF395" s="59" t="str">
        <x:v>ไม่ทราบ</x:v>
      </x:c>
      <x:c r="AG395" s="8" t="str">
        <x:f>IF(AF395="ใช่","หัวหน้าทีมพิจารณาเหตุไม่ผ่าน",IF(OR(AA395&lt;=0,NOT(OR(AND(C395="จำหน่ายอาหาร",ISNUMBER(K395),L395="N/A"),AND(C395="ไม่จำหน่ายอาหาร",K395="N/A",ISNUMBER(L395)),AND(C395="มัสยิด",K395="N/A",L395="N/A",X395="N/A"))),AD395="รอยืนยัน",COUNT(K395:Z395)+COUNTIFS(K395:Z395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5" s="59" t="str"/>
      <x:c r="AI395" s="61"/>
    </x:row>
    <x:row r="396" ht="60" customHeight="1">
      <x:c r="A396" s="2" t="str">
        <x:v>R26-178</x:v>
      </x:c>
      <x:c r="B396" s="8" t="str">
        <x:v>หาดไร่เลย์</x:v>
      </x:c>
      <x:c r="C396" s="59" t="str">
        <x:v>ไม่ทราบ</x:v>
      </x:c>
      <x:c r="D396" s="59" t="str">
        <x:v>ไม่ทราบ</x:v>
      </x:c>
      <x:c r="E396" s="59" t="str">
        <x:v>ไม่ทราบ</x:v>
      </x:c>
      <x:c r="F396" s="59" t="str">
        <x:v>ไม่ทราบ</x:v>
      </x:c>
      <x:c r="G396" s="59" t="str">
        <x:v>ไม่ทราบ</x:v>
      </x:c>
      <x:c r="H396" s="59" t="str">
        <x:v>N/A</x:v>
      </x:c>
      <x:c r="I396" s="59"/>
      <x:c r="J396" s="59" t="str">
        <x:v>ไม่ทราบ</x:v>
      </x:c>
      <x:c r="K396" s="59"/>
      <x:c r="L396" s="59"/>
      <x:c r="M396" s="59"/>
      <x:c r="N396" s="59"/>
      <x:c r="O396" s="59"/>
      <x:c r="P396" s="59"/>
      <x:c r="Q396" s="59"/>
      <x:c r="R396" s="59"/>
      <x:c r="S396" s="59"/>
      <x:c r="T396" s="59"/>
      <x:c r="U396" s="59"/>
      <x:c r="V396" s="59"/>
      <x:c r="W396" s="59"/>
      <x:c r="X396" s="59"/>
      <x:c r="Y396" s="59"/>
      <x:c r="Z396" s="59"/>
      <x:c r="AA396" s="8" t="str">
        <x:f>IF(C396="ไม่ทราบ","",SUMIFS($K$7:$Z$7,K396:Z396,"&lt;&gt;N/A"))</x:f>
      </x:c>
      <x:c r="AB396" s="8" t="str">
        <x:f>IF(AND(OR(AND(C396="จำหน่ายอาหาร",ISNUMBER(K396),L396="N/A"),AND(C396="ไม่จำหน่ายอาหาร",K396="N/A",ISNUMBER(L396)),AND(C396="มัสยิด",K396="N/A",L396="N/A",X396="N/A")),COUNT(K396:Z396)+COUNTIFS(K396:Z396,"N/A")=16),SUM(K396:Z396),"")</x:f>
      </x:c>
      <x:c r="AC396" s="62" t="str">
        <x:f>IF(OR(AB396="",AA396&lt;=0),"",ROUND(AB396/AA396*100,1))</x:f>
      </x:c>
      <x:c r="AD396" s="8" t="str">
        <x:f>IF(COUNTIFS(D396:H396,"ไม่ผ่าน")&gt;0,"ไม่ผ่าน",IF(COUNTIFS(D396:H396,"ไม่ทราบ")+COUNTBLANK(D396:H396)&gt;0,"รอยืนยัน","ผ่าน"))</x:f>
        <x:v>รอยืนยัน</x:v>
      </x:c>
      <x:c r="AE396" s="8" t="str">
        <x:f>IF(AF396="ใช่","ไม่ผ่านการคัดเลือก",IF(AND(AD396="ผ่าน",ISNUMBER(AC396),AC396&gt;=70),"พร้อมขาย",IF(OR(J396="ใช่",AND(ISNUMBER(AC396),AC396&gt;=50)),"พัฒนาเพื่อพร้อมขาย",IF(AND(ISNUMBER(AC396),AC396&lt;50,I396&gt;=1),"มีศักยภาพ แต่ต้องพัฒนามาตรฐาน","รอประเมิน"))))</x:f>
        <x:v>รอประเมิน</x:v>
      </x:c>
      <x:c r="AF396" s="59" t="str">
        <x:v>ไม่ทราบ</x:v>
      </x:c>
      <x:c r="AG396" s="8" t="str">
        <x:f>IF(AF396="ใช่","หัวหน้าทีมพิจารณาเหตุไม่ผ่าน",IF(OR(AA396&lt;=0,NOT(OR(AND(C396="จำหน่ายอาหาร",ISNUMBER(K396),L396="N/A"),AND(C396="ไม่จำหน่ายอาหาร",K396="N/A",ISNUMBER(L396)),AND(C396="มัสยิด",K396="N/A",L396="N/A",X396="N/A"))),AD396="รอยืนยัน",COUNT(K396:Z396)+COUNTIFS(K396:Z396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6" s="59" t="str"/>
      <x:c r="AI396" s="61"/>
    </x:row>
    <x:row r="397" ht="60" customHeight="1">
      <x:c r="A397" s="2" t="str">
        <x:v>R26-176</x:v>
      </x:c>
      <x:c r="B397" s="8" t="str">
        <x:v>อุทยานแห่งชาติธารโบกขรณี</x:v>
      </x:c>
      <x:c r="C397" s="59" t="str">
        <x:v>ไม่ทราบ</x:v>
      </x:c>
      <x:c r="D397" s="59" t="str">
        <x:v>ไม่ทราบ</x:v>
      </x:c>
      <x:c r="E397" s="59" t="str">
        <x:v>ไม่ทราบ</x:v>
      </x:c>
      <x:c r="F397" s="59" t="str">
        <x:v>ไม่ทราบ</x:v>
      </x:c>
      <x:c r="G397" s="59" t="str">
        <x:v>ไม่ทราบ</x:v>
      </x:c>
      <x:c r="H397" s="59" t="str">
        <x:v>N/A</x:v>
      </x:c>
      <x:c r="I397" s="59"/>
      <x:c r="J397" s="59" t="str">
        <x:v>ไม่ทราบ</x:v>
      </x:c>
      <x:c r="K397" s="59"/>
      <x:c r="L397" s="59"/>
      <x:c r="M397" s="59"/>
      <x:c r="N397" s="59"/>
      <x:c r="O397" s="59"/>
      <x:c r="P397" s="59"/>
      <x:c r="Q397" s="59"/>
      <x:c r="R397" s="59"/>
      <x:c r="S397" s="59"/>
      <x:c r="T397" s="59"/>
      <x:c r="U397" s="59"/>
      <x:c r="V397" s="59"/>
      <x:c r="W397" s="59"/>
      <x:c r="X397" s="59"/>
      <x:c r="Y397" s="59"/>
      <x:c r="Z397" s="59"/>
      <x:c r="AA397" s="8" t="str">
        <x:f>IF(C397="ไม่ทราบ","",SUMIFS($K$7:$Z$7,K397:Z397,"&lt;&gt;N/A"))</x:f>
      </x:c>
      <x:c r="AB397" s="8" t="str">
        <x:f>IF(AND(OR(AND(C397="จำหน่ายอาหาร",ISNUMBER(K397),L397="N/A"),AND(C397="ไม่จำหน่ายอาหาร",K397="N/A",ISNUMBER(L397)),AND(C397="มัสยิด",K397="N/A",L397="N/A",X397="N/A")),COUNT(K397:Z397)+COUNTIFS(K397:Z397,"N/A")=16),SUM(K397:Z397),"")</x:f>
      </x:c>
      <x:c r="AC397" s="62" t="str">
        <x:f>IF(OR(AB397="",AA397&lt;=0),"",ROUND(AB397/AA397*100,1))</x:f>
      </x:c>
      <x:c r="AD397" s="8" t="str">
        <x:f>IF(COUNTIFS(D397:H397,"ไม่ผ่าน")&gt;0,"ไม่ผ่าน",IF(COUNTIFS(D397:H397,"ไม่ทราบ")+COUNTBLANK(D397:H397)&gt;0,"รอยืนยัน","ผ่าน"))</x:f>
        <x:v>รอยืนยัน</x:v>
      </x:c>
      <x:c r="AE397" s="8" t="str">
        <x:f>IF(AF397="ใช่","ไม่ผ่านการคัดเลือก",IF(AND(AD397="ผ่าน",ISNUMBER(AC397),AC397&gt;=70),"พร้อมขาย",IF(OR(J397="ใช่",AND(ISNUMBER(AC397),AC397&gt;=50)),"พัฒนาเพื่อพร้อมขาย",IF(AND(ISNUMBER(AC397),AC397&lt;50,I397&gt;=1),"มีศักยภาพ แต่ต้องพัฒนามาตรฐาน","รอประเมิน"))))</x:f>
        <x:v>รอประเมิน</x:v>
      </x:c>
      <x:c r="AF397" s="59" t="str">
        <x:v>ไม่ทราบ</x:v>
      </x:c>
      <x:c r="AG397" s="8" t="str">
        <x:f>IF(AF397="ใช่","หัวหน้าทีมพิจารณาเหตุไม่ผ่าน",IF(OR(AA397&lt;=0,NOT(OR(AND(C397="จำหน่ายอาหาร",ISNUMBER(K397),L397="N/A"),AND(C397="ไม่จำหน่ายอาหาร",K397="N/A",ISNUMBER(L397)),AND(C397="มัสยิด",K397="N/A",L397="N/A",X397="N/A"))),AD397="รอยืนยัน",COUNT(K397:Z397)+COUNTIFS(K397:Z397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7" s="59" t="str"/>
      <x:c r="AI397" s="61"/>
    </x:row>
    <x:row r="398" ht="60" customHeight="1">
      <x:c r="A398" s="2" t="str">
        <x:v>R26-183</x:v>
      </x:c>
      <x:c r="B398" s="8" t="str">
        <x:v>ชุมชนบ้านทุ่งหยีเพ็ง</x:v>
      </x:c>
      <x:c r="C398" s="59" t="str">
        <x:v>ไม่ทราบ</x:v>
      </x:c>
      <x:c r="D398" s="59" t="str">
        <x:v>ไม่ทราบ</x:v>
      </x:c>
      <x:c r="E398" s="59" t="str">
        <x:v>ไม่ทราบ</x:v>
      </x:c>
      <x:c r="F398" s="59" t="str">
        <x:v>ไม่ทราบ</x:v>
      </x:c>
      <x:c r="G398" s="59" t="str">
        <x:v>ไม่ทราบ</x:v>
      </x:c>
      <x:c r="H398" s="59" t="str">
        <x:v>N/A</x:v>
      </x:c>
      <x:c r="I398" s="59"/>
      <x:c r="J398" s="59" t="str">
        <x:v>ไม่ทราบ</x:v>
      </x:c>
      <x:c r="K398" s="59"/>
      <x:c r="L398" s="59"/>
      <x:c r="M398" s="59"/>
      <x:c r="N398" s="59"/>
      <x:c r="O398" s="59"/>
      <x:c r="P398" s="59"/>
      <x:c r="Q398" s="59"/>
      <x:c r="R398" s="59"/>
      <x:c r="S398" s="59"/>
      <x:c r="T398" s="59"/>
      <x:c r="U398" s="59"/>
      <x:c r="V398" s="59"/>
      <x:c r="W398" s="59"/>
      <x:c r="X398" s="59"/>
      <x:c r="Y398" s="59"/>
      <x:c r="Z398" s="59"/>
      <x:c r="AA398" s="8" t="str">
        <x:f>IF(C398="ไม่ทราบ","",SUMIFS($K$7:$Z$7,K398:Z398,"&lt;&gt;N/A"))</x:f>
      </x:c>
      <x:c r="AB398" s="8" t="str">
        <x:f>IF(AND(OR(AND(C398="จำหน่ายอาหาร",ISNUMBER(K398),L398="N/A"),AND(C398="ไม่จำหน่ายอาหาร",K398="N/A",ISNUMBER(L398)),AND(C398="มัสยิด",K398="N/A",L398="N/A",X398="N/A")),COUNT(K398:Z398)+COUNTIFS(K398:Z398,"N/A")=16),SUM(K398:Z398),"")</x:f>
      </x:c>
      <x:c r="AC398" s="62" t="str">
        <x:f>IF(OR(AB398="",AA398&lt;=0),"",ROUND(AB398/AA398*100,1))</x:f>
      </x:c>
      <x:c r="AD398" s="8" t="str">
        <x:f>IF(COUNTIFS(D398:H398,"ไม่ผ่าน")&gt;0,"ไม่ผ่าน",IF(COUNTIFS(D398:H398,"ไม่ทราบ")+COUNTBLANK(D398:H398)&gt;0,"รอยืนยัน","ผ่าน"))</x:f>
        <x:v>รอยืนยัน</x:v>
      </x:c>
      <x:c r="AE398" s="8" t="str">
        <x:f>IF(AF398="ใช่","ไม่ผ่านการคัดเลือก",IF(AND(AD398="ผ่าน",ISNUMBER(AC398),AC398&gt;=70),"พร้อมขาย",IF(OR(J398="ใช่",AND(ISNUMBER(AC398),AC398&gt;=50)),"พัฒนาเพื่อพร้อมขาย",IF(AND(ISNUMBER(AC398),AC398&lt;50,I398&gt;=1),"มีศักยภาพ แต่ต้องพัฒนามาตรฐาน","รอประเมิน"))))</x:f>
        <x:v>รอประเมิน</x:v>
      </x:c>
      <x:c r="AF398" s="59" t="str">
        <x:v>ไม่ทราบ</x:v>
      </x:c>
      <x:c r="AG398" s="8" t="str">
        <x:f>IF(AF398="ใช่","หัวหน้าทีมพิจารณาเหตุไม่ผ่าน",IF(OR(AA398&lt;=0,NOT(OR(AND(C398="จำหน่ายอาหาร",ISNUMBER(K398),L398="N/A"),AND(C398="ไม่จำหน่ายอาหาร",K398="N/A",ISNUMBER(L398)),AND(C398="มัสยิด",K398="N/A",L398="N/A",X398="N/A"))),AD398="รอยืนยัน",COUNT(K398:Z398)+COUNTIFS(K398:Z398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8" s="59" t="str"/>
      <x:c r="AI398" s="61"/>
    </x:row>
    <x:row r="399" ht="60" customHeight="1">
      <x:c r="A399" s="2" t="str">
        <x:v>R26-184</x:v>
      </x:c>
      <x:c r="B399" s="8" t="str">
        <x:v>ชุมชนบ้านหนองทะเล</x:v>
      </x:c>
      <x:c r="C399" s="59" t="str">
        <x:v>ไม่ทราบ</x:v>
      </x:c>
      <x:c r="D399" s="59" t="str">
        <x:v>ไม่ทราบ</x:v>
      </x:c>
      <x:c r="E399" s="59" t="str">
        <x:v>ไม่ทราบ</x:v>
      </x:c>
      <x:c r="F399" s="59" t="str">
        <x:v>ไม่ทราบ</x:v>
      </x:c>
      <x:c r="G399" s="59" t="str">
        <x:v>ไม่ทราบ</x:v>
      </x:c>
      <x:c r="H399" s="59" t="str">
        <x:v>N/A</x:v>
      </x:c>
      <x:c r="I399" s="59"/>
      <x:c r="J399" s="59" t="str">
        <x:v>ไม่ทราบ</x:v>
      </x:c>
      <x:c r="K399" s="59"/>
      <x:c r="L399" s="59"/>
      <x:c r="M399" s="59"/>
      <x:c r="N399" s="59"/>
      <x:c r="O399" s="59"/>
      <x:c r="P399" s="59"/>
      <x:c r="Q399" s="59"/>
      <x:c r="R399" s="59"/>
      <x:c r="S399" s="59"/>
      <x:c r="T399" s="59"/>
      <x:c r="U399" s="59"/>
      <x:c r="V399" s="59"/>
      <x:c r="W399" s="59"/>
      <x:c r="X399" s="59"/>
      <x:c r="Y399" s="59"/>
      <x:c r="Z399" s="59"/>
      <x:c r="AA399" s="8" t="str">
        <x:f>IF(C399="ไม่ทราบ","",SUMIFS($K$7:$Z$7,K399:Z399,"&lt;&gt;N/A"))</x:f>
      </x:c>
      <x:c r="AB399" s="8" t="str">
        <x:f>IF(AND(OR(AND(C399="จำหน่ายอาหาร",ISNUMBER(K399),L399="N/A"),AND(C399="ไม่จำหน่ายอาหาร",K399="N/A",ISNUMBER(L399)),AND(C399="มัสยิด",K399="N/A",L399="N/A",X399="N/A")),COUNT(K399:Z399)+COUNTIFS(K399:Z399,"N/A")=16),SUM(K399:Z399),"")</x:f>
      </x:c>
      <x:c r="AC399" s="62" t="str">
        <x:f>IF(OR(AB399="",AA399&lt;=0),"",ROUND(AB399/AA399*100,1))</x:f>
      </x:c>
      <x:c r="AD399" s="8" t="str">
        <x:f>IF(COUNTIFS(D399:H399,"ไม่ผ่าน")&gt;0,"ไม่ผ่าน",IF(COUNTIFS(D399:H399,"ไม่ทราบ")+COUNTBLANK(D399:H399)&gt;0,"รอยืนยัน","ผ่าน"))</x:f>
        <x:v>รอยืนยัน</x:v>
      </x:c>
      <x:c r="AE399" s="8" t="str">
        <x:f>IF(AF399="ใช่","ไม่ผ่านการคัดเลือก",IF(AND(AD399="ผ่าน",ISNUMBER(AC399),AC399&gt;=70),"พร้อมขาย",IF(OR(J399="ใช่",AND(ISNUMBER(AC399),AC399&gt;=50)),"พัฒนาเพื่อพร้อมขาย",IF(AND(ISNUMBER(AC399),AC399&lt;50,I399&gt;=1),"มีศักยภาพ แต่ต้องพัฒนามาตรฐาน","รอประเมิน"))))</x:f>
        <x:v>รอประเมิน</x:v>
      </x:c>
      <x:c r="AF399" s="59" t="str">
        <x:v>ไม่ทราบ</x:v>
      </x:c>
      <x:c r="AG399" s="8" t="str">
        <x:f>IF(AF399="ใช่","หัวหน้าทีมพิจารณาเหตุไม่ผ่าน",IF(OR(AA399&lt;=0,NOT(OR(AND(C399="จำหน่ายอาหาร",ISNUMBER(K399),L399="N/A"),AND(C399="ไม่จำหน่ายอาหาร",K399="N/A",ISNUMBER(L399)),AND(C399="มัสยิด",K399="N/A",L399="N/A",X399="N/A"))),AD399="รอยืนยัน",COUNT(K399:Z399)+COUNTIFS(K399:Z399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399" s="59" t="str"/>
      <x:c r="AI399" s="61"/>
    </x:row>
    <x:row r="400" ht="60" customHeight="1">
      <x:c r="A400" s="2" t="str">
        <x:v>R26-081</x:v>
      </x:c>
      <x:c r="B400" s="8" t="str">
        <x:v>Rimnatee Resort Trang</x:v>
      </x:c>
      <x:c r="C400" s="59" t="str">
        <x:v>ไม่ทราบ</x:v>
      </x:c>
      <x:c r="D400" s="59" t="str">
        <x:v>ไม่ทราบ</x:v>
      </x:c>
      <x:c r="E400" s="59" t="str">
        <x:v>ไม่ทราบ</x:v>
      </x:c>
      <x:c r="F400" s="59" t="str">
        <x:v>ไม่ทราบ</x:v>
      </x:c>
      <x:c r="G400" s="59" t="str">
        <x:v>ไม่ทราบ</x:v>
      </x:c>
      <x:c r="H400" s="59" t="str">
        <x:v>ไม่ทราบ</x:v>
      </x:c>
      <x:c r="I400" s="59"/>
      <x:c r="J400" s="59" t="str">
        <x:v>ไม่ทราบ</x:v>
      </x:c>
      <x:c r="K400" s="59"/>
      <x:c r="L400" s="59"/>
      <x:c r="M400" s="59"/>
      <x:c r="N400" s="59"/>
      <x:c r="O400" s="59"/>
      <x:c r="P400" s="59"/>
      <x:c r="Q400" s="59"/>
      <x:c r="R400" s="59"/>
      <x:c r="S400" s="59"/>
      <x:c r="T400" s="59"/>
      <x:c r="U400" s="59"/>
      <x:c r="V400" s="59"/>
      <x:c r="W400" s="59"/>
      <x:c r="X400" s="59"/>
      <x:c r="Y400" s="59"/>
      <x:c r="Z400" s="59"/>
      <x:c r="AA400" s="8" t="str">
        <x:f>IF(C400="ไม่ทราบ","",SUMIFS($K$7:$Z$7,K400:Z400,"&lt;&gt;N/A"))</x:f>
      </x:c>
      <x:c r="AB400" s="8" t="str">
        <x:f>IF(AND(OR(AND(C400="จำหน่ายอาหาร",ISNUMBER(K400),L400="N/A"),AND(C400="ไม่จำหน่ายอาหาร",K400="N/A",ISNUMBER(L400)),AND(C400="มัสยิด",K400="N/A",L400="N/A",X400="N/A")),COUNT(K400:Z400)+COUNTIFS(K400:Z400,"N/A")=16),SUM(K400:Z400),"")</x:f>
      </x:c>
      <x:c r="AC400" s="62" t="str">
        <x:f>IF(OR(AB400="",AA400&lt;=0),"",ROUND(AB400/AA400*100,1))</x:f>
      </x:c>
      <x:c r="AD400" s="8" t="str">
        <x:f>IF(COUNTIFS(D400:H400,"ไม่ผ่าน")&gt;0,"ไม่ผ่าน",IF(COUNTIFS(D400:H400,"ไม่ทราบ")+COUNTBLANK(D400:H400)&gt;0,"รอยืนยัน","ผ่าน"))</x:f>
        <x:v>รอยืนยัน</x:v>
      </x:c>
      <x:c r="AE400" s="8" t="str">
        <x:f>IF(AF400="ใช่","ไม่ผ่านการคัดเลือก",IF(AND(AD400="ผ่าน",ISNUMBER(AC400),AC400&gt;=70),"พร้อมขาย",IF(OR(J400="ใช่",AND(ISNUMBER(AC400),AC400&gt;=50)),"พัฒนาเพื่อพร้อมขาย",IF(AND(ISNUMBER(AC400),AC400&lt;50,I400&gt;=1),"มีศักยภาพ แต่ต้องพัฒนามาตรฐาน","รอประเมิน"))))</x:f>
        <x:v>รอประเมิน</x:v>
      </x:c>
      <x:c r="AF400" s="59" t="str">
        <x:v>ไม่ทราบ</x:v>
      </x:c>
      <x:c r="AG400" s="8" t="str">
        <x:f>IF(AF400="ใช่","หัวหน้าทีมพิจารณาเหตุไม่ผ่าน",IF(OR(AA400&lt;=0,NOT(OR(AND(C400="จำหน่ายอาหาร",ISNUMBER(K400),L400="N/A"),AND(C400="ไม่จำหน่ายอาหาร",K400="N/A",ISNUMBER(L400)),AND(C400="มัสยิด",K400="N/A",L400="N/A",X400="N/A"))),AD400="รอยืนยัน",COUNT(K400:Z400)+COUNTIFS(K400:Z400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0" s="59" t="str"/>
      <x:c r="AI400" s="61"/>
    </x:row>
    <x:row r="401" ht="60" customHeight="1">
      <x:c r="A401" s="2" t="str">
        <x:v>R26-080</x:v>
      </x:c>
      <x:c r="B401" s="8" t="str">
        <x:v>ถวิล Since 1998</x:v>
      </x:c>
      <x:c r="C401" s="59" t="str">
        <x:v>จำหน่ายอาหาร</x:v>
      </x:c>
      <x:c r="D401" s="59" t="str">
        <x:v>ไม่ทราบ</x:v>
      </x:c>
      <x:c r="E401" s="59" t="str">
        <x:v>ไม่ทราบ</x:v>
      </x:c>
      <x:c r="F401" s="59" t="str">
        <x:v>ไม่ทราบ</x:v>
      </x:c>
      <x:c r="G401" s="59" t="str">
        <x:v>ไม่ทราบ</x:v>
      </x:c>
      <x:c r="H401" s="59" t="str">
        <x:v>N/A</x:v>
      </x:c>
      <x:c r="I401" s="59"/>
      <x:c r="J401" s="59" t="str">
        <x:v>ไม่ทราบ</x:v>
      </x:c>
      <x:c r="K401" s="59"/>
      <x:c r="L401" s="59" t="str">
        <x:v>N/A</x:v>
      </x:c>
      <x:c r="M401" s="59"/>
      <x:c r="N401" s="59"/>
      <x:c r="O401" s="59"/>
      <x:c r="P401" s="59"/>
      <x:c r="Q401" s="59"/>
      <x:c r="R401" s="59"/>
      <x:c r="S401" s="59"/>
      <x:c r="T401" s="59"/>
      <x:c r="U401" s="59"/>
      <x:c r="V401" s="59"/>
      <x:c r="W401" s="59"/>
      <x:c r="X401" s="59"/>
      <x:c r="Y401" s="59"/>
      <x:c r="Z401" s="59"/>
      <x:c r="AA401" s="8" t="n">
        <x:f>IF(C401="ไม่ทราบ","",SUMIFS($K$7:$Z$7,K401:Z401,"&lt;&gt;N/A"))</x:f>
        <x:v>100</x:v>
      </x:c>
      <x:c r="AB401" s="8" t="str">
        <x:f>IF(AND(OR(AND(C401="จำหน่ายอาหาร",ISNUMBER(K401),L401="N/A"),AND(C401="ไม่จำหน่ายอาหาร",K401="N/A",ISNUMBER(L401)),AND(C401="มัสยิด",K401="N/A",L401="N/A",X401="N/A")),COUNT(K401:Z401)+COUNTIFS(K401:Z401,"N/A")=16),SUM(K401:Z401),"")</x:f>
      </x:c>
      <x:c r="AC401" s="62" t="str">
        <x:f>IF(OR(AB401="",AA401&lt;=0),"",ROUND(AB401/AA401*100,1))</x:f>
      </x:c>
      <x:c r="AD401" s="8" t="str">
        <x:f>IF(COUNTIFS(D401:H401,"ไม่ผ่าน")&gt;0,"ไม่ผ่าน",IF(COUNTIFS(D401:H401,"ไม่ทราบ")+COUNTBLANK(D401:H401)&gt;0,"รอยืนยัน","ผ่าน"))</x:f>
        <x:v>รอยืนยัน</x:v>
      </x:c>
      <x:c r="AE401" s="8" t="str">
        <x:f>IF(AF401="ใช่","ไม่ผ่านการคัดเลือก",IF(AND(AD401="ผ่าน",ISNUMBER(AC401),AC401&gt;=70),"พร้อมขาย",IF(OR(J401="ใช่",AND(ISNUMBER(AC401),AC401&gt;=50)),"พัฒนาเพื่อพร้อมขาย",IF(AND(ISNUMBER(AC401),AC401&lt;50,I401&gt;=1),"มีศักยภาพ แต่ต้องพัฒนามาตรฐาน","รอประเมิน"))))</x:f>
        <x:v>รอประเมิน</x:v>
      </x:c>
      <x:c r="AF401" s="59" t="str">
        <x:v>ไม่ทราบ</x:v>
      </x:c>
      <x:c r="AG401" s="8" t="str">
        <x:f>IF(AF401="ใช่","หัวหน้าทีมพิจารณาเหตุไม่ผ่าน",IF(OR(AA401&lt;=0,NOT(OR(AND(C401="จำหน่ายอาหาร",ISNUMBER(K401),L401="N/A"),AND(C401="ไม่จำหน่ายอาหาร",K401="N/A",ISNUMBER(L401)),AND(C401="มัสยิด",K401="N/A",L401="N/A",X401="N/A"))),AD401="รอยืนยัน",COUNT(K401:Z401)+COUNTIFS(K401:Z401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1" s="59" t="str"/>
      <x:c r="AI401" s="61"/>
    </x:row>
    <x:row r="402" ht="60" customHeight="1">
      <x:c r="A402" s="2" t="str">
        <x:v>R26-082</x:v>
      </x:c>
      <x:c r="B402" s="8" t="str">
        <x:v>เตอรัง ติ่มซำ</x:v>
      </x:c>
      <x:c r="C402" s="59" t="str">
        <x:v>จำหน่ายอาหาร</x:v>
      </x:c>
      <x:c r="D402" s="59" t="str">
        <x:v>ไม่ทราบ</x:v>
      </x:c>
      <x:c r="E402" s="59" t="str">
        <x:v>ไม่ทราบ</x:v>
      </x:c>
      <x:c r="F402" s="59" t="str">
        <x:v>ไม่ทราบ</x:v>
      </x:c>
      <x:c r="G402" s="59" t="str">
        <x:v>ไม่ทราบ</x:v>
      </x:c>
      <x:c r="H402" s="59" t="str">
        <x:v>N/A</x:v>
      </x:c>
      <x:c r="I402" s="59"/>
      <x:c r="J402" s="59" t="str">
        <x:v>ไม่ทราบ</x:v>
      </x:c>
      <x:c r="K402" s="59"/>
      <x:c r="L402" s="59" t="str">
        <x:v>N/A</x:v>
      </x:c>
      <x:c r="M402" s="59"/>
      <x:c r="N402" s="59"/>
      <x:c r="O402" s="59"/>
      <x:c r="P402" s="59"/>
      <x:c r="Q402" s="59"/>
      <x:c r="R402" s="59"/>
      <x:c r="S402" s="59"/>
      <x:c r="T402" s="59"/>
      <x:c r="U402" s="59"/>
      <x:c r="V402" s="59"/>
      <x:c r="W402" s="59"/>
      <x:c r="X402" s="59"/>
      <x:c r="Y402" s="59"/>
      <x:c r="Z402" s="59"/>
      <x:c r="AA402" s="8" t="n">
        <x:f>IF(C402="ไม่ทราบ","",SUMIFS($K$7:$Z$7,K402:Z402,"&lt;&gt;N/A"))</x:f>
        <x:v>100</x:v>
      </x:c>
      <x:c r="AB402" s="8" t="str">
        <x:f>IF(AND(OR(AND(C402="จำหน่ายอาหาร",ISNUMBER(K402),L402="N/A"),AND(C402="ไม่จำหน่ายอาหาร",K402="N/A",ISNUMBER(L402)),AND(C402="มัสยิด",K402="N/A",L402="N/A",X402="N/A")),COUNT(K402:Z402)+COUNTIFS(K402:Z402,"N/A")=16),SUM(K402:Z402),"")</x:f>
      </x:c>
      <x:c r="AC402" s="62" t="str">
        <x:f>IF(OR(AB402="",AA402&lt;=0),"",ROUND(AB402/AA402*100,1))</x:f>
      </x:c>
      <x:c r="AD402" s="8" t="str">
        <x:f>IF(COUNTIFS(D402:H402,"ไม่ผ่าน")&gt;0,"ไม่ผ่าน",IF(COUNTIFS(D402:H402,"ไม่ทราบ")+COUNTBLANK(D402:H402)&gt;0,"รอยืนยัน","ผ่าน"))</x:f>
        <x:v>รอยืนยัน</x:v>
      </x:c>
      <x:c r="AE402" s="8" t="str">
        <x:f>IF(AF402="ใช่","ไม่ผ่านการคัดเลือก",IF(AND(AD402="ผ่าน",ISNUMBER(AC402),AC402&gt;=70),"พร้อมขาย",IF(OR(J402="ใช่",AND(ISNUMBER(AC402),AC402&gt;=50)),"พัฒนาเพื่อพร้อมขาย",IF(AND(ISNUMBER(AC402),AC402&lt;50,I402&gt;=1),"มีศักยภาพ แต่ต้องพัฒนามาตรฐาน","รอประเมิน"))))</x:f>
        <x:v>รอประเมิน</x:v>
      </x:c>
      <x:c r="AF402" s="59" t="str">
        <x:v>ไม่ทราบ</x:v>
      </x:c>
      <x:c r="AG402" s="8" t="str">
        <x:f>IF(AF402="ใช่","หัวหน้าทีมพิจารณาเหตุไม่ผ่าน",IF(OR(AA402&lt;=0,NOT(OR(AND(C402="จำหน่ายอาหาร",ISNUMBER(K402),L402="N/A"),AND(C402="ไม่จำหน่ายอาหาร",K402="N/A",ISNUMBER(L402)),AND(C402="มัสยิด",K402="N/A",L402="N/A",X402="N/A"))),AD402="รอยืนยัน",COUNT(K402:Z402)+COUNTIFS(K402:Z402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2" s="59" t="str"/>
      <x:c r="AI402" s="61"/>
    </x:row>
    <x:row r="403" ht="60" customHeight="1">
      <x:c r="A403" s="2" t="str">
        <x:v>R26-084</x:v>
      </x:c>
      <x:c r="B403" s="8" t="str">
        <x:v>เสน่ห์ปู ตรัง</x:v>
      </x:c>
      <x:c r="C403" s="59" t="str">
        <x:v>จำหน่ายอาหาร</x:v>
      </x:c>
      <x:c r="D403" s="59" t="str">
        <x:v>ไม่ทราบ</x:v>
      </x:c>
      <x:c r="E403" s="59" t="str">
        <x:v>ไม่ทราบ</x:v>
      </x:c>
      <x:c r="F403" s="59" t="str">
        <x:v>ไม่ทราบ</x:v>
      </x:c>
      <x:c r="G403" s="59" t="str">
        <x:v>ไม่ทราบ</x:v>
      </x:c>
      <x:c r="H403" s="59" t="str">
        <x:v>N/A</x:v>
      </x:c>
      <x:c r="I403" s="59"/>
      <x:c r="J403" s="59" t="str">
        <x:v>ไม่ทราบ</x:v>
      </x:c>
      <x:c r="K403" s="59"/>
      <x:c r="L403" s="59" t="str">
        <x:v>N/A</x:v>
      </x:c>
      <x:c r="M403" s="59"/>
      <x:c r="N403" s="59"/>
      <x:c r="O403" s="59"/>
      <x:c r="P403" s="59"/>
      <x:c r="Q403" s="59"/>
      <x:c r="R403" s="59"/>
      <x:c r="S403" s="59"/>
      <x:c r="T403" s="59"/>
      <x:c r="U403" s="59"/>
      <x:c r="V403" s="59"/>
      <x:c r="W403" s="59"/>
      <x:c r="X403" s="59"/>
      <x:c r="Y403" s="59"/>
      <x:c r="Z403" s="59"/>
      <x:c r="AA403" s="8" t="n">
        <x:f>IF(C403="ไม่ทราบ","",SUMIFS($K$7:$Z$7,K403:Z403,"&lt;&gt;N/A"))</x:f>
        <x:v>100</x:v>
      </x:c>
      <x:c r="AB403" s="8" t="str">
        <x:f>IF(AND(OR(AND(C403="จำหน่ายอาหาร",ISNUMBER(K403),L403="N/A"),AND(C403="ไม่จำหน่ายอาหาร",K403="N/A",ISNUMBER(L403)),AND(C403="มัสยิด",K403="N/A",L403="N/A",X403="N/A")),COUNT(K403:Z403)+COUNTIFS(K403:Z403,"N/A")=16),SUM(K403:Z403),"")</x:f>
      </x:c>
      <x:c r="AC403" s="62" t="str">
        <x:f>IF(OR(AB403="",AA403&lt;=0),"",ROUND(AB403/AA403*100,1))</x:f>
      </x:c>
      <x:c r="AD403" s="8" t="str">
        <x:f>IF(COUNTIFS(D403:H403,"ไม่ผ่าน")&gt;0,"ไม่ผ่าน",IF(COUNTIFS(D403:H403,"ไม่ทราบ")+COUNTBLANK(D403:H403)&gt;0,"รอยืนยัน","ผ่าน"))</x:f>
        <x:v>รอยืนยัน</x:v>
      </x:c>
      <x:c r="AE403" s="8" t="str">
        <x:f>IF(AF403="ใช่","ไม่ผ่านการคัดเลือก",IF(AND(AD403="ผ่าน",ISNUMBER(AC403),AC403&gt;=70),"พร้อมขาย",IF(OR(J403="ใช่",AND(ISNUMBER(AC403),AC403&gt;=50)),"พัฒนาเพื่อพร้อมขาย",IF(AND(ISNUMBER(AC403),AC403&lt;50,I403&gt;=1),"มีศักยภาพ แต่ต้องพัฒนามาตรฐาน","รอประเมิน"))))</x:f>
        <x:v>รอประเมิน</x:v>
      </x:c>
      <x:c r="AF403" s="59" t="str">
        <x:v>ไม่ทราบ</x:v>
      </x:c>
      <x:c r="AG403" s="8" t="str">
        <x:f>IF(AF403="ใช่","หัวหน้าทีมพิจารณาเหตุไม่ผ่าน",IF(OR(AA403&lt;=0,NOT(OR(AND(C403="จำหน่ายอาหาร",ISNUMBER(K403),L403="N/A"),AND(C403="ไม่จำหน่ายอาหาร",K403="N/A",ISNUMBER(L403)),AND(C403="มัสยิด",K403="N/A",L403="N/A",X403="N/A"))),AD403="รอยืนยัน",COUNT(K403:Z403)+COUNTIFS(K403:Z403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3" s="59" t="str"/>
      <x:c r="AI403" s="61"/>
    </x:row>
    <x:row r="404" ht="60" customHeight="1">
      <x:c r="A404" s="2" t="str">
        <x:v>R26-083</x:v>
      </x:c>
      <x:c r="B404" s="8" t="str">
        <x:v>ถ้ำเลเขากอบ</x:v>
      </x:c>
      <x:c r="C404" s="59" t="str">
        <x:v>ไม่ทราบ</x:v>
      </x:c>
      <x:c r="D404" s="59" t="str">
        <x:v>ไม่ทราบ</x:v>
      </x:c>
      <x:c r="E404" s="59" t="str">
        <x:v>ไม่ทราบ</x:v>
      </x:c>
      <x:c r="F404" s="59" t="str">
        <x:v>ไม่ทราบ</x:v>
      </x:c>
      <x:c r="G404" s="59" t="str">
        <x:v>ไม่ทราบ</x:v>
      </x:c>
      <x:c r="H404" s="59" t="str">
        <x:v>N/A</x:v>
      </x:c>
      <x:c r="I404" s="59"/>
      <x:c r="J404" s="59" t="str">
        <x:v>ไม่ทราบ</x:v>
      </x:c>
      <x:c r="K404" s="59"/>
      <x:c r="L404" s="59"/>
      <x:c r="M404" s="59"/>
      <x:c r="N404" s="59"/>
      <x:c r="O404" s="59"/>
      <x:c r="P404" s="59"/>
      <x:c r="Q404" s="59"/>
      <x:c r="R404" s="59"/>
      <x:c r="S404" s="59"/>
      <x:c r="T404" s="59"/>
      <x:c r="U404" s="59"/>
      <x:c r="V404" s="59"/>
      <x:c r="W404" s="59"/>
      <x:c r="X404" s="59"/>
      <x:c r="Y404" s="59"/>
      <x:c r="Z404" s="59"/>
      <x:c r="AA404" s="8" t="str">
        <x:f>IF(C404="ไม่ทราบ","",SUMIFS($K$7:$Z$7,K404:Z404,"&lt;&gt;N/A"))</x:f>
      </x:c>
      <x:c r="AB404" s="8" t="str">
        <x:f>IF(AND(OR(AND(C404="จำหน่ายอาหาร",ISNUMBER(K404),L404="N/A"),AND(C404="ไม่จำหน่ายอาหาร",K404="N/A",ISNUMBER(L404)),AND(C404="มัสยิด",K404="N/A",L404="N/A",X404="N/A")),COUNT(K404:Z404)+COUNTIFS(K404:Z404,"N/A")=16),SUM(K404:Z404),"")</x:f>
      </x:c>
      <x:c r="AC404" s="62" t="str">
        <x:f>IF(OR(AB404="",AA404&lt;=0),"",ROUND(AB404/AA404*100,1))</x:f>
      </x:c>
      <x:c r="AD404" s="8" t="str">
        <x:f>IF(COUNTIFS(D404:H404,"ไม่ผ่าน")&gt;0,"ไม่ผ่าน",IF(COUNTIFS(D404:H404,"ไม่ทราบ")+COUNTBLANK(D404:H404)&gt;0,"รอยืนยัน","ผ่าน"))</x:f>
        <x:v>รอยืนยัน</x:v>
      </x:c>
      <x:c r="AE404" s="8" t="str">
        <x:f>IF(AF404="ใช่","ไม่ผ่านการคัดเลือก",IF(AND(AD404="ผ่าน",ISNUMBER(AC404),AC404&gt;=70),"พร้อมขาย",IF(OR(J404="ใช่",AND(ISNUMBER(AC404),AC404&gt;=50)),"พัฒนาเพื่อพร้อมขาย",IF(AND(ISNUMBER(AC404),AC404&lt;50,I404&gt;=1),"มีศักยภาพ แต่ต้องพัฒนามาตรฐาน","รอประเมิน"))))</x:f>
        <x:v>รอประเมิน</x:v>
      </x:c>
      <x:c r="AF404" s="59" t="str">
        <x:v>ไม่ทราบ</x:v>
      </x:c>
      <x:c r="AG404" s="8" t="str">
        <x:f>IF(AF404="ใช่","หัวหน้าทีมพิจารณาเหตุไม่ผ่าน",IF(OR(AA404&lt;=0,NOT(OR(AND(C404="จำหน่ายอาหาร",ISNUMBER(K404),L404="N/A"),AND(C404="ไม่จำหน่ายอาหาร",K404="N/A",ISNUMBER(L404)),AND(C404="มัสยิด",K404="N/A",L404="N/A",X404="N/A"))),AD404="รอยืนยัน",COUNT(K404:Z404)+COUNTIFS(K404:Z404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4" s="59" t="str"/>
      <x:c r="AI404" s="61"/>
    </x:row>
    <x:row r="405" ht="60" customHeight="1">
      <x:c r="A405" s="2" t="str">
        <x:v>R26-085</x:v>
      </x:c>
      <x:c r="B405" s="8" t="str">
        <x:v>ชุมชนบ้านน้ำราบ</x:v>
      </x:c>
      <x:c r="C405" s="59" t="str">
        <x:v>ไม่ทราบ</x:v>
      </x:c>
      <x:c r="D405" s="59" t="str">
        <x:v>ไม่ทราบ</x:v>
      </x:c>
      <x:c r="E405" s="59" t="str">
        <x:v>ไม่ทราบ</x:v>
      </x:c>
      <x:c r="F405" s="59" t="str">
        <x:v>ไม่ทราบ</x:v>
      </x:c>
      <x:c r="G405" s="59" t="str">
        <x:v>ไม่ทราบ</x:v>
      </x:c>
      <x:c r="H405" s="59" t="str">
        <x:v>N/A</x:v>
      </x:c>
      <x:c r="I405" s="59"/>
      <x:c r="J405" s="59" t="str">
        <x:v>ไม่ทราบ</x:v>
      </x:c>
      <x:c r="K405" s="59"/>
      <x:c r="L405" s="59"/>
      <x:c r="M405" s="59"/>
      <x:c r="N405" s="59"/>
      <x:c r="O405" s="59"/>
      <x:c r="P405" s="59"/>
      <x:c r="Q405" s="59"/>
      <x:c r="R405" s="59"/>
      <x:c r="S405" s="59"/>
      <x:c r="T405" s="59"/>
      <x:c r="U405" s="59"/>
      <x:c r="V405" s="59"/>
      <x:c r="W405" s="59"/>
      <x:c r="X405" s="59"/>
      <x:c r="Y405" s="59"/>
      <x:c r="Z405" s="59"/>
      <x:c r="AA405" s="8" t="str">
        <x:f>IF(C405="ไม่ทราบ","",SUMIFS($K$7:$Z$7,K405:Z405,"&lt;&gt;N/A"))</x:f>
      </x:c>
      <x:c r="AB405" s="8" t="str">
        <x:f>IF(AND(OR(AND(C405="จำหน่ายอาหาร",ISNUMBER(K405),L405="N/A"),AND(C405="ไม่จำหน่ายอาหาร",K405="N/A",ISNUMBER(L405)),AND(C405="มัสยิด",K405="N/A",L405="N/A",X405="N/A")),COUNT(K405:Z405)+COUNTIFS(K405:Z405,"N/A")=16),SUM(K405:Z405),"")</x:f>
      </x:c>
      <x:c r="AC405" s="62" t="str">
        <x:f>IF(OR(AB405="",AA405&lt;=0),"",ROUND(AB405/AA405*100,1))</x:f>
      </x:c>
      <x:c r="AD405" s="8" t="str">
        <x:f>IF(COUNTIFS(D405:H405,"ไม่ผ่าน")&gt;0,"ไม่ผ่าน",IF(COUNTIFS(D405:H405,"ไม่ทราบ")+COUNTBLANK(D405:H405)&gt;0,"รอยืนยัน","ผ่าน"))</x:f>
        <x:v>รอยืนยัน</x:v>
      </x:c>
      <x:c r="AE405" s="8" t="str">
        <x:f>IF(AF405="ใช่","ไม่ผ่านการคัดเลือก",IF(AND(AD405="ผ่าน",ISNUMBER(AC405),AC405&gt;=70),"พร้อมขาย",IF(OR(J405="ใช่",AND(ISNUMBER(AC405),AC405&gt;=50)),"พัฒนาเพื่อพร้อมขาย",IF(AND(ISNUMBER(AC405),AC405&lt;50,I405&gt;=1),"มีศักยภาพ แต่ต้องพัฒนามาตรฐาน","รอประเมิน"))))</x:f>
        <x:v>รอประเมิน</x:v>
      </x:c>
      <x:c r="AF405" s="59" t="str">
        <x:v>ไม่ทราบ</x:v>
      </x:c>
      <x:c r="AG405" s="8" t="str">
        <x:f>IF(AF405="ใช่","หัวหน้าทีมพิจารณาเหตุไม่ผ่าน",IF(OR(AA405&lt;=0,NOT(OR(AND(C405="จำหน่ายอาหาร",ISNUMBER(K405),L405="N/A"),AND(C405="ไม่จำหน่ายอาหาร",K405="N/A",ISNUMBER(L405)),AND(C405="มัสยิด",K405="N/A",L405="N/A",X405="N/A"))),AD405="รอยืนยัน",COUNT(K405:Z405)+COUNTIFS(K405:Z405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5" s="59" t="str"/>
      <x:c r="AI405" s="61"/>
    </x:row>
    <x:row r="406" ht="60" customHeight="1">
      <x:c r="A406" s="2" t="str">
        <x:v>GMHI-46</x:v>
      </x:c>
      <x:c r="B406" s="8" t="str">
        <x:v>ParimaHotel</x:v>
      </x:c>
      <x:c r="C406" s="59" t="str">
        <x:v>ไม่ทราบ</x:v>
      </x:c>
      <x:c r="D406" s="59" t="str">
        <x:v>ไม่ทราบ</x:v>
      </x:c>
      <x:c r="E406" s="59" t="str">
        <x:v>ไม่ทราบ</x:v>
      </x:c>
      <x:c r="F406" s="59" t="str">
        <x:v>ไม่ทราบ</x:v>
      </x:c>
      <x:c r="G406" s="59" t="str">
        <x:v>ไม่ทราบ</x:v>
      </x:c>
      <x:c r="H406" s="59" t="str">
        <x:v>ไม่ทราบ</x:v>
      </x:c>
      <x:c r="I406" s="59"/>
      <x:c r="J406" s="59" t="str">
        <x:v>ไม่ทราบ</x:v>
      </x:c>
      <x:c r="K406" s="59"/>
      <x:c r="L406" s="59"/>
      <x:c r="M406" s="59"/>
      <x:c r="N406" s="59"/>
      <x:c r="O406" s="59"/>
      <x:c r="P406" s="59"/>
      <x:c r="Q406" s="59"/>
      <x:c r="R406" s="59"/>
      <x:c r="S406" s="59"/>
      <x:c r="T406" s="59"/>
      <x:c r="U406" s="59"/>
      <x:c r="V406" s="59"/>
      <x:c r="W406" s="59"/>
      <x:c r="X406" s="59"/>
      <x:c r="Y406" s="59"/>
      <x:c r="Z406" s="59"/>
      <x:c r="AA406" s="8" t="str">
        <x:f>IF(C406="ไม่ทราบ","",SUMIFS($K$7:$Z$7,K406:Z406,"&lt;&gt;N/A"))</x:f>
      </x:c>
      <x:c r="AB406" s="8" t="str">
        <x:f>IF(AND(OR(AND(C406="จำหน่ายอาหาร",ISNUMBER(K406),L406="N/A"),AND(C406="ไม่จำหน่ายอาหาร",K406="N/A",ISNUMBER(L406)),AND(C406="มัสยิด",K406="N/A",L406="N/A",X406="N/A")),COUNT(K406:Z406)+COUNTIFS(K406:Z406,"N/A")=16),SUM(K406:Z406),"")</x:f>
      </x:c>
      <x:c r="AC406" s="62" t="str">
        <x:f>IF(OR(AB406="",AA406&lt;=0),"",ROUND(AB406/AA406*100,1))</x:f>
      </x:c>
      <x:c r="AD406" s="8" t="str">
        <x:f>IF(COUNTIFS(D406:H406,"ไม่ผ่าน")&gt;0,"ไม่ผ่าน",IF(COUNTIFS(D406:H406,"ไม่ทราบ")+COUNTBLANK(D406:H406)&gt;0,"รอยืนยัน","ผ่าน"))</x:f>
        <x:v>รอยืนยัน</x:v>
      </x:c>
      <x:c r="AE406" s="8" t="str">
        <x:f>IF(AF406="ใช่","ไม่ผ่านการคัดเลือก",IF(AND(AD406="ผ่าน",ISNUMBER(AC406),AC406&gt;=70),"พร้อมขาย",IF(OR(J406="ใช่",AND(ISNUMBER(AC406),AC406&gt;=50)),"พัฒนาเพื่อพร้อมขาย",IF(AND(ISNUMBER(AC406),AC406&lt;50,I406&gt;=1),"มีศักยภาพ แต่ต้องพัฒนามาตรฐาน","รอประเมิน"))))</x:f>
        <x:v>รอประเมิน</x:v>
      </x:c>
      <x:c r="AF406" s="59" t="str">
        <x:v>ไม่ทราบ</x:v>
      </x:c>
      <x:c r="AG406" s="8" t="str">
        <x:f>IF(AF406="ใช่","หัวหน้าทีมพิจารณาเหตุไม่ผ่าน",IF(OR(AA406&lt;=0,NOT(OR(AND(C406="จำหน่ายอาหาร",ISNUMBER(K406),L406="N/A"),AND(C406="ไม่จำหน่ายอาหาร",K406="N/A",ISNUMBER(L406)),AND(C406="มัสยิด",K406="N/A",L406="N/A",X406="N/A"))),AD406="รอยืนยัน",COUNT(K406:Z406)+COUNTIFS(K406:Z406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6" s="59" t="str"/>
      <x:c r="AI406" s="61"/>
    </x:row>
    <x:row r="407" ht="60" customHeight="1">
      <x:c r="A407" s="2" t="str">
        <x:v>R26-386</x:v>
      </x:c>
      <x:c r="B407" s="8" t="str">
        <x:v>Rua Rasada Hotel Trang</x:v>
      </x:c>
      <x:c r="C407" s="59" t="str">
        <x:v>ไม่ทราบ</x:v>
      </x:c>
      <x:c r="D407" s="59" t="str">
        <x:v>ไม่ทราบ</x:v>
      </x:c>
      <x:c r="E407" s="59" t="str">
        <x:v>ไม่ทราบ</x:v>
      </x:c>
      <x:c r="F407" s="59" t="str">
        <x:v>ไม่ทราบ</x:v>
      </x:c>
      <x:c r="G407" s="59" t="str">
        <x:v>ไม่ทราบ</x:v>
      </x:c>
      <x:c r="H407" s="59" t="str">
        <x:v>ไม่ทราบ</x:v>
      </x:c>
      <x:c r="I407" s="59"/>
      <x:c r="J407" s="59" t="str">
        <x:v>ไม่ทราบ</x:v>
      </x:c>
      <x:c r="K407" s="59"/>
      <x:c r="L407" s="59"/>
      <x:c r="M407" s="59"/>
      <x:c r="N407" s="59"/>
      <x:c r="O407" s="59"/>
      <x:c r="P407" s="59"/>
      <x:c r="Q407" s="59"/>
      <x:c r="R407" s="59"/>
      <x:c r="S407" s="59"/>
      <x:c r="T407" s="59"/>
      <x:c r="U407" s="59"/>
      <x:c r="V407" s="59"/>
      <x:c r="W407" s="59"/>
      <x:c r="X407" s="59"/>
      <x:c r="Y407" s="59"/>
      <x:c r="Z407" s="59"/>
      <x:c r="AA407" s="8" t="str">
        <x:f>IF(C407="ไม่ทราบ","",SUMIFS($K$7:$Z$7,K407:Z407,"&lt;&gt;N/A"))</x:f>
      </x:c>
      <x:c r="AB407" s="8" t="str">
        <x:f>IF(AND(OR(AND(C407="จำหน่ายอาหาร",ISNUMBER(K407),L407="N/A"),AND(C407="ไม่จำหน่ายอาหาร",K407="N/A",ISNUMBER(L407)),AND(C407="มัสยิด",K407="N/A",L407="N/A",X407="N/A")),COUNT(K407:Z407)+COUNTIFS(K407:Z407,"N/A")=16),SUM(K407:Z407),"")</x:f>
      </x:c>
      <x:c r="AC407" s="62" t="str">
        <x:f>IF(OR(AB407="",AA407&lt;=0),"",ROUND(AB407/AA407*100,1))</x:f>
      </x:c>
      <x:c r="AD407" s="8" t="str">
        <x:f>IF(COUNTIFS(D407:H407,"ไม่ผ่าน")&gt;0,"ไม่ผ่าน",IF(COUNTIFS(D407:H407,"ไม่ทราบ")+COUNTBLANK(D407:H407)&gt;0,"รอยืนยัน","ผ่าน"))</x:f>
        <x:v>รอยืนยัน</x:v>
      </x:c>
      <x:c r="AE407" s="8" t="str">
        <x:f>IF(AF407="ใช่","ไม่ผ่านการคัดเลือก",IF(AND(AD407="ผ่าน",ISNUMBER(AC407),AC407&gt;=70),"พร้อมขาย",IF(OR(J407="ใช่",AND(ISNUMBER(AC407),AC407&gt;=50)),"พัฒนาเพื่อพร้อมขาย",IF(AND(ISNUMBER(AC407),AC407&lt;50,I407&gt;=1),"มีศักยภาพ แต่ต้องพัฒนามาตรฐาน","รอประเมิน"))))</x:f>
        <x:v>รอประเมิน</x:v>
      </x:c>
      <x:c r="AF407" s="59" t="str">
        <x:v>ไม่ทราบ</x:v>
      </x:c>
      <x:c r="AG407" s="8" t="str">
        <x:f>IF(AF407="ใช่","หัวหน้าทีมพิจารณาเหตุไม่ผ่าน",IF(OR(AA407&lt;=0,NOT(OR(AND(C407="จำหน่ายอาหาร",ISNUMBER(K407),L407="N/A"),AND(C407="ไม่จำหน่ายอาหาร",K407="N/A",ISNUMBER(L407)),AND(C407="มัสยิด",K407="N/A",L407="N/A",X407="N/A"))),AD407="รอยืนยัน",COUNT(K407:Z407)+COUNTIFS(K407:Z407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7" s="59" t="str"/>
      <x:c r="AI407" s="61"/>
    </x:row>
    <x:row r="408" ht="60" customHeight="1">
      <x:c r="A408" s="2" t="str">
        <x:v>GMHI-6</x:v>
      </x:c>
      <x:c r="B408" s="8" t="str">
        <x:v>The Three Sleep</x:v>
      </x:c>
      <x:c r="C408" s="59" t="str">
        <x:v>ไม่ทราบ</x:v>
      </x:c>
      <x:c r="D408" s="59" t="str">
        <x:v>ไม่ทราบ</x:v>
      </x:c>
      <x:c r="E408" s="59" t="str">
        <x:v>ไม่ทราบ</x:v>
      </x:c>
      <x:c r="F408" s="59" t="str">
        <x:v>ไม่ทราบ</x:v>
      </x:c>
      <x:c r="G408" s="59" t="str">
        <x:v>ไม่ทราบ</x:v>
      </x:c>
      <x:c r="H408" s="59" t="str">
        <x:v>ไม่ทราบ</x:v>
      </x:c>
      <x:c r="I408" s="59"/>
      <x:c r="J408" s="59" t="str">
        <x:v>ไม่ทราบ</x:v>
      </x:c>
      <x:c r="K408" s="59"/>
      <x:c r="L408" s="59"/>
      <x:c r="M408" s="59"/>
      <x:c r="N408" s="59"/>
      <x:c r="O408" s="59"/>
      <x:c r="P408" s="59"/>
      <x:c r="Q408" s="59"/>
      <x:c r="R408" s="59"/>
      <x:c r="S408" s="59"/>
      <x:c r="T408" s="59"/>
      <x:c r="U408" s="59"/>
      <x:c r="V408" s="59"/>
      <x:c r="W408" s="59"/>
      <x:c r="X408" s="59"/>
      <x:c r="Y408" s="59"/>
      <x:c r="Z408" s="59"/>
      <x:c r="AA408" s="8" t="str">
        <x:f>IF(C408="ไม่ทราบ","",SUMIFS($K$7:$Z$7,K408:Z408,"&lt;&gt;N/A"))</x:f>
      </x:c>
      <x:c r="AB408" s="8" t="str">
        <x:f>IF(AND(OR(AND(C408="จำหน่ายอาหาร",ISNUMBER(K408),L408="N/A"),AND(C408="ไม่จำหน่ายอาหาร",K408="N/A",ISNUMBER(L408)),AND(C408="มัสยิด",K408="N/A",L408="N/A",X408="N/A")),COUNT(K408:Z408)+COUNTIFS(K408:Z408,"N/A")=16),SUM(K408:Z408),"")</x:f>
      </x:c>
      <x:c r="AC408" s="62" t="str">
        <x:f>IF(OR(AB408="",AA408&lt;=0),"",ROUND(AB408/AA408*100,1))</x:f>
      </x:c>
      <x:c r="AD408" s="8" t="str">
        <x:f>IF(COUNTIFS(D408:H408,"ไม่ผ่าน")&gt;0,"ไม่ผ่าน",IF(COUNTIFS(D408:H408,"ไม่ทราบ")+COUNTBLANK(D408:H408)&gt;0,"รอยืนยัน","ผ่าน"))</x:f>
        <x:v>รอยืนยัน</x:v>
      </x:c>
      <x:c r="AE408" s="8" t="str">
        <x:f>IF(AF408="ใช่","ไม่ผ่านการคัดเลือก",IF(AND(AD408="ผ่าน",ISNUMBER(AC408),AC408&gt;=70),"พร้อมขาย",IF(OR(J408="ใช่",AND(ISNUMBER(AC408),AC408&gt;=50)),"พัฒนาเพื่อพร้อมขาย",IF(AND(ISNUMBER(AC408),AC408&lt;50,I408&gt;=1),"มีศักยภาพ แต่ต้องพัฒนามาตรฐาน","รอประเมิน"))))</x:f>
        <x:v>รอประเมิน</x:v>
      </x:c>
      <x:c r="AF408" s="59" t="str">
        <x:v>ไม่ทราบ</x:v>
      </x:c>
      <x:c r="AG408" s="8" t="str">
        <x:f>IF(AF408="ใช่","หัวหน้าทีมพิจารณาเหตุไม่ผ่าน",IF(OR(AA408&lt;=0,NOT(OR(AND(C408="จำหน่ายอาหาร",ISNUMBER(K408),L408="N/A"),AND(C408="ไม่จำหน่ายอาหาร",K408="N/A",ISNUMBER(L408)),AND(C408="มัสยิด",K408="N/A",L408="N/A",X408="N/A"))),AD408="รอยืนยัน",COUNT(K408:Z408)+COUNTIFS(K408:Z408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8" s="59" t="str"/>
      <x:c r="AI408" s="61"/>
    </x:row>
    <x:row r="409" ht="60" customHeight="1">
      <x:c r="A409" s="2" t="str">
        <x:v>R26-357</x:v>
      </x:c>
      <x:c r="B409" s="8" t="str">
        <x:v>ร้านทางเลือก ตรัง</x:v>
      </x:c>
      <x:c r="C409" s="59" t="str">
        <x:v>จำหน่ายอาหาร</x:v>
      </x:c>
      <x:c r="D409" s="59" t="str">
        <x:v>ไม่ทราบ</x:v>
      </x:c>
      <x:c r="E409" s="59" t="str">
        <x:v>ไม่ทราบ</x:v>
      </x:c>
      <x:c r="F409" s="59" t="str">
        <x:v>ไม่ทราบ</x:v>
      </x:c>
      <x:c r="G409" s="59" t="str">
        <x:v>ไม่ทราบ</x:v>
      </x:c>
      <x:c r="H409" s="59" t="str">
        <x:v>N/A</x:v>
      </x:c>
      <x:c r="I409" s="59"/>
      <x:c r="J409" s="59" t="str">
        <x:v>ไม่ทราบ</x:v>
      </x:c>
      <x:c r="K409" s="59"/>
      <x:c r="L409" s="59" t="str">
        <x:v>N/A</x:v>
      </x:c>
      <x:c r="M409" s="59"/>
      <x:c r="N409" s="59"/>
      <x:c r="O409" s="59"/>
      <x:c r="P409" s="59"/>
      <x:c r="Q409" s="59"/>
      <x:c r="R409" s="59"/>
      <x:c r="S409" s="59"/>
      <x:c r="T409" s="59"/>
      <x:c r="U409" s="59"/>
      <x:c r="V409" s="59"/>
      <x:c r="W409" s="59"/>
      <x:c r="X409" s="59"/>
      <x:c r="Y409" s="59"/>
      <x:c r="Z409" s="59"/>
      <x:c r="AA409" s="8" t="n">
        <x:f>IF(C409="ไม่ทราบ","",SUMIFS($K$7:$Z$7,K409:Z409,"&lt;&gt;N/A"))</x:f>
        <x:v>100</x:v>
      </x:c>
      <x:c r="AB409" s="8" t="str">
        <x:f>IF(AND(OR(AND(C409="จำหน่ายอาหาร",ISNUMBER(K409),L409="N/A"),AND(C409="ไม่จำหน่ายอาหาร",K409="N/A",ISNUMBER(L409)),AND(C409="มัสยิด",K409="N/A",L409="N/A",X409="N/A")),COUNT(K409:Z409)+COUNTIFS(K409:Z409,"N/A")=16),SUM(K409:Z409),"")</x:f>
      </x:c>
      <x:c r="AC409" s="62" t="str">
        <x:f>IF(OR(AB409="",AA409&lt;=0),"",ROUND(AB409/AA409*100,1))</x:f>
      </x:c>
      <x:c r="AD409" s="8" t="str">
        <x:f>IF(COUNTIFS(D409:H409,"ไม่ผ่าน")&gt;0,"ไม่ผ่าน",IF(COUNTIFS(D409:H409,"ไม่ทราบ")+COUNTBLANK(D409:H409)&gt;0,"รอยืนยัน","ผ่าน"))</x:f>
        <x:v>รอยืนยัน</x:v>
      </x:c>
      <x:c r="AE409" s="8" t="str">
        <x:f>IF(AF409="ใช่","ไม่ผ่านการคัดเลือก",IF(AND(AD409="ผ่าน",ISNUMBER(AC409),AC409&gt;=70),"พร้อมขาย",IF(OR(J409="ใช่",AND(ISNUMBER(AC409),AC409&gt;=50)),"พัฒนาเพื่อพร้อมขาย",IF(AND(ISNUMBER(AC409),AC409&lt;50,I409&gt;=1),"มีศักยภาพ แต่ต้องพัฒนามาตรฐาน","รอประเมิน"))))</x:f>
        <x:v>รอประเมิน</x:v>
      </x:c>
      <x:c r="AF409" s="59" t="str">
        <x:v>ไม่ทราบ</x:v>
      </x:c>
      <x:c r="AG409" s="8" t="str">
        <x:f>IF(AF409="ใช่","หัวหน้าทีมพิจารณาเหตุไม่ผ่าน",IF(OR(AA409&lt;=0,NOT(OR(AND(C409="จำหน่ายอาหาร",ISNUMBER(K409),L409="N/A"),AND(C409="ไม่จำหน่ายอาหาร",K409="N/A",ISNUMBER(L409)),AND(C409="มัสยิด",K409="N/A",L409="N/A",X409="N/A"))),AD409="รอยืนยัน",COUNT(K409:Z409)+COUNTIFS(K409:Z409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09" s="59" t="str"/>
      <x:c r="AI409" s="61"/>
    </x:row>
    <x:row r="410" ht="60" customHeight="1">
      <x:c r="A410" s="2" t="str">
        <x:v>R26-356</x:v>
      </x:c>
      <x:c r="B410" s="8" t="str">
        <x:v>ฮานีส สวนอาหารฮาลาล</x:v>
      </x:c>
      <x:c r="C410" s="59" t="str">
        <x:v>จำหน่ายอาหาร</x:v>
      </x:c>
      <x:c r="D410" s="59" t="str">
        <x:v>ไม่ทราบ</x:v>
      </x:c>
      <x:c r="E410" s="59" t="str">
        <x:v>ไม่ทราบ</x:v>
      </x:c>
      <x:c r="F410" s="59" t="str">
        <x:v>ไม่ทราบ</x:v>
      </x:c>
      <x:c r="G410" s="59" t="str">
        <x:v>ไม่ทราบ</x:v>
      </x:c>
      <x:c r="H410" s="59" t="str">
        <x:v>N/A</x:v>
      </x:c>
      <x:c r="I410" s="59"/>
      <x:c r="J410" s="59" t="str">
        <x:v>ไม่ทราบ</x:v>
      </x:c>
      <x:c r="K410" s="59"/>
      <x:c r="L410" s="59" t="str">
        <x:v>N/A</x:v>
      </x:c>
      <x:c r="M410" s="59"/>
      <x:c r="N410" s="59"/>
      <x:c r="O410" s="59"/>
      <x:c r="P410" s="59"/>
      <x:c r="Q410" s="59"/>
      <x:c r="R410" s="59"/>
      <x:c r="S410" s="59"/>
      <x:c r="T410" s="59"/>
      <x:c r="U410" s="59"/>
      <x:c r="V410" s="59"/>
      <x:c r="W410" s="59"/>
      <x:c r="X410" s="59"/>
      <x:c r="Y410" s="59"/>
      <x:c r="Z410" s="59"/>
      <x:c r="AA410" s="8" t="n">
        <x:f>IF(C410="ไม่ทราบ","",SUMIFS($K$7:$Z$7,K410:Z410,"&lt;&gt;N/A"))</x:f>
        <x:v>100</x:v>
      </x:c>
      <x:c r="AB410" s="8" t="str">
        <x:f>IF(AND(OR(AND(C410="จำหน่ายอาหาร",ISNUMBER(K410),L410="N/A"),AND(C410="ไม่จำหน่ายอาหาร",K410="N/A",ISNUMBER(L410)),AND(C410="มัสยิด",K410="N/A",L410="N/A",X410="N/A")),COUNT(K410:Z410)+COUNTIFS(K410:Z410,"N/A")=16),SUM(K410:Z410),"")</x:f>
      </x:c>
      <x:c r="AC410" s="62" t="str">
        <x:f>IF(OR(AB410="",AA410&lt;=0),"",ROUND(AB410/AA410*100,1))</x:f>
      </x:c>
      <x:c r="AD410" s="8" t="str">
        <x:f>IF(COUNTIFS(D410:H410,"ไม่ผ่าน")&gt;0,"ไม่ผ่าน",IF(COUNTIFS(D410:H410,"ไม่ทราบ")+COUNTBLANK(D410:H410)&gt;0,"รอยืนยัน","ผ่าน"))</x:f>
        <x:v>รอยืนยัน</x:v>
      </x:c>
      <x:c r="AE410" s="8" t="str">
        <x:f>IF(AF410="ใช่","ไม่ผ่านการคัดเลือก",IF(AND(AD410="ผ่าน",ISNUMBER(AC410),AC410&gt;=70),"พร้อมขาย",IF(OR(J410="ใช่",AND(ISNUMBER(AC410),AC410&gt;=50)),"พัฒนาเพื่อพร้อมขาย",IF(AND(ISNUMBER(AC410),AC410&lt;50,I410&gt;=1),"มีศักยภาพ แต่ต้องพัฒนามาตรฐาน","รอประเมิน"))))</x:f>
        <x:v>รอประเมิน</x:v>
      </x:c>
      <x:c r="AF410" s="59" t="str">
        <x:v>ไม่ทราบ</x:v>
      </x:c>
      <x:c r="AG410" s="8" t="str">
        <x:f>IF(AF410="ใช่","หัวหน้าทีมพิจารณาเหตุไม่ผ่าน",IF(OR(AA410&lt;=0,NOT(OR(AND(C410="จำหน่ายอาหาร",ISNUMBER(K410),L410="N/A"),AND(C410="ไม่จำหน่ายอาหาร",K410="N/A",ISNUMBER(L410)),AND(C410="มัสยิด",K410="N/A",L410="N/A",X410="N/A"))),AD410="รอยืนยัน",COUNT(K410:Z410)+COUNTIFS(K410:Z410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0" s="59" t="str"/>
      <x:c r="AI410" s="61"/>
    </x:row>
    <x:row r="411" ht="60" customHeight="1">
      <x:c r="A411" s="2" t="str">
        <x:v>R26-359</x:v>
      </x:c>
      <x:c r="B411" s="8" t="str">
        <x:v>โรตีเมืองตรัง</x:v>
      </x:c>
      <x:c r="C411" s="59" t="str">
        <x:v>จำหน่ายอาหาร</x:v>
      </x:c>
      <x:c r="D411" s="59" t="str">
        <x:v>ไม่ทราบ</x:v>
      </x:c>
      <x:c r="E411" s="59" t="str">
        <x:v>ไม่ทราบ</x:v>
      </x:c>
      <x:c r="F411" s="59" t="str">
        <x:v>ไม่ทราบ</x:v>
      </x:c>
      <x:c r="G411" s="59" t="str">
        <x:v>ไม่ทราบ</x:v>
      </x:c>
      <x:c r="H411" s="59" t="str">
        <x:v>N/A</x:v>
      </x:c>
      <x:c r="I411" s="59"/>
      <x:c r="J411" s="59" t="str">
        <x:v>ไม่ทราบ</x:v>
      </x:c>
      <x:c r="K411" s="59"/>
      <x:c r="L411" s="59" t="str">
        <x:v>N/A</x:v>
      </x:c>
      <x:c r="M411" s="59"/>
      <x:c r="N411" s="59"/>
      <x:c r="O411" s="59"/>
      <x:c r="P411" s="59"/>
      <x:c r="Q411" s="59"/>
      <x:c r="R411" s="59"/>
      <x:c r="S411" s="59"/>
      <x:c r="T411" s="59"/>
      <x:c r="U411" s="59"/>
      <x:c r="V411" s="59"/>
      <x:c r="W411" s="59"/>
      <x:c r="X411" s="59"/>
      <x:c r="Y411" s="59"/>
      <x:c r="Z411" s="59"/>
      <x:c r="AA411" s="8" t="n">
        <x:f>IF(C411="ไม่ทราบ","",SUMIFS($K$7:$Z$7,K411:Z411,"&lt;&gt;N/A"))</x:f>
        <x:v>100</x:v>
      </x:c>
      <x:c r="AB411" s="8" t="str">
        <x:f>IF(AND(OR(AND(C411="จำหน่ายอาหาร",ISNUMBER(K411),L411="N/A"),AND(C411="ไม่จำหน่ายอาหาร",K411="N/A",ISNUMBER(L411)),AND(C411="มัสยิด",K411="N/A",L411="N/A",X411="N/A")),COUNT(K411:Z411)+COUNTIFS(K411:Z411,"N/A")=16),SUM(K411:Z411),"")</x:f>
      </x:c>
      <x:c r="AC411" s="62" t="str">
        <x:f>IF(OR(AB411="",AA411&lt;=0),"",ROUND(AB411/AA411*100,1))</x:f>
      </x:c>
      <x:c r="AD411" s="8" t="str">
        <x:f>IF(COUNTIFS(D411:H411,"ไม่ผ่าน")&gt;0,"ไม่ผ่าน",IF(COUNTIFS(D411:H411,"ไม่ทราบ")+COUNTBLANK(D411:H411)&gt;0,"รอยืนยัน","ผ่าน"))</x:f>
        <x:v>รอยืนยัน</x:v>
      </x:c>
      <x:c r="AE411" s="8" t="str">
        <x:f>IF(AF411="ใช่","ไม่ผ่านการคัดเลือก",IF(AND(AD411="ผ่าน",ISNUMBER(AC411),AC411&gt;=70),"พร้อมขาย",IF(OR(J411="ใช่",AND(ISNUMBER(AC411),AC411&gt;=50)),"พัฒนาเพื่อพร้อมขาย",IF(AND(ISNUMBER(AC411),AC411&lt;50,I411&gt;=1),"มีศักยภาพ แต่ต้องพัฒนามาตรฐาน","รอประเมิน"))))</x:f>
        <x:v>รอประเมิน</x:v>
      </x:c>
      <x:c r="AF411" s="59" t="str">
        <x:v>ไม่ทราบ</x:v>
      </x:c>
      <x:c r="AG411" s="8" t="str">
        <x:f>IF(AF411="ใช่","หัวหน้าทีมพิจารณาเหตุไม่ผ่าน",IF(OR(AA411&lt;=0,NOT(OR(AND(C411="จำหน่ายอาหาร",ISNUMBER(K411),L411="N/A"),AND(C411="ไม่จำหน่ายอาหาร",K411="N/A",ISNUMBER(L411)),AND(C411="มัสยิด",K411="N/A",L411="N/A",X411="N/A"))),AD411="รอยืนยัน",COUNT(K411:Z411)+COUNTIFS(K411:Z411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1" s="59" t="str"/>
      <x:c r="AI411" s="61"/>
    </x:row>
    <x:row r="412" ht="60" customHeight="1">
      <x:c r="A412" s="2" t="str">
        <x:v>R26-288</x:v>
      </x:c>
      <x:c r="B412" s="8" t="str">
        <x:v>Let's Relax Spa Trang Rua Rasada</x:v>
      </x:c>
      <x:c r="C412" s="59" t="str">
        <x:v>ไม่ทราบ</x:v>
      </x:c>
      <x:c r="D412" s="59" t="str">
        <x:v>ไม่ทราบ</x:v>
      </x:c>
      <x:c r="E412" s="59" t="str">
        <x:v>ไม่ทราบ</x:v>
      </x:c>
      <x:c r="F412" s="59" t="str">
        <x:v>ไม่ทราบ</x:v>
      </x:c>
      <x:c r="G412" s="59" t="str">
        <x:v>ไม่ทราบ</x:v>
      </x:c>
      <x:c r="H412" s="59" t="str">
        <x:v>N/A</x:v>
      </x:c>
      <x:c r="I412" s="59"/>
      <x:c r="J412" s="59" t="str">
        <x:v>ไม่ทราบ</x:v>
      </x:c>
      <x:c r="K412" s="59"/>
      <x:c r="L412" s="59"/>
      <x:c r="M412" s="59"/>
      <x:c r="N412" s="59"/>
      <x:c r="O412" s="59"/>
      <x:c r="P412" s="59"/>
      <x:c r="Q412" s="59"/>
      <x:c r="R412" s="59"/>
      <x:c r="S412" s="59"/>
      <x:c r="T412" s="59"/>
      <x:c r="U412" s="59"/>
      <x:c r="V412" s="59"/>
      <x:c r="W412" s="59"/>
      <x:c r="X412" s="59"/>
      <x:c r="Y412" s="59"/>
      <x:c r="Z412" s="59"/>
      <x:c r="AA412" s="8" t="str">
        <x:f>IF(C412="ไม่ทราบ","",SUMIFS($K$7:$Z$7,K412:Z412,"&lt;&gt;N/A"))</x:f>
      </x:c>
      <x:c r="AB412" s="8" t="str">
        <x:f>IF(AND(OR(AND(C412="จำหน่ายอาหาร",ISNUMBER(K412),L412="N/A"),AND(C412="ไม่จำหน่ายอาหาร",K412="N/A",ISNUMBER(L412)),AND(C412="มัสยิด",K412="N/A",L412="N/A",X412="N/A")),COUNT(K412:Z412)+COUNTIFS(K412:Z412,"N/A")=16),SUM(K412:Z412),"")</x:f>
      </x:c>
      <x:c r="AC412" s="62" t="str">
        <x:f>IF(OR(AB412="",AA412&lt;=0),"",ROUND(AB412/AA412*100,1))</x:f>
      </x:c>
      <x:c r="AD412" s="8" t="str">
        <x:f>IF(COUNTIFS(D412:H412,"ไม่ผ่าน")&gt;0,"ไม่ผ่าน",IF(COUNTIFS(D412:H412,"ไม่ทราบ")+COUNTBLANK(D412:H412)&gt;0,"รอยืนยัน","ผ่าน"))</x:f>
        <x:v>รอยืนยัน</x:v>
      </x:c>
      <x:c r="AE412" s="8" t="str">
        <x:f>IF(AF412="ใช่","ไม่ผ่านการคัดเลือก",IF(AND(AD412="ผ่าน",ISNUMBER(AC412),AC412&gt;=70),"พร้อมขาย",IF(OR(J412="ใช่",AND(ISNUMBER(AC412),AC412&gt;=50)),"พัฒนาเพื่อพร้อมขาย",IF(AND(ISNUMBER(AC412),AC412&lt;50,I412&gt;=1),"มีศักยภาพ แต่ต้องพัฒนามาตรฐาน","รอประเมิน"))))</x:f>
        <x:v>รอประเมิน</x:v>
      </x:c>
      <x:c r="AF412" s="59" t="str">
        <x:v>ไม่ทราบ</x:v>
      </x:c>
      <x:c r="AG412" s="8" t="str">
        <x:f>IF(AF412="ใช่","หัวหน้าทีมพิจารณาเหตุไม่ผ่าน",IF(OR(AA412&lt;=0,NOT(OR(AND(C412="จำหน่ายอาหาร",ISNUMBER(K412),L412="N/A"),AND(C412="ไม่จำหน่ายอาหาร",K412="N/A",ISNUMBER(L412)),AND(C412="มัสยิด",K412="N/A",L412="N/A",X412="N/A"))),AD412="รอยืนยัน",COUNT(K412:Z412)+COUNTIFS(K412:Z412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2" s="59" t="str"/>
      <x:c r="AI412" s="61"/>
    </x:row>
    <x:row r="413" ht="60" customHeight="1">
      <x:c r="A413" s="2" t="str">
        <x:v>R26-187</x:v>
      </x:c>
      <x:c r="B413" s="8" t="str">
        <x:v>น้ำตกโตนเต๊ะ</x:v>
      </x:c>
      <x:c r="C413" s="59" t="str">
        <x:v>ไม่ทราบ</x:v>
      </x:c>
      <x:c r="D413" s="59" t="str">
        <x:v>ไม่ทราบ</x:v>
      </x:c>
      <x:c r="E413" s="59" t="str">
        <x:v>ไม่ทราบ</x:v>
      </x:c>
      <x:c r="F413" s="59" t="str">
        <x:v>ไม่ทราบ</x:v>
      </x:c>
      <x:c r="G413" s="59" t="str">
        <x:v>ไม่ทราบ</x:v>
      </x:c>
      <x:c r="H413" s="59" t="str">
        <x:v>N/A</x:v>
      </x:c>
      <x:c r="I413" s="59"/>
      <x:c r="J413" s="59" t="str">
        <x:v>ไม่ทราบ</x:v>
      </x:c>
      <x:c r="K413" s="59"/>
      <x:c r="L413" s="59"/>
      <x:c r="M413" s="59"/>
      <x:c r="N413" s="59"/>
      <x:c r="O413" s="59"/>
      <x:c r="P413" s="59"/>
      <x:c r="Q413" s="59"/>
      <x:c r="R413" s="59"/>
      <x:c r="S413" s="59"/>
      <x:c r="T413" s="59"/>
      <x:c r="U413" s="59"/>
      <x:c r="V413" s="59"/>
      <x:c r="W413" s="59"/>
      <x:c r="X413" s="59"/>
      <x:c r="Y413" s="59"/>
      <x:c r="Z413" s="59"/>
      <x:c r="AA413" s="8" t="str">
        <x:f>IF(C413="ไม่ทราบ","",SUMIFS($K$7:$Z$7,K413:Z413,"&lt;&gt;N/A"))</x:f>
      </x:c>
      <x:c r="AB413" s="8" t="str">
        <x:f>IF(AND(OR(AND(C413="จำหน่ายอาหาร",ISNUMBER(K413),L413="N/A"),AND(C413="ไม่จำหน่ายอาหาร",K413="N/A",ISNUMBER(L413)),AND(C413="มัสยิด",K413="N/A",L413="N/A",X413="N/A")),COUNT(K413:Z413)+COUNTIFS(K413:Z413,"N/A")=16),SUM(K413:Z413),"")</x:f>
      </x:c>
      <x:c r="AC413" s="62" t="str">
        <x:f>IF(OR(AB413="",AA413&lt;=0),"",ROUND(AB413/AA413*100,1))</x:f>
      </x:c>
      <x:c r="AD413" s="8" t="str">
        <x:f>IF(COUNTIFS(D413:H413,"ไม่ผ่าน")&gt;0,"ไม่ผ่าน",IF(COUNTIFS(D413:H413,"ไม่ทราบ")+COUNTBLANK(D413:H413)&gt;0,"รอยืนยัน","ผ่าน"))</x:f>
        <x:v>รอยืนยัน</x:v>
      </x:c>
      <x:c r="AE413" s="8" t="str">
        <x:f>IF(AF413="ใช่","ไม่ผ่านการคัดเลือก",IF(AND(AD413="ผ่าน",ISNUMBER(AC413),AC413&gt;=70),"พร้อมขาย",IF(OR(J413="ใช่",AND(ISNUMBER(AC413),AC413&gt;=50)),"พัฒนาเพื่อพร้อมขาย",IF(AND(ISNUMBER(AC413),AC413&lt;50,I413&gt;=1),"มีศักยภาพ แต่ต้องพัฒนามาตรฐาน","รอประเมิน"))))</x:f>
        <x:v>รอประเมิน</x:v>
      </x:c>
      <x:c r="AF413" s="59" t="str">
        <x:v>ไม่ทราบ</x:v>
      </x:c>
      <x:c r="AG413" s="8" t="str">
        <x:f>IF(AF413="ใช่","หัวหน้าทีมพิจารณาเหตุไม่ผ่าน",IF(OR(AA413&lt;=0,NOT(OR(AND(C413="จำหน่ายอาหาร",ISNUMBER(K413),L413="N/A"),AND(C413="ไม่จำหน่ายอาหาร",K413="N/A",ISNUMBER(L413)),AND(C413="มัสยิด",K413="N/A",L413="N/A",X413="N/A"))),AD413="รอยืนยัน",COUNT(K413:Z413)+COUNTIFS(K413:Z413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3" s="59" t="str"/>
      <x:c r="AI413" s="61"/>
    </x:row>
    <x:row r="414" ht="60" customHeight="1">
      <x:c r="A414" s="2" t="str">
        <x:v>R26-185</x:v>
      </x:c>
      <x:c r="B414" s="8" t="str">
        <x:v>หาดปากเมง</x:v>
      </x:c>
      <x:c r="C414" s="59" t="str">
        <x:v>ไม่ทราบ</x:v>
      </x:c>
      <x:c r="D414" s="59" t="str">
        <x:v>ไม่ทราบ</x:v>
      </x:c>
      <x:c r="E414" s="59" t="str">
        <x:v>ไม่ทราบ</x:v>
      </x:c>
      <x:c r="F414" s="59" t="str">
        <x:v>ไม่ทราบ</x:v>
      </x:c>
      <x:c r="G414" s="59" t="str">
        <x:v>ไม่ทราบ</x:v>
      </x:c>
      <x:c r="H414" s="59" t="str">
        <x:v>N/A</x:v>
      </x:c>
      <x:c r="I414" s="59"/>
      <x:c r="J414" s="59" t="str">
        <x:v>ไม่ทราบ</x:v>
      </x:c>
      <x:c r="K414" s="59"/>
      <x:c r="L414" s="59"/>
      <x:c r="M414" s="59"/>
      <x:c r="N414" s="59"/>
      <x:c r="O414" s="59"/>
      <x:c r="P414" s="59"/>
      <x:c r="Q414" s="59"/>
      <x:c r="R414" s="59"/>
      <x:c r="S414" s="59"/>
      <x:c r="T414" s="59"/>
      <x:c r="U414" s="59"/>
      <x:c r="V414" s="59"/>
      <x:c r="W414" s="59"/>
      <x:c r="X414" s="59"/>
      <x:c r="Y414" s="59"/>
      <x:c r="Z414" s="59"/>
      <x:c r="AA414" s="8" t="str">
        <x:f>IF(C414="ไม่ทราบ","",SUMIFS($K$7:$Z$7,K414:Z414,"&lt;&gt;N/A"))</x:f>
      </x:c>
      <x:c r="AB414" s="8" t="str">
        <x:f>IF(AND(OR(AND(C414="จำหน่ายอาหาร",ISNUMBER(K414),L414="N/A"),AND(C414="ไม่จำหน่ายอาหาร",K414="N/A",ISNUMBER(L414)),AND(C414="มัสยิด",K414="N/A",L414="N/A",X414="N/A")),COUNT(K414:Z414)+COUNTIFS(K414:Z414,"N/A")=16),SUM(K414:Z414),"")</x:f>
      </x:c>
      <x:c r="AC414" s="62" t="str">
        <x:f>IF(OR(AB414="",AA414&lt;=0),"",ROUND(AB414/AA414*100,1))</x:f>
      </x:c>
      <x:c r="AD414" s="8" t="str">
        <x:f>IF(COUNTIFS(D414:H414,"ไม่ผ่าน")&gt;0,"ไม่ผ่าน",IF(COUNTIFS(D414:H414,"ไม่ทราบ")+COUNTBLANK(D414:H414)&gt;0,"รอยืนยัน","ผ่าน"))</x:f>
        <x:v>รอยืนยัน</x:v>
      </x:c>
      <x:c r="AE414" s="8" t="str">
        <x:f>IF(AF414="ใช่","ไม่ผ่านการคัดเลือก",IF(AND(AD414="ผ่าน",ISNUMBER(AC414),AC414&gt;=70),"พร้อมขาย",IF(OR(J414="ใช่",AND(ISNUMBER(AC414),AC414&gt;=50)),"พัฒนาเพื่อพร้อมขาย",IF(AND(ISNUMBER(AC414),AC414&lt;50,I414&gt;=1),"มีศักยภาพ แต่ต้องพัฒนามาตรฐาน","รอประเมิน"))))</x:f>
        <x:v>รอประเมิน</x:v>
      </x:c>
      <x:c r="AF414" s="59" t="str">
        <x:v>ไม่ทราบ</x:v>
      </x:c>
      <x:c r="AG414" s="8" t="str">
        <x:f>IF(AF414="ใช่","หัวหน้าทีมพิจารณาเหตุไม่ผ่าน",IF(OR(AA414&lt;=0,NOT(OR(AND(C414="จำหน่ายอาหาร",ISNUMBER(K414),L414="N/A"),AND(C414="ไม่จำหน่ายอาหาร",K414="N/A",ISNUMBER(L414)),AND(C414="มัสยิด",K414="N/A",L414="N/A",X414="N/A"))),AD414="รอยืนยัน",COUNT(K414:Z414)+COUNTIFS(K414:Z414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4" s="59" t="str"/>
      <x:c r="AI414" s="61"/>
    </x:row>
    <x:row r="415" ht="60" customHeight="1">
      <x:c r="A415" s="2" t="str">
        <x:v>R26-186</x:v>
      </x:c>
      <x:c r="B415" s="8" t="str">
        <x:v>อุทยานแห่งชาติหาดเจ้าไหม</x:v>
      </x:c>
      <x:c r="C415" s="59" t="str">
        <x:v>ไม่ทราบ</x:v>
      </x:c>
      <x:c r="D415" s="59" t="str">
        <x:v>ไม่ทราบ</x:v>
      </x:c>
      <x:c r="E415" s="59" t="str">
        <x:v>ไม่ทราบ</x:v>
      </x:c>
      <x:c r="F415" s="59" t="str">
        <x:v>ไม่ทราบ</x:v>
      </x:c>
      <x:c r="G415" s="59" t="str">
        <x:v>ไม่ทราบ</x:v>
      </x:c>
      <x:c r="H415" s="59" t="str">
        <x:v>N/A</x:v>
      </x:c>
      <x:c r="I415" s="59"/>
      <x:c r="J415" s="59" t="str">
        <x:v>ไม่ทราบ</x:v>
      </x:c>
      <x:c r="K415" s="59"/>
      <x:c r="L415" s="59"/>
      <x:c r="M415" s="59"/>
      <x:c r="N415" s="59"/>
      <x:c r="O415" s="59"/>
      <x:c r="P415" s="59"/>
      <x:c r="Q415" s="59"/>
      <x:c r="R415" s="59"/>
      <x:c r="S415" s="59"/>
      <x:c r="T415" s="59"/>
      <x:c r="U415" s="59"/>
      <x:c r="V415" s="59"/>
      <x:c r="W415" s="59"/>
      <x:c r="X415" s="59"/>
      <x:c r="Y415" s="59"/>
      <x:c r="Z415" s="59"/>
      <x:c r="AA415" s="8" t="str">
        <x:f>IF(C415="ไม่ทราบ","",SUMIFS($K$7:$Z$7,K415:Z415,"&lt;&gt;N/A"))</x:f>
      </x:c>
      <x:c r="AB415" s="8" t="str">
        <x:f>IF(AND(OR(AND(C415="จำหน่ายอาหาร",ISNUMBER(K415),L415="N/A"),AND(C415="ไม่จำหน่ายอาหาร",K415="N/A",ISNUMBER(L415)),AND(C415="มัสยิด",K415="N/A",L415="N/A",X415="N/A")),COUNT(K415:Z415)+COUNTIFS(K415:Z415,"N/A")=16),SUM(K415:Z415),"")</x:f>
      </x:c>
      <x:c r="AC415" s="62" t="str">
        <x:f>IF(OR(AB415="",AA415&lt;=0),"",ROUND(AB415/AA415*100,1))</x:f>
      </x:c>
      <x:c r="AD415" s="8" t="str">
        <x:f>IF(COUNTIFS(D415:H415,"ไม่ผ่าน")&gt;0,"ไม่ผ่าน",IF(COUNTIFS(D415:H415,"ไม่ทราบ")+COUNTBLANK(D415:H415)&gt;0,"รอยืนยัน","ผ่าน"))</x:f>
        <x:v>รอยืนยัน</x:v>
      </x:c>
      <x:c r="AE415" s="8" t="str">
        <x:f>IF(AF415="ใช่","ไม่ผ่านการคัดเลือก",IF(AND(AD415="ผ่าน",ISNUMBER(AC415),AC415&gt;=70),"พร้อมขาย",IF(OR(J415="ใช่",AND(ISNUMBER(AC415),AC415&gt;=50)),"พัฒนาเพื่อพร้อมขาย",IF(AND(ISNUMBER(AC415),AC415&lt;50,I415&gt;=1),"มีศักยภาพ แต่ต้องพัฒนามาตรฐาน","รอประเมิน"))))</x:f>
        <x:v>รอประเมิน</x:v>
      </x:c>
      <x:c r="AF415" s="59" t="str">
        <x:v>ไม่ทราบ</x:v>
      </x:c>
      <x:c r="AG415" s="8" t="str">
        <x:f>IF(AF415="ใช่","หัวหน้าทีมพิจารณาเหตุไม่ผ่าน",IF(OR(AA415&lt;=0,NOT(OR(AND(C415="จำหน่ายอาหาร",ISNUMBER(K415),L415="N/A"),AND(C415="ไม่จำหน่ายอาหาร",K415="N/A",ISNUMBER(L415)),AND(C415="มัสยิด",K415="N/A",L415="N/A",X415="N/A"))),AD415="รอยืนยัน",COUNT(K415:Z415)+COUNTIFS(K415:Z415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5" s="59" t="str"/>
      <x:c r="AI415" s="61"/>
    </x:row>
    <x:row r="416" ht="60" customHeight="1">
      <x:c r="A416" s="2" t="str">
        <x:v>R26-192</x:v>
      </x:c>
      <x:c r="B416" s="8" t="str">
        <x:v>สถานีรถไฟกันตัง</x:v>
      </x:c>
      <x:c r="C416" s="59" t="str">
        <x:v>ไม่ทราบ</x:v>
      </x:c>
      <x:c r="D416" s="59" t="str">
        <x:v>ไม่ทราบ</x:v>
      </x:c>
      <x:c r="E416" s="59" t="str">
        <x:v>ไม่ทราบ</x:v>
      </x:c>
      <x:c r="F416" s="59" t="str">
        <x:v>ไม่ทราบ</x:v>
      </x:c>
      <x:c r="G416" s="59" t="str">
        <x:v>ไม่ทราบ</x:v>
      </x:c>
      <x:c r="H416" s="59" t="str">
        <x:v>N/A</x:v>
      </x:c>
      <x:c r="I416" s="59"/>
      <x:c r="J416" s="59" t="str">
        <x:v>ไม่ทราบ</x:v>
      </x:c>
      <x:c r="K416" s="59"/>
      <x:c r="L416" s="59"/>
      <x:c r="M416" s="59"/>
      <x:c r="N416" s="59"/>
      <x:c r="O416" s="59"/>
      <x:c r="P416" s="59"/>
      <x:c r="Q416" s="59"/>
      <x:c r="R416" s="59"/>
      <x:c r="S416" s="59"/>
      <x:c r="T416" s="59"/>
      <x:c r="U416" s="59"/>
      <x:c r="V416" s="59"/>
      <x:c r="W416" s="59"/>
      <x:c r="X416" s="59"/>
      <x:c r="Y416" s="59"/>
      <x:c r="Z416" s="59"/>
      <x:c r="AA416" s="8" t="str">
        <x:f>IF(C416="ไม่ทราบ","",SUMIFS($K$7:$Z$7,K416:Z416,"&lt;&gt;N/A"))</x:f>
      </x:c>
      <x:c r="AB416" s="8" t="str">
        <x:f>IF(AND(OR(AND(C416="จำหน่ายอาหาร",ISNUMBER(K416),L416="N/A"),AND(C416="ไม่จำหน่ายอาหาร",K416="N/A",ISNUMBER(L416)),AND(C416="มัสยิด",K416="N/A",L416="N/A",X416="N/A")),COUNT(K416:Z416)+COUNTIFS(K416:Z416,"N/A")=16),SUM(K416:Z416),"")</x:f>
      </x:c>
      <x:c r="AC416" s="62" t="str">
        <x:f>IF(OR(AB416="",AA416&lt;=0),"",ROUND(AB416/AA416*100,1))</x:f>
      </x:c>
      <x:c r="AD416" s="8" t="str">
        <x:f>IF(COUNTIFS(D416:H416,"ไม่ผ่าน")&gt;0,"ไม่ผ่าน",IF(COUNTIFS(D416:H416,"ไม่ทราบ")+COUNTBLANK(D416:H416)&gt;0,"รอยืนยัน","ผ่าน"))</x:f>
        <x:v>รอยืนยัน</x:v>
      </x:c>
      <x:c r="AE416" s="8" t="str">
        <x:f>IF(AF416="ใช่","ไม่ผ่านการคัดเลือก",IF(AND(AD416="ผ่าน",ISNUMBER(AC416),AC416&gt;=70),"พร้อมขาย",IF(OR(J416="ใช่",AND(ISNUMBER(AC416),AC416&gt;=50)),"พัฒนาเพื่อพร้อมขาย",IF(AND(ISNUMBER(AC416),AC416&lt;50,I416&gt;=1),"มีศักยภาพ แต่ต้องพัฒนามาตรฐาน","รอประเมิน"))))</x:f>
        <x:v>รอประเมิน</x:v>
      </x:c>
      <x:c r="AF416" s="59" t="str">
        <x:v>ไม่ทราบ</x:v>
      </x:c>
      <x:c r="AG416" s="8" t="str">
        <x:f>IF(AF416="ใช่","หัวหน้าทีมพิจารณาเหตุไม่ผ่าน",IF(OR(AA416&lt;=0,NOT(OR(AND(C416="จำหน่ายอาหาร",ISNUMBER(K416),L416="N/A"),AND(C416="ไม่จำหน่ายอาหาร",K416="N/A",ISNUMBER(L416)),AND(C416="มัสยิด",K416="N/A",L416="N/A",X416="N/A"))),AD416="รอยืนยัน",COUNT(K416:Z416)+COUNTIFS(K416:Z416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6" s="59" t="str"/>
      <x:c r="AI416" s="61"/>
    </x:row>
    <x:row r="417" ht="60" customHeight="1">
      <x:c r="A417" s="2" t="str">
        <x:v>R26-188</x:v>
      </x:c>
      <x:c r="B417" s="8" t="str">
        <x:v>ชุมชนบ้านนาหมื่นศรี</x:v>
      </x:c>
      <x:c r="C417" s="59" t="str">
        <x:v>ไม่ทราบ</x:v>
      </x:c>
      <x:c r="D417" s="59" t="str">
        <x:v>ไม่ทราบ</x:v>
      </x:c>
      <x:c r="E417" s="59" t="str">
        <x:v>ไม่ทราบ</x:v>
      </x:c>
      <x:c r="F417" s="59" t="str">
        <x:v>ไม่ทราบ</x:v>
      </x:c>
      <x:c r="G417" s="59" t="str">
        <x:v>ไม่ทราบ</x:v>
      </x:c>
      <x:c r="H417" s="59" t="str">
        <x:v>N/A</x:v>
      </x:c>
      <x:c r="I417" s="59"/>
      <x:c r="J417" s="59" t="str">
        <x:v>ไม่ทราบ</x:v>
      </x:c>
      <x:c r="K417" s="59"/>
      <x:c r="L417" s="59"/>
      <x:c r="M417" s="59"/>
      <x:c r="N417" s="59"/>
      <x:c r="O417" s="59"/>
      <x:c r="P417" s="59"/>
      <x:c r="Q417" s="59"/>
      <x:c r="R417" s="59"/>
      <x:c r="S417" s="59"/>
      <x:c r="T417" s="59"/>
      <x:c r="U417" s="59"/>
      <x:c r="V417" s="59"/>
      <x:c r="W417" s="59"/>
      <x:c r="X417" s="59"/>
      <x:c r="Y417" s="59"/>
      <x:c r="Z417" s="59"/>
      <x:c r="AA417" s="8" t="str">
        <x:f>IF(C417="ไม่ทราบ","",SUMIFS($K$7:$Z$7,K417:Z417,"&lt;&gt;N/A"))</x:f>
      </x:c>
      <x:c r="AB417" s="8" t="str">
        <x:f>IF(AND(OR(AND(C417="จำหน่ายอาหาร",ISNUMBER(K417),L417="N/A"),AND(C417="ไม่จำหน่ายอาหาร",K417="N/A",ISNUMBER(L417)),AND(C417="มัสยิด",K417="N/A",L417="N/A",X417="N/A")),COUNT(K417:Z417)+COUNTIFS(K417:Z417,"N/A")=16),SUM(K417:Z417),"")</x:f>
      </x:c>
      <x:c r="AC417" s="62" t="str">
        <x:f>IF(OR(AB417="",AA417&lt;=0),"",ROUND(AB417/AA417*100,1))</x:f>
      </x:c>
      <x:c r="AD417" s="8" t="str">
        <x:f>IF(COUNTIFS(D417:H417,"ไม่ผ่าน")&gt;0,"ไม่ผ่าน",IF(COUNTIFS(D417:H417,"ไม่ทราบ")+COUNTBLANK(D417:H417)&gt;0,"รอยืนยัน","ผ่าน"))</x:f>
        <x:v>รอยืนยัน</x:v>
      </x:c>
      <x:c r="AE417" s="8" t="str">
        <x:f>IF(AF417="ใช่","ไม่ผ่านการคัดเลือก",IF(AND(AD417="ผ่าน",ISNUMBER(AC417),AC417&gt;=70),"พร้อมขาย",IF(OR(J417="ใช่",AND(ISNUMBER(AC417),AC417&gt;=50)),"พัฒนาเพื่อพร้อมขาย",IF(AND(ISNUMBER(AC417),AC417&lt;50,I417&gt;=1),"มีศักยภาพ แต่ต้องพัฒนามาตรฐาน","รอประเมิน"))))</x:f>
        <x:v>รอประเมิน</x:v>
      </x:c>
      <x:c r="AF417" s="59" t="str">
        <x:v>ไม่ทราบ</x:v>
      </x:c>
      <x:c r="AG417" s="8" t="str">
        <x:f>IF(AF417="ใช่","หัวหน้าทีมพิจารณาเหตุไม่ผ่าน",IF(OR(AA417&lt;=0,NOT(OR(AND(C417="จำหน่ายอาหาร",ISNUMBER(K417),L417="N/A"),AND(C417="ไม่จำหน่ายอาหาร",K417="N/A",ISNUMBER(L417)),AND(C417="มัสยิด",K417="N/A",L417="N/A",X417="N/A"))),AD417="รอยืนยัน",COUNT(K417:Z417)+COUNTIFS(K417:Z417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7" s="59" t="str"/>
      <x:c r="AI417" s="61"/>
    </x:row>
    <x:row r="418" ht="60" customHeight="1">
      <x:c r="A418" s="2" t="str">
        <x:v>R26-189</x:v>
      </x:c>
      <x:c r="B418" s="8" t="str">
        <x:v>ชุมชนบ้านมดตะนอย</x:v>
      </x:c>
      <x:c r="C418" s="59" t="str">
        <x:v>ไม่ทราบ</x:v>
      </x:c>
      <x:c r="D418" s="59" t="str">
        <x:v>ไม่ทราบ</x:v>
      </x:c>
      <x:c r="E418" s="59" t="str">
        <x:v>ไม่ทราบ</x:v>
      </x:c>
      <x:c r="F418" s="59" t="str">
        <x:v>ไม่ทราบ</x:v>
      </x:c>
      <x:c r="G418" s="59" t="str">
        <x:v>ไม่ทราบ</x:v>
      </x:c>
      <x:c r="H418" s="59" t="str">
        <x:v>N/A</x:v>
      </x:c>
      <x:c r="I418" s="59"/>
      <x:c r="J418" s="59" t="str">
        <x:v>ไม่ทราบ</x:v>
      </x:c>
      <x:c r="K418" s="59"/>
      <x:c r="L418" s="59"/>
      <x:c r="M418" s="59"/>
      <x:c r="N418" s="59"/>
      <x:c r="O418" s="59"/>
      <x:c r="P418" s="59"/>
      <x:c r="Q418" s="59"/>
      <x:c r="R418" s="59"/>
      <x:c r="S418" s="59"/>
      <x:c r="T418" s="59"/>
      <x:c r="U418" s="59"/>
      <x:c r="V418" s="59"/>
      <x:c r="W418" s="59"/>
      <x:c r="X418" s="59"/>
      <x:c r="Y418" s="59"/>
      <x:c r="Z418" s="59"/>
      <x:c r="AA418" s="8" t="str">
        <x:f>IF(C418="ไม่ทราบ","",SUMIFS($K$7:$Z$7,K418:Z418,"&lt;&gt;N/A"))</x:f>
      </x:c>
      <x:c r="AB418" s="8" t="str">
        <x:f>IF(AND(OR(AND(C418="จำหน่ายอาหาร",ISNUMBER(K418),L418="N/A"),AND(C418="ไม่จำหน่ายอาหาร",K418="N/A",ISNUMBER(L418)),AND(C418="มัสยิด",K418="N/A",L418="N/A",X418="N/A")),COUNT(K418:Z418)+COUNTIFS(K418:Z418,"N/A")=16),SUM(K418:Z418),"")</x:f>
      </x:c>
      <x:c r="AC418" s="62" t="str">
        <x:f>IF(OR(AB418="",AA418&lt;=0),"",ROUND(AB418/AA418*100,1))</x:f>
      </x:c>
      <x:c r="AD418" s="8" t="str">
        <x:f>IF(COUNTIFS(D418:H418,"ไม่ผ่าน")&gt;0,"ไม่ผ่าน",IF(COUNTIFS(D418:H418,"ไม่ทราบ")+COUNTBLANK(D418:H418)&gt;0,"รอยืนยัน","ผ่าน"))</x:f>
        <x:v>รอยืนยัน</x:v>
      </x:c>
      <x:c r="AE418" s="8" t="str">
        <x:f>IF(AF418="ใช่","ไม่ผ่านการคัดเลือก",IF(AND(AD418="ผ่าน",ISNUMBER(AC418),AC418&gt;=70),"พร้อมขาย",IF(OR(J418="ใช่",AND(ISNUMBER(AC418),AC418&gt;=50)),"พัฒนาเพื่อพร้อมขาย",IF(AND(ISNUMBER(AC418),AC418&lt;50,I418&gt;=1),"มีศักยภาพ แต่ต้องพัฒนามาตรฐาน","รอประเมิน"))))</x:f>
        <x:v>รอประเมิน</x:v>
      </x:c>
      <x:c r="AF418" s="59" t="str">
        <x:v>ไม่ทราบ</x:v>
      </x:c>
      <x:c r="AG418" s="8" t="str">
        <x:f>IF(AF418="ใช่","หัวหน้าทีมพิจารณาเหตุไม่ผ่าน",IF(OR(AA418&lt;=0,NOT(OR(AND(C418="จำหน่ายอาหาร",ISNUMBER(K418),L418="N/A"),AND(C418="ไม่จำหน่ายอาหาร",K418="N/A",ISNUMBER(L418)),AND(C418="มัสยิด",K418="N/A",L418="N/A",X418="N/A"))),AD418="รอยืนยัน",COUNT(K418:Z418)+COUNTIFS(K418:Z418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8" s="59" t="str"/>
      <x:c r="AI418" s="61"/>
    </x:row>
    <x:row r="419" ht="60" customHeight="1">
      <x:c r="A419" s="2" t="str">
        <x:v>R26-191</x:v>
      </x:c>
      <x:c r="B419" s="8" t="str">
        <x:v>ชุมชนบ้านสุโสะ</x:v>
      </x:c>
      <x:c r="C419" s="59" t="str">
        <x:v>ไม่ทราบ</x:v>
      </x:c>
      <x:c r="D419" s="59" t="str">
        <x:v>ไม่ทราบ</x:v>
      </x:c>
      <x:c r="E419" s="59" t="str">
        <x:v>ไม่ทราบ</x:v>
      </x:c>
      <x:c r="F419" s="59" t="str">
        <x:v>ไม่ทราบ</x:v>
      </x:c>
      <x:c r="G419" s="59" t="str">
        <x:v>ไม่ทราบ</x:v>
      </x:c>
      <x:c r="H419" s="59" t="str">
        <x:v>N/A</x:v>
      </x:c>
      <x:c r="I419" s="59"/>
      <x:c r="J419" s="59" t="str">
        <x:v>ไม่ทราบ</x:v>
      </x:c>
      <x:c r="K419" s="59"/>
      <x:c r="L419" s="59"/>
      <x:c r="M419" s="59"/>
      <x:c r="N419" s="59"/>
      <x:c r="O419" s="59"/>
      <x:c r="P419" s="59"/>
      <x:c r="Q419" s="59"/>
      <x:c r="R419" s="59"/>
      <x:c r="S419" s="59"/>
      <x:c r="T419" s="59"/>
      <x:c r="U419" s="59"/>
      <x:c r="V419" s="59"/>
      <x:c r="W419" s="59"/>
      <x:c r="X419" s="59"/>
      <x:c r="Y419" s="59"/>
      <x:c r="Z419" s="59"/>
      <x:c r="AA419" s="8" t="str">
        <x:f>IF(C419="ไม่ทราบ","",SUMIFS($K$7:$Z$7,K419:Z419,"&lt;&gt;N/A"))</x:f>
      </x:c>
      <x:c r="AB419" s="8" t="str">
        <x:f>IF(AND(OR(AND(C419="จำหน่ายอาหาร",ISNUMBER(K419),L419="N/A"),AND(C419="ไม่จำหน่ายอาหาร",K419="N/A",ISNUMBER(L419)),AND(C419="มัสยิด",K419="N/A",L419="N/A",X419="N/A")),COUNT(K419:Z419)+COUNTIFS(K419:Z419,"N/A")=16),SUM(K419:Z419),"")</x:f>
      </x:c>
      <x:c r="AC419" s="62" t="str">
        <x:f>IF(OR(AB419="",AA419&lt;=0),"",ROUND(AB419/AA419*100,1))</x:f>
      </x:c>
      <x:c r="AD419" s="8" t="str">
        <x:f>IF(COUNTIFS(D419:H419,"ไม่ผ่าน")&gt;0,"ไม่ผ่าน",IF(COUNTIFS(D419:H419,"ไม่ทราบ")+COUNTBLANK(D419:H419)&gt;0,"รอยืนยัน","ผ่าน"))</x:f>
        <x:v>รอยืนยัน</x:v>
      </x:c>
      <x:c r="AE419" s="8" t="str">
        <x:f>IF(AF419="ใช่","ไม่ผ่านการคัดเลือก",IF(AND(AD419="ผ่าน",ISNUMBER(AC419),AC419&gt;=70),"พร้อมขาย",IF(OR(J419="ใช่",AND(ISNUMBER(AC419),AC419&gt;=50)),"พัฒนาเพื่อพร้อมขาย",IF(AND(ISNUMBER(AC419),AC419&lt;50,I419&gt;=1),"มีศักยภาพ แต่ต้องพัฒนามาตรฐาน","รอประเมิน"))))</x:f>
        <x:v>รอประเมิน</x:v>
      </x:c>
      <x:c r="AF419" s="59" t="str">
        <x:v>ไม่ทราบ</x:v>
      </x:c>
      <x:c r="AG419" s="8" t="str">
        <x:f>IF(AF419="ใช่","หัวหน้าทีมพิจารณาเหตุไม่ผ่าน",IF(OR(AA419&lt;=0,NOT(OR(AND(C419="จำหน่ายอาหาร",ISNUMBER(K419),L419="N/A"),AND(C419="ไม่จำหน่ายอาหาร",K419="N/A",ISNUMBER(L419)),AND(C419="มัสยิด",K419="N/A",L419="N/A",X419="N/A"))),AD419="รอยืนยัน",COUNT(K419:Z419)+COUNTIFS(K419:Z419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19" s="59" t="str"/>
      <x:c r="AI419" s="61"/>
    </x:row>
    <x:row r="420" ht="60" customHeight="1">
      <x:c r="A420" s="2" t="str">
        <x:v>R26-190</x:v>
      </x:c>
      <x:c r="B420" s="8" t="str">
        <x:v>ชุมชนบ้านเกาะลิบง</x:v>
      </x:c>
      <x:c r="C420" s="59" t="str">
        <x:v>ไม่ทราบ</x:v>
      </x:c>
      <x:c r="D420" s="59" t="str">
        <x:v>ไม่ทราบ</x:v>
      </x:c>
      <x:c r="E420" s="59" t="str">
        <x:v>ไม่ทราบ</x:v>
      </x:c>
      <x:c r="F420" s="59" t="str">
        <x:v>ไม่ทราบ</x:v>
      </x:c>
      <x:c r="G420" s="59" t="str">
        <x:v>ไม่ทราบ</x:v>
      </x:c>
      <x:c r="H420" s="59" t="str">
        <x:v>N/A</x:v>
      </x:c>
      <x:c r="I420" s="59"/>
      <x:c r="J420" s="59" t="str">
        <x:v>ไม่ทราบ</x:v>
      </x:c>
      <x:c r="K420" s="59"/>
      <x:c r="L420" s="59"/>
      <x:c r="M420" s="59"/>
      <x:c r="N420" s="59"/>
      <x:c r="O420" s="59"/>
      <x:c r="P420" s="59"/>
      <x:c r="Q420" s="59"/>
      <x:c r="R420" s="59"/>
      <x:c r="S420" s="59"/>
      <x:c r="T420" s="59"/>
      <x:c r="U420" s="59"/>
      <x:c r="V420" s="59"/>
      <x:c r="W420" s="59"/>
      <x:c r="X420" s="59"/>
      <x:c r="Y420" s="59"/>
      <x:c r="Z420" s="59"/>
      <x:c r="AA420" s="8" t="str">
        <x:f>IF(C420="ไม่ทราบ","",SUMIFS($K$7:$Z$7,K420:Z420,"&lt;&gt;N/A"))</x:f>
      </x:c>
      <x:c r="AB420" s="8" t="str">
        <x:f>IF(AND(OR(AND(C420="จำหน่ายอาหาร",ISNUMBER(K420),L420="N/A"),AND(C420="ไม่จำหน่ายอาหาร",K420="N/A",ISNUMBER(L420)),AND(C420="มัสยิด",K420="N/A",L420="N/A",X420="N/A")),COUNT(K420:Z420)+COUNTIFS(K420:Z420,"N/A")=16),SUM(K420:Z420),"")</x:f>
      </x:c>
      <x:c r="AC420" s="62" t="str">
        <x:f>IF(OR(AB420="",AA420&lt;=0),"",ROUND(AB420/AA420*100,1))</x:f>
      </x:c>
      <x:c r="AD420" s="8" t="str">
        <x:f>IF(COUNTIFS(D420:H420,"ไม่ผ่าน")&gt;0,"ไม่ผ่าน",IF(COUNTIFS(D420:H420,"ไม่ทราบ")+COUNTBLANK(D420:H420)&gt;0,"รอยืนยัน","ผ่าน"))</x:f>
        <x:v>รอยืนยัน</x:v>
      </x:c>
      <x:c r="AE420" s="8" t="str">
        <x:f>IF(AF420="ใช่","ไม่ผ่านการคัดเลือก",IF(AND(AD420="ผ่าน",ISNUMBER(AC420),AC420&gt;=70),"พร้อมขาย",IF(OR(J420="ใช่",AND(ISNUMBER(AC420),AC420&gt;=50)),"พัฒนาเพื่อพร้อมขาย",IF(AND(ISNUMBER(AC420),AC420&lt;50,I420&gt;=1),"มีศักยภาพ แต่ต้องพัฒนามาตรฐาน","รอประเมิน"))))</x:f>
        <x:v>รอประเมิน</x:v>
      </x:c>
      <x:c r="AF420" s="59" t="str">
        <x:v>ไม่ทราบ</x:v>
      </x:c>
      <x:c r="AG420" s="8" t="str">
        <x:f>IF(AF420="ใช่","หัวหน้าทีมพิจารณาเหตุไม่ผ่าน",IF(OR(AA420&lt;=0,NOT(OR(AND(C420="จำหน่ายอาหาร",ISNUMBER(K420),L420="N/A"),AND(C420="ไม่จำหน่ายอาหาร",K420="N/A",ISNUMBER(L420)),AND(C420="มัสยิด",K420="N/A",L420="N/A",X420="N/A"))),AD420="รอยืนยัน",COUNT(K420:Z420)+COUNTIFS(K420:Z420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0" s="59" t="str"/>
      <x:c r="AI420" s="61"/>
    </x:row>
    <x:row r="421" ht="60" customHeight="1">
      <x:c r="A421" s="2" t="str">
        <x:v>R26-089</x:v>
      </x:c>
      <x:c r="B421" s="8" t="str">
        <x:v>มิตรไมตรี Dining Cafe</x:v>
      </x:c>
      <x:c r="C421" s="59" t="str">
        <x:v>จำหน่ายอาหาร</x:v>
      </x:c>
      <x:c r="D421" s="59" t="str">
        <x:v>ไม่ทราบ</x:v>
      </x:c>
      <x:c r="E421" s="59" t="str">
        <x:v>ไม่ทราบ</x:v>
      </x:c>
      <x:c r="F421" s="59" t="str">
        <x:v>ไม่ทราบ</x:v>
      </x:c>
      <x:c r="G421" s="59" t="str">
        <x:v>ไม่ทราบ</x:v>
      </x:c>
      <x:c r="H421" s="59" t="str">
        <x:v>N/A</x:v>
      </x:c>
      <x:c r="I421" s="59"/>
      <x:c r="J421" s="59" t="str">
        <x:v>ไม่ทราบ</x:v>
      </x:c>
      <x:c r="K421" s="59"/>
      <x:c r="L421" s="59" t="str">
        <x:v>N/A</x:v>
      </x:c>
      <x:c r="M421" s="59"/>
      <x:c r="N421" s="59"/>
      <x:c r="O421" s="59"/>
      <x:c r="P421" s="59"/>
      <x:c r="Q421" s="59"/>
      <x:c r="R421" s="59"/>
      <x:c r="S421" s="59"/>
      <x:c r="T421" s="59"/>
      <x:c r="U421" s="59"/>
      <x:c r="V421" s="59"/>
      <x:c r="W421" s="59"/>
      <x:c r="X421" s="59"/>
      <x:c r="Y421" s="59"/>
      <x:c r="Z421" s="59"/>
      <x:c r="AA421" s="8" t="n">
        <x:f>IF(C421="ไม่ทราบ","",SUMIFS($K$7:$Z$7,K421:Z421,"&lt;&gt;N/A"))</x:f>
        <x:v>100</x:v>
      </x:c>
      <x:c r="AB421" s="8" t="str">
        <x:f>IF(AND(OR(AND(C421="จำหน่ายอาหาร",ISNUMBER(K421),L421="N/A"),AND(C421="ไม่จำหน่ายอาหาร",K421="N/A",ISNUMBER(L421)),AND(C421="มัสยิด",K421="N/A",L421="N/A",X421="N/A")),COUNT(K421:Z421)+COUNTIFS(K421:Z421,"N/A")=16),SUM(K421:Z421),"")</x:f>
      </x:c>
      <x:c r="AC421" s="62" t="str">
        <x:f>IF(OR(AB421="",AA421&lt;=0),"",ROUND(AB421/AA421*100,1))</x:f>
      </x:c>
      <x:c r="AD421" s="8" t="str">
        <x:f>IF(COUNTIFS(D421:H421,"ไม่ผ่าน")&gt;0,"ไม่ผ่าน",IF(COUNTIFS(D421:H421,"ไม่ทราบ")+COUNTBLANK(D421:H421)&gt;0,"รอยืนยัน","ผ่าน"))</x:f>
        <x:v>รอยืนยัน</x:v>
      </x:c>
      <x:c r="AE421" s="8" t="str">
        <x:f>IF(AF421="ใช่","ไม่ผ่านการคัดเลือก",IF(AND(AD421="ผ่าน",ISNUMBER(AC421),AC421&gt;=70),"พร้อมขาย",IF(OR(J421="ใช่",AND(ISNUMBER(AC421),AC421&gt;=50)),"พัฒนาเพื่อพร้อมขาย",IF(AND(ISNUMBER(AC421),AC421&lt;50,I421&gt;=1),"มีศักยภาพ แต่ต้องพัฒนามาตรฐาน","รอประเมิน"))))</x:f>
        <x:v>รอประเมิน</x:v>
      </x:c>
      <x:c r="AF421" s="59" t="str">
        <x:v>ไม่ทราบ</x:v>
      </x:c>
      <x:c r="AG421" s="8" t="str">
        <x:f>IF(AF421="ใช่","หัวหน้าทีมพิจารณาเหตุไม่ผ่าน",IF(OR(AA421&lt;=0,NOT(OR(AND(C421="จำหน่ายอาหาร",ISNUMBER(K421),L421="N/A"),AND(C421="ไม่จำหน่ายอาหาร",K421="N/A",ISNUMBER(L421)),AND(C421="มัสยิด",K421="N/A",L421="N/A",X421="N/A"))),AD421="รอยืนยัน",COUNT(K421:Z421)+COUNTIFS(K421:Z421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1" s="59" t="str"/>
      <x:c r="AI421" s="61"/>
    </x:row>
    <x:row r="422" ht="60" customHeight="1">
      <x:c r="A422" s="2" t="str">
        <x:v>R26-092</x:v>
      </x:c>
      <x:c r="B422" s="8" t="str">
        <x:v>หาดตะโละกาโปร์</x:v>
      </x:c>
      <x:c r="C422" s="59" t="str">
        <x:v>ไม่ทราบ</x:v>
      </x:c>
      <x:c r="D422" s="59" t="str">
        <x:v>ไม่ทราบ</x:v>
      </x:c>
      <x:c r="E422" s="59" t="str">
        <x:v>ไม่ทราบ</x:v>
      </x:c>
      <x:c r="F422" s="59" t="str">
        <x:v>ไม่ทราบ</x:v>
      </x:c>
      <x:c r="G422" s="59" t="str">
        <x:v>ไม่ทราบ</x:v>
      </x:c>
      <x:c r="H422" s="59" t="str">
        <x:v>N/A</x:v>
      </x:c>
      <x:c r="I422" s="59"/>
      <x:c r="J422" s="59" t="str">
        <x:v>ไม่ทราบ</x:v>
      </x:c>
      <x:c r="K422" s="59"/>
      <x:c r="L422" s="59"/>
      <x:c r="M422" s="59"/>
      <x:c r="N422" s="59"/>
      <x:c r="O422" s="59"/>
      <x:c r="P422" s="59"/>
      <x:c r="Q422" s="59"/>
      <x:c r="R422" s="59"/>
      <x:c r="S422" s="59"/>
      <x:c r="T422" s="59"/>
      <x:c r="U422" s="59"/>
      <x:c r="V422" s="59"/>
      <x:c r="W422" s="59"/>
      <x:c r="X422" s="59"/>
      <x:c r="Y422" s="59"/>
      <x:c r="Z422" s="59"/>
      <x:c r="AA422" s="8" t="str">
        <x:f>IF(C422="ไม่ทราบ","",SUMIFS($K$7:$Z$7,K422:Z422,"&lt;&gt;N/A"))</x:f>
      </x:c>
      <x:c r="AB422" s="8" t="str">
        <x:f>IF(AND(OR(AND(C422="จำหน่ายอาหาร",ISNUMBER(K422),L422="N/A"),AND(C422="ไม่จำหน่ายอาหาร",K422="N/A",ISNUMBER(L422)),AND(C422="มัสยิด",K422="N/A",L422="N/A",X422="N/A")),COUNT(K422:Z422)+COUNTIFS(K422:Z422,"N/A")=16),SUM(K422:Z422),"")</x:f>
      </x:c>
      <x:c r="AC422" s="62" t="str">
        <x:f>IF(OR(AB422="",AA422&lt;=0),"",ROUND(AB422/AA422*100,1))</x:f>
      </x:c>
      <x:c r="AD422" s="8" t="str">
        <x:f>IF(COUNTIFS(D422:H422,"ไม่ผ่าน")&gt;0,"ไม่ผ่าน",IF(COUNTIFS(D422:H422,"ไม่ทราบ")+COUNTBLANK(D422:H422)&gt;0,"รอยืนยัน","ผ่าน"))</x:f>
        <x:v>รอยืนยัน</x:v>
      </x:c>
      <x:c r="AE422" s="8" t="str">
        <x:f>IF(AF422="ใช่","ไม่ผ่านการคัดเลือก",IF(AND(AD422="ผ่าน",ISNUMBER(AC422),AC422&gt;=70),"พร้อมขาย",IF(OR(J422="ใช่",AND(ISNUMBER(AC422),AC422&gt;=50)),"พัฒนาเพื่อพร้อมขาย",IF(AND(ISNUMBER(AC422),AC422&lt;50,I422&gt;=1),"มีศักยภาพ แต่ต้องพัฒนามาตรฐาน","รอประเมิน"))))</x:f>
        <x:v>รอประเมิน</x:v>
      </x:c>
      <x:c r="AF422" s="59" t="str">
        <x:v>ไม่ทราบ</x:v>
      </x:c>
      <x:c r="AG422" s="8" t="str">
        <x:f>IF(AF422="ใช่","หัวหน้าทีมพิจารณาเหตุไม่ผ่าน",IF(OR(AA422&lt;=0,NOT(OR(AND(C422="จำหน่ายอาหาร",ISNUMBER(K422),L422="N/A"),AND(C422="ไม่จำหน่ายอาหาร",K422="N/A",ISNUMBER(L422)),AND(C422="มัสยิด",K422="N/A",L422="N/A",X422="N/A"))),AD422="รอยืนยัน",COUNT(K422:Z422)+COUNTIFS(K422:Z422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2" s="59" t="str"/>
      <x:c r="AI422" s="61"/>
    </x:row>
    <x:row r="423" ht="60" customHeight="1">
      <x:c r="A423" s="2" t="str">
        <x:v>TMF-374</x:v>
      </x:c>
      <x:c r="B423" s="8" t="str">
        <x:v>มัสยิดกรือเซะ</x:v>
      </x:c>
      <x:c r="C423" s="59" t="str">
        <x:v>มัสยิด</x:v>
      </x:c>
      <x:c r="D423" s="59" t="str">
        <x:v>ไม่ทราบ</x:v>
      </x:c>
      <x:c r="E423" s="59" t="str">
        <x:v>ไม่ทราบ</x:v>
      </x:c>
      <x:c r="F423" s="59" t="str">
        <x:v>ไม่ทราบ</x:v>
      </x:c>
      <x:c r="G423" s="59" t="str">
        <x:v>N/A</x:v>
      </x:c>
      <x:c r="H423" s="59" t="str">
        <x:v>N/A</x:v>
      </x:c>
      <x:c r="I423" s="59"/>
      <x:c r="J423" s="59" t="str">
        <x:v>ไม่ทราบ</x:v>
      </x:c>
      <x:c r="K423" s="59" t="str">
        <x:v>N/A</x:v>
      </x:c>
      <x:c r="L423" s="59" t="str">
        <x:v>N/A</x:v>
      </x:c>
      <x:c r="M423" s="59"/>
      <x:c r="N423" s="59"/>
      <x:c r="O423" s="59"/>
      <x:c r="P423" s="59"/>
      <x:c r="Q423" s="59"/>
      <x:c r="R423" s="59"/>
      <x:c r="S423" s="59"/>
      <x:c r="T423" s="59"/>
      <x:c r="U423" s="59"/>
      <x:c r="V423" s="59"/>
      <x:c r="W423" s="59"/>
      <x:c r="X423" s="59" t="str">
        <x:v>N/A</x:v>
      </x:c>
      <x:c r="Y423" s="59"/>
      <x:c r="Z423" s="59"/>
      <x:c r="AA423" s="8" t="n">
        <x:f>IF(C423="ไม่ทราบ","",SUMIFS($K$7:$Z$7,K423:Z423,"&lt;&gt;N/A"))</x:f>
        <x:v>67</x:v>
      </x:c>
      <x:c r="AB423" s="8" t="str">
        <x:f>IF(AND(OR(AND(C423="จำหน่ายอาหาร",ISNUMBER(K423),L423="N/A"),AND(C423="ไม่จำหน่ายอาหาร",K423="N/A",ISNUMBER(L423)),AND(C423="มัสยิด",K423="N/A",L423="N/A",X423="N/A")),COUNT(K423:Z423)+COUNTIFS(K423:Z423,"N/A")=16),SUM(K423:Z423),"")</x:f>
      </x:c>
      <x:c r="AC423" s="62" t="str">
        <x:f>IF(OR(AB423="",AA423&lt;=0),"",ROUND(AB423/AA423*100,1))</x:f>
      </x:c>
      <x:c r="AD423" s="8" t="str">
        <x:f>IF(COUNTIFS(D423:H423,"ไม่ผ่าน")&gt;0,"ไม่ผ่าน",IF(COUNTIFS(D423:H423,"ไม่ทราบ")+COUNTBLANK(D423:H423)&gt;0,"รอยืนยัน","ผ่าน"))</x:f>
        <x:v>รอยืนยัน</x:v>
      </x:c>
      <x:c r="AE423" s="8" t="str">
        <x:f>IF(AF423="ใช่","ไม่ผ่านการคัดเลือก",IF(AND(AD423="ผ่าน",ISNUMBER(AC423),AC423&gt;=70),"พร้อมขาย",IF(OR(J423="ใช่",AND(ISNUMBER(AC423),AC423&gt;=50)),"พัฒนาเพื่อพร้อมขาย",IF(AND(ISNUMBER(AC423),AC423&lt;50,I423&gt;=1),"มีศักยภาพ แต่ต้องพัฒนามาตรฐาน","รอประเมิน"))))</x:f>
        <x:v>รอประเมิน</x:v>
      </x:c>
      <x:c r="AF423" s="59" t="str">
        <x:v>ไม่ทราบ</x:v>
      </x:c>
      <x:c r="AG423" s="8" t="str">
        <x:f>IF(AF423="ใช่","หัวหน้าทีมพิจารณาเหตุไม่ผ่าน",IF(OR(AA423&lt;=0,NOT(OR(AND(C423="จำหน่ายอาหาร",ISNUMBER(K423),L423="N/A"),AND(C423="ไม่จำหน่ายอาหาร",K423="N/A",ISNUMBER(L423)),AND(C423="มัสยิด",K423="N/A",L423="N/A",X423="N/A"))),AD423="รอยืนยัน",COUNT(K423:Z423)+COUNTIFS(K423:Z423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3" s="59" t="str"/>
      <x:c r="AI423" s="61"/>
    </x:row>
    <x:row r="424" ht="60" customHeight="1">
      <x:c r="A424" s="2" t="str">
        <x:v>TMF-375</x:v>
      </x:c>
      <x:c r="B424" s="8" t="str">
        <x:v>มัสยิดกลางจังหวัดปัตตานี</x:v>
      </x:c>
      <x:c r="C424" s="59" t="str">
        <x:v>มัสยิด</x:v>
      </x:c>
      <x:c r="D424" s="59" t="str">
        <x:v>ไม่ทราบ</x:v>
      </x:c>
      <x:c r="E424" s="59" t="str">
        <x:v>ไม่ทราบ</x:v>
      </x:c>
      <x:c r="F424" s="59" t="str">
        <x:v>ไม่ทราบ</x:v>
      </x:c>
      <x:c r="G424" s="59" t="str">
        <x:v>N/A</x:v>
      </x:c>
      <x:c r="H424" s="59" t="str">
        <x:v>N/A</x:v>
      </x:c>
      <x:c r="I424" s="59"/>
      <x:c r="J424" s="59" t="str">
        <x:v>ไม่ทราบ</x:v>
      </x:c>
      <x:c r="K424" s="59" t="str">
        <x:v>N/A</x:v>
      </x:c>
      <x:c r="L424" s="59" t="str">
        <x:v>N/A</x:v>
      </x:c>
      <x:c r="M424" s="59"/>
      <x:c r="N424" s="59"/>
      <x:c r="O424" s="59"/>
      <x:c r="P424" s="59"/>
      <x:c r="Q424" s="59"/>
      <x:c r="R424" s="59"/>
      <x:c r="S424" s="59"/>
      <x:c r="T424" s="59"/>
      <x:c r="U424" s="59"/>
      <x:c r="V424" s="59"/>
      <x:c r="W424" s="59"/>
      <x:c r="X424" s="59" t="str">
        <x:v>N/A</x:v>
      </x:c>
      <x:c r="Y424" s="59"/>
      <x:c r="Z424" s="59"/>
      <x:c r="AA424" s="8" t="n">
        <x:f>IF(C424="ไม่ทราบ","",SUMIFS($K$7:$Z$7,K424:Z424,"&lt;&gt;N/A"))</x:f>
        <x:v>67</x:v>
      </x:c>
      <x:c r="AB424" s="8" t="str">
        <x:f>IF(AND(OR(AND(C424="จำหน่ายอาหาร",ISNUMBER(K424),L424="N/A"),AND(C424="ไม่จำหน่ายอาหาร",K424="N/A",ISNUMBER(L424)),AND(C424="มัสยิด",K424="N/A",L424="N/A",X424="N/A")),COUNT(K424:Z424)+COUNTIFS(K424:Z424,"N/A")=16),SUM(K424:Z424),"")</x:f>
      </x:c>
      <x:c r="AC424" s="62" t="str">
        <x:f>IF(OR(AB424="",AA424&lt;=0),"",ROUND(AB424/AA424*100,1))</x:f>
      </x:c>
      <x:c r="AD424" s="8" t="str">
        <x:f>IF(COUNTIFS(D424:H424,"ไม่ผ่าน")&gt;0,"ไม่ผ่าน",IF(COUNTIFS(D424:H424,"ไม่ทราบ")+COUNTBLANK(D424:H424)&gt;0,"รอยืนยัน","ผ่าน"))</x:f>
        <x:v>รอยืนยัน</x:v>
      </x:c>
      <x:c r="AE424" s="8" t="str">
        <x:f>IF(AF424="ใช่","ไม่ผ่านการคัดเลือก",IF(AND(AD424="ผ่าน",ISNUMBER(AC424),AC424&gt;=70),"พร้อมขาย",IF(OR(J424="ใช่",AND(ISNUMBER(AC424),AC424&gt;=50)),"พัฒนาเพื่อพร้อมขาย",IF(AND(ISNUMBER(AC424),AC424&lt;50,I424&gt;=1),"มีศักยภาพ แต่ต้องพัฒนามาตรฐาน","รอประเมิน"))))</x:f>
        <x:v>รอประเมิน</x:v>
      </x:c>
      <x:c r="AF424" s="59" t="str">
        <x:v>ไม่ทราบ</x:v>
      </x:c>
      <x:c r="AG424" s="8" t="str">
        <x:f>IF(AF424="ใช่","หัวหน้าทีมพิจารณาเหตุไม่ผ่าน",IF(OR(AA424&lt;=0,NOT(OR(AND(C424="จำหน่ายอาหาร",ISNUMBER(K424),L424="N/A"),AND(C424="ไม่จำหน่ายอาหาร",K424="N/A",ISNUMBER(L424)),AND(C424="มัสยิด",K424="N/A",L424="N/A",X424="N/A"))),AD424="รอยืนยัน",COUNT(K424:Z424)+COUNTIFS(K424:Z424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4" s="59" t="str"/>
      <x:c r="AI424" s="61"/>
    </x:row>
    <x:row r="425" ht="60" customHeight="1">
      <x:c r="A425" s="2" t="str">
        <x:v>R26-088</x:v>
      </x:c>
      <x:c r="B425" s="8" t="str">
        <x:v>ย่านเมืองเก่าปัตตานี</x:v>
      </x:c>
      <x:c r="C425" s="59" t="str">
        <x:v>ไม่ทราบ</x:v>
      </x:c>
      <x:c r="D425" s="59" t="str">
        <x:v>ไม่ทราบ</x:v>
      </x:c>
      <x:c r="E425" s="59" t="str">
        <x:v>ไม่ทราบ</x:v>
      </x:c>
      <x:c r="F425" s="59" t="str">
        <x:v>ไม่ทราบ</x:v>
      </x:c>
      <x:c r="G425" s="59" t="str">
        <x:v>ไม่ทราบ</x:v>
      </x:c>
      <x:c r="H425" s="59" t="str">
        <x:v>N/A</x:v>
      </x:c>
      <x:c r="I425" s="59"/>
      <x:c r="J425" s="59" t="str">
        <x:v>ไม่ทราบ</x:v>
      </x:c>
      <x:c r="K425" s="59"/>
      <x:c r="L425" s="59"/>
      <x:c r="M425" s="59"/>
      <x:c r="N425" s="59"/>
      <x:c r="O425" s="59"/>
      <x:c r="P425" s="59"/>
      <x:c r="Q425" s="59"/>
      <x:c r="R425" s="59"/>
      <x:c r="S425" s="59"/>
      <x:c r="T425" s="59"/>
      <x:c r="U425" s="59"/>
      <x:c r="V425" s="59"/>
      <x:c r="W425" s="59"/>
      <x:c r="X425" s="59"/>
      <x:c r="Y425" s="59"/>
      <x:c r="Z425" s="59"/>
      <x:c r="AA425" s="8" t="str">
        <x:f>IF(C425="ไม่ทราบ","",SUMIFS($K$7:$Z$7,K425:Z425,"&lt;&gt;N/A"))</x:f>
      </x:c>
      <x:c r="AB425" s="8" t="str">
        <x:f>IF(AND(OR(AND(C425="จำหน่ายอาหาร",ISNUMBER(K425),L425="N/A"),AND(C425="ไม่จำหน่ายอาหาร",K425="N/A",ISNUMBER(L425)),AND(C425="มัสยิด",K425="N/A",L425="N/A",X425="N/A")),COUNT(K425:Z425)+COUNTIFS(K425:Z425,"N/A")=16),SUM(K425:Z425),"")</x:f>
      </x:c>
      <x:c r="AC425" s="62" t="str">
        <x:f>IF(OR(AB425="",AA425&lt;=0),"",ROUND(AB425/AA425*100,1))</x:f>
      </x:c>
      <x:c r="AD425" s="8" t="str">
        <x:f>IF(COUNTIFS(D425:H425,"ไม่ผ่าน")&gt;0,"ไม่ผ่าน",IF(COUNTIFS(D425:H425,"ไม่ทราบ")+COUNTBLANK(D425:H425)&gt;0,"รอยืนยัน","ผ่าน"))</x:f>
        <x:v>รอยืนยัน</x:v>
      </x:c>
      <x:c r="AE425" s="8" t="str">
        <x:f>IF(AF425="ใช่","ไม่ผ่านการคัดเลือก",IF(AND(AD425="ผ่าน",ISNUMBER(AC425),AC425&gt;=70),"พร้อมขาย",IF(OR(J425="ใช่",AND(ISNUMBER(AC425),AC425&gt;=50)),"พัฒนาเพื่อพร้อมขาย",IF(AND(ISNUMBER(AC425),AC425&lt;50,I425&gt;=1),"มีศักยภาพ แต่ต้องพัฒนามาตรฐาน","รอประเมิน"))))</x:f>
        <x:v>รอประเมิน</x:v>
      </x:c>
      <x:c r="AF425" s="59" t="str">
        <x:v>ไม่ทราบ</x:v>
      </x:c>
      <x:c r="AG425" s="8" t="str">
        <x:f>IF(AF425="ใช่","หัวหน้าทีมพิจารณาเหตุไม่ผ่าน",IF(OR(AA425&lt;=0,NOT(OR(AND(C425="จำหน่ายอาหาร",ISNUMBER(K425),L425="N/A"),AND(C425="ไม่จำหน่ายอาหาร",K425="N/A",ISNUMBER(L425)),AND(C425="มัสยิด",K425="N/A",L425="N/A",X425="N/A"))),AD425="รอยืนยัน",COUNT(K425:Z425)+COUNTIFS(K425:Z425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5" s="59" t="str"/>
      <x:c r="AI425" s="61"/>
    </x:row>
    <x:row r="426" ht="60" customHeight="1">
      <x:c r="A426" s="2" t="str">
        <x:v>R26-087</x:v>
      </x:c>
      <x:c r="B426" s="8" t="str">
        <x:v>ศาลเจ้าแม่ลิ้มกอเหนี่ยว</x:v>
      </x:c>
      <x:c r="C426" s="59" t="str">
        <x:v>ไม่ทราบ</x:v>
      </x:c>
      <x:c r="D426" s="59" t="str">
        <x:v>ไม่ทราบ</x:v>
      </x:c>
      <x:c r="E426" s="59" t="str">
        <x:v>ไม่ทราบ</x:v>
      </x:c>
      <x:c r="F426" s="59" t="str">
        <x:v>ไม่ทราบ</x:v>
      </x:c>
      <x:c r="G426" s="59" t="str">
        <x:v>ไม่ทราบ</x:v>
      </x:c>
      <x:c r="H426" s="59" t="str">
        <x:v>N/A</x:v>
      </x:c>
      <x:c r="I426" s="59"/>
      <x:c r="J426" s="59" t="str">
        <x:v>ไม่ทราบ</x:v>
      </x:c>
      <x:c r="K426" s="59"/>
      <x:c r="L426" s="59"/>
      <x:c r="M426" s="59"/>
      <x:c r="N426" s="59"/>
      <x:c r="O426" s="59"/>
      <x:c r="P426" s="59"/>
      <x:c r="Q426" s="59"/>
      <x:c r="R426" s="59"/>
      <x:c r="S426" s="59"/>
      <x:c r="T426" s="59"/>
      <x:c r="U426" s="59"/>
      <x:c r="V426" s="59"/>
      <x:c r="W426" s="59"/>
      <x:c r="X426" s="59"/>
      <x:c r="Y426" s="59"/>
      <x:c r="Z426" s="59"/>
      <x:c r="AA426" s="8" t="str">
        <x:f>IF(C426="ไม่ทราบ","",SUMIFS($K$7:$Z$7,K426:Z426,"&lt;&gt;N/A"))</x:f>
      </x:c>
      <x:c r="AB426" s="8" t="str">
        <x:f>IF(AND(OR(AND(C426="จำหน่ายอาหาร",ISNUMBER(K426),L426="N/A"),AND(C426="ไม่จำหน่ายอาหาร",K426="N/A",ISNUMBER(L426)),AND(C426="มัสยิด",K426="N/A",L426="N/A",X426="N/A")),COUNT(K426:Z426)+COUNTIFS(K426:Z426,"N/A")=16),SUM(K426:Z426),"")</x:f>
      </x:c>
      <x:c r="AC426" s="62" t="str">
        <x:f>IF(OR(AB426="",AA426&lt;=0),"",ROUND(AB426/AA426*100,1))</x:f>
      </x:c>
      <x:c r="AD426" s="8" t="str">
        <x:f>IF(COUNTIFS(D426:H426,"ไม่ผ่าน")&gt;0,"ไม่ผ่าน",IF(COUNTIFS(D426:H426,"ไม่ทราบ")+COUNTBLANK(D426:H426)&gt;0,"รอยืนยัน","ผ่าน"))</x:f>
        <x:v>รอยืนยัน</x:v>
      </x:c>
      <x:c r="AE426" s="8" t="str">
        <x:f>IF(AF426="ใช่","ไม่ผ่านการคัดเลือก",IF(AND(AD426="ผ่าน",ISNUMBER(AC426),AC426&gt;=70),"พร้อมขาย",IF(OR(J426="ใช่",AND(ISNUMBER(AC426),AC426&gt;=50)),"พัฒนาเพื่อพร้อมขาย",IF(AND(ISNUMBER(AC426),AC426&lt;50,I426&gt;=1),"มีศักยภาพ แต่ต้องพัฒนามาตรฐาน","รอประเมิน"))))</x:f>
        <x:v>รอประเมิน</x:v>
      </x:c>
      <x:c r="AF426" s="59" t="str">
        <x:v>ไม่ทราบ</x:v>
      </x:c>
      <x:c r="AG426" s="8" t="str">
        <x:f>IF(AF426="ใช่","หัวหน้าทีมพิจารณาเหตุไม่ผ่าน",IF(OR(AA426&lt;=0,NOT(OR(AND(C426="จำหน่ายอาหาร",ISNUMBER(K426),L426="N/A"),AND(C426="ไม่จำหน่ายอาหาร",K426="N/A",ISNUMBER(L426)),AND(C426="มัสยิด",K426="N/A",L426="N/A",X426="N/A"))),AD426="รอยืนยัน",COUNT(K426:Z426)+COUNTIFS(K426:Z426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6" s="59" t="str"/>
      <x:c r="AI426" s="61"/>
    </x:row>
    <x:row r="427" ht="60" customHeight="1">
      <x:c r="A427" s="2" t="str">
        <x:v>R26-091</x:v>
      </x:c>
      <x:c r="B427" s="8" t="str">
        <x:v>ชุมชนบาราโหม</x:v>
      </x:c>
      <x:c r="C427" s="59" t="str">
        <x:v>ไม่ทราบ</x:v>
      </x:c>
      <x:c r="D427" s="59" t="str">
        <x:v>ไม่ทราบ</x:v>
      </x:c>
      <x:c r="E427" s="59" t="str">
        <x:v>ไม่ทราบ</x:v>
      </x:c>
      <x:c r="F427" s="59" t="str">
        <x:v>ไม่ทราบ</x:v>
      </x:c>
      <x:c r="G427" s="59" t="str">
        <x:v>ไม่ทราบ</x:v>
      </x:c>
      <x:c r="H427" s="59" t="str">
        <x:v>N/A</x:v>
      </x:c>
      <x:c r="I427" s="59"/>
      <x:c r="J427" s="59" t="str">
        <x:v>ไม่ทราบ</x:v>
      </x:c>
      <x:c r="K427" s="59"/>
      <x:c r="L427" s="59"/>
      <x:c r="M427" s="59"/>
      <x:c r="N427" s="59"/>
      <x:c r="O427" s="59"/>
      <x:c r="P427" s="59"/>
      <x:c r="Q427" s="59"/>
      <x:c r="R427" s="59"/>
      <x:c r="S427" s="59"/>
      <x:c r="T427" s="59"/>
      <x:c r="U427" s="59"/>
      <x:c r="V427" s="59"/>
      <x:c r="W427" s="59"/>
      <x:c r="X427" s="59"/>
      <x:c r="Y427" s="59"/>
      <x:c r="Z427" s="59"/>
      <x:c r="AA427" s="8" t="str">
        <x:f>IF(C427="ไม่ทราบ","",SUMIFS($K$7:$Z$7,K427:Z427,"&lt;&gt;N/A"))</x:f>
      </x:c>
      <x:c r="AB427" s="8" t="str">
        <x:f>IF(AND(OR(AND(C427="จำหน่ายอาหาร",ISNUMBER(K427),L427="N/A"),AND(C427="ไม่จำหน่ายอาหาร",K427="N/A",ISNUMBER(L427)),AND(C427="มัสยิด",K427="N/A",L427="N/A",X427="N/A")),COUNT(K427:Z427)+COUNTIFS(K427:Z427,"N/A")=16),SUM(K427:Z427),"")</x:f>
      </x:c>
      <x:c r="AC427" s="62" t="str">
        <x:f>IF(OR(AB427="",AA427&lt;=0),"",ROUND(AB427/AA427*100,1))</x:f>
      </x:c>
      <x:c r="AD427" s="8" t="str">
        <x:f>IF(COUNTIFS(D427:H427,"ไม่ผ่าน")&gt;0,"ไม่ผ่าน",IF(COUNTIFS(D427:H427,"ไม่ทราบ")+COUNTBLANK(D427:H427)&gt;0,"รอยืนยัน","ผ่าน"))</x:f>
        <x:v>รอยืนยัน</x:v>
      </x:c>
      <x:c r="AE427" s="8" t="str">
        <x:f>IF(AF427="ใช่","ไม่ผ่านการคัดเลือก",IF(AND(AD427="ผ่าน",ISNUMBER(AC427),AC427&gt;=70),"พร้อมขาย",IF(OR(J427="ใช่",AND(ISNUMBER(AC427),AC427&gt;=50)),"พัฒนาเพื่อพร้อมขาย",IF(AND(ISNUMBER(AC427),AC427&lt;50,I427&gt;=1),"มีศักยภาพ แต่ต้องพัฒนามาตรฐาน","รอประเมิน"))))</x:f>
        <x:v>รอประเมิน</x:v>
      </x:c>
      <x:c r="AF427" s="59" t="str">
        <x:v>ไม่ทราบ</x:v>
      </x:c>
      <x:c r="AG427" s="8" t="str">
        <x:f>IF(AF427="ใช่","หัวหน้าทีมพิจารณาเหตุไม่ผ่าน",IF(OR(AA427&lt;=0,NOT(OR(AND(C427="จำหน่ายอาหาร",ISNUMBER(K427),L427="N/A"),AND(C427="ไม่จำหน่ายอาหาร",K427="N/A",ISNUMBER(L427)),AND(C427="มัสยิด",K427="N/A",L427="N/A",X427="N/A"))),AD427="รอยืนยัน",COUNT(K427:Z427)+COUNTIFS(K427:Z427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7" s="59" t="str"/>
      <x:c r="AI427" s="61"/>
    </x:row>
    <x:row r="428" ht="60" customHeight="1">
      <x:c r="A428" s="2" t="str">
        <x:v>R26-093</x:v>
      </x:c>
      <x:c r="B428" s="8" t="str">
        <x:v>ตลาดโต้รุ่งปัตตานี</x:v>
      </x:c>
      <x:c r="C428" s="59" t="str">
        <x:v>ไม่ทราบ</x:v>
      </x:c>
      <x:c r="D428" s="59" t="str">
        <x:v>ไม่ทราบ</x:v>
      </x:c>
      <x:c r="E428" s="59" t="str">
        <x:v>ไม่ทราบ</x:v>
      </x:c>
      <x:c r="F428" s="59" t="str">
        <x:v>ไม่ทราบ</x:v>
      </x:c>
      <x:c r="G428" s="59" t="str">
        <x:v>ไม่ทราบ</x:v>
      </x:c>
      <x:c r="H428" s="59" t="str">
        <x:v>N/A</x:v>
      </x:c>
      <x:c r="I428" s="59"/>
      <x:c r="J428" s="59" t="str">
        <x:v>ไม่ทราบ</x:v>
      </x:c>
      <x:c r="K428" s="59"/>
      <x:c r="L428" s="59"/>
      <x:c r="M428" s="59"/>
      <x:c r="N428" s="59"/>
      <x:c r="O428" s="59"/>
      <x:c r="P428" s="59"/>
      <x:c r="Q428" s="59"/>
      <x:c r="R428" s="59"/>
      <x:c r="S428" s="59"/>
      <x:c r="T428" s="59"/>
      <x:c r="U428" s="59"/>
      <x:c r="V428" s="59"/>
      <x:c r="W428" s="59"/>
      <x:c r="X428" s="59"/>
      <x:c r="Y428" s="59"/>
      <x:c r="Z428" s="59"/>
      <x:c r="AA428" s="8" t="str">
        <x:f>IF(C428="ไม่ทราบ","",SUMIFS($K$7:$Z$7,K428:Z428,"&lt;&gt;N/A"))</x:f>
      </x:c>
      <x:c r="AB428" s="8" t="str">
        <x:f>IF(AND(OR(AND(C428="จำหน่ายอาหาร",ISNUMBER(K428),L428="N/A"),AND(C428="ไม่จำหน่ายอาหาร",K428="N/A",ISNUMBER(L428)),AND(C428="มัสยิด",K428="N/A",L428="N/A",X428="N/A")),COUNT(K428:Z428)+COUNTIFS(K428:Z428,"N/A")=16),SUM(K428:Z428),"")</x:f>
      </x:c>
      <x:c r="AC428" s="62" t="str">
        <x:f>IF(OR(AB428="",AA428&lt;=0),"",ROUND(AB428/AA428*100,1))</x:f>
      </x:c>
      <x:c r="AD428" s="8" t="str">
        <x:f>IF(COUNTIFS(D428:H428,"ไม่ผ่าน")&gt;0,"ไม่ผ่าน",IF(COUNTIFS(D428:H428,"ไม่ทราบ")+COUNTBLANK(D428:H428)&gt;0,"รอยืนยัน","ผ่าน"))</x:f>
        <x:v>รอยืนยัน</x:v>
      </x:c>
      <x:c r="AE428" s="8" t="str">
        <x:f>IF(AF428="ใช่","ไม่ผ่านการคัดเลือก",IF(AND(AD428="ผ่าน",ISNUMBER(AC428),AC428&gt;=70),"พร้อมขาย",IF(OR(J428="ใช่",AND(ISNUMBER(AC428),AC428&gt;=50)),"พัฒนาเพื่อพร้อมขาย",IF(AND(ISNUMBER(AC428),AC428&lt;50,I428&gt;=1),"มีศักยภาพ แต่ต้องพัฒนามาตรฐาน","รอประเมิน"))))</x:f>
        <x:v>รอประเมิน</x:v>
      </x:c>
      <x:c r="AF428" s="59" t="str">
        <x:v>ไม่ทราบ</x:v>
      </x:c>
      <x:c r="AG428" s="8" t="str">
        <x:f>IF(AF428="ใช่","หัวหน้าทีมพิจารณาเหตุไม่ผ่าน",IF(OR(AA428&lt;=0,NOT(OR(AND(C428="จำหน่ายอาหาร",ISNUMBER(K428),L428="N/A"),AND(C428="ไม่จำหน่ายอาหาร",K428="N/A",ISNUMBER(L428)),AND(C428="มัสยิด",K428="N/A",L428="N/A",X428="N/A"))),AD428="รอยืนยัน",COUNT(K428:Z428)+COUNTIFS(K428:Z428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8" s="59" t="str"/>
      <x:c r="AI428" s="61"/>
    </x:row>
    <x:row r="429" ht="60" customHeight="1">
      <x:c r="A429" s="2" t="str">
        <x:v>R26-379</x:v>
      </x:c>
      <x:c r="B429" s="8" t="str">
        <x:v>Park View Resort Pattani</x:v>
      </x:c>
      <x:c r="C429" s="59" t="str">
        <x:v>ไม่ทราบ</x:v>
      </x:c>
      <x:c r="D429" s="59" t="str">
        <x:v>ไม่ทราบ</x:v>
      </x:c>
      <x:c r="E429" s="59" t="str">
        <x:v>ไม่ทราบ</x:v>
      </x:c>
      <x:c r="F429" s="59" t="str">
        <x:v>ไม่ทราบ</x:v>
      </x:c>
      <x:c r="G429" s="59" t="str">
        <x:v>ไม่ทราบ</x:v>
      </x:c>
      <x:c r="H429" s="59" t="str">
        <x:v>ไม่ทราบ</x:v>
      </x:c>
      <x:c r="I429" s="59"/>
      <x:c r="J429" s="59" t="str">
        <x:v>ไม่ทราบ</x:v>
      </x:c>
      <x:c r="K429" s="59"/>
      <x:c r="L429" s="59"/>
      <x:c r="M429" s="59"/>
      <x:c r="N429" s="59"/>
      <x:c r="O429" s="59"/>
      <x:c r="P429" s="59"/>
      <x:c r="Q429" s="59"/>
      <x:c r="R429" s="59"/>
      <x:c r="S429" s="59"/>
      <x:c r="T429" s="59"/>
      <x:c r="U429" s="59"/>
      <x:c r="V429" s="59"/>
      <x:c r="W429" s="59"/>
      <x:c r="X429" s="59"/>
      <x:c r="Y429" s="59"/>
      <x:c r="Z429" s="59"/>
      <x:c r="AA429" s="8" t="str">
        <x:f>IF(C429="ไม่ทราบ","",SUMIFS($K$7:$Z$7,K429:Z429,"&lt;&gt;N/A"))</x:f>
      </x:c>
      <x:c r="AB429" s="8" t="str">
        <x:f>IF(AND(OR(AND(C429="จำหน่ายอาหาร",ISNUMBER(K429),L429="N/A"),AND(C429="ไม่จำหน่ายอาหาร",K429="N/A",ISNUMBER(L429)),AND(C429="มัสยิด",K429="N/A",L429="N/A",X429="N/A")),COUNT(K429:Z429)+COUNTIFS(K429:Z429,"N/A")=16),SUM(K429:Z429),"")</x:f>
      </x:c>
      <x:c r="AC429" s="62" t="str">
        <x:f>IF(OR(AB429="",AA429&lt;=0),"",ROUND(AB429/AA429*100,1))</x:f>
      </x:c>
      <x:c r="AD429" s="8" t="str">
        <x:f>IF(COUNTIFS(D429:H429,"ไม่ผ่าน")&gt;0,"ไม่ผ่าน",IF(COUNTIFS(D429:H429,"ไม่ทราบ")+COUNTBLANK(D429:H429)&gt;0,"รอยืนยัน","ผ่าน"))</x:f>
        <x:v>รอยืนยัน</x:v>
      </x:c>
      <x:c r="AE429" s="8" t="str">
        <x:f>IF(AF429="ใช่","ไม่ผ่านการคัดเลือก",IF(AND(AD429="ผ่าน",ISNUMBER(AC429),AC429&gt;=70),"พร้อมขาย",IF(OR(J429="ใช่",AND(ISNUMBER(AC429),AC429&gt;=50)),"พัฒนาเพื่อพร้อมขาย",IF(AND(ISNUMBER(AC429),AC429&lt;50,I429&gt;=1),"มีศักยภาพ แต่ต้องพัฒนามาตรฐาน","รอประเมิน"))))</x:f>
        <x:v>รอประเมิน</x:v>
      </x:c>
      <x:c r="AF429" s="59" t="str">
        <x:v>ไม่ทราบ</x:v>
      </x:c>
      <x:c r="AG429" s="8" t="str">
        <x:f>IF(AF429="ใช่","หัวหน้าทีมพิจารณาเหตุไม่ผ่าน",IF(OR(AA429&lt;=0,NOT(OR(AND(C429="จำหน่ายอาหาร",ISNUMBER(K429),L429="N/A"),AND(C429="ไม่จำหน่ายอาหาร",K429="N/A",ISNUMBER(L429)),AND(C429="มัสยิด",K429="N/A",L429="N/A",X429="N/A"))),AD429="รอยืนยัน",COUNT(K429:Z429)+COUNTIFS(K429:Z429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29" s="59" t="str"/>
      <x:c r="AI429" s="61"/>
    </x:row>
    <x:row r="430" ht="60" customHeight="1">
      <x:c r="A430" s="2" t="str">
        <x:v>R26-378</x:v>
      </x:c>
      <x:c r="B430" s="8" t="str">
        <x:v>Southern View Hotel Pattani</x:v>
      </x:c>
      <x:c r="C430" s="59" t="str">
        <x:v>ไม่ทราบ</x:v>
      </x:c>
      <x:c r="D430" s="59" t="str">
        <x:v>ไม่ทราบ</x:v>
      </x:c>
      <x:c r="E430" s="59" t="str">
        <x:v>ไม่ทราบ</x:v>
      </x:c>
      <x:c r="F430" s="59" t="str">
        <x:v>ไม่ทราบ</x:v>
      </x:c>
      <x:c r="G430" s="59" t="str">
        <x:v>ไม่ทราบ</x:v>
      </x:c>
      <x:c r="H430" s="59" t="str">
        <x:v>ไม่ทราบ</x:v>
      </x:c>
      <x:c r="I430" s="59"/>
      <x:c r="J430" s="59" t="str">
        <x:v>ไม่ทราบ</x:v>
      </x:c>
      <x:c r="K430" s="59"/>
      <x:c r="L430" s="59"/>
      <x:c r="M430" s="59"/>
      <x:c r="N430" s="59"/>
      <x:c r="O430" s="59"/>
      <x:c r="P430" s="59"/>
      <x:c r="Q430" s="59"/>
      <x:c r="R430" s="59"/>
      <x:c r="S430" s="59"/>
      <x:c r="T430" s="59"/>
      <x:c r="U430" s="59"/>
      <x:c r="V430" s="59"/>
      <x:c r="W430" s="59"/>
      <x:c r="X430" s="59"/>
      <x:c r="Y430" s="59"/>
      <x:c r="Z430" s="59"/>
      <x:c r="AA430" s="8" t="str">
        <x:f>IF(C430="ไม่ทราบ","",SUMIFS($K$7:$Z$7,K430:Z430,"&lt;&gt;N/A"))</x:f>
      </x:c>
      <x:c r="AB430" s="8" t="str">
        <x:f>IF(AND(OR(AND(C430="จำหน่ายอาหาร",ISNUMBER(K430),L430="N/A"),AND(C430="ไม่จำหน่ายอาหาร",K430="N/A",ISNUMBER(L430)),AND(C430="มัสยิด",K430="N/A",L430="N/A",X430="N/A")),COUNT(K430:Z430)+COUNTIFS(K430:Z430,"N/A")=16),SUM(K430:Z430),"")</x:f>
      </x:c>
      <x:c r="AC430" s="62" t="str">
        <x:f>IF(OR(AB430="",AA430&lt;=0),"",ROUND(AB430/AA430*100,1))</x:f>
      </x:c>
      <x:c r="AD430" s="8" t="str">
        <x:f>IF(COUNTIFS(D430:H430,"ไม่ผ่าน")&gt;0,"ไม่ผ่าน",IF(COUNTIFS(D430:H430,"ไม่ทราบ")+COUNTBLANK(D430:H430)&gt;0,"รอยืนยัน","ผ่าน"))</x:f>
        <x:v>รอยืนยัน</x:v>
      </x:c>
      <x:c r="AE430" s="8" t="str">
        <x:f>IF(AF430="ใช่","ไม่ผ่านการคัดเลือก",IF(AND(AD430="ผ่าน",ISNUMBER(AC430),AC430&gt;=70),"พร้อมขาย",IF(OR(J430="ใช่",AND(ISNUMBER(AC430),AC430&gt;=50)),"พัฒนาเพื่อพร้อมขาย",IF(AND(ISNUMBER(AC430),AC430&lt;50,I430&gt;=1),"มีศักยภาพ แต่ต้องพัฒนามาตรฐาน","รอประเมิน"))))</x:f>
        <x:v>รอประเมิน</x:v>
      </x:c>
      <x:c r="AF430" s="59" t="str">
        <x:v>ไม่ทราบ</x:v>
      </x:c>
      <x:c r="AG430" s="8" t="str">
        <x:f>IF(AF430="ใช่","หัวหน้าทีมพิจารณาเหตุไม่ผ่าน",IF(OR(AA430&lt;=0,NOT(OR(AND(C430="จำหน่ายอาหาร",ISNUMBER(K430),L430="N/A"),AND(C430="ไม่จำหน่ายอาหาร",K430="N/A",ISNUMBER(L430)),AND(C430="มัสยิด",K430="N/A",L430="N/A",X430="N/A"))),AD430="รอยืนยัน",COUNT(K430:Z430)+COUNTIFS(K430:Z430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0" s="59" t="str"/>
      <x:c r="AI430" s="61"/>
    </x:row>
    <x:row r="431" ht="60" customHeight="1">
      <x:c r="A431" s="2" t="str">
        <x:v>R26-377</x:v>
      </x:c>
      <x:c r="B431" s="8" t="str">
        <x:v>The Wood Pattani Hotel</x:v>
      </x:c>
      <x:c r="C431" s="59" t="str">
        <x:v>ไม่ทราบ</x:v>
      </x:c>
      <x:c r="D431" s="59" t="str">
        <x:v>ไม่ทราบ</x:v>
      </x:c>
      <x:c r="E431" s="59" t="str">
        <x:v>ไม่ทราบ</x:v>
      </x:c>
      <x:c r="F431" s="59" t="str">
        <x:v>ไม่ทราบ</x:v>
      </x:c>
      <x:c r="G431" s="59" t="str">
        <x:v>ไม่ทราบ</x:v>
      </x:c>
      <x:c r="H431" s="59" t="str">
        <x:v>ไม่ทราบ</x:v>
      </x:c>
      <x:c r="I431" s="59"/>
      <x:c r="J431" s="59" t="str">
        <x:v>ไม่ทราบ</x:v>
      </x:c>
      <x:c r="K431" s="59"/>
      <x:c r="L431" s="59"/>
      <x:c r="M431" s="59"/>
      <x:c r="N431" s="59"/>
      <x:c r="O431" s="59"/>
      <x:c r="P431" s="59"/>
      <x:c r="Q431" s="59"/>
      <x:c r="R431" s="59"/>
      <x:c r="S431" s="59"/>
      <x:c r="T431" s="59"/>
      <x:c r="U431" s="59"/>
      <x:c r="V431" s="59"/>
      <x:c r="W431" s="59"/>
      <x:c r="X431" s="59"/>
      <x:c r="Y431" s="59"/>
      <x:c r="Z431" s="59"/>
      <x:c r="AA431" s="8" t="str">
        <x:f>IF(C431="ไม่ทราบ","",SUMIFS($K$7:$Z$7,K431:Z431,"&lt;&gt;N/A"))</x:f>
      </x:c>
      <x:c r="AB431" s="8" t="str">
        <x:f>IF(AND(OR(AND(C431="จำหน่ายอาหาร",ISNUMBER(K431),L431="N/A"),AND(C431="ไม่จำหน่ายอาหาร",K431="N/A",ISNUMBER(L431)),AND(C431="มัสยิด",K431="N/A",L431="N/A",X431="N/A")),COUNT(K431:Z431)+COUNTIFS(K431:Z431,"N/A")=16),SUM(K431:Z431),"")</x:f>
      </x:c>
      <x:c r="AC431" s="62" t="str">
        <x:f>IF(OR(AB431="",AA431&lt;=0),"",ROUND(AB431/AA431*100,1))</x:f>
      </x:c>
      <x:c r="AD431" s="8" t="str">
        <x:f>IF(COUNTIFS(D431:H431,"ไม่ผ่าน")&gt;0,"ไม่ผ่าน",IF(COUNTIFS(D431:H431,"ไม่ทราบ")+COUNTBLANK(D431:H431)&gt;0,"รอยืนยัน","ผ่าน"))</x:f>
        <x:v>รอยืนยัน</x:v>
      </x:c>
      <x:c r="AE431" s="8" t="str">
        <x:f>IF(AF431="ใช่","ไม่ผ่านการคัดเลือก",IF(AND(AD431="ผ่าน",ISNUMBER(AC431),AC431&gt;=70),"พร้อมขาย",IF(OR(J431="ใช่",AND(ISNUMBER(AC431),AC431&gt;=50)),"พัฒนาเพื่อพร้อมขาย",IF(AND(ISNUMBER(AC431),AC431&lt;50,I431&gt;=1),"มีศักยภาพ แต่ต้องพัฒนามาตรฐาน","รอประเมิน"))))</x:f>
        <x:v>รอประเมิน</x:v>
      </x:c>
      <x:c r="AF431" s="59" t="str">
        <x:v>ไม่ทราบ</x:v>
      </x:c>
      <x:c r="AG431" s="8" t="str">
        <x:f>IF(AF431="ใช่","หัวหน้าทีมพิจารณาเหตุไม่ผ่าน",IF(OR(AA431&lt;=0,NOT(OR(AND(C431="จำหน่ายอาหาร",ISNUMBER(K431),L431="N/A"),AND(C431="ไม่จำหน่ายอาหาร",K431="N/A",ISNUMBER(L431)),AND(C431="มัสยิด",K431="N/A",L431="N/A",X431="N/A"))),AD431="รอยืนยัน",COUNT(K431:Z431)+COUNTIFS(K431:Z431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1" s="59" t="str"/>
      <x:c r="AI431" s="61"/>
    </x:row>
    <x:row r="432" ht="60" customHeight="1">
      <x:c r="A432" s="2" t="str">
        <x:v>TMF-561</x:v>
      </x:c>
      <x:c r="B432" s="8" t="str">
        <x:v>Bagus Hot Chicken</x:v>
      </x:c>
      <x:c r="C432" s="59" t="str">
        <x:v>จำหน่ายอาหาร</x:v>
      </x:c>
      <x:c r="D432" s="59" t="str">
        <x:v>ไม่ทราบ</x:v>
      </x:c>
      <x:c r="E432" s="59" t="str">
        <x:v>ไม่ทราบ</x:v>
      </x:c>
      <x:c r="F432" s="59" t="str">
        <x:v>ไม่ทราบ</x:v>
      </x:c>
      <x:c r="G432" s="59" t="str">
        <x:v>ไม่ทราบ</x:v>
      </x:c>
      <x:c r="H432" s="59" t="str">
        <x:v>N/A</x:v>
      </x:c>
      <x:c r="I432" s="59"/>
      <x:c r="J432" s="59" t="str">
        <x:v>ไม่ทราบ</x:v>
      </x:c>
      <x:c r="K432" s="59"/>
      <x:c r="L432" s="59" t="str">
        <x:v>N/A</x:v>
      </x:c>
      <x:c r="M432" s="59"/>
      <x:c r="N432" s="59"/>
      <x:c r="O432" s="59"/>
      <x:c r="P432" s="59"/>
      <x:c r="Q432" s="59"/>
      <x:c r="R432" s="59"/>
      <x:c r="S432" s="59"/>
      <x:c r="T432" s="59"/>
      <x:c r="U432" s="59"/>
      <x:c r="V432" s="59"/>
      <x:c r="W432" s="59"/>
      <x:c r="X432" s="59"/>
      <x:c r="Y432" s="59"/>
      <x:c r="Z432" s="59"/>
      <x:c r="AA432" s="8" t="n">
        <x:f>IF(C432="ไม่ทราบ","",SUMIFS($K$7:$Z$7,K432:Z432,"&lt;&gt;N/A"))</x:f>
        <x:v>100</x:v>
      </x:c>
      <x:c r="AB432" s="8" t="str">
        <x:f>IF(AND(OR(AND(C432="จำหน่ายอาหาร",ISNUMBER(K432),L432="N/A"),AND(C432="ไม่จำหน่ายอาหาร",K432="N/A",ISNUMBER(L432)),AND(C432="มัสยิด",K432="N/A",L432="N/A",X432="N/A")),COUNT(K432:Z432)+COUNTIFS(K432:Z432,"N/A")=16),SUM(K432:Z432),"")</x:f>
      </x:c>
      <x:c r="AC432" s="62" t="str">
        <x:f>IF(OR(AB432="",AA432&lt;=0),"",ROUND(AB432/AA432*100,1))</x:f>
      </x:c>
      <x:c r="AD432" s="8" t="str">
        <x:f>IF(COUNTIFS(D432:H432,"ไม่ผ่าน")&gt;0,"ไม่ผ่าน",IF(COUNTIFS(D432:H432,"ไม่ทราบ")+COUNTBLANK(D432:H432)&gt;0,"รอยืนยัน","ผ่าน"))</x:f>
        <x:v>รอยืนยัน</x:v>
      </x:c>
      <x:c r="AE432" s="8" t="str">
        <x:f>IF(AF432="ใช่","ไม่ผ่านการคัดเลือก",IF(AND(AD432="ผ่าน",ISNUMBER(AC432),AC432&gt;=70),"พร้อมขาย",IF(OR(J432="ใช่",AND(ISNUMBER(AC432),AC432&gt;=50)),"พัฒนาเพื่อพร้อมขาย",IF(AND(ISNUMBER(AC432),AC432&lt;50,I432&gt;=1),"มีศักยภาพ แต่ต้องพัฒนามาตรฐาน","รอประเมิน"))))</x:f>
        <x:v>รอประเมิน</x:v>
      </x:c>
      <x:c r="AF432" s="59" t="str">
        <x:v>ไม่ทราบ</x:v>
      </x:c>
      <x:c r="AG432" s="8" t="str">
        <x:f>IF(AF432="ใช่","หัวหน้าทีมพิจารณาเหตุไม่ผ่าน",IF(OR(AA432&lt;=0,NOT(OR(AND(C432="จำหน่ายอาหาร",ISNUMBER(K432),L432="N/A"),AND(C432="ไม่จำหน่ายอาหาร",K432="N/A",ISNUMBER(L432)),AND(C432="มัสยิด",K432="N/A",L432="N/A",X432="N/A"))),AD432="รอยืนยัน",COUNT(K432:Z432)+COUNTIFS(K432:Z432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2" s="59" t="str"/>
      <x:c r="AI432" s="61"/>
    </x:row>
    <x:row r="433" ht="60" customHeight="1">
      <x:c r="A433" s="2" t="str">
        <x:v>R26-339</x:v>
      </x:c>
      <x:c r="B433" s="8" t="str">
        <x:v>LEMU.CO</x:v>
      </x:c>
      <x:c r="C433" s="59" t="str">
        <x:v>จำหน่ายอาหาร</x:v>
      </x:c>
      <x:c r="D433" s="59" t="str">
        <x:v>ไม่ทราบ</x:v>
      </x:c>
      <x:c r="E433" s="59" t="str">
        <x:v>ไม่ทราบ</x:v>
      </x:c>
      <x:c r="F433" s="59" t="str">
        <x:v>ไม่ทราบ</x:v>
      </x:c>
      <x:c r="G433" s="59" t="str">
        <x:v>ไม่ทราบ</x:v>
      </x:c>
      <x:c r="H433" s="59" t="str">
        <x:v>N/A</x:v>
      </x:c>
      <x:c r="I433" s="59"/>
      <x:c r="J433" s="59" t="str">
        <x:v>ไม่ทราบ</x:v>
      </x:c>
      <x:c r="K433" s="59"/>
      <x:c r="L433" s="59" t="str">
        <x:v>N/A</x:v>
      </x:c>
      <x:c r="M433" s="59"/>
      <x:c r="N433" s="59"/>
      <x:c r="O433" s="59"/>
      <x:c r="P433" s="59"/>
      <x:c r="Q433" s="59"/>
      <x:c r="R433" s="59"/>
      <x:c r="S433" s="59"/>
      <x:c r="T433" s="59"/>
      <x:c r="U433" s="59"/>
      <x:c r="V433" s="59"/>
      <x:c r="W433" s="59"/>
      <x:c r="X433" s="59"/>
      <x:c r="Y433" s="59"/>
      <x:c r="Z433" s="59"/>
      <x:c r="AA433" s="8" t="n">
        <x:f>IF(C433="ไม่ทราบ","",SUMIFS($K$7:$Z$7,K433:Z433,"&lt;&gt;N/A"))</x:f>
        <x:v>100</x:v>
      </x:c>
      <x:c r="AB433" s="8" t="str">
        <x:f>IF(AND(OR(AND(C433="จำหน่ายอาหาร",ISNUMBER(K433),L433="N/A"),AND(C433="ไม่จำหน่ายอาหาร",K433="N/A",ISNUMBER(L433)),AND(C433="มัสยิด",K433="N/A",L433="N/A",X433="N/A")),COUNT(K433:Z433)+COUNTIFS(K433:Z433,"N/A")=16),SUM(K433:Z433),"")</x:f>
      </x:c>
      <x:c r="AC433" s="62" t="str">
        <x:f>IF(OR(AB433="",AA433&lt;=0),"",ROUND(AB433/AA433*100,1))</x:f>
      </x:c>
      <x:c r="AD433" s="8" t="str">
        <x:f>IF(COUNTIFS(D433:H433,"ไม่ผ่าน")&gt;0,"ไม่ผ่าน",IF(COUNTIFS(D433:H433,"ไม่ทราบ")+COUNTBLANK(D433:H433)&gt;0,"รอยืนยัน","ผ่าน"))</x:f>
        <x:v>รอยืนยัน</x:v>
      </x:c>
      <x:c r="AE433" s="8" t="str">
        <x:f>IF(AF433="ใช่","ไม่ผ่านการคัดเลือก",IF(AND(AD433="ผ่าน",ISNUMBER(AC433),AC433&gt;=70),"พร้อมขาย",IF(OR(J433="ใช่",AND(ISNUMBER(AC433),AC433&gt;=50)),"พัฒนาเพื่อพร้อมขาย",IF(AND(ISNUMBER(AC433),AC433&lt;50,I433&gt;=1),"มีศักยภาพ แต่ต้องพัฒนามาตรฐาน","รอประเมิน"))))</x:f>
        <x:v>รอประเมิน</x:v>
      </x:c>
      <x:c r="AF433" s="59" t="str">
        <x:v>ไม่ทราบ</x:v>
      </x:c>
      <x:c r="AG433" s="8" t="str">
        <x:f>IF(AF433="ใช่","หัวหน้าทีมพิจารณาเหตุไม่ผ่าน",IF(OR(AA433&lt;=0,NOT(OR(AND(C433="จำหน่ายอาหาร",ISNUMBER(K433),L433="N/A"),AND(C433="ไม่จำหน่ายอาหาร",K433="N/A",ISNUMBER(L433)),AND(C433="มัสยิด",K433="N/A",L433="N/A",X433="N/A"))),AD433="รอยืนยัน",COUNT(K433:Z433)+COUNTIFS(K433:Z433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3" s="59" t="str"/>
      <x:c r="AI433" s="61"/>
    </x:row>
    <x:row r="434" ht="60" customHeight="1">
      <x:c r="A434" s="2" t="str">
        <x:v>TMF-563</x:v>
      </x:c>
      <x:c r="B434" s="8" t="str">
        <x:v>M.Chakir Coffee</x:v>
      </x:c>
      <x:c r="C434" s="59" t="str">
        <x:v>จำหน่ายอาหาร</x:v>
      </x:c>
      <x:c r="D434" s="59" t="str">
        <x:v>ไม่ทราบ</x:v>
      </x:c>
      <x:c r="E434" s="59" t="str">
        <x:v>ไม่ทราบ</x:v>
      </x:c>
      <x:c r="F434" s="59" t="str">
        <x:v>ไม่ทราบ</x:v>
      </x:c>
      <x:c r="G434" s="59" t="str">
        <x:v>ไม่ทราบ</x:v>
      </x:c>
      <x:c r="H434" s="59" t="str">
        <x:v>N/A</x:v>
      </x:c>
      <x:c r="I434" s="59"/>
      <x:c r="J434" s="59" t="str">
        <x:v>ไม่ทราบ</x:v>
      </x:c>
      <x:c r="K434" s="59"/>
      <x:c r="L434" s="59" t="str">
        <x:v>N/A</x:v>
      </x:c>
      <x:c r="M434" s="59"/>
      <x:c r="N434" s="59"/>
      <x:c r="O434" s="59"/>
      <x:c r="P434" s="59"/>
      <x:c r="Q434" s="59"/>
      <x:c r="R434" s="59"/>
      <x:c r="S434" s="59"/>
      <x:c r="T434" s="59"/>
      <x:c r="U434" s="59"/>
      <x:c r="V434" s="59"/>
      <x:c r="W434" s="59"/>
      <x:c r="X434" s="59"/>
      <x:c r="Y434" s="59"/>
      <x:c r="Z434" s="59"/>
      <x:c r="AA434" s="8" t="n">
        <x:f>IF(C434="ไม่ทราบ","",SUMIFS($K$7:$Z$7,K434:Z434,"&lt;&gt;N/A"))</x:f>
        <x:v>100</x:v>
      </x:c>
      <x:c r="AB434" s="8" t="str">
        <x:f>IF(AND(OR(AND(C434="จำหน่ายอาหาร",ISNUMBER(K434),L434="N/A"),AND(C434="ไม่จำหน่ายอาหาร",K434="N/A",ISNUMBER(L434)),AND(C434="มัสยิด",K434="N/A",L434="N/A",X434="N/A")),COUNT(K434:Z434)+COUNTIFS(K434:Z434,"N/A")=16),SUM(K434:Z434),"")</x:f>
      </x:c>
      <x:c r="AC434" s="62" t="str">
        <x:f>IF(OR(AB434="",AA434&lt;=0),"",ROUND(AB434/AA434*100,1))</x:f>
      </x:c>
      <x:c r="AD434" s="8" t="str">
        <x:f>IF(COUNTIFS(D434:H434,"ไม่ผ่าน")&gt;0,"ไม่ผ่าน",IF(COUNTIFS(D434:H434,"ไม่ทราบ")+COUNTBLANK(D434:H434)&gt;0,"รอยืนยัน","ผ่าน"))</x:f>
        <x:v>รอยืนยัน</x:v>
      </x:c>
      <x:c r="AE434" s="8" t="str">
        <x:f>IF(AF434="ใช่","ไม่ผ่านการคัดเลือก",IF(AND(AD434="ผ่าน",ISNUMBER(AC434),AC434&gt;=70),"พร้อมขาย",IF(OR(J434="ใช่",AND(ISNUMBER(AC434),AC434&gt;=50)),"พัฒนาเพื่อพร้อมขาย",IF(AND(ISNUMBER(AC434),AC434&lt;50,I434&gt;=1),"มีศักยภาพ แต่ต้องพัฒนามาตรฐาน","รอประเมิน"))))</x:f>
        <x:v>รอประเมิน</x:v>
      </x:c>
      <x:c r="AF434" s="59" t="str">
        <x:v>ไม่ทราบ</x:v>
      </x:c>
      <x:c r="AG434" s="8" t="str">
        <x:f>IF(AF434="ใช่","หัวหน้าทีมพิจารณาเหตุไม่ผ่าน",IF(OR(AA434&lt;=0,NOT(OR(AND(C434="จำหน่ายอาหาร",ISNUMBER(K434),L434="N/A"),AND(C434="ไม่จำหน่ายอาหาร",K434="N/A",ISNUMBER(L434)),AND(C434="มัสยิด",K434="N/A",L434="N/A",X434="N/A"))),AD434="รอยืนยัน",COUNT(K434:Z434)+COUNTIFS(K434:Z434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4" s="59" t="str"/>
      <x:c r="AI434" s="61"/>
    </x:row>
    <x:row r="435" ht="60" customHeight="1">
      <x:c r="A435" s="2" t="str">
        <x:v>TMF-564</x:v>
      </x:c>
      <x:c r="B435" s="8" t="str">
        <x:v>Mama’s corner</x:v>
      </x:c>
      <x:c r="C435" s="59" t="str">
        <x:v>จำหน่ายอาหาร</x:v>
      </x:c>
      <x:c r="D435" s="59" t="str">
        <x:v>ไม่ทราบ</x:v>
      </x:c>
      <x:c r="E435" s="59" t="str">
        <x:v>ไม่ทราบ</x:v>
      </x:c>
      <x:c r="F435" s="59" t="str">
        <x:v>ไม่ทราบ</x:v>
      </x:c>
      <x:c r="G435" s="59" t="str">
        <x:v>ไม่ทราบ</x:v>
      </x:c>
      <x:c r="H435" s="59" t="str">
        <x:v>N/A</x:v>
      </x:c>
      <x:c r="I435" s="59"/>
      <x:c r="J435" s="59" t="str">
        <x:v>ไม่ทราบ</x:v>
      </x:c>
      <x:c r="K435" s="59"/>
      <x:c r="L435" s="59" t="str">
        <x:v>N/A</x:v>
      </x:c>
      <x:c r="M435" s="59"/>
      <x:c r="N435" s="59"/>
      <x:c r="O435" s="59"/>
      <x:c r="P435" s="59"/>
      <x:c r="Q435" s="59"/>
      <x:c r="R435" s="59"/>
      <x:c r="S435" s="59"/>
      <x:c r="T435" s="59"/>
      <x:c r="U435" s="59"/>
      <x:c r="V435" s="59"/>
      <x:c r="W435" s="59"/>
      <x:c r="X435" s="59"/>
      <x:c r="Y435" s="59"/>
      <x:c r="Z435" s="59"/>
      <x:c r="AA435" s="8" t="n">
        <x:f>IF(C435="ไม่ทราบ","",SUMIFS($K$7:$Z$7,K435:Z435,"&lt;&gt;N/A"))</x:f>
        <x:v>100</x:v>
      </x:c>
      <x:c r="AB435" s="8" t="str">
        <x:f>IF(AND(OR(AND(C435="จำหน่ายอาหาร",ISNUMBER(K435),L435="N/A"),AND(C435="ไม่จำหน่ายอาหาร",K435="N/A",ISNUMBER(L435)),AND(C435="มัสยิด",K435="N/A",L435="N/A",X435="N/A")),COUNT(K435:Z435)+COUNTIFS(K435:Z435,"N/A")=16),SUM(K435:Z435),"")</x:f>
      </x:c>
      <x:c r="AC435" s="62" t="str">
        <x:f>IF(OR(AB435="",AA435&lt;=0),"",ROUND(AB435/AA435*100,1))</x:f>
      </x:c>
      <x:c r="AD435" s="8" t="str">
        <x:f>IF(COUNTIFS(D435:H435,"ไม่ผ่าน")&gt;0,"ไม่ผ่าน",IF(COUNTIFS(D435:H435,"ไม่ทราบ")+COUNTBLANK(D435:H435)&gt;0,"รอยืนยัน","ผ่าน"))</x:f>
        <x:v>รอยืนยัน</x:v>
      </x:c>
      <x:c r="AE435" s="8" t="str">
        <x:f>IF(AF435="ใช่","ไม่ผ่านการคัดเลือก",IF(AND(AD435="ผ่าน",ISNUMBER(AC435),AC435&gt;=70),"พร้อมขาย",IF(OR(J435="ใช่",AND(ISNUMBER(AC435),AC435&gt;=50)),"พัฒนาเพื่อพร้อมขาย",IF(AND(ISNUMBER(AC435),AC435&lt;50,I435&gt;=1),"มีศักยภาพ แต่ต้องพัฒนามาตรฐาน","รอประเมิน"))))</x:f>
        <x:v>รอประเมิน</x:v>
      </x:c>
      <x:c r="AF435" s="59" t="str">
        <x:v>ไม่ทราบ</x:v>
      </x:c>
      <x:c r="AG435" s="8" t="str">
        <x:f>IF(AF435="ใช่","หัวหน้าทีมพิจารณาเหตุไม่ผ่าน",IF(OR(AA435&lt;=0,NOT(OR(AND(C435="จำหน่ายอาหาร",ISNUMBER(K435),L435="N/A"),AND(C435="ไม่จำหน่ายอาหาร",K435="N/A",ISNUMBER(L435)),AND(C435="มัสยิด",K435="N/A",L435="N/A",X435="N/A"))),AD435="รอยืนยัน",COUNT(K435:Z435)+COUNTIFS(K435:Z435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5" s="59" t="str"/>
      <x:c r="AI435" s="61"/>
    </x:row>
    <x:row r="436" ht="60" customHeight="1">
      <x:c r="A436" s="2" t="str">
        <x:v>R26-342</x:v>
      </x:c>
      <x:c r="B436" s="8" t="str">
        <x:v>Roti De Forest</x:v>
      </x:c>
      <x:c r="C436" s="59" t="str">
        <x:v>จำหน่ายอาหาร</x:v>
      </x:c>
      <x:c r="D436" s="59" t="str">
        <x:v>ไม่ทราบ</x:v>
      </x:c>
      <x:c r="E436" s="59" t="str">
        <x:v>ไม่ทราบ</x:v>
      </x:c>
      <x:c r="F436" s="59" t="str">
        <x:v>ไม่ทราบ</x:v>
      </x:c>
      <x:c r="G436" s="59" t="str">
        <x:v>ไม่ทราบ</x:v>
      </x:c>
      <x:c r="H436" s="59" t="str">
        <x:v>N/A</x:v>
      </x:c>
      <x:c r="I436" s="59"/>
      <x:c r="J436" s="59" t="str">
        <x:v>ไม่ทราบ</x:v>
      </x:c>
      <x:c r="K436" s="59"/>
      <x:c r="L436" s="59" t="str">
        <x:v>N/A</x:v>
      </x:c>
      <x:c r="M436" s="59"/>
      <x:c r="N436" s="59"/>
      <x:c r="O436" s="59"/>
      <x:c r="P436" s="59"/>
      <x:c r="Q436" s="59"/>
      <x:c r="R436" s="59"/>
      <x:c r="S436" s="59"/>
      <x:c r="T436" s="59"/>
      <x:c r="U436" s="59"/>
      <x:c r="V436" s="59"/>
      <x:c r="W436" s="59"/>
      <x:c r="X436" s="59"/>
      <x:c r="Y436" s="59"/>
      <x:c r="Z436" s="59"/>
      <x:c r="AA436" s="8" t="n">
        <x:f>IF(C436="ไม่ทราบ","",SUMIFS($K$7:$Z$7,K436:Z436,"&lt;&gt;N/A"))</x:f>
        <x:v>100</x:v>
      </x:c>
      <x:c r="AB436" s="8" t="str">
        <x:f>IF(AND(OR(AND(C436="จำหน่ายอาหาร",ISNUMBER(K436),L436="N/A"),AND(C436="ไม่จำหน่ายอาหาร",K436="N/A",ISNUMBER(L436)),AND(C436="มัสยิด",K436="N/A",L436="N/A",X436="N/A")),COUNT(K436:Z436)+COUNTIFS(K436:Z436,"N/A")=16),SUM(K436:Z436),"")</x:f>
      </x:c>
      <x:c r="AC436" s="62" t="str">
        <x:f>IF(OR(AB436="",AA436&lt;=0),"",ROUND(AB436/AA436*100,1))</x:f>
      </x:c>
      <x:c r="AD436" s="8" t="str">
        <x:f>IF(COUNTIFS(D436:H436,"ไม่ผ่าน")&gt;0,"ไม่ผ่าน",IF(COUNTIFS(D436:H436,"ไม่ทราบ")+COUNTBLANK(D436:H436)&gt;0,"รอยืนยัน","ผ่าน"))</x:f>
        <x:v>รอยืนยัน</x:v>
      </x:c>
      <x:c r="AE436" s="8" t="str">
        <x:f>IF(AF436="ใช่","ไม่ผ่านการคัดเลือก",IF(AND(AD436="ผ่าน",ISNUMBER(AC436),AC436&gt;=70),"พร้อมขาย",IF(OR(J436="ใช่",AND(ISNUMBER(AC436),AC436&gt;=50)),"พัฒนาเพื่อพร้อมขาย",IF(AND(ISNUMBER(AC436),AC436&lt;50,I436&gt;=1),"มีศักยภาพ แต่ต้องพัฒนามาตรฐาน","รอประเมิน"))))</x:f>
        <x:v>รอประเมิน</x:v>
      </x:c>
      <x:c r="AF436" s="59" t="str">
        <x:v>ไม่ทราบ</x:v>
      </x:c>
      <x:c r="AG436" s="8" t="str">
        <x:f>IF(AF436="ใช่","หัวหน้าทีมพิจารณาเหตุไม่ผ่าน",IF(OR(AA436&lt;=0,NOT(OR(AND(C436="จำหน่ายอาหาร",ISNUMBER(K436),L436="N/A"),AND(C436="ไม่จำหน่ายอาหาร",K436="N/A",ISNUMBER(L436)),AND(C436="มัสยิด",K436="N/A",L436="N/A",X436="N/A"))),AD436="รอยืนยัน",COUNT(K436:Z436)+COUNTIFS(K436:Z436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6" s="59" t="str"/>
      <x:c r="AI436" s="61"/>
    </x:row>
    <x:row r="437" ht="60" customHeight="1">
      <x:c r="A437" s="2" t="str">
        <x:v>TMF-185</x:v>
      </x:c>
      <x:c r="B437" s="8" t="str">
        <x:v>The seasons cafe รังมดแดง</x:v>
      </x:c>
      <x:c r="C437" s="59" t="str">
        <x:v>จำหน่ายอาหาร</x:v>
      </x:c>
      <x:c r="D437" s="59" t="str">
        <x:v>ไม่ทราบ</x:v>
      </x:c>
      <x:c r="E437" s="59" t="str">
        <x:v>ไม่ทราบ</x:v>
      </x:c>
      <x:c r="F437" s="59" t="str">
        <x:v>ไม่ทราบ</x:v>
      </x:c>
      <x:c r="G437" s="59" t="str">
        <x:v>ไม่ทราบ</x:v>
      </x:c>
      <x:c r="H437" s="59" t="str">
        <x:v>N/A</x:v>
      </x:c>
      <x:c r="I437" s="59"/>
      <x:c r="J437" s="59" t="str">
        <x:v>ไม่ทราบ</x:v>
      </x:c>
      <x:c r="K437" s="59"/>
      <x:c r="L437" s="59" t="str">
        <x:v>N/A</x:v>
      </x:c>
      <x:c r="M437" s="59"/>
      <x:c r="N437" s="59"/>
      <x:c r="O437" s="59"/>
      <x:c r="P437" s="59"/>
      <x:c r="Q437" s="59"/>
      <x:c r="R437" s="59"/>
      <x:c r="S437" s="59"/>
      <x:c r="T437" s="59"/>
      <x:c r="U437" s="59"/>
      <x:c r="V437" s="59"/>
      <x:c r="W437" s="59"/>
      <x:c r="X437" s="59"/>
      <x:c r="Y437" s="59"/>
      <x:c r="Z437" s="59"/>
      <x:c r="AA437" s="8" t="n">
        <x:f>IF(C437="ไม่ทราบ","",SUMIFS($K$7:$Z$7,K437:Z437,"&lt;&gt;N/A"))</x:f>
        <x:v>100</x:v>
      </x:c>
      <x:c r="AB437" s="8" t="str">
        <x:f>IF(AND(OR(AND(C437="จำหน่ายอาหาร",ISNUMBER(K437),L437="N/A"),AND(C437="ไม่จำหน่ายอาหาร",K437="N/A",ISNUMBER(L437)),AND(C437="มัสยิด",K437="N/A",L437="N/A",X437="N/A")),COUNT(K437:Z437)+COUNTIFS(K437:Z437,"N/A")=16),SUM(K437:Z437),"")</x:f>
      </x:c>
      <x:c r="AC437" s="62" t="str">
        <x:f>IF(OR(AB437="",AA437&lt;=0),"",ROUND(AB437/AA437*100,1))</x:f>
      </x:c>
      <x:c r="AD437" s="8" t="str">
        <x:f>IF(COUNTIFS(D437:H437,"ไม่ผ่าน")&gt;0,"ไม่ผ่าน",IF(COUNTIFS(D437:H437,"ไม่ทราบ")+COUNTBLANK(D437:H437)&gt;0,"รอยืนยัน","ผ่าน"))</x:f>
        <x:v>รอยืนยัน</x:v>
      </x:c>
      <x:c r="AE437" s="8" t="str">
        <x:f>IF(AF437="ใช่","ไม่ผ่านการคัดเลือก",IF(AND(AD437="ผ่าน",ISNUMBER(AC437),AC437&gt;=70),"พร้อมขาย",IF(OR(J437="ใช่",AND(ISNUMBER(AC437),AC437&gt;=50)),"พัฒนาเพื่อพร้อมขาย",IF(AND(ISNUMBER(AC437),AC437&lt;50,I437&gt;=1),"มีศักยภาพ แต่ต้องพัฒนามาตรฐาน","รอประเมิน"))))</x:f>
        <x:v>รอประเมิน</x:v>
      </x:c>
      <x:c r="AF437" s="59" t="str">
        <x:v>ไม่ทราบ</x:v>
      </x:c>
      <x:c r="AG437" s="8" t="str">
        <x:f>IF(AF437="ใช่","หัวหน้าทีมพิจารณาเหตุไม่ผ่าน",IF(OR(AA437&lt;=0,NOT(OR(AND(C437="จำหน่ายอาหาร",ISNUMBER(K437),L437="N/A"),AND(C437="ไม่จำหน่ายอาหาร",K437="N/A",ISNUMBER(L437)),AND(C437="มัสยิด",K437="N/A",L437="N/A",X437="N/A"))),AD437="รอยืนยัน",COUNT(K437:Z437)+COUNTIFS(K437:Z437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7" s="59" t="str"/>
      <x:c r="AI437" s="61"/>
    </x:row>
    <x:row r="438" ht="60" customHeight="1">
      <x:c r="A438" s="2" t="str">
        <x:v>SRC-MAKAN-6357</x:v>
      </x:c>
      <x:c r="B438" s="8" t="str">
        <x:v>kopi pagi</x:v>
      </x:c>
      <x:c r="C438" s="59" t="str">
        <x:v>จำหน่ายอาหาร</x:v>
      </x:c>
      <x:c r="D438" s="59" t="str">
        <x:v>ไม่ทราบ</x:v>
      </x:c>
      <x:c r="E438" s="59" t="str">
        <x:v>ไม่ทราบ</x:v>
      </x:c>
      <x:c r="F438" s="59" t="str">
        <x:v>ไม่ทราบ</x:v>
      </x:c>
      <x:c r="G438" s="59" t="str">
        <x:v>ไม่ทราบ</x:v>
      </x:c>
      <x:c r="H438" s="59" t="str">
        <x:v>N/A</x:v>
      </x:c>
      <x:c r="I438" s="59"/>
      <x:c r="J438" s="59" t="str">
        <x:v>ไม่ทราบ</x:v>
      </x:c>
      <x:c r="K438" s="59"/>
      <x:c r="L438" s="59" t="str">
        <x:v>N/A</x:v>
      </x:c>
      <x:c r="M438" s="59"/>
      <x:c r="N438" s="59"/>
      <x:c r="O438" s="59"/>
      <x:c r="P438" s="59"/>
      <x:c r="Q438" s="59"/>
      <x:c r="R438" s="59"/>
      <x:c r="S438" s="59"/>
      <x:c r="T438" s="59"/>
      <x:c r="U438" s="59"/>
      <x:c r="V438" s="59"/>
      <x:c r="W438" s="59"/>
      <x:c r="X438" s="59"/>
      <x:c r="Y438" s="59"/>
      <x:c r="Z438" s="59"/>
      <x:c r="AA438" s="8" t="n">
        <x:f>IF(C438="ไม่ทราบ","",SUMIFS($K$7:$Z$7,K438:Z438,"&lt;&gt;N/A"))</x:f>
        <x:v>100</x:v>
      </x:c>
      <x:c r="AB438" s="8" t="str">
        <x:f>IF(AND(OR(AND(C438="จำหน่ายอาหาร",ISNUMBER(K438),L438="N/A"),AND(C438="ไม่จำหน่ายอาหาร",K438="N/A",ISNUMBER(L438)),AND(C438="มัสยิด",K438="N/A",L438="N/A",X438="N/A")),COUNT(K438:Z438)+COUNTIFS(K438:Z438,"N/A")=16),SUM(K438:Z438),"")</x:f>
      </x:c>
      <x:c r="AC438" s="62" t="str">
        <x:f>IF(OR(AB438="",AA438&lt;=0),"",ROUND(AB438/AA438*100,1))</x:f>
      </x:c>
      <x:c r="AD438" s="8" t="str">
        <x:f>IF(COUNTIFS(D438:H438,"ไม่ผ่าน")&gt;0,"ไม่ผ่าน",IF(COUNTIFS(D438:H438,"ไม่ทราบ")+COUNTBLANK(D438:H438)&gt;0,"รอยืนยัน","ผ่าน"))</x:f>
        <x:v>รอยืนยัน</x:v>
      </x:c>
      <x:c r="AE438" s="8" t="str">
        <x:f>IF(AF438="ใช่","ไม่ผ่านการคัดเลือก",IF(AND(AD438="ผ่าน",ISNUMBER(AC438),AC438&gt;=70),"พร้อมขาย",IF(OR(J438="ใช่",AND(ISNUMBER(AC438),AC438&gt;=50)),"พัฒนาเพื่อพร้อมขาย",IF(AND(ISNUMBER(AC438),AC438&lt;50,I438&gt;=1),"มีศักยภาพ แต่ต้องพัฒนามาตรฐาน","รอประเมิน"))))</x:f>
        <x:v>รอประเมิน</x:v>
      </x:c>
      <x:c r="AF438" s="59" t="str">
        <x:v>ไม่ทราบ</x:v>
      </x:c>
      <x:c r="AG438" s="8" t="str">
        <x:f>IF(AF438="ใช่","หัวหน้าทีมพิจารณาเหตุไม่ผ่าน",IF(OR(AA438&lt;=0,NOT(OR(AND(C438="จำหน่ายอาหาร",ISNUMBER(K438),L438="N/A"),AND(C438="ไม่จำหน่ายอาหาร",K438="N/A",ISNUMBER(L438)),AND(C438="มัสยิด",K438="N/A",L438="N/A",X438="N/A"))),AD438="รอยืนยัน",COUNT(K438:Z438)+COUNTIFS(K438:Z438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8" s="59" t="str"/>
      <x:c r="AI438" s="61"/>
    </x:row>
    <x:row r="439" ht="60" customHeight="1">
      <x:c r="A439" s="2" t="str">
        <x:v>TMF-373</x:v>
      </x:c>
      <x:c r="B439" s="8" t="str">
        <x:v>ครัววังแพะ Goat Chef's Kitchen</x:v>
      </x:c>
      <x:c r="C439" s="59" t="str">
        <x:v>จำหน่ายอาหาร</x:v>
      </x:c>
      <x:c r="D439" s="59" t="str">
        <x:v>ไม่ทราบ</x:v>
      </x:c>
      <x:c r="E439" s="59" t="str">
        <x:v>ไม่ทราบ</x:v>
      </x:c>
      <x:c r="F439" s="59" t="str">
        <x:v>ไม่ทราบ</x:v>
      </x:c>
      <x:c r="G439" s="59" t="str">
        <x:v>ไม่ทราบ</x:v>
      </x:c>
      <x:c r="H439" s="59" t="str">
        <x:v>N/A</x:v>
      </x:c>
      <x:c r="I439" s="59"/>
      <x:c r="J439" s="59" t="str">
        <x:v>ไม่ทราบ</x:v>
      </x:c>
      <x:c r="K439" s="59"/>
      <x:c r="L439" s="59" t="str">
        <x:v>N/A</x:v>
      </x:c>
      <x:c r="M439" s="59"/>
      <x:c r="N439" s="59"/>
      <x:c r="O439" s="59"/>
      <x:c r="P439" s="59"/>
      <x:c r="Q439" s="59"/>
      <x:c r="R439" s="59"/>
      <x:c r="S439" s="59"/>
      <x:c r="T439" s="59"/>
      <x:c r="U439" s="59"/>
      <x:c r="V439" s="59"/>
      <x:c r="W439" s="59"/>
      <x:c r="X439" s="59"/>
      <x:c r="Y439" s="59"/>
      <x:c r="Z439" s="59"/>
      <x:c r="AA439" s="8" t="n">
        <x:f>IF(C439="ไม่ทราบ","",SUMIFS($K$7:$Z$7,K439:Z439,"&lt;&gt;N/A"))</x:f>
        <x:v>100</x:v>
      </x:c>
      <x:c r="AB439" s="8" t="str">
        <x:f>IF(AND(OR(AND(C439="จำหน่ายอาหาร",ISNUMBER(K439),L439="N/A"),AND(C439="ไม่จำหน่ายอาหาร",K439="N/A",ISNUMBER(L439)),AND(C439="มัสยิด",K439="N/A",L439="N/A",X439="N/A")),COUNT(K439:Z439)+COUNTIFS(K439:Z439,"N/A")=16),SUM(K439:Z439),"")</x:f>
      </x:c>
      <x:c r="AC439" s="62" t="str">
        <x:f>IF(OR(AB439="",AA439&lt;=0),"",ROUND(AB439/AA439*100,1))</x:f>
      </x:c>
      <x:c r="AD439" s="8" t="str">
        <x:f>IF(COUNTIFS(D439:H439,"ไม่ผ่าน")&gt;0,"ไม่ผ่าน",IF(COUNTIFS(D439:H439,"ไม่ทราบ")+COUNTBLANK(D439:H439)&gt;0,"รอยืนยัน","ผ่าน"))</x:f>
        <x:v>รอยืนยัน</x:v>
      </x:c>
      <x:c r="AE439" s="8" t="str">
        <x:f>IF(AF439="ใช่","ไม่ผ่านการคัดเลือก",IF(AND(AD439="ผ่าน",ISNUMBER(AC439),AC439&gt;=70),"พร้อมขาย",IF(OR(J439="ใช่",AND(ISNUMBER(AC439),AC439&gt;=50)),"พัฒนาเพื่อพร้อมขาย",IF(AND(ISNUMBER(AC439),AC439&lt;50,I439&gt;=1),"มีศักยภาพ แต่ต้องพัฒนามาตรฐาน","รอประเมิน"))))</x:f>
        <x:v>รอประเมิน</x:v>
      </x:c>
      <x:c r="AF439" s="59" t="str">
        <x:v>ไม่ทราบ</x:v>
      </x:c>
      <x:c r="AG439" s="8" t="str">
        <x:f>IF(AF439="ใช่","หัวหน้าทีมพิจารณาเหตุไม่ผ่าน",IF(OR(AA439&lt;=0,NOT(OR(AND(C439="จำหน่ายอาหาร",ISNUMBER(K439),L439="N/A"),AND(C439="ไม่จำหน่ายอาหาร",K439="N/A",ISNUMBER(L439)),AND(C439="มัสยิด",K439="N/A",L439="N/A",X439="N/A"))),AD439="รอยืนยัน",COUNT(K439:Z439)+COUNTIFS(K439:Z439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39" s="59" t="str"/>
      <x:c r="AI439" s="61"/>
    </x:row>
    <x:row r="440" ht="60" customHeight="1">
      <x:c r="A440" s="2" t="str">
        <x:v>R26-344</x:v>
      </x:c>
      <x:c r="B440" s="8" t="str">
        <x:v>ครัวฮาลาล รูสะมิแล</x:v>
      </x:c>
      <x:c r="C440" s="59" t="str">
        <x:v>จำหน่ายอาหาร</x:v>
      </x:c>
      <x:c r="D440" s="59" t="str">
        <x:v>ไม่ทราบ</x:v>
      </x:c>
      <x:c r="E440" s="59" t="str">
        <x:v>ไม่ทราบ</x:v>
      </x:c>
      <x:c r="F440" s="59" t="str">
        <x:v>ไม่ทราบ</x:v>
      </x:c>
      <x:c r="G440" s="59" t="str">
        <x:v>ไม่ทราบ</x:v>
      </x:c>
      <x:c r="H440" s="59" t="str">
        <x:v>N/A</x:v>
      </x:c>
      <x:c r="I440" s="59"/>
      <x:c r="J440" s="59" t="str">
        <x:v>ไม่ทราบ</x:v>
      </x:c>
      <x:c r="K440" s="59"/>
      <x:c r="L440" s="59" t="str">
        <x:v>N/A</x:v>
      </x:c>
      <x:c r="M440" s="59"/>
      <x:c r="N440" s="59"/>
      <x:c r="O440" s="59"/>
      <x:c r="P440" s="59"/>
      <x:c r="Q440" s="59"/>
      <x:c r="R440" s="59"/>
      <x:c r="S440" s="59"/>
      <x:c r="T440" s="59"/>
      <x:c r="U440" s="59"/>
      <x:c r="V440" s="59"/>
      <x:c r="W440" s="59"/>
      <x:c r="X440" s="59"/>
      <x:c r="Y440" s="59"/>
      <x:c r="Z440" s="59"/>
      <x:c r="AA440" s="8" t="n">
        <x:f>IF(C440="ไม่ทราบ","",SUMIFS($K$7:$Z$7,K440:Z440,"&lt;&gt;N/A"))</x:f>
        <x:v>100</x:v>
      </x:c>
      <x:c r="AB440" s="8" t="str">
        <x:f>IF(AND(OR(AND(C440="จำหน่ายอาหาร",ISNUMBER(K440),L440="N/A"),AND(C440="ไม่จำหน่ายอาหาร",K440="N/A",ISNUMBER(L440)),AND(C440="มัสยิด",K440="N/A",L440="N/A",X440="N/A")),COUNT(K440:Z440)+COUNTIFS(K440:Z440,"N/A")=16),SUM(K440:Z440),"")</x:f>
      </x:c>
      <x:c r="AC440" s="62" t="str">
        <x:f>IF(OR(AB440="",AA440&lt;=0),"",ROUND(AB440/AA440*100,1))</x:f>
      </x:c>
      <x:c r="AD440" s="8" t="str">
        <x:f>IF(COUNTIFS(D440:H440,"ไม่ผ่าน")&gt;0,"ไม่ผ่าน",IF(COUNTIFS(D440:H440,"ไม่ทราบ")+COUNTBLANK(D440:H440)&gt;0,"รอยืนยัน","ผ่าน"))</x:f>
        <x:v>รอยืนยัน</x:v>
      </x:c>
      <x:c r="AE440" s="8" t="str">
        <x:f>IF(AF440="ใช่","ไม่ผ่านการคัดเลือก",IF(AND(AD440="ผ่าน",ISNUMBER(AC440),AC440&gt;=70),"พร้อมขาย",IF(OR(J440="ใช่",AND(ISNUMBER(AC440),AC440&gt;=50)),"พัฒนาเพื่อพร้อมขาย",IF(AND(ISNUMBER(AC440),AC440&lt;50,I440&gt;=1),"มีศักยภาพ แต่ต้องพัฒนามาตรฐาน","รอประเมิน"))))</x:f>
        <x:v>รอประเมิน</x:v>
      </x:c>
      <x:c r="AF440" s="59" t="str">
        <x:v>ไม่ทราบ</x:v>
      </x:c>
      <x:c r="AG440" s="8" t="str">
        <x:f>IF(AF440="ใช่","หัวหน้าทีมพิจารณาเหตุไม่ผ่าน",IF(OR(AA440&lt;=0,NOT(OR(AND(C440="จำหน่ายอาหาร",ISNUMBER(K440),L440="N/A"),AND(C440="ไม่จำหน่ายอาหาร",K440="N/A",ISNUMBER(L440)),AND(C440="มัสยิด",K440="N/A",L440="N/A",X440="N/A"))),AD440="รอยืนยัน",COUNT(K440:Z440)+COUNTIFS(K440:Z440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0" s="59" t="str"/>
      <x:c r="AI440" s="61"/>
    </x:row>
    <x:row r="441" ht="60" customHeight="1">
      <x:c r="A441" s="2" t="str">
        <x:v>R26-341</x:v>
      </x:c>
      <x:c r="B441" s="8" t="str">
        <x:v>ซุปช่อมาลี</x:v>
      </x:c>
      <x:c r="C441" s="59" t="str">
        <x:v>จำหน่ายอาหาร</x:v>
      </x:c>
      <x:c r="D441" s="59" t="str">
        <x:v>ไม่ทราบ</x:v>
      </x:c>
      <x:c r="E441" s="59" t="str">
        <x:v>ไม่ทราบ</x:v>
      </x:c>
      <x:c r="F441" s="59" t="str">
        <x:v>ไม่ทราบ</x:v>
      </x:c>
      <x:c r="G441" s="59" t="str">
        <x:v>ไม่ทราบ</x:v>
      </x:c>
      <x:c r="H441" s="59" t="str">
        <x:v>N/A</x:v>
      </x:c>
      <x:c r="I441" s="59"/>
      <x:c r="J441" s="59" t="str">
        <x:v>ไม่ทราบ</x:v>
      </x:c>
      <x:c r="K441" s="59"/>
      <x:c r="L441" s="59" t="str">
        <x:v>N/A</x:v>
      </x:c>
      <x:c r="M441" s="59"/>
      <x:c r="N441" s="59"/>
      <x:c r="O441" s="59"/>
      <x:c r="P441" s="59"/>
      <x:c r="Q441" s="59"/>
      <x:c r="R441" s="59"/>
      <x:c r="S441" s="59"/>
      <x:c r="T441" s="59"/>
      <x:c r="U441" s="59"/>
      <x:c r="V441" s="59"/>
      <x:c r="W441" s="59"/>
      <x:c r="X441" s="59"/>
      <x:c r="Y441" s="59"/>
      <x:c r="Z441" s="59"/>
      <x:c r="AA441" s="8" t="n">
        <x:f>IF(C441="ไม่ทราบ","",SUMIFS($K$7:$Z$7,K441:Z441,"&lt;&gt;N/A"))</x:f>
        <x:v>100</x:v>
      </x:c>
      <x:c r="AB441" s="8" t="str">
        <x:f>IF(AND(OR(AND(C441="จำหน่ายอาหาร",ISNUMBER(K441),L441="N/A"),AND(C441="ไม่จำหน่ายอาหาร",K441="N/A",ISNUMBER(L441)),AND(C441="มัสยิด",K441="N/A",L441="N/A",X441="N/A")),COUNT(K441:Z441)+COUNTIFS(K441:Z441,"N/A")=16),SUM(K441:Z441),"")</x:f>
      </x:c>
      <x:c r="AC441" s="62" t="str">
        <x:f>IF(OR(AB441="",AA441&lt;=0),"",ROUND(AB441/AA441*100,1))</x:f>
      </x:c>
      <x:c r="AD441" s="8" t="str">
        <x:f>IF(COUNTIFS(D441:H441,"ไม่ผ่าน")&gt;0,"ไม่ผ่าน",IF(COUNTIFS(D441:H441,"ไม่ทราบ")+COUNTBLANK(D441:H441)&gt;0,"รอยืนยัน","ผ่าน"))</x:f>
        <x:v>รอยืนยัน</x:v>
      </x:c>
      <x:c r="AE441" s="8" t="str">
        <x:f>IF(AF441="ใช่","ไม่ผ่านการคัดเลือก",IF(AND(AD441="ผ่าน",ISNUMBER(AC441),AC441&gt;=70),"พร้อมขาย",IF(OR(J441="ใช่",AND(ISNUMBER(AC441),AC441&gt;=50)),"พัฒนาเพื่อพร้อมขาย",IF(AND(ISNUMBER(AC441),AC441&lt;50,I441&gt;=1),"มีศักยภาพ แต่ต้องพัฒนามาตรฐาน","รอประเมิน"))))</x:f>
        <x:v>รอประเมิน</x:v>
      </x:c>
      <x:c r="AF441" s="59" t="str">
        <x:v>ไม่ทราบ</x:v>
      </x:c>
      <x:c r="AG441" s="8" t="str">
        <x:f>IF(AF441="ใช่","หัวหน้าทีมพิจารณาเหตุไม่ผ่าน",IF(OR(AA441&lt;=0,NOT(OR(AND(C441="จำหน่ายอาหาร",ISNUMBER(K441),L441="N/A"),AND(C441="ไม่จำหน่ายอาหาร",K441="N/A",ISNUMBER(L441)),AND(C441="มัสยิด",K441="N/A",L441="N/A",X441="N/A"))),AD441="รอยืนยัน",COUNT(K441:Z441)+COUNTIFS(K441:Z441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1" s="59" t="str"/>
      <x:c r="AI441" s="61"/>
    </x:row>
    <x:row r="442" ht="60" customHeight="1">
      <x:c r="A442" s="2" t="str">
        <x:v>SRC-MAKAN-5805</x:v>
      </x:c>
      <x:c r="B442" s="8" t="str">
        <x:v>ถังถังหม่าล่าทัง สาขาปัตตานี</x:v>
      </x:c>
      <x:c r="C442" s="59" t="str">
        <x:v>จำหน่ายอาหาร</x:v>
      </x:c>
      <x:c r="D442" s="59" t="str">
        <x:v>ไม่ทราบ</x:v>
      </x:c>
      <x:c r="E442" s="59" t="str">
        <x:v>ไม่ทราบ</x:v>
      </x:c>
      <x:c r="F442" s="59" t="str">
        <x:v>ไม่ทราบ</x:v>
      </x:c>
      <x:c r="G442" s="59" t="str">
        <x:v>ไม่ทราบ</x:v>
      </x:c>
      <x:c r="H442" s="59" t="str">
        <x:v>N/A</x:v>
      </x:c>
      <x:c r="I442" s="59"/>
      <x:c r="J442" s="59" t="str">
        <x:v>ไม่ทราบ</x:v>
      </x:c>
      <x:c r="K442" s="59"/>
      <x:c r="L442" s="59" t="str">
        <x:v>N/A</x:v>
      </x:c>
      <x:c r="M442" s="59"/>
      <x:c r="N442" s="59"/>
      <x:c r="O442" s="59"/>
      <x:c r="P442" s="59"/>
      <x:c r="Q442" s="59"/>
      <x:c r="R442" s="59"/>
      <x:c r="S442" s="59"/>
      <x:c r="T442" s="59"/>
      <x:c r="U442" s="59"/>
      <x:c r="V442" s="59"/>
      <x:c r="W442" s="59"/>
      <x:c r="X442" s="59"/>
      <x:c r="Y442" s="59"/>
      <x:c r="Z442" s="59"/>
      <x:c r="AA442" s="8" t="n">
        <x:f>IF(C442="ไม่ทราบ","",SUMIFS($K$7:$Z$7,K442:Z442,"&lt;&gt;N/A"))</x:f>
        <x:v>100</x:v>
      </x:c>
      <x:c r="AB442" s="8" t="str">
        <x:f>IF(AND(OR(AND(C442="จำหน่ายอาหาร",ISNUMBER(K442),L442="N/A"),AND(C442="ไม่จำหน่ายอาหาร",K442="N/A",ISNUMBER(L442)),AND(C442="มัสยิด",K442="N/A",L442="N/A",X442="N/A")),COUNT(K442:Z442)+COUNTIFS(K442:Z442,"N/A")=16),SUM(K442:Z442),"")</x:f>
      </x:c>
      <x:c r="AC442" s="62" t="str">
        <x:f>IF(OR(AB442="",AA442&lt;=0),"",ROUND(AB442/AA442*100,1))</x:f>
      </x:c>
      <x:c r="AD442" s="8" t="str">
        <x:f>IF(COUNTIFS(D442:H442,"ไม่ผ่าน")&gt;0,"ไม่ผ่าน",IF(COUNTIFS(D442:H442,"ไม่ทราบ")+COUNTBLANK(D442:H442)&gt;0,"รอยืนยัน","ผ่าน"))</x:f>
        <x:v>รอยืนยัน</x:v>
      </x:c>
      <x:c r="AE442" s="8" t="str">
        <x:f>IF(AF442="ใช่","ไม่ผ่านการคัดเลือก",IF(AND(AD442="ผ่าน",ISNUMBER(AC442),AC442&gt;=70),"พร้อมขาย",IF(OR(J442="ใช่",AND(ISNUMBER(AC442),AC442&gt;=50)),"พัฒนาเพื่อพร้อมขาย",IF(AND(ISNUMBER(AC442),AC442&lt;50,I442&gt;=1),"มีศักยภาพ แต่ต้องพัฒนามาตรฐาน","รอประเมิน"))))</x:f>
        <x:v>รอประเมิน</x:v>
      </x:c>
      <x:c r="AF442" s="59" t="str">
        <x:v>ไม่ทราบ</x:v>
      </x:c>
      <x:c r="AG442" s="8" t="str">
        <x:f>IF(AF442="ใช่","หัวหน้าทีมพิจารณาเหตุไม่ผ่าน",IF(OR(AA442&lt;=0,NOT(OR(AND(C442="จำหน่ายอาหาร",ISNUMBER(K442),L442="N/A"),AND(C442="ไม่จำหน่ายอาหาร",K442="N/A",ISNUMBER(L442)),AND(C442="มัสยิด",K442="N/A",L442="N/A",X442="N/A"))),AD442="รอยืนยัน",COUNT(K442:Z442)+COUNTIFS(K442:Z442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2" s="59" t="str"/>
      <x:c r="AI442" s="61"/>
    </x:row>
    <x:row r="443" ht="60" customHeight="1">
      <x:c r="A443" s="2" t="str">
        <x:v>SRC-MAKAN-6359</x:v>
      </x:c>
      <x:c r="B443" s="8" t="str">
        <x:v>โรตี บังหนูด</x:v>
      </x:c>
      <x:c r="C443" s="59" t="str">
        <x:v>จำหน่ายอาหาร</x:v>
      </x:c>
      <x:c r="D443" s="59" t="str">
        <x:v>ไม่ทราบ</x:v>
      </x:c>
      <x:c r="E443" s="59" t="str">
        <x:v>ไม่ทราบ</x:v>
      </x:c>
      <x:c r="F443" s="59" t="str">
        <x:v>ไม่ทราบ</x:v>
      </x:c>
      <x:c r="G443" s="59" t="str">
        <x:v>ไม่ทราบ</x:v>
      </x:c>
      <x:c r="H443" s="59" t="str">
        <x:v>N/A</x:v>
      </x:c>
      <x:c r="I443" s="59"/>
      <x:c r="J443" s="59" t="str">
        <x:v>ไม่ทราบ</x:v>
      </x:c>
      <x:c r="K443" s="59"/>
      <x:c r="L443" s="59" t="str">
        <x:v>N/A</x:v>
      </x:c>
      <x:c r="M443" s="59"/>
      <x:c r="N443" s="59"/>
      <x:c r="O443" s="59"/>
      <x:c r="P443" s="59"/>
      <x:c r="Q443" s="59"/>
      <x:c r="R443" s="59"/>
      <x:c r="S443" s="59"/>
      <x:c r="T443" s="59"/>
      <x:c r="U443" s="59"/>
      <x:c r="V443" s="59"/>
      <x:c r="W443" s="59"/>
      <x:c r="X443" s="59"/>
      <x:c r="Y443" s="59"/>
      <x:c r="Z443" s="59"/>
      <x:c r="AA443" s="8" t="n">
        <x:f>IF(C443="ไม่ทราบ","",SUMIFS($K$7:$Z$7,K443:Z443,"&lt;&gt;N/A"))</x:f>
        <x:v>100</x:v>
      </x:c>
      <x:c r="AB443" s="8" t="str">
        <x:f>IF(AND(OR(AND(C443="จำหน่ายอาหาร",ISNUMBER(K443),L443="N/A"),AND(C443="ไม่จำหน่ายอาหาร",K443="N/A",ISNUMBER(L443)),AND(C443="มัสยิด",K443="N/A",L443="N/A",X443="N/A")),COUNT(K443:Z443)+COUNTIFS(K443:Z443,"N/A")=16),SUM(K443:Z443),"")</x:f>
      </x:c>
      <x:c r="AC443" s="62" t="str">
        <x:f>IF(OR(AB443="",AA443&lt;=0),"",ROUND(AB443/AA443*100,1))</x:f>
      </x:c>
      <x:c r="AD443" s="8" t="str">
        <x:f>IF(COUNTIFS(D443:H443,"ไม่ผ่าน")&gt;0,"ไม่ผ่าน",IF(COUNTIFS(D443:H443,"ไม่ทราบ")+COUNTBLANK(D443:H443)&gt;0,"รอยืนยัน","ผ่าน"))</x:f>
        <x:v>รอยืนยัน</x:v>
      </x:c>
      <x:c r="AE443" s="8" t="str">
        <x:f>IF(AF443="ใช่","ไม่ผ่านการคัดเลือก",IF(AND(AD443="ผ่าน",ISNUMBER(AC443),AC443&gt;=70),"พร้อมขาย",IF(OR(J443="ใช่",AND(ISNUMBER(AC443),AC443&gt;=50)),"พัฒนาเพื่อพร้อมขาย",IF(AND(ISNUMBER(AC443),AC443&lt;50,I443&gt;=1),"มีศักยภาพ แต่ต้องพัฒนามาตรฐาน","รอประเมิน"))))</x:f>
        <x:v>รอประเมิน</x:v>
      </x:c>
      <x:c r="AF443" s="59" t="str">
        <x:v>ไม่ทราบ</x:v>
      </x:c>
      <x:c r="AG443" s="8" t="str">
        <x:f>IF(AF443="ใช่","หัวหน้าทีมพิจารณาเหตุไม่ผ่าน",IF(OR(AA443&lt;=0,NOT(OR(AND(C443="จำหน่ายอาหาร",ISNUMBER(K443),L443="N/A"),AND(C443="ไม่จำหน่ายอาหาร",K443="N/A",ISNUMBER(L443)),AND(C443="มัสยิด",K443="N/A",L443="N/A",X443="N/A"))),AD443="รอยืนยัน",COUNT(K443:Z443)+COUNTIFS(K443:Z443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3" s="59" t="str"/>
      <x:c r="AI443" s="61"/>
    </x:row>
    <x:row r="444" ht="60" customHeight="1">
      <x:c r="A444" s="2" t="str">
        <x:v>R26-340</x:v>
      </x:c>
      <x:c r="B444" s="8" t="str">
        <x:v>โรตีแวมะ</x:v>
      </x:c>
      <x:c r="C444" s="59" t="str">
        <x:v>จำหน่ายอาหาร</x:v>
      </x:c>
      <x:c r="D444" s="59" t="str">
        <x:v>ไม่ทราบ</x:v>
      </x:c>
      <x:c r="E444" s="59" t="str">
        <x:v>ไม่ทราบ</x:v>
      </x:c>
      <x:c r="F444" s="59" t="str">
        <x:v>ไม่ทราบ</x:v>
      </x:c>
      <x:c r="G444" s="59" t="str">
        <x:v>ไม่ทราบ</x:v>
      </x:c>
      <x:c r="H444" s="59" t="str">
        <x:v>N/A</x:v>
      </x:c>
      <x:c r="I444" s="59"/>
      <x:c r="J444" s="59" t="str">
        <x:v>ไม่ทราบ</x:v>
      </x:c>
      <x:c r="K444" s="59"/>
      <x:c r="L444" s="59" t="str">
        <x:v>N/A</x:v>
      </x:c>
      <x:c r="M444" s="59"/>
      <x:c r="N444" s="59"/>
      <x:c r="O444" s="59"/>
      <x:c r="P444" s="59"/>
      <x:c r="Q444" s="59"/>
      <x:c r="R444" s="59"/>
      <x:c r="S444" s="59"/>
      <x:c r="T444" s="59"/>
      <x:c r="U444" s="59"/>
      <x:c r="V444" s="59"/>
      <x:c r="W444" s="59"/>
      <x:c r="X444" s="59"/>
      <x:c r="Y444" s="59"/>
      <x:c r="Z444" s="59"/>
      <x:c r="AA444" s="8" t="n">
        <x:f>IF(C444="ไม่ทราบ","",SUMIFS($K$7:$Z$7,K444:Z444,"&lt;&gt;N/A"))</x:f>
        <x:v>100</x:v>
      </x:c>
      <x:c r="AB444" s="8" t="str">
        <x:f>IF(AND(OR(AND(C444="จำหน่ายอาหาร",ISNUMBER(K444),L444="N/A"),AND(C444="ไม่จำหน่ายอาหาร",K444="N/A",ISNUMBER(L444)),AND(C444="มัสยิด",K444="N/A",L444="N/A",X444="N/A")),COUNT(K444:Z444)+COUNTIFS(K444:Z444,"N/A")=16),SUM(K444:Z444),"")</x:f>
      </x:c>
      <x:c r="AC444" s="62" t="str">
        <x:f>IF(OR(AB444="",AA444&lt;=0),"",ROUND(AB444/AA444*100,1))</x:f>
      </x:c>
      <x:c r="AD444" s="8" t="str">
        <x:f>IF(COUNTIFS(D444:H444,"ไม่ผ่าน")&gt;0,"ไม่ผ่าน",IF(COUNTIFS(D444:H444,"ไม่ทราบ")+COUNTBLANK(D444:H444)&gt;0,"รอยืนยัน","ผ่าน"))</x:f>
        <x:v>รอยืนยัน</x:v>
      </x:c>
      <x:c r="AE444" s="8" t="str">
        <x:f>IF(AF444="ใช่","ไม่ผ่านการคัดเลือก",IF(AND(AD444="ผ่าน",ISNUMBER(AC444),AC444&gt;=70),"พร้อมขาย",IF(OR(J444="ใช่",AND(ISNUMBER(AC444),AC444&gt;=50)),"พัฒนาเพื่อพร้อมขาย",IF(AND(ISNUMBER(AC444),AC444&lt;50,I444&gt;=1),"มีศักยภาพ แต่ต้องพัฒนามาตรฐาน","รอประเมิน"))))</x:f>
        <x:v>รอประเมิน</x:v>
      </x:c>
      <x:c r="AF444" s="59" t="str">
        <x:v>ไม่ทราบ</x:v>
      </x:c>
      <x:c r="AG444" s="8" t="str">
        <x:f>IF(AF444="ใช่","หัวหน้าทีมพิจารณาเหตุไม่ผ่าน",IF(OR(AA444&lt;=0,NOT(OR(AND(C444="จำหน่ายอาหาร",ISNUMBER(K444),L444="N/A"),AND(C444="ไม่จำหน่ายอาหาร",K444="N/A",ISNUMBER(L444)),AND(C444="มัสยิด",K444="N/A",L444="N/A",X444="N/A"))),AD444="รอยืนยัน",COUNT(K444:Z444)+COUNTIFS(K444:Z444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4" s="59" t="str"/>
      <x:c r="AI444" s="61"/>
    </x:row>
    <x:row r="445" ht="60" customHeight="1">
      <x:c r="A445" s="2" t="str">
        <x:v>R26-195</x:v>
      </x:c>
      <x:c r="B445" s="8" t="str">
        <x:v>สวนสมเด็จพระศรีนครินทร์ ปัตตานี</x:v>
      </x:c>
      <x:c r="C445" s="59" t="str">
        <x:v>ไม่ทราบ</x:v>
      </x:c>
      <x:c r="D445" s="59" t="str">
        <x:v>ไม่ทราบ</x:v>
      </x:c>
      <x:c r="E445" s="59" t="str">
        <x:v>ไม่ทราบ</x:v>
      </x:c>
      <x:c r="F445" s="59" t="str">
        <x:v>ไม่ทราบ</x:v>
      </x:c>
      <x:c r="G445" s="59" t="str">
        <x:v>ไม่ทราบ</x:v>
      </x:c>
      <x:c r="H445" s="59" t="str">
        <x:v>N/A</x:v>
      </x:c>
      <x:c r="I445" s="59"/>
      <x:c r="J445" s="59" t="str">
        <x:v>ไม่ทราบ</x:v>
      </x:c>
      <x:c r="K445" s="59"/>
      <x:c r="L445" s="59"/>
      <x:c r="M445" s="59"/>
      <x:c r="N445" s="59"/>
      <x:c r="O445" s="59"/>
      <x:c r="P445" s="59"/>
      <x:c r="Q445" s="59"/>
      <x:c r="R445" s="59"/>
      <x:c r="S445" s="59"/>
      <x:c r="T445" s="59"/>
      <x:c r="U445" s="59"/>
      <x:c r="V445" s="59"/>
      <x:c r="W445" s="59"/>
      <x:c r="X445" s="59"/>
      <x:c r="Y445" s="59"/>
      <x:c r="Z445" s="59"/>
      <x:c r="AA445" s="8" t="str">
        <x:f>IF(C445="ไม่ทราบ","",SUMIFS($K$7:$Z$7,K445:Z445,"&lt;&gt;N/A"))</x:f>
      </x:c>
      <x:c r="AB445" s="8" t="str">
        <x:f>IF(AND(OR(AND(C445="จำหน่ายอาหาร",ISNUMBER(K445),L445="N/A"),AND(C445="ไม่จำหน่ายอาหาร",K445="N/A",ISNUMBER(L445)),AND(C445="มัสยิด",K445="N/A",L445="N/A",X445="N/A")),COUNT(K445:Z445)+COUNTIFS(K445:Z445,"N/A")=16),SUM(K445:Z445),"")</x:f>
      </x:c>
      <x:c r="AC445" s="62" t="str">
        <x:f>IF(OR(AB445="",AA445&lt;=0),"",ROUND(AB445/AA445*100,1))</x:f>
      </x:c>
      <x:c r="AD445" s="8" t="str">
        <x:f>IF(COUNTIFS(D445:H445,"ไม่ผ่าน")&gt;0,"ไม่ผ่าน",IF(COUNTIFS(D445:H445,"ไม่ทราบ")+COUNTBLANK(D445:H445)&gt;0,"รอยืนยัน","ผ่าน"))</x:f>
        <x:v>รอยืนยัน</x:v>
      </x:c>
      <x:c r="AE445" s="8" t="str">
        <x:f>IF(AF445="ใช่","ไม่ผ่านการคัดเลือก",IF(AND(AD445="ผ่าน",ISNUMBER(AC445),AC445&gt;=70),"พร้อมขาย",IF(OR(J445="ใช่",AND(ISNUMBER(AC445),AC445&gt;=50)),"พัฒนาเพื่อพร้อมขาย",IF(AND(ISNUMBER(AC445),AC445&lt;50,I445&gt;=1),"มีศักยภาพ แต่ต้องพัฒนามาตรฐาน","รอประเมิน"))))</x:f>
        <x:v>รอประเมิน</x:v>
      </x:c>
      <x:c r="AF445" s="59" t="str">
        <x:v>ไม่ทราบ</x:v>
      </x:c>
      <x:c r="AG445" s="8" t="str">
        <x:f>IF(AF445="ใช่","หัวหน้าทีมพิจารณาเหตุไม่ผ่าน",IF(OR(AA445&lt;=0,NOT(OR(AND(C445="จำหน่ายอาหาร",ISNUMBER(K445),L445="N/A"),AND(C445="ไม่จำหน่ายอาหาร",K445="N/A",ISNUMBER(L445)),AND(C445="มัสยิด",K445="N/A",L445="N/A",X445="N/A"))),AD445="รอยืนยัน",COUNT(K445:Z445)+COUNTIFS(K445:Z445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5" s="59" t="str"/>
      <x:c r="AI445" s="61"/>
    </x:row>
    <x:row r="446" ht="60" customHeight="1">
      <x:c r="A446" s="2" t="str">
        <x:v>R26-193</x:v>
      </x:c>
      <x:c r="B446" s="8" t="str">
        <x:v>หาดแฆแฆ</x:v>
      </x:c>
      <x:c r="C446" s="59" t="str">
        <x:v>ไม่ทราบ</x:v>
      </x:c>
      <x:c r="D446" s="59" t="str">
        <x:v>ไม่ทราบ</x:v>
      </x:c>
      <x:c r="E446" s="59" t="str">
        <x:v>ไม่ทราบ</x:v>
      </x:c>
      <x:c r="F446" s="59" t="str">
        <x:v>ไม่ทราบ</x:v>
      </x:c>
      <x:c r="G446" s="59" t="str">
        <x:v>ไม่ทราบ</x:v>
      </x:c>
      <x:c r="H446" s="59" t="str">
        <x:v>N/A</x:v>
      </x:c>
      <x:c r="I446" s="59"/>
      <x:c r="J446" s="59" t="str">
        <x:v>ไม่ทราบ</x:v>
      </x:c>
      <x:c r="K446" s="59"/>
      <x:c r="L446" s="59"/>
      <x:c r="M446" s="59"/>
      <x:c r="N446" s="59"/>
      <x:c r="O446" s="59"/>
      <x:c r="P446" s="59"/>
      <x:c r="Q446" s="59"/>
      <x:c r="R446" s="59"/>
      <x:c r="S446" s="59"/>
      <x:c r="T446" s="59"/>
      <x:c r="U446" s="59"/>
      <x:c r="V446" s="59"/>
      <x:c r="W446" s="59"/>
      <x:c r="X446" s="59"/>
      <x:c r="Y446" s="59"/>
      <x:c r="Z446" s="59"/>
      <x:c r="AA446" s="8" t="str">
        <x:f>IF(C446="ไม่ทราบ","",SUMIFS($K$7:$Z$7,K446:Z446,"&lt;&gt;N/A"))</x:f>
      </x:c>
      <x:c r="AB446" s="8" t="str">
        <x:f>IF(AND(OR(AND(C446="จำหน่ายอาหาร",ISNUMBER(K446),L446="N/A"),AND(C446="ไม่จำหน่ายอาหาร",K446="N/A",ISNUMBER(L446)),AND(C446="มัสยิด",K446="N/A",L446="N/A",X446="N/A")),COUNT(K446:Z446)+COUNTIFS(K446:Z446,"N/A")=16),SUM(K446:Z446),"")</x:f>
      </x:c>
      <x:c r="AC446" s="62" t="str">
        <x:f>IF(OR(AB446="",AA446&lt;=0),"",ROUND(AB446/AA446*100,1))</x:f>
      </x:c>
      <x:c r="AD446" s="8" t="str">
        <x:f>IF(COUNTIFS(D446:H446,"ไม่ผ่าน")&gt;0,"ไม่ผ่าน",IF(COUNTIFS(D446:H446,"ไม่ทราบ")+COUNTBLANK(D446:H446)&gt;0,"รอยืนยัน","ผ่าน"))</x:f>
        <x:v>รอยืนยัน</x:v>
      </x:c>
      <x:c r="AE446" s="8" t="str">
        <x:f>IF(AF446="ใช่","ไม่ผ่านการคัดเลือก",IF(AND(AD446="ผ่าน",ISNUMBER(AC446),AC446&gt;=70),"พร้อมขาย",IF(OR(J446="ใช่",AND(ISNUMBER(AC446),AC446&gt;=50)),"พัฒนาเพื่อพร้อมขาย",IF(AND(ISNUMBER(AC446),AC446&lt;50,I446&gt;=1),"มีศักยภาพ แต่ต้องพัฒนามาตรฐาน","รอประเมิน"))))</x:f>
        <x:v>รอประเมิน</x:v>
      </x:c>
      <x:c r="AF446" s="59" t="str">
        <x:v>ไม่ทราบ</x:v>
      </x:c>
      <x:c r="AG446" s="8" t="str">
        <x:f>IF(AF446="ใช่","หัวหน้าทีมพิจารณาเหตุไม่ผ่าน",IF(OR(AA446&lt;=0,NOT(OR(AND(C446="จำหน่ายอาหาร",ISNUMBER(K446),L446="N/A"),AND(C446="ไม่จำหน่ายอาหาร",K446="N/A",ISNUMBER(L446)),AND(C446="มัสยิด",K446="N/A",L446="N/A",X446="N/A"))),AD446="รอยืนยัน",COUNT(K446:Z446)+COUNTIFS(K446:Z446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6" s="59" t="str"/>
      <x:c r="AI446" s="61"/>
    </x:row>
    <x:row r="447" ht="60" customHeight="1">
      <x:c r="A447" s="2" t="str">
        <x:v>R26-194</x:v>
      </x:c>
      <x:c r="B447" s="8" t="str">
        <x:v>แหลมตาชี</x:v>
      </x:c>
      <x:c r="C447" s="59" t="str">
        <x:v>ไม่ทราบ</x:v>
      </x:c>
      <x:c r="D447" s="59" t="str">
        <x:v>ไม่ทราบ</x:v>
      </x:c>
      <x:c r="E447" s="59" t="str">
        <x:v>ไม่ทราบ</x:v>
      </x:c>
      <x:c r="F447" s="59" t="str">
        <x:v>ไม่ทราบ</x:v>
      </x:c>
      <x:c r="G447" s="59" t="str">
        <x:v>ไม่ทราบ</x:v>
      </x:c>
      <x:c r="H447" s="59" t="str">
        <x:v>N/A</x:v>
      </x:c>
      <x:c r="I447" s="59"/>
      <x:c r="J447" s="59" t="str">
        <x:v>ไม่ทราบ</x:v>
      </x:c>
      <x:c r="K447" s="59"/>
      <x:c r="L447" s="59"/>
      <x:c r="M447" s="59"/>
      <x:c r="N447" s="59"/>
      <x:c r="O447" s="59"/>
      <x:c r="P447" s="59"/>
      <x:c r="Q447" s="59"/>
      <x:c r="R447" s="59"/>
      <x:c r="S447" s="59"/>
      <x:c r="T447" s="59"/>
      <x:c r="U447" s="59"/>
      <x:c r="V447" s="59"/>
      <x:c r="W447" s="59"/>
      <x:c r="X447" s="59"/>
      <x:c r="Y447" s="59"/>
      <x:c r="Z447" s="59"/>
      <x:c r="AA447" s="8" t="str">
        <x:f>IF(C447="ไม่ทราบ","",SUMIFS($K$7:$Z$7,K447:Z447,"&lt;&gt;N/A"))</x:f>
      </x:c>
      <x:c r="AB447" s="8" t="str">
        <x:f>IF(AND(OR(AND(C447="จำหน่ายอาหาร",ISNUMBER(K447),L447="N/A"),AND(C447="ไม่จำหน่ายอาหาร",K447="N/A",ISNUMBER(L447)),AND(C447="มัสยิด",K447="N/A",L447="N/A",X447="N/A")),COUNT(K447:Z447)+COUNTIFS(K447:Z447,"N/A")=16),SUM(K447:Z447),"")</x:f>
      </x:c>
      <x:c r="AC447" s="62" t="str">
        <x:f>IF(OR(AB447="",AA447&lt;=0),"",ROUND(AB447/AA447*100,1))</x:f>
      </x:c>
      <x:c r="AD447" s="8" t="str">
        <x:f>IF(COUNTIFS(D447:H447,"ไม่ผ่าน")&gt;0,"ไม่ผ่าน",IF(COUNTIFS(D447:H447,"ไม่ทราบ")+COUNTBLANK(D447:H447)&gt;0,"รอยืนยัน","ผ่าน"))</x:f>
        <x:v>รอยืนยัน</x:v>
      </x:c>
      <x:c r="AE447" s="8" t="str">
        <x:f>IF(AF447="ใช่","ไม่ผ่านการคัดเลือก",IF(AND(AD447="ผ่าน",ISNUMBER(AC447),AC447&gt;=70),"พร้อมขาย",IF(OR(J447="ใช่",AND(ISNUMBER(AC447),AC447&gt;=50)),"พัฒนาเพื่อพร้อมขาย",IF(AND(ISNUMBER(AC447),AC447&lt;50,I447&gt;=1),"มีศักยภาพ แต่ต้องพัฒนามาตรฐาน","รอประเมิน"))))</x:f>
        <x:v>รอประเมิน</x:v>
      </x:c>
      <x:c r="AF447" s="59" t="str">
        <x:v>ไม่ทราบ</x:v>
      </x:c>
      <x:c r="AG447" s="8" t="str">
        <x:f>IF(AF447="ใช่","หัวหน้าทีมพิจารณาเหตุไม่ผ่าน",IF(OR(AA447&lt;=0,NOT(OR(AND(C447="จำหน่ายอาหาร",ISNUMBER(K447),L447="N/A"),AND(C447="ไม่จำหน่ายอาหาร",K447="N/A",ISNUMBER(L447)),AND(C447="มัสยิด",K447="N/A",L447="N/A",X447="N/A"))),AD447="รอยืนยัน",COUNT(K447:Z447)+COUNTIFS(K447:Z447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7" s="59" t="str"/>
      <x:c r="AI447" s="61"/>
    </x:row>
    <x:row r="448" ht="60" customHeight="1">
      <x:c r="A448" s="2" t="str">
        <x:v>R26-196</x:v>
      </x:c>
      <x:c r="B448" s="8" t="str">
        <x:v>ชุมชนบ้านบางปู ปัตตานี</x:v>
      </x:c>
      <x:c r="C448" s="59" t="str">
        <x:v>ไม่ทราบ</x:v>
      </x:c>
      <x:c r="D448" s="59" t="str">
        <x:v>ไม่ทราบ</x:v>
      </x:c>
      <x:c r="E448" s="59" t="str">
        <x:v>ไม่ทราบ</x:v>
      </x:c>
      <x:c r="F448" s="59" t="str">
        <x:v>ไม่ทราบ</x:v>
      </x:c>
      <x:c r="G448" s="59" t="str">
        <x:v>ไม่ทราบ</x:v>
      </x:c>
      <x:c r="H448" s="59" t="str">
        <x:v>N/A</x:v>
      </x:c>
      <x:c r="I448" s="59"/>
      <x:c r="J448" s="59" t="str">
        <x:v>ไม่ทราบ</x:v>
      </x:c>
      <x:c r="K448" s="59"/>
      <x:c r="L448" s="59"/>
      <x:c r="M448" s="59"/>
      <x:c r="N448" s="59"/>
      <x:c r="O448" s="59"/>
      <x:c r="P448" s="59"/>
      <x:c r="Q448" s="59"/>
      <x:c r="R448" s="59"/>
      <x:c r="S448" s="59"/>
      <x:c r="T448" s="59"/>
      <x:c r="U448" s="59"/>
      <x:c r="V448" s="59"/>
      <x:c r="W448" s="59"/>
      <x:c r="X448" s="59"/>
      <x:c r="Y448" s="59"/>
      <x:c r="Z448" s="59"/>
      <x:c r="AA448" s="8" t="str">
        <x:f>IF(C448="ไม่ทราบ","",SUMIFS($K$7:$Z$7,K448:Z448,"&lt;&gt;N/A"))</x:f>
      </x:c>
      <x:c r="AB448" s="8" t="str">
        <x:f>IF(AND(OR(AND(C448="จำหน่ายอาหาร",ISNUMBER(K448),L448="N/A"),AND(C448="ไม่จำหน่ายอาหาร",K448="N/A",ISNUMBER(L448)),AND(C448="มัสยิด",K448="N/A",L448="N/A",X448="N/A")),COUNT(K448:Z448)+COUNTIFS(K448:Z448,"N/A")=16),SUM(K448:Z448),"")</x:f>
      </x:c>
      <x:c r="AC448" s="62" t="str">
        <x:f>IF(OR(AB448="",AA448&lt;=0),"",ROUND(AB448/AA448*100,1))</x:f>
      </x:c>
      <x:c r="AD448" s="8" t="str">
        <x:f>IF(COUNTIFS(D448:H448,"ไม่ผ่าน")&gt;0,"ไม่ผ่าน",IF(COUNTIFS(D448:H448,"ไม่ทราบ")+COUNTBLANK(D448:H448)&gt;0,"รอยืนยัน","ผ่าน"))</x:f>
        <x:v>รอยืนยัน</x:v>
      </x:c>
      <x:c r="AE448" s="8" t="str">
        <x:f>IF(AF448="ใช่","ไม่ผ่านการคัดเลือก",IF(AND(AD448="ผ่าน",ISNUMBER(AC448),AC448&gt;=70),"พร้อมขาย",IF(OR(J448="ใช่",AND(ISNUMBER(AC448),AC448&gt;=50)),"พัฒนาเพื่อพร้อมขาย",IF(AND(ISNUMBER(AC448),AC448&lt;50,I448&gt;=1),"มีศักยภาพ แต่ต้องพัฒนามาตรฐาน","รอประเมิน"))))</x:f>
        <x:v>รอประเมิน</x:v>
      </x:c>
      <x:c r="AF448" s="59" t="str">
        <x:v>ไม่ทราบ</x:v>
      </x:c>
      <x:c r="AG448" s="8" t="str">
        <x:f>IF(AF448="ใช่","หัวหน้าทีมพิจารณาเหตุไม่ผ่าน",IF(OR(AA448&lt;=0,NOT(OR(AND(C448="จำหน่ายอาหาร",ISNUMBER(K448),L448="N/A"),AND(C448="ไม่จำหน่ายอาหาร",K448="N/A",ISNUMBER(L448)),AND(C448="มัสยิด",K448="N/A",L448="N/A",X448="N/A"))),AD448="รอยืนยัน",COUNT(K448:Z448)+COUNTIFS(K448:Z448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8" s="59" t="str"/>
      <x:c r="AI448" s="61"/>
    </x:row>
    <x:row r="449" ht="60" customHeight="1">
      <x:c r="A449" s="2" t="str">
        <x:v>R26-198</x:v>
      </x:c>
      <x:c r="B449" s="8" t="str">
        <x:v>ชุมชนบ้านปะเสยะวอ</x:v>
      </x:c>
      <x:c r="C449" s="59" t="str">
        <x:v>ไม่ทราบ</x:v>
      </x:c>
      <x:c r="D449" s="59" t="str">
        <x:v>ไม่ทราบ</x:v>
      </x:c>
      <x:c r="E449" s="59" t="str">
        <x:v>ไม่ทราบ</x:v>
      </x:c>
      <x:c r="F449" s="59" t="str">
        <x:v>ไม่ทราบ</x:v>
      </x:c>
      <x:c r="G449" s="59" t="str">
        <x:v>ไม่ทราบ</x:v>
      </x:c>
      <x:c r="H449" s="59" t="str">
        <x:v>N/A</x:v>
      </x:c>
      <x:c r="I449" s="59"/>
      <x:c r="J449" s="59" t="str">
        <x:v>ไม่ทราบ</x:v>
      </x:c>
      <x:c r="K449" s="59"/>
      <x:c r="L449" s="59"/>
      <x:c r="M449" s="59"/>
      <x:c r="N449" s="59"/>
      <x:c r="O449" s="59"/>
      <x:c r="P449" s="59"/>
      <x:c r="Q449" s="59"/>
      <x:c r="R449" s="59"/>
      <x:c r="S449" s="59"/>
      <x:c r="T449" s="59"/>
      <x:c r="U449" s="59"/>
      <x:c r="V449" s="59"/>
      <x:c r="W449" s="59"/>
      <x:c r="X449" s="59"/>
      <x:c r="Y449" s="59"/>
      <x:c r="Z449" s="59"/>
      <x:c r="AA449" s="8" t="str">
        <x:f>IF(C449="ไม่ทราบ","",SUMIFS($K$7:$Z$7,K449:Z449,"&lt;&gt;N/A"))</x:f>
      </x:c>
      <x:c r="AB449" s="8" t="str">
        <x:f>IF(AND(OR(AND(C449="จำหน่ายอาหาร",ISNUMBER(K449),L449="N/A"),AND(C449="ไม่จำหน่ายอาหาร",K449="N/A",ISNUMBER(L449)),AND(C449="มัสยิด",K449="N/A",L449="N/A",X449="N/A")),COUNT(K449:Z449)+COUNTIFS(K449:Z449,"N/A")=16),SUM(K449:Z449),"")</x:f>
      </x:c>
      <x:c r="AC449" s="62" t="str">
        <x:f>IF(OR(AB449="",AA449&lt;=0),"",ROUND(AB449/AA449*100,1))</x:f>
      </x:c>
      <x:c r="AD449" s="8" t="str">
        <x:f>IF(COUNTIFS(D449:H449,"ไม่ผ่าน")&gt;0,"ไม่ผ่าน",IF(COUNTIFS(D449:H449,"ไม่ทราบ")+COUNTBLANK(D449:H449)&gt;0,"รอยืนยัน","ผ่าน"))</x:f>
        <x:v>รอยืนยัน</x:v>
      </x:c>
      <x:c r="AE449" s="8" t="str">
        <x:f>IF(AF449="ใช่","ไม่ผ่านการคัดเลือก",IF(AND(AD449="ผ่าน",ISNUMBER(AC449),AC449&gt;=70),"พร้อมขาย",IF(OR(J449="ใช่",AND(ISNUMBER(AC449),AC449&gt;=50)),"พัฒนาเพื่อพร้อมขาย",IF(AND(ISNUMBER(AC449),AC449&lt;50,I449&gt;=1),"มีศักยภาพ แต่ต้องพัฒนามาตรฐาน","รอประเมิน"))))</x:f>
        <x:v>รอประเมิน</x:v>
      </x:c>
      <x:c r="AF449" s="59" t="str">
        <x:v>ไม่ทราบ</x:v>
      </x:c>
      <x:c r="AG449" s="8" t="str">
        <x:f>IF(AF449="ใช่","หัวหน้าทีมพิจารณาเหตุไม่ผ่าน",IF(OR(AA449&lt;=0,NOT(OR(AND(C449="จำหน่ายอาหาร",ISNUMBER(K449),L449="N/A"),AND(C449="ไม่จำหน่ายอาหาร",K449="N/A",ISNUMBER(L449)),AND(C449="มัสยิด",K449="N/A",L449="N/A",X449="N/A"))),AD449="รอยืนยัน",COUNT(K449:Z449)+COUNTIFS(K449:Z449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49" s="59" t="str"/>
      <x:c r="AI449" s="61"/>
    </x:row>
    <x:row r="450" ht="60" customHeight="1">
      <x:c r="A450" s="2" t="str">
        <x:v>R26-097</x:v>
      </x:c>
      <x:c r="B450" s="8" t="str">
        <x:v>สวนขวัญเมือง</x:v>
      </x:c>
      <x:c r="C450" s="59" t="str">
        <x:v>ไม่ทราบ</x:v>
      </x:c>
      <x:c r="D450" s="59" t="str">
        <x:v>ไม่ทราบ</x:v>
      </x:c>
      <x:c r="E450" s="59" t="str">
        <x:v>ไม่ทราบ</x:v>
      </x:c>
      <x:c r="F450" s="59" t="str">
        <x:v>ไม่ทราบ</x:v>
      </x:c>
      <x:c r="G450" s="59" t="str">
        <x:v>ไม่ทราบ</x:v>
      </x:c>
      <x:c r="H450" s="59" t="str">
        <x:v>N/A</x:v>
      </x:c>
      <x:c r="I450" s="59"/>
      <x:c r="J450" s="59" t="str">
        <x:v>ไม่ทราบ</x:v>
      </x:c>
      <x:c r="K450" s="59"/>
      <x:c r="L450" s="59"/>
      <x:c r="M450" s="59"/>
      <x:c r="N450" s="59"/>
      <x:c r="O450" s="59"/>
      <x:c r="P450" s="59"/>
      <x:c r="Q450" s="59"/>
      <x:c r="R450" s="59"/>
      <x:c r="S450" s="59"/>
      <x:c r="T450" s="59"/>
      <x:c r="U450" s="59"/>
      <x:c r="V450" s="59"/>
      <x:c r="W450" s="59"/>
      <x:c r="X450" s="59"/>
      <x:c r="Y450" s="59"/>
      <x:c r="Z450" s="59"/>
      <x:c r="AA450" s="8" t="str">
        <x:f>IF(C450="ไม่ทราบ","",SUMIFS($K$7:$Z$7,K450:Z450,"&lt;&gt;N/A"))</x:f>
      </x:c>
      <x:c r="AB450" s="8" t="str">
        <x:f>IF(AND(OR(AND(C450="จำหน่ายอาหาร",ISNUMBER(K450),L450="N/A"),AND(C450="ไม่จำหน่ายอาหาร",K450="N/A",ISNUMBER(L450)),AND(C450="มัสยิด",K450="N/A",L450="N/A",X450="N/A")),COUNT(K450:Z450)+COUNTIFS(K450:Z450,"N/A")=16),SUM(K450:Z450),"")</x:f>
      </x:c>
      <x:c r="AC450" s="62" t="str">
        <x:f>IF(OR(AB450="",AA450&lt;=0),"",ROUND(AB450/AA450*100,1))</x:f>
      </x:c>
      <x:c r="AD450" s="8" t="str">
        <x:f>IF(COUNTIFS(D450:H450,"ไม่ผ่าน")&gt;0,"ไม่ผ่าน",IF(COUNTIFS(D450:H450,"ไม่ทราบ")+COUNTBLANK(D450:H450)&gt;0,"รอยืนยัน","ผ่าน"))</x:f>
        <x:v>รอยืนยัน</x:v>
      </x:c>
      <x:c r="AE450" s="8" t="str">
        <x:f>IF(AF450="ใช่","ไม่ผ่านการคัดเลือก",IF(AND(AD450="ผ่าน",ISNUMBER(AC450),AC450&gt;=70),"พร้อมขาย",IF(OR(J450="ใช่",AND(ISNUMBER(AC450),AC450&gt;=50)),"พัฒนาเพื่อพร้อมขาย",IF(AND(ISNUMBER(AC450),AC450&lt;50,I450&gt;=1),"มีศักยภาพ แต่ต้องพัฒนามาตรฐาน","รอประเมิน"))))</x:f>
        <x:v>รอประเมิน</x:v>
      </x:c>
      <x:c r="AF450" s="59" t="str">
        <x:v>ไม่ทราบ</x:v>
      </x:c>
      <x:c r="AG450" s="8" t="str">
        <x:f>IF(AF450="ใช่","หัวหน้าทีมพิจารณาเหตุไม่ผ่าน",IF(OR(AA450&lt;=0,NOT(OR(AND(C450="จำหน่ายอาหาร",ISNUMBER(K450),L450="N/A"),AND(C450="ไม่จำหน่ายอาหาร",K450="N/A",ISNUMBER(L450)),AND(C450="มัสยิด",K450="N/A",L450="N/A",X450="N/A"))),AD450="รอยืนยัน",COUNT(K450:Z450)+COUNTIFS(K450:Z450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0" s="59" t="str"/>
      <x:c r="AI450" s="61"/>
    </x:row>
    <x:row r="451" ht="60" customHeight="1">
      <x:c r="A451" s="2" t="str">
        <x:v>R26-094</x:v>
      </x:c>
      <x:c r="B451" s="8" t="str">
        <x:v>Yala Bird City Street Art</x:v>
      </x:c>
      <x:c r="C451" s="59" t="str">
        <x:v>ไม่ทราบ</x:v>
      </x:c>
      <x:c r="D451" s="59" t="str">
        <x:v>ไม่ทราบ</x:v>
      </x:c>
      <x:c r="E451" s="59" t="str">
        <x:v>ไม่ทราบ</x:v>
      </x:c>
      <x:c r="F451" s="59" t="str">
        <x:v>ไม่ทราบ</x:v>
      </x:c>
      <x:c r="G451" s="59" t="str">
        <x:v>ไม่ทราบ</x:v>
      </x:c>
      <x:c r="H451" s="59" t="str">
        <x:v>N/A</x:v>
      </x:c>
      <x:c r="I451" s="59"/>
      <x:c r="J451" s="59" t="str">
        <x:v>ไม่ทราบ</x:v>
      </x:c>
      <x:c r="K451" s="59"/>
      <x:c r="L451" s="59"/>
      <x:c r="M451" s="59"/>
      <x:c r="N451" s="59"/>
      <x:c r="O451" s="59"/>
      <x:c r="P451" s="59"/>
      <x:c r="Q451" s="59"/>
      <x:c r="R451" s="59"/>
      <x:c r="S451" s="59"/>
      <x:c r="T451" s="59"/>
      <x:c r="U451" s="59"/>
      <x:c r="V451" s="59"/>
      <x:c r="W451" s="59"/>
      <x:c r="X451" s="59"/>
      <x:c r="Y451" s="59"/>
      <x:c r="Z451" s="59"/>
      <x:c r="AA451" s="8" t="str">
        <x:f>IF(C451="ไม่ทราบ","",SUMIFS($K$7:$Z$7,K451:Z451,"&lt;&gt;N/A"))</x:f>
      </x:c>
      <x:c r="AB451" s="8" t="str">
        <x:f>IF(AND(OR(AND(C451="จำหน่ายอาหาร",ISNUMBER(K451),L451="N/A"),AND(C451="ไม่จำหน่ายอาหาร",K451="N/A",ISNUMBER(L451)),AND(C451="มัสยิด",K451="N/A",L451="N/A",X451="N/A")),COUNT(K451:Z451)+COUNTIFS(K451:Z451,"N/A")=16),SUM(K451:Z451),"")</x:f>
      </x:c>
      <x:c r="AC451" s="62" t="str">
        <x:f>IF(OR(AB451="",AA451&lt;=0),"",ROUND(AB451/AA451*100,1))</x:f>
      </x:c>
      <x:c r="AD451" s="8" t="str">
        <x:f>IF(COUNTIFS(D451:H451,"ไม่ผ่าน")&gt;0,"ไม่ผ่าน",IF(COUNTIFS(D451:H451,"ไม่ทราบ")+COUNTBLANK(D451:H451)&gt;0,"รอยืนยัน","ผ่าน"))</x:f>
        <x:v>รอยืนยัน</x:v>
      </x:c>
      <x:c r="AE451" s="8" t="str">
        <x:f>IF(AF451="ใช่","ไม่ผ่านการคัดเลือก",IF(AND(AD451="ผ่าน",ISNUMBER(AC451),AC451&gt;=70),"พร้อมขาย",IF(OR(J451="ใช่",AND(ISNUMBER(AC451),AC451&gt;=50)),"พัฒนาเพื่อพร้อมขาย",IF(AND(ISNUMBER(AC451),AC451&lt;50,I451&gt;=1),"มีศักยภาพ แต่ต้องพัฒนามาตรฐาน","รอประเมิน"))))</x:f>
        <x:v>รอประเมิน</x:v>
      </x:c>
      <x:c r="AF451" s="59" t="str">
        <x:v>ไม่ทราบ</x:v>
      </x:c>
      <x:c r="AG451" s="8" t="str">
        <x:f>IF(AF451="ใช่","หัวหน้าทีมพิจารณาเหตุไม่ผ่าน",IF(OR(AA451&lt;=0,NOT(OR(AND(C451="จำหน่ายอาหาร",ISNUMBER(K451),L451="N/A"),AND(C451="ไม่จำหน่ายอาหาร",K451="N/A",ISNUMBER(L451)),AND(C451="มัสยิด",K451="N/A",L451="N/A",X451="N/A"))),AD451="รอยืนยัน",COUNT(K451:Z451)+COUNTIFS(K451:Z451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1" s="59" t="str"/>
      <x:c r="AI451" s="61"/>
    </x:row>
    <x:row r="452" ht="60" customHeight="1">
      <x:c r="A452" s="2" t="str">
        <x:v>R26-095</x:v>
      </x:c>
      <x:c r="B452" s="8" t="str">
        <x:v>มัสยิดกลางยะลา</x:v>
      </x:c>
      <x:c r="C452" s="59" t="str">
        <x:v>มัสยิด</x:v>
      </x:c>
      <x:c r="D452" s="59" t="str">
        <x:v>ไม่ทราบ</x:v>
      </x:c>
      <x:c r="E452" s="59" t="str">
        <x:v>ไม่ทราบ</x:v>
      </x:c>
      <x:c r="F452" s="59" t="str">
        <x:v>ไม่ทราบ</x:v>
      </x:c>
      <x:c r="G452" s="59" t="str">
        <x:v>N/A</x:v>
      </x:c>
      <x:c r="H452" s="59" t="str">
        <x:v>N/A</x:v>
      </x:c>
      <x:c r="I452" s="59"/>
      <x:c r="J452" s="59" t="str">
        <x:v>ไม่ทราบ</x:v>
      </x:c>
      <x:c r="K452" s="59" t="str">
        <x:v>N/A</x:v>
      </x:c>
      <x:c r="L452" s="59" t="str">
        <x:v>N/A</x:v>
      </x:c>
      <x:c r="M452" s="59"/>
      <x:c r="N452" s="59"/>
      <x:c r="O452" s="59"/>
      <x:c r="P452" s="59"/>
      <x:c r="Q452" s="59"/>
      <x:c r="R452" s="59"/>
      <x:c r="S452" s="59"/>
      <x:c r="T452" s="59"/>
      <x:c r="U452" s="59"/>
      <x:c r="V452" s="59"/>
      <x:c r="W452" s="59"/>
      <x:c r="X452" s="59" t="str">
        <x:v>N/A</x:v>
      </x:c>
      <x:c r="Y452" s="59"/>
      <x:c r="Z452" s="59"/>
      <x:c r="AA452" s="8" t="n">
        <x:f>IF(C452="ไม่ทราบ","",SUMIFS($K$7:$Z$7,K452:Z452,"&lt;&gt;N/A"))</x:f>
        <x:v>67</x:v>
      </x:c>
      <x:c r="AB452" s="8" t="str">
        <x:f>IF(AND(OR(AND(C452="จำหน่ายอาหาร",ISNUMBER(K452),L452="N/A"),AND(C452="ไม่จำหน่ายอาหาร",K452="N/A",ISNUMBER(L452)),AND(C452="มัสยิด",K452="N/A",L452="N/A",X452="N/A")),COUNT(K452:Z452)+COUNTIFS(K452:Z452,"N/A")=16),SUM(K452:Z452),"")</x:f>
      </x:c>
      <x:c r="AC452" s="62" t="str">
        <x:f>IF(OR(AB452="",AA452&lt;=0),"",ROUND(AB452/AA452*100,1))</x:f>
      </x:c>
      <x:c r="AD452" s="8" t="str">
        <x:f>IF(COUNTIFS(D452:H452,"ไม่ผ่าน")&gt;0,"ไม่ผ่าน",IF(COUNTIFS(D452:H452,"ไม่ทราบ")+COUNTBLANK(D452:H452)&gt;0,"รอยืนยัน","ผ่าน"))</x:f>
        <x:v>รอยืนยัน</x:v>
      </x:c>
      <x:c r="AE452" s="8" t="str">
        <x:f>IF(AF452="ใช่","ไม่ผ่านการคัดเลือก",IF(AND(AD452="ผ่าน",ISNUMBER(AC452),AC452&gt;=70),"พร้อมขาย",IF(OR(J452="ใช่",AND(ISNUMBER(AC452),AC452&gt;=50)),"พัฒนาเพื่อพร้อมขาย",IF(AND(ISNUMBER(AC452),AC452&lt;50,I452&gt;=1),"มีศักยภาพ แต่ต้องพัฒนามาตรฐาน","รอประเมิน"))))</x:f>
        <x:v>รอประเมิน</x:v>
      </x:c>
      <x:c r="AF452" s="59" t="str">
        <x:v>ไม่ทราบ</x:v>
      </x:c>
      <x:c r="AG452" s="8" t="str">
        <x:f>IF(AF452="ใช่","หัวหน้าทีมพิจารณาเหตุไม่ผ่าน",IF(OR(AA452&lt;=0,NOT(OR(AND(C452="จำหน่ายอาหาร",ISNUMBER(K452),L452="N/A"),AND(C452="ไม่จำหน่ายอาหาร",K452="N/A",ISNUMBER(L452)),AND(C452="มัสยิด",K452="N/A",L452="N/A",X452="N/A"))),AD452="รอยืนยัน",COUNT(K452:Z452)+COUNTIFS(K452:Z452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2" s="59" t="str"/>
      <x:c r="AI452" s="61"/>
    </x:row>
    <x:row r="453" ht="60" customHeight="1">
      <x:c r="A453" s="2" t="str">
        <x:v>R26-098</x:v>
      </x:c>
      <x:c r="B453" s="8" t="str">
        <x:v>ตลาดเมืองใหม่ยะลา</x:v>
      </x:c>
      <x:c r="C453" s="59" t="str">
        <x:v>ไม่ทราบ</x:v>
      </x:c>
      <x:c r="D453" s="59" t="str">
        <x:v>ไม่ทราบ</x:v>
      </x:c>
      <x:c r="E453" s="59" t="str">
        <x:v>ไม่ทราบ</x:v>
      </x:c>
      <x:c r="F453" s="59" t="str">
        <x:v>ไม่ทราบ</x:v>
      </x:c>
      <x:c r="G453" s="59" t="str">
        <x:v>ไม่ทราบ</x:v>
      </x:c>
      <x:c r="H453" s="59" t="str">
        <x:v>N/A</x:v>
      </x:c>
      <x:c r="I453" s="59"/>
      <x:c r="J453" s="59" t="str">
        <x:v>ไม่ทราบ</x:v>
      </x:c>
      <x:c r="K453" s="59"/>
      <x:c r="L453" s="59"/>
      <x:c r="M453" s="59"/>
      <x:c r="N453" s="59"/>
      <x:c r="O453" s="59"/>
      <x:c r="P453" s="59"/>
      <x:c r="Q453" s="59"/>
      <x:c r="R453" s="59"/>
      <x:c r="S453" s="59"/>
      <x:c r="T453" s="59"/>
      <x:c r="U453" s="59"/>
      <x:c r="V453" s="59"/>
      <x:c r="W453" s="59"/>
      <x:c r="X453" s="59"/>
      <x:c r="Y453" s="59"/>
      <x:c r="Z453" s="59"/>
      <x:c r="AA453" s="8" t="str">
        <x:f>IF(C453="ไม่ทราบ","",SUMIFS($K$7:$Z$7,K453:Z453,"&lt;&gt;N/A"))</x:f>
      </x:c>
      <x:c r="AB453" s="8" t="str">
        <x:f>IF(AND(OR(AND(C453="จำหน่ายอาหาร",ISNUMBER(K453),L453="N/A"),AND(C453="ไม่จำหน่ายอาหาร",K453="N/A",ISNUMBER(L453)),AND(C453="มัสยิด",K453="N/A",L453="N/A",X453="N/A")),COUNT(K453:Z453)+COUNTIFS(K453:Z453,"N/A")=16),SUM(K453:Z453),"")</x:f>
      </x:c>
      <x:c r="AC453" s="62" t="str">
        <x:f>IF(OR(AB453="",AA453&lt;=0),"",ROUND(AB453/AA453*100,1))</x:f>
      </x:c>
      <x:c r="AD453" s="8" t="str">
        <x:f>IF(COUNTIFS(D453:H453,"ไม่ผ่าน")&gt;0,"ไม่ผ่าน",IF(COUNTIFS(D453:H453,"ไม่ทราบ")+COUNTBLANK(D453:H453)&gt;0,"รอยืนยัน","ผ่าน"))</x:f>
        <x:v>รอยืนยัน</x:v>
      </x:c>
      <x:c r="AE453" s="8" t="str">
        <x:f>IF(AF453="ใช่","ไม่ผ่านการคัดเลือก",IF(AND(AD453="ผ่าน",ISNUMBER(AC453),AC453&gt;=70),"พร้อมขาย",IF(OR(J453="ใช่",AND(ISNUMBER(AC453),AC453&gt;=50)),"พัฒนาเพื่อพร้อมขาย",IF(AND(ISNUMBER(AC453),AC453&lt;50,I453&gt;=1),"มีศักยภาพ แต่ต้องพัฒนามาตรฐาน","รอประเมิน"))))</x:f>
        <x:v>รอประเมิน</x:v>
      </x:c>
      <x:c r="AF453" s="59" t="str">
        <x:v>ไม่ทราบ</x:v>
      </x:c>
      <x:c r="AG453" s="8" t="str">
        <x:f>IF(AF453="ใช่","หัวหน้าทีมพิจารณาเหตุไม่ผ่าน",IF(OR(AA453&lt;=0,NOT(OR(AND(C453="จำหน่ายอาหาร",ISNUMBER(K453),L453="N/A"),AND(C453="ไม่จำหน่ายอาหาร",K453="N/A",ISNUMBER(L453)),AND(C453="มัสยิด",K453="N/A",L453="N/A",X453="N/A"))),AD453="รอยืนยัน",COUNT(K453:Z453)+COUNTIFS(K453:Z453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3" s="59" t="str"/>
      <x:c r="AI453" s="61"/>
    </x:row>
    <x:row r="454" ht="60" customHeight="1">
      <x:c r="A454" s="2" t="str">
        <x:v>R26-380</x:v>
      </x:c>
      <x:c r="B454" s="8" t="str">
        <x:v>The Linux Garden Hotel Yala</x:v>
      </x:c>
      <x:c r="C454" s="59" t="str">
        <x:v>ไม่ทราบ</x:v>
      </x:c>
      <x:c r="D454" s="59" t="str">
        <x:v>ไม่ทราบ</x:v>
      </x:c>
      <x:c r="E454" s="59" t="str">
        <x:v>ไม่ทราบ</x:v>
      </x:c>
      <x:c r="F454" s="59" t="str">
        <x:v>ไม่ทราบ</x:v>
      </x:c>
      <x:c r="G454" s="59" t="str">
        <x:v>ไม่ทราบ</x:v>
      </x:c>
      <x:c r="H454" s="59" t="str">
        <x:v>ไม่ทราบ</x:v>
      </x:c>
      <x:c r="I454" s="59"/>
      <x:c r="J454" s="59" t="str">
        <x:v>ไม่ทราบ</x:v>
      </x:c>
      <x:c r="K454" s="59"/>
      <x:c r="L454" s="59"/>
      <x:c r="M454" s="59"/>
      <x:c r="N454" s="59"/>
      <x:c r="O454" s="59"/>
      <x:c r="P454" s="59"/>
      <x:c r="Q454" s="59"/>
      <x:c r="R454" s="59"/>
      <x:c r="S454" s="59"/>
      <x:c r="T454" s="59"/>
      <x:c r="U454" s="59"/>
      <x:c r="V454" s="59"/>
      <x:c r="W454" s="59"/>
      <x:c r="X454" s="59"/>
      <x:c r="Y454" s="59"/>
      <x:c r="Z454" s="59"/>
      <x:c r="AA454" s="8" t="str">
        <x:f>IF(C454="ไม่ทราบ","",SUMIFS($K$7:$Z$7,K454:Z454,"&lt;&gt;N/A"))</x:f>
      </x:c>
      <x:c r="AB454" s="8" t="str">
        <x:f>IF(AND(OR(AND(C454="จำหน่ายอาหาร",ISNUMBER(K454),L454="N/A"),AND(C454="ไม่จำหน่ายอาหาร",K454="N/A",ISNUMBER(L454)),AND(C454="มัสยิด",K454="N/A",L454="N/A",X454="N/A")),COUNT(K454:Z454)+COUNTIFS(K454:Z454,"N/A")=16),SUM(K454:Z454),"")</x:f>
      </x:c>
      <x:c r="AC454" s="62" t="str">
        <x:f>IF(OR(AB454="",AA454&lt;=0),"",ROUND(AB454/AA454*100,1))</x:f>
      </x:c>
      <x:c r="AD454" s="8" t="str">
        <x:f>IF(COUNTIFS(D454:H454,"ไม่ผ่าน")&gt;0,"ไม่ผ่าน",IF(COUNTIFS(D454:H454,"ไม่ทราบ")+COUNTBLANK(D454:H454)&gt;0,"รอยืนยัน","ผ่าน"))</x:f>
        <x:v>รอยืนยัน</x:v>
      </x:c>
      <x:c r="AE454" s="8" t="str">
        <x:f>IF(AF454="ใช่","ไม่ผ่านการคัดเลือก",IF(AND(AD454="ผ่าน",ISNUMBER(AC454),AC454&gt;=70),"พร้อมขาย",IF(OR(J454="ใช่",AND(ISNUMBER(AC454),AC454&gt;=50)),"พัฒนาเพื่อพร้อมขาย",IF(AND(ISNUMBER(AC454),AC454&lt;50,I454&gt;=1),"มีศักยภาพ แต่ต้องพัฒนามาตรฐาน","รอประเมิน"))))</x:f>
        <x:v>รอประเมิน</x:v>
      </x:c>
      <x:c r="AF454" s="59" t="str">
        <x:v>ไม่ทราบ</x:v>
      </x:c>
      <x:c r="AG454" s="8" t="str">
        <x:f>IF(AF454="ใช่","หัวหน้าทีมพิจารณาเหตุไม่ผ่าน",IF(OR(AA454&lt;=0,NOT(OR(AND(C454="จำหน่ายอาหาร",ISNUMBER(K454),L454="N/A"),AND(C454="ไม่จำหน่ายอาหาร",K454="N/A",ISNUMBER(L454)),AND(C454="มัสยิด",K454="N/A",L454="N/A",X454="N/A"))),AD454="รอยืนยัน",COUNT(K454:Z454)+COUNTIFS(K454:Z454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4" s="59" t="str"/>
      <x:c r="AI454" s="61"/>
    </x:row>
    <x:row r="455" ht="60" customHeight="1">
      <x:c r="A455" s="2" t="str">
        <x:v>R26-381</x:v>
      </x:c>
      <x:c r="B455" s="8" t="str">
        <x:v>Yala Grand Palace Hotel</x:v>
      </x:c>
      <x:c r="C455" s="59" t="str">
        <x:v>ไม่ทราบ</x:v>
      </x:c>
      <x:c r="D455" s="59" t="str">
        <x:v>ไม่ทราบ</x:v>
      </x:c>
      <x:c r="E455" s="59" t="str">
        <x:v>ไม่ทราบ</x:v>
      </x:c>
      <x:c r="F455" s="59" t="str">
        <x:v>ไม่ทราบ</x:v>
      </x:c>
      <x:c r="G455" s="59" t="str">
        <x:v>ไม่ทราบ</x:v>
      </x:c>
      <x:c r="H455" s="59" t="str">
        <x:v>ไม่ทราบ</x:v>
      </x:c>
      <x:c r="I455" s="59"/>
      <x:c r="J455" s="59" t="str">
        <x:v>ไม่ทราบ</x:v>
      </x:c>
      <x:c r="K455" s="59"/>
      <x:c r="L455" s="59"/>
      <x:c r="M455" s="59"/>
      <x:c r="N455" s="59"/>
      <x:c r="O455" s="59"/>
      <x:c r="P455" s="59"/>
      <x:c r="Q455" s="59"/>
      <x:c r="R455" s="59"/>
      <x:c r="S455" s="59"/>
      <x:c r="T455" s="59"/>
      <x:c r="U455" s="59"/>
      <x:c r="V455" s="59"/>
      <x:c r="W455" s="59"/>
      <x:c r="X455" s="59"/>
      <x:c r="Y455" s="59"/>
      <x:c r="Z455" s="59"/>
      <x:c r="AA455" s="8" t="str">
        <x:f>IF(C455="ไม่ทราบ","",SUMIFS($K$7:$Z$7,K455:Z455,"&lt;&gt;N/A"))</x:f>
      </x:c>
      <x:c r="AB455" s="8" t="str">
        <x:f>IF(AND(OR(AND(C455="จำหน่ายอาหาร",ISNUMBER(K455),L455="N/A"),AND(C455="ไม่จำหน่ายอาหาร",K455="N/A",ISNUMBER(L455)),AND(C455="มัสยิด",K455="N/A",L455="N/A",X455="N/A")),COUNT(K455:Z455)+COUNTIFS(K455:Z455,"N/A")=16),SUM(K455:Z455),"")</x:f>
      </x:c>
      <x:c r="AC455" s="62" t="str">
        <x:f>IF(OR(AB455="",AA455&lt;=0),"",ROUND(AB455/AA455*100,1))</x:f>
      </x:c>
      <x:c r="AD455" s="8" t="str">
        <x:f>IF(COUNTIFS(D455:H455,"ไม่ผ่าน")&gt;0,"ไม่ผ่าน",IF(COUNTIFS(D455:H455,"ไม่ทราบ")+COUNTBLANK(D455:H455)&gt;0,"รอยืนยัน","ผ่าน"))</x:f>
        <x:v>รอยืนยัน</x:v>
      </x:c>
      <x:c r="AE455" s="8" t="str">
        <x:f>IF(AF455="ใช่","ไม่ผ่านการคัดเลือก",IF(AND(AD455="ผ่าน",ISNUMBER(AC455),AC455&gt;=70),"พร้อมขาย",IF(OR(J455="ใช่",AND(ISNUMBER(AC455),AC455&gt;=50)),"พัฒนาเพื่อพร้อมขาย",IF(AND(ISNUMBER(AC455),AC455&lt;50,I455&gt;=1),"มีศักยภาพ แต่ต้องพัฒนามาตรฐาน","รอประเมิน"))))</x:f>
        <x:v>รอประเมิน</x:v>
      </x:c>
      <x:c r="AF455" s="59" t="str">
        <x:v>ไม่ทราบ</x:v>
      </x:c>
      <x:c r="AG455" s="8" t="str">
        <x:f>IF(AF455="ใช่","หัวหน้าทีมพิจารณาเหตุไม่ผ่าน",IF(OR(AA455&lt;=0,NOT(OR(AND(C455="จำหน่ายอาหาร",ISNUMBER(K455),L455="N/A"),AND(C455="ไม่จำหน่ายอาหาร",K455="N/A",ISNUMBER(L455)),AND(C455="มัสยิด",K455="N/A",L455="N/A",X455="N/A"))),AD455="รอยืนยัน",COUNT(K455:Z455)+COUNTIFS(K455:Z455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5" s="59" t="str"/>
      <x:c r="AI455" s="61"/>
    </x:row>
    <x:row r="456" ht="60" customHeight="1">
      <x:c r="A456" s="2" t="str">
        <x:v>TMF-383</x:v>
      </x:c>
      <x:c r="B456" s="8" t="str">
        <x:v>Candy rose หมี่ไก่ฉีก</x:v>
      </x:c>
      <x:c r="C456" s="59" t="str">
        <x:v>จำหน่ายอาหาร</x:v>
      </x:c>
      <x:c r="D456" s="59" t="str">
        <x:v>ไม่ทราบ</x:v>
      </x:c>
      <x:c r="E456" s="59" t="str">
        <x:v>ไม่ทราบ</x:v>
      </x:c>
      <x:c r="F456" s="59" t="str">
        <x:v>ไม่ทราบ</x:v>
      </x:c>
      <x:c r="G456" s="59" t="str">
        <x:v>ไม่ทราบ</x:v>
      </x:c>
      <x:c r="H456" s="59" t="str">
        <x:v>N/A</x:v>
      </x:c>
      <x:c r="I456" s="59"/>
      <x:c r="J456" s="59" t="str">
        <x:v>ไม่ทราบ</x:v>
      </x:c>
      <x:c r="K456" s="59"/>
      <x:c r="L456" s="59" t="str">
        <x:v>N/A</x:v>
      </x:c>
      <x:c r="M456" s="59"/>
      <x:c r="N456" s="59"/>
      <x:c r="O456" s="59"/>
      <x:c r="P456" s="59"/>
      <x:c r="Q456" s="59"/>
      <x:c r="R456" s="59"/>
      <x:c r="S456" s="59"/>
      <x:c r="T456" s="59"/>
      <x:c r="U456" s="59"/>
      <x:c r="V456" s="59"/>
      <x:c r="W456" s="59"/>
      <x:c r="X456" s="59"/>
      <x:c r="Y456" s="59"/>
      <x:c r="Z456" s="59"/>
      <x:c r="AA456" s="8" t="n">
        <x:f>IF(C456="ไม่ทราบ","",SUMIFS($K$7:$Z$7,K456:Z456,"&lt;&gt;N/A"))</x:f>
        <x:v>100</x:v>
      </x:c>
      <x:c r="AB456" s="8" t="str">
        <x:f>IF(AND(OR(AND(C456="จำหน่ายอาหาร",ISNUMBER(K456),L456="N/A"),AND(C456="ไม่จำหน่ายอาหาร",K456="N/A",ISNUMBER(L456)),AND(C456="มัสยิด",K456="N/A",L456="N/A",X456="N/A")),COUNT(K456:Z456)+COUNTIFS(K456:Z456,"N/A")=16),SUM(K456:Z456),"")</x:f>
      </x:c>
      <x:c r="AC456" s="62" t="str">
        <x:f>IF(OR(AB456="",AA456&lt;=0),"",ROUND(AB456/AA456*100,1))</x:f>
      </x:c>
      <x:c r="AD456" s="8" t="str">
        <x:f>IF(COUNTIFS(D456:H456,"ไม่ผ่าน")&gt;0,"ไม่ผ่าน",IF(COUNTIFS(D456:H456,"ไม่ทราบ")+COUNTBLANK(D456:H456)&gt;0,"รอยืนยัน","ผ่าน"))</x:f>
        <x:v>รอยืนยัน</x:v>
      </x:c>
      <x:c r="AE456" s="8" t="str">
        <x:f>IF(AF456="ใช่","ไม่ผ่านการคัดเลือก",IF(AND(AD456="ผ่าน",ISNUMBER(AC456),AC456&gt;=70),"พร้อมขาย",IF(OR(J456="ใช่",AND(ISNUMBER(AC456),AC456&gt;=50)),"พัฒนาเพื่อพร้อมขาย",IF(AND(ISNUMBER(AC456),AC456&lt;50,I456&gt;=1),"มีศักยภาพ แต่ต้องพัฒนามาตรฐาน","รอประเมิน"))))</x:f>
        <x:v>รอประเมิน</x:v>
      </x:c>
      <x:c r="AF456" s="59" t="str">
        <x:v>ไม่ทราบ</x:v>
      </x:c>
      <x:c r="AG456" s="8" t="str">
        <x:f>IF(AF456="ใช่","หัวหน้าทีมพิจารณาเหตุไม่ผ่าน",IF(OR(AA456&lt;=0,NOT(OR(AND(C456="จำหน่ายอาหาร",ISNUMBER(K456),L456="N/A"),AND(C456="ไม่จำหน่ายอาหาร",K456="N/A",ISNUMBER(L456)),AND(C456="มัสยิด",K456="N/A",L456="N/A",X456="N/A"))),AD456="รอยืนยัน",COUNT(K456:Z456)+COUNTIFS(K456:Z456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6" s="59" t="str"/>
      <x:c r="AI456" s="61"/>
    </x:row>
    <x:row r="457" ht="60" customHeight="1">
      <x:c r="A457" s="2" t="str">
        <x:v>TMF-384</x:v>
      </x:c>
      <x:c r="B457" s="8" t="str">
        <x:v>IN Trend Co-working Cafe</x:v>
      </x:c>
      <x:c r="C457" s="59" t="str">
        <x:v>จำหน่ายอาหาร</x:v>
      </x:c>
      <x:c r="D457" s="59" t="str">
        <x:v>ไม่ทราบ</x:v>
      </x:c>
      <x:c r="E457" s="59" t="str">
        <x:v>ไม่ทราบ</x:v>
      </x:c>
      <x:c r="F457" s="59" t="str">
        <x:v>ไม่ทราบ</x:v>
      </x:c>
      <x:c r="G457" s="59" t="str">
        <x:v>ไม่ทราบ</x:v>
      </x:c>
      <x:c r="H457" s="59" t="str">
        <x:v>N/A</x:v>
      </x:c>
      <x:c r="I457" s="59"/>
      <x:c r="J457" s="59" t="str">
        <x:v>ไม่ทราบ</x:v>
      </x:c>
      <x:c r="K457" s="59"/>
      <x:c r="L457" s="59" t="str">
        <x:v>N/A</x:v>
      </x:c>
      <x:c r="M457" s="59"/>
      <x:c r="N457" s="59"/>
      <x:c r="O457" s="59"/>
      <x:c r="P457" s="59"/>
      <x:c r="Q457" s="59"/>
      <x:c r="R457" s="59"/>
      <x:c r="S457" s="59"/>
      <x:c r="T457" s="59"/>
      <x:c r="U457" s="59"/>
      <x:c r="V457" s="59"/>
      <x:c r="W457" s="59"/>
      <x:c r="X457" s="59"/>
      <x:c r="Y457" s="59"/>
      <x:c r="Z457" s="59"/>
      <x:c r="AA457" s="8" t="n">
        <x:f>IF(C457="ไม่ทราบ","",SUMIFS($K$7:$Z$7,K457:Z457,"&lt;&gt;N/A"))</x:f>
        <x:v>100</x:v>
      </x:c>
      <x:c r="AB457" s="8" t="str">
        <x:f>IF(AND(OR(AND(C457="จำหน่ายอาหาร",ISNUMBER(K457),L457="N/A"),AND(C457="ไม่จำหน่ายอาหาร",K457="N/A",ISNUMBER(L457)),AND(C457="มัสยิด",K457="N/A",L457="N/A",X457="N/A")),COUNT(K457:Z457)+COUNTIFS(K457:Z457,"N/A")=16),SUM(K457:Z457),"")</x:f>
      </x:c>
      <x:c r="AC457" s="62" t="str">
        <x:f>IF(OR(AB457="",AA457&lt;=0),"",ROUND(AB457/AA457*100,1))</x:f>
      </x:c>
      <x:c r="AD457" s="8" t="str">
        <x:f>IF(COUNTIFS(D457:H457,"ไม่ผ่าน")&gt;0,"ไม่ผ่าน",IF(COUNTIFS(D457:H457,"ไม่ทราบ")+COUNTBLANK(D457:H457)&gt;0,"รอยืนยัน","ผ่าน"))</x:f>
        <x:v>รอยืนยัน</x:v>
      </x:c>
      <x:c r="AE457" s="8" t="str">
        <x:f>IF(AF457="ใช่","ไม่ผ่านการคัดเลือก",IF(AND(AD457="ผ่าน",ISNUMBER(AC457),AC457&gt;=70),"พร้อมขาย",IF(OR(J457="ใช่",AND(ISNUMBER(AC457),AC457&gt;=50)),"พัฒนาเพื่อพร้อมขาย",IF(AND(ISNUMBER(AC457),AC457&lt;50,I457&gt;=1),"มีศักยภาพ แต่ต้องพัฒนามาตรฐาน","รอประเมิน"))))</x:f>
        <x:v>รอประเมิน</x:v>
      </x:c>
      <x:c r="AF457" s="59" t="str">
        <x:v>ไม่ทราบ</x:v>
      </x:c>
      <x:c r="AG457" s="8" t="str">
        <x:f>IF(AF457="ใช่","หัวหน้าทีมพิจารณาเหตุไม่ผ่าน",IF(OR(AA457&lt;=0,NOT(OR(AND(C457="จำหน่ายอาหาร",ISNUMBER(K457),L457="N/A"),AND(C457="ไม่จำหน่ายอาหาร",K457="N/A",ISNUMBER(L457)),AND(C457="มัสยิด",K457="N/A",L457="N/A",X457="N/A"))),AD457="รอยืนยัน",COUNT(K457:Z457)+COUNTIFS(K457:Z457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7" s="59" t="str"/>
      <x:c r="AI457" s="61"/>
    </x:row>
    <x:row r="458" ht="60" customHeight="1">
      <x:c r="A458" s="2" t="str">
        <x:v>TMF-190</x:v>
      </x:c>
      <x:c r="B458" s="8" t="str">
        <x:v>Martabak Ramunrin - มาร์ตาบัค มานิส สาขายะลา</x:v>
      </x:c>
      <x:c r="C458" s="59" t="str">
        <x:v>จำหน่ายอาหาร</x:v>
      </x:c>
      <x:c r="D458" s="59" t="str">
        <x:v>ไม่ทราบ</x:v>
      </x:c>
      <x:c r="E458" s="59" t="str">
        <x:v>ไม่ทราบ</x:v>
      </x:c>
      <x:c r="F458" s="59" t="str">
        <x:v>ไม่ทราบ</x:v>
      </x:c>
      <x:c r="G458" s="59" t="str">
        <x:v>ไม่ทราบ</x:v>
      </x:c>
      <x:c r="H458" s="59" t="str">
        <x:v>N/A</x:v>
      </x:c>
      <x:c r="I458" s="59"/>
      <x:c r="J458" s="59" t="str">
        <x:v>ไม่ทราบ</x:v>
      </x:c>
      <x:c r="K458" s="59"/>
      <x:c r="L458" s="59" t="str">
        <x:v>N/A</x:v>
      </x:c>
      <x:c r="M458" s="59"/>
      <x:c r="N458" s="59"/>
      <x:c r="O458" s="59"/>
      <x:c r="P458" s="59"/>
      <x:c r="Q458" s="59"/>
      <x:c r="R458" s="59"/>
      <x:c r="S458" s="59"/>
      <x:c r="T458" s="59"/>
      <x:c r="U458" s="59"/>
      <x:c r="V458" s="59"/>
      <x:c r="W458" s="59"/>
      <x:c r="X458" s="59"/>
      <x:c r="Y458" s="59"/>
      <x:c r="Z458" s="59"/>
      <x:c r="AA458" s="8" t="n">
        <x:f>IF(C458="ไม่ทราบ","",SUMIFS($K$7:$Z$7,K458:Z458,"&lt;&gt;N/A"))</x:f>
        <x:v>100</x:v>
      </x:c>
      <x:c r="AB458" s="8" t="str">
        <x:f>IF(AND(OR(AND(C458="จำหน่ายอาหาร",ISNUMBER(K458),L458="N/A"),AND(C458="ไม่จำหน่ายอาหาร",K458="N/A",ISNUMBER(L458)),AND(C458="มัสยิด",K458="N/A",L458="N/A",X458="N/A")),COUNT(K458:Z458)+COUNTIFS(K458:Z458,"N/A")=16),SUM(K458:Z458),"")</x:f>
      </x:c>
      <x:c r="AC458" s="62" t="str">
        <x:f>IF(OR(AB458="",AA458&lt;=0),"",ROUND(AB458/AA458*100,1))</x:f>
      </x:c>
      <x:c r="AD458" s="8" t="str">
        <x:f>IF(COUNTIFS(D458:H458,"ไม่ผ่าน")&gt;0,"ไม่ผ่าน",IF(COUNTIFS(D458:H458,"ไม่ทราบ")+COUNTBLANK(D458:H458)&gt;0,"รอยืนยัน","ผ่าน"))</x:f>
        <x:v>รอยืนยัน</x:v>
      </x:c>
      <x:c r="AE458" s="8" t="str">
        <x:f>IF(AF458="ใช่","ไม่ผ่านการคัดเลือก",IF(AND(AD458="ผ่าน",ISNUMBER(AC458),AC458&gt;=70),"พร้อมขาย",IF(OR(J458="ใช่",AND(ISNUMBER(AC458),AC458&gt;=50)),"พัฒนาเพื่อพร้อมขาย",IF(AND(ISNUMBER(AC458),AC458&lt;50,I458&gt;=1),"มีศักยภาพ แต่ต้องพัฒนามาตรฐาน","รอประเมิน"))))</x:f>
        <x:v>รอประเมิน</x:v>
      </x:c>
      <x:c r="AF458" s="59" t="str">
        <x:v>ไม่ทราบ</x:v>
      </x:c>
      <x:c r="AG458" s="8" t="str">
        <x:f>IF(AF458="ใช่","หัวหน้าทีมพิจารณาเหตุไม่ผ่าน",IF(OR(AA458&lt;=0,NOT(OR(AND(C458="จำหน่ายอาหาร",ISNUMBER(K458),L458="N/A"),AND(C458="ไม่จำหน่ายอาหาร",K458="N/A",ISNUMBER(L458)),AND(C458="มัสยิด",K458="N/A",L458="N/A",X458="N/A"))),AD458="รอยืนยัน",COUNT(K458:Z458)+COUNTIFS(K458:Z458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8" s="59" t="str"/>
      <x:c r="AI458" s="61"/>
    </x:row>
    <x:row r="459" ht="60" customHeight="1">
      <x:c r="A459" s="2" t="str">
        <x:v>R26-332</x:v>
      </x:c>
      <x:c r="B459" s="8" t="str">
        <x:v>Once Eatery by ประเทือง</x:v>
      </x:c>
      <x:c r="C459" s="59" t="str">
        <x:v>จำหน่ายอาหาร</x:v>
      </x:c>
      <x:c r="D459" s="59" t="str">
        <x:v>ไม่ทราบ</x:v>
      </x:c>
      <x:c r="E459" s="59" t="str">
        <x:v>ไม่ทราบ</x:v>
      </x:c>
      <x:c r="F459" s="59" t="str">
        <x:v>ไม่ทราบ</x:v>
      </x:c>
      <x:c r="G459" s="59" t="str">
        <x:v>ไม่ทราบ</x:v>
      </x:c>
      <x:c r="H459" s="59" t="str">
        <x:v>N/A</x:v>
      </x:c>
      <x:c r="I459" s="59"/>
      <x:c r="J459" s="59" t="str">
        <x:v>ไม่ทราบ</x:v>
      </x:c>
      <x:c r="K459" s="59"/>
      <x:c r="L459" s="59" t="str">
        <x:v>N/A</x:v>
      </x:c>
      <x:c r="M459" s="59"/>
      <x:c r="N459" s="59"/>
      <x:c r="O459" s="59"/>
      <x:c r="P459" s="59"/>
      <x:c r="Q459" s="59"/>
      <x:c r="R459" s="59"/>
      <x:c r="S459" s="59"/>
      <x:c r="T459" s="59"/>
      <x:c r="U459" s="59"/>
      <x:c r="V459" s="59"/>
      <x:c r="W459" s="59"/>
      <x:c r="X459" s="59"/>
      <x:c r="Y459" s="59"/>
      <x:c r="Z459" s="59"/>
      <x:c r="AA459" s="8" t="n">
        <x:f>IF(C459="ไม่ทราบ","",SUMIFS($K$7:$Z$7,K459:Z459,"&lt;&gt;N/A"))</x:f>
        <x:v>100</x:v>
      </x:c>
      <x:c r="AB459" s="8" t="str">
        <x:f>IF(AND(OR(AND(C459="จำหน่ายอาหาร",ISNUMBER(K459),L459="N/A"),AND(C459="ไม่จำหน่ายอาหาร",K459="N/A",ISNUMBER(L459)),AND(C459="มัสยิด",K459="N/A",L459="N/A",X459="N/A")),COUNT(K459:Z459)+COUNTIFS(K459:Z459,"N/A")=16),SUM(K459:Z459),"")</x:f>
      </x:c>
      <x:c r="AC459" s="62" t="str">
        <x:f>IF(OR(AB459="",AA459&lt;=0),"",ROUND(AB459/AA459*100,1))</x:f>
      </x:c>
      <x:c r="AD459" s="8" t="str">
        <x:f>IF(COUNTIFS(D459:H459,"ไม่ผ่าน")&gt;0,"ไม่ผ่าน",IF(COUNTIFS(D459:H459,"ไม่ทราบ")+COUNTBLANK(D459:H459)&gt;0,"รอยืนยัน","ผ่าน"))</x:f>
        <x:v>รอยืนยัน</x:v>
      </x:c>
      <x:c r="AE459" s="8" t="str">
        <x:f>IF(AF459="ใช่","ไม่ผ่านการคัดเลือก",IF(AND(AD459="ผ่าน",ISNUMBER(AC459),AC459&gt;=70),"พร้อมขาย",IF(OR(J459="ใช่",AND(ISNUMBER(AC459),AC459&gt;=50)),"พัฒนาเพื่อพร้อมขาย",IF(AND(ISNUMBER(AC459),AC459&lt;50,I459&gt;=1),"มีศักยภาพ แต่ต้องพัฒนามาตรฐาน","รอประเมิน"))))</x:f>
        <x:v>รอประเมิน</x:v>
      </x:c>
      <x:c r="AF459" s="59" t="str">
        <x:v>ไม่ทราบ</x:v>
      </x:c>
      <x:c r="AG459" s="8" t="str">
        <x:f>IF(AF459="ใช่","หัวหน้าทีมพิจารณาเหตุไม่ผ่าน",IF(OR(AA459&lt;=0,NOT(OR(AND(C459="จำหน่ายอาหาร",ISNUMBER(K459),L459="N/A"),AND(C459="ไม่จำหน่ายอาหาร",K459="N/A",ISNUMBER(L459)),AND(C459="มัสยิด",K459="N/A",L459="N/A",X459="N/A"))),AD459="รอยืนยัน",COUNT(K459:Z459)+COUNTIFS(K459:Z459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59" s="59" t="str"/>
      <x:c r="AI459" s="61"/>
    </x:row>
    <x:row r="460" ht="60" customHeight="1">
      <x:c r="A460" s="2" t="str">
        <x:v>TMF-385</x:v>
      </x:c>
      <x:c r="B460" s="8" t="str">
        <x:v>Orbit Coffee-ออร์บิท คอฟฟี่ ยะลา</x:v>
      </x:c>
      <x:c r="C460" s="59" t="str">
        <x:v>จำหน่ายอาหาร</x:v>
      </x:c>
      <x:c r="D460" s="59" t="str">
        <x:v>ไม่ทราบ</x:v>
      </x:c>
      <x:c r="E460" s="59" t="str">
        <x:v>ไม่ทราบ</x:v>
      </x:c>
      <x:c r="F460" s="59" t="str">
        <x:v>ไม่ทราบ</x:v>
      </x:c>
      <x:c r="G460" s="59" t="str">
        <x:v>ไม่ทราบ</x:v>
      </x:c>
      <x:c r="H460" s="59" t="str">
        <x:v>N/A</x:v>
      </x:c>
      <x:c r="I460" s="59"/>
      <x:c r="J460" s="59" t="str">
        <x:v>ไม่ทราบ</x:v>
      </x:c>
      <x:c r="K460" s="59"/>
      <x:c r="L460" s="59" t="str">
        <x:v>N/A</x:v>
      </x:c>
      <x:c r="M460" s="59"/>
      <x:c r="N460" s="59"/>
      <x:c r="O460" s="59"/>
      <x:c r="P460" s="59"/>
      <x:c r="Q460" s="59"/>
      <x:c r="R460" s="59"/>
      <x:c r="S460" s="59"/>
      <x:c r="T460" s="59"/>
      <x:c r="U460" s="59"/>
      <x:c r="V460" s="59"/>
      <x:c r="W460" s="59"/>
      <x:c r="X460" s="59"/>
      <x:c r="Y460" s="59"/>
      <x:c r="Z460" s="59"/>
      <x:c r="AA460" s="8" t="n">
        <x:f>IF(C460="ไม่ทราบ","",SUMIFS($K$7:$Z$7,K460:Z460,"&lt;&gt;N/A"))</x:f>
        <x:v>100</x:v>
      </x:c>
      <x:c r="AB460" s="8" t="str">
        <x:f>IF(AND(OR(AND(C460="จำหน่ายอาหาร",ISNUMBER(K460),L460="N/A"),AND(C460="ไม่จำหน่ายอาหาร",K460="N/A",ISNUMBER(L460)),AND(C460="มัสยิด",K460="N/A",L460="N/A",X460="N/A")),COUNT(K460:Z460)+COUNTIFS(K460:Z460,"N/A")=16),SUM(K460:Z460),"")</x:f>
      </x:c>
      <x:c r="AC460" s="62" t="str">
        <x:f>IF(OR(AB460="",AA460&lt;=0),"",ROUND(AB460/AA460*100,1))</x:f>
      </x:c>
      <x:c r="AD460" s="8" t="str">
        <x:f>IF(COUNTIFS(D460:H460,"ไม่ผ่าน")&gt;0,"ไม่ผ่าน",IF(COUNTIFS(D460:H460,"ไม่ทราบ")+COUNTBLANK(D460:H460)&gt;0,"รอยืนยัน","ผ่าน"))</x:f>
        <x:v>รอยืนยัน</x:v>
      </x:c>
      <x:c r="AE460" s="8" t="str">
        <x:f>IF(AF460="ใช่","ไม่ผ่านการคัดเลือก",IF(AND(AD460="ผ่าน",ISNUMBER(AC460),AC460&gt;=70),"พร้อมขาย",IF(OR(J460="ใช่",AND(ISNUMBER(AC460),AC460&gt;=50)),"พัฒนาเพื่อพร้อมขาย",IF(AND(ISNUMBER(AC460),AC460&lt;50,I460&gt;=1),"มีศักยภาพ แต่ต้องพัฒนามาตรฐาน","รอประเมิน"))))</x:f>
        <x:v>รอประเมิน</x:v>
      </x:c>
      <x:c r="AF460" s="59" t="str">
        <x:v>ไม่ทราบ</x:v>
      </x:c>
      <x:c r="AG460" s="8" t="str">
        <x:f>IF(AF460="ใช่","หัวหน้าทีมพิจารณาเหตุไม่ผ่าน",IF(OR(AA460&lt;=0,NOT(OR(AND(C460="จำหน่ายอาหาร",ISNUMBER(K460),L460="N/A"),AND(C460="ไม่จำหน่ายอาหาร",K460="N/A",ISNUMBER(L460)),AND(C460="มัสยิด",K460="N/A",L460="N/A",X460="N/A"))),AD460="รอยืนยัน",COUNT(K460:Z460)+COUNTIFS(K460:Z460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0" s="59" t="str"/>
      <x:c r="AI460" s="61"/>
    </x:row>
    <x:row r="461" ht="60" customHeight="1">
      <x:c r="A461" s="2" t="str">
        <x:v>TMF-191</x:v>
      </x:c>
      <x:c r="B461" s="8" t="str">
        <x:v>Tokoroaster Coffee And Cycling</x:v>
      </x:c>
      <x:c r="C461" s="59" t="str">
        <x:v>จำหน่ายอาหาร</x:v>
      </x:c>
      <x:c r="D461" s="59" t="str">
        <x:v>ไม่ทราบ</x:v>
      </x:c>
      <x:c r="E461" s="59" t="str">
        <x:v>ไม่ทราบ</x:v>
      </x:c>
      <x:c r="F461" s="59" t="str">
        <x:v>ไม่ทราบ</x:v>
      </x:c>
      <x:c r="G461" s="59" t="str">
        <x:v>ไม่ทราบ</x:v>
      </x:c>
      <x:c r="H461" s="59" t="str">
        <x:v>N/A</x:v>
      </x:c>
      <x:c r="I461" s="59"/>
      <x:c r="J461" s="59" t="str">
        <x:v>ไม่ทราบ</x:v>
      </x:c>
      <x:c r="K461" s="59"/>
      <x:c r="L461" s="59" t="str">
        <x:v>N/A</x:v>
      </x:c>
      <x:c r="M461" s="59"/>
      <x:c r="N461" s="59"/>
      <x:c r="O461" s="59"/>
      <x:c r="P461" s="59"/>
      <x:c r="Q461" s="59"/>
      <x:c r="R461" s="59"/>
      <x:c r="S461" s="59"/>
      <x:c r="T461" s="59"/>
      <x:c r="U461" s="59"/>
      <x:c r="V461" s="59"/>
      <x:c r="W461" s="59"/>
      <x:c r="X461" s="59"/>
      <x:c r="Y461" s="59"/>
      <x:c r="Z461" s="59"/>
      <x:c r="AA461" s="8" t="n">
        <x:f>IF(C461="ไม่ทราบ","",SUMIFS($K$7:$Z$7,K461:Z461,"&lt;&gt;N/A"))</x:f>
        <x:v>100</x:v>
      </x:c>
      <x:c r="AB461" s="8" t="str">
        <x:f>IF(AND(OR(AND(C461="จำหน่ายอาหาร",ISNUMBER(K461),L461="N/A"),AND(C461="ไม่จำหน่ายอาหาร",K461="N/A",ISNUMBER(L461)),AND(C461="มัสยิด",K461="N/A",L461="N/A",X461="N/A")),COUNT(K461:Z461)+COUNTIFS(K461:Z461,"N/A")=16),SUM(K461:Z461),"")</x:f>
      </x:c>
      <x:c r="AC461" s="62" t="str">
        <x:f>IF(OR(AB461="",AA461&lt;=0),"",ROUND(AB461/AA461*100,1))</x:f>
      </x:c>
      <x:c r="AD461" s="8" t="str">
        <x:f>IF(COUNTIFS(D461:H461,"ไม่ผ่าน")&gt;0,"ไม่ผ่าน",IF(COUNTIFS(D461:H461,"ไม่ทราบ")+COUNTBLANK(D461:H461)&gt;0,"รอยืนยัน","ผ่าน"))</x:f>
        <x:v>รอยืนยัน</x:v>
      </x:c>
      <x:c r="AE461" s="8" t="str">
        <x:f>IF(AF461="ใช่","ไม่ผ่านการคัดเลือก",IF(AND(AD461="ผ่าน",ISNUMBER(AC461),AC461&gt;=70),"พร้อมขาย",IF(OR(J461="ใช่",AND(ISNUMBER(AC461),AC461&gt;=50)),"พัฒนาเพื่อพร้อมขาย",IF(AND(ISNUMBER(AC461),AC461&lt;50,I461&gt;=1),"มีศักยภาพ แต่ต้องพัฒนามาตรฐาน","รอประเมิน"))))</x:f>
        <x:v>รอประเมิน</x:v>
      </x:c>
      <x:c r="AF461" s="59" t="str">
        <x:v>ไม่ทราบ</x:v>
      </x:c>
      <x:c r="AG461" s="8" t="str">
        <x:f>IF(AF461="ใช่","หัวหน้าทีมพิจารณาเหตุไม่ผ่าน",IF(OR(AA461&lt;=0,NOT(OR(AND(C461="จำหน่ายอาหาร",ISNUMBER(K461),L461="N/A"),AND(C461="ไม่จำหน่ายอาหาร",K461="N/A",ISNUMBER(L461)),AND(C461="มัสยิด",K461="N/A",L461="N/A",X461="N/A"))),AD461="รอยืนยัน",COUNT(K461:Z461)+COUNTIFS(K461:Z461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1" s="59" t="str"/>
      <x:c r="AI461" s="61"/>
    </x:row>
    <x:row r="462" ht="60" customHeight="1">
      <x:c r="A462" s="2" t="str">
        <x:v>R26-333</x:v>
      </x:c>
      <x:c r="B462" s="8" t="str">
        <x:v>Yasmeen Seafood</x:v>
      </x:c>
      <x:c r="C462" s="59" t="str">
        <x:v>จำหน่ายอาหาร</x:v>
      </x:c>
      <x:c r="D462" s="59" t="str">
        <x:v>ไม่ทราบ</x:v>
      </x:c>
      <x:c r="E462" s="59" t="str">
        <x:v>ไม่ทราบ</x:v>
      </x:c>
      <x:c r="F462" s="59" t="str">
        <x:v>ไม่ทราบ</x:v>
      </x:c>
      <x:c r="G462" s="59" t="str">
        <x:v>ไม่ทราบ</x:v>
      </x:c>
      <x:c r="H462" s="59" t="str">
        <x:v>N/A</x:v>
      </x:c>
      <x:c r="I462" s="59"/>
      <x:c r="J462" s="59" t="str">
        <x:v>ไม่ทราบ</x:v>
      </x:c>
      <x:c r="K462" s="59"/>
      <x:c r="L462" s="59" t="str">
        <x:v>N/A</x:v>
      </x:c>
      <x:c r="M462" s="59"/>
      <x:c r="N462" s="59"/>
      <x:c r="O462" s="59"/>
      <x:c r="P462" s="59"/>
      <x:c r="Q462" s="59"/>
      <x:c r="R462" s="59"/>
      <x:c r="S462" s="59"/>
      <x:c r="T462" s="59"/>
      <x:c r="U462" s="59"/>
      <x:c r="V462" s="59"/>
      <x:c r="W462" s="59"/>
      <x:c r="X462" s="59"/>
      <x:c r="Y462" s="59"/>
      <x:c r="Z462" s="59"/>
      <x:c r="AA462" s="8" t="n">
        <x:f>IF(C462="ไม่ทราบ","",SUMIFS($K$7:$Z$7,K462:Z462,"&lt;&gt;N/A"))</x:f>
        <x:v>100</x:v>
      </x:c>
      <x:c r="AB462" s="8" t="str">
        <x:f>IF(AND(OR(AND(C462="จำหน่ายอาหาร",ISNUMBER(K462),L462="N/A"),AND(C462="ไม่จำหน่ายอาหาร",K462="N/A",ISNUMBER(L462)),AND(C462="มัสยิด",K462="N/A",L462="N/A",X462="N/A")),COUNT(K462:Z462)+COUNTIFS(K462:Z462,"N/A")=16),SUM(K462:Z462),"")</x:f>
      </x:c>
      <x:c r="AC462" s="62" t="str">
        <x:f>IF(OR(AB462="",AA462&lt;=0),"",ROUND(AB462/AA462*100,1))</x:f>
      </x:c>
      <x:c r="AD462" s="8" t="str">
        <x:f>IF(COUNTIFS(D462:H462,"ไม่ผ่าน")&gt;0,"ไม่ผ่าน",IF(COUNTIFS(D462:H462,"ไม่ทราบ")+COUNTBLANK(D462:H462)&gt;0,"รอยืนยัน","ผ่าน"))</x:f>
        <x:v>รอยืนยัน</x:v>
      </x:c>
      <x:c r="AE462" s="8" t="str">
        <x:f>IF(AF462="ใช่","ไม่ผ่านการคัดเลือก",IF(AND(AD462="ผ่าน",ISNUMBER(AC462),AC462&gt;=70),"พร้อมขาย",IF(OR(J462="ใช่",AND(ISNUMBER(AC462),AC462&gt;=50)),"พัฒนาเพื่อพร้อมขาย",IF(AND(ISNUMBER(AC462),AC462&lt;50,I462&gt;=1),"มีศักยภาพ แต่ต้องพัฒนามาตรฐาน","รอประเมิน"))))</x:f>
        <x:v>รอประเมิน</x:v>
      </x:c>
      <x:c r="AF462" s="59" t="str">
        <x:v>ไม่ทราบ</x:v>
      </x:c>
      <x:c r="AG462" s="8" t="str">
        <x:f>IF(AF462="ใช่","หัวหน้าทีมพิจารณาเหตุไม่ผ่าน",IF(OR(AA462&lt;=0,NOT(OR(AND(C462="จำหน่ายอาหาร",ISNUMBER(K462),L462="N/A"),AND(C462="ไม่จำหน่ายอาหาร",K462="N/A",ISNUMBER(L462)),AND(C462="มัสยิด",K462="N/A",L462="N/A",X462="N/A"))),AD462="รอยืนยัน",COUNT(K462:Z462)+COUNTIFS(K462:Z462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2" s="59" t="str"/>
      <x:c r="AI462" s="61"/>
    </x:row>
    <x:row r="463" ht="60" customHeight="1">
      <x:c r="A463" s="2" t="str">
        <x:v>TMF-192</x:v>
      </x:c>
      <x:c r="B463" s="8" t="str">
        <x:v>wawa_cafe</x:v>
      </x:c>
      <x:c r="C463" s="59" t="str">
        <x:v>จำหน่ายอาหาร</x:v>
      </x:c>
      <x:c r="D463" s="59" t="str">
        <x:v>ไม่ทราบ</x:v>
      </x:c>
      <x:c r="E463" s="59" t="str">
        <x:v>ไม่ทราบ</x:v>
      </x:c>
      <x:c r="F463" s="59" t="str">
        <x:v>ไม่ทราบ</x:v>
      </x:c>
      <x:c r="G463" s="59" t="str">
        <x:v>ไม่ทราบ</x:v>
      </x:c>
      <x:c r="H463" s="59" t="str">
        <x:v>N/A</x:v>
      </x:c>
      <x:c r="I463" s="59"/>
      <x:c r="J463" s="59" t="str">
        <x:v>ไม่ทราบ</x:v>
      </x:c>
      <x:c r="K463" s="59"/>
      <x:c r="L463" s="59" t="str">
        <x:v>N/A</x:v>
      </x:c>
      <x:c r="M463" s="59"/>
      <x:c r="N463" s="59"/>
      <x:c r="O463" s="59"/>
      <x:c r="P463" s="59"/>
      <x:c r="Q463" s="59"/>
      <x:c r="R463" s="59"/>
      <x:c r="S463" s="59"/>
      <x:c r="T463" s="59"/>
      <x:c r="U463" s="59"/>
      <x:c r="V463" s="59"/>
      <x:c r="W463" s="59"/>
      <x:c r="X463" s="59"/>
      <x:c r="Y463" s="59"/>
      <x:c r="Z463" s="59"/>
      <x:c r="AA463" s="8" t="n">
        <x:f>IF(C463="ไม่ทราบ","",SUMIFS($K$7:$Z$7,K463:Z463,"&lt;&gt;N/A"))</x:f>
        <x:v>100</x:v>
      </x:c>
      <x:c r="AB463" s="8" t="str">
        <x:f>IF(AND(OR(AND(C463="จำหน่ายอาหาร",ISNUMBER(K463),L463="N/A"),AND(C463="ไม่จำหน่ายอาหาร",K463="N/A",ISNUMBER(L463)),AND(C463="มัสยิด",K463="N/A",L463="N/A",X463="N/A")),COUNT(K463:Z463)+COUNTIFS(K463:Z463,"N/A")=16),SUM(K463:Z463),"")</x:f>
      </x:c>
      <x:c r="AC463" s="62" t="str">
        <x:f>IF(OR(AB463="",AA463&lt;=0),"",ROUND(AB463/AA463*100,1))</x:f>
      </x:c>
      <x:c r="AD463" s="8" t="str">
        <x:f>IF(COUNTIFS(D463:H463,"ไม่ผ่าน")&gt;0,"ไม่ผ่าน",IF(COUNTIFS(D463:H463,"ไม่ทราบ")+COUNTBLANK(D463:H463)&gt;0,"รอยืนยัน","ผ่าน"))</x:f>
        <x:v>รอยืนยัน</x:v>
      </x:c>
      <x:c r="AE463" s="8" t="str">
        <x:f>IF(AF463="ใช่","ไม่ผ่านการคัดเลือก",IF(AND(AD463="ผ่าน",ISNUMBER(AC463),AC463&gt;=70),"พร้อมขาย",IF(OR(J463="ใช่",AND(ISNUMBER(AC463),AC463&gt;=50)),"พัฒนาเพื่อพร้อมขาย",IF(AND(ISNUMBER(AC463),AC463&lt;50,I463&gt;=1),"มีศักยภาพ แต่ต้องพัฒนามาตรฐาน","รอประเมิน"))))</x:f>
        <x:v>รอประเมิน</x:v>
      </x:c>
      <x:c r="AF463" s="59" t="str">
        <x:v>ไม่ทราบ</x:v>
      </x:c>
      <x:c r="AG463" s="8" t="str">
        <x:f>IF(AF463="ใช่","หัวหน้าทีมพิจารณาเหตุไม่ผ่าน",IF(OR(AA463&lt;=0,NOT(OR(AND(C463="จำหน่ายอาหาร",ISNUMBER(K463),L463="N/A"),AND(C463="ไม่จำหน่ายอาหาร",K463="N/A",ISNUMBER(L463)),AND(C463="มัสยิด",K463="N/A",L463="N/A",X463="N/A"))),AD463="รอยืนยัน",COUNT(K463:Z463)+COUNTIFS(K463:Z463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3" s="59" t="str"/>
      <x:c r="AI463" s="61"/>
    </x:row>
    <x:row r="464" ht="60" customHeight="1">
      <x:c r="A464" s="2" t="str">
        <x:v>TMF-196</x:v>
      </x:c>
      <x:c r="B464" s="8" t="str">
        <x:v>ซูเฟียนโภชนา</x:v>
      </x:c>
      <x:c r="C464" s="59" t="str">
        <x:v>จำหน่ายอาหาร</x:v>
      </x:c>
      <x:c r="D464" s="59" t="str">
        <x:v>ไม่ทราบ</x:v>
      </x:c>
      <x:c r="E464" s="59" t="str">
        <x:v>ไม่ทราบ</x:v>
      </x:c>
      <x:c r="F464" s="59" t="str">
        <x:v>ไม่ทราบ</x:v>
      </x:c>
      <x:c r="G464" s="59" t="str">
        <x:v>ไม่ทราบ</x:v>
      </x:c>
      <x:c r="H464" s="59" t="str">
        <x:v>N/A</x:v>
      </x:c>
      <x:c r="I464" s="59"/>
      <x:c r="J464" s="59" t="str">
        <x:v>ไม่ทราบ</x:v>
      </x:c>
      <x:c r="K464" s="59"/>
      <x:c r="L464" s="59" t="str">
        <x:v>N/A</x:v>
      </x:c>
      <x:c r="M464" s="59"/>
      <x:c r="N464" s="59"/>
      <x:c r="O464" s="59"/>
      <x:c r="P464" s="59"/>
      <x:c r="Q464" s="59"/>
      <x:c r="R464" s="59"/>
      <x:c r="S464" s="59"/>
      <x:c r="T464" s="59"/>
      <x:c r="U464" s="59"/>
      <x:c r="V464" s="59"/>
      <x:c r="W464" s="59"/>
      <x:c r="X464" s="59"/>
      <x:c r="Y464" s="59"/>
      <x:c r="Z464" s="59"/>
      <x:c r="AA464" s="8" t="n">
        <x:f>IF(C464="ไม่ทราบ","",SUMIFS($K$7:$Z$7,K464:Z464,"&lt;&gt;N/A"))</x:f>
        <x:v>100</x:v>
      </x:c>
      <x:c r="AB464" s="8" t="str">
        <x:f>IF(AND(OR(AND(C464="จำหน่ายอาหาร",ISNUMBER(K464),L464="N/A"),AND(C464="ไม่จำหน่ายอาหาร",K464="N/A",ISNUMBER(L464)),AND(C464="มัสยิด",K464="N/A",L464="N/A",X464="N/A")),COUNT(K464:Z464)+COUNTIFS(K464:Z464,"N/A")=16),SUM(K464:Z464),"")</x:f>
      </x:c>
      <x:c r="AC464" s="62" t="str">
        <x:f>IF(OR(AB464="",AA464&lt;=0),"",ROUND(AB464/AA464*100,1))</x:f>
      </x:c>
      <x:c r="AD464" s="8" t="str">
        <x:f>IF(COUNTIFS(D464:H464,"ไม่ผ่าน")&gt;0,"ไม่ผ่าน",IF(COUNTIFS(D464:H464,"ไม่ทราบ")+COUNTBLANK(D464:H464)&gt;0,"รอยืนยัน","ผ่าน"))</x:f>
        <x:v>รอยืนยัน</x:v>
      </x:c>
      <x:c r="AE464" s="8" t="str">
        <x:f>IF(AF464="ใช่","ไม่ผ่านการคัดเลือก",IF(AND(AD464="ผ่าน",ISNUMBER(AC464),AC464&gt;=70),"พร้อมขาย",IF(OR(J464="ใช่",AND(ISNUMBER(AC464),AC464&gt;=50)),"พัฒนาเพื่อพร้อมขาย",IF(AND(ISNUMBER(AC464),AC464&lt;50,I464&gt;=1),"มีศักยภาพ แต่ต้องพัฒนามาตรฐาน","รอประเมิน"))))</x:f>
        <x:v>รอประเมิน</x:v>
      </x:c>
      <x:c r="AF464" s="59" t="str">
        <x:v>ไม่ทราบ</x:v>
      </x:c>
      <x:c r="AG464" s="8" t="str">
        <x:f>IF(AF464="ใช่","หัวหน้าทีมพิจารณาเหตุไม่ผ่าน",IF(OR(AA464&lt;=0,NOT(OR(AND(C464="จำหน่ายอาหาร",ISNUMBER(K464),L464="N/A"),AND(C464="ไม่จำหน่ายอาหาร",K464="N/A",ISNUMBER(L464)),AND(C464="มัสยิด",K464="N/A",L464="N/A",X464="N/A"))),AD464="รอยืนยัน",COUNT(K464:Z464)+COUNTIFS(K464:Z464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4" s="59" t="str"/>
      <x:c r="AI464" s="61"/>
    </x:row>
    <x:row r="465" ht="60" customHeight="1">
      <x:c r="A465" s="2" t="str">
        <x:v>TMF-198</x:v>
      </x:c>
      <x:c r="B465" s="8" t="str">
        <x:v>ตะกงแกง</x:v>
      </x:c>
      <x:c r="C465" s="59" t="str">
        <x:v>จำหน่ายอาหาร</x:v>
      </x:c>
      <x:c r="D465" s="59" t="str">
        <x:v>ไม่ทราบ</x:v>
      </x:c>
      <x:c r="E465" s="59" t="str">
        <x:v>ไม่ทราบ</x:v>
      </x:c>
      <x:c r="F465" s="59" t="str">
        <x:v>ไม่ทราบ</x:v>
      </x:c>
      <x:c r="G465" s="59" t="str">
        <x:v>ไม่ทราบ</x:v>
      </x:c>
      <x:c r="H465" s="59" t="str">
        <x:v>N/A</x:v>
      </x:c>
      <x:c r="I465" s="59"/>
      <x:c r="J465" s="59" t="str">
        <x:v>ไม่ทราบ</x:v>
      </x:c>
      <x:c r="K465" s="59"/>
      <x:c r="L465" s="59" t="str">
        <x:v>N/A</x:v>
      </x:c>
      <x:c r="M465" s="59"/>
      <x:c r="N465" s="59"/>
      <x:c r="O465" s="59"/>
      <x:c r="P465" s="59"/>
      <x:c r="Q465" s="59"/>
      <x:c r="R465" s="59"/>
      <x:c r="S465" s="59"/>
      <x:c r="T465" s="59"/>
      <x:c r="U465" s="59"/>
      <x:c r="V465" s="59"/>
      <x:c r="W465" s="59"/>
      <x:c r="X465" s="59"/>
      <x:c r="Y465" s="59"/>
      <x:c r="Z465" s="59"/>
      <x:c r="AA465" s="8" t="n">
        <x:f>IF(C465="ไม่ทราบ","",SUMIFS($K$7:$Z$7,K465:Z465,"&lt;&gt;N/A"))</x:f>
        <x:v>100</x:v>
      </x:c>
      <x:c r="AB465" s="8" t="str">
        <x:f>IF(AND(OR(AND(C465="จำหน่ายอาหาร",ISNUMBER(K465),L465="N/A"),AND(C465="ไม่จำหน่ายอาหาร",K465="N/A",ISNUMBER(L465)),AND(C465="มัสยิด",K465="N/A",L465="N/A",X465="N/A")),COUNT(K465:Z465)+COUNTIFS(K465:Z465,"N/A")=16),SUM(K465:Z465),"")</x:f>
      </x:c>
      <x:c r="AC465" s="62" t="str">
        <x:f>IF(OR(AB465="",AA465&lt;=0),"",ROUND(AB465/AA465*100,1))</x:f>
      </x:c>
      <x:c r="AD465" s="8" t="str">
        <x:f>IF(COUNTIFS(D465:H465,"ไม่ผ่าน")&gt;0,"ไม่ผ่าน",IF(COUNTIFS(D465:H465,"ไม่ทราบ")+COUNTBLANK(D465:H465)&gt;0,"รอยืนยัน","ผ่าน"))</x:f>
        <x:v>รอยืนยัน</x:v>
      </x:c>
      <x:c r="AE465" s="8" t="str">
        <x:f>IF(AF465="ใช่","ไม่ผ่านการคัดเลือก",IF(AND(AD465="ผ่าน",ISNUMBER(AC465),AC465&gt;=70),"พร้อมขาย",IF(OR(J465="ใช่",AND(ISNUMBER(AC465),AC465&gt;=50)),"พัฒนาเพื่อพร้อมขาย",IF(AND(ISNUMBER(AC465),AC465&lt;50,I465&gt;=1),"มีศักยภาพ แต่ต้องพัฒนามาตรฐาน","รอประเมิน"))))</x:f>
        <x:v>รอประเมิน</x:v>
      </x:c>
      <x:c r="AF465" s="59" t="str">
        <x:v>ไม่ทราบ</x:v>
      </x:c>
      <x:c r="AG465" s="8" t="str">
        <x:f>IF(AF465="ใช่","หัวหน้าทีมพิจารณาเหตุไม่ผ่าน",IF(OR(AA465&lt;=0,NOT(OR(AND(C465="จำหน่ายอาหาร",ISNUMBER(K465),L465="N/A"),AND(C465="ไม่จำหน่ายอาหาร",K465="N/A",ISNUMBER(L465)),AND(C465="มัสยิด",K465="N/A",L465="N/A",X465="N/A"))),AD465="รอยืนยัน",COUNT(K465:Z465)+COUNTIFS(K465:Z465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5" s="59" t="str"/>
      <x:c r="AI465" s="61"/>
    </x:row>
    <x:row r="466" ht="60" customHeight="1">
      <x:c r="A466" s="2" t="str">
        <x:v>R26-335</x:v>
      </x:c>
      <x:c r="B466" s="8" t="str">
        <x:v>บ้านอาหารมายโฮมยะลา</x:v>
      </x:c>
      <x:c r="C466" s="59" t="str">
        <x:v>จำหน่ายอาหาร</x:v>
      </x:c>
      <x:c r="D466" s="59" t="str">
        <x:v>ไม่ทราบ</x:v>
      </x:c>
      <x:c r="E466" s="59" t="str">
        <x:v>ไม่ทราบ</x:v>
      </x:c>
      <x:c r="F466" s="59" t="str">
        <x:v>ไม่ทราบ</x:v>
      </x:c>
      <x:c r="G466" s="59" t="str">
        <x:v>ไม่ทราบ</x:v>
      </x:c>
      <x:c r="H466" s="59" t="str">
        <x:v>N/A</x:v>
      </x:c>
      <x:c r="I466" s="59"/>
      <x:c r="J466" s="59" t="str">
        <x:v>ไม่ทราบ</x:v>
      </x:c>
      <x:c r="K466" s="59"/>
      <x:c r="L466" s="59" t="str">
        <x:v>N/A</x:v>
      </x:c>
      <x:c r="M466" s="59"/>
      <x:c r="N466" s="59"/>
      <x:c r="O466" s="59"/>
      <x:c r="P466" s="59"/>
      <x:c r="Q466" s="59"/>
      <x:c r="R466" s="59"/>
      <x:c r="S466" s="59"/>
      <x:c r="T466" s="59"/>
      <x:c r="U466" s="59"/>
      <x:c r="V466" s="59"/>
      <x:c r="W466" s="59"/>
      <x:c r="X466" s="59"/>
      <x:c r="Y466" s="59"/>
      <x:c r="Z466" s="59"/>
      <x:c r="AA466" s="8" t="n">
        <x:f>IF(C466="ไม่ทราบ","",SUMIFS($K$7:$Z$7,K466:Z466,"&lt;&gt;N/A"))</x:f>
        <x:v>100</x:v>
      </x:c>
      <x:c r="AB466" s="8" t="str">
        <x:f>IF(AND(OR(AND(C466="จำหน่ายอาหาร",ISNUMBER(K466),L466="N/A"),AND(C466="ไม่จำหน่ายอาหาร",K466="N/A",ISNUMBER(L466)),AND(C466="มัสยิด",K466="N/A",L466="N/A",X466="N/A")),COUNT(K466:Z466)+COUNTIFS(K466:Z466,"N/A")=16),SUM(K466:Z466),"")</x:f>
      </x:c>
      <x:c r="AC466" s="62" t="str">
        <x:f>IF(OR(AB466="",AA466&lt;=0),"",ROUND(AB466/AA466*100,1))</x:f>
      </x:c>
      <x:c r="AD466" s="8" t="str">
        <x:f>IF(COUNTIFS(D466:H466,"ไม่ผ่าน")&gt;0,"ไม่ผ่าน",IF(COUNTIFS(D466:H466,"ไม่ทราบ")+COUNTBLANK(D466:H466)&gt;0,"รอยืนยัน","ผ่าน"))</x:f>
        <x:v>รอยืนยัน</x:v>
      </x:c>
      <x:c r="AE466" s="8" t="str">
        <x:f>IF(AF466="ใช่","ไม่ผ่านการคัดเลือก",IF(AND(AD466="ผ่าน",ISNUMBER(AC466),AC466&gt;=70),"พร้อมขาย",IF(OR(J466="ใช่",AND(ISNUMBER(AC466),AC466&gt;=50)),"พัฒนาเพื่อพร้อมขาย",IF(AND(ISNUMBER(AC466),AC466&lt;50,I466&gt;=1),"มีศักยภาพ แต่ต้องพัฒนามาตรฐาน","รอประเมิน"))))</x:f>
        <x:v>รอประเมิน</x:v>
      </x:c>
      <x:c r="AF466" s="59" t="str">
        <x:v>ไม่ทราบ</x:v>
      </x:c>
      <x:c r="AG466" s="8" t="str">
        <x:f>IF(AF466="ใช่","หัวหน้าทีมพิจารณาเหตุไม่ผ่าน",IF(OR(AA466&lt;=0,NOT(OR(AND(C466="จำหน่ายอาหาร",ISNUMBER(K466),L466="N/A"),AND(C466="ไม่จำหน่ายอาหาร",K466="N/A",ISNUMBER(L466)),AND(C466="มัสยิด",K466="N/A",L466="N/A",X466="N/A"))),AD466="รอยืนยัน",COUNT(K466:Z466)+COUNTIFS(K466:Z466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6" s="59" t="str"/>
      <x:c r="AI466" s="61"/>
    </x:row>
    <x:row r="467" ht="60" customHeight="1">
      <x:c r="A467" s="2" t="str">
        <x:v>R26-338</x:v>
      </x:c>
      <x:c r="B467" s="8" t="str">
        <x:v>มูฮัมหมัดฮาลีย์ ข้าวหน้าเป็ด</x:v>
      </x:c>
      <x:c r="C467" s="59" t="str">
        <x:v>จำหน่ายอาหาร</x:v>
      </x:c>
      <x:c r="D467" s="59" t="str">
        <x:v>ไม่ทราบ</x:v>
      </x:c>
      <x:c r="E467" s="59" t="str">
        <x:v>ไม่ทราบ</x:v>
      </x:c>
      <x:c r="F467" s="59" t="str">
        <x:v>ไม่ทราบ</x:v>
      </x:c>
      <x:c r="G467" s="59" t="str">
        <x:v>ไม่ทราบ</x:v>
      </x:c>
      <x:c r="H467" s="59" t="str">
        <x:v>N/A</x:v>
      </x:c>
      <x:c r="I467" s="59"/>
      <x:c r="J467" s="59" t="str">
        <x:v>ไม่ทราบ</x:v>
      </x:c>
      <x:c r="K467" s="59"/>
      <x:c r="L467" s="59" t="str">
        <x:v>N/A</x:v>
      </x:c>
      <x:c r="M467" s="59"/>
      <x:c r="N467" s="59"/>
      <x:c r="O467" s="59"/>
      <x:c r="P467" s="59"/>
      <x:c r="Q467" s="59"/>
      <x:c r="R467" s="59"/>
      <x:c r="S467" s="59"/>
      <x:c r="T467" s="59"/>
      <x:c r="U467" s="59"/>
      <x:c r="V467" s="59"/>
      <x:c r="W467" s="59"/>
      <x:c r="X467" s="59"/>
      <x:c r="Y467" s="59"/>
      <x:c r="Z467" s="59"/>
      <x:c r="AA467" s="8" t="n">
        <x:f>IF(C467="ไม่ทราบ","",SUMIFS($K$7:$Z$7,K467:Z467,"&lt;&gt;N/A"))</x:f>
        <x:v>100</x:v>
      </x:c>
      <x:c r="AB467" s="8" t="str">
        <x:f>IF(AND(OR(AND(C467="จำหน่ายอาหาร",ISNUMBER(K467),L467="N/A"),AND(C467="ไม่จำหน่ายอาหาร",K467="N/A",ISNUMBER(L467)),AND(C467="มัสยิด",K467="N/A",L467="N/A",X467="N/A")),COUNT(K467:Z467)+COUNTIFS(K467:Z467,"N/A")=16),SUM(K467:Z467),"")</x:f>
      </x:c>
      <x:c r="AC467" s="62" t="str">
        <x:f>IF(OR(AB467="",AA467&lt;=0),"",ROUND(AB467/AA467*100,1))</x:f>
      </x:c>
      <x:c r="AD467" s="8" t="str">
        <x:f>IF(COUNTIFS(D467:H467,"ไม่ผ่าน")&gt;0,"ไม่ผ่าน",IF(COUNTIFS(D467:H467,"ไม่ทราบ")+COUNTBLANK(D467:H467)&gt;0,"รอยืนยัน","ผ่าน"))</x:f>
        <x:v>รอยืนยัน</x:v>
      </x:c>
      <x:c r="AE467" s="8" t="str">
        <x:f>IF(AF467="ใช่","ไม่ผ่านการคัดเลือก",IF(AND(AD467="ผ่าน",ISNUMBER(AC467),AC467&gt;=70),"พร้อมขาย",IF(OR(J467="ใช่",AND(ISNUMBER(AC467),AC467&gt;=50)),"พัฒนาเพื่อพร้อมขาย",IF(AND(ISNUMBER(AC467),AC467&lt;50,I467&gt;=1),"มีศักยภาพ แต่ต้องพัฒนามาตรฐาน","รอประเมิน"))))</x:f>
        <x:v>รอประเมิน</x:v>
      </x:c>
      <x:c r="AF467" s="59" t="str">
        <x:v>ไม่ทราบ</x:v>
      </x:c>
      <x:c r="AG467" s="8" t="str">
        <x:f>IF(AF467="ใช่","หัวหน้าทีมพิจารณาเหตุไม่ผ่าน",IF(OR(AA467&lt;=0,NOT(OR(AND(C467="จำหน่ายอาหาร",ISNUMBER(K467),L467="N/A"),AND(C467="ไม่จำหน่ายอาหาร",K467="N/A",ISNUMBER(L467)),AND(C467="มัสยิด",K467="N/A",L467="N/A",X467="N/A"))),AD467="รอยืนยัน",COUNT(K467:Z467)+COUNTIFS(K467:Z467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7" s="59" t="str"/>
      <x:c r="AI467" s="61"/>
    </x:row>
    <x:row r="468" ht="60" customHeight="1">
      <x:c r="A468" s="2" t="str">
        <x:v>R26-337</x:v>
      </x:c>
      <x:c r="B468" s="8" t="str">
        <x:v>เนื้อแท้ โลตัสยะลา</x:v>
      </x:c>
      <x:c r="C468" s="59" t="str">
        <x:v>จำหน่ายอาหาร</x:v>
      </x:c>
      <x:c r="D468" s="59" t="str">
        <x:v>ไม่ทราบ</x:v>
      </x:c>
      <x:c r="E468" s="59" t="str">
        <x:v>ไม่ทราบ</x:v>
      </x:c>
      <x:c r="F468" s="59" t="str">
        <x:v>ไม่ทราบ</x:v>
      </x:c>
      <x:c r="G468" s="59" t="str">
        <x:v>ไม่ทราบ</x:v>
      </x:c>
      <x:c r="H468" s="59" t="str">
        <x:v>N/A</x:v>
      </x:c>
      <x:c r="I468" s="59"/>
      <x:c r="J468" s="59" t="str">
        <x:v>ไม่ทราบ</x:v>
      </x:c>
      <x:c r="K468" s="59"/>
      <x:c r="L468" s="59" t="str">
        <x:v>N/A</x:v>
      </x:c>
      <x:c r="M468" s="59"/>
      <x:c r="N468" s="59"/>
      <x:c r="O468" s="59"/>
      <x:c r="P468" s="59"/>
      <x:c r="Q468" s="59"/>
      <x:c r="R468" s="59"/>
      <x:c r="S468" s="59"/>
      <x:c r="T468" s="59"/>
      <x:c r="U468" s="59"/>
      <x:c r="V468" s="59"/>
      <x:c r="W468" s="59"/>
      <x:c r="X468" s="59"/>
      <x:c r="Y468" s="59"/>
      <x:c r="Z468" s="59"/>
      <x:c r="AA468" s="8" t="n">
        <x:f>IF(C468="ไม่ทราบ","",SUMIFS($K$7:$Z$7,K468:Z468,"&lt;&gt;N/A"))</x:f>
        <x:v>100</x:v>
      </x:c>
      <x:c r="AB468" s="8" t="str">
        <x:f>IF(AND(OR(AND(C468="จำหน่ายอาหาร",ISNUMBER(K468),L468="N/A"),AND(C468="ไม่จำหน่ายอาหาร",K468="N/A",ISNUMBER(L468)),AND(C468="มัสยิด",K468="N/A",L468="N/A",X468="N/A")),COUNT(K468:Z468)+COUNTIFS(K468:Z468,"N/A")=16),SUM(K468:Z468),"")</x:f>
      </x:c>
      <x:c r="AC468" s="62" t="str">
        <x:f>IF(OR(AB468="",AA468&lt;=0),"",ROUND(AB468/AA468*100,1))</x:f>
      </x:c>
      <x:c r="AD468" s="8" t="str">
        <x:f>IF(COUNTIFS(D468:H468,"ไม่ผ่าน")&gt;0,"ไม่ผ่าน",IF(COUNTIFS(D468:H468,"ไม่ทราบ")+COUNTBLANK(D468:H468)&gt;0,"รอยืนยัน","ผ่าน"))</x:f>
        <x:v>รอยืนยัน</x:v>
      </x:c>
      <x:c r="AE468" s="8" t="str">
        <x:f>IF(AF468="ใช่","ไม่ผ่านการคัดเลือก",IF(AND(AD468="ผ่าน",ISNUMBER(AC468),AC468&gt;=70),"พร้อมขาย",IF(OR(J468="ใช่",AND(ISNUMBER(AC468),AC468&gt;=50)),"พัฒนาเพื่อพร้อมขาย",IF(AND(ISNUMBER(AC468),AC468&lt;50,I468&gt;=1),"มีศักยภาพ แต่ต้องพัฒนามาตรฐาน","รอประเมิน"))))</x:f>
        <x:v>รอประเมิน</x:v>
      </x:c>
      <x:c r="AF468" s="59" t="str">
        <x:v>ไม่ทราบ</x:v>
      </x:c>
      <x:c r="AG468" s="8" t="str">
        <x:f>IF(AF468="ใช่","หัวหน้าทีมพิจารณาเหตุไม่ผ่าน",IF(OR(AA468&lt;=0,NOT(OR(AND(C468="จำหน่ายอาหาร",ISNUMBER(K468),L468="N/A"),AND(C468="ไม่จำหน่ายอาหาร",K468="N/A",ISNUMBER(L468)),AND(C468="มัสยิด",K468="N/A",L468="N/A",X468="N/A"))),AD468="รอยืนยัน",COUNT(K468:Z468)+COUNTIFS(K468:Z468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8" s="59" t="str"/>
      <x:c r="AI468" s="61"/>
    </x:row>
    <x:row r="469" ht="60" customHeight="1">
      <x:c r="A469" s="2" t="str">
        <x:v>R26-334</x:v>
      </x:c>
      <x:c r="B469" s="8" t="str">
        <x:v>โกกีม ก๋วยเตี๋ยวเนื้อตุ๋น</x:v>
      </x:c>
      <x:c r="C469" s="59" t="str">
        <x:v>จำหน่ายอาหาร</x:v>
      </x:c>
      <x:c r="D469" s="59" t="str">
        <x:v>ไม่ทราบ</x:v>
      </x:c>
      <x:c r="E469" s="59" t="str">
        <x:v>ไม่ทราบ</x:v>
      </x:c>
      <x:c r="F469" s="59" t="str">
        <x:v>ไม่ทราบ</x:v>
      </x:c>
      <x:c r="G469" s="59" t="str">
        <x:v>ไม่ทราบ</x:v>
      </x:c>
      <x:c r="H469" s="59" t="str">
        <x:v>N/A</x:v>
      </x:c>
      <x:c r="I469" s="59"/>
      <x:c r="J469" s="59" t="str">
        <x:v>ไม่ทราบ</x:v>
      </x:c>
      <x:c r="K469" s="59"/>
      <x:c r="L469" s="59" t="str">
        <x:v>N/A</x:v>
      </x:c>
      <x:c r="M469" s="59"/>
      <x:c r="N469" s="59"/>
      <x:c r="O469" s="59"/>
      <x:c r="P469" s="59"/>
      <x:c r="Q469" s="59"/>
      <x:c r="R469" s="59"/>
      <x:c r="S469" s="59"/>
      <x:c r="T469" s="59"/>
      <x:c r="U469" s="59"/>
      <x:c r="V469" s="59"/>
      <x:c r="W469" s="59"/>
      <x:c r="X469" s="59"/>
      <x:c r="Y469" s="59"/>
      <x:c r="Z469" s="59"/>
      <x:c r="AA469" s="8" t="n">
        <x:f>IF(C469="ไม่ทราบ","",SUMIFS($K$7:$Z$7,K469:Z469,"&lt;&gt;N/A"))</x:f>
        <x:v>100</x:v>
      </x:c>
      <x:c r="AB469" s="8" t="str">
        <x:f>IF(AND(OR(AND(C469="จำหน่ายอาหาร",ISNUMBER(K469),L469="N/A"),AND(C469="ไม่จำหน่ายอาหาร",K469="N/A",ISNUMBER(L469)),AND(C469="มัสยิด",K469="N/A",L469="N/A",X469="N/A")),COUNT(K469:Z469)+COUNTIFS(K469:Z469,"N/A")=16),SUM(K469:Z469),"")</x:f>
      </x:c>
      <x:c r="AC469" s="62" t="str">
        <x:f>IF(OR(AB469="",AA469&lt;=0),"",ROUND(AB469/AA469*100,1))</x:f>
      </x:c>
      <x:c r="AD469" s="8" t="str">
        <x:f>IF(COUNTIFS(D469:H469,"ไม่ผ่าน")&gt;0,"ไม่ผ่าน",IF(COUNTIFS(D469:H469,"ไม่ทราบ")+COUNTBLANK(D469:H469)&gt;0,"รอยืนยัน","ผ่าน"))</x:f>
        <x:v>รอยืนยัน</x:v>
      </x:c>
      <x:c r="AE469" s="8" t="str">
        <x:f>IF(AF469="ใช่","ไม่ผ่านการคัดเลือก",IF(AND(AD469="ผ่าน",ISNUMBER(AC469),AC469&gt;=70),"พร้อมขาย",IF(OR(J469="ใช่",AND(ISNUMBER(AC469),AC469&gt;=50)),"พัฒนาเพื่อพร้อมขาย",IF(AND(ISNUMBER(AC469),AC469&lt;50,I469&gt;=1),"มีศักยภาพ แต่ต้องพัฒนามาตรฐาน","รอประเมิน"))))</x:f>
        <x:v>รอประเมิน</x:v>
      </x:c>
      <x:c r="AF469" s="59" t="str">
        <x:v>ไม่ทราบ</x:v>
      </x:c>
      <x:c r="AG469" s="8" t="str">
        <x:f>IF(AF469="ใช่","หัวหน้าทีมพิจารณาเหตุไม่ผ่าน",IF(OR(AA469&lt;=0,NOT(OR(AND(C469="จำหน่ายอาหาร",ISNUMBER(K469),L469="N/A"),AND(C469="ไม่จำหน่ายอาหาร",K469="N/A",ISNUMBER(L469)),AND(C469="มัสยิด",K469="N/A",L469="N/A",X469="N/A"))),AD469="รอยืนยัน",COUNT(K469:Z469)+COUNTIFS(K469:Z469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69" s="59" t="str"/>
      <x:c r="AI469" s="61"/>
    </x:row>
    <x:row r="470" ht="60" customHeight="1">
      <x:c r="A470" s="2" t="str">
        <x:v>R26-200</x:v>
      </x:c>
      <x:c r="B470" s="8" t="str">
        <x:v>ทะเลหมอกอัยเยอร์เวง</x:v>
      </x:c>
      <x:c r="C470" s="59" t="str">
        <x:v>ไม่ทราบ</x:v>
      </x:c>
      <x:c r="D470" s="59" t="str">
        <x:v>ไม่ทราบ</x:v>
      </x:c>
      <x:c r="E470" s="59" t="str">
        <x:v>ไม่ทราบ</x:v>
      </x:c>
      <x:c r="F470" s="59" t="str">
        <x:v>ไม่ทราบ</x:v>
      </x:c>
      <x:c r="G470" s="59" t="str">
        <x:v>ไม่ทราบ</x:v>
      </x:c>
      <x:c r="H470" s="59" t="str">
        <x:v>N/A</x:v>
      </x:c>
      <x:c r="I470" s="59"/>
      <x:c r="J470" s="59" t="str">
        <x:v>ไม่ทราบ</x:v>
      </x:c>
      <x:c r="K470" s="59"/>
      <x:c r="L470" s="59"/>
      <x:c r="M470" s="59"/>
      <x:c r="N470" s="59"/>
      <x:c r="O470" s="59"/>
      <x:c r="P470" s="59"/>
      <x:c r="Q470" s="59"/>
      <x:c r="R470" s="59"/>
      <x:c r="S470" s="59"/>
      <x:c r="T470" s="59"/>
      <x:c r="U470" s="59"/>
      <x:c r="V470" s="59"/>
      <x:c r="W470" s="59"/>
      <x:c r="X470" s="59"/>
      <x:c r="Y470" s="59"/>
      <x:c r="Z470" s="59"/>
      <x:c r="AA470" s="8" t="str">
        <x:f>IF(C470="ไม่ทราบ","",SUMIFS($K$7:$Z$7,K470:Z470,"&lt;&gt;N/A"))</x:f>
      </x:c>
      <x:c r="AB470" s="8" t="str">
        <x:f>IF(AND(OR(AND(C470="จำหน่ายอาหาร",ISNUMBER(K470),L470="N/A"),AND(C470="ไม่จำหน่ายอาหาร",K470="N/A",ISNUMBER(L470)),AND(C470="มัสยิด",K470="N/A",L470="N/A",X470="N/A")),COUNT(K470:Z470)+COUNTIFS(K470:Z470,"N/A")=16),SUM(K470:Z470),"")</x:f>
      </x:c>
      <x:c r="AC470" s="62" t="str">
        <x:f>IF(OR(AB470="",AA470&lt;=0),"",ROUND(AB470/AA470*100,1))</x:f>
      </x:c>
      <x:c r="AD470" s="8" t="str">
        <x:f>IF(COUNTIFS(D470:H470,"ไม่ผ่าน")&gt;0,"ไม่ผ่าน",IF(COUNTIFS(D470:H470,"ไม่ทราบ")+COUNTBLANK(D470:H470)&gt;0,"รอยืนยัน","ผ่าน"))</x:f>
        <x:v>รอยืนยัน</x:v>
      </x:c>
      <x:c r="AE470" s="8" t="str">
        <x:f>IF(AF470="ใช่","ไม่ผ่านการคัดเลือก",IF(AND(AD470="ผ่าน",ISNUMBER(AC470),AC470&gt;=70),"พร้อมขาย",IF(OR(J470="ใช่",AND(ISNUMBER(AC470),AC470&gt;=50)),"พัฒนาเพื่อพร้อมขาย",IF(AND(ISNUMBER(AC470),AC470&lt;50,I470&gt;=1),"มีศักยภาพ แต่ต้องพัฒนามาตรฐาน","รอประเมิน"))))</x:f>
        <x:v>รอประเมิน</x:v>
      </x:c>
      <x:c r="AF470" s="59" t="str">
        <x:v>ไม่ทราบ</x:v>
      </x:c>
      <x:c r="AG470" s="8" t="str">
        <x:f>IF(AF470="ใช่","หัวหน้าทีมพิจารณาเหตุไม่ผ่าน",IF(OR(AA470&lt;=0,NOT(OR(AND(C470="จำหน่ายอาหาร",ISNUMBER(K470),L470="N/A"),AND(C470="ไม่จำหน่ายอาหาร",K470="N/A",ISNUMBER(L470)),AND(C470="มัสยิด",K470="N/A",L470="N/A",X470="N/A"))),AD470="รอยืนยัน",COUNT(K470:Z470)+COUNTIFS(K470:Z470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0" s="59" t="str"/>
      <x:c r="AI470" s="61"/>
    </x:row>
    <x:row r="471" ht="60" customHeight="1">
      <x:c r="A471" s="2" t="str">
        <x:v>R26-201</x:v>
      </x:c>
      <x:c r="B471" s="8" t="str">
        <x:v>สวนดอกไม้เมืองหนาวเบตง</x:v>
      </x:c>
      <x:c r="C471" s="59" t="str">
        <x:v>ไม่ทราบ</x:v>
      </x:c>
      <x:c r="D471" s="59" t="str">
        <x:v>ไม่ทราบ</x:v>
      </x:c>
      <x:c r="E471" s="59" t="str">
        <x:v>ไม่ทราบ</x:v>
      </x:c>
      <x:c r="F471" s="59" t="str">
        <x:v>ไม่ทราบ</x:v>
      </x:c>
      <x:c r="G471" s="59" t="str">
        <x:v>ไม่ทราบ</x:v>
      </x:c>
      <x:c r="H471" s="59" t="str">
        <x:v>N/A</x:v>
      </x:c>
      <x:c r="I471" s="59"/>
      <x:c r="J471" s="59" t="str">
        <x:v>ไม่ทราบ</x:v>
      </x:c>
      <x:c r="K471" s="59"/>
      <x:c r="L471" s="59"/>
      <x:c r="M471" s="59"/>
      <x:c r="N471" s="59"/>
      <x:c r="O471" s="59"/>
      <x:c r="P471" s="59"/>
      <x:c r="Q471" s="59"/>
      <x:c r="R471" s="59"/>
      <x:c r="S471" s="59"/>
      <x:c r="T471" s="59"/>
      <x:c r="U471" s="59"/>
      <x:c r="V471" s="59"/>
      <x:c r="W471" s="59"/>
      <x:c r="X471" s="59"/>
      <x:c r="Y471" s="59"/>
      <x:c r="Z471" s="59"/>
      <x:c r="AA471" s="8" t="str">
        <x:f>IF(C471="ไม่ทราบ","",SUMIFS($K$7:$Z$7,K471:Z471,"&lt;&gt;N/A"))</x:f>
      </x:c>
      <x:c r="AB471" s="8" t="str">
        <x:f>IF(AND(OR(AND(C471="จำหน่ายอาหาร",ISNUMBER(K471),L471="N/A"),AND(C471="ไม่จำหน่ายอาหาร",K471="N/A",ISNUMBER(L471)),AND(C471="มัสยิด",K471="N/A",L471="N/A",X471="N/A")),COUNT(K471:Z471)+COUNTIFS(K471:Z471,"N/A")=16),SUM(K471:Z471),"")</x:f>
      </x:c>
      <x:c r="AC471" s="62" t="str">
        <x:f>IF(OR(AB471="",AA471&lt;=0),"",ROUND(AB471/AA471*100,1))</x:f>
      </x:c>
      <x:c r="AD471" s="8" t="str">
        <x:f>IF(COUNTIFS(D471:H471,"ไม่ผ่าน")&gt;0,"ไม่ผ่าน",IF(COUNTIFS(D471:H471,"ไม่ทราบ")+COUNTBLANK(D471:H471)&gt;0,"รอยืนยัน","ผ่าน"))</x:f>
        <x:v>รอยืนยัน</x:v>
      </x:c>
      <x:c r="AE471" s="8" t="str">
        <x:f>IF(AF471="ใช่","ไม่ผ่านการคัดเลือก",IF(AND(AD471="ผ่าน",ISNUMBER(AC471),AC471&gt;=70),"พร้อมขาย",IF(OR(J471="ใช่",AND(ISNUMBER(AC471),AC471&gt;=50)),"พัฒนาเพื่อพร้อมขาย",IF(AND(ISNUMBER(AC471),AC471&lt;50,I471&gt;=1),"มีศักยภาพ แต่ต้องพัฒนามาตรฐาน","รอประเมิน"))))</x:f>
        <x:v>รอประเมิน</x:v>
      </x:c>
      <x:c r="AF471" s="59" t="str">
        <x:v>ไม่ทราบ</x:v>
      </x:c>
      <x:c r="AG471" s="8" t="str">
        <x:f>IF(AF471="ใช่","หัวหน้าทีมพิจารณาเหตุไม่ผ่าน",IF(OR(AA471&lt;=0,NOT(OR(AND(C471="จำหน่ายอาหาร",ISNUMBER(K471),L471="N/A"),AND(C471="ไม่จำหน่ายอาหาร",K471="N/A",ISNUMBER(L471)),AND(C471="มัสยิด",K471="N/A",L471="N/A",X471="N/A"))),AD471="รอยืนยัน",COUNT(K471:Z471)+COUNTIFS(K471:Z471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1" s="59" t="str"/>
      <x:c r="AI471" s="61"/>
    </x:row>
    <x:row r="472" ht="60" customHeight="1">
      <x:c r="A472" s="2" t="str">
        <x:v>R26-199</x:v>
      </x:c>
      <x:c r="B472" s="8" t="str">
        <x:v>เขื่อนบางลาง</x:v>
      </x:c>
      <x:c r="C472" s="59" t="str">
        <x:v>ไม่ทราบ</x:v>
      </x:c>
      <x:c r="D472" s="59" t="str">
        <x:v>ไม่ทราบ</x:v>
      </x:c>
      <x:c r="E472" s="59" t="str">
        <x:v>ไม่ทราบ</x:v>
      </x:c>
      <x:c r="F472" s="59" t="str">
        <x:v>ไม่ทราบ</x:v>
      </x:c>
      <x:c r="G472" s="59" t="str">
        <x:v>ไม่ทราบ</x:v>
      </x:c>
      <x:c r="H472" s="59" t="str">
        <x:v>N/A</x:v>
      </x:c>
      <x:c r="I472" s="59"/>
      <x:c r="J472" s="59" t="str">
        <x:v>ไม่ทราบ</x:v>
      </x:c>
      <x:c r="K472" s="59"/>
      <x:c r="L472" s="59"/>
      <x:c r="M472" s="59"/>
      <x:c r="N472" s="59"/>
      <x:c r="O472" s="59"/>
      <x:c r="P472" s="59"/>
      <x:c r="Q472" s="59"/>
      <x:c r="R472" s="59"/>
      <x:c r="S472" s="59"/>
      <x:c r="T472" s="59"/>
      <x:c r="U472" s="59"/>
      <x:c r="V472" s="59"/>
      <x:c r="W472" s="59"/>
      <x:c r="X472" s="59"/>
      <x:c r="Y472" s="59"/>
      <x:c r="Z472" s="59"/>
      <x:c r="AA472" s="8" t="str">
        <x:f>IF(C472="ไม่ทราบ","",SUMIFS($K$7:$Z$7,K472:Z472,"&lt;&gt;N/A"))</x:f>
      </x:c>
      <x:c r="AB472" s="8" t="str">
        <x:f>IF(AND(OR(AND(C472="จำหน่ายอาหาร",ISNUMBER(K472),L472="N/A"),AND(C472="ไม่จำหน่ายอาหาร",K472="N/A",ISNUMBER(L472)),AND(C472="มัสยิด",K472="N/A",L472="N/A",X472="N/A")),COUNT(K472:Z472)+COUNTIFS(K472:Z472,"N/A")=16),SUM(K472:Z472),"")</x:f>
      </x:c>
      <x:c r="AC472" s="62" t="str">
        <x:f>IF(OR(AB472="",AA472&lt;=0),"",ROUND(AB472/AA472*100,1))</x:f>
      </x:c>
      <x:c r="AD472" s="8" t="str">
        <x:f>IF(COUNTIFS(D472:H472,"ไม่ผ่าน")&gt;0,"ไม่ผ่าน",IF(COUNTIFS(D472:H472,"ไม่ทราบ")+COUNTBLANK(D472:H472)&gt;0,"รอยืนยัน","ผ่าน"))</x:f>
        <x:v>รอยืนยัน</x:v>
      </x:c>
      <x:c r="AE472" s="8" t="str">
        <x:f>IF(AF472="ใช่","ไม่ผ่านการคัดเลือก",IF(AND(AD472="ผ่าน",ISNUMBER(AC472),AC472&gt;=70),"พร้อมขาย",IF(OR(J472="ใช่",AND(ISNUMBER(AC472),AC472&gt;=50)),"พัฒนาเพื่อพร้อมขาย",IF(AND(ISNUMBER(AC472),AC472&lt;50,I472&gt;=1),"มีศักยภาพ แต่ต้องพัฒนามาตรฐาน","รอประเมิน"))))</x:f>
        <x:v>รอประเมิน</x:v>
      </x:c>
      <x:c r="AF472" s="59" t="str">
        <x:v>ไม่ทราบ</x:v>
      </x:c>
      <x:c r="AG472" s="8" t="str">
        <x:f>IF(AF472="ใช่","หัวหน้าทีมพิจารณาเหตุไม่ผ่าน",IF(OR(AA472&lt;=0,NOT(OR(AND(C472="จำหน่ายอาหาร",ISNUMBER(K472),L472="N/A"),AND(C472="ไม่จำหน่ายอาหาร",K472="N/A",ISNUMBER(L472)),AND(C472="มัสยิด",K472="N/A",L472="N/A",X472="N/A"))),AD472="รอยืนยัน",COUNT(K472:Z472)+COUNTIFS(K472:Z472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2" s="59" t="str"/>
      <x:c r="AI472" s="61"/>
    </x:row>
    <x:row r="473" ht="60" customHeight="1">
      <x:c r="A473" s="2" t="str">
        <x:v>R26-202</x:v>
      </x:c>
      <x:c r="B473" s="8" t="str">
        <x:v>ชุมชนบ้านจุฬาภรณ์พัฒนา 9</x:v>
      </x:c>
      <x:c r="C473" s="59" t="str">
        <x:v>ไม่ทราบ</x:v>
      </x:c>
      <x:c r="D473" s="59" t="str">
        <x:v>ไม่ทราบ</x:v>
      </x:c>
      <x:c r="E473" s="59" t="str">
        <x:v>ไม่ทราบ</x:v>
      </x:c>
      <x:c r="F473" s="59" t="str">
        <x:v>ไม่ทราบ</x:v>
      </x:c>
      <x:c r="G473" s="59" t="str">
        <x:v>ไม่ทราบ</x:v>
      </x:c>
      <x:c r="H473" s="59" t="str">
        <x:v>N/A</x:v>
      </x:c>
      <x:c r="I473" s="59"/>
      <x:c r="J473" s="59" t="str">
        <x:v>ไม่ทราบ</x:v>
      </x:c>
      <x:c r="K473" s="59"/>
      <x:c r="L473" s="59"/>
      <x:c r="M473" s="59"/>
      <x:c r="N473" s="59"/>
      <x:c r="O473" s="59"/>
      <x:c r="P473" s="59"/>
      <x:c r="Q473" s="59"/>
      <x:c r="R473" s="59"/>
      <x:c r="S473" s="59"/>
      <x:c r="T473" s="59"/>
      <x:c r="U473" s="59"/>
      <x:c r="V473" s="59"/>
      <x:c r="W473" s="59"/>
      <x:c r="X473" s="59"/>
      <x:c r="Y473" s="59"/>
      <x:c r="Z473" s="59"/>
      <x:c r="AA473" s="8" t="str">
        <x:f>IF(C473="ไม่ทราบ","",SUMIFS($K$7:$Z$7,K473:Z473,"&lt;&gt;N/A"))</x:f>
      </x:c>
      <x:c r="AB473" s="8" t="str">
        <x:f>IF(AND(OR(AND(C473="จำหน่ายอาหาร",ISNUMBER(K473),L473="N/A"),AND(C473="ไม่จำหน่ายอาหาร",K473="N/A",ISNUMBER(L473)),AND(C473="มัสยิด",K473="N/A",L473="N/A",X473="N/A")),COUNT(K473:Z473)+COUNTIFS(K473:Z473,"N/A")=16),SUM(K473:Z473),"")</x:f>
      </x:c>
      <x:c r="AC473" s="62" t="str">
        <x:f>IF(OR(AB473="",AA473&lt;=0),"",ROUND(AB473/AA473*100,1))</x:f>
      </x:c>
      <x:c r="AD473" s="8" t="str">
        <x:f>IF(COUNTIFS(D473:H473,"ไม่ผ่าน")&gt;0,"ไม่ผ่าน",IF(COUNTIFS(D473:H473,"ไม่ทราบ")+COUNTBLANK(D473:H473)&gt;0,"รอยืนยัน","ผ่าน"))</x:f>
        <x:v>รอยืนยัน</x:v>
      </x:c>
      <x:c r="AE473" s="8" t="str">
        <x:f>IF(AF473="ใช่","ไม่ผ่านการคัดเลือก",IF(AND(AD473="ผ่าน",ISNUMBER(AC473),AC473&gt;=70),"พร้อมขาย",IF(OR(J473="ใช่",AND(ISNUMBER(AC473),AC473&gt;=50)),"พัฒนาเพื่อพร้อมขาย",IF(AND(ISNUMBER(AC473),AC473&lt;50,I473&gt;=1),"มีศักยภาพ แต่ต้องพัฒนามาตรฐาน","รอประเมิน"))))</x:f>
        <x:v>รอประเมิน</x:v>
      </x:c>
      <x:c r="AF473" s="59" t="str">
        <x:v>ไม่ทราบ</x:v>
      </x:c>
      <x:c r="AG473" s="8" t="str">
        <x:f>IF(AF473="ใช่","หัวหน้าทีมพิจารณาเหตุไม่ผ่าน",IF(OR(AA473&lt;=0,NOT(OR(AND(C473="จำหน่ายอาหาร",ISNUMBER(K473),L473="N/A"),AND(C473="ไม่จำหน่ายอาหาร",K473="N/A",ISNUMBER(L473)),AND(C473="มัสยิด",K473="N/A",L473="N/A",X473="N/A"))),AD473="รอยืนยัน",COUNT(K473:Z473)+COUNTIFS(K473:Z473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3" s="59" t="str"/>
      <x:c r="AI473" s="61"/>
    </x:row>
    <x:row r="474" ht="60" customHeight="1">
      <x:c r="A474" s="2" t="str">
        <x:v>R26-203</x:v>
      </x:c>
      <x:c r="B474" s="8" t="str">
        <x:v>ชุมชนบ้านบ่อน้ำร้อน เบตง</x:v>
      </x:c>
      <x:c r="C474" s="59" t="str">
        <x:v>ไม่ทราบ</x:v>
      </x:c>
      <x:c r="D474" s="59" t="str">
        <x:v>ไม่ทราบ</x:v>
      </x:c>
      <x:c r="E474" s="59" t="str">
        <x:v>ไม่ทราบ</x:v>
      </x:c>
      <x:c r="F474" s="59" t="str">
        <x:v>ไม่ทราบ</x:v>
      </x:c>
      <x:c r="G474" s="59" t="str">
        <x:v>ไม่ทราบ</x:v>
      </x:c>
      <x:c r="H474" s="59" t="str">
        <x:v>N/A</x:v>
      </x:c>
      <x:c r="I474" s="59"/>
      <x:c r="J474" s="59" t="str">
        <x:v>ไม่ทราบ</x:v>
      </x:c>
      <x:c r="K474" s="59"/>
      <x:c r="L474" s="59"/>
      <x:c r="M474" s="59"/>
      <x:c r="N474" s="59"/>
      <x:c r="O474" s="59"/>
      <x:c r="P474" s="59"/>
      <x:c r="Q474" s="59"/>
      <x:c r="R474" s="59"/>
      <x:c r="S474" s="59"/>
      <x:c r="T474" s="59"/>
      <x:c r="U474" s="59"/>
      <x:c r="V474" s="59"/>
      <x:c r="W474" s="59"/>
      <x:c r="X474" s="59"/>
      <x:c r="Y474" s="59"/>
      <x:c r="Z474" s="59"/>
      <x:c r="AA474" s="8" t="str">
        <x:f>IF(C474="ไม่ทราบ","",SUMIFS($K$7:$Z$7,K474:Z474,"&lt;&gt;N/A"))</x:f>
      </x:c>
      <x:c r="AB474" s="8" t="str">
        <x:f>IF(AND(OR(AND(C474="จำหน่ายอาหาร",ISNUMBER(K474),L474="N/A"),AND(C474="ไม่จำหน่ายอาหาร",K474="N/A",ISNUMBER(L474)),AND(C474="มัสยิด",K474="N/A",L474="N/A",X474="N/A")),COUNT(K474:Z474)+COUNTIFS(K474:Z474,"N/A")=16),SUM(K474:Z474),"")</x:f>
      </x:c>
      <x:c r="AC474" s="62" t="str">
        <x:f>IF(OR(AB474="",AA474&lt;=0),"",ROUND(AB474/AA474*100,1))</x:f>
      </x:c>
      <x:c r="AD474" s="8" t="str">
        <x:f>IF(COUNTIFS(D474:H474,"ไม่ผ่าน")&gt;0,"ไม่ผ่าน",IF(COUNTIFS(D474:H474,"ไม่ทราบ")+COUNTBLANK(D474:H474)&gt;0,"รอยืนยัน","ผ่าน"))</x:f>
        <x:v>รอยืนยัน</x:v>
      </x:c>
      <x:c r="AE474" s="8" t="str">
        <x:f>IF(AF474="ใช่","ไม่ผ่านการคัดเลือก",IF(AND(AD474="ผ่าน",ISNUMBER(AC474),AC474&gt;=70),"พร้อมขาย",IF(OR(J474="ใช่",AND(ISNUMBER(AC474),AC474&gt;=50)),"พัฒนาเพื่อพร้อมขาย",IF(AND(ISNUMBER(AC474),AC474&lt;50,I474&gt;=1),"มีศักยภาพ แต่ต้องพัฒนามาตรฐาน","รอประเมิน"))))</x:f>
        <x:v>รอประเมิน</x:v>
      </x:c>
      <x:c r="AF474" s="59" t="str">
        <x:v>ไม่ทราบ</x:v>
      </x:c>
      <x:c r="AG474" s="8" t="str">
        <x:f>IF(AF474="ใช่","หัวหน้าทีมพิจารณาเหตุไม่ผ่าน",IF(OR(AA474&lt;=0,NOT(OR(AND(C474="จำหน่ายอาหาร",ISNUMBER(K474),L474="N/A"),AND(C474="ไม่จำหน่ายอาหาร",K474="N/A",ISNUMBER(L474)),AND(C474="มัสยิด",K474="N/A",L474="N/A",X474="N/A"))),AD474="รอยืนยัน",COUNT(K474:Z474)+COUNTIFS(K474:Z474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4" s="59" t="str"/>
      <x:c r="AI474" s="61"/>
    </x:row>
    <x:row r="475" ht="60" customHeight="1">
      <x:c r="A475" s="2" t="str">
        <x:v>R26-099</x:v>
      </x:c>
      <x:c r="B475" s="8" t="str">
        <x:v>ลันเบอร์เกอร์ ท่าศาลา</x:v>
      </x:c>
      <x:c r="C475" s="59" t="str">
        <x:v>จำหน่ายอาหาร</x:v>
      </x:c>
      <x:c r="D475" s="59" t="str">
        <x:v>ไม่ทราบ</x:v>
      </x:c>
      <x:c r="E475" s="59" t="str">
        <x:v>ไม่ทราบ</x:v>
      </x:c>
      <x:c r="F475" s="59" t="str">
        <x:v>ไม่ทราบ</x:v>
      </x:c>
      <x:c r="G475" s="59" t="str">
        <x:v>ไม่ทราบ</x:v>
      </x:c>
      <x:c r="H475" s="59" t="str">
        <x:v>N/A</x:v>
      </x:c>
      <x:c r="I475" s="59"/>
      <x:c r="J475" s="59" t="str">
        <x:v>ไม่ทราบ</x:v>
      </x:c>
      <x:c r="K475" s="59"/>
      <x:c r="L475" s="59" t="str">
        <x:v>N/A</x:v>
      </x:c>
      <x:c r="M475" s="59"/>
      <x:c r="N475" s="59"/>
      <x:c r="O475" s="59"/>
      <x:c r="P475" s="59"/>
      <x:c r="Q475" s="59"/>
      <x:c r="R475" s="59"/>
      <x:c r="S475" s="59"/>
      <x:c r="T475" s="59"/>
      <x:c r="U475" s="59"/>
      <x:c r="V475" s="59"/>
      <x:c r="W475" s="59"/>
      <x:c r="X475" s="59"/>
      <x:c r="Y475" s="59"/>
      <x:c r="Z475" s="59"/>
      <x:c r="AA475" s="8" t="n">
        <x:f>IF(C475="ไม่ทราบ","",SUMIFS($K$7:$Z$7,K475:Z475,"&lt;&gt;N/A"))</x:f>
        <x:v>100</x:v>
      </x:c>
      <x:c r="AB475" s="8" t="str">
        <x:f>IF(AND(OR(AND(C475="จำหน่ายอาหาร",ISNUMBER(K475),L475="N/A"),AND(C475="ไม่จำหน่ายอาหาร",K475="N/A",ISNUMBER(L475)),AND(C475="มัสยิด",K475="N/A",L475="N/A",X475="N/A")),COUNT(K475:Z475)+COUNTIFS(K475:Z475,"N/A")=16),SUM(K475:Z475),"")</x:f>
      </x:c>
      <x:c r="AC475" s="62" t="str">
        <x:f>IF(OR(AB475="",AA475&lt;=0),"",ROUND(AB475/AA475*100,1))</x:f>
      </x:c>
      <x:c r="AD475" s="8" t="str">
        <x:f>IF(COUNTIFS(D475:H475,"ไม่ผ่าน")&gt;0,"ไม่ผ่าน",IF(COUNTIFS(D475:H475,"ไม่ทราบ")+COUNTBLANK(D475:H475)&gt;0,"รอยืนยัน","ผ่าน"))</x:f>
        <x:v>รอยืนยัน</x:v>
      </x:c>
      <x:c r="AE475" s="8" t="str">
        <x:f>IF(AF475="ใช่","ไม่ผ่านการคัดเลือก",IF(AND(AD475="ผ่าน",ISNUMBER(AC475),AC475&gt;=70),"พร้อมขาย",IF(OR(J475="ใช่",AND(ISNUMBER(AC475),AC475&gt;=50)),"พัฒนาเพื่อพร้อมขาย",IF(AND(ISNUMBER(AC475),AC475&lt;50,I475&gt;=1),"มีศักยภาพ แต่ต้องพัฒนามาตรฐาน","รอประเมิน"))))</x:f>
        <x:v>รอประเมิน</x:v>
      </x:c>
      <x:c r="AF475" s="59" t="str">
        <x:v>ไม่ทราบ</x:v>
      </x:c>
      <x:c r="AG475" s="8" t="str">
        <x:f>IF(AF475="ใช่","หัวหน้าทีมพิจารณาเหตุไม่ผ่าน",IF(OR(AA475&lt;=0,NOT(OR(AND(C475="จำหน่ายอาหาร",ISNUMBER(K475),L475="N/A"),AND(C475="ไม่จำหน่ายอาหาร",K475="N/A",ISNUMBER(L475)),AND(C475="มัสยิด",K475="N/A",L475="N/A",X475="N/A"))),AD475="รอยืนยัน",COUNT(K475:Z475)+COUNTIFS(K475:Z475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5" s="59" t="str"/>
      <x:c r="AI475" s="61"/>
    </x:row>
    <x:row r="476" ht="60" customHeight="1">
      <x:c r="A476" s="2" t="str">
        <x:v>R26-100</x:v>
      </x:c>
      <x:c r="B476" s="8" t="str">
        <x:v>มัสยิดกลางจังหวัดนครศรีธรรมราช</x:v>
      </x:c>
      <x:c r="C476" s="59" t="str">
        <x:v>มัสยิด</x:v>
      </x:c>
      <x:c r="D476" s="59" t="str">
        <x:v>ไม่ทราบ</x:v>
      </x:c>
      <x:c r="E476" s="59" t="str">
        <x:v>ไม่ทราบ</x:v>
      </x:c>
      <x:c r="F476" s="59" t="str">
        <x:v>ไม่ทราบ</x:v>
      </x:c>
      <x:c r="G476" s="59" t="str">
        <x:v>N/A</x:v>
      </x:c>
      <x:c r="H476" s="59" t="str">
        <x:v>N/A</x:v>
      </x:c>
      <x:c r="I476" s="59"/>
      <x:c r="J476" s="59" t="str">
        <x:v>ไม่ทราบ</x:v>
      </x:c>
      <x:c r="K476" s="59" t="str">
        <x:v>N/A</x:v>
      </x:c>
      <x:c r="L476" s="59" t="str">
        <x:v>N/A</x:v>
      </x:c>
      <x:c r="M476" s="59"/>
      <x:c r="N476" s="59"/>
      <x:c r="O476" s="59"/>
      <x:c r="P476" s="59"/>
      <x:c r="Q476" s="59"/>
      <x:c r="R476" s="59"/>
      <x:c r="S476" s="59"/>
      <x:c r="T476" s="59"/>
      <x:c r="U476" s="59"/>
      <x:c r="V476" s="59"/>
      <x:c r="W476" s="59"/>
      <x:c r="X476" s="59" t="str">
        <x:v>N/A</x:v>
      </x:c>
      <x:c r="Y476" s="59"/>
      <x:c r="Z476" s="59"/>
      <x:c r="AA476" s="8" t="n">
        <x:f>IF(C476="ไม่ทราบ","",SUMIFS($K$7:$Z$7,K476:Z476,"&lt;&gt;N/A"))</x:f>
        <x:v>67</x:v>
      </x:c>
      <x:c r="AB476" s="8" t="str">
        <x:f>IF(AND(OR(AND(C476="จำหน่ายอาหาร",ISNUMBER(K476),L476="N/A"),AND(C476="ไม่จำหน่ายอาหาร",K476="N/A",ISNUMBER(L476)),AND(C476="มัสยิด",K476="N/A",L476="N/A",X476="N/A")),COUNT(K476:Z476)+COUNTIFS(K476:Z476,"N/A")=16),SUM(K476:Z476),"")</x:f>
      </x:c>
      <x:c r="AC476" s="62" t="str">
        <x:f>IF(OR(AB476="",AA476&lt;=0),"",ROUND(AB476/AA476*100,1))</x:f>
      </x:c>
      <x:c r="AD476" s="8" t="str">
        <x:f>IF(COUNTIFS(D476:H476,"ไม่ผ่าน")&gt;0,"ไม่ผ่าน",IF(COUNTIFS(D476:H476,"ไม่ทราบ")+COUNTBLANK(D476:H476)&gt;0,"รอยืนยัน","ผ่าน"))</x:f>
        <x:v>รอยืนยัน</x:v>
      </x:c>
      <x:c r="AE476" s="8" t="str">
        <x:f>IF(AF476="ใช่","ไม่ผ่านการคัดเลือก",IF(AND(AD476="ผ่าน",ISNUMBER(AC476),AC476&gt;=70),"พร้อมขาย",IF(OR(J476="ใช่",AND(ISNUMBER(AC476),AC476&gt;=50)),"พัฒนาเพื่อพร้อมขาย",IF(AND(ISNUMBER(AC476),AC476&lt;50,I476&gt;=1),"มีศักยภาพ แต่ต้องพัฒนามาตรฐาน","รอประเมิน"))))</x:f>
        <x:v>รอประเมิน</x:v>
      </x:c>
      <x:c r="AF476" s="59" t="str">
        <x:v>ไม่ทราบ</x:v>
      </x:c>
      <x:c r="AG476" s="8" t="str">
        <x:f>IF(AF476="ใช่","หัวหน้าทีมพิจารณาเหตุไม่ผ่าน",IF(OR(AA476&lt;=0,NOT(OR(AND(C476="จำหน่ายอาหาร",ISNUMBER(K476),L476="N/A"),AND(C476="ไม่จำหน่ายอาหาร",K476="N/A",ISNUMBER(L476)),AND(C476="มัสยิด",K476="N/A",L476="N/A",X476="N/A"))),AD476="รอยืนยัน",COUNT(K476:Z476)+COUNTIFS(K476:Z476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6" s="59" t="str"/>
      <x:c r="AI476" s="61"/>
    </x:row>
    <x:row r="477" ht="60" customHeight="1">
      <x:c r="A477" s="2" t="str">
        <x:v>R26-103</x:v>
      </x:c>
      <x:c r="B477" s="8" t="str">
        <x:v>เมืองเก่านครศรีธรรมราช</x:v>
      </x:c>
      <x:c r="C477" s="59" t="str">
        <x:v>ไม่ทราบ</x:v>
      </x:c>
      <x:c r="D477" s="59" t="str">
        <x:v>ไม่ทราบ</x:v>
      </x:c>
      <x:c r="E477" s="59" t="str">
        <x:v>ไม่ทราบ</x:v>
      </x:c>
      <x:c r="F477" s="59" t="str">
        <x:v>ไม่ทราบ</x:v>
      </x:c>
      <x:c r="G477" s="59" t="str">
        <x:v>ไม่ทราบ</x:v>
      </x:c>
      <x:c r="H477" s="59" t="str">
        <x:v>N/A</x:v>
      </x:c>
      <x:c r="I477" s="59"/>
      <x:c r="J477" s="59" t="str">
        <x:v>ไม่ทราบ</x:v>
      </x:c>
      <x:c r="K477" s="59"/>
      <x:c r="L477" s="59"/>
      <x:c r="M477" s="59"/>
      <x:c r="N477" s="59"/>
      <x:c r="O477" s="59"/>
      <x:c r="P477" s="59"/>
      <x:c r="Q477" s="59"/>
      <x:c r="R477" s="59"/>
      <x:c r="S477" s="59"/>
      <x:c r="T477" s="59"/>
      <x:c r="U477" s="59"/>
      <x:c r="V477" s="59"/>
      <x:c r="W477" s="59"/>
      <x:c r="X477" s="59"/>
      <x:c r="Y477" s="59"/>
      <x:c r="Z477" s="59"/>
      <x:c r="AA477" s="8" t="str">
        <x:f>IF(C477="ไม่ทราบ","",SUMIFS($K$7:$Z$7,K477:Z477,"&lt;&gt;N/A"))</x:f>
      </x:c>
      <x:c r="AB477" s="8" t="str">
        <x:f>IF(AND(OR(AND(C477="จำหน่ายอาหาร",ISNUMBER(K477),L477="N/A"),AND(C477="ไม่จำหน่ายอาหาร",K477="N/A",ISNUMBER(L477)),AND(C477="มัสยิด",K477="N/A",L477="N/A",X477="N/A")),COUNT(K477:Z477)+COUNTIFS(K477:Z477,"N/A")=16),SUM(K477:Z477),"")</x:f>
      </x:c>
      <x:c r="AC477" s="62" t="str">
        <x:f>IF(OR(AB477="",AA477&lt;=0),"",ROUND(AB477/AA477*100,1))</x:f>
      </x:c>
      <x:c r="AD477" s="8" t="str">
        <x:f>IF(COUNTIFS(D477:H477,"ไม่ผ่าน")&gt;0,"ไม่ผ่าน",IF(COUNTIFS(D477:H477,"ไม่ทราบ")+COUNTBLANK(D477:H477)&gt;0,"รอยืนยัน","ผ่าน"))</x:f>
        <x:v>รอยืนยัน</x:v>
      </x:c>
      <x:c r="AE477" s="8" t="str">
        <x:f>IF(AF477="ใช่","ไม่ผ่านการคัดเลือก",IF(AND(AD477="ผ่าน",ISNUMBER(AC477),AC477&gt;=70),"พร้อมขาย",IF(OR(J477="ใช่",AND(ISNUMBER(AC477),AC477&gt;=50)),"พัฒนาเพื่อพร้อมขาย",IF(AND(ISNUMBER(AC477),AC477&lt;50,I477&gt;=1),"มีศักยภาพ แต่ต้องพัฒนามาตรฐาน","รอประเมิน"))))</x:f>
        <x:v>รอประเมิน</x:v>
      </x:c>
      <x:c r="AF477" s="59" t="str">
        <x:v>ไม่ทราบ</x:v>
      </x:c>
      <x:c r="AG477" s="8" t="str">
        <x:f>IF(AF477="ใช่","หัวหน้าทีมพิจารณาเหตุไม่ผ่าน",IF(OR(AA477&lt;=0,NOT(OR(AND(C477="จำหน่ายอาหาร",ISNUMBER(K477),L477="N/A"),AND(C477="ไม่จำหน่ายอาหาร",K477="N/A",ISNUMBER(L477)),AND(C477="มัสยิด",K477="N/A",L477="N/A",X477="N/A"))),AD477="รอยืนยัน",COUNT(K477:Z477)+COUNTIFS(K477:Z477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7" s="59" t="str"/>
      <x:c r="AI477" s="61"/>
    </x:row>
    <x:row r="478" ht="60" customHeight="1">
      <x:c r="A478" s="2" t="str">
        <x:v>R26-101</x:v>
      </x:c>
      <x:c r="B478" s="8" t="str">
        <x:v>ชุมชนบ้านคีรีวง</x:v>
      </x:c>
      <x:c r="C478" s="59" t="str">
        <x:v>ไม่ทราบ</x:v>
      </x:c>
      <x:c r="D478" s="59" t="str">
        <x:v>ไม่ทราบ</x:v>
      </x:c>
      <x:c r="E478" s="59" t="str">
        <x:v>ไม่ทราบ</x:v>
      </x:c>
      <x:c r="F478" s="59" t="str">
        <x:v>ไม่ทราบ</x:v>
      </x:c>
      <x:c r="G478" s="59" t="str">
        <x:v>ไม่ทราบ</x:v>
      </x:c>
      <x:c r="H478" s="59" t="str">
        <x:v>N/A</x:v>
      </x:c>
      <x:c r="I478" s="59"/>
      <x:c r="J478" s="59" t="str">
        <x:v>ไม่ทราบ</x:v>
      </x:c>
      <x:c r="K478" s="59"/>
      <x:c r="L478" s="59"/>
      <x:c r="M478" s="59"/>
      <x:c r="N478" s="59"/>
      <x:c r="O478" s="59"/>
      <x:c r="P478" s="59"/>
      <x:c r="Q478" s="59"/>
      <x:c r="R478" s="59"/>
      <x:c r="S478" s="59"/>
      <x:c r="T478" s="59"/>
      <x:c r="U478" s="59"/>
      <x:c r="V478" s="59"/>
      <x:c r="W478" s="59"/>
      <x:c r="X478" s="59"/>
      <x:c r="Y478" s="59"/>
      <x:c r="Z478" s="59"/>
      <x:c r="AA478" s="8" t="str">
        <x:f>IF(C478="ไม่ทราบ","",SUMIFS($K$7:$Z$7,K478:Z478,"&lt;&gt;N/A"))</x:f>
      </x:c>
      <x:c r="AB478" s="8" t="str">
        <x:f>IF(AND(OR(AND(C478="จำหน่ายอาหาร",ISNUMBER(K478),L478="N/A"),AND(C478="ไม่จำหน่ายอาหาร",K478="N/A",ISNUMBER(L478)),AND(C478="มัสยิด",K478="N/A",L478="N/A",X478="N/A")),COUNT(K478:Z478)+COUNTIFS(K478:Z478,"N/A")=16),SUM(K478:Z478),"")</x:f>
      </x:c>
      <x:c r="AC478" s="62" t="str">
        <x:f>IF(OR(AB478="",AA478&lt;=0),"",ROUND(AB478/AA478*100,1))</x:f>
      </x:c>
      <x:c r="AD478" s="8" t="str">
        <x:f>IF(COUNTIFS(D478:H478,"ไม่ผ่าน")&gt;0,"ไม่ผ่าน",IF(COUNTIFS(D478:H478,"ไม่ทราบ")+COUNTBLANK(D478:H478)&gt;0,"รอยืนยัน","ผ่าน"))</x:f>
        <x:v>รอยืนยัน</x:v>
      </x:c>
      <x:c r="AE478" s="8" t="str">
        <x:f>IF(AF478="ใช่","ไม่ผ่านการคัดเลือก",IF(AND(AD478="ผ่าน",ISNUMBER(AC478),AC478&gt;=70),"พร้อมขาย",IF(OR(J478="ใช่",AND(ISNUMBER(AC478),AC478&gt;=50)),"พัฒนาเพื่อพร้อมขาย",IF(AND(ISNUMBER(AC478),AC478&lt;50,I478&gt;=1),"มีศักยภาพ แต่ต้องพัฒนามาตรฐาน","รอประเมิน"))))</x:f>
        <x:v>รอประเมิน</x:v>
      </x:c>
      <x:c r="AF478" s="59" t="str">
        <x:v>ไม่ทราบ</x:v>
      </x:c>
      <x:c r="AG478" s="8" t="str">
        <x:f>IF(AF478="ใช่","หัวหน้าทีมพิจารณาเหตุไม่ผ่าน",IF(OR(AA478&lt;=0,NOT(OR(AND(C478="จำหน่ายอาหาร",ISNUMBER(K478),L478="N/A"),AND(C478="ไม่จำหน่ายอาหาร",K478="N/A",ISNUMBER(L478)),AND(C478="มัสยิด",K478="N/A",L478="N/A",X478="N/A"))),AD478="รอยืนยัน",COUNT(K478:Z478)+COUNTIFS(K478:Z478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8" s="59" t="str"/>
      <x:c r="AI478" s="61"/>
    </x:row>
    <x:row r="479" ht="60" customHeight="1">
      <x:c r="A479" s="2" t="str">
        <x:v>R26-102</x:v>
      </x:c>
      <x:c r="B479" s="8" t="str">
        <x:v>KIREE มัดย้อมสีธรรมชาติบ้านคีรีวง</x:v>
      </x:c>
      <x:c r="C479" s="59" t="str">
        <x:v>ไม่ทราบ</x:v>
      </x:c>
      <x:c r="D479" s="59" t="str">
        <x:v>ไม่ทราบ</x:v>
      </x:c>
      <x:c r="E479" s="59" t="str">
        <x:v>ไม่ทราบ</x:v>
      </x:c>
      <x:c r="F479" s="59" t="str">
        <x:v>ไม่ทราบ</x:v>
      </x:c>
      <x:c r="G479" s="59" t="str">
        <x:v>ไม่ทราบ</x:v>
      </x:c>
      <x:c r="H479" s="59" t="str">
        <x:v>N/A</x:v>
      </x:c>
      <x:c r="I479" s="59"/>
      <x:c r="J479" s="59" t="str">
        <x:v>ไม่ทราบ</x:v>
      </x:c>
      <x:c r="K479" s="59"/>
      <x:c r="L479" s="59"/>
      <x:c r="M479" s="59"/>
      <x:c r="N479" s="59"/>
      <x:c r="O479" s="59"/>
      <x:c r="P479" s="59"/>
      <x:c r="Q479" s="59"/>
      <x:c r="R479" s="59"/>
      <x:c r="S479" s="59"/>
      <x:c r="T479" s="59"/>
      <x:c r="U479" s="59"/>
      <x:c r="V479" s="59"/>
      <x:c r="W479" s="59"/>
      <x:c r="X479" s="59"/>
      <x:c r="Y479" s="59"/>
      <x:c r="Z479" s="59"/>
      <x:c r="AA479" s="8" t="str">
        <x:f>IF(C479="ไม่ทราบ","",SUMIFS($K$7:$Z$7,K479:Z479,"&lt;&gt;N/A"))</x:f>
      </x:c>
      <x:c r="AB479" s="8" t="str">
        <x:f>IF(AND(OR(AND(C479="จำหน่ายอาหาร",ISNUMBER(K479),L479="N/A"),AND(C479="ไม่จำหน่ายอาหาร",K479="N/A",ISNUMBER(L479)),AND(C479="มัสยิด",K479="N/A",L479="N/A",X479="N/A")),COUNT(K479:Z479)+COUNTIFS(K479:Z479,"N/A")=16),SUM(K479:Z479),"")</x:f>
      </x:c>
      <x:c r="AC479" s="62" t="str">
        <x:f>IF(OR(AB479="",AA479&lt;=0),"",ROUND(AB479/AA479*100,1))</x:f>
      </x:c>
      <x:c r="AD479" s="8" t="str">
        <x:f>IF(COUNTIFS(D479:H479,"ไม่ผ่าน")&gt;0,"ไม่ผ่าน",IF(COUNTIFS(D479:H479,"ไม่ทราบ")+COUNTBLANK(D479:H479)&gt;0,"รอยืนยัน","ผ่าน"))</x:f>
        <x:v>รอยืนยัน</x:v>
      </x:c>
      <x:c r="AE479" s="8" t="str">
        <x:f>IF(AF479="ใช่","ไม่ผ่านการคัดเลือก",IF(AND(AD479="ผ่าน",ISNUMBER(AC479),AC479&gt;=70),"พร้อมขาย",IF(OR(J479="ใช่",AND(ISNUMBER(AC479),AC479&gt;=50)),"พัฒนาเพื่อพร้อมขาย",IF(AND(ISNUMBER(AC479),AC479&lt;50,I479&gt;=1),"มีศักยภาพ แต่ต้องพัฒนามาตรฐาน","รอประเมิน"))))</x:f>
        <x:v>รอประเมิน</x:v>
      </x:c>
      <x:c r="AF479" s="59" t="str">
        <x:v>ไม่ทราบ</x:v>
      </x:c>
      <x:c r="AG479" s="8" t="str">
        <x:f>IF(AF479="ใช่","หัวหน้าทีมพิจารณาเหตุไม่ผ่าน",IF(OR(AA479&lt;=0,NOT(OR(AND(C479="จำหน่ายอาหาร",ISNUMBER(K479),L479="N/A"),AND(C479="ไม่จำหน่ายอาหาร",K479="N/A",ISNUMBER(L479)),AND(C479="มัสยิด",K479="N/A",L479="N/A",X479="N/A"))),AD479="รอยืนยัน",COUNT(K479:Z479)+COUNTIFS(K479:Z479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79" s="59" t="str"/>
      <x:c r="AI479" s="61"/>
    </x:row>
    <x:row r="480" ht="60" customHeight="1">
      <x:c r="A480" s="2" t="str">
        <x:v>TMF-136</x:v>
      </x:c>
      <x:c r="B480" s="8" t="str">
        <x:v>I Lay Resort Sichon</x:v>
      </x:c>
      <x:c r="C480" s="59" t="str">
        <x:v>ไม่ทราบ</x:v>
      </x:c>
      <x:c r="D480" s="59" t="str">
        <x:v>ไม่ทราบ</x:v>
      </x:c>
      <x:c r="E480" s="59" t="str">
        <x:v>ไม่ทราบ</x:v>
      </x:c>
      <x:c r="F480" s="59" t="str">
        <x:v>ไม่ทราบ</x:v>
      </x:c>
      <x:c r="G480" s="59" t="str">
        <x:v>ไม่ทราบ</x:v>
      </x:c>
      <x:c r="H480" s="59" t="str">
        <x:v>ไม่ทราบ</x:v>
      </x:c>
      <x:c r="I480" s="59"/>
      <x:c r="J480" s="59" t="str">
        <x:v>ไม่ทราบ</x:v>
      </x:c>
      <x:c r="K480" s="59"/>
      <x:c r="L480" s="59"/>
      <x:c r="M480" s="59"/>
      <x:c r="N480" s="59"/>
      <x:c r="O480" s="59"/>
      <x:c r="P480" s="59"/>
      <x:c r="Q480" s="59"/>
      <x:c r="R480" s="59"/>
      <x:c r="S480" s="59"/>
      <x:c r="T480" s="59"/>
      <x:c r="U480" s="59"/>
      <x:c r="V480" s="59"/>
      <x:c r="W480" s="59"/>
      <x:c r="X480" s="59"/>
      <x:c r="Y480" s="59"/>
      <x:c r="Z480" s="59"/>
      <x:c r="AA480" s="8" t="str">
        <x:f>IF(C480="ไม่ทราบ","",SUMIFS($K$7:$Z$7,K480:Z480,"&lt;&gt;N/A"))</x:f>
      </x:c>
      <x:c r="AB480" s="8" t="str">
        <x:f>IF(AND(OR(AND(C480="จำหน่ายอาหาร",ISNUMBER(K480),L480="N/A"),AND(C480="ไม่จำหน่ายอาหาร",K480="N/A",ISNUMBER(L480)),AND(C480="มัสยิด",K480="N/A",L480="N/A",X480="N/A")),COUNT(K480:Z480)+COUNTIFS(K480:Z480,"N/A")=16),SUM(K480:Z480),"")</x:f>
      </x:c>
      <x:c r="AC480" s="62" t="str">
        <x:f>IF(OR(AB480="",AA480&lt;=0),"",ROUND(AB480/AA480*100,1))</x:f>
      </x:c>
      <x:c r="AD480" s="8" t="str">
        <x:f>IF(COUNTIFS(D480:H480,"ไม่ผ่าน")&gt;0,"ไม่ผ่าน",IF(COUNTIFS(D480:H480,"ไม่ทราบ")+COUNTBLANK(D480:H480)&gt;0,"รอยืนยัน","ผ่าน"))</x:f>
        <x:v>รอยืนยัน</x:v>
      </x:c>
      <x:c r="AE480" s="8" t="str">
        <x:f>IF(AF480="ใช่","ไม่ผ่านการคัดเลือก",IF(AND(AD480="ผ่าน",ISNUMBER(AC480),AC480&gt;=70),"พร้อมขาย",IF(OR(J480="ใช่",AND(ISNUMBER(AC480),AC480&gt;=50)),"พัฒนาเพื่อพร้อมขาย",IF(AND(ISNUMBER(AC480),AC480&lt;50,I480&gt;=1),"มีศักยภาพ แต่ต้องพัฒนามาตรฐาน","รอประเมิน"))))</x:f>
        <x:v>รอประเมิน</x:v>
      </x:c>
      <x:c r="AF480" s="59" t="str">
        <x:v>ไม่ทราบ</x:v>
      </x:c>
      <x:c r="AG480" s="8" t="str">
        <x:f>IF(AF480="ใช่","หัวหน้าทีมพิจารณาเหตุไม่ผ่าน",IF(OR(AA480&lt;=0,NOT(OR(AND(C480="จำหน่ายอาหาร",ISNUMBER(K480),L480="N/A"),AND(C480="ไม่จำหน่ายอาหาร",K480="N/A",ISNUMBER(L480)),AND(C480="มัสยิด",K480="N/A",L480="N/A",X480="N/A"))),AD480="รอยืนยัน",COUNT(K480:Z480)+COUNTIFS(K480:Z480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0" s="59" t="str"/>
      <x:c r="AI480" s="61"/>
    </x:row>
    <x:row r="481" ht="60" customHeight="1">
      <x:c r="A481" s="2" t="str">
        <x:v>TMF-359</x:v>
      </x:c>
      <x:c r="B481" s="8" t="str">
        <x:v>โรงแรมทวินโลตัส จำกัด</x:v>
      </x:c>
      <x:c r="C481" s="59" t="str">
        <x:v>ไม่ทราบ</x:v>
      </x:c>
      <x:c r="D481" s="59" t="str">
        <x:v>ไม่ทราบ</x:v>
      </x:c>
      <x:c r="E481" s="59" t="str">
        <x:v>ไม่ทราบ</x:v>
      </x:c>
      <x:c r="F481" s="59" t="str">
        <x:v>ไม่ทราบ</x:v>
      </x:c>
      <x:c r="G481" s="59" t="str">
        <x:v>ไม่ทราบ</x:v>
      </x:c>
      <x:c r="H481" s="59" t="str">
        <x:v>ไม่ทราบ</x:v>
      </x:c>
      <x:c r="I481" s="59"/>
      <x:c r="J481" s="59" t="str">
        <x:v>ไม่ทราบ</x:v>
      </x:c>
      <x:c r="K481" s="59"/>
      <x:c r="L481" s="59"/>
      <x:c r="M481" s="59"/>
      <x:c r="N481" s="59"/>
      <x:c r="O481" s="59"/>
      <x:c r="P481" s="59"/>
      <x:c r="Q481" s="59"/>
      <x:c r="R481" s="59"/>
      <x:c r="S481" s="59"/>
      <x:c r="T481" s="59"/>
      <x:c r="U481" s="59"/>
      <x:c r="V481" s="59"/>
      <x:c r="W481" s="59"/>
      <x:c r="X481" s="59"/>
      <x:c r="Y481" s="59"/>
      <x:c r="Z481" s="59"/>
      <x:c r="AA481" s="8" t="str">
        <x:f>IF(C481="ไม่ทราบ","",SUMIFS($K$7:$Z$7,K481:Z481,"&lt;&gt;N/A"))</x:f>
      </x:c>
      <x:c r="AB481" s="8" t="str">
        <x:f>IF(AND(OR(AND(C481="จำหน่ายอาหาร",ISNUMBER(K481),L481="N/A"),AND(C481="ไม่จำหน่ายอาหาร",K481="N/A",ISNUMBER(L481)),AND(C481="มัสยิด",K481="N/A",L481="N/A",X481="N/A")),COUNT(K481:Z481)+COUNTIFS(K481:Z481,"N/A")=16),SUM(K481:Z481),"")</x:f>
      </x:c>
      <x:c r="AC481" s="62" t="str">
        <x:f>IF(OR(AB481="",AA481&lt;=0),"",ROUND(AB481/AA481*100,1))</x:f>
      </x:c>
      <x:c r="AD481" s="8" t="str">
        <x:f>IF(COUNTIFS(D481:H481,"ไม่ผ่าน")&gt;0,"ไม่ผ่าน",IF(COUNTIFS(D481:H481,"ไม่ทราบ")+COUNTBLANK(D481:H481)&gt;0,"รอยืนยัน","ผ่าน"))</x:f>
        <x:v>รอยืนยัน</x:v>
      </x:c>
      <x:c r="AE481" s="8" t="str">
        <x:f>IF(AF481="ใช่","ไม่ผ่านการคัดเลือก",IF(AND(AD481="ผ่าน",ISNUMBER(AC481),AC481&gt;=70),"พร้อมขาย",IF(OR(J481="ใช่",AND(ISNUMBER(AC481),AC481&gt;=50)),"พัฒนาเพื่อพร้อมขาย",IF(AND(ISNUMBER(AC481),AC481&lt;50,I481&gt;=1),"มีศักยภาพ แต่ต้องพัฒนามาตรฐาน","รอประเมิน"))))</x:f>
        <x:v>รอประเมิน</x:v>
      </x:c>
      <x:c r="AF481" s="59" t="str">
        <x:v>ไม่ทราบ</x:v>
      </x:c>
      <x:c r="AG481" s="8" t="str">
        <x:f>IF(AF481="ใช่","หัวหน้าทีมพิจารณาเหตุไม่ผ่าน",IF(OR(AA481&lt;=0,NOT(OR(AND(C481="จำหน่ายอาหาร",ISNUMBER(K481),L481="N/A"),AND(C481="ไม่จำหน่ายอาหาร",K481="N/A",ISNUMBER(L481)),AND(C481="มัสยิด",K481="N/A",L481="N/A",X481="N/A"))),AD481="รอยืนยัน",COUNT(K481:Z481)+COUNTIFS(K481:Z481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1" s="59" t="str"/>
      <x:c r="AI481" s="61"/>
    </x:row>
    <x:row r="482" ht="60" customHeight="1">
      <x:c r="A482" s="2" t="str">
        <x:v>TMF-138</x:v>
      </x:c>
      <x:c r="B482" s="8" t="str">
        <x:v>Kamin Halal Kitchen House</x:v>
      </x:c>
      <x:c r="C482" s="59" t="str">
        <x:v>จำหน่ายอาหาร</x:v>
      </x:c>
      <x:c r="D482" s="59" t="str">
        <x:v>ไม่ทราบ</x:v>
      </x:c>
      <x:c r="E482" s="59" t="str">
        <x:v>ไม่ทราบ</x:v>
      </x:c>
      <x:c r="F482" s="59" t="str">
        <x:v>ไม่ทราบ</x:v>
      </x:c>
      <x:c r="G482" s="59" t="str">
        <x:v>ไม่ทราบ</x:v>
      </x:c>
      <x:c r="H482" s="59" t="str">
        <x:v>N/A</x:v>
      </x:c>
      <x:c r="I482" s="59"/>
      <x:c r="J482" s="59" t="str">
        <x:v>ไม่ทราบ</x:v>
      </x:c>
      <x:c r="K482" s="59"/>
      <x:c r="L482" s="59" t="str">
        <x:v>N/A</x:v>
      </x:c>
      <x:c r="M482" s="59"/>
      <x:c r="N482" s="59"/>
      <x:c r="O482" s="59"/>
      <x:c r="P482" s="59"/>
      <x:c r="Q482" s="59"/>
      <x:c r="R482" s="59"/>
      <x:c r="S482" s="59"/>
      <x:c r="T482" s="59"/>
      <x:c r="U482" s="59"/>
      <x:c r="V482" s="59"/>
      <x:c r="W482" s="59"/>
      <x:c r="X482" s="59"/>
      <x:c r="Y482" s="59"/>
      <x:c r="Z482" s="59"/>
      <x:c r="AA482" s="8" t="n">
        <x:f>IF(C482="ไม่ทราบ","",SUMIFS($K$7:$Z$7,K482:Z482,"&lt;&gt;N/A"))</x:f>
        <x:v>100</x:v>
      </x:c>
      <x:c r="AB482" s="8" t="str">
        <x:f>IF(AND(OR(AND(C482="จำหน่ายอาหาร",ISNUMBER(K482),L482="N/A"),AND(C482="ไม่จำหน่ายอาหาร",K482="N/A",ISNUMBER(L482)),AND(C482="มัสยิด",K482="N/A",L482="N/A",X482="N/A")),COUNT(K482:Z482)+COUNTIFS(K482:Z482,"N/A")=16),SUM(K482:Z482),"")</x:f>
      </x:c>
      <x:c r="AC482" s="62" t="str">
        <x:f>IF(OR(AB482="",AA482&lt;=0),"",ROUND(AB482/AA482*100,1))</x:f>
      </x:c>
      <x:c r="AD482" s="8" t="str">
        <x:f>IF(COUNTIFS(D482:H482,"ไม่ผ่าน")&gt;0,"ไม่ผ่าน",IF(COUNTIFS(D482:H482,"ไม่ทราบ")+COUNTBLANK(D482:H482)&gt;0,"รอยืนยัน","ผ่าน"))</x:f>
        <x:v>รอยืนยัน</x:v>
      </x:c>
      <x:c r="AE482" s="8" t="str">
        <x:f>IF(AF482="ใช่","ไม่ผ่านการคัดเลือก",IF(AND(AD482="ผ่าน",ISNUMBER(AC482),AC482&gt;=70),"พร้อมขาย",IF(OR(J482="ใช่",AND(ISNUMBER(AC482),AC482&gt;=50)),"พัฒนาเพื่อพร้อมขาย",IF(AND(ISNUMBER(AC482),AC482&lt;50,I482&gt;=1),"มีศักยภาพ แต่ต้องพัฒนามาตรฐาน","รอประเมิน"))))</x:f>
        <x:v>รอประเมิน</x:v>
      </x:c>
      <x:c r="AF482" s="59" t="str">
        <x:v>ไม่ทราบ</x:v>
      </x:c>
      <x:c r="AG482" s="8" t="str">
        <x:f>IF(AF482="ใช่","หัวหน้าทีมพิจารณาเหตุไม่ผ่าน",IF(OR(AA482&lt;=0,NOT(OR(AND(C482="จำหน่ายอาหาร",ISNUMBER(K482),L482="N/A"),AND(C482="ไม่จำหน่ายอาหาร",K482="N/A",ISNUMBER(L482)),AND(C482="มัสยิด",K482="N/A",L482="N/A",X482="N/A"))),AD482="รอยืนยัน",COUNT(K482:Z482)+COUNTIFS(K482:Z482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2" s="59" t="str"/>
      <x:c r="AI482" s="61"/>
    </x:row>
    <x:row r="483" ht="60" customHeight="1">
      <x:c r="A483" s="2" t="str">
        <x:v>TMF-139</x:v>
      </x:c>
      <x:c r="B483" s="8" t="str">
        <x:v>ของบังดี ฮาลาลช็อป นครศรีธรรมราช</x:v>
      </x:c>
      <x:c r="C483" s="59" t="str">
        <x:v>จำหน่ายอาหาร</x:v>
      </x:c>
      <x:c r="D483" s="59" t="str">
        <x:v>ไม่ทราบ</x:v>
      </x:c>
      <x:c r="E483" s="59" t="str">
        <x:v>ไม่ทราบ</x:v>
      </x:c>
      <x:c r="F483" s="59" t="str">
        <x:v>ไม่ทราบ</x:v>
      </x:c>
      <x:c r="G483" s="59" t="str">
        <x:v>ไม่ทราบ</x:v>
      </x:c>
      <x:c r="H483" s="59" t="str">
        <x:v>N/A</x:v>
      </x:c>
      <x:c r="I483" s="59"/>
      <x:c r="J483" s="59" t="str">
        <x:v>ไม่ทราบ</x:v>
      </x:c>
      <x:c r="K483" s="59"/>
      <x:c r="L483" s="59" t="str">
        <x:v>N/A</x:v>
      </x:c>
      <x:c r="M483" s="59"/>
      <x:c r="N483" s="59"/>
      <x:c r="O483" s="59"/>
      <x:c r="P483" s="59"/>
      <x:c r="Q483" s="59"/>
      <x:c r="R483" s="59"/>
      <x:c r="S483" s="59"/>
      <x:c r="T483" s="59"/>
      <x:c r="U483" s="59"/>
      <x:c r="V483" s="59"/>
      <x:c r="W483" s="59"/>
      <x:c r="X483" s="59"/>
      <x:c r="Y483" s="59"/>
      <x:c r="Z483" s="59"/>
      <x:c r="AA483" s="8" t="n">
        <x:f>IF(C483="ไม่ทราบ","",SUMIFS($K$7:$Z$7,K483:Z483,"&lt;&gt;N/A"))</x:f>
        <x:v>100</x:v>
      </x:c>
      <x:c r="AB483" s="8" t="str">
        <x:f>IF(AND(OR(AND(C483="จำหน่ายอาหาร",ISNUMBER(K483),L483="N/A"),AND(C483="ไม่จำหน่ายอาหาร",K483="N/A",ISNUMBER(L483)),AND(C483="มัสยิด",K483="N/A",L483="N/A",X483="N/A")),COUNT(K483:Z483)+COUNTIFS(K483:Z483,"N/A")=16),SUM(K483:Z483),"")</x:f>
      </x:c>
      <x:c r="AC483" s="62" t="str">
        <x:f>IF(OR(AB483="",AA483&lt;=0),"",ROUND(AB483/AA483*100,1))</x:f>
      </x:c>
      <x:c r="AD483" s="8" t="str">
        <x:f>IF(COUNTIFS(D483:H483,"ไม่ผ่าน")&gt;0,"ไม่ผ่าน",IF(COUNTIFS(D483:H483,"ไม่ทราบ")+COUNTBLANK(D483:H483)&gt;0,"รอยืนยัน","ผ่าน"))</x:f>
        <x:v>รอยืนยัน</x:v>
      </x:c>
      <x:c r="AE483" s="8" t="str">
        <x:f>IF(AF483="ใช่","ไม่ผ่านการคัดเลือก",IF(AND(AD483="ผ่าน",ISNUMBER(AC483),AC483&gt;=70),"พร้อมขาย",IF(OR(J483="ใช่",AND(ISNUMBER(AC483),AC483&gt;=50)),"พัฒนาเพื่อพร้อมขาย",IF(AND(ISNUMBER(AC483),AC483&lt;50,I483&gt;=1),"มีศักยภาพ แต่ต้องพัฒนามาตรฐาน","รอประเมิน"))))</x:f>
        <x:v>รอประเมิน</x:v>
      </x:c>
      <x:c r="AF483" s="59" t="str">
        <x:v>ไม่ทราบ</x:v>
      </x:c>
      <x:c r="AG483" s="8" t="str">
        <x:f>IF(AF483="ใช่","หัวหน้าทีมพิจารณาเหตุไม่ผ่าน",IF(OR(AA483&lt;=0,NOT(OR(AND(C483="จำหน่ายอาหาร",ISNUMBER(K483),L483="N/A"),AND(C483="ไม่จำหน่ายอาหาร",K483="N/A",ISNUMBER(L483)),AND(C483="มัสยิด",K483="N/A",L483="N/A",X483="N/A"))),AD483="รอยืนยัน",COUNT(K483:Z483)+COUNTIFS(K483:Z483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3" s="59" t="str"/>
      <x:c r="AI483" s="61"/>
    </x:row>
    <x:row r="484" ht="60" customHeight="1">
      <x:c r="A484" s="2" t="str">
        <x:v>TMF-140</x:v>
      </x:c>
      <x:c r="B484" s="8" t="str">
        <x:v>ข้าวซอยสุธินี</x:v>
      </x:c>
      <x:c r="C484" s="59" t="str">
        <x:v>จำหน่ายอาหาร</x:v>
      </x:c>
      <x:c r="D484" s="59" t="str">
        <x:v>ไม่ทราบ</x:v>
      </x:c>
      <x:c r="E484" s="59" t="str">
        <x:v>ไม่ทราบ</x:v>
      </x:c>
      <x:c r="F484" s="59" t="str">
        <x:v>ไม่ทราบ</x:v>
      </x:c>
      <x:c r="G484" s="59" t="str">
        <x:v>ไม่ทราบ</x:v>
      </x:c>
      <x:c r="H484" s="59" t="str">
        <x:v>N/A</x:v>
      </x:c>
      <x:c r="I484" s="59"/>
      <x:c r="J484" s="59" t="str">
        <x:v>ไม่ทราบ</x:v>
      </x:c>
      <x:c r="K484" s="59"/>
      <x:c r="L484" s="59" t="str">
        <x:v>N/A</x:v>
      </x:c>
      <x:c r="M484" s="59"/>
      <x:c r="N484" s="59"/>
      <x:c r="O484" s="59"/>
      <x:c r="P484" s="59"/>
      <x:c r="Q484" s="59"/>
      <x:c r="R484" s="59"/>
      <x:c r="S484" s="59"/>
      <x:c r="T484" s="59"/>
      <x:c r="U484" s="59"/>
      <x:c r="V484" s="59"/>
      <x:c r="W484" s="59"/>
      <x:c r="X484" s="59"/>
      <x:c r="Y484" s="59"/>
      <x:c r="Z484" s="59"/>
      <x:c r="AA484" s="8" t="n">
        <x:f>IF(C484="ไม่ทราบ","",SUMIFS($K$7:$Z$7,K484:Z484,"&lt;&gt;N/A"))</x:f>
        <x:v>100</x:v>
      </x:c>
      <x:c r="AB484" s="8" t="str">
        <x:f>IF(AND(OR(AND(C484="จำหน่ายอาหาร",ISNUMBER(K484),L484="N/A"),AND(C484="ไม่จำหน่ายอาหาร",K484="N/A",ISNUMBER(L484)),AND(C484="มัสยิด",K484="N/A",L484="N/A",X484="N/A")),COUNT(K484:Z484)+COUNTIFS(K484:Z484,"N/A")=16),SUM(K484:Z484),"")</x:f>
      </x:c>
      <x:c r="AC484" s="62" t="str">
        <x:f>IF(OR(AB484="",AA484&lt;=0),"",ROUND(AB484/AA484*100,1))</x:f>
      </x:c>
      <x:c r="AD484" s="8" t="str">
        <x:f>IF(COUNTIFS(D484:H484,"ไม่ผ่าน")&gt;0,"ไม่ผ่าน",IF(COUNTIFS(D484:H484,"ไม่ทราบ")+COUNTBLANK(D484:H484)&gt;0,"รอยืนยัน","ผ่าน"))</x:f>
        <x:v>รอยืนยัน</x:v>
      </x:c>
      <x:c r="AE484" s="8" t="str">
        <x:f>IF(AF484="ใช่","ไม่ผ่านการคัดเลือก",IF(AND(AD484="ผ่าน",ISNUMBER(AC484),AC484&gt;=70),"พร้อมขาย",IF(OR(J484="ใช่",AND(ISNUMBER(AC484),AC484&gt;=50)),"พัฒนาเพื่อพร้อมขาย",IF(AND(ISNUMBER(AC484),AC484&lt;50,I484&gt;=1),"มีศักยภาพ แต่ต้องพัฒนามาตรฐาน","รอประเมิน"))))</x:f>
        <x:v>รอประเมิน</x:v>
      </x:c>
      <x:c r="AF484" s="59" t="str">
        <x:v>ไม่ทราบ</x:v>
      </x:c>
      <x:c r="AG484" s="8" t="str">
        <x:f>IF(AF484="ใช่","หัวหน้าทีมพิจารณาเหตุไม่ผ่าน",IF(OR(AA484&lt;=0,NOT(OR(AND(C484="จำหน่ายอาหาร",ISNUMBER(K484),L484="N/A"),AND(C484="ไม่จำหน่ายอาหาร",K484="N/A",ISNUMBER(L484)),AND(C484="มัสยิด",K484="N/A",L484="N/A",X484="N/A"))),AD484="รอยืนยัน",COUNT(K484:Z484)+COUNTIFS(K484:Z484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4" s="59" t="str"/>
      <x:c r="AI484" s="61"/>
    </x:row>
    <x:row r="485" ht="60" customHeight="1">
      <x:c r="A485" s="2" t="str">
        <x:v>TMF-142</x:v>
      </x:c>
      <x:c r="B485" s="8" t="str">
        <x:v>ดั้งเดิม คาเฟ่ในสวนและขนมจีน</x:v>
      </x:c>
      <x:c r="C485" s="59" t="str">
        <x:v>จำหน่ายอาหาร</x:v>
      </x:c>
      <x:c r="D485" s="59" t="str">
        <x:v>ไม่ทราบ</x:v>
      </x:c>
      <x:c r="E485" s="59" t="str">
        <x:v>ไม่ทราบ</x:v>
      </x:c>
      <x:c r="F485" s="59" t="str">
        <x:v>ไม่ทราบ</x:v>
      </x:c>
      <x:c r="G485" s="59" t="str">
        <x:v>ไม่ทราบ</x:v>
      </x:c>
      <x:c r="H485" s="59" t="str">
        <x:v>N/A</x:v>
      </x:c>
      <x:c r="I485" s="59"/>
      <x:c r="J485" s="59" t="str">
        <x:v>ไม่ทราบ</x:v>
      </x:c>
      <x:c r="K485" s="59"/>
      <x:c r="L485" s="59" t="str">
        <x:v>N/A</x:v>
      </x:c>
      <x:c r="M485" s="59"/>
      <x:c r="N485" s="59"/>
      <x:c r="O485" s="59"/>
      <x:c r="P485" s="59"/>
      <x:c r="Q485" s="59"/>
      <x:c r="R485" s="59"/>
      <x:c r="S485" s="59"/>
      <x:c r="T485" s="59"/>
      <x:c r="U485" s="59"/>
      <x:c r="V485" s="59"/>
      <x:c r="W485" s="59"/>
      <x:c r="X485" s="59"/>
      <x:c r="Y485" s="59"/>
      <x:c r="Z485" s="59"/>
      <x:c r="AA485" s="8" t="n">
        <x:f>IF(C485="ไม่ทราบ","",SUMIFS($K$7:$Z$7,K485:Z485,"&lt;&gt;N/A"))</x:f>
        <x:v>100</x:v>
      </x:c>
      <x:c r="AB485" s="8" t="str">
        <x:f>IF(AND(OR(AND(C485="จำหน่ายอาหาร",ISNUMBER(K485),L485="N/A"),AND(C485="ไม่จำหน่ายอาหาร",K485="N/A",ISNUMBER(L485)),AND(C485="มัสยิด",K485="N/A",L485="N/A",X485="N/A")),COUNT(K485:Z485)+COUNTIFS(K485:Z485,"N/A")=16),SUM(K485:Z485),"")</x:f>
      </x:c>
      <x:c r="AC485" s="62" t="str">
        <x:f>IF(OR(AB485="",AA485&lt;=0),"",ROUND(AB485/AA485*100,1))</x:f>
      </x:c>
      <x:c r="AD485" s="8" t="str">
        <x:f>IF(COUNTIFS(D485:H485,"ไม่ผ่าน")&gt;0,"ไม่ผ่าน",IF(COUNTIFS(D485:H485,"ไม่ทราบ")+COUNTBLANK(D485:H485)&gt;0,"รอยืนยัน","ผ่าน"))</x:f>
        <x:v>รอยืนยัน</x:v>
      </x:c>
      <x:c r="AE485" s="8" t="str">
        <x:f>IF(AF485="ใช่","ไม่ผ่านการคัดเลือก",IF(AND(AD485="ผ่าน",ISNUMBER(AC485),AC485&gt;=70),"พร้อมขาย",IF(OR(J485="ใช่",AND(ISNUMBER(AC485),AC485&gt;=50)),"พัฒนาเพื่อพร้อมขาย",IF(AND(ISNUMBER(AC485),AC485&lt;50,I485&gt;=1),"มีศักยภาพ แต่ต้องพัฒนามาตรฐาน","รอประเมิน"))))</x:f>
        <x:v>รอประเมิน</x:v>
      </x:c>
      <x:c r="AF485" s="59" t="str">
        <x:v>ไม่ทราบ</x:v>
      </x:c>
      <x:c r="AG485" s="8" t="str">
        <x:f>IF(AF485="ใช่","หัวหน้าทีมพิจารณาเหตุไม่ผ่าน",IF(OR(AA485&lt;=0,NOT(OR(AND(C485="จำหน่ายอาหาร",ISNUMBER(K485),L485="N/A"),AND(C485="ไม่จำหน่ายอาหาร",K485="N/A",ISNUMBER(L485)),AND(C485="มัสยิด",K485="N/A",L485="N/A",X485="N/A"))),AD485="รอยืนยัน",COUNT(K485:Z485)+COUNTIFS(K485:Z485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5" s="59" t="str"/>
      <x:c r="AI485" s="61"/>
    </x:row>
    <x:row r="486" ht="60" customHeight="1">
      <x:c r="A486" s="2" t="str">
        <x:v>TMF-143</x:v>
      </x:c>
      <x:c r="B486" s="8" t="str">
        <x:v>เพชรปิยะซีฟู้ด</x:v>
      </x:c>
      <x:c r="C486" s="59" t="str">
        <x:v>จำหน่ายอาหาร</x:v>
      </x:c>
      <x:c r="D486" s="59" t="str">
        <x:v>ไม่ทราบ</x:v>
      </x:c>
      <x:c r="E486" s="59" t="str">
        <x:v>ไม่ทราบ</x:v>
      </x:c>
      <x:c r="F486" s="59" t="str">
        <x:v>ไม่ทราบ</x:v>
      </x:c>
      <x:c r="G486" s="59" t="str">
        <x:v>ไม่ทราบ</x:v>
      </x:c>
      <x:c r="H486" s="59" t="str">
        <x:v>N/A</x:v>
      </x:c>
      <x:c r="I486" s="59"/>
      <x:c r="J486" s="59" t="str">
        <x:v>ไม่ทราบ</x:v>
      </x:c>
      <x:c r="K486" s="59"/>
      <x:c r="L486" s="59" t="str">
        <x:v>N/A</x:v>
      </x:c>
      <x:c r="M486" s="59"/>
      <x:c r="N486" s="59"/>
      <x:c r="O486" s="59"/>
      <x:c r="P486" s="59"/>
      <x:c r="Q486" s="59"/>
      <x:c r="R486" s="59"/>
      <x:c r="S486" s="59"/>
      <x:c r="T486" s="59"/>
      <x:c r="U486" s="59"/>
      <x:c r="V486" s="59"/>
      <x:c r="W486" s="59"/>
      <x:c r="X486" s="59"/>
      <x:c r="Y486" s="59"/>
      <x:c r="Z486" s="59"/>
      <x:c r="AA486" s="8" t="n">
        <x:f>IF(C486="ไม่ทราบ","",SUMIFS($K$7:$Z$7,K486:Z486,"&lt;&gt;N/A"))</x:f>
        <x:v>100</x:v>
      </x:c>
      <x:c r="AB486" s="8" t="str">
        <x:f>IF(AND(OR(AND(C486="จำหน่ายอาหาร",ISNUMBER(K486),L486="N/A"),AND(C486="ไม่จำหน่ายอาหาร",K486="N/A",ISNUMBER(L486)),AND(C486="มัสยิด",K486="N/A",L486="N/A",X486="N/A")),COUNT(K486:Z486)+COUNTIFS(K486:Z486,"N/A")=16),SUM(K486:Z486),"")</x:f>
      </x:c>
      <x:c r="AC486" s="62" t="str">
        <x:f>IF(OR(AB486="",AA486&lt;=0),"",ROUND(AB486/AA486*100,1))</x:f>
      </x:c>
      <x:c r="AD486" s="8" t="str">
        <x:f>IF(COUNTIFS(D486:H486,"ไม่ผ่าน")&gt;0,"ไม่ผ่าน",IF(COUNTIFS(D486:H486,"ไม่ทราบ")+COUNTBLANK(D486:H486)&gt;0,"รอยืนยัน","ผ่าน"))</x:f>
        <x:v>รอยืนยัน</x:v>
      </x:c>
      <x:c r="AE486" s="8" t="str">
        <x:f>IF(AF486="ใช่","ไม่ผ่านการคัดเลือก",IF(AND(AD486="ผ่าน",ISNUMBER(AC486),AC486&gt;=70),"พร้อมขาย",IF(OR(J486="ใช่",AND(ISNUMBER(AC486),AC486&gt;=50)),"พัฒนาเพื่อพร้อมขาย",IF(AND(ISNUMBER(AC486),AC486&lt;50,I486&gt;=1),"มีศักยภาพ แต่ต้องพัฒนามาตรฐาน","รอประเมิน"))))</x:f>
        <x:v>รอประเมิน</x:v>
      </x:c>
      <x:c r="AF486" s="59" t="str">
        <x:v>ไม่ทราบ</x:v>
      </x:c>
      <x:c r="AG486" s="8" t="str">
        <x:f>IF(AF486="ใช่","หัวหน้าทีมพิจารณาเหตุไม่ผ่าน",IF(OR(AA486&lt;=0,NOT(OR(AND(C486="จำหน่ายอาหาร",ISNUMBER(K486),L486="N/A"),AND(C486="ไม่จำหน่ายอาหาร",K486="N/A",ISNUMBER(L486)),AND(C486="มัสยิด",K486="N/A",L486="N/A",X486="N/A"))),AD486="รอยืนยัน",COUNT(K486:Z486)+COUNTIFS(K486:Z486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6" s="59" t="str"/>
      <x:c r="AI486" s="61"/>
    </x:row>
    <x:row r="487" ht="60" customHeight="1">
      <x:c r="A487" s="2" t="str">
        <x:v>R26-271</x:v>
      </x:c>
      <x:c r="B487" s="8" t="str">
        <x:v>Central Nakhon Si</x:v>
      </x:c>
      <x:c r="C487" s="59" t="str">
        <x:v>ไม่ทราบ</x:v>
      </x:c>
      <x:c r="D487" s="59" t="str">
        <x:v>ไม่ทราบ</x:v>
      </x:c>
      <x:c r="E487" s="59" t="str">
        <x:v>ไม่ทราบ</x:v>
      </x:c>
      <x:c r="F487" s="59" t="str">
        <x:v>ไม่ทราบ</x:v>
      </x:c>
      <x:c r="G487" s="59" t="str">
        <x:v>ไม่ทราบ</x:v>
      </x:c>
      <x:c r="H487" s="59" t="str">
        <x:v>N/A</x:v>
      </x:c>
      <x:c r="I487" s="59"/>
      <x:c r="J487" s="59" t="str">
        <x:v>ไม่ทราบ</x:v>
      </x:c>
      <x:c r="K487" s="59"/>
      <x:c r="L487" s="59"/>
      <x:c r="M487" s="59"/>
      <x:c r="N487" s="59"/>
      <x:c r="O487" s="59"/>
      <x:c r="P487" s="59"/>
      <x:c r="Q487" s="59"/>
      <x:c r="R487" s="59"/>
      <x:c r="S487" s="59"/>
      <x:c r="T487" s="59"/>
      <x:c r="U487" s="59"/>
      <x:c r="V487" s="59"/>
      <x:c r="W487" s="59"/>
      <x:c r="X487" s="59"/>
      <x:c r="Y487" s="59"/>
      <x:c r="Z487" s="59"/>
      <x:c r="AA487" s="8" t="str">
        <x:f>IF(C487="ไม่ทราบ","",SUMIFS($K$7:$Z$7,K487:Z487,"&lt;&gt;N/A"))</x:f>
      </x:c>
      <x:c r="AB487" s="8" t="str">
        <x:f>IF(AND(OR(AND(C487="จำหน่ายอาหาร",ISNUMBER(K487),L487="N/A"),AND(C487="ไม่จำหน่ายอาหาร",K487="N/A",ISNUMBER(L487)),AND(C487="มัสยิด",K487="N/A",L487="N/A",X487="N/A")),COUNT(K487:Z487)+COUNTIFS(K487:Z487,"N/A")=16),SUM(K487:Z487),"")</x:f>
      </x:c>
      <x:c r="AC487" s="62" t="str">
        <x:f>IF(OR(AB487="",AA487&lt;=0),"",ROUND(AB487/AA487*100,1))</x:f>
      </x:c>
      <x:c r="AD487" s="8" t="str">
        <x:f>IF(COUNTIFS(D487:H487,"ไม่ผ่าน")&gt;0,"ไม่ผ่าน",IF(COUNTIFS(D487:H487,"ไม่ทราบ")+COUNTBLANK(D487:H487)&gt;0,"รอยืนยัน","ผ่าน"))</x:f>
        <x:v>รอยืนยัน</x:v>
      </x:c>
      <x:c r="AE487" s="8" t="str">
        <x:f>IF(AF487="ใช่","ไม่ผ่านการคัดเลือก",IF(AND(AD487="ผ่าน",ISNUMBER(AC487),AC487&gt;=70),"พร้อมขาย",IF(OR(J487="ใช่",AND(ISNUMBER(AC487),AC487&gt;=50)),"พัฒนาเพื่อพร้อมขาย",IF(AND(ISNUMBER(AC487),AC487&lt;50,I487&gt;=1),"มีศักยภาพ แต่ต้องพัฒนามาตรฐาน","รอประเมิน"))))</x:f>
        <x:v>รอประเมิน</x:v>
      </x:c>
      <x:c r="AF487" s="59" t="str">
        <x:v>ไม่ทราบ</x:v>
      </x:c>
      <x:c r="AG487" s="8" t="str">
        <x:f>IF(AF487="ใช่","หัวหน้าทีมพิจารณาเหตุไม่ผ่าน",IF(OR(AA487&lt;=0,NOT(OR(AND(C487="จำหน่ายอาหาร",ISNUMBER(K487),L487="N/A"),AND(C487="ไม่จำหน่ายอาหาร",K487="N/A",ISNUMBER(L487)),AND(C487="มัสยิด",K487="N/A",L487="N/A",X487="N/A"))),AD487="รอยืนยัน",COUNT(K487:Z487)+COUNTIFS(K487:Z487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7" s="59" t="str"/>
      <x:c r="AI487" s="61"/>
    </x:row>
    <x:row r="488" ht="60" customHeight="1">
      <x:c r="A488" s="2" t="str">
        <x:v>R26-205</x:v>
      </x:c>
      <x:c r="B488" s="8" t="str">
        <x:v>น้ำตกกรุงชิง</x:v>
      </x:c>
      <x:c r="C488" s="59" t="str">
        <x:v>ไม่ทราบ</x:v>
      </x:c>
      <x:c r="D488" s="59" t="str">
        <x:v>ไม่ทราบ</x:v>
      </x:c>
      <x:c r="E488" s="59" t="str">
        <x:v>ไม่ทราบ</x:v>
      </x:c>
      <x:c r="F488" s="59" t="str">
        <x:v>ไม่ทราบ</x:v>
      </x:c>
      <x:c r="G488" s="59" t="str">
        <x:v>ไม่ทราบ</x:v>
      </x:c>
      <x:c r="H488" s="59" t="str">
        <x:v>N/A</x:v>
      </x:c>
      <x:c r="I488" s="59"/>
      <x:c r="J488" s="59" t="str">
        <x:v>ไม่ทราบ</x:v>
      </x:c>
      <x:c r="K488" s="59"/>
      <x:c r="L488" s="59"/>
      <x:c r="M488" s="59"/>
      <x:c r="N488" s="59"/>
      <x:c r="O488" s="59"/>
      <x:c r="P488" s="59"/>
      <x:c r="Q488" s="59"/>
      <x:c r="R488" s="59"/>
      <x:c r="S488" s="59"/>
      <x:c r="T488" s="59"/>
      <x:c r="U488" s="59"/>
      <x:c r="V488" s="59"/>
      <x:c r="W488" s="59"/>
      <x:c r="X488" s="59"/>
      <x:c r="Y488" s="59"/>
      <x:c r="Z488" s="59"/>
      <x:c r="AA488" s="8" t="str">
        <x:f>IF(C488="ไม่ทราบ","",SUMIFS($K$7:$Z$7,K488:Z488,"&lt;&gt;N/A"))</x:f>
      </x:c>
      <x:c r="AB488" s="8" t="str">
        <x:f>IF(AND(OR(AND(C488="จำหน่ายอาหาร",ISNUMBER(K488),L488="N/A"),AND(C488="ไม่จำหน่ายอาหาร",K488="N/A",ISNUMBER(L488)),AND(C488="มัสยิด",K488="N/A",L488="N/A",X488="N/A")),COUNT(K488:Z488)+COUNTIFS(K488:Z488,"N/A")=16),SUM(K488:Z488),"")</x:f>
      </x:c>
      <x:c r="AC488" s="62" t="str">
        <x:f>IF(OR(AB488="",AA488&lt;=0),"",ROUND(AB488/AA488*100,1))</x:f>
      </x:c>
      <x:c r="AD488" s="8" t="str">
        <x:f>IF(COUNTIFS(D488:H488,"ไม่ผ่าน")&gt;0,"ไม่ผ่าน",IF(COUNTIFS(D488:H488,"ไม่ทราบ")+COUNTBLANK(D488:H488)&gt;0,"รอยืนยัน","ผ่าน"))</x:f>
        <x:v>รอยืนยัน</x:v>
      </x:c>
      <x:c r="AE488" s="8" t="str">
        <x:f>IF(AF488="ใช่","ไม่ผ่านการคัดเลือก",IF(AND(AD488="ผ่าน",ISNUMBER(AC488),AC488&gt;=70),"พร้อมขาย",IF(OR(J488="ใช่",AND(ISNUMBER(AC488),AC488&gt;=50)),"พัฒนาเพื่อพร้อมขาย",IF(AND(ISNUMBER(AC488),AC488&lt;50,I488&gt;=1),"มีศักยภาพ แต่ต้องพัฒนามาตรฐาน","รอประเมิน"))))</x:f>
        <x:v>รอประเมิน</x:v>
      </x:c>
      <x:c r="AF488" s="59" t="str">
        <x:v>ไม่ทราบ</x:v>
      </x:c>
      <x:c r="AG488" s="8" t="str">
        <x:f>IF(AF488="ใช่","หัวหน้าทีมพิจารณาเหตุไม่ผ่าน",IF(OR(AA488&lt;=0,NOT(OR(AND(C488="จำหน่ายอาหาร",ISNUMBER(K488),L488="N/A"),AND(C488="ไม่จำหน่ายอาหาร",K488="N/A",ISNUMBER(L488)),AND(C488="มัสยิด",K488="N/A",L488="N/A",X488="N/A"))),AD488="รอยืนยัน",COUNT(K488:Z488)+COUNTIFS(K488:Z488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8" s="59" t="str"/>
      <x:c r="AI488" s="61"/>
    </x:row>
    <x:row r="489" ht="60" customHeight="1">
      <x:c r="A489" s="2" t="str">
        <x:v>R26-206</x:v>
      </x:c>
      <x:c r="B489" s="8" t="str">
        <x:v>หาดขนอม</x:v>
      </x:c>
      <x:c r="C489" s="59" t="str">
        <x:v>ไม่ทราบ</x:v>
      </x:c>
      <x:c r="D489" s="59" t="str">
        <x:v>ไม่ทราบ</x:v>
      </x:c>
      <x:c r="E489" s="59" t="str">
        <x:v>ไม่ทราบ</x:v>
      </x:c>
      <x:c r="F489" s="59" t="str">
        <x:v>ไม่ทราบ</x:v>
      </x:c>
      <x:c r="G489" s="59" t="str">
        <x:v>ไม่ทราบ</x:v>
      </x:c>
      <x:c r="H489" s="59" t="str">
        <x:v>N/A</x:v>
      </x:c>
      <x:c r="I489" s="59"/>
      <x:c r="J489" s="59" t="str">
        <x:v>ไม่ทราบ</x:v>
      </x:c>
      <x:c r="K489" s="59"/>
      <x:c r="L489" s="59"/>
      <x:c r="M489" s="59"/>
      <x:c r="N489" s="59"/>
      <x:c r="O489" s="59"/>
      <x:c r="P489" s="59"/>
      <x:c r="Q489" s="59"/>
      <x:c r="R489" s="59"/>
      <x:c r="S489" s="59"/>
      <x:c r="T489" s="59"/>
      <x:c r="U489" s="59"/>
      <x:c r="V489" s="59"/>
      <x:c r="W489" s="59"/>
      <x:c r="X489" s="59"/>
      <x:c r="Y489" s="59"/>
      <x:c r="Z489" s="59"/>
      <x:c r="AA489" s="8" t="str">
        <x:f>IF(C489="ไม่ทราบ","",SUMIFS($K$7:$Z$7,K489:Z489,"&lt;&gt;N/A"))</x:f>
      </x:c>
      <x:c r="AB489" s="8" t="str">
        <x:f>IF(AND(OR(AND(C489="จำหน่ายอาหาร",ISNUMBER(K489),L489="N/A"),AND(C489="ไม่จำหน่ายอาหาร",K489="N/A",ISNUMBER(L489)),AND(C489="มัสยิด",K489="N/A",L489="N/A",X489="N/A")),COUNT(K489:Z489)+COUNTIFS(K489:Z489,"N/A")=16),SUM(K489:Z489),"")</x:f>
      </x:c>
      <x:c r="AC489" s="62" t="str">
        <x:f>IF(OR(AB489="",AA489&lt;=0),"",ROUND(AB489/AA489*100,1))</x:f>
      </x:c>
      <x:c r="AD489" s="8" t="str">
        <x:f>IF(COUNTIFS(D489:H489,"ไม่ผ่าน")&gt;0,"ไม่ผ่าน",IF(COUNTIFS(D489:H489,"ไม่ทราบ")+COUNTBLANK(D489:H489)&gt;0,"รอยืนยัน","ผ่าน"))</x:f>
        <x:v>รอยืนยัน</x:v>
      </x:c>
      <x:c r="AE489" s="8" t="str">
        <x:f>IF(AF489="ใช่","ไม่ผ่านการคัดเลือก",IF(AND(AD489="ผ่าน",ISNUMBER(AC489),AC489&gt;=70),"พร้อมขาย",IF(OR(J489="ใช่",AND(ISNUMBER(AC489),AC489&gt;=50)),"พัฒนาเพื่อพร้อมขาย",IF(AND(ISNUMBER(AC489),AC489&lt;50,I489&gt;=1),"มีศักยภาพ แต่ต้องพัฒนามาตรฐาน","รอประเมิน"))))</x:f>
        <x:v>รอประเมิน</x:v>
      </x:c>
      <x:c r="AF489" s="59" t="str">
        <x:v>ไม่ทราบ</x:v>
      </x:c>
      <x:c r="AG489" s="8" t="str">
        <x:f>IF(AF489="ใช่","หัวหน้าทีมพิจารณาเหตุไม่ผ่าน",IF(OR(AA489&lt;=0,NOT(OR(AND(C489="จำหน่ายอาหาร",ISNUMBER(K489),L489="N/A"),AND(C489="ไม่จำหน่ายอาหาร",K489="N/A",ISNUMBER(L489)),AND(C489="มัสยิด",K489="N/A",L489="N/A",X489="N/A"))),AD489="รอยืนยัน",COUNT(K489:Z489)+COUNTIFS(K489:Z489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89" s="59" t="str"/>
      <x:c r="AI489" s="61"/>
    </x:row>
    <x:row r="490" ht="60" customHeight="1">
      <x:c r="A490" s="2" t="str">
        <x:v>R26-204</x:v>
      </x:c>
      <x:c r="B490" s="8" t="str">
        <x:v>อุทยานแห่งชาติเขาหลวง</x:v>
      </x:c>
      <x:c r="C490" s="59" t="str">
        <x:v>ไม่ทราบ</x:v>
      </x:c>
      <x:c r="D490" s="59" t="str">
        <x:v>ไม่ทราบ</x:v>
      </x:c>
      <x:c r="E490" s="59" t="str">
        <x:v>ไม่ทราบ</x:v>
      </x:c>
      <x:c r="F490" s="59" t="str">
        <x:v>ไม่ทราบ</x:v>
      </x:c>
      <x:c r="G490" s="59" t="str">
        <x:v>ไม่ทราบ</x:v>
      </x:c>
      <x:c r="H490" s="59" t="str">
        <x:v>N/A</x:v>
      </x:c>
      <x:c r="I490" s="59"/>
      <x:c r="J490" s="59" t="str">
        <x:v>ไม่ทราบ</x:v>
      </x:c>
      <x:c r="K490" s="59"/>
      <x:c r="L490" s="59"/>
      <x:c r="M490" s="59"/>
      <x:c r="N490" s="59"/>
      <x:c r="O490" s="59"/>
      <x:c r="P490" s="59"/>
      <x:c r="Q490" s="59"/>
      <x:c r="R490" s="59"/>
      <x:c r="S490" s="59"/>
      <x:c r="T490" s="59"/>
      <x:c r="U490" s="59"/>
      <x:c r="V490" s="59"/>
      <x:c r="W490" s="59"/>
      <x:c r="X490" s="59"/>
      <x:c r="Y490" s="59"/>
      <x:c r="Z490" s="59"/>
      <x:c r="AA490" s="8" t="str">
        <x:f>IF(C490="ไม่ทราบ","",SUMIFS($K$7:$Z$7,K490:Z490,"&lt;&gt;N/A"))</x:f>
      </x:c>
      <x:c r="AB490" s="8" t="str">
        <x:f>IF(AND(OR(AND(C490="จำหน่ายอาหาร",ISNUMBER(K490),L490="N/A"),AND(C490="ไม่จำหน่ายอาหาร",K490="N/A",ISNUMBER(L490)),AND(C490="มัสยิด",K490="N/A",L490="N/A",X490="N/A")),COUNT(K490:Z490)+COUNTIFS(K490:Z490,"N/A")=16),SUM(K490:Z490),"")</x:f>
      </x:c>
      <x:c r="AC490" s="62" t="str">
        <x:f>IF(OR(AB490="",AA490&lt;=0),"",ROUND(AB490/AA490*100,1))</x:f>
      </x:c>
      <x:c r="AD490" s="8" t="str">
        <x:f>IF(COUNTIFS(D490:H490,"ไม่ผ่าน")&gt;0,"ไม่ผ่าน",IF(COUNTIFS(D490:H490,"ไม่ทราบ")+COUNTBLANK(D490:H490)&gt;0,"รอยืนยัน","ผ่าน"))</x:f>
        <x:v>รอยืนยัน</x:v>
      </x:c>
      <x:c r="AE490" s="8" t="str">
        <x:f>IF(AF490="ใช่","ไม่ผ่านการคัดเลือก",IF(AND(AD490="ผ่าน",ISNUMBER(AC490),AC490&gt;=70),"พร้อมขาย",IF(OR(J490="ใช่",AND(ISNUMBER(AC490),AC490&gt;=50)),"พัฒนาเพื่อพร้อมขาย",IF(AND(ISNUMBER(AC490),AC490&lt;50,I490&gt;=1),"มีศักยภาพ แต่ต้องพัฒนามาตรฐาน","รอประเมิน"))))</x:f>
        <x:v>รอประเมิน</x:v>
      </x:c>
      <x:c r="AF490" s="59" t="str">
        <x:v>ไม่ทราบ</x:v>
      </x:c>
      <x:c r="AG490" s="8" t="str">
        <x:f>IF(AF490="ใช่","หัวหน้าทีมพิจารณาเหตุไม่ผ่าน",IF(OR(AA490&lt;=0,NOT(OR(AND(C490="จำหน่ายอาหาร",ISNUMBER(K490),L490="N/A"),AND(C490="ไม่จำหน่ายอาหาร",K490="N/A",ISNUMBER(L490)),AND(C490="มัสยิด",K490="N/A",L490="N/A",X490="N/A"))),AD490="รอยืนยัน",COUNT(K490:Z490)+COUNTIFS(K490:Z490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0" s="59" t="str"/>
      <x:c r="AI490" s="61"/>
    </x:row>
    <x:row r="491" ht="60" customHeight="1">
      <x:c r="A491" s="2" t="str">
        <x:v>R26-310</x:v>
      </x:c>
      <x:c r="B491" s="8" t="str">
        <x:v>บ้านหนังตะลุงสุชาติ ทรัพย์สิน</x:v>
      </x:c>
      <x:c r="C491" s="59" t="str">
        <x:v>ไม่ทราบ</x:v>
      </x:c>
      <x:c r="D491" s="59" t="str">
        <x:v>ไม่ทราบ</x:v>
      </x:c>
      <x:c r="E491" s="59" t="str">
        <x:v>ไม่ทราบ</x:v>
      </x:c>
      <x:c r="F491" s="59" t="str">
        <x:v>ไม่ทราบ</x:v>
      </x:c>
      <x:c r="G491" s="59" t="str">
        <x:v>ไม่ทราบ</x:v>
      </x:c>
      <x:c r="H491" s="59" t="str">
        <x:v>N/A</x:v>
      </x:c>
      <x:c r="I491" s="59"/>
      <x:c r="J491" s="59" t="str">
        <x:v>ไม่ทราบ</x:v>
      </x:c>
      <x:c r="K491" s="59"/>
      <x:c r="L491" s="59"/>
      <x:c r="M491" s="59"/>
      <x:c r="N491" s="59"/>
      <x:c r="O491" s="59"/>
      <x:c r="P491" s="59"/>
      <x:c r="Q491" s="59"/>
      <x:c r="R491" s="59"/>
      <x:c r="S491" s="59"/>
      <x:c r="T491" s="59"/>
      <x:c r="U491" s="59"/>
      <x:c r="V491" s="59"/>
      <x:c r="W491" s="59"/>
      <x:c r="X491" s="59"/>
      <x:c r="Y491" s="59"/>
      <x:c r="Z491" s="59"/>
      <x:c r="AA491" s="8" t="str">
        <x:f>IF(C491="ไม่ทราบ","",SUMIFS($K$7:$Z$7,K491:Z491,"&lt;&gt;N/A"))</x:f>
      </x:c>
      <x:c r="AB491" s="8" t="str">
        <x:f>IF(AND(OR(AND(C491="จำหน่ายอาหาร",ISNUMBER(K491),L491="N/A"),AND(C491="ไม่จำหน่ายอาหาร",K491="N/A",ISNUMBER(L491)),AND(C491="มัสยิด",K491="N/A",L491="N/A",X491="N/A")),COUNT(K491:Z491)+COUNTIFS(K491:Z491,"N/A")=16),SUM(K491:Z491),"")</x:f>
      </x:c>
      <x:c r="AC491" s="62" t="str">
        <x:f>IF(OR(AB491="",AA491&lt;=0),"",ROUND(AB491/AA491*100,1))</x:f>
      </x:c>
      <x:c r="AD491" s="8" t="str">
        <x:f>IF(COUNTIFS(D491:H491,"ไม่ผ่าน")&gt;0,"ไม่ผ่าน",IF(COUNTIFS(D491:H491,"ไม่ทราบ")+COUNTBLANK(D491:H491)&gt;0,"รอยืนยัน","ผ่าน"))</x:f>
        <x:v>รอยืนยัน</x:v>
      </x:c>
      <x:c r="AE491" s="8" t="str">
        <x:f>IF(AF491="ใช่","ไม่ผ่านการคัดเลือก",IF(AND(AD491="ผ่าน",ISNUMBER(AC491),AC491&gt;=70),"พร้อมขาย",IF(OR(J491="ใช่",AND(ISNUMBER(AC491),AC491&gt;=50)),"พัฒนาเพื่อพร้อมขาย",IF(AND(ISNUMBER(AC491),AC491&lt;50,I491&gt;=1),"มีศักยภาพ แต่ต้องพัฒนามาตรฐาน","รอประเมิน"))))</x:f>
        <x:v>รอประเมิน</x:v>
      </x:c>
      <x:c r="AF491" s="59" t="str">
        <x:v>ไม่ทราบ</x:v>
      </x:c>
      <x:c r="AG491" s="8" t="str">
        <x:f>IF(AF491="ใช่","หัวหน้าทีมพิจารณาเหตุไม่ผ่าน",IF(OR(AA491&lt;=0,NOT(OR(AND(C491="จำหน่ายอาหาร",ISNUMBER(K491),L491="N/A"),AND(C491="ไม่จำหน่ายอาหาร",K491="N/A",ISNUMBER(L491)),AND(C491="มัสยิด",K491="N/A",L491="N/A",X491="N/A"))),AD491="รอยืนยัน",COUNT(K491:Z491)+COUNTIFS(K491:Z491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1" s="59" t="str"/>
      <x:c r="AI491" s="61"/>
    </x:row>
    <x:row r="492" ht="60" customHeight="1">
      <x:c r="A492" s="2" t="str">
        <x:v>TMF-358</x:v>
      </x:c>
      <x:c r="B492" s="8" t="str">
        <x:v>ชุมชนบ้านแหลม</x:v>
      </x:c>
      <x:c r="C492" s="59" t="str">
        <x:v>ไม่ทราบ</x:v>
      </x:c>
      <x:c r="D492" s="59" t="str">
        <x:v>ไม่ทราบ</x:v>
      </x:c>
      <x:c r="E492" s="59" t="str">
        <x:v>ไม่ทราบ</x:v>
      </x:c>
      <x:c r="F492" s="59" t="str">
        <x:v>ไม่ทราบ</x:v>
      </x:c>
      <x:c r="G492" s="59" t="str">
        <x:v>ไม่ทราบ</x:v>
      </x:c>
      <x:c r="H492" s="59" t="str">
        <x:v>N/A</x:v>
      </x:c>
      <x:c r="I492" s="59"/>
      <x:c r="J492" s="59" t="str">
        <x:v>ไม่ทราบ</x:v>
      </x:c>
      <x:c r="K492" s="59"/>
      <x:c r="L492" s="59"/>
      <x:c r="M492" s="59"/>
      <x:c r="N492" s="59"/>
      <x:c r="O492" s="59"/>
      <x:c r="P492" s="59"/>
      <x:c r="Q492" s="59"/>
      <x:c r="R492" s="59"/>
      <x:c r="S492" s="59"/>
      <x:c r="T492" s="59"/>
      <x:c r="U492" s="59"/>
      <x:c r="V492" s="59"/>
      <x:c r="W492" s="59"/>
      <x:c r="X492" s="59"/>
      <x:c r="Y492" s="59"/>
      <x:c r="Z492" s="59"/>
      <x:c r="AA492" s="8" t="str">
        <x:f>IF(C492="ไม่ทราบ","",SUMIFS($K$7:$Z$7,K492:Z492,"&lt;&gt;N/A"))</x:f>
      </x:c>
      <x:c r="AB492" s="8" t="str">
        <x:f>IF(AND(OR(AND(C492="จำหน่ายอาหาร",ISNUMBER(K492),L492="N/A"),AND(C492="ไม่จำหน่ายอาหาร",K492="N/A",ISNUMBER(L492)),AND(C492="มัสยิด",K492="N/A",L492="N/A",X492="N/A")),COUNT(K492:Z492)+COUNTIFS(K492:Z492,"N/A")=16),SUM(K492:Z492),"")</x:f>
      </x:c>
      <x:c r="AC492" s="62" t="str">
        <x:f>IF(OR(AB492="",AA492&lt;=0),"",ROUND(AB492/AA492*100,1))</x:f>
      </x:c>
      <x:c r="AD492" s="8" t="str">
        <x:f>IF(COUNTIFS(D492:H492,"ไม่ผ่าน")&gt;0,"ไม่ผ่าน",IF(COUNTIFS(D492:H492,"ไม่ทราบ")+COUNTBLANK(D492:H492)&gt;0,"รอยืนยัน","ผ่าน"))</x:f>
        <x:v>รอยืนยัน</x:v>
      </x:c>
      <x:c r="AE492" s="8" t="str">
        <x:f>IF(AF492="ใช่","ไม่ผ่านการคัดเลือก",IF(AND(AD492="ผ่าน",ISNUMBER(AC492),AC492&gt;=70),"พร้อมขาย",IF(OR(J492="ใช่",AND(ISNUMBER(AC492),AC492&gt;=50)),"พัฒนาเพื่อพร้อมขาย",IF(AND(ISNUMBER(AC492),AC492&lt;50,I492&gt;=1),"มีศักยภาพ แต่ต้องพัฒนามาตรฐาน","รอประเมิน"))))</x:f>
        <x:v>รอประเมิน</x:v>
      </x:c>
      <x:c r="AF492" s="59" t="str">
        <x:v>ไม่ทราบ</x:v>
      </x:c>
      <x:c r="AG492" s="8" t="str">
        <x:f>IF(AF492="ใช่","หัวหน้าทีมพิจารณาเหตุไม่ผ่าน",IF(OR(AA492&lt;=0,NOT(OR(AND(C492="จำหน่ายอาหาร",ISNUMBER(K492),L492="N/A"),AND(C492="ไม่จำหน่ายอาหาร",K492="N/A",ISNUMBER(L492)),AND(C492="มัสยิด",K492="N/A",L492="N/A",X492="N/A"))),AD492="รอยืนยัน",COUNT(K492:Z492)+COUNTIFS(K492:Z492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2" s="59" t="str"/>
      <x:c r="AI492" s="61"/>
    </x:row>
    <x:row r="493" ht="60" customHeight="1">
      <x:c r="A493" s="2" t="str">
        <x:v>R26-208</x:v>
      </x:c>
      <x:c r="B493" s="8" t="str">
        <x:v>ชุมชนบ้านแหลมประทับ</x:v>
      </x:c>
      <x:c r="C493" s="59" t="str">
        <x:v>ไม่ทราบ</x:v>
      </x:c>
      <x:c r="D493" s="59" t="str">
        <x:v>ไม่ทราบ</x:v>
      </x:c>
      <x:c r="E493" s="59" t="str">
        <x:v>ไม่ทราบ</x:v>
      </x:c>
      <x:c r="F493" s="59" t="str">
        <x:v>ไม่ทราบ</x:v>
      </x:c>
      <x:c r="G493" s="59" t="str">
        <x:v>ไม่ทราบ</x:v>
      </x:c>
      <x:c r="H493" s="59" t="str">
        <x:v>N/A</x:v>
      </x:c>
      <x:c r="I493" s="59"/>
      <x:c r="J493" s="59" t="str">
        <x:v>ไม่ทราบ</x:v>
      </x:c>
      <x:c r="K493" s="59"/>
      <x:c r="L493" s="59"/>
      <x:c r="M493" s="59"/>
      <x:c r="N493" s="59"/>
      <x:c r="O493" s="59"/>
      <x:c r="P493" s="59"/>
      <x:c r="Q493" s="59"/>
      <x:c r="R493" s="59"/>
      <x:c r="S493" s="59"/>
      <x:c r="T493" s="59"/>
      <x:c r="U493" s="59"/>
      <x:c r="V493" s="59"/>
      <x:c r="W493" s="59"/>
      <x:c r="X493" s="59"/>
      <x:c r="Y493" s="59"/>
      <x:c r="Z493" s="59"/>
      <x:c r="AA493" s="8" t="str">
        <x:f>IF(C493="ไม่ทราบ","",SUMIFS($K$7:$Z$7,K493:Z493,"&lt;&gt;N/A"))</x:f>
      </x:c>
      <x:c r="AB493" s="8" t="str">
        <x:f>IF(AND(OR(AND(C493="จำหน่ายอาหาร",ISNUMBER(K493),L493="N/A"),AND(C493="ไม่จำหน่ายอาหาร",K493="N/A",ISNUMBER(L493)),AND(C493="มัสยิด",K493="N/A",L493="N/A",X493="N/A")),COUNT(K493:Z493)+COUNTIFS(K493:Z493,"N/A")=16),SUM(K493:Z493),"")</x:f>
      </x:c>
      <x:c r="AC493" s="62" t="str">
        <x:f>IF(OR(AB493="",AA493&lt;=0),"",ROUND(AB493/AA493*100,1))</x:f>
      </x:c>
      <x:c r="AD493" s="8" t="str">
        <x:f>IF(COUNTIFS(D493:H493,"ไม่ผ่าน")&gt;0,"ไม่ผ่าน",IF(COUNTIFS(D493:H493,"ไม่ทราบ")+COUNTBLANK(D493:H493)&gt;0,"รอยืนยัน","ผ่าน"))</x:f>
        <x:v>รอยืนยัน</x:v>
      </x:c>
      <x:c r="AE493" s="8" t="str">
        <x:f>IF(AF493="ใช่","ไม่ผ่านการคัดเลือก",IF(AND(AD493="ผ่าน",ISNUMBER(AC493),AC493&gt;=70),"พร้อมขาย",IF(OR(J493="ใช่",AND(ISNUMBER(AC493),AC493&gt;=50)),"พัฒนาเพื่อพร้อมขาย",IF(AND(ISNUMBER(AC493),AC493&lt;50,I493&gt;=1),"มีศักยภาพ แต่ต้องพัฒนามาตรฐาน","รอประเมิน"))))</x:f>
        <x:v>รอประเมิน</x:v>
      </x:c>
      <x:c r="AF493" s="59" t="str">
        <x:v>ไม่ทราบ</x:v>
      </x:c>
      <x:c r="AG493" s="8" t="str">
        <x:f>IF(AF493="ใช่","หัวหน้าทีมพิจารณาเหตุไม่ผ่าน",IF(OR(AA493&lt;=0,NOT(OR(AND(C493="จำหน่ายอาหาร",ISNUMBER(K493),L493="N/A"),AND(C493="ไม่จำหน่ายอาหาร",K493="N/A",ISNUMBER(L493)),AND(C493="มัสยิด",K493="N/A",L493="N/A",X493="N/A"))),AD493="รอยืนยัน",COUNT(K493:Z493)+COUNTIFS(K493:Z493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3" s="59" t="str"/>
      <x:c r="AI493" s="61"/>
    </x:row>
    <x:row r="494" ht="60" customHeight="1">
      <x:c r="A494" s="2" t="str">
        <x:v>R26-105</x:v>
      </x:c>
      <x:c r="B494" s="8" t="str">
        <x:v>โรงแรมศิวา รอยัล พัทลุง</x:v>
      </x:c>
      <x:c r="C494" s="59" t="str">
        <x:v>ไม่ทราบ</x:v>
      </x:c>
      <x:c r="D494" s="59" t="str">
        <x:v>ไม่ทราบ</x:v>
      </x:c>
      <x:c r="E494" s="59" t="str">
        <x:v>ไม่ทราบ</x:v>
      </x:c>
      <x:c r="F494" s="59" t="str">
        <x:v>ไม่ทราบ</x:v>
      </x:c>
      <x:c r="G494" s="59" t="str">
        <x:v>ไม่ทราบ</x:v>
      </x:c>
      <x:c r="H494" s="59" t="str">
        <x:v>ไม่ทราบ</x:v>
      </x:c>
      <x:c r="I494" s="59"/>
      <x:c r="J494" s="59" t="str">
        <x:v>ไม่ทราบ</x:v>
      </x:c>
      <x:c r="K494" s="59"/>
      <x:c r="L494" s="59"/>
      <x:c r="M494" s="59"/>
      <x:c r="N494" s="59"/>
      <x:c r="O494" s="59"/>
      <x:c r="P494" s="59"/>
      <x:c r="Q494" s="59"/>
      <x:c r="R494" s="59"/>
      <x:c r="S494" s="59"/>
      <x:c r="T494" s="59"/>
      <x:c r="U494" s="59"/>
      <x:c r="V494" s="59"/>
      <x:c r="W494" s="59"/>
      <x:c r="X494" s="59"/>
      <x:c r="Y494" s="59"/>
      <x:c r="Z494" s="59"/>
      <x:c r="AA494" s="8" t="str">
        <x:f>IF(C494="ไม่ทราบ","",SUMIFS($K$7:$Z$7,K494:Z494,"&lt;&gt;N/A"))</x:f>
      </x:c>
      <x:c r="AB494" s="8" t="str">
        <x:f>IF(AND(OR(AND(C494="จำหน่ายอาหาร",ISNUMBER(K494),L494="N/A"),AND(C494="ไม่จำหน่ายอาหาร",K494="N/A",ISNUMBER(L494)),AND(C494="มัสยิด",K494="N/A",L494="N/A",X494="N/A")),COUNT(K494:Z494)+COUNTIFS(K494:Z494,"N/A")=16),SUM(K494:Z494),"")</x:f>
      </x:c>
      <x:c r="AC494" s="62" t="str">
        <x:f>IF(OR(AB494="",AA494&lt;=0),"",ROUND(AB494/AA494*100,1))</x:f>
      </x:c>
      <x:c r="AD494" s="8" t="str">
        <x:f>IF(COUNTIFS(D494:H494,"ไม่ผ่าน")&gt;0,"ไม่ผ่าน",IF(COUNTIFS(D494:H494,"ไม่ทราบ")+COUNTBLANK(D494:H494)&gt;0,"รอยืนยัน","ผ่าน"))</x:f>
        <x:v>รอยืนยัน</x:v>
      </x:c>
      <x:c r="AE494" s="8" t="str">
        <x:f>IF(AF494="ใช่","ไม่ผ่านการคัดเลือก",IF(AND(AD494="ผ่าน",ISNUMBER(AC494),AC494&gt;=70),"พร้อมขาย",IF(OR(J494="ใช่",AND(ISNUMBER(AC494),AC494&gt;=50)),"พัฒนาเพื่อพร้อมขาย",IF(AND(ISNUMBER(AC494),AC494&lt;50,I494&gt;=1),"มีศักยภาพ แต่ต้องพัฒนามาตรฐาน","รอประเมิน"))))</x:f>
        <x:v>รอประเมิน</x:v>
      </x:c>
      <x:c r="AF494" s="59" t="str">
        <x:v>ไม่ทราบ</x:v>
      </x:c>
      <x:c r="AG494" s="8" t="str">
        <x:f>IF(AF494="ใช่","หัวหน้าทีมพิจารณาเหตุไม่ผ่าน",IF(OR(AA494&lt;=0,NOT(OR(AND(C494="จำหน่ายอาหาร",ISNUMBER(K494),L494="N/A"),AND(C494="ไม่จำหน่ายอาหาร",K494="N/A",ISNUMBER(L494)),AND(C494="มัสยิด",K494="N/A",L494="N/A",X494="N/A"))),AD494="รอยืนยัน",COUNT(K494:Z494)+COUNTIFS(K494:Z494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4" s="59" t="str"/>
      <x:c r="AI494" s="61"/>
    </x:row>
    <x:row r="495" ht="60" customHeight="1">
      <x:c r="A495" s="2" t="str">
        <x:v>R26-104</x:v>
      </x:c>
      <x:c r="B495" s="8" t="str">
        <x:v>ร้านอาหารอิสลามซูบัยด๊ะ</x:v>
      </x:c>
      <x:c r="C495" s="59" t="str">
        <x:v>จำหน่ายอาหาร</x:v>
      </x:c>
      <x:c r="D495" s="59" t="str">
        <x:v>ไม่ทราบ</x:v>
      </x:c>
      <x:c r="E495" s="59" t="str">
        <x:v>ไม่ทราบ</x:v>
      </x:c>
      <x:c r="F495" s="59" t="str">
        <x:v>ไม่ทราบ</x:v>
      </x:c>
      <x:c r="G495" s="59" t="str">
        <x:v>ไม่ทราบ</x:v>
      </x:c>
      <x:c r="H495" s="59" t="str">
        <x:v>N/A</x:v>
      </x:c>
      <x:c r="I495" s="59"/>
      <x:c r="J495" s="59" t="str">
        <x:v>ไม่ทราบ</x:v>
      </x:c>
      <x:c r="K495" s="59"/>
      <x:c r="L495" s="59" t="str">
        <x:v>N/A</x:v>
      </x:c>
      <x:c r="M495" s="59"/>
      <x:c r="N495" s="59"/>
      <x:c r="O495" s="59"/>
      <x:c r="P495" s="59"/>
      <x:c r="Q495" s="59"/>
      <x:c r="R495" s="59"/>
      <x:c r="S495" s="59"/>
      <x:c r="T495" s="59"/>
      <x:c r="U495" s="59"/>
      <x:c r="V495" s="59"/>
      <x:c r="W495" s="59"/>
      <x:c r="X495" s="59"/>
      <x:c r="Y495" s="59"/>
      <x:c r="Z495" s="59"/>
      <x:c r="AA495" s="8" t="n">
        <x:f>IF(C495="ไม่ทราบ","",SUMIFS($K$7:$Z$7,K495:Z495,"&lt;&gt;N/A"))</x:f>
        <x:v>100</x:v>
      </x:c>
      <x:c r="AB495" s="8" t="str">
        <x:f>IF(AND(OR(AND(C495="จำหน่ายอาหาร",ISNUMBER(K495),L495="N/A"),AND(C495="ไม่จำหน่ายอาหาร",K495="N/A",ISNUMBER(L495)),AND(C495="มัสยิด",K495="N/A",L495="N/A",X495="N/A")),COUNT(K495:Z495)+COUNTIFS(K495:Z495,"N/A")=16),SUM(K495:Z495),"")</x:f>
      </x:c>
      <x:c r="AC495" s="62" t="str">
        <x:f>IF(OR(AB495="",AA495&lt;=0),"",ROUND(AB495/AA495*100,1))</x:f>
      </x:c>
      <x:c r="AD495" s="8" t="str">
        <x:f>IF(COUNTIFS(D495:H495,"ไม่ผ่าน")&gt;0,"ไม่ผ่าน",IF(COUNTIFS(D495:H495,"ไม่ทราบ")+COUNTBLANK(D495:H495)&gt;0,"รอยืนยัน","ผ่าน"))</x:f>
        <x:v>รอยืนยัน</x:v>
      </x:c>
      <x:c r="AE495" s="8" t="str">
        <x:f>IF(AF495="ใช่","ไม่ผ่านการคัดเลือก",IF(AND(AD495="ผ่าน",ISNUMBER(AC495),AC495&gt;=70),"พร้อมขาย",IF(OR(J495="ใช่",AND(ISNUMBER(AC495),AC495&gt;=50)),"พัฒนาเพื่อพร้อมขาย",IF(AND(ISNUMBER(AC495),AC495&lt;50,I495&gt;=1),"มีศักยภาพ แต่ต้องพัฒนามาตรฐาน","รอประเมิน"))))</x:f>
        <x:v>รอประเมิน</x:v>
      </x:c>
      <x:c r="AF495" s="59" t="str">
        <x:v>ไม่ทราบ</x:v>
      </x:c>
      <x:c r="AG495" s="8" t="str">
        <x:f>IF(AF495="ใช่","หัวหน้าทีมพิจารณาเหตุไม่ผ่าน",IF(OR(AA495&lt;=0,NOT(OR(AND(C495="จำหน่ายอาหาร",ISNUMBER(K495),L495="N/A"),AND(C495="ไม่จำหน่ายอาหาร",K495="N/A",ISNUMBER(L495)),AND(C495="มัสยิด",K495="N/A",L495="N/A",X495="N/A"))),AD495="รอยืนยัน",COUNT(K495:Z495)+COUNTIFS(K495:Z495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5" s="59" t="str"/>
      <x:c r="AI495" s="61"/>
    </x:row>
    <x:row r="496" ht="60" customHeight="1">
      <x:c r="A496" s="2" t="str">
        <x:v>R26-107</x:v>
      </x:c>
      <x:c r="B496" s="8" t="str">
        <x:v>ไร่ชาพันไมล์</x:v>
      </x:c>
      <x:c r="C496" s="59" t="str">
        <x:v>จำหน่ายอาหาร</x:v>
      </x:c>
      <x:c r="D496" s="59" t="str">
        <x:v>ไม่ทราบ</x:v>
      </x:c>
      <x:c r="E496" s="59" t="str">
        <x:v>ไม่ทราบ</x:v>
      </x:c>
      <x:c r="F496" s="59" t="str">
        <x:v>ไม่ทราบ</x:v>
      </x:c>
      <x:c r="G496" s="59" t="str">
        <x:v>ไม่ทราบ</x:v>
      </x:c>
      <x:c r="H496" s="59" t="str">
        <x:v>N/A</x:v>
      </x:c>
      <x:c r="I496" s="59"/>
      <x:c r="J496" s="59" t="str">
        <x:v>ไม่ทราบ</x:v>
      </x:c>
      <x:c r="K496" s="59"/>
      <x:c r="L496" s="59" t="str">
        <x:v>N/A</x:v>
      </x:c>
      <x:c r="M496" s="59"/>
      <x:c r="N496" s="59"/>
      <x:c r="O496" s="59"/>
      <x:c r="P496" s="59"/>
      <x:c r="Q496" s="59"/>
      <x:c r="R496" s="59"/>
      <x:c r="S496" s="59"/>
      <x:c r="T496" s="59"/>
      <x:c r="U496" s="59"/>
      <x:c r="V496" s="59"/>
      <x:c r="W496" s="59"/>
      <x:c r="X496" s="59"/>
      <x:c r="Y496" s="59"/>
      <x:c r="Z496" s="59"/>
      <x:c r="AA496" s="8" t="n">
        <x:f>IF(C496="ไม่ทราบ","",SUMIFS($K$7:$Z$7,K496:Z496,"&lt;&gt;N/A"))</x:f>
        <x:v>100</x:v>
      </x:c>
      <x:c r="AB496" s="8" t="str">
        <x:f>IF(AND(OR(AND(C496="จำหน่ายอาหาร",ISNUMBER(K496),L496="N/A"),AND(C496="ไม่จำหน่ายอาหาร",K496="N/A",ISNUMBER(L496)),AND(C496="มัสยิด",K496="N/A",L496="N/A",X496="N/A")),COUNT(K496:Z496)+COUNTIFS(K496:Z496,"N/A")=16),SUM(K496:Z496),"")</x:f>
      </x:c>
      <x:c r="AC496" s="62" t="str">
        <x:f>IF(OR(AB496="",AA496&lt;=0),"",ROUND(AB496/AA496*100,1))</x:f>
      </x:c>
      <x:c r="AD496" s="8" t="str">
        <x:f>IF(COUNTIFS(D496:H496,"ไม่ผ่าน")&gt;0,"ไม่ผ่าน",IF(COUNTIFS(D496:H496,"ไม่ทราบ")+COUNTBLANK(D496:H496)&gt;0,"รอยืนยัน","ผ่าน"))</x:f>
        <x:v>รอยืนยัน</x:v>
      </x:c>
      <x:c r="AE496" s="8" t="str">
        <x:f>IF(AF496="ใช่","ไม่ผ่านการคัดเลือก",IF(AND(AD496="ผ่าน",ISNUMBER(AC496),AC496&gt;=70),"พร้อมขาย",IF(OR(J496="ใช่",AND(ISNUMBER(AC496),AC496&gt;=50)),"พัฒนาเพื่อพร้อมขาย",IF(AND(ISNUMBER(AC496),AC496&lt;50,I496&gt;=1),"มีศักยภาพ แต่ต้องพัฒนามาตรฐาน","รอประเมิน"))))</x:f>
        <x:v>รอประเมิน</x:v>
      </x:c>
      <x:c r="AF496" s="59" t="str">
        <x:v>ไม่ทราบ</x:v>
      </x:c>
      <x:c r="AG496" s="8" t="str">
        <x:f>IF(AF496="ใช่","หัวหน้าทีมพิจารณาเหตุไม่ผ่าน",IF(OR(AA496&lt;=0,NOT(OR(AND(C496="จำหน่ายอาหาร",ISNUMBER(K496),L496="N/A"),AND(C496="ไม่จำหน่ายอาหาร",K496="N/A",ISNUMBER(L496)),AND(C496="มัสยิด",K496="N/A",L496="N/A",X496="N/A"))),AD496="รอยืนยัน",COUNT(K496:Z496)+COUNTIFS(K496:Z496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6" s="59" t="str"/>
      <x:c r="AI496" s="61"/>
    </x:row>
    <x:row r="497" ht="60" customHeight="1">
      <x:c r="A497" s="2" t="str">
        <x:v>R26-106</x:v>
      </x:c>
      <x:c r="B497" s="8" t="str">
        <x:v>ทะเลน้อย</x:v>
      </x:c>
      <x:c r="C497" s="59" t="str">
        <x:v>ไม่ทราบ</x:v>
      </x:c>
      <x:c r="D497" s="59" t="str">
        <x:v>ไม่ทราบ</x:v>
      </x:c>
      <x:c r="E497" s="59" t="str">
        <x:v>ไม่ทราบ</x:v>
      </x:c>
      <x:c r="F497" s="59" t="str">
        <x:v>ไม่ทราบ</x:v>
      </x:c>
      <x:c r="G497" s="59" t="str">
        <x:v>ไม่ทราบ</x:v>
      </x:c>
      <x:c r="H497" s="59" t="str">
        <x:v>N/A</x:v>
      </x:c>
      <x:c r="I497" s="59"/>
      <x:c r="J497" s="59" t="str">
        <x:v>ไม่ทราบ</x:v>
      </x:c>
      <x:c r="K497" s="59"/>
      <x:c r="L497" s="59"/>
      <x:c r="M497" s="59"/>
      <x:c r="N497" s="59"/>
      <x:c r="O497" s="59"/>
      <x:c r="P497" s="59"/>
      <x:c r="Q497" s="59"/>
      <x:c r="R497" s="59"/>
      <x:c r="S497" s="59"/>
      <x:c r="T497" s="59"/>
      <x:c r="U497" s="59"/>
      <x:c r="V497" s="59"/>
      <x:c r="W497" s="59"/>
      <x:c r="X497" s="59"/>
      <x:c r="Y497" s="59"/>
      <x:c r="Z497" s="59"/>
      <x:c r="AA497" s="8" t="str">
        <x:f>IF(C497="ไม่ทราบ","",SUMIFS($K$7:$Z$7,K497:Z497,"&lt;&gt;N/A"))</x:f>
      </x:c>
      <x:c r="AB497" s="8" t="str">
        <x:f>IF(AND(OR(AND(C497="จำหน่ายอาหาร",ISNUMBER(K497),L497="N/A"),AND(C497="ไม่จำหน่ายอาหาร",K497="N/A",ISNUMBER(L497)),AND(C497="มัสยิด",K497="N/A",L497="N/A",X497="N/A")),COUNT(K497:Z497)+COUNTIFS(K497:Z497,"N/A")=16),SUM(K497:Z497),"")</x:f>
      </x:c>
      <x:c r="AC497" s="62" t="str">
        <x:f>IF(OR(AB497="",AA497&lt;=0),"",ROUND(AB497/AA497*100,1))</x:f>
      </x:c>
      <x:c r="AD497" s="8" t="str">
        <x:f>IF(COUNTIFS(D497:H497,"ไม่ผ่าน")&gt;0,"ไม่ผ่าน",IF(COUNTIFS(D497:H497,"ไม่ทราบ")+COUNTBLANK(D497:H497)&gt;0,"รอยืนยัน","ผ่าน"))</x:f>
        <x:v>รอยืนยัน</x:v>
      </x:c>
      <x:c r="AE497" s="8" t="str">
        <x:f>IF(AF497="ใช่","ไม่ผ่านการคัดเลือก",IF(AND(AD497="ผ่าน",ISNUMBER(AC497),AC497&gt;=70),"พร้อมขาย",IF(OR(J497="ใช่",AND(ISNUMBER(AC497),AC497&gt;=50)),"พัฒนาเพื่อพร้อมขาย",IF(AND(ISNUMBER(AC497),AC497&lt;50,I497&gt;=1),"มีศักยภาพ แต่ต้องพัฒนามาตรฐาน","รอประเมิน"))))</x:f>
        <x:v>รอประเมิน</x:v>
      </x:c>
      <x:c r="AF497" s="59" t="str">
        <x:v>ไม่ทราบ</x:v>
      </x:c>
      <x:c r="AG497" s="8" t="str">
        <x:f>IF(AF497="ใช่","หัวหน้าทีมพิจารณาเหตุไม่ผ่าน",IF(OR(AA497&lt;=0,NOT(OR(AND(C497="จำหน่ายอาหาร",ISNUMBER(K497),L497="N/A"),AND(C497="ไม่จำหน่ายอาหาร",K497="N/A",ISNUMBER(L497)),AND(C497="มัสยิด",K497="N/A",L497="N/A",X497="N/A"))),AD497="รอยืนยัน",COUNT(K497:Z497)+COUNTIFS(K497:Z497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7" s="59" t="str"/>
      <x:c r="AI497" s="61"/>
    </x:row>
    <x:row r="498" ht="60" customHeight="1">
      <x:c r="A498" s="2" t="str">
        <x:v>R26-109</x:v>
      </x:c>
      <x:c r="B498" s="8" t="str">
        <x:v>มัสยิดกลางจังหวัดพัทลุง</x:v>
      </x:c>
      <x:c r="C498" s="59" t="str">
        <x:v>มัสยิด</x:v>
      </x:c>
      <x:c r="D498" s="59" t="str">
        <x:v>ไม่ทราบ</x:v>
      </x:c>
      <x:c r="E498" s="59" t="str">
        <x:v>ไม่ทราบ</x:v>
      </x:c>
      <x:c r="F498" s="59" t="str">
        <x:v>ไม่ทราบ</x:v>
      </x:c>
      <x:c r="G498" s="59" t="str">
        <x:v>N/A</x:v>
      </x:c>
      <x:c r="H498" s="59" t="str">
        <x:v>N/A</x:v>
      </x:c>
      <x:c r="I498" s="59"/>
      <x:c r="J498" s="59" t="str">
        <x:v>ไม่ทราบ</x:v>
      </x:c>
      <x:c r="K498" s="59" t="str">
        <x:v>N/A</x:v>
      </x:c>
      <x:c r="L498" s="59" t="str">
        <x:v>N/A</x:v>
      </x:c>
      <x:c r="M498" s="59"/>
      <x:c r="N498" s="59"/>
      <x:c r="O498" s="59"/>
      <x:c r="P498" s="59"/>
      <x:c r="Q498" s="59"/>
      <x:c r="R498" s="59"/>
      <x:c r="S498" s="59"/>
      <x:c r="T498" s="59"/>
      <x:c r="U498" s="59"/>
      <x:c r="V498" s="59"/>
      <x:c r="W498" s="59"/>
      <x:c r="X498" s="59" t="str">
        <x:v>N/A</x:v>
      </x:c>
      <x:c r="Y498" s="59"/>
      <x:c r="Z498" s="59"/>
      <x:c r="AA498" s="8" t="n">
        <x:f>IF(C498="ไม่ทราบ","",SUMIFS($K$7:$Z$7,K498:Z498,"&lt;&gt;N/A"))</x:f>
        <x:v>67</x:v>
      </x:c>
      <x:c r="AB498" s="8" t="str">
        <x:f>IF(AND(OR(AND(C498="จำหน่ายอาหาร",ISNUMBER(K498),L498="N/A"),AND(C498="ไม่จำหน่ายอาหาร",K498="N/A",ISNUMBER(L498)),AND(C498="มัสยิด",K498="N/A",L498="N/A",X498="N/A")),COUNT(K498:Z498)+COUNTIFS(K498:Z498,"N/A")=16),SUM(K498:Z498),"")</x:f>
      </x:c>
      <x:c r="AC498" s="62" t="str">
        <x:f>IF(OR(AB498="",AA498&lt;=0),"",ROUND(AB498/AA498*100,1))</x:f>
      </x:c>
      <x:c r="AD498" s="8" t="str">
        <x:f>IF(COUNTIFS(D498:H498,"ไม่ผ่าน")&gt;0,"ไม่ผ่าน",IF(COUNTIFS(D498:H498,"ไม่ทราบ")+COUNTBLANK(D498:H498)&gt;0,"รอยืนยัน","ผ่าน"))</x:f>
        <x:v>รอยืนยัน</x:v>
      </x:c>
      <x:c r="AE498" s="8" t="str">
        <x:f>IF(AF498="ใช่","ไม่ผ่านการคัดเลือก",IF(AND(AD498="ผ่าน",ISNUMBER(AC498),AC498&gt;=70),"พร้อมขาย",IF(OR(J498="ใช่",AND(ISNUMBER(AC498),AC498&gt;=50)),"พัฒนาเพื่อพร้อมขาย",IF(AND(ISNUMBER(AC498),AC498&lt;50,I498&gt;=1),"มีศักยภาพ แต่ต้องพัฒนามาตรฐาน","รอประเมิน"))))</x:f>
        <x:v>รอประเมิน</x:v>
      </x:c>
      <x:c r="AF498" s="59" t="str">
        <x:v>ไม่ทราบ</x:v>
      </x:c>
      <x:c r="AG498" s="8" t="str">
        <x:f>IF(AF498="ใช่","หัวหน้าทีมพิจารณาเหตุไม่ผ่าน",IF(OR(AA498&lt;=0,NOT(OR(AND(C498="จำหน่ายอาหาร",ISNUMBER(K498),L498="N/A"),AND(C498="ไม่จำหน่ายอาหาร",K498="N/A",ISNUMBER(L498)),AND(C498="มัสยิด",K498="N/A",L498="N/A",X498="N/A"))),AD498="รอยืนยัน",COUNT(K498:Z498)+COUNTIFS(K498:Z498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8" s="59" t="str"/>
      <x:c r="AI498" s="61"/>
    </x:row>
    <x:row r="499" ht="60" customHeight="1">
      <x:c r="A499" s="2" t="str">
        <x:v>R26-110</x:v>
      </x:c>
      <x:c r="B499" s="8" t="str">
        <x:v>หลาดใต้ถุน ปากพะยูน ชุมชนบ้านกลาง</x:v>
      </x:c>
      <x:c r="C499" s="59" t="str">
        <x:v>ไม่ทราบ</x:v>
      </x:c>
      <x:c r="D499" s="59" t="str">
        <x:v>ไม่ทราบ</x:v>
      </x:c>
      <x:c r="E499" s="59" t="str">
        <x:v>ไม่ทราบ</x:v>
      </x:c>
      <x:c r="F499" s="59" t="str">
        <x:v>ไม่ทราบ</x:v>
      </x:c>
      <x:c r="G499" s="59" t="str">
        <x:v>ไม่ทราบ</x:v>
      </x:c>
      <x:c r="H499" s="59" t="str">
        <x:v>N/A</x:v>
      </x:c>
      <x:c r="I499" s="59"/>
      <x:c r="J499" s="59" t="str">
        <x:v>ไม่ทราบ</x:v>
      </x:c>
      <x:c r="K499" s="59"/>
      <x:c r="L499" s="59"/>
      <x:c r="M499" s="59"/>
      <x:c r="N499" s="59"/>
      <x:c r="O499" s="59"/>
      <x:c r="P499" s="59"/>
      <x:c r="Q499" s="59"/>
      <x:c r="R499" s="59"/>
      <x:c r="S499" s="59"/>
      <x:c r="T499" s="59"/>
      <x:c r="U499" s="59"/>
      <x:c r="V499" s="59"/>
      <x:c r="W499" s="59"/>
      <x:c r="X499" s="59"/>
      <x:c r="Y499" s="59"/>
      <x:c r="Z499" s="59"/>
      <x:c r="AA499" s="8" t="str">
        <x:f>IF(C499="ไม่ทราบ","",SUMIFS($K$7:$Z$7,K499:Z499,"&lt;&gt;N/A"))</x:f>
      </x:c>
      <x:c r="AB499" s="8" t="str">
        <x:f>IF(AND(OR(AND(C499="จำหน่ายอาหาร",ISNUMBER(K499),L499="N/A"),AND(C499="ไม่จำหน่ายอาหาร",K499="N/A",ISNUMBER(L499)),AND(C499="มัสยิด",K499="N/A",L499="N/A",X499="N/A")),COUNT(K499:Z499)+COUNTIFS(K499:Z499,"N/A")=16),SUM(K499:Z499),"")</x:f>
      </x:c>
      <x:c r="AC499" s="62" t="str">
        <x:f>IF(OR(AB499="",AA499&lt;=0),"",ROUND(AB499/AA499*100,1))</x:f>
      </x:c>
      <x:c r="AD499" s="8" t="str">
        <x:f>IF(COUNTIFS(D499:H499,"ไม่ผ่าน")&gt;0,"ไม่ผ่าน",IF(COUNTIFS(D499:H499,"ไม่ทราบ")+COUNTBLANK(D499:H499)&gt;0,"รอยืนยัน","ผ่าน"))</x:f>
        <x:v>รอยืนยัน</x:v>
      </x:c>
      <x:c r="AE499" s="8" t="str">
        <x:f>IF(AF499="ใช่","ไม่ผ่านการคัดเลือก",IF(AND(AD499="ผ่าน",ISNUMBER(AC499),AC499&gt;=70),"พร้อมขาย",IF(OR(J499="ใช่",AND(ISNUMBER(AC499),AC499&gt;=50)),"พัฒนาเพื่อพร้อมขาย",IF(AND(ISNUMBER(AC499),AC499&lt;50,I499&gt;=1),"มีศักยภาพ แต่ต้องพัฒนามาตรฐาน","รอประเมิน"))))</x:f>
        <x:v>รอประเมิน</x:v>
      </x:c>
      <x:c r="AF499" s="59" t="str">
        <x:v>ไม่ทราบ</x:v>
      </x:c>
      <x:c r="AG499" s="8" t="str">
        <x:f>IF(AF499="ใช่","หัวหน้าทีมพิจารณาเหตุไม่ผ่าน",IF(OR(AA499&lt;=0,NOT(OR(AND(C499="จำหน่ายอาหาร",ISNUMBER(K499),L499="N/A"),AND(C499="ไม่จำหน่ายอาหาร",K499="N/A",ISNUMBER(L499)),AND(C499="มัสยิด",K499="N/A",L499="N/A",X499="N/A"))),AD499="รอยืนยัน",COUNT(K499:Z499)+COUNTIFS(K499:Z499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499" s="59" t="str"/>
      <x:c r="AI499" s="61"/>
    </x:row>
    <x:row r="500" ht="60" customHeight="1">
      <x:c r="A500" s="2" t="str">
        <x:v>R26-108</x:v>
      </x:c>
      <x:c r="B500" s="8" t="str">
        <x:v>สวนเดอลอง</x:v>
      </x:c>
      <x:c r="C500" s="59" t="str">
        <x:v>ไม่ทราบ</x:v>
      </x:c>
      <x:c r="D500" s="59" t="str">
        <x:v>ไม่ทราบ</x:v>
      </x:c>
      <x:c r="E500" s="59" t="str">
        <x:v>ไม่ทราบ</x:v>
      </x:c>
      <x:c r="F500" s="59" t="str">
        <x:v>ไม่ทราบ</x:v>
      </x:c>
      <x:c r="G500" s="59" t="str">
        <x:v>ไม่ทราบ</x:v>
      </x:c>
      <x:c r="H500" s="59" t="str">
        <x:v>N/A</x:v>
      </x:c>
      <x:c r="I500" s="59"/>
      <x:c r="J500" s="59" t="str">
        <x:v>ไม่ทราบ</x:v>
      </x:c>
      <x:c r="K500" s="59"/>
      <x:c r="L500" s="59"/>
      <x:c r="M500" s="59"/>
      <x:c r="N500" s="59"/>
      <x:c r="O500" s="59"/>
      <x:c r="P500" s="59"/>
      <x:c r="Q500" s="59"/>
      <x:c r="R500" s="59"/>
      <x:c r="S500" s="59"/>
      <x:c r="T500" s="59"/>
      <x:c r="U500" s="59"/>
      <x:c r="V500" s="59"/>
      <x:c r="W500" s="59"/>
      <x:c r="X500" s="59"/>
      <x:c r="Y500" s="59"/>
      <x:c r="Z500" s="59"/>
      <x:c r="AA500" s="8" t="str">
        <x:f>IF(C500="ไม่ทราบ","",SUMIFS($K$7:$Z$7,K500:Z500,"&lt;&gt;N/A"))</x:f>
      </x:c>
      <x:c r="AB500" s="8" t="str">
        <x:f>IF(AND(OR(AND(C500="จำหน่ายอาหาร",ISNUMBER(K500),L500="N/A"),AND(C500="ไม่จำหน่ายอาหาร",K500="N/A",ISNUMBER(L500)),AND(C500="มัสยิด",K500="N/A",L500="N/A",X500="N/A")),COUNT(K500:Z500)+COUNTIFS(K500:Z500,"N/A")=16),SUM(K500:Z500),"")</x:f>
      </x:c>
      <x:c r="AC500" s="62" t="str">
        <x:f>IF(OR(AB500="",AA500&lt;=0),"",ROUND(AB500/AA500*100,1))</x:f>
      </x:c>
      <x:c r="AD500" s="8" t="str">
        <x:f>IF(COUNTIFS(D500:H500,"ไม่ผ่าน")&gt;0,"ไม่ผ่าน",IF(COUNTIFS(D500:H500,"ไม่ทราบ")+COUNTBLANK(D500:H500)&gt;0,"รอยืนยัน","ผ่าน"))</x:f>
        <x:v>รอยืนยัน</x:v>
      </x:c>
      <x:c r="AE500" s="8" t="str">
        <x:f>IF(AF500="ใช่","ไม่ผ่านการคัดเลือก",IF(AND(AD500="ผ่าน",ISNUMBER(AC500),AC500&gt;=70),"พร้อมขาย",IF(OR(J500="ใช่",AND(ISNUMBER(AC500),AC500&gt;=50)),"พัฒนาเพื่อพร้อมขาย",IF(AND(ISNUMBER(AC500),AC500&lt;50,I500&gt;=1),"มีศักยภาพ แต่ต้องพัฒนามาตรฐาน","รอประเมิน"))))</x:f>
        <x:v>รอประเมิน</x:v>
      </x:c>
      <x:c r="AF500" s="59" t="str">
        <x:v>ไม่ทราบ</x:v>
      </x:c>
      <x:c r="AG500" s="8" t="str">
        <x:f>IF(AF500="ใช่","หัวหน้าทีมพิจารณาเหตุไม่ผ่าน",IF(OR(AA500&lt;=0,NOT(OR(AND(C500="จำหน่ายอาหาร",ISNUMBER(K500),L500="N/A"),AND(C500="ไม่จำหน่ายอาหาร",K500="N/A",ISNUMBER(L500)),AND(C500="มัสยิด",K500="N/A",L500="N/A",X500="N/A"))),AD500="รอยืนยัน",COUNT(K500:Z500)+COUNTIFS(K500:Z500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0" s="59" t="str"/>
      <x:c r="AI500" s="61"/>
    </x:row>
    <x:row r="501" ht="60" customHeight="1">
      <x:c r="A501" s="2" t="str">
        <x:v>R26-387</x:v>
      </x:c>
      <x:c r="B501" s="8" t="str">
        <x:v>Dusit Princess Phatthalung</x:v>
      </x:c>
      <x:c r="C501" s="59" t="str">
        <x:v>ไม่ทราบ</x:v>
      </x:c>
      <x:c r="D501" s="59" t="str">
        <x:v>ไม่ทราบ</x:v>
      </x:c>
      <x:c r="E501" s="59" t="str">
        <x:v>ไม่ทราบ</x:v>
      </x:c>
      <x:c r="F501" s="59" t="str">
        <x:v>ไม่ทราบ</x:v>
      </x:c>
      <x:c r="G501" s="59" t="str">
        <x:v>ไม่ทราบ</x:v>
      </x:c>
      <x:c r="H501" s="59" t="str">
        <x:v>ไม่ทราบ</x:v>
      </x:c>
      <x:c r="I501" s="59"/>
      <x:c r="J501" s="59" t="str">
        <x:v>ไม่ทราบ</x:v>
      </x:c>
      <x:c r="K501" s="59"/>
      <x:c r="L501" s="59"/>
      <x:c r="M501" s="59"/>
      <x:c r="N501" s="59"/>
      <x:c r="O501" s="59"/>
      <x:c r="P501" s="59"/>
      <x:c r="Q501" s="59"/>
      <x:c r="R501" s="59"/>
      <x:c r="S501" s="59"/>
      <x:c r="T501" s="59"/>
      <x:c r="U501" s="59"/>
      <x:c r="V501" s="59"/>
      <x:c r="W501" s="59"/>
      <x:c r="X501" s="59"/>
      <x:c r="Y501" s="59"/>
      <x:c r="Z501" s="59"/>
      <x:c r="AA501" s="8" t="str">
        <x:f>IF(C501="ไม่ทราบ","",SUMIFS($K$7:$Z$7,K501:Z501,"&lt;&gt;N/A"))</x:f>
      </x:c>
      <x:c r="AB501" s="8" t="str">
        <x:f>IF(AND(OR(AND(C501="จำหน่ายอาหาร",ISNUMBER(K501),L501="N/A"),AND(C501="ไม่จำหน่ายอาหาร",K501="N/A",ISNUMBER(L501)),AND(C501="มัสยิด",K501="N/A",L501="N/A",X501="N/A")),COUNT(K501:Z501)+COUNTIFS(K501:Z501,"N/A")=16),SUM(K501:Z501),"")</x:f>
      </x:c>
      <x:c r="AC501" s="62" t="str">
        <x:f>IF(OR(AB501="",AA501&lt;=0),"",ROUND(AB501/AA501*100,1))</x:f>
      </x:c>
      <x:c r="AD501" s="8" t="str">
        <x:f>IF(COUNTIFS(D501:H501,"ไม่ผ่าน")&gt;0,"ไม่ผ่าน",IF(COUNTIFS(D501:H501,"ไม่ทราบ")+COUNTBLANK(D501:H501)&gt;0,"รอยืนยัน","ผ่าน"))</x:f>
        <x:v>รอยืนยัน</x:v>
      </x:c>
      <x:c r="AE501" s="8" t="str">
        <x:f>IF(AF501="ใช่","ไม่ผ่านการคัดเลือก",IF(AND(AD501="ผ่าน",ISNUMBER(AC501),AC501&gt;=70),"พร้อมขาย",IF(OR(J501="ใช่",AND(ISNUMBER(AC501),AC501&gt;=50)),"พัฒนาเพื่อพร้อมขาย",IF(AND(ISNUMBER(AC501),AC501&lt;50,I501&gt;=1),"มีศักยภาพ แต่ต้องพัฒนามาตรฐาน","รอประเมิน"))))</x:f>
        <x:v>รอประเมิน</x:v>
      </x:c>
      <x:c r="AF501" s="59" t="str">
        <x:v>ไม่ทราบ</x:v>
      </x:c>
      <x:c r="AG501" s="8" t="str">
        <x:f>IF(AF501="ใช่","หัวหน้าทีมพิจารณาเหตุไม่ผ่าน",IF(OR(AA501&lt;=0,NOT(OR(AND(C501="จำหน่ายอาหาร",ISNUMBER(K501),L501="N/A"),AND(C501="ไม่จำหน่ายอาหาร",K501="N/A",ISNUMBER(L501)),AND(C501="มัสยิด",K501="N/A",L501="N/A",X501="N/A"))),AD501="รอยืนยัน",COUNT(K501:Z501)+COUNTIFS(K501:Z501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1" s="59" t="str"/>
      <x:c r="AI501" s="61"/>
    </x:row>
    <x:row r="502" ht="60" customHeight="1">
      <x:c r="A502" s="2" t="str">
        <x:v>R26-388</x:v>
      </x:c>
      <x:c r="B502" s="8" t="str">
        <x:v>Sri Pakpra Boutique Resort Phatthalung</x:v>
      </x:c>
      <x:c r="C502" s="59" t="str">
        <x:v>ไม่ทราบ</x:v>
      </x:c>
      <x:c r="D502" s="59" t="str">
        <x:v>ไม่ทราบ</x:v>
      </x:c>
      <x:c r="E502" s="59" t="str">
        <x:v>ไม่ทราบ</x:v>
      </x:c>
      <x:c r="F502" s="59" t="str">
        <x:v>ไม่ทราบ</x:v>
      </x:c>
      <x:c r="G502" s="59" t="str">
        <x:v>ไม่ทราบ</x:v>
      </x:c>
      <x:c r="H502" s="59" t="str">
        <x:v>ไม่ทราบ</x:v>
      </x:c>
      <x:c r="I502" s="59"/>
      <x:c r="J502" s="59" t="str">
        <x:v>ไม่ทราบ</x:v>
      </x:c>
      <x:c r="K502" s="59"/>
      <x:c r="L502" s="59"/>
      <x:c r="M502" s="59"/>
      <x:c r="N502" s="59"/>
      <x:c r="O502" s="59"/>
      <x:c r="P502" s="59"/>
      <x:c r="Q502" s="59"/>
      <x:c r="R502" s="59"/>
      <x:c r="S502" s="59"/>
      <x:c r="T502" s="59"/>
      <x:c r="U502" s="59"/>
      <x:c r="V502" s="59"/>
      <x:c r="W502" s="59"/>
      <x:c r="X502" s="59"/>
      <x:c r="Y502" s="59"/>
      <x:c r="Z502" s="59"/>
      <x:c r="AA502" s="8" t="str">
        <x:f>IF(C502="ไม่ทราบ","",SUMIFS($K$7:$Z$7,K502:Z502,"&lt;&gt;N/A"))</x:f>
      </x:c>
      <x:c r="AB502" s="8" t="str">
        <x:f>IF(AND(OR(AND(C502="จำหน่ายอาหาร",ISNUMBER(K502),L502="N/A"),AND(C502="ไม่จำหน่ายอาหาร",K502="N/A",ISNUMBER(L502)),AND(C502="มัสยิด",K502="N/A",L502="N/A",X502="N/A")),COUNT(K502:Z502)+COUNTIFS(K502:Z502,"N/A")=16),SUM(K502:Z502),"")</x:f>
      </x:c>
      <x:c r="AC502" s="62" t="str">
        <x:f>IF(OR(AB502="",AA502&lt;=0),"",ROUND(AB502/AA502*100,1))</x:f>
      </x:c>
      <x:c r="AD502" s="8" t="str">
        <x:f>IF(COUNTIFS(D502:H502,"ไม่ผ่าน")&gt;0,"ไม่ผ่าน",IF(COUNTIFS(D502:H502,"ไม่ทราบ")+COUNTBLANK(D502:H502)&gt;0,"รอยืนยัน","ผ่าน"))</x:f>
        <x:v>รอยืนยัน</x:v>
      </x:c>
      <x:c r="AE502" s="8" t="str">
        <x:f>IF(AF502="ใช่","ไม่ผ่านการคัดเลือก",IF(AND(AD502="ผ่าน",ISNUMBER(AC502),AC502&gt;=70),"พร้อมขาย",IF(OR(J502="ใช่",AND(ISNUMBER(AC502),AC502&gt;=50)),"พัฒนาเพื่อพร้อมขาย",IF(AND(ISNUMBER(AC502),AC502&lt;50,I502&gt;=1),"มีศักยภาพ แต่ต้องพัฒนามาตรฐาน","รอประเมิน"))))</x:f>
        <x:v>รอประเมิน</x:v>
      </x:c>
      <x:c r="AF502" s="59" t="str">
        <x:v>ไม่ทราบ</x:v>
      </x:c>
      <x:c r="AG502" s="8" t="str">
        <x:f>IF(AF502="ใช่","หัวหน้าทีมพิจารณาเหตุไม่ผ่าน",IF(OR(AA502&lt;=0,NOT(OR(AND(C502="จำหน่ายอาหาร",ISNUMBER(K502),L502="N/A"),AND(C502="ไม่จำหน่ายอาหาร",K502="N/A",ISNUMBER(L502)),AND(C502="มัสยิด",K502="N/A",L502="N/A",X502="N/A"))),AD502="รอยืนยัน",COUNT(K502:Z502)+COUNTIFS(K502:Z502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2" s="59" t="str"/>
      <x:c r="AI502" s="61"/>
    </x:row>
    <x:row r="503" ht="60" customHeight="1">
      <x:c r="A503" s="2" t="str">
        <x:v>R26-352</x:v>
      </x:c>
      <x:c r="B503" s="8" t="str">
        <x:v>MONTE พัทลุง</x:v>
      </x:c>
      <x:c r="C503" s="59" t="str">
        <x:v>จำหน่ายอาหาร</x:v>
      </x:c>
      <x:c r="D503" s="59" t="str">
        <x:v>ไม่ทราบ</x:v>
      </x:c>
      <x:c r="E503" s="59" t="str">
        <x:v>ไม่ทราบ</x:v>
      </x:c>
      <x:c r="F503" s="59" t="str">
        <x:v>ไม่ทราบ</x:v>
      </x:c>
      <x:c r="G503" s="59" t="str">
        <x:v>ไม่ทราบ</x:v>
      </x:c>
      <x:c r="H503" s="59" t="str">
        <x:v>N/A</x:v>
      </x:c>
      <x:c r="I503" s="59"/>
      <x:c r="J503" s="59" t="str">
        <x:v>ไม่ทราบ</x:v>
      </x:c>
      <x:c r="K503" s="59"/>
      <x:c r="L503" s="59" t="str">
        <x:v>N/A</x:v>
      </x:c>
      <x:c r="M503" s="59"/>
      <x:c r="N503" s="59"/>
      <x:c r="O503" s="59"/>
      <x:c r="P503" s="59"/>
      <x:c r="Q503" s="59"/>
      <x:c r="R503" s="59"/>
      <x:c r="S503" s="59"/>
      <x:c r="T503" s="59"/>
      <x:c r="U503" s="59"/>
      <x:c r="V503" s="59"/>
      <x:c r="W503" s="59"/>
      <x:c r="X503" s="59"/>
      <x:c r="Y503" s="59"/>
      <x:c r="Z503" s="59"/>
      <x:c r="AA503" s="8" t="n">
        <x:f>IF(C503="ไม่ทราบ","",SUMIFS($K$7:$Z$7,K503:Z503,"&lt;&gt;N/A"))</x:f>
        <x:v>100</x:v>
      </x:c>
      <x:c r="AB503" s="8" t="str">
        <x:f>IF(AND(OR(AND(C503="จำหน่ายอาหาร",ISNUMBER(K503),L503="N/A"),AND(C503="ไม่จำหน่ายอาหาร",K503="N/A",ISNUMBER(L503)),AND(C503="มัสยิด",K503="N/A",L503="N/A",X503="N/A")),COUNT(K503:Z503)+COUNTIFS(K503:Z503,"N/A")=16),SUM(K503:Z503),"")</x:f>
      </x:c>
      <x:c r="AC503" s="62" t="str">
        <x:f>IF(OR(AB503="",AA503&lt;=0),"",ROUND(AB503/AA503*100,1))</x:f>
      </x:c>
      <x:c r="AD503" s="8" t="str">
        <x:f>IF(COUNTIFS(D503:H503,"ไม่ผ่าน")&gt;0,"ไม่ผ่าน",IF(COUNTIFS(D503:H503,"ไม่ทราบ")+COUNTBLANK(D503:H503)&gt;0,"รอยืนยัน","ผ่าน"))</x:f>
        <x:v>รอยืนยัน</x:v>
      </x:c>
      <x:c r="AE503" s="8" t="str">
        <x:f>IF(AF503="ใช่","ไม่ผ่านการคัดเลือก",IF(AND(AD503="ผ่าน",ISNUMBER(AC503),AC503&gt;=70),"พร้อมขาย",IF(OR(J503="ใช่",AND(ISNUMBER(AC503),AC503&gt;=50)),"พัฒนาเพื่อพร้อมขาย",IF(AND(ISNUMBER(AC503),AC503&lt;50,I503&gt;=1),"มีศักยภาพ แต่ต้องพัฒนามาตรฐาน","รอประเมิน"))))</x:f>
        <x:v>รอประเมิน</x:v>
      </x:c>
      <x:c r="AF503" s="59" t="str">
        <x:v>ไม่ทราบ</x:v>
      </x:c>
      <x:c r="AG503" s="8" t="str">
        <x:f>IF(AF503="ใช่","หัวหน้าทีมพิจารณาเหตุไม่ผ่าน",IF(OR(AA503&lt;=0,NOT(OR(AND(C503="จำหน่ายอาหาร",ISNUMBER(K503),L503="N/A"),AND(C503="ไม่จำหน่ายอาหาร",K503="N/A",ISNUMBER(L503)),AND(C503="มัสยิด",K503="N/A",L503="N/A",X503="N/A"))),AD503="รอยืนยัน",COUNT(K503:Z503)+COUNTIFS(K503:Z503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3" s="59" t="str"/>
      <x:c r="AI503" s="61"/>
    </x:row>
    <x:row r="504" ht="60" customHeight="1">
      <x:c r="A504" s="2" t="str">
        <x:v>R26-354</x:v>
      </x:c>
      <x:c r="B504" s="8" t="str">
        <x:v>ก๋วยเตี๋ยวจัมโบ้อิสลาม เกะฟ็ะ</x:v>
      </x:c>
      <x:c r="C504" s="59" t="str">
        <x:v>จำหน่ายอาหาร</x:v>
      </x:c>
      <x:c r="D504" s="59" t="str">
        <x:v>ไม่ทราบ</x:v>
      </x:c>
      <x:c r="E504" s="59" t="str">
        <x:v>ไม่ทราบ</x:v>
      </x:c>
      <x:c r="F504" s="59" t="str">
        <x:v>ไม่ทราบ</x:v>
      </x:c>
      <x:c r="G504" s="59" t="str">
        <x:v>ไม่ทราบ</x:v>
      </x:c>
      <x:c r="H504" s="59" t="str">
        <x:v>N/A</x:v>
      </x:c>
      <x:c r="I504" s="59"/>
      <x:c r="J504" s="59" t="str">
        <x:v>ไม่ทราบ</x:v>
      </x:c>
      <x:c r="K504" s="59"/>
      <x:c r="L504" s="59" t="str">
        <x:v>N/A</x:v>
      </x:c>
      <x:c r="M504" s="59"/>
      <x:c r="N504" s="59"/>
      <x:c r="O504" s="59"/>
      <x:c r="P504" s="59"/>
      <x:c r="Q504" s="59"/>
      <x:c r="R504" s="59"/>
      <x:c r="S504" s="59"/>
      <x:c r="T504" s="59"/>
      <x:c r="U504" s="59"/>
      <x:c r="V504" s="59"/>
      <x:c r="W504" s="59"/>
      <x:c r="X504" s="59"/>
      <x:c r="Y504" s="59"/>
      <x:c r="Z504" s="59"/>
      <x:c r="AA504" s="8" t="n">
        <x:f>IF(C504="ไม่ทราบ","",SUMIFS($K$7:$Z$7,K504:Z504,"&lt;&gt;N/A"))</x:f>
        <x:v>100</x:v>
      </x:c>
      <x:c r="AB504" s="8" t="str">
        <x:f>IF(AND(OR(AND(C504="จำหน่ายอาหาร",ISNUMBER(K504),L504="N/A"),AND(C504="ไม่จำหน่ายอาหาร",K504="N/A",ISNUMBER(L504)),AND(C504="มัสยิด",K504="N/A",L504="N/A",X504="N/A")),COUNT(K504:Z504)+COUNTIFS(K504:Z504,"N/A")=16),SUM(K504:Z504),"")</x:f>
      </x:c>
      <x:c r="AC504" s="62" t="str">
        <x:f>IF(OR(AB504="",AA504&lt;=0),"",ROUND(AB504/AA504*100,1))</x:f>
      </x:c>
      <x:c r="AD504" s="8" t="str">
        <x:f>IF(COUNTIFS(D504:H504,"ไม่ผ่าน")&gt;0,"ไม่ผ่าน",IF(COUNTIFS(D504:H504,"ไม่ทราบ")+COUNTBLANK(D504:H504)&gt;0,"รอยืนยัน","ผ่าน"))</x:f>
        <x:v>รอยืนยัน</x:v>
      </x:c>
      <x:c r="AE504" s="8" t="str">
        <x:f>IF(AF504="ใช่","ไม่ผ่านการคัดเลือก",IF(AND(AD504="ผ่าน",ISNUMBER(AC504),AC504&gt;=70),"พร้อมขาย",IF(OR(J504="ใช่",AND(ISNUMBER(AC504),AC504&gt;=50)),"พัฒนาเพื่อพร้อมขาย",IF(AND(ISNUMBER(AC504),AC504&lt;50,I504&gt;=1),"มีศักยภาพ แต่ต้องพัฒนามาตรฐาน","รอประเมิน"))))</x:f>
        <x:v>รอประเมิน</x:v>
      </x:c>
      <x:c r="AF504" s="59" t="str">
        <x:v>ไม่ทราบ</x:v>
      </x:c>
      <x:c r="AG504" s="8" t="str">
        <x:f>IF(AF504="ใช่","หัวหน้าทีมพิจารณาเหตุไม่ผ่าน",IF(OR(AA504&lt;=0,NOT(OR(AND(C504="จำหน่ายอาหาร",ISNUMBER(K504),L504="N/A"),AND(C504="ไม่จำหน่ายอาหาร",K504="N/A",ISNUMBER(L504)),AND(C504="มัสยิด",K504="N/A",L504="N/A",X504="N/A"))),AD504="รอยืนยัน",COUNT(K504:Z504)+COUNTIFS(K504:Z504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4" s="59" t="str"/>
      <x:c r="AI504" s="61"/>
    </x:row>
    <x:row r="505" ht="60" customHeight="1">
      <x:c r="A505" s="2" t="str">
        <x:v>R26-210</x:v>
      </x:c>
      <x:c r="B505" s="8" t="str">
        <x:v>สะพานเฉลิมพระเกียรติ 80 พรรษา พัทลุง</x:v>
      </x:c>
      <x:c r="C505" s="59" t="str">
        <x:v>ไม่ทราบ</x:v>
      </x:c>
      <x:c r="D505" s="59" t="str">
        <x:v>ไม่ทราบ</x:v>
      </x:c>
      <x:c r="E505" s="59" t="str">
        <x:v>ไม่ทราบ</x:v>
      </x:c>
      <x:c r="F505" s="59" t="str">
        <x:v>ไม่ทราบ</x:v>
      </x:c>
      <x:c r="G505" s="59" t="str">
        <x:v>ไม่ทราบ</x:v>
      </x:c>
      <x:c r="H505" s="59" t="str">
        <x:v>N/A</x:v>
      </x:c>
      <x:c r="I505" s="59"/>
      <x:c r="J505" s="59" t="str">
        <x:v>ไม่ทราบ</x:v>
      </x:c>
      <x:c r="K505" s="59"/>
      <x:c r="L505" s="59"/>
      <x:c r="M505" s="59"/>
      <x:c r="N505" s="59"/>
      <x:c r="O505" s="59"/>
      <x:c r="P505" s="59"/>
      <x:c r="Q505" s="59"/>
      <x:c r="R505" s="59"/>
      <x:c r="S505" s="59"/>
      <x:c r="T505" s="59"/>
      <x:c r="U505" s="59"/>
      <x:c r="V505" s="59"/>
      <x:c r="W505" s="59"/>
      <x:c r="X505" s="59"/>
      <x:c r="Y505" s="59"/>
      <x:c r="Z505" s="59"/>
      <x:c r="AA505" s="8" t="str">
        <x:f>IF(C505="ไม่ทราบ","",SUMIFS($K$7:$Z$7,K505:Z505,"&lt;&gt;N/A"))</x:f>
      </x:c>
      <x:c r="AB505" s="8" t="str">
        <x:f>IF(AND(OR(AND(C505="จำหน่ายอาหาร",ISNUMBER(K505),L505="N/A"),AND(C505="ไม่จำหน่ายอาหาร",K505="N/A",ISNUMBER(L505)),AND(C505="มัสยิด",K505="N/A",L505="N/A",X505="N/A")),COUNT(K505:Z505)+COUNTIFS(K505:Z505,"N/A")=16),SUM(K505:Z505),"")</x:f>
      </x:c>
      <x:c r="AC505" s="62" t="str">
        <x:f>IF(OR(AB505="",AA505&lt;=0),"",ROUND(AB505/AA505*100,1))</x:f>
      </x:c>
      <x:c r="AD505" s="8" t="str">
        <x:f>IF(COUNTIFS(D505:H505,"ไม่ผ่าน")&gt;0,"ไม่ผ่าน",IF(COUNTIFS(D505:H505,"ไม่ทราบ")+COUNTBLANK(D505:H505)&gt;0,"รอยืนยัน","ผ่าน"))</x:f>
        <x:v>รอยืนยัน</x:v>
      </x:c>
      <x:c r="AE505" s="8" t="str">
        <x:f>IF(AF505="ใช่","ไม่ผ่านการคัดเลือก",IF(AND(AD505="ผ่าน",ISNUMBER(AC505),AC505&gt;=70),"พร้อมขาย",IF(OR(J505="ใช่",AND(ISNUMBER(AC505),AC505&gt;=50)),"พัฒนาเพื่อพร้อมขาย",IF(AND(ISNUMBER(AC505),AC505&lt;50,I505&gt;=1),"มีศักยภาพ แต่ต้องพัฒนามาตรฐาน","รอประเมิน"))))</x:f>
        <x:v>รอประเมิน</x:v>
      </x:c>
      <x:c r="AF505" s="59" t="str">
        <x:v>ไม่ทราบ</x:v>
      </x:c>
      <x:c r="AG505" s="8" t="str">
        <x:f>IF(AF505="ใช่","หัวหน้าทีมพิจารณาเหตุไม่ผ่าน",IF(OR(AA505&lt;=0,NOT(OR(AND(C505="จำหน่ายอาหาร",ISNUMBER(K505),L505="N/A"),AND(C505="ไม่จำหน่ายอาหาร",K505="N/A",ISNUMBER(L505)),AND(C505="มัสยิด",K505="N/A",L505="N/A",X505="N/A"))),AD505="รอยืนยัน",COUNT(K505:Z505)+COUNTIFS(K505:Z505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5" s="59" t="str"/>
      <x:c r="AI505" s="61"/>
    </x:row>
    <x:row r="506" ht="60" customHeight="1">
      <x:c r="A506" s="2" t="str">
        <x:v>R26-211</x:v>
      </x:c>
      <x:c r="B506" s="8" t="str">
        <x:v>อุทยานแห่งชาติเขาปู่-เขาย่า</x:v>
      </x:c>
      <x:c r="C506" s="59" t="str">
        <x:v>ไม่ทราบ</x:v>
      </x:c>
      <x:c r="D506" s="59" t="str">
        <x:v>ไม่ทราบ</x:v>
      </x:c>
      <x:c r="E506" s="59" t="str">
        <x:v>ไม่ทราบ</x:v>
      </x:c>
      <x:c r="F506" s="59" t="str">
        <x:v>ไม่ทราบ</x:v>
      </x:c>
      <x:c r="G506" s="59" t="str">
        <x:v>ไม่ทราบ</x:v>
      </x:c>
      <x:c r="H506" s="59" t="str">
        <x:v>N/A</x:v>
      </x:c>
      <x:c r="I506" s="59"/>
      <x:c r="J506" s="59" t="str">
        <x:v>ไม่ทราบ</x:v>
      </x:c>
      <x:c r="K506" s="59"/>
      <x:c r="L506" s="59"/>
      <x:c r="M506" s="59"/>
      <x:c r="N506" s="59"/>
      <x:c r="O506" s="59"/>
      <x:c r="P506" s="59"/>
      <x:c r="Q506" s="59"/>
      <x:c r="R506" s="59"/>
      <x:c r="S506" s="59"/>
      <x:c r="T506" s="59"/>
      <x:c r="U506" s="59"/>
      <x:c r="V506" s="59"/>
      <x:c r="W506" s="59"/>
      <x:c r="X506" s="59"/>
      <x:c r="Y506" s="59"/>
      <x:c r="Z506" s="59"/>
      <x:c r="AA506" s="8" t="str">
        <x:f>IF(C506="ไม่ทราบ","",SUMIFS($K$7:$Z$7,K506:Z506,"&lt;&gt;N/A"))</x:f>
      </x:c>
      <x:c r="AB506" s="8" t="str">
        <x:f>IF(AND(OR(AND(C506="จำหน่ายอาหาร",ISNUMBER(K506),L506="N/A"),AND(C506="ไม่จำหน่ายอาหาร",K506="N/A",ISNUMBER(L506)),AND(C506="มัสยิด",K506="N/A",L506="N/A",X506="N/A")),COUNT(K506:Z506)+COUNTIFS(K506:Z506,"N/A")=16),SUM(K506:Z506),"")</x:f>
      </x:c>
      <x:c r="AC506" s="62" t="str">
        <x:f>IF(OR(AB506="",AA506&lt;=0),"",ROUND(AB506/AA506*100,1))</x:f>
      </x:c>
      <x:c r="AD506" s="8" t="str">
        <x:f>IF(COUNTIFS(D506:H506,"ไม่ผ่าน")&gt;0,"ไม่ผ่าน",IF(COUNTIFS(D506:H506,"ไม่ทราบ")+COUNTBLANK(D506:H506)&gt;0,"รอยืนยัน","ผ่าน"))</x:f>
        <x:v>รอยืนยัน</x:v>
      </x:c>
      <x:c r="AE506" s="8" t="str">
        <x:f>IF(AF506="ใช่","ไม่ผ่านการคัดเลือก",IF(AND(AD506="ผ่าน",ISNUMBER(AC506),AC506&gt;=70),"พร้อมขาย",IF(OR(J506="ใช่",AND(ISNUMBER(AC506),AC506&gt;=50)),"พัฒนาเพื่อพร้อมขาย",IF(AND(ISNUMBER(AC506),AC506&lt;50,I506&gt;=1),"มีศักยภาพ แต่ต้องพัฒนามาตรฐาน","รอประเมิน"))))</x:f>
        <x:v>รอประเมิน</x:v>
      </x:c>
      <x:c r="AF506" s="59" t="str">
        <x:v>ไม่ทราบ</x:v>
      </x:c>
      <x:c r="AG506" s="8" t="str">
        <x:f>IF(AF506="ใช่","หัวหน้าทีมพิจารณาเหตุไม่ผ่าน",IF(OR(AA506&lt;=0,NOT(OR(AND(C506="จำหน่ายอาหาร",ISNUMBER(K506),L506="N/A"),AND(C506="ไม่จำหน่ายอาหาร",K506="N/A",ISNUMBER(L506)),AND(C506="มัสยิด",K506="N/A",L506="N/A",X506="N/A"))),AD506="รอยืนยัน",COUNT(K506:Z506)+COUNTIFS(K506:Z506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6" s="59" t="str"/>
      <x:c r="AI506" s="61"/>
    </x:row>
    <x:row r="507" ht="60" customHeight="1">
      <x:c r="A507" s="2" t="str">
        <x:v>R26-215</x:v>
      </x:c>
      <x:c r="B507" s="8" t="str">
        <x:v>ชุมชนบ้านปากประ</x:v>
      </x:c>
      <x:c r="C507" s="59" t="str">
        <x:v>ไม่ทราบ</x:v>
      </x:c>
      <x:c r="D507" s="59" t="str">
        <x:v>ไม่ทราบ</x:v>
      </x:c>
      <x:c r="E507" s="59" t="str">
        <x:v>ไม่ทราบ</x:v>
      </x:c>
      <x:c r="F507" s="59" t="str">
        <x:v>ไม่ทราบ</x:v>
      </x:c>
      <x:c r="G507" s="59" t="str">
        <x:v>ไม่ทราบ</x:v>
      </x:c>
      <x:c r="H507" s="59" t="str">
        <x:v>N/A</x:v>
      </x:c>
      <x:c r="I507" s="59"/>
      <x:c r="J507" s="59" t="str">
        <x:v>ไม่ทราบ</x:v>
      </x:c>
      <x:c r="K507" s="59"/>
      <x:c r="L507" s="59"/>
      <x:c r="M507" s="59"/>
      <x:c r="N507" s="59"/>
      <x:c r="O507" s="59"/>
      <x:c r="P507" s="59"/>
      <x:c r="Q507" s="59"/>
      <x:c r="R507" s="59"/>
      <x:c r="S507" s="59"/>
      <x:c r="T507" s="59"/>
      <x:c r="U507" s="59"/>
      <x:c r="V507" s="59"/>
      <x:c r="W507" s="59"/>
      <x:c r="X507" s="59"/>
      <x:c r="Y507" s="59"/>
      <x:c r="Z507" s="59"/>
      <x:c r="AA507" s="8" t="str">
        <x:f>IF(C507="ไม่ทราบ","",SUMIFS($K$7:$Z$7,K507:Z507,"&lt;&gt;N/A"))</x:f>
      </x:c>
      <x:c r="AB507" s="8" t="str">
        <x:f>IF(AND(OR(AND(C507="จำหน่ายอาหาร",ISNUMBER(K507),L507="N/A"),AND(C507="ไม่จำหน่ายอาหาร",K507="N/A",ISNUMBER(L507)),AND(C507="มัสยิด",K507="N/A",L507="N/A",X507="N/A")),COUNT(K507:Z507)+COUNTIFS(K507:Z507,"N/A")=16),SUM(K507:Z507),"")</x:f>
      </x:c>
      <x:c r="AC507" s="62" t="str">
        <x:f>IF(OR(AB507="",AA507&lt;=0),"",ROUND(AB507/AA507*100,1))</x:f>
      </x:c>
      <x:c r="AD507" s="8" t="str">
        <x:f>IF(COUNTIFS(D507:H507,"ไม่ผ่าน")&gt;0,"ไม่ผ่าน",IF(COUNTIFS(D507:H507,"ไม่ทราบ")+COUNTBLANK(D507:H507)&gt;0,"รอยืนยัน","ผ่าน"))</x:f>
        <x:v>รอยืนยัน</x:v>
      </x:c>
      <x:c r="AE507" s="8" t="str">
        <x:f>IF(AF507="ใช่","ไม่ผ่านการคัดเลือก",IF(AND(AD507="ผ่าน",ISNUMBER(AC507),AC507&gt;=70),"พร้อมขาย",IF(OR(J507="ใช่",AND(ISNUMBER(AC507),AC507&gt;=50)),"พัฒนาเพื่อพร้อมขาย",IF(AND(ISNUMBER(AC507),AC507&lt;50,I507&gt;=1),"มีศักยภาพ แต่ต้องพัฒนามาตรฐาน","รอประเมิน"))))</x:f>
        <x:v>รอประเมิน</x:v>
      </x:c>
      <x:c r="AF507" s="59" t="str">
        <x:v>ไม่ทราบ</x:v>
      </x:c>
      <x:c r="AG507" s="8" t="str">
        <x:f>IF(AF507="ใช่","หัวหน้าทีมพิจารณาเหตุไม่ผ่าน",IF(OR(AA507&lt;=0,NOT(OR(AND(C507="จำหน่ายอาหาร",ISNUMBER(K507),L507="N/A"),AND(C507="ไม่จำหน่ายอาหาร",K507="N/A",ISNUMBER(L507)),AND(C507="มัสยิด",K507="N/A",L507="N/A",X507="N/A"))),AD507="รอยืนยัน",COUNT(K507:Z507)+COUNTIFS(K507:Z507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7" s="59" t="str"/>
      <x:c r="AI507" s="61"/>
    </x:row>
    <x:row r="508" ht="60" customHeight="1">
      <x:c r="A508" s="2" t="str">
        <x:v>R26-213</x:v>
      </x:c>
      <x:c r="B508" s="8" t="str">
        <x:v>ชุมชนบ้านลำปำ</x:v>
      </x:c>
      <x:c r="C508" s="59" t="str">
        <x:v>ไม่ทราบ</x:v>
      </x:c>
      <x:c r="D508" s="59" t="str">
        <x:v>ไม่ทราบ</x:v>
      </x:c>
      <x:c r="E508" s="59" t="str">
        <x:v>ไม่ทราบ</x:v>
      </x:c>
      <x:c r="F508" s="59" t="str">
        <x:v>ไม่ทราบ</x:v>
      </x:c>
      <x:c r="G508" s="59" t="str">
        <x:v>ไม่ทราบ</x:v>
      </x:c>
      <x:c r="H508" s="59" t="str">
        <x:v>N/A</x:v>
      </x:c>
      <x:c r="I508" s="59"/>
      <x:c r="J508" s="59" t="str">
        <x:v>ไม่ทราบ</x:v>
      </x:c>
      <x:c r="K508" s="59"/>
      <x:c r="L508" s="59"/>
      <x:c r="M508" s="59"/>
      <x:c r="N508" s="59"/>
      <x:c r="O508" s="59"/>
      <x:c r="P508" s="59"/>
      <x:c r="Q508" s="59"/>
      <x:c r="R508" s="59"/>
      <x:c r="S508" s="59"/>
      <x:c r="T508" s="59"/>
      <x:c r="U508" s="59"/>
      <x:c r="V508" s="59"/>
      <x:c r="W508" s="59"/>
      <x:c r="X508" s="59"/>
      <x:c r="Y508" s="59"/>
      <x:c r="Z508" s="59"/>
      <x:c r="AA508" s="8" t="str">
        <x:f>IF(C508="ไม่ทราบ","",SUMIFS($K$7:$Z$7,K508:Z508,"&lt;&gt;N/A"))</x:f>
      </x:c>
      <x:c r="AB508" s="8" t="str">
        <x:f>IF(AND(OR(AND(C508="จำหน่ายอาหาร",ISNUMBER(K508),L508="N/A"),AND(C508="ไม่จำหน่ายอาหาร",K508="N/A",ISNUMBER(L508)),AND(C508="มัสยิด",K508="N/A",L508="N/A",X508="N/A")),COUNT(K508:Z508)+COUNTIFS(K508:Z508,"N/A")=16),SUM(K508:Z508),"")</x:f>
      </x:c>
      <x:c r="AC508" s="62" t="str">
        <x:f>IF(OR(AB508="",AA508&lt;=0),"",ROUND(AB508/AA508*100,1))</x:f>
      </x:c>
      <x:c r="AD508" s="8" t="str">
        <x:f>IF(COUNTIFS(D508:H508,"ไม่ผ่าน")&gt;0,"ไม่ผ่าน",IF(COUNTIFS(D508:H508,"ไม่ทราบ")+COUNTBLANK(D508:H508)&gt;0,"รอยืนยัน","ผ่าน"))</x:f>
        <x:v>รอยืนยัน</x:v>
      </x:c>
      <x:c r="AE508" s="8" t="str">
        <x:f>IF(AF508="ใช่","ไม่ผ่านการคัดเลือก",IF(AND(AD508="ผ่าน",ISNUMBER(AC508),AC508&gt;=70),"พร้อมขาย",IF(OR(J508="ใช่",AND(ISNUMBER(AC508),AC508&gt;=50)),"พัฒนาเพื่อพร้อมขาย",IF(AND(ISNUMBER(AC508),AC508&lt;50,I508&gt;=1),"มีศักยภาพ แต่ต้องพัฒนามาตรฐาน","รอประเมิน"))))</x:f>
        <x:v>รอประเมิน</x:v>
      </x:c>
      <x:c r="AF508" s="59" t="str">
        <x:v>ไม่ทราบ</x:v>
      </x:c>
      <x:c r="AG508" s="8" t="str">
        <x:f>IF(AF508="ใช่","หัวหน้าทีมพิจารณาเหตุไม่ผ่าน",IF(OR(AA508&lt;=0,NOT(OR(AND(C508="จำหน่ายอาหาร",ISNUMBER(K508),L508="N/A"),AND(C508="ไม่จำหน่ายอาหาร",K508="N/A",ISNUMBER(L508)),AND(C508="มัสยิด",K508="N/A",L508="N/A",X508="N/A"))),AD508="รอยืนยัน",COUNT(K508:Z508)+COUNTIFS(K508:Z508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8" s="59" t="str"/>
      <x:c r="AI508" s="61"/>
    </x:row>
    <x:row r="509" ht="60" customHeight="1">
      <x:c r="A509" s="2" t="str">
        <x:v>R26-331</x:v>
      </x:c>
      <x:c r="B509" s="8" t="str">
        <x:v>ชุมชนบ้านหัวป่าเขียว</x:v>
      </x:c>
      <x:c r="C509" s="59" t="str">
        <x:v>ไม่ทราบ</x:v>
      </x:c>
      <x:c r="D509" s="59" t="str">
        <x:v>ไม่ทราบ</x:v>
      </x:c>
      <x:c r="E509" s="59" t="str">
        <x:v>ไม่ทราบ</x:v>
      </x:c>
      <x:c r="F509" s="59" t="str">
        <x:v>ไม่ทราบ</x:v>
      </x:c>
      <x:c r="G509" s="59" t="str">
        <x:v>ไม่ทราบ</x:v>
      </x:c>
      <x:c r="H509" s="59" t="str">
        <x:v>N/A</x:v>
      </x:c>
      <x:c r="I509" s="59"/>
      <x:c r="J509" s="59" t="str">
        <x:v>ไม่ทราบ</x:v>
      </x:c>
      <x:c r="K509" s="59"/>
      <x:c r="L509" s="59"/>
      <x:c r="M509" s="59"/>
      <x:c r="N509" s="59"/>
      <x:c r="O509" s="59"/>
      <x:c r="P509" s="59"/>
      <x:c r="Q509" s="59"/>
      <x:c r="R509" s="59"/>
      <x:c r="S509" s="59"/>
      <x:c r="T509" s="59"/>
      <x:c r="U509" s="59"/>
      <x:c r="V509" s="59"/>
      <x:c r="W509" s="59"/>
      <x:c r="X509" s="59"/>
      <x:c r="Y509" s="59"/>
      <x:c r="Z509" s="59"/>
      <x:c r="AA509" s="8" t="str">
        <x:f>IF(C509="ไม่ทราบ","",SUMIFS($K$7:$Z$7,K509:Z509,"&lt;&gt;N/A"))</x:f>
      </x:c>
      <x:c r="AB509" s="8" t="str">
        <x:f>IF(AND(OR(AND(C509="จำหน่ายอาหาร",ISNUMBER(K509),L509="N/A"),AND(C509="ไม่จำหน่ายอาหาร",K509="N/A",ISNUMBER(L509)),AND(C509="มัสยิด",K509="N/A",L509="N/A",X509="N/A")),COUNT(K509:Z509)+COUNTIFS(K509:Z509,"N/A")=16),SUM(K509:Z509),"")</x:f>
      </x:c>
      <x:c r="AC509" s="62" t="str">
        <x:f>IF(OR(AB509="",AA509&lt;=0),"",ROUND(AB509/AA509*100,1))</x:f>
      </x:c>
      <x:c r="AD509" s="8" t="str">
        <x:f>IF(COUNTIFS(D509:H509,"ไม่ผ่าน")&gt;0,"ไม่ผ่าน",IF(COUNTIFS(D509:H509,"ไม่ทราบ")+COUNTBLANK(D509:H509)&gt;0,"รอยืนยัน","ผ่าน"))</x:f>
        <x:v>รอยืนยัน</x:v>
      </x:c>
      <x:c r="AE509" s="8" t="str">
        <x:f>IF(AF509="ใช่","ไม่ผ่านการคัดเลือก",IF(AND(AD509="ผ่าน",ISNUMBER(AC509),AC509&gt;=70),"พร้อมขาย",IF(OR(J509="ใช่",AND(ISNUMBER(AC509),AC509&gt;=50)),"พัฒนาเพื่อพร้อมขาย",IF(AND(ISNUMBER(AC509),AC509&lt;50,I509&gt;=1),"มีศักยภาพ แต่ต้องพัฒนามาตรฐาน","รอประเมิน"))))</x:f>
        <x:v>รอประเมิน</x:v>
      </x:c>
      <x:c r="AF509" s="59" t="str">
        <x:v>ไม่ทราบ</x:v>
      </x:c>
      <x:c r="AG509" s="8" t="str">
        <x:f>IF(AF509="ใช่","หัวหน้าทีมพิจารณาเหตุไม่ผ่าน",IF(OR(AA509&lt;=0,NOT(OR(AND(C509="จำหน่ายอาหาร",ISNUMBER(K509),L509="N/A"),AND(C509="ไม่จำหน่ายอาหาร",K509="N/A",ISNUMBER(L509)),AND(C509="มัสยิด",K509="N/A",L509="N/A",X509="N/A"))),AD509="รอยืนยัน",COUNT(K509:Z509)+COUNTIFS(K509:Z509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09" s="59" t="str"/>
      <x:c r="AI509" s="61"/>
    </x:row>
    <x:row r="510" ht="60" customHeight="1">
      <x:c r="A510" s="2" t="str">
        <x:v>R26-216</x:v>
      </x:c>
      <x:c r="B510" s="8" t="str">
        <x:v>นาโปแก</x:v>
      </x:c>
      <x:c r="C510" s="59" t="str">
        <x:v>ไม่ทราบ</x:v>
      </x:c>
      <x:c r="D510" s="59" t="str">
        <x:v>ไม่ทราบ</x:v>
      </x:c>
      <x:c r="E510" s="59" t="str">
        <x:v>ไม่ทราบ</x:v>
      </x:c>
      <x:c r="F510" s="59" t="str">
        <x:v>ไม่ทราบ</x:v>
      </x:c>
      <x:c r="G510" s="59" t="str">
        <x:v>ไม่ทราบ</x:v>
      </x:c>
      <x:c r="H510" s="59" t="str">
        <x:v>N/A</x:v>
      </x:c>
      <x:c r="I510" s="59"/>
      <x:c r="J510" s="59" t="str">
        <x:v>ไม่ทราบ</x:v>
      </x:c>
      <x:c r="K510" s="59"/>
      <x:c r="L510" s="59"/>
      <x:c r="M510" s="59"/>
      <x:c r="N510" s="59"/>
      <x:c r="O510" s="59"/>
      <x:c r="P510" s="59"/>
      <x:c r="Q510" s="59"/>
      <x:c r="R510" s="59"/>
      <x:c r="S510" s="59"/>
      <x:c r="T510" s="59"/>
      <x:c r="U510" s="59"/>
      <x:c r="V510" s="59"/>
      <x:c r="W510" s="59"/>
      <x:c r="X510" s="59"/>
      <x:c r="Y510" s="59"/>
      <x:c r="Z510" s="59"/>
      <x:c r="AA510" s="8" t="str">
        <x:f>IF(C510="ไม่ทราบ","",SUMIFS($K$7:$Z$7,K510:Z510,"&lt;&gt;N/A"))</x:f>
      </x:c>
      <x:c r="AB510" s="8" t="str">
        <x:f>IF(AND(OR(AND(C510="จำหน่ายอาหาร",ISNUMBER(K510),L510="N/A"),AND(C510="ไม่จำหน่ายอาหาร",K510="N/A",ISNUMBER(L510)),AND(C510="มัสยิด",K510="N/A",L510="N/A",X510="N/A")),COUNT(K510:Z510)+COUNTIFS(K510:Z510,"N/A")=16),SUM(K510:Z510),"")</x:f>
      </x:c>
      <x:c r="AC510" s="62" t="str">
        <x:f>IF(OR(AB510="",AA510&lt;=0),"",ROUND(AB510/AA510*100,1))</x:f>
      </x:c>
      <x:c r="AD510" s="8" t="str">
        <x:f>IF(COUNTIFS(D510:H510,"ไม่ผ่าน")&gt;0,"ไม่ผ่าน",IF(COUNTIFS(D510:H510,"ไม่ทราบ")+COUNTBLANK(D510:H510)&gt;0,"รอยืนยัน","ผ่าน"))</x:f>
        <x:v>รอยืนยัน</x:v>
      </x:c>
      <x:c r="AE510" s="8" t="str">
        <x:f>IF(AF510="ใช่","ไม่ผ่านการคัดเลือก",IF(AND(AD510="ผ่าน",ISNUMBER(AC510),AC510&gt;=70),"พร้อมขาย",IF(OR(J510="ใช่",AND(ISNUMBER(AC510),AC510&gt;=50)),"พัฒนาเพื่อพร้อมขาย",IF(AND(ISNUMBER(AC510),AC510&lt;50,I510&gt;=1),"มีศักยภาพ แต่ต้องพัฒนามาตรฐาน","รอประเมิน"))))</x:f>
        <x:v>รอประเมิน</x:v>
      </x:c>
      <x:c r="AF510" s="59" t="str">
        <x:v>ไม่ทราบ</x:v>
      </x:c>
      <x:c r="AG510" s="8" t="str">
        <x:f>IF(AF510="ใช่","หัวหน้าทีมพิจารณาเหตุไม่ผ่าน",IF(OR(AA510&lt;=0,NOT(OR(AND(C510="จำหน่ายอาหาร",ISNUMBER(K510),L510="N/A"),AND(C510="ไม่จำหน่ายอาหาร",K510="N/A",ISNUMBER(L510)),AND(C510="มัสยิด",K510="N/A",L510="N/A",X510="N/A"))),AD510="รอยืนยัน",COUNT(K510:Z510)+COUNTIFS(K510:Z510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0" s="59" t="str"/>
      <x:c r="AI510" s="61"/>
    </x:row>
    <x:row r="511" ht="60" customHeight="1">
      <x:c r="A511" s="2" t="str">
        <x:v>R26-311</x:v>
      </x:c>
      <x:c r="B511" s="8" t="str">
        <x:v>หลาดป่าไผ่สร้างสุข</x:v>
      </x:c>
      <x:c r="C511" s="59" t="str">
        <x:v>ไม่ทราบ</x:v>
      </x:c>
      <x:c r="D511" s="59" t="str">
        <x:v>ไม่ทราบ</x:v>
      </x:c>
      <x:c r="E511" s="59" t="str">
        <x:v>ไม่ทราบ</x:v>
      </x:c>
      <x:c r="F511" s="59" t="str">
        <x:v>ไม่ทราบ</x:v>
      </x:c>
      <x:c r="G511" s="59" t="str">
        <x:v>ไม่ทราบ</x:v>
      </x:c>
      <x:c r="H511" s="59" t="str">
        <x:v>N/A</x:v>
      </x:c>
      <x:c r="I511" s="59"/>
      <x:c r="J511" s="59" t="str">
        <x:v>ไม่ทราบ</x:v>
      </x:c>
      <x:c r="K511" s="59"/>
      <x:c r="L511" s="59"/>
      <x:c r="M511" s="59"/>
      <x:c r="N511" s="59"/>
      <x:c r="O511" s="59"/>
      <x:c r="P511" s="59"/>
      <x:c r="Q511" s="59"/>
      <x:c r="R511" s="59"/>
      <x:c r="S511" s="59"/>
      <x:c r="T511" s="59"/>
      <x:c r="U511" s="59"/>
      <x:c r="V511" s="59"/>
      <x:c r="W511" s="59"/>
      <x:c r="X511" s="59"/>
      <x:c r="Y511" s="59"/>
      <x:c r="Z511" s="59"/>
      <x:c r="AA511" s="8" t="str">
        <x:f>IF(C511="ไม่ทราบ","",SUMIFS($K$7:$Z$7,K511:Z511,"&lt;&gt;N/A"))</x:f>
      </x:c>
      <x:c r="AB511" s="8" t="str">
        <x:f>IF(AND(OR(AND(C511="จำหน่ายอาหาร",ISNUMBER(K511),L511="N/A"),AND(C511="ไม่จำหน่ายอาหาร",K511="N/A",ISNUMBER(L511)),AND(C511="มัสยิด",K511="N/A",L511="N/A",X511="N/A")),COUNT(K511:Z511)+COUNTIFS(K511:Z511,"N/A")=16),SUM(K511:Z511),"")</x:f>
      </x:c>
      <x:c r="AC511" s="62" t="str">
        <x:f>IF(OR(AB511="",AA511&lt;=0),"",ROUND(AB511/AA511*100,1))</x:f>
      </x:c>
      <x:c r="AD511" s="8" t="str">
        <x:f>IF(COUNTIFS(D511:H511,"ไม่ผ่าน")&gt;0,"ไม่ผ่าน",IF(COUNTIFS(D511:H511,"ไม่ทราบ")+COUNTBLANK(D511:H511)&gt;0,"รอยืนยัน","ผ่าน"))</x:f>
        <x:v>รอยืนยัน</x:v>
      </x:c>
      <x:c r="AE511" s="8" t="str">
        <x:f>IF(AF511="ใช่","ไม่ผ่านการคัดเลือก",IF(AND(AD511="ผ่าน",ISNUMBER(AC511),AC511&gt;=70),"พร้อมขาย",IF(OR(J511="ใช่",AND(ISNUMBER(AC511),AC511&gt;=50)),"พัฒนาเพื่อพร้อมขาย",IF(AND(ISNUMBER(AC511),AC511&lt;50,I511&gt;=1),"มีศักยภาพ แต่ต้องพัฒนามาตรฐาน","รอประเมิน"))))</x:f>
        <x:v>รอประเมิน</x:v>
      </x:c>
      <x:c r="AF511" s="59" t="str">
        <x:v>ไม่ทราบ</x:v>
      </x:c>
      <x:c r="AG511" s="8" t="str">
        <x:f>IF(AF511="ใช่","หัวหน้าทีมพิจารณาเหตุไม่ผ่าน",IF(OR(AA511&lt;=0,NOT(OR(AND(C511="จำหน่ายอาหาร",ISNUMBER(K511),L511="N/A"),AND(C511="ไม่จำหน่ายอาหาร",K511="N/A",ISNUMBER(L511)),AND(C511="มัสยิด",K511="N/A",L511="N/A",X511="N/A"))),AD511="รอยืนยัน",COUNT(K511:Z511)+COUNTIFS(K511:Z511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1" s="59" t="str"/>
      <x:c r="AI511" s="61"/>
    </x:row>
    <x:row r="512" ht="60" customHeight="1">
      <x:c r="A512" s="2" t="str">
        <x:v>TMF-127</x:v>
      </x:c>
      <x:c r="B512" s="8" t="str">
        <x:v>PICNIC CAMP เขายายเที่ยง</x:v>
      </x:c>
      <x:c r="C512" s="59" t="str">
        <x:v>ไม่ทราบ</x:v>
      </x:c>
      <x:c r="D512" s="59" t="str">
        <x:v>ไม่ทราบ</x:v>
      </x:c>
      <x:c r="E512" s="59" t="str">
        <x:v>ไม่ทราบ</x:v>
      </x:c>
      <x:c r="F512" s="59" t="str">
        <x:v>ไม่ทราบ</x:v>
      </x:c>
      <x:c r="G512" s="59" t="str">
        <x:v>ไม่ทราบ</x:v>
      </x:c>
      <x:c r="H512" s="59" t="str">
        <x:v>ไม่ทราบ</x:v>
      </x:c>
      <x:c r="I512" s="59"/>
      <x:c r="J512" s="59" t="str">
        <x:v>ไม่ทราบ</x:v>
      </x:c>
      <x:c r="K512" s="59"/>
      <x:c r="L512" s="59"/>
      <x:c r="M512" s="59"/>
      <x:c r="N512" s="59"/>
      <x:c r="O512" s="59"/>
      <x:c r="P512" s="59"/>
      <x:c r="Q512" s="59"/>
      <x:c r="R512" s="59"/>
      <x:c r="S512" s="59"/>
      <x:c r="T512" s="59"/>
      <x:c r="U512" s="59"/>
      <x:c r="V512" s="59"/>
      <x:c r="W512" s="59"/>
      <x:c r="X512" s="59"/>
      <x:c r="Y512" s="59"/>
      <x:c r="Z512" s="59"/>
      <x:c r="AA512" s="8" t="str">
        <x:f>IF(C512="ไม่ทราบ","",SUMIFS($K$7:$Z$7,K512:Z512,"&lt;&gt;N/A"))</x:f>
      </x:c>
      <x:c r="AB512" s="8" t="str">
        <x:f>IF(AND(OR(AND(C512="จำหน่ายอาหาร",ISNUMBER(K512),L512="N/A"),AND(C512="ไม่จำหน่ายอาหาร",K512="N/A",ISNUMBER(L512)),AND(C512="มัสยิด",K512="N/A",L512="N/A",X512="N/A")),COUNT(K512:Z512)+COUNTIFS(K512:Z512,"N/A")=16),SUM(K512:Z512),"")</x:f>
      </x:c>
      <x:c r="AC512" s="62" t="str">
        <x:f>IF(OR(AB512="",AA512&lt;=0),"",ROUND(AB512/AA512*100,1))</x:f>
      </x:c>
      <x:c r="AD512" s="8" t="str">
        <x:f>IF(COUNTIFS(D512:H512,"ไม่ผ่าน")&gt;0,"ไม่ผ่าน",IF(COUNTIFS(D512:H512,"ไม่ทราบ")+COUNTBLANK(D512:H512)&gt;0,"รอยืนยัน","ผ่าน"))</x:f>
        <x:v>รอยืนยัน</x:v>
      </x:c>
      <x:c r="AE512" s="8" t="str">
        <x:f>IF(AF512="ใช่","ไม่ผ่านการคัดเลือก",IF(AND(AD512="ผ่าน",ISNUMBER(AC512),AC512&gt;=70),"พร้อมขาย",IF(OR(J512="ใช่",AND(ISNUMBER(AC512),AC512&gt;=50)),"พัฒนาเพื่อพร้อมขาย",IF(AND(ISNUMBER(AC512),AC512&lt;50,I512&gt;=1),"มีศักยภาพ แต่ต้องพัฒนามาตรฐาน","รอประเมิน"))))</x:f>
        <x:v>รอประเมิน</x:v>
      </x:c>
      <x:c r="AF512" s="59" t="str">
        <x:v>ไม่ทราบ</x:v>
      </x:c>
      <x:c r="AG512" s="8" t="str">
        <x:f>IF(AF512="ใช่","หัวหน้าทีมพิจารณาเหตุไม่ผ่าน",IF(OR(AA512&lt;=0,NOT(OR(AND(C512="จำหน่ายอาหาร",ISNUMBER(K512),L512="N/A"),AND(C512="ไม่จำหน่ายอาหาร",K512="N/A",ISNUMBER(L512)),AND(C512="มัสยิด",K512="N/A",L512="N/A",X512="N/A"))),AD512="รอยืนยัน",COUNT(K512:Z512)+COUNTIFS(K512:Z512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2" s="59" t="str"/>
      <x:c r="AI512" s="61"/>
    </x:row>
    <x:row r="513" ht="60" customHeight="1">
      <x:c r="A513" s="2" t="str">
        <x:v>TMF-122</x:v>
      </x:c>
      <x:c r="B513" s="8" t="str">
        <x:v>ผาส่งตะวัน โฮมสเตย์</x:v>
      </x:c>
      <x:c r="C513" s="59" t="str">
        <x:v>ไม่ทราบ</x:v>
      </x:c>
      <x:c r="D513" s="59" t="str">
        <x:v>ไม่ทราบ</x:v>
      </x:c>
      <x:c r="E513" s="59" t="str">
        <x:v>ไม่ทราบ</x:v>
      </x:c>
      <x:c r="F513" s="59" t="str">
        <x:v>ไม่ทราบ</x:v>
      </x:c>
      <x:c r="G513" s="59" t="str">
        <x:v>ไม่ทราบ</x:v>
      </x:c>
      <x:c r="H513" s="59" t="str">
        <x:v>ไม่ทราบ</x:v>
      </x:c>
      <x:c r="I513" s="59"/>
      <x:c r="J513" s="59" t="str">
        <x:v>ไม่ทราบ</x:v>
      </x:c>
      <x:c r="K513" s="59"/>
      <x:c r="L513" s="59"/>
      <x:c r="M513" s="59"/>
      <x:c r="N513" s="59"/>
      <x:c r="O513" s="59"/>
      <x:c r="P513" s="59"/>
      <x:c r="Q513" s="59"/>
      <x:c r="R513" s="59"/>
      <x:c r="S513" s="59"/>
      <x:c r="T513" s="59"/>
      <x:c r="U513" s="59"/>
      <x:c r="V513" s="59"/>
      <x:c r="W513" s="59"/>
      <x:c r="X513" s="59"/>
      <x:c r="Y513" s="59"/>
      <x:c r="Z513" s="59"/>
      <x:c r="AA513" s="8" t="str">
        <x:f>IF(C513="ไม่ทราบ","",SUMIFS($K$7:$Z$7,K513:Z513,"&lt;&gt;N/A"))</x:f>
      </x:c>
      <x:c r="AB513" s="8" t="str">
        <x:f>IF(AND(OR(AND(C513="จำหน่ายอาหาร",ISNUMBER(K513),L513="N/A"),AND(C513="ไม่จำหน่ายอาหาร",K513="N/A",ISNUMBER(L513)),AND(C513="มัสยิด",K513="N/A",L513="N/A",X513="N/A")),COUNT(K513:Z513)+COUNTIFS(K513:Z513,"N/A")=16),SUM(K513:Z513),"")</x:f>
      </x:c>
      <x:c r="AC513" s="62" t="str">
        <x:f>IF(OR(AB513="",AA513&lt;=0),"",ROUND(AB513/AA513*100,1))</x:f>
      </x:c>
      <x:c r="AD513" s="8" t="str">
        <x:f>IF(COUNTIFS(D513:H513,"ไม่ผ่าน")&gt;0,"ไม่ผ่าน",IF(COUNTIFS(D513:H513,"ไม่ทราบ")+COUNTBLANK(D513:H513)&gt;0,"รอยืนยัน","ผ่าน"))</x:f>
        <x:v>รอยืนยัน</x:v>
      </x:c>
      <x:c r="AE513" s="8" t="str">
        <x:f>IF(AF513="ใช่","ไม่ผ่านการคัดเลือก",IF(AND(AD513="ผ่าน",ISNUMBER(AC513),AC513&gt;=70),"พร้อมขาย",IF(OR(J513="ใช่",AND(ISNUMBER(AC513),AC513&gt;=50)),"พัฒนาเพื่อพร้อมขาย",IF(AND(ISNUMBER(AC513),AC513&lt;50,I513&gt;=1),"มีศักยภาพ แต่ต้องพัฒนามาตรฐาน","รอประเมิน"))))</x:f>
        <x:v>รอประเมิน</x:v>
      </x:c>
      <x:c r="AF513" s="59" t="str">
        <x:v>ไม่ทราบ</x:v>
      </x:c>
      <x:c r="AG513" s="8" t="str">
        <x:f>IF(AF513="ใช่","หัวหน้าทีมพิจารณาเหตุไม่ผ่าน",IF(OR(AA513&lt;=0,NOT(OR(AND(C513="จำหน่ายอาหาร",ISNUMBER(K513),L513="N/A"),AND(C513="ไม่จำหน่ายอาหาร",K513="N/A",ISNUMBER(L513)),AND(C513="มัสยิด",K513="N/A",L513="N/A",X513="N/A"))),AD513="รอยืนยัน",COUNT(K513:Z513)+COUNTIFS(K513:Z513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3" s="59" t="str"/>
      <x:c r="AI513" s="61"/>
    </x:row>
    <x:row r="514" ht="60" customHeight="1">
      <x:c r="A514" s="2" t="str">
        <x:v>TMF-135</x:v>
      </x:c>
      <x:c r="B514" s="8" t="str">
        <x:v>ภูล้านดาวแคมป์ ณ เขายายเที่ยง</x:v>
      </x:c>
      <x:c r="C514" s="59" t="str">
        <x:v>ไม่ทราบ</x:v>
      </x:c>
      <x:c r="D514" s="59" t="str">
        <x:v>ไม่ทราบ</x:v>
      </x:c>
      <x:c r="E514" s="59" t="str">
        <x:v>ไม่ทราบ</x:v>
      </x:c>
      <x:c r="F514" s="59" t="str">
        <x:v>ไม่ทราบ</x:v>
      </x:c>
      <x:c r="G514" s="59" t="str">
        <x:v>ไม่ทราบ</x:v>
      </x:c>
      <x:c r="H514" s="59" t="str">
        <x:v>ไม่ทราบ</x:v>
      </x:c>
      <x:c r="I514" s="59"/>
      <x:c r="J514" s="59" t="str">
        <x:v>ไม่ทราบ</x:v>
      </x:c>
      <x:c r="K514" s="59"/>
      <x:c r="L514" s="59"/>
      <x:c r="M514" s="59"/>
      <x:c r="N514" s="59"/>
      <x:c r="O514" s="59"/>
      <x:c r="P514" s="59"/>
      <x:c r="Q514" s="59"/>
      <x:c r="R514" s="59"/>
      <x:c r="S514" s="59"/>
      <x:c r="T514" s="59"/>
      <x:c r="U514" s="59"/>
      <x:c r="V514" s="59"/>
      <x:c r="W514" s="59"/>
      <x:c r="X514" s="59"/>
      <x:c r="Y514" s="59"/>
      <x:c r="Z514" s="59"/>
      <x:c r="AA514" s="8" t="str">
        <x:f>IF(C514="ไม่ทราบ","",SUMIFS($K$7:$Z$7,K514:Z514,"&lt;&gt;N/A"))</x:f>
      </x:c>
      <x:c r="AB514" s="8" t="str">
        <x:f>IF(AND(OR(AND(C514="จำหน่ายอาหาร",ISNUMBER(K514),L514="N/A"),AND(C514="ไม่จำหน่ายอาหาร",K514="N/A",ISNUMBER(L514)),AND(C514="มัสยิด",K514="N/A",L514="N/A",X514="N/A")),COUNT(K514:Z514)+COUNTIFS(K514:Z514,"N/A")=16),SUM(K514:Z514),"")</x:f>
      </x:c>
      <x:c r="AC514" s="62" t="str">
        <x:f>IF(OR(AB514="",AA514&lt;=0),"",ROUND(AB514/AA514*100,1))</x:f>
      </x:c>
      <x:c r="AD514" s="8" t="str">
        <x:f>IF(COUNTIFS(D514:H514,"ไม่ผ่าน")&gt;0,"ไม่ผ่าน",IF(COUNTIFS(D514:H514,"ไม่ทราบ")+COUNTBLANK(D514:H514)&gt;0,"รอยืนยัน","ผ่าน"))</x:f>
        <x:v>รอยืนยัน</x:v>
      </x:c>
      <x:c r="AE514" s="8" t="str">
        <x:f>IF(AF514="ใช่","ไม่ผ่านการคัดเลือก",IF(AND(AD514="ผ่าน",ISNUMBER(AC514),AC514&gt;=70),"พร้อมขาย",IF(OR(J514="ใช่",AND(ISNUMBER(AC514),AC514&gt;=50)),"พัฒนาเพื่อพร้อมขาย",IF(AND(ISNUMBER(AC514),AC514&lt;50,I514&gt;=1),"มีศักยภาพ แต่ต้องพัฒนามาตรฐาน","รอประเมิน"))))</x:f>
        <x:v>รอประเมิน</x:v>
      </x:c>
      <x:c r="AF514" s="59" t="str">
        <x:v>ไม่ทราบ</x:v>
      </x:c>
      <x:c r="AG514" s="8" t="str">
        <x:f>IF(AF514="ใช่","หัวหน้าทีมพิจารณาเหตุไม่ผ่าน",IF(OR(AA514&lt;=0,NOT(OR(AND(C514="จำหน่ายอาหาร",ISNUMBER(K514),L514="N/A"),AND(C514="ไม่จำหน่ายอาหาร",K514="N/A",ISNUMBER(L514)),AND(C514="มัสยิด",K514="N/A",L514="N/A",X514="N/A"))),AD514="รอยืนยัน",COUNT(K514:Z514)+COUNTIFS(K514:Z514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4" s="59" t="str"/>
      <x:c r="AI514" s="61"/>
    </x:row>
    <x:row r="515" ht="60" customHeight="1">
      <x:c r="A515" s="2" t="str">
        <x:v>TMF-123</x:v>
      </x:c>
      <x:c r="B515" s="8" t="str">
        <x:v>ไร่จูซาโฮมสเตย์ เขายายเที่ยง</x:v>
      </x:c>
      <x:c r="C515" s="59" t="str">
        <x:v>ไม่ทราบ</x:v>
      </x:c>
      <x:c r="D515" s="59" t="str">
        <x:v>ไม่ทราบ</x:v>
      </x:c>
      <x:c r="E515" s="59" t="str">
        <x:v>ไม่ทราบ</x:v>
      </x:c>
      <x:c r="F515" s="59" t="str">
        <x:v>ไม่ทราบ</x:v>
      </x:c>
      <x:c r="G515" s="59" t="str">
        <x:v>ไม่ทราบ</x:v>
      </x:c>
      <x:c r="H515" s="59" t="str">
        <x:v>ไม่ทราบ</x:v>
      </x:c>
      <x:c r="I515" s="59"/>
      <x:c r="J515" s="59" t="str">
        <x:v>ไม่ทราบ</x:v>
      </x:c>
      <x:c r="K515" s="59"/>
      <x:c r="L515" s="59"/>
      <x:c r="M515" s="59"/>
      <x:c r="N515" s="59"/>
      <x:c r="O515" s="59"/>
      <x:c r="P515" s="59"/>
      <x:c r="Q515" s="59"/>
      <x:c r="R515" s="59"/>
      <x:c r="S515" s="59"/>
      <x:c r="T515" s="59"/>
      <x:c r="U515" s="59"/>
      <x:c r="V515" s="59"/>
      <x:c r="W515" s="59"/>
      <x:c r="X515" s="59"/>
      <x:c r="Y515" s="59"/>
      <x:c r="Z515" s="59"/>
      <x:c r="AA515" s="8" t="str">
        <x:f>IF(C515="ไม่ทราบ","",SUMIFS($K$7:$Z$7,K515:Z515,"&lt;&gt;N/A"))</x:f>
      </x:c>
      <x:c r="AB515" s="8" t="str">
        <x:f>IF(AND(OR(AND(C515="จำหน่ายอาหาร",ISNUMBER(K515),L515="N/A"),AND(C515="ไม่จำหน่ายอาหาร",K515="N/A",ISNUMBER(L515)),AND(C515="มัสยิด",K515="N/A",L515="N/A",X515="N/A")),COUNT(K515:Z515)+COUNTIFS(K515:Z515,"N/A")=16),SUM(K515:Z515),"")</x:f>
      </x:c>
      <x:c r="AC515" s="62" t="str">
        <x:f>IF(OR(AB515="",AA515&lt;=0),"",ROUND(AB515/AA515*100,1))</x:f>
      </x:c>
      <x:c r="AD515" s="8" t="str">
        <x:f>IF(COUNTIFS(D515:H515,"ไม่ผ่าน")&gt;0,"ไม่ผ่าน",IF(COUNTIFS(D515:H515,"ไม่ทราบ")+COUNTBLANK(D515:H515)&gt;0,"รอยืนยัน","ผ่าน"))</x:f>
        <x:v>รอยืนยัน</x:v>
      </x:c>
      <x:c r="AE515" s="8" t="str">
        <x:f>IF(AF515="ใช่","ไม่ผ่านการคัดเลือก",IF(AND(AD515="ผ่าน",ISNUMBER(AC515),AC515&gt;=70),"พร้อมขาย",IF(OR(J515="ใช่",AND(ISNUMBER(AC515),AC515&gt;=50)),"พัฒนาเพื่อพร้อมขาย",IF(AND(ISNUMBER(AC515),AC515&lt;50,I515&gt;=1),"มีศักยภาพ แต่ต้องพัฒนามาตรฐาน","รอประเมิน"))))</x:f>
        <x:v>รอประเมิน</x:v>
      </x:c>
      <x:c r="AF515" s="59" t="str">
        <x:v>ไม่ทราบ</x:v>
      </x:c>
      <x:c r="AG515" s="8" t="str">
        <x:f>IF(AF515="ใช่","หัวหน้าทีมพิจารณาเหตุไม่ผ่าน",IF(OR(AA515&lt;=0,NOT(OR(AND(C515="จำหน่ายอาหาร",ISNUMBER(K515),L515="N/A"),AND(C515="ไม่จำหน่ายอาหาร",K515="N/A",ISNUMBER(L515)),AND(C515="มัสยิด",K515="N/A",L515="N/A",X515="N/A"))),AD515="รอยืนยัน",COUNT(K515:Z515)+COUNTIFS(K515:Z515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5" s="59" t="str"/>
      <x:c r="AI515" s="61"/>
    </x:row>
    <x:row r="516" ht="60" customHeight="1">
      <x:c r="A516" s="2" t="str">
        <x:v>TMF-124</x:v>
      </x:c>
      <x:c r="B516" s="8" t="str">
        <x:v>Barakas By Asmar อิสลามตลาดแขก อ.ปากช่อง</x:v>
      </x:c>
      <x:c r="C516" s="59" t="str">
        <x:v>จำหน่ายอาหาร</x:v>
      </x:c>
      <x:c r="D516" s="59" t="str">
        <x:v>ไม่ทราบ</x:v>
      </x:c>
      <x:c r="E516" s="59" t="str">
        <x:v>ไม่ทราบ</x:v>
      </x:c>
      <x:c r="F516" s="59" t="str">
        <x:v>ไม่ทราบ</x:v>
      </x:c>
      <x:c r="G516" s="59" t="str">
        <x:v>ไม่ทราบ</x:v>
      </x:c>
      <x:c r="H516" s="59" t="str">
        <x:v>N/A</x:v>
      </x:c>
      <x:c r="I516" s="59"/>
      <x:c r="J516" s="59" t="str">
        <x:v>ไม่ทราบ</x:v>
      </x:c>
      <x:c r="K516" s="59"/>
      <x:c r="L516" s="59" t="str">
        <x:v>N/A</x:v>
      </x:c>
      <x:c r="M516" s="59"/>
      <x:c r="N516" s="59"/>
      <x:c r="O516" s="59"/>
      <x:c r="P516" s="59"/>
      <x:c r="Q516" s="59"/>
      <x:c r="R516" s="59"/>
      <x:c r="S516" s="59"/>
      <x:c r="T516" s="59"/>
      <x:c r="U516" s="59"/>
      <x:c r="V516" s="59"/>
      <x:c r="W516" s="59"/>
      <x:c r="X516" s="59"/>
      <x:c r="Y516" s="59"/>
      <x:c r="Z516" s="59"/>
      <x:c r="AA516" s="8" t="n">
        <x:f>IF(C516="ไม่ทราบ","",SUMIFS($K$7:$Z$7,K516:Z516,"&lt;&gt;N/A"))</x:f>
        <x:v>100</x:v>
      </x:c>
      <x:c r="AB516" s="8" t="str">
        <x:f>IF(AND(OR(AND(C516="จำหน่ายอาหาร",ISNUMBER(K516),L516="N/A"),AND(C516="ไม่จำหน่ายอาหาร",K516="N/A",ISNUMBER(L516)),AND(C516="มัสยิด",K516="N/A",L516="N/A",X516="N/A")),COUNT(K516:Z516)+COUNTIFS(K516:Z516,"N/A")=16),SUM(K516:Z516),"")</x:f>
      </x:c>
      <x:c r="AC516" s="62" t="str">
        <x:f>IF(OR(AB516="",AA516&lt;=0),"",ROUND(AB516/AA516*100,1))</x:f>
      </x:c>
      <x:c r="AD516" s="8" t="str">
        <x:f>IF(COUNTIFS(D516:H516,"ไม่ผ่าน")&gt;0,"ไม่ผ่าน",IF(COUNTIFS(D516:H516,"ไม่ทราบ")+COUNTBLANK(D516:H516)&gt;0,"รอยืนยัน","ผ่าน"))</x:f>
        <x:v>รอยืนยัน</x:v>
      </x:c>
      <x:c r="AE516" s="8" t="str">
        <x:f>IF(AF516="ใช่","ไม่ผ่านการคัดเลือก",IF(AND(AD516="ผ่าน",ISNUMBER(AC516),AC516&gt;=70),"พร้อมขาย",IF(OR(J516="ใช่",AND(ISNUMBER(AC516),AC516&gt;=50)),"พัฒนาเพื่อพร้อมขาย",IF(AND(ISNUMBER(AC516),AC516&lt;50,I516&gt;=1),"มีศักยภาพ แต่ต้องพัฒนามาตรฐาน","รอประเมิน"))))</x:f>
        <x:v>รอประเมิน</x:v>
      </x:c>
      <x:c r="AF516" s="59" t="str">
        <x:v>ไม่ทราบ</x:v>
      </x:c>
      <x:c r="AG516" s="8" t="str">
        <x:f>IF(AF516="ใช่","หัวหน้าทีมพิจารณาเหตุไม่ผ่าน",IF(OR(AA516&lt;=0,NOT(OR(AND(C516="จำหน่ายอาหาร",ISNUMBER(K516),L516="N/A"),AND(C516="ไม่จำหน่ายอาหาร",K516="N/A",ISNUMBER(L516)),AND(C516="มัสยิด",K516="N/A",L516="N/A",X516="N/A"))),AD516="รอยืนยัน",COUNT(K516:Z516)+COUNTIFS(K516:Z516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6" s="59" t="str"/>
      <x:c r="AI516" s="61"/>
    </x:row>
    <x:row r="517" ht="60" customHeight="1">
      <x:c r="A517" s="2" t="str">
        <x:v>TMF-125</x:v>
      </x:c>
      <x:c r="B517" s="8" t="str">
        <x:v>Cafe Style Chan Carpentry</x:v>
      </x:c>
      <x:c r="C517" s="59" t="str">
        <x:v>จำหน่ายอาหาร</x:v>
      </x:c>
      <x:c r="D517" s="59" t="str">
        <x:v>ไม่ทราบ</x:v>
      </x:c>
      <x:c r="E517" s="59" t="str">
        <x:v>ไม่ทราบ</x:v>
      </x:c>
      <x:c r="F517" s="59" t="str">
        <x:v>ไม่ทราบ</x:v>
      </x:c>
      <x:c r="G517" s="59" t="str">
        <x:v>ไม่ทราบ</x:v>
      </x:c>
      <x:c r="H517" s="59" t="str">
        <x:v>N/A</x:v>
      </x:c>
      <x:c r="I517" s="59"/>
      <x:c r="J517" s="59" t="str">
        <x:v>ไม่ทราบ</x:v>
      </x:c>
      <x:c r="K517" s="59"/>
      <x:c r="L517" s="59" t="str">
        <x:v>N/A</x:v>
      </x:c>
      <x:c r="M517" s="59"/>
      <x:c r="N517" s="59"/>
      <x:c r="O517" s="59"/>
      <x:c r="P517" s="59"/>
      <x:c r="Q517" s="59"/>
      <x:c r="R517" s="59"/>
      <x:c r="S517" s="59"/>
      <x:c r="T517" s="59"/>
      <x:c r="U517" s="59"/>
      <x:c r="V517" s="59"/>
      <x:c r="W517" s="59"/>
      <x:c r="X517" s="59"/>
      <x:c r="Y517" s="59"/>
      <x:c r="Z517" s="59"/>
      <x:c r="AA517" s="8" t="n">
        <x:f>IF(C517="ไม่ทราบ","",SUMIFS($K$7:$Z$7,K517:Z517,"&lt;&gt;N/A"))</x:f>
        <x:v>100</x:v>
      </x:c>
      <x:c r="AB517" s="8" t="str">
        <x:f>IF(AND(OR(AND(C517="จำหน่ายอาหาร",ISNUMBER(K517),L517="N/A"),AND(C517="ไม่จำหน่ายอาหาร",K517="N/A",ISNUMBER(L517)),AND(C517="มัสยิด",K517="N/A",L517="N/A",X517="N/A")),COUNT(K517:Z517)+COUNTIFS(K517:Z517,"N/A")=16),SUM(K517:Z517),"")</x:f>
      </x:c>
      <x:c r="AC517" s="62" t="str">
        <x:f>IF(OR(AB517="",AA517&lt;=0),"",ROUND(AB517/AA517*100,1))</x:f>
      </x:c>
      <x:c r="AD517" s="8" t="str">
        <x:f>IF(COUNTIFS(D517:H517,"ไม่ผ่าน")&gt;0,"ไม่ผ่าน",IF(COUNTIFS(D517:H517,"ไม่ทราบ")+COUNTBLANK(D517:H517)&gt;0,"รอยืนยัน","ผ่าน"))</x:f>
        <x:v>รอยืนยัน</x:v>
      </x:c>
      <x:c r="AE517" s="8" t="str">
        <x:f>IF(AF517="ใช่","ไม่ผ่านการคัดเลือก",IF(AND(AD517="ผ่าน",ISNUMBER(AC517),AC517&gt;=70),"พร้อมขาย",IF(OR(J517="ใช่",AND(ISNUMBER(AC517),AC517&gt;=50)),"พัฒนาเพื่อพร้อมขาย",IF(AND(ISNUMBER(AC517),AC517&lt;50,I517&gt;=1),"มีศักยภาพ แต่ต้องพัฒนามาตรฐาน","รอประเมิน"))))</x:f>
        <x:v>รอประเมิน</x:v>
      </x:c>
      <x:c r="AF517" s="59" t="str">
        <x:v>ไม่ทราบ</x:v>
      </x:c>
      <x:c r="AG517" s="8" t="str">
        <x:f>IF(AF517="ใช่","หัวหน้าทีมพิจารณาเหตุไม่ผ่าน",IF(OR(AA517&lt;=0,NOT(OR(AND(C517="จำหน่ายอาหาร",ISNUMBER(K517),L517="N/A"),AND(C517="ไม่จำหน่ายอาหาร",K517="N/A",ISNUMBER(L517)),AND(C517="มัสยิด",K517="N/A",L517="N/A",X517="N/A"))),AD517="รอยืนยัน",COUNT(K517:Z517)+COUNTIFS(K517:Z517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7" s="59" t="str"/>
      <x:c r="AI517" s="61"/>
    </x:row>
    <x:row r="518" ht="60" customHeight="1">
      <x:c r="A518" s="2" t="str">
        <x:v>TMF-126</x:v>
      </x:c>
      <x:c r="B518" s="8" t="str">
        <x:v>Halal ครัวบังบิ๊ก เขาใหญ่</x:v>
      </x:c>
      <x:c r="C518" s="59" t="str">
        <x:v>จำหน่ายอาหาร</x:v>
      </x:c>
      <x:c r="D518" s="59" t="str">
        <x:v>ไม่ทราบ</x:v>
      </x:c>
      <x:c r="E518" s="59" t="str">
        <x:v>ไม่ทราบ</x:v>
      </x:c>
      <x:c r="F518" s="59" t="str">
        <x:v>ไม่ทราบ</x:v>
      </x:c>
      <x:c r="G518" s="59" t="str">
        <x:v>ไม่ทราบ</x:v>
      </x:c>
      <x:c r="H518" s="59" t="str">
        <x:v>N/A</x:v>
      </x:c>
      <x:c r="I518" s="59"/>
      <x:c r="J518" s="59" t="str">
        <x:v>ไม่ทราบ</x:v>
      </x:c>
      <x:c r="K518" s="59"/>
      <x:c r="L518" s="59" t="str">
        <x:v>N/A</x:v>
      </x:c>
      <x:c r="M518" s="59"/>
      <x:c r="N518" s="59"/>
      <x:c r="O518" s="59"/>
      <x:c r="P518" s="59"/>
      <x:c r="Q518" s="59"/>
      <x:c r="R518" s="59"/>
      <x:c r="S518" s="59"/>
      <x:c r="T518" s="59"/>
      <x:c r="U518" s="59"/>
      <x:c r="V518" s="59"/>
      <x:c r="W518" s="59"/>
      <x:c r="X518" s="59"/>
      <x:c r="Y518" s="59"/>
      <x:c r="Z518" s="59"/>
      <x:c r="AA518" s="8" t="n">
        <x:f>IF(C518="ไม่ทราบ","",SUMIFS($K$7:$Z$7,K518:Z518,"&lt;&gt;N/A"))</x:f>
        <x:v>100</x:v>
      </x:c>
      <x:c r="AB518" s="8" t="str">
        <x:f>IF(AND(OR(AND(C518="จำหน่ายอาหาร",ISNUMBER(K518),L518="N/A"),AND(C518="ไม่จำหน่ายอาหาร",K518="N/A",ISNUMBER(L518)),AND(C518="มัสยิด",K518="N/A",L518="N/A",X518="N/A")),COUNT(K518:Z518)+COUNTIFS(K518:Z518,"N/A")=16),SUM(K518:Z518),"")</x:f>
      </x:c>
      <x:c r="AC518" s="62" t="str">
        <x:f>IF(OR(AB518="",AA518&lt;=0),"",ROUND(AB518/AA518*100,1))</x:f>
      </x:c>
      <x:c r="AD518" s="8" t="str">
        <x:f>IF(COUNTIFS(D518:H518,"ไม่ผ่าน")&gt;0,"ไม่ผ่าน",IF(COUNTIFS(D518:H518,"ไม่ทราบ")+COUNTBLANK(D518:H518)&gt;0,"รอยืนยัน","ผ่าน"))</x:f>
        <x:v>รอยืนยัน</x:v>
      </x:c>
      <x:c r="AE518" s="8" t="str">
        <x:f>IF(AF518="ใช่","ไม่ผ่านการคัดเลือก",IF(AND(AD518="ผ่าน",ISNUMBER(AC518),AC518&gt;=70),"พร้อมขาย",IF(OR(J518="ใช่",AND(ISNUMBER(AC518),AC518&gt;=50)),"พัฒนาเพื่อพร้อมขาย",IF(AND(ISNUMBER(AC518),AC518&lt;50,I518&gt;=1),"มีศักยภาพ แต่ต้องพัฒนามาตรฐาน","รอประเมิน"))))</x:f>
        <x:v>รอประเมิน</x:v>
      </x:c>
      <x:c r="AF518" s="59" t="str">
        <x:v>ไม่ทราบ</x:v>
      </x:c>
      <x:c r="AG518" s="8" t="str">
        <x:f>IF(AF518="ใช่","หัวหน้าทีมพิจารณาเหตุไม่ผ่าน",IF(OR(AA518&lt;=0,NOT(OR(AND(C518="จำหน่ายอาหาร",ISNUMBER(K518),L518="N/A"),AND(C518="ไม่จำหน่ายอาหาร",K518="N/A",ISNUMBER(L518)),AND(C518="มัสยิด",K518="N/A",L518="N/A",X518="N/A"))),AD518="รอยืนยัน",COUNT(K518:Z518)+COUNTIFS(K518:Z518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8" s="59" t="str"/>
      <x:c r="AI518" s="61"/>
    </x:row>
    <x:row r="519" ht="60" customHeight="1">
      <x:c r="A519" s="2" t="str">
        <x:v>TMF-128</x:v>
      </x:c>
      <x:c r="B519" s="8" t="str">
        <x:v>SALASA HALAL KHAOYAI</x:v>
      </x:c>
      <x:c r="C519" s="59" t="str">
        <x:v>จำหน่ายอาหาร</x:v>
      </x:c>
      <x:c r="D519" s="59" t="str">
        <x:v>ไม่ทราบ</x:v>
      </x:c>
      <x:c r="E519" s="59" t="str">
        <x:v>ไม่ทราบ</x:v>
      </x:c>
      <x:c r="F519" s="59" t="str">
        <x:v>ไม่ทราบ</x:v>
      </x:c>
      <x:c r="G519" s="59" t="str">
        <x:v>ไม่ทราบ</x:v>
      </x:c>
      <x:c r="H519" s="59" t="str">
        <x:v>N/A</x:v>
      </x:c>
      <x:c r="I519" s="59"/>
      <x:c r="J519" s="59" t="str">
        <x:v>ไม่ทราบ</x:v>
      </x:c>
      <x:c r="K519" s="59"/>
      <x:c r="L519" s="59" t="str">
        <x:v>N/A</x:v>
      </x:c>
      <x:c r="M519" s="59"/>
      <x:c r="N519" s="59"/>
      <x:c r="O519" s="59"/>
      <x:c r="P519" s="59"/>
      <x:c r="Q519" s="59"/>
      <x:c r="R519" s="59"/>
      <x:c r="S519" s="59"/>
      <x:c r="T519" s="59"/>
      <x:c r="U519" s="59"/>
      <x:c r="V519" s="59"/>
      <x:c r="W519" s="59"/>
      <x:c r="X519" s="59"/>
      <x:c r="Y519" s="59"/>
      <x:c r="Z519" s="59"/>
      <x:c r="AA519" s="8" t="n">
        <x:f>IF(C519="ไม่ทราบ","",SUMIFS($K$7:$Z$7,K519:Z519,"&lt;&gt;N/A"))</x:f>
        <x:v>100</x:v>
      </x:c>
      <x:c r="AB519" s="8" t="str">
        <x:f>IF(AND(OR(AND(C519="จำหน่ายอาหาร",ISNUMBER(K519),L519="N/A"),AND(C519="ไม่จำหน่ายอาหาร",K519="N/A",ISNUMBER(L519)),AND(C519="มัสยิด",K519="N/A",L519="N/A",X519="N/A")),COUNT(K519:Z519)+COUNTIFS(K519:Z519,"N/A")=16),SUM(K519:Z519),"")</x:f>
      </x:c>
      <x:c r="AC519" s="62" t="str">
        <x:f>IF(OR(AB519="",AA519&lt;=0),"",ROUND(AB519/AA519*100,1))</x:f>
      </x:c>
      <x:c r="AD519" s="8" t="str">
        <x:f>IF(COUNTIFS(D519:H519,"ไม่ผ่าน")&gt;0,"ไม่ผ่าน",IF(COUNTIFS(D519:H519,"ไม่ทราบ")+COUNTBLANK(D519:H519)&gt;0,"รอยืนยัน","ผ่าน"))</x:f>
        <x:v>รอยืนยัน</x:v>
      </x:c>
      <x:c r="AE519" s="8" t="str">
        <x:f>IF(AF519="ใช่","ไม่ผ่านการคัดเลือก",IF(AND(AD519="ผ่าน",ISNUMBER(AC519),AC519&gt;=70),"พร้อมขาย",IF(OR(J519="ใช่",AND(ISNUMBER(AC519),AC519&gt;=50)),"พัฒนาเพื่อพร้อมขาย",IF(AND(ISNUMBER(AC519),AC519&lt;50,I519&gt;=1),"มีศักยภาพ แต่ต้องพัฒนามาตรฐาน","รอประเมิน"))))</x:f>
        <x:v>รอประเมิน</x:v>
      </x:c>
      <x:c r="AF519" s="59" t="str">
        <x:v>ไม่ทราบ</x:v>
      </x:c>
      <x:c r="AG519" s="8" t="str">
        <x:f>IF(AF519="ใช่","หัวหน้าทีมพิจารณาเหตุไม่ผ่าน",IF(OR(AA519&lt;=0,NOT(OR(AND(C519="จำหน่ายอาหาร",ISNUMBER(K519),L519="N/A"),AND(C519="ไม่จำหน่ายอาหาร",K519="N/A",ISNUMBER(L519)),AND(C519="มัสยิด",K519="N/A",L519="N/A",X519="N/A"))),AD519="รอยืนยัน",COUNT(K519:Z519)+COUNTIFS(K519:Z519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19" s="59" t="str"/>
      <x:c r="AI519" s="61"/>
    </x:row>
    <x:row r="520" ht="60" customHeight="1">
      <x:c r="A520" s="2" t="str">
        <x:v>R26-360</x:v>
      </x:c>
      <x:c r="B520" s="8" t="str">
        <x:v>ครัวนาคนาวา ข้าวหมกไฮโซ เขาใหญ่</x:v>
      </x:c>
      <x:c r="C520" s="59" t="str">
        <x:v>จำหน่ายอาหาร</x:v>
      </x:c>
      <x:c r="D520" s="59" t="str">
        <x:v>ไม่ทราบ</x:v>
      </x:c>
      <x:c r="E520" s="59" t="str">
        <x:v>ไม่ทราบ</x:v>
      </x:c>
      <x:c r="F520" s="59" t="str">
        <x:v>ไม่ทราบ</x:v>
      </x:c>
      <x:c r="G520" s="59" t="str">
        <x:v>ไม่ทราบ</x:v>
      </x:c>
      <x:c r="H520" s="59" t="str">
        <x:v>N/A</x:v>
      </x:c>
      <x:c r="I520" s="59"/>
      <x:c r="J520" s="59" t="str">
        <x:v>ไม่ทราบ</x:v>
      </x:c>
      <x:c r="K520" s="59"/>
      <x:c r="L520" s="59" t="str">
        <x:v>N/A</x:v>
      </x:c>
      <x:c r="M520" s="59"/>
      <x:c r="N520" s="59"/>
      <x:c r="O520" s="59"/>
      <x:c r="P520" s="59"/>
      <x:c r="Q520" s="59"/>
      <x:c r="R520" s="59"/>
      <x:c r="S520" s="59"/>
      <x:c r="T520" s="59"/>
      <x:c r="U520" s="59"/>
      <x:c r="V520" s="59"/>
      <x:c r="W520" s="59"/>
      <x:c r="X520" s="59"/>
      <x:c r="Y520" s="59"/>
      <x:c r="Z520" s="59"/>
      <x:c r="AA520" s="8" t="n">
        <x:f>IF(C520="ไม่ทราบ","",SUMIFS($K$7:$Z$7,K520:Z520,"&lt;&gt;N/A"))</x:f>
        <x:v>100</x:v>
      </x:c>
      <x:c r="AB520" s="8" t="str">
        <x:f>IF(AND(OR(AND(C520="จำหน่ายอาหาร",ISNUMBER(K520),L520="N/A"),AND(C520="ไม่จำหน่ายอาหาร",K520="N/A",ISNUMBER(L520)),AND(C520="มัสยิด",K520="N/A",L520="N/A",X520="N/A")),COUNT(K520:Z520)+COUNTIFS(K520:Z520,"N/A")=16),SUM(K520:Z520),"")</x:f>
      </x:c>
      <x:c r="AC520" s="62" t="str">
        <x:f>IF(OR(AB520="",AA520&lt;=0),"",ROUND(AB520/AA520*100,1))</x:f>
      </x:c>
      <x:c r="AD520" s="8" t="str">
        <x:f>IF(COUNTIFS(D520:H520,"ไม่ผ่าน")&gt;0,"ไม่ผ่าน",IF(COUNTIFS(D520:H520,"ไม่ทราบ")+COUNTBLANK(D520:H520)&gt;0,"รอยืนยัน","ผ่าน"))</x:f>
        <x:v>รอยืนยัน</x:v>
      </x:c>
      <x:c r="AE520" s="8" t="str">
        <x:f>IF(AF520="ใช่","ไม่ผ่านการคัดเลือก",IF(AND(AD520="ผ่าน",ISNUMBER(AC520),AC520&gt;=70),"พร้อมขาย",IF(OR(J520="ใช่",AND(ISNUMBER(AC520),AC520&gt;=50)),"พัฒนาเพื่อพร้อมขาย",IF(AND(ISNUMBER(AC520),AC520&lt;50,I520&gt;=1),"มีศักยภาพ แต่ต้องพัฒนามาตรฐาน","รอประเมิน"))))</x:f>
        <x:v>รอประเมิน</x:v>
      </x:c>
      <x:c r="AF520" s="59" t="str">
        <x:v>ไม่ทราบ</x:v>
      </x:c>
      <x:c r="AG520" s="8" t="str">
        <x:f>IF(AF520="ใช่","หัวหน้าทีมพิจารณาเหตุไม่ผ่าน",IF(OR(AA520&lt;=0,NOT(OR(AND(C520="จำหน่ายอาหาร",ISNUMBER(K520),L520="N/A"),AND(C520="ไม่จำหน่ายอาหาร",K520="N/A",ISNUMBER(L520)),AND(C520="มัสยิด",K520="N/A",L520="N/A",X520="N/A"))),AD520="รอยืนยัน",COUNT(K520:Z520)+COUNTIFS(K520:Z520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0" s="59" t="str"/>
      <x:c r="AI520" s="61"/>
    </x:row>
    <x:row r="521" ht="60" customHeight="1">
      <x:c r="A521" s="2" t="str">
        <x:v>TMF-130</x:v>
      </x:c>
      <x:c r="B521" s="8" t="str">
        <x:v>ครัวอินดี้เขาใหญ่ อาหารปักษ์ใต้ ฮาลาล</x:v>
      </x:c>
      <x:c r="C521" s="59" t="str">
        <x:v>จำหน่ายอาหาร</x:v>
      </x:c>
      <x:c r="D521" s="59" t="str">
        <x:v>ไม่ทราบ</x:v>
      </x:c>
      <x:c r="E521" s="59" t="str">
        <x:v>ไม่ทราบ</x:v>
      </x:c>
      <x:c r="F521" s="59" t="str">
        <x:v>ไม่ทราบ</x:v>
      </x:c>
      <x:c r="G521" s="59" t="str">
        <x:v>ไม่ทราบ</x:v>
      </x:c>
      <x:c r="H521" s="59" t="str">
        <x:v>N/A</x:v>
      </x:c>
      <x:c r="I521" s="59"/>
      <x:c r="J521" s="59" t="str">
        <x:v>ไม่ทราบ</x:v>
      </x:c>
      <x:c r="K521" s="59"/>
      <x:c r="L521" s="59" t="str">
        <x:v>N/A</x:v>
      </x:c>
      <x:c r="M521" s="59"/>
      <x:c r="N521" s="59"/>
      <x:c r="O521" s="59"/>
      <x:c r="P521" s="59"/>
      <x:c r="Q521" s="59"/>
      <x:c r="R521" s="59"/>
      <x:c r="S521" s="59"/>
      <x:c r="T521" s="59"/>
      <x:c r="U521" s="59"/>
      <x:c r="V521" s="59"/>
      <x:c r="W521" s="59"/>
      <x:c r="X521" s="59"/>
      <x:c r="Y521" s="59"/>
      <x:c r="Z521" s="59"/>
      <x:c r="AA521" s="8" t="n">
        <x:f>IF(C521="ไม่ทราบ","",SUMIFS($K$7:$Z$7,K521:Z521,"&lt;&gt;N/A"))</x:f>
        <x:v>100</x:v>
      </x:c>
      <x:c r="AB521" s="8" t="str">
        <x:f>IF(AND(OR(AND(C521="จำหน่ายอาหาร",ISNUMBER(K521),L521="N/A"),AND(C521="ไม่จำหน่ายอาหาร",K521="N/A",ISNUMBER(L521)),AND(C521="มัสยิด",K521="N/A",L521="N/A",X521="N/A")),COUNT(K521:Z521)+COUNTIFS(K521:Z521,"N/A")=16),SUM(K521:Z521),"")</x:f>
      </x:c>
      <x:c r="AC521" s="62" t="str">
        <x:f>IF(OR(AB521="",AA521&lt;=0),"",ROUND(AB521/AA521*100,1))</x:f>
      </x:c>
      <x:c r="AD521" s="8" t="str">
        <x:f>IF(COUNTIFS(D521:H521,"ไม่ผ่าน")&gt;0,"ไม่ผ่าน",IF(COUNTIFS(D521:H521,"ไม่ทราบ")+COUNTBLANK(D521:H521)&gt;0,"รอยืนยัน","ผ่าน"))</x:f>
        <x:v>รอยืนยัน</x:v>
      </x:c>
      <x:c r="AE521" s="8" t="str">
        <x:f>IF(AF521="ใช่","ไม่ผ่านการคัดเลือก",IF(AND(AD521="ผ่าน",ISNUMBER(AC521),AC521&gt;=70),"พร้อมขาย",IF(OR(J521="ใช่",AND(ISNUMBER(AC521),AC521&gt;=50)),"พัฒนาเพื่อพร้อมขาย",IF(AND(ISNUMBER(AC521),AC521&lt;50,I521&gt;=1),"มีศักยภาพ แต่ต้องพัฒนามาตรฐาน","รอประเมิน"))))</x:f>
        <x:v>รอประเมิน</x:v>
      </x:c>
      <x:c r="AF521" s="59" t="str">
        <x:v>ไม่ทราบ</x:v>
      </x:c>
      <x:c r="AG521" s="8" t="str">
        <x:f>IF(AF521="ใช่","หัวหน้าทีมพิจารณาเหตุไม่ผ่าน",IF(OR(AA521&lt;=0,NOT(OR(AND(C521="จำหน่ายอาหาร",ISNUMBER(K521),L521="N/A"),AND(C521="ไม่จำหน่ายอาหาร",K521="N/A",ISNUMBER(L521)),AND(C521="มัสยิด",K521="N/A",L521="N/A",X521="N/A"))),AD521="รอยืนยัน",COUNT(K521:Z521)+COUNTIFS(K521:Z521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1" s="59" t="str"/>
      <x:c r="AI521" s="61"/>
    </x:row>
    <x:row r="522" ht="60" customHeight="1">
      <x:c r="A522" s="2" t="str">
        <x:v>TMF-131</x:v>
      </x:c>
      <x:c r="B522" s="8" t="str">
        <x:v>บ้านกังหันวัลเล่ย์ แคมป์ปิ้ง&amp;ฮาลาลฟู้ด</x:v>
      </x:c>
      <x:c r="C522" s="59" t="str">
        <x:v>จำหน่ายอาหาร</x:v>
      </x:c>
      <x:c r="D522" s="59" t="str">
        <x:v>ไม่ทราบ</x:v>
      </x:c>
      <x:c r="E522" s="59" t="str">
        <x:v>ไม่ทราบ</x:v>
      </x:c>
      <x:c r="F522" s="59" t="str">
        <x:v>ไม่ทราบ</x:v>
      </x:c>
      <x:c r="G522" s="59" t="str">
        <x:v>ไม่ทราบ</x:v>
      </x:c>
      <x:c r="H522" s="59" t="str">
        <x:v>N/A</x:v>
      </x:c>
      <x:c r="I522" s="59"/>
      <x:c r="J522" s="59" t="str">
        <x:v>ไม่ทราบ</x:v>
      </x:c>
      <x:c r="K522" s="59"/>
      <x:c r="L522" s="59" t="str">
        <x:v>N/A</x:v>
      </x:c>
      <x:c r="M522" s="59"/>
      <x:c r="N522" s="59"/>
      <x:c r="O522" s="59"/>
      <x:c r="P522" s="59"/>
      <x:c r="Q522" s="59"/>
      <x:c r="R522" s="59"/>
      <x:c r="S522" s="59"/>
      <x:c r="T522" s="59"/>
      <x:c r="U522" s="59"/>
      <x:c r="V522" s="59"/>
      <x:c r="W522" s="59"/>
      <x:c r="X522" s="59"/>
      <x:c r="Y522" s="59"/>
      <x:c r="Z522" s="59"/>
      <x:c r="AA522" s="8" t="n">
        <x:f>IF(C522="ไม่ทราบ","",SUMIFS($K$7:$Z$7,K522:Z522,"&lt;&gt;N/A"))</x:f>
        <x:v>100</x:v>
      </x:c>
      <x:c r="AB522" s="8" t="str">
        <x:f>IF(AND(OR(AND(C522="จำหน่ายอาหาร",ISNUMBER(K522),L522="N/A"),AND(C522="ไม่จำหน่ายอาหาร",K522="N/A",ISNUMBER(L522)),AND(C522="มัสยิด",K522="N/A",L522="N/A",X522="N/A")),COUNT(K522:Z522)+COUNTIFS(K522:Z522,"N/A")=16),SUM(K522:Z522),"")</x:f>
      </x:c>
      <x:c r="AC522" s="62" t="str">
        <x:f>IF(OR(AB522="",AA522&lt;=0),"",ROUND(AB522/AA522*100,1))</x:f>
      </x:c>
      <x:c r="AD522" s="8" t="str">
        <x:f>IF(COUNTIFS(D522:H522,"ไม่ผ่าน")&gt;0,"ไม่ผ่าน",IF(COUNTIFS(D522:H522,"ไม่ทราบ")+COUNTBLANK(D522:H522)&gt;0,"รอยืนยัน","ผ่าน"))</x:f>
        <x:v>รอยืนยัน</x:v>
      </x:c>
      <x:c r="AE522" s="8" t="str">
        <x:f>IF(AF522="ใช่","ไม่ผ่านการคัดเลือก",IF(AND(AD522="ผ่าน",ISNUMBER(AC522),AC522&gt;=70),"พร้อมขาย",IF(OR(J522="ใช่",AND(ISNUMBER(AC522),AC522&gt;=50)),"พัฒนาเพื่อพร้อมขาย",IF(AND(ISNUMBER(AC522),AC522&lt;50,I522&gt;=1),"มีศักยภาพ แต่ต้องพัฒนามาตรฐาน","รอประเมิน"))))</x:f>
        <x:v>รอประเมิน</x:v>
      </x:c>
      <x:c r="AF522" s="59" t="str">
        <x:v>ไม่ทราบ</x:v>
      </x:c>
      <x:c r="AG522" s="8" t="str">
        <x:f>IF(AF522="ใช่","หัวหน้าทีมพิจารณาเหตุไม่ผ่าน",IF(OR(AA522&lt;=0,NOT(OR(AND(C522="จำหน่ายอาหาร",ISNUMBER(K522),L522="N/A"),AND(C522="ไม่จำหน่ายอาหาร",K522="N/A",ISNUMBER(L522)),AND(C522="มัสยิด",K522="N/A",L522="N/A",X522="N/A"))),AD522="รอยืนยัน",COUNT(K522:Z522)+COUNTIFS(K522:Z522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2" s="59" t="str"/>
      <x:c r="AI522" s="61"/>
    </x:row>
    <x:row r="523" ht="60" customHeight="1">
      <x:c r="A523" s="2" t="str">
        <x:v>TMF-133</x:v>
      </x:c>
      <x:c r="B523" s="8" t="str">
        <x:v>ฟอสซิล แคมป์</x:v>
      </x:c>
      <x:c r="C523" s="59" t="str">
        <x:v>จำหน่ายอาหาร</x:v>
      </x:c>
      <x:c r="D523" s="59" t="str">
        <x:v>ไม่ทราบ</x:v>
      </x:c>
      <x:c r="E523" s="59" t="str">
        <x:v>ไม่ทราบ</x:v>
      </x:c>
      <x:c r="F523" s="59" t="str">
        <x:v>ไม่ทราบ</x:v>
      </x:c>
      <x:c r="G523" s="59" t="str">
        <x:v>ไม่ทราบ</x:v>
      </x:c>
      <x:c r="H523" s="59" t="str">
        <x:v>N/A</x:v>
      </x:c>
      <x:c r="I523" s="59"/>
      <x:c r="J523" s="59" t="str">
        <x:v>ไม่ทราบ</x:v>
      </x:c>
      <x:c r="K523" s="59"/>
      <x:c r="L523" s="59" t="str">
        <x:v>N/A</x:v>
      </x:c>
      <x:c r="M523" s="59"/>
      <x:c r="N523" s="59"/>
      <x:c r="O523" s="59"/>
      <x:c r="P523" s="59"/>
      <x:c r="Q523" s="59"/>
      <x:c r="R523" s="59"/>
      <x:c r="S523" s="59"/>
      <x:c r="T523" s="59"/>
      <x:c r="U523" s="59"/>
      <x:c r="V523" s="59"/>
      <x:c r="W523" s="59"/>
      <x:c r="X523" s="59"/>
      <x:c r="Y523" s="59"/>
      <x:c r="Z523" s="59"/>
      <x:c r="AA523" s="8" t="n">
        <x:f>IF(C523="ไม่ทราบ","",SUMIFS($K$7:$Z$7,K523:Z523,"&lt;&gt;N/A"))</x:f>
        <x:v>100</x:v>
      </x:c>
      <x:c r="AB523" s="8" t="str">
        <x:f>IF(AND(OR(AND(C523="จำหน่ายอาหาร",ISNUMBER(K523),L523="N/A"),AND(C523="ไม่จำหน่ายอาหาร",K523="N/A",ISNUMBER(L523)),AND(C523="มัสยิด",K523="N/A",L523="N/A",X523="N/A")),COUNT(K523:Z523)+COUNTIFS(K523:Z523,"N/A")=16),SUM(K523:Z523),"")</x:f>
      </x:c>
      <x:c r="AC523" s="62" t="str">
        <x:f>IF(OR(AB523="",AA523&lt;=0),"",ROUND(AB523/AA523*100,1))</x:f>
      </x:c>
      <x:c r="AD523" s="8" t="str">
        <x:f>IF(COUNTIFS(D523:H523,"ไม่ผ่าน")&gt;0,"ไม่ผ่าน",IF(COUNTIFS(D523:H523,"ไม่ทราบ")+COUNTBLANK(D523:H523)&gt;0,"รอยืนยัน","ผ่าน"))</x:f>
        <x:v>รอยืนยัน</x:v>
      </x:c>
      <x:c r="AE523" s="8" t="str">
        <x:f>IF(AF523="ใช่","ไม่ผ่านการคัดเลือก",IF(AND(AD523="ผ่าน",ISNUMBER(AC523),AC523&gt;=70),"พร้อมขาย",IF(OR(J523="ใช่",AND(ISNUMBER(AC523),AC523&gt;=50)),"พัฒนาเพื่อพร้อมขาย",IF(AND(ISNUMBER(AC523),AC523&lt;50,I523&gt;=1),"มีศักยภาพ แต่ต้องพัฒนามาตรฐาน","รอประเมิน"))))</x:f>
        <x:v>รอประเมิน</x:v>
      </x:c>
      <x:c r="AF523" s="59" t="str">
        <x:v>ไม่ทราบ</x:v>
      </x:c>
      <x:c r="AG523" s="8" t="str">
        <x:f>IF(AF523="ใช่","หัวหน้าทีมพิจารณาเหตุไม่ผ่าน",IF(OR(AA523&lt;=0,NOT(OR(AND(C523="จำหน่ายอาหาร",ISNUMBER(K523),L523="N/A"),AND(C523="ไม่จำหน่ายอาหาร",K523="N/A",ISNUMBER(L523)),AND(C523="มัสยิด",K523="N/A",L523="N/A",X523="N/A"))),AD523="รอยืนยัน",COUNT(K523:Z523)+COUNTIFS(K523:Z523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3" s="59" t="str"/>
      <x:c r="AI523" s="61"/>
    </x:row>
    <x:row r="524" ht="60" customHeight="1">
      <x:c r="A524" s="2" t="str">
        <x:v>R26-361</x:v>
      </x:c>
      <x:c r="B524" s="8" t="str">
        <x:v>ร้านอาหารอายะห์ ปากช่อง</x:v>
      </x:c>
      <x:c r="C524" s="59" t="str">
        <x:v>จำหน่ายอาหาร</x:v>
      </x:c>
      <x:c r="D524" s="59" t="str">
        <x:v>ไม่ทราบ</x:v>
      </x:c>
      <x:c r="E524" s="59" t="str">
        <x:v>ไม่ทราบ</x:v>
      </x:c>
      <x:c r="F524" s="59" t="str">
        <x:v>ไม่ทราบ</x:v>
      </x:c>
      <x:c r="G524" s="59" t="str">
        <x:v>ไม่ทราบ</x:v>
      </x:c>
      <x:c r="H524" s="59" t="str">
        <x:v>N/A</x:v>
      </x:c>
      <x:c r="I524" s="59"/>
      <x:c r="J524" s="59" t="str">
        <x:v>ไม่ทราบ</x:v>
      </x:c>
      <x:c r="K524" s="59"/>
      <x:c r="L524" s="59" t="str">
        <x:v>N/A</x:v>
      </x:c>
      <x:c r="M524" s="59"/>
      <x:c r="N524" s="59"/>
      <x:c r="O524" s="59"/>
      <x:c r="P524" s="59"/>
      <x:c r="Q524" s="59"/>
      <x:c r="R524" s="59"/>
      <x:c r="S524" s="59"/>
      <x:c r="T524" s="59"/>
      <x:c r="U524" s="59"/>
      <x:c r="V524" s="59"/>
      <x:c r="W524" s="59"/>
      <x:c r="X524" s="59"/>
      <x:c r="Y524" s="59"/>
      <x:c r="Z524" s="59"/>
      <x:c r="AA524" s="8" t="n">
        <x:f>IF(C524="ไม่ทราบ","",SUMIFS($K$7:$Z$7,K524:Z524,"&lt;&gt;N/A"))</x:f>
        <x:v>100</x:v>
      </x:c>
      <x:c r="AB524" s="8" t="str">
        <x:f>IF(AND(OR(AND(C524="จำหน่ายอาหาร",ISNUMBER(K524),L524="N/A"),AND(C524="ไม่จำหน่ายอาหาร",K524="N/A",ISNUMBER(L524)),AND(C524="มัสยิด",K524="N/A",L524="N/A",X524="N/A")),COUNT(K524:Z524)+COUNTIFS(K524:Z524,"N/A")=16),SUM(K524:Z524),"")</x:f>
      </x:c>
      <x:c r="AC524" s="62" t="str">
        <x:f>IF(OR(AB524="",AA524&lt;=0),"",ROUND(AB524/AA524*100,1))</x:f>
      </x:c>
      <x:c r="AD524" s="8" t="str">
        <x:f>IF(COUNTIFS(D524:H524,"ไม่ผ่าน")&gt;0,"ไม่ผ่าน",IF(COUNTIFS(D524:H524,"ไม่ทราบ")+COUNTBLANK(D524:H524)&gt;0,"รอยืนยัน","ผ่าน"))</x:f>
        <x:v>รอยืนยัน</x:v>
      </x:c>
      <x:c r="AE524" s="8" t="str">
        <x:f>IF(AF524="ใช่","ไม่ผ่านการคัดเลือก",IF(AND(AD524="ผ่าน",ISNUMBER(AC524),AC524&gt;=70),"พร้อมขาย",IF(OR(J524="ใช่",AND(ISNUMBER(AC524),AC524&gt;=50)),"พัฒนาเพื่อพร้อมขาย",IF(AND(ISNUMBER(AC524),AC524&lt;50,I524&gt;=1),"มีศักยภาพ แต่ต้องพัฒนามาตรฐาน","รอประเมิน"))))</x:f>
        <x:v>รอประเมิน</x:v>
      </x:c>
      <x:c r="AF524" s="59" t="str">
        <x:v>ไม่ทราบ</x:v>
      </x:c>
      <x:c r="AG524" s="8" t="str">
        <x:f>IF(AF524="ใช่","หัวหน้าทีมพิจารณาเหตุไม่ผ่าน",IF(OR(AA524&lt;=0,NOT(OR(AND(C524="จำหน่ายอาหาร",ISNUMBER(K524),L524="N/A"),AND(C524="ไม่จำหน่ายอาหาร",K524="N/A",ISNUMBER(L524)),AND(C524="มัสยิด",K524="N/A",L524="N/A",X524="N/A"))),AD524="รอยืนยัน",COUNT(K524:Z524)+COUNTIFS(K524:Z524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4" s="59" t="str"/>
      <x:c r="AI524" s="61"/>
    </x:row>
    <x:row r="525" ht="60" customHeight="1">
      <x:c r="A525" s="2" t="str">
        <x:v>R26-243</x:v>
      </x:c>
      <x:c r="B525" s="8" t="str">
        <x:v>น้ำผุดธรรมชาติบ้านท่าช้าง</x:v>
      </x:c>
      <x:c r="C525" s="59" t="str">
        <x:v>ไม่ทราบ</x:v>
      </x:c>
      <x:c r="D525" s="59" t="str">
        <x:v>ไม่ทราบ</x:v>
      </x:c>
      <x:c r="E525" s="59" t="str">
        <x:v>ไม่ทราบ</x:v>
      </x:c>
      <x:c r="F525" s="59" t="str">
        <x:v>ไม่ทราบ</x:v>
      </x:c>
      <x:c r="G525" s="59" t="str">
        <x:v>ไม่ทราบ</x:v>
      </x:c>
      <x:c r="H525" s="59" t="str">
        <x:v>N/A</x:v>
      </x:c>
      <x:c r="I525" s="59"/>
      <x:c r="J525" s="59" t="str">
        <x:v>ไม่ทราบ</x:v>
      </x:c>
      <x:c r="K525" s="59"/>
      <x:c r="L525" s="59"/>
      <x:c r="M525" s="59"/>
      <x:c r="N525" s="59"/>
      <x:c r="O525" s="59"/>
      <x:c r="P525" s="59"/>
      <x:c r="Q525" s="59"/>
      <x:c r="R525" s="59"/>
      <x:c r="S525" s="59"/>
      <x:c r="T525" s="59"/>
      <x:c r="U525" s="59"/>
      <x:c r="V525" s="59"/>
      <x:c r="W525" s="59"/>
      <x:c r="X525" s="59"/>
      <x:c r="Y525" s="59"/>
      <x:c r="Z525" s="59"/>
      <x:c r="AA525" s="8" t="str">
        <x:f>IF(C525="ไม่ทราบ","",SUMIFS($K$7:$Z$7,K525:Z525,"&lt;&gt;N/A"))</x:f>
      </x:c>
      <x:c r="AB525" s="8" t="str">
        <x:f>IF(AND(OR(AND(C525="จำหน่ายอาหาร",ISNUMBER(K525),L525="N/A"),AND(C525="ไม่จำหน่ายอาหาร",K525="N/A",ISNUMBER(L525)),AND(C525="มัสยิด",K525="N/A",L525="N/A",X525="N/A")),COUNT(K525:Z525)+COUNTIFS(K525:Z525,"N/A")=16),SUM(K525:Z525),"")</x:f>
      </x:c>
      <x:c r="AC525" s="62" t="str">
        <x:f>IF(OR(AB525="",AA525&lt;=0),"",ROUND(AB525/AA525*100,1))</x:f>
      </x:c>
      <x:c r="AD525" s="8" t="str">
        <x:f>IF(COUNTIFS(D525:H525,"ไม่ผ่าน")&gt;0,"ไม่ผ่าน",IF(COUNTIFS(D525:H525,"ไม่ทราบ")+COUNTBLANK(D525:H525)&gt;0,"รอยืนยัน","ผ่าน"))</x:f>
        <x:v>รอยืนยัน</x:v>
      </x:c>
      <x:c r="AE525" s="8" t="str">
        <x:f>IF(AF525="ใช่","ไม่ผ่านการคัดเลือก",IF(AND(AD525="ผ่าน",ISNUMBER(AC525),AC525&gt;=70),"พร้อมขาย",IF(OR(J525="ใช่",AND(ISNUMBER(AC525),AC525&gt;=50)),"พัฒนาเพื่อพร้อมขาย",IF(AND(ISNUMBER(AC525),AC525&lt;50,I525&gt;=1),"มีศักยภาพ แต่ต้องพัฒนามาตรฐาน","รอประเมิน"))))</x:f>
        <x:v>รอประเมิน</x:v>
      </x:c>
      <x:c r="AF525" s="59" t="str">
        <x:v>ไม่ทราบ</x:v>
      </x:c>
      <x:c r="AG525" s="8" t="str">
        <x:f>IF(AF525="ใช่","หัวหน้าทีมพิจารณาเหตุไม่ผ่าน",IF(OR(AA525&lt;=0,NOT(OR(AND(C525="จำหน่ายอาหาร",ISNUMBER(K525),L525="N/A"),AND(C525="ไม่จำหน่ายอาหาร",K525="N/A",ISNUMBER(L525)),AND(C525="มัสยิด",K525="N/A",L525="N/A",X525="N/A"))),AD525="รอยืนยัน",COUNT(K525:Z525)+COUNTIFS(K525:Z525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5" s="59" t="str"/>
      <x:c r="AI525" s="61"/>
    </x:row>
    <x:row r="526" ht="60" customHeight="1">
      <x:c r="A526" s="2" t="str">
        <x:v>R26-242</x:v>
      </x:c>
      <x:c r="B526" s="8" t="str">
        <x:v>อุทยานแห่งชาติเขาใหญ่</x:v>
      </x:c>
      <x:c r="C526" s="59" t="str">
        <x:v>ไม่ทราบ</x:v>
      </x:c>
      <x:c r="D526" s="59" t="str">
        <x:v>ไม่ทราบ</x:v>
      </x:c>
      <x:c r="E526" s="59" t="str">
        <x:v>ไม่ทราบ</x:v>
      </x:c>
      <x:c r="F526" s="59" t="str">
        <x:v>ไม่ทราบ</x:v>
      </x:c>
      <x:c r="G526" s="59" t="str">
        <x:v>ไม่ทราบ</x:v>
      </x:c>
      <x:c r="H526" s="59" t="str">
        <x:v>N/A</x:v>
      </x:c>
      <x:c r="I526" s="59"/>
      <x:c r="J526" s="59" t="str">
        <x:v>ไม่ทราบ</x:v>
      </x:c>
      <x:c r="K526" s="59"/>
      <x:c r="L526" s="59"/>
      <x:c r="M526" s="59"/>
      <x:c r="N526" s="59"/>
      <x:c r="O526" s="59"/>
      <x:c r="P526" s="59"/>
      <x:c r="Q526" s="59"/>
      <x:c r="R526" s="59"/>
      <x:c r="S526" s="59"/>
      <x:c r="T526" s="59"/>
      <x:c r="U526" s="59"/>
      <x:c r="V526" s="59"/>
      <x:c r="W526" s="59"/>
      <x:c r="X526" s="59"/>
      <x:c r="Y526" s="59"/>
      <x:c r="Z526" s="59"/>
      <x:c r="AA526" s="8" t="str">
        <x:f>IF(C526="ไม่ทราบ","",SUMIFS($K$7:$Z$7,K526:Z526,"&lt;&gt;N/A"))</x:f>
      </x:c>
      <x:c r="AB526" s="8" t="str">
        <x:f>IF(AND(OR(AND(C526="จำหน่ายอาหาร",ISNUMBER(K526),L526="N/A"),AND(C526="ไม่จำหน่ายอาหาร",K526="N/A",ISNUMBER(L526)),AND(C526="มัสยิด",K526="N/A",L526="N/A",X526="N/A")),COUNT(K526:Z526)+COUNTIFS(K526:Z526,"N/A")=16),SUM(K526:Z526),"")</x:f>
      </x:c>
      <x:c r="AC526" s="62" t="str">
        <x:f>IF(OR(AB526="",AA526&lt;=0),"",ROUND(AB526/AA526*100,1))</x:f>
      </x:c>
      <x:c r="AD526" s="8" t="str">
        <x:f>IF(COUNTIFS(D526:H526,"ไม่ผ่าน")&gt;0,"ไม่ผ่าน",IF(COUNTIFS(D526:H526,"ไม่ทราบ")+COUNTBLANK(D526:H526)&gt;0,"รอยืนยัน","ผ่าน"))</x:f>
        <x:v>รอยืนยัน</x:v>
      </x:c>
      <x:c r="AE526" s="8" t="str">
        <x:f>IF(AF526="ใช่","ไม่ผ่านการคัดเลือก",IF(AND(AD526="ผ่าน",ISNUMBER(AC526),AC526&gt;=70),"พร้อมขาย",IF(OR(J526="ใช่",AND(ISNUMBER(AC526),AC526&gt;=50)),"พัฒนาเพื่อพร้อมขาย",IF(AND(ISNUMBER(AC526),AC526&lt;50,I526&gt;=1),"มีศักยภาพ แต่ต้องพัฒนามาตรฐาน","รอประเมิน"))))</x:f>
        <x:v>รอประเมิน</x:v>
      </x:c>
      <x:c r="AF526" s="59" t="str">
        <x:v>ไม่ทราบ</x:v>
      </x:c>
      <x:c r="AG526" s="8" t="str">
        <x:f>IF(AF526="ใช่","หัวหน้าทีมพิจารณาเหตุไม่ผ่าน",IF(OR(AA526&lt;=0,NOT(OR(AND(C526="จำหน่ายอาหาร",ISNUMBER(K526),L526="N/A"),AND(C526="ไม่จำหน่ายอาหาร",K526="N/A",ISNUMBER(L526)),AND(C526="มัสยิด",K526="N/A",L526="N/A",X526="N/A"))),AD526="รอยืนยัน",COUNT(K526:Z526)+COUNTIFS(K526:Z526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6" s="59" t="str"/>
      <x:c r="AI526" s="61"/>
    </x:row>
    <x:row r="527" ht="60" customHeight="1">
      <x:c r="A527" s="2" t="str">
        <x:v>TMF-357</x:v>
      </x:c>
      <x:c r="B527" s="8" t="str">
        <x:v>มัสยิดญันน่าตุ้ลฟิรเดาซ์ (ปากช่อง)</x:v>
      </x:c>
      <x:c r="C527" s="59" t="str">
        <x:v>มัสยิด</x:v>
      </x:c>
      <x:c r="D527" s="59" t="str">
        <x:v>ไม่ทราบ</x:v>
      </x:c>
      <x:c r="E527" s="59" t="str">
        <x:v>ไม่ทราบ</x:v>
      </x:c>
      <x:c r="F527" s="59" t="str">
        <x:v>ไม่ทราบ</x:v>
      </x:c>
      <x:c r="G527" s="59" t="str">
        <x:v>N/A</x:v>
      </x:c>
      <x:c r="H527" s="59" t="str">
        <x:v>N/A</x:v>
      </x:c>
      <x:c r="I527" s="59"/>
      <x:c r="J527" s="59" t="str">
        <x:v>ไม่ทราบ</x:v>
      </x:c>
      <x:c r="K527" s="59" t="str">
        <x:v>N/A</x:v>
      </x:c>
      <x:c r="L527" s="59" t="str">
        <x:v>N/A</x:v>
      </x:c>
      <x:c r="M527" s="59"/>
      <x:c r="N527" s="59"/>
      <x:c r="O527" s="59"/>
      <x:c r="P527" s="59"/>
      <x:c r="Q527" s="59"/>
      <x:c r="R527" s="59"/>
      <x:c r="S527" s="59"/>
      <x:c r="T527" s="59"/>
      <x:c r="U527" s="59"/>
      <x:c r="V527" s="59"/>
      <x:c r="W527" s="59"/>
      <x:c r="X527" s="59" t="str">
        <x:v>N/A</x:v>
      </x:c>
      <x:c r="Y527" s="59"/>
      <x:c r="Z527" s="59"/>
      <x:c r="AA527" s="8" t="n">
        <x:f>IF(C527="ไม่ทราบ","",SUMIFS($K$7:$Z$7,K527:Z527,"&lt;&gt;N/A"))</x:f>
        <x:v>67</x:v>
      </x:c>
      <x:c r="AB527" s="8" t="str">
        <x:f>IF(AND(OR(AND(C527="จำหน่ายอาหาร",ISNUMBER(K527),L527="N/A"),AND(C527="ไม่จำหน่ายอาหาร",K527="N/A",ISNUMBER(L527)),AND(C527="มัสยิด",K527="N/A",L527="N/A",X527="N/A")),COUNT(K527:Z527)+COUNTIFS(K527:Z527,"N/A")=16),SUM(K527:Z527),"")</x:f>
      </x:c>
      <x:c r="AC527" s="62" t="str">
        <x:f>IF(OR(AB527="",AA527&lt;=0),"",ROUND(AB527/AA527*100,1))</x:f>
      </x:c>
      <x:c r="AD527" s="8" t="str">
        <x:f>IF(COUNTIFS(D527:H527,"ไม่ผ่าน")&gt;0,"ไม่ผ่าน",IF(COUNTIFS(D527:H527,"ไม่ทราบ")+COUNTBLANK(D527:H527)&gt;0,"รอยืนยัน","ผ่าน"))</x:f>
        <x:v>รอยืนยัน</x:v>
      </x:c>
      <x:c r="AE527" s="8" t="str">
        <x:f>IF(AF527="ใช่","ไม่ผ่านการคัดเลือก",IF(AND(AD527="ผ่าน",ISNUMBER(AC527),AC527&gt;=70),"พร้อมขาย",IF(OR(J527="ใช่",AND(ISNUMBER(AC527),AC527&gt;=50)),"พัฒนาเพื่อพร้อมขาย",IF(AND(ISNUMBER(AC527),AC527&lt;50,I527&gt;=1),"มีศักยภาพ แต่ต้องพัฒนามาตรฐาน","รอประเมิน"))))</x:f>
        <x:v>รอประเมิน</x:v>
      </x:c>
      <x:c r="AF527" s="59" t="str">
        <x:v>ไม่ทราบ</x:v>
      </x:c>
      <x:c r="AG527" s="8" t="str">
        <x:f>IF(AF527="ใช่","หัวหน้าทีมพิจารณาเหตุไม่ผ่าน",IF(OR(AA527&lt;=0,NOT(OR(AND(C527="จำหน่ายอาหาร",ISNUMBER(K527),L527="N/A"),AND(C527="ไม่จำหน่ายอาหาร",K527="N/A",ISNUMBER(L527)),AND(C527="มัสยิด",K527="N/A",L527="N/A",X527="N/A"))),AD527="รอยืนยัน",COUNT(K527:Z527)+COUNTIFS(K527:Z527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7" s="59" t="str"/>
      <x:c r="AI527" s="61"/>
    </x:row>
    <x:row r="528" ht="60" customHeight="1">
      <x:c r="A528" s="2" t="str">
        <x:v>R26-326</x:v>
      </x:c>
      <x:c r="B528" s="8" t="str">
        <x:v>Khao Yai Speedkart</x:v>
      </x:c>
      <x:c r="C528" s="59" t="str">
        <x:v>ไม่ทราบ</x:v>
      </x:c>
      <x:c r="D528" s="59" t="str">
        <x:v>ไม่ทราบ</x:v>
      </x:c>
      <x:c r="E528" s="59" t="str">
        <x:v>ไม่ทราบ</x:v>
      </x:c>
      <x:c r="F528" s="59" t="str">
        <x:v>ไม่ทราบ</x:v>
      </x:c>
      <x:c r="G528" s="59" t="str">
        <x:v>ไม่ทราบ</x:v>
      </x:c>
      <x:c r="H528" s="59" t="str">
        <x:v>N/A</x:v>
      </x:c>
      <x:c r="I528" s="59"/>
      <x:c r="J528" s="59" t="str">
        <x:v>ไม่ทราบ</x:v>
      </x:c>
      <x:c r="K528" s="59"/>
      <x:c r="L528" s="59"/>
      <x:c r="M528" s="59"/>
      <x:c r="N528" s="59"/>
      <x:c r="O528" s="59"/>
      <x:c r="P528" s="59"/>
      <x:c r="Q528" s="59"/>
      <x:c r="R528" s="59"/>
      <x:c r="S528" s="59"/>
      <x:c r="T528" s="59"/>
      <x:c r="U528" s="59"/>
      <x:c r="V528" s="59"/>
      <x:c r="W528" s="59"/>
      <x:c r="X528" s="59"/>
      <x:c r="Y528" s="59"/>
      <x:c r="Z528" s="59"/>
      <x:c r="AA528" s="8" t="str">
        <x:f>IF(C528="ไม่ทราบ","",SUMIFS($K$7:$Z$7,K528:Z528,"&lt;&gt;N/A"))</x:f>
      </x:c>
      <x:c r="AB528" s="8" t="str">
        <x:f>IF(AND(OR(AND(C528="จำหน่ายอาหาร",ISNUMBER(K528),L528="N/A"),AND(C528="ไม่จำหน่ายอาหาร",K528="N/A",ISNUMBER(L528)),AND(C528="มัสยิด",K528="N/A",L528="N/A",X528="N/A")),COUNT(K528:Z528)+COUNTIFS(K528:Z528,"N/A")=16),SUM(K528:Z528),"")</x:f>
      </x:c>
      <x:c r="AC528" s="62" t="str">
        <x:f>IF(OR(AB528="",AA528&lt;=0),"",ROUND(AB528/AA528*100,1))</x:f>
      </x:c>
      <x:c r="AD528" s="8" t="str">
        <x:f>IF(COUNTIFS(D528:H528,"ไม่ผ่าน")&gt;0,"ไม่ผ่าน",IF(COUNTIFS(D528:H528,"ไม่ทราบ")+COUNTBLANK(D528:H528)&gt;0,"รอยืนยัน","ผ่าน"))</x:f>
        <x:v>รอยืนยัน</x:v>
      </x:c>
      <x:c r="AE528" s="8" t="str">
        <x:f>IF(AF528="ใช่","ไม่ผ่านการคัดเลือก",IF(AND(AD528="ผ่าน",ISNUMBER(AC528),AC528&gt;=70),"พร้อมขาย",IF(OR(J528="ใช่",AND(ISNUMBER(AC528),AC528&gt;=50)),"พัฒนาเพื่อพร้อมขาย",IF(AND(ISNUMBER(AC528),AC528&lt;50,I528&gt;=1),"มีศักยภาพ แต่ต้องพัฒนามาตรฐาน","รอประเมิน"))))</x:f>
        <x:v>รอประเมิน</x:v>
      </x:c>
      <x:c r="AF528" s="59" t="str">
        <x:v>ไม่ทราบ</x:v>
      </x:c>
      <x:c r="AG528" s="8" t="str">
        <x:f>IF(AF528="ใช่","หัวหน้าทีมพิจารณาเหตุไม่ผ่าน",IF(OR(AA528&lt;=0,NOT(OR(AND(C528="จำหน่ายอาหาร",ISNUMBER(K528),L528="N/A"),AND(C528="ไม่จำหน่ายอาหาร",K528="N/A",ISNUMBER(L528)),AND(C528="มัสยิด",K528="N/A",L528="N/A",X528="N/A"))),AD528="รอยืนยัน",COUNT(K528:Z528)+COUNTIFS(K528:Z528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8" s="59" t="str"/>
      <x:c r="AI528" s="61"/>
    </x:row>
    <x:row r="529" ht="60" customHeight="1">
      <x:c r="A529" s="2" t="str">
        <x:v>R26-244</x:v>
      </x:c>
      <x:c r="B529" s="8" t="str">
        <x:v>ฟาร์มโชคชัย</x:v>
      </x:c>
      <x:c r="C529" s="59" t="str">
        <x:v>ไม่ทราบ</x:v>
      </x:c>
      <x:c r="D529" s="59" t="str">
        <x:v>ไม่ทราบ</x:v>
      </x:c>
      <x:c r="E529" s="59" t="str">
        <x:v>ไม่ทราบ</x:v>
      </x:c>
      <x:c r="F529" s="59" t="str">
        <x:v>ไม่ทราบ</x:v>
      </x:c>
      <x:c r="G529" s="59" t="str">
        <x:v>ไม่ทราบ</x:v>
      </x:c>
      <x:c r="H529" s="59" t="str">
        <x:v>N/A</x:v>
      </x:c>
      <x:c r="I529" s="59"/>
      <x:c r="J529" s="59" t="str">
        <x:v>ไม่ทราบ</x:v>
      </x:c>
      <x:c r="K529" s="59"/>
      <x:c r="L529" s="59"/>
      <x:c r="M529" s="59"/>
      <x:c r="N529" s="59"/>
      <x:c r="O529" s="59"/>
      <x:c r="P529" s="59"/>
      <x:c r="Q529" s="59"/>
      <x:c r="R529" s="59"/>
      <x:c r="S529" s="59"/>
      <x:c r="T529" s="59"/>
      <x:c r="U529" s="59"/>
      <x:c r="V529" s="59"/>
      <x:c r="W529" s="59"/>
      <x:c r="X529" s="59"/>
      <x:c r="Y529" s="59"/>
      <x:c r="Z529" s="59"/>
      <x:c r="AA529" s="8" t="str">
        <x:f>IF(C529="ไม่ทราบ","",SUMIFS($K$7:$Z$7,K529:Z529,"&lt;&gt;N/A"))</x:f>
      </x:c>
      <x:c r="AB529" s="8" t="str">
        <x:f>IF(AND(OR(AND(C529="จำหน่ายอาหาร",ISNUMBER(K529),L529="N/A"),AND(C529="ไม่จำหน่ายอาหาร",K529="N/A",ISNUMBER(L529)),AND(C529="มัสยิด",K529="N/A",L529="N/A",X529="N/A")),COUNT(K529:Z529)+COUNTIFS(K529:Z529,"N/A")=16),SUM(K529:Z529),"")</x:f>
      </x:c>
      <x:c r="AC529" s="62" t="str">
        <x:f>IF(OR(AB529="",AA529&lt;=0),"",ROUND(AB529/AA529*100,1))</x:f>
      </x:c>
      <x:c r="AD529" s="8" t="str">
        <x:f>IF(COUNTIFS(D529:H529,"ไม่ผ่าน")&gt;0,"ไม่ผ่าน",IF(COUNTIFS(D529:H529,"ไม่ทราบ")+COUNTBLANK(D529:H529)&gt;0,"รอยืนยัน","ผ่าน"))</x:f>
        <x:v>รอยืนยัน</x:v>
      </x:c>
      <x:c r="AE529" s="8" t="str">
        <x:f>IF(AF529="ใช่","ไม่ผ่านการคัดเลือก",IF(AND(AD529="ผ่าน",ISNUMBER(AC529),AC529&gt;=70),"พร้อมขาย",IF(OR(J529="ใช่",AND(ISNUMBER(AC529),AC529&gt;=50)),"พัฒนาเพื่อพร้อมขาย",IF(AND(ISNUMBER(AC529),AC529&lt;50,I529&gt;=1),"มีศักยภาพ แต่ต้องพัฒนามาตรฐาน","รอประเมิน"))))</x:f>
        <x:v>รอประเมิน</x:v>
      </x:c>
      <x:c r="AF529" s="59" t="str">
        <x:v>ไม่ทราบ</x:v>
      </x:c>
      <x:c r="AG529" s="8" t="str">
        <x:f>IF(AF529="ใช่","หัวหน้าทีมพิจารณาเหตุไม่ผ่าน",IF(OR(AA529&lt;=0,NOT(OR(AND(C529="จำหน่ายอาหาร",ISNUMBER(K529),L529="N/A"),AND(C529="ไม่จำหน่ายอาหาร",K529="N/A",ISNUMBER(L529)),AND(C529="มัสยิด",K529="N/A",L529="N/A",X529="N/A"))),AD529="รอยืนยัน",COUNT(K529:Z529)+COUNTIFS(K529:Z529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29" s="59" t="str"/>
      <x:c r="AI529" s="61"/>
    </x:row>
    <x:row r="530" ht="60" customHeight="1">
      <x:c r="A530" s="2" t="str">
        <x:v>R26-383</x:v>
      </x:c>
      <x:c r="B530" s="8" t="str">
        <x:v>Tanyong Hotel Narathiwat</x:v>
      </x:c>
      <x:c r="C530" s="59" t="str">
        <x:v>ไม่ทราบ</x:v>
      </x:c>
      <x:c r="D530" s="59" t="str">
        <x:v>ไม่ทราบ</x:v>
      </x:c>
      <x:c r="E530" s="59" t="str">
        <x:v>ไม่ทราบ</x:v>
      </x:c>
      <x:c r="F530" s="59" t="str">
        <x:v>ไม่ทราบ</x:v>
      </x:c>
      <x:c r="G530" s="59" t="str">
        <x:v>ไม่ทราบ</x:v>
      </x:c>
      <x:c r="H530" s="59" t="str">
        <x:v>ไม่ทราบ</x:v>
      </x:c>
      <x:c r="I530" s="59"/>
      <x:c r="J530" s="59" t="str">
        <x:v>ไม่ทราบ</x:v>
      </x:c>
      <x:c r="K530" s="59"/>
      <x:c r="L530" s="59"/>
      <x:c r="M530" s="59"/>
      <x:c r="N530" s="59"/>
      <x:c r="O530" s="59"/>
      <x:c r="P530" s="59"/>
      <x:c r="Q530" s="59"/>
      <x:c r="R530" s="59"/>
      <x:c r="S530" s="59"/>
      <x:c r="T530" s="59"/>
      <x:c r="U530" s="59"/>
      <x:c r="V530" s="59"/>
      <x:c r="W530" s="59"/>
      <x:c r="X530" s="59"/>
      <x:c r="Y530" s="59"/>
      <x:c r="Z530" s="59"/>
      <x:c r="AA530" s="8" t="str">
        <x:f>IF(C530="ไม่ทราบ","",SUMIFS($K$7:$Z$7,K530:Z530,"&lt;&gt;N/A"))</x:f>
      </x:c>
      <x:c r="AB530" s="8" t="str">
        <x:f>IF(AND(OR(AND(C530="จำหน่ายอาหาร",ISNUMBER(K530),L530="N/A"),AND(C530="ไม่จำหน่ายอาหาร",K530="N/A",ISNUMBER(L530)),AND(C530="มัสยิด",K530="N/A",L530="N/A",X530="N/A")),COUNT(K530:Z530)+COUNTIFS(K530:Z530,"N/A")=16),SUM(K530:Z530),"")</x:f>
      </x:c>
      <x:c r="AC530" s="62" t="str">
        <x:f>IF(OR(AB530="",AA530&lt;=0),"",ROUND(AB530/AA530*100,1))</x:f>
      </x:c>
      <x:c r="AD530" s="8" t="str">
        <x:f>IF(COUNTIFS(D530:H530,"ไม่ผ่าน")&gt;0,"ไม่ผ่าน",IF(COUNTIFS(D530:H530,"ไม่ทราบ")+COUNTBLANK(D530:H530)&gt;0,"รอยืนยัน","ผ่าน"))</x:f>
        <x:v>รอยืนยัน</x:v>
      </x:c>
      <x:c r="AE530" s="8" t="str">
        <x:f>IF(AF530="ใช่","ไม่ผ่านการคัดเลือก",IF(AND(AD530="ผ่าน",ISNUMBER(AC530),AC530&gt;=70),"พร้อมขาย",IF(OR(J530="ใช่",AND(ISNUMBER(AC530),AC530&gt;=50)),"พัฒนาเพื่อพร้อมขาย",IF(AND(ISNUMBER(AC530),AC530&lt;50,I530&gt;=1),"มีศักยภาพ แต่ต้องพัฒนามาตรฐาน","รอประเมิน"))))</x:f>
        <x:v>รอประเมิน</x:v>
      </x:c>
      <x:c r="AF530" s="59" t="str">
        <x:v>ไม่ทราบ</x:v>
      </x:c>
      <x:c r="AG530" s="8" t="str">
        <x:f>IF(AF530="ใช่","หัวหน้าทีมพิจารณาเหตุไม่ผ่าน",IF(OR(AA530&lt;=0,NOT(OR(AND(C530="จำหน่ายอาหาร",ISNUMBER(K530),L530="N/A"),AND(C530="ไม่จำหน่ายอาหาร",K530="N/A",ISNUMBER(L530)),AND(C530="มัสยิด",K530="N/A",L530="N/A",X530="N/A"))),AD530="รอยืนยัน",COUNT(K530:Z530)+COUNTIFS(K530:Z530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0" s="59" t="str"/>
      <x:c r="AI530" s="61"/>
    </x:row>
    <x:row r="531" ht="60" customHeight="1">
      <x:c r="A531" s="2" t="str">
        <x:v>TMF-365</x:v>
      </x:c>
      <x:c r="B531" s="8" t="str">
        <x:v>โรงแรมอิมพีเรียล นราธิวาส</x:v>
      </x:c>
      <x:c r="C531" s="59" t="str">
        <x:v>ไม่ทราบ</x:v>
      </x:c>
      <x:c r="D531" s="59" t="str">
        <x:v>ไม่ทราบ</x:v>
      </x:c>
      <x:c r="E531" s="59" t="str">
        <x:v>ไม่ทราบ</x:v>
      </x:c>
      <x:c r="F531" s="59" t="str">
        <x:v>ไม่ทราบ</x:v>
      </x:c>
      <x:c r="G531" s="59" t="str">
        <x:v>ไม่ทราบ</x:v>
      </x:c>
      <x:c r="H531" s="59" t="str">
        <x:v>ไม่ทราบ</x:v>
      </x:c>
      <x:c r="I531" s="59"/>
      <x:c r="J531" s="59" t="str">
        <x:v>ไม่ทราบ</x:v>
      </x:c>
      <x:c r="K531" s="59"/>
      <x:c r="L531" s="59"/>
      <x:c r="M531" s="59"/>
      <x:c r="N531" s="59"/>
      <x:c r="O531" s="59"/>
      <x:c r="P531" s="59"/>
      <x:c r="Q531" s="59"/>
      <x:c r="R531" s="59"/>
      <x:c r="S531" s="59"/>
      <x:c r="T531" s="59"/>
      <x:c r="U531" s="59"/>
      <x:c r="V531" s="59"/>
      <x:c r="W531" s="59"/>
      <x:c r="X531" s="59"/>
      <x:c r="Y531" s="59"/>
      <x:c r="Z531" s="59"/>
      <x:c r="AA531" s="8" t="str">
        <x:f>IF(C531="ไม่ทราบ","",SUMIFS($K$7:$Z$7,K531:Z531,"&lt;&gt;N/A"))</x:f>
      </x:c>
      <x:c r="AB531" s="8" t="str">
        <x:f>IF(AND(OR(AND(C531="จำหน่ายอาหาร",ISNUMBER(K531),L531="N/A"),AND(C531="ไม่จำหน่ายอาหาร",K531="N/A",ISNUMBER(L531)),AND(C531="มัสยิด",K531="N/A",L531="N/A",X531="N/A")),COUNT(K531:Z531)+COUNTIFS(K531:Z531,"N/A")=16),SUM(K531:Z531),"")</x:f>
      </x:c>
      <x:c r="AC531" s="62" t="str">
        <x:f>IF(OR(AB531="",AA531&lt;=0),"",ROUND(AB531/AA531*100,1))</x:f>
      </x:c>
      <x:c r="AD531" s="8" t="str">
        <x:f>IF(COUNTIFS(D531:H531,"ไม่ผ่าน")&gt;0,"ไม่ผ่าน",IF(COUNTIFS(D531:H531,"ไม่ทราบ")+COUNTBLANK(D531:H531)&gt;0,"รอยืนยัน","ผ่าน"))</x:f>
        <x:v>รอยืนยัน</x:v>
      </x:c>
      <x:c r="AE531" s="8" t="str">
        <x:f>IF(AF531="ใช่","ไม่ผ่านการคัดเลือก",IF(AND(AD531="ผ่าน",ISNUMBER(AC531),AC531&gt;=70),"พร้อมขาย",IF(OR(J531="ใช่",AND(ISNUMBER(AC531),AC531&gt;=50)),"พัฒนาเพื่อพร้อมขาย",IF(AND(ISNUMBER(AC531),AC531&lt;50,I531&gt;=1),"มีศักยภาพ แต่ต้องพัฒนามาตรฐาน","รอประเมิน"))))</x:f>
        <x:v>รอประเมิน</x:v>
      </x:c>
      <x:c r="AF531" s="59" t="str">
        <x:v>ไม่ทราบ</x:v>
      </x:c>
      <x:c r="AG531" s="8" t="str">
        <x:f>IF(AF531="ใช่","หัวหน้าทีมพิจารณาเหตุไม่ผ่าน",IF(OR(AA531&lt;=0,NOT(OR(AND(C531="จำหน่ายอาหาร",ISNUMBER(K531),L531="N/A"),AND(C531="ไม่จำหน่ายอาหาร",K531="N/A",ISNUMBER(L531)),AND(C531="มัสยิด",K531="N/A",L531="N/A",X531="N/A"))),AD531="รอยืนยัน",COUNT(K531:Z531)+COUNTIFS(K531:Z531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1" s="59" t="str"/>
      <x:c r="AI531" s="61"/>
    </x:row>
    <x:row r="532" ht="60" customHeight="1">
      <x:c r="A532" s="2" t="str">
        <x:v>R26-350</x:v>
      </x:c>
      <x:c r="B532" s="8" t="str">
        <x:v>กะละห์ชวนชิม</x:v>
      </x:c>
      <x:c r="C532" s="59" t="str">
        <x:v>จำหน่ายอาหาร</x:v>
      </x:c>
      <x:c r="D532" s="59" t="str">
        <x:v>ไม่ทราบ</x:v>
      </x:c>
      <x:c r="E532" s="59" t="str">
        <x:v>ไม่ทราบ</x:v>
      </x:c>
      <x:c r="F532" s="59" t="str">
        <x:v>ไม่ทราบ</x:v>
      </x:c>
      <x:c r="G532" s="59" t="str">
        <x:v>ไม่ทราบ</x:v>
      </x:c>
      <x:c r="H532" s="59" t="str">
        <x:v>N/A</x:v>
      </x:c>
      <x:c r="I532" s="59"/>
      <x:c r="J532" s="59" t="str">
        <x:v>ไม่ทราบ</x:v>
      </x:c>
      <x:c r="K532" s="59"/>
      <x:c r="L532" s="59" t="str">
        <x:v>N/A</x:v>
      </x:c>
      <x:c r="M532" s="59"/>
      <x:c r="N532" s="59"/>
      <x:c r="O532" s="59"/>
      <x:c r="P532" s="59"/>
      <x:c r="Q532" s="59"/>
      <x:c r="R532" s="59"/>
      <x:c r="S532" s="59"/>
      <x:c r="T532" s="59"/>
      <x:c r="U532" s="59"/>
      <x:c r="V532" s="59"/>
      <x:c r="W532" s="59"/>
      <x:c r="X532" s="59"/>
      <x:c r="Y532" s="59"/>
      <x:c r="Z532" s="59"/>
      <x:c r="AA532" s="8" t="n">
        <x:f>IF(C532="ไม่ทราบ","",SUMIFS($K$7:$Z$7,K532:Z532,"&lt;&gt;N/A"))</x:f>
        <x:v>100</x:v>
      </x:c>
      <x:c r="AB532" s="8" t="str">
        <x:f>IF(AND(OR(AND(C532="จำหน่ายอาหาร",ISNUMBER(K532),L532="N/A"),AND(C532="ไม่จำหน่ายอาหาร",K532="N/A",ISNUMBER(L532)),AND(C532="มัสยิด",K532="N/A",L532="N/A",X532="N/A")),COUNT(K532:Z532)+COUNTIFS(K532:Z532,"N/A")=16),SUM(K532:Z532),"")</x:f>
      </x:c>
      <x:c r="AC532" s="62" t="str">
        <x:f>IF(OR(AB532="",AA532&lt;=0),"",ROUND(AB532/AA532*100,1))</x:f>
      </x:c>
      <x:c r="AD532" s="8" t="str">
        <x:f>IF(COUNTIFS(D532:H532,"ไม่ผ่าน")&gt;0,"ไม่ผ่าน",IF(COUNTIFS(D532:H532,"ไม่ทราบ")+COUNTBLANK(D532:H532)&gt;0,"รอยืนยัน","ผ่าน"))</x:f>
        <x:v>รอยืนยัน</x:v>
      </x:c>
      <x:c r="AE532" s="8" t="str">
        <x:f>IF(AF532="ใช่","ไม่ผ่านการคัดเลือก",IF(AND(AD532="ผ่าน",ISNUMBER(AC532),AC532&gt;=70),"พร้อมขาย",IF(OR(J532="ใช่",AND(ISNUMBER(AC532),AC532&gt;=50)),"พัฒนาเพื่อพร้อมขาย",IF(AND(ISNUMBER(AC532),AC532&lt;50,I532&gt;=1),"มีศักยภาพ แต่ต้องพัฒนามาตรฐาน","รอประเมิน"))))</x:f>
        <x:v>รอประเมิน</x:v>
      </x:c>
      <x:c r="AF532" s="59" t="str">
        <x:v>ไม่ทราบ</x:v>
      </x:c>
      <x:c r="AG532" s="8" t="str">
        <x:f>IF(AF532="ใช่","หัวหน้าทีมพิจารณาเหตุไม่ผ่าน",IF(OR(AA532&lt;=0,NOT(OR(AND(C532="จำหน่ายอาหาร",ISNUMBER(K532),L532="N/A"),AND(C532="ไม่จำหน่ายอาหาร",K532="N/A",ISNUMBER(L532)),AND(C532="มัสยิด",K532="N/A",L532="N/A",X532="N/A"))),AD532="รอยืนยัน",COUNT(K532:Z532)+COUNTIFS(K532:Z532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2" s="59" t="str"/>
      <x:c r="AI532" s="61"/>
    </x:row>
    <x:row r="533" ht="60" customHeight="1">
      <x:c r="A533" s="2" t="str">
        <x:v>R26-236</x:v>
      </x:c>
      <x:c r="B533" s="8" t="str">
        <x:v>ป่าพรุโต๊ะแดง</x:v>
      </x:c>
      <x:c r="C533" s="59" t="str">
        <x:v>ไม่ทราบ</x:v>
      </x:c>
      <x:c r="D533" s="59" t="str">
        <x:v>ไม่ทราบ</x:v>
      </x:c>
      <x:c r="E533" s="59" t="str">
        <x:v>ไม่ทราบ</x:v>
      </x:c>
      <x:c r="F533" s="59" t="str">
        <x:v>ไม่ทราบ</x:v>
      </x:c>
      <x:c r="G533" s="59" t="str">
        <x:v>ไม่ทราบ</x:v>
      </x:c>
      <x:c r="H533" s="59" t="str">
        <x:v>N/A</x:v>
      </x:c>
      <x:c r="I533" s="59"/>
      <x:c r="J533" s="59" t="str">
        <x:v>ไม่ทราบ</x:v>
      </x:c>
      <x:c r="K533" s="59"/>
      <x:c r="L533" s="59"/>
      <x:c r="M533" s="59"/>
      <x:c r="N533" s="59"/>
      <x:c r="O533" s="59"/>
      <x:c r="P533" s="59"/>
      <x:c r="Q533" s="59"/>
      <x:c r="R533" s="59"/>
      <x:c r="S533" s="59"/>
      <x:c r="T533" s="59"/>
      <x:c r="U533" s="59"/>
      <x:c r="V533" s="59"/>
      <x:c r="W533" s="59"/>
      <x:c r="X533" s="59"/>
      <x:c r="Y533" s="59"/>
      <x:c r="Z533" s="59"/>
      <x:c r="AA533" s="8" t="str">
        <x:f>IF(C533="ไม่ทราบ","",SUMIFS($K$7:$Z$7,K533:Z533,"&lt;&gt;N/A"))</x:f>
      </x:c>
      <x:c r="AB533" s="8" t="str">
        <x:f>IF(AND(OR(AND(C533="จำหน่ายอาหาร",ISNUMBER(K533),L533="N/A"),AND(C533="ไม่จำหน่ายอาหาร",K533="N/A",ISNUMBER(L533)),AND(C533="มัสยิด",K533="N/A",L533="N/A",X533="N/A")),COUNT(K533:Z533)+COUNTIFS(K533:Z533,"N/A")=16),SUM(K533:Z533),"")</x:f>
      </x:c>
      <x:c r="AC533" s="62" t="str">
        <x:f>IF(OR(AB533="",AA533&lt;=0),"",ROUND(AB533/AA533*100,1))</x:f>
      </x:c>
      <x:c r="AD533" s="8" t="str">
        <x:f>IF(COUNTIFS(D533:H533,"ไม่ผ่าน")&gt;0,"ไม่ผ่าน",IF(COUNTIFS(D533:H533,"ไม่ทราบ")+COUNTBLANK(D533:H533)&gt;0,"รอยืนยัน","ผ่าน"))</x:f>
        <x:v>รอยืนยัน</x:v>
      </x:c>
      <x:c r="AE533" s="8" t="str">
        <x:f>IF(AF533="ใช่","ไม่ผ่านการคัดเลือก",IF(AND(AD533="ผ่าน",ISNUMBER(AC533),AC533&gt;=70),"พร้อมขาย",IF(OR(J533="ใช่",AND(ISNUMBER(AC533),AC533&gt;=50)),"พัฒนาเพื่อพร้อมขาย",IF(AND(ISNUMBER(AC533),AC533&lt;50,I533&gt;=1),"มีศักยภาพ แต่ต้องพัฒนามาตรฐาน","รอประเมิน"))))</x:f>
        <x:v>รอประเมิน</x:v>
      </x:c>
      <x:c r="AF533" s="59" t="str">
        <x:v>ไม่ทราบ</x:v>
      </x:c>
      <x:c r="AG533" s="8" t="str">
        <x:f>IF(AF533="ใช่","หัวหน้าทีมพิจารณาเหตุไม่ผ่าน",IF(OR(AA533&lt;=0,NOT(OR(AND(C533="จำหน่ายอาหาร",ISNUMBER(K533),L533="N/A"),AND(C533="ไม่จำหน่ายอาหาร",K533="N/A",ISNUMBER(L533)),AND(C533="มัสยิด",K533="N/A",L533="N/A",X533="N/A"))),AD533="รอยืนยัน",COUNT(K533:Z533)+COUNTIFS(K533:Z533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3" s="59" t="str"/>
      <x:c r="AI533" s="61"/>
    </x:row>
    <x:row r="534" ht="60" customHeight="1">
      <x:c r="A534" s="2" t="str">
        <x:v>R26-235</x:v>
      </x:c>
      <x:c r="B534" s="8" t="str">
        <x:v>อุทยานแห่งชาติอ่าวมะนาว-เขาตันหยง</x:v>
      </x:c>
      <x:c r="C534" s="59" t="str">
        <x:v>ไม่ทราบ</x:v>
      </x:c>
      <x:c r="D534" s="59" t="str">
        <x:v>ไม่ทราบ</x:v>
      </x:c>
      <x:c r="E534" s="59" t="str">
        <x:v>ไม่ทราบ</x:v>
      </x:c>
      <x:c r="F534" s="59" t="str">
        <x:v>ไม่ทราบ</x:v>
      </x:c>
      <x:c r="G534" s="59" t="str">
        <x:v>ไม่ทราบ</x:v>
      </x:c>
      <x:c r="H534" s="59" t="str">
        <x:v>N/A</x:v>
      </x:c>
      <x:c r="I534" s="59"/>
      <x:c r="J534" s="59" t="str">
        <x:v>ไม่ทราบ</x:v>
      </x:c>
      <x:c r="K534" s="59"/>
      <x:c r="L534" s="59"/>
      <x:c r="M534" s="59"/>
      <x:c r="N534" s="59"/>
      <x:c r="O534" s="59"/>
      <x:c r="P534" s="59"/>
      <x:c r="Q534" s="59"/>
      <x:c r="R534" s="59"/>
      <x:c r="S534" s="59"/>
      <x:c r="T534" s="59"/>
      <x:c r="U534" s="59"/>
      <x:c r="V534" s="59"/>
      <x:c r="W534" s="59"/>
      <x:c r="X534" s="59"/>
      <x:c r="Y534" s="59"/>
      <x:c r="Z534" s="59"/>
      <x:c r="AA534" s="8" t="str">
        <x:f>IF(C534="ไม่ทราบ","",SUMIFS($K$7:$Z$7,K534:Z534,"&lt;&gt;N/A"))</x:f>
      </x:c>
      <x:c r="AB534" s="8" t="str">
        <x:f>IF(AND(OR(AND(C534="จำหน่ายอาหาร",ISNUMBER(K534),L534="N/A"),AND(C534="ไม่จำหน่ายอาหาร",K534="N/A",ISNUMBER(L534)),AND(C534="มัสยิด",K534="N/A",L534="N/A",X534="N/A")),COUNT(K534:Z534)+COUNTIFS(K534:Z534,"N/A")=16),SUM(K534:Z534),"")</x:f>
      </x:c>
      <x:c r="AC534" s="62" t="str">
        <x:f>IF(OR(AB534="",AA534&lt;=0),"",ROUND(AB534/AA534*100,1))</x:f>
      </x:c>
      <x:c r="AD534" s="8" t="str">
        <x:f>IF(COUNTIFS(D534:H534,"ไม่ผ่าน")&gt;0,"ไม่ผ่าน",IF(COUNTIFS(D534:H534,"ไม่ทราบ")+COUNTBLANK(D534:H534)&gt;0,"รอยืนยัน","ผ่าน"))</x:f>
        <x:v>รอยืนยัน</x:v>
      </x:c>
      <x:c r="AE534" s="8" t="str">
        <x:f>IF(AF534="ใช่","ไม่ผ่านการคัดเลือก",IF(AND(AD534="ผ่าน",ISNUMBER(AC534),AC534&gt;=70),"พร้อมขาย",IF(OR(J534="ใช่",AND(ISNUMBER(AC534),AC534&gt;=50)),"พัฒนาเพื่อพร้อมขาย",IF(AND(ISNUMBER(AC534),AC534&lt;50,I534&gt;=1),"มีศักยภาพ แต่ต้องพัฒนามาตรฐาน","รอประเมิน"))))</x:f>
        <x:v>รอประเมิน</x:v>
      </x:c>
      <x:c r="AF534" s="59" t="str">
        <x:v>ไม่ทราบ</x:v>
      </x:c>
      <x:c r="AG534" s="8" t="str">
        <x:f>IF(AF534="ใช่","หัวหน้าทีมพิจารณาเหตุไม่ผ่าน",IF(OR(AA534&lt;=0,NOT(OR(AND(C534="จำหน่ายอาหาร",ISNUMBER(K534),L534="N/A"),AND(C534="ไม่จำหน่ายอาหาร",K534="N/A",ISNUMBER(L534)),AND(C534="มัสยิด",K534="N/A",L534="N/A",X534="N/A"))),AD534="รอยืนยัน",COUNT(K534:Z534)+COUNTIFS(K534:Z534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4" s="59" t="str"/>
      <x:c r="AI534" s="61"/>
    </x:row>
    <x:row r="535" ht="60" customHeight="1">
      <x:c r="A535" s="2" t="str">
        <x:v>R26-237</x:v>
      </x:c>
      <x:c r="B535" s="8" t="str">
        <x:v>มัสยิดกลางจังหวัดนราธิวาส</x:v>
      </x:c>
      <x:c r="C535" s="59" t="str">
        <x:v>มัสยิด</x:v>
      </x:c>
      <x:c r="D535" s="59" t="str">
        <x:v>ไม่ทราบ</x:v>
      </x:c>
      <x:c r="E535" s="59" t="str">
        <x:v>ไม่ทราบ</x:v>
      </x:c>
      <x:c r="F535" s="59" t="str">
        <x:v>ไม่ทราบ</x:v>
      </x:c>
      <x:c r="G535" s="59" t="str">
        <x:v>N/A</x:v>
      </x:c>
      <x:c r="H535" s="59" t="str">
        <x:v>N/A</x:v>
      </x:c>
      <x:c r="I535" s="59"/>
      <x:c r="J535" s="59" t="str">
        <x:v>ไม่ทราบ</x:v>
      </x:c>
      <x:c r="K535" s="59" t="str">
        <x:v>N/A</x:v>
      </x:c>
      <x:c r="L535" s="59" t="str">
        <x:v>N/A</x:v>
      </x:c>
      <x:c r="M535" s="59"/>
      <x:c r="N535" s="59"/>
      <x:c r="O535" s="59"/>
      <x:c r="P535" s="59"/>
      <x:c r="Q535" s="59"/>
      <x:c r="R535" s="59"/>
      <x:c r="S535" s="59"/>
      <x:c r="T535" s="59"/>
      <x:c r="U535" s="59"/>
      <x:c r="V535" s="59"/>
      <x:c r="W535" s="59"/>
      <x:c r="X535" s="59" t="str">
        <x:v>N/A</x:v>
      </x:c>
      <x:c r="Y535" s="59"/>
      <x:c r="Z535" s="59"/>
      <x:c r="AA535" s="8" t="n">
        <x:f>IF(C535="ไม่ทราบ","",SUMIFS($K$7:$Z$7,K535:Z535,"&lt;&gt;N/A"))</x:f>
        <x:v>67</x:v>
      </x:c>
      <x:c r="AB535" s="8" t="str">
        <x:f>IF(AND(OR(AND(C535="จำหน่ายอาหาร",ISNUMBER(K535),L535="N/A"),AND(C535="ไม่จำหน่ายอาหาร",K535="N/A",ISNUMBER(L535)),AND(C535="มัสยิด",K535="N/A",L535="N/A",X535="N/A")),COUNT(K535:Z535)+COUNTIFS(K535:Z535,"N/A")=16),SUM(K535:Z535),"")</x:f>
      </x:c>
      <x:c r="AC535" s="62" t="str">
        <x:f>IF(OR(AB535="",AA535&lt;=0),"",ROUND(AB535/AA535*100,1))</x:f>
      </x:c>
      <x:c r="AD535" s="8" t="str">
        <x:f>IF(COUNTIFS(D535:H535,"ไม่ผ่าน")&gt;0,"ไม่ผ่าน",IF(COUNTIFS(D535:H535,"ไม่ทราบ")+COUNTBLANK(D535:H535)&gt;0,"รอยืนยัน","ผ่าน"))</x:f>
        <x:v>รอยืนยัน</x:v>
      </x:c>
      <x:c r="AE535" s="8" t="str">
        <x:f>IF(AF535="ใช่","ไม่ผ่านการคัดเลือก",IF(AND(AD535="ผ่าน",ISNUMBER(AC535),AC535&gt;=70),"พร้อมขาย",IF(OR(J535="ใช่",AND(ISNUMBER(AC535),AC535&gt;=50)),"พัฒนาเพื่อพร้อมขาย",IF(AND(ISNUMBER(AC535),AC535&lt;50,I535&gt;=1),"มีศักยภาพ แต่ต้องพัฒนามาตรฐาน","รอประเมิน"))))</x:f>
        <x:v>รอประเมิน</x:v>
      </x:c>
      <x:c r="AF535" s="59" t="str">
        <x:v>ไม่ทราบ</x:v>
      </x:c>
      <x:c r="AG535" s="8" t="str">
        <x:f>IF(AF535="ใช่","หัวหน้าทีมพิจารณาเหตุไม่ผ่าน",IF(OR(AA535&lt;=0,NOT(OR(AND(C535="จำหน่ายอาหาร",ISNUMBER(K535),L535="N/A"),AND(C535="ไม่จำหน่ายอาหาร",K535="N/A",ISNUMBER(L535)),AND(C535="มัสยิด",K535="N/A",L535="N/A",X535="N/A"))),AD535="รอยืนยัน",COUNT(K535:Z535)+COUNTIFS(K535:Z535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5" s="59" t="str"/>
      <x:c r="AI535" s="61"/>
    </x:row>
    <x:row r="536" ht="60" customHeight="1">
      <x:c r="A536" s="2" t="str">
        <x:v>TMF-366</x:v>
      </x:c>
      <x:c r="B536" s="8" t="str">
        <x:v>มัสยิดวาดีลฮูเซ็น</x:v>
      </x:c>
      <x:c r="C536" s="59" t="str">
        <x:v>มัสยิด</x:v>
      </x:c>
      <x:c r="D536" s="59" t="str">
        <x:v>ไม่ทราบ</x:v>
      </x:c>
      <x:c r="E536" s="59" t="str">
        <x:v>ไม่ทราบ</x:v>
      </x:c>
      <x:c r="F536" s="59" t="str">
        <x:v>ไม่ทราบ</x:v>
      </x:c>
      <x:c r="G536" s="59" t="str">
        <x:v>N/A</x:v>
      </x:c>
      <x:c r="H536" s="59" t="str">
        <x:v>N/A</x:v>
      </x:c>
      <x:c r="I536" s="59"/>
      <x:c r="J536" s="59" t="str">
        <x:v>ไม่ทราบ</x:v>
      </x:c>
      <x:c r="K536" s="59" t="str">
        <x:v>N/A</x:v>
      </x:c>
      <x:c r="L536" s="59" t="str">
        <x:v>N/A</x:v>
      </x:c>
      <x:c r="M536" s="59"/>
      <x:c r="N536" s="59"/>
      <x:c r="O536" s="59"/>
      <x:c r="P536" s="59"/>
      <x:c r="Q536" s="59"/>
      <x:c r="R536" s="59"/>
      <x:c r="S536" s="59"/>
      <x:c r="T536" s="59"/>
      <x:c r="U536" s="59"/>
      <x:c r="V536" s="59"/>
      <x:c r="W536" s="59"/>
      <x:c r="X536" s="59" t="str">
        <x:v>N/A</x:v>
      </x:c>
      <x:c r="Y536" s="59"/>
      <x:c r="Z536" s="59"/>
      <x:c r="AA536" s="8" t="n">
        <x:f>IF(C536="ไม่ทราบ","",SUMIFS($K$7:$Z$7,K536:Z536,"&lt;&gt;N/A"))</x:f>
        <x:v>67</x:v>
      </x:c>
      <x:c r="AB536" s="8" t="str">
        <x:f>IF(AND(OR(AND(C536="จำหน่ายอาหาร",ISNUMBER(K536),L536="N/A"),AND(C536="ไม่จำหน่ายอาหาร",K536="N/A",ISNUMBER(L536)),AND(C536="มัสยิด",K536="N/A",L536="N/A",X536="N/A")),COUNT(K536:Z536)+COUNTIFS(K536:Z536,"N/A")=16),SUM(K536:Z536),"")</x:f>
      </x:c>
      <x:c r="AC536" s="62" t="str">
        <x:f>IF(OR(AB536="",AA536&lt;=0),"",ROUND(AB536/AA536*100,1))</x:f>
      </x:c>
      <x:c r="AD536" s="8" t="str">
        <x:f>IF(COUNTIFS(D536:H536,"ไม่ผ่าน")&gt;0,"ไม่ผ่าน",IF(COUNTIFS(D536:H536,"ไม่ทราบ")+COUNTBLANK(D536:H536)&gt;0,"รอยืนยัน","ผ่าน"))</x:f>
        <x:v>รอยืนยัน</x:v>
      </x:c>
      <x:c r="AE536" s="8" t="str">
        <x:f>IF(AF536="ใช่","ไม่ผ่านการคัดเลือก",IF(AND(AD536="ผ่าน",ISNUMBER(AC536),AC536&gt;=70),"พร้อมขาย",IF(OR(J536="ใช่",AND(ISNUMBER(AC536),AC536&gt;=50)),"พัฒนาเพื่อพร้อมขาย",IF(AND(ISNUMBER(AC536),AC536&lt;50,I536&gt;=1),"มีศักยภาพ แต่ต้องพัฒนามาตรฐาน","รอประเมิน"))))</x:f>
        <x:v>รอประเมิน</x:v>
      </x:c>
      <x:c r="AF536" s="59" t="str">
        <x:v>ไม่ทราบ</x:v>
      </x:c>
      <x:c r="AG536" s="8" t="str">
        <x:f>IF(AF536="ใช่","หัวหน้าทีมพิจารณาเหตุไม่ผ่าน",IF(OR(AA536&lt;=0,NOT(OR(AND(C536="จำหน่ายอาหาร",ISNUMBER(K536),L536="N/A"),AND(C536="ไม่จำหน่ายอาหาร",K536="N/A",ISNUMBER(L536)),AND(C536="มัสยิด",K536="N/A",L536="N/A",X536="N/A"))),AD536="รอยืนยัน",COUNT(K536:Z536)+COUNTIFS(K536:Z536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6" s="59" t="str"/>
      <x:c r="AI536" s="61"/>
    </x:row>
    <x:row r="537" ht="60" customHeight="1">
      <x:c r="A537" s="2" t="str">
        <x:v>R26-233</x:v>
      </x:c>
      <x:c r="B537" s="8" t="str">
        <x:v>ชุมชนบ้านทอน</x:v>
      </x:c>
      <x:c r="C537" s="59" t="str">
        <x:v>ไม่ทราบ</x:v>
      </x:c>
      <x:c r="D537" s="59" t="str">
        <x:v>ไม่ทราบ</x:v>
      </x:c>
      <x:c r="E537" s="59" t="str">
        <x:v>ไม่ทราบ</x:v>
      </x:c>
      <x:c r="F537" s="59" t="str">
        <x:v>ไม่ทราบ</x:v>
      </x:c>
      <x:c r="G537" s="59" t="str">
        <x:v>ไม่ทราบ</x:v>
      </x:c>
      <x:c r="H537" s="59" t="str">
        <x:v>N/A</x:v>
      </x:c>
      <x:c r="I537" s="59"/>
      <x:c r="J537" s="59" t="str">
        <x:v>ไม่ทราบ</x:v>
      </x:c>
      <x:c r="K537" s="59"/>
      <x:c r="L537" s="59"/>
      <x:c r="M537" s="59"/>
      <x:c r="N537" s="59"/>
      <x:c r="O537" s="59"/>
      <x:c r="P537" s="59"/>
      <x:c r="Q537" s="59"/>
      <x:c r="R537" s="59"/>
      <x:c r="S537" s="59"/>
      <x:c r="T537" s="59"/>
      <x:c r="U537" s="59"/>
      <x:c r="V537" s="59"/>
      <x:c r="W537" s="59"/>
      <x:c r="X537" s="59"/>
      <x:c r="Y537" s="59"/>
      <x:c r="Z537" s="59"/>
      <x:c r="AA537" s="8" t="str">
        <x:f>IF(C537="ไม่ทราบ","",SUMIFS($K$7:$Z$7,K537:Z537,"&lt;&gt;N/A"))</x:f>
      </x:c>
      <x:c r="AB537" s="8" t="str">
        <x:f>IF(AND(OR(AND(C537="จำหน่ายอาหาร",ISNUMBER(K537),L537="N/A"),AND(C537="ไม่จำหน่ายอาหาร",K537="N/A",ISNUMBER(L537)),AND(C537="มัสยิด",K537="N/A",L537="N/A",X537="N/A")),COUNT(K537:Z537)+COUNTIFS(K537:Z537,"N/A")=16),SUM(K537:Z537),"")</x:f>
      </x:c>
      <x:c r="AC537" s="62" t="str">
        <x:f>IF(OR(AB537="",AA537&lt;=0),"",ROUND(AB537/AA537*100,1))</x:f>
      </x:c>
      <x:c r="AD537" s="8" t="str">
        <x:f>IF(COUNTIFS(D537:H537,"ไม่ผ่าน")&gt;0,"ไม่ผ่าน",IF(COUNTIFS(D537:H537,"ไม่ทราบ")+COUNTBLANK(D537:H537)&gt;0,"รอยืนยัน","ผ่าน"))</x:f>
        <x:v>รอยืนยัน</x:v>
      </x:c>
      <x:c r="AE537" s="8" t="str">
        <x:f>IF(AF537="ใช่","ไม่ผ่านการคัดเลือก",IF(AND(AD537="ผ่าน",ISNUMBER(AC537),AC537&gt;=70),"พร้อมขาย",IF(OR(J537="ใช่",AND(ISNUMBER(AC537),AC537&gt;=50)),"พัฒนาเพื่อพร้อมขาย",IF(AND(ISNUMBER(AC537),AC537&lt;50,I537&gt;=1),"มีศักยภาพ แต่ต้องพัฒนามาตรฐาน","รอประเมิน"))))</x:f>
        <x:v>รอประเมิน</x:v>
      </x:c>
      <x:c r="AF537" s="59" t="str">
        <x:v>ไม่ทราบ</x:v>
      </x:c>
      <x:c r="AG537" s="8" t="str">
        <x:f>IF(AF537="ใช่","หัวหน้าทีมพิจารณาเหตุไม่ผ่าน",IF(OR(AA537&lt;=0,NOT(OR(AND(C537="จำหน่ายอาหาร",ISNUMBER(K537),L537="N/A"),AND(C537="ไม่จำหน่ายอาหาร",K537="N/A",ISNUMBER(L537)),AND(C537="มัสยิด",K537="N/A",L537="N/A",X537="N/A"))),AD537="รอยืนยัน",COUNT(K537:Z537)+COUNTIFS(K537:Z537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7" s="59" t="str"/>
      <x:c r="AI537" s="61"/>
    </x:row>
    <x:row r="538" ht="60" customHeight="1">
      <x:c r="A538" s="2" t="str">
        <x:v>R26-234</x:v>
      </x:c>
      <x:c r="B538" s="8" t="str">
        <x:v>ชุมชนบ้านภูเขาทอง</x:v>
      </x:c>
      <x:c r="C538" s="59" t="str">
        <x:v>ไม่ทราบ</x:v>
      </x:c>
      <x:c r="D538" s="59" t="str">
        <x:v>ไม่ทราบ</x:v>
      </x:c>
      <x:c r="E538" s="59" t="str">
        <x:v>ไม่ทราบ</x:v>
      </x:c>
      <x:c r="F538" s="59" t="str">
        <x:v>ไม่ทราบ</x:v>
      </x:c>
      <x:c r="G538" s="59" t="str">
        <x:v>ไม่ทราบ</x:v>
      </x:c>
      <x:c r="H538" s="59" t="str">
        <x:v>N/A</x:v>
      </x:c>
      <x:c r="I538" s="59"/>
      <x:c r="J538" s="59" t="str">
        <x:v>ไม่ทราบ</x:v>
      </x:c>
      <x:c r="K538" s="59"/>
      <x:c r="L538" s="59"/>
      <x:c r="M538" s="59"/>
      <x:c r="N538" s="59"/>
      <x:c r="O538" s="59"/>
      <x:c r="P538" s="59"/>
      <x:c r="Q538" s="59"/>
      <x:c r="R538" s="59"/>
      <x:c r="S538" s="59"/>
      <x:c r="T538" s="59"/>
      <x:c r="U538" s="59"/>
      <x:c r="V538" s="59"/>
      <x:c r="W538" s="59"/>
      <x:c r="X538" s="59"/>
      <x:c r="Y538" s="59"/>
      <x:c r="Z538" s="59"/>
      <x:c r="AA538" s="8" t="str">
        <x:f>IF(C538="ไม่ทราบ","",SUMIFS($K$7:$Z$7,K538:Z538,"&lt;&gt;N/A"))</x:f>
      </x:c>
      <x:c r="AB538" s="8" t="str">
        <x:f>IF(AND(OR(AND(C538="จำหน่ายอาหาร",ISNUMBER(K538),L538="N/A"),AND(C538="ไม่จำหน่ายอาหาร",K538="N/A",ISNUMBER(L538)),AND(C538="มัสยิด",K538="N/A",L538="N/A",X538="N/A")),COUNT(K538:Z538)+COUNTIFS(K538:Z538,"N/A")=16),SUM(K538:Z538),"")</x:f>
      </x:c>
      <x:c r="AC538" s="62" t="str">
        <x:f>IF(OR(AB538="",AA538&lt;=0),"",ROUND(AB538/AA538*100,1))</x:f>
      </x:c>
      <x:c r="AD538" s="8" t="str">
        <x:f>IF(COUNTIFS(D538:H538,"ไม่ผ่าน")&gt;0,"ไม่ผ่าน",IF(COUNTIFS(D538:H538,"ไม่ทราบ")+COUNTBLANK(D538:H538)&gt;0,"รอยืนยัน","ผ่าน"))</x:f>
        <x:v>รอยืนยัน</x:v>
      </x:c>
      <x:c r="AE538" s="8" t="str">
        <x:f>IF(AF538="ใช่","ไม่ผ่านการคัดเลือก",IF(AND(AD538="ผ่าน",ISNUMBER(AC538),AC538&gt;=70),"พร้อมขาย",IF(OR(J538="ใช่",AND(ISNUMBER(AC538),AC538&gt;=50)),"พัฒนาเพื่อพร้อมขาย",IF(AND(ISNUMBER(AC538),AC538&lt;50,I538&gt;=1),"มีศักยภาพ แต่ต้องพัฒนามาตรฐาน","รอประเมิน"))))</x:f>
        <x:v>รอประเมิน</x:v>
      </x:c>
      <x:c r="AF538" s="59" t="str">
        <x:v>ไม่ทราบ</x:v>
      </x:c>
      <x:c r="AG538" s="8" t="str">
        <x:f>IF(AF538="ใช่","หัวหน้าทีมพิจารณาเหตุไม่ผ่าน",IF(OR(AA538&lt;=0,NOT(OR(AND(C538="จำหน่ายอาหาร",ISNUMBER(K538),L538="N/A"),AND(C538="ไม่จำหน่ายอาหาร",K538="N/A",ISNUMBER(L538)),AND(C538="มัสยิด",K538="N/A",L538="N/A",X538="N/A"))),AD538="รอยืนยัน",COUNT(K538:Z538)+COUNTIFS(K538:Z538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8" s="59" t="str"/>
      <x:c r="AI538" s="61"/>
    </x:row>
    <x:row r="539" ht="60" customHeight="1">
      <x:c r="A539" s="2" t="str">
        <x:v>TMF-184</x:v>
      </x:c>
      <x:c r="B539" s="8" t="str">
        <x:v>Coco Pina Boutique Resort ที่พัก&amp;คาเฟ่ประจวบ</x:v>
      </x:c>
      <x:c r="C539" s="59" t="str">
        <x:v>ไม่ทราบ</x:v>
      </x:c>
      <x:c r="D539" s="59" t="str">
        <x:v>ไม่ทราบ</x:v>
      </x:c>
      <x:c r="E539" s="59" t="str">
        <x:v>ไม่ทราบ</x:v>
      </x:c>
      <x:c r="F539" s="59" t="str">
        <x:v>ไม่ทราบ</x:v>
      </x:c>
      <x:c r="G539" s="59" t="str">
        <x:v>ไม่ทราบ</x:v>
      </x:c>
      <x:c r="H539" s="59" t="str">
        <x:v>ไม่ทราบ</x:v>
      </x:c>
      <x:c r="I539" s="59"/>
      <x:c r="J539" s="59" t="str">
        <x:v>ไม่ทราบ</x:v>
      </x:c>
      <x:c r="K539" s="59"/>
      <x:c r="L539" s="59"/>
      <x:c r="M539" s="59"/>
      <x:c r="N539" s="59"/>
      <x:c r="O539" s="59"/>
      <x:c r="P539" s="59"/>
      <x:c r="Q539" s="59"/>
      <x:c r="R539" s="59"/>
      <x:c r="S539" s="59"/>
      <x:c r="T539" s="59"/>
      <x:c r="U539" s="59"/>
      <x:c r="V539" s="59"/>
      <x:c r="W539" s="59"/>
      <x:c r="X539" s="59"/>
      <x:c r="Y539" s="59"/>
      <x:c r="Z539" s="59"/>
      <x:c r="AA539" s="8" t="str">
        <x:f>IF(C539="ไม่ทราบ","",SUMIFS($K$7:$Z$7,K539:Z539,"&lt;&gt;N/A"))</x:f>
      </x:c>
      <x:c r="AB539" s="8" t="str">
        <x:f>IF(AND(OR(AND(C539="จำหน่ายอาหาร",ISNUMBER(K539),L539="N/A"),AND(C539="ไม่จำหน่ายอาหาร",K539="N/A",ISNUMBER(L539)),AND(C539="มัสยิด",K539="N/A",L539="N/A",X539="N/A")),COUNT(K539:Z539)+COUNTIFS(K539:Z539,"N/A")=16),SUM(K539:Z539),"")</x:f>
      </x:c>
      <x:c r="AC539" s="62" t="str">
        <x:f>IF(OR(AB539="",AA539&lt;=0),"",ROUND(AB539/AA539*100,1))</x:f>
      </x:c>
      <x:c r="AD539" s="8" t="str">
        <x:f>IF(COUNTIFS(D539:H539,"ไม่ผ่าน")&gt;0,"ไม่ผ่าน",IF(COUNTIFS(D539:H539,"ไม่ทราบ")+COUNTBLANK(D539:H539)&gt;0,"รอยืนยัน","ผ่าน"))</x:f>
        <x:v>รอยืนยัน</x:v>
      </x:c>
      <x:c r="AE539" s="8" t="str">
        <x:f>IF(AF539="ใช่","ไม่ผ่านการคัดเลือก",IF(AND(AD539="ผ่าน",ISNUMBER(AC539),AC539&gt;=70),"พร้อมขาย",IF(OR(J539="ใช่",AND(ISNUMBER(AC539),AC539&gt;=50)),"พัฒนาเพื่อพร้อมขาย",IF(AND(ISNUMBER(AC539),AC539&lt;50,I539&gt;=1),"มีศักยภาพ แต่ต้องพัฒนามาตรฐาน","รอประเมิน"))))</x:f>
        <x:v>รอประเมิน</x:v>
      </x:c>
      <x:c r="AF539" s="59" t="str">
        <x:v>ไม่ทราบ</x:v>
      </x:c>
      <x:c r="AG539" s="8" t="str">
        <x:f>IF(AF539="ใช่","หัวหน้าทีมพิจารณาเหตุไม่ผ่าน",IF(OR(AA539&lt;=0,NOT(OR(AND(C539="จำหน่ายอาหาร",ISNUMBER(K539),L539="N/A"),AND(C539="ไม่จำหน่ายอาหาร",K539="N/A",ISNUMBER(L539)),AND(C539="มัสยิด",K539="N/A",L539="N/A",X539="N/A"))),AD539="รอยืนยัน",COUNT(K539:Z539)+COUNTIFS(K539:Z539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39" s="59" t="str"/>
      <x:c r="AI539" s="61"/>
    </x:row>
    <x:row r="540" ht="60" customHeight="1">
      <x:c r="A540" s="2" t="str">
        <x:v>TMF-183</x:v>
      </x:c>
      <x:c r="B540" s="8" t="str">
        <x:v>Rista House &amp; Resort</x:v>
      </x:c>
      <x:c r="C540" s="59" t="str">
        <x:v>ไม่ทราบ</x:v>
      </x:c>
      <x:c r="D540" s="59" t="str">
        <x:v>ไม่ทราบ</x:v>
      </x:c>
      <x:c r="E540" s="59" t="str">
        <x:v>ไม่ทราบ</x:v>
      </x:c>
      <x:c r="F540" s="59" t="str">
        <x:v>ไม่ทราบ</x:v>
      </x:c>
      <x:c r="G540" s="59" t="str">
        <x:v>ไม่ทราบ</x:v>
      </x:c>
      <x:c r="H540" s="59" t="str">
        <x:v>ไม่ทราบ</x:v>
      </x:c>
      <x:c r="I540" s="59"/>
      <x:c r="J540" s="59" t="str">
        <x:v>ไม่ทราบ</x:v>
      </x:c>
      <x:c r="K540" s="59"/>
      <x:c r="L540" s="59"/>
      <x:c r="M540" s="59"/>
      <x:c r="N540" s="59"/>
      <x:c r="O540" s="59"/>
      <x:c r="P540" s="59"/>
      <x:c r="Q540" s="59"/>
      <x:c r="R540" s="59"/>
      <x:c r="S540" s="59"/>
      <x:c r="T540" s="59"/>
      <x:c r="U540" s="59"/>
      <x:c r="V540" s="59"/>
      <x:c r="W540" s="59"/>
      <x:c r="X540" s="59"/>
      <x:c r="Y540" s="59"/>
      <x:c r="Z540" s="59"/>
      <x:c r="AA540" s="8" t="str">
        <x:f>IF(C540="ไม่ทราบ","",SUMIFS($K$7:$Z$7,K540:Z540,"&lt;&gt;N/A"))</x:f>
      </x:c>
      <x:c r="AB540" s="8" t="str">
        <x:f>IF(AND(OR(AND(C540="จำหน่ายอาหาร",ISNUMBER(K540),L540="N/A"),AND(C540="ไม่จำหน่ายอาหาร",K540="N/A",ISNUMBER(L540)),AND(C540="มัสยิด",K540="N/A",L540="N/A",X540="N/A")),COUNT(K540:Z540)+COUNTIFS(K540:Z540,"N/A")=16),SUM(K540:Z540),"")</x:f>
      </x:c>
      <x:c r="AC540" s="62" t="str">
        <x:f>IF(OR(AB540="",AA540&lt;=0),"",ROUND(AB540/AA540*100,1))</x:f>
      </x:c>
      <x:c r="AD540" s="8" t="str">
        <x:f>IF(COUNTIFS(D540:H540,"ไม่ผ่าน")&gt;0,"ไม่ผ่าน",IF(COUNTIFS(D540:H540,"ไม่ทราบ")+COUNTBLANK(D540:H540)&gt;0,"รอยืนยัน","ผ่าน"))</x:f>
        <x:v>รอยืนยัน</x:v>
      </x:c>
      <x:c r="AE540" s="8" t="str">
        <x:f>IF(AF540="ใช่","ไม่ผ่านการคัดเลือก",IF(AND(AD540="ผ่าน",ISNUMBER(AC540),AC540&gt;=70),"พร้อมขาย",IF(OR(J540="ใช่",AND(ISNUMBER(AC540),AC540&gt;=50)),"พัฒนาเพื่อพร้อมขาย",IF(AND(ISNUMBER(AC540),AC540&lt;50,I540&gt;=1),"มีศักยภาพ แต่ต้องพัฒนามาตรฐาน","รอประเมิน"))))</x:f>
        <x:v>รอประเมิน</x:v>
      </x:c>
      <x:c r="AF540" s="59" t="str">
        <x:v>ไม่ทราบ</x:v>
      </x:c>
      <x:c r="AG540" s="8" t="str">
        <x:f>IF(AF540="ใช่","หัวหน้าทีมพิจารณาเหตุไม่ผ่าน",IF(OR(AA540&lt;=0,NOT(OR(AND(C540="จำหน่ายอาหาร",ISNUMBER(K540),L540="N/A"),AND(C540="ไม่จำหน่ายอาหาร",K540="N/A",ISNUMBER(L540)),AND(C540="มัสยิด",K540="N/A",L540="N/A",X540="N/A"))),AD540="รอยืนยัน",COUNT(K540:Z540)+COUNTIFS(K540:Z540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0" s="59" t="str"/>
      <x:c r="AI540" s="61"/>
    </x:row>
    <x:row r="541" ht="60" customHeight="1">
      <x:c r="A541" s="2" t="str">
        <x:v>TMF-559</x:v>
      </x:c>
      <x:c r="B541" s="8" t="str">
        <x:v>ฟาร์ติมะห์คาเฟ่&amp;เนื้อ</x:v>
      </x:c>
      <x:c r="C541" s="59" t="str">
        <x:v>จำหน่ายอาหาร</x:v>
      </x:c>
      <x:c r="D541" s="59" t="str">
        <x:v>ไม่ทราบ</x:v>
      </x:c>
      <x:c r="E541" s="59" t="str">
        <x:v>ไม่ทราบ</x:v>
      </x:c>
      <x:c r="F541" s="59" t="str">
        <x:v>ไม่ทราบ</x:v>
      </x:c>
      <x:c r="G541" s="59" t="str">
        <x:v>ไม่ทราบ</x:v>
      </x:c>
      <x:c r="H541" s="59" t="str">
        <x:v>N/A</x:v>
      </x:c>
      <x:c r="I541" s="59"/>
      <x:c r="J541" s="59" t="str">
        <x:v>ไม่ทราบ</x:v>
      </x:c>
      <x:c r="K541" s="59"/>
      <x:c r="L541" s="59" t="str">
        <x:v>N/A</x:v>
      </x:c>
      <x:c r="M541" s="59"/>
      <x:c r="N541" s="59"/>
      <x:c r="O541" s="59"/>
      <x:c r="P541" s="59"/>
      <x:c r="Q541" s="59"/>
      <x:c r="R541" s="59"/>
      <x:c r="S541" s="59"/>
      <x:c r="T541" s="59"/>
      <x:c r="U541" s="59"/>
      <x:c r="V541" s="59"/>
      <x:c r="W541" s="59"/>
      <x:c r="X541" s="59"/>
      <x:c r="Y541" s="59"/>
      <x:c r="Z541" s="59"/>
      <x:c r="AA541" s="8" t="n">
        <x:f>IF(C541="ไม่ทราบ","",SUMIFS($K$7:$Z$7,K541:Z541,"&lt;&gt;N/A"))</x:f>
        <x:v>100</x:v>
      </x:c>
      <x:c r="AB541" s="8" t="str">
        <x:f>IF(AND(OR(AND(C541="จำหน่ายอาหาร",ISNUMBER(K541),L541="N/A"),AND(C541="ไม่จำหน่ายอาหาร",K541="N/A",ISNUMBER(L541)),AND(C541="มัสยิด",K541="N/A",L541="N/A",X541="N/A")),COUNT(K541:Z541)+COUNTIFS(K541:Z541,"N/A")=16),SUM(K541:Z541),"")</x:f>
      </x:c>
      <x:c r="AC541" s="62" t="str">
        <x:f>IF(OR(AB541="",AA541&lt;=0),"",ROUND(AB541/AA541*100,1))</x:f>
      </x:c>
      <x:c r="AD541" s="8" t="str">
        <x:f>IF(COUNTIFS(D541:H541,"ไม่ผ่าน")&gt;0,"ไม่ผ่าน",IF(COUNTIFS(D541:H541,"ไม่ทราบ")+COUNTBLANK(D541:H541)&gt;0,"รอยืนยัน","ผ่าน"))</x:f>
        <x:v>รอยืนยัน</x:v>
      </x:c>
      <x:c r="AE541" s="8" t="str">
        <x:f>IF(AF541="ใช่","ไม่ผ่านการคัดเลือก",IF(AND(AD541="ผ่าน",ISNUMBER(AC541),AC541&gt;=70),"พร้อมขาย",IF(OR(J541="ใช่",AND(ISNUMBER(AC541),AC541&gt;=50)),"พัฒนาเพื่อพร้อมขาย",IF(AND(ISNUMBER(AC541),AC541&lt;50,I541&gt;=1),"มีศักยภาพ แต่ต้องพัฒนามาตรฐาน","รอประเมิน"))))</x:f>
        <x:v>รอประเมิน</x:v>
      </x:c>
      <x:c r="AF541" s="59" t="str">
        <x:v>ไม่ทราบ</x:v>
      </x:c>
      <x:c r="AG541" s="8" t="str">
        <x:f>IF(AF541="ใช่","หัวหน้าทีมพิจารณาเหตุไม่ผ่าน",IF(OR(AA541&lt;=0,NOT(OR(AND(C541="จำหน่ายอาหาร",ISNUMBER(K541),L541="N/A"),AND(C541="ไม่จำหน่ายอาหาร",K541="N/A",ISNUMBER(L541)),AND(C541="มัสยิด",K541="N/A",L541="N/A",X541="N/A"))),AD541="รอยืนยัน",COUNT(K541:Z541)+COUNTIFS(K541:Z541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1" s="59" t="str"/>
      <x:c r="AI541" s="61"/>
    </x:row>
    <x:row r="542" ht="60" customHeight="1">
      <x:c r="A542" s="2" t="str">
        <x:v>R26-297</x:v>
      </x:c>
      <x:c r="B542" s="8" t="str">
        <x:v>Chiva-Som Hua Hin</x:v>
      </x:c>
      <x:c r="C542" s="59" t="str">
        <x:v>ไม่ทราบ</x:v>
      </x:c>
      <x:c r="D542" s="59" t="str">
        <x:v>ไม่ทราบ</x:v>
      </x:c>
      <x:c r="E542" s="59" t="str">
        <x:v>ไม่ทราบ</x:v>
      </x:c>
      <x:c r="F542" s="59" t="str">
        <x:v>ไม่ทราบ</x:v>
      </x:c>
      <x:c r="G542" s="59" t="str">
        <x:v>ไม่ทราบ</x:v>
      </x:c>
      <x:c r="H542" s="59" t="str">
        <x:v>N/A</x:v>
      </x:c>
      <x:c r="I542" s="59"/>
      <x:c r="J542" s="59" t="str">
        <x:v>ไม่ทราบ</x:v>
      </x:c>
      <x:c r="K542" s="59"/>
      <x:c r="L542" s="59"/>
      <x:c r="M542" s="59"/>
      <x:c r="N542" s="59"/>
      <x:c r="O542" s="59"/>
      <x:c r="P542" s="59"/>
      <x:c r="Q542" s="59"/>
      <x:c r="R542" s="59"/>
      <x:c r="S542" s="59"/>
      <x:c r="T542" s="59"/>
      <x:c r="U542" s="59"/>
      <x:c r="V542" s="59"/>
      <x:c r="W542" s="59"/>
      <x:c r="X542" s="59"/>
      <x:c r="Y542" s="59"/>
      <x:c r="Z542" s="59"/>
      <x:c r="AA542" s="8" t="str">
        <x:f>IF(C542="ไม่ทราบ","",SUMIFS($K$7:$Z$7,K542:Z542,"&lt;&gt;N/A"))</x:f>
      </x:c>
      <x:c r="AB542" s="8" t="str">
        <x:f>IF(AND(OR(AND(C542="จำหน่ายอาหาร",ISNUMBER(K542),L542="N/A"),AND(C542="ไม่จำหน่ายอาหาร",K542="N/A",ISNUMBER(L542)),AND(C542="มัสยิด",K542="N/A",L542="N/A",X542="N/A")),COUNT(K542:Z542)+COUNTIFS(K542:Z542,"N/A")=16),SUM(K542:Z542),"")</x:f>
      </x:c>
      <x:c r="AC542" s="62" t="str">
        <x:f>IF(OR(AB542="",AA542&lt;=0),"",ROUND(AB542/AA542*100,1))</x:f>
      </x:c>
      <x:c r="AD542" s="8" t="str">
        <x:f>IF(COUNTIFS(D542:H542,"ไม่ผ่าน")&gt;0,"ไม่ผ่าน",IF(COUNTIFS(D542:H542,"ไม่ทราบ")+COUNTBLANK(D542:H542)&gt;0,"รอยืนยัน","ผ่าน"))</x:f>
        <x:v>รอยืนยัน</x:v>
      </x:c>
      <x:c r="AE542" s="8" t="str">
        <x:f>IF(AF542="ใช่","ไม่ผ่านการคัดเลือก",IF(AND(AD542="ผ่าน",ISNUMBER(AC542),AC542&gt;=70),"พร้อมขาย",IF(OR(J542="ใช่",AND(ISNUMBER(AC542),AC542&gt;=50)),"พัฒนาเพื่อพร้อมขาย",IF(AND(ISNUMBER(AC542),AC542&lt;50,I542&gt;=1),"มีศักยภาพ แต่ต้องพัฒนามาตรฐาน","รอประเมิน"))))</x:f>
        <x:v>รอประเมิน</x:v>
      </x:c>
      <x:c r="AF542" s="59" t="str">
        <x:v>ไม่ทราบ</x:v>
      </x:c>
      <x:c r="AG542" s="8" t="str">
        <x:f>IF(AF542="ใช่","หัวหน้าทีมพิจารณาเหตุไม่ผ่าน",IF(OR(AA542&lt;=0,NOT(OR(AND(C542="จำหน่ายอาหาร",ISNUMBER(K542),L542="N/A"),AND(C542="ไม่จำหน่ายอาหาร",K542="N/A",ISNUMBER(L542)),AND(C542="มัสยิด",K542="N/A",L542="N/A",X542="N/A"))),AD542="รอยืนยัน",COUNT(K542:Z542)+COUNTIFS(K542:Z542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2" s="59" t="str"/>
      <x:c r="AI542" s="61"/>
    </x:row>
    <x:row r="543" ht="60" customHeight="1">
      <x:c r="A543" s="2" t="str">
        <x:v>R26-296</x:v>
      </x:c>
      <x:c r="B543" s="8" t="str">
        <x:v>Let's Relax Spa Hua Hin Market Village</x:v>
      </x:c>
      <x:c r="C543" s="59" t="str">
        <x:v>ไม่ทราบ</x:v>
      </x:c>
      <x:c r="D543" s="59" t="str">
        <x:v>ไม่ทราบ</x:v>
      </x:c>
      <x:c r="E543" s="59" t="str">
        <x:v>ไม่ทราบ</x:v>
      </x:c>
      <x:c r="F543" s="59" t="str">
        <x:v>ไม่ทราบ</x:v>
      </x:c>
      <x:c r="G543" s="59" t="str">
        <x:v>ไม่ทราบ</x:v>
      </x:c>
      <x:c r="H543" s="59" t="str">
        <x:v>N/A</x:v>
      </x:c>
      <x:c r="I543" s="59"/>
      <x:c r="J543" s="59" t="str">
        <x:v>ไม่ทราบ</x:v>
      </x:c>
      <x:c r="K543" s="59"/>
      <x:c r="L543" s="59"/>
      <x:c r="M543" s="59"/>
      <x:c r="N543" s="59"/>
      <x:c r="O543" s="59"/>
      <x:c r="P543" s="59"/>
      <x:c r="Q543" s="59"/>
      <x:c r="R543" s="59"/>
      <x:c r="S543" s="59"/>
      <x:c r="T543" s="59"/>
      <x:c r="U543" s="59"/>
      <x:c r="V543" s="59"/>
      <x:c r="W543" s="59"/>
      <x:c r="X543" s="59"/>
      <x:c r="Y543" s="59"/>
      <x:c r="Z543" s="59"/>
      <x:c r="AA543" s="8" t="str">
        <x:f>IF(C543="ไม่ทราบ","",SUMIFS($K$7:$Z$7,K543:Z543,"&lt;&gt;N/A"))</x:f>
      </x:c>
      <x:c r="AB543" s="8" t="str">
        <x:f>IF(AND(OR(AND(C543="จำหน่ายอาหาร",ISNUMBER(K543),L543="N/A"),AND(C543="ไม่จำหน่ายอาหาร",K543="N/A",ISNUMBER(L543)),AND(C543="มัสยิด",K543="N/A",L543="N/A",X543="N/A")),COUNT(K543:Z543)+COUNTIFS(K543:Z543,"N/A")=16),SUM(K543:Z543),"")</x:f>
      </x:c>
      <x:c r="AC543" s="62" t="str">
        <x:f>IF(OR(AB543="",AA543&lt;=0),"",ROUND(AB543/AA543*100,1))</x:f>
      </x:c>
      <x:c r="AD543" s="8" t="str">
        <x:f>IF(COUNTIFS(D543:H543,"ไม่ผ่าน")&gt;0,"ไม่ผ่าน",IF(COUNTIFS(D543:H543,"ไม่ทราบ")+COUNTBLANK(D543:H543)&gt;0,"รอยืนยัน","ผ่าน"))</x:f>
        <x:v>รอยืนยัน</x:v>
      </x:c>
      <x:c r="AE543" s="8" t="str">
        <x:f>IF(AF543="ใช่","ไม่ผ่านการคัดเลือก",IF(AND(AD543="ผ่าน",ISNUMBER(AC543),AC543&gt;=70),"พร้อมขาย",IF(OR(J543="ใช่",AND(ISNUMBER(AC543),AC543&gt;=50)),"พัฒนาเพื่อพร้อมขาย",IF(AND(ISNUMBER(AC543),AC543&lt;50,I543&gt;=1),"มีศักยภาพ แต่ต้องพัฒนามาตรฐาน","รอประเมิน"))))</x:f>
        <x:v>รอประเมิน</x:v>
      </x:c>
      <x:c r="AF543" s="59" t="str">
        <x:v>ไม่ทราบ</x:v>
      </x:c>
      <x:c r="AG543" s="8" t="str">
        <x:f>IF(AF543="ใช่","หัวหน้าทีมพิจารณาเหตุไม่ผ่าน",IF(OR(AA543&lt;=0,NOT(OR(AND(C543="จำหน่ายอาหาร",ISNUMBER(K543),L543="N/A"),AND(C543="ไม่จำหน่ายอาหาร",K543="N/A",ISNUMBER(L543)),AND(C543="มัสยิด",K543="N/A",L543="N/A",X543="N/A"))),AD543="รอยืนยัน",COUNT(K543:Z543)+COUNTIFS(K543:Z543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3" s="59" t="str"/>
      <x:c r="AI543" s="61"/>
    </x:row>
    <x:row r="544" ht="60" customHeight="1">
      <x:c r="A544" s="2" t="str">
        <x:v>R26-247</x:v>
      </x:c>
      <x:c r="B544" s="8" t="str">
        <x:v>หาดหัวหิน</x:v>
      </x:c>
      <x:c r="C544" s="59" t="str">
        <x:v>ไม่ทราบ</x:v>
      </x:c>
      <x:c r="D544" s="59" t="str">
        <x:v>ไม่ทราบ</x:v>
      </x:c>
      <x:c r="E544" s="59" t="str">
        <x:v>ไม่ทราบ</x:v>
      </x:c>
      <x:c r="F544" s="59" t="str">
        <x:v>ไม่ทราบ</x:v>
      </x:c>
      <x:c r="G544" s="59" t="str">
        <x:v>ไม่ทราบ</x:v>
      </x:c>
      <x:c r="H544" s="59" t="str">
        <x:v>N/A</x:v>
      </x:c>
      <x:c r="I544" s="59"/>
      <x:c r="J544" s="59" t="str">
        <x:v>ไม่ทราบ</x:v>
      </x:c>
      <x:c r="K544" s="59"/>
      <x:c r="L544" s="59"/>
      <x:c r="M544" s="59"/>
      <x:c r="N544" s="59"/>
      <x:c r="O544" s="59"/>
      <x:c r="P544" s="59"/>
      <x:c r="Q544" s="59"/>
      <x:c r="R544" s="59"/>
      <x:c r="S544" s="59"/>
      <x:c r="T544" s="59"/>
      <x:c r="U544" s="59"/>
      <x:c r="V544" s="59"/>
      <x:c r="W544" s="59"/>
      <x:c r="X544" s="59"/>
      <x:c r="Y544" s="59"/>
      <x:c r="Z544" s="59"/>
      <x:c r="AA544" s="8" t="str">
        <x:f>IF(C544="ไม่ทราบ","",SUMIFS($K$7:$Z$7,K544:Z544,"&lt;&gt;N/A"))</x:f>
      </x:c>
      <x:c r="AB544" s="8" t="str">
        <x:f>IF(AND(OR(AND(C544="จำหน่ายอาหาร",ISNUMBER(K544),L544="N/A"),AND(C544="ไม่จำหน่ายอาหาร",K544="N/A",ISNUMBER(L544)),AND(C544="มัสยิด",K544="N/A",L544="N/A",X544="N/A")),COUNT(K544:Z544)+COUNTIFS(K544:Z544,"N/A")=16),SUM(K544:Z544),"")</x:f>
      </x:c>
      <x:c r="AC544" s="62" t="str">
        <x:f>IF(OR(AB544="",AA544&lt;=0),"",ROUND(AB544/AA544*100,1))</x:f>
      </x:c>
      <x:c r="AD544" s="8" t="str">
        <x:f>IF(COUNTIFS(D544:H544,"ไม่ผ่าน")&gt;0,"ไม่ผ่าน",IF(COUNTIFS(D544:H544,"ไม่ทราบ")+COUNTBLANK(D544:H544)&gt;0,"รอยืนยัน","ผ่าน"))</x:f>
        <x:v>รอยืนยัน</x:v>
      </x:c>
      <x:c r="AE544" s="8" t="str">
        <x:f>IF(AF544="ใช่","ไม่ผ่านการคัดเลือก",IF(AND(AD544="ผ่าน",ISNUMBER(AC544),AC544&gt;=70),"พร้อมขาย",IF(OR(J544="ใช่",AND(ISNUMBER(AC544),AC544&gt;=50)),"พัฒนาเพื่อพร้อมขาย",IF(AND(ISNUMBER(AC544),AC544&lt;50,I544&gt;=1),"มีศักยภาพ แต่ต้องพัฒนามาตรฐาน","รอประเมิน"))))</x:f>
        <x:v>รอประเมิน</x:v>
      </x:c>
      <x:c r="AF544" s="59" t="str">
        <x:v>ไม่ทราบ</x:v>
      </x:c>
      <x:c r="AG544" s="8" t="str">
        <x:f>IF(AF544="ใช่","หัวหน้าทีมพิจารณาเหตุไม่ผ่าน",IF(OR(AA544&lt;=0,NOT(OR(AND(C544="จำหน่ายอาหาร",ISNUMBER(K544),L544="N/A"),AND(C544="ไม่จำหน่ายอาหาร",K544="N/A",ISNUMBER(L544)),AND(C544="มัสยิด",K544="N/A",L544="N/A",X544="N/A"))),AD544="รอยืนยัน",COUNT(K544:Z544)+COUNTIFS(K544:Z544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4" s="59" t="str"/>
      <x:c r="AI544" s="61"/>
    </x:row>
    <x:row r="545" ht="60" customHeight="1">
      <x:c r="A545" s="2" t="str">
        <x:v>R26-246</x:v>
      </x:c>
      <x:c r="B545" s="8" t="str">
        <x:v>อุทยานแห่งชาติสามร้อยยอด</x:v>
      </x:c>
      <x:c r="C545" s="59" t="str">
        <x:v>ไม่ทราบ</x:v>
      </x:c>
      <x:c r="D545" s="59" t="str">
        <x:v>ไม่ทราบ</x:v>
      </x:c>
      <x:c r="E545" s="59" t="str">
        <x:v>ไม่ทราบ</x:v>
      </x:c>
      <x:c r="F545" s="59" t="str">
        <x:v>ไม่ทราบ</x:v>
      </x:c>
      <x:c r="G545" s="59" t="str">
        <x:v>ไม่ทราบ</x:v>
      </x:c>
      <x:c r="H545" s="59" t="str">
        <x:v>N/A</x:v>
      </x:c>
      <x:c r="I545" s="59"/>
      <x:c r="J545" s="59" t="str">
        <x:v>ไม่ทราบ</x:v>
      </x:c>
      <x:c r="K545" s="59"/>
      <x:c r="L545" s="59"/>
      <x:c r="M545" s="59"/>
      <x:c r="N545" s="59"/>
      <x:c r="O545" s="59"/>
      <x:c r="P545" s="59"/>
      <x:c r="Q545" s="59"/>
      <x:c r="R545" s="59"/>
      <x:c r="S545" s="59"/>
      <x:c r="T545" s="59"/>
      <x:c r="U545" s="59"/>
      <x:c r="V545" s="59"/>
      <x:c r="W545" s="59"/>
      <x:c r="X545" s="59"/>
      <x:c r="Y545" s="59"/>
      <x:c r="Z545" s="59"/>
      <x:c r="AA545" s="8" t="str">
        <x:f>IF(C545="ไม่ทราบ","",SUMIFS($K$7:$Z$7,K545:Z545,"&lt;&gt;N/A"))</x:f>
      </x:c>
      <x:c r="AB545" s="8" t="str">
        <x:f>IF(AND(OR(AND(C545="จำหน่ายอาหาร",ISNUMBER(K545),L545="N/A"),AND(C545="ไม่จำหน่ายอาหาร",K545="N/A",ISNUMBER(L545)),AND(C545="มัสยิด",K545="N/A",L545="N/A",X545="N/A")),COUNT(K545:Z545)+COUNTIFS(K545:Z545,"N/A")=16),SUM(K545:Z545),"")</x:f>
      </x:c>
      <x:c r="AC545" s="62" t="str">
        <x:f>IF(OR(AB545="",AA545&lt;=0),"",ROUND(AB545/AA545*100,1))</x:f>
      </x:c>
      <x:c r="AD545" s="8" t="str">
        <x:f>IF(COUNTIFS(D545:H545,"ไม่ผ่าน")&gt;0,"ไม่ผ่าน",IF(COUNTIFS(D545:H545,"ไม่ทราบ")+COUNTBLANK(D545:H545)&gt;0,"รอยืนยัน","ผ่าน"))</x:f>
        <x:v>รอยืนยัน</x:v>
      </x:c>
      <x:c r="AE545" s="8" t="str">
        <x:f>IF(AF545="ใช่","ไม่ผ่านการคัดเลือก",IF(AND(AD545="ผ่าน",ISNUMBER(AC545),AC545&gt;=70),"พร้อมขาย",IF(OR(J545="ใช่",AND(ISNUMBER(AC545),AC545&gt;=50)),"พัฒนาเพื่อพร้อมขาย",IF(AND(ISNUMBER(AC545),AC545&lt;50,I545&gt;=1),"มีศักยภาพ แต่ต้องพัฒนามาตรฐาน","รอประเมิน"))))</x:f>
        <x:v>รอประเมิน</x:v>
      </x:c>
      <x:c r="AF545" s="59" t="str">
        <x:v>ไม่ทราบ</x:v>
      </x:c>
      <x:c r="AG545" s="8" t="str">
        <x:f>IF(AF545="ใช่","หัวหน้าทีมพิจารณาเหตุไม่ผ่าน",IF(OR(AA545&lt;=0,NOT(OR(AND(C545="จำหน่ายอาหาร",ISNUMBER(K545),L545="N/A"),AND(C545="ไม่จำหน่ายอาหาร",K545="N/A",ISNUMBER(L545)),AND(C545="มัสยิด",K545="N/A",L545="N/A",X545="N/A"))),AD545="รอยืนยัน",COUNT(K545:Z545)+COUNTIFS(K545:Z545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5" s="59" t="str"/>
      <x:c r="AI545" s="61"/>
    </x:row>
    <x:row r="546" ht="60" customHeight="1">
      <x:c r="A546" s="2" t="str">
        <x:v>R26-248</x:v>
      </x:c>
      <x:c r="B546" s="8" t="str">
        <x:v>ชุมชนบ้านเขาเต่า</x:v>
      </x:c>
      <x:c r="C546" s="59" t="str">
        <x:v>ไม่ทราบ</x:v>
      </x:c>
      <x:c r="D546" s="59" t="str">
        <x:v>ไม่ทราบ</x:v>
      </x:c>
      <x:c r="E546" s="59" t="str">
        <x:v>ไม่ทราบ</x:v>
      </x:c>
      <x:c r="F546" s="59" t="str">
        <x:v>ไม่ทราบ</x:v>
      </x:c>
      <x:c r="G546" s="59" t="str">
        <x:v>ไม่ทราบ</x:v>
      </x:c>
      <x:c r="H546" s="59" t="str">
        <x:v>N/A</x:v>
      </x:c>
      <x:c r="I546" s="59"/>
      <x:c r="J546" s="59" t="str">
        <x:v>ไม่ทราบ</x:v>
      </x:c>
      <x:c r="K546" s="59"/>
      <x:c r="L546" s="59"/>
      <x:c r="M546" s="59"/>
      <x:c r="N546" s="59"/>
      <x:c r="O546" s="59"/>
      <x:c r="P546" s="59"/>
      <x:c r="Q546" s="59"/>
      <x:c r="R546" s="59"/>
      <x:c r="S546" s="59"/>
      <x:c r="T546" s="59"/>
      <x:c r="U546" s="59"/>
      <x:c r="V546" s="59"/>
      <x:c r="W546" s="59"/>
      <x:c r="X546" s="59"/>
      <x:c r="Y546" s="59"/>
      <x:c r="Z546" s="59"/>
      <x:c r="AA546" s="8" t="str">
        <x:f>IF(C546="ไม่ทราบ","",SUMIFS($K$7:$Z$7,K546:Z546,"&lt;&gt;N/A"))</x:f>
      </x:c>
      <x:c r="AB546" s="8" t="str">
        <x:f>IF(AND(OR(AND(C546="จำหน่ายอาหาร",ISNUMBER(K546),L546="N/A"),AND(C546="ไม่จำหน่ายอาหาร",K546="N/A",ISNUMBER(L546)),AND(C546="มัสยิด",K546="N/A",L546="N/A",X546="N/A")),COUNT(K546:Z546)+COUNTIFS(K546:Z546,"N/A")=16),SUM(K546:Z546),"")</x:f>
      </x:c>
      <x:c r="AC546" s="62" t="str">
        <x:f>IF(OR(AB546="",AA546&lt;=0),"",ROUND(AB546/AA546*100,1))</x:f>
      </x:c>
      <x:c r="AD546" s="8" t="str">
        <x:f>IF(COUNTIFS(D546:H546,"ไม่ผ่าน")&gt;0,"ไม่ผ่าน",IF(COUNTIFS(D546:H546,"ไม่ทราบ")+COUNTBLANK(D546:H546)&gt;0,"รอยืนยัน","ผ่าน"))</x:f>
        <x:v>รอยืนยัน</x:v>
      </x:c>
      <x:c r="AE546" s="8" t="str">
        <x:f>IF(AF546="ใช่","ไม่ผ่านการคัดเลือก",IF(AND(AD546="ผ่าน",ISNUMBER(AC546),AC546&gt;=70),"พร้อมขาย",IF(OR(J546="ใช่",AND(ISNUMBER(AC546),AC546&gt;=50)),"พัฒนาเพื่อพร้อมขาย",IF(AND(ISNUMBER(AC546),AC546&lt;50,I546&gt;=1),"มีศักยภาพ แต่ต้องพัฒนามาตรฐาน","รอประเมิน"))))</x:f>
        <x:v>รอประเมิน</x:v>
      </x:c>
      <x:c r="AF546" s="59" t="str">
        <x:v>ไม่ทราบ</x:v>
      </x:c>
      <x:c r="AG546" s="8" t="str">
        <x:f>IF(AF546="ใช่","หัวหน้าทีมพิจารณาเหตุไม่ผ่าน",IF(OR(AA546&lt;=0,NOT(OR(AND(C546="จำหน่ายอาหาร",ISNUMBER(K546),L546="N/A"),AND(C546="ไม่จำหน่ายอาหาร",K546="N/A",ISNUMBER(L546)),AND(C546="มัสยิด",K546="N/A",L546="N/A",X546="N/A"))),AD546="รอยืนยัน",COUNT(K546:Z546)+COUNTIFS(K546:Z546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6" s="59" t="str"/>
      <x:c r="AI546" s="61"/>
    </x:row>
    <x:row r="547" ht="60" customHeight="1">
      <x:c r="A547" s="2" t="str">
        <x:v>TMF-186</x:v>
      </x:c>
      <x:c r="B547" s="8" t="str">
        <x:v>ณ ณิชา รีสอร์ท</x:v>
      </x:c>
      <x:c r="C547" s="59" t="str">
        <x:v>ไม่ทราบ</x:v>
      </x:c>
      <x:c r="D547" s="59" t="str">
        <x:v>ไม่ทราบ</x:v>
      </x:c>
      <x:c r="E547" s="59" t="str">
        <x:v>ไม่ทราบ</x:v>
      </x:c>
      <x:c r="F547" s="59" t="str">
        <x:v>ไม่ทราบ</x:v>
      </x:c>
      <x:c r="G547" s="59" t="str">
        <x:v>ไม่ทราบ</x:v>
      </x:c>
      <x:c r="H547" s="59" t="str">
        <x:v>ไม่ทราบ</x:v>
      </x:c>
      <x:c r="I547" s="59"/>
      <x:c r="J547" s="59" t="str">
        <x:v>ไม่ทราบ</x:v>
      </x:c>
      <x:c r="K547" s="59"/>
      <x:c r="L547" s="59"/>
      <x:c r="M547" s="59"/>
      <x:c r="N547" s="59"/>
      <x:c r="O547" s="59"/>
      <x:c r="P547" s="59"/>
      <x:c r="Q547" s="59"/>
      <x:c r="R547" s="59"/>
      <x:c r="S547" s="59"/>
      <x:c r="T547" s="59"/>
      <x:c r="U547" s="59"/>
      <x:c r="V547" s="59"/>
      <x:c r="W547" s="59"/>
      <x:c r="X547" s="59"/>
      <x:c r="Y547" s="59"/>
      <x:c r="Z547" s="59"/>
      <x:c r="AA547" s="8" t="str">
        <x:f>IF(C547="ไม่ทราบ","",SUMIFS($K$7:$Z$7,K547:Z547,"&lt;&gt;N/A"))</x:f>
      </x:c>
      <x:c r="AB547" s="8" t="str">
        <x:f>IF(AND(OR(AND(C547="จำหน่ายอาหาร",ISNUMBER(K547),L547="N/A"),AND(C547="ไม่จำหน่ายอาหาร",K547="N/A",ISNUMBER(L547)),AND(C547="มัสยิด",K547="N/A",L547="N/A",X547="N/A")),COUNT(K547:Z547)+COUNTIFS(K547:Z547,"N/A")=16),SUM(K547:Z547),"")</x:f>
      </x:c>
      <x:c r="AC547" s="62" t="str">
        <x:f>IF(OR(AB547="",AA547&lt;=0),"",ROUND(AB547/AA547*100,1))</x:f>
      </x:c>
      <x:c r="AD547" s="8" t="str">
        <x:f>IF(COUNTIFS(D547:H547,"ไม่ผ่าน")&gt;0,"ไม่ผ่าน",IF(COUNTIFS(D547:H547,"ไม่ทราบ")+COUNTBLANK(D547:H547)&gt;0,"รอยืนยัน","ผ่าน"))</x:f>
        <x:v>รอยืนยัน</x:v>
      </x:c>
      <x:c r="AE547" s="8" t="str">
        <x:f>IF(AF547="ใช่","ไม่ผ่านการคัดเลือก",IF(AND(AD547="ผ่าน",ISNUMBER(AC547),AC547&gt;=70),"พร้อมขาย",IF(OR(J547="ใช่",AND(ISNUMBER(AC547),AC547&gt;=50)),"พัฒนาเพื่อพร้อมขาย",IF(AND(ISNUMBER(AC547),AC547&lt;50,I547&gt;=1),"มีศักยภาพ แต่ต้องพัฒนามาตรฐาน","รอประเมิน"))))</x:f>
        <x:v>รอประเมิน</x:v>
      </x:c>
      <x:c r="AF547" s="59" t="str">
        <x:v>ไม่ทราบ</x:v>
      </x:c>
      <x:c r="AG547" s="8" t="str">
        <x:f>IF(AF547="ใช่","หัวหน้าทีมพิจารณาเหตุไม่ผ่าน",IF(OR(AA547&lt;=0,NOT(OR(AND(C547="จำหน่ายอาหาร",ISNUMBER(K547),L547="N/A"),AND(C547="ไม่จำหน่ายอาหาร",K547="N/A",ISNUMBER(L547)),AND(C547="มัสยิด",K547="N/A",L547="N/A",X547="N/A"))),AD547="รอยืนยัน",COUNT(K547:Z547)+COUNTIFS(K547:Z547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7" s="59" t="str"/>
      <x:c r="AI547" s="61"/>
    </x:row>
    <x:row r="548" ht="60" customHeight="1">
      <x:c r="A548" s="2" t="str">
        <x:v>TMF-376</x:v>
      </x:c>
      <x:c r="B548" s="8" t="str">
        <x:v>โรงแรม เลอ เอราวัณ พังงา</x:v>
      </x:c>
      <x:c r="C548" s="59" t="str">
        <x:v>ไม่ทราบ</x:v>
      </x:c>
      <x:c r="D548" s="59" t="str">
        <x:v>ไม่ทราบ</x:v>
      </x:c>
      <x:c r="E548" s="59" t="str">
        <x:v>ไม่ทราบ</x:v>
      </x:c>
      <x:c r="F548" s="59" t="str">
        <x:v>ไม่ทราบ</x:v>
      </x:c>
      <x:c r="G548" s="59" t="str">
        <x:v>ไม่ทราบ</x:v>
      </x:c>
      <x:c r="H548" s="59" t="str">
        <x:v>ไม่ทราบ</x:v>
      </x:c>
      <x:c r="I548" s="59"/>
      <x:c r="J548" s="59" t="str">
        <x:v>ไม่ทราบ</x:v>
      </x:c>
      <x:c r="K548" s="59"/>
      <x:c r="L548" s="59"/>
      <x:c r="M548" s="59"/>
      <x:c r="N548" s="59"/>
      <x:c r="O548" s="59"/>
      <x:c r="P548" s="59"/>
      <x:c r="Q548" s="59"/>
      <x:c r="R548" s="59"/>
      <x:c r="S548" s="59"/>
      <x:c r="T548" s="59"/>
      <x:c r="U548" s="59"/>
      <x:c r="V548" s="59"/>
      <x:c r="W548" s="59"/>
      <x:c r="X548" s="59"/>
      <x:c r="Y548" s="59"/>
      <x:c r="Z548" s="59"/>
      <x:c r="AA548" s="8" t="str">
        <x:f>IF(C548="ไม่ทราบ","",SUMIFS($K$7:$Z$7,K548:Z548,"&lt;&gt;N/A"))</x:f>
      </x:c>
      <x:c r="AB548" s="8" t="str">
        <x:f>IF(AND(OR(AND(C548="จำหน่ายอาหาร",ISNUMBER(K548),L548="N/A"),AND(C548="ไม่จำหน่ายอาหาร",K548="N/A",ISNUMBER(L548)),AND(C548="มัสยิด",K548="N/A",L548="N/A",X548="N/A")),COUNT(K548:Z548)+COUNTIFS(K548:Z548,"N/A")=16),SUM(K548:Z548),"")</x:f>
      </x:c>
      <x:c r="AC548" s="62" t="str">
        <x:f>IF(OR(AB548="",AA548&lt;=0),"",ROUND(AB548/AA548*100,1))</x:f>
      </x:c>
      <x:c r="AD548" s="8" t="str">
        <x:f>IF(COUNTIFS(D548:H548,"ไม่ผ่าน")&gt;0,"ไม่ผ่าน",IF(COUNTIFS(D548:H548,"ไม่ทราบ")+COUNTBLANK(D548:H548)&gt;0,"รอยืนยัน","ผ่าน"))</x:f>
        <x:v>รอยืนยัน</x:v>
      </x:c>
      <x:c r="AE548" s="8" t="str">
        <x:f>IF(AF548="ใช่","ไม่ผ่านการคัดเลือก",IF(AND(AD548="ผ่าน",ISNUMBER(AC548),AC548&gt;=70),"พร้อมขาย",IF(OR(J548="ใช่",AND(ISNUMBER(AC548),AC548&gt;=50)),"พัฒนาเพื่อพร้อมขาย",IF(AND(ISNUMBER(AC548),AC548&lt;50,I548&gt;=1),"มีศักยภาพ แต่ต้องพัฒนามาตรฐาน","รอประเมิน"))))</x:f>
        <x:v>รอประเมิน</x:v>
      </x:c>
      <x:c r="AF548" s="59" t="str">
        <x:v>ไม่ทราบ</x:v>
      </x:c>
      <x:c r="AG548" s="8" t="str">
        <x:f>IF(AF548="ใช่","หัวหน้าทีมพิจารณาเหตุไม่ผ่าน",IF(OR(AA548&lt;=0,NOT(OR(AND(C548="จำหน่ายอาหาร",ISNUMBER(K548),L548="N/A"),AND(C548="ไม่จำหน่ายอาหาร",K548="N/A",ISNUMBER(L548)),AND(C548="มัสยิด",K548="N/A",L548="N/A",X548="N/A"))),AD548="รอยืนยัน",COUNT(K548:Z548)+COUNTIFS(K548:Z548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8" s="59" t="str"/>
      <x:c r="AI548" s="61"/>
    </x:row>
    <x:row r="549" ht="60" customHeight="1">
      <x:c r="A549" s="2" t="str">
        <x:v>TMF-377</x:v>
      </x:c>
      <x:c r="B549" s="8" t="str">
        <x:v>โรงแรมภูงา</x:v>
      </x:c>
      <x:c r="C549" s="59" t="str">
        <x:v>ไม่ทราบ</x:v>
      </x:c>
      <x:c r="D549" s="59" t="str">
        <x:v>ไม่ทราบ</x:v>
      </x:c>
      <x:c r="E549" s="59" t="str">
        <x:v>ไม่ทราบ</x:v>
      </x:c>
      <x:c r="F549" s="59" t="str">
        <x:v>ไม่ทราบ</x:v>
      </x:c>
      <x:c r="G549" s="59" t="str">
        <x:v>ไม่ทราบ</x:v>
      </x:c>
      <x:c r="H549" s="59" t="str">
        <x:v>ไม่ทราบ</x:v>
      </x:c>
      <x:c r="I549" s="59"/>
      <x:c r="J549" s="59" t="str">
        <x:v>ไม่ทราบ</x:v>
      </x:c>
      <x:c r="K549" s="59"/>
      <x:c r="L549" s="59"/>
      <x:c r="M549" s="59"/>
      <x:c r="N549" s="59"/>
      <x:c r="O549" s="59"/>
      <x:c r="P549" s="59"/>
      <x:c r="Q549" s="59"/>
      <x:c r="R549" s="59"/>
      <x:c r="S549" s="59"/>
      <x:c r="T549" s="59"/>
      <x:c r="U549" s="59"/>
      <x:c r="V549" s="59"/>
      <x:c r="W549" s="59"/>
      <x:c r="X549" s="59"/>
      <x:c r="Y549" s="59"/>
      <x:c r="Z549" s="59"/>
      <x:c r="AA549" s="8" t="str">
        <x:f>IF(C549="ไม่ทราบ","",SUMIFS($K$7:$Z$7,K549:Z549,"&lt;&gt;N/A"))</x:f>
      </x:c>
      <x:c r="AB549" s="8" t="str">
        <x:f>IF(AND(OR(AND(C549="จำหน่ายอาหาร",ISNUMBER(K549),L549="N/A"),AND(C549="ไม่จำหน่ายอาหาร",K549="N/A",ISNUMBER(L549)),AND(C549="มัสยิด",K549="N/A",L549="N/A",X549="N/A")),COUNT(K549:Z549)+COUNTIFS(K549:Z549,"N/A")=16),SUM(K549:Z549),"")</x:f>
      </x:c>
      <x:c r="AC549" s="62" t="str">
        <x:f>IF(OR(AB549="",AA549&lt;=0),"",ROUND(AB549/AA549*100,1))</x:f>
      </x:c>
      <x:c r="AD549" s="8" t="str">
        <x:f>IF(COUNTIFS(D549:H549,"ไม่ผ่าน")&gt;0,"ไม่ผ่าน",IF(COUNTIFS(D549:H549,"ไม่ทราบ")+COUNTBLANK(D549:H549)&gt;0,"รอยืนยัน","ผ่าน"))</x:f>
        <x:v>รอยืนยัน</x:v>
      </x:c>
      <x:c r="AE549" s="8" t="str">
        <x:f>IF(AF549="ใช่","ไม่ผ่านการคัดเลือก",IF(AND(AD549="ผ่าน",ISNUMBER(AC549),AC549&gt;=70),"พร้อมขาย",IF(OR(J549="ใช่",AND(ISNUMBER(AC549),AC549&gt;=50)),"พัฒนาเพื่อพร้อมขาย",IF(AND(ISNUMBER(AC549),AC549&lt;50,I549&gt;=1),"มีศักยภาพ แต่ต้องพัฒนามาตรฐาน","รอประเมิน"))))</x:f>
        <x:v>รอประเมิน</x:v>
      </x:c>
      <x:c r="AF549" s="59" t="str">
        <x:v>ไม่ทราบ</x:v>
      </x:c>
      <x:c r="AG549" s="8" t="str">
        <x:f>IF(AF549="ใช่","หัวหน้าทีมพิจารณาเหตุไม่ผ่าน",IF(OR(AA549&lt;=0,NOT(OR(AND(C549="จำหน่ายอาหาร",ISNUMBER(K549),L549="N/A"),AND(C549="ไม่จำหน่ายอาหาร",K549="N/A",ISNUMBER(L549)),AND(C549="มัสยิด",K549="N/A",L549="N/A",X549="N/A"))),AD549="รอยืนยัน",COUNT(K549:Z549)+COUNTIFS(K549:Z549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49" s="59" t="str"/>
      <x:c r="AI549" s="61"/>
    </x:row>
    <x:row r="550" ht="60" customHeight="1">
      <x:c r="A550" s="2" t="str">
        <x:v>TMF-187</x:v>
      </x:c>
      <x:c r="B550" s="8" t="str">
        <x:v>ครัวอารีย์บังหมาดบางพัฒน์ พังงา</x:v>
      </x:c>
      <x:c r="C550" s="59" t="str">
        <x:v>จำหน่ายอาหาร</x:v>
      </x:c>
      <x:c r="D550" s="59" t="str">
        <x:v>ไม่ทราบ</x:v>
      </x:c>
      <x:c r="E550" s="59" t="str">
        <x:v>ไม่ทราบ</x:v>
      </x:c>
      <x:c r="F550" s="59" t="str">
        <x:v>ไม่ทราบ</x:v>
      </x:c>
      <x:c r="G550" s="59" t="str">
        <x:v>ไม่ทราบ</x:v>
      </x:c>
      <x:c r="H550" s="59" t="str">
        <x:v>N/A</x:v>
      </x:c>
      <x:c r="I550" s="59"/>
      <x:c r="J550" s="59" t="str">
        <x:v>ไม่ทราบ</x:v>
      </x:c>
      <x:c r="K550" s="59"/>
      <x:c r="L550" s="59" t="str">
        <x:v>N/A</x:v>
      </x:c>
      <x:c r="M550" s="59"/>
      <x:c r="N550" s="59"/>
      <x:c r="O550" s="59"/>
      <x:c r="P550" s="59"/>
      <x:c r="Q550" s="59"/>
      <x:c r="R550" s="59"/>
      <x:c r="S550" s="59"/>
      <x:c r="T550" s="59"/>
      <x:c r="U550" s="59"/>
      <x:c r="V550" s="59"/>
      <x:c r="W550" s="59"/>
      <x:c r="X550" s="59"/>
      <x:c r="Y550" s="59"/>
      <x:c r="Z550" s="59"/>
      <x:c r="AA550" s="8" t="n">
        <x:f>IF(C550="ไม่ทราบ","",SUMIFS($K$7:$Z$7,K550:Z550,"&lt;&gt;N/A"))</x:f>
        <x:v>100</x:v>
      </x:c>
      <x:c r="AB550" s="8" t="str">
        <x:f>IF(AND(OR(AND(C550="จำหน่ายอาหาร",ISNUMBER(K550),L550="N/A"),AND(C550="ไม่จำหน่ายอาหาร",K550="N/A",ISNUMBER(L550)),AND(C550="มัสยิด",K550="N/A",L550="N/A",X550="N/A")),COUNT(K550:Z550)+COUNTIFS(K550:Z550,"N/A")=16),SUM(K550:Z550),"")</x:f>
      </x:c>
      <x:c r="AC550" s="62" t="str">
        <x:f>IF(OR(AB550="",AA550&lt;=0),"",ROUND(AB550/AA550*100,1))</x:f>
      </x:c>
      <x:c r="AD550" s="8" t="str">
        <x:f>IF(COUNTIFS(D550:H550,"ไม่ผ่าน")&gt;0,"ไม่ผ่าน",IF(COUNTIFS(D550:H550,"ไม่ทราบ")+COUNTBLANK(D550:H550)&gt;0,"รอยืนยัน","ผ่าน"))</x:f>
        <x:v>รอยืนยัน</x:v>
      </x:c>
      <x:c r="AE550" s="8" t="str">
        <x:f>IF(AF550="ใช่","ไม่ผ่านการคัดเลือก",IF(AND(AD550="ผ่าน",ISNUMBER(AC550),AC550&gt;=70),"พร้อมขาย",IF(OR(J550="ใช่",AND(ISNUMBER(AC550),AC550&gt;=50)),"พัฒนาเพื่อพร้อมขาย",IF(AND(ISNUMBER(AC550),AC550&lt;50,I550&gt;=1),"มีศักยภาพ แต่ต้องพัฒนามาตรฐาน","รอประเมิน"))))</x:f>
        <x:v>รอประเมิน</x:v>
      </x:c>
      <x:c r="AF550" s="59" t="str">
        <x:v>ไม่ทราบ</x:v>
      </x:c>
      <x:c r="AG550" s="8" t="str">
        <x:f>IF(AF550="ใช่","หัวหน้าทีมพิจารณาเหตุไม่ผ่าน",IF(OR(AA550&lt;=0,NOT(OR(AND(C550="จำหน่ายอาหาร",ISNUMBER(K550),L550="N/A"),AND(C550="ไม่จำหน่ายอาหาร",K550="N/A",ISNUMBER(L550)),AND(C550="มัสยิด",K550="N/A",L550="N/A",X550="N/A"))),AD550="รอยืนยัน",COUNT(K550:Z550)+COUNTIFS(K550:Z550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0" s="59" t="str"/>
      <x:c r="AI550" s="61"/>
    </x:row>
    <x:row r="551" ht="60" customHeight="1">
      <x:c r="A551" s="2" t="str">
        <x:v>R26-294</x:v>
      </x:c>
      <x:c r="B551" s="8" t="str">
        <x:v>Devasom Spa Khao Lak</x:v>
      </x:c>
      <x:c r="C551" s="59" t="str">
        <x:v>ไม่ทราบ</x:v>
      </x:c>
      <x:c r="D551" s="59" t="str">
        <x:v>ไม่ทราบ</x:v>
      </x:c>
      <x:c r="E551" s="59" t="str">
        <x:v>ไม่ทราบ</x:v>
      </x:c>
      <x:c r="F551" s="59" t="str">
        <x:v>ไม่ทราบ</x:v>
      </x:c>
      <x:c r="G551" s="59" t="str">
        <x:v>ไม่ทราบ</x:v>
      </x:c>
      <x:c r="H551" s="59" t="str">
        <x:v>N/A</x:v>
      </x:c>
      <x:c r="I551" s="59"/>
      <x:c r="J551" s="59" t="str">
        <x:v>ไม่ทราบ</x:v>
      </x:c>
      <x:c r="K551" s="59"/>
      <x:c r="L551" s="59"/>
      <x:c r="M551" s="59"/>
      <x:c r="N551" s="59"/>
      <x:c r="O551" s="59"/>
      <x:c r="P551" s="59"/>
      <x:c r="Q551" s="59"/>
      <x:c r="R551" s="59"/>
      <x:c r="S551" s="59"/>
      <x:c r="T551" s="59"/>
      <x:c r="U551" s="59"/>
      <x:c r="V551" s="59"/>
      <x:c r="W551" s="59"/>
      <x:c r="X551" s="59"/>
      <x:c r="Y551" s="59"/>
      <x:c r="Z551" s="59"/>
      <x:c r="AA551" s="8" t="str">
        <x:f>IF(C551="ไม่ทราบ","",SUMIFS($K$7:$Z$7,K551:Z551,"&lt;&gt;N/A"))</x:f>
      </x:c>
      <x:c r="AB551" s="8" t="str">
        <x:f>IF(AND(OR(AND(C551="จำหน่ายอาหาร",ISNUMBER(K551),L551="N/A"),AND(C551="ไม่จำหน่ายอาหาร",K551="N/A",ISNUMBER(L551)),AND(C551="มัสยิด",K551="N/A",L551="N/A",X551="N/A")),COUNT(K551:Z551)+COUNTIFS(K551:Z551,"N/A")=16),SUM(K551:Z551),"")</x:f>
      </x:c>
      <x:c r="AC551" s="62" t="str">
        <x:f>IF(OR(AB551="",AA551&lt;=0),"",ROUND(AB551/AA551*100,1))</x:f>
      </x:c>
      <x:c r="AD551" s="8" t="str">
        <x:f>IF(COUNTIFS(D551:H551,"ไม่ผ่าน")&gt;0,"ไม่ผ่าน",IF(COUNTIFS(D551:H551,"ไม่ทราบ")+COUNTBLANK(D551:H551)&gt;0,"รอยืนยัน","ผ่าน"))</x:f>
        <x:v>รอยืนยัน</x:v>
      </x:c>
      <x:c r="AE551" s="8" t="str">
        <x:f>IF(AF551="ใช่","ไม่ผ่านการคัดเลือก",IF(AND(AD551="ผ่าน",ISNUMBER(AC551),AC551&gt;=70),"พร้อมขาย",IF(OR(J551="ใช่",AND(ISNUMBER(AC551),AC551&gt;=50)),"พัฒนาเพื่อพร้อมขาย",IF(AND(ISNUMBER(AC551),AC551&lt;50,I551&gt;=1),"มีศักยภาพ แต่ต้องพัฒนามาตรฐาน","รอประเมิน"))))</x:f>
        <x:v>รอประเมิน</x:v>
      </x:c>
      <x:c r="AF551" s="59" t="str">
        <x:v>ไม่ทราบ</x:v>
      </x:c>
      <x:c r="AG551" s="8" t="str">
        <x:f>IF(AF551="ใช่","หัวหน้าทีมพิจารณาเหตุไม่ผ่าน",IF(OR(AA551&lt;=0,NOT(OR(AND(C551="จำหน่ายอาหาร",ISNUMBER(K551),L551="N/A"),AND(C551="ไม่จำหน่ายอาหาร",K551="N/A",ISNUMBER(L551)),AND(C551="มัสยิด",K551="N/A",L551="N/A",X551="N/A"))),AD551="รอยืนยัน",COUNT(K551:Z551)+COUNTIFS(K551:Z551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1" s="59" t="str"/>
      <x:c r="AI551" s="61"/>
    </x:row>
    <x:row r="552" ht="60" customHeight="1">
      <x:c r="A552" s="2" t="str">
        <x:v>R26-228</x:v>
      </x:c>
      <x:c r="B552" s="8" t="str">
        <x:v>น้ำตกโตนช่องฟ้า</x:v>
      </x:c>
      <x:c r="C552" s="59" t="str">
        <x:v>ไม่ทราบ</x:v>
      </x:c>
      <x:c r="D552" s="59" t="str">
        <x:v>ไม่ทราบ</x:v>
      </x:c>
      <x:c r="E552" s="59" t="str">
        <x:v>ไม่ทราบ</x:v>
      </x:c>
      <x:c r="F552" s="59" t="str">
        <x:v>ไม่ทราบ</x:v>
      </x:c>
      <x:c r="G552" s="59" t="str">
        <x:v>ไม่ทราบ</x:v>
      </x:c>
      <x:c r="H552" s="59" t="str">
        <x:v>N/A</x:v>
      </x:c>
      <x:c r="I552" s="59"/>
      <x:c r="J552" s="59" t="str">
        <x:v>ไม่ทราบ</x:v>
      </x:c>
      <x:c r="K552" s="59"/>
      <x:c r="L552" s="59"/>
      <x:c r="M552" s="59"/>
      <x:c r="N552" s="59"/>
      <x:c r="O552" s="59"/>
      <x:c r="P552" s="59"/>
      <x:c r="Q552" s="59"/>
      <x:c r="R552" s="59"/>
      <x:c r="S552" s="59"/>
      <x:c r="T552" s="59"/>
      <x:c r="U552" s="59"/>
      <x:c r="V552" s="59"/>
      <x:c r="W552" s="59"/>
      <x:c r="X552" s="59"/>
      <x:c r="Y552" s="59"/>
      <x:c r="Z552" s="59"/>
      <x:c r="AA552" s="8" t="str">
        <x:f>IF(C552="ไม่ทราบ","",SUMIFS($K$7:$Z$7,K552:Z552,"&lt;&gt;N/A"))</x:f>
      </x:c>
      <x:c r="AB552" s="8" t="str">
        <x:f>IF(AND(OR(AND(C552="จำหน่ายอาหาร",ISNUMBER(K552),L552="N/A"),AND(C552="ไม่จำหน่ายอาหาร",K552="N/A",ISNUMBER(L552)),AND(C552="มัสยิด",K552="N/A",L552="N/A",X552="N/A")),COUNT(K552:Z552)+COUNTIFS(K552:Z552,"N/A")=16),SUM(K552:Z552),"")</x:f>
      </x:c>
      <x:c r="AC552" s="62" t="str">
        <x:f>IF(OR(AB552="",AA552&lt;=0),"",ROUND(AB552/AA552*100,1))</x:f>
      </x:c>
      <x:c r="AD552" s="8" t="str">
        <x:f>IF(COUNTIFS(D552:H552,"ไม่ผ่าน")&gt;0,"ไม่ผ่าน",IF(COUNTIFS(D552:H552,"ไม่ทราบ")+COUNTBLANK(D552:H552)&gt;0,"รอยืนยัน","ผ่าน"))</x:f>
        <x:v>รอยืนยัน</x:v>
      </x:c>
      <x:c r="AE552" s="8" t="str">
        <x:f>IF(AF552="ใช่","ไม่ผ่านการคัดเลือก",IF(AND(AD552="ผ่าน",ISNUMBER(AC552),AC552&gt;=70),"พร้อมขาย",IF(OR(J552="ใช่",AND(ISNUMBER(AC552),AC552&gt;=50)),"พัฒนาเพื่อพร้อมขาย",IF(AND(ISNUMBER(AC552),AC552&lt;50,I552&gt;=1),"มีศักยภาพ แต่ต้องพัฒนามาตรฐาน","รอประเมิน"))))</x:f>
        <x:v>รอประเมิน</x:v>
      </x:c>
      <x:c r="AF552" s="59" t="str">
        <x:v>ไม่ทราบ</x:v>
      </x:c>
      <x:c r="AG552" s="8" t="str">
        <x:f>IF(AF552="ใช่","หัวหน้าทีมพิจารณาเหตุไม่ผ่าน",IF(OR(AA552&lt;=0,NOT(OR(AND(C552="จำหน่ายอาหาร",ISNUMBER(K552),L552="N/A"),AND(C552="ไม่จำหน่ายอาหาร",K552="N/A",ISNUMBER(L552)),AND(C552="มัสยิด",K552="N/A",L552="N/A",X552="N/A"))),AD552="รอยืนยัน",COUNT(K552:Z552)+COUNTIFS(K552:Z552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2" s="59" t="str"/>
      <x:c r="AI552" s="61"/>
    </x:row>
    <x:row r="553" ht="60" customHeight="1">
      <x:c r="A553" s="2" t="str">
        <x:v>R26-227</x:v>
      </x:c>
      <x:c r="B553" s="8" t="str">
        <x:v>หาดบางสัก</x:v>
      </x:c>
      <x:c r="C553" s="59" t="str">
        <x:v>ไม่ทราบ</x:v>
      </x:c>
      <x:c r="D553" s="59" t="str">
        <x:v>ไม่ทราบ</x:v>
      </x:c>
      <x:c r="E553" s="59" t="str">
        <x:v>ไม่ทราบ</x:v>
      </x:c>
      <x:c r="F553" s="59" t="str">
        <x:v>ไม่ทราบ</x:v>
      </x:c>
      <x:c r="G553" s="59" t="str">
        <x:v>ไม่ทราบ</x:v>
      </x:c>
      <x:c r="H553" s="59" t="str">
        <x:v>N/A</x:v>
      </x:c>
      <x:c r="I553" s="59"/>
      <x:c r="J553" s="59" t="str">
        <x:v>ไม่ทราบ</x:v>
      </x:c>
      <x:c r="K553" s="59"/>
      <x:c r="L553" s="59"/>
      <x:c r="M553" s="59"/>
      <x:c r="N553" s="59"/>
      <x:c r="O553" s="59"/>
      <x:c r="P553" s="59"/>
      <x:c r="Q553" s="59"/>
      <x:c r="R553" s="59"/>
      <x:c r="S553" s="59"/>
      <x:c r="T553" s="59"/>
      <x:c r="U553" s="59"/>
      <x:c r="V553" s="59"/>
      <x:c r="W553" s="59"/>
      <x:c r="X553" s="59"/>
      <x:c r="Y553" s="59"/>
      <x:c r="Z553" s="59"/>
      <x:c r="AA553" s="8" t="str">
        <x:f>IF(C553="ไม่ทราบ","",SUMIFS($K$7:$Z$7,K553:Z553,"&lt;&gt;N/A"))</x:f>
      </x:c>
      <x:c r="AB553" s="8" t="str">
        <x:f>IF(AND(OR(AND(C553="จำหน่ายอาหาร",ISNUMBER(K553),L553="N/A"),AND(C553="ไม่จำหน่ายอาหาร",K553="N/A",ISNUMBER(L553)),AND(C553="มัสยิด",K553="N/A",L553="N/A",X553="N/A")),COUNT(K553:Z553)+COUNTIFS(K553:Z553,"N/A")=16),SUM(K553:Z553),"")</x:f>
      </x:c>
      <x:c r="AC553" s="62" t="str">
        <x:f>IF(OR(AB553="",AA553&lt;=0),"",ROUND(AB553/AA553*100,1))</x:f>
      </x:c>
      <x:c r="AD553" s="8" t="str">
        <x:f>IF(COUNTIFS(D553:H553,"ไม่ผ่าน")&gt;0,"ไม่ผ่าน",IF(COUNTIFS(D553:H553,"ไม่ทราบ")+COUNTBLANK(D553:H553)&gt;0,"รอยืนยัน","ผ่าน"))</x:f>
        <x:v>รอยืนยัน</x:v>
      </x:c>
      <x:c r="AE553" s="8" t="str">
        <x:f>IF(AF553="ใช่","ไม่ผ่านการคัดเลือก",IF(AND(AD553="ผ่าน",ISNUMBER(AC553),AC553&gt;=70),"พร้อมขาย",IF(OR(J553="ใช่",AND(ISNUMBER(AC553),AC553&gt;=50)),"พัฒนาเพื่อพร้อมขาย",IF(AND(ISNUMBER(AC553),AC553&lt;50,I553&gt;=1),"มีศักยภาพ แต่ต้องพัฒนามาตรฐาน","รอประเมิน"))))</x:f>
        <x:v>รอประเมิน</x:v>
      </x:c>
      <x:c r="AF553" s="59" t="str">
        <x:v>ไม่ทราบ</x:v>
      </x:c>
      <x:c r="AG553" s="8" t="str">
        <x:f>IF(AF553="ใช่","หัวหน้าทีมพิจารณาเหตุไม่ผ่าน",IF(OR(AA553&lt;=0,NOT(OR(AND(C553="จำหน่ายอาหาร",ISNUMBER(K553),L553="N/A"),AND(C553="ไม่จำหน่ายอาหาร",K553="N/A",ISNUMBER(L553)),AND(C553="มัสยิด",K553="N/A",L553="N/A",X553="N/A"))),AD553="รอยืนยัน",COUNT(K553:Z553)+COUNTIFS(K553:Z553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3" s="59" t="str"/>
      <x:c r="AI553" s="61"/>
    </x:row>
    <x:row r="554" ht="60" customHeight="1">
      <x:c r="A554" s="2" t="str">
        <x:v>TMF-568</x:v>
      </x:c>
      <x:c r="B554" s="8" t="str">
        <x:v>อุทยานแห่งชาติอ่าวพังงา</x:v>
      </x:c>
      <x:c r="C554" s="59" t="str">
        <x:v>ไม่ทราบ</x:v>
      </x:c>
      <x:c r="D554" s="59" t="str">
        <x:v>ไม่ทราบ</x:v>
      </x:c>
      <x:c r="E554" s="59" t="str">
        <x:v>ไม่ทราบ</x:v>
      </x:c>
      <x:c r="F554" s="59" t="str">
        <x:v>ไม่ทราบ</x:v>
      </x:c>
      <x:c r="G554" s="59" t="str">
        <x:v>ไม่ทราบ</x:v>
      </x:c>
      <x:c r="H554" s="59" t="str">
        <x:v>N/A</x:v>
      </x:c>
      <x:c r="I554" s="59"/>
      <x:c r="J554" s="59" t="str">
        <x:v>ไม่ทราบ</x:v>
      </x:c>
      <x:c r="K554" s="59"/>
      <x:c r="L554" s="59"/>
      <x:c r="M554" s="59"/>
      <x:c r="N554" s="59"/>
      <x:c r="O554" s="59"/>
      <x:c r="P554" s="59"/>
      <x:c r="Q554" s="59"/>
      <x:c r="R554" s="59"/>
      <x:c r="S554" s="59"/>
      <x:c r="T554" s="59"/>
      <x:c r="U554" s="59"/>
      <x:c r="V554" s="59"/>
      <x:c r="W554" s="59"/>
      <x:c r="X554" s="59"/>
      <x:c r="Y554" s="59"/>
      <x:c r="Z554" s="59"/>
      <x:c r="AA554" s="8" t="str">
        <x:f>IF(C554="ไม่ทราบ","",SUMIFS($K$7:$Z$7,K554:Z554,"&lt;&gt;N/A"))</x:f>
      </x:c>
      <x:c r="AB554" s="8" t="str">
        <x:f>IF(AND(OR(AND(C554="จำหน่ายอาหาร",ISNUMBER(K554),L554="N/A"),AND(C554="ไม่จำหน่ายอาหาร",K554="N/A",ISNUMBER(L554)),AND(C554="มัสยิด",K554="N/A",L554="N/A",X554="N/A")),COUNT(K554:Z554)+COUNTIFS(K554:Z554,"N/A")=16),SUM(K554:Z554),"")</x:f>
      </x:c>
      <x:c r="AC554" s="62" t="str">
        <x:f>IF(OR(AB554="",AA554&lt;=0),"",ROUND(AB554/AA554*100,1))</x:f>
      </x:c>
      <x:c r="AD554" s="8" t="str">
        <x:f>IF(COUNTIFS(D554:H554,"ไม่ผ่าน")&gt;0,"ไม่ผ่าน",IF(COUNTIFS(D554:H554,"ไม่ทราบ")+COUNTBLANK(D554:H554)&gt;0,"รอยืนยัน","ผ่าน"))</x:f>
        <x:v>รอยืนยัน</x:v>
      </x:c>
      <x:c r="AE554" s="8" t="str">
        <x:f>IF(AF554="ใช่","ไม่ผ่านการคัดเลือก",IF(AND(AD554="ผ่าน",ISNUMBER(AC554),AC554&gt;=70),"พร้อมขาย",IF(OR(J554="ใช่",AND(ISNUMBER(AC554),AC554&gt;=50)),"พัฒนาเพื่อพร้อมขาย",IF(AND(ISNUMBER(AC554),AC554&lt;50,I554&gt;=1),"มีศักยภาพ แต่ต้องพัฒนามาตรฐาน","รอประเมิน"))))</x:f>
        <x:v>รอประเมิน</x:v>
      </x:c>
      <x:c r="AF554" s="59" t="str">
        <x:v>ไม่ทราบ</x:v>
      </x:c>
      <x:c r="AG554" s="8" t="str">
        <x:f>IF(AF554="ใช่","หัวหน้าทีมพิจารณาเหตุไม่ผ่าน",IF(OR(AA554&lt;=0,NOT(OR(AND(C554="จำหน่ายอาหาร",ISNUMBER(K554),L554="N/A"),AND(C554="ไม่จำหน่ายอาหาร",K554="N/A",ISNUMBER(L554)),AND(C554="มัสยิด",K554="N/A",L554="N/A",X554="N/A"))),AD554="รอยืนยัน",COUNT(K554:Z554)+COUNTIFS(K554:Z554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4" s="59" t="str"/>
      <x:c r="AI554" s="61"/>
    </x:row>
    <x:row r="555" ht="60" customHeight="1">
      <x:c r="A555" s="2" t="str">
        <x:v>R26-226</x:v>
      </x:c>
      <x:c r="B555" s="8" t="str">
        <x:v>อุทยานแห่งชาติเขาหลัก-ลำรู่</x:v>
      </x:c>
      <x:c r="C555" s="59" t="str">
        <x:v>ไม่ทราบ</x:v>
      </x:c>
      <x:c r="D555" s="59" t="str">
        <x:v>ไม่ทราบ</x:v>
      </x:c>
      <x:c r="E555" s="59" t="str">
        <x:v>ไม่ทราบ</x:v>
      </x:c>
      <x:c r="F555" s="59" t="str">
        <x:v>ไม่ทราบ</x:v>
      </x:c>
      <x:c r="G555" s="59" t="str">
        <x:v>ไม่ทราบ</x:v>
      </x:c>
      <x:c r="H555" s="59" t="str">
        <x:v>N/A</x:v>
      </x:c>
      <x:c r="I555" s="59"/>
      <x:c r="J555" s="59" t="str">
        <x:v>ไม่ทราบ</x:v>
      </x:c>
      <x:c r="K555" s="59"/>
      <x:c r="L555" s="59"/>
      <x:c r="M555" s="59"/>
      <x:c r="N555" s="59"/>
      <x:c r="O555" s="59"/>
      <x:c r="P555" s="59"/>
      <x:c r="Q555" s="59"/>
      <x:c r="R555" s="59"/>
      <x:c r="S555" s="59"/>
      <x:c r="T555" s="59"/>
      <x:c r="U555" s="59"/>
      <x:c r="V555" s="59"/>
      <x:c r="W555" s="59"/>
      <x:c r="X555" s="59"/>
      <x:c r="Y555" s="59"/>
      <x:c r="Z555" s="59"/>
      <x:c r="AA555" s="8" t="str">
        <x:f>IF(C555="ไม่ทราบ","",SUMIFS($K$7:$Z$7,K555:Z555,"&lt;&gt;N/A"))</x:f>
      </x:c>
      <x:c r="AB555" s="8" t="str">
        <x:f>IF(AND(OR(AND(C555="จำหน่ายอาหาร",ISNUMBER(K555),L555="N/A"),AND(C555="ไม่จำหน่ายอาหาร",K555="N/A",ISNUMBER(L555)),AND(C555="มัสยิด",K555="N/A",L555="N/A",X555="N/A")),COUNT(K555:Z555)+COUNTIFS(K555:Z555,"N/A")=16),SUM(K555:Z555),"")</x:f>
      </x:c>
      <x:c r="AC555" s="62" t="str">
        <x:f>IF(OR(AB555="",AA555&lt;=0),"",ROUND(AB555/AA555*100,1))</x:f>
      </x:c>
      <x:c r="AD555" s="8" t="str">
        <x:f>IF(COUNTIFS(D555:H555,"ไม่ผ่าน")&gt;0,"ไม่ผ่าน",IF(COUNTIFS(D555:H555,"ไม่ทราบ")+COUNTBLANK(D555:H555)&gt;0,"รอยืนยัน","ผ่าน"))</x:f>
        <x:v>รอยืนยัน</x:v>
      </x:c>
      <x:c r="AE555" s="8" t="str">
        <x:f>IF(AF555="ใช่","ไม่ผ่านการคัดเลือก",IF(AND(AD555="ผ่าน",ISNUMBER(AC555),AC555&gt;=70),"พร้อมขาย",IF(OR(J555="ใช่",AND(ISNUMBER(AC555),AC555&gt;=50)),"พัฒนาเพื่อพร้อมขาย",IF(AND(ISNUMBER(AC555),AC555&lt;50,I555&gt;=1),"มีศักยภาพ แต่ต้องพัฒนามาตรฐาน","รอประเมิน"))))</x:f>
        <x:v>รอประเมิน</x:v>
      </x:c>
      <x:c r="AF555" s="59" t="str">
        <x:v>ไม่ทราบ</x:v>
      </x:c>
      <x:c r="AG555" s="8" t="str">
        <x:f>IF(AF555="ใช่","หัวหน้าทีมพิจารณาเหตุไม่ผ่าน",IF(OR(AA555&lt;=0,NOT(OR(AND(C555="จำหน่ายอาหาร",ISNUMBER(K555),L555="N/A"),AND(C555="ไม่จำหน่ายอาหาร",K555="N/A",ISNUMBER(L555)),AND(C555="มัสยิด",K555="N/A",L555="N/A",X555="N/A"))),AD555="รอยืนยัน",COUNT(K555:Z555)+COUNTIFS(K555:Z555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5" s="59" t="str"/>
      <x:c r="AI555" s="61"/>
    </x:row>
    <x:row r="556" ht="60" customHeight="1">
      <x:c r="A556" s="2" t="str">
        <x:v>R26-225</x:v>
      </x:c>
      <x:c r="B556" s="8" t="str">
        <x:v>ชุมชนบ้านท่าดินแดง</x:v>
      </x:c>
      <x:c r="C556" s="59" t="str">
        <x:v>ไม่ทราบ</x:v>
      </x:c>
      <x:c r="D556" s="59" t="str">
        <x:v>ไม่ทราบ</x:v>
      </x:c>
      <x:c r="E556" s="59" t="str">
        <x:v>ไม่ทราบ</x:v>
      </x:c>
      <x:c r="F556" s="59" t="str">
        <x:v>ไม่ทราบ</x:v>
      </x:c>
      <x:c r="G556" s="59" t="str">
        <x:v>ไม่ทราบ</x:v>
      </x:c>
      <x:c r="H556" s="59" t="str">
        <x:v>N/A</x:v>
      </x:c>
      <x:c r="I556" s="59"/>
      <x:c r="J556" s="59" t="str">
        <x:v>ไม่ทราบ</x:v>
      </x:c>
      <x:c r="K556" s="59"/>
      <x:c r="L556" s="59"/>
      <x:c r="M556" s="59"/>
      <x:c r="N556" s="59"/>
      <x:c r="O556" s="59"/>
      <x:c r="P556" s="59"/>
      <x:c r="Q556" s="59"/>
      <x:c r="R556" s="59"/>
      <x:c r="S556" s="59"/>
      <x:c r="T556" s="59"/>
      <x:c r="U556" s="59"/>
      <x:c r="V556" s="59"/>
      <x:c r="W556" s="59"/>
      <x:c r="X556" s="59"/>
      <x:c r="Y556" s="59"/>
      <x:c r="Z556" s="59"/>
      <x:c r="AA556" s="8" t="str">
        <x:f>IF(C556="ไม่ทราบ","",SUMIFS($K$7:$Z$7,K556:Z556,"&lt;&gt;N/A"))</x:f>
      </x:c>
      <x:c r="AB556" s="8" t="str">
        <x:f>IF(AND(OR(AND(C556="จำหน่ายอาหาร",ISNUMBER(K556),L556="N/A"),AND(C556="ไม่จำหน่ายอาหาร",K556="N/A",ISNUMBER(L556)),AND(C556="มัสยิด",K556="N/A",L556="N/A",X556="N/A")),COUNT(K556:Z556)+COUNTIFS(K556:Z556,"N/A")=16),SUM(K556:Z556),"")</x:f>
      </x:c>
      <x:c r="AC556" s="62" t="str">
        <x:f>IF(OR(AB556="",AA556&lt;=0),"",ROUND(AB556/AA556*100,1))</x:f>
      </x:c>
      <x:c r="AD556" s="8" t="str">
        <x:f>IF(COUNTIFS(D556:H556,"ไม่ผ่าน")&gt;0,"ไม่ผ่าน",IF(COUNTIFS(D556:H556,"ไม่ทราบ")+COUNTBLANK(D556:H556)&gt;0,"รอยืนยัน","ผ่าน"))</x:f>
        <x:v>รอยืนยัน</x:v>
      </x:c>
      <x:c r="AE556" s="8" t="str">
        <x:f>IF(AF556="ใช่","ไม่ผ่านการคัดเลือก",IF(AND(AD556="ผ่าน",ISNUMBER(AC556),AC556&gt;=70),"พร้อมขาย",IF(OR(J556="ใช่",AND(ISNUMBER(AC556),AC556&gt;=50)),"พัฒนาเพื่อพร้อมขาย",IF(AND(ISNUMBER(AC556),AC556&lt;50,I556&gt;=1),"มีศักยภาพ แต่ต้องพัฒนามาตรฐาน","รอประเมิน"))))</x:f>
        <x:v>รอประเมิน</x:v>
      </x:c>
      <x:c r="AF556" s="59" t="str">
        <x:v>ไม่ทราบ</x:v>
      </x:c>
      <x:c r="AG556" s="8" t="str">
        <x:f>IF(AF556="ใช่","หัวหน้าทีมพิจารณาเหตุไม่ผ่าน",IF(OR(AA556&lt;=0,NOT(OR(AND(C556="จำหน่ายอาหาร",ISNUMBER(K556),L556="N/A"),AND(C556="ไม่จำหน่ายอาหาร",K556="N/A",ISNUMBER(L556)),AND(C556="มัสยิด",K556="N/A",L556="N/A",X556="N/A"))),AD556="รอยืนยัน",COUNT(K556:Z556)+COUNTIFS(K556:Z556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6" s="59" t="str"/>
      <x:c r="AI556" s="61"/>
    </x:row>
    <x:row r="557" ht="60" customHeight="1">
      <x:c r="A557" s="2" t="str">
        <x:v>R26-223</x:v>
      </x:c>
      <x:c r="B557" s="8" t="str">
        <x:v>ชุมชนบ้านสามช่องเหนือ</x:v>
      </x:c>
      <x:c r="C557" s="59" t="str">
        <x:v>ไม่ทราบ</x:v>
      </x:c>
      <x:c r="D557" s="59" t="str">
        <x:v>ไม่ทราบ</x:v>
      </x:c>
      <x:c r="E557" s="59" t="str">
        <x:v>ไม่ทราบ</x:v>
      </x:c>
      <x:c r="F557" s="59" t="str">
        <x:v>ไม่ทราบ</x:v>
      </x:c>
      <x:c r="G557" s="59" t="str">
        <x:v>ไม่ทราบ</x:v>
      </x:c>
      <x:c r="H557" s="59" t="str">
        <x:v>N/A</x:v>
      </x:c>
      <x:c r="I557" s="59"/>
      <x:c r="J557" s="59" t="str">
        <x:v>ไม่ทราบ</x:v>
      </x:c>
      <x:c r="K557" s="59"/>
      <x:c r="L557" s="59"/>
      <x:c r="M557" s="59"/>
      <x:c r="N557" s="59"/>
      <x:c r="O557" s="59"/>
      <x:c r="P557" s="59"/>
      <x:c r="Q557" s="59"/>
      <x:c r="R557" s="59"/>
      <x:c r="S557" s="59"/>
      <x:c r="T557" s="59"/>
      <x:c r="U557" s="59"/>
      <x:c r="V557" s="59"/>
      <x:c r="W557" s="59"/>
      <x:c r="X557" s="59"/>
      <x:c r="Y557" s="59"/>
      <x:c r="Z557" s="59"/>
      <x:c r="AA557" s="8" t="str">
        <x:f>IF(C557="ไม่ทราบ","",SUMIFS($K$7:$Z$7,K557:Z557,"&lt;&gt;N/A"))</x:f>
      </x:c>
      <x:c r="AB557" s="8" t="str">
        <x:f>IF(AND(OR(AND(C557="จำหน่ายอาหาร",ISNUMBER(K557),L557="N/A"),AND(C557="ไม่จำหน่ายอาหาร",K557="N/A",ISNUMBER(L557)),AND(C557="มัสยิด",K557="N/A",L557="N/A",X557="N/A")),COUNT(K557:Z557)+COUNTIFS(K557:Z557,"N/A")=16),SUM(K557:Z557),"")</x:f>
      </x:c>
      <x:c r="AC557" s="62" t="str">
        <x:f>IF(OR(AB557="",AA557&lt;=0),"",ROUND(AB557/AA557*100,1))</x:f>
      </x:c>
      <x:c r="AD557" s="8" t="str">
        <x:f>IF(COUNTIFS(D557:H557,"ไม่ผ่าน")&gt;0,"ไม่ผ่าน",IF(COUNTIFS(D557:H557,"ไม่ทราบ")+COUNTBLANK(D557:H557)&gt;0,"รอยืนยัน","ผ่าน"))</x:f>
        <x:v>รอยืนยัน</x:v>
      </x:c>
      <x:c r="AE557" s="8" t="str">
        <x:f>IF(AF557="ใช่","ไม่ผ่านการคัดเลือก",IF(AND(AD557="ผ่าน",ISNUMBER(AC557),AC557&gt;=70),"พร้อมขาย",IF(OR(J557="ใช่",AND(ISNUMBER(AC557),AC557&gt;=50)),"พัฒนาเพื่อพร้อมขาย",IF(AND(ISNUMBER(AC557),AC557&lt;50,I557&gt;=1),"มีศักยภาพ แต่ต้องพัฒนามาตรฐาน","รอประเมิน"))))</x:f>
        <x:v>รอประเมิน</x:v>
      </x:c>
      <x:c r="AF557" s="59" t="str">
        <x:v>ไม่ทราบ</x:v>
      </x:c>
      <x:c r="AG557" s="8" t="str">
        <x:f>IF(AF557="ใช่","หัวหน้าทีมพิจารณาเหตุไม่ผ่าน",IF(OR(AA557&lt;=0,NOT(OR(AND(C557="จำหน่ายอาหาร",ISNUMBER(K557),L557="N/A"),AND(C557="ไม่จำหน่ายอาหาร",K557="N/A",ISNUMBER(L557)),AND(C557="มัสยิด",K557="N/A",L557="N/A",X557="N/A"))),AD557="รอยืนยัน",COUNT(K557:Z557)+COUNTIFS(K557:Z557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7" s="59" t="str"/>
      <x:c r="AI557" s="61"/>
    </x:row>
    <x:row r="558" ht="60" customHeight="1">
      <x:c r="A558" s="2" t="str">
        <x:v>R26-224</x:v>
      </x:c>
      <x:c r="B558" s="8" t="str">
        <x:v>ชุมชนบ้านโคกไคร</x:v>
      </x:c>
      <x:c r="C558" s="59" t="str">
        <x:v>ไม่ทราบ</x:v>
      </x:c>
      <x:c r="D558" s="59" t="str">
        <x:v>ไม่ทราบ</x:v>
      </x:c>
      <x:c r="E558" s="59" t="str">
        <x:v>ไม่ทราบ</x:v>
      </x:c>
      <x:c r="F558" s="59" t="str">
        <x:v>ไม่ทราบ</x:v>
      </x:c>
      <x:c r="G558" s="59" t="str">
        <x:v>ไม่ทราบ</x:v>
      </x:c>
      <x:c r="H558" s="59" t="str">
        <x:v>N/A</x:v>
      </x:c>
      <x:c r="I558" s="59"/>
      <x:c r="J558" s="59" t="str">
        <x:v>ไม่ทราบ</x:v>
      </x:c>
      <x:c r="K558" s="59"/>
      <x:c r="L558" s="59"/>
      <x:c r="M558" s="59"/>
      <x:c r="N558" s="59"/>
      <x:c r="O558" s="59"/>
      <x:c r="P558" s="59"/>
      <x:c r="Q558" s="59"/>
      <x:c r="R558" s="59"/>
      <x:c r="S558" s="59"/>
      <x:c r="T558" s="59"/>
      <x:c r="U558" s="59"/>
      <x:c r="V558" s="59"/>
      <x:c r="W558" s="59"/>
      <x:c r="X558" s="59"/>
      <x:c r="Y558" s="59"/>
      <x:c r="Z558" s="59"/>
      <x:c r="AA558" s="8" t="str">
        <x:f>IF(C558="ไม่ทราบ","",SUMIFS($K$7:$Z$7,K558:Z558,"&lt;&gt;N/A"))</x:f>
      </x:c>
      <x:c r="AB558" s="8" t="str">
        <x:f>IF(AND(OR(AND(C558="จำหน่ายอาหาร",ISNUMBER(K558),L558="N/A"),AND(C558="ไม่จำหน่ายอาหาร",K558="N/A",ISNUMBER(L558)),AND(C558="มัสยิด",K558="N/A",L558="N/A",X558="N/A")),COUNT(K558:Z558)+COUNTIFS(K558:Z558,"N/A")=16),SUM(K558:Z558),"")</x:f>
      </x:c>
      <x:c r="AC558" s="62" t="str">
        <x:f>IF(OR(AB558="",AA558&lt;=0),"",ROUND(AB558/AA558*100,1))</x:f>
      </x:c>
      <x:c r="AD558" s="8" t="str">
        <x:f>IF(COUNTIFS(D558:H558,"ไม่ผ่าน")&gt;0,"ไม่ผ่าน",IF(COUNTIFS(D558:H558,"ไม่ทราบ")+COUNTBLANK(D558:H558)&gt;0,"รอยืนยัน","ผ่าน"))</x:f>
        <x:v>รอยืนยัน</x:v>
      </x:c>
      <x:c r="AE558" s="8" t="str">
        <x:f>IF(AF558="ใช่","ไม่ผ่านการคัดเลือก",IF(AND(AD558="ผ่าน",ISNUMBER(AC558),AC558&gt;=70),"พร้อมขาย",IF(OR(J558="ใช่",AND(ISNUMBER(AC558),AC558&gt;=50)),"พัฒนาเพื่อพร้อมขาย",IF(AND(ISNUMBER(AC558),AC558&lt;50,I558&gt;=1),"มีศักยภาพ แต่ต้องพัฒนามาตรฐาน","รอประเมิน"))))</x:f>
        <x:v>รอประเมิน</x:v>
      </x:c>
      <x:c r="AF558" s="59" t="str">
        <x:v>ไม่ทราบ</x:v>
      </x:c>
      <x:c r="AG558" s="8" t="str">
        <x:f>IF(AF558="ใช่","หัวหน้าทีมพิจารณาเหตุไม่ผ่าน",IF(OR(AA558&lt;=0,NOT(OR(AND(C558="จำหน่ายอาหาร",ISNUMBER(K558),L558="N/A"),AND(C558="ไม่จำหน่ายอาหาร",K558="N/A",ISNUMBER(L558)),AND(C558="มัสยิด",K558="N/A",L558="N/A",X558="N/A"))),AD558="รอยืนยัน",COUNT(K558:Z558)+COUNTIFS(K558:Z558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8" s="59" t="str"/>
      <x:c r="AI558" s="61"/>
    </x:row>
    <x:row r="559" ht="60" customHeight="1">
      <x:c r="A559" s="2" t="str">
        <x:v>TMF-567</x:v>
      </x:c>
      <x:c r="B559" s="8" t="str">
        <x:v>เกาะปันหยี</x:v>
      </x:c>
      <x:c r="C559" s="59" t="str">
        <x:v>ไม่ทราบ</x:v>
      </x:c>
      <x:c r="D559" s="59" t="str">
        <x:v>ไม่ทราบ</x:v>
      </x:c>
      <x:c r="E559" s="59" t="str">
        <x:v>ไม่ทราบ</x:v>
      </x:c>
      <x:c r="F559" s="59" t="str">
        <x:v>ไม่ทราบ</x:v>
      </x:c>
      <x:c r="G559" s="59" t="str">
        <x:v>ไม่ทราบ</x:v>
      </x:c>
      <x:c r="H559" s="59" t="str">
        <x:v>N/A</x:v>
      </x:c>
      <x:c r="I559" s="59"/>
      <x:c r="J559" s="59" t="str">
        <x:v>ไม่ทราบ</x:v>
      </x:c>
      <x:c r="K559" s="59"/>
      <x:c r="L559" s="59"/>
      <x:c r="M559" s="59"/>
      <x:c r="N559" s="59"/>
      <x:c r="O559" s="59"/>
      <x:c r="P559" s="59"/>
      <x:c r="Q559" s="59"/>
      <x:c r="R559" s="59"/>
      <x:c r="S559" s="59"/>
      <x:c r="T559" s="59"/>
      <x:c r="U559" s="59"/>
      <x:c r="V559" s="59"/>
      <x:c r="W559" s="59"/>
      <x:c r="X559" s="59"/>
      <x:c r="Y559" s="59"/>
      <x:c r="Z559" s="59"/>
      <x:c r="AA559" s="8" t="str">
        <x:f>IF(C559="ไม่ทราบ","",SUMIFS($K$7:$Z$7,K559:Z559,"&lt;&gt;N/A"))</x:f>
      </x:c>
      <x:c r="AB559" s="8" t="str">
        <x:f>IF(AND(OR(AND(C559="จำหน่ายอาหาร",ISNUMBER(K559),L559="N/A"),AND(C559="ไม่จำหน่ายอาหาร",K559="N/A",ISNUMBER(L559)),AND(C559="มัสยิด",K559="N/A",L559="N/A",X559="N/A")),COUNT(K559:Z559)+COUNTIFS(K559:Z559,"N/A")=16),SUM(K559:Z559),"")</x:f>
      </x:c>
      <x:c r="AC559" s="62" t="str">
        <x:f>IF(OR(AB559="",AA559&lt;=0),"",ROUND(AB559/AA559*100,1))</x:f>
      </x:c>
      <x:c r="AD559" s="8" t="str">
        <x:f>IF(COUNTIFS(D559:H559,"ไม่ผ่าน")&gt;0,"ไม่ผ่าน",IF(COUNTIFS(D559:H559,"ไม่ทราบ")+COUNTBLANK(D559:H559)&gt;0,"รอยืนยัน","ผ่าน"))</x:f>
        <x:v>รอยืนยัน</x:v>
      </x:c>
      <x:c r="AE559" s="8" t="str">
        <x:f>IF(AF559="ใช่","ไม่ผ่านการคัดเลือก",IF(AND(AD559="ผ่าน",ISNUMBER(AC559),AC559&gt;=70),"พร้อมขาย",IF(OR(J559="ใช่",AND(ISNUMBER(AC559),AC559&gt;=50)),"พัฒนาเพื่อพร้อมขาย",IF(AND(ISNUMBER(AC559),AC559&lt;50,I559&gt;=1),"มีศักยภาพ แต่ต้องพัฒนามาตรฐาน","รอประเมิน"))))</x:f>
        <x:v>รอประเมิน</x:v>
      </x:c>
      <x:c r="AF559" s="59" t="str">
        <x:v>ไม่ทราบ</x:v>
      </x:c>
      <x:c r="AG559" s="8" t="str">
        <x:f>IF(AF559="ใช่","หัวหน้าทีมพิจารณาเหตุไม่ผ่าน",IF(OR(AA559&lt;=0,NOT(OR(AND(C559="จำหน่ายอาหาร",ISNUMBER(K559),L559="N/A"),AND(C559="ไม่จำหน่ายอาหาร",K559="N/A",ISNUMBER(L559)),AND(C559="มัสยิด",K559="N/A",L559="N/A",X559="N/A"))),AD559="รอยืนยัน",COUNT(K559:Z559)+COUNTIFS(K559:Z559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59" s="59" t="str"/>
      <x:c r="AI559" s="61"/>
    </x:row>
    <x:row r="560" ht="60" customHeight="1">
      <x:c r="A560" s="2" t="str">
        <x:v>TMF-378</x:v>
      </x:c>
      <x:c r="B560" s="8" t="str">
        <x:v>โรงแรมภูเก็ตเกรซแลนด์ รีสอร์ท แอนด์ สปา</x:v>
      </x:c>
      <x:c r="C560" s="59" t="str">
        <x:v>ไม่ทราบ</x:v>
      </x:c>
      <x:c r="D560" s="59" t="str">
        <x:v>ไม่ทราบ</x:v>
      </x:c>
      <x:c r="E560" s="59" t="str">
        <x:v>ไม่ทราบ</x:v>
      </x:c>
      <x:c r="F560" s="59" t="str">
        <x:v>ไม่ทราบ</x:v>
      </x:c>
      <x:c r="G560" s="59" t="str">
        <x:v>ไม่ทราบ</x:v>
      </x:c>
      <x:c r="H560" s="59" t="str">
        <x:v>ไม่ทราบ</x:v>
      </x:c>
      <x:c r="I560" s="59"/>
      <x:c r="J560" s="59" t="str">
        <x:v>ไม่ทราบ</x:v>
      </x:c>
      <x:c r="K560" s="59"/>
      <x:c r="L560" s="59"/>
      <x:c r="M560" s="59"/>
      <x:c r="N560" s="59"/>
      <x:c r="O560" s="59"/>
      <x:c r="P560" s="59"/>
      <x:c r="Q560" s="59"/>
      <x:c r="R560" s="59"/>
      <x:c r="S560" s="59"/>
      <x:c r="T560" s="59"/>
      <x:c r="U560" s="59"/>
      <x:c r="V560" s="59"/>
      <x:c r="W560" s="59"/>
      <x:c r="X560" s="59"/>
      <x:c r="Y560" s="59"/>
      <x:c r="Z560" s="59"/>
      <x:c r="AA560" s="8" t="str">
        <x:f>IF(C560="ไม่ทราบ","",SUMIFS($K$7:$Z$7,K560:Z560,"&lt;&gt;N/A"))</x:f>
      </x:c>
      <x:c r="AB560" s="8" t="str">
        <x:f>IF(AND(OR(AND(C560="จำหน่ายอาหาร",ISNUMBER(K560),L560="N/A"),AND(C560="ไม่จำหน่ายอาหาร",K560="N/A",ISNUMBER(L560)),AND(C560="มัสยิด",K560="N/A",L560="N/A",X560="N/A")),COUNT(K560:Z560)+COUNTIFS(K560:Z560,"N/A")=16),SUM(K560:Z560),"")</x:f>
      </x:c>
      <x:c r="AC560" s="62" t="str">
        <x:f>IF(OR(AB560="",AA560&lt;=0),"",ROUND(AB560/AA560*100,1))</x:f>
      </x:c>
      <x:c r="AD560" s="8" t="str">
        <x:f>IF(COUNTIFS(D560:H560,"ไม่ผ่าน")&gt;0,"ไม่ผ่าน",IF(COUNTIFS(D560:H560,"ไม่ทราบ")+COUNTBLANK(D560:H560)&gt;0,"รอยืนยัน","ผ่าน"))</x:f>
        <x:v>รอยืนยัน</x:v>
      </x:c>
      <x:c r="AE560" s="8" t="str">
        <x:f>IF(AF560="ใช่","ไม่ผ่านการคัดเลือก",IF(AND(AD560="ผ่าน",ISNUMBER(AC560),AC560&gt;=70),"พร้อมขาย",IF(OR(J560="ใช่",AND(ISNUMBER(AC560),AC560&gt;=50)),"พัฒนาเพื่อพร้อมขาย",IF(AND(ISNUMBER(AC560),AC560&lt;50,I560&gt;=1),"มีศักยภาพ แต่ต้องพัฒนามาตรฐาน","รอประเมิน"))))</x:f>
        <x:v>รอประเมิน</x:v>
      </x:c>
      <x:c r="AF560" s="59" t="str">
        <x:v>ไม่ทราบ</x:v>
      </x:c>
      <x:c r="AG560" s="8" t="str">
        <x:f>IF(AF560="ใช่","หัวหน้าทีมพิจารณาเหตุไม่ผ่าน",IF(OR(AA560&lt;=0,NOT(OR(AND(C560="จำหน่ายอาหาร",ISNUMBER(K560),L560="N/A"),AND(C560="ไม่จำหน่ายอาหาร",K560="N/A",ISNUMBER(L560)),AND(C560="มัสยิด",K560="N/A",L560="N/A",X560="N/A"))),AD560="รอยืนยัน",COUNT(K560:Z560)+COUNTIFS(K560:Z560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0" s="59" t="str"/>
      <x:c r="AI560" s="61"/>
    </x:row>
    <x:row r="561" ht="60" customHeight="1">
      <x:c r="A561" s="2" t="str">
        <x:v>TMF-379</x:v>
      </x:c>
      <x:c r="B561" s="8" t="str">
        <x:v>โรงแรมเดอะรอยัลพาราไดซ์ ป่าตอง</x:v>
      </x:c>
      <x:c r="C561" s="59" t="str">
        <x:v>ไม่ทราบ</x:v>
      </x:c>
      <x:c r="D561" s="59" t="str">
        <x:v>ไม่ทราบ</x:v>
      </x:c>
      <x:c r="E561" s="59" t="str">
        <x:v>ไม่ทราบ</x:v>
      </x:c>
      <x:c r="F561" s="59" t="str">
        <x:v>ไม่ทราบ</x:v>
      </x:c>
      <x:c r="G561" s="59" t="str">
        <x:v>ไม่ทราบ</x:v>
      </x:c>
      <x:c r="H561" s="59" t="str">
        <x:v>ไม่ทราบ</x:v>
      </x:c>
      <x:c r="I561" s="59"/>
      <x:c r="J561" s="59" t="str">
        <x:v>ไม่ทราบ</x:v>
      </x:c>
      <x:c r="K561" s="59"/>
      <x:c r="L561" s="59"/>
      <x:c r="M561" s="59"/>
      <x:c r="N561" s="59"/>
      <x:c r="O561" s="59"/>
      <x:c r="P561" s="59"/>
      <x:c r="Q561" s="59"/>
      <x:c r="R561" s="59"/>
      <x:c r="S561" s="59"/>
      <x:c r="T561" s="59"/>
      <x:c r="U561" s="59"/>
      <x:c r="V561" s="59"/>
      <x:c r="W561" s="59"/>
      <x:c r="X561" s="59"/>
      <x:c r="Y561" s="59"/>
      <x:c r="Z561" s="59"/>
      <x:c r="AA561" s="8" t="str">
        <x:f>IF(C561="ไม่ทราบ","",SUMIFS($K$7:$Z$7,K561:Z561,"&lt;&gt;N/A"))</x:f>
      </x:c>
      <x:c r="AB561" s="8" t="str">
        <x:f>IF(AND(OR(AND(C561="จำหน่ายอาหาร",ISNUMBER(K561),L561="N/A"),AND(C561="ไม่จำหน่ายอาหาร",K561="N/A",ISNUMBER(L561)),AND(C561="มัสยิด",K561="N/A",L561="N/A",X561="N/A")),COUNT(K561:Z561)+COUNTIFS(K561:Z561,"N/A")=16),SUM(K561:Z561),"")</x:f>
      </x:c>
      <x:c r="AC561" s="62" t="str">
        <x:f>IF(OR(AB561="",AA561&lt;=0),"",ROUND(AB561/AA561*100,1))</x:f>
      </x:c>
      <x:c r="AD561" s="8" t="str">
        <x:f>IF(COUNTIFS(D561:H561,"ไม่ผ่าน")&gt;0,"ไม่ผ่าน",IF(COUNTIFS(D561:H561,"ไม่ทราบ")+COUNTBLANK(D561:H561)&gt;0,"รอยืนยัน","ผ่าน"))</x:f>
        <x:v>รอยืนยัน</x:v>
      </x:c>
      <x:c r="AE561" s="8" t="str">
        <x:f>IF(AF561="ใช่","ไม่ผ่านการคัดเลือก",IF(AND(AD561="ผ่าน",ISNUMBER(AC561),AC561&gt;=70),"พร้อมขาย",IF(OR(J561="ใช่",AND(ISNUMBER(AC561),AC561&gt;=50)),"พัฒนาเพื่อพร้อมขาย",IF(AND(ISNUMBER(AC561),AC561&lt;50,I561&gt;=1),"มีศักยภาพ แต่ต้องพัฒนามาตรฐาน","รอประเมิน"))))</x:f>
        <x:v>รอประเมิน</x:v>
      </x:c>
      <x:c r="AF561" s="59" t="str">
        <x:v>ไม่ทราบ</x:v>
      </x:c>
      <x:c r="AG561" s="8" t="str">
        <x:f>IF(AF561="ใช่","หัวหน้าทีมพิจารณาเหตุไม่ผ่าน",IF(OR(AA561&lt;=0,NOT(OR(AND(C561="จำหน่ายอาหาร",ISNUMBER(K561),L561="N/A"),AND(C561="ไม่จำหน่ายอาหาร",K561="N/A",ISNUMBER(L561)),AND(C561="มัสยิด",K561="N/A",L561="N/A",X561="N/A"))),AD561="รอยืนยัน",COUNT(K561:Z561)+COUNTIFS(K561:Z561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1" s="59" t="str"/>
      <x:c r="AI561" s="61"/>
    </x:row>
    <x:row r="562" ht="60" customHeight="1">
      <x:c r="A562" s="2" t="str">
        <x:v>TMF-571</x:v>
      </x:c>
      <x:c r="B562" s="8" t="str">
        <x:v>SairaBakery ไซร่าเบเกอรี่ฮาลาล เค้กภูเก็ต</x:v>
      </x:c>
      <x:c r="C562" s="59" t="str">
        <x:v>จำหน่ายอาหาร</x:v>
      </x:c>
      <x:c r="D562" s="59" t="str">
        <x:v>ไม่ทราบ</x:v>
      </x:c>
      <x:c r="E562" s="59" t="str">
        <x:v>ไม่ทราบ</x:v>
      </x:c>
      <x:c r="F562" s="59" t="str">
        <x:v>ไม่ทราบ</x:v>
      </x:c>
      <x:c r="G562" s="59" t="str">
        <x:v>ไม่ทราบ</x:v>
      </x:c>
      <x:c r="H562" s="59" t="str">
        <x:v>N/A</x:v>
      </x:c>
      <x:c r="I562" s="59"/>
      <x:c r="J562" s="59" t="str">
        <x:v>ไม่ทราบ</x:v>
      </x:c>
      <x:c r="K562" s="59"/>
      <x:c r="L562" s="59" t="str">
        <x:v>N/A</x:v>
      </x:c>
      <x:c r="M562" s="59"/>
      <x:c r="N562" s="59"/>
      <x:c r="O562" s="59"/>
      <x:c r="P562" s="59"/>
      <x:c r="Q562" s="59"/>
      <x:c r="R562" s="59"/>
      <x:c r="S562" s="59"/>
      <x:c r="T562" s="59"/>
      <x:c r="U562" s="59"/>
      <x:c r="V562" s="59"/>
      <x:c r="W562" s="59"/>
      <x:c r="X562" s="59"/>
      <x:c r="Y562" s="59"/>
      <x:c r="Z562" s="59"/>
      <x:c r="AA562" s="8" t="n">
        <x:f>IF(C562="ไม่ทราบ","",SUMIFS($K$7:$Z$7,K562:Z562,"&lt;&gt;N/A"))</x:f>
        <x:v>100</x:v>
      </x:c>
      <x:c r="AB562" s="8" t="str">
        <x:f>IF(AND(OR(AND(C562="จำหน่ายอาหาร",ISNUMBER(K562),L562="N/A"),AND(C562="ไม่จำหน่ายอาหาร",K562="N/A",ISNUMBER(L562)),AND(C562="มัสยิด",K562="N/A",L562="N/A",X562="N/A")),COUNT(K562:Z562)+COUNTIFS(K562:Z562,"N/A")=16),SUM(K562:Z562),"")</x:f>
      </x:c>
      <x:c r="AC562" s="62" t="str">
        <x:f>IF(OR(AB562="",AA562&lt;=0),"",ROUND(AB562/AA562*100,1))</x:f>
      </x:c>
      <x:c r="AD562" s="8" t="str">
        <x:f>IF(COUNTIFS(D562:H562,"ไม่ผ่าน")&gt;0,"ไม่ผ่าน",IF(COUNTIFS(D562:H562,"ไม่ทราบ")+COUNTBLANK(D562:H562)&gt;0,"รอยืนยัน","ผ่าน"))</x:f>
        <x:v>รอยืนยัน</x:v>
      </x:c>
      <x:c r="AE562" s="8" t="str">
        <x:f>IF(AF562="ใช่","ไม่ผ่านการคัดเลือก",IF(AND(AD562="ผ่าน",ISNUMBER(AC562),AC562&gt;=70),"พร้อมขาย",IF(OR(J562="ใช่",AND(ISNUMBER(AC562),AC562&gt;=50)),"พัฒนาเพื่อพร้อมขาย",IF(AND(ISNUMBER(AC562),AC562&lt;50,I562&gt;=1),"มีศักยภาพ แต่ต้องพัฒนามาตรฐาน","รอประเมิน"))))</x:f>
        <x:v>รอประเมิน</x:v>
      </x:c>
      <x:c r="AF562" s="59" t="str">
        <x:v>ไม่ทราบ</x:v>
      </x:c>
      <x:c r="AG562" s="8" t="str">
        <x:f>IF(AF562="ใช่","หัวหน้าทีมพิจารณาเหตุไม่ผ่าน",IF(OR(AA562&lt;=0,NOT(OR(AND(C562="จำหน่ายอาหาร",ISNUMBER(K562),L562="N/A"),AND(C562="ไม่จำหน่ายอาหาร",K562="N/A",ISNUMBER(L562)),AND(C562="มัสยิด",K562="N/A",L562="N/A",X562="N/A"))),AD562="รอยืนยัน",COUNT(K562:Z562)+COUNTIFS(K562:Z562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2" s="59" t="str"/>
      <x:c r="AI562" s="61"/>
    </x:row>
    <x:row r="563" ht="60" customHeight="1">
      <x:c r="A563" s="2" t="str">
        <x:v>TMF-188</x:v>
      </x:c>
      <x:c r="B563" s="8" t="str">
        <x:v>ก๋วยเตี๋ยวเรือราไวย์ ซอยไสยวน</x:v>
      </x:c>
      <x:c r="C563" s="59" t="str">
        <x:v>จำหน่ายอาหาร</x:v>
      </x:c>
      <x:c r="D563" s="59" t="str">
        <x:v>ไม่ทราบ</x:v>
      </x:c>
      <x:c r="E563" s="59" t="str">
        <x:v>ไม่ทราบ</x:v>
      </x:c>
      <x:c r="F563" s="59" t="str">
        <x:v>ไม่ทราบ</x:v>
      </x:c>
      <x:c r="G563" s="59" t="str">
        <x:v>ไม่ทราบ</x:v>
      </x:c>
      <x:c r="H563" s="59" t="str">
        <x:v>N/A</x:v>
      </x:c>
      <x:c r="I563" s="59"/>
      <x:c r="J563" s="59" t="str">
        <x:v>ไม่ทราบ</x:v>
      </x:c>
      <x:c r="K563" s="59"/>
      <x:c r="L563" s="59" t="str">
        <x:v>N/A</x:v>
      </x:c>
      <x:c r="M563" s="59"/>
      <x:c r="N563" s="59"/>
      <x:c r="O563" s="59"/>
      <x:c r="P563" s="59"/>
      <x:c r="Q563" s="59"/>
      <x:c r="R563" s="59"/>
      <x:c r="S563" s="59"/>
      <x:c r="T563" s="59"/>
      <x:c r="U563" s="59"/>
      <x:c r="V563" s="59"/>
      <x:c r="W563" s="59"/>
      <x:c r="X563" s="59"/>
      <x:c r="Y563" s="59"/>
      <x:c r="Z563" s="59"/>
      <x:c r="AA563" s="8" t="n">
        <x:f>IF(C563="ไม่ทราบ","",SUMIFS($K$7:$Z$7,K563:Z563,"&lt;&gt;N/A"))</x:f>
        <x:v>100</x:v>
      </x:c>
      <x:c r="AB563" s="8" t="str">
        <x:f>IF(AND(OR(AND(C563="จำหน่ายอาหาร",ISNUMBER(K563),L563="N/A"),AND(C563="ไม่จำหน่ายอาหาร",K563="N/A",ISNUMBER(L563)),AND(C563="มัสยิด",K563="N/A",L563="N/A",X563="N/A")),COUNT(K563:Z563)+COUNTIFS(K563:Z563,"N/A")=16),SUM(K563:Z563),"")</x:f>
      </x:c>
      <x:c r="AC563" s="62" t="str">
        <x:f>IF(OR(AB563="",AA563&lt;=0),"",ROUND(AB563/AA563*100,1))</x:f>
      </x:c>
      <x:c r="AD563" s="8" t="str">
        <x:f>IF(COUNTIFS(D563:H563,"ไม่ผ่าน")&gt;0,"ไม่ผ่าน",IF(COUNTIFS(D563:H563,"ไม่ทราบ")+COUNTBLANK(D563:H563)&gt;0,"รอยืนยัน","ผ่าน"))</x:f>
        <x:v>รอยืนยัน</x:v>
      </x:c>
      <x:c r="AE563" s="8" t="str">
        <x:f>IF(AF563="ใช่","ไม่ผ่านการคัดเลือก",IF(AND(AD563="ผ่าน",ISNUMBER(AC563),AC563&gt;=70),"พร้อมขาย",IF(OR(J563="ใช่",AND(ISNUMBER(AC563),AC563&gt;=50)),"พัฒนาเพื่อพร้อมขาย",IF(AND(ISNUMBER(AC563),AC563&lt;50,I563&gt;=1),"มีศักยภาพ แต่ต้องพัฒนามาตรฐาน","รอประเมิน"))))</x:f>
        <x:v>รอประเมิน</x:v>
      </x:c>
      <x:c r="AF563" s="59" t="str">
        <x:v>ไม่ทราบ</x:v>
      </x:c>
      <x:c r="AG563" s="8" t="str">
        <x:f>IF(AF563="ใช่","หัวหน้าทีมพิจารณาเหตุไม่ผ่าน",IF(OR(AA563&lt;=0,NOT(OR(AND(C563="จำหน่ายอาหาร",ISNUMBER(K563),L563="N/A"),AND(C563="ไม่จำหน่ายอาหาร",K563="N/A",ISNUMBER(L563)),AND(C563="มัสยิด",K563="N/A",L563="N/A",X563="N/A"))),AD563="รอยืนยัน",COUNT(K563:Z563)+COUNTIFS(K563:Z563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3" s="59" t="str"/>
      <x:c r="AI563" s="61"/>
    </x:row>
    <x:row r="564" ht="60" customHeight="1">
      <x:c r="A564" s="2" t="str">
        <x:v>TMF-572</x:v>
      </x:c>
      <x:c r="B564" s="8" t="str">
        <x:v>ระฟ้าภูเก็ต ติ่มซำฮาลาล สาขา 2</x:v>
      </x:c>
      <x:c r="C564" s="59" t="str">
        <x:v>จำหน่ายอาหาร</x:v>
      </x:c>
      <x:c r="D564" s="59" t="str">
        <x:v>ไม่ทราบ</x:v>
      </x:c>
      <x:c r="E564" s="59" t="str">
        <x:v>ไม่ทราบ</x:v>
      </x:c>
      <x:c r="F564" s="59" t="str">
        <x:v>ไม่ทราบ</x:v>
      </x:c>
      <x:c r="G564" s="59" t="str">
        <x:v>ไม่ทราบ</x:v>
      </x:c>
      <x:c r="H564" s="59" t="str">
        <x:v>N/A</x:v>
      </x:c>
      <x:c r="I564" s="59"/>
      <x:c r="J564" s="59" t="str">
        <x:v>ไม่ทราบ</x:v>
      </x:c>
      <x:c r="K564" s="59"/>
      <x:c r="L564" s="59" t="str">
        <x:v>N/A</x:v>
      </x:c>
      <x:c r="M564" s="59"/>
      <x:c r="N564" s="59"/>
      <x:c r="O564" s="59"/>
      <x:c r="P564" s="59"/>
      <x:c r="Q564" s="59"/>
      <x:c r="R564" s="59"/>
      <x:c r="S564" s="59"/>
      <x:c r="T564" s="59"/>
      <x:c r="U564" s="59"/>
      <x:c r="V564" s="59"/>
      <x:c r="W564" s="59"/>
      <x:c r="X564" s="59"/>
      <x:c r="Y564" s="59"/>
      <x:c r="Z564" s="59"/>
      <x:c r="AA564" s="8" t="n">
        <x:f>IF(C564="ไม่ทราบ","",SUMIFS($K$7:$Z$7,K564:Z564,"&lt;&gt;N/A"))</x:f>
        <x:v>100</x:v>
      </x:c>
      <x:c r="AB564" s="8" t="str">
        <x:f>IF(AND(OR(AND(C564="จำหน่ายอาหาร",ISNUMBER(K564),L564="N/A"),AND(C564="ไม่จำหน่ายอาหาร",K564="N/A",ISNUMBER(L564)),AND(C564="มัสยิด",K564="N/A",L564="N/A",X564="N/A")),COUNT(K564:Z564)+COUNTIFS(K564:Z564,"N/A")=16),SUM(K564:Z564),"")</x:f>
      </x:c>
      <x:c r="AC564" s="62" t="str">
        <x:f>IF(OR(AB564="",AA564&lt;=0),"",ROUND(AB564/AA564*100,1))</x:f>
      </x:c>
      <x:c r="AD564" s="8" t="str">
        <x:f>IF(COUNTIFS(D564:H564,"ไม่ผ่าน")&gt;0,"ไม่ผ่าน",IF(COUNTIFS(D564:H564,"ไม่ทราบ")+COUNTBLANK(D564:H564)&gt;0,"รอยืนยัน","ผ่าน"))</x:f>
        <x:v>รอยืนยัน</x:v>
      </x:c>
      <x:c r="AE564" s="8" t="str">
        <x:f>IF(AF564="ใช่","ไม่ผ่านการคัดเลือก",IF(AND(AD564="ผ่าน",ISNUMBER(AC564),AC564&gt;=70),"พร้อมขาย",IF(OR(J564="ใช่",AND(ISNUMBER(AC564),AC564&gt;=50)),"พัฒนาเพื่อพร้อมขาย",IF(AND(ISNUMBER(AC564),AC564&lt;50,I564&gt;=1),"มีศักยภาพ แต่ต้องพัฒนามาตรฐาน","รอประเมิน"))))</x:f>
        <x:v>รอประเมิน</x:v>
      </x:c>
      <x:c r="AF564" s="59" t="str">
        <x:v>ไม่ทราบ</x:v>
      </x:c>
      <x:c r="AG564" s="8" t="str">
        <x:f>IF(AF564="ใช่","หัวหน้าทีมพิจารณาเหตุไม่ผ่าน",IF(OR(AA564&lt;=0,NOT(OR(AND(C564="จำหน่ายอาหาร",ISNUMBER(K564),L564="N/A"),AND(C564="ไม่จำหน่ายอาหาร",K564="N/A",ISNUMBER(L564)),AND(C564="มัสยิด",K564="N/A",L564="N/A",X564="N/A"))),AD564="รอยืนยัน",COUNT(K564:Z564)+COUNTIFS(K564:Z564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4" s="59" t="str"/>
      <x:c r="AI564" s="61"/>
    </x:row>
    <x:row r="565" ht="60" customHeight="1">
      <x:c r="A565" s="2" t="str">
        <x:v>TMF-574</x:v>
      </x:c>
      <x:c r="B565" s="8" t="str">
        <x:v>อรุณโภชนา</x:v>
      </x:c>
      <x:c r="C565" s="59" t="str">
        <x:v>จำหน่ายอาหาร</x:v>
      </x:c>
      <x:c r="D565" s="59" t="str">
        <x:v>ไม่ทราบ</x:v>
      </x:c>
      <x:c r="E565" s="59" t="str">
        <x:v>ไม่ทราบ</x:v>
      </x:c>
      <x:c r="F565" s="59" t="str">
        <x:v>ไม่ทราบ</x:v>
      </x:c>
      <x:c r="G565" s="59" t="str">
        <x:v>ไม่ทราบ</x:v>
      </x:c>
      <x:c r="H565" s="59" t="str">
        <x:v>N/A</x:v>
      </x:c>
      <x:c r="I565" s="59"/>
      <x:c r="J565" s="59" t="str">
        <x:v>ไม่ทราบ</x:v>
      </x:c>
      <x:c r="K565" s="59"/>
      <x:c r="L565" s="59" t="str">
        <x:v>N/A</x:v>
      </x:c>
      <x:c r="M565" s="59"/>
      <x:c r="N565" s="59"/>
      <x:c r="O565" s="59"/>
      <x:c r="P565" s="59"/>
      <x:c r="Q565" s="59"/>
      <x:c r="R565" s="59"/>
      <x:c r="S565" s="59"/>
      <x:c r="T565" s="59"/>
      <x:c r="U565" s="59"/>
      <x:c r="V565" s="59"/>
      <x:c r="W565" s="59"/>
      <x:c r="X565" s="59"/>
      <x:c r="Y565" s="59"/>
      <x:c r="Z565" s="59"/>
      <x:c r="AA565" s="8" t="n">
        <x:f>IF(C565="ไม่ทราบ","",SUMIFS($K$7:$Z$7,K565:Z565,"&lt;&gt;N/A"))</x:f>
        <x:v>100</x:v>
      </x:c>
      <x:c r="AB565" s="8" t="str">
        <x:f>IF(AND(OR(AND(C565="จำหน่ายอาหาร",ISNUMBER(K565),L565="N/A"),AND(C565="ไม่จำหน่ายอาหาร",K565="N/A",ISNUMBER(L565)),AND(C565="มัสยิด",K565="N/A",L565="N/A",X565="N/A")),COUNT(K565:Z565)+COUNTIFS(K565:Z565,"N/A")=16),SUM(K565:Z565),"")</x:f>
      </x:c>
      <x:c r="AC565" s="62" t="str">
        <x:f>IF(OR(AB565="",AA565&lt;=0),"",ROUND(AB565/AA565*100,1))</x:f>
      </x:c>
      <x:c r="AD565" s="8" t="str">
        <x:f>IF(COUNTIFS(D565:H565,"ไม่ผ่าน")&gt;0,"ไม่ผ่าน",IF(COUNTIFS(D565:H565,"ไม่ทราบ")+COUNTBLANK(D565:H565)&gt;0,"รอยืนยัน","ผ่าน"))</x:f>
        <x:v>รอยืนยัน</x:v>
      </x:c>
      <x:c r="AE565" s="8" t="str">
        <x:f>IF(AF565="ใช่","ไม่ผ่านการคัดเลือก",IF(AND(AD565="ผ่าน",ISNUMBER(AC565),AC565&gt;=70),"พร้อมขาย",IF(OR(J565="ใช่",AND(ISNUMBER(AC565),AC565&gt;=50)),"พัฒนาเพื่อพร้อมขาย",IF(AND(ISNUMBER(AC565),AC565&lt;50,I565&gt;=1),"มีศักยภาพ แต่ต้องพัฒนามาตรฐาน","รอประเมิน"))))</x:f>
        <x:v>รอประเมิน</x:v>
      </x:c>
      <x:c r="AF565" s="59" t="str">
        <x:v>ไม่ทราบ</x:v>
      </x:c>
      <x:c r="AG565" s="8" t="str">
        <x:f>IF(AF565="ใช่","หัวหน้าทีมพิจารณาเหตุไม่ผ่าน",IF(OR(AA565&lt;=0,NOT(OR(AND(C565="จำหน่ายอาหาร",ISNUMBER(K565),L565="N/A"),AND(C565="ไม่จำหน่ายอาหาร",K565="N/A",ISNUMBER(L565)),AND(C565="มัสยิด",K565="N/A",L565="N/A",X565="N/A"))),AD565="รอยืนยัน",COUNT(K565:Z565)+COUNTIFS(K565:Z565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5" s="59" t="str"/>
      <x:c r="AI565" s="61"/>
    </x:row>
    <x:row r="566" ht="60" customHeight="1">
      <x:c r="A566" s="2" t="str">
        <x:v>GMHI-51</x:v>
      </x:c>
      <x:c r="B566" s="8" t="str">
        <x:v>ATG Southsea</x:v>
      </x:c>
      <x:c r="C566" s="59" t="str">
        <x:v>ไม่ทราบ</x:v>
      </x:c>
      <x:c r="D566" s="59" t="str">
        <x:v>ไม่ทราบ</x:v>
      </x:c>
      <x:c r="E566" s="59" t="str">
        <x:v>ไม่ทราบ</x:v>
      </x:c>
      <x:c r="F566" s="59" t="str">
        <x:v>ไม่ทราบ</x:v>
      </x:c>
      <x:c r="G566" s="59" t="str">
        <x:v>ไม่ทราบ</x:v>
      </x:c>
      <x:c r="H566" s="59" t="str">
        <x:v>N/A</x:v>
      </x:c>
      <x:c r="I566" s="59"/>
      <x:c r="J566" s="59" t="str">
        <x:v>ไม่ทราบ</x:v>
      </x:c>
      <x:c r="K566" s="59"/>
      <x:c r="L566" s="59"/>
      <x:c r="M566" s="59"/>
      <x:c r="N566" s="59"/>
      <x:c r="O566" s="59"/>
      <x:c r="P566" s="59"/>
      <x:c r="Q566" s="59"/>
      <x:c r="R566" s="59"/>
      <x:c r="S566" s="59"/>
      <x:c r="T566" s="59"/>
      <x:c r="U566" s="59"/>
      <x:c r="V566" s="59"/>
      <x:c r="W566" s="59"/>
      <x:c r="X566" s="59"/>
      <x:c r="Y566" s="59"/>
      <x:c r="Z566" s="59"/>
      <x:c r="AA566" s="8" t="str">
        <x:f>IF(C566="ไม่ทราบ","",SUMIFS($K$7:$Z$7,K566:Z566,"&lt;&gt;N/A"))</x:f>
      </x:c>
      <x:c r="AB566" s="8" t="str">
        <x:f>IF(AND(OR(AND(C566="จำหน่ายอาหาร",ISNUMBER(K566),L566="N/A"),AND(C566="ไม่จำหน่ายอาหาร",K566="N/A",ISNUMBER(L566)),AND(C566="มัสยิด",K566="N/A",L566="N/A",X566="N/A")),COUNT(K566:Z566)+COUNTIFS(K566:Z566,"N/A")=16),SUM(K566:Z566),"")</x:f>
      </x:c>
      <x:c r="AC566" s="62" t="str">
        <x:f>IF(OR(AB566="",AA566&lt;=0),"",ROUND(AB566/AA566*100,1))</x:f>
      </x:c>
      <x:c r="AD566" s="8" t="str">
        <x:f>IF(COUNTIFS(D566:H566,"ไม่ผ่าน")&gt;0,"ไม่ผ่าน",IF(COUNTIFS(D566:H566,"ไม่ทราบ")+COUNTBLANK(D566:H566)&gt;0,"รอยืนยัน","ผ่าน"))</x:f>
        <x:v>รอยืนยัน</x:v>
      </x:c>
      <x:c r="AE566" s="8" t="str">
        <x:f>IF(AF566="ใช่","ไม่ผ่านการคัดเลือก",IF(AND(AD566="ผ่าน",ISNUMBER(AC566),AC566&gt;=70),"พร้อมขาย",IF(OR(J566="ใช่",AND(ISNUMBER(AC566),AC566&gt;=50)),"พัฒนาเพื่อพร้อมขาย",IF(AND(ISNUMBER(AC566),AC566&lt;50,I566&gt;=1),"มีศักยภาพ แต่ต้องพัฒนามาตรฐาน","รอประเมิน"))))</x:f>
        <x:v>รอประเมิน</x:v>
      </x:c>
      <x:c r="AF566" s="59" t="str">
        <x:v>ไม่ทราบ</x:v>
      </x:c>
      <x:c r="AG566" s="8" t="str">
        <x:f>IF(AF566="ใช่","หัวหน้าทีมพิจารณาเหตุไม่ผ่าน",IF(OR(AA566&lt;=0,NOT(OR(AND(C566="จำหน่ายอาหาร",ISNUMBER(K566),L566="N/A"),AND(C566="ไม่จำหน่ายอาหาร",K566="N/A",ISNUMBER(L566)),AND(C566="มัสยิด",K566="N/A",L566="N/A",X566="N/A"))),AD566="รอยืนยัน",COUNT(K566:Z566)+COUNTIFS(K566:Z566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6" s="59" t="str"/>
      <x:c r="AI566" s="61"/>
    </x:row>
    <x:row r="567" ht="60" customHeight="1">
      <x:c r="A567" s="2" t="str">
        <x:v>R26-293</x:v>
      </x:c>
      <x:c r="B567" s="8" t="str">
        <x:v>Banyan Tree Spa Phuket</x:v>
      </x:c>
      <x:c r="C567" s="59" t="str">
        <x:v>ไม่ทราบ</x:v>
      </x:c>
      <x:c r="D567" s="59" t="str">
        <x:v>ไม่ทราบ</x:v>
      </x:c>
      <x:c r="E567" s="59" t="str">
        <x:v>ไม่ทราบ</x:v>
      </x:c>
      <x:c r="F567" s="59" t="str">
        <x:v>ไม่ทราบ</x:v>
      </x:c>
      <x:c r="G567" s="59" t="str">
        <x:v>ไม่ทราบ</x:v>
      </x:c>
      <x:c r="H567" s="59" t="str">
        <x:v>N/A</x:v>
      </x:c>
      <x:c r="I567" s="59"/>
      <x:c r="J567" s="59" t="str">
        <x:v>ไม่ทราบ</x:v>
      </x:c>
      <x:c r="K567" s="59"/>
      <x:c r="L567" s="59"/>
      <x:c r="M567" s="59"/>
      <x:c r="N567" s="59"/>
      <x:c r="O567" s="59"/>
      <x:c r="P567" s="59"/>
      <x:c r="Q567" s="59"/>
      <x:c r="R567" s="59"/>
      <x:c r="S567" s="59"/>
      <x:c r="T567" s="59"/>
      <x:c r="U567" s="59"/>
      <x:c r="V567" s="59"/>
      <x:c r="W567" s="59"/>
      <x:c r="X567" s="59"/>
      <x:c r="Y567" s="59"/>
      <x:c r="Z567" s="59"/>
      <x:c r="AA567" s="8" t="str">
        <x:f>IF(C567="ไม่ทราบ","",SUMIFS($K$7:$Z$7,K567:Z567,"&lt;&gt;N/A"))</x:f>
      </x:c>
      <x:c r="AB567" s="8" t="str">
        <x:f>IF(AND(OR(AND(C567="จำหน่ายอาหาร",ISNUMBER(K567),L567="N/A"),AND(C567="ไม่จำหน่ายอาหาร",K567="N/A",ISNUMBER(L567)),AND(C567="มัสยิด",K567="N/A",L567="N/A",X567="N/A")),COUNT(K567:Z567)+COUNTIFS(K567:Z567,"N/A")=16),SUM(K567:Z567),"")</x:f>
      </x:c>
      <x:c r="AC567" s="62" t="str">
        <x:f>IF(OR(AB567="",AA567&lt;=0),"",ROUND(AB567/AA567*100,1))</x:f>
      </x:c>
      <x:c r="AD567" s="8" t="str">
        <x:f>IF(COUNTIFS(D567:H567,"ไม่ผ่าน")&gt;0,"ไม่ผ่าน",IF(COUNTIFS(D567:H567,"ไม่ทราบ")+COUNTBLANK(D567:H567)&gt;0,"รอยืนยัน","ผ่าน"))</x:f>
        <x:v>รอยืนยัน</x:v>
      </x:c>
      <x:c r="AE567" s="8" t="str">
        <x:f>IF(AF567="ใช่","ไม่ผ่านการคัดเลือก",IF(AND(AD567="ผ่าน",ISNUMBER(AC567),AC567&gt;=70),"พร้อมขาย",IF(OR(J567="ใช่",AND(ISNUMBER(AC567),AC567&gt;=50)),"พัฒนาเพื่อพร้อมขาย",IF(AND(ISNUMBER(AC567),AC567&lt;50,I567&gt;=1),"มีศักยภาพ แต่ต้องพัฒนามาตรฐาน","รอประเมิน"))))</x:f>
        <x:v>รอประเมิน</x:v>
      </x:c>
      <x:c r="AF567" s="59" t="str">
        <x:v>ไม่ทราบ</x:v>
      </x:c>
      <x:c r="AG567" s="8" t="str">
        <x:f>IF(AF567="ใช่","หัวหน้าทีมพิจารณาเหตุไม่ผ่าน",IF(OR(AA567&lt;=0,NOT(OR(AND(C567="จำหน่ายอาหาร",ISNUMBER(K567),L567="N/A"),AND(C567="ไม่จำหน่ายอาหาร",K567="N/A",ISNUMBER(L567)),AND(C567="มัสยิด",K567="N/A",L567="N/A",X567="N/A"))),AD567="รอยืนยัน",COUNT(K567:Z567)+COUNTIFS(K567:Z567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7" s="59" t="str"/>
      <x:c r="AI567" s="61"/>
    </x:row>
    <x:row r="568" ht="60" customHeight="1">
      <x:c r="A568" s="2" t="str">
        <x:v>GMHI-52</x:v>
      </x:c>
      <x:c r="B568" s="8" t="str">
        <x:v>Icellare</x:v>
      </x:c>
      <x:c r="C568" s="59" t="str">
        <x:v>ไม่ทราบ</x:v>
      </x:c>
      <x:c r="D568" s="59" t="str">
        <x:v>ไม่ทราบ</x:v>
      </x:c>
      <x:c r="E568" s="59" t="str">
        <x:v>ไม่ทราบ</x:v>
      </x:c>
      <x:c r="F568" s="59" t="str">
        <x:v>ไม่ทราบ</x:v>
      </x:c>
      <x:c r="G568" s="59" t="str">
        <x:v>ไม่ทราบ</x:v>
      </x:c>
      <x:c r="H568" s="59" t="str">
        <x:v>N/A</x:v>
      </x:c>
      <x:c r="I568" s="59"/>
      <x:c r="J568" s="59" t="str">
        <x:v>ไม่ทราบ</x:v>
      </x:c>
      <x:c r="K568" s="59"/>
      <x:c r="L568" s="59"/>
      <x:c r="M568" s="59"/>
      <x:c r="N568" s="59"/>
      <x:c r="O568" s="59"/>
      <x:c r="P568" s="59"/>
      <x:c r="Q568" s="59"/>
      <x:c r="R568" s="59"/>
      <x:c r="S568" s="59"/>
      <x:c r="T568" s="59"/>
      <x:c r="U568" s="59"/>
      <x:c r="V568" s="59"/>
      <x:c r="W568" s="59"/>
      <x:c r="X568" s="59"/>
      <x:c r="Y568" s="59"/>
      <x:c r="Z568" s="59"/>
      <x:c r="AA568" s="8" t="str">
        <x:f>IF(C568="ไม่ทราบ","",SUMIFS($K$7:$Z$7,K568:Z568,"&lt;&gt;N/A"))</x:f>
      </x:c>
      <x:c r="AB568" s="8" t="str">
        <x:f>IF(AND(OR(AND(C568="จำหน่ายอาหาร",ISNUMBER(K568),L568="N/A"),AND(C568="ไม่จำหน่ายอาหาร",K568="N/A",ISNUMBER(L568)),AND(C568="มัสยิด",K568="N/A",L568="N/A",X568="N/A")),COUNT(K568:Z568)+COUNTIFS(K568:Z568,"N/A")=16),SUM(K568:Z568),"")</x:f>
      </x:c>
      <x:c r="AC568" s="62" t="str">
        <x:f>IF(OR(AB568="",AA568&lt;=0),"",ROUND(AB568/AA568*100,1))</x:f>
      </x:c>
      <x:c r="AD568" s="8" t="str">
        <x:f>IF(COUNTIFS(D568:H568,"ไม่ผ่าน")&gt;0,"ไม่ผ่าน",IF(COUNTIFS(D568:H568,"ไม่ทราบ")+COUNTBLANK(D568:H568)&gt;0,"รอยืนยัน","ผ่าน"))</x:f>
        <x:v>รอยืนยัน</x:v>
      </x:c>
      <x:c r="AE568" s="8" t="str">
        <x:f>IF(AF568="ใช่","ไม่ผ่านการคัดเลือก",IF(AND(AD568="ผ่าน",ISNUMBER(AC568),AC568&gt;=70),"พร้อมขาย",IF(OR(J568="ใช่",AND(ISNUMBER(AC568),AC568&gt;=50)),"พัฒนาเพื่อพร้อมขาย",IF(AND(ISNUMBER(AC568),AC568&lt;50,I568&gt;=1),"มีศักยภาพ แต่ต้องพัฒนามาตรฐาน","รอประเมิน"))))</x:f>
        <x:v>รอประเมิน</x:v>
      </x:c>
      <x:c r="AF568" s="59" t="str">
        <x:v>ไม่ทราบ</x:v>
      </x:c>
      <x:c r="AG568" s="8" t="str">
        <x:f>IF(AF568="ใช่","หัวหน้าทีมพิจารณาเหตุไม่ผ่าน",IF(OR(AA568&lt;=0,NOT(OR(AND(C568="จำหน่ายอาหาร",ISNUMBER(K568),L568="N/A"),AND(C568="ไม่จำหน่ายอาหาร",K568="N/A",ISNUMBER(L568)),AND(C568="มัสยิด",K568="N/A",L568="N/A",X568="N/A"))),AD568="รอยืนยัน",COUNT(K568:Z568)+COUNTIFS(K568:Z568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8" s="59" t="str"/>
      <x:c r="AI568" s="61"/>
    </x:row>
    <x:row r="569" ht="60" customHeight="1">
      <x:c r="A569" s="2" t="str">
        <x:v>R26-289</x:v>
      </x:c>
      <x:c r="B569" s="8" t="str">
        <x:v>Let's Relax Spa Phuket Boat Lagoon</x:v>
      </x:c>
      <x:c r="C569" s="59" t="str">
        <x:v>ไม่ทราบ</x:v>
      </x:c>
      <x:c r="D569" s="59" t="str">
        <x:v>ไม่ทราบ</x:v>
      </x:c>
      <x:c r="E569" s="59" t="str">
        <x:v>ไม่ทราบ</x:v>
      </x:c>
      <x:c r="F569" s="59" t="str">
        <x:v>ไม่ทราบ</x:v>
      </x:c>
      <x:c r="G569" s="59" t="str">
        <x:v>ไม่ทราบ</x:v>
      </x:c>
      <x:c r="H569" s="59" t="str">
        <x:v>N/A</x:v>
      </x:c>
      <x:c r="I569" s="59"/>
      <x:c r="J569" s="59" t="str">
        <x:v>ไม่ทราบ</x:v>
      </x:c>
      <x:c r="K569" s="59"/>
      <x:c r="L569" s="59"/>
      <x:c r="M569" s="59"/>
      <x:c r="N569" s="59"/>
      <x:c r="O569" s="59"/>
      <x:c r="P569" s="59"/>
      <x:c r="Q569" s="59"/>
      <x:c r="R569" s="59"/>
      <x:c r="S569" s="59"/>
      <x:c r="T569" s="59"/>
      <x:c r="U569" s="59"/>
      <x:c r="V569" s="59"/>
      <x:c r="W569" s="59"/>
      <x:c r="X569" s="59"/>
      <x:c r="Y569" s="59"/>
      <x:c r="Z569" s="59"/>
      <x:c r="AA569" s="8" t="str">
        <x:f>IF(C569="ไม่ทราบ","",SUMIFS($K$7:$Z$7,K569:Z569,"&lt;&gt;N/A"))</x:f>
      </x:c>
      <x:c r="AB569" s="8" t="str">
        <x:f>IF(AND(OR(AND(C569="จำหน่ายอาหาร",ISNUMBER(K569),L569="N/A"),AND(C569="ไม่จำหน่ายอาหาร",K569="N/A",ISNUMBER(L569)),AND(C569="มัสยิด",K569="N/A",L569="N/A",X569="N/A")),COUNT(K569:Z569)+COUNTIFS(K569:Z569,"N/A")=16),SUM(K569:Z569),"")</x:f>
      </x:c>
      <x:c r="AC569" s="62" t="str">
        <x:f>IF(OR(AB569="",AA569&lt;=0),"",ROUND(AB569/AA569*100,1))</x:f>
      </x:c>
      <x:c r="AD569" s="8" t="str">
        <x:f>IF(COUNTIFS(D569:H569,"ไม่ผ่าน")&gt;0,"ไม่ผ่าน",IF(COUNTIFS(D569:H569,"ไม่ทราบ")+COUNTBLANK(D569:H569)&gt;0,"รอยืนยัน","ผ่าน"))</x:f>
        <x:v>รอยืนยัน</x:v>
      </x:c>
      <x:c r="AE569" s="8" t="str">
        <x:f>IF(AF569="ใช่","ไม่ผ่านการคัดเลือก",IF(AND(AD569="ผ่าน",ISNUMBER(AC569),AC569&gt;=70),"พร้อมขาย",IF(OR(J569="ใช่",AND(ISNUMBER(AC569),AC569&gt;=50)),"พัฒนาเพื่อพร้อมขาย",IF(AND(ISNUMBER(AC569),AC569&lt;50,I569&gt;=1),"มีศักยภาพ แต่ต้องพัฒนามาตรฐาน","รอประเมิน"))))</x:f>
        <x:v>รอประเมิน</x:v>
      </x:c>
      <x:c r="AF569" s="59" t="str">
        <x:v>ไม่ทราบ</x:v>
      </x:c>
      <x:c r="AG569" s="8" t="str">
        <x:f>IF(AF569="ใช่","หัวหน้าทีมพิจารณาเหตุไม่ผ่าน",IF(OR(AA569&lt;=0,NOT(OR(AND(C569="จำหน่ายอาหาร",ISNUMBER(K569),L569="N/A"),AND(C569="ไม่จำหน่ายอาหาร",K569="N/A",ISNUMBER(L569)),AND(C569="มัสยิด",K569="N/A",L569="N/A",X569="N/A"))),AD569="รอยืนยัน",COUNT(K569:Z569)+COUNTIFS(K569:Z569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69" s="59" t="str"/>
      <x:c r="AI569" s="61"/>
    </x:row>
    <x:row r="570" ht="60" customHeight="1">
      <x:c r="A570" s="2" t="str">
        <x:v>R26-290</x:v>
      </x:c>
      <x:c r="B570" s="8" t="str">
        <x:v>Let's Relax Spa Phuket Patong 2nd Street</x:v>
      </x:c>
      <x:c r="C570" s="59" t="str">
        <x:v>ไม่ทราบ</x:v>
      </x:c>
      <x:c r="D570" s="59" t="str">
        <x:v>ไม่ทราบ</x:v>
      </x:c>
      <x:c r="E570" s="59" t="str">
        <x:v>ไม่ทราบ</x:v>
      </x:c>
      <x:c r="F570" s="59" t="str">
        <x:v>ไม่ทราบ</x:v>
      </x:c>
      <x:c r="G570" s="59" t="str">
        <x:v>ไม่ทราบ</x:v>
      </x:c>
      <x:c r="H570" s="59" t="str">
        <x:v>N/A</x:v>
      </x:c>
      <x:c r="I570" s="59"/>
      <x:c r="J570" s="59" t="str">
        <x:v>ไม่ทราบ</x:v>
      </x:c>
      <x:c r="K570" s="59"/>
      <x:c r="L570" s="59"/>
      <x:c r="M570" s="59"/>
      <x:c r="N570" s="59"/>
      <x:c r="O570" s="59"/>
      <x:c r="P570" s="59"/>
      <x:c r="Q570" s="59"/>
      <x:c r="R570" s="59"/>
      <x:c r="S570" s="59"/>
      <x:c r="T570" s="59"/>
      <x:c r="U570" s="59"/>
      <x:c r="V570" s="59"/>
      <x:c r="W570" s="59"/>
      <x:c r="X570" s="59"/>
      <x:c r="Y570" s="59"/>
      <x:c r="Z570" s="59"/>
      <x:c r="AA570" s="8" t="str">
        <x:f>IF(C570="ไม่ทราบ","",SUMIFS($K$7:$Z$7,K570:Z570,"&lt;&gt;N/A"))</x:f>
      </x:c>
      <x:c r="AB570" s="8" t="str">
        <x:f>IF(AND(OR(AND(C570="จำหน่ายอาหาร",ISNUMBER(K570),L570="N/A"),AND(C570="ไม่จำหน่ายอาหาร",K570="N/A",ISNUMBER(L570)),AND(C570="มัสยิด",K570="N/A",L570="N/A",X570="N/A")),COUNT(K570:Z570)+COUNTIFS(K570:Z570,"N/A")=16),SUM(K570:Z570),"")</x:f>
      </x:c>
      <x:c r="AC570" s="62" t="str">
        <x:f>IF(OR(AB570="",AA570&lt;=0),"",ROUND(AB570/AA570*100,1))</x:f>
      </x:c>
      <x:c r="AD570" s="8" t="str">
        <x:f>IF(COUNTIFS(D570:H570,"ไม่ผ่าน")&gt;0,"ไม่ผ่าน",IF(COUNTIFS(D570:H570,"ไม่ทราบ")+COUNTBLANK(D570:H570)&gt;0,"รอยืนยัน","ผ่าน"))</x:f>
        <x:v>รอยืนยัน</x:v>
      </x:c>
      <x:c r="AE570" s="8" t="str">
        <x:f>IF(AF570="ใช่","ไม่ผ่านการคัดเลือก",IF(AND(AD570="ผ่าน",ISNUMBER(AC570),AC570&gt;=70),"พร้อมขาย",IF(OR(J570="ใช่",AND(ISNUMBER(AC570),AC570&gt;=50)),"พัฒนาเพื่อพร้อมขาย",IF(AND(ISNUMBER(AC570),AC570&lt;50,I570&gt;=1),"มีศักยภาพ แต่ต้องพัฒนามาตรฐาน","รอประเมิน"))))</x:f>
        <x:v>รอประเมิน</x:v>
      </x:c>
      <x:c r="AF570" s="59" t="str">
        <x:v>ไม่ทราบ</x:v>
      </x:c>
      <x:c r="AG570" s="8" t="str">
        <x:f>IF(AF570="ใช่","หัวหน้าทีมพิจารณาเหตุไม่ผ่าน",IF(OR(AA570&lt;=0,NOT(OR(AND(C570="จำหน่ายอาหาร",ISNUMBER(K570),L570="N/A"),AND(C570="ไม่จำหน่ายอาหาร",K570="N/A",ISNUMBER(L570)),AND(C570="มัสยิด",K570="N/A",L570="N/A",X570="N/A"))),AD570="รอยืนยัน",COUNT(K570:Z570)+COUNTIFS(K570:Z570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0" s="59" t="str"/>
      <x:c r="AI570" s="61"/>
    </x:row>
    <x:row r="571" ht="60" customHeight="1">
      <x:c r="A571" s="2" t="str">
        <x:v>R26-291</x:v>
      </x:c>
      <x:c r="B571" s="8" t="str">
        <x:v>Let's Relax Spa Phuket Porto de Phuket</x:v>
      </x:c>
      <x:c r="C571" s="59" t="str">
        <x:v>ไม่ทราบ</x:v>
      </x:c>
      <x:c r="D571" s="59" t="str">
        <x:v>ไม่ทราบ</x:v>
      </x:c>
      <x:c r="E571" s="59" t="str">
        <x:v>ไม่ทราบ</x:v>
      </x:c>
      <x:c r="F571" s="59" t="str">
        <x:v>ไม่ทราบ</x:v>
      </x:c>
      <x:c r="G571" s="59" t="str">
        <x:v>ไม่ทราบ</x:v>
      </x:c>
      <x:c r="H571" s="59" t="str">
        <x:v>N/A</x:v>
      </x:c>
      <x:c r="I571" s="59"/>
      <x:c r="J571" s="59" t="str">
        <x:v>ไม่ทราบ</x:v>
      </x:c>
      <x:c r="K571" s="59"/>
      <x:c r="L571" s="59"/>
      <x:c r="M571" s="59"/>
      <x:c r="N571" s="59"/>
      <x:c r="O571" s="59"/>
      <x:c r="P571" s="59"/>
      <x:c r="Q571" s="59"/>
      <x:c r="R571" s="59"/>
      <x:c r="S571" s="59"/>
      <x:c r="T571" s="59"/>
      <x:c r="U571" s="59"/>
      <x:c r="V571" s="59"/>
      <x:c r="W571" s="59"/>
      <x:c r="X571" s="59"/>
      <x:c r="Y571" s="59"/>
      <x:c r="Z571" s="59"/>
      <x:c r="AA571" s="8" t="str">
        <x:f>IF(C571="ไม่ทราบ","",SUMIFS($K$7:$Z$7,K571:Z571,"&lt;&gt;N/A"))</x:f>
      </x:c>
      <x:c r="AB571" s="8" t="str">
        <x:f>IF(AND(OR(AND(C571="จำหน่ายอาหาร",ISNUMBER(K571),L571="N/A"),AND(C571="ไม่จำหน่ายอาหาร",K571="N/A",ISNUMBER(L571)),AND(C571="มัสยิด",K571="N/A",L571="N/A",X571="N/A")),COUNT(K571:Z571)+COUNTIFS(K571:Z571,"N/A")=16),SUM(K571:Z571),"")</x:f>
      </x:c>
      <x:c r="AC571" s="62" t="str">
        <x:f>IF(OR(AB571="",AA571&lt;=0),"",ROUND(AB571/AA571*100,1))</x:f>
      </x:c>
      <x:c r="AD571" s="8" t="str">
        <x:f>IF(COUNTIFS(D571:H571,"ไม่ผ่าน")&gt;0,"ไม่ผ่าน",IF(COUNTIFS(D571:H571,"ไม่ทราบ")+COUNTBLANK(D571:H571)&gt;0,"รอยืนยัน","ผ่าน"))</x:f>
        <x:v>รอยืนยัน</x:v>
      </x:c>
      <x:c r="AE571" s="8" t="str">
        <x:f>IF(AF571="ใช่","ไม่ผ่านการคัดเลือก",IF(AND(AD571="ผ่าน",ISNUMBER(AC571),AC571&gt;=70),"พร้อมขาย",IF(OR(J571="ใช่",AND(ISNUMBER(AC571),AC571&gt;=50)),"พัฒนาเพื่อพร้อมขาย",IF(AND(ISNUMBER(AC571),AC571&lt;50,I571&gt;=1),"มีศักยภาพ แต่ต้องพัฒนามาตรฐาน","รอประเมิน"))))</x:f>
        <x:v>รอประเมิน</x:v>
      </x:c>
      <x:c r="AF571" s="59" t="str">
        <x:v>ไม่ทราบ</x:v>
      </x:c>
      <x:c r="AG571" s="8" t="str">
        <x:f>IF(AF571="ใช่","หัวหน้าทีมพิจารณาเหตุไม่ผ่าน",IF(OR(AA571&lt;=0,NOT(OR(AND(C571="จำหน่ายอาหาร",ISNUMBER(K571),L571="N/A"),AND(C571="ไม่จำหน่ายอาหาร",K571="N/A",ISNUMBER(L571)),AND(C571="มัสยิด",K571="N/A",L571="N/A",X571="N/A"))),AD571="รอยืนยัน",COUNT(K571:Z571)+COUNTIFS(K571:Z571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1" s="59" t="str"/>
      <x:c r="AI571" s="61"/>
    </x:row>
    <x:row r="572" ht="60" customHeight="1">
      <x:c r="A572" s="2" t="str">
        <x:v>R26-292</x:v>
      </x:c>
      <x:c r="B572" s="8" t="str">
        <x:v>Sukko Spa Phuket</x:v>
      </x:c>
      <x:c r="C572" s="59" t="str">
        <x:v>ไม่ทราบ</x:v>
      </x:c>
      <x:c r="D572" s="59" t="str">
        <x:v>ไม่ทราบ</x:v>
      </x:c>
      <x:c r="E572" s="59" t="str">
        <x:v>ไม่ทราบ</x:v>
      </x:c>
      <x:c r="F572" s="59" t="str">
        <x:v>ไม่ทราบ</x:v>
      </x:c>
      <x:c r="G572" s="59" t="str">
        <x:v>ไม่ทราบ</x:v>
      </x:c>
      <x:c r="H572" s="59" t="str">
        <x:v>N/A</x:v>
      </x:c>
      <x:c r="I572" s="59"/>
      <x:c r="J572" s="59" t="str">
        <x:v>ไม่ทราบ</x:v>
      </x:c>
      <x:c r="K572" s="59"/>
      <x:c r="L572" s="59"/>
      <x:c r="M572" s="59"/>
      <x:c r="N572" s="59"/>
      <x:c r="O572" s="59"/>
      <x:c r="P572" s="59"/>
      <x:c r="Q572" s="59"/>
      <x:c r="R572" s="59"/>
      <x:c r="S572" s="59"/>
      <x:c r="T572" s="59"/>
      <x:c r="U572" s="59"/>
      <x:c r="V572" s="59"/>
      <x:c r="W572" s="59"/>
      <x:c r="X572" s="59"/>
      <x:c r="Y572" s="59"/>
      <x:c r="Z572" s="59"/>
      <x:c r="AA572" s="8" t="str">
        <x:f>IF(C572="ไม่ทราบ","",SUMIFS($K$7:$Z$7,K572:Z572,"&lt;&gt;N/A"))</x:f>
      </x:c>
      <x:c r="AB572" s="8" t="str">
        <x:f>IF(AND(OR(AND(C572="จำหน่ายอาหาร",ISNUMBER(K572),L572="N/A"),AND(C572="ไม่จำหน่ายอาหาร",K572="N/A",ISNUMBER(L572)),AND(C572="มัสยิด",K572="N/A",L572="N/A",X572="N/A")),COUNT(K572:Z572)+COUNTIFS(K572:Z572,"N/A")=16),SUM(K572:Z572),"")</x:f>
      </x:c>
      <x:c r="AC572" s="62" t="str">
        <x:f>IF(OR(AB572="",AA572&lt;=0),"",ROUND(AB572/AA572*100,1))</x:f>
      </x:c>
      <x:c r="AD572" s="8" t="str">
        <x:f>IF(COUNTIFS(D572:H572,"ไม่ผ่าน")&gt;0,"ไม่ผ่าน",IF(COUNTIFS(D572:H572,"ไม่ทราบ")+COUNTBLANK(D572:H572)&gt;0,"รอยืนยัน","ผ่าน"))</x:f>
        <x:v>รอยืนยัน</x:v>
      </x:c>
      <x:c r="AE572" s="8" t="str">
        <x:f>IF(AF572="ใช่","ไม่ผ่านการคัดเลือก",IF(AND(AD572="ผ่าน",ISNUMBER(AC572),AC572&gt;=70),"พร้อมขาย",IF(OR(J572="ใช่",AND(ISNUMBER(AC572),AC572&gt;=50)),"พัฒนาเพื่อพร้อมขาย",IF(AND(ISNUMBER(AC572),AC572&lt;50,I572&gt;=1),"มีศักยภาพ แต่ต้องพัฒนามาตรฐาน","รอประเมิน"))))</x:f>
        <x:v>รอประเมิน</x:v>
      </x:c>
      <x:c r="AF572" s="59" t="str">
        <x:v>ไม่ทราบ</x:v>
      </x:c>
      <x:c r="AG572" s="8" t="str">
        <x:f>IF(AF572="ใช่","หัวหน้าทีมพิจารณาเหตุไม่ผ่าน",IF(OR(AA572&lt;=0,NOT(OR(AND(C572="จำหน่ายอาหาร",ISNUMBER(K572),L572="N/A"),AND(C572="ไม่จำหน่ายอาหาร",K572="N/A",ISNUMBER(L572)),AND(C572="มัสยิด",K572="N/A",L572="N/A",X572="N/A"))),AD572="รอยืนยัน",COUNT(K572:Z572)+COUNTIFS(K572:Z572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2" s="59" t="str"/>
      <x:c r="AI572" s="61"/>
    </x:row>
    <x:row r="573" ht="60" customHeight="1">
      <x:c r="A573" s="2" t="str">
        <x:v>TMF-575</x:v>
      </x:c>
      <x:c r="B573" s="8" t="str">
        <x:v>โอเอซิสสปา ทรอปิคอลรีทรีต ลากูน่า</x:v>
      </x:c>
      <x:c r="C573" s="59" t="str">
        <x:v>ไม่ทราบ</x:v>
      </x:c>
      <x:c r="D573" s="59" t="str">
        <x:v>ไม่ทราบ</x:v>
      </x:c>
      <x:c r="E573" s="59" t="str">
        <x:v>ไม่ทราบ</x:v>
      </x:c>
      <x:c r="F573" s="59" t="str">
        <x:v>ไม่ทราบ</x:v>
      </x:c>
      <x:c r="G573" s="59" t="str">
        <x:v>ไม่ทราบ</x:v>
      </x:c>
      <x:c r="H573" s="59" t="str">
        <x:v>N/A</x:v>
      </x:c>
      <x:c r="I573" s="59"/>
      <x:c r="J573" s="59" t="str">
        <x:v>ไม่ทราบ</x:v>
      </x:c>
      <x:c r="K573" s="59"/>
      <x:c r="L573" s="59"/>
      <x:c r="M573" s="59"/>
      <x:c r="N573" s="59"/>
      <x:c r="O573" s="59"/>
      <x:c r="P573" s="59"/>
      <x:c r="Q573" s="59"/>
      <x:c r="R573" s="59"/>
      <x:c r="S573" s="59"/>
      <x:c r="T573" s="59"/>
      <x:c r="U573" s="59"/>
      <x:c r="V573" s="59"/>
      <x:c r="W573" s="59"/>
      <x:c r="X573" s="59"/>
      <x:c r="Y573" s="59"/>
      <x:c r="Z573" s="59"/>
      <x:c r="AA573" s="8" t="str">
        <x:f>IF(C573="ไม่ทราบ","",SUMIFS($K$7:$Z$7,K573:Z573,"&lt;&gt;N/A"))</x:f>
      </x:c>
      <x:c r="AB573" s="8" t="str">
        <x:f>IF(AND(OR(AND(C573="จำหน่ายอาหาร",ISNUMBER(K573),L573="N/A"),AND(C573="ไม่จำหน่ายอาหาร",K573="N/A",ISNUMBER(L573)),AND(C573="มัสยิด",K573="N/A",L573="N/A",X573="N/A")),COUNT(K573:Z573)+COUNTIFS(K573:Z573,"N/A")=16),SUM(K573:Z573),"")</x:f>
      </x:c>
      <x:c r="AC573" s="62" t="str">
        <x:f>IF(OR(AB573="",AA573&lt;=0),"",ROUND(AB573/AA573*100,1))</x:f>
      </x:c>
      <x:c r="AD573" s="8" t="str">
        <x:f>IF(COUNTIFS(D573:H573,"ไม่ผ่าน")&gt;0,"ไม่ผ่าน",IF(COUNTIFS(D573:H573,"ไม่ทราบ")+COUNTBLANK(D573:H573)&gt;0,"รอยืนยัน","ผ่าน"))</x:f>
        <x:v>รอยืนยัน</x:v>
      </x:c>
      <x:c r="AE573" s="8" t="str">
        <x:f>IF(AF573="ใช่","ไม่ผ่านการคัดเลือก",IF(AND(AD573="ผ่าน",ISNUMBER(AC573),AC573&gt;=70),"พร้อมขาย",IF(OR(J573="ใช่",AND(ISNUMBER(AC573),AC573&gt;=50)),"พัฒนาเพื่อพร้อมขาย",IF(AND(ISNUMBER(AC573),AC573&lt;50,I573&gt;=1),"มีศักยภาพ แต่ต้องพัฒนามาตรฐาน","รอประเมิน"))))</x:f>
        <x:v>รอประเมิน</x:v>
      </x:c>
      <x:c r="AF573" s="59" t="str">
        <x:v>ไม่ทราบ</x:v>
      </x:c>
      <x:c r="AG573" s="8" t="str">
        <x:f>IF(AF573="ใช่","หัวหน้าทีมพิจารณาเหตุไม่ผ่าน",IF(OR(AA573&lt;=0,NOT(OR(AND(C573="จำหน่ายอาหาร",ISNUMBER(K573),L573="N/A"),AND(C573="ไม่จำหน่ายอาหาร",K573="N/A",ISNUMBER(L573)),AND(C573="มัสยิด",K573="N/A",L573="N/A",X573="N/A"))),AD573="รอยืนยัน",COUNT(K573:Z573)+COUNTIFS(K573:Z573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3" s="59" t="str"/>
      <x:c r="AI573" s="61"/>
    </x:row>
    <x:row r="574" ht="60" customHeight="1">
      <x:c r="A574" s="2" t="str">
        <x:v>TMF-576</x:v>
      </x:c>
      <x:c r="B574" s="8" t="str">
        <x:v>โอเอซิสสปา สกายบรีซ กะตะ</x:v>
      </x:c>
      <x:c r="C574" s="59" t="str">
        <x:v>ไม่ทราบ</x:v>
      </x:c>
      <x:c r="D574" s="59" t="str">
        <x:v>ไม่ทราบ</x:v>
      </x:c>
      <x:c r="E574" s="59" t="str">
        <x:v>ไม่ทราบ</x:v>
      </x:c>
      <x:c r="F574" s="59" t="str">
        <x:v>ไม่ทราบ</x:v>
      </x:c>
      <x:c r="G574" s="59" t="str">
        <x:v>ไม่ทราบ</x:v>
      </x:c>
      <x:c r="H574" s="59" t="str">
        <x:v>N/A</x:v>
      </x:c>
      <x:c r="I574" s="59"/>
      <x:c r="J574" s="59" t="str">
        <x:v>ไม่ทราบ</x:v>
      </x:c>
      <x:c r="K574" s="59"/>
      <x:c r="L574" s="59"/>
      <x:c r="M574" s="59"/>
      <x:c r="N574" s="59"/>
      <x:c r="O574" s="59"/>
      <x:c r="P574" s="59"/>
      <x:c r="Q574" s="59"/>
      <x:c r="R574" s="59"/>
      <x:c r="S574" s="59"/>
      <x:c r="T574" s="59"/>
      <x:c r="U574" s="59"/>
      <x:c r="V574" s="59"/>
      <x:c r="W574" s="59"/>
      <x:c r="X574" s="59"/>
      <x:c r="Y574" s="59"/>
      <x:c r="Z574" s="59"/>
      <x:c r="AA574" s="8" t="str">
        <x:f>IF(C574="ไม่ทราบ","",SUMIFS($K$7:$Z$7,K574:Z574,"&lt;&gt;N/A"))</x:f>
      </x:c>
      <x:c r="AB574" s="8" t="str">
        <x:f>IF(AND(OR(AND(C574="จำหน่ายอาหาร",ISNUMBER(K574),L574="N/A"),AND(C574="ไม่จำหน่ายอาหาร",K574="N/A",ISNUMBER(L574)),AND(C574="มัสยิด",K574="N/A",L574="N/A",X574="N/A")),COUNT(K574:Z574)+COUNTIFS(K574:Z574,"N/A")=16),SUM(K574:Z574),"")</x:f>
      </x:c>
      <x:c r="AC574" s="62" t="str">
        <x:f>IF(OR(AB574="",AA574&lt;=0),"",ROUND(AB574/AA574*100,1))</x:f>
      </x:c>
      <x:c r="AD574" s="8" t="str">
        <x:f>IF(COUNTIFS(D574:H574,"ไม่ผ่าน")&gt;0,"ไม่ผ่าน",IF(COUNTIFS(D574:H574,"ไม่ทราบ")+COUNTBLANK(D574:H574)&gt;0,"รอยืนยัน","ผ่าน"))</x:f>
        <x:v>รอยืนยัน</x:v>
      </x:c>
      <x:c r="AE574" s="8" t="str">
        <x:f>IF(AF574="ใช่","ไม่ผ่านการคัดเลือก",IF(AND(AD574="ผ่าน",ISNUMBER(AC574),AC574&gt;=70),"พร้อมขาย",IF(OR(J574="ใช่",AND(ISNUMBER(AC574),AC574&gt;=50)),"พัฒนาเพื่อพร้อมขาย",IF(AND(ISNUMBER(AC574),AC574&lt;50,I574&gt;=1),"มีศักยภาพ แต่ต้องพัฒนามาตรฐาน","รอประเมิน"))))</x:f>
        <x:v>รอประเมิน</x:v>
      </x:c>
      <x:c r="AF574" s="59" t="str">
        <x:v>ไม่ทราบ</x:v>
      </x:c>
      <x:c r="AG574" s="8" t="str">
        <x:f>IF(AF574="ใช่","หัวหน้าทีมพิจารณาเหตุไม่ผ่าน",IF(OR(AA574&lt;=0,NOT(OR(AND(C574="จำหน่ายอาหาร",ISNUMBER(K574),L574="N/A"),AND(C574="ไม่จำหน่ายอาหาร",K574="N/A",ISNUMBER(L574)),AND(C574="มัสยิด",K574="N/A",L574="N/A",X574="N/A"))),AD574="รอยืนยัน",COUNT(K574:Z574)+COUNTIFS(K574:Z574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4" s="59" t="str"/>
      <x:c r="AI574" s="61"/>
    </x:row>
    <x:row r="575" ht="60" customHeight="1">
      <x:c r="A575" s="2" t="str">
        <x:v>TMF-577</x:v>
      </x:c>
      <x:c r="B575" s="8" t="str">
        <x:v>โอเอซิสสปา เทอร์ควอยซ์โคฟ กมลา</x:v>
      </x:c>
      <x:c r="C575" s="59" t="str">
        <x:v>ไม่ทราบ</x:v>
      </x:c>
      <x:c r="D575" s="59" t="str">
        <x:v>ไม่ทราบ</x:v>
      </x:c>
      <x:c r="E575" s="59" t="str">
        <x:v>ไม่ทราบ</x:v>
      </x:c>
      <x:c r="F575" s="59" t="str">
        <x:v>ไม่ทราบ</x:v>
      </x:c>
      <x:c r="G575" s="59" t="str">
        <x:v>ไม่ทราบ</x:v>
      </x:c>
      <x:c r="H575" s="59" t="str">
        <x:v>N/A</x:v>
      </x:c>
      <x:c r="I575" s="59"/>
      <x:c r="J575" s="59" t="str">
        <x:v>ไม่ทราบ</x:v>
      </x:c>
      <x:c r="K575" s="59"/>
      <x:c r="L575" s="59"/>
      <x:c r="M575" s="59"/>
      <x:c r="N575" s="59"/>
      <x:c r="O575" s="59"/>
      <x:c r="P575" s="59"/>
      <x:c r="Q575" s="59"/>
      <x:c r="R575" s="59"/>
      <x:c r="S575" s="59"/>
      <x:c r="T575" s="59"/>
      <x:c r="U575" s="59"/>
      <x:c r="V575" s="59"/>
      <x:c r="W575" s="59"/>
      <x:c r="X575" s="59"/>
      <x:c r="Y575" s="59"/>
      <x:c r="Z575" s="59"/>
      <x:c r="AA575" s="8" t="str">
        <x:f>IF(C575="ไม่ทราบ","",SUMIFS($K$7:$Z$7,K575:Z575,"&lt;&gt;N/A"))</x:f>
      </x:c>
      <x:c r="AB575" s="8" t="str">
        <x:f>IF(AND(OR(AND(C575="จำหน่ายอาหาร",ISNUMBER(K575),L575="N/A"),AND(C575="ไม่จำหน่ายอาหาร",K575="N/A",ISNUMBER(L575)),AND(C575="มัสยิด",K575="N/A",L575="N/A",X575="N/A")),COUNT(K575:Z575)+COUNTIFS(K575:Z575,"N/A")=16),SUM(K575:Z575),"")</x:f>
      </x:c>
      <x:c r="AC575" s="62" t="str">
        <x:f>IF(OR(AB575="",AA575&lt;=0),"",ROUND(AB575/AA575*100,1))</x:f>
      </x:c>
      <x:c r="AD575" s="8" t="str">
        <x:f>IF(COUNTIFS(D575:H575,"ไม่ผ่าน")&gt;0,"ไม่ผ่าน",IF(COUNTIFS(D575:H575,"ไม่ทราบ")+COUNTBLANK(D575:H575)&gt;0,"รอยืนยัน","ผ่าน"))</x:f>
        <x:v>รอยืนยัน</x:v>
      </x:c>
      <x:c r="AE575" s="8" t="str">
        <x:f>IF(AF575="ใช่","ไม่ผ่านการคัดเลือก",IF(AND(AD575="ผ่าน",ISNUMBER(AC575),AC575&gt;=70),"พร้อมขาย",IF(OR(J575="ใช่",AND(ISNUMBER(AC575),AC575&gt;=50)),"พัฒนาเพื่อพร้อมขาย",IF(AND(ISNUMBER(AC575),AC575&lt;50,I575&gt;=1),"มีศักยภาพ แต่ต้องพัฒนามาตรฐาน","รอประเมิน"))))</x:f>
        <x:v>รอประเมิน</x:v>
      </x:c>
      <x:c r="AF575" s="59" t="str">
        <x:v>ไม่ทราบ</x:v>
      </x:c>
      <x:c r="AG575" s="8" t="str">
        <x:f>IF(AF575="ใช่","หัวหน้าทีมพิจารณาเหตุไม่ผ่าน",IF(OR(AA575&lt;=0,NOT(OR(AND(C575="จำหน่ายอาหาร",ISNUMBER(K575),L575="N/A"),AND(C575="ไม่จำหน่ายอาหาร",K575="N/A",ISNUMBER(L575)),AND(C575="มัสยิด",K575="N/A",L575="N/A",X575="N/A"))),AD575="รอยืนยัน",COUNT(K575:Z575)+COUNTIFS(K575:Z575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5" s="59" t="str"/>
      <x:c r="AI575" s="61"/>
    </x:row>
    <x:row r="576" ht="60" customHeight="1">
      <x:c r="A576" s="2" t="str">
        <x:v>R26-268</x:v>
      </x:c>
      <x:c r="B576" s="8" t="str">
        <x:v>Central Phuket</x:v>
      </x:c>
      <x:c r="C576" s="59" t="str">
        <x:v>ไม่ทราบ</x:v>
      </x:c>
      <x:c r="D576" s="59" t="str">
        <x:v>ไม่ทราบ</x:v>
      </x:c>
      <x:c r="E576" s="59" t="str">
        <x:v>ไม่ทราบ</x:v>
      </x:c>
      <x:c r="F576" s="59" t="str">
        <x:v>ไม่ทราบ</x:v>
      </x:c>
      <x:c r="G576" s="59" t="str">
        <x:v>ไม่ทราบ</x:v>
      </x:c>
      <x:c r="H576" s="59" t="str">
        <x:v>N/A</x:v>
      </x:c>
      <x:c r="I576" s="59"/>
      <x:c r="J576" s="59" t="str">
        <x:v>ไม่ทราบ</x:v>
      </x:c>
      <x:c r="K576" s="59"/>
      <x:c r="L576" s="59"/>
      <x:c r="M576" s="59"/>
      <x:c r="N576" s="59"/>
      <x:c r="O576" s="59"/>
      <x:c r="P576" s="59"/>
      <x:c r="Q576" s="59"/>
      <x:c r="R576" s="59"/>
      <x:c r="S576" s="59"/>
      <x:c r="T576" s="59"/>
      <x:c r="U576" s="59"/>
      <x:c r="V576" s="59"/>
      <x:c r="W576" s="59"/>
      <x:c r="X576" s="59"/>
      <x:c r="Y576" s="59"/>
      <x:c r="Z576" s="59"/>
      <x:c r="AA576" s="8" t="str">
        <x:f>IF(C576="ไม่ทราบ","",SUMIFS($K$7:$Z$7,K576:Z576,"&lt;&gt;N/A"))</x:f>
      </x:c>
      <x:c r="AB576" s="8" t="str">
        <x:f>IF(AND(OR(AND(C576="จำหน่ายอาหาร",ISNUMBER(K576),L576="N/A"),AND(C576="ไม่จำหน่ายอาหาร",K576="N/A",ISNUMBER(L576)),AND(C576="มัสยิด",K576="N/A",L576="N/A",X576="N/A")),COUNT(K576:Z576)+COUNTIFS(K576:Z576,"N/A")=16),SUM(K576:Z576),"")</x:f>
      </x:c>
      <x:c r="AC576" s="62" t="str">
        <x:f>IF(OR(AB576="",AA576&lt;=0),"",ROUND(AB576/AA576*100,1))</x:f>
      </x:c>
      <x:c r="AD576" s="8" t="str">
        <x:f>IF(COUNTIFS(D576:H576,"ไม่ผ่าน")&gt;0,"ไม่ผ่าน",IF(COUNTIFS(D576:H576,"ไม่ทราบ")+COUNTBLANK(D576:H576)&gt;0,"รอยืนยัน","ผ่าน"))</x:f>
        <x:v>รอยืนยัน</x:v>
      </x:c>
      <x:c r="AE576" s="8" t="str">
        <x:f>IF(AF576="ใช่","ไม่ผ่านการคัดเลือก",IF(AND(AD576="ผ่าน",ISNUMBER(AC576),AC576&gt;=70),"พร้อมขาย",IF(OR(J576="ใช่",AND(ISNUMBER(AC576),AC576&gt;=50)),"พัฒนาเพื่อพร้อมขาย",IF(AND(ISNUMBER(AC576),AC576&lt;50,I576&gt;=1),"มีศักยภาพ แต่ต้องพัฒนามาตรฐาน","รอประเมิน"))))</x:f>
        <x:v>รอประเมิน</x:v>
      </x:c>
      <x:c r="AF576" s="59" t="str">
        <x:v>ไม่ทราบ</x:v>
      </x:c>
      <x:c r="AG576" s="8" t="str">
        <x:f>IF(AF576="ใช่","หัวหน้าทีมพิจารณาเหตุไม่ผ่าน",IF(OR(AA576&lt;=0,NOT(OR(AND(C576="จำหน่ายอาหาร",ISNUMBER(K576),L576="N/A"),AND(C576="ไม่จำหน่ายอาหาร",K576="N/A",ISNUMBER(L576)),AND(C576="มัสยิด",K576="N/A",L576="N/A",X576="N/A"))),AD576="รอยืนยัน",COUNT(K576:Z576)+COUNTIFS(K576:Z576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6" s="59" t="str"/>
      <x:c r="AI576" s="61"/>
    </x:row>
    <x:row r="577" ht="60" customHeight="1">
      <x:c r="A577" s="2" t="str">
        <x:v>R26-269</x:v>
      </x:c>
      <x:c r="B577" s="8" t="str">
        <x:v>Jungceylon Phuket</x:v>
      </x:c>
      <x:c r="C577" s="59" t="str">
        <x:v>ไม่ทราบ</x:v>
      </x:c>
      <x:c r="D577" s="59" t="str">
        <x:v>ไม่ทราบ</x:v>
      </x:c>
      <x:c r="E577" s="59" t="str">
        <x:v>ไม่ทราบ</x:v>
      </x:c>
      <x:c r="F577" s="59" t="str">
        <x:v>ไม่ทราบ</x:v>
      </x:c>
      <x:c r="G577" s="59" t="str">
        <x:v>ไม่ทราบ</x:v>
      </x:c>
      <x:c r="H577" s="59" t="str">
        <x:v>N/A</x:v>
      </x:c>
      <x:c r="I577" s="59"/>
      <x:c r="J577" s="59" t="str">
        <x:v>ไม่ทราบ</x:v>
      </x:c>
      <x:c r="K577" s="59"/>
      <x:c r="L577" s="59"/>
      <x:c r="M577" s="59"/>
      <x:c r="N577" s="59"/>
      <x:c r="O577" s="59"/>
      <x:c r="P577" s="59"/>
      <x:c r="Q577" s="59"/>
      <x:c r="R577" s="59"/>
      <x:c r="S577" s="59"/>
      <x:c r="T577" s="59"/>
      <x:c r="U577" s="59"/>
      <x:c r="V577" s="59"/>
      <x:c r="W577" s="59"/>
      <x:c r="X577" s="59"/>
      <x:c r="Y577" s="59"/>
      <x:c r="Z577" s="59"/>
      <x:c r="AA577" s="8" t="str">
        <x:f>IF(C577="ไม่ทราบ","",SUMIFS($K$7:$Z$7,K577:Z577,"&lt;&gt;N/A"))</x:f>
      </x:c>
      <x:c r="AB577" s="8" t="str">
        <x:f>IF(AND(OR(AND(C577="จำหน่ายอาหาร",ISNUMBER(K577),L577="N/A"),AND(C577="ไม่จำหน่ายอาหาร",K577="N/A",ISNUMBER(L577)),AND(C577="มัสยิด",K577="N/A",L577="N/A",X577="N/A")),COUNT(K577:Z577)+COUNTIFS(K577:Z577,"N/A")=16),SUM(K577:Z577),"")</x:f>
      </x:c>
      <x:c r="AC577" s="62" t="str">
        <x:f>IF(OR(AB577="",AA577&lt;=0),"",ROUND(AB577/AA577*100,1))</x:f>
      </x:c>
      <x:c r="AD577" s="8" t="str">
        <x:f>IF(COUNTIFS(D577:H577,"ไม่ผ่าน")&gt;0,"ไม่ผ่าน",IF(COUNTIFS(D577:H577,"ไม่ทราบ")+COUNTBLANK(D577:H577)&gt;0,"รอยืนยัน","ผ่าน"))</x:f>
        <x:v>รอยืนยัน</x:v>
      </x:c>
      <x:c r="AE577" s="8" t="str">
        <x:f>IF(AF577="ใช่","ไม่ผ่านการคัดเลือก",IF(AND(AD577="ผ่าน",ISNUMBER(AC577),AC577&gt;=70),"พร้อมขาย",IF(OR(J577="ใช่",AND(ISNUMBER(AC577),AC577&gt;=50)),"พัฒนาเพื่อพร้อมขาย",IF(AND(ISNUMBER(AC577),AC577&lt;50,I577&gt;=1),"มีศักยภาพ แต่ต้องพัฒนามาตรฐาน","รอประเมิน"))))</x:f>
        <x:v>รอประเมิน</x:v>
      </x:c>
      <x:c r="AF577" s="59" t="str">
        <x:v>ไม่ทราบ</x:v>
      </x:c>
      <x:c r="AG577" s="8" t="str">
        <x:f>IF(AF577="ใช่","หัวหน้าทีมพิจารณาเหตุไม่ผ่าน",IF(OR(AA577&lt;=0,NOT(OR(AND(C577="จำหน่ายอาหาร",ISNUMBER(K577),L577="N/A"),AND(C577="ไม่จำหน่ายอาหาร",K577="N/A",ISNUMBER(L577)),AND(C577="มัสยิด",K577="N/A",L577="N/A",X577="N/A"))),AD577="รอยืนยัน",COUNT(K577:Z577)+COUNTIFS(K577:Z577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7" s="59" t="str"/>
      <x:c r="AI577" s="61"/>
    </x:row>
    <x:row r="578" ht="60" customHeight="1">
      <x:c r="A578" s="2" t="str">
        <x:v>R26-222</x:v>
      </x:c>
      <x:c r="B578" s="8" t="str">
        <x:v>จุดชมวิวเขารัง</x:v>
      </x:c>
      <x:c r="C578" s="59" t="str">
        <x:v>ไม่ทราบ</x:v>
      </x:c>
      <x:c r="D578" s="59" t="str">
        <x:v>ไม่ทราบ</x:v>
      </x:c>
      <x:c r="E578" s="59" t="str">
        <x:v>ไม่ทราบ</x:v>
      </x:c>
      <x:c r="F578" s="59" t="str">
        <x:v>ไม่ทราบ</x:v>
      </x:c>
      <x:c r="G578" s="59" t="str">
        <x:v>ไม่ทราบ</x:v>
      </x:c>
      <x:c r="H578" s="59" t="str">
        <x:v>N/A</x:v>
      </x:c>
      <x:c r="I578" s="59"/>
      <x:c r="J578" s="59" t="str">
        <x:v>ไม่ทราบ</x:v>
      </x:c>
      <x:c r="K578" s="59"/>
      <x:c r="L578" s="59"/>
      <x:c r="M578" s="59"/>
      <x:c r="N578" s="59"/>
      <x:c r="O578" s="59"/>
      <x:c r="P578" s="59"/>
      <x:c r="Q578" s="59"/>
      <x:c r="R578" s="59"/>
      <x:c r="S578" s="59"/>
      <x:c r="T578" s="59"/>
      <x:c r="U578" s="59"/>
      <x:c r="V578" s="59"/>
      <x:c r="W578" s="59"/>
      <x:c r="X578" s="59"/>
      <x:c r="Y578" s="59"/>
      <x:c r="Z578" s="59"/>
      <x:c r="AA578" s="8" t="str">
        <x:f>IF(C578="ไม่ทราบ","",SUMIFS($K$7:$Z$7,K578:Z578,"&lt;&gt;N/A"))</x:f>
      </x:c>
      <x:c r="AB578" s="8" t="str">
        <x:f>IF(AND(OR(AND(C578="จำหน่ายอาหาร",ISNUMBER(K578),L578="N/A"),AND(C578="ไม่จำหน่ายอาหาร",K578="N/A",ISNUMBER(L578)),AND(C578="มัสยิด",K578="N/A",L578="N/A",X578="N/A")),COUNT(K578:Z578)+COUNTIFS(K578:Z578,"N/A")=16),SUM(K578:Z578),"")</x:f>
      </x:c>
      <x:c r="AC578" s="62" t="str">
        <x:f>IF(OR(AB578="",AA578&lt;=0),"",ROUND(AB578/AA578*100,1))</x:f>
      </x:c>
      <x:c r="AD578" s="8" t="str">
        <x:f>IF(COUNTIFS(D578:H578,"ไม่ผ่าน")&gt;0,"ไม่ผ่าน",IF(COUNTIFS(D578:H578,"ไม่ทราบ")+COUNTBLANK(D578:H578)&gt;0,"รอยืนยัน","ผ่าน"))</x:f>
        <x:v>รอยืนยัน</x:v>
      </x:c>
      <x:c r="AE578" s="8" t="str">
        <x:f>IF(AF578="ใช่","ไม่ผ่านการคัดเลือก",IF(AND(AD578="ผ่าน",ISNUMBER(AC578),AC578&gt;=70),"พร้อมขาย",IF(OR(J578="ใช่",AND(ISNUMBER(AC578),AC578&gt;=50)),"พัฒนาเพื่อพร้อมขาย",IF(AND(ISNUMBER(AC578),AC578&lt;50,I578&gt;=1),"มีศักยภาพ แต่ต้องพัฒนามาตรฐาน","รอประเมิน"))))</x:f>
        <x:v>รอประเมิน</x:v>
      </x:c>
      <x:c r="AF578" s="59" t="str">
        <x:v>ไม่ทราบ</x:v>
      </x:c>
      <x:c r="AG578" s="8" t="str">
        <x:f>IF(AF578="ใช่","หัวหน้าทีมพิจารณาเหตุไม่ผ่าน",IF(OR(AA578&lt;=0,NOT(OR(AND(C578="จำหน่ายอาหาร",ISNUMBER(K578),L578="N/A"),AND(C578="ไม่จำหน่ายอาหาร",K578="N/A",ISNUMBER(L578)),AND(C578="มัสยิด",K578="N/A",L578="N/A",X578="N/A"))),AD578="รอยืนยัน",COUNT(K578:Z578)+COUNTIFS(K578:Z578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8" s="59" t="str"/>
      <x:c r="AI578" s="61"/>
    </x:row>
    <x:row r="579" ht="60" customHeight="1">
      <x:c r="A579" s="2" t="str">
        <x:v>R26-220</x:v>
      </x:c>
      <x:c r="B579" s="8" t="str">
        <x:v>หาดในยาง</x:v>
      </x:c>
      <x:c r="C579" s="59" t="str">
        <x:v>ไม่ทราบ</x:v>
      </x:c>
      <x:c r="D579" s="59" t="str">
        <x:v>ไม่ทราบ</x:v>
      </x:c>
      <x:c r="E579" s="59" t="str">
        <x:v>ไม่ทราบ</x:v>
      </x:c>
      <x:c r="F579" s="59" t="str">
        <x:v>ไม่ทราบ</x:v>
      </x:c>
      <x:c r="G579" s="59" t="str">
        <x:v>ไม่ทราบ</x:v>
      </x:c>
      <x:c r="H579" s="59" t="str">
        <x:v>N/A</x:v>
      </x:c>
      <x:c r="I579" s="59"/>
      <x:c r="J579" s="59" t="str">
        <x:v>ไม่ทราบ</x:v>
      </x:c>
      <x:c r="K579" s="59"/>
      <x:c r="L579" s="59"/>
      <x:c r="M579" s="59"/>
      <x:c r="N579" s="59"/>
      <x:c r="O579" s="59"/>
      <x:c r="P579" s="59"/>
      <x:c r="Q579" s="59"/>
      <x:c r="R579" s="59"/>
      <x:c r="S579" s="59"/>
      <x:c r="T579" s="59"/>
      <x:c r="U579" s="59"/>
      <x:c r="V579" s="59"/>
      <x:c r="W579" s="59"/>
      <x:c r="X579" s="59"/>
      <x:c r="Y579" s="59"/>
      <x:c r="Z579" s="59"/>
      <x:c r="AA579" s="8" t="str">
        <x:f>IF(C579="ไม่ทราบ","",SUMIFS($K$7:$Z$7,K579:Z579,"&lt;&gt;N/A"))</x:f>
      </x:c>
      <x:c r="AB579" s="8" t="str">
        <x:f>IF(AND(OR(AND(C579="จำหน่ายอาหาร",ISNUMBER(K579),L579="N/A"),AND(C579="ไม่จำหน่ายอาหาร",K579="N/A",ISNUMBER(L579)),AND(C579="มัสยิด",K579="N/A",L579="N/A",X579="N/A")),COUNT(K579:Z579)+COUNTIFS(K579:Z579,"N/A")=16),SUM(K579:Z579),"")</x:f>
      </x:c>
      <x:c r="AC579" s="62" t="str">
        <x:f>IF(OR(AB579="",AA579&lt;=0),"",ROUND(AB579/AA579*100,1))</x:f>
      </x:c>
      <x:c r="AD579" s="8" t="str">
        <x:f>IF(COUNTIFS(D579:H579,"ไม่ผ่าน")&gt;0,"ไม่ผ่าน",IF(COUNTIFS(D579:H579,"ไม่ทราบ")+COUNTBLANK(D579:H579)&gt;0,"รอยืนยัน","ผ่าน"))</x:f>
        <x:v>รอยืนยัน</x:v>
      </x:c>
      <x:c r="AE579" s="8" t="str">
        <x:f>IF(AF579="ใช่","ไม่ผ่านการคัดเลือก",IF(AND(AD579="ผ่าน",ISNUMBER(AC579),AC579&gt;=70),"พร้อมขาย",IF(OR(J579="ใช่",AND(ISNUMBER(AC579),AC579&gt;=50)),"พัฒนาเพื่อพร้อมขาย",IF(AND(ISNUMBER(AC579),AC579&lt;50,I579&gt;=1),"มีศักยภาพ แต่ต้องพัฒนามาตรฐาน","รอประเมิน"))))</x:f>
        <x:v>รอประเมิน</x:v>
      </x:c>
      <x:c r="AF579" s="59" t="str">
        <x:v>ไม่ทราบ</x:v>
      </x:c>
      <x:c r="AG579" s="8" t="str">
        <x:f>IF(AF579="ใช่","หัวหน้าทีมพิจารณาเหตุไม่ผ่าน",IF(OR(AA579&lt;=0,NOT(OR(AND(C579="จำหน่ายอาหาร",ISNUMBER(K579),L579="N/A"),AND(C579="ไม่จำหน่ายอาหาร",K579="N/A",ISNUMBER(L579)),AND(C579="มัสยิด",K579="N/A",L579="N/A",X579="N/A"))),AD579="รอยืนยัน",COUNT(K579:Z579)+COUNTIFS(K579:Z579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79" s="59" t="str"/>
      <x:c r="AI579" s="61"/>
    </x:row>
    <x:row r="580" ht="60" customHeight="1">
      <x:c r="A580" s="2" t="str">
        <x:v>R26-221</x:v>
      </x:c>
      <x:c r="B580" s="8" t="str">
        <x:v>อุทยานแห่งชาติสิรินาถ</x:v>
      </x:c>
      <x:c r="C580" s="59" t="str">
        <x:v>ไม่ทราบ</x:v>
      </x:c>
      <x:c r="D580" s="59" t="str">
        <x:v>ไม่ทราบ</x:v>
      </x:c>
      <x:c r="E580" s="59" t="str">
        <x:v>ไม่ทราบ</x:v>
      </x:c>
      <x:c r="F580" s="59" t="str">
        <x:v>ไม่ทราบ</x:v>
      </x:c>
      <x:c r="G580" s="59" t="str">
        <x:v>ไม่ทราบ</x:v>
      </x:c>
      <x:c r="H580" s="59" t="str">
        <x:v>N/A</x:v>
      </x:c>
      <x:c r="I580" s="59"/>
      <x:c r="J580" s="59" t="str">
        <x:v>ไม่ทราบ</x:v>
      </x:c>
      <x:c r="K580" s="59"/>
      <x:c r="L580" s="59"/>
      <x:c r="M580" s="59"/>
      <x:c r="N580" s="59"/>
      <x:c r="O580" s="59"/>
      <x:c r="P580" s="59"/>
      <x:c r="Q580" s="59"/>
      <x:c r="R580" s="59"/>
      <x:c r="S580" s="59"/>
      <x:c r="T580" s="59"/>
      <x:c r="U580" s="59"/>
      <x:c r="V580" s="59"/>
      <x:c r="W580" s="59"/>
      <x:c r="X580" s="59"/>
      <x:c r="Y580" s="59"/>
      <x:c r="Z580" s="59"/>
      <x:c r="AA580" s="8" t="str">
        <x:f>IF(C580="ไม่ทราบ","",SUMIFS($K$7:$Z$7,K580:Z580,"&lt;&gt;N/A"))</x:f>
      </x:c>
      <x:c r="AB580" s="8" t="str">
        <x:f>IF(AND(OR(AND(C580="จำหน่ายอาหาร",ISNUMBER(K580),L580="N/A"),AND(C580="ไม่จำหน่ายอาหาร",K580="N/A",ISNUMBER(L580)),AND(C580="มัสยิด",K580="N/A",L580="N/A",X580="N/A")),COUNT(K580:Z580)+COUNTIFS(K580:Z580,"N/A")=16),SUM(K580:Z580),"")</x:f>
      </x:c>
      <x:c r="AC580" s="62" t="str">
        <x:f>IF(OR(AB580="",AA580&lt;=0),"",ROUND(AB580/AA580*100,1))</x:f>
      </x:c>
      <x:c r="AD580" s="8" t="str">
        <x:f>IF(COUNTIFS(D580:H580,"ไม่ผ่าน")&gt;0,"ไม่ผ่าน",IF(COUNTIFS(D580:H580,"ไม่ทราบ")+COUNTBLANK(D580:H580)&gt;0,"รอยืนยัน","ผ่าน"))</x:f>
        <x:v>รอยืนยัน</x:v>
      </x:c>
      <x:c r="AE580" s="8" t="str">
        <x:f>IF(AF580="ใช่","ไม่ผ่านการคัดเลือก",IF(AND(AD580="ผ่าน",ISNUMBER(AC580),AC580&gt;=70),"พร้อมขาย",IF(OR(J580="ใช่",AND(ISNUMBER(AC580),AC580&gt;=50)),"พัฒนาเพื่อพร้อมขาย",IF(AND(ISNUMBER(AC580),AC580&lt;50,I580&gt;=1),"มีศักยภาพ แต่ต้องพัฒนามาตรฐาน","รอประเมิน"))))</x:f>
        <x:v>รอประเมิน</x:v>
      </x:c>
      <x:c r="AF580" s="59" t="str">
        <x:v>ไม่ทราบ</x:v>
      </x:c>
      <x:c r="AG580" s="8" t="str">
        <x:f>IF(AF580="ใช่","หัวหน้าทีมพิจารณาเหตุไม่ผ่าน",IF(OR(AA580&lt;=0,NOT(OR(AND(C580="จำหน่ายอาหาร",ISNUMBER(K580),L580="N/A"),AND(C580="ไม่จำหน่ายอาหาร",K580="N/A",ISNUMBER(L580)),AND(C580="มัสยิด",K580="N/A",L580="N/A",X580="N/A"))),AD580="รอยืนยัน",COUNT(K580:Z580)+COUNTIFS(K580:Z580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0" s="59" t="str"/>
      <x:c r="AI580" s="61"/>
    </x:row>
    <x:row r="581" ht="60" customHeight="1">
      <x:c r="A581" s="2" t="str">
        <x:v>TMF-578</x:v>
      </x:c>
      <x:c r="B581" s="8" t="str">
        <x:v>แหลมพรหมเทพ</x:v>
      </x:c>
      <x:c r="C581" s="59" t="str">
        <x:v>ไม่ทราบ</x:v>
      </x:c>
      <x:c r="D581" s="59" t="str">
        <x:v>ไม่ทราบ</x:v>
      </x:c>
      <x:c r="E581" s="59" t="str">
        <x:v>ไม่ทราบ</x:v>
      </x:c>
      <x:c r="F581" s="59" t="str">
        <x:v>ไม่ทราบ</x:v>
      </x:c>
      <x:c r="G581" s="59" t="str">
        <x:v>ไม่ทราบ</x:v>
      </x:c>
      <x:c r="H581" s="59" t="str">
        <x:v>N/A</x:v>
      </x:c>
      <x:c r="I581" s="59"/>
      <x:c r="J581" s="59" t="str">
        <x:v>ไม่ทราบ</x:v>
      </x:c>
      <x:c r="K581" s="59"/>
      <x:c r="L581" s="59"/>
      <x:c r="M581" s="59"/>
      <x:c r="N581" s="59"/>
      <x:c r="O581" s="59"/>
      <x:c r="P581" s="59"/>
      <x:c r="Q581" s="59"/>
      <x:c r="R581" s="59"/>
      <x:c r="S581" s="59"/>
      <x:c r="T581" s="59"/>
      <x:c r="U581" s="59"/>
      <x:c r="V581" s="59"/>
      <x:c r="W581" s="59"/>
      <x:c r="X581" s="59"/>
      <x:c r="Y581" s="59"/>
      <x:c r="Z581" s="59"/>
      <x:c r="AA581" s="8" t="str">
        <x:f>IF(C581="ไม่ทราบ","",SUMIFS($K$7:$Z$7,K581:Z581,"&lt;&gt;N/A"))</x:f>
      </x:c>
      <x:c r="AB581" s="8" t="str">
        <x:f>IF(AND(OR(AND(C581="จำหน่ายอาหาร",ISNUMBER(K581),L581="N/A"),AND(C581="ไม่จำหน่ายอาหาร",K581="N/A",ISNUMBER(L581)),AND(C581="มัสยิด",K581="N/A",L581="N/A",X581="N/A")),COUNT(K581:Z581)+COUNTIFS(K581:Z581,"N/A")=16),SUM(K581:Z581),"")</x:f>
      </x:c>
      <x:c r="AC581" s="62" t="str">
        <x:f>IF(OR(AB581="",AA581&lt;=0),"",ROUND(AB581/AA581*100,1))</x:f>
      </x:c>
      <x:c r="AD581" s="8" t="str">
        <x:f>IF(COUNTIFS(D581:H581,"ไม่ผ่าน")&gt;0,"ไม่ผ่าน",IF(COUNTIFS(D581:H581,"ไม่ทราบ")+COUNTBLANK(D581:H581)&gt;0,"รอยืนยัน","ผ่าน"))</x:f>
        <x:v>รอยืนยัน</x:v>
      </x:c>
      <x:c r="AE581" s="8" t="str">
        <x:f>IF(AF581="ใช่","ไม่ผ่านการคัดเลือก",IF(AND(AD581="ผ่าน",ISNUMBER(AC581),AC581&gt;=70),"พร้อมขาย",IF(OR(J581="ใช่",AND(ISNUMBER(AC581),AC581&gt;=50)),"พัฒนาเพื่อพร้อมขาย",IF(AND(ISNUMBER(AC581),AC581&lt;50,I581&gt;=1),"มีศักยภาพ แต่ต้องพัฒนามาตรฐาน","รอประเมิน"))))</x:f>
        <x:v>รอประเมิน</x:v>
      </x:c>
      <x:c r="AF581" s="59" t="str">
        <x:v>ไม่ทราบ</x:v>
      </x:c>
      <x:c r="AG581" s="8" t="str">
        <x:f>IF(AF581="ใช่","หัวหน้าทีมพิจารณาเหตุไม่ผ่าน",IF(OR(AA581&lt;=0,NOT(OR(AND(C581="จำหน่ายอาหาร",ISNUMBER(K581),L581="N/A"),AND(C581="ไม่จำหน่ายอาหาร",K581="N/A",ISNUMBER(L581)),AND(C581="มัสยิด",K581="N/A",L581="N/A",X581="N/A"))),AD581="รอยืนยัน",COUNT(K581:Z581)+COUNTIFS(K581:Z581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1" s="59" t="str"/>
      <x:c r="AI581" s="61"/>
    </x:row>
    <x:row r="582" ht="60" customHeight="1">
      <x:c r="A582" s="2" t="str">
        <x:v>TMF-579</x:v>
      </x:c>
      <x:c r="B582" s="8" t="str">
        <x:v>ย่านเมืองเก่าภูเก็ต</x:v>
      </x:c>
      <x:c r="C582" s="59" t="str">
        <x:v>ไม่ทราบ</x:v>
      </x:c>
      <x:c r="D582" s="59" t="str">
        <x:v>ไม่ทราบ</x:v>
      </x:c>
      <x:c r="E582" s="59" t="str">
        <x:v>ไม่ทราบ</x:v>
      </x:c>
      <x:c r="F582" s="59" t="str">
        <x:v>ไม่ทราบ</x:v>
      </x:c>
      <x:c r="G582" s="59" t="str">
        <x:v>ไม่ทราบ</x:v>
      </x:c>
      <x:c r="H582" s="59" t="str">
        <x:v>N/A</x:v>
      </x:c>
      <x:c r="I582" s="59"/>
      <x:c r="J582" s="59" t="str">
        <x:v>ไม่ทราบ</x:v>
      </x:c>
      <x:c r="K582" s="59"/>
      <x:c r="L582" s="59"/>
      <x:c r="M582" s="59"/>
      <x:c r="N582" s="59"/>
      <x:c r="O582" s="59"/>
      <x:c r="P582" s="59"/>
      <x:c r="Q582" s="59"/>
      <x:c r="R582" s="59"/>
      <x:c r="S582" s="59"/>
      <x:c r="T582" s="59"/>
      <x:c r="U582" s="59"/>
      <x:c r="V582" s="59"/>
      <x:c r="W582" s="59"/>
      <x:c r="X582" s="59"/>
      <x:c r="Y582" s="59"/>
      <x:c r="Z582" s="59"/>
      <x:c r="AA582" s="8" t="str">
        <x:f>IF(C582="ไม่ทราบ","",SUMIFS($K$7:$Z$7,K582:Z582,"&lt;&gt;N/A"))</x:f>
      </x:c>
      <x:c r="AB582" s="8" t="str">
        <x:f>IF(AND(OR(AND(C582="จำหน่ายอาหาร",ISNUMBER(K582),L582="N/A"),AND(C582="ไม่จำหน่ายอาหาร",K582="N/A",ISNUMBER(L582)),AND(C582="มัสยิด",K582="N/A",L582="N/A",X582="N/A")),COUNT(K582:Z582)+COUNTIFS(K582:Z582,"N/A")=16),SUM(K582:Z582),"")</x:f>
      </x:c>
      <x:c r="AC582" s="62" t="str">
        <x:f>IF(OR(AB582="",AA582&lt;=0),"",ROUND(AB582/AA582*100,1))</x:f>
      </x:c>
      <x:c r="AD582" s="8" t="str">
        <x:f>IF(COUNTIFS(D582:H582,"ไม่ผ่าน")&gt;0,"ไม่ผ่าน",IF(COUNTIFS(D582:H582,"ไม่ทราบ")+COUNTBLANK(D582:H582)&gt;0,"รอยืนยัน","ผ่าน"))</x:f>
        <x:v>รอยืนยัน</x:v>
      </x:c>
      <x:c r="AE582" s="8" t="str">
        <x:f>IF(AF582="ใช่","ไม่ผ่านการคัดเลือก",IF(AND(AD582="ผ่าน",ISNUMBER(AC582),AC582&gt;=70),"พร้อมขาย",IF(OR(J582="ใช่",AND(ISNUMBER(AC582),AC582&gt;=50)),"พัฒนาเพื่อพร้อมขาย",IF(AND(ISNUMBER(AC582),AC582&lt;50,I582&gt;=1),"มีศักยภาพ แต่ต้องพัฒนามาตรฐาน","รอประเมิน"))))</x:f>
        <x:v>รอประเมิน</x:v>
      </x:c>
      <x:c r="AF582" s="59" t="str">
        <x:v>ไม่ทราบ</x:v>
      </x:c>
      <x:c r="AG582" s="8" t="str">
        <x:f>IF(AF582="ใช่","หัวหน้าทีมพิจารณาเหตุไม่ผ่าน",IF(OR(AA582&lt;=0,NOT(OR(AND(C582="จำหน่ายอาหาร",ISNUMBER(K582),L582="N/A"),AND(C582="ไม่จำหน่ายอาหาร",K582="N/A",ISNUMBER(L582)),AND(C582="มัสยิด",K582="N/A",L582="N/A",X582="N/A"))),AD582="รอยืนยัน",COUNT(K582:Z582)+COUNTIFS(K582:Z582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2" s="59" t="str"/>
      <x:c r="AI582" s="61"/>
    </x:row>
    <x:row r="583" ht="60" customHeight="1">
      <x:c r="A583" s="2" t="str">
        <x:v>R26-218</x:v>
      </x:c>
      <x:c r="B583" s="8" t="str">
        <x:v>ชุมชนบ้านบ่อแร่</x:v>
      </x:c>
      <x:c r="C583" s="59" t="str">
        <x:v>ไม่ทราบ</x:v>
      </x:c>
      <x:c r="D583" s="59" t="str">
        <x:v>ไม่ทราบ</x:v>
      </x:c>
      <x:c r="E583" s="59" t="str">
        <x:v>ไม่ทราบ</x:v>
      </x:c>
      <x:c r="F583" s="59" t="str">
        <x:v>ไม่ทราบ</x:v>
      </x:c>
      <x:c r="G583" s="59" t="str">
        <x:v>ไม่ทราบ</x:v>
      </x:c>
      <x:c r="H583" s="59" t="str">
        <x:v>N/A</x:v>
      </x:c>
      <x:c r="I583" s="59"/>
      <x:c r="J583" s="59" t="str">
        <x:v>ไม่ทราบ</x:v>
      </x:c>
      <x:c r="K583" s="59"/>
      <x:c r="L583" s="59"/>
      <x:c r="M583" s="59"/>
      <x:c r="N583" s="59"/>
      <x:c r="O583" s="59"/>
      <x:c r="P583" s="59"/>
      <x:c r="Q583" s="59"/>
      <x:c r="R583" s="59"/>
      <x:c r="S583" s="59"/>
      <x:c r="T583" s="59"/>
      <x:c r="U583" s="59"/>
      <x:c r="V583" s="59"/>
      <x:c r="W583" s="59"/>
      <x:c r="X583" s="59"/>
      <x:c r="Y583" s="59"/>
      <x:c r="Z583" s="59"/>
      <x:c r="AA583" s="8" t="str">
        <x:f>IF(C583="ไม่ทราบ","",SUMIFS($K$7:$Z$7,K583:Z583,"&lt;&gt;N/A"))</x:f>
      </x:c>
      <x:c r="AB583" s="8" t="str">
        <x:f>IF(AND(OR(AND(C583="จำหน่ายอาหาร",ISNUMBER(K583),L583="N/A"),AND(C583="ไม่จำหน่ายอาหาร",K583="N/A",ISNUMBER(L583)),AND(C583="มัสยิด",K583="N/A",L583="N/A",X583="N/A")),COUNT(K583:Z583)+COUNTIFS(K583:Z583,"N/A")=16),SUM(K583:Z583),"")</x:f>
      </x:c>
      <x:c r="AC583" s="62" t="str">
        <x:f>IF(OR(AB583="",AA583&lt;=0),"",ROUND(AB583/AA583*100,1))</x:f>
      </x:c>
      <x:c r="AD583" s="8" t="str">
        <x:f>IF(COUNTIFS(D583:H583,"ไม่ผ่าน")&gt;0,"ไม่ผ่าน",IF(COUNTIFS(D583:H583,"ไม่ทราบ")+COUNTBLANK(D583:H583)&gt;0,"รอยืนยัน","ผ่าน"))</x:f>
        <x:v>รอยืนยัน</x:v>
      </x:c>
      <x:c r="AE583" s="8" t="str">
        <x:f>IF(AF583="ใช่","ไม่ผ่านการคัดเลือก",IF(AND(AD583="ผ่าน",ISNUMBER(AC583),AC583&gt;=70),"พร้อมขาย",IF(OR(J583="ใช่",AND(ISNUMBER(AC583),AC583&gt;=50)),"พัฒนาเพื่อพร้อมขาย",IF(AND(ISNUMBER(AC583),AC583&lt;50,I583&gt;=1),"มีศักยภาพ แต่ต้องพัฒนามาตรฐาน","รอประเมิน"))))</x:f>
        <x:v>รอประเมิน</x:v>
      </x:c>
      <x:c r="AF583" s="59" t="str">
        <x:v>ไม่ทราบ</x:v>
      </x:c>
      <x:c r="AG583" s="8" t="str">
        <x:f>IF(AF583="ใช่","หัวหน้าทีมพิจารณาเหตุไม่ผ่าน",IF(OR(AA583&lt;=0,NOT(OR(AND(C583="จำหน่ายอาหาร",ISNUMBER(K583),L583="N/A"),AND(C583="ไม่จำหน่ายอาหาร",K583="N/A",ISNUMBER(L583)),AND(C583="มัสยิด",K583="N/A",L583="N/A",X583="N/A"))),AD583="รอยืนยัน",COUNT(K583:Z583)+COUNTIFS(K583:Z583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3" s="59" t="str"/>
      <x:c r="AI583" s="61"/>
    </x:row>
    <x:row r="584" ht="60" customHeight="1">
      <x:c r="A584" s="2" t="str">
        <x:v>R26-219</x:v>
      </x:c>
      <x:c r="B584" s="8" t="str">
        <x:v>ชุมชนบ้านเกาะมะพร้าว</x:v>
      </x:c>
      <x:c r="C584" s="59" t="str">
        <x:v>ไม่ทราบ</x:v>
      </x:c>
      <x:c r="D584" s="59" t="str">
        <x:v>ไม่ทราบ</x:v>
      </x:c>
      <x:c r="E584" s="59" t="str">
        <x:v>ไม่ทราบ</x:v>
      </x:c>
      <x:c r="F584" s="59" t="str">
        <x:v>ไม่ทราบ</x:v>
      </x:c>
      <x:c r="G584" s="59" t="str">
        <x:v>ไม่ทราบ</x:v>
      </x:c>
      <x:c r="H584" s="59" t="str">
        <x:v>N/A</x:v>
      </x:c>
      <x:c r="I584" s="59"/>
      <x:c r="J584" s="59" t="str">
        <x:v>ไม่ทราบ</x:v>
      </x:c>
      <x:c r="K584" s="59"/>
      <x:c r="L584" s="59"/>
      <x:c r="M584" s="59"/>
      <x:c r="N584" s="59"/>
      <x:c r="O584" s="59"/>
      <x:c r="P584" s="59"/>
      <x:c r="Q584" s="59"/>
      <x:c r="R584" s="59"/>
      <x:c r="S584" s="59"/>
      <x:c r="T584" s="59"/>
      <x:c r="U584" s="59"/>
      <x:c r="V584" s="59"/>
      <x:c r="W584" s="59"/>
      <x:c r="X584" s="59"/>
      <x:c r="Y584" s="59"/>
      <x:c r="Z584" s="59"/>
      <x:c r="AA584" s="8" t="str">
        <x:f>IF(C584="ไม่ทราบ","",SUMIFS($K$7:$Z$7,K584:Z584,"&lt;&gt;N/A"))</x:f>
      </x:c>
      <x:c r="AB584" s="8" t="str">
        <x:f>IF(AND(OR(AND(C584="จำหน่ายอาหาร",ISNUMBER(K584),L584="N/A"),AND(C584="ไม่จำหน่ายอาหาร",K584="N/A",ISNUMBER(L584)),AND(C584="มัสยิด",K584="N/A",L584="N/A",X584="N/A")),COUNT(K584:Z584)+COUNTIFS(K584:Z584,"N/A")=16),SUM(K584:Z584),"")</x:f>
      </x:c>
      <x:c r="AC584" s="62" t="str">
        <x:f>IF(OR(AB584="",AA584&lt;=0),"",ROUND(AB584/AA584*100,1))</x:f>
      </x:c>
      <x:c r="AD584" s="8" t="str">
        <x:f>IF(COUNTIFS(D584:H584,"ไม่ผ่าน")&gt;0,"ไม่ผ่าน",IF(COUNTIFS(D584:H584,"ไม่ทราบ")+COUNTBLANK(D584:H584)&gt;0,"รอยืนยัน","ผ่าน"))</x:f>
        <x:v>รอยืนยัน</x:v>
      </x:c>
      <x:c r="AE584" s="8" t="str">
        <x:f>IF(AF584="ใช่","ไม่ผ่านการคัดเลือก",IF(AND(AD584="ผ่าน",ISNUMBER(AC584),AC584&gt;=70),"พร้อมขาย",IF(OR(J584="ใช่",AND(ISNUMBER(AC584),AC584&gt;=50)),"พัฒนาเพื่อพร้อมขาย",IF(AND(ISNUMBER(AC584),AC584&lt;50,I584&gt;=1),"มีศักยภาพ แต่ต้องพัฒนามาตรฐาน","รอประเมิน"))))</x:f>
        <x:v>รอประเมิน</x:v>
      </x:c>
      <x:c r="AF584" s="59" t="str">
        <x:v>ไม่ทราบ</x:v>
      </x:c>
      <x:c r="AG584" s="8" t="str">
        <x:f>IF(AF584="ใช่","หัวหน้าทีมพิจารณาเหตุไม่ผ่าน",IF(OR(AA584&lt;=0,NOT(OR(AND(C584="จำหน่ายอาหาร",ISNUMBER(K584),L584="N/A"),AND(C584="ไม่จำหน่ายอาหาร",K584="N/A",ISNUMBER(L584)),AND(C584="มัสยิด",K584="N/A",L584="N/A",X584="N/A"))),AD584="รอยืนยัน",COUNT(K584:Z584)+COUNTIFS(K584:Z584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4" s="59" t="str"/>
      <x:c r="AI584" s="61"/>
    </x:row>
    <x:row r="585" ht="60" customHeight="1">
      <x:c r="A585" s="2" t="str">
        <x:v>TMF-569</x:v>
      </x:c>
      <x:c r="B585" s="8" t="str">
        <x:v>บ้านบางโรง</x:v>
      </x:c>
      <x:c r="C585" s="59" t="str">
        <x:v>ไม่ทราบ</x:v>
      </x:c>
      <x:c r="D585" s="59" t="str">
        <x:v>ไม่ทราบ</x:v>
      </x:c>
      <x:c r="E585" s="59" t="str">
        <x:v>ไม่ทราบ</x:v>
      </x:c>
      <x:c r="F585" s="59" t="str">
        <x:v>ไม่ทราบ</x:v>
      </x:c>
      <x:c r="G585" s="59" t="str">
        <x:v>ไม่ทราบ</x:v>
      </x:c>
      <x:c r="H585" s="59" t="str">
        <x:v>N/A</x:v>
      </x:c>
      <x:c r="I585" s="59"/>
      <x:c r="J585" s="59" t="str">
        <x:v>ไม่ทราบ</x:v>
      </x:c>
      <x:c r="K585" s="59"/>
      <x:c r="L585" s="59"/>
      <x:c r="M585" s="59"/>
      <x:c r="N585" s="59"/>
      <x:c r="O585" s="59"/>
      <x:c r="P585" s="59"/>
      <x:c r="Q585" s="59"/>
      <x:c r="R585" s="59"/>
      <x:c r="S585" s="59"/>
      <x:c r="T585" s="59"/>
      <x:c r="U585" s="59"/>
      <x:c r="V585" s="59"/>
      <x:c r="W585" s="59"/>
      <x:c r="X585" s="59"/>
      <x:c r="Y585" s="59"/>
      <x:c r="Z585" s="59"/>
      <x:c r="AA585" s="8" t="str">
        <x:f>IF(C585="ไม่ทราบ","",SUMIFS($K$7:$Z$7,K585:Z585,"&lt;&gt;N/A"))</x:f>
      </x:c>
      <x:c r="AB585" s="8" t="str">
        <x:f>IF(AND(OR(AND(C585="จำหน่ายอาหาร",ISNUMBER(K585),L585="N/A"),AND(C585="ไม่จำหน่ายอาหาร",K585="N/A",ISNUMBER(L585)),AND(C585="มัสยิด",K585="N/A",L585="N/A",X585="N/A")),COUNT(K585:Z585)+COUNTIFS(K585:Z585,"N/A")=16),SUM(K585:Z585),"")</x:f>
      </x:c>
      <x:c r="AC585" s="62" t="str">
        <x:f>IF(OR(AB585="",AA585&lt;=0),"",ROUND(AB585/AA585*100,1))</x:f>
      </x:c>
      <x:c r="AD585" s="8" t="str">
        <x:f>IF(COUNTIFS(D585:H585,"ไม่ผ่าน")&gt;0,"ไม่ผ่าน",IF(COUNTIFS(D585:H585,"ไม่ทราบ")+COUNTBLANK(D585:H585)&gt;0,"รอยืนยัน","ผ่าน"))</x:f>
        <x:v>รอยืนยัน</x:v>
      </x:c>
      <x:c r="AE585" s="8" t="str">
        <x:f>IF(AF585="ใช่","ไม่ผ่านการคัดเลือก",IF(AND(AD585="ผ่าน",ISNUMBER(AC585),AC585&gt;=70),"พร้อมขาย",IF(OR(J585="ใช่",AND(ISNUMBER(AC585),AC585&gt;=50)),"พัฒนาเพื่อพร้อมขาย",IF(AND(ISNUMBER(AC585),AC585&lt;50,I585&gt;=1),"มีศักยภาพ แต่ต้องพัฒนามาตรฐาน","รอประเมิน"))))</x:f>
        <x:v>รอประเมิน</x:v>
      </x:c>
      <x:c r="AF585" s="59" t="str">
        <x:v>ไม่ทราบ</x:v>
      </x:c>
      <x:c r="AG585" s="8" t="str">
        <x:f>IF(AF585="ใช่","หัวหน้าทีมพิจารณาเหตุไม่ผ่าน",IF(OR(AA585&lt;=0,NOT(OR(AND(C585="จำหน่ายอาหาร",ISNUMBER(K585),L585="N/A"),AND(C585="ไม่จำหน่ายอาหาร",K585="N/A",ISNUMBER(L585)),AND(C585="มัสยิด",K585="N/A",L585="N/A",X585="N/A"))),AD585="รอยืนยัน",COUNT(K585:Z585)+COUNTIFS(K585:Z585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5" s="59" t="str"/>
      <x:c r="AI585" s="61"/>
    </x:row>
    <x:row r="586" ht="60" customHeight="1">
      <x:c r="A586" s="2" t="str">
        <x:v>R26-307</x:v>
      </x:c>
      <x:c r="B586" s="8" t="str">
        <x:v>Aquaria Phuket</x:v>
      </x:c>
      <x:c r="C586" s="59" t="str">
        <x:v>ไม่ทราบ</x:v>
      </x:c>
      <x:c r="D586" s="59" t="str">
        <x:v>ไม่ทราบ</x:v>
      </x:c>
      <x:c r="E586" s="59" t="str">
        <x:v>ไม่ทราบ</x:v>
      </x:c>
      <x:c r="F586" s="59" t="str">
        <x:v>ไม่ทราบ</x:v>
      </x:c>
      <x:c r="G586" s="59" t="str">
        <x:v>ไม่ทราบ</x:v>
      </x:c>
      <x:c r="H586" s="59" t="str">
        <x:v>N/A</x:v>
      </x:c>
      <x:c r="I586" s="59"/>
      <x:c r="J586" s="59" t="str">
        <x:v>ไม่ทราบ</x:v>
      </x:c>
      <x:c r="K586" s="59"/>
      <x:c r="L586" s="59"/>
      <x:c r="M586" s="59"/>
      <x:c r="N586" s="59"/>
      <x:c r="O586" s="59"/>
      <x:c r="P586" s="59"/>
      <x:c r="Q586" s="59"/>
      <x:c r="R586" s="59"/>
      <x:c r="S586" s="59"/>
      <x:c r="T586" s="59"/>
      <x:c r="U586" s="59"/>
      <x:c r="V586" s="59"/>
      <x:c r="W586" s="59"/>
      <x:c r="X586" s="59"/>
      <x:c r="Y586" s="59"/>
      <x:c r="Z586" s="59"/>
      <x:c r="AA586" s="8" t="str">
        <x:f>IF(C586="ไม่ทราบ","",SUMIFS($K$7:$Z$7,K586:Z586,"&lt;&gt;N/A"))</x:f>
      </x:c>
      <x:c r="AB586" s="8" t="str">
        <x:f>IF(AND(OR(AND(C586="จำหน่ายอาหาร",ISNUMBER(K586),L586="N/A"),AND(C586="ไม่จำหน่ายอาหาร",K586="N/A",ISNUMBER(L586)),AND(C586="มัสยิด",K586="N/A",L586="N/A",X586="N/A")),COUNT(K586:Z586)+COUNTIFS(K586:Z586,"N/A")=16),SUM(K586:Z586),"")</x:f>
      </x:c>
      <x:c r="AC586" s="62" t="str">
        <x:f>IF(OR(AB586="",AA586&lt;=0),"",ROUND(AB586/AA586*100,1))</x:f>
      </x:c>
      <x:c r="AD586" s="8" t="str">
        <x:f>IF(COUNTIFS(D586:H586,"ไม่ผ่าน")&gt;0,"ไม่ผ่าน",IF(COUNTIFS(D586:H586,"ไม่ทราบ")+COUNTBLANK(D586:H586)&gt;0,"รอยืนยัน","ผ่าน"))</x:f>
        <x:v>รอยืนยัน</x:v>
      </x:c>
      <x:c r="AE586" s="8" t="str">
        <x:f>IF(AF586="ใช่","ไม่ผ่านการคัดเลือก",IF(AND(AD586="ผ่าน",ISNUMBER(AC586),AC586&gt;=70),"พร้อมขาย",IF(OR(J586="ใช่",AND(ISNUMBER(AC586),AC586&gt;=50)),"พัฒนาเพื่อพร้อมขาย",IF(AND(ISNUMBER(AC586),AC586&lt;50,I586&gt;=1),"มีศักยภาพ แต่ต้องพัฒนามาตรฐาน","รอประเมิน"))))</x:f>
        <x:v>รอประเมิน</x:v>
      </x:c>
      <x:c r="AF586" s="59" t="str">
        <x:v>ไม่ทราบ</x:v>
      </x:c>
      <x:c r="AG586" s="8" t="str">
        <x:f>IF(AF586="ใช่","หัวหน้าทีมพิจารณาเหตุไม่ผ่าน",IF(OR(AA586&lt;=0,NOT(OR(AND(C586="จำหน่ายอาหาร",ISNUMBER(K586),L586="N/A"),AND(C586="ไม่จำหน่ายอาหาร",K586="N/A",ISNUMBER(L586)),AND(C586="มัสยิด",K586="N/A",L586="N/A",X586="N/A"))),AD586="รอยืนยัน",COUNT(K586:Z586)+COUNTIFS(K586:Z586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6" s="59" t="str"/>
      <x:c r="AI586" s="61"/>
    </x:row>
    <x:row r="587" ht="60" customHeight="1">
      <x:c r="A587" s="2" t="str">
        <x:v>R26-305</x:v>
      </x:c>
      <x:c r="B587" s="8" t="str">
        <x:v>Hanuman World Phuket</x:v>
      </x:c>
      <x:c r="C587" s="59" t="str">
        <x:v>ไม่ทราบ</x:v>
      </x:c>
      <x:c r="D587" s="59" t="str">
        <x:v>ไม่ทราบ</x:v>
      </x:c>
      <x:c r="E587" s="59" t="str">
        <x:v>ไม่ทราบ</x:v>
      </x:c>
      <x:c r="F587" s="59" t="str">
        <x:v>ไม่ทราบ</x:v>
      </x:c>
      <x:c r="G587" s="59" t="str">
        <x:v>ไม่ทราบ</x:v>
      </x:c>
      <x:c r="H587" s="59" t="str">
        <x:v>N/A</x:v>
      </x:c>
      <x:c r="I587" s="59"/>
      <x:c r="J587" s="59" t="str">
        <x:v>ไม่ทราบ</x:v>
      </x:c>
      <x:c r="K587" s="59"/>
      <x:c r="L587" s="59"/>
      <x:c r="M587" s="59"/>
      <x:c r="N587" s="59"/>
      <x:c r="O587" s="59"/>
      <x:c r="P587" s="59"/>
      <x:c r="Q587" s="59"/>
      <x:c r="R587" s="59"/>
      <x:c r="S587" s="59"/>
      <x:c r="T587" s="59"/>
      <x:c r="U587" s="59"/>
      <x:c r="V587" s="59"/>
      <x:c r="W587" s="59"/>
      <x:c r="X587" s="59"/>
      <x:c r="Y587" s="59"/>
      <x:c r="Z587" s="59"/>
      <x:c r="AA587" s="8" t="str">
        <x:f>IF(C587="ไม่ทราบ","",SUMIFS($K$7:$Z$7,K587:Z587,"&lt;&gt;N/A"))</x:f>
      </x:c>
      <x:c r="AB587" s="8" t="str">
        <x:f>IF(AND(OR(AND(C587="จำหน่ายอาหาร",ISNUMBER(K587),L587="N/A"),AND(C587="ไม่จำหน่ายอาหาร",K587="N/A",ISNUMBER(L587)),AND(C587="มัสยิด",K587="N/A",L587="N/A",X587="N/A")),COUNT(K587:Z587)+COUNTIFS(K587:Z587,"N/A")=16),SUM(K587:Z587),"")</x:f>
      </x:c>
      <x:c r="AC587" s="62" t="str">
        <x:f>IF(OR(AB587="",AA587&lt;=0),"",ROUND(AB587/AA587*100,1))</x:f>
      </x:c>
      <x:c r="AD587" s="8" t="str">
        <x:f>IF(COUNTIFS(D587:H587,"ไม่ผ่าน")&gt;0,"ไม่ผ่าน",IF(COUNTIFS(D587:H587,"ไม่ทราบ")+COUNTBLANK(D587:H587)&gt;0,"รอยืนยัน","ผ่าน"))</x:f>
        <x:v>รอยืนยัน</x:v>
      </x:c>
      <x:c r="AE587" s="8" t="str">
        <x:f>IF(AF587="ใช่","ไม่ผ่านการคัดเลือก",IF(AND(AD587="ผ่าน",ISNUMBER(AC587),AC587&gt;=70),"พร้อมขาย",IF(OR(J587="ใช่",AND(ISNUMBER(AC587),AC587&gt;=50)),"พัฒนาเพื่อพร้อมขาย",IF(AND(ISNUMBER(AC587),AC587&lt;50,I587&gt;=1),"มีศักยภาพ แต่ต้องพัฒนามาตรฐาน","รอประเมิน"))))</x:f>
        <x:v>รอประเมิน</x:v>
      </x:c>
      <x:c r="AF587" s="59" t="str">
        <x:v>ไม่ทราบ</x:v>
      </x:c>
      <x:c r="AG587" s="8" t="str">
        <x:f>IF(AF587="ใช่","หัวหน้าทีมพิจารณาเหตุไม่ผ่าน",IF(OR(AA587&lt;=0,NOT(OR(AND(C587="จำหน่ายอาหาร",ISNUMBER(K587),L587="N/A"),AND(C587="ไม่จำหน่ายอาหาร",K587="N/A",ISNUMBER(L587)),AND(C587="มัสยิด",K587="N/A",L587="N/A",X587="N/A"))),AD587="รอยืนยัน",COUNT(K587:Z587)+COUNTIFS(K587:Z587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7" s="59" t="str"/>
      <x:c r="AI587" s="61"/>
    </x:row>
    <x:row r="588" ht="60" customHeight="1">
      <x:c r="A588" s="2" t="str">
        <x:v>R26-306</x:v>
      </x:c>
      <x:c r="B588" s="8" t="str">
        <x:v>Phuket Aquarium</x:v>
      </x:c>
      <x:c r="C588" s="59" t="str">
        <x:v>ไม่ทราบ</x:v>
      </x:c>
      <x:c r="D588" s="59" t="str">
        <x:v>ไม่ทราบ</x:v>
      </x:c>
      <x:c r="E588" s="59" t="str">
        <x:v>ไม่ทราบ</x:v>
      </x:c>
      <x:c r="F588" s="59" t="str">
        <x:v>ไม่ทราบ</x:v>
      </x:c>
      <x:c r="G588" s="59" t="str">
        <x:v>ไม่ทราบ</x:v>
      </x:c>
      <x:c r="H588" s="59" t="str">
        <x:v>N/A</x:v>
      </x:c>
      <x:c r="I588" s="59"/>
      <x:c r="J588" s="59" t="str">
        <x:v>ไม่ทราบ</x:v>
      </x:c>
      <x:c r="K588" s="59"/>
      <x:c r="L588" s="59"/>
      <x:c r="M588" s="59"/>
      <x:c r="N588" s="59"/>
      <x:c r="O588" s="59"/>
      <x:c r="P588" s="59"/>
      <x:c r="Q588" s="59"/>
      <x:c r="R588" s="59"/>
      <x:c r="S588" s="59"/>
      <x:c r="T588" s="59"/>
      <x:c r="U588" s="59"/>
      <x:c r="V588" s="59"/>
      <x:c r="W588" s="59"/>
      <x:c r="X588" s="59"/>
      <x:c r="Y588" s="59"/>
      <x:c r="Z588" s="59"/>
      <x:c r="AA588" s="8" t="str">
        <x:f>IF(C588="ไม่ทราบ","",SUMIFS($K$7:$Z$7,K588:Z588,"&lt;&gt;N/A"))</x:f>
      </x:c>
      <x:c r="AB588" s="8" t="str">
        <x:f>IF(AND(OR(AND(C588="จำหน่ายอาหาร",ISNUMBER(K588),L588="N/A"),AND(C588="ไม่จำหน่ายอาหาร",K588="N/A",ISNUMBER(L588)),AND(C588="มัสยิด",K588="N/A",L588="N/A",X588="N/A")),COUNT(K588:Z588)+COUNTIFS(K588:Z588,"N/A")=16),SUM(K588:Z588),"")</x:f>
      </x:c>
      <x:c r="AC588" s="62" t="str">
        <x:f>IF(OR(AB588="",AA588&lt;=0),"",ROUND(AB588/AA588*100,1))</x:f>
      </x:c>
      <x:c r="AD588" s="8" t="str">
        <x:f>IF(COUNTIFS(D588:H588,"ไม่ผ่าน")&gt;0,"ไม่ผ่าน",IF(COUNTIFS(D588:H588,"ไม่ทราบ")+COUNTBLANK(D588:H588)&gt;0,"รอยืนยัน","ผ่าน"))</x:f>
        <x:v>รอยืนยัน</x:v>
      </x:c>
      <x:c r="AE588" s="8" t="str">
        <x:f>IF(AF588="ใช่","ไม่ผ่านการคัดเลือก",IF(AND(AD588="ผ่าน",ISNUMBER(AC588),AC588&gt;=70),"พร้อมขาย",IF(OR(J588="ใช่",AND(ISNUMBER(AC588),AC588&gt;=50)),"พัฒนาเพื่อพร้อมขาย",IF(AND(ISNUMBER(AC588),AC588&lt;50,I588&gt;=1),"มีศักยภาพ แต่ต้องพัฒนามาตรฐาน","รอประเมิน"))))</x:f>
        <x:v>รอประเมิน</x:v>
      </x:c>
      <x:c r="AF588" s="59" t="str">
        <x:v>ไม่ทราบ</x:v>
      </x:c>
      <x:c r="AG588" s="8" t="str">
        <x:f>IF(AF588="ใช่","หัวหน้าทีมพิจารณาเหตุไม่ผ่าน",IF(OR(AA588&lt;=0,NOT(OR(AND(C588="จำหน่ายอาหาร",ISNUMBER(K588),L588="N/A"),AND(C588="ไม่จำหน่ายอาหาร",K588="N/A",ISNUMBER(L588)),AND(C588="มัสยิด",K588="N/A",L588="N/A",X588="N/A"))),AD588="รอยืนยัน",COUNT(K588:Z588)+COUNTIFS(K588:Z588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8" s="59" t="str"/>
      <x:c r="AI588" s="61"/>
    </x:row>
    <x:row r="589" ht="60" customHeight="1">
      <x:c r="A589" s="2" t="str">
        <x:v>R26-308</x:v>
      </x:c>
      <x:c r="B589" s="8" t="str">
        <x:v>Phuket Elephant Sanctuary</x:v>
      </x:c>
      <x:c r="C589" s="59" t="str">
        <x:v>ไม่ทราบ</x:v>
      </x:c>
      <x:c r="D589" s="59" t="str">
        <x:v>ไม่ทราบ</x:v>
      </x:c>
      <x:c r="E589" s="59" t="str">
        <x:v>ไม่ทราบ</x:v>
      </x:c>
      <x:c r="F589" s="59" t="str">
        <x:v>ไม่ทราบ</x:v>
      </x:c>
      <x:c r="G589" s="59" t="str">
        <x:v>ไม่ทราบ</x:v>
      </x:c>
      <x:c r="H589" s="59" t="str">
        <x:v>N/A</x:v>
      </x:c>
      <x:c r="I589" s="59"/>
      <x:c r="J589" s="59" t="str">
        <x:v>ไม่ทราบ</x:v>
      </x:c>
      <x:c r="K589" s="59"/>
      <x:c r="L589" s="59"/>
      <x:c r="M589" s="59"/>
      <x:c r="N589" s="59"/>
      <x:c r="O589" s="59"/>
      <x:c r="P589" s="59"/>
      <x:c r="Q589" s="59"/>
      <x:c r="R589" s="59"/>
      <x:c r="S589" s="59"/>
      <x:c r="T589" s="59"/>
      <x:c r="U589" s="59"/>
      <x:c r="V589" s="59"/>
      <x:c r="W589" s="59"/>
      <x:c r="X589" s="59"/>
      <x:c r="Y589" s="59"/>
      <x:c r="Z589" s="59"/>
      <x:c r="AA589" s="8" t="str">
        <x:f>IF(C589="ไม่ทราบ","",SUMIFS($K$7:$Z$7,K589:Z589,"&lt;&gt;N/A"))</x:f>
      </x:c>
      <x:c r="AB589" s="8" t="str">
        <x:f>IF(AND(OR(AND(C589="จำหน่ายอาหาร",ISNUMBER(K589),L589="N/A"),AND(C589="ไม่จำหน่ายอาหาร",K589="N/A",ISNUMBER(L589)),AND(C589="มัสยิด",K589="N/A",L589="N/A",X589="N/A")),COUNT(K589:Z589)+COUNTIFS(K589:Z589,"N/A")=16),SUM(K589:Z589),"")</x:f>
      </x:c>
      <x:c r="AC589" s="62" t="str">
        <x:f>IF(OR(AB589="",AA589&lt;=0),"",ROUND(AB589/AA589*100,1))</x:f>
      </x:c>
      <x:c r="AD589" s="8" t="str">
        <x:f>IF(COUNTIFS(D589:H589,"ไม่ผ่าน")&gt;0,"ไม่ผ่าน",IF(COUNTIFS(D589:H589,"ไม่ทราบ")+COUNTBLANK(D589:H589)&gt;0,"รอยืนยัน","ผ่าน"))</x:f>
        <x:v>รอยืนยัน</x:v>
      </x:c>
      <x:c r="AE589" s="8" t="str">
        <x:f>IF(AF589="ใช่","ไม่ผ่านการคัดเลือก",IF(AND(AD589="ผ่าน",ISNUMBER(AC589),AC589&gt;=70),"พร้อมขาย",IF(OR(J589="ใช่",AND(ISNUMBER(AC589),AC589&gt;=50)),"พัฒนาเพื่อพร้อมขาย",IF(AND(ISNUMBER(AC589),AC589&lt;50,I589&gt;=1),"มีศักยภาพ แต่ต้องพัฒนามาตรฐาน","รอประเมิน"))))</x:f>
        <x:v>รอประเมิน</x:v>
      </x:c>
      <x:c r="AF589" s="59" t="str">
        <x:v>ไม่ทราบ</x:v>
      </x:c>
      <x:c r="AG589" s="8" t="str">
        <x:f>IF(AF589="ใช่","หัวหน้าทีมพิจารณาเหตุไม่ผ่าน",IF(OR(AA589&lt;=0,NOT(OR(AND(C589="จำหน่ายอาหาร",ISNUMBER(K589),L589="N/A"),AND(C589="ไม่จำหน่ายอาหาร",K589="N/A",ISNUMBER(L589)),AND(C589="มัสยิด",K589="N/A",L589="N/A",X589="N/A"))),AD589="รอยืนยัน",COUNT(K589:Z589)+COUNTIFS(K589:Z589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89" s="59" t="str"/>
      <x:c r="AI589" s="61"/>
    </x:row>
    <x:row r="590" ht="60" customHeight="1">
      <x:c r="A590" s="2" t="str">
        <x:v>TMF-189</x:v>
      </x:c>
      <x:c r="B590" s="8" t="str">
        <x:v>อันดามันดา ภูเก็ต</x:v>
      </x:c>
      <x:c r="C590" s="59" t="str">
        <x:v>ไม่ทราบ</x:v>
      </x:c>
      <x:c r="D590" s="59" t="str">
        <x:v>ไม่ทราบ</x:v>
      </x:c>
      <x:c r="E590" s="59" t="str">
        <x:v>ไม่ทราบ</x:v>
      </x:c>
      <x:c r="F590" s="59" t="str">
        <x:v>ไม่ทราบ</x:v>
      </x:c>
      <x:c r="G590" s="59" t="str">
        <x:v>ไม่ทราบ</x:v>
      </x:c>
      <x:c r="H590" s="59" t="str">
        <x:v>N/A</x:v>
      </x:c>
      <x:c r="I590" s="59"/>
      <x:c r="J590" s="59" t="str">
        <x:v>ไม่ทราบ</x:v>
      </x:c>
      <x:c r="K590" s="59"/>
      <x:c r="L590" s="59"/>
      <x:c r="M590" s="59"/>
      <x:c r="N590" s="59"/>
      <x:c r="O590" s="59"/>
      <x:c r="P590" s="59"/>
      <x:c r="Q590" s="59"/>
      <x:c r="R590" s="59"/>
      <x:c r="S590" s="59"/>
      <x:c r="T590" s="59"/>
      <x:c r="U590" s="59"/>
      <x:c r="V590" s="59"/>
      <x:c r="W590" s="59"/>
      <x:c r="X590" s="59"/>
      <x:c r="Y590" s="59"/>
      <x:c r="Z590" s="59"/>
      <x:c r="AA590" s="8" t="str">
        <x:f>IF(C590="ไม่ทราบ","",SUMIFS($K$7:$Z$7,K590:Z590,"&lt;&gt;N/A"))</x:f>
      </x:c>
      <x:c r="AB590" s="8" t="str">
        <x:f>IF(AND(OR(AND(C590="จำหน่ายอาหาร",ISNUMBER(K590),L590="N/A"),AND(C590="ไม่จำหน่ายอาหาร",K590="N/A",ISNUMBER(L590)),AND(C590="มัสยิด",K590="N/A",L590="N/A",X590="N/A")),COUNT(K590:Z590)+COUNTIFS(K590:Z590,"N/A")=16),SUM(K590:Z590),"")</x:f>
      </x:c>
      <x:c r="AC590" s="62" t="str">
        <x:f>IF(OR(AB590="",AA590&lt;=0),"",ROUND(AB590/AA590*100,1))</x:f>
      </x:c>
      <x:c r="AD590" s="8" t="str">
        <x:f>IF(COUNTIFS(D590:H590,"ไม่ผ่าน")&gt;0,"ไม่ผ่าน",IF(COUNTIFS(D590:H590,"ไม่ทราบ")+COUNTBLANK(D590:H590)&gt;0,"รอยืนยัน","ผ่าน"))</x:f>
        <x:v>รอยืนยัน</x:v>
      </x:c>
      <x:c r="AE590" s="8" t="str">
        <x:f>IF(AF590="ใช่","ไม่ผ่านการคัดเลือก",IF(AND(AD590="ผ่าน",ISNUMBER(AC590),AC590&gt;=70),"พร้อมขาย",IF(OR(J590="ใช่",AND(ISNUMBER(AC590),AC590&gt;=50)),"พัฒนาเพื่อพร้อมขาย",IF(AND(ISNUMBER(AC590),AC590&lt;50,I590&gt;=1),"มีศักยภาพ แต่ต้องพัฒนามาตรฐาน","รอประเมิน"))))</x:f>
        <x:v>รอประเมิน</x:v>
      </x:c>
      <x:c r="AF590" s="59" t="str">
        <x:v>ไม่ทราบ</x:v>
      </x:c>
      <x:c r="AG590" s="8" t="str">
        <x:f>IF(AF590="ใช่","หัวหน้าทีมพิจารณาเหตุไม่ผ่าน",IF(OR(AA590&lt;=0,NOT(OR(AND(C590="จำหน่ายอาหาร",ISNUMBER(K590),L590="N/A"),AND(C590="ไม่จำหน่ายอาหาร",K590="N/A",ISNUMBER(L590)),AND(C590="มัสยิด",K590="N/A",L590="N/A",X590="N/A"))),AD590="รอยืนยัน",COUNT(K590:Z590)+COUNTIFS(K590:Z590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0" s="59" t="str"/>
      <x:c r="AI590" s="61"/>
    </x:row>
    <x:row r="591" ht="60" customHeight="1">
      <x:c r="A591" s="2" t="str">
        <x:v>TMF-401</x:v>
      </x:c>
      <x:c r="B591" s="8" t="str">
        <x:v>กาแฟปากลัด</x:v>
      </x:c>
      <x:c r="C591" s="59" t="str">
        <x:v>จำหน่ายอาหาร</x:v>
      </x:c>
      <x:c r="D591" s="59" t="str">
        <x:v>ไม่ทราบ</x:v>
      </x:c>
      <x:c r="E591" s="59" t="str">
        <x:v>ไม่ทราบ</x:v>
      </x:c>
      <x:c r="F591" s="59" t="str">
        <x:v>ไม่ทราบ</x:v>
      </x:c>
      <x:c r="G591" s="59" t="str">
        <x:v>ไม่ทราบ</x:v>
      </x:c>
      <x:c r="H591" s="59" t="str">
        <x:v>N/A</x:v>
      </x:c>
      <x:c r="I591" s="59"/>
      <x:c r="J591" s="59" t="str">
        <x:v>ไม่ทราบ</x:v>
      </x:c>
      <x:c r="K591" s="59"/>
      <x:c r="L591" s="59" t="str">
        <x:v>N/A</x:v>
      </x:c>
      <x:c r="M591" s="59"/>
      <x:c r="N591" s="59"/>
      <x:c r="O591" s="59"/>
      <x:c r="P591" s="59"/>
      <x:c r="Q591" s="59"/>
      <x:c r="R591" s="59"/>
      <x:c r="S591" s="59"/>
      <x:c r="T591" s="59"/>
      <x:c r="U591" s="59"/>
      <x:c r="V591" s="59"/>
      <x:c r="W591" s="59"/>
      <x:c r="X591" s="59"/>
      <x:c r="Y591" s="59"/>
      <x:c r="Z591" s="59"/>
      <x:c r="AA591" s="8" t="n">
        <x:f>IF(C591="ไม่ทราบ","",SUMIFS($K$7:$Z$7,K591:Z591,"&lt;&gt;N/A"))</x:f>
        <x:v>100</x:v>
      </x:c>
      <x:c r="AB591" s="8" t="str">
        <x:f>IF(AND(OR(AND(C591="จำหน่ายอาหาร",ISNUMBER(K591),L591="N/A"),AND(C591="ไม่จำหน่ายอาหาร",K591="N/A",ISNUMBER(L591)),AND(C591="มัสยิด",K591="N/A",L591="N/A",X591="N/A")),COUNT(K591:Z591)+COUNTIFS(K591:Z591,"N/A")=16),SUM(K591:Z591),"")</x:f>
      </x:c>
      <x:c r="AC591" s="62" t="str">
        <x:f>IF(OR(AB591="",AA591&lt;=0),"",ROUND(AB591/AA591*100,1))</x:f>
      </x:c>
      <x:c r="AD591" s="8" t="str">
        <x:f>IF(COUNTIFS(D591:H591,"ไม่ผ่าน")&gt;0,"ไม่ผ่าน",IF(COUNTIFS(D591:H591,"ไม่ทราบ")+COUNTBLANK(D591:H591)&gt;0,"รอยืนยัน","ผ่าน"))</x:f>
        <x:v>รอยืนยัน</x:v>
      </x:c>
      <x:c r="AE591" s="8" t="str">
        <x:f>IF(AF591="ใช่","ไม่ผ่านการคัดเลือก",IF(AND(AD591="ผ่าน",ISNUMBER(AC591),AC591&gt;=70),"พร้อมขาย",IF(OR(J591="ใช่",AND(ISNUMBER(AC591),AC591&gt;=50)),"พัฒนาเพื่อพร้อมขาย",IF(AND(ISNUMBER(AC591),AC591&lt;50,I591&gt;=1),"มีศักยภาพ แต่ต้องพัฒนามาตรฐาน","รอประเมิน"))))</x:f>
        <x:v>รอประเมิน</x:v>
      </x:c>
      <x:c r="AF591" s="59" t="str">
        <x:v>ไม่ทราบ</x:v>
      </x:c>
      <x:c r="AG591" s="8" t="str">
        <x:f>IF(AF591="ใช่","หัวหน้าทีมพิจารณาเหตุไม่ผ่าน",IF(OR(AA591&lt;=0,NOT(OR(AND(C591="จำหน่ายอาหาร",ISNUMBER(K591),L591="N/A"),AND(C591="ไม่จำหน่ายอาหาร",K591="N/A",ISNUMBER(L591)),AND(C591="มัสยิด",K591="N/A",L591="N/A",X591="N/A"))),AD591="รอยืนยัน",COUNT(K591:Z591)+COUNTIFS(K591:Z591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1" s="59" t="str"/>
      <x:c r="AI591" s="61"/>
    </x:row>
    <x:row r="592" ht="60" customHeight="1">
      <x:c r="A592" s="2" t="str">
        <x:v>TMF-223</x:v>
      </x:c>
      <x:c r="B592" s="8" t="str">
        <x:v>ส้มตำบางกะสี</x:v>
      </x:c>
      <x:c r="C592" s="59" t="str">
        <x:v>จำหน่ายอาหาร</x:v>
      </x:c>
      <x:c r="D592" s="59" t="str">
        <x:v>ไม่ทราบ</x:v>
      </x:c>
      <x:c r="E592" s="59" t="str">
        <x:v>ไม่ทราบ</x:v>
      </x:c>
      <x:c r="F592" s="59" t="str">
        <x:v>ไม่ทราบ</x:v>
      </x:c>
      <x:c r="G592" s="59" t="str">
        <x:v>ไม่ทราบ</x:v>
      </x:c>
      <x:c r="H592" s="59" t="str">
        <x:v>N/A</x:v>
      </x:c>
      <x:c r="I592" s="59"/>
      <x:c r="J592" s="59" t="str">
        <x:v>ไม่ทราบ</x:v>
      </x:c>
      <x:c r="K592" s="59"/>
      <x:c r="L592" s="59" t="str">
        <x:v>N/A</x:v>
      </x:c>
      <x:c r="M592" s="59"/>
      <x:c r="N592" s="59"/>
      <x:c r="O592" s="59"/>
      <x:c r="P592" s="59"/>
      <x:c r="Q592" s="59"/>
      <x:c r="R592" s="59"/>
      <x:c r="S592" s="59"/>
      <x:c r="T592" s="59"/>
      <x:c r="U592" s="59"/>
      <x:c r="V592" s="59"/>
      <x:c r="W592" s="59"/>
      <x:c r="X592" s="59"/>
      <x:c r="Y592" s="59"/>
      <x:c r="Z592" s="59"/>
      <x:c r="AA592" s="8" t="n">
        <x:f>IF(C592="ไม่ทราบ","",SUMIFS($K$7:$Z$7,K592:Z592,"&lt;&gt;N/A"))</x:f>
        <x:v>100</x:v>
      </x:c>
      <x:c r="AB592" s="8" t="str">
        <x:f>IF(AND(OR(AND(C592="จำหน่ายอาหาร",ISNUMBER(K592),L592="N/A"),AND(C592="ไม่จำหน่ายอาหาร",K592="N/A",ISNUMBER(L592)),AND(C592="มัสยิด",K592="N/A",L592="N/A",X592="N/A")),COUNT(K592:Z592)+COUNTIFS(K592:Z592,"N/A")=16),SUM(K592:Z592),"")</x:f>
      </x:c>
      <x:c r="AC592" s="62" t="str">
        <x:f>IF(OR(AB592="",AA592&lt;=0),"",ROUND(AB592/AA592*100,1))</x:f>
      </x:c>
      <x:c r="AD592" s="8" t="str">
        <x:f>IF(COUNTIFS(D592:H592,"ไม่ผ่าน")&gt;0,"ไม่ผ่าน",IF(COUNTIFS(D592:H592,"ไม่ทราบ")+COUNTBLANK(D592:H592)&gt;0,"รอยืนยัน","ผ่าน"))</x:f>
        <x:v>รอยืนยัน</x:v>
      </x:c>
      <x:c r="AE592" s="8" t="str">
        <x:f>IF(AF592="ใช่","ไม่ผ่านการคัดเลือก",IF(AND(AD592="ผ่าน",ISNUMBER(AC592),AC592&gt;=70),"พร้อมขาย",IF(OR(J592="ใช่",AND(ISNUMBER(AC592),AC592&gt;=50)),"พัฒนาเพื่อพร้อมขาย",IF(AND(ISNUMBER(AC592),AC592&lt;50,I592&gt;=1),"มีศักยภาพ แต่ต้องพัฒนามาตรฐาน","รอประเมิน"))))</x:f>
        <x:v>รอประเมิน</x:v>
      </x:c>
      <x:c r="AF592" s="59" t="str">
        <x:v>ไม่ทราบ</x:v>
      </x:c>
      <x:c r="AG592" s="8" t="str">
        <x:f>IF(AF592="ใช่","หัวหน้าทีมพิจารณาเหตุไม่ผ่าน",IF(OR(AA592&lt;=0,NOT(OR(AND(C592="จำหน่ายอาหาร",ISNUMBER(K592),L592="N/A"),AND(C592="ไม่จำหน่ายอาหาร",K592="N/A",ISNUMBER(L592)),AND(C592="มัสยิด",K592="N/A",L592="N/A",X592="N/A"))),AD592="รอยืนยัน",COUNT(K592:Z592)+COUNTIFS(K592:Z592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2" s="59" t="str"/>
      <x:c r="AI592" s="61"/>
    </x:row>
    <x:row r="593" ht="60" customHeight="1">
      <x:c r="A593" s="2" t="str">
        <x:v>TMF-224</x:v>
      </x:c>
      <x:c r="B593" s="8" t="str">
        <x:v>แมนดาริน สุกี้&amp;ติ่มซำ สาขา เมกาบางนา</x:v>
      </x:c>
      <x:c r="C593" s="59" t="str">
        <x:v>จำหน่ายอาหาร</x:v>
      </x:c>
      <x:c r="D593" s="59" t="str">
        <x:v>ไม่ทราบ</x:v>
      </x:c>
      <x:c r="E593" s="59" t="str">
        <x:v>ไม่ทราบ</x:v>
      </x:c>
      <x:c r="F593" s="59" t="str">
        <x:v>ไม่ทราบ</x:v>
      </x:c>
      <x:c r="G593" s="59" t="str">
        <x:v>ไม่ทราบ</x:v>
      </x:c>
      <x:c r="H593" s="59" t="str">
        <x:v>N/A</x:v>
      </x:c>
      <x:c r="I593" s="59"/>
      <x:c r="J593" s="59" t="str">
        <x:v>ไม่ทราบ</x:v>
      </x:c>
      <x:c r="K593" s="59"/>
      <x:c r="L593" s="59" t="str">
        <x:v>N/A</x:v>
      </x:c>
      <x:c r="M593" s="59"/>
      <x:c r="N593" s="59"/>
      <x:c r="O593" s="59"/>
      <x:c r="P593" s="59"/>
      <x:c r="Q593" s="59"/>
      <x:c r="R593" s="59"/>
      <x:c r="S593" s="59"/>
      <x:c r="T593" s="59"/>
      <x:c r="U593" s="59"/>
      <x:c r="V593" s="59"/>
      <x:c r="W593" s="59"/>
      <x:c r="X593" s="59"/>
      <x:c r="Y593" s="59"/>
      <x:c r="Z593" s="59"/>
      <x:c r="AA593" s="8" t="n">
        <x:f>IF(C593="ไม่ทราบ","",SUMIFS($K$7:$Z$7,K593:Z593,"&lt;&gt;N/A"))</x:f>
        <x:v>100</x:v>
      </x:c>
      <x:c r="AB593" s="8" t="str">
        <x:f>IF(AND(OR(AND(C593="จำหน่ายอาหาร",ISNUMBER(K593),L593="N/A"),AND(C593="ไม่จำหน่ายอาหาร",K593="N/A",ISNUMBER(L593)),AND(C593="มัสยิด",K593="N/A",L593="N/A",X593="N/A")),COUNT(K593:Z593)+COUNTIFS(K593:Z593,"N/A")=16),SUM(K593:Z593),"")</x:f>
      </x:c>
      <x:c r="AC593" s="62" t="str">
        <x:f>IF(OR(AB593="",AA593&lt;=0),"",ROUND(AB593/AA593*100,1))</x:f>
      </x:c>
      <x:c r="AD593" s="8" t="str">
        <x:f>IF(COUNTIFS(D593:H593,"ไม่ผ่าน")&gt;0,"ไม่ผ่าน",IF(COUNTIFS(D593:H593,"ไม่ทราบ")+COUNTBLANK(D593:H593)&gt;0,"รอยืนยัน","ผ่าน"))</x:f>
        <x:v>รอยืนยัน</x:v>
      </x:c>
      <x:c r="AE593" s="8" t="str">
        <x:f>IF(AF593="ใช่","ไม่ผ่านการคัดเลือก",IF(AND(AD593="ผ่าน",ISNUMBER(AC593),AC593&gt;=70),"พร้อมขาย",IF(OR(J593="ใช่",AND(ISNUMBER(AC593),AC593&gt;=50)),"พัฒนาเพื่อพร้อมขาย",IF(AND(ISNUMBER(AC593),AC593&lt;50,I593&gt;=1),"มีศักยภาพ แต่ต้องพัฒนามาตรฐาน","รอประเมิน"))))</x:f>
        <x:v>รอประเมิน</x:v>
      </x:c>
      <x:c r="AF593" s="59" t="str">
        <x:v>ไม่ทราบ</x:v>
      </x:c>
      <x:c r="AG593" s="8" t="str">
        <x:f>IF(AF593="ใช่","หัวหน้าทีมพิจารณาเหตุไม่ผ่าน",IF(OR(AA593&lt;=0,NOT(OR(AND(C593="จำหน่ายอาหาร",ISNUMBER(K593),L593="N/A"),AND(C593="ไม่จำหน่ายอาหาร",K593="N/A",ISNUMBER(L593)),AND(C593="มัสยิด",K593="N/A",L593="N/A",X593="N/A"))),AD593="รอยืนยัน",COUNT(K593:Z593)+COUNTIFS(K593:Z593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3" s="59" t="str"/>
      <x:c r="AI593" s="61"/>
    </x:row>
    <x:row r="594" ht="60" customHeight="1">
      <x:c r="A594" s="2" t="str">
        <x:v>TMF-225</x:v>
      </x:c>
      <x:c r="B594" s="8" t="str">
        <x:v>โรตี ข้าวหมก Salute</x:v>
      </x:c>
      <x:c r="C594" s="59" t="str">
        <x:v>จำหน่ายอาหาร</x:v>
      </x:c>
      <x:c r="D594" s="59" t="str">
        <x:v>ไม่ทราบ</x:v>
      </x:c>
      <x:c r="E594" s="59" t="str">
        <x:v>ไม่ทราบ</x:v>
      </x:c>
      <x:c r="F594" s="59" t="str">
        <x:v>ไม่ทราบ</x:v>
      </x:c>
      <x:c r="G594" s="59" t="str">
        <x:v>ไม่ทราบ</x:v>
      </x:c>
      <x:c r="H594" s="59" t="str">
        <x:v>N/A</x:v>
      </x:c>
      <x:c r="I594" s="59"/>
      <x:c r="J594" s="59" t="str">
        <x:v>ไม่ทราบ</x:v>
      </x:c>
      <x:c r="K594" s="59"/>
      <x:c r="L594" s="59" t="str">
        <x:v>N/A</x:v>
      </x:c>
      <x:c r="M594" s="59"/>
      <x:c r="N594" s="59"/>
      <x:c r="O594" s="59"/>
      <x:c r="P594" s="59"/>
      <x:c r="Q594" s="59"/>
      <x:c r="R594" s="59"/>
      <x:c r="S594" s="59"/>
      <x:c r="T594" s="59"/>
      <x:c r="U594" s="59"/>
      <x:c r="V594" s="59"/>
      <x:c r="W594" s="59"/>
      <x:c r="X594" s="59"/>
      <x:c r="Y594" s="59"/>
      <x:c r="Z594" s="59"/>
      <x:c r="AA594" s="8" t="n">
        <x:f>IF(C594="ไม่ทราบ","",SUMIFS($K$7:$Z$7,K594:Z594,"&lt;&gt;N/A"))</x:f>
        <x:v>100</x:v>
      </x:c>
      <x:c r="AB594" s="8" t="str">
        <x:f>IF(AND(OR(AND(C594="จำหน่ายอาหาร",ISNUMBER(K594),L594="N/A"),AND(C594="ไม่จำหน่ายอาหาร",K594="N/A",ISNUMBER(L594)),AND(C594="มัสยิด",K594="N/A",L594="N/A",X594="N/A")),COUNT(K594:Z594)+COUNTIFS(K594:Z594,"N/A")=16),SUM(K594:Z594),"")</x:f>
      </x:c>
      <x:c r="AC594" s="62" t="str">
        <x:f>IF(OR(AB594="",AA594&lt;=0),"",ROUND(AB594/AA594*100,1))</x:f>
      </x:c>
      <x:c r="AD594" s="8" t="str">
        <x:f>IF(COUNTIFS(D594:H594,"ไม่ผ่าน")&gt;0,"ไม่ผ่าน",IF(COUNTIFS(D594:H594,"ไม่ทราบ")+COUNTBLANK(D594:H594)&gt;0,"รอยืนยัน","ผ่าน"))</x:f>
        <x:v>รอยืนยัน</x:v>
      </x:c>
      <x:c r="AE594" s="8" t="str">
        <x:f>IF(AF594="ใช่","ไม่ผ่านการคัดเลือก",IF(AND(AD594="ผ่าน",ISNUMBER(AC594),AC594&gt;=70),"พร้อมขาย",IF(OR(J594="ใช่",AND(ISNUMBER(AC594),AC594&gt;=50)),"พัฒนาเพื่อพร้อมขาย",IF(AND(ISNUMBER(AC594),AC594&lt;50,I594&gt;=1),"มีศักยภาพ แต่ต้องพัฒนามาตรฐาน","รอประเมิน"))))</x:f>
        <x:v>รอประเมิน</x:v>
      </x:c>
      <x:c r="AF594" s="59" t="str">
        <x:v>ไม่ทราบ</x:v>
      </x:c>
      <x:c r="AG594" s="8" t="str">
        <x:f>IF(AF594="ใช่","หัวหน้าทีมพิจารณาเหตุไม่ผ่าน",IF(OR(AA594&lt;=0,NOT(OR(AND(C594="จำหน่ายอาหาร",ISNUMBER(K594),L594="N/A"),AND(C594="ไม่จำหน่ายอาหาร",K594="N/A",ISNUMBER(L594)),AND(C594="มัสยิด",K594="N/A",L594="N/A",X594="N/A"))),AD594="รอยืนยัน",COUNT(K594:Z594)+COUNTIFS(K594:Z594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4" s="59" t="str"/>
      <x:c r="AI594" s="61"/>
    </x:row>
    <x:row r="595" ht="60" customHeight="1">
      <x:c r="A595" s="2" t="str">
        <x:v>R26-300</x:v>
      </x:c>
      <x:c r="B595" s="8" t="str">
        <x:v>RAKxa Wellness Bang Krachao</x:v>
      </x:c>
      <x:c r="C595" s="59" t="str">
        <x:v>ไม่ทราบ</x:v>
      </x:c>
      <x:c r="D595" s="59" t="str">
        <x:v>ไม่ทราบ</x:v>
      </x:c>
      <x:c r="E595" s="59" t="str">
        <x:v>ไม่ทราบ</x:v>
      </x:c>
      <x:c r="F595" s="59" t="str">
        <x:v>ไม่ทราบ</x:v>
      </x:c>
      <x:c r="G595" s="59" t="str">
        <x:v>ไม่ทราบ</x:v>
      </x:c>
      <x:c r="H595" s="59" t="str">
        <x:v>N/A</x:v>
      </x:c>
      <x:c r="I595" s="59"/>
      <x:c r="J595" s="59" t="str">
        <x:v>ไม่ทราบ</x:v>
      </x:c>
      <x:c r="K595" s="59"/>
      <x:c r="L595" s="59"/>
      <x:c r="M595" s="59"/>
      <x:c r="N595" s="59"/>
      <x:c r="O595" s="59"/>
      <x:c r="P595" s="59"/>
      <x:c r="Q595" s="59"/>
      <x:c r="R595" s="59"/>
      <x:c r="S595" s="59"/>
      <x:c r="T595" s="59"/>
      <x:c r="U595" s="59"/>
      <x:c r="V595" s="59"/>
      <x:c r="W595" s="59"/>
      <x:c r="X595" s="59"/>
      <x:c r="Y595" s="59"/>
      <x:c r="Z595" s="59"/>
      <x:c r="AA595" s="8" t="str">
        <x:f>IF(C595="ไม่ทราบ","",SUMIFS($K$7:$Z$7,K595:Z595,"&lt;&gt;N/A"))</x:f>
      </x:c>
      <x:c r="AB595" s="8" t="str">
        <x:f>IF(AND(OR(AND(C595="จำหน่ายอาหาร",ISNUMBER(K595),L595="N/A"),AND(C595="ไม่จำหน่ายอาหาร",K595="N/A",ISNUMBER(L595)),AND(C595="มัสยิด",K595="N/A",L595="N/A",X595="N/A")),COUNT(K595:Z595)+COUNTIFS(K595:Z595,"N/A")=16),SUM(K595:Z595),"")</x:f>
      </x:c>
      <x:c r="AC595" s="62" t="str">
        <x:f>IF(OR(AB595="",AA595&lt;=0),"",ROUND(AB595/AA595*100,1))</x:f>
      </x:c>
      <x:c r="AD595" s="8" t="str">
        <x:f>IF(COUNTIFS(D595:H595,"ไม่ผ่าน")&gt;0,"ไม่ผ่าน",IF(COUNTIFS(D595:H595,"ไม่ทราบ")+COUNTBLANK(D595:H595)&gt;0,"รอยืนยัน","ผ่าน"))</x:f>
        <x:v>รอยืนยัน</x:v>
      </x:c>
      <x:c r="AE595" s="8" t="str">
        <x:f>IF(AF595="ใช่","ไม่ผ่านการคัดเลือก",IF(AND(AD595="ผ่าน",ISNUMBER(AC595),AC595&gt;=70),"พร้อมขาย",IF(OR(J595="ใช่",AND(ISNUMBER(AC595),AC595&gt;=50)),"พัฒนาเพื่อพร้อมขาย",IF(AND(ISNUMBER(AC595),AC595&lt;50,I595&gt;=1),"มีศักยภาพ แต่ต้องพัฒนามาตรฐาน","รอประเมิน"))))</x:f>
        <x:v>รอประเมิน</x:v>
      </x:c>
      <x:c r="AF595" s="59" t="str">
        <x:v>ไม่ทราบ</x:v>
      </x:c>
      <x:c r="AG595" s="8" t="str">
        <x:f>IF(AF595="ใช่","หัวหน้าทีมพิจารณาเหตุไม่ผ่าน",IF(OR(AA595&lt;=0,NOT(OR(AND(C595="จำหน่ายอาหาร",ISNUMBER(K595),L595="N/A"),AND(C595="ไม่จำหน่ายอาหาร",K595="N/A",ISNUMBER(L595)),AND(C595="มัสยิด",K595="N/A",L595="N/A",X595="N/A"))),AD595="รอยืนยัน",COUNT(K595:Z595)+COUNTIFS(K595:Z595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5" s="59" t="str"/>
      <x:c r="AI595" s="61"/>
    </x:row>
    <x:row r="596" ht="60" customHeight="1">
      <x:c r="A596" s="2" t="str">
        <x:v>R26-270</x:v>
      </x:c>
      <x:c r="B596" s="8" t="str">
        <x:v>Mega Bangna</x:v>
      </x:c>
      <x:c r="C596" s="59" t="str">
        <x:v>ไม่ทราบ</x:v>
      </x:c>
      <x:c r="D596" s="59" t="str">
        <x:v>ไม่ทราบ</x:v>
      </x:c>
      <x:c r="E596" s="59" t="str">
        <x:v>ไม่ทราบ</x:v>
      </x:c>
      <x:c r="F596" s="59" t="str">
        <x:v>ไม่ทราบ</x:v>
      </x:c>
      <x:c r="G596" s="59" t="str">
        <x:v>ไม่ทราบ</x:v>
      </x:c>
      <x:c r="H596" s="59" t="str">
        <x:v>N/A</x:v>
      </x:c>
      <x:c r="I596" s="59"/>
      <x:c r="J596" s="59" t="str">
        <x:v>ไม่ทราบ</x:v>
      </x:c>
      <x:c r="K596" s="59"/>
      <x:c r="L596" s="59"/>
      <x:c r="M596" s="59"/>
      <x:c r="N596" s="59"/>
      <x:c r="O596" s="59"/>
      <x:c r="P596" s="59"/>
      <x:c r="Q596" s="59"/>
      <x:c r="R596" s="59"/>
      <x:c r="S596" s="59"/>
      <x:c r="T596" s="59"/>
      <x:c r="U596" s="59"/>
      <x:c r="V596" s="59"/>
      <x:c r="W596" s="59"/>
      <x:c r="X596" s="59"/>
      <x:c r="Y596" s="59"/>
      <x:c r="Z596" s="59"/>
      <x:c r="AA596" s="8" t="str">
        <x:f>IF(C596="ไม่ทราบ","",SUMIFS($K$7:$Z$7,K596:Z596,"&lt;&gt;N/A"))</x:f>
      </x:c>
      <x:c r="AB596" s="8" t="str">
        <x:f>IF(AND(OR(AND(C596="จำหน่ายอาหาร",ISNUMBER(K596),L596="N/A"),AND(C596="ไม่จำหน่ายอาหาร",K596="N/A",ISNUMBER(L596)),AND(C596="มัสยิด",K596="N/A",L596="N/A",X596="N/A")),COUNT(K596:Z596)+COUNTIFS(K596:Z596,"N/A")=16),SUM(K596:Z596),"")</x:f>
      </x:c>
      <x:c r="AC596" s="62" t="str">
        <x:f>IF(OR(AB596="",AA596&lt;=0),"",ROUND(AB596/AA596*100,1))</x:f>
      </x:c>
      <x:c r="AD596" s="8" t="str">
        <x:f>IF(COUNTIFS(D596:H596,"ไม่ผ่าน")&gt;0,"ไม่ผ่าน",IF(COUNTIFS(D596:H596,"ไม่ทราบ")+COUNTBLANK(D596:H596)&gt;0,"รอยืนยัน","ผ่าน"))</x:f>
        <x:v>รอยืนยัน</x:v>
      </x:c>
      <x:c r="AE596" s="8" t="str">
        <x:f>IF(AF596="ใช่","ไม่ผ่านการคัดเลือก",IF(AND(AD596="ผ่าน",ISNUMBER(AC596),AC596&gt;=70),"พร้อมขาย",IF(OR(J596="ใช่",AND(ISNUMBER(AC596),AC596&gt;=50)),"พัฒนาเพื่อพร้อมขาย",IF(AND(ISNUMBER(AC596),AC596&lt;50,I596&gt;=1),"มีศักยภาพ แต่ต้องพัฒนามาตรฐาน","รอประเมิน"))))</x:f>
        <x:v>รอประเมิน</x:v>
      </x:c>
      <x:c r="AF596" s="59" t="str">
        <x:v>ไม่ทราบ</x:v>
      </x:c>
      <x:c r="AG596" s="8" t="str">
        <x:f>IF(AF596="ใช่","หัวหน้าทีมพิจารณาเหตุไม่ผ่าน",IF(OR(AA596&lt;=0,NOT(OR(AND(C596="จำหน่ายอาหาร",ISNUMBER(K596),L596="N/A"),AND(C596="ไม่จำหน่ายอาหาร",K596="N/A",ISNUMBER(L596)),AND(C596="มัสยิด",K596="N/A",L596="N/A",X596="N/A"))),AD596="รอยืนยัน",COUNT(K596:Z596)+COUNTIFS(K596:Z596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6" s="59" t="str"/>
      <x:c r="AI596" s="61"/>
    </x:row>
    <x:row r="597" ht="60" customHeight="1">
      <x:c r="A597" s="2" t="str">
        <x:v>R26-238</x:v>
      </x:c>
      <x:c r="B597" s="8" t="str">
        <x:v>สถานตากอากาศบางปู</x:v>
      </x:c>
      <x:c r="C597" s="59" t="str">
        <x:v>ไม่ทราบ</x:v>
      </x:c>
      <x:c r="D597" s="59" t="str">
        <x:v>ไม่ทราบ</x:v>
      </x:c>
      <x:c r="E597" s="59" t="str">
        <x:v>ไม่ทราบ</x:v>
      </x:c>
      <x:c r="F597" s="59" t="str">
        <x:v>ไม่ทราบ</x:v>
      </x:c>
      <x:c r="G597" s="59" t="str">
        <x:v>ไม่ทราบ</x:v>
      </x:c>
      <x:c r="H597" s="59" t="str">
        <x:v>N/A</x:v>
      </x:c>
      <x:c r="I597" s="59"/>
      <x:c r="J597" s="59" t="str">
        <x:v>ไม่ทราบ</x:v>
      </x:c>
      <x:c r="K597" s="59"/>
      <x:c r="L597" s="59"/>
      <x:c r="M597" s="59"/>
      <x:c r="N597" s="59"/>
      <x:c r="O597" s="59"/>
      <x:c r="P597" s="59"/>
      <x:c r="Q597" s="59"/>
      <x:c r="R597" s="59"/>
      <x:c r="S597" s="59"/>
      <x:c r="T597" s="59"/>
      <x:c r="U597" s="59"/>
      <x:c r="V597" s="59"/>
      <x:c r="W597" s="59"/>
      <x:c r="X597" s="59"/>
      <x:c r="Y597" s="59"/>
      <x:c r="Z597" s="59"/>
      <x:c r="AA597" s="8" t="str">
        <x:f>IF(C597="ไม่ทราบ","",SUMIFS($K$7:$Z$7,K597:Z597,"&lt;&gt;N/A"))</x:f>
      </x:c>
      <x:c r="AB597" s="8" t="str">
        <x:f>IF(AND(OR(AND(C597="จำหน่ายอาหาร",ISNUMBER(K597),L597="N/A"),AND(C597="ไม่จำหน่ายอาหาร",K597="N/A",ISNUMBER(L597)),AND(C597="มัสยิด",K597="N/A",L597="N/A",X597="N/A")),COUNT(K597:Z597)+COUNTIFS(K597:Z597,"N/A")=16),SUM(K597:Z597),"")</x:f>
      </x:c>
      <x:c r="AC597" s="62" t="str">
        <x:f>IF(OR(AB597="",AA597&lt;=0),"",ROUND(AB597/AA597*100,1))</x:f>
      </x:c>
      <x:c r="AD597" s="8" t="str">
        <x:f>IF(COUNTIFS(D597:H597,"ไม่ผ่าน")&gt;0,"ไม่ผ่าน",IF(COUNTIFS(D597:H597,"ไม่ทราบ")+COUNTBLANK(D597:H597)&gt;0,"รอยืนยัน","ผ่าน"))</x:f>
        <x:v>รอยืนยัน</x:v>
      </x:c>
      <x:c r="AE597" s="8" t="str">
        <x:f>IF(AF597="ใช่","ไม่ผ่านการคัดเลือก",IF(AND(AD597="ผ่าน",ISNUMBER(AC597),AC597&gt;=70),"พร้อมขาย",IF(OR(J597="ใช่",AND(ISNUMBER(AC597),AC597&gt;=50)),"พัฒนาเพื่อพร้อมขาย",IF(AND(ISNUMBER(AC597),AC597&lt;50,I597&gt;=1),"มีศักยภาพ แต่ต้องพัฒนามาตรฐาน","รอประเมิน"))))</x:f>
        <x:v>รอประเมิน</x:v>
      </x:c>
      <x:c r="AF597" s="59" t="str">
        <x:v>ไม่ทราบ</x:v>
      </x:c>
      <x:c r="AG597" s="8" t="str">
        <x:f>IF(AF597="ใช่","หัวหน้าทีมพิจารณาเหตุไม่ผ่าน",IF(OR(AA597&lt;=0,NOT(OR(AND(C597="จำหน่ายอาหาร",ISNUMBER(K597),L597="N/A"),AND(C597="ไม่จำหน่ายอาหาร",K597="N/A",ISNUMBER(L597)),AND(C597="มัสยิด",K597="N/A",L597="N/A",X597="N/A"))),AD597="รอยืนยัน",COUNT(K597:Z597)+COUNTIFS(K597:Z597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7" s="59" t="str"/>
      <x:c r="AI597" s="61"/>
    </x:row>
    <x:row r="598" ht="60" customHeight="1">
      <x:c r="A598" s="2" t="str">
        <x:v>R26-239</x:v>
      </x:c>
      <x:c r="B598" s="8" t="str">
        <x:v>สวนศรีนครเขื่อนขันธ์</x:v>
      </x:c>
      <x:c r="C598" s="59" t="str">
        <x:v>ไม่ทราบ</x:v>
      </x:c>
      <x:c r="D598" s="59" t="str">
        <x:v>ไม่ทราบ</x:v>
      </x:c>
      <x:c r="E598" s="59" t="str">
        <x:v>ไม่ทราบ</x:v>
      </x:c>
      <x:c r="F598" s="59" t="str">
        <x:v>ไม่ทราบ</x:v>
      </x:c>
      <x:c r="G598" s="59" t="str">
        <x:v>ไม่ทราบ</x:v>
      </x:c>
      <x:c r="H598" s="59" t="str">
        <x:v>N/A</x:v>
      </x:c>
      <x:c r="I598" s="59"/>
      <x:c r="J598" s="59" t="str">
        <x:v>ไม่ทราบ</x:v>
      </x:c>
      <x:c r="K598" s="59"/>
      <x:c r="L598" s="59"/>
      <x:c r="M598" s="59"/>
      <x:c r="N598" s="59"/>
      <x:c r="O598" s="59"/>
      <x:c r="P598" s="59"/>
      <x:c r="Q598" s="59"/>
      <x:c r="R598" s="59"/>
      <x:c r="S598" s="59"/>
      <x:c r="T598" s="59"/>
      <x:c r="U598" s="59"/>
      <x:c r="V598" s="59"/>
      <x:c r="W598" s="59"/>
      <x:c r="X598" s="59"/>
      <x:c r="Y598" s="59"/>
      <x:c r="Z598" s="59"/>
      <x:c r="AA598" s="8" t="str">
        <x:f>IF(C598="ไม่ทราบ","",SUMIFS($K$7:$Z$7,K598:Z598,"&lt;&gt;N/A"))</x:f>
      </x:c>
      <x:c r="AB598" s="8" t="str">
        <x:f>IF(AND(OR(AND(C598="จำหน่ายอาหาร",ISNUMBER(K598),L598="N/A"),AND(C598="ไม่จำหน่ายอาหาร",K598="N/A",ISNUMBER(L598)),AND(C598="มัสยิด",K598="N/A",L598="N/A",X598="N/A")),COUNT(K598:Z598)+COUNTIFS(K598:Z598,"N/A")=16),SUM(K598:Z598),"")</x:f>
      </x:c>
      <x:c r="AC598" s="62" t="str">
        <x:f>IF(OR(AB598="",AA598&lt;=0),"",ROUND(AB598/AA598*100,1))</x:f>
      </x:c>
      <x:c r="AD598" s="8" t="str">
        <x:f>IF(COUNTIFS(D598:H598,"ไม่ผ่าน")&gt;0,"ไม่ผ่าน",IF(COUNTIFS(D598:H598,"ไม่ทราบ")+COUNTBLANK(D598:H598)&gt;0,"รอยืนยัน","ผ่าน"))</x:f>
        <x:v>รอยืนยัน</x:v>
      </x:c>
      <x:c r="AE598" s="8" t="str">
        <x:f>IF(AF598="ใช่","ไม่ผ่านการคัดเลือก",IF(AND(AD598="ผ่าน",ISNUMBER(AC598),AC598&gt;=70),"พร้อมขาย",IF(OR(J598="ใช่",AND(ISNUMBER(AC598),AC598&gt;=50)),"พัฒนาเพื่อพร้อมขาย",IF(AND(ISNUMBER(AC598),AC598&lt;50,I598&gt;=1),"มีศักยภาพ แต่ต้องพัฒนามาตรฐาน","รอประเมิน"))))</x:f>
        <x:v>รอประเมิน</x:v>
      </x:c>
      <x:c r="AF598" s="59" t="str">
        <x:v>ไม่ทราบ</x:v>
      </x:c>
      <x:c r="AG598" s="8" t="str">
        <x:f>IF(AF598="ใช่","หัวหน้าทีมพิจารณาเหตุไม่ผ่าน",IF(OR(AA598&lt;=0,NOT(OR(AND(C598="จำหน่ายอาหาร",ISNUMBER(K598),L598="N/A"),AND(C598="ไม่จำหน่ายอาหาร",K598="N/A",ISNUMBER(L598)),AND(C598="มัสยิด",K598="N/A",L598="N/A",X598="N/A"))),AD598="รอยืนยัน",COUNT(K598:Z598)+COUNTIFS(K598:Z598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8" s="59" t="str"/>
      <x:c r="AI598" s="61"/>
    </x:row>
    <x:row r="599" ht="60" customHeight="1">
      <x:c r="A599" s="2" t="str">
        <x:v>R26-241</x:v>
      </x:c>
      <x:c r="B599" s="8" t="str">
        <x:v>เมืองโบราณ สมุทรปราการ</x:v>
      </x:c>
      <x:c r="C599" s="59" t="str">
        <x:v>ไม่ทราบ</x:v>
      </x:c>
      <x:c r="D599" s="59" t="str">
        <x:v>ไม่ทราบ</x:v>
      </x:c>
      <x:c r="E599" s="59" t="str">
        <x:v>ไม่ทราบ</x:v>
      </x:c>
      <x:c r="F599" s="59" t="str">
        <x:v>ไม่ทราบ</x:v>
      </x:c>
      <x:c r="G599" s="59" t="str">
        <x:v>ไม่ทราบ</x:v>
      </x:c>
      <x:c r="H599" s="59" t="str">
        <x:v>N/A</x:v>
      </x:c>
      <x:c r="I599" s="59"/>
      <x:c r="J599" s="59" t="str">
        <x:v>ไม่ทราบ</x:v>
      </x:c>
      <x:c r="K599" s="59"/>
      <x:c r="L599" s="59"/>
      <x:c r="M599" s="59"/>
      <x:c r="N599" s="59"/>
      <x:c r="O599" s="59"/>
      <x:c r="P599" s="59"/>
      <x:c r="Q599" s="59"/>
      <x:c r="R599" s="59"/>
      <x:c r="S599" s="59"/>
      <x:c r="T599" s="59"/>
      <x:c r="U599" s="59"/>
      <x:c r="V599" s="59"/>
      <x:c r="W599" s="59"/>
      <x:c r="X599" s="59"/>
      <x:c r="Y599" s="59"/>
      <x:c r="Z599" s="59"/>
      <x:c r="AA599" s="8" t="str">
        <x:f>IF(C599="ไม่ทราบ","",SUMIFS($K$7:$Z$7,K599:Z599,"&lt;&gt;N/A"))</x:f>
      </x:c>
      <x:c r="AB599" s="8" t="str">
        <x:f>IF(AND(OR(AND(C599="จำหน่ายอาหาร",ISNUMBER(K599),L599="N/A"),AND(C599="ไม่จำหน่ายอาหาร",K599="N/A",ISNUMBER(L599)),AND(C599="มัสยิด",K599="N/A",L599="N/A",X599="N/A")),COUNT(K599:Z599)+COUNTIFS(K599:Z599,"N/A")=16),SUM(K599:Z599),"")</x:f>
      </x:c>
      <x:c r="AC599" s="62" t="str">
        <x:f>IF(OR(AB599="",AA599&lt;=0),"",ROUND(AB599/AA599*100,1))</x:f>
      </x:c>
      <x:c r="AD599" s="8" t="str">
        <x:f>IF(COUNTIFS(D599:H599,"ไม่ผ่าน")&gt;0,"ไม่ผ่าน",IF(COUNTIFS(D599:H599,"ไม่ทราบ")+COUNTBLANK(D599:H599)&gt;0,"รอยืนยัน","ผ่าน"))</x:f>
        <x:v>รอยืนยัน</x:v>
      </x:c>
      <x:c r="AE599" s="8" t="str">
        <x:f>IF(AF599="ใช่","ไม่ผ่านการคัดเลือก",IF(AND(AD599="ผ่าน",ISNUMBER(AC599),AC599&gt;=70),"พร้อมขาย",IF(OR(J599="ใช่",AND(ISNUMBER(AC599),AC599&gt;=50)),"พัฒนาเพื่อพร้อมขาย",IF(AND(ISNUMBER(AC599),AC599&lt;50,I599&gt;=1),"มีศักยภาพ แต่ต้องพัฒนามาตรฐาน","รอประเมิน"))))</x:f>
        <x:v>รอประเมิน</x:v>
      </x:c>
      <x:c r="AF599" s="59" t="str">
        <x:v>ไม่ทราบ</x:v>
      </x:c>
      <x:c r="AG599" s="8" t="str">
        <x:f>IF(AF599="ใช่","หัวหน้าทีมพิจารณาเหตุไม่ผ่าน",IF(OR(AA599&lt;=0,NOT(OR(AND(C599="จำหน่ายอาหาร",ISNUMBER(K599),L599="N/A"),AND(C599="ไม่จำหน่ายอาหาร",K599="N/A",ISNUMBER(L599)),AND(C599="มัสยิด",K599="N/A",L599="N/A",X599="N/A"))),AD599="รอยืนยัน",COUNT(K599:Z599)+COUNTIFS(K599:Z599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599" s="59" t="str"/>
      <x:c r="AI599" s="61"/>
    </x:row>
    <x:row r="600" ht="60" customHeight="1">
      <x:c r="A600" s="2" t="str">
        <x:v>R26-240</x:v>
      </x:c>
      <x:c r="B600" s="8" t="str">
        <x:v>ชุมชนบางกะเจ้า</x:v>
      </x:c>
      <x:c r="C600" s="59" t="str">
        <x:v>ไม่ทราบ</x:v>
      </x:c>
      <x:c r="D600" s="59" t="str">
        <x:v>ไม่ทราบ</x:v>
      </x:c>
      <x:c r="E600" s="59" t="str">
        <x:v>ไม่ทราบ</x:v>
      </x:c>
      <x:c r="F600" s="59" t="str">
        <x:v>ไม่ทราบ</x:v>
      </x:c>
      <x:c r="G600" s="59" t="str">
        <x:v>ไม่ทราบ</x:v>
      </x:c>
      <x:c r="H600" s="59" t="str">
        <x:v>N/A</x:v>
      </x:c>
      <x:c r="I600" s="59"/>
      <x:c r="J600" s="59" t="str">
        <x:v>ไม่ทราบ</x:v>
      </x:c>
      <x:c r="K600" s="59"/>
      <x:c r="L600" s="59"/>
      <x:c r="M600" s="59"/>
      <x:c r="N600" s="59"/>
      <x:c r="O600" s="59"/>
      <x:c r="P600" s="59"/>
      <x:c r="Q600" s="59"/>
      <x:c r="R600" s="59"/>
      <x:c r="S600" s="59"/>
      <x:c r="T600" s="59"/>
      <x:c r="U600" s="59"/>
      <x:c r="V600" s="59"/>
      <x:c r="W600" s="59"/>
      <x:c r="X600" s="59"/>
      <x:c r="Y600" s="59"/>
      <x:c r="Z600" s="59"/>
      <x:c r="AA600" s="8" t="str">
        <x:f>IF(C600="ไม่ทราบ","",SUMIFS($K$7:$Z$7,K600:Z600,"&lt;&gt;N/A"))</x:f>
      </x:c>
      <x:c r="AB600" s="8" t="str">
        <x:f>IF(AND(OR(AND(C600="จำหน่ายอาหาร",ISNUMBER(K600),L600="N/A"),AND(C600="ไม่จำหน่ายอาหาร",K600="N/A",ISNUMBER(L600)),AND(C600="มัสยิด",K600="N/A",L600="N/A",X600="N/A")),COUNT(K600:Z600)+COUNTIFS(K600:Z600,"N/A")=16),SUM(K600:Z600),"")</x:f>
      </x:c>
      <x:c r="AC600" s="62" t="str">
        <x:f>IF(OR(AB600="",AA600&lt;=0),"",ROUND(AB600/AA600*100,1))</x:f>
      </x:c>
      <x:c r="AD600" s="8" t="str">
        <x:f>IF(COUNTIFS(D600:H600,"ไม่ผ่าน")&gt;0,"ไม่ผ่าน",IF(COUNTIFS(D600:H600,"ไม่ทราบ")+COUNTBLANK(D600:H600)&gt;0,"รอยืนยัน","ผ่าน"))</x:f>
        <x:v>รอยืนยัน</x:v>
      </x:c>
      <x:c r="AE600" s="8" t="str">
        <x:f>IF(AF600="ใช่","ไม่ผ่านการคัดเลือก",IF(AND(AD600="ผ่าน",ISNUMBER(AC600),AC600&gt;=70),"พร้อมขาย",IF(OR(J600="ใช่",AND(ISNUMBER(AC600),AC600&gt;=50)),"พัฒนาเพื่อพร้อมขาย",IF(AND(ISNUMBER(AC600),AC600&lt;50,I600&gt;=1),"มีศักยภาพ แต่ต้องพัฒนามาตรฐาน","รอประเมิน"))))</x:f>
        <x:v>รอประเมิน</x:v>
      </x:c>
      <x:c r="AF600" s="59" t="str">
        <x:v>ไม่ทราบ</x:v>
      </x:c>
      <x:c r="AG600" s="8" t="str">
        <x:f>IF(AF600="ใช่","หัวหน้าทีมพิจารณาเหตุไม่ผ่าน",IF(OR(AA600&lt;=0,NOT(OR(AND(C600="จำหน่ายอาหาร",ISNUMBER(K600),L600="N/A"),AND(C600="ไม่จำหน่ายอาหาร",K600="N/A",ISNUMBER(L600)),AND(C600="มัสยิด",K600="N/A",L600="N/A",X600="N/A"))),AD600="รอยืนยัน",COUNT(K600:Z600)+COUNTIFS(K600:Z600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0" s="59" t="str"/>
      <x:c r="AI600" s="61"/>
    </x:row>
    <x:row r="601" ht="60" customHeight="1">
      <x:c r="A601" s="2" t="str">
        <x:v>R26-322</x:v>
      </x:c>
      <x:c r="B601" s="8" t="str">
        <x:v>ฟาร์มจระเข้และสวนสัตว์สมุทรปราการ</x:v>
      </x:c>
      <x:c r="C601" s="59" t="str">
        <x:v>ไม่ทราบ</x:v>
      </x:c>
      <x:c r="D601" s="59" t="str">
        <x:v>ไม่ทราบ</x:v>
      </x:c>
      <x:c r="E601" s="59" t="str">
        <x:v>ไม่ทราบ</x:v>
      </x:c>
      <x:c r="F601" s="59" t="str">
        <x:v>ไม่ทราบ</x:v>
      </x:c>
      <x:c r="G601" s="59" t="str">
        <x:v>ไม่ทราบ</x:v>
      </x:c>
      <x:c r="H601" s="59" t="str">
        <x:v>N/A</x:v>
      </x:c>
      <x:c r="I601" s="59"/>
      <x:c r="J601" s="59" t="str">
        <x:v>ไม่ทราบ</x:v>
      </x:c>
      <x:c r="K601" s="59"/>
      <x:c r="L601" s="59"/>
      <x:c r="M601" s="59"/>
      <x:c r="N601" s="59"/>
      <x:c r="O601" s="59"/>
      <x:c r="P601" s="59"/>
      <x:c r="Q601" s="59"/>
      <x:c r="R601" s="59"/>
      <x:c r="S601" s="59"/>
      <x:c r="T601" s="59"/>
      <x:c r="U601" s="59"/>
      <x:c r="V601" s="59"/>
      <x:c r="W601" s="59"/>
      <x:c r="X601" s="59"/>
      <x:c r="Y601" s="59"/>
      <x:c r="Z601" s="59"/>
      <x:c r="AA601" s="8" t="str">
        <x:f>IF(C601="ไม่ทราบ","",SUMIFS($K$7:$Z$7,K601:Z601,"&lt;&gt;N/A"))</x:f>
      </x:c>
      <x:c r="AB601" s="8" t="str">
        <x:f>IF(AND(OR(AND(C601="จำหน่ายอาหาร",ISNUMBER(K601),L601="N/A"),AND(C601="ไม่จำหน่ายอาหาร",K601="N/A",ISNUMBER(L601)),AND(C601="มัสยิด",K601="N/A",L601="N/A",X601="N/A")),COUNT(K601:Z601)+COUNTIFS(K601:Z601,"N/A")=16),SUM(K601:Z601),"")</x:f>
      </x:c>
      <x:c r="AC601" s="62" t="str">
        <x:f>IF(OR(AB601="",AA601&lt;=0),"",ROUND(AB601/AA601*100,1))</x:f>
      </x:c>
      <x:c r="AD601" s="8" t="str">
        <x:f>IF(COUNTIFS(D601:H601,"ไม่ผ่าน")&gt;0,"ไม่ผ่าน",IF(COUNTIFS(D601:H601,"ไม่ทราบ")+COUNTBLANK(D601:H601)&gt;0,"รอยืนยัน","ผ่าน"))</x:f>
        <x:v>รอยืนยัน</x:v>
      </x:c>
      <x:c r="AE601" s="8" t="str">
        <x:f>IF(AF601="ใช่","ไม่ผ่านการคัดเลือก",IF(AND(AD601="ผ่าน",ISNUMBER(AC601),AC601&gt;=70),"พร้อมขาย",IF(OR(J601="ใช่",AND(ISNUMBER(AC601),AC601&gt;=50)),"พัฒนาเพื่อพร้อมขาย",IF(AND(ISNUMBER(AC601),AC601&lt;50,I601&gt;=1),"มีศักยภาพ แต่ต้องพัฒนามาตรฐาน","รอประเมิน"))))</x:f>
        <x:v>รอประเมิน</x:v>
      </x:c>
      <x:c r="AF601" s="59" t="str">
        <x:v>ไม่ทราบ</x:v>
      </x:c>
      <x:c r="AG601" s="8" t="str">
        <x:f>IF(AF601="ใช่","หัวหน้าทีมพิจารณาเหตุไม่ผ่าน",IF(OR(AA601&lt;=0,NOT(OR(AND(C601="จำหน่ายอาหาร",ISNUMBER(K601),L601="N/A"),AND(C601="ไม่จำหน่ายอาหาร",K601="N/A",ISNUMBER(L601)),AND(C601="มัสยิด",K601="N/A",L601="N/A",X601="N/A"))),AD601="รอยืนยัน",COUNT(K601:Z601)+COUNTIFS(K601:Z601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1" s="59" t="str"/>
      <x:c r="AI601" s="61"/>
    </x:row>
    <x:row r="602" ht="60" customHeight="1">
      <x:c r="A602" s="2" t="str">
        <x:v>TMF-228</x:v>
      </x:c>
      <x:c r="B602" s="8" t="str">
        <x:v>Aasia's kitchen</x:v>
      </x:c>
      <x:c r="C602" s="59" t="str">
        <x:v>จำหน่ายอาหาร</x:v>
      </x:c>
      <x:c r="D602" s="59" t="str">
        <x:v>ไม่ทราบ</x:v>
      </x:c>
      <x:c r="E602" s="59" t="str">
        <x:v>ไม่ทราบ</x:v>
      </x:c>
      <x:c r="F602" s="59" t="str">
        <x:v>ไม่ทราบ</x:v>
      </x:c>
      <x:c r="G602" s="59" t="str">
        <x:v>ไม่ทราบ</x:v>
      </x:c>
      <x:c r="H602" s="59" t="str">
        <x:v>N/A</x:v>
      </x:c>
      <x:c r="I602" s="59"/>
      <x:c r="J602" s="59" t="str">
        <x:v>ไม่ทราบ</x:v>
      </x:c>
      <x:c r="K602" s="59"/>
      <x:c r="L602" s="59" t="str">
        <x:v>N/A</x:v>
      </x:c>
      <x:c r="M602" s="59"/>
      <x:c r="N602" s="59"/>
      <x:c r="O602" s="59"/>
      <x:c r="P602" s="59"/>
      <x:c r="Q602" s="59"/>
      <x:c r="R602" s="59"/>
      <x:c r="S602" s="59"/>
      <x:c r="T602" s="59"/>
      <x:c r="U602" s="59"/>
      <x:c r="V602" s="59"/>
      <x:c r="W602" s="59"/>
      <x:c r="X602" s="59"/>
      <x:c r="Y602" s="59"/>
      <x:c r="Z602" s="59"/>
      <x:c r="AA602" s="8" t="n">
        <x:f>IF(C602="ไม่ทราบ","",SUMIFS($K$7:$Z$7,K602:Z602,"&lt;&gt;N/A"))</x:f>
        <x:v>100</x:v>
      </x:c>
      <x:c r="AB602" s="8" t="str">
        <x:f>IF(AND(OR(AND(C602="จำหน่ายอาหาร",ISNUMBER(K602),L602="N/A"),AND(C602="ไม่จำหน่ายอาหาร",K602="N/A",ISNUMBER(L602)),AND(C602="มัสยิด",K602="N/A",L602="N/A",X602="N/A")),COUNT(K602:Z602)+COUNTIFS(K602:Z602,"N/A")=16),SUM(K602:Z602),"")</x:f>
      </x:c>
      <x:c r="AC602" s="62" t="str">
        <x:f>IF(OR(AB602="",AA602&lt;=0),"",ROUND(AB602/AA602*100,1))</x:f>
      </x:c>
      <x:c r="AD602" s="8" t="str">
        <x:f>IF(COUNTIFS(D602:H602,"ไม่ผ่าน")&gt;0,"ไม่ผ่าน",IF(COUNTIFS(D602:H602,"ไม่ทราบ")+COUNTBLANK(D602:H602)&gt;0,"รอยืนยัน","ผ่าน"))</x:f>
        <x:v>รอยืนยัน</x:v>
      </x:c>
      <x:c r="AE602" s="8" t="str">
        <x:f>IF(AF602="ใช่","ไม่ผ่านการคัดเลือก",IF(AND(AD602="ผ่าน",ISNUMBER(AC602),AC602&gt;=70),"พร้อมขาย",IF(OR(J602="ใช่",AND(ISNUMBER(AC602),AC602&gt;=50)),"พัฒนาเพื่อพร้อมขาย",IF(AND(ISNUMBER(AC602),AC602&lt;50,I602&gt;=1),"มีศักยภาพ แต่ต้องพัฒนามาตรฐาน","รอประเมิน"))))</x:f>
        <x:v>รอประเมิน</x:v>
      </x:c>
      <x:c r="AF602" s="59" t="str">
        <x:v>ไม่ทราบ</x:v>
      </x:c>
      <x:c r="AG602" s="8" t="str">
        <x:f>IF(AF602="ใช่","หัวหน้าทีมพิจารณาเหตุไม่ผ่าน",IF(OR(AA602&lt;=0,NOT(OR(AND(C602="จำหน่ายอาหาร",ISNUMBER(K602),L602="N/A"),AND(C602="ไม่จำหน่ายอาหาร",K602="N/A",ISNUMBER(L602)),AND(C602="มัสยิด",K602="N/A",L602="N/A",X602="N/A"))),AD602="รอยืนยัน",COUNT(K602:Z602)+COUNTIFS(K602:Z602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2" s="59" t="str"/>
      <x:c r="AI602" s="61"/>
    </x:row>
    <x:row r="603" ht="60" customHeight="1">
      <x:c r="A603" s="2" t="str">
        <x:v>R26-298</x:v>
      </x:c>
      <x:c r="B603" s="8" t="str">
        <x:v>Tamarind Springs Forest Spa Koh Samui</x:v>
      </x:c>
      <x:c r="C603" s="59" t="str">
        <x:v>ไม่ทราบ</x:v>
      </x:c>
      <x:c r="D603" s="59" t="str">
        <x:v>ไม่ทราบ</x:v>
      </x:c>
      <x:c r="E603" s="59" t="str">
        <x:v>ไม่ทราบ</x:v>
      </x:c>
      <x:c r="F603" s="59" t="str">
        <x:v>ไม่ทราบ</x:v>
      </x:c>
      <x:c r="G603" s="59" t="str">
        <x:v>ไม่ทราบ</x:v>
      </x:c>
      <x:c r="H603" s="59" t="str">
        <x:v>N/A</x:v>
      </x:c>
      <x:c r="I603" s="59"/>
      <x:c r="J603" s="59" t="str">
        <x:v>ไม่ทราบ</x:v>
      </x:c>
      <x:c r="K603" s="59"/>
      <x:c r="L603" s="59"/>
      <x:c r="M603" s="59"/>
      <x:c r="N603" s="59"/>
      <x:c r="O603" s="59"/>
      <x:c r="P603" s="59"/>
      <x:c r="Q603" s="59"/>
      <x:c r="R603" s="59"/>
      <x:c r="S603" s="59"/>
      <x:c r="T603" s="59"/>
      <x:c r="U603" s="59"/>
      <x:c r="V603" s="59"/>
      <x:c r="W603" s="59"/>
      <x:c r="X603" s="59"/>
      <x:c r="Y603" s="59"/>
      <x:c r="Z603" s="59"/>
      <x:c r="AA603" s="8" t="str">
        <x:f>IF(C603="ไม่ทราบ","",SUMIFS($K$7:$Z$7,K603:Z603,"&lt;&gt;N/A"))</x:f>
      </x:c>
      <x:c r="AB603" s="8" t="str">
        <x:f>IF(AND(OR(AND(C603="จำหน่ายอาหาร",ISNUMBER(K603),L603="N/A"),AND(C603="ไม่จำหน่ายอาหาร",K603="N/A",ISNUMBER(L603)),AND(C603="มัสยิด",K603="N/A",L603="N/A",X603="N/A")),COUNT(K603:Z603)+COUNTIFS(K603:Z603,"N/A")=16),SUM(K603:Z603),"")</x:f>
      </x:c>
      <x:c r="AC603" s="62" t="str">
        <x:f>IF(OR(AB603="",AA603&lt;=0),"",ROUND(AB603/AA603*100,1))</x:f>
      </x:c>
      <x:c r="AD603" s="8" t="str">
        <x:f>IF(COUNTIFS(D603:H603,"ไม่ผ่าน")&gt;0,"ไม่ผ่าน",IF(COUNTIFS(D603:H603,"ไม่ทราบ")+COUNTBLANK(D603:H603)&gt;0,"รอยืนยัน","ผ่าน"))</x:f>
        <x:v>รอยืนยัน</x:v>
      </x:c>
      <x:c r="AE603" s="8" t="str">
        <x:f>IF(AF603="ใช่","ไม่ผ่านการคัดเลือก",IF(AND(AD603="ผ่าน",ISNUMBER(AC603),AC603&gt;=70),"พร้อมขาย",IF(OR(J603="ใช่",AND(ISNUMBER(AC603),AC603&gt;=50)),"พัฒนาเพื่อพร้อมขาย",IF(AND(ISNUMBER(AC603),AC603&lt;50,I603&gt;=1),"มีศักยภาพ แต่ต้องพัฒนามาตรฐาน","รอประเมิน"))))</x:f>
        <x:v>รอประเมิน</x:v>
      </x:c>
      <x:c r="AF603" s="59" t="str">
        <x:v>ไม่ทราบ</x:v>
      </x:c>
      <x:c r="AG603" s="8" t="str">
        <x:f>IF(AF603="ใช่","หัวหน้าทีมพิจารณาเหตุไม่ผ่าน",IF(OR(AA603&lt;=0,NOT(OR(AND(C603="จำหน่ายอาหาร",ISNUMBER(K603),L603="N/A"),AND(C603="ไม่จำหน่ายอาหาร",K603="N/A",ISNUMBER(L603)),AND(C603="มัสยิด",K603="N/A",L603="N/A",X603="N/A"))),AD603="รอยืนยัน",COUNT(K603:Z603)+COUNTIFS(K603:Z603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3" s="59" t="str"/>
      <x:c r="AI603" s="61"/>
    </x:row>
    <x:row r="604" ht="60" customHeight="1">
      <x:c r="A604" s="2" t="str">
        <x:v>R26-231</x:v>
      </x:c>
      <x:c r="B604" s="8" t="str">
        <x:v>อุทยานแห่งชาติเขาสก</x:v>
      </x:c>
      <x:c r="C604" s="59" t="str">
        <x:v>ไม่ทราบ</x:v>
      </x:c>
      <x:c r="D604" s="59" t="str">
        <x:v>ไม่ทราบ</x:v>
      </x:c>
      <x:c r="E604" s="59" t="str">
        <x:v>ไม่ทราบ</x:v>
      </x:c>
      <x:c r="F604" s="59" t="str">
        <x:v>ไม่ทราบ</x:v>
      </x:c>
      <x:c r="G604" s="59" t="str">
        <x:v>ไม่ทราบ</x:v>
      </x:c>
      <x:c r="H604" s="59" t="str">
        <x:v>N/A</x:v>
      </x:c>
      <x:c r="I604" s="59"/>
      <x:c r="J604" s="59" t="str">
        <x:v>ไม่ทราบ</x:v>
      </x:c>
      <x:c r="K604" s="59"/>
      <x:c r="L604" s="59"/>
      <x:c r="M604" s="59"/>
      <x:c r="N604" s="59"/>
      <x:c r="O604" s="59"/>
      <x:c r="P604" s="59"/>
      <x:c r="Q604" s="59"/>
      <x:c r="R604" s="59"/>
      <x:c r="S604" s="59"/>
      <x:c r="T604" s="59"/>
      <x:c r="U604" s="59"/>
      <x:c r="V604" s="59"/>
      <x:c r="W604" s="59"/>
      <x:c r="X604" s="59"/>
      <x:c r="Y604" s="59"/>
      <x:c r="Z604" s="59"/>
      <x:c r="AA604" s="8" t="str">
        <x:f>IF(C604="ไม่ทราบ","",SUMIFS($K$7:$Z$7,K604:Z604,"&lt;&gt;N/A"))</x:f>
      </x:c>
      <x:c r="AB604" s="8" t="str">
        <x:f>IF(AND(OR(AND(C604="จำหน่ายอาหาร",ISNUMBER(K604),L604="N/A"),AND(C604="ไม่จำหน่ายอาหาร",K604="N/A",ISNUMBER(L604)),AND(C604="มัสยิด",K604="N/A",L604="N/A",X604="N/A")),COUNT(K604:Z604)+COUNTIFS(K604:Z604,"N/A")=16),SUM(K604:Z604),"")</x:f>
      </x:c>
      <x:c r="AC604" s="62" t="str">
        <x:f>IF(OR(AB604="",AA604&lt;=0),"",ROUND(AB604/AA604*100,1))</x:f>
      </x:c>
      <x:c r="AD604" s="8" t="str">
        <x:f>IF(COUNTIFS(D604:H604,"ไม่ผ่าน")&gt;0,"ไม่ผ่าน",IF(COUNTIFS(D604:H604,"ไม่ทราบ")+COUNTBLANK(D604:H604)&gt;0,"รอยืนยัน","ผ่าน"))</x:f>
        <x:v>รอยืนยัน</x:v>
      </x:c>
      <x:c r="AE604" s="8" t="str">
        <x:f>IF(AF604="ใช่","ไม่ผ่านการคัดเลือก",IF(AND(AD604="ผ่าน",ISNUMBER(AC604),AC604&gt;=70),"พร้อมขาย",IF(OR(J604="ใช่",AND(ISNUMBER(AC604),AC604&gt;=50)),"พัฒนาเพื่อพร้อมขาย",IF(AND(ISNUMBER(AC604),AC604&lt;50,I604&gt;=1),"มีศักยภาพ แต่ต้องพัฒนามาตรฐาน","รอประเมิน"))))</x:f>
        <x:v>รอประเมิน</x:v>
      </x:c>
      <x:c r="AF604" s="59" t="str">
        <x:v>ไม่ทราบ</x:v>
      </x:c>
      <x:c r="AG604" s="8" t="str">
        <x:f>IF(AF604="ใช่","หัวหน้าทีมพิจารณาเหตุไม่ผ่าน",IF(OR(AA604&lt;=0,NOT(OR(AND(C604="จำหน่ายอาหาร",ISNUMBER(K604),L604="N/A"),AND(C604="ไม่จำหน่ายอาหาร",K604="N/A",ISNUMBER(L604)),AND(C604="มัสยิด",K604="N/A",L604="N/A",X604="N/A"))),AD604="รอยืนยัน",COUNT(K604:Z604)+COUNTIFS(K604:Z604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4" s="59" t="str"/>
      <x:c r="AI604" s="61"/>
    </x:row>
    <x:row r="605" ht="60" customHeight="1">
      <x:c r="A605" s="2" t="str">
        <x:v>R26-232</x:v>
      </x:c>
      <x:c r="B605" s="8" t="str">
        <x:v>เขื่อนรัชชประภา</x:v>
      </x:c>
      <x:c r="C605" s="59" t="str">
        <x:v>ไม่ทราบ</x:v>
      </x:c>
      <x:c r="D605" s="59" t="str">
        <x:v>ไม่ทราบ</x:v>
      </x:c>
      <x:c r="E605" s="59" t="str">
        <x:v>ไม่ทราบ</x:v>
      </x:c>
      <x:c r="F605" s="59" t="str">
        <x:v>ไม่ทราบ</x:v>
      </x:c>
      <x:c r="G605" s="59" t="str">
        <x:v>ไม่ทราบ</x:v>
      </x:c>
      <x:c r="H605" s="59" t="str">
        <x:v>N/A</x:v>
      </x:c>
      <x:c r="I605" s="59"/>
      <x:c r="J605" s="59" t="str">
        <x:v>ไม่ทราบ</x:v>
      </x:c>
      <x:c r="K605" s="59"/>
      <x:c r="L605" s="59"/>
      <x:c r="M605" s="59"/>
      <x:c r="N605" s="59"/>
      <x:c r="O605" s="59"/>
      <x:c r="P605" s="59"/>
      <x:c r="Q605" s="59"/>
      <x:c r="R605" s="59"/>
      <x:c r="S605" s="59"/>
      <x:c r="T605" s="59"/>
      <x:c r="U605" s="59"/>
      <x:c r="V605" s="59"/>
      <x:c r="W605" s="59"/>
      <x:c r="X605" s="59"/>
      <x:c r="Y605" s="59"/>
      <x:c r="Z605" s="59"/>
      <x:c r="AA605" s="8" t="str">
        <x:f>IF(C605="ไม่ทราบ","",SUMIFS($K$7:$Z$7,K605:Z605,"&lt;&gt;N/A"))</x:f>
      </x:c>
      <x:c r="AB605" s="8" t="str">
        <x:f>IF(AND(OR(AND(C605="จำหน่ายอาหาร",ISNUMBER(K605),L605="N/A"),AND(C605="ไม่จำหน่ายอาหาร",K605="N/A",ISNUMBER(L605)),AND(C605="มัสยิด",K605="N/A",L605="N/A",X605="N/A")),COUNT(K605:Z605)+COUNTIFS(K605:Z605,"N/A")=16),SUM(K605:Z605),"")</x:f>
      </x:c>
      <x:c r="AC605" s="62" t="str">
        <x:f>IF(OR(AB605="",AA605&lt;=0),"",ROUND(AB605/AA605*100,1))</x:f>
      </x:c>
      <x:c r="AD605" s="8" t="str">
        <x:f>IF(COUNTIFS(D605:H605,"ไม่ผ่าน")&gt;0,"ไม่ผ่าน",IF(COUNTIFS(D605:H605,"ไม่ทราบ")+COUNTBLANK(D605:H605)&gt;0,"รอยืนยัน","ผ่าน"))</x:f>
        <x:v>รอยืนยัน</x:v>
      </x:c>
      <x:c r="AE605" s="8" t="str">
        <x:f>IF(AF605="ใช่","ไม่ผ่านการคัดเลือก",IF(AND(AD605="ผ่าน",ISNUMBER(AC605),AC605&gt;=70),"พร้อมขาย",IF(OR(J605="ใช่",AND(ISNUMBER(AC605),AC605&gt;=50)),"พัฒนาเพื่อพร้อมขาย",IF(AND(ISNUMBER(AC605),AC605&lt;50,I605&gt;=1),"มีศักยภาพ แต่ต้องพัฒนามาตรฐาน","รอประเมิน"))))</x:f>
        <x:v>รอประเมิน</x:v>
      </x:c>
      <x:c r="AF605" s="59" t="str">
        <x:v>ไม่ทราบ</x:v>
      </x:c>
      <x:c r="AG605" s="8" t="str">
        <x:f>IF(AF605="ใช่","หัวหน้าทีมพิจารณาเหตุไม่ผ่าน",IF(OR(AA605&lt;=0,NOT(OR(AND(C605="จำหน่ายอาหาร",ISNUMBER(K605),L605="N/A"),AND(C605="ไม่จำหน่ายอาหาร",K605="N/A",ISNUMBER(L605)),AND(C605="มัสยิด",K605="N/A",L605="N/A",X605="N/A"))),AD605="รอยืนยัน",COUNT(K605:Z605)+COUNTIFS(K605:Z605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5" s="59" t="str"/>
      <x:c r="AI605" s="61"/>
    </x:row>
    <x:row r="606" ht="60" customHeight="1">
      <x:c r="A606" s="2" t="str">
        <x:v>R26-229</x:v>
      </x:c>
      <x:c r="B606" s="8" t="str">
        <x:v>ชุมชนบ้านพุมเรียง</x:v>
      </x:c>
      <x:c r="C606" s="59" t="str">
        <x:v>ไม่ทราบ</x:v>
      </x:c>
      <x:c r="D606" s="59" t="str">
        <x:v>ไม่ทราบ</x:v>
      </x:c>
      <x:c r="E606" s="59" t="str">
        <x:v>ไม่ทราบ</x:v>
      </x:c>
      <x:c r="F606" s="59" t="str">
        <x:v>ไม่ทราบ</x:v>
      </x:c>
      <x:c r="G606" s="59" t="str">
        <x:v>ไม่ทราบ</x:v>
      </x:c>
      <x:c r="H606" s="59" t="str">
        <x:v>N/A</x:v>
      </x:c>
      <x:c r="I606" s="59"/>
      <x:c r="J606" s="59" t="str">
        <x:v>ไม่ทราบ</x:v>
      </x:c>
      <x:c r="K606" s="59"/>
      <x:c r="L606" s="59"/>
      <x:c r="M606" s="59"/>
      <x:c r="N606" s="59"/>
      <x:c r="O606" s="59"/>
      <x:c r="P606" s="59"/>
      <x:c r="Q606" s="59"/>
      <x:c r="R606" s="59"/>
      <x:c r="S606" s="59"/>
      <x:c r="T606" s="59"/>
      <x:c r="U606" s="59"/>
      <x:c r="V606" s="59"/>
      <x:c r="W606" s="59"/>
      <x:c r="X606" s="59"/>
      <x:c r="Y606" s="59"/>
      <x:c r="Z606" s="59"/>
      <x:c r="AA606" s="8" t="str">
        <x:f>IF(C606="ไม่ทราบ","",SUMIFS($K$7:$Z$7,K606:Z606,"&lt;&gt;N/A"))</x:f>
      </x:c>
      <x:c r="AB606" s="8" t="str">
        <x:f>IF(AND(OR(AND(C606="จำหน่ายอาหาร",ISNUMBER(K606),L606="N/A"),AND(C606="ไม่จำหน่ายอาหาร",K606="N/A",ISNUMBER(L606)),AND(C606="มัสยิด",K606="N/A",L606="N/A",X606="N/A")),COUNT(K606:Z606)+COUNTIFS(K606:Z606,"N/A")=16),SUM(K606:Z606),"")</x:f>
      </x:c>
      <x:c r="AC606" s="62" t="str">
        <x:f>IF(OR(AB606="",AA606&lt;=0),"",ROUND(AB606/AA606*100,1))</x:f>
      </x:c>
      <x:c r="AD606" s="8" t="str">
        <x:f>IF(COUNTIFS(D606:H606,"ไม่ผ่าน")&gt;0,"ไม่ผ่าน",IF(COUNTIFS(D606:H606,"ไม่ทราบ")+COUNTBLANK(D606:H606)&gt;0,"รอยืนยัน","ผ่าน"))</x:f>
        <x:v>รอยืนยัน</x:v>
      </x:c>
      <x:c r="AE606" s="8" t="str">
        <x:f>IF(AF606="ใช่","ไม่ผ่านการคัดเลือก",IF(AND(AD606="ผ่าน",ISNUMBER(AC606),AC606&gt;=70),"พร้อมขาย",IF(OR(J606="ใช่",AND(ISNUMBER(AC606),AC606&gt;=50)),"พัฒนาเพื่อพร้อมขาย",IF(AND(ISNUMBER(AC606),AC606&lt;50,I606&gt;=1),"มีศักยภาพ แต่ต้องพัฒนามาตรฐาน","รอประเมิน"))))</x:f>
        <x:v>รอประเมิน</x:v>
      </x:c>
      <x:c r="AF606" s="59" t="str">
        <x:v>ไม่ทราบ</x:v>
      </x:c>
      <x:c r="AG606" s="8" t="str">
        <x:f>IF(AF606="ใช่","หัวหน้าทีมพิจารณาเหตุไม่ผ่าน",IF(OR(AA606&lt;=0,NOT(OR(AND(C606="จำหน่ายอาหาร",ISNUMBER(K606),L606="N/A"),AND(C606="ไม่จำหน่ายอาหาร",K606="N/A",ISNUMBER(L606)),AND(C606="มัสยิด",K606="N/A",L606="N/A",X606="N/A"))),AD606="รอยืนยัน",COUNT(K606:Z606)+COUNTIFS(K606:Z606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6" s="59" t="str"/>
      <x:c r="AI606" s="61"/>
    </x:row>
    <x:row r="607" ht="60" customHeight="1">
      <x:c r="A607" s="2" t="str">
        <x:v>R26-230</x:v>
      </x:c>
      <x:c r="B607" s="8" t="str">
        <x:v>ชุมชนบ้านลีเล็ด</x:v>
      </x:c>
      <x:c r="C607" s="59" t="str">
        <x:v>ไม่ทราบ</x:v>
      </x:c>
      <x:c r="D607" s="59" t="str">
        <x:v>ไม่ทราบ</x:v>
      </x:c>
      <x:c r="E607" s="59" t="str">
        <x:v>ไม่ทราบ</x:v>
      </x:c>
      <x:c r="F607" s="59" t="str">
        <x:v>ไม่ทราบ</x:v>
      </x:c>
      <x:c r="G607" s="59" t="str">
        <x:v>ไม่ทราบ</x:v>
      </x:c>
      <x:c r="H607" s="59" t="str">
        <x:v>N/A</x:v>
      </x:c>
      <x:c r="I607" s="59"/>
      <x:c r="J607" s="59" t="str">
        <x:v>ไม่ทราบ</x:v>
      </x:c>
      <x:c r="K607" s="59"/>
      <x:c r="L607" s="59"/>
      <x:c r="M607" s="59"/>
      <x:c r="N607" s="59"/>
      <x:c r="O607" s="59"/>
      <x:c r="P607" s="59"/>
      <x:c r="Q607" s="59"/>
      <x:c r="R607" s="59"/>
      <x:c r="S607" s="59"/>
      <x:c r="T607" s="59"/>
      <x:c r="U607" s="59"/>
      <x:c r="V607" s="59"/>
      <x:c r="W607" s="59"/>
      <x:c r="X607" s="59"/>
      <x:c r="Y607" s="59"/>
      <x:c r="Z607" s="59"/>
      <x:c r="AA607" s="8" t="str">
        <x:f>IF(C607="ไม่ทราบ","",SUMIFS($K$7:$Z$7,K607:Z607,"&lt;&gt;N/A"))</x:f>
      </x:c>
      <x:c r="AB607" s="8" t="str">
        <x:f>IF(AND(OR(AND(C607="จำหน่ายอาหาร",ISNUMBER(K607),L607="N/A"),AND(C607="ไม่จำหน่ายอาหาร",K607="N/A",ISNUMBER(L607)),AND(C607="มัสยิด",K607="N/A",L607="N/A",X607="N/A")),COUNT(K607:Z607)+COUNTIFS(K607:Z607,"N/A")=16),SUM(K607:Z607),"")</x:f>
      </x:c>
      <x:c r="AC607" s="62" t="str">
        <x:f>IF(OR(AB607="",AA607&lt;=0),"",ROUND(AB607/AA607*100,1))</x:f>
      </x:c>
      <x:c r="AD607" s="8" t="str">
        <x:f>IF(COUNTIFS(D607:H607,"ไม่ผ่าน")&gt;0,"ไม่ผ่าน",IF(COUNTIFS(D607:H607,"ไม่ทราบ")+COUNTBLANK(D607:H607)&gt;0,"รอยืนยัน","ผ่าน"))</x:f>
        <x:v>รอยืนยัน</x:v>
      </x:c>
      <x:c r="AE607" s="8" t="str">
        <x:f>IF(AF607="ใช่","ไม่ผ่านการคัดเลือก",IF(AND(AD607="ผ่าน",ISNUMBER(AC607),AC607&gt;=70),"พร้อมขาย",IF(OR(J607="ใช่",AND(ISNUMBER(AC607),AC607&gt;=50)),"พัฒนาเพื่อพร้อมขาย",IF(AND(ISNUMBER(AC607),AC607&lt;50,I607&gt;=1),"มีศักยภาพ แต่ต้องพัฒนามาตรฐาน","รอประเมิน"))))</x:f>
        <x:v>รอประเมิน</x:v>
      </x:c>
      <x:c r="AF607" s="59" t="str">
        <x:v>ไม่ทราบ</x:v>
      </x:c>
      <x:c r="AG607" s="8" t="str">
        <x:f>IF(AF607="ใช่","หัวหน้าทีมพิจารณาเหตุไม่ผ่าน",IF(OR(AA607&lt;=0,NOT(OR(AND(C607="จำหน่ายอาหาร",ISNUMBER(K607),L607="N/A"),AND(C607="ไม่จำหน่ายอาหาร",K607="N/A",ISNUMBER(L607)),AND(C607="มัสยิด",K607="N/A",L607="N/A",X607="N/A"))),AD607="รอยืนยัน",COUNT(K607:Z607)+COUNTIFS(K607:Z607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7" s="59" t="str"/>
      <x:c r="AI607" s="61"/>
    </x:row>
    <x:row r="608" ht="60" customHeight="1">
      <x:c r="A608" s="2" t="str">
        <x:v>GMHI-36</x:v>
      </x:c>
      <x:c r="B608" s="8" t="str">
        <x:v>Amman Unique Hotel</x:v>
      </x:c>
      <x:c r="C608" s="59" t="str">
        <x:v>ไม่ทราบ</x:v>
      </x:c>
      <x:c r="D608" s="59" t="str">
        <x:v>ไม่ทราบ</x:v>
      </x:c>
      <x:c r="E608" s="59" t="str">
        <x:v>ไม่ทราบ</x:v>
      </x:c>
      <x:c r="F608" s="59" t="str">
        <x:v>ไม่ทราบ</x:v>
      </x:c>
      <x:c r="G608" s="59" t="str">
        <x:v>ไม่ทราบ</x:v>
      </x:c>
      <x:c r="H608" s="59" t="str">
        <x:v>ไม่ทราบ</x:v>
      </x:c>
      <x:c r="I608" s="59"/>
      <x:c r="J608" s="59" t="str">
        <x:v>ไม่ทราบ</x:v>
      </x:c>
      <x:c r="K608" s="59"/>
      <x:c r="L608" s="59"/>
      <x:c r="M608" s="59"/>
      <x:c r="N608" s="59"/>
      <x:c r="O608" s="59"/>
      <x:c r="P608" s="59"/>
      <x:c r="Q608" s="59"/>
      <x:c r="R608" s="59"/>
      <x:c r="S608" s="59"/>
      <x:c r="T608" s="59"/>
      <x:c r="U608" s="59"/>
      <x:c r="V608" s="59"/>
      <x:c r="W608" s="59"/>
      <x:c r="X608" s="59"/>
      <x:c r="Y608" s="59"/>
      <x:c r="Z608" s="59"/>
      <x:c r="AA608" s="8" t="str">
        <x:f>IF(C608="ไม่ทราบ","",SUMIFS($K$7:$Z$7,K608:Z608,"&lt;&gt;N/A"))</x:f>
      </x:c>
      <x:c r="AB608" s="8" t="str">
        <x:f>IF(AND(OR(AND(C608="จำหน่ายอาหาร",ISNUMBER(K608),L608="N/A"),AND(C608="ไม่จำหน่ายอาหาร",K608="N/A",ISNUMBER(L608)),AND(C608="มัสยิด",K608="N/A",L608="N/A",X608="N/A")),COUNT(K608:Z608)+COUNTIFS(K608:Z608,"N/A")=16),SUM(K608:Z608),"")</x:f>
      </x:c>
      <x:c r="AC608" s="62" t="str">
        <x:f>IF(OR(AB608="",AA608&lt;=0),"",ROUND(AB608/AA608*100,1))</x:f>
      </x:c>
      <x:c r="AD608" s="8" t="str">
        <x:f>IF(COUNTIFS(D608:H608,"ไม่ผ่าน")&gt;0,"ไม่ผ่าน",IF(COUNTIFS(D608:H608,"ไม่ทราบ")+COUNTBLANK(D608:H608)&gt;0,"รอยืนยัน","ผ่าน"))</x:f>
        <x:v>รอยืนยัน</x:v>
      </x:c>
      <x:c r="AE608" s="8" t="str">
        <x:f>IF(AF608="ใช่","ไม่ผ่านการคัดเลือก",IF(AND(AD608="ผ่าน",ISNUMBER(AC608),AC608&gt;=70),"พร้อมขาย",IF(OR(J608="ใช่",AND(ISNUMBER(AC608),AC608&gt;=50)),"พัฒนาเพื่อพร้อมขาย",IF(AND(ISNUMBER(AC608),AC608&lt;50,I608&gt;=1),"มีศักยภาพ แต่ต้องพัฒนามาตรฐาน","รอประเมิน"))))</x:f>
        <x:v>รอประเมิน</x:v>
      </x:c>
      <x:c r="AF608" s="59" t="str">
        <x:v>ไม่ทราบ</x:v>
      </x:c>
      <x:c r="AG608" s="8" t="str">
        <x:f>IF(AF608="ใช่","หัวหน้าทีมพิจารณาเหตุไม่ผ่าน",IF(OR(AA608&lt;=0,NOT(OR(AND(C608="จำหน่ายอาหาร",ISNUMBER(K608),L608="N/A"),AND(C608="ไม่จำหน่ายอาหาร",K608="N/A",ISNUMBER(L608)),AND(C608="มัสยิด",K608="N/A",L608="N/A",X608="N/A"))),AD608="รอยืนยัน",COUNT(K608:Z608)+COUNTIFS(K608:Z608,"N/A")&lt;16),"ตรวจข้อบังคับ คะแนนที่ขาด และ N/A ตามประเภทอาหาร","รอผู้เชี่ยวชาญยืนยันผล"))</x:f>
        <x:v>ตรวจข้อบังคับ คะแนนที่ขาด และ N/A ตามประเภทอาหาร</x:v>
      </x:c>
      <x:c r="AH608" s="59" t="str"/>
      <x:c r="AI608" s="61"/>
    </x:row>
  </x:sheetData>
  <x:dataValidations count="21">
    <x:dataValidation type="list" sqref="C9:C608">
      <x:formula1>"จำหน่ายอาหาร,ไม่จำหน่ายอาหาร,มัสยิด,ไม่ทราบ"</x:formula1>
    </x:dataValidation>
    <x:dataValidation type="list" sqref="D9:H608">
      <x:formula1>"ผ่าน,ไม่ผ่าน,ไม่ทราบ,N/A"</x:formula1>
    </x:dataValidation>
    <x:dataValidation type="list" sqref="J9:J608">
      <x:formula1>"ใช่,ไม่ใช่,ไม่ทราบ"</x:formula1>
    </x:dataValidation>
    <x:dataValidation type="list" sqref="AF9:AF608">
      <x:formula1>"ใช่,ไม่ใช่,ไม่ทราบ"</x:formula1>
    </x:dataValidation>
    <x:dataValidation type="whole" operator="between" sqref="I9:I608">
      <x:formula1>0</x:formula1>
      <x:formula2>6</x:formula2>
    </x:dataValidation>
    <x:dataValidation type="list" sqref="K9:K608">
      <x:formula1>"N/A,0,1,2,3,4,5,6,7,8,9,10,11,12,13,14,15,16,17,18,19,20,21,22,23,24,25,26,27,28,29,30"</x:formula1>
    </x:dataValidation>
    <x:dataValidation type="list" sqref="L9:L608">
      <x:formula1>"N/A,0,1,2,3,4,5,6,7,8,9,10,11,12,13,14,15"</x:formula1>
    </x:dataValidation>
    <x:dataValidation type="list" sqref="M9:M608">
      <x:formula1>"N/A,0,1,2,3,4,5,6,7,8,9,10,11,12,13,14,15"</x:formula1>
    </x:dataValidation>
    <x:dataValidation type="list" sqref="N9:N608">
      <x:formula1>"N/A,0,1,2,3,4,5"</x:formula1>
    </x:dataValidation>
    <x:dataValidation type="list" sqref="O9:O608">
      <x:formula1>"N/A,0,1,2,3,4,5"</x:formula1>
    </x:dataValidation>
    <x:dataValidation type="list" sqref="P9:P608">
      <x:formula1>"N/A,0,1,2,3,4,5,6,7,8,9,10"</x:formula1>
    </x:dataValidation>
    <x:dataValidation type="list" sqref="Q9:Q608">
      <x:formula1>"N/A,0,1,2,3,4,5"</x:formula1>
    </x:dataValidation>
    <x:dataValidation type="list" sqref="R9:R608">
      <x:formula1>"N/A,0,1,2,3,4"</x:formula1>
    </x:dataValidation>
    <x:dataValidation type="list" sqref="S9:S608">
      <x:formula1>"N/A,0,1,2,3"</x:formula1>
    </x:dataValidation>
    <x:dataValidation type="list" sqref="T9:T608">
      <x:formula1>"N/A,0,1,2,3"</x:formula1>
    </x:dataValidation>
    <x:dataValidation type="list" sqref="U9:U608">
      <x:formula1>"N/A,0,1,2,3,4,5,6"</x:formula1>
    </x:dataValidation>
    <x:dataValidation type="list" sqref="V9:V608">
      <x:formula1>"N/A,0,1,2,3,4"</x:formula1>
    </x:dataValidation>
    <x:dataValidation type="list" sqref="W9:W608">
      <x:formula1>"N/A,0,1,2,3"</x:formula1>
    </x:dataValidation>
    <x:dataValidation type="list" sqref="X9:X608">
      <x:formula1>"N/A,0,1,2,3"</x:formula1>
    </x:dataValidation>
    <x:dataValidation type="list" sqref="Y9:Y608">
      <x:formula1>"N/A,0,1,2"</x:formula1>
    </x:dataValidation>
    <x:dataValidation type="list" sqref="Z9:Z608">
      <x:formula1>"N/A,0,1,2"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5077d9660541d5"/>
  </x:tableParts>
</x:worksheet>
</file>