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3ea0460bf047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รายชื่อ 600 แหล่ง" sheetId="1" r:id="R5d7a6167e4ca4d77"/>
    <x:sheet xmlns:r="http://schemas.openxmlformats.org/officeDocument/2006/relationships" name="หลักฐานและตรวจทาน" sheetId="2" r:id="Rf9a121c52adf46e1"/>
    <x:sheet xmlns:r="http://schemas.openxmlformats.org/officeDocument/2006/relationships" name="ตรวจออนไลน์รอบใหม่" sheetId="3" r:id="R2726e969e92d42d3"/>
    <x:sheet xmlns:r="http://schemas.openxmlformats.org/officeDocument/2006/relationships" name="ทะเบียน GMHI" sheetId="4" r:id="R48e442dd77ff4048"/>
    <x:sheet xmlns:r="http://schemas.openxmlformats.org/officeDocument/2006/relationships" name="รายการเปลี่ยนแปลง" sheetId="5" r:id="R2bc8121f895941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@"/>
    <x:numFmt numFmtId="202" formatCode="0"/>
  </x:numFmts>
  <x:fonts count="8">
    <x:font>
      <x:sz val="11"/>
      <x:name val="Carlito"/>
    </x:font>
    <x:font>
      <x:sz val="11"/>
      <x:color rgb="FF172B4D"/>
      <x:name val="Arial"/>
    </x:font>
    <x:font>
      <x:b/>
      <x:sz val="16"/>
      <x:color rgb="FF203864"/>
      <x:name val="Arial"/>
    </x:font>
    <x:font>
      <x:i/>
      <x:sz val="10"/>
      <x:color rgb="FF64748B"/>
      <x:name val="Arial"/>
    </x:font>
    <x:font>
      <x:b/>
      <x:sz val="14"/>
      <x:color rgb="FF203864"/>
      <x:name val="Arial"/>
    </x:font>
    <x:font>
      <x:b/>
      <x:sz val="11"/>
      <x:color rgb="FFFFFFFF"/>
      <x:name val="Arial"/>
    </x:font>
    <x:font>
      <x:sz val="10"/>
      <x:color rgb="FF64748B"/>
      <x:name val="Arial"/>
    </x:font>
    <x:font>
      <x:u val="single"/>
      <x:sz val="11"/>
      <x:color rgb="FF0563C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FFF7E0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864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200" fontId="1" fillId="0" borderId="0" xfId="0" applyNumberFormat="1" applyFont="1" applyFill="1" applyBorder="1" applyAlignment="1">
      <x:alignment vertical="top"/>
    </x:xf>
    <x:xf numFmtId="202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/>
    </x:xf>
    <x:xf numFmtId="200" fontId="1" fillId="0" borderId="0" xfId="0" applyNumberFormat="1" applyFont="1" applyFill="1" applyBorder="1" applyAlignment="1">
      <x:alignment vertical="top" wrapText="1"/>
    </x:xf>
    <x:xf numFmtId="202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4">
    <x:dxf>
      <x:font>
        <x:color rgb="FF14532D"/>
      </x:font>
    </x:dxf>
    <x:dxf>
      <x:font>
        <x:b/>
        <x:color rgb="FF14532D"/>
      </x:font>
      <x:fill>
        <x:patternFill patternType="solid">
          <x:bgColor rgb="FFE8F2EC"/>
        </x:patternFill>
      </x:fill>
    </x:dxf>
    <x:dxf>
      <x:font>
        <x:color rgb="FF854D0E"/>
      </x:font>
      <x:fill>
        <x:patternFill patternType="solid">
          <x:bgColor rgb="FFFFF3D6"/>
        </x:patternFill>
      </x:fill>
    </x:dxf>
    <x:dxf>
      <x:font>
        <x:color rgb="FF334155"/>
      </x:font>
      <x:fill>
        <x:patternFill patternType="solid">
          <x:bgColor rgb="FFEDF1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c5cf5738c44083" /><Relationship Type="http://schemas.openxmlformats.org/officeDocument/2006/relationships/theme" Target="/xl/theme/theme1.xml" Id="R8298faa6da5a4936" /><Relationship Type="http://schemas.openxmlformats.org/officeDocument/2006/relationships/sharedStrings" Target="/xl/sharedStrings.xml" Id="R619bdcd9915c4bce" /><Relationship Type="http://schemas.openxmlformats.org/officeDocument/2006/relationships/worksheet" Target="/xl/worksheets/sheet1.xml" Id="R5d7a6167e4ca4d77" /><Relationship Type="http://schemas.openxmlformats.org/officeDocument/2006/relationships/worksheet" Target="/xl/worksheets/sheet2.xml" Id="Rf9a121c52adf46e1" /><Relationship Type="http://schemas.openxmlformats.org/officeDocument/2006/relationships/worksheet" Target="/xl/worksheets/sheet3.xml" Id="R2726e969e92d42d3" /><Relationship Type="http://schemas.openxmlformats.org/officeDocument/2006/relationships/worksheet" Target="/xl/worksheets/sheet4.xml" Id="R48e442dd77ff4048" /><Relationship Type="http://schemas.openxmlformats.org/officeDocument/2006/relationships/worksheet" Target="/xl/worksheets/sheet5.xml" Id="R2bc8121f8959419b" /></Relationships>
</file>

<file path=xl/tables/table1.xml><?xml version="1.0" encoding="utf-8"?>
<x:table xmlns:x="http://schemas.openxmlformats.org/spreadsheetml/2006/main" id="1" name="Places600" displayName="Places600" ref="A8:G608" headerRowCount="1" totalsRowCount="0" totalsRowShown="0">
  <x:autoFilter ref="A8:G608"/>
  <x:tableColumns count="7">
    <x:tableColumn id="1" name="ลำดับ"/>
    <x:tableColumn id="2" name="ชื่อแหล่ง"/>
    <x:tableColumn id="3" name="จังหวัด"/>
    <x:tableColumn id="4" name="กลุ่ม"/>
    <x:tableColumn id="5" name="ประเภท"/>
    <x:tableColumn id="6" name="อัพเดตวันที่"/>
    <x:tableColumn id="7" name="รหัส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aceEvidence" displayName="PlaceEvidence" ref="A8:P608" headerRowCount="1" totalsRowCount="0" totalsRowShown="0">
  <x:autoFilter ref="A8:P608"/>
  <x:tableColumns count="16">
    <x:tableColumn id="1" name="ลำดับ"/>
    <x:tableColumn id="2" name="ชื่อแหล่ง"/>
    <x:tableColumn id="3" name="จังหวัด"/>
    <x:tableColumn id="4" name="ลักษณะย่อย"/>
    <x:tableColumn id="5" name="ข้อมูลที่พบจากแหล่งอ้างอิง"/>
    <x:tableColumn id="6" name="ข้อมูลห้องละหมาด"/>
    <x:tableColumn id="7" name="หลักฐานฮาลาลที่พบ"/>
    <x:tableColumn id="8" name="ประเด็นที่ต้องตรวจสอบ"/>
    <x:tableColumn id="9" name="ที่อยู่ตามแหล่งข้อมูล"/>
    <x:tableColumn id="10" name="โทรศัพท์ตามแหล่งข้อมูล"/>
    <x:tableColumn id="11" name="แหล่งข้อมูล 1"/>
    <x:tableColumn id="12" name="แหล่งข้อมูล 2"/>
    <x:tableColumn id="13" name="ข้อมูลประกอบเพิ่มเติม"/>
    <x:tableColumn id="14" name="อัพเดตวันที่"/>
    <x:tableColumn id="15" name="ผลตรวจของผู้เชี่ยวชาญ"/>
    <x:tableColumn id="16" name="ผลติดต่อสถานที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validation" displayName="Revalidation" ref="A8:R632" headerRowCount="1" totalsRowCount="0" totalsRowShown="0">
  <x:autoFilter ref="A8:R632"/>
  <x:tableColumns count="18">
    <x:tableColumn id="1" name="รหัส"/>
    <x:tableColumn id="2" name="ชื่อแหล่ง"/>
    <x:tableColumn id="3" name="จังหวัด"/>
    <x:tableColumn id="4" name="สถานะในชุด 600"/>
    <x:tableColumn id="5" name="ผลค้นหาซ้ำ"/>
    <x:tableColumn id="6" name="สถานะเปิดจากหลักฐาน"/>
    <x:tableColumn id="7" name="จำนวนเว็บชื่อสัมพันธ์"/>
    <x:tableColumn id="8" name="ช่องทางสังคม 1"/>
    <x:tableColumn id="9" name="ช่องทางสังคม 2"/>
    <x:tableColumn id="10" name="หน้ารีวิว 1"/>
    <x:tableColumn id="11" name="หน้ารีวิว 2"/>
    <x:tableColumn id="12" name="เว็บเพิ่มเติม 1"/>
    <x:tableColumn id="13" name="เว็บเพิ่มเติม 2"/>
    <x:tableColumn id="14" name="วันที่กิจกรรมที่พบ"/>
    <x:tableColumn id="15" name="ประเด็นต้องยืนยัน"/>
    <x:tableColumn id="16" name="วันที่ตรวจ"/>
    <x:tableColumn id="17" name="ผลยืนยันสาขาและช่องทาง"/>
    <x:tableColumn id="18" name="ผลทบทวนการเปิด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MHIRegister" displayName="GMHIRegister" ref="A8:Q37" headerRowCount="1" totalsRowCount="0" totalsRowShown="0">
  <x:autoFilter ref="A8:Q37"/>
  <x:tableColumns count="17">
    <x:tableColumn id="1" name="รหัสทะเบียน"/>
    <x:tableColumn id="2" name="ชื่อในทะเบียน"/>
    <x:tableColumn id="3" name="จังหวัด"/>
    <x:tableColumn id="4" name="ประเภท"/>
    <x:tableColumn id="5" name="ดาวในทะเบียน"/>
    <x:tableColumn id="6" name="ช่องใบรับรอง"/>
    <x:tableColumn id="7" name="ชื่อบนภาพใบรับรอง"/>
    <x:tableColumn id="8" name="เลขใบรับรองในภาพ"/>
    <x:tableColumn id="9" name="วันออก (จับคู่ชื่อ)"/>
    <x:tableColumn id="10" name="หมดอายุ (จับคู่ชื่อ)"/>
    <x:tableColumn id="11" name="ผลจับคู่ภาพ"/>
    <x:tableColumn id="12" name="ประเด็นต้องยืนยัน"/>
    <x:tableColumn id="13" name="ทะเบียนสาธารณะ"/>
    <x:tableColumn id="14" name="ภาพใบรับรอง"/>
    <x:tableColumn id="15" name="รหัสในชุด 600"/>
    <x:tableColumn id="16" name="ผลรวมชื่อซ้ำ"/>
    <x:tableColumn id="17" name="วันที่ตรวจ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visionLog" displayName="RevisionLog" ref="A8:G55" headerRowCount="1" totalsRowCount="0" totalsRowShown="0">
  <x:autoFilter ref="A8:G55"/>
  <x:tableColumns count="7">
    <x:tableColumn id="1" name="รหัสเดิม"/>
    <x:tableColumn id="2" name="ชื่อเดิม"/>
    <x:tableColumn id="3" name="จังหวัด"/>
    <x:tableColumn id="4" name="กลุ่มเดิม"/>
    <x:tableColumn id="5" name="การเปลี่ยนแปลง"/>
    <x:tableColumn id="6" name="รหัสที่คงไว้"/>
    <x:tableColumn id="7" name="เหตุผล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c942c31a9164a3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f1e2c5ca6bc414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4306ef21387428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62a0ffa31994eb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7410fd700a14d04" /></Relationships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8" hidden="0" customWidth="1"/>
    <x:col min="2" max="2" width="58" hidden="0" customWidth="1"/>
    <x:col min="3" max="3" width="25" hidden="0" customWidth="1"/>
    <x:col min="4" max="4" width="43" hidden="0" customWidth="1"/>
    <x:col min="5" max="5" width="58" hidden="0" customWidth="1"/>
    <x:col min="6" max="6" width="18" hidden="0" customWidth="1"/>
    <x:col min="7" max="7" width="16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2"/>
      <x:c r="B2" s="3" t="str">
        <x:v>Thailand Muslim Friendly — ข้อเสนอรายชื่อ 600 แหล่ง</x:v>
      </x:c>
      <x:c r="C2" s="2"/>
      <x:c r="D2" s="2"/>
      <x:c r="E2" s="2"/>
      <x:c r="F2" s="2"/>
      <x:c r="G2" s="2"/>
    </x:row>
    <x:row r="3">
      <x:c r="A3" s="2"/>
      <x:c r="B3" s="4"/>
      <x:c r="C3" s="4"/>
      <x:c r="D3" s="4"/>
      <x:c r="E3" s="4"/>
      <x:c r="F3" s="4"/>
      <x:c r="G3" s="2"/>
    </x:row>
    <x:row r="4">
      <x:c r="A4" s="2"/>
      <x:c r="B4" s="5" t="str">
        <x:v>กลุ่มเป็นข้อเสนอจากข้อมูลออนไลน์ เพื่อให้ผู้เชี่ยวชาญตรวจทานและติดต่อสถานที่</x:v>
      </x:c>
      <x:c r="C4" s="2"/>
      <x:c r="D4" s="2"/>
      <x:c r="E4" s="2"/>
      <x:c r="F4" s="2"/>
      <x:c r="G4" s="2"/>
    </x:row>
    <x:row r="5">
      <x:c r="A5" s="2"/>
      <x:c r="B5" s="2" t="str">
        <x:v>จำนวนแหล่งทั้งหมด</x:v>
      </x:c>
      <x:c r="C5" s="7" t="n">
        <x:f>COUNTA(B9:B608)</x:f>
        <x:v>600</x:v>
      </x:c>
      <x:c r="D5" s="2" t="str">
        <x:v>พร้อมขาย (เสนอ)</x:v>
      </x:c>
      <x:c r="E5" s="2"/>
      <x:c r="F5" s="7" t="n">
        <x:f>COUNTIF(D9:D608,"พร้อมขาย")</x:f>
        <x:v>250</x:v>
      </x:c>
      <x:c r="G5" s="2"/>
    </x:row>
    <x:row r="6">
      <x:c r="A6" s="2"/>
      <x:c r="B6" s="2" t="str">
        <x:v>พัฒนาเพื่อพร้อมขาย</x:v>
      </x:c>
      <x:c r="C6" s="7" t="n">
        <x:f>COUNTIF(D9:D608,"พัฒนาเพื่อพร้อมขาย")</x:f>
        <x:v>162</x:v>
      </x:c>
      <x:c r="D6" s="2" t="str">
        <x:v>มีศักยภาพ แต่ต้องพัฒนามาตรฐาน</x:v>
      </x:c>
      <x:c r="E6" s="2"/>
      <x:c r="F6" s="7" t="n">
        <x:f>COUNTIF(D9:D608,"มีศักยภาพ แต่ต้องพัฒนามาตรฐาน")</x:f>
        <x:v>188</x:v>
      </x:c>
      <x:c r="G6" s="2"/>
    </x:row>
    <x:row r="7">
      <x:c r="A7" s="2"/>
      <x:c r="B7" s="2"/>
      <x:c r="C7" s="2"/>
      <x:c r="D7" s="2"/>
      <x:c r="E7" s="2"/>
      <x:c r="F7" s="2"/>
      <x:c r="G7" s="2"/>
    </x:row>
    <x:row r="8" ht="34" customHeight="1">
      <x:c r="A8" s="16" t="str">
        <x:v>ลำดับ</x:v>
      </x:c>
      <x:c r="B8" s="17" t="str">
        <x:v>ชื่อแหล่ง</x:v>
      </x:c>
      <x:c r="C8" s="17" t="str">
        <x:v>จังหวัด</x:v>
      </x:c>
      <x:c r="D8" s="17" t="str">
        <x:v>กลุ่ม</x:v>
      </x:c>
      <x:c r="E8" s="17" t="str">
        <x:v>ประเภท</x:v>
      </x:c>
      <x:c r="F8" s="17" t="str">
        <x:v>อัพเดตวันที่</x:v>
      </x:c>
      <x:c r="G8" s="18" t="str">
        <x:v>รหัส</x:v>
      </x:c>
    </x:row>
    <x:row r="9" ht="32" customHeight="1">
      <x:c r="A9" s="9" t="n">
        <x:v>1</x:v>
      </x:c>
      <x:c r="B9" s="8" t="str">
        <x:v>บ้านหนาวดาวเดือนรีสอร์ท</x:v>
      </x:c>
      <x:c r="C9" s="8" t="str">
        <x:v>เชียงราย</x:v>
      </x:c>
      <x:c r="D9" s="8" t="str">
        <x:v>พร้อมขาย</x:v>
      </x:c>
      <x:c r="E9" s="8" t="str">
        <x:v>ที่พัก</x:v>
      </x:c>
      <x:c r="F9" s="11" t="n">
        <x:v>46315</x:v>
      </x:c>
      <x:c r="G9" s="2" t="str">
        <x:v>TMF-001</x:v>
      </x:c>
    </x:row>
    <x:row r="10" ht="32" customHeight="1">
      <x:c r="A10" s="9" t="n">
        <x:v>2</x:v>
      </x:c>
      <x:c r="B10" s="8" t="str">
        <x:v>Sareeneen food &amp; Sweet</x:v>
      </x:c>
      <x:c r="C10" s="8" t="str">
        <x:v>เชียงราย</x:v>
      </x:c>
      <x:c r="D10" s="8" t="str">
        <x:v>พร้อมขาย</x:v>
      </x:c>
      <x:c r="E10" s="8" t="str">
        <x:v>ร้านอาหารและคาเฟ่</x:v>
      </x:c>
      <x:c r="F10" s="11" t="n">
        <x:v>46315</x:v>
      </x:c>
      <x:c r="G10" s="2" t="str">
        <x:v>TMF-002</x:v>
      </x:c>
    </x:row>
    <x:row r="11" ht="32" customHeight="1">
      <x:c r="A11" s="9" t="n">
        <x:v>3</x:v>
      </x:c>
      <x:c r="B11" s="8" t="str">
        <x:v>นอร์ธผาฮี้</x:v>
      </x:c>
      <x:c r="C11" s="8" t="str">
        <x:v>เชียงราย</x:v>
      </x:c>
      <x:c r="D11" s="8" t="str">
        <x:v>พร้อมขาย</x:v>
      </x:c>
      <x:c r="E11" s="8" t="str">
        <x:v>ที่พัก</x:v>
      </x:c>
      <x:c r="F11" s="11" t="n">
        <x:v>46315</x:v>
      </x:c>
      <x:c r="G11" s="2" t="str">
        <x:v>TMF-003</x:v>
      </x:c>
    </x:row>
    <x:row r="12" ht="32" customHeight="1">
      <x:c r="A12" s="9" t="n">
        <x:v>4</x:v>
      </x:c>
      <x:c r="B12" s="8" t="str">
        <x:v>อาหาร ซากีน่า อาหารเหนือ+อิสลาม</x:v>
      </x:c>
      <x:c r="C12" s="8" t="str">
        <x:v>เชียงราย</x:v>
      </x:c>
      <x:c r="D12" s="8" t="str">
        <x:v>พร้อมขาย</x:v>
      </x:c>
      <x:c r="E12" s="8" t="str">
        <x:v>ร้านอาหารและคาเฟ่</x:v>
      </x:c>
      <x:c r="F12" s="11" t="n">
        <x:v>46315</x:v>
      </x:c>
      <x:c r="G12" s="2" t="str">
        <x:v>TMF-004</x:v>
      </x:c>
    </x:row>
    <x:row r="13" ht="32" customHeight="1">
      <x:c r="A13" s="9" t="n">
        <x:v>5</x:v>
      </x:c>
      <x:c r="B13" s="8" t="str">
        <x:v>ก๋วยเตี๋ยวผักหวาน อยุธยา</x:v>
      </x:c>
      <x:c r="C13" s="8" t="str">
        <x:v>พระนครศรีอยุธยา</x:v>
      </x:c>
      <x:c r="D13" s="8" t="str">
        <x:v>พร้อมขาย</x:v>
      </x:c>
      <x:c r="E13" s="8" t="str">
        <x:v>ร้านอาหารและคาเฟ่</x:v>
      </x:c>
      <x:c r="F13" s="11" t="n">
        <x:v>46315</x:v>
      </x:c>
      <x:c r="G13" s="2" t="str">
        <x:v>TMF-005</x:v>
      </x:c>
    </x:row>
    <x:row r="14" ht="32" customHeight="1">
      <x:c r="A14" s="9" t="n">
        <x:v>6</x:v>
      </x:c>
      <x:c r="B14" s="8" t="str">
        <x:v>ก๋วยเตี๋ยวเป็ดดาหวัน ปัญรีดา 786</x:v>
      </x:c>
      <x:c r="C14" s="8" t="str">
        <x:v>พระนครศรีอยุธยา</x:v>
      </x:c>
      <x:c r="D14" s="8" t="str">
        <x:v>พร้อมขาย</x:v>
      </x:c>
      <x:c r="E14" s="8" t="str">
        <x:v>ร้านอาหารและคาเฟ่</x:v>
      </x:c>
      <x:c r="F14" s="11" t="n">
        <x:v>46315</x:v>
      </x:c>
      <x:c r="G14" s="2" t="str">
        <x:v>TMF-006</x:v>
      </x:c>
    </x:row>
    <x:row r="15" ht="32" customHeight="1">
      <x:c r="A15" s="9" t="n">
        <x:v>7</x:v>
      </x:c>
      <x:c r="B15" s="8" t="str">
        <x:v>ครัวมุสลิมกรุงเก่า</x:v>
      </x:c>
      <x:c r="C15" s="8" t="str">
        <x:v>พระนครศรีอยุธยา</x:v>
      </x:c>
      <x:c r="D15" s="8" t="str">
        <x:v>พร้อมขาย</x:v>
      </x:c>
      <x:c r="E15" s="8" t="str">
        <x:v>ร้านอาหารและคาเฟ่</x:v>
      </x:c>
      <x:c r="F15" s="11" t="n">
        <x:v>46315</x:v>
      </x:c>
      <x:c r="G15" s="2" t="str">
        <x:v>TMF-007</x:v>
      </x:c>
    </x:row>
    <x:row r="16" ht="32" customHeight="1">
      <x:c r="A16" s="9" t="n">
        <x:v>8</x:v>
      </x:c>
      <x:c r="B16" s="8" t="str">
        <x:v>บะละดี้ ขนมปังโฮมเมด Bread &amp; Bakery</x:v>
      </x:c>
      <x:c r="C16" s="8" t="str">
        <x:v>พระนครศรีอยุธยา</x:v>
      </x:c>
      <x:c r="D16" s="8" t="str">
        <x:v>พร้อมขาย</x:v>
      </x:c>
      <x:c r="E16" s="8" t="str">
        <x:v>ร้านอาหารและคาเฟ่</x:v>
      </x:c>
      <x:c r="F16" s="11" t="n">
        <x:v>46315</x:v>
      </x:c>
      <x:c r="G16" s="2" t="str">
        <x:v>TMF-008</x:v>
      </x:c>
    </x:row>
    <x:row r="17" ht="32" customHeight="1">
      <x:c r="A17" s="9" t="n">
        <x:v>9</x:v>
      </x:c>
      <x:c r="B17" s="8" t="str">
        <x:v>วนิดา ฮาลาลฟู้ด</x:v>
      </x:c>
      <x:c r="C17" s="8" t="str">
        <x:v>พระนครศรีอยุธยา</x:v>
      </x:c>
      <x:c r="D17" s="8" t="str">
        <x:v>พร้อมขาย</x:v>
      </x:c>
      <x:c r="E17" s="8" t="str">
        <x:v>ร้านอาหารและคาเฟ่</x:v>
      </x:c>
      <x:c r="F17" s="11" t="n">
        <x:v>46315</x:v>
      </x:c>
      <x:c r="G17" s="2" t="str">
        <x:v>TMF-009</x:v>
      </x:c>
    </x:row>
    <x:row r="18" ht="32" customHeight="1">
      <x:c r="A18" s="9" t="n">
        <x:v>10</x:v>
      </x:c>
      <x:c r="B18" s="8" t="str">
        <x:v>สเต็กรอมะฮ์ กระเพราแซ่บ ผัดเผ็ดปลาแม่น้ำ</x:v>
      </x:c>
      <x:c r="C18" s="8" t="str">
        <x:v>พระนครศรีอยุธยา</x:v>
      </x:c>
      <x:c r="D18" s="8" t="str">
        <x:v>พร้อมขาย</x:v>
      </x:c>
      <x:c r="E18" s="8" t="str">
        <x:v>ร้านอาหารและคาเฟ่</x:v>
      </x:c>
      <x:c r="F18" s="11" t="n">
        <x:v>46315</x:v>
      </x:c>
      <x:c r="G18" s="2" t="str">
        <x:v>TMF-010</x:v>
      </x:c>
    </x:row>
    <x:row r="19" ht="32" customHeight="1">
      <x:c r="A19" s="9" t="n">
        <x:v>11</x:v>
      </x:c>
      <x:c r="B19" s="8" t="str">
        <x:v>สเต๊กครูตา มุสลิมอยุธยา</x:v>
      </x:c>
      <x:c r="C19" s="8" t="str">
        <x:v>พระนครศรีอยุธยา</x:v>
      </x:c>
      <x:c r="D19" s="8" t="str">
        <x:v>พร้อมขาย</x:v>
      </x:c>
      <x:c r="E19" s="8" t="str">
        <x:v>ร้านอาหารและคาเฟ่</x:v>
      </x:c>
      <x:c r="F19" s="11" t="n">
        <x:v>46315</x:v>
      </x:c>
      <x:c r="G19" s="2" t="str">
        <x:v>TMF-011</x:v>
      </x:c>
    </x:row>
    <x:row r="20" ht="32" customHeight="1">
      <x:c r="A20" s="9" t="n">
        <x:v>12</x:v>
      </x:c>
      <x:c r="B20" s="8" t="str">
        <x:v>ห้องอาหาร สุใบด๊ะห์ชวนชิม สาขาไม้ตรา (อยุธยา)</x:v>
      </x:c>
      <x:c r="C20" s="8" t="str">
        <x:v>พระนครศรีอยุธยา</x:v>
      </x:c>
      <x:c r="D20" s="8" t="str">
        <x:v>พร้อมขาย</x:v>
      </x:c>
      <x:c r="E20" s="8" t="str">
        <x:v>ร้านอาหารและคาเฟ่</x:v>
      </x:c>
      <x:c r="F20" s="11" t="n">
        <x:v>46315</x:v>
      </x:c>
      <x:c r="G20" s="2" t="str">
        <x:v>TMF-012</x:v>
      </x:c>
    </x:row>
    <x:row r="21" ht="32" customHeight="1">
      <x:c r="A21" s="9" t="n">
        <x:v>13</x:v>
      </x:c>
      <x:c r="B21" s="8" t="str">
        <x:v>ฮาลาล บ้านไม้</x:v>
      </x:c>
      <x:c r="C21" s="8" t="str">
        <x:v>พระนครศรีอยุธยา</x:v>
      </x:c>
      <x:c r="D21" s="8" t="str">
        <x:v>พร้อมขาย</x:v>
      </x:c>
      <x:c r="E21" s="8" t="str">
        <x:v>ร้านอาหารและคาเฟ่</x:v>
      </x:c>
      <x:c r="F21" s="11" t="n">
        <x:v>46315</x:v>
      </x:c>
      <x:c r="G21" s="2" t="str">
        <x:v>TMF-013</x:v>
      </x:c>
    </x:row>
    <x:row r="22" ht="32" customHeight="1">
      <x:c r="A22" s="9" t="n">
        <x:v>14</x:v>
      </x:c>
      <x:c r="B22" s="8" t="str">
        <x:v>เตี๋ยวติดน้ำ บ้านผู้ใหญ่ลี</x:v>
      </x:c>
      <x:c r="C22" s="8" t="str">
        <x:v>พระนครศรีอยุธยา</x:v>
      </x:c>
      <x:c r="D22" s="8" t="str">
        <x:v>พร้อมขาย</x:v>
      </x:c>
      <x:c r="E22" s="8" t="str">
        <x:v>ร้านอาหารและคาเฟ่</x:v>
      </x:c>
      <x:c r="F22" s="11" t="n">
        <x:v>46315</x:v>
      </x:c>
      <x:c r="G22" s="2" t="str">
        <x:v>TMF-014</x:v>
      </x:c>
    </x:row>
    <x:row r="23" ht="32" customHeight="1">
      <x:c r="A23" s="9" t="n">
        <x:v>15</x:v>
      </x:c>
      <x:c r="B23" s="8" t="str">
        <x:v>ครัวฮาลาล ณ.กาญจนบุรี</x:v>
      </x:c>
      <x:c r="C23" s="8" t="str">
        <x:v>กาญจนบุรี</x:v>
      </x:c>
      <x:c r="D23" s="8" t="str">
        <x:v>พร้อมขาย</x:v>
      </x:c>
      <x:c r="E23" s="8" t="str">
        <x:v>ร้านอาหารและคาเฟ่</x:v>
      </x:c>
      <x:c r="F23" s="11" t="n">
        <x:v>46315</x:v>
      </x:c>
      <x:c r="G23" s="2" t="str">
        <x:v>TMF-015</x:v>
      </x:c>
    </x:row>
    <x:row r="24" ht="32" customHeight="1">
      <x:c r="A24" s="9" t="n">
        <x:v>16</x:v>
      </x:c>
      <x:c r="B24" s="8" t="str">
        <x:v>ดาดาโรตีโอ่ง กาญจนบุรี</x:v>
      </x:c>
      <x:c r="C24" s="8" t="str">
        <x:v>กาญจนบุรี</x:v>
      </x:c>
      <x:c r="D24" s="8" t="str">
        <x:v>พร้อมขาย</x:v>
      </x:c>
      <x:c r="E24" s="8" t="str">
        <x:v>ร้านอาหารและคาเฟ่</x:v>
      </x:c>
      <x:c r="F24" s="11" t="n">
        <x:v>46315</x:v>
      </x:c>
      <x:c r="G24" s="2" t="str">
        <x:v>TMF-016</x:v>
      </x:c>
    </x:row>
    <x:row r="25" ht="32" customHeight="1">
      <x:c r="A25" s="9" t="n">
        <x:v>17</x:v>
      </x:c>
      <x:c r="B25" s="8" t="str">
        <x:v>อาบี อาหารไทยมุสลิม&amp;โรตีแป้งทอด</x:v>
      </x:c>
      <x:c r="C25" s="8" t="str">
        <x:v>ราชบุรี</x:v>
      </x:c>
      <x:c r="D25" s="8" t="str">
        <x:v>พร้อมขาย</x:v>
      </x:c>
      <x:c r="E25" s="8" t="str">
        <x:v>ร้านอาหารและคาเฟ่</x:v>
      </x:c>
      <x:c r="F25" s="11" t="n">
        <x:v>46315</x:v>
      </x:c>
      <x:c r="G25" s="2" t="str">
        <x:v>TMF-017</x:v>
      </x:c>
    </x:row>
    <x:row r="26" ht="32" customHeight="1">
      <x:c r="A26" s="9" t="n">
        <x:v>18</x:v>
      </x:c>
      <x:c r="B26" s="8" t="str">
        <x:v>โรตีบังมิง บ้านสวน</x:v>
      </x:c>
      <x:c r="C26" s="8" t="str">
        <x:v>ราชบุรี</x:v>
      </x:c>
      <x:c r="D26" s="8" t="str">
        <x:v>พร้อมขาย</x:v>
      </x:c>
      <x:c r="E26" s="8" t="str">
        <x:v>ร้านอาหารและคาเฟ่</x:v>
      </x:c>
      <x:c r="F26" s="11" t="n">
        <x:v>46315</x:v>
      </x:c>
      <x:c r="G26" s="2" t="str">
        <x:v>TMF-018</x:v>
      </x:c>
    </x:row>
    <x:row r="27" ht="32" customHeight="1">
      <x:c r="A27" s="9" t="n">
        <x:v>19</x:v>
      </x:c>
      <x:c r="B27" s="8" t="str">
        <x:v>ไทย-มุสลิม(Thai-Muslim Restaurant)</x:v>
      </x:c>
      <x:c r="C27" s="8" t="str">
        <x:v>ราชบุรี</x:v>
      </x:c>
      <x:c r="D27" s="8" t="str">
        <x:v>พร้อมขาย</x:v>
      </x:c>
      <x:c r="E27" s="8" t="str">
        <x:v>ร้านอาหารและคาเฟ่</x:v>
      </x:c>
      <x:c r="F27" s="11" t="n">
        <x:v>46315</x:v>
      </x:c>
      <x:c r="G27" s="2" t="str">
        <x:v>TMF-019</x:v>
      </x:c>
    </x:row>
    <x:row r="28" ht="32" customHeight="1">
      <x:c r="A28" s="9" t="n">
        <x:v>20</x:v>
      </x:c>
      <x:c r="B28" s="8" t="str">
        <x:v>Alama Sea Village Resort Koh Lanta</x:v>
      </x:c>
      <x:c r="C28" s="8" t="str">
        <x:v>กระบี่</x:v>
      </x:c>
      <x:c r="D28" s="8" t="str">
        <x:v>พร้อมขาย</x:v>
      </x:c>
      <x:c r="E28" s="8" t="str">
        <x:v>ที่พัก</x:v>
      </x:c>
      <x:c r="F28" s="11" t="n">
        <x:v>46315</x:v>
      </x:c>
      <x:c r="G28" s="2" t="str">
        <x:v>TMF-020</x:v>
      </x:c>
    </x:row>
    <x:row r="29" ht="32" customHeight="1">
      <x:c r="A29" s="9" t="n">
        <x:v>21</x:v>
      </x:c>
      <x:c r="B29" s="8" t="str">
        <x:v>Aonang Fiore resort, Krabi Thailand</x:v>
      </x:c>
      <x:c r="C29" s="8" t="str">
        <x:v>กระบี่</x:v>
      </x:c>
      <x:c r="D29" s="8" t="str">
        <x:v>พร้อมขาย</x:v>
      </x:c>
      <x:c r="E29" s="8" t="str">
        <x:v>ที่พัก</x:v>
      </x:c>
      <x:c r="F29" s="11" t="n">
        <x:v>46315</x:v>
      </x:c>
      <x:c r="G29" s="2" t="str">
        <x:v>TMF-021</x:v>
      </x:c>
    </x:row>
    <x:row r="30" ht="32" customHeight="1">
      <x:c r="A30" s="9" t="n">
        <x:v>22</x:v>
      </x:c>
      <x:c r="B30" s="8" t="str">
        <x:v>Aonang Phu Pi Maan Resort &amp; Spa</x:v>
      </x:c>
      <x:c r="C30" s="8" t="str">
        <x:v>กระบี่</x:v>
      </x:c>
      <x:c r="D30" s="8" t="str">
        <x:v>พร้อมขาย</x:v>
      </x:c>
      <x:c r="E30" s="8" t="str">
        <x:v>ที่พัก</x:v>
      </x:c>
      <x:c r="F30" s="11" t="n">
        <x:v>46315</x:v>
      </x:c>
      <x:c r="G30" s="2" t="str">
        <x:v>TMF-022</x:v>
      </x:c>
    </x:row>
    <x:row r="31" ht="32" customHeight="1">
      <x:c r="A31" s="9" t="n">
        <x:v>23</x:v>
      </x:c>
      <x:c r="B31" s="8" t="str">
        <x:v>Lanta Emerald Resort ลันตา เอ็มเมอรัล ห้องพัก ติดทะเล เกาะลันตาใหญ่ กระบี่</x:v>
      </x:c>
      <x:c r="C31" s="8" t="str">
        <x:v>กระบี่</x:v>
      </x:c>
      <x:c r="D31" s="8" t="str">
        <x:v>พร้อมขาย</x:v>
      </x:c>
      <x:c r="E31" s="8" t="str">
        <x:v>ที่พัก</x:v>
      </x:c>
      <x:c r="F31" s="11" t="n">
        <x:v>46315</x:v>
      </x:c>
      <x:c r="G31" s="2" t="str">
        <x:v>TMF-023</x:v>
      </x:c>
    </x:row>
    <x:row r="32" ht="32" customHeight="1">
      <x:c r="A32" s="9" t="n">
        <x:v>24</x:v>
      </x:c>
      <x:c r="B32" s="8" t="str">
        <x:v>Railay Great View Resort &amp; Spa รีสอร์ท มุสลิม</x:v>
      </x:c>
      <x:c r="C32" s="8" t="str">
        <x:v>กระบี่</x:v>
      </x:c>
      <x:c r="D32" s="8" t="str">
        <x:v>พร้อมขาย</x:v>
      </x:c>
      <x:c r="E32" s="8" t="str">
        <x:v>ที่พัก</x:v>
      </x:c>
      <x:c r="F32" s="11" t="n">
        <x:v>46315</x:v>
      </x:c>
      <x:c r="G32" s="2" t="str">
        <x:v>TMF-024</x:v>
      </x:c>
    </x:row>
    <x:row r="33" ht="32" customHeight="1">
      <x:c r="A33" s="9" t="n">
        <x:v>25</x:v>
      </x:c>
      <x:c r="B33" s="8" t="str">
        <x:v>Railay Village Resort , Krabi - Thailand</x:v>
      </x:c>
      <x:c r="C33" s="8" t="str">
        <x:v>กระบี่</x:v>
      </x:c>
      <x:c r="D33" s="8" t="str">
        <x:v>พร้อมขาย</x:v>
      </x:c>
      <x:c r="E33" s="8" t="str">
        <x:v>ที่พัก</x:v>
      </x:c>
      <x:c r="F33" s="11" t="n">
        <x:v>46315</x:v>
      </x:c>
      <x:c r="G33" s="2" t="str">
        <x:v>TMF-025</x:v>
      </x:c>
    </x:row>
    <x:row r="34" ht="32" customHeight="1">
      <x:c r="A34" s="9" t="n">
        <x:v>26</x:v>
      </x:c>
      <x:c r="B34" s="8" t="str">
        <x:v>The tama hotel Krabi Thailand</x:v>
      </x:c>
      <x:c r="C34" s="8" t="str">
        <x:v>กระบี่</x:v>
      </x:c>
      <x:c r="D34" s="8" t="str">
        <x:v>พร้อมขาย</x:v>
      </x:c>
      <x:c r="E34" s="8" t="str">
        <x:v>ที่พัก</x:v>
      </x:c>
      <x:c r="F34" s="11" t="n">
        <x:v>46315</x:v>
      </x:c>
      <x:c r="G34" s="2" t="str">
        <x:v>TMF-026</x:v>
      </x:c>
    </x:row>
    <x:row r="35" ht="32" customHeight="1">
      <x:c r="A35" s="9" t="n">
        <x:v>27</x:v>
      </x:c>
      <x:c r="B35" s="8" t="str">
        <x:v>sunda resort, Krabi Thailand</x:v>
      </x:c>
      <x:c r="C35" s="8" t="str">
        <x:v>กระบี่</x:v>
      </x:c>
      <x:c r="D35" s="8" t="str">
        <x:v>พร้อมขาย</x:v>
      </x:c>
      <x:c r="E35" s="8" t="str">
        <x:v>ที่พัก</x:v>
      </x:c>
      <x:c r="F35" s="11" t="n">
        <x:v>46315</x:v>
      </x:c>
      <x:c r="G35" s="2" t="str">
        <x:v>TMF-027</x:v>
      </x:c>
    </x:row>
    <x:row r="36" ht="32" customHeight="1">
      <x:c r="A36" s="9" t="n">
        <x:v>28</x:v>
      </x:c>
      <x:c r="B36" s="8" t="str">
        <x:v>บ้านครูเฉม โฮมสเตย์เกาะปู</x:v>
      </x:c>
      <x:c r="C36" s="8" t="str">
        <x:v>กระบี่</x:v>
      </x:c>
      <x:c r="D36" s="8" t="str">
        <x:v>พร้อมขาย</x:v>
      </x:c>
      <x:c r="E36" s="8" t="str">
        <x:v>ที่พัก</x:v>
      </x:c>
      <x:c r="F36" s="11" t="n">
        <x:v>46315</x:v>
      </x:c>
      <x:c r="G36" s="2" t="str">
        <x:v>TMF-028</x:v>
      </x:c>
    </x:row>
    <x:row r="37" ht="32" customHeight="1">
      <x:c r="A37" s="9" t="n">
        <x:v>29</x:v>
      </x:c>
      <x:c r="B37" s="8" t="str">
        <x:v>อันดามัน เพิร์ล รีสอร์ท อ่าวนาง</x:v>
      </x:c>
      <x:c r="C37" s="8" t="str">
        <x:v>กระบี่</x:v>
      </x:c>
      <x:c r="D37" s="8" t="str">
        <x:v>พร้อมขาย</x:v>
      </x:c>
      <x:c r="E37" s="8" t="str">
        <x:v>ที่พัก</x:v>
      </x:c>
      <x:c r="F37" s="11" t="n">
        <x:v>46315</x:v>
      </x:c>
      <x:c r="G37" s="2" t="str">
        <x:v>TMF-029</x:v>
      </x:c>
    </x:row>
    <x:row r="38" ht="32" customHeight="1">
      <x:c r="A38" s="9" t="n">
        <x:v>30</x:v>
      </x:c>
      <x:c r="B38" s="8" t="str">
        <x:v>โรงแรม กระบี่ ฟร้อนท์ เบย์ รีสอร์ท</x:v>
      </x:c>
      <x:c r="C38" s="8" t="str">
        <x:v>กระบี่</x:v>
      </x:c>
      <x:c r="D38" s="8" t="str">
        <x:v>พร้อมขาย</x:v>
      </x:c>
      <x:c r="E38" s="8" t="str">
        <x:v>ที่พัก</x:v>
      </x:c>
      <x:c r="F38" s="11" t="n">
        <x:v>46315</x:v>
      </x:c>
      <x:c r="G38" s="2" t="str">
        <x:v>TMF-030</x:v>
      </x:c>
    </x:row>
    <x:row r="39" ht="32" customHeight="1">
      <x:c r="A39" s="9" t="n">
        <x:v>31</x:v>
      </x:c>
      <x:c r="B39" s="8" t="str">
        <x:v>Ahad Suite Ao Nang</x:v>
      </x:c>
      <x:c r="C39" s="8" t="str">
        <x:v>กระบี่</x:v>
      </x:c>
      <x:c r="D39" s="8" t="str">
        <x:v>พร้อมขาย</x:v>
      </x:c>
      <x:c r="E39" s="8" t="str">
        <x:v>ที่พัก</x:v>
      </x:c>
      <x:c r="F39" s="11" t="n">
        <x:v>46315</x:v>
      </x:c>
      <x:c r="G39" s="2" t="str">
        <x:v>TMF-031</x:v>
      </x:c>
    </x:row>
    <x:row r="40" ht="32" customHeight="1">
      <x:c r="A40" s="9" t="n">
        <x:v>32</x:v>
      </x:c>
      <x:c r="B40" s="8" t="str">
        <x:v>White Sand Halal House Krabi</x:v>
      </x:c>
      <x:c r="C40" s="8" t="str">
        <x:v>กระบี่</x:v>
      </x:c>
      <x:c r="D40" s="8" t="str">
        <x:v>พร้อมขาย</x:v>
      </x:c>
      <x:c r="E40" s="8" t="str">
        <x:v>ที่พัก</x:v>
      </x:c>
      <x:c r="F40" s="11" t="n">
        <x:v>46315</x:v>
      </x:c>
      <x:c r="G40" s="2" t="str">
        <x:v>TMF-032</x:v>
      </x:c>
    </x:row>
    <x:row r="41" ht="32" customHeight="1">
      <x:c r="A41" s="9" t="n">
        <x:v>33</x:v>
      </x:c>
      <x:c r="B41" s="8" t="str">
        <x:v>ฮัซซานฟาร์ม</x:v>
      </x:c>
      <x:c r="C41" s="8" t="str">
        <x:v>กระบี่</x:v>
      </x:c>
      <x:c r="D41" s="8" t="str">
        <x:v>พร้อมขาย</x:v>
      </x:c>
      <x:c r="E41" s="8" t="str">
        <x:v>ร้านอาหารและคาเฟ่</x:v>
      </x:c>
      <x:c r="F41" s="11" t="n">
        <x:v>46315</x:v>
      </x:c>
      <x:c r="G41" s="2" t="str">
        <x:v>TMF-033</x:v>
      </x:c>
    </x:row>
    <x:row r="42" ht="32" customHeight="1">
      <x:c r="A42" s="9" t="n">
        <x:v>34</x:v>
      </x:c>
      <x:c r="B42" s="8" t="str">
        <x:v>Almas Hotel Bangkok</x:v>
      </x:c>
      <x:c r="C42" s="8" t="str">
        <x:v>กรุงเทพมหานคร</x:v>
      </x:c>
      <x:c r="D42" s="8" t="str">
        <x:v>พร้อมขาย</x:v>
      </x:c>
      <x:c r="E42" s="8" t="str">
        <x:v>ที่พัก</x:v>
      </x:c>
      <x:c r="F42" s="11" t="n">
        <x:v>46315</x:v>
      </x:c>
      <x:c r="G42" s="2" t="str">
        <x:v>TMF-034</x:v>
      </x:c>
    </x:row>
    <x:row r="43" ht="32" customHeight="1">
      <x:c r="A43" s="9" t="n">
        <x:v>35</x:v>
      </x:c>
      <x:c r="B43" s="8" t="str">
        <x:v>Bed By City Hotel</x:v>
      </x:c>
      <x:c r="C43" s="8" t="str">
        <x:v>กรุงเทพมหานคร</x:v>
      </x:c>
      <x:c r="D43" s="8" t="str">
        <x:v>พร้อมขาย</x:v>
      </x:c>
      <x:c r="E43" s="8" t="str">
        <x:v>ที่พัก</x:v>
      </x:c>
      <x:c r="F43" s="11" t="n">
        <x:v>46315</x:v>
      </x:c>
      <x:c r="G43" s="2" t="str">
        <x:v>TMF-035</x:v>
      </x:c>
    </x:row>
    <x:row r="44" ht="32" customHeight="1">
      <x:c r="A44" s="9" t="n">
        <x:v>36</x:v>
      </x:c>
      <x:c r="B44" s="8" t="str">
        <x:v>Bed by Thapra Hotel</x:v>
      </x:c>
      <x:c r="C44" s="8" t="str">
        <x:v>กรุงเทพมหานคร</x:v>
      </x:c>
      <x:c r="D44" s="8" t="str">
        <x:v>พร้อมขาย</x:v>
      </x:c>
      <x:c r="E44" s="8" t="str">
        <x:v>ที่พัก</x:v>
      </x:c>
      <x:c r="F44" s="11" t="n">
        <x:v>46315</x:v>
      </x:c>
      <x:c r="G44" s="2" t="str">
        <x:v>TMF-036</x:v>
      </x:c>
    </x:row>
    <x:row r="45" ht="32" customHeight="1">
      <x:c r="A45" s="9" t="n">
        <x:v>37</x:v>
      </x:c>
      <x:c r="B45" s="8" t="str">
        <x:v>Diya Hotel Srinakarin</x:v>
      </x:c>
      <x:c r="C45" s="8" t="str">
        <x:v>กรุงเทพมหานคร</x:v>
      </x:c>
      <x:c r="D45" s="8" t="str">
        <x:v>พร้อมขาย</x:v>
      </x:c>
      <x:c r="E45" s="8" t="str">
        <x:v>ที่พัก</x:v>
      </x:c>
      <x:c r="F45" s="11" t="n">
        <x:v>46315</x:v>
      </x:c>
      <x:c r="G45" s="2" t="str">
        <x:v>TMF-037</x:v>
      </x:c>
    </x:row>
    <x:row r="46" ht="32" customHeight="1">
      <x:c r="A46" s="9" t="n">
        <x:v>38</x:v>
      </x:c>
      <x:c r="B46" s="8" t="str">
        <x:v>Lilit Banglumphu Hotel - Bangkok</x:v>
      </x:c>
      <x:c r="C46" s="8" t="str">
        <x:v>กรุงเทพมหานคร</x:v>
      </x:c>
      <x:c r="D46" s="8" t="str">
        <x:v>พร้อมขาย</x:v>
      </x:c>
      <x:c r="E46" s="8" t="str">
        <x:v>ที่พัก</x:v>
      </x:c>
      <x:c r="F46" s="11" t="n">
        <x:v>46315</x:v>
      </x:c>
      <x:c r="G46" s="2" t="str">
        <x:v>TMF-038</x:v>
      </x:c>
    </x:row>
    <x:row r="47" ht="32" customHeight="1">
      <x:c r="A47" s="9" t="n">
        <x:v>39</x:v>
      </x:c>
      <x:c r="B47" s="8" t="str">
        <x:v>Nouvo City Hotel - โรงแรมนูโว ซิตี</x:v>
      </x:c>
      <x:c r="C47" s="8" t="str">
        <x:v>กรุงเทพมหานคร</x:v>
      </x:c>
      <x:c r="D47" s="8" t="str">
        <x:v>พร้อมขาย</x:v>
      </x:c>
      <x:c r="E47" s="8" t="str">
        <x:v>ที่พัก</x:v>
      </x:c>
      <x:c r="F47" s="11" t="n">
        <x:v>46315</x:v>
      </x:c>
      <x:c r="G47" s="2" t="str">
        <x:v>TMF-039</x:v>
      </x:c>
    </x:row>
    <x:row r="48" ht="32" customHeight="1">
      <x:c r="A48" s="9" t="n">
        <x:v>40</x:v>
      </x:c>
      <x:c r="B48" s="8" t="str">
        <x:v>Regent Thailand Hotel รามคำแหง22</x:v>
      </x:c>
      <x:c r="C48" s="8" t="str">
        <x:v>กรุงเทพมหานคร</x:v>
      </x:c>
      <x:c r="D48" s="8" t="str">
        <x:v>พร้อมขาย</x:v>
      </x:c>
      <x:c r="E48" s="8" t="str">
        <x:v>ที่พัก</x:v>
      </x:c>
      <x:c r="F48" s="11" t="n">
        <x:v>46315</x:v>
      </x:c>
      <x:c r="G48" s="2" t="str">
        <x:v>TMF-040</x:v>
      </x:c>
    </x:row>
    <x:row r="49" ht="32" customHeight="1">
      <x:c r="A49" s="9" t="n">
        <x:v>41</x:v>
      </x:c>
      <x:c r="B49" s="8" t="str">
        <x:v>The Riski Hotel &amp; Residence Bangphlat Station</x:v>
      </x:c>
      <x:c r="C49" s="8" t="str">
        <x:v>กรุงเทพมหานคร</x:v>
      </x:c>
      <x:c r="D49" s="8" t="str">
        <x:v>พร้อมขาย</x:v>
      </x:c>
      <x:c r="E49" s="8" t="str">
        <x:v>ที่พัก</x:v>
      </x:c>
      <x:c r="F49" s="11" t="n">
        <x:v>46315</x:v>
      </x:c>
      <x:c r="G49" s="2" t="str">
        <x:v>TMF-041</x:v>
      </x:c>
    </x:row>
    <x:row r="50" ht="32" customHeight="1">
      <x:c r="A50" s="9" t="n">
        <x:v>42</x:v>
      </x:c>
      <x:c r="B50" s="8" t="str">
        <x:v>Zayn Hotel Bangkok</x:v>
      </x:c>
      <x:c r="C50" s="8" t="str">
        <x:v>กรุงเทพมหานคร</x:v>
      </x:c>
      <x:c r="D50" s="8" t="str">
        <x:v>พร้อมขาย</x:v>
      </x:c>
      <x:c r="E50" s="8" t="str">
        <x:v>ที่พัก</x:v>
      </x:c>
      <x:c r="F50" s="11" t="n">
        <x:v>46315</x:v>
      </x:c>
      <x:c r="G50" s="2" t="str">
        <x:v>TMF-042</x:v>
      </x:c>
    </x:row>
    <x:row r="51" ht="32" customHeight="1">
      <x:c r="A51" s="9" t="n">
        <x:v>43</x:v>
      </x:c>
      <x:c r="B51" s="8" t="str">
        <x:v>โรงแรมบ้านเจ้าคุณ เคหะร่มเกล้า</x:v>
      </x:c>
      <x:c r="C51" s="8" t="str">
        <x:v>กรุงเทพมหานคร</x:v>
      </x:c>
      <x:c r="D51" s="8" t="str">
        <x:v>พร้อมขาย</x:v>
      </x:c>
      <x:c r="E51" s="8" t="str">
        <x:v>ที่พัก</x:v>
      </x:c>
      <x:c r="F51" s="11" t="n">
        <x:v>46315</x:v>
      </x:c>
      <x:c r="G51" s="2" t="str">
        <x:v>TMF-043</x:v>
      </x:c>
    </x:row>
    <x:row r="52" ht="32" customHeight="1">
      <x:c r="A52" s="9" t="n">
        <x:v>44</x:v>
      </x:c>
      <x:c r="B52" s="8" t="str">
        <x:v>โรงแรมอัล มีรอซ กรุงเทพ</x:v>
      </x:c>
      <x:c r="C52" s="8" t="str">
        <x:v>กรุงเทพมหานคร</x:v>
      </x:c>
      <x:c r="D52" s="8" t="str">
        <x:v>พร้อมขาย</x:v>
      </x:c>
      <x:c r="E52" s="8" t="str">
        <x:v>ที่พัก</x:v>
      </x:c>
      <x:c r="F52" s="11" t="n">
        <x:v>46315</x:v>
      </x:c>
      <x:c r="G52" s="2" t="str">
        <x:v>TMF-044</x:v>
      </x:c>
    </x:row>
    <x:row r="53" ht="32" customHeight="1">
      <x:c r="A53" s="9" t="n">
        <x:v>45</x:v>
      </x:c>
      <x:c r="B53" s="8" t="str">
        <x:v>Abu Ali Cuisine By Iraqi Restaurant</x:v>
      </x:c>
      <x:c r="C53" s="8" t="str">
        <x:v>กรุงเทพมหานคร</x:v>
      </x:c>
      <x:c r="D53" s="8" t="str">
        <x:v>พร้อมขาย</x:v>
      </x:c>
      <x:c r="E53" s="8" t="str">
        <x:v>ร้านอาหารและคาเฟ่</x:v>
      </x:c>
      <x:c r="F53" s="11" t="n">
        <x:v>46315</x:v>
      </x:c>
      <x:c r="G53" s="2" t="str">
        <x:v>TMF-045</x:v>
      </x:c>
    </x:row>
    <x:row r="54" ht="32" customHeight="1">
      <x:c r="A54" s="9" t="n">
        <x:v>46</x:v>
      </x:c>
      <x:c r="B54" s="8" t="str">
        <x:v>Alinga Tea &amp; Dining - อลิงก้า</x:v>
      </x:c>
      <x:c r="C54" s="8" t="str">
        <x:v>กรุงเทพมหานคร</x:v>
      </x:c>
      <x:c r="D54" s="8" t="str">
        <x:v>พร้อมขาย</x:v>
      </x:c>
      <x:c r="E54" s="8" t="str">
        <x:v>ร้านอาหารและคาเฟ่</x:v>
      </x:c>
      <x:c r="F54" s="11" t="n">
        <x:v>46315</x:v>
      </x:c>
      <x:c r="G54" s="2" t="str">
        <x:v>TMF-046</x:v>
      </x:c>
    </x:row>
    <x:row r="55" ht="32" customHeight="1">
      <x:c r="A55" s="9" t="n">
        <x:v>47</x:v>
      </x:c>
      <x:c r="B55" s="8" t="str">
        <x:v>Bigbeef Premium HALAL Buffet</x:v>
      </x:c>
      <x:c r="C55" s="8" t="str">
        <x:v>กรุงเทพมหานคร</x:v>
      </x:c>
      <x:c r="D55" s="8" t="str">
        <x:v>พร้อมขาย</x:v>
      </x:c>
      <x:c r="E55" s="8" t="str">
        <x:v>ร้านอาหารและคาเฟ่</x:v>
      </x:c>
      <x:c r="F55" s="11" t="n">
        <x:v>46315</x:v>
      </x:c>
      <x:c r="G55" s="2" t="str">
        <x:v>TMF-047</x:v>
      </x:c>
    </x:row>
    <x:row r="56" ht="32" customHeight="1">
      <x:c r="A56" s="9" t="n">
        <x:v>48</x:v>
      </x:c>
      <x:c r="B56" s="8" t="str">
        <x:v>Dawiya Thai food halal</x:v>
      </x:c>
      <x:c r="C56" s="8" t="str">
        <x:v>กรุงเทพมหานคร</x:v>
      </x:c>
      <x:c r="D56" s="8" t="str">
        <x:v>พร้อมขาย</x:v>
      </x:c>
      <x:c r="E56" s="8" t="str">
        <x:v>ร้านอาหารและคาเฟ่</x:v>
      </x:c>
      <x:c r="F56" s="11" t="n">
        <x:v>46315</x:v>
      </x:c>
      <x:c r="G56" s="2" t="str">
        <x:v>TMF-048</x:v>
      </x:c>
    </x:row>
    <x:row r="57" ht="32" customHeight="1">
      <x:c r="A57" s="9" t="n">
        <x:v>49</x:v>
      </x:c>
      <x:c r="B57" s="8" t="str">
        <x:v>Good Mood  Cafe and Milk  Bar</x:v>
      </x:c>
      <x:c r="C57" s="8" t="str">
        <x:v>กรุงเทพมหานคร</x:v>
      </x:c>
      <x:c r="D57" s="8" t="str">
        <x:v>พร้อมขาย</x:v>
      </x:c>
      <x:c r="E57" s="8" t="str">
        <x:v>ร้านอาหารและคาเฟ่</x:v>
      </x:c>
      <x:c r="F57" s="11" t="n">
        <x:v>46315</x:v>
      </x:c>
      <x:c r="G57" s="2" t="str">
        <x:v>TMF-049</x:v>
      </x:c>
    </x:row>
    <x:row r="58" ht="32" customHeight="1">
      <x:c r="A58" s="9" t="n">
        <x:v>50</x:v>
      </x:c>
      <x:c r="B58" s="8" t="str">
        <x:v>Heyyyy Bangkok Hostel</x:v>
      </x:c>
      <x:c r="C58" s="8" t="str">
        <x:v>กรุงเทพมหานคร</x:v>
      </x:c>
      <x:c r="D58" s="8" t="str">
        <x:v>พร้อมขาย</x:v>
      </x:c>
      <x:c r="E58" s="8" t="str">
        <x:v>ที่พัก</x:v>
      </x:c>
      <x:c r="F58" s="11" t="n">
        <x:v>46315</x:v>
      </x:c>
      <x:c r="G58" s="2" t="str">
        <x:v>TMF-051</x:v>
      </x:c>
    </x:row>
    <x:row r="59" ht="32" customHeight="1">
      <x:c r="A59" s="9" t="n">
        <x:v>51</x:v>
      </x:c>
      <x:c r="B59" s="8" t="str">
        <x:v>Jidrid Cafe</x:v>
      </x:c>
      <x:c r="C59" s="8" t="str">
        <x:v>กรุงเทพมหานคร</x:v>
      </x:c>
      <x:c r="D59" s="8" t="str">
        <x:v>พร้อมขาย</x:v>
      </x:c>
      <x:c r="E59" s="8" t="str">
        <x:v>ร้านอาหารและคาเฟ่</x:v>
      </x:c>
      <x:c r="F59" s="11" t="n">
        <x:v>46315</x:v>
      </x:c>
      <x:c r="G59" s="2" t="str">
        <x:v>TMF-052</x:v>
      </x:c>
    </x:row>
    <x:row r="60" ht="32" customHeight="1">
      <x:c r="A60" s="9" t="n">
        <x:v>52</x:v>
      </x:c>
      <x:c r="B60" s="8" t="str">
        <x:v>KIN YOUBI HALAL</x:v>
      </x:c>
      <x:c r="C60" s="8" t="str">
        <x:v>กรุงเทพมหานคร</x:v>
      </x:c>
      <x:c r="D60" s="8" t="str">
        <x:v>พร้อมขาย</x:v>
      </x:c>
      <x:c r="E60" s="8" t="str">
        <x:v>ร้านอาหารและคาเฟ่</x:v>
      </x:c>
      <x:c r="F60" s="11" t="n">
        <x:v>46315</x:v>
      </x:c>
      <x:c r="G60" s="2" t="str">
        <x:v>TMF-053</x:v>
      </x:c>
    </x:row>
    <x:row r="61" ht="32" customHeight="1">
      <x:c r="A61" s="9" t="n">
        <x:v>53</x:v>
      </x:c>
      <x:c r="B61" s="8" t="str">
        <x:v>LAHORE RESTAURANT สีลม</x:v>
      </x:c>
      <x:c r="C61" s="8" t="str">
        <x:v>กรุงเทพมหานคร</x:v>
      </x:c>
      <x:c r="D61" s="8" t="str">
        <x:v>พร้อมขาย</x:v>
      </x:c>
      <x:c r="E61" s="8" t="str">
        <x:v>ร้านอาหารและคาเฟ่</x:v>
      </x:c>
      <x:c r="F61" s="11" t="n">
        <x:v>46315</x:v>
      </x:c>
      <x:c r="G61" s="2" t="str">
        <x:v>TMF-054</x:v>
      </x:c>
    </x:row>
    <x:row r="62" ht="32" customHeight="1">
      <x:c r="A62" s="9" t="n">
        <x:v>54</x:v>
      </x:c>
      <x:c r="B62" s="8" t="str">
        <x:v>La pizza fahana</x:v>
      </x:c>
      <x:c r="C62" s="8" t="str">
        <x:v>กรุงเทพมหานคร</x:v>
      </x:c>
      <x:c r="D62" s="8" t="str">
        <x:v>พร้อมขาย</x:v>
      </x:c>
      <x:c r="E62" s="8" t="str">
        <x:v>ร้านอาหารและคาเฟ่</x:v>
      </x:c>
      <x:c r="F62" s="11" t="n">
        <x:v>46315</x:v>
      </x:c>
      <x:c r="G62" s="2" t="str">
        <x:v>TMF-055</x:v>
      </x:c>
    </x:row>
    <x:row r="63" ht="32" customHeight="1">
      <x:c r="A63" s="9" t="n">
        <x:v>55</x:v>
      </x:c>
      <x:c r="B63" s="8" t="str">
        <x:v>Mini Coffee</x:v>
      </x:c>
      <x:c r="C63" s="8" t="str">
        <x:v>กรุงเทพมหานคร</x:v>
      </x:c>
      <x:c r="D63" s="8" t="str">
        <x:v>พร้อมขาย</x:v>
      </x:c>
      <x:c r="E63" s="8" t="str">
        <x:v>ร้านอาหารและคาเฟ่</x:v>
      </x:c>
      <x:c r="F63" s="11" t="n">
        <x:v>46315</x:v>
      </x:c>
      <x:c r="G63" s="2" t="str">
        <x:v>TMF-056</x:v>
      </x:c>
    </x:row>
    <x:row r="64" ht="32" customHeight="1">
      <x:c r="A64" s="9" t="n">
        <x:v>56</x:v>
      </x:c>
      <x:c r="B64" s="8" t="str">
        <x:v>Mom’s Restaurant</x:v>
      </x:c>
      <x:c r="C64" s="8" t="str">
        <x:v>กรุงเทพมหานคร</x:v>
      </x:c>
      <x:c r="D64" s="8" t="str">
        <x:v>พร้อมขาย</x:v>
      </x:c>
      <x:c r="E64" s="8" t="str">
        <x:v>ร้านอาหารและคาเฟ่</x:v>
      </x:c>
      <x:c r="F64" s="11" t="n">
        <x:v>46315</x:v>
      </x:c>
      <x:c r="G64" s="2" t="str">
        <x:v>TMF-057</x:v>
      </x:c>
    </x:row>
    <x:row r="65" ht="32" customHeight="1">
      <x:c r="A65" s="9" t="n">
        <x:v>57</x:v>
      </x:c>
      <x:c r="B65" s="8" t="str">
        <x:v>Monkey Suki Halal มีนบุรีคู้ขวา</x:v>
      </x:c>
      <x:c r="C65" s="8" t="str">
        <x:v>กรุงเทพมหานคร</x:v>
      </x:c>
      <x:c r="D65" s="8" t="str">
        <x:v>พร้อมขาย</x:v>
      </x:c>
      <x:c r="E65" s="8" t="str">
        <x:v>ร้านอาหารและคาเฟ่</x:v>
      </x:c>
      <x:c r="F65" s="11" t="n">
        <x:v>46315</x:v>
      </x:c>
      <x:c r="G65" s="2" t="str">
        <x:v>TMF-058</x:v>
      </x:c>
    </x:row>
    <x:row r="66" ht="32" customHeight="1">
      <x:c r="A66" s="9" t="n">
        <x:v>58</x:v>
      </x:c>
      <x:c r="B66" s="8" t="str">
        <x:v>Monkey Suki รามคำแหง81</x:v>
      </x:c>
      <x:c r="C66" s="8" t="str">
        <x:v>กรุงเทพมหานคร</x:v>
      </x:c>
      <x:c r="D66" s="8" t="str">
        <x:v>พร้อมขาย</x:v>
      </x:c>
      <x:c r="E66" s="8" t="str">
        <x:v>ร้านอาหารและคาเฟ่</x:v>
      </x:c>
      <x:c r="F66" s="11" t="n">
        <x:v>46315</x:v>
      </x:c>
      <x:c r="G66" s="2" t="str">
        <x:v>TMF-059</x:v>
      </x:c>
    </x:row>
    <x:row r="67" ht="32" customHeight="1">
      <x:c r="A67" s="9" t="n">
        <x:v>59</x:v>
      </x:c>
      <x:c r="B67" s="8" t="str">
        <x:v>Monkey Suki เสรีไทย16</x:v>
      </x:c>
      <x:c r="C67" s="8" t="str">
        <x:v>กรุงเทพมหานคร</x:v>
      </x:c>
      <x:c r="D67" s="8" t="str">
        <x:v>พร้อมขาย</x:v>
      </x:c>
      <x:c r="E67" s="8" t="str">
        <x:v>ร้านอาหารและคาเฟ่</x:v>
      </x:c>
      <x:c r="F67" s="11" t="n">
        <x:v>46315</x:v>
      </x:c>
      <x:c r="G67" s="2" t="str">
        <x:v>TMF-060</x:v>
      </x:c>
    </x:row>
    <x:row r="68" ht="32" customHeight="1">
      <x:c r="A68" s="9" t="n">
        <x:v>60</x:v>
      </x:c>
      <x:c r="B68" s="8" t="str">
        <x:v>Nes Tea Boba</x:v>
      </x:c>
      <x:c r="C68" s="8" t="str">
        <x:v>กรุงเทพมหานคร</x:v>
      </x:c>
      <x:c r="D68" s="8" t="str">
        <x:v>พร้อมขาย</x:v>
      </x:c>
      <x:c r="E68" s="8" t="str">
        <x:v>ร้านอาหารและคาเฟ่</x:v>
      </x:c>
      <x:c r="F68" s="11" t="n">
        <x:v>46315</x:v>
      </x:c>
      <x:c r="G68" s="2" t="str">
        <x:v>TMF-061</x:v>
      </x:c>
    </x:row>
    <x:row r="69" ht="32" customHeight="1">
      <x:c r="A69" s="9" t="n">
        <x:v>61</x:v>
      </x:c>
      <x:c r="B69" s="8" t="str">
        <x:v>P-Park Residence</x:v>
      </x:c>
      <x:c r="C69" s="8" t="str">
        <x:v>กรุงเทพมหานคร</x:v>
      </x:c>
      <x:c r="D69" s="8" t="str">
        <x:v>พร้อมขาย</x:v>
      </x:c>
      <x:c r="E69" s="8" t="str">
        <x:v>ที่พัก</x:v>
      </x:c>
      <x:c r="F69" s="11" t="n">
        <x:v>46315</x:v>
      </x:c>
      <x:c r="G69" s="2" t="str">
        <x:v>TMF-062</x:v>
      </x:c>
    </x:row>
    <x:row r="70" ht="32" customHeight="1">
      <x:c r="A70" s="9" t="n">
        <x:v>62</x:v>
      </x:c>
      <x:c r="B70" s="8" t="str">
        <x:v>REEZQ Residence Phyathai</x:v>
      </x:c>
      <x:c r="C70" s="8" t="str">
        <x:v>กรุงเทพมหานคร</x:v>
      </x:c>
      <x:c r="D70" s="8" t="str">
        <x:v>พร้อมขาย</x:v>
      </x:c>
      <x:c r="E70" s="8" t="str">
        <x:v>ร้านอาหารและคาเฟ่</x:v>
      </x:c>
      <x:c r="F70" s="11" t="n">
        <x:v>46315</x:v>
      </x:c>
      <x:c r="G70" s="2" t="str">
        <x:v>TMF-063</x:v>
      </x:c>
    </x:row>
    <x:row r="71" ht="32" customHeight="1">
      <x:c r="A71" s="9" t="n">
        <x:v>63</x:v>
      </x:c>
      <x:c r="B71" s="8" t="str">
        <x:v>Ram21Place</x:v>
      </x:c>
      <x:c r="C71" s="8" t="str">
        <x:v>กรุงเทพมหานคร</x:v>
      </x:c>
      <x:c r="D71" s="8" t="str">
        <x:v>พร้อมขาย</x:v>
      </x:c>
      <x:c r="E71" s="8" t="str">
        <x:v>ร้านอาหารและคาเฟ่</x:v>
      </x:c>
      <x:c r="F71" s="11" t="n">
        <x:v>46315</x:v>
      </x:c>
      <x:c r="G71" s="2" t="str">
        <x:v>TMF-064</x:v>
      </x:c>
    </x:row>
    <x:row r="72" ht="32" customHeight="1">
      <x:c r="A72" s="9" t="n">
        <x:v>64</x:v>
      </x:c>
      <x:c r="B72" s="8" t="str">
        <x:v>Rotinis Hostel</x:v>
      </x:c>
      <x:c r="C72" s="8" t="str">
        <x:v>กรุงเทพมหานคร</x:v>
      </x:c>
      <x:c r="D72" s="8" t="str">
        <x:v>พร้อมขาย</x:v>
      </x:c>
      <x:c r="E72" s="8" t="str">
        <x:v>ที่พัก</x:v>
      </x:c>
      <x:c r="F72" s="11" t="n">
        <x:v>46315</x:v>
      </x:c>
      <x:c r="G72" s="2" t="str">
        <x:v>TMF-065</x:v>
      </x:c>
    </x:row>
    <x:row r="73" ht="32" customHeight="1">
      <x:c r="A73" s="9" t="n">
        <x:v>65</x:v>
      </x:c>
      <x:c r="B73" s="8" t="str">
        <x:v>Seven Sisters Home Cafe &amp; Halal Cuisine</x:v>
      </x:c>
      <x:c r="C73" s="8" t="str">
        <x:v>กรุงเทพมหานคร</x:v>
      </x:c>
      <x:c r="D73" s="8" t="str">
        <x:v>พร้อมขาย</x:v>
      </x:c>
      <x:c r="E73" s="8" t="str">
        <x:v>ร้านอาหารและคาเฟ่</x:v>
      </x:c>
      <x:c r="F73" s="11" t="n">
        <x:v>46315</x:v>
      </x:c>
      <x:c r="G73" s="2" t="str">
        <x:v>TMF-066</x:v>
      </x:c>
    </x:row>
    <x:row r="74" ht="32" customHeight="1">
      <x:c r="A74" s="9" t="n">
        <x:v>66</x:v>
      </x:c>
      <x:c r="B74" s="8" t="str">
        <x:v>WOK &amp; MORE thai internationnal cuisine</x:v>
      </x:c>
      <x:c r="C74" s="8" t="str">
        <x:v>กรุงเทพมหานคร</x:v>
      </x:c>
      <x:c r="D74" s="8" t="str">
        <x:v>พร้อมขาย</x:v>
      </x:c>
      <x:c r="E74" s="8" t="str">
        <x:v>ร้านอาหารและคาเฟ่</x:v>
      </x:c>
      <x:c r="F74" s="11" t="n">
        <x:v>46315</x:v>
      </x:c>
      <x:c r="G74" s="2" t="str">
        <x:v>TMF-067</x:v>
      </x:c>
    </x:row>
    <x:row r="75" ht="32" customHeight="1">
      <x:c r="A75" s="9" t="n">
        <x:v>67</x:v>
      </x:c>
      <x:c r="B75" s="8" t="str">
        <x:v>กุ้งแช่บรรทัดทองbyฮาลาล</x:v>
      </x:c>
      <x:c r="C75" s="8" t="str">
        <x:v>กรุงเทพมหานคร</x:v>
      </x:c>
      <x:c r="D75" s="8" t="str">
        <x:v>พร้อมขาย</x:v>
      </x:c>
      <x:c r="E75" s="8" t="str">
        <x:v>ร้านอาหารและคาเฟ่</x:v>
      </x:c>
      <x:c r="F75" s="11" t="n">
        <x:v>46315</x:v>
      </x:c>
      <x:c r="G75" s="2" t="str">
        <x:v>TMF-068</x:v>
      </x:c>
    </x:row>
    <x:row r="76" ht="32" customHeight="1">
      <x:c r="A76" s="9" t="n">
        <x:v>68</x:v>
      </x:c>
      <x:c r="B76" s="8" t="str">
        <x:v>ข้าวต้มบารอกัต สาขาหนองจอก</x:v>
      </x:c>
      <x:c r="C76" s="8" t="str">
        <x:v>กรุงเทพมหานคร</x:v>
      </x:c>
      <x:c r="D76" s="8" t="str">
        <x:v>พร้อมขาย</x:v>
      </x:c>
      <x:c r="E76" s="8" t="str">
        <x:v>ร้านอาหารและคาเฟ่</x:v>
      </x:c>
      <x:c r="F76" s="11" t="n">
        <x:v>46315</x:v>
      </x:c>
      <x:c r="G76" s="2" t="str">
        <x:v>TMF-069</x:v>
      </x:c>
    </x:row>
    <x:row r="77" ht="32" customHeight="1">
      <x:c r="A77" s="9" t="n">
        <x:v>69</x:v>
      </x:c>
      <x:c r="B77" s="8" t="str">
        <x:v>ข้าวเช้า ฮาลาล breakfast &amp; lunch</x:v>
      </x:c>
      <x:c r="C77" s="8" t="str">
        <x:v>กรุงเทพมหานคร</x:v>
      </x:c>
      <x:c r="D77" s="8" t="str">
        <x:v>พร้อมขาย</x:v>
      </x:c>
      <x:c r="E77" s="8" t="str">
        <x:v>ร้านอาหารและคาเฟ่</x:v>
      </x:c>
      <x:c r="F77" s="11" t="n">
        <x:v>46315</x:v>
      </x:c>
      <x:c r="G77" s="2" t="str">
        <x:v>TMF-070</x:v>
      </x:c>
    </x:row>
    <x:row r="78" ht="32" customHeight="1">
      <x:c r="A78" s="9" t="n">
        <x:v>70</x:v>
      </x:c>
      <x:c r="B78" s="8" t="str">
        <x:v>ครัวบ้านวัง-ฮาลาลฟู้ด</x:v>
      </x:c>
      <x:c r="C78" s="8" t="str">
        <x:v>กรุงเทพมหานคร</x:v>
      </x:c>
      <x:c r="D78" s="8" t="str">
        <x:v>พร้อมขาย</x:v>
      </x:c>
      <x:c r="E78" s="8" t="str">
        <x:v>ร้านอาหารและคาเฟ่</x:v>
      </x:c>
      <x:c r="F78" s="11" t="n">
        <x:v>46315</x:v>
      </x:c>
      <x:c r="G78" s="2" t="str">
        <x:v>TMF-071</x:v>
      </x:c>
    </x:row>
    <x:row r="79" ht="32" customHeight="1">
      <x:c r="A79" s="9" t="n">
        <x:v>71</x:v>
      </x:c>
      <x:c r="B79" s="8" t="str">
        <x:v>ครัวอารีฟฮาลาล</x:v>
      </x:c>
      <x:c r="C79" s="8" t="str">
        <x:v>กรุงเทพมหานคร</x:v>
      </x:c>
      <x:c r="D79" s="8" t="str">
        <x:v>พร้อมขาย</x:v>
      </x:c>
      <x:c r="E79" s="8" t="str">
        <x:v>ร้านอาหารและคาเฟ่</x:v>
      </x:c>
      <x:c r="F79" s="11" t="n">
        <x:v>46315</x:v>
      </x:c>
      <x:c r="G79" s="2" t="str">
        <x:v>TMF-072</x:v>
      </x:c>
    </x:row>
    <x:row r="80" ht="32" customHeight="1">
      <x:c r="A80" s="9" t="n">
        <x:v>72</x:v>
      </x:c>
      <x:c r="B80" s="8" t="str">
        <x:v>ครัวแยกบาแลอาหารตามสั่ง</x:v>
      </x:c>
      <x:c r="C80" s="8" t="str">
        <x:v>กรุงเทพมหานคร</x:v>
      </x:c>
      <x:c r="D80" s="8" t="str">
        <x:v>พร้อมขาย</x:v>
      </x:c>
      <x:c r="E80" s="8" t="str">
        <x:v>ร้านอาหารและคาเฟ่</x:v>
      </x:c>
      <x:c r="F80" s="11" t="n">
        <x:v>46315</x:v>
      </x:c>
      <x:c r="G80" s="2" t="str">
        <x:v>TMF-073</x:v>
      </x:c>
    </x:row>
    <x:row r="81" ht="32" customHeight="1">
      <x:c r="A81" s="9" t="n">
        <x:v>73</x:v>
      </x:c>
      <x:c r="B81" s="8" t="str">
        <x:v>ตั้งโต๊ะ ชาบูฮาลาล</x:v>
      </x:c>
      <x:c r="C81" s="8" t="str">
        <x:v>กรุงเทพมหานคร</x:v>
      </x:c>
      <x:c r="D81" s="8" t="str">
        <x:v>พร้อมขาย</x:v>
      </x:c>
      <x:c r="E81" s="8" t="str">
        <x:v>ร้านอาหารและคาเฟ่</x:v>
      </x:c>
      <x:c r="F81" s="11" t="n">
        <x:v>46315</x:v>
      </x:c>
      <x:c r="G81" s="2" t="str">
        <x:v>TMF-074</x:v>
      </x:c>
    </x:row>
    <x:row r="82" ht="32" customHeight="1">
      <x:c r="A82" s="9" t="n">
        <x:v>74</x:v>
      </x:c>
      <x:c r="B82" s="8" t="str">
        <x:v>ตำตำ ยำยำ ราม53</x:v>
      </x:c>
      <x:c r="C82" s="8" t="str">
        <x:v>กรุงเทพมหานคร</x:v>
      </x:c>
      <x:c r="D82" s="8" t="str">
        <x:v>พร้อมขาย</x:v>
      </x:c>
      <x:c r="E82" s="8" t="str">
        <x:v>ร้านอาหารและคาเฟ่</x:v>
      </x:c>
      <x:c r="F82" s="11" t="n">
        <x:v>46315</x:v>
      </x:c>
      <x:c r="G82" s="2" t="str">
        <x:v>TMF-075</x:v>
      </x:c>
    </x:row>
    <x:row r="83" ht="32" customHeight="1">
      <x:c r="A83" s="9" t="n">
        <x:v>75</x:v>
      </x:c>
      <x:c r="B83" s="8" t="str">
        <x:v>ท่าพระคิทเช่น</x:v>
      </x:c>
      <x:c r="C83" s="8" t="str">
        <x:v>กรุงเทพมหานคร</x:v>
      </x:c>
      <x:c r="D83" s="8" t="str">
        <x:v>พร้อมขาย</x:v>
      </x:c>
      <x:c r="E83" s="8" t="str">
        <x:v>ร้านอาหารและคาเฟ่</x:v>
      </x:c>
      <x:c r="F83" s="11" t="n">
        <x:v>46315</x:v>
      </x:c>
      <x:c r="G83" s="2" t="str">
        <x:v>TMF-076</x:v>
      </x:c>
    </x:row>
    <x:row r="84" ht="32" customHeight="1">
      <x:c r="A84" s="9" t="n">
        <x:v>76</x:v>
      </x:c>
      <x:c r="B84" s="8" t="str">
        <x:v>บังสอนซุปหางวัว  ข้าวหางวัว</x:v>
      </x:c>
      <x:c r="C84" s="8" t="str">
        <x:v>กรุงเทพมหานคร</x:v>
      </x:c>
      <x:c r="D84" s="8" t="str">
        <x:v>พร้อมขาย</x:v>
      </x:c>
      <x:c r="E84" s="8" t="str">
        <x:v>ร้านอาหารและคาเฟ่</x:v>
      </x:c>
      <x:c r="F84" s="11" t="n">
        <x:v>46315</x:v>
      </x:c>
      <x:c r="G84" s="2" t="str">
        <x:v>TMF-077</x:v>
      </x:c>
    </x:row>
    <x:row r="85" ht="32" customHeight="1">
      <x:c r="A85" s="9" t="n">
        <x:v>77</x:v>
      </x:c>
      <x:c r="B85" s="8" t="str">
        <x:v>บิสมิลลาฮ์ บังชามิล ก๋วยเตี๋ยวเรือ 20 บาท</x:v>
      </x:c>
      <x:c r="C85" s="8" t="str">
        <x:v>กรุงเทพมหานคร</x:v>
      </x:c>
      <x:c r="D85" s="8" t="str">
        <x:v>พร้อมขาย</x:v>
      </x:c>
      <x:c r="E85" s="8" t="str">
        <x:v>ร้านอาหารและคาเฟ่</x:v>
      </x:c>
      <x:c r="F85" s="11" t="n">
        <x:v>46315</x:v>
      </x:c>
      <x:c r="G85" s="2" t="str">
        <x:v>TMF-078</x:v>
      </x:c>
    </x:row>
    <x:row r="86" ht="32" customHeight="1">
      <x:c r="A86" s="9" t="n">
        <x:v>78</x:v>
      </x:c>
      <x:c r="B86" s="8" t="str">
        <x:v>บ้านเกี๊ยวเย็นตาโฟ</x:v>
      </x:c>
      <x:c r="C86" s="8" t="str">
        <x:v>กรุงเทพมหานคร</x:v>
      </x:c>
      <x:c r="D86" s="8" t="str">
        <x:v>พร้อมขาย</x:v>
      </x:c>
      <x:c r="E86" s="8" t="str">
        <x:v>ร้านอาหารและคาเฟ่</x:v>
      </x:c>
      <x:c r="F86" s="11" t="n">
        <x:v>46315</x:v>
      </x:c>
      <x:c r="G86" s="2" t="str">
        <x:v>TMF-079</x:v>
      </x:c>
    </x:row>
    <x:row r="87" ht="32" customHeight="1">
      <x:c r="A87" s="9" t="n">
        <x:v>79</x:v>
      </x:c>
      <x:c r="B87" s="8" t="str">
        <x:v>ฟาตินชิ้นสะดุ้ง สาขา ซีคอนศรีนครินทร์</x:v>
      </x:c>
      <x:c r="C87" s="8" t="str">
        <x:v>กรุงเทพมหานคร</x:v>
      </x:c>
      <x:c r="D87" s="8" t="str">
        <x:v>พร้อมขาย</x:v>
      </x:c>
      <x:c r="E87" s="8" t="str">
        <x:v>ร้านอาหารและคาเฟ่</x:v>
      </x:c>
      <x:c r="F87" s="11" t="n">
        <x:v>46315</x:v>
      </x:c>
      <x:c r="G87" s="2" t="str">
        <x:v>TMF-080</x:v>
      </x:c>
    </x:row>
    <x:row r="88" ht="32" customHeight="1">
      <x:c r="A88" s="9" t="n">
        <x:v>80</x:v>
      </x:c>
      <x:c r="B88" s="8" t="str">
        <x:v>ฟาตินชิ้นสะดุ้ง สาขา แฟชั่นไอส์แลนด์</x:v>
      </x:c>
      <x:c r="C88" s="8" t="str">
        <x:v>กรุงเทพมหานคร</x:v>
      </x:c>
      <x:c r="D88" s="8" t="str">
        <x:v>พร้อมขาย</x:v>
      </x:c>
      <x:c r="E88" s="8" t="str">
        <x:v>ร้านอาหารและคาเฟ่</x:v>
      </x:c>
      <x:c r="F88" s="11" t="n">
        <x:v>46315</x:v>
      </x:c>
      <x:c r="G88" s="2" t="str">
        <x:v>TMF-081</x:v>
      </x:c>
    </x:row>
    <x:row r="89" ht="32" customHeight="1">
      <x:c r="A89" s="9" t="n">
        <x:v>81</x:v>
      </x:c>
      <x:c r="B89" s="8" t="str">
        <x:v>มัส -มัน-ไก่-มาก</x:v>
      </x:c>
      <x:c r="C89" s="8" t="str">
        <x:v>กรุงเทพมหานคร</x:v>
      </x:c>
      <x:c r="D89" s="8" t="str">
        <x:v>พร้อมขาย</x:v>
      </x:c>
      <x:c r="E89" s="8" t="str">
        <x:v>ร้านอาหารและคาเฟ่</x:v>
      </x:c>
      <x:c r="F89" s="11" t="n">
        <x:v>46315</x:v>
      </x:c>
      <x:c r="G89" s="2" t="str">
        <x:v>TMF-082</x:v>
      </x:c>
    </x:row>
    <x:row r="90" ht="32" customHeight="1">
      <x:c r="A90" s="9" t="n">
        <x:v>82</x:v>
      </x:c>
      <x:c r="B90" s="8" t="str">
        <x:v>มุสลิมโฮม2 ห้องพักรายวัน</x:v>
      </x:c>
      <x:c r="C90" s="8" t="str">
        <x:v>กรุงเทพมหานคร</x:v>
      </x:c>
      <x:c r="D90" s="8" t="str">
        <x:v>พร้อมขาย</x:v>
      </x:c>
      <x:c r="E90" s="8" t="str">
        <x:v>ที่พัก</x:v>
      </x:c>
      <x:c r="F90" s="11" t="n">
        <x:v>46315</x:v>
      </x:c>
      <x:c r="G90" s="2" t="str">
        <x:v>TMF-083</x:v>
      </x:c>
    </x:row>
    <x:row r="91" ht="32" customHeight="1">
      <x:c r="A91" s="9" t="n">
        <x:v>83</x:v>
      </x:c>
      <x:c r="B91" s="8" t="str">
        <x:v>ม๋อต้มตุ๋น ก๋วยเตี๋ยวเนื้อ-ข้าวมันไก่เบตง</x:v>
      </x:c>
      <x:c r="C91" s="8" t="str">
        <x:v>กรุงเทพมหานคร</x:v>
      </x:c>
      <x:c r="D91" s="8" t="str">
        <x:v>พร้อมขาย</x:v>
      </x:c>
      <x:c r="E91" s="8" t="str">
        <x:v>ร้านอาหารและคาเฟ่</x:v>
      </x:c>
      <x:c r="F91" s="11" t="n">
        <x:v>46315</x:v>
      </x:c>
      <x:c r="G91" s="2" t="str">
        <x:v>TMF-084</x:v>
      </x:c>
    </x:row>
    <x:row r="92" ht="32" customHeight="1">
      <x:c r="A92" s="9" t="n">
        <x:v>84</x:v>
      </x:c>
      <x:c r="B92" s="8" t="str">
        <x:v>รอดียา - Rodeeya Halal food bangkok</x:v>
      </x:c>
      <x:c r="C92" s="8" t="str">
        <x:v>กรุงเทพมหานคร</x:v>
      </x:c>
      <x:c r="D92" s="8" t="str">
        <x:v>พร้อมขาย</x:v>
      </x:c>
      <x:c r="E92" s="8" t="str">
        <x:v>ร้านอาหารและคาเฟ่</x:v>
      </x:c>
      <x:c r="F92" s="11" t="n">
        <x:v>46315</x:v>
      </x:c>
      <x:c r="G92" s="2" t="str">
        <x:v>TMF-085</x:v>
      </x:c>
    </x:row>
    <x:row r="93" ht="32" customHeight="1">
      <x:c r="A93" s="9" t="n">
        <x:v>85</x:v>
      </x:c>
      <x:c r="B93" s="8" t="str">
        <x:v>ลี่หยาง Li yang สาขา Charn at the Avenue</x:v>
      </x:c>
      <x:c r="C93" s="8" t="str">
        <x:v>กรุงเทพมหานคร</x:v>
      </x:c>
      <x:c r="D93" s="8" t="str">
        <x:v>พร้อมขาย</x:v>
      </x:c>
      <x:c r="E93" s="8" t="str">
        <x:v>ร้านอาหารและคาเฟ่</x:v>
      </x:c>
      <x:c r="F93" s="11" t="n">
        <x:v>46315</x:v>
      </x:c>
      <x:c r="G93" s="2" t="str">
        <x:v>TMF-086</x:v>
      </x:c>
    </x:row>
    <x:row r="94" ht="32" customHeight="1">
      <x:c r="A94" s="9" t="n">
        <x:v>86</x:v>
      </x:c>
      <x:c r="B94" s="8" t="str">
        <x:v>สไปซี่คัก ริมน้ำ by Amdangtyphoon</x:v>
      </x:c>
      <x:c r="C94" s="8" t="str">
        <x:v>กรุงเทพมหานคร</x:v>
      </x:c>
      <x:c r="D94" s="8" t="str">
        <x:v>พร้อมขาย</x:v>
      </x:c>
      <x:c r="E94" s="8" t="str">
        <x:v>ร้านอาหารและคาเฟ่</x:v>
      </x:c>
      <x:c r="F94" s="11" t="n">
        <x:v>46315</x:v>
      </x:c>
      <x:c r="G94" s="2" t="str">
        <x:v>TMF-087</x:v>
      </x:c>
    </x:row>
    <x:row r="95" ht="32" customHeight="1">
      <x:c r="A95" s="9" t="n">
        <x:v>87</x:v>
      </x:c>
      <x:c r="B95" s="8" t="str">
        <x:v>อาลีบาบา ราเมงเส้นสด</x:v>
      </x:c>
      <x:c r="C95" s="8" t="str">
        <x:v>กรุงเทพมหานคร</x:v>
      </x:c>
      <x:c r="D95" s="8" t="str">
        <x:v>พร้อมขาย</x:v>
      </x:c>
      <x:c r="E95" s="8" t="str">
        <x:v>ร้านอาหารและคาเฟ่</x:v>
      </x:c>
      <x:c r="F95" s="11" t="n">
        <x:v>46315</x:v>
      </x:c>
      <x:c r="G95" s="2" t="str">
        <x:v>TMF-088</x:v>
      </x:c>
    </x:row>
    <x:row r="96" ht="32" customHeight="1">
      <x:c r="A96" s="9" t="n">
        <x:v>88</x:v>
      </x:c>
      <x:c r="B96" s="8" t="str">
        <x:v>อาไบมาโคขุน สาขา2</x:v>
      </x:c>
      <x:c r="C96" s="8" t="str">
        <x:v>กรุงเทพมหานคร</x:v>
      </x:c>
      <x:c r="D96" s="8" t="str">
        <x:v>พร้อมขาย</x:v>
      </x:c>
      <x:c r="E96" s="8" t="str">
        <x:v>ร้านอาหารและคาเฟ่</x:v>
      </x:c>
      <x:c r="F96" s="11" t="n">
        <x:v>46315</x:v>
      </x:c>
      <x:c r="G96" s="2" t="str">
        <x:v>TMF-089</x:v>
      </x:c>
    </x:row>
    <x:row r="97" ht="32" customHeight="1">
      <x:c r="A97" s="9" t="n">
        <x:v>89</x:v>
      </x:c>
      <x:c r="B97" s="8" t="str">
        <x:v>เจริญบัง สุกี้ ฮาลาล</x:v>
      </x:c>
      <x:c r="C97" s="8" t="str">
        <x:v>กรุงเทพมหานคร</x:v>
      </x:c>
      <x:c r="D97" s="8" t="str">
        <x:v>พร้อมขาย</x:v>
      </x:c>
      <x:c r="E97" s="8" t="str">
        <x:v>ร้านอาหารและคาเฟ่</x:v>
      </x:c>
      <x:c r="F97" s="11" t="n">
        <x:v>46315</x:v>
      </x:c>
      <x:c r="G97" s="2" t="str">
        <x:v>TMF-090</x:v>
      </x:c>
    </x:row>
    <x:row r="98" ht="32" customHeight="1">
      <x:c r="A98" s="9" t="n">
        <x:v>90</x:v>
      </x:c>
      <x:c r="B98" s="8" t="str">
        <x:v>เซี้ยะ ข้าวมันไก่ สูตรเบตง - สาขามีนบุรี حلا</x:v>
      </x:c>
      <x:c r="C98" s="8" t="str">
        <x:v>กรุงเทพมหานคร</x:v>
      </x:c>
      <x:c r="D98" s="8" t="str">
        <x:v>พร้อมขาย</x:v>
      </x:c>
      <x:c r="E98" s="8" t="str">
        <x:v>ร้านอาหารและคาเฟ่</x:v>
      </x:c>
      <x:c r="F98" s="11" t="n">
        <x:v>46315</x:v>
      </x:c>
      <x:c r="G98" s="2" t="str">
        <x:v>TMF-091</x:v>
      </x:c>
    </x:row>
    <x:row r="99" ht="32" customHeight="1">
      <x:c r="A99" s="9" t="n">
        <x:v>91</x:v>
      </x:c>
      <x:c r="B99" s="8" t="str">
        <x:v>เทียนถังหม่าล่า สาขา OR Space รามคำแหง 129</x:v>
      </x:c>
      <x:c r="C99" s="8" t="str">
        <x:v>กรุงเทพมหานคร</x:v>
      </x:c>
      <x:c r="D99" s="8" t="str">
        <x:v>พร้อมขาย</x:v>
      </x:c>
      <x:c r="E99" s="8" t="str">
        <x:v>ร้านอาหารและคาเฟ่</x:v>
      </x:c>
      <x:c r="F99" s="11" t="n">
        <x:v>46315</x:v>
      </x:c>
      <x:c r="G99" s="2" t="str">
        <x:v>TMF-092</x:v>
      </x:c>
    </x:row>
    <x:row r="100" ht="32" customHeight="1">
      <x:c r="A100" s="9" t="n">
        <x:v>92</x:v>
      </x:c>
      <x:c r="B100" s="8" t="str">
        <x:v>เย็นตาโฟโก๋ยา สาขา 2 พัฒนาการ</x:v>
      </x:c>
      <x:c r="C100" s="8" t="str">
        <x:v>กรุงเทพมหานคร</x:v>
      </x:c>
      <x:c r="D100" s="8" t="str">
        <x:v>พร้อมขาย</x:v>
      </x:c>
      <x:c r="E100" s="8" t="str">
        <x:v>ร้านอาหารและคาเฟ่</x:v>
      </x:c>
      <x:c r="F100" s="11" t="n">
        <x:v>46315</x:v>
      </x:c>
      <x:c r="G100" s="2" t="str">
        <x:v>TMF-093</x:v>
      </x:c>
    </x:row>
    <x:row r="101" ht="32" customHeight="1">
      <x:c r="A101" s="9" t="n">
        <x:v>93</x:v>
      </x:c>
      <x:c r="B101" s="8" t="str">
        <x:v>เหล่าม่า ฮาลาล โจ๊กฮ่องกง ติ่มซำกุ้งเด้ง</x:v>
      </x:c>
      <x:c r="C101" s="8" t="str">
        <x:v>กรุงเทพมหานคร</x:v>
      </x:c>
      <x:c r="D101" s="8" t="str">
        <x:v>พร้อมขาย</x:v>
      </x:c>
      <x:c r="E101" s="8" t="str">
        <x:v>ร้านอาหารและคาเฟ่</x:v>
      </x:c>
      <x:c r="F101" s="11" t="n">
        <x:v>46315</x:v>
      </x:c>
      <x:c r="G101" s="2" t="str">
        <x:v>TMF-094</x:v>
      </x:c>
    </x:row>
    <x:row r="102" ht="32" customHeight="1">
      <x:c r="A102" s="9" t="n">
        <x:v>94</x:v>
      </x:c>
      <x:c r="B102" s="8" t="str">
        <x:v>แมนดาริน สุกี้&amp;ติ่มซำ สาขา พระราม9-รามคำแหง</x:v>
      </x:c>
      <x:c r="C102" s="8" t="str">
        <x:v>กรุงเทพมหานคร</x:v>
      </x:c>
      <x:c r="D102" s="8" t="str">
        <x:v>พร้อมขาย</x:v>
      </x:c>
      <x:c r="E102" s="8" t="str">
        <x:v>ร้านอาหารและคาเฟ่</x:v>
      </x:c>
      <x:c r="F102" s="11" t="n">
        <x:v>46315</x:v>
      </x:c>
      <x:c r="G102" s="2" t="str">
        <x:v>TMF-095</x:v>
      </x:c>
    </x:row>
    <x:row r="103" ht="32" customHeight="1">
      <x:c r="A103" s="9" t="n">
        <x:v>95</x:v>
      </x:c>
      <x:c r="B103" s="8" t="str">
        <x:v>แมนดาริน สุกี้&amp;ติ่มซำ สาขา เดอะมอลล์ไลฟ์สโตร์ บางกะปิ</x:v>
      </x:c>
      <x:c r="C103" s="8" t="str">
        <x:v>กรุงเทพมหานคร</x:v>
      </x:c>
      <x:c r="D103" s="8" t="str">
        <x:v>พร้อมขาย</x:v>
      </x:c>
      <x:c r="E103" s="8" t="str">
        <x:v>ร้านอาหารและคาเฟ่</x:v>
      </x:c>
      <x:c r="F103" s="11" t="n">
        <x:v>46315</x:v>
      </x:c>
      <x:c r="G103" s="2" t="str">
        <x:v>TMF-096</x:v>
      </x:c>
    </x:row>
    <x:row r="104" ht="32" customHeight="1">
      <x:c r="A104" s="9" t="n">
        <x:v>96</x:v>
      </x:c>
      <x:c r="B104" s="8" t="str">
        <x:v>เซ็นทรัลเวิลด์</x:v>
      </x:c>
      <x:c r="C104" s="8" t="str">
        <x:v>กรุงเทพมหานคร</x:v>
      </x:c>
      <x:c r="D104" s="8" t="str">
        <x:v>พร้อมขาย</x:v>
      </x:c>
      <x:c r="E104" s="8" t="str">
        <x:v>ศูนย์การค้า</x:v>
      </x:c>
      <x:c r="F104" s="11" t="n">
        <x:v>46315</x:v>
      </x:c>
      <x:c r="G104" s="2" t="str">
        <x:v>TMF-098</x:v>
      </x:c>
    </x:row>
    <x:row r="105" ht="32" customHeight="1">
      <x:c r="A105" s="9" t="n">
        <x:v>97</x:v>
      </x:c>
      <x:c r="B105" s="8" t="str">
        <x:v>Nanthawan park 888</x:v>
      </x:c>
      <x:c r="C105" s="8" t="str">
        <x:v>ฉะเชิงเทรา</x:v>
      </x:c>
      <x:c r="D105" s="8" t="str">
        <x:v>พร้อมขาย</x:v>
      </x:c>
      <x:c r="E105" s="8" t="str">
        <x:v>ที่พัก</x:v>
      </x:c>
      <x:c r="F105" s="11" t="n">
        <x:v>46315</x:v>
      </x:c>
      <x:c r="G105" s="2" t="str">
        <x:v>TMF-099</x:v>
      </x:c>
    </x:row>
    <x:row r="106" ht="32" customHeight="1">
      <x:c r="A106" s="9" t="n">
        <x:v>98</x:v>
      </x:c>
      <x:c r="B106" s="8" t="str">
        <x:v>บังคอลิดน้ำลำไยสด</x:v>
      </x:c>
      <x:c r="C106" s="8" t="str">
        <x:v>ฉะเชิงเทรา</x:v>
      </x:c>
      <x:c r="D106" s="8" t="str">
        <x:v>พร้อมขาย</x:v>
      </x:c>
      <x:c r="E106" s="8" t="str">
        <x:v>ร้านอาหารและคาเฟ่</x:v>
      </x:c>
      <x:c r="F106" s="11" t="n">
        <x:v>46315</x:v>
      </x:c>
      <x:c r="G106" s="2" t="str">
        <x:v>TMF-100</x:v>
      </x:c>
    </x:row>
    <x:row r="107" ht="32" customHeight="1">
      <x:c r="A107" s="9" t="n">
        <x:v>99</x:v>
      </x:c>
      <x:c r="B107" s="8" t="str">
        <x:v>บ้านผู้การ DZEN Home Station</x:v>
      </x:c>
      <x:c r="C107" s="8" t="str">
        <x:v>ฉะเชิงเทรา</x:v>
      </x:c>
      <x:c r="D107" s="8" t="str">
        <x:v>พร้อมขาย</x:v>
      </x:c>
      <x:c r="E107" s="8" t="str">
        <x:v>ที่พัก</x:v>
      </x:c>
      <x:c r="F107" s="11" t="n">
        <x:v>46315</x:v>
      </x:c>
      <x:c r="G107" s="2" t="str">
        <x:v>TMF-101</x:v>
      </x:c>
    </x:row>
    <x:row r="108" ht="32" customHeight="1">
      <x:c r="A108" s="9" t="n">
        <x:v>100</x:v>
      </x:c>
      <x:c r="B108" s="8" t="str">
        <x:v>รอเธอมา คาเฟ่</x:v>
      </x:c>
      <x:c r="C108" s="8" t="str">
        <x:v>ฉะเชิงเทรา</x:v>
      </x:c>
      <x:c r="D108" s="8" t="str">
        <x:v>พร้อมขาย</x:v>
      </x:c>
      <x:c r="E108" s="8" t="str">
        <x:v>ร้านอาหารและคาเฟ่</x:v>
      </x:c>
      <x:c r="F108" s="11" t="n">
        <x:v>46315</x:v>
      </x:c>
      <x:c r="G108" s="2" t="str">
        <x:v>TMF-102</x:v>
      </x:c>
    </x:row>
    <x:row r="109" ht="32" customHeight="1">
      <x:c r="A109" s="9" t="n">
        <x:v>101</x:v>
      </x:c>
      <x:c r="B109" s="8" t="str">
        <x:v>แมนดาริน สุกี้&amp;ติ่มซำ สาขา โรบินสัน ฉะเชิงเทรา</x:v>
      </x:c>
      <x:c r="C109" s="8" t="str">
        <x:v>ฉะเชิงเทรา</x:v>
      </x:c>
      <x:c r="D109" s="8" t="str">
        <x:v>พร้อมขาย</x:v>
      </x:c>
      <x:c r="E109" s="8" t="str">
        <x:v>ร้านอาหารและคาเฟ่</x:v>
      </x:c>
      <x:c r="F109" s="11" t="n">
        <x:v>46315</x:v>
      </x:c>
      <x:c r="G109" s="2" t="str">
        <x:v>TMF-103</x:v>
      </x:c>
    </x:row>
    <x:row r="110" ht="32" customHeight="1">
      <x:c r="A110" s="9" t="n">
        <x:v>102</x:v>
      </x:c>
      <x:c r="B110" s="8" t="str">
        <x:v>LANA House and Hill Homestay</x:v>
      </x:c>
      <x:c r="C110" s="8" t="str">
        <x:v>ชลบุรี</x:v>
      </x:c>
      <x:c r="D110" s="8" t="str">
        <x:v>พร้อมขาย</x:v>
      </x:c>
      <x:c r="E110" s="8" t="str">
        <x:v>ที่พัก</x:v>
      </x:c>
      <x:c r="F110" s="11" t="n">
        <x:v>46315</x:v>
      </x:c>
      <x:c r="G110" s="2" t="str">
        <x:v>TMF-104</x:v>
      </x:c>
    </x:row>
    <x:row r="111" ht="32" customHeight="1">
      <x:c r="A111" s="9" t="n">
        <x:v>103</x:v>
      </x:c>
      <x:c r="B111" s="8" t="str">
        <x:v>Nida House &amp; Hotel</x:v>
      </x:c>
      <x:c r="C111" s="8" t="str">
        <x:v>ชลบุรี</x:v>
      </x:c>
      <x:c r="D111" s="8" t="str">
        <x:v>พร้อมขาย</x:v>
      </x:c>
      <x:c r="E111" s="8" t="str">
        <x:v>ที่พัก</x:v>
      </x:c>
      <x:c r="F111" s="11" t="n">
        <x:v>46315</x:v>
      </x:c>
      <x:c r="G111" s="2" t="str">
        <x:v>TMF-105</x:v>
      </x:c>
    </x:row>
    <x:row r="112" ht="32" customHeight="1">
      <x:c r="A112" s="9" t="n">
        <x:v>104</x:v>
      </x:c>
      <x:c r="B112" s="8" t="str">
        <x:v>P-Park Hotel Pattaya</x:v>
      </x:c>
      <x:c r="C112" s="8" t="str">
        <x:v>ชลบุรี</x:v>
      </x:c>
      <x:c r="D112" s="8" t="str">
        <x:v>พร้อมขาย</x:v>
      </x:c>
      <x:c r="E112" s="8" t="str">
        <x:v>ที่พัก</x:v>
      </x:c>
      <x:c r="F112" s="11" t="n">
        <x:v>46315</x:v>
      </x:c>
      <x:c r="G112" s="2" t="str">
        <x:v>TMF-106</x:v>
      </x:c>
    </x:row>
    <x:row r="113" ht="32" customHeight="1">
      <x:c r="A113" s="9" t="n">
        <x:v>105</x:v>
      </x:c>
      <x:c r="B113" s="8" t="str">
        <x:v>Farida House - ฟาริดาเฮ้าส์</x:v>
      </x:c>
      <x:c r="C113" s="8" t="str">
        <x:v>ชลบุรี</x:v>
      </x:c>
      <x:c r="D113" s="8" t="str">
        <x:v>พร้อมขาย</x:v>
      </x:c>
      <x:c r="E113" s="8" t="str">
        <x:v>ที่พัก</x:v>
      </x:c>
      <x:c r="F113" s="11" t="n">
        <x:v>46315</x:v>
      </x:c>
      <x:c r="G113" s="2" t="str">
        <x:v>TMF-107</x:v>
      </x:c>
    </x:row>
    <x:row r="114" ht="32" customHeight="1">
      <x:c r="A114" s="9" t="n">
        <x:v>106</x:v>
      </x:c>
      <x:c r="B114" s="8" t="str">
        <x:v>FindyHome Sattahip Poolvilla</x:v>
      </x:c>
      <x:c r="C114" s="8" t="str">
        <x:v>ชลบุรี</x:v>
      </x:c>
      <x:c r="D114" s="8" t="str">
        <x:v>พร้อมขาย</x:v>
      </x:c>
      <x:c r="E114" s="8" t="str">
        <x:v>ร้านอาหารและคาเฟ่</x:v>
      </x:c>
      <x:c r="F114" s="11" t="n">
        <x:v>46315</x:v>
      </x:c>
      <x:c r="G114" s="2" t="str">
        <x:v>TMF-108</x:v>
      </x:c>
    </x:row>
    <x:row r="115" ht="32" customHeight="1">
      <x:c r="A115" s="9" t="n">
        <x:v>107</x:v>
      </x:c>
      <x:c r="B115" s="8" t="str">
        <x:v>Noursabah Pattaya - ณุศบา พัทยา</x:v>
      </x:c>
      <x:c r="C115" s="8" t="str">
        <x:v>ชลบุรี</x:v>
      </x:c>
      <x:c r="D115" s="8" t="str">
        <x:v>พร้อมขาย</x:v>
      </x:c>
      <x:c r="E115" s="8" t="str">
        <x:v>ที่พัก</x:v>
      </x:c>
      <x:c r="F115" s="11" t="n">
        <x:v>46315</x:v>
      </x:c>
      <x:c r="G115" s="2" t="str">
        <x:v>TMF-109</x:v>
      </x:c>
    </x:row>
    <x:row r="116" ht="32" customHeight="1">
      <x:c r="A116" s="9" t="n">
        <x:v>108</x:v>
      </x:c>
      <x:c r="B116" s="8" t="str">
        <x:v>Pattaya Bed Boutique</x:v>
      </x:c>
      <x:c r="C116" s="8" t="str">
        <x:v>ชลบุรี</x:v>
      </x:c>
      <x:c r="D116" s="8" t="str">
        <x:v>พร้อมขาย</x:v>
      </x:c>
      <x:c r="E116" s="8" t="str">
        <x:v>ที่พัก</x:v>
      </x:c>
      <x:c r="F116" s="11" t="n">
        <x:v>46315</x:v>
      </x:c>
      <x:c r="G116" s="2" t="str">
        <x:v>TMF-110</x:v>
      </x:c>
    </x:row>
    <x:row r="117" ht="32" customHeight="1">
      <x:c r="A117" s="9" t="n">
        <x:v>109</x:v>
      </x:c>
      <x:c r="B117" s="8" t="str">
        <x:v>Valida Cottage</x:v>
      </x:c>
      <x:c r="C117" s="8" t="str">
        <x:v>ชลบุรี</x:v>
      </x:c>
      <x:c r="D117" s="8" t="str">
        <x:v>พร้อมขาย</x:v>
      </x:c>
      <x:c r="E117" s="8" t="str">
        <x:v>ที่พัก</x:v>
      </x:c>
      <x:c r="F117" s="11" t="n">
        <x:v>46315</x:v>
      </x:c>
      <x:c r="G117" s="2" t="str">
        <x:v>TMF-111</x:v>
      </x:c>
    </x:row>
    <x:row r="118" ht="32" customHeight="1">
      <x:c r="A118" s="9" t="n">
        <x:v>110</x:v>
      </x:c>
      <x:c r="B118" s="8" t="str">
        <x:v>ข้าว-ยำ ทำถึง</x:v>
      </x:c>
      <x:c r="C118" s="8" t="str">
        <x:v>ชลบุรี</x:v>
      </x:c>
      <x:c r="D118" s="8" t="str">
        <x:v>พร้อมขาย</x:v>
      </x:c>
      <x:c r="E118" s="8" t="str">
        <x:v>ร้านอาหารและคาเฟ่</x:v>
      </x:c>
      <x:c r="F118" s="11" t="n">
        <x:v>46315</x:v>
      </x:c>
      <x:c r="G118" s="2" t="str">
        <x:v>TMF-112</x:v>
      </x:c>
    </x:row>
    <x:row r="119" ht="32" customHeight="1">
      <x:c r="A119" s="9" t="n">
        <x:v>111</x:v>
      </x:c>
      <x:c r="B119" s="8" t="str">
        <x:v>พูลวิลล่า ครัวไทรงามพัทยา</x:v>
      </x:c>
      <x:c r="C119" s="8" t="str">
        <x:v>ชลบุรี</x:v>
      </x:c>
      <x:c r="D119" s="8" t="str">
        <x:v>พร้อมขาย</x:v>
      </x:c>
      <x:c r="E119" s="8" t="str">
        <x:v>ร้านอาหารและคาเฟ่</x:v>
      </x:c>
      <x:c r="F119" s="11" t="n">
        <x:v>46315</x:v>
      </x:c>
      <x:c r="G119" s="2" t="str">
        <x:v>TMF-113</x:v>
      </x:c>
    </x:row>
    <x:row r="120" ht="32" customHeight="1">
      <x:c r="A120" s="9" t="n">
        <x:v>112</x:v>
      </x:c>
      <x:c r="B120" s="8" t="str">
        <x:v>ไก่ทอดอินโด บูดายามลายู  พัทยา</x:v>
      </x:c>
      <x:c r="C120" s="8" t="str">
        <x:v>ชลบุรี</x:v>
      </x:c>
      <x:c r="D120" s="8" t="str">
        <x:v>พร้อมขาย</x:v>
      </x:c>
      <x:c r="E120" s="8" t="str">
        <x:v>ร้านอาหารและคาเฟ่</x:v>
      </x:c>
      <x:c r="F120" s="11" t="n">
        <x:v>46315</x:v>
      </x:c>
      <x:c r="G120" s="2" t="str">
        <x:v>TMF-114</x:v>
      </x:c>
    </x:row>
    <x:row r="121" ht="32" customHeight="1">
      <x:c r="A121" s="9" t="n">
        <x:v>113</x:v>
      </x:c>
      <x:c r="B121" s="8" t="str">
        <x:v>Fisherman's Kitchen on The Beach Hala food ครัวชาวประมง</x:v>
      </x:c>
      <x:c r="C121" s="8" t="str">
        <x:v>ตรัง</x:v>
      </x:c>
      <x:c r="D121" s="8" t="str">
        <x:v>พร้อมขาย</x:v>
      </x:c>
      <x:c r="E121" s="8" t="str">
        <x:v>ร้านอาหารและคาเฟ่</x:v>
      </x:c>
      <x:c r="F121" s="11" t="n">
        <x:v>46315</x:v>
      </x:c>
      <x:c r="G121" s="2" t="str">
        <x:v>TMF-115</x:v>
      </x:c>
    </x:row>
    <x:row r="122" ht="32" customHeight="1">
      <x:c r="A122" s="9" t="n">
        <x:v>114</x:v>
      </x:c>
      <x:c r="B122" s="8" t="str">
        <x:v>Coconut Beach Resort Koh Chang</x:v>
      </x:c>
      <x:c r="C122" s="8" t="str">
        <x:v>ตราด</x:v>
      </x:c>
      <x:c r="D122" s="8" t="str">
        <x:v>พร้อมขาย</x:v>
      </x:c>
      <x:c r="E122" s="8" t="str">
        <x:v>ที่พัก</x:v>
      </x:c>
      <x:c r="F122" s="11" t="n">
        <x:v>46315</x:v>
      </x:c>
      <x:c r="G122" s="2" t="str">
        <x:v>TMF-116</x:v>
      </x:c>
    </x:row>
    <x:row r="123" ht="32" customHeight="1">
      <x:c r="A123" s="9" t="n">
        <x:v>115</x:v>
      </x:c>
      <x:c r="B123" s="8" t="str">
        <x:v>อาหารมุสลิม เกาะช้าง</x:v>
      </x:c>
      <x:c r="C123" s="8" t="str">
        <x:v>ตราด</x:v>
      </x:c>
      <x:c r="D123" s="8" t="str">
        <x:v>พร้อมขาย</x:v>
      </x:c>
      <x:c r="E123" s="8" t="str">
        <x:v>ร้านอาหารและคาเฟ่</x:v>
      </x:c>
      <x:c r="F123" s="11" t="n">
        <x:v>46315</x:v>
      </x:c>
      <x:c r="G123" s="2" t="str">
        <x:v>TMF-117</x:v>
      </x:c>
    </x:row>
    <x:row r="124" ht="32" customHeight="1">
      <x:c r="A124" s="9" t="n">
        <x:v>116</x:v>
      </x:c>
      <x:c r="B124" s="8" t="str">
        <x:v>Ninland Resort</x:v>
      </x:c>
      <x:c r="C124" s="8" t="str">
        <x:v>นครนายก</x:v>
      </x:c>
      <x:c r="D124" s="8" t="str">
        <x:v>พร้อมขาย</x:v>
      </x:c>
      <x:c r="E124" s="8" t="str">
        <x:v>ที่พัก</x:v>
      </x:c>
      <x:c r="F124" s="11" t="n">
        <x:v>46315</x:v>
      </x:c>
      <x:c r="G124" s="2" t="str">
        <x:v>TMF-118</x:v>
      </x:c>
    </x:row>
    <x:row r="125" ht="32" customHeight="1">
      <x:c r="A125" s="9" t="n">
        <x:v>117</x:v>
      </x:c>
      <x:c r="B125" s="8" t="str">
        <x:v>ขุนด่านอีโค รีสอร์ท&amp;ข้าวหมกบ้านเขื่อน Halal Food นครนายก</x:v>
      </x:c>
      <x:c r="C125" s="8" t="str">
        <x:v>นครนายก</x:v>
      </x:c>
      <x:c r="D125" s="8" t="str">
        <x:v>พร้อมขาย</x:v>
      </x:c>
      <x:c r="E125" s="8" t="str">
        <x:v>ที่พัก</x:v>
      </x:c>
      <x:c r="F125" s="11" t="n">
        <x:v>46315</x:v>
      </x:c>
      <x:c r="G125" s="2" t="str">
        <x:v>TMF-119</x:v>
      </x:c>
    </x:row>
    <x:row r="126" ht="32" customHeight="1">
      <x:c r="A126" s="9" t="n">
        <x:v>118</x:v>
      </x:c>
      <x:c r="B126" s="8" t="str">
        <x:v>แสงวิมานรีสอร์ท</x:v>
      </x:c>
      <x:c r="C126" s="8" t="str">
        <x:v>นครนายก</x:v>
      </x:c>
      <x:c r="D126" s="8" t="str">
        <x:v>พร้อมขาย</x:v>
      </x:c>
      <x:c r="E126" s="8" t="str">
        <x:v>ที่พัก</x:v>
      </x:c>
      <x:c r="F126" s="11" t="n">
        <x:v>46315</x:v>
      </x:c>
      <x:c r="G126" s="2" t="str">
        <x:v>TMF-120</x:v>
      </x:c>
    </x:row>
    <x:row r="127" ht="32" customHeight="1">
      <x:c r="A127" s="9" t="n">
        <x:v>119</x:v>
      </x:c>
      <x:c r="B127" s="8" t="str">
        <x:v>สวนทันใด</x:v>
      </x:c>
      <x:c r="C127" s="8" t="str">
        <x:v>นครนายก</x:v>
      </x:c>
      <x:c r="D127" s="8" t="str">
        <x:v>พร้อมขาย</x:v>
      </x:c>
      <x:c r="E127" s="8" t="str">
        <x:v>ร้านอาหารและคาเฟ่</x:v>
      </x:c>
      <x:c r="F127" s="11" t="n">
        <x:v>46315</x:v>
      </x:c>
      <x:c r="G127" s="2" t="str">
        <x:v>TMF-121</x:v>
      </x:c>
    </x:row>
    <x:row r="128" ht="32" customHeight="1">
      <x:c r="A128" s="9" t="n">
        <x:v>120</x:v>
      </x:c>
      <x:c r="B128" s="8" t="str">
        <x:v>ผาส่งตะวัน โฮมสเตย์</x:v>
      </x:c>
      <x:c r="C128" s="8" t="str">
        <x:v>นครราชสีมา</x:v>
      </x:c>
      <x:c r="D128" s="8" t="str">
        <x:v>พร้อมขาย</x:v>
      </x:c>
      <x:c r="E128" s="8" t="str">
        <x:v>ที่พัก</x:v>
      </x:c>
      <x:c r="F128" s="11" t="n">
        <x:v>46315</x:v>
      </x:c>
      <x:c r="G128" s="2" t="str">
        <x:v>TMF-122</x:v>
      </x:c>
    </x:row>
    <x:row r="129" ht="32" customHeight="1">
      <x:c r="A129" s="9" t="n">
        <x:v>121</x:v>
      </x:c>
      <x:c r="B129" s="8" t="str">
        <x:v>ไร่จูซาโฮมสเตย์ เขายายเที่ยง</x:v>
      </x:c>
      <x:c r="C129" s="8" t="str">
        <x:v>นครราชสีมา</x:v>
      </x:c>
      <x:c r="D129" s="8" t="str">
        <x:v>พร้อมขาย</x:v>
      </x:c>
      <x:c r="E129" s="8" t="str">
        <x:v>ที่พัก</x:v>
      </x:c>
      <x:c r="F129" s="11" t="n">
        <x:v>46315</x:v>
      </x:c>
      <x:c r="G129" s="2" t="str">
        <x:v>TMF-123</x:v>
      </x:c>
    </x:row>
    <x:row r="130" ht="32" customHeight="1">
      <x:c r="A130" s="9" t="n">
        <x:v>122</x:v>
      </x:c>
      <x:c r="B130" s="8" t="str">
        <x:v>Barakas By Asmar อิสลามตลาดแขก อ.ปากช่อง</x:v>
      </x:c>
      <x:c r="C130" s="8" t="str">
        <x:v>นครราชสีมา</x:v>
      </x:c>
      <x:c r="D130" s="8" t="str">
        <x:v>พร้อมขาย</x:v>
      </x:c>
      <x:c r="E130" s="8" t="str">
        <x:v>ร้านอาหารและคาเฟ่</x:v>
      </x:c>
      <x:c r="F130" s="11" t="n">
        <x:v>46315</x:v>
      </x:c>
      <x:c r="G130" s="2" t="str">
        <x:v>TMF-124</x:v>
      </x:c>
    </x:row>
    <x:row r="131" ht="32" customHeight="1">
      <x:c r="A131" s="9" t="n">
        <x:v>123</x:v>
      </x:c>
      <x:c r="B131" s="8" t="str">
        <x:v>Cafe Style Chan Carpentry</x:v>
      </x:c>
      <x:c r="C131" s="8" t="str">
        <x:v>นครราชสีมา</x:v>
      </x:c>
      <x:c r="D131" s="8" t="str">
        <x:v>พร้อมขาย</x:v>
      </x:c>
      <x:c r="E131" s="8" t="str">
        <x:v>ร้านอาหารและคาเฟ่</x:v>
      </x:c>
      <x:c r="F131" s="11" t="n">
        <x:v>46315</x:v>
      </x:c>
      <x:c r="G131" s="2" t="str">
        <x:v>TMF-125</x:v>
      </x:c>
    </x:row>
    <x:row r="132" ht="32" customHeight="1">
      <x:c r="A132" s="9" t="n">
        <x:v>124</x:v>
      </x:c>
      <x:c r="B132" s="8" t="str">
        <x:v>Halal ครัวบังบิ๊ก เขาใหญ่</x:v>
      </x:c>
      <x:c r="C132" s="8" t="str">
        <x:v>นครราชสีมา</x:v>
      </x:c>
      <x:c r="D132" s="8" t="str">
        <x:v>พร้อมขาย</x:v>
      </x:c>
      <x:c r="E132" s="8" t="str">
        <x:v>ร้านอาหารและคาเฟ่</x:v>
      </x:c>
      <x:c r="F132" s="11" t="n">
        <x:v>46315</x:v>
      </x:c>
      <x:c r="G132" s="2" t="str">
        <x:v>TMF-126</x:v>
      </x:c>
    </x:row>
    <x:row r="133" ht="32" customHeight="1">
      <x:c r="A133" s="9" t="n">
        <x:v>125</x:v>
      </x:c>
      <x:c r="B133" s="8" t="str">
        <x:v>PICNIC CAMP เขายายเที่ยง</x:v>
      </x:c>
      <x:c r="C133" s="8" t="str">
        <x:v>นครราชสีมา</x:v>
      </x:c>
      <x:c r="D133" s="8" t="str">
        <x:v>พร้อมขาย</x:v>
      </x:c>
      <x:c r="E133" s="8" t="str">
        <x:v>ที่พัก</x:v>
      </x:c>
      <x:c r="F133" s="11" t="n">
        <x:v>46315</x:v>
      </x:c>
      <x:c r="G133" s="2" t="str">
        <x:v>TMF-127</x:v>
      </x:c>
    </x:row>
    <x:row r="134" ht="32" customHeight="1">
      <x:c r="A134" s="9" t="n">
        <x:v>126</x:v>
      </x:c>
      <x:c r="B134" s="8" t="str">
        <x:v>SALASA HALAL KHAOYAI</x:v>
      </x:c>
      <x:c r="C134" s="8" t="str">
        <x:v>นครราชสีมา</x:v>
      </x:c>
      <x:c r="D134" s="8" t="str">
        <x:v>พร้อมขาย</x:v>
      </x:c>
      <x:c r="E134" s="8" t="str">
        <x:v>ร้านอาหารและคาเฟ่</x:v>
      </x:c>
      <x:c r="F134" s="11" t="n">
        <x:v>46315</x:v>
      </x:c>
      <x:c r="G134" s="2" t="str">
        <x:v>TMF-128</x:v>
      </x:c>
    </x:row>
    <x:row r="135" ht="32" customHeight="1">
      <x:c r="A135" s="9" t="n">
        <x:v>127</x:v>
      </x:c>
      <x:c r="B135" s="8" t="str">
        <x:v>ขนมบ้านคลอเดียร์ หลักกม.9 เขายายเที่ยงใต้</x:v>
      </x:c>
      <x:c r="C135" s="8" t="str">
        <x:v>นครราชสีมา</x:v>
      </x:c>
      <x:c r="D135" s="8" t="str">
        <x:v>พร้อมขาย</x:v>
      </x:c>
      <x:c r="E135" s="8" t="str">
        <x:v>ร้านอาหารและคาเฟ่</x:v>
      </x:c>
      <x:c r="F135" s="11" t="n">
        <x:v>46315</x:v>
      </x:c>
      <x:c r="G135" s="2" t="str">
        <x:v>TMF-129</x:v>
      </x:c>
    </x:row>
    <x:row r="136" ht="32" customHeight="1">
      <x:c r="A136" s="9" t="n">
        <x:v>128</x:v>
      </x:c>
      <x:c r="B136" s="8" t="str">
        <x:v>ครัวอินดี้เขาใหญ่ อาหารปักษ์ใต้ ฮาลาล</x:v>
      </x:c>
      <x:c r="C136" s="8" t="str">
        <x:v>นครราชสีมา</x:v>
      </x:c>
      <x:c r="D136" s="8" t="str">
        <x:v>พร้อมขาย</x:v>
      </x:c>
      <x:c r="E136" s="8" t="str">
        <x:v>ร้านอาหารและคาเฟ่</x:v>
      </x:c>
      <x:c r="F136" s="11" t="n">
        <x:v>46315</x:v>
      </x:c>
      <x:c r="G136" s="2" t="str">
        <x:v>TMF-130</x:v>
      </x:c>
    </x:row>
    <x:row r="137" ht="32" customHeight="1">
      <x:c r="A137" s="9" t="n">
        <x:v>129</x:v>
      </x:c>
      <x:c r="B137" s="8" t="str">
        <x:v>บ้านกังหันวัลเล่ย์ แคมป์ปิ้ง&amp;ฮาลาลฟู้ด</x:v>
      </x:c>
      <x:c r="C137" s="8" t="str">
        <x:v>นครราชสีมา</x:v>
      </x:c>
      <x:c r="D137" s="8" t="str">
        <x:v>พร้อมขาย</x:v>
      </x:c>
      <x:c r="E137" s="8" t="str">
        <x:v>ร้านอาหารและคาเฟ่</x:v>
      </x:c>
      <x:c r="F137" s="11" t="n">
        <x:v>46315</x:v>
      </x:c>
      <x:c r="G137" s="2" t="str">
        <x:v>TMF-131</x:v>
      </x:c>
    </x:row>
    <x:row r="138" ht="32" customHeight="1">
      <x:c r="A138" s="9" t="n">
        <x:v>130</x:v>
      </x:c>
      <x:c r="B138" s="8" t="str">
        <x:v>ป้าจันทร์ฮาลาล ช้างเผือก</x:v>
      </x:c>
      <x:c r="C138" s="8" t="str">
        <x:v>นครราชสีมา</x:v>
      </x:c>
      <x:c r="D138" s="8" t="str">
        <x:v>พร้อมขาย</x:v>
      </x:c>
      <x:c r="E138" s="8" t="str">
        <x:v>ร้านอาหารและคาเฟ่</x:v>
      </x:c>
      <x:c r="F138" s="11" t="n">
        <x:v>46315</x:v>
      </x:c>
      <x:c r="G138" s="2" t="str">
        <x:v>TMF-132</x:v>
      </x:c>
    </x:row>
    <x:row r="139" ht="32" customHeight="1">
      <x:c r="A139" s="9" t="n">
        <x:v>131</x:v>
      </x:c>
      <x:c r="B139" s="8" t="str">
        <x:v>ฟอสซิล แคมป์</x:v>
      </x:c>
      <x:c r="C139" s="8" t="str">
        <x:v>นครราชสีมา</x:v>
      </x:c>
      <x:c r="D139" s="8" t="str">
        <x:v>พร้อมขาย</x:v>
      </x:c>
      <x:c r="E139" s="8" t="str">
        <x:v>ร้านอาหารและคาเฟ่</x:v>
      </x:c>
      <x:c r="F139" s="11" t="n">
        <x:v>46315</x:v>
      </x:c>
      <x:c r="G139" s="2" t="str">
        <x:v>TMF-133</x:v>
      </x:c>
    </x:row>
    <x:row r="140" ht="32" customHeight="1">
      <x:c r="A140" s="9" t="n">
        <x:v>132</x:v>
      </x:c>
      <x:c r="B140" s="8" t="str">
        <x:v>ภูล้านดาวแคมป์ ณ เขายายเที่ยง</x:v>
      </x:c>
      <x:c r="C140" s="8" t="str">
        <x:v>นครราชสีมา</x:v>
      </x:c>
      <x:c r="D140" s="8" t="str">
        <x:v>พร้อมขาย</x:v>
      </x:c>
      <x:c r="E140" s="8" t="str">
        <x:v>ที่พัก</x:v>
      </x:c>
      <x:c r="F140" s="11" t="n">
        <x:v>46315</x:v>
      </x:c>
      <x:c r="G140" s="2" t="str">
        <x:v>TMF-135</x:v>
      </x:c>
    </x:row>
    <x:row r="141" ht="32" customHeight="1">
      <x:c r="A141" s="9" t="n">
        <x:v>133</x:v>
      </x:c>
      <x:c r="B141" s="8" t="str">
        <x:v>I Lay Resort Sichon</x:v>
      </x:c>
      <x:c r="C141" s="8" t="str">
        <x:v>นครศรีธรรมราช</x:v>
      </x:c>
      <x:c r="D141" s="8" t="str">
        <x:v>พร้อมขาย</x:v>
      </x:c>
      <x:c r="E141" s="8" t="str">
        <x:v>ที่พัก</x:v>
      </x:c>
      <x:c r="F141" s="11" t="n">
        <x:v>46315</x:v>
      </x:c>
      <x:c r="G141" s="2" t="str">
        <x:v>TMF-136</x:v>
      </x:c>
    </x:row>
    <x:row r="142" ht="32" customHeight="1">
      <x:c r="A142" s="9" t="n">
        <x:v>134</x:v>
      </x:c>
      <x:c r="B142" s="8" t="str">
        <x:v>Kamin Halal Kitchen House</x:v>
      </x:c>
      <x:c r="C142" s="8" t="str">
        <x:v>นครศรีธรรมราช</x:v>
      </x:c>
      <x:c r="D142" s="8" t="str">
        <x:v>พร้อมขาย</x:v>
      </x:c>
      <x:c r="E142" s="8" t="str">
        <x:v>ร้านอาหารและคาเฟ่</x:v>
      </x:c>
      <x:c r="F142" s="11" t="n">
        <x:v>46315</x:v>
      </x:c>
      <x:c r="G142" s="2" t="str">
        <x:v>TMF-138</x:v>
      </x:c>
    </x:row>
    <x:row r="143" ht="32" customHeight="1">
      <x:c r="A143" s="9" t="n">
        <x:v>135</x:v>
      </x:c>
      <x:c r="B143" s="8" t="str">
        <x:v>ของบังดี ฮาลาลช็อป นครศรีธรรมราช</x:v>
      </x:c>
      <x:c r="C143" s="8" t="str">
        <x:v>นครศรีธรรมราช</x:v>
      </x:c>
      <x:c r="D143" s="8" t="str">
        <x:v>พร้อมขาย</x:v>
      </x:c>
      <x:c r="E143" s="8" t="str">
        <x:v>ร้านอาหารและคาเฟ่</x:v>
      </x:c>
      <x:c r="F143" s="11" t="n">
        <x:v>46315</x:v>
      </x:c>
      <x:c r="G143" s="2" t="str">
        <x:v>TMF-139</x:v>
      </x:c>
    </x:row>
    <x:row r="144" ht="32" customHeight="1">
      <x:c r="A144" s="9" t="n">
        <x:v>136</x:v>
      </x:c>
      <x:c r="B144" s="8" t="str">
        <x:v>ข้าวซอยสุธินี</x:v>
      </x:c>
      <x:c r="C144" s="8" t="str">
        <x:v>นครศรีธรรมราช</x:v>
      </x:c>
      <x:c r="D144" s="8" t="str">
        <x:v>พร้อมขาย</x:v>
      </x:c>
      <x:c r="E144" s="8" t="str">
        <x:v>ร้านอาหารและคาเฟ่</x:v>
      </x:c>
      <x:c r="F144" s="11" t="n">
        <x:v>46315</x:v>
      </x:c>
      <x:c r="G144" s="2" t="str">
        <x:v>TMF-140</x:v>
      </x:c>
    </x:row>
    <x:row r="145" ht="32" customHeight="1">
      <x:c r="A145" s="9" t="n">
        <x:v>137</x:v>
      </x:c>
      <x:c r="B145" s="8" t="str">
        <x:v>จันทร์เจ้าขา ร้านอาหาร นครศรีธรรมราช</x:v>
      </x:c>
      <x:c r="C145" s="8" t="str">
        <x:v>นครศรีธรรมราช</x:v>
      </x:c>
      <x:c r="D145" s="8" t="str">
        <x:v>พร้อมขาย</x:v>
      </x:c>
      <x:c r="E145" s="8" t="str">
        <x:v>ร้านอาหารและคาเฟ่</x:v>
      </x:c>
      <x:c r="F145" s="11" t="n">
        <x:v>46315</x:v>
      </x:c>
      <x:c r="G145" s="2" t="str">
        <x:v>TMF-141</x:v>
      </x:c>
    </x:row>
    <x:row r="146" ht="32" customHeight="1">
      <x:c r="A146" s="9" t="n">
        <x:v>138</x:v>
      </x:c>
      <x:c r="B146" s="8" t="str">
        <x:v>ดั้งเดิม คาเฟ่ในสวนและขนมจีน</x:v>
      </x:c>
      <x:c r="C146" s="8" t="str">
        <x:v>นครศรีธรรมราช</x:v>
      </x:c>
      <x:c r="D146" s="8" t="str">
        <x:v>พร้อมขาย</x:v>
      </x:c>
      <x:c r="E146" s="8" t="str">
        <x:v>ร้านอาหารและคาเฟ่</x:v>
      </x:c>
      <x:c r="F146" s="11" t="n">
        <x:v>46315</x:v>
      </x:c>
      <x:c r="G146" s="2" t="str">
        <x:v>TMF-142</x:v>
      </x:c>
    </x:row>
    <x:row r="147" ht="32" customHeight="1">
      <x:c r="A147" s="9" t="n">
        <x:v>139</x:v>
      </x:c>
      <x:c r="B147" s="8" t="str">
        <x:v>เพชรปิยะซีฟู้ด</x:v>
      </x:c>
      <x:c r="C147" s="8" t="str">
        <x:v>นครศรีธรรมราช</x:v>
      </x:c>
      <x:c r="D147" s="8" t="str">
        <x:v>พร้อมขาย</x:v>
      </x:c>
      <x:c r="E147" s="8" t="str">
        <x:v>ร้านอาหารและคาเฟ่</x:v>
      </x:c>
      <x:c r="F147" s="11" t="n">
        <x:v>46315</x:v>
      </x:c>
      <x:c r="G147" s="2" t="str">
        <x:v>TMF-143</x:v>
      </x:c>
    </x:row>
    <x:row r="148" ht="32" customHeight="1">
      <x:c r="A148" s="9" t="n">
        <x:v>140</x:v>
      </x:c>
      <x:c r="B148" s="8" t="str">
        <x:v>Bed By Cruise Hotel at Samakkhi-Tivanont</x:v>
      </x:c>
      <x:c r="C148" s="8" t="str">
        <x:v>นนทบุรี</x:v>
      </x:c>
      <x:c r="D148" s="8" t="str">
        <x:v>พร้อมขาย</x:v>
      </x:c>
      <x:c r="E148" s="8" t="str">
        <x:v>ที่พัก</x:v>
      </x:c>
      <x:c r="F148" s="11" t="n">
        <x:v>46315</x:v>
      </x:c>
      <x:c r="G148" s="2" t="str">
        <x:v>TMF-144</x:v>
      </x:c>
    </x:row>
    <x:row r="149" ht="32" customHeight="1">
      <x:c r="A149" s="9" t="n">
        <x:v>141</x:v>
      </x:c>
      <x:c r="B149" s="8" t="str">
        <x:v>Ma Non Nont Hotel and Apartment</x:v>
      </x:c>
      <x:c r="C149" s="8" t="str">
        <x:v>นนทบุรี</x:v>
      </x:c>
      <x:c r="D149" s="8" t="str">
        <x:v>พร้อมขาย</x:v>
      </x:c>
      <x:c r="E149" s="8" t="str">
        <x:v>ที่พัก</x:v>
      </x:c>
      <x:c r="F149" s="11" t="n">
        <x:v>46315</x:v>
      </x:c>
      <x:c r="G149" s="2" t="str">
        <x:v>TMF-145</x:v>
      </x:c>
    </x:row>
    <x:row r="150" ht="32" customHeight="1">
      <x:c r="A150" s="9" t="n">
        <x:v>142</x:v>
      </x:c>
      <x:c r="B150" s="8" t="str">
        <x:v>Arnani Cafe X Burger Kitor</x:v>
      </x:c>
      <x:c r="C150" s="8" t="str">
        <x:v>นนทบุรี</x:v>
      </x:c>
      <x:c r="D150" s="8" t="str">
        <x:v>พร้อมขาย</x:v>
      </x:c>
      <x:c r="E150" s="8" t="str">
        <x:v>ร้านอาหารและคาเฟ่</x:v>
      </x:c>
      <x:c r="F150" s="11" t="n">
        <x:v>46315</x:v>
      </x:c>
      <x:c r="G150" s="2" t="str">
        <x:v>TMF-146</x:v>
      </x:c>
    </x:row>
    <x:row r="151" ht="32" customHeight="1">
      <x:c r="A151" s="9" t="n">
        <x:v>143</x:v>
      </x:c>
      <x:c r="B151" s="8" t="str">
        <x:v>Butcher boy บุฟเฟ่ต์เนื้อดรายเอจ สาขา ราชพฤกษ์</x:v>
      </x:c>
      <x:c r="C151" s="8" t="str">
        <x:v>นนทบุรี</x:v>
      </x:c>
      <x:c r="D151" s="8" t="str">
        <x:v>พร้อมขาย</x:v>
      </x:c>
      <x:c r="E151" s="8" t="str">
        <x:v>ร้านอาหารและคาเฟ่</x:v>
      </x:c>
      <x:c r="F151" s="11" t="n">
        <x:v>46315</x:v>
      </x:c>
      <x:c r="G151" s="2" t="str">
        <x:v>TMF-147</x:v>
      </x:c>
    </x:row>
    <x:row r="152" ht="32" customHeight="1">
      <x:c r="A152" s="9" t="n">
        <x:v>144</x:v>
      </x:c>
      <x:c r="B152" s="8" t="str">
        <x:v>C-Kids Village</x:v>
      </x:c>
      <x:c r="C152" s="8" t="str">
        <x:v>นนทบุรี</x:v>
      </x:c>
      <x:c r="D152" s="8" t="str">
        <x:v>พร้อมขาย</x:v>
      </x:c>
      <x:c r="E152" s="8" t="str">
        <x:v>ร้านอาหารและคาเฟ่</x:v>
      </x:c>
      <x:c r="F152" s="11" t="n">
        <x:v>46315</x:v>
      </x:c>
      <x:c r="G152" s="2" t="str">
        <x:v>TMF-148</x:v>
      </x:c>
    </x:row>
    <x:row r="153" ht="32" customHeight="1">
      <x:c r="A153" s="9" t="n">
        <x:v>145</x:v>
      </x:c>
      <x:c r="B153" s="8" t="str">
        <x:v>Churn Dimsum Halal</x:v>
      </x:c>
      <x:c r="C153" s="8" t="str">
        <x:v>นนทบุรี</x:v>
      </x:c>
      <x:c r="D153" s="8" t="str">
        <x:v>พร้อมขาย</x:v>
      </x:c>
      <x:c r="E153" s="8" t="str">
        <x:v>ร้านอาหารและคาเฟ่</x:v>
      </x:c>
      <x:c r="F153" s="11" t="n">
        <x:v>46315</x:v>
      </x:c>
      <x:c r="G153" s="2" t="str">
        <x:v>TMF-149</x:v>
      </x:c>
    </x:row>
    <x:row r="154" ht="32" customHeight="1">
      <x:c r="A154" s="9" t="n">
        <x:v>146</x:v>
      </x:c>
      <x:c r="B154" s="8" t="str">
        <x:v>Ikhlas House ครัวบ้านอิคลาส</x:v>
      </x:c>
      <x:c r="C154" s="8" t="str">
        <x:v>นนทบุรี</x:v>
      </x:c>
      <x:c r="D154" s="8" t="str">
        <x:v>พร้อมขาย</x:v>
      </x:c>
      <x:c r="E154" s="8" t="str">
        <x:v>ร้านอาหารและคาเฟ่</x:v>
      </x:c>
      <x:c r="F154" s="11" t="n">
        <x:v>46315</x:v>
      </x:c>
      <x:c r="G154" s="2" t="str">
        <x:v>TMF-150</x:v>
      </x:c>
    </x:row>
    <x:row r="155" ht="32" customHeight="1">
      <x:c r="A155" s="9" t="n">
        <x:v>147</x:v>
      </x:c>
      <x:c r="B155" s="8" t="str">
        <x:v>Intania Home</x:v>
      </x:c>
      <x:c r="C155" s="8" t="str">
        <x:v>นนทบุรี</x:v>
      </x:c>
      <x:c r="D155" s="8" t="str">
        <x:v>พร้อมขาย</x:v>
      </x:c>
      <x:c r="E155" s="8" t="str">
        <x:v>ร้านอาหารและคาเฟ่</x:v>
      </x:c>
      <x:c r="F155" s="11" t="n">
        <x:v>46315</x:v>
      </x:c>
      <x:c r="G155" s="2" t="str">
        <x:v>TMF-151</x:v>
      </x:c>
    </x:row>
    <x:row r="156" ht="32" customHeight="1">
      <x:c r="A156" s="9" t="n">
        <x:v>148</x:v>
      </x:c>
      <x:c r="B156" s="8" t="str">
        <x:v>Labani</x:v>
      </x:c>
      <x:c r="C156" s="8" t="str">
        <x:v>นนทบุรี</x:v>
      </x:c>
      <x:c r="D156" s="8" t="str">
        <x:v>พร้อมขาย</x:v>
      </x:c>
      <x:c r="E156" s="8" t="str">
        <x:v>ร้านอาหารและคาเฟ่</x:v>
      </x:c>
      <x:c r="F156" s="11" t="n">
        <x:v>46315</x:v>
      </x:c>
      <x:c r="G156" s="2" t="str">
        <x:v>TMF-152</x:v>
      </x:c>
    </x:row>
    <x:row r="157" ht="32" customHeight="1">
      <x:c r="A157" s="9" t="n">
        <x:v>149</x:v>
      </x:c>
      <x:c r="B157" s="8" t="str">
        <x:v>Lawang cafe"&amp; Bistro</x:v>
      </x:c>
      <x:c r="C157" s="8" t="str">
        <x:v>นนทบุรี</x:v>
      </x:c>
      <x:c r="D157" s="8" t="str">
        <x:v>พร้อมขาย</x:v>
      </x:c>
      <x:c r="E157" s="8" t="str">
        <x:v>ร้านอาหารและคาเฟ่</x:v>
      </x:c>
      <x:c r="F157" s="11" t="n">
        <x:v>46315</x:v>
      </x:c>
      <x:c r="G157" s="2" t="str">
        <x:v>TMF-153</x:v>
      </x:c>
    </x:row>
    <x:row r="158" ht="32" customHeight="1">
      <x:c r="A158" s="9" t="n">
        <x:v>150</x:v>
      </x:c>
      <x:c r="B158" s="8" t="str">
        <x:v>M's Flame Burger</x:v>
      </x:c>
      <x:c r="C158" s="8" t="str">
        <x:v>นนทบุรี</x:v>
      </x:c>
      <x:c r="D158" s="8" t="str">
        <x:v>พร้อมขาย</x:v>
      </x:c>
      <x:c r="E158" s="8" t="str">
        <x:v>ร้านอาหารและคาเฟ่</x:v>
      </x:c>
      <x:c r="F158" s="11" t="n">
        <x:v>46315</x:v>
      </x:c>
      <x:c r="G158" s="2" t="str">
        <x:v>TMF-154</x:v>
      </x:c>
    </x:row>
    <x:row r="159" ht="32" customHeight="1">
      <x:c r="A159" s="9" t="n">
        <x:v>151</x:v>
      </x:c>
      <x:c r="B159" s="8" t="str">
        <x:v>Maldi thai</x:v>
      </x:c>
      <x:c r="C159" s="8" t="str">
        <x:v>นนทบุรี</x:v>
      </x:c>
      <x:c r="D159" s="8" t="str">
        <x:v>พร้อมขาย</x:v>
      </x:c>
      <x:c r="E159" s="8" t="str">
        <x:v>ร้านอาหารและคาเฟ่</x:v>
      </x:c>
      <x:c r="F159" s="11" t="n">
        <x:v>46315</x:v>
      </x:c>
      <x:c r="G159" s="2" t="str">
        <x:v>TMF-155</x:v>
      </x:c>
    </x:row>
    <x:row r="160" ht="32" customHeight="1">
      <x:c r="A160" s="9" t="n">
        <x:v>152</x:v>
      </x:c>
      <x:c r="B160" s="8" t="str">
        <x:v>Moozna เนื้อย่างโคขุน สาขาซอยวากั๊ฟ</x:v>
      </x:c>
      <x:c r="C160" s="8" t="str">
        <x:v>นนทบุรี</x:v>
      </x:c>
      <x:c r="D160" s="8" t="str">
        <x:v>พร้อมขาย</x:v>
      </x:c>
      <x:c r="E160" s="8" t="str">
        <x:v>ร้านอาหารและคาเฟ่</x:v>
      </x:c>
      <x:c r="F160" s="11" t="n">
        <x:v>46315</x:v>
      </x:c>
      <x:c r="G160" s="2" t="str">
        <x:v>TMF-156</x:v>
      </x:c>
    </x:row>
    <x:row r="161" ht="32" customHeight="1">
      <x:c r="A161" s="9" t="n">
        <x:v>153</x:v>
      </x:c>
      <x:c r="B161" s="8" t="str">
        <x:v>OUR TIME CAFE</x:v>
      </x:c>
      <x:c r="C161" s="8" t="str">
        <x:v>นนทบุรี</x:v>
      </x:c>
      <x:c r="D161" s="8" t="str">
        <x:v>พร้อมขาย</x:v>
      </x:c>
      <x:c r="E161" s="8" t="str">
        <x:v>ร้านอาหารและคาเฟ่</x:v>
      </x:c>
      <x:c r="F161" s="11" t="n">
        <x:v>46315</x:v>
      </x:c>
      <x:c r="G161" s="2" t="str">
        <x:v>TMF-157</x:v>
      </x:c>
    </x:row>
    <x:row r="162" ht="32" customHeight="1">
      <x:c r="A162" s="9" t="n">
        <x:v>154</x:v>
      </x:c>
      <x:c r="B162" s="8" t="str">
        <x:v>Regent Ngamwongwan</x:v>
      </x:c>
      <x:c r="C162" s="8" t="str">
        <x:v>นนทบุรี</x:v>
      </x:c>
      <x:c r="D162" s="8" t="str">
        <x:v>พร้อมขาย</x:v>
      </x:c>
      <x:c r="E162" s="8" t="str">
        <x:v>ที่พัก</x:v>
      </x:c>
      <x:c r="F162" s="11" t="n">
        <x:v>46315</x:v>
      </x:c>
      <x:c r="G162" s="2" t="str">
        <x:v>TMF-158</x:v>
      </x:c>
    </x:row>
    <x:row r="163" ht="32" customHeight="1">
      <x:c r="A163" s="9" t="n">
        <x:v>155</x:v>
      </x:c>
      <x:c r="B163" s="8" t="str">
        <x:v>Tonnam Cafe</x:v>
      </x:c>
      <x:c r="C163" s="8" t="str">
        <x:v>นนทบุรี</x:v>
      </x:c>
      <x:c r="D163" s="8" t="str">
        <x:v>พร้อมขาย</x:v>
      </x:c>
      <x:c r="E163" s="8" t="str">
        <x:v>ร้านอาหารและคาเฟ่</x:v>
      </x:c>
      <x:c r="F163" s="11" t="n">
        <x:v>46315</x:v>
      </x:c>
      <x:c r="G163" s="2" t="str">
        <x:v>TMF-159</x:v>
      </x:c>
    </x:row>
    <x:row r="164" ht="32" customHeight="1">
      <x:c r="A164" s="9" t="n">
        <x:v>156</x:v>
      </x:c>
      <x:c r="B164" s="8" t="str">
        <x:v>Zam.Cafe : Slowbar n' Specialty Coffee</x:v>
      </x:c>
      <x:c r="C164" s="8" t="str">
        <x:v>นนทบุรี</x:v>
      </x:c>
      <x:c r="D164" s="8" t="str">
        <x:v>พร้อมขาย</x:v>
      </x:c>
      <x:c r="E164" s="8" t="str">
        <x:v>ร้านอาหารและคาเฟ่</x:v>
      </x:c>
      <x:c r="F164" s="11" t="n">
        <x:v>46315</x:v>
      </x:c>
      <x:c r="G164" s="2" t="str">
        <x:v>TMF-160</x:v>
      </x:c>
    </x:row>
    <x:row r="165" ht="32" customHeight="1">
      <x:c r="A165" s="9" t="n">
        <x:v>157</x:v>
      </x:c>
      <x:c r="B165" s="8" t="str">
        <x:v>salamah ข้าวขาวัว</x:v>
      </x:c>
      <x:c r="C165" s="8" t="str">
        <x:v>นนทบุรี</x:v>
      </x:c>
      <x:c r="D165" s="8" t="str">
        <x:v>พร้อมขาย</x:v>
      </x:c>
      <x:c r="E165" s="8" t="str">
        <x:v>ร้านอาหารและคาเฟ่</x:v>
      </x:c>
      <x:c r="F165" s="11" t="n">
        <x:v>46315</x:v>
      </x:c>
      <x:c r="G165" s="2" t="str">
        <x:v>TMF-161</x:v>
      </x:c>
    </x:row>
    <x:row r="166" ht="32" customHeight="1">
      <x:c r="A166" s="9" t="n">
        <x:v>158</x:v>
      </x:c>
      <x:c r="B166" s="8" t="str">
        <x:v>กะเพราพริกแห้ง ฮาลาล</x:v>
      </x:c>
      <x:c r="C166" s="8" t="str">
        <x:v>นนทบุรี</x:v>
      </x:c>
      <x:c r="D166" s="8" t="str">
        <x:v>พร้อมขาย</x:v>
      </x:c>
      <x:c r="E166" s="8" t="str">
        <x:v>ร้านอาหารและคาเฟ่</x:v>
      </x:c>
      <x:c r="F166" s="11" t="n">
        <x:v>46315</x:v>
      </x:c>
      <x:c r="G166" s="2" t="str">
        <x:v>TMF-162</x:v>
      </x:c>
    </x:row>
    <x:row r="167" ht="32" customHeight="1">
      <x:c r="A167" s="9" t="n">
        <x:v>159</x:v>
      </x:c>
      <x:c r="B167" s="8" t="str">
        <x:v>ก๋วยเตี๋ยวอามีนะห์</x:v>
      </x:c>
      <x:c r="C167" s="8" t="str">
        <x:v>นนทบุรี</x:v>
      </x:c>
      <x:c r="D167" s="8" t="str">
        <x:v>พร้อมขาย</x:v>
      </x:c>
      <x:c r="E167" s="8" t="str">
        <x:v>ร้านอาหารและคาเฟ่</x:v>
      </x:c>
      <x:c r="F167" s="11" t="n">
        <x:v>46315</x:v>
      </x:c>
      <x:c r="G167" s="2" t="str">
        <x:v>TMF-163</x:v>
      </x:c>
    </x:row>
    <x:row r="168" ht="32" customHeight="1">
      <x:c r="A168" s="9" t="n">
        <x:v>160</x:v>
      </x:c>
      <x:c r="B168" s="8" t="str">
        <x:v>ก๋วยเตี๋ยวเรือฮิปปี้ by วาซิล</x:v>
      </x:c>
      <x:c r="C168" s="8" t="str">
        <x:v>นนทบุรี</x:v>
      </x:c>
      <x:c r="D168" s="8" t="str">
        <x:v>พร้อมขาย</x:v>
      </x:c>
      <x:c r="E168" s="8" t="str">
        <x:v>ร้านอาหารและคาเฟ่</x:v>
      </x:c>
      <x:c r="F168" s="11" t="n">
        <x:v>46315</x:v>
      </x:c>
      <x:c r="G168" s="2" t="str">
        <x:v>TMF-164</x:v>
      </x:c>
    </x:row>
    <x:row r="169" ht="32" customHeight="1">
      <x:c r="A169" s="9" t="n">
        <x:v>161</x:v>
      </x:c>
      <x:c r="B169" s="8" t="str">
        <x:v>ครัวซำซี</x:v>
      </x:c>
      <x:c r="C169" s="8" t="str">
        <x:v>นนทบุรี</x:v>
      </x:c>
      <x:c r="D169" s="8" t="str">
        <x:v>พร้อมขาย</x:v>
      </x:c>
      <x:c r="E169" s="8" t="str">
        <x:v>ร้านอาหารและคาเฟ่</x:v>
      </x:c>
      <x:c r="F169" s="11" t="n">
        <x:v>46315</x:v>
      </x:c>
      <x:c r="G169" s="2" t="str">
        <x:v>TMF-165</x:v>
      </x:c>
    </x:row>
    <x:row r="170" ht="32" customHeight="1">
      <x:c r="A170" s="9" t="n">
        <x:v>162</x:v>
      </x:c>
      <x:c r="B170" s="8" t="str">
        <x:v>นูรรีญันนะห์</x:v>
      </x:c>
      <x:c r="C170" s="8" t="str">
        <x:v>นนทบุรี</x:v>
      </x:c>
      <x:c r="D170" s="8" t="str">
        <x:v>พร้อมขาย</x:v>
      </x:c>
      <x:c r="E170" s="8" t="str">
        <x:v>ร้านอาหารและคาเฟ่</x:v>
      </x:c>
      <x:c r="F170" s="11" t="n">
        <x:v>46315</x:v>
      </x:c>
      <x:c r="G170" s="2" t="str">
        <x:v>TMF-166</x:v>
      </x:c>
    </x:row>
    <x:row r="171" ht="32" customHeight="1">
      <x:c r="A171" s="9" t="n">
        <x:v>163</x:v>
      </x:c>
      <x:c r="B171" s="8" t="str">
        <x:v>ฟาตินชิ้นสะดุ้ง สาขา นนทบุรี แยกบางพลู</x:v>
      </x:c>
      <x:c r="C171" s="8" t="str">
        <x:v>นนทบุรี</x:v>
      </x:c>
      <x:c r="D171" s="8" t="str">
        <x:v>พร้อมขาย</x:v>
      </x:c>
      <x:c r="E171" s="8" t="str">
        <x:v>ร้านอาหารและคาเฟ่</x:v>
      </x:c>
      <x:c r="F171" s="11" t="n">
        <x:v>46315</x:v>
      </x:c>
      <x:c r="G171" s="2" t="str">
        <x:v>TMF-167</x:v>
      </x:c>
    </x:row>
    <x:row r="172" ht="32" customHeight="1">
      <x:c r="A172" s="9" t="n">
        <x:v>164</x:v>
      </x:c>
      <x:c r="B172" s="8" t="str">
        <x:v>วีอาร์เอ็น คาเฟ่</x:v>
      </x:c>
      <x:c r="C172" s="8" t="str">
        <x:v>นนทบุรี</x:v>
      </x:c>
      <x:c r="D172" s="8" t="str">
        <x:v>พร้อมขาย</x:v>
      </x:c>
      <x:c r="E172" s="8" t="str">
        <x:v>ร้านอาหารและคาเฟ่</x:v>
      </x:c>
      <x:c r="F172" s="11" t="n">
        <x:v>46315</x:v>
      </x:c>
      <x:c r="G172" s="2" t="str">
        <x:v>TMF-168</x:v>
      </x:c>
    </x:row>
    <x:row r="173" ht="32" customHeight="1">
      <x:c r="A173" s="9" t="n">
        <x:v>165</x:v>
      </x:c>
      <x:c r="B173" s="8" t="str">
        <x:v>สาวเส้น เย็นตาโฟ&amp;ข้าวต้มปลา</x:v>
      </x:c>
      <x:c r="C173" s="8" t="str">
        <x:v>นนทบุรี</x:v>
      </x:c>
      <x:c r="D173" s="8" t="str">
        <x:v>พร้อมขาย</x:v>
      </x:c>
      <x:c r="E173" s="8" t="str">
        <x:v>ร้านอาหารและคาเฟ่</x:v>
      </x:c>
      <x:c r="F173" s="11" t="n">
        <x:v>46315</x:v>
      </x:c>
      <x:c r="G173" s="2" t="str">
        <x:v>TMF-169</x:v>
      </x:c>
    </x:row>
    <x:row r="174" ht="32" customHeight="1">
      <x:c r="A174" s="9" t="n">
        <x:v>166</x:v>
      </x:c>
      <x:c r="B174" s="8" t="str">
        <x:v>หลงมา ข้าวต้มปลากระพงทรงเครื่องฮาลาล สูตรเยาวราช</x:v>
      </x:c>
      <x:c r="C174" s="8" t="str">
        <x:v>นนทบุรี</x:v>
      </x:c>
      <x:c r="D174" s="8" t="str">
        <x:v>พร้อมขาย</x:v>
      </x:c>
      <x:c r="E174" s="8" t="str">
        <x:v>ร้านอาหารและคาเฟ่</x:v>
      </x:c>
      <x:c r="F174" s="11" t="n">
        <x:v>46315</x:v>
      </x:c>
      <x:c r="G174" s="2" t="str">
        <x:v>TMF-170</x:v>
      </x:c>
    </x:row>
    <x:row r="175" ht="32" customHeight="1">
      <x:c r="A175" s="9" t="n">
        <x:v>167</x:v>
      </x:c>
      <x:c r="B175" s="8" t="str">
        <x:v>เซี๊ยะ ข้าวมันไก่ (ท่าอิฐ)</x:v>
      </x:c>
      <x:c r="C175" s="8" t="str">
        <x:v>นนทบุรี</x:v>
      </x:c>
      <x:c r="D175" s="8" t="str">
        <x:v>พร้อมขาย</x:v>
      </x:c>
      <x:c r="E175" s="8" t="str">
        <x:v>ร้านอาหารและคาเฟ่</x:v>
      </x:c>
      <x:c r="F175" s="11" t="n">
        <x:v>46315</x:v>
      </x:c>
      <x:c r="G175" s="2" t="str">
        <x:v>TMF-171</x:v>
      </x:c>
    </x:row>
    <x:row r="176" ht="32" customHeight="1">
      <x:c r="A176" s="9" t="n">
        <x:v>168</x:v>
      </x:c>
      <x:c r="B176" s="8" t="str">
        <x:v>เรา มี นัส ตลาดศรียานนท์</x:v>
      </x:c>
      <x:c r="C176" s="8" t="str">
        <x:v>นนทบุรี</x:v>
      </x:c>
      <x:c r="D176" s="8" t="str">
        <x:v>พร้อมขาย</x:v>
      </x:c>
      <x:c r="E176" s="8" t="str">
        <x:v>ร้านอาหารและคาเฟ่</x:v>
      </x:c>
      <x:c r="F176" s="11" t="n">
        <x:v>46315</x:v>
      </x:c>
      <x:c r="G176" s="2" t="str">
        <x:v>TMF-172</x:v>
      </x:c>
    </x:row>
    <x:row r="177" ht="32" customHeight="1">
      <x:c r="A177" s="9" t="n">
        <x:v>169</x:v>
      </x:c>
      <x:c r="B177" s="8" t="str">
        <x:v>โกกี้ นมสด บางบัวทอง</x:v>
      </x:c>
      <x:c r="C177" s="8" t="str">
        <x:v>นนทบุรี</x:v>
      </x:c>
      <x:c r="D177" s="8" t="str">
        <x:v>พร้อมขาย</x:v>
      </x:c>
      <x:c r="E177" s="8" t="str">
        <x:v>ร้านอาหารและคาเฟ่</x:v>
      </x:c>
      <x:c r="F177" s="11" t="n">
        <x:v>46315</x:v>
      </x:c>
      <x:c r="G177" s="2" t="str">
        <x:v>TMF-173</x:v>
      </x:c>
    </x:row>
    <x:row r="178" ht="32" customHeight="1">
      <x:c r="A178" s="9" t="n">
        <x:v>170</x:v>
      </x:c>
      <x:c r="B178" s="8" t="str">
        <x:v>โคมันส์ว่ะ</x:v>
      </x:c>
      <x:c r="C178" s="8" t="str">
        <x:v>นนทบุรี</x:v>
      </x:c>
      <x:c r="D178" s="8" t="str">
        <x:v>พร้อมขาย</x:v>
      </x:c>
      <x:c r="E178" s="8" t="str">
        <x:v>ร้านอาหารและคาเฟ่</x:v>
      </x:c>
      <x:c r="F178" s="11" t="n">
        <x:v>46315</x:v>
      </x:c>
      <x:c r="G178" s="2" t="str">
        <x:v>TMF-174</x:v>
      </x:c>
    </x:row>
    <x:row r="179" ht="32" customHeight="1">
      <x:c r="A179" s="9" t="n">
        <x:v>171</x:v>
      </x:c>
      <x:c r="B179" s="8" t="str">
        <x:v>โจ๊กเมืองทอง ฮาลาล สาขาเมืองทองธานี</x:v>
      </x:c>
      <x:c r="C179" s="8" t="str">
        <x:v>นนทบุรี</x:v>
      </x:c>
      <x:c r="D179" s="8" t="str">
        <x:v>พร้อมขาย</x:v>
      </x:c>
      <x:c r="E179" s="8" t="str">
        <x:v>ร้านอาหารและคาเฟ่</x:v>
      </x:c>
      <x:c r="F179" s="11" t="n">
        <x:v>46315</x:v>
      </x:c>
      <x:c r="G179" s="2" t="str">
        <x:v>TMF-175</x:v>
      </x:c>
    </x:row>
    <x:row r="180" ht="32" customHeight="1">
      <x:c r="A180" s="9" t="n">
        <x:v>172</x:v>
      </x:c>
      <x:c r="B180" s="8" t="str">
        <x:v>นานา โฮมสเตย์ บ้านทอน</x:v>
      </x:c>
      <x:c r="C180" s="8" t="str">
        <x:v>นราธิวาส</x:v>
      </x:c>
      <x:c r="D180" s="8" t="str">
        <x:v>พร้อมขาย</x:v>
      </x:c>
      <x:c r="E180" s="8" t="str">
        <x:v>ที่พัก</x:v>
      </x:c>
      <x:c r="F180" s="11" t="n">
        <x:v>46315</x:v>
      </x:c>
      <x:c r="G180" s="2" t="str">
        <x:v>TMF-176</x:v>
      </x:c>
    </x:row>
    <x:row r="181" ht="32" customHeight="1">
      <x:c r="A181" s="9" t="n">
        <x:v>173</x:v>
      </x:c>
      <x:c r="B181" s="8" t="str">
        <x:v>Talay Sea</x:v>
      </x:c>
      <x:c r="C181" s="8" t="str">
        <x:v>นราธิวาส</x:v>
      </x:c>
      <x:c r="D181" s="8" t="str">
        <x:v>พร้อมขาย</x:v>
      </x:c>
      <x:c r="E181" s="8" t="str">
        <x:v>ร้านอาหารและคาเฟ่</x:v>
      </x:c>
      <x:c r="F181" s="11" t="n">
        <x:v>46315</x:v>
      </x:c>
      <x:c r="G181" s="2" t="str">
        <x:v>TMF-177</x:v>
      </x:c>
    </x:row>
    <x:row r="182" ht="32" customHeight="1">
      <x:c r="A182" s="9" t="n">
        <x:v>174</x:v>
      </x:c>
      <x:c r="B182" s="8" t="str">
        <x:v>Hello Winter บ่อเกลือHalal</x:v>
      </x:c>
      <x:c r="C182" s="8" t="str">
        <x:v>น่าน</x:v>
      </x:c>
      <x:c r="D182" s="8" t="str">
        <x:v>พร้อมขาย</x:v>
      </x:c>
      <x:c r="E182" s="8" t="str">
        <x:v>ที่พัก</x:v>
      </x:c>
      <x:c r="F182" s="11" t="n">
        <x:v>46315</x:v>
      </x:c>
      <x:c r="G182" s="2" t="str">
        <x:v>TMF-178</x:v>
      </x:c>
    </x:row>
    <x:row r="183" ht="32" customHeight="1">
      <x:c r="A183" s="9" t="n">
        <x:v>175</x:v>
      </x:c>
      <x:c r="B183" s="8" t="str">
        <x:v>828 มะตะบะ อร่อย</x:v>
      </x:c>
      <x:c r="C183" s="8" t="str">
        <x:v>ปทุมธานี</x:v>
      </x:c>
      <x:c r="D183" s="8" t="str">
        <x:v>พร้อมขาย</x:v>
      </x:c>
      <x:c r="E183" s="8" t="str">
        <x:v>ร้านอาหารและคาเฟ่</x:v>
      </x:c>
      <x:c r="F183" s="11" t="n">
        <x:v>46315</x:v>
      </x:c>
      <x:c r="G183" s="2" t="str">
        <x:v>TMF-179</x:v>
      </x:c>
    </x:row>
    <x:row r="184" ht="32" customHeight="1">
      <x:c r="A184" s="9" t="n">
        <x:v>176</x:v>
      </x:c>
      <x:c r="B184" s="8" t="str">
        <x:v>ก๋วยจั๊บญวน บังโต้</x:v>
      </x:c>
      <x:c r="C184" s="8" t="str">
        <x:v>ปทุมธานี</x:v>
      </x:c>
      <x:c r="D184" s="8" t="str">
        <x:v>พร้อมขาย</x:v>
      </x:c>
      <x:c r="E184" s="8" t="str">
        <x:v>ร้านอาหารและคาเฟ่</x:v>
      </x:c>
      <x:c r="F184" s="11" t="n">
        <x:v>46315</x:v>
      </x:c>
      <x:c r="G184" s="2" t="str">
        <x:v>TMF-180</x:v>
      </x:c>
    </x:row>
    <x:row r="185" ht="32" customHeight="1">
      <x:c r="A185" s="9" t="n">
        <x:v>177</x:v>
      </x:c>
      <x:c r="B185" s="8" t="str">
        <x:v>รสเจริญข้าวหมกไก่ - ซุปหางวัว โรตี ชาชัก Halal</x:v>
      </x:c>
      <x:c r="C185" s="8" t="str">
        <x:v>ปทุมธานี</x:v>
      </x:c>
      <x:c r="D185" s="8" t="str">
        <x:v>พร้อมขาย</x:v>
      </x:c>
      <x:c r="E185" s="8" t="str">
        <x:v>ร้านอาหารและคาเฟ่</x:v>
      </x:c>
      <x:c r="F185" s="11" t="n">
        <x:v>46315</x:v>
      </x:c>
      <x:c r="G185" s="2" t="str">
        <x:v>TMF-181</x:v>
      </x:c>
    </x:row>
    <x:row r="186" ht="32" customHeight="1">
      <x:c r="A186" s="9" t="n">
        <x:v>178</x:v>
      </x:c>
      <x:c r="B186" s="8" t="str">
        <x:v>ห้องอาหาร สุใบด๊ะห์ชวนชิม สาขาลาดสวาย</x:v>
      </x:c>
      <x:c r="C186" s="8" t="str">
        <x:v>ปทุมธานี</x:v>
      </x:c>
      <x:c r="D186" s="8" t="str">
        <x:v>พร้อมขาย</x:v>
      </x:c>
      <x:c r="E186" s="8" t="str">
        <x:v>ร้านอาหารและคาเฟ่</x:v>
      </x:c>
      <x:c r="F186" s="11" t="n">
        <x:v>46315</x:v>
      </x:c>
      <x:c r="G186" s="2" t="str">
        <x:v>TMF-182</x:v>
      </x:c>
    </x:row>
    <x:row r="187" ht="32" customHeight="1">
      <x:c r="A187" s="9" t="n">
        <x:v>179</x:v>
      </x:c>
      <x:c r="B187" s="8" t="str">
        <x:v>Rista House &amp; Resort</x:v>
      </x:c>
      <x:c r="C187" s="8" t="str">
        <x:v>ประจวบคีรีขันธ์</x:v>
      </x:c>
      <x:c r="D187" s="8" t="str">
        <x:v>พร้อมขาย</x:v>
      </x:c>
      <x:c r="E187" s="8" t="str">
        <x:v>ที่พัก</x:v>
      </x:c>
      <x:c r="F187" s="11" t="n">
        <x:v>46315</x:v>
      </x:c>
      <x:c r="G187" s="2" t="str">
        <x:v>TMF-183</x:v>
      </x:c>
    </x:row>
    <x:row r="188" ht="32" customHeight="1">
      <x:c r="A188" s="9" t="n">
        <x:v>180</x:v>
      </x:c>
      <x:c r="B188" s="8" t="str">
        <x:v>Coco Pina Boutique Resort ที่พัก&amp;คาเฟ่ประจวบ</x:v>
      </x:c>
      <x:c r="C188" s="8" t="str">
        <x:v>ประจวบคีรีขันธ์</x:v>
      </x:c>
      <x:c r="D188" s="8" t="str">
        <x:v>พร้อมขาย</x:v>
      </x:c>
      <x:c r="E188" s="8" t="str">
        <x:v>ที่พัก</x:v>
      </x:c>
      <x:c r="F188" s="11" t="n">
        <x:v>46315</x:v>
      </x:c>
      <x:c r="G188" s="2" t="str">
        <x:v>TMF-184</x:v>
      </x:c>
    </x:row>
    <x:row r="189" ht="32" customHeight="1">
      <x:c r="A189" s="9" t="n">
        <x:v>181</x:v>
      </x:c>
      <x:c r="B189" s="8" t="str">
        <x:v>The seasons cafe รังมดแดง</x:v>
      </x:c>
      <x:c r="C189" s="8" t="str">
        <x:v>ปัตตานี</x:v>
      </x:c>
      <x:c r="D189" s="8" t="str">
        <x:v>พร้อมขาย</x:v>
      </x:c>
      <x:c r="E189" s="8" t="str">
        <x:v>ร้านอาหารและคาเฟ่</x:v>
      </x:c>
      <x:c r="F189" s="11" t="n">
        <x:v>46315</x:v>
      </x:c>
      <x:c r="G189" s="2" t="str">
        <x:v>TMF-185</x:v>
      </x:c>
    </x:row>
    <x:row r="190" ht="32" customHeight="1">
      <x:c r="A190" s="9" t="n">
        <x:v>182</x:v>
      </x:c>
      <x:c r="B190" s="8" t="str">
        <x:v>ณ ณิชา รีสอร์ท</x:v>
      </x:c>
      <x:c r="C190" s="8" t="str">
        <x:v>พังงา</x:v>
      </x:c>
      <x:c r="D190" s="8" t="str">
        <x:v>พร้อมขาย</x:v>
      </x:c>
      <x:c r="E190" s="8" t="str">
        <x:v>ที่พัก</x:v>
      </x:c>
      <x:c r="F190" s="11" t="n">
        <x:v>46315</x:v>
      </x:c>
      <x:c r="G190" s="2" t="str">
        <x:v>TMF-186</x:v>
      </x:c>
    </x:row>
    <x:row r="191" ht="32" customHeight="1">
      <x:c r="A191" s="9" t="n">
        <x:v>183</x:v>
      </x:c>
      <x:c r="B191" s="8" t="str">
        <x:v>ครัวอารีย์บังหมาดบางพัฒน์ พังงา</x:v>
      </x:c>
      <x:c r="C191" s="8" t="str">
        <x:v>พังงา</x:v>
      </x:c>
      <x:c r="D191" s="8" t="str">
        <x:v>พร้อมขาย</x:v>
      </x:c>
      <x:c r="E191" s="8" t="str">
        <x:v>ร้านอาหารและคาเฟ่</x:v>
      </x:c>
      <x:c r="F191" s="11" t="n">
        <x:v>46315</x:v>
      </x:c>
      <x:c r="G191" s="2" t="str">
        <x:v>TMF-187</x:v>
      </x:c>
    </x:row>
    <x:row r="192" ht="32" customHeight="1">
      <x:c r="A192" s="9" t="n">
        <x:v>184</x:v>
      </x:c>
      <x:c r="B192" s="8" t="str">
        <x:v>ก๋วยเตี๋ยวเรือราไวย์ ซอยไสยวน</x:v>
      </x:c>
      <x:c r="C192" s="8" t="str">
        <x:v>ภูเก็ต</x:v>
      </x:c>
      <x:c r="D192" s="8" t="str">
        <x:v>พร้อมขาย</x:v>
      </x:c>
      <x:c r="E192" s="8" t="str">
        <x:v>ร้านอาหารและคาเฟ่</x:v>
      </x:c>
      <x:c r="F192" s="11" t="n">
        <x:v>46315</x:v>
      </x:c>
      <x:c r="G192" s="2" t="str">
        <x:v>TMF-188</x:v>
      </x:c>
    </x:row>
    <x:row r="193" ht="32" customHeight="1">
      <x:c r="A193" s="9" t="n">
        <x:v>185</x:v>
      </x:c>
      <x:c r="B193" s="8" t="str">
        <x:v>อันดามันดา ภูเก็ต</x:v>
      </x:c>
      <x:c r="C193" s="8" t="str">
        <x:v>ภูเก็ต</x:v>
      </x:c>
      <x:c r="D193" s="8" t="str">
        <x:v>พร้อมขาย</x:v>
      </x:c>
      <x:c r="E193" s="8" t="str">
        <x:v>ศูนย์กิจกรรมและนันทนาการ</x:v>
      </x:c>
      <x:c r="F193" s="11" t="n">
        <x:v>46315</x:v>
      </x:c>
      <x:c r="G193" s="2" t="str">
        <x:v>TMF-189</x:v>
      </x:c>
    </x:row>
    <x:row r="194" ht="32" customHeight="1">
      <x:c r="A194" s="9" t="n">
        <x:v>186</x:v>
      </x:c>
      <x:c r="B194" s="8" t="str">
        <x:v>Martabak Ramunrin - มาร์ตาบัค มานิส สาขายะลา</x:v>
      </x:c>
      <x:c r="C194" s="8" t="str">
        <x:v>ยะลา</x:v>
      </x:c>
      <x:c r="D194" s="8" t="str">
        <x:v>พร้อมขาย</x:v>
      </x:c>
      <x:c r="E194" s="8" t="str">
        <x:v>ร้านอาหารและคาเฟ่</x:v>
      </x:c>
      <x:c r="F194" s="11" t="n">
        <x:v>46315</x:v>
      </x:c>
      <x:c r="G194" s="2" t="str">
        <x:v>TMF-190</x:v>
      </x:c>
    </x:row>
    <x:row r="195" ht="32" customHeight="1">
      <x:c r="A195" s="9" t="n">
        <x:v>187</x:v>
      </x:c>
      <x:c r="B195" s="8" t="str">
        <x:v>Tokoroaster Coffee And Cycling</x:v>
      </x:c>
      <x:c r="C195" s="8" t="str">
        <x:v>ยะลา</x:v>
      </x:c>
      <x:c r="D195" s="8" t="str">
        <x:v>พร้อมขาย</x:v>
      </x:c>
      <x:c r="E195" s="8" t="str">
        <x:v>ร้านอาหารและคาเฟ่</x:v>
      </x:c>
      <x:c r="F195" s="11" t="n">
        <x:v>46315</x:v>
      </x:c>
      <x:c r="G195" s="2" t="str">
        <x:v>TMF-191</x:v>
      </x:c>
    </x:row>
    <x:row r="196" ht="32" customHeight="1">
      <x:c r="A196" s="9" t="n">
        <x:v>188</x:v>
      </x:c>
      <x:c r="B196" s="8" t="str">
        <x:v>wawa_cafe</x:v>
      </x:c>
      <x:c r="C196" s="8" t="str">
        <x:v>ยะลา</x:v>
      </x:c>
      <x:c r="D196" s="8" t="str">
        <x:v>พร้อมขาย</x:v>
      </x:c>
      <x:c r="E196" s="8" t="str">
        <x:v>ร้านอาหารและคาเฟ่</x:v>
      </x:c>
      <x:c r="F196" s="11" t="n">
        <x:v>46315</x:v>
      </x:c>
      <x:c r="G196" s="2" t="str">
        <x:v>TMF-192</x:v>
      </x:c>
    </x:row>
    <x:row r="197" ht="32" customHeight="1">
      <x:c r="A197" s="9" t="n">
        <x:v>189</x:v>
      </x:c>
      <x:c r="B197" s="8" t="str">
        <x:v>ก๋วยเตี๋ยวประชาชื่น</x:v>
      </x:c>
      <x:c r="C197" s="8" t="str">
        <x:v>ยะลา</x:v>
      </x:c>
      <x:c r="D197" s="8" t="str">
        <x:v>พร้อมขาย</x:v>
      </x:c>
      <x:c r="E197" s="8" t="str">
        <x:v>ร้านอาหารและคาเฟ่</x:v>
      </x:c>
      <x:c r="F197" s="11" t="n">
        <x:v>46315</x:v>
      </x:c>
      <x:c r="G197" s="2" t="str">
        <x:v>TMF-193</x:v>
      </x:c>
    </x:row>
    <x:row r="198" ht="32" customHeight="1">
      <x:c r="A198" s="9" t="n">
        <x:v>190</x:v>
      </x:c>
      <x:c r="B198" s="8" t="str">
        <x:v>ขนมไข่เต๋า เจ้าเก่า สูตรดั้งเดิม</x:v>
      </x:c>
      <x:c r="C198" s="8" t="str">
        <x:v>ยะลา</x:v>
      </x:c>
      <x:c r="D198" s="8" t="str">
        <x:v>พร้อมขาย</x:v>
      </x:c>
      <x:c r="E198" s="8" t="str">
        <x:v>ร้านอาหารและคาเฟ่</x:v>
      </x:c>
      <x:c r="F198" s="11" t="n">
        <x:v>46315</x:v>
      </x:c>
      <x:c r="G198" s="2" t="str">
        <x:v>TMF-194</x:v>
      </x:c>
    </x:row>
    <x:row r="199" ht="32" customHeight="1">
      <x:c r="A199" s="9" t="n">
        <x:v>191</x:v>
      </x:c>
      <x:c r="B199" s="8" t="str">
        <x:v>ซาซ่า ยำแซ่บซี๊ด</x:v>
      </x:c>
      <x:c r="C199" s="8" t="str">
        <x:v>ยะลา</x:v>
      </x:c>
      <x:c r="D199" s="8" t="str">
        <x:v>พร้อมขาย</x:v>
      </x:c>
      <x:c r="E199" s="8" t="str">
        <x:v>ร้านอาหารและคาเฟ่</x:v>
      </x:c>
      <x:c r="F199" s="11" t="n">
        <x:v>46315</x:v>
      </x:c>
      <x:c r="G199" s="2" t="str">
        <x:v>TMF-195</x:v>
      </x:c>
    </x:row>
    <x:row r="200" ht="32" customHeight="1">
      <x:c r="A200" s="9" t="n">
        <x:v>192</x:v>
      </x:c>
      <x:c r="B200" s="8" t="str">
        <x:v>ซูเฟียนโภชนา</x:v>
      </x:c>
      <x:c r="C200" s="8" t="str">
        <x:v>ยะลา</x:v>
      </x:c>
      <x:c r="D200" s="8" t="str">
        <x:v>พร้อมขาย</x:v>
      </x:c>
      <x:c r="E200" s="8" t="str">
        <x:v>ร้านอาหารและคาเฟ่</x:v>
      </x:c>
      <x:c r="F200" s="11" t="n">
        <x:v>46315</x:v>
      </x:c>
      <x:c r="G200" s="2" t="str">
        <x:v>TMF-196</x:v>
      </x:c>
    </x:row>
    <x:row r="201" ht="32" customHeight="1">
      <x:c r="A201" s="9" t="n">
        <x:v>193</x:v>
      </x:c>
      <x:c r="B201" s="8" t="str">
        <x:v>ดีเอ็นอาร์ ช็อป</x:v>
      </x:c>
      <x:c r="C201" s="8" t="str">
        <x:v>ยะลา</x:v>
      </x:c>
      <x:c r="D201" s="8" t="str">
        <x:v>พร้อมขาย</x:v>
      </x:c>
      <x:c r="E201" s="8" t="str">
        <x:v>ร้านอาหารและคาเฟ่</x:v>
      </x:c>
      <x:c r="F201" s="11" t="n">
        <x:v>46315</x:v>
      </x:c>
      <x:c r="G201" s="2" t="str">
        <x:v>TMF-197</x:v>
      </x:c>
    </x:row>
    <x:row r="202" ht="32" customHeight="1">
      <x:c r="A202" s="9" t="n">
        <x:v>194</x:v>
      </x:c>
      <x:c r="B202" s="8" t="str">
        <x:v>ตะกงแกง</x:v>
      </x:c>
      <x:c r="C202" s="8" t="str">
        <x:v>ยะลา</x:v>
      </x:c>
      <x:c r="D202" s="8" t="str">
        <x:v>พร้อมขาย</x:v>
      </x:c>
      <x:c r="E202" s="8" t="str">
        <x:v>ร้านอาหารและคาเฟ่</x:v>
      </x:c>
      <x:c r="F202" s="11" t="n">
        <x:v>46315</x:v>
      </x:c>
      <x:c r="G202" s="2" t="str">
        <x:v>TMF-198</x:v>
      </x:c>
    </x:row>
    <x:row r="203" ht="32" customHeight="1">
      <x:c r="A203" s="9" t="n">
        <x:v>195</x:v>
      </x:c>
      <x:c r="B203" s="8" t="str">
        <x:v>น้ำปั่นอันดาลีฟ</x:v>
      </x:c>
      <x:c r="C203" s="8" t="str">
        <x:v>ยะลา</x:v>
      </x:c>
      <x:c r="D203" s="8" t="str">
        <x:v>พร้อมขาย</x:v>
      </x:c>
      <x:c r="E203" s="8" t="str">
        <x:v>ร้านอาหารและคาเฟ่</x:v>
      </x:c>
      <x:c r="F203" s="11" t="n">
        <x:v>46315</x:v>
      </x:c>
      <x:c r="G203" s="2" t="str">
        <x:v>TMF-199</x:v>
      </x:c>
    </x:row>
    <x:row r="204" ht="32" customHeight="1">
      <x:c r="A204" s="9" t="n">
        <x:v>196</x:v>
      </x:c>
      <x:c r="B204" s="8" t="str">
        <x:v>น้ำแข็งใสตรอกซอยซุป</x:v>
      </x:c>
      <x:c r="C204" s="8" t="str">
        <x:v>ยะลา</x:v>
      </x:c>
      <x:c r="D204" s="8" t="str">
        <x:v>พร้อมขาย</x:v>
      </x:c>
      <x:c r="E204" s="8" t="str">
        <x:v>ร้านอาหารและคาเฟ่</x:v>
      </x:c>
      <x:c r="F204" s="11" t="n">
        <x:v>46315</x:v>
      </x:c>
      <x:c r="G204" s="2" t="str">
        <x:v>TMF-200</x:v>
      </x:c>
    </x:row>
    <x:row r="205" ht="32" customHeight="1">
      <x:c r="A205" s="9" t="n">
        <x:v>197</x:v>
      </x:c>
      <x:c r="B205" s="8" t="str">
        <x:v>บังวีไก่ย่าง 5 บาท</x:v>
      </x:c>
      <x:c r="C205" s="8" t="str">
        <x:v>ยะลา</x:v>
      </x:c>
      <x:c r="D205" s="8" t="str">
        <x:v>พร้อมขาย</x:v>
      </x:c>
      <x:c r="E205" s="8" t="str">
        <x:v>ร้านอาหารและคาเฟ่</x:v>
      </x:c>
      <x:c r="F205" s="11" t="n">
        <x:v>46315</x:v>
      </x:c>
      <x:c r="G205" s="2" t="str">
        <x:v>TMF-201</x:v>
      </x:c>
    </x:row>
    <x:row r="206" ht="32" customHeight="1">
      <x:c r="A206" s="9" t="n">
        <x:v>198</x:v>
      </x:c>
      <x:c r="B206" s="8" t="str">
        <x:v>ฟารีดาซูซิ</x:v>
      </x:c>
      <x:c r="C206" s="8" t="str">
        <x:v>ยะลา</x:v>
      </x:c>
      <x:c r="D206" s="8" t="str">
        <x:v>พร้อมขาย</x:v>
      </x:c>
      <x:c r="E206" s="8" t="str">
        <x:v>ร้านอาหารและคาเฟ่</x:v>
      </x:c>
      <x:c r="F206" s="11" t="n">
        <x:v>46315</x:v>
      </x:c>
      <x:c r="G206" s="2" t="str">
        <x:v>TMF-202</x:v>
      </x:c>
    </x:row>
    <x:row r="207" ht="32" customHeight="1">
      <x:c r="A207" s="9" t="n">
        <x:v>199</x:v>
      </x:c>
      <x:c r="B207" s="8" t="str">
        <x:v>หมึกย่างน้ำจิ้มซีฟู้ด</x:v>
      </x:c>
      <x:c r="C207" s="8" t="str">
        <x:v>ยะลา</x:v>
      </x:c>
      <x:c r="D207" s="8" t="str">
        <x:v>พร้อมขาย</x:v>
      </x:c>
      <x:c r="E207" s="8" t="str">
        <x:v>ร้านอาหารและคาเฟ่</x:v>
      </x:c>
      <x:c r="F207" s="11" t="n">
        <x:v>46315</x:v>
      </x:c>
      <x:c r="G207" s="2" t="str">
        <x:v>TMF-203</x:v>
      </x:c>
    </x:row>
    <x:row r="208" ht="32" customHeight="1">
      <x:c r="A208" s="9" t="n">
        <x:v>200</x:v>
      </x:c>
      <x:c r="B208" s="8" t="str">
        <x:v>โรตีนานา</x:v>
      </x:c>
      <x:c r="C208" s="8" t="str">
        <x:v>ยะลา</x:v>
      </x:c>
      <x:c r="D208" s="8" t="str">
        <x:v>พร้อมขาย</x:v>
      </x:c>
      <x:c r="E208" s="8" t="str">
        <x:v>ร้านอาหารและคาเฟ่</x:v>
      </x:c>
      <x:c r="F208" s="11" t="n">
        <x:v>46315</x:v>
      </x:c>
      <x:c r="G208" s="2" t="str">
        <x:v>TMF-204</x:v>
      </x:c>
    </x:row>
    <x:row r="209" ht="32" customHeight="1">
      <x:c r="A209" s="9" t="n">
        <x:v>201</x:v>
      </x:c>
      <x:c r="B209" s="8" t="str">
        <x:v>BANG KEE BURGER</x:v>
      </x:c>
      <x:c r="C209" s="8" t="str">
        <x:v>ระยอง</x:v>
      </x:c>
      <x:c r="D209" s="8" t="str">
        <x:v>พร้อมขาย</x:v>
      </x:c>
      <x:c r="E209" s="8" t="str">
        <x:v>ร้านอาหารและคาเฟ่</x:v>
      </x:c>
      <x:c r="F209" s="11" t="n">
        <x:v>46315</x:v>
      </x:c>
      <x:c r="G209" s="2" t="str">
        <x:v>TMF-205</x:v>
      </x:c>
    </x:row>
    <x:row r="210" ht="32" customHeight="1">
      <x:c r="A210" s="9" t="n">
        <x:v>202</x:v>
      </x:c>
      <x:c r="B210" s="8" t="str">
        <x:v>Hala Little Home Rayong</x:v>
      </x:c>
      <x:c r="C210" s="8" t="str">
        <x:v>ระยอง</x:v>
      </x:c>
      <x:c r="D210" s="8" t="str">
        <x:v>พร้อมขาย</x:v>
      </x:c>
      <x:c r="E210" s="8" t="str">
        <x:v>ร้านอาหารและคาเฟ่</x:v>
      </x:c>
      <x:c r="F210" s="11" t="n">
        <x:v>46315</x:v>
      </x:c>
      <x:c r="G210" s="2" t="str">
        <x:v>TMF-206</x:v>
      </x:c>
    </x:row>
    <x:row r="211" ht="32" customHeight="1">
      <x:c r="A211" s="9" t="n">
        <x:v>203</x:v>
      </x:c>
      <x:c r="B211" s="8" t="str">
        <x:v>Zento Cafe &amp; Pool villa</x:v>
      </x:c>
      <x:c r="C211" s="8" t="str">
        <x:v>ระยอง</x:v>
      </x:c>
      <x:c r="D211" s="8" t="str">
        <x:v>พร้อมขาย</x:v>
      </x:c>
      <x:c r="E211" s="8" t="str">
        <x:v>ร้านอาหารและคาเฟ่</x:v>
      </x:c>
      <x:c r="F211" s="11" t="n">
        <x:v>46315</x:v>
      </x:c>
      <x:c r="G211" s="2" t="str">
        <x:v>TMF-207</x:v>
      </x:c>
    </x:row>
    <x:row r="212" ht="32" customHeight="1">
      <x:c r="A212" s="9" t="n">
        <x:v>204</x:v>
      </x:c>
      <x:c r="B212" s="8" t="str">
        <x:v>จูนาฮาลาล</x:v>
      </x:c>
      <x:c r="C212" s="8" t="str">
        <x:v>ระยอง</x:v>
      </x:c>
      <x:c r="D212" s="8" t="str">
        <x:v>พร้อมขาย</x:v>
      </x:c>
      <x:c r="E212" s="8" t="str">
        <x:v>ร้านอาหารและคาเฟ่</x:v>
      </x:c>
      <x:c r="F212" s="11" t="n">
        <x:v>46315</x:v>
      </x:c>
      <x:c r="G212" s="2" t="str">
        <x:v>TMF-208</x:v>
      </x:c>
    </x:row>
    <x:row r="213" ht="32" customHeight="1">
      <x:c r="A213" s="9" t="n">
        <x:v>205</x:v>
      </x:c>
      <x:c r="B213" s="8" t="str">
        <x:v>ตัสกีนข้าวมันไก่มุสลิม สูตรไหหลำ</x:v>
      </x:c>
      <x:c r="C213" s="8" t="str">
        <x:v>ระยอง</x:v>
      </x:c>
      <x:c r="D213" s="8" t="str">
        <x:v>พร้อมขาย</x:v>
      </x:c>
      <x:c r="E213" s="8" t="str">
        <x:v>ร้านอาหารและคาเฟ่</x:v>
      </x:c>
      <x:c r="F213" s="11" t="n">
        <x:v>46315</x:v>
      </x:c>
      <x:c r="G213" s="2" t="str">
        <x:v>TMF-209</x:v>
      </x:c>
    </x:row>
    <x:row r="214" ht="32" customHeight="1">
      <x:c r="A214" s="9" t="n">
        <x:v>206</x:v>
      </x:c>
      <x:c r="B214" s="8" t="str">
        <x:v>บังเล็กสะเต๊ะเนื้อ-สะเต๊ะไก่</x:v>
      </x:c>
      <x:c r="C214" s="8" t="str">
        <x:v>ระยอง</x:v>
      </x:c>
      <x:c r="D214" s="8" t="str">
        <x:v>พร้อมขาย</x:v>
      </x:c>
      <x:c r="E214" s="8" t="str">
        <x:v>ร้านอาหารและคาเฟ่</x:v>
      </x:c>
      <x:c r="F214" s="11" t="n">
        <x:v>46315</x:v>
      </x:c>
      <x:c r="G214" s="2" t="str">
        <x:v>TMF-210</x:v>
      </x:c>
    </x:row>
    <x:row r="215" ht="32" customHeight="1">
      <x:c r="A215" s="9" t="n">
        <x:v>207</x:v>
      </x:c>
      <x:c r="B215" s="8" t="str">
        <x:v>ไลลา คอฟฟี่</x:v>
      </x:c>
      <x:c r="C215" s="8" t="str">
        <x:v>ระยอง</x:v>
      </x:c>
      <x:c r="D215" s="8" t="str">
        <x:v>พร้อมขาย</x:v>
      </x:c>
      <x:c r="E215" s="8" t="str">
        <x:v>ร้านอาหารและคาเฟ่</x:v>
      </x:c>
      <x:c r="F215" s="11" t="n">
        <x:v>46315</x:v>
      </x:c>
      <x:c r="G215" s="2" t="str">
        <x:v>TMF-211</x:v>
      </x:c>
    </x:row>
    <x:row r="216" ht="32" customHeight="1">
      <x:c r="A216" s="9" t="n">
        <x:v>208</x:v>
      </x:c>
      <x:c r="B216" s="8" t="str">
        <x:v>ไอดม ไอแดด คาเฟ่ X ระยอง</x:v>
      </x:c>
      <x:c r="C216" s="8" t="str">
        <x:v>ระยอง</x:v>
      </x:c>
      <x:c r="D216" s="8" t="str">
        <x:v>พร้อมขาย</x:v>
      </x:c>
      <x:c r="E216" s="8" t="str">
        <x:v>ร้านอาหารและคาเฟ่</x:v>
      </x:c>
      <x:c r="F216" s="11" t="n">
        <x:v>46315</x:v>
      </x:c>
      <x:c r="G216" s="2" t="str">
        <x:v>TMF-212</x:v>
      </x:c>
    </x:row>
    <x:row r="217" ht="32" customHeight="1">
      <x:c r="A217" s="9" t="n">
        <x:v>209</x:v>
      </x:c>
      <x:c r="B217" s="8" t="str">
        <x:v>TRAVELLER'S CAFE+BISTRO มุมพักนักเดินทาง</x:v>
      </x:c>
      <x:c r="C217" s="8" t="str">
        <x:v>ลพบุรี</x:v>
      </x:c>
      <x:c r="D217" s="8" t="str">
        <x:v>พร้อมขาย</x:v>
      </x:c>
      <x:c r="E217" s="8" t="str">
        <x:v>ร้านอาหารและคาเฟ่</x:v>
      </x:c>
      <x:c r="F217" s="11" t="n">
        <x:v>46315</x:v>
      </x:c>
      <x:c r="G217" s="2" t="str">
        <x:v>TMF-213</x:v>
      </x:c>
    </x:row>
    <x:row r="218" ht="32" customHeight="1">
      <x:c r="A218" s="9" t="n">
        <x:v>210</x:v>
      </x:c>
      <x:c r="B218" s="8" t="str">
        <x:v>Alfahad Hotel</x:v>
      </x:c>
      <x:c r="C218" s="8" t="str">
        <x:v>สงขลา</x:v>
      </x:c>
      <x:c r="D218" s="8" t="str">
        <x:v>พร้อมขาย</x:v>
      </x:c>
      <x:c r="E218" s="8" t="str">
        <x:v>ที่พัก</x:v>
      </x:c>
      <x:c r="F218" s="11" t="n">
        <x:v>46315</x:v>
      </x:c>
      <x:c r="G218" s="2" t="str">
        <x:v>TMF-214</x:v>
      </x:c>
    </x:row>
    <x:row r="219" ht="32" customHeight="1">
      <x:c r="A219" s="9" t="n">
        <x:v>211</x:v>
      </x:c>
      <x:c r="B219" s="8" t="str">
        <x:v>โรงแรมญันนะตีย์</x:v>
      </x:c>
      <x:c r="C219" s="8" t="str">
        <x:v>สงขลา</x:v>
      </x:c>
      <x:c r="D219" s="8" t="str">
        <x:v>พร้อมขาย</x:v>
      </x:c>
      <x:c r="E219" s="8" t="str">
        <x:v>ที่พัก</x:v>
      </x:c>
      <x:c r="F219" s="11" t="n">
        <x:v>46315</x:v>
      </x:c>
      <x:c r="G219" s="2" t="str">
        <x:v>TMF-215</x:v>
      </x:c>
    </x:row>
    <x:row r="220" ht="32" customHeight="1">
      <x:c r="A220" s="9" t="n">
        <x:v>212</x:v>
      </x:c>
      <x:c r="B220" s="8" t="str">
        <x:v>Eat time อีทไทม์ - Halal food</x:v>
      </x:c>
      <x:c r="C220" s="8" t="str">
        <x:v>สงขลา</x:v>
      </x:c>
      <x:c r="D220" s="8" t="str">
        <x:v>พร้อมขาย</x:v>
      </x:c>
      <x:c r="E220" s="8" t="str">
        <x:v>ร้านอาหารและคาเฟ่</x:v>
      </x:c>
      <x:c r="F220" s="11" t="n">
        <x:v>46315</x:v>
      </x:c>
      <x:c r="G220" s="2" t="str">
        <x:v>TMF-216</x:v>
      </x:c>
    </x:row>
    <x:row r="221" ht="32" customHeight="1">
      <x:c r="A221" s="9" t="n">
        <x:v>213</x:v>
      </x:c>
      <x:c r="B221" s="8" t="str">
        <x:v>Ozone ลวกเส้นตำแซ่บหาดใหญ่</x:v>
      </x:c>
      <x:c r="C221" s="8" t="str">
        <x:v>สงขลา</x:v>
      </x:c>
      <x:c r="D221" s="8" t="str">
        <x:v>พร้อมขาย</x:v>
      </x:c>
      <x:c r="E221" s="8" t="str">
        <x:v>ร้านอาหารและคาเฟ่</x:v>
      </x:c>
      <x:c r="F221" s="11" t="n">
        <x:v>46315</x:v>
      </x:c>
      <x:c r="G221" s="2" t="str">
        <x:v>TMF-217</x:v>
      </x:c>
    </x:row>
    <x:row r="222" ht="32" customHeight="1">
      <x:c r="A222" s="9" t="n">
        <x:v>214</x:v>
      </x:c>
      <x:c r="B222" s="8" t="str">
        <x:v>เดอบัง สเต็ก - De' Bung สาขา ถนนเพชรเกษม หาดใหญ่ใน</x:v>
      </x:c>
      <x:c r="C222" s="8" t="str">
        <x:v>สงขลา</x:v>
      </x:c>
      <x:c r="D222" s="8" t="str">
        <x:v>พร้อมขาย</x:v>
      </x:c>
      <x:c r="E222" s="8" t="str">
        <x:v>ร้านอาหารและคาเฟ่</x:v>
      </x:c>
      <x:c r="F222" s="11" t="n">
        <x:v>46315</x:v>
      </x:c>
      <x:c r="G222" s="2" t="str">
        <x:v>TMF-218</x:v>
      </x:c>
    </x:row>
    <x:row r="223" ht="32" customHeight="1">
      <x:c r="A223" s="9" t="n">
        <x:v>215</x:v>
      </x:c>
      <x:c r="B223" s="8" t="str">
        <x:v>วังรายา คาเฟ่</x:v>
      </x:c>
      <x:c r="C223" s="8" t="str">
        <x:v>สตูล</x:v>
      </x:c>
      <x:c r="D223" s="8" t="str">
        <x:v>พร้อมขาย</x:v>
      </x:c>
      <x:c r="E223" s="8" t="str">
        <x:v>ร้านอาหารและคาเฟ่</x:v>
      </x:c>
      <x:c r="F223" s="11" t="n">
        <x:v>46315</x:v>
      </x:c>
      <x:c r="G223" s="2" t="str">
        <x:v>TMF-219</x:v>
      </x:c>
    </x:row>
    <x:row r="224" ht="32" customHeight="1">
      <x:c r="A224" s="9" t="n">
        <x:v>216</x:v>
      </x:c>
      <x:c r="B224" s="8" t="str">
        <x:v>เริน coffee beef plant</x:v>
      </x:c>
      <x:c r="C224" s="8" t="str">
        <x:v>สตูล</x:v>
      </x:c>
      <x:c r="D224" s="8" t="str">
        <x:v>พร้อมขาย</x:v>
      </x:c>
      <x:c r="E224" s="8" t="str">
        <x:v>ร้านอาหารและคาเฟ่</x:v>
      </x:c>
      <x:c r="F224" s="11" t="n">
        <x:v>46315</x:v>
      </x:c>
      <x:c r="G224" s="2" t="str">
        <x:v>TMF-220</x:v>
      </x:c>
    </x:row>
    <x:row r="225" ht="32" customHeight="1">
      <x:c r="A225" s="9" t="n">
        <x:v>217</x:v>
      </x:c>
      <x:c r="B225" s="8" t="str">
        <x:v>แอ่นแอ้นคาเฟ่</x:v>
      </x:c>
      <x:c r="C225" s="8" t="str">
        <x:v>สตูล</x:v>
      </x:c>
      <x:c r="D225" s="8" t="str">
        <x:v>พร้อมขาย</x:v>
      </x:c>
      <x:c r="E225" s="8" t="str">
        <x:v>ร้านอาหารและคาเฟ่</x:v>
      </x:c>
      <x:c r="F225" s="11" t="n">
        <x:v>46315</x:v>
      </x:c>
      <x:c r="G225" s="2" t="str">
        <x:v>TMF-221</x:v>
      </x:c>
    </x:row>
    <x:row r="226" ht="32" customHeight="1">
      <x:c r="A226" s="9" t="n">
        <x:v>218</x:v>
      </x:c>
      <x:c r="B226" s="8" t="str">
        <x:v>ไมอามี่ ซีวิว</x:v>
      </x:c>
      <x:c r="C226" s="8" t="str">
        <x:v>สตูล</x:v>
      </x:c>
      <x:c r="D226" s="8" t="str">
        <x:v>พร้อมขาย</x:v>
      </x:c>
      <x:c r="E226" s="8" t="str">
        <x:v>ที่พัก</x:v>
      </x:c>
      <x:c r="F226" s="11" t="n">
        <x:v>46315</x:v>
      </x:c>
      <x:c r="G226" s="2" t="str">
        <x:v>TMF-222</x:v>
      </x:c>
    </x:row>
    <x:row r="227" ht="32" customHeight="1">
      <x:c r="A227" s="9" t="n">
        <x:v>219</x:v>
      </x:c>
      <x:c r="B227" s="8" t="str">
        <x:v>ส้มตำบางกะสี</x:v>
      </x:c>
      <x:c r="C227" s="8" t="str">
        <x:v>สมุทรปราการ</x:v>
      </x:c>
      <x:c r="D227" s="8" t="str">
        <x:v>พร้อมขาย</x:v>
      </x:c>
      <x:c r="E227" s="8" t="str">
        <x:v>ร้านอาหารและคาเฟ่</x:v>
      </x:c>
      <x:c r="F227" s="11" t="n">
        <x:v>46315</x:v>
      </x:c>
      <x:c r="G227" s="2" t="str">
        <x:v>TMF-223</x:v>
      </x:c>
    </x:row>
    <x:row r="228" ht="32" customHeight="1">
      <x:c r="A228" s="9" t="n">
        <x:v>220</x:v>
      </x:c>
      <x:c r="B228" s="8" t="str">
        <x:v>แมนดาริน สุกี้&amp;ติ่มซำ สาขา เมกาบางนา</x:v>
      </x:c>
      <x:c r="C228" s="8" t="str">
        <x:v>สมุทรปราการ</x:v>
      </x:c>
      <x:c r="D228" s="8" t="str">
        <x:v>พร้อมขาย</x:v>
      </x:c>
      <x:c r="E228" s="8" t="str">
        <x:v>ร้านอาหารและคาเฟ่</x:v>
      </x:c>
      <x:c r="F228" s="11" t="n">
        <x:v>46315</x:v>
      </x:c>
      <x:c r="G228" s="2" t="str">
        <x:v>TMF-224</x:v>
      </x:c>
    </x:row>
    <x:row r="229" ht="32" customHeight="1">
      <x:c r="A229" s="9" t="n">
        <x:v>221</x:v>
      </x:c>
      <x:c r="B229" s="8" t="str">
        <x:v>โรตี ข้าวหมก Salute</x:v>
      </x:c>
      <x:c r="C229" s="8" t="str">
        <x:v>สมุทรปราการ</x:v>
      </x:c>
      <x:c r="D229" s="8" t="str">
        <x:v>พร้อมขาย</x:v>
      </x:c>
      <x:c r="E229" s="8" t="str">
        <x:v>ร้านอาหารและคาเฟ่</x:v>
      </x:c>
      <x:c r="F229" s="11" t="n">
        <x:v>46315</x:v>
      </x:c>
      <x:c r="G229" s="2" t="str">
        <x:v>TMF-225</x:v>
      </x:c>
    </x:row>
    <x:row r="230" ht="32" customHeight="1">
      <x:c r="A230" s="9" t="n">
        <x:v>222</x:v>
      </x:c>
      <x:c r="B230" s="8" t="str">
        <x:v>มา กิน เนื้อ จันบี Dry aged halal</x:v>
      </x:c>
      <x:c r="C230" s="8" t="str">
        <x:v>สระบุรี</x:v>
      </x:c>
      <x:c r="D230" s="8" t="str">
        <x:v>พร้อมขาย</x:v>
      </x:c>
      <x:c r="E230" s="8" t="str">
        <x:v>ร้านอาหารและคาเฟ่</x:v>
      </x:c>
      <x:c r="F230" s="11" t="n">
        <x:v>46315</x:v>
      </x:c>
      <x:c r="G230" s="2" t="str">
        <x:v>TMF-226</x:v>
      </x:c>
    </x:row>
    <x:row r="231" ht="32" customHeight="1">
      <x:c r="A231" s="9" t="n">
        <x:v>223</x:v>
      </x:c>
      <x:c r="B231" s="8" t="str">
        <x:v>ฮาลาลปากช่อง-ดุนยา ออกานิค</x:v>
      </x:c>
      <x:c r="C231" s="8" t="str">
        <x:v>สระบุรี</x:v>
      </x:c>
      <x:c r="D231" s="8" t="str">
        <x:v>พร้อมขาย</x:v>
      </x:c>
      <x:c r="E231" s="8" t="str">
        <x:v>ร้านอาหารและคาเฟ่</x:v>
      </x:c>
      <x:c r="F231" s="11" t="n">
        <x:v>46315</x:v>
      </x:c>
      <x:c r="G231" s="2" t="str">
        <x:v>TMF-227</x:v>
      </x:c>
    </x:row>
    <x:row r="232" ht="32" customHeight="1">
      <x:c r="A232" s="9" t="n">
        <x:v>224</x:v>
      </x:c>
      <x:c r="B232" s="8" t="str">
        <x:v>Aasia's kitchen</x:v>
      </x:c>
      <x:c r="C232" s="8" t="str">
        <x:v>สุราษฎร์ธานี</x:v>
      </x:c>
      <x:c r="D232" s="8" t="str">
        <x:v>พร้อมขาย</x:v>
      </x:c>
      <x:c r="E232" s="8" t="str">
        <x:v>ร้านอาหารและคาเฟ่</x:v>
      </x:c>
      <x:c r="F232" s="11" t="n">
        <x:v>46315</x:v>
      </x:c>
      <x:c r="G232" s="2" t="str">
        <x:v>TMF-228</x:v>
      </x:c>
    </x:row>
    <x:row r="233" ht="32" customHeight="1">
      <x:c r="A233" s="9" t="n">
        <x:v>225</x:v>
      </x:c>
      <x:c r="B233" s="8" t="str">
        <x:v>Love Halal Food at AngThong</x:v>
      </x:c>
      <x:c r="C233" s="8" t="str">
        <x:v>อ่างทอง</x:v>
      </x:c>
      <x:c r="D233" s="8" t="str">
        <x:v>พร้อมขาย</x:v>
      </x:c>
      <x:c r="E233" s="8" t="str">
        <x:v>ร้านอาหารและคาเฟ่</x:v>
      </x:c>
      <x:c r="F233" s="11" t="n">
        <x:v>46315</x:v>
      </x:c>
      <x:c r="G233" s="2" t="str">
        <x:v>TMF-229</x:v>
      </x:c>
    </x:row>
    <x:row r="234" ht="32" customHeight="1">
      <x:c r="A234" s="9" t="n">
        <x:v>226</x:v>
      </x:c>
      <x:c r="B234" s="8" t="str">
        <x:v>เตี๋ยวเนื้อตุ๋น บังยุบ อ่างทอง</x:v>
      </x:c>
      <x:c r="C234" s="8" t="str">
        <x:v>อ่างทอง</x:v>
      </x:c>
      <x:c r="D234" s="8" t="str">
        <x:v>พร้อมขาย</x:v>
      </x:c>
      <x:c r="E234" s="8" t="str">
        <x:v>ร้านอาหารและคาเฟ่</x:v>
      </x:c>
      <x:c r="F234" s="11" t="n">
        <x:v>46315</x:v>
      </x:c>
      <x:c r="G234" s="2" t="str">
        <x:v>TMF-230</x:v>
      </x:c>
    </x:row>
    <x:row r="235" ht="32" customHeight="1">
      <x:c r="A235" s="9" t="n">
        <x:v>227</x:v>
      </x:c>
      <x:c r="B235" s="8" t="str">
        <x:v>Arsh Boutique Hotel</x:v>
      </x:c>
      <x:c r="C235" s="8" t="str">
        <x:v>เชียงใหม่</x:v>
      </x:c>
      <x:c r="D235" s="8" t="str">
        <x:v>พร้อมขาย</x:v>
      </x:c>
      <x:c r="E235" s="8" t="str">
        <x:v>ที่พัก</x:v>
      </x:c>
      <x:c r="F235" s="11" t="n">
        <x:v>46315</x:v>
      </x:c>
      <x:c r="G235" s="2" t="str">
        <x:v>TMF-231</x:v>
      </x:c>
    </x:row>
    <x:row r="236" ht="32" customHeight="1">
      <x:c r="A236" s="9" t="n">
        <x:v>228</x:v>
      </x:c>
      <x:c r="B236" s="8" t="str">
        <x:v>Lima Lanna Hotel</x:v>
      </x:c>
      <x:c r="C236" s="8" t="str">
        <x:v>เชียงใหม่</x:v>
      </x:c>
      <x:c r="D236" s="8" t="str">
        <x:v>พร้อมขาย</x:v>
      </x:c>
      <x:c r="E236" s="8" t="str">
        <x:v>ที่พัก</x:v>
      </x:c>
      <x:c r="F236" s="11" t="n">
        <x:v>46315</x:v>
      </x:c>
      <x:c r="G236" s="2" t="str">
        <x:v>TMF-232</x:v>
      </x:c>
    </x:row>
    <x:row r="237" ht="32" customHeight="1">
      <x:c r="A237" s="9" t="n">
        <x:v>229</x:v>
      </x:c>
      <x:c r="B237" s="8" t="str">
        <x:v>มิรา เรสซิเดนซ์ &amp; รีสอร์ท</x:v>
      </x:c>
      <x:c r="C237" s="8" t="str">
        <x:v>เชียงใหม่</x:v>
      </x:c>
      <x:c r="D237" s="8" t="str">
        <x:v>พร้อมขาย</x:v>
      </x:c>
      <x:c r="E237" s="8" t="str">
        <x:v>ที่พัก</x:v>
      </x:c>
      <x:c r="F237" s="11" t="n">
        <x:v>46315</x:v>
      </x:c>
      <x:c r="G237" s="2" t="str">
        <x:v>TMF-233</x:v>
      </x:c>
    </x:row>
    <x:row r="238" ht="32" customHeight="1">
      <x:c r="A238" s="9" t="n">
        <x:v>230</x:v>
      </x:c>
      <x:c r="B238" s="8" t="str">
        <x:v>โรงแรม คาซ่า มารอค เชียงใหม่ Casa Marocc Chiangmai</x:v>
      </x:c>
      <x:c r="C238" s="8" t="str">
        <x:v>เชียงใหม่</x:v>
      </x:c>
      <x:c r="D238" s="8" t="str">
        <x:v>พร้อมขาย</x:v>
      </x:c>
      <x:c r="E238" s="8" t="str">
        <x:v>ที่พัก</x:v>
      </x:c>
      <x:c r="F238" s="11" t="n">
        <x:v>46315</x:v>
      </x:c>
      <x:c r="G238" s="2" t="str">
        <x:v>TMF-234</x:v>
      </x:c>
    </x:row>
    <x:row r="239" ht="32" customHeight="1">
      <x:c r="A239" s="9" t="n">
        <x:v>231</x:v>
      </x:c>
      <x:c r="B239" s="8" t="str">
        <x:v>Aba Village</x:v>
      </x:c>
      <x:c r="C239" s="8" t="str">
        <x:v>เชียงใหม่</x:v>
      </x:c>
      <x:c r="D239" s="8" t="str">
        <x:v>พร้อมขาย</x:v>
      </x:c>
      <x:c r="E239" s="8" t="str">
        <x:v>ที่พัก</x:v>
      </x:c>
      <x:c r="F239" s="11" t="n">
        <x:v>46315</x:v>
      </x:c>
      <x:c r="G239" s="2" t="str">
        <x:v>TMF-235</x:v>
      </x:c>
    </x:row>
    <x:row r="240" ht="32" customHeight="1">
      <x:c r="A240" s="9" t="n">
        <x:v>232</x:v>
      </x:c>
      <x:c r="B240" s="8" t="str">
        <x:v>Everything Halal CNX</x:v>
      </x:c>
      <x:c r="C240" s="8" t="str">
        <x:v>เชียงใหม่</x:v>
      </x:c>
      <x:c r="D240" s="8" t="str">
        <x:v>พร้อมขาย</x:v>
      </x:c>
      <x:c r="E240" s="8" t="str">
        <x:v>ร้านอาหารและคาเฟ่</x:v>
      </x:c>
      <x:c r="F240" s="11" t="n">
        <x:v>46315</x:v>
      </x:c>
      <x:c r="G240" s="2" t="str">
        <x:v>TMF-236</x:v>
      </x:c>
    </x:row>
    <x:row r="241" ht="32" customHeight="1">
      <x:c r="A241" s="9" t="n">
        <x:v>233</x:v>
      </x:c>
      <x:c r="B241" s="8" t="str">
        <x:v>ก๋วยเตี๋ยวเนื้อตุ๋น ครัวมัยซาเราะห์ ครัวบังมัต</x:v>
      </x:c>
      <x:c r="C241" s="8" t="str">
        <x:v>เชียงใหม่</x:v>
      </x:c>
      <x:c r="D241" s="8" t="str">
        <x:v>พร้อมขาย</x:v>
      </x:c>
      <x:c r="E241" s="8" t="str">
        <x:v>ร้านอาหารและคาเฟ่</x:v>
      </x:c>
      <x:c r="F241" s="11" t="n">
        <x:v>46315</x:v>
      </x:c>
      <x:c r="G241" s="2" t="str">
        <x:v>TMF-237</x:v>
      </x:c>
    </x:row>
    <x:row r="242" ht="32" customHeight="1">
      <x:c r="A242" s="9" t="n">
        <x:v>234</x:v>
      </x:c>
      <x:c r="B242" s="8" t="str">
        <x:v>หรอยลำนัว</x:v>
      </x:c>
      <x:c r="C242" s="8" t="str">
        <x:v>เชียงใหม่</x:v>
      </x:c>
      <x:c r="D242" s="8" t="str">
        <x:v>พร้อมขาย</x:v>
      </x:c>
      <x:c r="E242" s="8" t="str">
        <x:v>ร้านอาหารและคาเฟ่</x:v>
      </x:c>
      <x:c r="F242" s="11" t="n">
        <x:v>46315</x:v>
      </x:c>
      <x:c r="G242" s="2" t="str">
        <x:v>TMF-238</x:v>
      </x:c>
    </x:row>
    <x:row r="243" ht="32" customHeight="1">
      <x:c r="A243" s="9" t="n">
        <x:v>235</x:v>
      </x:c>
      <x:c r="B243" s="8" t="str">
        <x:v>เลอบิส</x:v>
      </x:c>
      <x:c r="C243" s="8" t="str">
        <x:v>เชียงใหม่</x:v>
      </x:c>
      <x:c r="D243" s="8" t="str">
        <x:v>พร้อมขาย</x:v>
      </x:c>
      <x:c r="E243" s="8" t="str">
        <x:v>ร้านอาหารและคาเฟ่</x:v>
      </x:c>
      <x:c r="F243" s="11" t="n">
        <x:v>46315</x:v>
      </x:c>
      <x:c r="G243" s="2" t="str">
        <x:v>TMF-239</x:v>
      </x:c>
    </x:row>
    <x:row r="244" ht="32" customHeight="1">
      <x:c r="A244" s="9" t="n">
        <x:v>236</x:v>
      </x:c>
      <x:c r="B244" s="8" t="str">
        <x:v>ไท่ไท่ทองอินทร์</x:v>
      </x:c>
      <x:c r="C244" s="8" t="str">
        <x:v>เชียงใหม่</x:v>
      </x:c>
      <x:c r="D244" s="8" t="str">
        <x:v>พร้อมขาย</x:v>
      </x:c>
      <x:c r="E244" s="8" t="str">
        <x:v>ร้านอาหารและคาเฟ่</x:v>
      </x:c>
      <x:c r="F244" s="11" t="n">
        <x:v>46315</x:v>
      </x:c>
      <x:c r="G244" s="2" t="str">
        <x:v>TMF-240</x:v>
      </x:c>
    </x:row>
    <x:row r="245" ht="32" customHeight="1">
      <x:c r="A245" s="9" t="n">
        <x:v>237</x:v>
      </x:c>
      <x:c r="B245" s="8" t="str">
        <x:v>Hnisme family poolvilla</x:v>
      </x:c>
      <x:c r="C245" s="8" t="str">
        <x:v>เพชรบุรี</x:v>
      </x:c>
      <x:c r="D245" s="8" t="str">
        <x:v>พร้อมขาย</x:v>
      </x:c>
      <x:c r="E245" s="8" t="str">
        <x:v>ร้านอาหารและคาเฟ่</x:v>
      </x:c>
      <x:c r="F245" s="11" t="n">
        <x:v>46315</x:v>
      </x:c>
      <x:c r="G245" s="2" t="str">
        <x:v>TMF-241</x:v>
      </x:c>
    </x:row>
    <x:row r="246" ht="32" customHeight="1">
      <x:c r="A246" s="9" t="n">
        <x:v>238</x:v>
      </x:c>
      <x:c r="B246" s="8" t="str">
        <x:v>ไร่ธัญเบอรี่ Tanya Berry Resort</x:v>
      </x:c>
      <x:c r="C246" s="8" t="str">
        <x:v>เพชรบูรณ์</x:v>
      </x:c>
      <x:c r="D246" s="8" t="str">
        <x:v>พร้อมขาย</x:v>
      </x:c>
      <x:c r="E246" s="8" t="str">
        <x:v>ที่พัก</x:v>
      </x:c>
      <x:c r="F246" s="11" t="n">
        <x:v>46315</x:v>
      </x:c>
      <x:c r="G246" s="2" t="str">
        <x:v>TMF-243</x:v>
      </x:c>
    </x:row>
    <x:row r="247" ht="32" customHeight="1">
      <x:c r="A247" s="9" t="n">
        <x:v>239</x:v>
      </x:c>
      <x:c r="B247" s="8" t="str">
        <x:v>DD O-Zone พูลวิลล่า ฮาลาลฟู้ด ภูทับเบิก</x:v>
      </x:c>
      <x:c r="C247" s="8" t="str">
        <x:v>เพชรบูรณ์</x:v>
      </x:c>
      <x:c r="D247" s="8" t="str">
        <x:v>พร้อมขาย</x:v>
      </x:c>
      <x:c r="E247" s="8" t="str">
        <x:v>ที่พัก</x:v>
      </x:c>
      <x:c r="F247" s="11" t="n">
        <x:v>46315</x:v>
      </x:c>
      <x:c r="G247" s="2" t="str">
        <x:v>TMF-244</x:v>
      </x:c>
    </x:row>
    <x:row r="248" ht="32" customHeight="1">
      <x:c r="A248" s="9" t="n">
        <x:v>240</x:v>
      </x:c>
      <x:c r="B248" s="8" t="str">
        <x:v>Hilwah น้ำแซนวิชโบราณฮาลาล</x:v>
      </x:c>
      <x:c r="C248" s="8" t="str">
        <x:v>กรุงเทพมหานคร</x:v>
      </x:c>
      <x:c r="D248" s="8" t="str">
        <x:v>พร้อมขาย</x:v>
      </x:c>
      <x:c r="E248" s="8" t="str">
        <x:v>ร้านอาหารและคาเฟ่</x:v>
      </x:c>
      <x:c r="F248" s="11" t="n">
        <x:v>46315</x:v>
      </x:c>
      <x:c r="G248" s="2" t="str">
        <x:v>TMF-245</x:v>
      </x:c>
    </x:row>
    <x:row r="249" ht="32" customHeight="1">
      <x:c r="A249" s="9" t="n">
        <x:v>241</x:v>
      </x:c>
      <x:c r="B249" s="8" t="str">
        <x:v>โรงชา@คลองแม่จัน</x:v>
      </x:c>
      <x:c r="C249" s="8" t="str">
        <x:v>กรุงเทพมหานคร</x:v>
      </x:c>
      <x:c r="D249" s="8" t="str">
        <x:v>พร้อมขาย</x:v>
      </x:c>
      <x:c r="E249" s="8" t="str">
        <x:v>ร้านอาหารและคาเฟ่</x:v>
      </x:c>
      <x:c r="F249" s="11" t="n">
        <x:v>46315</x:v>
      </x:c>
      <x:c r="G249" s="2" t="str">
        <x:v>TMF-247</x:v>
      </x:c>
    </x:row>
    <x:row r="250" ht="32" customHeight="1">
      <x:c r="A250" s="9" t="n">
        <x:v>242</x:v>
      </x:c>
      <x:c r="B250" s="8" t="str">
        <x:v>Pai In Town Hotel</x:v>
      </x:c>
      <x:c r="C250" s="8" t="str">
        <x:v>แม่ฮ่องสอน</x:v>
      </x:c>
      <x:c r="D250" s="8" t="str">
        <x:v>พร้อมขาย</x:v>
      </x:c>
      <x:c r="E250" s="8" t="str">
        <x:v>ที่พัก</x:v>
      </x:c>
      <x:c r="F250" s="11" t="n">
        <x:v>46315</x:v>
      </x:c>
      <x:c r="G250" s="2" t="str">
        <x:v>TMF-248</x:v>
      </x:c>
    </x:row>
    <x:row r="251" ht="32" customHeight="1">
      <x:c r="A251" s="9" t="n">
        <x:v>243</x:v>
      </x:c>
      <x:c r="B251" s="8" t="str">
        <x:v>Mp house at pai</x:v>
      </x:c>
      <x:c r="C251" s="8" t="str">
        <x:v>แม่ฮ่องสอน</x:v>
      </x:c>
      <x:c r="D251" s="8" t="str">
        <x:v>พร้อมขาย</x:v>
      </x:c>
      <x:c r="E251" s="8" t="str">
        <x:v>ที่พัก</x:v>
      </x:c>
      <x:c r="F251" s="11" t="n">
        <x:v>46315</x:v>
      </x:c>
      <x:c r="G251" s="2" t="str">
        <x:v>TMF-249</x:v>
      </x:c>
    </x:row>
    <x:row r="252" ht="32" customHeight="1">
      <x:c r="A252" s="9" t="n">
        <x:v>244</x:v>
      </x:c>
      <x:c r="B252" s="8" t="str">
        <x:v>zeesma halal food</x:v>
      </x:c>
      <x:c r="C252" s="8" t="str">
        <x:v>แม่ฮ่องสอน</x:v>
      </x:c>
      <x:c r="D252" s="8" t="str">
        <x:v>พร้อมขาย</x:v>
      </x:c>
      <x:c r="E252" s="8" t="str">
        <x:v>ร้านอาหารและคาเฟ่</x:v>
      </x:c>
      <x:c r="F252" s="11" t="n">
        <x:v>46315</x:v>
      </x:c>
      <x:c r="G252" s="2" t="str">
        <x:v>TMF-250</x:v>
      </x:c>
    </x:row>
    <x:row r="253" ht="32" customHeight="1">
      <x:c r="A253" s="9" t="n">
        <x:v>245</x:v>
      </x:c>
      <x:c r="B253" s="8" t="str">
        <x:v>Mareeya Resort &amp; Farm.ไร่มารียาฟาร์ม</x:v>
      </x:c>
      <x:c r="C253" s="8" t="str">
        <x:v>เชียงราย</x:v>
      </x:c>
      <x:c r="D253" s="8" t="str">
        <x:v>พัฒนาเพื่อพร้อมขาย</x:v>
      </x:c>
      <x:c r="E253" s="8" t="str">
        <x:v>ที่พัก</x:v>
      </x:c>
      <x:c r="F253" s="11" t="n">
        <x:v>46315</x:v>
      </x:c>
      <x:c r="G253" s="2" t="str">
        <x:v>TMF-251</x:v>
      </x:c>
    </x:row>
    <x:row r="254" ht="32" customHeight="1">
      <x:c r="A254" s="9" t="n">
        <x:v>246</x:v>
      </x:c>
      <x:c r="B254" s="8" t="str">
        <x:v>กาแฟหัวโค้ง</x:v>
      </x:c>
      <x:c r="C254" s="8" t="str">
        <x:v>พระนครศรีอยุธยา</x:v>
      </x:c>
      <x:c r="D254" s="8" t="str">
        <x:v>พัฒนาเพื่อพร้อมขาย</x:v>
      </x:c>
      <x:c r="E254" s="8" t="str">
        <x:v>ร้านอาหารและคาเฟ่</x:v>
      </x:c>
      <x:c r="F254" s="11" t="n">
        <x:v>46315</x:v>
      </x:c>
      <x:c r="G254" s="2" t="str">
        <x:v>TMF-252</x:v>
      </x:c>
    </x:row>
    <x:row r="255" ht="32" customHeight="1">
      <x:c r="A255" s="9" t="n">
        <x:v>247</x:v>
      </x:c>
      <x:c r="B255" s="8" t="str">
        <x:v>ครัวล้านนา อาหารเหนือมุสลิม (ลุมพลี)</x:v>
      </x:c>
      <x:c r="C255" s="8" t="str">
        <x:v>พระนครศรีอยุธยา</x:v>
      </x:c>
      <x:c r="D255" s="8" t="str">
        <x:v>พัฒนาเพื่อพร้อมขาย</x:v>
      </x:c>
      <x:c r="E255" s="8" t="str">
        <x:v>ร้านอาหารและคาเฟ่</x:v>
      </x:c>
      <x:c r="F255" s="11" t="n">
        <x:v>46315</x:v>
      </x:c>
      <x:c r="G255" s="2" t="str">
        <x:v>TMF-253</x:v>
      </x:c>
    </x:row>
    <x:row r="256" ht="32" customHeight="1">
      <x:c r="A256" s="9" t="n">
        <x:v>248</x:v>
      </x:c>
      <x:c r="B256" s="8" t="str">
        <x:v>ชามิลฮาล้าล ก๋วยเตี๋ยว กาแฟสด คลองตะเคียน</x:v>
      </x:c>
      <x:c r="C256" s="8" t="str">
        <x:v>พระนครศรีอยุธยา</x:v>
      </x:c>
      <x:c r="D256" s="8" t="str">
        <x:v>พัฒนาเพื่อพร้อมขาย</x:v>
      </x:c>
      <x:c r="E256" s="8" t="str">
        <x:v>ร้านอาหารและคาเฟ่</x:v>
      </x:c>
      <x:c r="F256" s="11" t="n">
        <x:v>46315</x:v>
      </x:c>
      <x:c r="G256" s="2" t="str">
        <x:v>TMF-254</x:v>
      </x:c>
    </x:row>
    <x:row r="257" ht="32" customHeight="1">
      <x:c r="A257" s="9" t="n">
        <x:v>249</x:v>
      </x:c>
      <x:c r="B257" s="8" t="str">
        <x:v>อะฟาฟ อาหารมุสลิม</x:v>
      </x:c>
      <x:c r="C257" s="8" t="str">
        <x:v>พระนครศรีอยุธยา</x:v>
      </x:c>
      <x:c r="D257" s="8" t="str">
        <x:v>พัฒนาเพื่อพร้อมขาย</x:v>
      </x:c>
      <x:c r="E257" s="8" t="str">
        <x:v>ร้านอาหารและคาเฟ่</x:v>
      </x:c>
      <x:c r="F257" s="11" t="n">
        <x:v>46315</x:v>
      </x:c>
      <x:c r="G257" s="2" t="str">
        <x:v>TMF-255</x:v>
      </x:c>
    </x:row>
    <x:row r="258" ht="32" customHeight="1">
      <x:c r="A258" s="9" t="n">
        <x:v>250</x:v>
      </x:c>
      <x:c r="B258" s="8" t="str">
        <x:v>อะฟาฟ อาหารมุสลิม สาขาบ้านสวน 3</x:v>
      </x:c>
      <x:c r="C258" s="8" t="str">
        <x:v>พระนครศรีอยุธยา</x:v>
      </x:c>
      <x:c r="D258" s="8" t="str">
        <x:v>พัฒนาเพื่อพร้อมขาย</x:v>
      </x:c>
      <x:c r="E258" s="8" t="str">
        <x:v>ร้านอาหารและคาเฟ่</x:v>
      </x:c>
      <x:c r="F258" s="11" t="n">
        <x:v>46315</x:v>
      </x:c>
      <x:c r="G258" s="2" t="str">
        <x:v>TMF-256</x:v>
      </x:c>
    </x:row>
    <x:row r="259" ht="32" customHeight="1">
      <x:c r="A259" s="9" t="n">
        <x:v>251</x:v>
      </x:c>
      <x:c r="B259" s="8" t="str">
        <x:v>ฮัจยีแดง สาขา 4</x:v>
      </x:c>
      <x:c r="C259" s="8" t="str">
        <x:v>พระนครศรีอยุธยา</x:v>
      </x:c>
      <x:c r="D259" s="8" t="str">
        <x:v>พัฒนาเพื่อพร้อมขาย</x:v>
      </x:c>
      <x:c r="E259" s="8" t="str">
        <x:v>ร้านอาหารและคาเฟ่</x:v>
      </x:c>
      <x:c r="F259" s="11" t="n">
        <x:v>46315</x:v>
      </x:c>
      <x:c r="G259" s="2" t="str">
        <x:v>TMF-257</x:v>
      </x:c>
    </x:row>
    <x:row r="260" ht="32" customHeight="1">
      <x:c r="A260" s="9" t="n">
        <x:v>252</x:v>
      </x:c>
      <x:c r="B260" s="8" t="str">
        <x:v>โจ๊กเสือร้องไห้</x:v>
      </x:c>
      <x:c r="C260" s="8" t="str">
        <x:v>พระนครศรีอยุธยา</x:v>
      </x:c>
      <x:c r="D260" s="8" t="str">
        <x:v>พัฒนาเพื่อพร้อมขาย</x:v>
      </x:c>
      <x:c r="E260" s="8" t="str">
        <x:v>ร้านอาหารและคาเฟ่</x:v>
      </x:c>
      <x:c r="F260" s="11" t="n">
        <x:v>46315</x:v>
      </x:c>
      <x:c r="G260" s="2" t="str">
        <x:v>TMF-258</x:v>
      </x:c>
    </x:row>
    <x:row r="261" ht="32" customHeight="1">
      <x:c r="A261" s="9" t="n">
        <x:v>253</x:v>
      </x:c>
      <x:c r="B261" s="8" t="str">
        <x:v>โรตีสายไหม อาบีดีน-ประนอม แสงอรุณ สาขา 2</x:v>
      </x:c>
      <x:c r="C261" s="8" t="str">
        <x:v>พระนครศรีอยุธยา</x:v>
      </x:c>
      <x:c r="D261" s="8" t="str">
        <x:v>พัฒนาเพื่อพร้อมขาย</x:v>
      </x:c>
      <x:c r="E261" s="8" t="str">
        <x:v>ร้านอาหารและคาเฟ่</x:v>
      </x:c>
      <x:c r="F261" s="11" t="n">
        <x:v>46315</x:v>
      </x:c>
      <x:c r="G261" s="2" t="str">
        <x:v>TMF-259</x:v>
      </x:c>
    </x:row>
    <x:row r="262" ht="32" customHeight="1">
      <x:c r="A262" s="9" t="n">
        <x:v>254</x:v>
      </x:c>
      <x:c r="B262" s="8" t="str">
        <x:v>ไก่ทอดหาดใหญ่ มูฮำหมัด อยุธยา สาขา 2 (ตรงข้ามวัดธรรมิกราช)</x:v>
      </x:c>
      <x:c r="C262" s="8" t="str">
        <x:v>พระนครศรีอยุธยา</x:v>
      </x:c>
      <x:c r="D262" s="8" t="str">
        <x:v>พัฒนาเพื่อพร้อมขาย</x:v>
      </x:c>
      <x:c r="E262" s="8" t="str">
        <x:v>ร้านอาหารและคาเฟ่</x:v>
      </x:c>
      <x:c r="F262" s="11" t="n">
        <x:v>46315</x:v>
      </x:c>
      <x:c r="G262" s="2" t="str">
        <x:v>TMF-260</x:v>
      </x:c>
    </x:row>
    <x:row r="263" ht="32" customHeight="1">
      <x:c r="A263" s="9" t="n">
        <x:v>255</x:v>
      </x:c>
      <x:c r="B263" s="8" t="str">
        <x:v>ไก่ทอดหาดใหญ่ มูฮำหมัด-อยุธยา สาขา 1</x:v>
      </x:c>
      <x:c r="C263" s="8" t="str">
        <x:v>พระนครศรีอยุธยา</x:v>
      </x:c>
      <x:c r="D263" s="8" t="str">
        <x:v>พัฒนาเพื่อพร้อมขาย</x:v>
      </x:c>
      <x:c r="E263" s="8" t="str">
        <x:v>ร้านอาหารและคาเฟ่</x:v>
      </x:c>
      <x:c r="F263" s="11" t="n">
        <x:v>46315</x:v>
      </x:c>
      <x:c r="G263" s="2" t="str">
        <x:v>TMF-261</x:v>
      </x:c>
    </x:row>
    <x:row r="264" ht="32" customHeight="1">
      <x:c r="A264" s="9" t="n">
        <x:v>256</x:v>
      </x:c>
      <x:c r="B264" s="8" t="str">
        <x:v>โรตีฮาลาลเจ้าเก่าน้ำพรุร้อนหินดาด</x:v>
      </x:c>
      <x:c r="C264" s="8" t="str">
        <x:v>กาญจนบุรี</x:v>
      </x:c>
      <x:c r="D264" s="8" t="str">
        <x:v>พัฒนาเพื่อพร้อมขาย</x:v>
      </x:c>
      <x:c r="E264" s="8" t="str">
        <x:v>ร้านอาหารและคาเฟ่</x:v>
      </x:c>
      <x:c r="F264" s="11" t="n">
        <x:v>46315</x:v>
      </x:c>
      <x:c r="G264" s="2" t="str">
        <x:v>TMF-262</x:v>
      </x:c>
    </x:row>
    <x:row r="265" ht="32" customHeight="1">
      <x:c r="A265" s="9" t="n">
        <x:v>257</x:v>
      </x:c>
      <x:c r="B265" s="8" t="str">
        <x:v>Venice Krabi Villa Resort</x:v>
      </x:c>
      <x:c r="C265" s="8" t="str">
        <x:v>กระบี่</x:v>
      </x:c>
      <x:c r="D265" s="8" t="str">
        <x:v>พัฒนาเพื่อพร้อมขาย</x:v>
      </x:c>
      <x:c r="E265" s="8" t="str">
        <x:v>ที่พัก</x:v>
      </x:c>
      <x:c r="F265" s="11" t="n">
        <x:v>46315</x:v>
      </x:c>
      <x:c r="G265" s="2" t="str">
        <x:v>TMF-263</x:v>
      </x:c>
    </x:row>
    <x:row r="266" ht="32" customHeight="1">
      <x:c r="A266" s="9" t="n">
        <x:v>258</x:v>
      </x:c>
      <x:c r="B266" s="8" t="str">
        <x:v>บ้านใสใน รีสอร์ท</x:v>
      </x:c>
      <x:c r="C266" s="8" t="str">
        <x:v>กระบี่</x:v>
      </x:c>
      <x:c r="D266" s="8" t="str">
        <x:v>พัฒนาเพื่อพร้อมขาย</x:v>
      </x:c>
      <x:c r="E266" s="8" t="str">
        <x:v>ที่พัก</x:v>
      </x:c>
      <x:c r="F266" s="11" t="n">
        <x:v>46315</x:v>
      </x:c>
      <x:c r="G266" s="2" t="str">
        <x:v>TMF-264</x:v>
      </x:c>
    </x:row>
    <x:row r="267" ht="32" customHeight="1">
      <x:c r="A267" s="9" t="n">
        <x:v>259</x:v>
      </x:c>
      <x:c r="B267" s="8" t="str">
        <x:v>อ่าวนาง ซิลเวอร์ ออร์คิด รีสอร์ท</x:v>
      </x:c>
      <x:c r="C267" s="8" t="str">
        <x:v>กระบี่</x:v>
      </x:c>
      <x:c r="D267" s="8" t="str">
        <x:v>พัฒนาเพื่อพร้อมขาย</x:v>
      </x:c>
      <x:c r="E267" s="8" t="str">
        <x:v>ที่พัก</x:v>
      </x:c>
      <x:c r="F267" s="11" t="n">
        <x:v>46315</x:v>
      </x:c>
      <x:c r="G267" s="2" t="str">
        <x:v>TMF-265</x:v>
      </x:c>
    </x:row>
    <x:row r="268" ht="32" customHeight="1">
      <x:c r="A268" s="9" t="n">
        <x:v>260</x:v>
      </x:c>
      <x:c r="B268" s="8" t="str">
        <x:v>โรงแรมกระบี่เพชรไพลิน</x:v>
      </x:c>
      <x:c r="C268" s="8" t="str">
        <x:v>กระบี่</x:v>
      </x:c>
      <x:c r="D268" s="8" t="str">
        <x:v>พัฒนาเพื่อพร้อมขาย</x:v>
      </x:c>
      <x:c r="E268" s="8" t="str">
        <x:v>ที่พัก</x:v>
      </x:c>
      <x:c r="F268" s="11" t="n">
        <x:v>46315</x:v>
      </x:c>
      <x:c r="G268" s="2" t="str">
        <x:v>TMF-266</x:v>
      </x:c>
    </x:row>
    <x:row r="269" ht="32" customHeight="1">
      <x:c r="A269" s="9" t="n">
        <x:v>261</x:v>
      </x:c>
      <x:c r="B269" s="8" t="str">
        <x:v>โรงแรมอ่าวนางวิลล่า รีสอร์ท</x:v>
      </x:c>
      <x:c r="C269" s="8" t="str">
        <x:v>กระบี่</x:v>
      </x:c>
      <x:c r="D269" s="8" t="str">
        <x:v>พัฒนาเพื่อพร้อมขาย</x:v>
      </x:c>
      <x:c r="E269" s="8" t="str">
        <x:v>ที่พัก</x:v>
      </x:c>
      <x:c r="F269" s="11" t="n">
        <x:v>46315</x:v>
      </x:c>
      <x:c r="G269" s="2" t="str">
        <x:v>TMF-267</x:v>
      </x:c>
    </x:row>
    <x:row r="270" ht="32" customHeight="1">
      <x:c r="A270" s="9" t="n">
        <x:v>262</x:v>
      </x:c>
      <x:c r="B270" s="8" t="str">
        <x:v>โรงแรมแองโคล่า วายแอนด์ดับบลิว</x:v>
      </x:c>
      <x:c r="C270" s="8" t="str">
        <x:v>กระบี่</x:v>
      </x:c>
      <x:c r="D270" s="8" t="str">
        <x:v>พัฒนาเพื่อพร้อมขาย</x:v>
      </x:c>
      <x:c r="E270" s="8" t="str">
        <x:v>ที่พัก</x:v>
      </x:c>
      <x:c r="F270" s="11" t="n">
        <x:v>46315</x:v>
      </x:c>
      <x:c r="G270" s="2" t="str">
        <x:v>TMF-268</x:v>
      </x:c>
    </x:row>
    <x:row r="271" ht="32" customHeight="1">
      <x:c r="A271" s="9" t="n">
        <x:v>263</x:v>
      </x:c>
      <x:c r="B271" s="8" t="str">
        <x:v>Amanah Bangkok</x:v>
      </x:c>
      <x:c r="C271" s="8" t="str">
        <x:v>กรุงเทพมหานคร</x:v>
      </x:c>
      <x:c r="D271" s="8" t="str">
        <x:v>พัฒนาเพื่อพร้อมขาย</x:v>
      </x:c>
      <x:c r="E271" s="8" t="str">
        <x:v>ที่พัก</x:v>
      </x:c>
      <x:c r="F271" s="11" t="n">
        <x:v>46315</x:v>
      </x:c>
      <x:c r="G271" s="2" t="str">
        <x:v>TMF-269</x:v>
      </x:c>
    </x:row>
    <x:row r="272" ht="32" customHeight="1">
      <x:c r="A272" s="9" t="n">
        <x:v>264</x:v>
      </x:c>
      <x:c r="B272" s="8" t="str">
        <x:v>Noursabah Boutique Bed Bangkok</x:v>
      </x:c>
      <x:c r="C272" s="8" t="str">
        <x:v>กรุงเทพมหานคร</x:v>
      </x:c>
      <x:c r="D272" s="8" t="str">
        <x:v>พัฒนาเพื่อพร้อมขาย</x:v>
      </x:c>
      <x:c r="E272" s="8" t="str">
        <x:v>ที่พัก</x:v>
      </x:c>
      <x:c r="F272" s="11" t="n">
        <x:v>46315</x:v>
      </x:c>
      <x:c r="G272" s="2" t="str">
        <x:v>TMF-270</x:v>
      </x:c>
    </x:row>
    <x:row r="273" ht="32" customHeight="1">
      <x:c r="A273" s="9" t="n">
        <x:v>265</x:v>
      </x:c>
      <x:c r="B273" s="8" t="str">
        <x:v>โรงแรมอัญชาลีน่าแกรนด์</x:v>
      </x:c>
      <x:c r="C273" s="8" t="str">
        <x:v>กรุงเทพมหานคร</x:v>
      </x:c>
      <x:c r="D273" s="8" t="str">
        <x:v>พัฒนาเพื่อพร้อมขาย</x:v>
      </x:c>
      <x:c r="E273" s="8" t="str">
        <x:v>ที่พัก</x:v>
      </x:c>
      <x:c r="F273" s="11" t="n">
        <x:v>46315</x:v>
      </x:c>
      <x:c r="G273" s="2" t="str">
        <x:v>TMF-272</x:v>
      </x:c>
    </x:row>
    <x:row r="274" ht="32" customHeight="1">
      <x:c r="A274" s="9" t="n">
        <x:v>266</x:v>
      </x:c>
      <x:c r="B274" s="8" t="str">
        <x:v>AMI MALAYA INDONESIAN HALAL FOOD (Phenix ประตูน้ำ)</x:v>
      </x:c>
      <x:c r="C274" s="8" t="str">
        <x:v>กรุงเทพมหานคร</x:v>
      </x:c>
      <x:c r="D274" s="8" t="str">
        <x:v>พัฒนาเพื่อพร้อมขาย</x:v>
      </x:c>
      <x:c r="E274" s="8" t="str">
        <x:v>ร้านอาหารและคาเฟ่</x:v>
      </x:c>
      <x:c r="F274" s="11" t="n">
        <x:v>46315</x:v>
      </x:c>
      <x:c r="G274" s="2" t="str">
        <x:v>TMF-273</x:v>
      </x:c>
    </x:row>
    <x:row r="275" ht="32" customHeight="1">
      <x:c r="A275" s="9" t="n">
        <x:v>267</x:v>
      </x:c>
      <x:c r="B275" s="8" t="str">
        <x:v>APA SOI- ข้าวซอยยูนนาน ฮาลาล</x:v>
      </x:c>
      <x:c r="C275" s="8" t="str">
        <x:v>กรุงเทพมหานคร</x:v>
      </x:c>
      <x:c r="D275" s="8" t="str">
        <x:v>พัฒนาเพื่อพร้อมขาย</x:v>
      </x:c>
      <x:c r="E275" s="8" t="str">
        <x:v>ร้านอาหารและคาเฟ่</x:v>
      </x:c>
      <x:c r="F275" s="11" t="n">
        <x:v>46315</x:v>
      </x:c>
      <x:c r="G275" s="2" t="str">
        <x:v>TMF-274</x:v>
      </x:c>
    </x:row>
    <x:row r="276" ht="32" customHeight="1">
      <x:c r="A276" s="9" t="n">
        <x:v>268</x:v>
      </x:c>
      <x:c r="B276" s="8" t="str">
        <x:v>Afanti XinJiang Halal Food สาขาบรรทัดทอง</x:v>
      </x:c>
      <x:c r="C276" s="8" t="str">
        <x:v>กรุงเทพมหานคร</x:v>
      </x:c>
      <x:c r="D276" s="8" t="str">
        <x:v>พัฒนาเพื่อพร้อมขาย</x:v>
      </x:c>
      <x:c r="E276" s="8" t="str">
        <x:v>ร้านอาหารและคาเฟ่</x:v>
      </x:c>
      <x:c r="F276" s="11" t="n">
        <x:v>46315</x:v>
      </x:c>
      <x:c r="G276" s="2" t="str">
        <x:v>TMF-275</x:v>
      </x:c>
    </x:row>
    <x:row r="277" ht="32" customHeight="1">
      <x:c r="A277" s="9" t="n">
        <x:v>269</x:v>
      </x:c>
      <x:c r="B277" s="8" t="str">
        <x:v>Aladeen Restaurant &amp; Cafe</x:v>
      </x:c>
      <x:c r="C277" s="8" t="str">
        <x:v>กรุงเทพมหานคร</x:v>
      </x:c>
      <x:c r="D277" s="8" t="str">
        <x:v>พัฒนาเพื่อพร้อมขาย</x:v>
      </x:c>
      <x:c r="E277" s="8" t="str">
        <x:v>ร้านอาหารและคาเฟ่</x:v>
      </x:c>
      <x:c r="F277" s="11" t="n">
        <x:v>46315</x:v>
      </x:c>
      <x:c r="G277" s="2" t="str">
        <x:v>TMF-276</x:v>
      </x:c>
    </x:row>
    <x:row r="278" ht="32" customHeight="1">
      <x:c r="A278" s="9" t="n">
        <x:v>270</x:v>
      </x:c>
      <x:c r="B278" s="8" t="str">
        <x:v>Aladia Ramen</x:v>
      </x:c>
      <x:c r="C278" s="8" t="str">
        <x:v>กรุงเทพมหานคร</x:v>
      </x:c>
      <x:c r="D278" s="8" t="str">
        <x:v>พัฒนาเพื่อพร้อมขาย</x:v>
      </x:c>
      <x:c r="E278" s="8" t="str">
        <x:v>ร้านอาหารและคาเฟ่</x:v>
      </x:c>
      <x:c r="F278" s="11" t="n">
        <x:v>46315</x:v>
      </x:c>
      <x:c r="G278" s="2" t="str">
        <x:v>TMF-277</x:v>
      </x:c>
    </x:row>
    <x:row r="279" ht="32" customHeight="1">
      <x:c r="A279" s="9" t="n">
        <x:v>271</x:v>
      </x:c>
      <x:c r="B279" s="8" t="str">
        <x:v>สยามพารากอน</x:v>
      </x:c>
      <x:c r="C279" s="8" t="str">
        <x:v>กรุงเทพมหานคร</x:v>
      </x:c>
      <x:c r="D279" s="8" t="str">
        <x:v>พัฒนาเพื่อพร้อมขาย</x:v>
      </x:c>
      <x:c r="E279" s="8" t="str">
        <x:v>ศูนย์การค้า</x:v>
      </x:c>
      <x:c r="F279" s="11" t="n">
        <x:v>46315</x:v>
      </x:c>
      <x:c r="G279" s="2" t="str">
        <x:v>TMF-278</x:v>
      </x:c>
    </x:row>
    <x:row r="280" ht="32" customHeight="1">
      <x:c r="A280" s="9" t="n">
        <x:v>272</x:v>
      </x:c>
      <x:c r="B280" s="8" t="str">
        <x:v>มัรกัส มีนบุรี</x:v>
      </x:c>
      <x:c r="C280" s="8" t="str">
        <x:v>กรุงเทพมหานคร</x:v>
      </x:c>
      <x:c r="D280" s="8" t="str">
        <x:v>พัฒนาเพื่อพร้อมขาย</x:v>
      </x:c>
      <x:c r="E280" s="8" t="str">
        <x:v>แหล่งท่องเที่ยวทางประวัติศาสตร์และวัฒนธรรม</x:v>
      </x:c>
      <x:c r="F280" s="11" t="n">
        <x:v>46315</x:v>
      </x:c>
      <x:c r="G280" s="2" t="str">
        <x:v>TMF-279</x:v>
      </x:c>
    </x:row>
    <x:row r="281" ht="32" customHeight="1">
      <x:c r="A281" s="9" t="n">
        <x:v>273</x:v>
      </x:c>
      <x:c r="B281" s="8" t="str">
        <x:v>มัสยิดกมาลุ้ลอิสลาม (ทรายกองดิน)</x:v>
      </x:c>
      <x:c r="C281" s="8" t="str">
        <x:v>กรุงเทพมหานคร</x:v>
      </x:c>
      <x:c r="D281" s="8" t="str">
        <x:v>พัฒนาเพื่อพร้อมขาย</x:v>
      </x:c>
      <x:c r="E281" s="8" t="str">
        <x:v>แหล่งท่องเที่ยวทางประวัติศาสตร์และวัฒนธรรม</x:v>
      </x:c>
      <x:c r="F281" s="11" t="n">
        <x:v>46315</x:v>
      </x:c>
      <x:c r="G281" s="2" t="str">
        <x:v>TMF-280</x:v>
      </x:c>
    </x:row>
    <x:row r="282" ht="32" customHeight="1">
      <x:c r="A282" s="9" t="n">
        <x:v>274</x:v>
      </x:c>
      <x:c r="B282" s="8" t="str">
        <x:v>มัสยิดกมาลุ้ลเอี๊ยะห์ซาน (มัสยิดกระจก)</x:v>
      </x:c>
      <x:c r="C282" s="8" t="str">
        <x:v>กรุงเทพมหานคร</x:v>
      </x:c>
      <x:c r="D282" s="8" t="str">
        <x:v>พัฒนาเพื่อพร้อมขาย</x:v>
      </x:c>
      <x:c r="E282" s="8" t="str">
        <x:v>แหล่งท่องเที่ยวทางประวัติศาสตร์และวัฒนธรรม</x:v>
      </x:c>
      <x:c r="F282" s="11" t="n">
        <x:v>46315</x:v>
      </x:c>
      <x:c r="G282" s="2" t="str">
        <x:v>TMF-281</x:v>
      </x:c>
    </x:row>
    <x:row r="283" ht="32" customHeight="1">
      <x:c r="A283" s="9" t="n">
        <x:v>275</x:v>
      </x:c>
      <x:c r="B283" s="8" t="str">
        <x:v>มัสยิดซอลาฮุดดีน</x:v>
      </x:c>
      <x:c r="C283" s="8" t="str">
        <x:v>กรุงเทพมหานคร</x:v>
      </x:c>
      <x:c r="D283" s="8" t="str">
        <x:v>พัฒนาเพื่อพร้อมขาย</x:v>
      </x:c>
      <x:c r="E283" s="8" t="str">
        <x:v>แหล่งท่องเที่ยวทางประวัติศาสตร์และวัฒนธรรม</x:v>
      </x:c>
      <x:c r="F283" s="11" t="n">
        <x:v>46315</x:v>
      </x:c>
      <x:c r="G283" s="2" t="str">
        <x:v>TMF-283</x:v>
      </x:c>
    </x:row>
    <x:row r="284" ht="32" customHeight="1">
      <x:c r="A284" s="9" t="n">
        <x:v>276</x:v>
      </x:c>
      <x:c r="B284" s="8" t="str">
        <x:v>มัสยิดญามีอุ๊ลค็อยร๊อต (บางอุทิศใน)</x:v>
      </x:c>
      <x:c r="C284" s="8" t="str">
        <x:v>กรุงเทพมหานคร</x:v>
      </x:c>
      <x:c r="D284" s="8" t="str">
        <x:v>พัฒนาเพื่อพร้อมขาย</x:v>
      </x:c>
      <x:c r="E284" s="8" t="str">
        <x:v>แหล่งท่องเที่ยวทางประวัติศาสตร์และวัฒนธรรม</x:v>
      </x:c>
      <x:c r="F284" s="11" t="n">
        <x:v>46315</x:v>
      </x:c>
      <x:c r="G284" s="2" t="str">
        <x:v>TMF-284</x:v>
      </x:c>
    </x:row>
    <x:row r="285" ht="32" customHeight="1">
      <x:c r="A285" s="9" t="n">
        <x:v>277</x:v>
      </x:c>
      <x:c r="B285" s="8" t="str">
        <x:v>มัสยิดดารุล-อิหซาน</x:v>
      </x:c>
      <x:c r="C285" s="8" t="str">
        <x:v>กรุงเทพมหานคร</x:v>
      </x:c>
      <x:c r="D285" s="8" t="str">
        <x:v>พัฒนาเพื่อพร้อมขาย</x:v>
      </x:c>
      <x:c r="E285" s="8" t="str">
        <x:v>แหล่งท่องเที่ยวทางประวัติศาสตร์และวัฒนธรรม</x:v>
      </x:c>
      <x:c r="F285" s="11" t="n">
        <x:v>46315</x:v>
      </x:c>
      <x:c r="G285" s="2" t="str">
        <x:v>TMF-285</x:v>
      </x:c>
    </x:row>
    <x:row r="286" ht="32" customHeight="1">
      <x:c r="A286" s="9" t="n">
        <x:v>278</x:v>
      </x:c>
      <x:c r="B286" s="8" t="str">
        <x:v>มัสยิดดารุสซุนนี</x:v>
      </x:c>
      <x:c r="C286" s="8" t="str">
        <x:v>กรุงเทพมหานคร</x:v>
      </x:c>
      <x:c r="D286" s="8" t="str">
        <x:v>พัฒนาเพื่อพร้อมขาย</x:v>
      </x:c>
      <x:c r="E286" s="8" t="str">
        <x:v>แหล่งท่องเที่ยวทางประวัติศาสตร์และวัฒนธรรม</x:v>
      </x:c>
      <x:c r="F286" s="11" t="n">
        <x:v>46315</x:v>
      </x:c>
      <x:c r="G286" s="2" t="str">
        <x:v>TMF-287</x:v>
      </x:c>
    </x:row>
    <x:row r="287" ht="32" customHeight="1">
      <x:c r="A287" s="9" t="n">
        <x:v>279</x:v>
      </x:c>
      <x:c r="B287" s="8" t="str">
        <x:v>มัสยิดดารุสสลาม บาหยัน</x:v>
      </x:c>
      <x:c r="C287" s="8" t="str">
        <x:v>กรุงเทพมหานคร</x:v>
      </x:c>
      <x:c r="D287" s="8" t="str">
        <x:v>พัฒนาเพื่อพร้อมขาย</x:v>
      </x:c>
      <x:c r="E287" s="8" t="str">
        <x:v>แหล่งท่องเที่ยวทางประวัติศาสตร์และวัฒนธรรม</x:v>
      </x:c>
      <x:c r="F287" s="11" t="n">
        <x:v>46315</x:v>
      </x:c>
      <x:c r="G287" s="2" t="str">
        <x:v>TMF-288</x:v>
      </x:c>
    </x:row>
    <x:row r="288" ht="32" customHeight="1">
      <x:c r="A288" s="9" t="n">
        <x:v>280</x:v>
      </x:c>
      <x:c r="B288" s="8" t="str">
        <x:v>มัสยิดดารุสสะลาม (เจียรดับใหญ่)</x:v>
      </x:c>
      <x:c r="C288" s="8" t="str">
        <x:v>กรุงเทพมหานคร</x:v>
      </x:c>
      <x:c r="D288" s="8" t="str">
        <x:v>พัฒนาเพื่อพร้อมขาย</x:v>
      </x:c>
      <x:c r="E288" s="8" t="str">
        <x:v>แหล่งท่องเที่ยวทางประวัติศาสตร์และวัฒนธรรม</x:v>
      </x:c>
      <x:c r="F288" s="11" t="n">
        <x:v>46315</x:v>
      </x:c>
      <x:c r="G288" s="2" t="str">
        <x:v>TMF-289</x:v>
      </x:c>
    </x:row>
    <x:row r="289" ht="32" customHeight="1">
      <x:c r="A289" s="9" t="n">
        <x:v>281</x:v>
      </x:c>
      <x:c r="B289" s="8" t="str">
        <x:v>มัสยิดดารุ้ลฆอนี (โต๊ะนิล)</x:v>
      </x:c>
      <x:c r="C289" s="8" t="str">
        <x:v>กรุงเทพมหานคร</x:v>
      </x:c>
      <x:c r="D289" s="8" t="str">
        <x:v>พัฒนาเพื่อพร้อมขาย</x:v>
      </x:c>
      <x:c r="E289" s="8" t="str">
        <x:v>แหล่งท่องเที่ยวทางประวัติศาสตร์และวัฒนธรรม</x:v>
      </x:c>
      <x:c r="F289" s="11" t="n">
        <x:v>46315</x:v>
      </x:c>
      <x:c r="G289" s="2" t="str">
        <x:v>TMF-291</x:v>
      </x:c>
    </x:row>
    <x:row r="290" ht="32" customHeight="1">
      <x:c r="A290" s="9" t="n">
        <x:v>282</x:v>
      </x:c>
      <x:c r="B290" s="8" t="str">
        <x:v>มัสยิดดารุ้ลนาอีม (แบนชะโด)</x:v>
      </x:c>
      <x:c r="C290" s="8" t="str">
        <x:v>กรุงเทพมหานคร</x:v>
      </x:c>
      <x:c r="D290" s="8" t="str">
        <x:v>พัฒนาเพื่อพร้อมขาย</x:v>
      </x:c>
      <x:c r="E290" s="8" t="str">
        <x:v>แหล่งท่องเที่ยวทางประวัติศาสตร์และวัฒนธรรม</x:v>
      </x:c>
      <x:c r="F290" s="11" t="n">
        <x:v>46315</x:v>
      </x:c>
      <x:c r="G290" s="2" t="str">
        <x:v>TMF-292</x:v>
      </x:c>
    </x:row>
    <x:row r="291" ht="32" customHeight="1">
      <x:c r="A291" s="9" t="n">
        <x:v>283</x:v>
      </x:c>
      <x:c r="B291" s="8" t="str">
        <x:v>มัสยิดดารุ้ลมุตตะกีน</x:v>
      </x:c>
      <x:c r="C291" s="8" t="str">
        <x:v>กรุงเทพมหานคร</x:v>
      </x:c>
      <x:c r="D291" s="8" t="str">
        <x:v>พัฒนาเพื่อพร้อมขาย</x:v>
      </x:c>
      <x:c r="E291" s="8" t="str">
        <x:v>แหล่งท่องเที่ยวทางประวัติศาสตร์และวัฒนธรรม</x:v>
      </x:c>
      <x:c r="F291" s="11" t="n">
        <x:v>46315</x:v>
      </x:c>
      <x:c r="G291" s="2" t="str">
        <x:v>TMF-293</x:v>
      </x:c>
    </x:row>
    <x:row r="292" ht="32" customHeight="1">
      <x:c r="A292" s="9" t="n">
        <x:v>284</x:v>
      </x:c>
      <x:c r="B292" s="8" t="str">
        <x:v>มัสยิดดารุ้ลมุสลิมีน (กลิ่นชื่นอุปถัมภ์)</x:v>
      </x:c>
      <x:c r="C292" s="8" t="str">
        <x:v>กรุงเทพมหานคร</x:v>
      </x:c>
      <x:c r="D292" s="8" t="str">
        <x:v>พัฒนาเพื่อพร้อมขาย</x:v>
      </x:c>
      <x:c r="E292" s="8" t="str">
        <x:v>แหล่งท่องเที่ยวทางประวัติศาสตร์และวัฒนธรรม</x:v>
      </x:c>
      <x:c r="F292" s="11" t="n">
        <x:v>46315</x:v>
      </x:c>
      <x:c r="G292" s="2" t="str">
        <x:v>TMF-294</x:v>
      </x:c>
    </x:row>
    <x:row r="293" ht="32" customHeight="1">
      <x:c r="A293" s="9" t="n">
        <x:v>285</x:v>
      </x:c>
      <x:c r="B293" s="8" t="str">
        <x:v>มัสยิดต้นสน</x:v>
      </x:c>
      <x:c r="C293" s="8" t="str">
        <x:v>กรุงเทพมหานคร</x:v>
      </x:c>
      <x:c r="D293" s="8" t="str">
        <x:v>พัฒนาเพื่อพร้อมขาย</x:v>
      </x:c>
      <x:c r="E293" s="8" t="str">
        <x:v>แหล่งท่องเที่ยวทางประวัติศาสตร์และวัฒนธรรม</x:v>
      </x:c>
      <x:c r="F293" s="11" t="n">
        <x:v>46315</x:v>
      </x:c>
      <x:c r="G293" s="2" t="str">
        <x:v>TMF-295</x:v>
      </x:c>
    </x:row>
    <x:row r="294" ht="32" customHeight="1">
      <x:c r="A294" s="9" t="n">
        <x:v>286</x:v>
      </x:c>
      <x:c r="B294" s="8" t="str">
        <x:v>มัสยิดนูรุดดีน (บ้านเกาะคลอง 13)</x:v>
      </x:c>
      <x:c r="C294" s="8" t="str">
        <x:v>กรุงเทพมหานคร</x:v>
      </x:c>
      <x:c r="D294" s="8" t="str">
        <x:v>พัฒนาเพื่อพร้อมขาย</x:v>
      </x:c>
      <x:c r="E294" s="8" t="str">
        <x:v>แหล่งท่องเที่ยวทางประวัติศาสตร์และวัฒนธรรม</x:v>
      </x:c>
      <x:c r="F294" s="11" t="n">
        <x:v>46315</x:v>
      </x:c>
      <x:c r="G294" s="2" t="str">
        <x:v>TMF-296</x:v>
      </x:c>
    </x:row>
    <x:row r="295" ht="32" customHeight="1">
      <x:c r="A295" s="9" t="n">
        <x:v>287</x:v>
      </x:c>
      <x:c r="B295" s="8" t="str">
        <x:v>มัสยิดนูรุสสะลาม กุโบร์โต๊ะเยาะห์</x:v>
      </x:c>
      <x:c r="C295" s="8" t="str">
        <x:v>กรุงเทพมหานคร</x:v>
      </x:c>
      <x:c r="D295" s="8" t="str">
        <x:v>พัฒนาเพื่อพร้อมขาย</x:v>
      </x:c>
      <x:c r="E295" s="8" t="str">
        <x:v>แหล่งท่องเที่ยวทางประวัติศาสตร์และวัฒนธรรม</x:v>
      </x:c>
      <x:c r="F295" s="11" t="n">
        <x:v>46315</x:v>
      </x:c>
      <x:c r="G295" s="2" t="str">
        <x:v>TMF-298</x:v>
      </x:c>
    </x:row>
    <x:row r="296" ht="32" customHeight="1">
      <x:c r="A296" s="9" t="n">
        <x:v>288</x:v>
      </x:c>
      <x:c r="B296" s="8" t="str">
        <x:v>มัสยิดนูรุ้ลอิสลาม (วังใหญ่)</x:v>
      </x:c>
      <x:c r="C296" s="8" t="str">
        <x:v>กรุงเทพมหานคร</x:v>
      </x:c>
      <x:c r="D296" s="8" t="str">
        <x:v>พัฒนาเพื่อพร้อมขาย</x:v>
      </x:c>
      <x:c r="E296" s="8" t="str">
        <x:v>แหล่งท่องเที่ยวทางประวัติศาสตร์และวัฒนธรรม</x:v>
      </x:c>
      <x:c r="F296" s="11" t="n">
        <x:v>46315</x:v>
      </x:c>
      <x:c r="G296" s="2" t="str">
        <x:v>TMF-299</x:v>
      </x:c>
    </x:row>
    <x:row r="297" ht="32" customHeight="1">
      <x:c r="A297" s="9" t="n">
        <x:v>289</x:v>
      </x:c>
      <x:c r="B297" s="8" t="str">
        <x:v>มัสยิดนูรุ้ลฮูดา (คลองสองต้นนุ่น)</x:v>
      </x:c>
      <x:c r="C297" s="8" t="str">
        <x:v>กรุงเทพมหานคร</x:v>
      </x:c>
      <x:c r="D297" s="8" t="str">
        <x:v>พัฒนาเพื่อพร้อมขาย</x:v>
      </x:c>
      <x:c r="E297" s="8" t="str">
        <x:v>แหล่งท่องเที่ยวทางประวัติศาสตร์และวัฒนธรรม</x:v>
      </x:c>
      <x:c r="F297" s="11" t="n">
        <x:v>46315</x:v>
      </x:c>
      <x:c r="G297" s="2" t="str">
        <x:v>TMF-300</x:v>
      </x:c>
    </x:row>
    <x:row r="298" ht="32" customHeight="1">
      <x:c r="A298" s="9" t="n">
        <x:v>290</x:v>
      </x:c>
      <x:c r="B298" s="8" t="str">
        <x:v>มัสยิดนูรุ้ลเอี๊ยะห์ซาน (ลำตาจีน)</x:v>
      </x:c>
      <x:c r="C298" s="8" t="str">
        <x:v>กรุงเทพมหานคร</x:v>
      </x:c>
      <x:c r="D298" s="8" t="str">
        <x:v>พัฒนาเพื่อพร้อมขาย</x:v>
      </x:c>
      <x:c r="E298" s="8" t="str">
        <x:v>แหล่งท่องเที่ยวทางประวัติศาสตร์และวัฒนธรรม</x:v>
      </x:c>
      <x:c r="F298" s="11" t="n">
        <x:v>46315</x:v>
      </x:c>
      <x:c r="G298" s="2" t="str">
        <x:v>TMF-301</x:v>
      </x:c>
    </x:row>
    <x:row r="299" ht="32" customHeight="1">
      <x:c r="A299" s="9" t="n">
        <x:v>291</x:v>
      </x:c>
      <x:c r="B299" s="8" t="str">
        <x:v>มัสยิดบางอ้อ</x:v>
      </x:c>
      <x:c r="C299" s="8" t="str">
        <x:v>กรุงเทพมหานคร</x:v>
      </x:c>
      <x:c r="D299" s="8" t="str">
        <x:v>พัฒนาเพื่อพร้อมขาย</x:v>
      </x:c>
      <x:c r="E299" s="8" t="str">
        <x:v>แหล่งท่องเที่ยวทางประวัติศาสตร์และวัฒนธรรม</x:v>
      </x:c>
      <x:c r="F299" s="11" t="n">
        <x:v>46315</x:v>
      </x:c>
      <x:c r="G299" s="2" t="str">
        <x:v>TMF-303</x:v>
      </x:c>
    </x:row>
    <x:row r="300" ht="32" customHeight="1">
      <x:c r="A300" s="9" t="n">
        <x:v>292</x:v>
      </x:c>
      <x:c r="B300" s="8" t="str">
        <x:v>มัสยิดยะมีอุ้ลมุตตะกีน (ลำหินใต้)</x:v>
      </x:c>
      <x:c r="C300" s="8" t="str">
        <x:v>กรุงเทพมหานคร</x:v>
      </x:c>
      <x:c r="D300" s="8" t="str">
        <x:v>พัฒนาเพื่อพร้อมขาย</x:v>
      </x:c>
      <x:c r="E300" s="8" t="str">
        <x:v>แหล่งท่องเที่ยวทางประวัติศาสตร์และวัฒนธรรม</x:v>
      </x:c>
      <x:c r="F300" s="11" t="n">
        <x:v>46315</x:v>
      </x:c>
      <x:c r="G300" s="2" t="str">
        <x:v>TMF-305</x:v>
      </x:c>
    </x:row>
    <x:row r="301" ht="32" customHeight="1">
      <x:c r="A301" s="9" t="n">
        <x:v>293</x:v>
      </x:c>
      <x:c r="B301" s="8" t="str">
        <x:v>มัสยิดยำอุลอิควาน (ลำมดตะนอย)</x:v>
      </x:c>
      <x:c r="C301" s="8" t="str">
        <x:v>กรุงเทพมหานคร</x:v>
      </x:c>
      <x:c r="D301" s="8" t="str">
        <x:v>พัฒนาเพื่อพร้อมขาย</x:v>
      </x:c>
      <x:c r="E301" s="8" t="str">
        <x:v>แหล่งท่องเที่ยวทางประวัติศาสตร์และวัฒนธรรม</x:v>
      </x:c>
      <x:c r="F301" s="11" t="n">
        <x:v>46315</x:v>
      </x:c>
      <x:c r="G301" s="2" t="str">
        <x:v>TMF-306</x:v>
      </x:c>
    </x:row>
    <x:row r="302" ht="32" customHeight="1">
      <x:c r="A302" s="9" t="n">
        <x:v>294</x:v>
      </x:c>
      <x:c r="B302" s="8" t="str">
        <x:v>มัสยิดสุวรรณภูมิ</x:v>
      </x:c>
      <x:c r="C302" s="8" t="str">
        <x:v>กรุงเทพมหานคร</x:v>
      </x:c>
      <x:c r="D302" s="8" t="str">
        <x:v>พัฒนาเพื่อพร้อมขาย</x:v>
      </x:c>
      <x:c r="E302" s="8" t="str">
        <x:v>แหล่งท่องเที่ยวทางประวัติศาสตร์และวัฒนธรรม</x:v>
      </x:c>
      <x:c r="F302" s="11" t="n">
        <x:v>46315</x:v>
      </x:c>
      <x:c r="G302" s="2" t="str">
        <x:v>TMF-307</x:v>
      </x:c>
    </x:row>
    <x:row r="303" ht="32" customHeight="1">
      <x:c r="A303" s="9" t="n">
        <x:v>295</x:v>
      </x:c>
      <x:c r="B303" s="8" t="str">
        <x:v>มัสยิดอมันนฤมิต (สาธุประดิษฐ์)</x:v>
      </x:c>
      <x:c r="C303" s="8" t="str">
        <x:v>กรุงเทพมหานคร</x:v>
      </x:c>
      <x:c r="D303" s="8" t="str">
        <x:v>พัฒนาเพื่อพร้อมขาย</x:v>
      </x:c>
      <x:c r="E303" s="8" t="str">
        <x:v>แหล่งท่องเที่ยวทางประวัติศาสตร์และวัฒนธรรม</x:v>
      </x:c>
      <x:c r="F303" s="11" t="n">
        <x:v>46315</x:v>
      </x:c>
      <x:c r="G303" s="2" t="str">
        <x:v>TMF-308</x:v>
      </x:c>
    </x:row>
    <x:row r="304" ht="32" customHeight="1">
      <x:c r="A304" s="9" t="n">
        <x:v>296</x:v>
      </x:c>
      <x:c r="B304" s="8" t="str">
        <x:v>มัสยิดอันนูรอยน์ (บึงขวาง)</x:v>
      </x:c>
      <x:c r="C304" s="8" t="str">
        <x:v>กรุงเทพมหานคร</x:v>
      </x:c>
      <x:c r="D304" s="8" t="str">
        <x:v>พัฒนาเพื่อพร้อมขาย</x:v>
      </x:c>
      <x:c r="E304" s="8" t="str">
        <x:v>แหล่งท่องเที่ยวทางประวัติศาสตร์และวัฒนธรรม</x:v>
      </x:c>
      <x:c r="F304" s="11" t="n">
        <x:v>46315</x:v>
      </x:c>
      <x:c r="G304" s="2" t="str">
        <x:v>TMF-310</x:v>
      </x:c>
    </x:row>
    <x:row r="305" ht="32" customHeight="1">
      <x:c r="A305" s="9" t="n">
        <x:v>297</x:v>
      </x:c>
      <x:c r="B305" s="8" t="str">
        <x:v>มัสยิดอัลมาดานี (มัซกัร)</x:v>
      </x:c>
      <x:c r="C305" s="8" t="str">
        <x:v>กรุงเทพมหานคร</x:v>
      </x:c>
      <x:c r="D305" s="8" t="str">
        <x:v>พัฒนาเพื่อพร้อมขาย</x:v>
      </x:c>
      <x:c r="E305" s="8" t="str">
        <x:v>แหล่งท่องเที่ยวทางประวัติศาสตร์และวัฒนธรรม</x:v>
      </x:c>
      <x:c r="F305" s="11" t="n">
        <x:v>46315</x:v>
      </x:c>
      <x:c r="G305" s="2" t="str">
        <x:v>TMF-311</x:v>
      </x:c>
    </x:row>
    <x:row r="306" ht="32" customHeight="1">
      <x:c r="A306" s="9" t="n">
        <x:v>298</x:v>
      </x:c>
      <x:c r="B306" s="8" t="str">
        <x:v>มัสยิดอัลยามิอะห์ (ลำอีรั้ว)</x:v>
      </x:c>
      <x:c r="C306" s="8" t="str">
        <x:v>กรุงเทพมหานคร</x:v>
      </x:c>
      <x:c r="D306" s="8" t="str">
        <x:v>พัฒนาเพื่อพร้อมขาย</x:v>
      </x:c>
      <x:c r="E306" s="8" t="str">
        <x:v>แหล่งท่องเที่ยวทางประวัติศาสตร์และวัฒนธรรม</x:v>
      </x:c>
      <x:c r="F306" s="11" t="n">
        <x:v>46315</x:v>
      </x:c>
      <x:c r="G306" s="2" t="str">
        <x:v>TMF-312</x:v>
      </x:c>
    </x:row>
    <x:row r="307" ht="32" customHeight="1">
      <x:c r="A307" s="9" t="n">
        <x:v>299</x:v>
      </x:c>
      <x:c r="B307" s="8" t="str">
        <x:v>มัสยิดอัลอะติ๊ก (สุเหร่าเก่า)</x:v>
      </x:c>
      <x:c r="C307" s="8" t="str">
        <x:v>กรุงเทพมหานคร</x:v>
      </x:c>
      <x:c r="D307" s="8" t="str">
        <x:v>พัฒนาเพื่อพร้อมขาย</x:v>
      </x:c>
      <x:c r="E307" s="8" t="str">
        <x:v>แหล่งท่องเที่ยวทางประวัติศาสตร์และวัฒนธรรม</x:v>
      </x:c>
      <x:c r="F307" s="11" t="n">
        <x:v>46315</x:v>
      </x:c>
      <x:c r="G307" s="2" t="str">
        <x:v>TMF-313</x:v>
      </x:c>
    </x:row>
    <x:row r="308" ht="32" customHeight="1">
      <x:c r="A308" s="9" t="n">
        <x:v>300</x:v>
      </x:c>
      <x:c r="B308" s="8" t="str">
        <x:v>มัสยิดอัลฮุดา</x:v>
      </x:c>
      <x:c r="C308" s="8" t="str">
        <x:v>กรุงเทพมหานคร</x:v>
      </x:c>
      <x:c r="D308" s="8" t="str">
        <x:v>พัฒนาเพื่อพร้อมขาย</x:v>
      </x:c>
      <x:c r="E308" s="8" t="str">
        <x:v>แหล่งท่องเที่ยวทางประวัติศาสตร์และวัฒนธรรม</x:v>
      </x:c>
      <x:c r="F308" s="11" t="n">
        <x:v>46315</x:v>
      </x:c>
      <x:c r="G308" s="2" t="str">
        <x:v>TMF-314</x:v>
      </x:c>
    </x:row>
    <x:row r="309" ht="32" customHeight="1">
      <x:c r="A309" s="9" t="n">
        <x:v>301</x:v>
      </x:c>
      <x:c r="B309" s="8" t="str">
        <x:v>มัสยิดอัลฮุสนา เจียรดับ</x:v>
      </x:c>
      <x:c r="C309" s="8" t="str">
        <x:v>กรุงเทพมหานคร</x:v>
      </x:c>
      <x:c r="D309" s="8" t="str">
        <x:v>พัฒนาเพื่อพร้อมขาย</x:v>
      </x:c>
      <x:c r="E309" s="8" t="str">
        <x:v>แหล่งท่องเที่ยวทางประวัติศาสตร์และวัฒนธรรม</x:v>
      </x:c>
      <x:c r="F309" s="11" t="n">
        <x:v>46315</x:v>
      </x:c>
      <x:c r="G309" s="2" t="str">
        <x:v>TMF-315</x:v>
      </x:c>
    </x:row>
    <x:row r="310" ht="32" customHeight="1">
      <x:c r="A310" s="9" t="n">
        <x:v>302</x:v>
      </x:c>
      <x:c r="B310" s="8" t="str">
        <x:v>มัสยิดอัลเอียะซาน (ลำเจดีย์)</x:v>
      </x:c>
      <x:c r="C310" s="8" t="str">
        <x:v>กรุงเทพมหานคร</x:v>
      </x:c>
      <x:c r="D310" s="8" t="str">
        <x:v>พัฒนาเพื่อพร้อมขาย</x:v>
      </x:c>
      <x:c r="E310" s="8" t="str">
        <x:v>แหล่งท่องเที่ยวทางประวัติศาสตร์และวัฒนธรรม</x:v>
      </x:c>
      <x:c r="F310" s="11" t="n">
        <x:v>46315</x:v>
      </x:c>
      <x:c r="G310" s="2" t="str">
        <x:v>TMF-316</x:v>
      </x:c>
    </x:row>
    <x:row r="311" ht="32" customHeight="1">
      <x:c r="A311" s="9" t="n">
        <x:v>303</x:v>
      </x:c>
      <x:c r="B311" s="8" t="str">
        <x:v>มัสยิดอัสสลาม (คลองกุ่ม)</x:v>
      </x:c>
      <x:c r="C311" s="8" t="str">
        <x:v>กรุงเทพมหานคร</x:v>
      </x:c>
      <x:c r="D311" s="8" t="str">
        <x:v>พัฒนาเพื่อพร้อมขาย</x:v>
      </x:c>
      <x:c r="E311" s="8" t="str">
        <x:v>แหล่งท่องเที่ยวทางประวัติศาสตร์และวัฒนธรรม</x:v>
      </x:c>
      <x:c r="F311" s="11" t="n">
        <x:v>46315</x:v>
      </x:c>
      <x:c r="G311" s="2" t="str">
        <x:v>TMF-318</x:v>
      </x:c>
    </x:row>
    <x:row r="312" ht="32" customHeight="1">
      <x:c r="A312" s="9" t="n">
        <x:v>304</x:v>
      </x:c>
      <x:c r="B312" s="8" t="str">
        <x:v>มัสยิดอิควานุ้ลมุตตะกีน (เกาะขุนเณร)</x:v>
      </x:c>
      <x:c r="C312" s="8" t="str">
        <x:v>กรุงเทพมหานคร</x:v>
      </x:c>
      <x:c r="D312" s="8" t="str">
        <x:v>พัฒนาเพื่อพร้อมขาย</x:v>
      </x:c>
      <x:c r="E312" s="8" t="str">
        <x:v>แหล่งท่องเที่ยวทางประวัติศาสตร์และวัฒนธรรม</x:v>
      </x:c>
      <x:c r="F312" s="11" t="n">
        <x:v>46315</x:v>
      </x:c>
      <x:c r="G312" s="2" t="str">
        <x:v>TMF-319</x:v>
      </x:c>
    </x:row>
    <x:row r="313" ht="32" customHeight="1">
      <x:c r="A313" s="9" t="n">
        <x:v>305</x:v>
      </x:c>
      <x:c r="B313" s="8" t="str">
        <x:v>มัสยิดอิดด์ฮาดร์อูลูมุดดีน</x:v>
      </x:c>
      <x:c r="C313" s="8" t="str">
        <x:v>กรุงเทพมหานคร</x:v>
      </x:c>
      <x:c r="D313" s="8" t="str">
        <x:v>พัฒนาเพื่อพร้อมขาย</x:v>
      </x:c>
      <x:c r="E313" s="8" t="str">
        <x:v>แหล่งท่องเที่ยวทางประวัติศาสตร์และวัฒนธรรม</x:v>
      </x:c>
      <x:c r="F313" s="11" t="n">
        <x:v>46315</x:v>
      </x:c>
      <x:c r="G313" s="2" t="str">
        <x:v>TMF-320</x:v>
      </x:c>
    </x:row>
    <x:row r="314" ht="32" customHeight="1">
      <x:c r="A314" s="9" t="n">
        <x:v>306</x:v>
      </x:c>
      <x:c r="B314" s="8" t="str">
        <x:v>มัสยิดอิบรอฮีม (บึงเตย)</x:v>
      </x:c>
      <x:c r="C314" s="8" t="str">
        <x:v>กรุงเทพมหานคร</x:v>
      </x:c>
      <x:c r="D314" s="8" t="str">
        <x:v>พัฒนาเพื่อพร้อมขาย</x:v>
      </x:c>
      <x:c r="E314" s="8" t="str">
        <x:v>แหล่งท่องเที่ยวทางประวัติศาสตร์และวัฒนธรรม</x:v>
      </x:c>
      <x:c r="F314" s="11" t="n">
        <x:v>46315</x:v>
      </x:c>
      <x:c r="G314" s="2" t="str">
        <x:v>TMF-321</x:v>
      </x:c>
    </x:row>
    <x:row r="315" ht="32" customHeight="1">
      <x:c r="A315" s="9" t="n">
        <x:v>307</x:v>
      </x:c>
      <x:c r="B315" s="8" t="str">
        <x:v>มัสยิดฮาซานุดดีน (ศาลาแดง)</x:v>
      </x:c>
      <x:c r="C315" s="8" t="str">
        <x:v>กรุงเทพมหานคร</x:v>
      </x:c>
      <x:c r="D315" s="8" t="str">
        <x:v>พัฒนาเพื่อพร้อมขาย</x:v>
      </x:c>
      <x:c r="E315" s="8" t="str">
        <x:v>แหล่งท่องเที่ยวทางประวัติศาสตร์และวัฒนธรรม</x:v>
      </x:c>
      <x:c r="F315" s="11" t="n">
        <x:v>46315</x:v>
      </x:c>
      <x:c r="G315" s="2" t="str">
        <x:v>TMF-322</x:v>
      </x:c>
    </x:row>
    <x:row r="316" ht="32" customHeight="1">
      <x:c r="A316" s="9" t="n">
        <x:v>308</x:v>
      </x:c>
      <x:c r="B316" s="8" t="str">
        <x:v>มัสยิดฮารูณ (เจริญกรุง)</x:v>
      </x:c>
      <x:c r="C316" s="8" t="str">
        <x:v>กรุงเทพมหานคร</x:v>
      </x:c>
      <x:c r="D316" s="8" t="str">
        <x:v>พัฒนาเพื่อพร้อมขาย</x:v>
      </x:c>
      <x:c r="E316" s="8" t="str">
        <x:v>แหล่งท่องเที่ยวทางประวัติศาสตร์และวัฒนธรรม</x:v>
      </x:c>
      <x:c r="F316" s="11" t="n">
        <x:v>46315</x:v>
      </x:c>
      <x:c r="G316" s="2" t="str">
        <x:v>TMF-323</x:v>
      </x:c>
    </x:row>
    <x:row r="317" ht="32" customHeight="1">
      <x:c r="A317" s="9" t="n">
        <x:v>309</x:v>
      </x:c>
      <x:c r="B317" s="8" t="str">
        <x:v>มัสยิดเราะห์มาตุ้ลอิสลามียะห์ (บ้านเกาะ)</x:v>
      </x:c>
      <x:c r="C317" s="8" t="str">
        <x:v>กรุงเทพมหานคร</x:v>
      </x:c>
      <x:c r="D317" s="8" t="str">
        <x:v>พัฒนาเพื่อพร้อมขาย</x:v>
      </x:c>
      <x:c r="E317" s="8" t="str">
        <x:v>แหล่งท่องเที่ยวทางประวัติศาสตร์และวัฒนธรรม</x:v>
      </x:c>
      <x:c r="F317" s="11" t="n">
        <x:v>46315</x:v>
      </x:c>
      <x:c r="G317" s="2" t="str">
        <x:v>TMF-325</x:v>
      </x:c>
    </x:row>
    <x:row r="318" ht="32" customHeight="1">
      <x:c r="A318" s="9" t="n">
        <x:v>310</x:v>
      </x:c>
      <x:c r="B318" s="8" t="str">
        <x:v>มัสยิด สมเด็จ อัลฮายาต จ.กาฬสินธุ์</x:v>
      </x:c>
      <x:c r="C318" s="8" t="str">
        <x:v>กาฬสินธุ์</x:v>
      </x:c>
      <x:c r="D318" s="8" t="str">
        <x:v>พัฒนาเพื่อพร้อมขาย</x:v>
      </x:c>
      <x:c r="E318" s="8" t="str">
        <x:v>แหล่งท่องเที่ยวทางประวัติศาสตร์และวัฒนธรรม</x:v>
      </x:c>
      <x:c r="F318" s="11" t="n">
        <x:v>46315</x:v>
      </x:c>
      <x:c r="G318" s="2" t="str">
        <x:v>TMF-326</x:v>
      </x:c>
    </x:row>
    <x:row r="319" ht="32" customHeight="1">
      <x:c r="A319" s="9" t="n">
        <x:v>311</x:v>
      </x:c>
      <x:c r="B319" s="8" t="str">
        <x:v>มัสยิดกลางกาฬสินธุ์</x:v>
      </x:c>
      <x:c r="C319" s="8" t="str">
        <x:v>กาฬสินธุ์</x:v>
      </x:c>
      <x:c r="D319" s="8" t="str">
        <x:v>พัฒนาเพื่อพร้อมขาย</x:v>
      </x:c>
      <x:c r="E319" s="8" t="str">
        <x:v>แหล่งท่องเที่ยวทางประวัติศาสตร์และวัฒนธรรม</x:v>
      </x:c>
      <x:c r="F319" s="11" t="n">
        <x:v>46315</x:v>
      </x:c>
      <x:c r="G319" s="2" t="str">
        <x:v>TMF-327</x:v>
      </x:c>
    </x:row>
    <x:row r="320" ht="32" customHeight="1">
      <x:c r="A320" s="9" t="n">
        <x:v>312</x:v>
      </x:c>
      <x:c r="B320" s="8" t="str">
        <x:v>มัสยิดดารุลอามาน (บ้านไผ่) จ.ขอนแก่น</x:v>
      </x:c>
      <x:c r="C320" s="8" t="str">
        <x:v>ขอนแก่น</x:v>
      </x:c>
      <x:c r="D320" s="8" t="str">
        <x:v>พัฒนาเพื่อพร้อมขาย</x:v>
      </x:c>
      <x:c r="E320" s="8" t="str">
        <x:v>แหล่งท่องเที่ยวทางประวัติศาสตร์และวัฒนธรรม</x:v>
      </x:c>
      <x:c r="F320" s="11" t="n">
        <x:v>46315</x:v>
      </x:c>
      <x:c r="G320" s="2" t="str">
        <x:v>TMF-328</x:v>
      </x:c>
    </x:row>
    <x:row r="321" ht="32" customHeight="1">
      <x:c r="A321" s="9" t="n">
        <x:v>313</x:v>
      </x:c>
      <x:c r="B321" s="8" t="str">
        <x:v>เซ็นทารา แกรนด์ มิราจ บีช รีสอร์ท พัทยา</x:v>
      </x:c>
      <x:c r="C321" s="8" t="str">
        <x:v>ชลบุรี</x:v>
      </x:c>
      <x:c r="D321" s="8" t="str">
        <x:v>พัฒนาเพื่อพร้อมขาย</x:v>
      </x:c>
      <x:c r="E321" s="8" t="str">
        <x:v>ที่พัก</x:v>
      </x:c>
      <x:c r="F321" s="11" t="n">
        <x:v>46315</x:v>
      </x:c>
      <x:c r="G321" s="2" t="str">
        <x:v>TMF-329</x:v>
      </x:c>
    </x:row>
    <x:row r="322" ht="32" customHeight="1">
      <x:c r="A322" s="9" t="n">
        <x:v>314</x:v>
      </x:c>
      <x:c r="B322" s="8" t="str">
        <x:v>นิยะห์ฮาลาลฟู้ด</x:v>
      </x:c>
      <x:c r="C322" s="8" t="str">
        <x:v>ชลบุรี</x:v>
      </x:c>
      <x:c r="D322" s="8" t="str">
        <x:v>พัฒนาเพื่อพร้อมขาย</x:v>
      </x:c>
      <x:c r="E322" s="8" t="str">
        <x:v>ร้านอาหารและคาเฟ่</x:v>
      </x:c>
      <x:c r="F322" s="11" t="n">
        <x:v>46315</x:v>
      </x:c>
      <x:c r="G322" s="2" t="str">
        <x:v>TMF-330</x:v>
      </x:c>
    </x:row>
    <x:row r="323" ht="32" customHeight="1">
      <x:c r="A323" s="9" t="n">
        <x:v>315</x:v>
      </x:c>
      <x:c r="B323" s="8" t="str">
        <x:v>มัสยิดญามีอุ้ลอิสลาม</x:v>
      </x:c>
      <x:c r="C323" s="8" t="str">
        <x:v>ชลบุรี</x:v>
      </x:c>
      <x:c r="D323" s="8" t="str">
        <x:v>พัฒนาเพื่อพร้อมขาย</x:v>
      </x:c>
      <x:c r="E323" s="8" t="str">
        <x:v>แหล่งท่องเที่ยวทางประวัติศาสตร์และวัฒนธรรม</x:v>
      </x:c>
      <x:c r="F323" s="11" t="n">
        <x:v>46315</x:v>
      </x:c>
      <x:c r="G323" s="2" t="str">
        <x:v>TMF-331</x:v>
      </x:c>
    </x:row>
    <x:row r="324" ht="32" customHeight="1">
      <x:c r="A324" s="9" t="n">
        <x:v>316</x:v>
      </x:c>
      <x:c r="B324" s="8" t="str">
        <x:v>มัสยิดดารุสซิดดีกีน</x:v>
      </x:c>
      <x:c r="C324" s="8" t="str">
        <x:v>ชลบุรี</x:v>
      </x:c>
      <x:c r="D324" s="8" t="str">
        <x:v>พัฒนาเพื่อพร้อมขาย</x:v>
      </x:c>
      <x:c r="E324" s="8" t="str">
        <x:v>แหล่งท่องเที่ยวทางประวัติศาสตร์และวัฒนธรรม</x:v>
      </x:c>
      <x:c r="F324" s="11" t="n">
        <x:v>46315</x:v>
      </x:c>
      <x:c r="G324" s="2" t="str">
        <x:v>TMF-332</x:v>
      </x:c>
    </x:row>
    <x:row r="325" ht="32" customHeight="1">
      <x:c r="A325" s="9" t="n">
        <x:v>317</x:v>
      </x:c>
      <x:c r="B325" s="8" t="str">
        <x:v>มัสยิดดารุ้ลมู่ฮายีรีน</x:v>
      </x:c>
      <x:c r="C325" s="8" t="str">
        <x:v>ชลบุรี</x:v>
      </x:c>
      <x:c r="D325" s="8" t="str">
        <x:v>พัฒนาเพื่อพร้อมขาย</x:v>
      </x:c>
      <x:c r="E325" s="8" t="str">
        <x:v>แหล่งท่องเที่ยวทางประวัติศาสตร์และวัฒนธรรม</x:v>
      </x:c>
      <x:c r="F325" s="11" t="n">
        <x:v>46315</x:v>
      </x:c>
      <x:c r="G325" s="2" t="str">
        <x:v>TMF-333</x:v>
      </x:c>
    </x:row>
    <x:row r="326" ht="32" customHeight="1">
      <x:c r="A326" s="9" t="n">
        <x:v>318</x:v>
      </x:c>
      <x:c r="B326" s="8" t="str">
        <x:v>มัสยิดดารุ้ลยันนะห์</x:v>
      </x:c>
      <x:c r="C326" s="8" t="str">
        <x:v>ชลบุรี</x:v>
      </x:c>
      <x:c r="D326" s="8" t="str">
        <x:v>พัฒนาเพื่อพร้อมขาย</x:v>
      </x:c>
      <x:c r="E326" s="8" t="str">
        <x:v>แหล่งท่องเที่ยวทางประวัติศาสตร์และวัฒนธรรม</x:v>
      </x:c>
      <x:c r="F326" s="11" t="n">
        <x:v>46315</x:v>
      </x:c>
      <x:c r="G326" s="2" t="str">
        <x:v>TMF-334</x:v>
      </x:c>
    </x:row>
    <x:row r="327" ht="32" customHeight="1">
      <x:c r="A327" s="9" t="n">
        <x:v>319</x:v>
      </x:c>
      <x:c r="B327" s="8" t="str">
        <x:v>มัสยิดดารุ้ลอิบาดะฮ์ (พัทยากลาง)</x:v>
      </x:c>
      <x:c r="C327" s="8" t="str">
        <x:v>ชลบุรี</x:v>
      </x:c>
      <x:c r="D327" s="8" t="str">
        <x:v>พัฒนาเพื่อพร้อมขาย</x:v>
      </x:c>
      <x:c r="E327" s="8" t="str">
        <x:v>แหล่งท่องเที่ยวทางประวัติศาสตร์และวัฒนธรรม</x:v>
      </x:c>
      <x:c r="F327" s="11" t="n">
        <x:v>46315</x:v>
      </x:c>
      <x:c r="G327" s="2" t="str">
        <x:v>TMF-335</x:v>
      </x:c>
    </x:row>
    <x:row r="328" ht="32" customHeight="1">
      <x:c r="A328" s="9" t="n">
        <x:v>320</x:v>
      </x:c>
      <x:c r="B328" s="8" t="str">
        <x:v>มัสยิดตออะติ้ลละฮ์ (พัทยาใต้)</x:v>
      </x:c>
      <x:c r="C328" s="8" t="str">
        <x:v>ชลบุรี</x:v>
      </x:c>
      <x:c r="D328" s="8" t="str">
        <x:v>พัฒนาเพื่อพร้อมขาย</x:v>
      </x:c>
      <x:c r="E328" s="8" t="str">
        <x:v>แหล่งท่องเที่ยวทางประวัติศาสตร์และวัฒนธรรม</x:v>
      </x:c>
      <x:c r="F328" s="11" t="n">
        <x:v>46315</x:v>
      </x:c>
      <x:c r="G328" s="2" t="str">
        <x:v>TMF-336</x:v>
      </x:c>
    </x:row>
    <x:row r="329" ht="32" customHeight="1">
      <x:c r="A329" s="9" t="n">
        <x:v>321</x:v>
      </x:c>
      <x:c r="B329" s="8" t="str">
        <x:v>มัสยิดนูรุลยากีน</x:v>
      </x:c>
      <x:c r="C329" s="8" t="str">
        <x:v>ชลบุรี</x:v>
      </x:c>
      <x:c r="D329" s="8" t="str">
        <x:v>พัฒนาเพื่อพร้อมขาย</x:v>
      </x:c>
      <x:c r="E329" s="8" t="str">
        <x:v>แหล่งท่องเที่ยวทางประวัติศาสตร์และวัฒนธรรม</x:v>
      </x:c>
      <x:c r="F329" s="11" t="n">
        <x:v>46315</x:v>
      </x:c>
      <x:c r="G329" s="2" t="str">
        <x:v>TMF-337</x:v>
      </x:c>
    </x:row>
    <x:row r="330" ht="32" customHeight="1">
      <x:c r="A330" s="9" t="n">
        <x:v>322</x:v>
      </x:c>
      <x:c r="B330" s="8" t="str">
        <x:v>มัสยิดนูรุลฮิดายะห์</x:v>
      </x:c>
      <x:c r="C330" s="8" t="str">
        <x:v>ชลบุรี</x:v>
      </x:c>
      <x:c r="D330" s="8" t="str">
        <x:v>พัฒนาเพื่อพร้อมขาย</x:v>
      </x:c>
      <x:c r="E330" s="8" t="str">
        <x:v>แหล่งท่องเที่ยวทางประวัติศาสตร์และวัฒนธรรม</x:v>
      </x:c>
      <x:c r="F330" s="11" t="n">
        <x:v>46315</x:v>
      </x:c>
      <x:c r="G330" s="2" t="str">
        <x:v>TMF-338</x:v>
      </x:c>
    </x:row>
    <x:row r="331" ht="32" customHeight="1">
      <x:c r="A331" s="9" t="n">
        <x:v>323</x:v>
      </x:c>
      <x:c r="B331" s="8" t="str">
        <x:v>มัสยิดมิฟตาฮุ้นยีนาน</x:v>
      </x:c>
      <x:c r="C331" s="8" t="str">
        <x:v>ชลบุรี</x:v>
      </x:c>
      <x:c r="D331" s="8" t="str">
        <x:v>พัฒนาเพื่อพร้อมขาย</x:v>
      </x:c>
      <x:c r="E331" s="8" t="str">
        <x:v>แหล่งท่องเที่ยวทางประวัติศาสตร์และวัฒนธรรม</x:v>
      </x:c>
      <x:c r="F331" s="11" t="n">
        <x:v>46315</x:v>
      </x:c>
      <x:c r="G331" s="2" t="str">
        <x:v>TMF-339</x:v>
      </x:c>
    </x:row>
    <x:row r="332" ht="32" customHeight="1">
      <x:c r="A332" s="9" t="n">
        <x:v>324</x:v>
      </x:c>
      <x:c r="B332" s="8" t="str">
        <x:v>มัสยิดสลาม่าตุลเลาะห์</x:v>
      </x:c>
      <x:c r="C332" s="8" t="str">
        <x:v>ชลบุรี</x:v>
      </x:c>
      <x:c r="D332" s="8" t="str">
        <x:v>พัฒนาเพื่อพร้อมขาย</x:v>
      </x:c>
      <x:c r="E332" s="8" t="str">
        <x:v>แหล่งท่องเที่ยวทางประวัติศาสตร์และวัฒนธรรม</x:v>
      </x:c>
      <x:c r="F332" s="11" t="n">
        <x:v>46315</x:v>
      </x:c>
      <x:c r="G332" s="2" t="str">
        <x:v>TMF-340</x:v>
      </x:c>
    </x:row>
    <x:row r="333" ht="32" customHeight="1">
      <x:c r="A333" s="9" t="n">
        <x:v>325</x:v>
      </x:c>
      <x:c r="B333" s="8" t="str">
        <x:v>มัสยิดอัล-อิตติฮาดียะห์ (บ้านหนองพรหม)</x:v>
      </x:c>
      <x:c r="C333" s="8" t="str">
        <x:v>ชลบุรี</x:v>
      </x:c>
      <x:c r="D333" s="8" t="str">
        <x:v>พัฒนาเพื่อพร้อมขาย</x:v>
      </x:c>
      <x:c r="E333" s="8" t="str">
        <x:v>แหล่งท่องเที่ยวทางประวัติศาสตร์และวัฒนธรรม</x:v>
      </x:c>
      <x:c r="F333" s="11" t="n">
        <x:v>46315</x:v>
      </x:c>
      <x:c r="G333" s="2" t="str">
        <x:v>TMF-341</x:v>
      </x:c>
    </x:row>
    <x:row r="334" ht="32" customHeight="1">
      <x:c r="A334" s="9" t="n">
        <x:v>326</x:v>
      </x:c>
      <x:c r="B334" s="8" t="str">
        <x:v>มัสยิดอัล-อิตติฮาต</x:v>
      </x:c>
      <x:c r="C334" s="8" t="str">
        <x:v>ชลบุรี</x:v>
      </x:c>
      <x:c r="D334" s="8" t="str">
        <x:v>พัฒนาเพื่อพร้อมขาย</x:v>
      </x:c>
      <x:c r="E334" s="8" t="str">
        <x:v>แหล่งท่องเที่ยวทางประวัติศาสตร์และวัฒนธรรม</x:v>
      </x:c>
      <x:c r="F334" s="11" t="n">
        <x:v>46315</x:v>
      </x:c>
      <x:c r="G334" s="2" t="str">
        <x:v>TMF-342</x:v>
      </x:c>
    </x:row>
    <x:row r="335" ht="32" customHeight="1">
      <x:c r="A335" s="9" t="n">
        <x:v>327</x:v>
      </x:c>
      <x:c r="B335" s="8" t="str">
        <x:v>มัสยิดอัล-ฮุสนา</x:v>
      </x:c>
      <x:c r="C335" s="8" t="str">
        <x:v>ชลบุรี</x:v>
      </x:c>
      <x:c r="D335" s="8" t="str">
        <x:v>พัฒนาเพื่อพร้อมขาย</x:v>
      </x:c>
      <x:c r="E335" s="8" t="str">
        <x:v>แหล่งท่องเที่ยวทางประวัติศาสตร์และวัฒนธรรม</x:v>
      </x:c>
      <x:c r="F335" s="11" t="n">
        <x:v>46315</x:v>
      </x:c>
      <x:c r="G335" s="2" t="str">
        <x:v>TMF-343</x:v>
      </x:c>
    </x:row>
    <x:row r="336" ht="32" customHeight="1">
      <x:c r="A336" s="9" t="n">
        <x:v>328</x:v>
      </x:c>
      <x:c r="B336" s="8" t="str">
        <x:v>มัสยิดอัลอิตติฟากียะฮ์</x:v>
      </x:c>
      <x:c r="C336" s="8" t="str">
        <x:v>ชลบุรี</x:v>
      </x:c>
      <x:c r="D336" s="8" t="str">
        <x:v>พัฒนาเพื่อพร้อมขาย</x:v>
      </x:c>
      <x:c r="E336" s="8" t="str">
        <x:v>แหล่งท่องเที่ยวทางประวัติศาสตร์และวัฒนธรรม</x:v>
      </x:c>
      <x:c r="F336" s="11" t="n">
        <x:v>46315</x:v>
      </x:c>
      <x:c r="G336" s="2" t="str">
        <x:v>TMF-344</x:v>
      </x:c>
    </x:row>
    <x:row r="337" ht="32" customHeight="1">
      <x:c r="A337" s="9" t="n">
        <x:v>329</x:v>
      </x:c>
      <x:c r="B337" s="8" t="str">
        <x:v>มัสยิดอาลียิ้ลกามี่ลัยน์</x:v>
      </x:c>
      <x:c r="C337" s="8" t="str">
        <x:v>ชลบุรี</x:v>
      </x:c>
      <x:c r="D337" s="8" t="str">
        <x:v>พัฒนาเพื่อพร้อมขาย</x:v>
      </x:c>
      <x:c r="E337" s="8" t="str">
        <x:v>แหล่งท่องเที่ยวทางประวัติศาสตร์และวัฒนธรรม</x:v>
      </x:c>
      <x:c r="F337" s="11" t="n">
        <x:v>46315</x:v>
      </x:c>
      <x:c r="G337" s="2" t="str">
        <x:v>TMF-345</x:v>
      </x:c>
    </x:row>
    <x:row r="338" ht="32" customHeight="1">
      <x:c r="A338" s="9" t="n">
        <x:v>330</x:v>
      </x:c>
      <x:c r="B338" s="8" t="str">
        <x:v>มัสยิดฮารูณมุสตอฟา</x:v>
      </x:c>
      <x:c r="C338" s="8" t="str">
        <x:v>ชลบุรี</x:v>
      </x:c>
      <x:c r="D338" s="8" t="str">
        <x:v>พัฒนาเพื่อพร้อมขาย</x:v>
      </x:c>
      <x:c r="E338" s="8" t="str">
        <x:v>แหล่งท่องเที่ยวทางประวัติศาสตร์และวัฒนธรรม</x:v>
      </x:c>
      <x:c r="F338" s="11" t="n">
        <x:v>46315</x:v>
      </x:c>
      <x:c r="G338" s="2" t="str">
        <x:v>TMF-346</x:v>
      </x:c>
    </x:row>
    <x:row r="339" ht="32" customHeight="1">
      <x:c r="A339" s="9" t="n">
        <x:v>331</x:v>
      </x:c>
      <x:c r="B339" s="8" t="str">
        <x:v>มัสยิดฮิดาย่าตุสซาลีกีน</x:v>
      </x:c>
      <x:c r="C339" s="8" t="str">
        <x:v>ชลบุรี</x:v>
      </x:c>
      <x:c r="D339" s="8" t="str">
        <x:v>พัฒนาเพื่อพร้อมขาย</x:v>
      </x:c>
      <x:c r="E339" s="8" t="str">
        <x:v>แหล่งท่องเที่ยวทางประวัติศาสตร์และวัฒนธรรม</x:v>
      </x:c>
      <x:c r="F339" s="11" t="n">
        <x:v>46315</x:v>
      </x:c>
      <x:c r="G339" s="2" t="str">
        <x:v>TMF-347</x:v>
      </x:c>
    </x:row>
    <x:row r="340" ht="32" customHeight="1">
      <x:c r="A340" s="9" t="n">
        <x:v>332</x:v>
      </x:c>
      <x:c r="B340" s="8" t="str">
        <x:v>มัสยิดแซ็คมูฮำหมัดอาลี</x:v>
      </x:c>
      <x:c r="C340" s="8" t="str">
        <x:v>ชลบุรี</x:v>
      </x:c>
      <x:c r="D340" s="8" t="str">
        <x:v>พัฒนาเพื่อพร้อมขาย</x:v>
      </x:c>
      <x:c r="E340" s="8" t="str">
        <x:v>แหล่งท่องเที่ยวทางประวัติศาสตร์และวัฒนธรรม</x:v>
      </x:c>
      <x:c r="F340" s="11" t="n">
        <x:v>46315</x:v>
      </x:c>
      <x:c r="G340" s="2" t="str">
        <x:v>TMF-348</x:v>
      </x:c>
    </x:row>
    <x:row r="341" ht="32" customHeight="1">
      <x:c r="A341" s="9" t="n">
        <x:v>333</x:v>
      </x:c>
      <x:c r="B341" s="8" t="str">
        <x:v>นิซีผลไม้ (ท่าเรืออ่าวธรรมชาติ)</x:v>
      </x:c>
      <x:c r="C341" s="8" t="str">
        <x:v>ตราด</x:v>
      </x:c>
      <x:c r="D341" s="8" t="str">
        <x:v>พัฒนาเพื่อพร้อมขาย</x:v>
      </x:c>
      <x:c r="E341" s="8" t="str">
        <x:v>ร้านอาหารและคาเฟ่</x:v>
      </x:c>
      <x:c r="F341" s="11" t="n">
        <x:v>46315</x:v>
      </x:c>
      <x:c r="G341" s="2" t="str">
        <x:v>TMF-349</x:v>
      </x:c>
    </x:row>
    <x:row r="342" ht="32" customHeight="1">
      <x:c r="A342" s="9" t="n">
        <x:v>334</x:v>
      </x:c>
      <x:c r="B342" s="8" t="str">
        <x:v>น้องอานัส ข้าวแกงปักษ์ใต้</x:v>
      </x:c>
      <x:c r="C342" s="8" t="str">
        <x:v>ตราด</x:v>
      </x:c>
      <x:c r="D342" s="8" t="str">
        <x:v>พัฒนาเพื่อพร้อมขาย</x:v>
      </x:c>
      <x:c r="E342" s="8" t="str">
        <x:v>ร้านอาหารและคาเฟ่</x:v>
      </x:c>
      <x:c r="F342" s="11" t="n">
        <x:v>46315</x:v>
      </x:c>
      <x:c r="G342" s="2" t="str">
        <x:v>TMF-350</x:v>
      </x:c>
    </x:row>
    <x:row r="343" ht="32" customHeight="1">
      <x:c r="A343" s="9" t="n">
        <x:v>335</x:v>
      </x:c>
      <x:c r="B343" s="8" t="str">
        <x:v>ฮัจเญาะห์ซาเราะห์ สมุนไพรไก่ทอด</x:v>
      </x:c>
      <x:c r="C343" s="8" t="str">
        <x:v>ตราด</x:v>
      </x:c>
      <x:c r="D343" s="8" t="str">
        <x:v>พัฒนาเพื่อพร้อมขาย</x:v>
      </x:c>
      <x:c r="E343" s="8" t="str">
        <x:v>ร้านอาหารและคาเฟ่</x:v>
      </x:c>
      <x:c r="F343" s="11" t="n">
        <x:v>46315</x:v>
      </x:c>
      <x:c r="G343" s="2" t="str">
        <x:v>TMF-351</x:v>
      </x:c>
    </x:row>
    <x:row r="344" ht="32" customHeight="1">
      <x:c r="A344" s="9" t="n">
        <x:v>336</x:v>
      </x:c>
      <x:c r="B344" s="8" t="str">
        <x:v>Aria Restaurant</x:v>
      </x:c>
      <x:c r="C344" s="8" t="str">
        <x:v>นครราชสีมา</x:v>
      </x:c>
      <x:c r="D344" s="8" t="str">
        <x:v>พัฒนาเพื่อพร้อมขาย</x:v>
      </x:c>
      <x:c r="E344" s="8" t="str">
        <x:v>ร้านอาหารและคาเฟ่</x:v>
      </x:c>
      <x:c r="F344" s="11" t="n">
        <x:v>46315</x:v>
      </x:c>
      <x:c r="G344" s="2" t="str">
        <x:v>TMF-352</x:v>
      </x:c>
    </x:row>
    <x:row r="345" ht="32" customHeight="1">
      <x:c r="A345" s="9" t="n">
        <x:v>337</x:v>
      </x:c>
      <x:c r="B345" s="8" t="str">
        <x:v>I HA DA ME</x:v>
      </x:c>
      <x:c r="C345" s="8" t="str">
        <x:v>นครราชสีมา</x:v>
      </x:c>
      <x:c r="D345" s="8" t="str">
        <x:v>พัฒนาเพื่อพร้อมขาย</x:v>
      </x:c>
      <x:c r="E345" s="8" t="str">
        <x:v>ร้านอาหารและคาเฟ่</x:v>
      </x:c>
      <x:c r="F345" s="11" t="n">
        <x:v>46315</x:v>
      </x:c>
      <x:c r="G345" s="2" t="str">
        <x:v>TMF-353</x:v>
      </x:c>
    </x:row>
    <x:row r="346" ht="32" customHeight="1">
      <x:c r="A346" s="9" t="n">
        <x:v>338</x:v>
      </x:c>
      <x:c r="B346" s="8" t="str">
        <x:v>JR. โรตี</x:v>
      </x:c>
      <x:c r="C346" s="8" t="str">
        <x:v>นครราชสีมา</x:v>
      </x:c>
      <x:c r="D346" s="8" t="str">
        <x:v>พัฒนาเพื่อพร้อมขาย</x:v>
      </x:c>
      <x:c r="E346" s="8" t="str">
        <x:v>ร้านอาหารและคาเฟ่</x:v>
      </x:c>
      <x:c r="F346" s="11" t="n">
        <x:v>46315</x:v>
      </x:c>
      <x:c r="G346" s="2" t="str">
        <x:v>TMF-354</x:v>
      </x:c>
    </x:row>
    <x:row r="347" ht="32" customHeight="1">
      <x:c r="A347" s="9" t="n">
        <x:v>339</x:v>
      </x:c>
      <x:c r="B347" s="8" t="str">
        <x:v>R.K. BURGER</x:v>
      </x:c>
      <x:c r="C347" s="8" t="str">
        <x:v>นครราชสีมา</x:v>
      </x:c>
      <x:c r="D347" s="8" t="str">
        <x:v>พัฒนาเพื่อพร้อมขาย</x:v>
      </x:c>
      <x:c r="E347" s="8" t="str">
        <x:v>ร้านอาหารและคาเฟ่</x:v>
      </x:c>
      <x:c r="F347" s="11" t="n">
        <x:v>46315</x:v>
      </x:c>
      <x:c r="G347" s="2" t="str">
        <x:v>TMF-355</x:v>
      </x:c>
    </x:row>
    <x:row r="348" ht="32" customHeight="1">
      <x:c r="A348" s="9" t="n">
        <x:v>340</x:v>
      </x:c>
      <x:c r="B348" s="8" t="str">
        <x:v>ก๊ะรุ่ง ข้าวแกงใต้แอบแซ่บ</x:v>
      </x:c>
      <x:c r="C348" s="8" t="str">
        <x:v>นครราชสีมา</x:v>
      </x:c>
      <x:c r="D348" s="8" t="str">
        <x:v>พัฒนาเพื่อพร้อมขาย</x:v>
      </x:c>
      <x:c r="E348" s="8" t="str">
        <x:v>ร้านอาหารและคาเฟ่</x:v>
      </x:c>
      <x:c r="F348" s="11" t="n">
        <x:v>46315</x:v>
      </x:c>
      <x:c r="G348" s="2" t="str">
        <x:v>TMF-356</x:v>
      </x:c>
    </x:row>
    <x:row r="349" ht="32" customHeight="1">
      <x:c r="A349" s="9" t="n">
        <x:v>341</x:v>
      </x:c>
      <x:c r="B349" s="8" t="str">
        <x:v>มัสยิดญันน่าตุ้ลฟิรเดาซ์ (ปากช่อง)</x:v>
      </x:c>
      <x:c r="C349" s="8" t="str">
        <x:v>นครราชสีมา</x:v>
      </x:c>
      <x:c r="D349" s="8" t="str">
        <x:v>พัฒนาเพื่อพร้อมขาย</x:v>
      </x:c>
      <x:c r="E349" s="8" t="str">
        <x:v>แหล่งท่องเที่ยวทางประวัติศาสตร์และวัฒนธรรม</x:v>
      </x:c>
      <x:c r="F349" s="11" t="n">
        <x:v>46315</x:v>
      </x:c>
      <x:c r="G349" s="2" t="str">
        <x:v>TMF-357</x:v>
      </x:c>
    </x:row>
    <x:row r="350" ht="32" customHeight="1">
      <x:c r="A350" s="9" t="n">
        <x:v>342</x:v>
      </x:c>
      <x:c r="B350" s="8" t="str">
        <x:v>ชุมชนบ้านแหลม</x:v>
      </x:c>
      <x:c r="C350" s="8" t="str">
        <x:v>นครศรีธรรมราช</x:v>
      </x:c>
      <x:c r="D350" s="8" t="str">
        <x:v>พัฒนาเพื่อพร้อมขาย</x:v>
      </x:c>
      <x:c r="E350" s="8" t="str">
        <x:v>ชุมชนท่องเที่ยว</x:v>
      </x:c>
      <x:c r="F350" s="11" t="n">
        <x:v>46315</x:v>
      </x:c>
      <x:c r="G350" s="2" t="str">
        <x:v>TMF-358</x:v>
      </x:c>
    </x:row>
    <x:row r="351" ht="32" customHeight="1">
      <x:c r="A351" s="9" t="n">
        <x:v>343</x:v>
      </x:c>
      <x:c r="B351" s="8" t="str">
        <x:v>โรงแรมทวินโลตัส จำกัด</x:v>
      </x:c>
      <x:c r="C351" s="8" t="str">
        <x:v>นครศรีธรรมราช</x:v>
      </x:c>
      <x:c r="D351" s="8" t="str">
        <x:v>พัฒนาเพื่อพร้อมขาย</x:v>
      </x:c>
      <x:c r="E351" s="8" t="str">
        <x:v>ที่พัก</x:v>
      </x:c>
      <x:c r="F351" s="11" t="n">
        <x:v>46315</x:v>
      </x:c>
      <x:c r="G351" s="2" t="str">
        <x:v>TMF-359</x:v>
      </x:c>
    </x:row>
    <x:row r="352" ht="32" customHeight="1">
      <x:c r="A352" s="9" t="n">
        <x:v>344</x:v>
      </x:c>
      <x:c r="B352" s="8" t="str">
        <x:v>Kuncleleaw Korean Halal (สาขานนทบุรี)</x:v>
      </x:c>
      <x:c r="C352" s="8" t="str">
        <x:v>นนทบุรี</x:v>
      </x:c>
      <x:c r="D352" s="8" t="str">
        <x:v>พัฒนาเพื่อพร้อมขาย</x:v>
      </x:c>
      <x:c r="E352" s="8" t="str">
        <x:v>ร้านอาหารและคาเฟ่</x:v>
      </x:c>
      <x:c r="F352" s="11" t="n">
        <x:v>46315</x:v>
      </x:c>
      <x:c r="G352" s="2" t="str">
        <x:v>TMF-360</x:v>
      </x:c>
    </x:row>
    <x:row r="353" ht="32" customHeight="1">
      <x:c r="A353" s="9" t="n">
        <x:v>345</x:v>
      </x:c>
      <x:c r="B353" s="8" t="str">
        <x:v>Mr.bung steak</x:v>
      </x:c>
      <x:c r="C353" s="8" t="str">
        <x:v>นนทบุรี</x:v>
      </x:c>
      <x:c r="D353" s="8" t="str">
        <x:v>พัฒนาเพื่อพร้อมขาย</x:v>
      </x:c>
      <x:c r="E353" s="8" t="str">
        <x:v>ร้านอาหารและคาเฟ่</x:v>
      </x:c>
      <x:c r="F353" s="11" t="n">
        <x:v>46315</x:v>
      </x:c>
      <x:c r="G353" s="2" t="str">
        <x:v>TMF-361</x:v>
      </x:c>
    </x:row>
    <x:row r="354" ht="32" customHeight="1">
      <x:c r="A354" s="9" t="n">
        <x:v>346</x:v>
      </x:c>
      <x:c r="B354" s="8" t="str">
        <x:v>Shibuya Japanese curry</x:v>
      </x:c>
      <x:c r="C354" s="8" t="str">
        <x:v>นนทบุรี</x:v>
      </x:c>
      <x:c r="D354" s="8" t="str">
        <x:v>พัฒนาเพื่อพร้อมขาย</x:v>
      </x:c>
      <x:c r="E354" s="8" t="str">
        <x:v>ร้านอาหารและคาเฟ่</x:v>
      </x:c>
      <x:c r="F354" s="11" t="n">
        <x:v>46315</x:v>
      </x:c>
      <x:c r="G354" s="2" t="str">
        <x:v>TMF-362</x:v>
      </x:c>
    </x:row>
    <x:row r="355" ht="32" customHeight="1">
      <x:c r="A355" s="9" t="n">
        <x:v>347</x:v>
      </x:c>
      <x:c r="B355" s="8" t="str">
        <x:v>ZIN Steak and Dessert</x:v>
      </x:c>
      <x:c r="C355" s="8" t="str">
        <x:v>นนทบุรี</x:v>
      </x:c>
      <x:c r="D355" s="8" t="str">
        <x:v>พัฒนาเพื่อพร้อมขาย</x:v>
      </x:c>
      <x:c r="E355" s="8" t="str">
        <x:v>ร้านอาหารและคาเฟ่</x:v>
      </x:c>
      <x:c r="F355" s="11" t="n">
        <x:v>46315</x:v>
      </x:c>
      <x:c r="G355" s="2" t="str">
        <x:v>TMF-363</x:v>
      </x:c>
    </x:row>
    <x:row r="356" ht="32" customHeight="1">
      <x:c r="A356" s="9" t="n">
        <x:v>348</x:v>
      </x:c>
      <x:c r="B356" s="8" t="str">
        <x:v>ก๋วยเตี๋ยวนูรีน</x:v>
      </x:c>
      <x:c r="C356" s="8" t="str">
        <x:v>นนทบุรี</x:v>
      </x:c>
      <x:c r="D356" s="8" t="str">
        <x:v>พัฒนาเพื่อพร้อมขาย</x:v>
      </x:c>
      <x:c r="E356" s="8" t="str">
        <x:v>ร้านอาหารและคาเฟ่</x:v>
      </x:c>
      <x:c r="F356" s="11" t="n">
        <x:v>46315</x:v>
      </x:c>
      <x:c r="G356" s="2" t="str">
        <x:v>TMF-364</x:v>
      </x:c>
    </x:row>
    <x:row r="357" ht="32" customHeight="1">
      <x:c r="A357" s="9" t="n">
        <x:v>349</x:v>
      </x:c>
      <x:c r="B357" s="8" t="str">
        <x:v>โรงแรมอิมพีเรียล นราธิวาส</x:v>
      </x:c>
      <x:c r="C357" s="8" t="str">
        <x:v>นราธิวาส</x:v>
      </x:c>
      <x:c r="D357" s="8" t="str">
        <x:v>พัฒนาเพื่อพร้อมขาย</x:v>
      </x:c>
      <x:c r="E357" s="8" t="str">
        <x:v>ที่พัก</x:v>
      </x:c>
      <x:c r="F357" s="11" t="n">
        <x:v>46315</x:v>
      </x:c>
      <x:c r="G357" s="2" t="str">
        <x:v>TMF-365</x:v>
      </x:c>
    </x:row>
    <x:row r="358" ht="32" customHeight="1">
      <x:c r="A358" s="9" t="n">
        <x:v>350</x:v>
      </x:c>
      <x:c r="B358" s="8" t="str">
        <x:v>มัสยิดวาดีลฮูเซ็น</x:v>
      </x:c>
      <x:c r="C358" s="8" t="str">
        <x:v>นราธิวาส</x:v>
      </x:c>
      <x:c r="D358" s="8" t="str">
        <x:v>พัฒนาเพื่อพร้อมขาย</x:v>
      </x:c>
      <x:c r="E358" s="8" t="str">
        <x:v>แหล่งท่องเที่ยวทางประวัติศาสตร์และวัฒนธรรม</x:v>
      </x:c>
      <x:c r="F358" s="11" t="n">
        <x:v>46315</x:v>
      </x:c>
      <x:c r="G358" s="2" t="str">
        <x:v>TMF-366</x:v>
      </x:c>
    </x:row>
    <x:row r="359" ht="32" customHeight="1">
      <x:c r="A359" s="9" t="n">
        <x:v>351</x:v>
      </x:c>
      <x:c r="B359" s="8" t="str">
        <x:v>ก๋วยเตี๋ยว ข้าวมันไก่ โก๋ฟา</x:v>
      </x:c>
      <x:c r="C359" s="8" t="str">
        <x:v>ปทุมธานี</x:v>
      </x:c>
      <x:c r="D359" s="8" t="str">
        <x:v>พัฒนาเพื่อพร้อมขาย</x:v>
      </x:c>
      <x:c r="E359" s="8" t="str">
        <x:v>ร้านอาหารและคาเฟ่</x:v>
      </x:c>
      <x:c r="F359" s="11" t="n">
        <x:v>46315</x:v>
      </x:c>
      <x:c r="G359" s="2" t="str">
        <x:v>TMF-367</x:v>
      </x:c>
    </x:row>
    <x:row r="360" ht="32" customHeight="1">
      <x:c r="A360" s="9" t="n">
        <x:v>352</x:v>
      </x:c>
      <x:c r="B360" s="8" t="str">
        <x:v>ก๋วยเตี๋ยวเนื้อ &amp; ไก่อาหารอิสลาม</x:v>
      </x:c>
      <x:c r="C360" s="8" t="str">
        <x:v>ปทุมธานี</x:v>
      </x:c>
      <x:c r="D360" s="8" t="str">
        <x:v>พัฒนาเพื่อพร้อมขาย</x:v>
      </x:c>
      <x:c r="E360" s="8" t="str">
        <x:v>ร้านอาหารและคาเฟ่</x:v>
      </x:c>
      <x:c r="F360" s="11" t="n">
        <x:v>46315</x:v>
      </x:c>
      <x:c r="G360" s="2" t="str">
        <x:v>TMF-368</x:v>
      </x:c>
    </x:row>
    <x:row r="361" ht="32" customHeight="1">
      <x:c r="A361" s="9" t="n">
        <x:v>353</x:v>
      </x:c>
      <x:c r="B361" s="8" t="str">
        <x:v>ข้าวมันไก่หวังบู่ สาขาหน้าเซเว่นมัสยิดแก้วนิมิตร</x:v>
      </x:c>
      <x:c r="C361" s="8" t="str">
        <x:v>ปทุมธานี</x:v>
      </x:c>
      <x:c r="D361" s="8" t="str">
        <x:v>พัฒนาเพื่อพร้อมขาย</x:v>
      </x:c>
      <x:c r="E361" s="8" t="str">
        <x:v>ร้านอาหารและคาเฟ่</x:v>
      </x:c>
      <x:c r="F361" s="11" t="n">
        <x:v>46315</x:v>
      </x:c>
      <x:c r="G361" s="2" t="str">
        <x:v>TMF-369</x:v>
      </x:c>
    </x:row>
    <x:row r="362" ht="32" customHeight="1">
      <x:c r="A362" s="9" t="n">
        <x:v>354</x:v>
      </x:c>
      <x:c r="B362" s="8" t="str">
        <x:v>ครัวฟาตีมะห์-หวังรัญ</x:v>
      </x:c>
      <x:c r="C362" s="8" t="str">
        <x:v>ปทุมธานี</x:v>
      </x:c>
      <x:c r="D362" s="8" t="str">
        <x:v>พัฒนาเพื่อพร้อมขาย</x:v>
      </x:c>
      <x:c r="E362" s="8" t="str">
        <x:v>ร้านอาหารและคาเฟ่</x:v>
      </x:c>
      <x:c r="F362" s="11" t="n">
        <x:v>46315</x:v>
      </x:c>
      <x:c r="G362" s="2" t="str">
        <x:v>TMF-370</x:v>
      </x:c>
    </x:row>
    <x:row r="363" ht="32" customHeight="1">
      <x:c r="A363" s="9" t="n">
        <x:v>355</x:v>
      </x:c>
      <x:c r="B363" s="8" t="str">
        <x:v>ครัวเตาถ่าน</x:v>
      </x:c>
      <x:c r="C363" s="8" t="str">
        <x:v>ปทุมธานี</x:v>
      </x:c>
      <x:c r="D363" s="8" t="str">
        <x:v>พัฒนาเพื่อพร้อมขาย</x:v>
      </x:c>
      <x:c r="E363" s="8" t="str">
        <x:v>ร้านอาหารและคาเฟ่</x:v>
      </x:c>
      <x:c r="F363" s="11" t="n">
        <x:v>46315</x:v>
      </x:c>
      <x:c r="G363" s="2" t="str">
        <x:v>TMF-371</x:v>
      </x:c>
    </x:row>
    <x:row r="364" ht="32" customHeight="1">
      <x:c r="A364" s="9" t="n">
        <x:v>356</x:v>
      </x:c>
      <x:c r="B364" s="8" t="str">
        <x:v>ดรีมเวิลด์</x:v>
      </x:c>
      <x:c r="C364" s="8" t="str">
        <x:v>ปทุมธานี</x:v>
      </x:c>
      <x:c r="D364" s="8" t="str">
        <x:v>พัฒนาเพื่อพร้อมขาย</x:v>
      </x:c>
      <x:c r="E364" s="8" t="str">
        <x:v>ศูนย์กิจกรรมและนันทนาการ</x:v>
      </x:c>
      <x:c r="F364" s="11" t="n">
        <x:v>46315</x:v>
      </x:c>
      <x:c r="G364" s="2" t="str">
        <x:v>TMF-372</x:v>
      </x:c>
    </x:row>
    <x:row r="365" ht="32" customHeight="1">
      <x:c r="A365" s="9" t="n">
        <x:v>357</x:v>
      </x:c>
      <x:c r="B365" s="8" t="str">
        <x:v>ครัววังแพะ Goat Chef's Kitchen</x:v>
      </x:c>
      <x:c r="C365" s="8" t="str">
        <x:v>ปัตตานี</x:v>
      </x:c>
      <x:c r="D365" s="8" t="str">
        <x:v>พัฒนาเพื่อพร้อมขาย</x:v>
      </x:c>
      <x:c r="E365" s="8" t="str">
        <x:v>ร้านอาหารและคาเฟ่</x:v>
      </x:c>
      <x:c r="F365" s="11" t="n">
        <x:v>46315</x:v>
      </x:c>
      <x:c r="G365" s="2" t="str">
        <x:v>TMF-373</x:v>
      </x:c>
    </x:row>
    <x:row r="366" ht="32" customHeight="1">
      <x:c r="A366" s="9" t="n">
        <x:v>358</x:v>
      </x:c>
      <x:c r="B366" s="8" t="str">
        <x:v>มัสยิดกรือเซะ</x:v>
      </x:c>
      <x:c r="C366" s="8" t="str">
        <x:v>ปัตตานี</x:v>
      </x:c>
      <x:c r="D366" s="8" t="str">
        <x:v>พัฒนาเพื่อพร้อมขาย</x:v>
      </x:c>
      <x:c r="E366" s="8" t="str">
        <x:v>แหล่งท่องเที่ยวทางประวัติศาสตร์และวัฒนธรรม</x:v>
      </x:c>
      <x:c r="F366" s="11" t="n">
        <x:v>46315</x:v>
      </x:c>
      <x:c r="G366" s="2" t="str">
        <x:v>TMF-374</x:v>
      </x:c>
    </x:row>
    <x:row r="367" ht="32" customHeight="1">
      <x:c r="A367" s="9" t="n">
        <x:v>359</x:v>
      </x:c>
      <x:c r="B367" s="8" t="str">
        <x:v>มัสยิดกลางจังหวัดปัตตานี</x:v>
      </x:c>
      <x:c r="C367" s="8" t="str">
        <x:v>ปัตตานี</x:v>
      </x:c>
      <x:c r="D367" s="8" t="str">
        <x:v>พัฒนาเพื่อพร้อมขาย</x:v>
      </x:c>
      <x:c r="E367" s="8" t="str">
        <x:v>แหล่งท่องเที่ยวทางประวัติศาสตร์และวัฒนธรรม</x:v>
      </x:c>
      <x:c r="F367" s="11" t="n">
        <x:v>46315</x:v>
      </x:c>
      <x:c r="G367" s="2" t="str">
        <x:v>TMF-375</x:v>
      </x:c>
    </x:row>
    <x:row r="368" ht="32" customHeight="1">
      <x:c r="A368" s="9" t="n">
        <x:v>360</x:v>
      </x:c>
      <x:c r="B368" s="8" t="str">
        <x:v>โรงแรม เลอ เอราวัณ พังงา</x:v>
      </x:c>
      <x:c r="C368" s="8" t="str">
        <x:v>พังงา</x:v>
      </x:c>
      <x:c r="D368" s="8" t="str">
        <x:v>พัฒนาเพื่อพร้อมขาย</x:v>
      </x:c>
      <x:c r="E368" s="8" t="str">
        <x:v>ที่พัก</x:v>
      </x:c>
      <x:c r="F368" s="11" t="n">
        <x:v>46315</x:v>
      </x:c>
      <x:c r="G368" s="2" t="str">
        <x:v>TMF-376</x:v>
      </x:c>
    </x:row>
    <x:row r="369" ht="32" customHeight="1">
      <x:c r="A369" s="9" t="n">
        <x:v>361</x:v>
      </x:c>
      <x:c r="B369" s="8" t="str">
        <x:v>โรงแรมภูงา</x:v>
      </x:c>
      <x:c r="C369" s="8" t="str">
        <x:v>พังงา</x:v>
      </x:c>
      <x:c r="D369" s="8" t="str">
        <x:v>พัฒนาเพื่อพร้อมขาย</x:v>
      </x:c>
      <x:c r="E369" s="8" t="str">
        <x:v>ที่พัก</x:v>
      </x:c>
      <x:c r="F369" s="11" t="n">
        <x:v>46315</x:v>
      </x:c>
      <x:c r="G369" s="2" t="str">
        <x:v>TMF-377</x:v>
      </x:c>
    </x:row>
    <x:row r="370" ht="32" customHeight="1">
      <x:c r="A370" s="9" t="n">
        <x:v>362</x:v>
      </x:c>
      <x:c r="B370" s="8" t="str">
        <x:v>โรงแรมภูเก็ตเกรซแลนด์ รีสอร์ท แอนด์ สปา</x:v>
      </x:c>
      <x:c r="C370" s="8" t="str">
        <x:v>ภูเก็ต</x:v>
      </x:c>
      <x:c r="D370" s="8" t="str">
        <x:v>พัฒนาเพื่อพร้อมขาย</x:v>
      </x:c>
      <x:c r="E370" s="8" t="str">
        <x:v>ที่พัก</x:v>
      </x:c>
      <x:c r="F370" s="11" t="n">
        <x:v>46315</x:v>
      </x:c>
      <x:c r="G370" s="2" t="str">
        <x:v>TMF-378</x:v>
      </x:c>
    </x:row>
    <x:row r="371" ht="32" customHeight="1">
      <x:c r="A371" s="9" t="n">
        <x:v>363</x:v>
      </x:c>
      <x:c r="B371" s="8" t="str">
        <x:v>โรงแรมเดอะรอยัลพาราไดซ์ ป่าตอง</x:v>
      </x:c>
      <x:c r="C371" s="8" t="str">
        <x:v>ภูเก็ต</x:v>
      </x:c>
      <x:c r="D371" s="8" t="str">
        <x:v>พัฒนาเพื่อพร้อมขาย</x:v>
      </x:c>
      <x:c r="E371" s="8" t="str">
        <x:v>ที่พัก</x:v>
      </x:c>
      <x:c r="F371" s="11" t="n">
        <x:v>46315</x:v>
      </x:c>
      <x:c r="G371" s="2" t="str">
        <x:v>TMF-379</x:v>
      </x:c>
    </x:row>
    <x:row r="372" ht="32" customHeight="1">
      <x:c r="A372" s="9" t="n">
        <x:v>364</x:v>
      </x:c>
      <x:c r="B372" s="8" t="str">
        <x:v>มัสยิดกลาง จ.มุกดาหาร</x:v>
      </x:c>
      <x:c r="C372" s="8" t="str">
        <x:v>มุกดาหาร</x:v>
      </x:c>
      <x:c r="D372" s="8" t="str">
        <x:v>พัฒนาเพื่อพร้อมขาย</x:v>
      </x:c>
      <x:c r="E372" s="8" t="str">
        <x:v>แหล่งท่องเที่ยวทางประวัติศาสตร์และวัฒนธรรม</x:v>
      </x:c>
      <x:c r="F372" s="11" t="n">
        <x:v>46315</x:v>
      </x:c>
      <x:c r="G372" s="2" t="str">
        <x:v>TMF-380</x:v>
      </x:c>
    </x:row>
    <x:row r="373" ht="32" customHeight="1">
      <x:c r="A373" s="9" t="n">
        <x:v>365</x:v>
      </x:c>
      <x:c r="B373" s="8" t="str">
        <x:v>% persen coffee</x:v>
      </x:c>
      <x:c r="C373" s="8" t="str">
        <x:v>ยะลา</x:v>
      </x:c>
      <x:c r="D373" s="8" t="str">
        <x:v>พัฒนาเพื่อพร้อมขาย</x:v>
      </x:c>
      <x:c r="E373" s="8" t="str">
        <x:v>ร้านอาหารและคาเฟ่</x:v>
      </x:c>
      <x:c r="F373" s="11" t="n">
        <x:v>46315</x:v>
      </x:c>
      <x:c r="G373" s="2" t="str">
        <x:v>TMF-381</x:v>
      </x:c>
    </x:row>
    <x:row r="374" ht="32" customHeight="1">
      <x:c r="A374" s="9" t="n">
        <x:v>366</x:v>
      </x:c>
      <x:c r="B374" s="8" t="str">
        <x:v>24 house กาแฟหน้าบ้าน</x:v>
      </x:c>
      <x:c r="C374" s="8" t="str">
        <x:v>ยะลา</x:v>
      </x:c>
      <x:c r="D374" s="8" t="str">
        <x:v>พัฒนาเพื่อพร้อมขาย</x:v>
      </x:c>
      <x:c r="E374" s="8" t="str">
        <x:v>ร้านอาหารและคาเฟ่</x:v>
      </x:c>
      <x:c r="F374" s="11" t="n">
        <x:v>46315</x:v>
      </x:c>
      <x:c r="G374" s="2" t="str">
        <x:v>TMF-382</x:v>
      </x:c>
    </x:row>
    <x:row r="375" ht="32" customHeight="1">
      <x:c r="A375" s="9" t="n">
        <x:v>367</x:v>
      </x:c>
      <x:c r="B375" s="8" t="str">
        <x:v>Candy rose หมี่ไก่ฉีก</x:v>
      </x:c>
      <x:c r="C375" s="8" t="str">
        <x:v>ยะลา</x:v>
      </x:c>
      <x:c r="D375" s="8" t="str">
        <x:v>พัฒนาเพื่อพร้อมขาย</x:v>
      </x:c>
      <x:c r="E375" s="8" t="str">
        <x:v>ร้านอาหารและคาเฟ่</x:v>
      </x:c>
      <x:c r="F375" s="11" t="n">
        <x:v>46315</x:v>
      </x:c>
      <x:c r="G375" s="2" t="str">
        <x:v>TMF-383</x:v>
      </x:c>
    </x:row>
    <x:row r="376" ht="32" customHeight="1">
      <x:c r="A376" s="9" t="n">
        <x:v>368</x:v>
      </x:c>
      <x:c r="B376" s="8" t="str">
        <x:v>IN Trend Co-working Cafe</x:v>
      </x:c>
      <x:c r="C376" s="8" t="str">
        <x:v>ยะลา</x:v>
      </x:c>
      <x:c r="D376" s="8" t="str">
        <x:v>พัฒนาเพื่อพร้อมขาย</x:v>
      </x:c>
      <x:c r="E376" s="8" t="str">
        <x:v>ร้านอาหารและคาเฟ่</x:v>
      </x:c>
      <x:c r="F376" s="11" t="n">
        <x:v>46315</x:v>
      </x:c>
      <x:c r="G376" s="2" t="str">
        <x:v>TMF-384</x:v>
      </x:c>
    </x:row>
    <x:row r="377" ht="32" customHeight="1">
      <x:c r="A377" s="9" t="n">
        <x:v>369</x:v>
      </x:c>
      <x:c r="B377" s="8" t="str">
        <x:v>Orbit Coffee-ออร์บิท คอฟฟี่ ยะลา</x:v>
      </x:c>
      <x:c r="C377" s="8" t="str">
        <x:v>ยะลา</x:v>
      </x:c>
      <x:c r="D377" s="8" t="str">
        <x:v>พัฒนาเพื่อพร้อมขาย</x:v>
      </x:c>
      <x:c r="E377" s="8" t="str">
        <x:v>ร้านอาหารและคาเฟ่</x:v>
      </x:c>
      <x:c r="F377" s="11" t="n">
        <x:v>46315</x:v>
      </x:c>
      <x:c r="G377" s="2" t="str">
        <x:v>TMF-385</x:v>
      </x:c>
    </x:row>
    <x:row r="378" ht="32" customHeight="1">
      <x:c r="A378" s="9" t="n">
        <x:v>370</x:v>
      </x:c>
      <x:c r="B378" s="8" t="str">
        <x:v>CTRL (Wh)y? Coffn'mat</x:v>
      </x:c>
      <x:c r="C378" s="8" t="str">
        <x:v>ระยอง</x:v>
      </x:c>
      <x:c r="D378" s="8" t="str">
        <x:v>พัฒนาเพื่อพร้อมขาย</x:v>
      </x:c>
      <x:c r="E378" s="8" t="str">
        <x:v>ร้านอาหารและคาเฟ่</x:v>
      </x:c>
      <x:c r="F378" s="11" t="n">
        <x:v>46315</x:v>
      </x:c>
      <x:c r="G378" s="2" t="str">
        <x:v>TMF-386</x:v>
      </x:c>
    </x:row>
    <x:row r="379" ht="32" customHeight="1">
      <x:c r="A379" s="9" t="n">
        <x:v>371</x:v>
      </x:c>
      <x:c r="B379" s="8" t="str">
        <x:v>Super เนื้อ 98 ก๋วยเตี๋ยวเนื้อตุ๋น</x:v>
      </x:c>
      <x:c r="C379" s="8" t="str">
        <x:v>ระยอง</x:v>
      </x:c>
      <x:c r="D379" s="8" t="str">
        <x:v>พัฒนาเพื่อพร้อมขาย</x:v>
      </x:c>
      <x:c r="E379" s="8" t="str">
        <x:v>ร้านอาหารและคาเฟ่</x:v>
      </x:c>
      <x:c r="F379" s="11" t="n">
        <x:v>46315</x:v>
      </x:c>
      <x:c r="G379" s="2" t="str">
        <x:v>TMF-387</x:v>
      </x:c>
    </x:row>
    <x:row r="380" ht="32" customHeight="1">
      <x:c r="A380" s="9" t="n">
        <x:v>372</x:v>
      </x:c>
      <x:c r="B380" s="8" t="str">
        <x:v>กัยนา (เล็กเมืองตรัง) ไก่ทอดหาดใหญ่</x:v>
      </x:c>
      <x:c r="C380" s="8" t="str">
        <x:v>ระยอง</x:v>
      </x:c>
      <x:c r="D380" s="8" t="str">
        <x:v>พัฒนาเพื่อพร้อมขาย</x:v>
      </x:c>
      <x:c r="E380" s="8" t="str">
        <x:v>ร้านอาหารและคาเฟ่</x:v>
      </x:c>
      <x:c r="F380" s="11" t="n">
        <x:v>46315</x:v>
      </x:c>
      <x:c r="G380" s="2" t="str">
        <x:v>TMF-388</x:v>
      </x:c>
    </x:row>
    <x:row r="381" ht="32" customHeight="1">
      <x:c r="A381" s="9" t="n">
        <x:v>373</x:v>
      </x:c>
      <x:c r="B381" s="8" t="str">
        <x:v>กินเส้น @ บายบัง</x:v>
      </x:c>
      <x:c r="C381" s="8" t="str">
        <x:v>ระยอง</x:v>
      </x:c>
      <x:c r="D381" s="8" t="str">
        <x:v>พัฒนาเพื่อพร้อมขาย</x:v>
      </x:c>
      <x:c r="E381" s="8" t="str">
        <x:v>ร้านอาหารและคาเฟ่</x:v>
      </x:c>
      <x:c r="F381" s="11" t="n">
        <x:v>46315</x:v>
      </x:c>
      <x:c r="G381" s="2" t="str">
        <x:v>TMF-389</x:v>
      </x:c>
    </x:row>
    <x:row r="382" ht="32" customHeight="1">
      <x:c r="A382" s="9" t="n">
        <x:v>374</x:v>
      </x:c>
      <x:c r="B382" s="8" t="str">
        <x:v>ก๋วยเตี๋ยวเนื้อ โต๊ะจููละห์</x:v>
      </x:c>
      <x:c r="C382" s="8" t="str">
        <x:v>ระยอง</x:v>
      </x:c>
      <x:c r="D382" s="8" t="str">
        <x:v>พัฒนาเพื่อพร้อมขาย</x:v>
      </x:c>
      <x:c r="E382" s="8" t="str">
        <x:v>ร้านอาหารและคาเฟ่</x:v>
      </x:c>
      <x:c r="F382" s="11" t="n">
        <x:v>46315</x:v>
      </x:c>
      <x:c r="G382" s="2" t="str">
        <x:v>TMF-390</x:v>
      </x:c>
    </x:row>
    <x:row r="383" ht="32" customHeight="1">
      <x:c r="A383" s="9" t="n">
        <x:v>375</x:v>
      </x:c>
      <x:c r="B383" s="8" t="str">
        <x:v>มัสยิดอัสซุนนะห์ จ.ระยอง</x:v>
      </x:c>
      <x:c r="C383" s="8" t="str">
        <x:v>ระยอง</x:v>
      </x:c>
      <x:c r="D383" s="8" t="str">
        <x:v>พัฒนาเพื่อพร้อมขาย</x:v>
      </x:c>
      <x:c r="E383" s="8" t="str">
        <x:v>แหล่งท่องเที่ยวทางประวัติศาสตร์และวัฒนธรรม</x:v>
      </x:c>
      <x:c r="F383" s="11" t="n">
        <x:v>46315</x:v>
      </x:c>
      <x:c r="G383" s="2" t="str">
        <x:v>TMF-391</x:v>
      </x:c>
    </x:row>
    <x:row r="384" ht="32" customHeight="1">
      <x:c r="A384" s="9" t="n">
        <x:v>376</x:v>
      </x:c>
      <x:c r="B384" s="8" t="str">
        <x:v>รีเจนท์ ลอด์จ โฮเตล</x:v>
      </x:c>
      <x:c r="C384" s="8" t="str">
        <x:v>ลำปาง</x:v>
      </x:c>
      <x:c r="D384" s="8" t="str">
        <x:v>พัฒนาเพื่อพร้อมขาย</x:v>
      </x:c>
      <x:c r="E384" s="8" t="str">
        <x:v>ที่พัก</x:v>
      </x:c>
      <x:c r="F384" s="11" t="n">
        <x:v>46315</x:v>
      </x:c>
      <x:c r="G384" s="2" t="str">
        <x:v>TMF-392</x:v>
      </x:c>
    </x:row>
    <x:row r="385" ht="32" customHeight="1">
      <x:c r="A385" s="9" t="n">
        <x:v>377</x:v>
      </x:c>
      <x:c r="B385" s="8" t="str">
        <x:v>มัสยิดนูรุลอิสลามสกลนคร</x:v>
      </x:c>
      <x:c r="C385" s="8" t="str">
        <x:v>สกลนคร</x:v>
      </x:c>
      <x:c r="D385" s="8" t="str">
        <x:v>พัฒนาเพื่อพร้อมขาย</x:v>
      </x:c>
      <x:c r="E385" s="8" t="str">
        <x:v>แหล่งท่องเที่ยวทางประวัติศาสตร์และวัฒนธรรม</x:v>
      </x:c>
      <x:c r="F385" s="11" t="n">
        <x:v>46315</x:v>
      </x:c>
      <x:c r="G385" s="2" t="str">
        <x:v>TMF-393</x:v>
      </x:c>
    </x:row>
    <x:row r="386" ht="32" customHeight="1">
      <x:c r="A386" s="9" t="n">
        <x:v>378</x:v>
      </x:c>
      <x:c r="B386" s="8" t="str">
        <x:v>โรงแรม บี.พี. แกรนด์ทาวเวอร์</x:v>
      </x:c>
      <x:c r="C386" s="8" t="str">
        <x:v>สงขลา</x:v>
      </x:c>
      <x:c r="D386" s="8" t="str">
        <x:v>พัฒนาเพื่อพร้อมขาย</x:v>
      </x:c>
      <x:c r="E386" s="8" t="str">
        <x:v>ที่พัก</x:v>
      </x:c>
      <x:c r="F386" s="11" t="n">
        <x:v>46315</x:v>
      </x:c>
      <x:c r="G386" s="2" t="str">
        <x:v>TMF-394</x:v>
      </x:c>
    </x:row>
    <x:row r="387" ht="32" customHeight="1">
      <x:c r="A387" s="9" t="n">
        <x:v>379</x:v>
      </x:c>
      <x:c r="B387" s="8" t="str">
        <x:v>โรงแรม หรรษา เจบี</x:v>
      </x:c>
      <x:c r="C387" s="8" t="str">
        <x:v>สงขลา</x:v>
      </x:c>
      <x:c r="D387" s="8" t="str">
        <x:v>พัฒนาเพื่อพร้อมขาย</x:v>
      </x:c>
      <x:c r="E387" s="8" t="str">
        <x:v>ที่พัก</x:v>
      </x:c>
      <x:c r="F387" s="11" t="n">
        <x:v>46315</x:v>
      </x:c>
      <x:c r="G387" s="2" t="str">
        <x:v>TMF-395</x:v>
      </x:c>
    </x:row>
    <x:row r="388" ht="32" customHeight="1">
      <x:c r="A388" s="9" t="n">
        <x:v>380</x:v>
      </x:c>
      <x:c r="B388" s="8" t="str">
        <x:v>โรงแรมหาดแก้ว รีสอร์ท สงขลา</x:v>
      </x:c>
      <x:c r="C388" s="8" t="str">
        <x:v>สงขลา</x:v>
      </x:c>
      <x:c r="D388" s="8" t="str">
        <x:v>พัฒนาเพื่อพร้อมขาย</x:v>
      </x:c>
      <x:c r="E388" s="8" t="str">
        <x:v>ที่พัก</x:v>
      </x:c>
      <x:c r="F388" s="11" t="n">
        <x:v>46315</x:v>
      </x:c>
      <x:c r="G388" s="2" t="str">
        <x:v>TMF-396</x:v>
      </x:c>
    </x:row>
    <x:row r="389" ht="32" customHeight="1">
      <x:c r="A389" s="9" t="n">
        <x:v>381</x:v>
      </x:c>
      <x:c r="B389" s="8" t="str">
        <x:v>โรงแรมเซาท์เทอร์น แอร์พอร์ต</x:v>
      </x:c>
      <x:c r="C389" s="8" t="str">
        <x:v>สงขลา</x:v>
      </x:c>
      <x:c r="D389" s="8" t="str">
        <x:v>พัฒนาเพื่อพร้อมขาย</x:v>
      </x:c>
      <x:c r="E389" s="8" t="str">
        <x:v>ที่พัก</x:v>
      </x:c>
      <x:c r="F389" s="11" t="n">
        <x:v>46315</x:v>
      </x:c>
      <x:c r="G389" s="2" t="str">
        <x:v>TMF-397</x:v>
      </x:c>
    </x:row>
    <x:row r="390" ht="32" customHeight="1">
      <x:c r="A390" s="9" t="n">
        <x:v>382</x:v>
      </x:c>
      <x:c r="B390" s="8" t="str">
        <x:v>AYAMCHON HATYAI</x:v>
      </x:c>
      <x:c r="C390" s="8" t="str">
        <x:v>สงขลา</x:v>
      </x:c>
      <x:c r="D390" s="8" t="str">
        <x:v>พัฒนาเพื่อพร้อมขาย</x:v>
      </x:c>
      <x:c r="E390" s="8" t="str">
        <x:v>ร้านอาหารและคาเฟ่</x:v>
      </x:c>
      <x:c r="F390" s="11" t="n">
        <x:v>46315</x:v>
      </x:c>
      <x:c r="G390" s="2" t="str">
        <x:v>TMF-398</x:v>
      </x:c>
    </x:row>
    <x:row r="391" ht="32" customHeight="1">
      <x:c r="A391" s="9" t="n">
        <x:v>383</x:v>
      </x:c>
      <x:c r="B391" s="8" t="str">
        <x:v>มัสยิดกลางประจำจังหวัดสงขลา</x:v>
      </x:c>
      <x:c r="C391" s="8" t="str">
        <x:v>สงขลา</x:v>
      </x:c>
      <x:c r="D391" s="8" t="str">
        <x:v>พัฒนาเพื่อพร้อมขาย</x:v>
      </x:c>
      <x:c r="E391" s="8" t="str">
        <x:v>แหล่งท่องเที่ยวทางประวัติศาสตร์และวัฒนธรรม</x:v>
      </x:c>
      <x:c r="F391" s="11" t="n">
        <x:v>46315</x:v>
      </x:c>
      <x:c r="G391" s="2" t="str">
        <x:v>TMF-399</x:v>
      </x:c>
    </x:row>
    <x:row r="392" ht="32" customHeight="1">
      <x:c r="A392" s="9" t="n">
        <x:v>384</x:v>
      </x:c>
      <x:c r="B392" s="8" t="str">
        <x:v>กลิ่นมาลัย</x:v>
      </x:c>
      <x:c r="C392" s="8" t="str">
        <x:v>สมุทรปราการ</x:v>
      </x:c>
      <x:c r="D392" s="8" t="str">
        <x:v>พัฒนาเพื่อพร้อมขาย</x:v>
      </x:c>
      <x:c r="E392" s="8" t="str">
        <x:v>ร้านอาหารและคาเฟ่</x:v>
      </x:c>
      <x:c r="F392" s="11" t="n">
        <x:v>46315</x:v>
      </x:c>
      <x:c r="G392" s="2" t="str">
        <x:v>TMF-400</x:v>
      </x:c>
    </x:row>
    <x:row r="393" ht="32" customHeight="1">
      <x:c r="A393" s="9" t="n">
        <x:v>385</x:v>
      </x:c>
      <x:c r="B393" s="8" t="str">
        <x:v>กาแฟปากลัด</x:v>
      </x:c>
      <x:c r="C393" s="8" t="str">
        <x:v>สมุทรปราการ</x:v>
      </x:c>
      <x:c r="D393" s="8" t="str">
        <x:v>พัฒนาเพื่อพร้อมขาย</x:v>
      </x:c>
      <x:c r="E393" s="8" t="str">
        <x:v>ร้านอาหารและคาเฟ่</x:v>
      </x:c>
      <x:c r="F393" s="11" t="n">
        <x:v>46315</x:v>
      </x:c>
      <x:c r="G393" s="2" t="str">
        <x:v>TMF-401</x:v>
      </x:c>
    </x:row>
    <x:row r="394" ht="32" customHeight="1">
      <x:c r="A394" s="9" t="n">
        <x:v>386</x:v>
      </x:c>
      <x:c r="B394" s="8" t="str">
        <x:v>ก๋วยเตี๋ยว อาหารอิสลาม บังจ๋า มาแว้ว</x:v>
      </x:c>
      <x:c r="C394" s="8" t="str">
        <x:v>สมุทรปราการ</x:v>
      </x:c>
      <x:c r="D394" s="8" t="str">
        <x:v>พัฒนาเพื่อพร้อมขาย</x:v>
      </x:c>
      <x:c r="E394" s="8" t="str">
        <x:v>ร้านอาหารและคาเฟ่</x:v>
      </x:c>
      <x:c r="F394" s="11" t="n">
        <x:v>46315</x:v>
      </x:c>
      <x:c r="G394" s="2" t="str">
        <x:v>TMF-402</x:v>
      </x:c>
    </x:row>
    <x:row r="395" ht="32" customHeight="1">
      <x:c r="A395" s="9" t="n">
        <x:v>387</x:v>
      </x:c>
      <x:c r="B395" s="8" t="str">
        <x:v>ก๋วยเตี๋ยวซากีนะห์</x:v>
      </x:c>
      <x:c r="C395" s="8" t="str">
        <x:v>สมุทรปราการ</x:v>
      </x:c>
      <x:c r="D395" s="8" t="str">
        <x:v>พัฒนาเพื่อพร้อมขาย</x:v>
      </x:c>
      <x:c r="E395" s="8" t="str">
        <x:v>ร้านอาหารและคาเฟ่</x:v>
      </x:c>
      <x:c r="F395" s="11" t="n">
        <x:v>46315</x:v>
      </x:c>
      <x:c r="G395" s="2" t="str">
        <x:v>TMF-403</x:v>
      </x:c>
    </x:row>
    <x:row r="396" ht="32" customHeight="1">
      <x:c r="A396" s="9" t="n">
        <x:v>388</x:v>
      </x:c>
      <x:c r="B396" s="8" t="str">
        <x:v>สถานีโรตี</x:v>
      </x:c>
      <x:c r="C396" s="8" t="str">
        <x:v>สระบุรี</x:v>
      </x:c>
      <x:c r="D396" s="8" t="str">
        <x:v>พัฒนาเพื่อพร้อมขาย</x:v>
      </x:c>
      <x:c r="E396" s="8" t="str">
        <x:v>ร้านอาหารและคาเฟ่</x:v>
      </x:c>
      <x:c r="F396" s="11" t="n">
        <x:v>46315</x:v>
      </x:c>
      <x:c r="G396" s="2" t="str">
        <x:v>TMF-404</x:v>
      </x:c>
    </x:row>
    <x:row r="397" ht="32" customHeight="1">
      <x:c r="A397" s="9" t="n">
        <x:v>389</x:v>
      </x:c>
      <x:c r="B397" s="8" t="str">
        <x:v>เดอะกี โรตี The gee roti</x:v>
      </x:c>
      <x:c r="C397" s="8" t="str">
        <x:v>เชียงใหม่</x:v>
      </x:c>
      <x:c r="D397" s="8" t="str">
        <x:v>พัฒนาเพื่อพร้อมขาย</x:v>
      </x:c>
      <x:c r="E397" s="8" t="str">
        <x:v>ร้านอาหารและคาเฟ่</x:v>
      </x:c>
      <x:c r="F397" s="11" t="n">
        <x:v>46315</x:v>
      </x:c>
      <x:c r="G397" s="2" t="str">
        <x:v>TMF-406</x:v>
      </x:c>
    </x:row>
    <x:row r="398" ht="32" customHeight="1">
      <x:c r="A398" s="9" t="n">
        <x:v>390</x:v>
      </x:c>
      <x:c r="B398" s="8" t="str">
        <x:v>ก๋วยเตี๋ยวเรือฮาลาลบังหนวด เพชรบุรีซอย7</x:v>
      </x:c>
      <x:c r="C398" s="8" t="str">
        <x:v>กรุงเทพมหานคร</x:v>
      </x:c>
      <x:c r="D398" s="8" t="str">
        <x:v>พัฒนาเพื่อพร้อมขาย</x:v>
      </x:c>
      <x:c r="E398" s="8" t="str">
        <x:v>ร้านอาหารและคาเฟ่</x:v>
      </x:c>
      <x:c r="F398" s="11" t="n">
        <x:v>46315</x:v>
      </x:c>
      <x:c r="G398" s="2" t="str">
        <x:v>TMF-408</x:v>
      </x:c>
    </x:row>
    <x:row r="399" ht="32" customHeight="1">
      <x:c r="A399" s="9" t="n">
        <x:v>391</x:v>
      </x:c>
      <x:c r="B399" s="8" t="str">
        <x:v>ครัวจัสมิน</x:v>
      </x:c>
      <x:c r="C399" s="8" t="str">
        <x:v>เชียงราย</x:v>
      </x:c>
      <x:c r="D399" s="8" t="str">
        <x:v>มีศักยภาพ แต่ต้องพัฒนามาตรฐาน</x:v>
      </x:c>
      <x:c r="E399" s="8" t="str">
        <x:v>ร้านอาหารและคาเฟ่</x:v>
      </x:c>
      <x:c r="F399" s="11" t="n">
        <x:v>46315</x:v>
      </x:c>
      <x:c r="G399" s="2" t="str">
        <x:v>TMF-413</x:v>
      </x:c>
    </x:row>
    <x:row r="400" ht="32" customHeight="1">
      <x:c r="A400" s="9" t="n">
        <x:v>392</x:v>
      </x:c>
      <x:c r="B400" s="8" t="str">
        <x:v>ซัลมานเคบับ</x:v>
      </x:c>
      <x:c r="C400" s="8" t="str">
        <x:v>เชียงราย</x:v>
      </x:c>
      <x:c r="D400" s="8" t="str">
        <x:v>มีศักยภาพ แต่ต้องพัฒนามาตรฐาน</x:v>
      </x:c>
      <x:c r="E400" s="8" t="str">
        <x:v>ร้านอาหารและคาเฟ่</x:v>
      </x:c>
      <x:c r="F400" s="11" t="n">
        <x:v>46315</x:v>
      </x:c>
      <x:c r="G400" s="2" t="str">
        <x:v>TMF-414</x:v>
      </x:c>
    </x:row>
    <x:row r="401" ht="32" customHeight="1">
      <x:c r="A401" s="9" t="n">
        <x:v>393</x:v>
      </x:c>
      <x:c r="B401" s="8" t="str">
        <x:v>ฮาลาลเป็ดย่างฮ่องกง แม่สาย</x:v>
      </x:c>
      <x:c r="C401" s="8" t="str">
        <x:v>เชียงราย</x:v>
      </x:c>
      <x:c r="D401" s="8" t="str">
        <x:v>มีศักยภาพ แต่ต้องพัฒนามาตรฐาน</x:v>
      </x:c>
      <x:c r="E401" s="8" t="str">
        <x:v>ร้านอาหารและคาเฟ่</x:v>
      </x:c>
      <x:c r="F401" s="11" t="n">
        <x:v>46315</x:v>
      </x:c>
      <x:c r="G401" s="2" t="str">
        <x:v>TMF-415</x:v>
      </x:c>
    </x:row>
    <x:row r="402" ht="32" customHeight="1">
      <x:c r="A402" s="9" t="n">
        <x:v>394</x:v>
      </x:c>
      <x:c r="B402" s="8" t="str">
        <x:v>ฮาเลฟา ฮาลาล เชียงราย</x:v>
      </x:c>
      <x:c r="C402" s="8" t="str">
        <x:v>เชียงราย</x:v>
      </x:c>
      <x:c r="D402" s="8" t="str">
        <x:v>มีศักยภาพ แต่ต้องพัฒนามาตรฐาน</x:v>
      </x:c>
      <x:c r="E402" s="8" t="str">
        <x:v>ร้านอาหารและคาเฟ่</x:v>
      </x:c>
      <x:c r="F402" s="11" t="n">
        <x:v>46315</x:v>
      </x:c>
      <x:c r="G402" s="2" t="str">
        <x:v>TMF-416</x:v>
      </x:c>
    </x:row>
    <x:row r="403" ht="32" customHeight="1">
      <x:c r="A403" s="9" t="n">
        <x:v>395</x:v>
      </x:c>
      <x:c r="B403" s="8" t="str">
        <x:v>โรตีซัลมา</x:v>
      </x:c>
      <x:c r="C403" s="8" t="str">
        <x:v>เชียงราย</x:v>
      </x:c>
      <x:c r="D403" s="8" t="str">
        <x:v>มีศักยภาพ แต่ต้องพัฒนามาตรฐาน</x:v>
      </x:c>
      <x:c r="E403" s="8" t="str">
        <x:v>ร้านอาหารและคาเฟ่</x:v>
      </x:c>
      <x:c r="F403" s="11" t="n">
        <x:v>46315</x:v>
      </x:c>
      <x:c r="G403" s="2" t="str">
        <x:v>TMF-417</x:v>
      </x:c>
    </x:row>
    <x:row r="404" ht="32" customHeight="1">
      <x:c r="A404" s="9" t="n">
        <x:v>396</x:v>
      </x:c>
      <x:c r="B404" s="8" t="str">
        <x:v>สิงห์ปาร์ค เชียงราย</x:v>
      </x:c>
      <x:c r="C404" s="8" t="str">
        <x:v>เชียงราย</x:v>
      </x:c>
      <x:c r="D404" s="8" t="str">
        <x:v>มีศักยภาพ แต่ต้องพัฒนามาตรฐาน</x:v>
      </x:c>
      <x:c r="E404" s="8" t="str">
        <x:v>ศูนย์กิจกรรมและนันทนาการ</x:v>
      </x:c>
      <x:c r="F404" s="11" t="n">
        <x:v>46315</x:v>
      </x:c>
      <x:c r="G404" s="2" t="str">
        <x:v>TMF-418</x:v>
      </x:c>
    </x:row>
    <x:row r="405" ht="32" customHeight="1">
      <x:c r="A405" s="9" t="n">
        <x:v>397</x:v>
      </x:c>
      <x:c r="B405" s="8" t="str">
        <x:v>พิพิธภัณฑ์บ้านดำ</x:v>
      </x:c>
      <x:c r="C405" s="8" t="str">
        <x:v>เชียงราย</x:v>
      </x:c>
      <x:c r="D405" s="8" t="str">
        <x:v>มีศักยภาพ แต่ต้องพัฒนามาตรฐาน</x:v>
      </x:c>
      <x:c r="E405" s="8" t="str">
        <x:v>แหล่งท่องเที่ยวทางประวัติศาสตร์และวัฒนธรรม</x:v>
      </x:c>
      <x:c r="F405" s="11" t="n">
        <x:v>46315</x:v>
      </x:c>
      <x:c r="G405" s="2" t="str">
        <x:v>TMF-419</x:v>
      </x:c>
    </x:row>
    <x:row r="406" ht="32" customHeight="1">
      <x:c r="A406" s="9" t="n">
        <x:v>398</x:v>
      </x:c>
      <x:c r="B406" s="8" t="str">
        <x:v>Halal Street Food จิ้มจุ่ม&amp;ชากา</x:v>
      </x:c>
      <x:c r="C406" s="8" t="str">
        <x:v>พระนครศรีอยุธยา</x:v>
      </x:c>
      <x:c r="D406" s="8" t="str">
        <x:v>มีศักยภาพ แต่ต้องพัฒนามาตรฐาน</x:v>
      </x:c>
      <x:c r="E406" s="8" t="str">
        <x:v>ร้านอาหารและคาเฟ่</x:v>
      </x:c>
      <x:c r="F406" s="11" t="n">
        <x:v>46315</x:v>
      </x:c>
      <x:c r="G406" s="2" t="str">
        <x:v>TMF-420</x:v>
      </x:c>
    </x:row>
    <x:row r="407" ht="32" customHeight="1">
      <x:c r="A407" s="9" t="n">
        <x:v>399</x:v>
      </x:c>
      <x:c r="B407" s="8" t="str">
        <x:v>PIZZA HALAL by beedah</x:v>
      </x:c>
      <x:c r="C407" s="8" t="str">
        <x:v>พระนครศรีอยุธยา</x:v>
      </x:c>
      <x:c r="D407" s="8" t="str">
        <x:v>มีศักยภาพ แต่ต้องพัฒนามาตรฐาน</x:v>
      </x:c>
      <x:c r="E407" s="8" t="str">
        <x:v>ร้านอาหารและคาเฟ่</x:v>
      </x:c>
      <x:c r="F407" s="11" t="n">
        <x:v>46315</x:v>
      </x:c>
      <x:c r="G407" s="2" t="str">
        <x:v>TMF-421</x:v>
      </x:c>
    </x:row>
    <x:row r="408" ht="32" customHeight="1">
      <x:c r="A408" s="9" t="n">
        <x:v>400</x:v>
      </x:c>
      <x:c r="B408" s="8" t="str">
        <x:v>กะเตี๋ยวยา</x:v>
      </x:c>
      <x:c r="C408" s="8" t="str">
        <x:v>พระนครศรีอยุธยา</x:v>
      </x:c>
      <x:c r="D408" s="8" t="str">
        <x:v>มีศักยภาพ แต่ต้องพัฒนามาตรฐาน</x:v>
      </x:c>
      <x:c r="E408" s="8" t="str">
        <x:v>ร้านอาหารและคาเฟ่</x:v>
      </x:c>
      <x:c r="F408" s="11" t="n">
        <x:v>46315</x:v>
      </x:c>
      <x:c r="G408" s="2" t="str">
        <x:v>TMF-422</x:v>
      </x:c>
    </x:row>
    <x:row r="409" ht="32" customHeight="1">
      <x:c r="A409" s="9" t="n">
        <x:v>401</x:v>
      </x:c>
      <x:c r="B409" s="8" t="str">
        <x:v>ก๋วยเตี๋ยวเนื้อเปื่อย ฮาลาล ตลาดรุ่งเจริญ</x:v>
      </x:c>
      <x:c r="C409" s="8" t="str">
        <x:v>พระนครศรีอยุธยา</x:v>
      </x:c>
      <x:c r="D409" s="8" t="str">
        <x:v>มีศักยภาพ แต่ต้องพัฒนามาตรฐาน</x:v>
      </x:c>
      <x:c r="E409" s="8" t="str">
        <x:v>ร้านอาหารและคาเฟ่</x:v>
      </x:c>
      <x:c r="F409" s="11" t="n">
        <x:v>46315</x:v>
      </x:c>
      <x:c r="G409" s="2" t="str">
        <x:v>TMF-423</x:v>
      </x:c>
    </x:row>
    <x:row r="410" ht="32" customHeight="1">
      <x:c r="A410" s="9" t="n">
        <x:v>402</x:v>
      </x:c>
      <x:c r="B410" s="8" t="str">
        <x:v>ข้าวต้มหัวโค้ง Ros Malee</x:v>
      </x:c>
      <x:c r="C410" s="8" t="str">
        <x:v>พระนครศรีอยุธยา</x:v>
      </x:c>
      <x:c r="D410" s="8" t="str">
        <x:v>มีศักยภาพ แต่ต้องพัฒนามาตรฐาน</x:v>
      </x:c>
      <x:c r="E410" s="8" t="str">
        <x:v>ร้านอาหารและคาเฟ่</x:v>
      </x:c>
      <x:c r="F410" s="11" t="n">
        <x:v>46315</x:v>
      </x:c>
      <x:c r="G410" s="2" t="str">
        <x:v>TMF-424</x:v>
      </x:c>
    </x:row>
    <x:row r="411" ht="32" customHeight="1">
      <x:c r="A411" s="9" t="n">
        <x:v>403</x:v>
      </x:c>
      <x:c r="B411" s="8" t="str">
        <x:v>ข้าวมันไก่  ข้าวยำไก่แซ่บ ข้าวหมกไก่</x:v>
      </x:c>
      <x:c r="C411" s="8" t="str">
        <x:v>พระนครศรีอยุธยา</x:v>
      </x:c>
      <x:c r="D411" s="8" t="str">
        <x:v>มีศักยภาพ แต่ต้องพัฒนามาตรฐาน</x:v>
      </x:c>
      <x:c r="E411" s="8" t="str">
        <x:v>ร้านอาหารและคาเฟ่</x:v>
      </x:c>
      <x:c r="F411" s="11" t="n">
        <x:v>46315</x:v>
      </x:c>
      <x:c r="G411" s="2" t="str">
        <x:v>TMF-425</x:v>
      </x:c>
    </x:row>
    <x:row r="412" ht="32" customHeight="1">
      <x:c r="A412" s="9" t="n">
        <x:v>404</x:v>
      </x:c>
      <x:c r="B412" s="8" t="str">
        <x:v>ครัวมุสลิม สาขา2 โรจนะ</x:v>
      </x:c>
      <x:c r="C412" s="8" t="str">
        <x:v>พระนครศรีอยุธยา</x:v>
      </x:c>
      <x:c r="D412" s="8" t="str">
        <x:v>มีศักยภาพ แต่ต้องพัฒนามาตรฐาน</x:v>
      </x:c>
      <x:c r="E412" s="8" t="str">
        <x:v>ร้านอาหารและคาเฟ่</x:v>
      </x:c>
      <x:c r="F412" s="11" t="n">
        <x:v>46315</x:v>
      </x:c>
      <x:c r="G412" s="2" t="str">
        <x:v>TMF-426</x:v>
      </x:c>
    </x:row>
    <x:row r="413" ht="32" customHeight="1">
      <x:c r="A413" s="9" t="n">
        <x:v>405</x:v>
      </x:c>
      <x:c r="B413" s="8" t="str">
        <x:v>จูเด๊ะ</x:v>
      </x:c>
      <x:c r="C413" s="8" t="str">
        <x:v>พระนครศรีอยุธยา</x:v>
      </x:c>
      <x:c r="D413" s="8" t="str">
        <x:v>มีศักยภาพ แต่ต้องพัฒนามาตรฐาน</x:v>
      </x:c>
      <x:c r="E413" s="8" t="str">
        <x:v>ร้านอาหารและคาเฟ่</x:v>
      </x:c>
      <x:c r="F413" s="11" t="n">
        <x:v>46315</x:v>
      </x:c>
      <x:c r="G413" s="2" t="str">
        <x:v>TMF-427</x:v>
      </x:c>
    </x:row>
    <x:row r="414" ht="32" customHeight="1">
      <x:c r="A414" s="9" t="n">
        <x:v>406</x:v>
      </x:c>
      <x:c r="B414" s="8" t="str">
        <x:v>ซามีมี่ฮาลาล  ซาลาเปา อาหารตามสั่ง</x:v>
      </x:c>
      <x:c r="C414" s="8" t="str">
        <x:v>พระนครศรีอยุธยา</x:v>
      </x:c>
      <x:c r="D414" s="8" t="str">
        <x:v>มีศักยภาพ แต่ต้องพัฒนามาตรฐาน</x:v>
      </x:c>
      <x:c r="E414" s="8" t="str">
        <x:v>ร้านอาหารและคาเฟ่</x:v>
      </x:c>
      <x:c r="F414" s="11" t="n">
        <x:v>46315</x:v>
      </x:c>
      <x:c r="G414" s="2" t="str">
        <x:v>TMF-428</x:v>
      </x:c>
    </x:row>
    <x:row r="415" ht="32" customHeight="1">
      <x:c r="A415" s="9" t="n">
        <x:v>407</x:v>
      </x:c>
      <x:c r="B415" s="8" t="str">
        <x:v>ตอฮา 25  อาหารตามสั่ง / หอยกระทะร้อน</x:v>
      </x:c>
      <x:c r="C415" s="8" t="str">
        <x:v>พระนครศรีอยุธยา</x:v>
      </x:c>
      <x:c r="D415" s="8" t="str">
        <x:v>มีศักยภาพ แต่ต้องพัฒนามาตรฐาน</x:v>
      </x:c>
      <x:c r="E415" s="8" t="str">
        <x:v>ร้านอาหารและคาเฟ่</x:v>
      </x:c>
      <x:c r="F415" s="11" t="n">
        <x:v>46315</x:v>
      </x:c>
      <x:c r="G415" s="2" t="str">
        <x:v>TMF-429</x:v>
      </x:c>
    </x:row>
    <x:row r="416" ht="32" customHeight="1">
      <x:c r="A416" s="9" t="n">
        <x:v>408</x:v>
      </x:c>
      <x:c r="B416" s="8" t="str">
        <x:v>บังบูบะหมี่เกี๊ยว ฮาลาล</x:v>
      </x:c>
      <x:c r="C416" s="8" t="str">
        <x:v>พระนครศรีอยุธยา</x:v>
      </x:c>
      <x:c r="D416" s="8" t="str">
        <x:v>มีศักยภาพ แต่ต้องพัฒนามาตรฐาน</x:v>
      </x:c>
      <x:c r="E416" s="8" t="str">
        <x:v>ร้านอาหารและคาเฟ่</x:v>
      </x:c>
      <x:c r="F416" s="11" t="n">
        <x:v>46315</x:v>
      </x:c>
      <x:c r="G416" s="2" t="str">
        <x:v>TMF-430</x:v>
      </x:c>
    </x:row>
    <x:row r="417" ht="32" customHeight="1">
      <x:c r="A417" s="9" t="n">
        <x:v>409</x:v>
      </x:c>
      <x:c r="B417" s="8" t="str">
        <x:v>บังลิก - ยีเลาะห์ เจ้าเก่า - ร้านอาหารมุสลิม อยุธยา</x:v>
      </x:c>
      <x:c r="C417" s="8" t="str">
        <x:v>พระนครศรีอยุธยา</x:v>
      </x:c>
      <x:c r="D417" s="8" t="str">
        <x:v>มีศักยภาพ แต่ต้องพัฒนามาตรฐาน</x:v>
      </x:c>
      <x:c r="E417" s="8" t="str">
        <x:v>ร้านอาหารและคาเฟ่</x:v>
      </x:c>
      <x:c r="F417" s="11" t="n">
        <x:v>46315</x:v>
      </x:c>
      <x:c r="G417" s="2" t="str">
        <x:v>TMF-431</x:v>
      </x:c>
    </x:row>
    <x:row r="418" ht="32" customHeight="1">
      <x:c r="A418" s="9" t="n">
        <x:v>410</x:v>
      </x:c>
      <x:c r="B418" s="8" t="str">
        <x:v>บ้านไวยรูป ขนมอบ</x:v>
      </x:c>
      <x:c r="C418" s="8" t="str">
        <x:v>พระนครศรีอยุธยา</x:v>
      </x:c>
      <x:c r="D418" s="8" t="str">
        <x:v>มีศักยภาพ แต่ต้องพัฒนามาตรฐาน</x:v>
      </x:c>
      <x:c r="E418" s="8" t="str">
        <x:v>ร้านอาหารและคาเฟ่</x:v>
      </x:c>
      <x:c r="F418" s="11" t="n">
        <x:v>46315</x:v>
      </x:c>
      <x:c r="G418" s="2" t="str">
        <x:v>TMF-432</x:v>
      </x:c>
    </x:row>
    <x:row r="419" ht="32" customHeight="1">
      <x:c r="A419" s="9" t="n">
        <x:v>411</x:v>
      </x:c>
      <x:c r="B419" s="8" t="str">
        <x:v>ฟาติเมาะฮ์  ก๋วยเตี๋ยว ลูกชิ้นทอด</x:v>
      </x:c>
      <x:c r="C419" s="8" t="str">
        <x:v>พระนครศรีอยุธยา</x:v>
      </x:c>
      <x:c r="D419" s="8" t="str">
        <x:v>มีศักยภาพ แต่ต้องพัฒนามาตรฐาน</x:v>
      </x:c>
      <x:c r="E419" s="8" t="str">
        <x:v>ร้านอาหารและคาเฟ่</x:v>
      </x:c>
      <x:c r="F419" s="11" t="n">
        <x:v>46315</x:v>
      </x:c>
      <x:c r="G419" s="2" t="str">
        <x:v>TMF-433</x:v>
      </x:c>
    </x:row>
    <x:row r="420" ht="32" customHeight="1">
      <x:c r="A420" s="9" t="n">
        <x:v>412</x:v>
      </x:c>
      <x:c r="B420" s="8" t="str">
        <x:v>ส้มตำนิดา (อิสลาม-ฮาลาล)</x:v>
      </x:c>
      <x:c r="C420" s="8" t="str">
        <x:v>พระนครศรีอยุธยา</x:v>
      </x:c>
      <x:c r="D420" s="8" t="str">
        <x:v>มีศักยภาพ แต่ต้องพัฒนามาตรฐาน</x:v>
      </x:c>
      <x:c r="E420" s="8" t="str">
        <x:v>ร้านอาหารและคาเฟ่</x:v>
      </x:c>
      <x:c r="F420" s="11" t="n">
        <x:v>46315</x:v>
      </x:c>
      <x:c r="G420" s="2" t="str">
        <x:v>TMF-434</x:v>
      </x:c>
    </x:row>
    <x:row r="421" ht="32" customHeight="1">
      <x:c r="A421" s="9" t="n">
        <x:v>413</x:v>
      </x:c>
      <x:c r="B421" s="8" t="str">
        <x:v>อาบีดีน อาหารตามสั่ง</x:v>
      </x:c>
      <x:c r="C421" s="8" t="str">
        <x:v>พระนครศรีอยุธยา</x:v>
      </x:c>
      <x:c r="D421" s="8" t="str">
        <x:v>มีศักยภาพ แต่ต้องพัฒนามาตรฐาน</x:v>
      </x:c>
      <x:c r="E421" s="8" t="str">
        <x:v>ร้านอาหารและคาเฟ่</x:v>
      </x:c>
      <x:c r="F421" s="11" t="n">
        <x:v>46315</x:v>
      </x:c>
      <x:c r="G421" s="2" t="str">
        <x:v>TMF-435</x:v>
      </x:c>
    </x:row>
    <x:row r="422" ht="32" customHeight="1">
      <x:c r="A422" s="9" t="n">
        <x:v>414</x:v>
      </x:c>
      <x:c r="B422" s="8" t="str">
        <x:v>อามีนะ ข้าวเหนียวมะม่วง</x:v>
      </x:c>
      <x:c r="C422" s="8" t="str">
        <x:v>พระนครศรีอยุธยา</x:v>
      </x:c>
      <x:c r="D422" s="8" t="str">
        <x:v>มีศักยภาพ แต่ต้องพัฒนามาตรฐาน</x:v>
      </x:c>
      <x:c r="E422" s="8" t="str">
        <x:v>ร้านอาหารและคาเฟ่</x:v>
      </x:c>
      <x:c r="F422" s="11" t="n">
        <x:v>46315</x:v>
      </x:c>
      <x:c r="G422" s="2" t="str">
        <x:v>TMF-436</x:v>
      </x:c>
    </x:row>
    <x:row r="423" ht="32" customHeight="1">
      <x:c r="A423" s="9" t="n">
        <x:v>415</x:v>
      </x:c>
      <x:c r="B423" s="8" t="str">
        <x:v>อามีนะห์ก๋วยเตี๋ยวเนื้อริมน้ำ</x:v>
      </x:c>
      <x:c r="C423" s="8" t="str">
        <x:v>พระนครศรีอยุธยา</x:v>
      </x:c>
      <x:c r="D423" s="8" t="str">
        <x:v>มีศักยภาพ แต่ต้องพัฒนามาตรฐาน</x:v>
      </x:c>
      <x:c r="E423" s="8" t="str">
        <x:v>ร้านอาหารและคาเฟ่</x:v>
      </x:c>
      <x:c r="F423" s="11" t="n">
        <x:v>46315</x:v>
      </x:c>
      <x:c r="G423" s="2" t="str">
        <x:v>TMF-437</x:v>
      </x:c>
    </x:row>
    <x:row r="424" ht="32" customHeight="1">
      <x:c r="A424" s="9" t="n">
        <x:v>416</x:v>
      </x:c>
      <x:c r="B424" s="8" t="str">
        <x:v>โจ๊กริมน้ำเจ้าพระยา</x:v>
      </x:c>
      <x:c r="C424" s="8" t="str">
        <x:v>พระนครศรีอยุธยา</x:v>
      </x:c>
      <x:c r="D424" s="8" t="str">
        <x:v>มีศักยภาพ แต่ต้องพัฒนามาตรฐาน</x:v>
      </x:c>
      <x:c r="E424" s="8" t="str">
        <x:v>ร้านอาหารและคาเฟ่</x:v>
      </x:c>
      <x:c r="F424" s="11" t="n">
        <x:v>46315</x:v>
      </x:c>
      <x:c r="G424" s="2" t="str">
        <x:v>TMF-438</x:v>
      </x:c>
    </x:row>
    <x:row r="425" ht="32" customHeight="1">
      <x:c r="A425" s="9" t="n">
        <x:v>417</x:v>
      </x:c>
      <x:c r="B425" s="8" t="str">
        <x:v>ไมนูเนาห์ ก๋วยเตี๋ยว อาหารตามสั่ง</x:v>
      </x:c>
      <x:c r="C425" s="8" t="str">
        <x:v>พระนครศรีอยุธยา</x:v>
      </x:c>
      <x:c r="D425" s="8" t="str">
        <x:v>มีศักยภาพ แต่ต้องพัฒนามาตรฐาน</x:v>
      </x:c>
      <x:c r="E425" s="8" t="str">
        <x:v>ร้านอาหารและคาเฟ่</x:v>
      </x:c>
      <x:c r="F425" s="11" t="n">
        <x:v>46315</x:v>
      </x:c>
      <x:c r="G425" s="2" t="str">
        <x:v>TMF-439</x:v>
      </x:c>
    </x:row>
    <x:row r="426" ht="32" customHeight="1">
      <x:c r="A426" s="9" t="n">
        <x:v>418</x:v>
      </x:c>
      <x:c r="B426" s="8" t="str">
        <x:v>ศูนย์ศึกษาประวัติศาสตร์อยุธยา</x:v>
      </x:c>
      <x:c r="C426" s="8" t="str">
        <x:v>พระนครศรีอยุธยา</x:v>
      </x:c>
      <x:c r="D426" s="8" t="str">
        <x:v>มีศักยภาพ แต่ต้องพัฒนามาตรฐาน</x:v>
      </x:c>
      <x:c r="E426" s="8" t="str">
        <x:v>แหล่งท่องเที่ยวทางประวัติศาสตร์และวัฒนธรรม</x:v>
      </x:c>
      <x:c r="F426" s="11" t="n">
        <x:v>46315</x:v>
      </x:c>
      <x:c r="G426" s="2" t="str">
        <x:v>TMF-440</x:v>
      </x:c>
    </x:row>
    <x:row r="427" ht="32" customHeight="1">
      <x:c r="A427" s="9" t="n">
        <x:v>419</x:v>
      </x:c>
      <x:c r="B427" s="8" t="str">
        <x:v>ซาโมซ่าใส้ไก่ ก๊วยเตี๋ยว เย็นตาโฟ โรตี</x:v>
      </x:c>
      <x:c r="C427" s="8" t="str">
        <x:v>กาญจนบุรี</x:v>
      </x:c>
      <x:c r="D427" s="8" t="str">
        <x:v>มีศักยภาพ แต่ต้องพัฒนามาตรฐาน</x:v>
      </x:c>
      <x:c r="E427" s="8" t="str">
        <x:v>ร้านอาหารและคาเฟ่</x:v>
      </x:c>
      <x:c r="F427" s="11" t="n">
        <x:v>46315</x:v>
      </x:c>
      <x:c r="G427" s="2" t="str">
        <x:v>TMF-441</x:v>
      </x:c>
    </x:row>
    <x:row r="428" ht="32" customHeight="1">
      <x:c r="A428" s="9" t="n">
        <x:v>420</x:v>
      </x:c>
      <x:c r="B428" s="8" t="str">
        <x:v>รสโบราณบ้านกาญ</x:v>
      </x:c>
      <x:c r="C428" s="8" t="str">
        <x:v>กาญจนบุรี</x:v>
      </x:c>
      <x:c r="D428" s="8" t="str">
        <x:v>มีศักยภาพ แต่ต้องพัฒนามาตรฐาน</x:v>
      </x:c>
      <x:c r="E428" s="8" t="str">
        <x:v>ร้านอาหารและคาเฟ่</x:v>
      </x:c>
      <x:c r="F428" s="11" t="n">
        <x:v>46315</x:v>
      </x:c>
      <x:c r="G428" s="2" t="str">
        <x:v>TMF-442</x:v>
      </x:c>
    </x:row>
    <x:row r="429" ht="32" customHeight="1">
      <x:c r="A429" s="9" t="n">
        <x:v>421</x:v>
      </x:c>
      <x:c r="B429" s="8" t="str">
        <x:v>น้ำตกเอราวัณ</x:v>
      </x:c>
      <x:c r="C429" s="8" t="str">
        <x:v>กาญจนบุรี</x:v>
      </x:c>
      <x:c r="D429" s="8" t="str">
        <x:v>มีศักยภาพ แต่ต้องพัฒนามาตรฐาน</x:v>
      </x:c>
      <x:c r="E429" s="8" t="str">
        <x:v>แหล่งท่องเที่ยวทางธรรมชาติ</x:v>
      </x:c>
      <x:c r="F429" s="11" t="n">
        <x:v>46315</x:v>
      </x:c>
      <x:c r="G429" s="2" t="str">
        <x:v>TMF-443</x:v>
      </x:c>
    </x:row>
    <x:row r="430" ht="32" customHeight="1">
      <x:c r="A430" s="9" t="n">
        <x:v>422</x:v>
      </x:c>
      <x:c r="B430" s="8" t="str">
        <x:v>ตลาดน้ำดำเนินสะดวก</x:v>
      </x:c>
      <x:c r="C430" s="8" t="str">
        <x:v>ราชบุรี</x:v>
      </x:c>
      <x:c r="D430" s="8" t="str">
        <x:v>มีศักยภาพ แต่ต้องพัฒนามาตรฐาน</x:v>
      </x:c>
      <x:c r="E430" s="8" t="str">
        <x:v>แหล่งท่องเที่ยวทางประวัติศาสตร์และวัฒนธรรม</x:v>
      </x:c>
      <x:c r="F430" s="11" t="n">
        <x:v>46315</x:v>
      </x:c>
      <x:c r="G430" s="2" t="str">
        <x:v>TMF-444</x:v>
      </x:c>
    </x:row>
    <x:row r="431" ht="32" customHeight="1">
      <x:c r="A431" s="9" t="n">
        <x:v>423</x:v>
      </x:c>
      <x:c r="B431" s="8" t="str">
        <x:v>ตลาดเก่าโคยกี๊</x:v>
      </x:c>
      <x:c r="C431" s="8" t="str">
        <x:v>ราชบุรี</x:v>
      </x:c>
      <x:c r="D431" s="8" t="str">
        <x:v>มีศักยภาพ แต่ต้องพัฒนามาตรฐาน</x:v>
      </x:c>
      <x:c r="E431" s="8" t="str">
        <x:v>แหล่งท่องเที่ยวทางประวัติศาสตร์และวัฒนธรรม</x:v>
      </x:c>
      <x:c r="F431" s="11" t="n">
        <x:v>46315</x:v>
      </x:c>
      <x:c r="G431" s="2" t="str">
        <x:v>TMF-445</x:v>
      </x:c>
    </x:row>
    <x:row r="432" ht="32" customHeight="1">
      <x:c r="A432" s="9" t="n">
        <x:v>424</x:v>
      </x:c>
      <x:c r="B432" s="8" t="str">
        <x:v>พิพิธภัณฑสถานแห่งชาติ ราชบุรี</x:v>
      </x:c>
      <x:c r="C432" s="8" t="str">
        <x:v>ราชบุรี</x:v>
      </x:c>
      <x:c r="D432" s="8" t="str">
        <x:v>มีศักยภาพ แต่ต้องพัฒนามาตรฐาน</x:v>
      </x:c>
      <x:c r="E432" s="8" t="str">
        <x:v>แหล่งท่องเที่ยวทางประวัติศาสตร์และวัฒนธรรม</x:v>
      </x:c>
      <x:c r="F432" s="11" t="n">
        <x:v>46315</x:v>
      </x:c>
      <x:c r="G432" s="2" t="str">
        <x:v>TMF-446</x:v>
      </x:c>
    </x:row>
    <x:row r="433" ht="32" customHeight="1">
      <x:c r="A433" s="9" t="n">
        <x:v>425</x:v>
      </x:c>
      <x:c r="B433" s="8" t="str">
        <x:v>พิพิธภัณฑ์หนังใหญ่วัดขนอน</x:v>
      </x:c>
      <x:c r="C433" s="8" t="str">
        <x:v>ราชบุรี</x:v>
      </x:c>
      <x:c r="D433" s="8" t="str">
        <x:v>มีศักยภาพ แต่ต้องพัฒนามาตรฐาน</x:v>
      </x:c>
      <x:c r="E433" s="8" t="str">
        <x:v>แหล่งท่องเที่ยวทางประวัติศาสตร์และวัฒนธรรม</x:v>
      </x:c>
      <x:c r="F433" s="11" t="n">
        <x:v>46315</x:v>
      </x:c>
      <x:c r="G433" s="2" t="str">
        <x:v>TMF-447</x:v>
      </x:c>
    </x:row>
    <x:row r="434" ht="32" customHeight="1">
      <x:c r="A434" s="9" t="n">
        <x:v>426</x:v>
      </x:c>
      <x:c r="B434" s="8" t="str">
        <x:v>เขากาโรส</x:v>
      </x:c>
      <x:c r="C434" s="8" t="str">
        <x:v>กระบี่</x:v>
      </x:c>
      <x:c r="D434" s="8" t="str">
        <x:v>มีศักยภาพ แต่ต้องพัฒนามาตรฐาน</x:v>
      </x:c>
      <x:c r="E434" s="8" t="str">
        <x:v>แหล่งท่องเที่ยวทางธรรมชาติ</x:v>
      </x:c>
      <x:c r="F434" s="11" t="n">
        <x:v>46315</x:v>
      </x:c>
      <x:c r="G434" s="2" t="str">
        <x:v>TMF-448</x:v>
      </x:c>
    </x:row>
    <x:row r="435" ht="32" customHeight="1">
      <x:c r="A435" s="9" t="n">
        <x:v>427</x:v>
      </x:c>
      <x:c r="B435" s="8" t="str">
        <x:v>3Howw Hostel Sukhumvit 21</x:v>
      </x:c>
      <x:c r="C435" s="8" t="str">
        <x:v>กรุงเทพมหานคร</x:v>
      </x:c>
      <x:c r="D435" s="8" t="str">
        <x:v>มีศักยภาพ แต่ต้องพัฒนามาตรฐาน</x:v>
      </x:c>
      <x:c r="E435" s="8" t="str">
        <x:v>ที่พัก</x:v>
      </x:c>
      <x:c r="F435" s="11" t="n">
        <x:v>46315</x:v>
      </x:c>
      <x:c r="G435" s="2" t="str">
        <x:v>TMF-449</x:v>
      </x:c>
    </x:row>
    <x:row r="436" ht="32" customHeight="1">
      <x:c r="A436" s="9" t="n">
        <x:v>428</x:v>
      </x:c>
      <x:c r="B436" s="8" t="str">
        <x:v>63 แบงค็อก โฮสเต็ล</x:v>
      </x:c>
      <x:c r="C436" s="8" t="str">
        <x:v>กรุงเทพมหานคร</x:v>
      </x:c>
      <x:c r="D436" s="8" t="str">
        <x:v>มีศักยภาพ แต่ต้องพัฒนามาตรฐาน</x:v>
      </x:c>
      <x:c r="E436" s="8" t="str">
        <x:v>ที่พัก</x:v>
      </x:c>
      <x:c r="F436" s="11" t="n">
        <x:v>46315</x:v>
      </x:c>
      <x:c r="G436" s="2" t="str">
        <x:v>TMF-450</x:v>
      </x:c>
    </x:row>
    <x:row r="437" ht="32" customHeight="1">
      <x:c r="A437" s="9" t="n">
        <x:v>429</x:v>
      </x:c>
      <x:c r="B437" s="8" t="str">
        <x:v>D&amp;D INN KHAOSAN</x:v>
      </x:c>
      <x:c r="C437" s="8" t="str">
        <x:v>กรุงเทพมหานคร</x:v>
      </x:c>
      <x:c r="D437" s="8" t="str">
        <x:v>มีศักยภาพ แต่ต้องพัฒนามาตรฐาน</x:v>
      </x:c>
      <x:c r="E437" s="8" t="str">
        <x:v>ที่พัก</x:v>
      </x:c>
      <x:c r="F437" s="11" t="n">
        <x:v>46315</x:v>
      </x:c>
      <x:c r="G437" s="2" t="str">
        <x:v>TMF-451</x:v>
      </x:c>
    </x:row>
    <x:row r="438" ht="32" customHeight="1">
      <x:c r="A438" s="9" t="n">
        <x:v>430</x:v>
      </x:c>
      <x:c r="B438" s="8" t="str">
        <x:v>DT Hotel Pratunam (Dream Town Hotel)</x:v>
      </x:c>
      <x:c r="C438" s="8" t="str">
        <x:v>กรุงเทพมหานคร</x:v>
      </x:c>
      <x:c r="D438" s="8" t="str">
        <x:v>มีศักยภาพ แต่ต้องพัฒนามาตรฐาน</x:v>
      </x:c>
      <x:c r="E438" s="8" t="str">
        <x:v>ที่พัก</x:v>
      </x:c>
      <x:c r="F438" s="11" t="n">
        <x:v>46315</x:v>
      </x:c>
      <x:c r="G438" s="2" t="str">
        <x:v>TMF-452</x:v>
      </x:c>
    </x:row>
    <x:row r="439" ht="32" customHeight="1">
      <x:c r="A439" s="9" t="n">
        <x:v>431</x:v>
      </x:c>
      <x:c r="B439" s="8" t="str">
        <x:v>GATEWAY HOTEL PRATUNAM</x:v>
      </x:c>
      <x:c r="C439" s="8" t="str">
        <x:v>กรุงเทพมหานคร</x:v>
      </x:c>
      <x:c r="D439" s="8" t="str">
        <x:v>มีศักยภาพ แต่ต้องพัฒนามาตรฐาน</x:v>
      </x:c>
      <x:c r="E439" s="8" t="str">
        <x:v>ที่พัก</x:v>
      </x:c>
      <x:c r="F439" s="11" t="n">
        <x:v>46315</x:v>
      </x:c>
      <x:c r="G439" s="2" t="str">
        <x:v>TMF-453</x:v>
      </x:c>
    </x:row>
    <x:row r="440" ht="32" customHeight="1">
      <x:c r="A440" s="9" t="n">
        <x:v>432</x:v>
      </x:c>
      <x:c r="B440" s="8" t="str">
        <x:v>GO INN Khaosan Road</x:v>
      </x:c>
      <x:c r="C440" s="8" t="str">
        <x:v>กรุงเทพมหานคร</x:v>
      </x:c>
      <x:c r="D440" s="8" t="str">
        <x:v>มีศักยภาพ แต่ต้องพัฒนามาตรฐาน</x:v>
      </x:c>
      <x:c r="E440" s="8" t="str">
        <x:v>ที่พัก</x:v>
      </x:c>
      <x:c r="F440" s="11" t="n">
        <x:v>46315</x:v>
      </x:c>
      <x:c r="G440" s="2" t="str">
        <x:v>TMF-454</x:v>
      </x:c>
    </x:row>
    <x:row r="441" ht="32" customHeight="1">
      <x:c r="A441" s="9" t="n">
        <x:v>433</x:v>
      </x:c>
      <x:c r="B441" s="8" t="str">
        <x:v>Golden Inn Bangkok</x:v>
      </x:c>
      <x:c r="C441" s="8" t="str">
        <x:v>กรุงเทพมหานคร</x:v>
      </x:c>
      <x:c r="D441" s="8" t="str">
        <x:v>มีศักยภาพ แต่ต้องพัฒนามาตรฐาน</x:v>
      </x:c>
      <x:c r="E441" s="8" t="str">
        <x:v>ที่พัก</x:v>
      </x:c>
      <x:c r="F441" s="11" t="n">
        <x:v>46315</x:v>
      </x:c>
      <x:c r="G441" s="2" t="str">
        <x:v>TMF-455</x:v>
      </x:c>
    </x:row>
    <x:row r="442" ht="32" customHeight="1">
      <x:c r="A442" s="9" t="n">
        <x:v>434</x:v>
      </x:c>
      <x:c r="B442" s="8" t="str">
        <x:v>KC Place Hotel</x:v>
      </x:c>
      <x:c r="C442" s="8" t="str">
        <x:v>กรุงเทพมหานคร</x:v>
      </x:c>
      <x:c r="D442" s="8" t="str">
        <x:v>มีศักยภาพ แต่ต้องพัฒนามาตรฐาน</x:v>
      </x:c>
      <x:c r="E442" s="8" t="str">
        <x:v>ที่พัก</x:v>
      </x:c>
      <x:c r="F442" s="11" t="n">
        <x:v>46315</x:v>
      </x:c>
      <x:c r="G442" s="2" t="str">
        <x:v>TMF-456</x:v>
      </x:c>
    </x:row>
    <x:row r="443" ht="32" customHeight="1">
      <x:c r="A443" s="9" t="n">
        <x:v>435</x:v>
      </x:c>
      <x:c r="B443" s="8" t="str">
        <x:v>Khaosan Palace Hotel</x:v>
      </x:c>
      <x:c r="C443" s="8" t="str">
        <x:v>กรุงเทพมหานคร</x:v>
      </x:c>
      <x:c r="D443" s="8" t="str">
        <x:v>มีศักยภาพ แต่ต้องพัฒนามาตรฐาน</x:v>
      </x:c>
      <x:c r="E443" s="8" t="str">
        <x:v>ที่พัก</x:v>
      </x:c>
      <x:c r="F443" s="11" t="n">
        <x:v>46315</x:v>
      </x:c>
      <x:c r="G443" s="2" t="str">
        <x:v>TMF-457</x:v>
      </x:c>
    </x:row>
    <x:row r="444" ht="32" customHeight="1">
      <x:c r="A444" s="9" t="n">
        <x:v>436</x:v>
      </x:c>
      <x:c r="B444" s="8" t="str">
        <x:v>Luck Hotel Huai Khwang MRT Ratchada</x:v>
      </x:c>
      <x:c r="C444" s="8" t="str">
        <x:v>กรุงเทพมหานคร</x:v>
      </x:c>
      <x:c r="D444" s="8" t="str">
        <x:v>มีศักยภาพ แต่ต้องพัฒนามาตรฐาน</x:v>
      </x:c>
      <x:c r="E444" s="8" t="str">
        <x:v>ที่พัก</x:v>
      </x:c>
      <x:c r="F444" s="11" t="n">
        <x:v>46315</x:v>
      </x:c>
      <x:c r="G444" s="2" t="str">
        <x:v>TMF-458</x:v>
      </x:c>
    </x:row>
    <x:row r="445" ht="32" customHeight="1">
      <x:c r="A445" s="9" t="n">
        <x:v>437</x:v>
      </x:c>
      <x:c r="B445" s="8" t="str">
        <x:v>Mode Sathorn Hotel Bangkok</x:v>
      </x:c>
      <x:c r="C445" s="8" t="str">
        <x:v>กรุงเทพมหานคร</x:v>
      </x:c>
      <x:c r="D445" s="8" t="str">
        <x:v>มีศักยภาพ แต่ต้องพัฒนามาตรฐาน</x:v>
      </x:c>
      <x:c r="E445" s="8" t="str">
        <x:v>ที่พัก</x:v>
      </x:c>
      <x:c r="F445" s="11" t="n">
        <x:v>46315</x:v>
      </x:c>
      <x:c r="G445" s="2" t="str">
        <x:v>TMF-459</x:v>
      </x:c>
    </x:row>
    <x:row r="446" ht="32" customHeight="1">
      <x:c r="A446" s="9" t="n">
        <x:v>438</x:v>
      </x:c>
      <x:c r="B446" s="8" t="str">
        <x:v>My Hotel Ratchada CMYK</x:v>
      </x:c>
      <x:c r="C446" s="8" t="str">
        <x:v>กรุงเทพมหานคร</x:v>
      </x:c>
      <x:c r="D446" s="8" t="str">
        <x:v>มีศักยภาพ แต่ต้องพัฒนามาตรฐาน</x:v>
      </x:c>
      <x:c r="E446" s="8" t="str">
        <x:v>ที่พัก</x:v>
      </x:c>
      <x:c r="F446" s="11" t="n">
        <x:v>46315</x:v>
      </x:c>
      <x:c r="G446" s="2" t="str">
        <x:v>TMF-460</x:v>
      </x:c>
    </x:row>
    <x:row r="447" ht="32" customHeight="1">
      <x:c r="A447" s="9" t="n">
        <x:v>439</x:v>
      </x:c>
      <x:c r="B447" s="8" t="str">
        <x:v>My Hotel ประตูน้ำ</x:v>
      </x:c>
      <x:c r="C447" s="8" t="str">
        <x:v>กรุงเทพมหานคร</x:v>
      </x:c>
      <x:c r="D447" s="8" t="str">
        <x:v>มีศักยภาพ แต่ต้องพัฒนามาตรฐาน</x:v>
      </x:c>
      <x:c r="E447" s="8" t="str">
        <x:v>ที่พัก</x:v>
      </x:c>
      <x:c r="F447" s="11" t="n">
        <x:v>46315</x:v>
      </x:c>
      <x:c r="G447" s="2" t="str">
        <x:v>TMF-461</x:v>
      </x:c>
    </x:row>
    <x:row r="448" ht="32" customHeight="1">
      <x:c r="A448" s="9" t="n">
        <x:v>440</x:v>
      </x:c>
      <x:c r="B448" s="8" t="str">
        <x:v>Pratunam City Inn Hotel</x:v>
      </x:c>
      <x:c r="C448" s="8" t="str">
        <x:v>กรุงเทพมหานคร</x:v>
      </x:c>
      <x:c r="D448" s="8" t="str">
        <x:v>มีศักยภาพ แต่ต้องพัฒนามาตรฐาน</x:v>
      </x:c>
      <x:c r="E448" s="8" t="str">
        <x:v>ที่พัก</x:v>
      </x:c>
      <x:c r="F448" s="11" t="n">
        <x:v>46315</x:v>
      </x:c>
      <x:c r="G448" s="2" t="str">
        <x:v>TMF-462</x:v>
      </x:c>
    </x:row>
    <x:row r="449" ht="32" customHeight="1">
      <x:c r="A449" s="9" t="n">
        <x:v>441</x:v>
      </x:c>
      <x:c r="B449" s="8" t="str">
        <x:v>Public House Sukhumvit 31 Hotel</x:v>
      </x:c>
      <x:c r="C449" s="8" t="str">
        <x:v>กรุงเทพมหานคร</x:v>
      </x:c>
      <x:c r="D449" s="8" t="str">
        <x:v>มีศักยภาพ แต่ต้องพัฒนามาตรฐาน</x:v>
      </x:c>
      <x:c r="E449" s="8" t="str">
        <x:v>ที่พัก</x:v>
      </x:c>
      <x:c r="F449" s="11" t="n">
        <x:v>46315</x:v>
      </x:c>
      <x:c r="G449" s="2" t="str">
        <x:v>TMF-463</x:v>
      </x:c>
    </x:row>
    <x:row r="450" ht="32" customHeight="1">
      <x:c r="A450" s="9" t="n">
        <x:v>442</x:v>
      </x:c>
      <x:c r="B450" s="8" t="str">
        <x:v>RoomQuest Bangkok Sukhumvit 50</x:v>
      </x:c>
      <x:c r="C450" s="8" t="str">
        <x:v>กรุงเทพมหานคร</x:v>
      </x:c>
      <x:c r="D450" s="8" t="str">
        <x:v>มีศักยภาพ แต่ต้องพัฒนามาตรฐาน</x:v>
      </x:c>
      <x:c r="E450" s="8" t="str">
        <x:v>ที่พัก</x:v>
      </x:c>
      <x:c r="F450" s="11" t="n">
        <x:v>46315</x:v>
      </x:c>
      <x:c r="G450" s="2" t="str">
        <x:v>TMF-464</x:v>
      </x:c>
    </x:row>
    <x:row r="451" ht="32" customHeight="1">
      <x:c r="A451" s="9" t="n">
        <x:v>443</x:v>
      </x:c>
      <x:c r="B451" s="8" t="str">
        <x:v>Sleep Withinn Bangkok</x:v>
      </x:c>
      <x:c r="C451" s="8" t="str">
        <x:v>กรุงเทพมหานคร</x:v>
      </x:c>
      <x:c r="D451" s="8" t="str">
        <x:v>มีศักยภาพ แต่ต้องพัฒนามาตรฐาน</x:v>
      </x:c>
      <x:c r="E451" s="8" t="str">
        <x:v>ที่พัก</x:v>
      </x:c>
      <x:c r="F451" s="11" t="n">
        <x:v>46315</x:v>
      </x:c>
      <x:c r="G451" s="2" t="str">
        <x:v>TMF-465</x:v>
      </x:c>
    </x:row>
    <x:row r="452" ht="32" customHeight="1">
      <x:c r="A452" s="9" t="n">
        <x:v>444</x:v>
      </x:c>
      <x:c r="B452" s="8" t="str">
        <x:v>The Quarter Saladaeng by UHG</x:v>
      </x:c>
      <x:c r="C452" s="8" t="str">
        <x:v>กรุงเทพมหานคร</x:v>
      </x:c>
      <x:c r="D452" s="8" t="str">
        <x:v>มีศักยภาพ แต่ต้องพัฒนามาตรฐาน</x:v>
      </x:c>
      <x:c r="E452" s="8" t="str">
        <x:v>ที่พัก</x:v>
      </x:c>
      <x:c r="F452" s="11" t="n">
        <x:v>46315</x:v>
      </x:c>
      <x:c r="G452" s="2" t="str">
        <x:v>TMF-466</x:v>
      </x:c>
    </x:row>
    <x:row r="453" ht="32" customHeight="1">
      <x:c r="A453" s="9" t="n">
        <x:v>445</x:v>
      </x:c>
      <x:c r="B453" s="8" t="str">
        <x:v>Tim Mansion Bangkok Hotel</x:v>
      </x:c>
      <x:c r="C453" s="8" t="str">
        <x:v>กรุงเทพมหานคร</x:v>
      </x:c>
      <x:c r="D453" s="8" t="str">
        <x:v>มีศักยภาพ แต่ต้องพัฒนามาตรฐาน</x:v>
      </x:c>
      <x:c r="E453" s="8" t="str">
        <x:v>ที่พัก</x:v>
      </x:c>
      <x:c r="F453" s="11" t="n">
        <x:v>46315</x:v>
      </x:c>
      <x:c r="G453" s="2" t="str">
        <x:v>TMF-467</x:v>
      </x:c>
    </x:row>
    <x:row r="454" ht="32" customHeight="1">
      <x:c r="A454" s="9" t="n">
        <x:v>446</x:v>
      </x:c>
      <x:c r="B454" s="8" t="str">
        <x:v>Vignette Collection Sindhorn Midtown Hotel Bangkok</x:v>
      </x:c>
      <x:c r="C454" s="8" t="str">
        <x:v>กรุงเทพมหานคร</x:v>
      </x:c>
      <x:c r="D454" s="8" t="str">
        <x:v>มีศักยภาพ แต่ต้องพัฒนามาตรฐาน</x:v>
      </x:c>
      <x:c r="E454" s="8" t="str">
        <x:v>ที่พัก</x:v>
      </x:c>
      <x:c r="F454" s="11" t="n">
        <x:v>46315</x:v>
      </x:c>
      <x:c r="G454" s="2" t="str">
        <x:v>TMF-468</x:v>
      </x:c>
    </x:row>
    <x:row r="455" ht="32" customHeight="1">
      <x:c r="A455" s="9" t="n">
        <x:v>447</x:v>
      </x:c>
      <x:c r="B455" s="8" t="str">
        <x:v>ข้าวสารพาร์ครีสอร์ท</x:v>
      </x:c>
      <x:c r="C455" s="8" t="str">
        <x:v>กรุงเทพมหานคร</x:v>
      </x:c>
      <x:c r="D455" s="8" t="str">
        <x:v>มีศักยภาพ แต่ต้องพัฒนามาตรฐาน</x:v>
      </x:c>
      <x:c r="E455" s="8" t="str">
        <x:v>ที่พัก</x:v>
      </x:c>
      <x:c r="F455" s="11" t="n">
        <x:v>46315</x:v>
      </x:c>
      <x:c r="G455" s="2" t="str">
        <x:v>TMF-469</x:v>
      </x:c>
    </x:row>
    <x:row r="456" ht="32" customHeight="1">
      <x:c r="A456" s="9" t="n">
        <x:v>448</x:v>
      </x:c>
      <x:c r="B456" s="8" t="str">
        <x:v>ควอเทียร์ บาย มอนทราจ สุขุมวิท</x:v>
      </x:c>
      <x:c r="C456" s="8" t="str">
        <x:v>กรุงเทพมหานคร</x:v>
      </x:c>
      <x:c r="D456" s="8" t="str">
        <x:v>มีศักยภาพ แต่ต้องพัฒนามาตรฐาน</x:v>
      </x:c>
      <x:c r="E456" s="8" t="str">
        <x:v>ที่พัก</x:v>
      </x:c>
      <x:c r="F456" s="11" t="n">
        <x:v>46315</x:v>
      </x:c>
      <x:c r="G456" s="2" t="str">
        <x:v>TMF-470</x:v>
      </x:c>
    </x:row>
    <x:row r="457" ht="32" customHeight="1">
      <x:c r="A457" s="9" t="n">
        <x:v>449</x:v>
      </x:c>
      <x:c r="B457" s="8" t="str">
        <x:v>ฌานวิลล่า สุขุมวิท</x:v>
      </x:c>
      <x:c r="C457" s="8" t="str">
        <x:v>กรุงเทพมหานคร</x:v>
      </x:c>
      <x:c r="D457" s="8" t="str">
        <x:v>มีศักยภาพ แต่ต้องพัฒนามาตรฐาน</x:v>
      </x:c>
      <x:c r="E457" s="8" t="str">
        <x:v>ที่พัก</x:v>
      </x:c>
      <x:c r="F457" s="11" t="n">
        <x:v>46315</x:v>
      </x:c>
      <x:c r="G457" s="2" t="str">
        <x:v>TMF-471</x:v>
      </x:c>
    </x:row>
    <x:row r="458" ht="32" customHeight="1">
      <x:c r="A458" s="9" t="n">
        <x:v>450</x:v>
      </x:c>
      <x:c r="B458" s="8" t="str">
        <x:v>นอนเยาวราช</x:v>
      </x:c>
      <x:c r="C458" s="8" t="str">
        <x:v>กรุงเทพมหานคร</x:v>
      </x:c>
      <x:c r="D458" s="8" t="str">
        <x:v>มีศักยภาพ แต่ต้องพัฒนามาตรฐาน</x:v>
      </x:c>
      <x:c r="E458" s="8" t="str">
        <x:v>ที่พัก</x:v>
      </x:c>
      <x:c r="F458" s="11" t="n">
        <x:v>46315</x:v>
      </x:c>
      <x:c r="G458" s="2" t="str">
        <x:v>TMF-472</x:v>
      </x:c>
    </x:row>
    <x:row r="459" ht="32" customHeight="1">
      <x:c r="A459" s="9" t="n">
        <x:v>451</x:v>
      </x:c>
      <x:c r="B459" s="8" t="str">
        <x:v>ฟูราม่า สีลม</x:v>
      </x:c>
      <x:c r="C459" s="8" t="str">
        <x:v>กรุงเทพมหานคร</x:v>
      </x:c>
      <x:c r="D459" s="8" t="str">
        <x:v>มีศักยภาพ แต่ต้องพัฒนามาตรฐาน</x:v>
      </x:c>
      <x:c r="E459" s="8" t="str">
        <x:v>ที่พัก</x:v>
      </x:c>
      <x:c r="F459" s="11" t="n">
        <x:v>46315</x:v>
      </x:c>
      <x:c r="G459" s="2" t="str">
        <x:v>TMF-473</x:v>
      </x:c>
    </x:row>
    <x:row r="460" ht="32" customHeight="1">
      <x:c r="A460" s="9" t="n">
        <x:v>452</x:v>
      </x:c>
      <x:c r="B460" s="8" t="str">
        <x:v>รอยัลวิว รีสอร์ท รางน้ำ</x:v>
      </x:c>
      <x:c r="C460" s="8" t="str">
        <x:v>กรุงเทพมหานคร</x:v>
      </x:c>
      <x:c r="D460" s="8" t="str">
        <x:v>มีศักยภาพ แต่ต้องพัฒนามาตรฐาน</x:v>
      </x:c>
      <x:c r="E460" s="8" t="str">
        <x:v>ที่พัก</x:v>
      </x:c>
      <x:c r="F460" s="11" t="n">
        <x:v>46315</x:v>
      </x:c>
      <x:c r="G460" s="2" t="str">
        <x:v>TMF-474</x:v>
      </x:c>
    </x:row>
    <x:row r="461" ht="32" customHeight="1">
      <x:c r="A461" s="9" t="n">
        <x:v>453</x:v>
      </x:c>
      <x:c r="B461" s="8" t="str">
        <x:v>รัชดา บูทีค โฮเทล</x:v>
      </x:c>
      <x:c r="C461" s="8" t="str">
        <x:v>กรุงเทพมหานคร</x:v>
      </x:c>
      <x:c r="D461" s="8" t="str">
        <x:v>มีศักยภาพ แต่ต้องพัฒนามาตรฐาน</x:v>
      </x:c>
      <x:c r="E461" s="8" t="str">
        <x:v>ที่พัก</x:v>
      </x:c>
      <x:c r="F461" s="11" t="n">
        <x:v>46315</x:v>
      </x:c>
      <x:c r="G461" s="2" t="str">
        <x:v>TMF-475</x:v>
      </x:c>
    </x:row>
    <x:row r="462" ht="32" customHeight="1">
      <x:c r="A462" s="9" t="n">
        <x:v>454</x:v>
      </x:c>
      <x:c r="B462" s="8" t="str">
        <x:v>ลัคกี้เฮ้าส์</x:v>
      </x:c>
      <x:c r="C462" s="8" t="str">
        <x:v>กรุงเทพมหานคร</x:v>
      </x:c>
      <x:c r="D462" s="8" t="str">
        <x:v>มีศักยภาพ แต่ต้องพัฒนามาตรฐาน</x:v>
      </x:c>
      <x:c r="E462" s="8" t="str">
        <x:v>ที่พัก</x:v>
      </x:c>
      <x:c r="F462" s="11" t="n">
        <x:v>46315</x:v>
      </x:c>
      <x:c r="G462" s="2" t="str">
        <x:v>TMF-476</x:v>
      </x:c>
    </x:row>
    <x:row r="463" ht="32" customHeight="1">
      <x:c r="A463" s="9" t="n">
        <x:v>455</x:v>
      </x:c>
      <x:c r="B463" s="8" t="str">
        <x:v>โซลิแทร์ แบงค็อก สุขุมวิท 11</x:v>
      </x:c>
      <x:c r="C463" s="8" t="str">
        <x:v>กรุงเทพมหานคร</x:v>
      </x:c>
      <x:c r="D463" s="8" t="str">
        <x:v>มีศักยภาพ แต่ต้องพัฒนามาตรฐาน</x:v>
      </x:c>
      <x:c r="E463" s="8" t="str">
        <x:v>ที่พัก</x:v>
      </x:c>
      <x:c r="F463" s="11" t="n">
        <x:v>46315</x:v>
      </x:c>
      <x:c r="G463" s="2" t="str">
        <x:v>TMF-477</x:v>
      </x:c>
    </x:row>
    <x:row r="464" ht="32" customHeight="1">
      <x:c r="A464" s="9" t="n">
        <x:v>456</x:v>
      </x:c>
      <x:c r="B464" s="8" t="str">
        <x:v>โรงแรม วิลล่า เดอร์ ข้าวสาร</x:v>
      </x:c>
      <x:c r="C464" s="8" t="str">
        <x:v>กรุงเทพมหานคร</x:v>
      </x:c>
      <x:c r="D464" s="8" t="str">
        <x:v>มีศักยภาพ แต่ต้องพัฒนามาตรฐาน</x:v>
      </x:c>
      <x:c r="E464" s="8" t="str">
        <x:v>ที่พัก</x:v>
      </x:c>
      <x:c r="F464" s="11" t="n">
        <x:v>46315</x:v>
      </x:c>
      <x:c r="G464" s="2" t="str">
        <x:v>TMF-478</x:v>
      </x:c>
    </x:row>
    <x:row r="465" ht="32" customHeight="1">
      <x:c r="A465" s="9" t="n">
        <x:v>457</x:v>
      </x:c>
      <x:c r="B465" s="8" t="str">
        <x:v>โรงแรม อิมเพรส ห้วยขวาง</x:v>
      </x:c>
      <x:c r="C465" s="8" t="str">
        <x:v>กรุงเทพมหานคร</x:v>
      </x:c>
      <x:c r="D465" s="8" t="str">
        <x:v>มีศักยภาพ แต่ต้องพัฒนามาตรฐาน</x:v>
      </x:c>
      <x:c r="E465" s="8" t="str">
        <x:v>ที่พัก</x:v>
      </x:c>
      <x:c r="F465" s="11" t="n">
        <x:v>46315</x:v>
      </x:c>
      <x:c r="G465" s="2" t="str">
        <x:v>TMF-479</x:v>
      </x:c>
    </x:row>
    <x:row r="466" ht="32" customHeight="1">
      <x:c r="A466" s="9" t="n">
        <x:v>458</x:v>
      </x:c>
      <x:c r="B466" s="8" t="str">
        <x:v>โรงแรม เจทูเอส ประตูน้ำ</x:v>
      </x:c>
      <x:c r="C466" s="8" t="str">
        <x:v>กรุงเทพมหานคร</x:v>
      </x:c>
      <x:c r="D466" s="8" t="str">
        <x:v>มีศักยภาพ แต่ต้องพัฒนามาตรฐาน</x:v>
      </x:c>
      <x:c r="E466" s="8" t="str">
        <x:v>ที่พัก</x:v>
      </x:c>
      <x:c r="F466" s="11" t="n">
        <x:v>46315</x:v>
      </x:c>
      <x:c r="G466" s="2" t="str">
        <x:v>TMF-480</x:v>
      </x:c>
    </x:row>
    <x:row r="467" ht="32" customHeight="1">
      <x:c r="A467" s="9" t="n">
        <x:v>459</x:v>
      </x:c>
      <x:c r="B467" s="8" t="str">
        <x:v>โรงแรม เซนเตอร์ พอยต์ พลัส สีลม</x:v>
      </x:c>
      <x:c r="C467" s="8" t="str">
        <x:v>กรุงเทพมหานคร</x:v>
      </x:c>
      <x:c r="D467" s="8" t="str">
        <x:v>มีศักยภาพ แต่ต้องพัฒนามาตรฐาน</x:v>
      </x:c>
      <x:c r="E467" s="8" t="str">
        <x:v>ที่พัก</x:v>
      </x:c>
      <x:c r="F467" s="11" t="n">
        <x:v>46315</x:v>
      </x:c>
      <x:c r="G467" s="2" t="str">
        <x:v>TMF-481</x:v>
      </x:c>
    </x:row>
    <x:row r="468" ht="32" customHeight="1">
      <x:c r="A468" s="9" t="n">
        <x:v>460</x:v>
      </x:c>
      <x:c r="B468" s="8" t="str">
        <x:v>โรงแรม เดอะ กราวิทิค โฮเทล ข้าวสาร</x:v>
      </x:c>
      <x:c r="C468" s="8" t="str">
        <x:v>กรุงเทพมหานคร</x:v>
      </x:c>
      <x:c r="D468" s="8" t="str">
        <x:v>มีศักยภาพ แต่ต้องพัฒนามาตรฐาน</x:v>
      </x:c>
      <x:c r="E468" s="8" t="str">
        <x:v>ที่พัก</x:v>
      </x:c>
      <x:c r="F468" s="11" t="n">
        <x:v>46315</x:v>
      </x:c>
      <x:c r="G468" s="2" t="str">
        <x:v>TMF-482</x:v>
      </x:c>
    </x:row>
    <x:row r="469" ht="32" customHeight="1">
      <x:c r="A469" s="9" t="n">
        <x:v>461</x:v>
      </x:c>
      <x:c r="B469" s="8" t="str">
        <x:v>โรงแรม เดอะ คอตตอน ศาลาแดง</x:v>
      </x:c>
      <x:c r="C469" s="8" t="str">
        <x:v>กรุงเทพมหานคร</x:v>
      </x:c>
      <x:c r="D469" s="8" t="str">
        <x:v>มีศักยภาพ แต่ต้องพัฒนามาตรฐาน</x:v>
      </x:c>
      <x:c r="E469" s="8" t="str">
        <x:v>ที่พัก</x:v>
      </x:c>
      <x:c r="F469" s="11" t="n">
        <x:v>46315</x:v>
      </x:c>
      <x:c r="G469" s="2" t="str">
        <x:v>TMF-483</x:v>
      </x:c>
    </x:row>
    <x:row r="470" ht="32" customHeight="1">
      <x:c r="A470" s="9" t="n">
        <x:v>462</x:v>
      </x:c>
      <x:c r="B470" s="8" t="str">
        <x:v>โรงแรม เดอะ สยาม</x:v>
      </x:c>
      <x:c r="C470" s="8" t="str">
        <x:v>กรุงเทพมหานคร</x:v>
      </x:c>
      <x:c r="D470" s="8" t="str">
        <x:v>มีศักยภาพ แต่ต้องพัฒนามาตรฐาน</x:v>
      </x:c>
      <x:c r="E470" s="8" t="str">
        <x:v>ที่พัก</x:v>
      </x:c>
      <x:c r="F470" s="11" t="n">
        <x:v>46315</x:v>
      </x:c>
      <x:c r="G470" s="2" t="str">
        <x:v>TMF-484</x:v>
      </x:c>
    </x:row>
    <x:row r="471" ht="32" customHeight="1">
      <x:c r="A471" s="9" t="n">
        <x:v>463</x:v>
      </x:c>
      <x:c r="B471" s="8" t="str">
        <x:v>โรงแรม เดอะ เซนต์ รีจิส กรุงเทพ</x:v>
      </x:c>
      <x:c r="C471" s="8" t="str">
        <x:v>กรุงเทพมหานคร</x:v>
      </x:c>
      <x:c r="D471" s="8" t="str">
        <x:v>มีศักยภาพ แต่ต้องพัฒนามาตรฐาน</x:v>
      </x:c>
      <x:c r="E471" s="8" t="str">
        <x:v>ที่พัก</x:v>
      </x:c>
      <x:c r="F471" s="11" t="n">
        <x:v>46315</x:v>
      </x:c>
      <x:c r="G471" s="2" t="str">
        <x:v>TMF-485</x:v>
      </x:c>
    </x:row>
    <x:row r="472" ht="32" customHeight="1">
      <x:c r="A472" s="9" t="n">
        <x:v>464</x:v>
      </x:c>
      <x:c r="B472" s="8" t="str">
        <x:v>โรงแรม เอส รัชดา เลเชอร์</x:v>
      </x:c>
      <x:c r="C472" s="8" t="str">
        <x:v>กรุงเทพมหานคร</x:v>
      </x:c>
      <x:c r="D472" s="8" t="str">
        <x:v>มีศักยภาพ แต่ต้องพัฒนามาตรฐาน</x:v>
      </x:c>
      <x:c r="E472" s="8" t="str">
        <x:v>ที่พัก</x:v>
      </x:c>
      <x:c r="F472" s="11" t="n">
        <x:v>46315</x:v>
      </x:c>
      <x:c r="G472" s="2" t="str">
        <x:v>TMF-486</x:v>
      </x:c>
    </x:row>
    <x:row r="473" ht="32" customHeight="1">
      <x:c r="A473" s="9" t="n">
        <x:v>465</x:v>
      </x:c>
      <x:c r="B473" s="8" t="str">
        <x:v>โรงแรมดับเบิ้ลยู กรุงเทพ</x:v>
      </x:c>
      <x:c r="C473" s="8" t="str">
        <x:v>กรุงเทพมหานคร</x:v>
      </x:c>
      <x:c r="D473" s="8" t="str">
        <x:v>มีศักยภาพ แต่ต้องพัฒนามาตรฐาน</x:v>
      </x:c>
      <x:c r="E473" s="8" t="str">
        <x:v>ที่พัก</x:v>
      </x:c>
      <x:c r="F473" s="11" t="n">
        <x:v>46315</x:v>
      </x:c>
      <x:c r="G473" s="2" t="str">
        <x:v>TMF-487</x:v>
      </x:c>
    </x:row>
    <x:row r="474" ht="32" customHeight="1">
      <x:c r="A474" s="9" t="n">
        <x:v>466</x:v>
      </x:c>
      <x:c r="B474" s="8" t="str">
        <x:v>โรงแรมรอยัลเอเชียประตูน้ำ</x:v>
      </x:c>
      <x:c r="C474" s="8" t="str">
        <x:v>กรุงเทพมหานคร</x:v>
      </x:c>
      <x:c r="D474" s="8" t="str">
        <x:v>มีศักยภาพ แต่ต้องพัฒนามาตรฐาน</x:v>
      </x:c>
      <x:c r="E474" s="8" t="str">
        <x:v>ที่พัก</x:v>
      </x:c>
      <x:c r="F474" s="11" t="n">
        <x:v>46315</x:v>
      </x:c>
      <x:c r="G474" s="2" t="str">
        <x:v>TMF-488</x:v>
      </x:c>
    </x:row>
    <x:row r="475" ht="32" customHeight="1">
      <x:c r="A475" s="9" t="n">
        <x:v>467</x:v>
      </x:c>
      <x:c r="B475" s="8" t="str">
        <x:v>โรงแรมสีลม ศิรีนทร์</x:v>
      </x:c>
      <x:c r="C475" s="8" t="str">
        <x:v>กรุงเทพมหานคร</x:v>
      </x:c>
      <x:c r="D475" s="8" t="str">
        <x:v>มีศักยภาพ แต่ต้องพัฒนามาตรฐาน</x:v>
      </x:c>
      <x:c r="E475" s="8" t="str">
        <x:v>ที่พัก</x:v>
      </x:c>
      <x:c r="F475" s="11" t="n">
        <x:v>46315</x:v>
      </x:c>
      <x:c r="G475" s="2" t="str">
        <x:v>TMF-489</x:v>
      </x:c>
    </x:row>
    <x:row r="476" ht="32" customHeight="1">
      <x:c r="A476" s="9" t="n">
        <x:v>468</x:v>
      </x:c>
      <x:c r="B476" s="8" t="str">
        <x:v>โรงแรมอาศัย กรุงเทพฯ สาทร</x:v>
      </x:c>
      <x:c r="C476" s="8" t="str">
        <x:v>กรุงเทพมหานคร</x:v>
      </x:c>
      <x:c r="D476" s="8" t="str">
        <x:v>มีศักยภาพ แต่ต้องพัฒนามาตรฐาน</x:v>
      </x:c>
      <x:c r="E476" s="8" t="str">
        <x:v>ที่พัก</x:v>
      </x:c>
      <x:c r="F476" s="11" t="n">
        <x:v>46315</x:v>
      </x:c>
      <x:c r="G476" s="2" t="str">
        <x:v>TMF-490</x:v>
      </x:c>
    </x:row>
    <x:row r="477" ht="32" customHeight="1">
      <x:c r="A477" s="9" t="n">
        <x:v>469</x:v>
      </x:c>
      <x:c r="B477" s="8" t="str">
        <x:v>โรงแรมอโนมา แกรนด์ กรุงเทพฯ</x:v>
      </x:c>
      <x:c r="C477" s="8" t="str">
        <x:v>กรุงเทพมหานคร</x:v>
      </x:c>
      <x:c r="D477" s="8" t="str">
        <x:v>มีศักยภาพ แต่ต้องพัฒนามาตรฐาน</x:v>
      </x:c>
      <x:c r="E477" s="8" t="str">
        <x:v>ที่พัก</x:v>
      </x:c>
      <x:c r="F477" s="11" t="n">
        <x:v>46315</x:v>
      </x:c>
      <x:c r="G477" s="2" t="str">
        <x:v>TMF-491</x:v>
      </x:c>
    </x:row>
    <x:row r="478" ht="32" customHeight="1">
      <x:c r="A478" s="9" t="n">
        <x:v>470</x:v>
      </x:c>
      <x:c r="B478" s="8" t="str">
        <x:v>โรงแรมฮอลิเดย์ อินน์ เอ็กซ์เพรส กรุงเทพ สาทร</x:v>
      </x:c>
      <x:c r="C478" s="8" t="str">
        <x:v>กรุงเทพมหานคร</x:v>
      </x:c>
      <x:c r="D478" s="8" t="str">
        <x:v>มีศักยภาพ แต่ต้องพัฒนามาตรฐาน</x:v>
      </x:c>
      <x:c r="E478" s="8" t="str">
        <x:v>ที่พัก</x:v>
      </x:c>
      <x:c r="F478" s="11" t="n">
        <x:v>46315</x:v>
      </x:c>
      <x:c r="G478" s="2" t="str">
        <x:v>TMF-492</x:v>
      </x:c>
    </x:row>
    <x:row r="479" ht="32" customHeight="1">
      <x:c r="A479" s="9" t="n">
        <x:v>471</x:v>
      </x:c>
      <x:c r="B479" s="8" t="str">
        <x:v>โรงแรมเซ็นเตอร์ พอยต์ พลัส ประตูน้ำ</x:v>
      </x:c>
      <x:c r="C479" s="8" t="str">
        <x:v>กรุงเทพมหานคร</x:v>
      </x:c>
      <x:c r="D479" s="8" t="str">
        <x:v>มีศักยภาพ แต่ต้องพัฒนามาตรฐาน</x:v>
      </x:c>
      <x:c r="E479" s="8" t="str">
        <x:v>ที่พัก</x:v>
      </x:c>
      <x:c r="F479" s="11" t="n">
        <x:v>46315</x:v>
      </x:c>
      <x:c r="G479" s="2" t="str">
        <x:v>TMF-493</x:v>
      </x:c>
    </x:row>
    <x:row r="480" ht="32" customHeight="1">
      <x:c r="A480" s="9" t="n">
        <x:v>472</x:v>
      </x:c>
      <x:c r="B480" s="8" t="str">
        <x:v>โรงแรมเดอะ ควอเตอร์ สีลม บาย ยูเอชจี</x:v>
      </x:c>
      <x:c r="C480" s="8" t="str">
        <x:v>กรุงเทพมหานคร</x:v>
      </x:c>
      <x:c r="D480" s="8" t="str">
        <x:v>มีศักยภาพ แต่ต้องพัฒนามาตรฐาน</x:v>
      </x:c>
      <x:c r="E480" s="8" t="str">
        <x:v>ที่พัก</x:v>
      </x:c>
      <x:c r="F480" s="11" t="n">
        <x:v>46315</x:v>
      </x:c>
      <x:c r="G480" s="2" t="str">
        <x:v>TMF-494</x:v>
      </x:c>
    </x:row>
    <x:row r="481" ht="32" customHeight="1">
      <x:c r="A481" s="9" t="n">
        <x:v>473</x:v>
      </x:c>
      <x:c r="B481" s="8" t="str">
        <x:v>โรงแรมเดอะ เบอร์เคลีย์ ประตูน้ำ</x:v>
      </x:c>
      <x:c r="C481" s="8" t="str">
        <x:v>กรุงเทพมหานคร</x:v>
      </x:c>
      <x:c r="D481" s="8" t="str">
        <x:v>มีศักยภาพ แต่ต้องพัฒนามาตรฐาน</x:v>
      </x:c>
      <x:c r="E481" s="8" t="str">
        <x:v>ที่พัก</x:v>
      </x:c>
      <x:c r="F481" s="11" t="n">
        <x:v>46315</x:v>
      </x:c>
      <x:c r="G481" s="2" t="str">
        <x:v>TMF-495</x:v>
      </x:c>
    </x:row>
    <x:row r="482" ht="32" customHeight="1">
      <x:c r="A482" s="9" t="n">
        <x:v>474</x:v>
      </x:c>
      <x:c r="B482" s="8" t="str">
        <x:v>โรงแรมเลอฟินิกซ์ สุขุมวิท</x:v>
      </x:c>
      <x:c r="C482" s="8" t="str">
        <x:v>กรุงเทพมหานคร</x:v>
      </x:c>
      <x:c r="D482" s="8" t="str">
        <x:v>มีศักยภาพ แต่ต้องพัฒนามาตรฐาน</x:v>
      </x:c>
      <x:c r="E482" s="8" t="str">
        <x:v>ที่พัก</x:v>
      </x:c>
      <x:c r="F482" s="11" t="n">
        <x:v>46315</x:v>
      </x:c>
      <x:c r="G482" s="2" t="str">
        <x:v>TMF-496</x:v>
      </x:c>
    </x:row>
    <x:row r="483" ht="32" customHeight="1">
      <x:c r="A483" s="9" t="n">
        <x:v>475</x:v>
      </x:c>
      <x:c r="B483" s="8" t="str">
        <x:v>โรงแรมโฟร์ซีซั่นส์ กรุงเทพ ริมแม่น้ำเจ้าพระยา</x:v>
      </x:c>
      <x:c r="C483" s="8" t="str">
        <x:v>กรุงเทพมหานคร</x:v>
      </x:c>
      <x:c r="D483" s="8" t="str">
        <x:v>มีศักยภาพ แต่ต้องพัฒนามาตรฐาน</x:v>
      </x:c>
      <x:c r="E483" s="8" t="str">
        <x:v>ที่พัก</x:v>
      </x:c>
      <x:c r="F483" s="11" t="n">
        <x:v>46315</x:v>
      </x:c>
      <x:c r="G483" s="2" t="str">
        <x:v>TMF-497</x:v>
      </x:c>
    </x:row>
    <x:row r="484" ht="32" customHeight="1">
      <x:c r="A484" s="9" t="n">
        <x:v>476</x:v>
      </x:c>
      <x:c r="B484" s="8" t="str">
        <x:v>โรงแรมไชน่าทาวน์</x:v>
      </x:c>
      <x:c r="C484" s="8" t="str">
        <x:v>กรุงเทพมหานคร</x:v>
      </x:c>
      <x:c r="D484" s="8" t="str">
        <x:v>มีศักยภาพ แต่ต้องพัฒนามาตรฐาน</x:v>
      </x:c>
      <x:c r="E484" s="8" t="str">
        <x:v>ที่พัก</x:v>
      </x:c>
      <x:c r="F484" s="11" t="n">
        <x:v>46315</x:v>
      </x:c>
      <x:c r="G484" s="2" t="str">
        <x:v>TMF-498</x:v>
      </x:c>
    </x:row>
    <x:row r="485" ht="32" customHeight="1">
      <x:c r="A485" s="9" t="n">
        <x:v>477</x:v>
      </x:c>
      <x:c r="B485" s="8" t="str">
        <x:v>เอ็มโพเรียม (Emporium)</x:v>
      </x:c>
      <x:c r="C485" s="8" t="str">
        <x:v>กรุงเทพมหานคร</x:v>
      </x:c>
      <x:c r="D485" s="8" t="str">
        <x:v>มีศักยภาพ แต่ต้องพัฒนามาตรฐาน</x:v>
      </x:c>
      <x:c r="E485" s="8" t="str">
        <x:v>ศูนย์การค้า</x:v>
      </x:c>
      <x:c r="F485" s="11" t="n">
        <x:v>46315</x:v>
      </x:c>
      <x:c r="G485" s="2" t="str">
        <x:v>TMF-499</x:v>
      </x:c>
    </x:row>
    <x:row r="486" ht="32" customHeight="1">
      <x:c r="A486" s="9" t="n">
        <x:v>478</x:v>
      </x:c>
      <x:c r="B486" s="8" t="str">
        <x:v>กายา บาย โอเอซิสสปา</x:v>
      </x:c>
      <x:c r="C486" s="8" t="str">
        <x:v>กรุงเทพมหานคร</x:v>
      </x:c>
      <x:c r="D486" s="8" t="str">
        <x:v>มีศักยภาพ แต่ต้องพัฒนามาตรฐาน</x:v>
      </x:c>
      <x:c r="E486" s="8" t="str">
        <x:v>สถานประกอบการเพื่อสุขภาพและเวลเนส</x:v>
      </x:c>
      <x:c r="F486" s="11" t="n">
        <x:v>46315</x:v>
      </x:c>
      <x:c r="G486" s="2" t="str">
        <x:v>TMF-500</x:v>
      </x:c>
    </x:row>
    <x:row r="487" ht="32" customHeight="1">
      <x:c r="A487" s="9" t="n">
        <x:v>479</x:v>
      </x:c>
      <x:c r="B487" s="8" t="str">
        <x:v>เออร์เบินโอเอซิสสปา ทองหล่อ</x:v>
      </x:c>
      <x:c r="C487" s="8" t="str">
        <x:v>กรุงเทพมหานคร</x:v>
      </x:c>
      <x:c r="D487" s="8" t="str">
        <x:v>มีศักยภาพ แต่ต้องพัฒนามาตรฐาน</x:v>
      </x:c>
      <x:c r="E487" s="8" t="str">
        <x:v>สถานประกอบการเพื่อสุขภาพและเวลเนส</x:v>
      </x:c>
      <x:c r="F487" s="11" t="n">
        <x:v>46315</x:v>
      </x:c>
      <x:c r="G487" s="2" t="str">
        <x:v>TMF-501</x:v>
      </x:c>
    </x:row>
    <x:row r="488" ht="32" customHeight="1">
      <x:c r="A488" s="9" t="n">
        <x:v>480</x:v>
      </x:c>
      <x:c r="B488" s="8" t="str">
        <x:v>โอเอซิสสปา สุขุมวิท 31</x:v>
      </x:c>
      <x:c r="C488" s="8" t="str">
        <x:v>กรุงเทพมหานคร</x:v>
      </x:c>
      <x:c r="D488" s="8" t="str">
        <x:v>มีศักยภาพ แต่ต้องพัฒนามาตรฐาน</x:v>
      </x:c>
      <x:c r="E488" s="8" t="str">
        <x:v>สถานประกอบการเพื่อสุขภาพและเวลเนส</x:v>
      </x:c>
      <x:c r="F488" s="11" t="n">
        <x:v>46315</x:v>
      </x:c>
      <x:c r="G488" s="2" t="str">
        <x:v>TMF-502</x:v>
      </x:c>
    </x:row>
    <x:row r="489" ht="32" customHeight="1">
      <x:c r="A489" s="9" t="n">
        <x:v>481</x:v>
      </x:c>
      <x:c r="B489" s="8" t="str">
        <x:v>จุดชมวิวทะเลบางขุนเทียน</x:v>
      </x:c>
      <x:c r="C489" s="8" t="str">
        <x:v>กรุงเทพมหานคร</x:v>
      </x:c>
      <x:c r="D489" s="8" t="str">
        <x:v>มีศักยภาพ แต่ต้องพัฒนามาตรฐาน</x:v>
      </x:c>
      <x:c r="E489" s="8" t="str">
        <x:v>แหล่งท่องเที่ยวทางธรรมชาติ</x:v>
      </x:c>
      <x:c r="F489" s="11" t="n">
        <x:v>46315</x:v>
      </x:c>
      <x:c r="G489" s="2" t="str">
        <x:v>TMF-503</x:v>
      </x:c>
    </x:row>
    <x:row r="490" ht="32" customHeight="1">
      <x:c r="A490" s="9" t="n">
        <x:v>482</x:v>
      </x:c>
      <x:c r="B490" s="8" t="str">
        <x:v>ตลาดแหลมทอง</x:v>
      </x:c>
      <x:c r="C490" s="8" t="str">
        <x:v>กรุงเทพมหานคร</x:v>
      </x:c>
      <x:c r="D490" s="8" t="str">
        <x:v>มีศักยภาพ แต่ต้องพัฒนามาตรฐาน</x:v>
      </x:c>
      <x:c r="E490" s="8" t="str">
        <x:v>แหล่งท่องเที่ยวทางธรรมชาติ</x:v>
      </x:c>
      <x:c r="F490" s="11" t="n">
        <x:v>46315</x:v>
      </x:c>
      <x:c r="G490" s="2" t="str">
        <x:v>TMF-504</x:v>
      </x:c>
    </x:row>
    <x:row r="491" ht="32" customHeight="1">
      <x:c r="A491" s="9" t="n">
        <x:v>483</x:v>
      </x:c>
      <x:c r="B491" s="8" t="str">
        <x:v>สวนนวมินทร์ภิรมย์</x:v>
      </x:c>
      <x:c r="C491" s="8" t="str">
        <x:v>กรุงเทพมหานคร</x:v>
      </x:c>
      <x:c r="D491" s="8" t="str">
        <x:v>มีศักยภาพ แต่ต้องพัฒนามาตรฐาน</x:v>
      </x:c>
      <x:c r="E491" s="8" t="str">
        <x:v>แหล่งท่องเที่ยวทางธรรมชาติ</x:v>
      </x:c>
      <x:c r="F491" s="11" t="n">
        <x:v>46315</x:v>
      </x:c>
      <x:c r="G491" s="2" t="str">
        <x:v>TMF-505</x:v>
      </x:c>
    </x:row>
    <x:row r="492" ht="32" customHeight="1">
      <x:c r="A492" s="9" t="n">
        <x:v>484</x:v>
      </x:c>
      <x:c r="B492" s="8" t="str">
        <x:v>สวนลอยฟ้าเจ้าพระยา</x:v>
      </x:c>
      <x:c r="C492" s="8" t="str">
        <x:v>กรุงเทพมหานคร</x:v>
      </x:c>
      <x:c r="D492" s="8" t="str">
        <x:v>มีศักยภาพ แต่ต้องพัฒนามาตรฐาน</x:v>
      </x:c>
      <x:c r="E492" s="8" t="str">
        <x:v>แหล่งท่องเที่ยวทางธรรมชาติ</x:v>
      </x:c>
      <x:c r="F492" s="11" t="n">
        <x:v>46315</x:v>
      </x:c>
      <x:c r="G492" s="2" t="str">
        <x:v>TMF-506</x:v>
      </x:c>
    </x:row>
    <x:row r="493" ht="32" customHeight="1">
      <x:c r="A493" s="9" t="n">
        <x:v>485</x:v>
      </x:c>
      <x:c r="B493" s="8" t="str">
        <x:v>สวนลุมพินี</x:v>
      </x:c>
      <x:c r="C493" s="8" t="str">
        <x:v>กรุงเทพมหานคร</x:v>
      </x:c>
      <x:c r="D493" s="8" t="str">
        <x:v>มีศักยภาพ แต่ต้องพัฒนามาตรฐาน</x:v>
      </x:c>
      <x:c r="E493" s="8" t="str">
        <x:v>แหล่งท่องเที่ยวทางธรรมชาติ</x:v>
      </x:c>
      <x:c r="F493" s="11" t="n">
        <x:v>46315</x:v>
      </x:c>
      <x:c r="G493" s="2" t="str">
        <x:v>TMF-507</x:v>
      </x:c>
    </x:row>
    <x:row r="494" ht="32" customHeight="1">
      <x:c r="A494" s="9" t="n">
        <x:v>486</x:v>
      </x:c>
      <x:c r="B494" s="8" t="str">
        <x:v>สวนวชิรเบญจทัศ (สวนรถไฟ)</x:v>
      </x:c>
      <x:c r="C494" s="8" t="str">
        <x:v>กรุงเทพมหานคร</x:v>
      </x:c>
      <x:c r="D494" s="8" t="str">
        <x:v>มีศักยภาพ แต่ต้องพัฒนามาตรฐาน</x:v>
      </x:c>
      <x:c r="E494" s="8" t="str">
        <x:v>แหล่งท่องเที่ยวทางธรรมชาติ</x:v>
      </x:c>
      <x:c r="F494" s="11" t="n">
        <x:v>46315</x:v>
      </x:c>
      <x:c r="G494" s="2" t="str">
        <x:v>TMF-508</x:v>
      </x:c>
    </x:row>
    <x:row r="495" ht="32" customHeight="1">
      <x:c r="A495" s="9" t="n">
        <x:v>487</x:v>
      </x:c>
      <x:c r="B495" s="8" t="str">
        <x:v>สวนวารีภิรมย์</x:v>
      </x:c>
      <x:c r="C495" s="8" t="str">
        <x:v>กรุงเทพมหานคร</x:v>
      </x:c>
      <x:c r="D495" s="8" t="str">
        <x:v>มีศักยภาพ แต่ต้องพัฒนามาตรฐาน</x:v>
      </x:c>
      <x:c r="E495" s="8" t="str">
        <x:v>แหล่งท่องเที่ยวทางธรรมชาติ</x:v>
      </x:c>
      <x:c r="F495" s="11" t="n">
        <x:v>46315</x:v>
      </x:c>
      <x:c r="G495" s="2" t="str">
        <x:v>TMF-509</x:v>
      </x:c>
    </x:row>
    <x:row r="496" ht="32" customHeight="1">
      <x:c r="A496" s="9" t="n">
        <x:v>488</x:v>
      </x:c>
      <x:c r="B496" s="8" t="str">
        <x:v>สวนสันติภาพ</x:v>
      </x:c>
      <x:c r="C496" s="8" t="str">
        <x:v>กรุงเทพมหานคร</x:v>
      </x:c>
      <x:c r="D496" s="8" t="str">
        <x:v>มีศักยภาพ แต่ต้องพัฒนามาตรฐาน</x:v>
      </x:c>
      <x:c r="E496" s="8" t="str">
        <x:v>แหล่งท่องเที่ยวทางธรรมชาติ</x:v>
      </x:c>
      <x:c r="F496" s="11" t="n">
        <x:v>46315</x:v>
      </x:c>
      <x:c r="G496" s="2" t="str">
        <x:v>TMF-510</x:v>
      </x:c>
    </x:row>
    <x:row r="497" ht="32" customHeight="1">
      <x:c r="A497" s="9" t="n">
        <x:v>489</x:v>
      </x:c>
      <x:c r="B497" s="8" t="str">
        <x:v>สวนสาธารณะบึงหนองบอน</x:v>
      </x:c>
      <x:c r="C497" s="8" t="str">
        <x:v>กรุงเทพมหานคร</x:v>
      </x:c>
      <x:c r="D497" s="8" t="str">
        <x:v>มีศักยภาพ แต่ต้องพัฒนามาตรฐาน</x:v>
      </x:c>
      <x:c r="E497" s="8" t="str">
        <x:v>แหล่งท่องเที่ยวทางธรรมชาติ</x:v>
      </x:c>
      <x:c r="F497" s="11" t="n">
        <x:v>46315</x:v>
      </x:c>
      <x:c r="G497" s="2" t="str">
        <x:v>TMF-511</x:v>
      </x:c>
    </x:row>
    <x:row r="498" ht="32" customHeight="1">
      <x:c r="A498" s="9" t="n">
        <x:v>490</x:v>
      </x:c>
      <x:c r="B498" s="8" t="str">
        <x:v>สวนสาธารณะเฉลิมพระเกียรติ 6 รอบฯ</x:v>
      </x:c>
      <x:c r="C498" s="8" t="str">
        <x:v>กรุงเทพมหานคร</x:v>
      </x:c>
      <x:c r="D498" s="8" t="str">
        <x:v>มีศักยภาพ แต่ต้องพัฒนามาตรฐาน</x:v>
      </x:c>
      <x:c r="E498" s="8" t="str">
        <x:v>แหล่งท่องเที่ยวทางธรรมชาติ</x:v>
      </x:c>
      <x:c r="F498" s="11" t="n">
        <x:v>46315</x:v>
      </x:c>
      <x:c r="G498" s="2" t="str">
        <x:v>TMF-512</x:v>
      </x:c>
    </x:row>
    <x:row r="499" ht="32" customHeight="1">
      <x:c r="A499" s="9" t="n">
        <x:v>491</x:v>
      </x:c>
      <x:c r="B499" s="8" t="str">
        <x:v>สวนหลวง ร.9</x:v>
      </x:c>
      <x:c r="C499" s="8" t="str">
        <x:v>กรุงเทพมหานคร</x:v>
      </x:c>
      <x:c r="D499" s="8" t="str">
        <x:v>มีศักยภาพ แต่ต้องพัฒนามาตรฐาน</x:v>
      </x:c>
      <x:c r="E499" s="8" t="str">
        <x:v>แหล่งท่องเที่ยวทางธรรมชาติ</x:v>
      </x:c>
      <x:c r="F499" s="11" t="n">
        <x:v>46315</x:v>
      </x:c>
      <x:c r="G499" s="2" t="str">
        <x:v>TMF-513</x:v>
      </x:c>
    </x:row>
    <x:row r="500" ht="32" customHeight="1">
      <x:c r="A500" s="9" t="n">
        <x:v>492</x:v>
      </x:c>
      <x:c r="B500" s="8" t="str">
        <x:v>จ๊อดแฟร์ รัชดา</x:v>
      </x:c>
      <x:c r="C500" s="8" t="str">
        <x:v>กรุงเทพมหานคร</x:v>
      </x:c>
      <x:c r="D500" s="8" t="str">
        <x:v>มีศักยภาพ แต่ต้องพัฒนามาตรฐาน</x:v>
      </x:c>
      <x:c r="E500" s="8" t="str">
        <x:v>แหล่งท่องเที่ยวทางประวัติศาสตร์และวัฒนธรรม</x:v>
      </x:c>
      <x:c r="F500" s="11" t="n">
        <x:v>46315</x:v>
      </x:c>
      <x:c r="G500" s="2" t="str">
        <x:v>TMF-514</x:v>
      </x:c>
    </x:row>
    <x:row r="501" ht="32" customHeight="1">
      <x:c r="A501" s="9" t="n">
        <x:v>493</x:v>
      </x:c>
      <x:c r="B501" s="8" t="str">
        <x:v>ตลาดกรีนวินเทจ รัชโยธิน</x:v>
      </x:c>
      <x:c r="C501" s="8" t="str">
        <x:v>กรุงเทพมหานคร</x:v>
      </x:c>
      <x:c r="D501" s="8" t="str">
        <x:v>มีศักยภาพ แต่ต้องพัฒนามาตรฐาน</x:v>
      </x:c>
      <x:c r="E501" s="8" t="str">
        <x:v>แหล่งท่องเที่ยวทางประวัติศาสตร์และวัฒนธรรม</x:v>
      </x:c>
      <x:c r="F501" s="11" t="n">
        <x:v>46315</x:v>
      </x:c>
      <x:c r="G501" s="2" t="str">
        <x:v>TMF-515</x:v>
      </x:c>
    </x:row>
    <x:row r="502" ht="32" customHeight="1">
      <x:c r="A502" s="9" t="n">
        <x:v>494</x:v>
      </x:c>
      <x:c r="B502" s="8" t="str">
        <x:v>ตลาดคุ้มเกล้า</x:v>
      </x:c>
      <x:c r="C502" s="8" t="str">
        <x:v>กรุงเทพมหานคร</x:v>
      </x:c>
      <x:c r="D502" s="8" t="str">
        <x:v>มีศักยภาพ แต่ต้องพัฒนามาตรฐาน</x:v>
      </x:c>
      <x:c r="E502" s="8" t="str">
        <x:v>แหล่งท่องเที่ยวทางประวัติศาสตร์และวัฒนธรรม</x:v>
      </x:c>
      <x:c r="F502" s="11" t="n">
        <x:v>46315</x:v>
      </x:c>
      <x:c r="G502" s="2" t="str">
        <x:v>TMF-516</x:v>
      </x:c>
    </x:row>
    <x:row r="503" ht="32" customHeight="1">
      <x:c r="A503" s="9" t="n">
        <x:v>495</x:v>
      </x:c>
      <x:c r="B503" s="8" t="str">
        <x:v>ตลาดนัดกรีนเดย์ไนท์</x:v>
      </x:c>
      <x:c r="C503" s="8" t="str">
        <x:v>กรุงเทพมหานคร</x:v>
      </x:c>
      <x:c r="D503" s="8" t="str">
        <x:v>มีศักยภาพ แต่ต้องพัฒนามาตรฐาน</x:v>
      </x:c>
      <x:c r="E503" s="8" t="str">
        <x:v>แหล่งท่องเที่ยวทางประวัติศาสตร์และวัฒนธรรม</x:v>
      </x:c>
      <x:c r="F503" s="11" t="n">
        <x:v>46315</x:v>
      </x:c>
      <x:c r="G503" s="2" t="str">
        <x:v>TMF-517</x:v>
      </x:c>
    </x:row>
    <x:row r="504" ht="32" customHeight="1">
      <x:c r="A504" s="9" t="n">
        <x:v>496</x:v>
      </x:c>
      <x:c r="B504" s="8" t="str">
        <x:v>ตลาดนัดกลางคืนพัลลาเดียม</x:v>
      </x:c>
      <x:c r="C504" s="8" t="str">
        <x:v>กรุงเทพมหานคร</x:v>
      </x:c>
      <x:c r="D504" s="8" t="str">
        <x:v>มีศักยภาพ แต่ต้องพัฒนามาตรฐาน</x:v>
      </x:c>
      <x:c r="E504" s="8" t="str">
        <x:v>แหล่งท่องเที่ยวทางประวัติศาสตร์และวัฒนธรรม</x:v>
      </x:c>
      <x:c r="F504" s="11" t="n">
        <x:v>46315</x:v>
      </x:c>
      <x:c r="G504" s="2" t="str">
        <x:v>TMF-518</x:v>
      </x:c>
    </x:row>
    <x:row r="505" ht="32" customHeight="1">
      <x:c r="A505" s="9" t="n">
        <x:v>497</x:v>
      </x:c>
      <x:c r="B505" s="8" t="str">
        <x:v>ตลาดนัดลำผักชี</x:v>
      </x:c>
      <x:c r="C505" s="8" t="str">
        <x:v>กรุงเทพมหานคร</x:v>
      </x:c>
      <x:c r="D505" s="8" t="str">
        <x:v>มีศักยภาพ แต่ต้องพัฒนามาตรฐาน</x:v>
      </x:c>
      <x:c r="E505" s="8" t="str">
        <x:v>แหล่งท่องเที่ยวทางประวัติศาสตร์และวัฒนธรรม</x:v>
      </x:c>
      <x:c r="F505" s="11" t="n">
        <x:v>46315</x:v>
      </x:c>
      <x:c r="G505" s="2" t="str">
        <x:v>TMF-519</x:v>
      </x:c>
    </x:row>
    <x:row r="506" ht="32" customHeight="1">
      <x:c r="A506" s="9" t="n">
        <x:v>498</x:v>
      </x:c>
      <x:c r="B506" s="8" t="str">
        <x:v>ตลาดนัดอิสลาม</x:v>
      </x:c>
      <x:c r="C506" s="8" t="str">
        <x:v>กรุงเทพมหานคร</x:v>
      </x:c>
      <x:c r="D506" s="8" t="str">
        <x:v>มีศักยภาพ แต่ต้องพัฒนามาตรฐาน</x:v>
      </x:c>
      <x:c r="E506" s="8" t="str">
        <x:v>แหล่งท่องเที่ยวทางประวัติศาสตร์และวัฒนธรรม</x:v>
      </x:c>
      <x:c r="F506" s="11" t="n">
        <x:v>46315</x:v>
      </x:c>
      <x:c r="G506" s="2" t="str">
        <x:v>TMF-520</x:v>
      </x:c>
    </x:row>
    <x:row r="507" ht="32" customHeight="1">
      <x:c r="A507" s="9" t="n">
        <x:v>499</x:v>
      </x:c>
      <x:c r="B507" s="8" t="str">
        <x:v>ตลาดนานาชาติ</x:v>
      </x:c>
      <x:c r="C507" s="8" t="str">
        <x:v>กรุงเทพมหานคร</x:v>
      </x:c>
      <x:c r="D507" s="8" t="str">
        <x:v>มีศักยภาพ แต่ต้องพัฒนามาตรฐาน</x:v>
      </x:c>
      <x:c r="E507" s="8" t="str">
        <x:v>แหล่งท่องเที่ยวทางประวัติศาสตร์และวัฒนธรรม</x:v>
      </x:c>
      <x:c r="F507" s="11" t="n">
        <x:v>46315</x:v>
      </x:c>
      <x:c r="G507" s="2" t="str">
        <x:v>TMF-521</x:v>
      </x:c>
    </x:row>
    <x:row r="508" ht="32" customHeight="1">
      <x:c r="A508" s="9" t="n">
        <x:v>500</x:v>
      </x:c>
      <x:c r="B508" s="8" t="str">
        <x:v>ตลาดน้ำคลองลัดมะยม</x:v>
      </x:c>
      <x:c r="C508" s="8" t="str">
        <x:v>กรุงเทพมหานคร</x:v>
      </x:c>
      <x:c r="D508" s="8" t="str">
        <x:v>มีศักยภาพ แต่ต้องพัฒนามาตรฐาน</x:v>
      </x:c>
      <x:c r="E508" s="8" t="str">
        <x:v>แหล่งท่องเที่ยวทางประวัติศาสตร์และวัฒนธรรม</x:v>
      </x:c>
      <x:c r="F508" s="11" t="n">
        <x:v>46315</x:v>
      </x:c>
      <x:c r="G508" s="2" t="str">
        <x:v>TMF-522</x:v>
      </x:c>
    </x:row>
    <x:row r="509" ht="32" customHeight="1">
      <x:c r="A509" s="9" t="n">
        <x:v>501</x:v>
      </x:c>
      <x:c r="B509" s="8" t="str">
        <x:v>ตลาดน้ำตลิ่งชัน</x:v>
      </x:c>
      <x:c r="C509" s="8" t="str">
        <x:v>กรุงเทพมหานคร</x:v>
      </x:c>
      <x:c r="D509" s="8" t="str">
        <x:v>มีศักยภาพ แต่ต้องพัฒนามาตรฐาน</x:v>
      </x:c>
      <x:c r="E509" s="8" t="str">
        <x:v>แหล่งท่องเที่ยวทางประวัติศาสตร์และวัฒนธรรม</x:v>
      </x:c>
      <x:c r="F509" s="11" t="n">
        <x:v>46315</x:v>
      </x:c>
      <x:c r="G509" s="2" t="str">
        <x:v>TMF-523</x:v>
      </x:c>
    </x:row>
    <x:row r="510" ht="32" customHeight="1">
      <x:c r="A510" s="9" t="n">
        <x:v>502</x:v>
      </x:c>
      <x:c r="B510" s="8" t="str">
        <x:v>ตลาดน้ำบางคูลัด</x:v>
      </x:c>
      <x:c r="C510" s="8" t="str">
        <x:v>กรุงเทพมหานคร</x:v>
      </x:c>
      <x:c r="D510" s="8" t="str">
        <x:v>มีศักยภาพ แต่ต้องพัฒนามาตรฐาน</x:v>
      </x:c>
      <x:c r="E510" s="8" t="str">
        <x:v>แหล่งท่องเที่ยวทางประวัติศาสตร์และวัฒนธรรม</x:v>
      </x:c>
      <x:c r="F510" s="11" t="n">
        <x:v>46315</x:v>
      </x:c>
      <x:c r="G510" s="2" t="str">
        <x:v>TMF-524</x:v>
      </x:c>
    </x:row>
    <x:row r="511" ht="32" customHeight="1">
      <x:c r="A511" s="9" t="n">
        <x:v>503</x:v>
      </x:c>
      <x:c r="B511" s="8" t="str">
        <x:v>ตลาดน้ำวัดสะพาน ราชพฤกษ์</x:v>
      </x:c>
      <x:c r="C511" s="8" t="str">
        <x:v>กรุงเทพมหานคร</x:v>
      </x:c>
      <x:c r="D511" s="8" t="str">
        <x:v>มีศักยภาพ แต่ต้องพัฒนามาตรฐาน</x:v>
      </x:c>
      <x:c r="E511" s="8" t="str">
        <x:v>แหล่งท่องเที่ยวทางประวัติศาสตร์และวัฒนธรรม</x:v>
      </x:c>
      <x:c r="F511" s="11" t="n">
        <x:v>46315</x:v>
      </x:c>
      <x:c r="G511" s="2" t="str">
        <x:v>TMF-525</x:v>
      </x:c>
    </x:row>
    <x:row r="512" ht="32" customHeight="1">
      <x:c r="A512" s="9" t="n">
        <x:v>504</x:v>
      </x:c>
      <x:c r="B512" s="8" t="str">
        <x:v>ตลาดน้ำสองคลองวัดตลิ่งชัน</x:v>
      </x:c>
      <x:c r="C512" s="8" t="str">
        <x:v>กรุงเทพมหานคร</x:v>
      </x:c>
      <x:c r="D512" s="8" t="str">
        <x:v>มีศักยภาพ แต่ต้องพัฒนามาตรฐาน</x:v>
      </x:c>
      <x:c r="E512" s="8" t="str">
        <x:v>แหล่งท่องเที่ยวทางประวัติศาสตร์และวัฒนธรรม</x:v>
      </x:c>
      <x:c r="F512" s="11" t="n">
        <x:v>46315</x:v>
      </x:c>
      <x:c r="G512" s="2" t="str">
        <x:v>TMF-526</x:v>
      </x:c>
    </x:row>
    <x:row r="513" ht="32" customHeight="1">
      <x:c r="A513" s="9" t="n">
        <x:v>505</x:v>
      </x:c>
      <x:c r="B513" s="8" t="str">
        <x:v>ตลาดมีนบุรี</x:v>
      </x:c>
      <x:c r="C513" s="8" t="str">
        <x:v>กรุงเทพมหานคร</x:v>
      </x:c>
      <x:c r="D513" s="8" t="str">
        <x:v>มีศักยภาพ แต่ต้องพัฒนามาตรฐาน</x:v>
      </x:c>
      <x:c r="E513" s="8" t="str">
        <x:v>แหล่งท่องเที่ยวทางประวัติศาสตร์และวัฒนธรรม</x:v>
      </x:c>
      <x:c r="F513" s="11" t="n">
        <x:v>46315</x:v>
      </x:c>
      <x:c r="G513" s="2" t="str">
        <x:v>TMF-527</x:v>
      </x:c>
    </x:row>
    <x:row r="514" ht="32" customHeight="1">
      <x:c r="A514" s="9" t="n">
        <x:v>506</x:v>
      </x:c>
      <x:c r="B514" s="8" t="str">
        <x:v>ตลาดริมคลอง เจริญกรุง 103</x:v>
      </x:c>
      <x:c r="C514" s="8" t="str">
        <x:v>กรุงเทพมหานคร</x:v>
      </x:c>
      <x:c r="D514" s="8" t="str">
        <x:v>มีศักยภาพ แต่ต้องพัฒนามาตรฐาน</x:v>
      </x:c>
      <x:c r="E514" s="8" t="str">
        <x:v>แหล่งท่องเที่ยวทางประวัติศาสตร์และวัฒนธรรม</x:v>
      </x:c>
      <x:c r="F514" s="11" t="n">
        <x:v>46315</x:v>
      </x:c>
      <x:c r="G514" s="2" t="str">
        <x:v>TMF-528</x:v>
      </x:c>
    </x:row>
    <x:row r="515" ht="32" customHeight="1">
      <x:c r="A515" s="9" t="n">
        <x:v>507</x:v>
      </x:c>
      <x:c r="B515" s="8" t="str">
        <x:v>ตลาดริมน้ำ วัดพระยาสุเรนทร์</x:v>
      </x:c>
      <x:c r="C515" s="8" t="str">
        <x:v>กรุงเทพมหานคร</x:v>
      </x:c>
      <x:c r="D515" s="8" t="str">
        <x:v>มีศักยภาพ แต่ต้องพัฒนามาตรฐาน</x:v>
      </x:c>
      <x:c r="E515" s="8" t="str">
        <x:v>แหล่งท่องเที่ยวทางประวัติศาสตร์และวัฒนธรรม</x:v>
      </x:c>
      <x:c r="F515" s="11" t="n">
        <x:v>46315</x:v>
      </x:c>
      <x:c r="G515" s="2" t="str">
        <x:v>TMF-529</x:v>
      </x:c>
    </x:row>
    <x:row r="516" ht="32" customHeight="1">
      <x:c r="A516" s="9" t="n">
        <x:v>508</x:v>
      </x:c>
      <x:c r="B516" s="8" t="str">
        <x:v>ตลาดหนองจอก</x:v>
      </x:c>
      <x:c r="C516" s="8" t="str">
        <x:v>กรุงเทพมหานคร</x:v>
      </x:c>
      <x:c r="D516" s="8" t="str">
        <x:v>มีศักยภาพ แต่ต้องพัฒนามาตรฐาน</x:v>
      </x:c>
      <x:c r="E516" s="8" t="str">
        <x:v>แหล่งท่องเที่ยวทางประวัติศาสตร์และวัฒนธรรม</x:v>
      </x:c>
      <x:c r="F516" s="11" t="n">
        <x:v>46315</x:v>
      </x:c>
      <x:c r="G516" s="2" t="str">
        <x:v>TMF-530</x:v>
      </x:c>
    </x:row>
    <x:row r="517" ht="32" customHeight="1">
      <x:c r="A517" s="9" t="n">
        <x:v>509</x:v>
      </x:c>
      <x:c r="B517" s="8" t="str">
        <x:v>พิพิธบางลำพู</x:v>
      </x:c>
      <x:c r="C517" s="8" t="str">
        <x:v>กรุงเทพมหานคร</x:v>
      </x:c>
      <x:c r="D517" s="8" t="str">
        <x:v>มีศักยภาพ แต่ต้องพัฒนามาตรฐาน</x:v>
      </x:c>
      <x:c r="E517" s="8" t="str">
        <x:v>แหล่งท่องเที่ยวทางประวัติศาสตร์และวัฒนธรรม</x:v>
      </x:c>
      <x:c r="F517" s="11" t="n">
        <x:v>46315</x:v>
      </x:c>
      <x:c r="G517" s="2" t="str">
        <x:v>TMF-531</x:v>
      </x:c>
    </x:row>
    <x:row r="518" ht="32" customHeight="1">
      <x:c r="A518" s="9" t="n">
        <x:v>510</x:v>
      </x:c>
      <x:c r="B518" s="8" t="str">
        <x:v>พิพิธภัณฑสถานแห่งชาติ พระนคร</x:v>
      </x:c>
      <x:c r="C518" s="8" t="str">
        <x:v>กรุงเทพมหานคร</x:v>
      </x:c>
      <x:c r="D518" s="8" t="str">
        <x:v>มีศักยภาพ แต่ต้องพัฒนามาตรฐาน</x:v>
      </x:c>
      <x:c r="E518" s="8" t="str">
        <x:v>แหล่งท่องเที่ยวทางประวัติศาสตร์และวัฒนธรรม</x:v>
      </x:c>
      <x:c r="F518" s="11" t="n">
        <x:v>46315</x:v>
      </x:c>
      <x:c r="G518" s="2" t="str">
        <x:v>TMF-532</x:v>
      </x:c>
    </x:row>
    <x:row r="519" ht="32" customHeight="1">
      <x:c r="A519" s="9" t="n">
        <x:v>511</x:v>
      </x:c>
      <x:c r="B519" s="8" t="str">
        <x:v>พิพิธภัณฑ์กองทัพอากาศและการบินแห่งชาติ</x:v>
      </x:c>
      <x:c r="C519" s="8" t="str">
        <x:v>กรุงเทพมหานคร</x:v>
      </x:c>
      <x:c r="D519" s="8" t="str">
        <x:v>มีศักยภาพ แต่ต้องพัฒนามาตรฐาน</x:v>
      </x:c>
      <x:c r="E519" s="8" t="str">
        <x:v>แหล่งท่องเที่ยวทางประวัติศาสตร์และวัฒนธรรม</x:v>
      </x:c>
      <x:c r="F519" s="11" t="n">
        <x:v>46315</x:v>
      </x:c>
      <x:c r="G519" s="2" t="str">
        <x:v>TMF-533</x:v>
      </x:c>
    </x:row>
    <x:row r="520" ht="32" customHeight="1">
      <x:c r="A520" s="9" t="n">
        <x:v>512</x:v>
      </x:c>
      <x:c r="B520" s="8" t="str">
        <x:v>พิพิธภัณฑ์ชาวบางกอก</x:v>
      </x:c>
      <x:c r="C520" s="8" t="str">
        <x:v>กรุงเทพมหานคร</x:v>
      </x:c>
      <x:c r="D520" s="8" t="str">
        <x:v>มีศักยภาพ แต่ต้องพัฒนามาตรฐาน</x:v>
      </x:c>
      <x:c r="E520" s="8" t="str">
        <x:v>แหล่งท่องเที่ยวทางประวัติศาสตร์และวัฒนธรรม</x:v>
      </x:c>
      <x:c r="F520" s="11" t="n">
        <x:v>46315</x:v>
      </x:c>
      <x:c r="G520" s="2" t="str">
        <x:v>TMF-534</x:v>
      </x:c>
    </x:row>
    <x:row r="521" ht="32" customHeight="1">
      <x:c r="A521" s="9" t="n">
        <x:v>513</x:v>
      </x:c>
      <x:c r="B521" s="8" t="str">
        <x:v>พิพิธภัณฑ์ผ้าในสมเด็จพระนางเจ้าสิริกิติ์ฯ</x:v>
      </x:c>
      <x:c r="C521" s="8" t="str">
        <x:v>กรุงเทพมหานคร</x:v>
      </x:c>
      <x:c r="D521" s="8" t="str">
        <x:v>มีศักยภาพ แต่ต้องพัฒนามาตรฐาน</x:v>
      </x:c>
      <x:c r="E521" s="8" t="str">
        <x:v>แหล่งท่องเที่ยวทางประวัติศาสตร์และวัฒนธรรม</x:v>
      </x:c>
      <x:c r="F521" s="11" t="n">
        <x:v>46315</x:v>
      </x:c>
      <x:c r="G521" s="2" t="str">
        <x:v>TMF-535</x:v>
      </x:c>
    </x:row>
    <x:row r="522" ht="32" customHeight="1">
      <x:c r="A522" s="9" t="n">
        <x:v>514</x:v>
      </x:c>
      <x:c r="B522" s="8" t="str">
        <x:v>พิพิธภัณฑ์ศิลปะไทยร่วมสมัย (MOCA)</x:v>
      </x:c>
      <x:c r="C522" s="8" t="str">
        <x:v>กรุงเทพมหานคร</x:v>
      </x:c>
      <x:c r="D522" s="8" t="str">
        <x:v>มีศักยภาพ แต่ต้องพัฒนามาตรฐาน</x:v>
      </x:c>
      <x:c r="E522" s="8" t="str">
        <x:v>แหล่งท่องเที่ยวทางประวัติศาสตร์และวัฒนธรรม</x:v>
      </x:c>
      <x:c r="F522" s="11" t="n">
        <x:v>46315</x:v>
      </x:c>
      <x:c r="G522" s="2" t="str">
        <x:v>TMF-536</x:v>
      </x:c>
    </x:row>
    <x:row r="523" ht="32" customHeight="1">
      <x:c r="A523" s="9" t="n">
        <x:v>515</x:v>
      </x:c>
      <x:c r="B523" s="8" t="str">
        <x:v>พิพิธภัณฑ์เด็กกรุงเทพมหานคร แห่งที่ 1 (จตุจักร)</x:v>
      </x:c>
      <x:c r="C523" s="8" t="str">
        <x:v>กรุงเทพมหานคร</x:v>
      </x:c>
      <x:c r="D523" s="8" t="str">
        <x:v>มีศักยภาพ แต่ต้องพัฒนามาตรฐาน</x:v>
      </x:c>
      <x:c r="E523" s="8" t="str">
        <x:v>แหล่งท่องเที่ยวทางประวัติศาสตร์และวัฒนธรรม</x:v>
      </x:c>
      <x:c r="F523" s="11" t="n">
        <x:v>46315</x:v>
      </x:c>
      <x:c r="G523" s="2" t="str">
        <x:v>TMF-537</x:v>
      </x:c>
    </x:row>
    <x:row r="524" ht="32" customHeight="1">
      <x:c r="A524" s="9" t="n">
        <x:v>516</x:v>
      </x:c>
      <x:c r="B524" s="8" t="str">
        <x:v>พิพิธภัณฑ์เหรียญกษาปณานุรักษ์</x:v>
      </x:c>
      <x:c r="C524" s="8" t="str">
        <x:v>กรุงเทพมหานคร</x:v>
      </x:c>
      <x:c r="D524" s="8" t="str">
        <x:v>มีศักยภาพ แต่ต้องพัฒนามาตรฐาน</x:v>
      </x:c>
      <x:c r="E524" s="8" t="str">
        <x:v>แหล่งท่องเที่ยวทางประวัติศาสตร์และวัฒนธรรม</x:v>
      </x:c>
      <x:c r="F524" s="11" t="n">
        <x:v>46315</x:v>
      </x:c>
      <x:c r="G524" s="2" t="str">
        <x:v>TMF-538</x:v>
      </x:c>
    </x:row>
    <x:row r="525" ht="32" customHeight="1">
      <x:c r="A525" s="9" t="n">
        <x:v>517</x:v>
      </x:c>
      <x:c r="B525" s="8" t="str">
        <x:v>ศูนย์การเรียนรู้ ธนาคารแห่งประเทศไทย</x:v>
      </x:c>
      <x:c r="C525" s="8" t="str">
        <x:v>กรุงเทพมหานคร</x:v>
      </x:c>
      <x:c r="D525" s="8" t="str">
        <x:v>มีศักยภาพ แต่ต้องพัฒนามาตรฐาน</x:v>
      </x:c>
      <x:c r="E525" s="8" t="str">
        <x:v>แหล่งท่องเที่ยวทางประวัติศาสตร์และวัฒนธรรม</x:v>
      </x:c>
      <x:c r="F525" s="11" t="n">
        <x:v>46315</x:v>
      </x:c>
      <x:c r="G525" s="2" t="str">
        <x:v>TMF-539</x:v>
      </x:c>
    </x:row>
    <x:row r="526" ht="32" customHeight="1">
      <x:c r="A526" s="9" t="n">
        <x:v>518</x:v>
      </x:c>
      <x:c r="B526" s="8" t="str">
        <x:v>เสาชิงช้า</x:v>
      </x:c>
      <x:c r="C526" s="8" t="str">
        <x:v>กรุงเทพมหานคร</x:v>
      </x:c>
      <x:c r="D526" s="8" t="str">
        <x:v>มีศักยภาพ แต่ต้องพัฒนามาตรฐาน</x:v>
      </x:c>
      <x:c r="E526" s="8" t="str">
        <x:v>แหล่งท่องเที่ยวทางประวัติศาสตร์และวัฒนธรรม</x:v>
      </x:c>
      <x:c r="F526" s="11" t="n">
        <x:v>46315</x:v>
      </x:c>
      <x:c r="G526" s="2" t="str">
        <x:v>TMF-540</x:v>
      </x:c>
    </x:row>
    <x:row r="527" ht="32" customHeight="1">
      <x:c r="A527" s="9" t="n">
        <x:v>519</x:v>
      </x:c>
      <x:c r="B527" s="8" t="str">
        <x:v>Ccไก่กรอบ สาขา บางน้ำเปรี้ยว ฉะเชิงเทรา</x:v>
      </x:c>
      <x:c r="C527" s="8" t="str">
        <x:v>ฉะเชิงเทรา</x:v>
      </x:c>
      <x:c r="D527" s="8" t="str">
        <x:v>มีศักยภาพ แต่ต้องพัฒนามาตรฐาน</x:v>
      </x:c>
      <x:c r="E527" s="8" t="str">
        <x:v>ร้านอาหารและคาเฟ่</x:v>
      </x:c>
      <x:c r="F527" s="11" t="n">
        <x:v>46315</x:v>
      </x:c>
      <x:c r="G527" s="2" t="str">
        <x:v>TMF-541</x:v>
      </x:c>
    </x:row>
    <x:row r="528" ht="32" customHeight="1">
      <x:c r="A528" s="9" t="n">
        <x:v>520</x:v>
      </x:c>
      <x:c r="B528" s="8" t="str">
        <x:v>โต๊ะนวย</x:v>
      </x:c>
      <x:c r="C528" s="8" t="str">
        <x:v>ฉะเชิงเทรา</x:v>
      </x:c>
      <x:c r="D528" s="8" t="str">
        <x:v>มีศักยภาพ แต่ต้องพัฒนามาตรฐาน</x:v>
      </x:c>
      <x:c r="E528" s="8" t="str">
        <x:v>ร้านอาหารและคาเฟ่</x:v>
      </x:c>
      <x:c r="F528" s="11" t="n">
        <x:v>46315</x:v>
      </x:c>
      <x:c r="G528" s="2" t="str">
        <x:v>TMF-542</x:v>
      </x:c>
    </x:row>
    <x:row r="529" ht="32" customHeight="1">
      <x:c r="A529" s="9" t="n">
        <x:v>521</x:v>
      </x:c>
      <x:c r="B529" s="8" t="str">
        <x:v>p.p.ครัวอิสลาม</x:v>
      </x:c>
      <x:c r="C529" s="8" t="str">
        <x:v>ชลบุรี</x:v>
      </x:c>
      <x:c r="D529" s="8" t="str">
        <x:v>มีศักยภาพ แต่ต้องพัฒนามาตรฐาน</x:v>
      </x:c>
      <x:c r="E529" s="8" t="str">
        <x:v>ร้านอาหารและคาเฟ่</x:v>
      </x:c>
      <x:c r="F529" s="11" t="n">
        <x:v>46315</x:v>
      </x:c>
      <x:c r="G529" s="2" t="str">
        <x:v>TMF-543</x:v>
      </x:c>
    </x:row>
    <x:row r="530" ht="32" customHeight="1">
      <x:c r="A530" s="9" t="n">
        <x:v>522</x:v>
      </x:c>
      <x:c r="B530" s="8" t="str">
        <x:v>ครัว อาลี</x:v>
      </x:c>
      <x:c r="C530" s="8" t="str">
        <x:v>ชลบุรี</x:v>
      </x:c>
      <x:c r="D530" s="8" t="str">
        <x:v>มีศักยภาพ แต่ต้องพัฒนามาตรฐาน</x:v>
      </x:c>
      <x:c r="E530" s="8" t="str">
        <x:v>ร้านอาหารและคาเฟ่</x:v>
      </x:c>
      <x:c r="F530" s="11" t="n">
        <x:v>46315</x:v>
      </x:c>
      <x:c r="G530" s="2" t="str">
        <x:v>TMF-544</x:v>
      </x:c>
    </x:row>
    <x:row r="531" ht="32" customHeight="1">
      <x:c r="A531" s="9" t="n">
        <x:v>523</x:v>
      </x:c>
      <x:c r="B531" s="8" t="str">
        <x:v>คามิส เซน ฮาลาล เรสเตอรองท์</x:v>
      </x:c>
      <x:c r="C531" s="8" t="str">
        <x:v>ชลบุรี</x:v>
      </x:c>
      <x:c r="D531" s="8" t="str">
        <x:v>มีศักยภาพ แต่ต้องพัฒนามาตรฐาน</x:v>
      </x:c>
      <x:c r="E531" s="8" t="str">
        <x:v>ร้านอาหารและคาเฟ่</x:v>
      </x:c>
      <x:c r="F531" s="11" t="n">
        <x:v>46315</x:v>
      </x:c>
      <x:c r="G531" s="2" t="str">
        <x:v>TMF-545</x:v>
      </x:c>
    </x:row>
    <x:row r="532" ht="32" customHeight="1">
      <x:c r="A532" s="9" t="n">
        <x:v>524</x:v>
      </x:c>
      <x:c r="B532" s="8" t="str">
        <x:v>ซีน่าพิซซ่าฮาลาลพัทยา สาขา 1 (สุขุมวิท26/1)</x:v>
      </x:c>
      <x:c r="C532" s="8" t="str">
        <x:v>ชลบุรี</x:v>
      </x:c>
      <x:c r="D532" s="8" t="str">
        <x:v>มีศักยภาพ แต่ต้องพัฒนามาตรฐาน</x:v>
      </x:c>
      <x:c r="E532" s="8" t="str">
        <x:v>ร้านอาหารและคาเฟ่</x:v>
      </x:c>
      <x:c r="F532" s="11" t="n">
        <x:v>46315</x:v>
      </x:c>
      <x:c r="G532" s="2" t="str">
        <x:v>TMF-546</x:v>
      </x:c>
    </x:row>
    <x:row r="533" ht="32" customHeight="1">
      <x:c r="A533" s="9" t="n">
        <x:v>525</x:v>
      </x:c>
      <x:c r="B533" s="8" t="str">
        <x:v>โอเอซิสสปา พัทยา จอมเทียน</x:v>
      </x:c>
      <x:c r="C533" s="8" t="str">
        <x:v>ชลบุรี</x:v>
      </x:c>
      <x:c r="D533" s="8" t="str">
        <x:v>มีศักยภาพ แต่ต้องพัฒนามาตรฐาน</x:v>
      </x:c>
      <x:c r="E533" s="8" t="str">
        <x:v>สถานประกอบการเพื่อสุขภาพและเวลเนส</x:v>
      </x:c>
      <x:c r="F533" s="11" t="n">
        <x:v>46315</x:v>
      </x:c>
      <x:c r="G533" s="2" t="str">
        <x:v>TMF-547</x:v>
      </x:c>
    </x:row>
    <x:row r="534" ht="32" customHeight="1">
      <x:c r="A534" s="9" t="n">
        <x:v>526</x:v>
      </x:c>
      <x:c r="B534" s="8" t="str">
        <x:v>ครัวฟาตีเมาะห์</x:v>
      </x:c>
      <x:c r="C534" s="8" t="str">
        <x:v>ชัยภูมิ</x:v>
      </x:c>
      <x:c r="D534" s="8" t="str">
        <x:v>มีศักยภาพ แต่ต้องพัฒนามาตรฐาน</x:v>
      </x:c>
      <x:c r="E534" s="8" t="str">
        <x:v>ร้านอาหารและคาเฟ่</x:v>
      </x:c>
      <x:c r="F534" s="11" t="n">
        <x:v>46315</x:v>
      </x:c>
      <x:c r="G534" s="2" t="str">
        <x:v>TMF-548</x:v>
      </x:c>
    </x:row>
    <x:row r="535" ht="32" customHeight="1">
      <x:c r="A535" s="9" t="n">
        <x:v>527</x:v>
      </x:c>
      <x:c r="B535" s="8" t="str">
        <x:v>อาหารมุสลิมนาป้อ ตรัง</x:v>
      </x:c>
      <x:c r="C535" s="8" t="str">
        <x:v>ตรัง</x:v>
      </x:c>
      <x:c r="D535" s="8" t="str">
        <x:v>มีศักยภาพ แต่ต้องพัฒนามาตรฐาน</x:v>
      </x:c>
      <x:c r="E535" s="8" t="str">
        <x:v>ร้านอาหารและคาเฟ่</x:v>
      </x:c>
      <x:c r="F535" s="11" t="n">
        <x:v>46315</x:v>
      </x:c>
      <x:c r="G535" s="2" t="str">
        <x:v>TMF-549</x:v>
      </x:c>
    </x:row>
    <x:row r="536" ht="32" customHeight="1">
      <x:c r="A536" s="9" t="n">
        <x:v>528</x:v>
      </x:c>
      <x:c r="B536" s="8" t="str">
        <x:v>โรตี ยีเลาะฮ์</x:v>
      </x:c>
      <x:c r="C536" s="8" t="str">
        <x:v>ตรัง</x:v>
      </x:c>
      <x:c r="D536" s="8" t="str">
        <x:v>มีศักยภาพ แต่ต้องพัฒนามาตรฐาน</x:v>
      </x:c>
      <x:c r="E536" s="8" t="str">
        <x:v>ร้านอาหารและคาเฟ่</x:v>
      </x:c>
      <x:c r="F536" s="11" t="n">
        <x:v>46315</x:v>
      </x:c>
      <x:c r="G536" s="2" t="str">
        <x:v>TMF-550</x:v>
      </x:c>
    </x:row>
    <x:row r="537" ht="32" customHeight="1">
      <x:c r="A537" s="9" t="n">
        <x:v>529</x:v>
      </x:c>
      <x:c r="B537" s="8" t="str">
        <x:v>ชุมชนบ้านธรรมชาติล่าง</x:v>
      </x:c>
      <x:c r="C537" s="8" t="str">
        <x:v>ตราด</x:v>
      </x:c>
      <x:c r="D537" s="8" t="str">
        <x:v>มีศักยภาพ แต่ต้องพัฒนามาตรฐาน</x:v>
      </x:c>
      <x:c r="E537" s="8" t="str">
        <x:v>ชุมชนท่องเที่ยว</x:v>
      </x:c>
      <x:c r="F537" s="11" t="n">
        <x:v>46315</x:v>
      </x:c>
      <x:c r="G537" s="2" t="str">
        <x:v>TMF-551</x:v>
      </x:c>
    </x:row>
    <x:row r="538" ht="32" customHeight="1">
      <x:c r="A538" s="9" t="n">
        <x:v>530</x:v>
      </x:c>
      <x:c r="B538" s="8" t="str">
        <x:v>ครัวมุสลิม ตลาดโต้รุ่ง</x:v>
      </x:c>
      <x:c r="C538" s="8" t="str">
        <x:v>ตราด</x:v>
      </x:c>
      <x:c r="D538" s="8" t="str">
        <x:v>มีศักยภาพ แต่ต้องพัฒนามาตรฐาน</x:v>
      </x:c>
      <x:c r="E538" s="8" t="str">
        <x:v>ร้านอาหารและคาเฟ่</x:v>
      </x:c>
      <x:c r="F538" s="11" t="n">
        <x:v>46315</x:v>
      </x:c>
      <x:c r="G538" s="2" t="str">
        <x:v>TMF-552</x:v>
      </x:c>
    </x:row>
    <x:row r="539" ht="32" customHeight="1">
      <x:c r="A539" s="9" t="n">
        <x:v>531</x:v>
      </x:c>
      <x:c r="B539" s="8" t="str">
        <x:v>MAZAH KITCH</x:v>
      </x:c>
      <x:c r="C539" s="8" t="str">
        <x:v>ตาก</x:v>
      </x:c>
      <x:c r="D539" s="8" t="str">
        <x:v>มีศักยภาพ แต่ต้องพัฒนามาตรฐาน</x:v>
      </x:c>
      <x:c r="E539" s="8" t="str">
        <x:v>ร้านอาหารและคาเฟ่</x:v>
      </x:c>
      <x:c r="F539" s="11" t="n">
        <x:v>46315</x:v>
      </x:c>
      <x:c r="G539" s="2" t="str">
        <x:v>TMF-553</x:v>
      </x:c>
    </x:row>
    <x:row r="540" ht="32" customHeight="1">
      <x:c r="A540" s="9" t="n">
        <x:v>532</x:v>
      </x:c>
      <x:c r="B540" s="8" t="str">
        <x:v>โรงชานครแม่สอด</x:v>
      </x:c>
      <x:c r="C540" s="8" t="str">
        <x:v>ตาก</x:v>
      </x:c>
      <x:c r="D540" s="8" t="str">
        <x:v>มีศักยภาพ แต่ต้องพัฒนามาตรฐาน</x:v>
      </x:c>
      <x:c r="E540" s="8" t="str">
        <x:v>ร้านอาหารและคาเฟ่</x:v>
      </x:c>
      <x:c r="F540" s="11" t="n">
        <x:v>46315</x:v>
      </x:c>
      <x:c r="G540" s="2" t="str">
        <x:v>TMF-554</x:v>
      </x:c>
    </x:row>
    <x:row r="541" ht="32" customHeight="1">
      <x:c r="A541" s="9" t="n">
        <x:v>533</x:v>
      </x:c>
      <x:c r="B541" s="8" t="str">
        <x:v>ร้านฮาลาลตลาดโรงสี หนองเบน</x:v>
      </x:c>
      <x:c r="C541" s="8" t="str">
        <x:v>นครสวรรค์</x:v>
      </x:c>
      <x:c r="D541" s="8" t="str">
        <x:v>มีศักยภาพ แต่ต้องพัฒนามาตรฐาน</x:v>
      </x:c>
      <x:c r="E541" s="8" t="str">
        <x:v>ร้านอาหารและคาเฟ่</x:v>
      </x:c>
      <x:c r="F541" s="11" t="n">
        <x:v>46315</x:v>
      </x:c>
      <x:c r="G541" s="2" t="str">
        <x:v>TMF-556</x:v>
      </x:c>
    </x:row>
    <x:row r="542" ht="32" customHeight="1">
      <x:c r="A542" s="9" t="n">
        <x:v>534</x:v>
      </x:c>
      <x:c r="B542" s="8" t="str">
        <x:v>อาหารมุสลิมนครสวรรค์</x:v>
      </x:c>
      <x:c r="C542" s="8" t="str">
        <x:v>นครสวรรค์</x:v>
      </x:c>
      <x:c r="D542" s="8" t="str">
        <x:v>มีศักยภาพ แต่ต้องพัฒนามาตรฐาน</x:v>
      </x:c>
      <x:c r="E542" s="8" t="str">
        <x:v>ร้านอาหารและคาเฟ่</x:v>
      </x:c>
      <x:c r="F542" s="11" t="n">
        <x:v>46315</x:v>
      </x:c>
      <x:c r="G542" s="2" t="str">
        <x:v>TMF-557</x:v>
      </x:c>
    </x:row>
    <x:row r="543" ht="32" customHeight="1">
      <x:c r="A543" s="9" t="n">
        <x:v>535</x:v>
      </x:c>
      <x:c r="B543" s="8" t="str">
        <x:v>ก๋วยเตี๋ยวเรืออิสลาม ครัวอารยา ตากใบ</x:v>
      </x:c>
      <x:c r="C543" s="8" t="str">
        <x:v>นราธิวาส</x:v>
      </x:c>
      <x:c r="D543" s="8" t="str">
        <x:v>มีศักยภาพ แต่ต้องพัฒนามาตรฐาน</x:v>
      </x:c>
      <x:c r="E543" s="8" t="str">
        <x:v>ร้านอาหารและคาเฟ่</x:v>
      </x:c>
      <x:c r="F543" s="11" t="n">
        <x:v>46315</x:v>
      </x:c>
      <x:c r="G543" s="2" t="str">
        <x:v>TMF-558</x:v>
      </x:c>
    </x:row>
    <x:row r="544" ht="32" customHeight="1">
      <x:c r="A544" s="9" t="n">
        <x:v>536</x:v>
      </x:c>
      <x:c r="B544" s="8" t="str">
        <x:v>ฟาร์ติมะห์คาเฟ่&amp;เนื้อ</x:v>
      </x:c>
      <x:c r="C544" s="8" t="str">
        <x:v>ประจวบคีรีขันธ์</x:v>
      </x:c>
      <x:c r="D544" s="8" t="str">
        <x:v>มีศักยภาพ แต่ต้องพัฒนามาตรฐาน</x:v>
      </x:c>
      <x:c r="E544" s="8" t="str">
        <x:v>ร้านอาหารและคาเฟ่</x:v>
      </x:c>
      <x:c r="F544" s="11" t="n">
        <x:v>46315</x:v>
      </x:c>
      <x:c r="G544" s="2" t="str">
        <x:v>TMF-559</x:v>
      </x:c>
    </x:row>
    <x:row r="545" ht="32" customHeight="1">
      <x:c r="A545" s="9" t="n">
        <x:v>537</x:v>
      </x:c>
      <x:c r="B545" s="8" t="str">
        <x:v>พระนครศรีอยุธยาฮาลาล ปราจีนบุรี</x:v>
      </x:c>
      <x:c r="C545" s="8" t="str">
        <x:v>ปราจีนบุรี</x:v>
      </x:c>
      <x:c r="D545" s="8" t="str">
        <x:v>มีศักยภาพ แต่ต้องพัฒนามาตรฐาน</x:v>
      </x:c>
      <x:c r="E545" s="8" t="str">
        <x:v>ร้านอาหารและคาเฟ่</x:v>
      </x:c>
      <x:c r="F545" s="11" t="n">
        <x:v>46315</x:v>
      </x:c>
      <x:c r="G545" s="2" t="str">
        <x:v>TMF-560</x:v>
      </x:c>
    </x:row>
    <x:row r="546" ht="32" customHeight="1">
      <x:c r="A546" s="9" t="n">
        <x:v>538</x:v>
      </x:c>
      <x:c r="B546" s="8" t="str">
        <x:v>Bagus Hot Chicken</x:v>
      </x:c>
      <x:c r="C546" s="8" t="str">
        <x:v>ปัตตานี</x:v>
      </x:c>
      <x:c r="D546" s="8" t="str">
        <x:v>มีศักยภาพ แต่ต้องพัฒนามาตรฐาน</x:v>
      </x:c>
      <x:c r="E546" s="8" t="str">
        <x:v>ร้านอาหารและคาเฟ่</x:v>
      </x:c>
      <x:c r="F546" s="11" t="n">
        <x:v>46315</x:v>
      </x:c>
      <x:c r="G546" s="2" t="str">
        <x:v>TMF-561</x:v>
      </x:c>
    </x:row>
    <x:row r="547" ht="32" customHeight="1">
      <x:c r="A547" s="9" t="n">
        <x:v>539</x:v>
      </x:c>
      <x:c r="B547" s="8" t="str">
        <x:v>KITA BUAT DIA</x:v>
      </x:c>
      <x:c r="C547" s="8" t="str">
        <x:v>ปัตตานี</x:v>
      </x:c>
      <x:c r="D547" s="8" t="str">
        <x:v>มีศักยภาพ แต่ต้องพัฒนามาตรฐาน</x:v>
      </x:c>
      <x:c r="E547" s="8" t="str">
        <x:v>ร้านอาหารและคาเฟ่</x:v>
      </x:c>
      <x:c r="F547" s="11" t="n">
        <x:v>46315</x:v>
      </x:c>
      <x:c r="G547" s="2" t="str">
        <x:v>TMF-562</x:v>
      </x:c>
    </x:row>
    <x:row r="548" ht="32" customHeight="1">
      <x:c r="A548" s="9" t="n">
        <x:v>540</x:v>
      </x:c>
      <x:c r="B548" s="8" t="str">
        <x:v>M.Chakir Coffee</x:v>
      </x:c>
      <x:c r="C548" s="8" t="str">
        <x:v>ปัตตานี</x:v>
      </x:c>
      <x:c r="D548" s="8" t="str">
        <x:v>มีศักยภาพ แต่ต้องพัฒนามาตรฐาน</x:v>
      </x:c>
      <x:c r="E548" s="8" t="str">
        <x:v>ร้านอาหารและคาเฟ่</x:v>
      </x:c>
      <x:c r="F548" s="11" t="n">
        <x:v>46315</x:v>
      </x:c>
      <x:c r="G548" s="2" t="str">
        <x:v>TMF-563</x:v>
      </x:c>
    </x:row>
    <x:row r="549" ht="32" customHeight="1">
      <x:c r="A549" s="9" t="n">
        <x:v>541</x:v>
      </x:c>
      <x:c r="B549" s="8" t="str">
        <x:v>Mama’s corner</x:v>
      </x:c>
      <x:c r="C549" s="8" t="str">
        <x:v>ปัตตานี</x:v>
      </x:c>
      <x:c r="D549" s="8" t="str">
        <x:v>มีศักยภาพ แต่ต้องพัฒนามาตรฐาน</x:v>
      </x:c>
      <x:c r="E549" s="8" t="str">
        <x:v>ร้านอาหารและคาเฟ่</x:v>
      </x:c>
      <x:c r="F549" s="11" t="n">
        <x:v>46315</x:v>
      </x:c>
      <x:c r="G549" s="2" t="str">
        <x:v>TMF-564</x:v>
      </x:c>
    </x:row>
    <x:row r="550" ht="32" customHeight="1">
      <x:c r="A550" s="9" t="n">
        <x:v>542</x:v>
      </x:c>
      <x:c r="B550" s="8" t="str">
        <x:v>ครัวฮาลาลไทย-มาเลย์ ม่อนเงาะ 2</x:v>
      </x:c>
      <x:c r="C550" s="8" t="str">
        <x:v>พะเยา</x:v>
      </x:c>
      <x:c r="D550" s="8" t="str">
        <x:v>มีศักยภาพ แต่ต้องพัฒนามาตรฐาน</x:v>
      </x:c>
      <x:c r="E550" s="8" t="str">
        <x:v>ร้านอาหารและคาเฟ่</x:v>
      </x:c>
      <x:c r="F550" s="11" t="n">
        <x:v>46315</x:v>
      </x:c>
      <x:c r="G550" s="2" t="str">
        <x:v>TMF-565</x:v>
      </x:c>
    </x:row>
    <x:row r="551" ht="32" customHeight="1">
      <x:c r="A551" s="9" t="n">
        <x:v>543</x:v>
      </x:c>
      <x:c r="B551" s="8" t="str">
        <x:v>สากีน๊ะ อาหารใต้</x:v>
      </x:c>
      <x:c r="C551" s="8" t="str">
        <x:v>พะเยา</x:v>
      </x:c>
      <x:c r="D551" s="8" t="str">
        <x:v>มีศักยภาพ แต่ต้องพัฒนามาตรฐาน</x:v>
      </x:c>
      <x:c r="E551" s="8" t="str">
        <x:v>ร้านอาหารและคาเฟ่</x:v>
      </x:c>
      <x:c r="F551" s="11" t="n">
        <x:v>46315</x:v>
      </x:c>
      <x:c r="G551" s="2" t="str">
        <x:v>TMF-566</x:v>
      </x:c>
    </x:row>
    <x:row r="552" ht="32" customHeight="1">
      <x:c r="A552" s="9" t="n">
        <x:v>544</x:v>
      </x:c>
      <x:c r="B552" s="8" t="str">
        <x:v>เกาะปันหยี</x:v>
      </x:c>
      <x:c r="C552" s="8" t="str">
        <x:v>พังงา</x:v>
      </x:c>
      <x:c r="D552" s="8" t="str">
        <x:v>มีศักยภาพ แต่ต้องพัฒนามาตรฐาน</x:v>
      </x:c>
      <x:c r="E552" s="8" t="str">
        <x:v>ชุมชนท่องเที่ยว</x:v>
      </x:c>
      <x:c r="F552" s="11" t="n">
        <x:v>46315</x:v>
      </x:c>
      <x:c r="G552" s="2" t="str">
        <x:v>TMF-567</x:v>
      </x:c>
    </x:row>
    <x:row r="553" ht="32" customHeight="1">
      <x:c r="A553" s="9" t="n">
        <x:v>545</x:v>
      </x:c>
      <x:c r="B553" s="8" t="str">
        <x:v>อุทยานแห่งชาติอ่าวพังงา</x:v>
      </x:c>
      <x:c r="C553" s="8" t="str">
        <x:v>พังงา</x:v>
      </x:c>
      <x:c r="D553" s="8" t="str">
        <x:v>มีศักยภาพ แต่ต้องพัฒนามาตรฐาน</x:v>
      </x:c>
      <x:c r="E553" s="8" t="str">
        <x:v>แหล่งท่องเที่ยวทางธรรมชาติ</x:v>
      </x:c>
      <x:c r="F553" s="11" t="n">
        <x:v>46315</x:v>
      </x:c>
      <x:c r="G553" s="2" t="str">
        <x:v>TMF-568</x:v>
      </x:c>
    </x:row>
    <x:row r="554" ht="32" customHeight="1">
      <x:c r="A554" s="9" t="n">
        <x:v>546</x:v>
      </x:c>
      <x:c r="B554" s="8" t="str">
        <x:v>บ้านบางโรง</x:v>
      </x:c>
      <x:c r="C554" s="8" t="str">
        <x:v>ภูเก็ต</x:v>
      </x:c>
      <x:c r="D554" s="8" t="str">
        <x:v>มีศักยภาพ แต่ต้องพัฒนามาตรฐาน</x:v>
      </x:c>
      <x:c r="E554" s="8" t="str">
        <x:v>ชุมชนท่องเที่ยว</x:v>
      </x:c>
      <x:c r="F554" s="11" t="n">
        <x:v>46315</x:v>
      </x:c>
      <x:c r="G554" s="2" t="str">
        <x:v>TMF-569</x:v>
      </x:c>
    </x:row>
    <x:row r="555" ht="32" customHeight="1">
      <x:c r="A555" s="9" t="n">
        <x:v>547</x:v>
      </x:c>
      <x:c r="B555" s="8" t="str">
        <x:v>Billion food Thai-Indian Restaurant  2</x:v>
      </x:c>
      <x:c r="C555" s="8" t="str">
        <x:v>ภูเก็ต</x:v>
      </x:c>
      <x:c r="D555" s="8" t="str">
        <x:v>มีศักยภาพ แต่ต้องพัฒนามาตรฐาน</x:v>
      </x:c>
      <x:c r="E555" s="8" t="str">
        <x:v>ร้านอาหารและคาเฟ่</x:v>
      </x:c>
      <x:c r="F555" s="11" t="n">
        <x:v>46315</x:v>
      </x:c>
      <x:c r="G555" s="2" t="str">
        <x:v>TMF-570</x:v>
      </x:c>
    </x:row>
    <x:row r="556" ht="32" customHeight="1">
      <x:c r="A556" s="9" t="n">
        <x:v>548</x:v>
      </x:c>
      <x:c r="B556" s="8" t="str">
        <x:v>SairaBakery ไซร่าเบเกอรี่ฮาลาล เค้กภูเก็ต</x:v>
      </x:c>
      <x:c r="C556" s="8" t="str">
        <x:v>ภูเก็ต</x:v>
      </x:c>
      <x:c r="D556" s="8" t="str">
        <x:v>มีศักยภาพ แต่ต้องพัฒนามาตรฐาน</x:v>
      </x:c>
      <x:c r="E556" s="8" t="str">
        <x:v>ร้านอาหารและคาเฟ่</x:v>
      </x:c>
      <x:c r="F556" s="11" t="n">
        <x:v>46315</x:v>
      </x:c>
      <x:c r="G556" s="2" t="str">
        <x:v>TMF-571</x:v>
      </x:c>
    </x:row>
    <x:row r="557" ht="32" customHeight="1">
      <x:c r="A557" s="9" t="n">
        <x:v>549</x:v>
      </x:c>
      <x:c r="B557" s="8" t="str">
        <x:v>ระฟ้าภูเก็ต ติ่มซำฮาลาล สาขา 2</x:v>
      </x:c>
      <x:c r="C557" s="8" t="str">
        <x:v>ภูเก็ต</x:v>
      </x:c>
      <x:c r="D557" s="8" t="str">
        <x:v>มีศักยภาพ แต่ต้องพัฒนามาตรฐาน</x:v>
      </x:c>
      <x:c r="E557" s="8" t="str">
        <x:v>ร้านอาหารและคาเฟ่</x:v>
      </x:c>
      <x:c r="F557" s="11" t="n">
        <x:v>46315</x:v>
      </x:c>
      <x:c r="G557" s="2" t="str">
        <x:v>TMF-572</x:v>
      </x:c>
    </x:row>
    <x:row r="558" ht="32" customHeight="1">
      <x:c r="A558" s="9" t="n">
        <x:v>550</x:v>
      </x:c>
      <x:c r="B558" s="8" t="str">
        <x:v>ร้านข้าวแกงฮาริษา Harisa's Curries Rice Factory</x:v>
      </x:c>
      <x:c r="C558" s="8" t="str">
        <x:v>ภูเก็ต</x:v>
      </x:c>
      <x:c r="D558" s="8" t="str">
        <x:v>มีศักยภาพ แต่ต้องพัฒนามาตรฐาน</x:v>
      </x:c>
      <x:c r="E558" s="8" t="str">
        <x:v>ร้านอาหารและคาเฟ่</x:v>
      </x:c>
      <x:c r="F558" s="11" t="n">
        <x:v>46315</x:v>
      </x:c>
      <x:c r="G558" s="2" t="str">
        <x:v>TMF-573</x:v>
      </x:c>
    </x:row>
    <x:row r="559" ht="32" customHeight="1">
      <x:c r="A559" s="9" t="n">
        <x:v>551</x:v>
      </x:c>
      <x:c r="B559" s="8" t="str">
        <x:v>อรุณโภชนา</x:v>
      </x:c>
      <x:c r="C559" s="8" t="str">
        <x:v>ภูเก็ต</x:v>
      </x:c>
      <x:c r="D559" s="8" t="str">
        <x:v>มีศักยภาพ แต่ต้องพัฒนามาตรฐาน</x:v>
      </x:c>
      <x:c r="E559" s="8" t="str">
        <x:v>ร้านอาหารและคาเฟ่</x:v>
      </x:c>
      <x:c r="F559" s="11" t="n">
        <x:v>46315</x:v>
      </x:c>
      <x:c r="G559" s="2" t="str">
        <x:v>TMF-574</x:v>
      </x:c>
    </x:row>
    <x:row r="560" ht="32" customHeight="1">
      <x:c r="A560" s="9" t="n">
        <x:v>552</x:v>
      </x:c>
      <x:c r="B560" s="8" t="str">
        <x:v>โอเอซิสสปา ทรอปิคอลรีทรีต ลากูน่า</x:v>
      </x:c>
      <x:c r="C560" s="8" t="str">
        <x:v>ภูเก็ต</x:v>
      </x:c>
      <x:c r="D560" s="8" t="str">
        <x:v>มีศักยภาพ แต่ต้องพัฒนามาตรฐาน</x:v>
      </x:c>
      <x:c r="E560" s="8" t="str">
        <x:v>สถานประกอบการเพื่อสุขภาพและเวลเนส</x:v>
      </x:c>
      <x:c r="F560" s="11" t="n">
        <x:v>46315</x:v>
      </x:c>
      <x:c r="G560" s="2" t="str">
        <x:v>TMF-575</x:v>
      </x:c>
    </x:row>
    <x:row r="561" ht="32" customHeight="1">
      <x:c r="A561" s="9" t="n">
        <x:v>553</x:v>
      </x:c>
      <x:c r="B561" s="8" t="str">
        <x:v>โอเอซิสสปา สกายบรีซ กะตะ</x:v>
      </x:c>
      <x:c r="C561" s="8" t="str">
        <x:v>ภูเก็ต</x:v>
      </x:c>
      <x:c r="D561" s="8" t="str">
        <x:v>มีศักยภาพ แต่ต้องพัฒนามาตรฐาน</x:v>
      </x:c>
      <x:c r="E561" s="8" t="str">
        <x:v>สถานประกอบการเพื่อสุขภาพและเวลเนส</x:v>
      </x:c>
      <x:c r="F561" s="11" t="n">
        <x:v>46315</x:v>
      </x:c>
      <x:c r="G561" s="2" t="str">
        <x:v>TMF-576</x:v>
      </x:c>
    </x:row>
    <x:row r="562" ht="32" customHeight="1">
      <x:c r="A562" s="9" t="n">
        <x:v>554</x:v>
      </x:c>
      <x:c r="B562" s="8" t="str">
        <x:v>โอเอซิสสปา เทอร์ควอยซ์โคฟ กมลา</x:v>
      </x:c>
      <x:c r="C562" s="8" t="str">
        <x:v>ภูเก็ต</x:v>
      </x:c>
      <x:c r="D562" s="8" t="str">
        <x:v>มีศักยภาพ แต่ต้องพัฒนามาตรฐาน</x:v>
      </x:c>
      <x:c r="E562" s="8" t="str">
        <x:v>สถานประกอบการเพื่อสุขภาพและเวลเนส</x:v>
      </x:c>
      <x:c r="F562" s="11" t="n">
        <x:v>46315</x:v>
      </x:c>
      <x:c r="G562" s="2" t="str">
        <x:v>TMF-577</x:v>
      </x:c>
    </x:row>
    <x:row r="563" ht="32" customHeight="1">
      <x:c r="A563" s="9" t="n">
        <x:v>555</x:v>
      </x:c>
      <x:c r="B563" s="8" t="str">
        <x:v>แหลมพรหมเทพ</x:v>
      </x:c>
      <x:c r="C563" s="8" t="str">
        <x:v>ภูเก็ต</x:v>
      </x:c>
      <x:c r="D563" s="8" t="str">
        <x:v>มีศักยภาพ แต่ต้องพัฒนามาตรฐาน</x:v>
      </x:c>
      <x:c r="E563" s="8" t="str">
        <x:v>แหล่งท่องเที่ยวทางธรรมชาติ</x:v>
      </x:c>
      <x:c r="F563" s="11" t="n">
        <x:v>46315</x:v>
      </x:c>
      <x:c r="G563" s="2" t="str">
        <x:v>TMF-578</x:v>
      </x:c>
    </x:row>
    <x:row r="564" ht="32" customHeight="1">
      <x:c r="A564" s="9" t="n">
        <x:v>556</x:v>
      </x:c>
      <x:c r="B564" s="8" t="str">
        <x:v>ย่านเมืองเก่าภูเก็ต</x:v>
      </x:c>
      <x:c r="C564" s="8" t="str">
        <x:v>ภูเก็ต</x:v>
      </x:c>
      <x:c r="D564" s="8" t="str">
        <x:v>มีศักยภาพ แต่ต้องพัฒนามาตรฐาน</x:v>
      </x:c>
      <x:c r="E564" s="8" t="str">
        <x:v>แหล่งท่องเที่ยวทางประวัติศาสตร์และวัฒนธรรม</x:v>
      </x:c>
      <x:c r="F564" s="11" t="n">
        <x:v>46315</x:v>
      </x:c>
      <x:c r="G564" s="2" t="str">
        <x:v>TMF-579</x:v>
      </x:c>
    </x:row>
    <x:row r="565" ht="32" customHeight="1">
      <x:c r="A565" s="9" t="n">
        <x:v>557</x:v>
      </x:c>
      <x:c r="B565" s="8" t="str">
        <x:v>ไก่หมุนหมักน้ำผึ้ง</x:v>
      </x:c>
      <x:c r="C565" s="8" t="str">
        <x:v>ระนอง</x:v>
      </x:c>
      <x:c r="D565" s="8" t="str">
        <x:v>มีศักยภาพ แต่ต้องพัฒนามาตรฐาน</x:v>
      </x:c>
      <x:c r="E565" s="8" t="str">
        <x:v>ร้านอาหารและคาเฟ่</x:v>
      </x:c>
      <x:c r="F565" s="11" t="n">
        <x:v>46315</x:v>
      </x:c>
      <x:c r="G565" s="2" t="str">
        <x:v>TMF-580</x:v>
      </x:c>
    </x:row>
    <x:row r="566" ht="32" customHeight="1">
      <x:c r="A566" s="9" t="n">
        <x:v>558</x:v>
      </x:c>
      <x:c r="B566" s="8" t="str">
        <x:v>ไพจิตร์ก๋วยเตี๋ยวเนื้อ</x:v>
      </x:c>
      <x:c r="C566" s="8" t="str">
        <x:v>สงขลา</x:v>
      </x:c>
      <x:c r="D566" s="8" t="str">
        <x:v>มีศักยภาพ แต่ต้องพัฒนามาตรฐาน</x:v>
      </x:c>
      <x:c r="E566" s="8" t="str">
        <x:v>ร้านอาหารและคาเฟ่</x:v>
      </x:c>
      <x:c r="F566" s="11" t="n">
        <x:v>46315</x:v>
      </x:c>
      <x:c r="G566" s="2" t="str">
        <x:v>TMF-581</x:v>
      </x:c>
    </x:row>
    <x:row r="567" ht="32" customHeight="1">
      <x:c r="A567" s="9" t="n">
        <x:v>559</x:v>
      </x:c>
      <x:c r="B567" s="8" t="str">
        <x:v>ตลาดน้ำชุมชนวัดศรีวารีน้อย</x:v>
      </x:c>
      <x:c r="C567" s="8" t="str">
        <x:v>สมุทรปราการ</x:v>
      </x:c>
      <x:c r="D567" s="8" t="str">
        <x:v>มีศักยภาพ แต่ต้องพัฒนามาตรฐาน</x:v>
      </x:c>
      <x:c r="E567" s="8" t="str">
        <x:v>ชุมชนท่องเที่ยว</x:v>
      </x:c>
      <x:c r="F567" s="11" t="n">
        <x:v>46315</x:v>
      </x:c>
      <x:c r="G567" s="2" t="str">
        <x:v>TMF-582</x:v>
      </x:c>
    </x:row>
    <x:row r="568" ht="32" customHeight="1">
      <x:c r="A568" s="9" t="n">
        <x:v>560</x:v>
      </x:c>
      <x:c r="B568" s="8" t="str">
        <x:v>ฮกฮวดอาหารอิสลามแม่กลอง ฮาลาลฟู้ด</x:v>
      </x:c>
      <x:c r="C568" s="8" t="str">
        <x:v>สมุทรสงคราม</x:v>
      </x:c>
      <x:c r="D568" s="8" t="str">
        <x:v>มีศักยภาพ แต่ต้องพัฒนามาตรฐาน</x:v>
      </x:c>
      <x:c r="E568" s="8" t="str">
        <x:v>ร้านอาหารและคาเฟ่</x:v>
      </x:c>
      <x:c r="F568" s="11" t="n">
        <x:v>46315</x:v>
      </x:c>
      <x:c r="G568" s="2" t="str">
        <x:v>TMF-583</x:v>
      </x:c>
    </x:row>
    <x:row r="569" ht="32" customHeight="1">
      <x:c r="A569" s="9" t="n">
        <x:v>561</x:v>
      </x:c>
      <x:c r="B569" s="8" t="str">
        <x:v>ไก่ทอดอารีฟหาดใหญ่</x:v>
      </x:c>
      <x:c r="C569" s="8" t="str">
        <x:v>สมุทรสาคร</x:v>
      </x:c>
      <x:c r="D569" s="8" t="str">
        <x:v>มีศักยภาพ แต่ต้องพัฒนามาตรฐาน</x:v>
      </x:c>
      <x:c r="E569" s="8" t="str">
        <x:v>ร้านอาหารและคาเฟ่</x:v>
      </x:c>
      <x:c r="F569" s="11" t="n">
        <x:v>46315</x:v>
      </x:c>
      <x:c r="G569" s="2" t="str">
        <x:v>TMF-584</x:v>
      </x:c>
    </x:row>
    <x:row r="570" ht="32" customHeight="1">
      <x:c r="A570" s="9" t="n">
        <x:v>562</x:v>
      </x:c>
      <x:c r="B570" s="8" t="str">
        <x:v>ชุมชนบ้านพุแค</x:v>
      </x:c>
      <x:c r="C570" s="8" t="str">
        <x:v>สระบุรี</x:v>
      </x:c>
      <x:c r="D570" s="8" t="str">
        <x:v>มีศักยภาพ แต่ต้องพัฒนามาตรฐาน</x:v>
      </x:c>
      <x:c r="E570" s="8" t="str">
        <x:v>ชุมชนท่องเที่ยว</x:v>
      </x:c>
      <x:c r="F570" s="11" t="n">
        <x:v>46315</x:v>
      </x:c>
      <x:c r="G570" s="2" t="str">
        <x:v>TMF-585</x:v>
      </x:c>
    </x:row>
    <x:row r="571" ht="32" customHeight="1">
      <x:c r="A571" s="9" t="n">
        <x:v>563</x:v>
      </x:c>
      <x:c r="B571" s="8" t="str">
        <x:v>ชุมชนท่าชัย</x:v>
      </x:c>
      <x:c r="C571" s="8" t="str">
        <x:v>สุโขทัย</x:v>
      </x:c>
      <x:c r="D571" s="8" t="str">
        <x:v>มีศักยภาพ แต่ต้องพัฒนามาตรฐาน</x:v>
      </x:c>
      <x:c r="E571" s="8" t="str">
        <x:v>ชุมชนท่องเที่ยว</x:v>
      </x:c>
      <x:c r="F571" s="11" t="n">
        <x:v>46315</x:v>
      </x:c>
      <x:c r="G571" s="2" t="str">
        <x:v>TMF-586</x:v>
      </x:c>
    </x:row>
    <x:row r="572" ht="32" customHeight="1">
      <x:c r="A572" s="9" t="n">
        <x:v>564</x:v>
      </x:c>
      <x:c r="B572" s="8" t="str">
        <x:v>ชุมชนบ้านเดื่อ</x:v>
      </x:c>
      <x:c r="C572" s="8" t="str">
        <x:v>หนองคาย</x:v>
      </x:c>
      <x:c r="D572" s="8" t="str">
        <x:v>มีศักยภาพ แต่ต้องพัฒนามาตรฐาน</x:v>
      </x:c>
      <x:c r="E572" s="8" t="str">
        <x:v>ชุมชนท่องเที่ยว</x:v>
      </x:c>
      <x:c r="F572" s="11" t="n">
        <x:v>46315</x:v>
      </x:c>
      <x:c r="G572" s="2" t="str">
        <x:v>TMF-587</x:v>
      </x:c>
    </x:row>
    <x:row r="573" ht="32" customHeight="1">
      <x:c r="A573" s="9" t="n">
        <x:v>565</x:v>
      </x:c>
      <x:c r="B573" s="8" t="str">
        <x:v>ไก่ย่างจีระพันธ์ ปตท.โนนสะอาด(ขาเข้า) จ.อุดรธานี</x:v>
      </x:c>
      <x:c r="C573" s="8" t="str">
        <x:v>อุดรธานี</x:v>
      </x:c>
      <x:c r="D573" s="8" t="str">
        <x:v>มีศักยภาพ แต่ต้องพัฒนามาตรฐาน</x:v>
      </x:c>
      <x:c r="E573" s="8" t="str">
        <x:v>ร้านอาหารและคาเฟ่</x:v>
      </x:c>
      <x:c r="F573" s="11" t="n">
        <x:v>46315</x:v>
      </x:c>
      <x:c r="G573" s="2" t="str">
        <x:v>TMF-588</x:v>
      </x:c>
    </x:row>
    <x:row r="574" ht="32" customHeight="1">
      <x:c r="A574" s="9" t="n">
        <x:v>566</x:v>
      </x:c>
      <x:c r="B574" s="8" t="str">
        <x:v>ก๋วยเตี๋ยวเรือฮาลาลอาหารตามสั่ง Byม๊ะเกมส์</x:v>
      </x:c>
      <x:c r="C574" s="8" t="str">
        <x:v>อ่างทอง</x:v>
      </x:c>
      <x:c r="D574" s="8" t="str">
        <x:v>มีศักยภาพ แต่ต้องพัฒนามาตรฐาน</x:v>
      </x:c>
      <x:c r="E574" s="8" t="str">
        <x:v>ร้านอาหารและคาเฟ่</x:v>
      </x:c>
      <x:c r="F574" s="11" t="n">
        <x:v>46315</x:v>
      </x:c>
      <x:c r="G574" s="2" t="str">
        <x:v>TMF-589</x:v>
      </x:c>
    </x:row>
    <x:row r="575" ht="32" customHeight="1">
      <x:c r="A575" s="9" t="n">
        <x:v>567</x:v>
      </x:c>
      <x:c r="B575" s="8" t="str">
        <x:v>ไก่ทอดใบคานอิสลามหาดใหญ่</x:v>
      </x:c>
      <x:c r="C575" s="8" t="str">
        <x:v>กรุงเทพมหานคร</x:v>
      </x:c>
      <x:c r="D575" s="8" t="str">
        <x:v>มีศักยภาพ แต่ต้องพัฒนามาตรฐาน</x:v>
      </x:c>
      <x:c r="E575" s="8" t="str">
        <x:v>ร้านอาหารและคาเฟ่</x:v>
      </x:c>
      <x:c r="F575" s="11" t="n">
        <x:v>46315</x:v>
      </x:c>
      <x:c r="G575" s="2" t="str">
        <x:v>TMF-590</x:v>
      </x:c>
    </x:row>
    <x:row r="576" ht="32" customHeight="1">
      <x:c r="A576" s="9" t="n">
        <x:v>568</x:v>
      </x:c>
      <x:c r="B576" s="8" t="str">
        <x:v>Ancient beef Thai Cuisine – ข้าวขาวัว</x:v>
      </x:c>
      <x:c r="C576" s="8" t="str">
        <x:v>เชียงใหม่</x:v>
      </x:c>
      <x:c r="D576" s="8" t="str">
        <x:v>มีศักยภาพ แต่ต้องพัฒนามาตรฐาน</x:v>
      </x:c>
      <x:c r="E576" s="8" t="str">
        <x:v>ร้านอาหารและคาเฟ่</x:v>
      </x:c>
      <x:c r="F576" s="11" t="n">
        <x:v>46315</x:v>
      </x:c>
      <x:c r="G576" s="2" t="str">
        <x:v>TMF-591</x:v>
      </x:c>
    </x:row>
    <x:row r="577" ht="32" customHeight="1">
      <x:c r="A577" s="9" t="n">
        <x:v>569</x:v>
      </x:c>
      <x:c r="B577" s="8" t="str">
        <x:v>Aunt Nan Halal Khanom Jeen</x:v>
      </x:c>
      <x:c r="C577" s="8" t="str">
        <x:v>เชียงใหม่</x:v>
      </x:c>
      <x:c r="D577" s="8" t="str">
        <x:v>มีศักยภาพ แต่ต้องพัฒนามาตรฐาน</x:v>
      </x:c>
      <x:c r="E577" s="8" t="str">
        <x:v>ร้านอาหารและคาเฟ่</x:v>
      </x:c>
      <x:c r="F577" s="11" t="n">
        <x:v>46315</x:v>
      </x:c>
      <x:c r="G577" s="2" t="str">
        <x:v>TMF-592</x:v>
      </x:c>
    </x:row>
    <x:row r="578" ht="32" customHeight="1">
      <x:c r="A578" s="9" t="n">
        <x:v>570</x:v>
      </x:c>
      <x:c r="B578" s="8" t="str">
        <x:v>Mme caffee</x:v>
      </x:c>
      <x:c r="C578" s="8" t="str">
        <x:v>เชียงใหม่</x:v>
      </x:c>
      <x:c r="D578" s="8" t="str">
        <x:v>มีศักยภาพ แต่ต้องพัฒนามาตรฐาน</x:v>
      </x:c>
      <x:c r="E578" s="8" t="str">
        <x:v>ร้านอาหารและคาเฟ่</x:v>
      </x:c>
      <x:c r="F578" s="11" t="n">
        <x:v>46315</x:v>
      </x:c>
      <x:c r="G578" s="2" t="str">
        <x:v>TMF-593</x:v>
      </x:c>
    </x:row>
    <x:row r="579" ht="32" customHeight="1">
      <x:c r="A579" s="9" t="n">
        <x:v>571</x:v>
      </x:c>
      <x:c r="B579" s="8" t="str">
        <x:v>โอเอซิสสปา ล้านนา วัดพระสิงห์</x:v>
      </x:c>
      <x:c r="C579" s="8" t="str">
        <x:v>เชียงใหม่</x:v>
      </x:c>
      <x:c r="D579" s="8" t="str">
        <x:v>มีศักยภาพ แต่ต้องพัฒนามาตรฐาน</x:v>
      </x:c>
      <x:c r="E579" s="8" t="str">
        <x:v>สถานประกอบการเพื่อสุขภาพและเวลเนส</x:v>
      </x:c>
      <x:c r="F579" s="11" t="n">
        <x:v>46315</x:v>
      </x:c>
      <x:c r="G579" s="2" t="str">
        <x:v>TMF-594</x:v>
      </x:c>
    </x:row>
    <x:row r="580" ht="32" customHeight="1">
      <x:c r="A580" s="9" t="n">
        <x:v>572</x:v>
      </x:c>
      <x:c r="B580" s="8" t="str">
        <x:v>โอเอซิสสปา แอทนิมมาน</x:v>
      </x:c>
      <x:c r="C580" s="8" t="str">
        <x:v>เชียงใหม่</x:v>
      </x:c>
      <x:c r="D580" s="8" t="str">
        <x:v>มีศักยภาพ แต่ต้องพัฒนามาตรฐาน</x:v>
      </x:c>
      <x:c r="E580" s="8" t="str">
        <x:v>สถานประกอบการเพื่อสุขภาพและเวลเนส</x:v>
      </x:c>
      <x:c r="F580" s="11" t="n">
        <x:v>46315</x:v>
      </x:c>
      <x:c r="G580" s="2" t="str">
        <x:v>TMF-595</x:v>
      </x:c>
    </x:row>
    <x:row r="581" ht="32" customHeight="1">
      <x:c r="A581" s="9" t="n">
        <x:v>573</x:v>
      </x:c>
      <x:c r="B581" s="8" t="str">
        <x:v>ครัวอามีนะห์ (เจ๊มุ้ย) เพชรบูรณ์</x:v>
      </x:c>
      <x:c r="C581" s="8" t="str">
        <x:v>เพชรบูรณ์</x:v>
      </x:c>
      <x:c r="D581" s="8" t="str">
        <x:v>มีศักยภาพ แต่ต้องพัฒนามาตรฐาน</x:v>
      </x:c>
      <x:c r="E581" s="8" t="str">
        <x:v>ร้านอาหารและคาเฟ่</x:v>
      </x:c>
      <x:c r="F581" s="11" t="n">
        <x:v>46315</x:v>
      </x:c>
      <x:c r="G581" s="2" t="str">
        <x:v>TMF-596</x:v>
      </x:c>
    </x:row>
    <x:row r="582" ht="32" customHeight="1">
      <x:c r="A582" s="9" t="n">
        <x:v>574</x:v>
      </x:c>
      <x:c r="B582" s="8" t="str">
        <x:v>AZIZ halal bread สุขุมวิท 49/14</x:v>
      </x:c>
      <x:c r="C582" s="8" t="str">
        <x:v>กรุงเทพมหานคร</x:v>
      </x:c>
      <x:c r="D582" s="8" t="str">
        <x:v>มีศักยภาพ แต่ต้องพัฒนามาตรฐาน</x:v>
      </x:c>
      <x:c r="E582" s="8" t="str">
        <x:v>ร้านอาหารและคาเฟ่</x:v>
      </x:c>
      <x:c r="F582" s="11" t="n">
        <x:v>46315</x:v>
      </x:c>
      <x:c r="G582" s="2" t="str">
        <x:v>TMF-597</x:v>
      </x:c>
    </x:row>
    <x:row r="583" ht="32" customHeight="1">
      <x:c r="A583" s="9" t="n">
        <x:v>575</x:v>
      </x:c>
      <x:c r="B583" s="8" t="str">
        <x:v>บัง ปัง ปาย</x:v>
      </x:c>
      <x:c r="C583" s="8" t="str">
        <x:v>แม่ฮ่องสอน</x:v>
      </x:c>
      <x:c r="D583" s="8" t="str">
        <x:v>มีศักยภาพ แต่ต้องพัฒนามาตรฐาน</x:v>
      </x:c>
      <x:c r="E583" s="8" t="str">
        <x:v>ร้านอาหารและคาเฟ่</x:v>
      </x:c>
      <x:c r="F583" s="11" t="n">
        <x:v>46315</x:v>
      </x:c>
      <x:c r="G583" s="2" t="str">
        <x:v>TMF-599</x:v>
      </x:c>
    </x:row>
    <x:row r="584" ht="32" customHeight="1">
      <x:c r="A584" s="9" t="n">
        <x:v>576</x:v>
      </x:c>
      <x:c r="B584" s="8" t="str">
        <x:v>สบายดีเฮ้าส์ แอทปาย</x:v>
      </x:c>
      <x:c r="C584" s="8" t="str">
        <x:v>แม่ฮ่องสอน</x:v>
      </x:c>
      <x:c r="D584" s="8" t="str">
        <x:v>มีศักยภาพ แต่ต้องพัฒนามาตรฐาน</x:v>
      </x:c>
      <x:c r="E584" s="8" t="str">
        <x:v>ที่พัก</x:v>
      </x:c>
      <x:c r="F584" s="11" t="n">
        <x:v>46315</x:v>
      </x:c>
      <x:c r="G584" s="2" t="str">
        <x:v>TMF-600</x:v>
      </x:c>
    </x:row>
    <x:row r="585" ht="32" customHeight="1">
      <x:c r="A585" s="9" t="n">
        <x:v>577</x:v>
      </x:c>
      <x:c r="B585" s="8" t="str">
        <x:v>Nikudake Halal Wagyu Sukiyaki</x:v>
      </x:c>
      <x:c r="C585" s="8" t="str">
        <x:v>สงขลา</x:v>
      </x:c>
      <x:c r="D585" s="8" t="str">
        <x:v>พร้อมขาย</x:v>
      </x:c>
      <x:c r="E585" s="8" t="str">
        <x:v>ร้านอาหารและคาเฟ่</x:v>
      </x:c>
      <x:c r="F585" s="11" t="n">
        <x:v>46315</x:v>
      </x:c>
      <x:c r="G585" s="2" t="str">
        <x:v>GMHI-48</x:v>
      </x:c>
    </x:row>
    <x:row r="586" ht="32" customHeight="1">
      <x:c r="A586" s="9" t="n">
        <x:v>578</x:v>
      </x:c>
      <x:c r="B586" s="8" t="str">
        <x:v>H-Banaat</x:v>
      </x:c>
      <x:c r="C586" s="8" t="str">
        <x:v>กรุงเทพมหานคร</x:v>
      </x:c>
      <x:c r="D586" s="8" t="str">
        <x:v>พัฒนาเพื่อพร้อมขาย</x:v>
      </x:c>
      <x:c r="E586" s="8" t="str">
        <x:v>ที่พัก</x:v>
      </x:c>
      <x:c r="F586" s="11" t="n">
        <x:v>46315</x:v>
      </x:c>
      <x:c r="G586" s="2" t="str">
        <x:v>GMHI-27</x:v>
      </x:c>
    </x:row>
    <x:row r="587" ht="32" customHeight="1">
      <x:c r="A587" s="9" t="n">
        <x:v>579</x:v>
      </x:c>
      <x:c r="B587" s="8" t="str">
        <x:v>The Grill</x:v>
      </x:c>
      <x:c r="C587" s="8" t="str">
        <x:v>กรุงเทพมหานคร</x:v>
      </x:c>
      <x:c r="D587" s="8" t="str">
        <x:v>พร้อมขาย</x:v>
      </x:c>
      <x:c r="E587" s="8" t="str">
        <x:v>ร้านอาหารและคาเฟ่</x:v>
      </x:c>
      <x:c r="F587" s="11" t="n">
        <x:v>46315</x:v>
      </x:c>
      <x:c r="G587" s="2" t="str">
        <x:v>GMHI-28</x:v>
      </x:c>
    </x:row>
    <x:row r="588" ht="32" customHeight="1">
      <x:c r="A588" s="9" t="n">
        <x:v>580</x:v>
      </x:c>
      <x:c r="B588" s="8" t="str">
        <x:v>FARAYA Cruise Restaurant</x:v>
      </x:c>
      <x:c r="C588" s="8" t="str">
        <x:v>กรุงเทพมหานคร</x:v>
      </x:c>
      <x:c r="D588" s="8" t="str">
        <x:v>พัฒนาเพื่อพร้อมขาย</x:v>
      </x:c>
      <x:c r="E588" s="8" t="str">
        <x:v>ร้านอาหารและคาเฟ่</x:v>
      </x:c>
      <x:c r="F588" s="11" t="n">
        <x:v>46315</x:v>
      </x:c>
      <x:c r="G588" s="2" t="str">
        <x:v>GMHI-38</x:v>
      </x:c>
    </x:row>
    <x:row r="589" ht="32" customHeight="1">
      <x:c r="A589" s="9" t="n">
        <x:v>581</x:v>
      </x:c>
      <x:c r="B589" s="8" t="str">
        <x:v>The Suan Dusit Place</x:v>
      </x:c>
      <x:c r="C589" s="8" t="str">
        <x:v>กรุงเทพมหานคร</x:v>
      </x:c>
      <x:c r="D589" s="8" t="str">
        <x:v>พัฒนาเพื่อพร้อมขาย</x:v>
      </x:c>
      <x:c r="E589" s="8" t="str">
        <x:v>ที่พัก</x:v>
      </x:c>
      <x:c r="F589" s="11" t="n">
        <x:v>46315</x:v>
      </x:c>
      <x:c r="G589" s="2" t="str">
        <x:v>GMHI-31</x:v>
      </x:c>
    </x:row>
    <x:row r="590" ht="32" customHeight="1">
      <x:c r="A590" s="9" t="n">
        <x:v>582</x:v>
      </x:c>
      <x:c r="B590" s="8" t="str">
        <x:v>มิตรไมตรี dining café hatyai village</x:v>
      </x:c>
      <x:c r="C590" s="8" t="str">
        <x:v>สงขลา</x:v>
      </x:c>
      <x:c r="D590" s="8" t="str">
        <x:v>พร้อมขาย</x:v>
      </x:c>
      <x:c r="E590" s="8" t="str">
        <x:v>ร้านอาหารและคาเฟ่</x:v>
      </x:c>
      <x:c r="F590" s="11" t="n">
        <x:v>46315</x:v>
      </x:c>
      <x:c r="G590" s="2" t="str">
        <x:v>GMHI-54</x:v>
      </x:c>
    </x:row>
    <x:row r="591" ht="32" customHeight="1">
      <x:c r="A591" s="9" t="n">
        <x:v>583</x:v>
      </x:c>
      <x:c r="B591" s="8" t="str">
        <x:v>Bi'halalika Roti &amp; Bistro</x:v>
      </x:c>
      <x:c r="C591" s="8" t="str">
        <x:v>กรุงเทพมหานคร</x:v>
      </x:c>
      <x:c r="D591" s="8" t="str">
        <x:v>พัฒนาเพื่อพร้อมขาย</x:v>
      </x:c>
      <x:c r="E591" s="8" t="str">
        <x:v>ร้านอาหารและคาเฟ่</x:v>
      </x:c>
      <x:c r="F591" s="11" t="n">
        <x:v>46315</x:v>
      </x:c>
      <x:c r="G591" s="2" t="str">
        <x:v>GMHI-37</x:v>
      </x:c>
    </x:row>
    <x:row r="592" ht="32" customHeight="1">
      <x:c r="A592" s="9" t="n">
        <x:v>584</x:v>
      </x:c>
      <x:c r="B592" s="8" t="str">
        <x:v>เนื้อล้วนล้วน Halal Wagyu Yakiniku Hatyai</x:v>
      </x:c>
      <x:c r="C592" s="8" t="str">
        <x:v>สงขลา</x:v>
      </x:c>
      <x:c r="D592" s="8" t="str">
        <x:v>พัฒนาเพื่อพร้อมขาย</x:v>
      </x:c>
      <x:c r="E592" s="8" t="str">
        <x:v>ร้านอาหารและคาเฟ่</x:v>
      </x:c>
      <x:c r="F592" s="11" t="n">
        <x:v>46315</x:v>
      </x:c>
      <x:c r="G592" s="2" t="str">
        <x:v>GMHI-50</x:v>
      </x:c>
    </x:row>
    <x:row r="593" ht="32" customHeight="1">
      <x:c r="A593" s="9" t="n">
        <x:v>585</x:v>
      </x:c>
      <x:c r="B593" s="8" t="str">
        <x:v>Just Salt Steak</x:v>
      </x:c>
      <x:c r="C593" s="8" t="str">
        <x:v>กรุงเทพมหานคร</x:v>
      </x:c>
      <x:c r="D593" s="8" t="str">
        <x:v>พร้อมขาย</x:v>
      </x:c>
      <x:c r="E593" s="8" t="str">
        <x:v>ร้านอาหารและคาเฟ่</x:v>
      </x:c>
      <x:c r="F593" s="11" t="n">
        <x:v>46315</x:v>
      </x:c>
      <x:c r="G593" s="2" t="str">
        <x:v>GMHI-33</x:v>
      </x:c>
    </x:row>
    <x:row r="594" ht="32" customHeight="1">
      <x:c r="A594" s="9" t="n">
        <x:v>586</x:v>
      </x:c>
      <x:c r="B594" s="8" t="str">
        <x:v>Rembrandt Hotel Bangkok</x:v>
      </x:c>
      <x:c r="C594" s="8" t="str">
        <x:v>กรุงเทพมหานคร</x:v>
      </x:c>
      <x:c r="D594" s="8" t="str">
        <x:v>พัฒนาเพื่อพร้อมขาย</x:v>
      </x:c>
      <x:c r="E594" s="8" t="str">
        <x:v>ที่พัก</x:v>
      </x:c>
      <x:c r="F594" s="11" t="n">
        <x:v>46315</x:v>
      </x:c>
      <x:c r="G594" s="2" t="str">
        <x:v>GMHI-2</x:v>
      </x:c>
    </x:row>
    <x:row r="595" ht="32" customHeight="1">
      <x:c r="A595" s="9" t="n">
        <x:v>587</x:v>
      </x:c>
      <x:c r="B595" s="8" t="str">
        <x:v>W22 by Burasari</x:v>
      </x:c>
      <x:c r="C595" s="8" t="str">
        <x:v>กรุงเทพมหานคร</x:v>
      </x:c>
      <x:c r="D595" s="8" t="str">
        <x:v>มีศักยภาพ แต่ต้องพัฒนามาตรฐาน</x:v>
      </x:c>
      <x:c r="E595" s="8" t="str">
        <x:v>ที่พัก</x:v>
      </x:c>
      <x:c r="F595" s="11" t="n">
        <x:v>46315</x:v>
      </x:c>
      <x:c r="G595" s="2" t="str">
        <x:v>GMHI-30</x:v>
      </x:c>
    </x:row>
    <x:row r="596" ht="32" customHeight="1">
      <x:c r="A596" s="9" t="n">
        <x:v>588</x:v>
      </x:c>
      <x:c r="B596" s="8" t="str">
        <x:v>Reborn</x:v>
      </x:c>
      <x:c r="C596" s="8" t="str">
        <x:v>สงขลา</x:v>
      </x:c>
      <x:c r="D596" s="8" t="str">
        <x:v>พัฒนาเพื่อพร้อมขาย</x:v>
      </x:c>
      <x:c r="E596" s="8" t="str">
        <x:v>สถานประกอบการเพื่อสุขภาพและเวลเนส</x:v>
      </x:c>
      <x:c r="F596" s="11" t="n">
        <x:v>46315</x:v>
      </x:c>
      <x:c r="G596" s="2" t="str">
        <x:v>GMHI-53</x:v>
      </x:c>
    </x:row>
    <x:row r="597" ht="32" customHeight="1">
      <x:c r="A597" s="9" t="n">
        <x:v>589</x:v>
      </x:c>
      <x:c r="B597" s="8" t="str">
        <x:v>Crystal Hotel Hat Yai</x:v>
      </x:c>
      <x:c r="C597" s="8" t="str">
        <x:v>สงขลา</x:v>
      </x:c>
      <x:c r="D597" s="8" t="str">
        <x:v>พัฒนาเพื่อพร้อมขาย</x:v>
      </x:c>
      <x:c r="E597" s="8" t="str">
        <x:v>ที่พัก</x:v>
      </x:c>
      <x:c r="F597" s="11" t="n">
        <x:v>46315</x:v>
      </x:c>
      <x:c r="G597" s="2" t="str">
        <x:v>GMHI-3</x:v>
      </x:c>
    </x:row>
    <x:row r="598" ht="32" customHeight="1">
      <x:c r="A598" s="9" t="n">
        <x:v>590</x:v>
      </x:c>
      <x:c r="B598" s="8" t="str">
        <x:v>The Three Sleep</x:v>
      </x:c>
      <x:c r="C598" s="8" t="str">
        <x:v>ตรัง</x:v>
      </x:c>
      <x:c r="D598" s="8" t="str">
        <x:v>มีศักยภาพ แต่ต้องพัฒนามาตรฐาน</x:v>
      </x:c>
      <x:c r="E598" s="8" t="str">
        <x:v>ที่พัก</x:v>
      </x:c>
      <x:c r="F598" s="11" t="n">
        <x:v>46315</x:v>
      </x:c>
      <x:c r="G598" s="2" t="str">
        <x:v>GMHI-6</x:v>
      </x:c>
    </x:row>
    <x:row r="599" ht="32" customHeight="1">
      <x:c r="A599" s="9" t="n">
        <x:v>591</x:v>
      </x:c>
      <x:c r="B599" s="8" t="str">
        <x:v>PUN Chocolate</x:v>
      </x:c>
      <x:c r="C599" s="8" t="str">
        <x:v>สงขลา</x:v>
      </x:c>
      <x:c r="D599" s="8" t="str">
        <x:v>พัฒนาเพื่อพร้อมขาย</x:v>
      </x:c>
      <x:c r="E599" s="8" t="str">
        <x:v>ร้านอาหารและคาเฟ่</x:v>
      </x:c>
      <x:c r="F599" s="11" t="n">
        <x:v>46315</x:v>
      </x:c>
      <x:c r="G599" s="2" t="str">
        <x:v>GMHI-7</x:v>
      </x:c>
    </x:row>
    <x:row r="600" ht="32" customHeight="1">
      <x:c r="A600" s="9" t="n">
        <x:v>592</x:v>
      </x:c>
      <x:c r="B600" s="8" t="str">
        <x:v>The signature hotel airport</x:v>
      </x:c>
      <x:c r="C600" s="8" t="str">
        <x:v>สงขลา</x:v>
      </x:c>
      <x:c r="D600" s="8" t="str">
        <x:v>พัฒนาเพื่อพร้อมขาย</x:v>
      </x:c>
      <x:c r="E600" s="8" t="str">
        <x:v>ที่พัก</x:v>
      </x:c>
      <x:c r="F600" s="11" t="n">
        <x:v>46315</x:v>
      </x:c>
      <x:c r="G600" s="2" t="str">
        <x:v>GMHI-20</x:v>
      </x:c>
    </x:row>
    <x:row r="601" ht="32" customHeight="1">
      <x:c r="A601" s="9" t="n">
        <x:v>593</x:v>
      </x:c>
      <x:c r="B601" s="8" t="str">
        <x:v>The Grand Fourwings Convention Hotel Bangkok</x:v>
      </x:c>
      <x:c r="C601" s="8" t="str">
        <x:v>กรุงเทพมหานคร</x:v>
      </x:c>
      <x:c r="D601" s="8" t="str">
        <x:v>พัฒนาเพื่อพร้อมขาย</x:v>
      </x:c>
      <x:c r="E601" s="8" t="str">
        <x:v>ที่พัก</x:v>
      </x:c>
      <x:c r="F601" s="11" t="n">
        <x:v>46315</x:v>
      </x:c>
      <x:c r="G601" s="2" t="str">
        <x:v>GMHI-56</x:v>
      </x:c>
    </x:row>
    <x:row r="602" ht="32" customHeight="1">
      <x:c r="A602" s="9" t="n">
        <x:v>594</x:v>
      </x:c>
      <x:c r="B602" s="8" t="str">
        <x:v>ATG Southsea</x:v>
      </x:c>
      <x:c r="C602" s="8" t="str">
        <x:v>ภูเก็ต</x:v>
      </x:c>
      <x:c r="D602" s="8" t="str">
        <x:v>พัฒนาเพื่อพร้อมขาย</x:v>
      </x:c>
      <x:c r="E602" s="8" t="str">
        <x:v>สถานประกอบการเพื่อสุขภาพและเวลเนส</x:v>
      </x:c>
      <x:c r="F602" s="11" t="n">
        <x:v>46315</x:v>
      </x:c>
      <x:c r="G602" s="2" t="str">
        <x:v>GMHI-51</x:v>
      </x:c>
    </x:row>
    <x:row r="603" ht="32" customHeight="1">
      <x:c r="A603" s="9" t="n">
        <x:v>595</x:v>
      </x:c>
      <x:c r="B603" s="8" t="str">
        <x:v>The Cozy 77</x:v>
      </x:c>
      <x:c r="C603" s="8" t="str">
        <x:v>กรุงเทพมหานคร</x:v>
      </x:c>
      <x:c r="D603" s="8" t="str">
        <x:v>พัฒนาเพื่อพร้อมขาย</x:v>
      </x:c>
      <x:c r="E603" s="8" t="str">
        <x:v>ที่พัก</x:v>
      </x:c>
      <x:c r="F603" s="11" t="n">
        <x:v>46315</x:v>
      </x:c>
      <x:c r="G603" s="2" t="str">
        <x:v>GMHI-21</x:v>
      </x:c>
    </x:row>
    <x:row r="604" ht="32" customHeight="1">
      <x:c r="A604" s="9" t="n">
        <x:v>596</x:v>
      </x:c>
      <x:c r="B604" s="8" t="str">
        <x:v>ParimaHotel</x:v>
      </x:c>
      <x:c r="C604" s="8" t="str">
        <x:v>ตรัง</x:v>
      </x:c>
      <x:c r="D604" s="8" t="str">
        <x:v>พัฒนาเพื่อพร้อมขาย</x:v>
      </x:c>
      <x:c r="E604" s="8" t="str">
        <x:v>ที่พัก</x:v>
      </x:c>
      <x:c r="F604" s="11" t="n">
        <x:v>46315</x:v>
      </x:c>
      <x:c r="G604" s="2" t="str">
        <x:v>GMHI-46</x:v>
      </x:c>
    </x:row>
    <x:row r="605" ht="32" customHeight="1">
      <x:c r="A605" s="9" t="n">
        <x:v>597</x:v>
      </x:c>
      <x:c r="B605" s="8" t="str">
        <x:v>สภากาแฟ’36 สาขาหาดใหญ่</x:v>
      </x:c>
      <x:c r="C605" s="8" t="str">
        <x:v>สงขลา</x:v>
      </x:c>
      <x:c r="D605" s="8" t="str">
        <x:v>พร้อมขาย</x:v>
      </x:c>
      <x:c r="E605" s="8" t="str">
        <x:v>ร้านอาหารและคาเฟ่</x:v>
      </x:c>
      <x:c r="F605" s="11" t="n">
        <x:v>46315</x:v>
      </x:c>
      <x:c r="G605" s="2" t="str">
        <x:v>GMHI-47</x:v>
      </x:c>
    </x:row>
    <x:row r="606" ht="32" customHeight="1">
      <x:c r="A606" s="9" t="n">
        <x:v>598</x:v>
      </x:c>
      <x:c r="B606" s="8" t="str">
        <x:v>Icellare</x:v>
      </x:c>
      <x:c r="C606" s="8" t="str">
        <x:v>ภูเก็ต</x:v>
      </x:c>
      <x:c r="D606" s="8" t="str">
        <x:v>พัฒนาเพื่อพร้อมขาย</x:v>
      </x:c>
      <x:c r="E606" s="8" t="str">
        <x:v>สถานประกอบการเพื่อสุขภาพและเวลเนส</x:v>
      </x:c>
      <x:c r="F606" s="11" t="n">
        <x:v>46315</x:v>
      </x:c>
      <x:c r="G606" s="2" t="str">
        <x:v>GMHI-52</x:v>
      </x:c>
    </x:row>
    <x:row r="607" ht="32" customHeight="1">
      <x:c r="A607" s="9" t="n">
        <x:v>599</x:v>
      </x:c>
      <x:c r="B607" s="8" t="str">
        <x:v>Amman Unique Hotel</x:v>
      </x:c>
      <x:c r="C607" s="8" t="str">
        <x:v>อุดรธานี</x:v>
      </x:c>
      <x:c r="D607" s="8" t="str">
        <x:v>พร้อมขาย</x:v>
      </x:c>
      <x:c r="E607" s="8" t="str">
        <x:v>ที่พัก</x:v>
      </x:c>
      <x:c r="F607" s="11" t="n">
        <x:v>46315</x:v>
      </x:c>
      <x:c r="G607" s="2" t="str">
        <x:v>GMHI-36</x:v>
      </x:c>
    </x:row>
    <x:row r="608" ht="32" customHeight="1">
      <x:c r="A608" s="9" t="n">
        <x:v>600</x:v>
      </x:c>
      <x:c r="B608" s="8" t="str">
        <x:v>DEWAN BANGKOK</x:v>
      </x:c>
      <x:c r="C608" s="8" t="str">
        <x:v>กรุงเทพมหานคร</x:v>
      </x:c>
      <x:c r="D608" s="8" t="str">
        <x:v>พัฒนาเพื่อพร้อมขาย</x:v>
      </x:c>
      <x:c r="E608" s="8" t="str">
        <x:v>ที่พัก</x:v>
      </x:c>
      <x:c r="F608" s="11" t="n">
        <x:v>46315</x:v>
      </x:c>
      <x:c r="G608" s="2" t="str">
        <x:v>GMHI-29</x:v>
      </x:c>
    </x:row>
  </x:sheetData>
  <x:conditionalFormatting sqref="D9:D608">
    <x:cfRule type="containsText" dxfId="0" priority="1" operator="containsText" text="พร้อมขาย"/>
    <x:cfRule type="expression" dxfId="1" priority="2">
      <x:formula>$D9="พร้อมขาย"</x:formula>
    </x:cfRule>
    <x:cfRule type="expression" dxfId="2" priority="3">
      <x:formula>$D9="พัฒนาเพื่อพร้อมขาย"</x:formula>
    </x:cfRule>
    <x:cfRule type="expression" dxfId="3" priority="4">
      <x:formula>$D9="มีศักยภาพ แต่ต้องพัฒนามาตรฐาน"</x:formula>
    </x:cfRule>
  </x:conditionalFormatting>
  <x:dataValidations count="1">
    <x:dataValidation type="list" sqref="D9:D608">
      <x:formula1>"พร้อมขาย,พัฒนาเพื่อพร้อมขาย,มีศักยภาพ แต่ต้องพัฒนามาตรฐาน"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942c31a9164a3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8" hidden="0" customWidth="1"/>
    <x:col min="2" max="2" width="50" hidden="0" customWidth="1"/>
    <x:col min="3" max="3" width="24" hidden="0" customWidth="1"/>
    <x:col min="4" max="4" width="29" hidden="0" customWidth="1"/>
    <x:col min="5" max="5" width="67" hidden="0" customWidth="1"/>
    <x:col min="6" max="6" width="31" hidden="0" customWidth="1"/>
    <x:col min="7" max="7" width="65" hidden="0" customWidth="1"/>
    <x:col min="8" max="8" width="84" hidden="0" customWidth="1"/>
    <x:col min="9" max="9" width="75" hidden="0" customWidth="1"/>
    <x:col min="10" max="10" width="22" hidden="0" customWidth="1"/>
    <x:col min="11" max="11" width="28" hidden="0" customWidth="1"/>
    <x:col min="12" max="12" width="28" hidden="0" customWidth="1"/>
    <x:col min="13" max="13" width="65" hidden="0" customWidth="1"/>
    <x:col min="14" max="14" width="19" hidden="0" customWidth="1"/>
    <x:col min="15" max="15" width="26" hidden="0" customWidth="1"/>
    <x:col min="16" max="16" width="2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2"/>
      <x:c r="B2" s="3" t="str">
        <x:v>หลักฐานรายแหล่งและการตรวจทานโดยผู้เชี่ยวชาญ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>
      <x:c r="A4" s="2"/>
      <x:c r="B4" s="5" t="str">
        <x:v>อัพเดตวันที่ = วันที่ปรับปรุงรายการวิจัย ไม่ใช่วันรับรองฮาลาลหรือวันติดต่อสถานที่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>
      <x:c r="A5" s="2"/>
      <x:c r="B5" s="19" t="str">
        <x:v>พร้อมขายเป็นข้อเสนอ ต้องยืนยันเงื่อนไขบังคับและคะแนนอย่างน้อย 70/100 ตามรายงาน 1.2 ก่อนยืนยันผล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>
      <x:c r="A6" s="2"/>
      <x:c r="B6" s="19" t="str">
        <x:v>มัสยิดจัดอยู่ในประเภทแหล่งท่องเที่ยวทางประวัติศาสตร์และวัฒนธรรม; Makan Verify ไม่ใช่ใบรับรองจาก กอท.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 ht="34" customHeight="1">
      <x:c r="A8" s="16" t="str">
        <x:v>ลำดับ</x:v>
      </x:c>
      <x:c r="B8" s="17" t="str">
        <x:v>ชื่อแหล่ง</x:v>
      </x:c>
      <x:c r="C8" s="17" t="str">
        <x:v>จังหวัด</x:v>
      </x:c>
      <x:c r="D8" s="17" t="str">
        <x:v>ลักษณะย่อย</x:v>
      </x:c>
      <x:c r="E8" s="17" t="str">
        <x:v>ข้อมูลที่พบจากแหล่งอ้างอิง</x:v>
      </x:c>
      <x:c r="F8" s="17" t="str">
        <x:v>ข้อมูลห้องละหมาด</x:v>
      </x:c>
      <x:c r="G8" s="17" t="str">
        <x:v>หลักฐานฮาลาลที่พบ</x:v>
      </x:c>
      <x:c r="H8" s="17" t="str">
        <x:v>ประเด็นที่ต้องตรวจสอบ</x:v>
      </x:c>
      <x:c r="I8" s="17" t="str">
        <x:v>ที่อยู่ตามแหล่งข้อมูล</x:v>
      </x:c>
      <x:c r="J8" s="17" t="str">
        <x:v>โทรศัพท์ตามแหล่งข้อมูล</x:v>
      </x:c>
      <x:c r="K8" s="17" t="str">
        <x:v>แหล่งข้อมูล 1</x:v>
      </x:c>
      <x:c r="L8" s="17" t="str">
        <x:v>แหล่งข้อมูล 2</x:v>
      </x:c>
      <x:c r="M8" s="17" t="str">
        <x:v>ข้อมูลประกอบเพิ่มเติม</x:v>
      </x:c>
      <x:c r="N8" s="17" t="str">
        <x:v>อัพเดตวันที่</x:v>
      </x:c>
      <x:c r="O8" s="17" t="str">
        <x:v>ผลตรวจของผู้เชี่ยวชาญ</x:v>
      </x:c>
      <x:c r="P8" s="18" t="str">
        <x:v>ผลติดต่อสถานที่</x:v>
      </x:c>
    </x:row>
    <x:row r="9" ht="66" customHeight="1">
      <x:c r="A9" s="9" t="n">
        <x:v>1</x:v>
      </x:c>
      <x:c r="B9" s="20" t="str">
        <x:v>บ้านหนาวดาวเดือนรีสอร์ท</x:v>
      </x:c>
      <x:c r="C9" s="20" t="str">
        <x:v>เชียงราย</x:v>
      </x:c>
      <x:c r="D9" s="20" t="str">
        <x:v>โรงแรมหรือรีสอร์ท</x:v>
      </x:c>
      <x:c r="E9" s="20" t="str">
        <x:v>Makan Verify; ระบุมีห้องละหมาด</x:v>
      </x:c>
      <x:c r="F9" s="20" t="str">
        <x:v>แหล่งข้อมูลระบุว่ามี</x:v>
      </x:c>
      <x:c r="G9" s="20" t="str">
        <x:v>ยังไม่พบเอกสารรับรองและวันหมดอายุ</x:v>
      </x:c>
      <x:c r="H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" s="20" t="str">
        <x:v>86 ม 5 ซอย 13 ต เวียงพา งคำ แม่สาย, เชียงราย 57130</x:v>
      </x:c>
      <x:c r="J9" s="21" t="str">
        <x:v>0873038359</x:v>
      </x:c>
      <x:c r="K9" s="23" t="e">
        <x:f>HYPERLINK("https://makanhalalguide.com/shop/detail/5378","เปิดแหล่งข้อมูล 1")</x:f>
        <x:v>HYPERLINK is not implemented. linkLocation=https://makanhalalguide.com/shop/detail/5378, friendlyName=เปิดแหล่งข้อมูล 1</x:v>
      </x:c>
      <x:c r="L9" s="23" t="e">
        <x:f>HYPERLINK("https://www.booking.com/hotel/th/baanhnaawdaaweduue-nriis-rth.html?dist=0&amp;keep_landing=1&amp;sb_price_type=total&amp;type=total","เปิดแหล่งข้อมูล 2")</x:f>
        <x:v>HYPERLINK is not implemented. linkLocation=https://www.booking.com/hotel/th/baanhnaawdaaweduue-nriis-rth.html?dist=0&amp;keep_landing=1&amp;sb_price_type=total&amp;type=total, friendlyName=เปิดแหล่งข้อมูล 2</x:v>
      </x:c>
      <x:c r="M9" s="20" t="str">
        <x:v>ผลค้นหาชื่อสัมพันธ์จากแหล่งเพิ่มเติม ต้องยืนยันสาขาและข้อมูลปัจจุบัน</x:v>
      </x:c>
      <x:c r="N9" s="10" t="n">
        <x:v>46315</x:v>
      </x:c>
      <x:c r="O9" s="22" t="str">
        <x:v>ยังไม่ตรวจ</x:v>
      </x:c>
      <x:c r="P9" s="22" t="str">
        <x:v>ยังไม่ติดต่อ</x:v>
      </x:c>
    </x:row>
    <x:row r="10" ht="66" customHeight="1">
      <x:c r="A10" s="9" t="n">
        <x:v>2</x:v>
      </x:c>
      <x:c r="B10" s="20" t="str">
        <x:v>Sareeneen food &amp; Sweet</x:v>
      </x:c>
      <x:c r="C10" s="20" t="str">
        <x:v>เชียงราย</x:v>
      </x:c>
      <x:c r="D10" s="20" t="str">
        <x:v>ร้านอาหาร</x:v>
      </x:c>
      <x:c r="E10" s="20" t="str">
        <x:v>มีรายชื่อใน Makan Halal Guide; ระบุมีห้องละหมาด</x:v>
      </x:c>
      <x:c r="F10" s="20" t="str">
        <x:v>แหล่งข้อมูลระบุว่ามี</x:v>
      </x:c>
      <x:c r="G10" s="20" t="str">
        <x:v>ยังไม่พบเอกสารรับรองและวันหมดอายุ</x:v>
      </x:c>
      <x:c r="H1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" s="20" t="str">
        <x:v>ตรงข้ามขนส่งเก่า ถนนประสพสุข ตำบลเวียง อำเภอเมืองเชียงราย จังหวัดเชียงราย 57000</x:v>
      </x:c>
      <x:c r="J10" s="21" t="str">
        <x:v>0805136368</x:v>
      </x:c>
      <x:c r="K10" s="23" t="e">
        <x:f>HYPERLINK("https://makanhalalguide.com/shop/detail/706","เปิดแหล่งข้อมูล 1")</x:f>
        <x:v>HYPERLINK is not implemented. linkLocation=https://makanhalalguide.com/shop/detail/706, friendlyName=เปิดแหล่งข้อมูล 1</x:v>
      </x:c>
      <x:c r="L10" s="23" t="e">
        <x:f>HYPERLINK("https://www.tripadvisor.com/Restaurant_Review-g297920-d14087267-Reviews-Sareeneen_Food_Sweet-Chiang_Rai_Chiang_Rai_Province.html","เปิดแหล่งข้อมูล 2")</x:f>
        <x:v>HYPERLINK is not implemented. linkLocation=https://www.tripadvisor.com/Restaurant_Review-g297920-d14087267-Reviews-Sareeneen_Food_Sweet-Chiang_Rai_Chiang_Rai_Province.html, friendlyName=เปิดแหล่งข้อมูล 2</x:v>
      </x:c>
      <x:c r="M10" s="20" t="str">
        <x:v>ผลค้นหาชื่อสัมพันธ์จากแหล่งเพิ่มเติม ต้องยืนยันสาขาและข้อมูลปัจจุบัน</x:v>
      </x:c>
      <x:c r="N10" s="10" t="n">
        <x:v>46315</x:v>
      </x:c>
      <x:c r="O10" s="22" t="str">
        <x:v>ยังไม่ตรวจ</x:v>
      </x:c>
      <x:c r="P10" s="22" t="str">
        <x:v>ยังไม่ติดต่อ</x:v>
      </x:c>
    </x:row>
    <x:row r="11" ht="66" customHeight="1">
      <x:c r="A11" s="9" t="n">
        <x:v>3</x:v>
      </x:c>
      <x:c r="B11" s="20" t="str">
        <x:v>นอร์ธผาฮี้</x:v>
      </x:c>
      <x:c r="C11" s="20" t="str">
        <x:v>เชียงราย</x:v>
      </x:c>
      <x:c r="D11" s="20" t="str">
        <x:v>ที่พัก (ตรวจประเภทจากชื่อและข้อมูลประกอบ)</x:v>
      </x:c>
      <x:c r="E11" s="20" t="str">
        <x:v>Makan Verify; ระบุมีห้องละหมาด</x:v>
      </x:c>
      <x:c r="F11" s="20" t="str">
        <x:v>แหล่งข้อมูลระบุว่ามี</x:v>
      </x:c>
      <x:c r="G11" s="20" t="str">
        <x:v>ยังไม่พบเอกสารรับรองและวันหมดอายุ</x:v>
      </x:c>
      <x:c r="H11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11" s="20" t="str">
        <x:v>บ้านผาฮี้ 55 หมู่10 อำเภอแม่สาย เชียงราย 57130</x:v>
      </x:c>
      <x:c r="J11" s="21" t="str">
        <x:v>0637604761</x:v>
      </x:c>
      <x:c r="K11" s="23" t="e">
        <x:f>HYPERLINK("https://makanhalalguide.com/shop/detail/5380","เปิดแหล่งข้อมูล 1")</x:f>
        <x:v>HYPERLINK is not implemented. linkLocation=https://makanhalalguide.com/shop/detail/5380, friendlyName=เปิดแหล่งข้อมูล 1</x:v>
      </x:c>
      <x:c r="L11" s="23" t="e">
        <x:f>HYPERLINK("https://www.lemon8-app.com/%401998_nsr/7392912828019016193?region=th","เปิดแหล่งข้อมูล 2")</x:f>
        <x:v>HYPERLINK is not implemented. linkLocation=https://www.lemon8-app.com/%401998_nsr/7392912828019016193?region=th, friendlyName=เปิดแหล่งข้อมูล 2</x:v>
      </x:c>
      <x:c r="M11" s="20" t="str">
        <x:v>ผลค้นหาชื่อสัมพันธ์จากแหล่งเพิ่มเติม ต้องยืนยันสาขาและข้อมูลปัจจุบัน</x:v>
      </x:c>
      <x:c r="N11" s="10" t="n">
        <x:v>46315</x:v>
      </x:c>
      <x:c r="O11" s="22" t="str">
        <x:v>ยังไม่ตรวจ</x:v>
      </x:c>
      <x:c r="P11" s="22" t="str">
        <x:v>ยังไม่ติดต่อ</x:v>
      </x:c>
    </x:row>
    <x:row r="12" ht="66" customHeight="1">
      <x:c r="A12" s="9" t="n">
        <x:v>4</x:v>
      </x:c>
      <x:c r="B12" s="20" t="str">
        <x:v>อาหาร ซากีน่า อาหารเหนือ+อิสลาม</x:v>
      </x:c>
      <x:c r="C12" s="20" t="str">
        <x:v>เชียงราย</x:v>
      </x:c>
      <x:c r="D12" s="20" t="str">
        <x:v>ร้านอาหาร</x:v>
      </x:c>
      <x:c r="E12" s="20" t="str">
        <x:v>มีรายชื่อใน Makan Halal Guide; ระบุมีห้องละหมาด</x:v>
      </x:c>
      <x:c r="F12" s="20" t="str">
        <x:v>แหล่งข้อมูลระบุว่ามี</x:v>
      </x:c>
      <x:c r="G12" s="20" t="str">
        <x:v>ยังไม่พบเอกสารรับรองและวันหมดอายุ</x:v>
      </x:c>
      <x:c r="H1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" s="20" t="str">
        <x:v>ถนนพหลโยธิน (ปากทางเข้าวัดร่องเสือเต้น) ตำบลบ้านดู่ อำเภอเมืองเชียงราย จังหวัดเชียงราย 57100</x:v>
      </x:c>
      <x:c r="J12" s="21" t="str">
        <x:v>0819937311</x:v>
      </x:c>
      <x:c r="K12" s="23" t="e">
        <x:f>HYPERLINK("https://makanhalalguide.com/shop/detail/789","เปิดแหล่งข้อมูล 1")</x:f>
        <x:v>HYPERLINK is not implemented. linkLocation=https://makanhalalguide.com/shop/detail/789, friendlyName=เปิดแหล่งข้อมูล 1</x:v>
      </x:c>
      <x:c r="L12" s="23" t="e">
        <x:f>HYPERLINK("https://12781456633969640052.googlegroups.com/attach/79e53a13222de133/List%20of%20Halal%20Restaurants%20and%20Hotels%20in%20Thailand%201%5B1%5D.pdf?part=0.1&amp;vt=ANaJVrEMfzPOF22L_HrDovyCPHcg4sDQCYrHXKOD24KMBzyqVt2nRz0bjoEqazHr8U8cQn50yd6Fczg773gxTXLGP4D6UZa7-pGau35icgrnU74_OEB2YeU","เปิดแหล่งข้อมูล 2")</x:f>
        <x:v>HYPERLINK is not implemented. linkLocation=https://12781456633969640052.googlegroups.com/attach/79e53a13222de133/List%20of%20Halal%20Restaurants%20and%20Hotels%20in%20Thailand%201%5B1%5D.pdf?part=0.1&amp;vt=ANaJVrEMfzPOF22L_HrDovyCPHcg4sDQCYrHXKOD24KMBzyqVt2nRz0bjoEqazHr8U8cQn50yd6Fczg773gxTXLGP4D6UZa7-pGau35icgrnU74_OEB2YeU, friendlyName=เปิดแหล่งข้อมูล 2</x:v>
      </x:c>
      <x:c r="M12" s="20" t="str">
        <x:v>ผลค้นหาชื่อสัมพันธ์จากแหล่งเพิ่มเติม ต้องยืนยันสาขาและข้อมูลปัจจุบัน</x:v>
      </x:c>
      <x:c r="N12" s="10" t="n">
        <x:v>46315</x:v>
      </x:c>
      <x:c r="O12" s="22" t="str">
        <x:v>ยังไม่ตรวจ</x:v>
      </x:c>
      <x:c r="P12" s="22" t="str">
        <x:v>ยังไม่ติดต่อ</x:v>
      </x:c>
    </x:row>
    <x:row r="13" ht="66" customHeight="1">
      <x:c r="A13" s="9" t="n">
        <x:v>5</x:v>
      </x:c>
      <x:c r="B13" s="20" t="str">
        <x:v>ก๋วยเตี๋ยวผักหวาน อยุธยา</x:v>
      </x:c>
      <x:c r="C13" s="20" t="str">
        <x:v>พระนครศรีอยุธยา</x:v>
      </x:c>
      <x:c r="D13" s="20" t="str">
        <x:v>ร้านอาหาร</x:v>
      </x:c>
      <x:c r="E13" s="20" t="str">
        <x:v>มีรายชื่อใน Makan Halal Guide; ระบุมีห้องละหมาด</x:v>
      </x:c>
      <x:c r="F13" s="20" t="str">
        <x:v>แหล่งข้อมูลระบุว่ามี</x:v>
      </x:c>
      <x:c r="G13" s="20" t="str">
        <x:v>ยังไม่พบเอกสารรับรองและวันหมดอายุ</x:v>
      </x:c>
      <x:c r="H1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" s="20" t="str">
        <x:v>หน้าวัดสุวรรณดารารามฯ ซอย4 ตำบลหอรัตนไชย อำเภอ พระนครศรีอยุธยา จังหวัดพระนครศรีอยุธยา 13000</x:v>
      </x:c>
      <x:c r="J13" s="21" t="str">
        <x:v>0895399427</x:v>
      </x:c>
      <x:c r="K13" s="23" t="e">
        <x:f>HYPERLINK("https://makanhalalguide.com/shop/detail/1286","เปิดแหล่งข้อมูล 1")</x:f>
        <x:v>HYPERLINK is not implemented. linkLocation=https://makanhalalguide.com/shop/detail/1286, friendlyName=เปิดแหล่งข้อมูล 1</x:v>
      </x:c>
      <x:c r="L13" s="23" t="e">
        <x:f>HYPERLINK("https://www.wongnai.com/restaurants/8993sS-%E0%B8%81%E0%B9%8B%E0%B8%A7%E0%B8%A2%E0%B9%80%E0%B8%95%E0%B8%B5%E0%B9%8B%E0%B8%A2%E0%B8%A7%E0%B8%9C%E0%B8%B1%E0%B8%81%E0%B8%AB%E0%B8%A7%E0%B8%B2%E0%B8%99%E0%B8%AD%E0%B8%A2%E0%B8%B8%E0%B8%98%E0%B8%A2%E0%B8%B2/reviews","เปิดแหล่งข้อมูล 2")</x:f>
        <x:v>HYPERLINK is not implemented. linkLocation=https://www.wongnai.com/restaurants/8993sS-%E0%B8%81%E0%B9%8B%E0%B8%A7%E0%B8%A2%E0%B9%80%E0%B8%95%E0%B8%B5%E0%B9%8B%E0%B8%A2%E0%B8%A7%E0%B8%9C%E0%B8%B1%E0%B8%81%E0%B8%AB%E0%B8%A7%E0%B8%B2%E0%B8%99%E0%B8%AD%E0%B8%A2%E0%B8%B8%E0%B8%98%E0%B8%A2%E0%B8%B2/reviews, friendlyName=เปิดแหล่งข้อมูล 2</x:v>
      </x:c>
      <x:c r="M13" s="20" t="str">
        <x:v>ผลค้นหาชื่อสัมพันธ์จากแหล่งเพิ่มเติม ต้องยืนยันสาขาและข้อมูลปัจจุบัน</x:v>
      </x:c>
      <x:c r="N13" s="10" t="n">
        <x:v>46315</x:v>
      </x:c>
      <x:c r="O13" s="22" t="str">
        <x:v>ยังไม่ตรวจ</x:v>
      </x:c>
      <x:c r="P13" s="22" t="str">
        <x:v>ยังไม่ติดต่อ</x:v>
      </x:c>
    </x:row>
    <x:row r="14" ht="66" customHeight="1">
      <x:c r="A14" s="9" t="n">
        <x:v>6</x:v>
      </x:c>
      <x:c r="B14" s="20" t="str">
        <x:v>ก๋วยเตี๋ยวเป็ดดาหวัน ปัญรีดา 786</x:v>
      </x:c>
      <x:c r="C14" s="20" t="str">
        <x:v>พระนครศรีอยุธยา</x:v>
      </x:c>
      <x:c r="D14" s="20" t="str">
        <x:v>ร้านอาหาร</x:v>
      </x:c>
      <x:c r="E14" s="20" t="str">
        <x:v>Makan Verify; ระบุมีห้องละหมาด</x:v>
      </x:c>
      <x:c r="F14" s="20" t="str">
        <x:v>แหล่งข้อมูลระบุว่ามี</x:v>
      </x:c>
      <x:c r="G14" s="20" t="str">
        <x:v>ยังไม่พบเอกสารรับรองและวันหมดอายุ</x:v>
      </x:c>
      <x:c r="H1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" s="20" t="str">
        <x:v>25หมู่5 ตำบลคลองตะเคียน อำเภอพระนครศรีอยุธยา จังหวัดพระนครศรีอยุธยา 13000 </x:v>
      </x:c>
      <x:c r="J14" s="21" t="str">
        <x:v>0617027786</x:v>
      </x:c>
      <x:c r="K14" s="23" t="e">
        <x:f>HYPERLINK("https://makanhalalguide.com/shop/detail/5483","เปิดแหล่งข้อมูล 1")</x:f>
        <x:v>HYPERLINK is not implemented. linkLocation=https://makanhalalguide.com/shop/detail/5483, friendlyName=เปิดแหล่งข้อมูล 1</x:v>
      </x:c>
      <x:c r="L14" s="23" t="str"/>
      <x:c r="M14" s="20" t="str"/>
      <x:c r="N14" s="10" t="n">
        <x:v>46315</x:v>
      </x:c>
      <x:c r="O14" s="22" t="str">
        <x:v>ยังไม่ตรวจ</x:v>
      </x:c>
      <x:c r="P14" s="22" t="str">
        <x:v>ยังไม่ติดต่อ</x:v>
      </x:c>
    </x:row>
    <x:row r="15" ht="66" customHeight="1">
      <x:c r="A15" s="9" t="n">
        <x:v>7</x:v>
      </x:c>
      <x:c r="B15" s="20" t="str">
        <x:v>ครัวมุสลิมกรุงเก่า</x:v>
      </x:c>
      <x:c r="C15" s="20" t="str">
        <x:v>พระนครศรีอยุธยา</x:v>
      </x:c>
      <x:c r="D15" s="20" t="str">
        <x:v>ร้านอาหาร</x:v>
      </x:c>
      <x:c r="E15" s="20" t="str">
        <x:v>Makan Verify; ระบุมีห้องละหมาด</x:v>
      </x:c>
      <x:c r="F15" s="20" t="str">
        <x:v>แหล่งข้อมูลระบุว่ามี</x:v>
      </x:c>
      <x:c r="G15" s="20" t="str">
        <x:v>ยังไม่พบเอกสารรับรองและวันหมดอายุ</x:v>
      </x:c>
      <x:c r="H1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" s="20" t="str">
        <x:v>33/5 ตำบลบ้านป้อม อำเภอพระนครศรีอยุธยา จังหวัดพระนครศรีอยุธยา 13000</x:v>
      </x:c>
      <x:c r="J15" s="21" t="str">
        <x:v>0819477753</x:v>
      </x:c>
      <x:c r="K15" s="23" t="e">
        <x:f>HYPERLINK("https://makanhalalguide.com/shop/detail/5287","เปิดแหล่งข้อมูล 1")</x:f>
        <x:v>HYPERLINK is not implemented. linkLocation=https://makanhalalguide.com/shop/detail/5287, friendlyName=เปิดแหล่งข้อมูล 1</x:v>
      </x:c>
      <x:c r="L15" s="23" t="e">
        <x:f>HYPERLINK("https://www.wongnai.com/restaurants/188522BB-%E0%B8%84%E0%B8%A3%E0%B8%B1%E0%B8%A7%E0%B8%A1%E0%B8%B8%E0%B8%AA%E0%B8%A5%E0%B8%B4%E0%B8%A1%E0%B8%81%E0%B8%A3%E0%B8%B8%E0%B8%87%E0%B9%80%E0%B8%81%E0%B9%88%E0%B8%B2","เปิดแหล่งข้อมูล 2")</x:f>
        <x:v>HYPERLINK is not implemented. linkLocation=https://www.wongnai.com/restaurants/188522BB-%E0%B8%84%E0%B8%A3%E0%B8%B1%E0%B8%A7%E0%B8%A1%E0%B8%B8%E0%B8%AA%E0%B8%A5%E0%B8%B4%E0%B8%A1%E0%B8%81%E0%B8%A3%E0%B8%B8%E0%B8%87%E0%B9%80%E0%B8%81%E0%B9%88%E0%B8%B2, friendlyName=เปิดแหล่งข้อมูล 2</x:v>
      </x:c>
      <x:c r="M15" s="20" t="str">
        <x:v>ผลค้นหาชื่อสัมพันธ์จากแหล่งเพิ่มเติม ต้องยืนยันสาขาและข้อมูลปัจจุบัน</x:v>
      </x:c>
      <x:c r="N15" s="10" t="n">
        <x:v>46315</x:v>
      </x:c>
      <x:c r="O15" s="22" t="str">
        <x:v>ยังไม่ตรวจ</x:v>
      </x:c>
      <x:c r="P15" s="22" t="str">
        <x:v>ยังไม่ติดต่อ</x:v>
      </x:c>
    </x:row>
    <x:row r="16" ht="66" customHeight="1">
      <x:c r="A16" s="9" t="n">
        <x:v>8</x:v>
      </x:c>
      <x:c r="B16" s="20" t="str">
        <x:v>บะละดี้ ขนมปังโฮมเมด Bread &amp; Bakery</x:v>
      </x:c>
      <x:c r="C16" s="20" t="str">
        <x:v>พระนครศรีอยุธยา</x:v>
      </x:c>
      <x:c r="D16" s="20" t="str">
        <x:v>คาเฟ่และร้านของหวาน</x:v>
      </x:c>
      <x:c r="E16" s="20" t="str">
        <x:v>มีรายชื่อใน Makan Halal Guide; ระบุมีห้องละหมาด</x:v>
      </x:c>
      <x:c r="F16" s="20" t="str">
        <x:v>แหล่งข้อมูลระบุว่ามี</x:v>
      </x:c>
      <x:c r="G16" s="20" t="str">
        <x:v>ยังไม่พบเอกสารรับรองและวันหมดอายุ</x:v>
      </x:c>
      <x:c r="H1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" s="20" t="str">
        <x:v>ตำบล ลุมพลี อำเภอ พระนครศรีอยุธยา จังหวัดพระนครศรีอยุธยา 13000</x:v>
      </x:c>
      <x:c r="J16" s="21" t="str">
        <x:v>0628921419</x:v>
      </x:c>
      <x:c r="K16" s="23" t="e">
        <x:f>HYPERLINK("https://makanhalalguide.com/shop/detail/6264","เปิดแหล่งข้อมูล 1")</x:f>
        <x:v>HYPERLINK is not implemented. linkLocation=https://makanhalalguide.com/shop/detail/6264, friendlyName=เปิดแหล่งข้อมูล 1</x:v>
      </x:c>
      <x:c r="L16" s="23" t="e">
        <x:f>HYPERLINK("https://happynew.day/vendor/ranbaladi-khanompanghommet-bread-bakery","เปิดแหล่งข้อมูล 2")</x:f>
        <x:v>HYPERLINK is not implemented. linkLocation=https://happynew.day/vendor/ranbaladi-khanompanghommet-bread-bakery, friendlyName=เปิดแหล่งข้อมูล 2</x:v>
      </x:c>
      <x:c r="M16" s="20" t="str">
        <x:v>ผลค้นหาชื่อสัมพันธ์จากแหล่งเพิ่มเติม ต้องยืนยันสาขาและข้อมูลปัจจุบัน</x:v>
      </x:c>
      <x:c r="N16" s="10" t="n">
        <x:v>46315</x:v>
      </x:c>
      <x:c r="O16" s="22" t="str">
        <x:v>ยังไม่ตรวจ</x:v>
      </x:c>
      <x:c r="P16" s="22" t="str">
        <x:v>ยังไม่ติดต่อ</x:v>
      </x:c>
    </x:row>
    <x:row r="17" ht="66" customHeight="1">
      <x:c r="A17" s="9" t="n">
        <x:v>9</x:v>
      </x:c>
      <x:c r="B17" s="20" t="str">
        <x:v>วนิดา ฮาลาลฟู้ด</x:v>
      </x:c>
      <x:c r="C17" s="20" t="str">
        <x:v>พระนครศรีอยุธยา</x:v>
      </x:c>
      <x:c r="D17" s="20" t="str">
        <x:v>ร้านอาหาร</x:v>
      </x:c>
      <x:c r="E17" s="20" t="str">
        <x:v>เว็บไซต์จังหวัดระบุร้านอาหารฮาลาลและมีห้องละหมาด ต้องขอใบรับรองที่ยังไม่หมดอายุและยืนยันสถานะปัจจุบัน</x:v>
      </x:c>
      <x:c r="F17" s="20" t="str">
        <x:v>แหล่งข้อมูลระบุว่ามี</x:v>
      </x:c>
      <x:c r="G17" s="20" t="str">
        <x:v>ยังไม่พบเอกสารรับรองและวันหมดอายุ</x:v>
      </x:c>
      <x:c r="H1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" s="20" t="str">
        <x:v>ดูรายละเอียดในแหล่งอ้างอิง</x:v>
      </x:c>
      <x:c r="J17" s="21" t="str">
        <x:v>ยังไม่พบข้อมูล</x:v>
      </x:c>
      <x:c r="K17" s="23" t="e">
        <x:f>HYPERLINK("https://go.ayutthaya.go.th/restaurants/wanida-halal-food/","เปิดแหล่งข้อมูล 1")</x:f>
        <x:v>HYPERLINK is not implemented. linkLocation=https://go.ayutthaya.go.th/restaurants/wanida-halal-food/, friendlyName=เปิดแหล่งข้อมูล 1</x:v>
      </x:c>
      <x:c r="L17" s="23" t="e">
        <x:f>HYPERLINK("https://thi.worldorgs.com/%E0%B9%81%E0%B8%84%E0%B8%95%E0%B8%95%E0%B8%B2%E0%B8%A5%E0%B9%87%E0%B8%AD%E0%B8%81/%E0%B8%AD%E0%B8%B3%E0%B9%80%E0%B8%A0%E0%B8%AD-%E0%B8%9E%E0%B8%A3%E0%B8%B0%E0%B8%99%E0%B8%84%E0%B8%A3%E0%B8%A8%E0%B8%A3%E0%B8%B5%E0%B8%AD%E0%B8%A2%E0%B8%B8%E0%B8%98%E0%B8%A2%E0%B8%B2/%E0%B8%A3%E0%B9%89%E0%B8%B2%E0%B8%99%E0%B8%84%E0%B9%89%E0%B8%B2/%E0%B8%84%E0%B8%A3%E0%B8%B1%E0%B8%A7%E0%B8%A7%E0%B8%99%E0%B8%B4%E0%B8%94%E0%B8%B2-%E0%B8%AE%E0%B8%B2%E0%B8%A5%E0%B8%B2%E0%B8%A5%E0%B8%9F%E0%B8%B9%E0%B9%89%E0%B8%94","เปิดแหล่งข้อมูล 2")</x:f>
        <x:v>HYPERLINK is not implemented. linkLocation=https://thi.worldorgs.com/%E0%B9%81%E0%B8%84%E0%B8%95%E0%B8%95%E0%B8%B2%E0%B8%A5%E0%B9%87%E0%B8%AD%E0%B8%81/%E0%B8%AD%E0%B8%B3%E0%B9%80%E0%B8%A0%E0%B8%AD-%E0%B8%9E%E0%B8%A3%E0%B8%B0%E0%B8%99%E0%B8%84%E0%B8%A3%E0%B8%A8%E0%B8%A3%E0%B8%B5%E0%B8%AD%E0%B8%A2%E0%B8%B8%E0%B8%98%E0%B8%A2%E0%B8%B2/%E0%B8%A3%E0%B9%89%E0%B8%B2%E0%B8%99%E0%B8%84%E0%B9%89%E0%B8%B2/%E0%B8%84%E0%B8%A3%E0%B8%B1%E0%B8%A7%E0%B8%A7%E0%B8%99%E0%B8%B4%E0%B8%94%E0%B8%B2-%E0%B8%AE%E0%B8%B2%E0%B8%A5%E0%B8%B2%E0%B8%A5%E0%B8%9F%E0%B8%B9%E0%B9%89%E0%B8%94, friendlyName=เปิดแหล่งข้อมูล 2</x:v>
      </x:c>
      <x:c r="M17" s="20" t="str">
        <x:v>ผลค้นหาชื่อสัมพันธ์จากแหล่งเพิ่มเติม ต้องยืนยันสาขาและข้อมูลปัจจุบัน</x:v>
      </x:c>
      <x:c r="N17" s="10" t="n">
        <x:v>46315</x:v>
      </x:c>
      <x:c r="O17" s="22" t="str">
        <x:v>ยังไม่ตรวจ</x:v>
      </x:c>
      <x:c r="P17" s="22" t="str">
        <x:v>ยังไม่ติดต่อ</x:v>
      </x:c>
    </x:row>
    <x:row r="18" ht="66" customHeight="1">
      <x:c r="A18" s="9" t="n">
        <x:v>10</x:v>
      </x:c>
      <x:c r="B18" s="20" t="str">
        <x:v>สเต็กรอมะฮ์ กระเพราแซ่บ ผัดเผ็ดปลาแม่น้ำ</x:v>
      </x:c>
      <x:c r="C18" s="20" t="str">
        <x:v>พระนครศรีอยุธยา</x:v>
      </x:c>
      <x:c r="D18" s="20" t="str">
        <x:v>ร้านอาหาร</x:v>
      </x:c>
      <x:c r="E18" s="20" t="str">
        <x:v>มีรายชื่อใน Makan Halal Guide; ระบุมีห้องละหมาด</x:v>
      </x:c>
      <x:c r="F18" s="20" t="str">
        <x:v>แหล่งข้อมูลระบุว่ามี</x:v>
      </x:c>
      <x:c r="G18" s="20" t="str">
        <x:v>ยังไม่พบเอกสารรับรองและวันหมดอายุ</x:v>
      </x:c>
      <x:c r="H1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" s="20" t="str">
        <x:v>หมู่บ้านมุสลิม หมู่ 7 100/5 ต.สำเภาล่ม อำเภอ พระนครศรีอยุธยา จังหวัดพระนครศรีอยุธยา 13000</x:v>
      </x:c>
      <x:c r="J18" s="21" t="str">
        <x:v>0819328691</x:v>
      </x:c>
      <x:c r="K18" s="23" t="e">
        <x:f>HYPERLINK("https://makanhalalguide.com/shop/detail/5835","เปิดแหล่งข้อมูล 1")</x:f>
        <x:v>HYPERLINK is not implemented. linkLocation=https://makanhalalguide.com/shop/detail/5835, friendlyName=เปิดแหล่งข้อมูล 1</x:v>
      </x:c>
      <x:c r="L18" s="23" t="str"/>
      <x:c r="M18" s="20" t="str"/>
      <x:c r="N18" s="10" t="n">
        <x:v>46315</x:v>
      </x:c>
      <x:c r="O18" s="22" t="str">
        <x:v>ยังไม่ตรวจ</x:v>
      </x:c>
      <x:c r="P18" s="22" t="str">
        <x:v>ยังไม่ติดต่อ</x:v>
      </x:c>
    </x:row>
    <x:row r="19" ht="66" customHeight="1">
      <x:c r="A19" s="9" t="n">
        <x:v>11</x:v>
      </x:c>
      <x:c r="B19" s="20" t="str">
        <x:v>สเต๊กครูตา มุสลิมอยุธยา</x:v>
      </x:c>
      <x:c r="C19" s="20" t="str">
        <x:v>พระนครศรีอยุธยา</x:v>
      </x:c>
      <x:c r="D19" s="20" t="str">
        <x:v>ร้านอาหาร</x:v>
      </x:c>
      <x:c r="E19" s="20" t="str">
        <x:v>มีรายชื่อใน Makan Halal Guide; ระบุมีห้องละหมาด</x:v>
      </x:c>
      <x:c r="F19" s="20" t="str">
        <x:v>แหล่งข้อมูลระบุว่ามี</x:v>
      </x:c>
      <x:c r="G19" s="20" t="str">
        <x:v>ยังไม่พบเอกสารรับรองและวันหมดอายุ</x:v>
      </x:c>
      <x:c r="H1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" s="20" t="str">
        <x:v>ถนนอู่ทอง ตำบลประตูชัย อำเภอพระนครศรีอยุธยา จังหวัดพระนครศรีอยุธยา 13000</x:v>
      </x:c>
      <x:c r="J19" s="21" t="str">
        <x:v>0896730755</x:v>
      </x:c>
      <x:c r="K19" s="23" t="e">
        <x:f>HYPERLINK("https://makanhalalguide.com/shop/detail/1265","เปิดแหล่งข้อมูล 1")</x:f>
        <x:v>HYPERLINK is not implemented. linkLocation=https://makanhalalguide.com/shop/detail/1265, friendlyName=เปิดแหล่งข้อมูล 1</x:v>
      </x:c>
      <x:c r="L19" s="23" t="e">
        <x:f>HYPERLINK("https://www.wongnai.com/restaurants/761553wN-%E0%B8%AA%E0%B9%80%E0%B8%95%E0%B9%87%E0%B8%81-%E0%B8%84%E0%B8%A3%E0%B8%B9%E0%B8%95%E0%B8%B2-%E0%B8%AA%E0%B9%80%E0%B8%95%E0%B9%87%E0%B8%81-%E0%B8%84%E0%B8%A3%E0%B8%B9%E0%B8%95%E0%B8%B2","เปิดแหล่งข้อมูล 2")</x:f>
        <x:v>HYPERLINK is not implemented. linkLocation=https://www.wongnai.com/restaurants/761553wN-%E0%B8%AA%E0%B9%80%E0%B8%95%E0%B9%87%E0%B8%81-%E0%B8%84%E0%B8%A3%E0%B8%B9%E0%B8%95%E0%B8%B2-%E0%B8%AA%E0%B9%80%E0%B8%95%E0%B9%87%E0%B8%81-%E0%B8%84%E0%B8%A3%E0%B8%B9%E0%B8%95%E0%B8%B2, friendlyName=เปิดแหล่งข้อมูล 2</x:v>
      </x:c>
      <x:c r="M19" s="20" t="str">
        <x:v>ผลค้นหาชื่อสัมพันธ์จากแหล่งเพิ่มเติม ต้องยืนยันสาขาและข้อมูลปัจจุบัน</x:v>
      </x:c>
      <x:c r="N19" s="10" t="n">
        <x:v>46315</x:v>
      </x:c>
      <x:c r="O19" s="22" t="str">
        <x:v>ยังไม่ตรวจ</x:v>
      </x:c>
      <x:c r="P19" s="22" t="str">
        <x:v>ยังไม่ติดต่อ</x:v>
      </x:c>
    </x:row>
    <x:row r="20" ht="66" customHeight="1">
      <x:c r="A20" s="9" t="n">
        <x:v>12</x:v>
      </x:c>
      <x:c r="B20" s="20" t="str">
        <x:v>ห้องอาหาร สุใบด๊ะห์ชวนชิม สาขาไม้ตรา (อยุธยา)</x:v>
      </x:c>
      <x:c r="C20" s="20" t="str">
        <x:v>พระนครศรีอยุธยา</x:v>
      </x:c>
      <x:c r="D20" s="20" t="str">
        <x:v>ร้านอาหาร</x:v>
      </x:c>
      <x:c r="E20" s="20" t="str">
        <x:v>มีรายชื่อใน Makan Halal Guide; ระบุมีห้องละหมาด</x:v>
      </x:c>
      <x:c r="F20" s="20" t="str">
        <x:v>แหล่งข้อมูลระบุว่ามี</x:v>
      </x:c>
      <x:c r="G20" s="20" t="str">
        <x:v>ยังไม่พบเอกสารรับรองและวันหมดอายุ</x:v>
      </x:c>
      <x:c r="H2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" s="20" t="str">
        <x:v>85/8 ซอยคลองพระยาบันลือ ตำบลไม้ตรา อำเภอบางไทร จังหวัดพระนครศรีอยุธยา 13190</x:v>
      </x:c>
      <x:c r="J20" s="21" t="str">
        <x:v>0841497408</x:v>
      </x:c>
      <x:c r="K20" s="23" t="e">
        <x:f>HYPERLINK("https://makanhalalguide.com/shop/detail/5138","เปิดแหล่งข้อมูล 1")</x:f>
        <x:v>HYPERLINK is not implemented. linkLocation=https://makanhalalguide.com/shop/detail/5138, friendlyName=เปิดแหล่งข้อมูล 1</x:v>
      </x:c>
      <x:c r="L20" s="23" t="e">
        <x:f>HYPERLINK("https://lacarte.menu/restaurants/bang-sai/hngaahaarsaibdahchwnchm-saakhaa2aimtraa","เปิดแหล่งข้อมูล 2")</x:f>
        <x:v>HYPERLINK is not implemented. linkLocation=https://lacarte.menu/restaurants/bang-sai/hngaahaarsaibdahchwnchm-saakhaa2aimtraa, friendlyName=เปิดแหล่งข้อมูล 2</x:v>
      </x:c>
      <x:c r="M20" s="20" t="str">
        <x:v>ผลค้นหาชื่อสัมพันธ์จากแหล่งเพิ่มเติม ต้องยืนยันสาขาและข้อมูลปัจจุบัน</x:v>
      </x:c>
      <x:c r="N20" s="10" t="n">
        <x:v>46315</x:v>
      </x:c>
      <x:c r="O20" s="22" t="str">
        <x:v>ยังไม่ตรวจ</x:v>
      </x:c>
      <x:c r="P20" s="22" t="str">
        <x:v>ยังไม่ติดต่อ</x:v>
      </x:c>
    </x:row>
    <x:row r="21" ht="66" customHeight="1">
      <x:c r="A21" s="9" t="n">
        <x:v>13</x:v>
      </x:c>
      <x:c r="B21" s="20" t="str">
        <x:v>ฮาลาล บ้านไม้</x:v>
      </x:c>
      <x:c r="C21" s="20" t="str">
        <x:v>พระนครศรีอยุธยา</x:v>
      </x:c>
      <x:c r="D21" s="20" t="str">
        <x:v>ร้านอาหาร</x:v>
      </x:c>
      <x:c r="E21" s="20" t="str">
        <x:v>มีรายชื่อใน Makan Halal Guide; ระบุมีห้องละหมาด</x:v>
      </x:c>
      <x:c r="F21" s="20" t="str">
        <x:v>แหล่งข้อมูลระบุว่ามี</x:v>
      </x:c>
      <x:c r="G21" s="20" t="str">
        <x:v>ยังไม่พบเอกสารรับรองและวันหมดอายุ</x:v>
      </x:c>
      <x:c r="H2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" s="20" t="str">
        <x:v>72/1 ถนนอู่ทอง ตำบลทวาสุกรี อำเภอพระนครศรีอยุธยา จังหวัดพระนครศรีอยุธยา 13000</x:v>
      </x:c>
      <x:c r="J21" s="21" t="str">
        <x:v>0985647297</x:v>
      </x:c>
      <x:c r="K21" s="23" t="e">
        <x:f>HYPERLINK("https://makanhalalguide.com/shop/detail/4875","เปิดแหล่งข้อมูล 1")</x:f>
        <x:v>HYPERLINK is not implemented. linkLocation=https://makanhalalguide.com/shop/detail/4875, friendlyName=เปิดแหล่งข้อมูล 1</x:v>
      </x:c>
      <x:c r="L21" s="23" t="e">
        <x:f>HYPERLINK("https://halaman-kuning.cybo.com/TH/phra-nakhon-si-ayutthaya/restoran-halal","เปิดแหล่งข้อมูล 2")</x:f>
        <x:v>HYPERLINK is not implemented. linkLocation=https://halaman-kuning.cybo.com/TH/phra-nakhon-si-ayutthaya/restoran-halal, friendlyName=เปิดแหล่งข้อมูล 2</x:v>
      </x:c>
      <x:c r="M21" s="20" t="str">
        <x:v>ผลค้นหาชื่อสัมพันธ์จากแหล่งเพิ่มเติม ต้องยืนยันสาขาและข้อมูลปัจจุบัน</x:v>
      </x:c>
      <x:c r="N21" s="10" t="n">
        <x:v>46315</x:v>
      </x:c>
      <x:c r="O21" s="22" t="str">
        <x:v>ยังไม่ตรวจ</x:v>
      </x:c>
      <x:c r="P21" s="22" t="str">
        <x:v>ยังไม่ติดต่อ</x:v>
      </x:c>
    </x:row>
    <x:row r="22" ht="66" customHeight="1">
      <x:c r="A22" s="9" t="n">
        <x:v>14</x:v>
      </x:c>
      <x:c r="B22" s="20" t="str">
        <x:v>เตี๋ยวติดน้ำ บ้านผู้ใหญ่ลี</x:v>
      </x:c>
      <x:c r="C22" s="20" t="str">
        <x:v>พระนครศรีอยุธยา</x:v>
      </x:c>
      <x:c r="D22" s="20" t="str">
        <x:v>ร้านอาหาร</x:v>
      </x:c>
      <x:c r="E22" s="20" t="str">
        <x:v>มีรายชื่อใน Makan Halal Guide; ระบุมีห้องละหมาด</x:v>
      </x:c>
      <x:c r="F22" s="20" t="str">
        <x:v>แหล่งข้อมูลระบุว่ามี</x:v>
      </x:c>
      <x:c r="G22" s="20" t="str">
        <x:v>ยังไม่พบเอกสารรับรองและวันหมดอายุ</x:v>
      </x:c>
      <x:c r="H2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" s="20" t="str">
        <x:v>ซอยคลองตะเคียน 12/3 ต.คลองตะเคียน อำเภอ พระนครศรีอยุธยา จังหวัดพระนครศรีอยุธยา 13000</x:v>
      </x:c>
      <x:c r="J22" s="21" t="str">
        <x:v>0623461647</x:v>
      </x:c>
      <x:c r="K22" s="23" t="e">
        <x:f>HYPERLINK("https://makanhalalguide.com/shop/detail/5222","เปิดแหล่งข้อมูล 1")</x:f>
        <x:v>HYPERLINK is not implemented. linkLocation=https://makanhalalguide.com/shop/detail/5222, friendlyName=เปิดแหล่งข้อมูล 1</x:v>
      </x:c>
      <x:c r="L22" s="23" t="str"/>
      <x:c r="M22" s="20" t="str"/>
      <x:c r="N22" s="10" t="n">
        <x:v>46315</x:v>
      </x:c>
      <x:c r="O22" s="22" t="str">
        <x:v>ยังไม่ตรวจ</x:v>
      </x:c>
      <x:c r="P22" s="22" t="str">
        <x:v>ยังไม่ติดต่อ</x:v>
      </x:c>
    </x:row>
    <x:row r="23" ht="66" customHeight="1">
      <x:c r="A23" s="9" t="n">
        <x:v>15</x:v>
      </x:c>
      <x:c r="B23" s="20" t="str">
        <x:v>ครัวฮาลาล ณ.กาญจนบุรี</x:v>
      </x:c>
      <x:c r="C23" s="20" t="str">
        <x:v>กาญจนบุรี</x:v>
      </x:c>
      <x:c r="D23" s="20" t="str">
        <x:v>ร้านอาหาร</x:v>
      </x:c>
      <x:c r="E23" s="20" t="str">
        <x:v>Makan Verify; ระบุมีห้องละหมาด</x:v>
      </x:c>
      <x:c r="F23" s="20" t="str">
        <x:v>แหล่งข้อมูลระบุว่ามี</x:v>
      </x:c>
      <x:c r="G23" s="20" t="str">
        <x:v>ยังไม่พบเอกสารรับรองและวันหมดอายุ</x:v>
      </x:c>
      <x:c r="H2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" s="20" t="str">
        <x:v>ถนนลาดหญ้า-เอราวัณ ตำบลช่องสะเดา อำเภอเมืองกาญจนบุรี จังหวัดกาญจนบุรี 71190</x:v>
      </x:c>
      <x:c r="J23" s="21" t="str">
        <x:v>0982677716</x:v>
      </x:c>
      <x:c r="K23" s="23" t="e">
        <x:f>HYPERLINK("https://makanhalalguide.com/shop/detail/610","เปิดแหล่งข้อมูล 1")</x:f>
        <x:v>HYPERLINK is not implemented. linkLocation=https://makanhalalguide.com/shop/detail/610, friendlyName=เปิดแหล่งข้อมูล 1</x:v>
      </x:c>
      <x:c r="L23" s="23" t="str"/>
      <x:c r="M23" s="20" t="str"/>
      <x:c r="N23" s="10" t="n">
        <x:v>46315</x:v>
      </x:c>
      <x:c r="O23" s="22" t="str">
        <x:v>ยังไม่ตรวจ</x:v>
      </x:c>
      <x:c r="P23" s="22" t="str">
        <x:v>ยังไม่ติดต่อ</x:v>
      </x:c>
    </x:row>
    <x:row r="24" ht="66" customHeight="1">
      <x:c r="A24" s="9" t="n">
        <x:v>16</x:v>
      </x:c>
      <x:c r="B24" s="20" t="str">
        <x:v>ดาดาโรตีโอ่ง กาญจนบุรี</x:v>
      </x:c>
      <x:c r="C24" s="20" t="str">
        <x:v>กาญจนบุรี</x:v>
      </x:c>
      <x:c r="D24" s="20" t="str">
        <x:v>คาเฟ่และร้านของหวาน</x:v>
      </x:c>
      <x:c r="E24" s="20" t="str">
        <x:v>Makan Verify; ระบุมีห้องละหมาด</x:v>
      </x:c>
      <x:c r="F24" s="20" t="str">
        <x:v>แหล่งข้อมูลระบุว่ามี</x:v>
      </x:c>
      <x:c r="G24" s="20" t="str">
        <x:v>ยังไม่พบเอกสารรับรองและวันหมดอายุ</x:v>
      </x:c>
      <x:c r="H2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" s="20" t="str">
        <x:v>ถนนลาดหญ้า-เอราวัณ ตำบลช่องสะเดา อำเภอเมืองกาญจนบุรี จังหวัดกาญจนบุรี 71190</x:v>
      </x:c>
      <x:c r="J24" s="21" t="str">
        <x:v>0895018527</x:v>
      </x:c>
      <x:c r="K24" s="23" t="e">
        <x:f>HYPERLINK("https://makanhalalguide.com/shop/detail/1700","เปิดแหล่งข้อมูล 1")</x:f>
        <x:v>HYPERLINK is not implemented. linkLocation=https://makanhalalguide.com/shop/detail/1700, friendlyName=เปิดแหล่งข้อมูล 1</x:v>
      </x:c>
      <x:c r="L24" s="23" t="e">
        <x:f>HYPERLINK("https://www.wongnai.com/restaurants/270059PV-%E0%B8%94%E0%B8%B2%E0%B8%94%E0%B8%B2-%E0%B9%82%E0%B8%A3%E0%B8%95%E0%B8%B5%E0%B9%82%E0%B8%AD%E0%B9%88%E0%B8%87-%E0%B8%81%E0%B8%B2%E0%B8%8D%E0%B8%88%E0%B8%99%E0%B8%9A%E0%B8%B8%E0%B8%A3%E0%B8%B5/menu/photos/cbd3d47b1e47426e9b2ee92c055c31ff","เปิดแหล่งข้อมูล 2")</x:f>
        <x:v>HYPERLINK is not implemented. linkLocation=https://www.wongnai.com/restaurants/270059PV-%E0%B8%94%E0%B8%B2%E0%B8%94%E0%B8%B2-%E0%B9%82%E0%B8%A3%E0%B8%95%E0%B8%B5%E0%B9%82%E0%B8%AD%E0%B9%88%E0%B8%87-%E0%B8%81%E0%B8%B2%E0%B8%8D%E0%B8%88%E0%B8%99%E0%B8%9A%E0%B8%B8%E0%B8%A3%E0%B8%B5/menu/photos/cbd3d47b1e47426e9b2ee92c055c31ff, friendlyName=เปิดแหล่งข้อมูล 2</x:v>
      </x:c>
      <x:c r="M24" s="20" t="str">
        <x:v>ผลค้นหาชื่อสัมพันธ์จากแหล่งเพิ่มเติม ต้องยืนยันสาขาและข้อมูลปัจจุบัน</x:v>
      </x:c>
      <x:c r="N24" s="10" t="n">
        <x:v>46315</x:v>
      </x:c>
      <x:c r="O24" s="22" t="str">
        <x:v>ยังไม่ตรวจ</x:v>
      </x:c>
      <x:c r="P24" s="22" t="str">
        <x:v>ยังไม่ติดต่อ</x:v>
      </x:c>
    </x:row>
    <x:row r="25" ht="66" customHeight="1">
      <x:c r="A25" s="9" t="n">
        <x:v>17</x:v>
      </x:c>
      <x:c r="B25" s="20" t="str">
        <x:v>อาบี อาหารไทยมุสลิม&amp;โรตีแป้งทอด</x:v>
      </x:c>
      <x:c r="C25" s="20" t="str">
        <x:v>ราชบุรี</x:v>
      </x:c>
      <x:c r="D25" s="20" t="str">
        <x:v>คาเฟ่และร้านของหวาน</x:v>
      </x:c>
      <x:c r="E25" s="20" t="str">
        <x:v>มีรายชื่อใน Makan Halal Guide; ระบุมีห้องละหมาด</x:v>
      </x:c>
      <x:c r="F25" s="20" t="str">
        <x:v>แหล่งข้อมูลระบุว่ามี</x:v>
      </x:c>
      <x:c r="G25" s="20" t="str">
        <x:v>ยังไม่พบเอกสารรับรองและวันหมดอายุ</x:v>
      </x:c>
      <x:c r="H2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5" s="20" t="str">
        <x:v>288 ถนนราชบุรี-ผาปก ตำบลจอมบึง อำเภอจอมบึง จังหวัดราชบุรี 70150 (เยื่องที่ทำการไปรษณีย์จอมบึง)</x:v>
      </x:c>
      <x:c r="J25" s="21" t="str">
        <x:v>0966413087</x:v>
      </x:c>
      <x:c r="K25" s="23" t="e">
        <x:f>HYPERLINK("https://makanhalalguide.com/shop/detail/2760","เปิดแหล่งข้อมูล 1")</x:f>
        <x:v>HYPERLINK is not implemented. linkLocation=https://makanhalalguide.com/shop/detail/2760, friendlyName=เปิดแหล่งข้อมูล 1</x:v>
      </x:c>
      <x:c r="L25" s="23" t="str"/>
      <x:c r="M25" s="20" t="str"/>
      <x:c r="N25" s="10" t="n">
        <x:v>46315</x:v>
      </x:c>
      <x:c r="O25" s="22" t="str">
        <x:v>ยังไม่ตรวจ</x:v>
      </x:c>
      <x:c r="P25" s="22" t="str">
        <x:v>ยังไม่ติดต่อ</x:v>
      </x:c>
    </x:row>
    <x:row r="26" ht="66" customHeight="1">
      <x:c r="A26" s="9" t="n">
        <x:v>18</x:v>
      </x:c>
      <x:c r="B26" s="20" t="str">
        <x:v>โรตีบังมิง บ้านสวน</x:v>
      </x:c>
      <x:c r="C26" s="20" t="str">
        <x:v>ราชบุรี</x:v>
      </x:c>
      <x:c r="D26" s="20" t="str">
        <x:v>คาเฟ่และร้านของหวาน</x:v>
      </x:c>
      <x:c r="E26" s="20" t="str">
        <x:v>มีรายชื่อใน Makan Halal Guide; ระบุมีห้องละหมาด</x:v>
      </x:c>
      <x:c r="F26" s="20" t="str">
        <x:v>แหล่งข้อมูลระบุว่ามี</x:v>
      </x:c>
      <x:c r="G26" s="20" t="str">
        <x:v>ยังไม่พบเอกสารรับรองและวันหมดอายุ</x:v>
      </x:c>
      <x:c r="H2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6" s="20" t="str">
        <x:v>ตำบลนางแก้ว อำเภอโพธาราม ราชบุรี 70120 เส้นวัดเขาดิน-หัวรอ ถ้ามาจากโพธาราม ผ่านหน้าวัดเขาช่องพราน เจอแยกไฟแดงที่ 2 ให้เลี้ยวซ้าย ตรงมาประมาณ 1 กิโลเมตร ร้านจะอยู่ซ้ายมือ</x:v>
      </x:c>
      <x:c r="J26" s="21" t="str">
        <x:v>0806546063</x:v>
      </x:c>
      <x:c r="K26" s="23" t="e">
        <x:f>HYPERLINK("https://makanhalalguide.com/shop/detail/5837","เปิดแหล่งข้อมูล 1")</x:f>
        <x:v>HYPERLINK is not implemented. linkLocation=https://makanhalalguide.com/shop/detail/5837, friendlyName=เปิดแหล่งข้อมูล 1</x:v>
      </x:c>
      <x:c r="L26" s="23" t="e">
        <x:f>HYPERLINK("https://www.lemon8-app.com/%40chomlisa.log/7454075536081207815?region=th","เปิดแหล่งข้อมูล 2")</x:f>
        <x:v>HYPERLINK is not implemented. linkLocation=https://www.lemon8-app.com/%40chomlisa.log/7454075536081207815?region=th, friendlyName=เปิดแหล่งข้อมูล 2</x:v>
      </x:c>
      <x:c r="M26" s="20" t="str">
        <x:v>ผลค้นหาชื่อสัมพันธ์จากแหล่งเพิ่มเติม ต้องยืนยันสาขาและข้อมูลปัจจุบัน</x:v>
      </x:c>
      <x:c r="N26" s="10" t="n">
        <x:v>46315</x:v>
      </x:c>
      <x:c r="O26" s="22" t="str">
        <x:v>ยังไม่ตรวจ</x:v>
      </x:c>
      <x:c r="P26" s="22" t="str">
        <x:v>ยังไม่ติดต่อ</x:v>
      </x:c>
    </x:row>
    <x:row r="27" ht="66" customHeight="1">
      <x:c r="A27" s="9" t="n">
        <x:v>19</x:v>
      </x:c>
      <x:c r="B27" s="20" t="str">
        <x:v>ไทย-มุสลิม(Thai-Muslim Restaurant)</x:v>
      </x:c>
      <x:c r="C27" s="20" t="str">
        <x:v>ราชบุรี</x:v>
      </x:c>
      <x:c r="D27" s="20" t="str">
        <x:v>ร้านอาหาร</x:v>
      </x:c>
      <x:c r="E27" s="20" t="str">
        <x:v>มีรายชื่อใน Makan Halal Guide; ระบุมีห้องละหมาด</x:v>
      </x:c>
      <x:c r="F27" s="20" t="str">
        <x:v>แหล่งข้อมูลระบุว่ามี</x:v>
      </x:c>
      <x:c r="G27" s="20" t="str">
        <x:v>ยังไม่พบเอกสารรับรองและวันหมดอายุ</x:v>
      </x:c>
      <x:c r="H2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7" s="20" t="str">
        <x:v>48 ถนนอุดมศิริ ตำบลหน้าเมือง อำเภอเมือง จังหวัดราชบุรี 70000</x:v>
      </x:c>
      <x:c r="J27" s="21" t="str">
        <x:v>0805265106</x:v>
      </x:c>
      <x:c r="K27" s="23" t="e">
        <x:f>HYPERLINK("https://makanhalalguide.com/shop/detail/2728","เปิดแหล่งข้อมูล 1")</x:f>
        <x:v>HYPERLINK is not implemented. linkLocation=https://makanhalalguide.com/shop/detail/2728, friendlyName=เปิดแหล่งข้อมูล 1</x:v>
      </x:c>
      <x:c r="L27" s="23" t="e">
        <x:f>HYPERLINK("https://www.wongnai.com/restaurants/103556Sr-%E0%B8%A3%E0%B9%89%E0%B8%B2%E0%B8%99%E0%B8%AD%E0%B8%B2%E0%B8%AB%E0%B8%B2%E0%B8%A3%E0%B9%84%E0%B8%97%E0%B8%A2-%E0%B8%A1%E0%B8%B8%E0%B8%AA%E0%B8%A5%E0%B8%B4%E0%B8%A1","เปิดแหล่งข้อมูล 2")</x:f>
        <x:v>HYPERLINK is not implemented. linkLocation=https://www.wongnai.com/restaurants/103556Sr-%E0%B8%A3%E0%B9%89%E0%B8%B2%E0%B8%99%E0%B8%AD%E0%B8%B2%E0%B8%AB%E0%B8%B2%E0%B8%A3%E0%B9%84%E0%B8%97%E0%B8%A2-%E0%B8%A1%E0%B8%B8%E0%B8%AA%E0%B8%A5%E0%B8%B4%E0%B8%A1, friendlyName=เปิดแหล่งข้อมูล 2</x:v>
      </x:c>
      <x:c r="M27" s="20" t="str">
        <x:v>ผลค้นหาชื่อสัมพันธ์จากแหล่งเพิ่มเติม ต้องยืนยันสาขาและข้อมูลปัจจุบัน</x:v>
      </x:c>
      <x:c r="N27" s="10" t="n">
        <x:v>46315</x:v>
      </x:c>
      <x:c r="O27" s="22" t="str">
        <x:v>ยังไม่ตรวจ</x:v>
      </x:c>
      <x:c r="P27" s="22" t="str">
        <x:v>ยังไม่ติดต่อ</x:v>
      </x:c>
    </x:row>
    <x:row r="28" ht="66" customHeight="1">
      <x:c r="A28" s="9" t="n">
        <x:v>20</x:v>
      </x:c>
      <x:c r="B28" s="20" t="str">
        <x:v>Alama Sea Village Resort Koh Lanta</x:v>
      </x:c>
      <x:c r="C28" s="20" t="str">
        <x:v>กระบี่</x:v>
      </x:c>
      <x:c r="D28" s="20" t="str">
        <x:v>โรงแรมหรือรีสอร์ท</x:v>
      </x:c>
      <x:c r="E28" s="20" t="str">
        <x:v>Makan Verify; ระบุมีห้องละหมาด</x:v>
      </x:c>
      <x:c r="F28" s="20" t="str">
        <x:v>แหล่งข้อมูลระบุว่ามี</x:v>
      </x:c>
      <x:c r="G28" s="20" t="str">
        <x:v>ยังไม่พบเอกสารรับรองและวันหมดอายุ</x:v>
      </x:c>
      <x:c r="H2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8" s="20" t="str">
        <x:v>333 ตำบล เกาะลันตาใหญ่ อำเภอเกาะลันตา กระบี่ 81550</x:v>
      </x:c>
      <x:c r="J28" s="21" t="str">
        <x:v>075665151</x:v>
      </x:c>
      <x:c r="K28" s="23" t="e">
        <x:f>HYPERLINK("https://makanhalalguide.com/shop/detail/5412","เปิดแหล่งข้อมูล 1")</x:f>
        <x:v>HYPERLINK is not implemented. linkLocation=https://makanhalalguide.com/shop/detail/5412, friendlyName=เปิดแหล่งข้อมูล 1</x:v>
      </x:c>
      <x:c r="L28" s="23" t="e">
        <x:f>HYPERLINK("https://www.agoda.com/alama-sea-village-resort/hotel/koh-lanta-th.html","เปิดแหล่งข้อมูล 2")</x:f>
        <x:v>HYPERLINK is not implemented. linkLocation=https://www.agoda.com/alama-sea-village-resort/hotel/koh-lanta-th.html, friendlyName=เปิดแหล่งข้อมูล 2</x:v>
      </x:c>
      <x:c r="M28" s="20" t="str">
        <x:v>ผลค้นหาชื่อสัมพันธ์จากแหล่งเพิ่มเติม ต้องยืนยันสาขาและข้อมูลปัจจุบัน</x:v>
      </x:c>
      <x:c r="N28" s="10" t="n">
        <x:v>46315</x:v>
      </x:c>
      <x:c r="O28" s="22" t="str">
        <x:v>ยังไม่ตรวจ</x:v>
      </x:c>
      <x:c r="P28" s="22" t="str">
        <x:v>ยังไม่ติดต่อ</x:v>
      </x:c>
    </x:row>
    <x:row r="29" ht="66" customHeight="1">
      <x:c r="A29" s="9" t="n">
        <x:v>21</x:v>
      </x:c>
      <x:c r="B29" s="20" t="str">
        <x:v>Aonang Fiore resort, Krabi Thailand</x:v>
      </x:c>
      <x:c r="C29" s="20" t="str">
        <x:v>กระบี่</x:v>
      </x:c>
      <x:c r="D29" s="20" t="str">
        <x:v>โรงแรมหรือรีสอร์ท</x:v>
      </x:c>
      <x:c r="E29" s="20" t="str">
        <x:v>Makan Verify; ระบุมีห้องละหมาด</x:v>
      </x:c>
      <x:c r="F29" s="20" t="str">
        <x:v>แหล่งข้อมูลระบุว่ามี</x:v>
      </x:c>
      <x:c r="G29" s="20" t="str">
        <x:v>ยังไม่พบเอกสารรับรองและวันหมดอายุ</x:v>
      </x:c>
      <x:c r="H2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9" s="20" t="str">
        <x:v>764, ตำบล อ่าวนาง Muang, กระบี่ 81180</x:v>
      </x:c>
      <x:c r="J29" s="21" t="str">
        <x:v>0630811693</x:v>
      </x:c>
      <x:c r="K29" s="23" t="e">
        <x:f>HYPERLINK("https://makanhalalguide.com/shop/detail/5407","เปิดแหล่งข้อมูล 1")</x:f>
        <x:v>HYPERLINK is not implemented. linkLocation=https://makanhalalguide.com/shop/detail/5407, friendlyName=เปิดแหล่งข้อมูล 1</x:v>
      </x:c>
      <x:c r="L29" s="23" t="e">
        <x:f>HYPERLINK("https://www.tripadvisor.com/Hotel_Review-g1507054-d10006885-Reviews-Aonang_Fiore_Resort-Ao_Nang_Krabi_Province.html","เปิดแหล่งข้อมูล 2")</x:f>
        <x:v>HYPERLINK is not implemented. linkLocation=https://www.tripadvisor.com/Hotel_Review-g1507054-d10006885-Reviews-Aonang_Fiore_Resort-Ao_Nang_Krabi_Province.html, friendlyName=เปิดแหล่งข้อมูล 2</x:v>
      </x:c>
      <x:c r="M29" s="20" t="str">
        <x:v>ผลค้นหาชื่อสัมพันธ์จากแหล่งเพิ่มเติม ต้องยืนยันสาขาและข้อมูลปัจจุบัน</x:v>
      </x:c>
      <x:c r="N29" s="10" t="n">
        <x:v>46315</x:v>
      </x:c>
      <x:c r="O29" s="22" t="str">
        <x:v>ยังไม่ตรวจ</x:v>
      </x:c>
      <x:c r="P29" s="22" t="str">
        <x:v>ยังไม่ติดต่อ</x:v>
      </x:c>
    </x:row>
    <x:row r="30" ht="66" customHeight="1">
      <x:c r="A30" s="9" t="n">
        <x:v>22</x:v>
      </x:c>
      <x:c r="B30" s="20" t="str">
        <x:v>Aonang Phu Pi Maan Resort &amp; Spa</x:v>
      </x:c>
      <x:c r="C30" s="20" t="str">
        <x:v>กระบี่</x:v>
      </x:c>
      <x:c r="D30" s="20" t="str">
        <x:v>โรงแรมหรือรีสอร์ท</x:v>
      </x:c>
      <x:c r="E30" s="20" t="str">
        <x:v>Makan Verify; ระบุมีห้องละหมาด</x:v>
      </x:c>
      <x:c r="F30" s="20" t="str">
        <x:v>แหล่งข้อมูลระบุว่ามี</x:v>
      </x:c>
      <x:c r="G30" s="20" t="str">
        <x:v>ยังไม่พบเอกสารรับรองและวันหมดอายุ</x:v>
      </x:c>
      <x:c r="H3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0" s="20" t="str">
        <x:v>86, 8 ตำบล อ่าวนาง อำเภอเมืองกระบี่ กระบี่ 81180</x:v>
      </x:c>
      <x:c r="J30" s="21" t="str">
        <x:v>075637111</x:v>
      </x:c>
      <x:c r="K30" s="23" t="e">
        <x:f>HYPERLINK("https://makanhalalguide.com/shop/detail/5402","เปิดแหล่งข้อมูล 1")</x:f>
        <x:v>HYPERLINK is not implemented. linkLocation=https://makanhalalguide.com/shop/detail/5402, friendlyName=เปิดแหล่งข้อมูล 1</x:v>
      </x:c>
      <x:c r="L30" s="23" t="e">
        <x:f>HYPERLINK("https://www.trip.com/hotels/krabi-hotel-detail-709733/aonang-phu-pi-maan-resort-spa/review.html","เปิดแหล่งข้อมูล 2")</x:f>
        <x:v>HYPERLINK is not implemented. linkLocation=https://www.trip.com/hotels/krabi-hotel-detail-709733/aonang-phu-pi-maan-resort-spa/review.html, friendlyName=เปิดแหล่งข้อมูล 2</x:v>
      </x:c>
      <x:c r="M30" s="20" t="str">
        <x:v>ผลค้นหาชื่อสัมพันธ์จากแหล่งเพิ่มเติม ต้องยืนยันสาขาและข้อมูลปัจจุบัน</x:v>
      </x:c>
      <x:c r="N30" s="10" t="n">
        <x:v>46315</x:v>
      </x:c>
      <x:c r="O30" s="22" t="str">
        <x:v>ยังไม่ตรวจ</x:v>
      </x:c>
      <x:c r="P30" s="22" t="str">
        <x:v>ยังไม่ติดต่อ</x:v>
      </x:c>
    </x:row>
    <x:row r="31" ht="66" customHeight="1">
      <x:c r="A31" s="9" t="n">
        <x:v>23</x:v>
      </x:c>
      <x:c r="B31" s="20" t="str">
        <x:v>Lanta Emerald Resort ลันตา เอ็มเมอรัล ห้องพัก ติดทะเล เกาะลันตาใหญ่ กระบี่</x:v>
      </x:c>
      <x:c r="C31" s="20" t="str">
        <x:v>กระบี่</x:v>
      </x:c>
      <x:c r="D31" s="20" t="str">
        <x:v>โรงแรมหรือรีสอร์ท</x:v>
      </x:c>
      <x:c r="E31" s="20" t="str">
        <x:v>Makan Verify; ระบุมีห้องละหมาด</x:v>
      </x:c>
      <x:c r="F31" s="20" t="str">
        <x:v>แหล่งข้อมูลระบุว่ามี</x:v>
      </x:c>
      <x:c r="G31" s="20" t="str">
        <x:v>ยังไม่พบเอกสารรับรองและวันหมดอายุ</x:v>
      </x:c>
      <x:c r="H3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1" s="20" t="str">
        <x:v>ตำบล ศาลาด่าน อำเภอเกาะลันตา กระบี่ 81150</x:v>
      </x:c>
      <x:c r="J31" s="21" t="str">
        <x:v>0822777556</x:v>
      </x:c>
      <x:c r="K31" s="23" t="e">
        <x:f>HYPERLINK("https://makanhalalguide.com/shop/detail/5409","เปิดแหล่งข้อมูล 1")</x:f>
        <x:v>HYPERLINK is not implemented. linkLocation=https://makanhalalguide.com/shop/detail/5409, friendlyName=เปิดแหล่งข้อมูล 1</x:v>
      </x:c>
      <x:c r="L31" s="23" t="str"/>
      <x:c r="M31" s="20" t="str"/>
      <x:c r="N31" s="10" t="n">
        <x:v>46315</x:v>
      </x:c>
      <x:c r="O31" s="22" t="str">
        <x:v>ยังไม่ตรวจ</x:v>
      </x:c>
      <x:c r="P31" s="22" t="str">
        <x:v>ยังไม่ติดต่อ</x:v>
      </x:c>
    </x:row>
    <x:row r="32" ht="66" customHeight="1">
      <x:c r="A32" s="9" t="n">
        <x:v>24</x:v>
      </x:c>
      <x:c r="B32" s="20" t="str">
        <x:v>Railay Great View Resort &amp; Spa รีสอร์ท มุสลิม</x:v>
      </x:c>
      <x:c r="C32" s="20" t="str">
        <x:v>กระบี่</x:v>
      </x:c>
      <x:c r="D32" s="20" t="str">
        <x:v>โรงแรมหรือรีสอร์ท</x:v>
      </x:c>
      <x:c r="E32" s="20" t="str">
        <x:v>Makan Verify; ระบุมีห้องละหมาด</x:v>
      </x:c>
      <x:c r="F32" s="20" t="str">
        <x:v>แหล่งข้อมูลระบุว่ามี</x:v>
      </x:c>
      <x:c r="G32" s="20" t="str">
        <x:v>ยังไม่พบเอกสารรับรองและวันหมดอายุ</x:v>
      </x:c>
      <x:c r="H3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2" s="20" t="str">
        <x:v>588 Moo 2, Ao Nang , Maung, Krabi กระบี่ 81000</x:v>
      </x:c>
      <x:c r="J32" s="21" t="str">
        <x:v>0986705131</x:v>
      </x:c>
      <x:c r="K32" s="23" t="e">
        <x:f>HYPERLINK("https://makanhalalguide.com/shop/detail/5404","เปิดแหล่งข้อมูล 1")</x:f>
        <x:v>HYPERLINK is not implemented. linkLocation=https://makanhalalguide.com/shop/detail/5404, friendlyName=เปิดแหล่งข้อมูล 1</x:v>
      </x:c>
      <x:c r="L32" s="23" t="e">
        <x:f>HYPERLINK("https://chillpainai.com/scoop/12845","เปิดแหล่งข้อมูล 2")</x:f>
        <x:v>HYPERLINK is not implemented. linkLocation=https://chillpainai.com/scoop/12845, friendlyName=เปิดแหล่งข้อมูล 2</x:v>
      </x:c>
      <x:c r="M32" s="20" t="str">
        <x:v>ผลค้นหาชื่อสัมพันธ์จากแหล่งเพิ่มเติม ต้องยืนยันสาขาและข้อมูลปัจจุบัน</x:v>
      </x:c>
      <x:c r="N32" s="10" t="n">
        <x:v>46315</x:v>
      </x:c>
      <x:c r="O32" s="22" t="str">
        <x:v>ยังไม่ตรวจ</x:v>
      </x:c>
      <x:c r="P32" s="22" t="str">
        <x:v>ยังไม่ติดต่อ</x:v>
      </x:c>
    </x:row>
    <x:row r="33" ht="66" customHeight="1">
      <x:c r="A33" s="9" t="n">
        <x:v>25</x:v>
      </x:c>
      <x:c r="B33" s="20" t="str">
        <x:v>Railay Village Resort , Krabi - Thailand</x:v>
      </x:c>
      <x:c r="C33" s="20" t="str">
        <x:v>กระบี่</x:v>
      </x:c>
      <x:c r="D33" s="20" t="str">
        <x:v>โรงแรมหรือรีสอร์ท</x:v>
      </x:c>
      <x:c r="E33" s="20" t="str">
        <x:v>Makan Verify; ระบุมีห้องละหมาด</x:v>
      </x:c>
      <x:c r="F33" s="20" t="str">
        <x:v>แหล่งข้อมูลระบุว่ามี</x:v>
      </x:c>
      <x:c r="G33" s="20" t="str">
        <x:v>ยังไม่พบเอกสารรับรองและวันหมดอายุ</x:v>
      </x:c>
      <x:c r="H3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3" s="20" t="str">
        <x:v>544 Moo 2 Ao Nang ,, Muang, อำเภอเมืองกระบี่ กระบี่ 81000</x:v>
      </x:c>
      <x:c r="J33" s="21" t="str">
        <x:v>075819413</x:v>
      </x:c>
      <x:c r="K33" s="23" t="e">
        <x:f>HYPERLINK("https://makanhalalguide.com/shop/detail/5410","เปิดแหล่งข้อมูล 1")</x:f>
        <x:v>HYPERLINK is not implemented. linkLocation=https://makanhalalguide.com/shop/detail/5410, friendlyName=เปิดแหล่งข้อมูล 1</x:v>
      </x:c>
      <x:c r="L33" s="23" t="e">
        <x:f>HYPERLINK("https://www.tripadvisor.com/Hotel_Review-g1507054-d781689-Reviews-Railay_Village_Resort_Spa-Ao_Nang_Krabi_Province.html","เปิดแหล่งข้อมูล 2")</x:f>
        <x:v>HYPERLINK is not implemented. linkLocation=https://www.tripadvisor.com/Hotel_Review-g1507054-d781689-Reviews-Railay_Village_Resort_Spa-Ao_Nang_Krabi_Province.html, friendlyName=เปิดแหล่งข้อมูล 2</x:v>
      </x:c>
      <x:c r="M33" s="20" t="str">
        <x:v>ผลค้นหาชื่อสัมพันธ์จากแหล่งเพิ่มเติม ต้องยืนยันสาขาและข้อมูลปัจจุบัน</x:v>
      </x:c>
      <x:c r="N33" s="10" t="n">
        <x:v>46315</x:v>
      </x:c>
      <x:c r="O33" s="22" t="str">
        <x:v>ยังไม่ตรวจ</x:v>
      </x:c>
      <x:c r="P33" s="22" t="str">
        <x:v>ยังไม่ติดต่อ</x:v>
      </x:c>
    </x:row>
    <x:row r="34" ht="66" customHeight="1">
      <x:c r="A34" s="9" t="n">
        <x:v>26</x:v>
      </x:c>
      <x:c r="B34" s="20" t="str">
        <x:v>The tama hotel Krabi Thailand</x:v>
      </x:c>
      <x:c r="C34" s="20" t="str">
        <x:v>กระบี่</x:v>
      </x:c>
      <x:c r="D34" s="20" t="str">
        <x:v>โรงแรมหรือรีสอร์ท</x:v>
      </x:c>
      <x:c r="E34" s="20" t="str">
        <x:v>มีรายชื่อใน Makan Halal Guide; ระบุมีห้องละหมาด</x:v>
      </x:c>
      <x:c r="F34" s="20" t="str">
        <x:v>แหล่งข้อมูลระบุว่ามี</x:v>
      </x:c>
      <x:c r="G34" s="20" t="str">
        <x:v>ยังไม่พบเอกสารรับรองและวันหมดอายุ</x:v>
      </x:c>
      <x:c r="H3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4" s="20" t="str">
        <x:v>340 Moo 5 Sai-Thai, Muang, Krabi, Ban Ao Nam Mao, KR 81000</x:v>
      </x:c>
      <x:c r="J34" s="21" t="str">
        <x:v>075662106</x:v>
      </x:c>
      <x:c r="K34" s="23" t="e">
        <x:f>HYPERLINK("https://makanhalalguide.com/shop/detail/5777","เปิดแหล่งข้อมูล 1")</x:f>
        <x:v>HYPERLINK is not implemented. linkLocation=https://makanhalalguide.com/shop/detail/5777, friendlyName=เปิดแหล่งข้อมูล 1</x:v>
      </x:c>
      <x:c r="L34" s="23" t="e">
        <x:f>HYPERLINK("https://www.agoda.com/en-in/the-tama-hotel/hotel/krabi-th.html","เปิดแหล่งข้อมูล 2")</x:f>
        <x:v>HYPERLINK is not implemented. linkLocation=https://www.agoda.com/en-in/the-tama-hotel/hotel/krabi-th.html, friendlyName=เปิดแหล่งข้อมูล 2</x:v>
      </x:c>
      <x:c r="M34" s="20" t="str">
        <x:v>ผลค้นหาชื่อสัมพันธ์จากแหล่งเพิ่มเติม ต้องยืนยันสาขาและข้อมูลปัจจุบัน</x:v>
      </x:c>
      <x:c r="N34" s="10" t="n">
        <x:v>46315</x:v>
      </x:c>
      <x:c r="O34" s="22" t="str">
        <x:v>ยังไม่ตรวจ</x:v>
      </x:c>
      <x:c r="P34" s="22" t="str">
        <x:v>ยังไม่ติดต่อ</x:v>
      </x:c>
    </x:row>
    <x:row r="35" ht="66" customHeight="1">
      <x:c r="A35" s="9" t="n">
        <x:v>27</x:v>
      </x:c>
      <x:c r="B35" s="20" t="str">
        <x:v>sunda resort, Krabi Thailand</x:v>
      </x:c>
      <x:c r="C35" s="20" t="str">
        <x:v>กระบี่</x:v>
      </x:c>
      <x:c r="D35" s="20" t="str">
        <x:v>โรงแรมหรือรีสอร์ท</x:v>
      </x:c>
      <x:c r="E35" s="20" t="str">
        <x:v>Makan Verify; ระบุมีห้องละหมาด</x:v>
      </x:c>
      <x:c r="F35" s="20" t="str">
        <x:v>แหล่งข้อมูลระบุว่ามี</x:v>
      </x:c>
      <x:c r="G35" s="20" t="str">
        <x:v>ยังไม่พบเอกสารรับรองและวันหมดอายุ</x:v>
      </x:c>
      <x:c r="H3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5" s="20" t="str">
        <x:v>19 Moo 3, Aonang, Muang, เมือง, กระบี่ 81180</x:v>
      </x:c>
      <x:c r="J35" s="21" t="str">
        <x:v>0892309019</x:v>
      </x:c>
      <x:c r="K35" s="23" t="e">
        <x:f>HYPERLINK("https://makanhalalguide.com/shop/detail/5411","เปิดแหล่งข้อมูล 1")</x:f>
        <x:v>HYPERLINK is not implemented. linkLocation=https://makanhalalguide.com/shop/detail/5411, friendlyName=เปิดแหล่งข้อมูล 1</x:v>
      </x:c>
      <x:c r="L35" s="23" t="e">
        <x:f>HYPERLINK("https://www.thic.or.th/th/tourist/detail/accommodation/24","เปิดแหล่งข้อมูล 2")</x:f>
        <x:v>HYPERLINK is not implemented. linkLocation=https://www.thic.or.th/th/tourist/detail/accommodation/24, friendlyName=เปิดแหล่งข้อมูล 2</x:v>
      </x:c>
      <x:c r="M3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N35" s="10" t="n">
        <x:v>46315</x:v>
      </x:c>
      <x:c r="O35" s="22" t="str">
        <x:v>ยังไม่ตรวจ</x:v>
      </x:c>
      <x:c r="P35" s="22" t="str">
        <x:v>ยังไม่ติดต่อ</x:v>
      </x:c>
    </x:row>
    <x:row r="36" ht="66" customHeight="1">
      <x:c r="A36" s="9" t="n">
        <x:v>28</x:v>
      </x:c>
      <x:c r="B36" s="20" t="str">
        <x:v>บ้านครูเฉม โฮมสเตย์เกาะปู</x:v>
      </x:c>
      <x:c r="C36" s="20" t="str">
        <x:v>กระบี่</x:v>
      </x:c>
      <x:c r="D36" s="20" t="str">
        <x:v>โรงแรมหรือรีสอร์ท</x:v>
      </x:c>
      <x:c r="E36" s="20" t="str">
        <x:v>Makan Verify; ระบุมีห้องละหมาด</x:v>
      </x:c>
      <x:c r="F36" s="20" t="str">
        <x:v>แหล่งข้อมูลระบุว่ามี</x:v>
      </x:c>
      <x:c r="G36" s="20" t="str">
        <x:v>ยังไม่พบเอกสารรับรองและวันหมดอายุ</x:v>
      </x:c>
      <x:c r="H3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6" s="20" t="str">
        <x:v>23/1 ม.2 ต.เกาะศรีบอยา อำเภอเหนือคลอง กระบี่ 81130</x:v>
      </x:c>
      <x:c r="J36" s="21" t="str">
        <x:v>0862926683</x:v>
      </x:c>
      <x:c r="K36" s="23" t="e">
        <x:f>HYPERLINK("https://makanhalalguide.com/shop/detail/5406","เปิดแหล่งข้อมูล 1")</x:f>
        <x:v>HYPERLINK is not implemented. linkLocation=https://makanhalalguide.com/shop/detail/5406, friendlyName=เปิดแหล่งข้อมูล 1</x:v>
      </x:c>
      <x:c r="L36" s="23" t="e">
        <x:f>HYPERLINK("https://www.google.co.th/travel/hotels/entity/ChoI_sXDqev98p7VARoNL2cvMTFuMGt6ajhmdBAB","เปิดแหล่งข้อมูล 2")</x:f>
        <x:v>HYPERLINK is not implemented. linkLocation=https://www.google.co.th/travel/hotels/entity/ChoI_sXDqev98p7VARoNL2cvMTFuMGt6ajhmdBAB, friendlyName=เปิดแหล่งข้อมูล 2</x:v>
      </x:c>
      <x:c r="M36" s="20" t="str">
        <x:v>ผลค้นหาชื่อสัมพันธ์จากแหล่งเพิ่มเติม ต้องยืนยันสาขาและข้อมูลปัจจุบัน</x:v>
      </x:c>
      <x:c r="N36" s="10" t="n">
        <x:v>46315</x:v>
      </x:c>
      <x:c r="O36" s="22" t="str">
        <x:v>ยังไม่ตรวจ</x:v>
      </x:c>
      <x:c r="P36" s="22" t="str">
        <x:v>ยังไม่ติดต่อ</x:v>
      </x:c>
    </x:row>
    <x:row r="37" ht="66" customHeight="1">
      <x:c r="A37" s="9" t="n">
        <x:v>29</x:v>
      </x:c>
      <x:c r="B37" s="20" t="str">
        <x:v>อันดามัน เพิร์ล รีสอร์ท อ่าวนาง</x:v>
      </x:c>
      <x:c r="C37" s="20" t="str">
        <x:v>กระบี่</x:v>
      </x:c>
      <x:c r="D37" s="20" t="str">
        <x:v>โรงแรมหรือรีสอร์ท</x:v>
      </x:c>
      <x:c r="E37" s="20" t="str">
        <x:v>Makan Verify; ระบุมีห้องละหมาด</x:v>
      </x:c>
      <x:c r="F37" s="20" t="str">
        <x:v>แหล่งข้อมูลระบุว่ามี</x:v>
      </x:c>
      <x:c r="G37" s="20" t="str">
        <x:v>ยังไม่พบเอกสารรับรองและวันหมดอายุ</x:v>
      </x:c>
      <x:c r="H3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7" s="20" t="str">
        <x:v>754-754/1 Aonang11/1, ตำบล อ่าวนาง อำเภอเมืองกระบี่ กระบี่ 81000</x:v>
      </x:c>
      <x:c r="J37" s="21" t="str">
        <x:v>075810377</x:v>
      </x:c>
      <x:c r="K37" s="23" t="e">
        <x:f>HYPERLINK("https://makanhalalguide.com/shop/detail/5408","เปิดแหล่งข้อมูล 1")</x:f>
        <x:v>HYPERLINK is not implemented. linkLocation=https://makanhalalguide.com/shop/detail/5408, friendlyName=เปิดแหล่งข้อมูล 1</x:v>
      </x:c>
      <x:c r="L37" s="23" t="e">
        <x:f>HYPERLINK("https://www.aonang.go.th/storage/uploads/177821015899.pdf","เปิดแหล่งข้อมูล 2")</x:f>
        <x:v>HYPERLINK is not implemented. linkLocation=https://www.aonang.go.th/storage/uploads/177821015899.pdf, friendlyName=เปิดแหล่งข้อมูล 2</x:v>
      </x:c>
      <x:c r="M37" s="20" t="str">
        <x:v>ผลค้นหาชื่อสัมพันธ์จากแหล่งเพิ่มเติม ต้องยืนยันสาขาและข้อมูลปัจจุบัน</x:v>
      </x:c>
      <x:c r="N37" s="10" t="n">
        <x:v>46315</x:v>
      </x:c>
      <x:c r="O37" s="22" t="str">
        <x:v>ยังไม่ตรวจ</x:v>
      </x:c>
      <x:c r="P37" s="22" t="str">
        <x:v>ยังไม่ติดต่อ</x:v>
      </x:c>
    </x:row>
    <x:row r="38" ht="66" customHeight="1">
      <x:c r="A38" s="9" t="n">
        <x:v>30</x:v>
      </x:c>
      <x:c r="B38" s="20" t="str">
        <x:v>โรงแรม กระบี่ ฟร้อนท์ เบย์ รีสอร์ท</x:v>
      </x:c>
      <x:c r="C38" s="20" t="str">
        <x:v>กระบี่</x:v>
      </x:c>
      <x:c r="D38" s="20" t="str">
        <x:v>โรงแรมหรือรีสอร์ท</x:v>
      </x:c>
      <x:c r="E3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8" s="20" t="str">
        <x:v>ยังไม่พบข้อมูล</x:v>
      </x:c>
      <x:c r="G38" s="20" t="str">
        <x:v>ทะเบียนครัวฮาลาลรับรองถึง 01/01/2570; ยังต้องตรวจเงื่อนไขที่พักอื่น</x:v>
      </x:c>
      <x:c r="H3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38" s="20" t="str">
        <x:v>140/1 หมู่ 7 ตำบลไสไทย อำเภอเมืองกระบี่ จังหวัดกระบี่ 81000 ตำบลไสไทย อำเภอเมืองกระบี่ จังหวัดกระบี่ 81000</x:v>
      </x:c>
      <x:c r="J38" s="21" t="str">
        <x:v>075-626777</x:v>
      </x:c>
      <x:c r="K38" s="23" t="e">
        <x:f>HYPERLINK("https://www.thic.or.th/th/tourist/detail/accommodation/213","เปิดแหล่งข้อมูล 1")</x:f>
        <x:v>HYPERLINK is not implemented. linkLocation=https://www.thic.or.th/th/tourist/detail/accommodation/213, friendlyName=เปิดแหล่งข้อมูล 1</x:v>
      </x:c>
      <x:c r="L38" s="23" t="e">
        <x:f>HYPERLINK("https://halalthai.or.th/th/product/detail/344435","เปิดแหล่งข้อมูล 2")</x:f>
        <x:v>HYPERLINK is not implemented. linkLocation=https://halalthai.or.th/th/product/detail/344435, friendlyName=เปิดแหล่งข้อมูล 2</x:v>
      </x:c>
      <x:c r="M38" s="20" t="str">
        <x:v>ทะเบียนครัวฮาลาล กอท.ฮล.100D9410010658 ระบุรับรองถึง 01/01/2570</x:v>
      </x:c>
      <x:c r="N38" s="10" t="n">
        <x:v>46315</x:v>
      </x:c>
      <x:c r="O38" s="22" t="str">
        <x:v>ยังไม่ตรวจ</x:v>
      </x:c>
      <x:c r="P38" s="22" t="str">
        <x:v>ยังไม่ติดต่อ</x:v>
      </x:c>
    </x:row>
    <x:row r="39" ht="66" customHeight="1">
      <x:c r="A39" s="9" t="n">
        <x:v>31</x:v>
      </x:c>
      <x:c r="B39" s="20" t="str">
        <x:v>Ahad Suite Ao Nang</x:v>
      </x:c>
      <x:c r="C39" s="20" t="str">
        <x:v>กระบี่</x:v>
      </x:c>
      <x:c r="D39" s="20" t="str">
        <x:v>ที่พัก (ตรวจประเภทจากชื่อและข้อมูลประกอบ)</x:v>
      </x:c>
      <x:c r="E39" s="20" t="str">
        <x:v>Makan Verify; ระบุมีห้องละหมาด</x:v>
      </x:c>
      <x:c r="F39" s="20" t="str">
        <x:v>แหล่งข้อมูลระบุว่ามี</x:v>
      </x:c>
      <x:c r="G39" s="20" t="str">
        <x:v>ยังไม่พบเอกสารรับรองและวันหมดอายุ</x:v>
      </x:c>
      <x:c r="H39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39" s="20" t="str">
        <x:v>Klong Heang Sol 5 , Ao Nang, Mueng, Krabi 81000, Thailand, Krabi, Thailand, Krabi</x:v>
      </x:c>
      <x:c r="J39" s="21" t="str">
        <x:v>0967792273</x:v>
      </x:c>
      <x:c r="K39" s="23" t="e">
        <x:f>HYPERLINK("https://makanhalalguide.com/shop/detail/5388","เปิดแหล่งข้อมูล 1")</x:f>
        <x:v>HYPERLINK is not implemented. linkLocation=https://makanhalalguide.com/shop/detail/5388, friendlyName=เปิดแหล่งข้อมูล 1</x:v>
      </x:c>
      <x:c r="L39" s="23" t="e">
        <x:f>HYPERLINK("https://www.agoda.com/en-sg/ahad-suite-ao-nang-by-ma/reviews/krabi-th.html","เปิดแหล่งข้อมูล 2")</x:f>
        <x:v>HYPERLINK is not implemented. linkLocation=https://www.agoda.com/en-sg/ahad-suite-ao-nang-by-ma/reviews/krabi-th.html, friendlyName=เปิดแหล่งข้อมูล 2</x:v>
      </x:c>
      <x:c r="M39" s="20" t="str">
        <x:v>ผลค้นหาชื่อสัมพันธ์จากแหล่งเพิ่มเติม ต้องยืนยันสาขาและข้อมูลปัจจุบัน</x:v>
      </x:c>
      <x:c r="N39" s="10" t="n">
        <x:v>46315</x:v>
      </x:c>
      <x:c r="O39" s="22" t="str">
        <x:v>ยังไม่ตรวจ</x:v>
      </x:c>
      <x:c r="P39" s="22" t="str">
        <x:v>ยังไม่ติดต่อ</x:v>
      </x:c>
    </x:row>
    <x:row r="40" ht="66" customHeight="1">
      <x:c r="A40" s="9" t="n">
        <x:v>32</x:v>
      </x:c>
      <x:c r="B40" s="20" t="str">
        <x:v>White Sand Halal House Krabi</x:v>
      </x:c>
      <x:c r="C40" s="20" t="str">
        <x:v>กระบี่</x:v>
      </x:c>
      <x:c r="D40" s="20" t="str">
        <x:v>ที่พัก (ตรวจประเภทจากชื่อและข้อมูลประกอบ)</x:v>
      </x:c>
      <x:c r="E40" s="20" t="str">
        <x:v>Makan Verify; ระบุมีห้องละหมาด</x:v>
      </x:c>
      <x:c r="F40" s="20" t="str">
        <x:v>แหล่งข้อมูลระบุว่ามี</x:v>
      </x:c>
      <x:c r="G40" s="20" t="str">
        <x:v>ยังไม่พบเอกสารรับรองและวันหมดอายุ</x:v>
      </x:c>
      <x:c r="H40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40" s="20" t="str">
        <x:v>231 หนองทะเล ตำบล หนองทะเล เมือง กระบี่ 81180</x:v>
      </x:c>
      <x:c r="J40" s="21" t="str">
        <x:v>0959251642</x:v>
      </x:c>
      <x:c r="K40" s="23" t="e">
        <x:f>HYPERLINK("https://makanhalalguide.com/shop/detail/5413","เปิดแหล่งข้อมูล 1")</x:f>
        <x:v>HYPERLINK is not implemented. linkLocation=https://makanhalalguide.com/shop/detail/5413, friendlyName=เปิดแหล่งข้อมูล 1</x:v>
      </x:c>
      <x:c r="L40" s="23" t="e">
        <x:f>HYPERLINK("https://www.google.co.th/travel/hotels/entity/ChoIvKWU5_GhzsLrARoNL2cvMTFjMmp2Y3BoNBAB","เปิดแหล่งข้อมูล 2")</x:f>
        <x:v>HYPERLINK is not implemented. linkLocation=https://www.google.co.th/travel/hotels/entity/ChoIvKWU5_GhzsLrARoNL2cvMTFjMmp2Y3BoNBAB, friendlyName=เปิดแหล่งข้อมูล 2</x:v>
      </x:c>
      <x:c r="M40" s="20" t="str">
        <x:v>ผลค้นหาชื่อสัมพันธ์จากแหล่งเพิ่มเติม ต้องยืนยันสาขาและข้อมูลปัจจุบัน</x:v>
      </x:c>
      <x:c r="N40" s="10" t="n">
        <x:v>46315</x:v>
      </x:c>
      <x:c r="O40" s="22" t="str">
        <x:v>ยังไม่ตรวจ</x:v>
      </x:c>
      <x:c r="P40" s="22" t="str">
        <x:v>ยังไม่ติดต่อ</x:v>
      </x:c>
    </x:row>
    <x:row r="41" ht="66" customHeight="1">
      <x:c r="A41" s="9" t="n">
        <x:v>33</x:v>
      </x:c>
      <x:c r="B41" s="20" t="str">
        <x:v>ฮัซซานฟาร์ม</x:v>
      </x:c>
      <x:c r="C41" s="20" t="str">
        <x:v>กระบี่</x:v>
      </x:c>
      <x:c r="D41" s="20" t="str">
        <x:v>ร้านอาหาร</x:v>
      </x:c>
      <x:c r="E41" s="20" t="str">
        <x:v>Makan Verify; ระบุมีห้องละหมาด</x:v>
      </x:c>
      <x:c r="F41" s="20" t="str">
        <x:v>แหล่งข้อมูลระบุว่ามี</x:v>
      </x:c>
      <x:c r="G41" s="20" t="str">
        <x:v>ยังไม่พบเอกสารรับรองและวันหมดอายุ</x:v>
      </x:c>
      <x:c r="H4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1" s="20" t="str">
        <x:v>111 หมู่ที่ 1 คลองประสงค์ ตำบล คลองประสงค์ อำเภอเมืองกระบี่ กระบี่ 81000</x:v>
      </x:c>
      <x:c r="J41" s="21" t="str">
        <x:v>0812716102</x:v>
      </x:c>
      <x:c r="K41" s="23" t="e">
        <x:f>HYPERLINK("https://makanhalalguide.com/shop/detail/5405","เปิดแหล่งข้อมูล 1")</x:f>
        <x:v>HYPERLINK is not implemented. linkLocation=https://makanhalalguide.com/shop/detail/5405, friendlyName=เปิดแหล่งข้อมูล 1</x:v>
      </x:c>
      <x:c r="L41" s="23" t="e">
        <x:f>HYPERLINK("https://www.lemon8-app.com/nxmfonnn/7196320461326762498?region=th","เปิดแหล่งข้อมูล 2")</x:f>
        <x:v>HYPERLINK is not implemented. linkLocation=https://www.lemon8-app.com/nxmfonnn/7196320461326762498?region=th, friendlyName=เปิดแหล่งข้อมูล 2</x:v>
      </x:c>
      <x:c r="M41" s="20" t="str">
        <x:v>ผลค้นหาชื่อสัมพันธ์จากแหล่งเพิ่มเติม ต้องยืนยันสาขาและข้อมูลปัจจุบัน</x:v>
      </x:c>
      <x:c r="N41" s="10" t="n">
        <x:v>46315</x:v>
      </x:c>
      <x:c r="O41" s="22" t="str">
        <x:v>ยังไม่ตรวจ</x:v>
      </x:c>
      <x:c r="P41" s="22" t="str">
        <x:v>ยังไม่ติดต่อ</x:v>
      </x:c>
    </x:row>
    <x:row r="42" ht="66" customHeight="1">
      <x:c r="A42" s="9" t="n">
        <x:v>34</x:v>
      </x:c>
      <x:c r="B42" s="20" t="str">
        <x:v>Almas Hotel Bangkok</x:v>
      </x:c>
      <x:c r="C42" s="20" t="str">
        <x:v>กรุงเทพมหานคร</x:v>
      </x:c>
      <x:c r="D42" s="20" t="str">
        <x:v>โรงแรมหรือรีสอร์ท</x:v>
      </x:c>
      <x:c r="E42" s="20" t="str">
        <x:v>Makan Verify; ระบุมีห้องละหมาด</x:v>
      </x:c>
      <x:c r="F42" s="20" t="str">
        <x:v>แหล่งข้อมูลระบุว่ามี</x:v>
      </x:c>
      <x:c r="G42" s="20" t="str">
        <x:v>ยังไม่พบเอกสารรับรองและวันหมดอายุ</x:v>
      </x:c>
      <x:c r="H4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2" s="20" t="str">
        <x:v>ซอย รามคำแหง 5 แขวงสวนหลวง เขตสวนหลวง กรุงเทพมหานคร 10250</x:v>
      </x:c>
      <x:c r="J42" s="21" t="str">
        <x:v>020902753</x:v>
      </x:c>
      <x:c r="K42" s="23" t="e">
        <x:f>HYPERLINK("https://makanhalalguide.com/shop/detail/5368","เปิดแหล่งข้อมูล 1")</x:f>
        <x:v>HYPERLINK is not implemented. linkLocation=https://makanhalalguide.com/shop/detail/5368, friendlyName=เปิดแหล่งข้อมูล 1</x:v>
      </x:c>
      <x:c r="L42" s="23" t="e">
        <x:f>HYPERLINK("https://www.google.com/travel/hotels/entity/CgsIqqD7wbSsmOHXARAB?ap=SABoAQ&amp;g2lb=2502548%2C2503771%2C2503781%2C2504033%2C4258168%2C4270442%2C4284970%2C4291517%2C4306835%2C4515404%2C4597339%2C4649665%2C4703207%2C4718358%2C4722900%2C4723331%2C4741665%2C4757164%2C4758493%2C4762561%2C4779784%2C4786958%2C4787395%2C4790928%2C4794648%2C4798451%2C4800883&amp;gl=th&amp;hl=th-TH&amp;q=%E0%B8%97%E0%B8%B5%E0%B9%88%E0%B8%9E%E0%B8%B1%E0%B8%81+%E0%B9%83%E0%B8%81%E0%B8%A5%E0%B9%89%E0%B9%82%E0%B8%A3%E0%B8%87%E0%B9%80%E0%B8%A3%E0%B8%B5%E0%B8%A2%E0%B8%99%E0%B9%80%E0%B8%AD%E0%B8%AD%E0%B8%B2%E0%B8%A3%E0%B9%8C%E0%B8%9E%E0%B8%B5%E0%B8%81%E0%B8%B2%E0%B8%A3%E0%B8%9A%E0%B8%B1%E0%B8%8D%E0%B8%8A%E0%B8%B5&amp;rp=OAFAAEgCogFK4LmC4Lij4LiH4LmA4Lij4Li14Lii4LiZIOC5gOC4reC4reC4suC4o-C5jOC4nuC4tSDguIHguLLguKPguJrguLHguI3guIrguLU&amp;ssta=1&amp;ts=CAESCgoCCAMKAggDEAAabgpQEkw6SuC5guC4o-C4h-C5gOC4o-C4teC4ouC4mSDguYDguK3guK3guLLguKPguYzguJ7guLUg4LiB4Liy4Lij4Lia4Lix4LiN4LiK4Li1GgASGhIUCgcI5g8QBxgMEgcI5g8QBxgNGAEyAhAAKgsKBygBOgNUSEIaAA","เปิดแหล่งข้อมูล 2")</x:f>
        <x:v>HYPERLINK is not implemented. linkLocation=https://www.google.com/travel/hotels/entity/CgsIqqD7wbSsmOHXARAB?ap=SABoAQ&amp;g2lb=2502548%2C2503771%2C2503781%2C2504033%2C4258168%2C4270442%2C4284970%2C4291517%2C4306835%2C4515404%2C4597339%2C4649665%2C4703207%2C4718358%2C4722900%2C4723331%2C4741665%2C4757164%2C4758493%2C4762561%2C4779784%2C4786958%2C4787395%2C4790928%2C4794648%2C4798451%2C4800883&amp;gl=th&amp;hl=th-TH&amp;q=%E0%B8%97%E0%B8%B5%E0%B9%88%E0%B8%9E%E0%B8%B1%E0%B8%81+%E0%B9%83%E0%B8%81%E0%B8%A5%E0%B9%89%E0%B9%82%E0%B8%A3%E0%B8%87%E0%B9%80%E0%B8%A3%E0%B8%B5%E0%B8%A2%E0%B8%99%E0%B9%80%E0%B8%AD%E0%B8%AD%E0%B8%B2%E0%B8%A3%E0%B9%8C%E0%B8%9E%E0%B8%B5%E0%B8%81%E0%B8%B2%E0%B8%A3%E0%B8%9A%E0%B8%B1%E0%B8%8D%E0%B8%8A%E0%B8%B5&amp;rp=OAFAAEgCogFK4LmC4Lij4LiH4LmA4Lij4Li14Lii4LiZIOC5gOC4reC4reC4suC4o-C5jOC4nuC4tSDguIHguLLguKPguJrguLHguI3guIrguLU&amp;ssta=1&amp;ts=CAESCgoCCAMKAggDEAAabgpQEkw6SuC5guC4o-C4h-C5gOC4o-C4teC4ouC4mSDguYDguK3guK3guLLguKPguYzguJ7guLUg4LiB4Liy4Lij4Lia4Lix4LiN4LiK4Li1GgASGhIUCgcI5g8QBxgMEgcI5g8QBxgNGAEyAhAAKgsKBygBOgNUSEIaAA, friendlyName=เปิดแหล่งข้อมูล 2</x:v>
      </x:c>
      <x:c r="M42" s="20" t="str">
        <x:v>ผลค้นหาชื่อสัมพันธ์จากแหล่งเพิ่มเติม ต้องยืนยันสาขาและข้อมูลปัจจุบัน</x:v>
      </x:c>
      <x:c r="N42" s="10" t="n">
        <x:v>46315</x:v>
      </x:c>
      <x:c r="O42" s="22" t="str">
        <x:v>ยังไม่ตรวจ</x:v>
      </x:c>
      <x:c r="P42" s="22" t="str">
        <x:v>ยังไม่ติดต่อ</x:v>
      </x:c>
    </x:row>
    <x:row r="43" ht="66" customHeight="1">
      <x:c r="A43" s="9" t="n">
        <x:v>35</x:v>
      </x:c>
      <x:c r="B43" s="20" t="str">
        <x:v>Bed By City Hotel</x:v>
      </x:c>
      <x:c r="C43" s="20" t="str">
        <x:v>กรุงเทพมหานคร</x:v>
      </x:c>
      <x:c r="D43" s="20" t="str">
        <x:v>โรงแรมหรือรีสอร์ท</x:v>
      </x:c>
      <x:c r="E43" s="20" t="str">
        <x:v>Makan Verify; ระบุมีห้องละหมาด</x:v>
      </x:c>
      <x:c r="F43" s="20" t="str">
        <x:v>แหล่งข้อมูลระบุว่ามี</x:v>
      </x:c>
      <x:c r="G43" s="20" t="str">
        <x:v>ยังไม่พบเอกสารรับรองและวันหมดอายุ</x:v>
      </x:c>
      <x:c r="H4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3" s="20" t="str">
        <x:v>59/1-5 ซอย สุขสันต์ แขวงสี่พระยา เขตบางรัก กรุงเทพมหานคร 10500</x:v>
      </x:c>
      <x:c r="J43" s="21" t="str">
        <x:v>026370021</x:v>
      </x:c>
      <x:c r="K43" s="23" t="e">
        <x:f>HYPERLINK("https://makanhalalguide.com/shop/detail/5364","เปิดแหล่งข้อมูล 1")</x:f>
        <x:v>HYPERLINK is not implemented. linkLocation=https://makanhalalguide.com/shop/detail/5364, friendlyName=เปิดแหล่งข้อมูล 1</x:v>
      </x:c>
      <x:c r="L43" s="23" t="e">
        <x:f>HYPERLINK("https://www.booking.com/hotel/th/bed-by-sam-yan.th.html","เปิดแหล่งข้อมูล 2")</x:f>
        <x:v>HYPERLINK is not implemented. linkLocation=https://www.booking.com/hotel/th/bed-by-sam-yan.th.html, friendlyName=เปิดแหล่งข้อมูล 2</x:v>
      </x:c>
      <x:c r="M43" s="20" t="str">
        <x:v>ผลค้นหาชื่อสัมพันธ์จากแหล่งเพิ่มเติม ต้องยืนยันสาขาและข้อมูลปัจจุบัน</x:v>
      </x:c>
      <x:c r="N43" s="10" t="n">
        <x:v>46315</x:v>
      </x:c>
      <x:c r="O43" s="22" t="str">
        <x:v>ยังไม่ตรวจ</x:v>
      </x:c>
      <x:c r="P43" s="22" t="str">
        <x:v>ยังไม่ติดต่อ</x:v>
      </x:c>
    </x:row>
    <x:row r="44" ht="66" customHeight="1">
      <x:c r="A44" s="9" t="n">
        <x:v>36</x:v>
      </x:c>
      <x:c r="B44" s="20" t="str">
        <x:v>Bed by Thapra Hotel</x:v>
      </x:c>
      <x:c r="C44" s="20" t="str">
        <x:v>กรุงเทพมหานคร</x:v>
      </x:c>
      <x:c r="D44" s="20" t="str">
        <x:v>โรงแรมหรือรีสอร์ท</x:v>
      </x:c>
      <x:c r="E44" s="20" t="str">
        <x:v>Makan Verify; ระบุมีห้องละหมาด</x:v>
      </x:c>
      <x:c r="F44" s="20" t="str">
        <x:v>แหล่งข้อมูลระบุว่ามี</x:v>
      </x:c>
      <x:c r="G44" s="20" t="str">
        <x:v>ยังไม่พบเอกสารรับรองและวันหมดอายุ</x:v>
      </x:c>
      <x:c r="H4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4" s="20" t="str">
        <x:v>134/12-14 Phet Kasem Rd., Soi 26/1 Pak Khlong Phasi Charoen, Bangkok, Thailand, Bangkok</x:v>
      </x:c>
      <x:c r="J44" s="21" t="str">
        <x:v>028686888</x:v>
      </x:c>
      <x:c r="K44" s="23" t="e">
        <x:f>HYPERLINK("https://makanhalalguide.com/shop/detail/5212","เปิดแหล่งข้อมูล 1")</x:f>
        <x:v>HYPERLINK is not implemented. linkLocation=https://makanhalalguide.com/shop/detail/5212, friendlyName=เปิดแหล่งข้อมูล 1</x:v>
      </x:c>
      <x:c r="L44" s="23" t="e">
        <x:f>HYPERLINK("https://www.google.com/travel/hotels/entity/CgoI3_ng14qnndQGEAE","เปิดแหล่งข้อมูล 2")</x:f>
        <x:v>HYPERLINK is not implemented. linkLocation=https://www.google.com/travel/hotels/entity/CgoI3_ng14qnndQGEAE, friendlyName=เปิดแหล่งข้อมูล 2</x:v>
      </x:c>
      <x:c r="M44" s="20" t="str">
        <x:v>ผลค้นหาชื่อสัมพันธ์จากแหล่งเพิ่มเติม ต้องยืนยันสาขาและข้อมูลปัจจุบัน</x:v>
      </x:c>
      <x:c r="N44" s="10" t="n">
        <x:v>46315</x:v>
      </x:c>
      <x:c r="O44" s="22" t="str">
        <x:v>ยังไม่ตรวจ</x:v>
      </x:c>
      <x:c r="P44" s="22" t="str">
        <x:v>ยังไม่ติดต่อ</x:v>
      </x:c>
    </x:row>
    <x:row r="45" ht="66" customHeight="1">
      <x:c r="A45" s="9" t="n">
        <x:v>37</x:v>
      </x:c>
      <x:c r="B45" s="20" t="str">
        <x:v>Diya Hotel Srinakarin</x:v>
      </x:c>
      <x:c r="C45" s="20" t="str">
        <x:v>กรุงเทพมหานคร</x:v>
      </x:c>
      <x:c r="D45" s="20" t="str">
        <x:v>โรงแรมหรือรีสอร์ท</x:v>
      </x:c>
      <x:c r="E45" s="20" t="str">
        <x:v>Makan Verify; ระบุมีห้องละหมาด</x:v>
      </x:c>
      <x:c r="F45" s="20" t="str">
        <x:v>แหล่งข้อมูลระบุว่ามี</x:v>
      </x:c>
      <x:c r="G45" s="20" t="str">
        <x:v>ยังไม่พบเอกสารรับรองและวันหมดอายุ</x:v>
      </x:c>
      <x:c r="H4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5" s="20" t="str">
        <x:v>597 2 ถ. ศรีนครินทร์ แขวงพัฒนาการ เขตสวนหลวง กรุงเทพมหานคร 10250</x:v>
      </x:c>
      <x:c r="J45" s="21" t="str">
        <x:v>0811422711</x:v>
      </x:c>
      <x:c r="K45" s="23" t="e">
        <x:f>HYPERLINK("https://makanhalalguide.com/shop/detail/5362","เปิดแหล่งข้อมูล 1")</x:f>
        <x:v>HYPERLINK is not implemented. linkLocation=https://makanhalalguide.com/shop/detail/5362, friendlyName=เปิดแหล่งข้อมูล 1</x:v>
      </x:c>
      <x:c r="L45" s="23" t="e">
        <x:f>HYPERLINK("https://www.thic.or.th/th/tourist/detail/accommodation/542","เปิดแหล่งข้อมูล 2")</x:f>
        <x:v>HYPERLINK is not implemented. linkLocation=https://www.thic.or.th/th/tourist/detail/accommodation/542, friendlyName=เปิดแหล่งข้อมูล 2</x:v>
      </x:c>
      <x:c r="M4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N45" s="10" t="n">
        <x:v>46315</x:v>
      </x:c>
      <x:c r="O45" s="22" t="str">
        <x:v>ยังไม่ตรวจ</x:v>
      </x:c>
      <x:c r="P45" s="22" t="str">
        <x:v>ยังไม่ติดต่อ</x:v>
      </x:c>
    </x:row>
    <x:row r="46" ht="66" customHeight="1">
      <x:c r="A46" s="9" t="n">
        <x:v>38</x:v>
      </x:c>
      <x:c r="B46" s="20" t="str">
        <x:v>Lilit Banglumphu Hotel - Bangkok</x:v>
      </x:c>
      <x:c r="C46" s="20" t="str">
        <x:v>กรุงเทพมหานคร</x:v>
      </x:c>
      <x:c r="D46" s="20" t="str">
        <x:v>โรงแรมหรือรีสอร์ท</x:v>
      </x:c>
      <x:c r="E46" s="20" t="str">
        <x:v>Makan Verify; ระบุมีห้องละหมาด</x:v>
      </x:c>
      <x:c r="F46" s="20" t="str">
        <x:v>แหล่งข้อมูลระบุว่ามี</x:v>
      </x:c>
      <x:c r="G46" s="20" t="str">
        <x:v>ยังไม่พบเอกสารรับรองและวันหมดอายุ</x:v>
      </x:c>
      <x:c r="H4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6" s="20" t="str">
        <x:v>55 ถนนพระสุเมรุ 8 ตรอก บ้านหล่อ บ้านพันธม พระนคร กรุงเทพมหานคร 10200</x:v>
      </x:c>
      <x:c r="J46" s="21" t="str">
        <x:v>020266949</x:v>
      </x:c>
      <x:c r="K46" s="23" t="e">
        <x:f>HYPERLINK("https://makanhalalguide.com/shop/detail/5140","เปิดแหล่งข้อมูล 1")</x:f>
        <x:v>HYPERLINK is not implemented. linkLocation=https://makanhalalguide.com/shop/detail/5140, friendlyName=เปิดแหล่งข้อมูล 1</x:v>
      </x:c>
      <x:c r="L46" s="23" t="e">
        <x:f>HYPERLINK("https://www.google.co.th/travel/hotels/entity/ChoI9_ijnImJoKHLARoNL2cvMTF0bnhmenF0axAB?ap=SAE&amp;g2lb=4181926%2C4208993%2C4209587%2C4207631%2C4215917&amp;gl=jp&amp;hl=en&amp;q=hotel+around+the+ambassador+bangkok+hotel+sukhumvit+soi+11&amp;rp=OAFAAA&amp;tcfs=EjUKCS9tLzA4cnRibhIOU3VraHVtdml0IFJvYWQaGAoKMjAxOC0xMi0xMxIKMjAxOC0xMi0xNCIYCgoyMDE4LTEyLTEzEgoyMDE4LTEyLTE0UgA&amp;ts=CAEaIgoCGgASHBIUCgcI6g8QBRgLEgcI6g8QBRgQGAUyAhAAOAEqCQoFOgNKUFkaAA&amp;un=0","เปิดแหล่งข้อมูล 2")</x:f>
        <x:v>HYPERLINK is not implemented. linkLocation=https://www.google.co.th/travel/hotels/entity/ChoI9_ijnImJoKHLARoNL2cvMTF0bnhmenF0axAB?ap=SAE&amp;g2lb=4181926%2C4208993%2C4209587%2C4207631%2C4215917&amp;gl=jp&amp;hl=en&amp;q=hotel+around+the+ambassador+bangkok+hotel+sukhumvit+soi+11&amp;rp=OAFAAA&amp;tcfs=EjUKCS9tLzA4cnRibhIOU3VraHVtdml0IFJvYWQaGAoKMjAxOC0xMi0xMxIKMjAxOC0xMi0xNCIYCgoyMDE4LTEyLTEzEgoyMDE4LTEyLTE0UgA&amp;ts=CAEaIgoCGgASHBIUCgcI6g8QBRgLEgcI6g8QBRgQGAUyAhAAOAEqCQoFOgNKUFkaAA&amp;un=0, friendlyName=เปิดแหล่งข้อมูล 2</x:v>
      </x:c>
      <x:c r="M46" s="20" t="str">
        <x:v>ผลค้นหาชื่อสัมพันธ์จากแหล่งเพิ่มเติม ต้องยืนยันสาขาและข้อมูลปัจจุบัน</x:v>
      </x:c>
      <x:c r="N46" s="10" t="n">
        <x:v>46315</x:v>
      </x:c>
      <x:c r="O46" s="22" t="str">
        <x:v>ยังไม่ตรวจ</x:v>
      </x:c>
      <x:c r="P46" s="22" t="str">
        <x:v>ยังไม่ติดต่อ</x:v>
      </x:c>
    </x:row>
    <x:row r="47" ht="66" customHeight="1">
      <x:c r="A47" s="9" t="n">
        <x:v>39</x:v>
      </x:c>
      <x:c r="B47" s="20" t="str">
        <x:v>Nouvo City Hotel - โรงแรมนูโว ซิตี</x:v>
      </x:c>
      <x:c r="C47" s="20" t="str">
        <x:v>กรุงเทพมหานคร</x:v>
      </x:c>
      <x:c r="D47" s="20" t="str">
        <x:v>โรงแรมหรือรีสอร์ท</x:v>
      </x:c>
      <x:c r="E47" s="20" t="str">
        <x:v>Makan Verify; ระบุมีห้องละหมาด</x:v>
      </x:c>
      <x:c r="F47" s="20" t="str">
        <x:v>แหล่งข้อมูลระบุว่ามี</x:v>
      </x:c>
      <x:c r="G47" s="20" t="str">
        <x:v>ยังไม่พบเอกสารรับรองและวันหมดอายุ</x:v>
      </x:c>
      <x:c r="H4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7" s="20" t="str">
        <x:v>2 ซ.สามเสน 2 ถ.สามเสน พระนคร, บางลำพู, เขตพระนคร, กรุงเทพฯ, 10200</x:v>
      </x:c>
      <x:c r="J47" s="21" t="str">
        <x:v>022827500</x:v>
      </x:c>
      <x:c r="K47" s="23" t="e">
        <x:f>HYPERLINK("https://makanhalalguide.com/shop/detail/5179","เปิดแหล่งข้อมูล 1")</x:f>
        <x:v>HYPERLINK is not implemented. linkLocation=https://makanhalalguide.com/shop/detail/5179, friendlyName=เปิดแหล่งข้อมูล 1</x:v>
      </x:c>
      <x:c r="L47" s="23" t="e">
        <x:f>HYPERLINK("https://www.nouvocityhotel.com/","เปิดแหล่งข้อมูล 2")</x:f>
        <x:v>HYPERLINK is not implemented. linkLocation=https://www.nouvocityhotel.com/, friendlyName=เปิดแหล่งข้อมูล 2</x:v>
      </x:c>
      <x:c r="M47" s="20" t="str">
        <x:v>โรงแรมที่ดำเนินการด้านฮาลาล ต้องตรวจเอกสารรับรองปัจจุบัน พื้นที่ละหมาด และเงื่อนไขที่พัก</x:v>
      </x:c>
      <x:c r="N47" s="10" t="n">
        <x:v>46315</x:v>
      </x:c>
      <x:c r="O47" s="22" t="str">
        <x:v>ยังไม่ตรวจ</x:v>
      </x:c>
      <x:c r="P47" s="22" t="str">
        <x:v>ยังไม่ติดต่อ</x:v>
      </x:c>
    </x:row>
    <x:row r="48" ht="66" customHeight="1">
      <x:c r="A48" s="9" t="n">
        <x:v>40</x:v>
      </x:c>
      <x:c r="B48" s="20" t="str">
        <x:v>Regent Thailand Hotel รามคำแหง22</x:v>
      </x:c>
      <x:c r="C48" s="20" t="str">
        <x:v>กรุงเทพมหานคร</x:v>
      </x:c>
      <x:c r="D48" s="20" t="str">
        <x:v>โรงแรมหรือรีสอร์ท</x:v>
      </x:c>
      <x:c r="E48" s="20" t="str">
        <x:v>Makan Verify; ระบุมีห้องละหมาด</x:v>
      </x:c>
      <x:c r="F48" s="20" t="str">
        <x:v>แหล่งข้อมูลระบุว่ามี</x:v>
      </x:c>
      <x:c r="G48" s="20" t="str">
        <x:v>ยังไม่พบเอกสารรับรองและวันหมดอายุ / มีชื่อในทะเบียน GMHI 5 ดาว; ยังต้องยืนยันใบอาหารฮาลาลและวันหมดอายุแยกกัน</x:v>
      </x:c>
      <x:c r="H4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8" s="20" t="str">
        <x:v>4 ซ. รามคำแหง 22 แขวงหัวหมาก แขวงบางกะปิ กรุงเทพมหานคร 10240</x:v>
      </x:c>
      <x:c r="J48" s="21" t="str">
        <x:v>023184440</x:v>
      </x:c>
      <x:c r="K48" s="23" t="e">
        <x:f>HYPERLINK("https://makanhalalguide.com/shop/detail/5182","เปิดแหล่งข้อมูล 1")</x:f>
        <x:v>HYPERLINK is not implemented. linkLocation=https://makanhalalguide.com/shop/detail/5182, friendlyName=เปิดแหล่งข้อมูล 1</x:v>
      </x:c>
      <x:c r="L48" s="23" t="e">
        <x:f>HYPERLINK("https://salehere.co.th/articles/accommodation-near-rajamangala-stadium","เปิดแหล่งข้อมูล 2")</x:f>
        <x:v>HYPERLINK is not implemented. linkLocation=https://salehere.co.th/articles/accommodation-near-rajamangala-stadium, friendlyName=เปิดแหล่งข้อมูล 2</x:v>
      </x:c>
      <x:c r="M48" s="20" t="str">
        <x:v>ผลค้นหาชื่อสัมพันธ์จากแหล่งเพิ่มเติม ต้องยืนยันสาขาและข้อมูลปัจจุบัน</x:v>
      </x:c>
      <x:c r="N48" s="10" t="n">
        <x:v>46315</x:v>
      </x:c>
      <x:c r="O48" s="22" t="str">
        <x:v>ยังไม่ตรวจ</x:v>
      </x:c>
      <x:c r="P48" s="22" t="str">
        <x:v>ยังไม่ติดต่อ</x:v>
      </x:c>
    </x:row>
    <x:row r="49" ht="66" customHeight="1">
      <x:c r="A49" s="9" t="n">
        <x:v>41</x:v>
      </x:c>
      <x:c r="B49" s="20" t="str">
        <x:v>The Riski Hotel &amp; Residence Bangphlat Station</x:v>
      </x:c>
      <x:c r="C49" s="20" t="str">
        <x:v>กรุงเทพมหานคร</x:v>
      </x:c>
      <x:c r="D49" s="20" t="str">
        <x:v>โรงแรมหรือรีสอร์ท</x:v>
      </x:c>
      <x:c r="E49" s="20" t="str">
        <x:v>Makan Verify; ระบุมีห้องละหมาด</x:v>
      </x:c>
      <x:c r="F49" s="20" t="str">
        <x:v>แหล่งข้อมูลระบุว่ามี</x:v>
      </x:c>
      <x:c r="G49" s="20" t="str">
        <x:v>ยังไม่พบเอกสารรับรองและวันหมดอายุ / มีชื่อในทะเบียน GMHI 5 ดาว; ยังต้องยืนยันใบอาหารฮาลาลและวันหมดอายุแยกกัน</x:v>
      </x:c>
      <x:c r="H4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49" s="20" t="str">
        <x:v>359 ซอย 77/1 แขวงบางพลัด เขตบางพลัด กรุงเทพมหานคร 10700</x:v>
      </x:c>
      <x:c r="J49" s="21" t="str">
        <x:v>0981905090</x:v>
      </x:c>
      <x:c r="K49" s="23" t="e">
        <x:f>HYPERLINK("https://makanhalalguide.com/shop/detail/5189","เปิดแหล่งข้อมูล 1")</x:f>
        <x:v>HYPERLINK is not implemented. linkLocation=https://makanhalalguide.com/shop/detail/5189, friendlyName=เปิดแหล่งข้อมูล 1</x:v>
      </x:c>
      <x:c r="L49" s="23" t="e">
        <x:f>HYPERLINK("https://th.tripadvisor.com/Hotel_Review-g293916-d23829611-Reviews-The_Riski_Hotel_Residence_Bangphlat_Station-Bangkok.html","เปิดแหล่งข้อมูล 2")</x:f>
        <x:v>HYPERLINK is not implemented. linkLocation=https://th.tripadvisor.com/Hotel_Review-g293916-d23829611-Reviews-The_Riski_Hotel_Residence_Bangphlat_Station-Bangkok.html, friendlyName=เปิดแหล่งข้อมูล 2</x:v>
      </x:c>
      <x:c r="M49" s="20" t="str">
        <x:v>ผลค้นหาชื่อสัมพันธ์จากแหล่งเพิ่มเติม ต้องยืนยันสาขาและข้อมูลปัจจุบัน</x:v>
      </x:c>
      <x:c r="N49" s="10" t="n">
        <x:v>46315</x:v>
      </x:c>
      <x:c r="O49" s="22" t="str">
        <x:v>ยังไม่ตรวจ</x:v>
      </x:c>
      <x:c r="P49" s="22" t="str">
        <x:v>ยังไม่ติดต่อ</x:v>
      </x:c>
    </x:row>
    <x:row r="50" ht="66" customHeight="1">
      <x:c r="A50" s="9" t="n">
        <x:v>42</x:v>
      </x:c>
      <x:c r="B50" s="20" t="str">
        <x:v>Zayn Hotel Bangkok</x:v>
      </x:c>
      <x:c r="C50" s="20" t="str">
        <x:v>กรุงเทพมหานคร</x:v>
      </x:c>
      <x:c r="D50" s="20" t="str">
        <x:v>โรงแรมหรือรีสอร์ท</x:v>
      </x:c>
      <x:c r="E50" s="20" t="str">
        <x:v>Makan Verify; ระบุมีห้องละหมาด</x:v>
      </x:c>
      <x:c r="F50" s="20" t="str">
        <x:v>แหล่งข้อมูลระบุว่ามี</x:v>
      </x:c>
      <x:c r="G50" s="20" t="str">
        <x:v>ยังไม่พบเอกสารรับรองและวันหมดอายุ</x:v>
      </x:c>
      <x:c r="H5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0" s="20" t="str">
        <x:v>593 595 ถ. ศรีนครินทร์ แขวงสวนหลวง เขตสวนหลวง กรุงเทพมหานคร 10250</x:v>
      </x:c>
      <x:c r="J50" s="21" t="str">
        <x:v>023222455</x:v>
      </x:c>
      <x:c r="K50" s="23" t="e">
        <x:f>HYPERLINK("https://makanhalalguide.com/shop/detail/5188","เปิดแหล่งข้อมูล 1")</x:f>
        <x:v>HYPERLINK is not implemented. linkLocation=https://makanhalalguide.com/shop/detail/5188, friendlyName=เปิดแหล่งข้อมูล 1</x:v>
      </x:c>
      <x:c r="L50" s="23" t="e">
        <x:f>HYPERLINK("https://www.thic.or.th/th/tourist/detail/accommodation/540","เปิดแหล่งข้อมูล 2")</x:f>
        <x:v>HYPERLINK is not implemented. linkLocation=https://www.thic.or.th/th/tourist/detail/accommodation/540, friendlyName=เปิดแหล่งข้อมูล 2</x:v>
      </x:c>
      <x:c r="M5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N50" s="10" t="n">
        <x:v>46315</x:v>
      </x:c>
      <x:c r="O50" s="22" t="str">
        <x:v>ยังไม่ตรวจ</x:v>
      </x:c>
      <x:c r="P50" s="22" t="str">
        <x:v>ยังไม่ติดต่อ</x:v>
      </x:c>
    </x:row>
    <x:row r="51" ht="66" customHeight="1">
      <x:c r="A51" s="9" t="n">
        <x:v>43</x:v>
      </x:c>
      <x:c r="B51" s="20" t="str">
        <x:v>โรงแรมบ้านเจ้าคุณ เคหะร่มเกล้า</x:v>
      </x:c>
      <x:c r="C51" s="20" t="str">
        <x:v>กรุงเทพมหานคร</x:v>
      </x:c>
      <x:c r="D51" s="20" t="str">
        <x:v>โรงแรมหรือรีสอร์ท</x:v>
      </x:c>
      <x:c r="E51" s="20" t="str">
        <x:v>Makan Verify; ระบุมีห้องละหมาด</x:v>
      </x:c>
      <x:c r="F51" s="20" t="str">
        <x:v>แหล่งข้อมูลระบุว่ามี</x:v>
      </x:c>
      <x:c r="G51" s="20" t="str">
        <x:v>ยังไม่พบเอกสารรับรองและวันหมดอายุ</x:v>
      </x:c>
      <x:c r="H5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1" s="20" t="str">
        <x:v>1253 1 ถ. เคหะร่มเกล้า แขวงคลองสองต้นนุ่น เขตลาดกระบัง กรุงเทพมหานคร 10520</x:v>
      </x:c>
      <x:c r="J51" s="21" t="str">
        <x:v>0927502000</x:v>
      </x:c>
      <x:c r="K51" s="23" t="e">
        <x:f>HYPERLINK("https://makanhalalguide.com/shop/detail/6104","เปิดแหล่งข้อมูล 1")</x:f>
        <x:v>HYPERLINK is not implemented. linkLocation=https://makanhalalguide.com/shop/detail/6104, friendlyName=เปิดแหล่งข้อมูล 1</x:v>
      </x:c>
      <x:c r="L51" s="23" t="e">
        <x:f>HYPERLINK("https://www.renthub.in.th/%E0%B9%82%E0%B8%A3%E0%B8%87%E0%B9%81%E0%B8%A3%E0%B8%A1%E0%B8%9A%E0%B9%89%E0%B8%B2%E0%B8%99%E0%B9%80%E0%B8%88%E0%B9%89%E0%B8%B2%E0%B8%84%E0%B8%B8%E0%B8%93","เปิดแหล่งข้อมูล 2")</x:f>
        <x:v>HYPERLINK is not implemented. linkLocation=https://www.renthub.in.th/%E0%B9%82%E0%B8%A3%E0%B8%87%E0%B9%81%E0%B8%A3%E0%B8%A1%E0%B8%9A%E0%B9%89%E0%B8%B2%E0%B8%99%E0%B9%80%E0%B8%88%E0%B9%89%E0%B8%B2%E0%B8%84%E0%B8%B8%E0%B8%93, friendlyName=เปิดแหล่งข้อมูล 2</x:v>
      </x:c>
      <x:c r="M51" s="20" t="str">
        <x:v>ผลค้นหาชื่อสัมพันธ์จากแหล่งเพิ่มเติม ต้องยืนยันสาขาและข้อมูลปัจจุบัน</x:v>
      </x:c>
      <x:c r="N51" s="10" t="n">
        <x:v>46315</x:v>
      </x:c>
      <x:c r="O51" s="22" t="str">
        <x:v>ยังไม่ตรวจ</x:v>
      </x:c>
      <x:c r="P51" s="22" t="str">
        <x:v>ยังไม่ติดต่อ</x:v>
      </x:c>
    </x:row>
    <x:row r="52" ht="66" customHeight="1">
      <x:c r="A52" s="9" t="n">
        <x:v>44</x:v>
      </x:c>
      <x:c r="B52" s="20" t="str">
        <x:v>โรงแรมอัล มีรอซ กรุงเทพ</x:v>
      </x:c>
      <x:c r="C52" s="20" t="str">
        <x:v>กรุงเทพมหานคร</x:v>
      </x:c>
      <x:c r="D52" s="20" t="str">
        <x:v>โรงแรมหรือรีสอร์ท</x:v>
      </x:c>
      <x:c r="E52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52" s="20" t="str">
        <x:v>แหล่งข้อมูลระบุว่ามี</x:v>
      </x:c>
      <x:c r="G52" s="20" t="str">
        <x:v>ผู้ประกอบการระบุอาหารได้รับรองฮาลาล ยังต้องตรวจใบรับรองและวันหมดอายุ</x:v>
      </x:c>
      <x:c r="H5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2" s="20" t="str">
        <x:v>1093/99 ถ. รามคำแหง แขวงลาดพร้าว เขตลาดพร้าว กรุงเทพมหานคร 10240</x:v>
      </x:c>
      <x:c r="J52" s="21" t="str">
        <x:v>Line :</x:v>
      </x:c>
      <x:c r="K52" s="23" t="e">
        <x:f>HYPERLINK("https://www.thic.or.th/th/tourist/detail/accommodation/538","เปิดแหล่งข้อมูล 1")</x:f>
        <x:v>HYPERLINK is not implemented. linkLocation=https://www.thic.or.th/th/tourist/detail/accommodation/538, friendlyName=เปิดแหล่งข้อมูล 1</x:v>
      </x:c>
      <x:c r="L52" s="23" t="e">
        <x:f>HYPERLINK("https://www.almerozhotel.com/th/hotel/about-us","เปิดแหล่งข้อมูล 2")</x:f>
        <x:v>HYPERLINK is not implemented. linkLocation=https://www.almerozhotel.com/th/hotel/about-us, friendlyName=เปิดแหล่งข้อมูล 2</x:v>
      </x:c>
      <x:c r="M52" s="20" t="str">
        <x:v>ผู้ประกอบการระบุอาหารได้รับรองฮาลาล ไม่มีแอลกอฮอล์ มีทิศกิบลัตและพรมละหมาดในห้อง</x:v>
      </x:c>
      <x:c r="N52" s="10" t="n">
        <x:v>46315</x:v>
      </x:c>
      <x:c r="O52" s="22" t="str">
        <x:v>ยังไม่ตรวจ</x:v>
      </x:c>
      <x:c r="P52" s="22" t="str">
        <x:v>ยังไม่ติดต่อ</x:v>
      </x:c>
    </x:row>
    <x:row r="53" ht="66" customHeight="1">
      <x:c r="A53" s="9" t="n">
        <x:v>45</x:v>
      </x:c>
      <x:c r="B53" s="20" t="str">
        <x:v>Abu Ali Cuisine By Iraqi Restaurant</x:v>
      </x:c>
      <x:c r="C53" s="20" t="str">
        <x:v>กรุงเทพมหานคร</x:v>
      </x:c>
      <x:c r="D53" s="20" t="str">
        <x:v>ร้านอาหาร</x:v>
      </x:c>
      <x:c r="E53" s="20" t="str">
        <x:v>Makan Verify; ระบุมีห้องละหมาด</x:v>
      </x:c>
      <x:c r="F53" s="20" t="str">
        <x:v>แหล่งข้อมูลระบุว่ามี</x:v>
      </x:c>
      <x:c r="G53" s="20" t="str">
        <x:v>ยังไม่พบเอกสารรับรองและวันหมดอายุ</x:v>
      </x:c>
      <x:c r="H5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3" s="20" t="str">
        <x:v>181 ห้อง B4 โครงการ ECO PARK พัฒนาการ 32 แขวง/เขต สวนหลวง กรุงเทพ 10250</x:v>
      </x:c>
      <x:c r="J53" s="21" t="str">
        <x:v>0970899994</x:v>
      </x:c>
      <x:c r="K53" s="23" t="e">
        <x:f>HYPERLINK("https://makanhalalguide.com/shop/detail/6100","เปิดแหล่งข้อมูล 1")</x:f>
        <x:v>HYPERLINK is not implemented. linkLocation=https://makanhalalguide.com/shop/detail/6100, friendlyName=เปิดแหล่งข้อมูล 1</x:v>
      </x:c>
      <x:c r="L53" s="23" t="e">
        <x:f>HYPERLINK("https://www.wongnai.com/restaurants/3287656yj-abu-ali-cuisine-by-iraqi-restaurant-%D9%85%D8%B7%D8%B9%D9%85-%D8%A3%D8%A8%D9%88-%D8%B9%D9%84%D9%8A","เปิดแหล่งข้อมูล 2")</x:f>
        <x:v>HYPERLINK is not implemented. linkLocation=https://www.wongnai.com/restaurants/3287656yj-abu-ali-cuisine-by-iraqi-restaurant-%D9%85%D8%B7%D8%B9%D9%85-%D8%A3%D8%A8%D9%88-%D8%B9%D9%84%D9%8A, friendlyName=เปิดแหล่งข้อมูล 2</x:v>
      </x:c>
      <x:c r="M53" s="20" t="str">
        <x:v>ผลค้นหาชื่อสัมพันธ์จากแหล่งเพิ่มเติม ต้องยืนยันสาขาและข้อมูลปัจจุบัน</x:v>
      </x:c>
      <x:c r="N53" s="10" t="n">
        <x:v>46315</x:v>
      </x:c>
      <x:c r="O53" s="22" t="str">
        <x:v>ยังไม่ตรวจ</x:v>
      </x:c>
      <x:c r="P53" s="22" t="str">
        <x:v>ยังไม่ติดต่อ</x:v>
      </x:c>
    </x:row>
    <x:row r="54" ht="66" customHeight="1">
      <x:c r="A54" s="9" t="n">
        <x:v>46</x:v>
      </x:c>
      <x:c r="B54" s="20" t="str">
        <x:v>Alinga Tea &amp; Dining - อลิงก้า</x:v>
      </x:c>
      <x:c r="C54" s="20" t="str">
        <x:v>กรุงเทพมหานคร</x:v>
      </x:c>
      <x:c r="D54" s="20" t="str">
        <x:v>ร้านอาหาร</x:v>
      </x:c>
      <x:c r="E54" s="20" t="str">
        <x:v>Makan Verify; ระบุมีห้องละหมาด</x:v>
      </x:c>
      <x:c r="F54" s="20" t="str">
        <x:v>แหล่งข้อมูลระบุว่ามี</x:v>
      </x:c>
      <x:c r="G54" s="20" t="str">
        <x:v>ยังไม่พบเอกสารรับรองและวันหมดอายุ</x:v>
      </x:c>
      <x:c r="H5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4" s="20" t="str">
        <x:v>ซอยอับดุรเราะฮ์มาน (ริมถนนพระราม 9 อยู่ถัดจากซอยพระรามเก้า 39 ประมาณ 100 ม.) ถนนพระราม 9 แขวงหัวหมาก เขตบางกะปิ กรุงเทพมหานคร 10240</x:v>
      </x:c>
      <x:c r="J54" s="21" t="str">
        <x:v>0661681277</x:v>
      </x:c>
      <x:c r="K54" s="23" t="e">
        <x:f>HYPERLINK("https://makanhalalguide.com/shop/detail/5347","เปิดแหล่งข้อมูล 1")</x:f>
        <x:v>HYPERLINK is not implemented. linkLocation=https://makanhalalguide.com/shop/detail/5347, friendlyName=เปิดแหล่งข้อมูล 1</x:v>
      </x:c>
      <x:c r="L54" s="23" t="e">
        <x:f>HYPERLINK("https://www.wongnai.com/restaurants/3230208Qb-alinga-tea-dining-%E0%B8%AD%E0%B8%A5%E0%B8%B4%E0%B8%87%E0%B8%81%E0%B8%B2","เปิดแหล่งข้อมูล 2")</x:f>
        <x:v>HYPERLINK is not implemented. linkLocation=https://www.wongnai.com/restaurants/3230208Qb-alinga-tea-dining-%E0%B8%AD%E0%B8%A5%E0%B8%B4%E0%B8%87%E0%B8%81%E0%B8%B2, friendlyName=เปิดแหล่งข้อมูล 2</x:v>
      </x:c>
      <x:c r="M54" s="20" t="str">
        <x:v>ผลค้นหาชื่อสัมพันธ์จากแหล่งเพิ่มเติม ต้องยืนยันสาขาและข้อมูลปัจจุบัน</x:v>
      </x:c>
      <x:c r="N54" s="10" t="n">
        <x:v>46315</x:v>
      </x:c>
      <x:c r="O54" s="22" t="str">
        <x:v>ยังไม่ตรวจ</x:v>
      </x:c>
      <x:c r="P54" s="22" t="str">
        <x:v>ยังไม่ติดต่อ</x:v>
      </x:c>
    </x:row>
    <x:row r="55" ht="66" customHeight="1">
      <x:c r="A55" s="9" t="n">
        <x:v>47</x:v>
      </x:c>
      <x:c r="B55" s="20" t="str">
        <x:v>Bigbeef Premium HALAL Buffet</x:v>
      </x:c>
      <x:c r="C55" s="20" t="str">
        <x:v>กรุงเทพมหานคร</x:v>
      </x:c>
      <x:c r="D55" s="20" t="str">
        <x:v>ร้านอาหาร</x:v>
      </x:c>
      <x:c r="E55" s="20" t="str">
        <x:v>Makan Verify; ระบุมีห้องละหมาด</x:v>
      </x:c>
      <x:c r="F55" s="20" t="str">
        <x:v>แหล่งข้อมูลระบุว่ามี</x:v>
      </x:c>
      <x:c r="G55" s="20" t="str">
        <x:v>ยังไม่พบเอกสารรับรองและวันหมดอายุ</x:v>
      </x:c>
      <x:c r="H5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5" s="20" t="str">
        <x:v>102 ถนน เชื่อมสัมพันธ์ แขวงกระทุ่มราย เขตหนองจอก กรุงเทพมหานคร 10530</x:v>
      </x:c>
      <x:c r="J55" s="21" t="str">
        <x:v>0653010902</x:v>
      </x:c>
      <x:c r="K55" s="23" t="e">
        <x:f>HYPERLINK("https://makanhalalguide.com/shop/detail/5495","เปิดแหล่งข้อมูล 1")</x:f>
        <x:v>HYPERLINK is not implemented. linkLocation=https://makanhalalguide.com/shop/detail/5495, friendlyName=เปิดแหล่งข้อมูล 1</x:v>
      </x:c>
      <x:c r="L55" s="23" t="e">
        <x:f>HYPERLINK("https://www.lemon8-app.com/%40lawaekni/7556956457258729992?region=th","เปิดแหล่งข้อมูล 2")</x:f>
        <x:v>HYPERLINK is not implemented. linkLocation=https://www.lemon8-app.com/%40lawaekni/7556956457258729992?region=th, friendlyName=เปิดแหล่งข้อมูล 2</x:v>
      </x:c>
      <x:c r="M55" s="20" t="str">
        <x:v>ผลค้นหาชื่อสัมพันธ์จากแหล่งเพิ่มเติม ต้องยืนยันสาขาและข้อมูลปัจจุบัน</x:v>
      </x:c>
      <x:c r="N55" s="10" t="n">
        <x:v>46315</x:v>
      </x:c>
      <x:c r="O55" s="22" t="str">
        <x:v>ยังไม่ตรวจ</x:v>
      </x:c>
      <x:c r="P55" s="22" t="str">
        <x:v>ยังไม่ติดต่อ</x:v>
      </x:c>
    </x:row>
    <x:row r="56" ht="66" customHeight="1">
      <x:c r="A56" s="9" t="n">
        <x:v>48</x:v>
      </x:c>
      <x:c r="B56" s="20" t="str">
        <x:v>Dawiya Thai food halal</x:v>
      </x:c>
      <x:c r="C56" s="20" t="str">
        <x:v>กรุงเทพมหานคร</x:v>
      </x:c>
      <x:c r="D56" s="20" t="str">
        <x:v>ร้านอาหาร</x:v>
      </x:c>
      <x:c r="E56" s="20" t="str">
        <x:v>Makan Verify; ระบุมีห้องละหมาด</x:v>
      </x:c>
      <x:c r="F56" s="20" t="str">
        <x:v>แหล่งข้อมูลระบุว่ามี</x:v>
      </x:c>
      <x:c r="G56" s="20" t="str">
        <x:v>ยังไม่พบเอกสารรับรองและวันหมดอายุ</x:v>
      </x:c>
      <x:c r="H5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6" s="20" t="str">
        <x:v>ถนนจันทน์ แขวงวัดพระยาไกร เขตบางคอแหลม กรุงเทพมหานคร 10120</x:v>
      </x:c>
      <x:c r="J56" s="21" t="str">
        <x:v>0622235193</x:v>
      </x:c>
      <x:c r="K56" s="23" t="e">
        <x:f>HYPERLINK("https://makanhalalguide.com/shop/detail/6304","เปิดแหล่งข้อมูล 1")</x:f>
        <x:v>HYPERLINK is not implemented. linkLocation=https://makanhalalguide.com/shop/detail/6304, friendlyName=เปิดแหล่งข้อมูล 1</x:v>
      </x:c>
      <x:c r="L56" s="23" t="str"/>
      <x:c r="M56" s="20" t="str"/>
      <x:c r="N56" s="10" t="n">
        <x:v>46315</x:v>
      </x:c>
      <x:c r="O56" s="22" t="str">
        <x:v>ยังไม่ตรวจ</x:v>
      </x:c>
      <x:c r="P56" s="22" t="str">
        <x:v>ยังไม่ติดต่อ</x:v>
      </x:c>
    </x:row>
    <x:row r="57" ht="66" customHeight="1">
      <x:c r="A57" s="9" t="n">
        <x:v>49</x:v>
      </x:c>
      <x:c r="B57" s="20" t="str">
        <x:v>Good Mood  Cafe and Milk  Bar</x:v>
      </x:c>
      <x:c r="C57" s="20" t="str">
        <x:v>กรุงเทพมหานคร</x:v>
      </x:c>
      <x:c r="D57" s="20" t="str">
        <x:v>คาเฟ่และร้านของหวาน</x:v>
      </x:c>
      <x:c r="E57" s="20" t="str">
        <x:v>Makan Verify; ระบุมีห้องละหมาด</x:v>
      </x:c>
      <x:c r="F57" s="20" t="str">
        <x:v>แหล่งข้อมูลระบุว่ามี</x:v>
      </x:c>
      <x:c r="G57" s="20" t="str">
        <x:v>ยังไม่พบเอกสารรับรองและวันหมดอายุ</x:v>
      </x:c>
      <x:c r="H5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7" s="20" t="str">
        <x:v>ปากซอยสายไหม18 ถนนสายไหม แขวง/เขต สายไหม กรุงเทพฯ 10220</x:v>
      </x:c>
      <x:c r="J57" s="21" t="str">
        <x:v>0808302340</x:v>
      </x:c>
      <x:c r="K57" s="23" t="e">
        <x:f>HYPERLINK("https://makanhalalguide.com/shop/detail/5246","เปิดแหล่งข้อมูล 1")</x:f>
        <x:v>HYPERLINK is not implemented. linkLocation=https://makanhalalguide.com/shop/detail/5246, friendlyName=เปิดแหล่งข้อมูล 1</x:v>
      </x:c>
      <x:c r="L57" s="23" t="e">
        <x:f>HYPERLINK("https://restaurantguru.com/Good-Mood-Cafe-and-Milk-Bar-Bangkok","เปิดแหล่งข้อมูล 2")</x:f>
        <x:v>HYPERLINK is not implemented. linkLocation=https://restaurantguru.com/Good-Mood-Cafe-and-Milk-Bar-Bangkok, friendlyName=เปิดแหล่งข้อมูล 2</x:v>
      </x:c>
      <x:c r="M57" s="20" t="str">
        <x:v>ผลค้นหาชื่อสัมพันธ์จากแหล่งเพิ่มเติม ต้องยืนยันสาขาและข้อมูลปัจจุบัน</x:v>
      </x:c>
      <x:c r="N57" s="10" t="n">
        <x:v>46315</x:v>
      </x:c>
      <x:c r="O57" s="22" t="str">
        <x:v>ยังไม่ตรวจ</x:v>
      </x:c>
      <x:c r="P57" s="22" t="str">
        <x:v>ยังไม่ติดต่อ</x:v>
      </x:c>
    </x:row>
    <x:row r="58" ht="66" customHeight="1">
      <x:c r="A58" s="9" t="n">
        <x:v>50</x:v>
      </x:c>
      <x:c r="B58" s="20" t="str">
        <x:v>Heyyyy Bangkok Hostel</x:v>
      </x:c>
      <x:c r="C58" s="20" t="str">
        <x:v>กรุงเทพมหานคร</x:v>
      </x:c>
      <x:c r="D58" s="20" t="str">
        <x:v>ที่พัก (ตรวจประเภทจากชื่อและข้อมูลประกอบ)</x:v>
      </x:c>
      <x:c r="E58" s="20" t="str">
        <x:v>Makan Verify; ระบุมีห้องละหมาด</x:v>
      </x:c>
      <x:c r="F58" s="20" t="str">
        <x:v>แหล่งข้อมูลระบุว่ามี</x:v>
      </x:c>
      <x:c r="G58" s="20" t="str">
        <x:v>ยังไม่พบเอกสารรับรองและวันหมดอายุ</x:v>
      </x:c>
      <x:c r="H58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58" s="20" t="str">
        <x:v>2485-2487 พัฒนาการ 49 แขวงสวนหลวง เขตสวนหลวง กรุงเทพฯ 10250 (อยู่ระหว่างซอยพัฒนาการ 47-49 หลังร้านมีต้นไม้เยอะๆ หน้าร้านจะเป็นป้ายสีดำ heyyyybangkok)</x:v>
      </x:c>
      <x:c r="J58" s="21" t="str">
        <x:v>0646810608</x:v>
      </x:c>
      <x:c r="K58" s="23" t="e">
        <x:f>HYPERLINK("https://makanhalalguide.com/shop/detail/5205","เปิดแหล่งข้อมูล 1")</x:f>
        <x:v>HYPERLINK is not implemented. linkLocation=https://makanhalalguide.com/shop/detail/5205, friendlyName=เปิดแหล่งข้อมูล 1</x:v>
      </x:c>
      <x:c r="L58" s="23" t="e">
        <x:f>HYPERLINK("https://www.google.co.th/travel/hotels/entity/ChkIm7-M5uzQtsgtGg0vZy8xMWNzNWZfbnExEAE?ap=MABIAboBBnByaWNlcw&amp;g2lb=4181926%2C4208993%2C4209587%2C4207631%2C4215917&amp;gl=jp&amp;hl=en&amp;rp=OAE&amp;tcfs=EjUKCS9tLzA4cnRibhIOU3VraHVtdml0IFJvYWQaGAoKMjAxOC0xMi0xMxIKMjAxOC0xMi0xNCIYCgoyMDE4LTEyLTEzEgoyMDE4LTEyLTE0UgA&amp;ts=CAEaBAoCGgAqBAoAGgA&amp;un=0","เปิดแหล่งข้อมูล 2")</x:f>
        <x:v>HYPERLINK is not implemented. linkLocation=https://www.google.co.th/travel/hotels/entity/ChkIm7-M5uzQtsgtGg0vZy8xMWNzNWZfbnExEAE?ap=MABIAboBBnByaWNlcw&amp;g2lb=4181926%2C4208993%2C4209587%2C4207631%2C4215917&amp;gl=jp&amp;hl=en&amp;rp=OAE&amp;tcfs=EjUKCS9tLzA4cnRibhIOU3VraHVtdml0IFJvYWQaGAoKMjAxOC0xMi0xMxIKMjAxOC0xMi0xNCIYCgoyMDE4LTEyLTEzEgoyMDE4LTEyLTE0UgA&amp;ts=CAEaBAoCGgAqBAoAGgA&amp;un=0, friendlyName=เปิดแหล่งข้อมูล 2</x:v>
      </x:c>
      <x:c r="M58" s="20" t="str">
        <x:v>ผลค้นหาชื่อสัมพันธ์จากแหล่งเพิ่มเติม ต้องยืนยันสาขาและข้อมูลปัจจุบัน</x:v>
      </x:c>
      <x:c r="N58" s="10" t="n">
        <x:v>46315</x:v>
      </x:c>
      <x:c r="O58" s="22" t="str">
        <x:v>ยังไม่ตรวจ</x:v>
      </x:c>
      <x:c r="P58" s="22" t="str">
        <x:v>ยังไม่ติดต่อ</x:v>
      </x:c>
    </x:row>
    <x:row r="59" ht="66" customHeight="1">
      <x:c r="A59" s="9" t="n">
        <x:v>51</x:v>
      </x:c>
      <x:c r="B59" s="20" t="str">
        <x:v>Jidrid Cafe</x:v>
      </x:c>
      <x:c r="C59" s="20" t="str">
        <x:v>กรุงเทพมหานคร</x:v>
      </x:c>
      <x:c r="D59" s="20" t="str">
        <x:v>คาเฟ่และร้านของหวาน</x:v>
      </x:c>
      <x:c r="E59" s="20" t="str">
        <x:v>Makan Verify; ระบุมีห้องละหมาด</x:v>
      </x:c>
      <x:c r="F59" s="20" t="str">
        <x:v>แหล่งข้อมูลระบุว่ามี</x:v>
      </x:c>
      <x:c r="G59" s="20" t="str">
        <x:v>ยังไม่พบเอกสารรับรองและวันหมดอายุ</x:v>
      </x:c>
      <x:c r="H5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59" s="20" t="str">
        <x:v>16 ซอยราษฎร์อุทิศ 23 แขวงแสนแสบ เขตมีนบุรี กรุงเทพมหานคร 10510</x:v>
      </x:c>
      <x:c r="J59" s="21" t="str">
        <x:v>0813037911</x:v>
      </x:c>
      <x:c r="K59" s="23" t="e">
        <x:f>HYPERLINK("https://makanhalalguide.com/shop/detail/5784","เปิดแหล่งข้อมูล 1")</x:f>
        <x:v>HYPERLINK is not implemented. linkLocation=https://makanhalalguide.com/shop/detail/5784, friendlyName=เปิดแหล่งข้อมูล 1</x:v>
      </x:c>
      <x:c r="L59" s="23" t="e">
        <x:f>HYPERLINK("https://restaurantguru.com/Jidrid-Cafe-Bangkok","เปิดแหล่งข้อมูล 2")</x:f>
        <x:v>HYPERLINK is not implemented. linkLocation=https://restaurantguru.com/Jidrid-Cafe-Bangkok, friendlyName=เปิดแหล่งข้อมูล 2</x:v>
      </x:c>
      <x:c r="M59" s="20" t="str">
        <x:v>ผลค้นหาชื่อสัมพันธ์จากแหล่งเพิ่มเติม ต้องยืนยันสาขาและข้อมูลปัจจุบัน</x:v>
      </x:c>
      <x:c r="N59" s="10" t="n">
        <x:v>46315</x:v>
      </x:c>
      <x:c r="O59" s="22" t="str">
        <x:v>ยังไม่ตรวจ</x:v>
      </x:c>
      <x:c r="P59" s="22" t="str">
        <x:v>ยังไม่ติดต่อ</x:v>
      </x:c>
    </x:row>
    <x:row r="60" ht="66" customHeight="1">
      <x:c r="A60" s="9" t="n">
        <x:v>52</x:v>
      </x:c>
      <x:c r="B60" s="20" t="str">
        <x:v>KIN YOUBI HALAL</x:v>
      </x:c>
      <x:c r="C60" s="20" t="str">
        <x:v>กรุงเทพมหานคร</x:v>
      </x:c>
      <x:c r="D60" s="20" t="str">
        <x:v>ร้านอาหาร</x:v>
      </x:c>
      <x:c r="E60" s="20" t="str">
        <x:v>Makan Verify; ระบุมีห้องละหมาด</x:v>
      </x:c>
      <x:c r="F60" s="20" t="str">
        <x:v>แหล่งข้อมูลระบุว่ามี</x:v>
      </x:c>
      <x:c r="G60" s="20" t="str">
        <x:v>ยังไม่พบเอกสารรับรองและวันหมดอายุ</x:v>
      </x:c>
      <x:c r="H6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0" s="20" t="str">
        <x:v>พระราม 9 ซอย 39/1 หรือ รามคำแหง 24 แยก 2 (ติดกับร้านระเบียงบัง) แขวงหัวหมาก บางกะปิ กรุงเทพมหานคร 10240</x:v>
      </x:c>
      <x:c r="J60" s="21" t="str">
        <x:v>023004720</x:v>
      </x:c>
      <x:c r="K60" s="23" t="e">
        <x:f>HYPERLINK("https://makanhalalguide.com/shop/detail/5289","เปิดแหล่งข้อมูล 1")</x:f>
        <x:v>HYPERLINK is not implemented. linkLocation=https://makanhalalguide.com/shop/detail/5289, friendlyName=เปิดแหล่งข้อมูล 1</x:v>
      </x:c>
      <x:c r="L60" s="23" t="e">
        <x:f>HYPERLINK("https://www.lemon8-app.com/%40nasto_11/7557749980883157522?region=th","เปิดแหล่งข้อมูล 2")</x:f>
        <x:v>HYPERLINK is not implemented. linkLocation=https://www.lemon8-app.com/%40nasto_11/7557749980883157522?region=th, friendlyName=เปิดแหล่งข้อมูล 2</x:v>
      </x:c>
      <x:c r="M60" s="20" t="str">
        <x:v>ผลค้นหาชื่อสัมพันธ์จากแหล่งเพิ่มเติม ต้องยืนยันสาขาและข้อมูลปัจจุบัน</x:v>
      </x:c>
      <x:c r="N60" s="10" t="n">
        <x:v>46315</x:v>
      </x:c>
      <x:c r="O60" s="22" t="str">
        <x:v>ยังไม่ตรวจ</x:v>
      </x:c>
      <x:c r="P60" s="22" t="str">
        <x:v>ยังไม่ติดต่อ</x:v>
      </x:c>
    </x:row>
    <x:row r="61" ht="66" customHeight="1">
      <x:c r="A61" s="9" t="n">
        <x:v>53</x:v>
      </x:c>
      <x:c r="B61" s="20" t="str">
        <x:v>LAHORE RESTAURANT สีลม</x:v>
      </x:c>
      <x:c r="C61" s="20" t="str">
        <x:v>กรุงเทพมหานคร</x:v>
      </x:c>
      <x:c r="D61" s="20" t="str">
        <x:v>ร้านอาหาร</x:v>
      </x:c>
      <x:c r="E61" s="20" t="str">
        <x:v>Makan Verify; ระบุมีห้องละหมาด</x:v>
      </x:c>
      <x:c r="F61" s="20" t="str">
        <x:v>แหล่งข้อมูลระบุว่ามี</x:v>
      </x:c>
      <x:c r="G61" s="20" t="str">
        <x:v>ยังไม่พบเอกสารรับรองและวันหมดอายุ</x:v>
      </x:c>
      <x:c r="H6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1" s="20" t="str">
        <x:v>154/2-3 ถนนสีลม แขวงสุริยวงศ์ เขตบางรัก กรุงเทพมหานคร 10500</x:v>
      </x:c>
      <x:c r="J61" s="21" t="str">
        <x:v>0818753034</x:v>
      </x:c>
      <x:c r="K61" s="23" t="e">
        <x:f>HYPERLINK("https://makanhalalguide.com/shop/detail/4921","เปิดแหล่งข้อมูล 1")</x:f>
        <x:v>HYPERLINK is not implemented. linkLocation=https://makanhalalguide.com/shop/detail/4921, friendlyName=เปิดแหล่งข้อมูล 1</x:v>
      </x:c>
      <x:c r="L61" s="23" t="e">
        <x:f>HYPERLINK("https://xn--l3cga1amo9al2e5c0fqf.cybo.com/TH/%E0%B8%81%E0%B8%A3%E0%B8%B8%E0%B8%87%E0%B9%80%E0%B8%97%E0%B8%9E%E0%B8%A1%E0%B8%AB%E0%B8%B2%E0%B8%99%E0%B8%84%E0%B8%A3-%E0%B8%81%E0%B8%A3%E0%B8%B8%E0%B8%87%E0%B9%80%E0%B8%97%E0%B8%9E%E0%B8%A1%E0%B8%AB%E0%B8%B2%E0%B8%99%E0%B8%84%E0%B8%A3/%E0%B8%A3%E0%B9%89%E0%B8%B2%E0%B8%99%E0%B8%AD%E0%B8%B2%E0%B8%AB%E0%B8%B2%E0%B8%A3%E0%B8%95%E0%B8%B8%E0%B8%A3%E0%B8%81%E0%B8%B5","เปิดแหล่งข้อมูล 2")</x:f>
        <x:v>HYPERLINK is not implemented. linkLocation=https://xn--l3cga1amo9al2e5c0fqf.cybo.com/TH/%E0%B8%81%E0%B8%A3%E0%B8%B8%E0%B8%87%E0%B9%80%E0%B8%97%E0%B8%9E%E0%B8%A1%E0%B8%AB%E0%B8%B2%E0%B8%99%E0%B8%84%E0%B8%A3-%E0%B8%81%E0%B8%A3%E0%B8%B8%E0%B8%87%E0%B9%80%E0%B8%97%E0%B8%9E%E0%B8%A1%E0%B8%AB%E0%B8%B2%E0%B8%99%E0%B8%84%E0%B8%A3/%E0%B8%A3%E0%B9%89%E0%B8%B2%E0%B8%99%E0%B8%AD%E0%B8%B2%E0%B8%AB%E0%B8%B2%E0%B8%A3%E0%B8%95%E0%B8%B8%E0%B8%A3%E0%B8%81%E0%B8%B5, friendlyName=เปิดแหล่งข้อมูล 2</x:v>
      </x:c>
      <x:c r="M61" s="20" t="str">
        <x:v>ผลค้นหาชื่อสัมพันธ์จากแหล่งเพิ่มเติม ต้องยืนยันสาขาและข้อมูลปัจจุบัน</x:v>
      </x:c>
      <x:c r="N61" s="10" t="n">
        <x:v>46315</x:v>
      </x:c>
      <x:c r="O61" s="22" t="str">
        <x:v>ยังไม่ตรวจ</x:v>
      </x:c>
      <x:c r="P61" s="22" t="str">
        <x:v>ยังไม่ติดต่อ</x:v>
      </x:c>
    </x:row>
    <x:row r="62" ht="66" customHeight="1">
      <x:c r="A62" s="9" t="n">
        <x:v>54</x:v>
      </x:c>
      <x:c r="B62" s="20" t="str">
        <x:v>La pizza fahana</x:v>
      </x:c>
      <x:c r="C62" s="20" t="str">
        <x:v>กรุงเทพมหานคร</x:v>
      </x:c>
      <x:c r="D62" s="20" t="str">
        <x:v>ร้านอาหาร</x:v>
      </x:c>
      <x:c r="E62" s="20" t="str">
        <x:v>Makan Verify; ระบุมีห้องละหมาด</x:v>
      </x:c>
      <x:c r="F62" s="20" t="str">
        <x:v>แหล่งข้อมูลระบุว่ามี</x:v>
      </x:c>
      <x:c r="G62" s="20" t="str">
        <x:v>ยังไม่พบเอกสารรับรองและวันหมดอายุ</x:v>
      </x:c>
      <x:c r="H6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2" s="20" t="str">
        <x:v>บ. ลา พิซซ่า ฟาฮาน่า จำกัด (สาขา 00001) เลขที่ 3522 ห้องเลขที่ 321 ชั้น 3 ถนนลาดพร้าว แขวงคลองจั่น เขตบางกะปิ กรุงเทพมหานคร 10240 (เดอะมอลล์ไลฟ์สโตร์บางกะปิ ชั้น3 หน้าบันไดเลื่อนทางเดินไปโรงภาพยนตร์)</x:v>
      </x:c>
      <x:c r="J62" s="21" t="str">
        <x:v>0801816121</x:v>
      </x:c>
      <x:c r="K62" s="23" t="e">
        <x:f>HYPERLINK("https://makanhalalguide.com/shop/detail/4848","เปิดแหล่งข้อมูล 1")</x:f>
        <x:v>HYPERLINK is not implemented. linkLocation=https://makanhalalguide.com/shop/detail/4848, friendlyName=เปิดแหล่งข้อมูล 1</x:v>
      </x:c>
      <x:c r="L62" s="23" t="str"/>
      <x:c r="M62" s="20" t="str"/>
      <x:c r="N62" s="10" t="n">
        <x:v>46315</x:v>
      </x:c>
      <x:c r="O62" s="22" t="str">
        <x:v>ยังไม่ตรวจ</x:v>
      </x:c>
      <x:c r="P62" s="22" t="str">
        <x:v>ยังไม่ติดต่อ</x:v>
      </x:c>
    </x:row>
    <x:row r="63" ht="66" customHeight="1">
      <x:c r="A63" s="9" t="n">
        <x:v>55</x:v>
      </x:c>
      <x:c r="B63" s="20" t="str">
        <x:v>Mini Coffee</x:v>
      </x:c>
      <x:c r="C63" s="20" t="str">
        <x:v>กรุงเทพมหานคร</x:v>
      </x:c>
      <x:c r="D63" s="20" t="str">
        <x:v>คาเฟ่และร้านของหวาน</x:v>
      </x:c>
      <x:c r="E63" s="20" t="str">
        <x:v>Makan Verify; ระบุมีห้องละหมาด</x:v>
      </x:c>
      <x:c r="F63" s="20" t="str">
        <x:v>แหล่งข้อมูลระบุว่ามี</x:v>
      </x:c>
      <x:c r="G63" s="20" t="str">
        <x:v>ยังไม่พบเอกสารรับรองและวันหมดอายุ</x:v>
      </x:c>
      <x:c r="H6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3" s="20" t="str">
        <x:v>37 ซอยอ่อนุช 65 ถนนอ่อนนุช แขวง/เขตประเวศ กรุงเทพ 10250 (กลางซอยอ่อนนุช65 ร้านอยู่ด้านซ้ายมือ รั้วสีส้ม)</x:v>
      </x:c>
      <x:c r="J63" s="21" t="str">
        <x:v>0922569599</x:v>
      </x:c>
      <x:c r="K63" s="23" t="e">
        <x:f>HYPERLINK("https://makanhalalguide.com/shop/detail/4796","เปิดแหล่งข้อมูล 1")</x:f>
        <x:v>HYPERLINK is not implemented. linkLocation=https://makanhalalguide.com/shop/detail/4796, friendlyName=เปิดแหล่งข้อมูล 1</x:v>
      </x:c>
      <x:c r="L63" s="23" t="e">
        <x:f>HYPERLINK("https://www.wongnai.com/restaurants/1315287sp-mini-coffee-onecoffee","เปิดแหล่งข้อมูล 2")</x:f>
        <x:v>HYPERLINK is not implemented. linkLocation=https://www.wongnai.com/restaurants/1315287sp-mini-coffee-onecoffee, friendlyName=เปิดแหล่งข้อมูล 2</x:v>
      </x:c>
      <x:c r="M63" s="20" t="str">
        <x:v>ผลค้นหาชื่อสัมพันธ์จากแหล่งเพิ่มเติม ต้องยืนยันสาขาและข้อมูลปัจจุบัน</x:v>
      </x:c>
      <x:c r="N63" s="10" t="n">
        <x:v>46315</x:v>
      </x:c>
      <x:c r="O63" s="22" t="str">
        <x:v>ยังไม่ตรวจ</x:v>
      </x:c>
      <x:c r="P63" s="22" t="str">
        <x:v>ยังไม่ติดต่อ</x:v>
      </x:c>
    </x:row>
    <x:row r="64" ht="66" customHeight="1">
      <x:c r="A64" s="9" t="n">
        <x:v>56</x:v>
      </x:c>
      <x:c r="B64" s="20" t="str">
        <x:v>Mom’s Restaurant</x:v>
      </x:c>
      <x:c r="C64" s="20" t="str">
        <x:v>กรุงเทพมหานคร</x:v>
      </x:c>
      <x:c r="D64" s="20" t="str">
        <x:v>ร้านอาหาร</x:v>
      </x:c>
      <x:c r="E64" s="20" t="str">
        <x:v>Makan Verify; ระบุมีห้องละหมาด</x:v>
      </x:c>
      <x:c r="F64" s="20" t="str">
        <x:v>แหล่งข้อมูลระบุว่ามี</x:v>
      </x:c>
      <x:c r="G64" s="20" t="str">
        <x:v>ยังไม่พบเอกสารรับรองและวันหมดอายุ</x:v>
      </x:c>
      <x:c r="H6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4" s="20" t="str">
        <x:v>218/4 ซอยประดิพัทธ์ 18 ถนนประดิพัทธ์ เขตพญาไท เขตพญาไท กรุงเทพฯ 10400</x:v>
      </x:c>
      <x:c r="J64" s="21" t="str">
        <x:v>0808677970</x:v>
      </x:c>
      <x:c r="K64" s="23" t="e">
        <x:f>HYPERLINK("https://makanhalalguide.com/shop/detail/5031","เปิดแหล่งข้อมูล 1")</x:f>
        <x:v>HYPERLINK is not implemented. linkLocation=https://makanhalalguide.com/shop/detail/5031, friendlyName=เปิดแหล่งข้อมูล 1</x:v>
      </x:c>
      <x:c r="L64" s="23" t="e">
        <x:f>HYPERLINK("https://www.wongnai.com/restaurants/568727NN-%E0%B8%84%E0%B8%A3%E0%B8%B1%E0%B8%A7%E0%B8%84%E0%B8%B8%E0%B8%93%E0%B9%81%E0%B8%A1%E0%B9%88-mom-s-restaurant","เปิดแหล่งข้อมูล 2")</x:f>
        <x:v>HYPERLINK is not implemented. linkLocation=https://www.wongnai.com/restaurants/568727NN-%E0%B8%84%E0%B8%A3%E0%B8%B1%E0%B8%A7%E0%B8%84%E0%B8%B8%E0%B8%93%E0%B9%81%E0%B8%A1%E0%B9%88-mom-s-restaurant, friendlyName=เปิดแหล่งข้อมูล 2</x:v>
      </x:c>
      <x:c r="M64" s="20" t="str">
        <x:v>ผลค้นหาชื่อสัมพันธ์จากแหล่งเพิ่มเติม ต้องยืนยันสาขาและข้อมูลปัจจุบัน</x:v>
      </x:c>
      <x:c r="N64" s="10" t="n">
        <x:v>46315</x:v>
      </x:c>
      <x:c r="O64" s="22" t="str">
        <x:v>ยังไม่ตรวจ</x:v>
      </x:c>
      <x:c r="P64" s="22" t="str">
        <x:v>ยังไม่ติดต่อ</x:v>
      </x:c>
    </x:row>
    <x:row r="65" ht="66" customHeight="1">
      <x:c r="A65" s="9" t="n">
        <x:v>57</x:v>
      </x:c>
      <x:c r="B65" s="20" t="str">
        <x:v>Monkey Suki Halal มีนบุรีคู้ขวา</x:v>
      </x:c>
      <x:c r="C65" s="20" t="str">
        <x:v>กรุงเทพมหานคร</x:v>
      </x:c>
      <x:c r="D65" s="20" t="str">
        <x:v>ร้านอาหาร</x:v>
      </x:c>
      <x:c r="E65" s="20" t="str">
        <x:v>Makan Verify; ระบุมีห้องละหมาด</x:v>
      </x:c>
      <x:c r="F65" s="20" t="str">
        <x:v>แหล่งข้อมูลระบุว่ามี</x:v>
      </x:c>
      <x:c r="G65" s="20" t="str">
        <x:v>ยังไม่พบเอกสารรับรองและวันหมดอายุ</x:v>
      </x:c>
      <x:c r="H6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5" s="20" t="str">
        <x:v>4 ถ. ราษฎร์อุทิศ แขวงแสนแสบ เขตมีนบุรี กรุงเทพมหานคร 10510</x:v>
      </x:c>
      <x:c r="J65" s="21" t="str">
        <x:v>0638040672</x:v>
      </x:c>
      <x:c r="K65" s="23" t="e">
        <x:f>HYPERLINK("https://makanhalalguide.com/shop/detail/6280","เปิดแหล่งข้อมูล 1")</x:f>
        <x:v>HYPERLINK is not implemented. linkLocation=https://makanhalalguide.com/shop/detail/6280, friendlyName=เปิดแหล่งข้อมูล 1</x:v>
      </x:c>
      <x:c r="L65" s="23" t="e">
        <x:f>HYPERLINK("https://ru.restaurantguru.com/%E0%B8%A3%E0%B8%B2%E0%B8%A2%E0%B8%B2%E0%B8%8B%E0%B8%B5%E0%B8%9F%E0%B8%B9%E0%B9%89%E0%B8%94and%E0%B8%88%E0%B8%B4%E0%B9%89%E0%B8%A1%E0%B8%88%E0%B8%B8%E0%B9%88%E0%B8%A1-Bangkok","เปิดแหล่งข้อมูล 2")</x:f>
        <x:v>HYPERLINK is not implemented. linkLocation=https://ru.restaurantguru.com/%E0%B8%A3%E0%B8%B2%E0%B8%A2%E0%B8%B2%E0%B8%8B%E0%B8%B5%E0%B8%9F%E0%B8%B9%E0%B9%89%E0%B8%94and%E0%B8%88%E0%B8%B4%E0%B9%89%E0%B8%A1%E0%B8%88%E0%B8%B8%E0%B9%88%E0%B8%A1-Bangkok, friendlyName=เปิดแหล่งข้อมูล 2</x:v>
      </x:c>
      <x:c r="M65" s="20" t="str">
        <x:v>ผลค้นหาชื่อสัมพันธ์จากแหล่งเพิ่มเติม ต้องยืนยันสาขาและข้อมูลปัจจุบัน</x:v>
      </x:c>
      <x:c r="N65" s="10" t="n">
        <x:v>46315</x:v>
      </x:c>
      <x:c r="O65" s="22" t="str">
        <x:v>ยังไม่ตรวจ</x:v>
      </x:c>
      <x:c r="P65" s="22" t="str">
        <x:v>ยังไม่ติดต่อ</x:v>
      </x:c>
    </x:row>
    <x:row r="66" ht="66" customHeight="1">
      <x:c r="A66" s="9" t="n">
        <x:v>58</x:v>
      </x:c>
      <x:c r="B66" s="20" t="str">
        <x:v>Monkey Suki รามคำแหง81</x:v>
      </x:c>
      <x:c r="C66" s="20" t="str">
        <x:v>กรุงเทพมหานคร</x:v>
      </x:c>
      <x:c r="D66" s="20" t="str">
        <x:v>ร้านอาหาร</x:v>
      </x:c>
      <x:c r="E66" s="20" t="str">
        <x:v>Makan Verify; ระบุมีห้องละหมาด</x:v>
      </x:c>
      <x:c r="F66" s="20" t="str">
        <x:v>แหล่งข้อมูลระบุว่ามี</x:v>
      </x:c>
      <x:c r="G66" s="20" t="str">
        <x:v>ยังไม่พบเอกสารรับรองและวันหมดอายุ</x:v>
      </x:c>
      <x:c r="H6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6" s="20" t="str">
        <x:v>2 ซอย รามคำแหง 81 แขวงหัวหมาก บางกะปิ กรุงเทพมหานคร 10240</x:v>
      </x:c>
      <x:c r="J66" s="21" t="str">
        <x:v>0623903012</x:v>
      </x:c>
      <x:c r="K66" s="23" t="e">
        <x:f>HYPERLINK("https://makanhalalguide.com/shop/detail/6278","เปิดแหล่งข้อมูล 1")</x:f>
        <x:v>HYPERLINK is not implemented. linkLocation=https://makanhalalguide.com/shop/detail/6278, friendlyName=เปิดแหล่งข้อมูล 1</x:v>
      </x:c>
      <x:c r="L66" s="23" t="e">
        <x:f>HYPERLINK("https://ru.restaurantguru.com/Monkey-Suki-%E0%B8%A3%E0%B8%B2%E0%B8%A1%E0%B8%84%E0%B8%B3%E0%B9%81%E0%B8%AB%E0%B8%8781-Bangkok","เปิดแหล่งข้อมูล 2")</x:f>
        <x:v>HYPERLINK is not implemented. linkLocation=https://ru.restaurantguru.com/Monkey-Suki-%E0%B8%A3%E0%B8%B2%E0%B8%A1%E0%B8%84%E0%B8%B3%E0%B9%81%E0%B8%AB%E0%B8%8781-Bangkok, friendlyName=เปิดแหล่งข้อมูล 2</x:v>
      </x:c>
      <x:c r="M66" s="20" t="str">
        <x:v>ผลค้นหาชื่อสัมพันธ์จากแหล่งเพิ่มเติม ต้องยืนยันสาขาและข้อมูลปัจจุบัน</x:v>
      </x:c>
      <x:c r="N66" s="10" t="n">
        <x:v>46315</x:v>
      </x:c>
      <x:c r="O66" s="22" t="str">
        <x:v>ยังไม่ตรวจ</x:v>
      </x:c>
      <x:c r="P66" s="22" t="str">
        <x:v>ยังไม่ติดต่อ</x:v>
      </x:c>
    </x:row>
    <x:row r="67" ht="66" customHeight="1">
      <x:c r="A67" s="9" t="n">
        <x:v>59</x:v>
      </x:c>
      <x:c r="B67" s="20" t="str">
        <x:v>Monkey Suki เสรีไทย16</x:v>
      </x:c>
      <x:c r="C67" s="20" t="str">
        <x:v>กรุงเทพมหานคร</x:v>
      </x:c>
      <x:c r="D67" s="20" t="str">
        <x:v>ร้านอาหาร</x:v>
      </x:c>
      <x:c r="E67" s="20" t="str">
        <x:v>Makan Verify; ระบุมีห้องละหมาด</x:v>
      </x:c>
      <x:c r="F67" s="20" t="str">
        <x:v>แหล่งข้อมูลระบุว่ามี</x:v>
      </x:c>
      <x:c r="G67" s="20" t="str">
        <x:v>ยังไม่พบเอกสารรับรองและวันหมดอายุ</x:v>
      </x:c>
      <x:c r="H6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7" s="20" t="str">
        <x:v>662 แขวงคลองกุ่ม เขตบึงกุ่ม กรุงเทพมหานคร 10230</x:v>
      </x:c>
      <x:c r="J67" s="21" t="str">
        <x:v>0000000011</x:v>
      </x:c>
      <x:c r="K67" s="23" t="e">
        <x:f>HYPERLINK("https://makanhalalguide.com/shop/detail/6279","เปิดแหล่งข้อมูล 1")</x:f>
        <x:v>HYPERLINK is not implemented. linkLocation=https://makanhalalguide.com/shop/detail/6279, friendlyName=เปิดแหล่งข้อมูล 1</x:v>
      </x:c>
      <x:c r="L67" s="23" t="e">
        <x:f>HYPERLINK("https://www.lemon8-app.com/%40ma_ma1999/7541322394812727826?region=th","เปิดแหล่งข้อมูล 2")</x:f>
        <x:v>HYPERLINK is not implemented. linkLocation=https://www.lemon8-app.com/%40ma_ma1999/7541322394812727826?region=th, friendlyName=เปิดแหล่งข้อมูล 2</x:v>
      </x:c>
      <x:c r="M67" s="20" t="str">
        <x:v>ผลค้นหาชื่อสัมพันธ์จากแหล่งเพิ่มเติม ต้องยืนยันสาขาและข้อมูลปัจจุบัน</x:v>
      </x:c>
      <x:c r="N67" s="10" t="n">
        <x:v>46315</x:v>
      </x:c>
      <x:c r="O67" s="22" t="str">
        <x:v>ยังไม่ตรวจ</x:v>
      </x:c>
      <x:c r="P67" s="22" t="str">
        <x:v>ยังไม่ติดต่อ</x:v>
      </x:c>
    </x:row>
    <x:row r="68" ht="66" customHeight="1">
      <x:c r="A68" s="9" t="n">
        <x:v>60</x:v>
      </x:c>
      <x:c r="B68" s="20" t="str">
        <x:v>Nes Tea Boba</x:v>
      </x:c>
      <x:c r="C68" s="20" t="str">
        <x:v>กรุงเทพมหานคร</x:v>
      </x:c>
      <x:c r="D68" s="20" t="str">
        <x:v>ร้านอาหาร</x:v>
      </x:c>
      <x:c r="E68" s="20" t="str">
        <x:v>Makan Verify; ระบุมีห้องละหมาด</x:v>
      </x:c>
      <x:c r="F68" s="20" t="str">
        <x:v>แหล่งข้อมูลระบุว่ามี</x:v>
      </x:c>
      <x:c r="G68" s="20" t="str">
        <x:v>ยังไม่พบเอกสารรับรองและวันหมดอายุ</x:v>
      </x:c>
      <x:c r="H6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68" s="20" t="str">
        <x:v> ถ. โชคชัย 4 แขวงสะพานสอง วังทองหลาง กรุงเทพมหานคร 10310</x:v>
      </x:c>
      <x:c r="J68" s="21" t="str">
        <x:v>0838041809</x:v>
      </x:c>
      <x:c r="K68" s="23" t="e">
        <x:f>HYPERLINK("https://makanhalalguide.com/shop/detail/6286","เปิดแหล่งข้อมูล 1")</x:f>
        <x:v>HYPERLINK is not implemented. linkLocation=https://makanhalalguide.com/shop/detail/6286, friendlyName=เปิดแหล่งข้อมูล 1</x:v>
      </x:c>
      <x:c r="L68" s="23" t="e">
        <x:f>HYPERLINK("https://www.wongnai.com/restaurants/3752916kb-nes-tea-boba-%E0%B8%8A%E0%B8%B2%E0%B9%83%E0%B8%95%E0%B9%89-%E0%B8%8A%E0%B8%B2%E0%B8%99%E0%B8%A1%E0%B9%84%E0%B8%95%E0%B9%89%E0%B8%AB%E0%B8%A7%E0%B8%B1%E0%B8%99%E0%B8%9E%E0%B8%A3%E0%B8%B5%E0%B9%80%E0%B8%A1%E0%B8%B5%E0%B8%A2%E0%B8%A1-%E0%B8%AA%E0%B8%B2%E0%B8%82%E0%B8%B2%E0%B8%8B%E0%B8%AD%E0%B8%A2%E0%B9%80%E0%B8%9E%E0%B8%8A%E0%B8%A3%E0%B8%9A%E0%B8%B8%E0%B8%A3%E0%B8%B5-7","เปิดแหล่งข้อมูล 2")</x:f>
        <x:v>HYPERLINK is not implemented. linkLocation=https://www.wongnai.com/restaurants/3752916kb-nes-tea-boba-%E0%B8%8A%E0%B8%B2%E0%B9%83%E0%B8%95%E0%B9%89-%E0%B8%8A%E0%B8%B2%E0%B8%99%E0%B8%A1%E0%B9%84%E0%B8%95%E0%B9%89%E0%B8%AB%E0%B8%A7%E0%B8%B1%E0%B8%99%E0%B8%9E%E0%B8%A3%E0%B8%B5%E0%B9%80%E0%B8%A1%E0%B8%B5%E0%B8%A2%E0%B8%A1-%E0%B8%AA%E0%B8%B2%E0%B8%82%E0%B8%B2%E0%B8%8B%E0%B8%AD%E0%B8%A2%E0%B9%80%E0%B8%9E%E0%B8%8A%E0%B8%A3%E0%B8%9A%E0%B8%B8%E0%B8%A3%E0%B8%B5-7, friendlyName=เปิดแหล่งข้อมูล 2</x:v>
      </x:c>
      <x:c r="M68" s="20" t="str">
        <x:v>ผลค้นหาชื่อสัมพันธ์จากแหล่งเพิ่มเติม ต้องยืนยันสาขาและข้อมูลปัจจุบัน</x:v>
      </x:c>
      <x:c r="N68" s="10" t="n">
        <x:v>46315</x:v>
      </x:c>
      <x:c r="O68" s="22" t="str">
        <x:v>ยังไม่ตรวจ</x:v>
      </x:c>
      <x:c r="P68" s="22" t="str">
        <x:v>ยังไม่ติดต่อ</x:v>
      </x:c>
    </x:row>
    <x:row r="69" ht="66" customHeight="1">
      <x:c r="A69" s="9" t="n">
        <x:v>61</x:v>
      </x:c>
      <x:c r="B69" s="20" t="str">
        <x:v>P-Park Residence</x:v>
      </x:c>
      <x:c r="C69" s="20" t="str">
        <x:v>กรุงเทพมหานคร</x:v>
      </x:c>
      <x:c r="D69" s="20" t="str">
        <x:v>ที่พัก (ตรวจประเภทจากชื่อและข้อมูลประกอบ)</x:v>
      </x:c>
      <x:c r="E69" s="20" t="str">
        <x:v>Makan Verify; ระบุมีห้องละหมาด</x:v>
      </x:c>
      <x:c r="F69" s="20" t="str">
        <x:v>แหล่งข้อมูลระบุว่ามี</x:v>
      </x:c>
      <x:c r="G69" s="20" t="str">
        <x:v>ยังไม่พบเอกสารรับรองและวันหมดอายุ</x:v>
      </x:c>
      <x:c r="H69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69" s="20" t="str">
        <x:v>ตึกพีปาร์คเรซซิเด็นซ์ ซอย จรัญสนิทวงศ์ 95/2 ถนนจรัญสนิทวงศ์ ซอยจรัญสนิทวงศ์ 95/2 ตำบลบางอ้อ อำเภอบางพลัด Bangkok 10700</x:v>
      </x:c>
      <x:c r="J69" s="21" t="str">
        <x:v>023201488</x:v>
      </x:c>
      <x:c r="K69" s="23" t="e">
        <x:f>HYPERLINK("https://makanhalalguide.com/shop/detail/5363","เปิดแหล่งข้อมูล 1")</x:f>
        <x:v>HYPERLINK is not implemented. linkLocation=https://makanhalalguide.com/shop/detail/5363, friendlyName=เปิดแหล่งข้อมูล 1</x:v>
      </x:c>
      <x:c r="L69" s="23" t="e">
        <x:f>HYPERLINK("https://th.tripadvisor.com/Hotel_Review-g293916-d2145999-Reviews-P_Park_Residence_Charansanitwong-Bangkok.html","เปิดแหล่งข้อมูล 2")</x:f>
        <x:v>HYPERLINK is not implemented. linkLocation=https://th.tripadvisor.com/Hotel_Review-g293916-d2145999-Reviews-P_Park_Residence_Charansanitwong-Bangkok.html, friendlyName=เปิดแหล่งข้อมูล 2</x:v>
      </x:c>
      <x:c r="M69" s="20" t="str">
        <x:v>ผลค้นหาชื่อสัมพันธ์จากแหล่งเพิ่มเติม ต้องยืนยันสาขาและข้อมูลปัจจุบัน</x:v>
      </x:c>
      <x:c r="N69" s="10" t="n">
        <x:v>46315</x:v>
      </x:c>
      <x:c r="O69" s="22" t="str">
        <x:v>ยังไม่ตรวจ</x:v>
      </x:c>
      <x:c r="P69" s="22" t="str">
        <x:v>ยังไม่ติดต่อ</x:v>
      </x:c>
    </x:row>
    <x:row r="70" ht="66" customHeight="1">
      <x:c r="A70" s="9" t="n">
        <x:v>62</x:v>
      </x:c>
      <x:c r="B70" s="20" t="str">
        <x:v>REEZQ Residence Phyathai</x:v>
      </x:c>
      <x:c r="C70" s="20" t="str">
        <x:v>กรุงเทพมหานคร</x:v>
      </x:c>
      <x:c r="D70" s="20" t="str">
        <x:v>ร้านอาหาร</x:v>
      </x:c>
      <x:c r="E70" s="20" t="str">
        <x:v>Makan Verify; ระบุมีห้องละหมาด</x:v>
      </x:c>
      <x:c r="F70" s="20" t="str">
        <x:v>แหล่งข้อมูลระบุว่ามี</x:v>
      </x:c>
      <x:c r="G70" s="20" t="str">
        <x:v>ยังไม่พบเอกสารรับรองและวันหมดอายุ</x:v>
      </x:c>
      <x:c r="H7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0" s="20" t="str">
        <x:v>ซ. เพชรบุรี 5 แขวงทุ่งพญาไท เขตราชเทวี กรุงเทพมหานคร 10400</x:v>
      </x:c>
      <x:c r="J70" s="21" t="str">
        <x:v>0996211115</x:v>
      </x:c>
      <x:c r="K70" s="23" t="e">
        <x:f>HYPERLINK("https://makanhalalguide.com/shop/detail/5370","เปิดแหล่งข้อมูล 1")</x:f>
        <x:v>HYPERLINK is not implemented. linkLocation=https://makanhalalguide.com/shop/detail/5370, friendlyName=เปิดแหล่งข้อมูล 1</x:v>
      </x:c>
      <x:c r="L70" s="23" t="e">
        <x:f>HYPERLINK("https://www.renthub.in.th/en/reezq-residence","เปิดแหล่งข้อมูล 2")</x:f>
        <x:v>HYPERLINK is not implemented. linkLocation=https://www.renthub.in.th/en/reezq-residence, friendlyName=เปิดแหล่งข้อมูล 2</x:v>
      </x:c>
      <x:c r="M70" s="20" t="str">
        <x:v>ผลค้นหาชื่อสัมพันธ์จากแหล่งเพิ่มเติม ต้องยืนยันสาขาและข้อมูลปัจจุบัน</x:v>
      </x:c>
      <x:c r="N70" s="10" t="n">
        <x:v>46315</x:v>
      </x:c>
      <x:c r="O70" s="22" t="str">
        <x:v>ยังไม่ตรวจ</x:v>
      </x:c>
      <x:c r="P70" s="22" t="str">
        <x:v>ยังไม่ติดต่อ</x:v>
      </x:c>
    </x:row>
    <x:row r="71" ht="66" customHeight="1">
      <x:c r="A71" s="9" t="n">
        <x:v>63</x:v>
      </x:c>
      <x:c r="B71" s="20" t="str">
        <x:v>Ram21Place</x:v>
      </x:c>
      <x:c r="C71" s="20" t="str">
        <x:v>กรุงเทพมหานคร</x:v>
      </x:c>
      <x:c r="D71" s="20" t="str">
        <x:v>ร้านอาหาร</x:v>
      </x:c>
      <x:c r="E71" s="20" t="str">
        <x:v>Makan Verify; ระบุมีห้องละหมาด</x:v>
      </x:c>
      <x:c r="F71" s="20" t="str">
        <x:v>แหล่งข้อมูลระบุว่ามี</x:v>
      </x:c>
      <x:c r="G71" s="20" t="str">
        <x:v>ยังไม่พบเอกสารรับรองและวันหมดอายุ</x:v>
      </x:c>
      <x:c r="H7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1" s="20" t="str">
        <x:v>104 112 ซอย รามคำแหง 21 แขวงหัวหมาก บางกะปิ กรุงเทพมหานคร 10240</x:v>
      </x:c>
      <x:c r="J71" s="21" t="str">
        <x:v>023180390</x:v>
      </x:c>
      <x:c r="K71" s="23" t="e">
        <x:f>HYPERLINK("https://makanhalalguide.com/shop/detail/5366","เปิดแหล่งข้อมูล 1")</x:f>
        <x:v>HYPERLINK is not implemented. linkLocation=https://makanhalalguide.com/shop/detail/5366, friendlyName=เปิดแหล่งข้อมูล 1</x:v>
      </x:c>
      <x:c r="L71" s="23" t="e">
        <x:f>HYPERLINK("https://www.thaithurkic.com/ram-place-02-318-0390","เปิดแหล่งข้อมูล 2")</x:f>
        <x:v>HYPERLINK is not implemented. linkLocation=https://www.thaithurkic.com/ram-place-02-318-0390, friendlyName=เปิดแหล่งข้อมูล 2</x:v>
      </x:c>
      <x:c r="M71" s="20" t="str">
        <x:v>ผลค้นหาชื่อสัมพันธ์จากแหล่งเพิ่มเติม ต้องยืนยันสาขาและข้อมูลปัจจุบัน</x:v>
      </x:c>
      <x:c r="N71" s="10" t="n">
        <x:v>46315</x:v>
      </x:c>
      <x:c r="O71" s="22" t="str">
        <x:v>ยังไม่ตรวจ</x:v>
      </x:c>
      <x:c r="P71" s="22" t="str">
        <x:v>ยังไม่ติดต่อ</x:v>
      </x:c>
    </x:row>
    <x:row r="72" ht="66" customHeight="1">
      <x:c r="A72" s="9" t="n">
        <x:v>64</x:v>
      </x:c>
      <x:c r="B72" s="20" t="str">
        <x:v>Rotinis Hostel</x:v>
      </x:c>
      <x:c r="C72" s="20" t="str">
        <x:v>กรุงเทพมหานคร</x:v>
      </x:c>
      <x:c r="D72" s="20" t="str">
        <x:v>ที่พัก (ตรวจประเภทจากชื่อและข้อมูลประกอบ)</x:v>
      </x:c>
      <x:c r="E72" s="20" t="str">
        <x:v>Makan Verify; ระบุมีห้องละหมาด</x:v>
      </x:c>
      <x:c r="F72" s="20" t="str">
        <x:v>แหล่งข้อมูลระบุว่ามี</x:v>
      </x:c>
      <x:c r="G72" s="20" t="str">
        <x:v>ยังไม่พบเอกสารรับรองและวันหมดอายุ</x:v>
      </x:c>
      <x:c r="H72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72" s="20" t="str">
        <x:v>497/7 ถ. เพชรบุรี แขวงทุ่งพญาไท เขตราชเทวี กรุงเทพมหานคร 10400</x:v>
      </x:c>
      <x:c r="J72" s="21" t="str">
        <x:v>0645525666</x:v>
      </x:c>
      <x:c r="K72" s="23" t="e">
        <x:f>HYPERLINK("https://makanhalalguide.com/shop/detail/5369","เปิดแหล่งข้อมูล 1")</x:f>
        <x:v>HYPERLINK is not implemented. linkLocation=https://makanhalalguide.com/shop/detail/5369, friendlyName=เปิดแหล่งข้อมูล 1</x:v>
      </x:c>
      <x:c r="L72" s="23" t="e">
        <x:f>HYPERLINK("https://restaurantguru.com/Rotinis-Cafe-and-Hostel-Bangkok","เปิดแหล่งข้อมูล 2")</x:f>
        <x:v>HYPERLINK is not implemented. linkLocation=https://restaurantguru.com/Rotinis-Cafe-and-Hostel-Bangkok, friendlyName=เปิดแหล่งข้อมูล 2</x:v>
      </x:c>
      <x:c r="M72" s="20" t="str">
        <x:v>ผลค้นหาชื่อสัมพันธ์จากแหล่งเพิ่มเติม ต้องยืนยันสาขาและข้อมูลปัจจุบัน</x:v>
      </x:c>
      <x:c r="N72" s="10" t="n">
        <x:v>46315</x:v>
      </x:c>
      <x:c r="O72" s="22" t="str">
        <x:v>ยังไม่ตรวจ</x:v>
      </x:c>
      <x:c r="P72" s="22" t="str">
        <x:v>ยังไม่ติดต่อ</x:v>
      </x:c>
    </x:row>
    <x:row r="73" ht="66" customHeight="1">
      <x:c r="A73" s="9" t="n">
        <x:v>65</x:v>
      </x:c>
      <x:c r="B73" s="20" t="str">
        <x:v>Seven Sisters Home Cafe &amp; Halal Cuisine</x:v>
      </x:c>
      <x:c r="C73" s="20" t="str">
        <x:v>กรุงเทพมหานคร</x:v>
      </x:c>
      <x:c r="D73" s="20" t="str">
        <x:v>คาเฟ่และร้านของหวาน</x:v>
      </x:c>
      <x:c r="E73" s="20" t="str">
        <x:v>Makan Verify; ระบุมีห้องละหมาด</x:v>
      </x:c>
      <x:c r="F73" s="20" t="str">
        <x:v>แหล่งข้อมูลระบุว่ามี</x:v>
      </x:c>
      <x:c r="G73" s="20" t="str">
        <x:v>ยังไม่พบเอกสารรับรองและวันหมดอายุ</x:v>
      </x:c>
      <x:c r="H7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3" s="20" t="str">
        <x:v>15 ซอยศรีนครินทร์ - ร่มเกล้า แขวงสะพานสูง เขตสะพานสูง กรุงเทพมหานคร 10240</x:v>
      </x:c>
      <x:c r="J73" s="21" t="str">
        <x:v>0834900427</x:v>
      </x:c>
      <x:c r="K73" s="23" t="e">
        <x:f>HYPERLINK("https://makanhalalguide.com/shop/detail/5169","เปิดแหล่งข้อมูล 1")</x:f>
        <x:v>HYPERLINK is not implemented. linkLocation=https://makanhalalguide.com/shop/detail/5169, friendlyName=เปิดแหล่งข้อมูล 1</x:v>
      </x:c>
      <x:c r="L73" s="23" t="e">
        <x:f>HYPERLINK("https://www.lemon8-app.com/%40pedkubpungpong/7491267976679686657?region=th","เปิดแหล่งข้อมูล 2")</x:f>
        <x:v>HYPERLINK is not implemented. linkLocation=https://www.lemon8-app.com/%40pedkubpungpong/7491267976679686657?region=th, friendlyName=เปิดแหล่งข้อมูล 2</x:v>
      </x:c>
      <x:c r="M73" s="20" t="str">
        <x:v>ผลค้นหาชื่อสัมพันธ์จากแหล่งเพิ่มเติม ต้องยืนยันสาขาและข้อมูลปัจจุบัน</x:v>
      </x:c>
      <x:c r="N73" s="10" t="n">
        <x:v>46315</x:v>
      </x:c>
      <x:c r="O73" s="22" t="str">
        <x:v>ยังไม่ตรวจ</x:v>
      </x:c>
      <x:c r="P73" s="22" t="str">
        <x:v>ยังไม่ติดต่อ</x:v>
      </x:c>
    </x:row>
    <x:row r="74" ht="66" customHeight="1">
      <x:c r="A74" s="9" t="n">
        <x:v>66</x:v>
      </x:c>
      <x:c r="B74" s="20" t="str">
        <x:v>WOK &amp; MORE thai internationnal cuisine</x:v>
      </x:c>
      <x:c r="C74" s="20" t="str">
        <x:v>กรุงเทพมหานคร</x:v>
      </x:c>
      <x:c r="D74" s="20" t="str">
        <x:v>ร้านอาหาร</x:v>
      </x:c>
      <x:c r="E74" s="20" t="str">
        <x:v>Makan Verify; ระบุมีห้องละหมาด</x:v>
      </x:c>
      <x:c r="F74" s="20" t="str">
        <x:v>แหล่งข้อมูลระบุว่ามี</x:v>
      </x:c>
      <x:c r="G74" s="20" t="str">
        <x:v>ยังไม่พบเอกสารรับรองและวันหมดอายุ</x:v>
      </x:c>
      <x:c r="H7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4" s="20" t="str">
        <x:v>Mix Chatuchak ชั้น 1 8 ถนน กำแพงเพชร 3 แขวงจตุจักร เขตจตุจักร กรุงเทพมหานคร 10900</x:v>
      </x:c>
      <x:c r="J74" s="21" t="str">
        <x:v>0817775747</x:v>
      </x:c>
      <x:c r="K74" s="23" t="e">
        <x:f>HYPERLINK("https://makanhalalguide.com/shop/detail/4996","เปิดแหล่งข้อมูล 1")</x:f>
        <x:v>HYPERLINK is not implemented. linkLocation=https://makanhalalguide.com/shop/detail/4996, friendlyName=เปิดแหล่งข้อมูล 1</x:v>
      </x:c>
      <x:c r="L74" s="23" t="str"/>
      <x:c r="M74" s="20" t="str"/>
      <x:c r="N74" s="10" t="n">
        <x:v>46315</x:v>
      </x:c>
      <x:c r="O74" s="22" t="str">
        <x:v>ยังไม่ตรวจ</x:v>
      </x:c>
      <x:c r="P74" s="22" t="str">
        <x:v>ยังไม่ติดต่อ</x:v>
      </x:c>
    </x:row>
    <x:row r="75" ht="66" customHeight="1">
      <x:c r="A75" s="9" t="n">
        <x:v>67</x:v>
      </x:c>
      <x:c r="B75" s="20" t="str">
        <x:v>กุ้งแช่บรรทัดทองbyฮาลาล</x:v>
      </x:c>
      <x:c r="C75" s="20" t="str">
        <x:v>กรุงเทพมหานคร</x:v>
      </x:c>
      <x:c r="D75" s="20" t="str">
        <x:v>ร้านอาหาร</x:v>
      </x:c>
      <x:c r="E75" s="20" t="str">
        <x:v>Makan Verify; ระบุมีห้องละหมาด</x:v>
      </x:c>
      <x:c r="F75" s="20" t="str">
        <x:v>แหล่งข้อมูลระบุว่ามี</x:v>
      </x:c>
      <x:c r="G75" s="20" t="str">
        <x:v>ยังไม่พบเอกสารรับรองและวันหมดอายุ</x:v>
      </x:c>
      <x:c r="H7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5" s="20" t="str">
        <x:v>173 ซอย จุฬาลงกรณ์ 3 แขวงวังใหม่ เขตปทุมวัน กรุงเทพมหานคร 10330 (ร้านอยู่ไกล่ๆ คุณนายทะเลดอง)</x:v>
      </x:c>
      <x:c r="J75" s="21" t="str">
        <x:v>0941010701</x:v>
      </x:c>
      <x:c r="K75" s="23" t="e">
        <x:f>HYPERLINK("https://makanhalalguide.com/shop/detail/4936","เปิดแหล่งข้อมูล 1")</x:f>
        <x:v>HYPERLINK is not implemented. linkLocation=https://makanhalalguide.com/shop/detail/4936, friendlyName=เปิดแหล่งข้อมูล 1</x:v>
      </x:c>
      <x:c r="L75" s="23" t="e">
        <x:f>HYPERLINK("https://www.wongnai.com/reviews/39bdbdb611e84a5caf0fb5b18e1e9dca","เปิดแหล่งข้อมูล 2")</x:f>
        <x:v>HYPERLINK is not implemented. linkLocation=https://www.wongnai.com/reviews/39bdbdb611e84a5caf0fb5b18e1e9dca, friendlyName=เปิดแหล่งข้อมูล 2</x:v>
      </x:c>
      <x:c r="M75" s="20" t="str">
        <x:v>ผลค้นหาชื่อสัมพันธ์จากแหล่งเพิ่มเติม ต้องยืนยันสาขาและข้อมูลปัจจุบัน</x:v>
      </x:c>
      <x:c r="N75" s="10" t="n">
        <x:v>46315</x:v>
      </x:c>
      <x:c r="O75" s="22" t="str">
        <x:v>ยังไม่ตรวจ</x:v>
      </x:c>
      <x:c r="P75" s="22" t="str">
        <x:v>ยังไม่ติดต่อ</x:v>
      </x:c>
    </x:row>
    <x:row r="76" ht="66" customHeight="1">
      <x:c r="A76" s="9" t="n">
        <x:v>68</x:v>
      </x:c>
      <x:c r="B76" s="20" t="str">
        <x:v>ข้าวต้มบารอกัต สาขาหนองจอก</x:v>
      </x:c>
      <x:c r="C76" s="20" t="str">
        <x:v>กรุงเทพมหานคร</x:v>
      </x:c>
      <x:c r="D76" s="20" t="str">
        <x:v>ร้านอาหาร</x:v>
      </x:c>
      <x:c r="E76" s="20" t="str">
        <x:v>Makan Verify; ระบุมีห้องละหมาด</x:v>
      </x:c>
      <x:c r="F76" s="20" t="str">
        <x:v>แหล่งข้อมูลระบุว่ามี</x:v>
      </x:c>
      <x:c r="G76" s="20" t="str">
        <x:v>ยังไม่พบเอกสารรับรองและวันหมดอายุ</x:v>
      </x:c>
      <x:c r="H7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6" s="20" t="str">
        <x:v>ตลาดหน้าสื่อ Halal View หมู่ที่ 2 เลียบวารี 39 แขวงโคกแฝด เขตหนองจอก กรุงเทพฯ 10530</x:v>
      </x:c>
      <x:c r="J76" s="21" t="str">
        <x:v>0837893455</x:v>
      </x:c>
      <x:c r="K76" s="23" t="e">
        <x:f>HYPERLINK("https://makanhalalguide.com/shop/detail/5898","เปิดแหล่งข้อมูล 1")</x:f>
        <x:v>HYPERLINK is not implemented. linkLocation=https://makanhalalguide.com/shop/detail/5898, friendlyName=เปิดแหล่งข้อมูล 1</x:v>
      </x:c>
      <x:c r="L76" s="23" t="str"/>
      <x:c r="M76" s="20" t="str"/>
      <x:c r="N76" s="10" t="n">
        <x:v>46315</x:v>
      </x:c>
      <x:c r="O76" s="22" t="str">
        <x:v>ยังไม่ตรวจ</x:v>
      </x:c>
      <x:c r="P76" s="22" t="str">
        <x:v>ยังไม่ติดต่อ</x:v>
      </x:c>
    </x:row>
    <x:row r="77" ht="66" customHeight="1">
      <x:c r="A77" s="9" t="n">
        <x:v>69</x:v>
      </x:c>
      <x:c r="B77" s="20" t="str">
        <x:v>ข้าวเช้า ฮาลาล breakfast &amp; lunch</x:v>
      </x:c>
      <x:c r="C77" s="20" t="str">
        <x:v>กรุงเทพมหานคร</x:v>
      </x:c>
      <x:c r="D77" s="20" t="str">
        <x:v>ร้านอาหาร</x:v>
      </x:c>
      <x:c r="E77" s="20" t="str">
        <x:v>Makan Verify; ระบุมีห้องละหมาด</x:v>
      </x:c>
      <x:c r="F77" s="20" t="str">
        <x:v>แหล่งข้อมูลระบุว่ามี</x:v>
      </x:c>
      <x:c r="G77" s="20" t="str">
        <x:v>ยังไม่พบเอกสารรับรองและวันหมดอายุ</x:v>
      </x:c>
      <x:c r="H7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7" s="20" t="str">
        <x:v>ภายในร้านบุฟเฟ่ต์ทะเลเผา รามคำแหง 53 ถนน รามคำแหง แขวงพลับพลา เขตวังทองหลาง กรุงเทพมหานคร 10312</x:v>
      </x:c>
      <x:c r="J77" s="21" t="str">
        <x:v>0644058767</x:v>
      </x:c>
      <x:c r="K77" s="23" t="e">
        <x:f>HYPERLINK("https://makanhalalguide.com/shop/detail/5763","เปิดแหล่งข้อมูล 1")</x:f>
        <x:v>HYPERLINK is not implemented. linkLocation=https://makanhalalguide.com/shop/detail/5763, friendlyName=เปิดแหล่งข้อมูล 1</x:v>
      </x:c>
      <x:c r="L77" s="23" t="e">
        <x:f>HYPERLINK("https://www.ryoiireview.com/restaurant/view/17821","เปิดแหล่งข้อมูล 2")</x:f>
        <x:v>HYPERLINK is not implemented. linkLocation=https://www.ryoiireview.com/restaurant/view/17821, friendlyName=เปิดแหล่งข้อมูล 2</x:v>
      </x:c>
      <x:c r="M77" s="20" t="str">
        <x:v>ผลค้นหาชื่อสัมพันธ์จากแหล่งเพิ่มเติม ต้องยืนยันสาขาและข้อมูลปัจจุบัน</x:v>
      </x:c>
      <x:c r="N77" s="10" t="n">
        <x:v>46315</x:v>
      </x:c>
      <x:c r="O77" s="22" t="str">
        <x:v>ยังไม่ตรวจ</x:v>
      </x:c>
      <x:c r="P77" s="22" t="str">
        <x:v>ยังไม่ติดต่อ</x:v>
      </x:c>
    </x:row>
    <x:row r="78" ht="66" customHeight="1">
      <x:c r="A78" s="9" t="n">
        <x:v>70</x:v>
      </x:c>
      <x:c r="B78" s="20" t="str">
        <x:v>ครัวบ้านวัง-ฮาลาลฟู้ด</x:v>
      </x:c>
      <x:c r="C78" s="20" t="str">
        <x:v>กรุงเทพมหานคร</x:v>
      </x:c>
      <x:c r="D78" s="20" t="str">
        <x:v>ร้านอาหาร</x:v>
      </x:c>
      <x:c r="E78" s="20" t="str">
        <x:v>Makan Verify; ระบุมีห้องละหมาด</x:v>
      </x:c>
      <x:c r="F78" s="20" t="str">
        <x:v>แหล่งข้อมูลระบุว่ามี</x:v>
      </x:c>
      <x:c r="G78" s="20" t="str">
        <x:v>ยังไม่พบเอกสารรับรองและวันหมดอายุ</x:v>
      </x:c>
      <x:c r="H7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8" s="20" t="str">
        <x:v>46 12 ถนนราษฎร์นิมิตร แขวงสามวาตะวันออก เขตคลองสามวา กรุงเทพฯ 10510</x:v>
      </x:c>
      <x:c r="J78" s="21" t="str">
        <x:v>0983569856</x:v>
      </x:c>
      <x:c r="K78" s="23" t="e">
        <x:f>HYPERLINK("https://makanhalalguide.com/shop/detail/5769","เปิดแหล่งข้อมูล 1")</x:f>
        <x:v>HYPERLINK is not implemented. linkLocation=https://makanhalalguide.com/shop/detail/5769, friendlyName=เปิดแหล่งข้อมูล 1</x:v>
      </x:c>
      <x:c r="L78" s="23" t="e">
        <x:f>HYPERLINK("https://www.wongnai.com/restaurants/3254909XT-%E0%B8%84%E0%B8%A3%E0%B8%B1%E0%B8%A7%E0%B8%9A%E0%B9%89%E0%B8%B2%E0%B8%99%E0%B8%A7%E0%B8%B1%E0%B8%87-%E0%B8%AE%E0%B8%B2%E0%B8%A5%E0%B8%B2%E0%B8%A5%E0%B8%9F%E0%B8%B9%E0%B9%89%E0%B8%94","เปิดแหล่งข้อมูล 2")</x:f>
        <x:v>HYPERLINK is not implemented. linkLocation=https://www.wongnai.com/restaurants/3254909XT-%E0%B8%84%E0%B8%A3%E0%B8%B1%E0%B8%A7%E0%B8%9A%E0%B9%89%E0%B8%B2%E0%B8%99%E0%B8%A7%E0%B8%B1%E0%B8%87-%E0%B8%AE%E0%B8%B2%E0%B8%A5%E0%B8%B2%E0%B8%A5%E0%B8%9F%E0%B8%B9%E0%B9%89%E0%B8%94, friendlyName=เปิดแหล่งข้อมูล 2</x:v>
      </x:c>
      <x:c r="M78" s="20" t="str">
        <x:v>ผลค้นหาชื่อสัมพันธ์จากแหล่งเพิ่มเติม ต้องยืนยันสาขาและข้อมูลปัจจุบัน</x:v>
      </x:c>
      <x:c r="N78" s="10" t="n">
        <x:v>46315</x:v>
      </x:c>
      <x:c r="O78" s="22" t="str">
        <x:v>ยังไม่ตรวจ</x:v>
      </x:c>
      <x:c r="P78" s="22" t="str">
        <x:v>ยังไม่ติดต่อ</x:v>
      </x:c>
    </x:row>
    <x:row r="79" ht="66" customHeight="1">
      <x:c r="A79" s="9" t="n">
        <x:v>71</x:v>
      </x:c>
      <x:c r="B79" s="20" t="str">
        <x:v>ครัวอารีฟฮาลาล</x:v>
      </x:c>
      <x:c r="C79" s="20" t="str">
        <x:v>กรุงเทพมหานคร</x:v>
      </x:c>
      <x:c r="D79" s="20" t="str">
        <x:v>ร้านอาหาร</x:v>
      </x:c>
      <x:c r="E79" s="20" t="str">
        <x:v>Makan Verify; ระบุมีห้องละหมาด</x:v>
      </x:c>
      <x:c r="F79" s="20" t="str">
        <x:v>แหล่งข้อมูลระบุว่ามี</x:v>
      </x:c>
      <x:c r="G79" s="20" t="str">
        <x:v>ยังไม่พบเอกสารรับรองและวันหมดอายุ</x:v>
      </x:c>
      <x:c r="H7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79" s="20" t="str">
        <x:v>ตรงข้ามสหกรณ์อิสลามสันติชน โรงเรียนอิสลามสันติชน ซอย ลูกจันทร์ พลับพลา วังทองหลาง กรุงเทพมหานคร กรุงเทพมหานคร 10310 (ตึก วังทอง2 แมนชั่น)</x:v>
      </x:c>
      <x:c r="J79" s="21" t="str">
        <x:v>0629729776</x:v>
      </x:c>
      <x:c r="K79" s="23" t="e">
        <x:f>HYPERLINK("https://makanhalalguide.com/shop/detail/5757","เปิดแหล่งข้อมูล 1")</x:f>
        <x:v>HYPERLINK is not implemented. linkLocation=https://makanhalalguide.com/shop/detail/5757, friendlyName=เปิดแหล่งข้อมูล 1</x:v>
      </x:c>
      <x:c r="L79" s="23" t="str"/>
      <x:c r="M79" s="20" t="str"/>
      <x:c r="N79" s="10" t="n">
        <x:v>46315</x:v>
      </x:c>
      <x:c r="O79" s="22" t="str">
        <x:v>ยังไม่ตรวจ</x:v>
      </x:c>
      <x:c r="P79" s="22" t="str">
        <x:v>ยังไม่ติดต่อ</x:v>
      </x:c>
    </x:row>
    <x:row r="80" ht="66" customHeight="1">
      <x:c r="A80" s="9" t="n">
        <x:v>72</x:v>
      </x:c>
      <x:c r="B80" s="20" t="str">
        <x:v>ครัวแยกบาแลอาหารตามสั่ง</x:v>
      </x:c>
      <x:c r="C80" s="20" t="str">
        <x:v>กรุงเทพมหานคร</x:v>
      </x:c>
      <x:c r="D80" s="20" t="str">
        <x:v>ร้านอาหาร</x:v>
      </x:c>
      <x:c r="E80" s="20" t="str">
        <x:v>Makan Verify; ระบุมีห้องละหมาด</x:v>
      </x:c>
      <x:c r="F80" s="20" t="str">
        <x:v>แหล่งข้อมูลระบุว่ามี</x:v>
      </x:c>
      <x:c r="G80" s="20" t="str">
        <x:v>ยังไม่พบเอกสารรับรองและวันหมดอายุ</x:v>
      </x:c>
      <x:c r="H8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0" s="20" t="str">
        <x:v>ลานตลาดนัดบาแล ราษฎร์อุทิศ27/5 แขวงแสนแสบ เขตมีนบุรี กรุงเทพ 10510</x:v>
      </x:c>
      <x:c r="J80" s="21" t="str">
        <x:v>0868102524</x:v>
      </x:c>
      <x:c r="K80" s="23" t="e">
        <x:f>HYPERLINK("https://makanhalalguide.com/shop/detail/4783","เปิดแหล่งข้อมูล 1")</x:f>
        <x:v>HYPERLINK is not implemented. linkLocation=https://makanhalalguide.com/shop/detail/4783, friendlyName=เปิดแหล่งข้อมูล 1</x:v>
      </x:c>
      <x:c r="L80" s="23" t="e">
        <x:f>HYPERLINK("https://www.wongnai.com/restaurants/511069Un-%E0%B8%84%E0%B8%A3%E0%B8%B1%E0%B8%A7%E0%B9%81%E0%B8%A2%E0%B8%81%E0%B8%9A%E0%B8%B2%E0%B9%81%E0%B8%A5-%E0%B8%AD%E0%B8%B2%E0%B8%AB%E0%B8%B2%E0%B8%A3%E0%B8%AE%E0%B8%B2%E0%B8%A5%E0%B9%89%E0%B8%B2%E0%B8%A5-%E0%B8%AD%E0%B8%B2%E0%B8%AB%E0%B8%B2%E0%B8%A3%E0%B8%95%E0%B8%B2%E0%B8%A1%E0%B8%AA%E0%B8%B1%E0%B9%88%E0%B8%87","เปิดแหล่งข้อมูล 2")</x:f>
        <x:v>HYPERLINK is not implemented. linkLocation=https://www.wongnai.com/restaurants/511069Un-%E0%B8%84%E0%B8%A3%E0%B8%B1%E0%B8%A7%E0%B9%81%E0%B8%A2%E0%B8%81%E0%B8%9A%E0%B8%B2%E0%B9%81%E0%B8%A5-%E0%B8%AD%E0%B8%B2%E0%B8%AB%E0%B8%B2%E0%B8%A3%E0%B8%AE%E0%B8%B2%E0%B8%A5%E0%B9%89%E0%B8%B2%E0%B8%A5-%E0%B8%AD%E0%B8%B2%E0%B8%AB%E0%B8%B2%E0%B8%A3%E0%B8%95%E0%B8%B2%E0%B8%A1%E0%B8%AA%E0%B8%B1%E0%B9%88%E0%B8%87, friendlyName=เปิดแหล่งข้อมูล 2</x:v>
      </x:c>
      <x:c r="M80" s="20" t="str">
        <x:v>ผลค้นหาชื่อสัมพันธ์จากแหล่งเพิ่มเติม ต้องยืนยันสาขาและข้อมูลปัจจุบัน</x:v>
      </x:c>
      <x:c r="N80" s="10" t="n">
        <x:v>46315</x:v>
      </x:c>
      <x:c r="O80" s="22" t="str">
        <x:v>ยังไม่ตรวจ</x:v>
      </x:c>
      <x:c r="P80" s="22" t="str">
        <x:v>ยังไม่ติดต่อ</x:v>
      </x:c>
    </x:row>
    <x:row r="81" ht="66" customHeight="1">
      <x:c r="A81" s="9" t="n">
        <x:v>73</x:v>
      </x:c>
      <x:c r="B81" s="20" t="str">
        <x:v>ตั้งโต๊ะ ชาบูฮาลาล</x:v>
      </x:c>
      <x:c r="C81" s="20" t="str">
        <x:v>กรุงเทพมหานคร</x:v>
      </x:c>
      <x:c r="D81" s="20" t="str">
        <x:v>ร้านอาหาร</x:v>
      </x:c>
      <x:c r="E81" s="20" t="str">
        <x:v>Makan Verify; ระบุมีห้องละหมาด</x:v>
      </x:c>
      <x:c r="F81" s="20" t="str">
        <x:v>แหล่งข้อมูลระบุว่ามี</x:v>
      </x:c>
      <x:c r="G81" s="20" t="str">
        <x:v>ยังไม่พบเอกสารรับรองและวันหมดอายุ</x:v>
      </x:c>
      <x:c r="H8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1" s="20" t="str">
        <x:v>7 ซอย 2 แขวงโคกแฝด เขตหนองจอก กรุงเทพฯ10530</x:v>
      </x:c>
      <x:c r="J81" s="21" t="str">
        <x:v>0631641748</x:v>
      </x:c>
      <x:c r="K81" s="23" t="e">
        <x:f>HYPERLINK("https://makanhalalguide.com/shop/detail/5149","เปิดแหล่งข้อมูล 1")</x:f>
        <x:v>HYPERLINK is not implemented. linkLocation=https://makanhalalguide.com/shop/detail/5149, friendlyName=เปิดแหล่งข้อมูล 1</x:v>
      </x:c>
      <x:c r="L81" s="23" t="e">
        <x:f>HYPERLINK("https://www.wongnai.com/restaurants/2898009dj-%E0%B8%95%E0%B8%B1%E0%B9%89%E0%B8%87%E0%B9%82%E0%B8%95%E0%B9%8A%E0%B8%B0%E0%B8%8A%E0%B8%B2%E0%B8%9A%E0%B8%B9-%E0%B8%AE%E0%B8%B2%E0%B8%A5%E0%B8%B2%E0%B8%A5","เปิดแหล่งข้อมูล 2")</x:f>
        <x:v>HYPERLINK is not implemented. linkLocation=https://www.wongnai.com/restaurants/2898009dj-%E0%B8%95%E0%B8%B1%E0%B9%89%E0%B8%87%E0%B9%82%E0%B8%95%E0%B9%8A%E0%B8%B0%E0%B8%8A%E0%B8%B2%E0%B8%9A%E0%B8%B9-%E0%B8%AE%E0%B8%B2%E0%B8%A5%E0%B8%B2%E0%B8%A5, friendlyName=เปิดแหล่งข้อมูล 2</x:v>
      </x:c>
      <x:c r="M81" s="20" t="str">
        <x:v>ผลค้นหาชื่อสัมพันธ์จากแหล่งเพิ่มเติม ต้องยืนยันสาขาและข้อมูลปัจจุบัน</x:v>
      </x:c>
      <x:c r="N81" s="10" t="n">
        <x:v>46315</x:v>
      </x:c>
      <x:c r="O81" s="22" t="str">
        <x:v>ยังไม่ตรวจ</x:v>
      </x:c>
      <x:c r="P81" s="22" t="str">
        <x:v>ยังไม่ติดต่อ</x:v>
      </x:c>
    </x:row>
    <x:row r="82" ht="66" customHeight="1">
      <x:c r="A82" s="9" t="n">
        <x:v>74</x:v>
      </x:c>
      <x:c r="B82" s="20" t="str">
        <x:v>ตำตำ ยำยำ ราม53</x:v>
      </x:c>
      <x:c r="C82" s="20" t="str">
        <x:v>กรุงเทพมหานคร</x:v>
      </x:c>
      <x:c r="D82" s="20" t="str">
        <x:v>ร้านอาหาร</x:v>
      </x:c>
      <x:c r="E82" s="20" t="str">
        <x:v>Makan Verify; ระบุมีห้องละหมาด</x:v>
      </x:c>
      <x:c r="F82" s="20" t="str">
        <x:v>แหล่งข้อมูลระบุว่ามี</x:v>
      </x:c>
      <x:c r="G82" s="20" t="str">
        <x:v>ยังไม่พบเอกสารรับรองและวันหมดอายุ</x:v>
      </x:c>
      <x:c r="H8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2" s="20" t="str">
        <x:v>73/8 ซอยรามคำแหง 53 แขวงพลับพลา เขตวังทองหลาง กรุงเทพฯ 10310 (ตรงข้ามโครงการ Marche53) ซอยข้างโรงแรมวัลย์ลดา เพลส </x:v>
      </x:c>
      <x:c r="J82" s="21" t="str">
        <x:v>0947459471</x:v>
      </x:c>
      <x:c r="K82" s="23" t="e">
        <x:f>HYPERLINK("https://makanhalalguide.com/shop/detail/5142","เปิดแหล่งข้อมูล 1")</x:f>
        <x:v>HYPERLINK is not implemented. linkLocation=https://makanhalalguide.com/shop/detail/5142, friendlyName=เปิดแหล่งข้อมูล 1</x:v>
      </x:c>
      <x:c r="L82" s="23" t="e">
        <x:f>HYPERLINK("https://www.wongnai.com/restaurants/3085640jK-%E0%B8%A3%E0%B9%89%E0%B8%B2%E0%B8%99%E0%B8%95%E0%B8%B3%E0%B8%95%E0%B8%B3-%E0%B8%A2%E0%B8%B3%E0%B8%A2%E0%B8%B3-%E0%B8%A3%E0%B8%B2%E0%B8%A153","เปิดแหล่งข้อมูล 2")</x:f>
        <x:v>HYPERLINK is not implemented. linkLocation=https://www.wongnai.com/restaurants/3085640jK-%E0%B8%A3%E0%B9%89%E0%B8%B2%E0%B8%99%E0%B8%95%E0%B8%B3%E0%B8%95%E0%B8%B3-%E0%B8%A2%E0%B8%B3%E0%B8%A2%E0%B8%B3-%E0%B8%A3%E0%B8%B2%E0%B8%A153, friendlyName=เปิดแหล่งข้อมูล 2</x:v>
      </x:c>
      <x:c r="M82" s="20" t="str">
        <x:v>ผลค้นหาชื่อสัมพันธ์จากแหล่งเพิ่มเติม ต้องยืนยันสาขาและข้อมูลปัจจุบัน</x:v>
      </x:c>
      <x:c r="N82" s="10" t="n">
        <x:v>46315</x:v>
      </x:c>
      <x:c r="O82" s="22" t="str">
        <x:v>ยังไม่ตรวจ</x:v>
      </x:c>
      <x:c r="P82" s="22" t="str">
        <x:v>ยังไม่ติดต่อ</x:v>
      </x:c>
    </x:row>
    <x:row r="83" ht="66" customHeight="1">
      <x:c r="A83" s="9" t="n">
        <x:v>75</x:v>
      </x:c>
      <x:c r="B83" s="20" t="str">
        <x:v>ท่าพระคิทเช่น</x:v>
      </x:c>
      <x:c r="C83" s="20" t="str">
        <x:v>กรุงเทพมหานคร</x:v>
      </x:c>
      <x:c r="D83" s="20" t="str">
        <x:v>ร้านอาหาร</x:v>
      </x:c>
      <x:c r="E83" s="20" t="str">
        <x:v>Makan Verify; ระบุมีห้องละหมาด</x:v>
      </x:c>
      <x:c r="F83" s="20" t="str">
        <x:v>แหล่งข้อมูลระบุว่ามี</x:v>
      </x:c>
      <x:c r="G83" s="20" t="str">
        <x:v>ยังไม่พบเอกสารรับรองและวันหมดอายุ</x:v>
      </x:c>
      <x:c r="H8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3" s="20" t="str">
        <x:v>134/12-14 ซอยเพขรเกษม 26/1 ถนนเพชรเกษม  แขวงปากคลองภาษีเจริญ เขตภาษีเจริญ กรุงเทพ (ตึกโรงแรมเบดบายท่าพระ ตรงข้าม รพ. พญาไท 3)</x:v>
      </x:c>
      <x:c r="J83" s="21" t="str">
        <x:v>0846465151</x:v>
      </x:c>
      <x:c r="K83" s="23" t="e">
        <x:f>HYPERLINK("https://makanhalalguide.com/shop/detail/5214","เปิดแหล่งข้อมูล 1")</x:f>
        <x:v>HYPERLINK is not implemented. linkLocation=https://makanhalalguide.com/shop/detail/5214, friendlyName=เปิดแหล่งข้อมูล 1</x:v>
      </x:c>
      <x:c r="L83" s="23" t="e">
        <x:f>HYPERLINK("https://www.wongnai.com/restaurants/354038sz-%E0%B8%97%E0%B9%88%E0%B8%B2%E0%B8%9E%E0%B8%A3%E0%B8%B0%E0%B8%84%E0%B8%B4%E0%B8%97%E0%B9%80%E0%B8%8A%E0%B9%88%E0%B8%99-%E0%B8%AE%E0%B8%B2%E0%B8%A5%E0%B8%B2%E0%B8%A5-%E0%B8%97%E0%B9%88%E0%B8%B2%E0%B8%9E%E0%B8%A3%E0%B8%B0%E0%B8%84%E0%B8%B4%E0%B8%97%E0%B9%80%E0%B8%8A%E0%B9%88%E0%B8%99-%E0%B8%AE%E0%B8%B2%E0%B8%A5%E0%B8%B2%E0%B8%A5","เปิดแหล่งข้อมูล 2")</x:f>
        <x:v>HYPERLINK is not implemented. linkLocation=https://www.wongnai.com/restaurants/354038sz-%E0%B8%97%E0%B9%88%E0%B8%B2%E0%B8%9E%E0%B8%A3%E0%B8%B0%E0%B8%84%E0%B8%B4%E0%B8%97%E0%B9%80%E0%B8%8A%E0%B9%88%E0%B8%99-%E0%B8%AE%E0%B8%B2%E0%B8%A5%E0%B8%B2%E0%B8%A5-%E0%B8%97%E0%B9%88%E0%B8%B2%E0%B8%9E%E0%B8%A3%E0%B8%B0%E0%B8%84%E0%B8%B4%E0%B8%97%E0%B9%80%E0%B8%8A%E0%B9%88%E0%B8%99-%E0%B8%AE%E0%B8%B2%E0%B8%A5%E0%B8%B2%E0%B8%A5, friendlyName=เปิดแหล่งข้อมูล 2</x:v>
      </x:c>
      <x:c r="M83" s="20" t="str">
        <x:v>ผลค้นหาชื่อสัมพันธ์จากแหล่งเพิ่มเติม ต้องยืนยันสาขาและข้อมูลปัจจุบัน</x:v>
      </x:c>
      <x:c r="N83" s="10" t="n">
        <x:v>46315</x:v>
      </x:c>
      <x:c r="O83" s="22" t="str">
        <x:v>ยังไม่ตรวจ</x:v>
      </x:c>
      <x:c r="P83" s="22" t="str">
        <x:v>ยังไม่ติดต่อ</x:v>
      </x:c>
    </x:row>
    <x:row r="84" ht="66" customHeight="1">
      <x:c r="A84" s="9" t="n">
        <x:v>76</x:v>
      </x:c>
      <x:c r="B84" s="20" t="str">
        <x:v>บังสอนซุปหางวัว  ข้าวหางวัว</x:v>
      </x:c>
      <x:c r="C84" s="20" t="str">
        <x:v>กรุงเทพมหานคร</x:v>
      </x:c>
      <x:c r="D84" s="20" t="str">
        <x:v>ร้านอาหาร</x:v>
      </x:c>
      <x:c r="E84" s="20" t="str">
        <x:v>Makan Verify; ระบุมีห้องละหมาด</x:v>
      </x:c>
      <x:c r="F84" s="20" t="str">
        <x:v>แหล่งข้อมูลระบุว่ามี</x:v>
      </x:c>
      <x:c r="G84" s="20" t="str">
        <x:v>ยังไม่พบเอกสารรับรองและวันหมดอายุ</x:v>
      </x:c>
      <x:c r="H8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4" s="20" t="str">
        <x:v>อิสรภาพ 11 ถนนอิสรภาพ แขวงหิรัญรูจี เขตธนบุรี กทม. 10600 (หน้าโรงเรียนสหบำรุง มัสยิดนูรุ้ลมู่บีน)</x:v>
      </x:c>
      <x:c r="J84" s="21" t="str">
        <x:v>0644783729</x:v>
      </x:c>
      <x:c r="K84" s="23" t="e">
        <x:f>HYPERLINK("https://makanhalalguide.com/shop/detail/4763","เปิดแหล่งข้อมูล 1")</x:f>
        <x:v>HYPERLINK is not implemented. linkLocation=https://makanhalalguide.com/shop/detail/4763, friendlyName=เปิดแหล่งข้อมูล 1</x:v>
      </x:c>
      <x:c r="L84" s="23" t="str"/>
      <x:c r="M84" s="20" t="str"/>
      <x:c r="N84" s="10" t="n">
        <x:v>46315</x:v>
      </x:c>
      <x:c r="O84" s="22" t="str">
        <x:v>ยังไม่ตรวจ</x:v>
      </x:c>
      <x:c r="P84" s="22" t="str">
        <x:v>ยังไม่ติดต่อ</x:v>
      </x:c>
    </x:row>
    <x:row r="85" ht="66" customHeight="1">
      <x:c r="A85" s="9" t="n">
        <x:v>77</x:v>
      </x:c>
      <x:c r="B85" s="20" t="str">
        <x:v>บิสมิลลาฮ์ บังชามิล ก๋วยเตี๋ยวเรือ 20 บาท</x:v>
      </x:c>
      <x:c r="C85" s="20" t="str">
        <x:v>กรุงเทพมหานคร</x:v>
      </x:c>
      <x:c r="D85" s="20" t="str">
        <x:v>ร้านอาหาร</x:v>
      </x:c>
      <x:c r="E85" s="20" t="str">
        <x:v>Makan Verify; ระบุมีห้องละหมาด</x:v>
      </x:c>
      <x:c r="F85" s="20" t="str">
        <x:v>แหล่งข้อมูลระบุว่ามี</x:v>
      </x:c>
      <x:c r="G85" s="20" t="str">
        <x:v>ยังไม่พบเอกสารรับรองและวันหมดอายุ</x:v>
      </x:c>
      <x:c r="H8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5" s="20" t="str">
        <x:v>21/4 ซอย ราษฎร์อุทิศ แขวงแสนแสบ เขตมีนบุรี กรุงเทพมหานคร 10510</x:v>
      </x:c>
      <x:c r="J85" s="21" t="str">
        <x:v>0840243411</x:v>
      </x:c>
      <x:c r="K85" s="23" t="e">
        <x:f>HYPERLINK("https://makanhalalguide.com/shop/detail/5782","เปิดแหล่งข้อมูล 1")</x:f>
        <x:v>HYPERLINK is not implemented. linkLocation=https://makanhalalguide.com/shop/detail/5782, friendlyName=เปิดแหล่งข้อมูล 1</x:v>
      </x:c>
      <x:c r="L85" s="23" t="str"/>
      <x:c r="M85" s="20" t="str"/>
      <x:c r="N85" s="10" t="n">
        <x:v>46315</x:v>
      </x:c>
      <x:c r="O85" s="22" t="str">
        <x:v>ยังไม่ตรวจ</x:v>
      </x:c>
      <x:c r="P85" s="22" t="str">
        <x:v>ยังไม่ติดต่อ</x:v>
      </x:c>
    </x:row>
    <x:row r="86" ht="66" customHeight="1">
      <x:c r="A86" s="9" t="n">
        <x:v>78</x:v>
      </x:c>
      <x:c r="B86" s="20" t="str">
        <x:v>บ้านเกี๊ยวเย็นตาโฟ</x:v>
      </x:c>
      <x:c r="C86" s="20" t="str">
        <x:v>กรุงเทพมหานคร</x:v>
      </x:c>
      <x:c r="D86" s="20" t="str">
        <x:v>ร้านอาหาร</x:v>
      </x:c>
      <x:c r="E86" s="20" t="str">
        <x:v>Makan Verify; ระบุมีห้องละหมาด</x:v>
      </x:c>
      <x:c r="F86" s="20" t="str">
        <x:v>แหล่งข้อมูลระบุว่ามี</x:v>
      </x:c>
      <x:c r="G86" s="20" t="str">
        <x:v>ยังไม่พบเอกสารรับรองและวันหมดอายุ</x:v>
      </x:c>
      <x:c r="H8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6" s="20" t="str">
        <x:v>ตลาดริมสวนหนองจอก (ล็อค D1 D2)  แขวงกระทุ่มราย เขตหนองจอก กรุงเทพมหานคร 10530</x:v>
      </x:c>
      <x:c r="J86" s="21" t="str">
        <x:v>0961243164</x:v>
      </x:c>
      <x:c r="K86" s="23" t="e">
        <x:f>HYPERLINK("https://makanhalalguide.com/shop/detail/5845","เปิดแหล่งข้อมูล 1")</x:f>
        <x:v>HYPERLINK is not implemented. linkLocation=https://makanhalalguide.com/shop/detail/5845, friendlyName=เปิดแหล่งข้อมูล 1</x:v>
      </x:c>
      <x:c r="L86" s="23" t="str"/>
      <x:c r="M86" s="20" t="str"/>
      <x:c r="N86" s="10" t="n">
        <x:v>46315</x:v>
      </x:c>
      <x:c r="O86" s="22" t="str">
        <x:v>ยังไม่ตรวจ</x:v>
      </x:c>
      <x:c r="P86" s="22" t="str">
        <x:v>ยังไม่ติดต่อ</x:v>
      </x:c>
    </x:row>
    <x:row r="87" ht="66" customHeight="1">
      <x:c r="A87" s="9" t="n">
        <x:v>79</x:v>
      </x:c>
      <x:c r="B87" s="20" t="str">
        <x:v>ฟาตินชิ้นสะดุ้ง สาขา ซีคอนศรีนครินทร์</x:v>
      </x:c>
      <x:c r="C87" s="20" t="str">
        <x:v>กรุงเทพมหานคร</x:v>
      </x:c>
      <x:c r="D87" s="20" t="str">
        <x:v>ร้านอาหาร</x:v>
      </x:c>
      <x:c r="E87" s="20" t="str">
        <x:v>Makan Verify; ระบุมีห้องละหมาด</x:v>
      </x:c>
      <x:c r="F87" s="20" t="str">
        <x:v>แหล่งข้อมูลระบุว่ามี</x:v>
      </x:c>
      <x:c r="G87" s="20" t="str">
        <x:v>ยังไม่พบเอกสารรับรองและวันหมดอายุ</x:v>
      </x:c>
      <x:c r="H8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7" s="20" t="str">
        <x:v>ซีคอนสแควร์ ศรีนครินทร์ ชั้น 2 (ฝั่ง Lotus หน้า Fitness first) ถนนศรีนครินทร์ แขวงหนองบอน เขตประเวศ กรุงเทพ 10250
</x:v>
      </x:c>
      <x:c r="J87" s="21" t="str">
        <x:v>0641422425</x:v>
      </x:c>
      <x:c r="K87" s="23" t="e">
        <x:f>HYPERLINK("https://makanhalalguide.com/shop/detail/5352","เปิดแหล่งข้อมูล 1")</x:f>
        <x:v>HYPERLINK is not implemented. linkLocation=https://makanhalalguide.com/shop/detail/5352, friendlyName=เปิดแหล่งข้อมูล 1</x:v>
      </x:c>
      <x:c r="L87" s="23" t="e">
        <x:f>HYPERLINK("https://www.thaithurkic.com/%E0%B8%9F%E0%B8%B2%E0%B8%95%E0%B8%B4%E0%B8%99%E0%B8%8A%E0%B8%B4%E0%B9%89%E0%B8%99%E0%B8%AA%E0%B8%B0%E0%B8%94%E0%B8%B8%E0%B9%89%E0%B8%87-085-564-9459","เปิดแหล่งข้อมูล 2")</x:f>
        <x:v>HYPERLINK is not implemented. linkLocation=https://www.thaithurkic.com/%E0%B8%9F%E0%B8%B2%E0%B8%95%E0%B8%B4%E0%B8%99%E0%B8%8A%E0%B8%B4%E0%B9%89%E0%B8%99%E0%B8%AA%E0%B8%B0%E0%B8%94%E0%B8%B8%E0%B9%89%E0%B8%87-085-564-9459, friendlyName=เปิดแหล่งข้อมูล 2</x:v>
      </x:c>
      <x:c r="M87" s="20" t="str">
        <x:v>ผลค้นหาชื่อสัมพันธ์จากแหล่งเพิ่มเติม ต้องยืนยันสาขาและข้อมูลปัจจุบัน</x:v>
      </x:c>
      <x:c r="N87" s="10" t="n">
        <x:v>46315</x:v>
      </x:c>
      <x:c r="O87" s="22" t="str">
        <x:v>ยังไม่ตรวจ</x:v>
      </x:c>
      <x:c r="P87" s="22" t="str">
        <x:v>ยังไม่ติดต่อ</x:v>
      </x:c>
    </x:row>
    <x:row r="88" ht="66" customHeight="1">
      <x:c r="A88" s="9" t="n">
        <x:v>80</x:v>
      </x:c>
      <x:c r="B88" s="20" t="str">
        <x:v>ฟาตินชิ้นสะดุ้ง สาขา แฟชั่นไอส์แลนด์</x:v>
      </x:c>
      <x:c r="C88" s="20" t="str">
        <x:v>กรุงเทพมหานคร</x:v>
      </x:c>
      <x:c r="D88" s="20" t="str">
        <x:v>ร้านอาหาร</x:v>
      </x:c>
      <x:c r="E88" s="20" t="str">
        <x:v>Makan Verify; ระบุมีห้องละหมาด</x:v>
      </x:c>
      <x:c r="F88" s="20" t="str">
        <x:v>แหล่งข้อมูลระบุว่ามี</x:v>
      </x:c>
      <x:c r="G88" s="20" t="str">
        <x:v>ยังไม่พบเอกสารรับรองและวันหมดอายุ</x:v>
      </x:c>
      <x:c r="H8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8" s="20" t="str">
        <x:v>แฟชั่นไอส์แลนด์ (ชั้น B ซอย 2 ล็อค 049) ถนนรามอินทรา แขวงคันนายาว เขตคันนายาว กรุงเทพ 10230</x:v>
      </x:c>
      <x:c r="J88" s="21" t="str">
        <x:v>0971656919</x:v>
      </x:c>
      <x:c r="K88" s="23" t="e">
        <x:f>HYPERLINK("https://makanhalalguide.com/shop/detail/5354","เปิดแหล่งข้อมูล 1")</x:f>
        <x:v>HYPERLINK is not implemented. linkLocation=https://makanhalalguide.com/shop/detail/5354, friendlyName=เปิดแหล่งข้อมูล 1</x:v>
      </x:c>
      <x:c r="L88" s="23" t="e">
        <x:f>HYPERLINK("https://www.thaithurkic.com/%E0%B8%9F%E0%B8%B2%E0%B8%95%E0%B8%B4%E0%B8%99%E0%B8%8A%E0%B8%B4%E0%B9%89%E0%B8%99%E0%B8%AA%E0%B8%B0%E0%B8%94%E0%B8%B8%E0%B9%89%E0%B8%87-085-564-9459","เปิดแหล่งข้อมูล 2")</x:f>
        <x:v>HYPERLINK is not implemented. linkLocation=https://www.thaithurkic.com/%E0%B8%9F%E0%B8%B2%E0%B8%95%E0%B8%B4%E0%B8%99%E0%B8%8A%E0%B8%B4%E0%B9%89%E0%B8%99%E0%B8%AA%E0%B8%B0%E0%B8%94%E0%B8%B8%E0%B9%89%E0%B8%87-085-564-9459, friendlyName=เปิดแหล่งข้อมูล 2</x:v>
      </x:c>
      <x:c r="M88" s="20" t="str">
        <x:v>ผลค้นหาชื่อสัมพันธ์จากแหล่งเพิ่มเติม ต้องยืนยันสาขาและข้อมูลปัจจุบัน</x:v>
      </x:c>
      <x:c r="N88" s="10" t="n">
        <x:v>46315</x:v>
      </x:c>
      <x:c r="O88" s="22" t="str">
        <x:v>ยังไม่ตรวจ</x:v>
      </x:c>
      <x:c r="P88" s="22" t="str">
        <x:v>ยังไม่ติดต่อ</x:v>
      </x:c>
    </x:row>
    <x:row r="89" ht="66" customHeight="1">
      <x:c r="A89" s="9" t="n">
        <x:v>81</x:v>
      </x:c>
      <x:c r="B89" s="20" t="str">
        <x:v>มัส -มัน-ไก่-มาก</x:v>
      </x:c>
      <x:c r="C89" s="20" t="str">
        <x:v>กรุงเทพมหานคร</x:v>
      </x:c>
      <x:c r="D89" s="20" t="str">
        <x:v>ร้านอาหาร</x:v>
      </x:c>
      <x:c r="E89" s="20" t="str">
        <x:v>Makan Verify; ระบุมีห้องละหมาด</x:v>
      </x:c>
      <x:c r="F89" s="20" t="str">
        <x:v>แหล่งข้อมูลระบุว่ามี</x:v>
      </x:c>
      <x:c r="G89" s="20" t="str">
        <x:v>ยังไม่พบเอกสารรับรองและวันหมดอายุ</x:v>
      </x:c>
      <x:c r="H8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89" s="20" t="str">
        <x:v>ปากซอยประชาร่วมใจ 20 คู้ซ้าย ตึกสีม่วง แขวงทรายกองดินใต้ เขตคลองสามวา กรุงเทพฯ 10510</x:v>
      </x:c>
      <x:c r="J89" s="21" t="str">
        <x:v>0988450074</x:v>
      </x:c>
      <x:c r="K89" s="23" t="e">
        <x:f>HYPERLINK("https://makanhalalguide.com/shop/detail/6325","เปิดแหล่งข้อมูล 1")</x:f>
        <x:v>HYPERLINK is not implemented. linkLocation=https://makanhalalguide.com/shop/detail/6325, friendlyName=เปิดแหล่งข้อมูล 1</x:v>
      </x:c>
      <x:c r="L89" s="23" t="e">
        <x:f>HYPERLINK("https://www.wongnai.com/restaurants/3792968mV-%E0%B8%A1%E0%B8%B1%E0%B8%AA-%E0%B8%A1%E0%B8%B1%E0%B8%99-%E0%B9%84%E0%B8%81%E0%B9%88-%E0%B8%A1%E0%B8%B2%E0%B8%81-%E0%B8%AA%E0%B8%B2%E0%B8%82%E0%B8%B2%E0%B8%84%E0%B8%B9%E0%B9%89%E0%B8%8B%E0%B9%89%E0%B8%B2%E0%B8%A2","เปิดแหล่งข้อมูล 2")</x:f>
        <x:v>HYPERLINK is not implemented. linkLocation=https://www.wongnai.com/restaurants/3792968mV-%E0%B8%A1%E0%B8%B1%E0%B8%AA-%E0%B8%A1%E0%B8%B1%E0%B8%99-%E0%B9%84%E0%B8%81%E0%B9%88-%E0%B8%A1%E0%B8%B2%E0%B8%81-%E0%B8%AA%E0%B8%B2%E0%B8%82%E0%B8%B2%E0%B8%84%E0%B8%B9%E0%B9%89%E0%B8%8B%E0%B9%89%E0%B8%B2%E0%B8%A2, friendlyName=เปิดแหล่งข้อมูล 2</x:v>
      </x:c>
      <x:c r="M89" s="20" t="str">
        <x:v>ผลค้นหาชื่อสัมพันธ์จากแหล่งเพิ่มเติม ต้องยืนยันสาขาและข้อมูลปัจจุบัน</x:v>
      </x:c>
      <x:c r="N89" s="10" t="n">
        <x:v>46315</x:v>
      </x:c>
      <x:c r="O89" s="22" t="str">
        <x:v>ยังไม่ตรวจ</x:v>
      </x:c>
      <x:c r="P89" s="22" t="str">
        <x:v>ยังไม่ติดต่อ</x:v>
      </x:c>
    </x:row>
    <x:row r="90" ht="66" customHeight="1">
      <x:c r="A90" s="9" t="n">
        <x:v>82</x:v>
      </x:c>
      <x:c r="B90" s="20" t="str">
        <x:v>มุสลิมโฮม2 ห้องพักรายวัน</x:v>
      </x:c>
      <x:c r="C90" s="20" t="str">
        <x:v>กรุงเทพมหานคร</x:v>
      </x:c>
      <x:c r="D90" s="20" t="str">
        <x:v>ที่พัก (ตรวจประเภทจากชื่อและข้อมูลประกอบ)</x:v>
      </x:c>
      <x:c r="E90" s="20" t="str">
        <x:v>Makan Verify; ระบุมีห้องละหมาด</x:v>
      </x:c>
      <x:c r="F90" s="20" t="str">
        <x:v>แหล่งข้อมูลระบุว่ามี</x:v>
      </x:c>
      <x:c r="G90" s="20" t="str">
        <x:v>ยังไม่พบเอกสารรับรองและวันหมดอายุ</x:v>
      </x:c>
      <x:c r="H90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90" s="20" t="str">
        <x:v>ซอยรามคำแหง 59 ถนนรามคำแหง แขวงหัวหมาก บางกะปิ กรุงเทพมหานคร 10240</x:v>
      </x:c>
      <x:c r="J90" s="21" t="str">
        <x:v>023186020</x:v>
      </x:c>
      <x:c r="K90" s="23" t="e">
        <x:f>HYPERLINK("https://makanhalalguide.com/shop/detail/5365","เปิดแหล่งข้อมูล 1")</x:f>
        <x:v>HYPERLINK is not implemented. linkLocation=https://makanhalalguide.com/shop/detail/5365, friendlyName=เปิดแหล่งข้อมูล 1</x:v>
      </x:c>
      <x:c r="L90" s="23" t="e">
        <x:f>HYPERLINK("https://www.thic.or.th/th/tourist/detail/accommodation/544","เปิดแหล่งข้อมูล 2")</x:f>
        <x:v>HYPERLINK is not implemented. linkLocation=https://www.thic.or.th/th/tourist/detail/accommodation/544, friendlyName=เปิดแหล่งข้อมูล 2</x:v>
      </x:c>
      <x:c r="M90" s="20" t="str">
        <x:v>รวมรายชื่อ Muslimhome2 ที่ซ้ำกันเป็นสถานที่เดียว; ต้องตรวจที่อยู่จริงอีกครั้ง</x:v>
      </x:c>
      <x:c r="N90" s="10" t="n">
        <x:v>46315</x:v>
      </x:c>
      <x:c r="O90" s="22" t="str">
        <x:v>ยังไม่ตรวจ</x:v>
      </x:c>
      <x:c r="P90" s="22" t="str">
        <x:v>ยังไม่ติดต่อ</x:v>
      </x:c>
    </x:row>
    <x:row r="91" ht="66" customHeight="1">
      <x:c r="A91" s="9" t="n">
        <x:v>83</x:v>
      </x:c>
      <x:c r="B91" s="20" t="str">
        <x:v>ม๋อต้มตุ๋น ก๋วยเตี๋ยวเนื้อ-ข้าวมันไก่เบตง</x:v>
      </x:c>
      <x:c r="C91" s="20" t="str">
        <x:v>กรุงเทพมหานคร</x:v>
      </x:c>
      <x:c r="D91" s="20" t="str">
        <x:v>ร้านอาหาร</x:v>
      </x:c>
      <x:c r="E91" s="20" t="str">
        <x:v>Makan Verify; ระบุมีห้องละหมาด</x:v>
      </x:c>
      <x:c r="F91" s="20" t="str">
        <x:v>แหล่งข้อมูลระบุว่ามี</x:v>
      </x:c>
      <x:c r="G91" s="20" t="str">
        <x:v>ยังไม่พบเอกสารรับรองและวันหมดอายุ</x:v>
      </x:c>
      <x:c r="H9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1" s="20" t="str">
        <x:v>ซอยสายไหม 34 (ซอย ม.ชลลดา) ถนนสายไหม แขวงสายไหม เขตสายไหม กรุงเทพมหานคร 10220</x:v>
      </x:c>
      <x:c r="J91" s="21" t="str">
        <x:v>0982589665</x:v>
      </x:c>
      <x:c r="K91" s="23" t="e">
        <x:f>HYPERLINK("https://makanhalalguide.com/shop/detail/5230","เปิดแหล่งข้อมูล 1")</x:f>
        <x:v>HYPERLINK is not implemented. linkLocation=https://makanhalalguide.com/shop/detail/5230, friendlyName=เปิดแหล่งข้อมูล 1</x:v>
      </x:c>
      <x:c r="L91" s="23" t="str"/>
      <x:c r="M91" s="20" t="str"/>
      <x:c r="N91" s="10" t="n">
        <x:v>46315</x:v>
      </x:c>
      <x:c r="O91" s="22" t="str">
        <x:v>ยังไม่ตรวจ</x:v>
      </x:c>
      <x:c r="P91" s="22" t="str">
        <x:v>ยังไม่ติดต่อ</x:v>
      </x:c>
    </x:row>
    <x:row r="92" ht="66" customHeight="1">
      <x:c r="A92" s="9" t="n">
        <x:v>84</x:v>
      </x:c>
      <x:c r="B92" s="20" t="str">
        <x:v>รอดียา - Rodeeya Halal food bangkok</x:v>
      </x:c>
      <x:c r="C92" s="20" t="str">
        <x:v>กรุงเทพมหานคร</x:v>
      </x:c>
      <x:c r="D92" s="20" t="str">
        <x:v>ร้านอาหาร</x:v>
      </x:c>
      <x:c r="E92" s="20" t="str">
        <x:v>Makan Verify; ระบุมีห้องละหมาด</x:v>
      </x:c>
      <x:c r="F92" s="20" t="str">
        <x:v>แหล่งข้อมูลระบุว่ามี</x:v>
      </x:c>
      <x:c r="G92" s="20" t="str">
        <x:v>ยังไม่พบเอกสารรับรองและวันหมดอายุ</x:v>
      </x:c>
      <x:c r="H9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2" s="20" t="str">
        <x:v>38 ซอย โพธิ์แก้ว 3 แยก 16 คลองจั่น, บางกะปิ กรุงเทพมหานคร 10240</x:v>
      </x:c>
      <x:c r="J92" s="21" t="str">
        <x:v>0802664757</x:v>
      </x:c>
      <x:c r="K92" s="23" t="e">
        <x:f>HYPERLINK("https://makanhalalguide.com/shop/detail/5660","เปิดแหล่งข้อมูล 1")</x:f>
        <x:v>HYPERLINK is not implemented. linkLocation=https://makanhalalguide.com/shop/detail/5660, friendlyName=เปิดแหล่งข้อมูล 1</x:v>
      </x:c>
      <x:c r="L92" s="23" t="e">
        <x:f>HYPERLINK("https://www.wongnai.com/restaurants/597675Eu-%E0%B8%A3%E0%B8%AD%E0%B8%94%E0%B8%B5%E0%B8%A2%E0%B8%B2-rodeeya-halal-food-bangkok-%E0%B8%99%E0%B8%A7%E0%B8%A1%E0%B8%B4%E0%B8%99%E0%B8%97%E0%B8%A3%E0%B9%8C","เปิดแหล่งข้อมูล 2")</x:f>
        <x:v>HYPERLINK is not implemented. linkLocation=https://www.wongnai.com/restaurants/597675Eu-%E0%B8%A3%E0%B8%AD%E0%B8%94%E0%B8%B5%E0%B8%A2%E0%B8%B2-rodeeya-halal-food-bangkok-%E0%B8%99%E0%B8%A7%E0%B8%A1%E0%B8%B4%E0%B8%99%E0%B8%97%E0%B8%A3%E0%B9%8C, friendlyName=เปิดแหล่งข้อมูล 2</x:v>
      </x:c>
      <x:c r="M92" s="20" t="str">
        <x:v>ผลค้นหาชื่อสัมพันธ์จากแหล่งเพิ่มเติม ต้องยืนยันสาขาและข้อมูลปัจจุบัน</x:v>
      </x:c>
      <x:c r="N92" s="10" t="n">
        <x:v>46315</x:v>
      </x:c>
      <x:c r="O92" s="22" t="str">
        <x:v>ยังไม่ตรวจ</x:v>
      </x:c>
      <x:c r="P92" s="22" t="str">
        <x:v>ยังไม่ติดต่อ</x:v>
      </x:c>
    </x:row>
    <x:row r="93" ht="66" customHeight="1">
      <x:c r="A93" s="9" t="n">
        <x:v>85</x:v>
      </x:c>
      <x:c r="B93" s="20" t="str">
        <x:v>ลี่หยาง Li yang สาขา Charn at the Avenue</x:v>
      </x:c>
      <x:c r="C93" s="20" t="str">
        <x:v>กรุงเทพมหานคร</x:v>
      </x:c>
      <x:c r="D93" s="20" t="str">
        <x:v>ร้านอาหาร</x:v>
      </x:c>
      <x:c r="E93" s="20" t="str">
        <x:v>Makan Verify; ระบุมีห้องละหมาด</x:v>
      </x:c>
      <x:c r="F93" s="20" t="str">
        <x:v>แหล่งข้อมูลระบุว่ามี</x:v>
      </x:c>
      <x:c r="G93" s="20" t="str">
        <x:v>ยังไม่พบเอกสารรับรองและวันหมดอายุ</x:v>
      </x:c>
      <x:c r="H9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3" s="20" t="str">
        <x:v>Charn at the Avenue (อยู่ชั้น 2 จุด สังเกตอยู่ใกล้ๆ บันไดเลื่อนทางขึ้นไปโรงหนัง) แขวงทุ่งสองห้อง เขตหลักสี่ กรุงเทพฯ 10210</x:v>
      </x:c>
      <x:c r="J93" s="21" t="str">
        <x:v>0644615258</x:v>
      </x:c>
      <x:c r="K93" s="23" t="e">
        <x:f>HYPERLINK("https://makanhalalguide.com/shop/detail/4859","เปิดแหล่งข้อมูล 1")</x:f>
        <x:v>HYPERLINK is not implemented. linkLocation=https://makanhalalguide.com/shop/detail/4859, friendlyName=เปิดแหล่งข้อมูล 1</x:v>
      </x:c>
      <x:c r="L93" s="23" t="str"/>
      <x:c r="M93" s="20" t="str"/>
      <x:c r="N93" s="10" t="n">
        <x:v>46315</x:v>
      </x:c>
      <x:c r="O93" s="22" t="str">
        <x:v>ยังไม่ตรวจ</x:v>
      </x:c>
      <x:c r="P93" s="22" t="str">
        <x:v>ยังไม่ติดต่อ</x:v>
      </x:c>
    </x:row>
    <x:row r="94" ht="66" customHeight="1">
      <x:c r="A94" s="9" t="n">
        <x:v>86</x:v>
      </x:c>
      <x:c r="B94" s="20" t="str">
        <x:v>สไปซี่คัก ริมน้ำ by Amdangtyphoon</x:v>
      </x:c>
      <x:c r="C94" s="20" t="str">
        <x:v>กรุงเทพมหานคร</x:v>
      </x:c>
      <x:c r="D94" s="20" t="str">
        <x:v>ร้านอาหาร</x:v>
      </x:c>
      <x:c r="E94" s="20" t="str">
        <x:v>Makan Verify; ระบุมีห้องละหมาด</x:v>
      </x:c>
      <x:c r="F94" s="20" t="str">
        <x:v>แหล่งข้อมูลระบุว่ามี</x:v>
      </x:c>
      <x:c r="G94" s="20" t="str">
        <x:v>ยังไม่พบเอกสารรับรองและวันหมดอายุ / มีชื่อในทะเบียน GMHI 6 ดาว; ยังต้องยืนยันใบอาหารฮาลาลและวันหมดอายุแยกกัน</x:v>
      </x:c>
      <x:c r="H9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4" s="20" t="str">
        <x:v>เลขที่ 160,162 ซ.จรัญสนิทวงศ์ 86/1 แขวงบางอ้อ เขตบางพลัด กรุงเทพฯ 10700</x:v>
      </x:c>
      <x:c r="J94" s="21" t="str">
        <x:v>0641945228</x:v>
      </x:c>
      <x:c r="K94" s="23" t="e">
        <x:f>HYPERLINK("https://makanhalalguide.com/shop/detail/5312","เปิดแหล่งข้อมูล 1")</x:f>
        <x:v>HYPERLINK is not implemented. linkLocation=https://makanhalalguide.com/shop/detail/5312, friendlyName=เปิดแหล่งข้อมูล 1</x:v>
      </x:c>
      <x:c r="L94" s="23" t="str"/>
      <x:c r="M94" s="20" t="str"/>
      <x:c r="N94" s="10" t="n">
        <x:v>46315</x:v>
      </x:c>
      <x:c r="O94" s="22" t="str">
        <x:v>ยังไม่ตรวจ</x:v>
      </x:c>
      <x:c r="P94" s="22" t="str">
        <x:v>ยังไม่ติดต่อ</x:v>
      </x:c>
    </x:row>
    <x:row r="95" ht="66" customHeight="1">
      <x:c r="A95" s="9" t="n">
        <x:v>87</x:v>
      </x:c>
      <x:c r="B95" s="20" t="str">
        <x:v>อาลีบาบา ราเมงเส้นสด</x:v>
      </x:c>
      <x:c r="C95" s="20" t="str">
        <x:v>กรุงเทพมหานคร</x:v>
      </x:c>
      <x:c r="D95" s="20" t="str">
        <x:v>ร้านอาหาร</x:v>
      </x:c>
      <x:c r="E95" s="20" t="str">
        <x:v>Makan Verify; ระบุมีห้องละหมาด</x:v>
      </x:c>
      <x:c r="F95" s="20" t="str">
        <x:v>แหล่งข้อมูลระบุว่ามี</x:v>
      </x:c>
      <x:c r="G95" s="20" t="str">
        <x:v>ยังไม่พบเอกสารรับรองและวันหมดอายุ</x:v>
      </x:c>
      <x:c r="H9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5" s="20" t="str">
        <x:v>ซอยศรีนครินทร์ 55 (สวนหลวง ร.9) ติดกับมัสยิดเราะห์มาตุ้ลอิสลาม แขวงหนองบอน เขตประเวศ กรุงเทพมหานคร 10250</x:v>
      </x:c>
      <x:c r="J95" s="21" t="str">
        <x:v>0986051052</x:v>
      </x:c>
      <x:c r="K95" s="23" t="e">
        <x:f>HYPERLINK("https://makanhalalguide.com/shop/detail/5915","เปิดแหล่งข้อมูล 1")</x:f>
        <x:v>HYPERLINK is not implemented. linkLocation=https://makanhalalguide.com/shop/detail/5915, friendlyName=เปิดแหล่งข้อมูล 1</x:v>
      </x:c>
      <x:c r="L95" s="23" t="str"/>
      <x:c r="M95" s="20" t="str"/>
      <x:c r="N95" s="10" t="n">
        <x:v>46315</x:v>
      </x:c>
      <x:c r="O95" s="22" t="str">
        <x:v>ยังไม่ตรวจ</x:v>
      </x:c>
      <x:c r="P95" s="22" t="str">
        <x:v>ยังไม่ติดต่อ</x:v>
      </x:c>
    </x:row>
    <x:row r="96" ht="66" customHeight="1">
      <x:c r="A96" s="9" t="n">
        <x:v>88</x:v>
      </x:c>
      <x:c r="B96" s="20" t="str">
        <x:v>อาไบมาโคขุน สาขา2</x:v>
      </x:c>
      <x:c r="C96" s="20" t="str">
        <x:v>กรุงเทพมหานคร</x:v>
      </x:c>
      <x:c r="D96" s="20" t="str">
        <x:v>ร้านอาหาร</x:v>
      </x:c>
      <x:c r="E96" s="20" t="str">
        <x:v>Makan Verify; ระบุมีห้องละหมาด</x:v>
      </x:c>
      <x:c r="F96" s="20" t="str">
        <x:v>แหล่งข้อมูลระบุว่ามี</x:v>
      </x:c>
      <x:c r="G96" s="20" t="str">
        <x:v>ยังไม่พบเอกสารรับรองและวันหมดอายุ</x:v>
      </x:c>
      <x:c r="H9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6" s="20" t="str">
        <x:v>The Canteen Srinakarin 185/12 ท้ายซอยสุภาพงษ์ 1 แขวงหนองบอน เขตประเวศ กรุงเทพมหานคร 10250</x:v>
      </x:c>
      <x:c r="J96" s="21" t="str">
        <x:v>0638699199</x:v>
      </x:c>
      <x:c r="K96" s="23" t="e">
        <x:f>HYPERLINK("https://makanhalalguide.com/shop/detail/4976","เปิดแหล่งข้อมูล 1")</x:f>
        <x:v>HYPERLINK is not implemented. linkLocation=https://makanhalalguide.com/shop/detail/4976, friendlyName=เปิดแหล่งข้อมูล 1</x:v>
      </x:c>
      <x:c r="L96" s="23" t="e">
        <x:f>HYPERLINK("https://www.wongnai.com/restaurants/2883676di-%E0%B8%AD%E0%B8%B2%E0%B9%84%E0%B8%9A%E0%B8%A1%E0%B8%B2%E0%B9%82%E0%B8%84%E0%B8%82%E0%B8%B8%E0%B8%99-%E0%B8%AA%E0%B8%B2%E0%B8%82%E0%B8%B22-the-canteen-srinakarin","เปิดแหล่งข้อมูล 2")</x:f>
        <x:v>HYPERLINK is not implemented. linkLocation=https://www.wongnai.com/restaurants/2883676di-%E0%B8%AD%E0%B8%B2%E0%B9%84%E0%B8%9A%E0%B8%A1%E0%B8%B2%E0%B9%82%E0%B8%84%E0%B8%82%E0%B8%B8%E0%B8%99-%E0%B8%AA%E0%B8%B2%E0%B8%82%E0%B8%B22-the-canteen-srinakarin, friendlyName=เปิดแหล่งข้อมูล 2</x:v>
      </x:c>
      <x:c r="M96" s="20" t="str">
        <x:v>ผลค้นหาชื่อสัมพันธ์จากแหล่งเพิ่มเติม ต้องยืนยันสาขาและข้อมูลปัจจุบัน</x:v>
      </x:c>
      <x:c r="N96" s="10" t="n">
        <x:v>46315</x:v>
      </x:c>
      <x:c r="O96" s="22" t="str">
        <x:v>ยังไม่ตรวจ</x:v>
      </x:c>
      <x:c r="P96" s="22" t="str">
        <x:v>ยังไม่ติดต่อ</x:v>
      </x:c>
    </x:row>
    <x:row r="97" ht="66" customHeight="1">
      <x:c r="A97" s="9" t="n">
        <x:v>89</x:v>
      </x:c>
      <x:c r="B97" s="20" t="str">
        <x:v>เจริญบัง สุกี้ ฮาลาล</x:v>
      </x:c>
      <x:c r="C97" s="20" t="str">
        <x:v>กรุงเทพมหานคร</x:v>
      </x:c>
      <x:c r="D97" s="20" t="str">
        <x:v>ร้านอาหาร</x:v>
      </x:c>
      <x:c r="E97" s="20" t="str">
        <x:v>Makan Verify; ระบุมีห้องละหมาด</x:v>
      </x:c>
      <x:c r="F97" s="20" t="str">
        <x:v>แหล่งข้อมูลระบุว่ามี</x:v>
      </x:c>
      <x:c r="G97" s="20" t="str">
        <x:v>ยังไม่พบเอกสารรับรองและวันหมดอายุ</x:v>
      </x:c>
      <x:c r="H9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7" s="20" t="str">
        <x:v>ปาก ซอยเคหะร่มเกล้า 54 แขวงคลองสองต้นนุ่น เขตลาดกระบัง กรุงเทพมหานคร 10520</x:v>
      </x:c>
      <x:c r="J97" s="21" t="str">
        <x:v>0801799928</x:v>
      </x:c>
      <x:c r="K97" s="23" t="e">
        <x:f>HYPERLINK("https://makanhalalguide.com/shop/detail/5785","เปิดแหล่งข้อมูล 1")</x:f>
        <x:v>HYPERLINK is not implemented. linkLocation=https://makanhalalguide.com/shop/detail/5785, friendlyName=เปิดแหล่งข้อมูล 1</x:v>
      </x:c>
      <x:c r="L97" s="23" t="e">
        <x:f>HYPERLINK("https://www.lemon8-app.com/%40bus_wisanu/7548286134653141505?region=th","เปิดแหล่งข้อมูล 2")</x:f>
        <x:v>HYPERLINK is not implemented. linkLocation=https://www.lemon8-app.com/%40bus_wisanu/7548286134653141505?region=th, friendlyName=เปิดแหล่งข้อมูล 2</x:v>
      </x:c>
      <x:c r="M97" s="20" t="str">
        <x:v>ผลค้นหาชื่อสัมพันธ์จากแหล่งเพิ่มเติม ต้องยืนยันสาขาและข้อมูลปัจจุบัน</x:v>
      </x:c>
      <x:c r="N97" s="10" t="n">
        <x:v>46315</x:v>
      </x:c>
      <x:c r="O97" s="22" t="str">
        <x:v>ยังไม่ตรวจ</x:v>
      </x:c>
      <x:c r="P97" s="22" t="str">
        <x:v>ยังไม่ติดต่อ</x:v>
      </x:c>
    </x:row>
    <x:row r="98" ht="66" customHeight="1">
      <x:c r="A98" s="9" t="n">
        <x:v>90</x:v>
      </x:c>
      <x:c r="B98" s="20" t="str">
        <x:v>เซี้ยะ ข้าวมันไก่ สูตรเบตง - สาขามีนบุรี حلا</x:v>
      </x:c>
      <x:c r="C98" s="20" t="str">
        <x:v>กรุงเทพมหานคร</x:v>
      </x:c>
      <x:c r="D98" s="20" t="str">
        <x:v>ร้านอาหาร</x:v>
      </x:c>
      <x:c r="E98" s="20" t="str">
        <x:v>Makan Verify; ระบุมีห้องละหมาด</x:v>
      </x:c>
      <x:c r="F98" s="20" t="str">
        <x:v>แหล่งข้อมูลระบุว่ามี</x:v>
      </x:c>
      <x:c r="G98" s="20" t="str">
        <x:v>ยังไม่พบเอกสารรับรองและวันหมดอายุ</x:v>
      </x:c>
      <x:c r="H9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8" s="20" t="str">
        <x:v>ปากซอยราษฎร์อุทิศ 25/5 ตรงข้ามมัรกัส แสนแสบ เขตมีนบุรี กรุงเทพมหานคร 10510</x:v>
      </x:c>
      <x:c r="J98" s="21" t="str">
        <x:v>0612344541</x:v>
      </x:c>
      <x:c r="K98" s="23" t="e">
        <x:f>HYPERLINK("https://makanhalalguide.com/shop/detail/5790","เปิดแหล่งข้อมูล 1")</x:f>
        <x:v>HYPERLINK is not implemented. linkLocation=https://makanhalalguide.com/shop/detail/5790, friendlyName=เปิดแหล่งข้อมูล 1</x:v>
      </x:c>
      <x:c r="L98" s="23" t="e">
        <x:f>HYPERLINK("https://ru.restaurantguru.com/%E0%B9%80%E0%B8%8B%E0%B8%B5%E0%B9%89%E0%B8%A2%E0%B8%B0-%E0%B8%82%E0%B9%89%E0%B8%B2%E0%B8%A7%E0%B8%A1%E0%B8%B1%E0%B8%99%E0%B9%84%E0%B8%81%E0%B9%88-%E0%B8%AA%E0%B8%B9%E0%B8%95%E0%B8%A3%E0%B9%80%E0%B8%9A%E0%B8%95%E0%B8%87-Bangkok","เปิดแหล่งข้อมูล 2")</x:f>
        <x:v>HYPERLINK is not implemented. linkLocation=https://ru.restaurantguru.com/%E0%B9%80%E0%B8%8B%E0%B8%B5%E0%B9%89%E0%B8%A2%E0%B8%B0-%E0%B8%82%E0%B9%89%E0%B8%B2%E0%B8%A7%E0%B8%A1%E0%B8%B1%E0%B8%99%E0%B9%84%E0%B8%81%E0%B9%88-%E0%B8%AA%E0%B8%B9%E0%B8%95%E0%B8%A3%E0%B9%80%E0%B8%9A%E0%B8%95%E0%B8%87-Bangkok, friendlyName=เปิดแหล่งข้อมูล 2</x:v>
      </x:c>
      <x:c r="M98" s="20" t="str">
        <x:v>ผลค้นหาชื่อสัมพันธ์จากแหล่งเพิ่มเติม ต้องยืนยันสาขาและข้อมูลปัจจุบัน</x:v>
      </x:c>
      <x:c r="N98" s="10" t="n">
        <x:v>46315</x:v>
      </x:c>
      <x:c r="O98" s="22" t="str">
        <x:v>ยังไม่ตรวจ</x:v>
      </x:c>
      <x:c r="P98" s="22" t="str">
        <x:v>ยังไม่ติดต่อ</x:v>
      </x:c>
    </x:row>
    <x:row r="99" ht="66" customHeight="1">
      <x:c r="A99" s="9" t="n">
        <x:v>91</x:v>
      </x:c>
      <x:c r="B99" s="20" t="str">
        <x:v>เทียนถังหม่าล่า สาขา OR Space รามคำแหง 129</x:v>
      </x:c>
      <x:c r="C99" s="20" t="str">
        <x:v>กรุงเทพมหานคร</x:v>
      </x:c>
      <x:c r="D99" s="20" t="str">
        <x:v>ร้านอาหาร</x:v>
      </x:c>
      <x:c r="E99" s="20" t="str">
        <x:v>Makan Verify; ระบุมีห้องละหมาด</x:v>
      </x:c>
      <x:c r="F99" s="20" t="str">
        <x:v>แหล่งข้อมูลระบุว่ามี</x:v>
      </x:c>
      <x:c r="G99" s="20" t="str">
        <x:v>ยังไม่พบเอกสารรับรองและวันหมดอายุ</x:v>
      </x:c>
      <x:c r="H9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99" s="20" t="str">
        <x:v>OR Space รามคำแหง 129 ถนน รามคำแหง แขวงหัวหมาก เขตบางกะปิ กรุงเทพมหานคร 10240</x:v>
      </x:c>
      <x:c r="J99" s="21" t="str">
        <x:v>0923997926</x:v>
      </x:c>
      <x:c r="K99" s="23" t="e">
        <x:f>HYPERLINK("https://makanhalalguide.com/shop/detail/5340","เปิดแหล่งข้อมูล 1")</x:f>
        <x:v>HYPERLINK is not implemented. linkLocation=https://makanhalalguide.com/shop/detail/5340, friendlyName=เปิดแหล่งข้อมูล 1</x:v>
      </x:c>
      <x:c r="L99" s="23" t="e">
        <x:f>HYPERLINK("https://www.lemon8-app.com/%40k.niireviews/7461103249840472584?region=th","เปิดแหล่งข้อมูล 2")</x:f>
        <x:v>HYPERLINK is not implemented. linkLocation=https://www.lemon8-app.com/%40k.niireviews/7461103249840472584?region=th, friendlyName=เปิดแหล่งข้อมูล 2</x:v>
      </x:c>
      <x:c r="M99" s="20" t="str">
        <x:v>ผลค้นหาชื่อสัมพันธ์จากแหล่งเพิ่มเติม ต้องยืนยันสาขาและข้อมูลปัจจุบัน</x:v>
      </x:c>
      <x:c r="N99" s="10" t="n">
        <x:v>46315</x:v>
      </x:c>
      <x:c r="O99" s="22" t="str">
        <x:v>ยังไม่ตรวจ</x:v>
      </x:c>
      <x:c r="P99" s="22" t="str">
        <x:v>ยังไม่ติดต่อ</x:v>
      </x:c>
    </x:row>
    <x:row r="100" ht="66" customHeight="1">
      <x:c r="A100" s="9" t="n">
        <x:v>92</x:v>
      </x:c>
      <x:c r="B100" s="20" t="str">
        <x:v>เย็นตาโฟโก๋ยา สาขา 2 พัฒนาการ</x:v>
      </x:c>
      <x:c r="C100" s="20" t="str">
        <x:v>กรุงเทพมหานคร</x:v>
      </x:c>
      <x:c r="D100" s="20" t="str">
        <x:v>ร้านอาหาร</x:v>
      </x:c>
      <x:c r="E100" s="20" t="str">
        <x:v>Makan Verify; ระบุมีห้องละหมาด</x:v>
      </x:c>
      <x:c r="F100" s="20" t="str">
        <x:v>แหล่งข้อมูลระบุว่ามี</x:v>
      </x:c>
      <x:c r="G100" s="20" t="str">
        <x:v>ยังไม่พบเอกสารรับรองและวันหมดอายุ</x:v>
      </x:c>
      <x:c r="H10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0" s="20" t="str">
        <x:v>472 ซอยพัฒนาการ 38 แขวงสวนหลวง เขตสวนหลวง กรุงเทพฯ 10250 (ซอยพัฒนาการ 38 (ซอยโต๊ะวอ) หัวมุมซอยตรงข้ามกับร้านอาหารบุสนาฮาลาลฟู้ด)</x:v>
      </x:c>
      <x:c r="J100" s="21" t="str">
        <x:v>0957707404</x:v>
      </x:c>
      <x:c r="K100" s="23" t="e">
        <x:f>HYPERLINK("https://makanhalalguide.com/shop/detail/4887","เปิดแหล่งข้อมูล 1")</x:f>
        <x:v>HYPERLINK is not implemented. linkLocation=https://makanhalalguide.com/shop/detail/4887, friendlyName=เปิดแหล่งข้อมูล 1</x:v>
      </x:c>
      <x:c r="L100" s="23" t="str"/>
      <x:c r="M100" s="20" t="str"/>
      <x:c r="N100" s="10" t="n">
        <x:v>46315</x:v>
      </x:c>
      <x:c r="O100" s="22" t="str">
        <x:v>ยังไม่ตรวจ</x:v>
      </x:c>
      <x:c r="P100" s="22" t="str">
        <x:v>ยังไม่ติดต่อ</x:v>
      </x:c>
    </x:row>
    <x:row r="101" ht="66" customHeight="1">
      <x:c r="A101" s="9" t="n">
        <x:v>93</x:v>
      </x:c>
      <x:c r="B101" s="20" t="str">
        <x:v>เหล่าม่า ฮาลาล โจ๊กฮ่องกง ติ่มซำกุ้งเด้ง</x:v>
      </x:c>
      <x:c r="C101" s="20" t="str">
        <x:v>กรุงเทพมหานคร</x:v>
      </x:c>
      <x:c r="D101" s="20" t="str">
        <x:v>ร้านอาหาร</x:v>
      </x:c>
      <x:c r="E101" s="20" t="str">
        <x:v>Makan Verify; ระบุมีห้องละหมาด</x:v>
      </x:c>
      <x:c r="F101" s="20" t="str">
        <x:v>แหล่งข้อมูลระบุว่ามี</x:v>
      </x:c>
      <x:c r="G101" s="20" t="str">
        <x:v>ยังไม่พบเอกสารรับรองและวันหมดอายุ</x:v>
      </x:c>
      <x:c r="H10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1" s="20" t="str">
        <x:v>935 ถนนกรุงเทพกรีฑา แขวงหัวหมาก เขตบางกะปิ กรุงเทพมหานคร 10240</x:v>
      </x:c>
      <x:c r="J101" s="21" t="str">
        <x:v>0922722887</x:v>
      </x:c>
      <x:c r="K101" s="23" t="e">
        <x:f>HYPERLINK("https://makanhalalguide.com/shop/detail/5204","เปิดแหล่งข้อมูล 1")</x:f>
        <x:v>HYPERLINK is not implemented. linkLocation=https://makanhalalguide.com/shop/detail/5204, friendlyName=เปิดแหล่งข้อมูล 1</x:v>
      </x:c>
      <x:c r="L101" s="23" t="e">
        <x:f>HYPERLINK("https://www.bkkkids.com/blog/the-best-kids-cafes-in-bangkok/","เปิดแหล่งข้อมูล 2")</x:f>
        <x:v>HYPERLINK is not implemented. linkLocation=https://www.bkkkids.com/blog/the-best-kids-cafes-in-bangkok/, friendlyName=เปิดแหล่งข้อมูล 2</x:v>
      </x:c>
      <x:c r="M101" s="20" t="str">
        <x:v>ผลค้นหาชื่อสัมพันธ์จากแหล่งเพิ่มเติม ต้องยืนยันสาขาและข้อมูลปัจจุบัน</x:v>
      </x:c>
      <x:c r="N101" s="10" t="n">
        <x:v>46315</x:v>
      </x:c>
      <x:c r="O101" s="22" t="str">
        <x:v>ยังไม่ตรวจ</x:v>
      </x:c>
      <x:c r="P101" s="22" t="str">
        <x:v>ยังไม่ติดต่อ</x:v>
      </x:c>
    </x:row>
    <x:row r="102" ht="66" customHeight="1">
      <x:c r="A102" s="9" t="n">
        <x:v>94</x:v>
      </x:c>
      <x:c r="B102" s="20" t="str">
        <x:v>แมนดาริน สุกี้&amp;ติ่มซำ สาขา พระราม9-รามคำแหง</x:v>
      </x:c>
      <x:c r="C102" s="20" t="str">
        <x:v>กรุงเทพมหานคร</x:v>
      </x:c>
      <x:c r="D102" s="20" t="str">
        <x:v>ร้านอาหาร</x:v>
      </x:c>
      <x:c r="E102" s="20" t="str">
        <x:v>Makan Verify; ระบุมีห้องละหมาด</x:v>
      </x:c>
      <x:c r="F102" s="20" t="str">
        <x:v>แหล่งข้อมูลระบุว่ามี</x:v>
      </x:c>
      <x:c r="G102" s="20" t="str">
        <x:v>ยังไม่พบเอกสารรับรองและวันหมดอายุ</x:v>
      </x:c>
      <x:c r="H10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2" s="20" t="str">
        <x:v>ฝั่งตรงข้ามศูนย์กลางอิสลาม ถัดจากโรงแรมอัลมีรอซ  ถนนรามคำแหง แขวงหัวหมาก เขตบางกะปิ กรุงเทพฯ 10240</x:v>
      </x:c>
      <x:c r="J102" s="21" t="str">
        <x:v>000000099</x:v>
      </x:c>
      <x:c r="K102" s="23" t="e">
        <x:f>HYPERLINK("https://makanhalalguide.com/shop/detail/6201","เปิดแหล่งข้อมูล 1")</x:f>
        <x:v>HYPERLINK is not implemented. linkLocation=https://makanhalalguide.com/shop/detail/6201, friendlyName=เปิดแหล่งข้อมูล 1</x:v>
      </x:c>
      <x:c r="L102" s="23" t="e">
        <x:f>HYPERLINK("https://www.lemon8-app.com/experience/%E0%B9%81%E0%B8%A1%E0%B8%99%E0%B8%94%E0%B8%B2%E0%B8%A3%E0%B8%B4%E0%B8%99%E0%B8%8B%E0%B8%B5%E0%B8%84%E0%B8%AD%E0%B8%99?region=th","เปิดแหล่งข้อมูล 2")</x:f>
        <x:v>HYPERLINK is not implemented. linkLocation=https://www.lemon8-app.com/experience/%E0%B9%81%E0%B8%A1%E0%B8%99%E0%B8%94%E0%B8%B2%E0%B8%A3%E0%B8%B4%E0%B8%99%E0%B8%8B%E0%B8%B5%E0%B8%84%E0%B8%AD%E0%B8%99?region=th, friendlyName=เปิดแหล่งข้อมูล 2</x:v>
      </x:c>
      <x:c r="M102" s="20" t="str">
        <x:v>ผลค้นหาชื่อสัมพันธ์จากแหล่งเพิ่มเติม ต้องยืนยันสาขาและข้อมูลปัจจุบัน</x:v>
      </x:c>
      <x:c r="N102" s="10" t="n">
        <x:v>46315</x:v>
      </x:c>
      <x:c r="O102" s="22" t="str">
        <x:v>ยังไม่ตรวจ</x:v>
      </x:c>
      <x:c r="P102" s="22" t="str">
        <x:v>ยังไม่ติดต่อ</x:v>
      </x:c>
    </x:row>
    <x:row r="103" ht="66" customHeight="1">
      <x:c r="A103" s="9" t="n">
        <x:v>95</x:v>
      </x:c>
      <x:c r="B103" s="20" t="str">
        <x:v>แมนดาริน สุกี้&amp;ติ่มซำ สาขา เดอะมอลล์ไลฟ์สโตร์ บางกะปิ</x:v>
      </x:c>
      <x:c r="C103" s="20" t="str">
        <x:v>กรุงเทพมหานคร</x:v>
      </x:c>
      <x:c r="D103" s="20" t="str">
        <x:v>ร้านอาหาร</x:v>
      </x:c>
      <x:c r="E103" s="20" t="str">
        <x:v>Makan Verify; ระบุมีห้องละหมาด</x:v>
      </x:c>
      <x:c r="F103" s="20" t="str">
        <x:v>แหล่งข้อมูลระบุว่ามี</x:v>
      </x:c>
      <x:c r="G103" s="20" t="str">
        <x:v>ยังไม่พบเอกสารรับรองและวันหมดอายุ</x:v>
      </x:c>
      <x:c r="H10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3" s="20" t="str">
        <x:v>เลขที่ 3522 อาคารเดอะมอลล์ไลฟ์สโตร์ บางกะปิ ชั้นที่ 3 ห้องเลขที่ 303 ถนนลาดพร้าว แขวงคลองจั่น เขตบางกะปิ กรุงเทพฯ 10240</x:v>
      </x:c>
      <x:c r="J103" s="21" t="str">
        <x:v>0644349888</x:v>
      </x:c>
      <x:c r="K103" s="23" t="e">
        <x:f>HYPERLINK("https://makanhalalguide.com/shop/detail/5046","เปิดแหล่งข้อมูล 1")</x:f>
        <x:v>HYPERLINK is not implemented. linkLocation=https://makanhalalguide.com/shop/detail/5046, friendlyName=เปิดแหล่งข้อมูล 1</x:v>
      </x:c>
      <x:c r="L103" s="23" t="e">
        <x:f>HYPERLINK("https://th.openrice.com/th/bangkok/r-%E0%B9%81%E0%B8%A1%E0%B8%99%E0%B8%94%E0%B8%B2%E0%B8%A3%E0%B8%B4%E0%B8%99-%E0%B8%AA%E0%B8%B8%E0%B8%81%E0%B8%B5%E0%B9%89-%E0%B8%95%E0%B8%B4%E0%B9%88%E0%B8%A1%E0%B8%8B%E0%B8%B3-%E0%B8%9A%E0%B8%B2%E0%B8%87%E0%B8%AB%E0%B8%A7%E0%B9%89%E0%B8%B2-%E0%B8%9A%E0%B8%B8%E0%B8%9F%E0%B9%80%E0%B8%9F%E0%B9%88%E0%B8%95%E0%B9%8C%E0%B8%8A%E0%B8%B2%E0%B8%9A%E0%B8%B9-r1586648","เปิดแหล่งข้อมูล 2")</x:f>
        <x:v>HYPERLINK is not implemented. linkLocation=https://th.openrice.com/th/bangkok/r-%E0%B9%81%E0%B8%A1%E0%B8%99%E0%B8%94%E0%B8%B2%E0%B8%A3%E0%B8%B4%E0%B8%99-%E0%B8%AA%E0%B8%B8%E0%B8%81%E0%B8%B5%E0%B9%89-%E0%B8%95%E0%B8%B4%E0%B9%88%E0%B8%A1%E0%B8%8B%E0%B8%B3-%E0%B8%9A%E0%B8%B2%E0%B8%87%E0%B8%AB%E0%B8%A7%E0%B9%89%E0%B8%B2-%E0%B8%9A%E0%B8%B8%E0%B8%9F%E0%B9%80%E0%B8%9F%E0%B9%88%E0%B8%95%E0%B9%8C%E0%B8%8A%E0%B8%B2%E0%B8%9A%E0%B8%B9-r1586648, friendlyName=เปิดแหล่งข้อมูล 2</x:v>
      </x:c>
      <x:c r="M103" s="20" t="str">
        <x:v>ผลค้นหาชื่อสัมพันธ์จากแหล่งเพิ่มเติม ต้องยืนยันสาขาและข้อมูลปัจจุบัน</x:v>
      </x:c>
      <x:c r="N103" s="10" t="n">
        <x:v>46315</x:v>
      </x:c>
      <x:c r="O103" s="22" t="str">
        <x:v>ยังไม่ตรวจ</x:v>
      </x:c>
      <x:c r="P103" s="22" t="str">
        <x:v>ยังไม่ติดต่อ</x:v>
      </x:c>
    </x:row>
    <x:row r="104" ht="66" customHeight="1">
      <x:c r="A104" s="9" t="n">
        <x:v>96</x:v>
      </x:c>
      <x:c r="B104" s="20" t="str">
        <x:v>เซ็นทรัลเวิลด์</x:v>
      </x:c>
      <x:c r="C104" s="20" t="str">
        <x:v>กรุงเทพมหานคร</x:v>
      </x:c>
      <x:c r="D104" s="20" t="str">
        <x:v>ศูนย์การค้า</x:v>
      </x:c>
      <x:c r="E104" s="20" t="str">
        <x:v>ผู้ประกอบการระบุห้องละหมาดชั้น 1 โซน Eden และตัวเลือกร้านฮาลาล ยังต้องตรวจใบรับรองร้านและที่อาบน้ำละหมาด</x:v>
      </x:c>
      <x:c r="F104" s="20" t="str">
        <x:v>แหล่งข้อมูลระบุว่ามี</x:v>
      </x:c>
      <x:c r="G104" s="20" t="str">
        <x:v>ยังไม่พบเอกสารรับรองและวันหมดอายุ</x:v>
      </x:c>
      <x:c r="H10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4" s="20" t="str">
        <x:v>ดูรายละเอียดในแหล่งอ้างอิง</x:v>
      </x:c>
      <x:c r="J104" s="21" t="str">
        <x:v>ยังไม่พบข้อมูล</x:v>
      </x:c>
      <x:c r="K104" s="23" t="e">
        <x:f>HYPERLINK("https://centralworld.co.th/en/news/CTW-A-Practical-Muslim-Traveller","เปิดแหล่งข้อมูล 1")</x:f>
        <x:v>HYPERLINK is not implemented. linkLocation=https://centralworld.co.th/en/news/CTW-A-Practical-Muslim-Traveller, friendlyName=เปิดแหล่งข้อมูล 1</x:v>
      </x:c>
      <x:c r="L104" s="23" t="e">
        <x:f>HYPERLINK("https://th.tripadvisor.com/Attraction_Review-g293916-d549670-Reviews-CentralWorld-Bangkok.html","เปิดแหล่งข้อมูล 2")</x:f>
        <x:v>HYPERLINK is not implemented. linkLocation=https://th.tripadvisor.com/Attraction_Review-g293916-d549670-Reviews-CentralWorld-Bangkok.html, friendlyName=เปิดแหล่งข้อมูล 2</x:v>
      </x:c>
      <x:c r="M104" s="20" t="str">
        <x:v>ผลค้นหาชื่อสัมพันธ์จากแหล่งเพิ่มเติม ต้องยืนยันสาขาและข้อมูลปัจจุบัน</x:v>
      </x:c>
      <x:c r="N104" s="10" t="n">
        <x:v>46315</x:v>
      </x:c>
      <x:c r="O104" s="22" t="str">
        <x:v>ยังไม่ตรวจ</x:v>
      </x:c>
      <x:c r="P104" s="22" t="str">
        <x:v>ยังไม่ติดต่อ</x:v>
      </x:c>
    </x:row>
    <x:row r="105" ht="66" customHeight="1">
      <x:c r="A105" s="9" t="n">
        <x:v>97</x:v>
      </x:c>
      <x:c r="B105" s="20" t="str">
        <x:v>Nanthawan park 888</x:v>
      </x:c>
      <x:c r="C105" s="20" t="str">
        <x:v>ฉะเชิงเทรา</x:v>
      </x:c>
      <x:c r="D105" s="20" t="str">
        <x:v>ที่พัก (ตรวจประเภทจากชื่อและข้อมูลประกอบ)</x:v>
      </x:c>
      <x:c r="E105" s="20" t="str">
        <x:v>Makan Verify; ระบุมีห้องละหมาด</x:v>
      </x:c>
      <x:c r="F105" s="20" t="str">
        <x:v>แหล่งข้อมูลระบุว่ามี</x:v>
      </x:c>
      <x:c r="G105" s="20" t="str">
        <x:v>ยังไม่พบเอกสารรับรองและวันหมดอายุ</x:v>
      </x:c>
      <x:c r="H105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105" s="20" t="str">
        <x:v>888 ตำบลดอนฉิมพลี อำเภอบางน้ำเปรี้ยว ฉะเชิงเทรา 24170 (ห่างจาก ตลาดคลอง 16 ประมาณ 1 กม.)</x:v>
      </x:c>
      <x:c r="J105" s="21" t="str">
        <x:v>0647897893</x:v>
      </x:c>
      <x:c r="K105" s="23" t="e">
        <x:f>HYPERLINK("https://makanhalalguide.com/shop/detail/5170","เปิดแหล่งข้อมูล 1")</x:f>
        <x:v>HYPERLINK is not implemented. linkLocation=https://makanhalalguide.com/shop/detail/5170, friendlyName=เปิดแหล่งข้อมูล 1</x:v>
      </x:c>
      <x:c r="L105" s="23" t="e">
        <x:f>HYPERLINK("https://www.lemon8-app.com/%40ammy_channel/7556934933797683729?region=th","เปิดแหล่งข้อมูล 2")</x:f>
        <x:v>HYPERLINK is not implemented. linkLocation=https://www.lemon8-app.com/%40ammy_channel/7556934933797683729?region=th, friendlyName=เปิดแหล่งข้อมูล 2</x:v>
      </x:c>
      <x:c r="M105" s="20" t="str">
        <x:v>ผลค้นหาชื่อสัมพันธ์จากแหล่งเพิ่มเติม ต้องยืนยันสาขาและข้อมูลปัจจุบัน</x:v>
      </x:c>
      <x:c r="N105" s="10" t="n">
        <x:v>46315</x:v>
      </x:c>
      <x:c r="O105" s="22" t="str">
        <x:v>ยังไม่ตรวจ</x:v>
      </x:c>
      <x:c r="P105" s="22" t="str">
        <x:v>ยังไม่ติดต่อ</x:v>
      </x:c>
    </x:row>
    <x:row r="106" ht="66" customHeight="1">
      <x:c r="A106" s="9" t="n">
        <x:v>98</x:v>
      </x:c>
      <x:c r="B106" s="20" t="str">
        <x:v>บังคอลิดน้ำลำไยสด</x:v>
      </x:c>
      <x:c r="C106" s="20" t="str">
        <x:v>ฉะเชิงเทรา</x:v>
      </x:c>
      <x:c r="D106" s="20" t="str">
        <x:v>ร้านอาหาร</x:v>
      </x:c>
      <x:c r="E106" s="20" t="str">
        <x:v>มีรายชื่อใน Makan Halal Guide; ระบุมีห้องละหมาด</x:v>
      </x:c>
      <x:c r="F106" s="20" t="str">
        <x:v>แหล่งข้อมูลระบุว่ามี</x:v>
      </x:c>
      <x:c r="G106" s="20" t="str">
        <x:v>ยังไม่พบเอกสารรับรองและวันหมดอายุ</x:v>
      </x:c>
      <x:c r="H10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6" s="20" t="str">
        <x:v>ติดกับห้าง CJ ตลาดคลอง 16 ตำบลดอนฉิมพลี  อำเภอบางน้ำเปรี้ยว จังหวัดฉะเชิงเทรา 24170</x:v>
      </x:c>
      <x:c r="J106" s="21" t="str">
        <x:v>0939829727</x:v>
      </x:c>
      <x:c r="K106" s="23" t="e">
        <x:f>HYPERLINK("https://makanhalalguide.com/shop/detail/4765","เปิดแหล่งข้อมูล 1")</x:f>
        <x:v>HYPERLINK is not implemented. linkLocation=https://makanhalalguide.com/shop/detail/4765, friendlyName=เปิดแหล่งข้อมูล 1</x:v>
      </x:c>
      <x:c r="L106" s="23" t="str"/>
      <x:c r="M106" s="20" t="str"/>
      <x:c r="N106" s="10" t="n">
        <x:v>46315</x:v>
      </x:c>
      <x:c r="O106" s="22" t="str">
        <x:v>ยังไม่ตรวจ</x:v>
      </x:c>
      <x:c r="P106" s="22" t="str">
        <x:v>ยังไม่ติดต่อ</x:v>
      </x:c>
    </x:row>
    <x:row r="107" ht="66" customHeight="1">
      <x:c r="A107" s="9" t="n">
        <x:v>99</x:v>
      </x:c>
      <x:c r="B107" s="20" t="str">
        <x:v>บ้านผู้การ DZEN Home Station</x:v>
      </x:c>
      <x:c r="C107" s="20" t="str">
        <x:v>ฉะเชิงเทรา</x:v>
      </x:c>
      <x:c r="D107" s="20" t="str">
        <x:v>ที่พัก (ตรวจประเภทจากชื่อและข้อมูลประกอบ)</x:v>
      </x:c>
      <x:c r="E107" s="20" t="str">
        <x:v>มีรายชื่อใน Makan Halal Guide; ระบุมีห้องละหมาด</x:v>
      </x:c>
      <x:c r="F107" s="20" t="str">
        <x:v>แหล่งข้อมูลระบุว่ามี</x:v>
      </x:c>
      <x:c r="G107" s="20" t="str">
        <x:v>ยังไม่พบเอกสารรับรองและวันหมดอายุ</x:v>
      </x:c>
      <x:c r="H107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107" s="20" t="str">
        <x:v>35, บางน้ำเปรี้ยว, 6 ตำบล บางน้ำเปรี้ยว อำเภอบางน้ำเปรี้ยว ฉะเชิงเทรา 24150</x:v>
      </x:c>
      <x:c r="J107" s="21" t="str">
        <x:v>0867701908</x:v>
      </x:c>
      <x:c r="K107" s="23" t="e">
        <x:f>HYPERLINK("https://makanhalalguide.com/shop/detail/5953","เปิดแหล่งข้อมูล 1")</x:f>
        <x:v>HYPERLINK is not implemented. linkLocation=https://makanhalalguide.com/shop/detail/5953, friendlyName=เปิดแหล่งข้อมูล 1</x:v>
      </x:c>
      <x:c r="L107" s="23" t="e">
        <x:f>HYPERLINK("https://www.google.co.th/travel/hotels/entity/CgsI2v-9jrrc57eWARAB?rp=OAHCAhwiGg0AAMBBEhMI27CI49uQlgMVOM1LAx2fuxmV&amp;ts=CAEaBAoCGgAqBAoAGgA","เปิดแหล่งข้อมูล 2")</x:f>
        <x:v>HYPERLINK is not implemented. linkLocation=https://www.google.co.th/travel/hotels/entity/CgsI2v-9jrrc57eWARAB?rp=OAHCAhwiGg0AAMBBEhMI27CI49uQlgMVOM1LAx2fuxmV&amp;ts=CAEaBAoCGgAqBAoAGgA, friendlyName=เปิดแหล่งข้อมูล 2</x:v>
      </x:c>
      <x:c r="M107" s="20" t="str">
        <x:v>ผลค้นหาชื่อสัมพันธ์จากแหล่งเพิ่มเติม ต้องยืนยันสาขาและข้อมูลปัจจุบัน</x:v>
      </x:c>
      <x:c r="N107" s="10" t="n">
        <x:v>46315</x:v>
      </x:c>
      <x:c r="O107" s="22" t="str">
        <x:v>ยังไม่ตรวจ</x:v>
      </x:c>
      <x:c r="P107" s="22" t="str">
        <x:v>ยังไม่ติดต่อ</x:v>
      </x:c>
    </x:row>
    <x:row r="108" ht="66" customHeight="1">
      <x:c r="A108" s="9" t="n">
        <x:v>100</x:v>
      </x:c>
      <x:c r="B108" s="20" t="str">
        <x:v>รอเธอมา คาเฟ่</x:v>
      </x:c>
      <x:c r="C108" s="20" t="str">
        <x:v>ฉะเชิงเทรา</x:v>
      </x:c>
      <x:c r="D108" s="20" t="str">
        <x:v>คาเฟ่และร้านของหวาน</x:v>
      </x:c>
      <x:c r="E108" s="20" t="str">
        <x:v>Makan Verify; ระบุมีห้องละหมาด</x:v>
      </x:c>
      <x:c r="F108" s="20" t="str">
        <x:v>แหล่งข้อมูลระบุว่ามี</x:v>
      </x:c>
      <x:c r="G108" s="20" t="str">
        <x:v>ยังไม่พบเอกสารรับรองและวันหมดอายุ</x:v>
      </x:c>
      <x:c r="H10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8" s="20" t="str">
        <x:v>ถนนตลาดปองพล ตำบลคลองเปรง อำเภอเมืองฉะเชิงเทรา ฉะเชิงเทรา 24000</x:v>
      </x:c>
      <x:c r="J108" s="21" t="str">
        <x:v>0925355844</x:v>
      </x:c>
      <x:c r="K108" s="23" t="e">
        <x:f>HYPERLINK("https://makanhalalguide.com/shop/detail/6195","เปิดแหล่งข้อมูล 1")</x:f>
        <x:v>HYPERLINK is not implemented. linkLocation=https://makanhalalguide.com/shop/detail/6195, friendlyName=เปิดแหล่งข้อมูล 1</x:v>
      </x:c>
      <x:c r="L108" s="23" t="e">
        <x:f>HYPERLINK("https://www.lemon8-app.com/%40cnrdeee/7396266134179201552?region=th","เปิดแหล่งข้อมูล 2")</x:f>
        <x:v>HYPERLINK is not implemented. linkLocation=https://www.lemon8-app.com/%40cnrdeee/7396266134179201552?region=th, friendlyName=เปิดแหล่งข้อมูล 2</x:v>
      </x:c>
      <x:c r="M108" s="20" t="str">
        <x:v>ผลค้นหาชื่อสัมพันธ์จากแหล่งเพิ่มเติม ต้องยืนยันสาขาและข้อมูลปัจจุบัน</x:v>
      </x:c>
      <x:c r="N108" s="10" t="n">
        <x:v>46315</x:v>
      </x:c>
      <x:c r="O108" s="22" t="str">
        <x:v>ยังไม่ตรวจ</x:v>
      </x:c>
      <x:c r="P108" s="22" t="str">
        <x:v>ยังไม่ติดต่อ</x:v>
      </x:c>
    </x:row>
    <x:row r="109" ht="66" customHeight="1">
      <x:c r="A109" s="9" t="n">
        <x:v>101</x:v>
      </x:c>
      <x:c r="B109" s="20" t="str">
        <x:v>แมนดาริน สุกี้&amp;ติ่มซำ สาขา โรบินสัน ฉะเชิงเทรา</x:v>
      </x:c>
      <x:c r="C109" s="20" t="str">
        <x:v>ฉะเชิงเทรา</x:v>
      </x:c>
      <x:c r="D109" s="20" t="str">
        <x:v>ร้านอาหาร</x:v>
      </x:c>
      <x:c r="E109" s="20" t="str">
        <x:v>Makan Verify; ระบุมีห้องละหมาด</x:v>
      </x:c>
      <x:c r="F109" s="20" t="str">
        <x:v>แหล่งข้อมูลระบุว่ามี</x:v>
      </x:c>
      <x:c r="G109" s="20" t="str">
        <x:v>ยังไม่พบเอกสารรับรองและวันหมดอายุ</x:v>
      </x:c>
      <x:c r="H10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09" s="20" t="str">
        <x:v>โรบินสัน ชั้น 1 ตรงประตูทางเข้าจากที่จอดรถ หมู่ที่ 4 ถ. ฉะเชิงเทรา - บางปะกง ตำบล หน้าเมือง อำเภอเมืองฉะเชิงเทรา ฉะเชิงเทรา 24000</x:v>
      </x:c>
      <x:c r="J109" s="21" t="str">
        <x:v>0865503457</x:v>
      </x:c>
      <x:c r="K109" s="23" t="e">
        <x:f>HYPERLINK("https://makanhalalguide.com/shop/detail/5203","เปิดแหล่งข้อมูล 1")</x:f>
        <x:v>HYPERLINK is not implemented. linkLocation=https://makanhalalguide.com/shop/detail/5203, friendlyName=เปิดแหล่งข้อมูล 1</x:v>
      </x:c>
      <x:c r="L109" s="23" t="str"/>
      <x:c r="M109" s="20" t="str"/>
      <x:c r="N109" s="10" t="n">
        <x:v>46315</x:v>
      </x:c>
      <x:c r="O109" s="22" t="str">
        <x:v>ยังไม่ตรวจ</x:v>
      </x:c>
      <x:c r="P109" s="22" t="str">
        <x:v>ยังไม่ติดต่อ</x:v>
      </x:c>
    </x:row>
    <x:row r="110" ht="66" customHeight="1">
      <x:c r="A110" s="9" t="n">
        <x:v>102</x:v>
      </x:c>
      <x:c r="B110" s="20" t="str">
        <x:v>LANA House and Hill Homestay</x:v>
      </x:c>
      <x:c r="C110" s="20" t="str">
        <x:v>ชลบุรี</x:v>
      </x:c>
      <x:c r="D110" s="20" t="str">
        <x:v>โรงแรมหรือรีสอร์ท</x:v>
      </x:c>
      <x:c r="E110" s="20" t="str">
        <x:v>Makan Verify; ระบุมีห้องละหมาด</x:v>
      </x:c>
      <x:c r="F110" s="20" t="str">
        <x:v>แหล่งข้อมูลระบุว่ามี</x:v>
      </x:c>
      <x:c r="G110" s="20" t="str">
        <x:v>ยังไม่พบเอกสารรับรองและวันหมดอายุ</x:v>
      </x:c>
      <x:c r="H11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10" s="20" t="str">
        <x:v>เลขที่ 28/14 อำเภอสัตหีบ ชลบุรี 20180</x:v>
      </x:c>
      <x:c r="J110" s="21" t="str">
        <x:v>0863033362</x:v>
      </x:c>
      <x:c r="K110" s="23" t="e">
        <x:f>HYPERLINK("https://makanhalalguide.com/shop/detail/5391","เปิดแหล่งข้อมูล 1")</x:f>
        <x:v>HYPERLINK is not implemented. linkLocation=https://makanhalalguide.com/shop/detail/5391, friendlyName=เปิดแหล่งข้อมูล 1</x:v>
      </x:c>
      <x:c r="L110" s="23" t="e">
        <x:f>HYPERLINK("https://dinogo.com/hotels/25026-muslim-accommodation-sattahip-lana-house-and-hill-homestay","เปิดแหล่งข้อมูล 2")</x:f>
        <x:v>HYPERLINK is not implemented. linkLocation=https://dinogo.com/hotels/25026-muslim-accommodation-sattahip-lana-house-and-hill-homestay, friendlyName=เปิดแหล่งข้อมูล 2</x:v>
      </x:c>
      <x:c r="M110" s="20" t="str">
        <x:v>ผลค้นหาชื่อสัมพันธ์จากแหล่งเพิ่มเติม ต้องยืนยันสาขาและข้อมูลปัจจุบัน</x:v>
      </x:c>
      <x:c r="N110" s="10" t="n">
        <x:v>46315</x:v>
      </x:c>
      <x:c r="O110" s="22" t="str">
        <x:v>ยังไม่ตรวจ</x:v>
      </x:c>
      <x:c r="P110" s="22" t="str">
        <x:v>ยังไม่ติดต่อ</x:v>
      </x:c>
    </x:row>
    <x:row r="111" ht="66" customHeight="1">
      <x:c r="A111" s="9" t="n">
        <x:v>103</x:v>
      </x:c>
      <x:c r="B111" s="20" t="str">
        <x:v>Nida House &amp; Hotel</x:v>
      </x:c>
      <x:c r="C111" s="20" t="str">
        <x:v>ชลบุรี</x:v>
      </x:c>
      <x:c r="D111" s="20" t="str">
        <x:v>โรงแรมหรือรีสอร์ท</x:v>
      </x:c>
      <x:c r="E111" s="20" t="str">
        <x:v>Makan Verify; ระบุมีห้องละหมาด</x:v>
      </x:c>
      <x:c r="F111" s="20" t="str">
        <x:v>แหล่งข้อมูลระบุว่ามี</x:v>
      </x:c>
      <x:c r="G111" s="20" t="str">
        <x:v>ยังไม่พบเอกสารรับรองและวันหมดอายุ</x:v>
      </x:c>
      <x:c r="H11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11" s="20" t="str">
        <x:v>31/20 หมู่ 2 ต อำเภอบางละมุง ชลบุรี 20150</x:v>
      </x:c>
      <x:c r="J111" s="21" t="str">
        <x:v>0619499297</x:v>
      </x:c>
      <x:c r="K111" s="23" t="e">
        <x:f>HYPERLINK("https://makanhalalguide.com/shop/detail/5191","เปิดแหล่งข้อมูล 1")</x:f>
        <x:v>HYPERLINK is not implemented. linkLocation=https://makanhalalguide.com/shop/detail/5191, friendlyName=เปิดแหล่งข้อมูล 1</x:v>
      </x:c>
      <x:c r="L111" s="23" t="e">
        <x:f>HYPERLINK("https://www.heresmoreinfoon.com/halal-travel-halal-food-in-bangkok-pattaya-thailand/","เปิดแหล่งข้อมูล 2")</x:f>
        <x:v>HYPERLINK is not implemented. linkLocation=https://www.heresmoreinfoon.com/halal-travel-halal-food-in-bangkok-pattaya-thailand/, friendlyName=เปิดแหล่งข้อมูล 2</x:v>
      </x:c>
      <x:c r="M111" s="20" t="str">
        <x:v>ผลค้นหาชื่อสัมพันธ์จากแหล่งเพิ่มเติม ต้องยืนยันสาขาและข้อมูลปัจจุบัน</x:v>
      </x:c>
      <x:c r="N111" s="10" t="n">
        <x:v>46315</x:v>
      </x:c>
      <x:c r="O111" s="22" t="str">
        <x:v>ยังไม่ตรวจ</x:v>
      </x:c>
      <x:c r="P111" s="22" t="str">
        <x:v>ยังไม่ติดต่อ</x:v>
      </x:c>
    </x:row>
    <x:row r="112" ht="66" customHeight="1">
      <x:c r="A112" s="9" t="n">
        <x:v>104</x:v>
      </x:c>
      <x:c r="B112" s="20" t="str">
        <x:v>P-Park Hotel Pattaya</x:v>
      </x:c>
      <x:c r="C112" s="20" t="str">
        <x:v>ชลบุรี</x:v>
      </x:c>
      <x:c r="D112" s="20" t="str">
        <x:v>โรงแรมหรือรีสอร์ท</x:v>
      </x:c>
      <x:c r="E112" s="20" t="str">
        <x:v>มีรายชื่อใน Makan Halal Guide; ระบุมีห้องละหมาด</x:v>
      </x:c>
      <x:c r="F112" s="20" t="str">
        <x:v>แหล่งข้อมูลระบุว่ามี</x:v>
      </x:c>
      <x:c r="G112" s="20" t="str">
        <x:v>ยังไม่พบเอกสารรับรองและวันหมดอายุ</x:v>
      </x:c>
      <x:c r="H11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12" s="20" t="str">
        <x:v>291 7 เมืองพัทยา อำเภอบางละมุง ชลบุรี 20150</x:v>
      </x:c>
      <x:c r="J112" s="21" t="str">
        <x:v>038195221</x:v>
      </x:c>
      <x:c r="K112" s="23" t="e">
        <x:f>HYPERLINK("https://makanhalalguide.com/shop/detail/5776","เปิดแหล่งข้อมูล 1")</x:f>
        <x:v>HYPERLINK is not implemented. linkLocation=https://makanhalalguide.com/shop/detail/5776, friendlyName=เปิดแหล่งข้อมูล 1</x:v>
      </x:c>
      <x:c r="L112" s="23" t="e">
        <x:f>HYPERLINK("https://www.wongnai.com/hotels/3217115GX-p-park-hotel-pattaya/reviews","เปิดแหล่งข้อมูล 2")</x:f>
        <x:v>HYPERLINK is not implemented. linkLocation=https://www.wongnai.com/hotels/3217115GX-p-park-hotel-pattaya/reviews, friendlyName=เปิดแหล่งข้อมูล 2</x:v>
      </x:c>
      <x:c r="M112" s="20" t="str">
        <x:v>ผลค้นหาชื่อสัมพันธ์จากแหล่งเพิ่มเติม ต้องยืนยันสาขาและข้อมูลปัจจุบัน</x:v>
      </x:c>
      <x:c r="N112" s="10" t="n">
        <x:v>46315</x:v>
      </x:c>
      <x:c r="O112" s="22" t="str">
        <x:v>ยังไม่ตรวจ</x:v>
      </x:c>
      <x:c r="P112" s="22" t="str">
        <x:v>ยังไม่ติดต่อ</x:v>
      </x:c>
    </x:row>
    <x:row r="113" ht="66" customHeight="1">
      <x:c r="A113" s="9" t="n">
        <x:v>105</x:v>
      </x:c>
      <x:c r="B113" s="20" t="str">
        <x:v>Farida House - ฟาริดาเฮ้าส์</x:v>
      </x:c>
      <x:c r="C113" s="20" t="str">
        <x:v>ชลบุรี</x:v>
      </x:c>
      <x:c r="D113" s="20" t="str">
        <x:v>ที่พัก (ตรวจประเภทจากชื่อและข้อมูลประกอบ)</x:v>
      </x:c>
      <x:c r="E113" s="20" t="str">
        <x:v>มีรายชื่อใน Makan Halal Guide; ระบุมีห้องละหมาด</x:v>
      </x:c>
      <x:c r="F113" s="20" t="str">
        <x:v>แหล่งข้อมูลระบุว่ามี</x:v>
      </x:c>
      <x:c r="G113" s="20" t="str">
        <x:v>ยังไม่พบเอกสารรับรองและวันหมดอายุ</x:v>
      </x:c>
      <x:c r="H113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113" s="20" t="str">
        <x:v>59, 5 ตำบล สัตหีบ อำเภอสัตหีบ ชลบุรี 20180</x:v>
      </x:c>
      <x:c r="J113" s="21" t="str">
        <x:v>0996982347</x:v>
      </x:c>
      <x:c r="K113" s="23" t="e">
        <x:f>HYPERLINK("https://makanhalalguide.com/shop/detail/5775","เปิดแหล่งข้อมูล 1")</x:f>
        <x:v>HYPERLINK is not implemented. linkLocation=https://makanhalalguide.com/shop/detail/5775, friendlyName=เปิดแหล่งข้อมูล 1</x:v>
      </x:c>
      <x:c r="L113" s="23" t="e">
        <x:f>HYPERLINK("https://www.google.com/travel/hotels/entity/CgoInoHF0I7-2YV3EAE","เปิดแหล่งข้อมูล 2")</x:f>
        <x:v>HYPERLINK is not implemented. linkLocation=https://www.google.com/travel/hotels/entity/CgoInoHF0I7-2YV3EAE, friendlyName=เปิดแหล่งข้อมูล 2</x:v>
      </x:c>
      <x:c r="M113" s="20" t="str">
        <x:v>ผลค้นหาชื่อสัมพันธ์จากแหล่งเพิ่มเติม ต้องยืนยันสาขาและข้อมูลปัจจุบัน</x:v>
      </x:c>
      <x:c r="N113" s="10" t="n">
        <x:v>46315</x:v>
      </x:c>
      <x:c r="O113" s="22" t="str">
        <x:v>ยังไม่ตรวจ</x:v>
      </x:c>
      <x:c r="P113" s="22" t="str">
        <x:v>ยังไม่ติดต่อ</x:v>
      </x:c>
    </x:row>
    <x:row r="114" ht="66" customHeight="1">
      <x:c r="A114" s="9" t="n">
        <x:v>106</x:v>
      </x:c>
      <x:c r="B114" s="20" t="str">
        <x:v>FindyHome Sattahip Poolvilla</x:v>
      </x:c>
      <x:c r="C114" s="20" t="str">
        <x:v>ชลบุรี</x:v>
      </x:c>
      <x:c r="D114" s="20" t="str">
        <x:v>ร้านอาหาร</x:v>
      </x:c>
      <x:c r="E114" s="20" t="str">
        <x:v>Makan Verify; ระบุมีห้องละหมาด</x:v>
      </x:c>
      <x:c r="F114" s="20" t="str">
        <x:v>แหล่งข้อมูลระบุว่ามี</x:v>
      </x:c>
      <x:c r="G114" s="20" t="str">
        <x:v>ยังไม่พบเอกสารรับรองและวันหมดอายุ</x:v>
      </x:c>
      <x:c r="H11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14" s="20" t="str">
        <x:v>118 67 หมู่ 10 ตำบล บางเสร่ อำเภอสัตหีบ ชลบุรี 20250</x:v>
      </x:c>
      <x:c r="J114" s="21" t="str">
        <x:v>0886860340</x:v>
      </x:c>
      <x:c r="K114" s="23" t="e">
        <x:f>HYPERLINK("https://makanhalalguide.com/shop/detail/5389","เปิดแหล่งข้อมูล 1")</x:f>
        <x:v>HYPERLINK is not implemented. linkLocation=https://makanhalalguide.com/shop/detail/5389, friendlyName=เปิดแหล่งข้อมูล 1</x:v>
      </x:c>
      <x:c r="L114" s="23" t="e">
        <x:f>HYPERLINK("https://www.poolvillaclub.com/poolvillas-in-sattahip/amp/","เปิดแหล่งข้อมูล 2")</x:f>
        <x:v>HYPERLINK is not implemented. linkLocation=https://www.poolvillaclub.com/poolvillas-in-sattahip/amp/, friendlyName=เปิดแหล่งข้อมูล 2</x:v>
      </x:c>
      <x:c r="M114" s="20" t="str">
        <x:v>ผลค้นหาชื่อสัมพันธ์จากแหล่งเพิ่มเติม ต้องยืนยันสาขาและข้อมูลปัจจุบัน</x:v>
      </x:c>
      <x:c r="N114" s="10" t="n">
        <x:v>46315</x:v>
      </x:c>
      <x:c r="O114" s="22" t="str">
        <x:v>ยังไม่ตรวจ</x:v>
      </x:c>
      <x:c r="P114" s="22" t="str">
        <x:v>ยังไม่ติดต่อ</x:v>
      </x:c>
    </x:row>
    <x:row r="115" ht="66" customHeight="1">
      <x:c r="A115" s="9" t="n">
        <x:v>107</x:v>
      </x:c>
      <x:c r="B115" s="20" t="str">
        <x:v>Noursabah Pattaya - ณุศบา พัทยา</x:v>
      </x:c>
      <x:c r="C115" s="20" t="str">
        <x:v>ชลบุรี</x:v>
      </x:c>
      <x:c r="D115" s="20" t="str">
        <x:v>ที่พัก (ตรวจประเภทจากชื่อและข้อมูลประกอบ)</x:v>
      </x:c>
      <x:c r="E115" s="20" t="str">
        <x:v>Makan Verify; ระบุมีห้องละหมาด</x:v>
      </x:c>
      <x:c r="F115" s="20" t="str">
        <x:v>แหล่งข้อมูลระบุว่ามี</x:v>
      </x:c>
      <x:c r="G115" s="20" t="str">
        <x:v>ยังไม่พบเอกสารรับรองและวันหมดอายุ</x:v>
      </x:c>
      <x:c r="H115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115" s="20" t="str">
        <x:v>43/71ถนน พัทยาใต้ ซอย 10 อำเภอบางละมุง ชลบุรี 20150</x:v>
      </x:c>
      <x:c r="J115" s="21" t="str">
        <x:v>0802790790</x:v>
      </x:c>
      <x:c r="K115" s="23" t="e">
        <x:f>HYPERLINK("https://makanhalalguide.com/shop/detail/5194","เปิดแหล่งข้อมูล 1")</x:f>
        <x:v>HYPERLINK is not implemented. linkLocation=https://makanhalalguide.com/shop/detail/5194, friendlyName=เปิดแหล่งข้อมูล 1</x:v>
      </x:c>
      <x:c r="L115" s="23" t="e">
        <x:f>HYPERLINK("https://www.wongnai.com/hotels/343251nS-%E0%B8%93%E0%B8%B8%E0%B8%A8%E0%B8%9A%E0%B8%B2-%E0%B8%9E%E0%B8%B1%E0%B8%97%E0%B8%A2%E0%B8%B2","เปิดแหล่งข้อมูล 2")</x:f>
        <x:v>HYPERLINK is not implemented. linkLocation=https://www.wongnai.com/hotels/343251nS-%E0%B8%93%E0%B8%B8%E0%B8%A8%E0%B8%9A%E0%B8%B2-%E0%B8%9E%E0%B8%B1%E0%B8%97%E0%B8%A2%E0%B8%B2, friendlyName=เปิดแหล่งข้อมูล 2</x:v>
      </x:c>
      <x:c r="M115" s="20" t="str">
        <x:v>ผลค้นหาชื่อสัมพันธ์จากแหล่งเพิ่มเติม ต้องยืนยันสาขาและข้อมูลปัจจุบัน</x:v>
      </x:c>
      <x:c r="N115" s="10" t="n">
        <x:v>46315</x:v>
      </x:c>
      <x:c r="O115" s="22" t="str">
        <x:v>ยังไม่ตรวจ</x:v>
      </x:c>
      <x:c r="P115" s="22" t="str">
        <x:v>ยังไม่ติดต่อ</x:v>
      </x:c>
    </x:row>
    <x:row r="116" ht="66" customHeight="1">
      <x:c r="A116" s="9" t="n">
        <x:v>108</x:v>
      </x:c>
      <x:c r="B116" s="20" t="str">
        <x:v>Pattaya Bed Boutique</x:v>
      </x:c>
      <x:c r="C116" s="20" t="str">
        <x:v>ชลบุรี</x:v>
      </x:c>
      <x:c r="D116" s="20" t="str">
        <x:v>ที่พัก (ตรวจประเภทจากชื่อและข้อมูลประกอบ)</x:v>
      </x:c>
      <x:c r="E116" s="20" t="str">
        <x:v>Makan Verify; ระบุมีห้องละหมาด</x:v>
      </x:c>
      <x:c r="F116" s="20" t="str">
        <x:v>แหล่งข้อมูลระบุว่ามี</x:v>
      </x:c>
      <x:c r="G116" s="20" t="str">
        <x:v>ยังไม่พบเอกสารรับรองและวันหมดอายุ</x:v>
      </x:c>
      <x:c r="H116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116" s="20" t="str">
        <x:v>164/38 ม 6 ต หนองปรือ อ บางละมุง จ ชลบุรี 20150 (อยู่ซอยสยามคันทรีคลับ , Pattaya, Thailand, Chon Buri)</x:v>
      </x:c>
      <x:c r="J116" s="21" t="str">
        <x:v>0627304937</x:v>
      </x:c>
      <x:c r="K116" s="23" t="e">
        <x:f>HYPERLINK("https://makanhalalguide.com/shop/detail/5390","เปิดแหล่งข้อมูล 1")</x:f>
        <x:v>HYPERLINK is not implemented. linkLocation=https://makanhalalguide.com/shop/detail/5390, friendlyName=เปิดแหล่งข้อมูล 1</x:v>
      </x:c>
      <x:c r="L116" s="23" t="e">
        <x:f>HYPERLINK("https://www.google.co.th/travel/hotels/entity/ChkInc3eicH38fgJGg0vZy8xMWcwbXY4bXA5EAE?rp=OAHCAhwiGg0AAIhBEhMIn-WQtvOFjwMVAiGtBh0aeQCB&amp;ts=CAEaIgoCGgASHBIUCgcI6g8QCRgCEgcI6g8QCRgEGAIyAhAAOAEqBAoAGgA","เปิดแหล่งข้อมูล 2")</x:f>
        <x:v>HYPERLINK is not implemented. linkLocation=https://www.google.co.th/travel/hotels/entity/ChkInc3eicH38fgJGg0vZy8xMWcwbXY4bXA5EAE?rp=OAHCAhwiGg0AAIhBEhMIn-WQtvOFjwMVAiGtBh0aeQCB&amp;ts=CAEaIgoCGgASHBIUCgcI6g8QCRgCEgcI6g8QCRgEGAIyAhAAOAEqBAoAGgA, friendlyName=เปิดแหล่งข้อมูล 2</x:v>
      </x:c>
      <x:c r="M116" s="20" t="str">
        <x:v>ผลค้นหาชื่อสัมพันธ์จากแหล่งเพิ่มเติม ต้องยืนยันสาขาและข้อมูลปัจจุบัน</x:v>
      </x:c>
      <x:c r="N116" s="10" t="n">
        <x:v>46315</x:v>
      </x:c>
      <x:c r="O116" s="22" t="str">
        <x:v>ยังไม่ตรวจ</x:v>
      </x:c>
      <x:c r="P116" s="22" t="str">
        <x:v>ยังไม่ติดต่อ</x:v>
      </x:c>
    </x:row>
    <x:row r="117" ht="66" customHeight="1">
      <x:c r="A117" s="9" t="n">
        <x:v>109</x:v>
      </x:c>
      <x:c r="B117" s="20" t="str">
        <x:v>Valida Cottage</x:v>
      </x:c>
      <x:c r="C117" s="20" t="str">
        <x:v>ชลบุรี</x:v>
      </x:c>
      <x:c r="D117" s="20" t="str">
        <x:v>ที่พัก (ตรวจประเภทจากชื่อและข้อมูลประกอบ)</x:v>
      </x:c>
      <x:c r="E117" s="20" t="str">
        <x:v>Makan Verify; ระบุมีห้องละหมาด</x:v>
      </x:c>
      <x:c r="F117" s="20" t="str">
        <x:v>แหล่งข้อมูลระบุว่ามี</x:v>
      </x:c>
      <x:c r="G117" s="20" t="str">
        <x:v>ยังไม่พบเอกสารรับรองและวันหมดอายุ</x:v>
      </x:c>
      <x:c r="H117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117" s="20" t="str">
        <x:v>449 161 ซอย กอไผ่ 9 เมืองพัทยา อำเภอบางละมุง ชลบุรี 20150</x:v>
      </x:c>
      <x:c r="J117" s="21" t="str">
        <x:v>0831991002</x:v>
      </x:c>
      <x:c r="K117" s="23" t="e">
        <x:f>HYPERLINK("https://makanhalalguide.com/shop/detail/5183","เปิดแหล่งข้อมูล 1")</x:f>
        <x:v>HYPERLINK is not implemented. linkLocation=https://makanhalalguide.com/shop/detail/5183, friendlyName=เปิดแหล่งข้อมูล 1</x:v>
      </x:c>
      <x:c r="L117" s="23" t="e">
        <x:f>HYPERLINK("https://www.google.com.sa/travel/hotels/entity/ChkIp5j2-tKmlb1cGg0vZy8xMWZ3ZGtramhwEAE?ap=MAA&amp;g2lb=2502548%2C4254308%2C4258168%2C4260007%2C4274032%2C4305595%2C4306835%2C4308216%2C4308983%2C4314846%2C4315873%2C4317915%2C4323314%2C4328159%2C4329288%2C4270859%2C4284970%2C4291517%2C4292955%2C4316256&amp;gl=th&amp;gsas=1&amp;hl=th&amp;rp=OAFIAg&amp;ts=CAESCgoCCAMKAggDEAAaZgpIEkQyJTB4MzA0ZDhkZjc0NzQyNGRiMToweDllZDcyYzg4MDc1N2U4MDI6G-C4m-C4o-C4sOC5gOC4l-C4qOC5hOC4l-C4ohoAEhoSFAoHCOgPEAIYCxIHCOgPEAIYDBgBMgIQACoJCgU6A1RIQhoA&amp;un=1","เปิดแหล่งข้อมูล 2")</x:f>
        <x:v>HYPERLINK is not implemented. linkLocation=https://www.google.com.sa/travel/hotels/entity/ChkIp5j2-tKmlb1cGg0vZy8xMWZ3ZGtramhwEAE?ap=MAA&amp;g2lb=2502548%2C4254308%2C4258168%2C4260007%2C4274032%2C4305595%2C4306835%2C4308216%2C4308983%2C4314846%2C4315873%2C4317915%2C4323314%2C4328159%2C4329288%2C4270859%2C4284970%2C4291517%2C4292955%2C4316256&amp;gl=th&amp;gsas=1&amp;hl=th&amp;rp=OAFIAg&amp;ts=CAESCgoCCAMKAggDEAAaZgpIEkQyJTB4MzA0ZDhkZjc0NzQyNGRiMToweDllZDcyYzg4MDc1N2U4MDI6G-C4m-C4o-C4sOC5gOC4l-C4qOC5hOC4l-C4ohoAEhoSFAoHCOgPEAIYCxIHCOgPEAIYDBgBMgIQACoJCgU6A1RIQhoA&amp;un=1, friendlyName=เปิดแหล่งข้อมูล 2</x:v>
      </x:c>
      <x:c r="M117" s="20" t="str">
        <x:v>ผลค้นหาชื่อสัมพันธ์จากแหล่งเพิ่มเติม ต้องยืนยันสาขาและข้อมูลปัจจุบัน</x:v>
      </x:c>
      <x:c r="N117" s="10" t="n">
        <x:v>46315</x:v>
      </x:c>
      <x:c r="O117" s="22" t="str">
        <x:v>ยังไม่ตรวจ</x:v>
      </x:c>
      <x:c r="P117" s="22" t="str">
        <x:v>ยังไม่ติดต่อ</x:v>
      </x:c>
    </x:row>
    <x:row r="118" ht="66" customHeight="1">
      <x:c r="A118" s="9" t="n">
        <x:v>110</x:v>
      </x:c>
      <x:c r="B118" s="20" t="str">
        <x:v>ข้าว-ยำ ทำถึง</x:v>
      </x:c>
      <x:c r="C118" s="20" t="str">
        <x:v>ชลบุรี</x:v>
      </x:c>
      <x:c r="D118" s="20" t="str">
        <x:v>ร้านอาหาร</x:v>
      </x:c>
      <x:c r="E118" s="20" t="str">
        <x:v>มีรายชื่อใน Makan Halal Guide; ระบุมีห้องละหมาด</x:v>
      </x:c>
      <x:c r="F118" s="20" t="str">
        <x:v>แหล่งข้อมูลระบุว่ามี</x:v>
      </x:c>
      <x:c r="G118" s="20" t="str">
        <x:v>ยังไม่พบเอกสารรับรองและวันหมดอายุ</x:v>
      </x:c>
      <x:c r="H11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18" s="20" t="str">
        <x:v>มาบยายเลีย 43 เลขที่ 155/98 ม.6 อำเภอบางละมุง ชลบุรี 20150</x:v>
      </x:c>
      <x:c r="J118" s="21" t="str">
        <x:v>0927918316</x:v>
      </x:c>
      <x:c r="K118" s="23" t="e">
        <x:f>HYPERLINK("https://makanhalalguide.com/shop/detail/5935","เปิดแหล่งข้อมูล 1")</x:f>
        <x:v>HYPERLINK is not implemented. linkLocation=https://makanhalalguide.com/shop/detail/5935, friendlyName=เปิดแหล่งข้อมูล 1</x:v>
      </x:c>
      <x:c r="L118" s="23" t="e">
        <x:f>HYPERLINK("https://www.lemon8-app.com/%40cianacia/7555534823125778961?region=th","เปิดแหล่งข้อมูล 2")</x:f>
        <x:v>HYPERLINK is not implemented. linkLocation=https://www.lemon8-app.com/%40cianacia/7555534823125778961?region=th, friendlyName=เปิดแหล่งข้อมูล 2</x:v>
      </x:c>
      <x:c r="M118" s="20" t="str">
        <x:v>ผลค้นหาชื่อสัมพันธ์จากแหล่งเพิ่มเติม ต้องยืนยันสาขาและข้อมูลปัจจุบัน</x:v>
      </x:c>
      <x:c r="N118" s="10" t="n">
        <x:v>46315</x:v>
      </x:c>
      <x:c r="O118" s="22" t="str">
        <x:v>ยังไม่ตรวจ</x:v>
      </x:c>
      <x:c r="P118" s="22" t="str">
        <x:v>ยังไม่ติดต่อ</x:v>
      </x:c>
    </x:row>
    <x:row r="119" ht="66" customHeight="1">
      <x:c r="A119" s="9" t="n">
        <x:v>111</x:v>
      </x:c>
      <x:c r="B119" s="20" t="str">
        <x:v>พูลวิลล่า ครัวไทรงามพัทยา</x:v>
      </x:c>
      <x:c r="C119" s="20" t="str">
        <x:v>ชลบุรี</x:v>
      </x:c>
      <x:c r="D119" s="20" t="str">
        <x:v>ร้านอาหาร</x:v>
      </x:c>
      <x:c r="E119" s="20" t="str">
        <x:v>Makan Verify; ระบุมีห้องละหมาด</x:v>
      </x:c>
      <x:c r="F119" s="20" t="str">
        <x:v>แหล่งข้อมูลระบุว่ามี</x:v>
      </x:c>
      <x:c r="G119" s="20" t="str">
        <x:v>ยังไม่พบเอกสารรับรองและวันหมดอายุ</x:v>
      </x:c>
      <x:c r="H11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19" s="20" t="str">
        <x:v>เมืองพัทยา อำเภอบางละมุง ชลบุรี 20150</x:v>
      </x:c>
      <x:c r="J119" s="21" t="str">
        <x:v>0955463401</x:v>
      </x:c>
      <x:c r="K119" s="23" t="e">
        <x:f>HYPERLINK("https://makanhalalguide.com/shop/detail/5184","เปิดแหล่งข้อมูล 1")</x:f>
        <x:v>HYPERLINK is not implemented. linkLocation=https://makanhalalguide.com/shop/detail/5184, friendlyName=เปิดแหล่งข้อมูล 1</x:v>
      </x:c>
      <x:c r="L119" s="23" t="str"/>
      <x:c r="M119" s="20" t="str"/>
      <x:c r="N119" s="10" t="n">
        <x:v>46315</x:v>
      </x:c>
      <x:c r="O119" s="22" t="str">
        <x:v>ยังไม่ตรวจ</x:v>
      </x:c>
      <x:c r="P119" s="22" t="str">
        <x:v>ยังไม่ติดต่อ</x:v>
      </x:c>
    </x:row>
    <x:row r="120" ht="66" customHeight="1">
      <x:c r="A120" s="9" t="n">
        <x:v>112</x:v>
      </x:c>
      <x:c r="B120" s="20" t="str">
        <x:v>ไก่ทอดอินโด บูดายามลายู  พัทยา</x:v>
      </x:c>
      <x:c r="C120" s="20" t="str">
        <x:v>ชลบุรี</x:v>
      </x:c>
      <x:c r="D120" s="20" t="str">
        <x:v>ร้านอาหาร</x:v>
      </x:c>
      <x:c r="E120" s="20" t="str">
        <x:v>มีรายชื่อใน Makan Halal Guide; ระบุมีห้องละหมาด</x:v>
      </x:c>
      <x:c r="F120" s="20" t="str">
        <x:v>แหล่งข้อมูลระบุว่ามี</x:v>
      </x:c>
      <x:c r="G120" s="20" t="str">
        <x:v>ยังไม่พบเอกสารรับรองและวันหมดอายุ</x:v>
      </x:c>
      <x:c r="H12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0" s="20" t="str">
        <x:v>มัสยิดมิฟตาฮุ้ลอิสลาม ซอยชัยพรวิถี 8 เมืองพัทยา ตำบลหนองปรือ อำเภอบางละมุง จังหวัดชลบุรี 20150 </x:v>
      </x:c>
      <x:c r="J120" s="21" t="str">
        <x:v>0844516999</x:v>
      </x:c>
      <x:c r="K120" s="23" t="e">
        <x:f>HYPERLINK("https://makanhalalguide.com/shop/detail/6381","เปิดแหล่งข้อมูล 1")</x:f>
        <x:v>HYPERLINK is not implemented. linkLocation=https://makanhalalguide.com/shop/detail/6381, friendlyName=เปิดแหล่งข้อมูล 1</x:v>
      </x:c>
      <x:c r="L120" s="23" t="str"/>
      <x:c r="M120" s="20" t="str"/>
      <x:c r="N120" s="10" t="n">
        <x:v>46315</x:v>
      </x:c>
      <x:c r="O120" s="22" t="str">
        <x:v>ยังไม่ตรวจ</x:v>
      </x:c>
      <x:c r="P120" s="22" t="str">
        <x:v>ยังไม่ติดต่อ</x:v>
      </x:c>
    </x:row>
    <x:row r="121" ht="66" customHeight="1">
      <x:c r="A121" s="9" t="n">
        <x:v>113</x:v>
      </x:c>
      <x:c r="B121" s="20" t="str">
        <x:v>Fisherman's Kitchen on The Beach Hala food ครัวชาวประมง</x:v>
      </x:c>
      <x:c r="C121" s="20" t="str">
        <x:v>ตรัง</x:v>
      </x:c>
      <x:c r="D121" s="20" t="str">
        <x:v>ร้านอาหาร</x:v>
      </x:c>
      <x:c r="E121" s="20" t="str">
        <x:v>มีรายชื่อใน Makan Halal Guide; ระบุมีห้องละหมาด</x:v>
      </x:c>
      <x:c r="F121" s="20" t="str">
        <x:v>แหล่งข้อมูลระบุว่ามี</x:v>
      </x:c>
      <x:c r="G121" s="20" t="str">
        <x:v>ยังไม่พบเอกสารรับรองและวันหมดอายุ</x:v>
      </x:c>
      <x:c r="H12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1" s="20" t="str">
        <x:v>87/6 ม.2 ต.เกาะลิบง อ.กันตัง จ.ตรัง 92110 (อยู่บนเกาะมุก)</x:v>
      </x:c>
      <x:c r="J121" s="21" t="str">
        <x:v>0942657294</x:v>
      </x:c>
      <x:c r="K121" s="23" t="e">
        <x:f>HYPERLINK("https://makanhalalguide.com/shop/detail/5157","เปิดแหล่งข้อมูล 1")</x:f>
        <x:v>HYPERLINK is not implemented. linkLocation=https://makanhalalguide.com/shop/detail/5157, friendlyName=เปิดแหล่งข้อมูล 1</x:v>
      </x:c>
      <x:c r="L121" s="23" t="str"/>
      <x:c r="M121" s="20" t="str"/>
      <x:c r="N121" s="10" t="n">
        <x:v>46315</x:v>
      </x:c>
      <x:c r="O121" s="22" t="str">
        <x:v>ยังไม่ตรวจ</x:v>
      </x:c>
      <x:c r="P121" s="22" t="str">
        <x:v>ยังไม่ติดต่อ</x:v>
      </x:c>
    </x:row>
    <x:row r="122" ht="66" customHeight="1">
      <x:c r="A122" s="9" t="n">
        <x:v>114</x:v>
      </x:c>
      <x:c r="B122" s="20" t="str">
        <x:v>Coconut Beach Resort Koh Chang</x:v>
      </x:c>
      <x:c r="C122" s="20" t="str">
        <x:v>ตราด</x:v>
      </x:c>
      <x:c r="D122" s="20" t="str">
        <x:v>โรงแรมหรือรีสอร์ท</x:v>
      </x:c>
      <x:c r="E122" s="20" t="str">
        <x:v>Makan Verify; ระบุมีห้องละหมาด</x:v>
      </x:c>
      <x:c r="F122" s="20" t="str">
        <x:v>แหล่งข้อมูลระบุว่ามี</x:v>
      </x:c>
      <x:c r="G122" s="20" t="str">
        <x:v>ยังไม่พบเอกสารรับรองและวันหมดอายุ</x:v>
      </x:c>
      <x:c r="H12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2" s="20" t="str">
        <x:v>17/5 หมู่ที่ 4 หาดคลองพร้าว แหลมไชยเชษฐ์ ตำบล เกาะช้าง อำเภอ เกาะช้าง ตราด 23170</x:v>
      </x:c>
      <x:c r="J122" s="21" t="str">
        <x:v>0819493838</x:v>
      </x:c>
      <x:c r="K122" s="23" t="e">
        <x:f>HYPERLINK("https://makanhalalguide.com/shop/detail/5392","เปิดแหล่งข้อมูล 1")</x:f>
        <x:v>HYPERLINK is not implemented. linkLocation=https://makanhalalguide.com/shop/detail/5392, friendlyName=เปิดแหล่งข้อมูล 1</x:v>
      </x:c>
      <x:c r="L122" s="23" t="e">
        <x:f>HYPERLINK("https://www.google.co.in/travel/hotels/entity/ChgIotmvtbur3t3MARoLL2cvMXRsbjl3dHoQAQ","เปิดแหล่งข้อมูล 2")</x:f>
        <x:v>HYPERLINK is not implemented. linkLocation=https://www.google.co.in/travel/hotels/entity/ChgIotmvtbur3t3MARoLL2cvMXRsbjl3dHoQAQ, friendlyName=เปิดแหล่งข้อมูล 2</x:v>
      </x:c>
      <x:c r="M122" s="20" t="str">
        <x:v>ผลค้นหาชื่อสัมพันธ์จากแหล่งเพิ่มเติม ต้องยืนยันสาขาและข้อมูลปัจจุบัน</x:v>
      </x:c>
      <x:c r="N122" s="10" t="n">
        <x:v>46315</x:v>
      </x:c>
      <x:c r="O122" s="22" t="str">
        <x:v>ยังไม่ตรวจ</x:v>
      </x:c>
      <x:c r="P122" s="22" t="str">
        <x:v>ยังไม่ติดต่อ</x:v>
      </x:c>
    </x:row>
    <x:row r="123" ht="66" customHeight="1">
      <x:c r="A123" s="9" t="n">
        <x:v>115</x:v>
      </x:c>
      <x:c r="B123" s="20" t="str">
        <x:v>อาหารมุสลิม เกาะช้าง</x:v>
      </x:c>
      <x:c r="C123" s="20" t="str">
        <x:v>ตราด</x:v>
      </x:c>
      <x:c r="D123" s="20" t="str">
        <x:v>ร้านอาหาร</x:v>
      </x:c>
      <x:c r="E123" s="20" t="str">
        <x:v>Makan Verify; ระบุมีห้องละหมาด</x:v>
      </x:c>
      <x:c r="F123" s="20" t="str">
        <x:v>แหล่งข้อมูลระบุว่ามี</x:v>
      </x:c>
      <x:c r="G123" s="20" t="str">
        <x:v>ยังไม่พบเอกสารรับรองและวันหมดอายุ</x:v>
      </x:c>
      <x:c r="H12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3" s="20" t="str">
        <x:v>ถนนโยธาธิการ ตำบลเกาะช้าง อำเภอเกาะช้าง จังหวัดตราด 23170</x:v>
      </x:c>
      <x:c r="J123" s="21" t="str">
        <x:v>0827154606</x:v>
      </x:c>
      <x:c r="K123" s="23" t="e">
        <x:f>HYPERLINK("https://makanhalalguide.com/shop/detail/5254","เปิดแหล่งข้อมูล 1")</x:f>
        <x:v>HYPERLINK is not implemented. linkLocation=https://makanhalalguide.com/shop/detail/5254, friendlyName=เปิดแหล่งข้อมูล 1</x:v>
      </x:c>
      <x:c r="L123" s="23" t="e">
        <x:f>HYPERLINK("https://www.thaithurkic.com/halal-bobby-food-shop-082-715-4606","เปิดแหล่งข้อมูล 2")</x:f>
        <x:v>HYPERLINK is not implemented. linkLocation=https://www.thaithurkic.com/halal-bobby-food-shop-082-715-4606, friendlyName=เปิดแหล่งข้อมูล 2</x:v>
      </x:c>
      <x:c r="M123" s="20" t="str">
        <x:v>ผลค้นหาชื่อสัมพันธ์จากแหล่งเพิ่มเติม ต้องยืนยันสาขาและข้อมูลปัจจุบัน</x:v>
      </x:c>
      <x:c r="N123" s="10" t="n">
        <x:v>46315</x:v>
      </x:c>
      <x:c r="O123" s="22" t="str">
        <x:v>ยังไม่ตรวจ</x:v>
      </x:c>
      <x:c r="P123" s="22" t="str">
        <x:v>ยังไม่ติดต่อ</x:v>
      </x:c>
    </x:row>
    <x:row r="124" ht="66" customHeight="1">
      <x:c r="A124" s="9" t="n">
        <x:v>116</x:v>
      </x:c>
      <x:c r="B124" s="20" t="str">
        <x:v>Ninland Resort</x:v>
      </x:c>
      <x:c r="C124" s="20" t="str">
        <x:v>นครนายก</x:v>
      </x:c>
      <x:c r="D124" s="20" t="str">
        <x:v>โรงแรมหรือรีสอร์ท</x:v>
      </x:c>
      <x:c r="E124" s="20" t="str">
        <x:v>Makan Verify; ระบุมีห้องละหมาด</x:v>
      </x:c>
      <x:c r="F124" s="20" t="str">
        <x:v>แหล่งข้อมูลระบุว่ามี</x:v>
      </x:c>
      <x:c r="G124" s="20" t="str">
        <x:v>ยังไม่พบเอกสารรับรองและวันหมดอายุ</x:v>
      </x:c>
      <x:c r="H12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4" s="20" t="str">
        <x:v>หมู่ 2 66/1 หินตั้ง อำเภอเมืองนครนายก นครนายก 26000</x:v>
      </x:c>
      <x:c r="J124" s="21" t="str">
        <x:v>0988595443</x:v>
      </x:c>
      <x:c r="K124" s="23" t="e">
        <x:f>HYPERLINK("https://makanhalalguide.com/shop/detail/5382","เปิดแหล่งข้อมูล 1")</x:f>
        <x:v>HYPERLINK is not implemented. linkLocation=https://makanhalalguide.com/shop/detail/5382, friendlyName=เปิดแหล่งข้อมูล 1</x:v>
      </x:c>
      <x:c r="L124" s="23" t="e">
        <x:f>HYPERLINK("https://www.google.co.th/travel/hotels/entity/CgoIxcDy-a-Fu7gSEAE?rp=OAHCAhciFRITCPnAq7TLkpYDFYb9SwMdF88OEg&amp;ts=CAEaBAoCGgAqBAoAGgA","เปิดแหล่งข้อมูล 2")</x:f>
        <x:v>HYPERLINK is not implemented. linkLocation=https://www.google.co.th/travel/hotels/entity/CgoIxcDy-a-Fu7gSEAE?rp=OAHCAhciFRITCPnAq7TLkpYDFYb9SwMdF88OEg&amp;ts=CAEaBAoCGgAqBAoAGgA, friendlyName=เปิดแหล่งข้อมูล 2</x:v>
      </x:c>
      <x:c r="M124" s="20" t="str">
        <x:v>ผลค้นหาชื่อสัมพันธ์จากแหล่งเพิ่มเติม ต้องยืนยันสาขาและข้อมูลปัจจุบัน</x:v>
      </x:c>
      <x:c r="N124" s="10" t="n">
        <x:v>46315</x:v>
      </x:c>
      <x:c r="O124" s="22" t="str">
        <x:v>ยังไม่ตรวจ</x:v>
      </x:c>
      <x:c r="P124" s="22" t="str">
        <x:v>ยังไม่ติดต่อ</x:v>
      </x:c>
    </x:row>
    <x:row r="125" ht="66" customHeight="1">
      <x:c r="A125" s="9" t="n">
        <x:v>117</x:v>
      </x:c>
      <x:c r="B125" s="20" t="str">
        <x:v>ขุนด่านอีโค รีสอร์ท&amp;ข้าวหมกบ้านเขื่อน Halal Food นครนายก</x:v>
      </x:c>
      <x:c r="C125" s="20" t="str">
        <x:v>นครนายก</x:v>
      </x:c>
      <x:c r="D125" s="20" t="str">
        <x:v>โรงแรมหรือรีสอร์ท</x:v>
      </x:c>
      <x:c r="E125" s="20" t="str">
        <x:v>Makan Verify; ระบุมีห้องละหมาด</x:v>
      </x:c>
      <x:c r="F125" s="20" t="str">
        <x:v>แหล่งข้อมูลระบุว่ามี</x:v>
      </x:c>
      <x:c r="G125" s="20" t="str">
        <x:v>ยังไม่พบเอกสารรับรองและวันหมดอายุ</x:v>
      </x:c>
      <x:c r="H12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5" s="20" t="str">
        <x:v>199 หมู่6 ตำบล หินตั้ง อำเภอเมืองนครนายก นครนายก 26000</x:v>
      </x:c>
      <x:c r="J125" s="21" t="str">
        <x:v>0625172971</x:v>
      </x:c>
      <x:c r="K125" s="23" t="e">
        <x:f>HYPERLINK("https://makanhalalguide.com/shop/detail/5193","เปิดแหล่งข้อมูล 1")</x:f>
        <x:v>HYPERLINK is not implemented. linkLocation=https://makanhalalguide.com/shop/detail/5193, friendlyName=เปิดแหล่งข้อมูล 1</x:v>
      </x:c>
      <x:c r="L125" s="23" t="e">
        <x:f>HYPERLINK("https://restaurantguru.com/%E0%B8%82%E0%B8%B8%E0%B8%99%E0%B8%94%E0%B9%88%E0%B8%B2%E0%B8%99%E0%B8%AD%E0%B8%B5%E0%B9%82%E0%B8%84-%E0%B8%A3%E0%B8%B5%E0%B8%AA%E0%B8%AD%E0%B8%A3%E0%B9%8C%E0%B8%97and%E0%B8%82%E0%B9%89%E0%B8%B2%E0%B8%A7%E0%B8%AB%E0%B8%A1%E0%B8%81%E0%B8%9A%E0%B9%89%E0%B8%B2%E0%B8%99%E0%B9%80%E0%B8%82%E0%B8%B7%E0%B9%88%E0%B8%AD%E0%B8%99-Halal-Food-%E0%B8%99%E0%B8%84%E0%B8%A3%E0%B8%99%E0%B8%B2%E0%B8%A2%E0%B8%81-Hin-Tung","เปิดแหล่งข้อมูล 2")</x:f>
        <x:v>HYPERLINK is not implemented. linkLocation=https://restaurantguru.com/%E0%B8%82%E0%B8%B8%E0%B8%99%E0%B8%94%E0%B9%88%E0%B8%B2%E0%B8%99%E0%B8%AD%E0%B8%B5%E0%B9%82%E0%B8%84-%E0%B8%A3%E0%B8%B5%E0%B8%AA%E0%B8%AD%E0%B8%A3%E0%B9%8C%E0%B8%97and%E0%B8%82%E0%B9%89%E0%B8%B2%E0%B8%A7%E0%B8%AB%E0%B8%A1%E0%B8%81%E0%B8%9A%E0%B9%89%E0%B8%B2%E0%B8%99%E0%B9%80%E0%B8%82%E0%B8%B7%E0%B9%88%E0%B8%AD%E0%B8%99-Halal-Food-%E0%B8%99%E0%B8%84%E0%B8%A3%E0%B8%99%E0%B8%B2%E0%B8%A2%E0%B8%81-Hin-Tung, friendlyName=เปิดแหล่งข้อมูล 2</x:v>
      </x:c>
      <x:c r="M125" s="20" t="str">
        <x:v>ผลค้นหาชื่อสัมพันธ์จากแหล่งเพิ่มเติม ต้องยืนยันสาขาและข้อมูลปัจจุบัน</x:v>
      </x:c>
      <x:c r="N125" s="10" t="n">
        <x:v>46315</x:v>
      </x:c>
      <x:c r="O125" s="22" t="str">
        <x:v>ยังไม่ตรวจ</x:v>
      </x:c>
      <x:c r="P125" s="22" t="str">
        <x:v>ยังไม่ติดต่อ</x:v>
      </x:c>
    </x:row>
    <x:row r="126" ht="66" customHeight="1">
      <x:c r="A126" s="9" t="n">
        <x:v>118</x:v>
      </x:c>
      <x:c r="B126" s="20" t="str">
        <x:v>แสงวิมานรีสอร์ท</x:v>
      </x:c>
      <x:c r="C126" s="20" t="str">
        <x:v>นครนายก</x:v>
      </x:c>
      <x:c r="D126" s="20" t="str">
        <x:v>โรงแรมหรือรีสอร์ท</x:v>
      </x:c>
      <x:c r="E126" s="20" t="str">
        <x:v>Makan Verify; ระบุมีห้องละหมาด</x:v>
      </x:c>
      <x:c r="F126" s="20" t="str">
        <x:v>แหล่งข้อมูลระบุว่ามี</x:v>
      </x:c>
      <x:c r="G126" s="20" t="str">
        <x:v>ยังไม่พบเอกสารรับรองและวันหมดอายุ</x:v>
      </x:c>
      <x:c r="H12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6" s="20" t="str">
        <x:v>144 หมู่ 5 ตำบล หินตั้ง อำเภอเมืองนครนายก นครนายก 26000</x:v>
      </x:c>
      <x:c r="J126" s="21" t="str">
        <x:v>0626259494</x:v>
      </x:c>
      <x:c r="K126" s="23" t="e">
        <x:f>HYPERLINK("https://makanhalalguide.com/shop/detail/5384","เปิดแหล่งข้อมูล 1")</x:f>
        <x:v>HYPERLINK is not implemented. linkLocation=https://makanhalalguide.com/shop/detail/5384, friendlyName=เปิดแหล่งข้อมูล 1</x:v>
      </x:c>
      <x:c r="L126" s="23" t="e">
        <x:f>HYPERLINK("https://www.google.co.th/travel/hotels/entity/ChoI2ePW2ZeLgKTiARoNL2cvMTFmMTIzejBtORAB?rp=OAHCAhciFRITCPCzosD8r5YDFbUtrQYdDFEHjA&amp;ts=CAEaIAoCGgASGhIUCgcI6g8QChgGEgcI6g8QChgLGAUyAhAAKgkKBToDVVNEGgA","เปิดแหล่งข้อมูล 2")</x:f>
        <x:v>HYPERLINK is not implemented. linkLocation=https://www.google.co.th/travel/hotels/entity/ChoI2ePW2ZeLgKTiARoNL2cvMTFmMTIzejBtORAB?rp=OAHCAhciFRITCPCzosD8r5YDFbUtrQYdDFEHjA&amp;ts=CAEaIAoCGgASGhIUCgcI6g8QChgGEgcI6g8QChgLGAUyAhAAKgkKBToDVVNEGgA, friendlyName=เปิดแหล่งข้อมูล 2</x:v>
      </x:c>
      <x:c r="M126" s="20" t="str">
        <x:v>ผลค้นหาชื่อสัมพันธ์จากแหล่งเพิ่มเติม ต้องยืนยันสาขาและข้อมูลปัจจุบัน</x:v>
      </x:c>
      <x:c r="N126" s="10" t="n">
        <x:v>46315</x:v>
      </x:c>
      <x:c r="O126" s="22" t="str">
        <x:v>ยังไม่ตรวจ</x:v>
      </x:c>
      <x:c r="P126" s="22" t="str">
        <x:v>ยังไม่ติดต่อ</x:v>
      </x:c>
    </x:row>
    <x:row r="127" ht="66" customHeight="1">
      <x:c r="A127" s="9" t="n">
        <x:v>119</x:v>
      </x:c>
      <x:c r="B127" s="20" t="str">
        <x:v>สวนทันใด</x:v>
      </x:c>
      <x:c r="C127" s="20" t="str">
        <x:v>นครนายก</x:v>
      </x:c>
      <x:c r="D127" s="20" t="str">
        <x:v>ร้านอาหาร</x:v>
      </x:c>
      <x:c r="E127" s="20" t="str">
        <x:v>มีรายชื่อใน Makan Halal Guide; ระบุมีห้องละหมาด</x:v>
      </x:c>
      <x:c r="F127" s="20" t="str">
        <x:v>แหล่งข้อมูลระบุว่ามี</x:v>
      </x:c>
      <x:c r="G127" s="20" t="str">
        <x:v>ยังไม่พบเอกสารรับรองและวันหมดอายุ</x:v>
      </x:c>
      <x:c r="H12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7" s="20" t="str">
        <x:v>122, ตำบล โคกกรวด อำเภอปากพลี นครนายก 26130</x:v>
      </x:c>
      <x:c r="J127" s="21" t="str">
        <x:v>0817510030</x:v>
      </x:c>
      <x:c r="K127" s="23" t="e">
        <x:f>HYPERLINK("https://makanhalalguide.com/shop/detail/5939","เปิดแหล่งข้อมูล 1")</x:f>
        <x:v>HYPERLINK is not implemented. linkLocation=https://makanhalalguide.com/shop/detail/5939, friendlyName=เปิดแหล่งข้อมูล 1</x:v>
      </x:c>
      <x:c r="L127" s="23" t="e">
        <x:f>HYPERLINK("https://www.wongnai.com/restaurants/2707707uu-%E0%B8%AA%E0%B8%A7%E0%B8%99%E0%B8%97%E0%B8%B1%E0%B8%99%E0%B9%83%E0%B8%94","เปิดแหล่งข้อมูล 2")</x:f>
        <x:v>HYPERLINK is not implemented. linkLocation=https://www.wongnai.com/restaurants/2707707uu-%E0%B8%AA%E0%B8%A7%E0%B8%99%E0%B8%97%E0%B8%B1%E0%B8%99%E0%B9%83%E0%B8%94, friendlyName=เปิดแหล่งข้อมูล 2</x:v>
      </x:c>
      <x:c r="M127" s="20" t="str">
        <x:v>ผลค้นหาชื่อสัมพันธ์จากแหล่งเพิ่มเติม ต้องยืนยันสาขาและข้อมูลปัจจุบัน</x:v>
      </x:c>
      <x:c r="N127" s="10" t="n">
        <x:v>46315</x:v>
      </x:c>
      <x:c r="O127" s="22" t="str">
        <x:v>ยังไม่ตรวจ</x:v>
      </x:c>
      <x:c r="P127" s="22" t="str">
        <x:v>ยังไม่ติดต่อ</x:v>
      </x:c>
    </x:row>
    <x:row r="128" ht="66" customHeight="1">
      <x:c r="A128" s="9" t="n">
        <x:v>120</x:v>
      </x:c>
      <x:c r="B128" s="20" t="str">
        <x:v>ผาส่งตะวัน โฮมสเตย์</x:v>
      </x:c>
      <x:c r="C128" s="20" t="str">
        <x:v>นครราชสีมา</x:v>
      </x:c>
      <x:c r="D128" s="20" t="str">
        <x:v>โรงแรมหรือรีสอร์ท</x:v>
      </x:c>
      <x:c r="E128" s="20" t="str">
        <x:v>Makan Verify; ระบุมีห้องละหมาด</x:v>
      </x:c>
      <x:c r="F128" s="20" t="str">
        <x:v>แหล่งข้อมูลระบุว่ามี</x:v>
      </x:c>
      <x:c r="G128" s="20" t="str">
        <x:v>ยังไม่พบเอกสารรับรองและวันหมดอายุ</x:v>
      </x:c>
      <x:c r="H12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8" s="20" t="str">
        <x:v>ตำบล วังไทร อำเภอสีคิ้ว นครราชสีมา 30130</x:v>
      </x:c>
      <x:c r="J128" s="21" t="str">
        <x:v>0914044284</x:v>
      </x:c>
      <x:c r="K128" s="23" t="e">
        <x:f>HYPERLINK("https://makanhalalguide.com/shop/detail/5393","เปิดแหล่งข้อมูล 1")</x:f>
        <x:v>HYPERLINK is not implemented. linkLocation=https://makanhalalguide.com/shop/detail/5393, friendlyName=เปิดแหล่งข้อมูล 1</x:v>
      </x:c>
      <x:c r="L128" s="23" t="e">
        <x:f>HYPERLINK("https://www.google.co.th/travel/hotels/entity/ChoIi6rXvNTN94r5ARoNL2cvMTFneTQ1Nno2NxAB?rp=OAHCAhwiGg0AAGxCEhMIhszSoJaziAMVCmirAh2a2QYO&amp;ts=CAEaIgoCGgASHBIUCgcI6g8QChgXEgcI6g8QChgYGAEyAhAAOAEqCQoFOgNVU0QaAA","เปิดแหล่งข้อมูล 2")</x:f>
        <x:v>HYPERLINK is not implemented. linkLocation=https://www.google.co.th/travel/hotels/entity/ChoIi6rXvNTN94r5ARoNL2cvMTFneTQ1Nno2NxAB?rp=OAHCAhwiGg0AAGxCEhMIhszSoJaziAMVCmirAh2a2QYO&amp;ts=CAEaIgoCGgASHBIUCgcI6g8QChgXEgcI6g8QChgYGAEyAhAAOAEqCQoFOgNVU0QaAA, friendlyName=เปิดแหล่งข้อมูล 2</x:v>
      </x:c>
      <x:c r="M128" s="20" t="str">
        <x:v>ผลค้นหาชื่อสัมพันธ์จากแหล่งเพิ่มเติม ต้องยืนยันสาขาและข้อมูลปัจจุบัน</x:v>
      </x:c>
      <x:c r="N128" s="10" t="n">
        <x:v>46315</x:v>
      </x:c>
      <x:c r="O128" s="22" t="str">
        <x:v>ยังไม่ตรวจ</x:v>
      </x:c>
      <x:c r="P128" s="22" t="str">
        <x:v>ยังไม่ติดต่อ</x:v>
      </x:c>
    </x:row>
    <x:row r="129" ht="66" customHeight="1">
      <x:c r="A129" s="9" t="n">
        <x:v>121</x:v>
      </x:c>
      <x:c r="B129" s="20" t="str">
        <x:v>ไร่จูซาโฮมสเตย์ เขายายเที่ยง</x:v>
      </x:c>
      <x:c r="C129" s="20" t="str">
        <x:v>นครราชสีมา</x:v>
      </x:c>
      <x:c r="D129" s="20" t="str">
        <x:v>โรงแรมหรือรีสอร์ท</x:v>
      </x:c>
      <x:c r="E129" s="20" t="str">
        <x:v>Makan Verify; ระบุมีห้องละหมาด</x:v>
      </x:c>
      <x:c r="F129" s="20" t="str">
        <x:v>แหล่งข้อมูลระบุว่ามี</x:v>
      </x:c>
      <x:c r="G129" s="20" t="str">
        <x:v>ยังไม่พบเอกสารรับรองและวันหมดอายุ</x:v>
      </x:c>
      <x:c r="H12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29" s="20" t="str">
        <x:v>99/2 ตำบล คลองไผ่ อำเภอสีคิ้ว นครราชสีมา 30340</x:v>
      </x:c>
      <x:c r="J129" s="21" t="str">
        <x:v>0942568044</x:v>
      </x:c>
      <x:c r="K129" s="23" t="e">
        <x:f>HYPERLINK("https://makanhalalguide.com/shop/detail/6213","เปิดแหล่งข้อมูล 1")</x:f>
        <x:v>HYPERLINK is not implemented. linkLocation=https://makanhalalguide.com/shop/detail/6213, friendlyName=เปิดแหล่งข้อมูล 1</x:v>
      </x:c>
      <x:c r="L129" s="23" t="e">
        <x:f>HYPERLINK("https://makanhalalguide.com/shop/detail/5938","เปิดแหล่งข้อมูล 2")</x:f>
        <x:v>HYPERLINK is not implemented. linkLocation=https://makanhalalguide.com/shop/detail/5938, friendlyName=เปิดแหล่งข้อมูล 2</x:v>
      </x:c>
      <x:c r="M129" s="20" t="str">
        <x:v>มีรายชื่อใน Makan Halal Guide; ช่องห้องละหมาดไม่ได้ทำเครื่องหมายว่ามี</x:v>
      </x:c>
      <x:c r="N129" s="10" t="n">
        <x:v>46315</x:v>
      </x:c>
      <x:c r="O129" s="22" t="str">
        <x:v>ยังไม่ตรวจ</x:v>
      </x:c>
      <x:c r="P129" s="22" t="str">
        <x:v>ยังไม่ติดต่อ</x:v>
      </x:c>
    </x:row>
    <x:row r="130" ht="66" customHeight="1">
      <x:c r="A130" s="9" t="n">
        <x:v>122</x:v>
      </x:c>
      <x:c r="B130" s="20" t="str">
        <x:v>Barakas By Asmar อิสลามตลาดแขก อ.ปากช่อง</x:v>
      </x:c>
      <x:c r="C130" s="20" t="str">
        <x:v>นครราชสีมา</x:v>
      </x:c>
      <x:c r="D130" s="20" t="str">
        <x:v>ร้านอาหาร</x:v>
      </x:c>
      <x:c r="E130" s="20" t="str">
        <x:v>Makan Verify; ระบุมีห้องละหมาด</x:v>
      </x:c>
      <x:c r="F130" s="20" t="str">
        <x:v>แหล่งข้อมูลระบุว่ามี</x:v>
      </x:c>
      <x:c r="G130" s="20" t="str">
        <x:v>ยังไม่พบเอกสารรับรองและวันหมดอายุ</x:v>
      </x:c>
      <x:c r="H13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0" s="20" t="str">
        <x:v>ร้านอาหารอิสลาม อำเภอปากช่อง นครราชสีมา 30130</x:v>
      </x:c>
      <x:c r="J130" s="21" t="str">
        <x:v>0887117127</x:v>
      </x:c>
      <x:c r="K130" s="23" t="e">
        <x:f>HYPERLINK("https://makanhalalguide.com/shop/detail/6223","เปิดแหล่งข้อมูล 1")</x:f>
        <x:v>HYPERLINK is not implemented. linkLocation=https://makanhalalguide.com/shop/detail/6223, friendlyName=เปิดแหล่งข้อมูล 1</x:v>
      </x:c>
      <x:c r="L130" s="23" t="e">
        <x:f>HYPERLINK("https://restaurantguru.com/%E0%B9%82%E0%B8%A3%E0%B8%87%E0%B8%AD%E0%B8%B2%E0%B8%AB%E0%B8%B2%E0%B8%A3%E0%B8%AD%E0%B8%B3%E0%B9%80%E0%B8%A0%E0%B8%AD%E0%B8%9B%E0%B8%B2%E0%B8%81%E0%B8%8A%E0%B9%88%E0%B8%AD%E0%B8%87-Pak-Chong-2","เปิดแหล่งข้อมูล 2")</x:f>
        <x:v>HYPERLINK is not implemented. linkLocation=https://restaurantguru.com/%E0%B9%82%E0%B8%A3%E0%B8%87%E0%B8%AD%E0%B8%B2%E0%B8%AB%E0%B8%B2%E0%B8%A3%E0%B8%AD%E0%B8%B3%E0%B9%80%E0%B8%A0%E0%B8%AD%E0%B8%9B%E0%B8%B2%E0%B8%81%E0%B8%8A%E0%B9%88%E0%B8%AD%E0%B8%87-Pak-Chong-2, friendlyName=เปิดแหล่งข้อมูล 2</x:v>
      </x:c>
      <x:c r="M130" s="20" t="str">
        <x:v>ผลค้นหาชื่อสัมพันธ์จากแหล่งเพิ่มเติม ต้องยืนยันสาขาและข้อมูลปัจจุบัน</x:v>
      </x:c>
      <x:c r="N130" s="10" t="n">
        <x:v>46315</x:v>
      </x:c>
      <x:c r="O130" s="22" t="str">
        <x:v>ยังไม่ตรวจ</x:v>
      </x:c>
      <x:c r="P130" s="22" t="str">
        <x:v>ยังไม่ติดต่อ</x:v>
      </x:c>
    </x:row>
    <x:row r="131" ht="66" customHeight="1">
      <x:c r="A131" s="9" t="n">
        <x:v>123</x:v>
      </x:c>
      <x:c r="B131" s="20" t="str">
        <x:v>Cafe Style Chan Carpentry</x:v>
      </x:c>
      <x:c r="C131" s="20" t="str">
        <x:v>นครราชสีมา</x:v>
      </x:c>
      <x:c r="D131" s="20" t="str">
        <x:v>คาเฟ่และร้านของหวาน</x:v>
      </x:c>
      <x:c r="E131" s="20" t="str">
        <x:v>Makan Verify; ระบุมีห้องละหมาด</x:v>
      </x:c>
      <x:c r="F131" s="20" t="str">
        <x:v>แหล่งข้อมูลระบุว่ามี</x:v>
      </x:c>
      <x:c r="G131" s="20" t="str">
        <x:v>ยังไม่พบเอกสารรับรองและวันหมดอายุ</x:v>
      </x:c>
      <x:c r="H13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1" s="20" t="str">
        <x:v>8 ตำบล คลองไผ่ อำเภอสีคิ้ว นครราชสีมา 30340</x:v>
      </x:c>
      <x:c r="J131" s="21" t="str">
        <x:v>0918283874</x:v>
      </x:c>
      <x:c r="K131" s="23" t="e">
        <x:f>HYPERLINK("https://makanhalalguide.com/shop/detail/6204","เปิดแหล่งข้อมูล 1")</x:f>
        <x:v>HYPERLINK is not implemented. linkLocation=https://makanhalalguide.com/shop/detail/6204, friendlyName=เปิดแหล่งข้อมูล 1</x:v>
      </x:c>
      <x:c r="L131" s="23" t="e">
        <x:f>HYPERLINK("https://www.thaithurkic.com/%E0%B8%A3%E0%B8%96%E0%B9%81%E0%B8%8B%E0%B9%88%E0%B8%9A%E0%B9%80%E0%B8%A7%E0%B8%AD%E0%B8%A3%E0%B9%8C-095-739-7412","เปิดแหล่งข้อมูล 2")</x:f>
        <x:v>HYPERLINK is not implemented. linkLocation=https://www.thaithurkic.com/%E0%B8%A3%E0%B8%96%E0%B9%81%E0%B8%8B%E0%B9%88%E0%B8%9A%E0%B9%80%E0%B8%A7%E0%B8%AD%E0%B8%A3%E0%B9%8C-095-739-7412, friendlyName=เปิดแหล่งข้อมูล 2</x:v>
      </x:c>
      <x:c r="M131" s="20" t="str">
        <x:v>ผลค้นหาชื่อสัมพันธ์จากแหล่งเพิ่มเติม ต้องยืนยันสาขาและข้อมูลปัจจุบัน</x:v>
      </x:c>
      <x:c r="N131" s="10" t="n">
        <x:v>46315</x:v>
      </x:c>
      <x:c r="O131" s="22" t="str">
        <x:v>ยังไม่ตรวจ</x:v>
      </x:c>
      <x:c r="P131" s="22" t="str">
        <x:v>ยังไม่ติดต่อ</x:v>
      </x:c>
    </x:row>
    <x:row r="132" ht="66" customHeight="1">
      <x:c r="A132" s="9" t="n">
        <x:v>124</x:v>
      </x:c>
      <x:c r="B132" s="20" t="str">
        <x:v>Halal ครัวบังบิ๊ก เขาใหญ่</x:v>
      </x:c>
      <x:c r="C132" s="20" t="str">
        <x:v>นครราชสีมา</x:v>
      </x:c>
      <x:c r="D132" s="20" t="str">
        <x:v>ร้านอาหาร</x:v>
      </x:c>
      <x:c r="E132" s="20" t="str">
        <x:v>Makan Verify; ระบุมีห้องละหมาด</x:v>
      </x:c>
      <x:c r="F132" s="20" t="str">
        <x:v>แหล่งข้อมูลระบุว่ามี</x:v>
      </x:c>
      <x:c r="G132" s="20" t="str">
        <x:v>ยังไม่พบเอกสารรับรองและวันหมดอายุ</x:v>
      </x:c>
      <x:c r="H13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2" s="20" t="str">
        <x:v>66 ตำบล หมูสี อำเภอปากช่อง นครราชสีมา 30130</x:v>
      </x:c>
      <x:c r="J132" s="21" t="str">
        <x:v>0808755246</x:v>
      </x:c>
      <x:c r="K132" s="23" t="e">
        <x:f>HYPERLINK("https://makanhalalguide.com/shop/detail/6221","เปิดแหล่งข้อมูล 1")</x:f>
        <x:v>HYPERLINK is not implemented. linkLocation=https://makanhalalguide.com/shop/detail/6221, friendlyName=เปิดแหล่งข้อมูล 1</x:v>
      </x:c>
      <x:c r="L132" s="23" t="e">
        <x:f>HYPERLINK("https://xn--l3cga1amo9al2e5c0fqf.cybo.com/TH/%E0%B8%AD%E0%B8%B3%E0%B9%80%E0%B8%A0%E0%B8%AD%E0%B8%9B%E0%B8%B2%E0%B8%81%E0%B8%8A%E0%B9%88%E0%B8%AD%E0%B8%87/%E0%B8%A3%E0%B9%89%E0%B8%B2%E0%B8%99%E0%B8%AD%E0%B8%B2%E0%B8%AB%E0%B8%B2%E0%B8%A3%E0%B8%AE%E0%B8%B2%E0%B8%A5%E0%B8%B2%E0%B8%A5","เปิดแหล่งข้อมูล 2")</x:f>
        <x:v>HYPERLINK is not implemented. linkLocation=https://xn--l3cga1amo9al2e5c0fqf.cybo.com/TH/%E0%B8%AD%E0%B8%B3%E0%B9%80%E0%B8%A0%E0%B8%AD%E0%B8%9B%E0%B8%B2%E0%B8%81%E0%B8%8A%E0%B9%88%E0%B8%AD%E0%B8%87/%E0%B8%A3%E0%B9%89%E0%B8%B2%E0%B8%99%E0%B8%AD%E0%B8%B2%E0%B8%AB%E0%B8%B2%E0%B8%A3%E0%B8%AE%E0%B8%B2%E0%B8%A5%E0%B8%B2%E0%B8%A5, friendlyName=เปิดแหล่งข้อมูล 2</x:v>
      </x:c>
      <x:c r="M132" s="20" t="str">
        <x:v>ผลค้นหาชื่อสัมพันธ์จากแหล่งเพิ่มเติม ต้องยืนยันสาขาและข้อมูลปัจจุบัน</x:v>
      </x:c>
      <x:c r="N132" s="10" t="n">
        <x:v>46315</x:v>
      </x:c>
      <x:c r="O132" s="22" t="str">
        <x:v>ยังไม่ตรวจ</x:v>
      </x:c>
      <x:c r="P132" s="22" t="str">
        <x:v>ยังไม่ติดต่อ</x:v>
      </x:c>
    </x:row>
    <x:row r="133" ht="66" customHeight="1">
      <x:c r="A133" s="9" t="n">
        <x:v>125</x:v>
      </x:c>
      <x:c r="B133" s="20" t="str">
        <x:v>PICNIC CAMP เขายายเที่ยง</x:v>
      </x:c>
      <x:c r="C133" s="20" t="str">
        <x:v>นครราชสีมา</x:v>
      </x:c>
      <x:c r="D133" s="20" t="str">
        <x:v>ที่พัก (ตรวจประเภทจากชื่อและข้อมูลประกอบ)</x:v>
      </x:c>
      <x:c r="E133" s="20" t="str">
        <x:v>Makan Verify; ระบุมีห้องละหมาด</x:v>
      </x:c>
      <x:c r="F133" s="20" t="str">
        <x:v>แหล่งข้อมูลระบุว่ามี</x:v>
      </x:c>
      <x:c r="G133" s="20" t="str">
        <x:v>ยังไม่พบเอกสารรับรองและวันหมดอายุ</x:v>
      </x:c>
      <x:c r="H133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133" s="20" t="str">
        <x:v>ตำบล คลองไผ่ อำเภอสีคิ้ว นครราชสีมา 30340</x:v>
      </x:c>
      <x:c r="J133" s="21" t="str">
        <x:v>0910209984</x:v>
      </x:c>
      <x:c r="K133" s="23" t="e">
        <x:f>HYPERLINK("https://makanhalalguide.com/shop/detail/6215","เปิดแหล่งข้อมูล 1")</x:f>
        <x:v>HYPERLINK is not implemented. linkLocation=https://makanhalalguide.com/shop/detail/6215, friendlyName=เปิดแหล่งข้อมูล 1</x:v>
      </x:c>
      <x:c r="L133" s="23" t="e">
        <x:f>HYPERLINK("https://www.google.co.th/travel/hotels/entity/CgoI-NTh0cj5wYYOEAE","เปิดแหล่งข้อมูล 2")</x:f>
        <x:v>HYPERLINK is not implemented. linkLocation=https://www.google.co.th/travel/hotels/entity/CgoI-NTh0cj5wYYOEAE, friendlyName=เปิดแหล่งข้อมูล 2</x:v>
      </x:c>
      <x:c r="M133" s="20" t="str">
        <x:v>ผลค้นหาชื่อสัมพันธ์จากแหล่งเพิ่มเติม ต้องยืนยันสาขาและข้อมูลปัจจุบัน</x:v>
      </x:c>
      <x:c r="N133" s="10" t="n">
        <x:v>46315</x:v>
      </x:c>
      <x:c r="O133" s="22" t="str">
        <x:v>ยังไม่ตรวจ</x:v>
      </x:c>
      <x:c r="P133" s="22" t="str">
        <x:v>ยังไม่ติดต่อ</x:v>
      </x:c>
    </x:row>
    <x:row r="134" ht="66" customHeight="1">
      <x:c r="A134" s="9" t="n">
        <x:v>126</x:v>
      </x:c>
      <x:c r="B134" s="20" t="str">
        <x:v>SALASA HALAL KHAOYAI</x:v>
      </x:c>
      <x:c r="C134" s="20" t="str">
        <x:v>นครราชสีมา</x:v>
      </x:c>
      <x:c r="D134" s="20" t="str">
        <x:v>ร้านอาหาร</x:v>
      </x:c>
      <x:c r="E134" s="20" t="str">
        <x:v>Makan Verify; ระบุมีห้องละหมาด</x:v>
      </x:c>
      <x:c r="F134" s="20" t="str">
        <x:v>แหล่งข้อมูลระบุว่ามี</x:v>
      </x:c>
      <x:c r="G134" s="20" t="str">
        <x:v>ยังไม่พบเอกสารรับรองและวันหมดอายุ</x:v>
      </x:c>
      <x:c r="H13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4" s="20" t="str">
        <x:v>165 หมู่ 15 ถนนธนรัชต์ กม.12 ตำบลหมูสี อำเภอปากช่อง จังหวัดนครราชสีมา 30130</x:v>
      </x:c>
      <x:c r="J134" s="21" t="str">
        <x:v>0817307265</x:v>
      </x:c>
      <x:c r="K134" s="23" t="e">
        <x:f>HYPERLINK("https://makanhalalguide.com/shop/detail/6217","เปิดแหล่งข้อมูล 1")</x:f>
        <x:v>HYPERLINK is not implemented. linkLocation=https://makanhalalguide.com/shop/detail/6217, friendlyName=เปิดแหล่งข้อมูล 1</x:v>
      </x:c>
      <x:c r="L134" s="23" t="e">
        <x:f>HYPERLINK("https://www.halalthailand.com/article/123","เปิดแหล่งข้อมูล 2")</x:f>
        <x:v>HYPERLINK is not implemented. linkLocation=https://www.halalthailand.com/article/123, friendlyName=เปิดแหล่งข้อมูล 2</x:v>
      </x:c>
      <x:c r="M134" s="20" t="str">
        <x:v>ผลค้นหาชื่อสัมพันธ์จากแหล่งเพิ่มเติม ต้องยืนยันสาขาและข้อมูลปัจจุบัน</x:v>
      </x:c>
      <x:c r="N134" s="10" t="n">
        <x:v>46315</x:v>
      </x:c>
      <x:c r="O134" s="22" t="str">
        <x:v>ยังไม่ตรวจ</x:v>
      </x:c>
      <x:c r="P134" s="22" t="str">
        <x:v>ยังไม่ติดต่อ</x:v>
      </x:c>
    </x:row>
    <x:row r="135" ht="66" customHeight="1">
      <x:c r="A135" s="9" t="n">
        <x:v>127</x:v>
      </x:c>
      <x:c r="B135" s="20" t="str">
        <x:v>ขนมบ้านคลอเดียร์ หลักกม.9 เขายายเที่ยงใต้</x:v>
      </x:c>
      <x:c r="C135" s="20" t="str">
        <x:v>นครราชสีมา</x:v>
      </x:c>
      <x:c r="D135" s="20" t="str">
        <x:v>คาเฟ่และร้านของหวาน</x:v>
      </x:c>
      <x:c r="E135" s="20" t="str">
        <x:v>Makan Verify; ระบุมีห้องละหมาด</x:v>
      </x:c>
      <x:c r="F135" s="20" t="str">
        <x:v>แหล่งข้อมูลระบุว่ามี</x:v>
      </x:c>
      <x:c r="G135" s="20" t="str">
        <x:v>ยังไม่พบเอกสารรับรองและวันหมดอายุ</x:v>
      </x:c>
      <x:c r="H13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5" s="20" t="str">
        <x:v>524 10 ตำบล คลองไผ่ อำเภอสีคิ้ว นครราชสีมา 30340</x:v>
      </x:c>
      <x:c r="J135" s="21" t="str">
        <x:v>0896252212</x:v>
      </x:c>
      <x:c r="K135" s="23" t="e">
        <x:f>HYPERLINK("https://makanhalalguide.com/shop/detail/6206","เปิดแหล่งข้อมูล 1")</x:f>
        <x:v>HYPERLINK is not implemented. linkLocation=https://makanhalalguide.com/shop/detail/6206, friendlyName=เปิดแหล่งข้อมูล 1</x:v>
      </x:c>
      <x:c r="L135" s="23" t="str"/>
      <x:c r="M135" s="20" t="str"/>
      <x:c r="N135" s="10" t="n">
        <x:v>46315</x:v>
      </x:c>
      <x:c r="O135" s="22" t="str">
        <x:v>ยังไม่ตรวจ</x:v>
      </x:c>
      <x:c r="P135" s="22" t="str">
        <x:v>ยังไม่ติดต่อ</x:v>
      </x:c>
    </x:row>
    <x:row r="136" ht="66" customHeight="1">
      <x:c r="A136" s="9" t="n">
        <x:v>128</x:v>
      </x:c>
      <x:c r="B136" s="20" t="str">
        <x:v>ครัวอินดี้เขาใหญ่ อาหารปักษ์ใต้ ฮาลาล</x:v>
      </x:c>
      <x:c r="C136" s="20" t="str">
        <x:v>นครราชสีมา</x:v>
      </x:c>
      <x:c r="D136" s="20" t="str">
        <x:v>ร้านอาหาร</x:v>
      </x:c>
      <x:c r="E136" s="20" t="str">
        <x:v>Makan Verify; ระบุมีห้องละหมาด</x:v>
      </x:c>
      <x:c r="F136" s="20" t="str">
        <x:v>แหล่งข้อมูลระบุว่ามี</x:v>
      </x:c>
      <x:c r="G136" s="20" t="str">
        <x:v>ยังไม่พบเอกสารรับรองและวันหมดอายุ</x:v>
      </x:c>
      <x:c r="H13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6" s="20" t="str">
        <x:v>669 ตำบล หมูสี อำเภอปากช่อง นครราชสีมา 30130</x:v>
      </x:c>
      <x:c r="J136" s="21" t="str">
        <x:v>0803518148</x:v>
      </x:c>
      <x:c r="K136" s="23" t="e">
        <x:f>HYPERLINK("https://makanhalalguide.com/shop/detail/6220","เปิดแหล่งข้อมูล 1")</x:f>
        <x:v>HYPERLINK is not implemented. linkLocation=https://makanhalalguide.com/shop/detail/6220, friendlyName=เปิดแหล่งข้อมูล 1</x:v>
      </x:c>
      <x:c r="L136" s="23" t="e">
        <x:f>HYPERLINK("https://telefon-kitab.cybo.com/TH-biz/%E0%B8%84%E0%B8%A3%E0%B8%B1%E0%B8%A7%E0%B8%AD%E0%B8%B4%E0%B8%99%E0%B8%94%E0%B8%B5%E0%B9%89%E0%B9%80%E0%B8%82%E0%B8%B2%E0%B9%83%E0%B8%AB%E0%B8%8D%E0%B9%88-%E0%B8%AD%E0%B8%B2%E0%B8%AB%E0%B8%B2%E0%B8%A3%E0%B8%9B%E0%B8%B1%E0%B8%81%E0%B8%A9%E0%B9%8C%E0%B9%83%E0%B8%95%E0%B9%89-%E0%B8%AE%E0%B8%B2%E0%B8%A5%E0%B8%B2%E0%B8%A5","เปิดแหล่งข้อมูล 2")</x:f>
        <x:v>HYPERLINK is not implemented. linkLocation=https://telefon-kitab.cybo.com/TH-biz/%E0%B8%84%E0%B8%A3%E0%B8%B1%E0%B8%A7%E0%B8%AD%E0%B8%B4%E0%B8%99%E0%B8%94%E0%B8%B5%E0%B9%89%E0%B9%80%E0%B8%82%E0%B8%B2%E0%B9%83%E0%B8%AB%E0%B8%8D%E0%B9%88-%E0%B8%AD%E0%B8%B2%E0%B8%AB%E0%B8%B2%E0%B8%A3%E0%B8%9B%E0%B8%B1%E0%B8%81%E0%B8%A9%E0%B9%8C%E0%B9%83%E0%B8%95%E0%B9%89-%E0%B8%AE%E0%B8%B2%E0%B8%A5%E0%B8%B2%E0%B8%A5, friendlyName=เปิดแหล่งข้อมูล 2</x:v>
      </x:c>
      <x:c r="M136" s="20" t="str">
        <x:v>ผลค้นหาชื่อสัมพันธ์จากแหล่งเพิ่มเติม ต้องยืนยันสาขาและข้อมูลปัจจุบัน</x:v>
      </x:c>
      <x:c r="N136" s="10" t="n">
        <x:v>46315</x:v>
      </x:c>
      <x:c r="O136" s="22" t="str">
        <x:v>ยังไม่ตรวจ</x:v>
      </x:c>
      <x:c r="P136" s="22" t="str">
        <x:v>ยังไม่ติดต่อ</x:v>
      </x:c>
    </x:row>
    <x:row r="137" ht="66" customHeight="1">
      <x:c r="A137" s="9" t="n">
        <x:v>129</x:v>
      </x:c>
      <x:c r="B137" s="20" t="str">
        <x:v>บ้านกังหันวัลเล่ย์ แคมป์ปิ้ง&amp;ฮาลาลฟู้ด</x:v>
      </x:c>
      <x:c r="C137" s="20" t="str">
        <x:v>นครราชสีมา</x:v>
      </x:c>
      <x:c r="D137" s="20" t="str">
        <x:v>ร้านอาหาร</x:v>
      </x:c>
      <x:c r="E137" s="20" t="str">
        <x:v>Makan Verify; ระบุมีห้องละหมาด</x:v>
      </x:c>
      <x:c r="F137" s="20" t="str">
        <x:v>แหล่งข้อมูลระบุว่ามี</x:v>
      </x:c>
      <x:c r="G137" s="20" t="str">
        <x:v>ยังไม่พบเอกสารรับรองและวันหมดอายุ</x:v>
      </x:c>
      <x:c r="H13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7" s="20" t="str">
        <x:v>ตำบล คลองไผ่ อำเภอสีคิ้ว นครราชสีมา 30340</x:v>
      </x:c>
      <x:c r="J137" s="21" t="str">
        <x:v>0831995750</x:v>
      </x:c>
      <x:c r="K137" s="23" t="e">
        <x:f>HYPERLINK("https://makanhalalguide.com/shop/detail/5195","เปิดแหล่งข้อมูล 1")</x:f>
        <x:v>HYPERLINK is not implemented. linkLocation=https://makanhalalguide.com/shop/detail/5195, friendlyName=เปิดแหล่งข้อมูล 1</x:v>
      </x:c>
      <x:c r="L137" s="23" t="e">
        <x:f>HYPERLINK("https://www.thaithurkic.com/%E0%B8%9A%E0%B9%89%E0%B8%B2%E0%B8%99%E0%B8%81%E0%B8%B1%E0%B8%87%E0%B8%AB%E0%B8%B1%E0%B8%99%E0%B8%A7%E0%B8%B1%E0%B8%A5%E0%B9%80%E0%B8%A5%E0%B9%88%E0%B8%A2%E0%B9%8C-083-199-5750","เปิดแหล่งข้อมูล 2")</x:f>
        <x:v>HYPERLINK is not implemented. linkLocation=https://www.thaithurkic.com/%E0%B8%9A%E0%B9%89%E0%B8%B2%E0%B8%99%E0%B8%81%E0%B8%B1%E0%B8%87%E0%B8%AB%E0%B8%B1%E0%B8%99%E0%B8%A7%E0%B8%B1%E0%B8%A5%E0%B9%80%E0%B8%A5%E0%B9%88%E0%B8%A2%E0%B9%8C-083-199-5750, friendlyName=เปิดแหล่งข้อมูล 2</x:v>
      </x:c>
      <x:c r="M137" s="20" t="str">
        <x:v>ผลค้นหาชื่อสัมพันธ์จากแหล่งเพิ่มเติม ต้องยืนยันสาขาและข้อมูลปัจจุบัน</x:v>
      </x:c>
      <x:c r="N137" s="10" t="n">
        <x:v>46315</x:v>
      </x:c>
      <x:c r="O137" s="22" t="str">
        <x:v>ยังไม่ตรวจ</x:v>
      </x:c>
      <x:c r="P137" s="22" t="str">
        <x:v>ยังไม่ติดต่อ</x:v>
      </x:c>
    </x:row>
    <x:row r="138" ht="66" customHeight="1">
      <x:c r="A138" s="9" t="n">
        <x:v>130</x:v>
      </x:c>
      <x:c r="B138" s="20" t="str">
        <x:v>ป้าจันทร์ฮาลาล ช้างเผือก</x:v>
      </x:c>
      <x:c r="C138" s="20" t="str">
        <x:v>นครราชสีมา</x:v>
      </x:c>
      <x:c r="D138" s="20" t="str">
        <x:v>ร้านอาหาร</x:v>
      </x:c>
      <x:c r="E138" s="20" t="str">
        <x:v>Makan Verify; ระบุมีห้องละหมาด</x:v>
      </x:c>
      <x:c r="F138" s="20" t="str">
        <x:v>แหล่งข้อมูลระบุว่ามี</x:v>
      </x:c>
      <x:c r="G138" s="20" t="str">
        <x:v>ยังไม่พบเอกสารรับรองและวันหมดอายุ</x:v>
      </x:c>
      <x:c r="H13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8" s="20" t="str">
        <x:v>ถนนช้างเผือก ต.ในเมือง อ.เมือง จ.นครราชสีมา 30000 (ใกล้โรงพยาบาลมหาราชนครราชสีมา)</x:v>
      </x:c>
      <x:c r="J138" s="21" t="str">
        <x:v>0831894666</x:v>
      </x:c>
      <x:c r="K138" s="23" t="e">
        <x:f>HYPERLINK("https://makanhalalguide.com/shop/detail/6123","เปิดแหล่งข้อมูล 1")</x:f>
        <x:v>HYPERLINK is not implemented. linkLocation=https://makanhalalguide.com/shop/detail/6123, friendlyName=เปิดแหล่งข้อมูล 1</x:v>
      </x:c>
      <x:c r="L138" s="23" t="str"/>
      <x:c r="M138" s="20" t="str"/>
      <x:c r="N138" s="10" t="n">
        <x:v>46315</x:v>
      </x:c>
      <x:c r="O138" s="22" t="str">
        <x:v>ยังไม่ตรวจ</x:v>
      </x:c>
      <x:c r="P138" s="22" t="str">
        <x:v>ยังไม่ติดต่อ</x:v>
      </x:c>
    </x:row>
    <x:row r="139" ht="66" customHeight="1">
      <x:c r="A139" s="9" t="n">
        <x:v>131</x:v>
      </x:c>
      <x:c r="B139" s="20" t="str">
        <x:v>ฟอสซิล แคมป์</x:v>
      </x:c>
      <x:c r="C139" s="20" t="str">
        <x:v>นครราชสีมา</x:v>
      </x:c>
      <x:c r="D139" s="20" t="str">
        <x:v>ร้านอาหาร</x:v>
      </x:c>
      <x:c r="E139" s="20" t="str">
        <x:v>Makan Verify; ระบุมีห้องละหมาด</x:v>
      </x:c>
      <x:c r="F139" s="20" t="str">
        <x:v>แหล่งข้อมูลระบุว่ามี</x:v>
      </x:c>
      <x:c r="G139" s="20" t="str">
        <x:v>ยังไม่พบเอกสารรับรองและวันหมดอายุ</x:v>
      </x:c>
      <x:c r="H13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39" s="20" t="str">
        <x:v>336 ตำบล คลองไผ่ อำเภอสีคิ้ว นครราชสีมา 30340</x:v>
      </x:c>
      <x:c r="J139" s="21" t="str">
        <x:v>0837426588</x:v>
      </x:c>
      <x:c r="K139" s="23" t="e">
        <x:f>HYPERLINK("https://makanhalalguide.com/shop/detail/6237","เปิดแหล่งข้อมูล 1")</x:f>
        <x:v>HYPERLINK is not implemented. linkLocation=https://makanhalalguide.com/shop/detail/6237, friendlyName=เปิดแหล่งข้อมูล 1</x:v>
      </x:c>
      <x:c r="L139" s="23" t="e">
        <x:f>HYPERLINK("https://www.lemon8-app.com/%40matha_winn/7640515318569288209?region=th","เปิดแหล่งข้อมูล 2")</x:f>
        <x:v>HYPERLINK is not implemented. linkLocation=https://www.lemon8-app.com/%40matha_winn/7640515318569288209?region=th, friendlyName=เปิดแหล่งข้อมูล 2</x:v>
      </x:c>
      <x:c r="M139" s="20" t="str">
        <x:v>ผลค้นหาชื่อสัมพันธ์จากแหล่งเพิ่มเติม ต้องยืนยันสาขาและข้อมูลปัจจุบัน</x:v>
      </x:c>
      <x:c r="N139" s="10" t="n">
        <x:v>46315</x:v>
      </x:c>
      <x:c r="O139" s="22" t="str">
        <x:v>ยังไม่ตรวจ</x:v>
      </x:c>
      <x:c r="P139" s="22" t="str">
        <x:v>ยังไม่ติดต่อ</x:v>
      </x:c>
    </x:row>
    <x:row r="140" ht="91" customHeight="1">
      <x:c r="A140" s="9" t="n">
        <x:v>132</x:v>
      </x:c>
      <x:c r="B140" s="20" t="str">
        <x:v>ภูล้านดาวแคมป์ ณ เขายายเที่ยง</x:v>
      </x:c>
      <x:c r="C140" s="20" t="str">
        <x:v>นครราชสีมา</x:v>
      </x:c>
      <x:c r="D140" s="20" t="str">
        <x:v>ที่พัก (ตรวจประเภทจากชื่อและข้อมูลประกอบ)</x:v>
      </x:c>
      <x:c r="E140" s="20" t="str">
        <x:v>Makan Verify; ระบุมีห้องละหมาด</x:v>
      </x:c>
      <x:c r="F140" s="20" t="str">
        <x:v>แหล่งข้อมูลระบุว่ามี</x:v>
      </x:c>
      <x:c r="G140" s="20" t="str">
        <x:v>ยังไม่พบเอกสารรับรองและวันหมดอายุ</x:v>
      </x:c>
      <x:c r="H140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 / พบการโฆษณารับสัตว์เลี้ยง ต้องยืนยันห้องหรือหน่วยที่พักปลอดสัตว์เลี้ยงโดยเฉพาะ</x:v>
      </x:c>
      <x:c r="I140" s="20" t="str">
        <x:v>61/3 ม.10 ต.คลองไผ่ อ.สีคิ้ว จ.นครราชสีมา 30340</x:v>
      </x:c>
      <x:c r="J140" s="21" t="str">
        <x:v>0837426589</x:v>
      </x:c>
      <x:c r="K140" s="23" t="e">
        <x:f>HYPERLINK("https://makanhalalguide.com/shop/detail/5394","เปิดแหล่งข้อมูล 1")</x:f>
        <x:v>HYPERLINK is not implemented. linkLocation=https://makanhalalguide.com/shop/detail/5394, friendlyName=เปิดแหล่งข้อมูล 1</x:v>
      </x:c>
      <x:c r="L140" s="23" t="e">
        <x:f>HYPERLINK("https://www.lemon8-app.com/%4008nakhonratchasima/7379868697139216912?region=th","เปิดแหล่งข้อมูล 2")</x:f>
        <x:v>HYPERLINK is not implemented. linkLocation=https://www.lemon8-app.com/%4008nakhonratchasima/7379868697139216912?region=th, friendlyName=เปิดแหล่งข้อมูล 2</x:v>
      </x:c>
      <x:c r="M140" s="20" t="str">
        <x:v>ผลค้นหาชื่อสัมพันธ์จากแหล่งเพิ่มเติม ต้องยืนยันสาขาและข้อมูลปัจจุบัน</x:v>
      </x:c>
      <x:c r="N140" s="10" t="n">
        <x:v>46315</x:v>
      </x:c>
      <x:c r="O140" s="22" t="str">
        <x:v>ยังไม่ตรวจ</x:v>
      </x:c>
      <x:c r="P140" s="22" t="str">
        <x:v>ยังไม่ติดต่อ</x:v>
      </x:c>
    </x:row>
    <x:row r="141" ht="66" customHeight="1">
      <x:c r="A141" s="9" t="n">
        <x:v>133</x:v>
      </x:c>
      <x:c r="B141" s="20" t="str">
        <x:v>I Lay Resort Sichon</x:v>
      </x:c>
      <x:c r="C141" s="20" t="str">
        <x:v>นครศรีธรรมราช</x:v>
      </x:c>
      <x:c r="D141" s="20" t="str">
        <x:v>โรงแรมหรือรีสอร์ท</x:v>
      </x:c>
      <x:c r="E141" s="20" t="str">
        <x:v>มีรายชื่อใน Makan Halal Guide; ระบุมีห้องละหมาด</x:v>
      </x:c>
      <x:c r="F141" s="20" t="str">
        <x:v>แหล่งข้อมูลระบุว่ามี</x:v>
      </x:c>
      <x:c r="G141" s="20" t="str">
        <x:v>ยังไม่พบเอกสารรับรองและวันหมดอายุ</x:v>
      </x:c>
      <x:c r="H14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1" s="20" t="str">
        <x:v>ตำบล สิชล อำเภอ สิชล นครศรีธรรมราช 80120</x:v>
      </x:c>
      <x:c r="J141" s="21" t="str">
        <x:v>0966369689</x:v>
      </x:c>
      <x:c r="K141" s="23" t="e">
        <x:f>HYPERLINK("https://makanhalalguide.com/shop/detail/5941","เปิดแหล่งข้อมูล 1")</x:f>
        <x:v>HYPERLINK is not implemented. linkLocation=https://makanhalalguide.com/shop/detail/5941, friendlyName=เปิดแหล่งข้อมูล 1</x:v>
      </x:c>
      <x:c r="L141" s="23" t="e">
        <x:f>HYPERLINK("https://in.trip.com/moments/detail/nakhon-si-thammarat-1447082-134498184","เปิดแหล่งข้อมูล 2")</x:f>
        <x:v>HYPERLINK is not implemented. linkLocation=https://in.trip.com/moments/detail/nakhon-si-thammarat-1447082-134498184, friendlyName=เปิดแหล่งข้อมูล 2</x:v>
      </x:c>
      <x:c r="M141" s="20" t="str">
        <x:v>ผลค้นหาชื่อสัมพันธ์จากแหล่งเพิ่มเติม ต้องยืนยันสาขาและข้อมูลปัจจุบัน</x:v>
      </x:c>
      <x:c r="N141" s="10" t="n">
        <x:v>46315</x:v>
      </x:c>
      <x:c r="O141" s="22" t="str">
        <x:v>ยังไม่ตรวจ</x:v>
      </x:c>
      <x:c r="P141" s="22" t="str">
        <x:v>ยังไม่ติดต่อ</x:v>
      </x:c>
    </x:row>
    <x:row r="142" ht="66" customHeight="1">
      <x:c r="A142" s="9" t="n">
        <x:v>134</x:v>
      </x:c>
      <x:c r="B142" s="20" t="str">
        <x:v>Kamin Halal Kitchen House</x:v>
      </x:c>
      <x:c r="C142" s="20" t="str">
        <x:v>นครศรีธรรมราช</x:v>
      </x:c>
      <x:c r="D142" s="20" t="str">
        <x:v>ร้านอาหาร</x:v>
      </x:c>
      <x:c r="E142" s="20" t="str">
        <x:v>มีรายชื่อใน Makan Halal Guide; ระบุมีห้องละหมาด</x:v>
      </x:c>
      <x:c r="F142" s="20" t="str">
        <x:v>แหล่งข้อมูลระบุว่ามี</x:v>
      </x:c>
      <x:c r="G142" s="20" t="str">
        <x:v>ยังไม่พบเอกสารรับรองและวันหมดอายุ</x:v>
      </x:c>
      <x:c r="H14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2" s="20" t="str">
        <x:v>ซอย ประตูขาว 1 ตำบล คลัง อำเภอเมืองนครศรีธรรมราช นครศรีธรรมราช 80000</x:v>
      </x:c>
      <x:c r="J142" s="21" t="str">
        <x:v>0972867615</x:v>
      </x:c>
      <x:c r="K142" s="23" t="e">
        <x:f>HYPERLINK("https://makanhalalguide.com/shop/detail/5950","เปิดแหล่งข้อมูล 1")</x:f>
        <x:v>HYPERLINK is not implemented. linkLocation=https://makanhalalguide.com/shop/detail/5950, friendlyName=เปิดแหล่งข้อมูล 1</x:v>
      </x:c>
      <x:c r="L142" s="23" t="e">
        <x:f>HYPERLINK("https://es.restaurantguru.com/Kamin-halal-kitchen-house-Nakhon-Si-Thammarat","เปิดแหล่งข้อมูล 2")</x:f>
        <x:v>HYPERLINK is not implemented. linkLocation=https://es.restaurantguru.com/Kamin-halal-kitchen-house-Nakhon-Si-Thammarat, friendlyName=เปิดแหล่งข้อมูล 2</x:v>
      </x:c>
      <x:c r="M142" s="20" t="str">
        <x:v>ผลค้นหาชื่อสัมพันธ์จากแหล่งเพิ่มเติม ต้องยืนยันสาขาและข้อมูลปัจจุบัน</x:v>
      </x:c>
      <x:c r="N142" s="10" t="n">
        <x:v>46315</x:v>
      </x:c>
      <x:c r="O142" s="22" t="str">
        <x:v>ยังไม่ตรวจ</x:v>
      </x:c>
      <x:c r="P142" s="22" t="str">
        <x:v>ยังไม่ติดต่อ</x:v>
      </x:c>
    </x:row>
    <x:row r="143" ht="66" customHeight="1">
      <x:c r="A143" s="9" t="n">
        <x:v>135</x:v>
      </x:c>
      <x:c r="B143" s="20" t="str">
        <x:v>ของบังดี ฮาลาลช็อป นครศรีธรรมราช</x:v>
      </x:c>
      <x:c r="C143" s="20" t="str">
        <x:v>นครศรีธรรมราช</x:v>
      </x:c>
      <x:c r="D143" s="20" t="str">
        <x:v>ร้านอาหาร</x:v>
      </x:c>
      <x:c r="E143" s="20" t="str">
        <x:v>มีรายชื่อใน Makan Halal Guide; ระบุมีห้องละหมาด</x:v>
      </x:c>
      <x:c r="F143" s="20" t="str">
        <x:v>แหล่งข้อมูลระบุว่ามี</x:v>
      </x:c>
      <x:c r="G143" s="20" t="str">
        <x:v>ยังไม่พบเอกสารรับรองและวันหมดอายุ</x:v>
      </x:c>
      <x:c r="H14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3" s="20" t="str">
        <x:v>1/37 ถนน พัฒนาการคูขวาง 26 ซอยศรีนคร ตำบลคลัง ตำบลคลัง อำเอำเภอเมือง จังหวัดนครศรีธรรมราช 80000 (ประตูสีดำ จากปากซอย 100 เมตรอยู่ขวามือ)  </x:v>
      </x:c>
      <x:c r="J143" s="21" t="str">
        <x:v>0887612281</x:v>
      </x:c>
      <x:c r="K143" s="23" t="e">
        <x:f>HYPERLINK("https://makanhalalguide.com/shop/detail/4873","เปิดแหล่งข้อมูล 1")</x:f>
        <x:v>HYPERLINK is not implemented. linkLocation=https://makanhalalguide.com/shop/detail/4873, friendlyName=เปิดแหล่งข้อมูล 1</x:v>
      </x:c>
      <x:c r="L143" s="23" t="e">
        <x:f>HYPERLINK("https://www.wongnai.com/restaurants/737160fn-%E0%B8%A3%E0%B9%89%E0%B8%B2%E0%B8%99%E0%B8%82%E0%B8%AD%E0%B8%87%E0%B8%9A%E0%B8%B1%E0%B8%87%E0%B8%94%E0%B8%B5%E0%B8%84%E0%B8%B2%E0%B9%80%E0%B8%9F%E0%B9%88","เปิดแหล่งข้อมูล 2")</x:f>
        <x:v>HYPERLINK is not implemented. linkLocation=https://www.wongnai.com/restaurants/737160fn-%E0%B8%A3%E0%B9%89%E0%B8%B2%E0%B8%99%E0%B8%82%E0%B8%AD%E0%B8%87%E0%B8%9A%E0%B8%B1%E0%B8%87%E0%B8%94%E0%B8%B5%E0%B8%84%E0%B8%B2%E0%B9%80%E0%B8%9F%E0%B9%88, friendlyName=เปิดแหล่งข้อมูล 2</x:v>
      </x:c>
      <x:c r="M143" s="20" t="str">
        <x:v>ผลค้นหาชื่อสัมพันธ์จากแหล่งเพิ่มเติม ต้องยืนยันสาขาและข้อมูลปัจจุบัน</x:v>
      </x:c>
      <x:c r="N143" s="10" t="n">
        <x:v>46315</x:v>
      </x:c>
      <x:c r="O143" s="22" t="str">
        <x:v>ยังไม่ตรวจ</x:v>
      </x:c>
      <x:c r="P143" s="22" t="str">
        <x:v>ยังไม่ติดต่อ</x:v>
      </x:c>
    </x:row>
    <x:row r="144" ht="66" customHeight="1">
      <x:c r="A144" s="9" t="n">
        <x:v>136</x:v>
      </x:c>
      <x:c r="B144" s="20" t="str">
        <x:v>ข้าวซอยสุธินี</x:v>
      </x:c>
      <x:c r="C144" s="20" t="str">
        <x:v>นครศรีธรรมราช</x:v>
      </x:c>
      <x:c r="D144" s="20" t="str">
        <x:v>ร้านอาหาร</x:v>
      </x:c>
      <x:c r="E144" s="20" t="str">
        <x:v>มีรายชื่อใน Makan Halal Guide; ระบุมีห้องละหมาด</x:v>
      </x:c>
      <x:c r="F144" s="20" t="str">
        <x:v>แหล่งข้อมูลระบุว่ามี</x:v>
      </x:c>
      <x:c r="G144" s="20" t="str">
        <x:v>ยังไม่พบเอกสารรับรองและวันหมดอายุ</x:v>
      </x:c>
      <x:c r="H14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4" s="20" t="str">
        <x:v>หมู่บ้านเมืองทอง นครศรีธรรมราช ซอย วันดีโฆษิตกุลพร ตำบล ในเมือง อ.เมือง นครศรีธรรมราช 80000</x:v>
      </x:c>
      <x:c r="J144" s="21" t="str">
        <x:v>0803894810</x:v>
      </x:c>
      <x:c r="K144" s="23" t="e">
        <x:f>HYPERLINK("https://makanhalalguide.com/shop/detail/5930","เปิดแหล่งข้อมูล 1")</x:f>
        <x:v>HYPERLINK is not implemented. linkLocation=https://makanhalalguide.com/shop/detail/5930, friendlyName=เปิดแหล่งข้อมูล 1</x:v>
      </x:c>
      <x:c r="L144" s="23" t="e">
        <x:f>HYPERLINK("https://www.wongnai.com/restaurants/2960948Cm-%E0%B8%82%E0%B9%89%E0%B8%B2%E0%B8%A7%E0%B8%8B%E0%B8%AD%E0%B8%A2%E0%B8%AA%E0%B8%B8%E0%B8%98%E0%B8%B4%E0%B8%99%E0%B8%B5-%E0%B8%AE%E0%B8%B2%E0%B8%A5%E0%B8%B2%E0%B8%A5","เปิดแหล่งข้อมูล 2")</x:f>
        <x:v>HYPERLINK is not implemented. linkLocation=https://www.wongnai.com/restaurants/2960948Cm-%E0%B8%82%E0%B9%89%E0%B8%B2%E0%B8%A7%E0%B8%8B%E0%B8%AD%E0%B8%A2%E0%B8%AA%E0%B8%B8%E0%B8%98%E0%B8%B4%E0%B8%99%E0%B8%B5-%E0%B8%AE%E0%B8%B2%E0%B8%A5%E0%B8%B2%E0%B8%A5, friendlyName=เปิดแหล่งข้อมูล 2</x:v>
      </x:c>
      <x:c r="M144" s="20" t="str">
        <x:v>ผลค้นหาชื่อสัมพันธ์จากแหล่งเพิ่มเติม ต้องยืนยันสาขาและข้อมูลปัจจุบัน</x:v>
      </x:c>
      <x:c r="N144" s="10" t="n">
        <x:v>46315</x:v>
      </x:c>
      <x:c r="O144" s="22" t="str">
        <x:v>ยังไม่ตรวจ</x:v>
      </x:c>
      <x:c r="P144" s="22" t="str">
        <x:v>ยังไม่ติดต่อ</x:v>
      </x:c>
    </x:row>
    <x:row r="145" ht="66" customHeight="1">
      <x:c r="A145" s="9" t="n">
        <x:v>137</x:v>
      </x:c>
      <x:c r="B145" s="20" t="str">
        <x:v>จันทร์เจ้าขา ร้านอาหาร นครศรีธรรมราช</x:v>
      </x:c>
      <x:c r="C145" s="20" t="str">
        <x:v>นครศรีธรรมราช</x:v>
      </x:c>
      <x:c r="D145" s="20" t="str">
        <x:v>ร้านอาหาร</x:v>
      </x:c>
      <x:c r="E145" s="20" t="str">
        <x:v>มีรายชื่อใน Makan Halal Guide; ระบุมีห้องละหมาด</x:v>
      </x:c>
      <x:c r="F145" s="20" t="str">
        <x:v>แหล่งข้อมูลระบุว่ามี</x:v>
      </x:c>
      <x:c r="G145" s="20" t="str">
        <x:v>ยังไม่พบเอกสารรับรองและวันหมดอายุ</x:v>
      </x:c>
      <x:c r="H14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5" s="20" t="str">
        <x:v>243 โครงการไอบิสอเวนิว 70-71 ถนน กรแก้ว ในเมือง เมือง นครศรีธรรมราช 80000</x:v>
      </x:c>
      <x:c r="J145" s="21" t="str">
        <x:v>0956033068</x:v>
      </x:c>
      <x:c r="K145" s="23" t="e">
        <x:f>HYPERLINK("https://makanhalalguide.com/shop/detail/5937","เปิดแหล่งข้อมูล 1")</x:f>
        <x:v>HYPERLINK is not implemented. linkLocation=https://makanhalalguide.com/shop/detail/5937, friendlyName=เปิดแหล่งข้อมูล 1</x:v>
      </x:c>
      <x:c r="L145" s="23" t="str"/>
      <x:c r="M145" s="20" t="str"/>
      <x:c r="N145" s="10" t="n">
        <x:v>46315</x:v>
      </x:c>
      <x:c r="O145" s="22" t="str">
        <x:v>ยังไม่ตรวจ</x:v>
      </x:c>
      <x:c r="P145" s="22" t="str">
        <x:v>ยังไม่ติดต่อ</x:v>
      </x:c>
    </x:row>
    <x:row r="146" ht="66" customHeight="1">
      <x:c r="A146" s="9" t="n">
        <x:v>138</x:v>
      </x:c>
      <x:c r="B146" s="20" t="str">
        <x:v>ดั้งเดิม คาเฟ่ในสวนและขนมจีน</x:v>
      </x:c>
      <x:c r="C146" s="20" t="str">
        <x:v>นครศรีธรรมราช</x:v>
      </x:c>
      <x:c r="D146" s="20" t="str">
        <x:v>คาเฟ่และร้านของหวาน</x:v>
      </x:c>
      <x:c r="E146" s="20" t="str">
        <x:v>มีรายชื่อใน Makan Halal Guide; ระบุมีห้องละหมาด</x:v>
      </x:c>
      <x:c r="F146" s="20" t="str">
        <x:v>แหล่งข้อมูลระบุว่ามี</x:v>
      </x:c>
      <x:c r="G146" s="20" t="str">
        <x:v>ยังไม่พบเอกสารรับรองและวันหมดอายุ</x:v>
      </x:c>
      <x:c r="H14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6" s="20" t="str">
        <x:v>เยื้องตลาดชุมชนเกียเจริญ ตำบล ปากนคร อำเภอเมืองนครศรีธรรมราช นครศรีธรรมราช 80000</x:v>
      </x:c>
      <x:c r="J146" s="21" t="str">
        <x:v>0931452489</x:v>
      </x:c>
      <x:c r="K146" s="23" t="e">
        <x:f>HYPERLINK("https://makanhalalguide.com/shop/detail/5933","เปิดแหล่งข้อมูล 1")</x:f>
        <x:v>HYPERLINK is not implemented. linkLocation=https://makanhalalguide.com/shop/detail/5933, friendlyName=เปิดแหล่งข้อมูล 1</x:v>
      </x:c>
      <x:c r="L146" s="23" t="e">
        <x:f>HYPERLINK("https://www.wongnai.com/restaurants/1926745jf-%E0%B8%94%E0%B8%B1%E0%B9%89%E0%B8%87%E0%B9%80%E0%B8%94%E0%B8%B4%E0%B8%A1-%E0%B8%84%E0%B8%B2%E0%B9%80%E0%B8%9F%E0%B9%88%E0%B9%83%E0%B8%99%E0%B8%AA%E0%B8%A7%E0%B8%99%E0%B9%81%E0%B8%A5%E0%B8%B0%E0%B8%82%E0%B8%99%E0%B8%A1%E0%B8%88%E0%B8%B5%E0%B8%99-%E0%B8%96%E0%B8%99%E0%B8%99%E0%B9%80%E0%B8%97%E0%B8%B4%E0%B8%94%E0%B8%9E%E0%B8%A3%E0%B8%B0%E0%B9%80%E0%B8%81%E0%B8%B5%E0%B8%A2%E0%B8%A3%E0%B8%95%E0%B8%B4","เปิดแหล่งข้อมูล 2")</x:f>
        <x:v>HYPERLINK is not implemented. linkLocation=https://www.wongnai.com/restaurants/1926745jf-%E0%B8%94%E0%B8%B1%E0%B9%89%E0%B8%87%E0%B9%80%E0%B8%94%E0%B8%B4%E0%B8%A1-%E0%B8%84%E0%B8%B2%E0%B9%80%E0%B8%9F%E0%B9%88%E0%B9%83%E0%B8%99%E0%B8%AA%E0%B8%A7%E0%B8%99%E0%B9%81%E0%B8%A5%E0%B8%B0%E0%B8%82%E0%B8%99%E0%B8%A1%E0%B8%88%E0%B8%B5%E0%B8%99-%E0%B8%96%E0%B8%99%E0%B8%99%E0%B9%80%E0%B8%97%E0%B8%B4%E0%B8%94%E0%B8%9E%E0%B8%A3%E0%B8%B0%E0%B9%80%E0%B8%81%E0%B8%B5%E0%B8%A2%E0%B8%A3%E0%B8%95%E0%B8%B4, friendlyName=เปิดแหล่งข้อมูล 2</x:v>
      </x:c>
      <x:c r="M146" s="20" t="str">
        <x:v>ผลค้นหาชื่อสัมพันธ์จากแหล่งเพิ่มเติม ต้องยืนยันสาขาและข้อมูลปัจจุบัน</x:v>
      </x:c>
      <x:c r="N146" s="10" t="n">
        <x:v>46315</x:v>
      </x:c>
      <x:c r="O146" s="22" t="str">
        <x:v>ยังไม่ตรวจ</x:v>
      </x:c>
      <x:c r="P146" s="22" t="str">
        <x:v>ยังไม่ติดต่อ</x:v>
      </x:c>
    </x:row>
    <x:row r="147" ht="66" customHeight="1">
      <x:c r="A147" s="9" t="n">
        <x:v>139</x:v>
      </x:c>
      <x:c r="B147" s="20" t="str">
        <x:v>เพชรปิยะซีฟู้ด</x:v>
      </x:c>
      <x:c r="C147" s="20" t="str">
        <x:v>นครศรีธรรมราช</x:v>
      </x:c>
      <x:c r="D147" s="20" t="str">
        <x:v>ร้านอาหาร</x:v>
      </x:c>
      <x:c r="E147" s="20" t="str">
        <x:v>มีรายชื่อใน Makan Halal Guide; ระบุมีห้องละหมาด</x:v>
      </x:c>
      <x:c r="F147" s="20" t="str">
        <x:v>แหล่งข้อมูลระบุว่ามี</x:v>
      </x:c>
      <x:c r="G147" s="20" t="str">
        <x:v>ยังไม่พบเอกสารรับรองและวันหมดอายุ</x:v>
      </x:c>
      <x:c r="H14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7" s="20" t="str">
        <x:v>151/29 หมู่ที่ 13 ตำบล ท่าศาลา อำเภอท่าศาลา นครศรีธรรมราช 80160</x:v>
      </x:c>
      <x:c r="J147" s="21" t="str">
        <x:v>0836453239</x:v>
      </x:c>
      <x:c r="K147" s="23" t="e">
        <x:f>HYPERLINK("https://makanhalalguide.com/shop/detail/5940","เปิดแหล่งข้อมูล 1")</x:f>
        <x:v>HYPERLINK is not implemented. linkLocation=https://makanhalalguide.com/shop/detail/5940, friendlyName=เปิดแหล่งข้อมูล 1</x:v>
      </x:c>
      <x:c r="L147" s="23" t="e">
        <x:f>HYPERLINK("https://www.wongnai.com/reviews/f81a048ab3c94b1ca9ee8eb70aa52c83","เปิดแหล่งข้อมูล 2")</x:f>
        <x:v>HYPERLINK is not implemented. linkLocation=https://www.wongnai.com/reviews/f81a048ab3c94b1ca9ee8eb70aa52c83, friendlyName=เปิดแหล่งข้อมูล 2</x:v>
      </x:c>
      <x:c r="M147" s="20" t="str">
        <x:v>ผลค้นหาชื่อสัมพันธ์จากแหล่งเพิ่มเติม ต้องยืนยันสาขาและข้อมูลปัจจุบัน</x:v>
      </x:c>
      <x:c r="N147" s="10" t="n">
        <x:v>46315</x:v>
      </x:c>
      <x:c r="O147" s="22" t="str">
        <x:v>ยังไม่ตรวจ</x:v>
      </x:c>
      <x:c r="P147" s="22" t="str">
        <x:v>ยังไม่ติดต่อ</x:v>
      </x:c>
    </x:row>
    <x:row r="148" ht="66" customHeight="1">
      <x:c r="A148" s="9" t="n">
        <x:v>140</x:v>
      </x:c>
      <x:c r="B148" s="20" t="str">
        <x:v>Bed By Cruise Hotel at Samakkhi-Tivanont</x:v>
      </x:c>
      <x:c r="C148" s="20" t="str">
        <x:v>นนทบุรี</x:v>
      </x:c>
      <x:c r="D148" s="20" t="str">
        <x:v>โรงแรมหรือรีสอร์ท</x:v>
      </x:c>
      <x:c r="E148" s="20" t="str">
        <x:v>Makan Verify; ระบุมีห้องละหมาด</x:v>
      </x:c>
      <x:c r="F148" s="20" t="str">
        <x:v>แหล่งข้อมูลระบุว่ามี</x:v>
      </x:c>
      <x:c r="G148" s="20" t="str">
        <x:v>ยังไม่พบเอกสารรับรองและวันหมดอายุ</x:v>
      </x:c>
      <x:c r="H14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8" s="20" t="str">
        <x:v>169,ถนนติวานนท์ ตำบลท่าทราย, อำเภอเมือง, จังหวัดนนทบุรี 11000 (ตรงข้ามซอยสามัคคี)</x:v>
      </x:c>
      <x:c r="J148" s="21" t="str">
        <x:v>029513322</x:v>
      </x:c>
      <x:c r="K148" s="23" t="e">
        <x:f>HYPERLINK("https://makanhalalguide.com/shop/detail/5190","เปิดแหล่งข้อมูล 1")</x:f>
        <x:v>HYPERLINK is not implemented. linkLocation=https://makanhalalguide.com/shop/detail/5190, friendlyName=เปิดแหล่งข้อมูล 1</x:v>
      </x:c>
      <x:c r="L148" s="23" t="e">
        <x:f>HYPERLINK("https://www.booking.com/hotel/th/bed-by-cruise-samakkhi-tivanont.th.html","เปิดแหล่งข้อมูล 2")</x:f>
        <x:v>HYPERLINK is not implemented. linkLocation=https://www.booking.com/hotel/th/bed-by-cruise-samakkhi-tivanont.th.html, friendlyName=เปิดแหล่งข้อมูล 2</x:v>
      </x:c>
      <x:c r="M148" s="20" t="str">
        <x:v>ผลค้นหาชื่อสัมพันธ์จากแหล่งเพิ่มเติม ต้องยืนยันสาขาและข้อมูลปัจจุบัน</x:v>
      </x:c>
      <x:c r="N148" s="10" t="n">
        <x:v>46315</x:v>
      </x:c>
      <x:c r="O148" s="22" t="str">
        <x:v>ยังไม่ตรวจ</x:v>
      </x:c>
      <x:c r="P148" s="22" t="str">
        <x:v>ยังไม่ติดต่อ</x:v>
      </x:c>
    </x:row>
    <x:row r="149" ht="66" customHeight="1">
      <x:c r="A149" s="9" t="n">
        <x:v>141</x:v>
      </x:c>
      <x:c r="B149" s="20" t="str">
        <x:v>Ma Non Nont Hotel and Apartment</x:v>
      </x:c>
      <x:c r="C149" s="20" t="str">
        <x:v>นนทบุรี</x:v>
      </x:c>
      <x:c r="D149" s="20" t="str">
        <x:v>โรงแรมหรือรีสอร์ท</x:v>
      </x:c>
      <x:c r="E149" s="20" t="str">
        <x:v>Makan Verify; ระบุมีห้องละหมาด</x:v>
      </x:c>
      <x:c r="F149" s="20" t="str">
        <x:v>แหล่งข้อมูลระบุว่ามี</x:v>
      </x:c>
      <x:c r="G149" s="20" t="str">
        <x:v>ยังไม่พบเอกสารรับรองและวันหมดอายุ</x:v>
      </x:c>
      <x:c r="H14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49" s="20" t="str">
        <x:v>376 ถ. ติวานนท์ ท่าทราย เมือง, นนทบุรี 11000</x:v>
      </x:c>
      <x:c r="J149" s="21" t="str">
        <x:v>029524551</x:v>
      </x:c>
      <x:c r="K149" s="23" t="e">
        <x:f>HYPERLINK("https://makanhalalguide.com/shop/detail/5373","เปิดแหล่งข้อมูล 1")</x:f>
        <x:v>HYPERLINK is not implemented. linkLocation=https://makanhalalguide.com/shop/detail/5373, friendlyName=เปิดแหล่งข้อมูล 1</x:v>
      </x:c>
      <x:c r="L149" s="23" t="e">
        <x:f>HYPERLINK("https://www.agoda.com/ma-non-nont-hotel-and-apartment/hotel/nonthaburi-th.html","เปิดแหล่งข้อมูล 2")</x:f>
        <x:v>HYPERLINK is not implemented. linkLocation=https://www.agoda.com/ma-non-nont-hotel-and-apartment/hotel/nonthaburi-th.html, friendlyName=เปิดแหล่งข้อมูล 2</x:v>
      </x:c>
      <x:c r="M149" s="20" t="str">
        <x:v>ผลค้นหาชื่อสัมพันธ์จากแหล่งเพิ่มเติม ต้องยืนยันสาขาและข้อมูลปัจจุบัน</x:v>
      </x:c>
      <x:c r="N149" s="10" t="n">
        <x:v>46315</x:v>
      </x:c>
      <x:c r="O149" s="22" t="str">
        <x:v>ยังไม่ตรวจ</x:v>
      </x:c>
      <x:c r="P149" s="22" t="str">
        <x:v>ยังไม่ติดต่อ</x:v>
      </x:c>
    </x:row>
    <x:row r="150" ht="66" customHeight="1">
      <x:c r="A150" s="9" t="n">
        <x:v>142</x:v>
      </x:c>
      <x:c r="B150" s="20" t="str">
        <x:v>Arnani Cafe X Burger Kitor</x:v>
      </x:c>
      <x:c r="C150" s="20" t="str">
        <x:v>นนทบุรี</x:v>
      </x:c>
      <x:c r="D150" s="20" t="str">
        <x:v>คาเฟ่และร้านของหวาน</x:v>
      </x:c>
      <x:c r="E150" s="20" t="str">
        <x:v>มีรายชื่อใน Makan Halal Guide; ระบุมีห้องละหมาด</x:v>
      </x:c>
      <x:c r="F150" s="20" t="str">
        <x:v>แหล่งข้อมูลระบุว่ามี</x:v>
      </x:c>
      <x:c r="G150" s="20" t="str">
        <x:v>ยังไม่พบเอกสารรับรองและวันหมดอายุ</x:v>
      </x:c>
      <x:c r="H15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0" s="20" t="str">
        <x:v>ซอยท่าอิฐ 31 ก่อนถึงวัดท่าอิฐ อยู่ติดกับโรงเรียนอนุบาลอามานี่ ตำบลท่าอิฐ อำเภอปากเกร็ด นนทบุรี 11120</x:v>
      </x:c>
      <x:c r="J150" s="21" t="str">
        <x:v>0826617030</x:v>
      </x:c>
      <x:c r="K150" s="23" t="e">
        <x:f>HYPERLINK("https://makanhalalguide.com/shop/detail/5847","เปิดแหล่งข้อมูล 1")</x:f>
        <x:v>HYPERLINK is not implemented. linkLocation=https://makanhalalguide.com/shop/detail/5847, friendlyName=เปิดแหล่งข้อมูล 1</x:v>
      </x:c>
      <x:c r="L150" s="23" t="str"/>
      <x:c r="M150" s="20" t="str"/>
      <x:c r="N150" s="10" t="n">
        <x:v>46315</x:v>
      </x:c>
      <x:c r="O150" s="22" t="str">
        <x:v>ยังไม่ตรวจ</x:v>
      </x:c>
      <x:c r="P150" s="22" t="str">
        <x:v>ยังไม่ติดต่อ</x:v>
      </x:c>
    </x:row>
    <x:row r="151" ht="66" customHeight="1">
      <x:c r="A151" s="9" t="n">
        <x:v>143</x:v>
      </x:c>
      <x:c r="B151" s="20" t="str">
        <x:v>Butcher boy บุฟเฟ่ต์เนื้อดรายเอจ สาขา ราชพฤกษ์</x:v>
      </x:c>
      <x:c r="C151" s="20" t="str">
        <x:v>นนทบุรี</x:v>
      </x:c>
      <x:c r="D151" s="20" t="str">
        <x:v>ร้านอาหาร</x:v>
      </x:c>
      <x:c r="E151" s="20" t="str">
        <x:v>Makan Verify; ระบุมีห้องละหมาด</x:v>
      </x:c>
      <x:c r="F151" s="20" t="str">
        <x:v>แหล่งข้อมูลระบุว่ามี</x:v>
      </x:c>
      <x:c r="G151" s="20" t="str">
        <x:v>ยังไม่พบเอกสารรับรองและวันหมดอายุ</x:v>
      </x:c>
      <x:c r="H15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1" s="20" t="str">
        <x:v>ชั้น 1 โฮมโปรราชพฤกษ์ ตำบลบางขุนกอง อำเภอบางกรวย จังหวัดนนทบุรี 11130</x:v>
      </x:c>
      <x:c r="J151" s="21" t="str">
        <x:v>0614153368</x:v>
      </x:c>
      <x:c r="K151" s="23" t="e">
        <x:f>HYPERLINK("https://makanhalalguide.com/shop/detail/5399","เปิดแหล่งข้อมูล 1")</x:f>
        <x:v>HYPERLINK is not implemented. linkLocation=https://makanhalalguide.com/shop/detail/5399, friendlyName=เปิดแหล่งข้อมูล 1</x:v>
      </x:c>
      <x:c r="L151" s="23" t="e">
        <x:f>HYPERLINK("https://www.wongnai.com/reviews/317f976a39784e4d8f91194c4b56ef93","เปิดแหล่งข้อมูล 2")</x:f>
        <x:v>HYPERLINK is not implemented. linkLocation=https://www.wongnai.com/reviews/317f976a39784e4d8f91194c4b56ef93, friendlyName=เปิดแหล่งข้อมูล 2</x:v>
      </x:c>
      <x:c r="M151" s="20" t="str">
        <x:v>ผลค้นหาชื่อสัมพันธ์จากแหล่งเพิ่มเติม ต้องยืนยันสาขาและข้อมูลปัจจุบัน</x:v>
      </x:c>
      <x:c r="N151" s="10" t="n">
        <x:v>46315</x:v>
      </x:c>
      <x:c r="O151" s="22" t="str">
        <x:v>ยังไม่ตรวจ</x:v>
      </x:c>
      <x:c r="P151" s="22" t="str">
        <x:v>ยังไม่ติดต่อ</x:v>
      </x:c>
    </x:row>
    <x:row r="152" ht="66" customHeight="1">
      <x:c r="A152" s="9" t="n">
        <x:v>144</x:v>
      </x:c>
      <x:c r="B152" s="20" t="str">
        <x:v>C-Kids Village</x:v>
      </x:c>
      <x:c r="C152" s="20" t="str">
        <x:v>นนทบุรี</x:v>
      </x:c>
      <x:c r="D152" s="20" t="str">
        <x:v>ร้านอาหาร</x:v>
      </x:c>
      <x:c r="E152" s="20" t="str">
        <x:v>Makan Verify; ระบุมีห้องละหมาด</x:v>
      </x:c>
      <x:c r="F152" s="20" t="str">
        <x:v>แหล่งข้อมูลระบุว่ามี</x:v>
      </x:c>
      <x:c r="G152" s="20" t="str">
        <x:v>ยังไม่พบเอกสารรับรองและวันหมดอายุ</x:v>
      </x:c>
      <x:c r="H15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2" s="20" t="str">
        <x:v>ซอยข้างการไฟฟ้าบางบัวทอง  หรือ เข้าทางโครงการ visda park ตรงเข้ามาในสุดตามป้ายบอกทาง 9 บางบัวทอง 10-11 หมู่5 ถนนบางกรวย - ไทรน้อย ตำบล บางบัวทอง อำเภอบางบัวทอง นนทบุรี 11110</x:v>
      </x:c>
      <x:c r="J152" s="21" t="str">
        <x:v>0953344081</x:v>
      </x:c>
      <x:c r="K152" s="23" t="e">
        <x:f>HYPERLINK("https://makanhalalguide.com/shop/detail/5510","เปิดแหล่งข้อมูล 1")</x:f>
        <x:v>HYPERLINK is not implemented. linkLocation=https://makanhalalguide.com/shop/detail/5510, friendlyName=เปิดแหล่งข้อมูล 1</x:v>
      </x:c>
      <x:c r="L152" s="23" t="e">
        <x:f>HYPERLINK("https://www.lemon8-app.com/%40polivenaka05/7529524243144065554?region=th","เปิดแหล่งข้อมูล 2")</x:f>
        <x:v>HYPERLINK is not implemented. linkLocation=https://www.lemon8-app.com/%40polivenaka05/7529524243144065554?region=th, friendlyName=เปิดแหล่งข้อมูล 2</x:v>
      </x:c>
      <x:c r="M152" s="20" t="str">
        <x:v>ผลค้นหาชื่อสัมพันธ์จากแหล่งเพิ่มเติม ต้องยืนยันสาขาและข้อมูลปัจจุบัน</x:v>
      </x:c>
      <x:c r="N152" s="10" t="n">
        <x:v>46315</x:v>
      </x:c>
      <x:c r="O152" s="22" t="str">
        <x:v>ยังไม่ตรวจ</x:v>
      </x:c>
      <x:c r="P152" s="22" t="str">
        <x:v>ยังไม่ติดต่อ</x:v>
      </x:c>
    </x:row>
    <x:row r="153" ht="66" customHeight="1">
      <x:c r="A153" s="9" t="n">
        <x:v>145</x:v>
      </x:c>
      <x:c r="B153" s="20" t="str">
        <x:v>Churn Dimsum Halal</x:v>
      </x:c>
      <x:c r="C153" s="20" t="str">
        <x:v>นนทบุรี</x:v>
      </x:c>
      <x:c r="D153" s="20" t="str">
        <x:v>ร้านอาหาร</x:v>
      </x:c>
      <x:c r="E153" s="20" t="str">
        <x:v>Makan Verify; ระบุมีห้องละหมาด</x:v>
      </x:c>
      <x:c r="F153" s="20" t="str">
        <x:v>แหล่งข้อมูลระบุว่ามี</x:v>
      </x:c>
      <x:c r="G153" s="20" t="str">
        <x:v>ยังไม่พบเอกสารรับรองและวันหมดอายุ</x:v>
      </x:c>
      <x:c r="H15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3" s="20" t="str">
        <x:v>ถนนชัยพฤกษ์ ตำบล ละหาร อำเภอบางบัวทอง นนทบุรี 11110</x:v>
      </x:c>
      <x:c r="J153" s="21" t="str">
        <x:v>0889954466</x:v>
      </x:c>
      <x:c r="K153" s="23" t="e">
        <x:f>HYPERLINK("https://makanhalalguide.com/shop/detail/4947","เปิดแหล่งข้อมูล 1")</x:f>
        <x:v>HYPERLINK is not implemented. linkLocation=https://makanhalalguide.com/shop/detail/4947, friendlyName=เปิดแหล่งข้อมูล 1</x:v>
      </x:c>
      <x:c r="L153" s="23" t="e">
        <x:f>HYPERLINK("https://www.wongnai.com/restaurants/3015524KQ-churn-dimsum-halal-%E0%B9%80%E0%B8%8A%E0%B8%B4%E0%B8%8D-%E0%B8%95%E0%B8%B4%E0%B9%88%E0%B8%A1%E0%B8%8B%E0%B8%B3-%E0%B8%AE%E0%B8%B2%E0%B8%A5%E0%B8%B2%E0%B8%A5","เปิดแหล่งข้อมูล 2")</x:f>
        <x:v>HYPERLINK is not implemented. linkLocation=https://www.wongnai.com/restaurants/3015524KQ-churn-dimsum-halal-%E0%B9%80%E0%B8%8A%E0%B8%B4%E0%B8%8D-%E0%B8%95%E0%B8%B4%E0%B9%88%E0%B8%A1%E0%B8%8B%E0%B8%B3-%E0%B8%AE%E0%B8%B2%E0%B8%A5%E0%B8%B2%E0%B8%A5, friendlyName=เปิดแหล่งข้อมูล 2</x:v>
      </x:c>
      <x:c r="M153" s="20" t="str">
        <x:v>ผลค้นหาชื่อสัมพันธ์จากแหล่งเพิ่มเติม ต้องยืนยันสาขาและข้อมูลปัจจุบัน</x:v>
      </x:c>
      <x:c r="N153" s="10" t="n">
        <x:v>46315</x:v>
      </x:c>
      <x:c r="O153" s="22" t="str">
        <x:v>ยังไม่ตรวจ</x:v>
      </x:c>
      <x:c r="P153" s="22" t="str">
        <x:v>ยังไม่ติดต่อ</x:v>
      </x:c>
    </x:row>
    <x:row r="154" ht="66" customHeight="1">
      <x:c r="A154" s="9" t="n">
        <x:v>146</x:v>
      </x:c>
      <x:c r="B154" s="20" t="str">
        <x:v>Ikhlas House ครัวบ้านอิคลาส</x:v>
      </x:c>
      <x:c r="C154" s="20" t="str">
        <x:v>นนทบุรี</x:v>
      </x:c>
      <x:c r="D154" s="20" t="str">
        <x:v>ร้านอาหาร</x:v>
      </x:c>
      <x:c r="E154" s="20" t="str">
        <x:v>Makan Verify; ระบุมีห้องละหมาด</x:v>
      </x:c>
      <x:c r="F154" s="20" t="str">
        <x:v>แหล่งข้อมูลระบุว่ามี</x:v>
      </x:c>
      <x:c r="G154" s="20" t="str">
        <x:v>ยังไม่พบเอกสารรับรองและวันหมดอายุ</x:v>
      </x:c>
      <x:c r="H15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4" s="20" t="str">
        <x:v>ตำบลละหาร อำเภอบางบัวทอง นนทบุรี 11110 (กล้โรงเรียนประสานสามัคคีวิทยา, ตรงข้ามมัสยิดอุ้ลยา)</x:v>
      </x:c>
      <x:c r="J154" s="21" t="str">
        <x:v>0909836272</x:v>
      </x:c>
      <x:c r="K154" s="23" t="e">
        <x:f>HYPERLINK("https://makanhalalguide.com/shop/detail/6293","เปิดแหล่งข้อมูล 1")</x:f>
        <x:v>HYPERLINK is not implemented. linkLocation=https://makanhalalguide.com/shop/detail/6293, friendlyName=เปิดแหล่งข้อมูล 1</x:v>
      </x:c>
      <x:c r="L154" s="23" t="e">
        <x:f>HYPERLINK("https://www.wongnai.com/restaurants/594950NG-ikhlas-house-%E0%B8%84%E0%B8%A3%E0%B8%B1%E0%B8%A7%E0%B8%9A%E0%B9%89%E0%B8%B2%E0%B8%99%E0%B8%AD%E0%B8%B4%E0%B8%84%E0%B8%A5%E0%B8%B2%E0%B8%AA","เปิดแหล่งข้อมูล 2")</x:f>
        <x:v>HYPERLINK is not implemented. linkLocation=https://www.wongnai.com/restaurants/594950NG-ikhlas-house-%E0%B8%84%E0%B8%A3%E0%B8%B1%E0%B8%A7%E0%B8%9A%E0%B9%89%E0%B8%B2%E0%B8%99%E0%B8%AD%E0%B8%B4%E0%B8%84%E0%B8%A5%E0%B8%B2%E0%B8%AA, friendlyName=เปิดแหล่งข้อมูล 2</x:v>
      </x:c>
      <x:c r="M154" s="20" t="str">
        <x:v>ผลค้นหาชื่อสัมพันธ์จากแหล่งเพิ่มเติม ต้องยืนยันสาขาและข้อมูลปัจจุบัน</x:v>
      </x:c>
      <x:c r="N154" s="10" t="n">
        <x:v>46315</x:v>
      </x:c>
      <x:c r="O154" s="22" t="str">
        <x:v>ยังไม่ตรวจ</x:v>
      </x:c>
      <x:c r="P154" s="22" t="str">
        <x:v>ยังไม่ติดต่อ</x:v>
      </x:c>
    </x:row>
    <x:row r="155" ht="66" customHeight="1">
      <x:c r="A155" s="9" t="n">
        <x:v>147</x:v>
      </x:c>
      <x:c r="B155" s="20" t="str">
        <x:v>Intania Home</x:v>
      </x:c>
      <x:c r="C155" s="20" t="str">
        <x:v>นนทบุรี</x:v>
      </x:c>
      <x:c r="D155" s="20" t="str">
        <x:v>ร้านอาหาร</x:v>
      </x:c>
      <x:c r="E155" s="20" t="str">
        <x:v>Makan Verify; ระบุมีห้องละหมาด</x:v>
      </x:c>
      <x:c r="F155" s="20" t="str">
        <x:v>แหล่งข้อมูลระบุว่ามี</x:v>
      </x:c>
      <x:c r="G155" s="20" t="str">
        <x:v>ยังไม่พบเอกสารรับรองและวันหมดอายุ</x:v>
      </x:c>
      <x:c r="H15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5" s="20" t="str">
        <x:v>ถนนสามัคคี ซอย 1 ตำบลท่าทราย อำเภอเมืองนนทบุรี จังหวัดนนทบุรี 11000</x:v>
      </x:c>
      <x:c r="J155" s="21" t="str">
        <x:v>0994812633</x:v>
      </x:c>
      <x:c r="K155" s="23" t="e">
        <x:f>HYPERLINK("https://makanhalalguide.com/shop/detail/5908","เปิดแหล่งข้อมูล 1")</x:f>
        <x:v>HYPERLINK is not implemented. linkLocation=https://makanhalalguide.com/shop/detail/5908, friendlyName=เปิดแหล่งข้อมูล 1</x:v>
      </x:c>
      <x:c r="L155" s="23" t="str"/>
      <x:c r="M155" s="20" t="str"/>
      <x:c r="N155" s="10" t="n">
        <x:v>46315</x:v>
      </x:c>
      <x:c r="O155" s="22" t="str">
        <x:v>ยังไม่ตรวจ</x:v>
      </x:c>
      <x:c r="P155" s="22" t="str">
        <x:v>ยังไม่ติดต่อ</x:v>
      </x:c>
    </x:row>
    <x:row r="156" ht="66" customHeight="1">
      <x:c r="A156" s="9" t="n">
        <x:v>148</x:v>
      </x:c>
      <x:c r="B156" s="20" t="str">
        <x:v>Labani</x:v>
      </x:c>
      <x:c r="C156" s="20" t="str">
        <x:v>นนทบุรี</x:v>
      </x:c>
      <x:c r="D156" s="20" t="str">
        <x:v>ร้านอาหาร</x:v>
      </x:c>
      <x:c r="E156" s="20" t="str">
        <x:v>Makan Verify; ระบุมีห้องละหมาด</x:v>
      </x:c>
      <x:c r="F156" s="20" t="str">
        <x:v>แหล่งข้อมูลระบุว่ามี</x:v>
      </x:c>
      <x:c r="G156" s="20" t="str">
        <x:v>ยังไม่พบเอกสารรับรองและวันหมดอายุ</x:v>
      </x:c>
      <x:c r="H15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6" s="20" t="str">
        <x:v>25/20-21 ถนนรัตนาธิเบศร์ ตำบลบางกระสอ อำเภอเมือง จังหวัดนนทบุรี 11000 (อยู่ใกล้ๆ กับโชว์รูม Nissan )</x:v>
      </x:c>
      <x:c r="J156" s="21" t="str">
        <x:v>0987505565</x:v>
      </x:c>
      <x:c r="K156" s="23" t="e">
        <x:f>HYPERLINK("https://makanhalalguide.com/shop/detail/5710","เปิดแหล่งข้อมูล 1")</x:f>
        <x:v>HYPERLINK is not implemented. linkLocation=https://makanhalalguide.com/shop/detail/5710, friendlyName=เปิดแหล่งข้อมูล 1</x:v>
      </x:c>
      <x:c r="L156" s="23" t="str"/>
      <x:c r="M156" s="20" t="str"/>
      <x:c r="N156" s="10" t="n">
        <x:v>46315</x:v>
      </x:c>
      <x:c r="O156" s="22" t="str">
        <x:v>ยังไม่ตรวจ</x:v>
      </x:c>
      <x:c r="P156" s="22" t="str">
        <x:v>ยังไม่ติดต่อ</x:v>
      </x:c>
    </x:row>
    <x:row r="157" ht="66" customHeight="1">
      <x:c r="A157" s="9" t="n">
        <x:v>149</x:v>
      </x:c>
      <x:c r="B157" s="20" t="str">
        <x:v>Lawang cafe"&amp; Bistro</x:v>
      </x:c>
      <x:c r="C157" s="20" t="str">
        <x:v>นนทบุรี</x:v>
      </x:c>
      <x:c r="D157" s="20" t="str">
        <x:v>คาเฟ่และร้านของหวาน</x:v>
      </x:c>
      <x:c r="E157" s="20" t="str">
        <x:v>มีรายชื่อใน Makan Halal Guide; ระบุมีห้องละหมาด</x:v>
      </x:c>
      <x:c r="F157" s="20" t="str">
        <x:v>แหล่งข้อมูลระบุว่ามี</x:v>
      </x:c>
      <x:c r="G157" s="20" t="str">
        <x:v>ยังไม่พบเอกสารรับรองและวันหมดอายุ</x:v>
      </x:c>
      <x:c r="H15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7" s="20" t="str">
        <x:v>42 ม.6 ตำบลท่าอิฐ อำเภอปากเกร็ด นนทบุรี 11120 (ริมเขื่อนท่าน้ำมัสยิดท่าอิฐ)</x:v>
      </x:c>
      <x:c r="J157" s="21" t="str">
        <x:v>0860047078</x:v>
      </x:c>
      <x:c r="K157" s="23" t="e">
        <x:f>HYPERLINK("https://makanhalalguide.com/shop/detail/5283","เปิดแหล่งข้อมูล 1")</x:f>
        <x:v>HYPERLINK is not implemented. linkLocation=https://makanhalalguide.com/shop/detail/5283, friendlyName=เปิดแหล่งข้อมูล 1</x:v>
      </x:c>
      <x:c r="L157" s="23" t="str"/>
      <x:c r="M157" s="20" t="str"/>
      <x:c r="N157" s="10" t="n">
        <x:v>46315</x:v>
      </x:c>
      <x:c r="O157" s="22" t="str">
        <x:v>ยังไม่ตรวจ</x:v>
      </x:c>
      <x:c r="P157" s="22" t="str">
        <x:v>ยังไม่ติดต่อ</x:v>
      </x:c>
    </x:row>
    <x:row r="158" ht="66" customHeight="1">
      <x:c r="A158" s="9" t="n">
        <x:v>150</x:v>
      </x:c>
      <x:c r="B158" s="20" t="str">
        <x:v>M's Flame Burger</x:v>
      </x:c>
      <x:c r="C158" s="20" t="str">
        <x:v>นนทบุรี</x:v>
      </x:c>
      <x:c r="D158" s="20" t="str">
        <x:v>ร้านอาหาร</x:v>
      </x:c>
      <x:c r="E158" s="20" t="str">
        <x:v>Makan Verify; ระบุมีห้องละหมาด</x:v>
      </x:c>
      <x:c r="F158" s="20" t="str">
        <x:v>แหล่งข้อมูลระบุว่ามี</x:v>
      </x:c>
      <x:c r="G158" s="20" t="str">
        <x:v>ยังไม่พบเอกสารรับรองและวันหมดอายุ</x:v>
      </x:c>
      <x:c r="H15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8" s="20" t="str">
        <x:v>เลขที่ 42/15 อพาร์ทเม้นท์สี่พี่น้อง หมู่ที่ 3 ซ.ประเสริฐอิสลาม ต.บางตลาด อ.ปากเกร็ด จ.นนทบุรี 11120</x:v>
      </x:c>
      <x:c r="J158" s="21" t="str">
        <x:v>0816480688</x:v>
      </x:c>
      <x:c r="K158" s="23" t="e">
        <x:f>HYPERLINK("https://makanhalalguide.com/shop/detail/5665","เปิดแหล่งข้อมูล 1")</x:f>
        <x:v>HYPERLINK is not implemented. linkLocation=https://makanhalalguide.com/shop/detail/5665, friendlyName=เปิดแหล่งข้อมูล 1</x:v>
      </x:c>
      <x:c r="L158" s="23" t="e">
        <x:f>HYPERLINK("https://salaamthailand.com/id/place/halal-burger-mflame-dzk-ki/","เปิดแหล่งข้อมูล 2")</x:f>
        <x:v>HYPERLINK is not implemented. linkLocation=https://salaamthailand.com/id/place/halal-burger-mflame-dzk-ki/, friendlyName=เปิดแหล่งข้อมูล 2</x:v>
      </x:c>
      <x:c r="M158" s="20" t="str">
        <x:v>ผลค้นหาชื่อสัมพันธ์จากแหล่งเพิ่มเติม ต้องยืนยันสาขาและข้อมูลปัจจุบัน</x:v>
      </x:c>
      <x:c r="N158" s="10" t="n">
        <x:v>46315</x:v>
      </x:c>
      <x:c r="O158" s="22" t="str">
        <x:v>ยังไม่ตรวจ</x:v>
      </x:c>
      <x:c r="P158" s="22" t="str">
        <x:v>ยังไม่ติดต่อ</x:v>
      </x:c>
    </x:row>
    <x:row r="159" ht="66" customHeight="1">
      <x:c r="A159" s="9" t="n">
        <x:v>151</x:v>
      </x:c>
      <x:c r="B159" s="20" t="str">
        <x:v>Maldi thai</x:v>
      </x:c>
      <x:c r="C159" s="20" t="str">
        <x:v>นนทบุรี</x:v>
      </x:c>
      <x:c r="D159" s="20" t="str">
        <x:v>ร้านอาหาร</x:v>
      </x:c>
      <x:c r="E159" s="20" t="str">
        <x:v>มีรายชื่อใน Makan Halal Guide; ระบุมีห้องละหมาด</x:v>
      </x:c>
      <x:c r="F159" s="20" t="str">
        <x:v>แหล่งข้อมูลระบุว่ามี</x:v>
      </x:c>
      <x:c r="G159" s="20" t="str">
        <x:v>ยังไม่พบเอกสารรับรองและวันหมดอายุ</x:v>
      </x:c>
      <x:c r="H15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59" s="20" t="str">
        <x:v>53/13 บาง ใหญ่ซิตี้ ซอย 7 ตำบล เสาธงหิน อำเภอบางใหญ่ นนทบุรี 11140 (ร้านสีเขียวติดกับร้านเลี่ยมพระ ตรงข้ามกับกรมที่ดินยางใหญ่)</x:v>
      </x:c>
      <x:c r="J159" s="21" t="str">
        <x:v>0806587840</x:v>
      </x:c>
      <x:c r="K159" s="23" t="e">
        <x:f>HYPERLINK("https://makanhalalguide.com/shop/detail/6324","เปิดแหล่งข้อมูล 1")</x:f>
        <x:v>HYPERLINK is not implemented. linkLocation=https://makanhalalguide.com/shop/detail/6324, friendlyName=เปิดแหล่งข้อมูล 1</x:v>
      </x:c>
      <x:c r="L159" s="23" t="str"/>
      <x:c r="M159" s="20" t="str"/>
      <x:c r="N159" s="10" t="n">
        <x:v>46315</x:v>
      </x:c>
      <x:c r="O159" s="22" t="str">
        <x:v>ยังไม่ตรวจ</x:v>
      </x:c>
      <x:c r="P159" s="22" t="str">
        <x:v>ยังไม่ติดต่อ</x:v>
      </x:c>
    </x:row>
    <x:row r="160" ht="66" customHeight="1">
      <x:c r="A160" s="9" t="n">
        <x:v>152</x:v>
      </x:c>
      <x:c r="B160" s="20" t="str">
        <x:v>Moozna เนื้อย่างโคขุน สาขาซอยวากั๊ฟ</x:v>
      </x:c>
      <x:c r="C160" s="20" t="str">
        <x:v>นนทบุรี</x:v>
      </x:c>
      <x:c r="D160" s="20" t="str">
        <x:v>ร้านอาหาร</x:v>
      </x:c>
      <x:c r="E160" s="20" t="str">
        <x:v>มีรายชื่อใน Makan Halal Guide; ระบุมีห้องละหมาด</x:v>
      </x:c>
      <x:c r="F160" s="20" t="str">
        <x:v>แหล่งข้อมูลระบุว่ามี</x:v>
      </x:c>
      <x:c r="G160" s="20" t="str">
        <x:v>ยังไม่พบเอกสารรับรองและวันหมดอายุ</x:v>
      </x:c>
      <x:c r="H16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0" s="20" t="str">
        <x:v>48/14 ม.5 ซอยวาก้าฟ ต.พิมลราช อ.บางบัวทอง จ.นนทบุรี 11110</x:v>
      </x:c>
      <x:c r="J160" s="21" t="str">
        <x:v>0826299722</x:v>
      </x:c>
      <x:c r="K160" s="23" t="e">
        <x:f>HYPERLINK("https://makanhalalguide.com/shop/detail/5691","เปิดแหล่งข้อมูล 1")</x:f>
        <x:v>HYPERLINK is not implemented. linkLocation=https://makanhalalguide.com/shop/detail/5691, friendlyName=เปิดแหล่งข้อมูล 1</x:v>
      </x:c>
      <x:c r="L160" s="23" t="str"/>
      <x:c r="M160" s="20" t="str"/>
      <x:c r="N160" s="10" t="n">
        <x:v>46315</x:v>
      </x:c>
      <x:c r="O160" s="22" t="str">
        <x:v>ยังไม่ตรวจ</x:v>
      </x:c>
      <x:c r="P160" s="22" t="str">
        <x:v>ยังไม่ติดต่อ</x:v>
      </x:c>
    </x:row>
    <x:row r="161" ht="66" customHeight="1">
      <x:c r="A161" s="9" t="n">
        <x:v>153</x:v>
      </x:c>
      <x:c r="B161" s="20" t="str">
        <x:v>OUR TIME CAFE</x:v>
      </x:c>
      <x:c r="C161" s="20" t="str">
        <x:v>นนทบุรี</x:v>
      </x:c>
      <x:c r="D161" s="20" t="str">
        <x:v>คาเฟ่และร้านของหวาน</x:v>
      </x:c>
      <x:c r="E161" s="20" t="str">
        <x:v>Makan Verify; ระบุมีห้องละหมาด</x:v>
      </x:c>
      <x:c r="F161" s="20" t="str">
        <x:v>แหล่งข้อมูลระบุว่ามี</x:v>
      </x:c>
      <x:c r="G161" s="20" t="str">
        <x:v>ยังไม่พบเอกสารรับรองและวันหมดอายุ</x:v>
      </x:c>
      <x:c r="H16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1" s="20" t="str">
        <x:v>สามแยกวัดแสงสิริธรรม ซอยบ้านท่าอิฐ-บ้านไทรม้า โยธาธิการ ตำบล ท่าอิฐ อำเภอปากเกร็ด นนทบุรี 11120</x:v>
      </x:c>
      <x:c r="J161" s="21" t="str">
        <x:v>0984730422</x:v>
      </x:c>
      <x:c r="K161" s="23" t="e">
        <x:f>HYPERLINK("https://makanhalalguide.com/shop/detail/6190","เปิดแหล่งข้อมูล 1")</x:f>
        <x:v>HYPERLINK is not implemented. linkLocation=https://makanhalalguide.com/shop/detail/6190, friendlyName=เปิดแหล่งข้อมูล 1</x:v>
      </x:c>
      <x:c r="L161" s="23" t="e">
        <x:f>HYPERLINK("https://restaurantguru.com/Our-time-Cafe-Tha-It-Nonthaburi","เปิดแหล่งข้อมูล 2")</x:f>
        <x:v>HYPERLINK is not implemented. linkLocation=https://restaurantguru.com/Our-time-Cafe-Tha-It-Nonthaburi, friendlyName=เปิดแหล่งข้อมูล 2</x:v>
      </x:c>
      <x:c r="M161" s="20" t="str">
        <x:v>ผลค้นหาชื่อสัมพันธ์จากแหล่งเพิ่มเติม ต้องยืนยันสาขาและข้อมูลปัจจุบัน</x:v>
      </x:c>
      <x:c r="N161" s="10" t="n">
        <x:v>46315</x:v>
      </x:c>
      <x:c r="O161" s="22" t="str">
        <x:v>ยังไม่ตรวจ</x:v>
      </x:c>
      <x:c r="P161" s="22" t="str">
        <x:v>ยังไม่ติดต่อ</x:v>
      </x:c>
    </x:row>
    <x:row r="162" ht="66" customHeight="1">
      <x:c r="A162" s="9" t="n">
        <x:v>154</x:v>
      </x:c>
      <x:c r="B162" s="20" t="str">
        <x:v>Regent Ngamwongwan</x:v>
      </x:c>
      <x:c r="C162" s="20" t="str">
        <x:v>นนทบุรี</x:v>
      </x:c>
      <x:c r="D162" s="20" t="str">
        <x:v>ที่พัก (ตรวจประเภทจากชื่อและข้อมูลประกอบ)</x:v>
      </x:c>
      <x:c r="E162" s="20" t="str">
        <x:v>Makan Verify; ระบุมีห้องละหมาด</x:v>
      </x:c>
      <x:c r="F162" s="20" t="str">
        <x:v>แหล่งข้อมูลระบุว่ามี</x:v>
      </x:c>
      <x:c r="G162" s="20" t="str">
        <x:v>ยังไม่พบเอกสารรับรองและวันหมดอายุ</x:v>
      </x:c>
      <x:c r="H162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162" s="20" t="str">
        <x:v>9/1-201 ซ. งามวงศ์วาน 9 บางกระสอ อำเภอเมืองนนทบุรี นนทบุรี 11000</x:v>
      </x:c>
      <x:c r="J162" s="21" t="str">
        <x:v>0833057679</x:v>
      </x:c>
      <x:c r="K162" s="23" t="e">
        <x:f>HYPERLINK("https://makanhalalguide.com/shop/detail/5372","เปิดแหล่งข้อมูล 1")</x:f>
        <x:v>HYPERLINK is not implemented. linkLocation=https://makanhalalguide.com/shop/detail/5372, friendlyName=เปิดแหล่งข้อมูล 1</x:v>
      </x:c>
      <x:c r="L162" s="23" t="e">
        <x:f>HYPERLINK("https://www.booking.com/hotel/th/regent-ngamwongwan.th.html","เปิดแหล่งข้อมูล 2")</x:f>
        <x:v>HYPERLINK is not implemented. linkLocation=https://www.booking.com/hotel/th/regent-ngamwongwan.th.html, friendlyName=เปิดแหล่งข้อมูล 2</x:v>
      </x:c>
      <x:c r="M162" s="20" t="str">
        <x:v>ผลค้นหาชื่อสัมพันธ์จากแหล่งเพิ่มเติม ต้องยืนยันสาขาและข้อมูลปัจจุบัน</x:v>
      </x:c>
      <x:c r="N162" s="10" t="n">
        <x:v>46315</x:v>
      </x:c>
      <x:c r="O162" s="22" t="str">
        <x:v>ยังไม่ตรวจ</x:v>
      </x:c>
      <x:c r="P162" s="22" t="str">
        <x:v>ยังไม่ติดต่อ</x:v>
      </x:c>
    </x:row>
    <x:row r="163" ht="66" customHeight="1">
      <x:c r="A163" s="9" t="n">
        <x:v>155</x:v>
      </x:c>
      <x:c r="B163" s="20" t="str">
        <x:v>Tonnam Cafe</x:v>
      </x:c>
      <x:c r="C163" s="20" t="str">
        <x:v>นนทบุรี</x:v>
      </x:c>
      <x:c r="D163" s="20" t="str">
        <x:v>คาเฟ่และร้านของหวาน</x:v>
      </x:c>
      <x:c r="E163" s="20" t="str">
        <x:v>Makan Verify; ระบุมีห้องละหมาด</x:v>
      </x:c>
      <x:c r="F163" s="20" t="str">
        <x:v>แหล่งข้อมูลระบุว่ามี</x:v>
      </x:c>
      <x:c r="G163" s="20" t="str">
        <x:v>ยังไม่พบเอกสารรับรองและวันหมดอายุ</x:v>
      </x:c>
      <x:c r="H16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3" s="20" t="str">
        <x:v>ตลาดต้นไม้เอมพันธ์การ์เด้น 115 ตำบลบ้านใหม่ อำเภอปากเกร็ด นนทบุรี 11120</x:v>
      </x:c>
      <x:c r="J163" s="21" t="str">
        <x:v>0813563723</x:v>
      </x:c>
      <x:c r="K163" s="23" t="e">
        <x:f>HYPERLINK("https://makanhalalguide.com/shop/detail/6251","เปิดแหล่งข้อมูล 1")</x:f>
        <x:v>HYPERLINK is not implemented. linkLocation=https://makanhalalguide.com/shop/detail/6251, friendlyName=เปิดแหล่งข้อมูล 1</x:v>
      </x:c>
      <x:c r="L163" s="23" t="e">
        <x:f>HYPERLINK("https://www.wongnai.com/restaurants/2557135Lv-tonnam-cafe-bakery-halal","เปิดแหล่งข้อมูล 2")</x:f>
        <x:v>HYPERLINK is not implemented. linkLocation=https://www.wongnai.com/restaurants/2557135Lv-tonnam-cafe-bakery-halal, friendlyName=เปิดแหล่งข้อมูล 2</x:v>
      </x:c>
      <x:c r="M163" s="20" t="str">
        <x:v>ผลค้นหาชื่อสัมพันธ์จากแหล่งเพิ่มเติม ต้องยืนยันสาขาและข้อมูลปัจจุบัน</x:v>
      </x:c>
      <x:c r="N163" s="10" t="n">
        <x:v>46315</x:v>
      </x:c>
      <x:c r="O163" s="22" t="str">
        <x:v>ยังไม่ตรวจ</x:v>
      </x:c>
      <x:c r="P163" s="22" t="str">
        <x:v>ยังไม่ติดต่อ</x:v>
      </x:c>
    </x:row>
    <x:row r="164" ht="66" customHeight="1">
      <x:c r="A164" s="9" t="n">
        <x:v>156</x:v>
      </x:c>
      <x:c r="B164" s="20" t="str">
        <x:v>Zam.Cafe : Slowbar n' Specialty Coffee</x:v>
      </x:c>
      <x:c r="C164" s="20" t="str">
        <x:v>นนทบุรี</x:v>
      </x:c>
      <x:c r="D164" s="20" t="str">
        <x:v>คาเฟ่และร้านของหวาน</x:v>
      </x:c>
      <x:c r="E164" s="20" t="str">
        <x:v>Makan Verify; ระบุมีห้องละหมาด</x:v>
      </x:c>
      <x:c r="F164" s="20" t="str">
        <x:v>แหล่งข้อมูลระบุว่ามี</x:v>
      </x:c>
      <x:c r="G164" s="20" t="str">
        <x:v>ยังไม่พบเอกสารรับรองและวันหมดอายุ</x:v>
      </x:c>
      <x:c r="H16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4" s="20" t="str">
        <x:v>หน้าร้านมารีน่าชาบู ถนนติวานนท์ซอย 48 ซอยสถิตยุทธการ3 (ซอยสามัคคี18 ท่าทราย, เมือง อำเภอเมืองนนทบุรี นนทบุรี 11000</x:v>
      </x:c>
      <x:c r="J164" s="21" t="str">
        <x:v>0970427176</x:v>
      </x:c>
      <x:c r="K164" s="23" t="e">
        <x:f>HYPERLINK("https://makanhalalguide.com/shop/detail/5890","เปิดแหล่งข้อมูล 1")</x:f>
        <x:v>HYPERLINK is not implemented. linkLocation=https://makanhalalguide.com/shop/detail/5890, friendlyName=เปิดแหล่งข้อมูล 1</x:v>
      </x:c>
      <x:c r="L164" s="23" t="e">
        <x:f>HYPERLINK("https://www.findglocal.com/TH/Nonthaburi/145270068677512/Zam.Cafe-%3A-Slowbar-n%27-Specialty-Coffee","เปิดแหล่งข้อมูล 2")</x:f>
        <x:v>HYPERLINK is not implemented. linkLocation=https://www.findglocal.com/TH/Nonthaburi/145270068677512/Zam.Cafe-%3A-Slowbar-n%27-Specialty-Coffee, friendlyName=เปิดแหล่งข้อมูล 2</x:v>
      </x:c>
      <x:c r="M164" s="20" t="str">
        <x:v>ผลค้นหาชื่อสัมพันธ์จากแหล่งเพิ่มเติม ต้องยืนยันสาขาและข้อมูลปัจจุบัน</x:v>
      </x:c>
      <x:c r="N164" s="10" t="n">
        <x:v>46315</x:v>
      </x:c>
      <x:c r="O164" s="22" t="str">
        <x:v>ยังไม่ตรวจ</x:v>
      </x:c>
      <x:c r="P164" s="22" t="str">
        <x:v>ยังไม่ติดต่อ</x:v>
      </x:c>
    </x:row>
    <x:row r="165" ht="66" customHeight="1">
      <x:c r="A165" s="9" t="n">
        <x:v>157</x:v>
      </x:c>
      <x:c r="B165" s="20" t="str">
        <x:v>salamah ข้าวขาวัว</x:v>
      </x:c>
      <x:c r="C165" s="20" t="str">
        <x:v>นนทบุรี</x:v>
      </x:c>
      <x:c r="D165" s="20" t="str">
        <x:v>ร้านอาหาร</x:v>
      </x:c>
      <x:c r="E165" s="20" t="str">
        <x:v>Makan Verify; ระบุมีห้องละหมาด</x:v>
      </x:c>
      <x:c r="F165" s="20" t="str">
        <x:v>แหล่งข้อมูลระบุว่ามี</x:v>
      </x:c>
      <x:c r="G165" s="20" t="str">
        <x:v>ยังไม่พบเอกสารรับรองและวันหมดอายุ</x:v>
      </x:c>
      <x:c r="H16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5" s="20" t="str">
        <x:v>ซอยบ้านท่าอิฐ-บ้านไทรม้า ถนนโยธาธิการ นนทบุรี สายท่าอิฐ ตำบล บางรักน้อย อำเภอเมืองนนทบุรี นนทบุรี 11120</x:v>
      </x:c>
      <x:c r="J165" s="21" t="str">
        <x:v>0932737080</x:v>
      </x:c>
      <x:c r="K165" s="23" t="e">
        <x:f>HYPERLINK("https://makanhalalguide.com/shop/detail/6192","เปิดแหล่งข้อมูล 1")</x:f>
        <x:v>HYPERLINK is not implemented. linkLocation=https://makanhalalguide.com/shop/detail/6192, friendlyName=เปิดแหล่งข้อมูล 1</x:v>
      </x:c>
      <x:c r="L165" s="23" t="str"/>
      <x:c r="M165" s="20" t="str"/>
      <x:c r="N165" s="10" t="n">
        <x:v>46315</x:v>
      </x:c>
      <x:c r="O165" s="22" t="str">
        <x:v>ยังไม่ตรวจ</x:v>
      </x:c>
      <x:c r="P165" s="22" t="str">
        <x:v>ยังไม่ติดต่อ</x:v>
      </x:c>
    </x:row>
    <x:row r="166" ht="66" customHeight="1">
      <x:c r="A166" s="9" t="n">
        <x:v>158</x:v>
      </x:c>
      <x:c r="B166" s="20" t="str">
        <x:v>กะเพราพริกแห้ง ฮาลาล</x:v>
      </x:c>
      <x:c r="C166" s="20" t="str">
        <x:v>นนทบุรี</x:v>
      </x:c>
      <x:c r="D166" s="20" t="str">
        <x:v>ร้านอาหาร</x:v>
      </x:c>
      <x:c r="E166" s="20" t="str">
        <x:v>Makan Verify; ระบุมีห้องละหมาด</x:v>
      </x:c>
      <x:c r="F166" s="20" t="str">
        <x:v>แหล่งข้อมูลระบุว่ามี</x:v>
      </x:c>
      <x:c r="G166" s="20" t="str">
        <x:v>ยังไม่พบเอกสารรับรองและวันหมดอายุ</x:v>
      </x:c>
      <x:c r="H16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6" s="20" t="str">
        <x:v>62 สุขาประชาสรรค์ 3 ตำบลบางพูด อำเภอปากเกร็ด นนทบุรี 11120</x:v>
      </x:c>
      <x:c r="J166" s="21" t="str">
        <x:v>0858214666</x:v>
      </x:c>
      <x:c r="K166" s="23" t="e">
        <x:f>HYPERLINK("https://makanhalalguide.com/shop/detail/6110","เปิดแหล่งข้อมูล 1")</x:f>
        <x:v>HYPERLINK is not implemented. linkLocation=https://makanhalalguide.com/shop/detail/6110, friendlyName=เปิดแหล่งข้อมูล 1</x:v>
      </x:c>
      <x:c r="L166" s="23" t="str"/>
      <x:c r="M166" s="20" t="str"/>
      <x:c r="N166" s="10" t="n">
        <x:v>46315</x:v>
      </x:c>
      <x:c r="O166" s="22" t="str">
        <x:v>ยังไม่ตรวจ</x:v>
      </x:c>
      <x:c r="P166" s="22" t="str">
        <x:v>ยังไม่ติดต่อ</x:v>
      </x:c>
    </x:row>
    <x:row r="167" ht="66" customHeight="1">
      <x:c r="A167" s="9" t="n">
        <x:v>159</x:v>
      </x:c>
      <x:c r="B167" s="20" t="str">
        <x:v>ก๋วยเตี๋ยวอามีนะห์</x:v>
      </x:c>
      <x:c r="C167" s="20" t="str">
        <x:v>นนทบุรี</x:v>
      </x:c>
      <x:c r="D167" s="20" t="str">
        <x:v>ร้านอาหาร</x:v>
      </x:c>
      <x:c r="E167" s="20" t="str">
        <x:v>มีรายชื่อใน Makan Halal Guide; ระบุมีห้องละหมาด</x:v>
      </x:c>
      <x:c r="F167" s="20" t="str">
        <x:v>แหล่งข้อมูลระบุว่ามี</x:v>
      </x:c>
      <x:c r="G167" s="20" t="str">
        <x:v>ยังไม่พบเอกสารรับรองและวันหมดอายุ</x:v>
      </x:c>
      <x:c r="H16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7" s="20" t="str">
        <x:v>ตั้งอยู่ติดกับมัสยิดฮิดายะตุ้ลอุมมะฮ์(ตลาดขวัญ)  ตำบลบางกระสอ อำเภอเมืองนนทบุรี จังหวัดนนทบุรี 11000</x:v>
      </x:c>
      <x:c r="J167" s="21" t="str">
        <x:v>0954533105</x:v>
      </x:c>
      <x:c r="K167" s="23" t="e">
        <x:f>HYPERLINK("https://makanhalalguide.com/shop/detail/6344","เปิดแหล่งข้อมูล 1")</x:f>
        <x:v>HYPERLINK is not implemented. linkLocation=https://makanhalalguide.com/shop/detail/6344, friendlyName=เปิดแหล่งข้อมูล 1</x:v>
      </x:c>
      <x:c r="L167" s="23" t="str"/>
      <x:c r="M167" s="20" t="str"/>
      <x:c r="N167" s="10" t="n">
        <x:v>46315</x:v>
      </x:c>
      <x:c r="O167" s="22" t="str">
        <x:v>ยังไม่ตรวจ</x:v>
      </x:c>
      <x:c r="P167" s="22" t="str">
        <x:v>ยังไม่ติดต่อ</x:v>
      </x:c>
    </x:row>
    <x:row r="168" ht="66" customHeight="1">
      <x:c r="A168" s="9" t="n">
        <x:v>160</x:v>
      </x:c>
      <x:c r="B168" s="20" t="str">
        <x:v>ก๋วยเตี๋ยวเรือฮิปปี้ by วาซิล</x:v>
      </x:c>
      <x:c r="C168" s="20" t="str">
        <x:v>นนทบุรี</x:v>
      </x:c>
      <x:c r="D168" s="20" t="str">
        <x:v>ร้านอาหาร</x:v>
      </x:c>
      <x:c r="E168" s="20" t="str">
        <x:v>มีรายชื่อใน Makan Halal Guide; ระบุมีห้องละหมาด</x:v>
      </x:c>
      <x:c r="F168" s="20" t="str">
        <x:v>แหล่งข้อมูลระบุว่ามี</x:v>
      </x:c>
      <x:c r="G168" s="20" t="str">
        <x:v>ยังไม่พบเอกสารรับรองและวันหมดอายุ</x:v>
      </x:c>
      <x:c r="H16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8" s="20" t="str">
        <x:v>73/9 12 ถนน คสล. เลียบคลองลำลีหมู่ 12 ตำบล บางบัวทอง อำเภอบางบัวทอง นนทบุรี 11110</x:v>
      </x:c>
      <x:c r="J168" s="21" t="str">
        <x:v>0896709542</x:v>
      </x:c>
      <x:c r="K168" s="23" t="e">
        <x:f>HYPERLINK("https://makanhalalguide.com/shop/detail/5610","เปิดแหล่งข้อมูล 1")</x:f>
        <x:v>HYPERLINK is not implemented. linkLocation=https://makanhalalguide.com/shop/detail/5610, friendlyName=เปิดแหล่งข้อมูล 1</x:v>
      </x:c>
      <x:c r="L168" s="23" t="str"/>
      <x:c r="M168" s="20" t="str"/>
      <x:c r="N168" s="10" t="n">
        <x:v>46315</x:v>
      </x:c>
      <x:c r="O168" s="22" t="str">
        <x:v>ยังไม่ตรวจ</x:v>
      </x:c>
      <x:c r="P168" s="22" t="str">
        <x:v>ยังไม่ติดต่อ</x:v>
      </x:c>
    </x:row>
    <x:row r="169" ht="66" customHeight="1">
      <x:c r="A169" s="9" t="n">
        <x:v>161</x:v>
      </x:c>
      <x:c r="B169" s="20" t="str">
        <x:v>ครัวซำซี</x:v>
      </x:c>
      <x:c r="C169" s="20" t="str">
        <x:v>นนทบุรี</x:v>
      </x:c>
      <x:c r="D169" s="20" t="str">
        <x:v>ร้านอาหาร</x:v>
      </x:c>
      <x:c r="E169" s="20" t="str">
        <x:v>Makan Verify; ระบุมีห้องละหมาด</x:v>
      </x:c>
      <x:c r="F169" s="20" t="str">
        <x:v>แหล่งข้อมูลระบุว่ามี</x:v>
      </x:c>
      <x:c r="G169" s="20" t="str">
        <x:v>ยังไม่พบเอกสารรับรองและวันหมดอายุ</x:v>
      </x:c>
      <x:c r="H16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69" s="20" t="str">
        <x:v>ตำบลโสนลอย อำเภอบางบัวทอง จังหวัดนนทบุรี 11110</x:v>
      </x:c>
      <x:c r="J169" s="21" t="str">
        <x:v>0851212791</x:v>
      </x:c>
      <x:c r="K169" s="23" t="e">
        <x:f>HYPERLINK("https://makanhalalguide.com/shop/detail/4957","เปิดแหล่งข้อมูล 1")</x:f>
        <x:v>HYPERLINK is not implemented. linkLocation=https://makanhalalguide.com/shop/detail/4957, friendlyName=เปิดแหล่งข้อมูล 1</x:v>
      </x:c>
      <x:c r="L169" s="23" t="str"/>
      <x:c r="M169" s="20" t="str"/>
      <x:c r="N169" s="10" t="n">
        <x:v>46315</x:v>
      </x:c>
      <x:c r="O169" s="22" t="str">
        <x:v>ยังไม่ตรวจ</x:v>
      </x:c>
      <x:c r="P169" s="22" t="str">
        <x:v>ยังไม่ติดต่อ</x:v>
      </x:c>
    </x:row>
    <x:row r="170" ht="66" customHeight="1">
      <x:c r="A170" s="9" t="n">
        <x:v>162</x:v>
      </x:c>
      <x:c r="B170" s="20" t="str">
        <x:v>นูรรีญันนะห์</x:v>
      </x:c>
      <x:c r="C170" s="20" t="str">
        <x:v>นนทบุรี</x:v>
      </x:c>
      <x:c r="D170" s="20" t="str">
        <x:v>ร้านอาหาร</x:v>
      </x:c>
      <x:c r="E170" s="20" t="str">
        <x:v>Makan Verify; ระบุมีห้องละหมาด</x:v>
      </x:c>
      <x:c r="F170" s="20" t="str">
        <x:v>แหล่งข้อมูลระบุว่ามี</x:v>
      </x:c>
      <x:c r="G170" s="20" t="str">
        <x:v>ยังไม่พบเอกสารรับรองและวันหมดอายุ</x:v>
      </x:c>
      <x:c r="H17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0" s="20" t="str">
        <x:v>ถนนนนทบุรี 1 บางกระสอ อำเภอเมืองนนทบุรี นนทบุรี 11000</x:v>
      </x:c>
      <x:c r="J170" s="21" t="str">
        <x:v>0972317916</x:v>
      </x:c>
      <x:c r="K170" s="23" t="e">
        <x:f>HYPERLINK("https://makanhalalguide.com/shop/detail/6346","เปิดแหล่งข้อมูล 1")</x:f>
        <x:v>HYPERLINK is not implemented. linkLocation=https://makanhalalguide.com/shop/detail/6346, friendlyName=เปิดแหล่งข้อมูล 1</x:v>
      </x:c>
      <x:c r="L170" s="23" t="str"/>
      <x:c r="M170" s="20" t="str"/>
      <x:c r="N170" s="10" t="n">
        <x:v>46315</x:v>
      </x:c>
      <x:c r="O170" s="22" t="str">
        <x:v>ยังไม่ตรวจ</x:v>
      </x:c>
      <x:c r="P170" s="22" t="str">
        <x:v>ยังไม่ติดต่อ</x:v>
      </x:c>
    </x:row>
    <x:row r="171" ht="66" customHeight="1">
      <x:c r="A171" s="9" t="n">
        <x:v>163</x:v>
      </x:c>
      <x:c r="B171" s="20" t="str">
        <x:v>ฟาตินชิ้นสะดุ้ง สาขา นนทบุรี แยกบางพลู</x:v>
      </x:c>
      <x:c r="C171" s="20" t="str">
        <x:v>นนทบุรี</x:v>
      </x:c>
      <x:c r="D171" s="20" t="str">
        <x:v>ร้านอาหาร</x:v>
      </x:c>
      <x:c r="E171" s="20" t="str">
        <x:v>Makan Verify; ระบุมีห้องละหมาด</x:v>
      </x:c>
      <x:c r="F171" s="20" t="str">
        <x:v>แหล่งข้อมูลระบุว่ามี</x:v>
      </x:c>
      <x:c r="G171" s="20" t="str">
        <x:v>ยังไม่พบเอกสารรับรองและวันหมดอายุ</x:v>
      </x:c>
      <x:c r="H17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1" s="20" t="str">
        <x:v>แยกบางพลู (ข้างวัดโมลี) 57 ถนนบางกรวย - ไทรน้อย ตำบลบางรักใหญ่ อำเภอบางบัวทอง จังหวัดนนทบุรี 11110
</x:v>
      </x:c>
      <x:c r="J171" s="21" t="str">
        <x:v>0847514488</x:v>
      </x:c>
      <x:c r="K171" s="23" t="e">
        <x:f>HYPERLINK("https://makanhalalguide.com/shop/detail/5355","เปิดแหล่งข้อมูล 1")</x:f>
        <x:v>HYPERLINK is not implemented. linkLocation=https://makanhalalguide.com/shop/detail/5355, friendlyName=เปิดแหล่งข้อมูล 1</x:v>
      </x:c>
      <x:c r="L171" s="23" t="e">
        <x:f>HYPERLINK("https://www.lemon8-app.com/%40passaworn_p/7434833828264395265?region=th","เปิดแหล่งข้อมูล 2")</x:f>
        <x:v>HYPERLINK is not implemented. linkLocation=https://www.lemon8-app.com/%40passaworn_p/7434833828264395265?region=th, friendlyName=เปิดแหล่งข้อมูล 2</x:v>
      </x:c>
      <x:c r="M171" s="20" t="str">
        <x:v>ผลค้นหาชื่อสัมพันธ์จากแหล่งเพิ่มเติม ต้องยืนยันสาขาและข้อมูลปัจจุบัน</x:v>
      </x:c>
      <x:c r="N171" s="10" t="n">
        <x:v>46315</x:v>
      </x:c>
      <x:c r="O171" s="22" t="str">
        <x:v>ยังไม่ตรวจ</x:v>
      </x:c>
      <x:c r="P171" s="22" t="str">
        <x:v>ยังไม่ติดต่อ</x:v>
      </x:c>
    </x:row>
    <x:row r="172" ht="66" customHeight="1">
      <x:c r="A172" s="9" t="n">
        <x:v>164</x:v>
      </x:c>
      <x:c r="B172" s="20" t="str">
        <x:v>วีอาร์เอ็น คาเฟ่</x:v>
      </x:c>
      <x:c r="C172" s="20" t="str">
        <x:v>นนทบุรี</x:v>
      </x:c>
      <x:c r="D172" s="20" t="str">
        <x:v>คาเฟ่และร้านของหวาน</x:v>
      </x:c>
      <x:c r="E172" s="20" t="str">
        <x:v>มีรายชื่อใน Makan Halal Guide; ระบุมีห้องละหมาด</x:v>
      </x:c>
      <x:c r="F172" s="20" t="str">
        <x:v>แหล่งข้อมูลระบุว่ามี</x:v>
      </x:c>
      <x:c r="G172" s="20" t="str">
        <x:v>ยังไม่พบเอกสารรับรองและวันหมดอายุ</x:v>
      </x:c>
      <x:c r="H17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2" s="20" t="str">
        <x:v>สนามฟุตบอล VRN Arena 99/55  หมู่ 3 ซอยโรงหมี่ ถนนบางบัวทอง-ไทรน้อย ตำบลบางบัวทอง อำเภอบางบัวทอง จังหวัดนนทบุรี 11110 (เข้ามาในซอยโรงหมี่  ถนน ไทรน้อย ร้านตั้งอยู่ในสนามฟุตบอล VRN ARENA)</x:v>
      </x:c>
      <x:c r="J172" s="21" t="str">
        <x:v>0817616291</x:v>
      </x:c>
      <x:c r="K172" s="23" t="e">
        <x:f>HYPERLINK("https://makanhalalguide.com/shop/detail/6202","เปิดแหล่งข้อมูล 1")</x:f>
        <x:v>HYPERLINK is not implemented. linkLocation=https://makanhalalguide.com/shop/detail/6202, friendlyName=เปิดแหล่งข้อมูล 1</x:v>
      </x:c>
      <x:c r="L172" s="23" t="str"/>
      <x:c r="M172" s="20" t="str"/>
      <x:c r="N172" s="10" t="n">
        <x:v>46315</x:v>
      </x:c>
      <x:c r="O172" s="22" t="str">
        <x:v>ยังไม่ตรวจ</x:v>
      </x:c>
      <x:c r="P172" s="22" t="str">
        <x:v>ยังไม่ติดต่อ</x:v>
      </x:c>
    </x:row>
    <x:row r="173" ht="66" customHeight="1">
      <x:c r="A173" s="9" t="n">
        <x:v>165</x:v>
      </x:c>
      <x:c r="B173" s="20" t="str">
        <x:v>สาวเส้น เย็นตาโฟ&amp;ข้าวต้มปลา</x:v>
      </x:c>
      <x:c r="C173" s="20" t="str">
        <x:v>นนทบุรี</x:v>
      </x:c>
      <x:c r="D173" s="20" t="str">
        <x:v>ร้านอาหาร</x:v>
      </x:c>
      <x:c r="E173" s="20" t="str">
        <x:v>Makan Verify; ระบุมีห้องละหมาด</x:v>
      </x:c>
      <x:c r="F173" s="20" t="str">
        <x:v>แหล่งข้อมูลระบุว่ามี</x:v>
      </x:c>
      <x:c r="G173" s="20" t="str">
        <x:v>ยังไม่พบเอกสารรับรองและวันหมดอายุ</x:v>
      </x:c>
      <x:c r="H17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3" s="20" t="str">
        <x:v>ถ. ชัยพฤกษ์ ตำบลละหาร อำเภอบางบัวทอง นนทบุรี 11110</x:v>
      </x:c>
      <x:c r="J173" s="21" t="str">
        <x:v>0952829798</x:v>
      </x:c>
      <x:c r="K173" s="23" t="e">
        <x:f>HYPERLINK("https://makanhalalguide.com/shop/detail/5988","เปิดแหล่งข้อมูล 1")</x:f>
        <x:v>HYPERLINK is not implemented. linkLocation=https://makanhalalguide.com/shop/detail/5988, friendlyName=เปิดแหล่งข้อมูล 1</x:v>
      </x:c>
      <x:c r="L173" s="23" t="e">
        <x:f>HYPERLINK("https://www.lemon8-app.com/%40nonthaburi.th/7666764376468144658?region=th","เปิดแหล่งข้อมูล 2")</x:f>
        <x:v>HYPERLINK is not implemented. linkLocation=https://www.lemon8-app.com/%40nonthaburi.th/7666764376468144658?region=th, friendlyName=เปิดแหล่งข้อมูล 2</x:v>
      </x:c>
      <x:c r="M173" s="20" t="str">
        <x:v>ผลค้นหาชื่อสัมพันธ์จากแหล่งเพิ่มเติม ต้องยืนยันสาขาและข้อมูลปัจจุบัน</x:v>
      </x:c>
      <x:c r="N173" s="10" t="n">
        <x:v>46315</x:v>
      </x:c>
      <x:c r="O173" s="22" t="str">
        <x:v>ยังไม่ตรวจ</x:v>
      </x:c>
      <x:c r="P173" s="22" t="str">
        <x:v>ยังไม่ติดต่อ</x:v>
      </x:c>
    </x:row>
    <x:row r="174" ht="66" customHeight="1">
      <x:c r="A174" s="9" t="n">
        <x:v>166</x:v>
      </x:c>
      <x:c r="B174" s="20" t="str">
        <x:v>หลงมา ข้าวต้มปลากระพงทรงเครื่องฮาลาล สูตรเยาวราช</x:v>
      </x:c>
      <x:c r="C174" s="20" t="str">
        <x:v>นนทบุรี</x:v>
      </x:c>
      <x:c r="D174" s="20" t="str">
        <x:v>ร้านอาหาร</x:v>
      </x:c>
      <x:c r="E174" s="20" t="str">
        <x:v>Makan Verify; ระบุมีห้องละหมาด</x:v>
      </x:c>
      <x:c r="F174" s="20" t="str">
        <x:v>แหล่งข้อมูลระบุว่ามี</x:v>
      </x:c>
      <x:c r="G174" s="20" t="str">
        <x:v>ยังไม่พบเอกสารรับรองและวันหมดอายุ</x:v>
      </x:c>
      <x:c r="H17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4" s="20" t="str">
        <x:v>ตรงข้ามกระทรวงพาณิชย์ ประตู 1 สนามบินน้ำ ถนนสนามบินน้ำ (นนทบุรี) บางกระสอ อำเภอเมืองนนทบุรี นนทบุรี 11000</x:v>
      </x:c>
      <x:c r="J174" s="21" t="str">
        <x:v>0993328889</x:v>
      </x:c>
      <x:c r="K174" s="23" t="e">
        <x:f>HYPERLINK("https://makanhalalguide.com/shop/detail/5279","เปิดแหล่งข้อมูล 1")</x:f>
        <x:v>HYPERLINK is not implemented. linkLocation=https://makanhalalguide.com/shop/detail/5279, friendlyName=เปิดแหล่งข้อมูล 1</x:v>
      </x:c>
      <x:c r="L174" s="23" t="str"/>
      <x:c r="M174" s="20" t="str"/>
      <x:c r="N174" s="10" t="n">
        <x:v>46315</x:v>
      </x:c>
      <x:c r="O174" s="22" t="str">
        <x:v>ยังไม่ตรวจ</x:v>
      </x:c>
      <x:c r="P174" s="22" t="str">
        <x:v>ยังไม่ติดต่อ</x:v>
      </x:c>
    </x:row>
    <x:row r="175" ht="66" customHeight="1">
      <x:c r="A175" s="9" t="n">
        <x:v>167</x:v>
      </x:c>
      <x:c r="B175" s="20" t="str">
        <x:v>เซี๊ยะ ข้าวมันไก่ (ท่าอิฐ)</x:v>
      </x:c>
      <x:c r="C175" s="20" t="str">
        <x:v>นนทบุรี</x:v>
      </x:c>
      <x:c r="D175" s="20" t="str">
        <x:v>ร้านอาหาร</x:v>
      </x:c>
      <x:c r="E175" s="20" t="str">
        <x:v>Makan Verify; ระบุมีห้องละหมาด</x:v>
      </x:c>
      <x:c r="F175" s="20" t="str">
        <x:v>แหล่งข้อมูลระบุว่ามี</x:v>
      </x:c>
      <x:c r="G175" s="20" t="str">
        <x:v>ยังไม่พบเอกสารรับรองและวันหมดอายุ</x:v>
      </x:c>
      <x:c r="H17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5" s="20" t="str">
        <x:v>สาขาท่าอิฐ 116 (ทางเข้า พีพี รีสอร์ท) ถนนหมู่บ้านชวนชื่น โมดัส ท่าอิฐ ตำบล ท่าอิฐ อำเภอปากเกร็ด นนทบุรี 11120</x:v>
      </x:c>
      <x:c r="J175" s="21" t="str">
        <x:v>0875943963</x:v>
      </x:c>
      <x:c r="K175" s="23" t="e">
        <x:f>HYPERLINK("https://makanhalalguide.com/shop/detail/5670","เปิดแหล่งข้อมูล 1")</x:f>
        <x:v>HYPERLINK is not implemented. linkLocation=https://makanhalalguide.com/shop/detail/5670, friendlyName=เปิดแหล่งข้อมูล 1</x:v>
      </x:c>
      <x:c r="L175" s="23" t="e">
        <x:f>HYPERLINK("https://salaamthailand.com/en/place/halal-food-%E0%B9%80%E0%B8%8B%E0%B8%B5%E0%B9%8A%E0%B8%A2%E0%B8%B0-%E0%B8%82%E0%B9%89%E0%B8%B2%E0%B8%A7%E0%B8%A1%E0%B8%B1%E0%B8%99%E0%B9%84%E0%B8%81%E0%B9%88-%E0%B8%97%E0%B9%88%E0%B8%B2%E0%B8%AD%E0%B8%B4%E0%B8%90-%E0%B8%AE%E0%B8%B2%E0%B8%A5%E0%B8%B2%E0%B8%A5-cjmwhq/","เปิดแหล่งข้อมูล 2")</x:f>
        <x:v>HYPERLINK is not implemented. linkLocation=https://salaamthailand.com/en/place/halal-food-%E0%B9%80%E0%B8%8B%E0%B8%B5%E0%B9%8A%E0%B8%A2%E0%B8%B0-%E0%B8%82%E0%B9%89%E0%B8%B2%E0%B8%A7%E0%B8%A1%E0%B8%B1%E0%B8%99%E0%B9%84%E0%B8%81%E0%B9%88-%E0%B8%97%E0%B9%88%E0%B8%B2%E0%B8%AD%E0%B8%B4%E0%B8%90-%E0%B8%AE%E0%B8%B2%E0%B8%A5%E0%B8%B2%E0%B8%A5-cjmwhq/, friendlyName=เปิดแหล่งข้อมูล 2</x:v>
      </x:c>
      <x:c r="M175" s="20" t="str">
        <x:v>ผลค้นหาชื่อสัมพันธ์จากแหล่งเพิ่มเติม ต้องยืนยันสาขาและข้อมูลปัจจุบัน</x:v>
      </x:c>
      <x:c r="N175" s="10" t="n">
        <x:v>46315</x:v>
      </x:c>
      <x:c r="O175" s="22" t="str">
        <x:v>ยังไม่ตรวจ</x:v>
      </x:c>
      <x:c r="P175" s="22" t="str">
        <x:v>ยังไม่ติดต่อ</x:v>
      </x:c>
    </x:row>
    <x:row r="176" ht="66" customHeight="1">
      <x:c r="A176" s="9" t="n">
        <x:v>168</x:v>
      </x:c>
      <x:c r="B176" s="20" t="str">
        <x:v>เรา มี นัส ตลาดศรียานนท์</x:v>
      </x:c>
      <x:c r="C176" s="20" t="str">
        <x:v>นนทบุรี</x:v>
      </x:c>
      <x:c r="D176" s="20" t="str">
        <x:v>ร้านอาหาร</x:v>
      </x:c>
      <x:c r="E176" s="20" t="str">
        <x:v>Makan Verify; ระบุมีห้องละหมาด</x:v>
      </x:c>
      <x:c r="F176" s="20" t="str">
        <x:v>แหล่งข้อมูลระบุว่ามี</x:v>
      </x:c>
      <x:c r="G176" s="20" t="str">
        <x:v>ยังไม่พบเอกสารรับรองและวันหมดอายุ</x:v>
      </x:c>
      <x:c r="H17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6" s="20" t="str">
        <x:v>ตลาดศรียานนท์ หมู่5 ต.สวนใหญ่ ซอย พิบูลสงคราม 21 ตำบลสวนใหญ่ อำเภอเมืองนนทบุรี นนทบุรี 11000</x:v>
      </x:c>
      <x:c r="J176" s="21" t="str">
        <x:v>0615325247</x:v>
      </x:c>
      <x:c r="K176" s="23" t="e">
        <x:f>HYPERLINK("https://makanhalalguide.com/shop/detail/5736","เปิดแหล่งข้อมูล 1")</x:f>
        <x:v>HYPERLINK is not implemented. linkLocation=https://makanhalalguide.com/shop/detail/5736, friendlyName=เปิดแหล่งข้อมูล 1</x:v>
      </x:c>
      <x:c r="L176" s="23" t="str"/>
      <x:c r="M176" s="20" t="str"/>
      <x:c r="N176" s="10" t="n">
        <x:v>46315</x:v>
      </x:c>
      <x:c r="O176" s="22" t="str">
        <x:v>ยังไม่ตรวจ</x:v>
      </x:c>
      <x:c r="P176" s="22" t="str">
        <x:v>ยังไม่ติดต่อ</x:v>
      </x:c>
    </x:row>
    <x:row r="177" ht="66" customHeight="1">
      <x:c r="A177" s="9" t="n">
        <x:v>169</x:v>
      </x:c>
      <x:c r="B177" s="20" t="str">
        <x:v>โกกี้ นมสด บางบัวทอง</x:v>
      </x:c>
      <x:c r="C177" s="20" t="str">
        <x:v>นนทบุรี</x:v>
      </x:c>
      <x:c r="D177" s="20" t="str">
        <x:v>ร้านอาหาร</x:v>
      </x:c>
      <x:c r="E177" s="20" t="str">
        <x:v>Makan Verify; ระบุมีห้องละหมาด</x:v>
      </x:c>
      <x:c r="F177" s="20" t="str">
        <x:v>แหล่งข้อมูลระบุว่ามี</x:v>
      </x:c>
      <x:c r="G177" s="20" t="str">
        <x:v>ยังไม่พบเอกสารรับรองและวันหมดอายุ</x:v>
      </x:c>
      <x:c r="H17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7" s="20" t="str">
        <x:v>ถนนชัยพฤกษ์ ตำบลบางบัวทอง อำเภอบางบัวทอง นนทบุรี 11110</x:v>
      </x:c>
      <x:c r="J177" s="21" t="str">
        <x:v>0841856857</x:v>
      </x:c>
      <x:c r="K177" s="23" t="e">
        <x:f>HYPERLINK("https://makanhalalguide.com/shop/detail/6295","เปิดแหล่งข้อมูล 1")</x:f>
        <x:v>HYPERLINK is not implemented. linkLocation=https://makanhalalguide.com/shop/detail/6295, friendlyName=เปิดแหล่งข้อมูล 1</x:v>
      </x:c>
      <x:c r="L177" s="23" t="e">
        <x:f>HYPERLINK("https://www.lemon8-app.com/%40shchwshma/7560931323091714578?region=th","เปิดแหล่งข้อมูล 2")</x:f>
        <x:v>HYPERLINK is not implemented. linkLocation=https://www.lemon8-app.com/%40shchwshma/7560931323091714578?region=th, friendlyName=เปิดแหล่งข้อมูล 2</x:v>
      </x:c>
      <x:c r="M177" s="20" t="str">
        <x:v>ผลค้นหาชื่อสัมพันธ์จากแหล่งเพิ่มเติม ต้องยืนยันสาขาและข้อมูลปัจจุบัน</x:v>
      </x:c>
      <x:c r="N177" s="10" t="n">
        <x:v>46315</x:v>
      </x:c>
      <x:c r="O177" s="22" t="str">
        <x:v>ยังไม่ตรวจ</x:v>
      </x:c>
      <x:c r="P177" s="22" t="str">
        <x:v>ยังไม่ติดต่อ</x:v>
      </x:c>
    </x:row>
    <x:row r="178" ht="66" customHeight="1">
      <x:c r="A178" s="9" t="n">
        <x:v>170</x:v>
      </x:c>
      <x:c r="B178" s="20" t="str">
        <x:v>โคมันส์ว่ะ</x:v>
      </x:c>
      <x:c r="C178" s="20" t="str">
        <x:v>นนทบุรี</x:v>
      </x:c>
      <x:c r="D178" s="20" t="str">
        <x:v>ร้านอาหาร</x:v>
      </x:c>
      <x:c r="E178" s="20" t="str">
        <x:v>Makan Verify; ระบุมีห้องละหมาด</x:v>
      </x:c>
      <x:c r="F178" s="20" t="str">
        <x:v>แหล่งข้อมูลระบุว่ามี</x:v>
      </x:c>
      <x:c r="G178" s="20" t="str">
        <x:v>ยังไม่พบเอกสารรับรองและวันหมดอายุ</x:v>
      </x:c>
      <x:c r="H17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8" s="20" t="str">
        <x:v>60/60 ซอยประเสริฐอิสลาม 8 ตำบลบางตลาด อำเภอปากเกร็ด จ.นนทบุรี 11120 </x:v>
      </x:c>
      <x:c r="J178" s="21" t="str">
        <x:v>0820861624</x:v>
      </x:c>
      <x:c r="K178" s="23" t="e">
        <x:f>HYPERLINK("https://makanhalalguide.com/shop/detail/4949","เปิดแหล่งข้อมูล 1")</x:f>
        <x:v>HYPERLINK is not implemented. linkLocation=https://makanhalalguide.com/shop/detail/4949, friendlyName=เปิดแหล่งข้อมูล 1</x:v>
      </x:c>
      <x:c r="L178" s="23" t="e">
        <x:f>HYPERLINK("https://www.lemon8-app.com/%40jarajeedzi/7355904640161972752?region=th","เปิดแหล่งข้อมูล 2")</x:f>
        <x:v>HYPERLINK is not implemented. linkLocation=https://www.lemon8-app.com/%40jarajeedzi/7355904640161972752?region=th, friendlyName=เปิดแหล่งข้อมูล 2</x:v>
      </x:c>
      <x:c r="M178" s="20" t="str">
        <x:v>ผลค้นหาชื่อสัมพันธ์จากแหล่งเพิ่มเติม ต้องยืนยันสาขาและข้อมูลปัจจุบัน</x:v>
      </x:c>
      <x:c r="N178" s="10" t="n">
        <x:v>46315</x:v>
      </x:c>
      <x:c r="O178" s="22" t="str">
        <x:v>ยังไม่ตรวจ</x:v>
      </x:c>
      <x:c r="P178" s="22" t="str">
        <x:v>ยังไม่ติดต่อ</x:v>
      </x:c>
    </x:row>
    <x:row r="179" ht="66" customHeight="1">
      <x:c r="A179" s="9" t="n">
        <x:v>171</x:v>
      </x:c>
      <x:c r="B179" s="20" t="str">
        <x:v>โจ๊กเมืองทอง ฮาลาล สาขาเมืองทองธานี</x:v>
      </x:c>
      <x:c r="C179" s="20" t="str">
        <x:v>นนทบุรี</x:v>
      </x:c>
      <x:c r="D179" s="20" t="str">
        <x:v>ร้านอาหาร</x:v>
      </x:c>
      <x:c r="E179" s="20" t="str">
        <x:v>Makan Verify; ระบุมีห้องละหมาด</x:v>
      </x:c>
      <x:c r="F179" s="20" t="str">
        <x:v>แหล่งข้อมูลระบุว่ามี</x:v>
      </x:c>
      <x:c r="G179" s="20" t="str">
        <x:v>ยังไม่พบเอกสารรับรองและวันหมดอายุ</x:v>
      </x:c>
      <x:c r="H17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79" s="20" t="str">
        <x:v>58 20 แจ้งวัฒนะ-ปากเกร็ด 33 ตำบลคลองเกลือ อำเภอปากเกร็ด นนทบุรี 11120</x:v>
      </x:c>
      <x:c r="J179" s="21" t="str">
        <x:v>0991404686</x:v>
      </x:c>
      <x:c r="K179" s="23" t="e">
        <x:f>HYPERLINK("https://makanhalalguide.com/shop/detail/4894","เปิดแหล่งข้อมูล 1")</x:f>
        <x:v>HYPERLINK is not implemented. linkLocation=https://makanhalalguide.com/shop/detail/4894, friendlyName=เปิดแหล่งข้อมูล 1</x:v>
      </x:c>
      <x:c r="L179" s="23" t="e">
        <x:f>HYPERLINK("https://www.wongnai.com/restaurants/2586804BE-%E0%B9%82%E0%B8%88%E0%B9%8A%E0%B8%81%E0%B9%80%E0%B8%A1%E0%B8%B7%E0%B8%AD%E0%B8%87%E0%B8%97%E0%B8%AD%E0%B8%87-%E0%B8%AE%E0%B8%B2%E0%B8%A5%E0%B8%B2%E0%B8%A5-%E0%B8%AA%E0%B8%B2%E0%B8%82%E0%B8%B2%E0%B9%80%E0%B8%A1%E0%B8%B7%E0%B8%AD%E0%B8%87%E0%B8%97%E0%B8%AD%E0%B8%87%E0%B8%98%E0%B8%B2%E0%B8%99%E0%B8%B5","เปิดแหล่งข้อมูล 2")</x:f>
        <x:v>HYPERLINK is not implemented. linkLocation=https://www.wongnai.com/restaurants/2586804BE-%E0%B9%82%E0%B8%88%E0%B9%8A%E0%B8%81%E0%B9%80%E0%B8%A1%E0%B8%B7%E0%B8%AD%E0%B8%87%E0%B8%97%E0%B8%AD%E0%B8%87-%E0%B8%AE%E0%B8%B2%E0%B8%A5%E0%B8%B2%E0%B8%A5-%E0%B8%AA%E0%B8%B2%E0%B8%82%E0%B8%B2%E0%B9%80%E0%B8%A1%E0%B8%B7%E0%B8%AD%E0%B8%87%E0%B8%97%E0%B8%AD%E0%B8%87%E0%B8%98%E0%B8%B2%E0%B8%99%E0%B8%B5, friendlyName=เปิดแหล่งข้อมูล 2</x:v>
      </x:c>
      <x:c r="M179" s="20" t="str">
        <x:v>ผลค้นหาชื่อสัมพันธ์จากแหล่งเพิ่มเติม ต้องยืนยันสาขาและข้อมูลปัจจุบัน</x:v>
      </x:c>
      <x:c r="N179" s="10" t="n">
        <x:v>46315</x:v>
      </x:c>
      <x:c r="O179" s="22" t="str">
        <x:v>ยังไม่ตรวจ</x:v>
      </x:c>
      <x:c r="P179" s="22" t="str">
        <x:v>ยังไม่ติดต่อ</x:v>
      </x:c>
    </x:row>
    <x:row r="180" ht="66" customHeight="1">
      <x:c r="A180" s="9" t="n">
        <x:v>172</x:v>
      </x:c>
      <x:c r="B180" s="20" t="str">
        <x:v>นานา โฮมสเตย์ บ้านทอน</x:v>
      </x:c>
      <x:c r="C180" s="20" t="str">
        <x:v>นราธิวาส</x:v>
      </x:c>
      <x:c r="D180" s="20" t="str">
        <x:v>โรงแรมหรือรีสอร์ท</x:v>
      </x:c>
      <x:c r="E180" s="20" t="str">
        <x:v>มีรายชื่อใน Makan Halal Guide; ระบุมีห้องละหมาด</x:v>
      </x:c>
      <x:c r="F180" s="20" t="str">
        <x:v>แหล่งข้อมูลระบุว่ามี</x:v>
      </x:c>
      <x:c r="G180" s="20" t="str">
        <x:v>ยังไม่พบเอกสารรับรองและวันหมดอายุ</x:v>
      </x:c>
      <x:c r="H18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0" s="20" t="str">
        <x:v>404/4 เมือง นราธิวาส ตำบล โคกเคียน อำเภอเมืองนราธิวาส นราธิวาส</x:v>
      </x:c>
      <x:c r="J180" s="21" t="str">
        <x:v>0632290009</x:v>
      </x:c>
      <x:c r="K180" s="23" t="e">
        <x:f>HYPERLINK("https://makanhalalguide.com/shop/detail/5910","เปิดแหล่งข้อมูล 1")</x:f>
        <x:v>HYPERLINK is not implemented. linkLocation=https://makanhalalguide.com/shop/detail/5910, friendlyName=เปิดแหล่งข้อมูล 1</x:v>
      </x:c>
      <x:c r="L180" s="23" t="str"/>
      <x:c r="M180" s="20" t="str"/>
      <x:c r="N180" s="10" t="n">
        <x:v>46315</x:v>
      </x:c>
      <x:c r="O180" s="22" t="str">
        <x:v>ยังไม่ตรวจ</x:v>
      </x:c>
      <x:c r="P180" s="22" t="str">
        <x:v>ยังไม่ติดต่อ</x:v>
      </x:c>
    </x:row>
    <x:row r="181" ht="66" customHeight="1">
      <x:c r="A181" s="9" t="n">
        <x:v>173</x:v>
      </x:c>
      <x:c r="B181" s="20" t="str">
        <x:v>Talay Sea</x:v>
      </x:c>
      <x:c r="C181" s="20" t="str">
        <x:v>นราธิวาส</x:v>
      </x:c>
      <x:c r="D181" s="20" t="str">
        <x:v>ร้านอาหาร</x:v>
      </x:c>
      <x:c r="E181" s="20" t="str">
        <x:v>มีรายชื่อใน Makan Halal Guide; ระบุมีห้องละหมาด</x:v>
      </x:c>
      <x:c r="F181" s="20" t="str">
        <x:v>แหล่งข้อมูลระบุว่ามี</x:v>
      </x:c>
      <x:c r="G181" s="20" t="str">
        <x:v>ยังไม่พบเอกสารรับรองและวันหมดอายุ</x:v>
      </x:c>
      <x:c r="H18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1" s="20" t="str">
        <x:v>ตำบลโคกเคียน เมือง นราธิวาส 96000</x:v>
      </x:c>
      <x:c r="J181" s="21" t="str">
        <x:v>0622204242</x:v>
      </x:c>
      <x:c r="K181" s="23" t="e">
        <x:f>HYPERLINK("https://makanhalalguide.com/shop/detail/5922","เปิดแหล่งข้อมูล 1")</x:f>
        <x:v>HYPERLINK is not implemented. linkLocation=https://makanhalalguide.com/shop/detail/5922, friendlyName=เปิดแหล่งข้อมูล 1</x:v>
      </x:c>
      <x:c r="L181" s="23" t="str"/>
      <x:c r="M181" s="20" t="str"/>
      <x:c r="N181" s="10" t="n">
        <x:v>46315</x:v>
      </x:c>
      <x:c r="O181" s="22" t="str">
        <x:v>ยังไม่ตรวจ</x:v>
      </x:c>
      <x:c r="P181" s="22" t="str">
        <x:v>ยังไม่ติดต่อ</x:v>
      </x:c>
    </x:row>
    <x:row r="182" ht="66" customHeight="1">
      <x:c r="A182" s="9" t="n">
        <x:v>174</x:v>
      </x:c>
      <x:c r="B182" s="20" t="str">
        <x:v>Hello Winter บ่อเกลือHalal</x:v>
      </x:c>
      <x:c r="C182" s="20" t="str">
        <x:v>น่าน</x:v>
      </x:c>
      <x:c r="D182" s="20" t="str">
        <x:v>ที่พัก (ตรวจประเภทจากชื่อและข้อมูลประกอบ)</x:v>
      </x:c>
      <x:c r="E182" s="20" t="str">
        <x:v>Makan Verify; ระบุมีห้องละหมาด</x:v>
      </x:c>
      <x:c r="F182" s="20" t="str">
        <x:v>แหล่งข้อมูลระบุว่ามี</x:v>
      </x:c>
      <x:c r="G182" s="20" t="str">
        <x:v>ยังไม่พบเอกสารรับรองและวันหมดอายุ</x:v>
      </x:c>
      <x:c r="H182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182" s="20" t="str">
        <x:v>หมู่บ้านสว้าใต้ ตำบล ดงพญา อำเภอ บ่อเกลือ น่าน 55220</x:v>
      </x:c>
      <x:c r="J182" s="21" t="str">
        <x:v>0959986456</x:v>
      </x:c>
      <x:c r="K182" s="23" t="e">
        <x:f>HYPERLINK("https://makanhalalguide.com/shop/detail/5381","เปิดแหล่งข้อมูล 1")</x:f>
        <x:v>HYPERLINK is not implemented. linkLocation=https://makanhalalguide.com/shop/detail/5381, friendlyName=เปิดแหล่งข้อมูล 1</x:v>
      </x:c>
      <x:c r="L182" s="23" t="e">
        <x:f>HYPERLINK("https://www.blockdit.com/posts/6216381c5b11d8d6b83f4866","เปิดแหล่งข้อมูล 2")</x:f>
        <x:v>HYPERLINK is not implemented. linkLocation=https://www.blockdit.com/posts/6216381c5b11d8d6b83f4866, friendlyName=เปิดแหล่งข้อมูล 2</x:v>
      </x:c>
      <x:c r="M182" s="20" t="str">
        <x:v>ผลค้นหาชื่อสัมพันธ์จากแหล่งเพิ่มเติม ต้องยืนยันสาขาและข้อมูลปัจจุบัน</x:v>
      </x:c>
      <x:c r="N182" s="10" t="n">
        <x:v>46315</x:v>
      </x:c>
      <x:c r="O182" s="22" t="str">
        <x:v>ยังไม่ตรวจ</x:v>
      </x:c>
      <x:c r="P182" s="22" t="str">
        <x:v>ยังไม่ติดต่อ</x:v>
      </x:c>
    </x:row>
    <x:row r="183" ht="66" customHeight="1">
      <x:c r="A183" s="9" t="n">
        <x:v>175</x:v>
      </x:c>
      <x:c r="B183" s="20" t="str">
        <x:v>828 มะตะบะ อร่อย</x:v>
      </x:c>
      <x:c r="C183" s="20" t="str">
        <x:v>ปทุมธานี</x:v>
      </x:c>
      <x:c r="D183" s="20" t="str">
        <x:v>ร้านอาหาร</x:v>
      </x:c>
      <x:c r="E183" s="20" t="str">
        <x:v>Makan Verify; ระบุมีห้องละหมาด</x:v>
      </x:c>
      <x:c r="F183" s="20" t="str">
        <x:v>แหล่งข้อมูลระบุว่ามี</x:v>
      </x:c>
      <x:c r="G183" s="20" t="str">
        <x:v>ยังไม่พบเอกสารรับรองและวันหมดอายุ</x:v>
      </x:c>
      <x:c r="H18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3" s="20" t="str">
        <x:v>ซอยหมู่บ้านวังทองริเวอร์ปาร์ค 8 ตำบลคูคต อำเภอลำลูกกา ปทุมธานี 12130</x:v>
      </x:c>
      <x:c r="J183" s="21" t="str">
        <x:v>0961989264</x:v>
      </x:c>
      <x:c r="K183" s="23" t="e">
        <x:f>HYPERLINK("https://makanhalalguide.com/shop/detail/5860","เปิดแหล่งข้อมูล 1")</x:f>
        <x:v>HYPERLINK is not implemented. linkLocation=https://makanhalalguide.com/shop/detail/5860, friendlyName=เปิดแหล่งข้อมูล 1</x:v>
      </x:c>
      <x:c r="L183" s="23" t="e">
        <x:f>HYPERLINK("https://www.lemon8-app.com/%40fernwang_1220/7510227141893636626?region=th","เปิดแหล่งข้อมูล 2")</x:f>
        <x:v>HYPERLINK is not implemented. linkLocation=https://www.lemon8-app.com/%40fernwang_1220/7510227141893636626?region=th, friendlyName=เปิดแหล่งข้อมูล 2</x:v>
      </x:c>
      <x:c r="M183" s="20" t="str">
        <x:v>ผลค้นหาชื่อสัมพันธ์จากแหล่งเพิ่มเติม ต้องยืนยันสาขาและข้อมูลปัจจุบัน</x:v>
      </x:c>
      <x:c r="N183" s="10" t="n">
        <x:v>46315</x:v>
      </x:c>
      <x:c r="O183" s="22" t="str">
        <x:v>ยังไม่ตรวจ</x:v>
      </x:c>
      <x:c r="P183" s="22" t="str">
        <x:v>ยังไม่ติดต่อ</x:v>
      </x:c>
    </x:row>
    <x:row r="184" ht="66" customHeight="1">
      <x:c r="A184" s="9" t="n">
        <x:v>176</x:v>
      </x:c>
      <x:c r="B184" s="20" t="str">
        <x:v>ก๋วยจั๊บญวน บังโต้</x:v>
      </x:c>
      <x:c r="C184" s="20" t="str">
        <x:v>ปทุมธานี</x:v>
      </x:c>
      <x:c r="D184" s="20" t="str">
        <x:v>ร้านอาหาร</x:v>
      </x:c>
      <x:c r="E184" s="20" t="str">
        <x:v>มีรายชื่อใน Makan Halal Guide; ระบุมีห้องละหมาด</x:v>
      </x:c>
      <x:c r="F184" s="20" t="str">
        <x:v>แหล่งข้อมูลระบุว่ามี</x:v>
      </x:c>
      <x:c r="G184" s="20" t="str">
        <x:v>ยังไม่พบเอกสารรับรองและวันหมดอายุ</x:v>
      </x:c>
      <x:c r="H18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4" s="20" t="str">
        <x:v>ถนนติวานนท์-ปากเกร็ด 900/3 ซอยร่วมสุข ตำบล บ้านใหม่ อำเภอเมืองปทุมธานี ปทุมธานี 12000</x:v>
      </x:c>
      <x:c r="J184" s="21" t="str">
        <x:v>0647264777</x:v>
      </x:c>
      <x:c r="K184" s="23" t="e">
        <x:f>HYPERLINK("https://makanhalalguide.com/shop/detail/5797","เปิดแหล่งข้อมูล 1")</x:f>
        <x:v>HYPERLINK is not implemented. linkLocation=https://makanhalalguide.com/shop/detail/5797, friendlyName=เปิดแหล่งข้อมูล 1</x:v>
      </x:c>
      <x:c r="L184" s="23" t="str"/>
      <x:c r="M184" s="20" t="str"/>
      <x:c r="N184" s="10" t="n">
        <x:v>46315</x:v>
      </x:c>
      <x:c r="O184" s="22" t="str">
        <x:v>ยังไม่ตรวจ</x:v>
      </x:c>
      <x:c r="P184" s="22" t="str">
        <x:v>ยังไม่ติดต่อ</x:v>
      </x:c>
    </x:row>
    <x:row r="185" ht="66" customHeight="1">
      <x:c r="A185" s="9" t="n">
        <x:v>177</x:v>
      </x:c>
      <x:c r="B185" s="20" t="str">
        <x:v>รสเจริญข้าวหมกไก่ - ซุปหางวัว โรตี ชาชัก Halal</x:v>
      </x:c>
      <x:c r="C185" s="20" t="str">
        <x:v>ปทุมธานี</x:v>
      </x:c>
      <x:c r="D185" s="20" t="str">
        <x:v>คาเฟ่และร้านของหวาน</x:v>
      </x:c>
      <x:c r="E185" s="20" t="str">
        <x:v>Makan Verify; ระบุมีห้องละหมาด</x:v>
      </x:c>
      <x:c r="F185" s="20" t="str">
        <x:v>แหล่งข้อมูลระบุว่ามี</x:v>
      </x:c>
      <x:c r="G185" s="20" t="str">
        <x:v>ยังไม่พบเอกสารรับรองและวันหมดอายุ</x:v>
      </x:c>
      <x:c r="H18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5" s="20" t="str">
        <x:v>ถนนหทัยราษฎร์ ตำบลบึงคำพร้อย อำเภอลำลูกกา จังหวัดปทุมธานี 12150 (CJ MORE ซีเจ มอร์ สาขาซ.หทัยราษฎร์ 66)</x:v>
      </x:c>
      <x:c r="J185" s="21" t="str">
        <x:v>0828249787</x:v>
      </x:c>
      <x:c r="K185" s="23" t="e">
        <x:f>HYPERLINK("https://makanhalalguide.com/shop/detail/6290","เปิดแหล่งข้อมูล 1")</x:f>
        <x:v>HYPERLINK is not implemented. linkLocation=https://makanhalalguide.com/shop/detail/6290, friendlyName=เปิดแหล่งข้อมูล 1</x:v>
      </x:c>
      <x:c r="L185" s="23" t="str"/>
      <x:c r="M185" s="20" t="str"/>
      <x:c r="N185" s="10" t="n">
        <x:v>46315</x:v>
      </x:c>
      <x:c r="O185" s="22" t="str">
        <x:v>ยังไม่ตรวจ</x:v>
      </x:c>
      <x:c r="P185" s="22" t="str">
        <x:v>ยังไม่ติดต่อ</x:v>
      </x:c>
    </x:row>
    <x:row r="186" ht="66" customHeight="1">
      <x:c r="A186" s="9" t="n">
        <x:v>178</x:v>
      </x:c>
      <x:c r="B186" s="20" t="str">
        <x:v>ห้องอาหาร สุใบด๊ะห์ชวนชิม สาขาลาดสวาย</x:v>
      </x:c>
      <x:c r="C186" s="20" t="str">
        <x:v>ปทุมธานี</x:v>
      </x:c>
      <x:c r="D186" s="20" t="str">
        <x:v>ร้านอาหาร</x:v>
      </x:c>
      <x:c r="E186" s="20" t="str">
        <x:v>Makan Verify; ระบุมีห้องละหมาด</x:v>
      </x:c>
      <x:c r="F186" s="20" t="str">
        <x:v>แหล่งข้อมูลระบุว่ามี</x:v>
      </x:c>
      <x:c r="G186" s="20" t="str">
        <x:v>ยังไม่พบเอกสารรับรองและวันหมดอายุ</x:v>
      </x:c>
      <x:c r="H18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6" s="20" t="str">
        <x:v>เลขที่ 95 ถนนโชติเวช (ลาดสวาย) เส้นตลาดกลาง 55 ตำบลลาดสวาย อำเภอลำลูกกา จังหวัดปทุมธานี 12150</x:v>
      </x:c>
      <x:c r="J186" s="21" t="str">
        <x:v>0838207933</x:v>
      </x:c>
      <x:c r="K186" s="23" t="e">
        <x:f>HYPERLINK("https://makanhalalguide.com/shop/detail/5128","เปิดแหล่งข้อมูล 1")</x:f>
        <x:v>HYPERLINK is not implemented. linkLocation=https://makanhalalguide.com/shop/detail/5128, friendlyName=เปิดแหล่งข้อมูล 1</x:v>
      </x:c>
      <x:c r="L186" s="23" t="e">
        <x:f>HYPERLINK("https://www.youtube.com/watch?v=UO47MGSf9ZU","เปิดแหล่งข้อมูล 2")</x:f>
        <x:v>HYPERLINK is not implemented. linkLocation=https://www.youtube.com/watch?v=UO47MGSf9ZU, friendlyName=เปิดแหล่งข้อมูล 2</x:v>
      </x:c>
      <x:c r="M186" s="20" t="str">
        <x:v>ผลค้นหาชื่อสัมพันธ์จากแหล่งเพิ่มเติม ต้องยืนยันสาขาและข้อมูลปัจจุบัน</x:v>
      </x:c>
      <x:c r="N186" s="10" t="n">
        <x:v>46315</x:v>
      </x:c>
      <x:c r="O186" s="22" t="str">
        <x:v>ยังไม่ตรวจ</x:v>
      </x:c>
      <x:c r="P186" s="22" t="str">
        <x:v>ยังไม่ติดต่อ</x:v>
      </x:c>
    </x:row>
    <x:row r="187" ht="66" customHeight="1">
      <x:c r="A187" s="9" t="n">
        <x:v>179</x:v>
      </x:c>
      <x:c r="B187" s="20" t="str">
        <x:v>Rista House &amp; Resort</x:v>
      </x:c>
      <x:c r="C187" s="20" t="str">
        <x:v>ประจวบคีรีขันธ์</x:v>
      </x:c>
      <x:c r="D187" s="20" t="str">
        <x:v>โรงแรมหรือรีสอร์ท</x:v>
      </x:c>
      <x:c r="E187" s="20" t="str">
        <x:v>Makan Verify; ระบุมีห้องละหมาด</x:v>
      </x:c>
      <x:c r="F187" s="20" t="str">
        <x:v>แหล่งข้อมูลระบุว่ามี</x:v>
      </x:c>
      <x:c r="G187" s="20" t="str">
        <x:v>ยังไม่พบเอกสารรับรองและวันหมดอายุ</x:v>
      </x:c>
      <x:c r="H18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7" s="20" t="str">
        <x:v>80 ม2 ถ.เพชรเกษม ตำบล กุยบุรี อำเภอกุยบุรี ประจวบคีรีขันธ์ 77150</x:v>
      </x:c>
      <x:c r="J187" s="21" t="str">
        <x:v>0924959798</x:v>
      </x:c>
      <x:c r="K187" s="23" t="e">
        <x:f>HYPERLINK("https://makanhalalguide.com/shop/detail/5386","เปิดแหล่งข้อมูล 1")</x:f>
        <x:v>HYPERLINK is not implemented. linkLocation=https://makanhalalguide.com/shop/detail/5386, friendlyName=เปิดแหล่งข้อมูล 1</x:v>
      </x:c>
      <x:c r="L187" s="23" t="e">
        <x:f>HYPERLINK("https://th.trip.com/hotels/kui-buri-hotel-detail-81263545/rista-house-resort/","เปิดแหล่งข้อมูล 2")</x:f>
        <x:v>HYPERLINK is not implemented. linkLocation=https://th.trip.com/hotels/kui-buri-hotel-detail-81263545/rista-house-resort/, friendlyName=เปิดแหล่งข้อมูล 2</x:v>
      </x:c>
      <x:c r="M187" s="20" t="str">
        <x:v>ผลค้นหาชื่อสัมพันธ์จากแหล่งเพิ่มเติม ต้องยืนยันสาขาและข้อมูลปัจจุบัน</x:v>
      </x:c>
      <x:c r="N187" s="10" t="n">
        <x:v>46315</x:v>
      </x:c>
      <x:c r="O187" s="22" t="str">
        <x:v>ยังไม่ตรวจ</x:v>
      </x:c>
      <x:c r="P187" s="22" t="str">
        <x:v>ยังไม่ติดต่อ</x:v>
      </x:c>
    </x:row>
    <x:row r="188" ht="66" customHeight="1">
      <x:c r="A188" s="9" t="n">
        <x:v>180</x:v>
      </x:c>
      <x:c r="B188" s="20" t="str">
        <x:v>Coco Pina Boutique Resort ที่พัก&amp;คาเฟ่ประจวบ</x:v>
      </x:c>
      <x:c r="C188" s="20" t="str">
        <x:v>ประจวบคีรีขันธ์</x:v>
      </x:c>
      <x:c r="D188" s="20" t="str">
        <x:v>ที่พัก (ตรวจประเภทจากชื่อและข้อมูลประกอบ)</x:v>
      </x:c>
      <x:c r="E188" s="20" t="str">
        <x:v>Makan Verify; ระบุมีห้องละหมาด</x:v>
      </x:c>
      <x:c r="F188" s="20" t="str">
        <x:v>แหล่งข้อมูลระบุว่ามี</x:v>
      </x:c>
      <x:c r="G188" s="20" t="str">
        <x:v>ยังไม่พบเอกสารรับรองและวันหมดอายุ</x:v>
      </x:c>
      <x:c r="H188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188" s="20" t="str">
        <x:v>53/27 ถ.สุขสมบูรณ์ ต.ประจวบ อ.เมือง จ.ประจวบคีรีขันธ์ 77000</x:v>
      </x:c>
      <x:c r="J188" s="21" t="str">
        <x:v>0972277159</x:v>
      </x:c>
      <x:c r="K188" s="23" t="e">
        <x:f>HYPERLINK("https://makanhalalguide.com/shop/detail/5387","เปิดแหล่งข้อมูล 1")</x:f>
        <x:v>HYPERLINK is not implemented. linkLocation=https://makanhalalguide.com/shop/detail/5387, friendlyName=เปิดแหล่งข้อมูล 1</x:v>
      </x:c>
      <x:c r="L188" s="23" t="e">
        <x:f>HYPERLINK("https://www.google.co.th/travel/hotels/entity/ChkI2cTU17GU9MNaGg0vZy8xMXJjeGI2M2Z2EAE?rp=OAHCAhwiGg0AAANDEhMIjfGnvYbslQMVVCeHAx1KHDDj&amp;ts=CAEaIgoCGgASHBIUCgcI6g8QCRgYEgcI6g8QCRgZGAEyAhAAOAEqBAoAGgA","เปิดแหล่งข้อมูล 2")</x:f>
        <x:v>HYPERLINK is not implemented. linkLocation=https://www.google.co.th/travel/hotels/entity/ChkI2cTU17GU9MNaGg0vZy8xMXJjeGI2M2Z2EAE?rp=OAHCAhwiGg0AAANDEhMIjfGnvYbslQMVVCeHAx1KHDDj&amp;ts=CAEaIgoCGgASHBIUCgcI6g8QCRgYEgcI6g8QCRgZGAEyAhAAOAEqBAoAGgA, friendlyName=เปิดแหล่งข้อมูล 2</x:v>
      </x:c>
      <x:c r="M188" s="20" t="str">
        <x:v>ผลค้นหาชื่อสัมพันธ์จากแหล่งเพิ่มเติม ต้องยืนยันสาขาและข้อมูลปัจจุบัน</x:v>
      </x:c>
      <x:c r="N188" s="10" t="n">
        <x:v>46315</x:v>
      </x:c>
      <x:c r="O188" s="22" t="str">
        <x:v>ยังไม่ตรวจ</x:v>
      </x:c>
      <x:c r="P188" s="22" t="str">
        <x:v>ยังไม่ติดต่อ</x:v>
      </x:c>
    </x:row>
    <x:row r="189" ht="66" customHeight="1">
      <x:c r="A189" s="9" t="n">
        <x:v>181</x:v>
      </x:c>
      <x:c r="B189" s="20" t="str">
        <x:v>The seasons cafe รังมดแดง</x:v>
      </x:c>
      <x:c r="C189" s="20" t="str">
        <x:v>ปัตตานี</x:v>
      </x:c>
      <x:c r="D189" s="20" t="str">
        <x:v>คาเฟ่และร้านของหวาน</x:v>
      </x:c>
      <x:c r="E189" s="20" t="str">
        <x:v>มีรายชื่อใน Makan Halal Guide; ระบุมีห้องละหมาด</x:v>
      </x:c>
      <x:c r="F189" s="20" t="str">
        <x:v>แหล่งข้อมูลระบุว่ามี</x:v>
      </x:c>
      <x:c r="G189" s="20" t="str">
        <x:v>ยังไม่พบเอกสารรับรองและวันหมดอายุ</x:v>
      </x:c>
      <x:c r="H18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89" s="20" t="str">
        <x:v>ตำบลดอนทราย อำเภอไม้แก่น จังหวัดปัตตานี 94220</x:v>
      </x:c>
      <x:c r="J189" s="21" t="str">
        <x:v>0899747991</x:v>
      </x:c>
      <x:c r="K189" s="23" t="e">
        <x:f>HYPERLINK("https://makanhalalguide.com/shop/detail/5932","เปิดแหล่งข้อมูล 1")</x:f>
        <x:v>HYPERLINK is not implemented. linkLocation=https://makanhalalguide.com/shop/detail/5932, friendlyName=เปิดแหล่งข้อมูล 1</x:v>
      </x:c>
      <x:c r="L189" s="23" t="e">
        <x:f>HYPERLINK("https://www.hydro-1.net/Data/Admin/book/file/E841-2564.pdf","เปิดแหล่งข้อมูล 2")</x:f>
        <x:v>HYPERLINK is not implemented. linkLocation=https://www.hydro-1.net/Data/Admin/book/file/E841-2564.pdf, friendlyName=เปิดแหล่งข้อมูล 2</x:v>
      </x:c>
      <x:c r="M189" s="20" t="str">
        <x:v>ผลค้นหาชื่อสัมพันธ์จากแหล่งเพิ่มเติม ต้องยืนยันสาขาและข้อมูลปัจจุบัน</x:v>
      </x:c>
      <x:c r="N189" s="10" t="n">
        <x:v>46315</x:v>
      </x:c>
      <x:c r="O189" s="22" t="str">
        <x:v>ยังไม่ตรวจ</x:v>
      </x:c>
      <x:c r="P189" s="22" t="str">
        <x:v>ยังไม่ติดต่อ</x:v>
      </x:c>
    </x:row>
    <x:row r="190" ht="66" customHeight="1">
      <x:c r="A190" s="9" t="n">
        <x:v>182</x:v>
      </x:c>
      <x:c r="B190" s="20" t="str">
        <x:v>ณ ณิชา รีสอร์ท</x:v>
      </x:c>
      <x:c r="C190" s="20" t="str">
        <x:v>พังงา</x:v>
      </x:c>
      <x:c r="D190" s="20" t="str">
        <x:v>โรงแรมหรือรีสอร์ท</x:v>
      </x:c>
      <x:c r="E190" s="20" t="str">
        <x:v>Makan Verify; ระบุมีห้องละหมาด</x:v>
      </x:c>
      <x:c r="F190" s="20" t="str">
        <x:v>แหล่งข้อมูลระบุว่ามี</x:v>
      </x:c>
      <x:c r="G190" s="20" t="str">
        <x:v>ยังไม่พบเอกสารรับรองและวันหมดอายุ</x:v>
      </x:c>
      <x:c r="H19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0" s="20" t="str">
        <x:v>3 6 ตำบล บ่อแสน อำเภอ ทับปุด พังงา 82180</x:v>
      </x:c>
      <x:c r="J190" s="21" t="str">
        <x:v>0988362546</x:v>
      </x:c>
      <x:c r="K190" s="23" t="e">
        <x:f>HYPERLINK("https://makanhalalguide.com/shop/detail/5403","เปิดแหล่งข้อมูล 1")</x:f>
        <x:v>HYPERLINK is not implemented. linkLocation=https://makanhalalguide.com/shop/detail/5403, friendlyName=เปิดแหล่งข้อมูล 1</x:v>
      </x:c>
      <x:c r="L190" s="23" t="e">
        <x:f>HYPERLINK("https://www.google.com.sa/travel/hotels/entity/CgoIiuXa2u6Ij8xAEAE?ap=MAA&amp;gl=th&amp;gsas=1&amp;hl=th&amp;rp=OAFIAsICHCIaDQDAA0QSEwig6qGhrteOAxV1qqsHHRxUEJk&amp;ts=CAEaBAoCGgAqBAoAGgA&amp;un=1","เปิดแหล่งข้อมูล 2")</x:f>
        <x:v>HYPERLINK is not implemented. linkLocation=https://www.google.com.sa/travel/hotels/entity/CgoIiuXa2u6Ij8xAEAE?ap=MAA&amp;gl=th&amp;gsas=1&amp;hl=th&amp;rp=OAFIAsICHCIaDQDAA0QSEwig6qGhrteOAxV1qqsHHRxUEJk&amp;ts=CAEaBAoCGgAqBAoAGgA&amp;un=1, friendlyName=เปิดแหล่งข้อมูล 2</x:v>
      </x:c>
      <x:c r="M190" s="20" t="str">
        <x:v>ผลค้นหาชื่อสัมพันธ์จากแหล่งเพิ่มเติม ต้องยืนยันสาขาและข้อมูลปัจจุบัน</x:v>
      </x:c>
      <x:c r="N190" s="10" t="n">
        <x:v>46315</x:v>
      </x:c>
      <x:c r="O190" s="22" t="str">
        <x:v>ยังไม่ตรวจ</x:v>
      </x:c>
      <x:c r="P190" s="22" t="str">
        <x:v>ยังไม่ติดต่อ</x:v>
      </x:c>
    </x:row>
    <x:row r="191" ht="66" customHeight="1">
      <x:c r="A191" s="9" t="n">
        <x:v>183</x:v>
      </x:c>
      <x:c r="B191" s="20" t="str">
        <x:v>ครัวอารีย์บังหมาดบางพัฒน์ พังงา</x:v>
      </x:c>
      <x:c r="C191" s="20" t="str">
        <x:v>พังงา</x:v>
      </x:c>
      <x:c r="D191" s="20" t="str">
        <x:v>ร้านอาหาร</x:v>
      </x:c>
      <x:c r="E191" s="20" t="str">
        <x:v>มีรายชื่อใน Makan Halal Guide; ระบุมีห้องละหมาด</x:v>
      </x:c>
      <x:c r="F191" s="20" t="str">
        <x:v>แหล่งข้อมูลระบุว่ามี</x:v>
      </x:c>
      <x:c r="G191" s="20" t="str">
        <x:v>ยังไม่พบเอกสารรับรองและวันหมดอายุ</x:v>
      </x:c>
      <x:c r="H19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1" s="20" t="str">
        <x:v>บ้านบางพัฒน์  ตำบลบางเตย อำเภอเมืองพังงา จังหวัดพังงา 82000</x:v>
      </x:c>
      <x:c r="J191" s="21" t="str">
        <x:v>0862744557</x:v>
      </x:c>
      <x:c r="K191" s="23" t="e">
        <x:f>HYPERLINK("https://makanhalalguide.com/shop/detail/5085","เปิดแหล่งข้อมูล 1")</x:f>
        <x:v>HYPERLINK is not implemented. linkLocation=https://makanhalalguide.com/shop/detail/5085, friendlyName=เปิดแหล่งข้อมูล 1</x:v>
      </x:c>
      <x:c r="L191" s="23" t="e">
        <x:f>HYPERLINK("https://www.wongnai.com/restaurants/172334MX-%E0%B8%84%E0%B8%A3%E0%B8%B1%E0%B8%A7%E0%B8%AD%E0%B8%B2%E0%B8%A3%E0%B8%B5%E0%B8%A2%E0%B9%8C-%E0%B8%9A%E0%B8%B1%E0%B8%87%E0%B8%AB%E0%B8%A1%E0%B8%B2%E0%B8%94","เปิดแหล่งข้อมูล 2")</x:f>
        <x:v>HYPERLINK is not implemented. linkLocation=https://www.wongnai.com/restaurants/172334MX-%E0%B8%84%E0%B8%A3%E0%B8%B1%E0%B8%A7%E0%B8%AD%E0%B8%B2%E0%B8%A3%E0%B8%B5%E0%B8%A2%E0%B9%8C-%E0%B8%9A%E0%B8%B1%E0%B8%87%E0%B8%AB%E0%B8%A1%E0%B8%B2%E0%B8%94, friendlyName=เปิดแหล่งข้อมูล 2</x:v>
      </x:c>
      <x:c r="M191" s="20" t="str">
        <x:v>ผลค้นหาชื่อสัมพันธ์จากแหล่งเพิ่มเติม ต้องยืนยันสาขาและข้อมูลปัจจุบัน</x:v>
      </x:c>
      <x:c r="N191" s="10" t="n">
        <x:v>46315</x:v>
      </x:c>
      <x:c r="O191" s="22" t="str">
        <x:v>ยังไม่ตรวจ</x:v>
      </x:c>
      <x:c r="P191" s="22" t="str">
        <x:v>ยังไม่ติดต่อ</x:v>
      </x:c>
    </x:row>
    <x:row r="192" ht="66" customHeight="1">
      <x:c r="A192" s="9" t="n">
        <x:v>184</x:v>
      </x:c>
      <x:c r="B192" s="20" t="str">
        <x:v>ก๋วยเตี๋ยวเรือราไวย์ ซอยไสยวน</x:v>
      </x:c>
      <x:c r="C192" s="20" t="str">
        <x:v>ภูเก็ต</x:v>
      </x:c>
      <x:c r="D192" s="20" t="str">
        <x:v>ร้านอาหาร</x:v>
      </x:c>
      <x:c r="E192" s="20" t="str">
        <x:v>มีรายชื่อใน Makan Halal Guide; ระบุมีห้องละหมาด</x:v>
      </x:c>
      <x:c r="F192" s="20" t="str">
        <x:v>แหล่งข้อมูลระบุว่ามี</x:v>
      </x:c>
      <x:c r="G192" s="20" t="str">
        <x:v>ยังไม่พบเอกสารรับรองและวันหมดอายุ</x:v>
      </x:c>
      <x:c r="H19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2" s="20" t="str">
        <x:v>ราไวย์ ตำบลราไวย์ อำเภอเมืองภูเก็ต ภูเก็ต 83100</x:v>
      </x:c>
      <x:c r="J192" s="21" t="str">
        <x:v>0841873657</x:v>
      </x:c>
      <x:c r="K192" s="23" t="e">
        <x:f>HYPERLINK("https://makanhalalguide.com/shop/detail/5175","เปิดแหล่งข้อมูล 1")</x:f>
        <x:v>HYPERLINK is not implemented. linkLocation=https://makanhalalguide.com/shop/detail/5175, friendlyName=เปิดแหล่งข้อมูล 1</x:v>
      </x:c>
      <x:c r="L192" s="23" t="e">
        <x:f>HYPERLINK("https://www.wongnai.com/restaurants/272151Mc-%E0%B8%81%E0%B9%8B%E0%B8%A7%E0%B8%A2%E0%B9%80%E0%B8%95%E0%B8%B5%E0%B9%8B%E0%B8%A2%E0%B8%A7%E0%B9%80%E0%B8%A3%E0%B8%B7%E0%B8%AD-%E0%B8%A3%E0%B8%B2%E0%B9%84%E0%B8%A7%E0%B8%A2%E0%B9%8C-%E0%B8%8B%E0%B8%AD%E0%B8%A2%E0%B9%84%E0%B8%AA%E0%B8%A2%E0%B8%A7%E0%B8%99","เปิดแหล่งข้อมูล 2")</x:f>
        <x:v>HYPERLINK is not implemented. linkLocation=https://www.wongnai.com/restaurants/272151Mc-%E0%B8%81%E0%B9%8B%E0%B8%A7%E0%B8%A2%E0%B9%80%E0%B8%95%E0%B8%B5%E0%B9%8B%E0%B8%A2%E0%B8%A7%E0%B9%80%E0%B8%A3%E0%B8%B7%E0%B8%AD-%E0%B8%A3%E0%B8%B2%E0%B9%84%E0%B8%A7%E0%B8%A2%E0%B9%8C-%E0%B8%8B%E0%B8%AD%E0%B8%A2%E0%B9%84%E0%B8%AA%E0%B8%A2%E0%B8%A7%E0%B8%99, friendlyName=เปิดแหล่งข้อมูล 2</x:v>
      </x:c>
      <x:c r="M192" s="20" t="str">
        <x:v>ผลค้นหาชื่อสัมพันธ์จากแหล่งเพิ่มเติม ต้องยืนยันสาขาและข้อมูลปัจจุบัน</x:v>
      </x:c>
      <x:c r="N192" s="10" t="n">
        <x:v>46315</x:v>
      </x:c>
      <x:c r="O192" s="22" t="str">
        <x:v>ยังไม่ตรวจ</x:v>
      </x:c>
      <x:c r="P192" s="22" t="str">
        <x:v>ยังไม่ติดต่อ</x:v>
      </x:c>
    </x:row>
    <x:row r="193" ht="66" customHeight="1">
      <x:c r="A193" s="9" t="n">
        <x:v>185</x:v>
      </x:c>
      <x:c r="B193" s="20" t="str">
        <x:v>อันดามันดา ภูเก็ต</x:v>
      </x:c>
      <x:c r="C193" s="20" t="str">
        <x:v>ภูเก็ต</x:v>
      </x:c>
      <x:c r="D193" s="20" t="str">
        <x:v>สวนน้ำ</x:v>
      </x:c>
      <x:c r="E193" s="20" t="str">
        <x:v>ผู้ประกอบการระบุอาหารฮาลาล ห้องละหมาดแยกชายหญิง ทิศกิบลัตและพรม ต้องตรวจใบรับรองและการแยกพื้นที่แอลกอฮอล์</x:v>
      </x:c>
      <x:c r="F193" s="20" t="str">
        <x:v>แหล่งข้อมูลระบุว่ามี</x:v>
      </x:c>
      <x:c r="G193" s="20" t="str">
        <x:v>ยังไม่พบเอกสารรับรองและวันหมดอายุ</x:v>
      </x:c>
      <x:c r="H19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3" s="20" t="str">
        <x:v>ดูรายละเอียดในแหล่งอ้างอิง</x:v>
      </x:c>
      <x:c r="J193" s="21" t="str">
        <x:v>ยังไม่พบข้อมูล</x:v>
      </x:c>
      <x:c r="K193" s="23" t="e">
        <x:f>HYPERLINK("https://www.andamandaphuket.com/th/node/339","เปิดแหล่งข้อมูล 1")</x:f>
        <x:v>HYPERLINK is not implemented. linkLocation=https://www.andamandaphuket.com/th/node/339, friendlyName=เปิดแหล่งข้อมูล 1</x:v>
      </x:c>
      <x:c r="L193" s="23" t="e">
        <x:f>HYPERLINK("https://th.trip.com/travel-guide/attraction/phuket/andamanda-phuket-waterpark-133979403?curr=CNY&amp;locale=th-TH","เปิดแหล่งข้อมูล 2")</x:f>
        <x:v>HYPERLINK is not implemented. linkLocation=https://th.trip.com/travel-guide/attraction/phuket/andamanda-phuket-waterpark-133979403?curr=CNY&amp;locale=th-TH, friendlyName=เปิดแหล่งข้อมูล 2</x:v>
      </x:c>
      <x:c r="M193" s="20" t="str">
        <x:v>ผลค้นหาชื่อสัมพันธ์จากแหล่งเพิ่มเติม ต้องยืนยันสาขาและข้อมูลปัจจุบัน</x:v>
      </x:c>
      <x:c r="N193" s="10" t="n">
        <x:v>46315</x:v>
      </x:c>
      <x:c r="O193" s="22" t="str">
        <x:v>ยังไม่ตรวจ</x:v>
      </x:c>
      <x:c r="P193" s="22" t="str">
        <x:v>ยังไม่ติดต่อ</x:v>
      </x:c>
    </x:row>
    <x:row r="194" ht="66" customHeight="1">
      <x:c r="A194" s="9" t="n">
        <x:v>186</x:v>
      </x:c>
      <x:c r="B194" s="20" t="str">
        <x:v>Martabak Ramunrin - มาร์ตาบัค มานิส สาขายะลา</x:v>
      </x:c>
      <x:c r="C194" s="20" t="str">
        <x:v>ยะลา</x:v>
      </x:c>
      <x:c r="D194" s="20" t="str">
        <x:v>ร้านอาหาร</x:v>
      </x:c>
      <x:c r="E194" s="20" t="str">
        <x:v>Makan Verify; ระบุมีห้องละหมาด</x:v>
      </x:c>
      <x:c r="F194" s="20" t="str">
        <x:v>แหล่งข้อมูลระบุว่ามี</x:v>
      </x:c>
      <x:c r="G194" s="20" t="str">
        <x:v>ยังไม่พบเอกสารรับรองและวันหมดอายุ</x:v>
      </x:c>
      <x:c r="H19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4" s="20" t="str">
        <x:v>ล็อคe6 หลังราชภัฎยะลา 3 ถนนผังเมือง 3 ตำบลสะเตง อำเภอเมืองจังหวัดยะลา 95000</x:v>
      </x:c>
      <x:c r="J194" s="21" t="str">
        <x:v>0856402828</x:v>
      </x:c>
      <x:c r="K194" s="23" t="e">
        <x:f>HYPERLINK("https://makanhalalguide.com/shop/detail/6053","เปิดแหล่งข้อมูล 1")</x:f>
        <x:v>HYPERLINK is not implemented. linkLocation=https://makanhalalguide.com/shop/detail/6053, friendlyName=เปิดแหล่งข้อมูล 1</x:v>
      </x:c>
      <x:c r="L194" s="23" t="e">
        <x:f>HYPERLINK("https://www.wongnai.com/restaurants/2830007UG-%E0%B8%A1%E0%B8%B2%E0%B8%A3%E0%B9%8C%E0%B8%95%E0%B8%B2%E0%B8%9A%E0%B8%B1%E0%B8%84-%E0%B8%A1%E0%B8%B2%E0%B8%99%E0%B8%B4%E0%B8%AA-martabak-ramunrin-%E0%B8%A2%E0%B8%B0%E0%B8%A5%E0%B8%B2","เปิดแหล่งข้อมูล 2")</x:f>
        <x:v>HYPERLINK is not implemented. linkLocation=https://www.wongnai.com/restaurants/2830007UG-%E0%B8%A1%E0%B8%B2%E0%B8%A3%E0%B9%8C%E0%B8%95%E0%B8%B2%E0%B8%9A%E0%B8%B1%E0%B8%84-%E0%B8%A1%E0%B8%B2%E0%B8%99%E0%B8%B4%E0%B8%AA-martabak-ramunrin-%E0%B8%A2%E0%B8%B0%E0%B8%A5%E0%B8%B2, friendlyName=เปิดแหล่งข้อมูล 2</x:v>
      </x:c>
      <x:c r="M194" s="20" t="str">
        <x:v>ผลค้นหาชื่อสัมพันธ์จากแหล่งเพิ่มเติม ต้องยืนยันสาขาและข้อมูลปัจจุบัน</x:v>
      </x:c>
      <x:c r="N194" s="10" t="n">
        <x:v>46315</x:v>
      </x:c>
      <x:c r="O194" s="22" t="str">
        <x:v>ยังไม่ตรวจ</x:v>
      </x:c>
      <x:c r="P194" s="22" t="str">
        <x:v>ยังไม่ติดต่อ</x:v>
      </x:c>
    </x:row>
    <x:row r="195" ht="66" customHeight="1">
      <x:c r="A195" s="9" t="n">
        <x:v>187</x:v>
      </x:c>
      <x:c r="B195" s="20" t="str">
        <x:v>Tokoroaster Coffee And Cycling</x:v>
      </x:c>
      <x:c r="C195" s="20" t="str">
        <x:v>ยะลา</x:v>
      </x:c>
      <x:c r="D195" s="20" t="str">
        <x:v>คาเฟ่และร้านของหวาน</x:v>
      </x:c>
      <x:c r="E195" s="20" t="str">
        <x:v>Makan Verify; ระบุมีห้องละหมาด</x:v>
      </x:c>
      <x:c r="F195" s="20" t="str">
        <x:v>แหล่งข้อมูลระบุว่ามี</x:v>
      </x:c>
      <x:c r="G195" s="20" t="str">
        <x:v>ยังไม่พบเอกสารรับรองและวันหมดอายุ</x:v>
      </x:c>
      <x:c r="H19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5" s="20" t="str">
        <x:v>ถนนกาญจนา 1 สะเตง อำเภอเมืองยะลา ยะลา 95000</x:v>
      </x:c>
      <x:c r="J195" s="21" t="str">
        <x:v>0952485569</x:v>
      </x:c>
      <x:c r="K195" s="23" t="e">
        <x:f>HYPERLINK("https://makanhalalguide.com/shop/detail/6006","เปิดแหล่งข้อมูล 1")</x:f>
        <x:v>HYPERLINK is not implemented. linkLocation=https://makanhalalguide.com/shop/detail/6006, friendlyName=เปิดแหล่งข้อมูล 1</x:v>
      </x:c>
      <x:c r="L195" s="23" t="e">
        <x:f>HYPERLINK("https://tokoroaster-specialty-coffee.goto-where.com/","เปิดแหล่งข้อมูล 2")</x:f>
        <x:v>HYPERLINK is not implemented. linkLocation=https://tokoroaster-specialty-coffee.goto-where.com/, friendlyName=เปิดแหล่งข้อมูล 2</x:v>
      </x:c>
      <x:c r="M195" s="20" t="str">
        <x:v>ผลค้นหาชื่อสัมพันธ์จากแหล่งเพิ่มเติม ต้องยืนยันสาขาและข้อมูลปัจจุบัน</x:v>
      </x:c>
      <x:c r="N195" s="10" t="n">
        <x:v>46315</x:v>
      </x:c>
      <x:c r="O195" s="22" t="str">
        <x:v>ยังไม่ตรวจ</x:v>
      </x:c>
      <x:c r="P195" s="22" t="str">
        <x:v>ยังไม่ติดต่อ</x:v>
      </x:c>
    </x:row>
    <x:row r="196" ht="66" customHeight="1">
      <x:c r="A196" s="9" t="n">
        <x:v>188</x:v>
      </x:c>
      <x:c r="B196" s="20" t="str">
        <x:v>wawa_cafe</x:v>
      </x:c>
      <x:c r="C196" s="20" t="str">
        <x:v>ยะลา</x:v>
      </x:c>
      <x:c r="D196" s="20" t="str">
        <x:v>คาเฟ่และร้านของหวาน</x:v>
      </x:c>
      <x:c r="E196" s="20" t="str">
        <x:v>Makan Verify; ระบุมีห้องละหมาด</x:v>
      </x:c>
      <x:c r="F196" s="20" t="str">
        <x:v>แหล่งข้อมูลระบุว่ามี</x:v>
      </x:c>
      <x:c r="G196" s="20" t="str">
        <x:v>ยังไม่พบเอกสารรับรองและวันหมดอายุ</x:v>
      </x:c>
      <x:c r="H19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6" s="20" t="str">
        <x:v>สามแยกศูนย์เยาชน ถนนสิโรรส ตำบลสะเตง อำเภอเมือง จังหวัดยะลา 95000</x:v>
      </x:c>
      <x:c r="J196" s="21" t="str">
        <x:v>0973368317</x:v>
      </x:c>
      <x:c r="K196" s="23" t="e">
        <x:f>HYPERLINK("https://makanhalalguide.com/shop/detail/5989","เปิดแหล่งข้อมูล 1")</x:f>
        <x:v>HYPERLINK is not implemented. linkLocation=https://makanhalalguide.com/shop/detail/5989, friendlyName=เปิดแหล่งข้อมูล 1</x:v>
      </x:c>
      <x:c r="L196" s="23" t="str"/>
      <x:c r="M196" s="20" t="str"/>
      <x:c r="N196" s="10" t="n">
        <x:v>46315</x:v>
      </x:c>
      <x:c r="O196" s="22" t="str">
        <x:v>ยังไม่ตรวจ</x:v>
      </x:c>
      <x:c r="P196" s="22" t="str">
        <x:v>ยังไม่ติดต่อ</x:v>
      </x:c>
    </x:row>
    <x:row r="197" ht="66" customHeight="1">
      <x:c r="A197" s="9" t="n">
        <x:v>189</x:v>
      </x:c>
      <x:c r="B197" s="20" t="str">
        <x:v>ก๋วยเตี๋ยวประชาชื่น</x:v>
      </x:c>
      <x:c r="C197" s="20" t="str">
        <x:v>ยะลา</x:v>
      </x:c>
      <x:c r="D197" s="20" t="str">
        <x:v>ร้านอาหาร</x:v>
      </x:c>
      <x:c r="E197" s="20" t="str">
        <x:v>Makan Verify; ระบุมีห้องละหมาด</x:v>
      </x:c>
      <x:c r="F197" s="20" t="str">
        <x:v>แหล่งข้อมูลระบุว่ามี</x:v>
      </x:c>
      <x:c r="G197" s="20" t="str">
        <x:v>ยังไม่พบเอกสารรับรองและวันหมดอายุ</x:v>
      </x:c>
      <x:c r="H19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7" s="20" t="str">
        <x:v>ข้างในประชาชื่น ถนนผังเมือง 4 ตำบลสะเตง อำเภอเมือง จังหวัดยะลา 95000</x:v>
      </x:c>
      <x:c r="J197" s="21" t="str">
        <x:v>0910165425</x:v>
      </x:c>
      <x:c r="K197" s="23" t="e">
        <x:f>HYPERLINK("https://makanhalalguide.com/shop/detail/6023","เปิดแหล่งข้อมูล 1")</x:f>
        <x:v>HYPERLINK is not implemented. linkLocation=https://makanhalalguide.com/shop/detail/6023, friendlyName=เปิดแหล่งข้อมูล 1</x:v>
      </x:c>
      <x:c r="L197" s="23" t="str"/>
      <x:c r="M197" s="20" t="str"/>
      <x:c r="N197" s="10" t="n">
        <x:v>46315</x:v>
      </x:c>
      <x:c r="O197" s="22" t="str">
        <x:v>ยังไม่ตรวจ</x:v>
      </x:c>
      <x:c r="P197" s="22" t="str">
        <x:v>ยังไม่ติดต่อ</x:v>
      </x:c>
    </x:row>
    <x:row r="198" ht="66" customHeight="1">
      <x:c r="A198" s="9" t="n">
        <x:v>190</x:v>
      </x:c>
      <x:c r="B198" s="20" t="str">
        <x:v>ขนมไข่เต๋า เจ้าเก่า สูตรดั้งเดิม</x:v>
      </x:c>
      <x:c r="C198" s="20" t="str">
        <x:v>ยะลา</x:v>
      </x:c>
      <x:c r="D198" s="20" t="str">
        <x:v>คาเฟ่และร้านของหวาน</x:v>
      </x:c>
      <x:c r="E198" s="20" t="str">
        <x:v>Makan Verify; ระบุมีห้องละหมาด</x:v>
      </x:c>
      <x:c r="F198" s="20" t="str">
        <x:v>แหล่งข้อมูลระบุว่ามี</x:v>
      </x:c>
      <x:c r="G198" s="20" t="str">
        <x:v>ยังไม่พบเอกสารรับรองและวันหมดอายุ</x:v>
      </x:c>
      <x:c r="H19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8" s="20" t="str">
        <x:v>ข้างในประชาชื่น ถนนผังเมือง 4 ตำบลสะเตง อำเภอเมือง จังหวัดยะลา 95000</x:v>
      </x:c>
      <x:c r="J198" s="21" t="str">
        <x:v>0630736374</x:v>
      </x:c>
      <x:c r="K198" s="23" t="e">
        <x:f>HYPERLINK("https://makanhalalguide.com/shop/detail/6024","เปิดแหล่งข้อมูล 1")</x:f>
        <x:v>HYPERLINK is not implemented. linkLocation=https://makanhalalguide.com/shop/detail/6024, friendlyName=เปิดแหล่งข้อมูล 1</x:v>
      </x:c>
      <x:c r="L198" s="23" t="str"/>
      <x:c r="M198" s="20" t="str"/>
      <x:c r="N198" s="10" t="n">
        <x:v>46315</x:v>
      </x:c>
      <x:c r="O198" s="22" t="str">
        <x:v>ยังไม่ตรวจ</x:v>
      </x:c>
      <x:c r="P198" s="22" t="str">
        <x:v>ยังไม่ติดต่อ</x:v>
      </x:c>
    </x:row>
    <x:row r="199" ht="66" customHeight="1">
      <x:c r="A199" s="9" t="n">
        <x:v>191</x:v>
      </x:c>
      <x:c r="B199" s="20" t="str">
        <x:v>ซาซ่า ยำแซ่บซี๊ด</x:v>
      </x:c>
      <x:c r="C199" s="20" t="str">
        <x:v>ยะลา</x:v>
      </x:c>
      <x:c r="D199" s="20" t="str">
        <x:v>ร้านอาหาร</x:v>
      </x:c>
      <x:c r="E199" s="20" t="str">
        <x:v>Makan Verify; ระบุมีห้องละหมาด</x:v>
      </x:c>
      <x:c r="F199" s="20" t="str">
        <x:v>แหล่งข้อมูลระบุว่ามี</x:v>
      </x:c>
      <x:c r="G199" s="20" t="str">
        <x:v>ยังไม่พบเอกสารรับรองและวันหมดอายุ</x:v>
      </x:c>
      <x:c r="H19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199" s="20" t="str">
        <x:v>ล็อค8 หลังราชภัฎยะลา ตำบลสะเตง อำเภอเมืองจังหวัดยะลา 95000</x:v>
      </x:c>
      <x:c r="J199" s="21" t="str">
        <x:v>0843121725</x:v>
      </x:c>
      <x:c r="K199" s="23" t="e">
        <x:f>HYPERLINK("https://makanhalalguide.com/shop/detail/6051","เปิดแหล่งข้อมูล 1")</x:f>
        <x:v>HYPERLINK is not implemented. linkLocation=https://makanhalalguide.com/shop/detail/6051, friendlyName=เปิดแหล่งข้อมูล 1</x:v>
      </x:c>
      <x:c r="L199" s="23" t="str"/>
      <x:c r="M199" s="20" t="str"/>
      <x:c r="N199" s="10" t="n">
        <x:v>46315</x:v>
      </x:c>
      <x:c r="O199" s="22" t="str">
        <x:v>ยังไม่ตรวจ</x:v>
      </x:c>
      <x:c r="P199" s="22" t="str">
        <x:v>ยังไม่ติดต่อ</x:v>
      </x:c>
    </x:row>
    <x:row r="200" ht="66" customHeight="1">
      <x:c r="A200" s="9" t="n">
        <x:v>192</x:v>
      </x:c>
      <x:c r="B200" s="20" t="str">
        <x:v>ซูเฟียนโภชนา</x:v>
      </x:c>
      <x:c r="C200" s="20" t="str">
        <x:v>ยะลา</x:v>
      </x:c>
      <x:c r="D200" s="20" t="str">
        <x:v>ร้านอาหาร</x:v>
      </x:c>
      <x:c r="E200" s="20" t="str">
        <x:v>Makan Verify; ระบุมีห้องละหมาด</x:v>
      </x:c>
      <x:c r="F200" s="20" t="str">
        <x:v>แหล่งข้อมูลระบุว่ามี</x:v>
      </x:c>
      <x:c r="G200" s="20" t="str">
        <x:v>ยังไม่พบเอกสารรับรองและวันหมดอายุ</x:v>
      </x:c>
      <x:c r="H20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0" s="20" t="str">
        <x:v>เทศบาลนครยะลา สะเตง อำเภอเมืองยะลา ยะลา</x:v>
      </x:c>
      <x:c r="J200" s="21" t="str">
        <x:v>0986581310</x:v>
      </x:c>
      <x:c r="K200" s="23" t="e">
        <x:f>HYPERLINK("https://makanhalalguide.com/shop/detail/5975","เปิดแหล่งข้อมูล 1")</x:f>
        <x:v>HYPERLINK is not implemented. linkLocation=https://makanhalalguide.com/shop/detail/5975, friendlyName=เปิดแหล่งข้อมูล 1</x:v>
      </x:c>
      <x:c r="L200" s="23" t="e">
        <x:f>HYPERLINK("https://www.wongnai.com/reviews/d0a2368ceffb483bbf84045f4fa98da0","เปิดแหล่งข้อมูล 2")</x:f>
        <x:v>HYPERLINK is not implemented. linkLocation=https://www.wongnai.com/reviews/d0a2368ceffb483bbf84045f4fa98da0, friendlyName=เปิดแหล่งข้อมูล 2</x:v>
      </x:c>
      <x:c r="M200" s="20" t="str">
        <x:v>ผลค้นหาชื่อสัมพันธ์จากแหล่งเพิ่มเติม ต้องยืนยันสาขาและข้อมูลปัจจุบัน</x:v>
      </x:c>
      <x:c r="N200" s="10" t="n">
        <x:v>46315</x:v>
      </x:c>
      <x:c r="O200" s="22" t="str">
        <x:v>ยังไม่ตรวจ</x:v>
      </x:c>
      <x:c r="P200" s="22" t="str">
        <x:v>ยังไม่ติดต่อ</x:v>
      </x:c>
    </x:row>
    <x:row r="201" ht="66" customHeight="1">
      <x:c r="A201" s="9" t="n">
        <x:v>193</x:v>
      </x:c>
      <x:c r="B201" s="20" t="str">
        <x:v>ดีเอ็นอาร์ ช็อป</x:v>
      </x:c>
      <x:c r="C201" s="20" t="str">
        <x:v>ยะลา</x:v>
      </x:c>
      <x:c r="D201" s="20" t="str">
        <x:v>ร้านอาหาร</x:v>
      </x:c>
      <x:c r="E201" s="20" t="str">
        <x:v>Makan Verify; ระบุมีห้องละหมาด</x:v>
      </x:c>
      <x:c r="F201" s="20" t="str">
        <x:v>แหล่งข้อมูลระบุว่ามี</x:v>
      </x:c>
      <x:c r="G201" s="20" t="str">
        <x:v>ยังไม่พบเอกสารรับรองและวันหมดอายุ</x:v>
      </x:c>
      <x:c r="H20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1" s="20" t="str">
        <x:v>ล็อคe5 หลังราชภัฎยะลา ตำบลสะเตง อำเภอเมืองจังหวัดยะลา 95000</x:v>
      </x:c>
      <x:c r="J201" s="21" t="str">
        <x:v>0616098074</x:v>
      </x:c>
      <x:c r="K201" s="23" t="e">
        <x:f>HYPERLINK("https://makanhalalguide.com/shop/detail/6052","เปิดแหล่งข้อมูล 1")</x:f>
        <x:v>HYPERLINK is not implemented. linkLocation=https://makanhalalguide.com/shop/detail/6052, friendlyName=เปิดแหล่งข้อมูล 1</x:v>
      </x:c>
      <x:c r="L201" s="23" t="str"/>
      <x:c r="M201" s="20" t="str"/>
      <x:c r="N201" s="10" t="n">
        <x:v>46315</x:v>
      </x:c>
      <x:c r="O201" s="22" t="str">
        <x:v>ยังไม่ตรวจ</x:v>
      </x:c>
      <x:c r="P201" s="22" t="str">
        <x:v>ยังไม่ติดต่อ</x:v>
      </x:c>
    </x:row>
    <x:row r="202" ht="66" customHeight="1">
      <x:c r="A202" s="9" t="n">
        <x:v>194</x:v>
      </x:c>
      <x:c r="B202" s="20" t="str">
        <x:v>ตะกงแกง</x:v>
      </x:c>
      <x:c r="C202" s="20" t="str">
        <x:v>ยะลา</x:v>
      </x:c>
      <x:c r="D202" s="20" t="str">
        <x:v>ร้านอาหาร</x:v>
      </x:c>
      <x:c r="E202" s="20" t="str">
        <x:v>Makan Verify; ระบุมีห้องละหมาด</x:v>
      </x:c>
      <x:c r="F202" s="20" t="str">
        <x:v>แหล่งข้อมูลระบุว่ามี</x:v>
      </x:c>
      <x:c r="G202" s="20" t="str">
        <x:v>ยังไม่พบเอกสารรับรองและวันหมดอายุ</x:v>
      </x:c>
      <x:c r="H20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2" s="20" t="str">
        <x:v>ตรงข้ามหน้าประตูโรงเรียนคณะราษ
39 ถนน จงรักษ์ สะเตง อำเภอเมืองยะลา ยะลา 95000</x:v>
      </x:c>
      <x:c r="J202" s="21" t="str">
        <x:v>0621510024</x:v>
      </x:c>
      <x:c r="K202" s="23" t="e">
        <x:f>HYPERLINK("https://makanhalalguide.com/shop/detail/5999","เปิดแหล่งข้อมูล 1")</x:f>
        <x:v>HYPERLINK is not implemented. linkLocation=https://makanhalalguide.com/shop/detail/5999, friendlyName=เปิดแหล่งข้อมูล 1</x:v>
      </x:c>
      <x:c r="L202" s="23" t="e">
        <x:f>HYPERLINK("https://www.wongnai.com/restaurants/448029JW-%E0%B8%95%E0%B8%B0%E0%B8%81%E0%B8%87%E0%B9%81%E0%B8%81%E0%B8%87","เปิดแหล่งข้อมูล 2")</x:f>
        <x:v>HYPERLINK is not implemented. linkLocation=https://www.wongnai.com/restaurants/448029JW-%E0%B8%95%E0%B8%B0%E0%B8%81%E0%B8%87%E0%B9%81%E0%B8%81%E0%B8%87, friendlyName=เปิดแหล่งข้อมูล 2</x:v>
      </x:c>
      <x:c r="M202" s="20" t="str">
        <x:v>ผลค้นหาชื่อสัมพันธ์จากแหล่งเพิ่มเติม ต้องยืนยันสาขาและข้อมูลปัจจุบัน</x:v>
      </x:c>
      <x:c r="N202" s="10" t="n">
        <x:v>46315</x:v>
      </x:c>
      <x:c r="O202" s="22" t="str">
        <x:v>ยังไม่ตรวจ</x:v>
      </x:c>
      <x:c r="P202" s="22" t="str">
        <x:v>ยังไม่ติดต่อ</x:v>
      </x:c>
    </x:row>
    <x:row r="203" ht="66" customHeight="1">
      <x:c r="A203" s="9" t="n">
        <x:v>195</x:v>
      </x:c>
      <x:c r="B203" s="20" t="str">
        <x:v>น้ำปั่นอันดาลีฟ</x:v>
      </x:c>
      <x:c r="C203" s="20" t="str">
        <x:v>ยะลา</x:v>
      </x:c>
      <x:c r="D203" s="20" t="str">
        <x:v>ร้านอาหาร</x:v>
      </x:c>
      <x:c r="E203" s="20" t="str">
        <x:v>Makan Verify; ระบุมีห้องละหมาด</x:v>
      </x:c>
      <x:c r="F203" s="20" t="str">
        <x:v>แหล่งข้อมูลระบุว่ามี</x:v>
      </x:c>
      <x:c r="G203" s="20" t="str">
        <x:v>ยังไม่พบเอกสารรับรองและวันหมดอายุ</x:v>
      </x:c>
      <x:c r="H20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3" s="20" t="str">
        <x:v>ล็อค e11 หลังราชภัฎยะลา ตำบลสะเตง อำเภอเมืองจังหวัดยะลา 95000</x:v>
      </x:c>
      <x:c r="J203" s="21" t="str">
        <x:v>0980611187</x:v>
      </x:c>
      <x:c r="K203" s="23" t="e">
        <x:f>HYPERLINK("https://makanhalalguide.com/shop/detail/6050","เปิดแหล่งข้อมูล 1")</x:f>
        <x:v>HYPERLINK is not implemented. linkLocation=https://makanhalalguide.com/shop/detail/6050, friendlyName=เปิดแหล่งข้อมูล 1</x:v>
      </x:c>
      <x:c r="L203" s="23" t="str"/>
      <x:c r="M203" s="20" t="str"/>
      <x:c r="N203" s="10" t="n">
        <x:v>46315</x:v>
      </x:c>
      <x:c r="O203" s="22" t="str">
        <x:v>ยังไม่ตรวจ</x:v>
      </x:c>
      <x:c r="P203" s="22" t="str">
        <x:v>ยังไม่ติดต่อ</x:v>
      </x:c>
    </x:row>
    <x:row r="204" ht="66" customHeight="1">
      <x:c r="A204" s="9" t="n">
        <x:v>196</x:v>
      </x:c>
      <x:c r="B204" s="20" t="str">
        <x:v>น้ำแข็งใสตรอกซอยซุป</x:v>
      </x:c>
      <x:c r="C204" s="20" t="str">
        <x:v>ยะลา</x:v>
      </x:c>
      <x:c r="D204" s="20" t="str">
        <x:v>ร้านอาหาร</x:v>
      </x:c>
      <x:c r="E204" s="20" t="str">
        <x:v>Makan Verify; ระบุมีห้องละหมาด</x:v>
      </x:c>
      <x:c r="F204" s="20" t="str">
        <x:v>แหล่งข้อมูลระบุว่ามี</x:v>
      </x:c>
      <x:c r="G204" s="20" t="str">
        <x:v>ยังไม่พบเอกสารรับรองและวันหมดอายุ</x:v>
      </x:c>
      <x:c r="H20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4" s="20" t="str">
        <x:v> เทศบาลนครยะลา สะเตง อำเภอเมืองยะลา ยะลา 95000</x:v>
      </x:c>
      <x:c r="J204" s="21" t="str">
        <x:v>0987859470</x:v>
      </x:c>
      <x:c r="K204" s="23" t="e">
        <x:f>HYPERLINK("https://makanhalalguide.com/shop/detail/5976","เปิดแหล่งข้อมูล 1")</x:f>
        <x:v>HYPERLINK is not implemented. linkLocation=https://makanhalalguide.com/shop/detail/5976, friendlyName=เปิดแหล่งข้อมูล 1</x:v>
      </x:c>
      <x:c r="L204" s="23" t="str"/>
      <x:c r="M204" s="20" t="str"/>
      <x:c r="N204" s="10" t="n">
        <x:v>46315</x:v>
      </x:c>
      <x:c r="O204" s="22" t="str">
        <x:v>ยังไม่ตรวจ</x:v>
      </x:c>
      <x:c r="P204" s="22" t="str">
        <x:v>ยังไม่ติดต่อ</x:v>
      </x:c>
    </x:row>
    <x:row r="205" ht="66" customHeight="1">
      <x:c r="A205" s="9" t="n">
        <x:v>197</x:v>
      </x:c>
      <x:c r="B205" s="20" t="str">
        <x:v>บังวีไก่ย่าง 5 บาท</x:v>
      </x:c>
      <x:c r="C205" s="20" t="str">
        <x:v>ยะลา</x:v>
      </x:c>
      <x:c r="D205" s="20" t="str">
        <x:v>ร้านอาหาร</x:v>
      </x:c>
      <x:c r="E205" s="20" t="str">
        <x:v>Makan Verify; ระบุมีห้องละหมาด</x:v>
      </x:c>
      <x:c r="F205" s="20" t="str">
        <x:v>แหล่งข้อมูลระบุว่ามี</x:v>
      </x:c>
      <x:c r="G205" s="20" t="str">
        <x:v>ยังไม่พบเอกสารรับรองและวันหมดอายุ</x:v>
      </x:c>
      <x:c r="H20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5" s="20" t="str">
        <x:v>ตลาดนัดพร่อน ตำบล พร่อน อำเภอเมืองยะลา ยะลา 95160</x:v>
      </x:c>
      <x:c r="J205" s="21" t="str">
        <x:v>0926327439</x:v>
      </x:c>
      <x:c r="K205" s="23" t="e">
        <x:f>HYPERLINK("https://makanhalalguide.com/shop/detail/6086","เปิดแหล่งข้อมูล 1")</x:f>
        <x:v>HYPERLINK is not implemented. linkLocation=https://makanhalalguide.com/shop/detail/6086, friendlyName=เปิดแหล่งข้อมูล 1</x:v>
      </x:c>
      <x:c r="L205" s="23" t="str"/>
      <x:c r="M205" s="20" t="str"/>
      <x:c r="N205" s="10" t="n">
        <x:v>46315</x:v>
      </x:c>
      <x:c r="O205" s="22" t="str">
        <x:v>ยังไม่ตรวจ</x:v>
      </x:c>
      <x:c r="P205" s="22" t="str">
        <x:v>ยังไม่ติดต่อ</x:v>
      </x:c>
    </x:row>
    <x:row r="206" ht="66" customHeight="1">
      <x:c r="A206" s="9" t="n">
        <x:v>198</x:v>
      </x:c>
      <x:c r="B206" s="20" t="str">
        <x:v>ฟารีดาซูซิ</x:v>
      </x:c>
      <x:c r="C206" s="20" t="str">
        <x:v>ยะลา</x:v>
      </x:c>
      <x:c r="D206" s="20" t="str">
        <x:v>ร้านอาหาร</x:v>
      </x:c>
      <x:c r="E206" s="20" t="str">
        <x:v>Makan Verify; ระบุมีห้องละหมาด</x:v>
      </x:c>
      <x:c r="F206" s="20" t="str">
        <x:v>แหล่งข้อมูลระบุว่ามี</x:v>
      </x:c>
      <x:c r="G206" s="20" t="str">
        <x:v>ยังไม่พบเอกสารรับรองและวันหมดอายุ</x:v>
      </x:c>
      <x:c r="H20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6" s="20" t="str">
        <x:v>ข้างในประชาชื่น ถนนผังเมือง 4 ตำบลสะเตง อำเภอเมือง จังหวัดยะลา 95000</x:v>
      </x:c>
      <x:c r="J206" s="21" t="str">
        <x:v>0645583179</x:v>
      </x:c>
      <x:c r="K206" s="23" t="e">
        <x:f>HYPERLINK("https://makanhalalguide.com/shop/detail/6025","เปิดแหล่งข้อมูล 1")</x:f>
        <x:v>HYPERLINK is not implemented. linkLocation=https://makanhalalguide.com/shop/detail/6025, friendlyName=เปิดแหล่งข้อมูล 1</x:v>
      </x:c>
      <x:c r="L206" s="23" t="str"/>
      <x:c r="M206" s="20" t="str"/>
      <x:c r="N206" s="10" t="n">
        <x:v>46315</x:v>
      </x:c>
      <x:c r="O206" s="22" t="str">
        <x:v>ยังไม่ตรวจ</x:v>
      </x:c>
      <x:c r="P206" s="22" t="str">
        <x:v>ยังไม่ติดต่อ</x:v>
      </x:c>
    </x:row>
    <x:row r="207" ht="66" customHeight="1">
      <x:c r="A207" s="9" t="n">
        <x:v>199</x:v>
      </x:c>
      <x:c r="B207" s="20" t="str">
        <x:v>หมึกย่างน้ำจิ้มซีฟู้ด</x:v>
      </x:c>
      <x:c r="C207" s="20" t="str">
        <x:v>ยะลา</x:v>
      </x:c>
      <x:c r="D207" s="20" t="str">
        <x:v>ร้านอาหาร</x:v>
      </x:c>
      <x:c r="E207" s="20" t="str">
        <x:v>Makan Verify; ระบุมีห้องละหมาด</x:v>
      </x:c>
      <x:c r="F207" s="20" t="str">
        <x:v>แหล่งข้อมูลระบุว่ามี</x:v>
      </x:c>
      <x:c r="G207" s="20" t="str">
        <x:v>ยังไม่พบเอกสารรับรองและวันหมดอายุ</x:v>
      </x:c>
      <x:c r="H20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7" s="20" t="str">
        <x:v>ตลาดนัดชินวร ก่อนถึง 3 แยกบ้านเนียง ตำบลเปาะเส้ง อำเภอเมือง จังหวัดยะลา 95000</x:v>
      </x:c>
      <x:c r="J207" s="21" t="str">
        <x:v>0831315546</x:v>
      </x:c>
      <x:c r="K207" s="23" t="e">
        <x:f>HYPERLINK("https://makanhalalguide.com/shop/detail/6078","เปิดแหล่งข้อมูล 1")</x:f>
        <x:v>HYPERLINK is not implemented. linkLocation=https://makanhalalguide.com/shop/detail/6078, friendlyName=เปิดแหล่งข้อมูล 1</x:v>
      </x:c>
      <x:c r="L207" s="23" t="str"/>
      <x:c r="M207" s="20" t="str"/>
      <x:c r="N207" s="10" t="n">
        <x:v>46315</x:v>
      </x:c>
      <x:c r="O207" s="22" t="str">
        <x:v>ยังไม่ตรวจ</x:v>
      </x:c>
      <x:c r="P207" s="22" t="str">
        <x:v>ยังไม่ติดต่อ</x:v>
      </x:c>
    </x:row>
    <x:row r="208" ht="66" customHeight="1">
      <x:c r="A208" s="9" t="n">
        <x:v>200</x:v>
      </x:c>
      <x:c r="B208" s="20" t="str">
        <x:v>โรตีนานา</x:v>
      </x:c>
      <x:c r="C208" s="20" t="str">
        <x:v>ยะลา</x:v>
      </x:c>
      <x:c r="D208" s="20" t="str">
        <x:v>คาเฟ่และร้านของหวาน</x:v>
      </x:c>
      <x:c r="E208" s="20" t="str">
        <x:v>Makan Verify; ระบุมีห้องละหมาด</x:v>
      </x:c>
      <x:c r="F208" s="20" t="str">
        <x:v>แหล่งข้อมูลระบุว่ามี</x:v>
      </x:c>
      <x:c r="G208" s="20" t="str">
        <x:v>ยังไม่พบเอกสารรับรองและวันหมดอายุ</x:v>
      </x:c>
      <x:c r="H20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8" s="20" t="str">
        <x:v>ข้างในประชาชื่น ถนนผังเมือง 4 ตำบลสะเตง อำเภอเมือง จังหวัดยะลา 95000</x:v>
      </x:c>
      <x:c r="J208" s="21" t="str">
        <x:v>0830799667</x:v>
      </x:c>
      <x:c r="K208" s="23" t="e">
        <x:f>HYPERLINK("https://makanhalalguide.com/shop/detail/6022","เปิดแหล่งข้อมูล 1")</x:f>
        <x:v>HYPERLINK is not implemented. linkLocation=https://makanhalalguide.com/shop/detail/6022, friendlyName=เปิดแหล่งข้อมูล 1</x:v>
      </x:c>
      <x:c r="L208" s="23" t="str"/>
      <x:c r="M208" s="20" t="str"/>
      <x:c r="N208" s="10" t="n">
        <x:v>46315</x:v>
      </x:c>
      <x:c r="O208" s="22" t="str">
        <x:v>ยังไม่ตรวจ</x:v>
      </x:c>
      <x:c r="P208" s="22" t="str">
        <x:v>ยังไม่ติดต่อ</x:v>
      </x:c>
    </x:row>
    <x:row r="209" ht="66" customHeight="1">
      <x:c r="A209" s="9" t="n">
        <x:v>201</x:v>
      </x:c>
      <x:c r="B209" s="20" t="str">
        <x:v>BANG KEE BURGER</x:v>
      </x:c>
      <x:c r="C209" s="20" t="str">
        <x:v>ระยอง</x:v>
      </x:c>
      <x:c r="D209" s="20" t="str">
        <x:v>ร้านอาหาร</x:v>
      </x:c>
      <x:c r="E209" s="20" t="str">
        <x:v>Makan Verify; ระบุมีห้องละหมาด</x:v>
      </x:c>
      <x:c r="F209" s="20" t="str">
        <x:v>แหล่งข้อมูลระบุว่ามี</x:v>
      </x:c>
      <x:c r="G209" s="20" t="str">
        <x:v>ยังไม่พบเอกสารรับรองและวันหมดอายุ</x:v>
      </x:c>
      <x:c r="H20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09" s="20" t="str">
        <x:v>97 นครระยอง 64 ตำบล ท่าประดู่ อำเภอเมืองระยอง ระยอง 21000</x:v>
      </x:c>
      <x:c r="J209" s="21" t="str">
        <x:v>0926014058</x:v>
      </x:c>
      <x:c r="K209" s="23" t="e">
        <x:f>HYPERLINK("https://makanhalalguide.com/shop/detail/6160","เปิดแหล่งข้อมูล 1")</x:f>
        <x:v>HYPERLINK is not implemented. linkLocation=https://makanhalalguide.com/shop/detail/6160, friendlyName=เปิดแหล่งข้อมูล 1</x:v>
      </x:c>
      <x:c r="L209" s="23" t="str"/>
      <x:c r="M209" s="20" t="str"/>
      <x:c r="N209" s="10" t="n">
        <x:v>46315</x:v>
      </x:c>
      <x:c r="O209" s="22" t="str">
        <x:v>ยังไม่ตรวจ</x:v>
      </x:c>
      <x:c r="P209" s="22" t="str">
        <x:v>ยังไม่ติดต่อ</x:v>
      </x:c>
    </x:row>
    <x:row r="210" ht="66" customHeight="1">
      <x:c r="A210" s="9" t="n">
        <x:v>202</x:v>
      </x:c>
      <x:c r="B210" s="20" t="str">
        <x:v>Hala Little Home Rayong</x:v>
      </x:c>
      <x:c r="C210" s="20" t="str">
        <x:v>ระยอง</x:v>
      </x:c>
      <x:c r="D210" s="20" t="str">
        <x:v>ร้านอาหาร</x:v>
      </x:c>
      <x:c r="E210" s="20" t="str">
        <x:v>Makan Verify; ระบุมีห้องละหมาด</x:v>
      </x:c>
      <x:c r="F210" s="20" t="str">
        <x:v>แหล่งข้อมูลระบุว่ามี</x:v>
      </x:c>
      <x:c r="G210" s="20" t="str">
        <x:v>ยังไม่พบเอกสารรับรองและวันหมดอายุ</x:v>
      </x:c>
      <x:c r="H21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0" s="20" t="str">
        <x:v>ถนนเลียบชายฝั่ง ปากน้ำ เมือง ระยอง 21000</x:v>
      </x:c>
      <x:c r="J210" s="21" t="str">
        <x:v>0811257132</x:v>
      </x:c>
      <x:c r="K210" s="23" t="e">
        <x:f>HYPERLINK("https://makanhalalguide.com/shop/detail/5960","เปิดแหล่งข้อมูล 1")</x:f>
        <x:v>HYPERLINK is not implemented. linkLocation=https://makanhalalguide.com/shop/detail/5960, friendlyName=เปิดแหล่งข้อมูล 1</x:v>
      </x:c>
      <x:c r="L210" s="23" t="str"/>
      <x:c r="M210" s="20" t="str"/>
      <x:c r="N210" s="10" t="n">
        <x:v>46315</x:v>
      </x:c>
      <x:c r="O210" s="22" t="str">
        <x:v>ยังไม่ตรวจ</x:v>
      </x:c>
      <x:c r="P210" s="22" t="str">
        <x:v>ยังไม่ติดต่อ</x:v>
      </x:c>
    </x:row>
    <x:row r="211" ht="66" customHeight="1">
      <x:c r="A211" s="9" t="n">
        <x:v>203</x:v>
      </x:c>
      <x:c r="B211" s="20" t="str">
        <x:v>Zento Cafe &amp; Pool villa</x:v>
      </x:c>
      <x:c r="C211" s="20" t="str">
        <x:v>ระยอง</x:v>
      </x:c>
      <x:c r="D211" s="20" t="str">
        <x:v>คาเฟ่และร้านของหวาน</x:v>
      </x:c>
      <x:c r="E211" s="20" t="str">
        <x:v>มีรายชื่อใน Makan Halal Guide; ระบุมีห้องละหมาด</x:v>
      </x:c>
      <x:c r="F211" s="20" t="str">
        <x:v>แหล่งข้อมูลระบุว่ามี</x:v>
      </x:c>
      <x:c r="G211" s="20" t="str">
        <x:v>ยังไม่พบเอกสารรับรองและวันหมดอายุ</x:v>
      </x:c>
      <x:c r="H21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1" s="20" t="str">
        <x:v>ถนนวโนภาส ซอย 8 อำเภอเมืองระยอง ระยอง 21160</x:v>
      </x:c>
      <x:c r="J211" s="21" t="str">
        <x:v>0984360724</x:v>
      </x:c>
      <x:c r="K211" s="23" t="e">
        <x:f>HYPERLINK("https://makanhalalguide.com/shop/detail/5961","เปิดแหล่งข้อมูล 1")</x:f>
        <x:v>HYPERLINK is not implemented. linkLocation=https://makanhalalguide.com/shop/detail/5961, friendlyName=เปิดแหล่งข้อมูล 1</x:v>
      </x:c>
      <x:c r="L211" s="23" t="e">
        <x:f>HYPERLINK("https://www.lemon8-app.com/%40anpan_mn/7563126694253560337?region=th","เปิดแหล่งข้อมูล 2")</x:f>
        <x:v>HYPERLINK is not implemented. linkLocation=https://www.lemon8-app.com/%40anpan_mn/7563126694253560337?region=th, friendlyName=เปิดแหล่งข้อมูล 2</x:v>
      </x:c>
      <x:c r="M211" s="20" t="str">
        <x:v>ผลค้นหาชื่อสัมพันธ์จากแหล่งเพิ่มเติม ต้องยืนยันสาขาและข้อมูลปัจจุบัน</x:v>
      </x:c>
      <x:c r="N211" s="10" t="n">
        <x:v>46315</x:v>
      </x:c>
      <x:c r="O211" s="22" t="str">
        <x:v>ยังไม่ตรวจ</x:v>
      </x:c>
      <x:c r="P211" s="22" t="str">
        <x:v>ยังไม่ติดต่อ</x:v>
      </x:c>
    </x:row>
    <x:row r="212" ht="66" customHeight="1">
      <x:c r="A212" s="9" t="n">
        <x:v>204</x:v>
      </x:c>
      <x:c r="B212" s="20" t="str">
        <x:v>จูนาฮาลาล</x:v>
      </x:c>
      <x:c r="C212" s="20" t="str">
        <x:v>ระยอง</x:v>
      </x:c>
      <x:c r="D212" s="20" t="str">
        <x:v>ร้านอาหาร</x:v>
      </x:c>
      <x:c r="E212" s="20" t="str">
        <x:v>Makan Verify; ระบุมีห้องละหมาด</x:v>
      </x:c>
      <x:c r="F212" s="20" t="str">
        <x:v>แหล่งข้อมูลระบุว่ามี</x:v>
      </x:c>
      <x:c r="G212" s="20" t="str">
        <x:v>ยังไม่พบเอกสารรับรองและวันหมดอายุ</x:v>
      </x:c>
      <x:c r="H21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2" s="20" t="str">
        <x:v>ริมถนนติดกับชูชาติ ซุปเปอร์สโตร์ ตำบลตะพง อำเภอเมืองระยอง ระยอง 21160</x:v>
      </x:c>
      <x:c r="J212" s="21" t="str">
        <x:v>0902893978</x:v>
      </x:c>
      <x:c r="K212" s="23" t="e">
        <x:f>HYPERLINK("https://makanhalalguide.com/shop/detail/6126","เปิดแหล่งข้อมูล 1")</x:f>
        <x:v>HYPERLINK is not implemented. linkLocation=https://makanhalalguide.com/shop/detail/6126, friendlyName=เปิดแหล่งข้อมูล 1</x:v>
      </x:c>
      <x:c r="L212" s="23" t="str"/>
      <x:c r="M212" s="20" t="str"/>
      <x:c r="N212" s="10" t="n">
        <x:v>46315</x:v>
      </x:c>
      <x:c r="O212" s="22" t="str">
        <x:v>ยังไม่ตรวจ</x:v>
      </x:c>
      <x:c r="P212" s="22" t="str">
        <x:v>ยังไม่ติดต่อ</x:v>
      </x:c>
    </x:row>
    <x:row r="213" ht="66" customHeight="1">
      <x:c r="A213" s="9" t="n">
        <x:v>205</x:v>
      </x:c>
      <x:c r="B213" s="20" t="str">
        <x:v>ตัสกีนข้าวมันไก่มุสลิม สูตรไหหลำ</x:v>
      </x:c>
      <x:c r="C213" s="20" t="str">
        <x:v>ระยอง</x:v>
      </x:c>
      <x:c r="D213" s="20" t="str">
        <x:v>ร้านอาหาร</x:v>
      </x:c>
      <x:c r="E213" s="20" t="str">
        <x:v>Makan Verify; ระบุมีห้องละหมาด</x:v>
      </x:c>
      <x:c r="F213" s="20" t="str">
        <x:v>แหล่งข้อมูลระบุว่ามี</x:v>
      </x:c>
      <x:c r="G213" s="20" t="str">
        <x:v>ยังไม่พบเอกสารรับรองและวันหมดอายุ</x:v>
      </x:c>
      <x:c r="H21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3" s="20" t="str">
        <x:v>ร้านอยู่ตรง 4 แยกกระเฉดตรงเข้ามาประมาณ 600  ตำบลกะเฉด อำเภอเมืองระยอง 21100</x:v>
      </x:c>
      <x:c r="J213" s="21" t="str">
        <x:v>0901205374</x:v>
      </x:c>
      <x:c r="K213" s="23" t="e">
        <x:f>HYPERLINK("https://makanhalalguide.com/shop/detail/6124","เปิดแหล่งข้อมูล 1")</x:f>
        <x:v>HYPERLINK is not implemented. linkLocation=https://makanhalalguide.com/shop/detail/6124, friendlyName=เปิดแหล่งข้อมูล 1</x:v>
      </x:c>
      <x:c r="L213" s="23" t="e">
        <x:f>HYPERLINK("https://www.lemon8-app.com/%40tumrakhongthankhun/7645099750262145543?region=th","เปิดแหล่งข้อมูล 2")</x:f>
        <x:v>HYPERLINK is not implemented. linkLocation=https://www.lemon8-app.com/%40tumrakhongthankhun/7645099750262145543?region=th, friendlyName=เปิดแหล่งข้อมูล 2</x:v>
      </x:c>
      <x:c r="M213" s="20" t="str">
        <x:v>ผลค้นหาชื่อสัมพันธ์จากแหล่งเพิ่มเติม ต้องยืนยันสาขาและข้อมูลปัจจุบัน</x:v>
      </x:c>
      <x:c r="N213" s="10" t="n">
        <x:v>46315</x:v>
      </x:c>
      <x:c r="O213" s="22" t="str">
        <x:v>ยังไม่ตรวจ</x:v>
      </x:c>
      <x:c r="P213" s="22" t="str">
        <x:v>ยังไม่ติดต่อ</x:v>
      </x:c>
    </x:row>
    <x:row r="214" ht="66" customHeight="1">
      <x:c r="A214" s="9" t="n">
        <x:v>206</x:v>
      </x:c>
      <x:c r="B214" s="20" t="str">
        <x:v>บังเล็กสะเต๊ะเนื้อ-สะเต๊ะไก่</x:v>
      </x:c>
      <x:c r="C214" s="20" t="str">
        <x:v>ระยอง</x:v>
      </x:c>
      <x:c r="D214" s="20" t="str">
        <x:v>ร้านอาหาร</x:v>
      </x:c>
      <x:c r="E214" s="20" t="str">
        <x:v>Makan Verify; ระบุมีห้องละหมาด</x:v>
      </x:c>
      <x:c r="F214" s="20" t="str">
        <x:v>แหล่งข้อมูลระบุว่ามี</x:v>
      </x:c>
      <x:c r="G214" s="20" t="str">
        <x:v>ยังไม่พบเอกสารรับรองและวันหมดอายุ</x:v>
      </x:c>
      <x:c r="H21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4" s="20" t="str">
        <x:v>152/26 ม.11 ถนน พัฒนประเสริฐ ต.เชิงเนิน อ.เมือง จ.ระยอง 21000</x:v>
      </x:c>
      <x:c r="J214" s="21" t="str">
        <x:v>0659395738</x:v>
      </x:c>
      <x:c r="K214" s="23" t="e">
        <x:f>HYPERLINK("https://makanhalalguide.com/shop/detail/6137","เปิดแหล่งข้อมูล 1")</x:f>
        <x:v>HYPERLINK is not implemented. linkLocation=https://makanhalalguide.com/shop/detail/6137, friendlyName=เปิดแหล่งข้อมูล 1</x:v>
      </x:c>
      <x:c r="L214" s="23" t="str"/>
      <x:c r="M214" s="20" t="str"/>
      <x:c r="N214" s="10" t="n">
        <x:v>46315</x:v>
      </x:c>
      <x:c r="O214" s="22" t="str">
        <x:v>ยังไม่ตรวจ</x:v>
      </x:c>
      <x:c r="P214" s="22" t="str">
        <x:v>ยังไม่ติดต่อ</x:v>
      </x:c>
    </x:row>
    <x:row r="215" ht="66" customHeight="1">
      <x:c r="A215" s="9" t="n">
        <x:v>207</x:v>
      </x:c>
      <x:c r="B215" s="20" t="str">
        <x:v>ไลลา คอฟฟี่</x:v>
      </x:c>
      <x:c r="C215" s="20" t="str">
        <x:v>ระยอง</x:v>
      </x:c>
      <x:c r="D215" s="20" t="str">
        <x:v>ร้านอาหาร</x:v>
      </x:c>
      <x:c r="E215" s="20" t="str">
        <x:v>Makan Verify; ระบุมีห้องละหมาด</x:v>
      </x:c>
      <x:c r="F215" s="20" t="str">
        <x:v>แหล่งข้อมูลระบุว่ามี</x:v>
      </x:c>
      <x:c r="G215" s="20" t="str">
        <x:v>ยังไม่พบเอกสารรับรองและวันหมดอายุ</x:v>
      </x:c>
      <x:c r="H21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5" s="20" t="str">
        <x:v>เทอดไท-มุสลิม อำเภอเมืองระยอง ระยอง 21150</x:v>
      </x:c>
      <x:c r="J215" s="21" t="str">
        <x:v>0909693141</x:v>
      </x:c>
      <x:c r="K215" s="23" t="e">
        <x:f>HYPERLINK("https://makanhalalguide.com/shop/detail/6145","เปิดแหล่งข้อมูล 1")</x:f>
        <x:v>HYPERLINK is not implemented. linkLocation=https://makanhalalguide.com/shop/detail/6145, friendlyName=เปิดแหล่งข้อมูล 1</x:v>
      </x:c>
      <x:c r="L215" s="23" t="str"/>
      <x:c r="M215" s="20" t="str"/>
      <x:c r="N215" s="10" t="n">
        <x:v>46315</x:v>
      </x:c>
      <x:c r="O215" s="22" t="str">
        <x:v>ยังไม่ตรวจ</x:v>
      </x:c>
      <x:c r="P215" s="22" t="str">
        <x:v>ยังไม่ติดต่อ</x:v>
      </x:c>
    </x:row>
    <x:row r="216" ht="66" customHeight="1">
      <x:c r="A216" s="9" t="n">
        <x:v>208</x:v>
      </x:c>
      <x:c r="B216" s="20" t="str">
        <x:v>ไอดม ไอแดด คาเฟ่ X ระยอง</x:v>
      </x:c>
      <x:c r="C216" s="20" t="str">
        <x:v>ระยอง</x:v>
      </x:c>
      <x:c r="D216" s="20" t="str">
        <x:v>คาเฟ่และร้านของหวาน</x:v>
      </x:c>
      <x:c r="E216" s="20" t="str">
        <x:v>Makan Verify; ระบุมีห้องละหมาด</x:v>
      </x:c>
      <x:c r="F216" s="20" t="str">
        <x:v>แหล่งข้อมูลระบุว่ามี</x:v>
      </x:c>
      <x:c r="G216" s="20" t="str">
        <x:v>ยังไม่พบเอกสารรับรองและวันหมดอายุ</x:v>
      </x:c>
      <x:c r="H21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6" s="20" t="str">
        <x:v>ติดกับ Hala Little Home Rayong ติด ถนน เลียบชายฝั่ง ปากน้ำ เมือง ระยอง 21000</x:v>
      </x:c>
      <x:c r="J216" s="21" t="str">
        <x:v>0985455600</x:v>
      </x:c>
      <x:c r="K216" s="23" t="e">
        <x:f>HYPERLINK("https://makanhalalguide.com/shop/detail/6158","เปิดแหล่งข้อมูล 1")</x:f>
        <x:v>HYPERLINK is not implemented. linkLocation=https://makanhalalguide.com/shop/detail/6158, friendlyName=เปิดแหล่งข้อมูล 1</x:v>
      </x:c>
      <x:c r="L216" s="23" t="str"/>
      <x:c r="M216" s="20" t="str"/>
      <x:c r="N216" s="10" t="n">
        <x:v>46315</x:v>
      </x:c>
      <x:c r="O216" s="22" t="str">
        <x:v>ยังไม่ตรวจ</x:v>
      </x:c>
      <x:c r="P216" s="22" t="str">
        <x:v>ยังไม่ติดต่อ</x:v>
      </x:c>
    </x:row>
    <x:row r="217" ht="66" customHeight="1">
      <x:c r="A217" s="9" t="n">
        <x:v>209</x:v>
      </x:c>
      <x:c r="B217" s="20" t="str">
        <x:v>TRAVELLER'S CAFE+BISTRO มุมพักนักเดินทาง</x:v>
      </x:c>
      <x:c r="C217" s="20" t="str">
        <x:v>ลพบุรี</x:v>
      </x:c>
      <x:c r="D217" s="20" t="str">
        <x:v>คาเฟ่และร้านของหวาน</x:v>
      </x:c>
      <x:c r="E217" s="20" t="str">
        <x:v>มีรายชื่อใน Makan Halal Guide; ระบุมีห้องละหมาด</x:v>
      </x:c>
      <x:c r="F217" s="20" t="str">
        <x:v>แหล่งข้อมูลระบุว่ามี</x:v>
      </x:c>
      <x:c r="G217" s="20" t="str">
        <x:v>ยังไม่พบเอกสารรับรองและวันหมดอายุ</x:v>
      </x:c>
      <x:c r="H21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7" s="20" t="str">
        <x:v>ซอย 19 สาย 4 ถนน 3334 ชอนน้อย ตำบล ชอนน้อย อำเภอพัฒนานิคม ลพบุรี 15140</x:v>
      </x:c>
      <x:c r="J217" s="21" t="str">
        <x:v>0615255226</x:v>
      </x:c>
      <x:c r="K217" s="23" t="e">
        <x:f>HYPERLINK("https://makanhalalguide.com/shop/detail/5936","เปิดแหล่งข้อมูล 1")</x:f>
        <x:v>HYPERLINK is not implemented. linkLocation=https://makanhalalguide.com/shop/detail/5936, friendlyName=เปิดแหล่งข้อมูล 1</x:v>
      </x:c>
      <x:c r="L217" s="23" t="e">
        <x:f>HYPERLINK("https://restaurantguru.com/Travellers-CafeBistro-%E0%B8%A1%E0%B8%B8%E0%B8%A1%E0%B8%9E%E0%B8%B1%E0%B8%81%E0%B8%99%E0%B8%B1%E0%B8%81%E0%B9%80%E0%B8%94%E0%B8%B4%E0%B8%99%E0%B8%97%E0%B8%B2%E0%B8%87-Phatthana-Nikhom","เปิดแหล่งข้อมูล 2")</x:f>
        <x:v>HYPERLINK is not implemented. linkLocation=https://restaurantguru.com/Travellers-CafeBistro-%E0%B8%A1%E0%B8%B8%E0%B8%A1%E0%B8%9E%E0%B8%B1%E0%B8%81%E0%B8%99%E0%B8%B1%E0%B8%81%E0%B9%80%E0%B8%94%E0%B8%B4%E0%B8%99%E0%B8%97%E0%B8%B2%E0%B8%87-Phatthana-Nikhom, friendlyName=เปิดแหล่งข้อมูล 2</x:v>
      </x:c>
      <x:c r="M217" s="20" t="str">
        <x:v>ผลค้นหาชื่อสัมพันธ์จากแหล่งเพิ่มเติม ต้องยืนยันสาขาและข้อมูลปัจจุบัน</x:v>
      </x:c>
      <x:c r="N217" s="10" t="n">
        <x:v>46315</x:v>
      </x:c>
      <x:c r="O217" s="22" t="str">
        <x:v>ยังไม่ตรวจ</x:v>
      </x:c>
      <x:c r="P217" s="22" t="str">
        <x:v>ยังไม่ติดต่อ</x:v>
      </x:c>
    </x:row>
    <x:row r="218" ht="66" customHeight="1">
      <x:c r="A218" s="9" t="n">
        <x:v>210</x:v>
      </x:c>
      <x:c r="B218" s="20" t="str">
        <x:v>Alfahad Hotel</x:v>
      </x:c>
      <x:c r="C218" s="20" t="str">
        <x:v>สงขลา</x:v>
      </x:c>
      <x:c r="D218" s="20" t="str">
        <x:v>โรงแรมหรือรีสอร์ท</x:v>
      </x:c>
      <x:c r="E218" s="20" t="str">
        <x:v>Makan Verify; ระบุมีห้องละหมาด</x:v>
      </x:c>
      <x:c r="F218" s="20" t="str">
        <x:v>แหล่งข้อมูลระบุว่ามี</x:v>
      </x:c>
      <x:c r="G218" s="20" t="str">
        <x:v>ยังไม่พบเอกสารรับรองและวันหมดอายุ</x:v>
      </x:c>
      <x:c r="H21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8" s="20" t="str">
        <x:v>132 หมู่ที่1 ถนน เลี่ยงเมือง ตำบล ควนลัง อำเภอหาดใหญ่ สงขลา</x:v>
      </x:c>
      <x:c r="J218" s="21" t="str">
        <x:v>074273799</x:v>
      </x:c>
      <x:c r="K218" s="23" t="e">
        <x:f>HYPERLINK("https://makanhalalguide.com/shop/detail/5397","เปิดแหล่งข้อมูล 1")</x:f>
        <x:v>HYPERLINK is not implemented. linkLocation=https://makanhalalguide.com/shop/detail/5397, friendlyName=เปิดแหล่งข้อมูล 1</x:v>
      </x:c>
      <x:c r="L218" s="23" t="e">
        <x:f>HYPERLINK("https://in.trip.com/hotels/hat-yai-hotel-detail-46125423/alfahad-hotel/review.html","เปิดแหล่งข้อมูล 2")</x:f>
        <x:v>HYPERLINK is not implemented. linkLocation=https://in.trip.com/hotels/hat-yai-hotel-detail-46125423/alfahad-hotel/review.html, friendlyName=เปิดแหล่งข้อมูล 2</x:v>
      </x:c>
      <x:c r="M218" s="20" t="str">
        <x:v>ผลค้นหาชื่อสัมพันธ์จากแหล่งเพิ่มเติม ต้องยืนยันสาขาและข้อมูลปัจจุบัน</x:v>
      </x:c>
      <x:c r="N218" s="10" t="n">
        <x:v>46315</x:v>
      </x:c>
      <x:c r="O218" s="22" t="str">
        <x:v>ยังไม่ตรวจ</x:v>
      </x:c>
      <x:c r="P218" s="22" t="str">
        <x:v>ยังไม่ติดต่อ</x:v>
      </x:c>
    </x:row>
    <x:row r="219" ht="66" customHeight="1">
      <x:c r="A219" s="9" t="n">
        <x:v>211</x:v>
      </x:c>
      <x:c r="B219" s="20" t="str">
        <x:v>โรงแรมญันนะตีย์</x:v>
      </x:c>
      <x:c r="C219" s="20" t="str">
        <x:v>สงขลา</x:v>
      </x:c>
      <x:c r="D219" s="20" t="str">
        <x:v>โรงแรมหรือรีสอร์ท</x:v>
      </x:c>
      <x:c r="E219" s="20" t="str">
        <x:v>Makan Verify; ระบุมีห้องละหมาด</x:v>
      </x:c>
      <x:c r="F219" s="20" t="str">
        <x:v>แหล่งข้อมูลระบุว่ามี</x:v>
      </x:c>
      <x:c r="G219" s="20" t="str">
        <x:v>ยังไม่พบเอกสารรับรองและวันหมดอายุ</x:v>
      </x:c>
      <x:c r="H21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19" s="20" t="str">
        <x:v>186 ถนน นิพัทธ์อุทิศ ๓ ตำบล หาดใหญ่ อำเภอหาดใหญ่ สงขลา 90110</x:v>
      </x:c>
      <x:c r="J219" s="21" t="str">
        <x:v>074355700</x:v>
      </x:c>
      <x:c r="K219" s="23" t="e">
        <x:f>HYPERLINK("https://makanhalalguide.com/shop/detail/5396","เปิดแหล่งข้อมูล 1")</x:f>
        <x:v>HYPERLINK is not implemented. linkLocation=https://makanhalalguide.com/shop/detail/5396, friendlyName=เปิดแหล่งข้อมูล 1</x:v>
      </x:c>
      <x:c r="L219" s="23" t="e">
        <x:f>HYPERLINK("https://www.google.co.th/travel/hotels/entity/ChkIxbmqhYqO3usVGg0vZy8xMWgwa3Qya215EAE?rp=OAHCAhwiGg0AAAxCEhMInrfmlbeplgMVrz2tBh0i0xKB&amp;ts=CAEaIAoCGgASGhIUCgcI6g8QCRgHEgcI6g8QCRgIGAEyAhAAKgkKBToDVVNEGgA","เปิดแหล่งข้อมูล 2")</x:f>
        <x:v>HYPERLINK is not implemented. linkLocation=https://www.google.co.th/travel/hotels/entity/ChkIxbmqhYqO3usVGg0vZy8xMWgwa3Qya215EAE?rp=OAHCAhwiGg0AAAxCEhMInrfmlbeplgMVrz2tBh0i0xKB&amp;ts=CAEaIAoCGgASGhIUCgcI6g8QCRgHEgcI6g8QCRgIGAEyAhAAKgkKBToDVVNEGgA, friendlyName=เปิดแหล่งข้อมูล 2</x:v>
      </x:c>
      <x:c r="M219" s="20" t="str">
        <x:v>ผลค้นหาชื่อสัมพันธ์จากแหล่งเพิ่มเติม ต้องยืนยันสาขาและข้อมูลปัจจุบัน</x:v>
      </x:c>
      <x:c r="N219" s="10" t="n">
        <x:v>46315</x:v>
      </x:c>
      <x:c r="O219" s="22" t="str">
        <x:v>ยังไม่ตรวจ</x:v>
      </x:c>
      <x:c r="P219" s="22" t="str">
        <x:v>ยังไม่ติดต่อ</x:v>
      </x:c>
    </x:row>
    <x:row r="220" ht="66" customHeight="1">
      <x:c r="A220" s="9" t="n">
        <x:v>212</x:v>
      </x:c>
      <x:c r="B220" s="20" t="str">
        <x:v>Eat time อีทไทม์ - Halal food</x:v>
      </x:c>
      <x:c r="C220" s="20" t="str">
        <x:v>สงขลา</x:v>
      </x:c>
      <x:c r="D220" s="20" t="str">
        <x:v>ร้านอาหาร</x:v>
      </x:c>
      <x:c r="E220" s="20" t="str">
        <x:v>มีรายชื่อใน Makan Halal Guide; ระบุมีห้องละหมาด</x:v>
      </x:c>
      <x:c r="F220" s="20" t="str">
        <x:v>แหล่งข้อมูลระบุว่ามี</x:v>
      </x:c>
      <x:c r="G220" s="20" t="str">
        <x:v>ยังไม่พบเอกสารรับรองและวันหมดอายุ</x:v>
      </x:c>
      <x:c r="H22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0" s="20" t="str">
        <x:v>360 หมู่ที่ 11 ท่าช้าง ตำบล ท่าช้าง อำเภอบางกล่ำ สงขลา 90110</x:v>
      </x:c>
      <x:c r="J220" s="21" t="str">
        <x:v>0817383301</x:v>
      </x:c>
      <x:c r="K220" s="23" t="e">
        <x:f>HYPERLINK("https://makanhalalguide.com/shop/detail/5423","เปิดแหล่งข้อมูล 1")</x:f>
        <x:v>HYPERLINK is not implemented. linkLocation=https://makanhalalguide.com/shop/detail/5423, friendlyName=เปิดแหล่งข้อมูล 1</x:v>
      </x:c>
      <x:c r="L220" s="23" t="e">
        <x:f>HYPERLINK("https://www.wongnai.com/restaurants/3060019WK-eat-time-halal-food-1","เปิดแหล่งข้อมูล 2")</x:f>
        <x:v>HYPERLINK is not implemented. linkLocation=https://www.wongnai.com/restaurants/3060019WK-eat-time-halal-food-1, friendlyName=เปิดแหล่งข้อมูล 2</x:v>
      </x:c>
      <x:c r="M220" s="20" t="str">
        <x:v>ผลค้นหาชื่อสัมพันธ์จากแหล่งเพิ่มเติม ต้องยืนยันสาขาและข้อมูลปัจจุบัน</x:v>
      </x:c>
      <x:c r="N220" s="10" t="n">
        <x:v>46315</x:v>
      </x:c>
      <x:c r="O220" s="22" t="str">
        <x:v>ยังไม่ตรวจ</x:v>
      </x:c>
      <x:c r="P220" s="22" t="str">
        <x:v>ยังไม่ติดต่อ</x:v>
      </x:c>
    </x:row>
    <x:row r="221" ht="66" customHeight="1">
      <x:c r="A221" s="9" t="n">
        <x:v>213</x:v>
      </x:c>
      <x:c r="B221" s="20" t="str">
        <x:v>Ozone ลวกเส้นตำแซ่บหาดใหญ่</x:v>
      </x:c>
      <x:c r="C221" s="20" t="str">
        <x:v>สงขลา</x:v>
      </x:c>
      <x:c r="D221" s="20" t="str">
        <x:v>ร้านอาหาร</x:v>
      </x:c>
      <x:c r="E221" s="20" t="str">
        <x:v>มีรายชื่อใน Makan Halal Guide; ระบุมีห้องละหมาด</x:v>
      </x:c>
      <x:c r="F221" s="20" t="str">
        <x:v>แหล่งข้อมูลระบุว่ามี</x:v>
      </x:c>
      <x:c r="G221" s="20" t="str">
        <x:v>ยังไม่พบเอกสารรับรองและวันหมดอายุ</x:v>
      </x:c>
      <x:c r="H22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1" s="20" t="str">
        <x:v>140 89 อำเภอหาดใหญ่ สงขลา 90110</x:v>
      </x:c>
      <x:c r="J221" s="21" t="str">
        <x:v>0981477460</x:v>
      </x:c>
      <x:c r="K221" s="23" t="e">
        <x:f>HYPERLINK("https://makanhalalguide.com/shop/detail/5951","เปิดแหล่งข้อมูล 1")</x:f>
        <x:v>HYPERLINK is not implemented. linkLocation=https://makanhalalguide.com/shop/detail/5951, friendlyName=เปิดแหล่งข้อมูล 1</x:v>
      </x:c>
      <x:c r="L221" s="23" t="e">
        <x:f>HYPERLINK("https://www.ryoiireview.com/article/food-hatyai-thailand/","เปิดแหล่งข้อมูล 2")</x:f>
        <x:v>HYPERLINK is not implemented. linkLocation=https://www.ryoiireview.com/article/food-hatyai-thailand/, friendlyName=เปิดแหล่งข้อมูล 2</x:v>
      </x:c>
      <x:c r="M221" s="20" t="str">
        <x:v>ผลค้นหาชื่อสัมพันธ์จากแหล่งเพิ่มเติม ต้องยืนยันสาขาและข้อมูลปัจจุบัน</x:v>
      </x:c>
      <x:c r="N221" s="10" t="n">
        <x:v>46315</x:v>
      </x:c>
      <x:c r="O221" s="22" t="str">
        <x:v>ยังไม่ตรวจ</x:v>
      </x:c>
      <x:c r="P221" s="22" t="str">
        <x:v>ยังไม่ติดต่อ</x:v>
      </x:c>
    </x:row>
    <x:row r="222" ht="66" customHeight="1">
      <x:c r="A222" s="9" t="n">
        <x:v>214</x:v>
      </x:c>
      <x:c r="B222" s="20" t="str">
        <x:v>เดอบัง สเต็ก - De' Bung สาขา ถนนเพชรเกษม หาดใหญ่ใน</x:v>
      </x:c>
      <x:c r="C222" s="20" t="str">
        <x:v>สงขลา</x:v>
      </x:c>
      <x:c r="D222" s="20" t="str">
        <x:v>ร้านอาหาร</x:v>
      </x:c>
      <x:c r="E222" s="20" t="str">
        <x:v>Makan Verify; ระบุมีห้องละหมาด</x:v>
      </x:c>
      <x:c r="F222" s="20" t="str">
        <x:v>แหล่งข้อมูลระบุว่ามี</x:v>
      </x:c>
      <x:c r="G222" s="20" t="str">
        <x:v>ยังไม่พบเอกสารรับรองและวันหมดอายุ</x:v>
      </x:c>
      <x:c r="H22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2" s="20" t="str">
        <x:v>38-39 ถนนเพชรเกษม หาดใหญ่ใน ตำบลหาดใหญ่ อำเภอหาดใหญ่ จังหวัดสงขลา 90110</x:v>
      </x:c>
      <x:c r="J222" s="21" t="str">
        <x:v>0611787346</x:v>
      </x:c>
      <x:c r="K222" s="23" t="e">
        <x:f>HYPERLINK("https://makanhalalguide.com/shop/detail/4955","เปิดแหล่งข้อมูล 1")</x:f>
        <x:v>HYPERLINK is not implemented. linkLocation=https://makanhalalguide.com/shop/detail/4955, friendlyName=เปิดแหล่งข้อมูล 1</x:v>
      </x:c>
      <x:c r="L222" s="23" t="e">
        <x:f>HYPERLINK("https://www.hatyaifocus.com/forums-detail/3463/","เปิดแหล่งข้อมูล 2")</x:f>
        <x:v>HYPERLINK is not implemented. linkLocation=https://www.hatyaifocus.com/forums-detail/3463/, friendlyName=เปิดแหล่งข้อมูล 2</x:v>
      </x:c>
      <x:c r="M222" s="20" t="str">
        <x:v>ผลค้นหาชื่อสัมพันธ์จากแหล่งเพิ่มเติม ต้องยืนยันสาขาและข้อมูลปัจจุบัน</x:v>
      </x:c>
      <x:c r="N222" s="10" t="n">
        <x:v>46315</x:v>
      </x:c>
      <x:c r="O222" s="22" t="str">
        <x:v>ยังไม่ตรวจ</x:v>
      </x:c>
      <x:c r="P222" s="22" t="str">
        <x:v>ยังไม่ติดต่อ</x:v>
      </x:c>
    </x:row>
    <x:row r="223" ht="66" customHeight="1">
      <x:c r="A223" s="9" t="n">
        <x:v>215</x:v>
      </x:c>
      <x:c r="B223" s="20" t="str">
        <x:v>วังรายา คาเฟ่</x:v>
      </x:c>
      <x:c r="C223" s="20" t="str">
        <x:v>สตูล</x:v>
      </x:c>
      <x:c r="D223" s="20" t="str">
        <x:v>คาเฟ่และร้านของหวาน</x:v>
      </x:c>
      <x:c r="E223" s="20" t="str">
        <x:v>มีรายชื่อใน Makan Halal Guide; ระบุมีห้องละหมาด</x:v>
      </x:c>
      <x:c r="F223" s="20" t="str">
        <x:v>แหล่งข้อมูลระบุว่ามี</x:v>
      </x:c>
      <x:c r="G223" s="20" t="str">
        <x:v>ยังไม่พบเอกสารรับรองและวันหมดอายุ</x:v>
      </x:c>
      <x:c r="H22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3" s="20" t="str">
        <x:v>398 ม.1 ถ.พัฒนาวิถี ต.ควนโดน อ.ควนโดน จ.สตูล 91160</x:v>
      </x:c>
      <x:c r="J223" s="21" t="str">
        <x:v>0929496124</x:v>
      </x:c>
      <x:c r="K223" s="23" t="e">
        <x:f>HYPERLINK("https://makanhalalguide.com/shop/detail/5346","เปิดแหล่งข้อมูล 1")</x:f>
        <x:v>HYPERLINK is not implemented. linkLocation=https://makanhalalguide.com/shop/detail/5346, friendlyName=เปิดแหล่งข้อมูล 1</x:v>
      </x:c>
      <x:c r="L223" s="23" t="e">
        <x:f>HYPERLINK("https://www.wongnai.com/restaurants/2640326eD-%E0%B8%A7%E0%B8%B1%E0%B8%87%E0%B8%A3%E0%B8%B2%E0%B8%A2%E0%B8%B2-%E0%B8%84%E0%B8%B2%E0%B9%80%E0%B8%9F%E0%B9%88","เปิดแหล่งข้อมูล 2")</x:f>
        <x:v>HYPERLINK is not implemented. linkLocation=https://www.wongnai.com/restaurants/2640326eD-%E0%B8%A7%E0%B8%B1%E0%B8%87%E0%B8%A3%E0%B8%B2%E0%B8%A2%E0%B8%B2-%E0%B8%84%E0%B8%B2%E0%B9%80%E0%B8%9F%E0%B9%88, friendlyName=เปิดแหล่งข้อมูล 2</x:v>
      </x:c>
      <x:c r="M223" s="20" t="str">
        <x:v>ผลค้นหาชื่อสัมพันธ์จากแหล่งเพิ่มเติม ต้องยืนยันสาขาและข้อมูลปัจจุบัน</x:v>
      </x:c>
      <x:c r="N223" s="10" t="n">
        <x:v>46315</x:v>
      </x:c>
      <x:c r="O223" s="22" t="str">
        <x:v>ยังไม่ตรวจ</x:v>
      </x:c>
      <x:c r="P223" s="22" t="str">
        <x:v>ยังไม่ติดต่อ</x:v>
      </x:c>
    </x:row>
    <x:row r="224" ht="66" customHeight="1">
      <x:c r="A224" s="9" t="n">
        <x:v>216</x:v>
      </x:c>
      <x:c r="B224" s="20" t="str">
        <x:v>เริน coffee beef plant</x:v>
      </x:c>
      <x:c r="C224" s="20" t="str">
        <x:v>สตูล</x:v>
      </x:c>
      <x:c r="D224" s="20" t="str">
        <x:v>คาเฟ่และร้านของหวาน</x:v>
      </x:c>
      <x:c r="E224" s="20" t="str">
        <x:v>มีรายชื่อใน Makan Halal Guide; ระบุมีห้องละหมาด</x:v>
      </x:c>
      <x:c r="F224" s="20" t="str">
        <x:v>แหล่งข้อมูลระบุว่ามี</x:v>
      </x:c>
      <x:c r="G224" s="20" t="str">
        <x:v>ยังไม่พบเอกสารรับรองและวันหมดอายุ</x:v>
      </x:c>
      <x:c r="H22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4" s="20" t="str">
        <x:v>304 ม.6 ตำบล ปากน้ำ อำเภอละงู สตูล 91110</x:v>
      </x:c>
      <x:c r="J224" s="21" t="str">
        <x:v>0869624522</x:v>
      </x:c>
      <x:c r="K224" s="23" t="e">
        <x:f>HYPERLINK("https://makanhalalguide.com/shop/detail/5640","เปิดแหล่งข้อมูล 1")</x:f>
        <x:v>HYPERLINK is not implemented. linkLocation=https://makanhalalguide.com/shop/detail/5640, friendlyName=เปิดแหล่งข้อมูล 1</x:v>
      </x:c>
      <x:c r="L224" s="23" t="e">
        <x:f>HYPERLINK("https://www.wongnai.com/restaurants/429467oj-%E0%B9%80%E0%B8%A3%E0%B8%B4%E0%B8%99-coffee-beef-plant-%E0%B8%8B%E0%B8%AD%E0%B8%A2%E0%B8%97%E0%B9%88%E0%B8%B2%E0%B8%A1%E0%B8%B2%E0%B8%A5%E0%B8%B1%E0%B8%A2","เปิดแหล่งข้อมูล 2")</x:f>
        <x:v>HYPERLINK is not implemented. linkLocation=https://www.wongnai.com/restaurants/429467oj-%E0%B9%80%E0%B8%A3%E0%B8%B4%E0%B8%99-coffee-beef-plant-%E0%B8%8B%E0%B8%AD%E0%B8%A2%E0%B8%97%E0%B9%88%E0%B8%B2%E0%B8%A1%E0%B8%B2%E0%B8%A5%E0%B8%B1%E0%B8%A2, friendlyName=เปิดแหล่งข้อมูล 2</x:v>
      </x:c>
      <x:c r="M224" s="20" t="str">
        <x:v>ผลค้นหาชื่อสัมพันธ์จากแหล่งเพิ่มเติม ต้องยืนยันสาขาและข้อมูลปัจจุบัน</x:v>
      </x:c>
      <x:c r="N224" s="10" t="n">
        <x:v>46315</x:v>
      </x:c>
      <x:c r="O224" s="22" t="str">
        <x:v>ยังไม่ตรวจ</x:v>
      </x:c>
      <x:c r="P224" s="22" t="str">
        <x:v>ยังไม่ติดต่อ</x:v>
      </x:c>
    </x:row>
    <x:row r="225" ht="66" customHeight="1">
      <x:c r="A225" s="9" t="n">
        <x:v>217</x:v>
      </x:c>
      <x:c r="B225" s="20" t="str">
        <x:v>แอ่นแอ้นคาเฟ่</x:v>
      </x:c>
      <x:c r="C225" s="20" t="str">
        <x:v>สตูล</x:v>
      </x:c>
      <x:c r="D225" s="20" t="str">
        <x:v>คาเฟ่และร้านของหวาน</x:v>
      </x:c>
      <x:c r="E225" s="20" t="str">
        <x:v>มีรายชื่อใน Makan Halal Guide; ระบุมีห้องละหมาด</x:v>
      </x:c>
      <x:c r="F225" s="20" t="str">
        <x:v>แหล่งข้อมูลระบุว่ามี</x:v>
      </x:c>
      <x:c r="G225" s="20" t="str">
        <x:v>ยังไม่พบเอกสารรับรองและวันหมดอายุ</x:v>
      </x:c>
      <x:c r="H22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5" s="20" t="str">
        <x:v>96 ม.8 ต.ฉลุง อ.เมือง จ.สตูล 91140 (ริมทางไปละงูก่อนถึงนกน้ำ)</x:v>
      </x:c>
      <x:c r="J225" s="21" t="str">
        <x:v>0830200802</x:v>
      </x:c>
      <x:c r="K225" s="23" t="e">
        <x:f>HYPERLINK("https://makanhalalguide.com/shop/detail/5168","เปิดแหล่งข้อมูล 1")</x:f>
        <x:v>HYPERLINK is not implemented. linkLocation=https://makanhalalguide.com/shop/detail/5168, friendlyName=เปิดแหล่งข้อมูล 1</x:v>
      </x:c>
      <x:c r="L225" s="23" t="e">
        <x:f>HYPERLINK("https://www.tatstar.org/company/STAR-A00177","เปิดแหล่งข้อมูล 2")</x:f>
        <x:v>HYPERLINK is not implemented. linkLocation=https://www.tatstar.org/company/STAR-A00177, friendlyName=เปิดแหล่งข้อมูล 2</x:v>
      </x:c>
      <x:c r="M225" s="20" t="str">
        <x:v>ผลค้นหาชื่อสัมพันธ์จากแหล่งเพิ่มเติม ต้องยืนยันสาขาและข้อมูลปัจจุบัน</x:v>
      </x:c>
      <x:c r="N225" s="10" t="n">
        <x:v>46315</x:v>
      </x:c>
      <x:c r="O225" s="22" t="str">
        <x:v>ยังไม่ตรวจ</x:v>
      </x:c>
      <x:c r="P225" s="22" t="str">
        <x:v>ยังไม่ติดต่อ</x:v>
      </x:c>
    </x:row>
    <x:row r="226" ht="66" customHeight="1">
      <x:c r="A226" s="9" t="n">
        <x:v>218</x:v>
      </x:c>
      <x:c r="B226" s="20" t="str">
        <x:v>ไมอามี่ ซีวิว</x:v>
      </x:c>
      <x:c r="C226" s="20" t="str">
        <x:v>สตูล</x:v>
      </x:c>
      <x:c r="D226" s="20" t="str">
        <x:v>ที่พัก (ตรวจประเภทจากชื่อและข้อมูลประกอบ)</x:v>
      </x:c>
      <x:c r="E226" s="20" t="str">
        <x:v>มีรายชื่อใน Makan Halal Guide; ระบุมีห้องละหมาด</x:v>
      </x:c>
      <x:c r="F226" s="20" t="str">
        <x:v>แหล่งข้อมูลระบุว่ามี</x:v>
      </x:c>
      <x:c r="G226" s="20" t="str">
        <x:v>ยังไม่พบเอกสารรับรองและวันหมดอายุ</x:v>
      </x:c>
      <x:c r="H226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226" s="20" t="str">
        <x:v>1440 หมู่ 2 ตำบลปากน้ำ อำเภอละงู จังหวัดสตูล 91110 (ตรงข้ามมัสยิดปากบารา)</x:v>
      </x:c>
      <x:c r="J226" s="21" t="str">
        <x:v>0651233945</x:v>
      </x:c>
      <x:c r="K226" s="23" t="e">
        <x:f>HYPERLINK("https://makanhalalguide.com/shop/detail/5159","เปิดแหล่งข้อมูล 1")</x:f>
        <x:v>HYPERLINK is not implemented. linkLocation=https://makanhalalguide.com/shop/detail/5159, friendlyName=เปิดแหล่งข้อมูล 1</x:v>
      </x:c>
      <x:c r="L226" s="23" t="e">
        <x:f>HYPERLINK("https://www.lemon8-app.com/%40after.wedding.journey/7669034679094100500?region=th","เปิดแหล่งข้อมูล 2")</x:f>
        <x:v>HYPERLINK is not implemented. linkLocation=https://www.lemon8-app.com/%40after.wedding.journey/7669034679094100500?region=th, friendlyName=เปิดแหล่งข้อมูล 2</x:v>
      </x:c>
      <x:c r="M226" s="20" t="str">
        <x:v>ผลค้นหาชื่อสัมพันธ์จากแหล่งเพิ่มเติม ต้องยืนยันสาขาและข้อมูลปัจจุบัน</x:v>
      </x:c>
      <x:c r="N226" s="10" t="n">
        <x:v>46315</x:v>
      </x:c>
      <x:c r="O226" s="22" t="str">
        <x:v>ยังไม่ตรวจ</x:v>
      </x:c>
      <x:c r="P226" s="22" t="str">
        <x:v>ยังไม่ติดต่อ</x:v>
      </x:c>
    </x:row>
    <x:row r="227" ht="66" customHeight="1">
      <x:c r="A227" s="9" t="n">
        <x:v>219</x:v>
      </x:c>
      <x:c r="B227" s="20" t="str">
        <x:v>ส้มตำบางกะสี</x:v>
      </x:c>
      <x:c r="C227" s="20" t="str">
        <x:v>สมุทรปราการ</x:v>
      </x:c>
      <x:c r="D227" s="20" t="str">
        <x:v>ร้านอาหาร</x:v>
      </x:c>
      <x:c r="E227" s="20" t="str">
        <x:v>มีรายชื่อใน Makan Halal Guide; ระบุมีห้องละหมาด</x:v>
      </x:c>
      <x:c r="F227" s="20" t="str">
        <x:v>แหล่งข้อมูลระบุว่ามี</x:v>
      </x:c>
      <x:c r="G227" s="20" t="str">
        <x:v>ยังไม่พบเอกสารรับรองและวันหมดอายุ</x:v>
      </x:c>
      <x:c r="H22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7" s="20" t="str">
        <x:v>199/66 ซ.กู้พารา2 ต.บางพลีใหญ่ อ.บางพลี จ.สมุทรปราการ 10540 (ซ.กู้พารา2 หน้าปากซอยมีเซเว่น เข้ามาประมาณ100เมตร ร้านอยู่ขวามือ)</x:v>
      </x:c>
      <x:c r="J227" s="21" t="str">
        <x:v>0831324834</x:v>
      </x:c>
      <x:c r="K227" s="23" t="e">
        <x:f>HYPERLINK("https://makanhalalguide.com/shop/detail/4822","เปิดแหล่งข้อมูล 1")</x:f>
        <x:v>HYPERLINK is not implemented. linkLocation=https://makanhalalguide.com/shop/detail/4822, friendlyName=เปิดแหล่งข้อมูล 1</x:v>
      </x:c>
      <x:c r="L227" s="23" t="e">
        <x:f>HYPERLINK("https://www.wongnai.com/restaurants/511261IA-%E0%B8%AA%E0%B9%89%E0%B8%A1%E0%B8%95%E0%B8%B3%E0%B8%9A%E0%B8%B2%E0%B8%87%E0%B8%81%E0%B8%B0%E0%B8%AA%E0%B8%B5","เปิดแหล่งข้อมูล 2")</x:f>
        <x:v>HYPERLINK is not implemented. linkLocation=https://www.wongnai.com/restaurants/511261IA-%E0%B8%AA%E0%B9%89%E0%B8%A1%E0%B8%95%E0%B8%B3%E0%B8%9A%E0%B8%B2%E0%B8%87%E0%B8%81%E0%B8%B0%E0%B8%AA%E0%B8%B5, friendlyName=เปิดแหล่งข้อมูล 2</x:v>
      </x:c>
      <x:c r="M227" s="20" t="str">
        <x:v>ผลค้นหาชื่อสัมพันธ์จากแหล่งเพิ่มเติม ต้องยืนยันสาขาและข้อมูลปัจจุบัน</x:v>
      </x:c>
      <x:c r="N227" s="10" t="n">
        <x:v>46315</x:v>
      </x:c>
      <x:c r="O227" s="22" t="str">
        <x:v>ยังไม่ตรวจ</x:v>
      </x:c>
      <x:c r="P227" s="22" t="str">
        <x:v>ยังไม่ติดต่อ</x:v>
      </x:c>
    </x:row>
    <x:row r="228" ht="66" customHeight="1">
      <x:c r="A228" s="9" t="n">
        <x:v>220</x:v>
      </x:c>
      <x:c r="B228" s="20" t="str">
        <x:v>แมนดาริน สุกี้&amp;ติ่มซำ สาขา เมกาบางนา</x:v>
      </x:c>
      <x:c r="C228" s="20" t="str">
        <x:v>สมุทรปราการ</x:v>
      </x:c>
      <x:c r="D228" s="20" t="str">
        <x:v>ร้านอาหาร</x:v>
      </x:c>
      <x:c r="E228" s="20" t="str">
        <x:v>Makan Verify; ระบุมีห้องละหมาด</x:v>
      </x:c>
      <x:c r="F228" s="20" t="str">
        <x:v>แหล่งข้อมูลระบุว่ามี</x:v>
      </x:c>
      <x:c r="G228" s="20" t="str">
        <x:v>ยังไม่พบเอกสารรับรองและวันหมดอายุ</x:v>
      </x:c>
      <x:c r="H22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8" s="20" t="str">
        <x:v>เมกาบางนา ชั้น 2 โซน Food Walk ถนนบางนา-ตราด ตำบลบางแก้ว อำเภอบางพลี จังหวัดสมุทรปราการ 10540</x:v>
      </x:c>
      <x:c r="J228" s="21" t="str">
        <x:v>0636878406</x:v>
      </x:c>
      <x:c r="K228" s="23" t="e">
        <x:f>HYPERLINK("https://makanhalalguide.com/shop/detail/5671","เปิดแหล่งข้อมูล 1")</x:f>
        <x:v>HYPERLINK is not implemented. linkLocation=https://makanhalalguide.com/shop/detail/5671, friendlyName=เปิดแหล่งข้อมูล 1</x:v>
      </x:c>
      <x:c r="L228" s="23" t="str"/>
      <x:c r="M228" s="20" t="str"/>
      <x:c r="N228" s="10" t="n">
        <x:v>46315</x:v>
      </x:c>
      <x:c r="O228" s="22" t="str">
        <x:v>ยังไม่ตรวจ</x:v>
      </x:c>
      <x:c r="P228" s="22" t="str">
        <x:v>ยังไม่ติดต่อ</x:v>
      </x:c>
    </x:row>
    <x:row r="229" ht="66" customHeight="1">
      <x:c r="A229" s="9" t="n">
        <x:v>221</x:v>
      </x:c>
      <x:c r="B229" s="20" t="str">
        <x:v>โรตี ข้าวหมก Salute</x:v>
      </x:c>
      <x:c r="C229" s="20" t="str">
        <x:v>สมุทรปราการ</x:v>
      </x:c>
      <x:c r="D229" s="20" t="str">
        <x:v>คาเฟ่และร้านของหวาน</x:v>
      </x:c>
      <x:c r="E229" s="20" t="str">
        <x:v>มีรายชื่อใน Makan Halal Guide; ระบุมีห้องละหมาด</x:v>
      </x:c>
      <x:c r="F229" s="20" t="str">
        <x:v>แหล่งข้อมูลระบุว่ามี</x:v>
      </x:c>
      <x:c r="G229" s="20" t="str">
        <x:v>ยังไม่พบเอกสารรับรองและวันหมดอายุ</x:v>
      </x:c>
      <x:c r="H22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29" s="20" t="str">
        <x:v>168 ร้านในปั้มปตท. กม.14 บางนาตราด ขาเข้าเมือง PTT Gas station ตำบลบางโฉลง อำเภอบางพลี สมุทรปราการ 10540</x:v>
      </x:c>
      <x:c r="J229" s="21" t="str">
        <x:v>0639957110</x:v>
      </x:c>
      <x:c r="K229" s="23" t="e">
        <x:f>HYPERLINK("https://makanhalalguide.com/shop/detail/5620","เปิดแหล่งข้อมูล 1")</x:f>
        <x:v>HYPERLINK is not implemented. linkLocation=https://makanhalalguide.com/shop/detail/5620, friendlyName=เปิดแหล่งข้อมูล 1</x:v>
      </x:c>
      <x:c r="L229" s="23" t="e">
        <x:f>HYPERLINK("https://www.wongnai.com/restaurants/2407421IL-%E0%B9%82%E0%B8%A3%E0%B8%95%E0%B8%B5-%E0%B8%82%E0%B9%89%E0%B8%B2%E0%B8%A7%E0%B8%AB%E0%B8%A1%E0%B8%81-%E0%B8%8B%E0%B8%B2%E0%B8%A5%E0%B8%B9%E0%B8%97-%E0%B8%9B%E0%B8%B1%E0%B9%89%E0%B8%A1%E0%B8%9B%E0%B8%95%E0%B8%97-%E0%B8%81%E0%B8%A1-14-%E0%B8%82%E0%B8%B2%E0%B9%80%E0%B8%82%E0%B9%89%E0%B8%B2%E0%B9%80%E0%B8%A1%E0%B8%B7%E0%B8%AD%E0%B8%87","เปิดแหล่งข้อมูล 2")</x:f>
        <x:v>HYPERLINK is not implemented. linkLocation=https://www.wongnai.com/restaurants/2407421IL-%E0%B9%82%E0%B8%A3%E0%B8%95%E0%B8%B5-%E0%B8%82%E0%B9%89%E0%B8%B2%E0%B8%A7%E0%B8%AB%E0%B8%A1%E0%B8%81-%E0%B8%8B%E0%B8%B2%E0%B8%A5%E0%B8%B9%E0%B8%97-%E0%B8%9B%E0%B8%B1%E0%B9%89%E0%B8%A1%E0%B8%9B%E0%B8%95%E0%B8%97-%E0%B8%81%E0%B8%A1-14-%E0%B8%82%E0%B8%B2%E0%B9%80%E0%B8%82%E0%B9%89%E0%B8%B2%E0%B9%80%E0%B8%A1%E0%B8%B7%E0%B8%AD%E0%B8%87, friendlyName=เปิดแหล่งข้อมูล 2</x:v>
      </x:c>
      <x:c r="M229" s="20" t="str">
        <x:v>ผลค้นหาชื่อสัมพันธ์จากแหล่งเพิ่มเติม ต้องยืนยันสาขาและข้อมูลปัจจุบัน</x:v>
      </x:c>
      <x:c r="N229" s="10" t="n">
        <x:v>46315</x:v>
      </x:c>
      <x:c r="O229" s="22" t="str">
        <x:v>ยังไม่ตรวจ</x:v>
      </x:c>
      <x:c r="P229" s="22" t="str">
        <x:v>ยังไม่ติดต่อ</x:v>
      </x:c>
    </x:row>
    <x:row r="230" ht="66" customHeight="1">
      <x:c r="A230" s="9" t="n">
        <x:v>222</x:v>
      </x:c>
      <x:c r="B230" s="20" t="str">
        <x:v>มา กิน เนื้อ จันบี Dry aged halal</x:v>
      </x:c>
      <x:c r="C230" s="20" t="str">
        <x:v>สระบุรี</x:v>
      </x:c>
      <x:c r="D230" s="20" t="str">
        <x:v>ร้านอาหาร</x:v>
      </x:c>
      <x:c r="E230" s="20" t="str">
        <x:v>Makan Verify; ระบุมีห้องละหมาด</x:v>
      </x:c>
      <x:c r="F230" s="20" t="str">
        <x:v>แหล่งข้อมูลระบุว่ามี</x:v>
      </x:c>
      <x:c r="G230" s="20" t="str">
        <x:v>ยังไม่พบเอกสารรับรองและวันหมดอายุ</x:v>
      </x:c>
      <x:c r="H23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0" s="20" t="str">
        <x:v>786/2 ถนนพิชัยรณรงค์สงคราม ตำบล ปากเพรียว อำเภอเมืองสระบุรี สระบุรี 18000</x:v>
      </x:c>
      <x:c r="J230" s="21" t="str">
        <x:v>0948856265</x:v>
      </x:c>
      <x:c r="K230" s="23" t="e">
        <x:f>HYPERLINK("https://makanhalalguide.com/shop/detail/5963","เปิดแหล่งข้อมูล 1")</x:f>
        <x:v>HYPERLINK is not implemented. linkLocation=https://makanhalalguide.com/shop/detail/5963, friendlyName=เปิดแหล่งข้อมูล 1</x:v>
      </x:c>
      <x:c r="L230" s="23" t="str"/>
      <x:c r="M230" s="20" t="str"/>
      <x:c r="N230" s="10" t="n">
        <x:v>46315</x:v>
      </x:c>
      <x:c r="O230" s="22" t="str">
        <x:v>ยังไม่ตรวจ</x:v>
      </x:c>
      <x:c r="P230" s="22" t="str">
        <x:v>ยังไม่ติดต่อ</x:v>
      </x:c>
    </x:row>
    <x:row r="231" ht="66" customHeight="1">
      <x:c r="A231" s="9" t="n">
        <x:v>223</x:v>
      </x:c>
      <x:c r="B231" s="20" t="str">
        <x:v>ฮาลาลปากช่อง-ดุนยา ออกานิค</x:v>
      </x:c>
      <x:c r="C231" s="20" t="str">
        <x:v>สระบุรี</x:v>
      </x:c>
      <x:c r="D231" s="20" t="str">
        <x:v>ร้านอาหาร</x:v>
      </x:c>
      <x:c r="E231" s="20" t="str">
        <x:v>มีรายชื่อใน Makan Halal Guide; ระบุมีห้องละหมาด</x:v>
      </x:c>
      <x:c r="F231" s="20" t="str">
        <x:v>แหล่งข้อมูลระบุว่ามี</x:v>
      </x:c>
      <x:c r="G231" s="20" t="str">
        <x:v>ยังไม่พบเอกสารรับรองและวันหมดอายุ</x:v>
      </x:c>
      <x:c r="H23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1" s="20" t="str">
        <x:v>245 หมู่2 ซอยชวนชม(ช่วงรอยต่อปากช่อง-มวกเหล็ก) ตำบลลำพญากลาง อำเภอมวกเหล็ก จังหวัดสระบุรี 30130</x:v>
      </x:c>
      <x:c r="J231" s="21" t="str">
        <x:v>0616514495</x:v>
      </x:c>
      <x:c r="K231" s="23" t="e">
        <x:f>HYPERLINK("https://makanhalalguide.com/shop/detail/5349","เปิดแหล่งข้อมูล 1")</x:f>
        <x:v>HYPERLINK is not implemented. linkLocation=https://makanhalalguide.com/shop/detail/5349, friendlyName=เปิดแหล่งข้อมูล 1</x:v>
      </x:c>
      <x:c r="L231" s="23" t="e">
        <x:f>HYPERLINK("https://sootinclaimon.com/2017/01/08/%E0%B8%A2%E0%B8%B2%E0%B8%8B%E0%B8%B5%E0%B8%99-%E0%B8%9A%E0%B8%B8%E0%B8%8D%E0%B8%A1%E0%B8%B2%E0%B9%80%E0%B8%A5%E0%B8%B4%E0%B8%A8-%E0%B8%97%E0%B8%B4%E0%B9%89%E0%B8%87%E0%B9%80%E0%B8%87%E0%B8%B4%E0%B8%99/","เปิดแหล่งข้อมูล 2")</x:f>
        <x:v>HYPERLINK is not implemented. linkLocation=https://sootinclaimon.com/2017/01/08/%E0%B8%A2%E0%B8%B2%E0%B8%8B%E0%B8%B5%E0%B8%99-%E0%B8%9A%E0%B8%B8%E0%B8%8D%E0%B8%A1%E0%B8%B2%E0%B9%80%E0%B8%A5%E0%B8%B4%E0%B8%A8-%E0%B8%97%E0%B8%B4%E0%B9%89%E0%B8%87%E0%B9%80%E0%B8%87%E0%B8%B4%E0%B8%99/, friendlyName=เปิดแหล่งข้อมูล 2</x:v>
      </x:c>
      <x:c r="M231" s="20" t="str">
        <x:v>ผลค้นหาชื่อสัมพันธ์จากแหล่งเพิ่มเติม ต้องยืนยันสาขาและข้อมูลปัจจุบัน</x:v>
      </x:c>
      <x:c r="N231" s="10" t="n">
        <x:v>46315</x:v>
      </x:c>
      <x:c r="O231" s="22" t="str">
        <x:v>ยังไม่ตรวจ</x:v>
      </x:c>
      <x:c r="P231" s="22" t="str">
        <x:v>ยังไม่ติดต่อ</x:v>
      </x:c>
    </x:row>
    <x:row r="232" ht="66" customHeight="1">
      <x:c r="A232" s="9" t="n">
        <x:v>224</x:v>
      </x:c>
      <x:c r="B232" s="20" t="str">
        <x:v>Aasia's kitchen</x:v>
      </x:c>
      <x:c r="C232" s="20" t="str">
        <x:v>สุราษฎร์ธานี</x:v>
      </x:c>
      <x:c r="D232" s="20" t="str">
        <x:v>ร้านอาหาร</x:v>
      </x:c>
      <x:c r="E232" s="20" t="str">
        <x:v>มีรายชื่อใน Makan Halal Guide; ระบุมีห้องละหมาด</x:v>
      </x:c>
      <x:c r="F232" s="20" t="str">
        <x:v>แหล่งข้อมูลระบุว่ามี</x:v>
      </x:c>
      <x:c r="G232" s="20" t="str">
        <x:v>ยังไม่พบเอกสารรับรองและวันหมดอายุ</x:v>
      </x:c>
      <x:c r="H23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2" s="20" t="str">
        <x:v>82/13 Moo 3 Tawee Rat Phakdi Road, Bophut, สุราษฎร์ธานี 84320 (ตรงข้ามโรงแรมนิวสตาร์ บีช รีสอร์ท)</x:v>
      </x:c>
      <x:c r="J232" s="21" t="str">
        <x:v>0835263332</x:v>
      </x:c>
      <x:c r="K232" s="23" t="e">
        <x:f>HYPERLINK("https://makanhalalguide.com/shop/detail/4972","เปิดแหล่งข้อมูล 1")</x:f>
        <x:v>HYPERLINK is not implemented. linkLocation=https://makanhalalguide.com/shop/detail/4972, friendlyName=เปิดแหล่งข้อมูล 1</x:v>
      </x:c>
      <x:c r="L232" s="23" t="e">
        <x:f>HYPERLINK("https://uk.trip.com/restaurant/thailand/koh-samui/detail/aasia-kitchen-140798675/","เปิดแหล่งข้อมูล 2")</x:f>
        <x:v>HYPERLINK is not implemented. linkLocation=https://uk.trip.com/restaurant/thailand/koh-samui/detail/aasia-kitchen-140798675/, friendlyName=เปิดแหล่งข้อมูล 2</x:v>
      </x:c>
      <x:c r="M232" s="20" t="str">
        <x:v>ผลค้นหาชื่อสัมพันธ์จากแหล่งเพิ่มเติม ต้องยืนยันสาขาและข้อมูลปัจจุบัน</x:v>
      </x:c>
      <x:c r="N232" s="10" t="n">
        <x:v>46315</x:v>
      </x:c>
      <x:c r="O232" s="22" t="str">
        <x:v>ยังไม่ตรวจ</x:v>
      </x:c>
      <x:c r="P232" s="22" t="str">
        <x:v>ยังไม่ติดต่อ</x:v>
      </x:c>
    </x:row>
    <x:row r="233" ht="66" customHeight="1">
      <x:c r="A233" s="9" t="n">
        <x:v>225</x:v>
      </x:c>
      <x:c r="B233" s="20" t="str">
        <x:v>Love Halal Food at AngThong</x:v>
      </x:c>
      <x:c r="C233" s="20" t="str">
        <x:v>อ่างทอง</x:v>
      </x:c>
      <x:c r="D233" s="20" t="str">
        <x:v>ร้านอาหาร</x:v>
      </x:c>
      <x:c r="E233" s="20" t="str">
        <x:v>มีรายชื่อใน Makan Halal Guide; ระบุมีห้องละหมาด</x:v>
      </x:c>
      <x:c r="F233" s="20" t="str">
        <x:v>แหล่งข้อมูลระบุว่ามี</x:v>
      </x:c>
      <x:c r="G233" s="20" t="str">
        <x:v>ยังไม่พบเอกสารรับรองและวันหมดอายุ</x:v>
      </x:c>
      <x:c r="H23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3" s="20" t="str">
        <x:v>Near Asia road, ตำบล บ้านอิฐ อำเภอเมืองอ่างทอง อ่างทอง 14000</x:v>
      </x:c>
      <x:c r="J233" s="21" t="str">
        <x:v>0831291383</x:v>
      </x:c>
      <x:c r="K233" s="23" t="e">
        <x:f>HYPERLINK("https://makanhalalguide.com/shop/detail/6256","เปิดแหล่งข้อมูล 1")</x:f>
        <x:v>HYPERLINK is not implemented. linkLocation=https://makanhalalguide.com/shop/detail/6256, friendlyName=เปิดแหล่งข้อมูล 1</x:v>
      </x:c>
      <x:c r="L233" s="23" t="e">
        <x:f>HYPERLINK("https://restaurantguru.com/Love-Halal-Food-at-Angthong-Ban-It","เปิดแหล่งข้อมูล 2")</x:f>
        <x:v>HYPERLINK is not implemented. linkLocation=https://restaurantguru.com/Love-Halal-Food-at-Angthong-Ban-It, friendlyName=เปิดแหล่งข้อมูล 2</x:v>
      </x:c>
      <x:c r="M233" s="20" t="str">
        <x:v>ผลค้นหาชื่อสัมพันธ์จากแหล่งเพิ่มเติม ต้องยืนยันสาขาและข้อมูลปัจจุบัน</x:v>
      </x:c>
      <x:c r="N233" s="10" t="n">
        <x:v>46315</x:v>
      </x:c>
      <x:c r="O233" s="22" t="str">
        <x:v>ยังไม่ตรวจ</x:v>
      </x:c>
      <x:c r="P233" s="22" t="str">
        <x:v>ยังไม่ติดต่อ</x:v>
      </x:c>
    </x:row>
    <x:row r="234" ht="66" customHeight="1">
      <x:c r="A234" s="9" t="n">
        <x:v>226</x:v>
      </x:c>
      <x:c r="B234" s="20" t="str">
        <x:v>เตี๋ยวเนื้อตุ๋น บังยุบ อ่างทอง</x:v>
      </x:c>
      <x:c r="C234" s="20" t="str">
        <x:v>อ่างทอง</x:v>
      </x:c>
      <x:c r="D234" s="20" t="str">
        <x:v>ร้านอาหาร</x:v>
      </x:c>
      <x:c r="E234" s="20" t="str">
        <x:v>มีรายชื่อใน Makan Halal Guide; ระบุมีห้องละหมาด</x:v>
      </x:c>
      <x:c r="F234" s="20" t="str">
        <x:v>แหล่งข้อมูลระบุว่ามี</x:v>
      </x:c>
      <x:c r="G234" s="20" t="str">
        <x:v>ยังไม่พบเอกสารรับรองและวันหมดอายุ</x:v>
      </x:c>
      <x:c r="H23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4" s="20" t="str">
        <x:v>16/9 ซ.จัดสรร ถ.เทศบาล8 ต.ตลาดหลวง อ.เมือง จ.อ่างทอง 14000</x:v>
      </x:c>
      <x:c r="J234" s="21" t="str">
        <x:v>0656946616</x:v>
      </x:c>
      <x:c r="K234" s="23" t="e">
        <x:f>HYPERLINK("https://makanhalalguide.com/shop/detail/5593","เปิดแหล่งข้อมูล 1")</x:f>
        <x:v>HYPERLINK is not implemented. linkLocation=https://makanhalalguide.com/shop/detail/5593, friendlyName=เปิดแหล่งข้อมูล 1</x:v>
      </x:c>
      <x:c r="L234" s="23" t="e">
        <x:f>HYPERLINK("https://www.wongnai.com/restaurants/3022870Qk-%E0%B9%80%E0%B8%95%E0%B8%B5%E0%B9%8B%E0%B8%A2%E0%B8%A7%E0%B9%80%E0%B8%99%E0%B8%B7%E0%B9%89%E0%B8%AD-%E0%B8%9A%E0%B8%B1%E0%B8%87%E0%B8%A2%E0%B8%B8%E0%B8%9A-smoke-grill-halal","เปิดแหล่งข้อมูล 2")</x:f>
        <x:v>HYPERLINK is not implemented. linkLocation=https://www.wongnai.com/restaurants/3022870Qk-%E0%B9%80%E0%B8%95%E0%B8%B5%E0%B9%8B%E0%B8%A2%E0%B8%A7%E0%B9%80%E0%B8%99%E0%B8%B7%E0%B9%89%E0%B8%AD-%E0%B8%9A%E0%B8%B1%E0%B8%87%E0%B8%A2%E0%B8%B8%E0%B8%9A-smoke-grill-halal, friendlyName=เปิดแหล่งข้อมูล 2</x:v>
      </x:c>
      <x:c r="M234" s="20" t="str">
        <x:v>ผลค้นหาชื่อสัมพันธ์จากแหล่งเพิ่มเติม ต้องยืนยันสาขาและข้อมูลปัจจุบัน</x:v>
      </x:c>
      <x:c r="N234" s="10" t="n">
        <x:v>46315</x:v>
      </x:c>
      <x:c r="O234" s="22" t="str">
        <x:v>ยังไม่ตรวจ</x:v>
      </x:c>
      <x:c r="P234" s="22" t="str">
        <x:v>ยังไม่ติดต่อ</x:v>
      </x:c>
    </x:row>
    <x:row r="235" ht="66" customHeight="1">
      <x:c r="A235" s="9" t="n">
        <x:v>227</x:v>
      </x:c>
      <x:c r="B235" s="20" t="str">
        <x:v>Arsh Boutique Hotel</x:v>
      </x:c>
      <x:c r="C235" s="20" t="str">
        <x:v>เชียงใหม่</x:v>
      </x:c>
      <x:c r="D235" s="20" t="str">
        <x:v>โรงแรมหรือรีสอร์ท</x:v>
      </x:c>
      <x:c r="E235" s="20" t="str">
        <x:v>Makan Verify; ระบุมีห้องละหมาด</x:v>
      </x:c>
      <x:c r="F235" s="20" t="str">
        <x:v>แหล่งข้อมูลระบุว่ามี</x:v>
      </x:c>
      <x:c r="G235" s="20" t="str">
        <x:v>ยังไม่พบเอกสารรับรองและวันหมดอายุ</x:v>
      </x:c>
      <x:c r="H23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5" s="20" t="str">
        <x:v>11 ถนน ซอยเวียงพิงค์ ตำบลช้างคลาน เมือง เชียงใหม่ 50100</x:v>
      </x:c>
      <x:c r="J235" s="21" t="str">
        <x:v>0947627999</x:v>
      </x:c>
      <x:c r="K235" s="23" t="e">
        <x:f>HYPERLINK("https://makanhalalguide.com/shop/detail/5375","เปิดแหล่งข้อมูล 1")</x:f>
        <x:v>HYPERLINK is not implemented. linkLocation=https://makanhalalguide.com/shop/detail/5375, friendlyName=เปิดแหล่งข้อมูล 1</x:v>
      </x:c>
      <x:c r="L235" s="23" t="e">
        <x:f>HYPERLINK("https://www.google.com.sa/travel/hotels/entity/ChoIwNjwyoOvmPDBARoNL2cvMTF0Yno0bjFsNRAB?ap=MAA&amp;gl=th&amp;gsas=1&amp;hl=th&amp;rp=OAFIAg&amp;ts=CAESCgoCCAMKAggDEAAabwpREk0yJDB4MzBkYTNhOWUzNWU0OGExNToweDQwMzQ2YzVmYThiODlmMDol4LiV4Liz4Lia4LilIOC4nuC4o-C4sOC4quC4tOC4h-C4q-C5jBoAEhoSFAoHCOkPEAgYBBIHCOkPEAgYBRgBMgIQACoJCgU6A1RIQhoA&amp;un=1","เปิดแหล่งข้อมูล 2")</x:f>
        <x:v>HYPERLINK is not implemented. linkLocation=https://www.google.com.sa/travel/hotels/entity/ChoIwNjwyoOvmPDBARoNL2cvMTF0Yno0bjFsNRAB?ap=MAA&amp;gl=th&amp;gsas=1&amp;hl=th&amp;rp=OAFIAg&amp;ts=CAESCgoCCAMKAggDEAAabwpREk0yJDB4MzBkYTNhOWUzNWU0OGExNToweDQwMzQ2YzVmYThiODlmMDol4LiV4Liz4Lia4LilIOC4nuC4o-C4sOC4quC4tOC4h-C4q-C5jBoAEhoSFAoHCOkPEAgYBBIHCOkPEAgYBRgBMgIQACoJCgU6A1RIQhoA&amp;un=1, friendlyName=เปิดแหล่งข้อมูล 2</x:v>
      </x:c>
      <x:c r="M235" s="20" t="str">
        <x:v>ผลค้นหาชื่อสัมพันธ์จากแหล่งเพิ่มเติม ต้องยืนยันสาขาและข้อมูลปัจจุบัน</x:v>
      </x:c>
      <x:c r="N235" s="10" t="n">
        <x:v>46315</x:v>
      </x:c>
      <x:c r="O235" s="22" t="str">
        <x:v>ยังไม่ตรวจ</x:v>
      </x:c>
      <x:c r="P235" s="22" t="str">
        <x:v>ยังไม่ติดต่อ</x:v>
      </x:c>
    </x:row>
    <x:row r="236" ht="66" customHeight="1">
      <x:c r="A236" s="9" t="n">
        <x:v>228</x:v>
      </x:c>
      <x:c r="B236" s="20" t="str">
        <x:v>Lima Lanna Hotel</x:v>
      </x:c>
      <x:c r="C236" s="20" t="str">
        <x:v>เชียงใหม่</x:v>
      </x:c>
      <x:c r="D236" s="20" t="str">
        <x:v>โรงแรมหรือรีสอร์ท</x:v>
      </x:c>
      <x:c r="E236" s="20" t="str">
        <x:v>Makan Verify; ระบุมีห้องละหมาด</x:v>
      </x:c>
      <x:c r="F236" s="20" t="str">
        <x:v>แหล่งข้อมูลระบุว่ามี</x:v>
      </x:c>
      <x:c r="G236" s="20" t="str">
        <x:v>ยังไม่พบเอกสารรับรองและวันหมดอายุ</x:v>
      </x:c>
      <x:c r="H23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6" s="20" t="str">
        <x:v>277/2 ถ. ช้างคลาน ตำบลช้างคลาน อำเภอเมืองเชียงใหม่ เชียงใหม่ 50100</x:v>
      </x:c>
      <x:c r="J236" s="21" t="str">
        <x:v>0974579761</x:v>
      </x:c>
      <x:c r="K236" s="23" t="e">
        <x:f>HYPERLINK("https://makanhalalguide.com/shop/detail/5377","เปิดแหล่งข้อมูล 1")</x:f>
        <x:v>HYPERLINK is not implemented. linkLocation=https://makanhalalguide.com/shop/detail/5377, friendlyName=เปิดแหล่งข้อมูล 1</x:v>
      </x:c>
      <x:c r="L236" s="23" t="e">
        <x:f>HYPERLINK("https://www.booking.com/hotel/th/lima-lanna.html","เปิดแหล่งข้อมูล 2")</x:f>
        <x:v>HYPERLINK is not implemented. linkLocation=https://www.booking.com/hotel/th/lima-lanna.html, friendlyName=เปิดแหล่งข้อมูล 2</x:v>
      </x:c>
      <x:c r="M236" s="20" t="str">
        <x:v>ผลค้นหาชื่อสัมพันธ์จากแหล่งเพิ่มเติม ต้องยืนยันสาขาและข้อมูลปัจจุบัน</x:v>
      </x:c>
      <x:c r="N236" s="10" t="n">
        <x:v>46315</x:v>
      </x:c>
      <x:c r="O236" s="22" t="str">
        <x:v>ยังไม่ตรวจ</x:v>
      </x:c>
      <x:c r="P236" s="22" t="str">
        <x:v>ยังไม่ติดต่อ</x:v>
      </x:c>
    </x:row>
    <x:row r="237" ht="66" customHeight="1">
      <x:c r="A237" s="9" t="n">
        <x:v>229</x:v>
      </x:c>
      <x:c r="B237" s="20" t="str">
        <x:v>มิรา เรสซิเดนซ์ &amp; รีสอร์ท</x:v>
      </x:c>
      <x:c r="C237" s="20" t="str">
        <x:v>เชียงใหม่</x:v>
      </x:c>
      <x:c r="D237" s="20" t="str">
        <x:v>โรงแรมหรือรีสอร์ท</x:v>
      </x:c>
      <x:c r="E237" s="20" t="str">
        <x:v>Makan Verify; ระบุมีห้องละหมาด</x:v>
      </x:c>
      <x:c r="F237" s="20" t="str">
        <x:v>แหล่งข้อมูลระบุว่ามี</x:v>
      </x:c>
      <x:c r="G237" s="20" t="str">
        <x:v>ยังไม่พบเอกสารรับรองและวันหมดอายุ</x:v>
      </x:c>
      <x:c r="H237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7" s="20" t="str">
        <x:v>74/5 ถนนบ้านแพะ ท่าศาลา เมือง เชียงใหม่ 50000</x:v>
      </x:c>
      <x:c r="J237" s="21" t="str">
        <x:v>0631148430</x:v>
      </x:c>
      <x:c r="K237" s="23" t="e">
        <x:f>HYPERLINK("https://makanhalalguide.com/shop/detail/5374","เปิดแหล่งข้อมูล 1")</x:f>
        <x:v>HYPERLINK is not implemented. linkLocation=https://makanhalalguide.com/shop/detail/5374, friendlyName=เปิดแหล่งข้อมูล 1</x:v>
      </x:c>
      <x:c r="L237" s="23" t="e">
        <x:f>HYPERLINK("https://www.wongnai.com/hotels/338511cq-mira-residence-resort","เปิดแหล่งข้อมูล 2")</x:f>
        <x:v>HYPERLINK is not implemented. linkLocation=https://www.wongnai.com/hotels/338511cq-mira-residence-resort, friendlyName=เปิดแหล่งข้อมูล 2</x:v>
      </x:c>
      <x:c r="M237" s="20" t="str">
        <x:v>ผลค้นหาชื่อสัมพันธ์จากแหล่งเพิ่มเติม ต้องยืนยันสาขาและข้อมูลปัจจุบัน</x:v>
      </x:c>
      <x:c r="N237" s="10" t="n">
        <x:v>46315</x:v>
      </x:c>
      <x:c r="O237" s="22" t="str">
        <x:v>ยังไม่ตรวจ</x:v>
      </x:c>
      <x:c r="P237" s="22" t="str">
        <x:v>ยังไม่ติดต่อ</x:v>
      </x:c>
    </x:row>
    <x:row r="238" ht="66" customHeight="1">
      <x:c r="A238" s="9" t="n">
        <x:v>230</x:v>
      </x:c>
      <x:c r="B238" s="20" t="str">
        <x:v>โรงแรม คาซ่า มารอค เชียงใหม่ Casa Marocc Chiangmai</x:v>
      </x:c>
      <x:c r="C238" s="20" t="str">
        <x:v>เชียงใหม่</x:v>
      </x:c>
      <x:c r="D238" s="20" t="str">
        <x:v>โรงแรมหรือรีสอร์ท</x:v>
      </x:c>
      <x:c r="E238" s="20" t="str">
        <x:v>Makan Verify; ระบุมีห้องละหมาด</x:v>
      </x:c>
      <x:c r="F238" s="20" t="str">
        <x:v>แหล่งข้อมูลระบุว่ามี</x:v>
      </x:c>
      <x:c r="G238" s="20" t="str">
        <x:v>ยังไม่พบเอกสารรับรองและวันหมดอายุ</x:v>
      </x:c>
      <x:c r="H23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38" s="20" t="str">
        <x:v>324 ถนน เจริญประเทศ ตำบลช้างคลาน อำเภอเมืองเชียงใหม่ เชียงใหม่ 50100</x:v>
      </x:c>
      <x:c r="J238" s="21" t="str">
        <x:v>0610023030</x:v>
      </x:c>
      <x:c r="K238" s="23" t="e">
        <x:f>HYPERLINK("https://makanhalalguide.com/shop/detail/5376","เปิดแหล่งข้อมูล 1")</x:f>
        <x:v>HYPERLINK is not implemented. linkLocation=https://makanhalalguide.com/shop/detail/5376, friendlyName=เปิดแหล่งข้อมูล 1</x:v>
      </x:c>
      <x:c r="L238" s="23" t="e">
        <x:f>HYPERLINK("https://www.thaithurkic.com/u-e-u-e-u-e-u-e-u-e-u-e-u-e-u-e-u-e-b-u_56g-053-272-709","เปิดแหล่งข้อมูล 2")</x:f>
        <x:v>HYPERLINK is not implemented. linkLocation=https://www.thaithurkic.com/u-e-u-e-u-e-u-e-u-e-u-e-u-e-u-e-u-e-b-u_56g-053-272-709, friendlyName=เปิดแหล่งข้อมูล 2</x:v>
      </x:c>
      <x:c r="M238" s="20" t="str">
        <x:v>ผลค้นหาชื่อสัมพันธ์จากแหล่งเพิ่มเติม ต้องยืนยันสาขาและข้อมูลปัจจุบัน</x:v>
      </x:c>
      <x:c r="N238" s="10" t="n">
        <x:v>46315</x:v>
      </x:c>
      <x:c r="O238" s="22" t="str">
        <x:v>ยังไม่ตรวจ</x:v>
      </x:c>
      <x:c r="P238" s="22" t="str">
        <x:v>ยังไม่ติดต่อ</x:v>
      </x:c>
    </x:row>
    <x:row r="239" ht="66" customHeight="1">
      <x:c r="A239" s="9" t="n">
        <x:v>231</x:v>
      </x:c>
      <x:c r="B239" s="20" t="str">
        <x:v>Aba Village</x:v>
      </x:c>
      <x:c r="C239" s="20" t="str">
        <x:v>เชียงใหม่</x:v>
      </x:c>
      <x:c r="D239" s="20" t="str">
        <x:v>ที่พัก (ตรวจประเภทจากชื่อและข้อมูลประกอบ)</x:v>
      </x:c>
      <x:c r="E239" s="20" t="str">
        <x:v>Makan Verify; ระบุมีห้องละหมาด</x:v>
      </x:c>
      <x:c r="F239" s="20" t="str">
        <x:v>แหล่งข้อมูลระบุว่ามี</x:v>
      </x:c>
      <x:c r="G239" s="20" t="str">
        <x:v>ยังไม่พบเอกสารรับรองและวันหมดอายุ</x:v>
      </x:c>
      <x:c r="H239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239" s="20" t="str">
        <x:v>1 ถนน ซอยเวียงพิงค์ ตำบลช้างคลาน เมือง เชียงใหม่ 50100</x:v>
      </x:c>
      <x:c r="J239" s="21" t="str">
        <x:v>0956743121</x:v>
      </x:c>
      <x:c r="K239" s="23" t="e">
        <x:f>HYPERLINK("https://makanhalalguide.com/shop/detail/5180","เปิดแหล่งข้อมูล 1")</x:f>
        <x:v>HYPERLINK is not implemented. linkLocation=https://makanhalalguide.com/shop/detail/5180, friendlyName=เปิดแหล่งข้อมูล 1</x:v>
      </x:c>
      <x:c r="L239" s="23" t="e">
        <x:f>HYPERLINK("https://www.google.co.th/travel/hotels/entity/ChoIy7vRv-bR8b7WARoNL2cvMTF2ZjIwOGRxbhAB?ap=ugEGcHJpY2Vz&amp;gl=th&amp;hl=en&amp;ts=CAEaBAoCGgAqBAoAGgA","เปิดแหล่งข้อมูล 2")</x:f>
        <x:v>HYPERLINK is not implemented. linkLocation=https://www.google.co.th/travel/hotels/entity/ChoIy7vRv-bR8b7WARoNL2cvMTF2ZjIwOGRxbhAB?ap=ugEGcHJpY2Vz&amp;gl=th&amp;hl=en&amp;ts=CAEaBAoCGgAqBAoAGgA, friendlyName=เปิดแหล่งข้อมูล 2</x:v>
      </x:c>
      <x:c r="M239" s="20" t="str">
        <x:v>ผลค้นหาชื่อสัมพันธ์จากแหล่งเพิ่มเติม ต้องยืนยันสาขาและข้อมูลปัจจุบัน</x:v>
      </x:c>
      <x:c r="N239" s="10" t="n">
        <x:v>46315</x:v>
      </x:c>
      <x:c r="O239" s="22" t="str">
        <x:v>ยังไม่ตรวจ</x:v>
      </x:c>
      <x:c r="P239" s="22" t="str">
        <x:v>ยังไม่ติดต่อ</x:v>
      </x:c>
    </x:row>
    <x:row r="240" ht="66" customHeight="1">
      <x:c r="A240" s="9" t="n">
        <x:v>232</x:v>
      </x:c>
      <x:c r="B240" s="20" t="str">
        <x:v>Everything Halal CNX</x:v>
      </x:c>
      <x:c r="C240" s="20" t="str">
        <x:v>เชียงใหม่</x:v>
      </x:c>
      <x:c r="D240" s="20" t="str">
        <x:v>ร้านอาหาร</x:v>
      </x:c>
      <x:c r="E240" s="20" t="str">
        <x:v>มีรายชื่อใน Makan Halal Guide; ระบุมีห้องละหมาด</x:v>
      </x:c>
      <x:c r="F240" s="20" t="str">
        <x:v>แหล่งข้อมูลระบุว่ามี</x:v>
      </x:c>
      <x:c r="G240" s="20" t="str">
        <x:v>ยังไม่พบเอกสารรับรองและวันหมดอายุ</x:v>
      </x:c>
      <x:c r="H24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0" s="20" t="str">
        <x:v>73/5 ถนน เจริญประเทศ ตำบล ช้างม่อย อำเภอเมืองเชียงใหม่ เชียงใหม่ 50100</x:v>
      </x:c>
      <x:c r="J240" s="21" t="str">
        <x:v>0654648876</x:v>
      </x:c>
      <x:c r="K240" s="23" t="e">
        <x:f>HYPERLINK("https://makanhalalguide.com/shop/detail/5601","เปิดแหล่งข้อมูล 1")</x:f>
        <x:v>HYPERLINK is not implemented. linkLocation=https://makanhalalguide.com/shop/detail/5601, friendlyName=เปิดแหล่งข้อมูล 1</x:v>
      </x:c>
      <x:c r="L240" s="23" t="e">
        <x:f>HYPERLINK("https://www.tripadvisor.com/Restaurant_Review-g293917-d33013107-Reviews-Everything_Halal_Cnx-Chiang_Mai.html","เปิดแหล่งข้อมูล 2")</x:f>
        <x:v>HYPERLINK is not implemented. linkLocation=https://www.tripadvisor.com/Restaurant_Review-g293917-d33013107-Reviews-Everything_Halal_Cnx-Chiang_Mai.html, friendlyName=เปิดแหล่งข้อมูล 2</x:v>
      </x:c>
      <x:c r="M240" s="20" t="str">
        <x:v>ผลค้นหาชื่อสัมพันธ์จากแหล่งเพิ่มเติม ต้องยืนยันสาขาและข้อมูลปัจจุบัน</x:v>
      </x:c>
      <x:c r="N240" s="10" t="n">
        <x:v>46315</x:v>
      </x:c>
      <x:c r="O240" s="22" t="str">
        <x:v>ยังไม่ตรวจ</x:v>
      </x:c>
      <x:c r="P240" s="22" t="str">
        <x:v>ยังไม่ติดต่อ</x:v>
      </x:c>
    </x:row>
    <x:row r="241" ht="66" customHeight="1">
      <x:c r="A241" s="9" t="n">
        <x:v>233</x:v>
      </x:c>
      <x:c r="B241" s="20" t="str">
        <x:v>ก๋วยเตี๋ยวเนื้อตุ๋น ครัวมัยซาเราะห์ ครัวบังมัต</x:v>
      </x:c>
      <x:c r="C241" s="20" t="str">
        <x:v>เชียงใหม่</x:v>
      </x:c>
      <x:c r="D241" s="20" t="str">
        <x:v>ร้านอาหาร</x:v>
      </x:c>
      <x:c r="E241" s="20" t="str">
        <x:v>มีรายชื่อใน Makan Halal Guide; ระบุมีห้องละหมาด</x:v>
      </x:c>
      <x:c r="F241" s="20" t="str">
        <x:v>แหล่งข้อมูลระบุว่ามี</x:v>
      </x:c>
      <x:c r="G241" s="20" t="str">
        <x:v>ยังไม่พบเอกสารรับรองและวันหมดอายุ</x:v>
      </x:c>
      <x:c r="H241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1" s="20" t="str">
        <x:v>67/2 ม.14 ต.สุเทพ อ.เมือง เชียงใหม่ 50200 (ร้านอยู่หลัง มช  ซอยวัดอุโมงค์)</x:v>
      </x:c>
      <x:c r="J241" s="21" t="str">
        <x:v>0839144655</x:v>
      </x:c>
      <x:c r="K241" s="23" t="e">
        <x:f>HYPERLINK("https://makanhalalguide.com/shop/detail/5315","เปิดแหล่งข้อมูล 1")</x:f>
        <x:v>HYPERLINK is not implemented. linkLocation=https://makanhalalguide.com/shop/detail/5315, friendlyName=เปิดแหล่งข้อมูล 1</x:v>
      </x:c>
      <x:c r="L241" s="23" t="e">
        <x:f>HYPERLINK("https://www.waze.com/live-map/directions/th/%E0%B8%88.%E0%B9%80%E0%B8%8A%E0%B8%B5%E0%B8%A2%E0%B8%87%E0%B9%83%E0%B8%AB%E0%B8%A1%E0%B9%88/stewed-beef-krua-bungmaad-halalfood?to=place.ChIJP_VT4fA72jAR6k8PTTXv3Q0","เปิดแหล่งข้อมูล 2")</x:f>
        <x:v>HYPERLINK is not implemented. linkLocation=https://www.waze.com/live-map/directions/th/%E0%B8%88.%E0%B9%80%E0%B8%8A%E0%B8%B5%E0%B8%A2%E0%B8%87%E0%B9%83%E0%B8%AB%E0%B8%A1%E0%B9%88/stewed-beef-krua-bungmaad-halalfood?to=place.ChIJP_VT4fA72jAR6k8PTTXv3Q0, friendlyName=เปิดแหล่งข้อมูล 2</x:v>
      </x:c>
      <x:c r="M241" s="20" t="str">
        <x:v>ผลค้นหาชื่อสัมพันธ์จากแหล่งเพิ่มเติม ต้องยืนยันสาขาและข้อมูลปัจจุบัน</x:v>
      </x:c>
      <x:c r="N241" s="10" t="n">
        <x:v>46315</x:v>
      </x:c>
      <x:c r="O241" s="22" t="str">
        <x:v>ยังไม่ตรวจ</x:v>
      </x:c>
      <x:c r="P241" s="22" t="str">
        <x:v>ยังไม่ติดต่อ</x:v>
      </x:c>
    </x:row>
    <x:row r="242" ht="66" customHeight="1">
      <x:c r="A242" s="9" t="n">
        <x:v>234</x:v>
      </x:c>
      <x:c r="B242" s="20" t="str">
        <x:v>หรอยลำนัว</x:v>
      </x:c>
      <x:c r="C242" s="20" t="str">
        <x:v>เชียงใหม่</x:v>
      </x:c>
      <x:c r="D242" s="20" t="str">
        <x:v>ร้านอาหาร</x:v>
      </x:c>
      <x:c r="E242" s="20" t="str">
        <x:v>มีรายชื่อใน Makan Halal Guide; ระบุมีห้องละหมาด</x:v>
      </x:c>
      <x:c r="F242" s="20" t="str">
        <x:v>แหล่งข้อมูลระบุว่ามี</x:v>
      </x:c>
      <x:c r="G242" s="20" t="str">
        <x:v>ยังไม่พบเอกสารรับรองและวันหมดอายุ</x:v>
      </x:c>
      <x:c r="H24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2" s="20" t="str">
        <x:v>ซอยแม่ย่อยใต้ หมู่ 2 น้อย, ตำบล สันทรายน้อย อำเภอสันทราย เชียงใหม่ 50210</x:v>
      </x:c>
      <x:c r="J242" s="21" t="str">
        <x:v>0821231522</x:v>
      </x:c>
      <x:c r="K242" s="23" t="e">
        <x:f>HYPERLINK("https://makanhalalguide.com/shop/detail/6351","เปิดแหล่งข้อมูล 1")</x:f>
        <x:v>HYPERLINK is not implemented. linkLocation=https://makanhalalguide.com/shop/detail/6351, friendlyName=เปิดแหล่งข้อมูล 1</x:v>
      </x:c>
      <x:c r="L242" s="23" t="e">
        <x:f>HYPERLINK("https://www.wongnai.com/restaurants/3756411jJ-%E0%B8%AB%E0%B8%A3%E0%B8%AD%E0%B8%A2-%E0%B8%A5%E0%B8%B3-%E0%B8%99%E0%B8%B1%E0%B8%A7-meta-mall/menu?menuGroupId=items","เปิดแหล่งข้อมูล 2")</x:f>
        <x:v>HYPERLINK is not implemented. linkLocation=https://www.wongnai.com/restaurants/3756411jJ-%E0%B8%AB%E0%B8%A3%E0%B8%AD%E0%B8%A2-%E0%B8%A5%E0%B8%B3-%E0%B8%99%E0%B8%B1%E0%B8%A7-meta-mall/menu?menuGroupId=items, friendlyName=เปิดแหล่งข้อมูล 2</x:v>
      </x:c>
      <x:c r="M242" s="20" t="str">
        <x:v>ผลค้นหาชื่อสัมพันธ์จากแหล่งเพิ่มเติม ต้องยืนยันสาขาและข้อมูลปัจจุบัน</x:v>
      </x:c>
      <x:c r="N242" s="10" t="n">
        <x:v>46315</x:v>
      </x:c>
      <x:c r="O242" s="22" t="str">
        <x:v>ยังไม่ตรวจ</x:v>
      </x:c>
      <x:c r="P242" s="22" t="str">
        <x:v>ยังไม่ติดต่อ</x:v>
      </x:c>
    </x:row>
    <x:row r="243" ht="66" customHeight="1">
      <x:c r="A243" s="9" t="n">
        <x:v>235</x:v>
      </x:c>
      <x:c r="B243" s="20" t="str">
        <x:v>เลอบิส</x:v>
      </x:c>
      <x:c r="C243" s="20" t="str">
        <x:v>เชียงใหม่</x:v>
      </x:c>
      <x:c r="D243" s="20" t="str">
        <x:v>ร้านอาหาร</x:v>
      </x:c>
      <x:c r="E243" s="20" t="str">
        <x:v>Makan Verify; ระบุมีห้องละหมาด</x:v>
      </x:c>
      <x:c r="F243" s="20" t="str">
        <x:v>แหล่งข้อมูลระบุว่ามี</x:v>
      </x:c>
      <x:c r="G243" s="20" t="str">
        <x:v>ยังไม่พบเอกสารรับรองและวันหมดอายุ</x:v>
      </x:c>
      <x:c r="H243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3" s="20" t="str">
        <x:v>166 26 ซอย ประชาสัมพันธ์ 2 ตำบลช้างคลาน อำเภอเมืองเชียงใหม่ เชียงใหม่ 50100</x:v>
      </x:c>
      <x:c r="J243" s="21" t="str">
        <x:v>0927757895</x:v>
      </x:c>
      <x:c r="K243" s="23" t="e">
        <x:f>HYPERLINK("https://makanhalalguide.com/shop/detail/5185","เปิดแหล่งข้อมูล 1")</x:f>
        <x:v>HYPERLINK is not implemented. linkLocation=https://makanhalalguide.com/shop/detail/5185, friendlyName=เปิดแหล่งข้อมูล 1</x:v>
      </x:c>
      <x:c r="L243" s="23" t="e">
        <x:f>HYPERLINK("https://www.thaimiceconnect.com/business/detail/20239","เปิดแหล่งข้อมูล 2")</x:f>
        <x:v>HYPERLINK is not implemented. linkLocation=https://www.thaimiceconnect.com/business/detail/20239, friendlyName=เปิดแหล่งข้อมูล 2</x:v>
      </x:c>
      <x:c r="M243" s="20" t="str">
        <x:v>ผลค้นหาชื่อสัมพันธ์จากแหล่งเพิ่มเติม ต้องยืนยันสาขาและข้อมูลปัจจุบัน</x:v>
      </x:c>
      <x:c r="N243" s="10" t="n">
        <x:v>46315</x:v>
      </x:c>
      <x:c r="O243" s="22" t="str">
        <x:v>ยังไม่ตรวจ</x:v>
      </x:c>
      <x:c r="P243" s="22" t="str">
        <x:v>ยังไม่ติดต่อ</x:v>
      </x:c>
    </x:row>
    <x:row r="244" ht="66" customHeight="1">
      <x:c r="A244" s="9" t="n">
        <x:v>236</x:v>
      </x:c>
      <x:c r="B244" s="20" t="str">
        <x:v>ไท่ไท่ทองอินทร์</x:v>
      </x:c>
      <x:c r="C244" s="20" t="str">
        <x:v>เชียงใหม่</x:v>
      </x:c>
      <x:c r="D244" s="20" t="str">
        <x:v>ร้านอาหาร</x:v>
      </x:c>
      <x:c r="E244" s="20" t="str">
        <x:v>มีรายชื่อใน Makan Halal Guide; ระบุมีห้องละหมาด</x:v>
      </x:c>
      <x:c r="F244" s="20" t="str">
        <x:v>แหล่งข้อมูลระบุว่ามี</x:v>
      </x:c>
      <x:c r="G244" s="20" t="str">
        <x:v>ยังไม่พบเอกสารรับรองและวันหมดอายุ</x:v>
      </x:c>
      <x:c r="H244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4" s="20" t="str">
        <x:v>ถนนแก้วนวรัฐซอย 3 ตำบลวัดเกต อำเภอเมืองเชียงใหม่ เชียงใหม่ 50000</x:v>
      </x:c>
      <x:c r="J244" s="21" t="str">
        <x:v>0636525384</x:v>
      </x:c>
      <x:c r="K244" s="23" t="e">
        <x:f>HYPERLINK("https://makanhalalguide.com/shop/detail/5738","เปิดแหล่งข้อมูล 1")</x:f>
        <x:v>HYPERLINK is not implemented. linkLocation=https://makanhalalguide.com/shop/detail/5738, friendlyName=เปิดแหล่งข้อมูล 1</x:v>
      </x:c>
      <x:c r="L244" s="23" t="e">
        <x:f>HYPERLINK("https://www.thic.or.th/th/tourist/detail/tourist/2","เปิดแหล่งข้อมูล 2")</x:f>
        <x:v>HYPERLINK is not implemented. linkLocation=https://www.thic.or.th/th/tourist/detail/tourist/2, friendlyName=เปิดแหล่งข้อมูล 2</x:v>
      </x:c>
      <x:c r="M244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N244" s="10" t="n">
        <x:v>46315</x:v>
      </x:c>
      <x:c r="O244" s="22" t="str">
        <x:v>ยังไม่ตรวจ</x:v>
      </x:c>
      <x:c r="P244" s="22" t="str">
        <x:v>ยังไม่ติดต่อ</x:v>
      </x:c>
    </x:row>
    <x:row r="245" ht="66" customHeight="1">
      <x:c r="A245" s="9" t="n">
        <x:v>237</x:v>
      </x:c>
      <x:c r="B245" s="20" t="str">
        <x:v>Hnisme family poolvilla</x:v>
      </x:c>
      <x:c r="C245" s="20" t="str">
        <x:v>เพชรบุรี</x:v>
      </x:c>
      <x:c r="D245" s="20" t="str">
        <x:v>ร้านอาหาร</x:v>
      </x:c>
      <x:c r="E245" s="20" t="str">
        <x:v>Makan Verify; ระบุมีห้องละหมาด</x:v>
      </x:c>
      <x:c r="F245" s="20" t="str">
        <x:v>แหล่งข้อมูลระบุว่ามี</x:v>
      </x:c>
      <x:c r="G245" s="20" t="str">
        <x:v>ยังไม่พบเอกสารรับรองและวันหมดอายุ</x:v>
      </x:c>
      <x:c r="H245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5" s="20" t="str">
        <x:v>371, ตำบล หาดเจ้าสำราญ อำเภอเมืองเพชรบุรี เพชรบุรี 76100</x:v>
      </x:c>
      <x:c r="J245" s="21" t="str">
        <x:v>0815660707</x:v>
      </x:c>
      <x:c r="K245" s="23" t="e">
        <x:f>HYPERLINK("https://makanhalalguide.com/shop/detail/5385","เปิดแหล่งข้อมูล 1")</x:f>
        <x:v>HYPERLINK is not implemented. linkLocation=https://makanhalalguide.com/shop/detail/5385, friendlyName=เปิดแหล่งข้อมูล 1</x:v>
      </x:c>
      <x:c r="L245" s="23" t="e">
        <x:f>HYPERLINK("https://www.lemon8-app.com/%40achx44/7517563239945962001?region=us","เปิดแหล่งข้อมูล 2")</x:f>
        <x:v>HYPERLINK is not implemented. linkLocation=https://www.lemon8-app.com/%40achx44/7517563239945962001?region=us, friendlyName=เปิดแหล่งข้อมูล 2</x:v>
      </x:c>
      <x:c r="M245" s="20" t="str">
        <x:v>ผลค้นหาชื่อสัมพันธ์จากแหล่งเพิ่มเติม ต้องยืนยันสาขาและข้อมูลปัจจุบัน</x:v>
      </x:c>
      <x:c r="N245" s="10" t="n">
        <x:v>46315</x:v>
      </x:c>
      <x:c r="O245" s="22" t="str">
        <x:v>ยังไม่ตรวจ</x:v>
      </x:c>
      <x:c r="P245" s="22" t="str">
        <x:v>ยังไม่ติดต่อ</x:v>
      </x:c>
    </x:row>
    <x:row r="246" ht="66" customHeight="1">
      <x:c r="A246" s="9" t="n">
        <x:v>238</x:v>
      </x:c>
      <x:c r="B246" s="20" t="str">
        <x:v>ไร่ธัญเบอรี่ Tanya Berry Resort</x:v>
      </x:c>
      <x:c r="C246" s="20" t="str">
        <x:v>เพชรบูรณ์</x:v>
      </x:c>
      <x:c r="D246" s="20" t="str">
        <x:v>โรงแรมหรือรีสอร์ท</x:v>
      </x:c>
      <x:c r="E246" s="20" t="str">
        <x:v>Makan Verify; ระบุมีห้องละหมาด</x:v>
      </x:c>
      <x:c r="F246" s="20" t="str">
        <x:v>แหล่งข้อมูลระบุว่ามี</x:v>
      </x:c>
      <x:c r="G246" s="20" t="str">
        <x:v>ยังไม่พบเอกสารรับรองและวันหมดอายุ</x:v>
      </x:c>
      <x:c r="H246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6" s="20" t="str">
        <x:v>ตำบล เขาค้อ อำเภอเขาค้อ เพชรบูรณ์ 67270</x:v>
      </x:c>
      <x:c r="J246" s="21" t="str">
        <x:v>0896979158</x:v>
      </x:c>
      <x:c r="K246" s="23" t="e">
        <x:f>HYPERLINK("https://makanhalalguide.com/shop/detail/5192","เปิดแหล่งข้อมูล 1")</x:f>
        <x:v>HYPERLINK is not implemented. linkLocation=https://makanhalalguide.com/shop/detail/5192, friendlyName=เปิดแหล่งข้อมูล 1</x:v>
      </x:c>
      <x:c r="L246" s="23" t="e">
        <x:f>HYPERLINK("https://www.thaithurkic.com/tanya-berry-089-697-9158","เปิดแหล่งข้อมูล 2")</x:f>
        <x:v>HYPERLINK is not implemented. linkLocation=https://www.thaithurkic.com/tanya-berry-089-697-9158, friendlyName=เปิดแหล่งข้อมูล 2</x:v>
      </x:c>
      <x:c r="M246" s="20" t="str">
        <x:v>ผลค้นหาชื่อสัมพันธ์จากแหล่งเพิ่มเติม ต้องยืนยันสาขาและข้อมูลปัจจุบัน</x:v>
      </x:c>
      <x:c r="N246" s="10" t="n">
        <x:v>46315</x:v>
      </x:c>
      <x:c r="O246" s="22" t="str">
        <x:v>ยังไม่ตรวจ</x:v>
      </x:c>
      <x:c r="P246" s="22" t="str">
        <x:v>ยังไม่ติดต่อ</x:v>
      </x:c>
    </x:row>
    <x:row r="247" ht="66" customHeight="1">
      <x:c r="A247" s="9" t="n">
        <x:v>239</x:v>
      </x:c>
      <x:c r="B247" s="20" t="str">
        <x:v>DD O-Zone พูลวิลล่า ฮาลาลฟู้ด ภูทับเบิก</x:v>
      </x:c>
      <x:c r="C247" s="20" t="str">
        <x:v>เพชรบูรณ์</x:v>
      </x:c>
      <x:c r="D247" s="20" t="str">
        <x:v>ที่พัก (ตรวจประเภทจากชื่อและข้อมูลประกอบ)</x:v>
      </x:c>
      <x:c r="E247" s="20" t="str">
        <x:v>Makan Verify; ระบุมีห้องละหมาด</x:v>
      </x:c>
      <x:c r="F247" s="20" t="str">
        <x:v>แหล่งข้อมูลระบุว่ามี</x:v>
      </x:c>
      <x:c r="G247" s="20" t="str">
        <x:v>ยังไม่พบเอกสารรับรองและวันหมดอายุ</x:v>
      </x:c>
      <x:c r="H247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247" s="20" t="str">
        <x:v>ภูทับเบิก 190 ตำบลวังบาล อำเภอหล่มเก่า เพชรบูรณ์ 67120</x:v>
      </x:c>
      <x:c r="J247" s="21" t="str">
        <x:v>0618902722</x:v>
      </x:c>
      <x:c r="K247" s="23" t="e">
        <x:f>HYPERLINK("https://makanhalalguide.com/shop/detail/5821","เปิดแหล่งข้อมูล 1")</x:f>
        <x:v>HYPERLINK is not implemented. linkLocation=https://makanhalalguide.com/shop/detail/5821, friendlyName=เปิดแหล่งข้อมูล 1</x:v>
      </x:c>
      <x:c r="L247" s="23" t="e">
        <x:f>HYPERLINK("https://www.youtube.com/watch?v=Gu2mpGqI5bk","เปิดแหล่งข้อมูล 2")</x:f>
        <x:v>HYPERLINK is not implemented. linkLocation=https://www.youtube.com/watch?v=Gu2mpGqI5bk, friendlyName=เปิดแหล่งข้อมูล 2</x:v>
      </x:c>
      <x:c r="M247" s="20" t="str">
        <x:v>ผลค้นหาชื่อสัมพันธ์จากแหล่งเพิ่มเติม ต้องยืนยันสาขาและข้อมูลปัจจุบัน</x:v>
      </x:c>
      <x:c r="N247" s="10" t="n">
        <x:v>46315</x:v>
      </x:c>
      <x:c r="O247" s="22" t="str">
        <x:v>ยังไม่ตรวจ</x:v>
      </x:c>
      <x:c r="P247" s="22" t="str">
        <x:v>ยังไม่ติดต่อ</x:v>
      </x:c>
    </x:row>
    <x:row r="248" ht="66" customHeight="1">
      <x:c r="A248" s="9" t="n">
        <x:v>240</x:v>
      </x:c>
      <x:c r="B248" s="20" t="str">
        <x:v>Hilwah น้ำแซนวิชโบราณฮาลาล</x:v>
      </x:c>
      <x:c r="C248" s="20" t="str">
        <x:v>กรุงเทพมหานคร</x:v>
      </x:c>
      <x:c r="D248" s="20" t="str">
        <x:v>ร้านอาหาร</x:v>
      </x:c>
      <x:c r="E248" s="20" t="str">
        <x:v>Makan Verify; ระบุมีห้องละหมาด</x:v>
      </x:c>
      <x:c r="F248" s="20" t="str">
        <x:v>แหล่งข้อมูลระบุว่ามี</x:v>
      </x:c>
      <x:c r="G248" s="20" t="str">
        <x:v>ยังไม่พบเอกสารรับรองและวันหมดอายุ</x:v>
      </x:c>
      <x:c r="H248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8" s="20" t="str">
        <x:v>9 ซ.พีพาร์ค ถ.ศรีนครินทร์ พัฒนาการ สวนหลวง กทม. (เจอป้ายศูนย์อิสลามศึกษามัสยิดดาริสสลาม เลี้ยวซ้ายเข้ามาได้เลยค่ะ จอดรอใต้หอส้มได้ค่ะ มีตู้กดน้ำ)</x:v>
      </x:c>
      <x:c r="J248" s="21" t="str">
        <x:v>0649699884</x:v>
      </x:c>
      <x:c r="K248" s="23" t="e">
        <x:f>HYPERLINK("https://makanhalalguide.com/shop/detail/6164","เปิดแหล่งข้อมูล 1")</x:f>
        <x:v>HYPERLINK is not implemented. linkLocation=https://makanhalalguide.com/shop/detail/6164, friendlyName=เปิดแหล่งข้อมูล 1</x:v>
      </x:c>
      <x:c r="L248" s="23" t="e">
        <x:f>HYPERLINK("https://market.kapook.com/view-4fa8db18d000002","เปิดแหล่งข้อมูล 2")</x:f>
        <x:v>HYPERLINK is not implemented. linkLocation=https://market.kapook.com/view-4fa8db18d000002, friendlyName=เปิดแหล่งข้อมูล 2</x:v>
      </x:c>
      <x:c r="M248" s="20" t="str">
        <x:v>ผลค้นหาชื่อสัมพันธ์จากแหล่งเพิ่มเติม ต้องยืนยันสาขาและข้อมูลปัจจุบัน</x:v>
      </x:c>
      <x:c r="N248" s="10" t="n">
        <x:v>46315</x:v>
      </x:c>
      <x:c r="O248" s="22" t="str">
        <x:v>ยังไม่ตรวจ</x:v>
      </x:c>
      <x:c r="P248" s="22" t="str">
        <x:v>ยังไม่ติดต่อ</x:v>
      </x:c>
    </x:row>
    <x:row r="249" ht="66" customHeight="1">
      <x:c r="A249" s="9" t="n">
        <x:v>241</x:v>
      </x:c>
      <x:c r="B249" s="20" t="str">
        <x:v>โรงชา@คลองแม่จัน</x:v>
      </x:c>
      <x:c r="C249" s="20" t="str">
        <x:v>กรุงเทพมหานคร</x:v>
      </x:c>
      <x:c r="D249" s="20" t="str">
        <x:v>ร้านอาหาร</x:v>
      </x:c>
      <x:c r="E249" s="20" t="str">
        <x:v>มีรายชื่อใน Makan Halal Guide; ระบุมีห้องละหมาด</x:v>
      </x:c>
      <x:c r="F249" s="20" t="str">
        <x:v>แหล่งข้อมูลระบุว่ามี</x:v>
      </x:c>
      <x:c r="G249" s="20" t="str">
        <x:v>ยังไม่พบเอกสารรับรองและวันหมดอายุ</x:v>
      </x:c>
      <x:c r="H249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49" s="20" t="str">
        <x:v>22 ซอยกาญจนาภิเษก 25 แขวงทับช้าง เขตสะพานสูง 10250 (มีป้ายโรงชาอยู่ข้างหน้าเลย)</x:v>
      </x:c>
      <x:c r="J249" s="21" t="str">
        <x:v>0805579770</x:v>
      </x:c>
      <x:c r="K249" s="23" t="e">
        <x:f>HYPERLINK("https://makanhalalguide.com/shop/detail/4829","เปิดแหล่งข้อมูล 1")</x:f>
        <x:v>HYPERLINK is not implemented. linkLocation=https://makanhalalguide.com/shop/detail/4829, friendlyName=เปิดแหล่งข้อมูล 1</x:v>
      </x:c>
      <x:c r="L249" s="23" t="e">
        <x:f>HYPERLINK("https://www.wongnai.com/restaurants/2903996gD-%E0%B9%82%E0%B8%A3%E0%B8%87%E0%B8%8A%E0%B8%B2%E0%B8%84%E0%B8%A5%E0%B8%AD%E0%B8%87%E0%B9%81%E0%B8%A1%E0%B9%88%E0%B8%88%E0%B8%B1%E0%B8%99-%E0%B9%82%E0%B8%A3%E0%B8%87%E0%B8%8A%E0%B8%B2%E0%B8%84%E0%B8%A5%E0%B8%AD%E0%B8%87%E0%B9%81%E0%B8%A1%E0%B9%88%E0%B8%88%E0%B8%B1%E0%B8%99","เปิดแหล่งข้อมูล 2")</x:f>
        <x:v>HYPERLINK is not implemented. linkLocation=https://www.wongnai.com/restaurants/2903996gD-%E0%B9%82%E0%B8%A3%E0%B8%87%E0%B8%8A%E0%B8%B2%E0%B8%84%E0%B8%A5%E0%B8%AD%E0%B8%87%E0%B9%81%E0%B8%A1%E0%B9%88%E0%B8%88%E0%B8%B1%E0%B8%99-%E0%B9%82%E0%B8%A3%E0%B8%87%E0%B8%8A%E0%B8%B2%E0%B8%84%E0%B8%A5%E0%B8%AD%E0%B8%87%E0%B9%81%E0%B8%A1%E0%B9%88%E0%B8%88%E0%B8%B1%E0%B8%99, friendlyName=เปิดแหล่งข้อมูล 2</x:v>
      </x:c>
      <x:c r="M249" s="20" t="str">
        <x:v>ผลค้นหาชื่อสัมพันธ์จากแหล่งเพิ่มเติม ต้องยืนยันสาขาและข้อมูลปัจจุบัน</x:v>
      </x:c>
      <x:c r="N249" s="10" t="n">
        <x:v>46315</x:v>
      </x:c>
      <x:c r="O249" s="22" t="str">
        <x:v>ยังไม่ตรวจ</x:v>
      </x:c>
      <x:c r="P249" s="22" t="str">
        <x:v>ยังไม่ติดต่อ</x:v>
      </x:c>
    </x:row>
    <x:row r="250" ht="66" customHeight="1">
      <x:c r="A250" s="9" t="n">
        <x:v>242</x:v>
      </x:c>
      <x:c r="B250" s="20" t="str">
        <x:v>Pai In Town Hotel</x:v>
      </x:c>
      <x:c r="C250" s="20" t="str">
        <x:v>แม่ฮ่องสอน</x:v>
      </x:c>
      <x:c r="D250" s="20" t="str">
        <x:v>โรงแรมหรือรีสอร์ท</x:v>
      </x:c>
      <x:c r="E250" s="20" t="str">
        <x:v>Makan Verify; ระบุมีห้องละหมาด</x:v>
      </x:c>
      <x:c r="F250" s="20" t="str">
        <x:v>แหล่งข้อมูลระบุว่ามี</x:v>
      </x:c>
      <x:c r="G250" s="20" t="str">
        <x:v>ยังไม่พบเอกสารรับรองและวันหมดอายุ</x:v>
      </x:c>
      <x:c r="H250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50" s="20" t="str">
        <x:v>183 183 Moo 1 ตำบล เวียงใต้ อำเภอปาย แม่ฮ่องสอน 58130</x:v>
      </x:c>
      <x:c r="J250" s="21" t="str">
        <x:v>0810316026</x:v>
      </x:c>
      <x:c r="K250" s="23" t="e">
        <x:f>HYPERLINK("https://makanhalalguide.com/shop/detail/5187","เปิดแหล่งข้อมูล 1")</x:f>
        <x:v>HYPERLINK is not implemented. linkLocation=https://makanhalalguide.com/shop/detail/5187, friendlyName=เปิดแหล่งข้อมูล 1</x:v>
      </x:c>
      <x:c r="L250" s="23" t="e">
        <x:f>HYPERLINK("https://th.tripadvisor.com/Hotel_Review-g303916-d3180778-Reviews-Pai_In_Town_Hotel-Pai_Mae_Hong_Son_Province.html","เปิดแหล่งข้อมูล 2")</x:f>
        <x:v>HYPERLINK is not implemented. linkLocation=https://th.tripadvisor.com/Hotel_Review-g303916-d3180778-Reviews-Pai_In_Town_Hotel-Pai_Mae_Hong_Son_Province.html, friendlyName=เปิดแหล่งข้อมูล 2</x:v>
      </x:c>
      <x:c r="M250" s="20" t="str">
        <x:v>ผลค้นหาชื่อสัมพันธ์จากแหล่งเพิ่มเติม ต้องยืนยันสาขาและข้อมูลปัจจุบัน</x:v>
      </x:c>
      <x:c r="N250" s="10" t="n">
        <x:v>46315</x:v>
      </x:c>
      <x:c r="O250" s="22" t="str">
        <x:v>ยังไม่ตรวจ</x:v>
      </x:c>
      <x:c r="P250" s="22" t="str">
        <x:v>ยังไม่ติดต่อ</x:v>
      </x:c>
    </x:row>
    <x:row r="251" ht="66" customHeight="1">
      <x:c r="A251" s="9" t="n">
        <x:v>243</x:v>
      </x:c>
      <x:c r="B251" s="20" t="str">
        <x:v>Mp house at pai</x:v>
      </x:c>
      <x:c r="C251" s="20" t="str">
        <x:v>แม่ฮ่องสอน</x:v>
      </x:c>
      <x:c r="D251" s="20" t="str">
        <x:v>ที่พัก (ตรวจประเภทจากชื่อและข้อมูลประกอบ)</x:v>
      </x:c>
      <x:c r="E251" s="20" t="str">
        <x:v>Makan Verify; ระบุมีห้องละหมาด</x:v>
      </x:c>
      <x:c r="F251" s="20" t="str">
        <x:v>แหล่งข้อมูลระบุว่ามี</x:v>
      </x:c>
      <x:c r="G251" s="20" t="str">
        <x:v>ยังไม่พบเอกสารรับรองและวันหมดอายุ</x:v>
      </x:c>
      <x:c r="H251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251" s="20" t="str">
        <x:v>32 หมู่ 1 ตำบลเวียงใต้ อำเภอปายปาย แม่ฮ่องสอน 58130</x:v>
      </x:c>
      <x:c r="J251" s="21" t="str">
        <x:v>0960106396</x:v>
      </x:c>
      <x:c r="K251" s="23" t="e">
        <x:f>HYPERLINK("https://makanhalalguide.com/shop/detail/5395","เปิดแหล่งข้อมูล 1")</x:f>
        <x:v>HYPERLINK is not implemented. linkLocation=https://makanhalalguide.com/shop/detail/5395, friendlyName=เปิดแหล่งข้อมูล 1</x:v>
      </x:c>
      <x:c r="L251" s="23" t="e">
        <x:f>HYPERLINK("https://www.google.com.sa/travel/hotels/entity/ChoI5YzQ5azrnYGMARoNL2cvMTFiNzNuMjM4aBAB","เปิดแหล่งข้อมูล 2")</x:f>
        <x:v>HYPERLINK is not implemented. linkLocation=https://www.google.com.sa/travel/hotels/entity/ChoI5YzQ5azrnYGMARoNL2cvMTFiNzNuMjM4aBAB, friendlyName=เปิดแหล่งข้อมูล 2</x:v>
      </x:c>
      <x:c r="M251" s="20" t="str">
        <x:v>ผลค้นหาชื่อสัมพันธ์จากแหล่งเพิ่มเติม ต้องยืนยันสาขาและข้อมูลปัจจุบัน</x:v>
      </x:c>
      <x:c r="N251" s="10" t="n">
        <x:v>46315</x:v>
      </x:c>
      <x:c r="O251" s="22" t="str">
        <x:v>ยังไม่ตรวจ</x:v>
      </x:c>
      <x:c r="P251" s="22" t="str">
        <x:v>ยังไม่ติดต่อ</x:v>
      </x:c>
    </x:row>
    <x:row r="252" ht="66" customHeight="1">
      <x:c r="A252" s="9" t="n">
        <x:v>244</x:v>
      </x:c>
      <x:c r="B252" s="20" t="str">
        <x:v>zeesma halal food</x:v>
      </x:c>
      <x:c r="C252" s="20" t="str">
        <x:v>แม่ฮ่องสอน</x:v>
      </x:c>
      <x:c r="D252" s="20" t="str">
        <x:v>ร้านอาหาร</x:v>
      </x:c>
      <x:c r="E252" s="20" t="str">
        <x:v>มีรายชื่อใน Makan Halal Guide; ระบุมีห้องละหมาด</x:v>
      </x:c>
      <x:c r="F252" s="20" t="str">
        <x:v>แหล่งข้อมูลระบุว่ามี</x:v>
      </x:c>
      <x:c r="G252" s="20" t="str">
        <x:v>ยังไม่พบเอกสารรับรองและวันหมดอายุ</x:v>
      </x:c>
      <x:c r="H252" s="20" t="str">
        <x:v>ต้องยืนยันเงื่อนไขบังคับทุกข้อและคะแนนอย่างน้อย 70/100 ก่อนยืนยันพร้อมขาย โดยเฉพาะใบรับรองและวันหมดอายุ บุคลากรมุสลิม ที่อาบน้ำละหมาด และข้อมูลบริการ</x:v>
      </x:c>
      <x:c r="I252" s="20" t="str">
        <x:v>บ้านเลขที่ 99 หมู่ 1 ถนน 108 ตำบล ขุนยวม อำเภอ ขุนยวม จังหวัด แม่ฮ่องสอน 58140 (ร้านมือถือ โอ๊ตโมบาย หรือ หจก.ซีแอนด์ซี ขุนยวม หน้าร้านมีป้ายเมนูอาหารฟูดฮาลาล ร้านเป็นร้านมือถือ ไม่มีหน้าร้านของร้านอาหาร แต่เป็นร้านเดียวกันค่ะ)</x:v>
      </x:c>
      <x:c r="J252" s="21" t="str">
        <x:v>0942396392</x:v>
      </x:c>
      <x:c r="K252" s="23" t="e">
        <x:f>HYPERLINK("https://makanhalalguide.com/shop/detail/5158","เปิดแหล่งข้อมูล 1")</x:f>
        <x:v>HYPERLINK is not implemented. linkLocation=https://makanhalalguide.com/shop/detail/5158, friendlyName=เปิดแหล่งข้อมูล 1</x:v>
      </x:c>
      <x:c r="L252" s="23" t="str"/>
      <x:c r="M252" s="20" t="str"/>
      <x:c r="N252" s="10" t="n">
        <x:v>46315</x:v>
      </x:c>
      <x:c r="O252" s="22" t="str">
        <x:v>ยังไม่ตรวจ</x:v>
      </x:c>
      <x:c r="P252" s="22" t="str">
        <x:v>ยังไม่ติดต่อ</x:v>
      </x:c>
    </x:row>
    <x:row r="253" ht="66" customHeight="1">
      <x:c r="A253" s="9" t="n">
        <x:v>245</x:v>
      </x:c>
      <x:c r="B253" s="20" t="str">
        <x:v>Mareeya Resort &amp; Farm.ไร่มารียาฟาร์ม</x:v>
      </x:c>
      <x:c r="C253" s="20" t="str">
        <x:v>เชียงราย</x:v>
      </x:c>
      <x:c r="D253" s="20" t="str">
        <x:v>โรงแรมหรือรีสอร์ท</x:v>
      </x:c>
      <x:c r="E253" s="20" t="str">
        <x:v>Makan Verify; ช่องห้องละหมาดไม่ได้ทำเครื่องหมายว่ามี</x:v>
      </x:c>
      <x:c r="F253" s="20" t="str">
        <x:v>ไม่ได้ทำเครื่องหมายว่ามี / ต้องยืนยัน</x:v>
      </x:c>
      <x:c r="G253" s="20" t="str">
        <x:v>ยังไม่พบเอกสารรับรองและวันหมดอายุ</x:v>
      </x:c>
      <x:c r="H25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53" s="20" t="str">
        <x:v>37 ตำบล แม่สลองนอก อำเภอ แม่ฟ้าหลวง เชียงราย 57110</x:v>
      </x:c>
      <x:c r="J253" s="21" t="str">
        <x:v>0649699053</x:v>
      </x:c>
      <x:c r="K253" s="23" t="e">
        <x:f>HYPERLINK("https://makanhalalguide.com/shop/detail/5379","เปิดแหล่งข้อมูล 1")</x:f>
        <x:v>HYPERLINK is not implemented. linkLocation=https://makanhalalguide.com/shop/detail/5379, friendlyName=เปิดแหล่งข้อมูล 1</x:v>
      </x:c>
      <x:c r="L253" s="23" t="str"/>
      <x:c r="M253" s="20" t="str"/>
      <x:c r="N253" s="10" t="n">
        <x:v>46315</x:v>
      </x:c>
      <x:c r="O253" s="22" t="str">
        <x:v>ยังไม่ตรวจ</x:v>
      </x:c>
      <x:c r="P253" s="22" t="str">
        <x:v>ยังไม่ติดต่อ</x:v>
      </x:c>
    </x:row>
    <x:row r="254" ht="66" customHeight="1">
      <x:c r="A254" s="9" t="n">
        <x:v>246</x:v>
      </x:c>
      <x:c r="B254" s="20" t="str">
        <x:v>กาแฟหัวโค้ง</x:v>
      </x:c>
      <x:c r="C254" s="20" t="str">
        <x:v>พระนครศรีอยุธยา</x:v>
      </x:c>
      <x:c r="D254" s="20" t="str">
        <x:v>ร้านอาหาร</x:v>
      </x:c>
      <x:c r="E254" s="20" t="str">
        <x:v>Makan Verify; ช่องห้องละหมาดไม่ได้ทำเครื่องหมายว่ามี</x:v>
      </x:c>
      <x:c r="F254" s="20" t="str">
        <x:v>ไม่ได้ทำเครื่องหมายว่ามี / ต้องยืนยัน</x:v>
      </x:c>
      <x:c r="G254" s="20" t="str">
        <x:v>ยังไม่พบเอกสารรับรองและวันหมดอายุ</x:v>
      </x:c>
      <x:c r="H25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54" s="20" t="str">
        <x:v>14 10 ตำบล คลองตะเคียน อำเภอ พระนครศรีอยุธยา จังหวัดพระนครศรีอยุธยา 13000</x:v>
      </x:c>
      <x:c r="J254" s="21" t="str">
        <x:v>0994464543</x:v>
      </x:c>
      <x:c r="K254" s="23" t="e">
        <x:f>HYPERLINK("https://makanhalalguide.com/shop/detail/6254","เปิดแหล่งข้อมูล 1")</x:f>
        <x:v>HYPERLINK is not implemented. linkLocation=https://makanhalalguide.com/shop/detail/6254, friendlyName=เปิดแหล่งข้อมูล 1</x:v>
      </x:c>
      <x:c r="L254" s="23" t="str"/>
      <x:c r="M254" s="20" t="str"/>
      <x:c r="N254" s="10" t="n">
        <x:v>46315</x:v>
      </x:c>
      <x:c r="O254" s="22" t="str">
        <x:v>ยังไม่ตรวจ</x:v>
      </x:c>
      <x:c r="P254" s="22" t="str">
        <x:v>ยังไม่ติดต่อ</x:v>
      </x:c>
    </x:row>
    <x:row r="255" ht="66" customHeight="1">
      <x:c r="A255" s="9" t="n">
        <x:v>247</x:v>
      </x:c>
      <x:c r="B255" s="20" t="str">
        <x:v>ครัวล้านนา อาหารเหนือมุสลิม (ลุมพลี)</x:v>
      </x:c>
      <x:c r="C255" s="20" t="str">
        <x:v>พระนครศรีอยุธยา</x:v>
      </x:c>
      <x:c r="D255" s="20" t="str">
        <x:v>ร้านอาหาร</x:v>
      </x:c>
      <x:c r="E255" s="20" t="str">
        <x:v>Makan Verify; ช่องห้องละหมาดไม่ได้ทำเครื่องหมายว่ามี</x:v>
      </x:c>
      <x:c r="F255" s="20" t="str">
        <x:v>ไม่ได้ทำเครื่องหมายว่ามี / ต้องยืนยัน</x:v>
      </x:c>
      <x:c r="G255" s="20" t="str">
        <x:v>ยังไม่พบเอกสารรับรองและวันหมดอายุ</x:v>
      </x:c>
      <x:c r="H25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55" s="20" t="str">
        <x:v>ในปั้ม ปตท. ลุมพลี อำเภอ พระนครศรีอยุธยา จังหวัดพระนครศรีอยุธยา 13000</x:v>
      </x:c>
      <x:c r="J255" s="21" t="str">
        <x:v>093261231</x:v>
      </x:c>
      <x:c r="K255" s="23" t="e">
        <x:f>HYPERLINK("https://makanhalalguide.com/shop/detail/5339","เปิดแหล่งข้อมูล 1")</x:f>
        <x:v>HYPERLINK is not implemented. linkLocation=https://makanhalalguide.com/shop/detail/5339, friendlyName=เปิดแหล่งข้อมูล 1</x:v>
      </x:c>
      <x:c r="L255" s="23" t="str"/>
      <x:c r="M255" s="20" t="str"/>
      <x:c r="N255" s="10" t="n">
        <x:v>46315</x:v>
      </x:c>
      <x:c r="O255" s="22" t="str">
        <x:v>ยังไม่ตรวจ</x:v>
      </x:c>
      <x:c r="P255" s="22" t="str">
        <x:v>ยังไม่ติดต่อ</x:v>
      </x:c>
    </x:row>
    <x:row r="256" ht="66" customHeight="1">
      <x:c r="A256" s="9" t="n">
        <x:v>248</x:v>
      </x:c>
      <x:c r="B256" s="20" t="str">
        <x:v>ชามิลฮาล้าล ก๋วยเตี๋ยว กาแฟสด คลองตะเคียน</x:v>
      </x:c>
      <x:c r="C256" s="20" t="str">
        <x:v>พระนครศรีอยุธยา</x:v>
      </x:c>
      <x:c r="D256" s="20" t="str">
        <x:v>ร้านอาหาร</x:v>
      </x:c>
      <x:c r="E256" s="20" t="str">
        <x:v>Makan Verify; ช่องห้องละหมาดไม่ได้ทำเครื่องหมายว่ามี</x:v>
      </x:c>
      <x:c r="F256" s="20" t="str">
        <x:v>ไม่ได้ทำเครื่องหมายว่ามี / ต้องยืนยัน</x:v>
      </x:c>
      <x:c r="G256" s="20" t="str">
        <x:v>ยังไม่พบเอกสารรับรองและวันหมดอายุ</x:v>
      </x:c>
      <x:c r="H25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56" s="20" t="str">
        <x:v>บ้านเลขที่46 หมู่13 ตำบล คลองตะเคียน อำเภอ พระนครศรีอยุธยา จังหวัดพระนครศรีอยุธยา 13000</x:v>
      </x:c>
      <x:c r="J256" s="21" t="str">
        <x:v>0613803599</x:v>
      </x:c>
      <x:c r="K256" s="23" t="e">
        <x:f>HYPERLINK("https://makanhalalguide.com/shop/detail/6255","เปิดแหล่งข้อมูล 1")</x:f>
        <x:v>HYPERLINK is not implemented. linkLocation=https://makanhalalguide.com/shop/detail/6255, friendlyName=เปิดแหล่งข้อมูล 1</x:v>
      </x:c>
      <x:c r="L256" s="23" t="str"/>
      <x:c r="M256" s="20" t="str"/>
      <x:c r="N256" s="10" t="n">
        <x:v>46315</x:v>
      </x:c>
      <x:c r="O256" s="22" t="str">
        <x:v>ยังไม่ตรวจ</x:v>
      </x:c>
      <x:c r="P256" s="22" t="str">
        <x:v>ยังไม่ติดต่อ</x:v>
      </x:c>
    </x:row>
    <x:row r="257" ht="66" customHeight="1">
      <x:c r="A257" s="9" t="n">
        <x:v>249</x:v>
      </x:c>
      <x:c r="B257" s="20" t="str">
        <x:v>อะฟาฟ อาหารมุสลิม</x:v>
      </x:c>
      <x:c r="C257" s="20" t="str">
        <x:v>พระนครศรีอยุธยา</x:v>
      </x:c>
      <x:c r="D257" s="20" t="str">
        <x:v>ร้านอาหาร</x:v>
      </x:c>
      <x:c r="E257" s="20" t="str">
        <x:v>Makan Verify; ช่องห้องละหมาดไม่ได้ทำเครื่องหมายว่ามี</x:v>
      </x:c>
      <x:c r="F257" s="20" t="str">
        <x:v>ไม่ได้ทำเครื่องหมายว่ามี / ต้องยืนยัน</x:v>
      </x:c>
      <x:c r="G257" s="20" t="str">
        <x:v>ยังไม่พบเอกสารรับรองและวันหมดอายุ</x:v>
      </x:c>
      <x:c r="H25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57" s="20" t="str">
        <x:v>80 ตำบลสนับทึบ  อำเภอวังน้อย จังหวัดพระนครศรีอยุธยา13170</x:v>
      </x:c>
      <x:c r="J257" s="21" t="str">
        <x:v>0627300806</x:v>
      </x:c>
      <x:c r="K257" s="23" t="e">
        <x:f>HYPERLINK("https://makanhalalguide.com/shop/detail/5820","เปิดแหล่งข้อมูล 1")</x:f>
        <x:v>HYPERLINK is not implemented. linkLocation=https://makanhalalguide.com/shop/detail/5820, friendlyName=เปิดแหล่งข้อมูล 1</x:v>
      </x:c>
      <x:c r="L257" s="23" t="e">
        <x:f>HYPERLINK("https://www.wongnai.com/reviews/b306e02e27ca47b1a5c0108bb0bc43ef","เปิดแหล่งข้อมูล 2")</x:f>
        <x:v>HYPERLINK is not implemented. linkLocation=https://www.wongnai.com/reviews/b306e02e27ca47b1a5c0108bb0bc43ef, friendlyName=เปิดแหล่งข้อมูล 2</x:v>
      </x:c>
      <x:c r="M257" s="20" t="str">
        <x:v>ผลค้นหาชื่อสัมพันธ์จากแหล่งเพิ่มเติม ต้องยืนยันสาขาและข้อมูลปัจจุบัน</x:v>
      </x:c>
      <x:c r="N257" s="10" t="n">
        <x:v>46315</x:v>
      </x:c>
      <x:c r="O257" s="22" t="str">
        <x:v>ยังไม่ตรวจ</x:v>
      </x:c>
      <x:c r="P257" s="22" t="str">
        <x:v>ยังไม่ติดต่อ</x:v>
      </x:c>
    </x:row>
    <x:row r="258" ht="66" customHeight="1">
      <x:c r="A258" s="9" t="n">
        <x:v>250</x:v>
      </x:c>
      <x:c r="B258" s="20" t="str">
        <x:v>อะฟาฟ อาหารมุสลิม สาขาบ้านสวน 3</x:v>
      </x:c>
      <x:c r="C258" s="20" t="str">
        <x:v>พระนครศรีอยุธยา</x:v>
      </x:c>
      <x:c r="D258" s="20" t="str">
        <x:v>ร้านอาหาร</x:v>
      </x:c>
      <x:c r="E258" s="20" t="str">
        <x:v>Makan Verify; ช่องห้องละหมาดไม่ได้ทำเครื่องหมายว่ามี</x:v>
      </x:c>
      <x:c r="F258" s="20" t="str">
        <x:v>ไม่ได้ทำเครื่องหมายว่ามี / ต้องยืนยัน</x:v>
      </x:c>
      <x:c r="G258" s="20" t="str">
        <x:v>ยังไม่พบเอกสารรับรองและวันหมดอายุ</x:v>
      </x:c>
      <x:c r="H25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58" s="20" t="str">
        <x:v>ตำบลสนับทึบ อำเภอวังน้อย จังหวัดพระนครศรีอยุธยา 13170</x:v>
      </x:c>
      <x:c r="J258" s="21" t="str">
        <x:v>0634388720</x:v>
      </x:c>
      <x:c r="K258" s="23" t="e">
        <x:f>HYPERLINK("https://makanhalalguide.com/shop/detail/6095","เปิดแหล่งข้อมูล 1")</x:f>
        <x:v>HYPERLINK is not implemented. linkLocation=https://makanhalalguide.com/shop/detail/6095, friendlyName=เปิดแหล่งข้อมูล 1</x:v>
      </x:c>
      <x:c r="L258" s="23" t="e">
        <x:f>HYPERLINK("https://www.wongnai.com/reviews/b306e02e27ca47b1a5c0108bb0bc43ef","เปิดแหล่งข้อมูล 2")</x:f>
        <x:v>HYPERLINK is not implemented. linkLocation=https://www.wongnai.com/reviews/b306e02e27ca47b1a5c0108bb0bc43ef, friendlyName=เปิดแหล่งข้อมูล 2</x:v>
      </x:c>
      <x:c r="M258" s="20" t="str">
        <x:v>ผลค้นหาชื่อสัมพันธ์จากแหล่งเพิ่มเติม ต้องยืนยันสาขาและข้อมูลปัจจุบัน</x:v>
      </x:c>
      <x:c r="N258" s="10" t="n">
        <x:v>46315</x:v>
      </x:c>
      <x:c r="O258" s="22" t="str">
        <x:v>ยังไม่ตรวจ</x:v>
      </x:c>
      <x:c r="P258" s="22" t="str">
        <x:v>ยังไม่ติดต่อ</x:v>
      </x:c>
    </x:row>
    <x:row r="259" ht="66" customHeight="1">
      <x:c r="A259" s="9" t="n">
        <x:v>251</x:v>
      </x:c>
      <x:c r="B259" s="20" t="str">
        <x:v>ฮัจยีแดง สาขา 4</x:v>
      </x:c>
      <x:c r="C259" s="20" t="str">
        <x:v>พระนครศรีอยุธยา</x:v>
      </x:c>
      <x:c r="D259" s="20" t="str">
        <x:v>ร้านอาหาร</x:v>
      </x:c>
      <x:c r="E259" s="20" t="str">
        <x:v>Makan Verify; ช่องห้องละหมาดไม่ได้ทำเครื่องหมายว่ามี</x:v>
      </x:c>
      <x:c r="F259" s="20" t="str">
        <x:v>ไม่ได้ทำเครื่องหมายว่ามี / ต้องยืนยัน</x:v>
      </x:c>
      <x:c r="G259" s="20" t="str">
        <x:v>ยังไม่พบเอกสารรับรองและวันหมดอายุ</x:v>
      </x:c>
      <x:c r="H25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59" s="20" t="str">
        <x:v>ปั้มน้ำมันบางจาก 45 หมู่9 ตำบล ลำไทร อำเภอวังน้อย จังหวัดพระนครศรีอยุธยา 13170</x:v>
      </x:c>
      <x:c r="J259" s="21" t="str">
        <x:v>0892413527</x:v>
      </x:c>
      <x:c r="K259" s="23" t="e">
        <x:f>HYPERLINK("https://makanhalalguide.com/shop/detail/6098","เปิดแหล่งข้อมูล 1")</x:f>
        <x:v>HYPERLINK is not implemented. linkLocation=https://makanhalalguide.com/shop/detail/6098, friendlyName=เปิดแหล่งข้อมูล 1</x:v>
      </x:c>
      <x:c r="L259" s="23" t="str"/>
      <x:c r="M259" s="20" t="str"/>
      <x:c r="N259" s="10" t="n">
        <x:v>46315</x:v>
      </x:c>
      <x:c r="O259" s="22" t="str">
        <x:v>ยังไม่ตรวจ</x:v>
      </x:c>
      <x:c r="P259" s="22" t="str">
        <x:v>ยังไม่ติดต่อ</x:v>
      </x:c>
    </x:row>
    <x:row r="260" ht="66" customHeight="1">
      <x:c r="A260" s="9" t="n">
        <x:v>252</x:v>
      </x:c>
      <x:c r="B260" s="20" t="str">
        <x:v>โจ๊กเสือร้องไห้</x:v>
      </x:c>
      <x:c r="C260" s="20" t="str">
        <x:v>พระนครศรีอยุธยา</x:v>
      </x:c>
      <x:c r="D260" s="20" t="str">
        <x:v>ร้านอาหาร</x:v>
      </x:c>
      <x:c r="E260" s="20" t="str">
        <x:v>Makan Verify; ช่องห้องละหมาดไม่ได้ทำเครื่องหมายว่ามี</x:v>
      </x:c>
      <x:c r="F260" s="20" t="str">
        <x:v>ไม่ได้ทำเครื่องหมายว่ามี / ต้องยืนยัน</x:v>
      </x:c>
      <x:c r="G260" s="20" t="str">
        <x:v>ยังไม่พบเอกสารรับรองและวันหมดอายุ</x:v>
      </x:c>
      <x:c r="H26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60" s="20" t="str">
        <x:v>23/3หมู่ 1 ตำบลคลองตะเคียน อำเภอพระนครศรีอยุธยา จังหวัดพระนครศรีอยุธยา 13000</x:v>
      </x:c>
      <x:c r="J260" s="21" t="str">
        <x:v>0843424509</x:v>
      </x:c>
      <x:c r="K260" s="23" t="e">
        <x:f>HYPERLINK("https://makanhalalguide.com/shop/detail/5484","เปิดแหล่งข้อมูล 1")</x:f>
        <x:v>HYPERLINK is not implemented. linkLocation=https://makanhalalguide.com/shop/detail/5484, friendlyName=เปิดแหล่งข้อมูล 1</x:v>
      </x:c>
      <x:c r="L260" s="23" t="str"/>
      <x:c r="M260" s="20" t="str"/>
      <x:c r="N260" s="10" t="n">
        <x:v>46315</x:v>
      </x:c>
      <x:c r="O260" s="22" t="str">
        <x:v>ยังไม่ตรวจ</x:v>
      </x:c>
      <x:c r="P260" s="22" t="str">
        <x:v>ยังไม่ติดต่อ</x:v>
      </x:c>
    </x:row>
    <x:row r="261" ht="66" customHeight="1">
      <x:c r="A261" s="9" t="n">
        <x:v>253</x:v>
      </x:c>
      <x:c r="B261" s="20" t="str">
        <x:v>โรตีสายไหม อาบีดีน-ประนอม แสงอรุณ สาขา 2</x:v>
      </x:c>
      <x:c r="C261" s="20" t="str">
        <x:v>พระนครศรีอยุธยา</x:v>
      </x:c>
      <x:c r="D261" s="20" t="str">
        <x:v>คาเฟ่และร้านของหวาน</x:v>
      </x:c>
      <x:c r="E261" s="20" t="str">
        <x:v>Makan Verify; ช่องห้องละหมาดไม่ได้ทำเครื่องหมายว่ามี</x:v>
      </x:c>
      <x:c r="F261" s="20" t="str">
        <x:v>ไม่ได้ทำเครื่องหมายว่ามี / ต้องยืนยัน</x:v>
      </x:c>
      <x:c r="G261" s="20" t="str">
        <x:v>ยังไม่พบเอกสารรับรองและวันหมดอายุ</x:v>
      </x:c>
      <x:c r="H26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61" s="20" t="str">
        <x:v>จ 7/3 หมู่8 ต.ประตูชัย อ ถ. อู่ทอง อำเภอ พระนครศรีอยุธยา จังหวัดพระนครศรีอยุธยา 13000</x:v>
      </x:c>
      <x:c r="J261" s="21" t="str">
        <x:v>0879721372</x:v>
      </x:c>
      <x:c r="K261" s="23" t="e">
        <x:f>HYPERLINK("https://makanhalalguide.com/shop/detail/6361","เปิดแหล่งข้อมูล 1")</x:f>
        <x:v>HYPERLINK is not implemented. linkLocation=https://makanhalalguide.com/shop/detail/6361, friendlyName=เปิดแหล่งข้อมูล 1</x:v>
      </x:c>
      <x:c r="L261" s="23" t="e">
        <x:f>HYPERLINK("https://www.wongnai.com/reviews/409a0dfdb89549eb9a3c6bac70f0df73","เปิดแหล่งข้อมูล 2")</x:f>
        <x:v>HYPERLINK is not implemented. linkLocation=https://www.wongnai.com/reviews/409a0dfdb89549eb9a3c6bac70f0df73, friendlyName=เปิดแหล่งข้อมูล 2</x:v>
      </x:c>
      <x:c r="M261" s="20" t="str">
        <x:v>ผลค้นหาชื่อสัมพันธ์จากแหล่งเพิ่มเติม ต้องยืนยันสาขาและข้อมูลปัจจุบัน</x:v>
      </x:c>
      <x:c r="N261" s="10" t="n">
        <x:v>46315</x:v>
      </x:c>
      <x:c r="O261" s="22" t="str">
        <x:v>ยังไม่ตรวจ</x:v>
      </x:c>
      <x:c r="P261" s="22" t="str">
        <x:v>ยังไม่ติดต่อ</x:v>
      </x:c>
    </x:row>
    <x:row r="262" ht="66" customHeight="1">
      <x:c r="A262" s="9" t="n">
        <x:v>254</x:v>
      </x:c>
      <x:c r="B262" s="20" t="str">
        <x:v>ไก่ทอดหาดใหญ่ มูฮำหมัด อยุธยา สาขา 2 (ตรงข้ามวัดธรรมิกราช)</x:v>
      </x:c>
      <x:c r="C262" s="20" t="str">
        <x:v>พระนครศรีอยุธยา</x:v>
      </x:c>
      <x:c r="D262" s="20" t="str">
        <x:v>ร้านอาหาร</x:v>
      </x:c>
      <x:c r="E262" s="20" t="str">
        <x:v>Makan Verify; ช่องห้องละหมาดไม่ได้ทำเครื่องหมายว่ามี</x:v>
      </x:c>
      <x:c r="F262" s="20" t="str">
        <x:v>ไม่ได้ทำเครื่องหมายว่ามี / ต้องยืนยัน</x:v>
      </x:c>
      <x:c r="G262" s="20" t="str">
        <x:v>ยังไม่พบเอกสารรับรองและวันหมดอายุ</x:v>
      </x:c>
      <x:c r="H26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62" s="20" t="str">
        <x:v>118 ถ. อู่ทอง ตพบลท่าวาสุกรี อำเภอ พระนครศรีอยุธยา จังหวัดพระนครศรีอยุธยา 13000 (ตรงข้ามวัดธรรมิกราช)</x:v>
      </x:c>
      <x:c r="J262" s="21" t="str">
        <x:v>0863445566</x:v>
      </x:c>
      <x:c r="K262" s="23" t="e">
        <x:f>HYPERLINK("https://makanhalalguide.com/shop/detail/5218","เปิดแหล่งข้อมูล 1")</x:f>
        <x:v>HYPERLINK is not implemented. linkLocation=https://makanhalalguide.com/shop/detail/5218, friendlyName=เปิดแหล่งข้อมูล 1</x:v>
      </x:c>
      <x:c r="L262" s="23" t="e">
        <x:f>HYPERLINK("https://www.wongnai.com/restaurants/3354563by-%E0%B9%84%E0%B8%81%E0%B9%88%E0%B8%97%E0%B8%AD%E0%B8%94%E0%B8%AB%E0%B8%B2%E0%B8%94%E0%B9%83%E0%B8%AB%E0%B8%8D%E0%B9%88-%E0%B8%A1%E0%B8%B9%E0%B8%AE%E0%B8%B3%E0%B8%AB%E0%B8%A1%E0%B8%B1%E0%B8%94-%E0%B8%AD%E0%B8%A2%E0%B8%B8%E0%B8%98%E0%B8%A2%E0%B8%B2-%E0%B8%95%E0%B8%A3%E0%B8%87%E0%B8%82%E0%B9%89%E0%B8%B2%E0%B8%A1%E0%B8%A7%E0%B8%B1%E0%B8%94%E0%B8%98%E0%B8%A3%E0%B8%A3%E0%B8%A1%E0%B8%B4%E0%B8%81%E0%B8%B2%E0%B8%A3%E0%B8%B2%E0%B8%8A","เปิดแหล่งข้อมูล 2")</x:f>
        <x:v>HYPERLINK is not implemented. linkLocation=https://www.wongnai.com/restaurants/3354563by-%E0%B9%84%E0%B8%81%E0%B9%88%E0%B8%97%E0%B8%AD%E0%B8%94%E0%B8%AB%E0%B8%B2%E0%B8%94%E0%B9%83%E0%B8%AB%E0%B8%8D%E0%B9%88-%E0%B8%A1%E0%B8%B9%E0%B8%AE%E0%B8%B3%E0%B8%AB%E0%B8%A1%E0%B8%B1%E0%B8%94-%E0%B8%AD%E0%B8%A2%E0%B8%B8%E0%B8%98%E0%B8%A2%E0%B8%B2-%E0%B8%95%E0%B8%A3%E0%B8%87%E0%B8%82%E0%B9%89%E0%B8%B2%E0%B8%A1%E0%B8%A7%E0%B8%B1%E0%B8%94%E0%B8%98%E0%B8%A3%E0%B8%A3%E0%B8%A1%E0%B8%B4%E0%B8%81%E0%B8%B2%E0%B8%A3%E0%B8%B2%E0%B8%8A, friendlyName=เปิดแหล่งข้อมูล 2</x:v>
      </x:c>
      <x:c r="M262" s="20" t="str">
        <x:v>ผลค้นหาชื่อสัมพันธ์จากแหล่งเพิ่มเติม ต้องยืนยันสาขาและข้อมูลปัจจุบัน</x:v>
      </x:c>
      <x:c r="N262" s="10" t="n">
        <x:v>46315</x:v>
      </x:c>
      <x:c r="O262" s="22" t="str">
        <x:v>ยังไม่ตรวจ</x:v>
      </x:c>
      <x:c r="P262" s="22" t="str">
        <x:v>ยังไม่ติดต่อ</x:v>
      </x:c>
    </x:row>
    <x:row r="263" ht="66" customHeight="1">
      <x:c r="A263" s="9" t="n">
        <x:v>255</x:v>
      </x:c>
      <x:c r="B263" s="20" t="str">
        <x:v>ไก่ทอดหาดใหญ่ มูฮำหมัด-อยุธยา สาขา 1</x:v>
      </x:c>
      <x:c r="C263" s="20" t="str">
        <x:v>พระนครศรีอยุธยา</x:v>
      </x:c>
      <x:c r="D263" s="20" t="str">
        <x:v>ร้านอาหาร</x:v>
      </x:c>
      <x:c r="E263" s="20" t="str">
        <x:v>Makan Verify; ช่องห้องละหมาดไม่ได้ทำเครื่องหมายว่ามี</x:v>
      </x:c>
      <x:c r="F263" s="20" t="str">
        <x:v>ไม่ได้ทำเครื่องหมายว่ามี / ต้องยืนยัน</x:v>
      </x:c>
      <x:c r="G263" s="20" t="str">
        <x:v>ยังไม่พบเอกสารรับรองและวันหมดอายุ</x:v>
      </x:c>
      <x:c r="H26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63" s="20" t="str">
        <x:v>ประตูชัย ตำบล ประตูชัย อำเภอ พระนครศรีอยุธยา จังหวัดพระนครศรีอยุธยา 13000</x:v>
      </x:c>
      <x:c r="J263" s="21" t="str">
        <x:v>0860282337</x:v>
      </x:c>
      <x:c r="K263" s="23" t="e">
        <x:f>HYPERLINK("https://makanhalalguide.com/shop/detail/5217","เปิดแหล่งข้อมูล 1")</x:f>
        <x:v>HYPERLINK is not implemented. linkLocation=https://makanhalalguide.com/shop/detail/5217, friendlyName=เปิดแหล่งข้อมูล 1</x:v>
      </x:c>
      <x:c r="L263" s="23" t="e">
        <x:f>HYPERLINK("https://restaurantguru.com/%E0%B8%A1%E0%B8%B9%E0%B8%AE%E0%B8%B3%E0%B8%AB%E0%B8%A1%E0%B8%B1%E0%B8%94-%E0%B9%84%E0%B8%81%E0%B9%88%E0%B8%97%E0%B8%AD%E0%B8%94%E0%B8%AA%E0%B8%B9%E0%B8%95%E0%B8%A3%E0%B8%AB%E0%B8%B2%E0%B8%94%E0%B9%83%E0%B8%AB%E0%B8%8D%E0%B9%88-%E0%B8%88%E0%B8%B2%E0%B8%81%E0%B8%9B%E0%B8%B2%E0%B8%87%E0%B8%8A%E0%B9%89%E0%B8%B2%E0%B8%87%E0%B8%AD%E0%B8%A2%E0%B8%B8%E0%B8%98%E0%B8%A2%E0%B8%B2-Phra-Nakhon-Si-Ayutthaya","เปิดแหล่งข้อมูล 2")</x:f>
        <x:v>HYPERLINK is not implemented. linkLocation=https://restaurantguru.com/%E0%B8%A1%E0%B8%B9%E0%B8%AE%E0%B8%B3%E0%B8%AB%E0%B8%A1%E0%B8%B1%E0%B8%94-%E0%B9%84%E0%B8%81%E0%B9%88%E0%B8%97%E0%B8%AD%E0%B8%94%E0%B8%AA%E0%B8%B9%E0%B8%95%E0%B8%A3%E0%B8%AB%E0%B8%B2%E0%B8%94%E0%B9%83%E0%B8%AB%E0%B8%8D%E0%B9%88-%E0%B8%88%E0%B8%B2%E0%B8%81%E0%B8%9B%E0%B8%B2%E0%B8%87%E0%B8%8A%E0%B9%89%E0%B8%B2%E0%B8%87%E0%B8%AD%E0%B8%A2%E0%B8%B8%E0%B8%98%E0%B8%A2%E0%B8%B2-Phra-Nakhon-Si-Ayutthaya, friendlyName=เปิดแหล่งข้อมูล 2</x:v>
      </x:c>
      <x:c r="M263" s="20" t="str">
        <x:v>ผลค้นหาชื่อสัมพันธ์จากแหล่งเพิ่มเติม ต้องยืนยันสาขาและข้อมูลปัจจุบัน</x:v>
      </x:c>
      <x:c r="N263" s="10" t="n">
        <x:v>46315</x:v>
      </x:c>
      <x:c r="O263" s="22" t="str">
        <x:v>ยังไม่ตรวจ</x:v>
      </x:c>
      <x:c r="P263" s="22" t="str">
        <x:v>ยังไม่ติดต่อ</x:v>
      </x:c>
    </x:row>
    <x:row r="264" ht="66" customHeight="1">
      <x:c r="A264" s="9" t="n">
        <x:v>256</x:v>
      </x:c>
      <x:c r="B264" s="20" t="str">
        <x:v>โรตีฮาลาลเจ้าเก่าน้ำพรุร้อนหินดาด</x:v>
      </x:c>
      <x:c r="C264" s="20" t="str">
        <x:v>กาญจนบุรี</x:v>
      </x:c>
      <x:c r="D264" s="20" t="str">
        <x:v>คาเฟ่และร้านของหวาน</x:v>
      </x:c>
      <x:c r="E264" s="20" t="str">
        <x:v>Makan Verify; ช่องห้องละหมาดไม่ได้ทำเครื่องหมายว่ามี</x:v>
      </x:c>
      <x:c r="F264" s="20" t="str">
        <x:v>ไม่ได้ทำเครื่องหมายว่ามี / ต้องยืนยัน</x:v>
      </x:c>
      <x:c r="G264" s="20" t="str">
        <x:v>ยังไม่พบเอกสารรับรองและวันหมดอายุ</x:v>
      </x:c>
      <x:c r="H26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64" s="20" t="str">
        <x:v>เซเว่นหินดาด ตำบล หินดาด อำเภอทองผาภูมิ กาญจนบุรี 71180</x:v>
      </x:c>
      <x:c r="J264" s="21" t="str">
        <x:v>0622233253</x:v>
      </x:c>
      <x:c r="K264" s="23" t="e">
        <x:f>HYPERLINK("https://makanhalalguide.com/shop/detail/5814","เปิดแหล่งข้อมูล 1")</x:f>
        <x:v>HYPERLINK is not implemented. linkLocation=https://makanhalalguide.com/shop/detail/5814, friendlyName=เปิดแหล่งข้อมูล 1</x:v>
      </x:c>
      <x:c r="L264" s="23" t="str"/>
      <x:c r="M264" s="20" t="str"/>
      <x:c r="N264" s="10" t="n">
        <x:v>46315</x:v>
      </x:c>
      <x:c r="O264" s="22" t="str">
        <x:v>ยังไม่ตรวจ</x:v>
      </x:c>
      <x:c r="P264" s="22" t="str">
        <x:v>ยังไม่ติดต่อ</x:v>
      </x:c>
    </x:row>
    <x:row r="265" ht="66" customHeight="1">
      <x:c r="A265" s="9" t="n">
        <x:v>257</x:v>
      </x:c>
      <x:c r="B265" s="20" t="str">
        <x:v>Venice Krabi Villa Resort</x:v>
      </x:c>
      <x:c r="C265" s="20" t="str">
        <x:v>กระบี่</x:v>
      </x:c>
      <x:c r="D265" s="20" t="str">
        <x:v>โรงแรมหรือรีสอร์ท</x:v>
      </x:c>
      <x:c r="E265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265" s="20" t="str">
        <x:v>ยังไม่พบข้อมูล</x:v>
      </x:c>
      <x:c r="G265" s="20" t="str">
        <x:v>ยังไม่พบเอกสารรับรองและวันหมดอายุ</x:v>
      </x:c>
      <x:c r="H26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65" s="20" t="str">
        <x:v>478 ตำบลไสไทย อำเภอเมืองกระบี่ จังหวัดกระบี่ 81000</x:v>
      </x:c>
      <x:c r="J265" s="21" t="str">
        <x:v>075662222</x:v>
      </x:c>
      <x:c r="K265" s="23" t="e">
        <x:f>HYPERLINK("https://www.thic.or.th/th/tourist/detail/tourist/3","เปิดแหล่งข้อมูล 1")</x:f>
        <x:v>HYPERLINK is not implemented. linkLocation=https://www.thic.or.th/th/tourist/detail/tourist/3, friendlyName=เปิดแหล่งข้อมูล 1</x:v>
      </x:c>
      <x:c r="L265" s="23" t="e">
        <x:f>HYPERLINK("https://www.google.co.th/travel/hotels/entity/CgsIitz_veKr3o3TARAB","เปิดแหล่งข้อมูล 2")</x:f>
        <x:v>HYPERLINK is not implemented. linkLocation=https://www.google.co.th/travel/hotels/entity/CgsIitz_veKr3o3TARAB, friendlyName=เปิดแหล่งข้อมูล 2</x:v>
      </x:c>
      <x:c r="M265" s="20" t="str">
        <x:v>ผลค้นหาชื่อสัมพันธ์จากแหล่งเพิ่มเติม ต้องยืนยันสาขาและข้อมูลปัจจุบัน</x:v>
      </x:c>
      <x:c r="N265" s="10" t="n">
        <x:v>46315</x:v>
      </x:c>
      <x:c r="O265" s="22" t="str">
        <x:v>ยังไม่ตรวจ</x:v>
      </x:c>
      <x:c r="P265" s="22" t="str">
        <x:v>ยังไม่ติดต่อ</x:v>
      </x:c>
    </x:row>
    <x:row r="266" ht="66" customHeight="1">
      <x:c r="A266" s="9" t="n">
        <x:v>258</x:v>
      </x:c>
      <x:c r="B266" s="20" t="str">
        <x:v>บ้านใสใน รีสอร์ท</x:v>
      </x:c>
      <x:c r="C266" s="20" t="str">
        <x:v>กระบี่</x:v>
      </x:c>
      <x:c r="D266" s="20" t="str">
        <x:v>โรงแรมหรือรีสอร์ท</x:v>
      </x:c>
      <x:c r="E266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66" s="20" t="str">
        <x:v>ยังไม่พบข้อมูล</x:v>
      </x:c>
      <x:c r="G266" s="20" t="str">
        <x:v>ยังไม่พบเอกสารรับรองและวันหมดอายุ</x:v>
      </x:c>
      <x:c r="H26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66" s="20" t="str">
        <x:v>99/9 หมู่ 2 ถนนเพชรเกษม ตำบลอ่าวนาง อำเภอเมืองกระบี่ จังหวัดกระบี่ 81000</x:v>
      </x:c>
      <x:c r="J266" s="21" t="str">
        <x:v>075 637 555</x:v>
      </x:c>
      <x:c r="K266" s="23" t="e">
        <x:f>HYPERLINK("https://www.thic.or.th/th/tourist/detail/accommodation/26","เปิดแหล่งข้อมูล 1")</x:f>
        <x:v>HYPERLINK is not implemented. linkLocation=https://www.thic.or.th/th/tourist/detail/accommodation/26, friendlyName=เปิดแหล่งข้อมูล 1</x:v>
      </x:c>
      <x:c r="L266" s="23" t="e">
        <x:f>HYPERLINK("https://th.hotels.com/ho442182/ban-s-n-risxrth-krabi-thiy/","เปิดแหล่งข้อมูล 2")</x:f>
        <x:v>HYPERLINK is not implemented. linkLocation=https://th.hotels.com/ho442182/ban-s-n-risxrth-krabi-thiy/, friendlyName=เปิดแหล่งข้อมูล 2</x:v>
      </x:c>
      <x:c r="M266" s="20" t="str">
        <x:v>ผลค้นหาชื่อสัมพันธ์จากแหล่งเพิ่มเติม ต้องยืนยันสาขาและข้อมูลปัจจุบัน</x:v>
      </x:c>
      <x:c r="N266" s="10" t="n">
        <x:v>46315</x:v>
      </x:c>
      <x:c r="O266" s="22" t="str">
        <x:v>ยังไม่ตรวจ</x:v>
      </x:c>
      <x:c r="P266" s="22" t="str">
        <x:v>ยังไม่ติดต่อ</x:v>
      </x:c>
    </x:row>
    <x:row r="267" ht="66" customHeight="1">
      <x:c r="A267" s="9" t="n">
        <x:v>259</x:v>
      </x:c>
      <x:c r="B267" s="20" t="str">
        <x:v>อ่าวนาง ซิลเวอร์ ออร์คิด รีสอร์ท</x:v>
      </x:c>
      <x:c r="C267" s="20" t="str">
        <x:v>กระบี่</x:v>
      </x:c>
      <x:c r="D267" s="20" t="str">
        <x:v>โรงแรมหรือรีสอร์ท</x:v>
      </x:c>
      <x:c r="E26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67" s="20" t="str">
        <x:v>ยังไม่พบข้อมูล</x:v>
      </x:c>
      <x:c r="G267" s="20" t="str">
        <x:v>ยังไม่พบเอกสารรับรองและวันหมดอายุ</x:v>
      </x:c>
      <x:c r="H26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67" s="20" t="str">
        <x:v>125 หมู่ 2 ถนนเพชรเกษม ตำบลอ่าวนาง อำเภอเมืองกระบี่ จังหวัดกระบี่ 81000</x:v>
      </x:c>
      <x:c r="J267" s="21" t="str">
        <x:v>075 637 777</x:v>
      </x:c>
      <x:c r="K267" s="23" t="e">
        <x:f>HYPERLINK("https://www.thic.or.th/th/tourist/detail/accommodation/25","เปิดแหล่งข้อมูล 1")</x:f>
        <x:v>HYPERLINK is not implemented. linkLocation=https://www.thic.or.th/th/tourist/detail/accommodation/25, friendlyName=เปิดแหล่งข้อมูล 1</x:v>
      </x:c>
      <x:c r="L267" s="23" t="e">
        <x:f>HYPERLINK("https://th.hotels.com/ho471122/xaw-nang-silwexr-xxr-khid-risxrth-krabi-thiy/","เปิดแหล่งข้อมูล 2")</x:f>
        <x:v>HYPERLINK is not implemented. linkLocation=https://th.hotels.com/ho471122/xaw-nang-silwexr-xxr-khid-risxrth-krabi-thiy/, friendlyName=เปิดแหล่งข้อมูล 2</x:v>
      </x:c>
      <x:c r="M267" s="20" t="str">
        <x:v>ผลค้นหาชื่อสัมพันธ์จากแหล่งเพิ่มเติม ต้องยืนยันสาขาและข้อมูลปัจจุบัน</x:v>
      </x:c>
      <x:c r="N267" s="10" t="n">
        <x:v>46315</x:v>
      </x:c>
      <x:c r="O267" s="22" t="str">
        <x:v>ยังไม่ตรวจ</x:v>
      </x:c>
      <x:c r="P267" s="22" t="str">
        <x:v>ยังไม่ติดต่อ</x:v>
      </x:c>
    </x:row>
    <x:row r="268" ht="66" customHeight="1">
      <x:c r="A268" s="9" t="n">
        <x:v>260</x:v>
      </x:c>
      <x:c r="B268" s="20" t="str">
        <x:v>โรงแรมกระบี่เพชรไพลิน</x:v>
      </x:c>
      <x:c r="C268" s="20" t="str">
        <x:v>กระบี่</x:v>
      </x:c>
      <x:c r="D268" s="20" t="str">
        <x:v>โรงแรมหรือรีสอร์ท</x:v>
      </x:c>
      <x:c r="E26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68" s="20" t="str">
        <x:v>ยังไม่พบข้อมูล</x:v>
      </x:c>
      <x:c r="G268" s="20" t="str">
        <x:v>ยังไม่พบเอกสารรับรองและวันหมดอายุ</x:v>
      </x:c>
      <x:c r="H26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68" s="20" t="str">
        <x:v>29/1 ถนนมหาราช ตำบลปากน้ำ อำเภอเมืองกระบี่ จังหวัดกระบี่ 81000</x:v>
      </x:c>
      <x:c r="J268" s="21" t="str">
        <x:v>075 612 555</x:v>
      </x:c>
      <x:c r="K268" s="23" t="e">
        <x:f>HYPERLINK("https://www.thic.or.th/th/tourist/detail/accommodation/23","เปิดแหล่งข้อมูล 1")</x:f>
        <x:v>HYPERLINK is not implemented. linkLocation=https://www.thic.or.th/th/tourist/detail/accommodation/23, friendlyName=เปิดแหล่งข้อมูล 1</x:v>
      </x:c>
      <x:c r="L268" s="23" t="e">
        <x:f>HYPERLINK("https://www.google.co.th/travel/hotels/entity/ChcItZfa5bLpw6MRGgsvZy8xdGhzengxNRAB?ap=MAA&amp;ts=CAEaBAoCGgAqBAoAGgA","เปิดแหล่งข้อมูล 2")</x:f>
        <x:v>HYPERLINK is not implemented. linkLocation=https://www.google.co.th/travel/hotels/entity/ChcItZfa5bLpw6MRGgsvZy8xdGhzengxNRAB?ap=MAA&amp;ts=CAEaBAoCGgAqBAoAGgA, friendlyName=เปิดแหล่งข้อมูล 2</x:v>
      </x:c>
      <x:c r="M268" s="20" t="str">
        <x:v>ผลค้นหาชื่อสัมพันธ์จากแหล่งเพิ่มเติม ต้องยืนยันสาขาและข้อมูลปัจจุบัน</x:v>
      </x:c>
      <x:c r="N268" s="10" t="n">
        <x:v>46315</x:v>
      </x:c>
      <x:c r="O268" s="22" t="str">
        <x:v>ยังไม่ตรวจ</x:v>
      </x:c>
      <x:c r="P268" s="22" t="str">
        <x:v>ยังไม่ติดต่อ</x:v>
      </x:c>
    </x:row>
    <x:row r="269" ht="66" customHeight="1">
      <x:c r="A269" s="9" t="n">
        <x:v>261</x:v>
      </x:c>
      <x:c r="B269" s="20" t="str">
        <x:v>โรงแรมอ่าวนางวิลล่า รีสอร์ท</x:v>
      </x:c>
      <x:c r="C269" s="20" t="str">
        <x:v>กระบี่</x:v>
      </x:c>
      <x:c r="D269" s="20" t="str">
        <x:v>โรงแรมหรือรีสอร์ท</x:v>
      </x:c>
      <x:c r="E26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69" s="20" t="str">
        <x:v>ยังไม่พบข้อมูล</x:v>
      </x:c>
      <x:c r="G269" s="20" t="str">
        <x:v>ยังไม่พบเอกสารรับรองและวันหมดอายุ</x:v>
      </x:c>
      <x:c r="H269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69" s="20" t="str">
        <x:v>113 หมู่ 2 ตำบลอ่าวนาง อำเภอเมืองกระบี่ จังหวัดกระบี่ 81000</x:v>
      </x:c>
      <x:c r="J269" s="21" t="str">
        <x:v>075637270-4, 0756950</x:v>
      </x:c>
      <x:c r="K269" s="23" t="e">
        <x:f>HYPERLINK("https://www.thic.or.th/th/tourist/detail/accommodation/175","เปิดแหล่งข้อมูล 1")</x:f>
        <x:v>HYPERLINK is not implemented. linkLocation=https://www.thic.or.th/th/tourist/detail/accommodation/175, friendlyName=เปิดแหล่งข้อมูล 1</x:v>
      </x:c>
      <x:c r="L269" s="23" t="e">
        <x:f>HYPERLINK("https://th.tripadvisor.com/Hotel_Review-g1507054-d308736-Reviews-or30-Aonang_Villa_Resort-Ao_Nang_Krabi_Province.html","เปิดแหล่งข้อมูล 2")</x:f>
        <x:v>HYPERLINK is not implemented. linkLocation=https://th.tripadvisor.com/Hotel_Review-g1507054-d308736-Reviews-or30-Aonang_Villa_Resort-Ao_Nang_Krabi_Province.html, friendlyName=เปิดแหล่งข้อมูล 2</x:v>
      </x:c>
      <x:c r="M269" s="20" t="str">
        <x:v>ผลค้นหาชื่อสัมพันธ์จากแหล่งเพิ่มเติม ต้องยืนยันสาขาและข้อมูลปัจจุบัน</x:v>
      </x:c>
      <x:c r="N269" s="10" t="n">
        <x:v>46315</x:v>
      </x:c>
      <x:c r="O269" s="22" t="str">
        <x:v>ยังไม่ตรวจ</x:v>
      </x:c>
      <x:c r="P269" s="22" t="str">
        <x:v>ยังไม่ติดต่อ</x:v>
      </x:c>
    </x:row>
    <x:row r="270" ht="66" customHeight="1">
      <x:c r="A270" s="9" t="n">
        <x:v>262</x:v>
      </x:c>
      <x:c r="B270" s="20" t="str">
        <x:v>โรงแรมแองโคล่า วายแอนด์ดับบลิว</x:v>
      </x:c>
      <x:c r="C270" s="20" t="str">
        <x:v>กระบี่</x:v>
      </x:c>
      <x:c r="D270" s="20" t="str">
        <x:v>โรงแรมหรือรีสอร์ท</x:v>
      </x:c>
      <x:c r="E27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70" s="20" t="str">
        <x:v>ยังไม่พบข้อมูล</x:v>
      </x:c>
      <x:c r="G270" s="20" t="str">
        <x:v>ยังไม่พบเอกสารรับรองและวันหมดอายุ</x:v>
      </x:c>
      <x:c r="H27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70" s="20" t="str">
        <x:v>929 หมู่ 2 ตำบลอ่าวนาง อำเภอเมืองกระบี่ จังหวัดกระบี่ 81000</x:v>
      </x:c>
      <x:c r="J270" s="21" t="str">
        <x:v>0969533999</x:v>
      </x:c>
      <x:c r="K270" s="23" t="e">
        <x:f>HYPERLINK("https://www.thic.or.th/th/tourist/detail/accommodation/177","เปิดแหล่งข้อมูล 1")</x:f>
        <x:v>HYPERLINK is not implemented. linkLocation=https://www.thic.or.th/th/tourist/detail/accommodation/177, friendlyName=เปิดแหล่งข้อมูล 1</x:v>
      </x:c>
      <x:c r="L270" s="23" t="str"/>
      <x:c r="M270" s="20" t="str"/>
      <x:c r="N270" s="10" t="n">
        <x:v>46315</x:v>
      </x:c>
      <x:c r="O270" s="22" t="str">
        <x:v>ยังไม่ตรวจ</x:v>
      </x:c>
      <x:c r="P270" s="22" t="str">
        <x:v>ยังไม่ติดต่อ</x:v>
      </x:c>
    </x:row>
    <x:row r="271" ht="66" customHeight="1">
      <x:c r="A271" s="9" t="n">
        <x:v>263</x:v>
      </x:c>
      <x:c r="B271" s="20" t="str">
        <x:v>Amanah Bangkok</x:v>
      </x:c>
      <x:c r="C271" s="20" t="str">
        <x:v>กรุงเทพมหานคร</x:v>
      </x:c>
      <x:c r="D271" s="20" t="str">
        <x:v>โรงแรมหรือรีสอร์ท</x:v>
      </x:c>
      <x:c r="E27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71" s="20" t="str">
        <x:v>ยังไม่พบข้อมูล</x:v>
      </x:c>
      <x:c r="G271" s="20" t="str">
        <x:v>ยังไม่พบเอกสารรับรองและวันหมดอายุ</x:v>
      </x:c>
      <x:c r="H27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71" s="20" t="str">
        <x:v>แขวงวัดกัลยาณ์ เขตธนบุรี กรุงเทพมหานคร 10600</x:v>
      </x:c>
      <x:c r="J271" s="21" t="str">
        <x:v>Line :</x:v>
      </x:c>
      <x:c r="K271" s="23" t="e">
        <x:f>HYPERLINK("https://www.thic.or.th/th/tourist/detail/accommodation/547","เปิดแหล่งข้อมูล 1")</x:f>
        <x:v>HYPERLINK is not implemented. linkLocation=https://www.thic.or.th/th/tourist/detail/accommodation/547, friendlyName=เปิดแหล่งข้อมูล 1</x:v>
      </x:c>
      <x:c r="L271" s="23" t="e">
        <x:f>HYPERLINK("https://www.google.co.th/travel/hotels/entity/ChkI44rK8ors98Z2Gg0vZy8xMWoxamIxNHJwEAE","เปิดแหล่งข้อมูล 2")</x:f>
        <x:v>HYPERLINK is not implemented. linkLocation=https://www.google.co.th/travel/hotels/entity/ChkI44rK8ors98Z2Gg0vZy8xMWoxamIxNHJwEAE, friendlyName=เปิดแหล่งข้อมูล 2</x:v>
      </x:c>
      <x:c r="M271" s="20" t="str">
        <x:v>ผลค้นหาชื่อสัมพันธ์จากแหล่งเพิ่มเติม ต้องยืนยันสาขาและข้อมูลปัจจุบัน</x:v>
      </x:c>
      <x:c r="N271" s="10" t="n">
        <x:v>46315</x:v>
      </x:c>
      <x:c r="O271" s="22" t="str">
        <x:v>ยังไม่ตรวจ</x:v>
      </x:c>
      <x:c r="P271" s="22" t="str">
        <x:v>ยังไม่ติดต่อ</x:v>
      </x:c>
    </x:row>
    <x:row r="272" ht="66" customHeight="1">
      <x:c r="A272" s="9" t="n">
        <x:v>264</x:v>
      </x:c>
      <x:c r="B272" s="20" t="str">
        <x:v>Noursabah Boutique Bed Bangkok</x:v>
      </x:c>
      <x:c r="C272" s="20" t="str">
        <x:v>กรุงเทพมหานคร</x:v>
      </x:c>
      <x:c r="D272" s="20" t="str">
        <x:v>โรงแรมหรือรีสอร์ท</x:v>
      </x:c>
      <x:c r="E272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72" s="20" t="str">
        <x:v>ยังไม่พบข้อมูล</x:v>
      </x:c>
      <x:c r="G272" s="20" t="str">
        <x:v>ยังไม่พบเอกสารรับรองและวันหมดอายุ</x:v>
      </x:c>
      <x:c r="H27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72" s="20" t="str">
        <x:v>แขวงคลองเตย เขตคลองเตย กรุงเทพมหานคร 10110</x:v>
      </x:c>
      <x:c r="J272" s="21" t="str">
        <x:v>Line :</x:v>
      </x:c>
      <x:c r="K272" s="23" t="e">
        <x:f>HYPERLINK("https://www.thic.or.th/th/tourist/detail/accommodation/546","เปิดแหล่งข้อมูล 1")</x:f>
        <x:v>HYPERLINK is not implemented. linkLocation=https://www.thic.or.th/th/tourist/detail/accommodation/546, friendlyName=เปิดแหล่งข้อมูล 1</x:v>
      </x:c>
      <x:c r="L272" s="23" t="e">
        <x:f>HYPERLINK("https://www.booking.com/hotel/th/noursabah-bed-bangkok-nusbaa.th.html","เปิดแหล่งข้อมูล 2")</x:f>
        <x:v>HYPERLINK is not implemented. linkLocation=https://www.booking.com/hotel/th/noursabah-bed-bangkok-nusbaa.th.html, friendlyName=เปิดแหล่งข้อมูล 2</x:v>
      </x:c>
      <x:c r="M272" s="20" t="str">
        <x:v>ผลค้นหาชื่อสัมพันธ์จากแหล่งเพิ่มเติม ต้องยืนยันสาขาและข้อมูลปัจจุบัน</x:v>
      </x:c>
      <x:c r="N272" s="10" t="n">
        <x:v>46315</x:v>
      </x:c>
      <x:c r="O272" s="22" t="str">
        <x:v>ยังไม่ตรวจ</x:v>
      </x:c>
      <x:c r="P272" s="22" t="str">
        <x:v>ยังไม่ติดต่อ</x:v>
      </x:c>
    </x:row>
    <x:row r="273" ht="66" customHeight="1">
      <x:c r="A273" s="9" t="n">
        <x:v>265</x:v>
      </x:c>
      <x:c r="B273" s="20" t="str">
        <x:v>โรงแรมอัญชาลีน่าแกรนด์</x:v>
      </x:c>
      <x:c r="C273" s="20" t="str">
        <x:v>กรุงเทพมหานคร</x:v>
      </x:c>
      <x:c r="D273" s="20" t="str">
        <x:v>โรงแรมหรือรีสอร์ท</x:v>
      </x:c>
      <x:c r="E273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273" s="20" t="str">
        <x:v>ยังไม่พบข้อมูล</x:v>
      </x:c>
      <x:c r="G273" s="20" t="str">
        <x:v>ยังไม่พบเอกสารรับรองและวันหมดอายุ</x:v>
      </x:c>
      <x:c r="H27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273" s="20" t="str">
        <x:v>453 ซอยลาดพร้าว 122 ถนนลาดพร้าว แขวงวังทองหลาง เขตวังทองหลาง กรุงเทพมหานคร 10310</x:v>
      </x:c>
      <x:c r="J273" s="21" t="str">
        <x:v>029340999</x:v>
      </x:c>
      <x:c r="K273" s="23" t="e">
        <x:f>HYPERLINK("https://www.thic.or.th/th/tourist/detail/accommodation/174","เปิดแหล่งข้อมูล 1")</x:f>
        <x:v>HYPERLINK is not implemented. linkLocation=https://www.thic.or.th/th/tourist/detail/accommodation/174, friendlyName=เปิดแหล่งข้อมูล 1</x:v>
      </x:c>
      <x:c r="L273" s="23" t="e">
        <x:f>HYPERLINK("https://www.google.co.th/travel/hotels/entity/CgsIpo626vWx-sHeARAB?ts=CAEaBAoCGgAqBAoAGgA","เปิดแหล่งข้อมูล 2")</x:f>
        <x:v>HYPERLINK is not implemented. linkLocation=https://www.google.co.th/travel/hotels/entity/CgsIpo626vWx-sHeARAB?ts=CAEaBAoCGgAqBAoAGgA, friendlyName=เปิดแหล่งข้อมูล 2</x:v>
      </x:c>
      <x:c r="M273" s="20" t="str">
        <x:v>ผลค้นหาชื่อสัมพันธ์จากแหล่งเพิ่มเติม ต้องยืนยันสาขาและข้อมูลปัจจุบัน</x:v>
      </x:c>
      <x:c r="N273" s="10" t="n">
        <x:v>46315</x:v>
      </x:c>
      <x:c r="O273" s="22" t="str">
        <x:v>ยังไม่ตรวจ</x:v>
      </x:c>
      <x:c r="P273" s="22" t="str">
        <x:v>ยังไม่ติดต่อ</x:v>
      </x:c>
    </x:row>
    <x:row r="274" ht="66" customHeight="1">
      <x:c r="A274" s="9" t="n">
        <x:v>266</x:v>
      </x:c>
      <x:c r="B274" s="20" t="str">
        <x:v>AMI MALAYA INDONESIAN HALAL FOOD (Phenix ประตูน้ำ)</x:v>
      </x:c>
      <x:c r="C274" s="20" t="str">
        <x:v>กรุงเทพมหานคร</x:v>
      </x:c>
      <x:c r="D274" s="20" t="str">
        <x:v>ร้านอาหาร</x:v>
      </x:c>
      <x:c r="E274" s="20" t="str">
        <x:v>Makan Verify; ช่องห้องละหมาดไม่ได้ทำเครื่องหมายว่ามี</x:v>
      </x:c>
      <x:c r="F274" s="20" t="str">
        <x:v>ไม่ได้ทำเครื่องหมายว่ามี / ต้องยืนยัน</x:v>
      </x:c>
      <x:c r="G274" s="20" t="str">
        <x:v>ยังไม่พบเอกสารรับรองและวันหมดอายุ</x:v>
      </x:c>
      <x:c r="H27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74" s="20" t="str">
        <x:v>โซนฟูดเลานจ์ ชั้น 4 โครงการ Phenix ประตูน้ำ แขวงถนนเพชรบุรี เขตราชเทวี กรุงเทพมหานคร 10400</x:v>
      </x:c>
      <x:c r="J274" s="21" t="str">
        <x:v>0932719686</x:v>
      </x:c>
      <x:c r="K274" s="23" t="e">
        <x:f>HYPERLINK("https://makanhalalguide.com/shop/detail/4923","เปิดแหล่งข้อมูล 1")</x:f>
        <x:v>HYPERLINK is not implemented. linkLocation=https://makanhalalguide.com/shop/detail/4923, friendlyName=เปิดแหล่งข้อมูล 1</x:v>
      </x:c>
      <x:c r="L274" s="23" t="e">
        <x:f>HYPERLINK("https://wanderlog.com/place/details/11932614/ami-malaya-indonesian-halal-food","เปิดแหล่งข้อมูล 2")</x:f>
        <x:v>HYPERLINK is not implemented. linkLocation=https://wanderlog.com/place/details/11932614/ami-malaya-indonesian-halal-food, friendlyName=เปิดแหล่งข้อมูล 2</x:v>
      </x:c>
      <x:c r="M274" s="20" t="str">
        <x:v>ผลค้นหาชื่อสัมพันธ์จากแหล่งเพิ่มเติม ต้องยืนยันสาขาและข้อมูลปัจจุบัน</x:v>
      </x:c>
      <x:c r="N274" s="10" t="n">
        <x:v>46315</x:v>
      </x:c>
      <x:c r="O274" s="22" t="str">
        <x:v>ยังไม่ตรวจ</x:v>
      </x:c>
      <x:c r="P274" s="22" t="str">
        <x:v>ยังไม่ติดต่อ</x:v>
      </x:c>
    </x:row>
    <x:row r="275" ht="66" customHeight="1">
      <x:c r="A275" s="9" t="n">
        <x:v>267</x:v>
      </x:c>
      <x:c r="B275" s="20" t="str">
        <x:v>APA SOI- ข้าวซอยยูนนาน ฮาลาล</x:v>
      </x:c>
      <x:c r="C275" s="20" t="str">
        <x:v>กรุงเทพมหานคร</x:v>
      </x:c>
      <x:c r="D275" s="20" t="str">
        <x:v>ร้านอาหาร</x:v>
      </x:c>
      <x:c r="E275" s="20" t="str">
        <x:v>Makan Verify; ช่องห้องละหมาดไม่ได้ทำเครื่องหมายว่ามี</x:v>
      </x:c>
      <x:c r="F275" s="20" t="str">
        <x:v>ไม่ได้ทำเครื่องหมายว่ามี / ต้องยืนยัน</x:v>
      </x:c>
      <x:c r="G275" s="20" t="str">
        <x:v>ยังไม่พบเอกสารรับรองและวันหมดอายุ</x:v>
      </x:c>
      <x:c r="H27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75" s="20" t="str">
        <x:v>N Space พัฒนาการ (ข้างรพ.วิภาราม) เขตสวนหลวง กรุงเทพมหานคร 10250</x:v>
      </x:c>
      <x:c r="J275" s="21" t="str">
        <x:v>0813401400</x:v>
      </x:c>
      <x:c r="K275" s="23" t="e">
        <x:f>HYPERLINK("https://makanhalalguide.com/shop/detail/5494","เปิดแหล่งข้อมูล 1")</x:f>
        <x:v>HYPERLINK is not implemented. linkLocation=https://makanhalalguide.com/shop/detail/5494, friendlyName=เปิดแหล่งข้อมูล 1</x:v>
      </x:c>
      <x:c r="L275" s="23" t="e">
        <x:f>HYPERLINK("https://www.wongnai.com/restaurants/418375Ba-apa-soi-%E0%B8%AD%E0%B8%B2%E0%B8%9B%E0%B8%B2%E0%B8%8B%E0%B8%AD%E0%B8%A2-%E0%B8%82%E0%B9%89%E0%B8%B2%E0%B8%A7%E0%B8%8B%E0%B8%AD%E0%B8%A2%E0%B8%A2%E0%B8%B9%E0%B8%99%E0%B8%99%E0%B8%B2%E0%B8%99-%E0%B8%AE%E0%B8%B2%E0%B8%A5%E0%B8%B2%E0%B8%A5","เปิดแหล่งข้อมูล 2")</x:f>
        <x:v>HYPERLINK is not implemented. linkLocation=https://www.wongnai.com/restaurants/418375Ba-apa-soi-%E0%B8%AD%E0%B8%B2%E0%B8%9B%E0%B8%B2%E0%B8%8B%E0%B8%AD%E0%B8%A2-%E0%B8%82%E0%B9%89%E0%B8%B2%E0%B8%A7%E0%B8%8B%E0%B8%AD%E0%B8%A2%E0%B8%A2%E0%B8%B9%E0%B8%99%E0%B8%99%E0%B8%B2%E0%B8%99-%E0%B8%AE%E0%B8%B2%E0%B8%A5%E0%B8%B2%E0%B8%A5, friendlyName=เปิดแหล่งข้อมูล 2</x:v>
      </x:c>
      <x:c r="M275" s="20" t="str">
        <x:v>ผลค้นหาชื่อสัมพันธ์จากแหล่งเพิ่มเติม ต้องยืนยันสาขาและข้อมูลปัจจุบัน</x:v>
      </x:c>
      <x:c r="N275" s="10" t="n">
        <x:v>46315</x:v>
      </x:c>
      <x:c r="O275" s="22" t="str">
        <x:v>ยังไม่ตรวจ</x:v>
      </x:c>
      <x:c r="P275" s="22" t="str">
        <x:v>ยังไม่ติดต่อ</x:v>
      </x:c>
    </x:row>
    <x:row r="276" ht="66" customHeight="1">
      <x:c r="A276" s="9" t="n">
        <x:v>268</x:v>
      </x:c>
      <x:c r="B276" s="20" t="str">
        <x:v>Afanti XinJiang Halal Food สาขาบรรทัดทอง</x:v>
      </x:c>
      <x:c r="C276" s="20" t="str">
        <x:v>กรุงเทพมหานคร</x:v>
      </x:c>
      <x:c r="D276" s="20" t="str">
        <x:v>ร้านอาหาร</x:v>
      </x:c>
      <x:c r="E276" s="20" t="str">
        <x:v>Makan Verify; ช่องห้องละหมาดไม่ได้ทำเครื่องหมายว่ามี</x:v>
      </x:c>
      <x:c r="F276" s="20" t="str">
        <x:v>ไม่ได้ทำเครื่องหมายว่ามี / ต้องยืนยัน</x:v>
      </x:c>
      <x:c r="G276" s="20" t="str">
        <x:v>ยังไม่พบเอกสารรับรองและวันหมดอายุ</x:v>
      </x:c>
      <x:c r="H27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76" s="20" t="str">
        <x:v>1776 ถนนบรรทัดทอง แขวงรองเมือง เขตปทุมวัน กรุงเทพฯ 10330</x:v>
      </x:c>
      <x:c r="J276" s="21" t="str">
        <x:v>0810910659</x:v>
      </x:c>
      <x:c r="K276" s="23" t="e">
        <x:f>HYPERLINK("https://makanhalalguide.com/shop/detail/5144","เปิดแหล่งข้อมูล 1")</x:f>
        <x:v>HYPERLINK is not implemented. linkLocation=https://makanhalalguide.com/shop/detail/5144, friendlyName=เปิดแหล่งข้อมูล 1</x:v>
      </x:c>
      <x:c r="L276" s="23" t="str"/>
      <x:c r="M276" s="20" t="str"/>
      <x:c r="N276" s="10" t="n">
        <x:v>46315</x:v>
      </x:c>
      <x:c r="O276" s="22" t="str">
        <x:v>ยังไม่ตรวจ</x:v>
      </x:c>
      <x:c r="P276" s="22" t="str">
        <x:v>ยังไม่ติดต่อ</x:v>
      </x:c>
    </x:row>
    <x:row r="277" ht="66" customHeight="1">
      <x:c r="A277" s="9" t="n">
        <x:v>269</x:v>
      </x:c>
      <x:c r="B277" s="20" t="str">
        <x:v>Aladeen Restaurant &amp; Cafe</x:v>
      </x:c>
      <x:c r="C277" s="20" t="str">
        <x:v>กรุงเทพมหานคร</x:v>
      </x:c>
      <x:c r="D277" s="20" t="str">
        <x:v>คาเฟ่และร้านของหวาน</x:v>
      </x:c>
      <x:c r="E277" s="20" t="str">
        <x:v>Makan Verify; ช่องห้องละหมาดไม่ได้ทำเครื่องหมายว่ามี</x:v>
      </x:c>
      <x:c r="F277" s="20" t="str">
        <x:v>ไม่ได้ทำเครื่องหมายว่ามี / ต้องยืนยัน</x:v>
      </x:c>
      <x:c r="G277" s="20" t="str">
        <x:v>ยังไม่พบเอกสารรับรองและวันหมดอายุ</x:v>
      </x:c>
      <x:c r="H27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77" s="20" t="str">
        <x:v>ซอยสุขุมวิท 3 แขวงคลองเตยเหนือ เขตวัฒนา กรุงเทพฯ 10110
</x:v>
      </x:c>
      <x:c r="J277" s="21" t="str">
        <x:v>0834403304</x:v>
      </x:c>
      <x:c r="K277" s="23" t="e">
        <x:f>HYPERLINK("https://makanhalalguide.com/shop/detail/5172","เปิดแหล่งข้อมูล 1")</x:f>
        <x:v>HYPERLINK is not implemented. linkLocation=https://makanhalalguide.com/shop/detail/5172, friendlyName=เปิดแหล่งข้อมูล 1</x:v>
      </x:c>
      <x:c r="L277" s="23" t="e">
        <x:f>HYPERLINK("https://www.wongnai.com/restaurants/1809580iq-aladeen-restaurant-cafe","เปิดแหล่งข้อมูล 2")</x:f>
        <x:v>HYPERLINK is not implemented. linkLocation=https://www.wongnai.com/restaurants/1809580iq-aladeen-restaurant-cafe, friendlyName=เปิดแหล่งข้อมูล 2</x:v>
      </x:c>
      <x:c r="M277" s="20" t="str">
        <x:v>ผลค้นหาชื่อสัมพันธ์จากแหล่งเพิ่มเติม ต้องยืนยันสาขาและข้อมูลปัจจุบัน</x:v>
      </x:c>
      <x:c r="N277" s="10" t="n">
        <x:v>46315</x:v>
      </x:c>
      <x:c r="O277" s="22" t="str">
        <x:v>ยังไม่ตรวจ</x:v>
      </x:c>
      <x:c r="P277" s="22" t="str">
        <x:v>ยังไม่ติดต่อ</x:v>
      </x:c>
    </x:row>
    <x:row r="278" ht="66" customHeight="1">
      <x:c r="A278" s="9" t="n">
        <x:v>270</x:v>
      </x:c>
      <x:c r="B278" s="20" t="str">
        <x:v>Aladia Ramen</x:v>
      </x:c>
      <x:c r="C278" s="20" t="str">
        <x:v>กรุงเทพมหานคร</x:v>
      </x:c>
      <x:c r="D278" s="20" t="str">
        <x:v>ร้านอาหาร</x:v>
      </x:c>
      <x:c r="E278" s="20" t="str">
        <x:v>Makan Verify; ช่องห้องละหมาดไม่ได้ทำเครื่องหมายว่ามี</x:v>
      </x:c>
      <x:c r="F278" s="20" t="str">
        <x:v>ไม่ได้ทำเครื่องหมายว่ามี / ต้องยืนยัน</x:v>
      </x:c>
      <x:c r="G278" s="20" t="str">
        <x:v>ยังไม่พบเอกสารรับรองและวันหมดอายุ</x:v>
      </x:c>
      <x:c r="H27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278" s="20" t="str">
        <x:v>49 ถ. รามคำแหง แขวงหัวหมาก บางกะปิ กรุงเทพมหานคร 10240</x:v>
      </x:c>
      <x:c r="J278" s="21" t="str">
        <x:v>0904994196</x:v>
      </x:c>
      <x:c r="K278" s="23" t="e">
        <x:f>HYPERLINK("https://makanhalalguide.com/shop/detail/6350","เปิดแหล่งข้อมูล 1")</x:f>
        <x:v>HYPERLINK is not implemented. linkLocation=https://makanhalalguide.com/shop/detail/6350, friendlyName=เปิดแหล่งข้อมูล 1</x:v>
      </x:c>
      <x:c r="L278" s="23" t="str"/>
      <x:c r="M278" s="20" t="str"/>
      <x:c r="N278" s="10" t="n">
        <x:v>46315</x:v>
      </x:c>
      <x:c r="O278" s="22" t="str">
        <x:v>ยังไม่ตรวจ</x:v>
      </x:c>
      <x:c r="P278" s="22" t="str">
        <x:v>ยังไม่ติดต่อ</x:v>
      </x:c>
    </x:row>
    <x:row r="279" ht="66" customHeight="1">
      <x:c r="A279" s="9" t="n">
        <x:v>271</x:v>
      </x:c>
      <x:c r="B279" s="20" t="str">
        <x:v>สยามพารากอน</x:v>
      </x:c>
      <x:c r="C279" s="20" t="str">
        <x:v>กรุงเทพมหานคร</x:v>
      </x:c>
      <x:c r="D279" s="20" t="str">
        <x:v>ศูนย์การค้า</x:v>
      </x:c>
      <x:c r="E279" s="20" t="str">
        <x:v>ผู้ประกอบการระบุห้องละหมาดชั้น B1 เปิดทุกวัน ต้องยืนยันร้านฮาลาลที่ได้รับรองและที่อาบน้ำละหมาด</x:v>
      </x:c>
      <x:c r="F279" s="20" t="str">
        <x:v>แหล่งข้อมูลระบุว่ามี</x:v>
      </x:c>
      <x:c r="G279" s="20" t="str">
        <x:v>ยังไม่พบเอกสารรับรองและวันหมดอายุ</x:v>
      </x:c>
      <x:c r="H279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279" s="20" t="str">
        <x:v>ดูรายละเอียดในแหล่งอ้างอิง</x:v>
      </x:c>
      <x:c r="J279" s="21" t="str">
        <x:v>ยังไม่พบข้อมูล</x:v>
      </x:c>
      <x:c r="K279" s="23" t="e">
        <x:f>HYPERLINK("https://tourist.onesiam.com/en/inspired/4595/explore-exclusive-services-and-facilities/","เปิดแหล่งข้อมูล 1")</x:f>
        <x:v>HYPERLINK is not implemented. linkLocation=https://tourist.onesiam.com/en/inspired/4595/explore-exclusive-services-and-facilities/, friendlyName=เปิดแหล่งข้อมูล 1</x:v>
      </x:c>
      <x:c r="L279" s="23" t="e">
        <x:f>HYPERLINK("https://th.tripadvisor.com/Attraction_Review-g293916-d600199-Reviews-Siam_Paragon-Bangkok.html","เปิดแหล่งข้อมูล 2")</x:f>
        <x:v>HYPERLINK is not implemented. linkLocation=https://th.tripadvisor.com/Attraction_Review-g293916-d600199-Reviews-Siam_Paragon-Bangkok.html, friendlyName=เปิดแหล่งข้อมูล 2</x:v>
      </x:c>
      <x:c r="M279" s="20" t="str">
        <x:v>ผลค้นหาชื่อสัมพันธ์จากแหล่งเพิ่มเติม ต้องยืนยันสาขาและข้อมูลปัจจุบัน</x:v>
      </x:c>
      <x:c r="N279" s="10" t="n">
        <x:v>46315</x:v>
      </x:c>
      <x:c r="O279" s="22" t="str">
        <x:v>ยังไม่ตรวจ</x:v>
      </x:c>
      <x:c r="P279" s="22" t="str">
        <x:v>ยังไม่ติดต่อ</x:v>
      </x:c>
    </x:row>
    <x:row r="280" ht="66" customHeight="1">
      <x:c r="A280" s="9" t="n">
        <x:v>272</x:v>
      </x:c>
      <x:c r="B280" s="20" t="str">
        <x:v>มัรกัส มีนบุรี</x:v>
      </x:c>
      <x:c r="C280" s="20" t="str">
        <x:v>กรุงเทพมหานคร</x:v>
      </x:c>
      <x:c r="D280" s="20" t="str">
        <x:v>มัสยิด</x:v>
      </x:c>
      <x:c r="E28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80" s="20" t="str">
        <x:v>แหล่งข้อมูลระบุว่ามี</x:v>
      </x:c>
      <x:c r="G280" s="20" t="str">
        <x:v>ยังไม่พบเอกสารรับรองและวันหมดอายุ</x:v>
      </x:c>
      <x:c r="H280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80" s="20" t="str">
        <x:v>292 ถนนราษฎร์อุทิศ แขวงแสนแสบ เขตมีนบุรี กรุงเทพมหานคร 10510</x:v>
      </x:c>
      <x:c r="J280" s="21" t="str">
        <x:v>02-543-8586</x:v>
      </x:c>
      <x:c r="K280" s="23" t="e">
        <x:f>HYPERLINK("https://www.thic.or.th/th/tourist/detail/mosques/181","เปิดแหล่งข้อมูล 1")</x:f>
        <x:v>HYPERLINK is not implemented. linkLocation=https://www.thic.or.th/th/tourist/detail/mosques/181, friendlyName=เปิดแหล่งข้อมูล 1</x:v>
      </x:c>
      <x:c r="L280" s="23" t="e">
        <x:f>HYPERLINK("https://ae.trip.com/travel-guide/attraction/bangkok/alami-shura-markaz-bangkok-thailand-141703714","เปิดแหล่งข้อมูล 2")</x:f>
        <x:v>HYPERLINK is not implemented. linkLocation=https://ae.trip.com/travel-guide/attraction/bangkok/alami-shura-markaz-bangkok-thailand-141703714, friendlyName=เปิดแหล่งข้อมูล 2</x:v>
      </x:c>
      <x:c r="M280" s="20" t="str">
        <x:v>ผลค้นหาชื่อสัมพันธ์จากแหล่งเพิ่มเติม ต้องยืนยันสาขาและข้อมูลปัจจุบัน</x:v>
      </x:c>
      <x:c r="N280" s="10" t="n">
        <x:v>46315</x:v>
      </x:c>
      <x:c r="O280" s="22" t="str">
        <x:v>ยังไม่ตรวจ</x:v>
      </x:c>
      <x:c r="P280" s="22" t="str">
        <x:v>ยังไม่ติดต่อ</x:v>
      </x:c>
    </x:row>
    <x:row r="281" ht="66" customHeight="1">
      <x:c r="A281" s="9" t="n">
        <x:v>273</x:v>
      </x:c>
      <x:c r="B281" s="20" t="str">
        <x:v>มัสยิดกมาลุ้ลอิสลาม (ทรายกองดิน)</x:v>
      </x:c>
      <x:c r="C281" s="20" t="str">
        <x:v>กรุงเทพมหานคร</x:v>
      </x:c>
      <x:c r="D281" s="20" t="str">
        <x:v>มัสยิด</x:v>
      </x:c>
      <x:c r="E28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81" s="20" t="str">
        <x:v>แหล่งข้อมูลระบุว่ามี</x:v>
      </x:c>
      <x:c r="G281" s="20" t="str">
        <x:v>ยังไม่พบเอกสารรับรองและวันหมดอายุ</x:v>
      </x:c>
      <x:c r="H281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81" s="20" t="str">
        <x:v>ซอย ประชาร่วมใจ 48 แขวงทรายกองดินใต้ เขตคลองสามวา กรุงเทพมหานคร 10510</x:v>
      </x:c>
      <x:c r="J281" s="21" t="str">
        <x:v>+66 2 916 8779</x:v>
      </x:c>
      <x:c r="K281" s="23" t="e">
        <x:f>HYPERLINK("https://www.thic.or.th/th/tourist/detail/mosques/309","เปิดแหล่งข้อมูล 1")</x:f>
        <x:v>HYPERLINK is not implemented. linkLocation=https://www.thic.or.th/th/tourist/detail/mosques/309, friendlyName=เปิดแหล่งข้อมูล 1</x:v>
      </x:c>
      <x:c r="L281" s="23" t="e">
        <x:f>HYPERLINK("https://wikicommunity.sac.or.th/community/1858","เปิดแหล่งข้อมูล 2")</x:f>
        <x:v>HYPERLINK is not implemented. linkLocation=https://wikicommunity.sac.or.th/community/1858, friendlyName=เปิดแหล่งข้อมูล 2</x:v>
      </x:c>
      <x:c r="M281" s="20" t="str">
        <x:v>ผลค้นหาชื่อสัมพันธ์จากแหล่งเพิ่มเติม ต้องยืนยันสาขาและข้อมูลปัจจุบัน</x:v>
      </x:c>
      <x:c r="N281" s="10" t="n">
        <x:v>46315</x:v>
      </x:c>
      <x:c r="O281" s="22" t="str">
        <x:v>ยังไม่ตรวจ</x:v>
      </x:c>
      <x:c r="P281" s="22" t="str">
        <x:v>ยังไม่ติดต่อ</x:v>
      </x:c>
    </x:row>
    <x:row r="282" ht="66" customHeight="1">
      <x:c r="A282" s="9" t="n">
        <x:v>274</x:v>
      </x:c>
      <x:c r="B282" s="20" t="str">
        <x:v>มัสยิดกมาลุ้ลเอี๊ยะห์ซาน (มัสยิดกระจก)</x:v>
      </x:c>
      <x:c r="C282" s="20" t="str">
        <x:v>กรุงเทพมหานคร</x:v>
      </x:c>
      <x:c r="D282" s="20" t="str">
        <x:v>มัสยิด</x:v>
      </x:c>
      <x:c r="E28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82" s="20" t="str">
        <x:v>แหล่งข้อมูลระบุว่ามี</x:v>
      </x:c>
      <x:c r="G282" s="20" t="str">
        <x:v>ยังไม่พบเอกสารรับรองและวันหมดอายุ</x:v>
      </x:c>
      <x:c r="H282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82" s="20" t="str">
        <x:v>35 ซ. ราษฎร์อุทิศ 26 แขวงแสนแสบ เขตมีนบุรี กรุงเทพมหานคร 10510</x:v>
      </x:c>
      <x:c r="J282" s="21" t="str">
        <x:v>083-609-8336</x:v>
      </x:c>
      <x:c r="K282" s="23" t="e">
        <x:f>HYPERLINK("https://www.thic.or.th/th/tourist/detail/mosques/183","เปิดแหล่งข้อมูล 1")</x:f>
        <x:v>HYPERLINK is not implemented. linkLocation=https://www.thic.or.th/th/tourist/detail/mosques/183, friendlyName=เปิดแหล่งข้อมูล 1</x:v>
      </x:c>
      <x:c r="L282" s="23" t="e">
        <x:f>HYPERLINK("https://th.trip.com/travel-guide/attraction/bangkok/kamalul-yassan-mosque-141566692","เปิดแหล่งข้อมูล 2")</x:f>
        <x:v>HYPERLINK is not implemented. linkLocation=https://th.trip.com/travel-guide/attraction/bangkok/kamalul-yassan-mosque-141566692, friendlyName=เปิดแหล่งข้อมูล 2</x:v>
      </x:c>
      <x:c r="M282" s="20" t="str">
        <x:v>ผลค้นหาชื่อสัมพันธ์จากแหล่งเพิ่มเติม ต้องยืนยันสาขาและข้อมูลปัจจุบัน</x:v>
      </x:c>
      <x:c r="N282" s="10" t="n">
        <x:v>46315</x:v>
      </x:c>
      <x:c r="O282" s="22" t="str">
        <x:v>ยังไม่ตรวจ</x:v>
      </x:c>
      <x:c r="P282" s="22" t="str">
        <x:v>ยังไม่ติดต่อ</x:v>
      </x:c>
    </x:row>
    <x:row r="283" ht="66" customHeight="1">
      <x:c r="A283" s="9" t="n">
        <x:v>275</x:v>
      </x:c>
      <x:c r="B283" s="20" t="str">
        <x:v>มัสยิดซอลาฮุดดีน</x:v>
      </x:c>
      <x:c r="C283" s="20" t="str">
        <x:v>กรุงเทพมหานคร</x:v>
      </x:c>
      <x:c r="D283" s="20" t="str">
        <x:v>มัสยิด</x:v>
      </x:c>
      <x:c r="E28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83" s="20" t="str">
        <x:v>แหล่งข้อมูลระบุว่ามี</x:v>
      </x:c>
      <x:c r="G283" s="20" t="str">
        <x:v>ยังไม่พบเอกสารรับรองและวันหมดอายุ</x:v>
      </x:c>
      <x:c r="H283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83" s="20" t="str">
        <x:v>15/1 หมู่ที่ 9 ถนนสังฆสันติสุข แขวงหนองจอก เขตหนองจอก กรุงเทพมหานคร 10530</x:v>
      </x:c>
      <x:c r="J283" s="21" t="str">
        <x:v>02-952-3513</x:v>
      </x:c>
      <x:c r="K283" s="23" t="e">
        <x:f>HYPERLINK("https://www.thic.or.th/th/tourist/detail/mosques/315","เปิดแหล่งข้อมูล 1")</x:f>
        <x:v>HYPERLINK is not implemented. linkLocation=https://www.thic.or.th/th/tourist/detail/mosques/315, friendlyName=เปิดแหล่งข้อมูล 1</x:v>
      </x:c>
      <x:c r="L283" s="23" t="e">
        <x:f>HYPERLINK("https://masjid.islamicbangkok.or.th/masjid/id/18419","เปิดแหล่งข้อมูล 2")</x:f>
        <x:v>HYPERLINK is not implemented. linkLocation=https://masjid.islamicbangkok.or.th/masjid/id/18419, friendlyName=เปิดแหล่งข้อมูล 2</x:v>
      </x:c>
      <x:c r="M283" s="20" t="str">
        <x:v>ผลค้นหาชื่อสัมพันธ์จากแหล่งเพิ่มเติม ต้องยืนยันสาขาและข้อมูลปัจจุบัน</x:v>
      </x:c>
      <x:c r="N283" s="10" t="n">
        <x:v>46315</x:v>
      </x:c>
      <x:c r="O283" s="22" t="str">
        <x:v>ยังไม่ตรวจ</x:v>
      </x:c>
      <x:c r="P283" s="22" t="str">
        <x:v>ยังไม่ติดต่อ</x:v>
      </x:c>
    </x:row>
    <x:row r="284" ht="66" customHeight="1">
      <x:c r="A284" s="9" t="n">
        <x:v>276</x:v>
      </x:c>
      <x:c r="B284" s="20" t="str">
        <x:v>มัสยิดญามีอุ๊ลค็อยร๊อต (บางอุทิศใน)</x:v>
      </x:c>
      <x:c r="C284" s="20" t="str">
        <x:v>กรุงเทพมหานคร</x:v>
      </x:c>
      <x:c r="D284" s="20" t="str">
        <x:v>มัสยิด</x:v>
      </x:c>
      <x:c r="E28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84" s="20" t="str">
        <x:v>แหล่งข้อมูลระบุว่ามี</x:v>
      </x:c>
      <x:c r="G284" s="20" t="str">
        <x:v>ยังไม่พบเอกสารรับรองและวันหมดอายุ</x:v>
      </x:c>
      <x:c r="H284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84" s="20" t="str">
        <x:v>208/1 ซอยบางอุทิศ ถนนเจริญกรุง95 แขวงวัดพระยาไกร เขตบางคอแหลม กรุงเทพมหานคร 10120</x:v>
      </x:c>
      <x:c r="J284" s="21" t="str">
        <x:v>08 6505 7055</x:v>
      </x:c>
      <x:c r="K284" s="23" t="e">
        <x:f>HYPERLINK("https://www.thic.or.th/th/tourist/detail/mosques/521","เปิดแหล่งข้อมูล 1")</x:f>
        <x:v>HYPERLINK is not implemented. linkLocation=https://www.thic.or.th/th/tourist/detail/mosques/521, friendlyName=เปิดแหล่งข้อมูล 1</x:v>
      </x:c>
      <x:c r="L284" s="23" t="e">
        <x:f>HYPERLINK("https://masjid.islamicbangkok.or.th/masjid/id/39639","เปิดแหล่งข้อมูล 2")</x:f>
        <x:v>HYPERLINK is not implemented. linkLocation=https://masjid.islamicbangkok.or.th/masjid/id/39639, friendlyName=เปิดแหล่งข้อมูล 2</x:v>
      </x:c>
      <x:c r="M284" s="20" t="str">
        <x:v>ผลค้นหาชื่อสัมพันธ์จากแหล่งเพิ่มเติม ต้องยืนยันสาขาและข้อมูลปัจจุบัน</x:v>
      </x:c>
      <x:c r="N284" s="10" t="n">
        <x:v>46315</x:v>
      </x:c>
      <x:c r="O284" s="22" t="str">
        <x:v>ยังไม่ตรวจ</x:v>
      </x:c>
      <x:c r="P284" s="22" t="str">
        <x:v>ยังไม่ติดต่อ</x:v>
      </x:c>
    </x:row>
    <x:row r="285" ht="66" customHeight="1">
      <x:c r="A285" s="9" t="n">
        <x:v>277</x:v>
      </x:c>
      <x:c r="B285" s="20" t="str">
        <x:v>มัสยิดดารุล-อิหซาน</x:v>
      </x:c>
      <x:c r="C285" s="20" t="str">
        <x:v>กรุงเทพมหานคร</x:v>
      </x:c>
      <x:c r="D285" s="20" t="str">
        <x:v>มัสยิด</x:v>
      </x:c>
      <x:c r="E28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85" s="20" t="str">
        <x:v>แหล่งข้อมูลระบุว่ามี</x:v>
      </x:c>
      <x:c r="G285" s="20" t="str">
        <x:v>ยังไม่พบเอกสารรับรองและวันหมดอายุ</x:v>
      </x:c>
      <x:c r="H285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85" s="20" t="str">
        <x:v>33/7 ซอยจรัญสนิทวงศ์ 94 แขวงบางอ้อ เขตบางพลัด กรุงเทพมหานคร 10700</x:v>
      </x:c>
      <x:c r="J285" s="21" t="str">
        <x:v>0 2435 8073</x:v>
      </x:c>
      <x:c r="K285" s="23" t="e">
        <x:f>HYPERLINK("https://www.thic.or.th/th/tourist/detail/mosques/513","เปิดแหล่งข้อมูล 1")</x:f>
        <x:v>HYPERLINK is not implemented. linkLocation=https://www.thic.or.th/th/tourist/detail/mosques/513, friendlyName=เปิดแหล่งข้อมูล 1</x:v>
      </x:c>
      <x:c r="L285" s="23" t="e">
        <x:f>HYPERLINK("https://www.cicot.or.th/th/mosque/detail/241/2/%E0%B8%A1%E0%B8%B1%E0%B8%AA%E0%B8%A2%E0%B8%B4%E0%B8%94%E0%B8%94%E0%B8%B2%E0%B8%A3%E0%B8%B8%E0%B8%A5-%E0%B8%AD%E0%B8%B4%E0%B8%AB%E0%B8%8B%E0%B8%B2%E0%B8%99","เปิดแหล่งข้อมูล 2")</x:f>
        <x:v>HYPERLINK is not implemented. linkLocation=https://www.cicot.or.th/th/mosque/detail/241/2/%E0%B8%A1%E0%B8%B1%E0%B8%AA%E0%B8%A2%E0%B8%B4%E0%B8%94%E0%B8%94%E0%B8%B2%E0%B8%A3%E0%B8%B8%E0%B8%A5-%E0%B8%AD%E0%B8%B4%E0%B8%AB%E0%B8%8B%E0%B8%B2%E0%B8%99, friendlyName=เปิดแหล่งข้อมูล 2</x:v>
      </x:c>
      <x:c r="M285" s="20" t="str">
        <x:v>ผลค้นหาชื่อสัมพันธ์จากแหล่งเพิ่มเติม ต้องยืนยันสาขาและข้อมูลปัจจุบัน</x:v>
      </x:c>
      <x:c r="N285" s="10" t="n">
        <x:v>46315</x:v>
      </x:c>
      <x:c r="O285" s="22" t="str">
        <x:v>ยังไม่ตรวจ</x:v>
      </x:c>
      <x:c r="P285" s="22" t="str">
        <x:v>ยังไม่ติดต่อ</x:v>
      </x:c>
    </x:row>
    <x:row r="286" ht="66" customHeight="1">
      <x:c r="A286" s="9" t="n">
        <x:v>278</x:v>
      </x:c>
      <x:c r="B286" s="20" t="str">
        <x:v>มัสยิดดารุสซุนนี</x:v>
      </x:c>
      <x:c r="C286" s="20" t="str">
        <x:v>กรุงเทพมหานคร</x:v>
      </x:c>
      <x:c r="D286" s="20" t="str">
        <x:v>มัสยิด</x:v>
      </x:c>
      <x:c r="E28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86" s="20" t="str">
        <x:v>แหล่งข้อมูลระบุว่ามี</x:v>
      </x:c>
      <x:c r="G286" s="20" t="str">
        <x:v>ยังไม่พบเอกสารรับรองและวันหมดอายุ</x:v>
      </x:c>
      <x:c r="H286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86" s="20" t="str">
        <x:v>30/7 หมู่ 9 ซอยมิตรไมตรี 3 ถนน มิตรไมตรี แขวงหนองจอก เขตหนองจอก กรุงเทพมหานคร 10530</x:v>
      </x:c>
      <x:c r="J286" s="21" t="str">
        <x:v>ยังไม่พบข้อมูล</x:v>
      </x:c>
      <x:c r="K286" s="23" t="e">
        <x:f>HYPERLINK("https://www.thic.or.th/th/tourist/detail/mosques/314","เปิดแหล่งข้อมูล 1")</x:f>
        <x:v>HYPERLINK is not implemented. linkLocation=https://www.thic.or.th/th/tourist/detail/mosques/314, friendlyName=เปิดแหล่งข้อมูล 1</x:v>
      </x:c>
      <x:c r="L286" s="23" t="e">
        <x:f>HYPERLINK("https://bangkok.worldplaces.me/th/review/197547794.html","เปิดแหล่งข้อมูล 2")</x:f>
        <x:v>HYPERLINK is not implemented. linkLocation=https://bangkok.worldplaces.me/th/review/197547794.html, friendlyName=เปิดแหล่งข้อมูล 2</x:v>
      </x:c>
      <x:c r="M286" s="20" t="str">
        <x:v>ผลค้นหาชื่อสัมพันธ์จากแหล่งเพิ่มเติม ต้องยืนยันสาขาและข้อมูลปัจจุบัน</x:v>
      </x:c>
      <x:c r="N286" s="10" t="n">
        <x:v>46315</x:v>
      </x:c>
      <x:c r="O286" s="22" t="str">
        <x:v>ยังไม่ตรวจ</x:v>
      </x:c>
      <x:c r="P286" s="22" t="str">
        <x:v>ยังไม่ติดต่อ</x:v>
      </x:c>
    </x:row>
    <x:row r="287" ht="66" customHeight="1">
      <x:c r="A287" s="9" t="n">
        <x:v>279</x:v>
      </x:c>
      <x:c r="B287" s="20" t="str">
        <x:v>มัสยิดดารุสสลาม บาหยัน</x:v>
      </x:c>
      <x:c r="C287" s="20" t="str">
        <x:v>กรุงเทพมหานคร</x:v>
      </x:c>
      <x:c r="D287" s="20" t="str">
        <x:v>มัสยิด</x:v>
      </x:c>
      <x:c r="E28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87" s="20" t="str">
        <x:v>แหล่งข้อมูลระบุว่ามี</x:v>
      </x:c>
      <x:c r="G287" s="20" t="str">
        <x:v>ยังไม่พบเอกสารรับรองและวันหมดอายุ</x:v>
      </x:c>
      <x:c r="H287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87" s="20" t="str">
        <x:v>59/1 ถ. เลียบวารี แขวงโคกแฝด เขตหนองจอก กรุงเทพมหานคร 10530</x:v>
      </x:c>
      <x:c r="J287" s="21" t="str">
        <x:v>ยังไม่พบข้อมูล</x:v>
      </x:c>
      <x:c r="K287" s="23" t="e">
        <x:f>HYPERLINK("https://www.thic.or.th/th/tourist/detail/mosques/305","เปิดแหล่งข้อมูล 1")</x:f>
        <x:v>HYPERLINK is not implemented. linkLocation=https://www.thic.or.th/th/tourist/detail/mosques/305, friendlyName=เปิดแหล่งข้อมูล 1</x:v>
      </x:c>
      <x:c r="L287" s="23" t="e">
        <x:f>HYPERLINK("https://masjid.islamicbangkok.or.th/masjid/id/12674","เปิดแหล่งข้อมูล 2")</x:f>
        <x:v>HYPERLINK is not implemented. linkLocation=https://masjid.islamicbangkok.or.th/masjid/id/12674, friendlyName=เปิดแหล่งข้อมูล 2</x:v>
      </x:c>
      <x:c r="M287" s="20" t="str">
        <x:v>ผลค้นหาชื่อสัมพันธ์จากแหล่งเพิ่มเติม ต้องยืนยันสาขาและข้อมูลปัจจุบัน</x:v>
      </x:c>
      <x:c r="N287" s="10" t="n">
        <x:v>46315</x:v>
      </x:c>
      <x:c r="O287" s="22" t="str">
        <x:v>ยังไม่ตรวจ</x:v>
      </x:c>
      <x:c r="P287" s="22" t="str">
        <x:v>ยังไม่ติดต่อ</x:v>
      </x:c>
    </x:row>
    <x:row r="288" ht="66" customHeight="1">
      <x:c r="A288" s="9" t="n">
        <x:v>280</x:v>
      </x:c>
      <x:c r="B288" s="20" t="str">
        <x:v>มัสยิดดารุสสะลาม (เจียรดับใหญ่)</x:v>
      </x:c>
      <x:c r="C288" s="20" t="str">
        <x:v>กรุงเทพมหานคร</x:v>
      </x:c>
      <x:c r="D288" s="20" t="str">
        <x:v>มัสยิด</x:v>
      </x:c>
      <x:c r="E28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88" s="20" t="str">
        <x:v>แหล่งข้อมูลระบุว่ามี</x:v>
      </x:c>
      <x:c r="G288" s="20" t="str">
        <x:v>ยังไม่พบเอกสารรับรองและวันหมดอายุ</x:v>
      </x:c>
      <x:c r="H288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88" s="20" t="str">
        <x:v>32 หมู่ 1 ถนนเลียบวารี แขวงโคกแฝด เขตหนองจอก กรุงเทพมหานคร 10530</x:v>
      </x:c>
      <x:c r="J288" s="21" t="str">
        <x:v>0 2543 1248</x:v>
      </x:c>
      <x:c r="K288" s="23" t="e">
        <x:f>HYPERLINK("https://www.thic.or.th/th/tourist/detail/mosques/449","เปิดแหล่งข้อมูล 1")</x:f>
        <x:v>HYPERLINK is not implemented. linkLocation=https://www.thic.or.th/th/tourist/detail/mosques/449, friendlyName=เปิดแหล่งข้อมูล 1</x:v>
      </x:c>
      <x:c r="L288" s="23" t="e">
        <x:f>HYPERLINK("https://masjid.islamicbangkok.or.th/masjid/id/12674","เปิดแหล่งข้อมูล 2")</x:f>
        <x:v>HYPERLINK is not implemented. linkLocation=https://masjid.islamicbangkok.or.th/masjid/id/12674, friendlyName=เปิดแหล่งข้อมูล 2</x:v>
      </x:c>
      <x:c r="M288" s="20" t="str">
        <x:v>ผลค้นหาชื่อสัมพันธ์จากแหล่งเพิ่มเติม ต้องยืนยันสาขาและข้อมูลปัจจุบัน</x:v>
      </x:c>
      <x:c r="N288" s="10" t="n">
        <x:v>46315</x:v>
      </x:c>
      <x:c r="O288" s="22" t="str">
        <x:v>ยังไม่ตรวจ</x:v>
      </x:c>
      <x:c r="P288" s="22" t="str">
        <x:v>ยังไม่ติดต่อ</x:v>
      </x:c>
    </x:row>
    <x:row r="289" ht="66" customHeight="1">
      <x:c r="A289" s="9" t="n">
        <x:v>281</x:v>
      </x:c>
      <x:c r="B289" s="20" t="str">
        <x:v>มัสยิดดารุ้ลฆอนี (โต๊ะนิล)</x:v>
      </x:c>
      <x:c r="C289" s="20" t="str">
        <x:v>กรุงเทพมหานคร</x:v>
      </x:c>
      <x:c r="D289" s="20" t="str">
        <x:v>มัสยิด</x:v>
      </x:c>
      <x:c r="E28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89" s="20" t="str">
        <x:v>แหล่งข้อมูลระบุว่ามี</x:v>
      </x:c>
      <x:c r="G289" s="20" t="str">
        <x:v>ยังไม่พบเอกสารรับรองและวันหมดอายุ</x:v>
      </x:c>
      <x:c r="H289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89" s="20" t="str">
        <x:v>60 หมู่ 10 ถนนสังฆสันติสุข แขวงกระทุ่มราย เขตหนองจอก กรุงเทพมหานคร 10530</x:v>
      </x:c>
      <x:c r="J289" s="21" t="str">
        <x:v>+66 85 981 8413</x:v>
      </x:c>
      <x:c r="K289" s="23" t="e">
        <x:f>HYPERLINK("https://www.thic.or.th/th/tourist/detail/mosques/324","เปิดแหล่งข้อมูล 1")</x:f>
        <x:v>HYPERLINK is not implemented. linkLocation=https://www.thic.or.th/th/tourist/detail/mosques/324, friendlyName=เปิดแหล่งข้อมูล 1</x:v>
      </x:c>
      <x:c r="L289" s="23" t="e">
        <x:f>HYPERLINK("https://th.trip.com/travel-guide/attraction/bangkok/darun-khoni-mosque-144009979/?curr=USD&amp;locale=en-TH","เปิดแหล่งข้อมูล 2")</x:f>
        <x:v>HYPERLINK is not implemented. linkLocation=https://th.trip.com/travel-guide/attraction/bangkok/darun-khoni-mosque-144009979/?curr=USD&amp;locale=en-TH, friendlyName=เปิดแหล่งข้อมูล 2</x:v>
      </x:c>
      <x:c r="M289" s="20" t="str">
        <x:v>ผลค้นหาชื่อสัมพันธ์จากแหล่งเพิ่มเติม ต้องยืนยันสาขาและข้อมูลปัจจุบัน</x:v>
      </x:c>
      <x:c r="N289" s="10" t="n">
        <x:v>46315</x:v>
      </x:c>
      <x:c r="O289" s="22" t="str">
        <x:v>ยังไม่ตรวจ</x:v>
      </x:c>
      <x:c r="P289" s="22" t="str">
        <x:v>ยังไม่ติดต่อ</x:v>
      </x:c>
    </x:row>
    <x:row r="290" ht="66" customHeight="1">
      <x:c r="A290" s="9" t="n">
        <x:v>282</x:v>
      </x:c>
      <x:c r="B290" s="20" t="str">
        <x:v>มัสยิดดารุ้ลนาอีม (แบนชะโด)</x:v>
      </x:c>
      <x:c r="C290" s="20" t="str">
        <x:v>กรุงเทพมหานคร</x:v>
      </x:c>
      <x:c r="D290" s="20" t="str">
        <x:v>มัสยิด</x:v>
      </x:c>
      <x:c r="E29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0" s="20" t="str">
        <x:v>แหล่งข้อมูลระบุว่ามี</x:v>
      </x:c>
      <x:c r="G290" s="20" t="str">
        <x:v>ยังไม่พบเอกสารรับรองและวันหมดอายุ</x:v>
      </x:c>
      <x:c r="H290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0" s="20" t="str">
        <x:v>35 หมู่ 4 ซอยแบนชะโด ถนนประชาร่วมใจ แขวงคู้ฝั่งเหนือ เขตหนองจอก กรุงเทพมหานคร 10530</x:v>
      </x:c>
      <x:c r="J290" s="21" t="str">
        <x:v>0 2906 1785</x:v>
      </x:c>
      <x:c r="K290" s="23" t="e">
        <x:f>HYPERLINK("https://www.thic.or.th/th/tourist/detail/mosques/454","เปิดแหล่งข้อมูล 1")</x:f>
        <x:v>HYPERLINK is not implemented. linkLocation=https://www.thic.or.th/th/tourist/detail/mosques/454, friendlyName=เปิดแหล่งข้อมูล 1</x:v>
      </x:c>
      <x:c r="L290" s="23" t="e">
        <x:f>HYPERLINK("https://www.thic.or.th/th/tourist/detail/mosques/311","เปิดแหล่งข้อมูล 2")</x:f>
        <x:v>HYPERLINK is not implemented. linkLocation=https://www.thic.or.th/th/tourist/detail/mosques/311, friendlyName=เปิดแหล่งข้อมูล 2</x:v>
      </x:c>
      <x:c r="M29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N290" s="10" t="n">
        <x:v>46315</x:v>
      </x:c>
      <x:c r="O290" s="22" t="str">
        <x:v>ยังไม่ตรวจ</x:v>
      </x:c>
      <x:c r="P290" s="22" t="str">
        <x:v>ยังไม่ติดต่อ</x:v>
      </x:c>
    </x:row>
    <x:row r="291" ht="66" customHeight="1">
      <x:c r="A291" s="9" t="n">
        <x:v>283</x:v>
      </x:c>
      <x:c r="B291" s="20" t="str">
        <x:v>มัสยิดดารุ้ลมุตตะกีน</x:v>
      </x:c>
      <x:c r="C291" s="20" t="str">
        <x:v>กรุงเทพมหานคร</x:v>
      </x:c>
      <x:c r="D291" s="20" t="str">
        <x:v>มัสยิด</x:v>
      </x:c>
      <x:c r="E29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1" s="20" t="str">
        <x:v>แหล่งข้อมูลระบุว่ามี</x:v>
      </x:c>
      <x:c r="G291" s="20" t="str">
        <x:v>ยังไม่พบเอกสารรับรองและวันหมดอายุ</x:v>
      </x:c>
      <x:c r="H291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1" s="20" t="str">
        <x:v>เลขที่ 18 หมู่ 11 แขวงโคกแฝด เขตหนองจอก กรุงเทพมหานคร 10530</x:v>
      </x:c>
      <x:c r="J291" s="21" t="str">
        <x:v>0937658919</x:v>
      </x:c>
      <x:c r="K291" s="23" t="e">
        <x:f>HYPERLINK("https://www.thic.or.th/th/tourist/detail/mosques/303","เปิดแหล่งข้อมูล 1")</x:f>
        <x:v>HYPERLINK is not implemented. linkLocation=https://www.thic.or.th/th/tourist/detail/mosques/303, friendlyName=เปิดแหล่งข้อมูล 1</x:v>
      </x:c>
      <x:c r="L291" s="23" t="e">
        <x:f>HYPERLINK("https://th.trip.com/travel-guide/attraction/bangkok/darul-muttageen-mosque-141901653?poiType=3","เปิดแหล่งข้อมูล 2")</x:f>
        <x:v>HYPERLINK is not implemented. linkLocation=https://th.trip.com/travel-guide/attraction/bangkok/darul-muttageen-mosque-141901653?poiType=3, friendlyName=เปิดแหล่งข้อมูล 2</x:v>
      </x:c>
      <x:c r="M291" s="20" t="str">
        <x:v>ผลค้นหาชื่อสัมพันธ์จากแหล่งเพิ่มเติม ต้องยืนยันสาขาและข้อมูลปัจจุบัน</x:v>
      </x:c>
      <x:c r="N291" s="10" t="n">
        <x:v>46315</x:v>
      </x:c>
      <x:c r="O291" s="22" t="str">
        <x:v>ยังไม่ตรวจ</x:v>
      </x:c>
      <x:c r="P291" s="22" t="str">
        <x:v>ยังไม่ติดต่อ</x:v>
      </x:c>
    </x:row>
    <x:row r="292" ht="66" customHeight="1">
      <x:c r="A292" s="9" t="n">
        <x:v>284</x:v>
      </x:c>
      <x:c r="B292" s="20" t="str">
        <x:v>มัสยิดดารุ้ลมุสลิมีน (กลิ่นชื่นอุปถัมภ์)</x:v>
      </x:c>
      <x:c r="C292" s="20" t="str">
        <x:v>กรุงเทพมหานคร</x:v>
      </x:c>
      <x:c r="D292" s="20" t="str">
        <x:v>มัสยิด</x:v>
      </x:c>
      <x:c r="E29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2" s="20" t="str">
        <x:v>แหล่งข้อมูลระบุว่ามี</x:v>
      </x:c>
      <x:c r="G292" s="20" t="str">
        <x:v>ยังไม่พบเอกสารรับรองและวันหมดอายุ</x:v>
      </x:c>
      <x:c r="H292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2" s="20" t="str">
        <x:v>196/2 ซอยชื่นจิตร ถนนช่องนนทรี แขวงช่องนนทรี เขตยานนาวา กรุงเทพมหานคร 10120</x:v>
      </x:c>
      <x:c r="J292" s="21" t="str">
        <x:v>0 2321 6528</x:v>
      </x:c>
      <x:c r="K292" s="23" t="e">
        <x:f>HYPERLINK("https://www.thic.or.th/th/tourist/detail/mosques/501","เปิดแหล่งข้อมูล 1")</x:f>
        <x:v>HYPERLINK is not implemented. linkLocation=https://www.thic.or.th/th/tourist/detail/mosques/501, friendlyName=เปิดแหล่งข้อมูล 1</x:v>
      </x:c>
      <x:c r="L292" s="23" t="e">
        <x:f>HYPERLINK("https://masjid.islamicbangkok.or.th/masjid/id/21757","เปิดแหล่งข้อมูล 2")</x:f>
        <x:v>HYPERLINK is not implemented. linkLocation=https://masjid.islamicbangkok.or.th/masjid/id/21757, friendlyName=เปิดแหล่งข้อมูล 2</x:v>
      </x:c>
      <x:c r="M292" s="20" t="str">
        <x:v>ผลค้นหาชื่อสัมพันธ์จากแหล่งเพิ่มเติม ต้องยืนยันสาขาและข้อมูลปัจจุบัน</x:v>
      </x:c>
      <x:c r="N292" s="10" t="n">
        <x:v>46315</x:v>
      </x:c>
      <x:c r="O292" s="22" t="str">
        <x:v>ยังไม่ตรวจ</x:v>
      </x:c>
      <x:c r="P292" s="22" t="str">
        <x:v>ยังไม่ติดต่อ</x:v>
      </x:c>
    </x:row>
    <x:row r="293" ht="66" customHeight="1">
      <x:c r="A293" s="9" t="n">
        <x:v>285</x:v>
      </x:c>
      <x:c r="B293" s="20" t="str">
        <x:v>มัสยิดต้นสน</x:v>
      </x:c>
      <x:c r="C293" s="20" t="str">
        <x:v>กรุงเทพมหานคร</x:v>
      </x:c>
      <x:c r="D293" s="20" t="str">
        <x:v>มัสยิด</x:v>
      </x:c>
      <x:c r="E29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3" s="20" t="str">
        <x:v>แหล่งข้อมูลระบุว่ามี</x:v>
      </x:c>
      <x:c r="G293" s="20" t="str">
        <x:v>ยังไม่พบเอกสารรับรองและวันหมดอายุ</x:v>
      </x:c>
      <x:c r="H293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3" s="20" t="str">
        <x:v>447 ถนนอรุณอมรินทร์ แขวงวัดอรุณ เขตบางกอกใหญ่ กรุงเทพมหานคร 10600</x:v>
      </x:c>
      <x:c r="J293" s="21" t="str">
        <x:v>02-466-5326</x:v>
      </x:c>
      <x:c r="K293" s="23" t="e">
        <x:f>HYPERLINK("https://www.thic.or.th/th/tourist/detail/mosques/43","เปิดแหล่งข้อมูล 1")</x:f>
        <x:v>HYPERLINK is not implemented. linkLocation=https://www.thic.or.th/th/tourist/detail/mosques/43, friendlyName=เปิดแหล่งข้อมูล 1</x:v>
      </x:c>
      <x:c r="L293" s="23" t="e">
        <x:f>HYPERLINK("https://th.trip.com/travel-guide/attraction/bangkok/ton-son-mosque-97364728/","เปิดแหล่งข้อมูล 2")</x:f>
        <x:v>HYPERLINK is not implemented. linkLocation=https://th.trip.com/travel-guide/attraction/bangkok/ton-son-mosque-97364728/, friendlyName=เปิดแหล่งข้อมูล 2</x:v>
      </x:c>
      <x:c r="M293" s="20" t="str">
        <x:v>ผลค้นหาชื่อสัมพันธ์จากแหล่งเพิ่มเติม ต้องยืนยันสาขาและข้อมูลปัจจุบัน</x:v>
      </x:c>
      <x:c r="N293" s="10" t="n">
        <x:v>46315</x:v>
      </x:c>
      <x:c r="O293" s="22" t="str">
        <x:v>ยังไม่ตรวจ</x:v>
      </x:c>
      <x:c r="P293" s="22" t="str">
        <x:v>ยังไม่ติดต่อ</x:v>
      </x:c>
    </x:row>
    <x:row r="294" ht="66" customHeight="1">
      <x:c r="A294" s="9" t="n">
        <x:v>286</x:v>
      </x:c>
      <x:c r="B294" s="20" t="str">
        <x:v>มัสยิดนูรุดดีน (บ้านเกาะคลอง 13)</x:v>
      </x:c>
      <x:c r="C294" s="20" t="str">
        <x:v>กรุงเทพมหานคร</x:v>
      </x:c>
      <x:c r="D294" s="20" t="str">
        <x:v>มัสยิด</x:v>
      </x:c>
      <x:c r="E29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4" s="20" t="str">
        <x:v>แหล่งข้อมูลระบุว่ามี</x:v>
      </x:c>
      <x:c r="G294" s="20" t="str">
        <x:v>ยังไม่พบเอกสารรับรองและวันหมดอายุ</x:v>
      </x:c>
      <x:c r="H294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4" s="20" t="str">
        <x:v>9/2 หมู่ 1 ถนนเลียบคลอง 13 แขวงหนองจอก เขตหนองจอก กรุงเทพมหานคร 10530</x:v>
      </x:c>
      <x:c r="J294" s="21" t="str">
        <x:v>0 2989 9225</x:v>
      </x:c>
      <x:c r="K294" s="23" t="e">
        <x:f>HYPERLINK("https://www.thic.or.th/th/tourist/detail/mosques/444","เปิดแหล่งข้อมูล 1")</x:f>
        <x:v>HYPERLINK is not implemented. linkLocation=https://www.thic.or.th/th/tourist/detail/mosques/444, friendlyName=เปิดแหล่งข้อมูล 1</x:v>
      </x:c>
      <x:c r="L294" s="23" t="e">
        <x:f>HYPERLINK("https://masjid.islamicbangkok.or.th/masjid/id/23403","เปิดแหล่งข้อมูล 2")</x:f>
        <x:v>HYPERLINK is not implemented. linkLocation=https://masjid.islamicbangkok.or.th/masjid/id/23403, friendlyName=เปิดแหล่งข้อมูล 2</x:v>
      </x:c>
      <x:c r="M294" s="20" t="str">
        <x:v>ผลค้นหาชื่อสัมพันธ์จากแหล่งเพิ่มเติม ต้องยืนยันสาขาและข้อมูลปัจจุบัน</x:v>
      </x:c>
      <x:c r="N294" s="10" t="n">
        <x:v>46315</x:v>
      </x:c>
      <x:c r="O294" s="22" t="str">
        <x:v>ยังไม่ตรวจ</x:v>
      </x:c>
      <x:c r="P294" s="22" t="str">
        <x:v>ยังไม่ติดต่อ</x:v>
      </x:c>
    </x:row>
    <x:row r="295" ht="66" customHeight="1">
      <x:c r="A295" s="9" t="n">
        <x:v>287</x:v>
      </x:c>
      <x:c r="B295" s="20" t="str">
        <x:v>มัสยิดนูรุสสะลาม กุโบร์โต๊ะเยาะห์</x:v>
      </x:c>
      <x:c r="C295" s="20" t="str">
        <x:v>กรุงเทพมหานคร</x:v>
      </x:c>
      <x:c r="D295" s="20" t="str">
        <x:v>มัสยิด</x:v>
      </x:c>
      <x:c r="E29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5" s="20" t="str">
        <x:v>แหล่งข้อมูลระบุว่ามี</x:v>
      </x:c>
      <x:c r="G295" s="20" t="str">
        <x:v>ยังไม่พบเอกสารรับรองและวันหมดอายุ</x:v>
      </x:c>
      <x:c r="H295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5" s="20" t="str">
        <x:v>19/12 หมู่ 1 แขวงโคกแฝด เขตหนองจอก กรุงเทพมหานคร 10530</x:v>
      </x:c>
      <x:c r="J295" s="21" t="str">
        <x:v>ยังไม่พบข้อมูล</x:v>
      </x:c>
      <x:c r="K295" s="23" t="e">
        <x:f>HYPERLINK("https://www.thic.or.th/th/tourist/detail/mosques/304","เปิดแหล่งข้อมูล 1")</x:f>
        <x:v>HYPERLINK is not implemented. linkLocation=https://www.thic.or.th/th/tourist/detail/mosques/304, friendlyName=เปิดแหล่งข้อมูล 1</x:v>
      </x:c>
      <x:c r="L295" s="23" t="e">
        <x:f>HYPERLINK("https://masjid.islamicbangkok.or.th/masjid/id/78441","เปิดแหล่งข้อมูล 2")</x:f>
        <x:v>HYPERLINK is not implemented. linkLocation=https://masjid.islamicbangkok.or.th/masjid/id/78441, friendlyName=เปิดแหล่งข้อมูล 2</x:v>
      </x:c>
      <x:c r="M295" s="20" t="str">
        <x:v>ผลค้นหาชื่อสัมพันธ์จากแหล่งเพิ่มเติม ต้องยืนยันสาขาและข้อมูลปัจจุบัน</x:v>
      </x:c>
      <x:c r="N295" s="10" t="n">
        <x:v>46315</x:v>
      </x:c>
      <x:c r="O295" s="22" t="str">
        <x:v>ยังไม่ตรวจ</x:v>
      </x:c>
      <x:c r="P295" s="22" t="str">
        <x:v>ยังไม่ติดต่อ</x:v>
      </x:c>
    </x:row>
    <x:row r="296" ht="66" customHeight="1">
      <x:c r="A296" s="9" t="n">
        <x:v>288</x:v>
      </x:c>
      <x:c r="B296" s="20" t="str">
        <x:v>มัสยิดนูรุ้ลอิสลาม (วังใหญ่)</x:v>
      </x:c>
      <x:c r="C296" s="20" t="str">
        <x:v>กรุงเทพมหานคร</x:v>
      </x:c>
      <x:c r="D296" s="20" t="str">
        <x:v>มัสยิด</x:v>
      </x:c>
      <x:c r="E29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6" s="20" t="str">
        <x:v>แหล่งข้อมูลระบุว่ามี</x:v>
      </x:c>
      <x:c r="G296" s="20" t="str">
        <x:v>ยังไม่พบเอกสารรับรองและวันหมดอายุ</x:v>
      </x:c>
      <x:c r="H296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6" s="20" t="str">
        <x:v>50 ซอยกรีฑา15 แยก 4 ถนนกรีฑา 10240 แขวงหัวหมาก เขตบางกะปิ กรุงเทพมหานคร 10240</x:v>
      </x:c>
      <x:c r="J296" s="21" t="str">
        <x:v>08 1812 1869</x:v>
      </x:c>
      <x:c r="K296" s="23" t="e">
        <x:f>HYPERLINK("https://www.thic.or.th/th/tourist/detail/mosques/469","เปิดแหล่งข้อมูล 1")</x:f>
        <x:v>HYPERLINK is not implemented. linkLocation=https://www.thic.or.th/th/tourist/detail/mosques/469, friendlyName=เปิดแหล่งข้อมูล 1</x:v>
      </x:c>
      <x:c r="L296" s="23" t="e">
        <x:f>HYPERLINK("https://masjid.islamicbangkok.or.th/masjid/id/99049","เปิดแหล่งข้อมูล 2")</x:f>
        <x:v>HYPERLINK is not implemented. linkLocation=https://masjid.islamicbangkok.or.th/masjid/id/99049, friendlyName=เปิดแหล่งข้อมูล 2</x:v>
      </x:c>
      <x:c r="M296" s="20" t="str">
        <x:v>ผลค้นหาชื่อสัมพันธ์จากแหล่งเพิ่มเติม ต้องยืนยันสาขาและข้อมูลปัจจุบัน</x:v>
      </x:c>
      <x:c r="N296" s="10" t="n">
        <x:v>46315</x:v>
      </x:c>
      <x:c r="O296" s="22" t="str">
        <x:v>ยังไม่ตรวจ</x:v>
      </x:c>
      <x:c r="P296" s="22" t="str">
        <x:v>ยังไม่ติดต่อ</x:v>
      </x:c>
    </x:row>
    <x:row r="297" ht="66" customHeight="1">
      <x:c r="A297" s="9" t="n">
        <x:v>289</x:v>
      </x:c>
      <x:c r="B297" s="20" t="str">
        <x:v>มัสยิดนูรุ้ลฮูดา (คลองสองต้นนุ่น)</x:v>
      </x:c>
      <x:c r="C297" s="20" t="str">
        <x:v>กรุงเทพมหานคร</x:v>
      </x:c>
      <x:c r="D297" s="20" t="str">
        <x:v>มัสยิด</x:v>
      </x:c>
      <x:c r="E29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7" s="20" t="str">
        <x:v>แหล่งข้อมูลระบุว่ามี</x:v>
      </x:c>
      <x:c r="G297" s="20" t="str">
        <x:v>ยังไม่พบเอกสารรับรองและวันหมดอายุ</x:v>
      </x:c>
      <x:c r="H297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7" s="20" t="str">
        <x:v>หมู่ 5 ซอยร่มเกล้า 14 ถนนร่มเกล้า แขวงมีนบุรี เขตมีนบุรี กรุงเทพมหานคร 10510</x:v>
      </x:c>
      <x:c r="J297" s="21" t="str">
        <x:v>0 2517 5617</x:v>
      </x:c>
      <x:c r="K297" s="23" t="e">
        <x:f>HYPERLINK("https://www.thic.or.th/th/tourist/detail/mosques/478","เปิดแหล่งข้อมูล 1")</x:f>
        <x:v>HYPERLINK is not implemented. linkLocation=https://www.thic.or.th/th/tourist/detail/mosques/478, friendlyName=เปิดแหล่งข้อมูล 1</x:v>
      </x:c>
      <x:c r="L297" s="23" t="e">
        <x:f>HYPERLINK("https://masjid.islamicbangkok.or.th/masjid/id/20210","เปิดแหล่งข้อมูล 2")</x:f>
        <x:v>HYPERLINK is not implemented. linkLocation=https://masjid.islamicbangkok.or.th/masjid/id/20210, friendlyName=เปิดแหล่งข้อมูล 2</x:v>
      </x:c>
      <x:c r="M297" s="20" t="str">
        <x:v>ผลค้นหาชื่อสัมพันธ์จากแหล่งเพิ่มเติม ต้องยืนยันสาขาและข้อมูลปัจจุบัน</x:v>
      </x:c>
      <x:c r="N297" s="10" t="n">
        <x:v>46315</x:v>
      </x:c>
      <x:c r="O297" s="22" t="str">
        <x:v>ยังไม่ตรวจ</x:v>
      </x:c>
      <x:c r="P297" s="22" t="str">
        <x:v>ยังไม่ติดต่อ</x:v>
      </x:c>
    </x:row>
    <x:row r="298" ht="66" customHeight="1">
      <x:c r="A298" s="9" t="n">
        <x:v>290</x:v>
      </x:c>
      <x:c r="B298" s="20" t="str">
        <x:v>มัสยิดนูรุ้ลเอี๊ยะห์ซาน (ลำตาจีน)</x:v>
      </x:c>
      <x:c r="C298" s="20" t="str">
        <x:v>กรุงเทพมหานคร</x:v>
      </x:c>
      <x:c r="D298" s="20" t="str">
        <x:v>มัสยิด</x:v>
      </x:c>
      <x:c r="E29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8" s="20" t="str">
        <x:v>แหล่งข้อมูลระบุว่ามี</x:v>
      </x:c>
      <x:c r="G298" s="20" t="str">
        <x:v>ยังไม่พบเอกสารรับรองและวันหมดอายุ</x:v>
      </x:c>
      <x:c r="H298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8" s="20" t="str">
        <x:v>29 หมู่7 ซอยลำไทร ถนนเชื่อมสัมพันธ์ แขวงโคกแฝด เขตหนองจอก กรุงเทพมหานคร 10530</x:v>
      </x:c>
      <x:c r="J298" s="21" t="str">
        <x:v>0 2988 0793</x:v>
      </x:c>
      <x:c r="K298" s="23" t="e">
        <x:f>HYPERLINK("https://www.thic.or.th/th/tourist/detail/mosques/426","เปิดแหล่งข้อมูล 1")</x:f>
        <x:v>HYPERLINK is not implemented. linkLocation=https://www.thic.or.th/th/tourist/detail/mosques/426, friendlyName=เปิดแหล่งข้อมูล 1</x:v>
      </x:c>
      <x:c r="L298" s="23" t="e">
        <x:f>HYPERLINK("https://masjid.islamicbangkok.or.th/masjid/id/14152","เปิดแหล่งข้อมูล 2")</x:f>
        <x:v>HYPERLINK is not implemented. linkLocation=https://masjid.islamicbangkok.or.th/masjid/id/14152, friendlyName=เปิดแหล่งข้อมูล 2</x:v>
      </x:c>
      <x:c r="M298" s="20" t="str">
        <x:v>ผลค้นหาชื่อสัมพันธ์จากแหล่งเพิ่มเติม ต้องยืนยันสาขาและข้อมูลปัจจุบัน</x:v>
      </x:c>
      <x:c r="N298" s="10" t="n">
        <x:v>46315</x:v>
      </x:c>
      <x:c r="O298" s="22" t="str">
        <x:v>ยังไม่ตรวจ</x:v>
      </x:c>
      <x:c r="P298" s="22" t="str">
        <x:v>ยังไม่ติดต่อ</x:v>
      </x:c>
    </x:row>
    <x:row r="299" ht="66" customHeight="1">
      <x:c r="A299" s="9" t="n">
        <x:v>291</x:v>
      </x:c>
      <x:c r="B299" s="20" t="str">
        <x:v>มัสยิดบางอ้อ</x:v>
      </x:c>
      <x:c r="C299" s="20" t="str">
        <x:v>กรุงเทพมหานคร</x:v>
      </x:c>
      <x:c r="D299" s="20" t="str">
        <x:v>มัสยิด</x:v>
      </x:c>
      <x:c r="E29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299" s="20" t="str">
        <x:v>แหล่งข้อมูลระบุว่ามี</x:v>
      </x:c>
      <x:c r="G299" s="20" t="str">
        <x:v>ยังไม่พบเอกสารรับรองและวันหมดอายุ</x:v>
      </x:c>
      <x:c r="H299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299" s="20" t="str">
        <x:v>143 ซอยจรัญสนิทวงศ์ 86 แขวงบางอ้อ เขตบางพลัด กรุงเทพมหานคร 10700</x:v>
      </x:c>
      <x:c r="J299" s="21" t="str">
        <x:v>0-2423-0480</x:v>
      </x:c>
      <x:c r="K299" s="23" t="e">
        <x:f>HYPERLINK("https://www.thic.or.th/th/tourist/detail/mosques/44","เปิดแหล่งข้อมูล 1")</x:f>
        <x:v>HYPERLINK is not implemented. linkLocation=https://www.thic.or.th/th/tourist/detail/mosques/44, friendlyName=เปิดแหล่งข้อมูล 1</x:v>
      </x:c>
      <x:c r="L299" s="23" t="e">
        <x:f>HYPERLINK("https://www.wongnai.com/attractions/482482lM","เปิดแหล่งข้อมูล 2")</x:f>
        <x:v>HYPERLINK is not implemented. linkLocation=https://www.wongnai.com/attractions/482482lM, friendlyName=เปิดแหล่งข้อมูล 2</x:v>
      </x:c>
      <x:c r="M299" s="20" t="str">
        <x:v>ผลค้นหาชื่อสัมพันธ์จากแหล่งเพิ่มเติม ต้องยืนยันสาขาและข้อมูลปัจจุบัน</x:v>
      </x:c>
      <x:c r="N299" s="10" t="n">
        <x:v>46315</x:v>
      </x:c>
      <x:c r="O299" s="22" t="str">
        <x:v>ยังไม่ตรวจ</x:v>
      </x:c>
      <x:c r="P299" s="22" t="str">
        <x:v>ยังไม่ติดต่อ</x:v>
      </x:c>
    </x:row>
    <x:row r="300" ht="66" customHeight="1">
      <x:c r="A300" s="9" t="n">
        <x:v>292</x:v>
      </x:c>
      <x:c r="B300" s="20" t="str">
        <x:v>มัสยิดยะมีอุ้ลมุตตะกีน (ลำหินใต้)</x:v>
      </x:c>
      <x:c r="C300" s="20" t="str">
        <x:v>กรุงเทพมหานคร</x:v>
      </x:c>
      <x:c r="D300" s="20" t="str">
        <x:v>มัสยิด</x:v>
      </x:c>
      <x:c r="E30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0" s="20" t="str">
        <x:v>แหล่งข้อมูลระบุว่ามี</x:v>
      </x:c>
      <x:c r="G300" s="20" t="str">
        <x:v>ยังไม่พบเอกสารรับรองและวันหมดอายุ</x:v>
      </x:c>
      <x:c r="H300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0" s="20" t="str">
        <x:v>23 หมู่ 10 ซอยเลียบคลองลำต้นไทร แขวงโคกแฝด เขตหนองจอก กรุงเทพมหานคร 10530</x:v>
      </x:c>
      <x:c r="J300" s="21" t="str">
        <x:v>0 2989 8327</x:v>
      </x:c>
      <x:c r="K300" s="23" t="e">
        <x:f>HYPERLINK("https://www.thic.or.th/th/tourist/detail/mosques/420","เปิดแหล่งข้อมูล 1")</x:f>
        <x:v>HYPERLINK is not implemented. linkLocation=https://www.thic.or.th/th/tourist/detail/mosques/420, friendlyName=เปิดแหล่งข้อมูล 1</x:v>
      </x:c>
      <x:c r="L300" s="23" t="e">
        <x:f>HYPERLINK("https://masjid.islamicbangkok.or.th/masjid/id/95463","เปิดแหล่งข้อมูล 2")</x:f>
        <x:v>HYPERLINK is not implemented. linkLocation=https://masjid.islamicbangkok.or.th/masjid/id/95463, friendlyName=เปิดแหล่งข้อมูล 2</x:v>
      </x:c>
      <x:c r="M300" s="20" t="str">
        <x:v>ผลค้นหาชื่อสัมพันธ์จากแหล่งเพิ่มเติม ต้องยืนยันสาขาและข้อมูลปัจจุบัน</x:v>
      </x:c>
      <x:c r="N300" s="10" t="n">
        <x:v>46315</x:v>
      </x:c>
      <x:c r="O300" s="22" t="str">
        <x:v>ยังไม่ตรวจ</x:v>
      </x:c>
      <x:c r="P300" s="22" t="str">
        <x:v>ยังไม่ติดต่อ</x:v>
      </x:c>
    </x:row>
    <x:row r="301" ht="66" customHeight="1">
      <x:c r="A301" s="9" t="n">
        <x:v>293</x:v>
      </x:c>
      <x:c r="B301" s="20" t="str">
        <x:v>มัสยิดยำอุลอิควาน (ลำมดตะนอย)</x:v>
      </x:c>
      <x:c r="C301" s="20" t="str">
        <x:v>กรุงเทพมหานคร</x:v>
      </x:c>
      <x:c r="D301" s="20" t="str">
        <x:v>มัสยิด</x:v>
      </x:c>
      <x:c r="E30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1" s="20" t="str">
        <x:v>แหล่งข้อมูลระบุว่ามี</x:v>
      </x:c>
      <x:c r="G301" s="20" t="str">
        <x:v>ยังไม่พบเอกสารรับรองและวันหมดอายุ</x:v>
      </x:c>
      <x:c r="H301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1" s="20" t="str">
        <x:v>29/2 หมู่ 6 ซอยร่วมพัฒนา ถนนสุวิทวงศ์ แขวงลำต้อยติ่ง เขตหนองจอก กรุงเทพมหานคร 10530</x:v>
      </x:c>
      <x:c r="J301" s="21" t="str">
        <x:v>0 2988 7207</x:v>
      </x:c>
      <x:c r="K301" s="23" t="e">
        <x:f>HYPERLINK("https://www.thic.or.th/th/tourist/detail/mosques/450","เปิดแหล่งข้อมูล 1")</x:f>
        <x:v>HYPERLINK is not implemented. linkLocation=https://www.thic.or.th/th/tourist/detail/mosques/450, friendlyName=เปิดแหล่งข้อมูล 1</x:v>
      </x:c>
      <x:c r="L301" s="23" t="e">
        <x:f>HYPERLINK("https://masjid.islamicbangkok.or.th/masjid/id/27615","เปิดแหล่งข้อมูล 2")</x:f>
        <x:v>HYPERLINK is not implemented. linkLocation=https://masjid.islamicbangkok.or.th/masjid/id/27615, friendlyName=เปิดแหล่งข้อมูล 2</x:v>
      </x:c>
      <x:c r="M301" s="20" t="str">
        <x:v>ผลค้นหาชื่อสัมพันธ์จากแหล่งเพิ่มเติม ต้องยืนยันสาขาและข้อมูลปัจจุบัน</x:v>
      </x:c>
      <x:c r="N301" s="10" t="n">
        <x:v>46315</x:v>
      </x:c>
      <x:c r="O301" s="22" t="str">
        <x:v>ยังไม่ตรวจ</x:v>
      </x:c>
      <x:c r="P301" s="22" t="str">
        <x:v>ยังไม่ติดต่อ</x:v>
      </x:c>
    </x:row>
    <x:row r="302" ht="66" customHeight="1">
      <x:c r="A302" s="9" t="n">
        <x:v>294</x:v>
      </x:c>
      <x:c r="B302" s="20" t="str">
        <x:v>มัสยิดสุวรรณภูมิ</x:v>
      </x:c>
      <x:c r="C302" s="20" t="str">
        <x:v>กรุงเทพมหานคร</x:v>
      </x:c>
      <x:c r="D302" s="20" t="str">
        <x:v>มัสยิด</x:v>
      </x:c>
      <x:c r="E30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2" s="20" t="str">
        <x:v>แหล่งข้อมูลระบุว่ามี</x:v>
      </x:c>
      <x:c r="G302" s="20" t="str">
        <x:v>ยังไม่พบเอกสารรับรองและวันหมดอายุ</x:v>
      </x:c>
      <x:c r="H302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2" s="20" t="str">
        <x:v>447 ซอยเจริญนคร 7 ถนนเจริญนคร แขวงคลองต้นไทร เขตคลองสาน กรุงเทพมหานคร 10600</x:v>
      </x:c>
      <x:c r="J302" s="21" t="str">
        <x:v>0 2861 2797</x:v>
      </x:c>
      <x:c r="K302" s="23" t="e">
        <x:f>HYPERLINK("https://www.thic.or.th/th/tourist/detail/mosques/508","เปิดแหล่งข้อมูล 1")</x:f>
        <x:v>HYPERLINK is not implemented. linkLocation=https://www.thic.or.th/th/tourist/detail/mosques/508, friendlyName=เปิดแหล่งข้อมูล 1</x:v>
      </x:c>
      <x:c r="L302" s="23" t="e">
        <x:f>HYPERLINK("https://masjid.islamicbangkok.or.th/masjid/id/23672","เปิดแหล่งข้อมูล 2")</x:f>
        <x:v>HYPERLINK is not implemented. linkLocation=https://masjid.islamicbangkok.or.th/masjid/id/23672, friendlyName=เปิดแหล่งข้อมูล 2</x:v>
      </x:c>
      <x:c r="M302" s="20" t="str">
        <x:v>ผลค้นหาชื่อสัมพันธ์จากแหล่งเพิ่มเติม ต้องยืนยันสาขาและข้อมูลปัจจุบัน</x:v>
      </x:c>
      <x:c r="N302" s="10" t="n">
        <x:v>46315</x:v>
      </x:c>
      <x:c r="O302" s="22" t="str">
        <x:v>ยังไม่ตรวจ</x:v>
      </x:c>
      <x:c r="P302" s="22" t="str">
        <x:v>ยังไม่ติดต่อ</x:v>
      </x:c>
    </x:row>
    <x:row r="303" ht="66" customHeight="1">
      <x:c r="A303" s="9" t="n">
        <x:v>295</x:v>
      </x:c>
      <x:c r="B303" s="20" t="str">
        <x:v>มัสยิดอมันนฤมิต (สาธุประดิษฐ์)</x:v>
      </x:c>
      <x:c r="C303" s="20" t="str">
        <x:v>กรุงเทพมหานคร</x:v>
      </x:c>
      <x:c r="D303" s="20" t="str">
        <x:v>มัสยิด</x:v>
      </x:c>
      <x:c r="E30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3" s="20" t="str">
        <x:v>แหล่งข้อมูลระบุว่ามี</x:v>
      </x:c>
      <x:c r="G303" s="20" t="str">
        <x:v>ยังไม่พบเอกสารรับรองและวันหมดอายุ</x:v>
      </x:c>
      <x:c r="H303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3" s="20" t="str">
        <x:v>1264 ซอยวัดไผ่เงิน ถนนจันทน์ แขวงบางโคล่ เขตบางคอแหลม กรุงเทพมหานคร 10120</x:v>
      </x:c>
      <x:c r="J303" s="21" t="str">
        <x:v>0 2212 4247</x:v>
      </x:c>
      <x:c r="K303" s="23" t="e">
        <x:f>HYPERLINK("https://www.thic.or.th/th/tourist/detail/mosques/520","เปิดแหล่งข้อมูล 1")</x:f>
        <x:v>HYPERLINK is not implemented. linkLocation=https://www.thic.or.th/th/tourist/detail/mosques/520, friendlyName=เปิดแหล่งข้อมูล 1</x:v>
      </x:c>
      <x:c r="L303" s="23" t="e">
        <x:f>HYPERLINK("https://masjid.islamicbangkok.or.th/masjid/id/27374","เปิดแหล่งข้อมูล 2")</x:f>
        <x:v>HYPERLINK is not implemented. linkLocation=https://masjid.islamicbangkok.or.th/masjid/id/27374, friendlyName=เปิดแหล่งข้อมูล 2</x:v>
      </x:c>
      <x:c r="M303" s="20" t="str">
        <x:v>ผลค้นหาชื่อสัมพันธ์จากแหล่งเพิ่มเติม ต้องยืนยันสาขาและข้อมูลปัจจุบัน</x:v>
      </x:c>
      <x:c r="N303" s="10" t="n">
        <x:v>46315</x:v>
      </x:c>
      <x:c r="O303" s="22" t="str">
        <x:v>ยังไม่ตรวจ</x:v>
      </x:c>
      <x:c r="P303" s="22" t="str">
        <x:v>ยังไม่ติดต่อ</x:v>
      </x:c>
    </x:row>
    <x:row r="304" ht="66" customHeight="1">
      <x:c r="A304" s="9" t="n">
        <x:v>296</x:v>
      </x:c>
      <x:c r="B304" s="20" t="str">
        <x:v>มัสยิดอันนูรอยน์ (บึงขวาง)</x:v>
      </x:c>
      <x:c r="C304" s="20" t="str">
        <x:v>กรุงเทพมหานคร</x:v>
      </x:c>
      <x:c r="D304" s="20" t="str">
        <x:v>มัสยิด</x:v>
      </x:c>
      <x:c r="E30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4" s="20" t="str">
        <x:v>แหล่งข้อมูลระบุว่ามี</x:v>
      </x:c>
      <x:c r="G304" s="20" t="str">
        <x:v>ยังไม่พบเอกสารรับรองและวันหมดอายุ</x:v>
      </x:c>
      <x:c r="H304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4" s="20" t="str">
        <x:v>22/3 หมู่ที่ 4 ถนนบึงขวาง แขวงแสนแสบ เขตมีนบุรี กรุงเทพมหานคร 10510</x:v>
      </x:c>
      <x:c r="J304" s="21" t="str">
        <x:v>08 9137 0903</x:v>
      </x:c>
      <x:c r="K304" s="23" t="e">
        <x:f>HYPERLINK("https://www.thic.or.th/th/tourist/detail/mosques/481","เปิดแหล่งข้อมูล 1")</x:f>
        <x:v>HYPERLINK is not implemented. linkLocation=https://www.thic.or.th/th/tourist/detail/mosques/481, friendlyName=เปิดแหล่งข้อมูล 1</x:v>
      </x:c>
      <x:c r="L304" s="23" t="e">
        <x:f>HYPERLINK("https://th.trip.com/travel-guide/attraction/bangkok/an-nurayn-mosque-141399981","เปิดแหล่งข้อมูล 2")</x:f>
        <x:v>HYPERLINK is not implemented. linkLocation=https://th.trip.com/travel-guide/attraction/bangkok/an-nurayn-mosque-141399981, friendlyName=เปิดแหล่งข้อมูล 2</x:v>
      </x:c>
      <x:c r="M304" s="20" t="str">
        <x:v>ผลค้นหาชื่อสัมพันธ์จากแหล่งเพิ่มเติม ต้องยืนยันสาขาและข้อมูลปัจจุบัน</x:v>
      </x:c>
      <x:c r="N304" s="10" t="n">
        <x:v>46315</x:v>
      </x:c>
      <x:c r="O304" s="22" t="str">
        <x:v>ยังไม่ตรวจ</x:v>
      </x:c>
      <x:c r="P304" s="22" t="str">
        <x:v>ยังไม่ติดต่อ</x:v>
      </x:c>
    </x:row>
    <x:row r="305" ht="66" customHeight="1">
      <x:c r="A305" s="9" t="n">
        <x:v>297</x:v>
      </x:c>
      <x:c r="B305" s="20" t="str">
        <x:v>มัสยิดอัลมาดานี (มัซกัร)</x:v>
      </x:c>
      <x:c r="C305" s="20" t="str">
        <x:v>กรุงเทพมหานคร</x:v>
      </x:c>
      <x:c r="D305" s="20" t="str">
        <x:v>มัสยิด</x:v>
      </x:c>
      <x:c r="E30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5" s="20" t="str">
        <x:v>แหล่งข้อมูลระบุว่ามี</x:v>
      </x:c>
      <x:c r="G305" s="20" t="str">
        <x:v>ยังไม่พบเอกสารรับรองและวันหมดอายุ</x:v>
      </x:c>
      <x:c r="H305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5" s="20" t="str">
        <x:v>2/1 หมู่ที่ 8 ถนนราษฎร์อุทิศ แขวงแสนแสบ เขตมีนบุรี กรุงเทพมหานคร 10510</x:v>
      </x:c>
      <x:c r="J305" s="21" t="str">
        <x:v>08 5080 9496</x:v>
      </x:c>
      <x:c r="K305" s="23" t="e">
        <x:f>HYPERLINK("https://www.thic.or.th/th/tourist/detail/mosques/483","เปิดแหล่งข้อมูล 1")</x:f>
        <x:v>HYPERLINK is not implemented. linkLocation=https://www.thic.or.th/th/tourist/detail/mosques/483, friendlyName=เปิดแหล่งข้อมูล 1</x:v>
      </x:c>
      <x:c r="L305" s="23" t="e">
        <x:f>HYPERLINK("https://masjid.islamicbangkok.or.th/masjid/id/28103","เปิดแหล่งข้อมูล 2")</x:f>
        <x:v>HYPERLINK is not implemented. linkLocation=https://masjid.islamicbangkok.or.th/masjid/id/28103, friendlyName=เปิดแหล่งข้อมูล 2</x:v>
      </x:c>
      <x:c r="M305" s="20" t="str">
        <x:v>ผลค้นหาชื่อสัมพันธ์จากแหล่งเพิ่มเติม ต้องยืนยันสาขาและข้อมูลปัจจุบัน</x:v>
      </x:c>
      <x:c r="N305" s="10" t="n">
        <x:v>46315</x:v>
      </x:c>
      <x:c r="O305" s="22" t="str">
        <x:v>ยังไม่ตรวจ</x:v>
      </x:c>
      <x:c r="P305" s="22" t="str">
        <x:v>ยังไม่ติดต่อ</x:v>
      </x:c>
    </x:row>
    <x:row r="306" ht="66" customHeight="1">
      <x:c r="A306" s="9" t="n">
        <x:v>298</x:v>
      </x:c>
      <x:c r="B306" s="20" t="str">
        <x:v>มัสยิดอัลยามิอะห์ (ลำอีรั้ว)</x:v>
      </x:c>
      <x:c r="C306" s="20" t="str">
        <x:v>กรุงเทพมหานคร</x:v>
      </x:c>
      <x:c r="D306" s="20" t="str">
        <x:v>มัสยิด</x:v>
      </x:c>
      <x:c r="E30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6" s="20" t="str">
        <x:v>แหล่งข้อมูลระบุว่ามี</x:v>
      </x:c>
      <x:c r="G306" s="20" t="str">
        <x:v>ยังไม่พบเอกสารรับรองและวันหมดอายุ</x:v>
      </x:c>
      <x:c r="H306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6" s="20" t="str">
        <x:v>52 หมู่ 7 ซอยเชื่อมสัมพันธ์22 แขวงโคกแฝด เขตหนองจอก กรุงเทพมหานคร 10530</x:v>
      </x:c>
      <x:c r="J306" s="21" t="str">
        <x:v>0 2988 0937</x:v>
      </x:c>
      <x:c r="K306" s="23" t="e">
        <x:f>HYPERLINK("https://www.thic.or.th/th/tourist/detail/mosques/440","เปิดแหล่งข้อมูล 1")</x:f>
        <x:v>HYPERLINK is not implemented. linkLocation=https://www.thic.or.th/th/tourist/detail/mosques/440, friendlyName=เปิดแหล่งข้อมูล 1</x:v>
      </x:c>
      <x:c r="L306" s="23" t="e">
        <x:f>HYPERLINK("https://masjid.islamicbangkok.or.th/masjid/id/10162","เปิดแหล่งข้อมูล 2")</x:f>
        <x:v>HYPERLINK is not implemented. linkLocation=https://masjid.islamicbangkok.or.th/masjid/id/10162, friendlyName=เปิดแหล่งข้อมูล 2</x:v>
      </x:c>
      <x:c r="M306" s="20" t="str">
        <x:v>ผลค้นหาชื่อสัมพันธ์จากแหล่งเพิ่มเติม ต้องยืนยันสาขาและข้อมูลปัจจุบัน</x:v>
      </x:c>
      <x:c r="N306" s="10" t="n">
        <x:v>46315</x:v>
      </x:c>
      <x:c r="O306" s="22" t="str">
        <x:v>ยังไม่ตรวจ</x:v>
      </x:c>
      <x:c r="P306" s="22" t="str">
        <x:v>ยังไม่ติดต่อ</x:v>
      </x:c>
    </x:row>
    <x:row r="307" ht="66" customHeight="1">
      <x:c r="A307" s="9" t="n">
        <x:v>299</x:v>
      </x:c>
      <x:c r="B307" s="20" t="str">
        <x:v>มัสยิดอัลอะติ๊ก (สุเหร่าเก่า)</x:v>
      </x:c>
      <x:c r="C307" s="20" t="str">
        <x:v>กรุงเทพมหานคร</x:v>
      </x:c>
      <x:c r="D307" s="20" t="str">
        <x:v>มัสยิด</x:v>
      </x:c>
      <x:c r="E30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7" s="20" t="str">
        <x:v>แหล่งข้อมูลระบุว่ามี</x:v>
      </x:c>
      <x:c r="G307" s="20" t="str">
        <x:v>ยังไม่พบเอกสารรับรองและวันหมดอายุ</x:v>
      </x:c>
      <x:c r="H307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7" s="20" t="str">
        <x:v>454 ถนนเจริญกรุง แขวงวัดพระยาไกร เขตบางคอแหลม กรุงเทพมหานคร 10120</x:v>
      </x:c>
      <x:c r="J307" s="21" t="str">
        <x:v>0 2688 2229</x:v>
      </x:c>
      <x:c r="K307" s="23" t="e">
        <x:f>HYPERLINK("https://www.thic.or.th/th/tourist/detail/mosques/524","เปิดแหล่งข้อมูล 1")</x:f>
        <x:v>HYPERLINK is not implemented. linkLocation=https://www.thic.or.th/th/tourist/detail/mosques/524, friendlyName=เปิดแหล่งข้อมูล 1</x:v>
      </x:c>
      <x:c r="L307" s="23" t="e">
        <x:f>HYPERLINK("https://masjid.islamicbangkok.or.th/masjid/id/31008","เปิดแหล่งข้อมูล 2")</x:f>
        <x:v>HYPERLINK is not implemented. linkLocation=https://masjid.islamicbangkok.or.th/masjid/id/31008, friendlyName=เปิดแหล่งข้อมูล 2</x:v>
      </x:c>
      <x:c r="M307" s="20" t="str">
        <x:v>ผลค้นหาชื่อสัมพันธ์จากแหล่งเพิ่มเติม ต้องยืนยันสาขาและข้อมูลปัจจุบัน</x:v>
      </x:c>
      <x:c r="N307" s="10" t="n">
        <x:v>46315</x:v>
      </x:c>
      <x:c r="O307" s="22" t="str">
        <x:v>ยังไม่ตรวจ</x:v>
      </x:c>
      <x:c r="P307" s="22" t="str">
        <x:v>ยังไม่ติดต่อ</x:v>
      </x:c>
    </x:row>
    <x:row r="308" ht="66" customHeight="1">
      <x:c r="A308" s="9" t="n">
        <x:v>300</x:v>
      </x:c>
      <x:c r="B308" s="20" t="str">
        <x:v>มัสยิดอัลฮุดา</x:v>
      </x:c>
      <x:c r="C308" s="20" t="str">
        <x:v>กรุงเทพมหานคร</x:v>
      </x:c>
      <x:c r="D308" s="20" t="str">
        <x:v>มัสยิด</x:v>
      </x:c>
      <x:c r="E30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8" s="20" t="str">
        <x:v>แหล่งข้อมูลระบุว่ามี</x:v>
      </x:c>
      <x:c r="G308" s="20" t="str">
        <x:v>ยังไม่พบเอกสารรับรองและวันหมดอายุ</x:v>
      </x:c>
      <x:c r="H308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8" s="20" t="str">
        <x:v>30/2 ถ. มิตรไมตรี แขวงหนองจอก เขตหนองจอก กรุงเทพมหานคร 10530</x:v>
      </x:c>
      <x:c r="J308" s="21" t="str">
        <x:v>ยังไม่พบข้อมูล</x:v>
      </x:c>
      <x:c r="K308" s="23" t="e">
        <x:f>HYPERLINK("https://www.thic.or.th/th/tourist/detail/mosques/313","เปิดแหล่งข้อมูล 1")</x:f>
        <x:v>HYPERLINK is not implemented. linkLocation=https://www.thic.or.th/th/tourist/detail/mosques/313, friendlyName=เปิดแหล่งข้อมูล 1</x:v>
      </x:c>
      <x:c r="L308" s="23" t="e">
        <x:f>HYPERLINK("https://th.trip.com/travel-guide/attraction/bangkok/al-huda-mosque-144755946","เปิดแหล่งข้อมูล 2")</x:f>
        <x:v>HYPERLINK is not implemented. linkLocation=https://th.trip.com/travel-guide/attraction/bangkok/al-huda-mosque-144755946, friendlyName=เปิดแหล่งข้อมูล 2</x:v>
      </x:c>
      <x:c r="M308" s="20" t="str">
        <x:v>ผลค้นหาชื่อสัมพันธ์จากแหล่งเพิ่มเติม ต้องยืนยันสาขาและข้อมูลปัจจุบัน</x:v>
      </x:c>
      <x:c r="N308" s="10" t="n">
        <x:v>46315</x:v>
      </x:c>
      <x:c r="O308" s="22" t="str">
        <x:v>ยังไม่ตรวจ</x:v>
      </x:c>
      <x:c r="P308" s="22" t="str">
        <x:v>ยังไม่ติดต่อ</x:v>
      </x:c>
    </x:row>
    <x:row r="309" ht="66" customHeight="1">
      <x:c r="A309" s="9" t="n">
        <x:v>301</x:v>
      </x:c>
      <x:c r="B309" s="20" t="str">
        <x:v>มัสยิดอัลฮุสนา เจียรดับ</x:v>
      </x:c>
      <x:c r="C309" s="20" t="str">
        <x:v>กรุงเทพมหานคร</x:v>
      </x:c>
      <x:c r="D309" s="20" t="str">
        <x:v>มัสยิด</x:v>
      </x:c>
      <x:c r="E30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09" s="20" t="str">
        <x:v>แหล่งข้อมูลระบุว่ามี</x:v>
      </x:c>
      <x:c r="G309" s="20" t="str">
        <x:v>ยังไม่พบเอกสารรับรองและวันหมดอายุ</x:v>
      </x:c>
      <x:c r="H309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09" s="20" t="str">
        <x:v>35 ถ. มิตรไมตรี แขวงหนองจอก เขตหนองจอก กรุงเทพมหานคร 10530</x:v>
      </x:c>
      <x:c r="J309" s="21" t="str">
        <x:v>+6629886561</x:v>
      </x:c>
      <x:c r="K309" s="23" t="e">
        <x:f>HYPERLINK("https://www.thic.or.th/th/tourist/detail/mosques/316","เปิดแหล่งข้อมูล 1")</x:f>
        <x:v>HYPERLINK is not implemented. linkLocation=https://www.thic.or.th/th/tourist/detail/mosques/316, friendlyName=เปิดแหล่งข้อมูล 1</x:v>
      </x:c>
      <x:c r="L309" s="23" t="e">
        <x:f>HYPERLINK("https://au.trip.com/travel-guide/attraction/bangkok/masjid-al-husna-141315442?poiType=3","เปิดแหล่งข้อมูล 2")</x:f>
        <x:v>HYPERLINK is not implemented. linkLocation=https://au.trip.com/travel-guide/attraction/bangkok/masjid-al-husna-141315442?poiType=3, friendlyName=เปิดแหล่งข้อมูล 2</x:v>
      </x:c>
      <x:c r="M309" s="20" t="str">
        <x:v>ผลค้นหาชื่อสัมพันธ์จากแหล่งเพิ่มเติม ต้องยืนยันสาขาและข้อมูลปัจจุบัน</x:v>
      </x:c>
      <x:c r="N309" s="10" t="n">
        <x:v>46315</x:v>
      </x:c>
      <x:c r="O309" s="22" t="str">
        <x:v>ยังไม่ตรวจ</x:v>
      </x:c>
      <x:c r="P309" s="22" t="str">
        <x:v>ยังไม่ติดต่อ</x:v>
      </x:c>
    </x:row>
    <x:row r="310" ht="66" customHeight="1">
      <x:c r="A310" s="9" t="n">
        <x:v>302</x:v>
      </x:c>
      <x:c r="B310" s="20" t="str">
        <x:v>มัสยิดอัลเอียะซาน (ลำเจดีย์)</x:v>
      </x:c>
      <x:c r="C310" s="20" t="str">
        <x:v>กรุงเทพมหานคร</x:v>
      </x:c>
      <x:c r="D310" s="20" t="str">
        <x:v>มัสยิด</x:v>
      </x:c>
      <x:c r="E31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0" s="20" t="str">
        <x:v>แหล่งข้อมูลระบุว่ามี</x:v>
      </x:c>
      <x:c r="G310" s="20" t="str">
        <x:v>ยังไม่พบเอกสารรับรองและวันหมดอายุ</x:v>
      </x:c>
      <x:c r="H310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0" s="20" t="str">
        <x:v>5 ซอยโรงเรียนลำเจดีย์ ถนนคู้–คลองสิบ แขวงคู้ฝั่งเหนือ เขตหนองจอก กรุงเทพมหานคร 10530</x:v>
      </x:c>
      <x:c r="J310" s="21" t="str">
        <x:v>08 9442 6134</x:v>
      </x:c>
      <x:c r="K310" s="23" t="e">
        <x:f>HYPERLINK("https://www.thic.or.th/th/tourist/detail/mosques/451","เปิดแหล่งข้อมูล 1")</x:f>
        <x:v>HYPERLINK is not implemented. linkLocation=https://www.thic.or.th/th/tourist/detail/mosques/451, friendlyName=เปิดแหล่งข้อมูล 1</x:v>
      </x:c>
      <x:c r="L310" s="23" t="e">
        <x:f>HYPERLINK("https://masjid.islamicbangkok.or.th/masjid/id/75220","เปิดแหล่งข้อมูล 2")</x:f>
        <x:v>HYPERLINK is not implemented. linkLocation=https://masjid.islamicbangkok.or.th/masjid/id/75220, friendlyName=เปิดแหล่งข้อมูล 2</x:v>
      </x:c>
      <x:c r="M310" s="20" t="str">
        <x:v>ผลค้นหาชื่อสัมพันธ์จากแหล่งเพิ่มเติม ต้องยืนยันสาขาและข้อมูลปัจจุบัน</x:v>
      </x:c>
      <x:c r="N310" s="10" t="n">
        <x:v>46315</x:v>
      </x:c>
      <x:c r="O310" s="22" t="str">
        <x:v>ยังไม่ตรวจ</x:v>
      </x:c>
      <x:c r="P310" s="22" t="str">
        <x:v>ยังไม่ติดต่อ</x:v>
      </x:c>
    </x:row>
    <x:row r="311" ht="66" customHeight="1">
      <x:c r="A311" s="9" t="n">
        <x:v>303</x:v>
      </x:c>
      <x:c r="B311" s="20" t="str">
        <x:v>มัสยิดอัสสลาม (คลองกุ่ม)</x:v>
      </x:c>
      <x:c r="C311" s="20" t="str">
        <x:v>กรุงเทพมหานคร</x:v>
      </x:c>
      <x:c r="D311" s="20" t="str">
        <x:v>มัสยิด</x:v>
      </x:c>
      <x:c r="E31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1" s="20" t="str">
        <x:v>แหล่งข้อมูลระบุว่ามี</x:v>
      </x:c>
      <x:c r="G311" s="20" t="str">
        <x:v>ยังไม่พบเอกสารรับรองและวันหมดอายุ</x:v>
      </x:c>
      <x:c r="H311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1" s="20" t="str">
        <x:v>61/2 หมู่ 4 ซอยเสรีไทย24 ถนนเสรีไทย 10240 แขวงคลองกุ่ม เขตบึงกุ่ม กรุงเทพมหานคร 10240</x:v>
      </x:c>
      <x:c r="J311" s="21" t="str">
        <x:v>0 2373 9250</x:v>
      </x:c>
      <x:c r="K311" s="23" t="e">
        <x:f>HYPERLINK("https://www.thic.or.th/th/tourist/detail/mosques/518","เปิดแหล่งข้อมูล 1")</x:f>
        <x:v>HYPERLINK is not implemented. linkLocation=https://www.thic.or.th/th/tourist/detail/mosques/518, friendlyName=เปิดแหล่งข้อมูล 1</x:v>
      </x:c>
      <x:c r="L311" s="23" t="e">
        <x:f>HYPERLINK("https://masjid.islamicbangkok.or.th/masjid/id/18594","เปิดแหล่งข้อมูล 2")</x:f>
        <x:v>HYPERLINK is not implemented. linkLocation=https://masjid.islamicbangkok.or.th/masjid/id/18594, friendlyName=เปิดแหล่งข้อมูล 2</x:v>
      </x:c>
      <x:c r="M311" s="20" t="str">
        <x:v>ผลค้นหาชื่อสัมพันธ์จากแหล่งเพิ่มเติม ต้องยืนยันสาขาและข้อมูลปัจจุบัน</x:v>
      </x:c>
      <x:c r="N311" s="10" t="n">
        <x:v>46315</x:v>
      </x:c>
      <x:c r="O311" s="22" t="str">
        <x:v>ยังไม่ตรวจ</x:v>
      </x:c>
      <x:c r="P311" s="22" t="str">
        <x:v>ยังไม่ติดต่อ</x:v>
      </x:c>
    </x:row>
    <x:row r="312" ht="66" customHeight="1">
      <x:c r="A312" s="9" t="n">
        <x:v>304</x:v>
      </x:c>
      <x:c r="B312" s="20" t="str">
        <x:v>มัสยิดอิควานุ้ลมุตตะกีน (เกาะขุนเณร)</x:v>
      </x:c>
      <x:c r="C312" s="20" t="str">
        <x:v>กรุงเทพมหานคร</x:v>
      </x:c>
      <x:c r="D312" s="20" t="str">
        <x:v>มัสยิด</x:v>
      </x:c>
      <x:c r="E31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2" s="20" t="str">
        <x:v>แหล่งข้อมูลระบุว่ามี</x:v>
      </x:c>
      <x:c r="G312" s="20" t="str">
        <x:v>ยังไม่พบเอกสารรับรองและวันหมดอายุ</x:v>
      </x:c>
      <x:c r="H312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2" s="20" t="str">
        <x:v>271 ถนน ประชาร่วมใจ แขวงทรายกองดินใต้ เขตคลองสามวา กรุงเทพมหานคร 10510</x:v>
      </x:c>
      <x:c r="J312" s="21" t="str">
        <x:v>ยังไม่พบข้อมูล</x:v>
      </x:c>
      <x:c r="K312" s="23" t="e">
        <x:f>HYPERLINK("https://www.thic.or.th/th/tourist/detail/mosques/310","เปิดแหล่งข้อมูล 1")</x:f>
        <x:v>HYPERLINK is not implemented. linkLocation=https://www.thic.or.th/th/tourist/detail/mosques/310, friendlyName=เปิดแหล่งข้อมูล 1</x:v>
      </x:c>
      <x:c r="L312" s="23" t="e">
        <x:f>HYPERLINK("https://masjid.islamicbangkok.or.th/masjid/id/29286","เปิดแหล่งข้อมูล 2")</x:f>
        <x:v>HYPERLINK is not implemented. linkLocation=https://masjid.islamicbangkok.or.th/masjid/id/29286, friendlyName=เปิดแหล่งข้อมูล 2</x:v>
      </x:c>
      <x:c r="M312" s="20" t="str">
        <x:v>ผลค้นหาชื่อสัมพันธ์จากแหล่งเพิ่มเติม ต้องยืนยันสาขาและข้อมูลปัจจุบัน</x:v>
      </x:c>
      <x:c r="N312" s="10" t="n">
        <x:v>46315</x:v>
      </x:c>
      <x:c r="O312" s="22" t="str">
        <x:v>ยังไม่ตรวจ</x:v>
      </x:c>
      <x:c r="P312" s="22" t="str">
        <x:v>ยังไม่ติดต่อ</x:v>
      </x:c>
    </x:row>
    <x:row r="313" ht="66" customHeight="1">
      <x:c r="A313" s="9" t="n">
        <x:v>305</x:v>
      </x:c>
      <x:c r="B313" s="20" t="str">
        <x:v>มัสยิดอิดด์ฮาดร์อูลูมุดดีน</x:v>
      </x:c>
      <x:c r="C313" s="20" t="str">
        <x:v>กรุงเทพมหานคร</x:v>
      </x:c>
      <x:c r="D313" s="20" t="str">
        <x:v>มัสยิด</x:v>
      </x:c>
      <x:c r="E31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3" s="20" t="str">
        <x:v>แหล่งข้อมูลระบุว่ามี</x:v>
      </x:c>
      <x:c r="G313" s="20" t="str">
        <x:v>ยังไม่พบเอกสารรับรองและวันหมดอายุ</x:v>
      </x:c>
      <x:c r="H313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3" s="20" t="str">
        <x:v>29/1 ถนนราชอุทิศ17 ถนนราชอุทิศ แขวงแสนแสบ เขตมีนบุรี กรุงเทพมหานคร 10510</x:v>
      </x:c>
      <x:c r="J313" s="21" t="str">
        <x:v>02-543-8531</x:v>
      </x:c>
      <x:c r="K313" s="23" t="e">
        <x:f>HYPERLINK("https://www.thic.or.th/th/tourist/detail/mosques/184","เปิดแหล่งข้อมูล 1")</x:f>
        <x:v>HYPERLINK is not implemented. linkLocation=https://www.thic.or.th/th/tourist/detail/mosques/184, friendlyName=เปิดแหล่งข้อมูล 1</x:v>
      </x:c>
      <x:c r="L313" s="23" t="e">
        <x:f>HYPERLINK("https://th.trip.com/travel-guide/attraction/bangkok/izhar-ulumuddin-mosque-141676410","เปิดแหล่งข้อมูล 2")</x:f>
        <x:v>HYPERLINK is not implemented. linkLocation=https://th.trip.com/travel-guide/attraction/bangkok/izhar-ulumuddin-mosque-141676410, friendlyName=เปิดแหล่งข้อมูล 2</x:v>
      </x:c>
      <x:c r="M313" s="20" t="str">
        <x:v>ผลค้นหาชื่อสัมพันธ์จากแหล่งเพิ่มเติม ต้องยืนยันสาขาและข้อมูลปัจจุบัน</x:v>
      </x:c>
      <x:c r="N313" s="10" t="n">
        <x:v>46315</x:v>
      </x:c>
      <x:c r="O313" s="22" t="str">
        <x:v>ยังไม่ตรวจ</x:v>
      </x:c>
      <x:c r="P313" s="22" t="str">
        <x:v>ยังไม่ติดต่อ</x:v>
      </x:c>
    </x:row>
    <x:row r="314" ht="66" customHeight="1">
      <x:c r="A314" s="9" t="n">
        <x:v>306</x:v>
      </x:c>
      <x:c r="B314" s="20" t="str">
        <x:v>มัสยิดอิบรอฮีม (บึงเตย)</x:v>
      </x:c>
      <x:c r="C314" s="20" t="str">
        <x:v>กรุงเทพมหานคร</x:v>
      </x:c>
      <x:c r="D314" s="20" t="str">
        <x:v>มัสยิด</x:v>
      </x:c>
      <x:c r="E31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4" s="20" t="str">
        <x:v>แหล่งข้อมูลระบุว่ามี</x:v>
      </x:c>
      <x:c r="G314" s="20" t="str">
        <x:v>ยังไม่พบเอกสารรับรองและวันหมดอายุ</x:v>
      </x:c>
      <x:c r="H314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4" s="20" t="str">
        <x:v>44 หมู่ 3 ถนนประชาสำราญ แขวงหนองจอก เขตหนองจอก กรุงเทพมหานคร 10530</x:v>
      </x:c>
      <x:c r="J314" s="21" t="str">
        <x:v>0 2989 2042</x:v>
      </x:c>
      <x:c r="K314" s="23" t="e">
        <x:f>HYPERLINK("https://www.thic.or.th/th/tourist/detail/mosques/433","เปิดแหล่งข้อมูล 1")</x:f>
        <x:v>HYPERLINK is not implemented. linkLocation=https://www.thic.or.th/th/tourist/detail/mosques/433, friendlyName=เปิดแหล่งข้อมูล 1</x:v>
      </x:c>
      <x:c r="L314" s="23" t="e">
        <x:f>HYPERLINK("https://www.cicot.or.th/th/mosque/detail/399/2/%E0%B8%A1%E0%B8%B1%E0%B8%AA%E0%B8%A2%E0%B8%B4%E0%B8%94%E0%B8%AD%E0%B8%B4%E0%B8%9A%E0%B8%A3%E0%B8%AD%E0%B8%AE%E0%B8%B5%E0%B8%A1-%E0%B8%9A%E0%B8%B6%E0%B8%87%E0%B9%80%E0%B8%95%E0%B8%A2","เปิดแหล่งข้อมูล 2")</x:f>
        <x:v>HYPERLINK is not implemented. linkLocation=https://www.cicot.or.th/th/mosque/detail/399/2/%E0%B8%A1%E0%B8%B1%E0%B8%AA%E0%B8%A2%E0%B8%B4%E0%B8%94%E0%B8%AD%E0%B8%B4%E0%B8%9A%E0%B8%A3%E0%B8%AD%E0%B8%AE%E0%B8%B5%E0%B8%A1-%E0%B8%9A%E0%B8%B6%E0%B8%87%E0%B9%80%E0%B8%95%E0%B8%A2, friendlyName=เปิดแหล่งข้อมูล 2</x:v>
      </x:c>
      <x:c r="M314" s="20" t="str">
        <x:v>ผลค้นหาชื่อสัมพันธ์จากแหล่งเพิ่มเติม ต้องยืนยันสาขาและข้อมูลปัจจุบัน</x:v>
      </x:c>
      <x:c r="N314" s="10" t="n">
        <x:v>46315</x:v>
      </x:c>
      <x:c r="O314" s="22" t="str">
        <x:v>ยังไม่ตรวจ</x:v>
      </x:c>
      <x:c r="P314" s="22" t="str">
        <x:v>ยังไม่ติดต่อ</x:v>
      </x:c>
    </x:row>
    <x:row r="315" ht="66" customHeight="1">
      <x:c r="A315" s="9" t="n">
        <x:v>307</x:v>
      </x:c>
      <x:c r="B315" s="20" t="str">
        <x:v>มัสยิดฮาซานุดดีน (ศาลาแดง)</x:v>
      </x:c>
      <x:c r="C315" s="20" t="str">
        <x:v>กรุงเทพมหานคร</x:v>
      </x:c>
      <x:c r="D315" s="20" t="str">
        <x:v>มัสยิด</x:v>
      </x:c>
      <x:c r="E31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5" s="20" t="str">
        <x:v>แหล่งข้อมูลระบุว่ามี</x:v>
      </x:c>
      <x:c r="G315" s="20" t="str">
        <x:v>ยังไม่พบเอกสารรับรองและวันหมดอายุ</x:v>
      </x:c>
      <x:c r="H315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5" s="20" t="str">
        <x:v>32/3 หมู่ 5 ถนนผดุงพันธ์ แขวงหนองจอก เขตหนองจอก กรุงเทพมหานคร 10530</x:v>
      </x:c>
      <x:c r="J315" s="21" t="str">
        <x:v>08 9182 1424</x:v>
      </x:c>
      <x:c r="K315" s="23" t="e">
        <x:f>HYPERLINK("https://www.thic.or.th/th/tourist/detail/mosques/443","เปิดแหล่งข้อมูล 1")</x:f>
        <x:v>HYPERLINK is not implemented. linkLocation=https://www.thic.or.th/th/tourist/detail/mosques/443, friendlyName=เปิดแหล่งข้อมูล 1</x:v>
      </x:c>
      <x:c r="L315" s="23" t="e">
        <x:f>HYPERLINK("https://masjid.islamicbangkok.or.th/masjid/id/23076","เปิดแหล่งข้อมูล 2")</x:f>
        <x:v>HYPERLINK is not implemented. linkLocation=https://masjid.islamicbangkok.or.th/masjid/id/23076, friendlyName=เปิดแหล่งข้อมูล 2</x:v>
      </x:c>
      <x:c r="M315" s="20" t="str">
        <x:v>ผลค้นหาชื่อสัมพันธ์จากแหล่งเพิ่มเติม ต้องยืนยันสาขาและข้อมูลปัจจุบัน</x:v>
      </x:c>
      <x:c r="N315" s="10" t="n">
        <x:v>46315</x:v>
      </x:c>
      <x:c r="O315" s="22" t="str">
        <x:v>ยังไม่ตรวจ</x:v>
      </x:c>
      <x:c r="P315" s="22" t="str">
        <x:v>ยังไม่ติดต่อ</x:v>
      </x:c>
    </x:row>
    <x:row r="316" ht="66" customHeight="1">
      <x:c r="A316" s="9" t="n">
        <x:v>308</x:v>
      </x:c>
      <x:c r="B316" s="20" t="str">
        <x:v>มัสยิดฮารูณ (เจริญกรุง)</x:v>
      </x:c>
      <x:c r="C316" s="20" t="str">
        <x:v>กรุงเทพมหานคร</x:v>
      </x:c>
      <x:c r="D316" s="20" t="str">
        <x:v>มัสยิด</x:v>
      </x:c>
      <x:c r="E31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6" s="20" t="str">
        <x:v>แหล่งข้อมูลระบุว่ามี</x:v>
      </x:c>
      <x:c r="G316" s="20" t="str">
        <x:v>ยังไม่พบเอกสารรับรองและวันหมดอายุ</x:v>
      </x:c>
      <x:c r="H316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6" s="20" t="str">
        <x:v>25 ซอย เจริญกรุง 36 ถนนเจริญกรุง แขวงบางรัก เขตบางรัก กรุงเทพมหานคร 10500</x:v>
      </x:c>
      <x:c r="J316" s="21" t="str">
        <x:v>08 1488 8154</x:v>
      </x:c>
      <x:c r="K316" s="23" t="e">
        <x:f>HYPERLINK("https://www.thic.or.th/th/tourist/detail/mosques/465","เปิดแหล่งข้อมูล 1")</x:f>
        <x:v>HYPERLINK is not implemented. linkLocation=https://www.thic.or.th/th/tourist/detail/mosques/465, friendlyName=เปิดแหล่งข้อมูล 1</x:v>
      </x:c>
      <x:c r="L316" s="23" t="e">
        <x:f>HYPERLINK("https://masjid.islamicbangkok.or.th/masjid/id/10129","เปิดแหล่งข้อมูล 2")</x:f>
        <x:v>HYPERLINK is not implemented. linkLocation=https://masjid.islamicbangkok.or.th/masjid/id/10129, friendlyName=เปิดแหล่งข้อมูล 2</x:v>
      </x:c>
      <x:c r="M316" s="20" t="str">
        <x:v>ผลค้นหาชื่อสัมพันธ์จากแหล่งเพิ่มเติม ต้องยืนยันสาขาและข้อมูลปัจจุบัน</x:v>
      </x:c>
      <x:c r="N316" s="10" t="n">
        <x:v>46315</x:v>
      </x:c>
      <x:c r="O316" s="22" t="str">
        <x:v>ยังไม่ตรวจ</x:v>
      </x:c>
      <x:c r="P316" s="22" t="str">
        <x:v>ยังไม่ติดต่อ</x:v>
      </x:c>
    </x:row>
    <x:row r="317" ht="66" customHeight="1">
      <x:c r="A317" s="9" t="n">
        <x:v>309</x:v>
      </x:c>
      <x:c r="B317" s="20" t="str">
        <x:v>มัสยิดเราะห์มาตุ้ลอิสลามียะห์ (บ้านเกาะ)</x:v>
      </x:c>
      <x:c r="C317" s="20" t="str">
        <x:v>กรุงเทพมหานคร</x:v>
      </x:c>
      <x:c r="D317" s="20" t="str">
        <x:v>มัสยิด</x:v>
      </x:c>
      <x:c r="E31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7" s="20" t="str">
        <x:v>แหล่งข้อมูลระบุว่ามี</x:v>
      </x:c>
      <x:c r="G317" s="20" t="str">
        <x:v>ยังไม่พบเอกสารรับรองและวันหมดอายุ</x:v>
      </x:c>
      <x:c r="H317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7" s="20" t="str">
        <x:v>59 ซอย สุวินทวงศ์ 7 แขวงแสนแสบ เขตมีนบุรี กรุงเทพมหานคร 10510</x:v>
      </x:c>
      <x:c r="J317" s="21" t="str">
        <x:v>02-914-8299</x:v>
      </x:c>
      <x:c r="K317" s="23" t="e">
        <x:f>HYPERLINK("https://www.thic.or.th/th/tourist/detail/mosques/182","เปิดแหล่งข้อมูล 1")</x:f>
        <x:v>HYPERLINK is not implemented. linkLocation=https://www.thic.or.th/th/tourist/detail/mosques/182, friendlyName=เปิดแหล่งข้อมูล 1</x:v>
      </x:c>
      <x:c r="L317" s="23" t="e">
        <x:f>HYPERLINK("https://masjid.islamicbangkok.or.th/masjid/id/40512","เปิดแหล่งข้อมูล 2")</x:f>
        <x:v>HYPERLINK is not implemented. linkLocation=https://masjid.islamicbangkok.or.th/masjid/id/40512, friendlyName=เปิดแหล่งข้อมูล 2</x:v>
      </x:c>
      <x:c r="M317" s="20" t="str">
        <x:v>ผลค้นหาชื่อสัมพันธ์จากแหล่งเพิ่มเติม ต้องยืนยันสาขาและข้อมูลปัจจุบัน</x:v>
      </x:c>
      <x:c r="N317" s="10" t="n">
        <x:v>46315</x:v>
      </x:c>
      <x:c r="O317" s="22" t="str">
        <x:v>ยังไม่ตรวจ</x:v>
      </x:c>
      <x:c r="P317" s="22" t="str">
        <x:v>ยังไม่ติดต่อ</x:v>
      </x:c>
    </x:row>
    <x:row r="318" ht="66" customHeight="1">
      <x:c r="A318" s="9" t="n">
        <x:v>310</x:v>
      </x:c>
      <x:c r="B318" s="20" t="str">
        <x:v>มัสยิด สมเด็จ อัลฮายาต จ.กาฬสินธุ์</x:v>
      </x:c>
      <x:c r="C318" s="20" t="str">
        <x:v>กาฬสินธุ์</x:v>
      </x:c>
      <x:c r="D318" s="20" t="str">
        <x:v>มัสยิด</x:v>
      </x:c>
      <x:c r="E31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8" s="20" t="str">
        <x:v>แหล่งข้อมูลระบุว่ามี</x:v>
      </x:c>
      <x:c r="G318" s="20" t="str">
        <x:v>ยังไม่พบเอกสารรับรองและวันหมดอายุ</x:v>
      </x:c>
      <x:c r="H318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8" s="20" t="str">
        <x:v>เลขที่ 456 ตำบลสมเด็จ อำเภอสมเด็จ จังหวัดกาฬสินธุ์ 46150</x:v>
      </x:c>
      <x:c r="J318" s="21" t="str">
        <x:v>0809096379</x:v>
      </x:c>
      <x:c r="K318" s="23" t="e">
        <x:f>HYPERLINK("https://www.thic.or.th/th/tourist/detail/mosques/321","เปิดแหล่งข้อมูล 1")</x:f>
        <x:v>HYPERLINK is not implemented. linkLocation=https://www.thic.or.th/th/tourist/detail/mosques/321, friendlyName=เปิดแหล่งข้อมูล 1</x:v>
      </x:c>
      <x:c r="L318" s="23" t="str"/>
      <x:c r="M318" s="20" t="str"/>
      <x:c r="N318" s="10" t="n">
        <x:v>46315</x:v>
      </x:c>
      <x:c r="O318" s="22" t="str">
        <x:v>ยังไม่ตรวจ</x:v>
      </x:c>
      <x:c r="P318" s="22" t="str">
        <x:v>ยังไม่ติดต่อ</x:v>
      </x:c>
    </x:row>
    <x:row r="319" ht="66" customHeight="1">
      <x:c r="A319" s="9" t="n">
        <x:v>311</x:v>
      </x:c>
      <x:c r="B319" s="20" t="str">
        <x:v>มัสยิดกลางกาฬสินธุ์</x:v>
      </x:c>
      <x:c r="C319" s="20" t="str">
        <x:v>กาฬสินธุ์</x:v>
      </x:c>
      <x:c r="D319" s="20" t="str">
        <x:v>มัสยิด</x:v>
      </x:c>
      <x:c r="E31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19" s="20" t="str">
        <x:v>แหล่งข้อมูลระบุว่ามี</x:v>
      </x:c>
      <x:c r="G319" s="20" t="str">
        <x:v>ยังไม่พบเอกสารรับรองและวันหมดอายุ</x:v>
      </x:c>
      <x:c r="H319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19" s="20" t="str">
        <x:v>2/22 ถนน ทุ่งศรีเมือง เทศบาลเมืองกาฬสินธุ์ อำเภอเมืองกาฬสินธุ์ กาฬสินธุ์ 46000 ตำบลกาฬสินธุ์ อำเภอเมืองกาฬสินธุ์ จังหวัดกาฬสินธุ์ 46000</x:v>
      </x:c>
      <x:c r="J319" s="21" t="str">
        <x:v>0921509007</x:v>
      </x:c>
      <x:c r="K319" s="23" t="e">
        <x:f>HYPERLINK("https://www.thic.or.th/th/tourist/detail/mosques/322","เปิดแหล่งข้อมูล 1")</x:f>
        <x:v>HYPERLINK is not implemented. linkLocation=https://www.thic.or.th/th/tourist/detail/mosques/322, friendlyName=เปิดแหล่งข้อมูล 1</x:v>
      </x:c>
      <x:c r="L319" s="23" t="e">
        <x:f>HYPERLINK("https://www.gplace.com/77539","เปิดแหล่งข้อมูล 2")</x:f>
        <x:v>HYPERLINK is not implemented. linkLocation=https://www.gplace.com/77539, friendlyName=เปิดแหล่งข้อมูล 2</x:v>
      </x:c>
      <x:c r="M319" s="20" t="str">
        <x:v>ผลค้นหาชื่อสัมพันธ์จากแหล่งเพิ่มเติม ต้องยืนยันสาขาและข้อมูลปัจจุบัน</x:v>
      </x:c>
      <x:c r="N319" s="10" t="n">
        <x:v>46315</x:v>
      </x:c>
      <x:c r="O319" s="22" t="str">
        <x:v>ยังไม่ตรวจ</x:v>
      </x:c>
      <x:c r="P319" s="22" t="str">
        <x:v>ยังไม่ติดต่อ</x:v>
      </x:c>
    </x:row>
    <x:row r="320" ht="66" customHeight="1">
      <x:c r="A320" s="9" t="n">
        <x:v>312</x:v>
      </x:c>
      <x:c r="B320" s="20" t="str">
        <x:v>มัสยิดดารุลอามาน (บ้านไผ่) จ.ขอนแก่น</x:v>
      </x:c>
      <x:c r="C320" s="20" t="str">
        <x:v>ขอนแก่น</x:v>
      </x:c>
      <x:c r="D320" s="20" t="str">
        <x:v>มัสยิด</x:v>
      </x:c>
      <x:c r="E32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0" s="20" t="str">
        <x:v>แหล่งข้อมูลระบุว่ามี</x:v>
      </x:c>
      <x:c r="G320" s="20" t="str">
        <x:v>ยังไม่พบเอกสารรับรองและวันหมดอายุ</x:v>
      </x:c>
      <x:c r="H320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0" s="20" t="str">
        <x:v>107/2 ม.2 ตำบลบ้านไผ่ อำเภอบ้านไผ่ จังหวัดขอนแก่น 40110</x:v>
      </x:c>
      <x:c r="J320" s="21" t="str">
        <x:v>088-8611423</x:v>
      </x:c>
      <x:c r="K320" s="23" t="e">
        <x:f>HYPERLINK("https://www.thic.or.th/th/tourist/detail/mosques/318","เปิดแหล่งข้อมูล 1")</x:f>
        <x:v>HYPERLINK is not implemented. linkLocation=https://www.thic.or.th/th/tourist/detail/mosques/318, friendlyName=เปิดแหล่งข้อมูล 1</x:v>
      </x:c>
      <x:c r="L320" s="23" t="str"/>
      <x:c r="M320" s="20" t="str"/>
      <x:c r="N320" s="10" t="n">
        <x:v>46315</x:v>
      </x:c>
      <x:c r="O320" s="22" t="str">
        <x:v>ยังไม่ตรวจ</x:v>
      </x:c>
      <x:c r="P320" s="22" t="str">
        <x:v>ยังไม่ติดต่อ</x:v>
      </x:c>
    </x:row>
    <x:row r="321" ht="66" customHeight="1">
      <x:c r="A321" s="9" t="n">
        <x:v>313</x:v>
      </x:c>
      <x:c r="B321" s="20" t="str">
        <x:v>เซ็นทารา แกรนด์ มิราจ บีช รีสอร์ท พัทยา</x:v>
      </x:c>
      <x:c r="C321" s="20" t="str">
        <x:v>ชลบุรี</x:v>
      </x:c>
      <x:c r="D321" s="20" t="str">
        <x:v>โรงแรมหรือรีสอร์ท</x:v>
      </x:c>
      <x:c r="E32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21" s="20" t="str">
        <x:v>ยังไม่พบข้อมูล</x:v>
      </x:c>
      <x:c r="G321" s="20" t="str">
        <x:v>ยังไม่พบเอกสารรับรองและวันหมดอายุ</x:v>
      </x:c>
      <x:c r="H32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21" s="20" t="str">
        <x:v>277 หมู่ที่ 5 ถ.พัทยา นาเกลือ ตำบลนาเกลือ อำเภอบางละมุง จังหวัดชลบุรี 20150 ตำบลนาเกลือ อำเภอบางละมุง จังหวัดชลบุรี 20150</x:v>
      </x:c>
      <x:c r="J321" s="21" t="str">
        <x:v>0926626514</x:v>
      </x:c>
      <x:c r="K321" s="23" t="e">
        <x:f>HYPERLINK("https://www.thic.or.th/th/tourist/detail/accommodation/211","เปิดแหล่งข้อมูล 1")</x:f>
        <x:v>HYPERLINK is not implemented. linkLocation=https://www.thic.or.th/th/tourist/detail/accommodation/211, friendlyName=เปิดแหล่งข้อมูล 1</x:v>
      </x:c>
      <x:c r="L321" s="23" t="e">
        <x:f>HYPERLINK("https://www.google.co.th/travel/hotels/%E0%B8%95%E0%B8%B3%E0%B8%9A%E0%B8%A5%E0%B9%81%E0%B8%AA%E0%B8%99%E0%B8%AA%E0%B8%B8%E0%B8%82/entity/ChgIwfa6sbToga4rGgwvZy8xMWgwYmxudGcQAQ?rp=OAHCAgIiAA&amp;ts=CAEaBAoCGgAqBAoAGgA","เปิดแหล่งข้อมูล 2")</x:f>
        <x:v>HYPERLINK is not implemented. linkLocation=https://www.google.co.th/travel/hotels/%E0%B8%95%E0%B8%B3%E0%B8%9A%E0%B8%A5%E0%B9%81%E0%B8%AA%E0%B8%99%E0%B8%AA%E0%B8%B8%E0%B8%82/entity/ChgIwfa6sbToga4rGgwvZy8xMWgwYmxudGcQAQ?rp=OAHCAgIiAA&amp;ts=CAEaBAoCGgAqBAoAGgA, friendlyName=เปิดแหล่งข้อมูล 2</x:v>
      </x:c>
      <x:c r="M321" s="20" t="str">
        <x:v>ผลค้นหาชื่อสัมพันธ์จากแหล่งเพิ่มเติม ต้องยืนยันสาขาและข้อมูลปัจจุบัน</x:v>
      </x:c>
      <x:c r="N321" s="10" t="n">
        <x:v>46315</x:v>
      </x:c>
      <x:c r="O321" s="22" t="str">
        <x:v>ยังไม่ตรวจ</x:v>
      </x:c>
      <x:c r="P321" s="22" t="str">
        <x:v>ยังไม่ติดต่อ</x:v>
      </x:c>
    </x:row>
    <x:row r="322" ht="66" customHeight="1">
      <x:c r="A322" s="9" t="n">
        <x:v>314</x:v>
      </x:c>
      <x:c r="B322" s="20" t="str">
        <x:v>นิยะห์ฮาลาลฟู้ด</x:v>
      </x:c>
      <x:c r="C322" s="20" t="str">
        <x:v>ชลบุรี</x:v>
      </x:c>
      <x:c r="D322" s="20" t="str">
        <x:v>ร้านอาหาร</x:v>
      </x:c>
      <x:c r="E322" s="20" t="str">
        <x:v>Makan Verify; ช่องห้องละหมาดไม่ได้ทำเครื่องหมายว่ามี</x:v>
      </x:c>
      <x:c r="F322" s="20" t="str">
        <x:v>ไม่ได้ทำเครื่องหมายว่ามี / ต้องยืนยัน</x:v>
      </x:c>
      <x:c r="G322" s="20" t="str">
        <x:v>ยังไม่พบเอกสารรับรองและวันหมดอายุ</x:v>
      </x:c>
      <x:c r="H32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22" s="20" t="str">
        <x:v>เลขที่ 68 หมู่ที่ 5 ตำบลท่าเทววงษ์ อำเภอเกาะสีชัง จังหวัดชลบุรี 20120</x:v>
      </x:c>
      <x:c r="J322" s="21" t="str">
        <x:v>0993366720</x:v>
      </x:c>
      <x:c r="K322" s="23" t="e">
        <x:f>HYPERLINK("https://makanhalalguide.com/shop/detail/5127","เปิดแหล่งข้อมูล 1")</x:f>
        <x:v>HYPERLINK is not implemented. linkLocation=https://makanhalalguide.com/shop/detail/5127, friendlyName=เปิดแหล่งข้อมูล 1</x:v>
      </x:c>
      <x:c r="L322" s="23" t="str"/>
      <x:c r="M322" s="20" t="str"/>
      <x:c r="N322" s="10" t="n">
        <x:v>46315</x:v>
      </x:c>
      <x:c r="O322" s="22" t="str">
        <x:v>ยังไม่ตรวจ</x:v>
      </x:c>
      <x:c r="P322" s="22" t="str">
        <x:v>ยังไม่ติดต่อ</x:v>
      </x:c>
    </x:row>
    <x:row r="323" ht="66" customHeight="1">
      <x:c r="A323" s="9" t="n">
        <x:v>315</x:v>
      </x:c>
      <x:c r="B323" s="20" t="str">
        <x:v>มัสยิดญามีอุ้ลอิสลาม</x:v>
      </x:c>
      <x:c r="C323" s="20" t="str">
        <x:v>ชลบุรี</x:v>
      </x:c>
      <x:c r="D323" s="20" t="str">
        <x:v>มัสยิด</x:v>
      </x:c>
      <x:c r="E32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3" s="20" t="str">
        <x:v>แหล่งข้อมูลระบุว่ามี</x:v>
      </x:c>
      <x:c r="G323" s="20" t="str">
        <x:v>ยังไม่พบเอกสารรับรองและวันหมดอายุ</x:v>
      </x:c>
      <x:c r="H323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3" s="20" t="str">
        <x:v>หมู่ที่ 6 ต.หนองปรือ อ.บางละมุง จ.ชลบุรี 20150 ตำบลหนองปรือ อำเภอบางละมุง จังหวัดชลบุรี 20150</x:v>
      </x:c>
      <x:c r="J323" s="21" t="str">
        <x:v>089-6006609</x:v>
      </x:c>
      <x:c r="K323" s="23" t="e">
        <x:f>HYPERLINK("https://www.thic.or.th/th/tourist/detail/mosques/251","เปิดแหล่งข้อมูล 1")</x:f>
        <x:v>HYPERLINK is not implemented. linkLocation=https://www.thic.or.th/th/tourist/detail/mosques/251, friendlyName=เปิดแหล่งข้อมูล 1</x:v>
      </x:c>
      <x:c r="L323" s="23" t="e">
        <x:f>HYPERLINK("https://www.cicot.or.th/th/mosque/detail/511/5","เปิดแหล่งข้อมูล 2")</x:f>
        <x:v>HYPERLINK is not implemented. linkLocation=https://www.cicot.or.th/th/mosque/detail/511/5, friendlyName=เปิดแหล่งข้อมูล 2</x:v>
      </x:c>
      <x:c r="M323" s="20" t="str">
        <x:v>ผลค้นหาชื่อสัมพันธ์จากแหล่งเพิ่มเติม ต้องยืนยันสาขาและข้อมูลปัจจุบัน</x:v>
      </x:c>
      <x:c r="N323" s="10" t="n">
        <x:v>46315</x:v>
      </x:c>
      <x:c r="O323" s="22" t="str">
        <x:v>ยังไม่ตรวจ</x:v>
      </x:c>
      <x:c r="P323" s="22" t="str">
        <x:v>ยังไม่ติดต่อ</x:v>
      </x:c>
    </x:row>
    <x:row r="324" ht="66" customHeight="1">
      <x:c r="A324" s="9" t="n">
        <x:v>316</x:v>
      </x:c>
      <x:c r="B324" s="20" t="str">
        <x:v>มัสยิดดารุสซิดดีกีน</x:v>
      </x:c>
      <x:c r="C324" s="20" t="str">
        <x:v>ชลบุรี</x:v>
      </x:c>
      <x:c r="D324" s="20" t="str">
        <x:v>มัสยิด</x:v>
      </x:c>
      <x:c r="E32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4" s="20" t="str">
        <x:v>แหล่งข้อมูลระบุว่ามี</x:v>
      </x:c>
      <x:c r="G324" s="20" t="str">
        <x:v>ยังไม่พบเอกสารรับรองและวันหมดอายุ</x:v>
      </x:c>
      <x:c r="H324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4" s="20" t="str">
        <x:v>เลขที่ 17 หมู่ที่ 5 ต.นาวังหิน อ.พนัสนิคม จ.ชลบุรี 20140 ตำบลนาวังหิน อำเภอพนัสนิคม จังหวัดชลบุรี 20140</x:v>
      </x:c>
      <x:c r="J324" s="21" t="str">
        <x:v>088-8408188</x:v>
      </x:c>
      <x:c r="K324" s="23" t="e">
        <x:f>HYPERLINK("https://www.thic.or.th/th/tourist/detail/mosques/254","เปิดแหล่งข้อมูล 1")</x:f>
        <x:v>HYPERLINK is not implemented. linkLocation=https://www.thic.or.th/th/tourist/detail/mosques/254, friendlyName=เปิดแหล่งข้อมูล 1</x:v>
      </x:c>
      <x:c r="L324" s="23" t="e">
        <x:f>HYPERLINK("https://www.cicot.or.th/th/mosque/lists/3/5","เปิดแหล่งข้อมูล 2")</x:f>
        <x:v>HYPERLINK is not implemented. linkLocation=https://www.cicot.or.th/th/mosque/lists/3/5, friendlyName=เปิดแหล่งข้อมูล 2</x:v>
      </x:c>
      <x:c r="M324" s="20" t="str">
        <x:v>ผลค้นหาชื่อสัมพันธ์จากแหล่งเพิ่มเติม ต้องยืนยันสาขาและข้อมูลปัจจุบัน</x:v>
      </x:c>
      <x:c r="N324" s="10" t="n">
        <x:v>46315</x:v>
      </x:c>
      <x:c r="O324" s="22" t="str">
        <x:v>ยังไม่ตรวจ</x:v>
      </x:c>
      <x:c r="P324" s="22" t="str">
        <x:v>ยังไม่ติดต่อ</x:v>
      </x:c>
    </x:row>
    <x:row r="325" ht="66" customHeight="1">
      <x:c r="A325" s="9" t="n">
        <x:v>317</x:v>
      </x:c>
      <x:c r="B325" s="20" t="str">
        <x:v>มัสยิดดารุ้ลมู่ฮายีรีน</x:v>
      </x:c>
      <x:c r="C325" s="20" t="str">
        <x:v>ชลบุรี</x:v>
      </x:c>
      <x:c r="D325" s="20" t="str">
        <x:v>มัสยิด</x:v>
      </x:c>
      <x:c r="E32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5" s="20" t="str">
        <x:v>แหล่งข้อมูลระบุว่ามี</x:v>
      </x:c>
      <x:c r="G325" s="20" t="str">
        <x:v>ยังไม่พบเอกสารรับรองและวันหมดอายุ</x:v>
      </x:c>
      <x:c r="H325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5" s="20" t="str">
        <x:v>เลขที่ 225/1 หมู่ที่ 1 ต.วัดสุวรรณ อ.บ่อทอง จ.ชลบุรี 20270 ตำบลวัดสุวรรณ อำเภอบ่อทอง จังหวัดชลบุรี 20270</x:v>
      </x:c>
      <x:c r="J325" s="21" t="str">
        <x:v>087-9411880</x:v>
      </x:c>
      <x:c r="K325" s="23" t="e">
        <x:f>HYPERLINK("https://www.thic.or.th/th/tourist/detail/mosques/259","เปิดแหล่งข้อมูล 1")</x:f>
        <x:v>HYPERLINK is not implemented. linkLocation=https://www.thic.or.th/th/tourist/detail/mosques/259, friendlyName=เปิดแหล่งข้อมูล 1</x:v>
      </x:c>
      <x:c r="L325" s="23" t="e">
        <x:f>HYPERLINK("https://picoc.or.th/mosque/detail/19","เปิดแหล่งข้อมูล 2")</x:f>
        <x:v>HYPERLINK is not implemented. linkLocation=https://picoc.or.th/mosque/detail/19, friendlyName=เปิดแหล่งข้อมูล 2</x:v>
      </x:c>
      <x:c r="M325" s="20" t="str">
        <x:v>ผลค้นหาชื่อสัมพันธ์จากแหล่งเพิ่มเติม ต้องยืนยันสาขาและข้อมูลปัจจุบัน</x:v>
      </x:c>
      <x:c r="N325" s="10" t="n">
        <x:v>46315</x:v>
      </x:c>
      <x:c r="O325" s="22" t="str">
        <x:v>ยังไม่ตรวจ</x:v>
      </x:c>
      <x:c r="P325" s="22" t="str">
        <x:v>ยังไม่ติดต่อ</x:v>
      </x:c>
    </x:row>
    <x:row r="326" ht="66" customHeight="1">
      <x:c r="A326" s="9" t="n">
        <x:v>318</x:v>
      </x:c>
      <x:c r="B326" s="20" t="str">
        <x:v>มัสยิดดารุ้ลยันนะห์</x:v>
      </x:c>
      <x:c r="C326" s="20" t="str">
        <x:v>ชลบุรี</x:v>
      </x:c>
      <x:c r="D326" s="20" t="str">
        <x:v>มัสยิด</x:v>
      </x:c>
      <x:c r="E32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6" s="20" t="str">
        <x:v>แหล่งข้อมูลระบุว่ามี</x:v>
      </x:c>
      <x:c r="G326" s="20" t="str">
        <x:v>ยังไม่พบเอกสารรับรองและวันหมดอายุ</x:v>
      </x:c>
      <x:c r="H326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6" s="20" t="str">
        <x:v>หมู่ที่ 6 ต.เกาะจันทร์ อ.เกาะจันทร์ จ.ชลบุรี 20240 ตำบลเกาะจันทร์ อำเภอเกาะจันทร์ จังหวัดชลบุรี 20240</x:v>
      </x:c>
      <x:c r="J326" s="21" t="str">
        <x:v>080-3052711</x:v>
      </x:c>
      <x:c r="K326" s="23" t="e">
        <x:f>HYPERLINK("https://www.thic.or.th/th/tourist/detail/mosques/256","เปิดแหล่งข้อมูล 1")</x:f>
        <x:v>HYPERLINK is not implemented. linkLocation=https://www.thic.or.th/th/tourist/detail/mosques/256, friendlyName=เปิดแหล่งข้อมูล 1</x:v>
      </x:c>
      <x:c r="L326" s="23" t="e">
        <x:f>HYPERLINK("https://www.picoc.or.th/mosque/detail/21","เปิดแหล่งข้อมูล 2")</x:f>
        <x:v>HYPERLINK is not implemented. linkLocation=https://www.picoc.or.th/mosque/detail/21, friendlyName=เปิดแหล่งข้อมูล 2</x:v>
      </x:c>
      <x:c r="M326" s="20" t="str">
        <x:v>ผลค้นหาชื่อสัมพันธ์จากแหล่งเพิ่มเติม ต้องยืนยันสาขาและข้อมูลปัจจุบัน</x:v>
      </x:c>
      <x:c r="N326" s="10" t="n">
        <x:v>46315</x:v>
      </x:c>
      <x:c r="O326" s="22" t="str">
        <x:v>ยังไม่ตรวจ</x:v>
      </x:c>
      <x:c r="P326" s="22" t="str">
        <x:v>ยังไม่ติดต่อ</x:v>
      </x:c>
    </x:row>
    <x:row r="327" ht="66" customHeight="1">
      <x:c r="A327" s="9" t="n">
        <x:v>319</x:v>
      </x:c>
      <x:c r="B327" s="20" t="str">
        <x:v>มัสยิดดารุ้ลอิบาดะฮ์ (พัทยากลาง)</x:v>
      </x:c>
      <x:c r="C327" s="20" t="str">
        <x:v>ชลบุรี</x:v>
      </x:c>
      <x:c r="D327" s="20" t="str">
        <x:v>มัสยิด</x:v>
      </x:c>
      <x:c r="E32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7" s="20" t="str">
        <x:v>แหล่งข้อมูลระบุว่ามี</x:v>
      </x:c>
      <x:c r="G327" s="20" t="str">
        <x:v>ยังไม่พบเอกสารรับรองและวันหมดอายุ</x:v>
      </x:c>
      <x:c r="H327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7" s="20" t="str">
        <x:v>หมู่ที่ 9 ต.หนองปรือ อ.บางละมุง จ.ชลบุรี 20260 ตำบลหนองปรือ อำเภอบางละมุง จังหวัดชลบุรี 20150</x:v>
      </x:c>
      <x:c r="J327" s="21" t="str">
        <x:v>081-3145518</x:v>
      </x:c>
      <x:c r="K327" s="23" t="e">
        <x:f>HYPERLINK("https://www.thic.or.th/th/tourist/detail/mosques/248","เปิดแหล่งข้อมูล 1")</x:f>
        <x:v>HYPERLINK is not implemented. linkLocation=https://www.thic.or.th/th/tourist/detail/mosques/248, friendlyName=เปิดแหล่งข้อมูล 1</x:v>
      </x:c>
      <x:c r="L327" s="23" t="e">
        <x:f>HYPERLINK("https://www.cicot.or.th/th/mosque/detail/490/5/%E0%B8%A1%E0%B8%B1%E0%B8%AA%E0%B8%A2%E0%B8%B4%E0%B8%94%E0%B8%94%E0%B8%B2%E0%B8%A3%E0%B8%B8%E0%B9%89%E0%B8%A5%E0%B8%AD%E0%B8%B4%E0%B8%9A%E0%B8%B2%E0%B8%94%E0%B8%B0%E0%B8%AE%E0%B9%8C-%E0%B8%9E%E0%B8%B1%E0%B8%97%E0%B8%A2%E0%B8%B2%E0%B8%81%E0%B8%A5%E0%B8%B2%E0%B8%87","เปิดแหล่งข้อมูล 2")</x:f>
        <x:v>HYPERLINK is not implemented. linkLocation=https://www.cicot.or.th/th/mosque/detail/490/5/%E0%B8%A1%E0%B8%B1%E0%B8%AA%E0%B8%A2%E0%B8%B4%E0%B8%94%E0%B8%94%E0%B8%B2%E0%B8%A3%E0%B8%B8%E0%B9%89%E0%B8%A5%E0%B8%AD%E0%B8%B4%E0%B8%9A%E0%B8%B2%E0%B8%94%E0%B8%B0%E0%B8%AE%E0%B9%8C-%E0%B8%9E%E0%B8%B1%E0%B8%97%E0%B8%A2%E0%B8%B2%E0%B8%81%E0%B8%A5%E0%B8%B2%E0%B8%87, friendlyName=เปิดแหล่งข้อมูล 2</x:v>
      </x:c>
      <x:c r="M327" s="20" t="str">
        <x:v>ผลค้นหาชื่อสัมพันธ์จากแหล่งเพิ่มเติม ต้องยืนยันสาขาและข้อมูลปัจจุบัน</x:v>
      </x:c>
      <x:c r="N327" s="10" t="n">
        <x:v>46315</x:v>
      </x:c>
      <x:c r="O327" s="22" t="str">
        <x:v>ยังไม่ตรวจ</x:v>
      </x:c>
      <x:c r="P327" s="22" t="str">
        <x:v>ยังไม่ติดต่อ</x:v>
      </x:c>
    </x:row>
    <x:row r="328" ht="66" customHeight="1">
      <x:c r="A328" s="9" t="n">
        <x:v>320</x:v>
      </x:c>
      <x:c r="B328" s="20" t="str">
        <x:v>มัสยิดตออะติ้ลละฮ์ (พัทยาใต้)</x:v>
      </x:c>
      <x:c r="C328" s="20" t="str">
        <x:v>ชลบุรี</x:v>
      </x:c>
      <x:c r="D328" s="20" t="str">
        <x:v>มัสยิด</x:v>
      </x:c>
      <x:c r="E32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8" s="20" t="str">
        <x:v>แหล่งข้อมูลระบุว่ามี</x:v>
      </x:c>
      <x:c r="G328" s="20" t="str">
        <x:v>ยังไม่พบเอกสารรับรองและวันหมดอายุ</x:v>
      </x:c>
      <x:c r="H328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8" s="20" t="str">
        <x:v>เลขที่ 58 หมูที่ 10 ต.หนองปรือ อ.บางละมุง จ.ชลบุรี 20260 ตำบลหนองปรือ อำเภอบางละมุง จังหวัดชลบุรี 20150</x:v>
      </x:c>
      <x:c r="J328" s="21" t="str">
        <x:v>089-9388786</x:v>
      </x:c>
      <x:c r="K328" s="23" t="e">
        <x:f>HYPERLINK("https://www.thic.or.th/th/tourist/detail/mosques/255","เปิดแหล่งข้อมูล 1")</x:f>
        <x:v>HYPERLINK is not implemented. linkLocation=https://www.thic.or.th/th/tourist/detail/mosques/255, friendlyName=เปิดแหล่งข้อมูล 1</x:v>
      </x:c>
      <x:c r="L328" s="23" t="e">
        <x:f>HYPERLINK("https://www.picoc.or.th/mosque/detail/23","เปิดแหล่งข้อมูล 2")</x:f>
        <x:v>HYPERLINK is not implemented. linkLocation=https://www.picoc.or.th/mosque/detail/23, friendlyName=เปิดแหล่งข้อมูล 2</x:v>
      </x:c>
      <x:c r="M328" s="20" t="str">
        <x:v>ผลค้นหาชื่อสัมพันธ์จากแหล่งเพิ่มเติม ต้องยืนยันสาขาและข้อมูลปัจจุบัน</x:v>
      </x:c>
      <x:c r="N328" s="10" t="n">
        <x:v>46315</x:v>
      </x:c>
      <x:c r="O328" s="22" t="str">
        <x:v>ยังไม่ตรวจ</x:v>
      </x:c>
      <x:c r="P328" s="22" t="str">
        <x:v>ยังไม่ติดต่อ</x:v>
      </x:c>
    </x:row>
    <x:row r="329" ht="66" customHeight="1">
      <x:c r="A329" s="9" t="n">
        <x:v>321</x:v>
      </x:c>
      <x:c r="B329" s="20" t="str">
        <x:v>มัสยิดนูรุลยากีน</x:v>
      </x:c>
      <x:c r="C329" s="20" t="str">
        <x:v>ชลบุรี</x:v>
      </x:c>
      <x:c r="D329" s="20" t="str">
        <x:v>มัสยิด</x:v>
      </x:c>
      <x:c r="E32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29" s="20" t="str">
        <x:v>แหล่งข้อมูลระบุว่ามี</x:v>
      </x:c>
      <x:c r="G329" s="20" t="str">
        <x:v>ยังไม่พบเอกสารรับรองและวันหมดอายุ</x:v>
      </x:c>
      <x:c r="H329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29" s="20" t="str">
        <x:v>หมู่ที่ 5 ต.หนองปรือ อ.บางละมุง จ.ชลบุรี 20150 ตำบลหนองปรือ อำเภอบางละมุง จังหวัดชลบุรี 20150</x:v>
      </x:c>
      <x:c r="J329" s="21" t="str">
        <x:v>089-5440110</x:v>
      </x:c>
      <x:c r="K329" s="23" t="e">
        <x:f>HYPERLINK("https://www.thic.or.th/th/tourist/detail/mosques/246","เปิดแหล่งข้อมูล 1")</x:f>
        <x:v>HYPERLINK is not implemented. linkLocation=https://www.thic.or.th/th/tourist/detail/mosques/246, friendlyName=เปิดแหล่งข้อมูล 1</x:v>
      </x:c>
      <x:c r="L329" s="23" t="e">
        <x:f>HYPERLINK("https://www.picoc.or.th/mosque/detail/28","เปิดแหล่งข้อมูล 2")</x:f>
        <x:v>HYPERLINK is not implemented. linkLocation=https://www.picoc.or.th/mosque/detail/28, friendlyName=เปิดแหล่งข้อมูล 2</x:v>
      </x:c>
      <x:c r="M329" s="20" t="str">
        <x:v>ผลค้นหาชื่อสัมพันธ์จากแหล่งเพิ่มเติม ต้องยืนยันสาขาและข้อมูลปัจจุบัน</x:v>
      </x:c>
      <x:c r="N329" s="10" t="n">
        <x:v>46315</x:v>
      </x:c>
      <x:c r="O329" s="22" t="str">
        <x:v>ยังไม่ตรวจ</x:v>
      </x:c>
      <x:c r="P329" s="22" t="str">
        <x:v>ยังไม่ติดต่อ</x:v>
      </x:c>
    </x:row>
    <x:row r="330" ht="66" customHeight="1">
      <x:c r="A330" s="9" t="n">
        <x:v>322</x:v>
      </x:c>
      <x:c r="B330" s="20" t="str">
        <x:v>มัสยิดนูรุลฮิดายะห์</x:v>
      </x:c>
      <x:c r="C330" s="20" t="str">
        <x:v>ชลบุรี</x:v>
      </x:c>
      <x:c r="D330" s="20" t="str">
        <x:v>มัสยิด</x:v>
      </x:c>
      <x:c r="E33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0" s="20" t="str">
        <x:v>แหล่งข้อมูลระบุว่ามี</x:v>
      </x:c>
      <x:c r="G330" s="20" t="str">
        <x:v>ยังไม่พบเอกสารรับรองและวันหมดอายุ</x:v>
      </x:c>
      <x:c r="H330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0" s="20" t="str">
        <x:v>เลขที่ 9 หมู่ที่ 2 ต.หมอนนาง อ.พนัสนิคม จ.ชลบุรี 20140 ตำบลหมอนนาง อำเภอพนัสนิคม จังหวัดชลบุรี 20140</x:v>
      </x:c>
      <x:c r="J330" s="21" t="str">
        <x:v>099-1578778</x:v>
      </x:c>
      <x:c r="K330" s="23" t="e">
        <x:f>HYPERLINK("https://www.thic.or.th/th/tourist/detail/mosques/260","เปิดแหล่งข้อมูล 1")</x:f>
        <x:v>HYPERLINK is not implemented. linkLocation=https://www.thic.or.th/th/tourist/detail/mosques/260, friendlyName=เปิดแหล่งข้อมูล 1</x:v>
      </x:c>
      <x:c r="L330" s="23" t="e">
        <x:f>HYPERLINK("https://www.cicot.or.th/th/mosque/detail/497/5/%E0%B8%A1%E0%B8%B1%E0%B8%AA%E0%B8%A2%E0%B8%B4%E0%B8%94%E0%B8%99%E0%B8%B9%E0%B8%A3%E0%B8%B8%E0%B8%A5%E0%B8%AE%E0%B8%B4%E0%B8%94%E0%B8%B2%E0%B8%A2%E0%B8%B0%E0%B8%AB%E0%B9%8C","เปิดแหล่งข้อมูล 2")</x:f>
        <x:v>HYPERLINK is not implemented. linkLocation=https://www.cicot.or.th/th/mosque/detail/497/5/%E0%B8%A1%E0%B8%B1%E0%B8%AA%E0%B8%A2%E0%B8%B4%E0%B8%94%E0%B8%99%E0%B8%B9%E0%B8%A3%E0%B8%B8%E0%B8%A5%E0%B8%AE%E0%B8%B4%E0%B8%94%E0%B8%B2%E0%B8%A2%E0%B8%B0%E0%B8%AB%E0%B9%8C, friendlyName=เปิดแหล่งข้อมูล 2</x:v>
      </x:c>
      <x:c r="M330" s="20" t="str">
        <x:v>ผลค้นหาชื่อสัมพันธ์จากแหล่งเพิ่มเติม ต้องยืนยันสาขาและข้อมูลปัจจุบัน</x:v>
      </x:c>
      <x:c r="N330" s="10" t="n">
        <x:v>46315</x:v>
      </x:c>
      <x:c r="O330" s="22" t="str">
        <x:v>ยังไม่ตรวจ</x:v>
      </x:c>
      <x:c r="P330" s="22" t="str">
        <x:v>ยังไม่ติดต่อ</x:v>
      </x:c>
    </x:row>
    <x:row r="331" ht="66" customHeight="1">
      <x:c r="A331" s="9" t="n">
        <x:v>323</x:v>
      </x:c>
      <x:c r="B331" s="20" t="str">
        <x:v>มัสยิดมิฟตาฮุ้นยีนาน</x:v>
      </x:c>
      <x:c r="C331" s="20" t="str">
        <x:v>ชลบุรี</x:v>
      </x:c>
      <x:c r="D331" s="20" t="str">
        <x:v>มัสยิด</x:v>
      </x:c>
      <x:c r="E33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1" s="20" t="str">
        <x:v>แหล่งข้อมูลระบุว่ามี</x:v>
      </x:c>
      <x:c r="G331" s="20" t="str">
        <x:v>ยังไม่พบเอกสารรับรองและวันหมดอายุ</x:v>
      </x:c>
      <x:c r="H331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1" s="20" t="str">
        <x:v>เลขที่ 9 หมู่ที่ 10 ต.หนองเหียง อ.พนัสนิคม จ.ชลบุรี 20140 ตำบลหนองปรือ อำเภอพนัสนิคม จังหวัดชลบุรี 20140</x:v>
      </x:c>
      <x:c r="J331" s="21" t="str">
        <x:v>084-5992812</x:v>
      </x:c>
      <x:c r="K331" s="23" t="e">
        <x:f>HYPERLINK("https://www.thic.or.th/th/tourist/detail/mosques/252","เปิดแหล่งข้อมูล 1")</x:f>
        <x:v>HYPERLINK is not implemented. linkLocation=https://www.thic.or.th/th/tourist/detail/mosques/252, friendlyName=เปิดแหล่งข้อมูล 1</x:v>
      </x:c>
      <x:c r="L331" s="23" t="e">
        <x:f>HYPERLINK("https://www.cicot.or.th/th/mosque/lists/208","เปิดแหล่งข้อมูล 2")</x:f>
        <x:v>HYPERLINK is not implemented. linkLocation=https://www.cicot.or.th/th/mosque/lists/208, friendlyName=เปิดแหล่งข้อมูล 2</x:v>
      </x:c>
      <x:c r="M331" s="20" t="str">
        <x:v>ผลค้นหาชื่อสัมพันธ์จากแหล่งเพิ่มเติม ต้องยืนยันสาขาและข้อมูลปัจจุบัน</x:v>
      </x:c>
      <x:c r="N331" s="10" t="n">
        <x:v>46315</x:v>
      </x:c>
      <x:c r="O331" s="22" t="str">
        <x:v>ยังไม่ตรวจ</x:v>
      </x:c>
      <x:c r="P331" s="22" t="str">
        <x:v>ยังไม่ติดต่อ</x:v>
      </x:c>
    </x:row>
    <x:row r="332" ht="66" customHeight="1">
      <x:c r="A332" s="9" t="n">
        <x:v>324</x:v>
      </x:c>
      <x:c r="B332" s="20" t="str">
        <x:v>มัสยิดสลาม่าตุลเลาะห์</x:v>
      </x:c>
      <x:c r="C332" s="20" t="str">
        <x:v>ชลบุรี</x:v>
      </x:c>
      <x:c r="D332" s="20" t="str">
        <x:v>มัสยิด</x:v>
      </x:c>
      <x:c r="E33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2" s="20" t="str">
        <x:v>แหล่งข้อมูลระบุว่ามี</x:v>
      </x:c>
      <x:c r="G332" s="20" t="str">
        <x:v>ยังไม่พบเอกสารรับรองและวันหมดอายุ</x:v>
      </x:c>
      <x:c r="H332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2" s="20" t="str">
        <x:v>หมู่ที่ 6 ต.สุรศักดิ์ อ.ศรีราชา จ.ชลบุรี 20110 ตำบลสุรศักดิ์ อำเภอศรีราชา จังหวัดชลบุรี 20110</x:v>
      </x:c>
      <x:c r="J332" s="21" t="str">
        <x:v>099-9437336</x:v>
      </x:c>
      <x:c r="K332" s="23" t="e">
        <x:f>HYPERLINK("https://www.thic.or.th/th/tourist/detail/mosques/245","เปิดแหล่งข้อมูล 1")</x:f>
        <x:v>HYPERLINK is not implemented. linkLocation=https://www.thic.or.th/th/tourist/detail/mosques/245, friendlyName=เปิดแหล่งข้อมูล 1</x:v>
      </x:c>
      <x:c r="L332" s="23" t="e">
        <x:f>HYPERLINK("https://www.cicot.or.th/th/mosque/detail/493/5","เปิดแหล่งข้อมูล 2")</x:f>
        <x:v>HYPERLINK is not implemented. linkLocation=https://www.cicot.or.th/th/mosque/detail/493/5, friendlyName=เปิดแหล่งข้อมูล 2</x:v>
      </x:c>
      <x:c r="M332" s="20" t="str">
        <x:v>ผลค้นหาชื่อสัมพันธ์จากแหล่งเพิ่มเติม ต้องยืนยันสาขาและข้อมูลปัจจุบัน</x:v>
      </x:c>
      <x:c r="N332" s="10" t="n">
        <x:v>46315</x:v>
      </x:c>
      <x:c r="O332" s="22" t="str">
        <x:v>ยังไม่ตรวจ</x:v>
      </x:c>
      <x:c r="P332" s="22" t="str">
        <x:v>ยังไม่ติดต่อ</x:v>
      </x:c>
    </x:row>
    <x:row r="333" ht="66" customHeight="1">
      <x:c r="A333" s="9" t="n">
        <x:v>325</x:v>
      </x:c>
      <x:c r="B333" s="20" t="str">
        <x:v>มัสยิดอัล-อิตติฮาดียะห์ (บ้านหนองพรหม)</x:v>
      </x:c>
      <x:c r="C333" s="20" t="str">
        <x:v>ชลบุรี</x:v>
      </x:c>
      <x:c r="D333" s="20" t="str">
        <x:v>มัสยิด</x:v>
      </x:c>
      <x:c r="E33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3" s="20" t="str">
        <x:v>แหล่งข้อมูลระบุว่ามี</x:v>
      </x:c>
      <x:c r="G333" s="20" t="str">
        <x:v>ยังไม่พบเอกสารรับรองและวันหมดอายุ</x:v>
      </x:c>
      <x:c r="H333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3" s="20" t="str">
        <x:v>47/1 หมู่ที่ 2 ต.หมอนนาง อ.พนัสนิคม จ.ชลบุรี 20140 ตำบลหมอนนาง อำเภอพนัสนิคม จังหวัดชลบุรี 20140</x:v>
      </x:c>
      <x:c r="J333" s="21" t="str">
        <x:v>089-5440110</x:v>
      </x:c>
      <x:c r="K333" s="23" t="e">
        <x:f>HYPERLINK("https://www.thic.or.th/th/tourist/detail/mosques/243","เปิดแหล่งข้อมูล 1")</x:f>
        <x:v>HYPERLINK is not implemented. linkLocation=https://www.thic.or.th/th/tourist/detail/mosques/243, friendlyName=เปิดแหล่งข้อมูล 1</x:v>
      </x:c>
      <x:c r="L333" s="23" t="str"/>
      <x:c r="M333" s="20" t="str"/>
      <x:c r="N333" s="10" t="n">
        <x:v>46315</x:v>
      </x:c>
      <x:c r="O333" s="22" t="str">
        <x:v>ยังไม่ตรวจ</x:v>
      </x:c>
      <x:c r="P333" s="22" t="str">
        <x:v>ยังไม่ติดต่อ</x:v>
      </x:c>
    </x:row>
    <x:row r="334" ht="66" customHeight="1">
      <x:c r="A334" s="9" t="n">
        <x:v>326</x:v>
      </x:c>
      <x:c r="B334" s="20" t="str">
        <x:v>มัสยิดอัล-อิตติฮาต</x:v>
      </x:c>
      <x:c r="C334" s="20" t="str">
        <x:v>ชลบุรี</x:v>
      </x:c>
      <x:c r="D334" s="20" t="str">
        <x:v>มัสยิด</x:v>
      </x:c>
      <x:c r="E334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4" s="20" t="str">
        <x:v>แหล่งข้อมูลระบุว่ามี</x:v>
      </x:c>
      <x:c r="G334" s="20" t="str">
        <x:v>ยังไม่พบเอกสารรับรองและวันหมดอายุ</x:v>
      </x:c>
      <x:c r="H334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4" s="20" t="str">
        <x:v>เลขที่ 1 หมู่ที่ 5 ต.บ่อวิน อ.ศรีราชา จ.ชลบุรี 20230 ตำบลบ่อวิน อำเภอศรีราชา จังหวัดชลบุรี 20230</x:v>
      </x:c>
      <x:c r="J334" s="21" t="str">
        <x:v>089-3895968</x:v>
      </x:c>
      <x:c r="K334" s="23" t="e">
        <x:f>HYPERLINK("https://www.thic.or.th/th/tourist/detail/mosques/257","เปิดแหล่งข้อมูล 1")</x:f>
        <x:v>HYPERLINK is not implemented. linkLocation=https://www.thic.or.th/th/tourist/detail/mosques/257, friendlyName=เปิดแหล่งข้อมูล 1</x:v>
      </x:c>
      <x:c r="L334" s="23" t="e">
        <x:f>HYPERLINK("https://www.picoc.or.th/mosque/detail/11","เปิดแหล่งข้อมูล 2")</x:f>
        <x:v>HYPERLINK is not implemented. linkLocation=https://www.picoc.or.th/mosque/detail/11, friendlyName=เปิดแหล่งข้อมูล 2</x:v>
      </x:c>
      <x:c r="M334" s="20" t="str">
        <x:v>ผลค้นหาชื่อสัมพันธ์จากแหล่งเพิ่มเติม ต้องยืนยันสาขาและข้อมูลปัจจุบัน</x:v>
      </x:c>
      <x:c r="N334" s="10" t="n">
        <x:v>46315</x:v>
      </x:c>
      <x:c r="O334" s="22" t="str">
        <x:v>ยังไม่ตรวจ</x:v>
      </x:c>
      <x:c r="P334" s="22" t="str">
        <x:v>ยังไม่ติดต่อ</x:v>
      </x:c>
    </x:row>
    <x:row r="335" ht="66" customHeight="1">
      <x:c r="A335" s="9" t="n">
        <x:v>327</x:v>
      </x:c>
      <x:c r="B335" s="20" t="str">
        <x:v>มัสยิดอัล-ฮุสนา</x:v>
      </x:c>
      <x:c r="C335" s="20" t="str">
        <x:v>ชลบุรี</x:v>
      </x:c>
      <x:c r="D335" s="20" t="str">
        <x:v>มัสยิด</x:v>
      </x:c>
      <x:c r="E33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5" s="20" t="str">
        <x:v>แหล่งข้อมูลระบุว่ามี</x:v>
      </x:c>
      <x:c r="G335" s="20" t="str">
        <x:v>ยังไม่พบเอกสารรับรองและวันหมดอายุ</x:v>
      </x:c>
      <x:c r="H335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5" s="20" t="str">
        <x:v>เลขที่ 18 หมู่ที่ 13 ต.หนองเหียง อ.พนัสนิคม จ.ชลบุรี 20140 ตำบลพนัสนิคม อำเภอพนัสนิคม จังหวัดชลบุรี 20140</x:v>
      </x:c>
      <x:c r="J335" s="21" t="str">
        <x:v>085-0844841</x:v>
      </x:c>
      <x:c r="K335" s="23" t="e">
        <x:f>HYPERLINK("https://www.thic.or.th/th/tourist/detail/mosques/253","เปิดแหล่งข้อมูล 1")</x:f>
        <x:v>HYPERLINK is not implemented. linkLocation=https://www.thic.or.th/th/tourist/detail/mosques/253, friendlyName=เปิดแหล่งข้อมูล 1</x:v>
      </x:c>
      <x:c r="L335" s="23" t="e">
        <x:f>HYPERLINK("https://www.picoc.or.th/mosque/detail/15","เปิดแหล่งข้อมูล 2")</x:f>
        <x:v>HYPERLINK is not implemented. linkLocation=https://www.picoc.or.th/mosque/detail/15, friendlyName=เปิดแหล่งข้อมูล 2</x:v>
      </x:c>
      <x:c r="M335" s="20" t="str">
        <x:v>ผลค้นหาชื่อสัมพันธ์จากแหล่งเพิ่มเติม ต้องยืนยันสาขาและข้อมูลปัจจุบัน</x:v>
      </x:c>
      <x:c r="N335" s="10" t="n">
        <x:v>46315</x:v>
      </x:c>
      <x:c r="O335" s="22" t="str">
        <x:v>ยังไม่ตรวจ</x:v>
      </x:c>
      <x:c r="P335" s="22" t="str">
        <x:v>ยังไม่ติดต่อ</x:v>
      </x:c>
    </x:row>
    <x:row r="336" ht="66" customHeight="1">
      <x:c r="A336" s="9" t="n">
        <x:v>328</x:v>
      </x:c>
      <x:c r="B336" s="20" t="str">
        <x:v>มัสยิดอัลอิตติฟากียะฮ์</x:v>
      </x:c>
      <x:c r="C336" s="20" t="str">
        <x:v>ชลบุรี</x:v>
      </x:c>
      <x:c r="D336" s="20" t="str">
        <x:v>มัสยิด</x:v>
      </x:c>
      <x:c r="E33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6" s="20" t="str">
        <x:v>แหล่งข้อมูลระบุว่ามี</x:v>
      </x:c>
      <x:c r="G336" s="20" t="str">
        <x:v>ยังไม่พบเอกสารรับรองและวันหมดอายุ</x:v>
      </x:c>
      <x:c r="H336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6" s="20" t="str">
        <x:v>หมู่ที่ 1 ต.นาเริก อ.พนัสนิคม จ.ชลบุรี 20140 ตำบลนาเริก อำเภอพนัสนิคม จังหวัดชลบุรี 20140</x:v>
      </x:c>
      <x:c r="J336" s="21" t="str">
        <x:v>084-8667631</x:v>
      </x:c>
      <x:c r="K336" s="23" t="e">
        <x:f>HYPERLINK("https://www.thic.or.th/th/tourist/detail/mosques/242","เปิดแหล่งข้อมูล 1")</x:f>
        <x:v>HYPERLINK is not implemented. linkLocation=https://www.thic.or.th/th/tourist/detail/mosques/242, friendlyName=เปิดแหล่งข้อมูล 1</x:v>
      </x:c>
      <x:c r="L336" s="23" t="str"/>
      <x:c r="M336" s="20" t="str"/>
      <x:c r="N336" s="10" t="n">
        <x:v>46315</x:v>
      </x:c>
      <x:c r="O336" s="22" t="str">
        <x:v>ยังไม่ตรวจ</x:v>
      </x:c>
      <x:c r="P336" s="22" t="str">
        <x:v>ยังไม่ติดต่อ</x:v>
      </x:c>
    </x:row>
    <x:row r="337" ht="66" customHeight="1">
      <x:c r="A337" s="9" t="n">
        <x:v>329</x:v>
      </x:c>
      <x:c r="B337" s="20" t="str">
        <x:v>มัสยิดอาลียิ้ลกามี่ลัยน์</x:v>
      </x:c>
      <x:c r="C337" s="20" t="str">
        <x:v>ชลบุรี</x:v>
      </x:c>
      <x:c r="D337" s="20" t="str">
        <x:v>มัสยิด</x:v>
      </x:c>
      <x:c r="E33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7" s="20" t="str">
        <x:v>แหล่งข้อมูลระบุว่ามี</x:v>
      </x:c>
      <x:c r="G337" s="20" t="str">
        <x:v>ยังไม่พบเอกสารรับรองและวันหมดอายุ</x:v>
      </x:c>
      <x:c r="H337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7" s="20" t="str">
        <x:v>หมู่ที่ 2 ต.สุรศักดิ์ อ.ศรีราชา จ.ชลบุรี 20110 ตำบลสุรศักดิ์ อำเภอศรีราชา จังหวัดชลบุรี 20110</x:v>
      </x:c>
      <x:c r="J337" s="21" t="str">
        <x:v>087-6141622</x:v>
      </x:c>
      <x:c r="K337" s="23" t="e">
        <x:f>HYPERLINK("https://www.thic.or.th/th/tourist/detail/mosques/244","เปิดแหล่งข้อมูล 1")</x:f>
        <x:v>HYPERLINK is not implemented. linkLocation=https://www.thic.or.th/th/tourist/detail/mosques/244, friendlyName=เปิดแหล่งข้อมูล 1</x:v>
      </x:c>
      <x:c r="L337" s="23" t="e">
        <x:f>HYPERLINK("https://www.cicot.or.th/th/mosque/lists/209","เปิดแหล่งข้อมูล 2")</x:f>
        <x:v>HYPERLINK is not implemented. linkLocation=https://www.cicot.or.th/th/mosque/lists/209, friendlyName=เปิดแหล่งข้อมูล 2</x:v>
      </x:c>
      <x:c r="M337" s="20" t="str">
        <x:v>ผลค้นหาชื่อสัมพันธ์จากแหล่งเพิ่มเติม ต้องยืนยันสาขาและข้อมูลปัจจุบัน</x:v>
      </x:c>
      <x:c r="N337" s="10" t="n">
        <x:v>46315</x:v>
      </x:c>
      <x:c r="O337" s="22" t="str">
        <x:v>ยังไม่ตรวจ</x:v>
      </x:c>
      <x:c r="P337" s="22" t="str">
        <x:v>ยังไม่ติดต่อ</x:v>
      </x:c>
    </x:row>
    <x:row r="338" ht="66" customHeight="1">
      <x:c r="A338" s="9" t="n">
        <x:v>330</x:v>
      </x:c>
      <x:c r="B338" s="20" t="str">
        <x:v>มัสยิดฮารูณมุสตอฟา</x:v>
      </x:c>
      <x:c r="C338" s="20" t="str">
        <x:v>ชลบุรี</x:v>
      </x:c>
      <x:c r="D338" s="20" t="str">
        <x:v>มัสยิด</x:v>
      </x:c>
      <x:c r="E33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8" s="20" t="str">
        <x:v>แหล่งข้อมูลระบุว่ามี</x:v>
      </x:c>
      <x:c r="G338" s="20" t="str">
        <x:v>ยังไม่พบเอกสารรับรองและวันหมดอายุ</x:v>
      </x:c>
      <x:c r="H338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8" s="20" t="str">
        <x:v>เลขที่ 453 หมู่ที่ 7 ต.เกาะจันทร์ อ.เกาะจันทร์ จ.ชลบุรี 20240 ตำบลเกาะจันทร์ อำเภอเกาะจันทร์ จังหวัดชลบุรี 20240</x:v>
      </x:c>
      <x:c r="J338" s="21" t="str">
        <x:v>084-7253285</x:v>
      </x:c>
      <x:c r="K338" s="23" t="e">
        <x:f>HYPERLINK("https://www.thic.or.th/th/tourist/detail/mosques/258","เปิดแหล่งข้อมูล 1")</x:f>
        <x:v>HYPERLINK is not implemented. linkLocation=https://www.thic.or.th/th/tourist/detail/mosques/258, friendlyName=เปิดแหล่งข้อมูล 1</x:v>
      </x:c>
      <x:c r="L338" s="23" t="e">
        <x:f>HYPERLINK("https://www.cicot.or.th/th/mosque/detail/503/5/%E0%B8%A1%E0%B8%B1%E0%B8%AA%E0%B8%A2%E0%B8%B4%E0%B8%94%E0%B8%AE%E0%B8%B2%E0%B8%A3%E0%B8%B9%E0%B8%93%E0%B8%A1%E0%B8%B8%E0%B8%AA%E0%B8%95%E0%B8%AD%E0%B8%9F%E0%B8%B2","เปิดแหล่งข้อมูล 2")</x:f>
        <x:v>HYPERLINK is not implemented. linkLocation=https://www.cicot.or.th/th/mosque/detail/503/5/%E0%B8%A1%E0%B8%B1%E0%B8%AA%E0%B8%A2%E0%B8%B4%E0%B8%94%E0%B8%AE%E0%B8%B2%E0%B8%A3%E0%B8%B9%E0%B8%93%E0%B8%A1%E0%B8%B8%E0%B8%AA%E0%B8%95%E0%B8%AD%E0%B8%9F%E0%B8%B2, friendlyName=เปิดแหล่งข้อมูล 2</x:v>
      </x:c>
      <x:c r="M338" s="20" t="str">
        <x:v>ผลค้นหาชื่อสัมพันธ์จากแหล่งเพิ่มเติม ต้องยืนยันสาขาและข้อมูลปัจจุบัน</x:v>
      </x:c>
      <x:c r="N338" s="10" t="n">
        <x:v>46315</x:v>
      </x:c>
      <x:c r="O338" s="22" t="str">
        <x:v>ยังไม่ตรวจ</x:v>
      </x:c>
      <x:c r="P338" s="22" t="str">
        <x:v>ยังไม่ติดต่อ</x:v>
      </x:c>
    </x:row>
    <x:row r="339" ht="66" customHeight="1">
      <x:c r="A339" s="9" t="n">
        <x:v>331</x:v>
      </x:c>
      <x:c r="B339" s="20" t="str">
        <x:v>มัสยิดฮิดาย่าตุสซาลีกีน</x:v>
      </x:c>
      <x:c r="C339" s="20" t="str">
        <x:v>ชลบุรี</x:v>
      </x:c>
      <x:c r="D339" s="20" t="str">
        <x:v>มัสยิด</x:v>
      </x:c>
      <x:c r="E33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39" s="20" t="str">
        <x:v>แหล่งข้อมูลระบุว่ามี</x:v>
      </x:c>
      <x:c r="G339" s="20" t="str">
        <x:v>ยังไม่พบเอกสารรับรองและวันหมดอายุ</x:v>
      </x:c>
      <x:c r="H339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39" s="20" t="str">
        <x:v>เลขที่ 133 หมู่ที่ 6 ต.นาเกลือ อ.บางละมุง จ.ชลบุรี 20150 ตำบลนาเกลือ อำเภอบางละมุง จังหวัดชลบุรี 20150</x:v>
      </x:c>
      <x:c r="J339" s="21" t="str">
        <x:v>089-2478358</x:v>
      </x:c>
      <x:c r="K339" s="23" t="e">
        <x:f>HYPERLINK("https://www.thic.or.th/th/tourist/detail/mosques/247","เปิดแหล่งข้อมูล 1")</x:f>
        <x:v>HYPERLINK is not implemented. linkLocation=https://www.thic.or.th/th/tourist/detail/mosques/247, friendlyName=เปิดแหล่งข้อมูล 1</x:v>
      </x:c>
      <x:c r="L339" s="23" t="e">
        <x:f>HYPERLINK("https://www.cicot.or.th/th/mosque/detail/491/5/%E0%B8%A1%E0%B8%B1%E0%B8%AA%E0%B8%A2%E0%B8%B4%E0%B8%94%E0%B8%AE%E0%B8%B4%E0%B8%94%E0%B8%B2%E0%B8%A2%E0%B9%88%E0%B8%B2%E0%B8%95%E0%B8%B8%E0%B8%AA%E0%B8%8B%E0%B8%B2%E0%B8%A5%E0%B8%B5%E0%B8%81%E0%B8%B5%E0%B8%99","เปิดแหล่งข้อมูล 2")</x:f>
        <x:v>HYPERLINK is not implemented. linkLocation=https://www.cicot.or.th/th/mosque/detail/491/5/%E0%B8%A1%E0%B8%B1%E0%B8%AA%E0%B8%A2%E0%B8%B4%E0%B8%94%E0%B8%AE%E0%B8%B4%E0%B8%94%E0%B8%B2%E0%B8%A2%E0%B9%88%E0%B8%B2%E0%B8%95%E0%B8%B8%E0%B8%AA%E0%B8%8B%E0%B8%B2%E0%B8%A5%E0%B8%B5%E0%B8%81%E0%B8%B5%E0%B8%99, friendlyName=เปิดแหล่งข้อมูล 2</x:v>
      </x:c>
      <x:c r="M339" s="20" t="str">
        <x:v>ผลค้นหาชื่อสัมพันธ์จากแหล่งเพิ่มเติม ต้องยืนยันสาขาและข้อมูลปัจจุบัน</x:v>
      </x:c>
      <x:c r="N339" s="10" t="n">
        <x:v>46315</x:v>
      </x:c>
      <x:c r="O339" s="22" t="str">
        <x:v>ยังไม่ตรวจ</x:v>
      </x:c>
      <x:c r="P339" s="22" t="str">
        <x:v>ยังไม่ติดต่อ</x:v>
      </x:c>
    </x:row>
    <x:row r="340" ht="66" customHeight="1">
      <x:c r="A340" s="9" t="n">
        <x:v>332</x:v>
      </x:c>
      <x:c r="B340" s="20" t="str">
        <x:v>มัสยิดแซ็คมูฮำหมัดอาลี</x:v>
      </x:c>
      <x:c r="C340" s="20" t="str">
        <x:v>ชลบุรี</x:v>
      </x:c>
      <x:c r="D340" s="20" t="str">
        <x:v>มัสยิด</x:v>
      </x:c>
      <x:c r="E340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40" s="20" t="str">
        <x:v>แหล่งข้อมูลระบุว่ามี</x:v>
      </x:c>
      <x:c r="G340" s="20" t="str">
        <x:v>ยังไม่พบเอกสารรับรองและวันหมดอายุ</x:v>
      </x:c>
      <x:c r="H340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40" s="20" t="str">
        <x:v>หมู่ที่ 6 ต.หนองปรือ อ.บางละมุง จ.ชลบุรี 20150 ตำบลหนองปรือ อำเภอบางละมุง จังหวัดชลบุรี 20150</x:v>
      </x:c>
      <x:c r="J340" s="21" t="str">
        <x:v>084-6609783</x:v>
      </x:c>
      <x:c r="K340" s="23" t="e">
        <x:f>HYPERLINK("https://www.thic.or.th/th/tourist/detail/mosques/249","เปิดแหล่งข้อมูล 1")</x:f>
        <x:v>HYPERLINK is not implemented. linkLocation=https://www.thic.or.th/th/tourist/detail/mosques/249, friendlyName=เปิดแหล่งข้อมูล 1</x:v>
      </x:c>
      <x:c r="L340" s="23" t="e">
        <x:f>HYPERLINK("https://www.cicot.or.th/th/mosque/detail/510/5/%E0%B8%A1%E0%B8%B1%E0%B8%AA%E0%B8%A2%E0%B8%B4%E0%B8%94%E0%B9%81%E0%B8%8B%E0%B9%87%E0%B8%84%E0%B8%A1%E0%B8%B9%E0%B8%AE%E0%B8%B3%E0%B8%AB%E0%B8%A1%E0%B8%B1%E0%B8%94%E0%B8%AD%E0%B8%B2%E0%B8%A5%E0%B8%B5","เปิดแหล่งข้อมูล 2")</x:f>
        <x:v>HYPERLINK is not implemented. linkLocation=https://www.cicot.or.th/th/mosque/detail/510/5/%E0%B8%A1%E0%B8%B1%E0%B8%AA%E0%B8%A2%E0%B8%B4%E0%B8%94%E0%B9%81%E0%B8%8B%E0%B9%87%E0%B8%84%E0%B8%A1%E0%B8%B9%E0%B8%AE%E0%B8%B3%E0%B8%AB%E0%B8%A1%E0%B8%B1%E0%B8%94%E0%B8%AD%E0%B8%B2%E0%B8%A5%E0%B8%B5, friendlyName=เปิดแหล่งข้อมูล 2</x:v>
      </x:c>
      <x:c r="M340" s="20" t="str">
        <x:v>ผลค้นหาชื่อสัมพันธ์จากแหล่งเพิ่มเติม ต้องยืนยันสาขาและข้อมูลปัจจุบัน</x:v>
      </x:c>
      <x:c r="N340" s="10" t="n">
        <x:v>46315</x:v>
      </x:c>
      <x:c r="O340" s="22" t="str">
        <x:v>ยังไม่ตรวจ</x:v>
      </x:c>
      <x:c r="P340" s="22" t="str">
        <x:v>ยังไม่ติดต่อ</x:v>
      </x:c>
    </x:row>
    <x:row r="341" ht="66" customHeight="1">
      <x:c r="A341" s="9" t="n">
        <x:v>333</x:v>
      </x:c>
      <x:c r="B341" s="20" t="str">
        <x:v>นิซีผลไม้ (ท่าเรืออ่าวธรรมชาติ)</x:v>
      </x:c>
      <x:c r="C341" s="20" t="str">
        <x:v>ตราด</x:v>
      </x:c>
      <x:c r="D341" s="20" t="str">
        <x:v>ร้านอาหาร</x:v>
      </x:c>
      <x:c r="E341" s="20" t="str">
        <x:v>Makan Verify; ช่องห้องละหมาดไม่ได้ทำเครื่องหมายว่ามี</x:v>
      </x:c>
      <x:c r="F341" s="20" t="str">
        <x:v>ไม่ได้ทำเครื่องหมายว่ามี / ต้องยืนยัน</x:v>
      </x:c>
      <x:c r="G341" s="20" t="str">
        <x:v>ยังไม่พบเอกสารรับรองและวันหมดอายุ</x:v>
      </x:c>
      <x:c r="H34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41" s="20" t="str">
        <x:v>ท่าเรือเกาะช้าง อ่าวธรรมชาติ ตำบลคลองใหญ่ อำเภอแหลมงอบ จังหวัดตราด 23120</x:v>
      </x:c>
      <x:c r="J341" s="21" t="str">
        <x:v>0992738416</x:v>
      </x:c>
      <x:c r="K341" s="23" t="e">
        <x:f>HYPERLINK("https://makanhalalguide.com/shop/detail/5247","เปิดแหล่งข้อมูล 1")</x:f>
        <x:v>HYPERLINK is not implemented. linkLocation=https://makanhalalguide.com/shop/detail/5247, friendlyName=เปิดแหล่งข้อมูล 1</x:v>
      </x:c>
      <x:c r="L341" s="23" t="str"/>
      <x:c r="M341" s="20" t="str"/>
      <x:c r="N341" s="10" t="n">
        <x:v>46315</x:v>
      </x:c>
      <x:c r="O341" s="22" t="str">
        <x:v>ยังไม่ตรวจ</x:v>
      </x:c>
      <x:c r="P341" s="22" t="str">
        <x:v>ยังไม่ติดต่อ</x:v>
      </x:c>
    </x:row>
    <x:row r="342" ht="66" customHeight="1">
      <x:c r="A342" s="9" t="n">
        <x:v>334</x:v>
      </x:c>
      <x:c r="B342" s="20" t="str">
        <x:v>น้องอานัส ข้าวแกงปักษ์ใต้</x:v>
      </x:c>
      <x:c r="C342" s="20" t="str">
        <x:v>ตราด</x:v>
      </x:c>
      <x:c r="D342" s="20" t="str">
        <x:v>ร้านอาหาร</x:v>
      </x:c>
      <x:c r="E342" s="20" t="str">
        <x:v>Makan Verify; ช่องห้องละหมาดไม่ได้ทำเครื่องหมายว่ามี</x:v>
      </x:c>
      <x:c r="F342" s="20" t="str">
        <x:v>ไม่ได้ทำเครื่องหมายว่ามี / ต้องยืนยัน</x:v>
      </x:c>
      <x:c r="G342" s="20" t="str">
        <x:v>ยังไม่พบเอกสารรับรองและวันหมดอายุ</x:v>
      </x:c>
      <x:c r="H34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42" s="20" t="str">
        <x:v>ถนนโยธาธิการ ตำบลเกาะช้าง อำเภอเกาะช้าง จังหวัดตราด 23170 (ข้าง CJ Express)</x:v>
      </x:c>
      <x:c r="J342" s="21" t="str">
        <x:v>0829422885</x:v>
      </x:c>
      <x:c r="K342" s="23" t="e">
        <x:f>HYPERLINK("https://makanhalalguide.com/shop/detail/5252","เปิดแหล่งข้อมูล 1")</x:f>
        <x:v>HYPERLINK is not implemented. linkLocation=https://makanhalalguide.com/shop/detail/5252, friendlyName=เปิดแหล่งข้อมูล 1</x:v>
      </x:c>
      <x:c r="L342" s="23" t="str"/>
      <x:c r="M342" s="20" t="str"/>
      <x:c r="N342" s="10" t="n">
        <x:v>46315</x:v>
      </x:c>
      <x:c r="O342" s="22" t="str">
        <x:v>ยังไม่ตรวจ</x:v>
      </x:c>
      <x:c r="P342" s="22" t="str">
        <x:v>ยังไม่ติดต่อ</x:v>
      </x:c>
    </x:row>
    <x:row r="343" ht="66" customHeight="1">
      <x:c r="A343" s="9" t="n">
        <x:v>335</x:v>
      </x:c>
      <x:c r="B343" s="20" t="str">
        <x:v>ฮัจเญาะห์ซาเราะห์ สมุนไพรไก่ทอด</x:v>
      </x:c>
      <x:c r="C343" s="20" t="str">
        <x:v>ตราด</x:v>
      </x:c>
      <x:c r="D343" s="20" t="str">
        <x:v>ร้านอาหาร</x:v>
      </x:c>
      <x:c r="E343" s="20" t="str">
        <x:v>Makan Verify; ช่องห้องละหมาดไม่ได้ทำเครื่องหมายว่ามี</x:v>
      </x:c>
      <x:c r="F343" s="20" t="str">
        <x:v>ไม่ได้ทำเครื่องหมายว่ามี / ต้องยืนยัน</x:v>
      </x:c>
      <x:c r="G343" s="20" t="str">
        <x:v>ยังไม่พบเอกสารรับรองและวันหมดอายุ</x:v>
      </x:c>
      <x:c r="H34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43" s="20" t="str">
        <x:v>ถนนโยธาธิการ ตำบลเกาะช้าง อำเภอเกาะช้าง จังหวัดตราด 23170 (หน้า 7-Eleven สาขา เกาะช้าง-มาบค้างคาว)</x:v>
      </x:c>
      <x:c r="J343" s="21" t="str">
        <x:v>0985215286</x:v>
      </x:c>
      <x:c r="K343" s="23" t="e">
        <x:f>HYPERLINK("https://makanhalalguide.com/shop/detail/5253","เปิดแหล่งข้อมูล 1")</x:f>
        <x:v>HYPERLINK is not implemented. linkLocation=https://makanhalalguide.com/shop/detail/5253, friendlyName=เปิดแหล่งข้อมูล 1</x:v>
      </x:c>
      <x:c r="L343" s="23" t="str"/>
      <x:c r="M343" s="20" t="str"/>
      <x:c r="N343" s="10" t="n">
        <x:v>46315</x:v>
      </x:c>
      <x:c r="O343" s="22" t="str">
        <x:v>ยังไม่ตรวจ</x:v>
      </x:c>
      <x:c r="P343" s="22" t="str">
        <x:v>ยังไม่ติดต่อ</x:v>
      </x:c>
    </x:row>
    <x:row r="344" ht="66" customHeight="1">
      <x:c r="A344" s="9" t="n">
        <x:v>336</x:v>
      </x:c>
      <x:c r="B344" s="20" t="str">
        <x:v>Aria Restaurant</x:v>
      </x:c>
      <x:c r="C344" s="20" t="str">
        <x:v>นครราชสีมา</x:v>
      </x:c>
      <x:c r="D344" s="20" t="str">
        <x:v>ร้านอาหาร</x:v>
      </x:c>
      <x:c r="E344" s="20" t="str">
        <x:v>Makan Verify; ช่องห้องละหมาดไม่ได้ทำเครื่องหมายว่ามี</x:v>
      </x:c>
      <x:c r="F344" s="20" t="str">
        <x:v>ไม่ได้ทำเครื่องหมายว่ามี / ต้องยืนยัน</x:v>
      </x:c>
      <x:c r="G344" s="20" t="str">
        <x:v>ยังไม่พบเอกสารรับรองและวันหมดอายุ</x:v>
      </x:c>
      <x:c r="H34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44" s="20" t="str">
        <x:v>อำเภอปากช่อง นครราชสีมา 30130</x:v>
      </x:c>
      <x:c r="J344" s="21" t="str">
        <x:v>0883524904</x:v>
      </x:c>
      <x:c r="K344" s="23" t="e">
        <x:f>HYPERLINK("https://makanhalalguide.com/shop/detail/6224","เปิดแหล่งข้อมูล 1")</x:f>
        <x:v>HYPERLINK is not implemented. linkLocation=https://makanhalalguide.com/shop/detail/6224, friendlyName=เปิดแหล่งข้อมูล 1</x:v>
      </x:c>
      <x:c r="L344" s="23" t="str"/>
      <x:c r="M344" s="20" t="str"/>
      <x:c r="N344" s="10" t="n">
        <x:v>46315</x:v>
      </x:c>
      <x:c r="O344" s="22" t="str">
        <x:v>ยังไม่ตรวจ</x:v>
      </x:c>
      <x:c r="P344" s="22" t="str">
        <x:v>ยังไม่ติดต่อ</x:v>
      </x:c>
    </x:row>
    <x:row r="345" ht="66" customHeight="1">
      <x:c r="A345" s="9" t="n">
        <x:v>337</x:v>
      </x:c>
      <x:c r="B345" s="20" t="str">
        <x:v>I HA DA ME</x:v>
      </x:c>
      <x:c r="C345" s="20" t="str">
        <x:v>นครราชสีมา</x:v>
      </x:c>
      <x:c r="D345" s="20" t="str">
        <x:v>ร้านอาหาร</x:v>
      </x:c>
      <x:c r="E345" s="20" t="str">
        <x:v>Makan Verify; ช่องห้องละหมาดไม่ได้ทำเครื่องหมายว่ามี</x:v>
      </x:c>
      <x:c r="F345" s="20" t="str">
        <x:v>ไม่ได้ทำเครื่องหมายว่ามี / ต้องยืนยัน</x:v>
      </x:c>
      <x:c r="G345" s="20" t="str">
        <x:v>ยังไม่พบเอกสารรับรองและวันหมดอายุ</x:v>
      </x:c>
      <x:c r="H34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45" s="20" t="str">
        <x:v>จุดชมวิว กังหันลมเขายายเที่ยงตำบล คลองไผ่ อำเภอสีคิ้ว นครราชสีมา 30340</x:v>
      </x:c>
      <x:c r="J345" s="21" t="str">
        <x:v>0819060823</x:v>
      </x:c>
      <x:c r="K345" s="23" t="e">
        <x:f>HYPERLINK("https://makanhalalguide.com/shop/detail/6211","เปิดแหล่งข้อมูล 1")</x:f>
        <x:v>HYPERLINK is not implemented. linkLocation=https://makanhalalguide.com/shop/detail/6211, friendlyName=เปิดแหล่งข้อมูล 1</x:v>
      </x:c>
      <x:c r="L345" s="23" t="str"/>
      <x:c r="M345" s="20" t="str"/>
      <x:c r="N345" s="10" t="n">
        <x:v>46315</x:v>
      </x:c>
      <x:c r="O345" s="22" t="str">
        <x:v>ยังไม่ตรวจ</x:v>
      </x:c>
      <x:c r="P345" s="22" t="str">
        <x:v>ยังไม่ติดต่อ</x:v>
      </x:c>
    </x:row>
    <x:row r="346" ht="66" customHeight="1">
      <x:c r="A346" s="9" t="n">
        <x:v>338</x:v>
      </x:c>
      <x:c r="B346" s="20" t="str">
        <x:v>JR. โรตี</x:v>
      </x:c>
      <x:c r="C346" s="20" t="str">
        <x:v>นครราชสีมา</x:v>
      </x:c>
      <x:c r="D346" s="20" t="str">
        <x:v>คาเฟ่และร้านของหวาน</x:v>
      </x:c>
      <x:c r="E346" s="20" t="str">
        <x:v>Makan Verify; ช่องห้องละหมาดไม่ได้ทำเครื่องหมายว่ามี</x:v>
      </x:c>
      <x:c r="F346" s="20" t="str">
        <x:v>ไม่ได้ทำเครื่องหมายว่ามี / ต้องยืนยัน</x:v>
      </x:c>
      <x:c r="G346" s="20" t="str">
        <x:v>ยังไม่พบเอกสารรับรองและวันหมดอายุ</x:v>
      </x:c>
      <x:c r="H34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46" s="20" t="str">
        <x:v>จุดชมวิว กังหันลมเขายายเที่ยงตำบล คลองไผ่ อำเภอสีคิ้ว นครราชสีมา 30340</x:v>
      </x:c>
      <x:c r="J346" s="21" t="str">
        <x:v>0635800808</x:v>
      </x:c>
      <x:c r="K346" s="23" t="e">
        <x:f>HYPERLINK("https://makanhalalguide.com/shop/detail/6210","เปิดแหล่งข้อมูล 1")</x:f>
        <x:v>HYPERLINK is not implemented. linkLocation=https://makanhalalguide.com/shop/detail/6210, friendlyName=เปิดแหล่งข้อมูล 1</x:v>
      </x:c>
      <x:c r="L346" s="23" t="str"/>
      <x:c r="M346" s="20" t="str"/>
      <x:c r="N346" s="10" t="n">
        <x:v>46315</x:v>
      </x:c>
      <x:c r="O346" s="22" t="str">
        <x:v>ยังไม่ตรวจ</x:v>
      </x:c>
      <x:c r="P346" s="22" t="str">
        <x:v>ยังไม่ติดต่อ</x:v>
      </x:c>
    </x:row>
    <x:row r="347" ht="66" customHeight="1">
      <x:c r="A347" s="9" t="n">
        <x:v>339</x:v>
      </x:c>
      <x:c r="B347" s="20" t="str">
        <x:v>R.K. BURGER</x:v>
      </x:c>
      <x:c r="C347" s="20" t="str">
        <x:v>นครราชสีมา</x:v>
      </x:c>
      <x:c r="D347" s="20" t="str">
        <x:v>ร้านอาหาร</x:v>
      </x:c>
      <x:c r="E347" s="20" t="str">
        <x:v>Makan Verify; ช่องห้องละหมาดไม่ได้ทำเครื่องหมายว่ามี</x:v>
      </x:c>
      <x:c r="F347" s="20" t="str">
        <x:v>ไม่ได้ทำเครื่องหมายว่ามี / ต้องยืนยัน</x:v>
      </x:c>
      <x:c r="G347" s="20" t="str">
        <x:v>ยังไม่พบเอกสารรับรองและวันหมดอายุ</x:v>
      </x:c>
      <x:c r="H34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47" s="20" t="str">
        <x:v>ตลาดนัดเปิดท้ายเซฟวัน โซนหลังคาโค้ง  อ. เมืองนครราชสีมา / จ. นครราชสีมา 30000</x:v>
      </x:c>
      <x:c r="J347" s="21" t="str">
        <x:v>0916732053</x:v>
      </x:c>
      <x:c r="K347" s="23" t="e">
        <x:f>HYPERLINK("https://makanhalalguide.com/shop/detail/6240","เปิดแหล่งข้อมูล 1")</x:f>
        <x:v>HYPERLINK is not implemented. linkLocation=https://makanhalalguide.com/shop/detail/6240, friendlyName=เปิดแหล่งข้อมูล 1</x:v>
      </x:c>
      <x:c r="L347" s="23" t="str"/>
      <x:c r="M347" s="20" t="str"/>
      <x:c r="N347" s="10" t="n">
        <x:v>46315</x:v>
      </x:c>
      <x:c r="O347" s="22" t="str">
        <x:v>ยังไม่ตรวจ</x:v>
      </x:c>
      <x:c r="P347" s="22" t="str">
        <x:v>ยังไม่ติดต่อ</x:v>
      </x:c>
    </x:row>
    <x:row r="348" ht="66" customHeight="1">
      <x:c r="A348" s="9" t="n">
        <x:v>340</x:v>
      </x:c>
      <x:c r="B348" s="20" t="str">
        <x:v>ก๊ะรุ่ง ข้าวแกงใต้แอบแซ่บ</x:v>
      </x:c>
      <x:c r="C348" s="20" t="str">
        <x:v>นครราชสีมา</x:v>
      </x:c>
      <x:c r="D348" s="20" t="str">
        <x:v>ร้านอาหาร</x:v>
      </x:c>
      <x:c r="E348" s="20" t="str">
        <x:v>Makan Verify; ช่องห้องละหมาดไม่ได้ทำเครื่องหมายว่ามี</x:v>
      </x:c>
      <x:c r="F348" s="20" t="str">
        <x:v>ไม่ได้ทำเครื่องหมายว่ามี / ต้องยืนยัน</x:v>
      </x:c>
      <x:c r="G348" s="20" t="str">
        <x:v>ยังไม่พบเอกสารรับรองและวันหมดอายุ</x:v>
      </x:c>
      <x:c r="H34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48" s="20" t="str">
        <x:v>318 4 สวนมะพร้าว ตำบล หมื่นไวย เมือง นครราชสีมา 30000</x:v>
      </x:c>
      <x:c r="J348" s="21" t="str">
        <x:v>0983405657</x:v>
      </x:c>
      <x:c r="K348" s="23" t="e">
        <x:f>HYPERLINK("https://makanhalalguide.com/shop/detail/6231","เปิดแหล่งข้อมูล 1")</x:f>
        <x:v>HYPERLINK is not implemented. linkLocation=https://makanhalalguide.com/shop/detail/6231, friendlyName=เปิดแหล่งข้อมูล 1</x:v>
      </x:c>
      <x:c r="L348" s="23" t="str"/>
      <x:c r="M348" s="20" t="str"/>
      <x:c r="N348" s="10" t="n">
        <x:v>46315</x:v>
      </x:c>
      <x:c r="O348" s="22" t="str">
        <x:v>ยังไม่ตรวจ</x:v>
      </x:c>
      <x:c r="P348" s="22" t="str">
        <x:v>ยังไม่ติดต่อ</x:v>
      </x:c>
    </x:row>
    <x:row r="349" ht="66" customHeight="1">
      <x:c r="A349" s="9" t="n">
        <x:v>341</x:v>
      </x:c>
      <x:c r="B349" s="20" t="str">
        <x:v>มัสยิดญันน่าตุ้ลฟิรเดาซ์ (ปากช่อง)</x:v>
      </x:c>
      <x:c r="C349" s="20" t="str">
        <x:v>นครราชสีมา</x:v>
      </x:c>
      <x:c r="D349" s="20" t="str">
        <x:v>มัสยิด</x:v>
      </x:c>
      <x:c r="E349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49" s="20" t="str">
        <x:v>แหล่งข้อมูลระบุว่ามี</x:v>
      </x:c>
      <x:c r="G349" s="20" t="str">
        <x:v>ยังไม่พบเอกสารรับรองและวันหมดอายุ</x:v>
      </x:c>
      <x:c r="H349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49" s="20" t="str">
        <x:v>ถนนเทศบาล 22 ซอย 1 (บริเวณหมู่ 2) ตำบลปากช่อง อำเภอปากช่อง จังหวัดนครราชสีมา 30130</x:v>
      </x:c>
      <x:c r="J349" s="21" t="str">
        <x:v>+66 88 280 4838</x:v>
      </x:c>
      <x:c r="K349" s="23" t="e">
        <x:f>HYPERLINK("https://www.thic.or.th/th/tourist/detail/mosques/317","เปิดแหล่งข้อมูล 1")</x:f>
        <x:v>HYPERLINK is not implemented. linkLocation=https://www.thic.or.th/th/tourist/detail/mosques/317, friendlyName=เปิดแหล่งข้อมูล 1</x:v>
      </x:c>
      <x:c r="L349" s="23" t="e">
        <x:f>HYPERLINK("https://www.ibank.co.th/th/news/detail/2021-03-16-16-16-58","เปิดแหล่งข้อมูล 2")</x:f>
        <x:v>HYPERLINK is not implemented. linkLocation=https://www.ibank.co.th/th/news/detail/2021-03-16-16-16-58, friendlyName=เปิดแหล่งข้อมูล 2</x:v>
      </x:c>
      <x:c r="M349" s="20" t="str">
        <x:v>ผลค้นหาชื่อสัมพันธ์จากแหล่งเพิ่มเติม ต้องยืนยันสาขาและข้อมูลปัจจุบัน</x:v>
      </x:c>
      <x:c r="N349" s="10" t="n">
        <x:v>46315</x:v>
      </x:c>
      <x:c r="O349" s="22" t="str">
        <x:v>ยังไม่ตรวจ</x:v>
      </x:c>
      <x:c r="P349" s="22" t="str">
        <x:v>ยังไม่ติดต่อ</x:v>
      </x:c>
    </x:row>
    <x:row r="350" ht="66" customHeight="1">
      <x:c r="A350" s="9" t="n">
        <x:v>342</x:v>
      </x:c>
      <x:c r="B350" s="20" t="str">
        <x:v>ชุมชนบ้านแหลม</x:v>
      </x:c>
      <x:c r="C350" s="20" t="str">
        <x:v>นครศรีธรรมราช</x:v>
      </x:c>
      <x:c r="D350" s="20" t="str">
        <x:v>ชุมชนมุสลิมประมงและป่าชายเลน</x:v>
      </x:c>
      <x:c r="E350" s="20" t="str">
        <x:v>ข้อมูลภาครัฐระบุเป็นชุมชนมุสลิม มีกิจกรรมประมง หัตถกรรม และระบบนิเวศป่าชายเลน ยังต้องตรวจมาตรฐานบริการ</x:v>
      </x:c>
      <x:c r="F350" s="20" t="str">
        <x:v>ยังไม่พบข้อมูล</x:v>
      </x:c>
      <x:c r="G350" s="20" t="str">
        <x:v>ยังไม่พบเอกสารรับรองและวันหมดอายุ</x:v>
      </x:c>
      <x:c r="H350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350" s="20" t="str">
        <x:v>ดูรายละเอียดในแหล่งอ้างอิง</x:v>
      </x:c>
      <x:c r="J350" s="21" t="str">
        <x:v>ยังไม่พบข้อมูล</x:v>
      </x:c>
      <x:c r="K350" s="23" t="e">
        <x:f>HYPERLINK("https://www.thailand.go.th/issue-focus-detail/001_02_024?hl=en","เปิดแหล่งข้อมูล 1")</x:f>
        <x:v>HYPERLINK is not implemented. linkLocation=https://www.thailand.go.th/issue-focus-detail/001_02_024?hl=en, friendlyName=เปิดแหล่งข้อมูล 1</x:v>
      </x:c>
      <x:c r="L350" s="23" t="e">
        <x:f>HYPERLINK("https://www.faakraan.com/index.php/tourist/%E0%B8%99%E0%B8%84%E0%B8%A3%E0%B8%A8%E0%B8%A3%E0%B8%B5%E0%B8%98%E0%B8%A3%E0%B8%A3%E0%B8%A1%E0%B8%A3%E0%B8%B2%E0%B8%8A/%E0%B8%8A%E0%B8%B8%E0%B8%A1%E0%B8%8A%E0%B8%99%E0%B8%9A%E0%B9%89%E0%B8%B2%E0%B8%99%E0%B9%81%E0%B8%AB%E0%B8%A5%E0%B8%A1%20%E0%B8%99%E0%B8%84%E0%B8%A3%E0%B8%A8%E0%B8%A3%E0%B8%B5%E0%B8%98%E0%B8%A3%E0%B8%A3%E0%B8%A1%E0%B8%A3%E0%B8%B2%E0%B8%8A.html","เปิดแหล่งข้อมูล 2")</x:f>
        <x:v>HYPERLINK is not implemented. linkLocation=https://www.faakraan.com/index.php/tourist/%E0%B8%99%E0%B8%84%E0%B8%A3%E0%B8%A8%E0%B8%A3%E0%B8%B5%E0%B8%98%E0%B8%A3%E0%B8%A3%E0%B8%A1%E0%B8%A3%E0%B8%B2%E0%B8%8A/%E0%B8%8A%E0%B8%B8%E0%B8%A1%E0%B8%8A%E0%B8%99%E0%B8%9A%E0%B9%89%E0%B8%B2%E0%B8%99%E0%B9%81%E0%B8%AB%E0%B8%A5%E0%B8%A1%20%E0%B8%99%E0%B8%84%E0%B8%A3%E0%B8%A8%E0%B8%A3%E0%B8%B5%E0%B8%98%E0%B8%A3%E0%B8%A3%E0%B8%A1%E0%B8%A3%E0%B8%B2%E0%B8%8A.html, friendlyName=เปิดแหล่งข้อมูล 2</x:v>
      </x:c>
      <x:c r="M350" s="20" t="str">
        <x:v>ผลค้นหาชื่อสัมพันธ์จากแหล่งเพิ่มเติม ต้องยืนยันสาขาและข้อมูลปัจจุบัน</x:v>
      </x:c>
      <x:c r="N350" s="10" t="n">
        <x:v>46315</x:v>
      </x:c>
      <x:c r="O350" s="22" t="str">
        <x:v>ยังไม่ตรวจ</x:v>
      </x:c>
      <x:c r="P350" s="22" t="str">
        <x:v>ยังไม่ติดต่อ</x:v>
      </x:c>
    </x:row>
    <x:row r="351" ht="66" customHeight="1">
      <x:c r="A351" s="9" t="n">
        <x:v>343</x:v>
      </x:c>
      <x:c r="B351" s="20" t="str">
        <x:v>โรงแรมทวินโลตัส จำกัด</x:v>
      </x:c>
      <x:c r="C351" s="20" t="str">
        <x:v>นครศรีธรรมราช</x:v>
      </x:c>
      <x:c r="D351" s="20" t="str">
        <x:v>โรงแรมหรือรีสอร์ท</x:v>
      </x:c>
      <x:c r="E35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51" s="20" t="str">
        <x:v>ยังไม่พบข้อมูล</x:v>
      </x:c>
      <x:c r="G351" s="20" t="str">
        <x:v>ยังไม่พบเอกสารรับรองและวันหมดอายุ</x:v>
      </x:c>
      <x:c r="H35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51" s="20" t="str">
        <x:v>6 ถนนพัฒนาการคูขวาง ตำบลในเมือง อำเภอเมืองนครศรีธรรมราช จังหวัดนครศรีธรรมราช 80000 ตำบลในเมือง อำเภอเมืองนครศรีธรรมราช จังหวัดนครศรีธรรมราช 80000</x:v>
      </x:c>
      <x:c r="J351" s="21" t="str">
        <x:v>075-323821</x:v>
      </x:c>
      <x:c r="K351" s="23" t="e">
        <x:f>HYPERLINK("https://www.thic.or.th/th/tourist/detail/accommodation/207","เปิดแหล่งข้อมูล 1")</x:f>
        <x:v>HYPERLINK is not implemented. linkLocation=https://www.thic.or.th/th/tourist/detail/accommodation/207, friendlyName=เปิดแหล่งข้อมูล 1</x:v>
      </x:c>
      <x:c r="L351" s="23" t="e">
        <x:f>HYPERLINK("https://www.thaimiceconnect.com/business/detail/19668","เปิดแหล่งข้อมูล 2")</x:f>
        <x:v>HYPERLINK is not implemented. linkLocation=https://www.thaimiceconnect.com/business/detail/19668, friendlyName=เปิดแหล่งข้อมูล 2</x:v>
      </x:c>
      <x:c r="M351" s="20" t="str">
        <x:v>ผลค้นหาชื่อสัมพันธ์จากแหล่งเพิ่มเติม ต้องยืนยันสาขาและข้อมูลปัจจุบัน</x:v>
      </x:c>
      <x:c r="N351" s="10" t="n">
        <x:v>46315</x:v>
      </x:c>
      <x:c r="O351" s="22" t="str">
        <x:v>ยังไม่ตรวจ</x:v>
      </x:c>
      <x:c r="P351" s="22" t="str">
        <x:v>ยังไม่ติดต่อ</x:v>
      </x:c>
    </x:row>
    <x:row r="352" ht="66" customHeight="1">
      <x:c r="A352" s="9" t="n">
        <x:v>344</x:v>
      </x:c>
      <x:c r="B352" s="20" t="str">
        <x:v>Kuncleleaw Korean Halal (สาขานนทบุรี)</x:v>
      </x:c>
      <x:c r="C352" s="20" t="str">
        <x:v>นนทบุรี</x:v>
      </x:c>
      <x:c r="D352" s="20" t="str">
        <x:v>ร้านอาหาร</x:v>
      </x:c>
      <x:c r="E352" s="20" t="str">
        <x:v>Makan Verify; ช่องห้องละหมาดไม่ได้ทำเครื่องหมายว่ามี</x:v>
      </x:c>
      <x:c r="F352" s="20" t="str">
        <x:v>ไม่ได้ทำเครื่องหมายว่ามี / ต้องยืนยัน</x:v>
      </x:c>
      <x:c r="G352" s="20" t="str">
        <x:v>ยังไม่พบเอกสารรับรองและวันหมดอายุ</x:v>
      </x:c>
      <x:c r="H35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52" s="20" t="str">
        <x:v>ร้านอยู่ในซอยนนทบุรี 8 บางกระสอ อำเภอเมืองนนทบุรี จังหวัดนนทบุรี 11000</x:v>
      </x:c>
      <x:c r="J352" s="21" t="str">
        <x:v>0817492300</x:v>
      </x:c>
      <x:c r="K352" s="23" t="e">
        <x:f>HYPERLINK("https://makanhalalguide.com/shop/detail/5693","เปิดแหล่งข้อมูล 1")</x:f>
        <x:v>HYPERLINK is not implemented. linkLocation=https://makanhalalguide.com/shop/detail/5693, friendlyName=เปิดแหล่งข้อมูล 1</x:v>
      </x:c>
      <x:c r="L352" s="23" t="e">
        <x:f>HYPERLINK("https://www.lemon8-app.com/%40iice.sps/7544955780450042385?region=th","เปิดแหล่งข้อมูล 2")</x:f>
        <x:v>HYPERLINK is not implemented. linkLocation=https://www.lemon8-app.com/%40iice.sps/7544955780450042385?region=th, friendlyName=เปิดแหล่งข้อมูล 2</x:v>
      </x:c>
      <x:c r="M352" s="20" t="str">
        <x:v>ผลค้นหาชื่อสัมพันธ์จากแหล่งเพิ่มเติม ต้องยืนยันสาขาและข้อมูลปัจจุบัน</x:v>
      </x:c>
      <x:c r="N352" s="10" t="n">
        <x:v>46315</x:v>
      </x:c>
      <x:c r="O352" s="22" t="str">
        <x:v>ยังไม่ตรวจ</x:v>
      </x:c>
      <x:c r="P352" s="22" t="str">
        <x:v>ยังไม่ติดต่อ</x:v>
      </x:c>
    </x:row>
    <x:row r="353" ht="66" customHeight="1">
      <x:c r="A353" s="9" t="n">
        <x:v>345</x:v>
      </x:c>
      <x:c r="B353" s="20" t="str">
        <x:v>Mr.bung steak</x:v>
      </x:c>
      <x:c r="C353" s="20" t="str">
        <x:v>นนทบุรี</x:v>
      </x:c>
      <x:c r="D353" s="20" t="str">
        <x:v>ร้านอาหาร</x:v>
      </x:c>
      <x:c r="E353" s="20" t="str">
        <x:v>Makan Verify; ช่องห้องละหมาดไม่ได้ทำเครื่องหมายว่ามี</x:v>
      </x:c>
      <x:c r="F353" s="20" t="str">
        <x:v>ไม่ได้ทำเครื่องหมายว่ามี / ต้องยืนยัน</x:v>
      </x:c>
      <x:c r="G353" s="20" t="str">
        <x:v>ยังไม่พบเอกสารรับรองและวันหมดอายุ</x:v>
      </x:c>
      <x:c r="H35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53" s="20" t="str">
        <x:v>ถนนสามัคคี ปากซอยสามัคคี 35 ตำบลท่าทราย อำเภอเมืองนนทบุรี จังหวัดนนทบุรี 11000</x:v>
      </x:c>
      <x:c r="J353" s="21" t="str">
        <x:v>0960047570</x:v>
      </x:c>
      <x:c r="K353" s="23" t="e">
        <x:f>HYPERLINK("https://makanhalalguide.com/shop/detail/6169","เปิดแหล่งข้อมูล 1")</x:f>
        <x:v>HYPERLINK is not implemented. linkLocation=https://makanhalalguide.com/shop/detail/6169, friendlyName=เปิดแหล่งข้อมูล 1</x:v>
      </x:c>
      <x:c r="L353" s="23" t="e">
        <x:f>HYPERLINK("https://www.lemon8-app.com/%40kanokwan.ntt/7653770234663158280?region=th","เปิดแหล่งข้อมูล 2")</x:f>
        <x:v>HYPERLINK is not implemented. linkLocation=https://www.lemon8-app.com/%40kanokwan.ntt/7653770234663158280?region=th, friendlyName=เปิดแหล่งข้อมูล 2</x:v>
      </x:c>
      <x:c r="M353" s="20" t="str">
        <x:v>ผลค้นหาชื่อสัมพันธ์จากแหล่งเพิ่มเติม ต้องยืนยันสาขาและข้อมูลปัจจุบัน</x:v>
      </x:c>
      <x:c r="N353" s="10" t="n">
        <x:v>46315</x:v>
      </x:c>
      <x:c r="O353" s="22" t="str">
        <x:v>ยังไม่ตรวจ</x:v>
      </x:c>
      <x:c r="P353" s="22" t="str">
        <x:v>ยังไม่ติดต่อ</x:v>
      </x:c>
    </x:row>
    <x:row r="354" ht="66" customHeight="1">
      <x:c r="A354" s="9" t="n">
        <x:v>346</x:v>
      </x:c>
      <x:c r="B354" s="20" t="str">
        <x:v>Shibuya Japanese curry</x:v>
      </x:c>
      <x:c r="C354" s="20" t="str">
        <x:v>นนทบุรี</x:v>
      </x:c>
      <x:c r="D354" s="20" t="str">
        <x:v>ร้านอาหาร</x:v>
      </x:c>
      <x:c r="E354" s="20" t="str">
        <x:v>Makan Verify; ช่องห้องละหมาดไม่ได้ทำเครื่องหมายว่ามี</x:v>
      </x:c>
      <x:c r="F354" s="20" t="str">
        <x:v>ไม่ได้ทำเครื่องหมายว่ามี / ต้องยืนยัน</x:v>
      </x:c>
      <x:c r="G354" s="20" t="str">
        <x:v>ยังไม่พบเอกสารรับรองและวันหมดอายุ</x:v>
      </x:c>
      <x:c r="H35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54" s="20" t="str">
        <x:v>ปั้มคาลเท็กซ์ สาขาราชพฤกษ์ ถนนราชพฤกษ์ ตำบลอ้อมเกร็ด อำเภอปากเกร็ด นนทบุรี  11120</x:v>
      </x:c>
      <x:c r="J354" s="21" t="str">
        <x:v>0814444724</x:v>
      </x:c>
      <x:c r="K354" s="23" t="e">
        <x:f>HYPERLINK("https://makanhalalguide.com/shop/detail/5341","เปิดแหล่งข้อมูล 1")</x:f>
        <x:v>HYPERLINK is not implemented. linkLocation=https://makanhalalguide.com/shop/detail/5341, friendlyName=เปิดแหล่งข้อมูล 1</x:v>
      </x:c>
      <x:c r="L354" s="23" t="e">
        <x:f>HYPERLINK("https://www.wongnai.com/restaurants/2088105Ic-shibuya-japanese-curry-%E0%B8%AA%E0%B8%B2%E0%B8%82%E0%B8%B2caltex-%E0%B8%A3%E0%B8%B2%E0%B8%8A%E0%B8%9E%E0%B8%A4%E0%B8%81%E0%B8%A9%E0%B9%8C-%E0%B8%A3%E0%B8%B1%E0%B8%95%E0%B8%99%E0%B8%B2%E0%B8%98%E0%B8%B4%E0%B9%80%E0%B8%9A%E0%B8%A8%E0%B8%A3%E0%B9%8C","เปิดแหล่งข้อมูล 2")</x:f>
        <x:v>HYPERLINK is not implemented. linkLocation=https://www.wongnai.com/restaurants/2088105Ic-shibuya-japanese-curry-%E0%B8%AA%E0%B8%B2%E0%B8%82%E0%B8%B2caltex-%E0%B8%A3%E0%B8%B2%E0%B8%8A%E0%B8%9E%E0%B8%A4%E0%B8%81%E0%B8%A9%E0%B9%8C-%E0%B8%A3%E0%B8%B1%E0%B8%95%E0%B8%99%E0%B8%B2%E0%B8%98%E0%B8%B4%E0%B9%80%E0%B8%9A%E0%B8%A8%E0%B8%A3%E0%B9%8C, friendlyName=เปิดแหล่งข้อมูล 2</x:v>
      </x:c>
      <x:c r="M354" s="20" t="str">
        <x:v>ผลค้นหาชื่อสัมพันธ์จากแหล่งเพิ่มเติม ต้องยืนยันสาขาและข้อมูลปัจจุบัน</x:v>
      </x:c>
      <x:c r="N354" s="10" t="n">
        <x:v>46315</x:v>
      </x:c>
      <x:c r="O354" s="22" t="str">
        <x:v>ยังไม่ตรวจ</x:v>
      </x:c>
      <x:c r="P354" s="22" t="str">
        <x:v>ยังไม่ติดต่อ</x:v>
      </x:c>
    </x:row>
    <x:row r="355" ht="66" customHeight="1">
      <x:c r="A355" s="9" t="n">
        <x:v>347</x:v>
      </x:c>
      <x:c r="B355" s="20" t="str">
        <x:v>ZIN Steak and Dessert</x:v>
      </x:c>
      <x:c r="C355" s="20" t="str">
        <x:v>นนทบุรี</x:v>
      </x:c>
      <x:c r="D355" s="20" t="str">
        <x:v>ร้านอาหาร</x:v>
      </x:c>
      <x:c r="E355" s="20" t="str">
        <x:v>Makan Verify; ช่องห้องละหมาดไม่ได้ทำเครื่องหมายว่ามี</x:v>
      </x:c>
      <x:c r="F355" s="20" t="str">
        <x:v>ไม่ได้ทำเครื่องหมายว่ามี / ต้องยืนยัน</x:v>
      </x:c>
      <x:c r="G355" s="20" t="str">
        <x:v>ยังไม่พบเอกสารรับรองและวันหมดอายุ</x:v>
      </x:c>
      <x:c r="H35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55" s="20" t="str">
        <x:v>ถนนชัยพฤกษ์ ตำบลบางบัวทอง อำเภอบางบัวทอง นนทบุรี 11110</x:v>
      </x:c>
      <x:c r="J355" s="21" t="str">
        <x:v>0659538874</x:v>
      </x:c>
      <x:c r="K355" s="23" t="e">
        <x:f>HYPERLINK("https://makanhalalguide.com/shop/detail/6296","เปิดแหล่งข้อมูล 1")</x:f>
        <x:v>HYPERLINK is not implemented. linkLocation=https://makanhalalguide.com/shop/detail/6296, friendlyName=เปิดแหล่งข้อมูล 1</x:v>
      </x:c>
      <x:c r="L355" s="23" t="str"/>
      <x:c r="M355" s="20" t="str"/>
      <x:c r="N355" s="10" t="n">
        <x:v>46315</x:v>
      </x:c>
      <x:c r="O355" s="22" t="str">
        <x:v>ยังไม่ตรวจ</x:v>
      </x:c>
      <x:c r="P355" s="22" t="str">
        <x:v>ยังไม่ติดต่อ</x:v>
      </x:c>
    </x:row>
    <x:row r="356" ht="66" customHeight="1">
      <x:c r="A356" s="9" t="n">
        <x:v>348</x:v>
      </x:c>
      <x:c r="B356" s="20" t="str">
        <x:v>ก๋วยเตี๋ยวนูรีน</x:v>
      </x:c>
      <x:c r="C356" s="20" t="str">
        <x:v>นนทบุรี</x:v>
      </x:c>
      <x:c r="D356" s="20" t="str">
        <x:v>ร้านอาหาร</x:v>
      </x:c>
      <x:c r="E356" s="20" t="str">
        <x:v>Makan Verify; ช่องห้องละหมาดไม่ได้ทำเครื่องหมายว่ามี</x:v>
      </x:c>
      <x:c r="F356" s="20" t="str">
        <x:v>ไม่ได้ทำเครื่องหมายว่ามี / ต้องยืนยัน</x:v>
      </x:c>
      <x:c r="G356" s="20" t="str">
        <x:v>ยังไม่พบเอกสารรับรองและวันหมดอายุ</x:v>
      </x:c>
      <x:c r="H35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56" s="20" t="str">
        <x:v>ตำบลบางบัวทอง อำเภอบางบัวทอง นนทบุรี 11110</x:v>
      </x:c>
      <x:c r="J356" s="21" t="str">
        <x:v>0646127085</x:v>
      </x:c>
      <x:c r="K356" s="23" t="e">
        <x:f>HYPERLINK("https://makanhalalguide.com/shop/detail/6294","เปิดแหล่งข้อมูล 1")</x:f>
        <x:v>HYPERLINK is not implemented. linkLocation=https://makanhalalguide.com/shop/detail/6294, friendlyName=เปิดแหล่งข้อมูล 1</x:v>
      </x:c>
      <x:c r="L356" s="23" t="str"/>
      <x:c r="M356" s="20" t="str"/>
      <x:c r="N356" s="10" t="n">
        <x:v>46315</x:v>
      </x:c>
      <x:c r="O356" s="22" t="str">
        <x:v>ยังไม่ตรวจ</x:v>
      </x:c>
      <x:c r="P356" s="22" t="str">
        <x:v>ยังไม่ติดต่อ</x:v>
      </x:c>
    </x:row>
    <x:row r="357" ht="66" customHeight="1">
      <x:c r="A357" s="9" t="n">
        <x:v>349</x:v>
      </x:c>
      <x:c r="B357" s="20" t="str">
        <x:v>โรงแรมอิมพีเรียล นราธิวาส</x:v>
      </x:c>
      <x:c r="C357" s="20" t="str">
        <x:v>นราธิวาส</x:v>
      </x:c>
      <x:c r="D357" s="20" t="str">
        <x:v>โรงแรมหรือรีสอร์ท</x:v>
      </x:c>
      <x:c r="E35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57" s="20" t="str">
        <x:v>ยังไม่พบข้อมูล</x:v>
      </x:c>
      <x:c r="G357" s="20" t="str">
        <x:v>ยังไม่พบเอกสารรับรองและวันหมดอายุ</x:v>
      </x:c>
      <x:c r="H35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57" s="20" t="str">
        <x:v>260 ถนนพิชิตบำรุง ตำบลบางนาค อำเภอเมืองนราธิวาส จังหวัดนราธิวาส 96000</x:v>
      </x:c>
      <x:c r="J357" s="21" t="str">
        <x:v>073515041-50</x:v>
      </x:c>
      <x:c r="K357" s="23" t="e">
        <x:f>HYPERLINK("https://www.thic.or.th/th/tourist/detail/accommodation/176","เปิดแหล่งข้อมูล 1")</x:f>
        <x:v>HYPERLINK is not implemented. linkLocation=https://www.thic.or.th/th/tourist/detail/accommodation/176, friendlyName=เปิดแหล่งข้อมูล 1</x:v>
      </x:c>
      <x:c r="L357" s="23" t="e">
        <x:f>HYPERLINK("https://www.booking.com/hotel/th/the-imperial-narathiwat.th.html","เปิดแหล่งข้อมูล 2")</x:f>
        <x:v>HYPERLINK is not implemented. linkLocation=https://www.booking.com/hotel/th/the-imperial-narathiwat.th.html, friendlyName=เปิดแหล่งข้อมูล 2</x:v>
      </x:c>
      <x:c r="M357" s="20" t="str">
        <x:v>ผลค้นหาชื่อสัมพันธ์จากแหล่งเพิ่มเติม ต้องยืนยันสาขาและข้อมูลปัจจุบัน</x:v>
      </x:c>
      <x:c r="N357" s="10" t="n">
        <x:v>46315</x:v>
      </x:c>
      <x:c r="O357" s="22" t="str">
        <x:v>ยังไม่ตรวจ</x:v>
      </x:c>
      <x:c r="P357" s="22" t="str">
        <x:v>ยังไม่ติดต่อ</x:v>
      </x:c>
    </x:row>
    <x:row r="358" ht="66" customHeight="1">
      <x:c r="A358" s="9" t="n">
        <x:v>350</x:v>
      </x:c>
      <x:c r="B358" s="20" t="str">
        <x:v>มัสยิดวาดีลฮูเซ็น</x:v>
      </x:c>
      <x:c r="C358" s="20" t="str">
        <x:v>นราธิวาส</x:v>
      </x:c>
      <x:c r="D358" s="20" t="str">
        <x:v>มัสยิด</x:v>
      </x:c>
      <x:c r="E358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58" s="20" t="str">
        <x:v>แหล่งข้อมูลระบุว่ามี</x:v>
      </x:c>
      <x:c r="G358" s="20" t="str">
        <x:v>ยังไม่พบเอกสารรับรองและวันหมดอายุ</x:v>
      </x:c>
      <x:c r="H358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58" s="20" t="str">
        <x:v>หมู่ 1 บ้านตะโละมาเนาะ ตำบลลุโบะสาวอ อำเภอบาเจาะ จังหวัดนราธิวาส 96170</x:v>
      </x:c>
      <x:c r="J358" s="21" t="str">
        <x:v>+62 823-6455-2971</x:v>
      </x:c>
      <x:c r="K358" s="23" t="e">
        <x:f>HYPERLINK("https://www.thic.or.th/th/tourist/detail/mosques/48","เปิดแหล่งข้อมูล 1")</x:f>
        <x:v>HYPERLINK is not implemented. linkLocation=https://www.thic.or.th/th/tourist/detail/mosques/48, friendlyName=เปิดแหล่งข้อมูล 1</x:v>
      </x:c>
      <x:c r="L358" s="23" t="e">
        <x:f>HYPERLINK("https://www.wongnai.com/reviews/91ed419dc1c540e7bd34bafafe5042a9","เปิดแหล่งข้อมูล 2")</x:f>
        <x:v>HYPERLINK is not implemented. linkLocation=https://www.wongnai.com/reviews/91ed419dc1c540e7bd34bafafe5042a9, friendlyName=เปิดแหล่งข้อมูล 2</x:v>
      </x:c>
      <x:c r="M358" s="20" t="str">
        <x:v>ผลค้นหาชื่อสัมพันธ์จากแหล่งเพิ่มเติม ต้องยืนยันสาขาและข้อมูลปัจจุบัน</x:v>
      </x:c>
      <x:c r="N358" s="10" t="n">
        <x:v>46315</x:v>
      </x:c>
      <x:c r="O358" s="22" t="str">
        <x:v>ยังไม่ตรวจ</x:v>
      </x:c>
      <x:c r="P358" s="22" t="str">
        <x:v>ยังไม่ติดต่อ</x:v>
      </x:c>
    </x:row>
    <x:row r="359" ht="66" customHeight="1">
      <x:c r="A359" s="9" t="n">
        <x:v>351</x:v>
      </x:c>
      <x:c r="B359" s="20" t="str">
        <x:v>ก๋วยเตี๋ยว ข้าวมันไก่ โก๋ฟา</x:v>
      </x:c>
      <x:c r="C359" s="20" t="str">
        <x:v>ปทุมธานี</x:v>
      </x:c>
      <x:c r="D359" s="20" t="str">
        <x:v>ร้านอาหาร</x:v>
      </x:c>
      <x:c r="E359" s="20" t="str">
        <x:v>Makan Verify; ช่องห้องละหมาดไม่ได้ทำเครื่องหมายว่ามี</x:v>
      </x:c>
      <x:c r="F359" s="20" t="str">
        <x:v>ไม่ได้ทำเครื่องหมายว่ามี / ต้องยืนยัน</x:v>
      </x:c>
      <x:c r="G359" s="20" t="str">
        <x:v>ยังไม่พบเอกสารรับรองและวันหมดอายุ</x:v>
      </x:c>
      <x:c r="H35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59" s="20" t="str">
        <x:v>34 19 ซอย คลองหลวง 32 ตำบล คลองหนึ่ง อำเภอคลองหลวง ปจังหวัดทุมธานี 12120</x:v>
      </x:c>
      <x:c r="J359" s="21" t="str">
        <x:v>0947730078</x:v>
      </x:c>
      <x:c r="K359" s="23" t="e">
        <x:f>HYPERLINK("https://makanhalalguide.com/shop/detail/5857","เปิดแหล่งข้อมูล 1")</x:f>
        <x:v>HYPERLINK is not implemented. linkLocation=https://makanhalalguide.com/shop/detail/5857, friendlyName=เปิดแหล่งข้อมูล 1</x:v>
      </x:c>
      <x:c r="L359" s="23" t="str"/>
      <x:c r="M359" s="20" t="str"/>
      <x:c r="N359" s="10" t="n">
        <x:v>46315</x:v>
      </x:c>
      <x:c r="O359" s="22" t="str">
        <x:v>ยังไม่ตรวจ</x:v>
      </x:c>
      <x:c r="P359" s="22" t="str">
        <x:v>ยังไม่ติดต่อ</x:v>
      </x:c>
    </x:row>
    <x:row r="360" ht="66" customHeight="1">
      <x:c r="A360" s="9" t="n">
        <x:v>352</x:v>
      </x:c>
      <x:c r="B360" s="20" t="str">
        <x:v>ก๋วยเตี๋ยวเนื้อ &amp; ไก่อาหารอิสลาม</x:v>
      </x:c>
      <x:c r="C360" s="20" t="str">
        <x:v>ปทุมธานี</x:v>
      </x:c>
      <x:c r="D360" s="20" t="str">
        <x:v>ร้านอาหาร</x:v>
      </x:c>
      <x:c r="E360" s="20" t="str">
        <x:v>Makan Verify; ช่องห้องละหมาดไม่ได้ทำเครื่องหมายว่ามี</x:v>
      </x:c>
      <x:c r="F360" s="20" t="str">
        <x:v>ไม่ได้ทำเครื่องหมายว่ามี / ต้องยืนยัน</x:v>
      </x:c>
      <x:c r="G360" s="20" t="str">
        <x:v>ยังไม่พบเอกสารรับรองและวันหมดอายุ</x:v>
      </x:c>
      <x:c r="H36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60" s="20" t="str">
        <x:v>10 ลำลูกกา 6 ถ. ลำลูกกา ตำบล ลำลูกกา อำเภอลำลูกกา ปทุมธานี 12150</x:v>
      </x:c>
      <x:c r="J360" s="21" t="str">
        <x:v>0952585329</x:v>
      </x:c>
      <x:c r="K360" s="23" t="e">
        <x:f>HYPERLINK("https://makanhalalguide.com/shop/detail/6272","เปิดแหล่งข้อมูล 1")</x:f>
        <x:v>HYPERLINK is not implemented. linkLocation=https://makanhalalguide.com/shop/detail/6272, friendlyName=เปิดแหล่งข้อมูล 1</x:v>
      </x:c>
      <x:c r="L360" s="23" t="str"/>
      <x:c r="M360" s="20" t="str"/>
      <x:c r="N360" s="10" t="n">
        <x:v>46315</x:v>
      </x:c>
      <x:c r="O360" s="22" t="str">
        <x:v>ยังไม่ตรวจ</x:v>
      </x:c>
      <x:c r="P360" s="22" t="str">
        <x:v>ยังไม่ติดต่อ</x:v>
      </x:c>
    </x:row>
    <x:row r="361" ht="66" customHeight="1">
      <x:c r="A361" s="9" t="n">
        <x:v>353</x:v>
      </x:c>
      <x:c r="B361" s="20" t="str">
        <x:v>ข้าวมันไก่หวังบู่ สาขาหน้าเซเว่นมัสยิดแก้วนิมิตร</x:v>
      </x:c>
      <x:c r="C361" s="20" t="str">
        <x:v>ปทุมธานี</x:v>
      </x:c>
      <x:c r="D361" s="20" t="str">
        <x:v>ร้านอาหาร</x:v>
      </x:c>
      <x:c r="E361" s="20" t="str">
        <x:v>Makan Verify; ช่องห้องละหมาดไม่ได้ทำเครื่องหมายว่ามี</x:v>
      </x:c>
      <x:c r="F361" s="20" t="str">
        <x:v>ไม่ได้ทำเครื่องหมายว่ามี / ต้องยืนยัน</x:v>
      </x:c>
      <x:c r="G361" s="20" t="str">
        <x:v>ยังไม่พบเอกสารรับรองและวันหมดอายุ</x:v>
      </x:c>
      <x:c r="H36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61" s="20" t="str">
        <x:v>ร้านอยู่ใน 7-Eleven สาขาคลองหลวง 38 (17696) ทางคู่ขนาน ถ. พหลโยธิน ตำบล คลองหนึ่ง อำเภอคลองหลวง จังหวัดปทุมธานี 12120</x:v>
      </x:c>
      <x:c r="J361" s="21" t="str">
        <x:v>0915494972</x:v>
      </x:c>
      <x:c r="K361" s="23" t="e">
        <x:f>HYPERLINK("https://makanhalalguide.com/shop/detail/5856","เปิดแหล่งข้อมูล 1")</x:f>
        <x:v>HYPERLINK is not implemented. linkLocation=https://makanhalalguide.com/shop/detail/5856, friendlyName=เปิดแหล่งข้อมูล 1</x:v>
      </x:c>
      <x:c r="L361" s="23" t="e">
        <x:f>HYPERLINK("https://thi.worldorgs.com/%E0%B9%81%E0%B8%84%E0%B8%95%E0%B8%95%E0%B8%B2%E0%B8%A5%E0%B9%87%E0%B8%AD%E0%B8%81/%E0%B8%AD%E0%B8%B3%E0%B9%80%E0%B8%A0%E0%B8%AD%E0%B9%80%E0%B8%A1%E0%B8%B7%E0%B8%AD%E0%B8%87%E0%B8%9B%E0%B8%97%E0%B8%B8%E0%B8%A1%E0%B8%98%E0%B8%B2%E0%B8%99%E0%B8%B5/%E0%B8%A0%E0%B8%B1%E0%B8%95%E0%B8%95%E0%B8%B2%E0%B8%84%E0%B8%B2%E0%B8%A3%E0%B8%AD%E0%B8%B2%E0%B8%AB%E0%B8%B2%E0%B8%A3%E0%B8%9B%E0%B8%A3%E0%B8%B0%E0%B9%80%E0%B8%A0%E0%B8%97%E0%B9%84%E0%B8%81%E0%B9%88/%E0%B8%A3%E0%B9%89%E0%B8%B2%E0%B8%99%E0%B8%82%E0%B9%89%E0%B8%B2%E0%B8%A7%E0%B8%A1%E0%B8%B1%E0%B8%99%E0%B9%84%E0%B8%81%E0%B9%88%E0%B8%AB%E0%B8%A7%E0%B8%B1%E0%B8%87%E0%B8%9A%E0%B8%B9%E0%B9%88","เปิดแหล่งข้อมูล 2")</x:f>
        <x:v>HYPERLINK is not implemented. linkLocation=https://thi.worldorgs.com/%E0%B9%81%E0%B8%84%E0%B8%95%E0%B8%95%E0%B8%B2%E0%B8%A5%E0%B9%87%E0%B8%AD%E0%B8%81/%E0%B8%AD%E0%B8%B3%E0%B9%80%E0%B8%A0%E0%B8%AD%E0%B9%80%E0%B8%A1%E0%B8%B7%E0%B8%AD%E0%B8%87%E0%B8%9B%E0%B8%97%E0%B8%B8%E0%B8%A1%E0%B8%98%E0%B8%B2%E0%B8%99%E0%B8%B5/%E0%B8%A0%E0%B8%B1%E0%B8%95%E0%B8%95%E0%B8%B2%E0%B8%84%E0%B8%B2%E0%B8%A3%E0%B8%AD%E0%B8%B2%E0%B8%AB%E0%B8%B2%E0%B8%A3%E0%B8%9B%E0%B8%A3%E0%B8%B0%E0%B9%80%E0%B8%A0%E0%B8%97%E0%B9%84%E0%B8%81%E0%B9%88/%E0%B8%A3%E0%B9%89%E0%B8%B2%E0%B8%99%E0%B8%82%E0%B9%89%E0%B8%B2%E0%B8%A7%E0%B8%A1%E0%B8%B1%E0%B8%99%E0%B9%84%E0%B8%81%E0%B9%88%E0%B8%AB%E0%B8%A7%E0%B8%B1%E0%B8%87%E0%B8%9A%E0%B8%B9%E0%B9%88, friendlyName=เปิดแหล่งข้อมูล 2</x:v>
      </x:c>
      <x:c r="M361" s="20" t="str">
        <x:v>ผลค้นหาชื่อสัมพันธ์จากแหล่งเพิ่มเติม ต้องยืนยันสาขาและข้อมูลปัจจุบัน</x:v>
      </x:c>
      <x:c r="N361" s="10" t="n">
        <x:v>46315</x:v>
      </x:c>
      <x:c r="O361" s="22" t="str">
        <x:v>ยังไม่ตรวจ</x:v>
      </x:c>
      <x:c r="P361" s="22" t="str">
        <x:v>ยังไม่ติดต่อ</x:v>
      </x:c>
    </x:row>
    <x:row r="362" ht="66" customHeight="1">
      <x:c r="A362" s="9" t="n">
        <x:v>354</x:v>
      </x:c>
      <x:c r="B362" s="20" t="str">
        <x:v>ครัวฟาตีมะห์-หวังรัญ</x:v>
      </x:c>
      <x:c r="C362" s="20" t="str">
        <x:v>ปทุมธานี</x:v>
      </x:c>
      <x:c r="D362" s="20" t="str">
        <x:v>ร้านอาหาร</x:v>
      </x:c>
      <x:c r="E362" s="20" t="str">
        <x:v>Makan Verify; ช่องห้องละหมาดไม่ได้ทำเครื่องหมายว่ามี</x:v>
      </x:c>
      <x:c r="F362" s="20" t="str">
        <x:v>ไม่ได้ทำเครื่องหมายว่ามี / ต้องยืนยัน</x:v>
      </x:c>
      <x:c r="G362" s="20" t="str">
        <x:v>ยังไม่พบเอกสารรับรองและวันหมดอายุ</x:v>
      </x:c>
      <x:c r="H36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62" s="20" t="str">
        <x:v>10 ลำลูกกา 5 ตำบล ลำลูกกา อำเภอลำลูกกา ปทุมธานี 12150</x:v>
      </x:c>
      <x:c r="J362" s="21" t="str">
        <x:v>0816586918</x:v>
      </x:c>
      <x:c r="K362" s="23" t="e">
        <x:f>HYPERLINK("https://makanhalalguide.com/shop/detail/6276","เปิดแหล่งข้อมูล 1")</x:f>
        <x:v>HYPERLINK is not implemented. linkLocation=https://makanhalalguide.com/shop/detail/6276, friendlyName=เปิดแหล่งข้อมูล 1</x:v>
      </x:c>
      <x:c r="L362" s="23" t="str"/>
      <x:c r="M362" s="20" t="str"/>
      <x:c r="N362" s="10" t="n">
        <x:v>46315</x:v>
      </x:c>
      <x:c r="O362" s="22" t="str">
        <x:v>ยังไม่ตรวจ</x:v>
      </x:c>
      <x:c r="P362" s="22" t="str">
        <x:v>ยังไม่ติดต่อ</x:v>
      </x:c>
    </x:row>
    <x:row r="363" ht="66" customHeight="1">
      <x:c r="A363" s="9" t="n">
        <x:v>355</x:v>
      </x:c>
      <x:c r="B363" s="20" t="str">
        <x:v>ครัวเตาถ่าน</x:v>
      </x:c>
      <x:c r="C363" s="20" t="str">
        <x:v>ปทุมธานี</x:v>
      </x:c>
      <x:c r="D363" s="20" t="str">
        <x:v>ร้านอาหาร</x:v>
      </x:c>
      <x:c r="E363" s="20" t="str">
        <x:v>Makan Verify; ช่องห้องละหมาดไม่ได้ทำเครื่องหมายว่ามี</x:v>
      </x:c>
      <x:c r="F363" s="20" t="str">
        <x:v>ไม่ได้ทำเครื่องหมายว่ามี / ต้องยืนยัน</x:v>
      </x:c>
      <x:c r="G363" s="20" t="str">
        <x:v>ยังไม่พบเอกสารรับรองและวันหมดอายุ</x:v>
      </x:c>
      <x:c r="H36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63" s="20" t="str">
        <x:v>34 19 ซอย คลองหลวง 32 ตำบล คลองหนึ่ง อำเภอคลองหลวง จังหวัดปทุมธานี 12120</x:v>
      </x:c>
      <x:c r="J363" s="21" t="str">
        <x:v>0968040480</x:v>
      </x:c>
      <x:c r="K363" s="23" t="e">
        <x:f>HYPERLINK("https://makanhalalguide.com/shop/detail/5859","เปิดแหล่งข้อมูล 1")</x:f>
        <x:v>HYPERLINK is not implemented. linkLocation=https://makanhalalguide.com/shop/detail/5859, friendlyName=เปิดแหล่งข้อมูล 1</x:v>
      </x:c>
      <x:c r="L363" s="23" t="e">
        <x:f>HYPERLINK("https://www.wongnai.com/restaurants/1405361WJ-%E0%B8%84%E0%B8%A3%E0%B8%B1%E0%B8%A7%E0%B9%80%E0%B8%95%E0%B8%B2%E0%B8%96%E0%B9%88%E0%B8%B2%E0%B8%99","เปิดแหล่งข้อมูล 2")</x:f>
        <x:v>HYPERLINK is not implemented. linkLocation=https://www.wongnai.com/restaurants/1405361WJ-%E0%B8%84%E0%B8%A3%E0%B8%B1%E0%B8%A7%E0%B9%80%E0%B8%95%E0%B8%B2%E0%B8%96%E0%B9%88%E0%B8%B2%E0%B8%99, friendlyName=เปิดแหล่งข้อมูล 2</x:v>
      </x:c>
      <x:c r="M363" s="20" t="str">
        <x:v>ผลค้นหาชื่อสัมพันธ์จากแหล่งเพิ่มเติม ต้องยืนยันสาขาและข้อมูลปัจจุบัน</x:v>
      </x:c>
      <x:c r="N363" s="10" t="n">
        <x:v>46315</x:v>
      </x:c>
      <x:c r="O363" s="22" t="str">
        <x:v>ยังไม่ตรวจ</x:v>
      </x:c>
      <x:c r="P363" s="22" t="str">
        <x:v>ยังไม่ติดต่อ</x:v>
      </x:c>
    </x:row>
    <x:row r="364" ht="66" customHeight="1">
      <x:c r="A364" s="9" t="n">
        <x:v>356</x:v>
      </x:c>
      <x:c r="B364" s="20" t="str">
        <x:v>ดรีมเวิลด์</x:v>
      </x:c>
      <x:c r="C364" s="20" t="str">
        <x:v>ปทุมธานี</x:v>
      </x:c>
      <x:c r="D364" s="20" t="str">
        <x:v>สวนสนุก</x:v>
      </x:c>
      <x:c r="E364" s="20" t="str">
        <x:v>ผู้ประกอบการระบุห้องละหมาดเปิดทุกวัน ต้องตรวจครัวหรือร้านฮาลาลที่ได้รับรองและสิ่งอำนวยความสะดวกอื่น</x:v>
      </x:c>
      <x:c r="F364" s="20" t="str">
        <x:v>แหล่งข้อมูลระบุว่ามี</x:v>
      </x:c>
      <x:c r="G364" s="20" t="str">
        <x:v>ยังไม่พบเอกสารรับรองและวันหมดอายุ</x:v>
      </x:c>
      <x:c r="H36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364" s="20" t="str">
        <x:v>ดูรายละเอียดในแหล่งอ้างอิง</x:v>
      </x:c>
      <x:c r="J364" s="21" t="str">
        <x:v>ยังไม่พบข้อมูล</x:v>
      </x:c>
      <x:c r="K364" s="23" t="e">
        <x:f>HYPERLINK("https://www.dreamworld.co.th/information?section=map","เปิดแหล่งข้อมูล 1")</x:f>
        <x:v>HYPERLINK is not implemented. linkLocation=https://www.dreamworld.co.th/information?section=map, friendlyName=เปิดแหล่งข้อมูล 1</x:v>
      </x:c>
      <x:c r="L364" s="23" t="e">
        <x:f>HYPERLINK("https://www.wongnai.com/attractions/324836PL-%E0%B8%94%E0%B8%A3%E0%B8%B5%E0%B8%A1%E0%B9%80%E0%B8%A7%E0%B8%B4%E0%B8%A5%E0%B8%94%E0%B9%8C","เปิดแหล่งข้อมูล 2")</x:f>
        <x:v>HYPERLINK is not implemented. linkLocation=https://www.wongnai.com/attractions/324836PL-%E0%B8%94%E0%B8%A3%E0%B8%B5%E0%B8%A1%E0%B9%80%E0%B8%A7%E0%B8%B4%E0%B8%A5%E0%B8%94%E0%B9%8C, friendlyName=เปิดแหล่งข้อมูล 2</x:v>
      </x:c>
      <x:c r="M364" s="20" t="str">
        <x:v>ผลค้นหาชื่อสัมพันธ์จากแหล่งเพิ่มเติม ต้องยืนยันสาขาและข้อมูลปัจจุบัน</x:v>
      </x:c>
      <x:c r="N364" s="10" t="n">
        <x:v>46315</x:v>
      </x:c>
      <x:c r="O364" s="22" t="str">
        <x:v>ยังไม่ตรวจ</x:v>
      </x:c>
      <x:c r="P364" s="22" t="str">
        <x:v>ยังไม่ติดต่อ</x:v>
      </x:c>
    </x:row>
    <x:row r="365" ht="66" customHeight="1">
      <x:c r="A365" s="9" t="n">
        <x:v>357</x:v>
      </x:c>
      <x:c r="B365" s="20" t="str">
        <x:v>ครัววังแพะ Goat Chef's Kitchen</x:v>
      </x:c>
      <x:c r="C365" s="20" t="str">
        <x:v>ปัตตานี</x:v>
      </x:c>
      <x:c r="D365" s="20" t="str">
        <x:v>ร้านอาหาร</x:v>
      </x:c>
      <x:c r="E365" s="20" t="str">
        <x:v>Makan Verify; ช่องห้องละหมาดไม่ได้ทำเครื่องหมายว่ามี</x:v>
      </x:c>
      <x:c r="F365" s="20" t="str">
        <x:v>ไม่ได้ทำเครื่องหมายว่ามี / ต้องยืนยัน</x:v>
      </x:c>
      <x:c r="G365" s="20" t="str">
        <x:v>ยังไม่พบเอกสารรับรองและวันหมดอายุ</x:v>
      </x:c>
      <x:c r="H36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65" s="20" t="str">
        <x:v>อยู่หลังมอ.ปัตตานี ถัดจากสำนักงานขนส่ง 50 เมตร เข้าซอยประมาน 20 เมตร ตำบลรูสะมิแล อำเภอเมืองปัตตานี จังหวัดปัตตานี 94000</x:v>
      </x:c>
      <x:c r="J365" s="21" t="str">
        <x:v>0892952098</x:v>
      </x:c>
      <x:c r="K365" s="23" t="e">
        <x:f>HYPERLINK("https://makanhalalguide.com/shop/detail/5419","เปิดแหล่งข้อมูล 1")</x:f>
        <x:v>HYPERLINK is not implemented. linkLocation=https://makanhalalguide.com/shop/detail/5419, friendlyName=เปิดแหล่งข้อมูล 1</x:v>
      </x:c>
      <x:c r="L365" s="23" t="e">
        <x:f>HYPERLINK("https://www.wongnai.com/restaurants/304799iE-%E0%B8%84%E0%B8%A3%E0%B8%B1%E0%B8%A7%E0%B8%A7%E0%B8%B1%E0%B8%87%E0%B9%81%E0%B8%9E%E0%B8%B0-%E0%B8%9B%E0%B8%B2%E0%B8%A5%E0%B8%B1%E0%B8%AA-1","เปิดแหล่งข้อมูล 2")</x:f>
        <x:v>HYPERLINK is not implemented. linkLocation=https://www.wongnai.com/restaurants/304799iE-%E0%B8%84%E0%B8%A3%E0%B8%B1%E0%B8%A7%E0%B8%A7%E0%B8%B1%E0%B8%87%E0%B9%81%E0%B8%9E%E0%B8%B0-%E0%B8%9B%E0%B8%B2%E0%B8%A5%E0%B8%B1%E0%B8%AA-1, friendlyName=เปิดแหล่งข้อมูล 2</x:v>
      </x:c>
      <x:c r="M365" s="20" t="str">
        <x:v>ผลค้นหาชื่อสัมพันธ์จากแหล่งเพิ่มเติม ต้องยืนยันสาขาและข้อมูลปัจจุบัน</x:v>
      </x:c>
      <x:c r="N365" s="10" t="n">
        <x:v>46315</x:v>
      </x:c>
      <x:c r="O365" s="22" t="str">
        <x:v>ยังไม่ตรวจ</x:v>
      </x:c>
      <x:c r="P365" s="22" t="str">
        <x:v>ยังไม่ติดต่อ</x:v>
      </x:c>
    </x:row>
    <x:row r="366" ht="66" customHeight="1">
      <x:c r="A366" s="9" t="n">
        <x:v>358</x:v>
      </x:c>
      <x:c r="B366" s="20" t="str">
        <x:v>มัสยิดกรือเซะ</x:v>
      </x:c>
      <x:c r="C366" s="20" t="str">
        <x:v>ปัตตานี</x:v>
      </x:c>
      <x:c r="D366" s="20" t="str">
        <x:v>มัสยิด</x:v>
      </x:c>
      <x:c r="E366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66" s="20" t="str">
        <x:v>แหล่งข้อมูลระบุว่ามี</x:v>
      </x:c>
      <x:c r="G366" s="20" t="str">
        <x:v>ยังไม่พบเอกสารรับรองและวันหมดอายุ</x:v>
      </x:c>
      <x:c r="H366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66" s="20" t="str">
        <x:v>บ้านกรือเซะ ตำบลตันหยงลุโละ อำเภอเมืองปัตตานี จังหวัดปัตตานี 94000</x:v>
      </x:c>
      <x:c r="J366" s="21" t="str">
        <x:v>073-413402, 087-2878</x:v>
      </x:c>
      <x:c r="K366" s="23" t="e">
        <x:f>HYPERLINK("https://www.thic.or.th/th/tourist/detail/mosques/46","เปิดแหล่งข้อมูล 1")</x:f>
        <x:v>HYPERLINK is not implemented. linkLocation=https://www.thic.or.th/th/tourist/detail/mosques/46, friendlyName=เปิดแหล่งข้อมูล 1</x:v>
      </x:c>
      <x:c r="L366" s="23" t="e">
        <x:f>HYPERLINK("https://www.wongnai.com/reviews/40d5e90369ca42ec983d4e370fd997b3","เปิดแหล่งข้อมูล 2")</x:f>
        <x:v>HYPERLINK is not implemented. linkLocation=https://www.wongnai.com/reviews/40d5e90369ca42ec983d4e370fd997b3, friendlyName=เปิดแหล่งข้อมูล 2</x:v>
      </x:c>
      <x:c r="M366" s="20" t="str">
        <x:v>ผลค้นหาชื่อสัมพันธ์จากแหล่งเพิ่มเติม ต้องยืนยันสาขาและข้อมูลปัจจุบัน</x:v>
      </x:c>
      <x:c r="N366" s="10" t="n">
        <x:v>46315</x:v>
      </x:c>
      <x:c r="O366" s="22" t="str">
        <x:v>ยังไม่ตรวจ</x:v>
      </x:c>
      <x:c r="P366" s="22" t="str">
        <x:v>ยังไม่ติดต่อ</x:v>
      </x:c>
    </x:row>
    <x:row r="367" ht="66" customHeight="1">
      <x:c r="A367" s="9" t="n">
        <x:v>359</x:v>
      </x:c>
      <x:c r="B367" s="20" t="str">
        <x:v>มัสยิดกลางจังหวัดปัตตานี</x:v>
      </x:c>
      <x:c r="C367" s="20" t="str">
        <x:v>ปัตตานี</x:v>
      </x:c>
      <x:c r="D367" s="20" t="str">
        <x:v>มัสยิด</x:v>
      </x:c>
      <x:c r="E367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67" s="20" t="str">
        <x:v>แหล่งข้อมูลระบุว่ามี</x:v>
      </x:c>
      <x:c r="G367" s="20" t="str">
        <x:v>ยังไม่พบเอกสารรับรองและวันหมดอายุ</x:v>
      </x:c>
      <x:c r="H367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67" s="20" t="str">
        <x:v>249 ถนนยะรัง ตำบลอาเนาะรู อำเภอเมืองปัตตานี จังหวัดปัตตานี 94000</x:v>
      </x:c>
      <x:c r="J367" s="21" t="str">
        <x:v>073-336149, 081-9900</x:v>
      </x:c>
      <x:c r="K367" s="23" t="e">
        <x:f>HYPERLINK("https://www.thic.or.th/th/tourist/detail/mosques/45","เปิดแหล่งข้อมูล 1")</x:f>
        <x:v>HYPERLINK is not implemented. linkLocation=https://www.thic.or.th/th/tourist/detail/mosques/45, friendlyName=เปิดแหล่งข้อมูล 1</x:v>
      </x:c>
      <x:c r="L367" s="23" t="e">
        <x:f>HYPERLINK("https://th.trip.com/travel-guide/attraction/pattani-city/pattani-central-mosque-56081620/?curr=BRL&amp;locale=th-TH","เปิดแหล่งข้อมูล 2")</x:f>
        <x:v>HYPERLINK is not implemented. linkLocation=https://th.trip.com/travel-guide/attraction/pattani-city/pattani-central-mosque-56081620/?curr=BRL&amp;locale=th-TH, friendlyName=เปิดแหล่งข้อมูล 2</x:v>
      </x:c>
      <x:c r="M367" s="20" t="str">
        <x:v>ผลค้นหาชื่อสัมพันธ์จากแหล่งเพิ่มเติม ต้องยืนยันสาขาและข้อมูลปัจจุบัน</x:v>
      </x:c>
      <x:c r="N367" s="10" t="n">
        <x:v>46315</x:v>
      </x:c>
      <x:c r="O367" s="22" t="str">
        <x:v>ยังไม่ตรวจ</x:v>
      </x:c>
      <x:c r="P367" s="22" t="str">
        <x:v>ยังไม่ติดต่อ</x:v>
      </x:c>
    </x:row>
    <x:row r="368" ht="66" customHeight="1">
      <x:c r="A368" s="9" t="n">
        <x:v>360</x:v>
      </x:c>
      <x:c r="B368" s="20" t="str">
        <x:v>โรงแรม เลอ เอราวัณ พังงา</x:v>
      </x:c>
      <x:c r="C368" s="20" t="str">
        <x:v>พังงา</x:v>
      </x:c>
      <x:c r="D368" s="20" t="str">
        <x:v>โรงแรมหรือรีสอร์ท</x:v>
      </x:c>
      <x:c r="E36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68" s="20" t="str">
        <x:v>ยังไม่พบข้อมูล</x:v>
      </x:c>
      <x:c r="G368" s="20" t="str">
        <x:v>ยังไม่พบเอกสารรับรองและวันหมดอายุ</x:v>
      </x:c>
      <x:c r="H36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68" s="20" t="str">
        <x:v>4/111 หมู่ 1 ตำบลโคกกลอย อำเภอตะกั่วทุ่ง จังหวัดพังงา 82140 ตำบลโคกกลอย อำเภอตะกั่วทุ่ง จังหวัดพังงา 82140</x:v>
      </x:c>
      <x:c r="J368" s="21" t="str">
        <x:v>094-5966256</x:v>
      </x:c>
      <x:c r="K368" s="23" t="e">
        <x:f>HYPERLINK("https://www.thic.or.th/th/tourist/detail/accommodation/212","เปิดแหล่งข้อมูล 1")</x:f>
        <x:v>HYPERLINK is not implemented. linkLocation=https://www.thic.or.th/th/tourist/detail/accommodation/212, friendlyName=เปิดแหล่งข้อมูล 1</x:v>
      </x:c>
      <x:c r="L368" s="23" t="e">
        <x:f>HYPERLINK("https://th.trip.com/hotels/v2/phang-nga-hotel-detail-81263191/le-erawan-phang-nga-hotel","เปิดแหล่งข้อมูล 2")</x:f>
        <x:v>HYPERLINK is not implemented. linkLocation=https://th.trip.com/hotels/v2/phang-nga-hotel-detail-81263191/le-erawan-phang-nga-hotel, friendlyName=เปิดแหล่งข้อมูล 2</x:v>
      </x:c>
      <x:c r="M368" s="20" t="str">
        <x:v>ผลค้นหาชื่อสัมพันธ์จากแหล่งเพิ่มเติม ต้องยืนยันสาขาและข้อมูลปัจจุบัน</x:v>
      </x:c>
      <x:c r="N368" s="10" t="n">
        <x:v>46315</x:v>
      </x:c>
      <x:c r="O368" s="22" t="str">
        <x:v>ยังไม่ตรวจ</x:v>
      </x:c>
      <x:c r="P368" s="22" t="str">
        <x:v>ยังไม่ติดต่อ</x:v>
      </x:c>
    </x:row>
    <x:row r="369" ht="66" customHeight="1">
      <x:c r="A369" s="9" t="n">
        <x:v>361</x:v>
      </x:c>
      <x:c r="B369" s="20" t="str">
        <x:v>โรงแรมภูงา</x:v>
      </x:c>
      <x:c r="C369" s="20" t="str">
        <x:v>พังงา</x:v>
      </x:c>
      <x:c r="D369" s="20" t="str">
        <x:v>โรงแรมหรือรีสอร์ท</x:v>
      </x:c>
      <x:c r="E36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69" s="20" t="str">
        <x:v>ยังไม่พบข้อมูล</x:v>
      </x:c>
      <x:c r="G369" s="20" t="str">
        <x:v>ยังไม่พบเอกสารรับรองและวันหมดอายุ</x:v>
      </x:c>
      <x:c r="H369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69" s="20" t="str">
        <x:v>45/65 หมู่ 3 ตำบลตากแดด อำเภอเมืองพังงา จังหวัดพังงา 82000 ตำบลตากแดด อำเภอเมืองพังงา จังหวัดพังงา 82000</x:v>
      </x:c>
      <x:c r="J369" s="21" t="str">
        <x:v>0869422415</x:v>
      </x:c>
      <x:c r="K369" s="23" t="e">
        <x:f>HYPERLINK("https://www.thic.or.th/th/tourist/detail/accommodation/209","เปิดแหล่งข้อมูล 1")</x:f>
        <x:v>HYPERLINK is not implemented. linkLocation=https://www.thic.or.th/th/tourist/detail/accommodation/209, friendlyName=เปิดแหล่งข้อมูล 1</x:v>
      </x:c>
      <x:c r="L369" s="23" t="e">
        <x:f>HYPERLINK("https://www.agoda.com/th-th/phu-nga/hotel/phang-nga-th.html","เปิดแหล่งข้อมูล 2")</x:f>
        <x:v>HYPERLINK is not implemented. linkLocation=https://www.agoda.com/th-th/phu-nga/hotel/phang-nga-th.html, friendlyName=เปิดแหล่งข้อมูล 2</x:v>
      </x:c>
      <x:c r="M369" s="20" t="str">
        <x:v>ผลค้นหาชื่อสัมพันธ์จากแหล่งเพิ่มเติม ต้องยืนยันสาขาและข้อมูลปัจจุบัน</x:v>
      </x:c>
      <x:c r="N369" s="10" t="n">
        <x:v>46315</x:v>
      </x:c>
      <x:c r="O369" s="22" t="str">
        <x:v>ยังไม่ตรวจ</x:v>
      </x:c>
      <x:c r="P369" s="22" t="str">
        <x:v>ยังไม่ติดต่อ</x:v>
      </x:c>
    </x:row>
    <x:row r="370" ht="66" customHeight="1">
      <x:c r="A370" s="9" t="n">
        <x:v>362</x:v>
      </x:c>
      <x:c r="B370" s="20" t="str">
        <x:v>โรงแรมภูเก็ตเกรซแลนด์ รีสอร์ท แอนด์ สปา</x:v>
      </x:c>
      <x:c r="C370" s="20" t="str">
        <x:v>ภูเก็ต</x:v>
      </x:c>
      <x:c r="D370" s="20" t="str">
        <x:v>โรงแรมหรือรีสอร์ท</x:v>
      </x:c>
      <x:c r="E37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70" s="20" t="str">
        <x:v>ยังไม่พบข้อมูล</x:v>
      </x:c>
      <x:c r="G370" s="20" t="str">
        <x:v>ยังไม่พบเอกสารรับรองและวันหมดอายุ</x:v>
      </x:c>
      <x:c r="H37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70" s="20" t="str">
        <x:v>8/88 หมู่ 3 ถนนเจ้าฟ้าตะวันตก ตำบลป่าตอง อำเภอกะทู้ จังหวัดภูเก็ต 83150</x:v>
      </x:c>
      <x:c r="J370" s="21" t="str">
        <x:v>076 345 888</x:v>
      </x:c>
      <x:c r="K370" s="23" t="e">
        <x:f>HYPERLINK("https://www.thic.or.th/th/tourist/detail/accommodation/22","เปิดแหล่งข้อมูล 1")</x:f>
        <x:v>HYPERLINK is not implemented. linkLocation=https://www.thic.or.th/th/tourist/detail/accommodation/22, friendlyName=เปิดแหล่งข้อมูล 1</x:v>
      </x:c>
      <x:c r="L370" s="23" t="e">
        <x:f>HYPERLINK("https://th.tripadvisor.com/Hotel_Review-g297930-d576169-Reviews-Phuket_Graceland_Resort_Spa-Patong_Kathu_Phuket.html","เปิดแหล่งข้อมูล 2")</x:f>
        <x:v>HYPERLINK is not implemented. linkLocation=https://th.tripadvisor.com/Hotel_Review-g297930-d576169-Reviews-Phuket_Graceland_Resort_Spa-Patong_Kathu_Phuket.html, friendlyName=เปิดแหล่งข้อมูล 2</x:v>
      </x:c>
      <x:c r="M370" s="20" t="str">
        <x:v>ผลค้นหาชื่อสัมพันธ์จากแหล่งเพิ่มเติม ต้องยืนยันสาขาและข้อมูลปัจจุบัน</x:v>
      </x:c>
      <x:c r="N370" s="10" t="n">
        <x:v>46315</x:v>
      </x:c>
      <x:c r="O370" s="22" t="str">
        <x:v>ยังไม่ตรวจ</x:v>
      </x:c>
      <x:c r="P370" s="22" t="str">
        <x:v>ยังไม่ติดต่อ</x:v>
      </x:c>
    </x:row>
    <x:row r="371" ht="66" customHeight="1">
      <x:c r="A371" s="9" t="n">
        <x:v>363</x:v>
      </x:c>
      <x:c r="B371" s="20" t="str">
        <x:v>โรงแรมเดอะรอยัลพาราไดซ์ ป่าตอง</x:v>
      </x:c>
      <x:c r="C371" s="20" t="str">
        <x:v>ภูเก็ต</x:v>
      </x:c>
      <x:c r="D371" s="20" t="str">
        <x:v>โรงแรมหรือรีสอร์ท</x:v>
      </x:c>
      <x:c r="E37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71" s="20" t="str">
        <x:v>ยังไม่พบข้อมูล</x:v>
      </x:c>
      <x:c r="G371" s="20" t="str">
        <x:v>ยังไม่พบเอกสารรับรองและวันหมดอายุ</x:v>
      </x:c>
      <x:c r="H37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71" s="20" t="str">
        <x:v>135/23, 123/15-16 ถนนราษฎร์อุทิศ 200 ปี หาดป่าตอง ตำบลป่าตอง อำเภอกะทู้ จังหวัดภูเก็ต 83150</x:v>
      </x:c>
      <x:c r="J371" s="21" t="str">
        <x:v>+66 76 340 666</x:v>
      </x:c>
      <x:c r="K371" s="23" t="e">
        <x:f>HYPERLINK("https://www.thic.or.th/th/tourist/detail/accommodation/21","เปิดแหล่งข้อมูล 1")</x:f>
        <x:v>HYPERLINK is not implemented. linkLocation=https://www.thic.or.th/th/tourist/detail/accommodation/21, friendlyName=เปิดแหล่งข้อมูล 1</x:v>
      </x:c>
      <x:c r="L371" s="23" t="e">
        <x:f>HYPERLINK("https://www.google.co.th/travel/hotels/entity/ChcIi-D1qriH0qUfGgsvZy8xdG0ydm42ZBAB?rp=OAHCAhwiGg0AAMBCEhMIw_zhjfjHlQMVofNLAx380BZ2&amp;ts=CAESCgoCCAMKAggDEAAaIgoCGgASHBIUCgcI6g8QChgQEgcI6g8QChgUGAQyAhAAOAEqCQoFOgNVU0QaAA","เปิดแหล่งข้อมูล 2")</x:f>
        <x:v>HYPERLINK is not implemented. linkLocation=https://www.google.co.th/travel/hotels/entity/ChcIi-D1qriH0qUfGgsvZy8xdG0ydm42ZBAB?rp=OAHCAhwiGg0AAMBCEhMIw_zhjfjHlQMVofNLAx380BZ2&amp;ts=CAESCgoCCAMKAggDEAAaIgoCGgASHBIUCgcI6g8QChgQEgcI6g8QChgUGAQyAhAAOAEqCQoFOgNVU0QaAA, friendlyName=เปิดแหล่งข้อมูล 2</x:v>
      </x:c>
      <x:c r="M371" s="20" t="str">
        <x:v>ผลค้นหาชื่อสัมพันธ์จากแหล่งเพิ่มเติม ต้องยืนยันสาขาและข้อมูลปัจจุบัน</x:v>
      </x:c>
      <x:c r="N371" s="10" t="n">
        <x:v>46315</x:v>
      </x:c>
      <x:c r="O371" s="22" t="str">
        <x:v>ยังไม่ตรวจ</x:v>
      </x:c>
      <x:c r="P371" s="22" t="str">
        <x:v>ยังไม่ติดต่อ</x:v>
      </x:c>
    </x:row>
    <x:row r="372" ht="66" customHeight="1">
      <x:c r="A372" s="9" t="n">
        <x:v>364</x:v>
      </x:c>
      <x:c r="B372" s="20" t="str">
        <x:v>มัสยิดกลาง จ.มุกดาหาร</x:v>
      </x:c>
      <x:c r="C372" s="20" t="str">
        <x:v>มุกดาหาร</x:v>
      </x:c>
      <x:c r="D372" s="20" t="str">
        <x:v>มัสยิด</x:v>
      </x:c>
      <x:c r="E372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72" s="20" t="str">
        <x:v>แหล่งข้อมูลระบุว่ามี</x:v>
      </x:c>
      <x:c r="G372" s="20" t="str">
        <x:v>ยังไม่พบเอกสารรับรองและวันหมดอายุ</x:v>
      </x:c>
      <x:c r="H372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72" s="20" t="str">
        <x:v>เลขที่ 100 ถนนเลี่ยงเมือง ตำบลมุกดาหาร อำเภอเมืองมุกดาหาร จังหวัดมุกดาหาร 49000</x:v>
      </x:c>
      <x:c r="J372" s="21" t="str">
        <x:v>+66816010544</x:v>
      </x:c>
      <x:c r="K372" s="23" t="e">
        <x:f>HYPERLINK("https://www.thic.or.th/th/tourist/detail/mosques/319","เปิดแหล่งข้อมูล 1")</x:f>
        <x:v>HYPERLINK is not implemented. linkLocation=https://www.thic.or.th/th/tourist/detail/mosques/319, friendlyName=เปิดแหล่งข้อมูล 1</x:v>
      </x:c>
      <x:c r="L372" s="23" t="str"/>
      <x:c r="M372" s="20" t="str"/>
      <x:c r="N372" s="10" t="n">
        <x:v>46315</x:v>
      </x:c>
      <x:c r="O372" s="22" t="str">
        <x:v>ยังไม่ตรวจ</x:v>
      </x:c>
      <x:c r="P372" s="22" t="str">
        <x:v>ยังไม่ติดต่อ</x:v>
      </x:c>
    </x:row>
    <x:row r="373" ht="66" customHeight="1">
      <x:c r="A373" s="9" t="n">
        <x:v>365</x:v>
      </x:c>
      <x:c r="B373" s="20" t="str">
        <x:v>% persen coffee</x:v>
      </x:c>
      <x:c r="C373" s="20" t="str">
        <x:v>ยะลา</x:v>
      </x:c>
      <x:c r="D373" s="20" t="str">
        <x:v>คาเฟ่และร้านของหวาน</x:v>
      </x:c>
      <x:c r="E373" s="20" t="str">
        <x:v>Makan Verify; ช่องห้องละหมาดไม่ได้ทำเครื่องหมายว่ามี</x:v>
      </x:c>
      <x:c r="F373" s="20" t="str">
        <x:v>ไม่ได้ทำเครื่องหมายว่ามี / ต้องยืนยัน</x:v>
      </x:c>
      <x:c r="G373" s="20" t="str">
        <x:v>ยังไม่พบเอกสารรับรองและวันหมดอายุ</x:v>
      </x:c>
      <x:c r="H37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73" s="20" t="str">
        <x:v>หน้าร้าน 20 บาท จารู ข้างๆ อีซูซู ถนนสิโรรส ตำบลสะเตง อำเภอเมืองยะลา จังหวัดยะลา 95000</x:v>
      </x:c>
      <x:c r="J373" s="21" t="str">
        <x:v>0883960537</x:v>
      </x:c>
      <x:c r="K373" s="23" t="e">
        <x:f>HYPERLINK("https://makanhalalguide.com/shop/detail/6011","เปิดแหล่งข้อมูล 1")</x:f>
        <x:v>HYPERLINK is not implemented. linkLocation=https://makanhalalguide.com/shop/detail/6011, friendlyName=เปิดแหล่งข้อมูล 1</x:v>
      </x:c>
      <x:c r="L373" s="23" t="str"/>
      <x:c r="M373" s="20" t="str"/>
      <x:c r="N373" s="10" t="n">
        <x:v>46315</x:v>
      </x:c>
      <x:c r="O373" s="22" t="str">
        <x:v>ยังไม่ตรวจ</x:v>
      </x:c>
      <x:c r="P373" s="22" t="str">
        <x:v>ยังไม่ติดต่อ</x:v>
      </x:c>
    </x:row>
    <x:row r="374" ht="66" customHeight="1">
      <x:c r="A374" s="9" t="n">
        <x:v>366</x:v>
      </x:c>
      <x:c r="B374" s="20" t="str">
        <x:v>24 house กาแฟหน้าบ้าน</x:v>
      </x:c>
      <x:c r="C374" s="20" t="str">
        <x:v>ยะลา</x:v>
      </x:c>
      <x:c r="D374" s="20" t="str">
        <x:v>ร้านอาหาร</x:v>
      </x:c>
      <x:c r="E374" s="20" t="str">
        <x:v>Makan Verify; ช่องห้องละหมาดไม่ได้ทำเครื่องหมายว่ามี</x:v>
      </x:c>
      <x:c r="F374" s="20" t="str">
        <x:v>ไม่ได้ทำเครื่องหมายว่ามี / ต้องยืนยัน</x:v>
      </x:c>
      <x:c r="G374" s="20" t="str">
        <x:v>ยังไม่พบเอกสารรับรองและวันหมดอายุ</x:v>
      </x:c>
      <x:c r="H37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74" s="20" t="str">
        <x:v>ข้างๆ อีซูซู ตรงข้ามกับ bringestone เจริญการยาง 33 ถนน เทศบาล 1 สะเตง อำเภอเมืองยะลา ยะลา 95000
</x:v>
      </x:c>
      <x:c r="J374" s="21" t="str">
        <x:v>0860105938</x:v>
      </x:c>
      <x:c r="K374" s="23" t="e">
        <x:f>HYPERLINK("https://makanhalalguide.com/shop/detail/5983","เปิดแหล่งข้อมูล 1")</x:f>
        <x:v>HYPERLINK is not implemented. linkLocation=https://makanhalalguide.com/shop/detail/5983, friendlyName=เปิดแหล่งข้อมูล 1</x:v>
      </x:c>
      <x:c r="L374" s="23" t="str"/>
      <x:c r="M374" s="20" t="str"/>
      <x:c r="N374" s="10" t="n">
        <x:v>46315</x:v>
      </x:c>
      <x:c r="O374" s="22" t="str">
        <x:v>ยังไม่ตรวจ</x:v>
      </x:c>
      <x:c r="P374" s="22" t="str">
        <x:v>ยังไม่ติดต่อ</x:v>
      </x:c>
    </x:row>
    <x:row r="375" ht="66" customHeight="1">
      <x:c r="A375" s="9" t="n">
        <x:v>367</x:v>
      </x:c>
      <x:c r="B375" s="20" t="str">
        <x:v>Candy rose หมี่ไก่ฉีก</x:v>
      </x:c>
      <x:c r="C375" s="20" t="str">
        <x:v>ยะลา</x:v>
      </x:c>
      <x:c r="D375" s="20" t="str">
        <x:v>ร้านอาหาร</x:v>
      </x:c>
      <x:c r="E375" s="20" t="str">
        <x:v>Makan Verify; ช่องห้องละหมาดไม่ได้ทำเครื่องหมายว่ามี</x:v>
      </x:c>
      <x:c r="F375" s="20" t="str">
        <x:v>ไม่ได้ทำเครื่องหมายว่ามี / ต้องยืนยัน</x:v>
      </x:c>
      <x:c r="G375" s="20" t="str">
        <x:v>ยังไม่พบเอกสารรับรองและวันหมดอายุ</x:v>
      </x:c>
      <x:c r="H37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75" s="20" t="str">
        <x:v>43 เทศบาลนครยะลา ตำบลสะเตง อำเภอเมืองยะลา จังหวัดยะลา 95000</x:v>
      </x:c>
      <x:c r="J375" s="21" t="str">
        <x:v>0615208879</x:v>
      </x:c>
      <x:c r="K375" s="23" t="e">
        <x:f>HYPERLINK("https://makanhalalguide.com/shop/detail/6043","เปิดแหล่งข้อมูล 1")</x:f>
        <x:v>HYPERLINK is not implemented. linkLocation=https://makanhalalguide.com/shop/detail/6043, friendlyName=เปิดแหล่งข้อมูล 1</x:v>
      </x:c>
      <x:c r="L375" s="23" t="e">
        <x:f>HYPERLINK("https://www.findglocal.com/TH/Yala/200533-7/7","เปิดแหล่งข้อมูล 2")</x:f>
        <x:v>HYPERLINK is not implemented. linkLocation=https://www.findglocal.com/TH/Yala/200533-7/7, friendlyName=เปิดแหล่งข้อมูล 2</x:v>
      </x:c>
      <x:c r="M375" s="20" t="str">
        <x:v>ผลค้นหาชื่อสัมพันธ์จากแหล่งเพิ่มเติม ต้องยืนยันสาขาและข้อมูลปัจจุบัน</x:v>
      </x:c>
      <x:c r="N375" s="10" t="n">
        <x:v>46315</x:v>
      </x:c>
      <x:c r="O375" s="22" t="str">
        <x:v>ยังไม่ตรวจ</x:v>
      </x:c>
      <x:c r="P375" s="22" t="str">
        <x:v>ยังไม่ติดต่อ</x:v>
      </x:c>
    </x:row>
    <x:row r="376" ht="66" customHeight="1">
      <x:c r="A376" s="9" t="n">
        <x:v>368</x:v>
      </x:c>
      <x:c r="B376" s="20" t="str">
        <x:v>IN Trend Co-working Cafe</x:v>
      </x:c>
      <x:c r="C376" s="20" t="str">
        <x:v>ยะลา</x:v>
      </x:c>
      <x:c r="D376" s="20" t="str">
        <x:v>คาเฟ่และร้านของหวาน</x:v>
      </x:c>
      <x:c r="E376" s="20" t="str">
        <x:v>Makan Verify; ช่องห้องละหมาดไม่ได้ทำเครื่องหมายว่ามี</x:v>
      </x:c>
      <x:c r="F376" s="20" t="str">
        <x:v>ไม่ได้ทำเครื่องหมายว่ามี / ต้องยืนยัน</x:v>
      </x:c>
      <x:c r="G376" s="20" t="str">
        <x:v>ยังไม่พบเอกสารรับรองและวันหมดอายุ</x:v>
      </x:c>
      <x:c r="H37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76" s="20" t="str">
        <x:v> ถนนสิโรรส สะเตง อำเภอเมืองยะลา จังหวัดยะลา 95000</x:v>
      </x:c>
      <x:c r="J376" s="21" t="str">
        <x:v>0817265646</x:v>
      </x:c>
      <x:c r="K376" s="23" t="e">
        <x:f>HYPERLINK("https://makanhalalguide.com/shop/detail/6015","เปิดแหล่งข้อมูล 1")</x:f>
        <x:v>HYPERLINK is not implemented. linkLocation=https://makanhalalguide.com/shop/detail/6015, friendlyName=เปิดแหล่งข้อมูล 1</x:v>
      </x:c>
      <x:c r="L376" s="23" t="e">
        <x:f>HYPERLINK("https://wel-b.net/en/shop/in-trend-co-working-caf","เปิดแหล่งข้อมูล 2")</x:f>
        <x:v>HYPERLINK is not implemented. linkLocation=https://wel-b.net/en/shop/in-trend-co-working-caf, friendlyName=เปิดแหล่งข้อมูล 2</x:v>
      </x:c>
      <x:c r="M376" s="20" t="str">
        <x:v>ผลค้นหาชื่อสัมพันธ์จากแหล่งเพิ่มเติม ต้องยืนยันสาขาและข้อมูลปัจจุบัน</x:v>
      </x:c>
      <x:c r="N376" s="10" t="n">
        <x:v>46315</x:v>
      </x:c>
      <x:c r="O376" s="22" t="str">
        <x:v>ยังไม่ตรวจ</x:v>
      </x:c>
      <x:c r="P376" s="22" t="str">
        <x:v>ยังไม่ติดต่อ</x:v>
      </x:c>
    </x:row>
    <x:row r="377" ht="66" customHeight="1">
      <x:c r="A377" s="9" t="n">
        <x:v>369</x:v>
      </x:c>
      <x:c r="B377" s="20" t="str">
        <x:v>Orbit Coffee-ออร์บิท คอฟฟี่ ยะลา</x:v>
      </x:c>
      <x:c r="C377" s="20" t="str">
        <x:v>ยะลา</x:v>
      </x:c>
      <x:c r="D377" s="20" t="str">
        <x:v>คาเฟ่และร้านของหวาน</x:v>
      </x:c>
      <x:c r="E377" s="20" t="str">
        <x:v>Makan Verify; ช่องห้องละหมาดไม่ได้ทำเครื่องหมายว่ามี</x:v>
      </x:c>
      <x:c r="F377" s="20" t="str">
        <x:v>ไม่ได้ทำเครื่องหมายว่ามี / ต้องยืนยัน</x:v>
      </x:c>
      <x:c r="G377" s="20" t="str">
        <x:v>ยังไม่พบเอกสารรับรองและวันหมดอายุ</x:v>
      </x:c>
      <x:c r="H37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77" s="20" t="str">
        <x:v>248 ตำบลสะเตง อำเภอเมืองยะลา ยะลา 95000</x:v>
      </x:c>
      <x:c r="J377" s="21" t="str">
        <x:v>0963959006</x:v>
      </x:c>
      <x:c r="K377" s="23" t="e">
        <x:f>HYPERLINK("https://makanhalalguide.com/shop/detail/6004","เปิดแหล่งข้อมูล 1")</x:f>
        <x:v>HYPERLINK is not implemented. linkLocation=https://makanhalalguide.com/shop/detail/6004, friendlyName=เปิดแหล่งข้อมูล 1</x:v>
      </x:c>
      <x:c r="L377" s="23" t="e">
        <x:f>HYPERLINK("https://www.wongnai.com/restaurants/2671226sv-orbit-coffee-yala","เปิดแหล่งข้อมูล 2")</x:f>
        <x:v>HYPERLINK is not implemented. linkLocation=https://www.wongnai.com/restaurants/2671226sv-orbit-coffee-yala, friendlyName=เปิดแหล่งข้อมูล 2</x:v>
      </x:c>
      <x:c r="M377" s="20" t="str">
        <x:v>ผลค้นหาชื่อสัมพันธ์จากแหล่งเพิ่มเติม ต้องยืนยันสาขาและข้อมูลปัจจุบัน</x:v>
      </x:c>
      <x:c r="N377" s="10" t="n">
        <x:v>46315</x:v>
      </x:c>
      <x:c r="O377" s="22" t="str">
        <x:v>ยังไม่ตรวจ</x:v>
      </x:c>
      <x:c r="P377" s="22" t="str">
        <x:v>ยังไม่ติดต่อ</x:v>
      </x:c>
    </x:row>
    <x:row r="378" ht="66" customHeight="1">
      <x:c r="A378" s="9" t="n">
        <x:v>370</x:v>
      </x:c>
      <x:c r="B378" s="20" t="str">
        <x:v>CTRL (Wh)y? Coffn'mat</x:v>
      </x:c>
      <x:c r="C378" s="20" t="str">
        <x:v>ระยอง</x:v>
      </x:c>
      <x:c r="D378" s="20" t="str">
        <x:v>ร้านอาหาร</x:v>
      </x:c>
      <x:c r="E378" s="20" t="str">
        <x:v>Makan Verify; ช่องห้องละหมาดไม่ได้ทำเครื่องหมายว่ามี</x:v>
      </x:c>
      <x:c r="F378" s="20" t="str">
        <x:v>ไม่ได้ทำเครื่องหมายว่ามี / ต้องยืนยัน</x:v>
      </x:c>
      <x:c r="G378" s="20" t="str">
        <x:v>ยังไม่พบเอกสารรับรองและวันหมดอายุ</x:v>
      </x:c>
      <x:c r="H37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78" s="20" t="str">
        <x:v>ถ. ตากสินมหาราช ตำบล ท่าประดู่ อำเภอเมืองระยอง ระยอง 21000</x:v>
      </x:c>
      <x:c r="J378" s="21" t="str">
        <x:v>0990433312</x:v>
      </x:c>
      <x:c r="K378" s="23" t="e">
        <x:f>HYPERLINK("https://makanhalalguide.com/shop/detail/6157","เปิดแหล่งข้อมูล 1")</x:f>
        <x:v>HYPERLINK is not implemented. linkLocation=https://makanhalalguide.com/shop/detail/6157, friendlyName=เปิดแหล่งข้อมูล 1</x:v>
      </x:c>
      <x:c r="L378" s="23" t="str"/>
      <x:c r="M378" s="20" t="str"/>
      <x:c r="N378" s="10" t="n">
        <x:v>46315</x:v>
      </x:c>
      <x:c r="O378" s="22" t="str">
        <x:v>ยังไม่ตรวจ</x:v>
      </x:c>
      <x:c r="P378" s="22" t="str">
        <x:v>ยังไม่ติดต่อ</x:v>
      </x:c>
    </x:row>
    <x:row r="379" ht="66" customHeight="1">
      <x:c r="A379" s="9" t="n">
        <x:v>371</x:v>
      </x:c>
      <x:c r="B379" s="20" t="str">
        <x:v>Super เนื้อ 98 ก๋วยเตี๋ยวเนื้อตุ๋น</x:v>
      </x:c>
      <x:c r="C379" s="20" t="str">
        <x:v>ระยอง</x:v>
      </x:c>
      <x:c r="D379" s="20" t="str">
        <x:v>ร้านอาหาร</x:v>
      </x:c>
      <x:c r="E379" s="20" t="str">
        <x:v>Makan Verify; ช่องห้องละหมาดไม่ได้ทำเครื่องหมายว่ามี</x:v>
      </x:c>
      <x:c r="F379" s="20" t="str">
        <x:v>ไม่ได้ทำเครื่องหมายว่ามี / ต้องยืนยัน</x:v>
      </x:c>
      <x:c r="G379" s="20" t="str">
        <x:v>ยังไม่พบเอกสารรับรองและวันหมดอายุ</x:v>
      </x:c>
      <x:c r="H37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79" s="20" t="str">
        <x:v>ชุมชนซอยประปา 98/15 อำเภอเมืองระยอง ระยอง 21150</x:v>
      </x:c>
      <x:c r="J379" s="21" t="str">
        <x:v>0994192636</x:v>
      </x:c>
      <x:c r="K379" s="23" t="e">
        <x:f>HYPERLINK("https://makanhalalguide.com/shop/detail/6154","เปิดแหล่งข้อมูล 1")</x:f>
        <x:v>HYPERLINK is not implemented. linkLocation=https://makanhalalguide.com/shop/detail/6154, friendlyName=เปิดแหล่งข้อมูล 1</x:v>
      </x:c>
      <x:c r="L379" s="23" t="str"/>
      <x:c r="M379" s="20" t="str"/>
      <x:c r="N379" s="10" t="n">
        <x:v>46315</x:v>
      </x:c>
      <x:c r="O379" s="22" t="str">
        <x:v>ยังไม่ตรวจ</x:v>
      </x:c>
      <x:c r="P379" s="22" t="str">
        <x:v>ยังไม่ติดต่อ</x:v>
      </x:c>
    </x:row>
    <x:row r="380" ht="66" customHeight="1">
      <x:c r="A380" s="9" t="n">
        <x:v>372</x:v>
      </x:c>
      <x:c r="B380" s="20" t="str">
        <x:v>กัยนา (เล็กเมืองตรัง) ไก่ทอดหาดใหญ่</x:v>
      </x:c>
      <x:c r="C380" s="20" t="str">
        <x:v>ระยอง</x:v>
      </x:c>
      <x:c r="D380" s="20" t="str">
        <x:v>ร้านอาหาร</x:v>
      </x:c>
      <x:c r="E380" s="20" t="str">
        <x:v>Makan Verify; ช่องห้องละหมาดไม่ได้ทำเครื่องหมายว่ามี</x:v>
      </x:c>
      <x:c r="F380" s="20" t="str">
        <x:v>ไม่ได้ทำเครื่องหมายว่ามี / ต้องยืนยัน</x:v>
      </x:c>
      <x:c r="G380" s="20" t="str">
        <x:v>ยังไม่พบเอกสารรับรองและวันหมดอายุ</x:v>
      </x:c>
      <x:c r="H38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80" s="20" t="str">
        <x:v>ถนนสะอาดพัฒนา ตำบลเชิงเนิน อำเภอเมืองระยอง ระยอง 21000</x:v>
      </x:c>
      <x:c r="J380" s="21" t="str">
        <x:v>0809705178</x:v>
      </x:c>
      <x:c r="K380" s="23" t="e">
        <x:f>HYPERLINK("https://makanhalalguide.com/shop/detail/6134","เปิดแหล่งข้อมูล 1")</x:f>
        <x:v>HYPERLINK is not implemented. linkLocation=https://makanhalalguide.com/shop/detail/6134, friendlyName=เปิดแหล่งข้อมูล 1</x:v>
      </x:c>
      <x:c r="L380" s="23" t="str"/>
      <x:c r="M380" s="20" t="str"/>
      <x:c r="N380" s="10" t="n">
        <x:v>46315</x:v>
      </x:c>
      <x:c r="O380" s="22" t="str">
        <x:v>ยังไม่ตรวจ</x:v>
      </x:c>
      <x:c r="P380" s="22" t="str">
        <x:v>ยังไม่ติดต่อ</x:v>
      </x:c>
    </x:row>
    <x:row r="381" ht="66" customHeight="1">
      <x:c r="A381" s="9" t="n">
        <x:v>373</x:v>
      </x:c>
      <x:c r="B381" s="20" t="str">
        <x:v>กินเส้น @ บายบัง</x:v>
      </x:c>
      <x:c r="C381" s="20" t="str">
        <x:v>ระยอง</x:v>
      </x:c>
      <x:c r="D381" s="20" t="str">
        <x:v>ร้านอาหาร</x:v>
      </x:c>
      <x:c r="E381" s="20" t="str">
        <x:v>Makan Verify; ช่องห้องละหมาดไม่ได้ทำเครื่องหมายว่ามี</x:v>
      </x:c>
      <x:c r="F381" s="20" t="str">
        <x:v>ไม่ได้ทำเครื่องหมายว่ามี / ต้องยืนยัน</x:v>
      </x:c>
      <x:c r="G381" s="20" t="str">
        <x:v>ยังไม่พบเอกสารรับรองและวันหมดอายุ</x:v>
      </x:c>
      <x:c r="H38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81" s="20" t="str">
        <x:v>ซ. พัฒนประเสริฐ อำเภอเมืองระยอง 21000</x:v>
      </x:c>
      <x:c r="J381" s="21" t="str">
        <x:v>0984671471</x:v>
      </x:c>
      <x:c r="K381" s="23" t="e">
        <x:f>HYPERLINK("https://makanhalalguide.com/shop/detail/6135","เปิดแหล่งข้อมูล 1")</x:f>
        <x:v>HYPERLINK is not implemented. linkLocation=https://makanhalalguide.com/shop/detail/6135, friendlyName=เปิดแหล่งข้อมูล 1</x:v>
      </x:c>
      <x:c r="L381" s="23" t="str"/>
      <x:c r="M381" s="20" t="str"/>
      <x:c r="N381" s="10" t="n">
        <x:v>46315</x:v>
      </x:c>
      <x:c r="O381" s="22" t="str">
        <x:v>ยังไม่ตรวจ</x:v>
      </x:c>
      <x:c r="P381" s="22" t="str">
        <x:v>ยังไม่ติดต่อ</x:v>
      </x:c>
    </x:row>
    <x:row r="382" ht="66" customHeight="1">
      <x:c r="A382" s="9" t="n">
        <x:v>374</x:v>
      </x:c>
      <x:c r="B382" s="20" t="str">
        <x:v>ก๋วยเตี๋ยวเนื้อ โต๊ะจููละห์</x:v>
      </x:c>
      <x:c r="C382" s="20" t="str">
        <x:v>ระยอง</x:v>
      </x:c>
      <x:c r="D382" s="20" t="str">
        <x:v>ร้านอาหาร</x:v>
      </x:c>
      <x:c r="E382" s="20" t="str">
        <x:v>Makan Verify; ช่องห้องละหมาดไม่ได้ทำเครื่องหมายว่ามี</x:v>
      </x:c>
      <x:c r="F382" s="20" t="str">
        <x:v>ไม่ได้ทำเครื่องหมายว่ามี / ต้องยืนยัน</x:v>
      </x:c>
      <x:c r="G382" s="20" t="str">
        <x:v>ยังไม่พบเอกสารรับรองและวันหมดอายุ</x:v>
      </x:c>
      <x:c r="H38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82" s="20" t="str">
        <x:v>23 ซ.ไตรลักษณ์ ถ เทอดไท-มุสลิม ต.มาบตาพุด อ.เมือง ระยอง 21150</x:v>
      </x:c>
      <x:c r="J382" s="21" t="str">
        <x:v>0839991496</x:v>
      </x:c>
      <x:c r="K382" s="23" t="e">
        <x:f>HYPERLINK("https://makanhalalguide.com/shop/detail/6149","เปิดแหล่งข้อมูล 1")</x:f>
        <x:v>HYPERLINK is not implemented. linkLocation=https://makanhalalguide.com/shop/detail/6149, friendlyName=เปิดแหล่งข้อมูล 1</x:v>
      </x:c>
      <x:c r="L382" s="23" t="e">
        <x:f>HYPERLINK("https://restaurantguru.com/%E0%B8%A3%E0%B9%89%E0%B8%B2%E0%B8%99%E0%B8%81%E0%B9%8B%E0%B8%A7%E0%B8%A2%E0%B9%80%E0%B8%95%E0%B8%B5%E0%B9%8B%E0%B8%A2%E0%B8%A7%E0%B9%80%E0%B8%99%E0%B8%B7%E0%B9%89%E0%B8%AD-%E0%B9%82%E0%B8%95%E0%B9%8A%E0%B8%B0%E0%B8%88%E0%B8%B9%E0%B8%B9%E0%B8%A5%E0%B8%B0%E0%B8%AB%E0%B9%8C-Map-Ta-Phut","เปิดแหล่งข้อมูล 2")</x:f>
        <x:v>HYPERLINK is not implemented. linkLocation=https://restaurantguru.com/%E0%B8%A3%E0%B9%89%E0%B8%B2%E0%B8%99%E0%B8%81%E0%B9%8B%E0%B8%A7%E0%B8%A2%E0%B9%80%E0%B8%95%E0%B8%B5%E0%B9%8B%E0%B8%A2%E0%B8%A7%E0%B9%80%E0%B8%99%E0%B8%B7%E0%B9%89%E0%B8%AD-%E0%B9%82%E0%B8%95%E0%B9%8A%E0%B8%B0%E0%B8%88%E0%B8%B9%E0%B8%B9%E0%B8%A5%E0%B8%B0%E0%B8%AB%E0%B9%8C-Map-Ta-Phut, friendlyName=เปิดแหล่งข้อมูล 2</x:v>
      </x:c>
      <x:c r="M382" s="20" t="str">
        <x:v>ผลค้นหาชื่อสัมพันธ์จากแหล่งเพิ่มเติม ต้องยืนยันสาขาและข้อมูลปัจจุบัน</x:v>
      </x:c>
      <x:c r="N382" s="10" t="n">
        <x:v>46315</x:v>
      </x:c>
      <x:c r="O382" s="22" t="str">
        <x:v>ยังไม่ตรวจ</x:v>
      </x:c>
      <x:c r="P382" s="22" t="str">
        <x:v>ยังไม่ติดต่อ</x:v>
      </x:c>
    </x:row>
    <x:row r="383" ht="66" customHeight="1">
      <x:c r="A383" s="9" t="n">
        <x:v>375</x:v>
      </x:c>
      <x:c r="B383" s="20" t="str">
        <x:v>มัสยิดอัสซุนนะห์ จ.ระยอง</x:v>
      </x:c>
      <x:c r="C383" s="20" t="str">
        <x:v>ระยอง</x:v>
      </x:c>
      <x:c r="D383" s="20" t="str">
        <x:v>มัสยิด</x:v>
      </x:c>
      <x:c r="E383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83" s="20" t="str">
        <x:v>แหล่งข้อมูลระบุว่ามี</x:v>
      </x:c>
      <x:c r="G383" s="20" t="str">
        <x:v>ยังไม่พบเอกสารรับรองและวันหมดอายุ</x:v>
      </x:c>
      <x:c r="H383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83" s="20" t="str">
        <x:v>ถนนสมุทรเจดีย์ ตำบลปากน้ำ อำเภอเมืองระยอง จังหวัดระยอง 21000</x:v>
      </x:c>
      <x:c r="J383" s="21" t="str">
        <x:v>0877400852</x:v>
      </x:c>
      <x:c r="K383" s="23" t="e">
        <x:f>HYPERLINK("https://www.thic.or.th/th/tourist/detail/mosques/323","เปิดแหล่งข้อมูล 1")</x:f>
        <x:v>HYPERLINK is not implemented. linkLocation=https://www.thic.or.th/th/tourist/detail/mosques/323, friendlyName=เปิดแหล่งข้อมูล 1</x:v>
      </x:c>
      <x:c r="L383" s="23" t="e">
        <x:f>HYPERLINK("https://xn--l3cga1amo9al2e5c0fqf.cybo.com/TH/%E0%B9%80%E0%B8%97%E0%B8%A8%E0%B8%9A%E0%B8%B2%E0%B8%A5%E0%B8%99%E0%B8%84%E0%B8%A3%E0%B8%A3%E0%B8%B0%E0%B8%A2%E0%B8%AD%E0%B8%87/%E0%B8%A1%E0%B8%B1%E0%B8%AA%E0%B8%A2%E0%B8%B4%E0%B8%94","เปิดแหล่งข้อมูล 2")</x:f>
        <x:v>HYPERLINK is not implemented. linkLocation=https://xn--l3cga1amo9al2e5c0fqf.cybo.com/TH/%E0%B9%80%E0%B8%97%E0%B8%A8%E0%B8%9A%E0%B8%B2%E0%B8%A5%E0%B8%99%E0%B8%84%E0%B8%A3%E0%B8%A3%E0%B8%B0%E0%B8%A2%E0%B8%AD%E0%B8%87/%E0%B8%A1%E0%B8%B1%E0%B8%AA%E0%B8%A2%E0%B8%B4%E0%B8%94, friendlyName=เปิดแหล่งข้อมูล 2</x:v>
      </x:c>
      <x:c r="M383" s="20" t="str">
        <x:v>ผลค้นหาชื่อสัมพันธ์จากแหล่งเพิ่มเติม ต้องยืนยันสาขาและข้อมูลปัจจุบัน</x:v>
      </x:c>
      <x:c r="N383" s="10" t="n">
        <x:v>46315</x:v>
      </x:c>
      <x:c r="O383" s="22" t="str">
        <x:v>ยังไม่ตรวจ</x:v>
      </x:c>
      <x:c r="P383" s="22" t="str">
        <x:v>ยังไม่ติดต่อ</x:v>
      </x:c>
    </x:row>
    <x:row r="384" ht="66" customHeight="1">
      <x:c r="A384" s="9" t="n">
        <x:v>376</x:v>
      </x:c>
      <x:c r="B384" s="20" t="str">
        <x:v>รีเจนท์ ลอด์จ โฮเตล</x:v>
      </x:c>
      <x:c r="C384" s="20" t="str">
        <x:v>ลำปาง</x:v>
      </x:c>
      <x:c r="D384" s="20" t="str">
        <x:v>โรงแรมหรือรีสอร์ท</x:v>
      </x:c>
      <x:c r="E38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84" s="20" t="str">
        <x:v>ยังไม่พบข้อมูล</x:v>
      </x:c>
      <x:c r="G384" s="20" t="str">
        <x:v>ยังไม่พบเอกสารรับรองและวันหมดอายุ</x:v>
      </x:c>
      <x:c r="H38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84" s="20" t="str">
        <x:v>279/3 ถนนพหลโยธิน ตำบลหัวเวียง อำเภอเมืองลำปาง จังหวัดลำปาง 52000 ตำบลหัวเวียง อำเภอเมืองลำปาง จังหวัดลำปาง 52000</x:v>
      </x:c>
      <x:c r="J384" s="21" t="str">
        <x:v>0881380360</x:v>
      </x:c>
      <x:c r="K384" s="23" t="e">
        <x:f>HYPERLINK("https://www.thic.or.th/th/tourist/detail/accommodation/222","เปิดแหล่งข้อมูล 1")</x:f>
        <x:v>HYPERLINK is not implemented. linkLocation=https://www.thic.or.th/th/tourist/detail/accommodation/222, friendlyName=เปิดแหล่งข้อมูล 1</x:v>
      </x:c>
      <x:c r="L384" s="23" t="e">
        <x:f>HYPERLINK("https://www.lovethailand.org/travel/en/3-Lampang/6275-Wang-Nuea-Road-Cultural-Street.html","เปิดแหล่งข้อมูล 2")</x:f>
        <x:v>HYPERLINK is not implemented. linkLocation=https://www.lovethailand.org/travel/en/3-Lampang/6275-Wang-Nuea-Road-Cultural-Street.html, friendlyName=เปิดแหล่งข้อมูล 2</x:v>
      </x:c>
      <x:c r="M384" s="20" t="str">
        <x:v>ผลค้นหาชื่อสัมพันธ์จากแหล่งเพิ่มเติม ต้องยืนยันสาขาและข้อมูลปัจจุบัน</x:v>
      </x:c>
      <x:c r="N384" s="10" t="n">
        <x:v>46315</x:v>
      </x:c>
      <x:c r="O384" s="22" t="str">
        <x:v>ยังไม่ตรวจ</x:v>
      </x:c>
      <x:c r="P384" s="22" t="str">
        <x:v>ยังไม่ติดต่อ</x:v>
      </x:c>
    </x:row>
    <x:row r="385" ht="66" customHeight="1">
      <x:c r="A385" s="9" t="n">
        <x:v>377</x:v>
      </x:c>
      <x:c r="B385" s="20" t="str">
        <x:v>มัสยิดนูรุลอิสลามสกลนคร</x:v>
      </x:c>
      <x:c r="C385" s="20" t="str">
        <x:v>สกลนคร</x:v>
      </x:c>
      <x:c r="D385" s="20" t="str">
        <x:v>มัสยิด</x:v>
      </x:c>
      <x:c r="E385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85" s="20" t="str">
        <x:v>แหล่งข้อมูลระบุว่ามี</x:v>
      </x:c>
      <x:c r="G385" s="20" t="str">
        <x:v>ยังไม่พบเอกสารรับรองและวันหมดอายุ</x:v>
      </x:c>
      <x:c r="H385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85" s="20" t="str">
        <x:v>208 หมู่ 13 ถนนบ้านธาตุดุม ตำบลธาตุเชิงชุม อำเภอเมืองสกลนคร จังหวัดสกลนคร 47000</x:v>
      </x:c>
      <x:c r="J385" s="21" t="str">
        <x:v>0818235057</x:v>
      </x:c>
      <x:c r="K385" s="23" t="e">
        <x:f>HYPERLINK("https://www.thic.or.th/th/tourist/detail/mosques/320","เปิดแหล่งข้อมูล 1")</x:f>
        <x:v>HYPERLINK is not implemented. linkLocation=https://www.thic.or.th/th/tourist/detail/mosques/320, friendlyName=เปิดแหล่งข้อมูล 1</x:v>
      </x:c>
      <x:c r="L385" s="23" t="e">
        <x:f>HYPERLINK("https://www.ibank.co.th/th/news/detail/2021-03-29-16-42-12","เปิดแหล่งข้อมูล 2")</x:f>
        <x:v>HYPERLINK is not implemented. linkLocation=https://www.ibank.co.th/th/news/detail/2021-03-29-16-42-12, friendlyName=เปิดแหล่งข้อมูล 2</x:v>
      </x:c>
      <x:c r="M385" s="20" t="str">
        <x:v>ผลค้นหาชื่อสัมพันธ์จากแหล่งเพิ่มเติม ต้องยืนยันสาขาและข้อมูลปัจจุบัน</x:v>
      </x:c>
      <x:c r="N385" s="10" t="n">
        <x:v>46315</x:v>
      </x:c>
      <x:c r="O385" s="22" t="str">
        <x:v>ยังไม่ตรวจ</x:v>
      </x:c>
      <x:c r="P385" s="22" t="str">
        <x:v>ยังไม่ติดต่อ</x:v>
      </x:c>
    </x:row>
    <x:row r="386" ht="66" customHeight="1">
      <x:c r="A386" s="9" t="n">
        <x:v>378</x:v>
      </x:c>
      <x:c r="B386" s="20" t="str">
        <x:v>โรงแรม บี.พี. แกรนด์ทาวเวอร์</x:v>
      </x:c>
      <x:c r="C386" s="20" t="str">
        <x:v>สงขลา</x:v>
      </x:c>
      <x:c r="D386" s="20" t="str">
        <x:v>โรงแรมหรือรีสอร์ท</x:v>
      </x:c>
      <x:c r="E386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86" s="20" t="str">
        <x:v>ยังไม่พบข้อมูล</x:v>
      </x:c>
      <x:c r="G386" s="20" t="str">
        <x:v>ยังไม่พบเอกสารรับรองและวันหมดอายุ</x:v>
      </x:c>
      <x:c r="H38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86" s="20" t="str">
        <x:v>74 ถนนเสน่หานุสรณ์ ตำบลหาดใหญ่ อำเภอหาดใหญ่ จังหวัดสงขลา 90110 ตำบลหาดใหญ่ อำเภอหาดใหญ่ จังหวัดสงขลา 90110</x:v>
      </x:c>
      <x:c r="J386" s="21" t="str">
        <x:v>074-355655</x:v>
      </x:c>
      <x:c r="K386" s="23" t="e">
        <x:f>HYPERLINK("https://www.thic.or.th/th/tourist/detail/accommodation/215","เปิดแหล่งข้อมูล 1")</x:f>
        <x:v>HYPERLINK is not implemented. linkLocation=https://www.thic.or.th/th/tourist/detail/accommodation/215, friendlyName=เปิดแหล่งข้อมูล 1</x:v>
      </x:c>
      <x:c r="L386" s="23" t="e">
        <x:f>HYPERLINK("https://th.tripadvisor.com/Hotel_Review-g297921-d1230765-Reviews-BP_Grand_Tower_Hotel-Hat_Yai_Songkhla_Province.html","เปิดแหล่งข้อมูล 2")</x:f>
        <x:v>HYPERLINK is not implemented. linkLocation=https://th.tripadvisor.com/Hotel_Review-g297921-d1230765-Reviews-BP_Grand_Tower_Hotel-Hat_Yai_Songkhla_Province.html, friendlyName=เปิดแหล่งข้อมูล 2</x:v>
      </x:c>
      <x:c r="M386" s="20" t="str">
        <x:v>ผลค้นหาชื่อสัมพันธ์จากแหล่งเพิ่มเติม ต้องยืนยันสาขาและข้อมูลปัจจุบัน</x:v>
      </x:c>
      <x:c r="N386" s="10" t="n">
        <x:v>46315</x:v>
      </x:c>
      <x:c r="O386" s="22" t="str">
        <x:v>ยังไม่ตรวจ</x:v>
      </x:c>
      <x:c r="P386" s="22" t="str">
        <x:v>ยังไม่ติดต่อ</x:v>
      </x:c>
    </x:row>
    <x:row r="387" ht="66" customHeight="1">
      <x:c r="A387" s="9" t="n">
        <x:v>379</x:v>
      </x:c>
      <x:c r="B387" s="20" t="str">
        <x:v>โรงแรม หรรษา เจบี</x:v>
      </x:c>
      <x:c r="C387" s="20" t="str">
        <x:v>สงขลา</x:v>
      </x:c>
      <x:c r="D387" s="20" t="str">
        <x:v>โรงแรมหรือรีสอร์ท</x:v>
      </x:c>
      <x:c r="E38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87" s="20" t="str">
        <x:v>ยังไม่พบข้อมูล</x:v>
      </x:c>
      <x:c r="G387" s="20" t="str">
        <x:v>ยังไม่พบเอกสารรับรองและวันหมดอายุ</x:v>
      </x:c>
      <x:c r="H38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87" s="20" t="str">
        <x:v>99 ถนนจุติอนุสรณ์ ตำบลหาดใหญ่ อำเภอหาดใหญ่ จังหวัดสงขลา 90110 ตำบลหาดใหญ่ อำเภอหาดใหญ่ จังหวัดสงขลา 90110</x:v>
      </x:c>
      <x:c r="J387" s="21" t="str">
        <x:v>074-234301-9</x:v>
      </x:c>
      <x:c r="K387" s="23" t="e">
        <x:f>HYPERLINK("https://www.thic.or.th/th/tourist/detail/accommodation/214","เปิดแหล่งข้อมูล 1")</x:f>
        <x:v>HYPERLINK is not implemented. linkLocation=https://www.thic.or.th/th/tourist/detail/accommodation/214, friendlyName=เปิดแหล่งข้อมูล 1</x:v>
      </x:c>
      <x:c r="L387" s="23" t="e">
        <x:f>HYPERLINK("https://th.trip.com/hotels/hat-yai-hotel-detail-1512414/hansa-jb-hotel-hatyai/review.html","เปิดแหล่งข้อมูล 2")</x:f>
        <x:v>HYPERLINK is not implemented. linkLocation=https://th.trip.com/hotels/hat-yai-hotel-detail-1512414/hansa-jb-hotel-hatyai/review.html, friendlyName=เปิดแหล่งข้อมูล 2</x:v>
      </x:c>
      <x:c r="M387" s="20" t="str">
        <x:v>ผลค้นหาชื่อสัมพันธ์จากแหล่งเพิ่มเติม ต้องยืนยันสาขาและข้อมูลปัจจุบัน</x:v>
      </x:c>
      <x:c r="N387" s="10" t="n">
        <x:v>46315</x:v>
      </x:c>
      <x:c r="O387" s="22" t="str">
        <x:v>ยังไม่ตรวจ</x:v>
      </x:c>
      <x:c r="P387" s="22" t="str">
        <x:v>ยังไม่ติดต่อ</x:v>
      </x:c>
    </x:row>
    <x:row r="388" ht="66" customHeight="1">
      <x:c r="A388" s="9" t="n">
        <x:v>380</x:v>
      </x:c>
      <x:c r="B388" s="20" t="str">
        <x:v>โรงแรมหาดแก้ว รีสอร์ท สงขลา</x:v>
      </x:c>
      <x:c r="C388" s="20" t="str">
        <x:v>สงขลา</x:v>
      </x:c>
      <x:c r="D388" s="20" t="str">
        <x:v>โรงแรมหรือรีสอร์ท</x:v>
      </x:c>
      <x:c r="E38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88" s="20" t="str">
        <x:v>ยังไม่พบข้อมูล</x:v>
      </x:c>
      <x:c r="G388" s="20" t="str">
        <x:v>ยังไม่พบเอกสารรับรองและวันหมดอายุ</x:v>
      </x:c>
      <x:c r="H38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88" s="20" t="str">
        <x:v>163 ม.1 ตำบลชิงโค อำเภอสิงหนคร จังหวัดสงขลา 90280 ตำบลชิงโค อำเภอสิงหนคร จังหวัดสงขลา 90280</x:v>
      </x:c>
      <x:c r="J388" s="21" t="str">
        <x:v>081-2754700</x:v>
      </x:c>
      <x:c r="K388" s="23" t="e">
        <x:f>HYPERLINK("https://www.thic.or.th/th/tourist/detail/accommodation/202","เปิดแหล่งข้อมูล 1")</x:f>
        <x:v>HYPERLINK is not implemented. linkLocation=https://www.thic.or.th/th/tourist/detail/accommodation/202, friendlyName=เปิดแหล่งข้อมูล 1</x:v>
      </x:c>
      <x:c r="L388" s="23" t="e">
        <x:f>HYPERLINK("https://www.thaithurkic.com/%E0%B9%82%E0%B8%A3%E0%B8%87%E0%B9%81%E0%B8%A3%E0%B8%A1%E0%B8%AB%E0%B8%B2%E0%B8%94%E0%B9%81%E0%B8%81%E0%B9%89%E0%B8%A7%E0%B8%A3%E0%B8%B5%E0%B8%AA%E0%B8%AD%E0%B8%A3%E0%B9%8C%E0%B8%97-%E0%B8%AA%E0%B8%87%E0%B8%82%E0%B8%A5%E0%B8%B2_13-089-738-1079","เปิดแหล่งข้อมูล 2")</x:f>
        <x:v>HYPERLINK is not implemented. linkLocation=https://www.thaithurkic.com/%E0%B9%82%E0%B8%A3%E0%B8%87%E0%B9%81%E0%B8%A3%E0%B8%A1%E0%B8%AB%E0%B8%B2%E0%B8%94%E0%B9%81%E0%B8%81%E0%B9%89%E0%B8%A7%E0%B8%A3%E0%B8%B5%E0%B8%AA%E0%B8%AD%E0%B8%A3%E0%B9%8C%E0%B8%97-%E0%B8%AA%E0%B8%87%E0%B8%82%E0%B8%A5%E0%B8%B2_13-089-738-1079, friendlyName=เปิดแหล่งข้อมูล 2</x:v>
      </x:c>
      <x:c r="M388" s="20" t="str">
        <x:v>ผลค้นหาชื่อสัมพันธ์จากแหล่งเพิ่มเติม ต้องยืนยันสาขาและข้อมูลปัจจุบัน</x:v>
      </x:c>
      <x:c r="N388" s="10" t="n">
        <x:v>46315</x:v>
      </x:c>
      <x:c r="O388" s="22" t="str">
        <x:v>ยังไม่ตรวจ</x:v>
      </x:c>
      <x:c r="P388" s="22" t="str">
        <x:v>ยังไม่ติดต่อ</x:v>
      </x:c>
    </x:row>
    <x:row r="389" ht="66" customHeight="1">
      <x:c r="A389" s="9" t="n">
        <x:v>381</x:v>
      </x:c>
      <x:c r="B389" s="20" t="str">
        <x:v>โรงแรมเซาท์เทอร์น แอร์พอร์ต</x:v>
      </x:c>
      <x:c r="C389" s="20" t="str">
        <x:v>สงขลา</x:v>
      </x:c>
      <x:c r="D389" s="20" t="str">
        <x:v>โรงแรมหรือรีสอร์ท</x:v>
      </x:c>
      <x:c r="E38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389" s="20" t="str">
        <x:v>ยังไม่พบข้อมูล</x:v>
      </x:c>
      <x:c r="G389" s="20" t="str">
        <x:v>ยังไม่พบเอกสารรับรองและวันหมดอายุ</x:v>
      </x:c>
      <x:c r="H389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389" s="20" t="str">
        <x:v>2129 หมู่ 6 ถ.สนามบิน-ลพบุรีราเมศวร์ ตำบลควนลัง อำเภอหาดใหญ่ จังหวัดสงขลา 90110 ตำบลควนลัง อำเภอหาดใหญ่ จังหวัดสงขลา 90110</x:v>
      </x:c>
      <x:c r="J389" s="21" t="str">
        <x:v>074 802 038</x:v>
      </x:c>
      <x:c r="K389" s="23" t="e">
        <x:f>HYPERLINK("https://www.thic.or.th/th/tourist/detail/accommodation/208","เปิดแหล่งข้อมูล 1")</x:f>
        <x:v>HYPERLINK is not implemented. linkLocation=https://www.thic.or.th/th/tourist/detail/accommodation/208, friendlyName=เปิดแหล่งข้อมูล 1</x:v>
      </x:c>
      <x:c r="L389" s="23" t="e">
        <x:f>HYPERLINK("https://www.lemon8-app.com/%40hellosongkhla/7619262329806111253?region=us","เปิดแหล่งข้อมูล 2")</x:f>
        <x:v>HYPERLINK is not implemented. linkLocation=https://www.lemon8-app.com/%40hellosongkhla/7619262329806111253?region=us, friendlyName=เปิดแหล่งข้อมูล 2</x:v>
      </x:c>
      <x:c r="M389" s="20" t="str">
        <x:v>ผลค้นหาชื่อสัมพันธ์จากแหล่งเพิ่มเติม ต้องยืนยันสาขาและข้อมูลปัจจุบัน</x:v>
      </x:c>
      <x:c r="N389" s="10" t="n">
        <x:v>46315</x:v>
      </x:c>
      <x:c r="O389" s="22" t="str">
        <x:v>ยังไม่ตรวจ</x:v>
      </x:c>
      <x:c r="P389" s="22" t="str">
        <x:v>ยังไม่ติดต่อ</x:v>
      </x:c>
    </x:row>
    <x:row r="390" ht="66" customHeight="1">
      <x:c r="A390" s="9" t="n">
        <x:v>382</x:v>
      </x:c>
      <x:c r="B390" s="20" t="str">
        <x:v>AYAMCHON HATYAI</x:v>
      </x:c>
      <x:c r="C390" s="20" t="str">
        <x:v>สงขลา</x:v>
      </x:c>
      <x:c r="D390" s="20" t="str">
        <x:v>ร้านอาหาร</x:v>
      </x:c>
      <x:c r="E390" s="20" t="str">
        <x:v>Makan Verify; ช่องห้องละหมาดไม่ได้ทำเครื่องหมายว่ามี</x:v>
      </x:c>
      <x:c r="F390" s="20" t="str">
        <x:v>ไม่ได้ทำเครื่องหมายว่ามี / ต้องยืนยัน</x:v>
      </x:c>
      <x:c r="G390" s="20" t="str">
        <x:v>ยังไม่พบเอกสารรับรองและวันหมดอายุ</x:v>
      </x:c>
      <x:c r="H39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0" s="20" t="str">
        <x:v>555 ถนน ศุภสารรังสรรค์ ตำบล หาดใหญ่ อำเภอหาดใหญ่ สงขลา 90110</x:v>
      </x:c>
      <x:c r="J390" s="21" t="str">
        <x:v>0829615458</x:v>
      </x:c>
      <x:c r="K390" s="23" t="e">
        <x:f>HYPERLINK("https://makanhalalguide.com/shop/detail/5612","เปิดแหล่งข้อมูล 1")</x:f>
        <x:v>HYPERLINK is not implemented. linkLocation=https://makanhalalguide.com/shop/detail/5612, friendlyName=เปิดแหล่งข้อมูล 1</x:v>
      </x:c>
      <x:c r="L390" s="23" t="e">
        <x:f>HYPERLINK("https://www.wongnai.com/restaurants/2984951qD-ayamchon-%E0%B8%8A%E0%B9%88%E0%B8%AD%E0%B8%87%E0%B9%80%E0%B8%82%E0%B8%B2-%E0%B8%AB%E0%B8%B2%E0%B8%94%E0%B9%83%E0%B8%AB%E0%B8%8D%E0%B9%88?_st=cD0xMzY7Yj0yOTg0OTUxO2FkPWZhbHNlO3Q9MTc4MDI5ODEyMzg4OTtyaT0xWDdiWVUzeVN3ZmRuak9GcXJicVBOcFNYMVphbHY7aT0xWDcxMW5wWXhycFNqeVVqd2pBR1E3MlJscHNTbWY7d3JlZj1zcjs%3D","เปิดแหล่งข้อมูล 2")</x:f>
        <x:v>HYPERLINK is not implemented. linkLocation=https://www.wongnai.com/restaurants/2984951qD-ayamchon-%E0%B8%8A%E0%B9%88%E0%B8%AD%E0%B8%87%E0%B9%80%E0%B8%82%E0%B8%B2-%E0%B8%AB%E0%B8%B2%E0%B8%94%E0%B9%83%E0%B8%AB%E0%B8%8D%E0%B9%88?_st=cD0xMzY7Yj0yOTg0OTUxO2FkPWZhbHNlO3Q9MTc4MDI5ODEyMzg4OTtyaT0xWDdiWVUzeVN3ZmRuak9GcXJicVBOcFNYMVphbHY7aT0xWDcxMW5wWXhycFNqeVVqd2pBR1E3MlJscHNTbWY7d3JlZj1zcjs%3D, friendlyName=เปิดแหล่งข้อมูล 2</x:v>
      </x:c>
      <x:c r="M390" s="20" t="str">
        <x:v>ผลค้นหาชื่อสัมพันธ์จากแหล่งเพิ่มเติม ต้องยืนยันสาขาและข้อมูลปัจจุบัน</x:v>
      </x:c>
      <x:c r="N390" s="10" t="n">
        <x:v>46315</x:v>
      </x:c>
      <x:c r="O390" s="22" t="str">
        <x:v>ยังไม่ตรวจ</x:v>
      </x:c>
      <x:c r="P390" s="22" t="str">
        <x:v>ยังไม่ติดต่อ</x:v>
      </x:c>
    </x:row>
    <x:row r="391" ht="66" customHeight="1">
      <x:c r="A391" s="9" t="n">
        <x:v>383</x:v>
      </x:c>
      <x:c r="B391" s="20" t="str">
        <x:v>มัสยิดกลางประจำจังหวัดสงขลา</x:v>
      </x:c>
      <x:c r="C391" s="20" t="str">
        <x:v>สงขลา</x:v>
      </x:c>
      <x:c r="D391" s="20" t="str">
        <x:v>มัสยิด</x:v>
      </x:c>
      <x:c r="E391" s="20" t="str">
        <x:v>THIC ระบุสถานที่ศาสนาอิสลาม ต้องตรวจการเปิดรับนักท่องเที่ยว พื้นที่สตรี สุขอนามัย และข้อมูลร้านฮาลาล</x:v>
      </x:c>
      <x:c r="F391" s="20" t="str">
        <x:v>แหล่งข้อมูลระบุว่ามี</x:v>
      </x:c>
      <x:c r="G391" s="20" t="str">
        <x:v>ยังไม่พบเอกสารรับรองและวันหมดอายุ</x:v>
      </x:c>
      <x:c r="H391" s="20" t="str">
        <x:v>ยืนยันการต้อนรับนักท่องเที่ยว เวลาเยี่ยมชม พื้นที่สตรี ห้องน้ำและที่อาบน้ำละหมาด ข้อมูลหลายภาษา และร้านฮาลาลใกล้เคียง</x:v>
      </x:c>
      <x:c r="I391" s="20" t="str">
        <x:v>ถนนลพบุรีราเมศวร์ ตำบลคลองแห อำเภอหาดใหญ่ จังหวัดสงขลา 90110</x:v>
      </x:c>
      <x:c r="J391" s="21" t="str">
        <x:v>081-954-2437</x:v>
      </x:c>
      <x:c r="K391" s="23" t="e">
        <x:f>HYPERLINK("https://www.thic.or.th/th/tourist/detail/mosques/47","เปิดแหล่งข้อมูล 1")</x:f>
        <x:v>HYPERLINK is not implemented. linkLocation=https://www.thic.or.th/th/tourist/detail/mosques/47, friendlyName=เปิดแหล่งข้อมูล 1</x:v>
      </x:c>
      <x:c r="L391" s="23" t="e">
        <x:f>HYPERLINK("https://th.trip.com/travel-guide/attraction/hat-yai/the-central-mosque-of-songkhla-61871424/?curr=THB&amp;locale=th-TH","เปิดแหล่งข้อมูล 2")</x:f>
        <x:v>HYPERLINK is not implemented. linkLocation=https://th.trip.com/travel-guide/attraction/hat-yai/the-central-mosque-of-songkhla-61871424/?curr=THB&amp;locale=th-TH, friendlyName=เปิดแหล่งข้อมูล 2</x:v>
      </x:c>
      <x:c r="M391" s="20" t="str">
        <x:v>ผลค้นหาชื่อสัมพันธ์จากแหล่งเพิ่มเติม ต้องยืนยันสาขาและข้อมูลปัจจุบัน</x:v>
      </x:c>
      <x:c r="N391" s="10" t="n">
        <x:v>46315</x:v>
      </x:c>
      <x:c r="O391" s="22" t="str">
        <x:v>ยังไม่ตรวจ</x:v>
      </x:c>
      <x:c r="P391" s="22" t="str">
        <x:v>ยังไม่ติดต่อ</x:v>
      </x:c>
    </x:row>
    <x:row r="392" ht="66" customHeight="1">
      <x:c r="A392" s="9" t="n">
        <x:v>384</x:v>
      </x:c>
      <x:c r="B392" s="20" t="str">
        <x:v>กลิ่นมาลัย</x:v>
      </x:c>
      <x:c r="C392" s="20" t="str">
        <x:v>สมุทรปราการ</x:v>
      </x:c>
      <x:c r="D392" s="20" t="str">
        <x:v>ร้านอาหาร</x:v>
      </x:c>
      <x:c r="E392" s="20" t="str">
        <x:v>Makan Verify; ช่องห้องละหมาดไม่ได้ทำเครื่องหมายว่ามี</x:v>
      </x:c>
      <x:c r="F392" s="20" t="str">
        <x:v>ไม่ได้ทำเครื่องหมายว่ามี / ต้องยืนยัน</x:v>
      </x:c>
      <x:c r="G392" s="20" t="str">
        <x:v>ยังไม่พบเอกสารรับรองและวันหมดอายุ</x:v>
      </x:c>
      <x:c r="H39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2" s="20" t="str">
        <x:v>มัสยิดดารอสอาดะห์
72 ซอยพระราชวิริยาภรณ์ 17 ต.บางพึ่ง อ.พระประแดง จ.สมุทรปราการ 10130
</x:v>
      </x:c>
      <x:c r="J392" s="21" t="str">
        <x:v>0947231782</x:v>
      </x:c>
      <x:c r="K392" s="23" t="e">
        <x:f>HYPERLINK("https://makanhalalguide.com/shop/detail/5573","เปิดแหล่งข้อมูล 1")</x:f>
        <x:v>HYPERLINK is not implemented. linkLocation=https://makanhalalguide.com/shop/detail/5573, friendlyName=เปิดแหล่งข้อมูล 1</x:v>
      </x:c>
      <x:c r="L392" s="23" t="str"/>
      <x:c r="M392" s="20" t="str"/>
      <x:c r="N392" s="10" t="n">
        <x:v>46315</x:v>
      </x:c>
      <x:c r="O392" s="22" t="str">
        <x:v>ยังไม่ตรวจ</x:v>
      </x:c>
      <x:c r="P392" s="22" t="str">
        <x:v>ยังไม่ติดต่อ</x:v>
      </x:c>
    </x:row>
    <x:row r="393" ht="66" customHeight="1">
      <x:c r="A393" s="9" t="n">
        <x:v>385</x:v>
      </x:c>
      <x:c r="B393" s="20" t="str">
        <x:v>กาแฟปากลัด</x:v>
      </x:c>
      <x:c r="C393" s="20" t="str">
        <x:v>สมุทรปราการ</x:v>
      </x:c>
      <x:c r="D393" s="20" t="str">
        <x:v>ร้านอาหาร</x:v>
      </x:c>
      <x:c r="E393" s="20" t="str">
        <x:v>Makan Verify; ช่องห้องละหมาดไม่ได้ทำเครื่องหมายว่ามี</x:v>
      </x:c>
      <x:c r="F393" s="20" t="str">
        <x:v>ไม่ได้ทำเครื่องหมายว่ามี / ต้องยืนยัน</x:v>
      </x:c>
      <x:c r="G393" s="20" t="str">
        <x:v>ยังไม่พบเอกสารรับรองและวันหมดอายุ</x:v>
      </x:c>
      <x:c r="H39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3" s="20" t="str">
        <x:v>มัสยิดดารอสอาดะห์
72 ซอยพระราชวิริยาภรณ์ 17 ต.บางพึ่ง อ.พระประแดง จ.สมุทรปราการ 10130
</x:v>
      </x:c>
      <x:c r="J393" s="21" t="str">
        <x:v>0960411993</x:v>
      </x:c>
      <x:c r="K393" s="23" t="e">
        <x:f>HYPERLINK("https://makanhalalguide.com/shop/detail/5574","เปิดแหล่งข้อมูล 1")</x:f>
        <x:v>HYPERLINK is not implemented. linkLocation=https://makanhalalguide.com/shop/detail/5574, friendlyName=เปิดแหล่งข้อมูล 1</x:v>
      </x:c>
      <x:c r="L393" s="23" t="str"/>
      <x:c r="M393" s="20" t="str"/>
      <x:c r="N393" s="10" t="n">
        <x:v>46315</x:v>
      </x:c>
      <x:c r="O393" s="22" t="str">
        <x:v>ยังไม่ตรวจ</x:v>
      </x:c>
      <x:c r="P393" s="22" t="str">
        <x:v>ยังไม่ติดต่อ</x:v>
      </x:c>
    </x:row>
    <x:row r="394" ht="66" customHeight="1">
      <x:c r="A394" s="9" t="n">
        <x:v>386</x:v>
      </x:c>
      <x:c r="B394" s="20" t="str">
        <x:v>ก๋วยเตี๋ยว อาหารอิสลาม บังจ๋า มาแว้ว</x:v>
      </x:c>
      <x:c r="C394" s="20" t="str">
        <x:v>สมุทรปราการ</x:v>
      </x:c>
      <x:c r="D394" s="20" t="str">
        <x:v>ร้านอาหาร</x:v>
      </x:c>
      <x:c r="E394" s="20" t="str">
        <x:v>Makan Verify; ช่องห้องละหมาดไม่ได้ทำเครื่องหมายว่ามี</x:v>
      </x:c>
      <x:c r="F394" s="20" t="str">
        <x:v>ไม่ได้ทำเครื่องหมายว่ามี / ต้องยืนยัน</x:v>
      </x:c>
      <x:c r="G394" s="20" t="str">
        <x:v>ยังไม่พบเอกสารรับรองและวันหมดอายุ</x:v>
      </x:c>
      <x:c r="H39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4" s="20" t="str">
        <x:v>ถนนสุขุมวิท ซอยเทศบาล 31 หน้ามัสยิดอัล - เอี๊ยะซาน ตำบลปากน้ำ อำเภอเมืองสมุทรปราการ จังหวัดสมุทร ปราการ 10270 , เทศบาลนครสมุทรปราการ, เมืองสมุทรปราการ, สมุทรปราการ, 10270</x:v>
      </x:c>
      <x:c r="J394" s="21" t="str">
        <x:v>0849929947</x:v>
      </x:c>
      <x:c r="K394" s="23" t="e">
        <x:f>HYPERLINK("https://makanhalalguide.com/shop/detail/5674","เปิดแหล่งข้อมูล 1")</x:f>
        <x:v>HYPERLINK is not implemented. linkLocation=https://makanhalalguide.com/shop/detail/5674, friendlyName=เปิดแหล่งข้อมูล 1</x:v>
      </x:c>
      <x:c r="L394" s="23" t="str"/>
      <x:c r="M394" s="20" t="str"/>
      <x:c r="N394" s="10" t="n">
        <x:v>46315</x:v>
      </x:c>
      <x:c r="O394" s="22" t="str">
        <x:v>ยังไม่ตรวจ</x:v>
      </x:c>
      <x:c r="P394" s="22" t="str">
        <x:v>ยังไม่ติดต่อ</x:v>
      </x:c>
    </x:row>
    <x:row r="395" ht="66" customHeight="1">
      <x:c r="A395" s="9" t="n">
        <x:v>387</x:v>
      </x:c>
      <x:c r="B395" s="20" t="str">
        <x:v>ก๋วยเตี๋ยวซากีนะห์</x:v>
      </x:c>
      <x:c r="C395" s="20" t="str">
        <x:v>สมุทรปราการ</x:v>
      </x:c>
      <x:c r="D395" s="20" t="str">
        <x:v>ร้านอาหาร</x:v>
      </x:c>
      <x:c r="E395" s="20" t="str">
        <x:v>Makan Verify; ช่องห้องละหมาดไม่ได้ทำเครื่องหมายว่ามี</x:v>
      </x:c>
      <x:c r="F395" s="20" t="str">
        <x:v>ไม่ได้ทำเครื่องหมายว่ามี / ต้องยืนยัน</x:v>
      </x:c>
      <x:c r="G395" s="20" t="str">
        <x:v>ยังไม่พบเอกสารรับรองและวันหมดอายุ</x:v>
      </x:c>
      <x:c r="H39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5" s="20" t="str">
        <x:v>23/655สมุทรนิเวศน์ซอย1 ตำบลบางเมือง อำเภอเมืองสมุทรปราการ จังหวัดสมุทรปราการ 10270</x:v>
      </x:c>
      <x:c r="J395" s="21" t="str">
        <x:v>0824641600</x:v>
      </x:c>
      <x:c r="K395" s="23" t="e">
        <x:f>HYPERLINK("https://makanhalalguide.com/shop/detail/5683","เปิดแหล่งข้อมูล 1")</x:f>
        <x:v>HYPERLINK is not implemented. linkLocation=https://makanhalalguide.com/shop/detail/5683, friendlyName=เปิดแหล่งข้อมูล 1</x:v>
      </x:c>
      <x:c r="L395" s="23" t="str"/>
      <x:c r="M395" s="20" t="str"/>
      <x:c r="N395" s="10" t="n">
        <x:v>46315</x:v>
      </x:c>
      <x:c r="O395" s="22" t="str">
        <x:v>ยังไม่ตรวจ</x:v>
      </x:c>
      <x:c r="P395" s="22" t="str">
        <x:v>ยังไม่ติดต่อ</x:v>
      </x:c>
    </x:row>
    <x:row r="396" ht="66" customHeight="1">
      <x:c r="A396" s="9" t="n">
        <x:v>388</x:v>
      </x:c>
      <x:c r="B396" s="20" t="str">
        <x:v>สถานีโรตี</x:v>
      </x:c>
      <x:c r="C396" s="20" t="str">
        <x:v>สระบุรี</x:v>
      </x:c>
      <x:c r="D396" s="20" t="str">
        <x:v>คาเฟ่และร้านของหวาน</x:v>
      </x:c>
      <x:c r="E396" s="20" t="str">
        <x:v>Makan Verify; ช่องห้องละหมาดไม่ได้ทำเครื่องหมายว่ามี</x:v>
      </x:c>
      <x:c r="F396" s="20" t="str">
        <x:v>ไม่ได้ทำเครื่องหมายว่ามี / ต้องยืนยัน</x:v>
      </x:c>
      <x:c r="G396" s="20" t="str">
        <x:v>ยังไม่พบเอกสารรับรองและวันหมดอายุ</x:v>
      </x:c>
      <x:c r="H39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6" s="20" t="str">
        <x:v>ตลาดหนองแค เยื้อง 7-11  ตำบลหนองแค  อำเภอหนองแค จังหวัดสระบุรี 18140</x:v>
      </x:c>
      <x:c r="J396" s="21" t="str">
        <x:v>0851818687</x:v>
      </x:c>
      <x:c r="K396" s="23" t="e">
        <x:f>HYPERLINK("https://makanhalalguide.com/shop/detail/5822","เปิดแหล่งข้อมูล 1")</x:f>
        <x:v>HYPERLINK is not implemented. linkLocation=https://makanhalalguide.com/shop/detail/5822, friendlyName=เปิดแหล่งข้อมูล 1</x:v>
      </x:c>
      <x:c r="L396" s="23" t="str"/>
      <x:c r="M396" s="20" t="str"/>
      <x:c r="N396" s="10" t="n">
        <x:v>46315</x:v>
      </x:c>
      <x:c r="O396" s="22" t="str">
        <x:v>ยังไม่ตรวจ</x:v>
      </x:c>
      <x:c r="P396" s="22" t="str">
        <x:v>ยังไม่ติดต่อ</x:v>
      </x:c>
    </x:row>
    <x:row r="397" ht="66" customHeight="1">
      <x:c r="A397" s="9" t="n">
        <x:v>389</x:v>
      </x:c>
      <x:c r="B397" s="20" t="str">
        <x:v>เดอะกี โรตี The gee roti</x:v>
      </x:c>
      <x:c r="C397" s="20" t="str">
        <x:v>เชียงใหม่</x:v>
      </x:c>
      <x:c r="D397" s="20" t="str">
        <x:v>คาเฟ่และร้านของหวาน</x:v>
      </x:c>
      <x:c r="E397" s="20" t="str">
        <x:v>Makan Verify; ช่องห้องละหมาดไม่ได้ทำเครื่องหมายว่ามี</x:v>
      </x:c>
      <x:c r="F397" s="20" t="str">
        <x:v>ไม่ได้ทำเครื่องหมายว่ามี / ต้องยืนยัน</x:v>
      </x:c>
      <x:c r="G397" s="20" t="str">
        <x:v>ยังไม่พบเอกสารรับรองและวันหมดอายุ</x:v>
      </x:c>
      <x:c r="H39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7" s="20" t="str">
        <x:v>ลานจอดรถ ถ้ำเชียงดาว ตำบล เชียงดาว อำเภอเชียงดาว จังหวัดเชียงใหม่  50170</x:v>
      </x:c>
      <x:c r="J397" s="21" t="str">
        <x:v>0806723831</x:v>
      </x:c>
      <x:c r="K397" s="23" t="e">
        <x:f>HYPERLINK("https://makanhalalguide.com/shop/detail/5900","เปิดแหล่งข้อมูล 1")</x:f>
        <x:v>HYPERLINK is not implemented. linkLocation=https://makanhalalguide.com/shop/detail/5900, friendlyName=เปิดแหล่งข้อมูล 1</x:v>
      </x:c>
      <x:c r="L397" s="23" t="e">
        <x:f>HYPERLINK("https://restaurantguru.com/%E0%B8%A3%E0%B9%89%E0%B8%B2%E0%B8%99%E0%B9%80%E0%B8%94%E0%B8%AD%E0%B8%B0%E0%B8%81%E0%B8%B5-%E0%B9%82%E0%B8%A3%E0%B8%95%E0%B8%B5-%E0%B8%8A%E0%B8%B2%E0%B8%8A%E0%B8%B1%E0%B8%81-Chiang-Dao","เปิดแหล่งข้อมูล 2")</x:f>
        <x:v>HYPERLINK is not implemented. linkLocation=https://restaurantguru.com/%E0%B8%A3%E0%B9%89%E0%B8%B2%E0%B8%99%E0%B9%80%E0%B8%94%E0%B8%AD%E0%B8%B0%E0%B8%81%E0%B8%B5-%E0%B9%82%E0%B8%A3%E0%B8%95%E0%B8%B5-%E0%B8%8A%E0%B8%B2%E0%B8%8A%E0%B8%B1%E0%B8%81-Chiang-Dao, friendlyName=เปิดแหล่งข้อมูล 2</x:v>
      </x:c>
      <x:c r="M397" s="20" t="str">
        <x:v>ผลค้นหาชื่อสัมพันธ์จากแหล่งเพิ่มเติม ต้องยืนยันสาขาและข้อมูลปัจจุบัน</x:v>
      </x:c>
      <x:c r="N397" s="10" t="n">
        <x:v>46315</x:v>
      </x:c>
      <x:c r="O397" s="22" t="str">
        <x:v>ยังไม่ตรวจ</x:v>
      </x:c>
      <x:c r="P397" s="22" t="str">
        <x:v>ยังไม่ติดต่อ</x:v>
      </x:c>
    </x:row>
    <x:row r="398" ht="66" customHeight="1">
      <x:c r="A398" s="9" t="n">
        <x:v>390</x:v>
      </x:c>
      <x:c r="B398" s="20" t="str">
        <x:v>ก๋วยเตี๋ยวเรือฮาลาลบังหนวด เพชรบุรีซอย7</x:v>
      </x:c>
      <x:c r="C398" s="20" t="str">
        <x:v>กรุงเทพมหานคร</x:v>
      </x:c>
      <x:c r="D398" s="20" t="str">
        <x:v>ร้านอาหาร</x:v>
      </x:c>
      <x:c r="E398" s="20" t="str">
        <x:v>Makan Verify; ช่องห้องละหมาดไม่ได้ทำเครื่องหมายว่ามี</x:v>
      </x:c>
      <x:c r="F398" s="20" t="str">
        <x:v>ไม่ได้ทำเครื่องหมายว่ามี / ต้องยืนยัน</x:v>
      </x:c>
      <x:c r="G398" s="20" t="str">
        <x:v>ยังไม่พบเอกสารรับรองและวันหมดอายุ</x:v>
      </x:c>
      <x:c r="H39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8" s="20" t="str">
        <x:v>68/46 ถนนเพชรบุรี ซอย 7 ทุ่งพญาไท ราชเทวี 10400 (ซอยกลางระหว่างซอย 5-7 ตรงข้ามร้านเสริมสวยตุ้มดีไซน์ )</x:v>
      </x:c>
      <x:c r="J398" s="21" t="str">
        <x:v>0983741167</x:v>
      </x:c>
      <x:c r="K398" s="23" t="e">
        <x:f>HYPERLINK("https://makanhalalguide.com/shop/detail/5028","เปิดแหล่งข้อมูล 1")</x:f>
        <x:v>HYPERLINK is not implemented. linkLocation=https://makanhalalguide.com/shop/detail/5028, friendlyName=เปิดแหล่งข้อมูล 1</x:v>
      </x:c>
      <x:c r="L398" s="23" t="e">
        <x:f>HYPERLINK("https://www.halalfoodnear.me/bangkok","เปิดแหล่งข้อมูล 2")</x:f>
        <x:v>HYPERLINK is not implemented. linkLocation=https://www.halalfoodnear.me/bangkok, friendlyName=เปิดแหล่งข้อมูล 2</x:v>
      </x:c>
      <x:c r="M398" s="20" t="str">
        <x:v>ผลค้นหาชื่อสัมพันธ์จากแหล่งเพิ่มเติม ต้องยืนยันสาขาและข้อมูลปัจจุบัน</x:v>
      </x:c>
      <x:c r="N398" s="10" t="n">
        <x:v>46315</x:v>
      </x:c>
      <x:c r="O398" s="22" t="str">
        <x:v>ยังไม่ตรวจ</x:v>
      </x:c>
      <x:c r="P398" s="22" t="str">
        <x:v>ยังไม่ติดต่อ</x:v>
      </x:c>
    </x:row>
    <x:row r="399" ht="66" customHeight="1">
      <x:c r="A399" s="9" t="n">
        <x:v>391</x:v>
      </x:c>
      <x:c r="B399" s="20" t="str">
        <x:v>ครัวจัสมิน</x:v>
      </x:c>
      <x:c r="C399" s="20" t="str">
        <x:v>เชียงราย</x:v>
      </x:c>
      <x:c r="D399" s="20" t="str">
        <x:v>ร้านอาหาร</x:v>
      </x:c>
      <x:c r="E399" s="20" t="str">
        <x:v>มีรายชื่อใน Makan Halal Guide; ช่องห้องละหมาดไม่ได้ทำเครื่องหมายว่ามี</x:v>
      </x:c>
      <x:c r="F399" s="20" t="str">
        <x:v>ไม่ได้ทำเครื่องหมายว่ามี / ต้องยืนยัน</x:v>
      </x:c>
      <x:c r="G399" s="20" t="str">
        <x:v>ยังไม่พบเอกสารรับรองและวันหมดอายุ</x:v>
      </x:c>
      <x:c r="H39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399" s="20" t="str">
        <x:v>ถนนพหลโยธิน หน้ามัสยิดอันนูร   ตำบลเวียงพาคำ อำเภอแม่สาย จังหวัดเชียงราย57130</x:v>
      </x:c>
      <x:c r="J399" s="21" t="str">
        <x:v>0618436930</x:v>
      </x:c>
      <x:c r="K399" s="23" t="e">
        <x:f>HYPERLINK("https://makanhalalguide.com/shop/detail/5101","เปิดแหล่งข้อมูล 1")</x:f>
        <x:v>HYPERLINK is not implemented. linkLocation=https://makanhalalguide.com/shop/detail/5101, friendlyName=เปิดแหล่งข้อมูล 1</x:v>
      </x:c>
      <x:c r="L399" s="23" t="str"/>
      <x:c r="M399" s="20" t="str"/>
      <x:c r="N399" s="10" t="n">
        <x:v>46315</x:v>
      </x:c>
      <x:c r="O399" s="22" t="str">
        <x:v>ยังไม่ตรวจ</x:v>
      </x:c>
      <x:c r="P399" s="22" t="str">
        <x:v>ยังไม่ติดต่อ</x:v>
      </x:c>
    </x:row>
    <x:row r="400" ht="66" customHeight="1">
      <x:c r="A400" s="9" t="n">
        <x:v>392</x:v>
      </x:c>
      <x:c r="B400" s="20" t="str">
        <x:v>ซัลมานเคบับ</x:v>
      </x:c>
      <x:c r="C400" s="20" t="str">
        <x:v>เชียงราย</x:v>
      </x:c>
      <x:c r="D400" s="20" t="str">
        <x:v>ร้านอาหาร</x:v>
      </x:c>
      <x:c r="E400" s="20" t="str">
        <x:v>มีรายชื่อใน Makan Halal Guide; ช่องห้องละหมาดไม่ได้ทำเครื่องหมายว่ามี</x:v>
      </x:c>
      <x:c r="F400" s="20" t="str">
        <x:v>ไม่ได้ทำเครื่องหมายว่ามี / ต้องยืนยัน</x:v>
      </x:c>
      <x:c r="G400" s="20" t="str">
        <x:v>ยังไม่พบเอกสารรับรองและวันหมดอายุ</x:v>
      </x:c>
      <x:c r="H40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00" s="20" t="str">
        <x:v>ถนนเรื่องนครหน้า7-11 วัดมิ่งเมือง ใกล้กับหอนาฬิกาตำบลเวียง อำเภอเมืองเชียงราย จังหวัดเชียงราย 57000</x:v>
      </x:c>
      <x:c r="J400" s="21" t="str">
        <x:v>0826250012</x:v>
      </x:c>
      <x:c r="K400" s="23" t="e">
        <x:f>HYPERLINK("https://makanhalalguide.com/shop/detail/5103","เปิดแหล่งข้อมูล 1")</x:f>
        <x:v>HYPERLINK is not implemented. linkLocation=https://makanhalalguide.com/shop/detail/5103, friendlyName=เปิดแหล่งข้อมูล 1</x:v>
      </x:c>
      <x:c r="L400" s="23" t="e">
        <x:f>HYPERLINK("https://shopee.co.th/%E0%B8%8B%E0%B8%B1%E0%B8%A5%E0%B8%A1%E0%B8%B2%E0%B8%99%E0%B9%80%E0%B8%84%E0%B8%9A%E0%B8%B1%E0%B8%9A-%E0%B9%81%E0%B8%9B%E0%B9%89%E0%B8%87%E0%B9%80%E0%B8%84%E0%B8%9A%E0%B8%B1%E0%B8%9A%28%E0%B8%95%E0%B8%AD%E0%B8%95%E0%B8%B4%E0%B8%8D%E0%B9%88%E0%B8%B2%29-i.1623822504.43021547171","เปิดแหล่งข้อมูล 2")</x:f>
        <x:v>HYPERLINK is not implemented. linkLocation=https://shopee.co.th/%E0%B8%8B%E0%B8%B1%E0%B8%A5%E0%B8%A1%E0%B8%B2%E0%B8%99%E0%B9%80%E0%B8%84%E0%B8%9A%E0%B8%B1%E0%B8%9A-%E0%B9%81%E0%B8%9B%E0%B9%89%E0%B8%87%E0%B9%80%E0%B8%84%E0%B8%9A%E0%B8%B1%E0%B8%9A%28%E0%B8%95%E0%B8%AD%E0%B8%95%E0%B8%B4%E0%B8%8D%E0%B9%88%E0%B8%B2%29-i.1623822504.43021547171, friendlyName=เปิดแหล่งข้อมูล 2</x:v>
      </x:c>
      <x:c r="M400" s="20" t="str">
        <x:v>ผลค้นหาชื่อสัมพันธ์จากแหล่งเพิ่มเติม ต้องยืนยันสาขาและข้อมูลปัจจุบัน</x:v>
      </x:c>
      <x:c r="N400" s="10" t="n">
        <x:v>46315</x:v>
      </x:c>
      <x:c r="O400" s="22" t="str">
        <x:v>ยังไม่ตรวจ</x:v>
      </x:c>
      <x:c r="P400" s="22" t="str">
        <x:v>ยังไม่ติดต่อ</x:v>
      </x:c>
    </x:row>
    <x:row r="401" ht="66" customHeight="1">
      <x:c r="A401" s="9" t="n">
        <x:v>393</x:v>
      </x:c>
      <x:c r="B401" s="20" t="str">
        <x:v>ฮาลาลเป็ดย่างฮ่องกง แม่สาย</x:v>
      </x:c>
      <x:c r="C401" s="20" t="str">
        <x:v>เชียงราย</x:v>
      </x:c>
      <x:c r="D401" s="20" t="str">
        <x:v>ร้านอาหาร</x:v>
      </x:c>
      <x:c r="E401" s="20" t="str">
        <x:v>มีรายชื่อใน Makan Halal Guide; ช่องห้องละหมาดไม่ได้ทำเครื่องหมายว่ามี</x:v>
      </x:c>
      <x:c r="F401" s="20" t="str">
        <x:v>ไม่ได้ทำเครื่องหมายว่ามี / ต้องยืนยัน</x:v>
      </x:c>
      <x:c r="G401" s="20" t="str">
        <x:v>ยังไม่พบเอกสารรับรองและวันหมดอายุ</x:v>
      </x:c>
      <x:c r="H40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01" s="20" t="str">
        <x:v>ติดกับธกส.แม่สาย ข้างมัสยิดอัรนูร ตำบลเวียงพางคำ อำเภอแม่สาย จังหวัดเชียงราย57130</x:v>
      </x:c>
      <x:c r="J401" s="21" t="str">
        <x:v>0932599292</x:v>
      </x:c>
      <x:c r="K401" s="23" t="e">
        <x:f>HYPERLINK("https://makanhalalguide.com/shop/detail/5102","เปิดแหล่งข้อมูล 1")</x:f>
        <x:v>HYPERLINK is not implemented. linkLocation=https://makanhalalguide.com/shop/detail/5102, friendlyName=เปิดแหล่งข้อมูล 1</x:v>
      </x:c>
      <x:c r="L401" s="23" t="str"/>
      <x:c r="M401" s="20" t="str"/>
      <x:c r="N401" s="10" t="n">
        <x:v>46315</x:v>
      </x:c>
      <x:c r="O401" s="22" t="str">
        <x:v>ยังไม่ตรวจ</x:v>
      </x:c>
      <x:c r="P401" s="22" t="str">
        <x:v>ยังไม่ติดต่อ</x:v>
      </x:c>
    </x:row>
    <x:row r="402" ht="66" customHeight="1">
      <x:c r="A402" s="9" t="n">
        <x:v>394</x:v>
      </x:c>
      <x:c r="B402" s="20" t="str">
        <x:v>ฮาเลฟา ฮาลาล เชียงราย</x:v>
      </x:c>
      <x:c r="C402" s="20" t="str">
        <x:v>เชียงราย</x:v>
      </x:c>
      <x:c r="D402" s="20" t="str">
        <x:v>ร้านอาหาร</x:v>
      </x:c>
      <x:c r="E402" s="20" t="str">
        <x:v>มีรายชื่อใน Makan Halal Guide; ช่องห้องละหมาดไม่ได้ทำเครื่องหมายว่ามี</x:v>
      </x:c>
      <x:c r="F402" s="20" t="str">
        <x:v>ไม่ได้ทำเครื่องหมายว่ามี / ต้องยืนยัน</x:v>
      </x:c>
      <x:c r="G402" s="20" t="str">
        <x:v>ยังไม่พบเอกสารรับรองและวันหมดอายุ</x:v>
      </x:c>
      <x:c r="H40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02" s="20" t="str">
        <x:v>ซอยกกโท้ง 3 ตำบลรอบเวียง อำเภอเมือง จังหวัดเชียงราย 57000</x:v>
      </x:c>
      <x:c r="J402" s="21" t="str">
        <x:v>0835694763</x:v>
      </x:c>
      <x:c r="K402" s="23" t="e">
        <x:f>HYPERLINK("https://makanhalalguide.com/shop/detail/2294","เปิดแหล่งข้อมูล 1")</x:f>
        <x:v>HYPERLINK is not implemented. linkLocation=https://makanhalalguide.com/shop/detail/2294, friendlyName=เปิดแหล่งข้อมูล 1</x:v>
      </x:c>
      <x:c r="L402" s="23" t="str"/>
      <x:c r="M402" s="20" t="str"/>
      <x:c r="N402" s="10" t="n">
        <x:v>46315</x:v>
      </x:c>
      <x:c r="O402" s="22" t="str">
        <x:v>ยังไม่ตรวจ</x:v>
      </x:c>
      <x:c r="P402" s="22" t="str">
        <x:v>ยังไม่ติดต่อ</x:v>
      </x:c>
    </x:row>
    <x:row r="403" ht="66" customHeight="1">
      <x:c r="A403" s="9" t="n">
        <x:v>395</x:v>
      </x:c>
      <x:c r="B403" s="20" t="str">
        <x:v>โรตีซัลมา</x:v>
      </x:c>
      <x:c r="C403" s="20" t="str">
        <x:v>เชียงราย</x:v>
      </x:c>
      <x:c r="D403" s="20" t="str">
        <x:v>คาเฟ่และร้านของหวาน</x:v>
      </x:c>
      <x:c r="E403" s="20" t="str">
        <x:v>มีรายชื่อใน Makan Halal Guide; ช่องห้องละหมาดไม่ได้ทำเครื่องหมายว่ามี</x:v>
      </x:c>
      <x:c r="F403" s="20" t="str">
        <x:v>ไม่ได้ทำเครื่องหมายว่ามี / ต้องยืนยัน</x:v>
      </x:c>
      <x:c r="G403" s="20" t="str">
        <x:v>ยังไม่พบเอกสารรับรองและวันหมดอายุ</x:v>
      </x:c>
      <x:c r="H40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03" s="20" t="str">
        <x:v>หมู่27หน้าตลาดสด ห้วยสัก  ตำบลห้วยสัก อำเภอเมืองเชียงราย จังหวัดเชียงราย 57000</x:v>
      </x:c>
      <x:c r="J403" s="21" t="str">
        <x:v>0991323189</x:v>
      </x:c>
      <x:c r="K403" s="23" t="e">
        <x:f>HYPERLINK("https://makanhalalguide.com/shop/detail/6370","เปิดแหล่งข้อมูล 1")</x:f>
        <x:v>HYPERLINK is not implemented. linkLocation=https://makanhalalguide.com/shop/detail/6370, friendlyName=เปิดแหล่งข้อมูล 1</x:v>
      </x:c>
      <x:c r="L403" s="23" t="e">
        <x:f>HYPERLINK("https://halaman-kuning.cybo.com/TH/chiang-rai-chiang-rai/restoran-halal","เปิดแหล่งข้อมูล 2")</x:f>
        <x:v>HYPERLINK is not implemented. linkLocation=https://halaman-kuning.cybo.com/TH/chiang-rai-chiang-rai/restoran-halal, friendlyName=เปิดแหล่งข้อมูล 2</x:v>
      </x:c>
      <x:c r="M403" s="20" t="str">
        <x:v>ผลค้นหาชื่อสัมพันธ์จากแหล่งเพิ่มเติม ต้องยืนยันสาขาและข้อมูลปัจจุบัน</x:v>
      </x:c>
      <x:c r="N403" s="10" t="n">
        <x:v>46315</x:v>
      </x:c>
      <x:c r="O403" s="22" t="str">
        <x:v>ยังไม่ตรวจ</x:v>
      </x:c>
      <x:c r="P403" s="22" t="str">
        <x:v>ยังไม่ติดต่อ</x:v>
      </x:c>
    </x:row>
    <x:row r="404" ht="66" customHeight="1">
      <x:c r="A404" s="9" t="n">
        <x:v>396</x:v>
      </x:c>
      <x:c r="B404" s="20" t="str">
        <x:v>สิงห์ปาร์ค เชียงราย</x:v>
      </x:c>
      <x:c r="C404" s="20" t="str">
        <x:v>เชียงราย</x:v>
      </x:c>
      <x:c r="D404" s="20" t="str">
        <x:v>แหล่งท่องเที่ยวเชิงเกษตรและกิจกรรมกลางแจ้ง</x:v>
      </x:c>
      <x:c r="E404" s="20" t="str">
        <x:v>ททท. ระบุเป็นแหล่งท่องเที่ยวเชิงเกษตรและธรรมชาติ ต้องตรวจอาหารฮาลาลและพื้นที่ละหมาด</x:v>
      </x:c>
      <x:c r="F404" s="20" t="str">
        <x:v>ยังไม่พบข้อมูล</x:v>
      </x:c>
      <x:c r="G404" s="20" t="str">
        <x:v>ยังไม่พบเอกสารรับรองและวันหมดอายุ</x:v>
      </x:c>
      <x:c r="H40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04" s="20" t="str">
        <x:v>ดูรายละเอียดในแหล่งอ้างอิง</x:v>
      </x:c>
      <x:c r="J404" s="21" t="str">
        <x:v>ยังไม่พบข้อมูล</x:v>
      </x:c>
      <x:c r="K404" s="23" t="e">
        <x:f>HYPERLINK("https://www.tourismthailand.org/Attraction/singha-park-chiangrai","เปิดแหล่งข้อมูล 1")</x:f>
        <x:v>HYPERLINK is not implemented. linkLocation=https://www.tourismthailand.org/Attraction/singha-park-chiangrai, friendlyName=เปิดแหล่งข้อมูล 1</x:v>
      </x:c>
      <x:c r="L404" s="23" t="e">
        <x:f>HYPERLINK("https://th.trip.com/travel-guide/attraction/chiang-rai/singha-park-chiang-rai-15056939?curr=JPY&amp;locale=th-TH&amp;rankingId=10070000551130","เปิดแหล่งข้อมูล 2")</x:f>
        <x:v>HYPERLINK is not implemented. linkLocation=https://th.trip.com/travel-guide/attraction/chiang-rai/singha-park-chiang-rai-15056939?curr=JPY&amp;locale=th-TH&amp;rankingId=10070000551130, friendlyName=เปิดแหล่งข้อมูล 2</x:v>
      </x:c>
      <x:c r="M404" s="20" t="str">
        <x:v>ผลค้นหาชื่อสัมพันธ์จากแหล่งเพิ่มเติม ต้องยืนยันสาขาและข้อมูลปัจจุบัน</x:v>
      </x:c>
      <x:c r="N404" s="10" t="n">
        <x:v>46315</x:v>
      </x:c>
      <x:c r="O404" s="22" t="str">
        <x:v>ยังไม่ตรวจ</x:v>
      </x:c>
      <x:c r="P404" s="22" t="str">
        <x:v>ยังไม่ติดต่อ</x:v>
      </x:c>
    </x:row>
    <x:row r="405" ht="66" customHeight="1">
      <x:c r="A405" s="9" t="n">
        <x:v>397</x:v>
      </x:c>
      <x:c r="B405" s="20" t="str">
        <x:v>พิพิธภัณฑ์บ้านดำ</x:v>
      </x:c>
      <x:c r="C405" s="20" t="str">
        <x:v>เชียงราย</x:v>
      </x:c>
      <x:c r="D405" s="20" t="str">
        <x:v>พิพิธภัณฑ์ศิลปะ</x:v>
      </x:c>
      <x:c r="E405" s="20" t="str">
        <x:v>ททท. ระบุเป็นแหล่งท่องเที่ยวศิลปะในเชียงราย ยังไม่พบข้อมูลบริการมุสลิมเฉพาะแห่ง</x:v>
      </x:c>
      <x:c r="F405" s="20" t="str">
        <x:v>ยังไม่พบข้อมูล</x:v>
      </x:c>
      <x:c r="G405" s="20" t="str">
        <x:v>ยังไม่พบเอกสารรับรองและวันหมดอายุ</x:v>
      </x:c>
      <x:c r="H405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05" s="20" t="str">
        <x:v>ดูรายละเอียดในแหล่งอ้างอิง</x:v>
      </x:c>
      <x:c r="J405" s="21" t="str">
        <x:v>ยังไม่พบข้อมูล</x:v>
      </x:c>
      <x:c r="K405" s="23" t="e">
        <x:f>HYPERLINK("https://www.tourismthailand.org/Destinations/Provinces/chiang-rai/102","เปิดแหล่งข้อมูล 1")</x:f>
        <x:v>HYPERLINK is not implemented. linkLocation=https://www.tourismthailand.org/Destinations/Provinces/chiang-rai/102, friendlyName=เปิดแหล่งข้อมูล 1</x:v>
      </x:c>
      <x:c r="L405" s="23" t="e">
        <x:f>HYPERLINK("https://www.wongnai.com/reviews/e276bb3a9b6c4f8c9d45677e12500826","เปิดแหล่งข้อมูล 2")</x:f>
        <x:v>HYPERLINK is not implemented. linkLocation=https://www.wongnai.com/reviews/e276bb3a9b6c4f8c9d45677e12500826, friendlyName=เปิดแหล่งข้อมูล 2</x:v>
      </x:c>
      <x:c r="M405" s="20" t="str">
        <x:v>ผลค้นหาชื่อสัมพันธ์จากแหล่งเพิ่มเติม ต้องยืนยันสาขาและข้อมูลปัจจุบัน</x:v>
      </x:c>
      <x:c r="N405" s="10" t="n">
        <x:v>46315</x:v>
      </x:c>
      <x:c r="O405" s="22" t="str">
        <x:v>ยังไม่ตรวจ</x:v>
      </x:c>
      <x:c r="P405" s="22" t="str">
        <x:v>ยังไม่ติดต่อ</x:v>
      </x:c>
    </x:row>
    <x:row r="406" ht="66" customHeight="1">
      <x:c r="A406" s="9" t="n">
        <x:v>398</x:v>
      </x:c>
      <x:c r="B406" s="20" t="str">
        <x:v>Halal Street Food จิ้มจุ่ม&amp;ชากา</x:v>
      </x:c>
      <x:c r="C406" s="20" t="str">
        <x:v>พระนครศรีอยุธยา</x:v>
      </x:c>
      <x:c r="D406" s="20" t="str">
        <x:v>ร้านอาหาร</x:v>
      </x:c>
      <x:c r="E406" s="20" t="str">
        <x:v>มีรายชื่อใน Makan Halal Guide; ช่องห้องละหมาดไม่ได้ทำเครื่องหมายว่ามี</x:v>
      </x:c>
      <x:c r="F406" s="20" t="str">
        <x:v>ไม่ได้ทำเครื่องหมายว่ามี / ต้องยืนยัน</x:v>
      </x:c>
      <x:c r="G406" s="20" t="str">
        <x:v>ยังไม่พบเอกสารรับรองและวันหมดอายุ</x:v>
      </x:c>
      <x:c r="H40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06" s="20" t="str">
        <x:v>ตำบลคลองตะเคียน อำเภอพระนครศรีอยุธยา จังหวัดพระนครศรีอยุธยา 13000</x:v>
      </x:c>
      <x:c r="J406" s="21" t="str">
        <x:v>0972604056</x:v>
      </x:c>
      <x:c r="K406" s="23" t="e">
        <x:f>HYPERLINK("https://makanhalalguide.com/shop/detail/5225","เปิดแหล่งข้อมูล 1")</x:f>
        <x:v>HYPERLINK is not implemented. linkLocation=https://makanhalalguide.com/shop/detail/5225, friendlyName=เปิดแหล่งข้อมูล 1</x:v>
      </x:c>
      <x:c r="L406" s="23" t="str"/>
      <x:c r="M406" s="20" t="str"/>
      <x:c r="N406" s="10" t="n">
        <x:v>46315</x:v>
      </x:c>
      <x:c r="O406" s="22" t="str">
        <x:v>ยังไม่ตรวจ</x:v>
      </x:c>
      <x:c r="P406" s="22" t="str">
        <x:v>ยังไม่ติดต่อ</x:v>
      </x:c>
    </x:row>
    <x:row r="407" ht="66" customHeight="1">
      <x:c r="A407" s="9" t="n">
        <x:v>399</x:v>
      </x:c>
      <x:c r="B407" s="20" t="str">
        <x:v>PIZZA HALAL by beedah</x:v>
      </x:c>
      <x:c r="C407" s="20" t="str">
        <x:v>พระนครศรีอยุธยา</x:v>
      </x:c>
      <x:c r="D407" s="20" t="str">
        <x:v>ร้านอาหาร</x:v>
      </x:c>
      <x:c r="E407" s="20" t="str">
        <x:v>มีรายชื่อใน Makan Halal Guide; ช่องห้องละหมาดไม่ได้ทำเครื่องหมายว่ามี</x:v>
      </x:c>
      <x:c r="F407" s="20" t="str">
        <x:v>ไม่ได้ทำเครื่องหมายว่ามี / ต้องยืนยัน</x:v>
      </x:c>
      <x:c r="G407" s="20" t="str">
        <x:v>ยังไม่พบเอกสารรับรองและวันหมดอายุ</x:v>
      </x:c>
      <x:c r="H40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07" s="20" t="str">
        <x:v>ตลาดนัดลาดบัวหลวงธานี ถนน บางบัวทอง - สุพรรณบุรี ตำบลสามเมือง อำเภอลาดบัวหลวง จังหวัดพระนครศรีอยุธยา 13230</x:v>
      </x:c>
      <x:c r="J407" s="21" t="str">
        <x:v>0948979902</x:v>
      </x:c>
      <x:c r="K407" s="23" t="e">
        <x:f>HYPERLINK("https://makanhalalguide.com/shop/detail/5611","เปิดแหล่งข้อมูล 1")</x:f>
        <x:v>HYPERLINK is not implemented. linkLocation=https://makanhalalguide.com/shop/detail/5611, friendlyName=เปิดแหล่งข้อมูล 1</x:v>
      </x:c>
      <x:c r="L407" s="23" t="str"/>
      <x:c r="M407" s="20" t="str"/>
      <x:c r="N407" s="10" t="n">
        <x:v>46315</x:v>
      </x:c>
      <x:c r="O407" s="22" t="str">
        <x:v>ยังไม่ตรวจ</x:v>
      </x:c>
      <x:c r="P407" s="22" t="str">
        <x:v>ยังไม่ติดต่อ</x:v>
      </x:c>
    </x:row>
    <x:row r="408" ht="66" customHeight="1">
      <x:c r="A408" s="9" t="n">
        <x:v>400</x:v>
      </x:c>
      <x:c r="B408" s="20" t="str">
        <x:v>กะเตี๋ยวยา</x:v>
      </x:c>
      <x:c r="C408" s="20" t="str">
        <x:v>พระนครศรีอยุธยา</x:v>
      </x:c>
      <x:c r="D408" s="20" t="str">
        <x:v>ร้านอาหาร</x:v>
      </x:c>
      <x:c r="E408" s="20" t="str">
        <x:v>มีรายชื่อใน Makan Halal Guide; ช่องห้องละหมาดไม่ได้ทำเครื่องหมายว่ามี</x:v>
      </x:c>
      <x:c r="F408" s="20" t="str">
        <x:v>ไม่ได้ทำเครื่องหมายว่ามี / ต้องยืนยัน</x:v>
      </x:c>
      <x:c r="G408" s="20" t="str">
        <x:v>ยังไม่พบเอกสารรับรองและวันหมดอายุ</x:v>
      </x:c>
      <x:c r="H40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08" s="20" t="str">
        <x:v>ตำบลคลองตะเคียน อำเภอพระนครศรีอยุธยา จังหวัดพระนครศรีอยุธยา (อยู่เยื้องกับโรงเรียนประชาสามัคคี)</x:v>
      </x:c>
      <x:c r="J408" s="21" t="str">
        <x:v>0982390259</x:v>
      </x:c>
      <x:c r="K408" s="23" t="e">
        <x:f>HYPERLINK("https://makanhalalguide.com/shop/detail/6377","เปิดแหล่งข้อมูล 1")</x:f>
        <x:v>HYPERLINK is not implemented. linkLocation=https://makanhalalguide.com/shop/detail/6377, friendlyName=เปิดแหล่งข้อมูล 1</x:v>
      </x:c>
      <x:c r="L408" s="23" t="str"/>
      <x:c r="M408" s="20" t="str"/>
      <x:c r="N408" s="10" t="n">
        <x:v>46315</x:v>
      </x:c>
      <x:c r="O408" s="22" t="str">
        <x:v>ยังไม่ตรวจ</x:v>
      </x:c>
      <x:c r="P408" s="22" t="str">
        <x:v>ยังไม่ติดต่อ</x:v>
      </x:c>
    </x:row>
    <x:row r="409" ht="66" customHeight="1">
      <x:c r="A409" s="9" t="n">
        <x:v>401</x:v>
      </x:c>
      <x:c r="B409" s="20" t="str">
        <x:v>ก๋วยเตี๋ยวเนื้อเปื่อย ฮาลาล ตลาดรุ่งเจริญ</x:v>
      </x:c>
      <x:c r="C409" s="20" t="str">
        <x:v>พระนครศรีอยุธยา</x:v>
      </x:c>
      <x:c r="D409" s="20" t="str">
        <x:v>ร้านอาหาร</x:v>
      </x:c>
      <x:c r="E409" s="20" t="str">
        <x:v>มีรายชื่อใน Makan Halal Guide; ช่องห้องละหมาดไม่ได้ทำเครื่องหมายว่ามี</x:v>
      </x:c>
      <x:c r="F409" s="20" t="str">
        <x:v>ไม่ได้ทำเครื่องหมายว่ามี / ต้องยืนยัน</x:v>
      </x:c>
      <x:c r="G409" s="20" t="str">
        <x:v>ยังไม่พบเอกสารรับรองและวันหมดอายุ</x:v>
      </x:c>
      <x:c r="H40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09" s="20" t="str">
        <x:v>ตลาดรุ่งเจริญ วงเวียนหน้า ร.ร.อยุธยาวิทยาลัย ต.ประตูชัย อ.พระนครศรีอยุธยา จ.พระนครศรีอยุธยา 13000</x:v>
      </x:c>
      <x:c r="J409" s="21" t="str">
        <x:v>0936692295</x:v>
      </x:c>
      <x:c r="K409" s="23" t="e">
        <x:f>HYPERLINK("https://makanhalalguide.com/shop/detail/6369","เปิดแหล่งข้อมูล 1")</x:f>
        <x:v>HYPERLINK is not implemented. linkLocation=https://makanhalalguide.com/shop/detail/6369, friendlyName=เปิดแหล่งข้อมูล 1</x:v>
      </x:c>
      <x:c r="L409" s="23" t="e">
        <x:f>HYPERLINK("https://www.wongnai.com/restaurants/1752722vi-%E0%B9%80%E0%B8%99%E0%B8%B7%E0%B9%89%E0%B8%AD%E0%B9%80%E0%B8%9B%E0%B8%B7%E0%B9%88%E0%B8%B4%E0%B8%AD%E0%B8%A2%E0%B8%AE%E0%B8%B2%E0%B8%A5%E0%B8%B2%E0%B8%A5-%E0%B8%AD%E0%B8%B2%E0%B8%AB%E0%B8%B2%E0%B8%A3%E0%B8%AE%E0%B8%B2%E0%B8%A5%E0%B8%B2%E0%B8%A5","เปิดแหล่งข้อมูล 2")</x:f>
        <x:v>HYPERLINK is not implemented. linkLocation=https://www.wongnai.com/restaurants/1752722vi-%E0%B9%80%E0%B8%99%E0%B8%B7%E0%B9%89%E0%B8%AD%E0%B9%80%E0%B8%9B%E0%B8%B7%E0%B9%88%E0%B8%B4%E0%B8%AD%E0%B8%A2%E0%B8%AE%E0%B8%B2%E0%B8%A5%E0%B8%B2%E0%B8%A5-%E0%B8%AD%E0%B8%B2%E0%B8%AB%E0%B8%B2%E0%B8%A3%E0%B8%AE%E0%B8%B2%E0%B8%A5%E0%B8%B2%E0%B8%A5, friendlyName=เปิดแหล่งข้อมูล 2</x:v>
      </x:c>
      <x:c r="M409" s="20" t="str">
        <x:v>ผลค้นหาชื่อสัมพันธ์จากแหล่งเพิ่มเติม ต้องยืนยันสาขาและข้อมูลปัจจุบัน</x:v>
      </x:c>
      <x:c r="N409" s="10" t="n">
        <x:v>46315</x:v>
      </x:c>
      <x:c r="O409" s="22" t="str">
        <x:v>ยังไม่ตรวจ</x:v>
      </x:c>
      <x:c r="P409" s="22" t="str">
        <x:v>ยังไม่ติดต่อ</x:v>
      </x:c>
    </x:row>
    <x:row r="410" ht="66" customHeight="1">
      <x:c r="A410" s="9" t="n">
        <x:v>402</x:v>
      </x:c>
      <x:c r="B410" s="20" t="str">
        <x:v>ข้าวต้มหัวโค้ง Ros Malee</x:v>
      </x:c>
      <x:c r="C410" s="20" t="str">
        <x:v>พระนครศรีอยุธยา</x:v>
      </x:c>
      <x:c r="D410" s="20" t="str">
        <x:v>ร้านอาหาร</x:v>
      </x:c>
      <x:c r="E410" s="20" t="str">
        <x:v>มีรายชื่อใน Makan Halal Guide; ช่องห้องละหมาดไม่ได้ทำเครื่องหมายว่ามี</x:v>
      </x:c>
      <x:c r="F410" s="20" t="str">
        <x:v>ไม่ได้ทำเครื่องหมายว่ามี / ต้องยืนยัน</x:v>
      </x:c>
      <x:c r="G410" s="20" t="str">
        <x:v>ยังไม่พบเอกสารรับรองและวันหมดอายุ</x:v>
      </x:c>
      <x:c r="H41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0" s="20" t="str">
        <x:v>14 10 ตำบล คลองตะเคียน อำเภอ พระนครศรีอยุธยา จังหวัดพระนครศรีอยุธยา 13000</x:v>
      </x:c>
      <x:c r="J410" s="21" t="str">
        <x:v>0845432462</x:v>
      </x:c>
      <x:c r="K410" s="23" t="e">
        <x:f>HYPERLINK("https://makanhalalguide.com/shop/detail/6368","เปิดแหล่งข้อมูล 1")</x:f>
        <x:v>HYPERLINK is not implemented. linkLocation=https://makanhalalguide.com/shop/detail/6368, friendlyName=เปิดแหล่งข้อมูล 1</x:v>
      </x:c>
      <x:c r="L410" s="23" t="str"/>
      <x:c r="M410" s="20" t="str"/>
      <x:c r="N410" s="10" t="n">
        <x:v>46315</x:v>
      </x:c>
      <x:c r="O410" s="22" t="str">
        <x:v>ยังไม่ตรวจ</x:v>
      </x:c>
      <x:c r="P410" s="22" t="str">
        <x:v>ยังไม่ติดต่อ</x:v>
      </x:c>
    </x:row>
    <x:row r="411" ht="66" customHeight="1">
      <x:c r="A411" s="9" t="n">
        <x:v>403</x:v>
      </x:c>
      <x:c r="B411" s="20" t="str">
        <x:v>ข้าวมันไก่  ข้าวยำไก่แซ่บ ข้าวหมกไก่</x:v>
      </x:c>
      <x:c r="C411" s="20" t="str">
        <x:v>พระนครศรีอยุธยา</x:v>
      </x:c>
      <x:c r="D411" s="20" t="str">
        <x:v>ร้านอาหาร</x:v>
      </x:c>
      <x:c r="E411" s="20" t="str">
        <x:v>มีรายชื่อใน Makan Halal Guide; ช่องห้องละหมาดไม่ได้ทำเครื่องหมายว่ามี</x:v>
      </x:c>
      <x:c r="F411" s="20" t="str">
        <x:v>ไม่ได้ทำเครื่องหมายว่ามี / ต้องยืนยัน</x:v>
      </x:c>
      <x:c r="G411" s="20" t="str">
        <x:v>ยังไม่พบเอกสารรับรองและวันหมดอายุ</x:v>
      </x:c>
      <x:c r="H41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1" s="20" t="str">
        <x:v>129/59 ม.3 ตำบลวังจุฬา อำเภอวังน้อย จังหวัดพระนครศรีอยุธยา 13170 (ร้านข้าวมันไก่หน้าเซเว่นแฟคตอรี่แลนด์วังน้อย)</x:v>
      </x:c>
      <x:c r="J411" s="21" t="str">
        <x:v>0959607335</x:v>
      </x:c>
      <x:c r="K411" s="23" t="e">
        <x:f>HYPERLINK("https://makanhalalguide.com/shop/detail/5251","เปิดแหล่งข้อมูล 1")</x:f>
        <x:v>HYPERLINK is not implemented. linkLocation=https://makanhalalguide.com/shop/detail/5251, friendlyName=เปิดแหล่งข้อมูล 1</x:v>
      </x:c>
      <x:c r="L411" s="23" t="str"/>
      <x:c r="M411" s="20" t="str"/>
      <x:c r="N411" s="10" t="n">
        <x:v>46315</x:v>
      </x:c>
      <x:c r="O411" s="22" t="str">
        <x:v>ยังไม่ตรวจ</x:v>
      </x:c>
      <x:c r="P411" s="22" t="str">
        <x:v>ยังไม่ติดต่อ</x:v>
      </x:c>
    </x:row>
    <x:row r="412" ht="66" customHeight="1">
      <x:c r="A412" s="9" t="n">
        <x:v>404</x:v>
      </x:c>
      <x:c r="B412" s="20" t="str">
        <x:v>ครัวมุสลิม สาขา2 โรจนะ</x:v>
      </x:c>
      <x:c r="C412" s="20" t="str">
        <x:v>พระนครศรีอยุธยา</x:v>
      </x:c>
      <x:c r="D412" s="20" t="str">
        <x:v>ร้านอาหาร</x:v>
      </x:c>
      <x:c r="E412" s="20" t="str">
        <x:v>มีรายชื่อใน Makan Halal Guide; ช่องห้องละหมาดไม่ได้ทำเครื่องหมายว่ามี</x:v>
      </x:c>
      <x:c r="F412" s="20" t="str">
        <x:v>ไม่ได้ทำเครื่องหมายว่ามี / ต้องยืนยัน</x:v>
      </x:c>
      <x:c r="G412" s="20" t="str">
        <x:v>ยังไม่พบเอกสารรับรองและวันหมดอายุ</x:v>
      </x:c>
      <x:c r="H41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2" s="20" t="str">
        <x:v>สถานี PTT ถนน โรจนะ ตำบล คานหาม อำเภออุทัย จังหวัดพระนครศรีอยุธยา 13210</x:v>
      </x:c>
      <x:c r="J412" s="21" t="str">
        <x:v>0627010292</x:v>
      </x:c>
      <x:c r="K412" s="23" t="e">
        <x:f>HYPERLINK("https://makanhalalguide.com/shop/detail/6253","เปิดแหล่งข้อมูล 1")</x:f>
        <x:v>HYPERLINK is not implemented. linkLocation=https://makanhalalguide.com/shop/detail/6253, friendlyName=เปิดแหล่งข้อมูล 1</x:v>
      </x:c>
      <x:c r="L412" s="23" t="e">
        <x:f>HYPERLINK("https://go.ayutthaya.go.th/%E0%B9%81%E0%B8%99%E0%B8%B0%E0%B8%99%E0%B8%B3%E0%B8%A3%E0%B9%89%E0%B8%B2%E0%B8%99%E0%B8%AD%E0%B8%B2%E0%B8%AB%E0%B8%B2%E0%B8%A3/%E0%B8%84%E0%B8%A3%E0%B8%B1%E0%B8%A7%E0%B8%A1%E0%B8%B8%E0%B8%AA%E0%B8%A5%E0%B8%B4%E0%B8%A1-%E0%B8%AA%E0%B8%B2%E0%B8%82%E0%B8%B2-2-%E0%B9%82%E0%B8%A3%E0%B8%88%E0%B8%99%E0%B8%B0-%E0%B9%80%E0%B8%99/","เปิดแหล่งข้อมูล 2")</x:f>
        <x:v>HYPERLINK is not implemented. linkLocation=https://go.ayutthaya.go.th/%E0%B9%81%E0%B8%99%E0%B8%B0%E0%B8%99%E0%B8%B3%E0%B8%A3%E0%B9%89%E0%B8%B2%E0%B8%99%E0%B8%AD%E0%B8%B2%E0%B8%AB%E0%B8%B2%E0%B8%A3/%E0%B8%84%E0%B8%A3%E0%B8%B1%E0%B8%A7%E0%B8%A1%E0%B8%B8%E0%B8%AA%E0%B8%A5%E0%B8%B4%E0%B8%A1-%E0%B8%AA%E0%B8%B2%E0%B8%82%E0%B8%B2-2-%E0%B9%82%E0%B8%A3%E0%B8%88%E0%B8%99%E0%B8%B0-%E0%B9%80%E0%B8%99/, friendlyName=เปิดแหล่งข้อมูล 2</x:v>
      </x:c>
      <x:c r="M412" s="20" t="str">
        <x:v>ผลค้นหาชื่อสัมพันธ์จากแหล่งเพิ่มเติม ต้องยืนยันสาขาและข้อมูลปัจจุบัน</x:v>
      </x:c>
      <x:c r="N412" s="10" t="n">
        <x:v>46315</x:v>
      </x:c>
      <x:c r="O412" s="22" t="str">
        <x:v>ยังไม่ตรวจ</x:v>
      </x:c>
      <x:c r="P412" s="22" t="str">
        <x:v>ยังไม่ติดต่อ</x:v>
      </x:c>
    </x:row>
    <x:row r="413" ht="66" customHeight="1">
      <x:c r="A413" s="9" t="n">
        <x:v>405</x:v>
      </x:c>
      <x:c r="B413" s="20" t="str">
        <x:v>จูเด๊ะ</x:v>
      </x:c>
      <x:c r="C413" s="20" t="str">
        <x:v>พระนครศรีอยุธยา</x:v>
      </x:c>
      <x:c r="D413" s="20" t="str">
        <x:v>ร้านอาหาร</x:v>
      </x:c>
      <x:c r="E413" s="20" t="str">
        <x:v>มีรายชื่อใน Makan Halal Guide; ช่องห้องละหมาดไม่ได้ทำเครื่องหมายว่ามี</x:v>
      </x:c>
      <x:c r="F413" s="20" t="str">
        <x:v>ไม่ได้ทำเครื่องหมายว่ามี / ต้องยืนยัน</x:v>
      </x:c>
      <x:c r="G413" s="20" t="str">
        <x:v>ยังไม่พบเอกสารรับรองและวันหมดอายุ</x:v>
      </x:c>
      <x:c r="H41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3" s="20" t="str">
        <x:v>ตำบลพยอม อำเภอวังน้อย จังหวัดพระนครศรีอยุธยา 13170</x:v>
      </x:c>
      <x:c r="J413" s="21" t="str">
        <x:v>0962656532</x:v>
      </x:c>
      <x:c r="K413" s="23" t="e">
        <x:f>HYPERLINK("https://makanhalalguide.com/shop/detail/5096","เปิดแหล่งข้อมูล 1")</x:f>
        <x:v>HYPERLINK is not implemented. linkLocation=https://makanhalalguide.com/shop/detail/5096, friendlyName=เปิดแหล่งข้อมูล 1</x:v>
      </x:c>
      <x:c r="L413" s="23" t="str"/>
      <x:c r="M413" s="20" t="str"/>
      <x:c r="N413" s="10" t="n">
        <x:v>46315</x:v>
      </x:c>
      <x:c r="O413" s="22" t="str">
        <x:v>ยังไม่ตรวจ</x:v>
      </x:c>
      <x:c r="P413" s="22" t="str">
        <x:v>ยังไม่ติดต่อ</x:v>
      </x:c>
    </x:row>
    <x:row r="414" ht="66" customHeight="1">
      <x:c r="A414" s="9" t="n">
        <x:v>406</x:v>
      </x:c>
      <x:c r="B414" s="20" t="str">
        <x:v>ซามีมี่ฮาลาล  ซาลาเปา อาหารตามสั่ง</x:v>
      </x:c>
      <x:c r="C414" s="20" t="str">
        <x:v>พระนครศรีอยุธยา</x:v>
      </x:c>
      <x:c r="D414" s="20" t="str">
        <x:v>ร้านอาหาร</x:v>
      </x:c>
      <x:c r="E414" s="20" t="str">
        <x:v>มีรายชื่อใน Makan Halal Guide; ช่องห้องละหมาดไม่ได้ทำเครื่องหมายว่ามี</x:v>
      </x:c>
      <x:c r="F414" s="20" t="str">
        <x:v>ไม่ได้ทำเครื่องหมายว่ามี / ต้องยืนยัน</x:v>
      </x:c>
      <x:c r="G414" s="20" t="str">
        <x:v>ยังไม่พบเอกสารรับรองและวันหมดอายุ</x:v>
      </x:c>
      <x:c r="H41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4" s="20" t="str">
        <x:v>มัสยิดอิสลามวัฒนา
หมู่ 6 ตำบล สำเภาล่ม อำเภอ พระนครศรีอยุธยา จังหวัดพระนครศรีอยุธยา 13000
</x:v>
      </x:c>
      <x:c r="J414" s="21" t="str">
        <x:v>0879975060</x:v>
      </x:c>
      <x:c r="K414" s="23" t="e">
        <x:f>HYPERLINK("https://makanhalalguide.com/shop/detail/5559","เปิดแหล่งข้อมูล 1")</x:f>
        <x:v>HYPERLINK is not implemented. linkLocation=https://makanhalalguide.com/shop/detail/5559, friendlyName=เปิดแหล่งข้อมูล 1</x:v>
      </x:c>
      <x:c r="L414" s="23" t="str"/>
      <x:c r="M414" s="20" t="str"/>
      <x:c r="N414" s="10" t="n">
        <x:v>46315</x:v>
      </x:c>
      <x:c r="O414" s="22" t="str">
        <x:v>ยังไม่ตรวจ</x:v>
      </x:c>
      <x:c r="P414" s="22" t="str">
        <x:v>ยังไม่ติดต่อ</x:v>
      </x:c>
    </x:row>
    <x:row r="415" ht="66" customHeight="1">
      <x:c r="A415" s="9" t="n">
        <x:v>407</x:v>
      </x:c>
      <x:c r="B415" s="20" t="str">
        <x:v>ตอฮา 25  อาหารตามสั่ง / หอยกระทะร้อน</x:v>
      </x:c>
      <x:c r="C415" s="20" t="str">
        <x:v>พระนครศรีอยุธยา</x:v>
      </x:c>
      <x:c r="D415" s="20" t="str">
        <x:v>ร้านอาหาร</x:v>
      </x:c>
      <x:c r="E415" s="20" t="str">
        <x:v>มีรายชื่อใน Makan Halal Guide; ช่องห้องละหมาดไม่ได้ทำเครื่องหมายว่ามี</x:v>
      </x:c>
      <x:c r="F415" s="20" t="str">
        <x:v>ไม่ได้ทำเครื่องหมายว่ามี / ต้องยืนยัน</x:v>
      </x:c>
      <x:c r="G415" s="20" t="str">
        <x:v>ยังไม่พบเอกสารรับรองและวันหมดอายุ</x:v>
      </x:c>
      <x:c r="H41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5" s="20" t="str">
        <x:v>มัสยิดอิสลามวัฒนา
หมู่ 6 ตำบล สำเภาล่ม อำเภอ พระนครศรีอยุธยา จังหวัดพระนครศรีอยุธยา 13000
</x:v>
      </x:c>
      <x:c r="J415" s="21" t="str">
        <x:v>0867129978</x:v>
      </x:c>
      <x:c r="K415" s="23" t="e">
        <x:f>HYPERLINK("https://makanhalalguide.com/shop/detail/5560","เปิดแหล่งข้อมูล 1")</x:f>
        <x:v>HYPERLINK is not implemented. linkLocation=https://makanhalalguide.com/shop/detail/5560, friendlyName=เปิดแหล่งข้อมูล 1</x:v>
      </x:c>
      <x:c r="L415" s="23" t="str"/>
      <x:c r="M415" s="20" t="str"/>
      <x:c r="N415" s="10" t="n">
        <x:v>46315</x:v>
      </x:c>
      <x:c r="O415" s="22" t="str">
        <x:v>ยังไม่ตรวจ</x:v>
      </x:c>
      <x:c r="P415" s="22" t="str">
        <x:v>ยังไม่ติดต่อ</x:v>
      </x:c>
    </x:row>
    <x:row r="416" ht="66" customHeight="1">
      <x:c r="A416" s="9" t="n">
        <x:v>408</x:v>
      </x:c>
      <x:c r="B416" s="20" t="str">
        <x:v>บังบูบะหมี่เกี๊ยว ฮาลาล</x:v>
      </x:c>
      <x:c r="C416" s="20" t="str">
        <x:v>พระนครศรีอยุธยา</x:v>
      </x:c>
      <x:c r="D416" s="20" t="str">
        <x:v>ร้านอาหาร</x:v>
      </x:c>
      <x:c r="E416" s="20" t="str">
        <x:v>มีรายชื่อใน Makan Halal Guide; ช่องห้องละหมาดไม่ได้ทำเครื่องหมายว่ามี</x:v>
      </x:c>
      <x:c r="F416" s="20" t="str">
        <x:v>ไม่ได้ทำเครื่องหมายว่ามี / ต้องยืนยัน</x:v>
      </x:c>
      <x:c r="G416" s="20" t="str">
        <x:v>ยังไม่พบเอกสารรับรองและวันหมดอายุ</x:v>
      </x:c>
      <x:c r="H41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6" s="20" t="str">
        <x:v>52หมู่ 4 ตำบลโพทิ์สามต้น อำเภอบางปะหัน จังหวัดพระนครศรีอยุธยา, ถนน347 อยุธยา-บางปะหัน หลักกิโลเมตรที่ 47 จ.อยุธยา พุทเลา บางปะหัน พระนครศรีอยุธยา พระนครศรีอยุธยา 13220</x:v>
      </x:c>
      <x:c r="J416" s="21" t="str">
        <x:v>0924970133</x:v>
      </x:c>
      <x:c r="K416" s="23" t="e">
        <x:f>HYPERLINK("https://makanhalalguide.com/shop/detail/5595","เปิดแหล่งข้อมูล 1")</x:f>
        <x:v>HYPERLINK is not implemented. linkLocation=https://makanhalalguide.com/shop/detail/5595, friendlyName=เปิดแหล่งข้อมูล 1</x:v>
      </x:c>
      <x:c r="L416" s="23" t="str"/>
      <x:c r="M416" s="20" t="str"/>
      <x:c r="N416" s="10" t="n">
        <x:v>46315</x:v>
      </x:c>
      <x:c r="O416" s="22" t="str">
        <x:v>ยังไม่ตรวจ</x:v>
      </x:c>
      <x:c r="P416" s="22" t="str">
        <x:v>ยังไม่ติดต่อ</x:v>
      </x:c>
    </x:row>
    <x:row r="417" ht="66" customHeight="1">
      <x:c r="A417" s="9" t="n">
        <x:v>409</x:v>
      </x:c>
      <x:c r="B417" s="20" t="str">
        <x:v>บังลิก - ยีเลาะห์ เจ้าเก่า - ร้านอาหารมุสลิม อยุธยา</x:v>
      </x:c>
      <x:c r="C417" s="20" t="str">
        <x:v>พระนครศรีอยุธยา</x:v>
      </x:c>
      <x:c r="D417" s="20" t="str">
        <x:v>ร้านอาหาร</x:v>
      </x:c>
      <x:c r="E417" s="20" t="str">
        <x:v>มีรายชื่อใน Makan Halal Guide; ช่องห้องละหมาดไม่ได้ทำเครื่องหมายว่ามี</x:v>
      </x:c>
      <x:c r="F417" s="20" t="str">
        <x:v>ไม่ได้ทำเครื่องหมายว่ามี / ต้องยืนยัน</x:v>
      </x:c>
      <x:c r="G417" s="20" t="str">
        <x:v>ยังไม่พบเอกสารรับรองและวันหมดอายุ</x:v>
      </x:c>
      <x:c r="H41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7" s="20" t="str">
        <x:v>ถนนศรีสรรเพชญ์ ตำบลประตูชัย อำเภอพระนครศรีอยุธยา จังหวัดพระนครศรีอยุธยา 13000 (ติดสามแยกรพ.อยุธยา ตรงข้ามป้อมตำรวจ หัวถนนแยกโรงพยาบาลอยุธยา)</x:v>
      </x:c>
      <x:c r="J417" s="21" t="str">
        <x:v>0631404163</x:v>
      </x:c>
      <x:c r="K417" s="23" t="e">
        <x:f>HYPERLINK("https://makanhalalguide.com/shop/detail/1262","เปิดแหล่งข้อมูล 1")</x:f>
        <x:v>HYPERLINK is not implemented. linkLocation=https://makanhalalguide.com/shop/detail/1262, friendlyName=เปิดแหล่งข้อมูล 1</x:v>
      </x:c>
      <x:c r="L417" s="23" t="e">
        <x:f>HYPERLINK("https://www.wongnai.com/restaurants/525545YJ-%E0%B8%A3%E0%B9%89%E0%B8%B2%E0%B8%99%E0%B8%9A%E0%B8%B1%E0%B8%87%E0%B8%A5%E0%B8%B4%E0%B8%81-%E0%B8%A2%E0%B8%B5%E0%B9%80%E0%B8%A5%E0%B8%B2%E0%B8%B0%E0%B8%AB%E0%B9%8C-%E0%B9%80%E0%B8%88%E0%B9%89%E0%B8%B2%E0%B9%80%E0%B8%81%E0%B9%88%E0%B8%B2-%E0%B8%AD%E0%B8%B2%E0%B8%AB%E0%B8%B2%E0%B8%A3%E0%B8%A1%E0%B8%B8%E0%B8%AA%E0%B8%A5%E0%B8%B4%E0%B8%A1-%E0%B8%AD%E0%B8%A2%E0%B8%B8%E0%B8%98%E0%B8%A2%E0%B8%B2/photos","เปิดแหล่งข้อมูล 2")</x:f>
        <x:v>HYPERLINK is not implemented. linkLocation=https://www.wongnai.com/restaurants/525545YJ-%E0%B8%A3%E0%B9%89%E0%B8%B2%E0%B8%99%E0%B8%9A%E0%B8%B1%E0%B8%87%E0%B8%A5%E0%B8%B4%E0%B8%81-%E0%B8%A2%E0%B8%B5%E0%B9%80%E0%B8%A5%E0%B8%B2%E0%B8%B0%E0%B8%AB%E0%B9%8C-%E0%B9%80%E0%B8%88%E0%B9%89%E0%B8%B2%E0%B9%80%E0%B8%81%E0%B9%88%E0%B8%B2-%E0%B8%AD%E0%B8%B2%E0%B8%AB%E0%B8%B2%E0%B8%A3%E0%B8%A1%E0%B8%B8%E0%B8%AA%E0%B8%A5%E0%B8%B4%E0%B8%A1-%E0%B8%AD%E0%B8%A2%E0%B8%B8%E0%B8%98%E0%B8%A2%E0%B8%B2/photos, friendlyName=เปิดแหล่งข้อมูล 2</x:v>
      </x:c>
      <x:c r="M417" s="20" t="str">
        <x:v>ผลค้นหาชื่อสัมพันธ์จากแหล่งเพิ่มเติม ต้องยืนยันสาขาและข้อมูลปัจจุบัน</x:v>
      </x:c>
      <x:c r="N417" s="10" t="n">
        <x:v>46315</x:v>
      </x:c>
      <x:c r="O417" s="22" t="str">
        <x:v>ยังไม่ตรวจ</x:v>
      </x:c>
      <x:c r="P417" s="22" t="str">
        <x:v>ยังไม่ติดต่อ</x:v>
      </x:c>
    </x:row>
    <x:row r="418" ht="66" customHeight="1">
      <x:c r="A418" s="9" t="n">
        <x:v>410</x:v>
      </x:c>
      <x:c r="B418" s="20" t="str">
        <x:v>บ้านไวยรูป ขนมอบ</x:v>
      </x:c>
      <x:c r="C418" s="20" t="str">
        <x:v>พระนครศรีอยุธยา</x:v>
      </x:c>
      <x:c r="D418" s="20" t="str">
        <x:v>คาเฟ่และร้านของหวาน</x:v>
      </x:c>
      <x:c r="E418" s="20" t="str">
        <x:v>มีรายชื่อใน Makan Halal Guide; ช่องห้องละหมาดไม่ได้ทำเครื่องหมายว่ามี</x:v>
      </x:c>
      <x:c r="F418" s="20" t="str">
        <x:v>ไม่ได้ทำเครื่องหมายว่ามี / ต้องยืนยัน</x:v>
      </x:c>
      <x:c r="G418" s="20" t="str">
        <x:v>ยังไม่พบเอกสารรับรองและวันหมดอายุ</x:v>
      </x:c>
      <x:c r="H41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8" s="20" t="str">
        <x:v>ตำบลคลองตะเคียน อำเภอ พระนครศรีอยุธยา จังหวัดพระนครศรีอยุธยา 13000</x:v>
      </x:c>
      <x:c r="J418" s="21" t="str">
        <x:v>0861265161</x:v>
      </x:c>
      <x:c r="K418" s="23" t="e">
        <x:f>HYPERLINK("https://makanhalalguide.com/shop/detail/5224","เปิดแหล่งข้อมูล 1")</x:f>
        <x:v>HYPERLINK is not implemented. linkLocation=https://makanhalalguide.com/shop/detail/5224, friendlyName=เปิดแหล่งข้อมูล 1</x:v>
      </x:c>
      <x:c r="L418" s="23" t="e">
        <x:f>HYPERLINK("https://www.wongnai.com/restaurants/752009HH-%E0%B8%9A%E0%B9%89%E0%B8%B2%E0%B8%99%E0%B9%84%E0%B8%A7%E0%B8%A2%E0%B8%A3%E0%B8%B9%E0%B8%9B%E0%B8%82%E0%B8%99%E0%B8%A1%E0%B8%AD%E0%B8%9A","เปิดแหล่งข้อมูล 2")</x:f>
        <x:v>HYPERLINK is not implemented. linkLocation=https://www.wongnai.com/restaurants/752009HH-%E0%B8%9A%E0%B9%89%E0%B8%B2%E0%B8%99%E0%B9%84%E0%B8%A7%E0%B8%A2%E0%B8%A3%E0%B8%B9%E0%B8%9B%E0%B8%82%E0%B8%99%E0%B8%A1%E0%B8%AD%E0%B8%9A, friendlyName=เปิดแหล่งข้อมูล 2</x:v>
      </x:c>
      <x:c r="M418" s="20" t="str">
        <x:v>ผลค้นหาชื่อสัมพันธ์จากแหล่งเพิ่มเติม ต้องยืนยันสาขาและข้อมูลปัจจุบัน</x:v>
      </x:c>
      <x:c r="N418" s="10" t="n">
        <x:v>46315</x:v>
      </x:c>
      <x:c r="O418" s="22" t="str">
        <x:v>ยังไม่ตรวจ</x:v>
      </x:c>
      <x:c r="P418" s="22" t="str">
        <x:v>ยังไม่ติดต่อ</x:v>
      </x:c>
    </x:row>
    <x:row r="419" ht="66" customHeight="1">
      <x:c r="A419" s="9" t="n">
        <x:v>411</x:v>
      </x:c>
      <x:c r="B419" s="20" t="str">
        <x:v>ฟาติเมาะฮ์  ก๋วยเตี๋ยว ลูกชิ้นทอด</x:v>
      </x:c>
      <x:c r="C419" s="20" t="str">
        <x:v>พระนครศรีอยุธยา</x:v>
      </x:c>
      <x:c r="D419" s="20" t="str">
        <x:v>ร้านอาหาร</x:v>
      </x:c>
      <x:c r="E419" s="20" t="str">
        <x:v>มีรายชื่อใน Makan Halal Guide; ช่องห้องละหมาดไม่ได้ทำเครื่องหมายว่ามี</x:v>
      </x:c>
      <x:c r="F419" s="20" t="str">
        <x:v>ไม่ได้ทำเครื่องหมายว่ามี / ต้องยืนยัน</x:v>
      </x:c>
      <x:c r="G419" s="20" t="str">
        <x:v>ยังไม่พบเอกสารรับรองและวันหมดอายุ</x:v>
      </x:c>
      <x:c r="H41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19" s="20" t="str">
        <x:v>มัสยิดอิสลามวัฒนา
หมู่ 6 ตำบล สำเภาล่ม อำเภอ พระนครศรีอยุธยา จังหวัดพระนครศรีอยุธยา 13000
</x:v>
      </x:c>
      <x:c r="J419" s="21" t="str">
        <x:v>1300000000</x:v>
      </x:c>
      <x:c r="K419" s="23" t="e">
        <x:f>HYPERLINK("https://makanhalalguide.com/shop/detail/5556","เปิดแหล่งข้อมูล 1")</x:f>
        <x:v>HYPERLINK is not implemented. linkLocation=https://makanhalalguide.com/shop/detail/5556, friendlyName=เปิดแหล่งข้อมูล 1</x:v>
      </x:c>
      <x:c r="L419" s="23" t="str"/>
      <x:c r="M419" s="20" t="str"/>
      <x:c r="N419" s="10" t="n">
        <x:v>46315</x:v>
      </x:c>
      <x:c r="O419" s="22" t="str">
        <x:v>ยังไม่ตรวจ</x:v>
      </x:c>
      <x:c r="P419" s="22" t="str">
        <x:v>ยังไม่ติดต่อ</x:v>
      </x:c>
    </x:row>
    <x:row r="420" ht="66" customHeight="1">
      <x:c r="A420" s="9" t="n">
        <x:v>412</x:v>
      </x:c>
      <x:c r="B420" s="20" t="str">
        <x:v>ส้มตำนิดา (อิสลาม-ฮาลาล)</x:v>
      </x:c>
      <x:c r="C420" s="20" t="str">
        <x:v>พระนครศรีอยุธยา</x:v>
      </x:c>
      <x:c r="D420" s="20" t="str">
        <x:v>ร้านอาหาร</x:v>
      </x:c>
      <x:c r="E420" s="20" t="str">
        <x:v>มีรายชื่อใน Makan Halal Guide; ช่องห้องละหมาดไม่ได้ทำเครื่องหมายว่ามี</x:v>
      </x:c>
      <x:c r="F420" s="20" t="str">
        <x:v>ไม่ได้ทำเครื่องหมายว่ามี / ต้องยืนยัน</x:v>
      </x:c>
      <x:c r="G420" s="20" t="str">
        <x:v>ยังไม่พบเอกสารรับรองและวันหมดอายุ</x:v>
      </x:c>
      <x:c r="H42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20" s="20" t="str">
        <x:v>คลองตะเคียน 11/1 (บ้านปากซอยคลองตะเคียน) ตำบลคลองตะเคียน อำเภอ พระนครศรีอยุธยา จังหวัดพระนครศรีอยุธยา 13000</x:v>
      </x:c>
      <x:c r="J420" s="21" t="str">
        <x:v>0955620340</x:v>
      </x:c>
      <x:c r="K420" s="23" t="e">
        <x:f>HYPERLINK("https://makanhalalguide.com/shop/detail/5223","เปิดแหล่งข้อมูล 1")</x:f>
        <x:v>HYPERLINK is not implemented. linkLocation=https://makanhalalguide.com/shop/detail/5223, friendlyName=เปิดแหล่งข้อมูล 1</x:v>
      </x:c>
      <x:c r="L420" s="23" t="str"/>
      <x:c r="M420" s="20" t="str"/>
      <x:c r="N420" s="10" t="n">
        <x:v>46315</x:v>
      </x:c>
      <x:c r="O420" s="22" t="str">
        <x:v>ยังไม่ตรวจ</x:v>
      </x:c>
      <x:c r="P420" s="22" t="str">
        <x:v>ยังไม่ติดต่อ</x:v>
      </x:c>
    </x:row>
    <x:row r="421" ht="66" customHeight="1">
      <x:c r="A421" s="9" t="n">
        <x:v>413</x:v>
      </x:c>
      <x:c r="B421" s="20" t="str">
        <x:v>อาบีดีน อาหารตามสั่ง</x:v>
      </x:c>
      <x:c r="C421" s="20" t="str">
        <x:v>พระนครศรีอยุธยา</x:v>
      </x:c>
      <x:c r="D421" s="20" t="str">
        <x:v>ร้านอาหาร</x:v>
      </x:c>
      <x:c r="E421" s="20" t="str">
        <x:v>มีรายชื่อใน Makan Halal Guide; ช่องห้องละหมาดไม่ได้ทำเครื่องหมายว่ามี</x:v>
      </x:c>
      <x:c r="F421" s="20" t="str">
        <x:v>ไม่ได้ทำเครื่องหมายว่ามี / ต้องยืนยัน</x:v>
      </x:c>
      <x:c r="G421" s="20" t="str">
        <x:v>ยังไม่พบเอกสารรับรองและวันหมดอายุ</x:v>
      </x:c>
      <x:c r="H42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21" s="20" t="str">
        <x:v>มัสยิดอิสลามวัฒนา
หมู่ 6 ตำบล สำเภาล่ม อำเภอ พระนครศรีอยุธยา จังหวัดพระนครศรีอยุธยา 13000
</x:v>
      </x:c>
      <x:c r="J421" s="21" t="str">
        <x:v>1300000001</x:v>
      </x:c>
      <x:c r="K421" s="23" t="e">
        <x:f>HYPERLINK("https://makanhalalguide.com/shop/detail/5557","เปิดแหล่งข้อมูล 1")</x:f>
        <x:v>HYPERLINK is not implemented. linkLocation=https://makanhalalguide.com/shop/detail/5557, friendlyName=เปิดแหล่งข้อมูล 1</x:v>
      </x:c>
      <x:c r="L421" s="23" t="str"/>
      <x:c r="M421" s="20" t="str"/>
      <x:c r="N421" s="10" t="n">
        <x:v>46315</x:v>
      </x:c>
      <x:c r="O421" s="22" t="str">
        <x:v>ยังไม่ตรวจ</x:v>
      </x:c>
      <x:c r="P421" s="22" t="str">
        <x:v>ยังไม่ติดต่อ</x:v>
      </x:c>
    </x:row>
    <x:row r="422" ht="66" customHeight="1">
      <x:c r="A422" s="9" t="n">
        <x:v>414</x:v>
      </x:c>
      <x:c r="B422" s="20" t="str">
        <x:v>อามีนะ ข้าวเหนียวมะม่วง</x:v>
      </x:c>
      <x:c r="C422" s="20" t="str">
        <x:v>พระนครศรีอยุธยา</x:v>
      </x:c>
      <x:c r="D422" s="20" t="str">
        <x:v>ร้านอาหาร</x:v>
      </x:c>
      <x:c r="E422" s="20" t="str">
        <x:v>มีรายชื่อใน Makan Halal Guide; ช่องห้องละหมาดไม่ได้ทำเครื่องหมายว่ามี</x:v>
      </x:c>
      <x:c r="F422" s="20" t="str">
        <x:v>ไม่ได้ทำเครื่องหมายว่ามี / ต้องยืนยัน</x:v>
      </x:c>
      <x:c r="G422" s="20" t="str">
        <x:v>ยังไม่พบเอกสารรับรองและวันหมดอายุ</x:v>
      </x:c>
      <x:c r="H42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22" s="20" t="str">
        <x:v>มัสยิดอิสลามวัฒนา
ม.6 ต.สำเภาล่ม อ.พระนครศรีอยุธยา จ.พระนครศรีอยุธยา 13000
</x:v>
      </x:c>
      <x:c r="J422" s="21" t="str">
        <x:v>0629184626</x:v>
      </x:c>
      <x:c r="K422" s="23" t="e">
        <x:f>HYPERLINK("https://makanhalalguide.com/shop/detail/5586","เปิดแหล่งข้อมูล 1")</x:f>
        <x:v>HYPERLINK is not implemented. linkLocation=https://makanhalalguide.com/shop/detail/5586, friendlyName=เปิดแหล่งข้อมูล 1</x:v>
      </x:c>
      <x:c r="L422" s="23" t="str"/>
      <x:c r="M422" s="20" t="str"/>
      <x:c r="N422" s="10" t="n">
        <x:v>46315</x:v>
      </x:c>
      <x:c r="O422" s="22" t="str">
        <x:v>ยังไม่ตรวจ</x:v>
      </x:c>
      <x:c r="P422" s="22" t="str">
        <x:v>ยังไม่ติดต่อ</x:v>
      </x:c>
    </x:row>
    <x:row r="423" ht="66" customHeight="1">
      <x:c r="A423" s="9" t="n">
        <x:v>415</x:v>
      </x:c>
      <x:c r="B423" s="20" t="str">
        <x:v>อามีนะห์ก๋วยเตี๋ยวเนื้อริมน้ำ</x:v>
      </x:c>
      <x:c r="C423" s="20" t="str">
        <x:v>พระนครศรีอยุธยา</x:v>
      </x:c>
      <x:c r="D423" s="20" t="str">
        <x:v>ร้านอาหาร</x:v>
      </x:c>
      <x:c r="E423" s="20" t="str">
        <x:v>มีรายชื่อใน Makan Halal Guide; ช่องห้องละหมาดไม่ได้ทำเครื่องหมายว่ามี</x:v>
      </x:c>
      <x:c r="F423" s="20" t="str">
        <x:v>ไม่ได้ทำเครื่องหมายว่ามี / ต้องยืนยัน</x:v>
      </x:c>
      <x:c r="G423" s="20" t="str">
        <x:v>ยังไม่พบเอกสารรับรองและวันหมดอายุ</x:v>
      </x:c>
      <x:c r="H42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23" s="20" t="str">
        <x:v>ถนนอู่ทอง ตำบลประตูชัย อำเภอพระนครศรีอยุธยา จังหวัดพระนครศรีอยุธยา 13000</x:v>
      </x:c>
      <x:c r="J423" s="21" t="str">
        <x:v>0951646891</x:v>
      </x:c>
      <x:c r="K423" s="23" t="e">
        <x:f>HYPERLINK("https://makanhalalguide.com/shop/detail/6360","เปิดแหล่งข้อมูล 1")</x:f>
        <x:v>HYPERLINK is not implemented. linkLocation=https://makanhalalguide.com/shop/detail/6360, friendlyName=เปิดแหล่งข้อมูล 1</x:v>
      </x:c>
      <x:c r="L423" s="23" t="str"/>
      <x:c r="M423" s="20" t="str"/>
      <x:c r="N423" s="10" t="n">
        <x:v>46315</x:v>
      </x:c>
      <x:c r="O423" s="22" t="str">
        <x:v>ยังไม่ตรวจ</x:v>
      </x:c>
      <x:c r="P423" s="22" t="str">
        <x:v>ยังไม่ติดต่อ</x:v>
      </x:c>
    </x:row>
    <x:row r="424" ht="66" customHeight="1">
      <x:c r="A424" s="9" t="n">
        <x:v>416</x:v>
      </x:c>
      <x:c r="B424" s="20" t="str">
        <x:v>โจ๊กริมน้ำเจ้าพระยา</x:v>
      </x:c>
      <x:c r="C424" s="20" t="str">
        <x:v>พระนครศรีอยุธยา</x:v>
      </x:c>
      <x:c r="D424" s="20" t="str">
        <x:v>ร้านอาหาร</x:v>
      </x:c>
      <x:c r="E424" s="20" t="str">
        <x:v>มีรายชื่อใน Makan Halal Guide; ช่องห้องละหมาดไม่ได้ทำเครื่องหมายว่ามี</x:v>
      </x:c>
      <x:c r="F424" s="20" t="str">
        <x:v>ไม่ได้ทำเครื่องหมายว่ามี / ต้องยืนยัน</x:v>
      </x:c>
      <x:c r="G424" s="20" t="str">
        <x:v>ยังไม่พบเอกสารรับรองและวันหมดอายุ</x:v>
      </x:c>
      <x:c r="H42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24" s="20" t="str">
        <x:v>ซอยคลองตะเคียน1/5 (ตรงข้าม โรงเรียนอิสลามศรีอยุธยามูลนิธิ) ตำบล คลองตะเคียน อำเภอ พระนครศรีอยุธยา จังหวัดพระนครศรีอยุธยา 13000 เข้าซอยมีป้ายบอกทางสังเกตไม่ยากนร้า</x:v>
      </x:c>
      <x:c r="J424" s="21" t="str">
        <x:v>0926433341</x:v>
      </x:c>
      <x:c r="K424" s="23" t="e">
        <x:f>HYPERLINK("https://makanhalalguide.com/shop/detail/5216","เปิดแหล่งข้อมูล 1")</x:f>
        <x:v>HYPERLINK is not implemented. linkLocation=https://makanhalalguide.com/shop/detail/5216, friendlyName=เปิดแหล่งข้อมูล 1</x:v>
      </x:c>
      <x:c r="L424" s="23" t="str"/>
      <x:c r="M424" s="20" t="str"/>
      <x:c r="N424" s="10" t="n">
        <x:v>46315</x:v>
      </x:c>
      <x:c r="O424" s="22" t="str">
        <x:v>ยังไม่ตรวจ</x:v>
      </x:c>
      <x:c r="P424" s="22" t="str">
        <x:v>ยังไม่ติดต่อ</x:v>
      </x:c>
    </x:row>
    <x:row r="425" ht="66" customHeight="1">
      <x:c r="A425" s="9" t="n">
        <x:v>417</x:v>
      </x:c>
      <x:c r="B425" s="20" t="str">
        <x:v>ไมนูเนาห์ ก๋วยเตี๋ยว อาหารตามสั่ง</x:v>
      </x:c>
      <x:c r="C425" s="20" t="str">
        <x:v>พระนครศรีอยุธยา</x:v>
      </x:c>
      <x:c r="D425" s="20" t="str">
        <x:v>ร้านอาหาร</x:v>
      </x:c>
      <x:c r="E425" s="20" t="str">
        <x:v>มีรายชื่อใน Makan Halal Guide; ช่องห้องละหมาดไม่ได้ทำเครื่องหมายว่ามี</x:v>
      </x:c>
      <x:c r="F425" s="20" t="str">
        <x:v>ไม่ได้ทำเครื่องหมายว่ามี / ต้องยืนยัน</x:v>
      </x:c>
      <x:c r="G425" s="20" t="str">
        <x:v>ยังไม่พบเอกสารรับรองและวันหมดอายุ</x:v>
      </x:c>
      <x:c r="H42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25" s="20" t="str">
        <x:v>มัสยิดอิสลามวัฒนา
ม.6 ต.สำเภาล่ม อ.พระนครศรีอยุธยา จ.พระนครศรีอยุธยา 13000
</x:v>
      </x:c>
      <x:c r="J425" s="21" t="str">
        <x:v>0841562026</x:v>
      </x:c>
      <x:c r="K425" s="23" t="e">
        <x:f>HYPERLINK("https://makanhalalguide.com/shop/detail/5587","เปิดแหล่งข้อมูล 1")</x:f>
        <x:v>HYPERLINK is not implemented. linkLocation=https://makanhalalguide.com/shop/detail/5587, friendlyName=เปิดแหล่งข้อมูล 1</x:v>
      </x:c>
      <x:c r="L425" s="23" t="str"/>
      <x:c r="M425" s="20" t="str"/>
      <x:c r="N425" s="10" t="n">
        <x:v>46315</x:v>
      </x:c>
      <x:c r="O425" s="22" t="str">
        <x:v>ยังไม่ตรวจ</x:v>
      </x:c>
      <x:c r="P425" s="22" t="str">
        <x:v>ยังไม่ติดต่อ</x:v>
      </x:c>
    </x:row>
    <x:row r="426" ht="66" customHeight="1">
      <x:c r="A426" s="9" t="n">
        <x:v>418</x:v>
      </x:c>
      <x:c r="B426" s="20" t="str">
        <x:v>ศูนย์ศึกษาประวัติศาสตร์อยุธยา</x:v>
      </x:c>
      <x:c r="C426" s="20" t="str">
        <x:v>พระนครศรีอยุธยา</x:v>
      </x:c>
      <x:c r="D426" s="20" t="str">
        <x:v>พิพิธภัณฑ์และศูนย์เรียนรู้</x:v>
      </x:c>
      <x:c r="E426" s="20" t="str">
        <x:v>ฐานข้อมูลกระทรวงการท่องเที่ยวฯ ระบุแหล่งเรียนรู้ประวัติศาสตร์ ต้องจัดข้อมูลร้านฮาลาลและจุดละหมาด</x:v>
      </x:c>
      <x:c r="F426" s="20" t="str">
        <x:v>ยังไม่พบข้อมูล</x:v>
      </x:c>
      <x:c r="G426" s="20" t="str">
        <x:v>ยังไม่พบเอกสารรับรองและวันหมดอายุ</x:v>
      </x:c>
      <x:c r="H42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26" s="20" t="str">
        <x:v>ดูรายละเอียดในแหล่งอ้างอิง</x:v>
      </x:c>
      <x:c r="J426" s="21" t="str">
        <x:v>ยังไม่พบข้อมูล</x:v>
      </x:c>
      <x:c r="K426" s="23" t="e">
        <x:f>HYPERLINK("https://www.thailandtourismdirectory.go.th/en/attraction/1467","เปิดแหล่งข้อมูล 1")</x:f>
        <x:v>HYPERLINK is not implemented. linkLocation=https://www.thailandtourismdirectory.go.th/en/attraction/1467, friendlyName=เปิดแหล่งข้อมูล 1</x:v>
      </x:c>
      <x:c r="L426" s="23" t="e">
        <x:f>HYPERLINK("https://th.tripadvisor.com/Attraction_Review-g303897-d2146207-Reviews-Ayutthaya_Historical_Study_Centre-Ayutthaya_Ayutthaya_Province.html","เปิดแหล่งข้อมูล 2")</x:f>
        <x:v>HYPERLINK is not implemented. linkLocation=https://th.tripadvisor.com/Attraction_Review-g303897-d2146207-Reviews-Ayutthaya_Historical_Study_Centre-Ayutthaya_Ayutthaya_Province.html, friendlyName=เปิดแหล่งข้อมูล 2</x:v>
      </x:c>
      <x:c r="M426" s="20" t="str">
        <x:v>ผลค้นหาชื่อสัมพันธ์จากแหล่งเพิ่มเติม ต้องยืนยันสาขาและข้อมูลปัจจุบัน</x:v>
      </x:c>
      <x:c r="N426" s="10" t="n">
        <x:v>46315</x:v>
      </x:c>
      <x:c r="O426" s="22" t="str">
        <x:v>ยังไม่ตรวจ</x:v>
      </x:c>
      <x:c r="P426" s="22" t="str">
        <x:v>ยังไม่ติดต่อ</x:v>
      </x:c>
    </x:row>
    <x:row r="427" ht="66" customHeight="1">
      <x:c r="A427" s="9" t="n">
        <x:v>419</x:v>
      </x:c>
      <x:c r="B427" s="20" t="str">
        <x:v>ซาโมซ่าใส้ไก่ ก๊วยเตี๋ยว เย็นตาโฟ โรตี</x:v>
      </x:c>
      <x:c r="C427" s="20" t="str">
        <x:v>กาญจนบุรี</x:v>
      </x:c>
      <x:c r="D427" s="20" t="str">
        <x:v>คาเฟ่และร้านของหวาน</x:v>
      </x:c>
      <x:c r="E427" s="20" t="str">
        <x:v>มีรายชื่อใน Makan Halal Guide; ช่องห้องละหมาดไม่ได้ทำเครื่องหมายว่ามี</x:v>
      </x:c>
      <x:c r="F427" s="20" t="str">
        <x:v>ไม่ได้ทำเครื่องหมายว่ามี / ต้องยืนยัน</x:v>
      </x:c>
      <x:c r="G427" s="20" t="str">
        <x:v>ยังไม่พบเอกสารรับรองและวันหมดอายุ</x:v>
      </x:c>
      <x:c r="H42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27" s="20" t="str">
        <x:v>ตำบลหนองลู อำเภอสังขละบุรี กาญจนบุรี 71240</x:v>
      </x:c>
      <x:c r="J427" s="21" t="str">
        <x:v>0928980344</x:v>
      </x:c>
      <x:c r="K427" s="23" t="e">
        <x:f>HYPERLINK("https://makanhalalguide.com/shop/detail/5178","เปิดแหล่งข้อมูล 1")</x:f>
        <x:v>HYPERLINK is not implemented. linkLocation=https://makanhalalguide.com/shop/detail/5178, friendlyName=เปิดแหล่งข้อมูล 1</x:v>
      </x:c>
      <x:c r="L427" s="23" t="str"/>
      <x:c r="M427" s="20" t="str"/>
      <x:c r="N427" s="10" t="n">
        <x:v>46315</x:v>
      </x:c>
      <x:c r="O427" s="22" t="str">
        <x:v>ยังไม่ตรวจ</x:v>
      </x:c>
      <x:c r="P427" s="22" t="str">
        <x:v>ยังไม่ติดต่อ</x:v>
      </x:c>
    </x:row>
    <x:row r="428" ht="66" customHeight="1">
      <x:c r="A428" s="9" t="n">
        <x:v>420</x:v>
      </x:c>
      <x:c r="B428" s="20" t="str">
        <x:v>รสโบราณบ้านกาญ</x:v>
      </x:c>
      <x:c r="C428" s="20" t="str">
        <x:v>กาญจนบุรี</x:v>
      </x:c>
      <x:c r="D428" s="20" t="str">
        <x:v>ร้านอาหาร</x:v>
      </x:c>
      <x:c r="E428" s="20" t="str">
        <x:v>มีรายชื่อใน Makan Halal Guide; ช่องห้องละหมาดไม่ได้ทำเครื่องหมายว่ามี</x:v>
      </x:c>
      <x:c r="F428" s="20" t="str">
        <x:v>ไม่ได้ทำเครื่องหมายว่ามี / ต้องยืนยัน</x:v>
      </x:c>
      <x:c r="G428" s="20" t="str">
        <x:v>ยังไม่พบเอกสารรับรองและวันหมดอายุ</x:v>
      </x:c>
      <x:c r="H42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428" s="20" t="str">
        <x:v>346/3 หมู่ 1 ต.ลาดหญ้า อ.เมืองกาญนบุรี .กาญจนบุรี 71190</x:v>
      </x:c>
      <x:c r="J428" s="21" t="str">
        <x:v>0922827982</x:v>
      </x:c>
      <x:c r="K428" s="23" t="e">
        <x:f>HYPERLINK("https://makanhalalguide.com/shop/detail/6287","เปิดแหล่งข้อมูล 1")</x:f>
        <x:v>HYPERLINK is not implemented. linkLocation=https://makanhalalguide.com/shop/detail/6287, friendlyName=เปิดแหล่งข้อมูล 1</x:v>
      </x:c>
      <x:c r="L428" s="23" t="e">
        <x:f>HYPERLINK("https://www.wongnai.com/restaurants/3531683lL-%E0%B8%A3%E0%B8%AA%E0%B9%82%E0%B8%9A%E0%B8%A3%E0%B8%B2%E0%B8%93-%E0%B8%9A%E0%B9%89%E0%B8%B2%E0%B8%99%E0%B8%81%E0%B8%B2%E0%B8%8D-%E0%B8%A5%E0%B8%B2%E0%B8%94%E0%B8%AB%E0%B8%8D%E0%B9%89%E0%B8%B2-%E0%B8%81%E0%B8%B2%E0%B8%8D%E0%B8%88%E0%B8%99%E0%B8%9A%E0%B8%B8%E0%B8%A3%E0%B8%B5","เปิดแหล่งข้อมูล 2")</x:f>
        <x:v>HYPERLINK is not implemented. linkLocation=https://www.wongnai.com/restaurants/3531683lL-%E0%B8%A3%E0%B8%AA%E0%B9%82%E0%B8%9A%E0%B8%A3%E0%B8%B2%E0%B8%93-%E0%B8%9A%E0%B9%89%E0%B8%B2%E0%B8%99%E0%B8%81%E0%B8%B2%E0%B8%8D-%E0%B8%A5%E0%B8%B2%E0%B8%94%E0%B8%AB%E0%B8%8D%E0%B9%89%E0%B8%B2-%E0%B8%81%E0%B8%B2%E0%B8%8D%E0%B8%88%E0%B8%99%E0%B8%9A%E0%B8%B8%E0%B8%A3%E0%B8%B5, friendlyName=เปิดแหล่งข้อมูล 2</x:v>
      </x:c>
      <x:c r="M428" s="20" t="str">
        <x:v>ผลค้นหาชื่อสัมพันธ์จากแหล่งเพิ่มเติม ต้องยืนยันสาขาและข้อมูลปัจจุบัน</x:v>
      </x:c>
      <x:c r="N428" s="10" t="n">
        <x:v>46315</x:v>
      </x:c>
      <x:c r="O428" s="22" t="str">
        <x:v>ยังไม่ตรวจ</x:v>
      </x:c>
      <x:c r="P428" s="22" t="str">
        <x:v>ยังไม่ติดต่อ</x:v>
      </x:c>
    </x:row>
    <x:row r="429" ht="66" customHeight="1">
      <x:c r="A429" s="9" t="n">
        <x:v>421</x:v>
      </x:c>
      <x:c r="B429" s="20" t="str">
        <x:v>น้ำตกเอราวัณ</x:v>
      </x:c>
      <x:c r="C429" s="20" t="str">
        <x:v>กาญจนบุรี</x:v>
      </x:c>
      <x:c r="D429" s="20" t="str">
        <x:v>น้ำตกในอุทยานแห่งชาติ</x:v>
      </x:c>
      <x:c r="E429" s="20" t="str">
        <x:v>ททท. ระบุแหล่งท่องเที่ยวในกาญจนบุรี ยังต้องยืนยันร้านฮาลาลและจุดละหมาดที่เข้าถึงได้จริง</x:v>
      </x:c>
      <x:c r="F429" s="20" t="str">
        <x:v>ยังไม่พบข้อมูล</x:v>
      </x:c>
      <x:c r="G429" s="20" t="str">
        <x:v>ยังไม่พบเอกสารรับรองและวันหมดอายุ</x:v>
      </x:c>
      <x:c r="H429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29" s="20" t="str">
        <x:v>ดูรายละเอียดในแหล่งอ้างอิง</x:v>
      </x:c>
      <x:c r="J429" s="21" t="str">
        <x:v>ยังไม่พบข้อมูล</x:v>
      </x:c>
      <x:c r="K429" s="23" t="e">
        <x:f>HYPERLINK("https://www.tourismthailand.org/Attraction/erawan-waterfall","เปิดแหล่งข้อมูล 1")</x:f>
        <x:v>HYPERLINK is not implemented. linkLocation=https://www.tourismthailand.org/Attraction/erawan-waterfall, friendlyName=เปิดแหล่งข้อมูล 1</x:v>
      </x:c>
      <x:c r="L429" s="23" t="e">
        <x:f>HYPERLINK("https://th.trip.com/travel-guide/attraction/si-sawat/erawan-falls-23914248/?curr=THB&amp;locale=th-TH","เปิดแหล่งข้อมูล 2")</x:f>
        <x:v>HYPERLINK is not implemented. linkLocation=https://th.trip.com/travel-guide/attraction/si-sawat/erawan-falls-23914248/?curr=THB&amp;locale=th-TH, friendlyName=เปิดแหล่งข้อมูล 2</x:v>
      </x:c>
      <x:c r="M429" s="20" t="str">
        <x:v>ผลค้นหาชื่อสัมพันธ์จากแหล่งเพิ่มเติม ต้องยืนยันสาขาและข้อมูลปัจจุบัน</x:v>
      </x:c>
      <x:c r="N429" s="10" t="n">
        <x:v>46315</x:v>
      </x:c>
      <x:c r="O429" s="22" t="str">
        <x:v>ยังไม่ตรวจ</x:v>
      </x:c>
      <x:c r="P429" s="22" t="str">
        <x:v>ยังไม่ติดต่อ</x:v>
      </x:c>
    </x:row>
    <x:row r="430" ht="66" customHeight="1">
      <x:c r="A430" s="9" t="n">
        <x:v>422</x:v>
      </x:c>
      <x:c r="B430" s="20" t="str">
        <x:v>ตลาดน้ำดำเนินสะดวก</x:v>
      </x:c>
      <x:c r="C430" s="20" t="str">
        <x:v>ราชบุรี</x:v>
      </x:c>
      <x:c r="D430" s="20" t="str">
        <x:v>ตลาดน้ำและวิถีวัฒนธรรม</x:v>
      </x:c>
      <x:c r="E430" s="20" t="str">
        <x:v>ททท. ระบุตลาดน้ำในราชบุรี ต้องกำหนดผู้ให้บริการอาหารฮาลาลและจุดละหมาดที่ตรวจสอบได้</x:v>
      </x:c>
      <x:c r="F430" s="20" t="str">
        <x:v>ยังไม่พบข้อมูล</x:v>
      </x:c>
      <x:c r="G430" s="20" t="str">
        <x:v>ยังไม่พบเอกสารรับรองและวันหมดอายุ</x:v>
      </x:c>
      <x:c r="H430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30" s="20" t="str">
        <x:v>ดูรายละเอียดในแหล่งอ้างอิง</x:v>
      </x:c>
      <x:c r="J430" s="21" t="str">
        <x:v>ยังไม่พบข้อมูล</x:v>
      </x:c>
      <x:c r="K430" s="23" t="e">
        <x:f>HYPERLINK("https://www.tourismthailand.org/Destinations/Provinces/ratchaburi/232","เปิดแหล่งข้อมูล 1")</x:f>
        <x:v>HYPERLINK is not implemented. linkLocation=https://www.tourismthailand.org/Destinations/Provinces/ratchaburi/232, friendlyName=เปิดแหล่งข้อมูล 1</x:v>
      </x:c>
      <x:c r="L430" s="23" t="e">
        <x:f>HYPERLINK("https://www.wongnai.com/reviews/15b419bbf09b47458ef3b2dc55f377db","เปิดแหล่งข้อมูล 2")</x:f>
        <x:v>HYPERLINK is not implemented. linkLocation=https://www.wongnai.com/reviews/15b419bbf09b47458ef3b2dc55f377db, friendlyName=เปิดแหล่งข้อมูล 2</x:v>
      </x:c>
      <x:c r="M430" s="20" t="str">
        <x:v>ผลค้นหาชื่อสัมพันธ์จากแหล่งเพิ่มเติม ต้องยืนยันสาขาและข้อมูลปัจจุบัน</x:v>
      </x:c>
      <x:c r="N430" s="10" t="n">
        <x:v>46315</x:v>
      </x:c>
      <x:c r="O430" s="22" t="str">
        <x:v>ยังไม่ตรวจ</x:v>
      </x:c>
      <x:c r="P430" s="22" t="str">
        <x:v>ยังไม่ติดต่อ</x:v>
      </x:c>
    </x:row>
    <x:row r="431" ht="66" customHeight="1">
      <x:c r="A431" s="9" t="n">
        <x:v>423</x:v>
      </x:c>
      <x:c r="B431" s="20" t="str">
        <x:v>ตลาดเก่าโคยกี๊</x:v>
      </x:c>
      <x:c r="C431" s="20" t="str">
        <x:v>ราชบุรี</x:v>
      </x:c>
      <x:c r="D431" s="20" t="str">
        <x:v>ตลาดเก่าและย่านวัฒนธรรม</x:v>
      </x:c>
      <x:c r="E431" s="20" t="str">
        <x:v>ททท. แนะนำตลาดเก่าโคยกี๊ ต้องจัดทำเส้นทางอาหารฮาลาลและข้อมูลละหมาด</x:v>
      </x:c>
      <x:c r="F431" s="20" t="str">
        <x:v>ยังไม่พบข้อมูล</x:v>
      </x:c>
      <x:c r="G431" s="20" t="str">
        <x:v>ยังไม่พบเอกสารรับรองและวันหมดอายุ</x:v>
      </x:c>
      <x:c r="H431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31" s="20" t="str">
        <x:v>ดูรายละเอียดในแหล่งอ้างอิง</x:v>
      </x:c>
      <x:c r="J431" s="21" t="str">
        <x:v>ยังไม่พบข้อมูล</x:v>
      </x:c>
      <x:c r="K431" s="23" t="e">
        <x:f>HYPERLINK("https://www.tourismthailand.org/Articles/https-www-tourismthailand-org-articles-4must-seesitesinratchaburi","เปิดแหล่งข้อมูล 1")</x:f>
        <x:v>HYPERLINK is not implemented. linkLocation=https://www.tourismthailand.org/Articles/https-www-tourismthailand-org-articles-4must-seesitesinratchaburi, friendlyName=เปิดแหล่งข้อมูล 1</x:v>
      </x:c>
      <x:c r="L431" s="23" t="e">
        <x:f>HYPERLINK("https://www.wongnai.com/reviews/bc4e06b366bd4446ba0329e82b2152d2","เปิดแหล่งข้อมูล 2")</x:f>
        <x:v>HYPERLINK is not implemented. linkLocation=https://www.wongnai.com/reviews/bc4e06b366bd4446ba0329e82b2152d2, friendlyName=เปิดแหล่งข้อมูล 2</x:v>
      </x:c>
      <x:c r="M431" s="20" t="str">
        <x:v>ผลค้นหาชื่อสัมพันธ์จากแหล่งเพิ่มเติม ต้องยืนยันสาขาและข้อมูลปัจจุบัน</x:v>
      </x:c>
      <x:c r="N431" s="10" t="n">
        <x:v>46315</x:v>
      </x:c>
      <x:c r="O431" s="22" t="str">
        <x:v>ยังไม่ตรวจ</x:v>
      </x:c>
      <x:c r="P431" s="22" t="str">
        <x:v>ยังไม่ติดต่อ</x:v>
      </x:c>
    </x:row>
    <x:row r="432" ht="66" customHeight="1">
      <x:c r="A432" s="9" t="n">
        <x:v>424</x:v>
      </x:c>
      <x:c r="B432" s="20" t="str">
        <x:v>พิพิธภัณฑสถานแห่งชาติ ราชบุรี</x:v>
      </x:c>
      <x:c r="C432" s="20" t="str">
        <x:v>ราชบุรี</x:v>
      </x:c>
      <x:c r="D432" s="20" t="str">
        <x:v>พิพิธภัณฑ์</x:v>
      </x:c>
      <x:c r="E432" s="20" t="str">
        <x:v>ททท. ระบุเป็นแหล่งประวัติศาสตร์ของจังหวัด ยังต้องพัฒนาข้อมูลและสิ่งอำนวยความสะดวกสำหรับมุสลิม</x:v>
      </x:c>
      <x:c r="F432" s="20" t="str">
        <x:v>ยังไม่พบข้อมูล</x:v>
      </x:c>
      <x:c r="G432" s="20" t="str">
        <x:v>ยังไม่พบเอกสารรับรองและวันหมดอายุ</x:v>
      </x:c>
      <x:c r="H432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32" s="20" t="str">
        <x:v>ดูรายละเอียดในแหล่งอ้างอิง</x:v>
      </x:c>
      <x:c r="J432" s="21" t="str">
        <x:v>ยังไม่พบข้อมูล</x:v>
      </x:c>
      <x:c r="K432" s="23" t="e">
        <x:f>HYPERLINK("https://thai.tourismthailand.org/Destinations/Provinces/ราชบุรี/232","เปิดแหล่งข้อมูล 1")</x:f>
        <x:v>HYPERLINK is not implemented. linkLocation=https://thai.tourismthailand.org/Destinations/Provinces/ราชบุรี/232, friendlyName=เปิดแหล่งข้อมูล 1</x:v>
      </x:c>
      <x:c r="L432" s="23" t="e">
        <x:f>HYPERLINK("https://th.tripadvisor.com/Attraction_Review-g1028727-d12285502-Reviews-Ratchaburi_National_Museum-Ratchaburi_Ratchaburi_Province.html","เปิดแหล่งข้อมูล 2")</x:f>
        <x:v>HYPERLINK is not implemented. linkLocation=https://th.tripadvisor.com/Attraction_Review-g1028727-d12285502-Reviews-Ratchaburi_National_Museum-Ratchaburi_Ratchaburi_Province.html, friendlyName=เปิดแหล่งข้อมูล 2</x:v>
      </x:c>
      <x:c r="M432" s="20" t="str">
        <x:v>ผลค้นหาชื่อสัมพันธ์จากแหล่งเพิ่มเติม ต้องยืนยันสาขาและข้อมูลปัจจุบัน</x:v>
      </x:c>
      <x:c r="N432" s="10" t="n">
        <x:v>46315</x:v>
      </x:c>
      <x:c r="O432" s="22" t="str">
        <x:v>ยังไม่ตรวจ</x:v>
      </x:c>
      <x:c r="P432" s="22" t="str">
        <x:v>ยังไม่ติดต่อ</x:v>
      </x:c>
    </x:row>
    <x:row r="433" ht="66" customHeight="1">
      <x:c r="A433" s="9" t="n">
        <x:v>425</x:v>
      </x:c>
      <x:c r="B433" s="20" t="str">
        <x:v>พิพิธภัณฑ์หนังใหญ่วัดขนอน</x:v>
      </x:c>
      <x:c r="C433" s="20" t="str">
        <x:v>ราชบุรี</x:v>
      </x:c>
      <x:c r="D433" s="20" t="str">
        <x:v>พิพิธภัณฑ์ศิลปะการแสดง</x:v>
      </x:c>
      <x:c r="E433" s="20" t="str">
        <x:v>ททท. ระบุพิพิธภัณฑ์หนังใหญ่ เสนอเข้าชมด้านวัฒนธรรมโดยสมัครใจ ต้องตรวจสิ่งอำนวยความสะดวกมุสลิม</x:v>
      </x:c>
      <x:c r="F433" s="20" t="str">
        <x:v>ยังไม่พบข้อมูล</x:v>
      </x:c>
      <x:c r="G433" s="20" t="str">
        <x:v>ยังไม่พบเอกสารรับรองและวันหมดอายุ</x:v>
      </x:c>
      <x:c r="H433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33" s="20" t="str">
        <x:v>ดูรายละเอียดในแหล่งอ้างอิง</x:v>
      </x:c>
      <x:c r="J433" s="21" t="str">
        <x:v>ยังไม่พบข้อมูล</x:v>
      </x:c>
      <x:c r="K433" s="23" t="e">
        <x:f>HYPERLINK("https://thai.tourismthailand.org/Articles/10-ratchaburi","เปิดแหล่งข้อมูล 1")</x:f>
        <x:v>HYPERLINK is not implemented. linkLocation=https://thai.tourismthailand.org/Articles/10-ratchaburi, friendlyName=เปิดแหล่งข้อมูล 1</x:v>
      </x:c>
      <x:c r="L433" s="23" t="e">
        <x:f>HYPERLINK("https://th.trip.com/travel-guide/attraction/photharam/wat-khanon-nang-yai-museum-56038888?poiType=3&amp;scene=gsDestination","เปิดแหล่งข้อมูล 2")</x:f>
        <x:v>HYPERLINK is not implemented. linkLocation=https://th.trip.com/travel-guide/attraction/photharam/wat-khanon-nang-yai-museum-56038888?poiType=3&amp;scene=gsDestination, friendlyName=เปิดแหล่งข้อมูล 2</x:v>
      </x:c>
      <x:c r="M433" s="20" t="str">
        <x:v>ผลค้นหาชื่อสัมพันธ์จากแหล่งเพิ่มเติม ต้องยืนยันสาขาและข้อมูลปัจจุบัน</x:v>
      </x:c>
      <x:c r="N433" s="10" t="n">
        <x:v>46315</x:v>
      </x:c>
      <x:c r="O433" s="22" t="str">
        <x:v>ยังไม่ตรวจ</x:v>
      </x:c>
      <x:c r="P433" s="22" t="str">
        <x:v>ยังไม่ติดต่อ</x:v>
      </x:c>
    </x:row>
    <x:row r="434" ht="66" customHeight="1">
      <x:c r="A434" s="9" t="n">
        <x:v>426</x:v>
      </x:c>
      <x:c r="B434" s="20" t="str">
        <x:v>เขากาโรส</x:v>
      </x:c>
      <x:c r="C434" s="20" t="str">
        <x:v>กระบี่</x:v>
      </x:c>
      <x:c r="D434" s="20" t="str">
        <x:v>สวนสาธารณะหรือแหล่งธรรมชาติ</x:v>
      </x:c>
      <x:c r="E434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434" s="20" t="str">
        <x:v>ยังไม่พบข้อมูล</x:v>
      </x:c>
      <x:c r="G434" s="20" t="str">
        <x:v>ยังไม่พบเอกสารรับรองและวันหมดอายุ</x:v>
      </x:c>
      <x:c r="H43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34" s="20" t="str">
        <x:v>หมู่ 5 บ้านควนโอ ตำบลอ่าวลึกน้อย อำเภออ่าวลึก จังหวัดกระบี่ 81110</x:v>
      </x:c>
      <x:c r="J434" s="21" t="str">
        <x:v>075-622163</x:v>
      </x:c>
      <x:c r="K434" s="23" t="e">
        <x:f>HYPERLINK("https://www.thic.or.th/th/tourist/detail/tourist/19","เปิดแหล่งข้อมูล 1")</x:f>
        <x:v>HYPERLINK is not implemented. linkLocation=https://www.thic.or.th/th/tourist/detail/tourist/19, friendlyName=เปิดแหล่งข้อมูล 1</x:v>
      </x:c>
      <x:c r="L434" s="23" t="e">
        <x:f>HYPERLINK("https://www.tatnewsthai.org/articles-detail/31","เปิดแหล่งข้อมูล 2")</x:f>
        <x:v>HYPERLINK is not implemented. linkLocation=https://www.tatnewsthai.org/articles-detail/31, friendlyName=เปิดแหล่งข้อมูล 2</x:v>
      </x:c>
      <x:c r="M434" s="20" t="str">
        <x:v>ผลค้นหาชื่อสัมพันธ์จากแหล่งเพิ่มเติม ต้องยืนยันสาขาและข้อมูลปัจจุบัน</x:v>
      </x:c>
      <x:c r="N434" s="10" t="n">
        <x:v>46315</x:v>
      </x:c>
      <x:c r="O434" s="22" t="str">
        <x:v>ยังไม่ตรวจ</x:v>
      </x:c>
      <x:c r="P434" s="22" t="str">
        <x:v>ยังไม่ติดต่อ</x:v>
      </x:c>
    </x:row>
    <x:row r="435" ht="66" customHeight="1">
      <x:c r="A435" s="9" t="n">
        <x:v>427</x:v>
      </x:c>
      <x:c r="B435" s="20" t="str">
        <x:v>3Howw Hostel Sukhumvit 21</x:v>
      </x:c>
      <x:c r="C435" s="20" t="str">
        <x:v>กรุงเทพมหานคร</x:v>
      </x:c>
      <x:c r="D435" s="20" t="str">
        <x:v>โรงแรมหรือรีสอร์ท</x:v>
      </x:c>
      <x:c r="E43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35" s="20" t="str">
        <x:v>ยังไม่พบข้อมูล</x:v>
      </x:c>
      <x:c r="G435" s="20" t="str">
        <x:v>ยังไม่พบเอกสารรับรองและวันหมดอายุ</x:v>
      </x:c>
      <x:c r="H43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35" s="20" t="str">
        <x:v>32/9 ซอย สุขุมวิท 21 แขวงคลองเตยเหนือ เขตวัฒนา กรุงเทพมหานคร 10110 แขวงบางจาก เขตพระโขนง กรุงเทพมหานคร 10260</x:v>
      </x:c>
      <x:c r="J435" s="21" t="str">
        <x:v>ยังไม่พบข้อมูล</x:v>
      </x:c>
      <x:c r="K435" s="23" t="e">
        <x:f>HYPERLINK("https://www.thic.or.th/th/tourist/detail/accommodation/659","เปิดแหล่งข้อมูล 1")</x:f>
        <x:v>HYPERLINK is not implemented. linkLocation=https://www.thic.or.th/th/tourist/detail/accommodation/659, friendlyName=เปิดแหล่งข้อมูล 1</x:v>
      </x:c>
      <x:c r="L435" s="23" t="e">
        <x:f>HYPERLINK("https://www.google.co.th/travel/hotels/entity/ChoI1_-gztyPq8OEARoNL2cvMTFiYnJuODFqMhAB?g2lb=2502548%2C4258168%2C4260007%2C4274032%2C4305595%2C4306835%2C4317915%2C4328159%2C4330862%2C4364504%2C4366684%2C4371334%2C4381263%2C4386665%2C4395590%2C4397007%2C4398672%2C4401769%2C4403881%2C4270859%2C4284970%2C4316256&amp;gl=th&amp;gsas=1&amp;hl=en&amp;rp=OAHCAhwiGg0A6MVFEhMI0qvsrpHklgMVZdyfCR3qgQLi&amp;ts=CAEaIAoCGgASGhIUCgcI6g8QChgZEgcI6g8QChgeGAUyAhAAKgkKBToDVEhCGgA&amp;un=1","เปิดแหล่งข้อมูล 2")</x:f>
        <x:v>HYPERLINK is not implemented. linkLocation=https://www.google.co.th/travel/hotels/entity/ChoI1_-gztyPq8OEARoNL2cvMTFiYnJuODFqMhAB?g2lb=2502548%2C4258168%2C4260007%2C4274032%2C4305595%2C4306835%2C4317915%2C4328159%2C4330862%2C4364504%2C4366684%2C4371334%2C4381263%2C4386665%2C4395590%2C4397007%2C4398672%2C4401769%2C4403881%2C4270859%2C4284970%2C4316256&amp;gl=th&amp;gsas=1&amp;hl=en&amp;rp=OAHCAhwiGg0A6MVFEhMI0qvsrpHklgMVZdyfCR3qgQLi&amp;ts=CAEaIAoCGgASGhIUCgcI6g8QChgZEgcI6g8QChgeGAUyAhAAKgkKBToDVEhCGgA&amp;un=1, friendlyName=เปิดแหล่งข้อมูล 2</x:v>
      </x:c>
      <x:c r="M435" s="20" t="str">
        <x:v>ผลค้นหาชื่อสัมพันธ์จากแหล่งเพิ่มเติม ต้องยืนยันสาขาและข้อมูลปัจจุบัน</x:v>
      </x:c>
      <x:c r="N435" s="10" t="n">
        <x:v>46315</x:v>
      </x:c>
      <x:c r="O435" s="22" t="str">
        <x:v>ยังไม่ตรวจ</x:v>
      </x:c>
      <x:c r="P435" s="22" t="str">
        <x:v>ยังไม่ติดต่อ</x:v>
      </x:c>
    </x:row>
    <x:row r="436" ht="66" customHeight="1">
      <x:c r="A436" s="9" t="n">
        <x:v>428</x:v>
      </x:c>
      <x:c r="B436" s="20" t="str">
        <x:v>63 แบงค็อก โฮสเต็ล</x:v>
      </x:c>
      <x:c r="C436" s="20" t="str">
        <x:v>กรุงเทพมหานคร</x:v>
      </x:c>
      <x:c r="D436" s="20" t="str">
        <x:v>โรงแรมหรือรีสอร์ท</x:v>
      </x:c>
      <x:c r="E436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36" s="20" t="str">
        <x:v>ยังไม่พบข้อมูล</x:v>
      </x:c>
      <x:c r="G436" s="20" t="str">
        <x:v>ยังไม่พบเอกสารรับรองและวันหมดอายุ</x:v>
      </x:c>
      <x:c r="H43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36" s="20" t="str">
        <x:v>1323/2 ถนน สุขุมวิท แขวงพระโขนง เขตวัฒนา กรุงเทพฯ, สุขุมวิท, กรุงเทพ, ไทย, 10110 แขวงบางจาก เขตพระโขนง กรุงเทพมหานคร 10260</x:v>
      </x:c>
      <x:c r="J436" s="21" t="str">
        <x:v>ยังไม่พบข้อมูล</x:v>
      </x:c>
      <x:c r="K436" s="23" t="e">
        <x:f>HYPERLINK("https://www.thic.or.th/th/tourist/detail/accommodation/666","เปิดแหล่งข้อมูล 1")</x:f>
        <x:v>HYPERLINK is not implemented. linkLocation=https://www.thic.or.th/th/tourist/detail/accommodation/666, friendlyName=เปิดแหล่งข้อมูล 1</x:v>
      </x:c>
      <x:c r="L436" s="23" t="str"/>
      <x:c r="M436" s="20" t="str"/>
      <x:c r="N436" s="10" t="n">
        <x:v>46315</x:v>
      </x:c>
      <x:c r="O436" s="22" t="str">
        <x:v>ยังไม่ตรวจ</x:v>
      </x:c>
      <x:c r="P436" s="22" t="str">
        <x:v>ยังไม่ติดต่อ</x:v>
      </x:c>
    </x:row>
    <x:row r="437" ht="66" customHeight="1">
      <x:c r="A437" s="9" t="n">
        <x:v>429</x:v>
      </x:c>
      <x:c r="B437" s="20" t="str">
        <x:v>D&amp;D INN KHAOSAN</x:v>
      </x:c>
      <x:c r="C437" s="20" t="str">
        <x:v>กรุงเทพมหานคร</x:v>
      </x:c>
      <x:c r="D437" s="20" t="str">
        <x:v>โรงแรมหรือรีสอร์ท</x:v>
      </x:c>
      <x:c r="E43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37" s="20" t="str">
        <x:v>ยังไม่พบข้อมูล</x:v>
      </x:c>
      <x:c r="G437" s="20" t="str">
        <x:v>ยังไม่พบเอกสารรับรองและวันหมดอายุ</x:v>
      </x:c>
      <x:c r="H43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37" s="20" t="str">
        <x:v>68-70 ถ. ข้าวสาร แขวงตลาดยอด เขตพระนคร กรุงเทพมหานคร 10200 แขวงชนะสงคราม เขตพระนคร กรุงเทพมหานคร 10200</x:v>
      </x:c>
      <x:c r="J437" s="21" t="str">
        <x:v>ยังไม่พบข้อมูล</x:v>
      </x:c>
      <x:c r="K437" s="23" t="e">
        <x:f>HYPERLINK("https://www.thic.or.th/th/tourist/detail/accommodation/694","เปิดแหล่งข้อมูล 1")</x:f>
        <x:v>HYPERLINK is not implemented. linkLocation=https://www.thic.or.th/th/tourist/detail/accommodation/694, friendlyName=เปิดแหล่งข้อมูล 1</x:v>
      </x:c>
      <x:c r="L437" s="23" t="e">
        <x:f>HYPERLINK("https://wanderlog.com/th/place/details/1074862/dd-inn-khaosan","เปิดแหล่งข้อมูล 2")</x:f>
        <x:v>HYPERLINK is not implemented. linkLocation=https://wanderlog.com/th/place/details/1074862/dd-inn-khaosan, friendlyName=เปิดแหล่งข้อมูล 2</x:v>
      </x:c>
      <x:c r="M437" s="20" t="str">
        <x:v>ผลค้นหาชื่อสัมพันธ์จากแหล่งเพิ่มเติม ต้องยืนยันสาขาและข้อมูลปัจจุบัน</x:v>
      </x:c>
      <x:c r="N437" s="10" t="n">
        <x:v>46315</x:v>
      </x:c>
      <x:c r="O437" s="22" t="str">
        <x:v>ยังไม่ตรวจ</x:v>
      </x:c>
      <x:c r="P437" s="22" t="str">
        <x:v>ยังไม่ติดต่อ</x:v>
      </x:c>
    </x:row>
    <x:row r="438" ht="66" customHeight="1">
      <x:c r="A438" s="9" t="n">
        <x:v>430</x:v>
      </x:c>
      <x:c r="B438" s="20" t="str">
        <x:v>DT Hotel Pratunam (Dream Town Hotel)</x:v>
      </x:c>
      <x:c r="C438" s="20" t="str">
        <x:v>กรุงเทพมหานคร</x:v>
      </x:c>
      <x:c r="D438" s="20" t="str">
        <x:v>โรงแรมหรือรีสอร์ท</x:v>
      </x:c>
      <x:c r="E43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38" s="20" t="str">
        <x:v>ยังไม่พบข้อมูล</x:v>
      </x:c>
      <x:c r="G438" s="20" t="str">
        <x:v>ยังไม่พบเอกสารรับรองและวันหมดอายุ</x:v>
      </x:c>
      <x:c r="H43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38" s="20" t="str">
        <x:v>33 ซอย เพชรบุรี 11 แขวงถนนพญาไท เขตราชเทวี กรุงเทพมหานคร 10400 แขวงรองเมือง เขตปทุมวัน กรุงเทพมหานคร 10330</x:v>
      </x:c>
      <x:c r="J438" s="21" t="str">
        <x:v>ยังไม่พบข้อมูล</x:v>
      </x:c>
      <x:c r="K438" s="23" t="e">
        <x:f>HYPERLINK("https://www.thic.or.th/th/tourist/detail/accommodation/736","เปิดแหล่งข้อมูล 1")</x:f>
        <x:v>HYPERLINK is not implemented. linkLocation=https://www.thic.or.th/th/tourist/detail/accommodation/736, friendlyName=เปิดแหล่งข้อมูล 1</x:v>
      </x:c>
      <x:c r="L438" s="23" t="e">
        <x:f>HYPERLINK("https://th.trip.com/hotels/bangkok-hotel-detail-701485/dt-hotel-pratunam/review.html","เปิดแหล่งข้อมูล 2")</x:f>
        <x:v>HYPERLINK is not implemented. linkLocation=https://th.trip.com/hotels/bangkok-hotel-detail-701485/dt-hotel-pratunam/review.html, friendlyName=เปิดแหล่งข้อมูล 2</x:v>
      </x:c>
      <x:c r="M438" s="20" t="str">
        <x:v>ผลค้นหาชื่อสัมพันธ์จากแหล่งเพิ่มเติม ต้องยืนยันสาขาและข้อมูลปัจจุบัน</x:v>
      </x:c>
      <x:c r="N438" s="10" t="n">
        <x:v>46315</x:v>
      </x:c>
      <x:c r="O438" s="22" t="str">
        <x:v>ยังไม่ตรวจ</x:v>
      </x:c>
      <x:c r="P438" s="22" t="str">
        <x:v>ยังไม่ติดต่อ</x:v>
      </x:c>
    </x:row>
    <x:row r="439" ht="66" customHeight="1">
      <x:c r="A439" s="9" t="n">
        <x:v>431</x:v>
      </x:c>
      <x:c r="B439" s="20" t="str">
        <x:v>GATEWAY HOTEL PRATUNAM</x:v>
      </x:c>
      <x:c r="C439" s="20" t="str">
        <x:v>กรุงเทพมหานคร</x:v>
      </x:c>
      <x:c r="D439" s="20" t="str">
        <x:v>โรงแรมหรือรีสอร์ท</x:v>
      </x:c>
      <x:c r="E43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39" s="20" t="str">
        <x:v>ยังไม่พบข้อมูล</x:v>
      </x:c>
      <x:c r="G439" s="20" t="str">
        <x:v>ยังไม่พบเอกสารรับรองและวันหมดอายุ</x:v>
      </x:c>
      <x:c r="H439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39" s="20" t="str">
        <x:v>122/63 ถ. ราชปรารภ แขวงถนนพญาไท เขตราชเทวี กรุงเทพมหานคร 10400 แขวงรองเมือง เขตปทุมวัน กรุงเทพมหานคร 10330</x:v>
      </x:c>
      <x:c r="J439" s="21" t="str">
        <x:v>ยังไม่พบข้อมูล</x:v>
      </x:c>
      <x:c r="K439" s="23" t="e">
        <x:f>HYPERLINK("https://www.thic.or.th/th/tourist/detail/accommodation/741","เปิดแหล่งข้อมูล 1")</x:f>
        <x:v>HYPERLINK is not implemented. linkLocation=https://www.thic.or.th/th/tourist/detail/accommodation/741, friendlyName=เปิดแหล่งข้อมูล 1</x:v>
      </x:c>
      <x:c r="L439" s="23" t="e">
        <x:f>HYPERLINK("https://www.booking.com/hotel/th/gateway.th.html","เปิดแหล่งข้อมูล 2")</x:f>
        <x:v>HYPERLINK is not implemented. linkLocation=https://www.booking.com/hotel/th/gateway.th.html, friendlyName=เปิดแหล่งข้อมูล 2</x:v>
      </x:c>
      <x:c r="M439" s="20" t="str">
        <x:v>ผลค้นหาชื่อสัมพันธ์จากแหล่งเพิ่มเติม ต้องยืนยันสาขาและข้อมูลปัจจุบัน</x:v>
      </x:c>
      <x:c r="N439" s="10" t="n">
        <x:v>46315</x:v>
      </x:c>
      <x:c r="O439" s="22" t="str">
        <x:v>ยังไม่ตรวจ</x:v>
      </x:c>
      <x:c r="P439" s="22" t="str">
        <x:v>ยังไม่ติดต่อ</x:v>
      </x:c>
    </x:row>
    <x:row r="440" ht="66" customHeight="1">
      <x:c r="A440" s="9" t="n">
        <x:v>432</x:v>
      </x:c>
      <x:c r="B440" s="20" t="str">
        <x:v>GO INN Khaosan Road</x:v>
      </x:c>
      <x:c r="C440" s="20" t="str">
        <x:v>กรุงเทพมหานคร</x:v>
      </x:c>
      <x:c r="D440" s="20" t="str">
        <x:v>โรงแรมหรือรีสอร์ท</x:v>
      </x:c>
      <x:c r="E44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40" s="20" t="str">
        <x:v>ยังไม่พบข้อมูล</x:v>
      </x:c>
      <x:c r="G440" s="20" t="str">
        <x:v>ยังไม่พบเอกสารรับรองและวันหมดอายุ</x:v>
      </x:c>
      <x:c r="H44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40" s="20" t="str">
        <x:v>143 ถ. จักรพงษ์ แขวงชนะสงคราม เขตพระนคร กรุงเทพมหานคร 10200 แขวงชนะสงคราม เขตพระนคร กรุงเทพมหานคร 10200</x:v>
      </x:c>
      <x:c r="J440" s="21" t="str">
        <x:v>ยังไม่พบข้อมูล</x:v>
      </x:c>
      <x:c r="K440" s="23" t="e">
        <x:f>HYPERLINK("https://www.thic.or.th/th/tourist/detail/accommodation/699","เปิดแหล่งข้อมูล 1")</x:f>
        <x:v>HYPERLINK is not implemented. linkLocation=https://www.thic.or.th/th/tourist/detail/accommodation/699, friendlyName=เปิดแหล่งข้อมูล 1</x:v>
      </x:c>
      <x:c r="L440" s="23" t="e">
        <x:f>HYPERLINK("https://www.booking.com/reviews/th/hotel/go-inn-khaosan-road.th.html","เปิดแหล่งข้อมูล 2")</x:f>
        <x:v>HYPERLINK is not implemented. linkLocation=https://www.booking.com/reviews/th/hotel/go-inn-khaosan-road.th.html, friendlyName=เปิดแหล่งข้อมูล 2</x:v>
      </x:c>
      <x:c r="M440" s="20" t="str">
        <x:v>ผลค้นหาชื่อสัมพันธ์จากแหล่งเพิ่มเติม ต้องยืนยันสาขาและข้อมูลปัจจุบัน</x:v>
      </x:c>
      <x:c r="N440" s="10" t="n">
        <x:v>46315</x:v>
      </x:c>
      <x:c r="O440" s="22" t="str">
        <x:v>ยังไม่ตรวจ</x:v>
      </x:c>
      <x:c r="P440" s="22" t="str">
        <x:v>ยังไม่ติดต่อ</x:v>
      </x:c>
    </x:row>
    <x:row r="441" ht="66" customHeight="1">
      <x:c r="A441" s="9" t="n">
        <x:v>433</x:v>
      </x:c>
      <x:c r="B441" s="20" t="str">
        <x:v>Golden Inn Bangkok</x:v>
      </x:c>
      <x:c r="C441" s="20" t="str">
        <x:v>กรุงเทพมหานคร</x:v>
      </x:c>
      <x:c r="D441" s="20" t="str">
        <x:v>โรงแรมหรือรีสอร์ท</x:v>
      </x:c>
      <x:c r="E44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41" s="20" t="str">
        <x:v>ยังไม่พบข้อมูล</x:v>
      </x:c>
      <x:c r="G441" s="20" t="str">
        <x:v>ยังไม่พบเอกสารรับรองและวันหมดอายุ</x:v>
      </x:c>
      <x:c r="H44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41" s="20" t="str">
        <x:v>463/3 ซอยวัฒนวงศ์ ถนนราชปรารภ แขวงมักกะสัน เขตราชเทวี กรุงเทพมหานคร 10400 แขวงรองเมือง เขตปทุมวัน กรุงเทพมหานคร 10330</x:v>
      </x:c>
      <x:c r="J441" s="21" t="str">
        <x:v>ยังไม่พบข้อมูล</x:v>
      </x:c>
      <x:c r="K441" s="23" t="e">
        <x:f>HYPERLINK("https://www.thic.or.th/th/tourist/detail/accommodation/739","เปิดแหล่งข้อมูล 1")</x:f>
        <x:v>HYPERLINK is not implemented. linkLocation=https://www.thic.or.th/th/tourist/detail/accommodation/739, friendlyName=เปิดแหล่งข้อมูล 1</x:v>
      </x:c>
      <x:c r="L441" s="23" t="e">
        <x:f>HYPERLINK("https://wanderlog.com/id/place/details/3981549/golden-inn","เปิดแหล่งข้อมูล 2")</x:f>
        <x:v>HYPERLINK is not implemented. linkLocation=https://wanderlog.com/id/place/details/3981549/golden-inn, friendlyName=เปิดแหล่งข้อมูล 2</x:v>
      </x:c>
      <x:c r="M441" s="20" t="str">
        <x:v>ผลค้นหาชื่อสัมพันธ์จากแหล่งเพิ่มเติม ต้องยืนยันสาขาและข้อมูลปัจจุบัน</x:v>
      </x:c>
      <x:c r="N441" s="10" t="n">
        <x:v>46315</x:v>
      </x:c>
      <x:c r="O441" s="22" t="str">
        <x:v>ยังไม่ตรวจ</x:v>
      </x:c>
      <x:c r="P441" s="22" t="str">
        <x:v>ยังไม่ติดต่อ</x:v>
      </x:c>
    </x:row>
    <x:row r="442" ht="66" customHeight="1">
      <x:c r="A442" s="9" t="n">
        <x:v>434</x:v>
      </x:c>
      <x:c r="B442" s="20" t="str">
        <x:v>KC Place Hotel</x:v>
      </x:c>
      <x:c r="C442" s="20" t="str">
        <x:v>กรุงเทพมหานคร</x:v>
      </x:c>
      <x:c r="D442" s="20" t="str">
        <x:v>โรงแรมหรือรีสอร์ท</x:v>
      </x:c>
      <x:c r="E442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42" s="20" t="str">
        <x:v>ยังไม่พบข้อมูล</x:v>
      </x:c>
      <x:c r="G442" s="20" t="str">
        <x:v>ยังไม่พบเอกสารรับรองและวันหมดอายุ</x:v>
      </x:c>
      <x:c r="H44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42" s="20" t="str">
        <x:v>178 35 ถ. ราชปรารภ แขวงถนนพญาไท เขตราชเทวี กรุงเทพมหานคร 10400 แขวงรองเมือง เขตปทุมวัน กรุงเทพมหานคร 10330</x:v>
      </x:c>
      <x:c r="J442" s="21" t="str">
        <x:v>ยังไม่พบข้อมูล</x:v>
      </x:c>
      <x:c r="K442" s="23" t="e">
        <x:f>HYPERLINK("https://www.thic.or.th/th/tourist/detail/accommodation/738","เปิดแหล่งข้อมูล 1")</x:f>
        <x:v>HYPERLINK is not implemented. linkLocation=https://www.thic.or.th/th/tourist/detail/accommodation/738, friendlyName=เปิดแหล่งข้อมูล 1</x:v>
      </x:c>
      <x:c r="L442" s="23" t="e">
        <x:f>HYPERLINK("https://www.booking.com/hotel/th/kc-place.th.html","เปิดแหล่งข้อมูล 2")</x:f>
        <x:v>HYPERLINK is not implemented. linkLocation=https://www.booking.com/hotel/th/kc-place.th.html, friendlyName=เปิดแหล่งข้อมูล 2</x:v>
      </x:c>
      <x:c r="M442" s="20" t="str">
        <x:v>ผลค้นหาชื่อสัมพันธ์จากแหล่งเพิ่มเติม ต้องยืนยันสาขาและข้อมูลปัจจุบัน</x:v>
      </x:c>
      <x:c r="N442" s="10" t="n">
        <x:v>46315</x:v>
      </x:c>
      <x:c r="O442" s="22" t="str">
        <x:v>ยังไม่ตรวจ</x:v>
      </x:c>
      <x:c r="P442" s="22" t="str">
        <x:v>ยังไม่ติดต่อ</x:v>
      </x:c>
    </x:row>
    <x:row r="443" ht="66" customHeight="1">
      <x:c r="A443" s="9" t="n">
        <x:v>435</x:v>
      </x:c>
      <x:c r="B443" s="20" t="str">
        <x:v>Khaosan Palace Hotel</x:v>
      </x:c>
      <x:c r="C443" s="20" t="str">
        <x:v>กรุงเทพมหานคร</x:v>
      </x:c>
      <x:c r="D443" s="20" t="str">
        <x:v>โรงแรมหรือรีสอร์ท</x:v>
      </x:c>
      <x:c r="E443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43" s="20" t="str">
        <x:v>ยังไม่พบข้อมูล</x:v>
      </x:c>
      <x:c r="G443" s="20" t="str">
        <x:v>ยังไม่พบเอกสารรับรองและวันหมดอายุ</x:v>
      </x:c>
      <x:c r="H44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43" s="20" t="str">
        <x:v>139 ถ. ข้าวสาร แขวงตลาดยอด เขตพระนคร กรุงเทพมหานคร 10200 แขวงชนะสงคราม เขตพระนคร กรุงเทพมหานคร 10200</x:v>
      </x:c>
      <x:c r="J443" s="21" t="str">
        <x:v>ยังไม่พบข้อมูล</x:v>
      </x:c>
      <x:c r="K443" s="23" t="e">
        <x:f>HYPERLINK("https://www.thic.or.th/th/tourist/detail/accommodation/692","เปิดแหล่งข้อมูล 1")</x:f>
        <x:v>HYPERLINK is not implemented. linkLocation=https://www.thic.or.th/th/tourist/detail/accommodation/692, friendlyName=เปิดแหล่งข้อมูล 1</x:v>
      </x:c>
      <x:c r="L443" s="23" t="e">
        <x:f>HYPERLINK("https://www.tripadvisor.com/Hotel_Review-g293916-d2194606-Reviews-Khaosan_Palace_Hotel-Bangkok.html","เปิดแหล่งข้อมูล 2")</x:f>
        <x:v>HYPERLINK is not implemented. linkLocation=https://www.tripadvisor.com/Hotel_Review-g293916-d2194606-Reviews-Khaosan_Palace_Hotel-Bangkok.html, friendlyName=เปิดแหล่งข้อมูล 2</x:v>
      </x:c>
      <x:c r="M443" s="20" t="str">
        <x:v>ผลค้นหาชื่อสัมพันธ์จากแหล่งเพิ่มเติม ต้องยืนยันสาขาและข้อมูลปัจจุบัน</x:v>
      </x:c>
      <x:c r="N443" s="10" t="n">
        <x:v>46315</x:v>
      </x:c>
      <x:c r="O443" s="22" t="str">
        <x:v>ยังไม่ตรวจ</x:v>
      </x:c>
      <x:c r="P443" s="22" t="str">
        <x:v>ยังไม่ติดต่อ</x:v>
      </x:c>
    </x:row>
    <x:row r="444" ht="66" customHeight="1">
      <x:c r="A444" s="9" t="n">
        <x:v>436</x:v>
      </x:c>
      <x:c r="B444" s="20" t="str">
        <x:v>Luck Hotel Huai Khwang MRT Ratchada</x:v>
      </x:c>
      <x:c r="C444" s="20" t="str">
        <x:v>กรุงเทพมหานคร</x:v>
      </x:c>
      <x:c r="D444" s="20" t="str">
        <x:v>โรงแรมหรือรีสอร์ท</x:v>
      </x:c>
      <x:c r="E44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44" s="20" t="str">
        <x:v>ยังไม่พบข้อมูล</x:v>
      </x:c>
      <x:c r="G444" s="20" t="str">
        <x:v>ยังไม่พบเอกสารรับรองและวันหมดอายุ</x:v>
      </x:c>
      <x:c r="H44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44" s="20" t="str">
        <x:v>276 ถนนเทียมร่วมมิตร แขวงสามเสนนอก เขตห้วยขวาง กรุงเทพมหานค แขวงห้วยขวาง เขตห้วยขวาง กรุงเทพมหานคร 10310</x:v>
      </x:c>
      <x:c r="J444" s="21" t="str">
        <x:v>ยังไม่พบข้อมูล</x:v>
      </x:c>
      <x:c r="K444" s="23" t="e">
        <x:f>HYPERLINK("https://www.thic.or.th/th/tourist/detail/accommodation/713","เปิดแหล่งข้อมูล 1")</x:f>
        <x:v>HYPERLINK is not implemented. linkLocation=https://www.thic.or.th/th/tourist/detail/accommodation/713, friendlyName=เปิดแหล่งข้อมูล 1</x:v>
      </x:c>
      <x:c r="L444" s="23" t="e">
        <x:f>HYPERLINK("https://www.google.co.th/travel/hotels/entity/ChoIlpzGw6n9q8rYARoNL2cvMTF5bHFkMHJ4MxAB","เปิดแหล่งข้อมูล 2")</x:f>
        <x:v>HYPERLINK is not implemented. linkLocation=https://www.google.co.th/travel/hotels/entity/ChoIlpzGw6n9q8rYARoNL2cvMTF5bHFkMHJ4MxAB, friendlyName=เปิดแหล่งข้อมูล 2</x:v>
      </x:c>
      <x:c r="M444" s="20" t="str">
        <x:v>ผลค้นหาชื่อสัมพันธ์จากแหล่งเพิ่มเติม ต้องยืนยันสาขาและข้อมูลปัจจุบัน</x:v>
      </x:c>
      <x:c r="N444" s="10" t="n">
        <x:v>46315</x:v>
      </x:c>
      <x:c r="O444" s="22" t="str">
        <x:v>ยังไม่ตรวจ</x:v>
      </x:c>
      <x:c r="P444" s="22" t="str">
        <x:v>ยังไม่ติดต่อ</x:v>
      </x:c>
    </x:row>
    <x:row r="445" ht="66" customHeight="1">
      <x:c r="A445" s="9" t="n">
        <x:v>437</x:v>
      </x:c>
      <x:c r="B445" s="20" t="str">
        <x:v>Mode Sathorn Hotel Bangkok</x:v>
      </x:c>
      <x:c r="C445" s="20" t="str">
        <x:v>กรุงเทพมหานคร</x:v>
      </x:c>
      <x:c r="D445" s="20" t="str">
        <x:v>โรงแรมหรือรีสอร์ท</x:v>
      </x:c>
      <x:c r="E44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45" s="20" t="str">
        <x:v>ยังไม่พบข้อมูล</x:v>
      </x:c>
      <x:c r="G445" s="20" t="str">
        <x:v>ยังไม่พบเอกสารรับรองและวันหมดอายุ</x:v>
      </x:c>
      <x:c r="H44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45" s="20" t="str">
        <x:v>144 ถ. สาทรเหนือ แขวงสีลม เขตบางรัก กรุงเทพมหานคร 10500 แขวงสีลม เขตบางรัก กรุงเทพมหานคร 10500</x:v>
      </x:c>
      <x:c r="J445" s="21" t="str">
        <x:v>ยังไม่พบข้อมูล</x:v>
      </x:c>
      <x:c r="K445" s="23" t="e">
        <x:f>HYPERLINK("https://www.thic.or.th/th/tourist/detail/accommodation/679","เปิดแหล่งข้อมูล 1")</x:f>
        <x:v>HYPERLINK is not implemented. linkLocation=https://www.thic.or.th/th/tourist/detail/accommodation/679, friendlyName=เปิดแหล่งข้อมูล 1</x:v>
      </x:c>
      <x:c r="L445" s="23" t="e">
        <x:f>HYPERLINK("https://www.google.co.th/travel/hotels/entity/ChkIprvootb9vrUhGg0vZy8xMWwyM3B4Yms4EAE?gl=th&amp;hl=en&amp;rp=OAHCAhwiGg0AgKhEEhMIhNmggbHklgMVlyI1Bx2aKiVB&amp;ts=CAEaIAoCGgASGhIUCgcI6g8QCRgUEgcI6g8QCRgVGAEyAhAAKgkKBToDVEhCGgA","เปิดแหล่งข้อมูล 2")</x:f>
        <x:v>HYPERLINK is not implemented. linkLocation=https://www.google.co.th/travel/hotels/entity/ChkIprvootb9vrUhGg0vZy8xMWwyM3B4Yms4EAE?gl=th&amp;hl=en&amp;rp=OAHCAhwiGg0AgKhEEhMIhNmggbHklgMVlyI1Bx2aKiVB&amp;ts=CAEaIAoCGgASGhIUCgcI6g8QCRgUEgcI6g8QCRgVGAEyAhAAKgkKBToDVEhCGgA, friendlyName=เปิดแหล่งข้อมูล 2</x:v>
      </x:c>
      <x:c r="M445" s="20" t="str">
        <x:v>ผลค้นหาชื่อสัมพันธ์จากแหล่งเพิ่มเติม ต้องยืนยันสาขาและข้อมูลปัจจุบัน</x:v>
      </x:c>
      <x:c r="N445" s="10" t="n">
        <x:v>46315</x:v>
      </x:c>
      <x:c r="O445" s="22" t="str">
        <x:v>ยังไม่ตรวจ</x:v>
      </x:c>
      <x:c r="P445" s="22" t="str">
        <x:v>ยังไม่ติดต่อ</x:v>
      </x:c>
    </x:row>
    <x:row r="446" ht="66" customHeight="1">
      <x:c r="A446" s="9" t="n">
        <x:v>438</x:v>
      </x:c>
      <x:c r="B446" s="20" t="str">
        <x:v>My Hotel Ratchada CMYK</x:v>
      </x:c>
      <x:c r="C446" s="20" t="str">
        <x:v>กรุงเทพมหานคร</x:v>
      </x:c>
      <x:c r="D446" s="20" t="str">
        <x:v>โรงแรมหรือรีสอร์ท</x:v>
      </x:c>
      <x:c r="E446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46" s="20" t="str">
        <x:v>ยังไม่พบข้อมูล</x:v>
      </x:c>
      <x:c r="G446" s="20" t="str">
        <x:v>ยังไม่พบเอกสารรับรองและวันหมดอายุ</x:v>
      </x:c>
      <x:c r="H44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46" s="20" t="str">
        <x:v>225, ซอย ประชาราษฎร์บำเพ็ญ 5 แขวงห้วยขวาง เขตห้วยขวาง กรุงเทพมหานคร 10310 แขวงห้วยขวาง เขตห้วยขวาง กรุงเทพมหานคร 10310</x:v>
      </x:c>
      <x:c r="J446" s="21" t="str">
        <x:v>ยังไม่พบข้อมูล</x:v>
      </x:c>
      <x:c r="K446" s="23" t="e">
        <x:f>HYPERLINK("https://www.thic.or.th/th/tourist/detail/accommodation/721","เปิดแหล่งข้อมูล 1")</x:f>
        <x:v>HYPERLINK is not implemented. linkLocation=https://www.thic.or.th/th/tourist/detail/accommodation/721, friendlyName=เปิดแหล่งข้อมูล 1</x:v>
      </x:c>
      <x:c r="L446" s="23" t="e">
        <x:f>HYPERLINK("https://www.google.co.th/travel/hotels/entity/CgsI27KVhqi8kZX1ARAB","เปิดแหล่งข้อมูล 2")</x:f>
        <x:v>HYPERLINK is not implemented. linkLocation=https://www.google.co.th/travel/hotels/entity/CgsI27KVhqi8kZX1ARAB, friendlyName=เปิดแหล่งข้อมูล 2</x:v>
      </x:c>
      <x:c r="M446" s="20" t="str">
        <x:v>ผลค้นหาชื่อสัมพันธ์จากแหล่งเพิ่มเติม ต้องยืนยันสาขาและข้อมูลปัจจุบัน</x:v>
      </x:c>
      <x:c r="N446" s="10" t="n">
        <x:v>46315</x:v>
      </x:c>
      <x:c r="O446" s="22" t="str">
        <x:v>ยังไม่ตรวจ</x:v>
      </x:c>
      <x:c r="P446" s="22" t="str">
        <x:v>ยังไม่ติดต่อ</x:v>
      </x:c>
    </x:row>
    <x:row r="447" ht="66" customHeight="1">
      <x:c r="A447" s="9" t="n">
        <x:v>439</x:v>
      </x:c>
      <x:c r="B447" s="20" t="str">
        <x:v>My Hotel ประตูน้ำ</x:v>
      </x:c>
      <x:c r="C447" s="20" t="str">
        <x:v>กรุงเทพมหานคร</x:v>
      </x:c>
      <x:c r="D447" s="20" t="str">
        <x:v>โรงแรมหรือรีสอร์ท</x:v>
      </x:c>
      <x:c r="E44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47" s="20" t="str">
        <x:v>ยังไม่พบข้อมูล</x:v>
      </x:c>
      <x:c r="G447" s="20" t="str">
        <x:v>ยังไม่พบเอกสารรับรองและวันหมดอายุ</x:v>
      </x:c>
      <x:c r="H44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47" s="20" t="str">
        <x:v>70 2 ซ. เพชรบุรี 15 แขวงถนนพญาไท เขตราชเทวี กรุงเทพมหานคร 10400 แขวงรองเมือง เขตปทุมวัน กรุงเทพมหานคร 10330</x:v>
      </x:c>
      <x:c r="J447" s="21" t="str">
        <x:v>ยังไม่พบข้อมูล</x:v>
      </x:c>
      <x:c r="K447" s="23" t="e">
        <x:f>HYPERLINK("https://www.thic.or.th/th/tourist/detail/accommodation/726","เปิดแหล่งข้อมูล 1")</x:f>
        <x:v>HYPERLINK is not implemented. linkLocation=https://www.thic.or.th/th/tourist/detail/accommodation/726, friendlyName=เปิดแหล่งข้อมูล 1</x:v>
      </x:c>
      <x:c r="L447" s="23" t="e">
        <x:f>HYPERLINK("https://www.google.co.th/travel/hotels/entity/ChkIlZaEsKb8wfCpARoML2cvMTF4Z2t4cWY2EAE?rp=OAHCAhwiGg0AADBCEhMI4rD9q7zHlQMVofNLAx380BZ2&amp;ts=CAEaBAoCGgAqBAoAGgA","เปิดแหล่งข้อมูล 2")</x:f>
        <x:v>HYPERLINK is not implemented. linkLocation=https://www.google.co.th/travel/hotels/entity/ChkIlZaEsKb8wfCpARoML2cvMTF4Z2t4cWY2EAE?rp=OAHCAhwiGg0AADBCEhMI4rD9q7zHlQMVofNLAx380BZ2&amp;ts=CAEaBAoCGgAqBAoAGgA, friendlyName=เปิดแหล่งข้อมูล 2</x:v>
      </x:c>
      <x:c r="M447" s="20" t="str">
        <x:v>ผลค้นหาชื่อสัมพันธ์จากแหล่งเพิ่มเติม ต้องยืนยันสาขาและข้อมูลปัจจุบัน</x:v>
      </x:c>
      <x:c r="N447" s="10" t="n">
        <x:v>46315</x:v>
      </x:c>
      <x:c r="O447" s="22" t="str">
        <x:v>ยังไม่ตรวจ</x:v>
      </x:c>
      <x:c r="P447" s="22" t="str">
        <x:v>ยังไม่ติดต่อ</x:v>
      </x:c>
    </x:row>
    <x:row r="448" ht="66" customHeight="1">
      <x:c r="A448" s="9" t="n">
        <x:v>440</x:v>
      </x:c>
      <x:c r="B448" s="20" t="str">
        <x:v>Pratunam City Inn Hotel</x:v>
      </x:c>
      <x:c r="C448" s="20" t="str">
        <x:v>กรุงเทพมหานคร</x:v>
      </x:c>
      <x:c r="D448" s="20" t="str">
        <x:v>โรงแรมหรือรีสอร์ท</x:v>
      </x:c>
      <x:c r="E44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48" s="20" t="str">
        <x:v>ยังไม่พบข้อมูล</x:v>
      </x:c>
      <x:c r="G448" s="20" t="str">
        <x:v>ยังไม่พบเอกสารรับรองและวันหมดอายุ</x:v>
      </x:c>
      <x:c r="H44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48" s="20" t="str">
        <x:v>1091/209 Phetchaburi 33 Road แขวงถนนเพชรบุรี เขตราชเทวี กรุงเทพมหานคร 10400 แขวงรองเมือง เขตปทุมวัน กรุงเทพมหานคร 10330</x:v>
      </x:c>
      <x:c r="J448" s="21" t="str">
        <x:v>ยังไม่พบข้อมูล</x:v>
      </x:c>
      <x:c r="K448" s="23" t="e">
        <x:f>HYPERLINK("https://www.thic.or.th/th/tourist/detail/accommodation/728","เปิดแหล่งข้อมูล 1")</x:f>
        <x:v>HYPERLINK is not implemented. linkLocation=https://www.thic.or.th/th/tourist/detail/accommodation/728, friendlyName=เปิดแหล่งข้อมูล 1</x:v>
      </x:c>
      <x:c r="L448" s="23" t="e">
        <x:f>HYPERLINK("https://www.google.com/travel/hotels/entity/ChgIzq-zj66VtdiLARoLL2cvMXR4MTJ0cW0QAQ","เปิดแหล่งข้อมูล 2")</x:f>
        <x:v>HYPERLINK is not implemented. linkLocation=https://www.google.com/travel/hotels/entity/ChgIzq-zj66VtdiLARoLL2cvMXR4MTJ0cW0QAQ, friendlyName=เปิดแหล่งข้อมูล 2</x:v>
      </x:c>
      <x:c r="M448" s="20" t="str">
        <x:v>ผลค้นหาชื่อสัมพันธ์จากแหล่งเพิ่มเติม ต้องยืนยันสาขาและข้อมูลปัจจุบัน</x:v>
      </x:c>
      <x:c r="N448" s="10" t="n">
        <x:v>46315</x:v>
      </x:c>
      <x:c r="O448" s="22" t="str">
        <x:v>ยังไม่ตรวจ</x:v>
      </x:c>
      <x:c r="P448" s="22" t="str">
        <x:v>ยังไม่ติดต่อ</x:v>
      </x:c>
    </x:row>
    <x:row r="449" ht="66" customHeight="1">
      <x:c r="A449" s="9" t="n">
        <x:v>441</x:v>
      </x:c>
      <x:c r="B449" s="20" t="str">
        <x:v>Public House Sukhumvit 31 Hotel</x:v>
      </x:c>
      <x:c r="C449" s="20" t="str">
        <x:v>กรุงเทพมหานคร</x:v>
      </x:c>
      <x:c r="D449" s="20" t="str">
        <x:v>โรงแรมหรือรีสอร์ท</x:v>
      </x:c>
      <x:c r="E44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49" s="20" t="str">
        <x:v>ยังไม่พบข้อมูล</x:v>
      </x:c>
      <x:c r="G449" s="20" t="str">
        <x:v>ยังไม่พบเอกสารรับรองและวันหมดอายุ</x:v>
      </x:c>
      <x:c r="H449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49" s="20" t="str">
        <x:v>249 สุขุมวิท 31 แขวงคลองตันเหนือ เขตวัฒนา กรุงเทพมหานคร 10110 แขวงบางจาก เขตพระโขนง กรุงเทพมหานคร 10260</x:v>
      </x:c>
      <x:c r="J449" s="21" t="str">
        <x:v>ยังไม่พบข้อมูล</x:v>
      </x:c>
      <x:c r="K449" s="23" t="e">
        <x:f>HYPERLINK("https://www.thic.or.th/th/tourist/detail/accommodation/657","เปิดแหล่งข้อมูล 1")</x:f>
        <x:v>HYPERLINK is not implemented. linkLocation=https://www.thic.or.th/th/tourist/detail/accommodation/657, friendlyName=เปิดแหล่งข้อมูล 1</x:v>
      </x:c>
      <x:c r="L449" s="23" t="e">
        <x:f>HYPERLINK("https://www.google.co.th/travel/hotels/entity/ChoI3bTwoqW6lu3sARoNL2cvMTF0NXN4NGx6MBAB","เปิดแหล่งข้อมูล 2")</x:f>
        <x:v>HYPERLINK is not implemented. linkLocation=https://www.google.co.th/travel/hotels/entity/ChoI3bTwoqW6lu3sARoNL2cvMTF0NXN4NGx6MBAB, friendlyName=เปิดแหล่งข้อมูล 2</x:v>
      </x:c>
      <x:c r="M449" s="20" t="str">
        <x:v>ผลค้นหาชื่อสัมพันธ์จากแหล่งเพิ่มเติม ต้องยืนยันสาขาและข้อมูลปัจจุบัน</x:v>
      </x:c>
      <x:c r="N449" s="10" t="n">
        <x:v>46315</x:v>
      </x:c>
      <x:c r="O449" s="22" t="str">
        <x:v>ยังไม่ตรวจ</x:v>
      </x:c>
      <x:c r="P449" s="22" t="str">
        <x:v>ยังไม่ติดต่อ</x:v>
      </x:c>
    </x:row>
    <x:row r="450" ht="66" customHeight="1">
      <x:c r="A450" s="9" t="n">
        <x:v>442</x:v>
      </x:c>
      <x:c r="B450" s="20" t="str">
        <x:v>RoomQuest Bangkok Sukhumvit 50</x:v>
      </x:c>
      <x:c r="C450" s="20" t="str">
        <x:v>กรุงเทพมหานคร</x:v>
      </x:c>
      <x:c r="D450" s="20" t="str">
        <x:v>โรงแรมหรือรีสอร์ท</x:v>
      </x:c>
      <x:c r="E45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50" s="20" t="str">
        <x:v>ยังไม่พบข้อมูล</x:v>
      </x:c>
      <x:c r="G450" s="20" t="str">
        <x:v>ยังไม่พบเอกสารรับรองและวันหมดอายุ</x:v>
      </x:c>
      <x:c r="H45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50" s="20" t="str">
        <x:v>1150, ซอยเริ่มเจริญ แขวงพระโขนง เขตคลองเตย กรุงเทพมหานคร 10110 แขวงดอกไม้ เขตประเวศ กรุงเทพมหานคร 10250</x:v>
      </x:c>
      <x:c r="J450" s="21" t="str">
        <x:v>ยังไม่พบข้อมูล</x:v>
      </x:c>
      <x:c r="K450" s="23" t="e">
        <x:f>HYPERLINK("https://www.thic.or.th/th/tourist/detail/accommodation/654","เปิดแหล่งข้อมูล 1")</x:f>
        <x:v>HYPERLINK is not implemented. linkLocation=https://www.thic.or.th/th/tourist/detail/accommodation/654, friendlyName=เปิดแหล่งข้อมูล 1</x:v>
      </x:c>
      <x:c r="L450" s="23" t="e">
        <x:f>HYPERLINK("https://www.tripadvisor.co.uk/Hotel_Review-g293916-d26873701-Reviews-RoomQuest_Bangkok_Sukhumvit_50-Bangkok.html","เปิดแหล่งข้อมูล 2")</x:f>
        <x:v>HYPERLINK is not implemented. linkLocation=https://www.tripadvisor.co.uk/Hotel_Review-g293916-d26873701-Reviews-RoomQuest_Bangkok_Sukhumvit_50-Bangkok.html, friendlyName=เปิดแหล่งข้อมูล 2</x:v>
      </x:c>
      <x:c r="M450" s="20" t="str">
        <x:v>ผลค้นหาชื่อสัมพันธ์จากแหล่งเพิ่มเติม ต้องยืนยันสาขาและข้อมูลปัจจุบัน</x:v>
      </x:c>
      <x:c r="N450" s="10" t="n">
        <x:v>46315</x:v>
      </x:c>
      <x:c r="O450" s="22" t="str">
        <x:v>ยังไม่ตรวจ</x:v>
      </x:c>
      <x:c r="P450" s="22" t="str">
        <x:v>ยังไม่ติดต่อ</x:v>
      </x:c>
    </x:row>
    <x:row r="451" ht="66" customHeight="1">
      <x:c r="A451" s="9" t="n">
        <x:v>443</x:v>
      </x:c>
      <x:c r="B451" s="20" t="str">
        <x:v>Sleep Withinn Bangkok</x:v>
      </x:c>
      <x:c r="C451" s="20" t="str">
        <x:v>กรุงเทพมหานคร</x:v>
      </x:c>
      <x:c r="D451" s="20" t="str">
        <x:v>โรงแรมหรือรีสอร์ท</x:v>
      </x:c>
      <x:c r="E45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51" s="20" t="str">
        <x:v>ยังไม่พบข้อมูล</x:v>
      </x:c>
      <x:c r="G451" s="20" t="str">
        <x:v>ยังไม่พบเอกสารรับรองและวันหมดอายุ</x:v>
      </x:c>
      <x:c r="H45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51" s="20" t="str">
        <x:v>76 ซอยรามบุตรี แขวงตลาดยอด เขตพระนคร กรุงเทพมหานคร 10200 แขวงชนะสงคราม เขตพระนคร กรุงเทพมหานคร 10200</x:v>
      </x:c>
      <x:c r="J451" s="21" t="str">
        <x:v>ยังไม่พบข้อมูล</x:v>
      </x:c>
      <x:c r="K451" s="23" t="e">
        <x:f>HYPERLINK("https://www.thic.or.th/th/tourist/detail/accommodation/708","เปิดแหล่งข้อมูล 1")</x:f>
        <x:v>HYPERLINK is not implemented. linkLocation=https://www.thic.or.th/th/tourist/detail/accommodation/708, friendlyName=เปิดแหล่งข้อมูล 1</x:v>
      </x:c>
      <x:c r="L451" s="23" t="e">
        <x:f>HYPERLINK("https://www.google.co.th/travel/hotels/entity/ChgI2Ke1nvHl7o2HARoLL2cvMXRka3pfbDEQAQ","เปิดแหล่งข้อมูล 2")</x:f>
        <x:v>HYPERLINK is not implemented. linkLocation=https://www.google.co.th/travel/hotels/entity/ChgI2Ke1nvHl7o2HARoLL2cvMXRka3pfbDEQAQ, friendlyName=เปิดแหล่งข้อมูล 2</x:v>
      </x:c>
      <x:c r="M451" s="20" t="str">
        <x:v>ผลค้นหาชื่อสัมพันธ์จากแหล่งเพิ่มเติม ต้องยืนยันสาขาและข้อมูลปัจจุบัน</x:v>
      </x:c>
      <x:c r="N451" s="10" t="n">
        <x:v>46315</x:v>
      </x:c>
      <x:c r="O451" s="22" t="str">
        <x:v>ยังไม่ตรวจ</x:v>
      </x:c>
      <x:c r="P451" s="22" t="str">
        <x:v>ยังไม่ติดต่อ</x:v>
      </x:c>
    </x:row>
    <x:row r="452" ht="66" customHeight="1">
      <x:c r="A452" s="9" t="n">
        <x:v>444</x:v>
      </x:c>
      <x:c r="B452" s="20" t="str">
        <x:v>The Quarter Saladaeng by UHG</x:v>
      </x:c>
      <x:c r="C452" s="20" t="str">
        <x:v>กรุงเทพมหานคร</x:v>
      </x:c>
      <x:c r="D452" s="20" t="str">
        <x:v>โรงแรมหรือรีสอร์ท</x:v>
      </x:c>
      <x:c r="E452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52" s="20" t="str">
        <x:v>ยังไม่พบข้อมูล</x:v>
      </x:c>
      <x:c r="G452" s="20" t="str">
        <x:v>ยังไม่พบเอกสารรับรองและวันหมดอายุ</x:v>
      </x:c>
      <x:c r="H45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52" s="20" t="str">
        <x:v>27 ซ. ศาลาแดง 1 แขวงสีลม เขตบางรัก กรุงเทพมหานคร 10500 แขวงสีลม เขตบางรัก กรุงเทพมหานคร 10500</x:v>
      </x:c>
      <x:c r="J452" s="21" t="str">
        <x:v>ยังไม่พบข้อมูล</x:v>
      </x:c>
      <x:c r="K452" s="23" t="e">
        <x:f>HYPERLINK("https://www.thic.or.th/th/tourist/detail/accommodation/677","เปิดแหล่งข้อมูล 1")</x:f>
        <x:v>HYPERLINK is not implemented. linkLocation=https://www.thic.or.th/th/tourist/detail/accommodation/677, friendlyName=เปิดแหล่งข้อมูล 1</x:v>
      </x:c>
      <x:c r="L452" s="23" t="e">
        <x:f>HYPERLINK("https://www.booking.com/hotel/th/siri-sathorn.th.html","เปิดแหล่งข้อมูล 2")</x:f>
        <x:v>HYPERLINK is not implemented. linkLocation=https://www.booking.com/hotel/th/siri-sathorn.th.html, friendlyName=เปิดแหล่งข้อมูล 2</x:v>
      </x:c>
      <x:c r="M452" s="20" t="str">
        <x:v>ผลค้นหาชื่อสัมพันธ์จากแหล่งเพิ่มเติม ต้องยืนยันสาขาและข้อมูลปัจจุบัน</x:v>
      </x:c>
      <x:c r="N452" s="10" t="n">
        <x:v>46315</x:v>
      </x:c>
      <x:c r="O452" s="22" t="str">
        <x:v>ยังไม่ตรวจ</x:v>
      </x:c>
      <x:c r="P452" s="22" t="str">
        <x:v>ยังไม่ติดต่อ</x:v>
      </x:c>
    </x:row>
    <x:row r="453" ht="66" customHeight="1">
      <x:c r="A453" s="9" t="n">
        <x:v>445</x:v>
      </x:c>
      <x:c r="B453" s="20" t="str">
        <x:v>Tim Mansion Bangkok Hotel</x:v>
      </x:c>
      <x:c r="C453" s="20" t="str">
        <x:v>กรุงเทพมหานคร</x:v>
      </x:c>
      <x:c r="D453" s="20" t="str">
        <x:v>โรงแรมหรือรีสอร์ท</x:v>
      </x:c>
      <x:c r="E453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53" s="20" t="str">
        <x:v>ยังไม่พบข้อมูล</x:v>
      </x:c>
      <x:c r="G453" s="20" t="str">
        <x:v>ยังไม่พบเอกสารรับรองและวันหมดอายุ</x:v>
      </x:c>
      <x:c r="H45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53" s="20" t="str">
        <x:v>337 ถ. มหาไชย แขวงสำราญราษฎร์ เขตพระนคร กรุงเทพมหานคร 10200 แขวงวัดอรุณ เขตบางกอกใหญ่ กรุงเทพมหานคร 10600</x:v>
      </x:c>
      <x:c r="J453" s="21" t="str">
        <x:v>ยังไม่พบข้อมูล</x:v>
      </x:c>
      <x:c r="K453" s="23" t="e">
        <x:f>HYPERLINK("https://www.thic.or.th/th/tourist/detail/accommodation/669","เปิดแหล่งข้อมูล 1")</x:f>
        <x:v>HYPERLINK is not implemented. linkLocation=https://www.thic.or.th/th/tourist/detail/accommodation/669, friendlyName=เปิดแหล่งข้อมูล 1</x:v>
      </x:c>
      <x:c r="L453" s="23" t="e">
        <x:f>HYPERLINK("https://www.google.co.th/travel/hotels/entity/ChkIz7CP0_DF4NWxARoML2cvMTJoa2ZnX3BxEAE?rp=OAHCAhwiGg0AAJhBEhMIlKSZxuHflQMVCv5LAx1l3RQR&amp;ts=CAEaBAoCGgAqBAoAGgA","เปิดแหล่งข้อมูล 2")</x:f>
        <x:v>HYPERLINK is not implemented. linkLocation=https://www.google.co.th/travel/hotels/entity/ChkIz7CP0_DF4NWxARoML2cvMTJoa2ZnX3BxEAE?rp=OAHCAhwiGg0AAJhBEhMIlKSZxuHflQMVCv5LAx1l3RQR&amp;ts=CAEaBAoCGgAqBAoAGgA, friendlyName=เปิดแหล่งข้อมูล 2</x:v>
      </x:c>
      <x:c r="M453" s="20" t="str">
        <x:v>ผลค้นหาชื่อสัมพันธ์จากแหล่งเพิ่มเติม ต้องยืนยันสาขาและข้อมูลปัจจุบัน</x:v>
      </x:c>
      <x:c r="N453" s="10" t="n">
        <x:v>46315</x:v>
      </x:c>
      <x:c r="O453" s="22" t="str">
        <x:v>ยังไม่ตรวจ</x:v>
      </x:c>
      <x:c r="P453" s="22" t="str">
        <x:v>ยังไม่ติดต่อ</x:v>
      </x:c>
    </x:row>
    <x:row r="454" ht="66" customHeight="1">
      <x:c r="A454" s="9" t="n">
        <x:v>446</x:v>
      </x:c>
      <x:c r="B454" s="20" t="str">
        <x:v>Vignette Collection Sindhorn Midtown Hotel Bangkok</x:v>
      </x:c>
      <x:c r="C454" s="20" t="str">
        <x:v>กรุงเทพมหานคร</x:v>
      </x:c>
      <x:c r="D454" s="20" t="str">
        <x:v>โรงแรมหรือรีสอร์ท</x:v>
      </x:c>
      <x:c r="E45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54" s="20" t="str">
        <x:v>ยังไม่พบข้อมูล</x:v>
      </x:c>
      <x:c r="G454" s="20" t="str">
        <x:v>ยังไม่พบเอกสารรับรองและวันหมดอายุ</x:v>
      </x:c>
      <x:c r="H45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54" s="20" t="str">
        <x:v>68 ซ.หลังสวน แขวงลุมพินี เขตปทุมวัน กรุงเทพมหานคร 10330 แขวงรองเมือง เขตปทุมวัน กรุงเทพมหานคร 10330</x:v>
      </x:c>
      <x:c r="J454" s="21" t="str">
        <x:v>ยังไม่พบข้อมูล</x:v>
      </x:c>
      <x:c r="K454" s="23" t="e">
        <x:f>HYPERLINK("https://www.thic.or.th/th/tourist/detail/accommodation/743","เปิดแหล่งข้อมูล 1")</x:f>
        <x:v>HYPERLINK is not implemented. linkLocation=https://www.thic.or.th/th/tourist/detail/accommodation/743, friendlyName=เปิดแหล่งข้อมูล 1</x:v>
      </x:c>
      <x:c r="L454" s="23" t="e">
        <x:f>HYPERLINK("https://www.google.co.th/travel/hotels/entity/CgoIqqn058G0t4QgEAE?ts=CAEaBAoCGgAqBAoAGgA","เปิดแหล่งข้อมูล 2")</x:f>
        <x:v>HYPERLINK is not implemented. linkLocation=https://www.google.co.th/travel/hotels/entity/CgoIqqn058G0t4QgEAE?ts=CAEaBAoCGgAqBAoAGgA, friendlyName=เปิดแหล่งข้อมูล 2</x:v>
      </x:c>
      <x:c r="M454" s="20" t="str">
        <x:v>ผลค้นหาชื่อสัมพันธ์จากแหล่งเพิ่มเติม ต้องยืนยันสาขาและข้อมูลปัจจุบัน</x:v>
      </x:c>
      <x:c r="N454" s="10" t="n">
        <x:v>46315</x:v>
      </x:c>
      <x:c r="O454" s="22" t="str">
        <x:v>ยังไม่ตรวจ</x:v>
      </x:c>
      <x:c r="P454" s="22" t="str">
        <x:v>ยังไม่ติดต่อ</x:v>
      </x:c>
    </x:row>
    <x:row r="455" ht="66" customHeight="1">
      <x:c r="A455" s="9" t="n">
        <x:v>447</x:v>
      </x:c>
      <x:c r="B455" s="20" t="str">
        <x:v>ข้าวสารพาร์ครีสอร์ท</x:v>
      </x:c>
      <x:c r="C455" s="20" t="str">
        <x:v>กรุงเทพมหานคร</x:v>
      </x:c>
      <x:c r="D455" s="20" t="str">
        <x:v>โรงแรมหรือรีสอร์ท</x:v>
      </x:c>
      <x:c r="E45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55" s="20" t="str">
        <x:v>ยังไม่พบข้อมูล</x:v>
      </x:c>
      <x:c r="G455" s="20" t="str">
        <x:v>ยังไม่พบเอกสารรับรองและวันหมดอายุ</x:v>
      </x:c>
      <x:c r="H45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55" s="20" t="str">
        <x:v>202 ถ. ข้าวสาร แขวงตลาดยอด เขตพระนคร กรุงเทพมหานคร 10200 แขวงชนะสงคราม เขตพระนคร กรุงเทพมหานคร 10200</x:v>
      </x:c>
      <x:c r="J455" s="21" t="str">
        <x:v>ยังไม่พบข้อมูล</x:v>
      </x:c>
      <x:c r="K455" s="23" t="e">
        <x:f>HYPERLINK("https://www.thic.or.th/th/tourist/detail/accommodation/697","เปิดแหล่งข้อมูล 1")</x:f>
        <x:v>HYPERLINK is not implemented. linkLocation=https://www.thic.or.th/th/tourist/detail/accommodation/697, friendlyName=เปิดแหล่งข้อมูล 1</x:v>
      </x:c>
      <x:c r="L455" s="23" t="e">
        <x:f>HYPERLINK("https://www.google.co.th/travel/hotels/entity/ChgIrPaT1uqHna2gARoLL2cvMXR4MTJ0bDgQAQ?rp=OAHCAhwiGg0AAARCEhMIgaWPzam_iAMV1EOrAh2D9SPp&amp;ts=CAEaIgoCGgASHBIUCgcI6g8QAxgPEgcI6g8QAxgQGAEyAhAAOAEqBAoAGgA","เปิดแหล่งข้อมูล 2")</x:f>
        <x:v>HYPERLINK is not implemented. linkLocation=https://www.google.co.th/travel/hotels/entity/ChgIrPaT1uqHna2gARoLL2cvMXR4MTJ0bDgQAQ?rp=OAHCAhwiGg0AAARCEhMIgaWPzam_iAMV1EOrAh2D9SPp&amp;ts=CAEaIgoCGgASHBIUCgcI6g8QAxgPEgcI6g8QAxgQGAEyAhAAOAEqBAoAGgA, friendlyName=เปิดแหล่งข้อมูล 2</x:v>
      </x:c>
      <x:c r="M455" s="20" t="str">
        <x:v>ผลค้นหาชื่อสัมพันธ์จากแหล่งเพิ่มเติม ต้องยืนยันสาขาและข้อมูลปัจจุบัน</x:v>
      </x:c>
      <x:c r="N455" s="10" t="n">
        <x:v>46315</x:v>
      </x:c>
      <x:c r="O455" s="22" t="str">
        <x:v>ยังไม่ตรวจ</x:v>
      </x:c>
      <x:c r="P455" s="22" t="str">
        <x:v>ยังไม่ติดต่อ</x:v>
      </x:c>
    </x:row>
    <x:row r="456" ht="66" customHeight="1">
      <x:c r="A456" s="9" t="n">
        <x:v>448</x:v>
      </x:c>
      <x:c r="B456" s="20" t="str">
        <x:v>ควอเทียร์ บาย มอนทราจ สุขุมวิท</x:v>
      </x:c>
      <x:c r="C456" s="20" t="str">
        <x:v>กรุงเทพมหานคร</x:v>
      </x:c>
      <x:c r="D456" s="20" t="str">
        <x:v>โรงแรมหรือรีสอร์ท</x:v>
      </x:c>
      <x:c r="E456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56" s="20" t="str">
        <x:v>ยังไม่พบข้อมูล</x:v>
      </x:c>
      <x:c r="G456" s="20" t="str">
        <x:v>ยังไม่พบเอกสารรับรองและวันหมดอายุ</x:v>
      </x:c>
      <x:c r="H45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56" s="20" t="str">
        <x:v>413 ซ. สุขุมวิท 49/11 แขวงคลองตันเหนือ เขตวัฒนา กรุงเทพมหานคร 10110 แขวงบางจาก เขตพระโขนง กรุงเทพมหานคร 10260</x:v>
      </x:c>
      <x:c r="J456" s="21" t="str">
        <x:v>ยังไม่พบข้อมูล</x:v>
      </x:c>
      <x:c r="K456" s="23" t="e">
        <x:f>HYPERLINK("https://www.thic.or.th/th/tourist/detail/accommodation/650","เปิดแหล่งข้อมูล 1")</x:f>
        <x:v>HYPERLINK is not implemented. linkLocation=https://www.thic.or.th/th/tourist/detail/accommodation/650, friendlyName=เปิดแหล่งข้อมูล 1</x:v>
      </x:c>
      <x:c r="L456" s="23" t="e">
        <x:f>HYPERLINK("https://www.google.co.th/travel/hotels/entity/ChkInoWL4v3rlfIvGg0vZy8xMW1xOXlreGJuEAE","เปิดแหล่งข้อมูล 2")</x:f>
        <x:v>HYPERLINK is not implemented. linkLocation=https://www.google.co.th/travel/hotels/entity/ChkInoWL4v3rlfIvGg0vZy8xMW1xOXlreGJuEAE, friendlyName=เปิดแหล่งข้อมูล 2</x:v>
      </x:c>
      <x:c r="M456" s="20" t="str">
        <x:v>ผลค้นหาชื่อสัมพันธ์จากแหล่งเพิ่มเติม ต้องยืนยันสาขาและข้อมูลปัจจุบัน</x:v>
      </x:c>
      <x:c r="N456" s="10" t="n">
        <x:v>46315</x:v>
      </x:c>
      <x:c r="O456" s="22" t="str">
        <x:v>ยังไม่ตรวจ</x:v>
      </x:c>
      <x:c r="P456" s="22" t="str">
        <x:v>ยังไม่ติดต่อ</x:v>
      </x:c>
    </x:row>
    <x:row r="457" ht="66" customHeight="1">
      <x:c r="A457" s="9" t="n">
        <x:v>449</x:v>
      </x:c>
      <x:c r="B457" s="20" t="str">
        <x:v>ฌานวิลล่า สุขุมวิท</x:v>
      </x:c>
      <x:c r="C457" s="20" t="str">
        <x:v>กรุงเทพมหานคร</x:v>
      </x:c>
      <x:c r="D457" s="20" t="str">
        <x:v>โรงแรมหรือรีสอร์ท</x:v>
      </x:c>
      <x:c r="E45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57" s="20" t="str">
        <x:v>ยังไม่พบข้อมูล</x:v>
      </x:c>
      <x:c r="G457" s="20" t="str">
        <x:v>ยังไม่พบเอกสารรับรองและวันหมดอายุ</x:v>
      </x:c>
      <x:c r="H45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57" s="20" t="str">
        <x:v>14 14/1-4 ซอย อ่อนนุช 18 แขวงสวนหลวง เขตสวนหลวง กรุงเทพมหานคร 10250 แขวงดอกไม้ เขตประเวศ กรุงเทพมหานคร 10250</x:v>
      </x:c>
      <x:c r="J457" s="21" t="str">
        <x:v>ยังไม่พบข้อมูล</x:v>
      </x:c>
      <x:c r="K457" s="23" t="e">
        <x:f>HYPERLINK("https://www.thic.or.th/th/tourist/detail/accommodation/652","เปิดแหล่งข้อมูล 1")</x:f>
        <x:v>HYPERLINK is not implemented. linkLocation=https://www.thic.or.th/th/tourist/detail/accommodation/652, friendlyName=เปิดแหล่งข้อมูล 1</x:v>
      </x:c>
      <x:c r="L457" s="23" t="e">
        <x:f>HYPERLINK("https://www.booking.com/hotel/th/shan-villas-sukhumvit.th.html","เปิดแหล่งข้อมูล 2")</x:f>
        <x:v>HYPERLINK is not implemented. linkLocation=https://www.booking.com/hotel/th/shan-villas-sukhumvit.th.html, friendlyName=เปิดแหล่งข้อมูล 2</x:v>
      </x:c>
      <x:c r="M457" s="20" t="str">
        <x:v>ผลค้นหาชื่อสัมพันธ์จากแหล่งเพิ่มเติม ต้องยืนยันสาขาและข้อมูลปัจจุบัน</x:v>
      </x:c>
      <x:c r="N457" s="10" t="n">
        <x:v>46315</x:v>
      </x:c>
      <x:c r="O457" s="22" t="str">
        <x:v>ยังไม่ตรวจ</x:v>
      </x:c>
      <x:c r="P457" s="22" t="str">
        <x:v>ยังไม่ติดต่อ</x:v>
      </x:c>
    </x:row>
    <x:row r="458" ht="66" customHeight="1">
      <x:c r="A458" s="9" t="n">
        <x:v>450</x:v>
      </x:c>
      <x:c r="B458" s="20" t="str">
        <x:v>นอนเยาวราช</x:v>
      </x:c>
      <x:c r="C458" s="20" t="str">
        <x:v>กรุงเทพมหานคร</x:v>
      </x:c>
      <x:c r="D458" s="20" t="str">
        <x:v>โรงแรมหรือรีสอร์ท</x:v>
      </x:c>
      <x:c r="E45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58" s="20" t="str">
        <x:v>ยังไม่พบข้อมูล</x:v>
      </x:c>
      <x:c r="G458" s="20" t="str">
        <x:v>ยังไม่พบเอกสารรับรองและวันหมดอายุ</x:v>
      </x:c>
      <x:c r="H45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58" s="20" t="str">
        <x:v>6-8, 10, 12 ถนนผดุงด้าว แขวงสัมพันธวงศ์ เขตสัมพันธวงศ์ กรุงเทพมหานคร 10100 แขวงสัมพันธวงศ์ เขตสัมพันธวงศ์ กรุงเทพมหานคร 10100</x:v>
      </x:c>
      <x:c r="J458" s="21" t="str">
        <x:v>ยังไม่พบข้อมูล</x:v>
      </x:c>
      <x:c r="K458" s="23" t="e">
        <x:f>HYPERLINK("https://www.thic.or.th/th/tourist/detail/accommodation/744","เปิดแหล่งข้อมูล 1")</x:f>
        <x:v>HYPERLINK is not implemented. linkLocation=https://www.thic.or.th/th/tourist/detail/accommodation/744, friendlyName=เปิดแหล่งข้อมูล 1</x:v>
      </x:c>
      <x:c r="L458" s="23" t="e">
        <x:f>HYPERLINK("https://www.google.co.th/travel/hotels/entity/ChoI_MeMp-m5hvKbARoNL2cvMTFkZHpxYzZxYhAB?rp=OAHCAhwiGg0AAJBBEhMItvi9so7JlQMVtMZDAx2CECnU&amp;ts=CAEaBAoCGgAqBAoAGgA","เปิดแหล่งข้อมูล 2")</x:f>
        <x:v>HYPERLINK is not implemented. linkLocation=https://www.google.co.th/travel/hotels/entity/ChoI_MeMp-m5hvKbARoNL2cvMTFkZHpxYzZxYhAB?rp=OAHCAhwiGg0AAJBBEhMItvi9so7JlQMVtMZDAx2CECnU&amp;ts=CAEaBAoCGgAqBAoAGgA, friendlyName=เปิดแหล่งข้อมูล 2</x:v>
      </x:c>
      <x:c r="M458" s="20" t="str">
        <x:v>ผลค้นหาชื่อสัมพันธ์จากแหล่งเพิ่มเติม ต้องยืนยันสาขาและข้อมูลปัจจุบัน</x:v>
      </x:c>
      <x:c r="N458" s="10" t="n">
        <x:v>46315</x:v>
      </x:c>
      <x:c r="O458" s="22" t="str">
        <x:v>ยังไม่ตรวจ</x:v>
      </x:c>
      <x:c r="P458" s="22" t="str">
        <x:v>ยังไม่ติดต่อ</x:v>
      </x:c>
    </x:row>
    <x:row r="459" ht="66" customHeight="1">
      <x:c r="A459" s="9" t="n">
        <x:v>451</x:v>
      </x:c>
      <x:c r="B459" s="20" t="str">
        <x:v>ฟูราม่า สีลม</x:v>
      </x:c>
      <x:c r="C459" s="20" t="str">
        <x:v>กรุงเทพมหานคร</x:v>
      </x:c>
      <x:c r="D459" s="20" t="str">
        <x:v>โรงแรมหรือรีสอร์ท</x:v>
      </x:c>
      <x:c r="E45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59" s="20" t="str">
        <x:v>ยังไม่พบข้อมูล</x:v>
      </x:c>
      <x:c r="G459" s="20" t="str">
        <x:v>ยังไม่พบเอกสารรับรองและวันหมดอายุ</x:v>
      </x:c>
      <x:c r="H459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59" s="20" t="str">
        <x:v>533 ถ.สีลม แขวงสีลม เขตบางรัก กรุงเทพมหานคร 10500 แขวงสีลม เขตบางรัก กรุงเทพมหานคร 10500</x:v>
      </x:c>
      <x:c r="J459" s="21" t="str">
        <x:v>ยังไม่พบข้อมูล</x:v>
      </x:c>
      <x:c r="K459" s="23" t="e">
        <x:f>HYPERLINK("https://www.thic.or.th/th/tourist/detail/accommodation/688","เปิดแหล่งข้อมูล 1")</x:f>
        <x:v>HYPERLINK is not implemented. linkLocation=https://www.thic.or.th/th/tourist/detail/accommodation/688, friendlyName=เปิดแหล่งข้อมูล 1</x:v>
      </x:c>
      <x:c r="L459" s="23" t="e">
        <x:f>HYPERLINK("https://www.wongnai.com/reviews/8dc47028bc0f485eb49b7c4c15e3d9e7","เปิดแหล่งข้อมูล 2")</x:f>
        <x:v>HYPERLINK is not implemented. linkLocation=https://www.wongnai.com/reviews/8dc47028bc0f485eb49b7c4c15e3d9e7, friendlyName=เปิดแหล่งข้อมูล 2</x:v>
      </x:c>
      <x:c r="M459" s="20" t="str">
        <x:v>ผลค้นหาชื่อสัมพันธ์จากแหล่งเพิ่มเติม ต้องยืนยันสาขาและข้อมูลปัจจุบัน</x:v>
      </x:c>
      <x:c r="N459" s="10" t="n">
        <x:v>46315</x:v>
      </x:c>
      <x:c r="O459" s="22" t="str">
        <x:v>ยังไม่ตรวจ</x:v>
      </x:c>
      <x:c r="P459" s="22" t="str">
        <x:v>ยังไม่ติดต่อ</x:v>
      </x:c>
    </x:row>
    <x:row r="460" ht="66" customHeight="1">
      <x:c r="A460" s="9" t="n">
        <x:v>452</x:v>
      </x:c>
      <x:c r="B460" s="20" t="str">
        <x:v>รอยัลวิว รีสอร์ท รางน้ำ</x:v>
      </x:c>
      <x:c r="C460" s="20" t="str">
        <x:v>กรุงเทพมหานคร</x:v>
      </x:c>
      <x:c r="D460" s="20" t="str">
        <x:v>โรงแรมหรือรีสอร์ท</x:v>
      </x:c>
      <x:c r="E46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0" s="20" t="str">
        <x:v>ยังไม่พบข้อมูล</x:v>
      </x:c>
      <x:c r="G460" s="20" t="str">
        <x:v>ยังไม่พบเอกสารรับรองและวันหมดอายุ</x:v>
      </x:c>
      <x:c r="H46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0" s="20" t="str">
        <x:v>27, 3 ถนน รางน้ำ แขวงสามเสนใน เขตพญาไท กรุงเทพมหานคร 10400 แขวงสามเสนใน เขตพญาไท กรุงเทพมหานคร 10400</x:v>
      </x:c>
      <x:c r="J460" s="21" t="str">
        <x:v>ยังไม่พบข้อมูล</x:v>
      </x:c>
      <x:c r="K460" s="23" t="e">
        <x:f>HYPERLINK("https://www.thic.or.th/th/tourist/detail/accommodation/710","เปิดแหล่งข้อมูล 1")</x:f>
        <x:v>HYPERLINK is not implemented. linkLocation=https://www.thic.or.th/th/tourist/detail/accommodation/710, friendlyName=เปิดแหล่งข้อมูล 1</x:v>
      </x:c>
      <x:c r="L460" s="23" t="e">
        <x:f>HYPERLINK("https://www.booking.com/reviews/th/hotel/royal-view-resort-rang-nam.th.html","เปิดแหล่งข้อมูล 2")</x:f>
        <x:v>HYPERLINK is not implemented. linkLocation=https://www.booking.com/reviews/th/hotel/royal-view-resort-rang-nam.th.html, friendlyName=เปิดแหล่งข้อมูล 2</x:v>
      </x:c>
      <x:c r="M460" s="20" t="str">
        <x:v>ผลค้นหาชื่อสัมพันธ์จากแหล่งเพิ่มเติม ต้องยืนยันสาขาและข้อมูลปัจจุบัน</x:v>
      </x:c>
      <x:c r="N460" s="10" t="n">
        <x:v>46315</x:v>
      </x:c>
      <x:c r="O460" s="22" t="str">
        <x:v>ยังไม่ตรวจ</x:v>
      </x:c>
      <x:c r="P460" s="22" t="str">
        <x:v>ยังไม่ติดต่อ</x:v>
      </x:c>
    </x:row>
    <x:row r="461" ht="66" customHeight="1">
      <x:c r="A461" s="9" t="n">
        <x:v>453</x:v>
      </x:c>
      <x:c r="B461" s="20" t="str">
        <x:v>รัชดา บูทีค โฮเทล</x:v>
      </x:c>
      <x:c r="C461" s="20" t="str">
        <x:v>กรุงเทพมหานคร</x:v>
      </x:c>
      <x:c r="D461" s="20" t="str">
        <x:v>โรงแรมหรือรีสอร์ท</x:v>
      </x:c>
      <x:c r="E46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1" s="20" t="str">
        <x:v>ยังไม่พบข้อมูล</x:v>
      </x:c>
      <x:c r="G461" s="20" t="str">
        <x:v>ยังไม่พบเอกสารรับรองและวันหมดอายุ</x:v>
      </x:c>
      <x:c r="H46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1" s="20" t="str">
        <x:v>แขวงห้วยขวาง เขตห้วยขวาง กรุงเทพมหานคร 10310</x:v>
      </x:c>
      <x:c r="J461" s="21" t="str">
        <x:v>Line :</x:v>
      </x:c>
      <x:c r="K461" s="23" t="e">
        <x:f>HYPERLINK("https://www.thic.or.th/th/tourist/detail/accommodation/715","เปิดแหล่งข้อมูล 1")</x:f>
        <x:v>HYPERLINK is not implemented. linkLocation=https://www.thic.or.th/th/tourist/detail/accommodation/715, friendlyName=เปิดแหล่งข้อมูล 1</x:v>
      </x:c>
      <x:c r="L461" s="23" t="e">
        <x:f>HYPERLINK("https://www.google.co.th/travel/hotels/entity/ChoIsf6R3LXmyLT1ARoNL2cvMTFmZnYyenF2NBAB?rp=OAHCAhwiGg0AANBBEhMI08OWm4nIiAMVakKrAh2Pyihm&amp;ts=CAEaIgoCGgASHBIUCgcI6g8QChgeEgcI6g8QCxgGGAcyAhAAOAEqBAoAGgA","เปิดแหล่งข้อมูล 2")</x:f>
        <x:v>HYPERLINK is not implemented. linkLocation=https://www.google.co.th/travel/hotels/entity/ChoIsf6R3LXmyLT1ARoNL2cvMTFmZnYyenF2NBAB?rp=OAHCAhwiGg0AANBBEhMI08OWm4nIiAMVakKrAh2Pyihm&amp;ts=CAEaIgoCGgASHBIUCgcI6g8QChgeEgcI6g8QCxgGGAcyAhAAOAEqBAoAGgA, friendlyName=เปิดแหล่งข้อมูล 2</x:v>
      </x:c>
      <x:c r="M461" s="20" t="str">
        <x:v>ผลค้นหาชื่อสัมพันธ์จากแหล่งเพิ่มเติม ต้องยืนยันสาขาและข้อมูลปัจจุบัน</x:v>
      </x:c>
      <x:c r="N461" s="10" t="n">
        <x:v>46315</x:v>
      </x:c>
      <x:c r="O461" s="22" t="str">
        <x:v>ยังไม่ตรวจ</x:v>
      </x:c>
      <x:c r="P461" s="22" t="str">
        <x:v>ยังไม่ติดต่อ</x:v>
      </x:c>
    </x:row>
    <x:row r="462" ht="66" customHeight="1">
      <x:c r="A462" s="9" t="n">
        <x:v>454</x:v>
      </x:c>
      <x:c r="B462" s="20" t="str">
        <x:v>ลัคกี้เฮ้าส์</x:v>
      </x:c>
      <x:c r="C462" s="20" t="str">
        <x:v>กรุงเทพมหานคร</x:v>
      </x:c>
      <x:c r="D462" s="20" t="str">
        <x:v>โรงแรมหรือรีสอร์ท</x:v>
      </x:c>
      <x:c r="E462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2" s="20" t="str">
        <x:v>ยังไม่พบข้อมูล</x:v>
      </x:c>
      <x:c r="G462" s="20" t="str">
        <x:v>ยังไม่พบเอกสารรับรองและวันหมดอายุ</x:v>
      </x:c>
      <x:c r="H46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2" s="20" t="str">
        <x:v>33-35 ถนนจักรพงษ์ กรุงเทพมหานคร แขวงชนะสงคราม เขตพระนคร กรุงเทพมหานคร 10200</x:v>
      </x:c>
      <x:c r="J462" s="21" t="str">
        <x:v>ยังไม่พบข้อมูล</x:v>
      </x:c>
      <x:c r="K462" s="23" t="e">
        <x:f>HYPERLINK("https://www.thic.or.th/th/tourist/detail/accommodation/704","เปิดแหล่งข้อมูล 1")</x:f>
        <x:v>HYPERLINK is not implemented. linkLocation=https://www.thic.or.th/th/tourist/detail/accommodation/704, friendlyName=เปิดแหล่งข้อมูล 1</x:v>
      </x:c>
      <x:c r="L462" s="23" t="e">
        <x:f>HYPERLINK("https://th.tripadvisor.com/Hotel_Review-g293916-d2502209-Reviews-Lucky_House-Bangkok.html","เปิดแหล่งข้อมูล 2")</x:f>
        <x:v>HYPERLINK is not implemented. linkLocation=https://th.tripadvisor.com/Hotel_Review-g293916-d2502209-Reviews-Lucky_House-Bangkok.html, friendlyName=เปิดแหล่งข้อมูล 2</x:v>
      </x:c>
      <x:c r="M462" s="20" t="str">
        <x:v>ผลค้นหาชื่อสัมพันธ์จากแหล่งเพิ่มเติม ต้องยืนยันสาขาและข้อมูลปัจจุบัน</x:v>
      </x:c>
      <x:c r="N462" s="10" t="n">
        <x:v>46315</x:v>
      </x:c>
      <x:c r="O462" s="22" t="str">
        <x:v>ยังไม่ตรวจ</x:v>
      </x:c>
      <x:c r="P462" s="22" t="str">
        <x:v>ยังไม่ติดต่อ</x:v>
      </x:c>
    </x:row>
    <x:row r="463" ht="66" customHeight="1">
      <x:c r="A463" s="9" t="n">
        <x:v>455</x:v>
      </x:c>
      <x:c r="B463" s="20" t="str">
        <x:v>โซลิแทร์ แบงค็อก สุขุมวิท 11</x:v>
      </x:c>
      <x:c r="C463" s="20" t="str">
        <x:v>กรุงเทพมหานคร</x:v>
      </x:c>
      <x:c r="D463" s="20" t="str">
        <x:v>โรงแรมหรือรีสอร์ท</x:v>
      </x:c>
      <x:c r="E463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3" s="20" t="str">
        <x:v>ยังไม่พบข้อมูล</x:v>
      </x:c>
      <x:c r="G463" s="20" t="str">
        <x:v>ยังไม่พบเอกสารรับรองและวันหมดอายุ</x:v>
      </x:c>
      <x:c r="H46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3" s="20" t="str">
        <x:v>แขวงบางจาก เขตพระโขนง กรุงเทพมหานคร 10110</x:v>
      </x:c>
      <x:c r="J463" s="21" t="str">
        <x:v>Line :</x:v>
      </x:c>
      <x:c r="K463" s="23" t="e">
        <x:f>HYPERLINK("https://www.thic.or.th/th/tourist/detail/accommodation/662","เปิดแหล่งข้อมูล 1")</x:f>
        <x:v>HYPERLINK is not implemented. linkLocation=https://www.thic.or.th/th/tourist/detail/accommodation/662, friendlyName=เปิดแหล่งข้อมูล 1</x:v>
      </x:c>
      <x:c r="L463" s="23" t="e">
        <x:f>HYPERLINK("https://xn--12c7bhaw4iemu7j3c5c.com/hotel/2272/solitaire-bangkok-sukhumvit-11/","เปิดแหล่งข้อมูล 2")</x:f>
        <x:v>HYPERLINK is not implemented. linkLocation=https://xn--12c7bhaw4iemu7j3c5c.com/hotel/2272/solitaire-bangkok-sukhumvit-11/, friendlyName=เปิดแหล่งข้อมูล 2</x:v>
      </x:c>
      <x:c r="M463" s="20" t="str">
        <x:v>ผลค้นหาชื่อสัมพันธ์จากแหล่งเพิ่มเติม ต้องยืนยันสาขาและข้อมูลปัจจุบัน</x:v>
      </x:c>
      <x:c r="N463" s="10" t="n">
        <x:v>46315</x:v>
      </x:c>
      <x:c r="O463" s="22" t="str">
        <x:v>ยังไม่ตรวจ</x:v>
      </x:c>
      <x:c r="P463" s="22" t="str">
        <x:v>ยังไม่ติดต่อ</x:v>
      </x:c>
    </x:row>
    <x:row r="464" ht="66" customHeight="1">
      <x:c r="A464" s="9" t="n">
        <x:v>456</x:v>
      </x:c>
      <x:c r="B464" s="20" t="str">
        <x:v>โรงแรม วิลล่า เดอร์ ข้าวสาร</x:v>
      </x:c>
      <x:c r="C464" s="20" t="str">
        <x:v>กรุงเทพมหานคร</x:v>
      </x:c>
      <x:c r="D464" s="20" t="str">
        <x:v>โรงแรมหรือรีสอร์ท</x:v>
      </x:c>
      <x:c r="E46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4" s="20" t="str">
        <x:v>ยังไม่พบข้อมูล</x:v>
      </x:c>
      <x:c r="G464" s="20" t="str">
        <x:v>ยังไม่พบเอกสารรับรองและวันหมดอายุ</x:v>
      </x:c>
      <x:c r="H46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4" s="20" t="str">
        <x:v>แขวงชนะสงคราม เขตพระนคร กรุงเทพมหานคร 10200</x:v>
      </x:c>
      <x:c r="J464" s="21" t="str">
        <x:v>Line :</x:v>
      </x:c>
      <x:c r="K464" s="23" t="e">
        <x:f>HYPERLINK("https://www.thic.or.th/th/tourist/detail/accommodation/702","เปิดแหล่งข้อมูล 1")</x:f>
        <x:v>HYPERLINK is not implemented. linkLocation=https://www.thic.or.th/th/tourist/detail/accommodation/702, friendlyName=เปิดแหล่งข้อมูล 1</x:v>
      </x:c>
      <x:c r="L464" s="23" t="e">
        <x:f>HYPERLINK("https://www.google.co.th/travel/hotels/entity/ChoImpGG2u33lsOrARoNL2cvMTFmZmxfMzJkbBAB?ap=ugEGcHJpY2Vz&amp;rp=OAHCAhwiGg0AABhCEhMItp2z16CilgMVpN6fCR1_PA2E&amp;ts=CAEaBAoCGgAqBAoAGgA","เปิดแหล่งข้อมูล 2")</x:f>
        <x:v>HYPERLINK is not implemented. linkLocation=https://www.google.co.th/travel/hotels/entity/ChoImpGG2u33lsOrARoNL2cvMTFmZmxfMzJkbBAB?ap=ugEGcHJpY2Vz&amp;rp=OAHCAhwiGg0AABhCEhMItp2z16CilgMVpN6fCR1_PA2E&amp;ts=CAEaBAoCGgAqBAoAGgA, friendlyName=เปิดแหล่งข้อมูล 2</x:v>
      </x:c>
      <x:c r="M464" s="20" t="str">
        <x:v>ผลค้นหาชื่อสัมพันธ์จากแหล่งเพิ่มเติม ต้องยืนยันสาขาและข้อมูลปัจจุบัน</x:v>
      </x:c>
      <x:c r="N464" s="10" t="n">
        <x:v>46315</x:v>
      </x:c>
      <x:c r="O464" s="22" t="str">
        <x:v>ยังไม่ตรวจ</x:v>
      </x:c>
      <x:c r="P464" s="22" t="str">
        <x:v>ยังไม่ติดต่อ</x:v>
      </x:c>
    </x:row>
    <x:row r="465" ht="66" customHeight="1">
      <x:c r="A465" s="9" t="n">
        <x:v>457</x:v>
      </x:c>
      <x:c r="B465" s="20" t="str">
        <x:v>โรงแรม อิมเพรส ห้วยขวาง</x:v>
      </x:c>
      <x:c r="C465" s="20" t="str">
        <x:v>กรุงเทพมหานคร</x:v>
      </x:c>
      <x:c r="D465" s="20" t="str">
        <x:v>โรงแรมหรือรีสอร์ท</x:v>
      </x:c>
      <x:c r="E46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5" s="20" t="str">
        <x:v>ยังไม่พบข้อมูล</x:v>
      </x:c>
      <x:c r="G465" s="20" t="str">
        <x:v>ยังไม่พบเอกสารรับรองและวันหมดอายุ</x:v>
      </x:c>
      <x:c r="H46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5" s="20" t="str">
        <x:v>แขวงห้วยขวาง เขตห้วยขวาง กรุงเทพมหานคร 10310</x:v>
      </x:c>
      <x:c r="J465" s="21" t="str">
        <x:v>Line :</x:v>
      </x:c>
      <x:c r="K465" s="23" t="e">
        <x:f>HYPERLINK("https://www.thic.or.th/th/tourist/detail/accommodation/719","เปิดแหล่งข้อมูล 1")</x:f>
        <x:v>HYPERLINK is not implemented. linkLocation=https://www.thic.or.th/th/tourist/detail/accommodation/719, friendlyName=เปิดแหล่งข้อมูล 1</x:v>
      </x:c>
      <x:c r="L465" s="23" t="e">
        <x:f>HYPERLINK("https://www.google.com/travel/hotels/entity/ChoI_4rc1MSgz6ilARoNL2cvMTF5djczNWg1dBAB","เปิดแหล่งข้อมูล 2")</x:f>
        <x:v>HYPERLINK is not implemented. linkLocation=https://www.google.com/travel/hotels/entity/ChoI_4rc1MSgz6ilARoNL2cvMTF5djczNWg1dBAB, friendlyName=เปิดแหล่งข้อมูล 2</x:v>
      </x:c>
      <x:c r="M465" s="20" t="str">
        <x:v>ผลค้นหาชื่อสัมพันธ์จากแหล่งเพิ่มเติม ต้องยืนยันสาขาและข้อมูลปัจจุบัน</x:v>
      </x:c>
      <x:c r="N465" s="10" t="n">
        <x:v>46315</x:v>
      </x:c>
      <x:c r="O465" s="22" t="str">
        <x:v>ยังไม่ตรวจ</x:v>
      </x:c>
      <x:c r="P465" s="22" t="str">
        <x:v>ยังไม่ติดต่อ</x:v>
      </x:c>
    </x:row>
    <x:row r="466" ht="66" customHeight="1">
      <x:c r="A466" s="9" t="n">
        <x:v>458</x:v>
      </x:c>
      <x:c r="B466" s="20" t="str">
        <x:v>โรงแรม เจทูเอส ประตูน้ำ</x:v>
      </x:c>
      <x:c r="C466" s="20" t="str">
        <x:v>กรุงเทพมหานคร</x:v>
      </x:c>
      <x:c r="D466" s="20" t="str">
        <x:v>โรงแรมหรือรีสอร์ท</x:v>
      </x:c>
      <x:c r="E466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6" s="20" t="str">
        <x:v>ยังไม่พบข้อมูล</x:v>
      </x:c>
      <x:c r="G466" s="20" t="str">
        <x:v>ยังไม่พบเอกสารรับรองและวันหมดอายุ</x:v>
      </x:c>
      <x:c r="H46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6" s="20" t="str">
        <x:v>แขวงรองเมือง เขตปทุมวัน กรุงเทพมหานคร 10330</x:v>
      </x:c>
      <x:c r="J466" s="21" t="str">
        <x:v>Line :</x:v>
      </x:c>
      <x:c r="K466" s="23" t="e">
        <x:f>HYPERLINK("https://www.thic.or.th/th/tourist/detail/accommodation/734","เปิดแหล่งข้อมูล 1")</x:f>
        <x:v>HYPERLINK is not implemented. linkLocation=https://www.thic.or.th/th/tourist/detail/accommodation/734, friendlyName=เปิดแหล่งข้อมูล 1</x:v>
      </x:c>
      <x:c r="L466" s="23" t="e">
        <x:f>HYPERLINK("https://www.expedia.co.th/Bangkok-Hotels-J-Two-S-Pratunam-Hotel.h8032473.Hotel-Information?rfrr=HOT.HIS.question.link.click","เปิดแหล่งข้อมูล 2")</x:f>
        <x:v>HYPERLINK is not implemented. linkLocation=https://www.expedia.co.th/Bangkok-Hotels-J-Two-S-Pratunam-Hotel.h8032473.Hotel-Information?rfrr=HOT.HIS.question.link.click, friendlyName=เปิดแหล่งข้อมูล 2</x:v>
      </x:c>
      <x:c r="M466" s="20" t="str">
        <x:v>ผลค้นหาชื่อสัมพันธ์จากแหล่งเพิ่มเติม ต้องยืนยันสาขาและข้อมูลปัจจุบัน</x:v>
      </x:c>
      <x:c r="N466" s="10" t="n">
        <x:v>46315</x:v>
      </x:c>
      <x:c r="O466" s="22" t="str">
        <x:v>ยังไม่ตรวจ</x:v>
      </x:c>
      <x:c r="P466" s="22" t="str">
        <x:v>ยังไม่ติดต่อ</x:v>
      </x:c>
    </x:row>
    <x:row r="467" ht="66" customHeight="1">
      <x:c r="A467" s="9" t="n">
        <x:v>459</x:v>
      </x:c>
      <x:c r="B467" s="20" t="str">
        <x:v>โรงแรม เซนเตอร์ พอยต์ พลัส สีลม</x:v>
      </x:c>
      <x:c r="C467" s="20" t="str">
        <x:v>กรุงเทพมหานคร</x:v>
      </x:c>
      <x:c r="D467" s="20" t="str">
        <x:v>โรงแรมหรือรีสอร์ท</x:v>
      </x:c>
      <x:c r="E46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7" s="20" t="str">
        <x:v>ยังไม่พบข้อมูล</x:v>
      </x:c>
      <x:c r="G467" s="20" t="str">
        <x:v>ยังไม่พบเอกสารรับรองและวันหมดอายุ</x:v>
      </x:c>
      <x:c r="H46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7" s="20" t="str">
        <x:v>แขวงสีลม เขตสาทร กรุงเทพมหานคร 10500</x:v>
      </x:c>
      <x:c r="J467" s="21" t="str">
        <x:v>Line :</x:v>
      </x:c>
      <x:c r="K467" s="23" t="e">
        <x:f>HYPERLINK("https://www.thic.or.th/th/tourist/detail/accommodation/674","เปิดแหล่งข้อมูล 1")</x:f>
        <x:v>HYPERLINK is not implemented. linkLocation=https://www.thic.or.th/th/tourist/detail/accommodation/674, friendlyName=เปิดแหล่งข้อมูล 1</x:v>
      </x:c>
      <x:c r="L467" s="23" t="e">
        <x:f>HYPERLINK("https://www.google.co.th/travel/hotels/entity/CgsI-eya1qe646PpARAB?ts=CAEaIgoCGgASHBIUCgcI6g8QChgaEgcI6g8QChgeGAQyAhAAOAEqCQoFOgNVU0QaAA","เปิดแหล่งข้อมูล 2")</x:f>
        <x:v>HYPERLINK is not implemented. linkLocation=https://www.google.co.th/travel/hotels/entity/CgsI-eya1qe646PpARAB?ts=CAEaIgoCGgASHBIUCgcI6g8QChgaEgcI6g8QChgeGAQyAhAAOAEqCQoFOgNVU0QaAA, friendlyName=เปิดแหล่งข้อมูล 2</x:v>
      </x:c>
      <x:c r="M467" s="20" t="str">
        <x:v>ผลค้นหาชื่อสัมพันธ์จากแหล่งเพิ่มเติม ต้องยืนยันสาขาและข้อมูลปัจจุบัน</x:v>
      </x:c>
      <x:c r="N467" s="10" t="n">
        <x:v>46315</x:v>
      </x:c>
      <x:c r="O467" s="22" t="str">
        <x:v>ยังไม่ตรวจ</x:v>
      </x:c>
      <x:c r="P467" s="22" t="str">
        <x:v>ยังไม่ติดต่อ</x:v>
      </x:c>
    </x:row>
    <x:row r="468" ht="66" customHeight="1">
      <x:c r="A468" s="9" t="n">
        <x:v>460</x:v>
      </x:c>
      <x:c r="B468" s="20" t="str">
        <x:v>โรงแรม เดอะ กราวิทิค โฮเทล ข้าวสาร</x:v>
      </x:c>
      <x:c r="C468" s="20" t="str">
        <x:v>กรุงเทพมหานคร</x:v>
      </x:c>
      <x:c r="D468" s="20" t="str">
        <x:v>โรงแรมหรือรีสอร์ท</x:v>
      </x:c>
      <x:c r="E46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8" s="20" t="str">
        <x:v>ยังไม่พบข้อมูล</x:v>
      </x:c>
      <x:c r="G468" s="20" t="str">
        <x:v>ยังไม่พบเอกสารรับรองและวันหมดอายุ</x:v>
      </x:c>
      <x:c r="H46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8" s="20" t="str">
        <x:v>19 ถ. ตานี แขวงตลาดยอด เขตพระนคร กรุงเทพมหานคร 10200 แขวงชนะสงคราม เขตพระนคร กรุงเทพมหานคร 10200</x:v>
      </x:c>
      <x:c r="J468" s="21" t="str">
        <x:v>ยังไม่พบข้อมูล</x:v>
      </x:c>
      <x:c r="K468" s="23" t="e">
        <x:f>HYPERLINK("https://www.thic.or.th/th/tourist/detail/accommodation/706","เปิดแหล่งข้อมูล 1")</x:f>
        <x:v>HYPERLINK is not implemented. linkLocation=https://www.thic.or.th/th/tourist/detail/accommodation/706, friendlyName=เปิดแหล่งข้อมูล 1</x:v>
      </x:c>
      <x:c r="L468" s="23" t="e">
        <x:f>HYPERLINK("https://www.google.co.th/travel/hotels/entity/ChoIpr-W-KLc3cy2ARoNL2cvMTFycnBsaHpmNhAB?rp=OAHCAhwiGg0AABxDEhMIhO6-jPzFlQMVNMtDAx3JpQTr&amp;ts=CAEaBAoCGgAqBAoAGgA","เปิดแหล่งข้อมูล 2")</x:f>
        <x:v>HYPERLINK is not implemented. linkLocation=https://www.google.co.th/travel/hotels/entity/ChoIpr-W-KLc3cy2ARoNL2cvMTFycnBsaHpmNhAB?rp=OAHCAhwiGg0AABxDEhMIhO6-jPzFlQMVNMtDAx3JpQTr&amp;ts=CAEaBAoCGgAqBAoAGgA, friendlyName=เปิดแหล่งข้อมูล 2</x:v>
      </x:c>
      <x:c r="M468" s="20" t="str">
        <x:v>ผลค้นหาชื่อสัมพันธ์จากแหล่งเพิ่มเติม ต้องยืนยันสาขาและข้อมูลปัจจุบัน</x:v>
      </x:c>
      <x:c r="N468" s="10" t="n">
        <x:v>46315</x:v>
      </x:c>
      <x:c r="O468" s="22" t="str">
        <x:v>ยังไม่ตรวจ</x:v>
      </x:c>
      <x:c r="P468" s="22" t="str">
        <x:v>ยังไม่ติดต่อ</x:v>
      </x:c>
    </x:row>
    <x:row r="469" ht="66" customHeight="1">
      <x:c r="A469" s="9" t="n">
        <x:v>461</x:v>
      </x:c>
      <x:c r="B469" s="20" t="str">
        <x:v>โรงแรม เดอะ คอตตอน ศาลาแดง</x:v>
      </x:c>
      <x:c r="C469" s="20" t="str">
        <x:v>กรุงเทพมหานคร</x:v>
      </x:c>
      <x:c r="D469" s="20" t="str">
        <x:v>โรงแรมหรือรีสอร์ท</x:v>
      </x:c>
      <x:c r="E46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69" s="20" t="str">
        <x:v>ยังไม่พบข้อมูล</x:v>
      </x:c>
      <x:c r="G469" s="20" t="str">
        <x:v>ยังไม่พบเอกสารรับรองและวันหมดอายุ</x:v>
      </x:c>
      <x:c r="H469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69" s="20" t="str">
        <x:v>แขวงสีลม เขตสาทร กรุงเทพมหานคร 10500</x:v>
      </x:c>
      <x:c r="J469" s="21" t="str">
        <x:v>Line :</x:v>
      </x:c>
      <x:c r="K469" s="23" t="e">
        <x:f>HYPERLINK("https://www.thic.or.th/th/tourist/detail/accommodation/682","เปิดแหล่งข้อมูล 1")</x:f>
        <x:v>HYPERLINK is not implemented. linkLocation=https://www.thic.or.th/th/tourist/detail/accommodation/682, friendlyName=เปิดแหล่งข้อมูล 1</x:v>
      </x:c>
      <x:c r="L469" s="23" t="e">
        <x:f>HYPERLINK("https://www.google.co.th/travel/hotels/entity/ChoIh5ugpOfOruWUARoNL2cvMTFqM2hzMDd6bRAB","เปิดแหล่งข้อมูล 2")</x:f>
        <x:v>HYPERLINK is not implemented. linkLocation=https://www.google.co.th/travel/hotels/entity/ChoIh5ugpOfOruWUARoNL2cvMTFqM2hzMDd6bRAB, friendlyName=เปิดแหล่งข้อมูล 2</x:v>
      </x:c>
      <x:c r="M469" s="20" t="str">
        <x:v>ผลค้นหาชื่อสัมพันธ์จากแหล่งเพิ่มเติม ต้องยืนยันสาขาและข้อมูลปัจจุบัน</x:v>
      </x:c>
      <x:c r="N469" s="10" t="n">
        <x:v>46315</x:v>
      </x:c>
      <x:c r="O469" s="22" t="str">
        <x:v>ยังไม่ตรวจ</x:v>
      </x:c>
      <x:c r="P469" s="22" t="str">
        <x:v>ยังไม่ติดต่อ</x:v>
      </x:c>
    </x:row>
    <x:row r="470" ht="66" customHeight="1">
      <x:c r="A470" s="9" t="n">
        <x:v>462</x:v>
      </x:c>
      <x:c r="B470" s="20" t="str">
        <x:v>โรงแรม เดอะ สยาม</x:v>
      </x:c>
      <x:c r="C470" s="20" t="str">
        <x:v>กรุงเทพมหานคร</x:v>
      </x:c>
      <x:c r="D470" s="20" t="str">
        <x:v>โรงแรมหรือรีสอร์ท</x:v>
      </x:c>
      <x:c r="E47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0" s="20" t="str">
        <x:v>ยังไม่พบข้อมูล</x:v>
      </x:c>
      <x:c r="G470" s="20" t="str">
        <x:v>ยังไม่พบเอกสารรับรองและวันหมดอายุ</x:v>
      </x:c>
      <x:c r="H47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0" s="20" t="str">
        <x:v>แขวงคลองสาน เขตคลองสาน กรุงเทพมหานคร 10600</x:v>
      </x:c>
      <x:c r="J470" s="21" t="str">
        <x:v>Line :</x:v>
      </x:c>
      <x:c r="K470" s="23" t="e">
        <x:f>HYPERLINK("https://www.thic.or.th/th/tourist/detail/accommodation/668","เปิดแหล่งข้อมูล 1")</x:f>
        <x:v>HYPERLINK is not implemented. linkLocation=https://www.thic.or.th/th/tourist/detail/accommodation/668, friendlyName=เปิดแหล่งข้อมูล 1</x:v>
      </x:c>
      <x:c r="L470" s="23" t="e">
        <x:f>HYPERLINK("https://th.tripadvisor.com/Hotel_Review-g293916-d2553477-Reviews-The_Siam-Bangkok.html","เปิดแหล่งข้อมูล 2")</x:f>
        <x:v>HYPERLINK is not implemented. linkLocation=https://th.tripadvisor.com/Hotel_Review-g293916-d2553477-Reviews-The_Siam-Bangkok.html, friendlyName=เปิดแหล่งข้อมูล 2</x:v>
      </x:c>
      <x:c r="M470" s="20" t="str">
        <x:v>ผลค้นหาชื่อสัมพันธ์จากแหล่งเพิ่มเติม ต้องยืนยันสาขาและข้อมูลปัจจุบัน</x:v>
      </x:c>
      <x:c r="N470" s="10" t="n">
        <x:v>46315</x:v>
      </x:c>
      <x:c r="O470" s="22" t="str">
        <x:v>ยังไม่ตรวจ</x:v>
      </x:c>
      <x:c r="P470" s="22" t="str">
        <x:v>ยังไม่ติดต่อ</x:v>
      </x:c>
    </x:row>
    <x:row r="471" ht="66" customHeight="1">
      <x:c r="A471" s="9" t="n">
        <x:v>463</x:v>
      </x:c>
      <x:c r="B471" s="20" t="str">
        <x:v>โรงแรม เดอะ เซนต์ รีจิส กรุงเทพ</x:v>
      </x:c>
      <x:c r="C471" s="20" t="str">
        <x:v>กรุงเทพมหานคร</x:v>
      </x:c>
      <x:c r="D471" s="20" t="str">
        <x:v>โรงแรมหรือรีสอร์ท</x:v>
      </x:c>
      <x:c r="E47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1" s="20" t="str">
        <x:v>ยังไม่พบข้อมูล</x:v>
      </x:c>
      <x:c r="G471" s="20" t="str">
        <x:v>ยังไม่พบเอกสารรับรองและวันหมดอายุ</x:v>
      </x:c>
      <x:c r="H47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1" s="20" t="str">
        <x:v>แขวงทุ่งวัดดอน เขตสาทร กรุงเทพมหานคร 10120</x:v>
      </x:c>
      <x:c r="J471" s="21" t="str">
        <x:v>Line :</x:v>
      </x:c>
      <x:c r="K471" s="23" t="e">
        <x:f>HYPERLINK("https://www.thic.or.th/th/tourist/detail/accommodation/690","เปิดแหล่งข้อมูล 1")</x:f>
        <x:v>HYPERLINK is not implemented. linkLocation=https://www.thic.or.th/th/tourist/detail/accommodation/690, friendlyName=เปิดแหล่งข้อมูล 1</x:v>
      </x:c>
      <x:c r="L471" s="23" t="e">
        <x:f>HYPERLINK("https://www.booking.com/hotel/th/the-st-regis-bangkok.th.html","เปิดแหล่งข้อมูล 2")</x:f>
        <x:v>HYPERLINK is not implemented. linkLocation=https://www.booking.com/hotel/th/the-st-regis-bangkok.th.html, friendlyName=เปิดแหล่งข้อมูล 2</x:v>
      </x:c>
      <x:c r="M471" s="20" t="str">
        <x:v>ผลค้นหาชื่อสัมพันธ์จากแหล่งเพิ่มเติม ต้องยืนยันสาขาและข้อมูลปัจจุบัน</x:v>
      </x:c>
      <x:c r="N471" s="10" t="n">
        <x:v>46315</x:v>
      </x:c>
      <x:c r="O471" s="22" t="str">
        <x:v>ยังไม่ตรวจ</x:v>
      </x:c>
      <x:c r="P471" s="22" t="str">
        <x:v>ยังไม่ติดต่อ</x:v>
      </x:c>
    </x:row>
    <x:row r="472" ht="66" customHeight="1">
      <x:c r="A472" s="9" t="n">
        <x:v>464</x:v>
      </x:c>
      <x:c r="B472" s="20" t="str">
        <x:v>โรงแรม เอส รัชดา เลเชอร์</x:v>
      </x:c>
      <x:c r="C472" s="20" t="str">
        <x:v>กรุงเทพมหานคร</x:v>
      </x:c>
      <x:c r="D472" s="20" t="str">
        <x:v>โรงแรมหรือรีสอร์ท</x:v>
      </x:c>
      <x:c r="E472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2" s="20" t="str">
        <x:v>ยังไม่พบข้อมูล</x:v>
      </x:c>
      <x:c r="G472" s="20" t="str">
        <x:v>ยังไม่พบเอกสารรับรองและวันหมดอายุ</x:v>
      </x:c>
      <x:c r="H47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2" s="20" t="str">
        <x:v>แขวงคลองเตยเหนือ เขตวัฒนา กรุงเทพมหานคร 10110</x:v>
      </x:c>
      <x:c r="J472" s="21" t="str">
        <x:v>Line :</x:v>
      </x:c>
      <x:c r="K472" s="23" t="e">
        <x:f>HYPERLINK("https://www.thic.or.th/th/tourist/detail/accommodation/723","เปิดแหล่งข้อมูล 1")</x:f>
        <x:v>HYPERLINK is not implemented. linkLocation=https://www.thic.or.th/th/tourist/detail/accommodation/723, friendlyName=เปิดแหล่งข้อมูล 1</x:v>
      </x:c>
      <x:c r="L472" s="23" t="e">
        <x:f>HYPERLINK("https://www.google.co.th/travel/hotels/entity/CgsI5tK_pZSH8IjsARAB?rp=OAHCAhwiGg0AAEhCEhMI1cakw-_MlgMVNrIDAB2YBhP2&amp;ts=CAESCgoCCAMKAggDEAAaIAoCGgASGhIUCgcI6g8QCxgGEgcI6g8QCxgNGAcyAhAAKgkKBToDVVNEGgA","เปิดแหล่งข้อมูล 2")</x:f>
        <x:v>HYPERLINK is not implemented. linkLocation=https://www.google.co.th/travel/hotels/entity/CgsI5tK_pZSH8IjsARAB?rp=OAHCAhwiGg0AAEhCEhMI1cakw-_MlgMVNrIDAB2YBhP2&amp;ts=CAESCgoCCAMKAggDEAAaIAoCGgASGhIUCgcI6g8QCxgGEgcI6g8QCxgNGAcyAhAAKgkKBToDVVNEGgA, friendlyName=เปิดแหล่งข้อมูล 2</x:v>
      </x:c>
      <x:c r="M472" s="20" t="str">
        <x:v>ผลค้นหาชื่อสัมพันธ์จากแหล่งเพิ่มเติม ต้องยืนยันสาขาและข้อมูลปัจจุบัน</x:v>
      </x:c>
      <x:c r="N472" s="10" t="n">
        <x:v>46315</x:v>
      </x:c>
      <x:c r="O472" s="22" t="str">
        <x:v>ยังไม่ตรวจ</x:v>
      </x:c>
      <x:c r="P472" s="22" t="str">
        <x:v>ยังไม่ติดต่อ</x:v>
      </x:c>
    </x:row>
    <x:row r="473" ht="66" customHeight="1">
      <x:c r="A473" s="9" t="n">
        <x:v>465</x:v>
      </x:c>
      <x:c r="B473" s="20" t="str">
        <x:v>โรงแรมดับเบิ้ลยู กรุงเทพ</x:v>
      </x:c>
      <x:c r="C473" s="20" t="str">
        <x:v>กรุงเทพมหานคร</x:v>
      </x:c>
      <x:c r="D473" s="20" t="str">
        <x:v>โรงแรมหรือรีสอร์ท</x:v>
      </x:c>
      <x:c r="E473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3" s="20" t="str">
        <x:v>ยังไม่พบข้อมูล</x:v>
      </x:c>
      <x:c r="G473" s="20" t="str">
        <x:v>ยังไม่พบเอกสารรับรองและวันหมดอายุ</x:v>
      </x:c>
      <x:c r="H47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3" s="20" t="str">
        <x:v>แขวง*พระโขนง เขตพระโขนง กรุงเทพมหานคร 10110</x:v>
      </x:c>
      <x:c r="J473" s="21" t="str">
        <x:v>Line :</x:v>
      </x:c>
      <x:c r="K473" s="23" t="e">
        <x:f>HYPERLINK("https://www.thic.or.th/th/tourist/detail/accommodation/649","เปิดแหล่งข้อมูล 1")</x:f>
        <x:v>HYPERLINK is not implemented. linkLocation=https://www.thic.or.th/th/tourist/detail/accommodation/649, friendlyName=เปิดแหล่งข้อมูล 1</x:v>
      </x:c>
      <x:c r="L473" s="23" t="e">
        <x:f>HYPERLINK("https://www.booking.com/hotel/th/w-bangkok.th.html","เปิดแหล่งข้อมูล 2")</x:f>
        <x:v>HYPERLINK is not implemented. linkLocation=https://www.booking.com/hotel/th/w-bangkok.th.html, friendlyName=เปิดแหล่งข้อมูล 2</x:v>
      </x:c>
      <x:c r="M473" s="20" t="str">
        <x:v>ผลค้นหาชื่อสัมพันธ์จากแหล่งเพิ่มเติม ต้องยืนยันสาขาและข้อมูลปัจจุบัน</x:v>
      </x:c>
      <x:c r="N473" s="10" t="n">
        <x:v>46315</x:v>
      </x:c>
      <x:c r="O473" s="22" t="str">
        <x:v>ยังไม่ตรวจ</x:v>
      </x:c>
      <x:c r="P473" s="22" t="str">
        <x:v>ยังไม่ติดต่อ</x:v>
      </x:c>
    </x:row>
    <x:row r="474" ht="66" customHeight="1">
      <x:c r="A474" s="9" t="n">
        <x:v>466</x:v>
      </x:c>
      <x:c r="B474" s="20" t="str">
        <x:v>โรงแรมรอยัลเอเชียประตูน้ำ</x:v>
      </x:c>
      <x:c r="C474" s="20" t="str">
        <x:v>กรุงเทพมหานคร</x:v>
      </x:c>
      <x:c r="D474" s="20" t="str">
        <x:v>โรงแรมหรือรีสอร์ท</x:v>
      </x:c>
      <x:c r="E47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4" s="20" t="str">
        <x:v>ยังไม่พบข้อมูล</x:v>
      </x:c>
      <x:c r="G474" s="20" t="str">
        <x:v>ยังไม่พบเอกสารรับรองและวันหมดอายุ</x:v>
      </x:c>
      <x:c r="H47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4" s="20" t="str">
        <x:v>แขวงรองเมือง เขตปทุมวัน กรุงเทพมหานคร 10330</x:v>
      </x:c>
      <x:c r="J474" s="21" t="str">
        <x:v>Line :</x:v>
      </x:c>
      <x:c r="K474" s="23" t="e">
        <x:f>HYPERLINK("https://www.thic.or.th/th/tourist/detail/accommodation/731","เปิดแหล่งข้อมูล 1")</x:f>
        <x:v>HYPERLINK is not implemented. linkLocation=https://www.thic.or.th/th/tourist/detail/accommodation/731, friendlyName=เปิดแหล่งข้อมูล 1</x:v>
      </x:c>
      <x:c r="L474" s="23" t="e">
        <x:f>HYPERLINK("https://www.google.co.th/travel/hotels/entity/ChoI8NCxwYLmk9SyARoNL2cvMTF2Njh3bGtyNBAB","เปิดแหล่งข้อมูล 2")</x:f>
        <x:v>HYPERLINK is not implemented. linkLocation=https://www.google.co.th/travel/hotels/entity/ChoI8NCxwYLmk9SyARoNL2cvMTF2Njh3bGtyNBAB, friendlyName=เปิดแหล่งข้อมูล 2</x:v>
      </x:c>
      <x:c r="M474" s="20" t="str">
        <x:v>ผลค้นหาชื่อสัมพันธ์จากแหล่งเพิ่มเติม ต้องยืนยันสาขาและข้อมูลปัจจุบัน</x:v>
      </x:c>
      <x:c r="N474" s="10" t="n">
        <x:v>46315</x:v>
      </x:c>
      <x:c r="O474" s="22" t="str">
        <x:v>ยังไม่ตรวจ</x:v>
      </x:c>
      <x:c r="P474" s="22" t="str">
        <x:v>ยังไม่ติดต่อ</x:v>
      </x:c>
    </x:row>
    <x:row r="475" ht="66" customHeight="1">
      <x:c r="A475" s="9" t="n">
        <x:v>467</x:v>
      </x:c>
      <x:c r="B475" s="20" t="str">
        <x:v>โรงแรมสีลม ศิรีนทร์</x:v>
      </x:c>
      <x:c r="C475" s="20" t="str">
        <x:v>กรุงเทพมหานคร</x:v>
      </x:c>
      <x:c r="D475" s="20" t="str">
        <x:v>โรงแรมหรือรีสอร์ท</x:v>
      </x:c>
      <x:c r="E475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5" s="20" t="str">
        <x:v>ยังไม่พบข้อมูล</x:v>
      </x:c>
      <x:c r="G475" s="20" t="str">
        <x:v>ยังไม่พบเอกสารรับรองและวันหมดอายุ</x:v>
      </x:c>
      <x:c r="H475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5" s="20" t="str">
        <x:v>แขวงสีลม เขตบางรัก กรุงเทพมหานคร 10500</x:v>
      </x:c>
      <x:c r="J475" s="21" t="str">
        <x:v>Line :</x:v>
      </x:c>
      <x:c r="K475" s="23" t="e">
        <x:f>HYPERLINK("https://www.thic.or.th/th/tourist/detail/accommodation/670","เปิดแหล่งข้อมูล 1")</x:f>
        <x:v>HYPERLINK is not implemented. linkLocation=https://www.thic.or.th/th/tourist/detail/accommodation/670, friendlyName=เปิดแหล่งข้อมูล 1</x:v>
      </x:c>
      <x:c r="L475" s="23" t="e">
        <x:f>HYPERLINK("https://www.google.co.th/travel/hotels/entity/ChkI6cz_tbmC_LzYARoML2cvMXloNGc3NjRuEAE?rp=OAHCAhwiGg0AAJhBEhMIlKSZxuHflQMVCv5LAx1l3RQR&amp;ts=CAEaBAoCGgAqBAoAGgA","เปิดแหล่งข้อมูล 2")</x:f>
        <x:v>HYPERLINK is not implemented. linkLocation=https://www.google.co.th/travel/hotels/entity/ChkI6cz_tbmC_LzYARoML2cvMXloNGc3NjRuEAE?rp=OAHCAhwiGg0AAJhBEhMIlKSZxuHflQMVCv5LAx1l3RQR&amp;ts=CAEaBAoCGgAqBAoAGgA, friendlyName=เปิดแหล่งข้อมูล 2</x:v>
      </x:c>
      <x:c r="M475" s="20" t="str">
        <x:v>ผลค้นหาชื่อสัมพันธ์จากแหล่งเพิ่มเติม ต้องยืนยันสาขาและข้อมูลปัจจุบัน</x:v>
      </x:c>
      <x:c r="N475" s="10" t="n">
        <x:v>46315</x:v>
      </x:c>
      <x:c r="O475" s="22" t="str">
        <x:v>ยังไม่ตรวจ</x:v>
      </x:c>
      <x:c r="P475" s="22" t="str">
        <x:v>ยังไม่ติดต่อ</x:v>
      </x:c>
    </x:row>
    <x:row r="476" ht="66" customHeight="1">
      <x:c r="A476" s="9" t="n">
        <x:v>468</x:v>
      </x:c>
      <x:c r="B476" s="20" t="str">
        <x:v>โรงแรมอาศัย กรุงเทพฯ สาทร</x:v>
      </x:c>
      <x:c r="C476" s="20" t="str">
        <x:v>กรุงเทพมหานคร</x:v>
      </x:c>
      <x:c r="D476" s="20" t="str">
        <x:v>โรงแรมหรือรีสอร์ท</x:v>
      </x:c>
      <x:c r="E476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6" s="20" t="str">
        <x:v>ยังไม่พบข้อมูล</x:v>
      </x:c>
      <x:c r="G476" s="20" t="str">
        <x:v>ยังไม่พบเอกสารรับรองและวันหมดอายุ</x:v>
      </x:c>
      <x:c r="H476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6" s="20" t="str">
        <x:v>แขวงสีลม เขตสาทร กรุงเทพมหานคร 10500</x:v>
      </x:c>
      <x:c r="J476" s="21" t="str">
        <x:v>Line :</x:v>
      </x:c>
      <x:c r="K476" s="23" t="e">
        <x:f>HYPERLINK("https://www.thic.or.th/th/tourist/detail/accommodation/686","เปิดแหล่งข้อมูล 1")</x:f>
        <x:v>HYPERLINK is not implemented. linkLocation=https://www.thic.or.th/th/tourist/detail/accommodation/686, friendlyName=เปิดแหล่งข้อมูล 1</x:v>
      </x:c>
      <x:c r="L476" s="23" t="e">
        <x:f>HYPERLINK("https://www.google.co.th/travel/hotels/entity/ChoIu9qEmomUvea4ARoNL2cvMTF0YmZiMGpkMRAB?ap=MAA&amp;g2lb=2502405%2C4208993%2C4223281%2C4242898%2C4253024%2C4253230%2C4254308%2C4258168%2C4260007%2C4262509%2C4264355%2C4265959%2C4274032%2C4274649%2C4250437%2C4251519%2C4265427%2C4270859%2C4271268&amp;gl=th&amp;hl=th&amp;rp=OAFAAEgCwgIcIhoNAADIQxITCM660fe9pZUDFS3ySwMdR0IzAw&amp;tcfs=EgBSAA&amp;ts=CAEaBAoCGgAqBAoAGgA&amp;un=1","เปิดแหล่งข้อมูล 2")</x:f>
        <x:v>HYPERLINK is not implemented. linkLocation=https://www.google.co.th/travel/hotels/entity/ChoIu9qEmomUvea4ARoNL2cvMTF0YmZiMGpkMRAB?ap=MAA&amp;g2lb=2502405%2C4208993%2C4223281%2C4242898%2C4253024%2C4253230%2C4254308%2C4258168%2C4260007%2C4262509%2C4264355%2C4265959%2C4274032%2C4274649%2C4250437%2C4251519%2C4265427%2C4270859%2C4271268&amp;gl=th&amp;hl=th&amp;rp=OAFAAEgCwgIcIhoNAADIQxITCM660fe9pZUDFS3ySwMdR0IzAw&amp;tcfs=EgBSAA&amp;ts=CAEaBAoCGgAqBAoAGgA&amp;un=1, friendlyName=เปิดแหล่งข้อมูล 2</x:v>
      </x:c>
      <x:c r="M476" s="20" t="str">
        <x:v>ผลค้นหาชื่อสัมพันธ์จากแหล่งเพิ่มเติม ต้องยืนยันสาขาและข้อมูลปัจจุบัน</x:v>
      </x:c>
      <x:c r="N476" s="10" t="n">
        <x:v>46315</x:v>
      </x:c>
      <x:c r="O476" s="22" t="str">
        <x:v>ยังไม่ตรวจ</x:v>
      </x:c>
      <x:c r="P476" s="22" t="str">
        <x:v>ยังไม่ติดต่อ</x:v>
      </x:c>
    </x:row>
    <x:row r="477" ht="66" customHeight="1">
      <x:c r="A477" s="9" t="n">
        <x:v>469</x:v>
      </x:c>
      <x:c r="B477" s="20" t="str">
        <x:v>โรงแรมอโนมา แกรนด์ กรุงเทพฯ</x:v>
      </x:c>
      <x:c r="C477" s="20" t="str">
        <x:v>กรุงเทพมหานคร</x:v>
      </x:c>
      <x:c r="D477" s="20" t="str">
        <x:v>โรงแรมหรือรีสอร์ท</x:v>
      </x:c>
      <x:c r="E477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7" s="20" t="str">
        <x:v>ยังไม่พบข้อมูล</x:v>
      </x:c>
      <x:c r="G477" s="20" t="str">
        <x:v>ยังไม่พบเอกสารรับรองและวันหมดอายุ</x:v>
      </x:c>
      <x:c r="H477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7" s="20" t="str">
        <x:v>แขวงรองเมือง เขตปทุมวัน กรุงเทพมหานคร 10330</x:v>
      </x:c>
      <x:c r="J477" s="21" t="str">
        <x:v>Line :</x:v>
      </x:c>
      <x:c r="K477" s="23" t="e">
        <x:f>HYPERLINK("https://www.thic.or.th/th/tourist/detail/accommodation/724","เปิดแหล่งข้อมูล 1")</x:f>
        <x:v>HYPERLINK is not implemented. linkLocation=https://www.thic.or.th/th/tourist/detail/accommodation/724, friendlyName=เปิดแหล่งข้อมูล 1</x:v>
      </x:c>
      <x:c r="L477" s="23" t="e">
        <x:f>HYPERLINK("https://www.google.co.th/travel/hotels/entity/ChgIo_3Ekp-u9MdmGgwvZy8xcTY3OGtwbmgQAQ","เปิดแหล่งข้อมูล 2")</x:f>
        <x:v>HYPERLINK is not implemented. linkLocation=https://www.google.co.th/travel/hotels/entity/ChgIo_3Ekp-u9MdmGgwvZy8xcTY3OGtwbmgQAQ, friendlyName=เปิดแหล่งข้อมูล 2</x:v>
      </x:c>
      <x:c r="M477" s="20" t="str">
        <x:v>ผลค้นหาชื่อสัมพันธ์จากแหล่งเพิ่มเติม ต้องยืนยันสาขาและข้อมูลปัจจุบัน</x:v>
      </x:c>
      <x:c r="N477" s="10" t="n">
        <x:v>46315</x:v>
      </x:c>
      <x:c r="O477" s="22" t="str">
        <x:v>ยังไม่ตรวจ</x:v>
      </x:c>
      <x:c r="P477" s="22" t="str">
        <x:v>ยังไม่ติดต่อ</x:v>
      </x:c>
    </x:row>
    <x:row r="478" ht="66" customHeight="1">
      <x:c r="A478" s="9" t="n">
        <x:v>470</x:v>
      </x:c>
      <x:c r="B478" s="20" t="str">
        <x:v>โรงแรมฮอลิเดย์ อินน์ เอ็กซ์เพรส กรุงเทพ สาทร</x:v>
      </x:c>
      <x:c r="C478" s="20" t="str">
        <x:v>กรุงเทพมหานคร</x:v>
      </x:c>
      <x:c r="D478" s="20" t="str">
        <x:v>โรงแรมหรือรีสอร์ท</x:v>
      </x:c>
      <x:c r="E478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8" s="20" t="str">
        <x:v>ยังไม่พบข้อมูล</x:v>
      </x:c>
      <x:c r="G478" s="20" t="str">
        <x:v>ยังไม่พบเอกสารรับรองและวันหมดอายุ</x:v>
      </x:c>
      <x:c r="H478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8" s="20" t="str">
        <x:v>แขวงสีลม เขตสาทร กรุงเทพมหานคร 10500</x:v>
      </x:c>
      <x:c r="J478" s="21" t="str">
        <x:v>Line :</x:v>
      </x:c>
      <x:c r="K478" s="23" t="e">
        <x:f>HYPERLINK("https://www.thic.or.th/th/tourist/detail/accommodation/689","เปิดแหล่งข้อมูล 1")</x:f>
        <x:v>HYPERLINK is not implemented. linkLocation=https://www.thic.or.th/th/tourist/detail/accommodation/689, friendlyName=เปิดแหล่งข้อมูล 1</x:v>
      </x:c>
      <x:c r="L478" s="23" t="e">
        <x:f>HYPERLINK("https://www.booking.com/hotel/th/holiday-inn-express-bangkok-sathorn.th.html","เปิดแหล่งข้อมูล 2")</x:f>
        <x:v>HYPERLINK is not implemented. linkLocation=https://www.booking.com/hotel/th/holiday-inn-express-bangkok-sathorn.th.html, friendlyName=เปิดแหล่งข้อมูล 2</x:v>
      </x:c>
      <x:c r="M478" s="20" t="str">
        <x:v>ผลค้นหาชื่อสัมพันธ์จากแหล่งเพิ่มเติม ต้องยืนยันสาขาและข้อมูลปัจจุบัน</x:v>
      </x:c>
      <x:c r="N478" s="10" t="n">
        <x:v>46315</x:v>
      </x:c>
      <x:c r="O478" s="22" t="str">
        <x:v>ยังไม่ตรวจ</x:v>
      </x:c>
      <x:c r="P478" s="22" t="str">
        <x:v>ยังไม่ติดต่อ</x:v>
      </x:c>
    </x:row>
    <x:row r="479" ht="66" customHeight="1">
      <x:c r="A479" s="9" t="n">
        <x:v>471</x:v>
      </x:c>
      <x:c r="B479" s="20" t="str">
        <x:v>โรงแรมเซ็นเตอร์ พอยต์ พลัส ประตูน้ำ</x:v>
      </x:c>
      <x:c r="C479" s="20" t="str">
        <x:v>กรุงเทพมหานคร</x:v>
      </x:c>
      <x:c r="D479" s="20" t="str">
        <x:v>โรงแรมหรือรีสอร์ท</x:v>
      </x:c>
      <x:c r="E479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79" s="20" t="str">
        <x:v>ยังไม่พบข้อมูล</x:v>
      </x:c>
      <x:c r="G479" s="20" t="str">
        <x:v>ยังไม่พบเอกสารรับรองและวันหมดอายุ</x:v>
      </x:c>
      <x:c r="H479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79" s="20" t="str">
        <x:v>6 ซ. เพชรบุรี 15 แขวงถนนพญาไท เขตราชเทวี กรุงเทพมหานคร 10400 แขวงรองเมือง เขตปทุมวัน กรุงเทพมหานคร 10330</x:v>
      </x:c>
      <x:c r="J479" s="21" t="str">
        <x:v>ยังไม่พบข้อมูล</x:v>
      </x:c>
      <x:c r="K479" s="23" t="e">
        <x:f>HYPERLINK("https://www.thic.or.th/th/tourist/detail/accommodation/732","เปิดแหล่งข้อมูล 1")</x:f>
        <x:v>HYPERLINK is not implemented. linkLocation=https://www.thic.or.th/th/tourist/detail/accommodation/732, friendlyName=เปิดแหล่งข้อมูล 1</x:v>
      </x:c>
      <x:c r="L479" s="23" t="e">
        <x:f>HYPERLINK("https://www.google.co.th/travel/hotels/entity/ChgIhY_xu8f18rKVARoLL2cvMXRkd3MzZHAQAQ?rp=OAHCAhwiGg0AADxCEhMIit2Skd7ClQMVhfJLAx2VRSHo&amp;ts=CAEaBAoCGgAqBAoAGgA","เปิดแหล่งข้อมูล 2")</x:f>
        <x:v>HYPERLINK is not implemented. linkLocation=https://www.google.co.th/travel/hotels/entity/ChgIhY_xu8f18rKVARoLL2cvMXRkd3MzZHAQAQ?rp=OAHCAhwiGg0AADxCEhMIit2Skd7ClQMVhfJLAx2VRSHo&amp;ts=CAEaBAoCGgAqBAoAGgA, friendlyName=เปิดแหล่งข้อมูล 2</x:v>
      </x:c>
      <x:c r="M479" s="20" t="str">
        <x:v>ผลค้นหาชื่อสัมพันธ์จากแหล่งเพิ่มเติม ต้องยืนยันสาขาและข้อมูลปัจจุบัน</x:v>
      </x:c>
      <x:c r="N479" s="10" t="n">
        <x:v>46315</x:v>
      </x:c>
      <x:c r="O479" s="22" t="str">
        <x:v>ยังไม่ตรวจ</x:v>
      </x:c>
      <x:c r="P479" s="22" t="str">
        <x:v>ยังไม่ติดต่อ</x:v>
      </x:c>
    </x:row>
    <x:row r="480" ht="66" customHeight="1">
      <x:c r="A480" s="9" t="n">
        <x:v>472</x:v>
      </x:c>
      <x:c r="B480" s="20" t="str">
        <x:v>โรงแรมเดอะ ควอเตอร์ สีลม บาย ยูเอชจี</x:v>
      </x:c>
      <x:c r="C480" s="20" t="str">
        <x:v>กรุงเทพมหานคร</x:v>
      </x:c>
      <x:c r="D480" s="20" t="str">
        <x:v>โรงแรมหรือรีสอร์ท</x:v>
      </x:c>
      <x:c r="E480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80" s="20" t="str">
        <x:v>ยังไม่พบข้อมูล</x:v>
      </x:c>
      <x:c r="G480" s="20" t="str">
        <x:v>ยังไม่พบเอกสารรับรองและวันหมดอายุ</x:v>
      </x:c>
      <x:c r="H480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80" s="20" t="str">
        <x:v>แขวงสีลม เขตบางรัก กรุงเทพมหานคร 10500</x:v>
      </x:c>
      <x:c r="J480" s="21" t="str">
        <x:v>Line :</x:v>
      </x:c>
      <x:c r="K480" s="23" t="e">
        <x:f>HYPERLINK("https://www.thic.or.th/th/tourist/detail/accommodation/672","เปิดแหล่งข้อมูล 1")</x:f>
        <x:v>HYPERLINK is not implemented. linkLocation=https://www.thic.or.th/th/tourist/detail/accommodation/672, friendlyName=เปิดแหล่งข้อมูล 1</x:v>
      </x:c>
      <x:c r="L480" s="23" t="e">
        <x:f>HYPERLINK("https://www.google.com/travel/hotels/entity/CgsIp5qZ8Kjo3aLFARAB?g2lb=2502548%2C4258168%2C4270442%2C4271060%2C4306835%2C4317915%2C4322823%2C4328159%2C4371334%2C4401769%2C4419364%2C4425458%2C4433754%2C4441771%2C4444000%2C4447566%2C4270859%2C4284970%2C4291517%2C4412693&amp;gl=th&amp;hl=th-TH&amp;hrf=IgNUSEIqFgoHCOQPEAoYFxIHCOQPEAoYGBgBKACCASUweDMwZTI5ZjMwZmYzNjA4NTE6MHgyNzk4YTc2ZDhhNTFhOWJimgEnGiUweDMwZTI5ZjMwZmYzNjA4NTE6MHgyNzk4YTc2ZDhhNTFhOWJi&amp;rp=ELvTxtLY7anMJxC708bS2O2pzCc4AkAASAHAAQI&amp;un=1","เปิดแหล่งข้อมูล 2")</x:f>
        <x:v>HYPERLINK is not implemented. linkLocation=https://www.google.com/travel/hotels/entity/CgsIp5qZ8Kjo3aLFARAB?g2lb=2502548%2C4258168%2C4270442%2C4271060%2C4306835%2C4317915%2C4322823%2C4328159%2C4371334%2C4401769%2C4419364%2C4425458%2C4433754%2C4441771%2C4444000%2C4447566%2C4270859%2C4284970%2C4291517%2C4412693&amp;gl=th&amp;hl=th-TH&amp;hrf=IgNUSEIqFgoHCOQPEAoYFxIHCOQPEAoYGBgBKACCASUweDMwZTI5ZjMwZmYzNjA4NTE6MHgyNzk4YTc2ZDhhNTFhOWJimgEnGiUweDMwZTI5ZjMwZmYzNjA4NTE6MHgyNzk4YTc2ZDhhNTFhOWJi&amp;rp=ELvTxtLY7anMJxC708bS2O2pzCc4AkAASAHAAQI&amp;un=1, friendlyName=เปิดแหล่งข้อมูล 2</x:v>
      </x:c>
      <x:c r="M480" s="20" t="str">
        <x:v>ผลค้นหาชื่อสัมพันธ์จากแหล่งเพิ่มเติม ต้องยืนยันสาขาและข้อมูลปัจจุบัน</x:v>
      </x:c>
      <x:c r="N480" s="10" t="n">
        <x:v>46315</x:v>
      </x:c>
      <x:c r="O480" s="22" t="str">
        <x:v>ยังไม่ตรวจ</x:v>
      </x:c>
      <x:c r="P480" s="22" t="str">
        <x:v>ยังไม่ติดต่อ</x:v>
      </x:c>
    </x:row>
    <x:row r="481" ht="66" customHeight="1">
      <x:c r="A481" s="9" t="n">
        <x:v>473</x:v>
      </x:c>
      <x:c r="B481" s="20" t="str">
        <x:v>โรงแรมเดอะ เบอร์เคลีย์ ประตูน้ำ</x:v>
      </x:c>
      <x:c r="C481" s="20" t="str">
        <x:v>กรุงเทพมหานคร</x:v>
      </x:c>
      <x:c r="D481" s="20" t="str">
        <x:v>โรงแรมหรือรีสอร์ท</x:v>
      </x:c>
      <x:c r="E481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81" s="20" t="str">
        <x:v>ยังไม่พบข้อมูล</x:v>
      </x:c>
      <x:c r="G481" s="20" t="str">
        <x:v>ยังไม่พบเอกสารรับรองและวันหมดอายุ</x:v>
      </x:c>
      <x:c r="H481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81" s="20" t="str">
        <x:v>แขวงรองเมือง เขตปทุมวัน กรุงเทพมหานคร 10330</x:v>
      </x:c>
      <x:c r="J481" s="21" t="str">
        <x:v>Line :</x:v>
      </x:c>
      <x:c r="K481" s="23" t="e">
        <x:f>HYPERLINK("https://www.thic.or.th/th/tourist/detail/accommodation/730","เปิดแหล่งข้อมูล 1")</x:f>
        <x:v>HYPERLINK is not implemented. linkLocation=https://www.thic.or.th/th/tourist/detail/accommodation/730, friendlyName=เปิดแหล่งข้อมูล 1</x:v>
      </x:c>
      <x:c r="L481" s="23" t="e">
        <x:f>HYPERLINK("https://www.google.co.th/travel/hotels/entity/CgsIgpT96orRxo3gARAB?g2lb=2502548%2C4258168%2C4260007%2C4274032%2C4276710%2C4305595%2C4306835%2C4308216%2C4308227%2C4314846%2C4317915%2C4328159%2C4329288%2C4330862%2C4341278%2C4346807%2C4356223%2C4358419%2C4270859%2C4284970%2C4316256&amp;gl=th&amp;hl=th&amp;q=nature+boutique+hotel&amp;rp=ENOqzJSt_67IdTgBQABIAYoCFW5hdHVyZSBib3V0aXF1ZSBob3RlbA&amp;ts=CAESABpLCi0SKTon4LiB4Lij4Li44LiH4LmA4LiX4Lie4Lih4Lir4Liy4LiZ4LiE4LijGgASGhIUCgcI5Q8QCRgBEgcI5Q8QCRgCGAEyAhAAKgsKBygBOgNUSEIaAA&amp;un=1","เปิดแหล่งข้อมูล 2")</x:f>
        <x:v>HYPERLINK is not implemented. linkLocation=https://www.google.co.th/travel/hotels/entity/CgsIgpT96orRxo3gARAB?g2lb=2502548%2C4258168%2C4260007%2C4274032%2C4276710%2C4305595%2C4306835%2C4308216%2C4308227%2C4314846%2C4317915%2C4328159%2C4329288%2C4330862%2C4341278%2C4346807%2C4356223%2C4358419%2C4270859%2C4284970%2C4316256&amp;gl=th&amp;hl=th&amp;q=nature+boutique+hotel&amp;rp=ENOqzJSt_67IdTgBQABIAYoCFW5hdHVyZSBib3V0aXF1ZSBob3RlbA&amp;ts=CAESABpLCi0SKTon4LiB4Lij4Li44LiH4LmA4LiX4Lie4Lih4Lir4Liy4LiZ4LiE4LijGgASGhIUCgcI5Q8QCRgBEgcI5Q8QCRgCGAEyAhAAKgsKBygBOgNUSEIaAA&amp;un=1, friendlyName=เปิดแหล่งข้อมูล 2</x:v>
      </x:c>
      <x:c r="M481" s="20" t="str">
        <x:v>ผลค้นหาชื่อสัมพันธ์จากแหล่งเพิ่มเติม ต้องยืนยันสาขาและข้อมูลปัจจุบัน</x:v>
      </x:c>
      <x:c r="N481" s="10" t="n">
        <x:v>46315</x:v>
      </x:c>
      <x:c r="O481" s="22" t="str">
        <x:v>ยังไม่ตรวจ</x:v>
      </x:c>
      <x:c r="P481" s="22" t="str">
        <x:v>ยังไม่ติดต่อ</x:v>
      </x:c>
    </x:row>
    <x:row r="482" ht="66" customHeight="1">
      <x:c r="A482" s="9" t="n">
        <x:v>474</x:v>
      </x:c>
      <x:c r="B482" s="20" t="str">
        <x:v>โรงแรมเลอฟินิกซ์ สุขุมวิท</x:v>
      </x:c>
      <x:c r="C482" s="20" t="str">
        <x:v>กรุงเทพมหานคร</x:v>
      </x:c>
      <x:c r="D482" s="20" t="str">
        <x:v>โรงแรมหรือรีสอร์ท</x:v>
      </x:c>
      <x:c r="E482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82" s="20" t="str">
        <x:v>ยังไม่พบข้อมูล</x:v>
      </x:c>
      <x:c r="G482" s="20" t="str">
        <x:v>ยังไม่พบเอกสารรับรองและวันหมดอายุ</x:v>
      </x:c>
      <x:c r="H482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82" s="20" t="str">
        <x:v>แขวงบางจาก เขตพระโขนง กรุงเทพมหานคร 10110</x:v>
      </x:c>
      <x:c r="J482" s="21" t="str">
        <x:v>Line :</x:v>
      </x:c>
      <x:c r="K482" s="23" t="e">
        <x:f>HYPERLINK("https://www.thic.or.th/th/tourist/detail/accommodation/655","เปิดแหล่งข้อมูล 1")</x:f>
        <x:v>HYPERLINK is not implemented. linkLocation=https://www.thic.or.th/th/tourist/detail/accommodation/655, friendlyName=เปิดแหล่งข้อมูล 1</x:v>
      </x:c>
      <x:c r="L482" s="23" t="e">
        <x:f>HYPERLINK("https://www.google.co.th/travel/hotels/entity/ChgI9478n8ehy_UfGgwvZy8xamt2eXJ2NjAQAQ","เปิดแหล่งข้อมูล 2")</x:f>
        <x:v>HYPERLINK is not implemented. linkLocation=https://www.google.co.th/travel/hotels/entity/ChgI9478n8ehy_UfGgwvZy8xamt2eXJ2NjAQAQ, friendlyName=เปิดแหล่งข้อมูล 2</x:v>
      </x:c>
      <x:c r="M482" s="20" t="str">
        <x:v>ผลค้นหาชื่อสัมพันธ์จากแหล่งเพิ่มเติม ต้องยืนยันสาขาและข้อมูลปัจจุบัน</x:v>
      </x:c>
      <x:c r="N482" s="10" t="n">
        <x:v>46315</x:v>
      </x:c>
      <x:c r="O482" s="22" t="str">
        <x:v>ยังไม่ตรวจ</x:v>
      </x:c>
      <x:c r="P482" s="22" t="str">
        <x:v>ยังไม่ติดต่อ</x:v>
      </x:c>
    </x:row>
    <x:row r="483" ht="66" customHeight="1">
      <x:c r="A483" s="9" t="n">
        <x:v>475</x:v>
      </x:c>
      <x:c r="B483" s="20" t="str">
        <x:v>โรงแรมโฟร์ซีซั่นส์ กรุงเทพ ริมแม่น้ำเจ้าพระยา</x:v>
      </x:c>
      <x:c r="C483" s="20" t="str">
        <x:v>กรุงเทพมหานคร</x:v>
      </x:c>
      <x:c r="D483" s="20" t="str">
        <x:v>โรงแรมหรือรีสอร์ท</x:v>
      </x:c>
      <x:c r="E483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83" s="20" t="str">
        <x:v>ยังไม่พบข้อมูล</x:v>
      </x:c>
      <x:c r="G483" s="20" t="str">
        <x:v>ยังไม่พบเอกสารรับรองและวันหมดอายุ</x:v>
      </x:c>
      <x:c r="H483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83" s="20" t="str">
        <x:v>แขวงวัดท่าพระ เขตบางกอกใหญ่ กรุงเทพมหานคร 10700</x:v>
      </x:c>
      <x:c r="J483" s="21" t="str">
        <x:v>Line :</x:v>
      </x:c>
      <x:c r="K483" s="23" t="e">
        <x:f>HYPERLINK("https://www.thic.or.th/th/tourist/detail/accommodation/648","เปิดแหล่งข้อมูล 1")</x:f>
        <x:v>HYPERLINK is not implemented. linkLocation=https://www.thic.or.th/th/tourist/detail/accommodation/648, friendlyName=เปิดแหล่งข้อมูล 1</x:v>
      </x:c>
      <x:c r="L483" s="23" t="e">
        <x:f>HYPERLINK("https://www.google.co.th/travel/hotels/entity/CgsI6aqaz_TVqffFARAB?rp=OAHCAhwiGg0AAEhCEhMI1cakw-_MlgMVNrIDAB2YBhP2&amp;ts=CAESCgoCCAMKAggDEAAaIAoCGgASGhIUCgcI6g8QCxgGEgcI6g8QCxgNGAcyAhAAKgkKBToDVVNEGgA","เปิดแหล่งข้อมูล 2")</x:f>
        <x:v>HYPERLINK is not implemented. linkLocation=https://www.google.co.th/travel/hotels/entity/CgsI6aqaz_TVqffFARAB?rp=OAHCAhwiGg0AAEhCEhMI1cakw-_MlgMVNrIDAB2YBhP2&amp;ts=CAESCgoCCAMKAggDEAAaIAoCGgASGhIUCgcI6g8QCxgGEgcI6g8QCxgNGAcyAhAAKgkKBToDVVNEGgA, friendlyName=เปิดแหล่งข้อมูล 2</x:v>
      </x:c>
      <x:c r="M483" s="20" t="str">
        <x:v>ผลค้นหาชื่อสัมพันธ์จากแหล่งเพิ่มเติม ต้องยืนยันสาขาและข้อมูลปัจจุบัน</x:v>
      </x:c>
      <x:c r="N483" s="10" t="n">
        <x:v>46315</x:v>
      </x:c>
      <x:c r="O483" s="22" t="str">
        <x:v>ยังไม่ตรวจ</x:v>
      </x:c>
      <x:c r="P483" s="22" t="str">
        <x:v>ยังไม่ติดต่อ</x:v>
      </x:c>
    </x:row>
    <x:row r="484" ht="66" customHeight="1">
      <x:c r="A484" s="9" t="n">
        <x:v>476</x:v>
      </x:c>
      <x:c r="B484" s="20" t="str">
        <x:v>โรงแรมไชน่าทาวน์</x:v>
      </x:c>
      <x:c r="C484" s="20" t="str">
        <x:v>กรุงเทพมหานคร</x:v>
      </x:c>
      <x:c r="D484" s="20" t="str">
        <x:v>โรงแรมหรือรีสอร์ท</x:v>
      </x:c>
      <x:c r="E484" s="20" t="str">
        <x:v>THIC ระบุเป็นที่พักในฐานข้อมูลท่องเที่ยวฮาลาล ยังต้องตรวจบริการมุสลิมของสถานที่จริง</x:v>
      </x:c>
      <x:c r="F484" s="20" t="str">
        <x:v>ยังไม่พบข้อมูล</x:v>
      </x:c>
      <x:c r="G484" s="20" t="str">
        <x:v>ยังไม่พบเอกสารรับรองและวันหมดอายุ</x:v>
      </x:c>
      <x:c r="H484" s="20" t="str">
        <x:v>ตรวจครัวฮาลาลและบุคลากรมุสลิม ห้องหรือพื้นที่ละหมาดพร้อมที่อาบน้ำละหมาด ห้องพักปลอดสัตว์เลี้ยง และการจัดการแอลกอฮอล์</x:v>
      </x:c>
      <x:c r="I484" s="20" t="str">
        <x:v>526 ถ. พาดสาย แขวงสัมพันธวงศ์ เขตสัมพันธวงศ์ กรุงเทพมหานคร 10100 แขวงสัมพันธวงศ์ เขตสัมพันธวงศ์ กรุงเทพมหานคร 10100</x:v>
      </x:c>
      <x:c r="J484" s="21" t="str">
        <x:v>ยังไม่พบข้อมูล</x:v>
      </x:c>
      <x:c r="K484" s="23" t="e">
        <x:f>HYPERLINK("https://www.thic.or.th/th/tourist/detail/accommodation/746","เปิดแหล่งข้อมูล 1")</x:f>
        <x:v>HYPERLINK is not implemented. linkLocation=https://www.thic.or.th/th/tourist/detail/accommodation/746, friendlyName=เปิดแหล่งข้อมูล 1</x:v>
      </x:c>
      <x:c r="L484" s="23" t="e">
        <x:f>HYPERLINK("https://www.agoda.com/th-th/chinatown-hotel/hotel/bangkok-th.html","เปิดแหล่งข้อมูล 2")</x:f>
        <x:v>HYPERLINK is not implemented. linkLocation=https://www.agoda.com/th-th/chinatown-hotel/hotel/bangkok-th.html, friendlyName=เปิดแหล่งข้อมูล 2</x:v>
      </x:c>
      <x:c r="M484" s="20" t="str">
        <x:v>ผลค้นหาชื่อสัมพันธ์จากแหล่งเพิ่มเติม ต้องยืนยันสาขาและข้อมูลปัจจุบัน</x:v>
      </x:c>
      <x:c r="N484" s="10" t="n">
        <x:v>46315</x:v>
      </x:c>
      <x:c r="O484" s="22" t="str">
        <x:v>ยังไม่ตรวจ</x:v>
      </x:c>
      <x:c r="P484" s="22" t="str">
        <x:v>ยังไม่ติดต่อ</x:v>
      </x:c>
    </x:row>
    <x:row r="485" ht="66" customHeight="1">
      <x:c r="A485" s="9" t="n">
        <x:v>477</x:v>
      </x:c>
      <x:c r="B485" s="20" t="str">
        <x:v>เอ็มโพเรียม (Emporium)</x:v>
      </x:c>
      <x:c r="C485" s="20" t="str">
        <x:v>กรุงเทพมหานคร</x:v>
      </x:c>
      <x:c r="D485" s="20" t="str">
        <x:v>ศูนย์การค้า</x:v>
      </x:c>
      <x:c r="E485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485" s="20" t="str">
        <x:v>ยังไม่พบข้อมูล</x:v>
      </x:c>
      <x:c r="G485" s="20" t="str">
        <x:v>ยังไม่พบเอกสารรับรองและวันหมดอายุ</x:v>
      </x:c>
      <x:c r="H485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85" s="20" t="str">
        <x:v>622 ถ. สุขุมวิท แขวงดินแดง เขตดินแดง กรุงเทพมหานคร 10400</x:v>
      </x:c>
      <x:c r="J485" s="21" t="str">
        <x:v>ยังไม่พบข้อมูล</x:v>
      </x:c>
      <x:c r="K485" s="23" t="e">
        <x:f>HYPERLINK("https://www.thic.or.th/th/tourist/detail/tourist/398","เปิดแหล่งข้อมูล 1")</x:f>
        <x:v>HYPERLINK is not implemented. linkLocation=https://www.thic.or.th/th/tourist/detail/tourist/398, friendlyName=เปิดแหล่งข้อมูล 1</x:v>
      </x:c>
      <x:c r="L485" s="23" t="e">
        <x:f>HYPERLINK("https://www.wongnai.com/restaurants/2745163lz-%E0%B9%82%E0%B8%84%E0%B8%95%E0%B8%A3%E0%B8%81%E0%B8%B0%E0%B9%80%E0%B8%9E%E0%B8%A3%E0%B8%B2%E0%B8%88%E0%B8%87%E0%B9%80%E0%B8%88%E0%B8%A3%E0%B8%B4%E0%B8%8D-%E0%B9%80%E0%B8%AD%E0%B9%87%E0%B8%A1%E0%B9%82%E0%B8%9E%E0%B9%80%E0%B8%A3%E0%B8%B5%E0%B8%A2%E0%B8%A1-%E0%B9%80%E0%B8%AD%E0%B9%87%E0%B8%A1%E0%B9%82%E0%B8%9E%E0%B9%80%E0%B8%A3%E0%B8%B5%E0%B8%A2%E0%B8%A1","เปิดแหล่งข้อมูล 2")</x:f>
        <x:v>HYPERLINK is not implemented. linkLocation=https://www.wongnai.com/restaurants/2745163lz-%E0%B9%82%E0%B8%84%E0%B8%95%E0%B8%A3%E0%B8%81%E0%B8%B0%E0%B9%80%E0%B8%9E%E0%B8%A3%E0%B8%B2%E0%B8%88%E0%B8%87%E0%B9%80%E0%B8%88%E0%B8%A3%E0%B8%B4%E0%B8%8D-%E0%B9%80%E0%B8%AD%E0%B9%87%E0%B8%A1%E0%B9%82%E0%B8%9E%E0%B9%80%E0%B8%A3%E0%B8%B5%E0%B8%A2%E0%B8%A1-%E0%B9%80%E0%B8%AD%E0%B9%87%E0%B8%A1%E0%B9%82%E0%B8%9E%E0%B9%80%E0%B8%A3%E0%B8%B5%E0%B8%A2%E0%B8%A1, friendlyName=เปิดแหล่งข้อมูล 2</x:v>
      </x:c>
      <x:c r="M485" s="20" t="str">
        <x:v>ผลค้นหาชื่อสัมพันธ์จากแหล่งเพิ่มเติม ต้องยืนยันสาขาและข้อมูลปัจจุบัน</x:v>
      </x:c>
      <x:c r="N485" s="10" t="n">
        <x:v>46315</x:v>
      </x:c>
      <x:c r="O485" s="22" t="str">
        <x:v>ยังไม่ตรวจ</x:v>
      </x:c>
      <x:c r="P485" s="22" t="str">
        <x:v>ยังไม่ติดต่อ</x:v>
      </x:c>
    </x:row>
    <x:row r="486" ht="66" customHeight="1">
      <x:c r="A486" s="9" t="n">
        <x:v>478</x:v>
      </x:c>
      <x:c r="B486" s="20" t="str">
        <x:v>กายา บาย โอเอซิสสปา</x:v>
      </x:c>
      <x:c r="C486" s="20" t="str">
        <x:v>กรุงเทพมหานคร</x:v>
      </x:c>
      <x:c r="D486" s="20" t="str">
        <x:v>สปา</x:v>
      </x:c>
      <x:c r="E486" s="20" t="str">
        <x:v>ผู้ประกอบการระบุสถานที่สปา ยังไม่พบหลักฐานข้อกำหนดมุสลิมครบถ้วน</x:v>
      </x:c>
      <x:c r="F486" s="20" t="str">
        <x:v>ยังไม่พบข้อมูล</x:v>
      </x:c>
      <x:c r="G486" s="20" t="str">
        <x:v>ยังไม่พบเอกสารรับรองและวันหมดอายุ</x:v>
      </x:c>
      <x:c r="H486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486" s="20" t="str">
        <x:v>ดูรายละเอียดในแหล่งอ้างอิง</x:v>
      </x:c>
      <x:c r="J486" s="21" t="str">
        <x:v>ยังไม่พบข้อมูล</x:v>
      </x:c>
      <x:c r="K486" s="23" t="e">
        <x:f>HYPERLINK("https://oasisspa.net/en/destination/","เปิดแหล่งข้อมูล 1")</x:f>
        <x:v>HYPERLINK is not implemented. linkLocation=https://oasisspa.net/en/destination/, friendlyName=เปิดแหล่งข้อมูล 1</x:v>
      </x:c>
      <x:c r="L486" s="23" t="e">
        <x:f>HYPERLINK("https://www.gowabi.com/th/provider/gaaya-by-oasis-spa","เปิดแหล่งข้อมูล 2")</x:f>
        <x:v>HYPERLINK is not implemented. linkLocation=https://www.gowabi.com/th/provider/gaaya-by-oasis-spa, friendlyName=เปิดแหล่งข้อมูล 2</x:v>
      </x:c>
      <x:c r="M486" s="20" t="str">
        <x:v>ผลค้นหาชื่อสัมพันธ์จากแหล่งเพิ่มเติม ต้องยืนยันสาขาและข้อมูลปัจจุบัน</x:v>
      </x:c>
      <x:c r="N486" s="10" t="n">
        <x:v>46315</x:v>
      </x:c>
      <x:c r="O486" s="22" t="str">
        <x:v>ยังไม่ตรวจ</x:v>
      </x:c>
      <x:c r="P486" s="22" t="str">
        <x:v>ยังไม่ติดต่อ</x:v>
      </x:c>
    </x:row>
    <x:row r="487" ht="66" customHeight="1">
      <x:c r="A487" s="9" t="n">
        <x:v>479</x:v>
      </x:c>
      <x:c r="B487" s="20" t="str">
        <x:v>เออร์เบินโอเอซิสสปา ทองหล่อ</x:v>
      </x:c>
      <x:c r="C487" s="20" t="str">
        <x:v>กรุงเทพมหานคร</x:v>
      </x:c>
      <x:c r="D487" s="20" t="str">
        <x:v>สปา</x:v>
      </x:c>
      <x:c r="E487" s="20" t="str">
        <x:v>ผู้ประกอบการระบุสาขาทองหล่อ ต้องพัฒนาระบบรองรับมุสลิมและตรวจส่วนผสมผลิตภัณฑ์</x:v>
      </x:c>
      <x:c r="F487" s="20" t="str">
        <x:v>ยังไม่พบข้อมูล</x:v>
      </x:c>
      <x:c r="G487" s="20" t="str">
        <x:v>ยังไม่พบเอกสารรับรองและวันหมดอายุ</x:v>
      </x:c>
      <x:c r="H487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487" s="20" t="str">
        <x:v>ดูรายละเอียดในแหล่งอ้างอิง</x:v>
      </x:c>
      <x:c r="J487" s="21" t="str">
        <x:v>ยังไม่พบข้อมูล</x:v>
      </x:c>
      <x:c r="K487" s="23" t="e">
        <x:f>HYPERLINK("https://oasisspa.net/en/destination/","เปิดแหล่งข้อมูล 1")</x:f>
        <x:v>HYPERLINK is not implemented. linkLocation=https://oasisspa.net/en/destination/, friendlyName=เปิดแหล่งข้อมูล 1</x:v>
      </x:c>
      <x:c r="L487" s="23" t="str"/>
      <x:c r="M487" s="20" t="str"/>
      <x:c r="N487" s="10" t="n">
        <x:v>46315</x:v>
      </x:c>
      <x:c r="O487" s="22" t="str">
        <x:v>ยังไม่ตรวจ</x:v>
      </x:c>
      <x:c r="P487" s="22" t="str">
        <x:v>ยังไม่ติดต่อ</x:v>
      </x:c>
    </x:row>
    <x:row r="488" ht="66" customHeight="1">
      <x:c r="A488" s="9" t="n">
        <x:v>480</x:v>
      </x:c>
      <x:c r="B488" s="20" t="str">
        <x:v>โอเอซิสสปา สุขุมวิท 31</x:v>
      </x:c>
      <x:c r="C488" s="20" t="str">
        <x:v>กรุงเทพมหานคร</x:v>
      </x:c>
      <x:c r="D488" s="20" t="str">
        <x:v>สปา</x:v>
      </x:c>
      <x:c r="E488" s="20" t="str">
        <x:v>ผู้ประกอบการระบุสาขาสุขุมวิท 31 ต้องตรวจผู้ให้บริการเพศเดียวกัน ความเป็นส่วนตัว และศาสนกิจ</x:v>
      </x:c>
      <x:c r="F488" s="20" t="str">
        <x:v>ยังไม่พบข้อมูล</x:v>
      </x:c>
      <x:c r="G488" s="20" t="str">
        <x:v>ยังไม่พบเอกสารรับรองและวันหมดอายุ</x:v>
      </x:c>
      <x:c r="H488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488" s="20" t="str">
        <x:v>ดูรายละเอียดในแหล่งอ้างอิง</x:v>
      </x:c>
      <x:c r="J488" s="21" t="str">
        <x:v>ยังไม่พบข้อมูล</x:v>
      </x:c>
      <x:c r="K488" s="23" t="e">
        <x:f>HYPERLINK("https://oasisspa.net/en/destination/","เปิดแหล่งข้อมูล 1")</x:f>
        <x:v>HYPERLINK is not implemented. linkLocation=https://oasisspa.net/en/destination/, friendlyName=เปิดแหล่งข้อมูล 1</x:v>
      </x:c>
      <x:c r="L488" s="23" t="e">
        <x:f>HYPERLINK("https://www.gowabi.com/th/provider/oasis-spa-sukhumvit-31","เปิดแหล่งข้อมูล 2")</x:f>
        <x:v>HYPERLINK is not implemented. linkLocation=https://www.gowabi.com/th/provider/oasis-spa-sukhumvit-31, friendlyName=เปิดแหล่งข้อมูล 2</x:v>
      </x:c>
      <x:c r="M488" s="20" t="str">
        <x:v>ผลค้นหาชื่อสัมพันธ์จากแหล่งเพิ่มเติม ต้องยืนยันสาขาและข้อมูลปัจจุบัน</x:v>
      </x:c>
      <x:c r="N488" s="10" t="n">
        <x:v>46315</x:v>
      </x:c>
      <x:c r="O488" s="22" t="str">
        <x:v>ยังไม่ตรวจ</x:v>
      </x:c>
      <x:c r="P488" s="22" t="str">
        <x:v>ยังไม่ติดต่อ</x:v>
      </x:c>
    </x:row>
    <x:row r="489" ht="66" customHeight="1">
      <x:c r="A489" s="9" t="n">
        <x:v>481</x:v>
      </x:c>
      <x:c r="B489" s="20" t="str">
        <x:v>จุดชมวิวทะเลบางขุนเทียน</x:v>
      </x:c>
      <x:c r="C489" s="20" t="str">
        <x:v>กรุงเทพมหานคร</x:v>
      </x:c>
      <x:c r="D489" s="20" t="str">
        <x:v>สวนสาธารณะหรือแหล่งธรรมชาติ</x:v>
      </x:c>
      <x:c r="E489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489" s="20" t="str">
        <x:v>ยังไม่พบข้อมูล</x:v>
      </x:c>
      <x:c r="G489" s="20" t="str">
        <x:v>ยังไม่พบเอกสารรับรองและวันหมดอายุ</x:v>
      </x:c>
      <x:c r="H489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89" s="20" t="str">
        <x:v>แขวงท่าข้าม เขตบางขุนเทียน กรุงเทพมหานคร 10540</x:v>
      </x:c>
      <x:c r="J489" s="21" t="str">
        <x:v>Line :</x:v>
      </x:c>
      <x:c r="K489" s="23" t="e">
        <x:f>HYPERLINK("https://www.thic.or.th/th/tourist/detail/tourist/409","เปิดแหล่งข้อมูล 1")</x:f>
        <x:v>HYPERLINK is not implemented. linkLocation=https://www.thic.or.th/th/tourist/detail/tourist/409, friendlyName=เปิดแหล่งข้อมูล 1</x:v>
      </x:c>
      <x:c r="L489" s="23" t="e">
        <x:f>HYPERLINK("https://www.lemon8-app.com/%40raochobpapthai/7171455166506484225?region=th","เปิดแหล่งข้อมูล 2")</x:f>
        <x:v>HYPERLINK is not implemented. linkLocation=https://www.lemon8-app.com/%40raochobpapthai/7171455166506484225?region=th, friendlyName=เปิดแหล่งข้อมูล 2</x:v>
      </x:c>
      <x:c r="M489" s="20" t="str">
        <x:v>ผลค้นหาชื่อสัมพันธ์จากแหล่งเพิ่มเติม ต้องยืนยันสาขาและข้อมูลปัจจุบัน</x:v>
      </x:c>
      <x:c r="N489" s="10" t="n">
        <x:v>46315</x:v>
      </x:c>
      <x:c r="O489" s="22" t="str">
        <x:v>ยังไม่ตรวจ</x:v>
      </x:c>
      <x:c r="P489" s="22" t="str">
        <x:v>ยังไม่ติดต่อ</x:v>
      </x:c>
    </x:row>
    <x:row r="490" ht="66" customHeight="1">
      <x:c r="A490" s="9" t="n">
        <x:v>482</x:v>
      </x:c>
      <x:c r="B490" s="20" t="str">
        <x:v>ตลาดแหลมทอง</x:v>
      </x:c>
      <x:c r="C490" s="20" t="str">
        <x:v>กรุงเทพมหานคร</x:v>
      </x:c>
      <x:c r="D490" s="20" t="str">
        <x:v>สวนสาธารณะหรือแหล่งธรรมชาติ</x:v>
      </x:c>
      <x:c r="E490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490" s="20" t="str">
        <x:v>ยังไม่พบข้อมูล</x:v>
      </x:c>
      <x:c r="G490" s="20" t="str">
        <x:v>ยังไม่พบเอกสารรับรองและวันหมดอายุ</x:v>
      </x:c>
      <x:c r="H490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90" s="20" t="str">
        <x:v>132 ถ. กรีฑา แขวงดอกไม้ เขตประเวศ กรุงเทพมหานคร 10250</x:v>
      </x:c>
      <x:c r="J490" s="21" t="str">
        <x:v>Line :</x:v>
      </x:c>
      <x:c r="K490" s="23" t="e">
        <x:f>HYPERLINK("https://www.thic.or.th/th/tourist/detail/tourist/386","เปิดแหล่งข้อมูล 1")</x:f>
        <x:v>HYPERLINK is not implemented. linkLocation=https://www.thic.or.th/th/tourist/detail/tourist/386, friendlyName=เปิดแหล่งข้อมูล 1</x:v>
      </x:c>
      <x:c r="L490" s="23" t="e">
        <x:f>HYPERLINK("https://www.xn--l3cb2cwa9ac.com/central/bangkok/laem-thong-market/","เปิดแหล่งข้อมูล 2")</x:f>
        <x:v>HYPERLINK is not implemented. linkLocation=https://www.xn--l3cb2cwa9ac.com/central/bangkok/laem-thong-market/, friendlyName=เปิดแหล่งข้อมูล 2</x:v>
      </x:c>
      <x:c r="M490" s="20" t="str">
        <x:v>ผลค้นหาชื่อสัมพันธ์จากแหล่งเพิ่มเติม ต้องยืนยันสาขาและข้อมูลปัจจุบัน</x:v>
      </x:c>
      <x:c r="N490" s="10" t="n">
        <x:v>46315</x:v>
      </x:c>
      <x:c r="O490" s="22" t="str">
        <x:v>ยังไม่ตรวจ</x:v>
      </x:c>
      <x:c r="P490" s="22" t="str">
        <x:v>ยังไม่ติดต่อ</x:v>
      </x:c>
    </x:row>
    <x:row r="491" ht="66" customHeight="1">
      <x:c r="A491" s="9" t="n">
        <x:v>483</x:v>
      </x:c>
      <x:c r="B491" s="20" t="str">
        <x:v>สวนนวมินทร์ภิรมย์</x:v>
      </x:c>
      <x:c r="C491" s="20" t="str">
        <x:v>กรุงเทพมหานคร</x:v>
      </x:c>
      <x:c r="D491" s="20" t="str">
        <x:v>สวนสาธารณะหรือแหล่งธรรมชาติ</x:v>
      </x:c>
      <x:c r="E491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491" s="20" t="str">
        <x:v>ยังไม่พบข้อมูล</x:v>
      </x:c>
      <x:c r="G491" s="20" t="str">
        <x:v>ยังไม่พบเอกสารรับรองและวันหมดอายุ</x:v>
      </x:c>
      <x:c r="H491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91" s="20" t="str">
        <x:v>16 ถนน ศรีบูรพา แขวงคลองเตยเหนือ เขตวัฒนา กรุงเทพมหานคร 10110</x:v>
      </x:c>
      <x:c r="J491" s="21" t="str">
        <x:v>Line :</x:v>
      </x:c>
      <x:c r="K491" s="23" t="e">
        <x:f>HYPERLINK("https://www.thic.or.th/th/tourist/detail/tourist/364","เปิดแหล่งข้อมูล 1")</x:f>
        <x:v>HYPERLINK is not implemented. linkLocation=https://www.thic.or.th/th/tourist/detail/tourist/364, friendlyName=เปิดแหล่งข้อมูล 1</x:v>
      </x:c>
      <x:c r="L491" s="23" t="e">
        <x:f>HYPERLINK("https://www.wongnai.com/attractions/337759Bd-%E0%B8%AA%E0%B8%A7%E0%B8%99%E0%B8%99%E0%B8%A7%E0%B8%A1%E0%B8%B4%E0%B8%99%E0%B8%97%E0%B8%A3%E0%B9%8C%E0%B8%A0%E0%B8%B4%E0%B8%A3%E0%B8%A1%E0%B8%A2%E0%B9%8C","เปิดแหล่งข้อมูล 2")</x:f>
        <x:v>HYPERLINK is not implemented. linkLocation=https://www.wongnai.com/attractions/337759Bd-%E0%B8%AA%E0%B8%A7%E0%B8%99%E0%B8%99%E0%B8%A7%E0%B8%A1%E0%B8%B4%E0%B8%99%E0%B8%97%E0%B8%A3%E0%B9%8C%E0%B8%A0%E0%B8%B4%E0%B8%A3%E0%B8%A1%E0%B8%A2%E0%B9%8C, friendlyName=เปิดแหล่งข้อมูล 2</x:v>
      </x:c>
      <x:c r="M491" s="20" t="str">
        <x:v>ผลค้นหาชื่อสัมพันธ์จากแหล่งเพิ่มเติม ต้องยืนยันสาขาและข้อมูลปัจจุบัน</x:v>
      </x:c>
      <x:c r="N491" s="10" t="n">
        <x:v>46315</x:v>
      </x:c>
      <x:c r="O491" s="22" t="str">
        <x:v>ยังไม่ตรวจ</x:v>
      </x:c>
      <x:c r="P491" s="22" t="str">
        <x:v>ยังไม่ติดต่อ</x:v>
      </x:c>
    </x:row>
    <x:row r="492" ht="66" customHeight="1">
      <x:c r="A492" s="9" t="n">
        <x:v>484</x:v>
      </x:c>
      <x:c r="B492" s="20" t="str">
        <x:v>สวนลอยฟ้าเจ้าพระยา</x:v>
      </x:c>
      <x:c r="C492" s="20" t="str">
        <x:v>กรุงเทพมหานคร</x:v>
      </x:c>
      <x:c r="D492" s="20" t="str">
        <x:v>สวนสาธารณะหรือแหล่งธรรมชาติ</x:v>
      </x:c>
      <x:c r="E492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492" s="20" t="str">
        <x:v>ยังไม่พบข้อมูล</x:v>
      </x:c>
      <x:c r="G492" s="20" t="str">
        <x:v>ยังไม่พบเอกสารรับรองและวันหมดอายุ</x:v>
      </x:c>
      <x:c r="H492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92" s="20" t="str">
        <x:v>แขวงสำราญราษฎร์ เขตพระนคร กรุงเทพมหานคร 10200</x:v>
      </x:c>
      <x:c r="J492" s="21" t="str">
        <x:v>Line :</x:v>
      </x:c>
      <x:c r="K492" s="23" t="e">
        <x:f>HYPERLINK("https://www.thic.or.th/th/tourist/detail/tourist/365","เปิดแหล่งข้อมูล 1")</x:f>
        <x:v>HYPERLINK is not implemented. linkLocation=https://www.thic.or.th/th/tourist/detail/tourist/365, friendlyName=เปิดแหล่งข้อมูล 1</x:v>
      </x:c>
      <x:c r="L492" s="23" t="e">
        <x:f>HYPERLINK("https://www.wongnai.com/attractions/588174Pz-%E0%B8%AA%E0%B8%A7%E0%B8%99%E0%B8%A5%E0%B8%AD%E0%B8%A2%E0%B8%9F%E0%B9%89%E0%B8%B2%E0%B9%80%E0%B8%88%E0%B9%89%E0%B8%B2%E0%B8%9E%E0%B8%A3%E0%B8%B0%E0%B8%A2%E0%B8%B2","เปิดแหล่งข้อมูล 2")</x:f>
        <x:v>HYPERLINK is not implemented. linkLocation=https://www.wongnai.com/attractions/588174Pz-%E0%B8%AA%E0%B8%A7%E0%B8%99%E0%B8%A5%E0%B8%AD%E0%B8%A2%E0%B8%9F%E0%B9%89%E0%B8%B2%E0%B9%80%E0%B8%88%E0%B9%89%E0%B8%B2%E0%B8%9E%E0%B8%A3%E0%B8%B0%E0%B8%A2%E0%B8%B2, friendlyName=เปิดแหล่งข้อมูล 2</x:v>
      </x:c>
      <x:c r="M492" s="20" t="str">
        <x:v>ผลค้นหาชื่อสัมพันธ์จากแหล่งเพิ่มเติม ต้องยืนยันสาขาและข้อมูลปัจจุบัน</x:v>
      </x:c>
      <x:c r="N492" s="10" t="n">
        <x:v>46315</x:v>
      </x:c>
      <x:c r="O492" s="22" t="str">
        <x:v>ยังไม่ตรวจ</x:v>
      </x:c>
      <x:c r="P492" s="22" t="str">
        <x:v>ยังไม่ติดต่อ</x:v>
      </x:c>
    </x:row>
    <x:row r="493" ht="66" customHeight="1">
      <x:c r="A493" s="9" t="n">
        <x:v>485</x:v>
      </x:c>
      <x:c r="B493" s="20" t="str">
        <x:v>สวนลุมพินี</x:v>
      </x:c>
      <x:c r="C493" s="20" t="str">
        <x:v>กรุงเทพมหานคร</x:v>
      </x:c>
      <x:c r="D493" s="20" t="str">
        <x:v>สวนสาธารณะหรือแหล่งธรรมชาติ</x:v>
      </x:c>
      <x:c r="E493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493" s="20" t="str">
        <x:v>ยังไม่พบข้อมูล</x:v>
      </x:c>
      <x:c r="G493" s="20" t="str">
        <x:v>ยังไม่พบเอกสารรับรองและวันหมดอายุ</x:v>
      </x:c>
      <x:c r="H493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93" s="20" t="str">
        <x:v>แขวงลุมพินี เขตปทุมวัน กรุงเทพมหานคร 10330</x:v>
      </x:c>
      <x:c r="J493" s="21" t="str">
        <x:v>Line :</x:v>
      </x:c>
      <x:c r="K493" s="23" t="e">
        <x:f>HYPERLINK("https://www.thic.or.th/th/tourist/detail/tourist/361","เปิดแหล่งข้อมูล 1")</x:f>
        <x:v>HYPERLINK is not implemented. linkLocation=https://www.thic.or.th/th/tourist/detail/tourist/361, friendlyName=เปิดแหล่งข้อมูล 1</x:v>
      </x:c>
      <x:c r="L493" s="23" t="e">
        <x:f>HYPERLINK("https://th.trip.com/travel-guide/attraction/bangkok/lumphini-park-77030?curr=&amp;locale=th-TH&amp;poiType=3","เปิดแหล่งข้อมูล 2")</x:f>
        <x:v>HYPERLINK is not implemented. linkLocation=https://th.trip.com/travel-guide/attraction/bangkok/lumphini-park-77030?curr=&amp;locale=th-TH&amp;poiType=3, friendlyName=เปิดแหล่งข้อมูล 2</x:v>
      </x:c>
      <x:c r="M493" s="20" t="str">
        <x:v>ผลค้นหาชื่อสัมพันธ์จากแหล่งเพิ่มเติม ต้องยืนยันสาขาและข้อมูลปัจจุบัน</x:v>
      </x:c>
      <x:c r="N493" s="10" t="n">
        <x:v>46315</x:v>
      </x:c>
      <x:c r="O493" s="22" t="str">
        <x:v>ยังไม่ตรวจ</x:v>
      </x:c>
      <x:c r="P493" s="22" t="str">
        <x:v>ยังไม่ติดต่อ</x:v>
      </x:c>
    </x:row>
    <x:row r="494" ht="66" customHeight="1">
      <x:c r="A494" s="9" t="n">
        <x:v>486</x:v>
      </x:c>
      <x:c r="B494" s="20" t="str">
        <x:v>สวนวชิรเบญจทัศ (สวนรถไฟ)</x:v>
      </x:c>
      <x:c r="C494" s="20" t="str">
        <x:v>กรุงเทพมหานคร</x:v>
      </x:c>
      <x:c r="D494" s="20" t="str">
        <x:v>สวนสาธารณะหรือแหล่งธรรมชาติ</x:v>
      </x:c>
      <x:c r="E494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494" s="20" t="str">
        <x:v>ยังไม่พบข้อมูล</x:v>
      </x:c>
      <x:c r="G494" s="20" t="str">
        <x:v>ยังไม่พบเอกสารรับรองและวันหมดอายุ</x:v>
      </x:c>
      <x:c r="H49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94" s="20" t="str">
        <x:v>ถนน กำแพงเพชร 3 แขวงจตุจักร เขตจตุจักร กรุงเทพมหานคร 10900</x:v>
      </x:c>
      <x:c r="J494" s="21" t="str">
        <x:v>Line :</x:v>
      </x:c>
      <x:c r="K494" s="23" t="e">
        <x:f>HYPERLINK("https://www.thic.or.th/th/tourist/detail/tourist/359","เปิดแหล่งข้อมูล 1")</x:f>
        <x:v>HYPERLINK is not implemented. linkLocation=https://www.thic.or.th/th/tourist/detail/tourist/359, friendlyName=เปิดแหล่งข้อมูล 1</x:v>
      </x:c>
      <x:c r="L494" s="23" t="e">
        <x:f>HYPERLINK("https://www.wongnai.com/reviews/9e8d9f2459624a2ea1c3d8fc0d4a2857","เปิดแหล่งข้อมูล 2")</x:f>
        <x:v>HYPERLINK is not implemented. linkLocation=https://www.wongnai.com/reviews/9e8d9f2459624a2ea1c3d8fc0d4a2857, friendlyName=เปิดแหล่งข้อมูล 2</x:v>
      </x:c>
      <x:c r="M494" s="20" t="str">
        <x:v>ผลค้นหาชื่อสัมพันธ์จากแหล่งเพิ่มเติม ต้องยืนยันสาขาและข้อมูลปัจจุบัน</x:v>
      </x:c>
      <x:c r="N494" s="10" t="n">
        <x:v>46315</x:v>
      </x:c>
      <x:c r="O494" s="22" t="str">
        <x:v>ยังไม่ตรวจ</x:v>
      </x:c>
      <x:c r="P494" s="22" t="str">
        <x:v>ยังไม่ติดต่อ</x:v>
      </x:c>
    </x:row>
    <x:row r="495" ht="66" customHeight="1">
      <x:c r="A495" s="9" t="n">
        <x:v>487</x:v>
      </x:c>
      <x:c r="B495" s="20" t="str">
        <x:v>สวนวารีภิรมย์</x:v>
      </x:c>
      <x:c r="C495" s="20" t="str">
        <x:v>กรุงเทพมหานคร</x:v>
      </x:c>
      <x:c r="D495" s="20" t="str">
        <x:v>สวนสาธารณะหรือแหล่งธรรมชาติ</x:v>
      </x:c>
      <x:c r="E495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495" s="20" t="str">
        <x:v>ยังไม่พบข้อมูล</x:v>
      </x:c>
      <x:c r="G495" s="20" t="str">
        <x:v>ยังไม่พบเอกสารรับรองและวันหมดอายุ</x:v>
      </x:c>
      <x:c r="H495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95" s="20" t="str">
        <x:v>270 ซอย บึงนายพล แขวงคลองกุ่ม เขตบึงกุ่ม กรุงเทพมหานคร 10220</x:v>
      </x:c>
      <x:c r="J495" s="21" t="str">
        <x:v>Line :</x:v>
      </x:c>
      <x:c r="K495" s="23" t="e">
        <x:f>HYPERLINK("https://www.thic.or.th/th/tourist/detail/tourist/356","เปิดแหล่งข้อมูล 1")</x:f>
        <x:v>HYPERLINK is not implemented. linkLocation=https://www.thic.or.th/th/tourist/detail/tourist/356, friendlyName=เปิดแหล่งข้อมูล 1</x:v>
      </x:c>
      <x:c r="L495" s="23" t="e">
        <x:f>HYPERLINK("https://www.wongnai.com/reviews/490877defbf348d6b0bef91c9093f885","เปิดแหล่งข้อมูล 2")</x:f>
        <x:v>HYPERLINK is not implemented. linkLocation=https://www.wongnai.com/reviews/490877defbf348d6b0bef91c9093f885, friendlyName=เปิดแหล่งข้อมูล 2</x:v>
      </x:c>
      <x:c r="M495" s="20" t="str">
        <x:v>ผลค้นหาชื่อสัมพันธ์จากแหล่งเพิ่มเติม ต้องยืนยันสาขาและข้อมูลปัจจุบัน</x:v>
      </x:c>
      <x:c r="N495" s="10" t="n">
        <x:v>46315</x:v>
      </x:c>
      <x:c r="O495" s="22" t="str">
        <x:v>ยังไม่ตรวจ</x:v>
      </x:c>
      <x:c r="P495" s="22" t="str">
        <x:v>ยังไม่ติดต่อ</x:v>
      </x:c>
    </x:row>
    <x:row r="496" ht="66" customHeight="1">
      <x:c r="A496" s="9" t="n">
        <x:v>488</x:v>
      </x:c>
      <x:c r="B496" s="20" t="str">
        <x:v>สวนสันติภาพ</x:v>
      </x:c>
      <x:c r="C496" s="20" t="str">
        <x:v>กรุงเทพมหานคร</x:v>
      </x:c>
      <x:c r="D496" s="20" t="str">
        <x:v>สวนสาธารณะหรือแหล่งธรรมชาติ</x:v>
      </x:c>
      <x:c r="E496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496" s="20" t="str">
        <x:v>ยังไม่พบข้อมูล</x:v>
      </x:c>
      <x:c r="G496" s="20" t="str">
        <x:v>ยังไม่พบเอกสารรับรองและวันหมดอายุ</x:v>
      </x:c>
      <x:c r="H49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96" s="20" t="str">
        <x:v>ถ. ราชวิถี แขวงดุสิต เขตดุสิต กรุงเทพมหานคร 10300</x:v>
      </x:c>
      <x:c r="J496" s="21" t="str">
        <x:v>Line :</x:v>
      </x:c>
      <x:c r="K496" s="23" t="e">
        <x:f>HYPERLINK("https://www.thic.or.th/th/tourist/detail/tourist/367","เปิดแหล่งข้อมูล 1")</x:f>
        <x:v>HYPERLINK is not implemented. linkLocation=https://www.thic.or.th/th/tourist/detail/tourist/367, friendlyName=เปิดแหล่งข้อมูล 1</x:v>
      </x:c>
      <x:c r="L496" s="23" t="e">
        <x:f>HYPERLINK("https://th.tripadvisor.com/Attraction_Review-g293916-d554210-Reviews-Santiphap_Park_Park_of_Peace-Bangkok.html","เปิดแหล่งข้อมูล 2")</x:f>
        <x:v>HYPERLINK is not implemented. linkLocation=https://th.tripadvisor.com/Attraction_Review-g293916-d554210-Reviews-Santiphap_Park_Park_of_Peace-Bangkok.html, friendlyName=เปิดแหล่งข้อมูล 2</x:v>
      </x:c>
      <x:c r="M496" s="20" t="str">
        <x:v>ผลค้นหาชื่อสัมพันธ์จากแหล่งเพิ่มเติม ต้องยืนยันสาขาและข้อมูลปัจจุบัน</x:v>
      </x:c>
      <x:c r="N496" s="10" t="n">
        <x:v>46315</x:v>
      </x:c>
      <x:c r="O496" s="22" t="str">
        <x:v>ยังไม่ตรวจ</x:v>
      </x:c>
      <x:c r="P496" s="22" t="str">
        <x:v>ยังไม่ติดต่อ</x:v>
      </x:c>
    </x:row>
    <x:row r="497" ht="66" customHeight="1">
      <x:c r="A497" s="9" t="n">
        <x:v>489</x:v>
      </x:c>
      <x:c r="B497" s="20" t="str">
        <x:v>สวนสาธารณะบึงหนองบอน</x:v>
      </x:c>
      <x:c r="C497" s="20" t="str">
        <x:v>กรุงเทพมหานคร</x:v>
      </x:c>
      <x:c r="D497" s="20" t="str">
        <x:v>สวนสาธารณะหรือแหล่งธรรมชาติ</x:v>
      </x:c>
      <x:c r="E497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497" s="20" t="str">
        <x:v>ยังไม่พบข้อมูล</x:v>
      </x:c>
      <x:c r="G497" s="20" t="str">
        <x:v>ยังไม่พบเอกสารรับรองและวันหมดอายุ</x:v>
      </x:c>
      <x:c r="H497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97" s="20" t="str">
        <x:v>ซอยเฉลิมพระเกียรติ 43 แขวงหนองบอน เขตประเวศ กรุงเทพมหานคร 10250</x:v>
      </x:c>
      <x:c r="J497" s="21" t="str">
        <x:v>Line :</x:v>
      </x:c>
      <x:c r="K497" s="23" t="e">
        <x:f>HYPERLINK("https://www.thic.or.th/th/tourist/detail/tourist/366","เปิดแหล่งข้อมูล 1")</x:f>
        <x:v>HYPERLINK is not implemented. linkLocation=https://www.thic.or.th/th/tourist/detail/tourist/366, friendlyName=เปิดแหล่งข้อมูล 1</x:v>
      </x:c>
      <x:c r="L497" s="23" t="e">
        <x:f>HYPERLINK("https://th.trip.com/travel-guide/attraction/bangkok/nong-bon-lake-park-143788017/?curr=DKK&amp;locale=th-TH","เปิดแหล่งข้อมูล 2")</x:f>
        <x:v>HYPERLINK is not implemented. linkLocation=https://th.trip.com/travel-guide/attraction/bangkok/nong-bon-lake-park-143788017/?curr=DKK&amp;locale=th-TH, friendlyName=เปิดแหล่งข้อมูล 2</x:v>
      </x:c>
      <x:c r="M497" s="20" t="str">
        <x:v>ผลค้นหาชื่อสัมพันธ์จากแหล่งเพิ่มเติม ต้องยืนยันสาขาและข้อมูลปัจจุบัน</x:v>
      </x:c>
      <x:c r="N497" s="10" t="n">
        <x:v>46315</x:v>
      </x:c>
      <x:c r="O497" s="22" t="str">
        <x:v>ยังไม่ตรวจ</x:v>
      </x:c>
      <x:c r="P497" s="22" t="str">
        <x:v>ยังไม่ติดต่อ</x:v>
      </x:c>
    </x:row>
    <x:row r="498" ht="66" customHeight="1">
      <x:c r="A498" s="9" t="n">
        <x:v>490</x:v>
      </x:c>
      <x:c r="B498" s="20" t="str">
        <x:v>สวนสาธารณะเฉลิมพระเกียรติ 6 รอบฯ</x:v>
      </x:c>
      <x:c r="C498" s="20" t="str">
        <x:v>กรุงเทพมหานคร</x:v>
      </x:c>
      <x:c r="D498" s="20" t="str">
        <x:v>สวนสาธารณะหรือแหล่งธรรมชาติ</x:v>
      </x:c>
      <x:c r="E498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498" s="20" t="str">
        <x:v>ยังไม่พบข้อมูล</x:v>
      </x:c>
      <x:c r="G498" s="20" t="str">
        <x:v>ยังไม่พบเอกสารรับรองและวันหมดอายุ</x:v>
      </x:c>
      <x:c r="H498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98" s="20" t="str">
        <x:v>500 ถ. พระรามที่ 3 แขวงช่องนนทรี เขตยานนาวา กรุงเทพมหานคร 10120</x:v>
      </x:c>
      <x:c r="J498" s="21" t="str">
        <x:v>Line :</x:v>
      </x:c>
      <x:c r="K498" s="23" t="e">
        <x:f>HYPERLINK("https://www.thic.or.th/th/tourist/detail/tourist/369","เปิดแหล่งข้อมูล 1")</x:f>
        <x:v>HYPERLINK is not implemented. linkLocation=https://www.thic.or.th/th/tourist/detail/tourist/369, friendlyName=เปิดแหล่งข้อมูล 1</x:v>
      </x:c>
      <x:c r="L498" s="23" t="str"/>
      <x:c r="M498" s="20" t="str"/>
      <x:c r="N498" s="10" t="n">
        <x:v>46315</x:v>
      </x:c>
      <x:c r="O498" s="22" t="str">
        <x:v>ยังไม่ตรวจ</x:v>
      </x:c>
      <x:c r="P498" s="22" t="str">
        <x:v>ยังไม่ติดต่อ</x:v>
      </x:c>
    </x:row>
    <x:row r="499" ht="66" customHeight="1">
      <x:c r="A499" s="9" t="n">
        <x:v>491</x:v>
      </x:c>
      <x:c r="B499" s="20" t="str">
        <x:v>สวนหลวง ร.9</x:v>
      </x:c>
      <x:c r="C499" s="20" t="str">
        <x:v>กรุงเทพมหานคร</x:v>
      </x:c>
      <x:c r="D499" s="20" t="str">
        <x:v>สวนสาธารณะหรือแหล่งธรรมชาติ</x:v>
      </x:c>
      <x:c r="E499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499" s="20" t="str">
        <x:v>ยังไม่พบข้อมูล</x:v>
      </x:c>
      <x:c r="G499" s="20" t="str">
        <x:v>ยังไม่พบเอกสารรับรองและวันหมดอายุ</x:v>
      </x:c>
      <x:c r="H499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499" s="20" t="str">
        <x:v>ถนน เฉลิมพระเกียรติ ร. 9 แขวงสวนหลวง เขตสวนหลวง กรุงเทพมหานคร 10240</x:v>
      </x:c>
      <x:c r="J499" s="21" t="str">
        <x:v>Line :</x:v>
      </x:c>
      <x:c r="K499" s="23" t="e">
        <x:f>HYPERLINK("https://www.thic.or.th/th/tourist/detail/tourist/358","เปิดแหล่งข้อมูล 1")</x:f>
        <x:v>HYPERLINK is not implemented. linkLocation=https://www.thic.or.th/th/tourist/detail/tourist/358, friendlyName=เปิดแหล่งข้อมูล 1</x:v>
      </x:c>
      <x:c r="L499" s="23" t="e">
        <x:f>HYPERLINK("https://www.wongnai.com/attractions/324235ix","เปิดแหล่งข้อมูล 2")</x:f>
        <x:v>HYPERLINK is not implemented. linkLocation=https://www.wongnai.com/attractions/324235ix, friendlyName=เปิดแหล่งข้อมูล 2</x:v>
      </x:c>
      <x:c r="M499" s="20" t="str">
        <x:v>ผลค้นหาชื่อสัมพันธ์จากแหล่งเพิ่มเติม ต้องยืนยันสาขาและข้อมูลปัจจุบัน</x:v>
      </x:c>
      <x:c r="N499" s="10" t="n">
        <x:v>46315</x:v>
      </x:c>
      <x:c r="O499" s="22" t="str">
        <x:v>ยังไม่ตรวจ</x:v>
      </x:c>
      <x:c r="P499" s="22" t="str">
        <x:v>ยังไม่ติดต่อ</x:v>
      </x:c>
    </x:row>
    <x:row r="500" ht="66" customHeight="1">
      <x:c r="A500" s="9" t="n">
        <x:v>492</x:v>
      </x:c>
      <x:c r="B500" s="20" t="str">
        <x:v>จ๊อดแฟร์ รัชดา</x:v>
      </x:c>
      <x:c r="C500" s="20" t="str">
        <x:v>กรุงเทพมหานคร</x:v>
      </x:c>
      <x:c r="D500" s="20" t="str">
        <x:v>พิพิธภัณฑ์หรือย่านวัฒนธรรม</x:v>
      </x:c>
      <x:c r="E500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00" s="20" t="str">
        <x:v>ยังไม่พบข้อมูล</x:v>
      </x:c>
      <x:c r="G500" s="20" t="str">
        <x:v>ยังไม่พบเอกสารรับรองและวันหมดอายุ</x:v>
      </x:c>
      <x:c r="H500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00" s="20" t="str">
        <x:v>129 ถ. รัชดาภิเษก แขวงคลองเตยเหนือ เขตวัฒนา กรุงเทพมหานคร 10110</x:v>
      </x:c>
      <x:c r="J500" s="21" t="str">
        <x:v>Line :</x:v>
      </x:c>
      <x:c r="K500" s="23" t="e">
        <x:f>HYPERLINK("https://www.thic.or.th/th/tourist/detail/tourist/381","เปิดแหล่งข้อมูล 1")</x:f>
        <x:v>HYPERLINK is not implemented. linkLocation=https://www.thic.or.th/th/tourist/detail/tourist/381, friendlyName=เปิดแหล่งข้อมูล 1</x:v>
      </x:c>
      <x:c r="L500" s="23" t="e">
        <x:f>HYPERLINK("https://th.trip.com/travel-guide/attraction/bangkok/jodd-fairs-ratchada-134009241/?curr=THB&amp;locale=th-TH","เปิดแหล่งข้อมูล 2")</x:f>
        <x:v>HYPERLINK is not implemented. linkLocation=https://th.trip.com/travel-guide/attraction/bangkok/jodd-fairs-ratchada-134009241/?curr=THB&amp;locale=th-TH, friendlyName=เปิดแหล่งข้อมูล 2</x:v>
      </x:c>
      <x:c r="M500" s="20" t="str">
        <x:v>ผลค้นหาชื่อสัมพันธ์จากแหล่งเพิ่มเติม ต้องยืนยันสาขาและข้อมูลปัจจุบัน</x:v>
      </x:c>
      <x:c r="N500" s="10" t="n">
        <x:v>46315</x:v>
      </x:c>
      <x:c r="O500" s="22" t="str">
        <x:v>ยังไม่ตรวจ</x:v>
      </x:c>
      <x:c r="P500" s="22" t="str">
        <x:v>ยังไม่ติดต่อ</x:v>
      </x:c>
    </x:row>
    <x:row r="501" ht="66" customHeight="1">
      <x:c r="A501" s="9" t="n">
        <x:v>493</x:v>
      </x:c>
      <x:c r="B501" s="20" t="str">
        <x:v>ตลาดกรีนวินเทจ รัชโยธิน</x:v>
      </x:c>
      <x:c r="C501" s="20" t="str">
        <x:v>กรุงเทพมหานคร</x:v>
      </x:c>
      <x:c r="D501" s="20" t="str">
        <x:v>พิพิธภัณฑ์หรือย่านวัฒนธรรม</x:v>
      </x:c>
      <x:c r="E501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01" s="20" t="str">
        <x:v>ยังไม่พบข้อมูล</x:v>
      </x:c>
      <x:c r="G501" s="20" t="str">
        <x:v>ยังไม่พบเอกสารรับรองและวันหมดอายุ</x:v>
      </x:c>
      <x:c r="H501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01" s="20" t="str">
        <x:v>1426 ถ. พหลโยธิน แขวงทุ่งสองห้อง เขตหลักสี่ กรุงเทพมหานคร 10220</x:v>
      </x:c>
      <x:c r="J501" s="21" t="str">
        <x:v>Line :</x:v>
      </x:c>
      <x:c r="K501" s="23" t="e">
        <x:f>HYPERLINK("https://www.thic.or.th/th/tourist/detail/tourist/384","เปิดแหล่งข้อมูล 1")</x:f>
        <x:v>HYPERLINK is not implemented. linkLocation=https://www.thic.or.th/th/tourist/detail/tourist/384, friendlyName=เปิดแหล่งข้อมูล 1</x:v>
      </x:c>
      <x:c r="L501" s="23" t="e">
        <x:f>HYPERLINK("https://wanderlog.com/th/place/details/5370970","เปิดแหล่งข้อมูล 2")</x:f>
        <x:v>HYPERLINK is not implemented. linkLocation=https://wanderlog.com/th/place/details/5370970, friendlyName=เปิดแหล่งข้อมูล 2</x:v>
      </x:c>
      <x:c r="M501" s="20" t="str">
        <x:v>ผลค้นหาชื่อสัมพันธ์จากแหล่งเพิ่มเติม ต้องยืนยันสาขาและข้อมูลปัจจุบัน</x:v>
      </x:c>
      <x:c r="N501" s="10" t="n">
        <x:v>46315</x:v>
      </x:c>
      <x:c r="O501" s="22" t="str">
        <x:v>ยังไม่ตรวจ</x:v>
      </x:c>
      <x:c r="P501" s="22" t="str">
        <x:v>ยังไม่ติดต่อ</x:v>
      </x:c>
    </x:row>
    <x:row r="502" ht="66" customHeight="1">
      <x:c r="A502" s="9" t="n">
        <x:v>494</x:v>
      </x:c>
      <x:c r="B502" s="20" t="str">
        <x:v>ตลาดคุ้มเกล้า</x:v>
      </x:c>
      <x:c r="C502" s="20" t="str">
        <x:v>กรุงเทพมหานคร</x:v>
      </x:c>
      <x:c r="D502" s="20" t="str">
        <x:v>พิพิธภัณฑ์หรือย่านวัฒนธรรม</x:v>
      </x:c>
      <x:c r="E502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02" s="20" t="str">
        <x:v>ยังไม่พบข้อมูล</x:v>
      </x:c>
      <x:c r="G502" s="20" t="str">
        <x:v>ยังไม่พบเอกสารรับรองและวันหมดอายุ</x:v>
      </x:c>
      <x:c r="H502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02" s="20" t="str">
        <x:v>ถ. คุ้มเกล้า แขวงทวีวัฒนา เขตทวีวัฒนา กรุงเทพมหานคร 10160</x:v>
      </x:c>
      <x:c r="J502" s="21" t="str">
        <x:v>Line :</x:v>
      </x:c>
      <x:c r="K502" s="23" t="e">
        <x:f>HYPERLINK("https://www.thic.or.th/th/tourist/detail/tourist/376","เปิดแหล่งข้อมูล 1")</x:f>
        <x:v>HYPERLINK is not implemented. linkLocation=https://www.thic.or.th/th/tourist/detail/tourist/376, friendlyName=เปิดแหล่งข้อมูล 1</x:v>
      </x:c>
      <x:c r="L502" s="23" t="e">
        <x:f>HYPERLINK("https://www.wongnai.com/restaurants/926089zV-%E0%B8%AB%E0%B9%88%E0%B8%AD%E0%B8%AB%E0%B8%A1%E0%B8%81%E0%B8%97%E0%B8%B0%E0%B9%80%E0%B8%A5%E0%B8%A2%E0%B9%88%E0%B8%B2%E0%B8%87-%E0%B8%95%E0%B8%A5%E0%B8%B2%E0%B8%94%E0%B8%84%E0%B8%B8%E0%B9%89%E0%B8%A1%E0%B9%80%E0%B8%81%E0%B8%A5%E0%B9%89%E0%B8%B2-%E0%B8%AA%E0%B8%B2%E0%B8%82%E0%B8%B2-2","เปิดแหล่งข้อมูล 2")</x:f>
        <x:v>HYPERLINK is not implemented. linkLocation=https://www.wongnai.com/restaurants/926089zV-%E0%B8%AB%E0%B9%88%E0%B8%AD%E0%B8%AB%E0%B8%A1%E0%B8%81%E0%B8%97%E0%B8%B0%E0%B9%80%E0%B8%A5%E0%B8%A2%E0%B9%88%E0%B8%B2%E0%B8%87-%E0%B8%95%E0%B8%A5%E0%B8%B2%E0%B8%94%E0%B8%84%E0%B8%B8%E0%B9%89%E0%B8%A1%E0%B9%80%E0%B8%81%E0%B8%A5%E0%B9%89%E0%B8%B2-%E0%B8%AA%E0%B8%B2%E0%B8%82%E0%B8%B2-2, friendlyName=เปิดแหล่งข้อมูล 2</x:v>
      </x:c>
      <x:c r="M502" s="20" t="str">
        <x:v>ผลค้นหาชื่อสัมพันธ์จากแหล่งเพิ่มเติม ต้องยืนยันสาขาและข้อมูลปัจจุบัน</x:v>
      </x:c>
      <x:c r="N502" s="10" t="n">
        <x:v>46315</x:v>
      </x:c>
      <x:c r="O502" s="22" t="str">
        <x:v>ยังไม่ตรวจ</x:v>
      </x:c>
      <x:c r="P502" s="22" t="str">
        <x:v>ยังไม่ติดต่อ</x:v>
      </x:c>
    </x:row>
    <x:row r="503" ht="66" customHeight="1">
      <x:c r="A503" s="9" t="n">
        <x:v>495</x:v>
      </x:c>
      <x:c r="B503" s="20" t="str">
        <x:v>ตลาดนัดกรีนเดย์ไนท์</x:v>
      </x:c>
      <x:c r="C503" s="20" t="str">
        <x:v>กรุงเทพมหานคร</x:v>
      </x:c>
      <x:c r="D503" s="20" t="str">
        <x:v>พิพิธภัณฑ์หรือย่านวัฒนธรรม</x:v>
      </x:c>
      <x:c r="E503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03" s="20" t="str">
        <x:v>ยังไม่พบข้อมูล</x:v>
      </x:c>
      <x:c r="G503" s="20" t="str">
        <x:v>ยังไม่พบเอกสารรับรองและวันหมดอายุ</x:v>
      </x:c>
      <x:c r="H503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03" s="20" t="str">
        <x:v>ถนน พระรามสอง แขวงศิริราช เขตบางกอกน้อย กรุงเทพมหานคร 10700</x:v>
      </x:c>
      <x:c r="J503" s="21" t="str">
        <x:v>Line :</x:v>
      </x:c>
      <x:c r="K503" s="23" t="e">
        <x:f>HYPERLINK("https://www.thic.or.th/th/tourist/detail/tourist/387","เปิดแหล่งข้อมูล 1")</x:f>
        <x:v>HYPERLINK is not implemented. linkLocation=https://www.thic.or.th/th/tourist/detail/tourist/387, friendlyName=เปิดแหล่งข้อมูล 1</x:v>
      </x:c>
      <x:c r="L503" s="23" t="e">
        <x:f>HYPERLINK("https://www.wongnai.com/attractions/348858xK-%E0%B8%95%E0%B8%A5%E0%B8%B2%E0%B8%94%E0%B8%99%E0%B8%B1%E0%B8%94%E0%B8%81%E0%B8%A3%E0%B8%B5%E0%B8%99%E0%B9%80%E0%B8%94%E0%B8%A2%E0%B9%8C%E0%B9%84%E0%B8%99%E0%B8%97%E0%B9%8C","เปิดแหล่งข้อมูล 2")</x:f>
        <x:v>HYPERLINK is not implemented. linkLocation=https://www.wongnai.com/attractions/348858xK-%E0%B8%95%E0%B8%A5%E0%B8%B2%E0%B8%94%E0%B8%99%E0%B8%B1%E0%B8%94%E0%B8%81%E0%B8%A3%E0%B8%B5%E0%B8%99%E0%B9%80%E0%B8%94%E0%B8%A2%E0%B9%8C%E0%B9%84%E0%B8%99%E0%B8%97%E0%B9%8C, friendlyName=เปิดแหล่งข้อมูล 2</x:v>
      </x:c>
      <x:c r="M503" s="20" t="str">
        <x:v>ผลค้นหาชื่อสัมพันธ์จากแหล่งเพิ่มเติม ต้องยืนยันสาขาและข้อมูลปัจจุบัน</x:v>
      </x:c>
      <x:c r="N503" s="10" t="n">
        <x:v>46315</x:v>
      </x:c>
      <x:c r="O503" s="22" t="str">
        <x:v>ยังไม่ตรวจ</x:v>
      </x:c>
      <x:c r="P503" s="22" t="str">
        <x:v>ยังไม่ติดต่อ</x:v>
      </x:c>
    </x:row>
    <x:row r="504" ht="66" customHeight="1">
      <x:c r="A504" s="9" t="n">
        <x:v>496</x:v>
      </x:c>
      <x:c r="B504" s="20" t="str">
        <x:v>ตลาดนัดกลางคืนพัลลาเดียม</x:v>
      </x:c>
      <x:c r="C504" s="20" t="str">
        <x:v>กรุงเทพมหานคร</x:v>
      </x:c>
      <x:c r="D504" s="20" t="str">
        <x:v>พิพิธภัณฑ์หรือย่านวัฒนธรรม</x:v>
      </x:c>
      <x:c r="E504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04" s="20" t="str">
        <x:v>ยังไม่พบข้อมูล</x:v>
      </x:c>
      <x:c r="G504" s="20" t="str">
        <x:v>ยังไม่พบเอกสารรับรองและวันหมดอายุ</x:v>
      </x:c>
      <x:c r="H50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04" s="20" t="str">
        <x:v>487 ถ. เพชรบุรี แขวง*ถนนพญาไท เขตพญาไท กรุงเทพมหานคร 10400</x:v>
      </x:c>
      <x:c r="J504" s="21" t="str">
        <x:v>Line :</x:v>
      </x:c>
      <x:c r="K504" s="23" t="e">
        <x:f>HYPERLINK("https://www.thic.or.th/th/tourist/detail/tourist/385","เปิดแหล่งข้อมูล 1")</x:f>
        <x:v>HYPERLINK is not implemented. linkLocation=https://www.thic.or.th/th/tourist/detail/tourist/385, friendlyName=เปิดแหล่งข้อมูล 1</x:v>
      </x:c>
      <x:c r="L504" s="23" t="e">
        <x:f>HYPERLINK("https://th.trip.com/hot/%E0%B8%95%E0%B8%A5%E0%B8%B2%E0%B8%94%E0%B8%99%E0%B8%B1%E0%B8%94%E0%B8%81%E0%B8%A5%E0%B8%B2%E0%B8%87%E0%B8%84%E0%B8%B7%E0%B8%99%E0%B8%9E%E0%B8%B1%E0%B8%A5%E0%B8%A5%E0%B8%B2%E0%B9%80%E0%B8%94%E0%B8%B5%E0%B8%A2%E0%B8%A1%2B%E0%B9%82%E0%B8%A3%E0%B8%87%E0%B9%81%E0%B8%A3%E0%B8%A1%E0%B9%83%E0%B8%81%E0%B8%A5%E0%B9%89%E0%B9%80%E0%B8%84%E0%B8%B5%E0%B8%A2%E0%B8%87/","เปิดแหล่งข้อมูล 2")</x:f>
        <x:v>HYPERLINK is not implemented. linkLocation=https://th.trip.com/hot/%E0%B8%95%E0%B8%A5%E0%B8%B2%E0%B8%94%E0%B8%99%E0%B8%B1%E0%B8%94%E0%B8%81%E0%B8%A5%E0%B8%B2%E0%B8%87%E0%B8%84%E0%B8%B7%E0%B8%99%E0%B8%9E%E0%B8%B1%E0%B8%A5%E0%B8%A5%E0%B8%B2%E0%B9%80%E0%B8%94%E0%B8%B5%E0%B8%A2%E0%B8%A1%2B%E0%B9%82%E0%B8%A3%E0%B8%87%E0%B9%81%E0%B8%A3%E0%B8%A1%E0%B9%83%E0%B8%81%E0%B8%A5%E0%B9%89%E0%B9%80%E0%B8%84%E0%B8%B5%E0%B8%A2%E0%B8%87/, friendlyName=เปิดแหล่งข้อมูล 2</x:v>
      </x:c>
      <x:c r="M504" s="20" t="str">
        <x:v>ผลค้นหาชื่อสัมพันธ์จากแหล่งเพิ่มเติม ต้องยืนยันสาขาและข้อมูลปัจจุบัน</x:v>
      </x:c>
      <x:c r="N504" s="10" t="n">
        <x:v>46315</x:v>
      </x:c>
      <x:c r="O504" s="22" t="str">
        <x:v>ยังไม่ตรวจ</x:v>
      </x:c>
      <x:c r="P504" s="22" t="str">
        <x:v>ยังไม่ติดต่อ</x:v>
      </x:c>
    </x:row>
    <x:row r="505" ht="66" customHeight="1">
      <x:c r="A505" s="9" t="n">
        <x:v>497</x:v>
      </x:c>
      <x:c r="B505" s="20" t="str">
        <x:v>ตลาดนัดลำผักชี</x:v>
      </x:c>
      <x:c r="C505" s="20" t="str">
        <x:v>กรุงเทพมหานคร</x:v>
      </x:c>
      <x:c r="D505" s="20" t="str">
        <x:v>พิพิธภัณฑ์หรือย่านวัฒนธรรม</x:v>
      </x:c>
      <x:c r="E505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05" s="20" t="str">
        <x:v>ยังไม่พบข้อมูล</x:v>
      </x:c>
      <x:c r="G505" s="20" t="str">
        <x:v>ยังไม่พบเอกสารรับรองและวันหมดอายุ</x:v>
      </x:c>
      <x:c r="H505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05" s="20" t="str">
        <x:v>52 5 ถ. สุวินทวงศ์ แขวงลำผักชี เขตหนองจอก กรุงเทพมหานคร 10530</x:v>
      </x:c>
      <x:c r="J505" s="21" t="str">
        <x:v>ยังไม่พบข้อมูล</x:v>
      </x:c>
      <x:c r="K505" s="23" t="e">
        <x:f>HYPERLINK("https://www.thic.or.th/th/tourist/detail/tourist/537","เปิดแหล่งข้อมูล 1")</x:f>
        <x:v>HYPERLINK is not implemented. linkLocation=https://www.thic.or.th/th/tourist/detail/tourist/537, friendlyName=เปิดแหล่งข้อมูล 1</x:v>
      </x:c>
      <x:c r="L505" s="23" t="str"/>
      <x:c r="M505" s="20" t="str"/>
      <x:c r="N505" s="10" t="n">
        <x:v>46315</x:v>
      </x:c>
      <x:c r="O505" s="22" t="str">
        <x:v>ยังไม่ตรวจ</x:v>
      </x:c>
      <x:c r="P505" s="22" t="str">
        <x:v>ยังไม่ติดต่อ</x:v>
      </x:c>
    </x:row>
    <x:row r="506" ht="66" customHeight="1">
      <x:c r="A506" s="9" t="n">
        <x:v>498</x:v>
      </x:c>
      <x:c r="B506" s="20" t="str">
        <x:v>ตลาดนัดอิสลาม</x:v>
      </x:c>
      <x:c r="C506" s="20" t="str">
        <x:v>กรุงเทพมหานคร</x:v>
      </x:c>
      <x:c r="D506" s="20" t="str">
        <x:v>พิพิธภัณฑ์หรือย่านวัฒนธรรม</x:v>
      </x:c>
      <x:c r="E506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06" s="20" t="str">
        <x:v>ยังไม่พบข้อมูล</x:v>
      </x:c>
      <x:c r="G506" s="20" t="str">
        <x:v>ยังไม่พบเอกสารรับรองและวันหมดอายุ</x:v>
      </x:c>
      <x:c r="H50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06" s="20" t="str">
        <x:v>37 ซ. หัวหมาก 21 แขวงหัวหมาก เขตบางกะปิ กรุงเทพมหานคร 10240</x:v>
      </x:c>
      <x:c r="J506" s="21" t="str">
        <x:v>ยังไม่พบข้อมูล</x:v>
      </x:c>
      <x:c r="K506" s="23" t="e">
        <x:f>HYPERLINK("https://www.thic.or.th/th/tourist/detail/tourist/527","เปิดแหล่งข้อมูล 1")</x:f>
        <x:v>HYPERLINK is not implemented. linkLocation=https://www.thic.or.th/th/tourist/detail/tourist/527, friendlyName=เปิดแหล่งข้อมูล 1</x:v>
      </x:c>
      <x:c r="L506" s="23" t="str"/>
      <x:c r="M506" s="20" t="str"/>
      <x:c r="N506" s="10" t="n">
        <x:v>46315</x:v>
      </x:c>
      <x:c r="O506" s="22" t="str">
        <x:v>ยังไม่ตรวจ</x:v>
      </x:c>
      <x:c r="P506" s="22" t="str">
        <x:v>ยังไม่ติดต่อ</x:v>
      </x:c>
    </x:row>
    <x:row r="507" ht="66" customHeight="1">
      <x:c r="A507" s="9" t="n">
        <x:v>499</x:v>
      </x:c>
      <x:c r="B507" s="20" t="str">
        <x:v>ตลาดนานาชาติ</x:v>
      </x:c>
      <x:c r="C507" s="20" t="str">
        <x:v>กรุงเทพมหานคร</x:v>
      </x:c>
      <x:c r="D507" s="20" t="str">
        <x:v>พิพิธภัณฑ์หรือย่านวัฒนธรรม</x:v>
      </x:c>
      <x:c r="E507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07" s="20" t="str">
        <x:v>ยังไม่พบข้อมูล</x:v>
      </x:c>
      <x:c r="G507" s="20" t="str">
        <x:v>ยังไม่พบเอกสารรับรองและวันหมดอายุ</x:v>
      </x:c>
      <x:c r="H507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07" s="20" t="str">
        <x:v>108/1 ถ. ร่มเกล้า แขวงช่องนนทรี เขตยานนาวา กรุงเทพมหานคร 10120</x:v>
      </x:c>
      <x:c r="J507" s="21" t="str">
        <x:v>Line :</x:v>
      </x:c>
      <x:c r="K507" s="23" t="e">
        <x:f>HYPERLINK("https://www.thic.or.th/th/tourist/detail/tourist/388","เปิดแหล่งข้อมูล 1")</x:f>
        <x:v>HYPERLINK is not implemented. linkLocation=https://www.thic.or.th/th/tourist/detail/tourist/388, friendlyName=เปิดแหล่งข้อมูล 1</x:v>
      </x:c>
      <x:c r="L507" s="23" t="e">
        <x:f>HYPERLINK("https://www.wongnai.com/restaurants/979804yZ-%E0%B8%AD%E0%B8%B2%E0%B8%A7%E0%B8%99%E0%B9%8C%E0%B8%8A%E0%B8%B2-%E0%B8%AB%E0%B8%99%E0%B9%89%E0%B8%B2%E0%B9%82%E0%B8%A5%E0%B8%95%E0%B8%B1%E0%B8%AA-%E0%B8%AA%E0%B8%B8%E0%B8%82%E0%B8%B2%E0%B8%A0%E0%B8%B4%E0%B8%9A%E0%B8%B2%E0%B8%A5-3","เปิดแหล่งข้อมูล 2")</x:f>
        <x:v>HYPERLINK is not implemented. linkLocation=https://www.wongnai.com/restaurants/979804yZ-%E0%B8%AD%E0%B8%B2%E0%B8%A7%E0%B8%99%E0%B9%8C%E0%B8%8A%E0%B8%B2-%E0%B8%AB%E0%B8%99%E0%B9%89%E0%B8%B2%E0%B9%82%E0%B8%A5%E0%B8%95%E0%B8%B1%E0%B8%AA-%E0%B8%AA%E0%B8%B8%E0%B8%82%E0%B8%B2%E0%B8%A0%E0%B8%B4%E0%B8%9A%E0%B8%B2%E0%B8%A5-3, friendlyName=เปิดแหล่งข้อมูล 2</x:v>
      </x:c>
      <x:c r="M507" s="20" t="str">
        <x:v>ผลค้นหาชื่อสัมพันธ์จากแหล่งเพิ่มเติม ต้องยืนยันสาขาและข้อมูลปัจจุบัน</x:v>
      </x:c>
      <x:c r="N507" s="10" t="n">
        <x:v>46315</x:v>
      </x:c>
      <x:c r="O507" s="22" t="str">
        <x:v>ยังไม่ตรวจ</x:v>
      </x:c>
      <x:c r="P507" s="22" t="str">
        <x:v>ยังไม่ติดต่อ</x:v>
      </x:c>
    </x:row>
    <x:row r="508" ht="66" customHeight="1">
      <x:c r="A508" s="9" t="n">
        <x:v>500</x:v>
      </x:c>
      <x:c r="B508" s="20" t="str">
        <x:v>ตลาดน้ำคลองลัดมะยม</x:v>
      </x:c>
      <x:c r="C508" s="20" t="str">
        <x:v>กรุงเทพมหานคร</x:v>
      </x:c>
      <x:c r="D508" s="20" t="str">
        <x:v>พิพิธภัณฑ์หรือย่านวัฒนธรรม</x:v>
      </x:c>
      <x:c r="E508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08" s="20" t="str">
        <x:v>ยังไม่พบข้อมูล</x:v>
      </x:c>
      <x:c r="G508" s="20" t="str">
        <x:v>ยังไม่พบเอกสารรับรองและวันหมดอายุ</x:v>
      </x:c>
      <x:c r="H508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08" s="20" t="str">
        <x:v>ถนน บางระมาด แขวงบางระมาด เขตตลิ่งชัน กรุงเทพมหานคร 10170</x:v>
      </x:c>
      <x:c r="J508" s="21" t="str">
        <x:v>ยังไม่พบข้อมูล</x:v>
      </x:c>
      <x:c r="K508" s="23" t="e">
        <x:f>HYPERLINK("https://www.thic.or.th/th/tourist/detail/tourist/401","เปิดแหล่งข้อมูล 1")</x:f>
        <x:v>HYPERLINK is not implemented. linkLocation=https://www.thic.or.th/th/tourist/detail/tourist/401, friendlyName=เปิดแหล่งข้อมูล 1</x:v>
      </x:c>
      <x:c r="L508" s="23" t="e">
        <x:f>HYPERLINK("https://th.tripadvisor.com/Attraction_Review-g293916-d4322658-Reviews-Khlong_Lat_Mayom_Floating_Market-Bangkok.html","เปิดแหล่งข้อมูล 2")</x:f>
        <x:v>HYPERLINK is not implemented. linkLocation=https://th.tripadvisor.com/Attraction_Review-g293916-d4322658-Reviews-Khlong_Lat_Mayom_Floating_Market-Bangkok.html, friendlyName=เปิดแหล่งข้อมูล 2</x:v>
      </x:c>
      <x:c r="M508" s="20" t="str">
        <x:v>ผลค้นหาชื่อสัมพันธ์จากแหล่งเพิ่มเติม ต้องยืนยันสาขาและข้อมูลปัจจุบัน</x:v>
      </x:c>
      <x:c r="N508" s="10" t="n">
        <x:v>46315</x:v>
      </x:c>
      <x:c r="O508" s="22" t="str">
        <x:v>ยังไม่ตรวจ</x:v>
      </x:c>
      <x:c r="P508" s="22" t="str">
        <x:v>ยังไม่ติดต่อ</x:v>
      </x:c>
    </x:row>
    <x:row r="509" ht="66" customHeight="1">
      <x:c r="A509" s="9" t="n">
        <x:v>501</x:v>
      </x:c>
      <x:c r="B509" s="20" t="str">
        <x:v>ตลาดน้ำตลิ่งชัน</x:v>
      </x:c>
      <x:c r="C509" s="20" t="str">
        <x:v>กรุงเทพมหานคร</x:v>
      </x:c>
      <x:c r="D509" s="20" t="str">
        <x:v>พิพิธภัณฑ์หรือย่านวัฒนธรรม</x:v>
      </x:c>
      <x:c r="E509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09" s="20" t="str">
        <x:v>ยังไม่พบข้อมูล</x:v>
      </x:c>
      <x:c r="G509" s="20" t="str">
        <x:v>ยังไม่พบเอกสารรับรองและวันหมดอายุ</x:v>
      </x:c>
      <x:c r="H509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09" s="20" t="str">
        <x:v>333 ถนน ชักพระ แขวงตลิ่งชัน เขตตลิ่งชัน กรุงเทพมหานคร 10170</x:v>
      </x:c>
      <x:c r="J509" s="21" t="str">
        <x:v>Line :</x:v>
      </x:c>
      <x:c r="K509" s="23" t="e">
        <x:f>HYPERLINK("https://www.thic.or.th/th/tourist/detail/tourist/400","เปิดแหล่งข้อมูล 1")</x:f>
        <x:v>HYPERLINK is not implemented. linkLocation=https://www.thic.or.th/th/tourist/detail/tourist/400, friendlyName=เปิดแหล่งข้อมูล 1</x:v>
      </x:c>
      <x:c r="L509" s="23" t="e">
        <x:f>HYPERLINK("https://www.wongnai.com/reviews/3b6e251de56c45c2ba45ce86d90b0036","เปิดแหล่งข้อมูล 2")</x:f>
        <x:v>HYPERLINK is not implemented. linkLocation=https://www.wongnai.com/reviews/3b6e251de56c45c2ba45ce86d90b0036, friendlyName=เปิดแหล่งข้อมูล 2</x:v>
      </x:c>
      <x:c r="M509" s="20" t="str">
        <x:v>ผลค้นหาชื่อสัมพันธ์จากแหล่งเพิ่มเติม ต้องยืนยันสาขาและข้อมูลปัจจุบัน</x:v>
      </x:c>
      <x:c r="N509" s="10" t="n">
        <x:v>46315</x:v>
      </x:c>
      <x:c r="O509" s="22" t="str">
        <x:v>ยังไม่ตรวจ</x:v>
      </x:c>
      <x:c r="P509" s="22" t="str">
        <x:v>ยังไม่ติดต่อ</x:v>
      </x:c>
    </x:row>
    <x:row r="510" ht="66" customHeight="1">
      <x:c r="A510" s="9" t="n">
        <x:v>502</x:v>
      </x:c>
      <x:c r="B510" s="20" t="str">
        <x:v>ตลาดน้ำบางคูลัด</x:v>
      </x:c>
      <x:c r="C510" s="20" t="str">
        <x:v>กรุงเทพมหานคร</x:v>
      </x:c>
      <x:c r="D510" s="20" t="str">
        <x:v>พิพิธภัณฑ์หรือย่านวัฒนธรรม</x:v>
      </x:c>
      <x:c r="E510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0" s="20" t="str">
        <x:v>ยังไม่พบข้อมูล</x:v>
      </x:c>
      <x:c r="G510" s="20" t="str">
        <x:v>ยังไม่พบเอกสารรับรองและวันหมดอายุ</x:v>
      </x:c>
      <x:c r="H510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0" s="20" t="str">
        <x:v>แขวงบางยี่เรือ เขตธนบุรี กรุงเทพมหานคร 10600</x:v>
      </x:c>
      <x:c r="J510" s="21" t="str">
        <x:v>Line :</x:v>
      </x:c>
      <x:c r="K510" s="23" t="e">
        <x:f>HYPERLINK("https://www.thic.or.th/th/tourist/detail/tourist/408","เปิดแหล่งข้อมูล 1")</x:f>
        <x:v>HYPERLINK is not implemented. linkLocation=https://www.thic.or.th/th/tourist/detail/tourist/408, friendlyName=เปิดแหล่งข้อมูล 1</x:v>
      </x:c>
      <x:c r="L510" s="23" t="e">
        <x:f>HYPERLINK("https://wanderlog.com/th/place/details/6179690/%E0%B8%95%E0%B8%A5%E0%B8%B2%E0%B8%94%E0%B8%99%E0%B8%B3%E0%B8%9A%E0%B8%B2%E0%B8%87%E0%B8%84%E0%B8%A5%E0%B8%94","เปิดแหล่งข้อมูล 2")</x:f>
        <x:v>HYPERLINK is not implemented. linkLocation=https://wanderlog.com/th/place/details/6179690/%E0%B8%95%E0%B8%A5%E0%B8%B2%E0%B8%94%E0%B8%99%E0%B8%B3%E0%B8%9A%E0%B8%B2%E0%B8%87%E0%B8%84%E0%B8%A5%E0%B8%94, friendlyName=เปิดแหล่งข้อมูล 2</x:v>
      </x:c>
      <x:c r="M510" s="20" t="str">
        <x:v>ผลค้นหาชื่อสัมพันธ์จากแหล่งเพิ่มเติม ต้องยืนยันสาขาและข้อมูลปัจจุบัน</x:v>
      </x:c>
      <x:c r="N510" s="10" t="n">
        <x:v>46315</x:v>
      </x:c>
      <x:c r="O510" s="22" t="str">
        <x:v>ยังไม่ตรวจ</x:v>
      </x:c>
      <x:c r="P510" s="22" t="str">
        <x:v>ยังไม่ติดต่อ</x:v>
      </x:c>
    </x:row>
    <x:row r="511" ht="66" customHeight="1">
      <x:c r="A511" s="9" t="n">
        <x:v>503</x:v>
      </x:c>
      <x:c r="B511" s="20" t="str">
        <x:v>ตลาดน้ำวัดสะพาน ราชพฤกษ์</x:v>
      </x:c>
      <x:c r="C511" s="20" t="str">
        <x:v>กรุงเทพมหานคร</x:v>
      </x:c>
      <x:c r="D511" s="20" t="str">
        <x:v>พิพิธภัณฑ์หรือย่านวัฒนธรรม</x:v>
      </x:c>
      <x:c r="E511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1" s="20" t="str">
        <x:v>ยังไม่พบข้อมูล</x:v>
      </x:c>
      <x:c r="G511" s="20" t="str">
        <x:v>ยังไม่พบเอกสารรับรองและวันหมดอายุ</x:v>
      </x:c>
      <x:c r="H511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1" s="20" t="str">
        <x:v>ถนน ปากน้ำกระโจมทอง แขวงวัดกัลยาณ์ เขตธนบุรี กรุงเทพมหานคร 10600</x:v>
      </x:c>
      <x:c r="J511" s="21" t="str">
        <x:v>ยังไม่พบข้อมูล</x:v>
      </x:c>
      <x:c r="K511" s="23" t="e">
        <x:f>HYPERLINK("https://www.thic.or.th/th/tourist/detail/tourist/404","เปิดแหล่งข้อมูล 1")</x:f>
        <x:v>HYPERLINK is not implemented. linkLocation=https://www.thic.or.th/th/tourist/detail/tourist/404, friendlyName=เปิดแหล่งข้อมูล 1</x:v>
      </x:c>
      <x:c r="L511" s="23" t="e">
        <x:f>HYPERLINK("https://www.lemon8-app.com/%40watsaphanfoatingmarket/7474259177855205905?region=th","เปิดแหล่งข้อมูล 2")</x:f>
        <x:v>HYPERLINK is not implemented. linkLocation=https://www.lemon8-app.com/%40watsaphanfoatingmarket/7474259177855205905?region=th, friendlyName=เปิดแหล่งข้อมูล 2</x:v>
      </x:c>
      <x:c r="M511" s="20" t="str">
        <x:v>ผลค้นหาชื่อสัมพันธ์จากแหล่งเพิ่มเติม ต้องยืนยันสาขาและข้อมูลปัจจุบัน</x:v>
      </x:c>
      <x:c r="N511" s="10" t="n">
        <x:v>46315</x:v>
      </x:c>
      <x:c r="O511" s="22" t="str">
        <x:v>ยังไม่ตรวจ</x:v>
      </x:c>
      <x:c r="P511" s="22" t="str">
        <x:v>ยังไม่ติดต่อ</x:v>
      </x:c>
    </x:row>
    <x:row r="512" ht="66" customHeight="1">
      <x:c r="A512" s="9" t="n">
        <x:v>504</x:v>
      </x:c>
      <x:c r="B512" s="20" t="str">
        <x:v>ตลาดน้ำสองคลองวัดตลิ่งชัน</x:v>
      </x:c>
      <x:c r="C512" s="20" t="str">
        <x:v>กรุงเทพมหานคร</x:v>
      </x:c>
      <x:c r="D512" s="20" t="str">
        <x:v>พิพิธภัณฑ์หรือย่านวัฒนธรรม</x:v>
      </x:c>
      <x:c r="E512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2" s="20" t="str">
        <x:v>ยังไม่พบข้อมูล</x:v>
      </x:c>
      <x:c r="G512" s="20" t="str">
        <x:v>ยังไม่พบเอกสารรับรองและวันหมดอายุ</x:v>
      </x:c>
      <x:c r="H512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2" s="20" t="str">
        <x:v>300 ถนน ชักพระ แขวงคลองชักพระ เขตตลิ่งชัน กรุงเทพมหานคร 10170</x:v>
      </x:c>
      <x:c r="J512" s="21" t="str">
        <x:v>ยังไม่พบข้อมูล</x:v>
      </x:c>
      <x:c r="K512" s="23" t="e">
        <x:f>HYPERLINK("https://www.thic.or.th/th/tourist/detail/tourist/406","เปิดแหล่งข้อมูล 1")</x:f>
        <x:v>HYPERLINK is not implemented. linkLocation=https://www.thic.or.th/th/tourist/detail/tourist/406, friendlyName=เปิดแหล่งข้อมูล 1</x:v>
      </x:c>
      <x:c r="L512" s="23" t="e">
        <x:f>HYPERLINK("https://www.wongnai.com/reviews/8695f13c401340a8abe198ad093fd7b0","เปิดแหล่งข้อมูล 2")</x:f>
        <x:v>HYPERLINK is not implemented. linkLocation=https://www.wongnai.com/reviews/8695f13c401340a8abe198ad093fd7b0, friendlyName=เปิดแหล่งข้อมูล 2</x:v>
      </x:c>
      <x:c r="M512" s="20" t="str">
        <x:v>ผลค้นหาชื่อสัมพันธ์จากแหล่งเพิ่มเติม ต้องยืนยันสาขาและข้อมูลปัจจุบัน</x:v>
      </x:c>
      <x:c r="N512" s="10" t="n">
        <x:v>46315</x:v>
      </x:c>
      <x:c r="O512" s="22" t="str">
        <x:v>ยังไม่ตรวจ</x:v>
      </x:c>
      <x:c r="P512" s="22" t="str">
        <x:v>ยังไม่ติดต่อ</x:v>
      </x:c>
    </x:row>
    <x:row r="513" ht="66" customHeight="1">
      <x:c r="A513" s="9" t="n">
        <x:v>505</x:v>
      </x:c>
      <x:c r="B513" s="20" t="str">
        <x:v>ตลาดมีนบุรี</x:v>
      </x:c>
      <x:c r="C513" s="20" t="str">
        <x:v>กรุงเทพมหานคร</x:v>
      </x:c>
      <x:c r="D513" s="20" t="str">
        <x:v>พิพิธภัณฑ์หรือย่านวัฒนธรรม</x:v>
      </x:c>
      <x:c r="E513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3" s="20" t="str">
        <x:v>ยังไม่พบข้อมูล</x:v>
      </x:c>
      <x:c r="G513" s="20" t="str">
        <x:v>ยังไม่พบเอกสารรับรองและวันหมดอายุ</x:v>
      </x:c>
      <x:c r="H513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3" s="20" t="str">
        <x:v>521 หมู่ที่ 18 ถ. สีหบุรานุกิจ แขวงมีนบุรี เขตมีนบุรี กรุงเทพมหานคร 10510</x:v>
      </x:c>
      <x:c r="J513" s="21" t="str">
        <x:v>Line :</x:v>
      </x:c>
      <x:c r="K513" s="23" t="e">
        <x:f>HYPERLINK("https://www.thic.or.th/th/tourist/detail/tourist/531","เปิดแหล่งข้อมูล 1")</x:f>
        <x:v>HYPERLINK is not implemented. linkLocation=https://www.thic.or.th/th/tourist/detail/tourist/531, friendlyName=เปิดแหล่งข้อมูล 1</x:v>
      </x:c>
      <x:c r="L513" s="23" t="e">
        <x:f>HYPERLINK("https://www.wongnai.com/attractions/343846oa-%E0%B8%95%E0%B8%A5%E0%B8%B2%E0%B8%94%E0%B8%A1%E0%B8%B5%E0%B8%99%E0%B8%9A%E0%B8%B8%E0%B8%A3%E0%B8%B5","เปิดแหล่งข้อมูล 2")</x:f>
        <x:v>HYPERLINK is not implemented. linkLocation=https://www.wongnai.com/attractions/343846oa-%E0%B8%95%E0%B8%A5%E0%B8%B2%E0%B8%94%E0%B8%A1%E0%B8%B5%E0%B8%99%E0%B8%9A%E0%B8%B8%E0%B8%A3%E0%B8%B5, friendlyName=เปิดแหล่งข้อมูล 2</x:v>
      </x:c>
      <x:c r="M513" s="20" t="str">
        <x:v>ผลค้นหาชื่อสัมพันธ์จากแหล่งเพิ่มเติม ต้องยืนยันสาขาและข้อมูลปัจจุบัน</x:v>
      </x:c>
      <x:c r="N513" s="10" t="n">
        <x:v>46315</x:v>
      </x:c>
      <x:c r="O513" s="22" t="str">
        <x:v>ยังไม่ตรวจ</x:v>
      </x:c>
      <x:c r="P513" s="22" t="str">
        <x:v>ยังไม่ติดต่อ</x:v>
      </x:c>
    </x:row>
    <x:row r="514" ht="66" customHeight="1">
      <x:c r="A514" s="9" t="n">
        <x:v>506</x:v>
      </x:c>
      <x:c r="B514" s="20" t="str">
        <x:v>ตลาดริมคลอง เจริญกรุง 103</x:v>
      </x:c>
      <x:c r="C514" s="20" t="str">
        <x:v>กรุงเทพมหานคร</x:v>
      </x:c>
      <x:c r="D514" s="20" t="str">
        <x:v>พิพิธภัณฑ์หรือย่านวัฒนธรรม</x:v>
      </x:c>
      <x:c r="E514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4" s="20" t="str">
        <x:v>ยังไม่พบข้อมูล</x:v>
      </x:c>
      <x:c r="G514" s="20" t="str">
        <x:v>ยังไม่พบเอกสารรับรองและวันหมดอายุ</x:v>
      </x:c>
      <x:c r="H51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4" s="20" t="str">
        <x:v>ซอยเจริญกรุง 103 แขวงสัมพันธวงศ์ เขตสัมพันธวงศ์ กรุงเทพมหานคร 10100</x:v>
      </x:c>
      <x:c r="J514" s="21" t="str">
        <x:v>Line :</x:v>
      </x:c>
      <x:c r="K514" s="23" t="e">
        <x:f>HYPERLINK("https://www.thic.or.th/th/tourist/detail/tourist/529","เปิดแหล่งข้อมูล 1")</x:f>
        <x:v>HYPERLINK is not implemented. linkLocation=https://www.thic.or.th/th/tourist/detail/tourist/529, friendlyName=เปิดแหล่งข้อมูล 1</x:v>
      </x:c>
      <x:c r="L514" s="23" t="e">
        <x:f>HYPERLINK("https://www.wongnai.com/attractions/2853557Dx-%E0%B8%95%E0%B8%A5%E0%B8%B2%E0%B8%94%E0%B8%A3%E0%B8%B4%E0%B8%A1%E0%B8%84%E0%B8%A5%E0%B8%AD%E0%B8%87%E0%B9%80%E0%B8%88%E0%B8%A3%E0%B8%B4%E0%B8%8D%E0%B8%81%E0%B8%A3%E0%B8%B8%E0%B8%87103","เปิดแหล่งข้อมูล 2")</x:f>
        <x:v>HYPERLINK is not implemented. linkLocation=https://www.wongnai.com/attractions/2853557Dx-%E0%B8%95%E0%B8%A5%E0%B8%B2%E0%B8%94%E0%B8%A3%E0%B8%B4%E0%B8%A1%E0%B8%84%E0%B8%A5%E0%B8%AD%E0%B8%87%E0%B9%80%E0%B8%88%E0%B8%A3%E0%B8%B4%E0%B8%8D%E0%B8%81%E0%B8%A3%E0%B8%B8%E0%B8%87103, friendlyName=เปิดแหล่งข้อมูล 2</x:v>
      </x:c>
      <x:c r="M514" s="20" t="str">
        <x:v>ผลค้นหาชื่อสัมพันธ์จากแหล่งเพิ่มเติม ต้องยืนยันสาขาและข้อมูลปัจจุบัน</x:v>
      </x:c>
      <x:c r="N514" s="10" t="n">
        <x:v>46315</x:v>
      </x:c>
      <x:c r="O514" s="22" t="str">
        <x:v>ยังไม่ตรวจ</x:v>
      </x:c>
      <x:c r="P514" s="22" t="str">
        <x:v>ยังไม่ติดต่อ</x:v>
      </x:c>
    </x:row>
    <x:row r="515" ht="66" customHeight="1">
      <x:c r="A515" s="9" t="n">
        <x:v>507</x:v>
      </x:c>
      <x:c r="B515" s="20" t="str">
        <x:v>ตลาดริมน้ำ วัดพระยาสุเรนทร์</x:v>
      </x:c>
      <x:c r="C515" s="20" t="str">
        <x:v>กรุงเทพมหานคร</x:v>
      </x:c>
      <x:c r="D515" s="20" t="str">
        <x:v>พิพิธภัณฑ์หรือย่านวัฒนธรรม</x:v>
      </x:c>
      <x:c r="E515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5" s="20" t="str">
        <x:v>ยังไม่พบข้อมูล</x:v>
      </x:c>
      <x:c r="G515" s="20" t="str">
        <x:v>ยังไม่พบเอกสารรับรองและวันหมดอายุ</x:v>
      </x:c>
      <x:c r="H515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5" s="20" t="str">
        <x:v>ซอย พระยาสุเรนทร์ 50 แขวงท่าแร้ง เขตบางเขน กรุงเทพมหานคร 10220</x:v>
      </x:c>
      <x:c r="J515" s="21" t="str">
        <x:v>ยังไม่พบข้อมูล</x:v>
      </x:c>
      <x:c r="K515" s="23" t="e">
        <x:f>HYPERLINK("https://www.thic.or.th/th/tourist/detail/tourist/407","เปิดแหล่งข้อมูล 1")</x:f>
        <x:v>HYPERLINK is not implemented. linkLocation=https://www.thic.or.th/th/tourist/detail/tourist/407, friendlyName=เปิดแหล่งข้อมูล 1</x:v>
      </x:c>
      <x:c r="L515" s="23" t="str"/>
      <x:c r="M515" s="20" t="str"/>
      <x:c r="N515" s="10" t="n">
        <x:v>46315</x:v>
      </x:c>
      <x:c r="O515" s="22" t="str">
        <x:v>ยังไม่ตรวจ</x:v>
      </x:c>
      <x:c r="P515" s="22" t="str">
        <x:v>ยังไม่ติดต่อ</x:v>
      </x:c>
    </x:row>
    <x:row r="516" ht="66" customHeight="1">
      <x:c r="A516" s="9" t="n">
        <x:v>508</x:v>
      </x:c>
      <x:c r="B516" s="20" t="str">
        <x:v>ตลาดหนองจอก</x:v>
      </x:c>
      <x:c r="C516" s="20" t="str">
        <x:v>กรุงเทพมหานคร</x:v>
      </x:c>
      <x:c r="D516" s="20" t="str">
        <x:v>พิพิธภัณฑ์หรือย่านวัฒนธรรม</x:v>
      </x:c>
      <x:c r="E516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6" s="20" t="str">
        <x:v>ยังไม่พบข้อมูล</x:v>
      </x:c>
      <x:c r="G516" s="20" t="str">
        <x:v>ยังไม่พบเอกสารรับรองและวันหมดอายุ</x:v>
      </x:c>
      <x:c r="H51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6" s="20" t="str">
        <x:v>ซอย บุรีภิรมย์ 3 แขวงหนองจอก เขตหนองจอก กรุงเทพมหานคร 10530</x:v>
      </x:c>
      <x:c r="J516" s="21" t="str">
        <x:v>Line :</x:v>
      </x:c>
      <x:c r="K516" s="23" t="e">
        <x:f>HYPERLINK("https://www.thic.or.th/th/tourist/detail/tourist/535","เปิดแหล่งข้อมูล 1")</x:f>
        <x:v>HYPERLINK is not implemented. linkLocation=https://www.thic.or.th/th/tourist/detail/tourist/535, friendlyName=เปิดแหล่งข้อมูล 1</x:v>
      </x:c>
      <x:c r="L516" s="23" t="e">
        <x:f>HYPERLINK("https://www.wongnai.com/restaurants/201555xw-%E0%B8%9A%E0%B8%B1%E0%B8%87%E0%B8%8B%E0%B8%9A-%E0%B8%95%E0%B8%A5%E0%B8%B2%E0%B8%94%E0%B8%AB%E0%B8%99%E0%B8%AD%E0%B8%87%E0%B8%88%E0%B8%AD%E0%B8%81","เปิดแหล่งข้อมูล 2")</x:f>
        <x:v>HYPERLINK is not implemented. linkLocation=https://www.wongnai.com/restaurants/201555xw-%E0%B8%9A%E0%B8%B1%E0%B8%87%E0%B8%8B%E0%B8%9A-%E0%B8%95%E0%B8%A5%E0%B8%B2%E0%B8%94%E0%B8%AB%E0%B8%99%E0%B8%AD%E0%B8%87%E0%B8%88%E0%B8%AD%E0%B8%81, friendlyName=เปิดแหล่งข้อมูล 2</x:v>
      </x:c>
      <x:c r="M516" s="20" t="str">
        <x:v>ผลค้นหาชื่อสัมพันธ์จากแหล่งเพิ่มเติม ต้องยืนยันสาขาและข้อมูลปัจจุบัน</x:v>
      </x:c>
      <x:c r="N516" s="10" t="n">
        <x:v>46315</x:v>
      </x:c>
      <x:c r="O516" s="22" t="str">
        <x:v>ยังไม่ตรวจ</x:v>
      </x:c>
      <x:c r="P516" s="22" t="str">
        <x:v>ยังไม่ติดต่อ</x:v>
      </x:c>
    </x:row>
    <x:row r="517" ht="66" customHeight="1">
      <x:c r="A517" s="9" t="n">
        <x:v>509</x:v>
      </x:c>
      <x:c r="B517" s="20" t="str">
        <x:v>พิพิธบางลำพู</x:v>
      </x:c>
      <x:c r="C517" s="20" t="str">
        <x:v>กรุงเทพมหานคร</x:v>
      </x:c>
      <x:c r="D517" s="20" t="str">
        <x:v>พิพิธภัณฑ์หรือย่านวัฒนธรรม</x:v>
      </x:c>
      <x:c r="E517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7" s="20" t="str">
        <x:v>ยังไม่พบข้อมูล</x:v>
      </x:c>
      <x:c r="G517" s="20" t="str">
        <x:v>ยังไม่พบเอกสารรับรองและวันหมดอายุ</x:v>
      </x:c>
      <x:c r="H517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7" s="20" t="str">
        <x:v>ถนน พระสุเมรุ แขวงดุสิต เขตดุสิต กรุงเทพมหานคร 10300</x:v>
      </x:c>
      <x:c r="J517" s="21" t="str">
        <x:v>ยังไม่พบข้อมูล</x:v>
      </x:c>
      <x:c r="K517" s="23" t="e">
        <x:f>HYPERLINK("https://www.thic.or.th/th/tourist/detail/tourist/339","เปิดแหล่งข้อมูล 1")</x:f>
        <x:v>HYPERLINK is not implemented. linkLocation=https://www.thic.or.th/th/tourist/detail/tourist/339, friendlyName=เปิดแหล่งข้อมูล 1</x:v>
      </x:c>
      <x:c r="L517" s="23" t="e">
        <x:f>HYPERLINK("https://th.tripadvisor.com/Attraction_Review-g293916-d7084940-Reviews-Pipit_Banglamphu_History_Museum-Bangkok.html","เปิดแหล่งข้อมูล 2")</x:f>
        <x:v>HYPERLINK is not implemented. linkLocation=https://th.tripadvisor.com/Attraction_Review-g293916-d7084940-Reviews-Pipit_Banglamphu_History_Museum-Bangkok.html, friendlyName=เปิดแหล่งข้อมูล 2</x:v>
      </x:c>
      <x:c r="M517" s="20" t="str">
        <x:v>ผลค้นหาชื่อสัมพันธ์จากแหล่งเพิ่มเติม ต้องยืนยันสาขาและข้อมูลปัจจุบัน</x:v>
      </x:c>
      <x:c r="N517" s="10" t="n">
        <x:v>46315</x:v>
      </x:c>
      <x:c r="O517" s="22" t="str">
        <x:v>ยังไม่ตรวจ</x:v>
      </x:c>
      <x:c r="P517" s="22" t="str">
        <x:v>ยังไม่ติดต่อ</x:v>
      </x:c>
    </x:row>
    <x:row r="518" ht="66" customHeight="1">
      <x:c r="A518" s="9" t="n">
        <x:v>510</x:v>
      </x:c>
      <x:c r="B518" s="20" t="str">
        <x:v>พิพิธภัณฑสถานแห่งชาติ พระนคร</x:v>
      </x:c>
      <x:c r="C518" s="20" t="str">
        <x:v>กรุงเทพมหานคร</x:v>
      </x:c>
      <x:c r="D518" s="20" t="str">
        <x:v>พิพิธภัณฑ์หรือย่านวัฒนธรรม</x:v>
      </x:c>
      <x:c r="E518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8" s="20" t="str">
        <x:v>ยังไม่พบข้อมูล</x:v>
      </x:c>
      <x:c r="G518" s="20" t="str">
        <x:v>ยังไม่พบเอกสารรับรองและวันหมดอายุ</x:v>
      </x:c>
      <x:c r="H518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8" s="20" t="str">
        <x:v>4 ถ. หน้าพระธาตุ แขวงวัดสามพระยา เขตพระนคร กรุงเทพมหานคร 10200</x:v>
      </x:c>
      <x:c r="J518" s="21" t="str">
        <x:v>Line :</x:v>
      </x:c>
      <x:c r="K518" s="23" t="e">
        <x:f>HYPERLINK("https://www.thic.or.th/th/tourist/detail/tourist/336","เปิดแหล่งข้อมูล 1")</x:f>
        <x:v>HYPERLINK is not implemented. linkLocation=https://www.thic.or.th/th/tourist/detail/tourist/336, friendlyName=เปิดแหล่งข้อมูล 1</x:v>
      </x:c>
      <x:c r="L518" s="23" t="e">
        <x:f>HYPERLINK("https://www.wongnai.com/reviews/c99d911f206e43e3987b3c36eaa718f2","เปิดแหล่งข้อมูล 2")</x:f>
        <x:v>HYPERLINK is not implemented. linkLocation=https://www.wongnai.com/reviews/c99d911f206e43e3987b3c36eaa718f2, friendlyName=เปิดแหล่งข้อมูล 2</x:v>
      </x:c>
      <x:c r="M518" s="20" t="str">
        <x:v>ผลค้นหาชื่อสัมพันธ์จากแหล่งเพิ่มเติม ต้องยืนยันสาขาและข้อมูลปัจจุบัน</x:v>
      </x:c>
      <x:c r="N518" s="10" t="n">
        <x:v>46315</x:v>
      </x:c>
      <x:c r="O518" s="22" t="str">
        <x:v>ยังไม่ตรวจ</x:v>
      </x:c>
      <x:c r="P518" s="22" t="str">
        <x:v>ยังไม่ติดต่อ</x:v>
      </x:c>
    </x:row>
    <x:row r="519" ht="66" customHeight="1">
      <x:c r="A519" s="9" t="n">
        <x:v>511</x:v>
      </x:c>
      <x:c r="B519" s="20" t="str">
        <x:v>พิพิธภัณฑ์กองทัพอากาศและการบินแห่งชาติ</x:v>
      </x:c>
      <x:c r="C519" s="20" t="str">
        <x:v>กรุงเทพมหานคร</x:v>
      </x:c>
      <x:c r="D519" s="20" t="str">
        <x:v>พิพิธภัณฑ์หรือย่านวัฒนธรรม</x:v>
      </x:c>
      <x:c r="E519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19" s="20" t="str">
        <x:v>ยังไม่พบข้อมูล</x:v>
      </x:c>
      <x:c r="G519" s="20" t="str">
        <x:v>ยังไม่พบเอกสารรับรองและวันหมดอายุ</x:v>
      </x:c>
      <x:c r="H519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19" s="20" t="str">
        <x:v>171 ถ. พหลโยธิน แขวงสีกัน เขตดอนเมือง กรุงเทพมหานคร 10210</x:v>
      </x:c>
      <x:c r="J519" s="21" t="str">
        <x:v>Line :</x:v>
      </x:c>
      <x:c r="K519" s="23" t="e">
        <x:f>HYPERLINK("https://www.thic.or.th/th/tourist/detail/tourist/346","เปิดแหล่งข้อมูล 1")</x:f>
        <x:v>HYPERLINK is not implemented. linkLocation=https://www.thic.or.th/th/tourist/detail/tourist/346, friendlyName=เปิดแหล่งข้อมูล 1</x:v>
      </x:c>
      <x:c r="L519" s="23" t="e">
        <x:f>HYPERLINK("https://www.wongnai.com/attractions/3257719Gk-%E0%B8%9E%E0%B8%B4%E0%B8%9E%E0%B8%B4%E0%B8%98%E0%B8%A0%E0%B8%B1%E0%B8%93%E0%B8%91%E0%B9%8C%E0%B8%81%E0%B8%AD%E0%B8%87%E0%B8%97%E0%B8%B1%E0%B8%9E%E0%B8%AD%E0%B8%B2%E0%B8%81%E0%B8%B2%E0%B8%A8%E0%B9%81%E0%B8%A5%E0%B8%B0%E0%B8%81%E0%B8%B2%E0%B8%A3%E0%B8%9A%E0%B8%B4%E0%B8%99%E0%B9%81%E0%B8%AB%E0%B9%88%E0%B8%87%E0%B8%8A%E0%B8%B2%E0%B8%95%E0%B8%B4?_st=cD01O2I9MzI1NzcxOTthZD1mYWxzZTt0PTE3NTMwNjc4MDY1NjQ7cmk9MVg3Yks3cjQ1VnZhZjZoRUtkcE1XWVFVVzBwc3g2O2k9MVg3MG5SY2VlNUtwMnMxSVJlWTZrT0FjZ3ZmYlNqO3dyZWY9c3I7","เปิดแหล่งข้อมูล 2")</x:f>
        <x:v>HYPERLINK is not implemented. linkLocation=https://www.wongnai.com/attractions/3257719Gk-%E0%B8%9E%E0%B8%B4%E0%B8%9E%E0%B8%B4%E0%B8%98%E0%B8%A0%E0%B8%B1%E0%B8%93%E0%B8%91%E0%B9%8C%E0%B8%81%E0%B8%AD%E0%B8%87%E0%B8%97%E0%B8%B1%E0%B8%9E%E0%B8%AD%E0%B8%B2%E0%B8%81%E0%B8%B2%E0%B8%A8%E0%B9%81%E0%B8%A5%E0%B8%B0%E0%B8%81%E0%B8%B2%E0%B8%A3%E0%B8%9A%E0%B8%B4%E0%B8%99%E0%B9%81%E0%B8%AB%E0%B9%88%E0%B8%87%E0%B8%8A%E0%B8%B2%E0%B8%95%E0%B8%B4?_st=cD01O2I9MzI1NzcxOTthZD1mYWxzZTt0PTE3NTMwNjc4MDY1NjQ7cmk9MVg3Yks3cjQ1VnZhZjZoRUtkcE1XWVFVVzBwc3g2O2k9MVg3MG5SY2VlNUtwMnMxSVJlWTZrT0FjZ3ZmYlNqO3dyZWY9c3I7, friendlyName=เปิดแหล่งข้อมูล 2</x:v>
      </x:c>
      <x:c r="M519" s="20" t="str">
        <x:v>ผลค้นหาชื่อสัมพันธ์จากแหล่งเพิ่มเติม ต้องยืนยันสาขาและข้อมูลปัจจุบัน</x:v>
      </x:c>
      <x:c r="N519" s="10" t="n">
        <x:v>46315</x:v>
      </x:c>
      <x:c r="O519" s="22" t="str">
        <x:v>ยังไม่ตรวจ</x:v>
      </x:c>
      <x:c r="P519" s="22" t="str">
        <x:v>ยังไม่ติดต่อ</x:v>
      </x:c>
    </x:row>
    <x:row r="520" ht="66" customHeight="1">
      <x:c r="A520" s="9" t="n">
        <x:v>512</x:v>
      </x:c>
      <x:c r="B520" s="20" t="str">
        <x:v>พิพิธภัณฑ์ชาวบางกอก</x:v>
      </x:c>
      <x:c r="C520" s="20" t="str">
        <x:v>กรุงเทพมหานคร</x:v>
      </x:c>
      <x:c r="D520" s="20" t="str">
        <x:v>พิพิธภัณฑ์หรือย่านวัฒนธรรม</x:v>
      </x:c>
      <x:c r="E520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20" s="20" t="str">
        <x:v>ยังไม่พบข้อมูล</x:v>
      </x:c>
      <x:c r="G520" s="20" t="str">
        <x:v>ยังไม่พบเอกสารรับรองและวันหมดอายุ</x:v>
      </x:c>
      <x:c r="H520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20" s="20" t="str">
        <x:v>273 ซอย สะพานยาว แขวงช่องนนทรี เขตยานนาวา กรุงเทพมหานคร 10120</x:v>
      </x:c>
      <x:c r="J520" s="21" t="str">
        <x:v>Line :</x:v>
      </x:c>
      <x:c r="K520" s="23" t="e">
        <x:f>HYPERLINK("https://www.thic.or.th/th/tourist/detail/tourist/338","เปิดแหล่งข้อมูล 1")</x:f>
        <x:v>HYPERLINK is not implemented. linkLocation=https://www.thic.or.th/th/tourist/detail/tourist/338, friendlyName=เปิดแหล่งข้อมูล 1</x:v>
      </x:c>
      <x:c r="L520" s="23" t="e">
        <x:f>HYPERLINK("https://th.tripadvisor.com/Attraction_Review-g293916-d5427551-Reviews-The_Bangkokian_Museum-Bangkok.html","เปิดแหล่งข้อมูล 2")</x:f>
        <x:v>HYPERLINK is not implemented. linkLocation=https://th.tripadvisor.com/Attraction_Review-g293916-d5427551-Reviews-The_Bangkokian_Museum-Bangkok.html, friendlyName=เปิดแหล่งข้อมูล 2</x:v>
      </x:c>
      <x:c r="M520" s="20" t="str">
        <x:v>ผลค้นหาชื่อสัมพันธ์จากแหล่งเพิ่มเติม ต้องยืนยันสาขาและข้อมูลปัจจุบัน</x:v>
      </x:c>
      <x:c r="N520" s="10" t="n">
        <x:v>46315</x:v>
      </x:c>
      <x:c r="O520" s="22" t="str">
        <x:v>ยังไม่ตรวจ</x:v>
      </x:c>
      <x:c r="P520" s="22" t="str">
        <x:v>ยังไม่ติดต่อ</x:v>
      </x:c>
    </x:row>
    <x:row r="521" ht="66" customHeight="1">
      <x:c r="A521" s="9" t="n">
        <x:v>513</x:v>
      </x:c>
      <x:c r="B521" s="20" t="str">
        <x:v>พิพิธภัณฑ์ผ้าในสมเด็จพระนางเจ้าสิริกิติ์ฯ</x:v>
      </x:c>
      <x:c r="C521" s="20" t="str">
        <x:v>กรุงเทพมหานคร</x:v>
      </x:c>
      <x:c r="D521" s="20" t="str">
        <x:v>พิพิธภัณฑ์หรือย่านวัฒนธรรม</x:v>
      </x:c>
      <x:c r="E521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21" s="20" t="str">
        <x:v>ยังไม่พบข้อมูล</x:v>
      </x:c>
      <x:c r="G521" s="20" t="str">
        <x:v>ยังไม่พบเอกสารรับรองและวันหมดอายุ</x:v>
      </x:c>
      <x:c r="H521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21" s="20" t="str">
        <x:v>ถนน หน้าพระลาน แขวงวังบูรพาภิรมย์ เขตพระนคร กรุงเทพมหานคร 10200</x:v>
      </x:c>
      <x:c r="J521" s="21" t="str">
        <x:v>Line :</x:v>
      </x:c>
      <x:c r="K521" s="23" t="e">
        <x:f>HYPERLINK("https://www.thic.or.th/th/tourist/detail/tourist/342","เปิดแหล่งข้อมูล 1")</x:f>
        <x:v>HYPERLINK is not implemented. linkLocation=https://www.thic.or.th/th/tourist/detail/tourist/342, friendlyName=เปิดแหล่งข้อมูล 1</x:v>
      </x:c>
      <x:c r="L521" s="23" t="e">
        <x:f>HYPERLINK("https://www.lemon8-app.com/%40_kittiyanee_4/7549572263360954898?region=th","เปิดแหล่งข้อมูล 2")</x:f>
        <x:v>HYPERLINK is not implemented. linkLocation=https://www.lemon8-app.com/%40_kittiyanee_4/7549572263360954898?region=th, friendlyName=เปิดแหล่งข้อมูล 2</x:v>
      </x:c>
      <x:c r="M521" s="20" t="str">
        <x:v>ผลค้นหาชื่อสัมพันธ์จากแหล่งเพิ่มเติม ต้องยืนยันสาขาและข้อมูลปัจจุบัน</x:v>
      </x:c>
      <x:c r="N521" s="10" t="n">
        <x:v>46315</x:v>
      </x:c>
      <x:c r="O521" s="22" t="str">
        <x:v>ยังไม่ตรวจ</x:v>
      </x:c>
      <x:c r="P521" s="22" t="str">
        <x:v>ยังไม่ติดต่อ</x:v>
      </x:c>
    </x:row>
    <x:row r="522" ht="66" customHeight="1">
      <x:c r="A522" s="9" t="n">
        <x:v>514</x:v>
      </x:c>
      <x:c r="B522" s="20" t="str">
        <x:v>พิพิธภัณฑ์ศิลปะไทยร่วมสมัย (MOCA)</x:v>
      </x:c>
      <x:c r="C522" s="20" t="str">
        <x:v>กรุงเทพมหานคร</x:v>
      </x:c>
      <x:c r="D522" s="20" t="str">
        <x:v>พิพิธภัณฑ์หรือย่านวัฒนธรรม</x:v>
      </x:c>
      <x:c r="E522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22" s="20" t="str">
        <x:v>ยังไม่พบข้อมูล</x:v>
      </x:c>
      <x:c r="G522" s="20" t="str">
        <x:v>ยังไม่พบเอกสารรับรองและวันหมดอายุ</x:v>
      </x:c>
      <x:c r="H522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22" s="20" t="str">
        <x:v>499 ถ. กำแพงเพชร 6 แขวงจอมพล เขตจตุจักร กรุงเทพมหานคร 10900</x:v>
      </x:c>
      <x:c r="J522" s="21" t="str">
        <x:v>Line :</x:v>
      </x:c>
      <x:c r="K522" s="23" t="e">
        <x:f>HYPERLINK("https://www.thic.or.th/th/tourist/detail/tourist/341","เปิดแหล่งข้อมูล 1")</x:f>
        <x:v>HYPERLINK is not implemented. linkLocation=https://www.thic.or.th/th/tourist/detail/tourist/341, friendlyName=เปิดแหล่งข้อมูล 1</x:v>
      </x:c>
      <x:c r="L522" s="23" t="e">
        <x:f>HYPERLINK("https://www.lemon8-app.com/%40tetechin.p/7343285791353061890?region=us","เปิดแหล่งข้อมูล 2")</x:f>
        <x:v>HYPERLINK is not implemented. linkLocation=https://www.lemon8-app.com/%40tetechin.p/7343285791353061890?region=us, friendlyName=เปิดแหล่งข้อมูล 2</x:v>
      </x:c>
      <x:c r="M522" s="20" t="str">
        <x:v>ผลค้นหาชื่อสัมพันธ์จากแหล่งเพิ่มเติม ต้องยืนยันสาขาและข้อมูลปัจจุบัน</x:v>
      </x:c>
      <x:c r="N522" s="10" t="n">
        <x:v>46315</x:v>
      </x:c>
      <x:c r="O522" s="22" t="str">
        <x:v>ยังไม่ตรวจ</x:v>
      </x:c>
      <x:c r="P522" s="22" t="str">
        <x:v>ยังไม่ติดต่อ</x:v>
      </x:c>
    </x:row>
    <x:row r="523" ht="66" customHeight="1">
      <x:c r="A523" s="9" t="n">
        <x:v>515</x:v>
      </x:c>
      <x:c r="B523" s="20" t="str">
        <x:v>พิพิธภัณฑ์เด็กกรุงเทพมหานคร แห่งที่ 1 (จตุจักร)</x:v>
      </x:c>
      <x:c r="C523" s="20" t="str">
        <x:v>กรุงเทพมหานคร</x:v>
      </x:c>
      <x:c r="D523" s="20" t="str">
        <x:v>พิพิธภัณฑ์หรือย่านวัฒนธรรม</x:v>
      </x:c>
      <x:c r="E523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23" s="20" t="str">
        <x:v>ยังไม่พบข้อมูล</x:v>
      </x:c>
      <x:c r="G523" s="20" t="str">
        <x:v>ยังไม่พบเอกสารรับรองและวันหมดอายุ</x:v>
      </x:c>
      <x:c r="H523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23" s="20" t="str">
        <x:v>810 ถนน กำแพงเพชร 4 แขวงจตุจักร เขตจตุจักร กรุงเทพมหานคร 10900</x:v>
      </x:c>
      <x:c r="J523" s="21" t="str">
        <x:v>Line :</x:v>
      </x:c>
      <x:c r="K523" s="23" t="e">
        <x:f>HYPERLINK("https://www.thic.or.th/th/tourist/detail/tourist/344","เปิดแหล่งข้อมูล 1")</x:f>
        <x:v>HYPERLINK is not implemented. linkLocation=https://www.thic.or.th/th/tourist/detail/tourist/344, friendlyName=เปิดแหล่งข้อมูล 1</x:v>
      </x:c>
      <x:c r="L523" s="23" t="e">
        <x:f>HYPERLINK("https://www.wongnai.com/reviews/9948ac9cb7434322b420d17ea23087cf","เปิดแหล่งข้อมูล 2")</x:f>
        <x:v>HYPERLINK is not implemented. linkLocation=https://www.wongnai.com/reviews/9948ac9cb7434322b420d17ea23087cf, friendlyName=เปิดแหล่งข้อมูล 2</x:v>
      </x:c>
      <x:c r="M523" s="20" t="str">
        <x:v>ผลค้นหาชื่อสัมพันธ์จากแหล่งเพิ่มเติม ต้องยืนยันสาขาและข้อมูลปัจจุบัน</x:v>
      </x:c>
      <x:c r="N523" s="10" t="n">
        <x:v>46315</x:v>
      </x:c>
      <x:c r="O523" s="22" t="str">
        <x:v>ยังไม่ตรวจ</x:v>
      </x:c>
      <x:c r="P523" s="22" t="str">
        <x:v>ยังไม่ติดต่อ</x:v>
      </x:c>
    </x:row>
    <x:row r="524" ht="66" customHeight="1">
      <x:c r="A524" s="9" t="n">
        <x:v>516</x:v>
      </x:c>
      <x:c r="B524" s="20" t="str">
        <x:v>พิพิธภัณฑ์เหรียญกษาปณานุรักษ์</x:v>
      </x:c>
      <x:c r="C524" s="20" t="str">
        <x:v>กรุงเทพมหานคร</x:v>
      </x:c>
      <x:c r="D524" s="20" t="str">
        <x:v>พิพิธภัณฑ์หรือย่านวัฒนธรรม</x:v>
      </x:c>
      <x:c r="E524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24" s="20" t="str">
        <x:v>ยังไม่พบข้อมูล</x:v>
      </x:c>
      <x:c r="G524" s="20" t="str">
        <x:v>ยังไม่พบเอกสารรับรองและวันหมดอายุ</x:v>
      </x:c>
      <x:c r="H52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24" s="20" t="str">
        <x:v>31 ถ. จักรพงษ์ แขวงศาลเจ้าพ่อเสือ เขตพระนคร กรุงเทพมหานคร 10200</x:v>
      </x:c>
      <x:c r="J524" s="21" t="str">
        <x:v>ยังไม่พบข้อมูล</x:v>
      </x:c>
      <x:c r="K524" s="23" t="e">
        <x:f>HYPERLINK("https://www.thic.or.th/th/tourist/detail/tourist/347","เปิดแหล่งข้อมูล 1")</x:f>
        <x:v>HYPERLINK is not implemented. linkLocation=https://www.thic.or.th/th/tourist/detail/tourist/347, friendlyName=เปิดแหล่งข้อมูล 1</x:v>
      </x:c>
      <x:c r="L524" s="23" t="e">
        <x:f>HYPERLINK("https://www.wongnai.com/attractions/478830XS-%E0%B8%9E%E0%B8%B4%E0%B8%9E%E0%B8%B4%E0%B8%98%E0%B8%A0%E0%B8%B1%E0%B8%93%E0%B8%91%E0%B9%8C%E0%B9%80%E0%B8%AB%E0%B8%A3%E0%B8%B5%E0%B8%A2%E0%B8%8D%E0%B8%81%E0%B8%A9%E0%B8%B2%E0%B8%9B%E0%B8%93%E0%B8%B2%E0%B8%99%E0%B8%B8%E0%B8%A3%E0%B8%B1%E0%B8%81%E0%B8%A9%E0%B9%8C","เปิดแหล่งข้อมูล 2")</x:f>
        <x:v>HYPERLINK is not implemented. linkLocation=https://www.wongnai.com/attractions/478830XS-%E0%B8%9E%E0%B8%B4%E0%B8%9E%E0%B8%B4%E0%B8%98%E0%B8%A0%E0%B8%B1%E0%B8%93%E0%B8%91%E0%B9%8C%E0%B9%80%E0%B8%AB%E0%B8%A3%E0%B8%B5%E0%B8%A2%E0%B8%8D%E0%B8%81%E0%B8%A9%E0%B8%B2%E0%B8%9B%E0%B8%93%E0%B8%B2%E0%B8%99%E0%B8%B8%E0%B8%A3%E0%B8%B1%E0%B8%81%E0%B8%A9%E0%B9%8C, friendlyName=เปิดแหล่งข้อมูล 2</x:v>
      </x:c>
      <x:c r="M524" s="20" t="str">
        <x:v>ผลค้นหาชื่อสัมพันธ์จากแหล่งเพิ่มเติม ต้องยืนยันสาขาและข้อมูลปัจจุบัน</x:v>
      </x:c>
      <x:c r="N524" s="10" t="n">
        <x:v>46315</x:v>
      </x:c>
      <x:c r="O524" s="22" t="str">
        <x:v>ยังไม่ตรวจ</x:v>
      </x:c>
      <x:c r="P524" s="22" t="str">
        <x:v>ยังไม่ติดต่อ</x:v>
      </x:c>
    </x:row>
    <x:row r="525" ht="66" customHeight="1">
      <x:c r="A525" s="9" t="n">
        <x:v>517</x:v>
      </x:c>
      <x:c r="B525" s="20" t="str">
        <x:v>ศูนย์การเรียนรู้ ธนาคารแห่งประเทศไทย</x:v>
      </x:c>
      <x:c r="C525" s="20" t="str">
        <x:v>กรุงเทพมหานคร</x:v>
      </x:c>
      <x:c r="D525" s="20" t="str">
        <x:v>พิพิธภัณฑ์หรือย่านวัฒนธรรม</x:v>
      </x:c>
      <x:c r="E525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25" s="20" t="str">
        <x:v>ยังไม่พบข้อมูล</x:v>
      </x:c>
      <x:c r="G525" s="20" t="str">
        <x:v>ยังไม่พบเอกสารรับรองและวันหมดอายุ</x:v>
      </x:c>
      <x:c r="H525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25" s="20" t="str">
        <x:v>273 ถ. สามเสน แขวงถนนนครไชยศรี เขตดุสิต กรุงเทพมหานคร 10300</x:v>
      </x:c>
      <x:c r="J525" s="21" t="str">
        <x:v>Line :</x:v>
      </x:c>
      <x:c r="K525" s="23" t="e">
        <x:f>HYPERLINK("https://www.thic.or.th/th/tourist/detail/tourist/345","เปิดแหล่งข้อมูล 1")</x:f>
        <x:v>HYPERLINK is not implemented. linkLocation=https://www.thic.or.th/th/tourist/detail/tourist/345, friendlyName=เปิดแหล่งข้อมูล 1</x:v>
      </x:c>
      <x:c r="L525" s="23" t="e">
        <x:f>HYPERLINK("https://www.wongnai.com/attractions/368832TU-%E0%B8%A8%E0%B8%B9%E0%B8%99%E0%B8%A2%E0%B9%8C%E0%B8%81%E0%B8%B2%E0%B8%A3%E0%B9%80%E0%B8%A3%E0%B8%B5%E0%B8%A2%E0%B8%99%E0%B8%A3%E0%B8%B9%E0%B9%89%E0%B8%98%E0%B8%99%E0%B8%B2%E0%B8%84%E0%B8%B2%E0%B8%A3%E0%B9%81%E0%B8%AB%E0%B9%88%E0%B8%87%E0%B8%9B%E0%B8%A3%E0%B8%B0%E0%B9%80%E0%B8%97%E0%B8%A8%E0%B9%84%E0%B8%97%E0%B8%A2","เปิดแหล่งข้อมูล 2")</x:f>
        <x:v>HYPERLINK is not implemented. linkLocation=https://www.wongnai.com/attractions/368832TU-%E0%B8%A8%E0%B8%B9%E0%B8%99%E0%B8%A2%E0%B9%8C%E0%B8%81%E0%B8%B2%E0%B8%A3%E0%B9%80%E0%B8%A3%E0%B8%B5%E0%B8%A2%E0%B8%99%E0%B8%A3%E0%B8%B9%E0%B9%89%E0%B8%98%E0%B8%99%E0%B8%B2%E0%B8%84%E0%B8%B2%E0%B8%A3%E0%B9%81%E0%B8%AB%E0%B9%88%E0%B8%87%E0%B8%9B%E0%B8%A3%E0%B8%B0%E0%B9%80%E0%B8%97%E0%B8%A8%E0%B9%84%E0%B8%97%E0%B8%A2, friendlyName=เปิดแหล่งข้อมูล 2</x:v>
      </x:c>
      <x:c r="M525" s="20" t="str">
        <x:v>ผลค้นหาชื่อสัมพันธ์จากแหล่งเพิ่มเติม ต้องยืนยันสาขาและข้อมูลปัจจุบัน</x:v>
      </x:c>
      <x:c r="N525" s="10" t="n">
        <x:v>46315</x:v>
      </x:c>
      <x:c r="O525" s="22" t="str">
        <x:v>ยังไม่ตรวจ</x:v>
      </x:c>
      <x:c r="P525" s="22" t="str">
        <x:v>ยังไม่ติดต่อ</x:v>
      </x:c>
    </x:row>
    <x:row r="526" ht="66" customHeight="1">
      <x:c r="A526" s="9" t="n">
        <x:v>518</x:v>
      </x:c>
      <x:c r="B526" s="20" t="str">
        <x:v>เสาชิงช้า</x:v>
      </x:c>
      <x:c r="C526" s="20" t="str">
        <x:v>กรุงเทพมหานคร</x:v>
      </x:c>
      <x:c r="D526" s="20" t="str">
        <x:v>พิพิธภัณฑ์หรือย่านวัฒนธรรม</x:v>
      </x:c>
      <x:c r="E526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26" s="20" t="str">
        <x:v>ยังไม่พบข้อมูล</x:v>
      </x:c>
      <x:c r="G526" s="20" t="str">
        <x:v>ยังไม่พบเอกสารรับรองและวันหมดอายุ</x:v>
      </x:c>
      <x:c r="H526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26" s="20" t="str">
        <x:v>ถ. ดินสอ แขวงเสาชิงช้า เขตพระนคร กรุงเทพมหานคร 10200</x:v>
      </x:c>
      <x:c r="J526" s="21" t="str">
        <x:v>ยังไม่พบข้อมูล</x:v>
      </x:c>
      <x:c r="K526" s="23" t="e">
        <x:f>HYPERLINK("https://www.thic.or.th/th/tourist/detail/tourist/327","เปิดแหล่งข้อมูล 1")</x:f>
        <x:v>HYPERLINK is not implemented. linkLocation=https://www.thic.or.th/th/tourist/detail/tourist/327, friendlyName=เปิดแหล่งข้อมูล 1</x:v>
      </x:c>
      <x:c r="L526" s="23" t="e">
        <x:f>HYPERLINK("https://th.tripadvisor.com/Attraction_Review-g293916-d4114676-Reviews-Sao_Chingcha_the_Giant_Swing-Bangkok.html","เปิดแหล่งข้อมูล 2")</x:f>
        <x:v>HYPERLINK is not implemented. linkLocation=https://th.tripadvisor.com/Attraction_Review-g293916-d4114676-Reviews-Sao_Chingcha_the_Giant_Swing-Bangkok.html, friendlyName=เปิดแหล่งข้อมูล 2</x:v>
      </x:c>
      <x:c r="M526" s="20" t="str">
        <x:v>ผลค้นหาชื่อสัมพันธ์จากแหล่งเพิ่มเติม ต้องยืนยันสาขาและข้อมูลปัจจุบัน</x:v>
      </x:c>
      <x:c r="N526" s="10" t="n">
        <x:v>46315</x:v>
      </x:c>
      <x:c r="O526" s="22" t="str">
        <x:v>ยังไม่ตรวจ</x:v>
      </x:c>
      <x:c r="P526" s="22" t="str">
        <x:v>ยังไม่ติดต่อ</x:v>
      </x:c>
    </x:row>
    <x:row r="527" ht="66" customHeight="1">
      <x:c r="A527" s="9" t="n">
        <x:v>519</x:v>
      </x:c>
      <x:c r="B527" s="20" t="str">
        <x:v>Ccไก่กรอบ สาขา บางน้ำเปรี้ยว ฉะเชิงเทรา</x:v>
      </x:c>
      <x:c r="C527" s="20" t="str">
        <x:v>ฉะเชิงเทรา</x:v>
      </x:c>
      <x:c r="D527" s="20" t="str">
        <x:v>ร้านอาหาร</x:v>
      </x:c>
      <x:c r="E527" s="20" t="str">
        <x:v>มีรายชื่อใน Makan Halal Guide; ช่องห้องละหมาดไม่ได้ทำเครื่องหมายว่ามี</x:v>
      </x:c>
      <x:c r="F527" s="20" t="str">
        <x:v>ไม่ได้ทำเครื่องหมายว่ามี / ต้องยืนยัน</x:v>
      </x:c>
      <x:c r="G527" s="20" t="str">
        <x:v>ยังไม่พบเอกสารรับรองและวันหมดอายุ</x:v>
      </x:c>
      <x:c r="H52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27" s="20" t="str">
        <x:v>PTT Station คลอง 18 หมอนทอง, ตำบล หมอนทอง อำเภอบางน้ำเปรี้ยว ฉะเชิงเทรา 24150</x:v>
      </x:c>
      <x:c r="J527" s="21" t="str">
        <x:v>0959687708</x:v>
      </x:c>
      <x:c r="K527" s="23" t="e">
        <x:f>HYPERLINK("https://makanhalalguide.com/shop/detail/6239","เปิดแหล่งข้อมูล 1")</x:f>
        <x:v>HYPERLINK is not implemented. linkLocation=https://makanhalalguide.com/shop/detail/6239, friendlyName=เปิดแหล่งข้อมูล 1</x:v>
      </x:c>
      <x:c r="L527" s="23" t="str"/>
      <x:c r="M527" s="20" t="str"/>
      <x:c r="N527" s="10" t="n">
        <x:v>46315</x:v>
      </x:c>
      <x:c r="O527" s="22" t="str">
        <x:v>ยังไม่ตรวจ</x:v>
      </x:c>
      <x:c r="P527" s="22" t="str">
        <x:v>ยังไม่ติดต่อ</x:v>
      </x:c>
    </x:row>
    <x:row r="528" ht="66" customHeight="1">
      <x:c r="A528" s="9" t="n">
        <x:v>520</x:v>
      </x:c>
      <x:c r="B528" s="20" t="str">
        <x:v>โต๊ะนวย</x:v>
      </x:c>
      <x:c r="C528" s="20" t="str">
        <x:v>ฉะเชิงเทรา</x:v>
      </x:c>
      <x:c r="D528" s="20" t="str">
        <x:v>ร้านอาหาร</x:v>
      </x:c>
      <x:c r="E528" s="20" t="str">
        <x:v>มีรายชื่อใน Makan Halal Guide; ช่องห้องละหมาดไม่ได้ทำเครื่องหมายว่ามี</x:v>
      </x:c>
      <x:c r="F528" s="20" t="str">
        <x:v>ไม่ได้ทำเครื่องหมายว่ามี / ต้องยืนยัน</x:v>
      </x:c>
      <x:c r="G528" s="20" t="str">
        <x:v>ยังไม่พบเอกสารรับรองและวันหมดอายุ</x:v>
      </x:c>
      <x:c r="H52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28" s="20" t="str">
        <x:v>ตลาดคลองสวน 100  ปี ตำบลเทพราช อำเภอบ้านโพธ์ จังหวัดฉะเชิงเทรา 24140</x:v>
      </x:c>
      <x:c r="J528" s="21" t="str">
        <x:v>0890940704</x:v>
      </x:c>
      <x:c r="K528" s="23" t="e">
        <x:f>HYPERLINK("https://makanhalalguide.com/shop/detail/5896","เปิดแหล่งข้อมูล 1")</x:f>
        <x:v>HYPERLINK is not implemented. linkLocation=https://makanhalalguide.com/shop/detail/5896, friendlyName=เปิดแหล่งข้อมูล 1</x:v>
      </x:c>
      <x:c r="L528" s="23" t="str"/>
      <x:c r="M528" s="20" t="str"/>
      <x:c r="N528" s="10" t="n">
        <x:v>46315</x:v>
      </x:c>
      <x:c r="O528" s="22" t="str">
        <x:v>ยังไม่ตรวจ</x:v>
      </x:c>
      <x:c r="P528" s="22" t="str">
        <x:v>ยังไม่ติดต่อ</x:v>
      </x:c>
    </x:row>
    <x:row r="529" ht="66" customHeight="1">
      <x:c r="A529" s="9" t="n">
        <x:v>521</x:v>
      </x:c>
      <x:c r="B529" s="20" t="str">
        <x:v>p.p.ครัวอิสลาม</x:v>
      </x:c>
      <x:c r="C529" s="20" t="str">
        <x:v>ชลบุรี</x:v>
      </x:c>
      <x:c r="D529" s="20" t="str">
        <x:v>ร้านอาหาร</x:v>
      </x:c>
      <x:c r="E529" s="20" t="str">
        <x:v>มีรายชื่อใน Makan Halal Guide; ช่องห้องละหมาดไม่ได้ทำเครื่องหมายว่ามี</x:v>
      </x:c>
      <x:c r="F529" s="20" t="str">
        <x:v>ไม่ได้ทำเครื่องหมายว่ามี / ต้องยืนยัน</x:v>
      </x:c>
      <x:c r="G529" s="20" t="str">
        <x:v>ยังไม่พบเอกสารรับรองและวันหมดอายุ</x:v>
      </x:c>
      <x:c r="H52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29" s="20" t="str">
        <x:v>เกาะล้าน 800 เมตรห่างจากท่าเรือหน้าบ้าน ทางไปหาดนนวล ร้านอยู่ขวามือ  ตำบลนาเกลือ อำเภอบางละมุง จังหวัดชลบุรี 20150</x:v>
      </x:c>
      <x:c r="J529" s="21" t="str">
        <x:v>0949628678</x:v>
      </x:c>
      <x:c r="K529" s="23" t="e">
        <x:f>HYPERLINK("https://makanhalalguide.com/shop/detail/5114","เปิดแหล่งข้อมูล 1")</x:f>
        <x:v>HYPERLINK is not implemented. linkLocation=https://makanhalalguide.com/shop/detail/5114, friendlyName=เปิดแหล่งข้อมูล 1</x:v>
      </x:c>
      <x:c r="L529" s="23" t="e">
        <x:f>HYPERLINK("https://www.cybo.com/TH-postal-code/20150_bang-lamung/halal-restaurants","เปิดแหล่งข้อมูล 2")</x:f>
        <x:v>HYPERLINK is not implemented. linkLocation=https://www.cybo.com/TH-postal-code/20150_bang-lamung/halal-restaurants, friendlyName=เปิดแหล่งข้อมูล 2</x:v>
      </x:c>
      <x:c r="M529" s="20" t="str">
        <x:v>ผลค้นหาชื่อสัมพันธ์จากแหล่งเพิ่มเติม ต้องยืนยันสาขาและข้อมูลปัจจุบัน</x:v>
      </x:c>
      <x:c r="N529" s="10" t="n">
        <x:v>46315</x:v>
      </x:c>
      <x:c r="O529" s="22" t="str">
        <x:v>ยังไม่ตรวจ</x:v>
      </x:c>
      <x:c r="P529" s="22" t="str">
        <x:v>ยังไม่ติดต่อ</x:v>
      </x:c>
    </x:row>
    <x:row r="530" ht="66" customHeight="1">
      <x:c r="A530" s="9" t="n">
        <x:v>522</x:v>
      </x:c>
      <x:c r="B530" s="20" t="str">
        <x:v>ครัว อาลี</x:v>
      </x:c>
      <x:c r="C530" s="20" t="str">
        <x:v>ชลบุรี</x:v>
      </x:c>
      <x:c r="D530" s="20" t="str">
        <x:v>ร้านอาหาร</x:v>
      </x:c>
      <x:c r="E530" s="20" t="str">
        <x:v>มีรายชื่อใน Makan Halal Guide; ช่องห้องละหมาดไม่ได้ทำเครื่องหมายว่ามี</x:v>
      </x:c>
      <x:c r="F530" s="20" t="str">
        <x:v>ไม่ได้ทำเครื่องหมายว่ามี / ต้องยืนยัน</x:v>
      </x:c>
      <x:c r="G530" s="20" t="str">
        <x:v>ยังไม่พบเอกสารรับรองและวันหมดอายุ</x:v>
      </x:c>
      <x:c r="H53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30" s="20" t="str">
        <x:v>ตำบล เสม็ด อำเภอเมืองชลบุรี ชลบุรี 20000</x:v>
      </x:c>
      <x:c r="J530" s="21" t="str">
        <x:v>0988450936</x:v>
      </x:c>
      <x:c r="K530" s="23" t="e">
        <x:f>HYPERLINK("https://makanhalalguide.com/shop/detail/5329","เปิดแหล่งข้อมูล 1")</x:f>
        <x:v>HYPERLINK is not implemented. linkLocation=https://makanhalalguide.com/shop/detail/5329, friendlyName=เปิดแหล่งข้อมูล 1</x:v>
      </x:c>
      <x:c r="L530" s="23" t="str"/>
      <x:c r="M530" s="20" t="str"/>
      <x:c r="N530" s="10" t="n">
        <x:v>46315</x:v>
      </x:c>
      <x:c r="O530" s="22" t="str">
        <x:v>ยังไม่ตรวจ</x:v>
      </x:c>
      <x:c r="P530" s="22" t="str">
        <x:v>ยังไม่ติดต่อ</x:v>
      </x:c>
    </x:row>
    <x:row r="531" ht="66" customHeight="1">
      <x:c r="A531" s="9" t="n">
        <x:v>523</x:v>
      </x:c>
      <x:c r="B531" s="20" t="str">
        <x:v>คามิส เซน ฮาลาล เรสเตอรองท์</x:v>
      </x:c>
      <x:c r="C531" s="20" t="str">
        <x:v>ชลบุรี</x:v>
      </x:c>
      <x:c r="D531" s="20" t="str">
        <x:v>ร้านอาหาร</x:v>
      </x:c>
      <x:c r="E531" s="20" t="str">
        <x:v>มีรายชื่อใน Makan Halal Guide; ช่องห้องละหมาดไม่ได้ทำเครื่องหมายว่ามี</x:v>
      </x:c>
      <x:c r="F531" s="20" t="str">
        <x:v>ไม่ได้ทำเครื่องหมายว่ามี / ต้องยืนยัน</x:v>
      </x:c>
      <x:c r="G531" s="20" t="str">
        <x:v>ยังไม่พบเอกสารรับรองและวันหมดอายุ</x:v>
      </x:c>
      <x:c r="H53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31" s="20" t="str">
        <x:v>60 มัสยิดตออะติ้ลละห์ 6 ซอยหนองปรือ ตำบลหนองปรืออำเภอบางละมุง จังหวัดชลบุรี</x:v>
      </x:c>
      <x:c r="J531" s="21" t="str">
        <x:v>0801406655</x:v>
      </x:c>
      <x:c r="K531" s="23" t="e">
        <x:f>HYPERLINK("https://makanhalalguide.com/shop/detail/5023","เปิดแหล่งข้อมูล 1")</x:f>
        <x:v>HYPERLINK is not implemented. linkLocation=https://makanhalalguide.com/shop/detail/5023, friendlyName=เปิดแหล่งข้อมูล 1</x:v>
      </x:c>
      <x:c r="L531" s="23" t="e">
        <x:f>HYPERLINK("https://restaurantguru.com/Khamis-Zain-halal-restaurant-%E0%B8%84%E0%B8%B2%E0%B8%A1%E0%B8%B4%E0%B8%97%E0%B9%80%E0%B8%8B%E0%B8%99-%E0%B8%AE%E0%B8%B2%E0%B8%A5%E0%B8%B2%E0%B8%A5-%E0%B9%80%E0%B8%A3%E0%B8%AA%E0%B9%80%E0%B8%95%E0%B8%AD%E0%B8%A3%E0%B8%AD%E0%B8%87%E0%B8%97%E0%B9%8C-Pattaya","เปิดแหล่งข้อมูล 2")</x:f>
        <x:v>HYPERLINK is not implemented. linkLocation=https://restaurantguru.com/Khamis-Zain-halal-restaurant-%E0%B8%84%E0%B8%B2%E0%B8%A1%E0%B8%B4%E0%B8%97%E0%B9%80%E0%B8%8B%E0%B8%99-%E0%B8%AE%E0%B8%B2%E0%B8%A5%E0%B8%B2%E0%B8%A5-%E0%B9%80%E0%B8%A3%E0%B8%AA%E0%B9%80%E0%B8%95%E0%B8%AD%E0%B8%A3%E0%B8%AD%E0%B8%87%E0%B8%97%E0%B9%8C-Pattaya, friendlyName=เปิดแหล่งข้อมูล 2</x:v>
      </x:c>
      <x:c r="M531" s="20" t="str">
        <x:v>ผลค้นหาชื่อสัมพันธ์จากแหล่งเพิ่มเติม ต้องยืนยันสาขาและข้อมูลปัจจุบัน</x:v>
      </x:c>
      <x:c r="N531" s="10" t="n">
        <x:v>46315</x:v>
      </x:c>
      <x:c r="O531" s="22" t="str">
        <x:v>ยังไม่ตรวจ</x:v>
      </x:c>
      <x:c r="P531" s="22" t="str">
        <x:v>ยังไม่ติดต่อ</x:v>
      </x:c>
    </x:row>
    <x:row r="532" ht="66" customHeight="1">
      <x:c r="A532" s="9" t="n">
        <x:v>524</x:v>
      </x:c>
      <x:c r="B532" s="20" t="str">
        <x:v>ซีน่าพิซซ่าฮาลาลพัทยา สาขา 1 (สุขุมวิท26/1)</x:v>
      </x:c>
      <x:c r="C532" s="20" t="str">
        <x:v>ชลบุรี</x:v>
      </x:c>
      <x:c r="D532" s="20" t="str">
        <x:v>ร้านอาหาร</x:v>
      </x:c>
      <x:c r="E532" s="20" t="str">
        <x:v>มีรายชื่อใน Makan Halal Guide; ช่องห้องละหมาดไม่ได้ทำเครื่องหมายว่ามี</x:v>
      </x:c>
      <x:c r="F532" s="20" t="str">
        <x:v>ไม่ได้ทำเครื่องหมายว่ามี / ต้องยืนยัน</x:v>
      </x:c>
      <x:c r="G532" s="20" t="str">
        <x:v>ยังไม่พบเอกสารรับรองและวันหมดอายุ</x:v>
      </x:c>
      <x:c r="H53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32" s="20" t="str">
        <x:v>129 36-38 9 สุขุมวิท-พัทยา 26 เมืองพัทยา อำเภอบางละมุง ชลบุรี 20150 (ศูนย์อาหารอิสลามโบว่า (Bowa Islamic Food Center - Halal Thai Food)</x:v>
      </x:c>
      <x:c r="J532" s="21" t="str">
        <x:v>0887385238</x:v>
      </x:c>
      <x:c r="K532" s="23" t="e">
        <x:f>HYPERLINK("https://makanhalalguide.com/shop/detail/5920","เปิดแหล่งข้อมูล 1")</x:f>
        <x:v>HYPERLINK is not implemented. linkLocation=https://makanhalalguide.com/shop/detail/5920, friendlyName=เปิดแหล่งข้อมูล 1</x:v>
      </x:c>
      <x:c r="L532" s="23" t="e">
        <x:f>HYPERLINK("https://www.wongnai.com/restaurants/623060wV-seena-%E0%B8%9E%E0%B8%B4%E0%B8%8B%E0%B8%8B%E0%B9%88%E0%B8%B2%E0%B8%AE%E0%B8%B2%E0%B8%A5%E0%B8%B2%E0%B8%A5%E0%B8%9E%E0%B8%B1%E0%B8%97%E0%B8%A2%E0%B8%B2","เปิดแหล่งข้อมูล 2")</x:f>
        <x:v>HYPERLINK is not implemented. linkLocation=https://www.wongnai.com/restaurants/623060wV-seena-%E0%B8%9E%E0%B8%B4%E0%B8%8B%E0%B8%8B%E0%B9%88%E0%B8%B2%E0%B8%AE%E0%B8%B2%E0%B8%A5%E0%B8%B2%E0%B8%A5%E0%B8%9E%E0%B8%B1%E0%B8%97%E0%B8%A2%E0%B8%B2, friendlyName=เปิดแหล่งข้อมูล 2</x:v>
      </x:c>
      <x:c r="M532" s="20" t="str">
        <x:v>ผลค้นหาชื่อสัมพันธ์จากแหล่งเพิ่มเติม ต้องยืนยันสาขาและข้อมูลปัจจุบัน</x:v>
      </x:c>
      <x:c r="N532" s="10" t="n">
        <x:v>46315</x:v>
      </x:c>
      <x:c r="O532" s="22" t="str">
        <x:v>ยังไม่ตรวจ</x:v>
      </x:c>
      <x:c r="P532" s="22" t="str">
        <x:v>ยังไม่ติดต่อ</x:v>
      </x:c>
    </x:row>
    <x:row r="533" ht="66" customHeight="1">
      <x:c r="A533" s="9" t="n">
        <x:v>525</x:v>
      </x:c>
      <x:c r="B533" s="20" t="str">
        <x:v>โอเอซิสสปา พัทยา จอมเทียน</x:v>
      </x:c>
      <x:c r="C533" s="20" t="str">
        <x:v>ชลบุรี</x:v>
      </x:c>
      <x:c r="D533" s="20" t="str">
        <x:v>สปา</x:v>
      </x:c>
      <x:c r="E533" s="20" t="str">
        <x:v>ผู้ประกอบการระบุสาขาจอมเทียน ต้องตรวจการแยกเพศ ผลิตภัณฑ์ และพื้นที่ละหมาด</x:v>
      </x:c>
      <x:c r="F533" s="20" t="str">
        <x:v>ยังไม่พบข้อมูล</x:v>
      </x:c>
      <x:c r="G533" s="20" t="str">
        <x:v>ยังไม่พบเอกสารรับรองและวันหมดอายุ</x:v>
      </x:c>
      <x:c r="H533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533" s="20" t="str">
        <x:v>ดูรายละเอียดในแหล่งอ้างอิง</x:v>
      </x:c>
      <x:c r="J533" s="21" t="str">
        <x:v>ยังไม่พบข้อมูล</x:v>
      </x:c>
      <x:c r="K533" s="23" t="e">
        <x:f>HYPERLINK("https://oasisspa.net/en/destination/pattaya/Pattaya_Jomtien/","เปิดแหล่งข้อมูล 1")</x:f>
        <x:v>HYPERLINK is not implemented. linkLocation=https://oasisspa.net/en/destination/pattaya/Pattaya_Jomtien/, friendlyName=เปิดแหล่งข้อมูล 1</x:v>
      </x:c>
      <x:c r="L533" s="23" t="str"/>
      <x:c r="M533" s="20" t="str"/>
      <x:c r="N533" s="10" t="n">
        <x:v>46315</x:v>
      </x:c>
      <x:c r="O533" s="22" t="str">
        <x:v>ยังไม่ตรวจ</x:v>
      </x:c>
      <x:c r="P533" s="22" t="str">
        <x:v>ยังไม่ติดต่อ</x:v>
      </x:c>
    </x:row>
    <x:row r="534" ht="66" customHeight="1">
      <x:c r="A534" s="9" t="n">
        <x:v>526</x:v>
      </x:c>
      <x:c r="B534" s="20" t="str">
        <x:v>ครัวฟาตีเมาะห์</x:v>
      </x:c>
      <x:c r="C534" s="20" t="str">
        <x:v>ชัยภูมิ</x:v>
      </x:c>
      <x:c r="D534" s="20" t="str">
        <x:v>ร้านอาหาร</x:v>
      </x:c>
      <x:c r="E534" s="20" t="str">
        <x:v>มีรายชื่อใน Makan Halal Guide; ช่องห้องละหมาดไม่ได้ทำเครื่องหมายว่ามี</x:v>
      </x:c>
      <x:c r="F534" s="20" t="str">
        <x:v>ไม่ได้ทำเครื่องหมายว่ามี / ต้องยืนยัน</x:v>
      </x:c>
      <x:c r="G534" s="20" t="str">
        <x:v>ยังไม่พบเอกสารรับรองและวันหมดอายุ</x:v>
      </x:c>
      <x:c r="H53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34" s="20" t="str">
        <x:v>22/2 ม.2 บ้านโพนทอง ต.โพนทอง อ.โพนทอง จ.ชัยภูมิ 36000 (ร้านติดถนนใหญ่ข้างโรงเรียนโพนทองพิทยา  ตรงข้ามร้านอาหารทะเล )</x:v>
      </x:c>
      <x:c r="J534" s="21" t="str">
        <x:v>0643360223</x:v>
      </x:c>
      <x:c r="K534" s="23" t="e">
        <x:f>HYPERLINK("https://makanhalalguide.com/shop/detail/4973","เปิดแหล่งข้อมูล 1")</x:f>
        <x:v>HYPERLINK is not implemented. linkLocation=https://makanhalalguide.com/shop/detail/4973, friendlyName=เปิดแหล่งข้อมูล 1</x:v>
      </x:c>
      <x:c r="L534" s="23" t="str"/>
      <x:c r="M534" s="20" t="str"/>
      <x:c r="N534" s="10" t="n">
        <x:v>46315</x:v>
      </x:c>
      <x:c r="O534" s="22" t="str">
        <x:v>ยังไม่ตรวจ</x:v>
      </x:c>
      <x:c r="P534" s="22" t="str">
        <x:v>ยังไม่ติดต่อ</x:v>
      </x:c>
    </x:row>
    <x:row r="535" ht="66" customHeight="1">
      <x:c r="A535" s="9" t="n">
        <x:v>527</x:v>
      </x:c>
      <x:c r="B535" s="20" t="str">
        <x:v>อาหารมุสลิมนาป้อ ตรัง</x:v>
      </x:c>
      <x:c r="C535" s="20" t="str">
        <x:v>ตรัง</x:v>
      </x:c>
      <x:c r="D535" s="20" t="str">
        <x:v>ร้านอาหาร</x:v>
      </x:c>
      <x:c r="E535" s="20" t="str">
        <x:v>มีรายชื่อใน Makan Halal Guide; ช่องห้องละหมาดไม่ได้ทำเครื่องหมายว่ามี</x:v>
      </x:c>
      <x:c r="F535" s="20" t="str">
        <x:v>ไม่ได้ทำเครื่องหมายว่ามี / ต้องยืนยัน</x:v>
      </x:c>
      <x:c r="G535" s="20" t="str">
        <x:v>ยังไม่พบเอกสารรับรองและวันหมดอายุ</x:v>
      </x:c>
      <x:c r="H53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35" s="20" t="str">
        <x:v>159 1 ตำบล ควนปริง อำเภอเมืองตรัง ตรัง 92000</x:v>
      </x:c>
      <x:c r="J535" s="21" t="str">
        <x:v>0807028380</x:v>
      </x:c>
      <x:c r="K535" s="23" t="e">
        <x:f>HYPERLINK("https://makanhalalguide.com/shop/detail/5911","เปิดแหล่งข้อมูล 1")</x:f>
        <x:v>HYPERLINK is not implemented. linkLocation=https://makanhalalguide.com/shop/detail/5911, friendlyName=เปิดแหล่งข้อมูล 1</x:v>
      </x:c>
      <x:c r="L535" s="23" t="str"/>
      <x:c r="M535" s="20" t="str"/>
      <x:c r="N535" s="10" t="n">
        <x:v>46315</x:v>
      </x:c>
      <x:c r="O535" s="22" t="str">
        <x:v>ยังไม่ตรวจ</x:v>
      </x:c>
      <x:c r="P535" s="22" t="str">
        <x:v>ยังไม่ติดต่อ</x:v>
      </x:c>
    </x:row>
    <x:row r="536" ht="66" customHeight="1">
      <x:c r="A536" s="9" t="n">
        <x:v>528</x:v>
      </x:c>
      <x:c r="B536" s="20" t="str">
        <x:v>โรตี ยีเลาะฮ์</x:v>
      </x:c>
      <x:c r="C536" s="20" t="str">
        <x:v>ตรัง</x:v>
      </x:c>
      <x:c r="D536" s="20" t="str">
        <x:v>คาเฟ่และร้านของหวาน</x:v>
      </x:c>
      <x:c r="E536" s="20" t="str">
        <x:v>มีรายชื่อใน Makan Halal Guide; ช่องห้องละหมาดไม่ได้ทำเครื่องหมายว่ามี</x:v>
      </x:c>
      <x:c r="F536" s="20" t="str">
        <x:v>ไม่ได้ทำเครื่องหมายว่ามี / ต้องยืนยัน</x:v>
      </x:c>
      <x:c r="G536" s="20" t="str">
        <x:v>ยังไม่พบเอกสารรับรองและวันหมดอายุ</x:v>
      </x:c>
      <x:c r="H53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36" s="20" t="str">
        <x:v>49 2 ตำบล บางเป้า อำเภอ กันตัง ตรัง 92110</x:v>
      </x:c>
      <x:c r="J536" s="21" t="str">
        <x:v>0630619055</x:v>
      </x:c>
      <x:c r="K536" s="23" t="e">
        <x:f>HYPERLINK("https://makanhalalguide.com/shop/detail/5931","เปิดแหล่งข้อมูล 1")</x:f>
        <x:v>HYPERLINK is not implemented. linkLocation=https://makanhalalguide.com/shop/detail/5931, friendlyName=เปิดแหล่งข้อมูล 1</x:v>
      </x:c>
      <x:c r="L536" s="23" t="str"/>
      <x:c r="M536" s="20" t="str"/>
      <x:c r="N536" s="10" t="n">
        <x:v>46315</x:v>
      </x:c>
      <x:c r="O536" s="22" t="str">
        <x:v>ยังไม่ตรวจ</x:v>
      </x:c>
      <x:c r="P536" s="22" t="str">
        <x:v>ยังไม่ติดต่อ</x:v>
      </x:c>
    </x:row>
    <x:row r="537" ht="66" customHeight="1">
      <x:c r="A537" s="9" t="n">
        <x:v>529</x:v>
      </x:c>
      <x:c r="B537" s="20" t="str">
        <x:v>ชุมชนบ้านธรรมชาติล่าง</x:v>
      </x:c>
      <x:c r="C537" s="20" t="str">
        <x:v>ตราด</x:v>
      </x:c>
      <x:c r="D537" s="20" t="str">
        <x:v>ชุมชนท่องเที่ยวเชิงนิเวศ</x:v>
      </x:c>
      <x:c r="E537" s="20" t="str">
        <x:v>ข้อมูลภาครัฐระบุชุมชนท่องเที่ยวเชิงนิเวศ ต้องตรวจครัวฮาลาลและพื้นที่ละหมาด</x:v>
      </x:c>
      <x:c r="F537" s="20" t="str">
        <x:v>ยังไม่พบข้อมูล</x:v>
      </x:c>
      <x:c r="G537" s="20" t="str">
        <x:v>ยังไม่พบเอกสารรับรองและวันหมดอายุ</x:v>
      </x:c>
      <x:c r="H537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37" s="20" t="str">
        <x:v>ดูรายละเอียดในแหล่งอ้างอิง</x:v>
      </x:c>
      <x:c r="J537" s="21" t="str">
        <x:v>ยังไม่พบข้อมูล</x:v>
      </x:c>
      <x:c r="K537" s="23" t="e">
        <x:f>HYPERLINK("https://www.thailand.go.th/issue-focus-detail/001_02_024?hl=en","เปิดแหล่งข้อมูล 1")</x:f>
        <x:v>HYPERLINK is not implemented. linkLocation=https://www.thailand.go.th/issue-focus-detail/001_02_024?hl=en, friendlyName=เปิดแหล่งข้อมูล 1</x:v>
      </x:c>
      <x:c r="L537" s="23" t="e">
        <x:f>HYPERLINK("https://tatmediaassets.com/file/287016","เปิดแหล่งข้อมูล 2")</x:f>
        <x:v>HYPERLINK is not implemented. linkLocation=https://tatmediaassets.com/file/287016, friendlyName=เปิดแหล่งข้อมูล 2</x:v>
      </x:c>
      <x:c r="M537" s="20" t="str">
        <x:v>ผลค้นหาชื่อสัมพันธ์จากแหล่งเพิ่มเติม ต้องยืนยันสาขาและข้อมูลปัจจุบัน</x:v>
      </x:c>
      <x:c r="N537" s="10" t="n">
        <x:v>46315</x:v>
      </x:c>
      <x:c r="O537" s="22" t="str">
        <x:v>ยังไม่ตรวจ</x:v>
      </x:c>
      <x:c r="P537" s="22" t="str">
        <x:v>ยังไม่ติดต่อ</x:v>
      </x:c>
    </x:row>
    <x:row r="538" ht="66" customHeight="1">
      <x:c r="A538" s="9" t="n">
        <x:v>530</x:v>
      </x:c>
      <x:c r="B538" s="20" t="str">
        <x:v>ครัวมุสลิม ตลาดโต้รุ่ง</x:v>
      </x:c>
      <x:c r="C538" s="20" t="str">
        <x:v>ตราด</x:v>
      </x:c>
      <x:c r="D538" s="20" t="str">
        <x:v>ร้านอาหาร</x:v>
      </x:c>
      <x:c r="E538" s="20" t="str">
        <x:v>มีรายชื่อใน Makan Halal Guide; ช่องห้องละหมาดไม่ได้ทำเครื่องหมายว่ามี</x:v>
      </x:c>
      <x:c r="F538" s="20" t="str">
        <x:v>ไม่ได้ทำเครื่องหมายว่ามี / ต้องยืนยัน</x:v>
      </x:c>
      <x:c r="G538" s="20" t="str">
        <x:v>ยังไม่พบเอกสารรับรองและวันหมดอายุ</x:v>
      </x:c>
      <x:c r="H53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38" s="20" t="str">
        <x:v>ตลาดโต้รุ่ง (ซอยไร่รั้ง ข้างร้านรุ่งสโตร์) ตำบลบางพระ อำเภอเมืองตราด จังหวัดตราด 23000</x:v>
      </x:c>
      <x:c r="J538" s="21" t="str">
        <x:v>0808502455</x:v>
      </x:c>
      <x:c r="K538" s="23" t="e">
        <x:f>HYPERLINK("https://makanhalalguide.com/shop/detail/5107","เปิดแหล่งข้อมูล 1")</x:f>
        <x:v>HYPERLINK is not implemented. linkLocation=https://makanhalalguide.com/shop/detail/5107, friendlyName=เปิดแหล่งข้อมูล 1</x:v>
      </x:c>
      <x:c r="L538" s="23" t="str"/>
      <x:c r="M538" s="20" t="str"/>
      <x:c r="N538" s="10" t="n">
        <x:v>46315</x:v>
      </x:c>
      <x:c r="O538" s="22" t="str">
        <x:v>ยังไม่ตรวจ</x:v>
      </x:c>
      <x:c r="P538" s="22" t="str">
        <x:v>ยังไม่ติดต่อ</x:v>
      </x:c>
    </x:row>
    <x:row r="539" ht="66" customHeight="1">
      <x:c r="A539" s="9" t="n">
        <x:v>531</x:v>
      </x:c>
      <x:c r="B539" s="20" t="str">
        <x:v>MAZAH KITCH</x:v>
      </x:c>
      <x:c r="C539" s="20" t="str">
        <x:v>ตาก</x:v>
      </x:c>
      <x:c r="D539" s="20" t="str">
        <x:v>ร้านอาหาร</x:v>
      </x:c>
      <x:c r="E539" s="20" t="str">
        <x:v>มีรายชื่อใน Makan Halal Guide; ช่องห้องละหมาดไม่ได้ทำเครื่องหมายว่ามี</x:v>
      </x:c>
      <x:c r="F539" s="20" t="str">
        <x:v>ไม่ได้ทำเครื่องหมายว่ามี / ต้องยืนยัน</x:v>
      </x:c>
      <x:c r="G539" s="20" t="str">
        <x:v>ยังไม่พบเอกสารรับรองและวันหมดอายุ</x:v>
      </x:c>
      <x:c r="H53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39" s="20" t="str">
        <x:v>197/8 ถนนศรีพาณิชย์ ตำบลแม่สอด อำเภอแม่สอด จังหวัดตาก 63110</x:v>
      </x:c>
      <x:c r="J539" s="21" t="str">
        <x:v>0888157565</x:v>
      </x:c>
      <x:c r="K539" s="23" t="e">
        <x:f>HYPERLINK("https://makanhalalguide.com/shop/detail/5849","เปิดแหล่งข้อมูล 1")</x:f>
        <x:v>HYPERLINK is not implemented. linkLocation=https://makanhalalguide.com/shop/detail/5849, friendlyName=เปิดแหล่งข้อมูล 1</x:v>
      </x:c>
      <x:c r="L539" s="23" t="str"/>
      <x:c r="M539" s="20" t="str"/>
      <x:c r="N539" s="10" t="n">
        <x:v>46315</x:v>
      </x:c>
      <x:c r="O539" s="22" t="str">
        <x:v>ยังไม่ตรวจ</x:v>
      </x:c>
      <x:c r="P539" s="22" t="str">
        <x:v>ยังไม่ติดต่อ</x:v>
      </x:c>
    </x:row>
    <x:row r="540" ht="66" customHeight="1">
      <x:c r="A540" s="9" t="n">
        <x:v>532</x:v>
      </x:c>
      <x:c r="B540" s="20" t="str">
        <x:v>โรงชานครแม่สอด</x:v>
      </x:c>
      <x:c r="C540" s="20" t="str">
        <x:v>ตาก</x:v>
      </x:c>
      <x:c r="D540" s="20" t="str">
        <x:v>ร้านอาหาร</x:v>
      </x:c>
      <x:c r="E540" s="20" t="str">
        <x:v>มีรายชื่อใน Makan Halal Guide; ช่องห้องละหมาดไม่ได้ทำเครื่องหมายว่ามี</x:v>
      </x:c>
      <x:c r="F540" s="20" t="str">
        <x:v>ไม่ได้ทำเครื่องหมายว่ามี / ต้องยืนยัน</x:v>
      </x:c>
      <x:c r="G540" s="20" t="str">
        <x:v>ยังไม่พบเอกสารรับรองและวันหมดอายุ</x:v>
      </x:c>
      <x:c r="H54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40" s="20" t="str">
        <x:v>ตำบลแม่สอด อำเภอแม่สอด จังหวัดตาก 63110</x:v>
      </x:c>
      <x:c r="J540" s="21" t="str">
        <x:v>0800645816</x:v>
      </x:c>
      <x:c r="K540" s="23" t="e">
        <x:f>HYPERLINK("https://makanhalalguide.com/shop/detail/6375","เปิดแหล่งข้อมูล 1")</x:f>
        <x:v>HYPERLINK is not implemented. linkLocation=https://makanhalalguide.com/shop/detail/6375, friendlyName=เปิดแหล่งข้อมูล 1</x:v>
      </x:c>
      <x:c r="L540" s="23" t="e">
        <x:f>HYPERLINK("https://www.lemon8-app.com/poi/22535797325032350?region=th","เปิดแหล่งข้อมูล 2")</x:f>
        <x:v>HYPERLINK is not implemented. linkLocation=https://www.lemon8-app.com/poi/22535797325032350?region=th, friendlyName=เปิดแหล่งข้อมูล 2</x:v>
      </x:c>
      <x:c r="M540" s="20" t="str">
        <x:v>ผลค้นหาชื่อสัมพันธ์จากแหล่งเพิ่มเติม ต้องยืนยันสาขาและข้อมูลปัจจุบัน</x:v>
      </x:c>
      <x:c r="N540" s="10" t="n">
        <x:v>46315</x:v>
      </x:c>
      <x:c r="O540" s="22" t="str">
        <x:v>ยังไม่ตรวจ</x:v>
      </x:c>
      <x:c r="P540" s="22" t="str">
        <x:v>ยังไม่ติดต่อ</x:v>
      </x:c>
    </x:row>
    <x:row r="541" ht="66" customHeight="1">
      <x:c r="A541" s="9" t="n">
        <x:v>533</x:v>
      </x:c>
      <x:c r="B541" s="20" t="str">
        <x:v>ร้านฮาลาลตลาดโรงสี หนองเบน</x:v>
      </x:c>
      <x:c r="C541" s="20" t="str">
        <x:v>นครสวรรค์</x:v>
      </x:c>
      <x:c r="D541" s="20" t="str">
        <x:v>ร้านอาหาร</x:v>
      </x:c>
      <x:c r="E541" s="20" t="str">
        <x:v>มีรายชื่อใน Makan Halal Guide; ช่องห้องละหมาดไม่ได้ทำเครื่องหมายว่ามี</x:v>
      </x:c>
      <x:c r="F541" s="20" t="str">
        <x:v>ไม่ได้ทำเครื่องหมายว่ามี / ต้องยืนยัน</x:v>
      </x:c>
      <x:c r="G541" s="20" t="str">
        <x:v>ยังไม่พบเอกสารรับรองและวันหมดอายุ</x:v>
      </x:c>
      <x:c r="H54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41" s="20" t="str">
        <x:v>ตลาดโรงสี หมู่ 15 อำเภอเมืองนครสวรรค์ จังหวัดนครสวรรค์ 60240</x:v>
      </x:c>
      <x:c r="J541" s="21" t="str">
        <x:v>0640522086</x:v>
      </x:c>
      <x:c r="K541" s="23" t="e">
        <x:f>HYPERLINK("https://makanhalalguide.com/shop/detail/5350","เปิดแหล่งข้อมูล 1")</x:f>
        <x:v>HYPERLINK is not implemented. linkLocation=https://makanhalalguide.com/shop/detail/5350, friendlyName=เปิดแหล่งข้อมูล 1</x:v>
      </x:c>
      <x:c r="L541" s="23" t="str"/>
      <x:c r="M541" s="20" t="str"/>
      <x:c r="N541" s="10" t="n">
        <x:v>46315</x:v>
      </x:c>
      <x:c r="O541" s="22" t="str">
        <x:v>ยังไม่ตรวจ</x:v>
      </x:c>
      <x:c r="P541" s="22" t="str">
        <x:v>ยังไม่ติดต่อ</x:v>
      </x:c>
    </x:row>
    <x:row r="542" ht="66" customHeight="1">
      <x:c r="A542" s="9" t="n">
        <x:v>534</x:v>
      </x:c>
      <x:c r="B542" s="20" t="str">
        <x:v>อาหารมุสลิมนครสวรรค์</x:v>
      </x:c>
      <x:c r="C542" s="20" t="str">
        <x:v>นครสวรรค์</x:v>
      </x:c>
      <x:c r="D542" s="20" t="str">
        <x:v>ร้านอาหาร</x:v>
      </x:c>
      <x:c r="E542" s="20" t="str">
        <x:v>มีรายชื่อใน Makan Halal Guide; ช่องห้องละหมาดไม่ได้ทำเครื่องหมายว่ามี</x:v>
      </x:c>
      <x:c r="F542" s="20" t="str">
        <x:v>ไม่ได้ทำเครื่องหมายว่ามี / ต้องยืนยัน</x:v>
      </x:c>
      <x:c r="G542" s="20" t="str">
        <x:v>ยังไม่พบเอกสารรับรองและวันหมดอายุ</x:v>
      </x:c>
      <x:c r="H54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42" s="20" t="str">
        <x:v>28/60 ถนนสวรรค์วิถี ตำบลปากน้ำโพ อำเภอเมืองนครสวรรค์ จังหวัดนครสวรรค์ 60000 (กล้กับโรงพยาบาลสวรรค์ประชารักษ์นครสวรรค์)</x:v>
      </x:c>
      <x:c r="J542" s="21" t="str">
        <x:v>0661461310</x:v>
      </x:c>
      <x:c r="K542" s="23" t="e">
        <x:f>HYPERLINK("https://makanhalalguide.com/shop/detail/5133","เปิดแหล่งข้อมูล 1")</x:f>
        <x:v>HYPERLINK is not implemented. linkLocation=https://makanhalalguide.com/shop/detail/5133, friendlyName=เปิดแหล่งข้อมูล 1</x:v>
      </x:c>
      <x:c r="L542" s="23" t="str"/>
      <x:c r="M542" s="20" t="str"/>
      <x:c r="N542" s="10" t="n">
        <x:v>46315</x:v>
      </x:c>
      <x:c r="O542" s="22" t="str">
        <x:v>ยังไม่ตรวจ</x:v>
      </x:c>
      <x:c r="P542" s="22" t="str">
        <x:v>ยังไม่ติดต่อ</x:v>
      </x:c>
    </x:row>
    <x:row r="543" ht="66" customHeight="1">
      <x:c r="A543" s="9" t="n">
        <x:v>535</x:v>
      </x:c>
      <x:c r="B543" s="20" t="str">
        <x:v>ก๋วยเตี๋ยวเรืออิสลาม ครัวอารยา ตากใบ</x:v>
      </x:c>
      <x:c r="C543" s="20" t="str">
        <x:v>นราธิวาส</x:v>
      </x:c>
      <x:c r="D543" s="20" t="str">
        <x:v>ร้านอาหาร</x:v>
      </x:c>
      <x:c r="E543" s="20" t="str">
        <x:v>มีรายชื่อใน Makan Halal Guide; ช่องห้องละหมาดไม่ได้ทำเครื่องหมายว่ามี</x:v>
      </x:c>
      <x:c r="F543" s="20" t="str">
        <x:v>ไม่ได้ทำเครื่องหมายว่ามี / ต้องยืนยัน</x:v>
      </x:c>
      <x:c r="G543" s="20" t="str">
        <x:v>ยังไม่พบเอกสารรับรองและวันหมดอายุ</x:v>
      </x:c>
      <x:c r="H54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43" s="20" t="str">
        <x:v>หัวมุม 4 แยกตากใบ ทางไปวัดชลธาราสิง สะพานคอยร้อยปี เกาะยาว ตำบลเจ๊ะเห อำเภอตากใบ นราธิวาส 96110</x:v>
      </x:c>
      <x:c r="J543" s="21" t="str">
        <x:v>0622292789</x:v>
      </x:c>
      <x:c r="K543" s="23" t="e">
        <x:f>HYPERLINK("https://makanhalalguide.com/shop/detail/5095","เปิดแหล่งข้อมูล 1")</x:f>
        <x:v>HYPERLINK is not implemented. linkLocation=https://makanhalalguide.com/shop/detail/5095, friendlyName=เปิดแหล่งข้อมูล 1</x:v>
      </x:c>
      <x:c r="L543" s="23" t="str"/>
      <x:c r="M543" s="20" t="str"/>
      <x:c r="N543" s="10" t="n">
        <x:v>46315</x:v>
      </x:c>
      <x:c r="O543" s="22" t="str">
        <x:v>ยังไม่ตรวจ</x:v>
      </x:c>
      <x:c r="P543" s="22" t="str">
        <x:v>ยังไม่ติดต่อ</x:v>
      </x:c>
    </x:row>
    <x:row r="544" ht="66" customHeight="1">
      <x:c r="A544" s="9" t="n">
        <x:v>536</x:v>
      </x:c>
      <x:c r="B544" s="20" t="str">
        <x:v>ฟาร์ติมะห์คาเฟ่&amp;เนื้อ</x:v>
      </x:c>
      <x:c r="C544" s="20" t="str">
        <x:v>ประจวบคีรีขันธ์</x:v>
      </x:c>
      <x:c r="D544" s="20" t="str">
        <x:v>คาเฟ่และร้านของหวาน</x:v>
      </x:c>
      <x:c r="E544" s="20" t="str">
        <x:v>มีรายชื่อใน Makan Halal Guide; ช่องห้องละหมาดไม่ได้ทำเครื่องหมายว่ามี</x:v>
      </x:c>
      <x:c r="F544" s="20" t="str">
        <x:v>ไม่ได้ทำเครื่องหมายว่ามี / ต้องยืนยัน</x:v>
      </x:c>
      <x:c r="G544" s="20" t="str">
        <x:v>ยังไม่พบเอกสารรับรองและวันหมดอายุ</x:v>
      </x:c>
      <x:c r="H54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44" s="20" t="str">
        <x:v>ตำบล พงศ์ประศาสน์ อำเภอบางสะพาน ประจวบคีรีขันธ์ 77140</x:v>
      </x:c>
      <x:c r="J544" s="21" t="str">
        <x:v>0816297462</x:v>
      </x:c>
      <x:c r="K544" s="23" t="e">
        <x:f>HYPERLINK("https://makanhalalguide.com/shop/detail/5778","เปิดแหล่งข้อมูล 1")</x:f>
        <x:v>HYPERLINK is not implemented. linkLocation=https://makanhalalguide.com/shop/detail/5778, friendlyName=เปิดแหล่งข้อมูล 1</x:v>
      </x:c>
      <x:c r="L544" s="23" t="e">
        <x:f>HYPERLINK("https://www.wongnai.com/reviews/1be4dd1d145747958b42f928b2f1b675","เปิดแหล่งข้อมูล 2")</x:f>
        <x:v>HYPERLINK is not implemented. linkLocation=https://www.wongnai.com/reviews/1be4dd1d145747958b42f928b2f1b675, friendlyName=เปิดแหล่งข้อมูล 2</x:v>
      </x:c>
      <x:c r="M544" s="20" t="str">
        <x:v>ผลค้นหาชื่อสัมพันธ์จากแหล่งเพิ่มเติม ต้องยืนยันสาขาและข้อมูลปัจจุบัน</x:v>
      </x:c>
      <x:c r="N544" s="10" t="n">
        <x:v>46315</x:v>
      </x:c>
      <x:c r="O544" s="22" t="str">
        <x:v>ยังไม่ตรวจ</x:v>
      </x:c>
      <x:c r="P544" s="22" t="str">
        <x:v>ยังไม่ติดต่อ</x:v>
      </x:c>
    </x:row>
    <x:row r="545" ht="66" customHeight="1">
      <x:c r="A545" s="9" t="n">
        <x:v>537</x:v>
      </x:c>
      <x:c r="B545" s="20" t="str">
        <x:v>พระนครศรีอยุธยาฮาลาล ปราจีนบุรี</x:v>
      </x:c>
      <x:c r="C545" s="20" t="str">
        <x:v>ปราจีนบุรี</x:v>
      </x:c>
      <x:c r="D545" s="20" t="str">
        <x:v>ร้านอาหาร</x:v>
      </x:c>
      <x:c r="E545" s="20" t="str">
        <x:v>มีรายชื่อใน Makan Halal Guide; ช่องห้องละหมาดไม่ได้ทำเครื่องหมายว่ามี</x:v>
      </x:c>
      <x:c r="F545" s="20" t="str">
        <x:v>ไม่ได้ทำเครื่องหมายว่ามี / ต้องยืนยัน</x:v>
      </x:c>
      <x:c r="G545" s="20" t="str">
        <x:v>ยังไม่พบเอกสารรับรองและวันหมดอายุ</x:v>
      </x:c>
      <x:c r="H54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45" s="20" t="str">
        <x:v>ทางขึ้นเขาใหญ่ วงเวียนสมเด็จพระนเรศวร ปราจีน ตำบลบ้านพระ อำเภอเมืองปราจีนบุรี จังหวัดปราจีนบุรี  25230</x:v>
      </x:c>
      <x:c r="J545" s="21" t="str">
        <x:v>0869946247</x:v>
      </x:c>
      <x:c r="K545" s="23" t="e">
        <x:f>HYPERLINK("https://makanhalalguide.com/shop/detail/5081","เปิดแหล่งข้อมูล 1")</x:f>
        <x:v>HYPERLINK is not implemented. linkLocation=https://makanhalalguide.com/shop/detail/5081, friendlyName=เปิดแหล่งข้อมูล 1</x:v>
      </x:c>
      <x:c r="L545" s="23" t="e">
        <x:f>HYPERLINK("https://www.thaithurkic.com/halal-food-meat-noodle-and-made-to-086-994-6247","เปิดแหล่งข้อมูล 2")</x:f>
        <x:v>HYPERLINK is not implemented. linkLocation=https://www.thaithurkic.com/halal-food-meat-noodle-and-made-to-086-994-6247, friendlyName=เปิดแหล่งข้อมูล 2</x:v>
      </x:c>
      <x:c r="M545" s="20" t="str">
        <x:v>ผลค้นหาชื่อสัมพันธ์จากแหล่งเพิ่มเติม ต้องยืนยันสาขาและข้อมูลปัจจุบัน</x:v>
      </x:c>
      <x:c r="N545" s="10" t="n">
        <x:v>46315</x:v>
      </x:c>
      <x:c r="O545" s="22" t="str">
        <x:v>ยังไม่ตรวจ</x:v>
      </x:c>
      <x:c r="P545" s="22" t="str">
        <x:v>ยังไม่ติดต่อ</x:v>
      </x:c>
    </x:row>
    <x:row r="546" ht="66" customHeight="1">
      <x:c r="A546" s="9" t="n">
        <x:v>538</x:v>
      </x:c>
      <x:c r="B546" s="20" t="str">
        <x:v>Bagus Hot Chicken</x:v>
      </x:c>
      <x:c r="C546" s="20" t="str">
        <x:v>ปัตตานี</x:v>
      </x:c>
      <x:c r="D546" s="20" t="str">
        <x:v>ร้านอาหาร</x:v>
      </x:c>
      <x:c r="E546" s="20" t="str">
        <x:v>มีรายชื่อใน Makan Halal Guide; ช่องห้องละหมาดไม่ได้ทำเครื่องหมายว่ามี</x:v>
      </x:c>
      <x:c r="F546" s="20" t="str">
        <x:v>ไม่ได้ทำเครื่องหมายว่ามี / ต้องยืนยัน</x:v>
      </x:c>
      <x:c r="G546" s="20" t="str">
        <x:v>ยังไม่พบเอกสารรับรองและวันหมดอายุ</x:v>
      </x:c>
      <x:c r="H54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46" s="20" t="str">
        <x:v>หลัง มอ.ปัตตานี ตำบล รูสะมิแล อำเภอเมืองปัตตานี ปัตตานี 94000</x:v>
      </x:c>
      <x:c r="J546" s="21" t="str">
        <x:v>0952695898</x:v>
      </x:c>
      <x:c r="K546" s="23" t="e">
        <x:f>HYPERLINK("https://makanhalalguide.com/shop/detail/6358","เปิดแหล่งข้อมูล 1")</x:f>
        <x:v>HYPERLINK is not implemented. linkLocation=https://makanhalalguide.com/shop/detail/6358, friendlyName=เปิดแหล่งข้อมูล 1</x:v>
      </x:c>
      <x:c r="L546" s="23" t="e">
        <x:f>HYPERLINK("https://www.wongnai.com/restaurants/759101oO-bagus-hot-chicken-ptn-14-bagus-pattani","เปิดแหล่งข้อมูล 2")</x:f>
        <x:v>HYPERLINK is not implemented. linkLocation=https://www.wongnai.com/restaurants/759101oO-bagus-hot-chicken-ptn-14-bagus-pattani, friendlyName=เปิดแหล่งข้อมูล 2</x:v>
      </x:c>
      <x:c r="M546" s="20" t="str">
        <x:v>ผลค้นหาชื่อสัมพันธ์จากแหล่งเพิ่มเติม ต้องยืนยันสาขาและข้อมูลปัจจุบัน</x:v>
      </x:c>
      <x:c r="N546" s="10" t="n">
        <x:v>46315</x:v>
      </x:c>
      <x:c r="O546" s="22" t="str">
        <x:v>ยังไม่ตรวจ</x:v>
      </x:c>
      <x:c r="P546" s="22" t="str">
        <x:v>ยังไม่ติดต่อ</x:v>
      </x:c>
    </x:row>
    <x:row r="547" ht="66" customHeight="1">
      <x:c r="A547" s="9" t="n">
        <x:v>539</x:v>
      </x:c>
      <x:c r="B547" s="20" t="str">
        <x:v>KITA BUAT DIA</x:v>
      </x:c>
      <x:c r="C547" s="20" t="str">
        <x:v>ปัตตานี</x:v>
      </x:c>
      <x:c r="D547" s="20" t="str">
        <x:v>ร้านอาหาร</x:v>
      </x:c>
      <x:c r="E547" s="20" t="str">
        <x:v>มีรายชื่อใน Makan Halal Guide; ช่องห้องละหมาดไม่ได้ทำเครื่องหมายว่ามี</x:v>
      </x:c>
      <x:c r="F547" s="20" t="str">
        <x:v>ไม่ได้ทำเครื่องหมายว่ามี / ต้องยืนยัน</x:v>
      </x:c>
      <x:c r="G547" s="20" t="str">
        <x:v>ยังไม่พบเอกสารรับรองและวันหมดอายุ</x:v>
      </x:c>
      <x:c r="H54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47" s="20" t="str">
        <x:v>หน้าวงเวียน มอ.ปัตตานี ตำบล รูสะมิแล อำเภอเมืองปัตตานี ปัตตานี 94000</x:v>
      </x:c>
      <x:c r="J547" s="21" t="str">
        <x:v>0943477416</x:v>
      </x:c>
      <x:c r="K547" s="23" t="e">
        <x:f>HYPERLINK("https://makanhalalguide.com/shop/detail/6365","เปิดแหล่งข้อมูล 1")</x:f>
        <x:v>HYPERLINK is not implemented. linkLocation=https://makanhalalguide.com/shop/detail/6365, friendlyName=เปิดแหล่งข้อมูล 1</x:v>
      </x:c>
      <x:c r="L547" s="23" t="str"/>
      <x:c r="M547" s="20" t="str"/>
      <x:c r="N547" s="10" t="n">
        <x:v>46315</x:v>
      </x:c>
      <x:c r="O547" s="22" t="str">
        <x:v>ยังไม่ตรวจ</x:v>
      </x:c>
      <x:c r="P547" s="22" t="str">
        <x:v>ยังไม่ติดต่อ</x:v>
      </x:c>
    </x:row>
    <x:row r="548" ht="66" customHeight="1">
      <x:c r="A548" s="9" t="n">
        <x:v>540</x:v>
      </x:c>
      <x:c r="B548" s="20" t="str">
        <x:v>M.Chakir Coffee</x:v>
      </x:c>
      <x:c r="C548" s="20" t="str">
        <x:v>ปัตตานี</x:v>
      </x:c>
      <x:c r="D548" s="20" t="str">
        <x:v>คาเฟ่และร้านของหวาน</x:v>
      </x:c>
      <x:c r="E548" s="20" t="str">
        <x:v>มีรายชื่อใน Makan Halal Guide; ช่องห้องละหมาดไม่ได้ทำเครื่องหมายว่ามี</x:v>
      </x:c>
      <x:c r="F548" s="20" t="str">
        <x:v>ไม่ได้ทำเครื่องหมายว่ามี / ต้องยืนยัน</x:v>
      </x:c>
      <x:c r="G548" s="20" t="str">
        <x:v>ยังไม่พบเอกสารรับรองและวันหมดอายุ</x:v>
      </x:c>
      <x:c r="H54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48" s="20" t="str">
        <x:v>ลานจอดรถมัสยิดกลางปัตตานี ถนนยะรัง ตำบล จะบังติกอ อำเภอเมืองปัตตานี ปัตตานี 94000</x:v>
      </x:c>
      <x:c r="J548" s="21" t="str">
        <x:v>0918083246</x:v>
      </x:c>
      <x:c r="K548" s="23" t="e">
        <x:f>HYPERLINK("https://makanhalalguide.com/shop/detail/6367","เปิดแหล่งข้อมูล 1")</x:f>
        <x:v>HYPERLINK is not implemented. linkLocation=https://makanhalalguide.com/shop/detail/6367, friendlyName=เปิดแหล่งข้อมูล 1</x:v>
      </x:c>
      <x:c r="L548" s="23" t="e">
        <x:f>HYPERLINK("https://www.wongnai.com/restaurants/495981Kz-m-chakir-coffee-di-taning-%E0%B8%A5%E0%B8%B2%E0%B8%99%E0%B8%88%E0%B8%AD%E0%B8%94%E0%B8%A3%E0%B8%96%E0%B8%A1%E0%B8%B1%E0%B8%AA%E0%B8%A2%E0%B8%B4%E0%B8%94%E0%B8%81%E0%B8%A5%E0%B8%B2%E0%B8%87-%E0%B8%9B%E0%B8%B1%E0%B8%95%E0%B8%95%E0%B8%B2%E0%B8%99%E0%B8%B5","เปิดแหล่งข้อมูล 2")</x:f>
        <x:v>HYPERLINK is not implemented. linkLocation=https://www.wongnai.com/restaurants/495981Kz-m-chakir-coffee-di-taning-%E0%B8%A5%E0%B8%B2%E0%B8%99%E0%B8%88%E0%B8%AD%E0%B8%94%E0%B8%A3%E0%B8%96%E0%B8%A1%E0%B8%B1%E0%B8%AA%E0%B8%A2%E0%B8%B4%E0%B8%94%E0%B8%81%E0%B8%A5%E0%B8%B2%E0%B8%87-%E0%B8%9B%E0%B8%B1%E0%B8%95%E0%B8%95%E0%B8%B2%E0%B8%99%E0%B8%B5, friendlyName=เปิดแหล่งข้อมูล 2</x:v>
      </x:c>
      <x:c r="M548" s="20" t="str">
        <x:v>ผลค้นหาชื่อสัมพันธ์จากแหล่งเพิ่มเติม ต้องยืนยันสาขาและข้อมูลปัจจุบัน</x:v>
      </x:c>
      <x:c r="N548" s="10" t="n">
        <x:v>46315</x:v>
      </x:c>
      <x:c r="O548" s="22" t="str">
        <x:v>ยังไม่ตรวจ</x:v>
      </x:c>
      <x:c r="P548" s="22" t="str">
        <x:v>ยังไม่ติดต่อ</x:v>
      </x:c>
    </x:row>
    <x:row r="549" ht="66" customHeight="1">
      <x:c r="A549" s="9" t="n">
        <x:v>541</x:v>
      </x:c>
      <x:c r="B549" s="20" t="str">
        <x:v>Mama’s corner</x:v>
      </x:c>
      <x:c r="C549" s="20" t="str">
        <x:v>ปัตตานี</x:v>
      </x:c>
      <x:c r="D549" s="20" t="str">
        <x:v>ร้านอาหาร</x:v>
      </x:c>
      <x:c r="E549" s="20" t="str">
        <x:v>มีรายชื่อใน Makan Halal Guide; ช่องห้องละหมาดไม่ได้ทำเครื่องหมายว่ามี</x:v>
      </x:c>
      <x:c r="F549" s="20" t="str">
        <x:v>ไม่ได้ทำเครื่องหมายว่ามี / ต้องยืนยัน</x:v>
      </x:c>
      <x:c r="G549" s="20" t="str">
        <x:v>ยังไม่พบเอกสารรับรองและวันหมดอายุ</x:v>
      </x:c>
      <x:c r="H54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49" s="20" t="str">
        <x:v>ลานจอดรถมัสยิดกลางปัตตานี ถนนยะรัง ตำบล จะบังติกอ อำเภอเมืองปัตตานี ปัตตานี 94000</x:v>
      </x:c>
      <x:c r="J549" s="21" t="str">
        <x:v>0878751662</x:v>
      </x:c>
      <x:c r="K549" s="23" t="e">
        <x:f>HYPERLINK("https://makanhalalguide.com/shop/detail/6366","เปิดแหล่งข้อมูล 1")</x:f>
        <x:v>HYPERLINK is not implemented. linkLocation=https://makanhalalguide.com/shop/detail/6366, friendlyName=เปิดแหล่งข้อมูล 1</x:v>
      </x:c>
      <x:c r="L549" s="23" t="e">
        <x:f>HYPERLINK("https://www.wongnai.com/restaurants/2414121od-mama-s-corner-%E0%B8%9B%E0%B8%B1%E0%B8%95%E0%B8%95%E0%B8%B2%E0%B8%99%E0%B8%B5","เปิดแหล่งข้อมูล 2")</x:f>
        <x:v>HYPERLINK is not implemented. linkLocation=https://www.wongnai.com/restaurants/2414121od-mama-s-corner-%E0%B8%9B%E0%B8%B1%E0%B8%95%E0%B8%95%E0%B8%B2%E0%B8%99%E0%B8%B5, friendlyName=เปิดแหล่งข้อมูล 2</x:v>
      </x:c>
      <x:c r="M549" s="20" t="str">
        <x:v>ผลค้นหาชื่อสัมพันธ์จากแหล่งเพิ่มเติม ต้องยืนยันสาขาและข้อมูลปัจจุบัน</x:v>
      </x:c>
      <x:c r="N549" s="10" t="n">
        <x:v>46315</x:v>
      </x:c>
      <x:c r="O549" s="22" t="str">
        <x:v>ยังไม่ตรวจ</x:v>
      </x:c>
      <x:c r="P549" s="22" t="str">
        <x:v>ยังไม่ติดต่อ</x:v>
      </x:c>
    </x:row>
    <x:row r="550" ht="66" customHeight="1">
      <x:c r="A550" s="9" t="n">
        <x:v>542</x:v>
      </x:c>
      <x:c r="B550" s="20" t="str">
        <x:v>ครัวฮาลาลไทย-มาเลย์ ม่อนเงาะ 2</x:v>
      </x:c>
      <x:c r="C550" s="20" t="str">
        <x:v>พะเยา</x:v>
      </x:c>
      <x:c r="D550" s="20" t="str">
        <x:v>ร้านอาหาร</x:v>
      </x:c>
      <x:c r="E550" s="20" t="str">
        <x:v>มีรายชื่อใน Makan Halal Guide; ช่องห้องละหมาดไม่ได้ทำเครื่องหมายว่ามี</x:v>
      </x:c>
      <x:c r="F550" s="20" t="str">
        <x:v>ไม่ได้ทำเครื่องหมายว่ามี / ต้องยืนยัน</x:v>
      </x:c>
      <x:c r="G550" s="20" t="str">
        <x:v>ยังไม่พบเอกสารรับรองและวันหมดอายุ</x:v>
      </x:c>
      <x:c r="H550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50" s="20" t="str">
        <x:v>889/5หมู่ 5 หมู่ 14 ตำบลบ้านต๋อม  อำเภอเมืองพะเยา จังหวัดพะเยา 56000</x:v>
      </x:c>
      <x:c r="J550" s="21" t="str">
        <x:v>0936046208</x:v>
      </x:c>
      <x:c r="K550" s="23" t="e">
        <x:f>HYPERLINK("https://makanhalalguide.com/shop/detail/5090","เปิดแหล่งข้อมูล 1")</x:f>
        <x:v>HYPERLINK is not implemented. linkLocation=https://makanhalalguide.com/shop/detail/5090, friendlyName=เปิดแหล่งข้อมูล 1</x:v>
      </x:c>
      <x:c r="L550" s="23" t="e">
        <x:f>HYPERLINK("https://www.thaithurkic.com/%E0%B8%84%E0%B8%A3%E0%B8%B1%E0%B8%A7%E0%B8%A1%E0%B8%B8%E0%B8%AA%E0%B8%A5%E0%B8%B4%E0%B8%A1-%E0%B9%84%E0%B8%97%E0%B8%A2-%E0%B8%A1%E0%B8%B2%E0%B9%80%E0%B8%A5%E0%B8%A2%E0%B9%8C","เปิดแหล่งข้อมูล 2")</x:f>
        <x:v>HYPERLINK is not implemented. linkLocation=https://www.thaithurkic.com/%E0%B8%84%E0%B8%A3%E0%B8%B1%E0%B8%A7%E0%B8%A1%E0%B8%B8%E0%B8%AA%E0%B8%A5%E0%B8%B4%E0%B8%A1-%E0%B9%84%E0%B8%97%E0%B8%A2-%E0%B8%A1%E0%B8%B2%E0%B9%80%E0%B8%A5%E0%B8%A2%E0%B9%8C, friendlyName=เปิดแหล่งข้อมูล 2</x:v>
      </x:c>
      <x:c r="M550" s="20" t="str">
        <x:v>ผลค้นหาชื่อสัมพันธ์จากแหล่งเพิ่มเติม ต้องยืนยันสาขาและข้อมูลปัจจุบัน</x:v>
      </x:c>
      <x:c r="N550" s="10" t="n">
        <x:v>46315</x:v>
      </x:c>
      <x:c r="O550" s="22" t="str">
        <x:v>ยังไม่ตรวจ</x:v>
      </x:c>
      <x:c r="P550" s="22" t="str">
        <x:v>ยังไม่ติดต่อ</x:v>
      </x:c>
    </x:row>
    <x:row r="551" ht="66" customHeight="1">
      <x:c r="A551" s="9" t="n">
        <x:v>543</x:v>
      </x:c>
      <x:c r="B551" s="20" t="str">
        <x:v>สากีน๊ะ อาหารใต้</x:v>
      </x:c>
      <x:c r="C551" s="20" t="str">
        <x:v>พะเยา</x:v>
      </x:c>
      <x:c r="D551" s="20" t="str">
        <x:v>ร้านอาหาร</x:v>
      </x:c>
      <x:c r="E551" s="20" t="str">
        <x:v>มีรายชื่อใน Makan Halal Guide; ช่องห้องละหมาดไม่ได้ทำเครื่องหมายว่ามี</x:v>
      </x:c>
      <x:c r="F551" s="20" t="str">
        <x:v>ไม่ได้ทำเครื่องหมายว่ามี / ต้องยืนยัน</x:v>
      </x:c>
      <x:c r="G551" s="20" t="str">
        <x:v>ยังไม่พบเอกสารรับรองและวันหมดอายุ</x:v>
      </x:c>
      <x:c r="H55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51" s="20" t="str">
        <x:v>หน้ามัสยิดญามิอุ้ลอิสลามพะเยา ตำบลท่าวังทอง อำเภอเมืองพะเยา พะเยา 56000 </x:v>
      </x:c>
      <x:c r="J551" s="21" t="str">
        <x:v>0979979302</x:v>
      </x:c>
      <x:c r="K551" s="23" t="e">
        <x:f>HYPERLINK("https://makanhalalguide.com/shop/detail/5092","เปิดแหล่งข้อมูล 1")</x:f>
        <x:v>HYPERLINK is not implemented. linkLocation=https://makanhalalguide.com/shop/detail/5092, friendlyName=เปิดแหล่งข้อมูล 1</x:v>
      </x:c>
      <x:c r="L551" s="23" t="e">
        <x:f>HYPERLINK("https://www.wongnai.com/restaurants/1194419ma-%E0%B8%8B%E0%B8%B2%E0%B8%81%E0%B8%B5%E0%B8%99%E0%B9%8A%E0%B8%B0","เปิดแหล่งข้อมูล 2")</x:f>
        <x:v>HYPERLINK is not implemented. linkLocation=https://www.wongnai.com/restaurants/1194419ma-%E0%B8%8B%E0%B8%B2%E0%B8%81%E0%B8%B5%E0%B8%99%E0%B9%8A%E0%B8%B0, friendlyName=เปิดแหล่งข้อมูล 2</x:v>
      </x:c>
      <x:c r="M551" s="20" t="str">
        <x:v>ผลค้นหาชื่อสัมพันธ์จากแหล่งเพิ่มเติม ต้องยืนยันสาขาและข้อมูลปัจจุบัน</x:v>
      </x:c>
      <x:c r="N551" s="10" t="n">
        <x:v>46315</x:v>
      </x:c>
      <x:c r="O551" s="22" t="str">
        <x:v>ยังไม่ตรวจ</x:v>
      </x:c>
      <x:c r="P551" s="22" t="str">
        <x:v>ยังไม่ติดต่อ</x:v>
      </x:c>
    </x:row>
    <x:row r="552" ht="66" customHeight="1">
      <x:c r="A552" s="9" t="n">
        <x:v>544</x:v>
      </x:c>
      <x:c r="B552" s="20" t="str">
        <x:v>เกาะปันหยี</x:v>
      </x:c>
      <x:c r="C552" s="20" t="str">
        <x:v>พังงา</x:v>
      </x:c>
      <x:c r="D552" s="20" t="str">
        <x:v>ชุมชนท่องเที่ยว</x:v>
      </x:c>
      <x:c r="E552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52" s="20" t="str">
        <x:v>ยังไม่พบข้อมูล</x:v>
      </x:c>
      <x:c r="G552" s="20" t="str">
        <x:v>ยังไม่พบเอกสารรับรองและวันหมดอายุ</x:v>
      </x:c>
      <x:c r="H552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52" s="20" t="str">
        <x:v>หมู่ 2 ตำบลเกาะปันหยี อำเภอเมืองพังงา จังหวัดพังงา 82000</x:v>
      </x:c>
      <x:c r="J552" s="21" t="str">
        <x:v>076-411-136</x:v>
      </x:c>
      <x:c r="K552" s="23" t="e">
        <x:f>HYPERLINK("https://www.thic.or.th/th/tourist/detail/tourist/14","เปิดแหล่งข้อมูล 1")</x:f>
        <x:v>HYPERLINK is not implemented. linkLocation=https://www.thic.or.th/th/tourist/detail/tourist/14, friendlyName=เปิดแหล่งข้อมูล 1</x:v>
      </x:c>
      <x:c r="L552" s="23" t="e">
        <x:f>HYPERLINK("https://th.tripadvisor.com/Attraction_Review-g303917-d553529-Reviews-Koh_Panyi-Phang_Nga_Phang_Nga_Province.html","เปิดแหล่งข้อมูล 2")</x:f>
        <x:v>HYPERLINK is not implemented. linkLocation=https://th.tripadvisor.com/Attraction_Review-g303917-d553529-Reviews-Koh_Panyi-Phang_Nga_Phang_Nga_Province.html, friendlyName=เปิดแหล่งข้อมูล 2</x:v>
      </x:c>
      <x:c r="M552" s="20" t="str">
        <x:v>ผลค้นหาชื่อสัมพันธ์จากแหล่งเพิ่มเติม ต้องยืนยันสาขาและข้อมูลปัจจุบัน</x:v>
      </x:c>
      <x:c r="N552" s="10" t="n">
        <x:v>46315</x:v>
      </x:c>
      <x:c r="O552" s="22" t="str">
        <x:v>ยังไม่ตรวจ</x:v>
      </x:c>
      <x:c r="P552" s="22" t="str">
        <x:v>ยังไม่ติดต่อ</x:v>
      </x:c>
    </x:row>
    <x:row r="553" ht="66" customHeight="1">
      <x:c r="A553" s="9" t="n">
        <x:v>545</x:v>
      </x:c>
      <x:c r="B553" s="20" t="str">
        <x:v>อุทยานแห่งชาติอ่าวพังงา</x:v>
      </x:c>
      <x:c r="C553" s="20" t="str">
        <x:v>พังงา</x:v>
      </x:c>
      <x:c r="D553" s="20" t="str">
        <x:v>สวนสาธารณะหรือแหล่งธรรมชาติ</x:v>
      </x:c>
      <x:c r="E553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53" s="20" t="str">
        <x:v>ยังไม่พบข้อมูล</x:v>
      </x:c>
      <x:c r="G553" s="20" t="str">
        <x:v>ยังไม่พบเอกสารรับรองและวันหมดอายุ</x:v>
      </x:c>
      <x:c r="H553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53" s="20" t="str">
        <x:v>80 หมู่ 1 ถนนบ้านท่าด่าน ตำบลเกาะปันหยี อำเภอเมืองพังงา จังหวัดพังงา 82000</x:v>
      </x:c>
      <x:c r="J553" s="21" t="str">
        <x:v>076 481 188</x:v>
      </x:c>
      <x:c r="K553" s="23" t="e">
        <x:f>HYPERLINK("https://www.thic.or.th/th/tourist/detail/tourist/49","เปิดแหล่งข้อมูล 1")</x:f>
        <x:v>HYPERLINK is not implemented. linkLocation=https://www.thic.or.th/th/tourist/detail/tourist/49, friendlyName=เปิดแหล่งข้อมูล 1</x:v>
      </x:c>
      <x:c r="L553" s="23" t="e">
        <x:f>HYPERLINK("https://wanderlog.com/th/place/details/473068/%E0%B8%AD%E0%B8%97%E0%B8%A2%E0%B8%B2%E0%B8%99%E0%B9%81%E0%B8%AB%E0%B8%87%E0%B8%8A%E0%B8%B2%E0%B8%95%E0%B8%AD%E0%B8%B2%E0%B8%A7%E0%B8%9E%E0%B8%87%E0%B8%87%E0%B8%B2","เปิดแหล่งข้อมูล 2")</x:f>
        <x:v>HYPERLINK is not implemented. linkLocation=https://wanderlog.com/th/place/details/473068/%E0%B8%AD%E0%B8%97%E0%B8%A2%E0%B8%B2%E0%B8%99%E0%B9%81%E0%B8%AB%E0%B8%87%E0%B8%8A%E0%B8%B2%E0%B8%95%E0%B8%AD%E0%B8%B2%E0%B8%A7%E0%B8%9E%E0%B8%87%E0%B8%87%E0%B8%B2, friendlyName=เปิดแหล่งข้อมูล 2</x:v>
      </x:c>
      <x:c r="M553" s="20" t="str">
        <x:v>ผลค้นหาชื่อสัมพันธ์จากแหล่งเพิ่มเติม ต้องยืนยันสาขาและข้อมูลปัจจุบัน</x:v>
      </x:c>
      <x:c r="N553" s="10" t="n">
        <x:v>46315</x:v>
      </x:c>
      <x:c r="O553" s="22" t="str">
        <x:v>ยังไม่ตรวจ</x:v>
      </x:c>
      <x:c r="P553" s="22" t="str">
        <x:v>ยังไม่ติดต่อ</x:v>
      </x:c>
    </x:row>
    <x:row r="554" ht="66" customHeight="1">
      <x:c r="A554" s="9" t="n">
        <x:v>546</x:v>
      </x:c>
      <x:c r="B554" s="20" t="str">
        <x:v>บ้านบางโรง</x:v>
      </x:c>
      <x:c r="C554" s="20" t="str">
        <x:v>ภูเก็ต</x:v>
      </x:c>
      <x:c r="D554" s="20" t="str">
        <x:v>ชุมชนท่องเที่ยว</x:v>
      </x:c>
      <x:c r="E554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54" s="20" t="str">
        <x:v>ยังไม่พบข้อมูล</x:v>
      </x:c>
      <x:c r="G554" s="20" t="str">
        <x:v>ยังไม่พบเอกสารรับรองและวันหมดอายุ</x:v>
      </x:c>
      <x:c r="H55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54" s="20" t="str">
        <x:v>90/17 หมู่ 3 ตำบลป่าคลอก อำเภอถลาง จังหวัดภูเก็ต 83110</x:v>
      </x:c>
      <x:c r="J554" s="21" t="str">
        <x:v>084 309 9131</x:v>
      </x:c>
      <x:c r="K554" s="23" t="e">
        <x:f>HYPERLINK("https://www.thic.or.th/th/tourist/detail/tourist/15","เปิดแหล่งข้อมูล 1")</x:f>
        <x:v>HYPERLINK is not implemented. linkLocation=https://www.thic.or.th/th/tourist/detail/tourist/15, friendlyName=เปิดแหล่งข้อมูล 1</x:v>
      </x:c>
      <x:c r="L554" s="23" t="e">
        <x:f>HYPERLINK("https://www.wongnai.com/restaurants/245848TE-%E0%B8%84%E0%B8%A3%E0%B8%B1%E0%B8%A7%E0%B8%8A%E0%B8%B8%E0%B8%A1%E0%B8%8A%E0%B8%99%E0%B8%9A%E0%B9%89%E0%B8%B2%E0%B8%99%E0%B8%9A%E0%B8%B2%E0%B8%87%E0%B9%82%E0%B8%A3%E0%B8%87","เปิดแหล่งข้อมูล 2")</x:f>
        <x:v>HYPERLINK is not implemented. linkLocation=https://www.wongnai.com/restaurants/245848TE-%E0%B8%84%E0%B8%A3%E0%B8%B1%E0%B8%A7%E0%B8%8A%E0%B8%B8%E0%B8%A1%E0%B8%8A%E0%B8%99%E0%B8%9A%E0%B9%89%E0%B8%B2%E0%B8%99%E0%B8%9A%E0%B8%B2%E0%B8%87%E0%B9%82%E0%B8%A3%E0%B8%87, friendlyName=เปิดแหล่งข้อมูล 2</x:v>
      </x:c>
      <x:c r="M554" s="20" t="str">
        <x:v>ผลค้นหาชื่อสัมพันธ์จากแหล่งเพิ่มเติม ต้องยืนยันสาขาและข้อมูลปัจจุบัน</x:v>
      </x:c>
      <x:c r="N554" s="10" t="n">
        <x:v>46315</x:v>
      </x:c>
      <x:c r="O554" s="22" t="str">
        <x:v>ยังไม่ตรวจ</x:v>
      </x:c>
      <x:c r="P554" s="22" t="str">
        <x:v>ยังไม่ติดต่อ</x:v>
      </x:c>
    </x:row>
    <x:row r="555" ht="66" customHeight="1">
      <x:c r="A555" s="9" t="n">
        <x:v>547</x:v>
      </x:c>
      <x:c r="B555" s="20" t="str">
        <x:v>Billion food Thai-Indian Restaurant  2</x:v>
      </x:c>
      <x:c r="C555" s="20" t="str">
        <x:v>ภูเก็ต</x:v>
      </x:c>
      <x:c r="D555" s="20" t="str">
        <x:v>ร้านอาหาร</x:v>
      </x:c>
      <x:c r="E555" s="20" t="str">
        <x:v>มีรายชื่อใน Makan Halal Guide; ช่องห้องละหมาดไม่ได้ทำเครื่องหมายว่ามี</x:v>
      </x:c>
      <x:c r="F555" s="20" t="str">
        <x:v>ไม่ได้ทำเครื่องหมายว่ามี / ต้องยืนยัน</x:v>
      </x:c>
      <x:c r="G555" s="20" t="str">
        <x:v>ยังไม่พบเอกสารรับรองและวันหมดอายุ</x:v>
      </x:c>
      <x:c r="H55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55" s="20" t="str">
        <x:v>74 28 ซอยบางเทา 12 ตำบลเชิงทะเล อำเภอถลาง จังหวัดภูเก็ต 83110</x:v>
      </x:c>
      <x:c r="J555" s="21" t="str">
        <x:v>0952736045</x:v>
      </x:c>
      <x:c r="K555" s="23" t="e">
        <x:f>HYPERLINK("https://makanhalalguide.com/shop/detail/5136","เปิดแหล่งข้อมูล 1")</x:f>
        <x:v>HYPERLINK is not implemented. linkLocation=https://makanhalalguide.com/shop/detail/5136, friendlyName=เปิดแหล่งข้อมูล 1</x:v>
      </x:c>
      <x:c r="L555" s="23" t="str"/>
      <x:c r="M555" s="20" t="str"/>
      <x:c r="N555" s="10" t="n">
        <x:v>46315</x:v>
      </x:c>
      <x:c r="O555" s="22" t="str">
        <x:v>ยังไม่ตรวจ</x:v>
      </x:c>
      <x:c r="P555" s="22" t="str">
        <x:v>ยังไม่ติดต่อ</x:v>
      </x:c>
    </x:row>
    <x:row r="556" ht="66" customHeight="1">
      <x:c r="A556" s="9" t="n">
        <x:v>548</x:v>
      </x:c>
      <x:c r="B556" s="20" t="str">
        <x:v>SairaBakery ไซร่าเบเกอรี่ฮาลาล เค้กภูเก็ต</x:v>
      </x:c>
      <x:c r="C556" s="20" t="str">
        <x:v>ภูเก็ต</x:v>
      </x:c>
      <x:c r="D556" s="20" t="str">
        <x:v>คาเฟ่และร้านของหวาน</x:v>
      </x:c>
      <x:c r="E556" s="20" t="str">
        <x:v>มีรายชื่อใน Makan Halal Guide; ช่องห้องละหมาดไม่ได้ทำเครื่องหมายว่ามี</x:v>
      </x:c>
      <x:c r="F556" s="20" t="str">
        <x:v>ไม่ได้ทำเครื่องหมายว่ามี / ต้องยืนยัน</x:v>
      </x:c>
      <x:c r="G556" s="20" t="str">
        <x:v>ยังไม่พบเอกสารรับรองและวันหมดอายุ</x:v>
      </x:c>
      <x:c r="H55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56" s="20" t="str">
        <x:v>129/6 83110 ซอย วัดพระทอง ตำบล เทพกระษัตรี อำเภอถลาง ภูเก็ต 83110</x:v>
      </x:c>
      <x:c r="J556" s="21" t="str">
        <x:v>0954264956</x:v>
      </x:c>
      <x:c r="K556" s="23" t="e">
        <x:f>HYPERLINK("https://makanhalalguide.com/shop/detail/5761","เปิดแหล่งข้อมูล 1")</x:f>
        <x:v>HYPERLINK is not implemented. linkLocation=https://makanhalalguide.com/shop/detail/5761, friendlyName=เปิดแหล่งข้อมูล 1</x:v>
      </x:c>
      <x:c r="L556" s="23" t="e">
        <x:f>HYPERLINK("https://www.thaithurkic.com/saira-bakery-%E0%B9%84%E0%B8%8B%E0%B8%A3%E0%B9%88%E0%B8%B2%E0%B9%80%E0%B8%9A%E0%B9%80%E0%B8%81%E0%B8%AD%E0%B8%A3%E0%B8%B5%E0%B9%88-%E0%B8%AE%E0%B8%B2%E0%B8%A5%E0%B8%B2%E0%B8%A5-%E0%B8%A0%E0%B8%B9%E0%B9%80%E0%B8%81%E0%B9%87%E0%B8%95-095-426-4956","เปิดแหล่งข้อมูล 2")</x:f>
        <x:v>HYPERLINK is not implemented. linkLocation=https://www.thaithurkic.com/saira-bakery-%E0%B9%84%E0%B8%8B%E0%B8%A3%E0%B9%88%E0%B8%B2%E0%B9%80%E0%B8%9A%E0%B9%80%E0%B8%81%E0%B8%AD%E0%B8%A3%E0%B8%B5%E0%B9%88-%E0%B8%AE%E0%B8%B2%E0%B8%A5%E0%B8%B2%E0%B8%A5-%E0%B8%A0%E0%B8%B9%E0%B9%80%E0%B8%81%E0%B9%87%E0%B8%95-095-426-4956, friendlyName=เปิดแหล่งข้อมูล 2</x:v>
      </x:c>
      <x:c r="M556" s="20" t="str">
        <x:v>ผลค้นหาชื่อสัมพันธ์จากแหล่งเพิ่มเติม ต้องยืนยันสาขาและข้อมูลปัจจุบัน</x:v>
      </x:c>
      <x:c r="N556" s="10" t="n">
        <x:v>46315</x:v>
      </x:c>
      <x:c r="O556" s="22" t="str">
        <x:v>ยังไม่ตรวจ</x:v>
      </x:c>
      <x:c r="P556" s="22" t="str">
        <x:v>ยังไม่ติดต่อ</x:v>
      </x:c>
    </x:row>
    <x:row r="557" ht="66" customHeight="1">
      <x:c r="A557" s="9" t="n">
        <x:v>549</x:v>
      </x:c>
      <x:c r="B557" s="20" t="str">
        <x:v>ระฟ้าภูเก็ต ติ่มซำฮาลาล สาขา 2</x:v>
      </x:c>
      <x:c r="C557" s="20" t="str">
        <x:v>ภูเก็ต</x:v>
      </x:c>
      <x:c r="D557" s="20" t="str">
        <x:v>ร้านอาหาร</x:v>
      </x:c>
      <x:c r="E557" s="20" t="str">
        <x:v>มีรายชื่อใน Makan Halal Guide; ช่องห้องละหมาดไม่ได้ทำเครื่องหมายว่ามี</x:v>
      </x:c>
      <x:c r="F557" s="20" t="str">
        <x:v>ไม่ได้ทำเครื่องหมายว่ามี / ต้องยืนยัน</x:v>
      </x:c>
      <x:c r="G557" s="20" t="str">
        <x:v>ยังไม่พบเอกสารรับรองและวันหมดอายุ</x:v>
      </x:c>
      <x:c r="H55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57" s="20" t="str">
        <x:v>104/2หมู่4 ตำบลวิชิต อำเภอเมือง จังหวัดภูเก็ต 83000</x:v>
      </x:c>
      <x:c r="J557" s="21" t="str">
        <x:v>0878926688</x:v>
      </x:c>
      <x:c r="K557" s="23" t="e">
        <x:f>HYPERLINK("https://makanhalalguide.com/shop/detail/5141","เปิดแหล่งข้อมูล 1")</x:f>
        <x:v>HYPERLINK is not implemented. linkLocation=https://makanhalalguide.com/shop/detail/5141, friendlyName=เปิดแหล่งข้อมูล 1</x:v>
      </x:c>
      <x:c r="L557" s="23" t="e">
        <x:f>HYPERLINK("https://www.wongnai.com/restaurants/447277fd-%E0%B8%A3%E0%B8%B0%E0%B8%9F%E0%B9%89%E0%B8%B2%E0%B8%A0%E0%B8%B9%E0%B9%80%E0%B8%81%E0%B9%87%E0%B8%95-%E0%B8%A3%E0%B8%B0%E0%B8%9F%E0%B9%89%E0%B8%B2%E0%B8%A0%E0%B8%B9%E0%B9%80%E0%B8%81%E0%B9%87%E0%B8%95-%E0%B8%AA%E0%B8%B2%E0%B8%82%E0%B8%B22","เปิดแหล่งข้อมูล 2")</x:f>
        <x:v>HYPERLINK is not implemented. linkLocation=https://www.wongnai.com/restaurants/447277fd-%E0%B8%A3%E0%B8%B0%E0%B8%9F%E0%B9%89%E0%B8%B2%E0%B8%A0%E0%B8%B9%E0%B9%80%E0%B8%81%E0%B9%87%E0%B8%95-%E0%B8%A3%E0%B8%B0%E0%B8%9F%E0%B9%89%E0%B8%B2%E0%B8%A0%E0%B8%B9%E0%B9%80%E0%B8%81%E0%B9%87%E0%B8%95-%E0%B8%AA%E0%B8%B2%E0%B8%82%E0%B8%B22, friendlyName=เปิดแหล่งข้อมูล 2</x:v>
      </x:c>
      <x:c r="M557" s="20" t="str">
        <x:v>ผลค้นหาชื่อสัมพันธ์จากแหล่งเพิ่มเติม ต้องยืนยันสาขาและข้อมูลปัจจุบัน</x:v>
      </x:c>
      <x:c r="N557" s="10" t="n">
        <x:v>46315</x:v>
      </x:c>
      <x:c r="O557" s="22" t="str">
        <x:v>ยังไม่ตรวจ</x:v>
      </x:c>
      <x:c r="P557" s="22" t="str">
        <x:v>ยังไม่ติดต่อ</x:v>
      </x:c>
    </x:row>
    <x:row r="558" ht="66" customHeight="1">
      <x:c r="A558" s="9" t="n">
        <x:v>550</x:v>
      </x:c>
      <x:c r="B558" s="20" t="str">
        <x:v>ร้านข้าวแกงฮาริษา Harisa's Curries Rice Factory</x:v>
      </x:c>
      <x:c r="C558" s="20" t="str">
        <x:v>ภูเก็ต</x:v>
      </x:c>
      <x:c r="D558" s="20" t="str">
        <x:v>ร้านอาหาร</x:v>
      </x:c>
      <x:c r="E558" s="20" t="str">
        <x:v>มีรายชื่อใน Makan Halal Guide; ช่องห้องละหมาดไม่ได้ทำเครื่องหมายว่ามี</x:v>
      </x:c>
      <x:c r="F558" s="20" t="str">
        <x:v>ไม่ได้ทำเครื่องหมายว่ามี / ต้องยืนยัน</x:v>
      </x:c>
      <x:c r="G558" s="20" t="str">
        <x:v>ยังไม่พบเอกสารรับรองและวันหมดอายุ</x:v>
      </x:c>
      <x:c r="H55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58" s="20" t="str">
        <x:v>182 ถนนพระบารมี ตำบลป่าตอง อำเภอกะทู้ จังหวัดภูเก็ต 83150</x:v>
      </x:c>
      <x:c r="J558" s="21" t="str">
        <x:v>0655130591</x:v>
      </x:c>
      <x:c r="K558" s="23" t="e">
        <x:f>HYPERLINK("https://makanhalalguide.com/shop/detail/5173","เปิดแหล่งข้อมูล 1")</x:f>
        <x:v>HYPERLINK is not implemented. linkLocation=https://makanhalalguide.com/shop/detail/5173, friendlyName=เปิดแหล่งข้อมูล 1</x:v>
      </x:c>
      <x:c r="L558" s="23" t="str"/>
      <x:c r="M558" s="20" t="str"/>
      <x:c r="N558" s="10" t="n">
        <x:v>46315</x:v>
      </x:c>
      <x:c r="O558" s="22" t="str">
        <x:v>ยังไม่ตรวจ</x:v>
      </x:c>
      <x:c r="P558" s="22" t="str">
        <x:v>ยังไม่ติดต่อ</x:v>
      </x:c>
    </x:row>
    <x:row r="559" ht="66" customHeight="1">
      <x:c r="A559" s="9" t="n">
        <x:v>551</x:v>
      </x:c>
      <x:c r="B559" s="20" t="str">
        <x:v>อรุณโภชนา</x:v>
      </x:c>
      <x:c r="C559" s="20" t="str">
        <x:v>ภูเก็ต</x:v>
      </x:c>
      <x:c r="D559" s="20" t="str">
        <x:v>ร้านอาหาร</x:v>
      </x:c>
      <x:c r="E559" s="20" t="str">
        <x:v>มีรายชื่อใน Makan Halal Guide; ช่องห้องละหมาดไม่ได้ทำเครื่องหมายว่ามี</x:v>
      </x:c>
      <x:c r="F559" s="20" t="str">
        <x:v>ไม่ได้ทำเครื่องหมายว่ามี / ต้องยืนยัน</x:v>
      </x:c>
      <x:c r="G559" s="20" t="str">
        <x:v>ยังไม่พบเอกสารรับรองและวันหมดอายุ</x:v>
      </x:c>
      <x:c r="H55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59" s="20" t="str">
        <x:v>ย่านเมืองเก่าชิโนโปรตุกีส ถ.ถลาง เมืองภูเก็ต</x:v>
      </x:c>
      <x:c r="J559" s="21" t="str">
        <x:v>0980166562</x:v>
      </x:c>
      <x:c r="K559" s="23" t="e">
        <x:f>HYPERLINK("https://makanhalalguide.com/shop/detail/5174","เปิดแหล่งข้อมูล 1")</x:f>
        <x:v>HYPERLINK is not implemented. linkLocation=https://makanhalalguide.com/shop/detail/5174, friendlyName=เปิดแหล่งข้อมูล 1</x:v>
      </x:c>
      <x:c r="L559" s="23" t="e">
        <x:f>HYPERLINK("https://www.wongnai.com/restaurants/12938Dc-%E0%B8%AD%E0%B8%A3%E0%B8%B8%E0%B8%93%E0%B9%82%E0%B8%A0%E0%B8%8A%E0%B8%99%E0%B8%B2-%E0%B8%AE%E0%B8%B2%E0%B8%A5%E0%B8%B2%E0%B8%A5%E0%B8%9F%E0%B8%B9%E0%B9%89%E0%B8%94-%E0%B8%AD%E0%B8%A3%E0%B8%B8%E0%B8%93%E0%B9%82%E0%B8%A0%E0%B8%8A%E0%B8%99%E0%B8%B2-%E0%B8%AE%E0%B8%B2%E0%B8%A5%E0%B8%B2%E0%B8%A5%E0%B8%9F%E0%B8%B9%E0%B9%89%E0%B8%94/reviews","เปิดแหล่งข้อมูล 2")</x:f>
        <x:v>HYPERLINK is not implemented. linkLocation=https://www.wongnai.com/restaurants/12938Dc-%E0%B8%AD%E0%B8%A3%E0%B8%B8%E0%B8%93%E0%B9%82%E0%B8%A0%E0%B8%8A%E0%B8%99%E0%B8%B2-%E0%B8%AE%E0%B8%B2%E0%B8%A5%E0%B8%B2%E0%B8%A5%E0%B8%9F%E0%B8%B9%E0%B9%89%E0%B8%94-%E0%B8%AD%E0%B8%A3%E0%B8%B8%E0%B8%93%E0%B9%82%E0%B8%A0%E0%B8%8A%E0%B8%99%E0%B8%B2-%E0%B8%AE%E0%B8%B2%E0%B8%A5%E0%B8%B2%E0%B8%A5%E0%B8%9F%E0%B8%B9%E0%B9%89%E0%B8%94/reviews, friendlyName=เปิดแหล่งข้อมูล 2</x:v>
      </x:c>
      <x:c r="M559" s="20" t="str">
        <x:v>ผลค้นหาชื่อสัมพันธ์จากแหล่งเพิ่มเติม ต้องยืนยันสาขาและข้อมูลปัจจุบัน</x:v>
      </x:c>
      <x:c r="N559" s="10" t="n">
        <x:v>46315</x:v>
      </x:c>
      <x:c r="O559" s="22" t="str">
        <x:v>ยังไม่ตรวจ</x:v>
      </x:c>
      <x:c r="P559" s="22" t="str">
        <x:v>ยังไม่ติดต่อ</x:v>
      </x:c>
    </x:row>
    <x:row r="560" ht="66" customHeight="1">
      <x:c r="A560" s="9" t="n">
        <x:v>552</x:v>
      </x:c>
      <x:c r="B560" s="20" t="str">
        <x:v>โอเอซิสสปา ทรอปิคอลรีทรีต ลากูน่า</x:v>
      </x:c>
      <x:c r="C560" s="20" t="str">
        <x:v>ภูเก็ต</x:v>
      </x:c>
      <x:c r="D560" s="20" t="str">
        <x:v>สปา</x:v>
      </x:c>
      <x:c r="E560" s="20" t="str">
        <x:v>ผู้ประกอบการระบุสาขาภูเก็ต ต้องตรวจผลิตภัณฑ์ การแยกเพศ และสิ่งอำนวยความสะดวกมุสลิม</x:v>
      </x:c>
      <x:c r="F560" s="20" t="str">
        <x:v>ยังไม่พบข้อมูล</x:v>
      </x:c>
      <x:c r="G560" s="20" t="str">
        <x:v>ยังไม่พบเอกสารรับรองและวันหมดอายุ</x:v>
      </x:c>
      <x:c r="H560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560" s="20" t="str">
        <x:v>ดูรายละเอียดในแหล่งอ้างอิง</x:v>
      </x:c>
      <x:c r="J560" s="21" t="str">
        <x:v>ยังไม่พบข้อมูล</x:v>
      </x:c>
      <x:c r="K560" s="23" t="e">
        <x:f>HYPERLINK("https://oasisspa.net/en/destination/","เปิดแหล่งข้อมูล 1")</x:f>
        <x:v>HYPERLINK is not implemented. linkLocation=https://oasisspa.net/en/destination/, friendlyName=เปิดแหล่งข้อมูล 1</x:v>
      </x:c>
      <x:c r="L560" s="23" t="str"/>
      <x:c r="M560" s="20" t="str"/>
      <x:c r="N560" s="10" t="n">
        <x:v>46315</x:v>
      </x:c>
      <x:c r="O560" s="22" t="str">
        <x:v>ยังไม่ตรวจ</x:v>
      </x:c>
      <x:c r="P560" s="22" t="str">
        <x:v>ยังไม่ติดต่อ</x:v>
      </x:c>
    </x:row>
    <x:row r="561" ht="66" customHeight="1">
      <x:c r="A561" s="9" t="n">
        <x:v>553</x:v>
      </x:c>
      <x:c r="B561" s="20" t="str">
        <x:v>โอเอซิสสปา สกายบรีซ กะตะ</x:v>
      </x:c>
      <x:c r="C561" s="20" t="str">
        <x:v>ภูเก็ต</x:v>
      </x:c>
      <x:c r="D561" s="20" t="str">
        <x:v>สปา</x:v>
      </x:c>
      <x:c r="E561" s="20" t="str">
        <x:v>ผู้ประกอบการระบุสาขากะตะ ยังต้องตรวจการแยกเพศ ผลิตภัณฑ์ และศาสนกิจ</x:v>
      </x:c>
      <x:c r="F561" s="20" t="str">
        <x:v>ยังไม่พบข้อมูล</x:v>
      </x:c>
      <x:c r="G561" s="20" t="str">
        <x:v>ยังไม่พบเอกสารรับรองและวันหมดอายุ</x:v>
      </x:c>
      <x:c r="H561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561" s="20" t="str">
        <x:v>ดูรายละเอียดในแหล่งอ้างอิง</x:v>
      </x:c>
      <x:c r="J561" s="21" t="str">
        <x:v>ยังไม่พบข้อมูล</x:v>
      </x:c>
      <x:c r="K561" s="23" t="e">
        <x:f>HYPERLINK("https://oasisspa.net/en/destination/","เปิดแหล่งข้อมูล 1")</x:f>
        <x:v>HYPERLINK is not implemented. linkLocation=https://oasisspa.net/en/destination/, friendlyName=เปิดแหล่งข้อมูล 1</x:v>
      </x:c>
      <x:c r="L561" s="23" t="str"/>
      <x:c r="M561" s="20" t="str"/>
      <x:c r="N561" s="10" t="n">
        <x:v>46315</x:v>
      </x:c>
      <x:c r="O561" s="22" t="str">
        <x:v>ยังไม่ตรวจ</x:v>
      </x:c>
      <x:c r="P561" s="22" t="str">
        <x:v>ยังไม่ติดต่อ</x:v>
      </x:c>
    </x:row>
    <x:row r="562" ht="66" customHeight="1">
      <x:c r="A562" s="9" t="n">
        <x:v>554</x:v>
      </x:c>
      <x:c r="B562" s="20" t="str">
        <x:v>โอเอซิสสปา เทอร์ควอยซ์โคฟ กมลา</x:v>
      </x:c>
      <x:c r="C562" s="20" t="str">
        <x:v>ภูเก็ต</x:v>
      </x:c>
      <x:c r="D562" s="20" t="str">
        <x:v>สปา</x:v>
      </x:c>
      <x:c r="E562" s="20" t="str">
        <x:v>ผู้ประกอบการระบุสาขากมลา ต้องตรวจการรองรับนักท่องเที่ยวมุสลิมเฉพาะสาขา</x:v>
      </x:c>
      <x:c r="F562" s="20" t="str">
        <x:v>ยังไม่พบข้อมูล</x:v>
      </x:c>
      <x:c r="G562" s="20" t="str">
        <x:v>ยังไม่พบเอกสารรับรองและวันหมดอายุ</x:v>
      </x:c>
      <x:c r="H562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562" s="20" t="str">
        <x:v>ดูรายละเอียดในแหล่งอ้างอิง</x:v>
      </x:c>
      <x:c r="J562" s="21" t="str">
        <x:v>ยังไม่พบข้อมูล</x:v>
      </x:c>
      <x:c r="K562" s="23" t="e">
        <x:f>HYPERLINK("https://oasisspa.net/en/destination/phuket/Turquoise_Cove_Spa/","เปิดแหล่งข้อมูล 1")</x:f>
        <x:v>HYPERLINK is not implemented. linkLocation=https://oasisspa.net/en/destination/phuket/Turquoise_Cove_Spa/, friendlyName=เปิดแหล่งข้อมูล 1</x:v>
      </x:c>
      <x:c r="L562" s="23" t="str"/>
      <x:c r="M562" s="20" t="str"/>
      <x:c r="N562" s="10" t="n">
        <x:v>46315</x:v>
      </x:c>
      <x:c r="O562" s="22" t="str">
        <x:v>ยังไม่ตรวจ</x:v>
      </x:c>
      <x:c r="P562" s="22" t="str">
        <x:v>ยังไม่ติดต่อ</x:v>
      </x:c>
    </x:row>
    <x:row r="563" ht="66" customHeight="1">
      <x:c r="A563" s="9" t="n">
        <x:v>555</x:v>
      </x:c>
      <x:c r="B563" s="20" t="str">
        <x:v>แหลมพรหมเทพ</x:v>
      </x:c>
      <x:c r="C563" s="20" t="str">
        <x:v>ภูเก็ต</x:v>
      </x:c>
      <x:c r="D563" s="20" t="str">
        <x:v>สวนสาธารณะหรือแหล่งธรรมชาติ</x:v>
      </x:c>
      <x:c r="E563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63" s="20" t="str">
        <x:v>ยังไม่พบข้อมูล</x:v>
      </x:c>
      <x:c r="G563" s="20" t="str">
        <x:v>ยังไม่พบเอกสารรับรองและวันหมดอายุ</x:v>
      </x:c>
      <x:c r="H563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63" s="20" t="str">
        <x:v>แหลมพรหมเทพ ตำบลราไวย์ อำเภอเมืองภูเก็ต จังหวัดภูเก็ต 83130</x:v>
      </x:c>
      <x:c r="J563" s="21" t="str">
        <x:v>ยังไม่พบข้อมูล</x:v>
      </x:c>
      <x:c r="K563" s="23" t="e">
        <x:f>HYPERLINK("https://www.thic.or.th/th/tourist/detail/tourist/17","เปิดแหล่งข้อมูล 1")</x:f>
        <x:v>HYPERLINK is not implemented. linkLocation=https://www.thic.or.th/th/tourist/detail/tourist/17, friendlyName=เปิดแหล่งข้อมูล 1</x:v>
      </x:c>
      <x:c r="L563" s="23" t="e">
        <x:f>HYPERLINK("https://www.wongnai.com/attractions/330013Oa-%E0%B9%81%E0%B8%AB%E0%B8%A5%E0%B8%A1%E0%B8%9E%E0%B8%A3%E0%B8%AB%E0%B8%A1%E0%B9%80%E0%B8%97%E0%B8%9E?_st=cD05O2I9MzMwMDEzO2FkPWZhbHNlO3Q9MTc5MDEyOTU4NTUyMDtyaT0xWDdiZGZUSGtMdkkzcFpQZk9hV3ZKTjVxRlo2OUw7aT0xWDcxNnpFc0VJblRXMkoxZ1oyekRFcDdOandFbjI7d3JlZj1zcjs%3D","เปิดแหล่งข้อมูล 2")</x:f>
        <x:v>HYPERLINK is not implemented. linkLocation=https://www.wongnai.com/attractions/330013Oa-%E0%B9%81%E0%B8%AB%E0%B8%A5%E0%B8%A1%E0%B8%9E%E0%B8%A3%E0%B8%AB%E0%B8%A1%E0%B9%80%E0%B8%97%E0%B8%9E?_st=cD05O2I9MzMwMDEzO2FkPWZhbHNlO3Q9MTc5MDEyOTU4NTUyMDtyaT0xWDdiZGZUSGtMdkkzcFpQZk9hV3ZKTjVxRlo2OUw7aT0xWDcxNnpFc0VJblRXMkoxZ1oyekRFcDdOandFbjI7d3JlZj1zcjs%3D, friendlyName=เปิดแหล่งข้อมูล 2</x:v>
      </x:c>
      <x:c r="M563" s="20" t="str">
        <x:v>ผลค้นหาชื่อสัมพันธ์จากแหล่งเพิ่มเติม ต้องยืนยันสาขาและข้อมูลปัจจุบัน</x:v>
      </x:c>
      <x:c r="N563" s="10" t="n">
        <x:v>46315</x:v>
      </x:c>
      <x:c r="O563" s="22" t="str">
        <x:v>ยังไม่ตรวจ</x:v>
      </x:c>
      <x:c r="P563" s="22" t="str">
        <x:v>ยังไม่ติดต่อ</x:v>
      </x:c>
    </x:row>
    <x:row r="564" ht="66" customHeight="1">
      <x:c r="A564" s="9" t="n">
        <x:v>556</x:v>
      </x:c>
      <x:c r="B564" s="20" t="str">
        <x:v>ย่านเมืองเก่าภูเก็ต</x:v>
      </x:c>
      <x:c r="C564" s="20" t="str">
        <x:v>ภูเก็ต</x:v>
      </x:c>
      <x:c r="D564" s="20" t="str">
        <x:v>พิพิธภัณฑ์หรือย่านวัฒนธรรม</x:v>
      </x:c>
      <x:c r="E564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64" s="20" t="str">
        <x:v>ยังไม่พบข้อมูล</x:v>
      </x:c>
      <x:c r="G564" s="20" t="str">
        <x:v>ยังไม่พบเอกสารรับรองและวันหมดอายุ</x:v>
      </x:c>
      <x:c r="H564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64" s="20" t="str">
        <x:v>บริเวณถนนถลาง ถนนดีบุก ถนนพังงา ถนนเยาวราช ถนนกระบี่ และซอยรมณีย์ ตำบลตลาดใหญ่ อำเภอเมืองภูเก็ต จังหวัดภูเก็ต 83000</x:v>
      </x:c>
      <x:c r="J564" s="21" t="str">
        <x:v>ยังไม่พบข้อมูล</x:v>
      </x:c>
      <x:c r="K564" s="23" t="e">
        <x:f>HYPERLINK("https://www.thic.or.th/th/tourist/detail/tourist/20","เปิดแหล่งข้อมูล 1")</x:f>
        <x:v>HYPERLINK is not implemented. linkLocation=https://www.thic.or.th/th/tourist/detail/tourist/20, friendlyName=เปิดแหล่งข้อมูล 1</x:v>
      </x:c>
      <x:c r="L564" s="23" t="e">
        <x:f>HYPERLINK("https://www.wongnai.com/reviews/e0791313c5ef46cfaf8853c8ac959e14","เปิดแหล่งข้อมูล 2")</x:f>
        <x:v>HYPERLINK is not implemented. linkLocation=https://www.wongnai.com/reviews/e0791313c5ef46cfaf8853c8ac959e14, friendlyName=เปิดแหล่งข้อมูล 2</x:v>
      </x:c>
      <x:c r="M564" s="20" t="str">
        <x:v>ผลค้นหาชื่อสัมพันธ์จากแหล่งเพิ่มเติม ต้องยืนยันสาขาและข้อมูลปัจจุบัน</x:v>
      </x:c>
      <x:c r="N564" s="10" t="n">
        <x:v>46315</x:v>
      </x:c>
      <x:c r="O564" s="22" t="str">
        <x:v>ยังไม่ตรวจ</x:v>
      </x:c>
      <x:c r="P564" s="22" t="str">
        <x:v>ยังไม่ติดต่อ</x:v>
      </x:c>
    </x:row>
    <x:row r="565" ht="66" customHeight="1">
      <x:c r="A565" s="9" t="n">
        <x:v>557</x:v>
      </x:c>
      <x:c r="B565" s="20" t="str">
        <x:v>ไก่หมุนหมักน้ำผึ้ง</x:v>
      </x:c>
      <x:c r="C565" s="20" t="str">
        <x:v>ระนอง</x:v>
      </x:c>
      <x:c r="D565" s="20" t="str">
        <x:v>ร้านอาหาร</x:v>
      </x:c>
      <x:c r="E565" s="20" t="str">
        <x:v>มีรายชื่อใน Makan Halal Guide; ช่องห้องละหมาดไม่ได้ทำเครื่องหมายว่ามี</x:v>
      </x:c>
      <x:c r="F565" s="20" t="str">
        <x:v>ไม่ได้ทำเครื่องหมายว่ามี / ต้องยืนยัน</x:v>
      </x:c>
      <x:c r="G565" s="20" t="str">
        <x:v>ยังไม่พบเอกสารรับรองและวันหมดอายุ</x:v>
      </x:c>
      <x:c r="H56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65" s="20" t="str">
        <x:v>ทางหลวงหมายเลข 4 ถนนเพชรเกษม หมู่5 ต ตำบล กำพวน อำเภอ สุขสำราญ ระนอง 85120</x:v>
      </x:c>
      <x:c r="J565" s="21" t="str">
        <x:v>0650494054</x:v>
      </x:c>
      <x:c r="K565" s="23" t="e">
        <x:f>HYPERLINK("https://makanhalalguide.com/shop/detail/5643","เปิดแหล่งข้อมูล 1")</x:f>
        <x:v>HYPERLINK is not implemented. linkLocation=https://makanhalalguide.com/shop/detail/5643, friendlyName=เปิดแหล่งข้อมูล 1</x:v>
      </x:c>
      <x:c r="L565" s="23" t="str"/>
      <x:c r="M565" s="20" t="str"/>
      <x:c r="N565" s="10" t="n">
        <x:v>46315</x:v>
      </x:c>
      <x:c r="O565" s="22" t="str">
        <x:v>ยังไม่ตรวจ</x:v>
      </x:c>
      <x:c r="P565" s="22" t="str">
        <x:v>ยังไม่ติดต่อ</x:v>
      </x:c>
    </x:row>
    <x:row r="566" ht="66" customHeight="1">
      <x:c r="A566" s="9" t="n">
        <x:v>558</x:v>
      </x:c>
      <x:c r="B566" s="20" t="str">
        <x:v>ไพจิตร์ก๋วยเตี๋ยวเนื้อ</x:v>
      </x:c>
      <x:c r="C566" s="20" t="str">
        <x:v>สงขลา</x:v>
      </x:c>
      <x:c r="D566" s="20" t="str">
        <x:v>ร้านอาหาร</x:v>
      </x:c>
      <x:c r="E566" s="20" t="str">
        <x:v>มีรายชื่อใน Makan Halal Guide; ช่องห้องละหมาดไม่ได้ทำเครื่องหมายว่ามี</x:v>
      </x:c>
      <x:c r="F566" s="20" t="str">
        <x:v>ไม่ได้ทำเครื่องหมายว่ามี / ต้องยืนยัน</x:v>
      </x:c>
      <x:c r="G566" s="20" t="str">
        <x:v>ยังไม่พบเอกสารรับรองและวันหมดอายุ</x:v>
      </x:c>
      <x:c r="H56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66" s="20" t="str">
        <x:v>ร้านตั้งอยู่บริเวณหน้าวัดแจ้ง เป็นร้านอาหารอิสลาม (ฮาลาล) ถนนไทรบุรี ตำบลบ่อยาง อำเภอเมืองสงขลา สงขลา 90000</x:v>
      </x:c>
      <x:c r="J566" s="21" t="str">
        <x:v>0994919393</x:v>
      </x:c>
      <x:c r="K566" s="23" t="e">
        <x:f>HYPERLINK("https://makanhalalguide.com/shop/detail/5813","เปิดแหล่งข้อมูล 1")</x:f>
        <x:v>HYPERLINK is not implemented. linkLocation=https://makanhalalguide.com/shop/detail/5813, friendlyName=เปิดแหล่งข้อมูล 1</x:v>
      </x:c>
      <x:c r="L566" s="23" t="str"/>
      <x:c r="M566" s="20" t="str"/>
      <x:c r="N566" s="10" t="n">
        <x:v>46315</x:v>
      </x:c>
      <x:c r="O566" s="22" t="str">
        <x:v>ยังไม่ตรวจ</x:v>
      </x:c>
      <x:c r="P566" s="22" t="str">
        <x:v>ยังไม่ติดต่อ</x:v>
      </x:c>
    </x:row>
    <x:row r="567" ht="66" customHeight="1">
      <x:c r="A567" s="9" t="n">
        <x:v>559</x:v>
      </x:c>
      <x:c r="B567" s="20" t="str">
        <x:v>ตลาดน้ำชุมชนวัดศรีวารีน้อย</x:v>
      </x:c>
      <x:c r="C567" s="20" t="str">
        <x:v>สมุทรปราการ</x:v>
      </x:c>
      <x:c r="D567" s="20" t="str">
        <x:v>ชุมชนท่องเที่ยว</x:v>
      </x:c>
      <x:c r="E567" s="20" t="str">
        <x:v>THIC ระบุเป็นแหล่งท่องเที่ยววิถีฮาลาล ยังต้องตรวจบริการและหลักฐานตามเกณฑ์โครงการ</x:v>
      </x:c>
      <x:c r="F567" s="20" t="str">
        <x:v>ยังไม่พบข้อมูล</x:v>
      </x:c>
      <x:c r="G567" s="20" t="str">
        <x:v>ยังไม่พบเอกสารรับรองและวันหมดอายุ</x:v>
      </x:c>
      <x:c r="H567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67" s="20" t="str">
        <x:v>90 ตำบล ศีรษะจรเข้ใหญ่ อำเภอบางเสาธง สมุทรปราการ 10570 แขวงลาดกระบัง เขตลาดกระบัง กรุงเทพมหานคร 10520</x:v>
      </x:c>
      <x:c r="J567" s="21" t="str">
        <x:v>ยังไม่พบข้อมูล</x:v>
      </x:c>
      <x:c r="K567" s="23" t="e">
        <x:f>HYPERLINK("https://www.thic.or.th/th/tourist/detail/tourist/403","เปิดแหล่งข้อมูล 1")</x:f>
        <x:v>HYPERLINK is not implemented. linkLocation=https://www.thic.or.th/th/tourist/detail/tourist/403, friendlyName=เปิดแหล่งข้อมูล 1</x:v>
      </x:c>
      <x:c r="L567" s="23" t="e">
        <x:f>HYPERLINK("https://www.wongnai.com/restaurants/1943303NE-%E0%B8%A3%E0%B8%B8%E0%B9%88%E0%B8%87%E0%B9%80%E0%B8%A3%E0%B8%B7%E0%B8%AD%E0%B8%87%E0%B8%9E%E0%B8%B2%E0%B8%93%E0%B8%B4%E0%B8%8A-%E0%B9%82%E0%B8%8A%E0%B8%AB%E0%B9%88%E0%B8%A7%E0%B8%A2-%E0%B8%95%E0%B8%A5%E0%B8%B2%E0%B8%94%E0%B8%99%E0%B9%89%E0%B8%B3%E0%B8%8A%E0%B8%B8%E0%B8%A1%E0%B8%8A%E0%B8%99%E0%B8%A7%E0%B8%B1%E0%B8%94%E0%B8%A8%E0%B8%A3%E0%B8%B5%E0%B8%A7%E0%B8%B2%E0%B8%A3%E0%B8%B5%E0%B8%99%E0%B9%89%E0%B8%AD%E0%B8%A2","เปิดแหล่งข้อมูล 2")</x:f>
        <x:v>HYPERLINK is not implemented. linkLocation=https://www.wongnai.com/restaurants/1943303NE-%E0%B8%A3%E0%B8%B8%E0%B9%88%E0%B8%87%E0%B9%80%E0%B8%A3%E0%B8%B7%E0%B8%AD%E0%B8%87%E0%B8%9E%E0%B8%B2%E0%B8%93%E0%B8%B4%E0%B8%8A-%E0%B9%82%E0%B8%8A%E0%B8%AB%E0%B9%88%E0%B8%A7%E0%B8%A2-%E0%B8%95%E0%B8%A5%E0%B8%B2%E0%B8%94%E0%B8%99%E0%B9%89%E0%B8%B3%E0%B8%8A%E0%B8%B8%E0%B8%A1%E0%B8%8A%E0%B8%99%E0%B8%A7%E0%B8%B1%E0%B8%94%E0%B8%A8%E0%B8%A3%E0%B8%B5%E0%B8%A7%E0%B8%B2%E0%B8%A3%E0%B8%B5%E0%B8%99%E0%B9%89%E0%B8%AD%E0%B8%A2, friendlyName=เปิดแหล่งข้อมูล 2</x:v>
      </x:c>
      <x:c r="M567" s="20" t="str">
        <x:v>ผลค้นหาชื่อสัมพันธ์จากแหล่งเพิ่มเติม ต้องยืนยันสาขาและข้อมูลปัจจุบัน</x:v>
      </x:c>
      <x:c r="N567" s="10" t="n">
        <x:v>46315</x:v>
      </x:c>
      <x:c r="O567" s="22" t="str">
        <x:v>ยังไม่ตรวจ</x:v>
      </x:c>
      <x:c r="P567" s="22" t="str">
        <x:v>ยังไม่ติดต่อ</x:v>
      </x:c>
    </x:row>
    <x:row r="568" ht="66" customHeight="1">
      <x:c r="A568" s="9" t="n">
        <x:v>560</x:v>
      </x:c>
      <x:c r="B568" s="20" t="str">
        <x:v>ฮกฮวดอาหารอิสลามแม่กลอง ฮาลาลฟู้ด</x:v>
      </x:c>
      <x:c r="C568" s="20" t="str">
        <x:v>สมุทรสงคราม</x:v>
      </x:c>
      <x:c r="D568" s="20" t="str">
        <x:v>ร้านอาหาร</x:v>
      </x:c>
      <x:c r="E568" s="20" t="str">
        <x:v>มีรายชื่อใน Makan Halal Guide; ช่องห้องละหมาดไม่ได้ทำเครื่องหมายว่ามี</x:v>
      </x:c>
      <x:c r="F568" s="20" t="str">
        <x:v>ไม่ได้ทำเครื่องหมายว่ามี / ต้องยืนยัน</x:v>
      </x:c>
      <x:c r="G568" s="20" t="str">
        <x:v>ยังไม่พบเอกสารรับรองและวันหมดอายุ</x:v>
      </x:c>
      <x:c r="H56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68" s="20" t="str">
        <x:v>639 ตำบลแม่กลอง อำเภอเมืองสมุทรสงคราม จังหวัดสมุทรสงคราม 75000</x:v>
      </x:c>
      <x:c r="J568" s="21" t="str">
        <x:v>0909719064</x:v>
      </x:c>
      <x:c r="K568" s="23" t="e">
        <x:f>HYPERLINK("https://makanhalalguide.com/shop/detail/5887","เปิดแหล่งข้อมูล 1")</x:f>
        <x:v>HYPERLINK is not implemented. linkLocation=https://makanhalalguide.com/shop/detail/5887, friendlyName=เปิดแหล่งข้อมูล 1</x:v>
      </x:c>
      <x:c r="L568" s="23" t="e">
        <x:f>HYPERLINK("https://www.wongnai.com/restaurants/3148489Ma-%E0%B8%AE%E0%B8%81%E0%B8%AE%E0%B8%A7%E0%B8%94%E0%B8%AD%E0%B8%B2%E0%B8%AB%E0%B8%B2%E0%B8%A3%E0%B8%AD%E0%B8%B4%E0%B8%AA%E0%B8%A5%E0%B8%B2%E0%B8%A1%E0%B9%81%E0%B8%A1%E0%B9%88%E0%B8%81%E0%B8%A5%E0%B8%AD%E0%B8%87-%E0%B8%95%E0%B8%A5%E0%B8%B2%E0%B8%94%E0%B8%A3%E0%B9%88%E0%B8%A1%E0%B8%AB%E0%B8%B8%E0%B8%9A-%E0%B8%95%E0%B8%A5%E0%B8%B2%E0%B8%94%E0%B8%A3%E0%B9%88%E0%B8%A1%E0%B8%AB%E0%B8%B8%E0%B8%9A%E0%B9%81%E0%B8%A1%E0%B9%88%E0%B8%81%E0%B8%A5%E0%B8%AD%E0%B8%87","เปิดแหล่งข้อมูล 2")</x:f>
        <x:v>HYPERLINK is not implemented. linkLocation=https://www.wongnai.com/restaurants/3148489Ma-%E0%B8%AE%E0%B8%81%E0%B8%AE%E0%B8%A7%E0%B8%94%E0%B8%AD%E0%B8%B2%E0%B8%AB%E0%B8%B2%E0%B8%A3%E0%B8%AD%E0%B8%B4%E0%B8%AA%E0%B8%A5%E0%B8%B2%E0%B8%A1%E0%B9%81%E0%B8%A1%E0%B9%88%E0%B8%81%E0%B8%A5%E0%B8%AD%E0%B8%87-%E0%B8%95%E0%B8%A5%E0%B8%B2%E0%B8%94%E0%B8%A3%E0%B9%88%E0%B8%A1%E0%B8%AB%E0%B8%B8%E0%B8%9A-%E0%B8%95%E0%B8%A5%E0%B8%B2%E0%B8%94%E0%B8%A3%E0%B9%88%E0%B8%A1%E0%B8%AB%E0%B8%B8%E0%B8%9A%E0%B9%81%E0%B8%A1%E0%B9%88%E0%B8%81%E0%B8%A5%E0%B8%AD%E0%B8%87, friendlyName=เปิดแหล่งข้อมูล 2</x:v>
      </x:c>
      <x:c r="M568" s="20" t="str">
        <x:v>ผลค้นหาชื่อสัมพันธ์จากแหล่งเพิ่มเติม ต้องยืนยันสาขาและข้อมูลปัจจุบัน</x:v>
      </x:c>
      <x:c r="N568" s="10" t="n">
        <x:v>46315</x:v>
      </x:c>
      <x:c r="O568" s="22" t="str">
        <x:v>ยังไม่ตรวจ</x:v>
      </x:c>
      <x:c r="P568" s="22" t="str">
        <x:v>ยังไม่ติดต่อ</x:v>
      </x:c>
    </x:row>
    <x:row r="569" ht="66" customHeight="1">
      <x:c r="A569" s="9" t="n">
        <x:v>561</x:v>
      </x:c>
      <x:c r="B569" s="20" t="str">
        <x:v>ไก่ทอดอารีฟหาดใหญ่</x:v>
      </x:c>
      <x:c r="C569" s="20" t="str">
        <x:v>สมุทรสาคร</x:v>
      </x:c>
      <x:c r="D569" s="20" t="str">
        <x:v>ร้านอาหาร</x:v>
      </x:c>
      <x:c r="E569" s="20" t="str">
        <x:v>มีรายชื่อใน Makan Halal Guide; ช่องห้องละหมาดไม่ได้ทำเครื่องหมายว่ามี</x:v>
      </x:c>
      <x:c r="F569" s="20" t="str">
        <x:v>ไม่ได้ทำเครื่องหมายว่ามี / ต้องยืนยัน</x:v>
      </x:c>
      <x:c r="G569" s="20" t="str">
        <x:v>ยังไม่พบเอกสารรับรองและวันหมดอายุ</x:v>
      </x:c>
      <x:c r="H569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69" s="20" t="str">
        <x:v>ในปั้มPT ถนนพระราม 2 ตำบลนาดี   อำเภอเมืองสมุทรสาคร จังหวัดสมุทรสาคร 74000</x:v>
      </x:c>
      <x:c r="J569" s="21" t="str">
        <x:v>0617314023</x:v>
      </x:c>
      <x:c r="K569" s="23" t="e">
        <x:f>HYPERLINK("https://makanhalalguide.com/shop/detail/6349","เปิดแหล่งข้อมูล 1")</x:f>
        <x:v>HYPERLINK is not implemented. linkLocation=https://makanhalalguide.com/shop/detail/6349, friendlyName=เปิดแหล่งข้อมูล 1</x:v>
      </x:c>
      <x:c r="L569" s="23" t="str"/>
      <x:c r="M569" s="20" t="str"/>
      <x:c r="N569" s="10" t="n">
        <x:v>46315</x:v>
      </x:c>
      <x:c r="O569" s="22" t="str">
        <x:v>ยังไม่ตรวจ</x:v>
      </x:c>
      <x:c r="P569" s="22" t="str">
        <x:v>ยังไม่ติดต่อ</x:v>
      </x:c>
    </x:row>
    <x:row r="570" ht="66" customHeight="1">
      <x:c r="A570" s="9" t="n">
        <x:v>562</x:v>
      </x:c>
      <x:c r="B570" s="20" t="str">
        <x:v>ชุมชนบ้านพุแค</x:v>
      </x:c>
      <x:c r="C570" s="20" t="str">
        <x:v>สระบุรี</x:v>
      </x:c>
      <x:c r="D570" s="20" t="str">
        <x:v>ชุมชนเกษตรและตลาดชุมชน</x:v>
      </x:c>
      <x:c r="E570" s="20" t="str">
        <x:v>ข้อมูลภาครัฐระบุการท่องเที่ยวชุมชนและตลาดหัวปลี ต้องพัฒนาบริการสำหรับมุสลิม</x:v>
      </x:c>
      <x:c r="F570" s="20" t="str">
        <x:v>ยังไม่พบข้อมูล</x:v>
      </x:c>
      <x:c r="G570" s="20" t="str">
        <x:v>ยังไม่พบเอกสารรับรองและวันหมดอายุ</x:v>
      </x:c>
      <x:c r="H570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70" s="20" t="str">
        <x:v>ดูรายละเอียดในแหล่งอ้างอิง</x:v>
      </x:c>
      <x:c r="J570" s="21" t="str">
        <x:v>ยังไม่พบข้อมูล</x:v>
      </x:c>
      <x:c r="K570" s="23" t="e">
        <x:f>HYPERLINK("https://www.thailand.go.th/issue-focus-detail/001_02_024?hl=en","เปิดแหล่งข้อมูล 1")</x:f>
        <x:v>HYPERLINK is not implemented. linkLocation=https://www.thailand.go.th/issue-focus-detail/001_02_024?hl=en, friendlyName=เปิดแหล่งข้อมูล 1</x:v>
      </x:c>
      <x:c r="L570" s="23" t="e">
        <x:f>HYPERLINK("https://www.hellolocal.asia/th/tour/phu-khae-huapli-market-2/","เปิดแหล่งข้อมูล 2")</x:f>
        <x:v>HYPERLINK is not implemented. linkLocation=https://www.hellolocal.asia/th/tour/phu-khae-huapli-market-2/, friendlyName=เปิดแหล่งข้อมูล 2</x:v>
      </x:c>
      <x:c r="M570" s="20" t="str">
        <x:v>ผลค้นหาชื่อสัมพันธ์จากแหล่งเพิ่มเติม ต้องยืนยันสาขาและข้อมูลปัจจุบัน</x:v>
      </x:c>
      <x:c r="N570" s="10" t="n">
        <x:v>46315</x:v>
      </x:c>
      <x:c r="O570" s="22" t="str">
        <x:v>ยังไม่ตรวจ</x:v>
      </x:c>
      <x:c r="P570" s="22" t="str">
        <x:v>ยังไม่ติดต่อ</x:v>
      </x:c>
    </x:row>
    <x:row r="571" ht="66" customHeight="1">
      <x:c r="A571" s="9" t="n">
        <x:v>563</x:v>
      </x:c>
      <x:c r="B571" s="20" t="str">
        <x:v>ชุมชนท่าชัย</x:v>
      </x:c>
      <x:c r="C571" s="20" t="str">
        <x:v>สุโขทัย</x:v>
      </x:c>
      <x:c r="D571" s="20" t="str">
        <x:v>ชุมชนวัฒนธรรมและหัตถกรรม</x:v>
      </x:c>
      <x:c r="E571" s="20" t="str">
        <x:v>ข้อมูลภาครัฐระบุเป็นชุมชนท่องเที่ยว ต้องพัฒนาครัวฮาลาลและการรองรับศาสนกิจ</x:v>
      </x:c>
      <x:c r="F571" s="20" t="str">
        <x:v>ยังไม่พบข้อมูล</x:v>
      </x:c>
      <x:c r="G571" s="20" t="str">
        <x:v>ยังไม่พบเอกสารรับรองและวันหมดอายุ</x:v>
      </x:c>
      <x:c r="H571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71" s="20" t="str">
        <x:v>ดูรายละเอียดในแหล่งอ้างอิง</x:v>
      </x:c>
      <x:c r="J571" s="21" t="str">
        <x:v>ยังไม่พบข้อมูล</x:v>
      </x:c>
      <x:c r="K571" s="23" t="e">
        <x:f>HYPERLINK("https://www.thailand.go.th/issue-focus-detail/001_02_024?hl=en","เปิดแหล่งข้อมูล 1")</x:f>
        <x:v>HYPERLINK is not implemented. linkLocation=https://www.thailand.go.th/issue-focus-detail/001_02_024?hl=en, friendlyName=เปิดแหล่งข้อมูล 1</x:v>
      </x:c>
      <x:c r="L571" s="23" t="e">
        <x:f>HYPERLINK("https://www.dasta.or.th/th/article/1721","เปิดแหล่งข้อมูล 2")</x:f>
        <x:v>HYPERLINK is not implemented. linkLocation=https://www.dasta.or.th/th/article/1721, friendlyName=เปิดแหล่งข้อมูล 2</x:v>
      </x:c>
      <x:c r="M571" s="20" t="str">
        <x:v>ผลค้นหาชื่อสัมพันธ์จากแหล่งเพิ่มเติม ต้องยืนยันสาขาและข้อมูลปัจจุบัน</x:v>
      </x:c>
      <x:c r="N571" s="10" t="n">
        <x:v>46315</x:v>
      </x:c>
      <x:c r="O571" s="22" t="str">
        <x:v>ยังไม่ตรวจ</x:v>
      </x:c>
      <x:c r="P571" s="22" t="str">
        <x:v>ยังไม่ติดต่อ</x:v>
      </x:c>
    </x:row>
    <x:row r="572" ht="66" customHeight="1">
      <x:c r="A572" s="9" t="n">
        <x:v>564</x:v>
      </x:c>
      <x:c r="B572" s="20" t="str">
        <x:v>ชุมชนบ้านเดื่อ</x:v>
      </x:c>
      <x:c r="C572" s="20" t="str">
        <x:v>หนองคาย</x:v>
      </x:c>
      <x:c r="D572" s="20" t="str">
        <x:v>ชุมชนเกษตรและวิถีริมโขง</x:v>
      </x:c>
      <x:c r="E572" s="20" t="str">
        <x:v>ข้อมูลภาครัฐระบุชุมชนเกษตรและประมง ต้องพัฒนาผู้ให้บริการอาหารและการรองรับศาสนกิจ</x:v>
      </x:c>
      <x:c r="F572" s="20" t="str">
        <x:v>ยังไม่พบข้อมูล</x:v>
      </x:c>
      <x:c r="G572" s="20" t="str">
        <x:v>ยังไม่พบเอกสารรับรองและวันหมดอายุ</x:v>
      </x:c>
      <x:c r="H572" s="20" t="str">
        <x:v>จัดหลักฐานร้านอาหารฮาลาล พื้นที่ละหมาดพร้อมที่อาบน้ำละหมาด ห้องน้ำ และข้อมูลบริการที่ถูกต้องตามเกณฑ์</x:v>
      </x:c>
      <x:c r="I572" s="20" t="str">
        <x:v>ดูรายละเอียดในแหล่งอ้างอิง</x:v>
      </x:c>
      <x:c r="J572" s="21" t="str">
        <x:v>ยังไม่พบข้อมูล</x:v>
      </x:c>
      <x:c r="K572" s="23" t="e">
        <x:f>HYPERLINK("https://www.thailand.go.th/issue-focus-detail/001_02_024?hl=en","เปิดแหล่งข้อมูล 1")</x:f>
        <x:v>HYPERLINK is not implemented. linkLocation=https://www.thailand.go.th/issue-focus-detail/001_02_024?hl=en, friendlyName=เปิดแหล่งข้อมูล 1</x:v>
      </x:c>
      <x:c r="L572" s="23" t="e">
        <x:f>HYPERLINK("https://www.lemon8-app.com/%40poy.normal/7504179978633544199?region=th","เปิดแหล่งข้อมูล 2")</x:f>
        <x:v>HYPERLINK is not implemented. linkLocation=https://www.lemon8-app.com/%40poy.normal/7504179978633544199?region=th, friendlyName=เปิดแหล่งข้อมูล 2</x:v>
      </x:c>
      <x:c r="M572" s="20" t="str">
        <x:v>ผลค้นหาชื่อสัมพันธ์จากแหล่งเพิ่มเติม ต้องยืนยันสาขาและข้อมูลปัจจุบัน</x:v>
      </x:c>
      <x:c r="N572" s="10" t="n">
        <x:v>46315</x:v>
      </x:c>
      <x:c r="O572" s="22" t="str">
        <x:v>ยังไม่ตรวจ</x:v>
      </x:c>
      <x:c r="P572" s="22" t="str">
        <x:v>ยังไม่ติดต่อ</x:v>
      </x:c>
    </x:row>
    <x:row r="573" ht="66" customHeight="1">
      <x:c r="A573" s="9" t="n">
        <x:v>565</x:v>
      </x:c>
      <x:c r="B573" s="20" t="str">
        <x:v>ไก่ย่างจีระพันธ์ ปตท.โนนสะอาด(ขาเข้า) จ.อุดรธานี</x:v>
      </x:c>
      <x:c r="C573" s="20" t="str">
        <x:v>อุดรธานี</x:v>
      </x:c>
      <x:c r="D573" s="20" t="str">
        <x:v>ร้านอาหาร</x:v>
      </x:c>
      <x:c r="E573" s="20" t="str">
        <x:v>มีรายชื่อใน Makan Halal Guide; ช่องห้องละหมาดไม่ได้ทำเครื่องหมายว่ามี</x:v>
      </x:c>
      <x:c r="F573" s="20" t="str">
        <x:v>ไม่ได้ทำเครื่องหมายว่ามี / ต้องยืนยัน</x:v>
      </x:c>
      <x:c r="G573" s="20" t="str">
        <x:v>ยังไม่พบเอกสารรับรองและวันหมดอายุ</x:v>
      </x:c>
      <x:c r="H57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73" s="20" t="str">
        <x:v>PTT Station Oil + EV ขาเข้า กทม. (บริษัท จรินทร์ทรัพย์ ปิโตรเลียม) 269 อำเภอกุมภวาปี อุดรธานี 41110</x:v>
      </x:c>
      <x:c r="J573" s="21" t="str">
        <x:v>0981545122</x:v>
      </x:c>
      <x:c r="K573" s="23" t="e">
        <x:f>HYPERLINK("https://makanhalalguide.com/shop/detail/5993","เปิดแหล่งข้อมูล 1")</x:f>
        <x:v>HYPERLINK is not implemented. linkLocation=https://makanhalalguide.com/shop/detail/5993, friendlyName=เปิดแหล่งข้อมูล 1</x:v>
      </x:c>
      <x:c r="L573" s="23" t="str"/>
      <x:c r="M573" s="20" t="str"/>
      <x:c r="N573" s="10" t="n">
        <x:v>46315</x:v>
      </x:c>
      <x:c r="O573" s="22" t="str">
        <x:v>ยังไม่ตรวจ</x:v>
      </x:c>
      <x:c r="P573" s="22" t="str">
        <x:v>ยังไม่ติดต่อ</x:v>
      </x:c>
    </x:row>
    <x:row r="574" ht="66" customHeight="1">
      <x:c r="A574" s="9" t="n">
        <x:v>566</x:v>
      </x:c>
      <x:c r="B574" s="20" t="str">
        <x:v>ก๋วยเตี๋ยวเรือฮาลาลอาหารตามสั่ง Byม๊ะเกมส์</x:v>
      </x:c>
      <x:c r="C574" s="20" t="str">
        <x:v>อ่างทอง</x:v>
      </x:c>
      <x:c r="D574" s="20" t="str">
        <x:v>ร้านอาหาร</x:v>
      </x:c>
      <x:c r="E574" s="20" t="str">
        <x:v>มีรายชื่อใน Makan Halal Guide; ช่องห้องละหมาดไม่ได้ทำเครื่องหมายว่ามี</x:v>
      </x:c>
      <x:c r="F574" s="20" t="str">
        <x:v>ไม่ได้ทำเครื่องหมายว่ามี / ต้องยืนยัน</x:v>
      </x:c>
      <x:c r="G574" s="20" t="str">
        <x:v>ยังไม่พบเอกสารรับรองและวันหมดอายุ</x:v>
      </x:c>
      <x:c r="H574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74" s="20" t="str">
        <x:v>ถนนบ้านท้ายย่าน ซอย2 ตำบล ศาลาแดง อำเภอเมืองอ่างทอง อ่างทอง 14000</x:v>
      </x:c>
      <x:c r="J574" s="21" t="str">
        <x:v>0880467587</x:v>
      </x:c>
      <x:c r="K574" s="23" t="e">
        <x:f>HYPERLINK("https://makanhalalguide.com/shop/detail/6257","เปิดแหล่งข้อมูล 1")</x:f>
        <x:v>HYPERLINK is not implemented. linkLocation=https://makanhalalguide.com/shop/detail/6257, friendlyName=เปิดแหล่งข้อมูล 1</x:v>
      </x:c>
      <x:c r="L574" s="23" t="str"/>
      <x:c r="M574" s="20" t="str"/>
      <x:c r="N574" s="10" t="n">
        <x:v>46315</x:v>
      </x:c>
      <x:c r="O574" s="22" t="str">
        <x:v>ยังไม่ตรวจ</x:v>
      </x:c>
      <x:c r="P574" s="22" t="str">
        <x:v>ยังไม่ติดต่อ</x:v>
      </x:c>
    </x:row>
    <x:row r="575" ht="66" customHeight="1">
      <x:c r="A575" s="9" t="n">
        <x:v>567</x:v>
      </x:c>
      <x:c r="B575" s="20" t="str">
        <x:v>ไก่ทอดใบคานอิสลามหาดใหญ่</x:v>
      </x:c>
      <x:c r="C575" s="20" t="str">
        <x:v>กรุงเทพมหานคร</x:v>
      </x:c>
      <x:c r="D575" s="20" t="str">
        <x:v>ร้านอาหาร</x:v>
      </x:c>
      <x:c r="E575" s="20" t="str">
        <x:v>มีรายชื่อใน Makan Halal Guide; ช่องห้องละหมาดไม่ได้ทำเครื่องหมายว่ามี</x:v>
      </x:c>
      <x:c r="F575" s="20" t="str">
        <x:v>ไม่ได้ทำเครื่องหมายว่ามี / ต้องยืนยัน</x:v>
      </x:c>
      <x:c r="G575" s="20" t="str">
        <x:v>ยังไม่พบเอกสารรับรองและวันหมดอายุ</x:v>
      </x:c>
      <x:c r="H575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75" s="20" t="str">
        <x:v>รามคำแหง 63 ถนนรามคำแหง แขวงหัวหมาก เขตบางกะปิ กรุงเทพมหานคร 10240 (ร้านอยู่หน้าปากซอยรามคำเเหง 63 ข้างตึกอ่างทอง)</x:v>
      </x:c>
      <x:c r="J575" s="21" t="str">
        <x:v>0803031491</x:v>
      </x:c>
      <x:c r="K575" s="23" t="e">
        <x:f>HYPERLINK("https://makanhalalguide.com/shop/detail/4868","เปิดแหล่งข้อมูล 1")</x:f>
        <x:v>HYPERLINK is not implemented. linkLocation=https://makanhalalguide.com/shop/detail/4868, friendlyName=เปิดแหล่งข้อมูล 1</x:v>
      </x:c>
      <x:c r="L575" s="23" t="e">
        <x:f>HYPERLINK("https://www.wongnai.com/restaurants/607222lp-%E0%B8%A3%E0%B9%89%E0%B8%B2%E0%B8%99%E0%B9%84%E0%B8%81%E0%B9%88%E0%B8%97%E0%B8%AD%E0%B8%94%E0%B9%83%E0%B8%9A%E0%B8%84%E0%B8%B2%E0%B8%99%E0%B8%AD%E0%B8%B4%E0%B8%AA%E0%B8%A5%E0%B8%B2%E0%B8%A1%E0%B8%AB%E0%B8%B2%E0%B8%94%E0%B9%83%E0%B8%AB%E0%B8%8D%E0%B9%88-%E0%B8%A3%E0%B8%B2%E0%B8%A1%E0%B8%84%E0%B8%B3%E0%B9%80%E0%B9%80%E0%B8%AB%E0%B8%8763","เปิดแหล่งข้อมูล 2")</x:f>
        <x:v>HYPERLINK is not implemented. linkLocation=https://www.wongnai.com/restaurants/607222lp-%E0%B8%A3%E0%B9%89%E0%B8%B2%E0%B8%99%E0%B9%84%E0%B8%81%E0%B9%88%E0%B8%97%E0%B8%AD%E0%B8%94%E0%B9%83%E0%B8%9A%E0%B8%84%E0%B8%B2%E0%B8%99%E0%B8%AD%E0%B8%B4%E0%B8%AA%E0%B8%A5%E0%B8%B2%E0%B8%A1%E0%B8%AB%E0%B8%B2%E0%B8%94%E0%B9%83%E0%B8%AB%E0%B8%8D%E0%B9%88-%E0%B8%A3%E0%B8%B2%E0%B8%A1%E0%B8%84%E0%B8%B3%E0%B9%80%E0%B9%80%E0%B8%AB%E0%B8%8763, friendlyName=เปิดแหล่งข้อมูล 2</x:v>
      </x:c>
      <x:c r="M575" s="20" t="str">
        <x:v>ผลค้นหาชื่อสัมพันธ์จากแหล่งเพิ่มเติม ต้องยืนยันสาขาและข้อมูลปัจจุบัน</x:v>
      </x:c>
      <x:c r="N575" s="10" t="n">
        <x:v>46315</x:v>
      </x:c>
      <x:c r="O575" s="22" t="str">
        <x:v>ยังไม่ตรวจ</x:v>
      </x:c>
      <x:c r="P575" s="22" t="str">
        <x:v>ยังไม่ติดต่อ</x:v>
      </x:c>
    </x:row>
    <x:row r="576" ht="66" customHeight="1">
      <x:c r="A576" s="9" t="n">
        <x:v>568</x:v>
      </x:c>
      <x:c r="B576" s="20" t="str">
        <x:v>Ancient beef Thai Cuisine – ข้าวขาวัว</x:v>
      </x:c>
      <x:c r="C576" s="20" t="str">
        <x:v>เชียงใหม่</x:v>
      </x:c>
      <x:c r="D576" s="20" t="str">
        <x:v>ร้านอาหาร</x:v>
      </x:c>
      <x:c r="E576" s="20" t="str">
        <x:v>มีรายชื่อใน Makan Halal Guide; ช่องห้องละหมาดไม่ได้ทำเครื่องหมายว่ามี</x:v>
      </x:c>
      <x:c r="F576" s="20" t="str">
        <x:v>ไม่ได้ทำเครื่องหมายว่ามี / ต้องยืนยัน</x:v>
      </x:c>
      <x:c r="G576" s="20" t="str">
        <x:v>ยังไม่พบเอกสารรับรองและวันหมดอายุ</x:v>
      </x:c>
      <x:c r="H576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76" s="20" t="str">
        <x:v>95ถนนเจริญประเทศ ใกล้มัสยิดบ้านฮ่อ ตำบลช้างคลานอำเภอเมืองเชียงใหม่ จังหวัดเชียงใหม่ 50100</x:v>
      </x:c>
      <x:c r="J576" s="21" t="str">
        <x:v>0946467334</x:v>
      </x:c>
      <x:c r="K576" s="23" t="e">
        <x:f>HYPERLINK("https://makanhalalguide.com/shop/detail/5113","เปิดแหล่งข้อมูล 1")</x:f>
        <x:v>HYPERLINK is not implemented. linkLocation=https://makanhalalguide.com/shop/detail/5113, friendlyName=เปิดแหล่งข้อมูล 1</x:v>
      </x:c>
      <x:c r="L576" s="23" t="e">
        <x:f>HYPERLINK("https://hk.trip.com/restaurant/thailand/chiang-mai/detail/ancient-beef-thai-cuisine-145029096/","เปิดแหล่งข้อมูล 2")</x:f>
        <x:v>HYPERLINK is not implemented. linkLocation=https://hk.trip.com/restaurant/thailand/chiang-mai/detail/ancient-beef-thai-cuisine-145029096/, friendlyName=เปิดแหล่งข้อมูล 2</x:v>
      </x:c>
      <x:c r="M576" s="20" t="str">
        <x:v>ผลค้นหาชื่อสัมพันธ์จากแหล่งเพิ่มเติม ต้องยืนยันสาขาและข้อมูลปัจจุบัน</x:v>
      </x:c>
      <x:c r="N576" s="10" t="n">
        <x:v>46315</x:v>
      </x:c>
      <x:c r="O576" s="22" t="str">
        <x:v>ยังไม่ตรวจ</x:v>
      </x:c>
      <x:c r="P576" s="22" t="str">
        <x:v>ยังไม่ติดต่อ</x:v>
      </x:c>
    </x:row>
    <x:row r="577" ht="66" customHeight="1">
      <x:c r="A577" s="9" t="n">
        <x:v>569</x:v>
      </x:c>
      <x:c r="B577" s="20" t="str">
        <x:v>Aunt Nan Halal Khanom Jeen</x:v>
      </x:c>
      <x:c r="C577" s="20" t="str">
        <x:v>เชียงใหม่</x:v>
      </x:c>
      <x:c r="D577" s="20" t="str">
        <x:v>ร้านอาหาร</x:v>
      </x:c>
      <x:c r="E577" s="20" t="str">
        <x:v>มีรายชื่อใน Makan Halal Guide; ช่องห้องละหมาดไม่ได้ทำเครื่องหมายว่ามี</x:v>
      </x:c>
      <x:c r="F577" s="20" t="str">
        <x:v>ไม่ได้ทำเครื่องหมายว่ามี / ต้องยืนยัน</x:v>
      </x:c>
      <x:c r="G577" s="20" t="str">
        <x:v>ยังไม่พบเอกสารรับรองและวันหมดอายุ</x:v>
      </x:c>
      <x:c r="H577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77" s="20" t="str">
        <x:v>ใกล้โรงแรมhua lin inn (อัลฟารูดเก่า) ถนนเจริญประเทศ  ตำบลช้างคลาน อำเภอเมืองเชียงใหม่ จังหวัดเชียง 50100</x:v>
      </x:c>
      <x:c r="J577" s="21" t="str">
        <x:v>09464299296</x:v>
      </x:c>
      <x:c r="K577" s="23" t="e">
        <x:f>HYPERLINK("https://makanhalalguide.com/shop/detail/5110","เปิดแหล่งข้อมูล 1")</x:f>
        <x:v>HYPERLINK is not implemented. linkLocation=https://makanhalalguide.com/shop/detail/5110, friendlyName=เปิดแหล่งข้อมูล 1</x:v>
      </x:c>
      <x:c r="L577" s="23" t="str"/>
      <x:c r="M577" s="20" t="str"/>
      <x:c r="N577" s="10" t="n">
        <x:v>46315</x:v>
      </x:c>
      <x:c r="O577" s="22" t="str">
        <x:v>ยังไม่ตรวจ</x:v>
      </x:c>
      <x:c r="P577" s="22" t="str">
        <x:v>ยังไม่ติดต่อ</x:v>
      </x:c>
    </x:row>
    <x:row r="578" ht="66" customHeight="1">
      <x:c r="A578" s="9" t="n">
        <x:v>570</x:v>
      </x:c>
      <x:c r="B578" s="20" t="str">
        <x:v>Mme caffee</x:v>
      </x:c>
      <x:c r="C578" s="20" t="str">
        <x:v>เชียงใหม่</x:v>
      </x:c>
      <x:c r="D578" s="20" t="str">
        <x:v>ร้านอาหาร</x:v>
      </x:c>
      <x:c r="E578" s="20" t="str">
        <x:v>มีรายชื่อใน Makan Halal Guide; ช่องห้องละหมาดไม่ได้ทำเครื่องหมายว่ามี</x:v>
      </x:c>
      <x:c r="F578" s="20" t="str">
        <x:v>ไม่ได้ทำเครื่องหมายว่ามี / ต้องยืนยัน</x:v>
      </x:c>
      <x:c r="G578" s="20" t="str">
        <x:v>ยังไม่พบเอกสารรับรองและวันหมดอายุ</x:v>
      </x:c>
      <x:c r="H578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78" s="20" t="str">
        <x:v>541 ถนนเชียงใหม่-ลำพูนตำบลวัดเกต อำเภอเมือง จังหวัดเชียงใหม่ 50000</x:v>
      </x:c>
      <x:c r="J578" s="21" t="str">
        <x:v>0817710603</x:v>
      </x:c>
      <x:c r="K578" s="23" t="e">
        <x:f>HYPERLINK("https://makanhalalguide.com/shop/detail/5109","เปิดแหล่งข้อมูล 1")</x:f>
        <x:v>HYPERLINK is not implemented. linkLocation=https://makanhalalguide.com/shop/detail/5109, friendlyName=เปิดแหล่งข้อมูล 1</x:v>
      </x:c>
      <x:c r="L578" s="23" t="e">
        <x:f>HYPERLINK("https://www.thaithurkic.com/mme-coffee-081-771-0603","เปิดแหล่งข้อมูล 2")</x:f>
        <x:v>HYPERLINK is not implemented. linkLocation=https://www.thaithurkic.com/mme-coffee-081-771-0603, friendlyName=เปิดแหล่งข้อมูล 2</x:v>
      </x:c>
      <x:c r="M578" s="20" t="str">
        <x:v>ผลค้นหาชื่อสัมพันธ์จากแหล่งเพิ่มเติม ต้องยืนยันสาขาและข้อมูลปัจจุบัน</x:v>
      </x:c>
      <x:c r="N578" s="10" t="n">
        <x:v>46315</x:v>
      </x:c>
      <x:c r="O578" s="22" t="str">
        <x:v>ยังไม่ตรวจ</x:v>
      </x:c>
      <x:c r="P578" s="22" t="str">
        <x:v>ยังไม่ติดต่อ</x:v>
      </x:c>
    </x:row>
    <x:row r="579" ht="66" customHeight="1">
      <x:c r="A579" s="9" t="n">
        <x:v>571</x:v>
      </x:c>
      <x:c r="B579" s="20" t="str">
        <x:v>โอเอซิสสปา ล้านนา วัดพระสิงห์</x:v>
      </x:c>
      <x:c r="C579" s="20" t="str">
        <x:v>เชียงใหม่</x:v>
      </x:c>
      <x:c r="D579" s="20" t="str">
        <x:v>สปา</x:v>
      </x:c>
      <x:c r="E579" s="20" t="str">
        <x:v>ผู้ประกอบการระบุสาขา ต้องพัฒนาหลักฐานบริการมุสลิมและผลิตภัณฑ์ที่ไม่มีส่วนผสมต้องห้าม</x:v>
      </x:c>
      <x:c r="F579" s="20" t="str">
        <x:v>ยังไม่พบข้อมูล</x:v>
      </x:c>
      <x:c r="G579" s="20" t="str">
        <x:v>ยังไม่พบเอกสารรับรองและวันหมดอายุ</x:v>
      </x:c>
      <x:c r="H579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579" s="20" t="str">
        <x:v>ดูรายละเอียดในแหล่งอ้างอิง</x:v>
      </x:c>
      <x:c r="J579" s="21" t="str">
        <x:v>ยังไม่พบข้อมูล</x:v>
      </x:c>
      <x:c r="K579" s="23" t="e">
        <x:f>HYPERLINK("https://oasisspa.net/en/destination/chiangmai/Lanna_Wat_Prasing/","เปิดแหล่งข้อมูล 1")</x:f>
        <x:v>HYPERLINK is not implemented. linkLocation=https://oasisspa.net/en/destination/chiangmai/Lanna_Wat_Prasing/, friendlyName=เปิดแหล่งข้อมูล 1</x:v>
      </x:c>
      <x:c r="L579" s="23" t="str"/>
      <x:c r="M579" s="20" t="str"/>
      <x:c r="N579" s="10" t="n">
        <x:v>46315</x:v>
      </x:c>
      <x:c r="O579" s="22" t="str">
        <x:v>ยังไม่ตรวจ</x:v>
      </x:c>
      <x:c r="P579" s="22" t="str">
        <x:v>ยังไม่ติดต่อ</x:v>
      </x:c>
    </x:row>
    <x:row r="580" ht="66" customHeight="1">
      <x:c r="A580" s="9" t="n">
        <x:v>572</x:v>
      </x:c>
      <x:c r="B580" s="20" t="str">
        <x:v>โอเอซิสสปา แอทนิมมาน</x:v>
      </x:c>
      <x:c r="C580" s="20" t="str">
        <x:v>เชียงใหม่</x:v>
      </x:c>
      <x:c r="D580" s="20" t="str">
        <x:v>สปา</x:v>
      </x:c>
      <x:c r="E580" s="20" t="str">
        <x:v>ผู้ประกอบการระบุสถานที่ให้บริการสปา ต้องตรวจผู้ให้บริการเพศเดียวกัน ผลิตภัณฑ์ และศาสนกิจ</x:v>
      </x:c>
      <x:c r="F580" s="20" t="str">
        <x:v>ยังไม่พบข้อมูล</x:v>
      </x:c>
      <x:c r="G580" s="20" t="str">
        <x:v>ยังไม่พบเอกสารรับรองและวันหมดอายุ</x:v>
      </x:c>
      <x:c r="H580" s="20" t="str">
        <x:v>ตรวจใบอนุญาต ผู้ให้บริการเพศเดียวกัน พื้นที่ส่วนตัว ส่วนผสมผลิตภัณฑ์ พื้นที่ละหมาดและการเข้าถึงอาหารฮาลาล</x:v>
      </x:c>
      <x:c r="I580" s="20" t="str">
        <x:v>ดูรายละเอียดในแหล่งอ้างอิง</x:v>
      </x:c>
      <x:c r="J580" s="21" t="str">
        <x:v>ยังไม่พบข้อมูล</x:v>
      </x:c>
      <x:c r="K580" s="23" t="e">
        <x:f>HYPERLINK("https://oasisspa.net/en/destination/chiangmai/Nimman/","เปิดแหล่งข้อมูล 1")</x:f>
        <x:v>HYPERLINK is not implemented. linkLocation=https://oasisspa.net/en/destination/chiangmai/Nimman/, friendlyName=เปิดแหล่งข้อมูล 1</x:v>
      </x:c>
      <x:c r="L580" s="23" t="e">
        <x:f>HYPERLINK("https://www.voy-y.com/2024/05/blog-post_32.html","เปิดแหล่งข้อมูล 2")</x:f>
        <x:v>HYPERLINK is not implemented. linkLocation=https://www.voy-y.com/2024/05/blog-post_32.html, friendlyName=เปิดแหล่งข้อมูล 2</x:v>
      </x:c>
      <x:c r="M580" s="20" t="str">
        <x:v>ผลค้นหาชื่อสัมพันธ์จากแหล่งเพิ่มเติม ต้องยืนยันสาขาและข้อมูลปัจจุบัน</x:v>
      </x:c>
      <x:c r="N580" s="10" t="n">
        <x:v>46315</x:v>
      </x:c>
      <x:c r="O580" s="22" t="str">
        <x:v>ยังไม่ตรวจ</x:v>
      </x:c>
      <x:c r="P580" s="22" t="str">
        <x:v>ยังไม่ติดต่อ</x:v>
      </x:c>
    </x:row>
    <x:row r="581" ht="66" customHeight="1">
      <x:c r="A581" s="9" t="n">
        <x:v>573</x:v>
      </x:c>
      <x:c r="B581" s="20" t="str">
        <x:v>ครัวอามีนะห์ (เจ๊มุ้ย) เพชรบูรณ์</x:v>
      </x:c>
      <x:c r="C581" s="20" t="str">
        <x:v>เพชรบูรณ์</x:v>
      </x:c>
      <x:c r="D581" s="20" t="str">
        <x:v>ร้านอาหาร</x:v>
      </x:c>
      <x:c r="E581" s="20" t="str">
        <x:v>มีรายชื่อใน Makan Halal Guide; ช่องห้องละหมาดไม่ได้ทำเครื่องหมายว่ามี</x:v>
      </x:c>
      <x:c r="F581" s="20" t="str">
        <x:v>ไม่ได้ทำเครื่องหมายว่ามี / ต้องยืนยัน</x:v>
      </x:c>
      <x:c r="G581" s="20" t="str">
        <x:v>ยังไม่พบเอกสารรับรองและวันหมดอายุ</x:v>
      </x:c>
      <x:c r="H581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81" s="20" t="str">
        <x:v>26 27/29 ถนนเทพาพัฒนา ตำบลในเมือง อำเภอเมือง เพชรบูรณ์ จังหวัดเพชรบูรณ์ 67000</x:v>
      </x:c>
      <x:c r="J581" s="21" t="str">
        <x:v>0659595133</x:v>
      </x:c>
      <x:c r="K581" s="23" t="e">
        <x:f>HYPERLINK("https://makanhalalguide.com/shop/detail/6371","เปิดแหล่งข้อมูล 1")</x:f>
        <x:v>HYPERLINK is not implemented. linkLocation=https://makanhalalguide.com/shop/detail/6371, friendlyName=เปิดแหล่งข้อมูล 1</x:v>
      </x:c>
      <x:c r="L581" s="23" t="e">
        <x:f>HYPERLINK("https://www.wongnai.com/reviews/a616113ae4b0443fab32bd5dd70dc508","เปิดแหล่งข้อมูล 2")</x:f>
        <x:v>HYPERLINK is not implemented. linkLocation=https://www.wongnai.com/reviews/a616113ae4b0443fab32bd5dd70dc508, friendlyName=เปิดแหล่งข้อมูล 2</x:v>
      </x:c>
      <x:c r="M581" s="20" t="str">
        <x:v>ผลค้นหาชื่อสัมพันธ์จากแหล่งเพิ่มเติม ต้องยืนยันสาขาและข้อมูลปัจจุบัน</x:v>
      </x:c>
      <x:c r="N581" s="10" t="n">
        <x:v>46315</x:v>
      </x:c>
      <x:c r="O581" s="22" t="str">
        <x:v>ยังไม่ตรวจ</x:v>
      </x:c>
      <x:c r="P581" s="22" t="str">
        <x:v>ยังไม่ติดต่อ</x:v>
      </x:c>
    </x:row>
    <x:row r="582" ht="66" customHeight="1">
      <x:c r="A582" s="9" t="n">
        <x:v>574</x:v>
      </x:c>
      <x:c r="B582" s="20" t="str">
        <x:v>AZIZ halal bread สุขุมวิท 49/14</x:v>
      </x:c>
      <x:c r="C582" s="20" t="str">
        <x:v>กรุงเทพมหานคร</x:v>
      </x:c>
      <x:c r="D582" s="20" t="str">
        <x:v>ร้านอาหาร</x:v>
      </x:c>
      <x:c r="E582" s="20" t="str">
        <x:v>มีรายชื่อใน Makan Halal Guide; ช่องห้องละหมาดไม่ได้ทำเครื่องหมายว่ามี</x:v>
      </x:c>
      <x:c r="F582" s="20" t="str">
        <x:v>ไม่ได้ทำเครื่องหมายว่ามี / ต้องยืนยัน</x:v>
      </x:c>
      <x:c r="G582" s="20" t="str">
        <x:v>ยังไม่พบเอกสารรับรองและวันหมดอายุ</x:v>
      </x:c>
      <x:c r="H582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82" s="20" t="str">
        <x:v>263/5​ สุขุมวิท​ 49/14 แขวงคลองตันเหนือ​ เขต​วัฒนา​ กรุงเทพฯ 10110 (เข้า 49/14 แยก 2 ซอยสุเหร่า วินกะป๊อ ตรงมาเลยเซเว่น เลี้ยวซ้ายซอยแรกตึกสีเทา ตรงมาสุดซอย ร้านขนมปัง AZIZ ตึกสีน้ำตาล)</x:v>
      </x:c>
      <x:c r="J582" s="21" t="str">
        <x:v>0889677127</x:v>
      </x:c>
      <x:c r="K582" s="23" t="e">
        <x:f>HYPERLINK("https://makanhalalguide.com/shop/detail/4825","เปิดแหล่งข้อมูล 1")</x:f>
        <x:v>HYPERLINK is not implemented. linkLocation=https://makanhalalguide.com/shop/detail/4825, friendlyName=เปิดแหล่งข้อมูล 1</x:v>
      </x:c>
      <x:c r="L582" s="23" t="e">
        <x:f>HYPERLINK("https://www.wongnai.com/restaurants/2877728XR-aziz-halal-bread-%E0%B8%AA%E0%B8%B8%E0%B8%82%E0%B8%B8%E0%B8%A1%E0%B8%A7%E0%B8%B4%E0%B8%97-49-14/photos/b4d75f9e2f8c4004a6e495e19373f3e2","เปิดแหล่งข้อมูล 2")</x:f>
        <x:v>HYPERLINK is not implemented. linkLocation=https://www.wongnai.com/restaurants/2877728XR-aziz-halal-bread-%E0%B8%AA%E0%B8%B8%E0%B8%82%E0%B8%B8%E0%B8%A1%E0%B8%A7%E0%B8%B4%E0%B8%97-49-14/photos/b4d75f9e2f8c4004a6e495e19373f3e2, friendlyName=เปิดแหล่งข้อมูล 2</x:v>
      </x:c>
      <x:c r="M582" s="20" t="str">
        <x:v>ผลค้นหาชื่อสัมพันธ์จากแหล่งเพิ่มเติม ต้องยืนยันสาขาและข้อมูลปัจจุบัน</x:v>
      </x:c>
      <x:c r="N582" s="10" t="n">
        <x:v>46315</x:v>
      </x:c>
      <x:c r="O582" s="22" t="str">
        <x:v>ยังไม่ตรวจ</x:v>
      </x:c>
      <x:c r="P582" s="22" t="str">
        <x:v>ยังไม่ติดต่อ</x:v>
      </x:c>
    </x:row>
    <x:row r="583" ht="66" customHeight="1">
      <x:c r="A583" s="9" t="n">
        <x:v>575</x:v>
      </x:c>
      <x:c r="B583" s="20" t="str">
        <x:v>บัง ปัง ปาย</x:v>
      </x:c>
      <x:c r="C583" s="20" t="str">
        <x:v>แม่ฮ่องสอน</x:v>
      </x:c>
      <x:c r="D583" s="20" t="str">
        <x:v>ร้านอาหาร</x:v>
      </x:c>
      <x:c r="E583" s="20" t="str">
        <x:v>มีรายชื่อใน Makan Halal Guide; ช่องห้องละหมาดไม่ได้ทำเครื่องหมายว่ามี</x:v>
      </x:c>
      <x:c r="F583" s="20" t="str">
        <x:v>ไม่ได้ทำเครื่องหมายว่ามี / ต้องยืนยัน</x:v>
      </x:c>
      <x:c r="G583" s="20" t="str">
        <x:v>ยังไม่พบเอกสารรับรองและวันหมดอายุ</x:v>
      </x:c>
      <x:c r="H583" s="20" t="str">
        <x:v>ขอใบรับรองครัวหรือร้านที่ยังไม่หมดอายุ ยืนยันบุคลากรมุสลิม พื้นที่ละหมาดพร้อมที่อาบน้ำละหมาด และส่วนผสมอาหารหรือเครื่องดื่ม</x:v>
      </x:c>
      <x:c r="I583" s="20" t="str">
        <x:v>229 ตำบลเวียงใต้ อำเภอปาย จังหวัดแม่ฮ่องสอน 58130</x:v>
      </x:c>
      <x:c r="J583" s="21" t="str">
        <x:v>0614262583</x:v>
      </x:c>
      <x:c r="K583" s="23" t="e">
        <x:f>HYPERLINK("https://makanhalalguide.com/shop/detail/6373","เปิดแหล่งข้อมูล 1")</x:f>
        <x:v>HYPERLINK is not implemented. linkLocation=https://makanhalalguide.com/shop/detail/6373, friendlyName=เปิดแหล่งข้อมูล 1</x:v>
      </x:c>
      <x:c r="L583" s="23" t="str"/>
      <x:c r="M583" s="20" t="str"/>
      <x:c r="N583" s="10" t="n">
        <x:v>46315</x:v>
      </x:c>
      <x:c r="O583" s="22" t="str">
        <x:v>ยังไม่ตรวจ</x:v>
      </x:c>
      <x:c r="P583" s="22" t="str">
        <x:v>ยังไม่ติดต่อ</x:v>
      </x:c>
    </x:row>
    <x:row r="584" ht="66" customHeight="1">
      <x:c r="A584" s="9" t="n">
        <x:v>576</x:v>
      </x:c>
      <x:c r="B584" s="20" t="str">
        <x:v>สบายดีเฮ้าส์ แอทปาย</x:v>
      </x:c>
      <x:c r="C584" s="20" t="str">
        <x:v>แม่ฮ่องสอน</x:v>
      </x:c>
      <x:c r="D584" s="20" t="str">
        <x:v>ที่พัก (ตรวจประเภทจากชื่อและข้อมูลประกอบ)</x:v>
      </x:c>
      <x:c r="E584" s="20" t="str">
        <x:v>มีรายชื่อใน Makan Halal Guide; ช่องห้องละหมาดไม่ได้ทำเครื่องหมายว่ามี</x:v>
      </x:c>
      <x:c r="F584" s="20" t="str">
        <x:v>ไม่ได้ทำเครื่องหมายว่ามี / ต้องยืนยัน</x:v>
      </x:c>
      <x:c r="G584" s="20" t="str">
        <x:v>ยังไม่พบเอกสารรับรองและวันหมดอายุ</x:v>
      </x:c>
      <x:c r="H584" s="20" t="str">
        <x:v>ยืนยันการเปิดและประเภทบริการ ตรวจครัวหรืออาหารฮาลาลและบุคลากรมุสลิม การแยกแอลกอฮอล์ ห้องพักปลอดสัตว์เลี้ยง ทิศกิบละ พรมละหมาด และสายฉีดชำระ; กลุ่มยังเป็นข้อเสนอ ต้องยืนยันเงื่อนไขบังคับและคะแนนตามเกณฑ์ที่พัก</x:v>
      </x:c>
      <x:c r="I584" s="20" t="str">
        <x:v>91/1 อำเภอปาย แม่ฮ่องสอน</x:v>
      </x:c>
      <x:c r="J584" s="21" t="str">
        <x:v>0971062907</x:v>
      </x:c>
      <x:c r="K584" s="23" t="e">
        <x:f>HYPERLINK("https://makanhalalguide.com/shop/detail/6374","เปิดแหล่งข้อมูล 1")</x:f>
        <x:v>HYPERLINK is not implemented. linkLocation=https://makanhalalguide.com/shop/detail/6374, friendlyName=เปิดแหล่งข้อมูล 1</x:v>
      </x:c>
      <x:c r="L584" s="23" t="e">
        <x:f>HYPERLINK("https://www.google.com.sa/travel/hotels/entity/ChoIvsW9qvC6sfKAARoNL2cvMTFnMG12OTBycxAB?ap=MAC6AQZwcmljZXM&amp;gl=th&amp;gsas=1&amp;hl=th&amp;rp=OAFIAsICHCIaDQAAIkMSEwiu2Jmys5GXAxUUqsIIHctLIWc&amp;ts=CAEaBAoCGgAqBAoAGgA&amp;un=1","เปิดแหล่งข้อมูล 2")</x:f>
        <x:v>HYPERLINK is not implemented. linkLocation=https://www.google.com.sa/travel/hotels/entity/ChoIvsW9qvC6sfKAARoNL2cvMTFnMG12OTBycxAB?ap=MAC6AQZwcmljZXM&amp;gl=th&amp;gsas=1&amp;hl=th&amp;rp=OAFIAsICHCIaDQAAIkMSEwiu2Jmys5GXAxUUqsIIHctLIWc&amp;ts=CAEaBAoCGgAqBAoAGgA&amp;un=1, friendlyName=เปิดแหล่งข้อมูล 2</x:v>
      </x:c>
      <x:c r="M584" s="20" t="str">
        <x:v>ผลค้นหาชื่อสัมพันธ์จากแหล่งเพิ่มเติม ต้องยืนยันสาขาและข้อมูลปัจจุบัน</x:v>
      </x:c>
      <x:c r="N584" s="10" t="n">
        <x:v>46315</x:v>
      </x:c>
      <x:c r="O584" s="22" t="str">
        <x:v>ยังไม่ตรวจ</x:v>
      </x:c>
      <x:c r="P584" s="22" t="str">
        <x:v>ยังไม่ติดต่อ</x:v>
      </x:c>
    </x:row>
    <x:row r="585" ht="66" customHeight="1">
      <x:c r="A585" s="9" t="n">
        <x:v>577</x:v>
      </x:c>
      <x:c r="B585" s="20" t="str">
        <x:v>Nikudake Halal Wagyu Sukiyaki</x:v>
      </x:c>
      <x:c r="C585" s="20" t="str">
        <x:v>สงขลา</x:v>
      </x:c>
      <x:c r="D585" s="20" t="str">
        <x:v>ร้านอาหารและคาเฟ่</x:v>
      </x:c>
      <x:c r="E585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585" s="20" t="str">
        <x:v>แหล่งข้อมูลระบุว่ามี</x:v>
      </x:c>
      <x:c r="G585" s="20" t="str">
        <x:v>ทะเบียน GMHI 6 ดาว; ช่องใบรับรอง: GMHI; ยังต้องยืนยันใบรับรองอาหารฮาลาลและวันหมดอายุแยกต่างหาก / ชื่อตรงกับรายการ</x:v>
      </x:c>
      <x:c r="H585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585" s="20" t="str">
        <x:v>478 Suphasan Rangsan Road, Hat Yai, Hat Yai District, Songkhla 90110, Thailand</x:v>
      </x:c>
      <x:c r="J585" s="21" t="str">
        <x:v>ยังไม่ยืนยัน</x:v>
      </x:c>
      <x:c r="K585" s="23" t="e">
        <x:f>HYPERLINK("https://gmhi.co/th-th/services/Nikudake%20Halal%20Wagyu%20Sukiyaki-48","เปิดแหล่งข้อมูล 1")</x:f>
        <x:v>HYPERLINK is not implemented. linkLocation=https://gmhi.co/th-th/services/Nikudake%20Halal%20Wagyu%20Sukiyaki-48, friendlyName=เปิดแหล่งข้อมูล 1</x:v>
      </x:c>
      <x:c r="L585" s="23" t="e">
        <x:f>HYPERLINK("https://www.wongnai.com/restaurants/3188830oR-nikudake-halal-wagyu-sukiyaki-hatyai","เปิดแหล่งข้อมูล 2")</x:f>
        <x:v>HYPERLINK is not implemented. linkLocation=https://www.wongnai.com/restaurants/3188830oR-nikudake-halal-wagyu-sukiyaki-hatyai, friendlyName=เปิดแหล่งข้อมูล 2</x:v>
      </x:c>
      <x:c r="M58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585" s="10" t="n">
        <x:v>46315</x:v>
      </x:c>
      <x:c r="O585" s="22" t="str">
        <x:v>ยังไม่ตรวจ</x:v>
      </x:c>
      <x:c r="P585" s="22" t="str">
        <x:v>ยังไม่ติดต่อ</x:v>
      </x:c>
    </x:row>
    <x:row r="586" ht="91" customHeight="1">
      <x:c r="A586" s="9" t="n">
        <x:v>578</x:v>
      </x:c>
      <x:c r="B586" s="20" t="str">
        <x:v>H-Banaat</x:v>
      </x:c>
      <x:c r="C586" s="20" t="str">
        <x:v>กรุงเทพมหานคร</x:v>
      </x:c>
      <x:c r="D586" s="20" t="str">
        <x:v>ที่พัก</x:v>
      </x:c>
      <x:c r="E586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586" s="20" t="str">
        <x:v>แหล่งข้อมูลระบุว่ามี</x:v>
      </x:c>
      <x:c r="G586" s="20" t="str">
        <x:v>ทะเบียน GMHI 4 ดาว; ช่องใบรับรอง: GMHI; ยังต้องยืนยันใบรับรองอาหารฮาลาลและวันหมดอายุแยกต่างหาก</x:v>
      </x:c>
      <x:c r="H586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I586" s="20" t="str">
        <x:v>67 Soi Charan Sanitwong 92 Bang Ao,ฺ Bang Phalt, Bangkok</x:v>
      </x:c>
      <x:c r="J586" s="21" t="str">
        <x:v>ยังไม่ยืนยัน</x:v>
      </x:c>
      <x:c r="K586" s="23" t="e">
        <x:f>HYPERLINK("https://gmhi.co/th-th/services/H-Banaat-27","เปิดแหล่งข้อมูล 1")</x:f>
        <x:v>HYPERLINK is not implemented. linkLocation=https://gmhi.co/th-th/services/H-Banaat-27, friendlyName=เปิดแหล่งข้อมูล 1</x:v>
      </x:c>
      <x:c r="L586" s="23" t="str"/>
      <x:c r="M58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N586" s="10" t="n">
        <x:v>46315</x:v>
      </x:c>
      <x:c r="O586" s="22" t="str">
        <x:v>ยังไม่ตรวจ</x:v>
      </x:c>
      <x:c r="P586" s="22" t="str">
        <x:v>ยังไม่ติดต่อ</x:v>
      </x:c>
    </x:row>
    <x:row r="587" ht="76" customHeight="1">
      <x:c r="A587" s="9" t="n">
        <x:v>579</x:v>
      </x:c>
      <x:c r="B587" s="20" t="str">
        <x:v>The Grill</x:v>
      </x:c>
      <x:c r="C587" s="20" t="str">
        <x:v>กรุงเทพมหานคร</x:v>
      </x:c>
      <x:c r="D587" s="20" t="str">
        <x:v>ร้านอาหารและคาเฟ่</x:v>
      </x:c>
      <x:c r="E587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587" s="20" t="str">
        <x:v>แหล่งข้อมูลระบุว่ามี</x:v>
      </x:c>
      <x:c r="G587" s="20" t="str">
        <x:v>ทะเบียน GMHI 5 ดาว; ช่องใบรับรอง: GMHI; ยังต้องยืนยันใบรับรองอาหารฮาลาลและวันหมดอายุแยกต่างหาก</x:v>
      </x:c>
      <x:c r="H587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จำกัดการจับคู่เฉพาะ The Grill รามคำแหง 53 / ตัด The Grill Tokyo สยามพารากอนออกจากหลักฐาน / พบชื่อบัญชี Instagram และรีวิวสาขาที่สัมพันธ์กับชื่อ ยังต้องยืนยันเจ้าของบัญชีและวันที่เปิดปัจจุบัน</x:v>
      </x:c>
      <x:c r="I587" s="20" t="str">
        <x:v>The Grill is a Halal-certified Yakiniku, Shabu, and Sushi buffet restaurant located in Soi Ramkhamhaeng 53 (Lat Phrao 112), Bangkok.</x:v>
      </x:c>
      <x:c r="J587" s="21" t="str">
        <x:v>ยังไม่ยืนยัน</x:v>
      </x:c>
      <x:c r="K587" s="23" t="e">
        <x:f>HYPERLINK("https://gmhi.co/th-th/services/The%20Grill-28","เปิดแหล่งข้อมูล 1")</x:f>
        <x:v>HYPERLINK is not implemented. linkLocation=https://gmhi.co/th-th/services/The%20Grill-28, friendlyName=เปิดแหล่งข้อมูล 1</x:v>
      </x:c>
      <x:c r="L587" s="23" t="e">
        <x:f>HYPERLINK("https://makanhalalguide.com/stories/detail/The-Grill-Halal-Buffet-ramkhumhang53/300","เปิดแหล่งข้อมูล 2")</x:f>
        <x:v>HYPERLINK is not implemented. linkLocation=https://makanhalalguide.com/stories/detail/The-Grill-Halal-Buffet-ramkhumhang53/300, friendlyName=เปิดแหล่งข้อมูล 2</x:v>
      </x:c>
      <x:c r="M587" s="20" t="str">
        <x:v>จำกัดการจับคู่เฉพาะ The Grill รามคำแหง 53 / ตัด The Grill Tokyo สยามพารากอนออกจากหลักฐาน / พบชื่อบัญชี Instagram และรีวิวสาขาที่สัมพันธ์กับชื่อ ยังต้องยืนยันเจ้าของบัญชีและวันที่เปิดปัจจุบัน</x:v>
      </x:c>
      <x:c r="N587" s="10" t="n">
        <x:v>46315</x:v>
      </x:c>
      <x:c r="O587" s="22" t="str">
        <x:v>ยังไม่ตรวจ</x:v>
      </x:c>
      <x:c r="P587" s="22" t="str">
        <x:v>ยังไม่ติดต่อ</x:v>
      </x:c>
    </x:row>
    <x:row r="588" ht="91" customHeight="1">
      <x:c r="A588" s="9" t="n">
        <x:v>580</x:v>
      </x:c>
      <x:c r="B588" s="20" t="str">
        <x:v>FARAYA Cruise Restaurant</x:v>
      </x:c>
      <x:c r="C588" s="20" t="str">
        <x:v>กรุงเทพมหานคร</x:v>
      </x:c>
      <x:c r="D588" s="20" t="str">
        <x:v>ร้านอาหารและคาเฟ่</x:v>
      </x:c>
      <x:c r="E588" s="20" t="str">
        <x:v>มีชื่อในทะเบียนสาธารณะ GMHI; ข้อมูลบริการตามทะเบียนยังต้องยืนยันกับผู้ประกอบการ</x:v>
      </x:c>
      <x:c r="F588" s="20" t="str">
        <x:v>ยังไม่พบข้อมูล</x:v>
      </x:c>
      <x:c r="G588" s="20" t="str">
        <x:v>ทะเบียน GMHI 7 ดาว; ช่องใบรับรอง: ไม่ระบุ; ยังต้องยืนยันใบรับรองอาหารฮาลาลและวันหมดอายุแยกต่างหาก</x:v>
      </x:c>
      <x:c r="H588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เว็บไซต์ Riverside ระบุชื่อ Faraya และการรับรองอาหารฮาลาล / ผู้ขายตั๋วแจ้งหยุดซ่อม 1 ก.ย.–12 ต.ค. 2026 ยังไม่ยืนยันกลับมาเปิด / KKday ระบุเช็กอินเอเชียทีคตั้งแต่ 16 มิ.ย. 2026 ต้องยืนยันจุดขึ้นเรือปัจจุบัน</x:v>
      </x:c>
      <x:c r="I588" s="20" t="str">
        <x:v>ยังไม่ระบุในทะเบียน ต้องยืนยันสถานที่และจุดรับบริการ</x:v>
      </x:c>
      <x:c r="J588" s="21" t="str">
        <x:v>ยังไม่ยืนยัน</x:v>
      </x:c>
      <x:c r="K588" s="23" t="e">
        <x:f>HYPERLINK("https://gmhi.co/th-th/services/FARAYA%20Cruise%20Restaurant-38","เปิดแหล่งข้อมูล 1")</x:f>
        <x:v>HYPERLINK is not implemented. linkLocation=https://gmhi.co/th-th/services/FARAYA%20Cruise%20Restaurant-38, friendlyName=เปิดแหล่งข้อมูล 1</x:v>
      </x:c>
      <x:c r="L588" s="23" t="e">
        <x:f>HYPERLINK("https://www.riversidebangkok.com/cruises/","เปิดแหล่งข้อมูล 2")</x:f>
        <x:v>HYPERLINK is not implemented. linkLocation=https://www.riversidebangkok.com/cruises/, friendlyName=เปิดแหล่งข้อมูล 2</x:v>
      </x:c>
      <x:c r="M588" s="20" t="str">
        <x:v>เว็บไซต์ Riverside ระบุชื่อ Faraya และการรับรองอาหารฮาลาล / ผู้ขายตั๋วแจ้งหยุดซ่อม 1 ก.ย.–12 ต.ค. 2026 ยังไม่ยืนยันกลับมาเปิด / KKday ระบุเช็กอินเอเชียทีคตั้งแต่ 16 มิ.ย. 2026 ต้องยืนยันจุดขึ้นเรือปัจจุบัน</x:v>
      </x:c>
      <x:c r="N588" s="10" t="n">
        <x:v>46315</x:v>
      </x:c>
      <x:c r="O588" s="22" t="str">
        <x:v>ยังไม่ตรวจ</x:v>
      </x:c>
      <x:c r="P588" s="22" t="str">
        <x:v>ยังไม่ติดต่อ</x:v>
      </x:c>
    </x:row>
    <x:row r="589" ht="76" customHeight="1">
      <x:c r="A589" s="9" t="n">
        <x:v>581</x:v>
      </x:c>
      <x:c r="B589" s="20" t="str">
        <x:v>The Suan Dusit Place</x:v>
      </x:c>
      <x:c r="C589" s="20" t="str">
        <x:v>กรุงเทพมหานคร</x:v>
      </x:c>
      <x:c r="D589" s="20" t="str">
        <x:v>ที่พัก</x:v>
      </x:c>
      <x:c r="E589" s="20" t="str">
        <x:v>มีชื่อในทะเบียนสาธารณะ GMHI; ข้อมูลบริการตามทะเบียนยังต้องยืนยันกับผู้ประกอบการ</x:v>
      </x:c>
      <x:c r="F589" s="20" t="str">
        <x:v>ไม่ได้ทำเครื่องหมายว่ามี / ต้องยืนยัน</x:v>
      </x:c>
      <x:c r="G589" s="20" t="str">
        <x:v>ทะเบียน GMHI 4 ดาว; ช่องใบรับรอง: ไม่ระบุ; ยังต้องยืนยันใบรับรองอาหารฮาลาลและวันหมดอายุแยกต่างหาก</x:v>
      </x:c>
      <x:c r="H589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I589" s="20" t="str">
        <x:v> 295 ถ. นครราชสีมา แขวงวชิรพยาบาล เขตดุสิต กรุงเทพมหานคร 10300</x:v>
      </x:c>
      <x:c r="J589" s="21" t="str">
        <x:v>ยังไม่ยืนยัน</x:v>
      </x:c>
      <x:c r="K589" s="23" t="e">
        <x:f>HYPERLINK("https://gmhi.co/th-th/services/The%20Suan%20Dusit%20Place-31","เปิดแหล่งข้อมูล 1")</x:f>
        <x:v>HYPERLINK is not implemented. linkLocation=https://gmhi.co/th-th/services/The%20Suan%20Dusit%20Place-31, friendlyName=เปิดแหล่งข้อมูล 1</x:v>
      </x:c>
      <x:c r="L589" s="23" t="e">
        <x:f>HYPERLINK("https://www.skyscanner.co.th/hotels/thailand/bangkok-hotels/the-suan-dusit-place/ht-178867022","เปิดแหล่งข้อมูล 2")</x:f>
        <x:v>HYPERLINK is not implemented. linkLocation=https://www.skyscanner.co.th/hotels/thailand/bangkok-hotels/the-suan-dusit-place/ht-178867022, friendlyName=เปิดแหล่งข้อมูล 2</x:v>
      </x:c>
      <x:c r="M58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N589" s="10" t="n">
        <x:v>46315</x:v>
      </x:c>
      <x:c r="O589" s="22" t="str">
        <x:v>ยังไม่ตรวจ</x:v>
      </x:c>
      <x:c r="P589" s="22" t="str">
        <x:v>ยังไม่ติดต่อ</x:v>
      </x:c>
    </x:row>
    <x:row r="590" ht="66" customHeight="1">
      <x:c r="A590" s="9" t="n">
        <x:v>582</x:v>
      </x:c>
      <x:c r="B590" s="20" t="str">
        <x:v>มิตรไมตรี dining café hatyai village</x:v>
      </x:c>
      <x:c r="C590" s="20" t="str">
        <x:v>สงขลา</x:v>
      </x:c>
      <x:c r="D590" s="20" t="str">
        <x:v>ร้านอาหารและคาเฟ่</x:v>
      </x:c>
      <x:c r="E590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590" s="20" t="str">
        <x:v>แหล่งข้อมูลระบุว่ามี</x:v>
      </x:c>
      <x:c r="G590" s="20" t="str">
        <x:v>ทะเบียน GMHI 7 ดาว; ช่องใบรับรอง: GMHI; ยังต้องยืนยันใบรับรองอาหารฮาลาลและวันหมดอายุแยกต่างหาก / ชื่อตรงกับรายการ แต่ระดับดาวต่างกัน</x:v>
      </x:c>
      <x:c r="H590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590" s="20" t="str">
        <x:v>538 Kanchanavanich Road, Kho Hong Subdistrict, Hat Yai District, Songkhla 90110, Thailand</x:v>
      </x:c>
      <x:c r="J590" s="21" t="str">
        <x:v>ยังไม่ยืนยัน</x:v>
      </x:c>
      <x:c r="K590" s="23" t="e">
        <x:f>HYPERLINK("https://gmhi.co/th-th/services/%E0%B8%A1%E0%B8%B4%E0%B8%95%E0%B8%A3%E0%B9%84%E0%B8%A1%E0%B8%95%E0%B8%A3%E0%B8%B5%20dining%20caf%C3%A9%20hatyai%20village-54","เปิดแหล่งข้อมูล 1")</x:f>
        <x:v>HYPERLINK is not implemented. linkLocation=https://gmhi.co/th-th/services/%E0%B8%A1%E0%B8%B4%E0%B8%95%E0%B8%A3%E0%B9%84%E0%B8%A1%E0%B8%95%E0%B8%A3%E0%B8%B5%20dining%20caf%C3%A9%20hatyai%20village-54, friendlyName=เปิดแหล่งข้อมูล 1</x:v>
      </x:c>
      <x:c r="L590" s="23" t="e">
        <x:f>HYPERLINK("https://www.havehalalwilltravel.com/halal-restaurants/detail/%E0%B8%A1%E0%B8%95%E0%B8%A3%E0%B9%84%E0%B8%A1%E0%B8%95%E0%B8%A3-dining-caf%C3%A9-hatyai-village","เปิดแหล่งข้อมูล 2")</x:f>
        <x:v>HYPERLINK is not implemented. linkLocation=https://www.havehalalwilltravel.com/halal-restaurants/detail/%E0%B8%A1%E0%B8%95%E0%B8%A3%E0%B9%84%E0%B8%A1%E0%B8%95%E0%B8%A3-dining-caf%C3%A9-hatyai-village, friendlyName=เปิดแหล่งข้อมูล 2</x:v>
      </x:c>
      <x:c r="M59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590" s="10" t="n">
        <x:v>46315</x:v>
      </x:c>
      <x:c r="O590" s="22" t="str">
        <x:v>ยังไม่ตรวจ</x:v>
      </x:c>
      <x:c r="P590" s="22" t="str">
        <x:v>ยังไม่ติดต่อ</x:v>
      </x:c>
    </x:row>
    <x:row r="591" ht="66" customHeight="1">
      <x:c r="A591" s="9" t="n">
        <x:v>583</x:v>
      </x:c>
      <x:c r="B591" s="20" t="str">
        <x:v>Bi'halalika Roti &amp; Bistro</x:v>
      </x:c>
      <x:c r="C591" s="20" t="str">
        <x:v>กรุงเทพมหานคร</x:v>
      </x:c>
      <x:c r="D591" s="20" t="str">
        <x:v>ร้านอาหารและคาเฟ่</x:v>
      </x:c>
      <x:c r="E591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591" s="20" t="str">
        <x:v>แหล่งข้อมูลระบุว่ามี</x:v>
      </x:c>
      <x:c r="G591" s="20" t="str">
        <x:v>ทะเบียน GMHI 7 ดาว; ช่องใบรับรอง: ไม่ระบุ; ยังต้องยืนยันใบรับรองอาหารฮาลาลและวันหมดอายุแยกต่างหาก</x:v>
      </x:c>
      <x:c r="H591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ยังไม่ยืนยันวันที่โพสต์/รีวิวล่าสุดและการเปิดให้บริการปัจจุบัน</x:v>
      </x:c>
      <x:c r="I591" s="20" t="str">
        <x:v>796  ปากซอยปรีดีพนมยงค์32 ถ.สุขุมวิท71 แขวงคลองตันเหนือ  เขตวัฒนา , Bangkok, Thailand, 10110</x:v>
      </x:c>
      <x:c r="J591" s="21" t="str">
        <x:v>ยังไม่ยืนยัน</x:v>
      </x:c>
      <x:c r="K591" s="23" t="e">
        <x:f>HYPERLINK("https://gmhi.co/th-th/services/Bi%27halalika%20Roti%20%26%20Bistro-37","เปิดแหล่งข้อมูล 1")</x:f>
        <x:v>HYPERLINK is not implemented. linkLocation=https://gmhi.co/th-th/services/Bi%27halalika%20Roti%20%26%20Bistro-37, friendlyName=เปิดแหล่งข้อมูล 1</x:v>
      </x:c>
      <x:c r="L591" s="23" t="e">
        <x:f>HYPERLINK("https://th.tripadvisor.com/Restaurant_Review-g293916-d32710368-Reviews-Bi_halalika_Roti_Bistro-Bangkok.html","เปิดแหล่งข้อมูล 2")</x:f>
        <x:v>HYPERLINK is not implemented. linkLocation=https://th.tripadvisor.com/Restaurant_Review-g293916-d32710368-Reviews-Bi_halalika_Roti_Bistro-Bangkok.html, friendlyName=เปิดแหล่งข้อมูล 2</x:v>
      </x:c>
      <x:c r="M591" s="20" t="str">
        <x:v>ยังไม่ยืนยันวันที่โพสต์/รีวิวล่าสุดและการเปิดให้บริการปัจจุบัน</x:v>
      </x:c>
      <x:c r="N591" s="10" t="n">
        <x:v>46315</x:v>
      </x:c>
      <x:c r="O591" s="22" t="str">
        <x:v>ยังไม่ตรวจ</x:v>
      </x:c>
      <x:c r="P591" s="22" t="str">
        <x:v>ยังไม่ติดต่อ</x:v>
      </x:c>
    </x:row>
    <x:row r="592" ht="76" customHeight="1">
      <x:c r="A592" s="9" t="n">
        <x:v>584</x:v>
      </x:c>
      <x:c r="B592" s="20" t="str">
        <x:v>เนื้อล้วนล้วน Halal Wagyu Yakiniku Hatyai</x:v>
      </x:c>
      <x:c r="C592" s="20" t="str">
        <x:v>สงขลา</x:v>
      </x:c>
      <x:c r="D592" s="20" t="str">
        <x:v>ร้านอาหารและคาเฟ่</x:v>
      </x:c>
      <x:c r="E592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592" s="20" t="str">
        <x:v>แหล่งข้อมูลระบุว่ามี</x:v>
      </x:c>
      <x:c r="G592" s="20" t="str">
        <x:v>ทะเบียน GMHI 6 ดาว; ช่องใบรับรอง: GMHI; ยังต้องยืนยันใบรับรองอาหารฮาลาลและวันหมดอายุแยกต่างหาก / ชื่อในภาพต่างจากชื่อในทะเบียน</x:v>
      </x:c>
      <x:c r="H592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I592" s="20" t="str">
        <x:v>448 Suphasan Rangsan Road, Hat Yai Subdistrict, Hat Yai District, Songkhla 90110, Thailand</x:v>
      </x:c>
      <x:c r="J592" s="21" t="str">
        <x:v>ยังไม่ยืนยัน</x:v>
      </x:c>
      <x:c r="K592" s="23" t="e">
        <x:f>HYPERLINK("https://gmhi.co/th-th/services/%E0%B9%80%E0%B8%99%E0%B8%B7%E0%B9%89%E0%B8%AD%E0%B8%A5%E0%B9%89%E0%B8%A7%E0%B8%99%E0%B8%A5%E0%B9%89%E0%B8%A7%E0%B8%99%20Halal%20Wagyu%20Yakiniku%20Hatyai-50","เปิดแหล่งข้อมูล 1")</x:f>
        <x:v>HYPERLINK is not implemented. linkLocation=https://gmhi.co/th-th/services/%E0%B9%80%E0%B8%99%E0%B8%B7%E0%B9%89%E0%B8%AD%E0%B8%A5%E0%B9%89%E0%B8%A7%E0%B8%99%E0%B8%A5%E0%B9%89%E0%B8%A7%E0%B8%99%20Halal%20Wagyu%20Yakiniku%20Hatyai-50, friendlyName=เปิดแหล่งข้อมูล 1</x:v>
      </x:c>
      <x:c r="L592" s="23" t="e">
        <x:f>HYPERLINK("https://friendsbusy.com/judcheckin/%E0%B9%80%E0%B8%99%E0%B8%B7%E0%B9%89%E0%B8%AD%E0%B8%A5%E0%B9%89%E0%B8%A7%E0%B8%99%E0%B8%A5%E0%B9%89%E0%B8%A7%E0%B8%99-halal-wagyu-yakiniku-hatyai/","เปิดแหล่งข้อมูล 2")</x:f>
        <x:v>HYPERLINK is not implemented. linkLocation=https://friendsbusy.com/judcheckin/%E0%B9%80%E0%B8%99%E0%B8%B7%E0%B9%89%E0%B8%AD%E0%B8%A5%E0%B9%89%E0%B8%A7%E0%B8%99%E0%B8%A5%E0%B9%89%E0%B8%A7%E0%B8%99-halal-wagyu-yakiniku-hatyai/, friendlyName=เปิดแหล่งข้อมูล 2</x:v>
      </x:c>
      <x:c r="M592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N592" s="10" t="n">
        <x:v>46315</x:v>
      </x:c>
      <x:c r="O592" s="22" t="str">
        <x:v>ยังไม่ตรวจ</x:v>
      </x:c>
      <x:c r="P592" s="22" t="str">
        <x:v>ยังไม่ติดต่อ</x:v>
      </x:c>
    </x:row>
    <x:row r="593" ht="66" customHeight="1">
      <x:c r="A593" s="9" t="n">
        <x:v>585</x:v>
      </x:c>
      <x:c r="B593" s="20" t="str">
        <x:v>Just Salt Steak</x:v>
      </x:c>
      <x:c r="C593" s="20" t="str">
        <x:v>กรุงเทพมหานคร</x:v>
      </x:c>
      <x:c r="D593" s="20" t="str">
        <x:v>ร้านอาหารและคาเฟ่</x:v>
      </x:c>
      <x:c r="E593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593" s="20" t="str">
        <x:v>แหล่งข้อมูลระบุว่ามี</x:v>
      </x:c>
      <x:c r="G593" s="20" t="str">
        <x:v>ทะเบียน GMHI 5 ดาว; ช่องใบรับรอง: GMHI; ยังต้องยืนยันใบรับรองอาหารฮาลาลและวันหมดอายุแยกต่างหาก</x:v>
      </x:c>
      <x:c r="H593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593" s="20" t="str">
        <x:v>2nd floor, Plubpla, 123 Soi ramkmheang53, แขวงพลับพลา เขตวังทองหลาง กรุงเทพมหานคร 10310</x:v>
      </x:c>
      <x:c r="J593" s="21" t="str">
        <x:v>ยังไม่ยืนยัน</x:v>
      </x:c>
      <x:c r="K593" s="23" t="e">
        <x:f>HYPERLINK("https://gmhi.co/th-th/services/Just%20Salt%20Steak-33","เปิดแหล่งข้อมูล 1")</x:f>
        <x:v>HYPERLINK is not implemented. linkLocation=https://gmhi.co/th-th/services/Just%20Salt%20Steak-33, friendlyName=เปิดแหล่งข้อมูล 1</x:v>
      </x:c>
      <x:c r="L593" s="23" t="e">
        <x:f>HYPERLINK("https://www.wongnai.com/restaurants/490824MB-the-grill-just-salt-steak","เปิดแหล่งข้อมูล 2")</x:f>
        <x:v>HYPERLINK is not implemented. linkLocation=https://www.wongnai.com/restaurants/490824MB-the-grill-just-salt-steak, friendlyName=เปิดแหล่งข้อมูล 2</x:v>
      </x:c>
      <x:c r="M59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593" s="10" t="n">
        <x:v>46315</x:v>
      </x:c>
      <x:c r="O593" s="22" t="str">
        <x:v>ยังไม่ตรวจ</x:v>
      </x:c>
      <x:c r="P593" s="22" t="str">
        <x:v>ยังไม่ติดต่อ</x:v>
      </x:c>
    </x:row>
    <x:row r="594" ht="66" customHeight="1">
      <x:c r="A594" s="9" t="n">
        <x:v>586</x:v>
      </x:c>
      <x:c r="B594" s="20" t="str">
        <x:v>Rembrandt Hotel Bangkok</x:v>
      </x:c>
      <x:c r="C594" s="20" t="str">
        <x:v>กรุงเทพมหานคร</x:v>
      </x:c>
      <x:c r="D594" s="20" t="str">
        <x:v>ที่พัก</x:v>
      </x:c>
      <x:c r="E594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594" s="20" t="str">
        <x:v>แหล่งข้อมูลระบุว่ามี</x:v>
      </x:c>
      <x:c r="G594" s="20" t="str">
        <x:v>ทะเบียน GMHI 4 ดาว; ช่องใบรับรอง: GMHI; ยังต้องยืนยันใบรับรองอาหารฮาลาลและวันหมดอายุแยกต่างหาก</x:v>
      </x:c>
      <x:c r="H594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ยังไม่ยืนยันวันที่โพสต์/รีวิวล่าสุดและการเปิดให้บริการปัจจุบัน</x:v>
      </x:c>
      <x:c r="I594" s="20" t="str">
        <x:v>19 Sukhumvit Soi 18, Klong Toei, Bangkok 10110</x:v>
      </x:c>
      <x:c r="J594" s="21" t="str">
        <x:v>ยังไม่ยืนยัน</x:v>
      </x:c>
      <x:c r="K594" s="23" t="e">
        <x:f>HYPERLINK("https://gmhi.co/th-th/services/Rembrandt%20Hotel%20Bangkok-2","เปิดแหล่งข้อมูล 1")</x:f>
        <x:v>HYPERLINK is not implemented. linkLocation=https://gmhi.co/th-th/services/Rembrandt%20Hotel%20Bangkok-2, friendlyName=เปิดแหล่งข้อมูล 1</x:v>
      </x:c>
      <x:c r="L594" s="23" t="e">
        <x:f>HYPERLINK("https://rembrandthotelbangkok.com/rembrandt-hotel-bangkok-faq/","เปิดแหล่งข้อมูล 2")</x:f>
        <x:v>HYPERLINK is not implemented. linkLocation=https://rembrandthotelbangkok.com/rembrandt-hotel-bangkok-faq/, friendlyName=เปิดแหล่งข้อมูล 2</x:v>
      </x:c>
      <x:c r="M594" s="20" t="str">
        <x:v>ยังไม่ยืนยันวันที่โพสต์/รีวิวล่าสุดและการเปิดให้บริการปัจจุบัน</x:v>
      </x:c>
      <x:c r="N594" s="10" t="n">
        <x:v>46315</x:v>
      </x:c>
      <x:c r="O594" s="22" t="str">
        <x:v>ยังไม่ตรวจ</x:v>
      </x:c>
      <x:c r="P594" s="22" t="str">
        <x:v>ยังไม่ติดต่อ</x:v>
      </x:c>
    </x:row>
    <x:row r="595" ht="66" customHeight="1">
      <x:c r="A595" s="9" t="n">
        <x:v>587</x:v>
      </x:c>
      <x:c r="B595" s="20" t="str">
        <x:v>W22 by Burasari</x:v>
      </x:c>
      <x:c r="C595" s="20" t="str">
        <x:v>กรุงเทพมหานคร</x:v>
      </x:c>
      <x:c r="D595" s="20" t="str">
        <x:v>ที่พัก</x:v>
      </x:c>
      <x:c r="E595" s="20" t="str">
        <x:v>มีชื่อในทะเบียนสาธารณะ GMHI; ข้อมูลบริการตามทะเบียนยังต้องยืนยันกับผู้ประกอบการ</x:v>
      </x:c>
      <x:c r="F595" s="20" t="str">
        <x:v>ยังไม่พบข้อมูล</x:v>
      </x:c>
      <x:c r="G595" s="20" t="str">
        <x:v>ทะเบียน GMHI 4 ดาว; ช่องใบรับรอง: ไม่ระบุ; ยังต้องยืนยันใบรับรองอาหารฮาลาลและวันหมดอายุแยกต่างหาก</x:v>
      </x:c>
      <x:c r="H595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595" s="20" t="str">
        <x:v>422 ถ. มิตรพันธ์ แขวงป้อมปราบ เขตป้อมปราบศัตรูพ่าย กรุงเทพมหานคร 10100</x:v>
      </x:c>
      <x:c r="J595" s="21" t="str">
        <x:v>ยังไม่ยืนยัน</x:v>
      </x:c>
      <x:c r="K595" s="23" t="e">
        <x:f>HYPERLINK("https://gmhi.co/th-th/services/W22%20by%20Burasari-30","เปิดแหล่งข้อมูล 1")</x:f>
        <x:v>HYPERLINK is not implemented. linkLocation=https://gmhi.co/th-th/services/W22%20by%20Burasari-30, friendlyName=เปิดแหล่งข้อมูล 1</x:v>
      </x:c>
      <x:c r="L595" s="23" t="e">
        <x:f>HYPERLINK("https://www.booking.com/hotel/th/w22.th.html","เปิดแหล่งข้อมูล 2")</x:f>
        <x:v>HYPERLINK is not implemented. linkLocation=https://www.booking.com/hotel/th/w22.th.html, friendlyName=เปิดแหล่งข้อมูล 2</x:v>
      </x:c>
      <x:c r="M59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595" s="10" t="n">
        <x:v>46315</x:v>
      </x:c>
      <x:c r="O595" s="22" t="str">
        <x:v>ยังไม่ตรวจ</x:v>
      </x:c>
      <x:c r="P595" s="22" t="str">
        <x:v>ยังไม่ติดต่อ</x:v>
      </x:c>
    </x:row>
    <x:row r="596" ht="91" customHeight="1">
      <x:c r="A596" s="9" t="n">
        <x:v>588</x:v>
      </x:c>
      <x:c r="B596" s="20" t="str">
        <x:v>Reborn</x:v>
      </x:c>
      <x:c r="C596" s="20" t="str">
        <x:v>สงขลา</x:v>
      </x:c>
      <x:c r="D596" s="20" t="str">
        <x:v>สถานประกอบการเพื่อสุขภาพและเวลเนส</x:v>
      </x:c>
      <x:c r="E596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596" s="20" t="str">
        <x:v>แหล่งข้อมูลระบุว่ามี</x:v>
      </x:c>
      <x:c r="G596" s="20" t="str">
        <x:v>ทะเบียน GMHI 7 ดาว; ช่องใบรับรอง: GMHI; ยังต้องยืนยันใบรับรองอาหารฮาลาลและวันหมดอายุแยกต่างหาก</x:v>
      </x:c>
      <x:c r="H596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พบเว็บไซต์ศูนย์และรายชื่อสถานฟื้นฟูของหน่วยงานรัฐในอำเภอสิงหนคร สงขลา / เป็นศูนย์ฟื้นฟูเฉพาะทาง ต้องให้ผู้เชี่ยวชาญตรวจความเหมาะสมกับขอบเขตโครงการท่องเที่ยว / ยังไม่ยืนยันรีวิวหรือกิจกรรมล่าสุด</x:v>
      </x:c>
      <x:c r="I596" s="20" t="str">
        <x:v>Sathing Mo Subdistrict, Singhanakhon District, Songkhla 90280, Thailand
</x:v>
      </x:c>
      <x:c r="J596" s="21" t="str">
        <x:v>ยังไม่ยืนยัน</x:v>
      </x:c>
      <x:c r="K596" s="23" t="e">
        <x:f>HYPERLINK("https://gmhi.co/th-th/services/Reborn-53","เปิดแหล่งข้อมูล 1")</x:f>
        <x:v>HYPERLINK is not implemented. linkLocation=https://gmhi.co/th-th/services/Reborn-53, friendlyName=เปิดแหล่งข้อมูล 1</x:v>
      </x:c>
      <x:c r="L596" s="23" t="e">
        <x:f>HYPERLINK("https://www.reborninthailand.com/rrc/","เปิดแหล่งข้อมูล 2")</x:f>
        <x:v>HYPERLINK is not implemented. linkLocation=https://www.reborninthailand.com/rrc/, friendlyName=เปิดแหล่งข้อมูล 2</x:v>
      </x:c>
      <x:c r="M596" s="20" t="str">
        <x:v>พบเว็บไซต์ศูนย์และรายชื่อสถานฟื้นฟูของหน่วยงานรัฐในอำเภอสิงหนคร สงขลา / เป็นศูนย์ฟื้นฟูเฉพาะทาง ต้องให้ผู้เชี่ยวชาญตรวจความเหมาะสมกับขอบเขตโครงการท่องเที่ยว / ยังไม่ยืนยันรีวิวหรือกิจกรรมล่าสุด</x:v>
      </x:c>
      <x:c r="N596" s="10" t="n">
        <x:v>46315</x:v>
      </x:c>
      <x:c r="O596" s="22" t="str">
        <x:v>ยังไม่ตรวจ</x:v>
      </x:c>
      <x:c r="P596" s="22" t="str">
        <x:v>ยังไม่ติดต่อ</x:v>
      </x:c>
    </x:row>
    <x:row r="597" ht="66" customHeight="1">
      <x:c r="A597" s="9" t="n">
        <x:v>589</x:v>
      </x:c>
      <x:c r="B597" s="20" t="str">
        <x:v>Crystal Hotel Hat Yai</x:v>
      </x:c>
      <x:c r="C597" s="20" t="str">
        <x:v>สงขลา</x:v>
      </x:c>
      <x:c r="D597" s="20" t="str">
        <x:v>ที่พัก</x:v>
      </x:c>
      <x:c r="E597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597" s="20" t="str">
        <x:v>แหล่งข้อมูลระบุว่ามี</x:v>
      </x:c>
      <x:c r="G597" s="20" t="str">
        <x:v>ทะเบียน GMHI 4 ดาว; ช่องใบรับรอง: GMHI; ยังต้องยืนยันใบรับรองอาหารฮาลาลและวันหมดอายุแยกต่างหาก</x:v>
      </x:c>
      <x:c r="H597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597" s="20" t="str">
        <x:v>4 Soi 27, Kanchanawanit Road, Kho Hong Subdistrict, Hat Yai District, Songkhla 90110</x:v>
      </x:c>
      <x:c r="J597" s="21" t="str">
        <x:v>ยังไม่ยืนยัน</x:v>
      </x:c>
      <x:c r="K597" s="23" t="e">
        <x:f>HYPERLINK("https://gmhi.co/th-th/services/Crystal%20Hotel%20Hat%20Yai-3","เปิดแหล่งข้อมูล 1")</x:f>
        <x:v>HYPERLINK is not implemented. linkLocation=https://gmhi.co/th-th/services/Crystal%20Hotel%20Hat%20Yai-3, friendlyName=เปิดแหล่งข้อมูล 1</x:v>
      </x:c>
      <x:c r="L597" s="23" t="e">
        <x:f>HYPERLINK("https://www.crystalhotelhatyai.com/contact-us.html","เปิดแหล่งข้อมูล 2")</x:f>
        <x:v>HYPERLINK is not implemented. linkLocation=https://www.crystalhotelhatyai.com/contact-us.html, friendlyName=เปิดแหล่งข้อมูล 2</x:v>
      </x:c>
      <x:c r="M59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597" s="10" t="n">
        <x:v>46315</x:v>
      </x:c>
      <x:c r="O597" s="22" t="str">
        <x:v>ยังไม่ตรวจ</x:v>
      </x:c>
      <x:c r="P597" s="22" t="str">
        <x:v>ยังไม่ติดต่อ</x:v>
      </x:c>
    </x:row>
    <x:row r="598" ht="76" customHeight="1">
      <x:c r="A598" s="9" t="n">
        <x:v>590</x:v>
      </x:c>
      <x:c r="B598" s="20" t="str">
        <x:v>The Three Sleep</x:v>
      </x:c>
      <x:c r="C598" s="20" t="str">
        <x:v>ตรัง</x:v>
      </x:c>
      <x:c r="D598" s="20" t="str">
        <x:v>ที่พัก</x:v>
      </x:c>
      <x:c r="E598" s="20" t="str">
        <x:v>มีชื่อในทะเบียนสาธารณะ GMHI; ข้อมูลบริการตามทะเบียนยังต้องยืนยันกับผู้ประกอบการ</x:v>
      </x:c>
      <x:c r="F598" s="20" t="str">
        <x:v>ยังไม่พบข้อมูล</x:v>
      </x:c>
      <x:c r="G598" s="20" t="str">
        <x:v>ทะเบียน GMHI 3 ดาว; ช่องใบรับรอง: ไม่ระบุ; ยังต้องยืนยันใบรับรองอาหารฮาลาลและวันหมดอายุแยกต่างหาก</x:v>
      </x:c>
      <x:c r="H598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ทะเบียน GMHI ใช้ชื่อ The Three Sleep แต่ที่อยู่ 25/1 Choem Panya ตรงกับ The Tree Sleep and Space ใน Booking ต้องยืนยันชื่อกับสถานที่ / พบรีวิวปี 2025 ยังไม่ยืนยันการเปิดปัจจุบัน</x:v>
      </x:c>
      <x:c r="I598" s="20" t="str">
        <x:v>25/1 Choem Panya Rd, Trang, Thailand, Trang</x:v>
      </x:c>
      <x:c r="J598" s="21" t="str">
        <x:v>ยังไม่ยืนยัน</x:v>
      </x:c>
      <x:c r="K598" s="23" t="e">
        <x:f>HYPERLINK("https://gmhi.co/th-th/services/The%20Three%20Sleep-6","เปิดแหล่งข้อมูล 1")</x:f>
        <x:v>HYPERLINK is not implemented. linkLocation=https://gmhi.co/th-th/services/The%20Three%20Sleep-6, friendlyName=เปิดแหล่งข้อมูล 1</x:v>
      </x:c>
      <x:c r="L598" s="23" t="e">
        <x:f>HYPERLINK("https://wanderlog.com/place/details/3206295/the-tree-sleep-and-space","เปิดแหล่งข้อมูล 2")</x:f>
        <x:v>HYPERLINK is not implemented. linkLocation=https://wanderlog.com/place/details/3206295/the-tree-sleep-and-space, friendlyName=เปิดแหล่งข้อมูล 2</x:v>
      </x:c>
      <x:c r="M598" s="20" t="str">
        <x:v>ทะเบียน GMHI ใช้ชื่อ The Three Sleep แต่ที่อยู่ 25/1 Choem Panya ตรงกับ The Tree Sleep and Space ใน Booking ต้องยืนยันชื่อกับสถานที่ / พบรีวิวปี 2025 ยังไม่ยืนยันการเปิดปัจจุบัน</x:v>
      </x:c>
      <x:c r="N598" s="10" t="n">
        <x:v>46315</x:v>
      </x:c>
      <x:c r="O598" s="22" t="str">
        <x:v>ยังไม่ตรวจ</x:v>
      </x:c>
      <x:c r="P598" s="22" t="str">
        <x:v>ยังไม่ติดต่อ</x:v>
      </x:c>
    </x:row>
    <x:row r="599" ht="66" customHeight="1">
      <x:c r="A599" s="9" t="n">
        <x:v>591</x:v>
      </x:c>
      <x:c r="B599" s="20" t="str">
        <x:v>PUN Chocolate</x:v>
      </x:c>
      <x:c r="C599" s="20" t="str">
        <x:v>สงขลา</x:v>
      </x:c>
      <x:c r="D599" s="20" t="str">
        <x:v>ร้านอาหารและคาเฟ่</x:v>
      </x:c>
      <x:c r="E599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</x:v>
      </x:c>
      <x:c r="F599" s="20" t="str">
        <x:v>ไม่ได้ทำเครื่องหมายว่ามี / ต้องยืนยัน</x:v>
      </x:c>
      <x:c r="G599" s="20" t="str">
        <x:v>ทะเบียน GMHI 3 ดาว; ช่องใบรับรอง: GMHI; ยังต้องยืนยันใบรับรองอาหารฮาลาลและวันหมดอายุแยกต่างหาก</x:v>
      </x:c>
      <x:c r="H599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599" s="20" t="str">
        <x:v>Hat Yai District, Songkhla Province</x:v>
      </x:c>
      <x:c r="J599" s="21" t="str">
        <x:v>ยังไม่ยืนยัน</x:v>
      </x:c>
      <x:c r="K599" s="23" t="e">
        <x:f>HYPERLINK("https://gmhi.co/th-th/services/PUN%20Chocolate-7","เปิดแหล่งข้อมูล 1")</x:f>
        <x:v>HYPERLINK is not implemented. linkLocation=https://gmhi.co/th-th/services/PUN%20Chocolate-7, friendlyName=เปิดแหล่งข้อมูล 1</x:v>
      </x:c>
      <x:c r="L599" s="23" t="e">
        <x:f>HYPERLINK("https://www.tasteatlas.com/pun-chocolate-dark-chocolate-72-cocoa-songkhla-origin","เปิดแหล่งข้อมูล 2")</x:f>
        <x:v>HYPERLINK is not implemented. linkLocation=https://www.tasteatlas.com/pun-chocolate-dark-chocolate-72-cocoa-songkhla-origin, friendlyName=เปิดแหล่งข้อมูล 2</x:v>
      </x:c>
      <x:c r="M59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599" s="10" t="n">
        <x:v>46315</x:v>
      </x:c>
      <x:c r="O599" s="22" t="str">
        <x:v>ยังไม่ตรวจ</x:v>
      </x:c>
      <x:c r="P599" s="22" t="str">
        <x:v>ยังไม่ติดต่อ</x:v>
      </x:c>
    </x:row>
    <x:row r="600" ht="66" customHeight="1">
      <x:c r="A600" s="9" t="n">
        <x:v>592</x:v>
      </x:c>
      <x:c r="B600" s="20" t="str">
        <x:v>The signature hotel airport</x:v>
      </x:c>
      <x:c r="C600" s="20" t="str">
        <x:v>สงขลา</x:v>
      </x:c>
      <x:c r="D600" s="20" t="str">
        <x:v>ที่พัก</x:v>
      </x:c>
      <x:c r="E600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600" s="20" t="str">
        <x:v>แหล่งข้อมูลระบุว่ามี</x:v>
      </x:c>
      <x:c r="G600" s="20" t="str">
        <x:v>ทะเบียน GMHI 4 ดาว; ช่องใบรับรอง: GMHI; ยังต้องยืนยันใบรับรองอาหารฮาลาลและวันหมดอายุแยกต่างหาก</x:v>
      </x:c>
      <x:c r="H600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600" s="20" t="str">
        <x:v>2447 Moo 6, Airport - Lopburi Ramesuan Tumboon Khuan Lang, Hatyai, Songkhla 90110, Hat Yai International Airport, Hat Yai, Thailand, 90110</x:v>
      </x:c>
      <x:c r="J600" s="21" t="str">
        <x:v>ยังไม่ยืนยัน</x:v>
      </x:c>
      <x:c r="K600" s="23" t="e">
        <x:f>HYPERLINK("https://gmhi.co/th-th/services/The%20signature%20hotel%20airport-20","เปิดแหล่งข้อมูล 1")</x:f>
        <x:v>HYPERLINK is not implemented. linkLocation=https://gmhi.co/th-th/services/The%20signature%20hotel%20airport-20, friendlyName=เปิดแหล่งข้อมูล 1</x:v>
      </x:c>
      <x:c r="L600" s="23" t="e">
        <x:f>HYPERLINK("https://www.tripadvisor.com/Hotel_Review-g297921-d23453920-Reviews-The_Signature_Hotel_Airport-Hat_Yai_Hat_Yai_District_Songkhla_Province.html","เปิดแหล่งข้อมูล 2")</x:f>
        <x:v>HYPERLINK is not implemented. linkLocation=https://www.tripadvisor.com/Hotel_Review-g297921-d23453920-Reviews-The_Signature_Hotel_Airport-Hat_Yai_Hat_Yai_District_Songkhla_Province.html, friendlyName=เปิดแหล่งข้อมูล 2</x:v>
      </x:c>
      <x:c r="M60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600" s="10" t="n">
        <x:v>46315</x:v>
      </x:c>
      <x:c r="O600" s="22" t="str">
        <x:v>ยังไม่ตรวจ</x:v>
      </x:c>
      <x:c r="P600" s="22" t="str">
        <x:v>ยังไม่ติดต่อ</x:v>
      </x:c>
    </x:row>
    <x:row r="601" ht="66" customHeight="1">
      <x:c r="A601" s="9" t="n">
        <x:v>593</x:v>
      </x:c>
      <x:c r="B601" s="20" t="str">
        <x:v>The Grand Fourwings Convention Hotel Bangkok</x:v>
      </x:c>
      <x:c r="C601" s="20" t="str">
        <x:v>กรุงเทพมหานคร</x:v>
      </x:c>
      <x:c r="D601" s="20" t="str">
        <x:v>ที่พัก</x:v>
      </x:c>
      <x:c r="E601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601" s="20" t="str">
        <x:v>แหล่งข้อมูลระบุว่ามี</x:v>
      </x:c>
      <x:c r="G601" s="20" t="str">
        <x:v>ทะเบียน GMHI ไม่ระบุดาว; ช่องใบรับรอง: GMHI; ยังต้องยืนยันใบรับรองอาหารฮาลาลและวันหมดอายุแยกต่างหาก</x:v>
      </x:c>
      <x:c r="H601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601" s="20" t="str">
        <x:v>333 Srinakarin Road, Hua Mak, Bang Kapi, Bangkok 10240, Thailand
</x:v>
      </x:c>
      <x:c r="J601" s="21" t="str">
        <x:v>ยังไม่ยืนยัน</x:v>
      </x:c>
      <x:c r="K601" s="23" t="e">
        <x:f>HYPERLINK("https://gmhi.co/th-th/services/The%20Grand%20Fourwings%20Convention%20Hotel%20Bangkok-56","เปิดแหล่งข้อมูล 1")</x:f>
        <x:v>HYPERLINK is not implemented. linkLocation=https://gmhi.co/th-th/services/The%20Grand%20Fourwings%20Convention%20Hotel%20Bangkok-56, friendlyName=เปิดแหล่งข้อมูล 1</x:v>
      </x:c>
      <x:c r="L601" s="23" t="e">
        <x:f>HYPERLINK("https://www.trip.com/hotels/bangkok-hotel-detail-702928/the-grand-fourwings-convention-hotel-bangkok/review.html","เปิดแหล่งข้อมูล 2")</x:f>
        <x:v>HYPERLINK is not implemented. linkLocation=https://www.trip.com/hotels/bangkok-hotel-detail-702928/the-grand-fourwings-convention-hotel-bangkok/review.html, friendlyName=เปิดแหล่งข้อมูล 2</x:v>
      </x:c>
      <x:c r="M60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601" s="10" t="n">
        <x:v>46315</x:v>
      </x:c>
      <x:c r="O601" s="22" t="str">
        <x:v>ยังไม่ตรวจ</x:v>
      </x:c>
      <x:c r="P601" s="22" t="str">
        <x:v>ยังไม่ติดต่อ</x:v>
      </x:c>
    </x:row>
    <x:row r="602" ht="91" customHeight="1">
      <x:c r="A602" s="9" t="n">
        <x:v>594</x:v>
      </x:c>
      <x:c r="B602" s="20" t="str">
        <x:v>ATG Southsea</x:v>
      </x:c>
      <x:c r="C602" s="20" t="str">
        <x:v>ภูเก็ต</x:v>
      </x:c>
      <x:c r="D602" s="20" t="str">
        <x:v>สถานประกอบการเพื่อสุขภาพและเวลเนส</x:v>
      </x:c>
      <x:c r="E602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602" s="20" t="str">
        <x:v>แหล่งข้อมูลระบุว่ามี</x:v>
      </x:c>
      <x:c r="G602" s="20" t="str">
        <x:v>ทะเบียน GMHI 3 ดาว; ช่องใบรับรอง: GMHI; ยังต้องยืนยันใบรับรองอาหารฮาลาลและวันหมดอายุแยกต่างหาก</x:v>
      </x:c>
      <x:c r="H602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เว็บไซต์ ATGenes ระบุช่องทาง LINE @atg-southsea และโทรศัพท์สาขาภูเก็ต 081-132-4961 / ที่อยู่และหมุดในทะเบียน GMHI ซ้ำกับ Icellare ต้องยืนยันว่าใช้สถานที่เดียวกันหรือข้อมูลทะเบียนคลาดเคลื่อน / ยังไม่พบรีวิวที่ยืนยันสาขาได้ชัด</x:v>
      </x:c>
      <x:c r="I602" s="20" t="str">
        <x:v>9 Komarapat Rd, Tambon Talat Yai, Amphoe Mueang Phuket, Chang Wat Phuket 83000</x:v>
      </x:c>
      <x:c r="J602" s="21" t="str">
        <x:v>ยังไม่ยืนยัน</x:v>
      </x:c>
      <x:c r="K602" s="23" t="e">
        <x:f>HYPERLINK("https://gmhi.co/th-th/services/ATG%20Southsea-51","เปิดแหล่งข้อมูล 1")</x:f>
        <x:v>HYPERLINK is not implemented. linkLocation=https://gmhi.co/th-th/services/ATG%20Southsea-51, friendlyName=เปิดแหล่งข้อมูล 1</x:v>
      </x:c>
      <x:c r="L602" s="23" t="e">
        <x:f>HYPERLINK("https://www.atgenes.com/apoe/","เปิดแหล่งข้อมูล 2")</x:f>
        <x:v>HYPERLINK is not implemented. linkLocation=https://www.atgenes.com/apoe/, friendlyName=เปิดแหล่งข้อมูล 2</x:v>
      </x:c>
      <x:c r="M602" s="20" t="str">
        <x:v>เว็บไซต์ ATGenes ระบุช่องทาง LINE @atg-southsea และโทรศัพท์สาขาภูเก็ต 081-132-4961 / ที่อยู่และหมุดในทะเบียน GMHI ซ้ำกับ Icellare ต้องยืนยันว่าใช้สถานที่เดียวกันหรือข้อมูลทะเบียนคลาดเคลื่อน / ยังไม่พบรีวิวที่ยืนยันสาขาได้ชัด</x:v>
      </x:c>
      <x:c r="N602" s="10" t="n">
        <x:v>46315</x:v>
      </x:c>
      <x:c r="O602" s="22" t="str">
        <x:v>ยังไม่ตรวจ</x:v>
      </x:c>
      <x:c r="P602" s="22" t="str">
        <x:v>ยังไม่ติดต่อ</x:v>
      </x:c>
    </x:row>
    <x:row r="603" ht="66" customHeight="1">
      <x:c r="A603" s="9" t="n">
        <x:v>595</x:v>
      </x:c>
      <x:c r="B603" s="20" t="str">
        <x:v>The Cozy 77</x:v>
      </x:c>
      <x:c r="C603" s="20" t="str">
        <x:v>กรุงเทพมหานคร</x:v>
      </x:c>
      <x:c r="D603" s="20" t="str">
        <x:v>ที่พัก</x:v>
      </x:c>
      <x:c r="E603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603" s="20" t="str">
        <x:v>แหล่งข้อมูลระบุว่ามี</x:v>
      </x:c>
      <x:c r="G603" s="20" t="str">
        <x:v>ทะเบียน GMHI 4 ดาว; ช่องใบรับรอง: GMHI; ยังต้องยืนยันใบรับรองอาหารฮาลาลและวันหมดอายุแยกต่างหาก</x:v>
      </x:c>
      <x:c r="H603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603" s="20" t="str">
        <x:v>2 Charan Sanitwong 77 Alley, Bang Phlat, Bangkok 10700</x:v>
      </x:c>
      <x:c r="J603" s="21" t="str">
        <x:v>ยังไม่ยืนยัน</x:v>
      </x:c>
      <x:c r="K603" s="23" t="e">
        <x:f>HYPERLINK("https://gmhi.co/th-th/services/The%20Cozy%2077-21","เปิดแหล่งข้อมูล 1")</x:f>
        <x:v>HYPERLINK is not implemented. linkLocation=https://gmhi.co/th-th/services/The%20Cozy%2077-21, friendlyName=เปิดแหล่งข้อมูล 1</x:v>
      </x:c>
      <x:c r="L603" s="23" t="e">
        <x:f>HYPERLINK("https://www.booking.com/hotel/th/the-cozy-77.th.html","เปิดแหล่งข้อมูล 2")</x:f>
        <x:v>HYPERLINK is not implemented. linkLocation=https://www.booking.com/hotel/th/the-cozy-77.th.html, friendlyName=เปิดแหล่งข้อมูล 2</x:v>
      </x:c>
      <x:c r="M60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603" s="10" t="n">
        <x:v>46315</x:v>
      </x:c>
      <x:c r="O603" s="22" t="str">
        <x:v>ยังไม่ตรวจ</x:v>
      </x:c>
      <x:c r="P603" s="22" t="str">
        <x:v>ยังไม่ติดต่อ</x:v>
      </x:c>
    </x:row>
    <x:row r="604" ht="66" customHeight="1">
      <x:c r="A604" s="9" t="n">
        <x:v>596</x:v>
      </x:c>
      <x:c r="B604" s="20" t="str">
        <x:v>ParimaHotel</x:v>
      </x:c>
      <x:c r="C604" s="20" t="str">
        <x:v>ตรัง</x:v>
      </x:c>
      <x:c r="D604" s="20" t="str">
        <x:v>ที่พัก</x:v>
      </x:c>
      <x:c r="E604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604" s="20" t="str">
        <x:v>แหล่งข้อมูลระบุว่ามี</x:v>
      </x:c>
      <x:c r="G604" s="20" t="str">
        <x:v>ทะเบียน GMHI 4 ดาว; ช่องใบรับรอง: GMHI; ยังต้องยืนยันใบรับรองอาหารฮาลาลและวันหมดอายุแยกต่างหาก / ภาพใบรับรองระบุคนละธุรกิจ</x:v>
      </x:c>
      <x:c r="H604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604" s="20" t="str">
        <x:v>99/95 Moo3 Koklor Amphoe Muang Trang, Trang, Thailand 92000</x:v>
      </x:c>
      <x:c r="J604" s="21" t="str">
        <x:v>ยังไม่ยืนยัน</x:v>
      </x:c>
      <x:c r="K604" s="23" t="e">
        <x:f>HYPERLINK("https://gmhi.co/th-th/services/ParimaHotel-46","เปิดแหล่งข้อมูล 1")</x:f>
        <x:v>HYPERLINK is not implemented. linkLocation=https://gmhi.co/th-th/services/ParimaHotel-46, friendlyName=เปิดแหล่งข้อมูล 1</x:v>
      </x:c>
      <x:c r="L604" s="23" t="e">
        <x:f>HYPERLINK("https://www.wongnai.com/restaurants/1074140aN-%E0%B8%A3%E0%B9%89%E0%B8%B2%E0%B8%99%E0%B8%AD%E0%B8%B2%E0%B8%AB%E0%B8%B2%E0%B8%A3%E0%B8%AA%E0%B8%B2%E0%B8%A3%E0%B8%82%E0%B9%89%E0%B8%B2%E0%B8%A7-parima-hotel","เปิดแหล่งข้อมูล 2")</x:f>
        <x:v>HYPERLINK is not implemented. linkLocation=https://www.wongnai.com/restaurants/1074140aN-%E0%B8%A3%E0%B9%89%E0%B8%B2%E0%B8%99%E0%B8%AD%E0%B8%B2%E0%B8%AB%E0%B8%B2%E0%B8%A3%E0%B8%AA%E0%B8%B2%E0%B8%A3%E0%B8%82%E0%B9%89%E0%B8%B2%E0%B8%A7-parima-hotel, friendlyName=เปิดแหล่งข้อมูล 2</x:v>
      </x:c>
      <x:c r="M60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604" s="10" t="n">
        <x:v>46315</x:v>
      </x:c>
      <x:c r="O604" s="22" t="str">
        <x:v>ยังไม่ตรวจ</x:v>
      </x:c>
      <x:c r="P604" s="22" t="str">
        <x:v>ยังไม่ติดต่อ</x:v>
      </x:c>
    </x:row>
    <x:row r="605" ht="66" customHeight="1">
      <x:c r="A605" s="9" t="n">
        <x:v>597</x:v>
      </x:c>
      <x:c r="B605" s="20" t="str">
        <x:v>สภากาแฟ’36 สาขาหาดใหญ่</x:v>
      </x:c>
      <x:c r="C605" s="20" t="str">
        <x:v>สงขลา</x:v>
      </x:c>
      <x:c r="D605" s="20" t="str">
        <x:v>ร้านอาหารและคาเฟ่</x:v>
      </x:c>
      <x:c r="E605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605" s="20" t="str">
        <x:v>แหล่งข้อมูลระบุว่ามี</x:v>
      </x:c>
      <x:c r="G605" s="20" t="str">
        <x:v>ทะเบียน GMHI 6 ดาว; ช่องใบรับรอง: GMHI; ยังต้องยืนยันใบรับรองอาหารฮาลาลและวันหมดอายุแยกต่างหาก / ชื่อตรงกับรายการ</x:v>
      </x:c>
      <x:c r="H605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ยังไม่ยืนยันวันที่โพสต์/รีวิวล่าสุดและการเปิดให้บริการปัจจุบัน</x:v>
      </x:c>
      <x:c r="I605" s="20" t="str">
        <x:v>555 Suphasan Rangsan Road, Hat Yai Subdistrict, Hat Yai District, Songkhla 90110, Thailand</x:v>
      </x:c>
      <x:c r="J605" s="21" t="str">
        <x:v>ยังไม่ยืนยัน</x:v>
      </x:c>
      <x:c r="K605" s="23" t="e">
        <x:f>HYPERLINK("https://gmhi.co/th-th/services/%E0%B8%AA%E0%B8%A0%E0%B8%B2%E0%B8%81%E0%B8%B2%E0%B9%81%E0%B8%9F%E2%80%9936%20%E0%B8%AA%E0%B8%B2%E0%B8%82%E0%B8%B2%E0%B8%AB%E0%B8%B2%E0%B8%94%E0%B9%83%E0%B8%AB%E0%B8%8D%E0%B9%88-47","เปิดแหล่งข้อมูล 1")</x:f>
        <x:v>HYPERLINK is not implemented. linkLocation=https://gmhi.co/th-th/services/%E0%B8%AA%E0%B8%A0%E0%B8%B2%E0%B8%81%E0%B8%B2%E0%B9%81%E0%B8%9F%E2%80%9936%20%E0%B8%AA%E0%B8%B2%E0%B8%82%E0%B8%B2%E0%B8%AB%E0%B8%B2%E0%B8%94%E0%B9%83%E0%B8%AB%E0%B8%8D%E0%B9%88-47, friendlyName=เปิดแหล่งข้อมูล 1</x:v>
      </x:c>
      <x:c r="L605" s="23" t="e">
        <x:f>HYPERLINK("https://www.lemon8-app.com/%40dselatango/7444760123899200018?region=th","เปิดแหล่งข้อมูล 2")</x:f>
        <x:v>HYPERLINK is not implemented. linkLocation=https://www.lemon8-app.com/%40dselatango/7444760123899200018?region=th, friendlyName=เปิดแหล่งข้อมูล 2</x:v>
      </x:c>
      <x:c r="M605" s="20" t="str">
        <x:v>ยังไม่ยืนยันวันที่โพสต์/รีวิวล่าสุดและการเปิดให้บริการปัจจุบัน</x:v>
      </x:c>
      <x:c r="N605" s="10" t="n">
        <x:v>46315</x:v>
      </x:c>
      <x:c r="O605" s="22" t="str">
        <x:v>ยังไม่ตรวจ</x:v>
      </x:c>
      <x:c r="P605" s="22" t="str">
        <x:v>ยังไม่ติดต่อ</x:v>
      </x:c>
    </x:row>
    <x:row r="606" ht="76" customHeight="1">
      <x:c r="A606" s="9" t="n">
        <x:v>598</x:v>
      </x:c>
      <x:c r="B606" s="20" t="str">
        <x:v>Icellare</x:v>
      </x:c>
      <x:c r="C606" s="20" t="str">
        <x:v>ภูเก็ต</x:v>
      </x:c>
      <x:c r="D606" s="20" t="str">
        <x:v>สถานประกอบการเพื่อสุขภาพและเวลเนส</x:v>
      </x:c>
      <x:c r="E606" s="20" t="str">
        <x:v>มีชื่อในทะเบียนสาธารณะ GMHI; ข้อมูลบริการตามทะเบียนยังต้องยืนยันกับผู้ประกอบการ; ระบุอุปกรณ์หรือพื้นที่สำหรับละหมาด</x:v>
      </x:c>
      <x:c r="F606" s="20" t="str">
        <x:v>แหล่งข้อมูลระบุว่ามี</x:v>
      </x:c>
      <x:c r="G606" s="20" t="str">
        <x:v>ทะเบียน GMHI 4 ดาว; ช่องใบรับรอง: ไม่ระบุ; ยังต้องยืนยันใบรับรองอาหารฮาลาลและวันหมดอายุแยกต่างหาก</x:v>
      </x:c>
      <x:c r="H606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หน้า Contact Us ของผู้ประกอบการระบุสาขาภูเก็ตที่ 9 Komarapat Road และบัญชี Instagram icellare_phuket / พบข้อมูลสถานที่แต่ยังไม่ยืนยันวันที่กิจกรรมล่าสุดและวันหมดอายุใบรับรอง GMHI</x:v>
      </x:c>
      <x:c r="I606" s="20" t="str">
        <x:v>9 ถนนโกมารภัจจ์ ตำบลตลาดใหญ่ อำเภอเมืองภูเก็ต ภูเก็ต 83000</x:v>
      </x:c>
      <x:c r="J606" s="21" t="str">
        <x:v>ยังไม่ยืนยัน</x:v>
      </x:c>
      <x:c r="K606" s="23" t="e">
        <x:f>HYPERLINK("https://gmhi.co/th-th/services/Icellare-52","เปิดแหล่งข้อมูล 1")</x:f>
        <x:v>HYPERLINK is not implemented. linkLocation=https://gmhi.co/th-th/services/Icellare-52, friendlyName=เปิดแหล่งข้อมูล 1</x:v>
      </x:c>
      <x:c r="L606" s="23" t="e">
        <x:f>HYPERLINK("https://www.icellare.com/contact-3","เปิดแหล่งข้อมูล 2")</x:f>
        <x:v>HYPERLINK is not implemented. linkLocation=https://www.icellare.com/contact-3, friendlyName=เปิดแหล่งข้อมูล 2</x:v>
      </x:c>
      <x:c r="M606" s="20" t="str">
        <x:v>หน้า Contact Us ของผู้ประกอบการระบุสาขาภูเก็ตที่ 9 Komarapat Road และบัญชี Instagram icellare_phuket / พบข้อมูลสถานที่แต่ยังไม่ยืนยันวันที่กิจกรรมล่าสุดและวันหมดอายุใบรับรอง GMHI</x:v>
      </x:c>
      <x:c r="N606" s="10" t="n">
        <x:v>46315</x:v>
      </x:c>
      <x:c r="O606" s="22" t="str">
        <x:v>ยังไม่ตรวจ</x:v>
      </x:c>
      <x:c r="P606" s="22" t="str">
        <x:v>ยังไม่ติดต่อ</x:v>
      </x:c>
    </x:row>
    <x:row r="607" ht="66" customHeight="1">
      <x:c r="A607" s="9" t="n">
        <x:v>599</x:v>
      </x:c>
      <x:c r="B607" s="20" t="str">
        <x:v>Amman Unique Hotel</x:v>
      </x:c>
      <x:c r="C607" s="20" t="str">
        <x:v>อุดรธานี</x:v>
      </x:c>
      <x:c r="D607" s="20" t="str">
        <x:v>ที่พัก</x:v>
      </x:c>
      <x:c r="E607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ทะเบียนระบุครัวดูแลโดยมุสลิมและยังไม่รับรองครัว; ระบุอุปกรณ์หรือพื้นที่สำหรับละหมาด</x:v>
      </x:c>
      <x:c r="F607" s="20" t="str">
        <x:v>แหล่งข้อมูลระบุว่ามี</x:v>
      </x:c>
      <x:c r="G607" s="20" t="str">
        <x:v>ทะเบียน GMHI 5 ดาว; ช่องใบรับรอง: GMHI; ยังต้องยืนยันใบรับรองอาหารฮาลาลและวันหมดอายุแยกต่างหาก</x:v>
      </x:c>
      <x:c r="H607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607" s="20" t="str">
        <x:v>166/11 Ban Non Phiboon, Mak Khaeng, Amphor Muang, Udon Thani City Center, Udon Thani, Thailand, 41000</x:v>
      </x:c>
      <x:c r="J607" s="21" t="str">
        <x:v>ยังไม่ยืนยัน</x:v>
      </x:c>
      <x:c r="K607" s="23" t="e">
        <x:f>HYPERLINK("https://gmhi.co/th-th/services/Amman%20Unique%20Hotel-36","เปิดแหล่งข้อมูล 1")</x:f>
        <x:v>HYPERLINK is not implemented. linkLocation=https://gmhi.co/th-th/services/Amman%20Unique%20Hotel-36, friendlyName=เปิดแหล่งข้อมูล 1</x:v>
      </x:c>
      <x:c r="L607" s="23" t="e">
        <x:f>HYPERLINK("https://www.agoda.com/en-us/amman-unique-hotel/hotel/udon-thani-th.html","เปิดแหล่งข้อมูล 2")</x:f>
        <x:v>HYPERLINK is not implemented. linkLocation=https://www.agoda.com/en-us/amman-unique-hotel/hotel/udon-thani-th.html, friendlyName=เปิดแหล่งข้อมูล 2</x:v>
      </x:c>
      <x:c r="M60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607" s="10" t="n">
        <x:v>46315</x:v>
      </x:c>
      <x:c r="O607" s="22" t="str">
        <x:v>ยังไม่ตรวจ</x:v>
      </x:c>
      <x:c r="P607" s="22" t="str">
        <x:v>ยังไม่ติดต่อ</x:v>
      </x:c>
    </x:row>
    <x:row r="608" ht="66" customHeight="1">
      <x:c r="A608" s="9" t="n">
        <x:v>600</x:v>
      </x:c>
      <x:c r="B608" s="20" t="str">
        <x:v>DEWAN BANGKOK</x:v>
      </x:c>
      <x:c r="C608" s="20" t="str">
        <x:v>กรุงเทพมหานคร</x:v>
      </x:c>
      <x:c r="D608" s="20" t="str">
        <x:v>ที่พัก</x:v>
      </x:c>
      <x:c r="E608" s="20" t="str">
        <x:v>มีชื่อในทะเบียนสาธารณะ GMHI; ข้อมูลบริการตามทะเบียนยังต้องยืนยันกับผู้ประกอบการ; ทะเบียนระบุครัวดูแลโดยมุสลิมและยังไม่รับรองครัว</x:v>
      </x:c>
      <x:c r="F608" s="20" t="str">
        <x:v>ไม่ได้ทำเครื่องหมายว่ามี / ต้องยืนยัน</x:v>
      </x:c>
      <x:c r="G608" s="20" t="str">
        <x:v>ทะเบียน GMHI 5 ดาว; ช่องใบรับรอง: GMHI; ยังต้องยืนยันใบรับรองอาหารฮาลาลและวันหมดอายุแยกต่างหาก</x:v>
      </x:c>
      <x:c r="H608" s="20" t="str">
        <x:v>ยืนยันการเปิด สาขาและผู้ประกอบการ ขอหลักฐานเงื่อนไขบังคับและคะแนนโครงการก่อนยืนยันกลุ่ม / 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I608" s="20" t="str">
        <x:v>110 Tanee Road , Talardyod, Khaosan, Bangkok, Thailand, 10200</x:v>
      </x:c>
      <x:c r="J608" s="21" t="str">
        <x:v>ยังไม่ยืนยัน</x:v>
      </x:c>
      <x:c r="K608" s="23" t="e">
        <x:f>HYPERLINK("https://gmhi.co/th-th/services/DEWAN%20BANGKOK-29","เปิดแหล่งข้อมูล 1")</x:f>
        <x:v>HYPERLINK is not implemented. linkLocation=https://gmhi.co/th-th/services/DEWAN%20BANGKOK-29, friendlyName=เปิดแหล่งข้อมูล 1</x:v>
      </x:c>
      <x:c r="L608" s="23" t="e">
        <x:f>HYPERLINK("https://lodgelens.com/hotels/dewan-bangkok","เปิดแหล่งข้อมูล 2")</x:f>
        <x:v>HYPERLINK is not implemented. linkLocation=https://lodgelens.com/hotels/dewan-bangkok, friendlyName=เปิดแหล่งข้อมูล 2</x:v>
      </x:c>
      <x:c r="M60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N608" s="10" t="n">
        <x:v>46315</x:v>
      </x:c>
      <x:c r="O608" s="22" t="str">
        <x:v>ยังไม่ตรวจ</x:v>
      </x:c>
      <x:c r="P608" s="22" t="str">
        <x:v>ยังไม่ติดต่อ</x:v>
      </x:c>
    </x:row>
  </x:sheetData>
  <x:dataValidations count="2">
    <x:dataValidation type="list" sqref="O9:O608">
      <x:formula1>"ยังไม่ตรวจ,ยืนยันกลุ่มเดิม,ปรับกลุ่ม,ไม่เข้าเกณฑ์"</x:formula1>
    </x:dataValidation>
    <x:dataValidation type="list" sqref="P9:P608">
      <x:formula1>"ยังไม่ติดต่อ,ติดต่อแล้ว,รอเอกสาร,ติดต่อไม่ได้"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1e2c5ca6bc414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6" hidden="0" customWidth="1"/>
    <x:col min="2" max="2" width="50" hidden="0" customWidth="1"/>
    <x:col min="3" max="3" width="24" hidden="0" customWidth="1"/>
    <x:col min="4" max="4" width="39" hidden="0" customWidth="1"/>
    <x:col min="5" max="5" width="43" hidden="0" customWidth="1"/>
    <x:col min="6" max="6" width="48" hidden="0" customWidth="1"/>
    <x:col min="7" max="7" width="24" hidden="0" customWidth="1"/>
    <x:col min="8" max="8" width="29" hidden="0" customWidth="1"/>
    <x:col min="9" max="9" width="29" hidden="0" customWidth="1"/>
    <x:col min="10" max="10" width="29" hidden="0" customWidth="1"/>
    <x:col min="11" max="11" width="29" hidden="0" customWidth="1"/>
    <x:col min="12" max="12" width="29" hidden="0" customWidth="1"/>
    <x:col min="13" max="13" width="29" hidden="0" customWidth="1"/>
    <x:col min="14" max="14" width="49" hidden="0" customWidth="1"/>
    <x:col min="15" max="15" width="90" hidden="0" customWidth="1"/>
    <x:col min="16" max="16" width="18" hidden="0" customWidth="1"/>
    <x:col min="17" max="17" width="26" hidden="0" customWidth="1"/>
    <x:col min="18" max="18" width="2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2"/>
      <x:c r="B2" s="3" t="str">
        <x:v>การค้นหาซ้ำและหลักฐานรายแหล่ง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>
      <x:c r="A3" s="2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</x:row>
    <x:row r="4">
      <x:c r="A4" s="2"/>
      <x:c r="B4" s="19" t="str">
        <x:v>คัดผลค้นหาจากชื่อและจังหวัด ยังต้องตรวจสาขาและเจ้าของช่องทาง จำนวนเว็บรวมแหล่งเริ่มต้น ไม่ใช่การยืนยันว่าเปิดปัจจุบัน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>
      <x:c r="A5" s="2"/>
      <x:c r="B5" s="19" t="str">
        <x:v>วันเก็บข้อมูลเว็บไม่ใช่วันโพสต์ล่าสุด การค้นไม่พบบัญชีไม่ได้แปลว่าไม่มี ช่องสีอ่อนสำหรับผลตรวจของทีม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>
      <x:c r="A6" s="2"/>
      <x:c r="B6" s="19" t="str">
        <x:v>รวม 600 รายการเดิมและ 24 รายการเพิ่มจาก GMHI โดยเก็บรายการซ้ำ/สำรองไว้ตรวจย้อนหลัง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</x:row>
    <x:row r="8" ht="34" customHeight="1">
      <x:c r="A8" s="16" t="str">
        <x:v>รหัส</x:v>
      </x:c>
      <x:c r="B8" s="17" t="str">
        <x:v>ชื่อแหล่ง</x:v>
      </x:c>
      <x:c r="C8" s="17" t="str">
        <x:v>จังหวัด</x:v>
      </x:c>
      <x:c r="D8" s="17" t="str">
        <x:v>สถานะในชุด 600</x:v>
      </x:c>
      <x:c r="E8" s="17" t="str">
        <x:v>ผลค้นหาซ้ำ</x:v>
      </x:c>
      <x:c r="F8" s="17" t="str">
        <x:v>สถานะเปิดจากหลักฐาน</x:v>
      </x:c>
      <x:c r="G8" s="17" t="str">
        <x:v>จำนวนเว็บชื่อสัมพันธ์</x:v>
      </x:c>
      <x:c r="H8" s="17" t="str">
        <x:v>ช่องทางสังคม 1</x:v>
      </x:c>
      <x:c r="I8" s="17" t="str">
        <x:v>ช่องทางสังคม 2</x:v>
      </x:c>
      <x:c r="J8" s="17" t="str">
        <x:v>หน้ารีวิว 1</x:v>
      </x:c>
      <x:c r="K8" s="17" t="str">
        <x:v>หน้ารีวิว 2</x:v>
      </x:c>
      <x:c r="L8" s="17" t="str">
        <x:v>เว็บเพิ่มเติม 1</x:v>
      </x:c>
      <x:c r="M8" s="17" t="str">
        <x:v>เว็บเพิ่มเติม 2</x:v>
      </x:c>
      <x:c r="N8" s="17" t="str">
        <x:v>วันที่กิจกรรมที่พบ</x:v>
      </x:c>
      <x:c r="O8" s="17" t="str">
        <x:v>ประเด็นต้องยืนยัน</x:v>
      </x:c>
      <x:c r="P8" s="17" t="str">
        <x:v>วันที่ตรวจ</x:v>
      </x:c>
      <x:c r="Q8" s="17" t="str">
        <x:v>ผลยืนยันสาขาและช่องทาง</x:v>
      </x:c>
      <x:c r="R8" s="18" t="str">
        <x:v>ผลทบทวนการเปิด</x:v>
      </x:c>
    </x:row>
    <x:row r="9" ht="76" customHeight="1">
      <x:c r="A9" s="24" t="str">
        <x:v>TMF-001</x:v>
      </x:c>
      <x:c r="B9" s="20" t="str">
        <x:v>บ้านหนาวดาวเดือนรีสอร์ท</x:v>
      </x:c>
      <x:c r="C9" s="20" t="str">
        <x:v>เชียงราย</x:v>
      </x:c>
      <x:c r="D9" s="20" t="str">
        <x:v>คงไว้ในชุด 600</x:v>
      </x:c>
      <x:c r="E9" s="20" t="str">
        <x:v>พบหลายแหล่งสัมพันธ์กับชื่อ รอยืนยันการเปิด</x:v>
      </x:c>
      <x:c r="F9" s="20" t="str">
        <x:v>ยังไม่ยืนยันการเปิดให้บริการปัจจุบัน</x:v>
      </x:c>
      <x:c r="G9" s="26" t="n">
        <x:v>4</x:v>
      </x:c>
      <x:c r="H9" s="23" t="e">
        <x:f>HYPERLINK("https://www.facebook.com/pages/บ้าน-วิเรียมรีสอร์ท-อเมือง-จเชียงราย/957398190956853","เปิดช่องทาง 1")</x:f>
        <x:v>HYPERLINK is not implemented. linkLocation=https://www.facebook.com/pages/บ้าน-วิเรียมรีสอร์ท-อเมือง-จเชียงราย/957398190956853, friendlyName=เปิดช่องทาง 1</x:v>
      </x:c>
      <x:c r="I9" s="23" t="e">
        <x:f>HYPERLINK("https://www.facebook.com/bansuanresortmaesai","เปิดช่องทาง 2")</x:f>
        <x:v>HYPERLINK is not implemented. linkLocation=https://www.facebook.com/bansuanresortmaesai, friendlyName=เปิดช่องทาง 2</x:v>
      </x:c>
      <x:c r="J9" s="23" t="e">
        <x:f>HYPERLINK("https://www.booking.com/hotel/th/baanhnaawdaaweduue-nriis-rth.html?dist=0&amp;keep_landing=1&amp;sb_price_type=total&amp;type=total","เปิดหน้ารีวิว 1")</x:f>
        <x:v>HYPERLINK is not implemented. linkLocation=https://www.booking.com/hotel/th/baanhnaawdaaweduue-nriis-rth.html?dist=0&amp;keep_landing=1&amp;sb_price_type=total&amp;type=total, friendlyName=เปิดหน้ารีวิว 1</x:v>
      </x:c>
      <x:c r="K9" s="23" t="str"/>
      <x:c r="L9" s="23" t="e">
        <x:f>HYPERLINK("https://www.tourismchiangrai-phayao.com/en/chiang-rai/accommodation/","เปิดเว็บเพิ่ม 1")</x:f>
        <x:v>HYPERLINK is not implemented. linkLocation=https://www.tourismchiangrai-phayao.com/en/chiang-rai/accommodation/, friendlyName=เปิดเว็บเพิ่ม 1</x:v>
      </x:c>
      <x:c r="M9" s="23" t="e">
        <x:f>HYPERLINK("https://www.thaithurkic.com/%E0%B8%9A%E0%B9%89%E0%B8%B2%E0%B8%99%E0%B8%AB%E0%B8%99%E0%B8%B2%E0%B8%A7%E0%B8%94%E0%B8%B2%E0%B8%A7%E0%B9%80%E0%B8%94%E0%B8%B7%E0%B8%AD%E0%B8%99-%E0%B8%A3%E0%B8%B5%E0%B8%AA%E0%B8%AD%E0%B8%A3%E0%B9%8C%E0%B8%97_16-053-640-208","เปิดเว็บเพิ่ม 2")</x:f>
        <x:v>HYPERLINK is not implemented. linkLocation=https://www.thaithurkic.com/%E0%B8%9A%E0%B9%89%E0%B8%B2%E0%B8%99%E0%B8%AB%E0%B8%99%E0%B8%B2%E0%B8%A7%E0%B8%94%E0%B8%B2%E0%B8%A7%E0%B9%80%E0%B8%94%E0%B8%B7%E0%B8%AD%E0%B8%99-%E0%B8%A3%E0%B8%B5%E0%B8%AA%E0%B8%AD%E0%B8%A3%E0%B9%8C%E0%B8%97_16-053-640-208, friendlyName=เปิดเว็บเพิ่ม 2</x:v>
      </x:c>
      <x:c r="N9" s="20" t="str">
        <x:v>ยังไม่ยืนยัน</x:v>
      </x:c>
      <x:c r="O9" s="20" t="str">
        <x:v>ยังไม่ยืนยันวันที่โพสต์/รีวิวล่าสุดและการเปิดให้บริการปัจจุบัน</x:v>
      </x:c>
      <x:c r="P9" s="25" t="n">
        <x:v>46315</x:v>
      </x:c>
      <x:c r="Q9" s="27" t="str">
        <x:v>ยังไม่ตรวจ</x:v>
      </x:c>
      <x:c r="R9" s="27" t="str">
        <x:v>รอติดต่อ</x:v>
      </x:c>
    </x:row>
    <x:row r="10" ht="76" customHeight="1">
      <x:c r="A10" s="24" t="str">
        <x:v>TMF-002</x:v>
      </x:c>
      <x:c r="B10" s="20" t="str">
        <x:v>Sareeneen food &amp; Sweet</x:v>
      </x:c>
      <x:c r="C10" s="20" t="str">
        <x:v>เชียงราย</x:v>
      </x:c>
      <x:c r="D10" s="20" t="str">
        <x:v>คงไว้ในชุด 600</x:v>
      </x:c>
      <x:c r="E10" s="20" t="str">
        <x:v>พบหลายแหล่งสัมพันธ์กับชื่อ รอยืนยันการเปิด</x:v>
      </x:c>
      <x:c r="F10" s="20" t="str">
        <x:v>ยังไม่ยืนยันการเปิดให้บริการปัจจุบัน</x:v>
      </x:c>
      <x:c r="G10" s="26" t="n">
        <x:v>5</x:v>
      </x:c>
      <x:c r="H10" s="23" t="str"/>
      <x:c r="I10" s="23" t="str"/>
      <x:c r="J10" s="23" t="e">
        <x:f>HYPERLINK("https://www.tripadvisor.com/Restaurant_Review-g297920-d14087267-Reviews-Sareeneen_Food_Sweet-Chiang_Rai_Chiang_Rai_Province.html","เปิดหน้ารีวิว 1")</x:f>
        <x:v>HYPERLINK is not implemented. linkLocation=https://www.tripadvisor.com/Restaurant_Review-g297920-d14087267-Reviews-Sareeneen_Food_Sweet-Chiang_Rai_Chiang_Rai_Province.html, friendlyName=เปิดหน้ารีวิว 1</x:v>
      </x:c>
      <x:c r="K10" s="23" t="e">
        <x:f>HYPERLINK("https://www.wongnai.com/restaurants/1084912LL-sareeneen-food-sweet","เปิดหน้ารีวิว 2")</x:f>
        <x:v>HYPERLINK is not implemented. linkLocation=https://www.wongnai.com/restaurants/1084912LL-sareeneen-food-sweet, friendlyName=เปิดหน้ารีวิว 2</x:v>
      </x:c>
      <x:c r="L10" s="23" t="e">
        <x:f>HYPERLINK("https://www.visitthailandtoday.com/restaurants/chiang-rai/sareeneen-food-and-sweet-halal","เปิดเว็บเพิ่ม 1")</x:f>
        <x:v>HYPERLINK is not implemented. linkLocation=https://www.visitthailandtoday.com/restaurants/chiang-rai/sareeneen-food-and-sweet-halal, friendlyName=เปิดเว็บเพิ่ม 1</x:v>
      </x:c>
      <x:c r="M10" s="23" t="e">
        <x:f>HYPERLINK("https://www.thaithurkic.com/sareeneen-food-sweet-halal-080-513-6368","เปิดเว็บเพิ่ม 2")</x:f>
        <x:v>HYPERLINK is not implemented. linkLocation=https://www.thaithurkic.com/sareeneen-food-sweet-halal-080-513-6368, friendlyName=เปิดเว็บเพิ่ม 2</x:v>
      </x:c>
      <x:c r="N10" s="20" t="str">
        <x:v>ยังไม่ยืนยัน</x:v>
      </x:c>
      <x:c r="O1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0" s="25" t="n">
        <x:v>46315</x:v>
      </x:c>
      <x:c r="Q10" s="27" t="str">
        <x:v>ยังไม่ตรวจ</x:v>
      </x:c>
      <x:c r="R10" s="27" t="str">
        <x:v>รอติดต่อ</x:v>
      </x:c>
    </x:row>
    <x:row r="11" ht="76" customHeight="1">
      <x:c r="A11" s="24" t="str">
        <x:v>TMF-003</x:v>
      </x:c>
      <x:c r="B11" s="20" t="str">
        <x:v>นอร์ธผาฮี้</x:v>
      </x:c>
      <x:c r="C11" s="20" t="str">
        <x:v>เชียงราย</x:v>
      </x:c>
      <x:c r="D11" s="20" t="str">
        <x:v>คงไว้ในชุด 600</x:v>
      </x:c>
      <x:c r="E11" s="20" t="str">
        <x:v>พบหลายแหล่งสัมพันธ์กับชื่อ รอยืนยันการเปิด</x:v>
      </x:c>
      <x:c r="F11" s="20" t="str">
        <x:v>ยังไม่ยืนยันการเปิดให้บริการปัจจุบัน</x:v>
      </x:c>
      <x:c r="G11" s="26" t="n">
        <x:v>2</x:v>
      </x:c>
      <x:c r="H11" s="23" t="str"/>
      <x:c r="I11" s="23" t="str"/>
      <x:c r="J11" s="23" t="e">
        <x:f>HYPERLINK("https://www.lemon8-app.com/%401998_nsr/7392912828019016193?region=th","เปิดหน้ารีวิว 1")</x:f>
        <x:v>HYPERLINK is not implemented. linkLocation=https://www.lemon8-app.com/%401998_nsr/7392912828019016193?region=th, friendlyName=เปิดหน้ารีวิว 1</x:v>
      </x:c>
      <x:c r="K11" s="23" t="e">
        <x:f>HYPERLINK("https://www.lemon8-app.com/%40opalityy/7228564652056412674?region=th","เปิดหน้ารีวิว 2")</x:f>
        <x:v>HYPERLINK is not implemented. linkLocation=https://www.lemon8-app.com/%40opalityy/7228564652056412674?region=th, friendlyName=เปิดหน้ารีวิว 2</x:v>
      </x:c>
      <x:c r="L11" s="23" t="str"/>
      <x:c r="M11" s="23" t="str"/>
      <x:c r="N11" s="20" t="str">
        <x:v>ยังไม่ยืนยัน</x:v>
      </x:c>
      <x:c r="O1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1" s="25" t="n">
        <x:v>46315</x:v>
      </x:c>
      <x:c r="Q11" s="27" t="str">
        <x:v>ยังไม่ตรวจ</x:v>
      </x:c>
      <x:c r="R11" s="27" t="str">
        <x:v>รอติดต่อ</x:v>
      </x:c>
    </x:row>
    <x:row r="12" ht="76" customHeight="1">
      <x:c r="A12" s="24" t="str">
        <x:v>TMF-004</x:v>
      </x:c>
      <x:c r="B12" s="20" t="str">
        <x:v>อาหาร ซากีน่า อาหารเหนือ+อิสลาม</x:v>
      </x:c>
      <x:c r="C12" s="20" t="str">
        <x:v>เชียงราย</x:v>
      </x:c>
      <x:c r="D12" s="20" t="str">
        <x:v>คงไว้ในชุด 600</x:v>
      </x:c>
      <x:c r="E12" s="20" t="str">
        <x:v>พบหลายแหล่งสัมพันธ์กับชื่อ รอยืนยันการเปิด</x:v>
      </x:c>
      <x:c r="F12" s="20" t="str">
        <x:v>ยังไม่ยืนยันการเปิดให้บริการปัจจุบัน</x:v>
      </x:c>
      <x:c r="G12" s="26" t="n">
        <x:v>6</x:v>
      </x:c>
      <x:c r="H12" s="23" t="e">
        <x:f>HYPERLINK("https://m.facebook.com/candc.cr/","เปิดช่องทาง 1")</x:f>
        <x:v>HYPERLINK is not implemented. linkLocation=https://m.facebook.com/candc.cr/, friendlyName=เปิดช่องทาง 1</x:v>
      </x:c>
      <x:c r="I12" s="23" t="e">
        <x:f>HYPERLINK("https://m.facebook.com/davincichiangrai/","เปิดช่องทาง 2")</x:f>
        <x:v>HYPERLINK is not implemented. linkLocation=https://m.facebook.com/davincichiangrai/, friendlyName=เปิดช่องทาง 2</x:v>
      </x:c>
      <x:c r="J12" s="23" t="e">
        <x:f>HYPERLINK("https://12781456633969640052.googlegroups.com/attach/79e53a13222de133/List%20of%20Halal%20Restaurants%20and%20Hotels%20in%20Thailand%201%5B1%5D.pdf?part=0.1&amp;vt=ANaJVrEMfzPOF22L_HrDovyCPHcg4sDQCYrHXKOD24KMBzyqVt2nRz0bjoEqazHr8U8cQn50yd6Fczg773gxTXLGP4D6UZa7-pGau35icgrnU74_OEB2YeU","เปิดหน้ารีวิว 1")</x:f>
        <x:v>HYPERLINK is not implemented. linkLocation=https://12781456633969640052.googlegroups.com/attach/79e53a13222de133/List%20of%20Halal%20Restaurants%20and%20Hotels%20in%20Thailand%201%5B1%5D.pdf?part=0.1&amp;vt=ANaJVrEMfzPOF22L_HrDovyCPHcg4sDQCYrHXKOD24KMBzyqVt2nRz0bjoEqazHr8U8cQn50yd6Fczg773gxTXLGP4D6UZa7-pGau35icgrnU74_OEB2YeU, friendlyName=เปิดหน้ารีวิว 1</x:v>
      </x:c>
      <x:c r="K12" s="23" t="e">
        <x:f>HYPERLINK("https://12781456633969640052.googlegroups.com/attach/79e53a13222de133/List%20of%20Halal%20Restaurants%20and%20Hotels%20in%20Thailand%201%5B1%5D.pdf?part=0.1&amp;vt=ANaJVrHJCzcx2YPlHAbbdL95Uokuo6O1sMI0Oknug1lIztw18drS4oQKaDAuhqkq55IzfmpoFXexiQKpA2k_lcCcd7S5BFJ2CFL-qf1Sl-2TD3zXT1W_jeI","เปิดหน้ารีวิว 2")</x:f>
        <x:v>HYPERLINK is not implemented. linkLocation=https://12781456633969640052.googlegroups.com/attach/79e53a13222de133/List%20of%20Halal%20Restaurants%20and%20Hotels%20in%20Thailand%201%5B1%5D.pdf?part=0.1&amp;vt=ANaJVrHJCzcx2YPlHAbbdL95Uokuo6O1sMI0Oknug1lIztw18drS4oQKaDAuhqkq55IzfmpoFXexiQKpA2k_lcCcd7S5BFJ2CFL-qf1Sl-2TD3zXT1W_jeI, friendlyName=เปิดหน้ารีวิว 2</x:v>
      </x:c>
      <x:c r="L12" s="23" t="e">
        <x:f>HYPERLINK("https://www.thaithurkic.com/%E0%B8%8B%E0%B8%B2%E0%B8%81%E0%B8%B5%E0%B8%99%E0%B9%88%E0%B8%B2-%E0%B8%AD%E0%B8%B2%E0%B8%AB%E0%B8%B2%E0%B8%A3%E0%B8%AD%E0%B8%B4%E0%B8%AA%E0%B8%A5%E0%B8%B2%E0%B8%A1-081-993-7311","เปิดเว็บเพิ่ม 1")</x:f>
        <x:v>HYPERLINK is not implemented. linkLocation=https://www.thaithurkic.com/%E0%B8%8B%E0%B8%B2%E0%B8%81%E0%B8%B5%E0%B8%99%E0%B9%88%E0%B8%B2-%E0%B8%AD%E0%B8%B2%E0%B8%AB%E0%B8%B2%E0%B8%A3%E0%B8%AD%E0%B8%B4%E0%B8%AA%E0%B8%A5%E0%B8%B2%E0%B8%A1-081-993-7311, friendlyName=เปิดเว็บเพิ่ม 1</x:v>
      </x:c>
      <x:c r="M12" s="23" t="e">
        <x:f>HYPERLINK("https://cdnc.heyzine.com/flip-book/pdf/3ed9a662bd79abf50c9f84be457f2147134dad13-4.pdf","เปิดเว็บเพิ่ม 2")</x:f>
        <x:v>HYPERLINK is not implemented. linkLocation=https://cdnc.heyzine.com/flip-book/pdf/3ed9a662bd79abf50c9f84be457f2147134dad13-4.pdf, friendlyName=เปิดเว็บเพิ่ม 2</x:v>
      </x:c>
      <x:c r="N12" s="20" t="str">
        <x:v>ยังไม่ยืนยัน</x:v>
      </x:c>
      <x:c r="O12" s="20" t="str">
        <x:v>ยังไม่ยืนยันวันที่โพสต์/รีวิวล่าสุดและการเปิดให้บริการปัจจุบัน</x:v>
      </x:c>
      <x:c r="P12" s="25" t="n">
        <x:v>46315</x:v>
      </x:c>
      <x:c r="Q12" s="27" t="str">
        <x:v>ยังไม่ตรวจ</x:v>
      </x:c>
      <x:c r="R12" s="27" t="str">
        <x:v>รอติดต่อ</x:v>
      </x:c>
    </x:row>
    <x:row r="13" ht="76" customHeight="1">
      <x:c r="A13" s="24" t="str">
        <x:v>TMF-005</x:v>
      </x:c>
      <x:c r="B13" s="20" t="str">
        <x:v>ก๋วยเตี๋ยวผักหวาน อยุธยา</x:v>
      </x:c>
      <x:c r="C13" s="20" t="str">
        <x:v>พระนครศรีอยุธยา</x:v>
      </x:c>
      <x:c r="D13" s="20" t="str">
        <x:v>คงไว้ในชุด 600</x:v>
      </x:c>
      <x:c r="E13" s="20" t="str">
        <x:v>พบหลายแหล่งสัมพันธ์กับชื่อ รอยืนยันการเปิด</x:v>
      </x:c>
      <x:c r="F13" s="20" t="str">
        <x:v>ยังไม่ยืนยันการเปิดให้บริการปัจจุบัน</x:v>
      </x:c>
      <x:c r="G13" s="26" t="n">
        <x:v>5</x:v>
      </x:c>
      <x:c r="H13" s="23" t="str"/>
      <x:c r="I13" s="23" t="str"/>
      <x:c r="J13" s="23" t="e">
        <x:f>HYPERLINK("https://www.wongnai.com/restaurants/8993sS-%E0%B8%81%E0%B9%8B%E0%B8%A7%E0%B8%A2%E0%B9%80%E0%B8%95%E0%B8%B5%E0%B9%8B%E0%B8%A2%E0%B8%A7%E0%B8%9C%E0%B8%B1%E0%B8%81%E0%B8%AB%E0%B8%A7%E0%B8%B2%E0%B8%99%E0%B8%AD%E0%B8%A2%E0%B8%B8%E0%B8%98%E0%B8%A2%E0%B8%B2/reviews","เปิดหน้ารีวิว 1")</x:f>
        <x:v>HYPERLINK is not implemented. linkLocation=https://www.wongnai.com/restaurants/8993sS-%E0%B8%81%E0%B9%8B%E0%B8%A7%E0%B8%A2%E0%B9%80%E0%B8%95%E0%B8%B5%E0%B9%8B%E0%B8%A2%E0%B8%A7%E0%B8%9C%E0%B8%B1%E0%B8%81%E0%B8%AB%E0%B8%A7%E0%B8%B2%E0%B8%99%E0%B8%AD%E0%B8%A2%E0%B8%B8%E0%B8%98%E0%B8%A2%E0%B8%B2/reviews, friendlyName=เปิดหน้ารีวิว 1</x:v>
      </x:c>
      <x:c r="K13" s="23" t="e">
        <x:f>HYPERLINK("https://www.youtube.com/watch?v=aTyl3LaTiDA","เปิดหน้ารีวิว 2")</x:f>
        <x:v>HYPERLINK is not implemented. linkLocation=https://www.youtube.com/watch?v=aTyl3LaTiDA, friendlyName=เปิดหน้ารีวิว 2</x:v>
      </x:c>
      <x:c r="L13" s="23" t="e">
        <x:f>HYPERLINK("https://www.sanook.com/travel/1302273/","เปิดเว็บเพิ่ม 1")</x:f>
        <x:v>HYPERLINK is not implemented. linkLocation=https://www.sanook.com/travel/1302273/, friendlyName=เปิดเว็บเพิ่ม 1</x:v>
      </x:c>
      <x:c r="M13" s="23" t="str"/>
      <x:c r="N13" s="20" t="str">
        <x:v>ยังไม่ยืนยัน</x:v>
      </x:c>
      <x:c r="O1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3" s="25" t="n">
        <x:v>46315</x:v>
      </x:c>
      <x:c r="Q13" s="27" t="str">
        <x:v>ยังไม่ตรวจ</x:v>
      </x:c>
      <x:c r="R13" s="27" t="str">
        <x:v>รอติดต่อ</x:v>
      </x:c>
    </x:row>
    <x:row r="14" ht="96" customHeight="1">
      <x:c r="A14" s="24" t="str">
        <x:v>TMF-006</x:v>
      </x:c>
      <x:c r="B14" s="20" t="str">
        <x:v>ก๋วยเตี๋ยวเป็ดดาหวัน ปัญรีดา 786</x:v>
      </x:c>
      <x:c r="C14" s="20" t="str">
        <x:v>พระนครศรีอยุธยา</x:v>
      </x:c>
      <x:c r="D14" s="20" t="str">
        <x:v>คงไว้ในชุด 600</x:v>
      </x:c>
      <x:c r="E14" s="20" t="str">
        <x:v>หลักฐานไม่พอ รอยืนยันการเปิด</x:v>
      </x:c>
      <x:c r="F14" s="20" t="str">
        <x:v>ยังไม่ยืนยันการเปิดให้บริการปัจจุบัน</x:v>
      </x:c>
      <x:c r="G14" s="26" t="n">
        <x:v>1</x:v>
      </x:c>
      <x:c r="H14" s="23" t="str"/>
      <x:c r="I14" s="23" t="str"/>
      <x:c r="J14" s="23" t="str"/>
      <x:c r="K14" s="23" t="str"/>
      <x:c r="L14" s="23" t="str"/>
      <x:c r="M14" s="23" t="str"/>
      <x:c r="N14" s="20" t="str">
        <x:v>ยังไม่ยืนยัน</x:v>
      </x:c>
      <x:c r="O1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4" s="25" t="n">
        <x:v>46315</x:v>
      </x:c>
      <x:c r="Q14" s="27" t="str">
        <x:v>ยังไม่ตรวจ</x:v>
      </x:c>
      <x:c r="R14" s="27" t="str">
        <x:v>รอติดต่อ</x:v>
      </x:c>
    </x:row>
    <x:row r="15" ht="76" customHeight="1">
      <x:c r="A15" s="24" t="str">
        <x:v>TMF-007</x:v>
      </x:c>
      <x:c r="B15" s="20" t="str">
        <x:v>ครัวมุสลิมกรุงเก่า</x:v>
      </x:c>
      <x:c r="C15" s="20" t="str">
        <x:v>พระนครศรีอยุธยา</x:v>
      </x:c>
      <x:c r="D15" s="20" t="str">
        <x:v>คงไว้ในชุด 600</x:v>
      </x:c>
      <x:c r="E15" s="20" t="str">
        <x:v>พบหลายแหล่งสัมพันธ์กับชื่อ รอยืนยันการเปิด</x:v>
      </x:c>
      <x:c r="F15" s="20" t="str">
        <x:v>ยังไม่ยืนยันการเปิดให้บริการปัจจุบัน</x:v>
      </x:c>
      <x:c r="G15" s="26" t="n">
        <x:v>4</x:v>
      </x:c>
      <x:c r="H15" s="23" t="str"/>
      <x:c r="I15" s="23" t="str"/>
      <x:c r="J15" s="23" t="e">
        <x:f>HYPERLINK("https://www.wongnai.com/restaurants/188522BB-%E0%B8%84%E0%B8%A3%E0%B8%B1%E0%B8%A7%E0%B8%A1%E0%B8%B8%E0%B8%AA%E0%B8%A5%E0%B8%B4%E0%B8%A1%E0%B8%81%E0%B8%A3%E0%B8%B8%E0%B8%87%E0%B9%80%E0%B8%81%E0%B9%88%E0%B8%B2","เปิดหน้ารีวิว 1")</x:f>
        <x:v>HYPERLINK is not implemented. linkLocation=https://www.wongnai.com/restaurants/188522BB-%E0%B8%84%E0%B8%A3%E0%B8%B1%E0%B8%A7%E0%B8%A1%E0%B8%B8%E0%B8%AA%E0%B8%A5%E0%B8%B4%E0%B8%A1%E0%B8%81%E0%B8%A3%E0%B8%B8%E0%B8%87%E0%B9%80%E0%B8%81%E0%B9%88%E0%B8%B2, friendlyName=เปิดหน้ารีวิว 1</x:v>
      </x:c>
      <x:c r="K15" s="23" t="e">
        <x:f>HYPERLINK("https://www.wongnai.com/reviews/c78cab590ed24f8bbd6e100712aba5a1","เปิดหน้ารีวิว 2")</x:f>
        <x:v>HYPERLINK is not implemented. linkLocation=https://www.wongnai.com/reviews/c78cab590ed24f8bbd6e100712aba5a1, friendlyName=เปิดหน้ารีวิว 2</x:v>
      </x:c>
      <x:c r="L15" s="23" t="e">
        <x:f>HYPERLINK("https://topicstock.pantip.com/food/topicstock/2009/03/D7603539/D7603539.html","เปิดเว็บเพิ่ม 1")</x:f>
        <x:v>HYPERLINK is not implemented. linkLocation=https://topicstock.pantip.com/food/topicstock/2009/03/D7603539/D7603539.html, friendlyName=เปิดเว็บเพิ่ม 1</x:v>
      </x:c>
      <x:c r="M15" s="23" t="str"/>
      <x:c r="N15" s="20" t="str">
        <x:v>ยังไม่ยืนยัน</x:v>
      </x:c>
      <x:c r="O1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5" s="25" t="n">
        <x:v>46315</x:v>
      </x:c>
      <x:c r="Q15" s="27" t="str">
        <x:v>ยังไม่ตรวจ</x:v>
      </x:c>
      <x:c r="R15" s="27" t="str">
        <x:v>รอติดต่อ</x:v>
      </x:c>
    </x:row>
    <x:row r="16" ht="76" customHeight="1">
      <x:c r="A16" s="24" t="str">
        <x:v>TMF-008</x:v>
      </x:c>
      <x:c r="B16" s="20" t="str">
        <x:v>บะละดี้ ขนมปังโฮมเมด Bread &amp; Bakery</x:v>
      </x:c>
      <x:c r="C16" s="20" t="str">
        <x:v>พระนครศรีอยุธยา</x:v>
      </x:c>
      <x:c r="D16" s="20" t="str">
        <x:v>คงไว้ในชุด 600</x:v>
      </x:c>
      <x:c r="E16" s="20" t="str">
        <x:v>พบหลายแหล่งสัมพันธ์กับชื่อ รอยืนยันการเปิด</x:v>
      </x:c>
      <x:c r="F16" s="20" t="str">
        <x:v>ยังไม่ยืนยันการเปิดให้บริการปัจจุบัน</x:v>
      </x:c>
      <x:c r="G16" s="26" t="n">
        <x:v>2</x:v>
      </x:c>
      <x:c r="H16" s="23" t="str"/>
      <x:c r="I16" s="23" t="str"/>
      <x:c r="J16" s="23" t="str"/>
      <x:c r="K16" s="23" t="str"/>
      <x:c r="L16" s="23" t="e">
        <x:f>HYPERLINK("https://happynew.day/vendor/ranbaladi-khanompanghommet-bread-bakery","เปิดเว็บเพิ่ม 1")</x:f>
        <x:v>HYPERLINK is not implemented. linkLocation=https://happynew.day/vendor/ranbaladi-khanompanghommet-bread-bakery, friendlyName=เปิดเว็บเพิ่ม 1</x:v>
      </x:c>
      <x:c r="M16" s="23" t="str"/>
      <x:c r="N16" s="20" t="str">
        <x:v>ยังไม่ยืนยัน</x:v>
      </x:c>
      <x:c r="O16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6" s="25" t="n">
        <x:v>46315</x:v>
      </x:c>
      <x:c r="Q16" s="27" t="str">
        <x:v>ยังไม่ตรวจ</x:v>
      </x:c>
      <x:c r="R16" s="27" t="str">
        <x:v>รอติดต่อ</x:v>
      </x:c>
    </x:row>
    <x:row r="17" ht="76" customHeight="1">
      <x:c r="A17" s="24" t="str">
        <x:v>TMF-009</x:v>
      </x:c>
      <x:c r="B17" s="20" t="str">
        <x:v>วนิดา ฮาลาลฟู้ด</x:v>
      </x:c>
      <x:c r="C17" s="20" t="str">
        <x:v>พระนครศรีอยุธยา</x:v>
      </x:c>
      <x:c r="D17" s="20" t="str">
        <x:v>คงไว้ในชุด 600</x:v>
      </x:c>
      <x:c r="E17" s="20" t="str">
        <x:v>พบหลายแหล่งสัมพันธ์กับชื่อ รอยืนยันการเปิด</x:v>
      </x:c>
      <x:c r="F17" s="20" t="str">
        <x:v>ยังไม่ยืนยันการเปิดให้บริการปัจจุบัน</x:v>
      </x:c>
      <x:c r="G17" s="26" t="n">
        <x:v>4</x:v>
      </x:c>
      <x:c r="H17" s="23" t="str"/>
      <x:c r="I17" s="23" t="str"/>
      <x:c r="J17" s="23" t="str"/>
      <x:c r="K17" s="23" t="str"/>
      <x:c r="L17" s="23" t="e">
        <x:f>HYPERLINK("https://thi.worldorgs.com/%E0%B9%81%E0%B8%84%E0%B8%95%E0%B8%95%E0%B8%B2%E0%B8%A5%E0%B9%87%E0%B8%AD%E0%B8%81/%E0%B8%AD%E0%B8%B3%E0%B9%80%E0%B8%A0%E0%B8%AD-%E0%B8%9E%E0%B8%A3%E0%B8%B0%E0%B8%99%E0%B8%84%E0%B8%A3%E0%B8%A8%E0%B8%A3%E0%B8%B5%E0%B8%AD%E0%B8%A2%E0%B8%B8%E0%B8%98%E0%B8%A2%E0%B8%B2/%E0%B8%A3%E0%B9%89%E0%B8%B2%E0%B8%99%E0%B8%84%E0%B9%89%E0%B8%B2/%E0%B8%84%E0%B8%A3%E0%B8%B1%E0%B8%A7%E0%B8%A7%E0%B8%99%E0%B8%B4%E0%B8%94%E0%B8%B2-%E0%B8%AE%E0%B8%B2%E0%B8%A5%E0%B8%B2%E0%B8%A5%E0%B8%9F%E0%B8%B9%E0%B9%89%E0%B8%94","เปิดเว็บเพิ่ม 1")</x:f>
        <x:v>HYPERLINK is not implemented. linkLocation=https://thi.worldorgs.com/%E0%B9%81%E0%B8%84%E0%B8%95%E0%B8%95%E0%B8%B2%E0%B8%A5%E0%B9%87%E0%B8%AD%E0%B8%81/%E0%B8%AD%E0%B8%B3%E0%B9%80%E0%B8%A0%E0%B8%AD-%E0%B8%9E%E0%B8%A3%E0%B8%B0%E0%B8%99%E0%B8%84%E0%B8%A3%E0%B8%A8%E0%B8%A3%E0%B8%B5%E0%B8%AD%E0%B8%A2%E0%B8%B8%E0%B8%98%E0%B8%A2%E0%B8%B2/%E0%B8%A3%E0%B9%89%E0%B8%B2%E0%B8%99%E0%B8%84%E0%B9%89%E0%B8%B2/%E0%B8%84%E0%B8%A3%E0%B8%B1%E0%B8%A7%E0%B8%A7%E0%B8%99%E0%B8%B4%E0%B8%94%E0%B8%B2-%E0%B8%AE%E0%B8%B2%E0%B8%A5%E0%B8%B2%E0%B8%A5%E0%B8%9F%E0%B8%B9%E0%B9%89%E0%B8%94, friendlyName=เปิดเว็บเพิ่ม 1</x:v>
      </x:c>
      <x:c r="M17" s="23" t="e">
        <x:f>HYPERLINK("https://www.thaithurkic.com/%E0%B8%84%E0%B8%A3%E0%B8%B1%E0%B8%A7%E0%B8%A7%E0%B8%99%E0%B8%B4%E0%B8%94%E0%B8%B2-%E0%B8%AE%E0%B8%B2%E0%B8%A5%E0%B8%B2%E0%B8%A5%E0%B8%9F%E0%B8%B9%E0%B9%89%E0%B8%94-086-532-0034","เปิดเว็บเพิ่ม 2")</x:f>
        <x:v>HYPERLINK is not implemented. linkLocation=https://www.thaithurkic.com/%E0%B8%84%E0%B8%A3%E0%B8%B1%E0%B8%A7%E0%B8%A7%E0%B8%99%E0%B8%B4%E0%B8%94%E0%B8%B2-%E0%B8%AE%E0%B8%B2%E0%B8%A5%E0%B8%B2%E0%B8%A5%E0%B8%9F%E0%B8%B9%E0%B9%89%E0%B8%94-086-532-0034, friendlyName=เปิดเว็บเพิ่ม 2</x:v>
      </x:c>
      <x:c r="N17" s="20" t="str">
        <x:v>ยังไม่ยืนยัน</x:v>
      </x:c>
      <x:c r="O17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7" s="25" t="n">
        <x:v>46315</x:v>
      </x:c>
      <x:c r="Q17" s="27" t="str">
        <x:v>ยังไม่ตรวจ</x:v>
      </x:c>
      <x:c r="R17" s="27" t="str">
        <x:v>รอติดต่อ</x:v>
      </x:c>
    </x:row>
    <x:row r="18" ht="96" customHeight="1">
      <x:c r="A18" s="24" t="str">
        <x:v>TMF-010</x:v>
      </x:c>
      <x:c r="B18" s="20" t="str">
        <x:v>สเต็กรอมะฮ์ กระเพราแซ่บ ผัดเผ็ดปลาแม่น้ำ</x:v>
      </x:c>
      <x:c r="C18" s="20" t="str">
        <x:v>พระนครศรีอยุธยา</x:v>
      </x:c>
      <x:c r="D18" s="20" t="str">
        <x:v>คงไว้ในชุด 600</x:v>
      </x:c>
      <x:c r="E18" s="20" t="str">
        <x:v>หลักฐานไม่พอ รอยืนยันการเปิด</x:v>
      </x:c>
      <x:c r="F18" s="20" t="str">
        <x:v>ยังไม่ยืนยันการเปิดให้บริการปัจจุบัน</x:v>
      </x:c>
      <x:c r="G18" s="26" t="n">
        <x:v>1</x:v>
      </x:c>
      <x:c r="H18" s="23" t="str"/>
      <x:c r="I18" s="23" t="str"/>
      <x:c r="J18" s="23" t="str"/>
      <x:c r="K18" s="23" t="str"/>
      <x:c r="L18" s="23" t="str"/>
      <x:c r="M18" s="23" t="str"/>
      <x:c r="N18" s="20" t="str">
        <x:v>ยังไม่ยืนยัน</x:v>
      </x:c>
      <x:c r="O1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8" s="25" t="n">
        <x:v>46315</x:v>
      </x:c>
      <x:c r="Q18" s="27" t="str">
        <x:v>ยังไม่ตรวจ</x:v>
      </x:c>
      <x:c r="R18" s="27" t="str">
        <x:v>รอติดต่อ</x:v>
      </x:c>
    </x:row>
    <x:row r="19" ht="76" customHeight="1">
      <x:c r="A19" s="24" t="str">
        <x:v>TMF-011</x:v>
      </x:c>
      <x:c r="B19" s="20" t="str">
        <x:v>สเต๊กครูตา มุสลิมอยุธยา</x:v>
      </x:c>
      <x:c r="C19" s="20" t="str">
        <x:v>พระนครศรีอยุธยา</x:v>
      </x:c>
      <x:c r="D19" s="20" t="str">
        <x:v>คงไว้ในชุด 600</x:v>
      </x:c>
      <x:c r="E19" s="20" t="str">
        <x:v>พบหลายแหล่งสัมพันธ์กับชื่อ รอยืนยันการเปิด</x:v>
      </x:c>
      <x:c r="F19" s="20" t="str">
        <x:v>ยังไม่ยืนยันการเปิดให้บริการปัจจุบัน</x:v>
      </x:c>
      <x:c r="G19" s="26" t="n">
        <x:v>2</x:v>
      </x:c>
      <x:c r="H19" s="23" t="str"/>
      <x:c r="I19" s="23" t="str"/>
      <x:c r="J19" s="23" t="e">
        <x:f>HYPERLINK("https://www.wongnai.com/restaurants/761553wN-%E0%B8%AA%E0%B9%80%E0%B8%95%E0%B9%87%E0%B8%81-%E0%B8%84%E0%B8%A3%E0%B8%B9%E0%B8%95%E0%B8%B2-%E0%B8%AA%E0%B9%80%E0%B8%95%E0%B9%87%E0%B8%81-%E0%B8%84%E0%B8%A3%E0%B8%B9%E0%B8%95%E0%B8%B2","เปิดหน้ารีวิว 1")</x:f>
        <x:v>HYPERLINK is not implemented. linkLocation=https://www.wongnai.com/restaurants/761553wN-%E0%B8%AA%E0%B9%80%E0%B8%95%E0%B9%87%E0%B8%81-%E0%B8%84%E0%B8%A3%E0%B8%B9%E0%B8%95%E0%B8%B2-%E0%B8%AA%E0%B9%80%E0%B8%95%E0%B9%87%E0%B8%81-%E0%B8%84%E0%B8%A3%E0%B8%B9%E0%B8%95%E0%B8%B2, friendlyName=เปิดหน้ารีวิว 1</x:v>
      </x:c>
      <x:c r="K19" s="23" t="e">
        <x:f>HYPERLINK("https://www.wongnai.com/reviews/229d8bc2c9c848858953167e1aca7073","เปิดหน้ารีวิว 2")</x:f>
        <x:v>HYPERLINK is not implemented. linkLocation=https://www.wongnai.com/reviews/229d8bc2c9c848858953167e1aca7073, friendlyName=เปิดหน้ารีวิว 2</x:v>
      </x:c>
      <x:c r="L19" s="23" t="str"/>
      <x:c r="M19" s="23" t="str"/>
      <x:c r="N19" s="20" t="str">
        <x:v>ยังไม่ยืนยัน</x:v>
      </x:c>
      <x:c r="O1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9" s="25" t="n">
        <x:v>46315</x:v>
      </x:c>
      <x:c r="Q19" s="27" t="str">
        <x:v>ยังไม่ตรวจ</x:v>
      </x:c>
      <x:c r="R19" s="27" t="str">
        <x:v>รอติดต่อ</x:v>
      </x:c>
    </x:row>
    <x:row r="20" ht="76" customHeight="1">
      <x:c r="A20" s="24" t="str">
        <x:v>TMF-012</x:v>
      </x:c>
      <x:c r="B20" s="20" t="str">
        <x:v>ห้องอาหาร สุใบด๊ะห์ชวนชิม สาขาไม้ตรา (อยุธยา)</x:v>
      </x:c>
      <x:c r="C20" s="20" t="str">
        <x:v>พระนครศรีอยุธยา</x:v>
      </x:c>
      <x:c r="D20" s="20" t="str">
        <x:v>คงไว้ในชุด 600</x:v>
      </x:c>
      <x:c r="E20" s="20" t="str">
        <x:v>พบหลายแหล่งสัมพันธ์กับชื่อ รอยืนยันการเปิด</x:v>
      </x:c>
      <x:c r="F20" s="20" t="str">
        <x:v>ยังไม่ยืนยันการเปิดให้บริการปัจจุบัน</x:v>
      </x:c>
      <x:c r="G20" s="26" t="n">
        <x:v>2</x:v>
      </x:c>
      <x:c r="H20" s="23" t="str"/>
      <x:c r="I20" s="23" t="str"/>
      <x:c r="J20" s="23" t="str"/>
      <x:c r="K20" s="23" t="str"/>
      <x:c r="L20" s="23" t="e">
        <x:f>HYPERLINK("https://lacarte.menu/restaurants/bang-sai/hngaahaarsaibdahchwnchm-saakhaa2aimtraa","เปิดเว็บเพิ่ม 1")</x:f>
        <x:v>HYPERLINK is not implemented. linkLocation=https://lacarte.menu/restaurants/bang-sai/hngaahaarsaibdahchwnchm-saakhaa2aimtraa, friendlyName=เปิดเว็บเพิ่ม 1</x:v>
      </x:c>
      <x:c r="M20" s="23" t="str"/>
      <x:c r="N20" s="20" t="str">
        <x:v>ยังไม่ยืนยัน</x:v>
      </x:c>
      <x:c r="O20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0" s="25" t="n">
        <x:v>46315</x:v>
      </x:c>
      <x:c r="Q20" s="27" t="str">
        <x:v>ยังไม่ตรวจ</x:v>
      </x:c>
      <x:c r="R20" s="27" t="str">
        <x:v>รอติดต่อ</x:v>
      </x:c>
    </x:row>
    <x:row r="21" ht="76" customHeight="1">
      <x:c r="A21" s="24" t="str">
        <x:v>TMF-013</x:v>
      </x:c>
      <x:c r="B21" s="20" t="str">
        <x:v>ฮาลาล บ้านไม้</x:v>
      </x:c>
      <x:c r="C21" s="20" t="str">
        <x:v>พระนครศรีอยุธยา</x:v>
      </x:c>
      <x:c r="D21" s="20" t="str">
        <x:v>คงไว้ในชุด 600</x:v>
      </x:c>
      <x:c r="E21" s="20" t="str">
        <x:v>พบหลายแหล่งสัมพันธ์กับชื่อ รอยืนยันการเปิด</x:v>
      </x:c>
      <x:c r="F21" s="20" t="str">
        <x:v>ยังไม่ยืนยันการเปิดให้บริการปัจจุบัน</x:v>
      </x:c>
      <x:c r="G21" s="26" t="n">
        <x:v>2</x:v>
      </x:c>
      <x:c r="H21" s="23" t="str"/>
      <x:c r="I21" s="23" t="str"/>
      <x:c r="J21" s="23" t="str"/>
      <x:c r="K21" s="23" t="str"/>
      <x:c r="L21" s="23" t="e">
        <x:f>HYPERLINK("https://halaman-kuning.cybo.com/TH/phra-nakhon-si-ayutthaya/restoran-halal","เปิดเว็บเพิ่ม 1")</x:f>
        <x:v>HYPERLINK is not implemented. linkLocation=https://halaman-kuning.cybo.com/TH/phra-nakhon-si-ayutthaya/restoran-halal, friendlyName=เปิดเว็บเพิ่ม 1</x:v>
      </x:c>
      <x:c r="M21" s="23" t="str"/>
      <x:c r="N21" s="20" t="str">
        <x:v>ยังไม่ยืนยัน</x:v>
      </x:c>
      <x:c r="O21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1" s="25" t="n">
        <x:v>46315</x:v>
      </x:c>
      <x:c r="Q21" s="27" t="str">
        <x:v>ยังไม่ตรวจ</x:v>
      </x:c>
      <x:c r="R21" s="27" t="str">
        <x:v>รอติดต่อ</x:v>
      </x:c>
    </x:row>
    <x:row r="22" ht="96" customHeight="1">
      <x:c r="A22" s="24" t="str">
        <x:v>TMF-014</x:v>
      </x:c>
      <x:c r="B22" s="20" t="str">
        <x:v>เตี๋ยวติดน้ำ บ้านผู้ใหญ่ลี</x:v>
      </x:c>
      <x:c r="C22" s="20" t="str">
        <x:v>พระนครศรีอยุธยา</x:v>
      </x:c>
      <x:c r="D22" s="20" t="str">
        <x:v>คงไว้ในชุด 600</x:v>
      </x:c>
      <x:c r="E22" s="20" t="str">
        <x:v>หลักฐานไม่พอ รอยืนยันการเปิด</x:v>
      </x:c>
      <x:c r="F22" s="20" t="str">
        <x:v>ยังไม่ยืนยันการเปิดให้บริการปัจจุบัน</x:v>
      </x:c>
      <x:c r="G22" s="26" t="n">
        <x:v>1</x:v>
      </x:c>
      <x:c r="H22" s="23" t="str"/>
      <x:c r="I22" s="23" t="str"/>
      <x:c r="J22" s="23" t="str"/>
      <x:c r="K22" s="23" t="str"/>
      <x:c r="L22" s="23" t="str"/>
      <x:c r="M22" s="23" t="str"/>
      <x:c r="N22" s="20" t="str">
        <x:v>ยังไม่ยืนยัน</x:v>
      </x:c>
      <x:c r="O2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2" s="25" t="n">
        <x:v>46315</x:v>
      </x:c>
      <x:c r="Q22" s="27" t="str">
        <x:v>ยังไม่ตรวจ</x:v>
      </x:c>
      <x:c r="R22" s="27" t="str">
        <x:v>รอติดต่อ</x:v>
      </x:c>
    </x:row>
    <x:row r="23" ht="96" customHeight="1">
      <x:c r="A23" s="24" t="str">
        <x:v>TMF-015</x:v>
      </x:c>
      <x:c r="B23" s="20" t="str">
        <x:v>ครัวฮาลาล ณ.กาญจนบุรี</x:v>
      </x:c>
      <x:c r="C23" s="20" t="str">
        <x:v>กาญจนบุรี</x:v>
      </x:c>
      <x:c r="D23" s="20" t="str">
        <x:v>คงไว้ในชุด 600</x:v>
      </x:c>
      <x:c r="E23" s="20" t="str">
        <x:v>หลักฐานไม่พอ รอยืนยันการเปิด</x:v>
      </x:c>
      <x:c r="F23" s="20" t="str">
        <x:v>ยังไม่ยืนยันการเปิดให้บริการปัจจุบัน</x:v>
      </x:c>
      <x:c r="G23" s="26" t="n">
        <x:v>1</x:v>
      </x:c>
      <x:c r="H23" s="23" t="str"/>
      <x:c r="I23" s="23" t="str"/>
      <x:c r="J23" s="23" t="str"/>
      <x:c r="K23" s="23" t="str"/>
      <x:c r="L23" s="23" t="str"/>
      <x:c r="M23" s="23" t="str"/>
      <x:c r="N23" s="20" t="str">
        <x:v>ยังไม่ยืนยัน</x:v>
      </x:c>
      <x:c r="O2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3" s="25" t="n">
        <x:v>46315</x:v>
      </x:c>
      <x:c r="Q23" s="27" t="str">
        <x:v>ยังไม่ตรวจ</x:v>
      </x:c>
      <x:c r="R23" s="27" t="str">
        <x:v>รอติดต่อ</x:v>
      </x:c>
    </x:row>
    <x:row r="24" ht="76" customHeight="1">
      <x:c r="A24" s="24" t="str">
        <x:v>TMF-016</x:v>
      </x:c>
      <x:c r="B24" s="20" t="str">
        <x:v>ดาดาโรตีโอ่ง กาญจนบุรี</x:v>
      </x:c>
      <x:c r="C24" s="20" t="str">
        <x:v>กาญจนบุรี</x:v>
      </x:c>
      <x:c r="D24" s="20" t="str">
        <x:v>คงไว้ในชุด 600</x:v>
      </x:c>
      <x:c r="E24" s="20" t="str">
        <x:v>พบหลายแหล่งสัมพันธ์กับชื่อ รอยืนยันการเปิด</x:v>
      </x:c>
      <x:c r="F24" s="20" t="str">
        <x:v>ยังไม่ยืนยันการเปิดให้บริการปัจจุบัน</x:v>
      </x:c>
      <x:c r="G24" s="26" t="n">
        <x:v>4</x:v>
      </x:c>
      <x:c r="H24" s="23" t="str"/>
      <x:c r="I24" s="23" t="str"/>
      <x:c r="J24" s="23" t="e">
        <x:f>HYPERLINK("https://www.wongnai.com/restaurants/270059PV-%E0%B8%94%E0%B8%B2%E0%B8%94%E0%B8%B2-%E0%B9%82%E0%B8%A3%E0%B8%95%E0%B8%B5%E0%B9%82%E0%B8%AD%E0%B9%88%E0%B8%87-%E0%B8%81%E0%B8%B2%E0%B8%8D%E0%B8%88%E0%B8%99%E0%B8%9A%E0%B8%B8%E0%B8%A3%E0%B8%B5/menu/photos/cbd3d47b1e47426e9b2ee92c055c31ff","เปิดหน้ารีวิว 1")</x:f>
        <x:v>HYPERLINK is not implemented. linkLocation=https://www.wongnai.com/restaurants/270059PV-%E0%B8%94%E0%B8%B2%E0%B8%94%E0%B8%B2-%E0%B9%82%E0%B8%A3%E0%B8%95%E0%B8%B5%E0%B9%82%E0%B8%AD%E0%B9%88%E0%B8%87-%E0%B8%81%E0%B8%B2%E0%B8%8D%E0%B8%88%E0%B8%99%E0%B8%9A%E0%B8%B8%E0%B8%A3%E0%B8%B5/menu/photos/cbd3d47b1e47426e9b2ee92c055c31ff, friendlyName=เปิดหน้ารีวิว 1</x:v>
      </x:c>
      <x:c r="K24" s="23" t="e">
        <x:f>HYPERLINK("https://www.lemon8-app.com/%40after.wedding.journey/7643410166009053703?region=th","เปิดหน้ารีวิว 2")</x:f>
        <x:v>HYPERLINK is not implemented. linkLocation=https://www.lemon8-app.com/%40after.wedding.journey/7643410166009053703?region=th, friendlyName=เปิดหน้ารีวิว 2</x:v>
      </x:c>
      <x:c r="L24" s="23" t="e">
        <x:f>HYPERLINK("https://www.thaithurkic.com/%E0%B8%94%E0%B8%B2%E0%B8%94%E0%B8%B2%E0%B9%82%E0%B8%A3%E0%B8%95%E0%B8%B5%E0%B9%82%E0%B8%AD%E0%B9%88%E0%B8%87_28-089-501-8527","เปิดเว็บเพิ่ม 1")</x:f>
        <x:v>HYPERLINK is not implemented. linkLocation=https://www.thaithurkic.com/%E0%B8%94%E0%B8%B2%E0%B8%94%E0%B8%B2%E0%B9%82%E0%B8%A3%E0%B8%95%E0%B8%B5%E0%B9%82%E0%B8%AD%E0%B9%88%E0%B8%87_28-089-501-8527, friendlyName=เปิดเว็บเพิ่ม 1</x:v>
      </x:c>
      <x:c r="M24" s="23" t="str"/>
      <x:c r="N24" s="20" t="str">
        <x:v>ยังไม่ยืนยัน</x:v>
      </x:c>
      <x:c r="O2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4" s="25" t="n">
        <x:v>46315</x:v>
      </x:c>
      <x:c r="Q24" s="27" t="str">
        <x:v>ยังไม่ตรวจ</x:v>
      </x:c>
      <x:c r="R24" s="27" t="str">
        <x:v>รอติดต่อ</x:v>
      </x:c>
    </x:row>
    <x:row r="25" ht="96" customHeight="1">
      <x:c r="A25" s="24" t="str">
        <x:v>TMF-017</x:v>
      </x:c>
      <x:c r="B25" s="20" t="str">
        <x:v>อาบี อาหารไทยมุสลิม&amp;โรตีแป้งทอด</x:v>
      </x:c>
      <x:c r="C25" s="20" t="str">
        <x:v>ราชบุรี</x:v>
      </x:c>
      <x:c r="D25" s="20" t="str">
        <x:v>คงไว้ในชุด 600</x:v>
      </x:c>
      <x:c r="E25" s="20" t="str">
        <x:v>หลักฐานไม่พอ รอยืนยันการเปิด</x:v>
      </x:c>
      <x:c r="F25" s="20" t="str">
        <x:v>ยังไม่ยืนยันการเปิดให้บริการปัจจุบัน</x:v>
      </x:c>
      <x:c r="G25" s="26" t="n">
        <x:v>1</x:v>
      </x:c>
      <x:c r="H25" s="23" t="str"/>
      <x:c r="I25" s="23" t="str"/>
      <x:c r="J25" s="23" t="str"/>
      <x:c r="K25" s="23" t="str"/>
      <x:c r="L25" s="23" t="str"/>
      <x:c r="M25" s="23" t="str"/>
      <x:c r="N25" s="20" t="str">
        <x:v>ยังไม่ยืนยัน</x:v>
      </x:c>
      <x:c r="O2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5" s="25" t="n">
        <x:v>46315</x:v>
      </x:c>
      <x:c r="Q25" s="27" t="str">
        <x:v>ยังไม่ตรวจ</x:v>
      </x:c>
      <x:c r="R25" s="27" t="str">
        <x:v>รอติดต่อ</x:v>
      </x:c>
    </x:row>
    <x:row r="26" ht="76" customHeight="1">
      <x:c r="A26" s="24" t="str">
        <x:v>TMF-018</x:v>
      </x:c>
      <x:c r="B26" s="20" t="str">
        <x:v>โรตีบังมิง บ้านสวน</x:v>
      </x:c>
      <x:c r="C26" s="20" t="str">
        <x:v>ราชบุรี</x:v>
      </x:c>
      <x:c r="D26" s="20" t="str">
        <x:v>คงไว้ในชุด 600</x:v>
      </x:c>
      <x:c r="E26" s="20" t="str">
        <x:v>พบหลายแหล่งสัมพันธ์กับชื่อ รอยืนยันการเปิด</x:v>
      </x:c>
      <x:c r="F26" s="20" t="str">
        <x:v>ยังไม่ยืนยันการเปิดให้บริการปัจจุบัน</x:v>
      </x:c>
      <x:c r="G26" s="26" t="n">
        <x:v>4</x:v>
      </x:c>
      <x:c r="H26" s="23" t="str"/>
      <x:c r="I26" s="23" t="str"/>
      <x:c r="J26" s="23" t="e">
        <x:f>HYPERLINK("https://www.lemon8-app.com/%40chomlisa.log/7454075536081207815?region=th","เปิดหน้ารีวิว 1")</x:f>
        <x:v>HYPERLINK is not implemented. linkLocation=https://www.lemon8-app.com/%40chomlisa.log/7454075536081207815?region=th, friendlyName=เปิดหน้ารีวิว 1</x:v>
      </x:c>
      <x:c r="K26" s="23" t="e">
        <x:f>HYPERLINK("https://www.lemon8-app.com/%40ddaniel.sar/7437881199869461000?region=th","เปิดหน้ารีวิว 2")</x:f>
        <x:v>HYPERLINK is not implemented. linkLocation=https://www.lemon8-app.com/%40ddaniel.sar/7437881199869461000?region=th, friendlyName=เปิดหน้ารีวิว 2</x:v>
      </x:c>
      <x:c r="L26" s="23" t="e">
        <x:f>HYPERLINK("https://menu.in.th/Roti","เปิดเว็บเพิ่ม 1")</x:f>
        <x:v>HYPERLINK is not implemented. linkLocation=https://menu.in.th/Roti, friendlyName=เปิดเว็บเพิ่ม 1</x:v>
      </x:c>
      <x:c r="M26" s="23" t="str"/>
      <x:c r="N26" s="20" t="str">
        <x:v>ยังไม่ยืนยัน</x:v>
      </x:c>
      <x:c r="O2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6" s="25" t="n">
        <x:v>46315</x:v>
      </x:c>
      <x:c r="Q26" s="27" t="str">
        <x:v>ยังไม่ตรวจ</x:v>
      </x:c>
      <x:c r="R26" s="27" t="str">
        <x:v>รอติดต่อ</x:v>
      </x:c>
    </x:row>
    <x:row r="27" ht="76" customHeight="1">
      <x:c r="A27" s="24" t="str">
        <x:v>TMF-019</x:v>
      </x:c>
      <x:c r="B27" s="20" t="str">
        <x:v>ไทย-มุสลิม(Thai-Muslim Restaurant)</x:v>
      </x:c>
      <x:c r="C27" s="20" t="str">
        <x:v>ราชบุรี</x:v>
      </x:c>
      <x:c r="D27" s="20" t="str">
        <x:v>คงไว้ในชุด 600</x:v>
      </x:c>
      <x:c r="E27" s="20" t="str">
        <x:v>พบหลายแหล่งสัมพันธ์กับชื่อ รอยืนยันการเปิด</x:v>
      </x:c>
      <x:c r="F27" s="20" t="str">
        <x:v>ยังไม่ยืนยันการเปิดให้บริการปัจจุบัน</x:v>
      </x:c>
      <x:c r="G27" s="26" t="n">
        <x:v>6</x:v>
      </x:c>
      <x:c r="H27" s="23" t="str"/>
      <x:c r="I27" s="23" t="str"/>
      <x:c r="J27" s="23" t="e">
        <x:f>HYPERLINK("https://www.wongnai.com/restaurants/103556Sr-%E0%B8%A3%E0%B9%89%E0%B8%B2%E0%B8%99%E0%B8%AD%E0%B8%B2%E0%B8%AB%E0%B8%B2%E0%B8%A3%E0%B9%84%E0%B8%97%E0%B8%A2-%E0%B8%A1%E0%B8%B8%E0%B8%AA%E0%B8%A5%E0%B8%B4%E0%B8%A1","เปิดหน้ารีวิว 1")</x:f>
        <x:v>HYPERLINK is not implemented. linkLocation=https://www.wongnai.com/restaurants/103556Sr-%E0%B8%A3%E0%B9%89%E0%B8%B2%E0%B8%99%E0%B8%AD%E0%B8%B2%E0%B8%AB%E0%B8%B2%E0%B8%A3%E0%B9%84%E0%B8%97%E0%B8%A2-%E0%B8%A1%E0%B8%B8%E0%B8%AA%E0%B8%A5%E0%B8%B4%E0%B8%A1, friendlyName=เปิดหน้ารีวิว 1</x:v>
      </x:c>
      <x:c r="K27" s="23" t="str"/>
      <x:c r="L27" s="23" t="e">
        <x:f>HYPERLINK("https://www.thaithurkic.com/%E0%B8%A3%E0%B9%89%E0%B8%B2%E0%B8%99%E0%B9%84%E0%B8%97%E0%B8%A2-%E0%B8%A1%E0%B8%B8%E0%B8%AA%E0%B8%A5%E0%B8%B4%E0%B8%A1-thai-muslim-restaurant-080-526-5106","เปิดเว็บเพิ่ม 1")</x:f>
        <x:v>HYPERLINK is not implemented. linkLocation=https://www.thaithurkic.com/%E0%B8%A3%E0%B9%89%E0%B8%B2%E0%B8%99%E0%B9%84%E0%B8%97%E0%B8%A2-%E0%B8%A1%E0%B8%B8%E0%B8%AA%E0%B8%A5%E0%B8%B4%E0%B8%A1-thai-muslim-restaurant-080-526-5106, friendlyName=เปิดเว็บเพิ่ม 1</x:v>
      </x:c>
      <x:c r="M27" s="23" t="e">
        <x:f>HYPERLINK("https://lacarte.menu/restaurants/ratchaburi/raanaithy-mslmthai-muslim","เปิดเว็บเพิ่ม 2")</x:f>
        <x:v>HYPERLINK is not implemented. linkLocation=https://lacarte.menu/restaurants/ratchaburi/raanaithy-mslmthai-muslim, friendlyName=เปิดเว็บเพิ่ม 2</x:v>
      </x:c>
      <x:c r="N27" s="20" t="str">
        <x:v>ยังไม่ยืนยัน</x:v>
      </x:c>
      <x:c r="O2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7" s="25" t="n">
        <x:v>46315</x:v>
      </x:c>
      <x:c r="Q27" s="27" t="str">
        <x:v>ยังไม่ตรวจ</x:v>
      </x:c>
      <x:c r="R27" s="27" t="str">
        <x:v>รอติดต่อ</x:v>
      </x:c>
    </x:row>
    <x:row r="28" ht="76" customHeight="1">
      <x:c r="A28" s="24" t="str">
        <x:v>TMF-020</x:v>
      </x:c>
      <x:c r="B28" s="20" t="str">
        <x:v>Alama Sea Village Resort Koh Lanta</x:v>
      </x:c>
      <x:c r="C28" s="20" t="str">
        <x:v>กระบี่</x:v>
      </x:c>
      <x:c r="D28" s="20" t="str">
        <x:v>คงไว้ในชุด 600</x:v>
      </x:c>
      <x:c r="E28" s="20" t="str">
        <x:v>พบหลายแหล่งสัมพันธ์กับชื่อ รอยืนยันการเปิด</x:v>
      </x:c>
      <x:c r="F28" s="20" t="str">
        <x:v>ยังไม่ยืนยันการเปิดให้บริการปัจจุบัน</x:v>
      </x:c>
      <x:c r="G28" s="26" t="n">
        <x:v>5</x:v>
      </x:c>
      <x:c r="H28" s="23" t="str"/>
      <x:c r="I28" s="23" t="str"/>
      <x:c r="J28" s="23" t="e">
        <x:f>HYPERLINK("https://www.agoda.com/alama-sea-village-resort/hotel/koh-lanta-th.html","เปิดหน้ารีวิว 1")</x:f>
        <x:v>HYPERLINK is not implemented. linkLocation=https://www.agoda.com/alama-sea-village-resort/hotel/koh-lanta-th.html, friendlyName=เปิดหน้ารีวิว 1</x:v>
      </x:c>
      <x:c r="K28" s="23" t="e">
        <x:f>HYPERLINK("https://www.agoda.com/alama-sea-village-resort-sha-extra-plus/reviews-page-2/koh-lanta-th.html","เปิดหน้ารีวิว 2")</x:f>
        <x:v>HYPERLINK is not implemented. linkLocation=https://www.agoda.com/alama-sea-village-resort-sha-extra-plus/reviews-page-2/koh-lanta-th.html, friendlyName=เปิดหน้ารีวิว 2</x:v>
      </x:c>
      <x:c r="L28" s="23" t="e">
        <x:f>HYPERLINK("https://www.traveloka.com/en-th/hotel/thailand/alama-sea-village-resort-1000000482168","เปิดเว็บเพิ่ม 1")</x:f>
        <x:v>HYPERLINK is not implemented. linkLocation=https://www.traveloka.com/en-th/hotel/thailand/alama-sea-village-resort-1000000482168, friendlyName=เปิดเว็บเพิ่ม 1</x:v>
      </x:c>
      <x:c r="M28" s="23" t="e">
        <x:f>HYPERLINK("https://www.ktc.co.th/en/promotion/air-ticket-hotels-travel/hotels-resorts/alama-sea-village-resort-koh-lanta","เปิดเว็บเพิ่ม 2")</x:f>
        <x:v>HYPERLINK is not implemented. linkLocation=https://www.ktc.co.th/en/promotion/air-ticket-hotels-travel/hotels-resorts/alama-sea-village-resort-koh-lanta, friendlyName=เปิดเว็บเพิ่ม 2</x:v>
      </x:c>
      <x:c r="N28" s="20" t="str">
        <x:v>ยังไม่ยืนยัน</x:v>
      </x:c>
      <x:c r="O2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8" s="25" t="n">
        <x:v>46315</x:v>
      </x:c>
      <x:c r="Q28" s="27" t="str">
        <x:v>ยังไม่ตรวจ</x:v>
      </x:c>
      <x:c r="R28" s="27" t="str">
        <x:v>รอติดต่อ</x:v>
      </x:c>
    </x:row>
    <x:row r="29" ht="76" customHeight="1">
      <x:c r="A29" s="24" t="str">
        <x:v>TMF-021</x:v>
      </x:c>
      <x:c r="B29" s="20" t="str">
        <x:v>Aonang Fiore resort, Krabi Thailand</x:v>
      </x:c>
      <x:c r="C29" s="20" t="str">
        <x:v>กระบี่</x:v>
      </x:c>
      <x:c r="D29" s="20" t="str">
        <x:v>คงไว้ในชุด 600</x:v>
      </x:c>
      <x:c r="E29" s="20" t="str">
        <x:v>พบหลายแหล่งสัมพันธ์กับชื่อ รอยืนยันการเปิด</x:v>
      </x:c>
      <x:c r="F29" s="20" t="str">
        <x:v>ยังไม่ยืนยันการเปิดให้บริการปัจจุบัน</x:v>
      </x:c>
      <x:c r="G29" s="26" t="n">
        <x:v>7</x:v>
      </x:c>
      <x:c r="H29" s="23" t="str"/>
      <x:c r="I29" s="23" t="str"/>
      <x:c r="J29" s="23" t="e">
        <x:f>HYPERLINK("https://www.tripadvisor.com/Hotel_Review-g1507054-d10006885-Reviews-Aonang_Fiore_Resort-Ao_Nang_Krabi_Province.html","เปิดหน้ารีวิว 1")</x:f>
        <x:v>HYPERLINK is not implemented. linkLocation=https://www.tripadvisor.com/Hotel_Review-g1507054-d10006885-Reviews-Aonang_Fiore_Resort-Ao_Nang_Krabi_Province.html, friendlyName=เปิดหน้ารีวิว 1</x:v>
      </x:c>
      <x:c r="K29" s="23" t="e">
        <x:f>HYPERLINK("https://www.agoda.com/aonang-fiore-resort/hotel/krabi-th.html","เปิดหน้ารีวิว 2")</x:f>
        <x:v>HYPERLINK is not implemented. linkLocation=https://www.agoda.com/aonang-fiore-resort/hotel/krabi-th.html, friendlyName=เปิดหน้ารีวิว 2</x:v>
      </x:c>
      <x:c r="L29" s="23" t="e">
        <x:f>HYPERLINK("https://www.aonangfiore.com/hotel-reviews/","เปิดเว็บเพิ่ม 1")</x:f>
        <x:v>HYPERLINK is not implemented. linkLocation=https://www.aonangfiore.com/hotel-reviews/, friendlyName=เปิดเว็บเพิ่ม 1</x:v>
      </x:c>
      <x:c r="M29" s="23" t="e">
        <x:f>HYPERLINK("https://www.aonangfiore.com/","เปิดเว็บเพิ่ม 2")</x:f>
        <x:v>HYPERLINK is not implemented. linkLocation=https://www.aonangfiore.com/, friendlyName=เปิดเว็บเพิ่ม 2</x:v>
      </x:c>
      <x:c r="N29" s="20" t="str">
        <x:v>ยังไม่ยืนยัน</x:v>
      </x:c>
      <x:c r="O2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9" s="25" t="n">
        <x:v>46315</x:v>
      </x:c>
      <x:c r="Q29" s="27" t="str">
        <x:v>ยังไม่ตรวจ</x:v>
      </x:c>
      <x:c r="R29" s="27" t="str">
        <x:v>รอติดต่อ</x:v>
      </x:c>
    </x:row>
    <x:row r="30" ht="76" customHeight="1">
      <x:c r="A30" s="24" t="str">
        <x:v>TMF-022</x:v>
      </x:c>
      <x:c r="B30" s="20" t="str">
        <x:v>Aonang Phu Pi Maan Resort &amp; Spa</x:v>
      </x:c>
      <x:c r="C30" s="20" t="str">
        <x:v>กระบี่</x:v>
      </x:c>
      <x:c r="D30" s="20" t="str">
        <x:v>คงไว้ในชุด 600</x:v>
      </x:c>
      <x:c r="E30" s="20" t="str">
        <x:v>พบหลายแหล่งสัมพันธ์กับชื่อ รอยืนยันการเปิด</x:v>
      </x:c>
      <x:c r="F30" s="20" t="str">
        <x:v>ยังไม่ยืนยันการเปิดให้บริการปัจจุบัน</x:v>
      </x:c>
      <x:c r="G30" s="26" t="n">
        <x:v>5</x:v>
      </x:c>
      <x:c r="H30" s="23" t="str"/>
      <x:c r="I30" s="23" t="str"/>
      <x:c r="J30" s="23" t="e">
        <x:f>HYPERLINK("https://www.trip.com/hotels/krabi-hotel-detail-709733/aonang-phu-pi-maan-resort-spa/review.html","เปิดหน้ารีวิว 1")</x:f>
        <x:v>HYPERLINK is not implemented. linkLocation=https://www.trip.com/hotels/krabi-hotel-detail-709733/aonang-phu-pi-maan-resort-spa/review.html, friendlyName=เปิดหน้ารีวิว 1</x:v>
      </x:c>
      <x:c r="K30" s="23" t="e">
        <x:f>HYPERLINK("https://www.booking.com/hotel/th/phu-pi-maan-resort-spa.html","เปิดหน้ารีวิว 2")</x:f>
        <x:v>HYPERLINK is not implemented. linkLocation=https://www.booking.com/hotel/th/phu-pi-maan-resort-spa.html, friendlyName=เปิดหน้ารีวิว 2</x:v>
      </x:c>
      <x:c r="L30" s="23" t="e">
        <x:f>HYPERLINK("https://cdnc.heyzine.com/files/uploaded/v3/41ceb7a36ddcef1e90b10711a33e61139bb5f195.pdf","เปิดเว็บเพิ่ม 1")</x:f>
        <x:v>HYPERLINK is not implemented. linkLocation=https://cdnc.heyzine.com/files/uploaded/v3/41ceb7a36ddcef1e90b10711a33e61139bb5f195.pdf, friendlyName=เปิดเว็บเพิ่ม 1</x:v>
      </x:c>
      <x:c r="M30" s="23" t="str"/>
      <x:c r="N30" s="20" t="str">
        <x:v>ยังไม่ยืนยัน</x:v>
      </x:c>
      <x:c r="O3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0" s="25" t="n">
        <x:v>46315</x:v>
      </x:c>
      <x:c r="Q30" s="27" t="str">
        <x:v>ยังไม่ตรวจ</x:v>
      </x:c>
      <x:c r="R30" s="27" t="str">
        <x:v>รอติดต่อ</x:v>
      </x:c>
    </x:row>
    <x:row r="31" ht="96" customHeight="1">
      <x:c r="A31" s="24" t="str">
        <x:v>TMF-023</x:v>
      </x:c>
      <x:c r="B31" s="20" t="str">
        <x:v>Lanta Emerald Resort ลันตา เอ็มเมอรัล ห้องพัก ติดทะเล เกาะลันตาใหญ่ กระบี่</x:v>
      </x:c>
      <x:c r="C31" s="20" t="str">
        <x:v>กระบี่</x:v>
      </x:c>
      <x:c r="D31" s="20" t="str">
        <x:v>คงไว้ในชุด 600</x:v>
      </x:c>
      <x:c r="E31" s="20" t="str">
        <x:v>หลักฐานไม่พอ รอยืนยันการเปิด</x:v>
      </x:c>
      <x:c r="F31" s="20" t="str">
        <x:v>ยังไม่ยืนยันการเปิดให้บริการปัจจุบัน</x:v>
      </x:c>
      <x:c r="G31" s="26" t="n">
        <x:v>1</x:v>
      </x:c>
      <x:c r="H31" s="23" t="str"/>
      <x:c r="I31" s="23" t="str"/>
      <x:c r="J31" s="23" t="str"/>
      <x:c r="K31" s="23" t="str"/>
      <x:c r="L31" s="23" t="str"/>
      <x:c r="M31" s="23" t="str"/>
      <x:c r="N31" s="20" t="str">
        <x:v>ยังไม่ยืนยัน</x:v>
      </x:c>
      <x:c r="O3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1" s="25" t="n">
        <x:v>46315</x:v>
      </x:c>
      <x:c r="Q31" s="27" t="str">
        <x:v>ยังไม่ตรวจ</x:v>
      </x:c>
      <x:c r="R31" s="27" t="str">
        <x:v>รอติดต่อ</x:v>
      </x:c>
    </x:row>
    <x:row r="32" ht="76" customHeight="1">
      <x:c r="A32" s="24" t="str">
        <x:v>TMF-024</x:v>
      </x:c>
      <x:c r="B32" s="20" t="str">
        <x:v>Railay Great View Resort &amp; Spa รีสอร์ท มุสลิม</x:v>
      </x:c>
      <x:c r="C32" s="20" t="str">
        <x:v>กระบี่</x:v>
      </x:c>
      <x:c r="D32" s="20" t="str">
        <x:v>คงไว้ในชุด 600</x:v>
      </x:c>
      <x:c r="E32" s="20" t="str">
        <x:v>พบหลายแหล่งสัมพันธ์กับชื่อ รอยืนยันการเปิด</x:v>
      </x:c>
      <x:c r="F32" s="20" t="str">
        <x:v>ยังไม่ยืนยันการเปิดให้บริการปัจจุบัน</x:v>
      </x:c>
      <x:c r="G32" s="26" t="n">
        <x:v>2</x:v>
      </x:c>
      <x:c r="H32" s="23" t="str"/>
      <x:c r="I32" s="23" t="str"/>
      <x:c r="J32" s="23" t="str"/>
      <x:c r="K32" s="23" t="str"/>
      <x:c r="L32" s="23" t="e">
        <x:f>HYPERLINK("https://chillpainai.com/scoop/12845","เปิดเว็บเพิ่ม 1")</x:f>
        <x:v>HYPERLINK is not implemented. linkLocation=https://chillpainai.com/scoop/12845, friendlyName=เปิดเว็บเพิ่ม 1</x:v>
      </x:c>
      <x:c r="M32" s="23" t="str"/>
      <x:c r="N32" s="20" t="str">
        <x:v>ยังไม่ยืนยัน</x:v>
      </x:c>
      <x:c r="O32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2" s="25" t="n">
        <x:v>46315</x:v>
      </x:c>
      <x:c r="Q32" s="27" t="str">
        <x:v>ยังไม่ตรวจ</x:v>
      </x:c>
      <x:c r="R32" s="27" t="str">
        <x:v>รอติดต่อ</x:v>
      </x:c>
    </x:row>
    <x:row r="33" ht="76" customHeight="1">
      <x:c r="A33" s="24" t="str">
        <x:v>TMF-025</x:v>
      </x:c>
      <x:c r="B33" s="20" t="str">
        <x:v>Railay Village Resort , Krabi - Thailand</x:v>
      </x:c>
      <x:c r="C33" s="20" t="str">
        <x:v>กระบี่</x:v>
      </x:c>
      <x:c r="D33" s="20" t="str">
        <x:v>คงไว้ในชุด 600</x:v>
      </x:c>
      <x:c r="E33" s="20" t="str">
        <x:v>พบหลายแหล่งสัมพันธ์กับชื่อ รอยืนยันการเปิด</x:v>
      </x:c>
      <x:c r="F33" s="20" t="str">
        <x:v>ยังไม่ยืนยันการเปิดให้บริการปัจจุบัน</x:v>
      </x:c>
      <x:c r="G33" s="26" t="n">
        <x:v>7</x:v>
      </x:c>
      <x:c r="H33" s="23" t="str"/>
      <x:c r="I33" s="23" t="str"/>
      <x:c r="J33" s="23" t="e">
        <x:f>HYPERLINK("https://www.tripadvisor.com/Hotel_Review-g1507054-d781689-Reviews-Railay_Village_Resort_Spa-Ao_Nang_Krabi_Province.html","เปิดหน้ารีวิว 1")</x:f>
        <x:v>HYPERLINK is not implemented. linkLocation=https://www.tripadvisor.com/Hotel_Review-g1507054-d781689-Reviews-Railay_Village_Resort_Spa-Ao_Nang_Krabi_Province.html, friendlyName=เปิดหน้ารีวิว 1</x:v>
      </x:c>
      <x:c r="K33" s="23" t="e">
        <x:f>HYPERLINK("https://ph.hotels.com/ho358591/railay-village-resort-krabi-thailand/","เปิดหน้ารีวิว 2")</x:f>
        <x:v>HYPERLINK is not implemented. linkLocation=https://ph.hotels.com/ho358591/railay-village-resort-krabi-thailand/, friendlyName=เปิดหน้ารีวิว 2</x:v>
      </x:c>
      <x:c r="L33" s="23" t="e">
        <x:f>HYPERLINK("https://www.railayvillagekrabi.com/contact/","เปิดเว็บเพิ่ม 1")</x:f>
        <x:v>HYPERLINK is not implemented. linkLocation=https://www.railayvillagekrabi.com/contact/, friendlyName=เปิดเว็บเพิ่ม 1</x:v>
      </x:c>
      <x:c r="M33" s="23" t="e">
        <x:f>HYPERLINK("https://www.ktc.co.th/en/promotion/air-ticket-hotels-travel/hotels-resorts/railay-village-resort-krabi","เปิดเว็บเพิ่ม 2")</x:f>
        <x:v>HYPERLINK is not implemented. linkLocation=https://www.ktc.co.th/en/promotion/air-ticket-hotels-travel/hotels-resorts/railay-village-resort-krabi, friendlyName=เปิดเว็บเพิ่ม 2</x:v>
      </x:c>
      <x:c r="N33" s="20" t="str">
        <x:v>ยังไม่ยืนยัน</x:v>
      </x:c>
      <x:c r="O3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3" s="25" t="n">
        <x:v>46315</x:v>
      </x:c>
      <x:c r="Q33" s="27" t="str">
        <x:v>ยังไม่ตรวจ</x:v>
      </x:c>
      <x:c r="R33" s="27" t="str">
        <x:v>รอติดต่อ</x:v>
      </x:c>
    </x:row>
    <x:row r="34" ht="76" customHeight="1">
      <x:c r="A34" s="24" t="str">
        <x:v>TMF-026</x:v>
      </x:c>
      <x:c r="B34" s="20" t="str">
        <x:v>The tama hotel Krabi Thailand</x:v>
      </x:c>
      <x:c r="C34" s="20" t="str">
        <x:v>กระบี่</x:v>
      </x:c>
      <x:c r="D34" s="20" t="str">
        <x:v>คงไว้ในชุด 600</x:v>
      </x:c>
      <x:c r="E34" s="20" t="str">
        <x:v>พบหลายแหล่งสัมพันธ์กับชื่อ รอยืนยันการเปิด</x:v>
      </x:c>
      <x:c r="F34" s="20" t="str">
        <x:v>ยังไม่ยืนยันการเปิดให้บริการปัจจุบัน</x:v>
      </x:c>
      <x:c r="G34" s="26" t="n">
        <x:v>7</x:v>
      </x:c>
      <x:c r="H34" s="23" t="e">
        <x:f>HYPERLINK("https://line.me/ti/p/ikbQctSbJh","เปิดช่องทาง 1")</x:f>
        <x:v>HYPERLINK is not implemented. linkLocation=https://line.me/ti/p/ikbQctSbJh, friendlyName=เปิดช่องทาง 1</x:v>
      </x:c>
      <x:c r="I34" s="23" t="str"/>
      <x:c r="J34" s="23" t="e">
        <x:f>HYPERLINK("https://www.agoda.com/en-in/the-tama-hotel/hotel/krabi-th.html","เปิดหน้ารีวิว 1")</x:f>
        <x:v>HYPERLINK is not implemented. linkLocation=https://www.agoda.com/en-in/the-tama-hotel/hotel/krabi-th.html, friendlyName=เปิดหน้ารีวิว 1</x:v>
      </x:c>
      <x:c r="K34" s="23" t="e">
        <x:f>HYPERLINK("https://www.agoda.com/the-tama-hotel/hotel/krabi-th.html","เปิดหน้ารีวิว 2")</x:f>
        <x:v>HYPERLINK is not implemented. linkLocation=https://www.agoda.com/the-tama-hotel/hotel/krabi-th.html, friendlyName=เปิดหน้ารีวิว 2</x:v>
      </x:c>
      <x:c r="L34" s="23" t="e">
        <x:f>HYPERLINK("https://thetamahotel.com/en-gb/contacts/","เปิดเว็บเพิ่ม 1")</x:f>
        <x:v>HYPERLINK is not implemented. linkLocation=https://thetamahotel.com/en-gb/contacts/, friendlyName=เปิดเว็บเพิ่ม 1</x:v>
      </x:c>
      <x:c r="M34" s="23" t="e">
        <x:f>HYPERLINK("https://www.broadwaytravel.com/the-tama-hotel/442347","เปิดเว็บเพิ่ม 2")</x:f>
        <x:v>HYPERLINK is not implemented. linkLocation=https://www.broadwaytravel.com/the-tama-hotel/442347, friendlyName=เปิดเว็บเพิ่ม 2</x:v>
      </x:c>
      <x:c r="N34" s="20" t="str">
        <x:v>ยังไม่ยืนยัน</x:v>
      </x:c>
      <x:c r="O34" s="20" t="str">
        <x:v>ยังไม่ยืนยันวันที่โพสต์/รีวิวล่าสุดและการเปิดให้บริการปัจจุบัน</x:v>
      </x:c>
      <x:c r="P34" s="25" t="n">
        <x:v>46315</x:v>
      </x:c>
      <x:c r="Q34" s="27" t="str">
        <x:v>ยังไม่ตรวจ</x:v>
      </x:c>
      <x:c r="R34" s="27" t="str">
        <x:v>รอติดต่อ</x:v>
      </x:c>
    </x:row>
    <x:row r="35" ht="76" customHeight="1">
      <x:c r="A35" s="24" t="str">
        <x:v>TMF-027</x:v>
      </x:c>
      <x:c r="B35" s="20" t="str">
        <x:v>sunda resort, Krabi Thailand</x:v>
      </x:c>
      <x:c r="C35" s="20" t="str">
        <x:v>กระบี่</x:v>
      </x:c>
      <x:c r="D35" s="20" t="str">
        <x:v>คงไว้ในชุด 600</x:v>
      </x:c>
      <x:c r="E35" s="20" t="str">
        <x:v>พบหลายแหล่งสัมพันธ์กับชื่อ รอยืนยันการเปิด</x:v>
      </x:c>
      <x:c r="F35" s="20" t="str">
        <x:v>ยังไม่ยืนยันการเปิดให้บริการปัจจุบัน</x:v>
      </x:c>
      <x:c r="G35" s="26" t="n">
        <x:v>11</x:v>
      </x:c>
      <x:c r="H35" s="23" t="str"/>
      <x:c r="I35" s="23" t="str"/>
      <x:c r="J35" s="23" t="e">
        <x:f>HYPERLINK("https://www.google.com.my/travel/hotels/entity/ChgIgvzXlZLc9_eNARoLL2cvMXRnc2xoeWcQAQ?ts=CAEaBAoCGgAqBAoAGgA","เปิดหน้ารีวิว 1")</x:f>
        <x:v>HYPERLINK is not implemented. linkLocation=https://www.google.com.my/travel/hotels/entity/ChgIgvzXlZLc9_eNARoLL2cvMXRnc2xoeWcQAQ?ts=CAEaBAoCGgAqBAoAGgA, friendlyName=เปิดหน้ารีวิว 1</x:v>
      </x:c>
      <x:c r="K35" s="23" t="e">
        <x:f>HYPERLINK("https://www.agoda.com/en-gb/sunda-resort/hotel/krabi-th.html","เปิดหน้ารีวิว 2")</x:f>
        <x:v>HYPERLINK is not implemented. linkLocation=https://www.agoda.com/en-gb/sunda-resort/hotel/krabi-th.html, friendlyName=เปิดหน้ารีวิว 2</x:v>
      </x:c>
      <x:c r="L35" s="23" t="e">
        <x:f>HYPERLINK("https://www.hostelworld.com/hotels/p/304351/sunda-resort/","เปิดเว็บเพิ่ม 1")</x:f>
        <x:v>HYPERLINK is not implemented. linkLocation=https://www.hostelworld.com/hotels/p/304351/sunda-resort/, friendlyName=เปิดเว็บเพิ่ม 1</x:v>
      </x:c>
      <x:c r="M35" s="23" t="e">
        <x:f>HYPERLINK("https://www.hotelscombined.com/Hotel/Sunda_Resort.htm","เปิดเว็บเพิ่ม 2")</x:f>
        <x:v>HYPERLINK is not implemented. linkLocation=https://www.hotelscombined.com/Hotel/Sunda_Resort.htm, friendlyName=เปิดเว็บเพิ่ม 2</x:v>
      </x:c>
      <x:c r="N35" s="20" t="str">
        <x:v>ยังไม่ยืนยัน</x:v>
      </x:c>
      <x:c r="O3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5" s="25" t="n">
        <x:v>46315</x:v>
      </x:c>
      <x:c r="Q35" s="27" t="str">
        <x:v>ยังไม่ตรวจ</x:v>
      </x:c>
      <x:c r="R35" s="27" t="str">
        <x:v>รอติดต่อ</x:v>
      </x:c>
    </x:row>
    <x:row r="36" ht="76" customHeight="1">
      <x:c r="A36" s="24" t="str">
        <x:v>TMF-028</x:v>
      </x:c>
      <x:c r="B36" s="20" t="str">
        <x:v>บ้านครูเฉม โฮมสเตย์เกาะปู</x:v>
      </x:c>
      <x:c r="C36" s="20" t="str">
        <x:v>กระบี่</x:v>
      </x:c>
      <x:c r="D36" s="20" t="str">
        <x:v>คงไว้ในชุด 600</x:v>
      </x:c>
      <x:c r="E36" s="20" t="str">
        <x:v>พบหลายแหล่งสัมพันธ์กับชื่อ รอยืนยันการเปิด</x:v>
      </x:c>
      <x:c r="F36" s="20" t="str">
        <x:v>ยังไม่ยืนยันการเปิดให้บริการปัจจุบัน</x:v>
      </x:c>
      <x:c r="G36" s="26" t="n">
        <x:v>4</x:v>
      </x:c>
      <x:c r="H36" s="23" t="str"/>
      <x:c r="I36" s="23" t="str"/>
      <x:c r="J36" s="23" t="e">
        <x:f>HYPERLINK("https://www.google.co.th/travel/hotels/entity/ChoI_sXDqev98p7VARoNL2cvMTFuMGt6ajhmdBAB","เปิดหน้ารีวิว 1")</x:f>
        <x:v>HYPERLINK is not implemented. linkLocation=https://www.google.co.th/travel/hotels/entity/ChoI_sXDqev98p7VARoNL2cvMTFuMGt6ajhmdBAB, friendlyName=เปิดหน้ารีวิว 1</x:v>
      </x:c>
      <x:c r="K36" s="23" t="e">
        <x:f>HYPERLINK("https://www.google.com.sa/travel/hotels/entity/ChoI_sXDqev98p7VARoNL2cvMTFuMGt6ajhmdBAB?ap=MACIAQI&amp;g2lb=2502404%2C4208993%2C4223281%2C4252074%2C4253230%2C4254308%2C4258168%2C4260007%2C4265959%2C4274032%2C4274649%2C4276915%2C4276917%2C4250437%2C4251519%2C4256180%2C4265427%2C4267036%2C4270859%2C4281193&amp;gl=th&amp;gsas=1&amp;hl=th&amp;rp=OAFIAg&amp;ts=CAEaBAoCGgAqBAoAGgA&amp;un=1","เปิดหน้ารีวิว 2")</x:f>
        <x:v>HYPERLINK is not implemented. linkLocation=https://www.google.com.sa/travel/hotels/entity/ChoI_sXDqev98p7VARoNL2cvMTFuMGt6ajhmdBAB?ap=MACIAQI&amp;g2lb=2502404%2C4208993%2C4223281%2C4252074%2C4253230%2C4254308%2C4258168%2C4260007%2C4265959%2C4274032%2C4274649%2C4276915%2C4276917%2C4250437%2C4251519%2C4256180%2C4265427%2C4267036%2C4270859%2C4281193&amp;gl=th&amp;gsas=1&amp;hl=th&amp;rp=OAFIAg&amp;ts=CAEaBAoCGgAqBAoAGgA&amp;un=1, friendlyName=เปิดหน้ารีวิว 2</x:v>
      </x:c>
      <x:c r="L36" s="23" t="str"/>
      <x:c r="M36" s="23" t="str"/>
      <x:c r="N36" s="20" t="str">
        <x:v>ยังไม่ยืนยัน</x:v>
      </x:c>
      <x:c r="O3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6" s="25" t="n">
        <x:v>46315</x:v>
      </x:c>
      <x:c r="Q36" s="27" t="str">
        <x:v>ยังไม่ตรวจ</x:v>
      </x:c>
      <x:c r="R36" s="27" t="str">
        <x:v>รอติดต่อ</x:v>
      </x:c>
    </x:row>
    <x:row r="37" ht="76" customHeight="1">
      <x:c r="A37" s="24" t="str">
        <x:v>TMF-029</x:v>
      </x:c>
      <x:c r="B37" s="20" t="str">
        <x:v>อันดามัน เพิร์ล รีสอร์ท อ่าวนาง</x:v>
      </x:c>
      <x:c r="C37" s="20" t="str">
        <x:v>กระบี่</x:v>
      </x:c>
      <x:c r="D37" s="20" t="str">
        <x:v>คงไว้ในชุด 600</x:v>
      </x:c>
      <x:c r="E37" s="20" t="str">
        <x:v>พบหลายแหล่งสัมพันธ์กับชื่อ รอยืนยันการเปิด</x:v>
      </x:c>
      <x:c r="F37" s="20" t="str">
        <x:v>ยังไม่ยืนยันการเปิดให้บริการปัจจุบัน</x:v>
      </x:c>
      <x:c r="G37" s="26" t="n">
        <x:v>4</x:v>
      </x:c>
      <x:c r="H37" s="23" t="str"/>
      <x:c r="I37" s="23" t="str"/>
      <x:c r="J37" s="23" t="str"/>
      <x:c r="K37" s="23" t="str"/>
      <x:c r="L37" s="23" t="e">
        <x:f>HYPERLINK("https://www.aonang.go.th/storage/uploads/177821015899.pdf","เปิดเว็บเพิ่ม 1")</x:f>
        <x:v>HYPERLINK is not implemented. linkLocation=https://www.aonang.go.th/storage/uploads/177821015899.pdf, friendlyName=เปิดเว็บเพิ่ม 1</x:v>
      </x:c>
      <x:c r="M37" s="23" t="e">
        <x:f>HYPERLINK("https://wearekrabi.com/home/%E0%B8%AE%E0%B8%AD%E0%B8%A5%E0%B8%A5%E0%B8%B4%E0%B9%80%E0%B8%94%E0%B8%A2%E0%B9%8C-%E0%B8%AE%E0%B8%B2%E0%B8%A5%E0%B8%B2%E0%B8%A5-%E0%B8%81%E0%B8%A3%E0%B8%B0%E0%B8%9A%E0%B8%B5%E0%B9%88/%E0%B9%82%E0%B8%A3%E0%B8%87%E0%B9%81%E0%B8%A3%E0%B8%A1-%E0%B8%AD%E0%B8%A2%E0%B8%B9%E0%B9%88%E0%B8%AA%E0%B8%9A%E0%B8%B2%E0%B8%A2%E0%B8%AA%E0%B9%84%E0%B8%95%E0%B8%A5%E0%B9%8C%E0%B8%AE%E0%B8%B2/","เปิดเว็บเพิ่ม 2")</x:f>
        <x:v>HYPERLINK is not implemented. linkLocation=https://wearekrabi.com/home/%E0%B8%AE%E0%B8%AD%E0%B8%A5%E0%B8%A5%E0%B8%B4%E0%B9%80%E0%B8%94%E0%B8%A2%E0%B9%8C-%E0%B8%AE%E0%B8%B2%E0%B8%A5%E0%B8%B2%E0%B8%A5-%E0%B8%81%E0%B8%A3%E0%B8%B0%E0%B8%9A%E0%B8%B5%E0%B9%88/%E0%B9%82%E0%B8%A3%E0%B8%87%E0%B9%81%E0%B8%A3%E0%B8%A1-%E0%B8%AD%E0%B8%A2%E0%B8%B9%E0%B9%88%E0%B8%AA%E0%B8%9A%E0%B8%B2%E0%B8%A2%E0%B8%AA%E0%B9%84%E0%B8%95%E0%B8%A5%E0%B9%8C%E0%B8%AE%E0%B8%B2/, friendlyName=เปิดเว็บเพิ่ม 2</x:v>
      </x:c>
      <x:c r="N37" s="20" t="str">
        <x:v>ยังไม่ยืนยัน</x:v>
      </x:c>
      <x:c r="O37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7" s="25" t="n">
        <x:v>46315</x:v>
      </x:c>
      <x:c r="Q37" s="27" t="str">
        <x:v>ยังไม่ตรวจ</x:v>
      </x:c>
      <x:c r="R37" s="27" t="str">
        <x:v>รอติดต่อ</x:v>
      </x:c>
    </x:row>
    <x:row r="38" ht="76" customHeight="1">
      <x:c r="A38" s="24" t="str">
        <x:v>TMF-030</x:v>
      </x:c>
      <x:c r="B38" s="20" t="str">
        <x:v>โรงแรม กระบี่ ฟร้อนท์ เบย์ รีสอร์ท</x:v>
      </x:c>
      <x:c r="C38" s="20" t="str">
        <x:v>กระบี่</x:v>
      </x:c>
      <x:c r="D38" s="20" t="str">
        <x:v>คงไว้ในชุด 600</x:v>
      </x:c>
      <x:c r="E38" s="20" t="str">
        <x:v>พบหลายแหล่งสัมพันธ์กับชื่อ รอยืนยันการเปิด</x:v>
      </x:c>
      <x:c r="F38" s="20" t="str">
        <x:v>ยังไม่ยืนยันการเปิดให้บริการปัจจุบัน</x:v>
      </x:c>
      <x:c r="G38" s="26" t="n">
        <x:v>6</x:v>
      </x:c>
      <x:c r="H38" s="23" t="str"/>
      <x:c r="I38" s="23" t="str"/>
      <x:c r="J38" s="23" t="e">
        <x:f>HYPERLINK("https://www.google.co.th/travel/hotels/entity/CgsIzvunh-7l_raTARAB","เปิดหน้ารีวิว 1")</x:f>
        <x:v>HYPERLINK is not implemented. linkLocation=https://www.google.co.th/travel/hotels/entity/CgsIzvunh-7l_raTARAB, friendlyName=เปิดหน้ารีวิว 1</x:v>
      </x:c>
      <x:c r="K38" s="23" t="e">
        <x:f>HYPERLINK("https://www.google.co.th/travel/hotels/entity/ChoIzvunh-7l_raTARoNL2cvMTFiN3E4ZzgwaBAB?ap=ugEGcHJpY2Vz&amp;rp=OAHCAhwiGg0AAOhBEhMIj8zOzM6IlgMV7NBLAx0MLR5a&amp;ts=CAEaBAoCGgAqBAoAGgA","เปิดหน้ารีวิว 2")</x:f>
        <x:v>HYPERLINK is not implemented. linkLocation=https://www.google.co.th/travel/hotels/entity/ChoIzvunh-7l_raTARoNL2cvMTFiN3E4ZzgwaBAB?ap=ugEGcHJpY2Vz&amp;rp=OAHCAhwiGg0AAOhBEhMIj8zOzM6IlgMV7NBLAx0MLR5a&amp;ts=CAEaBAoCGgAqBAoAGgA, friendlyName=เปิดหน้ารีวิว 2</x:v>
      </x:c>
      <x:c r="L38" s="23" t="str"/>
      <x:c r="M38" s="23" t="str"/>
      <x:c r="N38" s="20" t="str">
        <x:v>ยังไม่ยืนยัน</x:v>
      </x:c>
      <x:c r="O3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8" s="25" t="n">
        <x:v>46315</x:v>
      </x:c>
      <x:c r="Q38" s="27" t="str">
        <x:v>ยังไม่ตรวจ</x:v>
      </x:c>
      <x:c r="R38" s="27" t="str">
        <x:v>รอติดต่อ</x:v>
      </x:c>
    </x:row>
    <x:row r="39" ht="76" customHeight="1">
      <x:c r="A39" s="24" t="str">
        <x:v>TMF-031</x:v>
      </x:c>
      <x:c r="B39" s="20" t="str">
        <x:v>Ahad Suite Ao Nang</x:v>
      </x:c>
      <x:c r="C39" s="20" t="str">
        <x:v>กระบี่</x:v>
      </x:c>
      <x:c r="D39" s="20" t="str">
        <x:v>คงไว้ในชุด 600</x:v>
      </x:c>
      <x:c r="E39" s="20" t="str">
        <x:v>พบหลายแหล่งสัมพันธ์กับชื่อ รอยืนยันการเปิด</x:v>
      </x:c>
      <x:c r="F39" s="20" t="str">
        <x:v>ยังไม่ยืนยันการเปิดให้บริการปัจจุบัน</x:v>
      </x:c>
      <x:c r="G39" s="26" t="n">
        <x:v>6</x:v>
      </x:c>
      <x:c r="H39" s="23" t="str"/>
      <x:c r="I39" s="23" t="str"/>
      <x:c r="J39" s="23" t="e">
        <x:f>HYPERLINK("https://www.agoda.com/en-sg/ahad-suite-ao-nang-by-ma/reviews/krabi-th.html","เปิดหน้ารีวิว 1")</x:f>
        <x:v>HYPERLINK is not implemented. linkLocation=https://www.agoda.com/en-sg/ahad-suite-ao-nang-by-ma/reviews/krabi-th.html, friendlyName=เปิดหน้ารีวิว 1</x:v>
      </x:c>
      <x:c r="K39" s="23" t="e">
        <x:f>HYPERLINK("https://www.agoda.com/ahad-ao-nang-by-ma/hotel/krabi-th.html","เปิดหน้ารีวิว 2")</x:f>
        <x:v>HYPERLINK is not implemented. linkLocation=https://www.agoda.com/ahad-ao-nang-by-ma/hotel/krabi-th.html, friendlyName=เปิดหน้ารีวิว 2</x:v>
      </x:c>
      <x:c r="L39" s="23" t="e">
        <x:f>HYPERLINK("https://thaihotelhub.com/hotel/ahad-suite-ao-nang/","เปิดเว็บเพิ่ม 1")</x:f>
        <x:v>HYPERLINK is not implemented. linkLocation=https://thaihotelhub.com/hotel/ahad-suite-ao-nang/, friendlyName=เปิดเว็บเพิ่ม 1</x:v>
      </x:c>
      <x:c r="M39" s="23" t="e">
        <x:f>HYPERLINK("https://cdn5.f-cdn.com/files/download/110512207/Paragon%20one.pdf","เปิดเว็บเพิ่ม 2")</x:f>
        <x:v>HYPERLINK is not implemented. linkLocation=https://cdn5.f-cdn.com/files/download/110512207/Paragon%20one.pdf, friendlyName=เปิดเว็บเพิ่ม 2</x:v>
      </x:c>
      <x:c r="N39" s="20" t="str">
        <x:v>ยังไม่ยืนยัน</x:v>
      </x:c>
      <x:c r="O3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9" s="25" t="n">
        <x:v>46315</x:v>
      </x:c>
      <x:c r="Q39" s="27" t="str">
        <x:v>ยังไม่ตรวจ</x:v>
      </x:c>
      <x:c r="R39" s="27" t="str">
        <x:v>รอติดต่อ</x:v>
      </x:c>
    </x:row>
    <x:row r="40" ht="76" customHeight="1">
      <x:c r="A40" s="24" t="str">
        <x:v>TMF-032</x:v>
      </x:c>
      <x:c r="B40" s="20" t="str">
        <x:v>White Sand Halal House Krabi</x:v>
      </x:c>
      <x:c r="C40" s="20" t="str">
        <x:v>กระบี่</x:v>
      </x:c>
      <x:c r="D40" s="20" t="str">
        <x:v>คงไว้ในชุด 600</x:v>
      </x:c>
      <x:c r="E40" s="20" t="str">
        <x:v>พบหลายแหล่งสัมพันธ์กับชื่อ รอยืนยันการเปิด</x:v>
      </x:c>
      <x:c r="F40" s="20" t="str">
        <x:v>ยังไม่ยืนยันการเปิดให้บริการปัจจุบัน</x:v>
      </x:c>
      <x:c r="G40" s="26" t="n">
        <x:v>8</x:v>
      </x:c>
      <x:c r="H40" s="23" t="e">
        <x:f>HYPERLINK("https://m.facebook.com/White-Sand-Halal-House-Krabi-747711085439162/?","เปิดช่องทาง 1")</x:f>
        <x:v>HYPERLINK is not implemented. linkLocation=https://m.facebook.com/White-Sand-Halal-House-Krabi-747711085439162/?, friendlyName=เปิดช่องทาง 1</x:v>
      </x:c>
      <x:c r="I40" s="23" t="e">
        <x:f>HYPERLINK("https://m.facebook.com/White-Sand-Halal-House-Krabi-747711085439162/?__mref=message_bubble","เปิดช่องทาง 2")</x:f>
        <x:v>HYPERLINK is not implemented. linkLocation=https://m.facebook.com/White-Sand-Halal-House-Krabi-747711085439162/?__mref=message_bubble, friendlyName=เปิดช่องทาง 2</x:v>
      </x:c>
      <x:c r="J40" s="23" t="e">
        <x:f>HYPERLINK("https://www.google.co.th/travel/hotels/entity/ChoIvKWU5_GhzsLrARoNL2cvMTFjMmp2Y3BoNBAB","เปิดหน้ารีวิว 1")</x:f>
        <x:v>HYPERLINK is not implemented. linkLocation=https://www.google.co.th/travel/hotels/entity/ChoIvKWU5_GhzsLrARoNL2cvMTFjMmp2Y3BoNBAB, friendlyName=เปิดหน้ารีวิว 1</x:v>
      </x:c>
      <x:c r="K40" s="23" t="e">
        <x:f>HYPERLINK("https://www.google.co.th/travel/hotels/entity/ChoIvKWU5_GhzsLrARoNL2cvMTFjMmp2Y3BoNBAB?ts=CAEaIAoCGgASGhIUCgcI6Q8QBxgPEgcI6Q8QBxgQGAEyAhAAKgkKBToDVVNEGgA","เปิดหน้ารีวิว 2")</x:f>
        <x:v>HYPERLINK is not implemented. linkLocation=https://www.google.co.th/travel/hotels/entity/ChoIvKWU5_GhzsLrARoNL2cvMTFjMmp2Y3BoNBAB?ts=CAEaIAoCGgASGhIUCgcI6Q8QBxgPEgcI6Q8QBxgQGAEyAhAAKgkKBToDVVNEGgA, friendlyName=เปิดหน้ารีวิว 2</x:v>
      </x:c>
      <x:c r="L40" s="23" t="e">
        <x:f>HYPERLINK("https://www.klook.com/hotels/detail/581128-white-sand-halal-house-krabi/","เปิดเว็บเพิ่ม 1")</x:f>
        <x:v>HYPERLINK is not implemented. linkLocation=https://www.klook.com/hotels/detail/581128-white-sand-halal-house-krabi/, friendlyName=เปิดเว็บเพิ่ม 1</x:v>
      </x:c>
      <x:c r="M40" s="23" t="str"/>
      <x:c r="N40" s="20" t="str">
        <x:v>ยังไม่ยืนยัน</x:v>
      </x:c>
      <x:c r="O40" s="20" t="str">
        <x:v>ยังไม่ยืนยันวันที่โพสต์/รีวิวล่าสุดและการเปิดให้บริการปัจจุบัน</x:v>
      </x:c>
      <x:c r="P40" s="25" t="n">
        <x:v>46315</x:v>
      </x:c>
      <x:c r="Q40" s="27" t="str">
        <x:v>ยังไม่ตรวจ</x:v>
      </x:c>
      <x:c r="R40" s="27" t="str">
        <x:v>รอติดต่อ</x:v>
      </x:c>
    </x:row>
    <x:row r="41" ht="76" customHeight="1">
      <x:c r="A41" s="24" t="str">
        <x:v>TMF-033</x:v>
      </x:c>
      <x:c r="B41" s="20" t="str">
        <x:v>ฮัซซานฟาร์ม</x:v>
      </x:c>
      <x:c r="C41" s="20" t="str">
        <x:v>กระบี่</x:v>
      </x:c>
      <x:c r="D41" s="20" t="str">
        <x:v>คงไว้ในชุด 600</x:v>
      </x:c>
      <x:c r="E41" s="20" t="str">
        <x:v>พบหลายแหล่งสัมพันธ์กับชื่อ รอยืนยันการเปิด</x:v>
      </x:c>
      <x:c r="F41" s="20" t="str">
        <x:v>ยังไม่ยืนยันการเปิดให้บริการปัจจุบัน</x:v>
      </x:c>
      <x:c r="G41" s="26" t="n">
        <x:v>3</x:v>
      </x:c>
      <x:c r="H41" s="23" t="str"/>
      <x:c r="I41" s="23" t="str"/>
      <x:c r="J41" s="23" t="e">
        <x:f>HYPERLINK("https://www.lemon8-app.com/nxmfonnn/7196320461326762498?region=th","เปิดหน้ารีวิว 1")</x:f>
        <x:v>HYPERLINK is not implemented. linkLocation=https://www.lemon8-app.com/nxmfonnn/7196320461326762498?region=th, friendlyName=เปิดหน้ารีวิว 1</x:v>
      </x:c>
      <x:c r="K41" s="23" t="e">
        <x:f>HYPERLINK("https://www.lemon8-app.com/%40mechayen/7454205057496629777?region=th","เปิดหน้ารีวิว 2")</x:f>
        <x:v>HYPERLINK is not implemented. linkLocation=https://www.lemon8-app.com/%40mechayen/7454205057496629777?region=th, friendlyName=เปิดหน้ารีวิว 2</x:v>
      </x:c>
      <x:c r="L41" s="23" t="e">
        <x:f>HYPERLINK("https://www.thaithurkic.com/%E0%B8%AE%E0%B8%B1%E0%B8%8B%E0%B8%8B%E0%B8%B2%E0%B8%99%E0%B8%9F%E0%B8%B2%E0%B8%A3%E0%B9%8C%E0%B8%A1-081-271-6102","เปิดเว็บเพิ่ม 1")</x:f>
        <x:v>HYPERLINK is not implemented. linkLocation=https://www.thaithurkic.com/%E0%B8%AE%E0%B8%B1%E0%B8%8B%E0%B8%8B%E0%B8%B2%E0%B8%99%E0%B8%9F%E0%B8%B2%E0%B8%A3%E0%B9%8C%E0%B8%A1-081-271-6102, friendlyName=เปิดเว็บเพิ่ม 1</x:v>
      </x:c>
      <x:c r="M41" s="23" t="str"/>
      <x:c r="N41" s="20" t="str">
        <x:v>ยังไม่ยืนยัน</x:v>
      </x:c>
      <x:c r="O4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1" s="25" t="n">
        <x:v>46315</x:v>
      </x:c>
      <x:c r="Q41" s="27" t="str">
        <x:v>ยังไม่ตรวจ</x:v>
      </x:c>
      <x:c r="R41" s="27" t="str">
        <x:v>รอติดต่อ</x:v>
      </x:c>
    </x:row>
    <x:row r="42" ht="76" customHeight="1">
      <x:c r="A42" s="24" t="str">
        <x:v>TMF-034</x:v>
      </x:c>
      <x:c r="B42" s="20" t="str">
        <x:v>Almas Hotel Bangkok</x:v>
      </x:c>
      <x:c r="C42" s="20" t="str">
        <x:v>กรุงเทพมหานคร</x:v>
      </x:c>
      <x:c r="D42" s="20" t="str">
        <x:v>คงไว้ในชุด 600</x:v>
      </x:c>
      <x:c r="E42" s="20" t="str">
        <x:v>พบหลายแหล่งสัมพันธ์กับชื่อ รอยืนยันการเปิด</x:v>
      </x:c>
      <x:c r="F42" s="20" t="str">
        <x:v>ยังไม่ยืนยันการเปิดให้บริการปัจจุบัน</x:v>
      </x:c>
      <x:c r="G42" s="26" t="n">
        <x:v>7</x:v>
      </x:c>
      <x:c r="H42" s="23" t="str"/>
      <x:c r="I42" s="23" t="str"/>
      <x:c r="J42" s="23" t="e">
        <x:f>HYPERLINK("https://www.google.com/travel/hotels/entity/CgsIqqD7wbSsmOHXARAB?ap=SABoAQ&amp;g2lb=2502548%2C2503771%2C2503781%2C2504033%2C4258168%2C4270442%2C4284970%2C4291517%2C4306835%2C4515404%2C4597339%2C4649665%2C4703207%2C4718358%2C4722900%2C4723331%2C4741665%2C4757164%2C4758493%2C4762561%2C4779784%2C4786958%2C4787395%2C4790928%2C4794648%2C4798451%2C4800883&amp;gl=th&amp;hl=th-TH&amp;q=%E0%B8%97%E0%B8%B5%E0%B9%88%E0%B8%9E%E0%B8%B1%E0%B8%81+%E0%B9%83%E0%B8%81%E0%B8%A5%E0%B9%89%E0%B9%82%E0%B8%A3%E0%B8%87%E0%B9%80%E0%B8%A3%E0%B8%B5%E0%B8%A2%E0%B8%99%E0%B9%80%E0%B8%AD%E0%B8%AD%E0%B8%B2%E0%B8%A3%E0%B9%8C%E0%B8%9E%E0%B8%B5%E0%B8%81%E0%B8%B2%E0%B8%A3%E0%B8%9A%E0%B8%B1%E0%B8%8D%E0%B8%8A%E0%B8%B5&amp;rp=OAFAAEgCogFK4LmC4Lij4LiH4LmA4Lij4Li14Lii4LiZIOC5gOC4reC4reC4suC4o-C5jOC4nuC4tSDguIHguLLguKPguJrguLHguI3guIrguLU&amp;ssta=1&amp;ts=CAESCgoCCAMKAggDEAAabgpQEkw6SuC5guC4o-C4h-C5gOC4o-C4teC4ouC4mSDguYDguK3guK3guLLguKPguYzguJ7guLUg4LiB4Liy4Lij4Lia4Lix4LiN4LiK4Li1GgASGhIUCgcI5g8QBxgMEgcI5g8QBxgNGAEyAhAAKgsKBygBOgNUSEIaAA","เปิดหน้ารีวิว 1")</x:f>
        <x:v>HYPERLINK is not implemented. linkLocation=https://www.google.com/travel/hotels/entity/CgsIqqD7wbSsmOHXARAB?ap=SABoAQ&amp;g2lb=2502548%2C2503771%2C2503781%2C2504033%2C4258168%2C4270442%2C4284970%2C4291517%2C4306835%2C4515404%2C4597339%2C4649665%2C4703207%2C4718358%2C4722900%2C4723331%2C4741665%2C4757164%2C4758493%2C4762561%2C4779784%2C4786958%2C4787395%2C4790928%2C4794648%2C4798451%2C4800883&amp;gl=th&amp;hl=th-TH&amp;q=%E0%B8%97%E0%B8%B5%E0%B9%88%E0%B8%9E%E0%B8%B1%E0%B8%81+%E0%B9%83%E0%B8%81%E0%B8%A5%E0%B9%89%E0%B9%82%E0%B8%A3%E0%B8%87%E0%B9%80%E0%B8%A3%E0%B8%B5%E0%B8%A2%E0%B8%99%E0%B9%80%E0%B8%AD%E0%B8%AD%E0%B8%B2%E0%B8%A3%E0%B9%8C%E0%B8%9E%E0%B8%B5%E0%B8%81%E0%B8%B2%E0%B8%A3%E0%B8%9A%E0%B8%B1%E0%B8%8D%E0%B8%8A%E0%B8%B5&amp;rp=OAFAAEgCogFK4LmC4Lij4LiH4LmA4Lij4Li14Lii4LiZIOC5gOC4reC4reC4suC4o-C5jOC4nuC4tSDguIHguLLguKPguJrguLHguI3guIrguLU&amp;ssta=1&amp;ts=CAESCgoCCAMKAggDEAAabgpQEkw6SuC5guC4o-C4h-C5gOC4o-C4teC4ouC4mSDguYDguK3guK3guLLguKPguYzguJ7guLUg4LiB4Liy4Lij4Lia4Lix4LiN4LiK4Li1GgASGhIUCgcI5g8QBxgMEgcI5g8QBxgNGAEyAhAAKgsKBygBOgNUSEIaAA, friendlyName=เปิดหน้ารีวิว 1</x:v>
      </x:c>
      <x:c r="K42" s="23" t="e">
        <x:f>HYPERLINK("https://www.booking.com/hotel/th/almas-bangkok.th.html","เปิดหน้ารีวิว 2")</x:f>
        <x:v>HYPERLINK is not implemented. linkLocation=https://www.booking.com/hotel/th/almas-bangkok.th.html, friendlyName=เปิดหน้ารีวิว 2</x:v>
      </x:c>
      <x:c r="L42" s="23" t="str"/>
      <x:c r="M42" s="23" t="str"/>
      <x:c r="N42" s="20" t="str">
        <x:v>ยังไม่ยืนยัน</x:v>
      </x:c>
      <x:c r="O4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2" s="25" t="n">
        <x:v>46315</x:v>
      </x:c>
      <x:c r="Q42" s="27" t="str">
        <x:v>ยังไม่ตรวจ</x:v>
      </x:c>
      <x:c r="R42" s="27" t="str">
        <x:v>รอติดต่อ</x:v>
      </x:c>
    </x:row>
    <x:row r="43" ht="76" customHeight="1">
      <x:c r="A43" s="24" t="str">
        <x:v>TMF-035</x:v>
      </x:c>
      <x:c r="B43" s="20" t="str">
        <x:v>Bed By City Hotel</x:v>
      </x:c>
      <x:c r="C43" s="20" t="str">
        <x:v>กรุงเทพมหานคร</x:v>
      </x:c>
      <x:c r="D43" s="20" t="str">
        <x:v>คงไว้ในชุด 600</x:v>
      </x:c>
      <x:c r="E43" s="20" t="str">
        <x:v>พบหลายแหล่งสัมพันธ์กับชื่อ รอยืนยันการเปิด</x:v>
      </x:c>
      <x:c r="F43" s="20" t="str">
        <x:v>ยังไม่ยืนยันการเปิดให้บริการปัจจุบัน</x:v>
      </x:c>
      <x:c r="G43" s="26" t="n">
        <x:v>4</x:v>
      </x:c>
      <x:c r="H43" s="23" t="str"/>
      <x:c r="I43" s="23" t="str"/>
      <x:c r="J43" s="23" t="e">
        <x:f>HYPERLINK("https://www.booking.com/hotel/th/bed-by-sam-yan.th.html","เปิดหน้ารีวิว 1")</x:f>
        <x:v>HYPERLINK is not implemented. linkLocation=https://www.booking.com/hotel/th/bed-by-sam-yan.th.html, friendlyName=เปิดหน้ารีวิว 1</x:v>
      </x:c>
      <x:c r="K43" s="23" t="e">
        <x:f>HYPERLINK("https://www.google.co.th/travel/hotels/entity/ChoIs53_gNrvn8v5ARoNL2cvMTFiNmRjc3pobhAB","เปิดหน้ารีวิว 2")</x:f>
        <x:v>HYPERLINK is not implemented. linkLocation=https://www.google.co.th/travel/hotels/entity/ChoIs53_gNrvn8v5ARoNL2cvMTFiNmRjc3pobhAB, friendlyName=เปิดหน้ารีวิว 2</x:v>
      </x:c>
      <x:c r="L43" s="23" t="str"/>
      <x:c r="M43" s="23" t="str"/>
      <x:c r="N43" s="20" t="str">
        <x:v>ยังไม่ยืนยัน</x:v>
      </x:c>
      <x:c r="O4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3" s="25" t="n">
        <x:v>46315</x:v>
      </x:c>
      <x:c r="Q43" s="27" t="str">
        <x:v>ยังไม่ตรวจ</x:v>
      </x:c>
      <x:c r="R43" s="27" t="str">
        <x:v>รอติดต่อ</x:v>
      </x:c>
    </x:row>
    <x:row r="44" ht="76" customHeight="1">
      <x:c r="A44" s="24" t="str">
        <x:v>TMF-036</x:v>
      </x:c>
      <x:c r="B44" s="20" t="str">
        <x:v>Bed by Thapra Hotel</x:v>
      </x:c>
      <x:c r="C44" s="20" t="str">
        <x:v>กรุงเทพมหานคร</x:v>
      </x:c>
      <x:c r="D44" s="20" t="str">
        <x:v>คงไว้ในชุด 600</x:v>
      </x:c>
      <x:c r="E44" s="20" t="str">
        <x:v>พบหลายแหล่งสัมพันธ์กับชื่อ รอยืนยันการเปิด</x:v>
      </x:c>
      <x:c r="F44" s="20" t="str">
        <x:v>ยังไม่ยืนยันการเปิดให้บริการปัจจุบัน</x:v>
      </x:c>
      <x:c r="G44" s="26" t="n">
        <x:v>2</x:v>
      </x:c>
      <x:c r="H44" s="23" t="str"/>
      <x:c r="I44" s="23" t="str"/>
      <x:c r="J44" s="23" t="e">
        <x:f>HYPERLINK("https://www.google.com/travel/hotels/entity/CgoI3_ng14qnndQGEAE","เปิดหน้ารีวิว 1")</x:f>
        <x:v>HYPERLINK is not implemented. linkLocation=https://www.google.com/travel/hotels/entity/CgoI3_ng14qnndQGEAE, friendlyName=เปิดหน้ารีวิว 1</x:v>
      </x:c>
      <x:c r="K44" s="23" t="e">
        <x:f>HYPERLINK("https://www.google.co.th/travel/hotels/entity/CgoI3_ng14qnndQGEAE?g2lb=4207876%2C4208993%2C4223281%2C4240602%2C4242836%2C4242898%2C4243604%2C4247457%2C4248641%2C4246064&amp;gl=th&amp;hl=en&amp;q=bangkok+patio+apartment&amp;rp=OAFAAEgBigIXYmFuZ2tvayBwYXRpbyBhcGFydG1lbnQ&amp;tcfs=EhoaGAoKMjAxOS0wNC0xOBIKMjAxOS0wNC0xOVIA&amp;ts=CAESCgoCCAMKAggDEAAaIAoCGgASGhIUCgcI6Q8QBRgdEgcI6Q8QBRgeGAEyAhAAKgkKBToDVEhCGgA&amp;un=1","เปิดหน้ารีวิว 2")</x:f>
        <x:v>HYPERLINK is not implemented. linkLocation=https://www.google.co.th/travel/hotels/entity/CgoI3_ng14qnndQGEAE?g2lb=4207876%2C4208993%2C4223281%2C4240602%2C4242836%2C4242898%2C4243604%2C4247457%2C4248641%2C4246064&amp;gl=th&amp;hl=en&amp;q=bangkok+patio+apartment&amp;rp=OAFAAEgBigIXYmFuZ2tvayBwYXRpbyBhcGFydG1lbnQ&amp;tcfs=EhoaGAoKMjAxOS0wNC0xOBIKMjAxOS0wNC0xOVIA&amp;ts=CAESCgoCCAMKAggDEAAaIAoCGgASGhIUCgcI6Q8QBRgdEgcI6Q8QBRgeGAEyAhAAKgkKBToDVEhCGgA&amp;un=1, friendlyName=เปิดหน้ารีวิว 2</x:v>
      </x:c>
      <x:c r="L44" s="23" t="str"/>
      <x:c r="M44" s="23" t="str"/>
      <x:c r="N44" s="20" t="str">
        <x:v>ยังไม่ยืนยัน</x:v>
      </x:c>
      <x:c r="O4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4" s="25" t="n">
        <x:v>46315</x:v>
      </x:c>
      <x:c r="Q44" s="27" t="str">
        <x:v>ยังไม่ตรวจ</x:v>
      </x:c>
      <x:c r="R44" s="27" t="str">
        <x:v>รอติดต่อ</x:v>
      </x:c>
    </x:row>
    <x:row r="45" ht="76" customHeight="1">
      <x:c r="A45" s="24" t="str">
        <x:v>TMF-037</x:v>
      </x:c>
      <x:c r="B45" s="20" t="str">
        <x:v>Diya Hotel Srinakarin</x:v>
      </x:c>
      <x:c r="C45" s="20" t="str">
        <x:v>กรุงเทพมหานคร</x:v>
      </x:c>
      <x:c r="D45" s="20" t="str">
        <x:v>คงไว้ในชุด 600</x:v>
      </x:c>
      <x:c r="E45" s="20" t="str">
        <x:v>พบหลายแหล่งสัมพันธ์กับชื่อ รอยืนยันการเปิด</x:v>
      </x:c>
      <x:c r="F45" s="20" t="str">
        <x:v>ยังไม่ยืนยันการเปิดให้บริการปัจจุบัน</x:v>
      </x:c>
      <x:c r="G45" s="26" t="n">
        <x:v>3</x:v>
      </x:c>
      <x:c r="H45" s="23" t="str"/>
      <x:c r="I45" s="23" t="str"/>
      <x:c r="J45" s="23" t="e">
        <x:f>HYPERLINK("https://www.google.co.th/travel/hotels/entity/ChkIw_3W8N3ozOBcGg0vZy8xMXZsamwyazV2EAE?rp=OAHCAhwiGg0AABxCEhMIjdehu-XNlQMVGuFLAx0K4DhX&amp;ts=CAEaBAoCGgAqBAoAGgA","เปิดหน้ารีวิว 1")</x:f>
        <x:v>HYPERLINK is not implemented. linkLocation=https://www.google.co.th/travel/hotels/entity/ChkIw_3W8N3ozOBcGg0vZy8xMXZsamwyazV2EAE?rp=OAHCAhwiGg0AABxCEhMIjdehu-XNlQMVGuFLAx0K4DhX&amp;ts=CAEaBAoCGgAqBAoAGgA, friendlyName=เปิดหน้ารีวิว 1</x:v>
      </x:c>
      <x:c r="K45" s="23" t="e">
        <x:f>HYPERLINK("https://www.google.co.th/travel/hotels/entity/ChkIw_3W8N3ozOBcGg0vZy8xMXZsamwyazV2EAE?rp=OAHCAhwiGg0AAIBBEhMIh5Pb6OLLlQMVvvJLAx2XBS1u&amp;ts=CAEaIAoCGgASGhIUCgcI6g8QCBgKEgcI6g8QCBgLGAEyAhAAKgkKBToDVVNEGgA","เปิดหน้ารีวิว 2")</x:f>
        <x:v>HYPERLINK is not implemented. linkLocation=https://www.google.co.th/travel/hotels/entity/ChkIw_3W8N3ozOBcGg0vZy8xMXZsamwyazV2EAE?rp=OAHCAhwiGg0AAIBBEhMIh5Pb6OLLlQMVvvJLAx2XBS1u&amp;ts=CAEaIAoCGgASGhIUCgcI6g8QCBgKEgcI6g8QCBgLGAEyAhAAKgkKBToDVVNEGgA, friendlyName=เปิดหน้ารีวิว 2</x:v>
      </x:c>
      <x:c r="L45" s="23" t="e">
        <x:f>HYPERLINK("https://www.diyahotelsrinakarin.com/","เปิดเว็บเพิ่ม 1")</x:f>
        <x:v>HYPERLINK is not implemented. linkLocation=https://www.diyahotelsrinakarin.com/, friendlyName=เปิดเว็บเพิ่ม 1</x:v>
      </x:c>
      <x:c r="M45" s="23" t="e">
        <x:f>HYPERLINK("https://www.diyahotelsrinakarin.com/en/hotel/","เปิดเว็บเพิ่ม 2")</x:f>
        <x:v>HYPERLINK is not implemented. linkLocation=https://www.diyahotelsrinakarin.com/en/hotel/, friendlyName=เปิดเว็บเพิ่ม 2</x:v>
      </x:c>
      <x:c r="N45" s="20" t="str">
        <x:v>ยังไม่ยืนยัน</x:v>
      </x:c>
      <x:c r="O4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5" s="25" t="n">
        <x:v>46315</x:v>
      </x:c>
      <x:c r="Q45" s="27" t="str">
        <x:v>ยังไม่ตรวจ</x:v>
      </x:c>
      <x:c r="R45" s="27" t="str">
        <x:v>รอติดต่อ</x:v>
      </x:c>
    </x:row>
    <x:row r="46" ht="76" customHeight="1">
      <x:c r="A46" s="24" t="str">
        <x:v>TMF-038</x:v>
      </x:c>
      <x:c r="B46" s="20" t="str">
        <x:v>Lilit Banglumphu Hotel - Bangkok</x:v>
      </x:c>
      <x:c r="C46" s="20" t="str">
        <x:v>กรุงเทพมหานคร</x:v>
      </x:c>
      <x:c r="D46" s="20" t="str">
        <x:v>คงไว้ในชุด 600</x:v>
      </x:c>
      <x:c r="E46" s="20" t="str">
        <x:v>พบหลายแหล่งสัมพันธ์กับชื่อ รอยืนยันการเปิด</x:v>
      </x:c>
      <x:c r="F46" s="20" t="str">
        <x:v>ยังไม่ยืนยันการเปิดให้บริการปัจจุบัน</x:v>
      </x:c>
      <x:c r="G46" s="26" t="n">
        <x:v>9</x:v>
      </x:c>
      <x:c r="H46" s="23" t="str"/>
      <x:c r="I46" s="23" t="str"/>
      <x:c r="J46" s="23" t="e">
        <x:f>HYPERLINK("https://www.google.co.th/travel/hotels/entity/ChoI9_ijnImJoKHLARoNL2cvMTF0bnhmenF0axAB?ap=SAE&amp;g2lb=4181926%2C4208993%2C4209587%2C4207631%2C4215917&amp;gl=jp&amp;hl=en&amp;q=hotel+around+the+ambassador+bangkok+hotel+sukhumvit+soi+11&amp;rp=OAFAAA&amp;tcfs=EjUKCS9tLzA4cnRibhIOU3VraHVtdml0IFJvYWQaGAoKMjAxOC0xMi0xMxIKMjAxOC0xMi0xNCIYCgoyMDE4LTEyLTEzEgoyMDE4LTEyLTE0UgA&amp;ts=CAEaIgoCGgASHBIUCgcI6g8QBRgLEgcI6g8QBRgQGAUyAhAAOAEqCQoFOgNKUFkaAA&amp;un=0","เปิดหน้ารีวิว 1")</x:f>
        <x:v>HYPERLINK is not implemented. linkLocation=https://www.google.co.th/travel/hotels/entity/ChoI9_ijnImJoKHLARoNL2cvMTF0bnhmenF0axAB?ap=SAE&amp;g2lb=4181926%2C4208993%2C4209587%2C4207631%2C4215917&amp;gl=jp&amp;hl=en&amp;q=hotel+around+the+ambassador+bangkok+hotel+sukhumvit+soi+11&amp;rp=OAFAAA&amp;tcfs=EjUKCS9tLzA4cnRibhIOU3VraHVtdml0IFJvYWQaGAoKMjAxOC0xMi0xMxIKMjAxOC0xMi0xNCIYCgoyMDE4LTEyLTEzEgoyMDE4LTEyLTE0UgA&amp;ts=CAEaIgoCGgASHBIUCgcI6g8QBRgLEgcI6g8QBRgQGAUyAhAAOAEqCQoFOgNKUFkaAA&amp;un=0, friendlyName=เปิดหน้ารีวิว 1</x:v>
      </x:c>
      <x:c r="K46" s="23" t="e">
        <x:f>HYPERLINK("https://www.tripadvisor.in/Hotel_Review-g293916-d25363326-Reviews-Lilit_Bang_Lumphu_Hotel-Bangkok.html","เปิดหน้ารีวิว 2")</x:f>
        <x:v>HYPERLINK is not implemented. linkLocation=https://www.tripadvisor.in/Hotel_Review-g293916-d25363326-Reviews-Lilit_Bang_Lumphu_Hotel-Bangkok.html, friendlyName=เปิดหน้ารีวิว 2</x:v>
      </x:c>
      <x:c r="L46" s="23" t="e">
        <x:f>HYPERLINK("https://www.lilithotel.com/","เปิดเว็บเพิ่ม 1")</x:f>
        <x:v>HYPERLINK is not implemented. linkLocation=https://www.lilithotel.com/, friendlyName=เปิดเว็บเพิ่ม 1</x:v>
      </x:c>
      <x:c r="M46" s="23" t="e">
        <x:f>HYPERLINK("https://lilithotel.com/","เปิดเว็บเพิ่ม 2")</x:f>
        <x:v>HYPERLINK is not implemented. linkLocation=https://lilithotel.com/, friendlyName=เปิดเว็บเพิ่ม 2</x:v>
      </x:c>
      <x:c r="N46" s="20" t="str">
        <x:v>ยังไม่ยืนยัน</x:v>
      </x:c>
      <x:c r="O4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" s="25" t="n">
        <x:v>46315</x:v>
      </x:c>
      <x:c r="Q46" s="27" t="str">
        <x:v>ยังไม่ตรวจ</x:v>
      </x:c>
      <x:c r="R46" s="27" t="str">
        <x:v>รอติดต่อ</x:v>
      </x:c>
    </x:row>
    <x:row r="47" ht="76" customHeight="1">
      <x:c r="A47" s="24" t="str">
        <x:v>TMF-039</x:v>
      </x:c>
      <x:c r="B47" s="20" t="str">
        <x:v>Nouvo City Hotel - โรงแรมนูโว ซิตี</x:v>
      </x:c>
      <x:c r="C47" s="20" t="str">
        <x:v>กรุงเทพมหานคร</x:v>
      </x:c>
      <x:c r="D47" s="20" t="str">
        <x:v>คงไว้ในชุด 600</x:v>
      </x:c>
      <x:c r="E47" s="20" t="str">
        <x:v>พบหลายแหล่งสัมพันธ์กับชื่อ รอยืนยันการเปิด</x:v>
      </x:c>
      <x:c r="F47" s="20" t="str">
        <x:v>ยังไม่ยืนยันการเปิดให้บริการปัจจุบัน</x:v>
      </x:c>
      <x:c r="G47" s="26" t="n">
        <x:v>5</x:v>
      </x:c>
      <x:c r="H47" s="23" t="str"/>
      <x:c r="I47" s="23" t="str"/>
      <x:c r="J47" s="23" t="e">
        <x:f>HYPERLINK("https://th.tripadvisor.com/Hotel_Review-g293916-d2027318-Reviews-Nouvo_City_Hotel-Bangkok.html","เปิดหน้ารีวิว 1")</x:f>
        <x:v>HYPERLINK is not implemented. linkLocation=https://th.tripadvisor.com/Hotel_Review-g293916-d2027318-Reviews-Nouvo_City_Hotel-Bangkok.html, friendlyName=เปิดหน้ารีวิว 1</x:v>
      </x:c>
      <x:c r="K47" s="23" t="e">
        <x:f>HYPERLINK("https://www.google.co.th/travel/hotels/entity/ChcI2vTOzPy05s0GGgsvZy8xdzRmNWtiXxAB?gl=th&amp;hl=en&amp;ts=CAEaBAoCGgAqBAoAGgA","เปิดหน้ารีวิว 2")</x:f>
        <x:v>HYPERLINK is not implemented. linkLocation=https://www.google.co.th/travel/hotels/entity/ChcI2vTOzPy05s0GGgsvZy8xdzRmNWtiXxAB?gl=th&amp;hl=en&amp;ts=CAEaBAoCGgAqBAoAGgA, friendlyName=เปิดหน้ารีวิว 2</x:v>
      </x:c>
      <x:c r="L47" s="23" t="e">
        <x:f>HYPERLINK("https://www.nouvocityhotel.com/contact-us-2/","เปิดเว็บเพิ่ม 1")</x:f>
        <x:v>HYPERLINK is not implemented. linkLocation=https://www.nouvocityhotel.com/contact-us-2/, friendlyName=เปิดเว็บเพิ่ม 1</x:v>
      </x:c>
      <x:c r="M47" s="23" t="e">
        <x:f>HYPERLINK("https://www.nouvocityhotel.com/contact-us/","เปิดเว็บเพิ่ม 2")</x:f>
        <x:v>HYPERLINK is not implemented. linkLocation=https://www.nouvocityhotel.com/contact-us/, friendlyName=เปิดเว็บเพิ่ม 2</x:v>
      </x:c>
      <x:c r="N47" s="20" t="str">
        <x:v>ยังไม่ยืนยัน</x:v>
      </x:c>
      <x:c r="O4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" s="25" t="n">
        <x:v>46315</x:v>
      </x:c>
      <x:c r="Q47" s="27" t="str">
        <x:v>ยังไม่ตรวจ</x:v>
      </x:c>
      <x:c r="R47" s="27" t="str">
        <x:v>รอติดต่อ</x:v>
      </x:c>
    </x:row>
    <x:row r="48" ht="76" customHeight="1">
      <x:c r="A48" s="24" t="str">
        <x:v>TMF-040</x:v>
      </x:c>
      <x:c r="B48" s="20" t="str">
        <x:v>Regent Thailand Hotel รามคำแหง22</x:v>
      </x:c>
      <x:c r="C48" s="20" t="str">
        <x:v>กรุงเทพมหานคร</x:v>
      </x:c>
      <x:c r="D48" s="20" t="str">
        <x:v>คงไว้ในชุด 600</x:v>
      </x:c>
      <x:c r="E48" s="20" t="str">
        <x:v>พบหลายแหล่งสัมพันธ์กับชื่อ รอยืนยันการเปิด</x:v>
      </x:c>
      <x:c r="F48" s="20" t="str">
        <x:v>ยังไม่ยืนยันการเปิดให้บริการปัจจุบัน</x:v>
      </x:c>
      <x:c r="G48" s="26" t="n">
        <x:v>2</x:v>
      </x:c>
      <x:c r="H48" s="23" t="e">
        <x:f>HYPERLINK("https://web.facebook.com/thextremehotelofficial?","เปิดช่องทาง 1")</x:f>
        <x:v>HYPERLINK is not implemented. linkLocation=https://web.facebook.com/thextremehotelofficial?, friendlyName=เปิดช่องทาง 1</x:v>
      </x:c>
      <x:c r="I48" s="23" t="e">
        <x:f>HYPERLINK("https://web.facebook.com/profile.php?id=100057413891076&amp;locale=es_LA","เปิดช่องทาง 2")</x:f>
        <x:v>HYPERLINK is not implemented. linkLocation=https://web.facebook.com/profile.php?id=100057413891076&amp;locale=es_LA, friendlyName=เปิดช่องทาง 2</x:v>
      </x:c>
      <x:c r="J48" s="23" t="str"/>
      <x:c r="K48" s="23" t="str"/>
      <x:c r="L48" s="23" t="e">
        <x:f>HYPERLINK("https://salehere.co.th/articles/accommodation-near-rajamangala-stadium","เปิดเว็บเพิ่ม 1")</x:f>
        <x:v>HYPERLINK is not implemented. linkLocation=https://salehere.co.th/articles/accommodation-near-rajamangala-stadium, friendlyName=เปิดเว็บเพิ่ม 1</x:v>
      </x:c>
      <x:c r="M48" s="23" t="str"/>
      <x:c r="N48" s="20" t="str">
        <x:v>ยังไม่ยืนยัน</x:v>
      </x:c>
      <x:c r="O48" s="20" t="str">
        <x:v>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8" s="25" t="n">
        <x:v>46315</x:v>
      </x:c>
      <x:c r="Q48" s="27" t="str">
        <x:v>ยังไม่ตรวจ</x:v>
      </x:c>
      <x:c r="R48" s="27" t="str">
        <x:v>รอติดต่อ</x:v>
      </x:c>
    </x:row>
    <x:row r="49" ht="76" customHeight="1">
      <x:c r="A49" s="24" t="str">
        <x:v>TMF-041</x:v>
      </x:c>
      <x:c r="B49" s="20" t="str">
        <x:v>The Riski Hotel &amp; Residence Bangphlat Station</x:v>
      </x:c>
      <x:c r="C49" s="20" t="str">
        <x:v>กรุงเทพมหานคร</x:v>
      </x:c>
      <x:c r="D49" s="20" t="str">
        <x:v>คงไว้ในชุด 600</x:v>
      </x:c>
      <x:c r="E49" s="20" t="str">
        <x:v>พบหลายแหล่งสัมพันธ์กับชื่อ รอยืนยันการเปิด</x:v>
      </x:c>
      <x:c r="F49" s="20" t="str">
        <x:v>ยังไม่ยืนยันการเปิดให้บริการปัจจุบัน</x:v>
      </x:c>
      <x:c r="G49" s="26" t="n">
        <x:v>4</x:v>
      </x:c>
      <x:c r="H49" s="23" t="str"/>
      <x:c r="I49" s="23" t="str"/>
      <x:c r="J49" s="23" t="e">
        <x:f>HYPERLINK("https://th.tripadvisor.com/Hotel_Review-g293916-d23829611-Reviews-The_Riski_Hotel_Residence_Bangphlat_Station-Bangkok.html","เปิดหน้ารีวิว 1")</x:f>
        <x:v>HYPERLINK is not implemented. linkLocation=https://th.tripadvisor.com/Hotel_Review-g293916-d23829611-Reviews-The_Riski_Hotel_Residence_Bangphlat_Station-Bangkok.html, friendlyName=เปิดหน้ารีวิว 1</x:v>
      </x:c>
      <x:c r="K49" s="23" t="e">
        <x:f>HYPERLINK("https://www.tripadvisor.com/Hotel_Review-g293916-d23829611-Reviews-The_Riski_Hotel_Residence_Bangphlat_Station-Bangkok.html","เปิดหน้ารีวิว 2")</x:f>
        <x:v>HYPERLINK is not implemented. linkLocation=https://www.tripadvisor.com/Hotel_Review-g293916-d23829611-Reviews-The_Riski_Hotel_Residence_Bangphlat_Station-Bangkok.html, friendlyName=เปิดหน้ารีวิว 2</x:v>
      </x:c>
      <x:c r="L49" s="23" t="e">
        <x:f>HYPERLINK("https://www.theriski-bangphlat.com/","เปิดเว็บเพิ่ม 1")</x:f>
        <x:v>HYPERLINK is not implemented. linkLocation=https://www.theriski-bangphlat.com/, friendlyName=เปิดเว็บเพิ่ม 1</x:v>
      </x:c>
      <x:c r="M49" s="23" t="e">
        <x:f>HYPERLINK("https://www.theriski-bangphlat.com/en/hotel-rooms-en/","เปิดเว็บเพิ่ม 2")</x:f>
        <x:v>HYPERLINK is not implemented. linkLocation=https://www.theriski-bangphlat.com/en/hotel-rooms-en/, friendlyName=เปิดเว็บเพิ่ม 2</x:v>
      </x:c>
      <x:c r="N49" s="20" t="str">
        <x:v>ยังไม่ยืนยัน</x:v>
      </x:c>
      <x:c r="O4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9" s="25" t="n">
        <x:v>46315</x:v>
      </x:c>
      <x:c r="Q49" s="27" t="str">
        <x:v>ยังไม่ตรวจ</x:v>
      </x:c>
      <x:c r="R49" s="27" t="str">
        <x:v>รอติดต่อ</x:v>
      </x:c>
    </x:row>
    <x:row r="50" ht="76" customHeight="1">
      <x:c r="A50" s="24" t="str">
        <x:v>TMF-042</x:v>
      </x:c>
      <x:c r="B50" s="20" t="str">
        <x:v>Zayn Hotel Bangkok</x:v>
      </x:c>
      <x:c r="C50" s="20" t="str">
        <x:v>กรุงเทพมหานคร</x:v>
      </x:c>
      <x:c r="D50" s="20" t="str">
        <x:v>คงไว้ในชุด 600</x:v>
      </x:c>
      <x:c r="E50" s="20" t="str">
        <x:v>พบหลายแหล่งสัมพันธ์กับชื่อ รอยืนยันการเปิด</x:v>
      </x:c>
      <x:c r="F50" s="20" t="str">
        <x:v>ยังไม่ยืนยันการเปิดให้บริการปัจจุบัน</x:v>
      </x:c>
      <x:c r="G50" s="26" t="n">
        <x:v>6</x:v>
      </x:c>
      <x:c r="H50" s="23" t="str"/>
      <x:c r="I50" s="23" t="str"/>
      <x:c r="J50" s="23" t="e">
        <x:f>HYPERLINK("https://www.google.co.th/travel/hotels/entity/ChoIlMD6qOe_97neARoNL2cvMTFmMTVqbnJ5XxAB?ap=MABIAboBBnByaWNlcw&amp;g2lb=4181926%2C4208993%2C4209587%2C4207631%2C4215917&amp;gl=jp&amp;hl=en&amp;rp=OAHCAhwiGg0AaJpFEhMIzNfYxL3MjQMV7hiHAx2figjW&amp;tcfs=EjUKCS9tLzA4cnRibhIOU3VraHVtdml0IFJvYWQaGAoKMjAxOC0xMi0xMxIKMjAxOC0xMi0xNCIYCgoyMDE4LTEyLTEzEgoyMDE4LTEyLTE0UgA&amp;ts=CAEaPQofEhsKCS9tLzA4cnRibjoOU3VraHVtdml0IFJvYWQaABIaEhQKBwjqDxAHGBcSBwjqDxAHGBgYATICEAAqCQoFOgNVU0QaAA&amp;un=0","เปิดหน้ารีวิว 1")</x:f>
        <x:v>HYPERLINK is not implemented. linkLocation=https://www.google.co.th/travel/hotels/entity/ChoIlMD6qOe_97neARoNL2cvMTFmMTVqbnJ5XxAB?ap=MABIAboBBnByaWNlcw&amp;g2lb=4181926%2C4208993%2C4209587%2C4207631%2C4215917&amp;gl=jp&amp;hl=en&amp;rp=OAHCAhwiGg0AaJpFEhMIzNfYxL3MjQMV7hiHAx2figjW&amp;tcfs=EjUKCS9tLzA4cnRibhIOU3VraHVtdml0IFJvYWQaGAoKMjAxOC0xMi0xMxIKMjAxOC0xMi0xNCIYCgoyMDE4LTEyLTEzEgoyMDE4LTEyLTE0UgA&amp;ts=CAEaPQofEhsKCS9tLzA4cnRibjoOU3VraHVtdml0IFJvYWQaABIaEhQKBwjqDxAHGBcSBwjqDxAHGBgYATICEAAqCQoFOgNVU0QaAA&amp;un=0, friendlyName=เปิดหน้ารีวิว 1</x:v>
      </x:c>
      <x:c r="K50" s="23" t="e">
        <x:f>HYPERLINK("https://www.expedia.co.th/en/Bangkok-Hotels-Zayn-Hotel-Bangkok.h21194472.Hotel-Information","เปิดหน้ารีวิว 2")</x:f>
        <x:v>HYPERLINK is not implemented. linkLocation=https://www.expedia.co.th/en/Bangkok-Hotels-Zayn-Hotel-Bangkok.h21194472.Hotel-Information, friendlyName=เปิดหน้ารีวิว 2</x:v>
      </x:c>
      <x:c r="L50" s="23" t="str"/>
      <x:c r="M50" s="23" t="str"/>
      <x:c r="N50" s="20" t="str">
        <x:v>ยังไม่ยืนยัน</x:v>
      </x:c>
      <x:c r="O5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0" s="25" t="n">
        <x:v>46315</x:v>
      </x:c>
      <x:c r="Q50" s="27" t="str">
        <x:v>ยังไม่ตรวจ</x:v>
      </x:c>
      <x:c r="R50" s="27" t="str">
        <x:v>รอติดต่อ</x:v>
      </x:c>
    </x:row>
    <x:row r="51" ht="76" customHeight="1">
      <x:c r="A51" s="24" t="str">
        <x:v>TMF-043</x:v>
      </x:c>
      <x:c r="B51" s="20" t="str">
        <x:v>โรงแรมบ้านเจ้าคุณ เคหะร่มเกล้า</x:v>
      </x:c>
      <x:c r="C51" s="20" t="str">
        <x:v>กรุงเทพมหานคร</x:v>
      </x:c>
      <x:c r="D51" s="20" t="str">
        <x:v>คงไว้ในชุด 600</x:v>
      </x:c>
      <x:c r="E51" s="20" t="str">
        <x:v>พบหลายแหล่งสัมพันธ์กับชื่อ รอยืนยันการเปิด</x:v>
      </x:c>
      <x:c r="F51" s="20" t="str">
        <x:v>ยังไม่ยืนยันการเปิดให้บริการปัจจุบัน</x:v>
      </x:c>
      <x:c r="G51" s="26" t="n">
        <x:v>2</x:v>
      </x:c>
      <x:c r="H51" s="23" t="e">
        <x:f>HYPERLINK("https://lin.ee/dZ0t4m5","เปิดช่องทาง 1")</x:f>
        <x:v>HYPERLINK is not implemented. linkLocation=https://lin.ee/dZ0t4m5, friendlyName=เปิดช่องทาง 1</x:v>
      </x:c>
      <x:c r="I51" s="23" t="str"/>
      <x:c r="J51" s="23" t="str"/>
      <x:c r="K51" s="23" t="str"/>
      <x:c r="L51" s="23" t="e">
        <x:f>HYPERLINK("https://www.renthub.in.th/%E0%B9%82%E0%B8%A3%E0%B8%87%E0%B9%81%E0%B8%A3%E0%B8%A1%E0%B8%9A%E0%B9%89%E0%B8%B2%E0%B8%99%E0%B9%80%E0%B8%88%E0%B9%89%E0%B8%B2%E0%B8%84%E0%B8%B8%E0%B8%93","เปิดเว็บเพิ่ม 1")</x:f>
        <x:v>HYPERLINK is not implemented. linkLocation=https://www.renthub.in.th/%E0%B9%82%E0%B8%A3%E0%B8%87%E0%B9%81%E0%B8%A3%E0%B8%A1%E0%B8%9A%E0%B9%89%E0%B8%B2%E0%B8%99%E0%B9%80%E0%B8%88%E0%B9%89%E0%B8%B2%E0%B8%84%E0%B8%B8%E0%B8%93, friendlyName=เปิดเว็บเพิ่ม 1</x:v>
      </x:c>
      <x:c r="M51" s="23" t="str"/>
      <x:c r="N51" s="20" t="str">
        <x:v>ยังไม่ยืนยัน</x:v>
      </x:c>
      <x:c r="O51" s="20" t="str">
        <x:v>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1" s="25" t="n">
        <x:v>46315</x:v>
      </x:c>
      <x:c r="Q51" s="27" t="str">
        <x:v>ยังไม่ตรวจ</x:v>
      </x:c>
      <x:c r="R51" s="27" t="str">
        <x:v>รอติดต่อ</x:v>
      </x:c>
    </x:row>
    <x:row r="52" ht="76" customHeight="1">
      <x:c r="A52" s="24" t="str">
        <x:v>TMF-044</x:v>
      </x:c>
      <x:c r="B52" s="20" t="str">
        <x:v>โรงแรมอัล มีรอซ กรุงเทพ</x:v>
      </x:c>
      <x:c r="C52" s="20" t="str">
        <x:v>กรุงเทพมหานคร</x:v>
      </x:c>
      <x:c r="D52" s="20" t="str">
        <x:v>คงไว้ในชุด 600</x:v>
      </x:c>
      <x:c r="E52" s="20" t="str">
        <x:v>พบหลายแหล่งสัมพันธ์กับชื่อ รอยืนยันการเปิด</x:v>
      </x:c>
      <x:c r="F52" s="20" t="str">
        <x:v>ยังไม่ยืนยันการเปิดให้บริการปัจจุบัน</x:v>
      </x:c>
      <x:c r="G52" s="26" t="n">
        <x:v>3</x:v>
      </x:c>
      <x:c r="H52" s="23" t="str"/>
      <x:c r="I52" s="23" t="str"/>
      <x:c r="J52" s="23" t="e">
        <x:f>HYPERLINK("https://www.google.co.th/travel/hotels/entity/ChoI6N3S-aik1_6_ARoNL2cvMTFieGQ3c2NxMBAB?g2lb=4685400%2C4671751%2C4401769%2C2503771%2C4624411%2C4685655%2C4641139%2C4549823%2C4605861%2C2503781%2C2502548%2C4419364%2C4618983%2C4646440%2C4669993%2C4258168%2C4596364%2C4688539%2C4306835%2C4640247%2C4649665%2C4371335%2C4317915%2C4284970%2C4270859&amp;gl=th&amp;hl=th-TH&amp;q=9ty+hotel&amp;rp=EKSjqpmr-d_gMhCko6qZq_nf4DI4AkAASAHAAQKaAgIIAA&amp;ssta=1&amp;ts=CAEaBAoCGgAqBAoAGgA","เปิดหน้ารีวิว 1")</x:f>
        <x:v>HYPERLINK is not implemented. linkLocation=https://www.google.co.th/travel/hotels/entity/ChoI6N3S-aik1_6_ARoNL2cvMTFieGQ3c2NxMBAB?g2lb=4685400%2C4671751%2C4401769%2C2503771%2C4624411%2C4685655%2C4641139%2C4549823%2C4605861%2C2503781%2C2502548%2C4419364%2C4618983%2C4646440%2C4669993%2C4258168%2C4596364%2C4688539%2C4306835%2C4640247%2C4649665%2C4371335%2C4317915%2C4284970%2C4270859&amp;gl=th&amp;hl=th-TH&amp;q=9ty+hotel&amp;rp=EKSjqpmr-d_gMhCko6qZq_nf4DI4AkAASAHAAQKaAgIIAA&amp;ssta=1&amp;ts=CAEaBAoCGgAqBAoAGgA, friendlyName=เปิดหน้ารีวิว 1</x:v>
      </x:c>
      <x:c r="K52" s="23" t="e">
        <x:f>HYPERLINK("https://www.google.co.th/travel/hotels/entity/ChoI6N3S-aik1_6_ARoNL2cvMTFieGQ3c2NxMBAB?rp=OAHCAhwiGg0AAJBBEhMIxqXM2b7IiAMV6KurBx28FypN&amp;ts=CAEaIgoCGgASHBIUCgcI6g8QCBgaEgcI6g8QCBgfGAUyAhAAOAEqBAoAGgA","เปิดหน้ารีวิว 2")</x:f>
        <x:v>HYPERLINK is not implemented. linkLocation=https://www.google.co.th/travel/hotels/entity/ChoI6N3S-aik1_6_ARoNL2cvMTFieGQ3c2NxMBAB?rp=OAHCAhwiGg0AAJBBEhMIxqXM2b7IiAMV6KurBx28FypN&amp;ts=CAEaIgoCGgASHBIUCgcI6g8QCBgaEgcI6g8QCBgfGAUyAhAAOAEqBAoAGgA, friendlyName=เปิดหน้ารีวิว 2</x:v>
      </x:c>
      <x:c r="L52" s="23" t="str"/>
      <x:c r="M52" s="23" t="str"/>
      <x:c r="N52" s="20" t="str">
        <x:v>ยังไม่ยืนยัน</x:v>
      </x:c>
      <x:c r="O5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2" s="25" t="n">
        <x:v>46315</x:v>
      </x:c>
      <x:c r="Q52" s="27" t="str">
        <x:v>ยังไม่ตรวจ</x:v>
      </x:c>
      <x:c r="R52" s="27" t="str">
        <x:v>รอติดต่อ</x:v>
      </x:c>
    </x:row>
    <x:row r="53" ht="76" customHeight="1">
      <x:c r="A53" s="24" t="str">
        <x:v>TMF-045</x:v>
      </x:c>
      <x:c r="B53" s="20" t="str">
        <x:v>Abu Ali Cuisine By Iraqi Restaurant</x:v>
      </x:c>
      <x:c r="C53" s="20" t="str">
        <x:v>กรุงเทพมหานคร</x:v>
      </x:c>
      <x:c r="D53" s="20" t="str">
        <x:v>คงไว้ในชุด 600</x:v>
      </x:c>
      <x:c r="E53" s="20" t="str">
        <x:v>พบหลายแหล่งสัมพันธ์กับชื่อ รอยืนยันการเปิด</x:v>
      </x:c>
      <x:c r="F53" s="20" t="str">
        <x:v>ยังไม่ยืนยันการเปิดให้บริการปัจจุบัน</x:v>
      </x:c>
      <x:c r="G53" s="26" t="n">
        <x:v>2</x:v>
      </x:c>
      <x:c r="H53" s="23" t="str"/>
      <x:c r="I53" s="23" t="str"/>
      <x:c r="J53" s="23" t="e">
        <x:f>HYPERLINK("https://www.wongnai.com/restaurants/3287656yj-abu-ali-cuisine-by-iraqi-restaurant-%D9%85%D8%B7%D8%B9%D9%85-%D8%A3%D8%A8%D9%88-%D8%B9%D9%84%D9%8A","เปิดหน้ารีวิว 1")</x:f>
        <x:v>HYPERLINK is not implemented. linkLocation=https://www.wongnai.com/restaurants/3287656yj-abu-ali-cuisine-by-iraqi-restaurant-%D9%85%D8%B7%D8%B9%D9%85-%D8%A3%D8%A8%D9%88-%D8%B9%D9%84%D9%8A, friendlyName=เปิดหน้ารีวิว 1</x:v>
      </x:c>
      <x:c r="K53" s="23" t="e">
        <x:f>HYPERLINK("https://www.wongnai.com/restaurants/3287656yj-abu-ali-cuisine-by-iraqi-restaurant/photos/82cffc5b323d48f6a18d60a737762f0f","เปิดหน้ารีวิว 2")</x:f>
        <x:v>HYPERLINK is not implemented. linkLocation=https://www.wongnai.com/restaurants/3287656yj-abu-ali-cuisine-by-iraqi-restaurant/photos/82cffc5b323d48f6a18d60a737762f0f, friendlyName=เปิดหน้ารีวิว 2</x:v>
      </x:c>
      <x:c r="L53" s="23" t="str"/>
      <x:c r="M53" s="23" t="str"/>
      <x:c r="N53" s="20" t="str">
        <x:v>ยังไม่ยืนยัน</x:v>
      </x:c>
      <x:c r="O5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" s="25" t="n">
        <x:v>46315</x:v>
      </x:c>
      <x:c r="Q53" s="27" t="str">
        <x:v>ยังไม่ตรวจ</x:v>
      </x:c>
      <x:c r="R53" s="27" t="str">
        <x:v>รอติดต่อ</x:v>
      </x:c>
    </x:row>
    <x:row r="54" ht="76" customHeight="1">
      <x:c r="A54" s="24" t="str">
        <x:v>TMF-046</x:v>
      </x:c>
      <x:c r="B54" s="20" t="str">
        <x:v>Alinga Tea &amp; Dining - อลิงก้า</x:v>
      </x:c>
      <x:c r="C54" s="20" t="str">
        <x:v>กรุงเทพมหานคร</x:v>
      </x:c>
      <x:c r="D54" s="20" t="str">
        <x:v>คงไว้ในชุด 600</x:v>
      </x:c>
      <x:c r="E54" s="20" t="str">
        <x:v>พบหลายแหล่งสัมพันธ์กับชื่อ รอยืนยันการเปิด</x:v>
      </x:c>
      <x:c r="F54" s="20" t="str">
        <x:v>ยังไม่ยืนยันการเปิดให้บริการปัจจุบัน</x:v>
      </x:c>
      <x:c r="G54" s="26" t="n">
        <x:v>5</x:v>
      </x:c>
      <x:c r="H54" s="23" t="str"/>
      <x:c r="I54" s="23" t="str"/>
      <x:c r="J54" s="23" t="e">
        <x:f>HYPERLINK("https://www.wongnai.com/restaurants/3230208Qb-alinga-tea-dining-%E0%B8%AD%E0%B8%A5%E0%B8%B4%E0%B8%87%E0%B8%81%E0%B8%B2","เปิดหน้ารีวิว 1")</x:f>
        <x:v>HYPERLINK is not implemented. linkLocation=https://www.wongnai.com/restaurants/3230208Qb-alinga-tea-dining-%E0%B8%AD%E0%B8%A5%E0%B8%B4%E0%B8%87%E0%B8%81%E0%B8%B2, friendlyName=เปิดหน้ารีวิว 1</x:v>
      </x:c>
      <x:c r="K54" s="23" t="e">
        <x:f>HYPERLINK("https://restaurantguru.com/Alinga-Tea-and-Dining-%E0%B8%AD%E0%B8%A5%E0%B8%B4%E0%B8%87%E0%B8%81%E0%B8%B2-Bangkok","เปิดหน้ารีวิว 2")</x:f>
        <x:v>HYPERLINK is not implemented. linkLocation=https://restaurantguru.com/Alinga-Tea-and-Dining-%E0%B8%AD%E0%B8%A5%E0%B8%B4%E0%B8%87%E0%B8%81%E0%B8%B2-Bangkok, friendlyName=เปิดหน้ารีวิว 2</x:v>
      </x:c>
      <x:c r="L54" s="23" t="str"/>
      <x:c r="M54" s="23" t="str"/>
      <x:c r="N54" s="20" t="str">
        <x:v>ยังไม่ยืนยัน</x:v>
      </x:c>
      <x:c r="O5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4" s="25" t="n">
        <x:v>46315</x:v>
      </x:c>
      <x:c r="Q54" s="27" t="str">
        <x:v>ยังไม่ตรวจ</x:v>
      </x:c>
      <x:c r="R54" s="27" t="str">
        <x:v>รอติดต่อ</x:v>
      </x:c>
    </x:row>
    <x:row r="55" ht="76" customHeight="1">
      <x:c r="A55" s="24" t="str">
        <x:v>TMF-047</x:v>
      </x:c>
      <x:c r="B55" s="20" t="str">
        <x:v>Bigbeef Premium HALAL Buffet</x:v>
      </x:c>
      <x:c r="C55" s="20" t="str">
        <x:v>กรุงเทพมหานคร</x:v>
      </x:c>
      <x:c r="D55" s="20" t="str">
        <x:v>คงไว้ในชุด 600</x:v>
      </x:c>
      <x:c r="E55" s="20" t="str">
        <x:v>พบหลายแหล่งสัมพันธ์กับชื่อ รอยืนยันการเปิด</x:v>
      </x:c>
      <x:c r="F55" s="20" t="str">
        <x:v>ยังไม่ยืนยันการเปิดให้บริการปัจจุบัน</x:v>
      </x:c>
      <x:c r="G55" s="26" t="n">
        <x:v>5</x:v>
      </x:c>
      <x:c r="H55" s="23" t="str"/>
      <x:c r="I55" s="23" t="str"/>
      <x:c r="J55" s="23" t="e">
        <x:f>HYPERLINK("https://www.lemon8-app.com/%40lawaekni/7556956457258729992?region=th","เปิดหน้ารีวิว 1")</x:f>
        <x:v>HYPERLINK is not implemented. linkLocation=https://www.lemon8-app.com/%40lawaekni/7556956457258729992?region=th, friendlyName=เปิดหน้ารีวิว 1</x:v>
      </x:c>
      <x:c r="K55" s="23" t="str"/>
      <x:c r="L55" s="23" t="e">
        <x:f>HYPERLINK("https://www.ryoiireview.com/restaurant/view/20759","เปิดเว็บเพิ่ม 1")</x:f>
        <x:v>HYPERLINK is not implemented. linkLocation=https://www.ryoiireview.com/restaurant/view/20759, friendlyName=เปิดเว็บเพิ่ม 1</x:v>
      </x:c>
      <x:c r="M55" s="23" t="e">
        <x:f>HYPERLINK("https://th.alongwalker.co/z/7651.html","เปิดเว็บเพิ่ม 2")</x:f>
        <x:v>HYPERLINK is not implemented. linkLocation=https://th.alongwalker.co/z/7651.html, friendlyName=เปิดเว็บเพิ่ม 2</x:v>
      </x:c>
      <x:c r="N55" s="20" t="str">
        <x:v>2025-10-04 (วันที่แก้ไขรีวิว Lemon8 ที่พบ)</x:v>
      </x:c>
      <x:c r="O55" s="20" t="str">
        <x:v>ข้อความ ไม่ต้องย้ายร้าน ในรีวิวไม่ใช่ประกาศย้ายหรือปิดกิจการ / พบรีวิวลงวันที่ 4 ต.ค. 2025 ยังไม่ยืนยันการเปิดปัจจุบัน</x:v>
      </x:c>
      <x:c r="P55" s="25" t="n">
        <x:v>46315</x:v>
      </x:c>
      <x:c r="Q55" s="27" t="str">
        <x:v>ยังไม่ตรวจ</x:v>
      </x:c>
      <x:c r="R55" s="27" t="str">
        <x:v>รอติดต่อ</x:v>
      </x:c>
    </x:row>
    <x:row r="56" ht="96" customHeight="1">
      <x:c r="A56" s="24" t="str">
        <x:v>TMF-048</x:v>
      </x:c>
      <x:c r="B56" s="20" t="str">
        <x:v>Dawiya Thai food halal</x:v>
      </x:c>
      <x:c r="C56" s="20" t="str">
        <x:v>กรุงเทพมหานคร</x:v>
      </x:c>
      <x:c r="D56" s="20" t="str">
        <x:v>คงไว้ในชุด 600</x:v>
      </x:c>
      <x:c r="E56" s="20" t="str">
        <x:v>หลักฐานไม่พอ รอยืนยันการเปิด</x:v>
      </x:c>
      <x:c r="F56" s="20" t="str">
        <x:v>ยังไม่ยืนยันการเปิดให้บริการปัจจุบัน</x:v>
      </x:c>
      <x:c r="G56" s="26" t="n">
        <x:v>1</x:v>
      </x:c>
      <x:c r="H56" s="23" t="str"/>
      <x:c r="I56" s="23" t="str"/>
      <x:c r="J56" s="23" t="str"/>
      <x:c r="K56" s="23" t="str"/>
      <x:c r="L56" s="23" t="str"/>
      <x:c r="M56" s="23" t="str"/>
      <x:c r="N56" s="20" t="str">
        <x:v>ยังไม่ยืนยัน</x:v>
      </x:c>
      <x:c r="O5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6" s="25" t="n">
        <x:v>46315</x:v>
      </x:c>
      <x:c r="Q56" s="27" t="str">
        <x:v>ยังไม่ตรวจ</x:v>
      </x:c>
      <x:c r="R56" s="27" t="str">
        <x:v>รอติดต่อ</x:v>
      </x:c>
    </x:row>
    <x:row r="57" ht="76" customHeight="1">
      <x:c r="A57" s="24" t="str">
        <x:v>TMF-049</x:v>
      </x:c>
      <x:c r="B57" s="20" t="str">
        <x:v>Good Mood  Cafe and Milk  Bar</x:v>
      </x:c>
      <x:c r="C57" s="20" t="str">
        <x:v>กรุงเทพมหานคร</x:v>
      </x:c>
      <x:c r="D57" s="20" t="str">
        <x:v>คงไว้ในชุด 600</x:v>
      </x:c>
      <x:c r="E57" s="20" t="str">
        <x:v>พบหลายแหล่งสัมพันธ์กับชื่อ รอยืนยันการเปิด</x:v>
      </x:c>
      <x:c r="F57" s="20" t="str">
        <x:v>ยังไม่ยืนยันการเปิดให้บริการปัจจุบัน</x:v>
      </x:c>
      <x:c r="G57" s="26" t="n">
        <x:v>4</x:v>
      </x:c>
      <x:c r="H57" s="23" t="str"/>
      <x:c r="I57" s="23" t="str"/>
      <x:c r="J57" s="23" t="e">
        <x:f>HYPERLINK("https://restaurantguru.com/Good-Mood-Cafe-and-Milk-Bar-Bangkok","เปิดหน้ารีวิว 1")</x:f>
        <x:v>HYPERLINK is not implemented. linkLocation=https://restaurantguru.com/Good-Mood-Cafe-and-Milk-Bar-Bangkok, friendlyName=เปิดหน้ารีวิว 1</x:v>
      </x:c>
      <x:c r="K57" s="23" t="e">
        <x:f>HYPERLINK("https://restaurantguru.com/Good-Mood-Cafe-and-Milk-Bar-Bangkok/menu","เปิดหน้ารีวิว 2")</x:f>
        <x:v>HYPERLINK is not implemented. linkLocation=https://restaurantguru.com/Good-Mood-Cafe-and-Milk-Bar-Bangkok/menu, friendlyName=เปิดหน้ารีวิว 2</x:v>
      </x:c>
      <x:c r="L57" s="23" t="e">
        <x:f>HYPERLINK("https://eatoutmap.com/en/thailand/sai-mai/good-mood-cafe-and-milk-bar-halal","เปิดเว็บเพิ่ม 1")</x:f>
        <x:v>HYPERLINK is not implemented. linkLocation=https://eatoutmap.com/en/thailand/sai-mai/good-mood-cafe-and-milk-bar-halal, friendlyName=เปิดเว็บเพิ่ม 1</x:v>
      </x:c>
      <x:c r="M57" s="23" t="e">
        <x:f>HYPERLINK("https://worldcafemap.com/en/thailand/sai-mai/good-mood-cafe-and-milk-bar-halal","เปิดเว็บเพิ่ม 2")</x:f>
        <x:v>HYPERLINK is not implemented. linkLocation=https://worldcafemap.com/en/thailand/sai-mai/good-mood-cafe-and-milk-bar-halal, friendlyName=เปิดเว็บเพิ่ม 2</x:v>
      </x:c>
      <x:c r="N57" s="20" t="str">
        <x:v>ยังไม่ยืนยัน</x:v>
      </x:c>
      <x:c r="O5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7" s="25" t="n">
        <x:v>46315</x:v>
      </x:c>
      <x:c r="Q57" s="27" t="str">
        <x:v>ยังไม่ตรวจ</x:v>
      </x:c>
      <x:c r="R57" s="27" t="str">
        <x:v>รอติดต่อ</x:v>
      </x:c>
    </x:row>
    <x:row r="58" ht="76" customHeight="1">
      <x:c r="A58" s="24" t="str">
        <x:v>TMF-050</x:v>
      </x:c>
      <x:c r="B58" s="20" t="str">
        <x:v>Heyyyy Bangkok Cafe</x:v>
      </x:c>
      <x:c r="C58" s="20" t="str">
        <x:v>กรุงเทพมหานคร</x:v>
      </x:c>
      <x:c r="D58" s="20" t="str">
        <x:v>รวมรายการซ้ำกับ TMF-051</x:v>
      </x:c>
      <x:c r="E58" s="20" t="str">
        <x:v>พบหลายแหล่งสัมพันธ์กับชื่อ รอยืนยันการเปิด</x:v>
      </x:c>
      <x:c r="F58" s="20" t="str">
        <x:v>ยังไม่ยืนยันการเปิดให้บริการปัจจุบัน</x:v>
      </x:c>
      <x:c r="G58" s="26" t="n">
        <x:v>6</x:v>
      </x:c>
      <x:c r="H58" s="23" t="str"/>
      <x:c r="I58" s="23" t="str"/>
      <x:c r="J58" s="23" t="e">
        <x:f>HYPERLINK("https://www.tripadvisor.com/Restaurant_Review-g293916-d16891362-Reviews-Heyyyy_Bangkok_Cafe-Bangkok.html","เปิดหน้ารีวิว 1")</x:f>
        <x:v>HYPERLINK is not implemented. linkLocation=https://www.tripadvisor.com/Restaurant_Review-g293916-d16891362-Reviews-Heyyyy_Bangkok_Cafe-Bangkok.html, friendlyName=เปิดหน้ารีวิว 1</x:v>
      </x:c>
      <x:c r="K58" s="23" t="e">
        <x:f>HYPERLINK("https://www.lemon8-app.com/%40x925372/7375797544103707137?region=th","เปิดหน้ารีวิว 2")</x:f>
        <x:v>HYPERLINK is not implemented. linkLocation=https://www.lemon8-app.com/%40x925372/7375797544103707137?region=th, friendlyName=เปิดหน้ารีวิว 2</x:v>
      </x:c>
      <x:c r="L58" s="23" t="e">
        <x:f>HYPERLINK("https://th.sluurpy.com/%E0%B8%81%E0%B8%A3%E0%B8%B8%E0%B8%87%E0%B9%80%E0%B8%97%E0%B8%9E%E0%B8%A1%E0%B8%AB%E0%B8%B2%E0%B8%99%E0%B8%84%E0%B8%A3-%E0%B8%81%E0%B8%97%E0%B8%A1/restaurant/6972973/heyyyy-bangkok-cafe","เปิดเว็บเพิ่ม 1")</x:f>
        <x:v>HYPERLINK is not implemented. linkLocation=https://th.sluurpy.com/%E0%B8%81%E0%B8%A3%E0%B8%B8%E0%B8%87%E0%B9%80%E0%B8%97%E0%B8%9E%E0%B8%A1%E0%B8%AB%E0%B8%B2%E0%B8%99%E0%B8%84%E0%B8%A3-%E0%B8%81%E0%B8%97%E0%B8%A1/restaurant/6972973/heyyyy-bangkok-cafe, friendlyName=เปิดเว็บเพิ่ม 1</x:v>
      </x:c>
      <x:c r="M58" s="23" t="e">
        <x:f>HYPERLINK("https://www.tiket.com/hotel/thailand/landmark/dekat-heyyyy-bangkok-cafe-p-134679","เปิดเว็บเพิ่ม 2")</x:f>
        <x:v>HYPERLINK is not implemented. linkLocation=https://www.tiket.com/hotel/thailand/landmark/dekat-heyyyy-bangkok-cafe-p-134679, friendlyName=เปิดเว็บเพิ่ม 2</x:v>
      </x:c>
      <x:c r="N58" s="20" t="str">
        <x:v>ยังไม่ยืนยัน</x:v>
      </x:c>
      <x:c r="O5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8" s="25" t="n">
        <x:v>46315</x:v>
      </x:c>
      <x:c r="Q58" s="27" t="str">
        <x:v>ยังไม่ตรวจ</x:v>
      </x:c>
      <x:c r="R58" s="27" t="str">
        <x:v>รอติดต่อ</x:v>
      </x:c>
    </x:row>
    <x:row r="59" ht="76" customHeight="1">
      <x:c r="A59" s="24" t="str">
        <x:v>TMF-051</x:v>
      </x:c>
      <x:c r="B59" s="20" t="str">
        <x:v>Heyyyy Bangkok Hostel</x:v>
      </x:c>
      <x:c r="C59" s="20" t="str">
        <x:v>กรุงเทพมหานคร</x:v>
      </x:c>
      <x:c r="D59" s="20" t="str">
        <x:v>คงไว้ในชุด 600</x:v>
      </x:c>
      <x:c r="E59" s="20" t="str">
        <x:v>พบหลายแหล่งสัมพันธ์กับชื่อ รอยืนยันการเปิด</x:v>
      </x:c>
      <x:c r="F59" s="20" t="str">
        <x:v>ยังไม่ยืนยันการเปิดให้บริการปัจจุบัน</x:v>
      </x:c>
      <x:c r="G59" s="26" t="n">
        <x:v>5</x:v>
      </x:c>
      <x:c r="H59" s="23" t="str"/>
      <x:c r="I59" s="23" t="str"/>
      <x:c r="J59" s="23" t="e">
        <x:f>HYPERLINK("https://www.google.co.th/travel/hotels/entity/ChkIm7-M5uzQtsgtGg0vZy8xMWNzNWZfbnExEAE?ap=MABIAboBBnByaWNlcw&amp;g2lb=4181926%2C4208993%2C4209587%2C4207631%2C4215917&amp;gl=jp&amp;hl=en&amp;rp=OAE&amp;tcfs=EjUKCS9tLzA4cnRibhIOU3VraHVtdml0IFJvYWQaGAoKMjAxOC0xMi0xMxIKMjAxOC0xMi0xNCIYCgoyMDE4LTEyLTEzEgoyMDE4LTEyLTE0UgA&amp;ts=CAEaBAoCGgAqBAoAGgA&amp;un=0","เปิดหน้ารีวิว 1")</x:f>
        <x:v>HYPERLINK is not implemented. linkLocation=https://www.google.co.th/travel/hotels/entity/ChkIm7-M5uzQtsgtGg0vZy8xMWNzNWZfbnExEAE?ap=MABIAboBBnByaWNlcw&amp;g2lb=4181926%2C4208993%2C4209587%2C4207631%2C4215917&amp;gl=jp&amp;hl=en&amp;rp=OAE&amp;tcfs=EjUKCS9tLzA4cnRibhIOU3VraHVtdml0IFJvYWQaGAoKMjAxOC0xMi0xMxIKMjAxOC0xMi0xNCIYCgoyMDE4LTEyLTEzEgoyMDE4LTEyLTE0UgA&amp;ts=CAEaBAoCGgAqBAoAGgA&amp;un=0, friendlyName=เปิดหน้ารีวิว 1</x:v>
      </x:c>
      <x:c r="K59" s="23" t="e">
        <x:f>HYPERLINK("https://www.google.com/travel/hotels/entity/ChkIm7-M5uzQtsgtGg0vZy8xMWNzNWZfbnExEAE?ts=CAEaIAoCGgASGhIUCgcI6A8QBhgTEgcI6A8QBhgUGAEyAhAAKgQKABoA","เปิดหน้ารีวิว 2")</x:f>
        <x:v>HYPERLINK is not implemented. linkLocation=https://www.google.com/travel/hotels/entity/ChkIm7-M5uzQtsgtGg0vZy8xMWNzNWZfbnExEAE?ts=CAEaIAoCGgASGhIUCgcI6A8QBhgTEgcI6A8QBhgUGAEyAhAAKgQKABoA, friendlyName=เปิดหน้ารีวิว 2</x:v>
      </x:c>
      <x:c r="L59" s="23" t="e">
        <x:f>HYPERLINK("https://www.klook.com/hotels/detail/370906-heyyyy-bangkok--hostel/","เปิดเว็บเพิ่ม 1")</x:f>
        <x:v>HYPERLINK is not implemented. linkLocation=https://www.klook.com/hotels/detail/370906-heyyyy-bangkok--hostel/, friendlyName=เปิดเว็บเพิ่ม 1</x:v>
      </x:c>
      <x:c r="M59" s="23" t="str"/>
      <x:c r="N59" s="20" t="str">
        <x:v>ยังไม่ยืนยัน</x:v>
      </x:c>
      <x:c r="O5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9" s="25" t="n">
        <x:v>46315</x:v>
      </x:c>
      <x:c r="Q59" s="27" t="str">
        <x:v>ยังไม่ตรวจ</x:v>
      </x:c>
      <x:c r="R59" s="27" t="str">
        <x:v>รอติดต่อ</x:v>
      </x:c>
    </x:row>
    <x:row r="60" ht="76" customHeight="1">
      <x:c r="A60" s="24" t="str">
        <x:v>TMF-052</x:v>
      </x:c>
      <x:c r="B60" s="20" t="str">
        <x:v>Jidrid Cafe</x:v>
      </x:c>
      <x:c r="C60" s="20" t="str">
        <x:v>กรุงเทพมหานคร</x:v>
      </x:c>
      <x:c r="D60" s="20" t="str">
        <x:v>คงไว้ในชุด 600</x:v>
      </x:c>
      <x:c r="E60" s="20" t="str">
        <x:v>พบหลายแหล่งสัมพันธ์กับชื่อ รอยืนยันการเปิด</x:v>
      </x:c>
      <x:c r="F60" s="20" t="str">
        <x:v>ยังไม่ยืนยันการเปิดให้บริการปัจจุบัน</x:v>
      </x:c>
      <x:c r="G60" s="26" t="n">
        <x:v>4</x:v>
      </x:c>
      <x:c r="H60" s="23" t="str"/>
      <x:c r="I60" s="23" t="str"/>
      <x:c r="J60" s="23" t="e">
        <x:f>HYPERLINK("https://restaurantguru.com/Jidrid-Cafe-Bangkok","เปิดหน้ารีวิว 1")</x:f>
        <x:v>HYPERLINK is not implemented. linkLocation=https://restaurantguru.com/Jidrid-Cafe-Bangkok, friendlyName=เปิดหน้ารีวิว 1</x:v>
      </x:c>
      <x:c r="K60" s="23" t="e">
        <x:f>HYPERLINK("https://www.wongnai.com/restaurants/1507579PD-jidrid-cafe-nong-chok","เปิดหน้ารีวิว 2")</x:f>
        <x:v>HYPERLINK is not implemented. linkLocation=https://www.wongnai.com/restaurants/1507579PD-jidrid-cafe-nong-chok, friendlyName=เปิดหน้ารีวิว 2</x:v>
      </x:c>
      <x:c r="L60" s="23" t="e">
        <x:f>HYPERLINK("https://salehere.co.th/posts/636f3de0e3894a4494d97f3dfe047ac7","เปิดเว็บเพิ่ม 1")</x:f>
        <x:v>HYPERLINK is not implemented. linkLocation=https://salehere.co.th/posts/636f3de0e3894a4494d97f3dfe047ac7, friendlyName=เปิดเว็บเพิ่ม 1</x:v>
      </x:c>
      <x:c r="M60" s="23" t="str"/>
      <x:c r="N60" s="20" t="str">
        <x:v>ยังไม่ยืนยัน</x:v>
      </x:c>
      <x:c r="O6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0" s="25" t="n">
        <x:v>46315</x:v>
      </x:c>
      <x:c r="Q60" s="27" t="str">
        <x:v>ยังไม่ตรวจ</x:v>
      </x:c>
      <x:c r="R60" s="27" t="str">
        <x:v>รอติดต่อ</x:v>
      </x:c>
    </x:row>
    <x:row r="61" ht="76" customHeight="1">
      <x:c r="A61" s="24" t="str">
        <x:v>TMF-053</x:v>
      </x:c>
      <x:c r="B61" s="20" t="str">
        <x:v>KIN YOUBI HALAL</x:v>
      </x:c>
      <x:c r="C61" s="20" t="str">
        <x:v>กรุงเทพมหานคร</x:v>
      </x:c>
      <x:c r="D61" s="20" t="str">
        <x:v>คงไว้ในชุด 600</x:v>
      </x:c>
      <x:c r="E61" s="20" t="str">
        <x:v>พบหลายแหล่งสัมพันธ์กับชื่อ รอยืนยันการเปิด</x:v>
      </x:c>
      <x:c r="F61" s="20" t="str">
        <x:v>ยังไม่ยืนยันการเปิดให้บริการปัจจุบัน</x:v>
      </x:c>
      <x:c r="G61" s="26" t="n">
        <x:v>3</x:v>
      </x:c>
      <x:c r="H61" s="23" t="str"/>
      <x:c r="I61" s="23" t="str"/>
      <x:c r="J61" s="23" t="e">
        <x:f>HYPERLINK("https://www.lemon8-app.com/%40nasto_11/7557749980883157522?region=th","เปิดหน้ารีวิว 1")</x:f>
        <x:v>HYPERLINK is not implemented. linkLocation=https://www.lemon8-app.com/%40nasto_11/7557749980883157522?region=th, friendlyName=เปิดหน้ารีวิว 1</x:v>
      </x:c>
      <x:c r="K61" s="23" t="str"/>
      <x:c r="L61" s="23" t="e">
        <x:f>HYPERLINK("https://notes.tiktok.com/%40rueang_softsoft/7582064903062585863?region=th","เปิดเว็บเพิ่ม 1")</x:f>
        <x:v>HYPERLINK is not implemented. linkLocation=https://notes.tiktok.com/%40rueang_softsoft/7582064903062585863?region=th, friendlyName=เปิดเว็บเพิ่ม 1</x:v>
      </x:c>
      <x:c r="M61" s="23" t="str"/>
      <x:c r="N61" s="20" t="str">
        <x:v>ยังไม่ยืนยัน</x:v>
      </x:c>
      <x:c r="O6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1" s="25" t="n">
        <x:v>46315</x:v>
      </x:c>
      <x:c r="Q61" s="27" t="str">
        <x:v>ยังไม่ตรวจ</x:v>
      </x:c>
      <x:c r="R61" s="27" t="str">
        <x:v>รอติดต่อ</x:v>
      </x:c>
    </x:row>
    <x:row r="62" ht="76" customHeight="1">
      <x:c r="A62" s="24" t="str">
        <x:v>TMF-054</x:v>
      </x:c>
      <x:c r="B62" s="20" t="str">
        <x:v>LAHORE RESTAURANT สีลม</x:v>
      </x:c>
      <x:c r="C62" s="20" t="str">
        <x:v>กรุงเทพมหานคร</x:v>
      </x:c>
      <x:c r="D62" s="20" t="str">
        <x:v>คงไว้ในชุด 600</x:v>
      </x:c>
      <x:c r="E62" s="20" t="str">
        <x:v>พบหลายแหล่งสัมพันธ์กับชื่อ รอยืนยันการเปิด</x:v>
      </x:c>
      <x:c r="F62" s="20" t="str">
        <x:v>ยังไม่ยืนยันการเปิดให้บริการปัจจุบัน</x:v>
      </x:c>
      <x:c r="G62" s="26" t="n">
        <x:v>3</x:v>
      </x:c>
      <x:c r="H62" s="23" t="str"/>
      <x:c r="I62" s="23" t="str"/>
      <x:c r="J62" s="23" t="str"/>
      <x:c r="K62" s="23" t="str"/>
      <x:c r="L62" s="23" t="e">
        <x:f>HYPERLINK("https://xn--l3cga1amo9al2e5c0fqf.cybo.com/TH/%E0%B8%81%E0%B8%A3%E0%B8%B8%E0%B8%87%E0%B9%80%E0%B8%97%E0%B8%9E%E0%B8%A1%E0%B8%AB%E0%B8%B2%E0%B8%99%E0%B8%84%E0%B8%A3-%E0%B8%81%E0%B8%A3%E0%B8%B8%E0%B8%87%E0%B9%80%E0%B8%97%E0%B8%9E%E0%B8%A1%E0%B8%AB%E0%B8%B2%E0%B8%99%E0%B8%84%E0%B8%A3/%E0%B8%A3%E0%B9%89%E0%B8%B2%E0%B8%99%E0%B8%AD%E0%B8%B2%E0%B8%AB%E0%B8%B2%E0%B8%A3%E0%B8%95%E0%B8%B8%E0%B8%A3%E0%B8%81%E0%B8%B5","เปิดเว็บเพิ่ม 1")</x:f>
        <x:v>HYPERLINK is not implemented. linkLocation=https://xn--l3cga1amo9al2e5c0fqf.cybo.com/TH/%E0%B8%81%E0%B8%A3%E0%B8%B8%E0%B8%87%E0%B9%80%E0%B8%97%E0%B8%9E%E0%B8%A1%E0%B8%AB%E0%B8%B2%E0%B8%99%E0%B8%84%E0%B8%A3-%E0%B8%81%E0%B8%A3%E0%B8%B8%E0%B8%87%E0%B9%80%E0%B8%97%E0%B8%9E%E0%B8%A1%E0%B8%AB%E0%B8%B2%E0%B8%99%E0%B8%84%E0%B8%A3/%E0%B8%A3%E0%B9%89%E0%B8%B2%E0%B8%99%E0%B8%AD%E0%B8%B2%E0%B8%AB%E0%B8%B2%E0%B8%A3%E0%B8%95%E0%B8%B8%E0%B8%A3%E0%B8%81%E0%B8%B5, friendlyName=เปิดเว็บเพิ่ม 1</x:v>
      </x:c>
      <x:c r="M62" s="23" t="e">
        <x:f>HYPERLINK("https://salaamthailand.com/th/place/iftar-buffet-lahore-restaurant-silom-halal-so0ieu/","เปิดเว็บเพิ่ม 2")</x:f>
        <x:v>HYPERLINK is not implemented. linkLocation=https://salaamthailand.com/th/place/iftar-buffet-lahore-restaurant-silom-halal-so0ieu/, friendlyName=เปิดเว็บเพิ่ม 2</x:v>
      </x:c>
      <x:c r="N62" s="20" t="str">
        <x:v>ยังไม่ยืนยัน</x:v>
      </x:c>
      <x:c r="O62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2" s="25" t="n">
        <x:v>46315</x:v>
      </x:c>
      <x:c r="Q62" s="27" t="str">
        <x:v>ยังไม่ตรวจ</x:v>
      </x:c>
      <x:c r="R62" s="27" t="str">
        <x:v>รอติดต่อ</x:v>
      </x:c>
    </x:row>
    <x:row r="63" ht="96" customHeight="1">
      <x:c r="A63" s="24" t="str">
        <x:v>TMF-055</x:v>
      </x:c>
      <x:c r="B63" s="20" t="str">
        <x:v>La pizza fahana</x:v>
      </x:c>
      <x:c r="C63" s="20" t="str">
        <x:v>กรุงเทพมหานคร</x:v>
      </x:c>
      <x:c r="D63" s="20" t="str">
        <x:v>คงไว้ในชุด 600</x:v>
      </x:c>
      <x:c r="E63" s="20" t="str">
        <x:v>หลักฐานไม่พอ รอยืนยันการเปิด</x:v>
      </x:c>
      <x:c r="F63" s="20" t="str">
        <x:v>ยังไม่ยืนยันการเปิดให้บริการปัจจุบัน</x:v>
      </x:c>
      <x:c r="G63" s="26" t="n">
        <x:v>1</x:v>
      </x:c>
      <x:c r="H63" s="23" t="str"/>
      <x:c r="I63" s="23" t="str"/>
      <x:c r="J63" s="23" t="str"/>
      <x:c r="K63" s="23" t="str"/>
      <x:c r="L63" s="23" t="str"/>
      <x:c r="M63" s="23" t="str"/>
      <x:c r="N63" s="20" t="str">
        <x:v>ยังไม่ยืนยัน</x:v>
      </x:c>
      <x:c r="O6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3" s="25" t="n">
        <x:v>46315</x:v>
      </x:c>
      <x:c r="Q63" s="27" t="str">
        <x:v>ยังไม่ตรวจ</x:v>
      </x:c>
      <x:c r="R63" s="27" t="str">
        <x:v>รอติดต่อ</x:v>
      </x:c>
    </x:row>
    <x:row r="64" ht="76" customHeight="1">
      <x:c r="A64" s="24" t="str">
        <x:v>TMF-056</x:v>
      </x:c>
      <x:c r="B64" s="20" t="str">
        <x:v>Mini Coffee</x:v>
      </x:c>
      <x:c r="C64" s="20" t="str">
        <x:v>กรุงเทพมหานคร</x:v>
      </x:c>
      <x:c r="D64" s="20" t="str">
        <x:v>คงไว้ในชุด 600</x:v>
      </x:c>
      <x:c r="E64" s="20" t="str">
        <x:v>พบหลายแหล่งสัมพันธ์กับชื่อ รอยืนยันการเปิด</x:v>
      </x:c>
      <x:c r="F64" s="20" t="str">
        <x:v>ยังไม่ยืนยันการเปิดให้บริการปัจจุบัน</x:v>
      </x:c>
      <x:c r="G64" s="26" t="n">
        <x:v>2</x:v>
      </x:c>
      <x:c r="H64" s="23" t="str"/>
      <x:c r="I64" s="23" t="str"/>
      <x:c r="J64" s="23" t="e">
        <x:f>HYPERLINK("https://www.wongnai.com/restaurants/1315287sp-mini-coffee-onecoffee","เปิดหน้ารีวิว 1")</x:f>
        <x:v>HYPERLINK is not implemented. linkLocation=https://www.wongnai.com/restaurants/1315287sp-mini-coffee-onecoffee, friendlyName=เปิดหน้ารีวิว 1</x:v>
      </x:c>
      <x:c r="K64" s="23" t="e">
        <x:f>HYPERLINK("https://www.wongnai.com/restaurants/734205fI-mini-coffee-bar-%E0%B8%A3%E0%B8%B2%E0%B8%A1%E0%B8%AD%E0%B8%B4%E0%B8%99%E0%B8%97%E0%B8%A3%E0%B8%B2-34","เปิดหน้ารีวิว 2")</x:f>
        <x:v>HYPERLINK is not implemented. linkLocation=https://www.wongnai.com/restaurants/734205fI-mini-coffee-bar-%E0%B8%A3%E0%B8%B2%E0%B8%A1%E0%B8%AD%E0%B8%B4%E0%B8%99%E0%B8%97%E0%B8%A3%E0%B8%B2-34, friendlyName=เปิดหน้ารีวิว 2</x:v>
      </x:c>
      <x:c r="L64" s="23" t="str"/>
      <x:c r="M64" s="23" t="str"/>
      <x:c r="N64" s="20" t="str">
        <x:v>ยังไม่ยืนยัน</x:v>
      </x:c>
      <x:c r="O6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4" s="25" t="n">
        <x:v>46315</x:v>
      </x:c>
      <x:c r="Q64" s="27" t="str">
        <x:v>ยังไม่ตรวจ</x:v>
      </x:c>
      <x:c r="R64" s="27" t="str">
        <x:v>รอติดต่อ</x:v>
      </x:c>
    </x:row>
    <x:row r="65" ht="76" customHeight="1">
      <x:c r="A65" s="24" t="str">
        <x:v>TMF-057</x:v>
      </x:c>
      <x:c r="B65" s="20" t="str">
        <x:v>Mom’s Restaurant</x:v>
      </x:c>
      <x:c r="C65" s="20" t="str">
        <x:v>กรุงเทพมหานคร</x:v>
      </x:c>
      <x:c r="D65" s="20" t="str">
        <x:v>คงไว้ในชุด 600</x:v>
      </x:c>
      <x:c r="E65" s="20" t="str">
        <x:v>พบหลายแหล่งสัมพันธ์กับชื่อ รอยืนยันการเปิด</x:v>
      </x:c>
      <x:c r="F65" s="20" t="str">
        <x:v>ยังไม่ยืนยันการเปิดให้บริการปัจจุบัน</x:v>
      </x:c>
      <x:c r="G65" s="26" t="n">
        <x:v>2</x:v>
      </x:c>
      <x:c r="H65" s="23" t="str"/>
      <x:c r="I65" s="23" t="str"/>
      <x:c r="J65" s="23" t="e">
        <x:f>HYPERLINK("https://www.wongnai.com/restaurants/568727NN-%E0%B8%84%E0%B8%A3%E0%B8%B1%E0%B8%A7%E0%B8%84%E0%B8%B8%E0%B8%93%E0%B9%81%E0%B8%A1%E0%B9%88-mom-s-restaurant","เปิดหน้ารีวิว 1")</x:f>
        <x:v>HYPERLINK is not implemented. linkLocation=https://www.wongnai.com/restaurants/568727NN-%E0%B8%84%E0%B8%A3%E0%B8%B1%E0%B8%A7%E0%B8%84%E0%B8%B8%E0%B8%93%E0%B9%81%E0%B8%A1%E0%B9%88-mom-s-restaurant, friendlyName=เปิดหน้ารีวิว 1</x:v>
      </x:c>
      <x:c r="K65" s="23" t="str"/>
      <x:c r="L65" s="23" t="str"/>
      <x:c r="M65" s="23" t="str"/>
      <x:c r="N65" s="20" t="str">
        <x:v>ยังไม่ยืนยัน</x:v>
      </x:c>
      <x:c r="O6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5" s="25" t="n">
        <x:v>46315</x:v>
      </x:c>
      <x:c r="Q65" s="27" t="str">
        <x:v>ยังไม่ตรวจ</x:v>
      </x:c>
      <x:c r="R65" s="27" t="str">
        <x:v>รอติดต่อ</x:v>
      </x:c>
    </x:row>
    <x:row r="66" ht="76" customHeight="1">
      <x:c r="A66" s="24" t="str">
        <x:v>TMF-058</x:v>
      </x:c>
      <x:c r="B66" s="20" t="str">
        <x:v>Monkey Suki Halal มีนบุรีคู้ขวา</x:v>
      </x:c>
      <x:c r="C66" s="20" t="str">
        <x:v>กรุงเทพมหานคร</x:v>
      </x:c>
      <x:c r="D66" s="20" t="str">
        <x:v>คงไว้ในชุด 600</x:v>
      </x:c>
      <x:c r="E66" s="20" t="str">
        <x:v>พบหลายแหล่งสัมพันธ์กับชื่อ รอยืนยันการเปิด</x:v>
      </x:c>
      <x:c r="F66" s="20" t="str">
        <x:v>ยังไม่ยืนยันการเปิดให้บริการปัจจุบัน</x:v>
      </x:c>
      <x:c r="G66" s="26" t="n">
        <x:v>2</x:v>
      </x:c>
      <x:c r="H66" s="23" t="str"/>
      <x:c r="I66" s="23" t="str"/>
      <x:c r="J66" s="23" t="e">
        <x:f>HYPERLINK("https://ru.restaurantguru.com/%E0%B8%A3%E0%B8%B2%E0%B8%A2%E0%B8%B2%E0%B8%8B%E0%B8%B5%E0%B8%9F%E0%B8%B9%E0%B9%89%E0%B8%94and%E0%B8%88%E0%B8%B4%E0%B9%89%E0%B8%A1%E0%B8%88%E0%B8%B8%E0%B9%88%E0%B8%A1-Bangkok","เปิดหน้ารีวิว 1")</x:f>
        <x:v>HYPERLINK is not implemented. linkLocation=https://ru.restaurantguru.com/%E0%B8%A3%E0%B8%B2%E0%B8%A2%E0%B8%B2%E0%B8%8B%E0%B8%B5%E0%B8%9F%E0%B8%B9%E0%B9%89%E0%B8%94and%E0%B8%88%E0%B8%B4%E0%B9%89%E0%B8%A1%E0%B8%88%E0%B8%B8%E0%B9%88%E0%B8%A1-Bangkok, friendlyName=เปิดหน้ารีวิว 1</x:v>
      </x:c>
      <x:c r="K66" s="23" t="str"/>
      <x:c r="L66" s="23" t="str"/>
      <x:c r="M66" s="23" t="str"/>
      <x:c r="N66" s="20" t="str">
        <x:v>ยังไม่ยืนยัน</x:v>
      </x:c>
      <x:c r="O6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6" s="25" t="n">
        <x:v>46315</x:v>
      </x:c>
      <x:c r="Q66" s="27" t="str">
        <x:v>ยังไม่ตรวจ</x:v>
      </x:c>
      <x:c r="R66" s="27" t="str">
        <x:v>รอติดต่อ</x:v>
      </x:c>
    </x:row>
    <x:row r="67" ht="76" customHeight="1">
      <x:c r="A67" s="24" t="str">
        <x:v>TMF-059</x:v>
      </x:c>
      <x:c r="B67" s="20" t="str">
        <x:v>Monkey Suki รามคำแหง81</x:v>
      </x:c>
      <x:c r="C67" s="20" t="str">
        <x:v>กรุงเทพมหานคร</x:v>
      </x:c>
      <x:c r="D67" s="20" t="str">
        <x:v>คงไว้ในชุด 600</x:v>
      </x:c>
      <x:c r="E67" s="20" t="str">
        <x:v>พบหลายแหล่งสัมพันธ์กับชื่อ รอยืนยันการเปิด</x:v>
      </x:c>
      <x:c r="F67" s="20" t="str">
        <x:v>ยังไม่ยืนยันการเปิดให้บริการปัจจุบัน</x:v>
      </x:c>
      <x:c r="G67" s="26" t="n">
        <x:v>3</x:v>
      </x:c>
      <x:c r="H67" s="23" t="str"/>
      <x:c r="I67" s="23" t="str"/>
      <x:c r="J67" s="23" t="e">
        <x:f>HYPERLINK("https://ru.restaurantguru.com/Monkey-Suki-%E0%B8%A3%E0%B8%B2%E0%B8%A1%E0%B8%84%E0%B8%B3%E0%B9%81%E0%B8%AB%E0%B8%8781-Bangkok","เปิดหน้ารีวิว 1")</x:f>
        <x:v>HYPERLINK is not implemented. linkLocation=https://ru.restaurantguru.com/Monkey-Suki-%E0%B8%A3%E0%B8%B2%E0%B8%A1%E0%B8%84%E0%B8%B3%E0%B9%81%E0%B8%AB%E0%B8%8781-Bangkok, friendlyName=เปิดหน้ารีวิว 1</x:v>
      </x:c>
      <x:c r="K67" s="23" t="e">
        <x:f>HYPERLINK("https://www.wongnai.com/restaurants/3114969qz-monkey-suki-%25E0%25B8%25A3%25E0%25B8%25B2%25E0%25B8%25A1%25E0%25B8%2584%25E0%25B8%25B3%25E0%25B9%2581%25E0%25B8%25AB%25E0%25B8%2587-81","เปิดหน้ารีวิว 2")</x:f>
        <x:v>HYPERLINK is not implemented. linkLocation=https://www.wongnai.com/restaurants/3114969qz-monkey-suki-%25E0%25B8%25A3%25E0%25B8%25B2%25E0%25B8%25A1%25E0%25B8%2584%25E0%25B8%25B3%25E0%25B9%2581%25E0%25B8%25AB%25E0%25B8%2587-81, friendlyName=เปิดหน้ารีวิว 2</x:v>
      </x:c>
      <x:c r="L67" s="23" t="str"/>
      <x:c r="M67" s="23" t="str"/>
      <x:c r="N67" s="20" t="str">
        <x:v>ยังไม่ยืนยัน</x:v>
      </x:c>
      <x:c r="O6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7" s="25" t="n">
        <x:v>46315</x:v>
      </x:c>
      <x:c r="Q67" s="27" t="str">
        <x:v>ยังไม่ตรวจ</x:v>
      </x:c>
      <x:c r="R67" s="27" t="str">
        <x:v>รอติดต่อ</x:v>
      </x:c>
    </x:row>
    <x:row r="68" ht="76" customHeight="1">
      <x:c r="A68" s="24" t="str">
        <x:v>TMF-060</x:v>
      </x:c>
      <x:c r="B68" s="20" t="str">
        <x:v>Monkey Suki เสรีไทย16</x:v>
      </x:c>
      <x:c r="C68" s="20" t="str">
        <x:v>กรุงเทพมหานคร</x:v>
      </x:c>
      <x:c r="D68" s="20" t="str">
        <x:v>คงไว้ในชุด 600</x:v>
      </x:c>
      <x:c r="E68" s="20" t="str">
        <x:v>พบหลายแหล่งสัมพันธ์กับชื่อ รอยืนยันการเปิด</x:v>
      </x:c>
      <x:c r="F68" s="20" t="str">
        <x:v>ยังไม่ยืนยันการเปิดให้บริการปัจจุบัน</x:v>
      </x:c>
      <x:c r="G68" s="26" t="n">
        <x:v>2</x:v>
      </x:c>
      <x:c r="H68" s="23" t="str"/>
      <x:c r="I68" s="23" t="str"/>
      <x:c r="J68" s="23" t="e">
        <x:f>HYPERLINK("https://www.lemon8-app.com/%40ma_ma1999/7541322394812727826?region=th","เปิดหน้ารีวิว 1")</x:f>
        <x:v>HYPERLINK is not implemented. linkLocation=https://www.lemon8-app.com/%40ma_ma1999/7541322394812727826?region=th, friendlyName=เปิดหน้ารีวิว 1</x:v>
      </x:c>
      <x:c r="K68" s="23" t="e">
        <x:f>HYPERLINK("https://www.lemon8-app.com/%40bus_wisanu/7541358163870679569?region=th","เปิดหน้ารีวิว 2")</x:f>
        <x:v>HYPERLINK is not implemented. linkLocation=https://www.lemon8-app.com/%40bus_wisanu/7541358163870679569?region=th, friendlyName=เปิดหน้ารีวิว 2</x:v>
      </x:c>
      <x:c r="L68" s="23" t="str"/>
      <x:c r="M68" s="23" t="str"/>
      <x:c r="N68" s="20" t="str">
        <x:v>ยังไม่ยืนยัน</x:v>
      </x:c>
      <x:c r="O6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8" s="25" t="n">
        <x:v>46315</x:v>
      </x:c>
      <x:c r="Q68" s="27" t="str">
        <x:v>ยังไม่ตรวจ</x:v>
      </x:c>
      <x:c r="R68" s="27" t="str">
        <x:v>รอติดต่อ</x:v>
      </x:c>
    </x:row>
    <x:row r="69" ht="76" customHeight="1">
      <x:c r="A69" s="24" t="str">
        <x:v>TMF-061</x:v>
      </x:c>
      <x:c r="B69" s="20" t="str">
        <x:v>Nes Tea Boba</x:v>
      </x:c>
      <x:c r="C69" s="20" t="str">
        <x:v>กรุงเทพมหานคร</x:v>
      </x:c>
      <x:c r="D69" s="20" t="str">
        <x:v>คงไว้ในชุด 600</x:v>
      </x:c>
      <x:c r="E69" s="20" t="str">
        <x:v>พบหลายแหล่งสัมพันธ์กับชื่อ รอยืนยันการเปิด</x:v>
      </x:c>
      <x:c r="F69" s="20" t="str">
        <x:v>ยังไม่ยืนยันการเปิดให้บริการปัจจุบัน</x:v>
      </x:c>
      <x:c r="G69" s="26" t="n">
        <x:v>2</x:v>
      </x:c>
      <x:c r="H69" s="23" t="str"/>
      <x:c r="I69" s="23" t="str"/>
      <x:c r="J69" s="23" t="e">
        <x:f>HYPERLINK("https://www.wongnai.com/restaurants/3752916kb-nes-tea-boba-%E0%B8%8A%E0%B8%B2%E0%B9%83%E0%B8%95%E0%B9%89-%E0%B8%8A%E0%B8%B2%E0%B8%99%E0%B8%A1%E0%B9%84%E0%B8%95%E0%B9%89%E0%B8%AB%E0%B8%A7%E0%B8%B1%E0%B8%99%E0%B8%9E%E0%B8%A3%E0%B8%B5%E0%B9%80%E0%B8%A1%E0%B8%B5%E0%B8%A2%E0%B8%A1-%E0%B8%AA%E0%B8%B2%E0%B8%82%E0%B8%B2%E0%B8%8B%E0%B8%AD%E0%B8%A2%E0%B9%80%E0%B8%9E%E0%B8%8A%E0%B8%A3%E0%B8%9A%E0%B8%B8%E0%B8%A3%E0%B8%B5-7","เปิดหน้ารีวิว 1")</x:f>
        <x:v>HYPERLINK is not implemented. linkLocation=https://www.wongnai.com/restaurants/3752916kb-nes-tea-boba-%E0%B8%8A%E0%B8%B2%E0%B9%83%E0%B8%95%E0%B9%89-%E0%B8%8A%E0%B8%B2%E0%B8%99%E0%B8%A1%E0%B9%84%E0%B8%95%E0%B9%89%E0%B8%AB%E0%B8%A7%E0%B8%B1%E0%B8%99%E0%B8%9E%E0%B8%A3%E0%B8%B5%E0%B9%80%E0%B8%A1%E0%B8%B5%E0%B8%A2%E0%B8%A1-%E0%B8%AA%E0%B8%B2%E0%B8%82%E0%B8%B2%E0%B8%8B%E0%B8%AD%E0%B8%A2%E0%B9%80%E0%B8%9E%E0%B8%8A%E0%B8%A3%E0%B8%9A%E0%B8%B8%E0%B8%A3%E0%B8%B5-7, friendlyName=เปิดหน้ารีวิว 1</x:v>
      </x:c>
      <x:c r="K69" s="23" t="str"/>
      <x:c r="L69" s="23" t="str"/>
      <x:c r="M69" s="23" t="str"/>
      <x:c r="N69" s="20" t="str">
        <x:v>ยังไม่ยืนยัน</x:v>
      </x:c>
      <x:c r="O6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9" s="25" t="n">
        <x:v>46315</x:v>
      </x:c>
      <x:c r="Q69" s="27" t="str">
        <x:v>ยังไม่ตรวจ</x:v>
      </x:c>
      <x:c r="R69" s="27" t="str">
        <x:v>รอติดต่อ</x:v>
      </x:c>
    </x:row>
    <x:row r="70" ht="76" customHeight="1">
      <x:c r="A70" s="24" t="str">
        <x:v>TMF-062</x:v>
      </x:c>
      <x:c r="B70" s="20" t="str">
        <x:v>P-Park Residence</x:v>
      </x:c>
      <x:c r="C70" s="20" t="str">
        <x:v>กรุงเทพมหานคร</x:v>
      </x:c>
      <x:c r="D70" s="20" t="str">
        <x:v>คงไว้ในชุด 600</x:v>
      </x:c>
      <x:c r="E70" s="20" t="str">
        <x:v>พบหลายแหล่งสัมพันธ์กับชื่อ รอยืนยันการเปิด</x:v>
      </x:c>
      <x:c r="F70" s="20" t="str">
        <x:v>ยังไม่ยืนยันการเปิดให้บริการปัจจุบัน</x:v>
      </x:c>
      <x:c r="G70" s="26" t="n">
        <x:v>8</x:v>
      </x:c>
      <x:c r="H70" s="23" t="str"/>
      <x:c r="I70" s="23" t="str"/>
      <x:c r="J70" s="23" t="e">
        <x:f>HYPERLINK("https://th.tripadvisor.com/Hotel_Review-g293916-d2145999-Reviews-P_Park_Residence_Charansanitwong-Bangkok.html","เปิดหน้ารีวิว 1")</x:f>
        <x:v>HYPERLINK is not implemented. linkLocation=https://th.tripadvisor.com/Hotel_Review-g293916-d2145999-Reviews-P_Park_Residence_Charansanitwong-Bangkok.html, friendlyName=เปิดหน้ารีวิว 1</x:v>
      </x:c>
      <x:c r="K70" s="23" t="e">
        <x:f>HYPERLINK("https://www.agoda.com/ko-kr/p-park-residence-charansanitwong/hotel/bangkok-th.html","เปิดหน้ารีวิว 2")</x:f>
        <x:v>HYPERLINK is not implemented. linkLocation=https://www.agoda.com/ko-kr/p-park-residence-charansanitwong/hotel/bangkok-th.html, friendlyName=เปิดหน้ารีวิว 2</x:v>
      </x:c>
      <x:c r="L70" s="23" t="e">
        <x:f>HYPERLINK("https://www.gother.com/th-th/hotels/thailand/bangkok/bang-phlat/p-park-residence-charansanitwong","เปิดเว็บเพิ่ม 1")</x:f>
        <x:v>HYPERLINK is not implemented. linkLocation=https://www.gother.com/th-th/hotels/thailand/bangkok/bang-phlat/p-park-residence-charansanitwong, friendlyName=เปิดเว็บเพิ่ม 1</x:v>
      </x:c>
      <x:c r="M70" s="23" t="e">
        <x:f>HYPERLINK("https://www.traveloka.com/th-th/hotel/thailand/p-park-residence-charansanitwong---rama-7-1000000391903","เปิดเว็บเพิ่ม 2")</x:f>
        <x:v>HYPERLINK is not implemented. linkLocation=https://www.traveloka.com/th-th/hotel/thailand/p-park-residence-charansanitwong---rama-7-1000000391903, friendlyName=เปิดเว็บเพิ่ม 2</x:v>
      </x:c>
      <x:c r="N70" s="20" t="str">
        <x:v>ยังไม่ยืนยัน</x:v>
      </x:c>
      <x:c r="O7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70" s="25" t="n">
        <x:v>46315</x:v>
      </x:c>
      <x:c r="Q70" s="27" t="str">
        <x:v>ยังไม่ตรวจ</x:v>
      </x:c>
      <x:c r="R70" s="27" t="str">
        <x:v>รอติดต่อ</x:v>
      </x:c>
    </x:row>
    <x:row r="71" ht="76" customHeight="1">
      <x:c r="A71" s="24" t="str">
        <x:v>TMF-063</x:v>
      </x:c>
      <x:c r="B71" s="20" t="str">
        <x:v>REEZQ Residence Phyathai</x:v>
      </x:c>
      <x:c r="C71" s="20" t="str">
        <x:v>กรุงเทพมหานคร</x:v>
      </x:c>
      <x:c r="D71" s="20" t="str">
        <x:v>คงไว้ในชุด 600</x:v>
      </x:c>
      <x:c r="E71" s="20" t="str">
        <x:v>พบหลายแหล่งสัมพันธ์กับชื่อ รอยืนยันการเปิด</x:v>
      </x:c>
      <x:c r="F71" s="20" t="str">
        <x:v>ยังไม่ยืนยันการเปิดให้บริการปัจจุบัน</x:v>
      </x:c>
      <x:c r="G71" s="26" t="n">
        <x:v>2</x:v>
      </x:c>
      <x:c r="H71" s="23" t="str"/>
      <x:c r="I71" s="23" t="str"/>
      <x:c r="J71" s="23" t="str"/>
      <x:c r="K71" s="23" t="str"/>
      <x:c r="L71" s="23" t="e">
        <x:f>HYPERLINK("https://www.renthub.in.th/en/reezq-residence","เปิดเว็บเพิ่ม 1")</x:f>
        <x:v>HYPERLINK is not implemented. linkLocation=https://www.renthub.in.th/en/reezq-residence, friendlyName=เปิดเว็บเพิ่ม 1</x:v>
      </x:c>
      <x:c r="M71" s="23" t="str"/>
      <x:c r="N71" s="20" t="str">
        <x:v>ยังไม่ยืนยัน</x:v>
      </x:c>
      <x:c r="O71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71" s="25" t="n">
        <x:v>46315</x:v>
      </x:c>
      <x:c r="Q71" s="27" t="str">
        <x:v>ยังไม่ตรวจ</x:v>
      </x:c>
      <x:c r="R71" s="27" t="str">
        <x:v>รอติดต่อ</x:v>
      </x:c>
    </x:row>
    <x:row r="72" ht="76" customHeight="1">
      <x:c r="A72" s="24" t="str">
        <x:v>TMF-064</x:v>
      </x:c>
      <x:c r="B72" s="20" t="str">
        <x:v>Ram21Place</x:v>
      </x:c>
      <x:c r="C72" s="20" t="str">
        <x:v>กรุงเทพมหานคร</x:v>
      </x:c>
      <x:c r="D72" s="20" t="str">
        <x:v>คงไว้ในชุด 600</x:v>
      </x:c>
      <x:c r="E72" s="20" t="str">
        <x:v>พบหลายแหล่งสัมพันธ์กับชื่อ รอยืนยันการเปิด</x:v>
      </x:c>
      <x:c r="F72" s="20" t="str">
        <x:v>ยังไม่ยืนยันการเปิดให้บริการปัจจุบัน</x:v>
      </x:c>
      <x:c r="G72" s="26" t="n">
        <x:v>3</x:v>
      </x:c>
      <x:c r="H72" s="23" t="str"/>
      <x:c r="I72" s="23" t="str"/>
      <x:c r="J72" s="23" t="str"/>
      <x:c r="K72" s="23" t="str"/>
      <x:c r="L72" s="23" t="e">
        <x:f>HYPERLINK("https://www.thaithurkic.com/ram-place-02-318-0390","เปิดเว็บเพิ่ม 1")</x:f>
        <x:v>HYPERLINK is not implemented. linkLocation=https://www.thaithurkic.com/ram-place-02-318-0390, friendlyName=เปิดเว็บเพิ่ม 1</x:v>
      </x:c>
      <x:c r="M72" s="23" t="e">
        <x:f>HYPERLINK("https://www.thaiapartment.com/apartment/-ram21place-bangkapi-9470","เปิดเว็บเพิ่ม 2")</x:f>
        <x:v>HYPERLINK is not implemented. linkLocation=https://www.thaiapartment.com/apartment/-ram21place-bangkapi-9470, friendlyName=เปิดเว็บเพิ่ม 2</x:v>
      </x:c>
      <x:c r="N72" s="20" t="str">
        <x:v>ยังไม่ยืนยัน</x:v>
      </x:c>
      <x:c r="O72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72" s="25" t="n">
        <x:v>46315</x:v>
      </x:c>
      <x:c r="Q72" s="27" t="str">
        <x:v>ยังไม่ตรวจ</x:v>
      </x:c>
      <x:c r="R72" s="27" t="str">
        <x:v>รอติดต่อ</x:v>
      </x:c>
    </x:row>
    <x:row r="73" ht="76" customHeight="1">
      <x:c r="A73" s="24" t="str">
        <x:v>TMF-065</x:v>
      </x:c>
      <x:c r="B73" s="20" t="str">
        <x:v>Rotinis Hostel</x:v>
      </x:c>
      <x:c r="C73" s="20" t="str">
        <x:v>กรุงเทพมหานคร</x:v>
      </x:c>
      <x:c r="D73" s="20" t="str">
        <x:v>คงไว้ในชุด 600</x:v>
      </x:c>
      <x:c r="E73" s="20" t="str">
        <x:v>พบหลายแหล่งสัมพันธ์กับชื่อ รอยืนยันการเปิด</x:v>
      </x:c>
      <x:c r="F73" s="20" t="str">
        <x:v>ยังไม่ยืนยันการเปิดให้บริการปัจจุบัน</x:v>
      </x:c>
      <x:c r="G73" s="26" t="n">
        <x:v>4</x:v>
      </x:c>
      <x:c r="H73" s="23" t="str"/>
      <x:c r="I73" s="23" t="str"/>
      <x:c r="J73" s="23" t="e">
        <x:f>HYPERLINK("https://restaurantguru.com/Rotinis-Cafe-and-Hostel-Bangkok","เปิดหน้ารีวิว 1")</x:f>
        <x:v>HYPERLINK is not implemented. linkLocation=https://restaurantguru.com/Rotinis-Cafe-and-Hostel-Bangkok, friendlyName=เปิดหน้ารีวิว 1</x:v>
      </x:c>
      <x:c r="K73" s="23" t="e">
        <x:f>HYPERLINK("https://www.google.co.th/travel/hotels/entity/ChkIoef61oOxoeV-Gg0vZy8xMWtyX2QzOXQ3EAE?g2lb=2502548%2C4258168%2C4260007%2C4274032%2C4305595%2C4306835%2C4317915%2C4328159%2C4330862%2C4364504%2C4366684%2C4371334%2C4381263%2C4386665%2C4395590%2C4397007%2C4398672%2C4401769%2C4403881%2C4270859%2C4284970%2C4316256&amp;gl=th&amp;gsas=1&amp;hl=en&amp;rp=OAE&amp;ts=CAEaIgoCGgASHBIUCgcI6g8QBhgJEgcI6g8QBhgOGAUyAhAAOAEqCQoFOgNUSEIaAA&amp;un=1","เปิดหน้ารีวิว 2")</x:f>
        <x:v>HYPERLINK is not implemented. linkLocation=https://www.google.co.th/travel/hotels/entity/ChkIoef61oOxoeV-Gg0vZy8xMWtyX2QzOXQ3EAE?g2lb=2502548%2C4258168%2C4260007%2C4274032%2C4305595%2C4306835%2C4317915%2C4328159%2C4330862%2C4364504%2C4366684%2C4371334%2C4381263%2C4386665%2C4395590%2C4397007%2C4398672%2C4401769%2C4403881%2C4270859%2C4284970%2C4316256&amp;gl=th&amp;gsas=1&amp;hl=en&amp;rp=OAE&amp;ts=CAEaIgoCGgASHBIUCgcI6g8QBhgJEgcI6g8QBhgOGAUyAhAAOAEqCQoFOgNUSEIaAA&amp;un=1, friendlyName=เปิดหน้ารีวิว 2</x:v>
      </x:c>
      <x:c r="L73" s="23" t="str"/>
      <x:c r="M73" s="23" t="str"/>
      <x:c r="N73" s="20" t="str">
        <x:v>ยังไม่ยืนยัน</x:v>
      </x:c>
      <x:c r="O7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73" s="25" t="n">
        <x:v>46315</x:v>
      </x:c>
      <x:c r="Q73" s="27" t="str">
        <x:v>ยังไม่ตรวจ</x:v>
      </x:c>
      <x:c r="R73" s="27" t="str">
        <x:v>รอติดต่อ</x:v>
      </x:c>
    </x:row>
    <x:row r="74" ht="76" customHeight="1">
      <x:c r="A74" s="24" t="str">
        <x:v>TMF-066</x:v>
      </x:c>
      <x:c r="B74" s="20" t="str">
        <x:v>Seven Sisters Home Cafe &amp; Halal Cuisine</x:v>
      </x:c>
      <x:c r="C74" s="20" t="str">
        <x:v>กรุงเทพมหานคร</x:v>
      </x:c>
      <x:c r="D74" s="20" t="str">
        <x:v>คงไว้ในชุด 600</x:v>
      </x:c>
      <x:c r="E74" s="20" t="str">
        <x:v>พบหลายแหล่งสัมพันธ์กับชื่อ รอยืนยันการเปิด</x:v>
      </x:c>
      <x:c r="F74" s="20" t="str">
        <x:v>ยังไม่ยืนยันการเปิดให้บริการปัจจุบัน</x:v>
      </x:c>
      <x:c r="G74" s="26" t="n">
        <x:v>2</x:v>
      </x:c>
      <x:c r="H74" s="23" t="str"/>
      <x:c r="I74" s="23" t="str"/>
      <x:c r="J74" s="23" t="e">
        <x:f>HYPERLINK("https://www.lemon8-app.com/%40pedkubpungpong/7491267976679686657?region=th","เปิดหน้ารีวิว 1")</x:f>
        <x:v>HYPERLINK is not implemented. linkLocation=https://www.lemon8-app.com/%40pedkubpungpong/7491267976679686657?region=th, friendlyName=เปิดหน้ารีวิว 1</x:v>
      </x:c>
      <x:c r="K74" s="23" t="e">
        <x:f>HYPERLINK("https://www.lemon8-app.com/%40pedkubpungpong/7491267976679686657?region=us","เปิดหน้ารีวิว 2")</x:f>
        <x:v>HYPERLINK is not implemented. linkLocation=https://www.lemon8-app.com/%40pedkubpungpong/7491267976679686657?region=us, friendlyName=เปิดหน้ารีวิว 2</x:v>
      </x:c>
      <x:c r="L74" s="23" t="str"/>
      <x:c r="M74" s="23" t="str"/>
      <x:c r="N74" s="20" t="str">
        <x:v>ยังไม่ยืนยัน</x:v>
      </x:c>
      <x:c r="O7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74" s="25" t="n">
        <x:v>46315</x:v>
      </x:c>
      <x:c r="Q74" s="27" t="str">
        <x:v>ยังไม่ตรวจ</x:v>
      </x:c>
      <x:c r="R74" s="27" t="str">
        <x:v>รอติดต่อ</x:v>
      </x:c>
    </x:row>
    <x:row r="75" ht="96" customHeight="1">
      <x:c r="A75" s="24" t="str">
        <x:v>TMF-067</x:v>
      </x:c>
      <x:c r="B75" s="20" t="str">
        <x:v>WOK &amp; MORE thai internationnal cuisine</x:v>
      </x:c>
      <x:c r="C75" s="20" t="str">
        <x:v>กรุงเทพมหานคร</x:v>
      </x:c>
      <x:c r="D75" s="20" t="str">
        <x:v>คงไว้ในชุด 600</x:v>
      </x:c>
      <x:c r="E75" s="20" t="str">
        <x:v>หลักฐานไม่พอ รอยืนยันการเปิด</x:v>
      </x:c>
      <x:c r="F75" s="20" t="str">
        <x:v>ยังไม่ยืนยันการเปิดให้บริการปัจจุบัน</x:v>
      </x:c>
      <x:c r="G75" s="26" t="n">
        <x:v>1</x:v>
      </x:c>
      <x:c r="H75" s="23" t="str"/>
      <x:c r="I75" s="23" t="str"/>
      <x:c r="J75" s="23" t="str"/>
      <x:c r="K75" s="23" t="str"/>
      <x:c r="L75" s="23" t="str"/>
      <x:c r="M75" s="23" t="str"/>
      <x:c r="N75" s="20" t="str">
        <x:v>ยังไม่ยืนยัน</x:v>
      </x:c>
      <x:c r="O7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75" s="25" t="n">
        <x:v>46315</x:v>
      </x:c>
      <x:c r="Q75" s="27" t="str">
        <x:v>ยังไม่ตรวจ</x:v>
      </x:c>
      <x:c r="R75" s="27" t="str">
        <x:v>รอติดต่อ</x:v>
      </x:c>
    </x:row>
    <x:row r="76" ht="76" customHeight="1">
      <x:c r="A76" s="24" t="str">
        <x:v>TMF-068</x:v>
      </x:c>
      <x:c r="B76" s="20" t="str">
        <x:v>กุ้งแช่บรรทัดทองbyฮาลาล</x:v>
      </x:c>
      <x:c r="C76" s="20" t="str">
        <x:v>กรุงเทพมหานคร</x:v>
      </x:c>
      <x:c r="D76" s="20" t="str">
        <x:v>คงไว้ในชุด 600</x:v>
      </x:c>
      <x:c r="E76" s="20" t="str">
        <x:v>พบหลายแหล่งสัมพันธ์กับชื่อ รอยืนยันการเปิด</x:v>
      </x:c>
      <x:c r="F76" s="20" t="str">
        <x:v>ยังไม่ยืนยันการเปิดให้บริการปัจจุบัน</x:v>
      </x:c>
      <x:c r="G76" s="26" t="n">
        <x:v>3</x:v>
      </x:c>
      <x:c r="H76" s="23" t="str"/>
      <x:c r="I76" s="23" t="str"/>
      <x:c r="J76" s="23" t="e">
        <x:f>HYPERLINK("https://www.wongnai.com/reviews/39bdbdb611e84a5caf0fb5b18e1e9dca","เปิดหน้ารีวิว 1")</x:f>
        <x:v>HYPERLINK is not implemented. linkLocation=https://www.wongnai.com/reviews/39bdbdb611e84a5caf0fb5b18e1e9dca, friendlyName=เปิดหน้ารีวิว 1</x:v>
      </x:c>
      <x:c r="K76" s="23" t="e">
        <x:f>HYPERLINK("https://www.wongnai.com/restaurants/2845077OW-%E0%B8%81%E0%B8%B8%E0%B9%89%E0%B8%87%E0%B9%81%E0%B8%8A%E0%B9%88%E0%B8%9A%E0%B8%A3%E0%B8%A3%E0%B8%97%E0%B8%B1%E0%B8%94%E0%B8%97%E0%B8%AD%E0%B8%87by%E0%B8%AE%E0%B8%B2%E0%B8%A5%E0%B8%B2%E0%B8%A5","เปิดหน้ารีวิว 2")</x:f>
        <x:v>HYPERLINK is not implemented. linkLocation=https://www.wongnai.com/restaurants/2845077OW-%E0%B8%81%E0%B8%B8%E0%B9%89%E0%B8%87%E0%B9%81%E0%B8%8A%E0%B9%88%E0%B8%9A%E0%B8%A3%E0%B8%A3%E0%B8%97%E0%B8%B1%E0%B8%94%E0%B8%97%E0%B8%AD%E0%B8%87by%E0%B8%AE%E0%B8%B2%E0%B8%A5%E0%B8%B2%E0%B8%A5, friendlyName=เปิดหน้ารีวิว 2</x:v>
      </x:c>
      <x:c r="L76" s="23" t="str"/>
      <x:c r="M76" s="23" t="str"/>
      <x:c r="N76" s="20" t="str">
        <x:v>ยังไม่ยืนยัน</x:v>
      </x:c>
      <x:c r="O7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76" s="25" t="n">
        <x:v>46315</x:v>
      </x:c>
      <x:c r="Q76" s="27" t="str">
        <x:v>ยังไม่ตรวจ</x:v>
      </x:c>
      <x:c r="R76" s="27" t="str">
        <x:v>รอติดต่อ</x:v>
      </x:c>
    </x:row>
    <x:row r="77" ht="96" customHeight="1">
      <x:c r="A77" s="24" t="str">
        <x:v>TMF-069</x:v>
      </x:c>
      <x:c r="B77" s="20" t="str">
        <x:v>ข้าวต้มบารอกัต สาขาหนองจอก</x:v>
      </x:c>
      <x:c r="C77" s="20" t="str">
        <x:v>กรุงเทพมหานคร</x:v>
      </x:c>
      <x:c r="D77" s="20" t="str">
        <x:v>คงไว้ในชุด 600</x:v>
      </x:c>
      <x:c r="E77" s="20" t="str">
        <x:v>หลักฐานไม่พอ รอยืนยันการเปิด</x:v>
      </x:c>
      <x:c r="F77" s="20" t="str">
        <x:v>ยังไม่ยืนยันการเปิดให้บริการปัจจุบัน</x:v>
      </x:c>
      <x:c r="G77" s="26" t="n">
        <x:v>1</x:v>
      </x:c>
      <x:c r="H77" s="23" t="str"/>
      <x:c r="I77" s="23" t="str"/>
      <x:c r="J77" s="23" t="str"/>
      <x:c r="K77" s="23" t="str"/>
      <x:c r="L77" s="23" t="str"/>
      <x:c r="M77" s="23" t="str"/>
      <x:c r="N77" s="20" t="str">
        <x:v>ยังไม่ยืนยัน</x:v>
      </x:c>
      <x:c r="O7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77" s="25" t="n">
        <x:v>46315</x:v>
      </x:c>
      <x:c r="Q77" s="27" t="str">
        <x:v>ยังไม่ตรวจ</x:v>
      </x:c>
      <x:c r="R77" s="27" t="str">
        <x:v>รอติดต่อ</x:v>
      </x:c>
    </x:row>
    <x:row r="78" ht="76" customHeight="1">
      <x:c r="A78" s="24" t="str">
        <x:v>TMF-070</x:v>
      </x:c>
      <x:c r="B78" s="20" t="str">
        <x:v>ข้าวเช้า ฮาลาล breakfast &amp; lunch</x:v>
      </x:c>
      <x:c r="C78" s="20" t="str">
        <x:v>กรุงเทพมหานคร</x:v>
      </x:c>
      <x:c r="D78" s="20" t="str">
        <x:v>คงไว้ในชุด 600</x:v>
      </x:c>
      <x:c r="E78" s="20" t="str">
        <x:v>พบหลายแหล่งสัมพันธ์กับชื่อ รอยืนยันการเปิด</x:v>
      </x:c>
      <x:c r="F78" s="20" t="str">
        <x:v>ยังไม่ยืนยันการเปิดให้บริการปัจจุบัน</x:v>
      </x:c>
      <x:c r="G78" s="26" t="n">
        <x:v>4</x:v>
      </x:c>
      <x:c r="H78" s="23" t="e">
        <x:f>HYPERLINK("https://www.facebook.com/profile.php?id=61560991430781&amp;mibextid=LQQJ4d","เปิดช่องทาง 1")</x:f>
        <x:v>HYPERLINK is not implemented. linkLocation=https://www.facebook.com/profile.php?id=61560991430781&amp;mibextid=LQQJ4d, friendlyName=เปิดช่องทาง 1</x:v>
      </x:c>
      <x:c r="I78" s="23" t="e">
        <x:f>HYPERLINK("https://www.tiktok.com/@isrinmudpongtua?_t=8oXKi7V7RBP&amp;_r=1","เปิดช่องทาง 2")</x:f>
        <x:v>HYPERLINK is not implemented. linkLocation=https://www.tiktok.com/@isrinmudpongtua?_t=8oXKi7V7RBP&amp;_r=1, friendlyName=เปิดช่องทาง 2</x:v>
      </x:c>
      <x:c r="J78" s="23" t="str"/>
      <x:c r="K78" s="23" t="str"/>
      <x:c r="L78" s="23" t="e">
        <x:f>HYPERLINK("https://www.ryoiireview.com/restaurant/view/17821","เปิดเว็บเพิ่ม 1")</x:f>
        <x:v>HYPERLINK is not implemented. linkLocation=https://www.ryoiireview.com/restaurant/view/17821, friendlyName=เปิดเว็บเพิ่ม 1</x:v>
      </x:c>
      <x:c r="M78" s="23" t="e">
        <x:f>HYPERLINK("https://www.ryoiireview.com/restaurant/view/11649","เปิดเว็บเพิ่ม 2")</x:f>
        <x:v>HYPERLINK is not implemented. linkLocation=https://www.ryoiireview.com/restaurant/view/11649, friendlyName=เปิดเว็บเพิ่ม 2</x:v>
      </x:c>
      <x:c r="N78" s="20" t="str">
        <x:v>ยังไม่ยืนยัน</x:v>
      </x:c>
      <x:c r="O78" s="20" t="str">
        <x:v>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78" s="25" t="n">
        <x:v>46315</x:v>
      </x:c>
      <x:c r="Q78" s="27" t="str">
        <x:v>ยังไม่ตรวจ</x:v>
      </x:c>
      <x:c r="R78" s="27" t="str">
        <x:v>รอติดต่อ</x:v>
      </x:c>
    </x:row>
    <x:row r="79" ht="76" customHeight="1">
      <x:c r="A79" s="24" t="str">
        <x:v>TMF-071</x:v>
      </x:c>
      <x:c r="B79" s="20" t="str">
        <x:v>ครัวบ้านวัง-ฮาลาลฟู้ด</x:v>
      </x:c>
      <x:c r="C79" s="20" t="str">
        <x:v>กรุงเทพมหานคร</x:v>
      </x:c>
      <x:c r="D79" s="20" t="str">
        <x:v>คงไว้ในชุด 600</x:v>
      </x:c>
      <x:c r="E79" s="20" t="str">
        <x:v>พบหลายแหล่งสัมพันธ์กับชื่อ รอยืนยันการเปิด</x:v>
      </x:c>
      <x:c r="F79" s="20" t="str">
        <x:v>ยังไม่ยืนยันการเปิดให้บริการปัจจุบัน</x:v>
      </x:c>
      <x:c r="G79" s="26" t="n">
        <x:v>2</x:v>
      </x:c>
      <x:c r="H79" s="23" t="str"/>
      <x:c r="I79" s="23" t="str"/>
      <x:c r="J79" s="23" t="e">
        <x:f>HYPERLINK("https://www.wongnai.com/restaurants/3254909XT-%E0%B8%84%E0%B8%A3%E0%B8%B1%E0%B8%A7%E0%B8%9A%E0%B9%89%E0%B8%B2%E0%B8%99%E0%B8%A7%E0%B8%B1%E0%B8%87-%E0%B8%AE%E0%B8%B2%E0%B8%A5%E0%B8%B2%E0%B8%A5%E0%B8%9F%E0%B8%B9%E0%B9%89%E0%B8%94","เปิดหน้ารีวิว 1")</x:f>
        <x:v>HYPERLINK is not implemented. linkLocation=https://www.wongnai.com/restaurants/3254909XT-%E0%B8%84%E0%B8%A3%E0%B8%B1%E0%B8%A7%E0%B8%9A%E0%B9%89%E0%B8%B2%E0%B8%99%E0%B8%A7%E0%B8%B1%E0%B8%87-%E0%B8%AE%E0%B8%B2%E0%B8%A5%E0%B8%B2%E0%B8%A5%E0%B8%9F%E0%B8%B9%E0%B9%89%E0%B8%94, friendlyName=เปิดหน้ารีวิว 1</x:v>
      </x:c>
      <x:c r="K79" s="23" t="str"/>
      <x:c r="L79" s="23" t="str"/>
      <x:c r="M79" s="23" t="str"/>
      <x:c r="N79" s="20" t="str">
        <x:v>ยังไม่ยืนยัน</x:v>
      </x:c>
      <x:c r="O7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79" s="25" t="n">
        <x:v>46315</x:v>
      </x:c>
      <x:c r="Q79" s="27" t="str">
        <x:v>ยังไม่ตรวจ</x:v>
      </x:c>
      <x:c r="R79" s="27" t="str">
        <x:v>รอติดต่อ</x:v>
      </x:c>
    </x:row>
    <x:row r="80" ht="96" customHeight="1">
      <x:c r="A80" s="24" t="str">
        <x:v>TMF-072</x:v>
      </x:c>
      <x:c r="B80" s="20" t="str">
        <x:v>ครัวอารีฟฮาลาล</x:v>
      </x:c>
      <x:c r="C80" s="20" t="str">
        <x:v>กรุงเทพมหานคร</x:v>
      </x:c>
      <x:c r="D80" s="20" t="str">
        <x:v>คงไว้ในชุด 600</x:v>
      </x:c>
      <x:c r="E80" s="20" t="str">
        <x:v>หลักฐานไม่พอ รอยืนยันการเปิด</x:v>
      </x:c>
      <x:c r="F80" s="20" t="str">
        <x:v>ยังไม่ยืนยันการเปิดให้บริการปัจจุบัน</x:v>
      </x:c>
      <x:c r="G80" s="26" t="n">
        <x:v>1</x:v>
      </x:c>
      <x:c r="H80" s="23" t="str"/>
      <x:c r="I80" s="23" t="str"/>
      <x:c r="J80" s="23" t="str"/>
      <x:c r="K80" s="23" t="str"/>
      <x:c r="L80" s="23" t="str"/>
      <x:c r="M80" s="23" t="str"/>
      <x:c r="N80" s="20" t="str">
        <x:v>ยังไม่ยืนยัน</x:v>
      </x:c>
      <x:c r="O8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80" s="25" t="n">
        <x:v>46315</x:v>
      </x:c>
      <x:c r="Q80" s="27" t="str">
        <x:v>ยังไม่ตรวจ</x:v>
      </x:c>
      <x:c r="R80" s="27" t="str">
        <x:v>รอติดต่อ</x:v>
      </x:c>
    </x:row>
    <x:row r="81" ht="76" customHeight="1">
      <x:c r="A81" s="24" t="str">
        <x:v>TMF-073</x:v>
      </x:c>
      <x:c r="B81" s="20" t="str">
        <x:v>ครัวแยกบาแลอาหารตามสั่ง</x:v>
      </x:c>
      <x:c r="C81" s="20" t="str">
        <x:v>กรุงเทพมหานคร</x:v>
      </x:c>
      <x:c r="D81" s="20" t="str">
        <x:v>คงไว้ในชุด 600</x:v>
      </x:c>
      <x:c r="E81" s="20" t="str">
        <x:v>พบหลายแหล่งสัมพันธ์กับชื่อ รอยืนยันการเปิด</x:v>
      </x:c>
      <x:c r="F81" s="20" t="str">
        <x:v>ยังไม่ยืนยันการเปิดให้บริการปัจจุบัน</x:v>
      </x:c>
      <x:c r="G81" s="26" t="n">
        <x:v>2</x:v>
      </x:c>
      <x:c r="H81" s="23" t="str"/>
      <x:c r="I81" s="23" t="str"/>
      <x:c r="J81" s="23" t="e">
        <x:f>HYPERLINK("https://www.wongnai.com/restaurants/511069Un-%E0%B8%84%E0%B8%A3%E0%B8%B1%E0%B8%A7%E0%B9%81%E0%B8%A2%E0%B8%81%E0%B8%9A%E0%B8%B2%E0%B9%81%E0%B8%A5-%E0%B8%AD%E0%B8%B2%E0%B8%AB%E0%B8%B2%E0%B8%A3%E0%B8%AE%E0%B8%B2%E0%B8%A5%E0%B9%89%E0%B8%B2%E0%B8%A5-%E0%B8%AD%E0%B8%B2%E0%B8%AB%E0%B8%B2%E0%B8%A3%E0%B8%95%E0%B8%B2%E0%B8%A1%E0%B8%AA%E0%B8%B1%E0%B9%88%E0%B8%87","เปิดหน้ารีวิว 1")</x:f>
        <x:v>HYPERLINK is not implemented. linkLocation=https://www.wongnai.com/restaurants/511069Un-%E0%B8%84%E0%B8%A3%E0%B8%B1%E0%B8%A7%E0%B9%81%E0%B8%A2%E0%B8%81%E0%B8%9A%E0%B8%B2%E0%B9%81%E0%B8%A5-%E0%B8%AD%E0%B8%B2%E0%B8%AB%E0%B8%B2%E0%B8%A3%E0%B8%AE%E0%B8%B2%E0%B8%A5%E0%B9%89%E0%B8%B2%E0%B8%A5-%E0%B8%AD%E0%B8%B2%E0%B8%AB%E0%B8%B2%E0%B8%A3%E0%B8%95%E0%B8%B2%E0%B8%A1%E0%B8%AA%E0%B8%B1%E0%B9%88%E0%B8%87, friendlyName=เปิดหน้ารีวิว 1</x:v>
      </x:c>
      <x:c r="K81" s="23" t="str"/>
      <x:c r="L81" s="23" t="str"/>
      <x:c r="M81" s="23" t="str"/>
      <x:c r="N81" s="20" t="str">
        <x:v>ยังไม่ยืนยัน</x:v>
      </x:c>
      <x:c r="O8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81" s="25" t="n">
        <x:v>46315</x:v>
      </x:c>
      <x:c r="Q81" s="27" t="str">
        <x:v>ยังไม่ตรวจ</x:v>
      </x:c>
      <x:c r="R81" s="27" t="str">
        <x:v>รอติดต่อ</x:v>
      </x:c>
    </x:row>
    <x:row r="82" ht="76" customHeight="1">
      <x:c r="A82" s="24" t="str">
        <x:v>TMF-074</x:v>
      </x:c>
      <x:c r="B82" s="20" t="str">
        <x:v>ตั้งโต๊ะ ชาบูฮาลาล</x:v>
      </x:c>
      <x:c r="C82" s="20" t="str">
        <x:v>กรุงเทพมหานคร</x:v>
      </x:c>
      <x:c r="D82" s="20" t="str">
        <x:v>คงไว้ในชุด 600</x:v>
      </x:c>
      <x:c r="E82" s="20" t="str">
        <x:v>พบหลายแหล่งสัมพันธ์กับชื่อ รอยืนยันการเปิด</x:v>
      </x:c>
      <x:c r="F82" s="20" t="str">
        <x:v>ยังไม่ยืนยันการเปิดให้บริการปัจจุบัน</x:v>
      </x:c>
      <x:c r="G82" s="26" t="n">
        <x:v>2</x:v>
      </x:c>
      <x:c r="H82" s="23" t="str"/>
      <x:c r="I82" s="23" t="str"/>
      <x:c r="J82" s="23" t="e">
        <x:f>HYPERLINK("https://www.wongnai.com/restaurants/2898009dj-%E0%B8%95%E0%B8%B1%E0%B9%89%E0%B8%87%E0%B9%82%E0%B8%95%E0%B9%8A%E0%B8%B0%E0%B8%8A%E0%B8%B2%E0%B8%9A%E0%B8%B9-%E0%B8%AE%E0%B8%B2%E0%B8%A5%E0%B8%B2%E0%B8%A5","เปิดหน้ารีวิว 1")</x:f>
        <x:v>HYPERLINK is not implemented. linkLocation=https://www.wongnai.com/restaurants/2898009dj-%E0%B8%95%E0%B8%B1%E0%B9%89%E0%B8%87%E0%B9%82%E0%B8%95%E0%B9%8A%E0%B8%B0%E0%B8%8A%E0%B8%B2%E0%B8%9A%E0%B8%B9-%E0%B8%AE%E0%B8%B2%E0%B8%A5%E0%B8%B2%E0%B8%A5, friendlyName=เปิดหน้ารีวิว 1</x:v>
      </x:c>
      <x:c r="K82" s="23" t="str"/>
      <x:c r="L82" s="23" t="str"/>
      <x:c r="M82" s="23" t="str"/>
      <x:c r="N82" s="20" t="str">
        <x:v>ยังไม่ยืนยัน</x:v>
      </x:c>
      <x:c r="O8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82" s="25" t="n">
        <x:v>46315</x:v>
      </x:c>
      <x:c r="Q82" s="27" t="str">
        <x:v>ยังไม่ตรวจ</x:v>
      </x:c>
      <x:c r="R82" s="27" t="str">
        <x:v>รอติดต่อ</x:v>
      </x:c>
    </x:row>
    <x:row r="83" ht="76" customHeight="1">
      <x:c r="A83" s="24" t="str">
        <x:v>TMF-075</x:v>
      </x:c>
      <x:c r="B83" s="20" t="str">
        <x:v>ตำตำ ยำยำ ราม53</x:v>
      </x:c>
      <x:c r="C83" s="20" t="str">
        <x:v>กรุงเทพมหานคร</x:v>
      </x:c>
      <x:c r="D83" s="20" t="str">
        <x:v>คงไว้ในชุด 600</x:v>
      </x:c>
      <x:c r="E83" s="20" t="str">
        <x:v>พบหลายแหล่งสัมพันธ์กับชื่อ รอยืนยันการเปิด</x:v>
      </x:c>
      <x:c r="F83" s="20" t="str">
        <x:v>ยังไม่ยืนยันการเปิดให้บริการปัจจุบัน</x:v>
      </x:c>
      <x:c r="G83" s="26" t="n">
        <x:v>2</x:v>
      </x:c>
      <x:c r="H83" s="23" t="str"/>
      <x:c r="I83" s="23" t="str"/>
      <x:c r="J83" s="23" t="e">
        <x:f>HYPERLINK("https://www.wongnai.com/restaurants/3085640jK-%E0%B8%A3%E0%B9%89%E0%B8%B2%E0%B8%99%E0%B8%95%E0%B8%B3%E0%B8%95%E0%B8%B3-%E0%B8%A2%E0%B8%B3%E0%B8%A2%E0%B8%B3-%E0%B8%A3%E0%B8%B2%E0%B8%A153","เปิดหน้ารีวิว 1")</x:f>
        <x:v>HYPERLINK is not implemented. linkLocation=https://www.wongnai.com/restaurants/3085640jK-%E0%B8%A3%E0%B9%89%E0%B8%B2%E0%B8%99%E0%B8%95%E0%B8%B3%E0%B8%95%E0%B8%B3-%E0%B8%A2%E0%B8%B3%E0%B8%A2%E0%B8%B3-%E0%B8%A3%E0%B8%B2%E0%B8%A153, friendlyName=เปิดหน้ารีวิว 1</x:v>
      </x:c>
      <x:c r="K83" s="23" t="str"/>
      <x:c r="L83" s="23" t="str"/>
      <x:c r="M83" s="23" t="str"/>
      <x:c r="N83" s="20" t="str">
        <x:v>ยังไม่ยืนยัน</x:v>
      </x:c>
      <x:c r="O8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83" s="25" t="n">
        <x:v>46315</x:v>
      </x:c>
      <x:c r="Q83" s="27" t="str">
        <x:v>ยังไม่ตรวจ</x:v>
      </x:c>
      <x:c r="R83" s="27" t="str">
        <x:v>รอติดต่อ</x:v>
      </x:c>
    </x:row>
    <x:row r="84" ht="76" customHeight="1">
      <x:c r="A84" s="24" t="str">
        <x:v>TMF-076</x:v>
      </x:c>
      <x:c r="B84" s="20" t="str">
        <x:v>ท่าพระคิทเช่น</x:v>
      </x:c>
      <x:c r="C84" s="20" t="str">
        <x:v>กรุงเทพมหานคร</x:v>
      </x:c>
      <x:c r="D84" s="20" t="str">
        <x:v>คงไว้ในชุด 600</x:v>
      </x:c>
      <x:c r="E84" s="20" t="str">
        <x:v>พบหลายแหล่งสัมพันธ์กับชื่อ รอยืนยันการเปิด</x:v>
      </x:c>
      <x:c r="F84" s="20" t="str">
        <x:v>ยังไม่ยืนยันการเปิดให้บริการปัจจุบัน</x:v>
      </x:c>
      <x:c r="G84" s="26" t="n">
        <x:v>5</x:v>
      </x:c>
      <x:c r="H84" s="23" t="str"/>
      <x:c r="I84" s="23" t="str"/>
      <x:c r="J84" s="23" t="e">
        <x:f>HYPERLINK("https://www.wongnai.com/restaurants/354038sz-%E0%B8%97%E0%B9%88%E0%B8%B2%E0%B8%9E%E0%B8%A3%E0%B8%B0%E0%B8%84%E0%B8%B4%E0%B8%97%E0%B9%80%E0%B8%8A%E0%B9%88%E0%B8%99-%E0%B8%AE%E0%B8%B2%E0%B8%A5%E0%B8%B2%E0%B8%A5-%E0%B8%97%E0%B9%88%E0%B8%B2%E0%B8%9E%E0%B8%A3%E0%B8%B0%E0%B8%84%E0%B8%B4%E0%B8%97%E0%B9%80%E0%B8%8A%E0%B9%88%E0%B8%99-%E0%B8%AE%E0%B8%B2%E0%B8%A5%E0%B8%B2%E0%B8%A5","เปิดหน้ารีวิว 1")</x:f>
        <x:v>HYPERLINK is not implemented. linkLocation=https://www.wongnai.com/restaurants/354038sz-%E0%B8%97%E0%B9%88%E0%B8%B2%E0%B8%9E%E0%B8%A3%E0%B8%B0%E0%B8%84%E0%B8%B4%E0%B8%97%E0%B9%80%E0%B8%8A%E0%B9%88%E0%B8%99-%E0%B8%AE%E0%B8%B2%E0%B8%A5%E0%B8%B2%E0%B8%A5-%E0%B8%97%E0%B9%88%E0%B8%B2%E0%B8%9E%E0%B8%A3%E0%B8%B0%E0%B8%84%E0%B8%B4%E0%B8%97%E0%B9%80%E0%B8%8A%E0%B9%88%E0%B8%99-%E0%B8%AE%E0%B8%B2%E0%B8%A5%E0%B8%B2%E0%B8%A5, friendlyName=เปิดหน้ารีวิว 1</x:v>
      </x:c>
      <x:c r="K84" s="23" t="str"/>
      <x:c r="L84" s="23" t="e">
        <x:f>HYPERLINK("https://www.mustakshif.com/business-details/36055/tha-pra-kitchen-halal-10160-not-halal","เปิดเว็บเพิ่ม 1")</x:f>
        <x:v>HYPERLINK is not implemented. linkLocation=https://www.mustakshif.com/business-details/36055/tha-pra-kitchen-halal-10160-not-halal, friendlyName=เปิดเว็บเพิ่ม 1</x:v>
      </x:c>
      <x:c r="M84" s="23" t="e">
        <x:f>HYPERLINK("https://salaamthailand.com/en/place/halal-food-%E0%B8%97%E0%B9%88%E0%B8%B2%E0%B8%9E%E0%B8%A3%E0%B8%B0%E0%B8%84%E0%B8%B4%E0%B8%97%E0%B9%80%E0%B8%8A%E0%B9%88%E0%B8%99-tha-pra-kitchen-halal-bcdsiy/","เปิดเว็บเพิ่ม 2")</x:f>
        <x:v>HYPERLINK is not implemented. linkLocation=https://salaamthailand.com/en/place/halal-food-%E0%B8%97%E0%B9%88%E0%B8%B2%E0%B8%9E%E0%B8%A3%E0%B8%B0%E0%B8%84%E0%B8%B4%E0%B8%97%E0%B9%80%E0%B8%8A%E0%B9%88%E0%B8%99-tha-pra-kitchen-halal-bcdsiy/, friendlyName=เปิดเว็บเพิ่ม 2</x:v>
      </x:c>
      <x:c r="N84" s="20" t="str">
        <x:v>ยังไม่ยืนยัน</x:v>
      </x:c>
      <x:c r="O8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84" s="25" t="n">
        <x:v>46315</x:v>
      </x:c>
      <x:c r="Q84" s="27" t="str">
        <x:v>ยังไม่ตรวจ</x:v>
      </x:c>
      <x:c r="R84" s="27" t="str">
        <x:v>รอติดต่อ</x:v>
      </x:c>
    </x:row>
    <x:row r="85" ht="96" customHeight="1">
      <x:c r="A85" s="24" t="str">
        <x:v>TMF-077</x:v>
      </x:c>
      <x:c r="B85" s="20" t="str">
        <x:v>บังสอนซุปหางวัว  ข้าวหางวัว</x:v>
      </x:c>
      <x:c r="C85" s="20" t="str">
        <x:v>กรุงเทพมหานคร</x:v>
      </x:c>
      <x:c r="D85" s="20" t="str">
        <x:v>คงไว้ในชุด 600</x:v>
      </x:c>
      <x:c r="E85" s="20" t="str">
        <x:v>หลักฐานไม่พอ รอยืนยันการเปิด</x:v>
      </x:c>
      <x:c r="F85" s="20" t="str">
        <x:v>ยังไม่ยืนยันการเปิดให้บริการปัจจุบัน</x:v>
      </x:c>
      <x:c r="G85" s="26" t="n">
        <x:v>1</x:v>
      </x:c>
      <x:c r="H85" s="23" t="str"/>
      <x:c r="I85" s="23" t="str"/>
      <x:c r="J85" s="23" t="str"/>
      <x:c r="K85" s="23" t="str"/>
      <x:c r="L85" s="23" t="str"/>
      <x:c r="M85" s="23" t="str"/>
      <x:c r="N85" s="20" t="str">
        <x:v>ยังไม่ยืนยัน</x:v>
      </x:c>
      <x:c r="O8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85" s="25" t="n">
        <x:v>46315</x:v>
      </x:c>
      <x:c r="Q85" s="27" t="str">
        <x:v>ยังไม่ตรวจ</x:v>
      </x:c>
      <x:c r="R85" s="27" t="str">
        <x:v>รอติดต่อ</x:v>
      </x:c>
    </x:row>
    <x:row r="86" ht="96" customHeight="1">
      <x:c r="A86" s="24" t="str">
        <x:v>TMF-078</x:v>
      </x:c>
      <x:c r="B86" s="20" t="str">
        <x:v>บิสมิลลาฮ์ บังชามิล ก๋วยเตี๋ยวเรือ 20 บาท</x:v>
      </x:c>
      <x:c r="C86" s="20" t="str">
        <x:v>กรุงเทพมหานคร</x:v>
      </x:c>
      <x:c r="D86" s="20" t="str">
        <x:v>คงไว้ในชุด 600</x:v>
      </x:c>
      <x:c r="E86" s="20" t="str">
        <x:v>หลักฐานไม่พอ รอยืนยันการเปิด</x:v>
      </x:c>
      <x:c r="F86" s="20" t="str">
        <x:v>ยังไม่ยืนยันการเปิดให้บริการปัจจุบัน</x:v>
      </x:c>
      <x:c r="G86" s="26" t="n">
        <x:v>1</x:v>
      </x:c>
      <x:c r="H86" s="23" t="str"/>
      <x:c r="I86" s="23" t="str"/>
      <x:c r="J86" s="23" t="str"/>
      <x:c r="K86" s="23" t="str"/>
      <x:c r="L86" s="23" t="str"/>
      <x:c r="M86" s="23" t="str"/>
      <x:c r="N86" s="20" t="str">
        <x:v>ยังไม่ยืนยัน</x:v>
      </x:c>
      <x:c r="O8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86" s="25" t="n">
        <x:v>46315</x:v>
      </x:c>
      <x:c r="Q86" s="27" t="str">
        <x:v>ยังไม่ตรวจ</x:v>
      </x:c>
      <x:c r="R86" s="27" t="str">
        <x:v>รอติดต่อ</x:v>
      </x:c>
    </x:row>
    <x:row r="87" ht="96" customHeight="1">
      <x:c r="A87" s="24" t="str">
        <x:v>TMF-079</x:v>
      </x:c>
      <x:c r="B87" s="20" t="str">
        <x:v>บ้านเกี๊ยวเย็นตาโฟ</x:v>
      </x:c>
      <x:c r="C87" s="20" t="str">
        <x:v>กรุงเทพมหานคร</x:v>
      </x:c>
      <x:c r="D87" s="20" t="str">
        <x:v>คงไว้ในชุด 600</x:v>
      </x:c>
      <x:c r="E87" s="20" t="str">
        <x:v>หลักฐานไม่พอ รอยืนยันการเปิด</x:v>
      </x:c>
      <x:c r="F87" s="20" t="str">
        <x:v>ยังไม่ยืนยันการเปิดให้บริการปัจจุบัน</x:v>
      </x:c>
      <x:c r="G87" s="26" t="n">
        <x:v>1</x:v>
      </x:c>
      <x:c r="H87" s="23" t="str"/>
      <x:c r="I87" s="23" t="str"/>
      <x:c r="J87" s="23" t="str"/>
      <x:c r="K87" s="23" t="str"/>
      <x:c r="L87" s="23" t="str"/>
      <x:c r="M87" s="23" t="str"/>
      <x:c r="N87" s="20" t="str">
        <x:v>ยังไม่ยืนยัน</x:v>
      </x:c>
      <x:c r="O8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87" s="25" t="n">
        <x:v>46315</x:v>
      </x:c>
      <x:c r="Q87" s="27" t="str">
        <x:v>ยังไม่ตรวจ</x:v>
      </x:c>
      <x:c r="R87" s="27" t="str">
        <x:v>รอติดต่อ</x:v>
      </x:c>
    </x:row>
    <x:row r="88" ht="76" customHeight="1">
      <x:c r="A88" s="24" t="str">
        <x:v>TMF-080</x:v>
      </x:c>
      <x:c r="B88" s="20" t="str">
        <x:v>ฟาตินชิ้นสะดุ้ง สาขา ซีคอนศรีนครินทร์</x:v>
      </x:c>
      <x:c r="C88" s="20" t="str">
        <x:v>กรุงเทพมหานคร</x:v>
      </x:c>
      <x:c r="D88" s="20" t="str">
        <x:v>คงไว้ในชุด 600</x:v>
      </x:c>
      <x:c r="E88" s="20" t="str">
        <x:v>พบหลายแหล่งสัมพันธ์กับชื่อ รอยืนยันการเปิด</x:v>
      </x:c>
      <x:c r="F88" s="20" t="str">
        <x:v>ยังไม่ยืนยันการเปิดให้บริการปัจจุบัน</x:v>
      </x:c>
      <x:c r="G88" s="26" t="n">
        <x:v>2</x:v>
      </x:c>
      <x:c r="H88" s="23" t="str"/>
      <x:c r="I88" s="23" t="str"/>
      <x:c r="J88" s="23" t="str"/>
      <x:c r="K88" s="23" t="str"/>
      <x:c r="L88" s="23" t="e">
        <x:f>HYPERLINK("https://www.thaithurkic.com/%E0%B8%9F%E0%B8%B2%E0%B8%95%E0%B8%B4%E0%B8%99%E0%B8%8A%E0%B8%B4%E0%B9%89%E0%B8%99%E0%B8%AA%E0%B8%B0%E0%B8%94%E0%B8%B8%E0%B9%89%E0%B8%87-085-564-9459","เปิดเว็บเพิ่ม 1")</x:f>
        <x:v>HYPERLINK is not implemented. linkLocation=https://www.thaithurkic.com/%E0%B8%9F%E0%B8%B2%E0%B8%95%E0%B8%B4%E0%B8%99%E0%B8%8A%E0%B8%B4%E0%B9%89%E0%B8%99%E0%B8%AA%E0%B8%B0%E0%B8%94%E0%B8%B8%E0%B9%89%E0%B8%87-085-564-9459, friendlyName=เปิดเว็บเพิ่ม 1</x:v>
      </x:c>
      <x:c r="M88" s="23" t="str"/>
      <x:c r="N88" s="20" t="str">
        <x:v>ยังไม่ยืนยัน</x:v>
      </x:c>
      <x:c r="O88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88" s="25" t="n">
        <x:v>46315</x:v>
      </x:c>
      <x:c r="Q88" s="27" t="str">
        <x:v>ยังไม่ตรวจ</x:v>
      </x:c>
      <x:c r="R88" s="27" t="str">
        <x:v>รอติดต่อ</x:v>
      </x:c>
    </x:row>
    <x:row r="89" ht="76" customHeight="1">
      <x:c r="A89" s="24" t="str">
        <x:v>TMF-081</x:v>
      </x:c>
      <x:c r="B89" s="20" t="str">
        <x:v>ฟาตินชิ้นสะดุ้ง สาขา แฟชั่นไอส์แลนด์</x:v>
      </x:c>
      <x:c r="C89" s="20" t="str">
        <x:v>กรุงเทพมหานคร</x:v>
      </x:c>
      <x:c r="D89" s="20" t="str">
        <x:v>คงไว้ในชุด 600</x:v>
      </x:c>
      <x:c r="E89" s="20" t="str">
        <x:v>พบหลายแหล่งสัมพันธ์กับชื่อ รอยืนยันการเปิด</x:v>
      </x:c>
      <x:c r="F89" s="20" t="str">
        <x:v>ยังไม่ยืนยันการเปิดให้บริการปัจจุบัน</x:v>
      </x:c>
      <x:c r="G89" s="26" t="n">
        <x:v>2</x:v>
      </x:c>
      <x:c r="H89" s="23" t="str"/>
      <x:c r="I89" s="23" t="str"/>
      <x:c r="J89" s="23" t="str"/>
      <x:c r="K89" s="23" t="str"/>
      <x:c r="L89" s="23" t="e">
        <x:f>HYPERLINK("https://www.thaithurkic.com/%E0%B8%9F%E0%B8%B2%E0%B8%95%E0%B8%B4%E0%B8%99%E0%B8%8A%E0%B8%B4%E0%B9%89%E0%B8%99%E0%B8%AA%E0%B8%B0%E0%B8%94%E0%B8%B8%E0%B9%89%E0%B8%87-085-564-9459","เปิดเว็บเพิ่ม 1")</x:f>
        <x:v>HYPERLINK is not implemented. linkLocation=https://www.thaithurkic.com/%E0%B8%9F%E0%B8%B2%E0%B8%95%E0%B8%B4%E0%B8%99%E0%B8%8A%E0%B8%B4%E0%B9%89%E0%B8%99%E0%B8%AA%E0%B8%B0%E0%B8%94%E0%B8%B8%E0%B9%89%E0%B8%87-085-564-9459, friendlyName=เปิดเว็บเพิ่ม 1</x:v>
      </x:c>
      <x:c r="M89" s="23" t="str"/>
      <x:c r="N89" s="20" t="str">
        <x:v>ยังไม่ยืนยัน</x:v>
      </x:c>
      <x:c r="O8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89" s="25" t="n">
        <x:v>46315</x:v>
      </x:c>
      <x:c r="Q89" s="27" t="str">
        <x:v>ยังไม่ตรวจ</x:v>
      </x:c>
      <x:c r="R89" s="27" t="str">
        <x:v>รอติดต่อ</x:v>
      </x:c>
    </x:row>
    <x:row r="90" ht="76" customHeight="1">
      <x:c r="A90" s="24" t="str">
        <x:v>TMF-082</x:v>
      </x:c>
      <x:c r="B90" s="20" t="str">
        <x:v>มัส -มัน-ไก่-มาก</x:v>
      </x:c>
      <x:c r="C90" s="20" t="str">
        <x:v>กรุงเทพมหานคร</x:v>
      </x:c>
      <x:c r="D90" s="20" t="str">
        <x:v>คงไว้ในชุด 600</x:v>
      </x:c>
      <x:c r="E90" s="20" t="str">
        <x:v>พบหลายแหล่งสัมพันธ์กับชื่อ รอยืนยันการเปิด</x:v>
      </x:c>
      <x:c r="F90" s="20" t="str">
        <x:v>ยังไม่ยืนยันการเปิดให้บริการปัจจุบัน</x:v>
      </x:c>
      <x:c r="G90" s="26" t="n">
        <x:v>2</x:v>
      </x:c>
      <x:c r="H90" s="23" t="str"/>
      <x:c r="I90" s="23" t="str"/>
      <x:c r="J90" s="23" t="e">
        <x:f>HYPERLINK("https://www.wongnai.com/restaurants/3792968mV-%E0%B8%A1%E0%B8%B1%E0%B8%AA-%E0%B8%A1%E0%B8%B1%E0%B8%99-%E0%B9%84%E0%B8%81%E0%B9%88-%E0%B8%A1%E0%B8%B2%E0%B8%81-%E0%B8%AA%E0%B8%B2%E0%B8%82%E0%B8%B2%E0%B8%84%E0%B8%B9%E0%B9%89%E0%B8%8B%E0%B9%89%E0%B8%B2%E0%B8%A2","เปิดหน้ารีวิว 1")</x:f>
        <x:v>HYPERLINK is not implemented. linkLocation=https://www.wongnai.com/restaurants/3792968mV-%E0%B8%A1%E0%B8%B1%E0%B8%AA-%E0%B8%A1%E0%B8%B1%E0%B8%99-%E0%B9%84%E0%B8%81%E0%B9%88-%E0%B8%A1%E0%B8%B2%E0%B8%81-%E0%B8%AA%E0%B8%B2%E0%B8%82%E0%B8%B2%E0%B8%84%E0%B8%B9%E0%B9%89%E0%B8%8B%E0%B9%89%E0%B8%B2%E0%B8%A2, friendlyName=เปิดหน้ารีวิว 1</x:v>
      </x:c>
      <x:c r="K90" s="23" t="str"/>
      <x:c r="L90" s="23" t="str"/>
      <x:c r="M90" s="23" t="str"/>
      <x:c r="N90" s="20" t="str">
        <x:v>ยังไม่ยืนยัน</x:v>
      </x:c>
      <x:c r="O9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90" s="25" t="n">
        <x:v>46315</x:v>
      </x:c>
      <x:c r="Q90" s="27" t="str">
        <x:v>ยังไม่ตรวจ</x:v>
      </x:c>
      <x:c r="R90" s="27" t="str">
        <x:v>รอติดต่อ</x:v>
      </x:c>
    </x:row>
    <x:row r="91" ht="76" customHeight="1">
      <x:c r="A91" s="24" t="str">
        <x:v>TMF-083</x:v>
      </x:c>
      <x:c r="B91" s="20" t="str">
        <x:v>มุสลิมโฮม2 ห้องพักรายวัน</x:v>
      </x:c>
      <x:c r="C91" s="20" t="str">
        <x:v>กรุงเทพมหานคร</x:v>
      </x:c>
      <x:c r="D91" s="20" t="str">
        <x:v>คงไว้ในชุด 600</x:v>
      </x:c>
      <x:c r="E91" s="20" t="str">
        <x:v>พบหลายแหล่งสัมพันธ์กับชื่อ รอยืนยันการเปิด</x:v>
      </x:c>
      <x:c r="F91" s="20" t="str">
        <x:v>ยังไม่ยืนยันการเปิดให้บริการปัจจุบัน</x:v>
      </x:c>
      <x:c r="G91" s="26" t="n">
        <x:v>2</x:v>
      </x:c>
      <x:c r="H91" s="23" t="str"/>
      <x:c r="I91" s="23" t="str"/>
      <x:c r="J91" s="23" t="str"/>
      <x:c r="K91" s="23" t="str"/>
      <x:c r="L91" s="23" t="e">
        <x:f>HYPERLINK("https://www.thaithurkic.com/%E0%B8%A1%E0%B8%B8%E0%B8%AA%E0%B8%A5%E0%B8%B4%E0%B8%A1%E0%B9%82%E0%B8%AE%E0%B8%A1-muslimhome-02-318-6020","เปิดเว็บเพิ่ม 1")</x:f>
        <x:v>HYPERLINK is not implemented. linkLocation=https://www.thaithurkic.com/%E0%B8%A1%E0%B8%B8%E0%B8%AA%E0%B8%A5%E0%B8%B4%E0%B8%A1%E0%B9%82%E0%B8%AE%E0%B8%A1-muslimhome-02-318-6020, friendlyName=เปิดเว็บเพิ่ม 1</x:v>
      </x:c>
      <x:c r="M91" s="23" t="str"/>
      <x:c r="N91" s="20" t="str">
        <x:v>ยังไม่ยืนยัน</x:v>
      </x:c>
      <x:c r="O91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91" s="25" t="n">
        <x:v>46315</x:v>
      </x:c>
      <x:c r="Q91" s="27" t="str">
        <x:v>ยังไม่ตรวจ</x:v>
      </x:c>
      <x:c r="R91" s="27" t="str">
        <x:v>รอติดต่อ</x:v>
      </x:c>
    </x:row>
    <x:row r="92" ht="96" customHeight="1">
      <x:c r="A92" s="24" t="str">
        <x:v>TMF-084</x:v>
      </x:c>
      <x:c r="B92" s="20" t="str">
        <x:v>ม๋อต้มตุ๋น ก๋วยเตี๋ยวเนื้อ-ข้าวมันไก่เบตง</x:v>
      </x:c>
      <x:c r="C92" s="20" t="str">
        <x:v>กรุงเทพมหานคร</x:v>
      </x:c>
      <x:c r="D92" s="20" t="str">
        <x:v>คงไว้ในชุด 600</x:v>
      </x:c>
      <x:c r="E92" s="20" t="str">
        <x:v>หลักฐานไม่พอ รอยืนยันการเปิด</x:v>
      </x:c>
      <x:c r="F92" s="20" t="str">
        <x:v>ยังไม่ยืนยันการเปิดให้บริการปัจจุบัน</x:v>
      </x:c>
      <x:c r="G92" s="26" t="n">
        <x:v>1</x:v>
      </x:c>
      <x:c r="H92" s="23" t="str"/>
      <x:c r="I92" s="23" t="str"/>
      <x:c r="J92" s="23" t="str"/>
      <x:c r="K92" s="23" t="str"/>
      <x:c r="L92" s="23" t="str"/>
      <x:c r="M92" s="23" t="str"/>
      <x:c r="N92" s="20" t="str">
        <x:v>ยังไม่ยืนยัน</x:v>
      </x:c>
      <x:c r="O9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92" s="25" t="n">
        <x:v>46315</x:v>
      </x:c>
      <x:c r="Q92" s="27" t="str">
        <x:v>ยังไม่ตรวจ</x:v>
      </x:c>
      <x:c r="R92" s="27" t="str">
        <x:v>รอติดต่อ</x:v>
      </x:c>
    </x:row>
    <x:row r="93" ht="76" customHeight="1">
      <x:c r="A93" s="24" t="str">
        <x:v>TMF-085</x:v>
      </x:c>
      <x:c r="B93" s="20" t="str">
        <x:v>รอดียา - Rodeeya Halal food bangkok</x:v>
      </x:c>
      <x:c r="C93" s="20" t="str">
        <x:v>กรุงเทพมหานคร</x:v>
      </x:c>
      <x:c r="D93" s="20" t="str">
        <x:v>คงไว้ในชุด 600</x:v>
      </x:c>
      <x:c r="E93" s="20" t="str">
        <x:v>พบหลายแหล่งสัมพันธ์กับชื่อ รอยืนยันการเปิด</x:v>
      </x:c>
      <x:c r="F93" s="20" t="str">
        <x:v>ยังไม่ยืนยันการเปิดให้บริการปัจจุบัน</x:v>
      </x:c>
      <x:c r="G93" s="26" t="n">
        <x:v>3</x:v>
      </x:c>
      <x:c r="H93" s="23" t="str"/>
      <x:c r="I93" s="23" t="str"/>
      <x:c r="J93" s="23" t="e">
        <x:f>HYPERLINK("https://www.wongnai.com/restaurants/597675Eu-%E0%B8%A3%E0%B8%AD%E0%B8%94%E0%B8%B5%E0%B8%A2%E0%B8%B2-rodeeya-halal-food-bangkok-%E0%B8%99%E0%B8%A7%E0%B8%A1%E0%B8%B4%E0%B8%99%E0%B8%97%E0%B8%A3%E0%B9%8C","เปิดหน้ารีวิว 1")</x:f>
        <x:v>HYPERLINK is not implemented. linkLocation=https://www.wongnai.com/restaurants/597675Eu-%E0%B8%A3%E0%B8%AD%E0%B8%94%E0%B8%B5%E0%B8%A2%E0%B8%B2-rodeeya-halal-food-bangkok-%E0%B8%99%E0%B8%A7%E0%B8%A1%E0%B8%B4%E0%B8%99%E0%B8%97%E0%B8%A3%E0%B9%8C, friendlyName=เปิดหน้ารีวิว 1</x:v>
      </x:c>
      <x:c r="K93" s="23" t="e">
        <x:f>HYPERLINK("https://www.wongnai.com/restaurants/597675Eu-%E0%B8%A3%E0%B8%AD%E0%B8%94%E0%B8%B5%E0%B8%A2%E0%B8%B2-halal-%E0%B8%82%E0%B9%89%E0%B8%B2%E0%B8%A7%E0%B8%AB%E0%B8%A1%E0%B8%81%E0%B9%81%E0%B8%9E%E0%B8%B0-%E0%B9%80%E0%B8%99%E0%B8%B7%E0%B9%89%E0%B8%AD-%E0%B9%84%E0%B8%81%E0%B9%88-%E0%B8%81%E0%B9%8B%E0%B8%A7%E0%B8%A2%E0%B9%80%E0%B8%95%E0%B8%B5%E0%B9%8B%E0%B8%A2%E0%B8%A7%E0%B9%80%E0%B8%99%E0%B8%B7%E0%B9%89%E0%B8%AD%E0%B8%99%E0%B9%89%E0%B8%B3%E0%B8%95%E0%B8%81-%E0%B8%82%E0%B9%89%E0%B8%B2%E0%B8%A7%E0%B8%8B%E0%B8%AD%E0%B8%A2-%E0%B8%81%E0%B9%8B%E0%B8%A7%E0%B8%A2%E0%B9%80%E0%B8%95%E0%B8%B5%E0%B9%8B%E0%B8%A2%E0%B8%A7%E0%B9%81%E0%B8%81%E0%B8%87-%E0%B8%82%E0%B9%89%E0%B8%B2%E0%B8%A7%E0%B9%81%E0%B8%81%E0%B8%87%E0%B8%81%E0%B8%B0%E0%B8%AB%E0%B8%A3%E0%B8%B5%E0%B9%88-%E0%B9%80%E0%B8%99%E0%B8%B7%E0%B9%89%E0%B8%AD%E0%B9%84%E0%B8%81%E0%B9%88-%E0%B8%99%E0%B8%A7%E0%B8%A1%E0%B8%B4%E0%B8%99%E0%B8%97%E0%B8%A3%E0%B9%8C","เปิดหน้ารีวิว 2")</x:f>
        <x:v>HYPERLINK is not implemented. linkLocation=https://www.wongnai.com/restaurants/597675Eu-%E0%B8%A3%E0%B8%AD%E0%B8%94%E0%B8%B5%E0%B8%A2%E0%B8%B2-halal-%E0%B8%82%E0%B9%89%E0%B8%B2%E0%B8%A7%E0%B8%AB%E0%B8%A1%E0%B8%81%E0%B9%81%E0%B8%9E%E0%B8%B0-%E0%B9%80%E0%B8%99%E0%B8%B7%E0%B9%89%E0%B8%AD-%E0%B9%84%E0%B8%81%E0%B9%88-%E0%B8%81%E0%B9%8B%E0%B8%A7%E0%B8%A2%E0%B9%80%E0%B8%95%E0%B8%B5%E0%B9%8B%E0%B8%A2%E0%B8%A7%E0%B9%80%E0%B8%99%E0%B8%B7%E0%B9%89%E0%B8%AD%E0%B8%99%E0%B9%89%E0%B8%B3%E0%B8%95%E0%B8%81-%E0%B8%82%E0%B9%89%E0%B8%B2%E0%B8%A7%E0%B8%8B%E0%B8%AD%E0%B8%A2-%E0%B8%81%E0%B9%8B%E0%B8%A7%E0%B8%A2%E0%B9%80%E0%B8%95%E0%B8%B5%E0%B9%8B%E0%B8%A2%E0%B8%A7%E0%B9%81%E0%B8%81%E0%B8%87-%E0%B8%82%E0%B9%89%E0%B8%B2%E0%B8%A7%E0%B9%81%E0%B8%81%E0%B8%87%E0%B8%81%E0%B8%B0%E0%B8%AB%E0%B8%A3%E0%B8%B5%E0%B9%88-%E0%B9%80%E0%B8%99%E0%B8%B7%E0%B9%89%E0%B8%AD%E0%B9%84%E0%B8%81%E0%B9%88-%E0%B8%99%E0%B8%A7%E0%B8%A1%E0%B8%B4%E0%B8%99%E0%B8%97%E0%B8%A3%E0%B9%8C, friendlyName=เปิดหน้ารีวิว 2</x:v>
      </x:c>
      <x:c r="L93" s="23" t="e">
        <x:f>HYPERLINK("https://www.findglocal.com/TH/Bangkok/171233632733879/%E0%B8%A3%E0%B8%AD%E0%B8%94%E0%B8%B5%E0%B8%A2%E0%B8%B2---Rodeeya-Halal-food-bangkok","เปิดเว็บเพิ่ม 1")</x:f>
        <x:v>HYPERLINK is not implemented. linkLocation=https://www.findglocal.com/TH/Bangkok/171233632733879/%E0%B8%A3%E0%B8%AD%E0%B8%94%E0%B8%B5%E0%B8%A2%E0%B8%B2---Rodeeya-Halal-food-bangkok, friendlyName=เปิดเว็บเพิ่ม 1</x:v>
      </x:c>
      <x:c r="M93" s="23" t="str"/>
      <x:c r="N93" s="20" t="str">
        <x:v>ยังไม่ยืนยัน</x:v>
      </x:c>
      <x:c r="O9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93" s="25" t="n">
        <x:v>46315</x:v>
      </x:c>
      <x:c r="Q93" s="27" t="str">
        <x:v>ยังไม่ตรวจ</x:v>
      </x:c>
      <x:c r="R93" s="27" t="str">
        <x:v>รอติดต่อ</x:v>
      </x:c>
    </x:row>
    <x:row r="94" ht="96" customHeight="1">
      <x:c r="A94" s="24" t="str">
        <x:v>TMF-086</x:v>
      </x:c>
      <x:c r="B94" s="20" t="str">
        <x:v>ลี่หยาง Li yang สาขา Charn at the Avenue</x:v>
      </x:c>
      <x:c r="C94" s="20" t="str">
        <x:v>กรุงเทพมหานคร</x:v>
      </x:c>
      <x:c r="D94" s="20" t="str">
        <x:v>คงไว้ในชุด 600</x:v>
      </x:c>
      <x:c r="E94" s="20" t="str">
        <x:v>หลักฐานไม่พอ รอยืนยันการเปิด</x:v>
      </x:c>
      <x:c r="F94" s="20" t="str">
        <x:v>ยังไม่ยืนยันการเปิดให้บริการปัจจุบัน</x:v>
      </x:c>
      <x:c r="G94" s="26" t="n">
        <x:v>1</x:v>
      </x:c>
      <x:c r="H94" s="23" t="str"/>
      <x:c r="I94" s="23" t="str"/>
      <x:c r="J94" s="23" t="str"/>
      <x:c r="K94" s="23" t="str"/>
      <x:c r="L94" s="23" t="str"/>
      <x:c r="M94" s="23" t="str"/>
      <x:c r="N94" s="20" t="str">
        <x:v>ยังไม่ยืนยัน</x:v>
      </x:c>
      <x:c r="O9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94" s="25" t="n">
        <x:v>46315</x:v>
      </x:c>
      <x:c r="Q94" s="27" t="str">
        <x:v>ยังไม่ตรวจ</x:v>
      </x:c>
      <x:c r="R94" s="27" t="str">
        <x:v>รอติดต่อ</x:v>
      </x:c>
    </x:row>
    <x:row r="95" ht="96" customHeight="1">
      <x:c r="A95" s="24" t="str">
        <x:v>TMF-087</x:v>
      </x:c>
      <x:c r="B95" s="20" t="str">
        <x:v>สไปซี่คัก ริมน้ำ by Amdangtyphoon</x:v>
      </x:c>
      <x:c r="C95" s="20" t="str">
        <x:v>กรุงเทพมหานคร</x:v>
      </x:c>
      <x:c r="D95" s="20" t="str">
        <x:v>คงไว้ในชุด 600</x:v>
      </x:c>
      <x:c r="E95" s="20" t="str">
        <x:v>หลักฐานไม่พอ รอยืนยันการเปิด</x:v>
      </x:c>
      <x:c r="F95" s="20" t="str">
        <x:v>ยังไม่ยืนยันการเปิดให้บริการปัจจุบัน</x:v>
      </x:c>
      <x:c r="G95" s="26" t="n">
        <x:v>1</x:v>
      </x:c>
      <x:c r="H95" s="23" t="str"/>
      <x:c r="I95" s="23" t="str"/>
      <x:c r="J95" s="23" t="str"/>
      <x:c r="K95" s="23" t="str"/>
      <x:c r="L95" s="23" t="str"/>
      <x:c r="M95" s="23" t="str"/>
      <x:c r="N95" s="20" t="str">
        <x:v>ยังไม่ยืนยัน</x:v>
      </x:c>
      <x:c r="O9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95" s="25" t="n">
        <x:v>46315</x:v>
      </x:c>
      <x:c r="Q95" s="27" t="str">
        <x:v>ยังไม่ตรวจ</x:v>
      </x:c>
      <x:c r="R95" s="27" t="str">
        <x:v>รอติดต่อ</x:v>
      </x:c>
    </x:row>
    <x:row r="96" ht="96" customHeight="1">
      <x:c r="A96" s="24" t="str">
        <x:v>TMF-088</x:v>
      </x:c>
      <x:c r="B96" s="20" t="str">
        <x:v>อาลีบาบา ราเมงเส้นสด</x:v>
      </x:c>
      <x:c r="C96" s="20" t="str">
        <x:v>กรุงเทพมหานคร</x:v>
      </x:c>
      <x:c r="D96" s="20" t="str">
        <x:v>คงไว้ในชุด 600</x:v>
      </x:c>
      <x:c r="E96" s="20" t="str">
        <x:v>หลักฐานไม่พอ รอยืนยันการเปิด</x:v>
      </x:c>
      <x:c r="F96" s="20" t="str">
        <x:v>ยังไม่ยืนยันการเปิดให้บริการปัจจุบัน</x:v>
      </x:c>
      <x:c r="G96" s="26" t="n">
        <x:v>1</x:v>
      </x:c>
      <x:c r="H96" s="23" t="str"/>
      <x:c r="I96" s="23" t="str"/>
      <x:c r="J96" s="23" t="str"/>
      <x:c r="K96" s="23" t="str"/>
      <x:c r="L96" s="23" t="str"/>
      <x:c r="M96" s="23" t="str"/>
      <x:c r="N96" s="20" t="str">
        <x:v>ยังไม่ยืนยัน</x:v>
      </x:c>
      <x:c r="O9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96" s="25" t="n">
        <x:v>46315</x:v>
      </x:c>
      <x:c r="Q96" s="27" t="str">
        <x:v>ยังไม่ตรวจ</x:v>
      </x:c>
      <x:c r="R96" s="27" t="str">
        <x:v>รอติดต่อ</x:v>
      </x:c>
    </x:row>
    <x:row r="97" ht="76" customHeight="1">
      <x:c r="A97" s="24" t="str">
        <x:v>TMF-089</x:v>
      </x:c>
      <x:c r="B97" s="20" t="str">
        <x:v>อาไบมาโคขุน สาขา2</x:v>
      </x:c>
      <x:c r="C97" s="20" t="str">
        <x:v>กรุงเทพมหานคร</x:v>
      </x:c>
      <x:c r="D97" s="20" t="str">
        <x:v>คงไว้ในชุด 600</x:v>
      </x:c>
      <x:c r="E97" s="20" t="str">
        <x:v>พบหลายแหล่งสัมพันธ์กับชื่อ รอยืนยันการเปิด</x:v>
      </x:c>
      <x:c r="F97" s="20" t="str">
        <x:v>ยังไม่ยืนยันการเปิดให้บริการปัจจุบัน</x:v>
      </x:c>
      <x:c r="G97" s="26" t="n">
        <x:v>2</x:v>
      </x:c>
      <x:c r="H97" s="23" t="str"/>
      <x:c r="I97" s="23" t="str"/>
      <x:c r="J97" s="23" t="e">
        <x:f>HYPERLINK("https://www.wongnai.com/restaurants/2883676di-%E0%B8%AD%E0%B8%B2%E0%B9%84%E0%B8%9A%E0%B8%A1%E0%B8%B2%E0%B9%82%E0%B8%84%E0%B8%82%E0%B8%B8%E0%B8%99-%E0%B8%AA%E0%B8%B2%E0%B8%82%E0%B8%B22-the-canteen-srinakarin","เปิดหน้ารีวิว 1")</x:f>
        <x:v>HYPERLINK is not implemented. linkLocation=https://www.wongnai.com/restaurants/2883676di-%E0%B8%AD%E0%B8%B2%E0%B9%84%E0%B8%9A%E0%B8%A1%E0%B8%B2%E0%B9%82%E0%B8%84%E0%B8%82%E0%B8%B8%E0%B8%99-%E0%B8%AA%E0%B8%B2%E0%B8%82%E0%B8%B22-the-canteen-srinakarin, friendlyName=เปิดหน้ารีวิว 1</x:v>
      </x:c>
      <x:c r="K97" s="23" t="e">
        <x:f>HYPERLINK("https://www.wongnai.com/restaurants/2883676di-%E0%B8%AD%E0%B8%B2%E0%B9%84%E0%B8%9A%E0%B8%A1%E0%B8%B2%E0%B9%82%E0%B8%84%E0%B8%82%E0%B8%B8%E0%B8%99-%E0%B8%AA%E0%B8%B2%E0%B8%82%E0%B8%B22-%E0%B9%80%E0%B8%94%E0%B8%AD%E0%B8%B0%E0%B9%81%E0%B8%84%E0%B8%99%E0%B8%97%E0%B8%B5%E0%B8%99-%E0%B8%A8%E0%B8%A3%E0%B8%B5%E0%B8%99%E0%B8%84%E0%B8%A3%E0%B8%B4%E0%B8%99%E0%B8%97%E0%B8%A3%E0%B9%8C-the-canteen-srinakarin","เปิดหน้ารีวิว 2")</x:f>
        <x:v>HYPERLINK is not implemented. linkLocation=https://www.wongnai.com/restaurants/2883676di-%E0%B8%AD%E0%B8%B2%E0%B9%84%E0%B8%9A%E0%B8%A1%E0%B8%B2%E0%B9%82%E0%B8%84%E0%B8%82%E0%B8%B8%E0%B8%99-%E0%B8%AA%E0%B8%B2%E0%B8%82%E0%B8%B22-%E0%B9%80%E0%B8%94%E0%B8%AD%E0%B8%B0%E0%B9%81%E0%B8%84%E0%B8%99%E0%B8%97%E0%B8%B5%E0%B8%99-%E0%B8%A8%E0%B8%A3%E0%B8%B5%E0%B8%99%E0%B8%84%E0%B8%A3%E0%B8%B4%E0%B8%99%E0%B8%97%E0%B8%A3%E0%B9%8C-the-canteen-srinakarin, friendlyName=เปิดหน้ารีวิว 2</x:v>
      </x:c>
      <x:c r="L97" s="23" t="str"/>
      <x:c r="M97" s="23" t="str"/>
      <x:c r="N97" s="20" t="str">
        <x:v>ยังไม่ยืนยัน</x:v>
      </x:c>
      <x:c r="O9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97" s="25" t="n">
        <x:v>46315</x:v>
      </x:c>
      <x:c r="Q97" s="27" t="str">
        <x:v>ยังไม่ตรวจ</x:v>
      </x:c>
      <x:c r="R97" s="27" t="str">
        <x:v>รอติดต่อ</x:v>
      </x:c>
    </x:row>
    <x:row r="98" ht="76" customHeight="1">
      <x:c r="A98" s="24" t="str">
        <x:v>TMF-090</x:v>
      </x:c>
      <x:c r="B98" s="20" t="str">
        <x:v>เจริญบัง สุกี้ ฮาลาล</x:v>
      </x:c>
      <x:c r="C98" s="20" t="str">
        <x:v>กรุงเทพมหานคร</x:v>
      </x:c>
      <x:c r="D98" s="20" t="str">
        <x:v>คงไว้ในชุด 600</x:v>
      </x:c>
      <x:c r="E98" s="20" t="str">
        <x:v>พบหลายแหล่งสัมพันธ์กับชื่อ รอยืนยันการเปิด</x:v>
      </x:c>
      <x:c r="F98" s="20" t="str">
        <x:v>ยังไม่ยืนยันการเปิดให้บริการปัจจุบัน</x:v>
      </x:c>
      <x:c r="G98" s="26" t="n">
        <x:v>2</x:v>
      </x:c>
      <x:c r="H98" s="23" t="str"/>
      <x:c r="I98" s="23" t="str"/>
      <x:c r="J98" s="23" t="e">
        <x:f>HYPERLINK("https://www.lemon8-app.com/%40bus_wisanu/7548286134653141505?region=th","เปิดหน้ารีวิว 1")</x:f>
        <x:v>HYPERLINK is not implemented. linkLocation=https://www.lemon8-app.com/%40bus_wisanu/7548286134653141505?region=th, friendlyName=เปิดหน้ารีวิว 1</x:v>
      </x:c>
      <x:c r="K98" s="23" t="str"/>
      <x:c r="L98" s="23" t="str"/>
      <x:c r="M98" s="23" t="str"/>
      <x:c r="N98" s="20" t="str">
        <x:v>ยังไม่ยืนยัน</x:v>
      </x:c>
      <x:c r="O9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98" s="25" t="n">
        <x:v>46315</x:v>
      </x:c>
      <x:c r="Q98" s="27" t="str">
        <x:v>ยังไม่ตรวจ</x:v>
      </x:c>
      <x:c r="R98" s="27" t="str">
        <x:v>รอติดต่อ</x:v>
      </x:c>
    </x:row>
    <x:row r="99" ht="76" customHeight="1">
      <x:c r="A99" s="24" t="str">
        <x:v>TMF-091</x:v>
      </x:c>
      <x:c r="B99" s="20" t="str">
        <x:v>เซี้ยะ ข้าวมันไก่ สูตรเบตง - สาขามีนบุรี حلا</x:v>
      </x:c>
      <x:c r="C99" s="20" t="str">
        <x:v>กรุงเทพมหานคร</x:v>
      </x:c>
      <x:c r="D99" s="20" t="str">
        <x:v>คงไว้ในชุด 600</x:v>
      </x:c>
      <x:c r="E99" s="20" t="str">
        <x:v>พบหลายแหล่งสัมพันธ์กับชื่อ รอยืนยันการเปิด</x:v>
      </x:c>
      <x:c r="F99" s="20" t="str">
        <x:v>ยังไม่ยืนยันการเปิดให้บริการปัจจุบัน</x:v>
      </x:c>
      <x:c r="G99" s="26" t="n">
        <x:v>3</x:v>
      </x:c>
      <x:c r="H99" s="23" t="str"/>
      <x:c r="I99" s="23" t="str"/>
      <x:c r="J99" s="23" t="e">
        <x:f>HYPERLINK("https://ru.restaurantguru.com/%E0%B9%80%E0%B8%8B%E0%B8%B5%E0%B9%89%E0%B8%A2%E0%B8%B0-%E0%B8%82%E0%B9%89%E0%B8%B2%E0%B8%A7%E0%B8%A1%E0%B8%B1%E0%B8%99%E0%B9%84%E0%B8%81%E0%B9%88-%E0%B8%AA%E0%B8%B9%E0%B8%95%E0%B8%A3%E0%B9%80%E0%B8%9A%E0%B8%95%E0%B8%87-Bangkok","เปิดหน้ารีวิว 1")</x:f>
        <x:v>HYPERLINK is not implemented. linkLocation=https://ru.restaurantguru.com/%E0%B9%80%E0%B8%8B%E0%B8%B5%E0%B9%89%E0%B8%A2%E0%B8%B0-%E0%B8%82%E0%B9%89%E0%B8%B2%E0%B8%A7%E0%B8%A1%E0%B8%B1%E0%B8%99%E0%B9%84%E0%B8%81%E0%B9%88-%E0%B8%AA%E0%B8%B9%E0%B8%95%E0%B8%A3%E0%B9%80%E0%B8%9A%E0%B8%95%E0%B8%87-Bangkok, friendlyName=เปิดหน้ารีวิว 1</x:v>
      </x:c>
      <x:c r="K99" s="23" t="e">
        <x:f>HYPERLINK("https://www.lemon8-app.com/%40feenakaa/7511533608364966416?region=th","เปิดหน้ารีวิว 2")</x:f>
        <x:v>HYPERLINK is not implemented. linkLocation=https://www.lemon8-app.com/%40feenakaa/7511533608364966416?region=th, friendlyName=เปิดหน้ารีวิว 2</x:v>
      </x:c>
      <x:c r="L99" s="23" t="str"/>
      <x:c r="M99" s="23" t="str"/>
      <x:c r="N99" s="20" t="str">
        <x:v>ยังไม่ยืนยัน</x:v>
      </x:c>
      <x:c r="O9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99" s="25" t="n">
        <x:v>46315</x:v>
      </x:c>
      <x:c r="Q99" s="27" t="str">
        <x:v>ยังไม่ตรวจ</x:v>
      </x:c>
      <x:c r="R99" s="27" t="str">
        <x:v>รอติดต่อ</x:v>
      </x:c>
    </x:row>
    <x:row r="100" ht="76" customHeight="1">
      <x:c r="A100" s="24" t="str">
        <x:v>TMF-092</x:v>
      </x:c>
      <x:c r="B100" s="20" t="str">
        <x:v>เทียนถังหม่าล่า สาขา OR Space รามคำแหง 129</x:v>
      </x:c>
      <x:c r="C100" s="20" t="str">
        <x:v>กรุงเทพมหานคร</x:v>
      </x:c>
      <x:c r="D100" s="20" t="str">
        <x:v>คงไว้ในชุด 600</x:v>
      </x:c>
      <x:c r="E100" s="20" t="str">
        <x:v>พบหลายแหล่งสัมพันธ์กับชื่อ รอยืนยันการเปิด</x:v>
      </x:c>
      <x:c r="F100" s="20" t="str">
        <x:v>ยังไม่ยืนยันการเปิดให้บริการปัจจุบัน</x:v>
      </x:c>
      <x:c r="G100" s="26" t="n">
        <x:v>3</x:v>
      </x:c>
      <x:c r="H100" s="23" t="e">
        <x:f>HYPERLINK("https://lin.ee/KRBDzQr","เปิดช่องทาง 1")</x:f>
        <x:v>HYPERLINK is not implemented. linkLocation=https://lin.ee/KRBDzQr, friendlyName=เปิดช่องทาง 1</x:v>
      </x:c>
      <x:c r="I100" s="23" t="str"/>
      <x:c r="J100" s="23" t="e">
        <x:f>HYPERLINK("https://www.lemon8-app.com/%40k.niireviews/7461103249840472584?region=th","เปิดหน้ารีวิว 1")</x:f>
        <x:v>HYPERLINK is not implemented. linkLocation=https://www.lemon8-app.com/%40k.niireviews/7461103249840472584?region=th, friendlyName=เปิดหน้ารีวิว 1</x:v>
      </x:c>
      <x:c r="K100" s="23" t="str"/>
      <x:c r="L100" s="23" t="e">
        <x:f>HYPERLINK("https://www.findglocal.com/TH/Bangkok/170371169484593/%E0%B9%80%E0%B8%97%E0%B8%B5%E0%B8%A2%E0%B8%99%E0%B8%96%E0%B8%B1%E0%B8%87%E0%B8%AB%E0%B8%A1%E0%B9%88%E0%B8%B2%E0%B8%A5%E0%B9%88%E0%B8%B2","เปิดเว็บเพิ่ม 1")</x:f>
        <x:v>HYPERLINK is not implemented. linkLocation=https://www.findglocal.com/TH/Bangkok/170371169484593/%E0%B9%80%E0%B8%97%E0%B8%B5%E0%B8%A2%E0%B8%99%E0%B8%96%E0%B8%B1%E0%B8%87%E0%B8%AB%E0%B8%A1%E0%B9%88%E0%B8%B2%E0%B8%A5%E0%B9%88%E0%B8%B2, friendlyName=เปิดเว็บเพิ่ม 1</x:v>
      </x:c>
      <x:c r="M100" s="23" t="str"/>
      <x:c r="N100" s="20" t="str">
        <x:v>ยังไม่ยืนยัน</x:v>
      </x:c>
      <x:c r="O100" s="20" t="str">
        <x:v>ยังไม่ยืนยันวันที่โพสต์/รีวิวล่าสุดและการเปิดให้บริการปัจจุบัน</x:v>
      </x:c>
      <x:c r="P100" s="25" t="n">
        <x:v>46315</x:v>
      </x:c>
      <x:c r="Q100" s="27" t="str">
        <x:v>ยังไม่ตรวจ</x:v>
      </x:c>
      <x:c r="R100" s="27" t="str">
        <x:v>รอติดต่อ</x:v>
      </x:c>
    </x:row>
    <x:row r="101" ht="96" customHeight="1">
      <x:c r="A101" s="24" t="str">
        <x:v>TMF-093</x:v>
      </x:c>
      <x:c r="B101" s="20" t="str">
        <x:v>เย็นตาโฟโก๋ยา สาขา 2 พัฒนาการ</x:v>
      </x:c>
      <x:c r="C101" s="20" t="str">
        <x:v>กรุงเทพมหานคร</x:v>
      </x:c>
      <x:c r="D101" s="20" t="str">
        <x:v>คงไว้ในชุด 600</x:v>
      </x:c>
      <x:c r="E101" s="20" t="str">
        <x:v>หลักฐานไม่พอ รอยืนยันการเปิด</x:v>
      </x:c>
      <x:c r="F101" s="20" t="str">
        <x:v>ยังไม่ยืนยันการเปิดให้บริการปัจจุบัน</x:v>
      </x:c>
      <x:c r="G101" s="26" t="n">
        <x:v>1</x:v>
      </x:c>
      <x:c r="H101" s="23" t="str"/>
      <x:c r="I101" s="23" t="str"/>
      <x:c r="J101" s="23" t="str"/>
      <x:c r="K101" s="23" t="str"/>
      <x:c r="L101" s="23" t="str"/>
      <x:c r="M101" s="23" t="str"/>
      <x:c r="N101" s="20" t="str">
        <x:v>ยังไม่ยืนยัน</x:v>
      </x:c>
      <x:c r="O10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01" s="25" t="n">
        <x:v>46315</x:v>
      </x:c>
      <x:c r="Q101" s="27" t="str">
        <x:v>ยังไม่ตรวจ</x:v>
      </x:c>
      <x:c r="R101" s="27" t="str">
        <x:v>รอติดต่อ</x:v>
      </x:c>
    </x:row>
    <x:row r="102" ht="76" customHeight="1">
      <x:c r="A102" s="24" t="str">
        <x:v>TMF-094</x:v>
      </x:c>
      <x:c r="B102" s="20" t="str">
        <x:v>เหล่าม่า ฮาลาล โจ๊กฮ่องกง ติ่มซำกุ้งเด้ง</x:v>
      </x:c>
      <x:c r="C102" s="20" t="str">
        <x:v>กรุงเทพมหานคร</x:v>
      </x:c>
      <x:c r="D102" s="20" t="str">
        <x:v>คงไว้ในชุด 600</x:v>
      </x:c>
      <x:c r="E102" s="20" t="str">
        <x:v>พบหลายแหล่งสัมพันธ์กับชื่อ รอยืนยันการเปิด</x:v>
      </x:c>
      <x:c r="F102" s="20" t="str">
        <x:v>ยังไม่ยืนยันการเปิดให้บริการปัจจุบัน</x:v>
      </x:c>
      <x:c r="G102" s="26" t="n">
        <x:v>2</x:v>
      </x:c>
      <x:c r="H102" s="23" t="e">
        <x:f>HYPERLINK("https://www.facebook.com/profile","เปิดช่องทาง 1")</x:f>
        <x:v>HYPERLINK is not implemented. linkLocation=https://www.facebook.com/profile, friendlyName=เปิดช่องทาง 1</x:v>
      </x:c>
      <x:c r="I102" s="23" t="str"/>
      <x:c r="J102" s="23" t="str"/>
      <x:c r="K102" s="23" t="str"/>
      <x:c r="L102" s="23" t="e">
        <x:f>HYPERLINK("https://www.bkkkids.com/blog/the-best-kids-cafes-in-bangkok/","เปิดเว็บเพิ่ม 1")</x:f>
        <x:v>HYPERLINK is not implemented. linkLocation=https://www.bkkkids.com/blog/the-best-kids-cafes-in-bangkok/, friendlyName=เปิดเว็บเพิ่ม 1</x:v>
      </x:c>
      <x:c r="M102" s="23" t="str"/>
      <x:c r="N102" s="20" t="str">
        <x:v>ยังไม่ยืนยัน</x:v>
      </x:c>
      <x:c r="O102" s="20" t="str">
        <x:v>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02" s="25" t="n">
        <x:v>46315</x:v>
      </x:c>
      <x:c r="Q102" s="27" t="str">
        <x:v>ยังไม่ตรวจ</x:v>
      </x:c>
      <x:c r="R102" s="27" t="str">
        <x:v>รอติดต่อ</x:v>
      </x:c>
    </x:row>
    <x:row r="103" ht="76" customHeight="1">
      <x:c r="A103" s="24" t="str">
        <x:v>TMF-095</x:v>
      </x:c>
      <x:c r="B103" s="20" t="str">
        <x:v>แมนดาริน สุกี้&amp;ติ่มซำ สาขา พระราม9-รามคำแหง</x:v>
      </x:c>
      <x:c r="C103" s="20" t="str">
        <x:v>กรุงเทพมหานคร</x:v>
      </x:c>
      <x:c r="D103" s="20" t="str">
        <x:v>คงไว้ในชุด 600</x:v>
      </x:c>
      <x:c r="E103" s="20" t="str">
        <x:v>พบหลายแหล่งสัมพันธ์กับชื่อ รอยืนยันการเปิด</x:v>
      </x:c>
      <x:c r="F103" s="20" t="str">
        <x:v>ยังไม่ยืนยันการเปิดให้บริการปัจจุบัน</x:v>
      </x:c>
      <x:c r="G103" s="26" t="n">
        <x:v>3</x:v>
      </x:c>
      <x:c r="H103" s="23" t="e">
        <x:f>HYPERLINK("http://www.facebook.com/MandarinSukiSeaconBangkae/","เปิดช่องทาง 1")</x:f>
        <x:v>HYPERLINK is not implemented. linkLocation=http://www.facebook.com/MandarinSukiSeaconBangkae/, friendlyName=เปิดช่องทาง 1</x:v>
      </x:c>
      <x:c r="I103" s="23" t="str"/>
      <x:c r="J103" s="23" t="e">
        <x:f>HYPERLINK("https://www.lemon8-app.com/experience/%E0%B9%81%E0%B8%A1%E0%B8%99%E0%B8%94%E0%B8%B2%E0%B8%A3%E0%B8%B4%E0%B8%99%E0%B8%8B%E0%B8%B5%E0%B8%84%E0%B8%AD%E0%B8%99?region=th","เปิดหน้ารีวิว 1")</x:f>
        <x:v>HYPERLINK is not implemented. linkLocation=https://www.lemon8-app.com/experience/%E0%B9%81%E0%B8%A1%E0%B8%99%E0%B8%94%E0%B8%B2%E0%B8%A3%E0%B8%B4%E0%B8%99%E0%B8%8B%E0%B8%B5%E0%B8%84%E0%B8%AD%E0%B8%99?region=th, friendlyName=เปิดหน้ารีวิว 1</x:v>
      </x:c>
      <x:c r="K103" s="23" t="str"/>
      <x:c r="L103" s="23" t="e">
        <x:f>HYPERLINK("https://th.openrice.com/th/bangkok/r-%E0%B9%81%E0%B8%A1%E0%B8%99%E0%B8%94%E0%B8%B2%E0%B8%A3%E0%B8%B4%E0%B8%99-%E0%B8%AA%E0%B8%B8%E0%B8%81%E0%B8%B5%E0%B9%89-%E0%B8%95%E0%B8%B4%E0%B9%88%E0%B8%A1%E0%B8%8B%E0%B8%B3-%E0%B8%9A%E0%B8%B2%E0%B8%87%E0%B8%AB%E0%B8%A7%E0%B9%89%E0%B8%B2-%E0%B8%9A%E0%B8%B8%E0%B8%9F%E0%B9%80%E0%B8%9F%E0%B9%88%E0%B8%95%E0%B9%8C%E0%B8%8A%E0%B8%B2%E0%B8%9A%E0%B8%B9-r1586648","เปิดเว็บเพิ่ม 1")</x:f>
        <x:v>HYPERLINK is not implemented. linkLocation=https://th.openrice.com/th/bangkok/r-%E0%B9%81%E0%B8%A1%E0%B8%99%E0%B8%94%E0%B8%B2%E0%B8%A3%E0%B8%B4%E0%B8%99-%E0%B8%AA%E0%B8%B8%E0%B8%81%E0%B8%B5%E0%B9%89-%E0%B8%95%E0%B8%B4%E0%B9%88%E0%B8%A1%E0%B8%8B%E0%B8%B3-%E0%B8%9A%E0%B8%B2%E0%B8%87%E0%B8%AB%E0%B8%A7%E0%B9%89%E0%B8%B2-%E0%B8%9A%E0%B8%B8%E0%B8%9F%E0%B9%80%E0%B8%9F%E0%B9%88%E0%B8%95%E0%B9%8C%E0%B8%8A%E0%B8%B2%E0%B8%9A%E0%B8%B9-r1586648, friendlyName=เปิดเว็บเพิ่ม 1</x:v>
      </x:c>
      <x:c r="M103" s="23" t="str"/>
      <x:c r="N103" s="20" t="str">
        <x:v>ยังไม่ยืนยัน</x:v>
      </x:c>
      <x:c r="O103" s="20" t="str">
        <x:v>ยังไม่ยืนยันวันที่โพสต์/รีวิวล่าสุดและการเปิดให้บริการปัจจุบัน</x:v>
      </x:c>
      <x:c r="P103" s="25" t="n">
        <x:v>46315</x:v>
      </x:c>
      <x:c r="Q103" s="27" t="str">
        <x:v>ยังไม่ตรวจ</x:v>
      </x:c>
      <x:c r="R103" s="27" t="str">
        <x:v>รอติดต่อ</x:v>
      </x:c>
    </x:row>
    <x:row r="104" ht="76" customHeight="1">
      <x:c r="A104" s="24" t="str">
        <x:v>TMF-096</x:v>
      </x:c>
      <x:c r="B104" s="20" t="str">
        <x:v>แมนดาริน สุกี้&amp;ติ่มซำ สาขา เดอะมอลล์ไลฟ์สโตร์ บางกะปิ</x:v>
      </x:c>
      <x:c r="C104" s="20" t="str">
        <x:v>กรุงเทพมหานคร</x:v>
      </x:c>
      <x:c r="D104" s="20" t="str">
        <x:v>คงไว้ในชุด 600</x:v>
      </x:c>
      <x:c r="E104" s="20" t="str">
        <x:v>พบหลายแหล่งสัมพันธ์กับชื่อ รอยืนยันการเปิด</x:v>
      </x:c>
      <x:c r="F104" s="20" t="str">
        <x:v>ยังไม่ยืนยันการเปิดให้บริการปัจจุบัน</x:v>
      </x:c>
      <x:c r="G104" s="26" t="n">
        <x:v>2</x:v>
      </x:c>
      <x:c r="H104" s="23" t="e">
        <x:f>HYPERLINK("http://www.facebook.com/MandarinSukiSeaconBangkae/","เปิดช่องทาง 1")</x:f>
        <x:v>HYPERLINK is not implemented. linkLocation=http://www.facebook.com/MandarinSukiSeaconBangkae/, friendlyName=เปิดช่องทาง 1</x:v>
      </x:c>
      <x:c r="I104" s="23" t="str"/>
      <x:c r="J104" s="23" t="str"/>
      <x:c r="K104" s="23" t="str"/>
      <x:c r="L104" s="23" t="e">
        <x:f>HYPERLINK("https://th.openrice.com/th/bangkok/r-%E0%B9%81%E0%B8%A1%E0%B8%99%E0%B8%94%E0%B8%B2%E0%B8%A3%E0%B8%B4%E0%B8%99-%E0%B8%AA%E0%B8%B8%E0%B8%81%E0%B8%B5%E0%B9%89-%E0%B8%95%E0%B8%B4%E0%B9%88%E0%B8%A1%E0%B8%8B%E0%B8%B3-%E0%B8%9A%E0%B8%B2%E0%B8%87%E0%B8%AB%E0%B8%A7%E0%B9%89%E0%B8%B2-%E0%B8%9A%E0%B8%B8%E0%B8%9F%E0%B9%80%E0%B8%9F%E0%B9%88%E0%B8%95%E0%B9%8C%E0%B8%8A%E0%B8%B2%E0%B8%9A%E0%B8%B9-r1586648","เปิดเว็บเพิ่ม 1")</x:f>
        <x:v>HYPERLINK is not implemented. linkLocation=https://th.openrice.com/th/bangkok/r-%E0%B9%81%E0%B8%A1%E0%B8%99%E0%B8%94%E0%B8%B2%E0%B8%A3%E0%B8%B4%E0%B8%99-%E0%B8%AA%E0%B8%B8%E0%B8%81%E0%B8%B5%E0%B9%89-%E0%B8%95%E0%B8%B4%E0%B9%88%E0%B8%A1%E0%B8%8B%E0%B8%B3-%E0%B8%9A%E0%B8%B2%E0%B8%87%E0%B8%AB%E0%B8%A7%E0%B9%89%E0%B8%B2-%E0%B8%9A%E0%B8%B8%E0%B8%9F%E0%B9%80%E0%B8%9F%E0%B9%88%E0%B8%95%E0%B9%8C%E0%B8%8A%E0%B8%B2%E0%B8%9A%E0%B8%B9-r1586648, friendlyName=เปิดเว็บเพิ่ม 1</x:v>
      </x:c>
      <x:c r="M104" s="23" t="str"/>
      <x:c r="N104" s="20" t="str">
        <x:v>ยังไม่ยืนยัน</x:v>
      </x:c>
      <x:c r="O104" s="20" t="str">
        <x:v>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04" s="25" t="n">
        <x:v>46315</x:v>
      </x:c>
      <x:c r="Q104" s="27" t="str">
        <x:v>ยังไม่ตรวจ</x:v>
      </x:c>
      <x:c r="R104" s="27" t="str">
        <x:v>รอติดต่อ</x:v>
      </x:c>
    </x:row>
    <x:row r="105" ht="96" customHeight="1">
      <x:c r="A105" s="24" t="str">
        <x:v>TMF-097</x:v>
      </x:c>
      <x:c r="B105" s="20" t="str">
        <x:v>๑๐๐นัด ฮาลาล</x:v>
      </x:c>
      <x:c r="C105" s="20" t="str">
        <x:v>กรุงเทพมหานคร</x:v>
      </x:c>
      <x:c r="D105" s="20" t="str">
        <x:v>สำรองเพื่อจัดลำดับให้ทะเบียน GMHI</x:v>
      </x:c>
      <x:c r="E105" s="20" t="str">
        <x:v>หลักฐานไม่พอ รอยืนยันการเปิด</x:v>
      </x:c>
      <x:c r="F105" s="20" t="str">
        <x:v>ยังไม่ยืนยันการเปิดให้บริการปัจจุบัน</x:v>
      </x:c>
      <x:c r="G105" s="26" t="n">
        <x:v>1</x:v>
      </x:c>
      <x:c r="H105" s="23" t="str"/>
      <x:c r="I105" s="23" t="str"/>
      <x:c r="J105" s="23" t="str"/>
      <x:c r="K105" s="23" t="str"/>
      <x:c r="L105" s="23" t="str"/>
      <x:c r="M105" s="23" t="str"/>
      <x:c r="N105" s="20" t="str">
        <x:v>ยังไม่ยืนยัน</x:v>
      </x:c>
      <x:c r="O10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05" s="25" t="n">
        <x:v>46315</x:v>
      </x:c>
      <x:c r="Q105" s="27" t="str">
        <x:v>ยังไม่ตรวจ</x:v>
      </x:c>
      <x:c r="R105" s="27" t="str">
        <x:v>รอติดต่อ</x:v>
      </x:c>
    </x:row>
    <x:row r="106" ht="76" customHeight="1">
      <x:c r="A106" s="24" t="str">
        <x:v>TMF-098</x:v>
      </x:c>
      <x:c r="B106" s="20" t="str">
        <x:v>เซ็นทรัลเวิลด์</x:v>
      </x:c>
      <x:c r="C106" s="20" t="str">
        <x:v>กรุงเทพมหานคร</x:v>
      </x:c>
      <x:c r="D106" s="20" t="str">
        <x:v>คงไว้ในชุด 600</x:v>
      </x:c>
      <x:c r="E106" s="20" t="str">
        <x:v>พบหลายแหล่งสัมพันธ์กับชื่อ รอยืนยันการเปิด</x:v>
      </x:c>
      <x:c r="F106" s="20" t="str">
        <x:v>ยังไม่ยืนยันการเปิดให้บริการปัจจุบัน</x:v>
      </x:c>
      <x:c r="G106" s="26" t="n">
        <x:v>10</x:v>
      </x:c>
      <x:c r="H106" s="23" t="str"/>
      <x:c r="I106" s="23" t="str"/>
      <x:c r="J106" s="23" t="e">
        <x:f>HYPERLINK("https://th.tripadvisor.com/Attraction_Review-g293916-d549670-Reviews-CentralWorld-Bangkok.html","เปิดหน้ารีวิว 1")</x:f>
        <x:v>HYPERLINK is not implemented. linkLocation=https://th.tripadvisor.com/Attraction_Review-g293916-d549670-Reviews-CentralWorld-Bangkok.html, friendlyName=เปิดหน้ารีวิว 1</x:v>
      </x:c>
      <x:c r="K106" s="23" t="e">
        <x:f>HYPERLINK("https://www.wongnai.com/attractions/343674jz-centralworld","เปิดหน้ารีวิว 2")</x:f>
        <x:v>HYPERLINK is not implemented. linkLocation=https://www.wongnai.com/attractions/343674jz-centralworld, friendlyName=เปิดหน้ารีวิว 2</x:v>
      </x:c>
      <x:c r="L106" s="23" t="e">
        <x:f>HYPERLINK("https://salehere.co.th/central/branches/centralworld","เปิดเว็บเพิ่ม 1")</x:f>
        <x:v>HYPERLINK is not implemented. linkLocation=https://salehere.co.th/central/branches/centralworld, friendlyName=เปิดเว็บเพิ่ม 1</x:v>
      </x:c>
      <x:c r="M106" s="23" t="e">
        <x:f>HYPERLINK("https://maps.me/catalog/shops/shop-mall/echnthralewild-9223372037012257875/","เปิดเว็บเพิ่ม 2")</x:f>
        <x:v>HYPERLINK is not implemented. linkLocation=https://maps.me/catalog/shops/shop-mall/echnthralewild-9223372037012257875/, friendlyName=เปิดเว็บเพิ่ม 2</x:v>
      </x:c>
      <x:c r="N106" s="20" t="str">
        <x:v>ยังไม่ยืนยัน</x:v>
      </x:c>
      <x:c r="O10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06" s="25" t="n">
        <x:v>46315</x:v>
      </x:c>
      <x:c r="Q106" s="27" t="str">
        <x:v>ยังไม่ตรวจ</x:v>
      </x:c>
      <x:c r="R106" s="27" t="str">
        <x:v>รอติดต่อ</x:v>
      </x:c>
    </x:row>
    <x:row r="107" ht="76" customHeight="1">
      <x:c r="A107" s="24" t="str">
        <x:v>TMF-099</x:v>
      </x:c>
      <x:c r="B107" s="20" t="str">
        <x:v>Nanthawan park 888</x:v>
      </x:c>
      <x:c r="C107" s="20" t="str">
        <x:v>ฉะเชิงเทรา</x:v>
      </x:c>
      <x:c r="D107" s="20" t="str">
        <x:v>คงไว้ในชุด 600</x:v>
      </x:c>
      <x:c r="E107" s="20" t="str">
        <x:v>พบหลายแหล่งสัมพันธ์กับชื่อ รอยืนยันการเปิด</x:v>
      </x:c>
      <x:c r="F107" s="20" t="str">
        <x:v>ยังไม่ยืนยันการเปิดให้บริการปัจจุบัน</x:v>
      </x:c>
      <x:c r="G107" s="26" t="n">
        <x:v>3</x:v>
      </x:c>
      <x:c r="H107" s="23" t="str"/>
      <x:c r="I107" s="23" t="str"/>
      <x:c r="J107" s="23" t="e">
        <x:f>HYPERLINK("https://www.lemon8-app.com/%40ammy_channel/7556934933797683729?region=th","เปิดหน้ารีวิว 1")</x:f>
        <x:v>HYPERLINK is not implemented. linkLocation=https://www.lemon8-app.com/%40ammy_channel/7556934933797683729?region=th, friendlyName=เปิดหน้ารีวิว 1</x:v>
      </x:c>
      <x:c r="K107" s="23" t="e">
        <x:f>HYPERLINK("https://www.lemon8-app.com/%40nakrrobb/7422549203525730832?region=th","เปิดหน้ารีวิว 2")</x:f>
        <x:v>HYPERLINK is not implemented. linkLocation=https://www.lemon8-app.com/%40nakrrobb/7422549203525730832?region=th, friendlyName=เปิดหน้ารีวิว 2</x:v>
      </x:c>
      <x:c r="L107" s="23" t="str"/>
      <x:c r="M107" s="23" t="str"/>
      <x:c r="N107" s="20" t="str">
        <x:v>ยังไม่ยืนยัน</x:v>
      </x:c>
      <x:c r="O10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07" s="25" t="n">
        <x:v>46315</x:v>
      </x:c>
      <x:c r="Q107" s="27" t="str">
        <x:v>ยังไม่ตรวจ</x:v>
      </x:c>
      <x:c r="R107" s="27" t="str">
        <x:v>รอติดต่อ</x:v>
      </x:c>
    </x:row>
    <x:row r="108" ht="96" customHeight="1">
      <x:c r="A108" s="24" t="str">
        <x:v>TMF-100</x:v>
      </x:c>
      <x:c r="B108" s="20" t="str">
        <x:v>บังคอลิดน้ำลำไยสด</x:v>
      </x:c>
      <x:c r="C108" s="20" t="str">
        <x:v>ฉะเชิงเทรา</x:v>
      </x:c>
      <x:c r="D108" s="20" t="str">
        <x:v>คงไว้ในชุด 600</x:v>
      </x:c>
      <x:c r="E108" s="20" t="str">
        <x:v>หลักฐานไม่พอ รอยืนยันการเปิด</x:v>
      </x:c>
      <x:c r="F108" s="20" t="str">
        <x:v>ยังไม่ยืนยันการเปิดให้บริการปัจจุบัน</x:v>
      </x:c>
      <x:c r="G108" s="26" t="n">
        <x:v>1</x:v>
      </x:c>
      <x:c r="H108" s="23" t="str"/>
      <x:c r="I108" s="23" t="str"/>
      <x:c r="J108" s="23" t="str"/>
      <x:c r="K108" s="23" t="str"/>
      <x:c r="L108" s="23" t="str"/>
      <x:c r="M108" s="23" t="str"/>
      <x:c r="N108" s="20" t="str">
        <x:v>ยังไม่ยืนยัน</x:v>
      </x:c>
      <x:c r="O10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08" s="25" t="n">
        <x:v>46315</x:v>
      </x:c>
      <x:c r="Q108" s="27" t="str">
        <x:v>ยังไม่ตรวจ</x:v>
      </x:c>
      <x:c r="R108" s="27" t="str">
        <x:v>รอติดต่อ</x:v>
      </x:c>
    </x:row>
    <x:row r="109" ht="76" customHeight="1">
      <x:c r="A109" s="24" t="str">
        <x:v>TMF-101</x:v>
      </x:c>
      <x:c r="B109" s="20" t="str">
        <x:v>บ้านผู้การ DZEN Home Station</x:v>
      </x:c>
      <x:c r="C109" s="20" t="str">
        <x:v>ฉะเชิงเทรา</x:v>
      </x:c>
      <x:c r="D109" s="20" t="str">
        <x:v>คงไว้ในชุด 600</x:v>
      </x:c>
      <x:c r="E109" s="20" t="str">
        <x:v>พบหลายแหล่งสัมพันธ์กับชื่อ รอยืนยันการเปิด</x:v>
      </x:c>
      <x:c r="F109" s="20" t="str">
        <x:v>ยังไม่ยืนยันการเปิดให้บริการปัจจุบัน</x:v>
      </x:c>
      <x:c r="G109" s="26" t="n">
        <x:v>2</x:v>
      </x:c>
      <x:c r="H109" s="23" t="str"/>
      <x:c r="I109" s="23" t="str"/>
      <x:c r="J109" s="23" t="e">
        <x:f>HYPERLINK("https://www.google.co.th/travel/hotels/entity/CgsI2v-9jrrc57eWARAB?rp=OAHCAhwiGg0AAMBBEhMI27CI49uQlgMVOM1LAx2fuxmV&amp;ts=CAEaBAoCGgAqBAoAGgA","เปิดหน้ารีวิว 1")</x:f>
        <x:v>HYPERLINK is not implemented. linkLocation=https://www.google.co.th/travel/hotels/entity/CgsI2v-9jrrc57eWARAB?rp=OAHCAhwiGg0AAMBBEhMI27CI49uQlgMVOM1LAx2fuxmV&amp;ts=CAEaBAoCGgAqBAoAGgA, friendlyName=เปิดหน้ารีวิว 1</x:v>
      </x:c>
      <x:c r="K109" s="23" t="e">
        <x:f>HYPERLINK("https://www.google.com.sa/travel/hotels/entity/CgsI2v-9jrrc57eWARAB?ap=MAA&amp;gl=th&amp;gsas=1&amp;hl=th&amp;qs=CAEyJ0Noa0lfNGVxMUwyejl0amlBUm9NTDJjdk1YQndNblJmWm1zeEVBRTgG&amp;rp=OAHCAhwiGg0AgLlDEhMIkOz1n-3vhQMVZD7UAR3e0QPY&amp;ts=CAEaIAoCGgASGhIUCgcI6g8QCRgDEgcI6g8QCRgEGAEyAhAAKgkKBToDVEhCGgA&amp;un=1","เปิดหน้ารีวิว 2")</x:f>
        <x:v>HYPERLINK is not implemented. linkLocation=https://www.google.com.sa/travel/hotels/entity/CgsI2v-9jrrc57eWARAB?ap=MAA&amp;gl=th&amp;gsas=1&amp;hl=th&amp;qs=CAEyJ0Noa0lfNGVxMUwyejl0amlBUm9NTDJjdk1YQndNblJmWm1zeEVBRTgG&amp;rp=OAHCAhwiGg0AgLlDEhMIkOz1n-3vhQMVZD7UAR3e0QPY&amp;ts=CAEaIAoCGgASGhIUCgcI6g8QCRgDEgcI6g8QCRgEGAEyAhAAKgkKBToDVEhCGgA&amp;un=1, friendlyName=เปิดหน้ารีวิว 2</x:v>
      </x:c>
      <x:c r="L109" s="23" t="str"/>
      <x:c r="M109" s="23" t="str"/>
      <x:c r="N109" s="20" t="str">
        <x:v>ยังไม่ยืนยัน</x:v>
      </x:c>
      <x:c r="O10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09" s="25" t="n">
        <x:v>46315</x:v>
      </x:c>
      <x:c r="Q109" s="27" t="str">
        <x:v>ยังไม่ตรวจ</x:v>
      </x:c>
      <x:c r="R109" s="27" t="str">
        <x:v>รอติดต่อ</x:v>
      </x:c>
    </x:row>
    <x:row r="110" ht="76" customHeight="1">
      <x:c r="A110" s="24" t="str">
        <x:v>TMF-102</x:v>
      </x:c>
      <x:c r="B110" s="20" t="str">
        <x:v>รอเธอมา คาเฟ่</x:v>
      </x:c>
      <x:c r="C110" s="20" t="str">
        <x:v>ฉะเชิงเทรา</x:v>
      </x:c>
      <x:c r="D110" s="20" t="str">
        <x:v>คงไว้ในชุด 600</x:v>
      </x:c>
      <x:c r="E110" s="20" t="str">
        <x:v>พบหลายแหล่งสัมพันธ์กับชื่อ รอยืนยันการเปิด</x:v>
      </x:c>
      <x:c r="F110" s="20" t="str">
        <x:v>ยังไม่ยืนยันการเปิดให้บริการปัจจุบัน</x:v>
      </x:c>
      <x:c r="G110" s="26" t="n">
        <x:v>3</x:v>
      </x:c>
      <x:c r="H110" s="23" t="str"/>
      <x:c r="I110" s="23" t="str"/>
      <x:c r="J110" s="23" t="e">
        <x:f>HYPERLINK("https://www.lemon8-app.com/%40cnrdeee/7396266134179201552?region=th","เปิดหน้ารีวิว 1")</x:f>
        <x:v>HYPERLINK is not implemented. linkLocation=https://www.lemon8-app.com/%40cnrdeee/7396266134179201552?region=th, friendlyName=เปิดหน้ารีวิว 1</x:v>
      </x:c>
      <x:c r="K110" s="23" t="e">
        <x:f>HYPERLINK("https://www.lemon8-app.com/%40cnrdeee/7198167137989706241?region=th","เปิดหน้ารีวิว 2")</x:f>
        <x:v>HYPERLINK is not implemented. linkLocation=https://www.lemon8-app.com/%40cnrdeee/7198167137989706241?region=th, friendlyName=เปิดหน้ารีวิว 2</x:v>
      </x:c>
      <x:c r="L110" s="23" t="e">
        <x:f>HYPERLINK("https://notes.tiktok.com/%40iamtarnny/7629369968483762695?region=th","เปิดเว็บเพิ่ม 1")</x:f>
        <x:v>HYPERLINK is not implemented. linkLocation=https://notes.tiktok.com/%40iamtarnny/7629369968483762695?region=th, friendlyName=เปิดเว็บเพิ่ม 1</x:v>
      </x:c>
      <x:c r="M110" s="23" t="e">
        <x:f>HYPERLINK("https://notes.tiktok.com/%40likeyesterday.ava/7603710240282165780?region=th","เปิดเว็บเพิ่ม 2")</x:f>
        <x:v>HYPERLINK is not implemented. linkLocation=https://notes.tiktok.com/%40likeyesterday.ava/7603710240282165780?region=th, friendlyName=เปิดเว็บเพิ่ม 2</x:v>
      </x:c>
      <x:c r="N110" s="20" t="str">
        <x:v>ยังไม่ยืนยัน</x:v>
      </x:c>
      <x:c r="O11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10" s="25" t="n">
        <x:v>46315</x:v>
      </x:c>
      <x:c r="Q110" s="27" t="str">
        <x:v>ยังไม่ตรวจ</x:v>
      </x:c>
      <x:c r="R110" s="27" t="str">
        <x:v>รอติดต่อ</x:v>
      </x:c>
    </x:row>
    <x:row r="111" ht="96" customHeight="1">
      <x:c r="A111" s="24" t="str">
        <x:v>TMF-103</x:v>
      </x:c>
      <x:c r="B111" s="20" t="str">
        <x:v>แมนดาริน สุกี้&amp;ติ่มซำ สาขา โรบินสัน ฉะเชิงเทรา</x:v>
      </x:c>
      <x:c r="C111" s="20" t="str">
        <x:v>ฉะเชิงเทรา</x:v>
      </x:c>
      <x:c r="D111" s="20" t="str">
        <x:v>คงไว้ในชุด 600</x:v>
      </x:c>
      <x:c r="E111" s="20" t="str">
        <x:v>หลักฐานไม่พอ รอยืนยันการเปิด</x:v>
      </x:c>
      <x:c r="F111" s="20" t="str">
        <x:v>ยังไม่ยืนยันการเปิดให้บริการปัจจุบัน</x:v>
      </x:c>
      <x:c r="G111" s="26" t="n">
        <x:v>1</x:v>
      </x:c>
      <x:c r="H111" s="23" t="str"/>
      <x:c r="I111" s="23" t="str"/>
      <x:c r="J111" s="23" t="str"/>
      <x:c r="K111" s="23" t="str"/>
      <x:c r="L111" s="23" t="str"/>
      <x:c r="M111" s="23" t="str"/>
      <x:c r="N111" s="20" t="str">
        <x:v>ยังไม่ยืนยัน</x:v>
      </x:c>
      <x:c r="O11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11" s="25" t="n">
        <x:v>46315</x:v>
      </x:c>
      <x:c r="Q111" s="27" t="str">
        <x:v>ยังไม่ตรวจ</x:v>
      </x:c>
      <x:c r="R111" s="27" t="str">
        <x:v>รอติดต่อ</x:v>
      </x:c>
    </x:row>
    <x:row r="112" ht="76" customHeight="1">
      <x:c r="A112" s="24" t="str">
        <x:v>TMF-104</x:v>
      </x:c>
      <x:c r="B112" s="20" t="str">
        <x:v>LANA House and Hill Homestay</x:v>
      </x:c>
      <x:c r="C112" s="20" t="str">
        <x:v>ชลบุรี</x:v>
      </x:c>
      <x:c r="D112" s="20" t="str">
        <x:v>คงไว้ในชุด 600</x:v>
      </x:c>
      <x:c r="E112" s="20" t="str">
        <x:v>พบหลายแหล่งสัมพันธ์กับชื่อ รอยืนยันการเปิด</x:v>
      </x:c>
      <x:c r="F112" s="20" t="str">
        <x:v>ยังไม่ยืนยันการเปิดให้บริการปัจจุบัน</x:v>
      </x:c>
      <x:c r="G112" s="26" t="n">
        <x:v>2</x:v>
      </x:c>
      <x:c r="H112" s="23" t="str"/>
      <x:c r="I112" s="23" t="str"/>
      <x:c r="J112" s="23" t="str"/>
      <x:c r="K112" s="23" t="str"/>
      <x:c r="L112" s="23" t="e">
        <x:f>HYPERLINK("https://dinogo.com/hotels/25026-muslim-accommodation-sattahip-lana-house-and-hill-homestay","เปิดเว็บเพิ่ม 1")</x:f>
        <x:v>HYPERLINK is not implemented. linkLocation=https://dinogo.com/hotels/25026-muslim-accommodation-sattahip-lana-house-and-hill-homestay, friendlyName=เปิดเว็บเพิ่ม 1</x:v>
      </x:c>
      <x:c r="M112" s="23" t="str"/>
      <x:c r="N112" s="20" t="str">
        <x:v>ยังไม่ยืนยัน</x:v>
      </x:c>
      <x:c r="O112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12" s="25" t="n">
        <x:v>46315</x:v>
      </x:c>
      <x:c r="Q112" s="27" t="str">
        <x:v>ยังไม่ตรวจ</x:v>
      </x:c>
      <x:c r="R112" s="27" t="str">
        <x:v>รอติดต่อ</x:v>
      </x:c>
    </x:row>
    <x:row r="113" ht="76" customHeight="1">
      <x:c r="A113" s="24" t="str">
        <x:v>TMF-105</x:v>
      </x:c>
      <x:c r="B113" s="20" t="str">
        <x:v>Nida House &amp; Hotel</x:v>
      </x:c>
      <x:c r="C113" s="20" t="str">
        <x:v>ชลบุรี</x:v>
      </x:c>
      <x:c r="D113" s="20" t="str">
        <x:v>คงไว้ในชุด 600</x:v>
      </x:c>
      <x:c r="E113" s="20" t="str">
        <x:v>พบหลายแหล่งสัมพันธ์กับชื่อ รอยืนยันการเปิด</x:v>
      </x:c>
      <x:c r="F113" s="20" t="str">
        <x:v>ยังไม่ยืนยันการเปิดให้บริการปัจจุบัน</x:v>
      </x:c>
      <x:c r="G113" s="26" t="n">
        <x:v>2</x:v>
      </x:c>
      <x:c r="H113" s="23" t="str"/>
      <x:c r="I113" s="23" t="str"/>
      <x:c r="J113" s="23" t="str"/>
      <x:c r="K113" s="23" t="str"/>
      <x:c r="L113" s="23" t="e">
        <x:f>HYPERLINK("https://www.heresmoreinfoon.com/halal-travel-halal-food-in-bangkok-pattaya-thailand/","เปิดเว็บเพิ่ม 1")</x:f>
        <x:v>HYPERLINK is not implemented. linkLocation=https://www.heresmoreinfoon.com/halal-travel-halal-food-in-bangkok-pattaya-thailand/, friendlyName=เปิดเว็บเพิ่ม 1</x:v>
      </x:c>
      <x:c r="M113" s="23" t="str"/>
      <x:c r="N113" s="20" t="str">
        <x:v>ยังไม่ยืนยัน</x:v>
      </x:c>
      <x:c r="O113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13" s="25" t="n">
        <x:v>46315</x:v>
      </x:c>
      <x:c r="Q113" s="27" t="str">
        <x:v>ยังไม่ตรวจ</x:v>
      </x:c>
      <x:c r="R113" s="27" t="str">
        <x:v>รอติดต่อ</x:v>
      </x:c>
    </x:row>
    <x:row r="114" ht="76" customHeight="1">
      <x:c r="A114" s="24" t="str">
        <x:v>TMF-106</x:v>
      </x:c>
      <x:c r="B114" s="20" t="str">
        <x:v>P-Park Hotel Pattaya</x:v>
      </x:c>
      <x:c r="C114" s="20" t="str">
        <x:v>ชลบุรี</x:v>
      </x:c>
      <x:c r="D114" s="20" t="str">
        <x:v>คงไว้ในชุด 600</x:v>
      </x:c>
      <x:c r="E114" s="20" t="str">
        <x:v>พบหลายแหล่งสัมพันธ์กับชื่อ รอยืนยันการเปิด</x:v>
      </x:c>
      <x:c r="F114" s="20" t="str">
        <x:v>ยังไม่ยืนยันการเปิดให้บริการปัจจุบัน</x:v>
      </x:c>
      <x:c r="G114" s="26" t="n">
        <x:v>6</x:v>
      </x:c>
      <x:c r="H114" s="23" t="str"/>
      <x:c r="I114" s="23" t="str"/>
      <x:c r="J114" s="23" t="e">
        <x:f>HYPERLINK("https://www.wongnai.com/hotels/3217115GX-p-park-hotel-pattaya/reviews","เปิดหน้ารีวิว 1")</x:f>
        <x:v>HYPERLINK is not implemented. linkLocation=https://www.wongnai.com/hotels/3217115GX-p-park-hotel-pattaya/reviews, friendlyName=เปิดหน้ารีวิว 1</x:v>
      </x:c>
      <x:c r="K114" s="23" t="e">
        <x:f>HYPERLINK("https://www.wongnai.com/reviews/a3fb8842b9584853a58de2202a296a96","เปิดหน้ารีวิว 2")</x:f>
        <x:v>HYPERLINK is not implemented. linkLocation=https://www.wongnai.com/reviews/a3fb8842b9584853a58de2202a296a96, friendlyName=เปิดหน้ารีวิว 2</x:v>
      </x:c>
      <x:c r="L114" s="23" t="str"/>
      <x:c r="M114" s="23" t="str"/>
      <x:c r="N114" s="20" t="str">
        <x:v>ยังไม่ยืนยัน</x:v>
      </x:c>
      <x:c r="O11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14" s="25" t="n">
        <x:v>46315</x:v>
      </x:c>
      <x:c r="Q114" s="27" t="str">
        <x:v>ยังไม่ตรวจ</x:v>
      </x:c>
      <x:c r="R114" s="27" t="str">
        <x:v>รอติดต่อ</x:v>
      </x:c>
    </x:row>
    <x:row r="115" ht="76" customHeight="1">
      <x:c r="A115" s="24" t="str">
        <x:v>TMF-107</x:v>
      </x:c>
      <x:c r="B115" s="20" t="str">
        <x:v>Farida House - ฟาริดาเฮ้าส์</x:v>
      </x:c>
      <x:c r="C115" s="20" t="str">
        <x:v>ชลบุรี</x:v>
      </x:c>
      <x:c r="D115" s="20" t="str">
        <x:v>คงไว้ในชุด 600</x:v>
      </x:c>
      <x:c r="E115" s="20" t="str">
        <x:v>พบหลายแหล่งสัมพันธ์กับชื่อ รอยืนยันการเปิด</x:v>
      </x:c>
      <x:c r="F115" s="20" t="str">
        <x:v>ยังไม่ยืนยันการเปิดให้บริการปัจจุบัน</x:v>
      </x:c>
      <x:c r="G115" s="26" t="n">
        <x:v>3</x:v>
      </x:c>
      <x:c r="H115" s="23" t="str"/>
      <x:c r="I115" s="23" t="str"/>
      <x:c r="J115" s="23" t="e">
        <x:f>HYPERLINK("https://www.google.com/travel/hotels/entity/CgoInoHF0I7-2YV3EAE","เปิดหน้ารีวิว 1")</x:f>
        <x:v>HYPERLINK is not implemented. linkLocation=https://www.google.com/travel/hotels/entity/CgoInoHF0I7-2YV3EAE, friendlyName=เปิดหน้ารีวิว 1</x:v>
      </x:c>
      <x:c r="K115" s="23" t="e">
        <x:f>HYPERLINK("https://www.google.com/travel/hotels/entity/CgoInoHF0I7-2YV3EAE?ts=CAEaBAoCGgAqBAoAGgA","เปิดหน้ารีวิว 2")</x:f>
        <x:v>HYPERLINK is not implemented. linkLocation=https://www.google.com/travel/hotels/entity/CgoInoHF0I7-2YV3EAE?ts=CAEaBAoCGgAqBAoAGgA, friendlyName=เปิดหน้ารีวิว 2</x:v>
      </x:c>
      <x:c r="L115" s="23" t="str"/>
      <x:c r="M115" s="23" t="str"/>
      <x:c r="N115" s="20" t="str">
        <x:v>ยังไม่ยืนยัน</x:v>
      </x:c>
      <x:c r="O11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15" s="25" t="n">
        <x:v>46315</x:v>
      </x:c>
      <x:c r="Q115" s="27" t="str">
        <x:v>ยังไม่ตรวจ</x:v>
      </x:c>
      <x:c r="R115" s="27" t="str">
        <x:v>รอติดต่อ</x:v>
      </x:c>
    </x:row>
    <x:row r="116" ht="76" customHeight="1">
      <x:c r="A116" s="24" t="str">
        <x:v>TMF-108</x:v>
      </x:c>
      <x:c r="B116" s="20" t="str">
        <x:v>FindyHome Sattahip Poolvilla</x:v>
      </x:c>
      <x:c r="C116" s="20" t="str">
        <x:v>ชลบุรี</x:v>
      </x:c>
      <x:c r="D116" s="20" t="str">
        <x:v>คงไว้ในชุด 600</x:v>
      </x:c>
      <x:c r="E116" s="20" t="str">
        <x:v>พบหลายแหล่งสัมพันธ์กับชื่อ รอยืนยันการเปิด</x:v>
      </x:c>
      <x:c r="F116" s="20" t="str">
        <x:v>ยังไม่ยืนยันการเปิดให้บริการปัจจุบัน</x:v>
      </x:c>
      <x:c r="G116" s="26" t="n">
        <x:v>2</x:v>
      </x:c>
      <x:c r="H116" s="23" t="str"/>
      <x:c r="I116" s="23" t="str"/>
      <x:c r="J116" s="23" t="str"/>
      <x:c r="K116" s="23" t="str"/>
      <x:c r="L116" s="23" t="e">
        <x:f>HYPERLINK("https://www.poolvillaclub.com/poolvillas-in-sattahip/amp/","เปิดเว็บเพิ่ม 1")</x:f>
        <x:v>HYPERLINK is not implemented. linkLocation=https://www.poolvillaclub.com/poolvillas-in-sattahip/amp/, friendlyName=เปิดเว็บเพิ่ม 1</x:v>
      </x:c>
      <x:c r="M116" s="23" t="str"/>
      <x:c r="N116" s="20" t="str">
        <x:v>ยังไม่ยืนยัน</x:v>
      </x:c>
      <x:c r="O116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16" s="25" t="n">
        <x:v>46315</x:v>
      </x:c>
      <x:c r="Q116" s="27" t="str">
        <x:v>ยังไม่ตรวจ</x:v>
      </x:c>
      <x:c r="R116" s="27" t="str">
        <x:v>รอติดต่อ</x:v>
      </x:c>
    </x:row>
    <x:row r="117" ht="76" customHeight="1">
      <x:c r="A117" s="24" t="str">
        <x:v>TMF-109</x:v>
      </x:c>
      <x:c r="B117" s="20" t="str">
        <x:v>Noursabah Pattaya - ณุศบา พัทยา</x:v>
      </x:c>
      <x:c r="C117" s="20" t="str">
        <x:v>ชลบุรี</x:v>
      </x:c>
      <x:c r="D117" s="20" t="str">
        <x:v>คงไว้ในชุด 600</x:v>
      </x:c>
      <x:c r="E117" s="20" t="str">
        <x:v>พบหลายแหล่งสัมพันธ์กับชื่อ รอยืนยันการเปิด</x:v>
      </x:c>
      <x:c r="F117" s="20" t="str">
        <x:v>ยังไม่ยืนยันการเปิดให้บริการปัจจุบัน</x:v>
      </x:c>
      <x:c r="G117" s="26" t="n">
        <x:v>4</x:v>
      </x:c>
      <x:c r="H117" s="23" t="str"/>
      <x:c r="I117" s="23" t="str"/>
      <x:c r="J117" s="23" t="e">
        <x:f>HYPERLINK("https://www.wongnai.com/hotels/343251nS-%E0%B8%93%E0%B8%B8%E0%B8%A8%E0%B8%9A%E0%B8%B2-%E0%B8%9E%E0%B8%B1%E0%B8%97%E0%B8%A2%E0%B8%B2","เปิดหน้ารีวิว 1")</x:f>
        <x:v>HYPERLINK is not implemented. linkLocation=https://www.wongnai.com/hotels/343251nS-%E0%B8%93%E0%B8%B8%E0%B8%A8%E0%B8%9A%E0%B8%B2-%E0%B8%9E%E0%B8%B1%E0%B8%97%E0%B8%A2%E0%B8%B2, friendlyName=เปิดหน้ารีวิว 1</x:v>
      </x:c>
      <x:c r="K117" s="23" t="e">
        <x:f>HYPERLINK("https://www.lemon8-app.com/%40kwatashiwa/7399224882954879504?region=th","เปิดหน้ารีวิว 2")</x:f>
        <x:v>HYPERLINK is not implemented. linkLocation=https://www.lemon8-app.com/%40kwatashiwa/7399224882954879504?region=th, friendlyName=เปิดหน้ารีวิว 2</x:v>
      </x:c>
      <x:c r="L117" s="23" t="str"/>
      <x:c r="M117" s="23" t="str"/>
      <x:c r="N117" s="20" t="str">
        <x:v>ยังไม่ยืนยัน</x:v>
      </x:c>
      <x:c r="O11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17" s="25" t="n">
        <x:v>46315</x:v>
      </x:c>
      <x:c r="Q117" s="27" t="str">
        <x:v>ยังไม่ตรวจ</x:v>
      </x:c>
      <x:c r="R117" s="27" t="str">
        <x:v>รอติดต่อ</x:v>
      </x:c>
    </x:row>
    <x:row r="118" ht="76" customHeight="1">
      <x:c r="A118" s="24" t="str">
        <x:v>TMF-110</x:v>
      </x:c>
      <x:c r="B118" s="20" t="str">
        <x:v>Pattaya Bed Boutique</x:v>
      </x:c>
      <x:c r="C118" s="20" t="str">
        <x:v>ชลบุรี</x:v>
      </x:c>
      <x:c r="D118" s="20" t="str">
        <x:v>คงไว้ในชุด 600</x:v>
      </x:c>
      <x:c r="E118" s="20" t="str">
        <x:v>พบหลายแหล่งสัมพันธ์กับชื่อ รอยืนยันการเปิด</x:v>
      </x:c>
      <x:c r="F118" s="20" t="str">
        <x:v>ยังไม่ยืนยันการเปิดให้บริการปัจจุบัน</x:v>
      </x:c>
      <x:c r="G118" s="26" t="n">
        <x:v>5</x:v>
      </x:c>
      <x:c r="H118" s="23" t="str"/>
      <x:c r="I118" s="23" t="str"/>
      <x:c r="J118" s="23" t="e">
        <x:f>HYPERLINK("https://www.google.co.th/travel/hotels/entity/ChkInc3eicH38fgJGg0vZy8xMWcwbXY4bXA5EAE?rp=OAHCAhwiGg0AAIhBEhMIn-WQtvOFjwMVAiGtBh0aeQCB&amp;ts=CAEaIgoCGgASHBIUCgcI6g8QCRgCEgcI6g8QCRgEGAIyAhAAOAEqBAoAGgA","เปิดหน้ารีวิว 1")</x:f>
        <x:v>HYPERLINK is not implemented. linkLocation=https://www.google.co.th/travel/hotels/entity/ChkInc3eicH38fgJGg0vZy8xMWcwbXY4bXA5EAE?rp=OAHCAhwiGg0AAIhBEhMIn-WQtvOFjwMVAiGtBh0aeQCB&amp;ts=CAEaIgoCGgASHBIUCgcI6g8QCRgCEgcI6g8QCRgEGAIyAhAAOAEqBAoAGgA, friendlyName=เปิดหน้ารีวิว 1</x:v>
      </x:c>
      <x:c r="K118" s="23" t="e">
        <x:f>HYPERLINK("https://www.google.co.th/travel/hotels/entity/ChkInc3eicH38fgJGg0vZy8xMWcwbXY4bXA5EAE?g2lb=2502548%2C4258168%2C4260007%2C4274032%2C4305595%2C4306835%2C4317915%2C4328159%2C4330862%2C4364504%2C4366684%2C4371334%2C4381263%2C4386665%2C4395590%2C4397007%2C4398672%2C4401769%2C4403881%2C4270859%2C4284970%2C4316256&amp;gl=th&amp;gsas=1&amp;hl=en&amp;rp=OAI&amp;ts=CAEaBAoCGgAqBAoAGgA&amp;un=1","เปิดหน้ารีวิว 2")</x:f>
        <x:v>HYPERLINK is not implemented. linkLocation=https://www.google.co.th/travel/hotels/entity/ChkInc3eicH38fgJGg0vZy8xMWcwbXY4bXA5EAE?g2lb=2502548%2C4258168%2C4260007%2C4274032%2C4305595%2C4306835%2C4317915%2C4328159%2C4330862%2C4364504%2C4366684%2C4371334%2C4381263%2C4386665%2C4395590%2C4397007%2C4398672%2C4401769%2C4403881%2C4270859%2C4284970%2C4316256&amp;gl=th&amp;gsas=1&amp;hl=en&amp;rp=OAI&amp;ts=CAEaBAoCGgAqBAoAGgA&amp;un=1, friendlyName=เปิดหน้ารีวิว 2</x:v>
      </x:c>
      <x:c r="L118" s="23" t="str"/>
      <x:c r="M118" s="23" t="str"/>
      <x:c r="N118" s="20" t="str">
        <x:v>ยังไม่ยืนยัน</x:v>
      </x:c>
      <x:c r="O11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18" s="25" t="n">
        <x:v>46315</x:v>
      </x:c>
      <x:c r="Q118" s="27" t="str">
        <x:v>ยังไม่ตรวจ</x:v>
      </x:c>
      <x:c r="R118" s="27" t="str">
        <x:v>รอติดต่อ</x:v>
      </x:c>
    </x:row>
    <x:row r="119" ht="76" customHeight="1">
      <x:c r="A119" s="24" t="str">
        <x:v>TMF-111</x:v>
      </x:c>
      <x:c r="B119" s="20" t="str">
        <x:v>Valida Cottage</x:v>
      </x:c>
      <x:c r="C119" s="20" t="str">
        <x:v>ชลบุรี</x:v>
      </x:c>
      <x:c r="D119" s="20" t="str">
        <x:v>คงไว้ในชุด 600</x:v>
      </x:c>
      <x:c r="E119" s="20" t="str">
        <x:v>พบหลายแหล่งสัมพันธ์กับชื่อ รอยืนยันการเปิด</x:v>
      </x:c>
      <x:c r="F119" s="20" t="str">
        <x:v>ยังไม่ยืนยันการเปิดให้บริการปัจจุบัน</x:v>
      </x:c>
      <x:c r="G119" s="26" t="n">
        <x:v>6</x:v>
      </x:c>
      <x:c r="H119" s="23" t="str"/>
      <x:c r="I119" s="23" t="str"/>
      <x:c r="J119" s="23" t="e">
        <x:f>HYPERLINK("https://www.google.com.sa/travel/hotels/entity/ChkIp5j2-tKmlb1cGg0vZy8xMWZ3ZGtramhwEAE?ap=MAA&amp;g2lb=2502548%2C4254308%2C4258168%2C4260007%2C4274032%2C4305595%2C4306835%2C4308216%2C4308983%2C4314846%2C4315873%2C4317915%2C4323314%2C4328159%2C4329288%2C4270859%2C4284970%2C4291517%2C4292955%2C4316256&amp;gl=th&amp;gsas=1&amp;hl=th&amp;rp=OAFIAg&amp;ts=CAESCgoCCAMKAggDEAAaZgpIEkQyJTB4MzA0ZDhkZjc0NzQyNGRiMToweDllZDcyYzg4MDc1N2U4MDI6G-C4m-C4o-C4sOC5gOC4l-C4qOC5hOC4l-C4ohoAEhoSFAoHCOgPEAIYCxIHCOgPEAIYDBgBMgIQACoJCgU6A1RIQhoA&amp;un=1","เปิดหน้ารีวิว 1")</x:f>
        <x:v>HYPERLINK is not implemented. linkLocation=https://www.google.com.sa/travel/hotels/entity/ChkIp5j2-tKmlb1cGg0vZy8xMWZ3ZGtramhwEAE?ap=MAA&amp;g2lb=2502548%2C4254308%2C4258168%2C4260007%2C4274032%2C4305595%2C4306835%2C4308216%2C4308983%2C4314846%2C4315873%2C4317915%2C4323314%2C4328159%2C4329288%2C4270859%2C4284970%2C4291517%2C4292955%2C4316256&amp;gl=th&amp;gsas=1&amp;hl=th&amp;rp=OAFIAg&amp;ts=CAESCgoCCAMKAggDEAAaZgpIEkQyJTB4MzA0ZDhkZjc0NzQyNGRiMToweDllZDcyYzg4MDc1N2U4MDI6G-C4m-C4o-C4sOC5gOC4l-C4qOC5hOC4l-C4ohoAEhoSFAoHCOgPEAIYCxIHCOgPEAIYDBgBMgIQACoJCgU6A1RIQhoA&amp;un=1, friendlyName=เปิดหน้ารีวิว 1</x:v>
      </x:c>
      <x:c r="K119" s="23" t="e">
        <x:f>HYPERLINK("https://www.google.com.sa/travel/hotels/entity/ChkIp5j2-tKmlb1cGg0vZy8xMWZ3ZGtramhwEAE","เปิดหน้ารีวิว 2")</x:f>
        <x:v>HYPERLINK is not implemented. linkLocation=https://www.google.com.sa/travel/hotels/entity/ChkIp5j2-tKmlb1cGg0vZy8xMWZ3ZGtramhwEAE, friendlyName=เปิดหน้ารีวิว 2</x:v>
      </x:c>
      <x:c r="L119" s="23" t="e">
        <x:f>HYPERLINK("https://www.thailandee.com/en/accommodation-thailand/valida-cottage-pattaya-pattaya-16794","เปิดเว็บเพิ่ม 1")</x:f>
        <x:v>HYPERLINK is not implemented. linkLocation=https://www.thailandee.com/en/accommodation-thailand/valida-cottage-pattaya-pattaya-16794, friendlyName=เปิดเว็บเพิ่ม 1</x:v>
      </x:c>
      <x:c r="M119" s="23" t="str"/>
      <x:c r="N119" s="20" t="str">
        <x:v>ยังไม่ยืนยัน</x:v>
      </x:c>
      <x:c r="O11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19" s="25" t="n">
        <x:v>46315</x:v>
      </x:c>
      <x:c r="Q119" s="27" t="str">
        <x:v>ยังไม่ตรวจ</x:v>
      </x:c>
      <x:c r="R119" s="27" t="str">
        <x:v>รอติดต่อ</x:v>
      </x:c>
    </x:row>
    <x:row r="120" ht="76" customHeight="1">
      <x:c r="A120" s="24" t="str">
        <x:v>TMF-112</x:v>
      </x:c>
      <x:c r="B120" s="20" t="str">
        <x:v>ข้าว-ยำ ทำถึง</x:v>
      </x:c>
      <x:c r="C120" s="20" t="str">
        <x:v>ชลบุรี</x:v>
      </x:c>
      <x:c r="D120" s="20" t="str">
        <x:v>คงไว้ในชุด 600</x:v>
      </x:c>
      <x:c r="E120" s="20" t="str">
        <x:v>พบหลายแหล่งสัมพันธ์กับชื่อ รอยืนยันการเปิด</x:v>
      </x:c>
      <x:c r="F120" s="20" t="str">
        <x:v>ยังไม่ยืนยันการเปิดให้บริการปัจจุบัน</x:v>
      </x:c>
      <x:c r="G120" s="26" t="n">
        <x:v>2</x:v>
      </x:c>
      <x:c r="H120" s="23" t="str"/>
      <x:c r="I120" s="23" t="str"/>
      <x:c r="J120" s="23" t="e">
        <x:f>HYPERLINK("https://www.lemon8-app.com/%40cianacia/7555534823125778961?region=th","เปิดหน้ารีวิว 1")</x:f>
        <x:v>HYPERLINK is not implemented. linkLocation=https://www.lemon8-app.com/%40cianacia/7555534823125778961?region=th, friendlyName=เปิดหน้ารีวิว 1</x:v>
      </x:c>
      <x:c r="K120" s="23" t="str"/>
      <x:c r="L120" s="23" t="str"/>
      <x:c r="M120" s="23" t="str"/>
      <x:c r="N120" s="20" t="str">
        <x:v>ยังไม่ยืนยัน</x:v>
      </x:c>
      <x:c r="O12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20" s="25" t="n">
        <x:v>46315</x:v>
      </x:c>
      <x:c r="Q120" s="27" t="str">
        <x:v>ยังไม่ตรวจ</x:v>
      </x:c>
      <x:c r="R120" s="27" t="str">
        <x:v>รอติดต่อ</x:v>
      </x:c>
    </x:row>
    <x:row r="121" ht="96" customHeight="1">
      <x:c r="A121" s="24" t="str">
        <x:v>TMF-113</x:v>
      </x:c>
      <x:c r="B121" s="20" t="str">
        <x:v>พูลวิลล่า ครัวไทรงามพัทยา</x:v>
      </x:c>
      <x:c r="C121" s="20" t="str">
        <x:v>ชลบุรี</x:v>
      </x:c>
      <x:c r="D121" s="20" t="str">
        <x:v>คงไว้ในชุด 600</x:v>
      </x:c>
      <x:c r="E121" s="20" t="str">
        <x:v>หลักฐานไม่พอ รอยืนยันการเปิด</x:v>
      </x:c>
      <x:c r="F121" s="20" t="str">
        <x:v>ยังไม่ยืนยันการเปิดให้บริการปัจจุบัน</x:v>
      </x:c>
      <x:c r="G121" s="26" t="n">
        <x:v>1</x:v>
      </x:c>
      <x:c r="H121" s="23" t="str"/>
      <x:c r="I121" s="23" t="str"/>
      <x:c r="J121" s="23" t="str"/>
      <x:c r="K121" s="23" t="str"/>
      <x:c r="L121" s="23" t="str"/>
      <x:c r="M121" s="23" t="str"/>
      <x:c r="N121" s="20" t="str">
        <x:v>ยังไม่ยืนยัน</x:v>
      </x:c>
      <x:c r="O12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21" s="25" t="n">
        <x:v>46315</x:v>
      </x:c>
      <x:c r="Q121" s="27" t="str">
        <x:v>ยังไม่ตรวจ</x:v>
      </x:c>
      <x:c r="R121" s="27" t="str">
        <x:v>รอติดต่อ</x:v>
      </x:c>
    </x:row>
    <x:row r="122" ht="96" customHeight="1">
      <x:c r="A122" s="24" t="str">
        <x:v>TMF-114</x:v>
      </x:c>
      <x:c r="B122" s="20" t="str">
        <x:v>ไก่ทอดอินโด บูดายามลายู  พัทยา</x:v>
      </x:c>
      <x:c r="C122" s="20" t="str">
        <x:v>ชลบุรี</x:v>
      </x:c>
      <x:c r="D122" s="20" t="str">
        <x:v>คงไว้ในชุด 600</x:v>
      </x:c>
      <x:c r="E122" s="20" t="str">
        <x:v>หลักฐานไม่พอ รอยืนยันการเปิด</x:v>
      </x:c>
      <x:c r="F122" s="20" t="str">
        <x:v>ยังไม่ยืนยันการเปิดให้บริการปัจจุบัน</x:v>
      </x:c>
      <x:c r="G122" s="26" t="n">
        <x:v>1</x:v>
      </x:c>
      <x:c r="H122" s="23" t="str"/>
      <x:c r="I122" s="23" t="str"/>
      <x:c r="J122" s="23" t="str"/>
      <x:c r="K122" s="23" t="str"/>
      <x:c r="L122" s="23" t="str"/>
      <x:c r="M122" s="23" t="str"/>
      <x:c r="N122" s="20" t="str">
        <x:v>ยังไม่ยืนยัน</x:v>
      </x:c>
      <x:c r="O12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22" s="25" t="n">
        <x:v>46315</x:v>
      </x:c>
      <x:c r="Q122" s="27" t="str">
        <x:v>ยังไม่ตรวจ</x:v>
      </x:c>
      <x:c r="R122" s="27" t="str">
        <x:v>รอติดต่อ</x:v>
      </x:c>
    </x:row>
    <x:row r="123" ht="96" customHeight="1">
      <x:c r="A123" s="24" t="str">
        <x:v>TMF-115</x:v>
      </x:c>
      <x:c r="B123" s="20" t="str">
        <x:v>Fisherman's Kitchen on The Beach Hala food ครัวชาวประมง</x:v>
      </x:c>
      <x:c r="C123" s="20" t="str">
        <x:v>ตรัง</x:v>
      </x:c>
      <x:c r="D123" s="20" t="str">
        <x:v>คงไว้ในชุด 600</x:v>
      </x:c>
      <x:c r="E123" s="20" t="str">
        <x:v>หลักฐานไม่พอ รอยืนยันการเปิด</x:v>
      </x:c>
      <x:c r="F123" s="20" t="str">
        <x:v>ยังไม่ยืนยันการเปิดให้บริการปัจจุบัน</x:v>
      </x:c>
      <x:c r="G123" s="26" t="n">
        <x:v>1</x:v>
      </x:c>
      <x:c r="H123" s="23" t="str"/>
      <x:c r="I123" s="23" t="str"/>
      <x:c r="J123" s="23" t="str"/>
      <x:c r="K123" s="23" t="str"/>
      <x:c r="L123" s="23" t="str"/>
      <x:c r="M123" s="23" t="str"/>
      <x:c r="N123" s="20" t="str">
        <x:v>ยังไม่ยืนยัน</x:v>
      </x:c>
      <x:c r="O12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23" s="25" t="n">
        <x:v>46315</x:v>
      </x:c>
      <x:c r="Q123" s="27" t="str">
        <x:v>ยังไม่ตรวจ</x:v>
      </x:c>
      <x:c r="R123" s="27" t="str">
        <x:v>รอติดต่อ</x:v>
      </x:c>
    </x:row>
    <x:row r="124" ht="76" customHeight="1">
      <x:c r="A124" s="24" t="str">
        <x:v>TMF-116</x:v>
      </x:c>
      <x:c r="B124" s="20" t="str">
        <x:v>Coconut Beach Resort Koh Chang</x:v>
      </x:c>
      <x:c r="C124" s="20" t="str">
        <x:v>ตราด</x:v>
      </x:c>
      <x:c r="D124" s="20" t="str">
        <x:v>คงไว้ในชุด 600</x:v>
      </x:c>
      <x:c r="E124" s="20" t="str">
        <x:v>พบหลายแหล่งสัมพันธ์กับชื่อ รอยืนยันการเปิด</x:v>
      </x:c>
      <x:c r="F124" s="20" t="str">
        <x:v>ยังไม่ยืนยันการเปิดให้บริการปัจจุบัน</x:v>
      </x:c>
      <x:c r="G124" s="26" t="n">
        <x:v>5</x:v>
      </x:c>
      <x:c r="H124" s="23" t="str"/>
      <x:c r="I124" s="23" t="str"/>
      <x:c r="J124" s="23" t="e">
        <x:f>HYPERLINK("https://www.google.co.in/travel/hotels/entity/ChgIotmvtbur3t3MARoLL2cvMXRsbjl3dHoQAQ","เปิดหน้ารีวิว 1")</x:f>
        <x:v>HYPERLINK is not implemented. linkLocation=https://www.google.co.in/travel/hotels/entity/ChgIotmvtbur3t3MARoLL2cvMXRsbjl3dHoQAQ, friendlyName=เปิดหน้ารีวิว 1</x:v>
      </x:c>
      <x:c r="K124" s="23" t="e">
        <x:f>HYPERLINK("https://www.google.com/travel/hotels/entity/ChgIotmvtbur3t3MARoLL2cvMXRsbjl3dHoQAQ?ts=CAEaBAoCGgAqBAoAGgA","เปิดหน้ารีวิว 2")</x:f>
        <x:v>HYPERLINK is not implemented. linkLocation=https://www.google.com/travel/hotels/entity/ChgIotmvtbur3t3MARoLL2cvMXRsbjl3dHoQAQ?ts=CAEaBAoCGgAqBAoAGgA, friendlyName=เปิดหน้ารีวิว 2</x:v>
      </x:c>
      <x:c r="L124" s="23" t="str"/>
      <x:c r="M124" s="23" t="str"/>
      <x:c r="N124" s="20" t="str">
        <x:v>ยังไม่ยืนยัน</x:v>
      </x:c>
      <x:c r="O12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24" s="25" t="n">
        <x:v>46315</x:v>
      </x:c>
      <x:c r="Q124" s="27" t="str">
        <x:v>ยังไม่ตรวจ</x:v>
      </x:c>
      <x:c r="R124" s="27" t="str">
        <x:v>รอติดต่อ</x:v>
      </x:c>
    </x:row>
    <x:row r="125" ht="76" customHeight="1">
      <x:c r="A125" s="24" t="str">
        <x:v>TMF-117</x:v>
      </x:c>
      <x:c r="B125" s="20" t="str">
        <x:v>อาหารมุสลิม เกาะช้าง</x:v>
      </x:c>
      <x:c r="C125" s="20" t="str">
        <x:v>ตราด</x:v>
      </x:c>
      <x:c r="D125" s="20" t="str">
        <x:v>คงไว้ในชุด 600</x:v>
      </x:c>
      <x:c r="E125" s="20" t="str">
        <x:v>พบหลายแหล่งสัมพันธ์กับชื่อ รอยืนยันการเปิด</x:v>
      </x:c>
      <x:c r="F125" s="20" t="str">
        <x:v>ยังไม่ยืนยันการเปิดให้บริการปัจจุบัน</x:v>
      </x:c>
      <x:c r="G125" s="26" t="n">
        <x:v>2</x:v>
      </x:c>
      <x:c r="H125" s="23" t="str"/>
      <x:c r="I125" s="23" t="str"/>
      <x:c r="J125" s="23" t="str"/>
      <x:c r="K125" s="23" t="str"/>
      <x:c r="L125" s="23" t="e">
        <x:f>HYPERLINK("https://www.thaithurkic.com/halal-bobby-food-shop-082-715-4606","เปิดเว็บเพิ่ม 1")</x:f>
        <x:v>HYPERLINK is not implemented. linkLocation=https://www.thaithurkic.com/halal-bobby-food-shop-082-715-4606, friendlyName=เปิดเว็บเพิ่ม 1</x:v>
      </x:c>
      <x:c r="M125" s="23" t="str"/>
      <x:c r="N125" s="20" t="str">
        <x:v>ยังไม่ยืนยัน</x:v>
      </x:c>
      <x:c r="O125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25" s="25" t="n">
        <x:v>46315</x:v>
      </x:c>
      <x:c r="Q125" s="27" t="str">
        <x:v>ยังไม่ตรวจ</x:v>
      </x:c>
      <x:c r="R125" s="27" t="str">
        <x:v>รอติดต่อ</x:v>
      </x:c>
    </x:row>
    <x:row r="126" ht="76" customHeight="1">
      <x:c r="A126" s="24" t="str">
        <x:v>TMF-118</x:v>
      </x:c>
      <x:c r="B126" s="20" t="str">
        <x:v>Ninland Resort</x:v>
      </x:c>
      <x:c r="C126" s="20" t="str">
        <x:v>นครนายก</x:v>
      </x:c>
      <x:c r="D126" s="20" t="str">
        <x:v>คงไว้ในชุด 600</x:v>
      </x:c>
      <x:c r="E126" s="20" t="str">
        <x:v>พบหลายแหล่งสัมพันธ์กับชื่อ รอยืนยันการเปิด</x:v>
      </x:c>
      <x:c r="F126" s="20" t="str">
        <x:v>ยังไม่ยืนยันการเปิดให้บริการปัจจุบัน</x:v>
      </x:c>
      <x:c r="G126" s="26" t="n">
        <x:v>2</x:v>
      </x:c>
      <x:c r="H126" s="23" t="str"/>
      <x:c r="I126" s="23" t="str"/>
      <x:c r="J126" s="23" t="e">
        <x:f>HYPERLINK("https://www.google.co.th/travel/hotels/entity/CgoIxcDy-a-Fu7gSEAE?rp=OAHCAhciFRITCPnAq7TLkpYDFYb9SwMdF88OEg&amp;ts=CAEaBAoCGgAqBAoAGgA","เปิดหน้ารีวิว 1")</x:f>
        <x:v>HYPERLINK is not implemented. linkLocation=https://www.google.co.th/travel/hotels/entity/CgoIxcDy-a-Fu7gSEAE?rp=OAHCAhciFRITCPnAq7TLkpYDFYb9SwMdF88OEg&amp;ts=CAEaBAoCGgAqBAoAGgA, friendlyName=เปิดหน้ารีวิว 1</x:v>
      </x:c>
      <x:c r="K126" s="23" t="e">
        <x:f>HYPERLINK("https://www.google.co.th/travel/hotels/entity/CgoIxcDy-a-Fu7gSEAE?rp=OAHCAhciFRITCPCzosD8r5YDFbUtrQYdDFEHjA&amp;ts=CAEaIAoCGgASGhIUCgcI6g8QChgGEgcI6g8QChgLGAUyAhAAKgkKBToDVVNEGgA","เปิดหน้ารีวิว 2")</x:f>
        <x:v>HYPERLINK is not implemented. linkLocation=https://www.google.co.th/travel/hotels/entity/CgoIxcDy-a-Fu7gSEAE?rp=OAHCAhciFRITCPCzosD8r5YDFbUtrQYdDFEHjA&amp;ts=CAEaIAoCGgASGhIUCgcI6g8QChgGEgcI6g8QChgLGAUyAhAAKgkKBToDVVNEGgA, friendlyName=เปิดหน้ารีวิว 2</x:v>
      </x:c>
      <x:c r="L126" s="23" t="str"/>
      <x:c r="M126" s="23" t="str"/>
      <x:c r="N126" s="20" t="str">
        <x:v>ยังไม่ยืนยัน</x:v>
      </x:c>
      <x:c r="O12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26" s="25" t="n">
        <x:v>46315</x:v>
      </x:c>
      <x:c r="Q126" s="27" t="str">
        <x:v>ยังไม่ตรวจ</x:v>
      </x:c>
      <x:c r="R126" s="27" t="str">
        <x:v>รอติดต่อ</x:v>
      </x:c>
    </x:row>
    <x:row r="127" ht="76" customHeight="1">
      <x:c r="A127" s="24" t="str">
        <x:v>TMF-119</x:v>
      </x:c>
      <x:c r="B127" s="20" t="str">
        <x:v>ขุนด่านอีโค รีสอร์ท&amp;ข้าวหมกบ้านเขื่อน Halal Food นครนายก</x:v>
      </x:c>
      <x:c r="C127" s="20" t="str">
        <x:v>นครนายก</x:v>
      </x:c>
      <x:c r="D127" s="20" t="str">
        <x:v>คงไว้ในชุด 600</x:v>
      </x:c>
      <x:c r="E127" s="20" t="str">
        <x:v>พบหลายแหล่งสัมพันธ์กับชื่อ รอยืนยันการเปิด</x:v>
      </x:c>
      <x:c r="F127" s="20" t="str">
        <x:v>ยังไม่ยืนยันการเปิดให้บริการปัจจุบัน</x:v>
      </x:c>
      <x:c r="G127" s="26" t="n">
        <x:v>3</x:v>
      </x:c>
      <x:c r="H127" s="23" t="str"/>
      <x:c r="I127" s="23" t="str"/>
      <x:c r="J127" s="23" t="e">
        <x:f>HYPERLINK("https://restaurantguru.com/%E0%B8%82%E0%B8%B8%E0%B8%99%E0%B8%94%E0%B9%88%E0%B8%B2%E0%B8%99%E0%B8%AD%E0%B8%B5%E0%B9%82%E0%B8%84-%E0%B8%A3%E0%B8%B5%E0%B8%AA%E0%B8%AD%E0%B8%A3%E0%B9%8C%E0%B8%97and%E0%B8%82%E0%B9%89%E0%B8%B2%E0%B8%A7%E0%B8%AB%E0%B8%A1%E0%B8%81%E0%B8%9A%E0%B9%89%E0%B8%B2%E0%B8%99%E0%B9%80%E0%B8%82%E0%B8%B7%E0%B9%88%E0%B8%AD%E0%B8%99-Halal-Food-%E0%B8%99%E0%B8%84%E0%B8%A3%E0%B8%99%E0%B8%B2%E0%B8%A2%E0%B8%81-Hin-Tung","เปิดหน้ารีวิว 1")</x:f>
        <x:v>HYPERLINK is not implemented. linkLocation=https://restaurantguru.com/%E0%B8%82%E0%B8%B8%E0%B8%99%E0%B8%94%E0%B9%88%E0%B8%B2%E0%B8%99%E0%B8%AD%E0%B8%B5%E0%B9%82%E0%B8%84-%E0%B8%A3%E0%B8%B5%E0%B8%AA%E0%B8%AD%E0%B8%A3%E0%B9%8C%E0%B8%97and%E0%B8%82%E0%B9%89%E0%B8%B2%E0%B8%A7%E0%B8%AB%E0%B8%A1%E0%B8%81%E0%B8%9A%E0%B9%89%E0%B8%B2%E0%B8%99%E0%B9%80%E0%B8%82%E0%B8%B7%E0%B9%88%E0%B8%AD%E0%B8%99-Halal-Food-%E0%B8%99%E0%B8%84%E0%B8%A3%E0%B8%99%E0%B8%B2%E0%B8%A2%E0%B8%81-Hin-Tung, friendlyName=เปิดหน้ารีวิว 1</x:v>
      </x:c>
      <x:c r="K127" s="23" t="e">
        <x:f>HYPERLINK("https://www.youtube.com/watch?v=z5t7jo1N4DE","เปิดหน้ารีวิว 2")</x:f>
        <x:v>HYPERLINK is not implemented. linkLocation=https://www.youtube.com/watch?v=z5t7jo1N4DE, friendlyName=เปิดหน้ารีวิว 2</x:v>
      </x:c>
      <x:c r="L127" s="23" t="str"/>
      <x:c r="M127" s="23" t="str"/>
      <x:c r="N127" s="20" t="str">
        <x:v>ยังไม่ยืนยัน</x:v>
      </x:c>
      <x:c r="O12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27" s="25" t="n">
        <x:v>46315</x:v>
      </x:c>
      <x:c r="Q127" s="27" t="str">
        <x:v>ยังไม่ตรวจ</x:v>
      </x:c>
      <x:c r="R127" s="27" t="str">
        <x:v>รอติดต่อ</x:v>
      </x:c>
    </x:row>
    <x:row r="128" ht="76" customHeight="1">
      <x:c r="A128" s="24" t="str">
        <x:v>TMF-120</x:v>
      </x:c>
      <x:c r="B128" s="20" t="str">
        <x:v>แสงวิมานรีสอร์ท</x:v>
      </x:c>
      <x:c r="C128" s="20" t="str">
        <x:v>นครนายก</x:v>
      </x:c>
      <x:c r="D128" s="20" t="str">
        <x:v>คงไว้ในชุด 600</x:v>
      </x:c>
      <x:c r="E128" s="20" t="str">
        <x:v>พบหลายแหล่งสัมพันธ์กับชื่อ รอยืนยันการเปิด</x:v>
      </x:c>
      <x:c r="F128" s="20" t="str">
        <x:v>ยังไม่ยืนยันการเปิดให้บริการปัจจุบัน</x:v>
      </x:c>
      <x:c r="G128" s="26" t="n">
        <x:v>7</x:v>
      </x:c>
      <x:c r="H128" s="23" t="str"/>
      <x:c r="I128" s="23" t="str"/>
      <x:c r="J128" s="23" t="e">
        <x:f>HYPERLINK("https://www.google.co.th/travel/hotels/entity/ChoI2ePW2ZeLgKTiARoNL2cvMTFmMTIzejBtORAB?rp=OAHCAhciFRITCPCzosD8r5YDFbUtrQYdDFEHjA&amp;ts=CAEaIAoCGgASGhIUCgcI6g8QChgGEgcI6g8QChgLGAUyAhAAKgkKBToDVVNEGgA","เปิดหน้ารีวิว 1")</x:f>
        <x:v>HYPERLINK is not implemented. linkLocation=https://www.google.co.th/travel/hotels/entity/ChoI2ePW2ZeLgKTiARoNL2cvMTFmMTIzejBtORAB?rp=OAHCAhciFRITCPCzosD8r5YDFbUtrQYdDFEHjA&amp;ts=CAEaIAoCGgASGhIUCgcI6g8QChgGEgcI6g8QChgLGAUyAhAAKgkKBToDVVNEGgA, friendlyName=เปิดหน้ารีวิว 1</x:v>
      </x:c>
      <x:c r="K128" s="23" t="e">
        <x:f>HYPERLINK("https://www.google.co.th/travel/hotels/entity/ChoI2ePW2ZeLgKTiARoNL2cvMTFmMTIzejBtORAB?rp=OAHCAhwiGg0AAIZCEhMIteKHx8bjlQMV8aHCCB1YtxNl&amp;ts=CAESCgoCCAMKAggDEAAaIgoCGgASHBIUCgcI6g8QCRgCEgcI6g8QCRgHGAUyAhAAOAEqCQoFOgNVU0QaAA","เปิดหน้ารีวิว 2")</x:f>
        <x:v>HYPERLINK is not implemented. linkLocation=https://www.google.co.th/travel/hotels/entity/ChoI2ePW2ZeLgKTiARoNL2cvMTFmMTIzejBtORAB?rp=OAHCAhwiGg0AAIZCEhMIteKHx8bjlQMV8aHCCB1YtxNl&amp;ts=CAESCgoCCAMKAggDEAAaIgoCGgASHBIUCgcI6g8QCRgCEgcI6g8QCRgHGAUyAhAAOAEqCQoFOgNVU0QaAA, friendlyName=เปิดหน้ารีวิว 2</x:v>
      </x:c>
      <x:c r="L128" s="23" t="e">
        <x:f>HYPERLINK("https://www.traveloka.com/th-th/hotel/thailand/sangvimarn-resort-4000000968332","เปิดเว็บเพิ่ม 1")</x:f>
        <x:v>HYPERLINK is not implemented. linkLocation=https://www.traveloka.com/th-th/hotel/thailand/sangvimarn-resort-4000000968332, friendlyName=เปิดเว็บเพิ่ม 1</x:v>
      </x:c>
      <x:c r="M128" s="23" t="e">
        <x:f>HYPERLINK("https://www.klook.com/th/hotels/detail/448333-sangvimarn-resort/","เปิดเว็บเพิ่ม 2")</x:f>
        <x:v>HYPERLINK is not implemented. linkLocation=https://www.klook.com/th/hotels/detail/448333-sangvimarn-resort/, friendlyName=เปิดเว็บเพิ่ม 2</x:v>
      </x:c>
      <x:c r="N128" s="20" t="str">
        <x:v>ยังไม่ยืนยัน</x:v>
      </x:c>
      <x:c r="O12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28" s="25" t="n">
        <x:v>46315</x:v>
      </x:c>
      <x:c r="Q128" s="27" t="str">
        <x:v>ยังไม่ตรวจ</x:v>
      </x:c>
      <x:c r="R128" s="27" t="str">
        <x:v>รอติดต่อ</x:v>
      </x:c>
    </x:row>
    <x:row r="129" ht="76" customHeight="1">
      <x:c r="A129" s="24" t="str">
        <x:v>TMF-121</x:v>
      </x:c>
      <x:c r="B129" s="20" t="str">
        <x:v>สวนทันใด</x:v>
      </x:c>
      <x:c r="C129" s="20" t="str">
        <x:v>นครนายก</x:v>
      </x:c>
      <x:c r="D129" s="20" t="str">
        <x:v>คงไว้ในชุด 600</x:v>
      </x:c>
      <x:c r="E129" s="20" t="str">
        <x:v>พบหลายแหล่งสัมพันธ์กับชื่อ รอยืนยันการเปิด</x:v>
      </x:c>
      <x:c r="F129" s="20" t="str">
        <x:v>ยังไม่ยืนยันการเปิดให้บริการปัจจุบัน</x:v>
      </x:c>
      <x:c r="G129" s="26" t="n">
        <x:v>2</x:v>
      </x:c>
      <x:c r="H129" s="23" t="str"/>
      <x:c r="I129" s="23" t="str"/>
      <x:c r="J129" s="23" t="e">
        <x:f>HYPERLINK("https://www.wongnai.com/restaurants/2707707uu-%E0%B8%AA%E0%B8%A7%E0%B8%99%E0%B8%97%E0%B8%B1%E0%B8%99%E0%B9%83%E0%B8%94","เปิดหน้ารีวิว 1")</x:f>
        <x:v>HYPERLINK is not implemented. linkLocation=https://www.wongnai.com/restaurants/2707707uu-%E0%B8%AA%E0%B8%A7%E0%B8%99%E0%B8%97%E0%B8%B1%E0%B8%99%E0%B9%83%E0%B8%94, friendlyName=เปิดหน้ารีวิว 1</x:v>
      </x:c>
      <x:c r="K129" s="23" t="str"/>
      <x:c r="L129" s="23" t="str"/>
      <x:c r="M129" s="23" t="str"/>
      <x:c r="N129" s="20" t="str">
        <x:v>ยังไม่ยืนยัน</x:v>
      </x:c>
      <x:c r="O12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29" s="25" t="n">
        <x:v>46315</x:v>
      </x:c>
      <x:c r="Q129" s="27" t="str">
        <x:v>ยังไม่ตรวจ</x:v>
      </x:c>
      <x:c r="R129" s="27" t="str">
        <x:v>รอติดต่อ</x:v>
      </x:c>
    </x:row>
    <x:row r="130" ht="76" customHeight="1">
      <x:c r="A130" s="24" t="str">
        <x:v>TMF-122</x:v>
      </x:c>
      <x:c r="B130" s="20" t="str">
        <x:v>ผาส่งตะวัน โฮมสเตย์</x:v>
      </x:c>
      <x:c r="C130" s="20" t="str">
        <x:v>นครราชสีมา</x:v>
      </x:c>
      <x:c r="D130" s="20" t="str">
        <x:v>คงไว้ในชุด 600</x:v>
      </x:c>
      <x:c r="E130" s="20" t="str">
        <x:v>พบหลายแหล่งสัมพันธ์กับชื่อ รอยืนยันการเปิด</x:v>
      </x:c>
      <x:c r="F130" s="20" t="str">
        <x:v>ยังไม่ยืนยันการเปิดให้บริการปัจจุบัน</x:v>
      </x:c>
      <x:c r="G130" s="26" t="n">
        <x:v>2</x:v>
      </x:c>
      <x:c r="H130" s="23" t="str"/>
      <x:c r="I130" s="23" t="str"/>
      <x:c r="J130" s="23" t="e">
        <x:f>HYPERLINK("https://www.google.co.th/travel/hotels/entity/ChoIi6rXvNTN94r5ARoNL2cvMTFneTQ1Nno2NxAB?rp=OAHCAhwiGg0AAGxCEhMIhszSoJaziAMVCmirAh2a2QYO&amp;ts=CAEaIgoCGgASHBIUCgcI6g8QChgXEgcI6g8QChgYGAEyAhAAOAEqCQoFOgNVU0QaAA","เปิดหน้ารีวิว 1")</x:f>
        <x:v>HYPERLINK is not implemented. linkLocation=https://www.google.co.th/travel/hotels/entity/ChoIi6rXvNTN94r5ARoNL2cvMTFneTQ1Nno2NxAB?rp=OAHCAhwiGg0AAGxCEhMIhszSoJaziAMVCmirAh2a2QYO&amp;ts=CAEaIgoCGgASHBIUCgcI6g8QChgXEgcI6g8QChgYGAEyAhAAOAEqCQoFOgNVU0QaAA, friendlyName=เปิดหน้ารีวิว 1</x:v>
      </x:c>
      <x:c r="K130" s="23" t="str"/>
      <x:c r="L130" s="23" t="str"/>
      <x:c r="M130" s="23" t="str"/>
      <x:c r="N130" s="20" t="str">
        <x:v>ยังไม่ยืนยัน</x:v>
      </x:c>
      <x:c r="O13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30" s="25" t="n">
        <x:v>46315</x:v>
      </x:c>
      <x:c r="Q130" s="27" t="str">
        <x:v>ยังไม่ตรวจ</x:v>
      </x:c>
      <x:c r="R130" s="27" t="str">
        <x:v>รอติดต่อ</x:v>
      </x:c>
    </x:row>
    <x:row r="131" ht="76" customHeight="1">
      <x:c r="A131" s="24" t="str">
        <x:v>TMF-123</x:v>
      </x:c>
      <x:c r="B131" s="20" t="str">
        <x:v>ไร่จูซาโฮมสเตย์ เขายายเที่ยง</x:v>
      </x:c>
      <x:c r="C131" s="20" t="str">
        <x:v>นครราชสีมา</x:v>
      </x:c>
      <x:c r="D131" s="20" t="str">
        <x:v>คงไว้ในชุด 600</x:v>
      </x:c>
      <x:c r="E131" s="20" t="str">
        <x:v>พบหลายแหล่งสัมพันธ์กับชื่อ รอยืนยันการเปิด</x:v>
      </x:c>
      <x:c r="F131" s="20" t="str">
        <x:v>ยังไม่ยืนยันการเปิดให้บริการปัจจุบัน</x:v>
      </x:c>
      <x:c r="G131" s="26" t="n">
        <x:v>5</x:v>
      </x:c>
      <x:c r="H131" s="23" t="str"/>
      <x:c r="I131" s="23" t="str"/>
      <x:c r="J131" s="23" t="e">
        <x:f>HYPERLINK("https://www.lemon8-app.com/%40baifren_1996/7563618957471547911?region=th","เปิดหน้ารีวิว 1")</x:f>
        <x:v>HYPERLINK is not implemented. linkLocation=https://www.lemon8-app.com/%40baifren_1996/7563618957471547911?region=th, friendlyName=เปิดหน้ารีวิว 1</x:v>
      </x:c>
      <x:c r="K131" s="23" t="e">
        <x:f>HYPERLINK("https://www.lemon8-app.com/%40aa.un00/7519894544113222161?region=th","เปิดหน้ารีวิว 2")</x:f>
        <x:v>HYPERLINK is not implemented. linkLocation=https://www.lemon8-app.com/%40aa.un00/7519894544113222161?region=th, friendlyName=เปิดหน้ารีวิว 2</x:v>
      </x:c>
      <x:c r="L131" s="23" t="e">
        <x:f>HYPERLINK("https://www.tripniceday.com/place/%E0%B8%97%E0%B8%B5%E0%B9%88%E0%B8%9E%E0%B8%B1%E0%B8%81-%22%E0%B9%84%E0%B8%A3%E0%B9%88%E0%B8%88%E0%B8%B9%E0%B8%8B%E0%B8%B2-%E0%B9%82%E0%B8%AE%E0%B8%A1%E0%B8%AA%E0%B9%80%E0%B8%95%E0%B8%A2%E0%B9%8C%22","เปิดเว็บเพิ่ม 1")</x:f>
        <x:v>HYPERLINK is not implemented. linkLocation=https://www.tripniceday.com/place/%E0%B8%97%E0%B8%B5%E0%B9%88%E0%B8%9E%E0%B8%B1%E0%B8%81-%22%E0%B9%84%E0%B8%A3%E0%B9%88%E0%B8%88%E0%B8%B9%E0%B8%8B%E0%B8%B2-%E0%B9%82%E0%B8%AE%E0%B8%A1%E0%B8%AA%E0%B9%80%E0%B8%95%E0%B8%A2%E0%B9%8C%22, friendlyName=เปิดเว็บเพิ่ม 1</x:v>
      </x:c>
      <x:c r="M131" s="23" t="e">
        <x:f>HYPERLINK("https://notes.tiktok.com/%40pocketjourneyth/7596249149536829959?region=th","เปิดเว็บเพิ่ม 2")</x:f>
        <x:v>HYPERLINK is not implemented. linkLocation=https://notes.tiktok.com/%40pocketjourneyth/7596249149536829959?region=th, friendlyName=เปิดเว็บเพิ่ม 2</x:v>
      </x:c>
      <x:c r="N131" s="20" t="str">
        <x:v>ยังไม่ยืนยัน</x:v>
      </x:c>
      <x:c r="O13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31" s="25" t="n">
        <x:v>46315</x:v>
      </x:c>
      <x:c r="Q131" s="27" t="str">
        <x:v>ยังไม่ตรวจ</x:v>
      </x:c>
      <x:c r="R131" s="27" t="str">
        <x:v>รอติดต่อ</x:v>
      </x:c>
    </x:row>
    <x:row r="132" ht="76" customHeight="1">
      <x:c r="A132" s="24" t="str">
        <x:v>TMF-124</x:v>
      </x:c>
      <x:c r="B132" s="20" t="str">
        <x:v>Barakas By Asmar อิสลามตลาดแขก อ.ปากช่อง</x:v>
      </x:c>
      <x:c r="C132" s="20" t="str">
        <x:v>นครราชสีมา</x:v>
      </x:c>
      <x:c r="D132" s="20" t="str">
        <x:v>คงไว้ในชุด 600</x:v>
      </x:c>
      <x:c r="E132" s="20" t="str">
        <x:v>พบหลายแหล่งสัมพันธ์กับชื่อ รอยืนยันการเปิด</x:v>
      </x:c>
      <x:c r="F132" s="20" t="str">
        <x:v>ยังไม่ยืนยันการเปิดให้บริการปัจจุบัน</x:v>
      </x:c>
      <x:c r="G132" s="26" t="n">
        <x:v>5</x:v>
      </x:c>
      <x:c r="H132" s="23" t="e">
        <x:f>HYPERLINK("https://www.facebook.com/share/19i94wK6jZ/(ซาลาซ่าเขาใหญ่","เปิดช่องทาง 1")</x:f>
        <x:v>HYPERLINK is not implemented. linkLocation=https://www.facebook.com/share/19i94wK6jZ/(ซาลาซ่าเขาใหญ่, friendlyName=เปิดช่องทาง 1</x:v>
      </x:c>
      <x:c r="I132" s="23" t="e">
        <x:f>HYPERLINK("https://www.facebook.com/share/1McsfZ77fT/(คุณย่าเขาใหญ่","เปิดช่องทาง 2")</x:f>
        <x:v>HYPERLINK is not implemented. linkLocation=https://www.facebook.com/share/1McsfZ77fT/(คุณย่าเขาใหญ่, friendlyName=เปิดช่องทาง 2</x:v>
      </x:c>
      <x:c r="J132" s="23" t="e">
        <x:f>HYPERLINK("https://restaurantguru.com/%E0%B9%82%E0%B8%A3%E0%B8%87%E0%B8%AD%E0%B8%B2%E0%B8%AB%E0%B8%B2%E0%B8%A3%E0%B8%AD%E0%B8%B3%E0%B9%80%E0%B8%A0%E0%B8%AD%E0%B8%9B%E0%B8%B2%E0%B8%81%E0%B8%8A%E0%B9%88%E0%B8%AD%E0%B8%87-Pak-Chong-2","เปิดหน้ารีวิว 1")</x:f>
        <x:v>HYPERLINK is not implemented. linkLocation=https://restaurantguru.com/%E0%B9%82%E0%B8%A3%E0%B8%87%E0%B8%AD%E0%B8%B2%E0%B8%AB%E0%B8%B2%E0%B8%A3%E0%B8%AD%E0%B8%B3%E0%B9%80%E0%B8%A0%E0%B8%AD%E0%B8%9B%E0%B8%B2%E0%B8%81%E0%B8%8A%E0%B9%88%E0%B8%AD%E0%B8%87-Pak-Chong-2, friendlyName=เปิดหน้ารีวิว 1</x:v>
      </x:c>
      <x:c r="K132" s="23" t="e">
        <x:f>HYPERLINK("https://www.wongnai.com/restaurants/1141227fc-%E0%B8%A3%E0%B9%89%E0%B8%B2%E0%B8%99%E0%B8%AD%E0%B8%B2%E0%B8%AB%E0%B8%B2%E0%B8%A3%E0%B8%AD%E0%B8%B4%E0%B8%AA%E0%B8%A5%E0%B8%B2%E0%B8%A1%E0%B8%95%E0%B8%A5%E0%B8%B2%E0%B8%94%E0%B9%81%E0%B8%82%E0%B8%81","เปิดหน้ารีวิว 2")</x:f>
        <x:v>HYPERLINK is not implemented. linkLocation=https://www.wongnai.com/restaurants/1141227fc-%E0%B8%A3%E0%B9%89%E0%B8%B2%E0%B8%99%E0%B8%AD%E0%B8%B2%E0%B8%AB%E0%B8%B2%E0%B8%A3%E0%B8%AD%E0%B8%B4%E0%B8%AA%E0%B8%A5%E0%B8%B2%E0%B8%A1%E0%B8%95%E0%B8%A5%E0%B8%B2%E0%B8%94%E0%B9%81%E0%B8%82%E0%B8%81, friendlyName=เปิดหน้ารีวิว 2</x:v>
      </x:c>
      <x:c r="L132" s="23" t="e">
        <x:f>HYPERLINK("https://www.thaithurkic.com/%E0%B8%A3%E0%B9%89%E0%B8%B2%E0%B8%99%E0%B8%AD%E0%B8%B2%E0%B8%AB%E0%B8%B2%E0%B8%A3%E0%B8%AD%E0%B8%B4%E0%B8%AA%E0%B8%A5%E0%B8%B2%E0%B8%A1%E0%B8%95%E0%B8%A5%E0%B8%B2%E0%B8%94%E0%B9%81%E0%B8%82%E0%B8%81-%E0%B8%AD-%E0%B8%9B%E0%B8%B2%E0%B8%81%E0%B8%8A%E0%B9%88%E0%B8%AD%E0%B8%87-halal_1f-088-711-7127","เปิดเว็บเพิ่ม 1")</x:f>
        <x:v>HYPERLINK is not implemented. linkLocation=https://www.thaithurkic.com/%E0%B8%A3%E0%B9%89%E0%B8%B2%E0%B8%99%E0%B8%AD%E0%B8%B2%E0%B8%AB%E0%B8%B2%E0%B8%A3%E0%B8%AD%E0%B8%B4%E0%B8%AA%E0%B8%A5%E0%B8%B2%E0%B8%A1%E0%B8%95%E0%B8%A5%E0%B8%B2%E0%B8%94%E0%B9%81%E0%B8%82%E0%B8%81-%E0%B8%AD-%E0%B8%9B%E0%B8%B2%E0%B8%81%E0%B8%8A%E0%B9%88%E0%B8%AD%E0%B8%87-halal_1f-088-711-7127, friendlyName=เปิดเว็บเพิ่ม 1</x:v>
      </x:c>
      <x:c r="M132" s="23" t="e">
        <x:f>HYPERLINK("https://www.findglocal.com/TH/Pak-Chong/426939977433708/%E0%B8%A3%E0%B9%89%E0%B8%B2%E0%B8%99%E0%B8%AD%E0%B8%B2%E0%B8%AB%E0%B8%B2%E0%B8%A3%E0%B8%AD%E0%B8%B4%E0%B8%AA%E0%B8%A5%E0%B8%B2%E0%B8%A1%E0%B8%95%E0%B8%A5%E0%B8%B2%E0%B8%94%E0%B9%80%E0%B9%80%E0%B8%82%E0%B8%81-%E0%B8%9B%E0%B8%B2%E0%B8%81%E0%B8%8A%E0%B9%88%E0%B8%AD%E0%B8%87","เปิดเว็บเพิ่ม 2")</x:f>
        <x:v>HYPERLINK is not implemented. linkLocation=https://www.findglocal.com/TH/Pak-Chong/426939977433708/%E0%B8%A3%E0%B9%89%E0%B8%B2%E0%B8%99%E0%B8%AD%E0%B8%B2%E0%B8%AB%E0%B8%B2%E0%B8%A3%E0%B8%AD%E0%B8%B4%E0%B8%AA%E0%B8%A5%E0%B8%B2%E0%B8%A1%E0%B8%95%E0%B8%A5%E0%B8%B2%E0%B8%94%E0%B9%80%E0%B9%80%E0%B8%82%E0%B8%81-%E0%B8%9B%E0%B8%B2%E0%B8%81%E0%B8%8A%E0%B9%88%E0%B8%AD%E0%B8%87, friendlyName=เปิดเว็บเพิ่ม 2</x:v>
      </x:c>
      <x:c r="N132" s="20" t="str">
        <x:v>ยังไม่ยืนยัน</x:v>
      </x:c>
      <x:c r="O132" s="20" t="str">
        <x:v>ยังไม่ยืนยันวันที่โพสต์/รีวิวล่าสุดและการเปิดให้บริการปัจจุบัน</x:v>
      </x:c>
      <x:c r="P132" s="25" t="n">
        <x:v>46315</x:v>
      </x:c>
      <x:c r="Q132" s="27" t="str">
        <x:v>ยังไม่ตรวจ</x:v>
      </x:c>
      <x:c r="R132" s="27" t="str">
        <x:v>รอติดต่อ</x:v>
      </x:c>
    </x:row>
    <x:row r="133" ht="76" customHeight="1">
      <x:c r="A133" s="24" t="str">
        <x:v>TMF-125</x:v>
      </x:c>
      <x:c r="B133" s="20" t="str">
        <x:v>Cafe Style Chan Carpentry</x:v>
      </x:c>
      <x:c r="C133" s="20" t="str">
        <x:v>นครราชสีมา</x:v>
      </x:c>
      <x:c r="D133" s="20" t="str">
        <x:v>คงไว้ในชุด 600</x:v>
      </x:c>
      <x:c r="E133" s="20" t="str">
        <x:v>พบหลายแหล่งสัมพันธ์กับชื่อ รอยืนยันการเปิด</x:v>
      </x:c>
      <x:c r="F133" s="20" t="str">
        <x:v>ยังไม่ยืนยันการเปิดให้บริการปัจจุบัน</x:v>
      </x:c>
      <x:c r="G133" s="26" t="n">
        <x:v>2</x:v>
      </x:c>
      <x:c r="H133" s="23" t="str"/>
      <x:c r="I133" s="23" t="str"/>
      <x:c r="J133" s="23" t="str"/>
      <x:c r="K133" s="23" t="str"/>
      <x:c r="L133" s="23" t="e">
        <x:f>HYPERLINK("https://www.thaithurkic.com/%E0%B8%A3%E0%B8%96%E0%B9%81%E0%B8%8B%E0%B9%88%E0%B8%9A%E0%B9%80%E0%B8%A7%E0%B8%AD%E0%B8%A3%E0%B9%8C-095-739-7412","เปิดเว็บเพิ่ม 1")</x:f>
        <x:v>HYPERLINK is not implemented. linkLocation=https://www.thaithurkic.com/%E0%B8%A3%E0%B8%96%E0%B9%81%E0%B8%8B%E0%B9%88%E0%B8%9A%E0%B9%80%E0%B8%A7%E0%B8%AD%E0%B8%A3%E0%B9%8C-095-739-7412, friendlyName=เปิดเว็บเพิ่ม 1</x:v>
      </x:c>
      <x:c r="M133" s="23" t="str"/>
      <x:c r="N133" s="20" t="str">
        <x:v>ยังไม่ยืนยัน</x:v>
      </x:c>
      <x:c r="O133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33" s="25" t="n">
        <x:v>46315</x:v>
      </x:c>
      <x:c r="Q133" s="27" t="str">
        <x:v>ยังไม่ตรวจ</x:v>
      </x:c>
      <x:c r="R133" s="27" t="str">
        <x:v>รอติดต่อ</x:v>
      </x:c>
    </x:row>
    <x:row r="134" ht="76" customHeight="1">
      <x:c r="A134" s="24" t="str">
        <x:v>TMF-126</x:v>
      </x:c>
      <x:c r="B134" s="20" t="str">
        <x:v>Halal ครัวบังบิ๊ก เขาใหญ่</x:v>
      </x:c>
      <x:c r="C134" s="20" t="str">
        <x:v>นครราชสีมา</x:v>
      </x:c>
      <x:c r="D134" s="20" t="str">
        <x:v>คงไว้ในชุด 600</x:v>
      </x:c>
      <x:c r="E134" s="20" t="str">
        <x:v>พบหลายแหล่งสัมพันธ์กับชื่อ รอยืนยันการเปิด</x:v>
      </x:c>
      <x:c r="F134" s="20" t="str">
        <x:v>ยังไม่ยืนยันการเปิดให้บริการปัจจุบัน</x:v>
      </x:c>
      <x:c r="G134" s="26" t="n">
        <x:v>2</x:v>
      </x:c>
      <x:c r="H134" s="23" t="str"/>
      <x:c r="I134" s="23" t="str"/>
      <x:c r="J134" s="23" t="str"/>
      <x:c r="K134" s="23" t="str"/>
      <x:c r="L134" s="23" t="e">
        <x:f>HYPERLINK("https://xn--l3cga1amo9al2e5c0fqf.cybo.com/TH/%E0%B8%AD%E0%B8%B3%E0%B9%80%E0%B8%A0%E0%B8%AD%E0%B8%9B%E0%B8%B2%E0%B8%81%E0%B8%8A%E0%B9%88%E0%B8%AD%E0%B8%87/%E0%B8%A3%E0%B9%89%E0%B8%B2%E0%B8%99%E0%B8%AD%E0%B8%B2%E0%B8%AB%E0%B8%B2%E0%B8%A3%E0%B8%AE%E0%B8%B2%E0%B8%A5%E0%B8%B2%E0%B8%A5","เปิดเว็บเพิ่ม 1")</x:f>
        <x:v>HYPERLINK is not implemented. linkLocation=https://xn--l3cga1amo9al2e5c0fqf.cybo.com/TH/%E0%B8%AD%E0%B8%B3%E0%B9%80%E0%B8%A0%E0%B8%AD%E0%B8%9B%E0%B8%B2%E0%B8%81%E0%B8%8A%E0%B9%88%E0%B8%AD%E0%B8%87/%E0%B8%A3%E0%B9%89%E0%B8%B2%E0%B8%99%E0%B8%AD%E0%B8%B2%E0%B8%AB%E0%B8%B2%E0%B8%A3%E0%B8%AE%E0%B8%B2%E0%B8%A5%E0%B8%B2%E0%B8%A5, friendlyName=เปิดเว็บเพิ่ม 1</x:v>
      </x:c>
      <x:c r="M134" s="23" t="str"/>
      <x:c r="N134" s="20" t="str">
        <x:v>ยังไม่ยืนยัน</x:v>
      </x:c>
      <x:c r="O134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34" s="25" t="n">
        <x:v>46315</x:v>
      </x:c>
      <x:c r="Q134" s="27" t="str">
        <x:v>ยังไม่ตรวจ</x:v>
      </x:c>
      <x:c r="R134" s="27" t="str">
        <x:v>รอติดต่อ</x:v>
      </x:c>
    </x:row>
    <x:row r="135" ht="76" customHeight="1">
      <x:c r="A135" s="24" t="str">
        <x:v>TMF-127</x:v>
      </x:c>
      <x:c r="B135" s="20" t="str">
        <x:v>PICNIC CAMP เขายายเที่ยง</x:v>
      </x:c>
      <x:c r="C135" s="20" t="str">
        <x:v>นครราชสีมา</x:v>
      </x:c>
      <x:c r="D135" s="20" t="str">
        <x:v>คงไว้ในชุด 600</x:v>
      </x:c>
      <x:c r="E135" s="20" t="str">
        <x:v>พบหลายแหล่งสัมพันธ์กับชื่อ รอยืนยันการเปิด</x:v>
      </x:c>
      <x:c r="F135" s="20" t="str">
        <x:v>ยังไม่ยืนยันการเปิดให้บริการปัจจุบัน</x:v>
      </x:c>
      <x:c r="G135" s="26" t="n">
        <x:v>4</x:v>
      </x:c>
      <x:c r="H135" s="23" t="str"/>
      <x:c r="I135" s="23" t="str"/>
      <x:c r="J135" s="23" t="e">
        <x:f>HYPERLINK("https://www.google.co.th/travel/hotels/entity/CgoI-NTh0cj5wYYOEAE","เปิดหน้ารีวิว 1")</x:f>
        <x:v>HYPERLINK is not implemented. linkLocation=https://www.google.co.th/travel/hotels/entity/CgoI-NTh0cj5wYYOEAE, friendlyName=เปิดหน้ารีวิว 1</x:v>
      </x:c>
      <x:c r="K135" s="23" t="e">
        <x:f>HYPERLINK("https://www.google.com.sa/travel/hotels/entity/CgoI-NTh0cj5wYYOEAE?ap=MAC6AQZwcmljZXM&amp;g2lb=2502548%2C4254308%2C4258168%2C4260007%2C4274032%2C4305595%2C4306835%2C4308216%2C4308983%2C4314846%2C4315873%2C4317915%2C4323314%2C4328159%2C4329288%2C4270859%2C4284970%2C4291517%2C4292955%2C4316256&amp;gl=th&amp;gsas=1&amp;hl=th&amp;qs=CAEyKENob0ktZlRndHF6QzJadXpBUm9OTDJjdk1URm1NbmRqY0cxNlpCQUI4Bg&amp;rp=OAHCAhwiGg0AAOFDEhMIp_-Z5JitjwMVAb-rBx2k7gYw&amp;ts=CAEaIAoCGgASGhIUCgcI6g8QCBgREgcI6g8QCBgSGAEyAhAAKgkKBToDVEhCGgA&amp;un=1","เปิดหน้ารีวิว 2")</x:f>
        <x:v>HYPERLINK is not implemented. linkLocation=https://www.google.com.sa/travel/hotels/entity/CgoI-NTh0cj5wYYOEAE?ap=MAC6AQZwcmljZXM&amp;g2lb=2502548%2C4254308%2C4258168%2C4260007%2C4274032%2C4305595%2C4306835%2C4308216%2C4308983%2C4314846%2C4315873%2C4317915%2C4323314%2C4328159%2C4329288%2C4270859%2C4284970%2C4291517%2C4292955%2C4316256&amp;gl=th&amp;gsas=1&amp;hl=th&amp;qs=CAEyKENob0ktZlRndHF6QzJadXpBUm9OTDJjdk1URm1NbmRqY0cxNlpCQUI4Bg&amp;rp=OAHCAhwiGg0AAOFDEhMIp_-Z5JitjwMVAb-rBx2k7gYw&amp;ts=CAEaIAoCGgASGhIUCgcI6g8QCBgREgcI6g8QCBgSGAEyAhAAKgkKBToDVEhCGgA&amp;un=1, friendlyName=เปิดหน้ารีวิว 2</x:v>
      </x:c>
      <x:c r="L135" s="23" t="e">
        <x:f>HYPERLINK("https://thi.worldorgs.com/%E0%B9%81%E0%B8%84%E0%B8%95%E0%B8%95%E0%B8%B2%E0%B8%A5%E0%B9%87%E0%B8%AD%E0%B8%81/%E0%B8%AD%E0%B8%B3%E0%B9%80%E0%B8%A0%E0%B8%AD%E0%B8%AA%E0%B8%B5%E0%B8%84%E0%B8%B4%E0%B9%89%E0%B8%A7/%E0%B8%AD%E0%B8%B8%E0%B8%97%E0%B8%A2%E0%B8%B2%E0%B8%99/picnic-camp-%E0%B9%80%E0%B8%82%E0%B8%B2%E0%B8%A2%E0%B8%B2%E0%B8%A2%E0%B9%80%E0%B8%97%E0%B8%B5%E0%B9%88%E0%B8%A2%E0%B8%87","เปิดเว็บเพิ่ม 1")</x:f>
        <x:v>HYPERLINK is not implemented. linkLocation=https://thi.worldorgs.com/%E0%B9%81%E0%B8%84%E0%B8%95%E0%B8%95%E0%B8%B2%E0%B8%A5%E0%B9%87%E0%B8%AD%E0%B8%81/%E0%B8%AD%E0%B8%B3%E0%B9%80%E0%B8%A0%E0%B8%AD%E0%B8%AA%E0%B8%B5%E0%B8%84%E0%B8%B4%E0%B9%89%E0%B8%A7/%E0%B8%AD%E0%B8%B8%E0%B8%97%E0%B8%A2%E0%B8%B2%E0%B8%99/picnic-camp-%E0%B9%80%E0%B8%82%E0%B8%B2%E0%B8%A2%E0%B8%B2%E0%B8%A2%E0%B9%80%E0%B8%97%E0%B8%B5%E0%B9%88%E0%B8%A2%E0%B8%87, friendlyName=เปิดเว็บเพิ่ม 1</x:v>
      </x:c>
      <x:c r="M135" s="23" t="str"/>
      <x:c r="N135" s="20" t="str">
        <x:v>ยังไม่ยืนยัน</x:v>
      </x:c>
      <x:c r="O13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35" s="25" t="n">
        <x:v>46315</x:v>
      </x:c>
      <x:c r="Q135" s="27" t="str">
        <x:v>ยังไม่ตรวจ</x:v>
      </x:c>
      <x:c r="R135" s="27" t="str">
        <x:v>รอติดต่อ</x:v>
      </x:c>
    </x:row>
    <x:row r="136" ht="96" customHeight="1">
      <x:c r="A136" s="24" t="str">
        <x:v>TMF-128</x:v>
      </x:c>
      <x:c r="B136" s="20" t="str">
        <x:v>SALASA HALAL KHAOYAI</x:v>
      </x:c>
      <x:c r="C136" s="20" t="str">
        <x:v>นครราชสีมา</x:v>
      </x:c>
      <x:c r="D136" s="20" t="str">
        <x:v>คงไว้ในชุด 600</x:v>
      </x:c>
      <x:c r="E136" s="20" t="str">
        <x:v>พบหลายแหล่งสัมพันธ์กับชื่อ รอยืนยันการเปิด</x:v>
      </x:c>
      <x:c r="F136" s="20" t="str">
        <x:v>ยังไม่ยืนยันการเปิดให้บริการปัจจุบัน</x:v>
      </x:c>
      <x:c r="G136" s="26" t="n">
        <x:v>2</x:v>
      </x:c>
      <x:c r="H136" s="23" t="str"/>
      <x:c r="I136" s="23" t="str"/>
      <x:c r="J136" s="23" t="str"/>
      <x:c r="K136" s="23" t="str"/>
      <x:c r="L136" s="23" t="e">
        <x:f>HYPERLINK("https://www.halalthailand.com/article/123","เปิดเว็บเพิ่ม 1")</x:f>
        <x:v>HYPERLINK is not implemented. linkLocation=https://www.halalthailand.com/article/123, friendlyName=เปิดเว็บเพิ่ม 1</x:v>
      </x:c>
      <x:c r="M136" s="23" t="str"/>
      <x:c r="N136" s="20" t="str">
        <x:v>ยังไม่ยืนยัน</x:v>
      </x:c>
      <x:c r="O136" s="20" t="str">
        <x:v>แหล่ง HalalThailand ที่โทรศัพท์ตรงเรียก Salasa hill resort ขณะที่ Makan ใช้ชื่อ SALASA HALAL KHAOYAI / ต้องยืนยันชื่อ สาขา และประเภทบริการปัจจุบันก่อนสรุปว่ามีที่พัก / ยังไม่ยืนยันวันที่กิจกรรมล่าสุดหรือการเปิดปัจจุบัน</x:v>
      </x:c>
      <x:c r="P136" s="25" t="n">
        <x:v>46315</x:v>
      </x:c>
      <x:c r="Q136" s="27" t="str">
        <x:v>ยังไม่ตรวจ</x:v>
      </x:c>
      <x:c r="R136" s="27" t="str">
        <x:v>รอติดต่อ</x:v>
      </x:c>
    </x:row>
    <x:row r="137" ht="96" customHeight="1">
      <x:c r="A137" s="24" t="str">
        <x:v>TMF-129</x:v>
      </x:c>
      <x:c r="B137" s="20" t="str">
        <x:v>ขนมบ้านคลอเดียร์ หลักกม.9 เขายายเที่ยงใต้</x:v>
      </x:c>
      <x:c r="C137" s="20" t="str">
        <x:v>นครราชสีมา</x:v>
      </x:c>
      <x:c r="D137" s="20" t="str">
        <x:v>คงไว้ในชุด 600</x:v>
      </x:c>
      <x:c r="E137" s="20" t="str">
        <x:v>หลักฐานไม่พอ รอยืนยันการเปิด</x:v>
      </x:c>
      <x:c r="F137" s="20" t="str">
        <x:v>ยังไม่ยืนยันการเปิดให้บริการปัจจุบัน</x:v>
      </x:c>
      <x:c r="G137" s="26" t="n">
        <x:v>1</x:v>
      </x:c>
      <x:c r="H137" s="23" t="str"/>
      <x:c r="I137" s="23" t="str"/>
      <x:c r="J137" s="23" t="str"/>
      <x:c r="K137" s="23" t="str"/>
      <x:c r="L137" s="23" t="str"/>
      <x:c r="M137" s="23" t="str"/>
      <x:c r="N137" s="20" t="str">
        <x:v>ยังไม่ยืนยัน</x:v>
      </x:c>
      <x:c r="O13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37" s="25" t="n">
        <x:v>46315</x:v>
      </x:c>
      <x:c r="Q137" s="27" t="str">
        <x:v>ยังไม่ตรวจ</x:v>
      </x:c>
      <x:c r="R137" s="27" t="str">
        <x:v>รอติดต่อ</x:v>
      </x:c>
    </x:row>
    <x:row r="138" ht="76" customHeight="1">
      <x:c r="A138" s="24" t="str">
        <x:v>TMF-130</x:v>
      </x:c>
      <x:c r="B138" s="20" t="str">
        <x:v>ครัวอินดี้เขาใหญ่ อาหารปักษ์ใต้ ฮาลาล</x:v>
      </x:c>
      <x:c r="C138" s="20" t="str">
        <x:v>นครราชสีมา</x:v>
      </x:c>
      <x:c r="D138" s="20" t="str">
        <x:v>คงไว้ในชุด 600</x:v>
      </x:c>
      <x:c r="E138" s="20" t="str">
        <x:v>พบหลายแหล่งสัมพันธ์กับชื่อ รอยืนยันการเปิด</x:v>
      </x:c>
      <x:c r="F138" s="20" t="str">
        <x:v>ยังไม่ยืนยันการเปิดให้บริการปัจจุบัน</x:v>
      </x:c>
      <x:c r="G138" s="26" t="n">
        <x:v>2</x:v>
      </x:c>
      <x:c r="H138" s="23" t="str"/>
      <x:c r="I138" s="23" t="str"/>
      <x:c r="J138" s="23" t="str"/>
      <x:c r="K138" s="23" t="str"/>
      <x:c r="L138" s="23" t="e">
        <x:f>HYPERLINK("https://telefon-kitab.cybo.com/TH-biz/%E0%B8%84%E0%B8%A3%E0%B8%B1%E0%B8%A7%E0%B8%AD%E0%B8%B4%E0%B8%99%E0%B8%94%E0%B8%B5%E0%B9%89%E0%B9%80%E0%B8%82%E0%B8%B2%E0%B9%83%E0%B8%AB%E0%B8%8D%E0%B9%88-%E0%B8%AD%E0%B8%B2%E0%B8%AB%E0%B8%B2%E0%B8%A3%E0%B8%9B%E0%B8%B1%E0%B8%81%E0%B8%A9%E0%B9%8C%E0%B9%83%E0%B8%95%E0%B9%89-%E0%B8%AE%E0%B8%B2%E0%B8%A5%E0%B8%B2%E0%B8%A5","เปิดเว็บเพิ่ม 1")</x:f>
        <x:v>HYPERLINK is not implemented. linkLocation=https://telefon-kitab.cybo.com/TH-biz/%E0%B8%84%E0%B8%A3%E0%B8%B1%E0%B8%A7%E0%B8%AD%E0%B8%B4%E0%B8%99%E0%B8%94%E0%B8%B5%E0%B9%89%E0%B9%80%E0%B8%82%E0%B8%B2%E0%B9%83%E0%B8%AB%E0%B8%8D%E0%B9%88-%E0%B8%AD%E0%B8%B2%E0%B8%AB%E0%B8%B2%E0%B8%A3%E0%B8%9B%E0%B8%B1%E0%B8%81%E0%B8%A9%E0%B9%8C%E0%B9%83%E0%B8%95%E0%B9%89-%E0%B8%AE%E0%B8%B2%E0%B8%A5%E0%B8%B2%E0%B8%A5, friendlyName=เปิดเว็บเพิ่ม 1</x:v>
      </x:c>
      <x:c r="M138" s="23" t="str"/>
      <x:c r="N138" s="20" t="str">
        <x:v>ยังไม่ยืนยัน</x:v>
      </x:c>
      <x:c r="O138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38" s="25" t="n">
        <x:v>46315</x:v>
      </x:c>
      <x:c r="Q138" s="27" t="str">
        <x:v>ยังไม่ตรวจ</x:v>
      </x:c>
      <x:c r="R138" s="27" t="str">
        <x:v>รอติดต่อ</x:v>
      </x:c>
    </x:row>
    <x:row r="139" ht="76" customHeight="1">
      <x:c r="A139" s="24" t="str">
        <x:v>TMF-131</x:v>
      </x:c>
      <x:c r="B139" s="20" t="str">
        <x:v>บ้านกังหันวัลเล่ย์ แคมป์ปิ้ง&amp;ฮาลาลฟู้ด</x:v>
      </x:c>
      <x:c r="C139" s="20" t="str">
        <x:v>นครราชสีมา</x:v>
      </x:c>
      <x:c r="D139" s="20" t="str">
        <x:v>คงไว้ในชุด 600</x:v>
      </x:c>
      <x:c r="E139" s="20" t="str">
        <x:v>พบหลายแหล่งสัมพันธ์กับชื่อ รอยืนยันการเปิด</x:v>
      </x:c>
      <x:c r="F139" s="20" t="str">
        <x:v>ยังไม่ยืนยันการเปิดให้บริการปัจจุบัน</x:v>
      </x:c>
      <x:c r="G139" s="26" t="n">
        <x:v>2</x:v>
      </x:c>
      <x:c r="H139" s="23" t="str"/>
      <x:c r="I139" s="23" t="str"/>
      <x:c r="J139" s="23" t="str"/>
      <x:c r="K139" s="23" t="str"/>
      <x:c r="L139" s="23" t="e">
        <x:f>HYPERLINK("https://www.thaithurkic.com/%E0%B8%9A%E0%B9%89%E0%B8%B2%E0%B8%99%E0%B8%81%E0%B8%B1%E0%B8%87%E0%B8%AB%E0%B8%B1%E0%B8%99%E0%B8%A7%E0%B8%B1%E0%B8%A5%E0%B9%80%E0%B8%A5%E0%B9%88%E0%B8%A2%E0%B9%8C-083-199-5750","เปิดเว็บเพิ่ม 1")</x:f>
        <x:v>HYPERLINK is not implemented. linkLocation=https://www.thaithurkic.com/%E0%B8%9A%E0%B9%89%E0%B8%B2%E0%B8%99%E0%B8%81%E0%B8%B1%E0%B8%87%E0%B8%AB%E0%B8%B1%E0%B8%99%E0%B8%A7%E0%B8%B1%E0%B8%A5%E0%B9%80%E0%B8%A5%E0%B9%88%E0%B8%A2%E0%B9%8C-083-199-5750, friendlyName=เปิดเว็บเพิ่ม 1</x:v>
      </x:c>
      <x:c r="M139" s="23" t="str"/>
      <x:c r="N139" s="20" t="str">
        <x:v>ยังไม่ยืนยัน</x:v>
      </x:c>
      <x:c r="O13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39" s="25" t="n">
        <x:v>46315</x:v>
      </x:c>
      <x:c r="Q139" s="27" t="str">
        <x:v>ยังไม่ตรวจ</x:v>
      </x:c>
      <x:c r="R139" s="27" t="str">
        <x:v>รอติดต่อ</x:v>
      </x:c>
    </x:row>
    <x:row r="140" ht="96" customHeight="1">
      <x:c r="A140" s="24" t="str">
        <x:v>TMF-132</x:v>
      </x:c>
      <x:c r="B140" s="20" t="str">
        <x:v>ป้าจันทร์ฮาลาล ช้างเผือก</x:v>
      </x:c>
      <x:c r="C140" s="20" t="str">
        <x:v>นครราชสีมา</x:v>
      </x:c>
      <x:c r="D140" s="20" t="str">
        <x:v>คงไว้ในชุด 600</x:v>
      </x:c>
      <x:c r="E140" s="20" t="str">
        <x:v>หลักฐานไม่พอ รอยืนยันการเปิด</x:v>
      </x:c>
      <x:c r="F140" s="20" t="str">
        <x:v>ยังไม่ยืนยันการเปิดให้บริการปัจจุบัน</x:v>
      </x:c>
      <x:c r="G140" s="26" t="n">
        <x:v>1</x:v>
      </x:c>
      <x:c r="H140" s="23" t="str"/>
      <x:c r="I140" s="23" t="str"/>
      <x:c r="J140" s="23" t="str"/>
      <x:c r="K140" s="23" t="str"/>
      <x:c r="L140" s="23" t="str"/>
      <x:c r="M140" s="23" t="str"/>
      <x:c r="N140" s="20" t="str">
        <x:v>ยังไม่ยืนยัน</x:v>
      </x:c>
      <x:c r="O14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40" s="25" t="n">
        <x:v>46315</x:v>
      </x:c>
      <x:c r="Q140" s="27" t="str">
        <x:v>ยังไม่ตรวจ</x:v>
      </x:c>
      <x:c r="R140" s="27" t="str">
        <x:v>รอติดต่อ</x:v>
      </x:c>
    </x:row>
    <x:row r="141" ht="76" customHeight="1">
      <x:c r="A141" s="24" t="str">
        <x:v>TMF-133</x:v>
      </x:c>
      <x:c r="B141" s="20" t="str">
        <x:v>ฟอสซิล แคมป์</x:v>
      </x:c>
      <x:c r="C141" s="20" t="str">
        <x:v>นครราชสีมา</x:v>
      </x:c>
      <x:c r="D141" s="20" t="str">
        <x:v>คงไว้ในชุด 600</x:v>
      </x:c>
      <x:c r="E141" s="20" t="str">
        <x:v>พบหลายแหล่งสัมพันธ์กับชื่อ รอยืนยันการเปิด</x:v>
      </x:c>
      <x:c r="F141" s="20" t="str">
        <x:v>ยังไม่ยืนยันการเปิดให้บริการปัจจุบัน</x:v>
      </x:c>
      <x:c r="G141" s="26" t="n">
        <x:v>2</x:v>
      </x:c>
      <x:c r="H141" s="23" t="str"/>
      <x:c r="I141" s="23" t="str"/>
      <x:c r="J141" s="23" t="e">
        <x:f>HYPERLINK("https://www.lemon8-app.com/%40matha_winn/7640515318569288209?region=th","เปิดหน้ารีวิว 1")</x:f>
        <x:v>HYPERLINK is not implemented. linkLocation=https://www.lemon8-app.com/%40matha_winn/7640515318569288209?region=th, friendlyName=เปิดหน้ารีวิว 1</x:v>
      </x:c>
      <x:c r="K141" s="23" t="e">
        <x:f>HYPERLINK("https://www.lemon8-app.com/%40meekhun_meekhun/7648620639948997141?region=th","เปิดหน้ารีวิว 2")</x:f>
        <x:v>HYPERLINK is not implemented. linkLocation=https://www.lemon8-app.com/%40meekhun_meekhun/7648620639948997141?region=th, friendlyName=เปิดหน้ารีวิว 2</x:v>
      </x:c>
      <x:c r="L141" s="23" t="str"/>
      <x:c r="M141" s="23" t="str"/>
      <x:c r="N141" s="20" t="str">
        <x:v>ยังไม่ยืนยัน</x:v>
      </x:c>
      <x:c r="O14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41" s="25" t="n">
        <x:v>46315</x:v>
      </x:c>
      <x:c r="Q141" s="27" t="str">
        <x:v>ยังไม่ตรวจ</x:v>
      </x:c>
      <x:c r="R141" s="27" t="str">
        <x:v>รอติดต่อ</x:v>
      </x:c>
    </x:row>
    <x:row r="142" ht="76" customHeight="1">
      <x:c r="A142" s="24" t="str">
        <x:v>TMF-134</x:v>
      </x:c>
      <x:c r="B142" s="20" t="str">
        <x:v>ฟอสซิล แคมป์&amp;คาเฟ่</x:v>
      </x:c>
      <x:c r="C142" s="20" t="str">
        <x:v>นครราชสีมา</x:v>
      </x:c>
      <x:c r="D142" s="20" t="str">
        <x:v>รวมรายการซ้ำกับ TMF-133</x:v>
      </x:c>
      <x:c r="E142" s="20" t="str">
        <x:v>พบหลายแหล่งสัมพันธ์กับชื่อ รอยืนยันการเปิด</x:v>
      </x:c>
      <x:c r="F142" s="20" t="str">
        <x:v>ยังไม่ยืนยันการเปิดให้บริการปัจจุบัน</x:v>
      </x:c>
      <x:c r="G142" s="26" t="n">
        <x:v>2</x:v>
      </x:c>
      <x:c r="H142" s="23" t="str"/>
      <x:c r="I142" s="23" t="str"/>
      <x:c r="J142" s="23" t="e">
        <x:f>HYPERLINK("https://www.lemon8-app.com/%40phajaipaitiew/7605192602648691218?region=th","เปิดหน้ารีวิว 1")</x:f>
        <x:v>HYPERLINK is not implemented. linkLocation=https://www.lemon8-app.com/%40phajaipaitiew/7605192602648691218?region=th, friendlyName=เปิดหน้ารีวิว 1</x:v>
      </x:c>
      <x:c r="K142" s="23" t="e">
        <x:f>HYPERLINK("https://www.lemon8-app.com/%40matha_winn/7640515318569288209?region=th","เปิดหน้ารีวิว 2")</x:f>
        <x:v>HYPERLINK is not implemented. linkLocation=https://www.lemon8-app.com/%40matha_winn/7640515318569288209?region=th, friendlyName=เปิดหน้ารีวิว 2</x:v>
      </x:c>
      <x:c r="L142" s="23" t="str"/>
      <x:c r="M142" s="23" t="str"/>
      <x:c r="N142" s="20" t="str">
        <x:v>ยังไม่ยืนยัน</x:v>
      </x:c>
      <x:c r="O14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42" s="25" t="n">
        <x:v>46315</x:v>
      </x:c>
      <x:c r="Q142" s="27" t="str">
        <x:v>ยังไม่ตรวจ</x:v>
      </x:c>
      <x:c r="R142" s="27" t="str">
        <x:v>รอติดต่อ</x:v>
      </x:c>
    </x:row>
    <x:row r="143" ht="76" customHeight="1">
      <x:c r="A143" s="24" t="str">
        <x:v>TMF-135</x:v>
      </x:c>
      <x:c r="B143" s="20" t="str">
        <x:v>ภูล้านดาวแคมป์ ณ เขายายเที่ยง</x:v>
      </x:c>
      <x:c r="C143" s="20" t="str">
        <x:v>นครราชสีมา</x:v>
      </x:c>
      <x:c r="D143" s="20" t="str">
        <x:v>คงไว้ในชุด 600</x:v>
      </x:c>
      <x:c r="E143" s="20" t="str">
        <x:v>พบหลายแหล่งสัมพันธ์กับชื่อ รอยืนยันการเปิด</x:v>
      </x:c>
      <x:c r="F143" s="20" t="str">
        <x:v>ยังไม่ยืนยันการเปิดให้บริการปัจจุบัน</x:v>
      </x:c>
      <x:c r="G143" s="26" t="n">
        <x:v>5</x:v>
      </x:c>
      <x:c r="H143" s="23" t="str"/>
      <x:c r="I143" s="23" t="str"/>
      <x:c r="J143" s="23" t="e">
        <x:f>HYPERLINK("https://www.lemon8-app.com/%4008nakhonratchasima/7379868697139216912?region=th","เปิดหน้ารีวิว 1")</x:f>
        <x:v>HYPERLINK is not implemented. linkLocation=https://www.lemon8-app.com/%4008nakhonratchasima/7379868697139216912?region=th, friendlyName=เปิดหน้ารีวิว 1</x:v>
      </x:c>
      <x:c r="K143" s="23" t="str"/>
      <x:c r="L143" s="23" t="e">
        <x:f>HYPERLINK("https://notes.tiktok.com/%40chook078/7371702482109530625?region=th","เปิดเว็บเพิ่ม 1")</x:f>
        <x:v>HYPERLINK is not implemented. linkLocation=https://notes.tiktok.com/%40chook078/7371702482109530625?region=th, friendlyName=เปิดเว็บเพิ่ม 1</x:v>
      </x:c>
      <x:c r="M143" s="23" t="e">
        <x:f>HYPERLINK("https://www.tripniceday.com/place/%E0%B8%A0%E0%B8%B9%E0%B8%A5%E0%B9%89%E0%B8%B2%E0%B8%99%E0%B8%94%E0%B8%B2%E0%B8%A7-%E0%B8%84%E0%B8%B2%E0%B9%80%E0%B8%9F%E0%B9%88","เปิดเว็บเพิ่ม 2")</x:f>
        <x:v>HYPERLINK is not implemented. linkLocation=https://www.tripniceday.com/place/%E0%B8%A0%E0%B8%B9%E0%B8%A5%E0%B9%89%E0%B8%B2%E0%B8%99%E0%B8%94%E0%B8%B2%E0%B8%A7-%E0%B8%84%E0%B8%B2%E0%B9%80%E0%B8%9F%E0%B9%88, friendlyName=เปิดเว็บเพิ่ม 2</x:v>
      </x:c>
      <x:c r="N143" s="20" t="str">
        <x:v>ยังไม่ยืนยัน</x:v>
      </x:c>
      <x:c r="O14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43" s="25" t="n">
        <x:v>46315</x:v>
      </x:c>
      <x:c r="Q143" s="27" t="str">
        <x:v>ยังไม่ตรวจ</x:v>
      </x:c>
      <x:c r="R143" s="27" t="str">
        <x:v>รอติดต่อ</x:v>
      </x:c>
    </x:row>
    <x:row r="144" ht="76" customHeight="1">
      <x:c r="A144" s="24" t="str">
        <x:v>TMF-136</x:v>
      </x:c>
      <x:c r="B144" s="20" t="str">
        <x:v>I Lay Resort Sichon</x:v>
      </x:c>
      <x:c r="C144" s="20" t="str">
        <x:v>นครศรีธรรมราช</x:v>
      </x:c>
      <x:c r="D144" s="20" t="str">
        <x:v>คงไว้ในชุด 600</x:v>
      </x:c>
      <x:c r="E144" s="20" t="str">
        <x:v>พบหลายแหล่งสัมพันธ์กับชื่อ รอยืนยันการเปิด</x:v>
      </x:c>
      <x:c r="F144" s="20" t="str">
        <x:v>ยังไม่ยืนยันการเปิดให้บริการปัจจุบัน</x:v>
      </x:c>
      <x:c r="G144" s="26" t="n">
        <x:v>2</x:v>
      </x:c>
      <x:c r="H144" s="23" t="str"/>
      <x:c r="I144" s="23" t="str"/>
      <x:c r="J144" s="23" t="e">
        <x:f>HYPERLINK("https://in.trip.com/moments/detail/nakhon-si-thammarat-1447082-134498184","เปิดหน้ารีวิว 1")</x:f>
        <x:v>HYPERLINK is not implemented. linkLocation=https://in.trip.com/moments/detail/nakhon-si-thammarat-1447082-134498184, friendlyName=เปิดหน้ารีวิว 1</x:v>
      </x:c>
      <x:c r="K144" s="23" t="e">
        <x:f>HYPERLINK("https://th.trip.com/hotels/sichon-hotel-detail-92590114/i-lay-resortcafe-sichon/","เปิดหน้ารีวิว 2")</x:f>
        <x:v>HYPERLINK is not implemented. linkLocation=https://th.trip.com/hotels/sichon-hotel-detail-92590114/i-lay-resortcafe-sichon/, friendlyName=เปิดหน้ารีวิว 2</x:v>
      </x:c>
      <x:c r="L144" s="23" t="str"/>
      <x:c r="M144" s="23" t="str"/>
      <x:c r="N144" s="20" t="str">
        <x:v>ยังไม่ยืนยัน</x:v>
      </x:c>
      <x:c r="O14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44" s="25" t="n">
        <x:v>46315</x:v>
      </x:c>
      <x:c r="Q144" s="27" t="str">
        <x:v>ยังไม่ตรวจ</x:v>
      </x:c>
      <x:c r="R144" s="27" t="str">
        <x:v>รอติดต่อ</x:v>
      </x:c>
    </x:row>
    <x:row r="145" ht="96" customHeight="1">
      <x:c r="A145" s="24" t="str">
        <x:v>TMF-137</x:v>
      </x:c>
      <x:c r="B145" s="20" t="str">
        <x:v>I Lay Cafe Sichon</x:v>
      </x:c>
      <x:c r="C145" s="20" t="str">
        <x:v>นครศรีธรรมราช</x:v>
      </x:c>
      <x:c r="D145" s="20" t="str">
        <x:v>รวมรายการซ้ำกับ TMF-136</x:v>
      </x:c>
      <x:c r="E145" s="20" t="str">
        <x:v>หลักฐานไม่พอ รอยืนยันการเปิด</x:v>
      </x:c>
      <x:c r="F145" s="20" t="str">
        <x:v>ยังไม่ยืนยันการเปิดให้บริการปัจจุบัน</x:v>
      </x:c>
      <x:c r="G145" s="26" t="n">
        <x:v>1</x:v>
      </x:c>
      <x:c r="H145" s="23" t="str"/>
      <x:c r="I145" s="23" t="str"/>
      <x:c r="J145" s="23" t="str"/>
      <x:c r="K145" s="23" t="str"/>
      <x:c r="L145" s="23" t="str"/>
      <x:c r="M145" s="23" t="str"/>
      <x:c r="N145" s="20" t="str">
        <x:v>ยังไม่ยืนยัน</x:v>
      </x:c>
      <x:c r="O14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45" s="25" t="n">
        <x:v>46315</x:v>
      </x:c>
      <x:c r="Q145" s="27" t="str">
        <x:v>ยังไม่ตรวจ</x:v>
      </x:c>
      <x:c r="R145" s="27" t="str">
        <x:v>รอติดต่อ</x:v>
      </x:c>
    </x:row>
    <x:row r="146" ht="76" customHeight="1">
      <x:c r="A146" s="24" t="str">
        <x:v>TMF-138</x:v>
      </x:c>
      <x:c r="B146" s="20" t="str">
        <x:v>Kamin Halal Kitchen House</x:v>
      </x:c>
      <x:c r="C146" s="20" t="str">
        <x:v>นครศรีธรรมราช</x:v>
      </x:c>
      <x:c r="D146" s="20" t="str">
        <x:v>คงไว้ในชุด 600</x:v>
      </x:c>
      <x:c r="E146" s="20" t="str">
        <x:v>พบหลายแหล่งสัมพันธ์กับชื่อ รอยืนยันการเปิด</x:v>
      </x:c>
      <x:c r="F146" s="20" t="str">
        <x:v>ยังไม่ยืนยันการเปิดให้บริการปัจจุบัน</x:v>
      </x:c>
      <x:c r="G146" s="26" t="n">
        <x:v>3</x:v>
      </x:c>
      <x:c r="H146" s="23" t="str"/>
      <x:c r="I146" s="23" t="str"/>
      <x:c r="J146" s="23" t="e">
        <x:f>HYPERLINK("https://es.restaurantguru.com/Kamin-halal-kitchen-house-Nakhon-Si-Thammarat","เปิดหน้ารีวิว 1")</x:f>
        <x:v>HYPERLINK is not implemented. linkLocation=https://es.restaurantguru.com/Kamin-halal-kitchen-house-Nakhon-Si-Thammarat, friendlyName=เปิดหน้ารีวิว 1</x:v>
      </x:c>
      <x:c r="K146" s="23" t="e">
        <x:f>HYPERLINK("https://www.lemon8-app.com/%40solya_wbm/7674502003220906513?region=th","เปิดหน้ารีวิว 2")</x:f>
        <x:v>HYPERLINK is not implemented. linkLocation=https://www.lemon8-app.com/%40solya_wbm/7674502003220906513?region=th, friendlyName=เปิดหน้ารีวิว 2</x:v>
      </x:c>
      <x:c r="L146" s="23" t="str"/>
      <x:c r="M146" s="23" t="str"/>
      <x:c r="N146" s="20" t="str">
        <x:v>ยังไม่ยืนยัน</x:v>
      </x:c>
      <x:c r="O14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46" s="25" t="n">
        <x:v>46315</x:v>
      </x:c>
      <x:c r="Q146" s="27" t="str">
        <x:v>ยังไม่ตรวจ</x:v>
      </x:c>
      <x:c r="R146" s="27" t="str">
        <x:v>รอติดต่อ</x:v>
      </x:c>
    </x:row>
    <x:row r="147" ht="76" customHeight="1">
      <x:c r="A147" s="24" t="str">
        <x:v>TMF-139</x:v>
      </x:c>
      <x:c r="B147" s="20" t="str">
        <x:v>ของบังดี ฮาลาลช็อป นครศรีธรรมราช</x:v>
      </x:c>
      <x:c r="C147" s="20" t="str">
        <x:v>นครศรีธรรมราช</x:v>
      </x:c>
      <x:c r="D147" s="20" t="str">
        <x:v>คงไว้ในชุด 600</x:v>
      </x:c>
      <x:c r="E147" s="20" t="str">
        <x:v>พบหลายแหล่งสัมพันธ์กับชื่อ รอยืนยันการเปิด</x:v>
      </x:c>
      <x:c r="F147" s="20" t="str">
        <x:v>ยังไม่ยืนยันการเปิดให้บริการปัจจุบัน</x:v>
      </x:c>
      <x:c r="G147" s="26" t="n">
        <x:v>3</x:v>
      </x:c>
      <x:c r="H147" s="23" t="str"/>
      <x:c r="I147" s="23" t="str"/>
      <x:c r="J147" s="23" t="e">
        <x:f>HYPERLINK("https://www.wongnai.com/restaurants/737160fn-%E0%B8%A3%E0%B9%89%E0%B8%B2%E0%B8%99%E0%B8%82%E0%B8%AD%E0%B8%87%E0%B8%9A%E0%B8%B1%E0%B8%87%E0%B8%94%E0%B8%B5%E0%B8%84%E0%B8%B2%E0%B9%80%E0%B8%9F%E0%B9%88","เปิดหน้ารีวิว 1")</x:f>
        <x:v>HYPERLINK is not implemented. linkLocation=https://www.wongnai.com/restaurants/737160fn-%E0%B8%A3%E0%B9%89%E0%B8%B2%E0%B8%99%E0%B8%82%E0%B8%AD%E0%B8%87%E0%B8%9A%E0%B8%B1%E0%B8%87%E0%B8%94%E0%B8%B5%E0%B8%84%E0%B8%B2%E0%B9%80%E0%B8%9F%E0%B9%88, friendlyName=เปิดหน้ารีวิว 1</x:v>
      </x:c>
      <x:c r="K147" s="23" t="e">
        <x:f>HYPERLINK("https://www.wongnai.com/restaurants/737160fn-%E0%B8%82%E0%B8%AD%E0%B8%87%E0%B8%9A%E0%B8%B1%E0%B8%87%E0%B8%94%E0%B8%B5-%E0%B8%AE%E0%B8%B2%E0%B8%A5%E0%B8%B2%E0%B8%A5%E0%B8%8A%E0%B9%87%E0%B8%AD%E0%B8%9B-%E0%B8%99%E0%B8%84%E0%B8%A3%E0%B8%A8%E0%B8%A3%E0%B8%B5%E0%B8%98%E0%B8%A3%E0%B8%A3%E0%B8%A1%E0%B8%A3%E0%B8%B2%E0%B8%8A/reviews","เปิดหน้ารีวิว 2")</x:f>
        <x:v>HYPERLINK is not implemented. linkLocation=https://www.wongnai.com/restaurants/737160fn-%E0%B8%82%E0%B8%AD%E0%B8%87%E0%B8%9A%E0%B8%B1%E0%B8%87%E0%B8%94%E0%B8%B5-%E0%B8%AE%E0%B8%B2%E0%B8%A5%E0%B8%B2%E0%B8%A5%E0%B8%8A%E0%B9%87%E0%B8%AD%E0%B8%9B-%E0%B8%99%E0%B8%84%E0%B8%A3%E0%B8%A8%E0%B8%A3%E0%B8%B5%E0%B8%98%E0%B8%A3%E0%B8%A3%E0%B8%A1%E0%B8%A3%E0%B8%B2%E0%B8%8A/reviews, friendlyName=เปิดหน้ารีวิว 2</x:v>
      </x:c>
      <x:c r="L147" s="23" t="str"/>
      <x:c r="M147" s="23" t="str"/>
      <x:c r="N147" s="20" t="str">
        <x:v>ยังไม่ยืนยัน</x:v>
      </x:c>
      <x:c r="O14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47" s="25" t="n">
        <x:v>46315</x:v>
      </x:c>
      <x:c r="Q147" s="27" t="str">
        <x:v>ยังไม่ตรวจ</x:v>
      </x:c>
      <x:c r="R147" s="27" t="str">
        <x:v>รอติดต่อ</x:v>
      </x:c>
    </x:row>
    <x:row r="148" ht="76" customHeight="1">
      <x:c r="A148" s="24" t="str">
        <x:v>TMF-140</x:v>
      </x:c>
      <x:c r="B148" s="20" t="str">
        <x:v>ข้าวซอยสุธินี</x:v>
      </x:c>
      <x:c r="C148" s="20" t="str">
        <x:v>นครศรีธรรมราช</x:v>
      </x:c>
      <x:c r="D148" s="20" t="str">
        <x:v>คงไว้ในชุด 600</x:v>
      </x:c>
      <x:c r="E148" s="20" t="str">
        <x:v>พบหลายแหล่งสัมพันธ์กับชื่อ รอยืนยันการเปิด</x:v>
      </x:c>
      <x:c r="F148" s="20" t="str">
        <x:v>ยังไม่ยืนยันการเปิดให้บริการปัจจุบัน</x:v>
      </x:c>
      <x:c r="G148" s="26" t="n">
        <x:v>2</x:v>
      </x:c>
      <x:c r="H148" s="23" t="str"/>
      <x:c r="I148" s="23" t="str"/>
      <x:c r="J148" s="23" t="e">
        <x:f>HYPERLINK("https://www.wongnai.com/restaurants/2960948Cm-%E0%B8%82%E0%B9%89%E0%B8%B2%E0%B8%A7%E0%B8%8B%E0%B8%AD%E0%B8%A2%E0%B8%AA%E0%B8%B8%E0%B8%98%E0%B8%B4%E0%B8%99%E0%B8%B5-%E0%B8%AE%E0%B8%B2%E0%B8%A5%E0%B8%B2%E0%B8%A5","เปิดหน้ารีวิว 1")</x:f>
        <x:v>HYPERLINK is not implemented. linkLocation=https://www.wongnai.com/restaurants/2960948Cm-%E0%B8%82%E0%B9%89%E0%B8%B2%E0%B8%A7%E0%B8%8B%E0%B8%AD%E0%B8%A2%E0%B8%AA%E0%B8%B8%E0%B8%98%E0%B8%B4%E0%B8%99%E0%B8%B5-%E0%B8%AE%E0%B8%B2%E0%B8%A5%E0%B8%B2%E0%B8%A5, friendlyName=เปิดหน้ารีวิว 1</x:v>
      </x:c>
      <x:c r="K148" s="23" t="str"/>
      <x:c r="L148" s="23" t="str"/>
      <x:c r="M148" s="23" t="str"/>
      <x:c r="N148" s="20" t="str">
        <x:v>ยังไม่ยืนยัน</x:v>
      </x:c>
      <x:c r="O14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48" s="25" t="n">
        <x:v>46315</x:v>
      </x:c>
      <x:c r="Q148" s="27" t="str">
        <x:v>ยังไม่ตรวจ</x:v>
      </x:c>
      <x:c r="R148" s="27" t="str">
        <x:v>รอติดต่อ</x:v>
      </x:c>
    </x:row>
    <x:row r="149" ht="96" customHeight="1">
      <x:c r="A149" s="24" t="str">
        <x:v>TMF-141</x:v>
      </x:c>
      <x:c r="B149" s="20" t="str">
        <x:v>จันทร์เจ้าขา ร้านอาหาร นครศรีธรรมราช</x:v>
      </x:c>
      <x:c r="C149" s="20" t="str">
        <x:v>นครศรีธรรมราช</x:v>
      </x:c>
      <x:c r="D149" s="20" t="str">
        <x:v>คงไว้ในชุด 600</x:v>
      </x:c>
      <x:c r="E149" s="20" t="str">
        <x:v>หลักฐานไม่พอ รอยืนยันการเปิด</x:v>
      </x:c>
      <x:c r="F149" s="20" t="str">
        <x:v>ยังไม่ยืนยันการเปิดให้บริการปัจจุบัน</x:v>
      </x:c>
      <x:c r="G149" s="26" t="n">
        <x:v>1</x:v>
      </x:c>
      <x:c r="H149" s="23" t="str"/>
      <x:c r="I149" s="23" t="str"/>
      <x:c r="J149" s="23" t="str"/>
      <x:c r="K149" s="23" t="str"/>
      <x:c r="L149" s="23" t="str"/>
      <x:c r="M149" s="23" t="str"/>
      <x:c r="N149" s="20" t="str">
        <x:v>ยังไม่ยืนยัน</x:v>
      </x:c>
      <x:c r="O14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49" s="25" t="n">
        <x:v>46315</x:v>
      </x:c>
      <x:c r="Q149" s="27" t="str">
        <x:v>ยังไม่ตรวจ</x:v>
      </x:c>
      <x:c r="R149" s="27" t="str">
        <x:v>รอติดต่อ</x:v>
      </x:c>
    </x:row>
    <x:row r="150" ht="76" customHeight="1">
      <x:c r="A150" s="24" t="str">
        <x:v>TMF-142</x:v>
      </x:c>
      <x:c r="B150" s="20" t="str">
        <x:v>ดั้งเดิม คาเฟ่ในสวนและขนมจีน</x:v>
      </x:c>
      <x:c r="C150" s="20" t="str">
        <x:v>นครศรีธรรมราช</x:v>
      </x:c>
      <x:c r="D150" s="20" t="str">
        <x:v>คงไว้ในชุด 600</x:v>
      </x:c>
      <x:c r="E150" s="20" t="str">
        <x:v>พบหลายแหล่งสัมพันธ์กับชื่อ รอยืนยันการเปิด</x:v>
      </x:c>
      <x:c r="F150" s="20" t="str">
        <x:v>ยังไม่ยืนยันการเปิดให้บริการปัจจุบัน</x:v>
      </x:c>
      <x:c r="G150" s="26" t="n">
        <x:v>2</x:v>
      </x:c>
      <x:c r="H150" s="23" t="str"/>
      <x:c r="I150" s="23" t="str"/>
      <x:c r="J150" s="23" t="e">
        <x:f>HYPERLINK("https://www.wongnai.com/restaurants/1926745jf-%E0%B8%94%E0%B8%B1%E0%B9%89%E0%B8%87%E0%B9%80%E0%B8%94%E0%B8%B4%E0%B8%A1-%E0%B8%84%E0%B8%B2%E0%B9%80%E0%B8%9F%E0%B9%88%E0%B9%83%E0%B8%99%E0%B8%AA%E0%B8%A7%E0%B8%99%E0%B9%81%E0%B8%A5%E0%B8%B0%E0%B8%82%E0%B8%99%E0%B8%A1%E0%B8%88%E0%B8%B5%E0%B8%99-%E0%B8%96%E0%B8%99%E0%B8%99%E0%B9%80%E0%B8%97%E0%B8%B4%E0%B8%94%E0%B8%9E%E0%B8%A3%E0%B8%B0%E0%B9%80%E0%B8%81%E0%B8%B5%E0%B8%A2%E0%B8%A3%E0%B8%95%E0%B8%B4","เปิดหน้ารีวิว 1")</x:f>
        <x:v>HYPERLINK is not implemented. linkLocation=https://www.wongnai.com/restaurants/1926745jf-%E0%B8%94%E0%B8%B1%E0%B9%89%E0%B8%87%E0%B9%80%E0%B8%94%E0%B8%B4%E0%B8%A1-%E0%B8%84%E0%B8%B2%E0%B9%80%E0%B8%9F%E0%B9%88%E0%B9%83%E0%B8%99%E0%B8%AA%E0%B8%A7%E0%B8%99%E0%B9%81%E0%B8%A5%E0%B8%B0%E0%B8%82%E0%B8%99%E0%B8%A1%E0%B8%88%E0%B8%B5%E0%B8%99-%E0%B8%96%E0%B8%99%E0%B8%99%E0%B9%80%E0%B8%97%E0%B8%B4%E0%B8%94%E0%B8%9E%E0%B8%A3%E0%B8%B0%E0%B9%80%E0%B8%81%E0%B8%B5%E0%B8%A2%E0%B8%A3%E0%B8%95%E0%B8%B4, friendlyName=เปิดหน้ารีวิว 1</x:v>
      </x:c>
      <x:c r="K150" s="23" t="str"/>
      <x:c r="L150" s="23" t="str"/>
      <x:c r="M150" s="23" t="str"/>
      <x:c r="N150" s="20" t="str">
        <x:v>ยังไม่ยืนยัน</x:v>
      </x:c>
      <x:c r="O15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50" s="25" t="n">
        <x:v>46315</x:v>
      </x:c>
      <x:c r="Q150" s="27" t="str">
        <x:v>ยังไม่ตรวจ</x:v>
      </x:c>
      <x:c r="R150" s="27" t="str">
        <x:v>รอติดต่อ</x:v>
      </x:c>
    </x:row>
    <x:row r="151" ht="76" customHeight="1">
      <x:c r="A151" s="24" t="str">
        <x:v>TMF-143</x:v>
      </x:c>
      <x:c r="B151" s="20" t="str">
        <x:v>เพชรปิยะซีฟู้ด</x:v>
      </x:c>
      <x:c r="C151" s="20" t="str">
        <x:v>นครศรีธรรมราช</x:v>
      </x:c>
      <x:c r="D151" s="20" t="str">
        <x:v>คงไว้ในชุด 600</x:v>
      </x:c>
      <x:c r="E151" s="20" t="str">
        <x:v>พบหลายแหล่งสัมพันธ์กับชื่อ รอยืนยันการเปิด</x:v>
      </x:c>
      <x:c r="F151" s="20" t="str">
        <x:v>ยังไม่ยืนยันการเปิดให้บริการปัจจุบัน</x:v>
      </x:c>
      <x:c r="G151" s="26" t="n">
        <x:v>2</x:v>
      </x:c>
      <x:c r="H151" s="23" t="str"/>
      <x:c r="I151" s="23" t="str"/>
      <x:c r="J151" s="23" t="e">
        <x:f>HYPERLINK("https://www.wongnai.com/reviews/f81a048ab3c94b1ca9ee8eb70aa52c83","เปิดหน้ารีวิว 1")</x:f>
        <x:v>HYPERLINK is not implemented. linkLocation=https://www.wongnai.com/reviews/f81a048ab3c94b1ca9ee8eb70aa52c83, friendlyName=เปิดหน้ารีวิว 1</x:v>
      </x:c>
      <x:c r="K151" s="23" t="str"/>
      <x:c r="L151" s="23" t="str"/>
      <x:c r="M151" s="23" t="str"/>
      <x:c r="N151" s="20" t="str">
        <x:v>ยังไม่ยืนยัน</x:v>
      </x:c>
      <x:c r="O15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51" s="25" t="n">
        <x:v>46315</x:v>
      </x:c>
      <x:c r="Q151" s="27" t="str">
        <x:v>ยังไม่ตรวจ</x:v>
      </x:c>
      <x:c r="R151" s="27" t="str">
        <x:v>รอติดต่อ</x:v>
      </x:c>
    </x:row>
    <x:row r="152" ht="76" customHeight="1">
      <x:c r="A152" s="24" t="str">
        <x:v>TMF-144</x:v>
      </x:c>
      <x:c r="B152" s="20" t="str">
        <x:v>Bed By Cruise Hotel at Samakkhi-Tivanont</x:v>
      </x:c>
      <x:c r="C152" s="20" t="str">
        <x:v>นนทบุรี</x:v>
      </x:c>
      <x:c r="D152" s="20" t="str">
        <x:v>คงไว้ในชุด 600</x:v>
      </x:c>
      <x:c r="E152" s="20" t="str">
        <x:v>พบหลายแหล่งสัมพันธ์กับชื่อ รอยืนยันการเปิด</x:v>
      </x:c>
      <x:c r="F152" s="20" t="str">
        <x:v>ยังไม่ยืนยันการเปิดให้บริการปัจจุบัน</x:v>
      </x:c>
      <x:c r="G152" s="26" t="n">
        <x:v>4</x:v>
      </x:c>
      <x:c r="H152" s="23" t="str"/>
      <x:c r="I152" s="23" t="str"/>
      <x:c r="J152" s="23" t="e">
        <x:f>HYPERLINK("https://www.booking.com/hotel/th/bed-by-cruise-samakkhi-tivanont.th.html","เปิดหน้ารีวิว 1")</x:f>
        <x:v>HYPERLINK is not implemented. linkLocation=https://www.booking.com/hotel/th/bed-by-cruise-samakkhi-tivanont.th.html, friendlyName=เปิดหน้ารีวิว 1</x:v>
      </x:c>
      <x:c r="K152" s="23" t="e">
        <x:f>HYPERLINK("https://www.booking.com/hotel/th/bed-by-cruise-samakkhi-tivanont.html","เปิดหน้ารีวิว 2")</x:f>
        <x:v>HYPERLINK is not implemented. linkLocation=https://www.booking.com/hotel/th/bed-by-cruise-samakkhi-tivanont.html, friendlyName=เปิดหน้ารีวิว 2</x:v>
      </x:c>
      <x:c r="L152" s="23" t="e">
        <x:f>HYPERLINK("https://www.hotel.com.au/nonthaburi/bed-by-cruise-hotel-at-samakkhi-tivanont.htm","เปิดเว็บเพิ่ม 1")</x:f>
        <x:v>HYPERLINK is not implemented. linkLocation=https://www.hotel.com.au/nonthaburi/bed-by-cruise-hotel-at-samakkhi-tivanont.htm, friendlyName=เปิดเว็บเพิ่ม 1</x:v>
      </x:c>
      <x:c r="M152" s="23" t="str"/>
      <x:c r="N152" s="20" t="str">
        <x:v>ยังไม่ยืนยัน</x:v>
      </x:c>
      <x:c r="O15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52" s="25" t="n">
        <x:v>46315</x:v>
      </x:c>
      <x:c r="Q152" s="27" t="str">
        <x:v>ยังไม่ตรวจ</x:v>
      </x:c>
      <x:c r="R152" s="27" t="str">
        <x:v>รอติดต่อ</x:v>
      </x:c>
    </x:row>
    <x:row r="153" ht="76" customHeight="1">
      <x:c r="A153" s="24" t="str">
        <x:v>TMF-145</x:v>
      </x:c>
      <x:c r="B153" s="20" t="str">
        <x:v>Ma Non Nont Hotel and Apartment</x:v>
      </x:c>
      <x:c r="C153" s="20" t="str">
        <x:v>นนทบุรี</x:v>
      </x:c>
      <x:c r="D153" s="20" t="str">
        <x:v>คงไว้ในชุด 600</x:v>
      </x:c>
      <x:c r="E153" s="20" t="str">
        <x:v>พบหลายแหล่งสัมพันธ์กับชื่อ รอยืนยันการเปิด</x:v>
      </x:c>
      <x:c r="F153" s="20" t="str">
        <x:v>ยังไม่ยืนยันการเปิดให้บริการปัจจุบัน</x:v>
      </x:c>
      <x:c r="G153" s="26" t="n">
        <x:v>4</x:v>
      </x:c>
      <x:c r="H153" s="23" t="str"/>
      <x:c r="I153" s="23" t="str"/>
      <x:c r="J153" s="23" t="e">
        <x:f>HYPERLINK("https://www.agoda.com/ma-non-nont-hotel-and-apartment/hotel/nonthaburi-th.html","เปิดหน้ารีวิว 1")</x:f>
        <x:v>HYPERLINK is not implemented. linkLocation=https://www.agoda.com/ma-non-nont-hotel-and-apartment/hotel/nonthaburi-th.html, friendlyName=เปิดหน้ารีวิว 1</x:v>
      </x:c>
      <x:c r="K153" s="23" t="e">
        <x:f>HYPERLINK("https://www.agoda.com/ko-kr/ma-non-nont-hotel-and-apartment/hotel/nonthaburi-th.html","เปิดหน้ารีวิว 2")</x:f>
        <x:v>HYPERLINK is not implemented. linkLocation=https://www.agoda.com/ko-kr/ma-non-nont-hotel-and-apartment/hotel/nonthaburi-th.html, friendlyName=เปิดหน้ารีวิว 2</x:v>
      </x:c>
      <x:c r="L153" s="23" t="e">
        <x:f>HYPERLINK("https://www.traveloka.com/en-my/hotel/thailand/ma-non-nont-hotel-and-apartment-1000000460764","เปิดเว็บเพิ่ม 1")</x:f>
        <x:v>HYPERLINK is not implemented. linkLocation=https://www.traveloka.com/en-my/hotel/thailand/ma-non-nont-hotel-and-apartment-1000000460764, friendlyName=เปิดเว็บเพิ่ม 1</x:v>
      </x:c>
      <x:c r="M153" s="23" t="e">
        <x:f>HYPERLINK("https://dinogo.com/hotels/20848-ma-non-nont-hotel-and-apartment-suites","เปิดเว็บเพิ่ม 2")</x:f>
        <x:v>HYPERLINK is not implemented. linkLocation=https://dinogo.com/hotels/20848-ma-non-nont-hotel-and-apartment-suites, friendlyName=เปิดเว็บเพิ่ม 2</x:v>
      </x:c>
      <x:c r="N153" s="20" t="str">
        <x:v>ยังไม่ยืนยัน</x:v>
      </x:c>
      <x:c r="O15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53" s="25" t="n">
        <x:v>46315</x:v>
      </x:c>
      <x:c r="Q153" s="27" t="str">
        <x:v>ยังไม่ตรวจ</x:v>
      </x:c>
      <x:c r="R153" s="27" t="str">
        <x:v>รอติดต่อ</x:v>
      </x:c>
    </x:row>
    <x:row r="154" ht="96" customHeight="1">
      <x:c r="A154" s="24" t="str">
        <x:v>TMF-146</x:v>
      </x:c>
      <x:c r="B154" s="20" t="str">
        <x:v>Arnani Cafe X Burger Kitor</x:v>
      </x:c>
      <x:c r="C154" s="20" t="str">
        <x:v>นนทบุรี</x:v>
      </x:c>
      <x:c r="D154" s="20" t="str">
        <x:v>คงไว้ในชุด 600</x:v>
      </x:c>
      <x:c r="E154" s="20" t="str">
        <x:v>หลักฐานไม่พอ รอยืนยันการเปิด</x:v>
      </x:c>
      <x:c r="F154" s="20" t="str">
        <x:v>ยังไม่ยืนยันการเปิดให้บริการปัจจุบัน</x:v>
      </x:c>
      <x:c r="G154" s="26" t="n">
        <x:v>1</x:v>
      </x:c>
      <x:c r="H154" s="23" t="str"/>
      <x:c r="I154" s="23" t="str"/>
      <x:c r="J154" s="23" t="str"/>
      <x:c r="K154" s="23" t="str"/>
      <x:c r="L154" s="23" t="str"/>
      <x:c r="M154" s="23" t="str"/>
      <x:c r="N154" s="20" t="str">
        <x:v>ยังไม่ยืนยัน</x:v>
      </x:c>
      <x:c r="O15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54" s="25" t="n">
        <x:v>46315</x:v>
      </x:c>
      <x:c r="Q154" s="27" t="str">
        <x:v>ยังไม่ตรวจ</x:v>
      </x:c>
      <x:c r="R154" s="27" t="str">
        <x:v>รอติดต่อ</x:v>
      </x:c>
    </x:row>
    <x:row r="155" ht="76" customHeight="1">
      <x:c r="A155" s="24" t="str">
        <x:v>TMF-147</x:v>
      </x:c>
      <x:c r="B155" s="20" t="str">
        <x:v>Butcher boy บุฟเฟ่ต์เนื้อดรายเอจ สาขา ราชพฤกษ์</x:v>
      </x:c>
      <x:c r="C155" s="20" t="str">
        <x:v>นนทบุรี</x:v>
      </x:c>
      <x:c r="D155" s="20" t="str">
        <x:v>คงไว้ในชุด 600</x:v>
      </x:c>
      <x:c r="E155" s="20" t="str">
        <x:v>พบหลายแหล่งสัมพันธ์กับชื่อ รอยืนยันการเปิด</x:v>
      </x:c>
      <x:c r="F155" s="20" t="str">
        <x:v>ยังไม่ยืนยันการเปิดให้บริการปัจจุบัน</x:v>
      </x:c>
      <x:c r="G155" s="26" t="n">
        <x:v>3</x:v>
      </x:c>
      <x:c r="H155" s="23" t="e">
        <x:f>HYPERLINK("https://www.facebook.com/porchanchim/","เปิดช่องทาง 1")</x:f>
        <x:v>HYPERLINK is not implemented. linkLocation=https://www.facebook.com/porchanchim/, friendlyName=เปิดช่องทาง 1</x:v>
      </x:c>
      <x:c r="I155" s="23" t="str"/>
      <x:c r="J155" s="23" t="e">
        <x:f>HYPERLINK("https://www.wongnai.com/reviews/317f976a39784e4d8f91194c4b56ef93","เปิดหน้ารีวิว 1")</x:f>
        <x:v>HYPERLINK is not implemented. linkLocation=https://www.wongnai.com/reviews/317f976a39784e4d8f91194c4b56ef93, friendlyName=เปิดหน้ารีวิว 1</x:v>
      </x:c>
      <x:c r="K155" s="23" t="e">
        <x:f>HYPERLINK("https://www.wongnai.com/restaurants/3368982HP-butcher-boy-%E0%B8%AA%E0%B8%B2%E0%B8%8A%E0%B8%B2%E0%B8%A3%E0%B8%B2%E0%B8%8A%E0%B8%9E%E0%B8%A4%E0%B8%81%E0%B8%A9%E0%B9%8C-%E0%B9%82%E0%B8%AE%E0%B8%A1%E0%B9%82%E0%B8%9B%E0%B8%A3-%E0%B8%A3%E0%B8%B2%E0%B8%8A%E0%B8%9E%E0%B8%A4%E0%B8%81%E0%B8%A9%E0%B9%8C","เปิดหน้ารีวิว 2")</x:f>
        <x:v>HYPERLINK is not implemented. linkLocation=https://www.wongnai.com/restaurants/3368982HP-butcher-boy-%E0%B8%AA%E0%B8%B2%E0%B8%8A%E0%B8%B2%E0%B8%A3%E0%B8%B2%E0%B8%8A%E0%B8%9E%E0%B8%A4%E0%B8%81%E0%B8%A9%E0%B9%8C-%E0%B9%82%E0%B8%AE%E0%B8%A1%E0%B9%82%E0%B8%9B%E0%B8%A3-%E0%B8%A3%E0%B8%B2%E0%B8%8A%E0%B8%9E%E0%B8%A4%E0%B8%81%E0%B8%A9%E0%B9%8C, friendlyName=เปิดหน้ารีวิว 2</x:v>
      </x:c>
      <x:c r="L155" s="23" t="str"/>
      <x:c r="M155" s="23" t="str"/>
      <x:c r="N155" s="20" t="str">
        <x:v>ยังไม่ยืนยัน</x:v>
      </x:c>
      <x:c r="O155" s="20" t="str">
        <x:v>ยังไม่ยืนยันวันที่โพสต์/รีวิวล่าสุดและการเปิดให้บริการปัจจุบัน</x:v>
      </x:c>
      <x:c r="P155" s="25" t="n">
        <x:v>46315</x:v>
      </x:c>
      <x:c r="Q155" s="27" t="str">
        <x:v>ยังไม่ตรวจ</x:v>
      </x:c>
      <x:c r="R155" s="27" t="str">
        <x:v>รอติดต่อ</x:v>
      </x:c>
    </x:row>
    <x:row r="156" ht="76" customHeight="1">
      <x:c r="A156" s="24" t="str">
        <x:v>TMF-148</x:v>
      </x:c>
      <x:c r="B156" s="20" t="str">
        <x:v>C-Kids Village</x:v>
      </x:c>
      <x:c r="C156" s="20" t="str">
        <x:v>นนทบุรี</x:v>
      </x:c>
      <x:c r="D156" s="20" t="str">
        <x:v>คงไว้ในชุด 600</x:v>
      </x:c>
      <x:c r="E156" s="20" t="str">
        <x:v>พบหลายแหล่งสัมพันธ์กับชื่อ รอยืนยันการเปิด</x:v>
      </x:c>
      <x:c r="F156" s="20" t="str">
        <x:v>ยังไม่ยืนยันการเปิดให้บริการปัจจุบัน</x:v>
      </x:c>
      <x:c r="G156" s="26" t="n">
        <x:v>4</x:v>
      </x:c>
      <x:c r="H156" s="23" t="e">
        <x:f>HYPERLINK("https://lin.ee/G6vjyuI","เปิดช่องทาง 1")</x:f>
        <x:v>HYPERLINK is not implemented. linkLocation=https://lin.ee/G6vjyuI, friendlyName=เปิดช่องทาง 1</x:v>
      </x:c>
      <x:c r="I156" s="23" t="str"/>
      <x:c r="J156" s="23" t="e">
        <x:f>HYPERLINK("https://www.lemon8-app.com/%40polivenaka05/7529524243144065554?region=th","เปิดหน้ารีวิว 1")</x:f>
        <x:v>HYPERLINK is not implemented. linkLocation=https://www.lemon8-app.com/%40polivenaka05/7529524243144065554?region=th, friendlyName=เปิดหน้ารีวิว 1</x:v>
      </x:c>
      <x:c r="K156" s="23" t="e">
        <x:f>HYPERLINK("https://www.wongnai.com/restaurants/2834819HC-%E0%B8%AB%E0%B8%A3%E0%B8%AD%E0%B8%A2%E0%B8%AB%E0%B8%99%E0%B8%B1%E0%B8%94-roinat-halal-restaurants-%E0%B8%A3%E0%B8%B2%E0%B8%A1%E0%B8%84%E0%B8%B3%E0%B9%81%E0%B8%AB%E0%B8%8753","เปิดหน้ารีวิว 2")</x:f>
        <x:v>HYPERLINK is not implemented. linkLocation=https://www.wongnai.com/restaurants/2834819HC-%E0%B8%AB%E0%B8%A3%E0%B8%AD%E0%B8%A2%E0%B8%AB%E0%B8%99%E0%B8%B1%E0%B8%94-roinat-halal-restaurants-%E0%B8%A3%E0%B8%B2%E0%B8%A1%E0%B8%84%E0%B8%B3%E0%B9%81%E0%B8%AB%E0%B8%8753, friendlyName=เปิดหน้ารีวิว 2</x:v>
      </x:c>
      <x:c r="L156" s="23" t="e">
        <x:f>HYPERLINK("https://notes.tiktok.com/%40i.iamde3/7608949029306171922?region=th","เปิดเว็บเพิ่ม 1")</x:f>
        <x:v>HYPERLINK is not implemented. linkLocation=https://notes.tiktok.com/%40i.iamde3/7608949029306171922?region=th, friendlyName=เปิดเว็บเพิ่ม 1</x:v>
      </x:c>
      <x:c r="M156" s="23" t="str"/>
      <x:c r="N156" s="20" t="str">
        <x:v>ยังไม่ยืนยัน</x:v>
      </x:c>
      <x:c r="O156" s="20" t="str">
        <x:v>ยังไม่ยืนยันวันที่โพสต์/รีวิวล่าสุดและการเปิดให้บริการปัจจุบัน</x:v>
      </x:c>
      <x:c r="P156" s="25" t="n">
        <x:v>46315</x:v>
      </x:c>
      <x:c r="Q156" s="27" t="str">
        <x:v>ยังไม่ตรวจ</x:v>
      </x:c>
      <x:c r="R156" s="27" t="str">
        <x:v>รอติดต่อ</x:v>
      </x:c>
    </x:row>
    <x:row r="157" ht="76" customHeight="1">
      <x:c r="A157" s="24" t="str">
        <x:v>TMF-149</x:v>
      </x:c>
      <x:c r="B157" s="20" t="str">
        <x:v>Churn Dimsum Halal</x:v>
      </x:c>
      <x:c r="C157" s="20" t="str">
        <x:v>นนทบุรี</x:v>
      </x:c>
      <x:c r="D157" s="20" t="str">
        <x:v>คงไว้ในชุด 600</x:v>
      </x:c>
      <x:c r="E157" s="20" t="str">
        <x:v>พบหลายแหล่งสัมพันธ์กับชื่อ รอยืนยันการเปิด</x:v>
      </x:c>
      <x:c r="F157" s="20" t="str">
        <x:v>ยังไม่ยืนยันการเปิดให้บริการปัจจุบัน</x:v>
      </x:c>
      <x:c r="G157" s="26" t="n">
        <x:v>4</x:v>
      </x:c>
      <x:c r="H157" s="23" t="str"/>
      <x:c r="I157" s="23" t="str"/>
      <x:c r="J157" s="23" t="e">
        <x:f>HYPERLINK("https://www.wongnai.com/restaurants/3015524KQ-churn-dimsum-halal-%E0%B9%80%E0%B8%8A%E0%B8%B4%E0%B8%8D-%E0%B8%95%E0%B8%B4%E0%B9%88%E0%B8%A1%E0%B8%8B%E0%B8%B3-%E0%B8%AE%E0%B8%B2%E0%B8%A5%E0%B8%B2%E0%B8%A5","เปิดหน้ารีวิว 1")</x:f>
        <x:v>HYPERLINK is not implemented. linkLocation=https://www.wongnai.com/restaurants/3015524KQ-churn-dimsum-halal-%E0%B9%80%E0%B8%8A%E0%B8%B4%E0%B8%8D-%E0%B8%95%E0%B8%B4%E0%B9%88%E0%B8%A1%E0%B8%8B%E0%B8%B3-%E0%B8%AE%E0%B8%B2%E0%B8%A5%E0%B8%B2%E0%B8%A5, friendlyName=เปิดหน้ารีวิว 1</x:v>
      </x:c>
      <x:c r="K157" s="23" t="e">
        <x:f>HYPERLINK("https://www.lemon8-app.com/%40pennapazaza/7474611318146777616?region=th","เปิดหน้ารีวิว 2")</x:f>
        <x:v>HYPERLINK is not implemented. linkLocation=https://www.lemon8-app.com/%40pennapazaza/7474611318146777616?region=th, friendlyName=เปิดหน้ารีวิว 2</x:v>
      </x:c>
      <x:c r="L157" s="23" t="e">
        <x:f>HYPERLINK("https://salaamthailand.com/en/place/halal-food-churn-dimsum-halal-%E0%B9%80%E0%B8%8A%E0%B8%B4%E0%B8%8D-%E0%B8%95%E0%B8%B4%E0%B9%88%E0%B8%A1%E0%B8%8B%E0%B9%8D%E0%B8%B2-%E0%B8%AE%E0%B8%B2%E0%B8%A5%E0%B8%B2%E0%B8%A5-dorvt4/","เปิดเว็บเพิ่ม 1")</x:f>
        <x:v>HYPERLINK is not implemented. linkLocation=https://salaamthailand.com/en/place/halal-food-churn-dimsum-halal-%E0%B9%80%E0%B8%8A%E0%B8%B4%E0%B8%8D-%E0%B8%95%E0%B8%B4%E0%B9%88%E0%B8%A1%E0%B8%8B%E0%B9%8D%E0%B8%B2-%E0%B8%AE%E0%B8%B2%E0%B8%A5%E0%B8%B2%E0%B8%A5-dorvt4/, friendlyName=เปิดเว็บเพิ่ม 1</x:v>
      </x:c>
      <x:c r="M157" s="23" t="str"/>
      <x:c r="N157" s="20" t="str">
        <x:v>ยังไม่ยืนยัน</x:v>
      </x:c>
      <x:c r="O15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57" s="25" t="n">
        <x:v>46315</x:v>
      </x:c>
      <x:c r="Q157" s="27" t="str">
        <x:v>ยังไม่ตรวจ</x:v>
      </x:c>
      <x:c r="R157" s="27" t="str">
        <x:v>รอติดต่อ</x:v>
      </x:c>
    </x:row>
    <x:row r="158" ht="76" customHeight="1">
      <x:c r="A158" s="24" t="str">
        <x:v>TMF-150</x:v>
      </x:c>
      <x:c r="B158" s="20" t="str">
        <x:v>Ikhlas House ครัวบ้านอิคลาส</x:v>
      </x:c>
      <x:c r="C158" s="20" t="str">
        <x:v>นนทบุรี</x:v>
      </x:c>
      <x:c r="D158" s="20" t="str">
        <x:v>คงไว้ในชุด 600</x:v>
      </x:c>
      <x:c r="E158" s="20" t="str">
        <x:v>พบหลายแหล่งสัมพันธ์กับชื่อ รอยืนยันการเปิด</x:v>
      </x:c>
      <x:c r="F158" s="20" t="str">
        <x:v>ยังไม่ยืนยันการเปิดให้บริการปัจจุบัน</x:v>
      </x:c>
      <x:c r="G158" s="26" t="n">
        <x:v>2</x:v>
      </x:c>
      <x:c r="H158" s="23" t="str"/>
      <x:c r="I158" s="23" t="str"/>
      <x:c r="J158" s="23" t="e">
        <x:f>HYPERLINK("https://www.wongnai.com/restaurants/594950NG-ikhlas-house-%E0%B8%84%E0%B8%A3%E0%B8%B1%E0%B8%A7%E0%B8%9A%E0%B9%89%E0%B8%B2%E0%B8%99%E0%B8%AD%E0%B8%B4%E0%B8%84%E0%B8%A5%E0%B8%B2%E0%B8%AA","เปิดหน้ารีวิว 1")</x:f>
        <x:v>HYPERLINK is not implemented. linkLocation=https://www.wongnai.com/restaurants/594950NG-ikhlas-house-%E0%B8%84%E0%B8%A3%E0%B8%B1%E0%B8%A7%E0%B8%9A%E0%B9%89%E0%B8%B2%E0%B8%99%E0%B8%AD%E0%B8%B4%E0%B8%84%E0%B8%A5%E0%B8%B2%E0%B8%AA, friendlyName=เปิดหน้ารีวิว 1</x:v>
      </x:c>
      <x:c r="K158" s="23" t="str"/>
      <x:c r="L158" s="23" t="str"/>
      <x:c r="M158" s="23" t="str"/>
      <x:c r="N158" s="20" t="str">
        <x:v>ยังไม่ยืนยัน</x:v>
      </x:c>
      <x:c r="O15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58" s="25" t="n">
        <x:v>46315</x:v>
      </x:c>
      <x:c r="Q158" s="27" t="str">
        <x:v>ยังไม่ตรวจ</x:v>
      </x:c>
      <x:c r="R158" s="27" t="str">
        <x:v>รอติดต่อ</x:v>
      </x:c>
    </x:row>
    <x:row r="159" ht="96" customHeight="1">
      <x:c r="A159" s="24" t="str">
        <x:v>TMF-151</x:v>
      </x:c>
      <x:c r="B159" s="20" t="str">
        <x:v>Intania Home</x:v>
      </x:c>
      <x:c r="C159" s="20" t="str">
        <x:v>นนทบุรี</x:v>
      </x:c>
      <x:c r="D159" s="20" t="str">
        <x:v>คงไว้ในชุด 600</x:v>
      </x:c>
      <x:c r="E159" s="20" t="str">
        <x:v>หลักฐานไม่พอ รอยืนยันการเปิด</x:v>
      </x:c>
      <x:c r="F159" s="20" t="str">
        <x:v>ยังไม่ยืนยันการเปิดให้บริการปัจจุบัน</x:v>
      </x:c>
      <x:c r="G159" s="26" t="n">
        <x:v>1</x:v>
      </x:c>
      <x:c r="H159" s="23" t="str"/>
      <x:c r="I159" s="23" t="str"/>
      <x:c r="J159" s="23" t="str"/>
      <x:c r="K159" s="23" t="str"/>
      <x:c r="L159" s="23" t="str"/>
      <x:c r="M159" s="23" t="str"/>
      <x:c r="N159" s="20" t="str">
        <x:v>ยังไม่ยืนยัน</x:v>
      </x:c>
      <x:c r="O15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59" s="25" t="n">
        <x:v>46315</x:v>
      </x:c>
      <x:c r="Q159" s="27" t="str">
        <x:v>ยังไม่ตรวจ</x:v>
      </x:c>
      <x:c r="R159" s="27" t="str">
        <x:v>รอติดต่อ</x:v>
      </x:c>
    </x:row>
    <x:row r="160" ht="96" customHeight="1">
      <x:c r="A160" s="24" t="str">
        <x:v>TMF-152</x:v>
      </x:c>
      <x:c r="B160" s="20" t="str">
        <x:v>Labani</x:v>
      </x:c>
      <x:c r="C160" s="20" t="str">
        <x:v>นนทบุรี</x:v>
      </x:c>
      <x:c r="D160" s="20" t="str">
        <x:v>คงไว้ในชุด 600</x:v>
      </x:c>
      <x:c r="E160" s="20" t="str">
        <x:v>หลักฐานไม่พอ รอยืนยันการเปิด</x:v>
      </x:c>
      <x:c r="F160" s="20" t="str">
        <x:v>ยังไม่ยืนยันการเปิดให้บริการปัจจุบัน</x:v>
      </x:c>
      <x:c r="G160" s="26" t="n">
        <x:v>1</x:v>
      </x:c>
      <x:c r="H160" s="23" t="str"/>
      <x:c r="I160" s="23" t="str"/>
      <x:c r="J160" s="23" t="str"/>
      <x:c r="K160" s="23" t="str"/>
      <x:c r="L160" s="23" t="str"/>
      <x:c r="M160" s="23" t="str"/>
      <x:c r="N160" s="20" t="str">
        <x:v>ยังไม่ยืนยัน</x:v>
      </x:c>
      <x:c r="O16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60" s="25" t="n">
        <x:v>46315</x:v>
      </x:c>
      <x:c r="Q160" s="27" t="str">
        <x:v>ยังไม่ตรวจ</x:v>
      </x:c>
      <x:c r="R160" s="27" t="str">
        <x:v>รอติดต่อ</x:v>
      </x:c>
    </x:row>
    <x:row r="161" ht="96" customHeight="1">
      <x:c r="A161" s="24" t="str">
        <x:v>TMF-153</x:v>
      </x:c>
      <x:c r="B161" s="20" t="str">
        <x:v>Lawang cafe"&amp; Bistro</x:v>
      </x:c>
      <x:c r="C161" s="20" t="str">
        <x:v>นนทบุรี</x:v>
      </x:c>
      <x:c r="D161" s="20" t="str">
        <x:v>คงไว้ในชุด 600</x:v>
      </x:c>
      <x:c r="E161" s="20" t="str">
        <x:v>หลักฐานไม่พอ รอยืนยันการเปิด</x:v>
      </x:c>
      <x:c r="F161" s="20" t="str">
        <x:v>ยังไม่ยืนยันการเปิดให้บริการปัจจุบัน</x:v>
      </x:c>
      <x:c r="G161" s="26" t="n">
        <x:v>1</x:v>
      </x:c>
      <x:c r="H161" s="23" t="str"/>
      <x:c r="I161" s="23" t="str"/>
      <x:c r="J161" s="23" t="str"/>
      <x:c r="K161" s="23" t="str"/>
      <x:c r="L161" s="23" t="str"/>
      <x:c r="M161" s="23" t="str"/>
      <x:c r="N161" s="20" t="str">
        <x:v>ยังไม่ยืนยัน</x:v>
      </x:c>
      <x:c r="O16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61" s="25" t="n">
        <x:v>46315</x:v>
      </x:c>
      <x:c r="Q161" s="27" t="str">
        <x:v>ยังไม่ตรวจ</x:v>
      </x:c>
      <x:c r="R161" s="27" t="str">
        <x:v>รอติดต่อ</x:v>
      </x:c>
    </x:row>
    <x:row r="162" ht="76" customHeight="1">
      <x:c r="A162" s="24" t="str">
        <x:v>TMF-154</x:v>
      </x:c>
      <x:c r="B162" s="20" t="str">
        <x:v>M's Flame Burger</x:v>
      </x:c>
      <x:c r="C162" s="20" t="str">
        <x:v>นนทบุรี</x:v>
      </x:c>
      <x:c r="D162" s="20" t="str">
        <x:v>คงไว้ในชุด 600</x:v>
      </x:c>
      <x:c r="E162" s="20" t="str">
        <x:v>พบหลายแหล่งสัมพันธ์กับชื่อ รอยืนยันการเปิด</x:v>
      </x:c>
      <x:c r="F162" s="20" t="str">
        <x:v>ยังไม่ยืนยันการเปิดให้บริการปัจจุบัน</x:v>
      </x:c>
      <x:c r="G162" s="26" t="n">
        <x:v>2</x:v>
      </x:c>
      <x:c r="H162" s="23" t="str"/>
      <x:c r="I162" s="23" t="str"/>
      <x:c r="J162" s="23" t="str"/>
      <x:c r="K162" s="23" t="str"/>
      <x:c r="L162" s="23" t="e">
        <x:f>HYPERLINK("https://salaamthailand.com/id/place/halal-burger-mflame-dzk-ki/","เปิดเว็บเพิ่ม 1")</x:f>
        <x:v>HYPERLINK is not implemented. linkLocation=https://salaamthailand.com/id/place/halal-burger-mflame-dzk-ki/, friendlyName=เปิดเว็บเพิ่ม 1</x:v>
      </x:c>
      <x:c r="M162" s="23" t="str"/>
      <x:c r="N162" s="20" t="str">
        <x:v>ยังไม่ยืนยัน</x:v>
      </x:c>
      <x:c r="O162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62" s="25" t="n">
        <x:v>46315</x:v>
      </x:c>
      <x:c r="Q162" s="27" t="str">
        <x:v>ยังไม่ตรวจ</x:v>
      </x:c>
      <x:c r="R162" s="27" t="str">
        <x:v>รอติดต่อ</x:v>
      </x:c>
    </x:row>
    <x:row r="163" ht="96" customHeight="1">
      <x:c r="A163" s="24" t="str">
        <x:v>TMF-155</x:v>
      </x:c>
      <x:c r="B163" s="20" t="str">
        <x:v>Maldi thai</x:v>
      </x:c>
      <x:c r="C163" s="20" t="str">
        <x:v>นนทบุรี</x:v>
      </x:c>
      <x:c r="D163" s="20" t="str">
        <x:v>คงไว้ในชุด 600</x:v>
      </x:c>
      <x:c r="E163" s="20" t="str">
        <x:v>หลักฐานไม่พอ รอยืนยันการเปิด</x:v>
      </x:c>
      <x:c r="F163" s="20" t="str">
        <x:v>ยังไม่ยืนยันการเปิดให้บริการปัจจุบัน</x:v>
      </x:c>
      <x:c r="G163" s="26" t="n">
        <x:v>1</x:v>
      </x:c>
      <x:c r="H163" s="23" t="str"/>
      <x:c r="I163" s="23" t="str"/>
      <x:c r="J163" s="23" t="str"/>
      <x:c r="K163" s="23" t="str"/>
      <x:c r="L163" s="23" t="str"/>
      <x:c r="M163" s="23" t="str"/>
      <x:c r="N163" s="20" t="str">
        <x:v>ยังไม่ยืนยัน</x:v>
      </x:c>
      <x:c r="O16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63" s="25" t="n">
        <x:v>46315</x:v>
      </x:c>
      <x:c r="Q163" s="27" t="str">
        <x:v>ยังไม่ตรวจ</x:v>
      </x:c>
      <x:c r="R163" s="27" t="str">
        <x:v>รอติดต่อ</x:v>
      </x:c>
    </x:row>
    <x:row r="164" ht="96" customHeight="1">
      <x:c r="A164" s="24" t="str">
        <x:v>TMF-156</x:v>
      </x:c>
      <x:c r="B164" s="20" t="str">
        <x:v>Moozna เนื้อย่างโคขุน สาขาซอยวากั๊ฟ</x:v>
      </x:c>
      <x:c r="C164" s="20" t="str">
        <x:v>นนทบุรี</x:v>
      </x:c>
      <x:c r="D164" s="20" t="str">
        <x:v>คงไว้ในชุด 600</x:v>
      </x:c>
      <x:c r="E164" s="20" t="str">
        <x:v>หลักฐานไม่พอ รอยืนยันการเปิด</x:v>
      </x:c>
      <x:c r="F164" s="20" t="str">
        <x:v>ยังไม่ยืนยันการเปิดให้บริการปัจจุบัน</x:v>
      </x:c>
      <x:c r="G164" s="26" t="n">
        <x:v>1</x:v>
      </x:c>
      <x:c r="H164" s="23" t="str"/>
      <x:c r="I164" s="23" t="str"/>
      <x:c r="J164" s="23" t="str"/>
      <x:c r="K164" s="23" t="str"/>
      <x:c r="L164" s="23" t="str"/>
      <x:c r="M164" s="23" t="str"/>
      <x:c r="N164" s="20" t="str">
        <x:v>ยังไม่ยืนยัน</x:v>
      </x:c>
      <x:c r="O16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64" s="25" t="n">
        <x:v>46315</x:v>
      </x:c>
      <x:c r="Q164" s="27" t="str">
        <x:v>ยังไม่ตรวจ</x:v>
      </x:c>
      <x:c r="R164" s="27" t="str">
        <x:v>รอติดต่อ</x:v>
      </x:c>
    </x:row>
    <x:row r="165" ht="76" customHeight="1">
      <x:c r="A165" s="24" t="str">
        <x:v>TMF-157</x:v>
      </x:c>
      <x:c r="B165" s="20" t="str">
        <x:v>OUR TIME CAFE</x:v>
      </x:c>
      <x:c r="C165" s="20" t="str">
        <x:v>นนทบุรี</x:v>
      </x:c>
      <x:c r="D165" s="20" t="str">
        <x:v>คงไว้ในชุด 600</x:v>
      </x:c>
      <x:c r="E165" s="20" t="str">
        <x:v>พบหลายแหล่งสัมพันธ์กับชื่อ รอยืนยันการเปิด</x:v>
      </x:c>
      <x:c r="F165" s="20" t="str">
        <x:v>ยังไม่ยืนยันการเปิดให้บริการปัจจุบัน</x:v>
      </x:c>
      <x:c r="G165" s="26" t="n">
        <x:v>2</x:v>
      </x:c>
      <x:c r="H165" s="23" t="str"/>
      <x:c r="I165" s="23" t="str"/>
      <x:c r="J165" s="23" t="e">
        <x:f>HYPERLINK("https://restaurantguru.com/Our-time-Cafe-Tha-It-Nonthaburi","เปิดหน้ารีวิว 1")</x:f>
        <x:v>HYPERLINK is not implemented. linkLocation=https://restaurantguru.com/Our-time-Cafe-Tha-It-Nonthaburi, friendlyName=เปิดหน้ารีวิว 1</x:v>
      </x:c>
      <x:c r="K165" s="23" t="str"/>
      <x:c r="L165" s="23" t="str"/>
      <x:c r="M165" s="23" t="str"/>
      <x:c r="N165" s="20" t="str">
        <x:v>ยังไม่ยืนยัน</x:v>
      </x:c>
      <x:c r="O16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65" s="25" t="n">
        <x:v>46315</x:v>
      </x:c>
      <x:c r="Q165" s="27" t="str">
        <x:v>ยังไม่ตรวจ</x:v>
      </x:c>
      <x:c r="R165" s="27" t="str">
        <x:v>รอติดต่อ</x:v>
      </x:c>
    </x:row>
    <x:row r="166" ht="76" customHeight="1">
      <x:c r="A166" s="24" t="str">
        <x:v>TMF-158</x:v>
      </x:c>
      <x:c r="B166" s="20" t="str">
        <x:v>Regent Ngamwongwan</x:v>
      </x:c>
      <x:c r="C166" s="20" t="str">
        <x:v>นนทบุรี</x:v>
      </x:c>
      <x:c r="D166" s="20" t="str">
        <x:v>คงไว้ในชุด 600</x:v>
      </x:c>
      <x:c r="E166" s="20" t="str">
        <x:v>พบหลายแหล่งสัมพันธ์กับชื่อ รอยืนยันการเปิด</x:v>
      </x:c>
      <x:c r="F166" s="20" t="str">
        <x:v>ยังไม่ยืนยันการเปิดให้บริการปัจจุบัน</x:v>
      </x:c>
      <x:c r="G166" s="26" t="n">
        <x:v>9</x:v>
      </x:c>
      <x:c r="H166" s="23" t="str"/>
      <x:c r="I166" s="23" t="str"/>
      <x:c r="J166" s="23" t="e">
        <x:f>HYPERLINK("https://www.booking.com/hotel/th/regent-ngamwongwan.th.html","เปิดหน้ารีวิว 1")</x:f>
        <x:v>HYPERLINK is not implemented. linkLocation=https://www.booking.com/hotel/th/regent-ngamwongwan.th.html, friendlyName=เปิดหน้ารีวิว 1</x:v>
      </x:c>
      <x:c r="K166" s="23" t="e">
        <x:f>HYPERLINK("https://www.booking.com/hotel/th/regent-ngamwongwan.html","เปิดหน้ารีวิว 2")</x:f>
        <x:v>HYPERLINK is not implemented. linkLocation=https://www.booking.com/hotel/th/regent-ngamwongwan.html, friendlyName=เปิดหน้ารีวิว 2</x:v>
      </x:c>
      <x:c r="L166" s="23" t="e">
        <x:f>HYPERLINK("https://www.thaithurkic.com/regent-ngamwongwan_1s-083-305-7679","เปิดเว็บเพิ่ม 1")</x:f>
        <x:v>HYPERLINK is not implemented. linkLocation=https://www.thaithurkic.com/regent-ngamwongwan_1s-083-305-7679, friendlyName=เปิดเว็บเพิ่ม 1</x:v>
      </x:c>
      <x:c r="M166" s="23" t="e">
        <x:f>HYPERLINK("https://www.hotelscombined.com/Hotel/Regent_Ngamwongwan.htm","เปิดเว็บเพิ่ม 2")</x:f>
        <x:v>HYPERLINK is not implemented. linkLocation=https://www.hotelscombined.com/Hotel/Regent_Ngamwongwan.htm, friendlyName=เปิดเว็บเพิ่ม 2</x:v>
      </x:c>
      <x:c r="N166" s="20" t="str">
        <x:v>ยังไม่ยืนยัน</x:v>
      </x:c>
      <x:c r="O16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66" s="25" t="n">
        <x:v>46315</x:v>
      </x:c>
      <x:c r="Q166" s="27" t="str">
        <x:v>ยังไม่ตรวจ</x:v>
      </x:c>
      <x:c r="R166" s="27" t="str">
        <x:v>รอติดต่อ</x:v>
      </x:c>
    </x:row>
    <x:row r="167" ht="76" customHeight="1">
      <x:c r="A167" s="24" t="str">
        <x:v>TMF-159</x:v>
      </x:c>
      <x:c r="B167" s="20" t="str">
        <x:v>Tonnam Cafe</x:v>
      </x:c>
      <x:c r="C167" s="20" t="str">
        <x:v>นนทบุรี</x:v>
      </x:c>
      <x:c r="D167" s="20" t="str">
        <x:v>คงไว้ในชุด 600</x:v>
      </x:c>
      <x:c r="E167" s="20" t="str">
        <x:v>พบหลายแหล่งสัมพันธ์กับชื่อ รอยืนยันการเปิด</x:v>
      </x:c>
      <x:c r="F167" s="20" t="str">
        <x:v>ยังไม่ยืนยันการเปิดให้บริการปัจจุบัน</x:v>
      </x:c>
      <x:c r="G167" s="26" t="n">
        <x:v>2</x:v>
      </x:c>
      <x:c r="H167" s="23" t="str"/>
      <x:c r="I167" s="23" t="str"/>
      <x:c r="J167" s="23" t="e">
        <x:f>HYPERLINK("https://www.wongnai.com/restaurants/2557135Lv-tonnam-cafe-bakery-halal","เปิดหน้ารีวิว 1")</x:f>
        <x:v>HYPERLINK is not implemented. linkLocation=https://www.wongnai.com/restaurants/2557135Lv-tonnam-cafe-bakery-halal, friendlyName=เปิดหน้ารีวิว 1</x:v>
      </x:c>
      <x:c r="K167" s="23" t="e">
        <x:f>HYPERLINK("https://www.wongnai.com/restaurants/2557135Lv-%E0%B9%82%E0%B8%95%E0%B9%8A%E0%B8%B0%E0%B8%A5%E0%B8%B0%E0%B8%AB%E0%B9%8C-%E0%B8%A5%E0%B8%B9%E0%B8%81%E0%B8%8A%E0%B8%B4%E0%B9%89%E0%B8%99%E0%B8%97%E0%B8%AD%E0%B8%94-%E0%B9%80%E0%B8%95%E0%B9%89%E0%B8%B2%E0%B8%AB%E0%B8%B9%E0%B9%89-%E0%B8%9B%E0%B8%AD%E0%B9%80%E0%B8%9B%E0%B8%B5%E0%B9%8A%E0%B8%A2%E0%B8%B0%E0%B8%97%E0%B8%AD%E0%B8%94-%E0%B8%AE%E0%B8%B2%E0%B8%A5%E0%B9%89%E0%B8%B2%E0%B8%A5","เปิดหน้ารีวิว 2")</x:f>
        <x:v>HYPERLINK is not implemented. linkLocation=https://www.wongnai.com/restaurants/2557135Lv-%E0%B9%82%E0%B8%95%E0%B9%8A%E0%B8%B0%E0%B8%A5%E0%B8%B0%E0%B8%AB%E0%B9%8C-%E0%B8%A5%E0%B8%B9%E0%B8%81%E0%B8%8A%E0%B8%B4%E0%B9%89%E0%B8%99%E0%B8%97%E0%B8%AD%E0%B8%94-%E0%B9%80%E0%B8%95%E0%B9%89%E0%B8%B2%E0%B8%AB%E0%B8%B9%E0%B9%89-%E0%B8%9B%E0%B8%AD%E0%B9%80%E0%B8%9B%E0%B8%B5%E0%B9%8A%E0%B8%A2%E0%B8%B0%E0%B8%97%E0%B8%AD%E0%B8%94-%E0%B8%AE%E0%B8%B2%E0%B8%A5%E0%B9%89%E0%B8%B2%E0%B8%A5, friendlyName=เปิดหน้ารีวิว 2</x:v>
      </x:c>
      <x:c r="L167" s="23" t="str"/>
      <x:c r="M167" s="23" t="str"/>
      <x:c r="N167" s="20" t="str">
        <x:v>ยังไม่ยืนยัน</x:v>
      </x:c>
      <x:c r="O16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67" s="25" t="n">
        <x:v>46315</x:v>
      </x:c>
      <x:c r="Q167" s="27" t="str">
        <x:v>ยังไม่ตรวจ</x:v>
      </x:c>
      <x:c r="R167" s="27" t="str">
        <x:v>รอติดต่อ</x:v>
      </x:c>
    </x:row>
    <x:row r="168" ht="76" customHeight="1">
      <x:c r="A168" s="24" t="str">
        <x:v>TMF-160</x:v>
      </x:c>
      <x:c r="B168" s="20" t="str">
        <x:v>Zam.Cafe : Slowbar n' Specialty Coffee</x:v>
      </x:c>
      <x:c r="C168" s="20" t="str">
        <x:v>นนทบุรี</x:v>
      </x:c>
      <x:c r="D168" s="20" t="str">
        <x:v>คงไว้ในชุด 600</x:v>
      </x:c>
      <x:c r="E168" s="20" t="str">
        <x:v>พบหลายแหล่งสัมพันธ์กับชื่อ รอยืนยันการเปิด</x:v>
      </x:c>
      <x:c r="F168" s="20" t="str">
        <x:v>ยังไม่ยืนยันการเปิดให้บริการปัจจุบัน</x:v>
      </x:c>
      <x:c r="G168" s="26" t="n">
        <x:v>2</x:v>
      </x:c>
      <x:c r="H168" s="23" t="e">
        <x:f>HYPERLINK("http://tiktok.com/@zam.cafe","เปิดช่องทาง 1")</x:f>
        <x:v>HYPERLINK is not implemented. linkLocation=http://tiktok.com/@zam.cafe, friendlyName=เปิดช่องทาง 1</x:v>
      </x:c>
      <x:c r="I168" s="23" t="str"/>
      <x:c r="J168" s="23" t="str"/>
      <x:c r="K168" s="23" t="str"/>
      <x:c r="L168" s="23" t="e">
        <x:f>HYPERLINK("https://www.findglocal.com/TH/Nonthaburi/145270068677512/Zam.Cafe-%3A-Slowbar-n%27-Specialty-Coffee","เปิดเว็บเพิ่ม 1")</x:f>
        <x:v>HYPERLINK is not implemented. linkLocation=https://www.findglocal.com/TH/Nonthaburi/145270068677512/Zam.Cafe-%3A-Slowbar-n%27-Specialty-Coffee, friendlyName=เปิดเว็บเพิ่ม 1</x:v>
      </x:c>
      <x:c r="M168" s="23" t="str"/>
      <x:c r="N168" s="20" t="str">
        <x:v>ยังไม่ยืนยัน</x:v>
      </x:c>
      <x:c r="O168" s="20" t="str">
        <x:v>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68" s="25" t="n">
        <x:v>46315</x:v>
      </x:c>
      <x:c r="Q168" s="27" t="str">
        <x:v>ยังไม่ตรวจ</x:v>
      </x:c>
      <x:c r="R168" s="27" t="str">
        <x:v>รอติดต่อ</x:v>
      </x:c>
    </x:row>
    <x:row r="169" ht="96" customHeight="1">
      <x:c r="A169" s="24" t="str">
        <x:v>TMF-161</x:v>
      </x:c>
      <x:c r="B169" s="20" t="str">
        <x:v>salamah ข้าวขาวัว</x:v>
      </x:c>
      <x:c r="C169" s="20" t="str">
        <x:v>นนทบุรี</x:v>
      </x:c>
      <x:c r="D169" s="20" t="str">
        <x:v>คงไว้ในชุด 600</x:v>
      </x:c>
      <x:c r="E169" s="20" t="str">
        <x:v>หลักฐานไม่พอ รอยืนยันการเปิด</x:v>
      </x:c>
      <x:c r="F169" s="20" t="str">
        <x:v>ยังไม่ยืนยันการเปิดให้บริการปัจจุบัน</x:v>
      </x:c>
      <x:c r="G169" s="26" t="n">
        <x:v>1</x:v>
      </x:c>
      <x:c r="H169" s="23" t="str"/>
      <x:c r="I169" s="23" t="str"/>
      <x:c r="J169" s="23" t="str"/>
      <x:c r="K169" s="23" t="str"/>
      <x:c r="L169" s="23" t="str"/>
      <x:c r="M169" s="23" t="str"/>
      <x:c r="N169" s="20" t="str">
        <x:v>ยังไม่ยืนยัน</x:v>
      </x:c>
      <x:c r="O16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69" s="25" t="n">
        <x:v>46315</x:v>
      </x:c>
      <x:c r="Q169" s="27" t="str">
        <x:v>ยังไม่ตรวจ</x:v>
      </x:c>
      <x:c r="R169" s="27" t="str">
        <x:v>รอติดต่อ</x:v>
      </x:c>
    </x:row>
    <x:row r="170" ht="96" customHeight="1">
      <x:c r="A170" s="24" t="str">
        <x:v>TMF-162</x:v>
      </x:c>
      <x:c r="B170" s="20" t="str">
        <x:v>กะเพราพริกแห้ง ฮาลาล</x:v>
      </x:c>
      <x:c r="C170" s="20" t="str">
        <x:v>นนทบุรี</x:v>
      </x:c>
      <x:c r="D170" s="20" t="str">
        <x:v>คงไว้ในชุด 600</x:v>
      </x:c>
      <x:c r="E170" s="20" t="str">
        <x:v>หลักฐานไม่พอ รอยืนยันการเปิด</x:v>
      </x:c>
      <x:c r="F170" s="20" t="str">
        <x:v>ยังไม่ยืนยันการเปิดให้บริการปัจจุบัน</x:v>
      </x:c>
      <x:c r="G170" s="26" t="n">
        <x:v>1</x:v>
      </x:c>
      <x:c r="H170" s="23" t="str"/>
      <x:c r="I170" s="23" t="str"/>
      <x:c r="J170" s="23" t="str"/>
      <x:c r="K170" s="23" t="str"/>
      <x:c r="L170" s="23" t="str"/>
      <x:c r="M170" s="23" t="str"/>
      <x:c r="N170" s="20" t="str">
        <x:v>ยังไม่ยืนยัน</x:v>
      </x:c>
      <x:c r="O17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70" s="25" t="n">
        <x:v>46315</x:v>
      </x:c>
      <x:c r="Q170" s="27" t="str">
        <x:v>ยังไม่ตรวจ</x:v>
      </x:c>
      <x:c r="R170" s="27" t="str">
        <x:v>รอติดต่อ</x:v>
      </x:c>
    </x:row>
    <x:row r="171" ht="96" customHeight="1">
      <x:c r="A171" s="24" t="str">
        <x:v>TMF-163</x:v>
      </x:c>
      <x:c r="B171" s="20" t="str">
        <x:v>ก๋วยเตี๋ยวอามีนะห์</x:v>
      </x:c>
      <x:c r="C171" s="20" t="str">
        <x:v>นนทบุรี</x:v>
      </x:c>
      <x:c r="D171" s="20" t="str">
        <x:v>คงไว้ในชุด 600</x:v>
      </x:c>
      <x:c r="E171" s="20" t="str">
        <x:v>หลักฐานไม่พอ รอยืนยันการเปิด</x:v>
      </x:c>
      <x:c r="F171" s="20" t="str">
        <x:v>ยังไม่ยืนยันการเปิดให้บริการปัจจุบัน</x:v>
      </x:c>
      <x:c r="G171" s="26" t="n">
        <x:v>1</x:v>
      </x:c>
      <x:c r="H171" s="23" t="str"/>
      <x:c r="I171" s="23" t="str"/>
      <x:c r="J171" s="23" t="str"/>
      <x:c r="K171" s="23" t="str"/>
      <x:c r="L171" s="23" t="str"/>
      <x:c r="M171" s="23" t="str"/>
      <x:c r="N171" s="20" t="str">
        <x:v>ยังไม่ยืนยัน</x:v>
      </x:c>
      <x:c r="O17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71" s="25" t="n">
        <x:v>46315</x:v>
      </x:c>
      <x:c r="Q171" s="27" t="str">
        <x:v>ยังไม่ตรวจ</x:v>
      </x:c>
      <x:c r="R171" s="27" t="str">
        <x:v>รอติดต่อ</x:v>
      </x:c>
    </x:row>
    <x:row r="172" ht="96" customHeight="1">
      <x:c r="A172" s="24" t="str">
        <x:v>TMF-164</x:v>
      </x:c>
      <x:c r="B172" s="20" t="str">
        <x:v>ก๋วยเตี๋ยวเรือฮิปปี้ by วาซิล</x:v>
      </x:c>
      <x:c r="C172" s="20" t="str">
        <x:v>นนทบุรี</x:v>
      </x:c>
      <x:c r="D172" s="20" t="str">
        <x:v>คงไว้ในชุด 600</x:v>
      </x:c>
      <x:c r="E172" s="20" t="str">
        <x:v>หลักฐานไม่พอ รอยืนยันการเปิด</x:v>
      </x:c>
      <x:c r="F172" s="20" t="str">
        <x:v>ยังไม่ยืนยันการเปิดให้บริการปัจจุบัน</x:v>
      </x:c>
      <x:c r="G172" s="26" t="n">
        <x:v>1</x:v>
      </x:c>
      <x:c r="H172" s="23" t="str"/>
      <x:c r="I172" s="23" t="str"/>
      <x:c r="J172" s="23" t="str"/>
      <x:c r="K172" s="23" t="str"/>
      <x:c r="L172" s="23" t="str"/>
      <x:c r="M172" s="23" t="str"/>
      <x:c r="N172" s="20" t="str">
        <x:v>ยังไม่ยืนยัน</x:v>
      </x:c>
      <x:c r="O17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72" s="25" t="n">
        <x:v>46315</x:v>
      </x:c>
      <x:c r="Q172" s="27" t="str">
        <x:v>ยังไม่ตรวจ</x:v>
      </x:c>
      <x:c r="R172" s="27" t="str">
        <x:v>รอติดต่อ</x:v>
      </x:c>
    </x:row>
    <x:row r="173" ht="96" customHeight="1">
      <x:c r="A173" s="24" t="str">
        <x:v>TMF-165</x:v>
      </x:c>
      <x:c r="B173" s="20" t="str">
        <x:v>ครัวซำซี</x:v>
      </x:c>
      <x:c r="C173" s="20" t="str">
        <x:v>นนทบุรี</x:v>
      </x:c>
      <x:c r="D173" s="20" t="str">
        <x:v>คงไว้ในชุด 600</x:v>
      </x:c>
      <x:c r="E173" s="20" t="str">
        <x:v>หลักฐานไม่พอ รอยืนยันการเปิด</x:v>
      </x:c>
      <x:c r="F173" s="20" t="str">
        <x:v>ยังไม่ยืนยันการเปิดให้บริการปัจจุบัน</x:v>
      </x:c>
      <x:c r="G173" s="26" t="n">
        <x:v>1</x:v>
      </x:c>
      <x:c r="H173" s="23" t="str"/>
      <x:c r="I173" s="23" t="str"/>
      <x:c r="J173" s="23" t="str"/>
      <x:c r="K173" s="23" t="str"/>
      <x:c r="L173" s="23" t="str"/>
      <x:c r="M173" s="23" t="str"/>
      <x:c r="N173" s="20" t="str">
        <x:v>ยังไม่ยืนยัน</x:v>
      </x:c>
      <x:c r="O17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73" s="25" t="n">
        <x:v>46315</x:v>
      </x:c>
      <x:c r="Q173" s="27" t="str">
        <x:v>ยังไม่ตรวจ</x:v>
      </x:c>
      <x:c r="R173" s="27" t="str">
        <x:v>รอติดต่อ</x:v>
      </x:c>
    </x:row>
    <x:row r="174" ht="96" customHeight="1">
      <x:c r="A174" s="24" t="str">
        <x:v>TMF-166</x:v>
      </x:c>
      <x:c r="B174" s="20" t="str">
        <x:v>นูรรีญันนะห์</x:v>
      </x:c>
      <x:c r="C174" s="20" t="str">
        <x:v>นนทบุรี</x:v>
      </x:c>
      <x:c r="D174" s="20" t="str">
        <x:v>คงไว้ในชุด 600</x:v>
      </x:c>
      <x:c r="E174" s="20" t="str">
        <x:v>หลักฐานไม่พอ รอยืนยันการเปิด</x:v>
      </x:c>
      <x:c r="F174" s="20" t="str">
        <x:v>ยังไม่ยืนยันการเปิดให้บริการปัจจุบัน</x:v>
      </x:c>
      <x:c r="G174" s="26" t="n">
        <x:v>1</x:v>
      </x:c>
      <x:c r="H174" s="23" t="str"/>
      <x:c r="I174" s="23" t="str"/>
      <x:c r="J174" s="23" t="str"/>
      <x:c r="K174" s="23" t="str"/>
      <x:c r="L174" s="23" t="str"/>
      <x:c r="M174" s="23" t="str"/>
      <x:c r="N174" s="20" t="str">
        <x:v>ยังไม่ยืนยัน</x:v>
      </x:c>
      <x:c r="O17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74" s="25" t="n">
        <x:v>46315</x:v>
      </x:c>
      <x:c r="Q174" s="27" t="str">
        <x:v>ยังไม่ตรวจ</x:v>
      </x:c>
      <x:c r="R174" s="27" t="str">
        <x:v>รอติดต่อ</x:v>
      </x:c>
    </x:row>
    <x:row r="175" ht="76" customHeight="1">
      <x:c r="A175" s="24" t="str">
        <x:v>TMF-167</x:v>
      </x:c>
      <x:c r="B175" s="20" t="str">
        <x:v>ฟาตินชิ้นสะดุ้ง สาขา นนทบุรี แยกบางพลู</x:v>
      </x:c>
      <x:c r="C175" s="20" t="str">
        <x:v>นนทบุรี</x:v>
      </x:c>
      <x:c r="D175" s="20" t="str">
        <x:v>คงไว้ในชุด 600</x:v>
      </x:c>
      <x:c r="E175" s="20" t="str">
        <x:v>พบหลายแหล่งสัมพันธ์กับชื่อ รอยืนยันการเปิด</x:v>
      </x:c>
      <x:c r="F175" s="20" t="str">
        <x:v>ยังไม่ยืนยันการเปิดให้บริการปัจจุบัน</x:v>
      </x:c>
      <x:c r="G175" s="26" t="n">
        <x:v>2</x:v>
      </x:c>
      <x:c r="H175" s="23" t="str"/>
      <x:c r="I175" s="23" t="str"/>
      <x:c r="J175" s="23" t="e">
        <x:f>HYPERLINK("https://www.lemon8-app.com/%40passaworn_p/7434833828264395265?region=th","เปิดหน้ารีวิว 1")</x:f>
        <x:v>HYPERLINK is not implemented. linkLocation=https://www.lemon8-app.com/%40passaworn_p/7434833828264395265?region=th, friendlyName=เปิดหน้ารีวิว 1</x:v>
      </x:c>
      <x:c r="K175" s="23" t="str"/>
      <x:c r="L175" s="23" t="str"/>
      <x:c r="M175" s="23" t="str"/>
      <x:c r="N175" s="20" t="str">
        <x:v>ยังไม่ยืนยัน</x:v>
      </x:c>
      <x:c r="O17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75" s="25" t="n">
        <x:v>46315</x:v>
      </x:c>
      <x:c r="Q175" s="27" t="str">
        <x:v>ยังไม่ตรวจ</x:v>
      </x:c>
      <x:c r="R175" s="27" t="str">
        <x:v>รอติดต่อ</x:v>
      </x:c>
    </x:row>
    <x:row r="176" ht="96" customHeight="1">
      <x:c r="A176" s="24" t="str">
        <x:v>TMF-168</x:v>
      </x:c>
      <x:c r="B176" s="20" t="str">
        <x:v>วีอาร์เอ็น คาเฟ่</x:v>
      </x:c>
      <x:c r="C176" s="20" t="str">
        <x:v>นนทบุรี</x:v>
      </x:c>
      <x:c r="D176" s="20" t="str">
        <x:v>คงไว้ในชุด 600</x:v>
      </x:c>
      <x:c r="E176" s="20" t="str">
        <x:v>หลักฐานไม่พอ รอยืนยันการเปิด</x:v>
      </x:c>
      <x:c r="F176" s="20" t="str">
        <x:v>ยังไม่ยืนยันการเปิดให้บริการปัจจุบัน</x:v>
      </x:c>
      <x:c r="G176" s="26" t="n">
        <x:v>1</x:v>
      </x:c>
      <x:c r="H176" s="23" t="str"/>
      <x:c r="I176" s="23" t="str"/>
      <x:c r="J176" s="23" t="str"/>
      <x:c r="K176" s="23" t="str"/>
      <x:c r="L176" s="23" t="str"/>
      <x:c r="M176" s="23" t="str"/>
      <x:c r="N176" s="20" t="str">
        <x:v>ยังไม่ยืนยัน</x:v>
      </x:c>
      <x:c r="O17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76" s="25" t="n">
        <x:v>46315</x:v>
      </x:c>
      <x:c r="Q176" s="27" t="str">
        <x:v>ยังไม่ตรวจ</x:v>
      </x:c>
      <x:c r="R176" s="27" t="str">
        <x:v>รอติดต่อ</x:v>
      </x:c>
    </x:row>
    <x:row r="177" ht="76" customHeight="1">
      <x:c r="A177" s="24" t="str">
        <x:v>TMF-169</x:v>
      </x:c>
      <x:c r="B177" s="20" t="str">
        <x:v>สาวเส้น เย็นตาโฟ&amp;ข้าวต้มปลา</x:v>
      </x:c>
      <x:c r="C177" s="20" t="str">
        <x:v>นนทบุรี</x:v>
      </x:c>
      <x:c r="D177" s="20" t="str">
        <x:v>คงไว้ในชุด 600</x:v>
      </x:c>
      <x:c r="E177" s="20" t="str">
        <x:v>พบหลายแหล่งสัมพันธ์กับชื่อ รอยืนยันการเปิด</x:v>
      </x:c>
      <x:c r="F177" s="20" t="str">
        <x:v>ยังไม่ยืนยันการเปิดให้บริการปัจจุบัน</x:v>
      </x:c>
      <x:c r="G177" s="26" t="n">
        <x:v>2</x:v>
      </x:c>
      <x:c r="H177" s="23" t="str"/>
      <x:c r="I177" s="23" t="str"/>
      <x:c r="J177" s="23" t="e">
        <x:f>HYPERLINK("https://www.lemon8-app.com/%40nonthaburi.th/7666764376468144658?region=th","เปิดหน้ารีวิว 1")</x:f>
        <x:v>HYPERLINK is not implemented. linkLocation=https://www.lemon8-app.com/%40nonthaburi.th/7666764376468144658?region=th, friendlyName=เปิดหน้ารีวิว 1</x:v>
      </x:c>
      <x:c r="K177" s="23" t="e">
        <x:f>HYPERLINK("https://www.lemon8-app.com/%40checkinnon/7653882671390540308?region=th","เปิดหน้ารีวิว 2")</x:f>
        <x:v>HYPERLINK is not implemented. linkLocation=https://www.lemon8-app.com/%40checkinnon/7653882671390540308?region=th, friendlyName=เปิดหน้ารีวิว 2</x:v>
      </x:c>
      <x:c r="L177" s="23" t="str"/>
      <x:c r="M177" s="23" t="str"/>
      <x:c r="N177" s="20" t="str">
        <x:v>ยังไม่ยืนยัน</x:v>
      </x:c>
      <x:c r="O17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77" s="25" t="n">
        <x:v>46315</x:v>
      </x:c>
      <x:c r="Q177" s="27" t="str">
        <x:v>ยังไม่ตรวจ</x:v>
      </x:c>
      <x:c r="R177" s="27" t="str">
        <x:v>รอติดต่อ</x:v>
      </x:c>
    </x:row>
    <x:row r="178" ht="96" customHeight="1">
      <x:c r="A178" s="24" t="str">
        <x:v>TMF-170</x:v>
      </x:c>
      <x:c r="B178" s="20" t="str">
        <x:v>หลงมา ข้าวต้มปลากระพงทรงเครื่องฮาลาล สูตรเยาวราช</x:v>
      </x:c>
      <x:c r="C178" s="20" t="str">
        <x:v>นนทบุรี</x:v>
      </x:c>
      <x:c r="D178" s="20" t="str">
        <x:v>คงไว้ในชุด 600</x:v>
      </x:c>
      <x:c r="E178" s="20" t="str">
        <x:v>หลักฐานไม่พอ รอยืนยันการเปิด</x:v>
      </x:c>
      <x:c r="F178" s="20" t="str">
        <x:v>ยังไม่ยืนยันการเปิดให้บริการปัจจุบัน</x:v>
      </x:c>
      <x:c r="G178" s="26" t="n">
        <x:v>1</x:v>
      </x:c>
      <x:c r="H178" s="23" t="str"/>
      <x:c r="I178" s="23" t="str"/>
      <x:c r="J178" s="23" t="str"/>
      <x:c r="K178" s="23" t="str"/>
      <x:c r="L178" s="23" t="str"/>
      <x:c r="M178" s="23" t="str"/>
      <x:c r="N178" s="20" t="str">
        <x:v>ยังไม่ยืนยัน</x:v>
      </x:c>
      <x:c r="O17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78" s="25" t="n">
        <x:v>46315</x:v>
      </x:c>
      <x:c r="Q178" s="27" t="str">
        <x:v>ยังไม่ตรวจ</x:v>
      </x:c>
      <x:c r="R178" s="27" t="str">
        <x:v>รอติดต่อ</x:v>
      </x:c>
    </x:row>
    <x:row r="179" ht="76" customHeight="1">
      <x:c r="A179" s="24" t="str">
        <x:v>TMF-171</x:v>
      </x:c>
      <x:c r="B179" s="20" t="str">
        <x:v>เซี๊ยะ ข้าวมันไก่ (ท่าอิฐ)</x:v>
      </x:c>
      <x:c r="C179" s="20" t="str">
        <x:v>นนทบุรี</x:v>
      </x:c>
      <x:c r="D179" s="20" t="str">
        <x:v>คงไว้ในชุด 600</x:v>
      </x:c>
      <x:c r="E179" s="20" t="str">
        <x:v>พบหลายแหล่งสัมพันธ์กับชื่อ รอยืนยันการเปิด</x:v>
      </x:c>
      <x:c r="F179" s="20" t="str">
        <x:v>ยังไม่ยืนยันการเปิดให้บริการปัจจุบัน</x:v>
      </x:c>
      <x:c r="G179" s="26" t="n">
        <x:v>2</x:v>
      </x:c>
      <x:c r="H179" s="23" t="str"/>
      <x:c r="I179" s="23" t="str"/>
      <x:c r="J179" s="23" t="str"/>
      <x:c r="K179" s="23" t="str"/>
      <x:c r="L179" s="23" t="e">
        <x:f>HYPERLINK("https://salaamthailand.com/en/place/halal-food-%E0%B9%80%E0%B8%8B%E0%B8%B5%E0%B9%8A%E0%B8%A2%E0%B8%B0-%E0%B8%82%E0%B9%89%E0%B8%B2%E0%B8%A7%E0%B8%A1%E0%B8%B1%E0%B8%99%E0%B9%84%E0%B8%81%E0%B9%88-%E0%B8%97%E0%B9%88%E0%B8%B2%E0%B8%AD%E0%B8%B4%E0%B8%90-%E0%B8%AE%E0%B8%B2%E0%B8%A5%E0%B8%B2%E0%B8%A5-cjmwhq/","เปิดเว็บเพิ่ม 1")</x:f>
        <x:v>HYPERLINK is not implemented. linkLocation=https://salaamthailand.com/en/place/halal-food-%E0%B9%80%E0%B8%8B%E0%B8%B5%E0%B9%8A%E0%B8%A2%E0%B8%B0-%E0%B8%82%E0%B9%89%E0%B8%B2%E0%B8%A7%E0%B8%A1%E0%B8%B1%E0%B8%99%E0%B9%84%E0%B8%81%E0%B9%88-%E0%B8%97%E0%B9%88%E0%B8%B2%E0%B8%AD%E0%B8%B4%E0%B8%90-%E0%B8%AE%E0%B8%B2%E0%B8%A5%E0%B8%B2%E0%B8%A5-cjmwhq/, friendlyName=เปิดเว็บเพิ่ม 1</x:v>
      </x:c>
      <x:c r="M179" s="23" t="str"/>
      <x:c r="N179" s="20" t="str">
        <x:v>ยังไม่ยืนยัน</x:v>
      </x:c>
      <x:c r="O17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79" s="25" t="n">
        <x:v>46315</x:v>
      </x:c>
      <x:c r="Q179" s="27" t="str">
        <x:v>ยังไม่ตรวจ</x:v>
      </x:c>
      <x:c r="R179" s="27" t="str">
        <x:v>รอติดต่อ</x:v>
      </x:c>
    </x:row>
    <x:row r="180" ht="96" customHeight="1">
      <x:c r="A180" s="24" t="str">
        <x:v>TMF-172</x:v>
      </x:c>
      <x:c r="B180" s="20" t="str">
        <x:v>เรา มี นัส ตลาดศรียานนท์</x:v>
      </x:c>
      <x:c r="C180" s="20" t="str">
        <x:v>นนทบุรี</x:v>
      </x:c>
      <x:c r="D180" s="20" t="str">
        <x:v>คงไว้ในชุด 600</x:v>
      </x:c>
      <x:c r="E180" s="20" t="str">
        <x:v>หลักฐานไม่พอ รอยืนยันการเปิด</x:v>
      </x:c>
      <x:c r="F180" s="20" t="str">
        <x:v>ยังไม่ยืนยันการเปิดให้บริการปัจจุบัน</x:v>
      </x:c>
      <x:c r="G180" s="26" t="n">
        <x:v>1</x:v>
      </x:c>
      <x:c r="H180" s="23" t="str"/>
      <x:c r="I180" s="23" t="str"/>
      <x:c r="J180" s="23" t="str"/>
      <x:c r="K180" s="23" t="str"/>
      <x:c r="L180" s="23" t="str"/>
      <x:c r="M180" s="23" t="str"/>
      <x:c r="N180" s="20" t="str">
        <x:v>ยังไม่ยืนยัน</x:v>
      </x:c>
      <x:c r="O18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80" s="25" t="n">
        <x:v>46315</x:v>
      </x:c>
      <x:c r="Q180" s="27" t="str">
        <x:v>ยังไม่ตรวจ</x:v>
      </x:c>
      <x:c r="R180" s="27" t="str">
        <x:v>รอติดต่อ</x:v>
      </x:c>
    </x:row>
    <x:row r="181" ht="76" customHeight="1">
      <x:c r="A181" s="24" t="str">
        <x:v>TMF-173</x:v>
      </x:c>
      <x:c r="B181" s="20" t="str">
        <x:v>โกกี้ นมสด บางบัวทอง</x:v>
      </x:c>
      <x:c r="C181" s="20" t="str">
        <x:v>นนทบุรี</x:v>
      </x:c>
      <x:c r="D181" s="20" t="str">
        <x:v>คงไว้ในชุด 600</x:v>
      </x:c>
      <x:c r="E181" s="20" t="str">
        <x:v>พบหลายแหล่งสัมพันธ์กับชื่อ รอยืนยันการเปิด</x:v>
      </x:c>
      <x:c r="F181" s="20" t="str">
        <x:v>ยังไม่ยืนยันการเปิดให้บริการปัจจุบัน</x:v>
      </x:c>
      <x:c r="G181" s="26" t="n">
        <x:v>2</x:v>
      </x:c>
      <x:c r="H181" s="23" t="str"/>
      <x:c r="I181" s="23" t="str"/>
      <x:c r="J181" s="23" t="e">
        <x:f>HYPERLINK("https://www.lemon8-app.com/%40shchwshma/7560931323091714578?region=th","เปิดหน้ารีวิว 1")</x:f>
        <x:v>HYPERLINK is not implemented. linkLocation=https://www.lemon8-app.com/%40shchwshma/7560931323091714578?region=th, friendlyName=เปิดหน้ารีวิว 1</x:v>
      </x:c>
      <x:c r="K181" s="23" t="e">
        <x:f>HYPERLINK("https://www.lemon8-app.com/%40lawaekni/7556204992202342920?region=th","เปิดหน้ารีวิว 2")</x:f>
        <x:v>HYPERLINK is not implemented. linkLocation=https://www.lemon8-app.com/%40lawaekni/7556204992202342920?region=th, friendlyName=เปิดหน้ารีวิว 2</x:v>
      </x:c>
      <x:c r="L181" s="23" t="str"/>
      <x:c r="M181" s="23" t="str"/>
      <x:c r="N181" s="20" t="str">
        <x:v>ยังไม่ยืนยัน</x:v>
      </x:c>
      <x:c r="O18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81" s="25" t="n">
        <x:v>46315</x:v>
      </x:c>
      <x:c r="Q181" s="27" t="str">
        <x:v>ยังไม่ตรวจ</x:v>
      </x:c>
      <x:c r="R181" s="27" t="str">
        <x:v>รอติดต่อ</x:v>
      </x:c>
    </x:row>
    <x:row r="182" ht="76" customHeight="1">
      <x:c r="A182" s="24" t="str">
        <x:v>TMF-174</x:v>
      </x:c>
      <x:c r="B182" s="20" t="str">
        <x:v>โคมันส์ว่ะ</x:v>
      </x:c>
      <x:c r="C182" s="20" t="str">
        <x:v>นนทบุรี</x:v>
      </x:c>
      <x:c r="D182" s="20" t="str">
        <x:v>คงไว้ในชุด 600</x:v>
      </x:c>
      <x:c r="E182" s="20" t="str">
        <x:v>พบหลายแหล่งสัมพันธ์กับชื่อ รอยืนยันการเปิด</x:v>
      </x:c>
      <x:c r="F182" s="20" t="str">
        <x:v>ยังไม่ยืนยันการเปิดให้บริการปัจจุบัน</x:v>
      </x:c>
      <x:c r="G182" s="26" t="n">
        <x:v>2</x:v>
      </x:c>
      <x:c r="H182" s="23" t="str"/>
      <x:c r="I182" s="23" t="str"/>
      <x:c r="J182" s="23" t="e">
        <x:f>HYPERLINK("https://www.lemon8-app.com/%40jarajeedzi/7355904640161972752?region=th","เปิดหน้ารีวิว 1")</x:f>
        <x:v>HYPERLINK is not implemented. linkLocation=https://www.lemon8-app.com/%40jarajeedzi/7355904640161972752?region=th, friendlyName=เปิดหน้ารีวิว 1</x:v>
      </x:c>
      <x:c r="K182" s="23" t="str"/>
      <x:c r="L182" s="23" t="str"/>
      <x:c r="M182" s="23" t="str"/>
      <x:c r="N182" s="20" t="str">
        <x:v>ยังไม่ยืนยัน</x:v>
      </x:c>
      <x:c r="O18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82" s="25" t="n">
        <x:v>46315</x:v>
      </x:c>
      <x:c r="Q182" s="27" t="str">
        <x:v>ยังไม่ตรวจ</x:v>
      </x:c>
      <x:c r="R182" s="27" t="str">
        <x:v>รอติดต่อ</x:v>
      </x:c>
    </x:row>
    <x:row r="183" ht="76" customHeight="1">
      <x:c r="A183" s="24" t="str">
        <x:v>TMF-175</x:v>
      </x:c>
      <x:c r="B183" s="20" t="str">
        <x:v>โจ๊กเมืองทอง ฮาลาล สาขาเมืองทองธานี</x:v>
      </x:c>
      <x:c r="C183" s="20" t="str">
        <x:v>นนทบุรี</x:v>
      </x:c>
      <x:c r="D183" s="20" t="str">
        <x:v>คงไว้ในชุด 600</x:v>
      </x:c>
      <x:c r="E183" s="20" t="str">
        <x:v>พบหลายแหล่งสัมพันธ์กับชื่อ รอยืนยันการเปิด</x:v>
      </x:c>
      <x:c r="F183" s="20" t="str">
        <x:v>ยังไม่ยืนยันการเปิดให้บริการปัจจุบัน</x:v>
      </x:c>
      <x:c r="G183" s="26" t="n">
        <x:v>2</x:v>
      </x:c>
      <x:c r="H183" s="23" t="str"/>
      <x:c r="I183" s="23" t="str"/>
      <x:c r="J183" s="23" t="e">
        <x:f>HYPERLINK("https://www.wongnai.com/restaurants/2586804BE-%E0%B9%82%E0%B8%88%E0%B9%8A%E0%B8%81%E0%B9%80%E0%B8%A1%E0%B8%B7%E0%B8%AD%E0%B8%87%E0%B8%97%E0%B8%AD%E0%B8%87-%E0%B8%AE%E0%B8%B2%E0%B8%A5%E0%B8%B2%E0%B8%A5-%E0%B8%AA%E0%B8%B2%E0%B8%82%E0%B8%B2%E0%B9%80%E0%B8%A1%E0%B8%B7%E0%B8%AD%E0%B8%87%E0%B8%97%E0%B8%AD%E0%B8%87%E0%B8%98%E0%B8%B2%E0%B8%99%E0%B8%B5","เปิดหน้ารีวิว 1")</x:f>
        <x:v>HYPERLINK is not implemented. linkLocation=https://www.wongnai.com/restaurants/2586804BE-%E0%B9%82%E0%B8%88%E0%B9%8A%E0%B8%81%E0%B9%80%E0%B8%A1%E0%B8%B7%E0%B8%AD%E0%B8%87%E0%B8%97%E0%B8%AD%E0%B8%87-%E0%B8%AE%E0%B8%B2%E0%B8%A5%E0%B8%B2%E0%B8%A5-%E0%B8%AA%E0%B8%B2%E0%B8%82%E0%B8%B2%E0%B9%80%E0%B8%A1%E0%B8%B7%E0%B8%AD%E0%B8%87%E0%B8%97%E0%B8%AD%E0%B8%87%E0%B8%98%E0%B8%B2%E0%B8%99%E0%B8%B5, friendlyName=เปิดหน้ารีวิว 1</x:v>
      </x:c>
      <x:c r="K183" s="23" t="e">
        <x:f>HYPERLINK("https://www.wongnai.com/chains/joke-muang-thong-halal","เปิดหน้ารีวิว 2")</x:f>
        <x:v>HYPERLINK is not implemented. linkLocation=https://www.wongnai.com/chains/joke-muang-thong-halal, friendlyName=เปิดหน้ารีวิว 2</x:v>
      </x:c>
      <x:c r="L183" s="23" t="str"/>
      <x:c r="M183" s="23" t="str"/>
      <x:c r="N183" s="20" t="str">
        <x:v>ยังไม่ยืนยัน</x:v>
      </x:c>
      <x:c r="O18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83" s="25" t="n">
        <x:v>46315</x:v>
      </x:c>
      <x:c r="Q183" s="27" t="str">
        <x:v>ยังไม่ตรวจ</x:v>
      </x:c>
      <x:c r="R183" s="27" t="str">
        <x:v>รอติดต่อ</x:v>
      </x:c>
    </x:row>
    <x:row r="184" ht="96" customHeight="1">
      <x:c r="A184" s="24" t="str">
        <x:v>TMF-176</x:v>
      </x:c>
      <x:c r="B184" s="20" t="str">
        <x:v>นานา โฮมสเตย์ บ้านทอน</x:v>
      </x:c>
      <x:c r="C184" s="20" t="str">
        <x:v>นราธิวาส</x:v>
      </x:c>
      <x:c r="D184" s="20" t="str">
        <x:v>คงไว้ในชุด 600</x:v>
      </x:c>
      <x:c r="E184" s="20" t="str">
        <x:v>หลักฐานไม่พอ รอยืนยันการเปิด</x:v>
      </x:c>
      <x:c r="F184" s="20" t="str">
        <x:v>ยังไม่ยืนยันการเปิดให้บริการปัจจุบัน</x:v>
      </x:c>
      <x:c r="G184" s="26" t="n">
        <x:v>1</x:v>
      </x:c>
      <x:c r="H184" s="23" t="str"/>
      <x:c r="I184" s="23" t="str"/>
      <x:c r="J184" s="23" t="str"/>
      <x:c r="K184" s="23" t="str"/>
      <x:c r="L184" s="23" t="str"/>
      <x:c r="M184" s="23" t="str"/>
      <x:c r="N184" s="20" t="str">
        <x:v>ยังไม่ยืนยัน</x:v>
      </x:c>
      <x:c r="O18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84" s="25" t="n">
        <x:v>46315</x:v>
      </x:c>
      <x:c r="Q184" s="27" t="str">
        <x:v>ยังไม่ตรวจ</x:v>
      </x:c>
      <x:c r="R184" s="27" t="str">
        <x:v>รอติดต่อ</x:v>
      </x:c>
    </x:row>
    <x:row r="185" ht="96" customHeight="1">
      <x:c r="A185" s="24" t="str">
        <x:v>TMF-177</x:v>
      </x:c>
      <x:c r="B185" s="20" t="str">
        <x:v>Talay Sea</x:v>
      </x:c>
      <x:c r="C185" s="20" t="str">
        <x:v>นราธิวาส</x:v>
      </x:c>
      <x:c r="D185" s="20" t="str">
        <x:v>คงไว้ในชุด 600</x:v>
      </x:c>
      <x:c r="E185" s="20" t="str">
        <x:v>หลักฐานไม่พอ รอยืนยันการเปิด</x:v>
      </x:c>
      <x:c r="F185" s="20" t="str">
        <x:v>ยังไม่ยืนยันการเปิดให้บริการปัจจุบัน</x:v>
      </x:c>
      <x:c r="G185" s="26" t="n">
        <x:v>1</x:v>
      </x:c>
      <x:c r="H185" s="23" t="str"/>
      <x:c r="I185" s="23" t="str"/>
      <x:c r="J185" s="23" t="str"/>
      <x:c r="K185" s="23" t="str"/>
      <x:c r="L185" s="23" t="str"/>
      <x:c r="M185" s="23" t="str"/>
      <x:c r="N185" s="20" t="str">
        <x:v>ยังไม่ยืนยัน</x:v>
      </x:c>
      <x:c r="O18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85" s="25" t="n">
        <x:v>46315</x:v>
      </x:c>
      <x:c r="Q185" s="27" t="str">
        <x:v>ยังไม่ตรวจ</x:v>
      </x:c>
      <x:c r="R185" s="27" t="str">
        <x:v>รอติดต่อ</x:v>
      </x:c>
    </x:row>
    <x:row r="186" ht="76" customHeight="1">
      <x:c r="A186" s="24" t="str">
        <x:v>TMF-178</x:v>
      </x:c>
      <x:c r="B186" s="20" t="str">
        <x:v>Hello Winter บ่อเกลือHalal</x:v>
      </x:c>
      <x:c r="C186" s="20" t="str">
        <x:v>น่าน</x:v>
      </x:c>
      <x:c r="D186" s="20" t="str">
        <x:v>คงไว้ในชุด 600</x:v>
      </x:c>
      <x:c r="E186" s="20" t="str">
        <x:v>พบหลายแหล่งสัมพันธ์กับชื่อ รอยืนยันการเปิด</x:v>
      </x:c>
      <x:c r="F186" s="20" t="str">
        <x:v>ยังไม่ยืนยันการเปิดให้บริการปัจจุบัน</x:v>
      </x:c>
      <x:c r="G186" s="26" t="n">
        <x:v>3</x:v>
      </x:c>
      <x:c r="H186" s="23" t="str"/>
      <x:c r="I186" s="23" t="str"/>
      <x:c r="J186" s="23" t="str"/>
      <x:c r="K186" s="23" t="str"/>
      <x:c r="L186" s="23" t="e">
        <x:f>HYPERLINK("https://www.blockdit.com/posts/6216381c5b11d8d6b83f4866","เปิดเว็บเพิ่ม 1")</x:f>
        <x:v>HYPERLINK is not implemented. linkLocation=https://www.blockdit.com/posts/6216381c5b11d8d6b83f4866, friendlyName=เปิดเว็บเพิ่ม 1</x:v>
      </x:c>
      <x:c r="M186" s="23" t="e">
        <x:f>HYPERLINK("https://www.aroundonline.com/tat-launches-60-happiness-routes-mueang-thai-the-series/","เปิดเว็บเพิ่ม 2")</x:f>
        <x:v>HYPERLINK is not implemented. linkLocation=https://www.aroundonline.com/tat-launches-60-happiness-routes-mueang-thai-the-series/, friendlyName=เปิดเว็บเพิ่ม 2</x:v>
      </x:c>
      <x:c r="N186" s="20" t="str">
        <x:v>ยังไม่ยืนยัน</x:v>
      </x:c>
      <x:c r="O186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86" s="25" t="n">
        <x:v>46315</x:v>
      </x:c>
      <x:c r="Q186" s="27" t="str">
        <x:v>ยังไม่ตรวจ</x:v>
      </x:c>
      <x:c r="R186" s="27" t="str">
        <x:v>รอติดต่อ</x:v>
      </x:c>
    </x:row>
    <x:row r="187" ht="76" customHeight="1">
      <x:c r="A187" s="24" t="str">
        <x:v>TMF-179</x:v>
      </x:c>
      <x:c r="B187" s="20" t="str">
        <x:v>828 มะตะบะ อร่อย</x:v>
      </x:c>
      <x:c r="C187" s="20" t="str">
        <x:v>ปทุมธานี</x:v>
      </x:c>
      <x:c r="D187" s="20" t="str">
        <x:v>คงไว้ในชุด 600</x:v>
      </x:c>
      <x:c r="E187" s="20" t="str">
        <x:v>พบหลายแหล่งสัมพันธ์กับชื่อ รอยืนยันการเปิด</x:v>
      </x:c>
      <x:c r="F187" s="20" t="str">
        <x:v>ยังไม่ยืนยันการเปิดให้บริการปัจจุบัน</x:v>
      </x:c>
      <x:c r="G187" s="26" t="n">
        <x:v>3</x:v>
      </x:c>
      <x:c r="H187" s="23" t="str"/>
      <x:c r="I187" s="23" t="str"/>
      <x:c r="J187" s="23" t="e">
        <x:f>HYPERLINK("https://www.lemon8-app.com/%40fernwang_1220/7510227141893636626?region=th","เปิดหน้ารีวิว 1")</x:f>
        <x:v>HYPERLINK is not implemented. linkLocation=https://www.lemon8-app.com/%40fernwang_1220/7510227141893636626?region=th, friendlyName=เปิดหน้ารีวิว 1</x:v>
      </x:c>
      <x:c r="K187" s="23" t="e">
        <x:f>HYPERLINK("https://www.lemon8-app.com/oummhhhh/7511796326246384145?region=th","เปิดหน้ารีวิว 2")</x:f>
        <x:v>HYPERLINK is not implemented. linkLocation=https://www.lemon8-app.com/oummhhhh/7511796326246384145?region=th, friendlyName=เปิดหน้ารีวิว 2</x:v>
      </x:c>
      <x:c r="L187" s="23" t="e">
        <x:f>HYPERLINK("https://somduan.com/raankhaayyaa/amephlamluukkaa/828-matabary/","เปิดเว็บเพิ่ม 1")</x:f>
        <x:v>HYPERLINK is not implemented. linkLocation=https://somduan.com/raankhaayyaa/amephlamluukkaa/828-matabary/, friendlyName=เปิดเว็บเพิ่ม 1</x:v>
      </x:c>
      <x:c r="M187" s="23" t="str"/>
      <x:c r="N187" s="20" t="str">
        <x:v>ยังไม่ยืนยัน</x:v>
      </x:c>
      <x:c r="O18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87" s="25" t="n">
        <x:v>46315</x:v>
      </x:c>
      <x:c r="Q187" s="27" t="str">
        <x:v>ยังไม่ตรวจ</x:v>
      </x:c>
      <x:c r="R187" s="27" t="str">
        <x:v>รอติดต่อ</x:v>
      </x:c>
    </x:row>
    <x:row r="188" ht="96" customHeight="1">
      <x:c r="A188" s="24" t="str">
        <x:v>TMF-180</x:v>
      </x:c>
      <x:c r="B188" s="20" t="str">
        <x:v>ก๋วยจั๊บญวน บังโต้</x:v>
      </x:c>
      <x:c r="C188" s="20" t="str">
        <x:v>ปทุมธานี</x:v>
      </x:c>
      <x:c r="D188" s="20" t="str">
        <x:v>คงไว้ในชุด 600</x:v>
      </x:c>
      <x:c r="E188" s="20" t="str">
        <x:v>หลักฐานไม่พอ รอยืนยันการเปิด</x:v>
      </x:c>
      <x:c r="F188" s="20" t="str">
        <x:v>ยังไม่ยืนยันการเปิดให้บริการปัจจุบัน</x:v>
      </x:c>
      <x:c r="G188" s="26" t="n">
        <x:v>1</x:v>
      </x:c>
      <x:c r="H188" s="23" t="str"/>
      <x:c r="I188" s="23" t="str"/>
      <x:c r="J188" s="23" t="str"/>
      <x:c r="K188" s="23" t="str"/>
      <x:c r="L188" s="23" t="str"/>
      <x:c r="M188" s="23" t="str"/>
      <x:c r="N188" s="20" t="str">
        <x:v>ยังไม่ยืนยัน</x:v>
      </x:c>
      <x:c r="O18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88" s="25" t="n">
        <x:v>46315</x:v>
      </x:c>
      <x:c r="Q188" s="27" t="str">
        <x:v>ยังไม่ตรวจ</x:v>
      </x:c>
      <x:c r="R188" s="27" t="str">
        <x:v>รอติดต่อ</x:v>
      </x:c>
    </x:row>
    <x:row r="189" ht="96" customHeight="1">
      <x:c r="A189" s="24" t="str">
        <x:v>TMF-181</x:v>
      </x:c>
      <x:c r="B189" s="20" t="str">
        <x:v>รสเจริญข้าวหมกไก่ - ซุปหางวัว โรตี ชาชัก Halal</x:v>
      </x:c>
      <x:c r="C189" s="20" t="str">
        <x:v>ปทุมธานี</x:v>
      </x:c>
      <x:c r="D189" s="20" t="str">
        <x:v>คงไว้ในชุด 600</x:v>
      </x:c>
      <x:c r="E189" s="20" t="str">
        <x:v>หลักฐานไม่พอ รอยืนยันการเปิด</x:v>
      </x:c>
      <x:c r="F189" s="20" t="str">
        <x:v>ยังไม่ยืนยันการเปิดให้บริการปัจจุบัน</x:v>
      </x:c>
      <x:c r="G189" s="26" t="n">
        <x:v>1</x:v>
      </x:c>
      <x:c r="H189" s="23" t="str"/>
      <x:c r="I189" s="23" t="str"/>
      <x:c r="J189" s="23" t="str"/>
      <x:c r="K189" s="23" t="str"/>
      <x:c r="L189" s="23" t="str"/>
      <x:c r="M189" s="23" t="str"/>
      <x:c r="N189" s="20" t="str">
        <x:v>ยังไม่ยืนยัน</x:v>
      </x:c>
      <x:c r="O18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89" s="25" t="n">
        <x:v>46315</x:v>
      </x:c>
      <x:c r="Q189" s="27" t="str">
        <x:v>ยังไม่ตรวจ</x:v>
      </x:c>
      <x:c r="R189" s="27" t="str">
        <x:v>รอติดต่อ</x:v>
      </x:c>
    </x:row>
    <x:row r="190" ht="76" customHeight="1">
      <x:c r="A190" s="24" t="str">
        <x:v>TMF-182</x:v>
      </x:c>
      <x:c r="B190" s="20" t="str">
        <x:v>ห้องอาหาร สุใบด๊ะห์ชวนชิม สาขาลาดสวาย</x:v>
      </x:c>
      <x:c r="C190" s="20" t="str">
        <x:v>ปทุมธานี</x:v>
      </x:c>
      <x:c r="D190" s="20" t="str">
        <x:v>คงไว้ในชุด 600</x:v>
      </x:c>
      <x:c r="E190" s="20" t="str">
        <x:v>พบหลายแหล่งสัมพันธ์กับชื่อ รอยืนยันการเปิด</x:v>
      </x:c>
      <x:c r="F190" s="20" t="str">
        <x:v>ยังไม่ยืนยันการเปิดให้บริการปัจจุบัน</x:v>
      </x:c>
      <x:c r="G190" s="26" t="n">
        <x:v>2</x:v>
      </x:c>
      <x:c r="H190" s="23" t="str"/>
      <x:c r="I190" s="23" t="str"/>
      <x:c r="J190" s="23" t="e">
        <x:f>HYPERLINK("https://www.youtube.com/watch?v=UO47MGSf9ZU","เปิดหน้ารีวิว 1")</x:f>
        <x:v>HYPERLINK is not implemented. linkLocation=https://www.youtube.com/watch?v=UO47MGSf9ZU, friendlyName=เปิดหน้ารีวิว 1</x:v>
      </x:c>
      <x:c r="K190" s="23" t="str"/>
      <x:c r="L190" s="23" t="str"/>
      <x:c r="M190" s="23" t="str"/>
      <x:c r="N190" s="20" t="str">
        <x:v>ยังไม่ยืนยัน</x:v>
      </x:c>
      <x:c r="O19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90" s="25" t="n">
        <x:v>46315</x:v>
      </x:c>
      <x:c r="Q190" s="27" t="str">
        <x:v>ยังไม่ตรวจ</x:v>
      </x:c>
      <x:c r="R190" s="27" t="str">
        <x:v>รอติดต่อ</x:v>
      </x:c>
    </x:row>
    <x:row r="191" ht="76" customHeight="1">
      <x:c r="A191" s="24" t="str">
        <x:v>TMF-183</x:v>
      </x:c>
      <x:c r="B191" s="20" t="str">
        <x:v>Rista House &amp; Resort</x:v>
      </x:c>
      <x:c r="C191" s="20" t="str">
        <x:v>ประจวบคีรีขันธ์</x:v>
      </x:c>
      <x:c r="D191" s="20" t="str">
        <x:v>คงไว้ในชุด 600</x:v>
      </x:c>
      <x:c r="E191" s="20" t="str">
        <x:v>พบหลายแหล่งสัมพันธ์กับชื่อ รอยืนยันการเปิด</x:v>
      </x:c>
      <x:c r="F191" s="20" t="str">
        <x:v>ยังไม่ยืนยันการเปิดให้บริการปัจจุบัน</x:v>
      </x:c>
      <x:c r="G191" s="26" t="n">
        <x:v>3</x:v>
      </x:c>
      <x:c r="H191" s="23" t="str"/>
      <x:c r="I191" s="23" t="str"/>
      <x:c r="J191" s="23" t="e">
        <x:f>HYPERLINK("https://th.trip.com/hotels/kui-buri-hotel-detail-81263545/rista-house-resort/","เปิดหน้ารีวิว 1")</x:f>
        <x:v>HYPERLINK is not implemented. linkLocation=https://th.trip.com/hotels/kui-buri-hotel-detail-81263545/rista-house-resort/, friendlyName=เปิดหน้ารีวิว 1</x:v>
      </x:c>
      <x:c r="K191" s="23" t="e">
        <x:f>HYPERLINK("https://in.trip.com/hotels/kui-buri-hotel-detail-81263545/rista-house-resort/","เปิดหน้ารีวิว 2")</x:f>
        <x:v>HYPERLINK is not implemented. linkLocation=https://in.trip.com/hotels/kui-buri-hotel-detail-81263545/rista-house-resort/, friendlyName=เปิดหน้ารีวิว 2</x:v>
      </x:c>
      <x:c r="L191" s="23" t="e">
        <x:f>HYPERLINK("https://www.thaithurkic.com/rista-house-resort-032-682-344","เปิดเว็บเพิ่ม 1")</x:f>
        <x:v>HYPERLINK is not implemented. linkLocation=https://www.thaithurkic.com/rista-house-resort-032-682-344, friendlyName=เปิดเว็บเพิ่ม 1</x:v>
      </x:c>
      <x:c r="M191" s="23" t="str"/>
      <x:c r="N191" s="20" t="str">
        <x:v>ยังไม่ยืนยัน</x:v>
      </x:c>
      <x:c r="O19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91" s="25" t="n">
        <x:v>46315</x:v>
      </x:c>
      <x:c r="Q191" s="27" t="str">
        <x:v>ยังไม่ตรวจ</x:v>
      </x:c>
      <x:c r="R191" s="27" t="str">
        <x:v>รอติดต่อ</x:v>
      </x:c>
    </x:row>
    <x:row r="192" ht="76" customHeight="1">
      <x:c r="A192" s="24" t="str">
        <x:v>TMF-184</x:v>
      </x:c>
      <x:c r="B192" s="20" t="str">
        <x:v>Coco Pina Boutique Resort ที่พัก&amp;คาเฟ่ประจวบ</x:v>
      </x:c>
      <x:c r="C192" s="20" t="str">
        <x:v>ประจวบคีรีขันธ์</x:v>
      </x:c>
      <x:c r="D192" s="20" t="str">
        <x:v>คงไว้ในชุด 600</x:v>
      </x:c>
      <x:c r="E192" s="20" t="str">
        <x:v>พบหลายแหล่งสัมพันธ์กับชื่อ รอยืนยันการเปิด</x:v>
      </x:c>
      <x:c r="F192" s="20" t="str">
        <x:v>ยังไม่ยืนยันการเปิดให้บริการปัจจุบัน</x:v>
      </x:c>
      <x:c r="G192" s="26" t="n">
        <x:v>3</x:v>
      </x:c>
      <x:c r="H192" s="23" t="e">
        <x:f>HYPERLINK("https://line.me/ti/p/~@cocopinaresort","เปิดช่องทาง 1")</x:f>
        <x:v>HYPERLINK is not implemented. linkLocation=https://line.me/ti/p/~@cocopinaresort, friendlyName=เปิดช่องทาง 1</x:v>
      </x:c>
      <x:c r="I192" s="23" t="str"/>
      <x:c r="J192" s="23" t="e">
        <x:f>HYPERLINK("https://www.google.co.th/travel/hotels/entity/ChkI2cTU17GU9MNaGg0vZy8xMXJjeGI2M2Z2EAE?rp=OAHCAhwiGg0AAANDEhMIjfGnvYbslQMVVCeHAx1KHDDj&amp;ts=CAEaIgoCGgASHBIUCgcI6g8QCRgYEgcI6g8QCRgZGAEyAhAAOAEqBAoAGgA","เปิดหน้ารีวิว 1")</x:f>
        <x:v>HYPERLINK is not implemented. linkLocation=https://www.google.co.th/travel/hotels/entity/ChkI2cTU17GU9MNaGg0vZy8xMXJjeGI2M2Z2EAE?rp=OAHCAhwiGg0AAANDEhMIjfGnvYbslQMVVCeHAx1KHDDj&amp;ts=CAEaIgoCGgASHBIUCgcI6g8QCRgYEgcI6g8QCRgZGAEyAhAAOAEqBAoAGgA, friendlyName=เปิดหน้ารีวิว 1</x:v>
      </x:c>
      <x:c r="K192" s="23" t="e">
        <x:f>HYPERLINK("https://www.google.co.th/travel/hotels/entity/ChkI2cTU17GU9MNaGg0vZy8xMXJjeGI2M2Z2EAE?rp=OAHCAhciFRITCMjqht6YzY0DFdAPhwMdLC4fDg&amp;ts=CAEaBAoCGgAqBAoAGgA","เปิดหน้ารีวิว 2")</x:f>
        <x:v>HYPERLINK is not implemented. linkLocation=https://www.google.co.th/travel/hotels/entity/ChkI2cTU17GU9MNaGg0vZy8xMXJjeGI2M2Z2EAE?rp=OAHCAhciFRITCMjqht6YzY0DFdAPhwMdLC4fDg&amp;ts=CAEaBAoCGgAqBAoAGgA, friendlyName=เปิดหน้ารีวิว 2</x:v>
      </x:c>
      <x:c r="L192" s="23" t="e">
        <x:f>HYPERLINK("https://www.whanjai.com/coco-pina-boutique-resort/","เปิดเว็บเพิ่ม 1")</x:f>
        <x:v>HYPERLINK is not implemented. linkLocation=https://www.whanjai.com/coco-pina-boutique-resort/, friendlyName=เปิดเว็บเพิ่ม 1</x:v>
      </x:c>
      <x:c r="M192" s="23" t="str"/>
      <x:c r="N192" s="20" t="str">
        <x:v>ยังไม่ยืนยัน</x:v>
      </x:c>
      <x:c r="O192" s="20" t="str">
        <x:v>ยังไม่ยืนยันวันที่โพสต์/รีวิวล่าสุดและการเปิดให้บริการปัจจุบัน</x:v>
      </x:c>
      <x:c r="P192" s="25" t="n">
        <x:v>46315</x:v>
      </x:c>
      <x:c r="Q192" s="27" t="str">
        <x:v>ยังไม่ตรวจ</x:v>
      </x:c>
      <x:c r="R192" s="27" t="str">
        <x:v>รอติดต่อ</x:v>
      </x:c>
    </x:row>
    <x:row r="193" ht="76" customHeight="1">
      <x:c r="A193" s="24" t="str">
        <x:v>TMF-185</x:v>
      </x:c>
      <x:c r="B193" s="20" t="str">
        <x:v>The seasons cafe รังมดแดง</x:v>
      </x:c>
      <x:c r="C193" s="20" t="str">
        <x:v>ปัตตานี</x:v>
      </x:c>
      <x:c r="D193" s="20" t="str">
        <x:v>คงไว้ในชุด 600</x:v>
      </x:c>
      <x:c r="E193" s="20" t="str">
        <x:v>พบหลายแหล่งสัมพันธ์กับชื่อ รอยืนยันการเปิด</x:v>
      </x:c>
      <x:c r="F193" s="20" t="str">
        <x:v>ยังไม่ยืนยันการเปิดให้บริการปัจจุบัน</x:v>
      </x:c>
      <x:c r="G193" s="26" t="n">
        <x:v>2</x:v>
      </x:c>
      <x:c r="H193" s="23" t="str"/>
      <x:c r="I193" s="23" t="str"/>
      <x:c r="J193" s="23" t="str"/>
      <x:c r="K193" s="23" t="str"/>
      <x:c r="L193" s="23" t="e">
        <x:f>HYPERLINK("https://www.hydro-1.net/Data/Admin/book/file/E841-2564.pdf","เปิดเว็บเพิ่ม 1")</x:f>
        <x:v>HYPERLINK is not implemented. linkLocation=https://www.hydro-1.net/Data/Admin/book/file/E841-2564.pdf, friendlyName=เปิดเว็บเพิ่ม 1</x:v>
      </x:c>
      <x:c r="M193" s="23" t="str"/>
      <x:c r="N193" s="20" t="str">
        <x:v>ยังไม่ยืนยัน</x:v>
      </x:c>
      <x:c r="O193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93" s="25" t="n">
        <x:v>46315</x:v>
      </x:c>
      <x:c r="Q193" s="27" t="str">
        <x:v>ยังไม่ตรวจ</x:v>
      </x:c>
      <x:c r="R193" s="27" t="str">
        <x:v>รอติดต่อ</x:v>
      </x:c>
    </x:row>
    <x:row r="194" ht="76" customHeight="1">
      <x:c r="A194" s="24" t="str">
        <x:v>TMF-186</x:v>
      </x:c>
      <x:c r="B194" s="20" t="str">
        <x:v>ณ ณิชา รีสอร์ท</x:v>
      </x:c>
      <x:c r="C194" s="20" t="str">
        <x:v>พังงา</x:v>
      </x:c>
      <x:c r="D194" s="20" t="str">
        <x:v>คงไว้ในชุด 600</x:v>
      </x:c>
      <x:c r="E194" s="20" t="str">
        <x:v>พบหลายแหล่งสัมพันธ์กับชื่อ รอยืนยันการเปิด</x:v>
      </x:c>
      <x:c r="F194" s="20" t="str">
        <x:v>ยังไม่ยืนยันการเปิดให้บริการปัจจุบัน</x:v>
      </x:c>
      <x:c r="G194" s="26" t="n">
        <x:v>2</x:v>
      </x:c>
      <x:c r="H194" s="23" t="str"/>
      <x:c r="I194" s="23" t="str"/>
      <x:c r="J194" s="23" t="e">
        <x:f>HYPERLINK("https://www.google.com.sa/travel/hotels/entity/CgoIiuXa2u6Ij8xAEAE?ap=MAA&amp;gl=th&amp;gsas=1&amp;hl=th&amp;rp=OAFIAsICHCIaDQDAA0QSEwig6qGhrteOAxV1qqsHHRxUEJk&amp;ts=CAEaBAoCGgAqBAoAGgA&amp;un=1","เปิดหน้ารีวิว 1")</x:f>
        <x:v>HYPERLINK is not implemented. linkLocation=https://www.google.com.sa/travel/hotels/entity/CgoIiuXa2u6Ij8xAEAE?ap=MAA&amp;gl=th&amp;gsas=1&amp;hl=th&amp;rp=OAFIAsICHCIaDQDAA0QSEwig6qGhrteOAxV1qqsHHRxUEJk&amp;ts=CAEaBAoCGgAqBAoAGgA&amp;un=1, friendlyName=เปิดหน้ารีวิว 1</x:v>
      </x:c>
      <x:c r="K194" s="23" t="str"/>
      <x:c r="L194" s="23" t="str"/>
      <x:c r="M194" s="23" t="str"/>
      <x:c r="N194" s="20" t="str">
        <x:v>ยังไม่ยืนยัน</x:v>
      </x:c>
      <x:c r="O19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94" s="25" t="n">
        <x:v>46315</x:v>
      </x:c>
      <x:c r="Q194" s="27" t="str">
        <x:v>ยังไม่ตรวจ</x:v>
      </x:c>
      <x:c r="R194" s="27" t="str">
        <x:v>รอติดต่อ</x:v>
      </x:c>
    </x:row>
    <x:row r="195" ht="76" customHeight="1">
      <x:c r="A195" s="24" t="str">
        <x:v>TMF-187</x:v>
      </x:c>
      <x:c r="B195" s="20" t="str">
        <x:v>ครัวอารีย์บังหมาดบางพัฒน์ พังงา</x:v>
      </x:c>
      <x:c r="C195" s="20" t="str">
        <x:v>พังงา</x:v>
      </x:c>
      <x:c r="D195" s="20" t="str">
        <x:v>คงไว้ในชุด 600</x:v>
      </x:c>
      <x:c r="E195" s="20" t="str">
        <x:v>พบหลายแหล่งสัมพันธ์กับชื่อ รอยืนยันการเปิด</x:v>
      </x:c>
      <x:c r="F195" s="20" t="str">
        <x:v>ยังไม่ยืนยันการเปิดให้บริการปัจจุบัน</x:v>
      </x:c>
      <x:c r="G195" s="26" t="n">
        <x:v>5</x:v>
      </x:c>
      <x:c r="H195" s="23" t="e">
        <x:f>HYPERLINK("https://www.facebook.com/94-200195150081701/timeline/","เปิดช่องทาง 1")</x:f>
        <x:v>HYPERLINK is not implemented. linkLocation=https://www.facebook.com/94-200195150081701/timeline/, friendlyName=เปิดช่องทาง 1</x:v>
      </x:c>
      <x:c r="I195" s="23" t="str"/>
      <x:c r="J195" s="23" t="e">
        <x:f>HYPERLINK("https://www.wongnai.com/restaurants/172334MX-%E0%B8%84%E0%B8%A3%E0%B8%B1%E0%B8%A7%E0%B8%AD%E0%B8%B2%E0%B8%A3%E0%B8%B5%E0%B8%A2%E0%B9%8C-%E0%B8%9A%E0%B8%B1%E0%B8%87%E0%B8%AB%E0%B8%A1%E0%B8%B2%E0%B8%94","เปิดหน้ารีวิว 1")</x:f>
        <x:v>HYPERLINK is not implemented. linkLocation=https://www.wongnai.com/restaurants/172334MX-%E0%B8%84%E0%B8%A3%E0%B8%B1%E0%B8%A7%E0%B8%AD%E0%B8%B2%E0%B8%A3%E0%B8%B5%E0%B8%A2%E0%B9%8C-%E0%B8%9A%E0%B8%B1%E0%B8%87%E0%B8%AB%E0%B8%A1%E0%B8%B2%E0%B8%94, friendlyName=เปิดหน้ารีวิว 1</x:v>
      </x:c>
      <x:c r="K195" s="23" t="e">
        <x:f>HYPERLINK("https://www.lemon8-app.com/%40jbjib_14/7371278226649367041?region=th","เปิดหน้ารีวิว 2")</x:f>
        <x:v>HYPERLINK is not implemented. linkLocation=https://www.lemon8-app.com/%40jbjib_14/7371278226649367041?region=th, friendlyName=เปิดหน้ารีวิว 2</x:v>
      </x:c>
      <x:c r="L195" s="23" t="e">
        <x:f>HYPERLINK("https://guyleomessi.wordpress.com/%E0%B8%AD%E0%B8%B2%E0%B8%AB%E0%B8%B2%E0%B8%A3/%E0%B8%84%E0%B8%A3%E0%B8%B1%E0%B8%A7%E0%B8%AD%E0%B8%B2%E0%B8%A3%E0%B8%B5%E0%B8%A2%E0%B9%8C%E0%B8%9A%E0%B8%B1%E0%B8%87%E0%B8%AB%E0%B8%A1%E0%B8%B2%E0%B8%94-krua-aree-bung-moist/","เปิดเว็บเพิ่ม 1")</x:f>
        <x:v>HYPERLINK is not implemented. linkLocation=https://guyleomessi.wordpress.com/%E0%B8%AD%E0%B8%B2%E0%B8%AB%E0%B8%B2%E0%B8%A3/%E0%B8%84%E0%B8%A3%E0%B8%B1%E0%B8%A7%E0%B8%AD%E0%B8%B2%E0%B8%A3%E0%B8%B5%E0%B8%A2%E0%B9%8C%E0%B8%9A%E0%B8%B1%E0%B8%87%E0%B8%AB%E0%B8%A1%E0%B8%B2%E0%B8%94-krua-aree-bung-moist/, friendlyName=เปิดเว็บเพิ่ม 1</x:v>
      </x:c>
      <x:c r="M195" s="23" t="str"/>
      <x:c r="N195" s="20" t="str">
        <x:v>ยังไม่ยืนยัน</x:v>
      </x:c>
      <x:c r="O195" s="20" t="str">
        <x:v>ยังไม่ยืนยันวันที่โพสต์/รีวิวล่าสุดและการเปิดให้บริการปัจจุบัน</x:v>
      </x:c>
      <x:c r="P195" s="25" t="n">
        <x:v>46315</x:v>
      </x:c>
      <x:c r="Q195" s="27" t="str">
        <x:v>ยังไม่ตรวจ</x:v>
      </x:c>
      <x:c r="R195" s="27" t="str">
        <x:v>รอติดต่อ</x:v>
      </x:c>
    </x:row>
    <x:row r="196" ht="76" customHeight="1">
      <x:c r="A196" s="24" t="str">
        <x:v>TMF-188</x:v>
      </x:c>
      <x:c r="B196" s="20" t="str">
        <x:v>ก๋วยเตี๋ยวเรือราไวย์ ซอยไสยวน</x:v>
      </x:c>
      <x:c r="C196" s="20" t="str">
        <x:v>ภูเก็ต</x:v>
      </x:c>
      <x:c r="D196" s="20" t="str">
        <x:v>คงไว้ในชุด 600</x:v>
      </x:c>
      <x:c r="E196" s="20" t="str">
        <x:v>พบหลายแหล่งสัมพันธ์กับชื่อ รอยืนยันการเปิด</x:v>
      </x:c>
      <x:c r="F196" s="20" t="str">
        <x:v>ยังไม่ยืนยันการเปิดให้บริการปัจจุบัน</x:v>
      </x:c>
      <x:c r="G196" s="26" t="n">
        <x:v>3</x:v>
      </x:c>
      <x:c r="H196" s="23" t="str"/>
      <x:c r="I196" s="23" t="str"/>
      <x:c r="J196" s="23" t="e">
        <x:f>HYPERLINK("https://www.wongnai.com/restaurants/272151Mc-%E0%B8%81%E0%B9%8B%E0%B8%A7%E0%B8%A2%E0%B9%80%E0%B8%95%E0%B8%B5%E0%B9%8B%E0%B8%A2%E0%B8%A7%E0%B9%80%E0%B8%A3%E0%B8%B7%E0%B8%AD-%E0%B8%A3%E0%B8%B2%E0%B9%84%E0%B8%A7%E0%B8%A2%E0%B9%8C-%E0%B8%8B%E0%B8%AD%E0%B8%A2%E0%B9%84%E0%B8%AA%E0%B8%A2%E0%B8%A7%E0%B8%99","เปิดหน้ารีวิว 1")</x:f>
        <x:v>HYPERLINK is not implemented. linkLocation=https://www.wongnai.com/restaurants/272151Mc-%E0%B8%81%E0%B9%8B%E0%B8%A7%E0%B8%A2%E0%B9%80%E0%B8%95%E0%B8%B5%E0%B9%8B%E0%B8%A2%E0%B8%A7%E0%B9%80%E0%B8%A3%E0%B8%B7%E0%B8%AD-%E0%B8%A3%E0%B8%B2%E0%B9%84%E0%B8%A7%E0%B8%A2%E0%B9%8C-%E0%B8%8B%E0%B8%AD%E0%B8%A2%E0%B9%84%E0%B8%AA%E0%B8%A2%E0%B8%A7%E0%B8%99, friendlyName=เปิดหน้ารีวิว 1</x:v>
      </x:c>
      <x:c r="K196" s="23" t="e">
        <x:f>HYPERLINK("https://www.lemon8-app.com/%40naranrania102117/7588479703090987536?region=th","เปิดหน้ารีวิว 2")</x:f>
        <x:v>HYPERLINK is not implemented. linkLocation=https://www.lemon8-app.com/%40naranrania102117/7588479703090987536?region=th, friendlyName=เปิดหน้ารีวิว 2</x:v>
      </x:c>
      <x:c r="L196" s="23" t="str"/>
      <x:c r="M196" s="23" t="str"/>
      <x:c r="N196" s="20" t="str">
        <x:v>ยังไม่ยืนยัน</x:v>
      </x:c>
      <x:c r="O19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96" s="25" t="n">
        <x:v>46315</x:v>
      </x:c>
      <x:c r="Q196" s="27" t="str">
        <x:v>ยังไม่ตรวจ</x:v>
      </x:c>
      <x:c r="R196" s="27" t="str">
        <x:v>รอติดต่อ</x:v>
      </x:c>
    </x:row>
    <x:row r="197" ht="76" customHeight="1">
      <x:c r="A197" s="24" t="str">
        <x:v>TMF-189</x:v>
      </x:c>
      <x:c r="B197" s="20" t="str">
        <x:v>อันดามันดา ภูเก็ต</x:v>
      </x:c>
      <x:c r="C197" s="20" t="str">
        <x:v>ภูเก็ต</x:v>
      </x:c>
      <x:c r="D197" s="20" t="str">
        <x:v>คงไว้ในชุด 600</x:v>
      </x:c>
      <x:c r="E197" s="20" t="str">
        <x:v>พบหลายแหล่งสัมพันธ์กับชื่อ รอยืนยันการเปิด</x:v>
      </x:c>
      <x:c r="F197" s="20" t="str">
        <x:v>ยังไม่ยืนยันการเปิดให้บริการปัจจุบัน</x:v>
      </x:c>
      <x:c r="G197" s="26" t="n">
        <x:v>2</x:v>
      </x:c>
      <x:c r="H197" s="23" t="str"/>
      <x:c r="I197" s="23" t="str"/>
      <x:c r="J197" s="23" t="e">
        <x:f>HYPERLINK("https://th.trip.com/travel-guide/attraction/phuket/andamanda-phuket-waterpark-133979403?curr=CNY&amp;locale=th-TH","เปิดหน้ารีวิว 1")</x:f>
        <x:v>HYPERLINK is not implemented. linkLocation=https://th.trip.com/travel-guide/attraction/phuket/andamanda-phuket-waterpark-133979403?curr=CNY&amp;locale=th-TH, friendlyName=เปิดหน้ารีวิว 1</x:v>
      </x:c>
      <x:c r="K197" s="23" t="e">
        <x:f>HYPERLINK("https://th.trip.com/travel-guide/attraction/phuket/andamanda-phuket-waterpark-133979403?curr=THB&amp;locale=th-TH&amp;poiType=66&amp;rankingId=10070100021130","เปิดหน้ารีวิว 2")</x:f>
        <x:v>HYPERLINK is not implemented. linkLocation=https://th.trip.com/travel-guide/attraction/phuket/andamanda-phuket-waterpark-133979403?curr=THB&amp;locale=th-TH&amp;poiType=66&amp;rankingId=10070100021130, friendlyName=เปิดหน้ารีวิว 2</x:v>
      </x:c>
      <x:c r="L197" s="23" t="str"/>
      <x:c r="M197" s="23" t="str"/>
      <x:c r="N197" s="20" t="str">
        <x:v>ยังไม่ยืนยัน</x:v>
      </x:c>
      <x:c r="O19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97" s="25" t="n">
        <x:v>46315</x:v>
      </x:c>
      <x:c r="Q197" s="27" t="str">
        <x:v>ยังไม่ตรวจ</x:v>
      </x:c>
      <x:c r="R197" s="27" t="str">
        <x:v>รอติดต่อ</x:v>
      </x:c>
    </x:row>
    <x:row r="198" ht="76" customHeight="1">
      <x:c r="A198" s="24" t="str">
        <x:v>TMF-190</x:v>
      </x:c>
      <x:c r="B198" s="20" t="str">
        <x:v>Martabak Ramunrin - มาร์ตาบัค มานิส สาขายะลา</x:v>
      </x:c>
      <x:c r="C198" s="20" t="str">
        <x:v>ยะลา</x:v>
      </x:c>
      <x:c r="D198" s="20" t="str">
        <x:v>คงไว้ในชุด 600</x:v>
      </x:c>
      <x:c r="E198" s="20" t="str">
        <x:v>พบหลายแหล่งสัมพันธ์กับชื่อ รอยืนยันการเปิด</x:v>
      </x:c>
      <x:c r="F198" s="20" t="str">
        <x:v>ยังไม่ยืนยันการเปิดให้บริการปัจจุบัน</x:v>
      </x:c>
      <x:c r="G198" s="26" t="n">
        <x:v>2</x:v>
      </x:c>
      <x:c r="H198" s="23" t="str"/>
      <x:c r="I198" s="23" t="str"/>
      <x:c r="J198" s="23" t="e">
        <x:f>HYPERLINK("https://www.wongnai.com/restaurants/2830007UG-%E0%B8%A1%E0%B8%B2%E0%B8%A3%E0%B9%8C%E0%B8%95%E0%B8%B2%E0%B8%9A%E0%B8%B1%E0%B8%84-%E0%B8%A1%E0%B8%B2%E0%B8%99%E0%B8%B4%E0%B8%AA-martabak-ramunrin-%E0%B8%A2%E0%B8%B0%E0%B8%A5%E0%B8%B2","เปิดหน้ารีวิว 1")</x:f>
        <x:v>HYPERLINK is not implemented. linkLocation=https://www.wongnai.com/restaurants/2830007UG-%E0%B8%A1%E0%B8%B2%E0%B8%A3%E0%B9%8C%E0%B8%95%E0%B8%B2%E0%B8%9A%E0%B8%B1%E0%B8%84-%E0%B8%A1%E0%B8%B2%E0%B8%99%E0%B8%B4%E0%B8%AA-martabak-ramunrin-%E0%B8%A2%E0%B8%B0%E0%B8%A5%E0%B8%B2, friendlyName=เปิดหน้ารีวิว 1</x:v>
      </x:c>
      <x:c r="K198" s="23" t="e">
        <x:f>HYPERLINK("https://www.wongnai.com/restaurants/2830007UG-martabak-ramunrin-%E0%B8%A1%E0%B8%B2%E0%B8%A3%E0%B9%8C%E0%B8%95%E0%B8%B2%E0%B8%9A%E0%B8%B1%E0%B8%84-%E0%B8%A1%E0%B8%B2%E0%B8%99%E0%B8%B4%E0%B8%AA-%E0%B8%A2%E0%B8%B0%E0%B8%A5%E0%B8%B2","เปิดหน้ารีวิว 2")</x:f>
        <x:v>HYPERLINK is not implemented. linkLocation=https://www.wongnai.com/restaurants/2830007UG-martabak-ramunrin-%E0%B8%A1%E0%B8%B2%E0%B8%A3%E0%B9%8C%E0%B8%95%E0%B8%B2%E0%B8%9A%E0%B8%B1%E0%B8%84-%E0%B8%A1%E0%B8%B2%E0%B8%99%E0%B8%B4%E0%B8%AA-%E0%B8%A2%E0%B8%B0%E0%B8%A5%E0%B8%B2, friendlyName=เปิดหน้ารีวิว 2</x:v>
      </x:c>
      <x:c r="L198" s="23" t="str"/>
      <x:c r="M198" s="23" t="str"/>
      <x:c r="N198" s="20" t="str">
        <x:v>ยังไม่ยืนยัน</x:v>
      </x:c>
      <x:c r="O19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198" s="25" t="n">
        <x:v>46315</x:v>
      </x:c>
      <x:c r="Q198" s="27" t="str">
        <x:v>ยังไม่ตรวจ</x:v>
      </x:c>
      <x:c r="R198" s="27" t="str">
        <x:v>รอติดต่อ</x:v>
      </x:c>
    </x:row>
    <x:row r="199" ht="76" customHeight="1">
      <x:c r="A199" s="24" t="str">
        <x:v>TMF-191</x:v>
      </x:c>
      <x:c r="B199" s="20" t="str">
        <x:v>Tokoroaster Coffee And Cycling</x:v>
      </x:c>
      <x:c r="C199" s="20" t="str">
        <x:v>ยะลา</x:v>
      </x:c>
      <x:c r="D199" s="20" t="str">
        <x:v>คงไว้ในชุด 600</x:v>
      </x:c>
      <x:c r="E199" s="20" t="str">
        <x:v>พบหลายแหล่งสัมพันธ์กับชื่อ รอยืนยันการเปิด</x:v>
      </x:c>
      <x:c r="F199" s="20" t="str">
        <x:v>ยังไม่ยืนยันการเปิดให้บริการปัจจุบัน</x:v>
      </x:c>
      <x:c r="G199" s="26" t="n">
        <x:v>2</x:v>
      </x:c>
      <x:c r="H199" s="23" t="str"/>
      <x:c r="I199" s="23" t="str"/>
      <x:c r="J199" s="23" t="str"/>
      <x:c r="K199" s="23" t="str"/>
      <x:c r="L199" s="23" t="e">
        <x:f>HYPERLINK("https://tokoroaster-specialty-coffee.goto-where.com/","เปิดเว็บเพิ่ม 1")</x:f>
        <x:v>HYPERLINK is not implemented. linkLocation=https://tokoroaster-specialty-coffee.goto-where.com/, friendlyName=เปิดเว็บเพิ่ม 1</x:v>
      </x:c>
      <x:c r="M199" s="23" t="str"/>
      <x:c r="N199" s="20" t="str">
        <x:v>ยังไม่ยืนยัน</x:v>
      </x:c>
      <x:c r="O19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199" s="25" t="n">
        <x:v>46315</x:v>
      </x:c>
      <x:c r="Q199" s="27" t="str">
        <x:v>ยังไม่ตรวจ</x:v>
      </x:c>
      <x:c r="R199" s="27" t="str">
        <x:v>รอติดต่อ</x:v>
      </x:c>
    </x:row>
    <x:row r="200" ht="96" customHeight="1">
      <x:c r="A200" s="24" t="str">
        <x:v>TMF-192</x:v>
      </x:c>
      <x:c r="B200" s="20" t="str">
        <x:v>wawa_cafe</x:v>
      </x:c>
      <x:c r="C200" s="20" t="str">
        <x:v>ยะลา</x:v>
      </x:c>
      <x:c r="D200" s="20" t="str">
        <x:v>คงไว้ในชุด 600</x:v>
      </x:c>
      <x:c r="E200" s="20" t="str">
        <x:v>หลักฐานไม่พอ รอยืนยันการเปิด</x:v>
      </x:c>
      <x:c r="F200" s="20" t="str">
        <x:v>ยังไม่ยืนยันการเปิดให้บริการปัจจุบัน</x:v>
      </x:c>
      <x:c r="G200" s="26" t="n">
        <x:v>1</x:v>
      </x:c>
      <x:c r="H200" s="23" t="str"/>
      <x:c r="I200" s="23" t="str"/>
      <x:c r="J200" s="23" t="str"/>
      <x:c r="K200" s="23" t="str"/>
      <x:c r="L200" s="23" t="str"/>
      <x:c r="M200" s="23" t="str"/>
      <x:c r="N200" s="20" t="str">
        <x:v>ยังไม่ยืนยัน</x:v>
      </x:c>
      <x:c r="O20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00" s="25" t="n">
        <x:v>46315</x:v>
      </x:c>
      <x:c r="Q200" s="27" t="str">
        <x:v>ยังไม่ตรวจ</x:v>
      </x:c>
      <x:c r="R200" s="27" t="str">
        <x:v>รอติดต่อ</x:v>
      </x:c>
    </x:row>
    <x:row r="201" ht="96" customHeight="1">
      <x:c r="A201" s="24" t="str">
        <x:v>TMF-193</x:v>
      </x:c>
      <x:c r="B201" s="20" t="str">
        <x:v>ก๋วยเตี๋ยวประชาชื่น</x:v>
      </x:c>
      <x:c r="C201" s="20" t="str">
        <x:v>ยะลา</x:v>
      </x:c>
      <x:c r="D201" s="20" t="str">
        <x:v>คงไว้ในชุด 600</x:v>
      </x:c>
      <x:c r="E201" s="20" t="str">
        <x:v>หลักฐานไม่พอ รอยืนยันการเปิด</x:v>
      </x:c>
      <x:c r="F201" s="20" t="str">
        <x:v>ยังไม่ยืนยันการเปิดให้บริการปัจจุบัน</x:v>
      </x:c>
      <x:c r="G201" s="26" t="n">
        <x:v>1</x:v>
      </x:c>
      <x:c r="H201" s="23" t="str"/>
      <x:c r="I201" s="23" t="str"/>
      <x:c r="J201" s="23" t="str"/>
      <x:c r="K201" s="23" t="str"/>
      <x:c r="L201" s="23" t="str"/>
      <x:c r="M201" s="23" t="str"/>
      <x:c r="N201" s="20" t="str">
        <x:v>ยังไม่ยืนยัน</x:v>
      </x:c>
      <x:c r="O20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01" s="25" t="n">
        <x:v>46315</x:v>
      </x:c>
      <x:c r="Q201" s="27" t="str">
        <x:v>ยังไม่ตรวจ</x:v>
      </x:c>
      <x:c r="R201" s="27" t="str">
        <x:v>รอติดต่อ</x:v>
      </x:c>
    </x:row>
    <x:row r="202" ht="96" customHeight="1">
      <x:c r="A202" s="24" t="str">
        <x:v>TMF-194</x:v>
      </x:c>
      <x:c r="B202" s="20" t="str">
        <x:v>ขนมไข่เต๋า เจ้าเก่า สูตรดั้งเดิม</x:v>
      </x:c>
      <x:c r="C202" s="20" t="str">
        <x:v>ยะลา</x:v>
      </x:c>
      <x:c r="D202" s="20" t="str">
        <x:v>คงไว้ในชุด 600</x:v>
      </x:c>
      <x:c r="E202" s="20" t="str">
        <x:v>หลักฐานไม่พอ รอยืนยันการเปิด</x:v>
      </x:c>
      <x:c r="F202" s="20" t="str">
        <x:v>ยังไม่ยืนยันการเปิดให้บริการปัจจุบัน</x:v>
      </x:c>
      <x:c r="G202" s="26" t="n">
        <x:v>1</x:v>
      </x:c>
      <x:c r="H202" s="23" t="str"/>
      <x:c r="I202" s="23" t="str"/>
      <x:c r="J202" s="23" t="str"/>
      <x:c r="K202" s="23" t="str"/>
      <x:c r="L202" s="23" t="str"/>
      <x:c r="M202" s="23" t="str"/>
      <x:c r="N202" s="20" t="str">
        <x:v>ยังไม่ยืนยัน</x:v>
      </x:c>
      <x:c r="O20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02" s="25" t="n">
        <x:v>46315</x:v>
      </x:c>
      <x:c r="Q202" s="27" t="str">
        <x:v>ยังไม่ตรวจ</x:v>
      </x:c>
      <x:c r="R202" s="27" t="str">
        <x:v>รอติดต่อ</x:v>
      </x:c>
    </x:row>
    <x:row r="203" ht="96" customHeight="1">
      <x:c r="A203" s="24" t="str">
        <x:v>TMF-195</x:v>
      </x:c>
      <x:c r="B203" s="20" t="str">
        <x:v>ซาซ่า ยำแซ่บซี๊ด</x:v>
      </x:c>
      <x:c r="C203" s="20" t="str">
        <x:v>ยะลา</x:v>
      </x:c>
      <x:c r="D203" s="20" t="str">
        <x:v>คงไว้ในชุด 600</x:v>
      </x:c>
      <x:c r="E203" s="20" t="str">
        <x:v>หลักฐานไม่พอ รอยืนยันการเปิด</x:v>
      </x:c>
      <x:c r="F203" s="20" t="str">
        <x:v>ยังไม่ยืนยันการเปิดให้บริการปัจจุบัน</x:v>
      </x:c>
      <x:c r="G203" s="26" t="n">
        <x:v>1</x:v>
      </x:c>
      <x:c r="H203" s="23" t="str"/>
      <x:c r="I203" s="23" t="str"/>
      <x:c r="J203" s="23" t="str"/>
      <x:c r="K203" s="23" t="str"/>
      <x:c r="L203" s="23" t="str"/>
      <x:c r="M203" s="23" t="str"/>
      <x:c r="N203" s="20" t="str">
        <x:v>ยังไม่ยืนยัน</x:v>
      </x:c>
      <x:c r="O20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03" s="25" t="n">
        <x:v>46315</x:v>
      </x:c>
      <x:c r="Q203" s="27" t="str">
        <x:v>ยังไม่ตรวจ</x:v>
      </x:c>
      <x:c r="R203" s="27" t="str">
        <x:v>รอติดต่อ</x:v>
      </x:c>
    </x:row>
    <x:row r="204" ht="76" customHeight="1">
      <x:c r="A204" s="24" t="str">
        <x:v>TMF-196</x:v>
      </x:c>
      <x:c r="B204" s="20" t="str">
        <x:v>ซูเฟียนโภชนา</x:v>
      </x:c>
      <x:c r="C204" s="20" t="str">
        <x:v>ยะลา</x:v>
      </x:c>
      <x:c r="D204" s="20" t="str">
        <x:v>คงไว้ในชุด 600</x:v>
      </x:c>
      <x:c r="E204" s="20" t="str">
        <x:v>พบหลายแหล่งสัมพันธ์กับชื่อ รอยืนยันการเปิด</x:v>
      </x:c>
      <x:c r="F204" s="20" t="str">
        <x:v>ยังไม่ยืนยันการเปิดให้บริการปัจจุบัน</x:v>
      </x:c>
      <x:c r="G204" s="26" t="n">
        <x:v>2</x:v>
      </x:c>
      <x:c r="H204" s="23" t="str"/>
      <x:c r="I204" s="23" t="str"/>
      <x:c r="J204" s="23" t="e">
        <x:f>HYPERLINK("https://www.wongnai.com/reviews/d0a2368ceffb483bbf84045f4fa98da0","เปิดหน้ารีวิว 1")</x:f>
        <x:v>HYPERLINK is not implemented. linkLocation=https://www.wongnai.com/reviews/d0a2368ceffb483bbf84045f4fa98da0, friendlyName=เปิดหน้ารีวิว 1</x:v>
      </x:c>
      <x:c r="K204" s="23" t="str"/>
      <x:c r="L204" s="23" t="str"/>
      <x:c r="M204" s="23" t="str"/>
      <x:c r="N204" s="20" t="str">
        <x:v>ยังไม่ยืนยัน</x:v>
      </x:c>
      <x:c r="O20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04" s="25" t="n">
        <x:v>46315</x:v>
      </x:c>
      <x:c r="Q204" s="27" t="str">
        <x:v>ยังไม่ตรวจ</x:v>
      </x:c>
      <x:c r="R204" s="27" t="str">
        <x:v>รอติดต่อ</x:v>
      </x:c>
    </x:row>
    <x:row r="205" ht="96" customHeight="1">
      <x:c r="A205" s="24" t="str">
        <x:v>TMF-197</x:v>
      </x:c>
      <x:c r="B205" s="20" t="str">
        <x:v>ดีเอ็นอาร์ ช็อป</x:v>
      </x:c>
      <x:c r="C205" s="20" t="str">
        <x:v>ยะลา</x:v>
      </x:c>
      <x:c r="D205" s="20" t="str">
        <x:v>คงไว้ในชุด 600</x:v>
      </x:c>
      <x:c r="E205" s="20" t="str">
        <x:v>หลักฐานไม่พอ รอยืนยันการเปิด</x:v>
      </x:c>
      <x:c r="F205" s="20" t="str">
        <x:v>ยังไม่ยืนยันการเปิดให้บริการปัจจุบัน</x:v>
      </x:c>
      <x:c r="G205" s="26" t="n">
        <x:v>1</x:v>
      </x:c>
      <x:c r="H205" s="23" t="str"/>
      <x:c r="I205" s="23" t="str"/>
      <x:c r="J205" s="23" t="str"/>
      <x:c r="K205" s="23" t="str"/>
      <x:c r="L205" s="23" t="str"/>
      <x:c r="M205" s="23" t="str"/>
      <x:c r="N205" s="20" t="str">
        <x:v>ยังไม่ยืนยัน</x:v>
      </x:c>
      <x:c r="O20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05" s="25" t="n">
        <x:v>46315</x:v>
      </x:c>
      <x:c r="Q205" s="27" t="str">
        <x:v>ยังไม่ตรวจ</x:v>
      </x:c>
      <x:c r="R205" s="27" t="str">
        <x:v>รอติดต่อ</x:v>
      </x:c>
    </x:row>
    <x:row r="206" ht="76" customHeight="1">
      <x:c r="A206" s="24" t="str">
        <x:v>TMF-198</x:v>
      </x:c>
      <x:c r="B206" s="20" t="str">
        <x:v>ตะกงแกง</x:v>
      </x:c>
      <x:c r="C206" s="20" t="str">
        <x:v>ยะลา</x:v>
      </x:c>
      <x:c r="D206" s="20" t="str">
        <x:v>คงไว้ในชุด 600</x:v>
      </x:c>
      <x:c r="E206" s="20" t="str">
        <x:v>พบหลายแหล่งสัมพันธ์กับชื่อ รอยืนยันการเปิด</x:v>
      </x:c>
      <x:c r="F206" s="20" t="str">
        <x:v>ยังไม่ยืนยันการเปิดให้บริการปัจจุบัน</x:v>
      </x:c>
      <x:c r="G206" s="26" t="n">
        <x:v>2</x:v>
      </x:c>
      <x:c r="H206" s="23" t="str"/>
      <x:c r="I206" s="23" t="str"/>
      <x:c r="J206" s="23" t="e">
        <x:f>HYPERLINK("https://www.wongnai.com/restaurants/448029JW-%E0%B8%95%E0%B8%B0%E0%B8%81%E0%B8%87%E0%B9%81%E0%B8%81%E0%B8%87","เปิดหน้ารีวิว 1")</x:f>
        <x:v>HYPERLINK is not implemented. linkLocation=https://www.wongnai.com/restaurants/448029JW-%E0%B8%95%E0%B8%B0%E0%B8%81%E0%B8%87%E0%B9%81%E0%B8%81%E0%B8%87, friendlyName=เปิดหน้ารีวิว 1</x:v>
      </x:c>
      <x:c r="K206" s="23" t="str"/>
      <x:c r="L206" s="23" t="str"/>
      <x:c r="M206" s="23" t="str"/>
      <x:c r="N206" s="20" t="str">
        <x:v>ยังไม่ยืนยัน</x:v>
      </x:c>
      <x:c r="O20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06" s="25" t="n">
        <x:v>46315</x:v>
      </x:c>
      <x:c r="Q206" s="27" t="str">
        <x:v>ยังไม่ตรวจ</x:v>
      </x:c>
      <x:c r="R206" s="27" t="str">
        <x:v>รอติดต่อ</x:v>
      </x:c>
    </x:row>
    <x:row r="207" ht="96" customHeight="1">
      <x:c r="A207" s="24" t="str">
        <x:v>TMF-199</x:v>
      </x:c>
      <x:c r="B207" s="20" t="str">
        <x:v>น้ำปั่นอันดาลีฟ</x:v>
      </x:c>
      <x:c r="C207" s="20" t="str">
        <x:v>ยะลา</x:v>
      </x:c>
      <x:c r="D207" s="20" t="str">
        <x:v>คงไว้ในชุด 600</x:v>
      </x:c>
      <x:c r="E207" s="20" t="str">
        <x:v>หลักฐานไม่พอ รอยืนยันการเปิด</x:v>
      </x:c>
      <x:c r="F207" s="20" t="str">
        <x:v>ยังไม่ยืนยันการเปิดให้บริการปัจจุบัน</x:v>
      </x:c>
      <x:c r="G207" s="26" t="n">
        <x:v>1</x:v>
      </x:c>
      <x:c r="H207" s="23" t="str"/>
      <x:c r="I207" s="23" t="str"/>
      <x:c r="J207" s="23" t="str"/>
      <x:c r="K207" s="23" t="str"/>
      <x:c r="L207" s="23" t="str"/>
      <x:c r="M207" s="23" t="str"/>
      <x:c r="N207" s="20" t="str">
        <x:v>ยังไม่ยืนยัน</x:v>
      </x:c>
      <x:c r="O20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07" s="25" t="n">
        <x:v>46315</x:v>
      </x:c>
      <x:c r="Q207" s="27" t="str">
        <x:v>ยังไม่ตรวจ</x:v>
      </x:c>
      <x:c r="R207" s="27" t="str">
        <x:v>รอติดต่อ</x:v>
      </x:c>
    </x:row>
    <x:row r="208" ht="96" customHeight="1">
      <x:c r="A208" s="24" t="str">
        <x:v>TMF-200</x:v>
      </x:c>
      <x:c r="B208" s="20" t="str">
        <x:v>น้ำแข็งใสตรอกซอยซุป</x:v>
      </x:c>
      <x:c r="C208" s="20" t="str">
        <x:v>ยะลา</x:v>
      </x:c>
      <x:c r="D208" s="20" t="str">
        <x:v>คงไว้ในชุด 600</x:v>
      </x:c>
      <x:c r="E208" s="20" t="str">
        <x:v>หลักฐานไม่พอ รอยืนยันการเปิด</x:v>
      </x:c>
      <x:c r="F208" s="20" t="str">
        <x:v>ยังไม่ยืนยันการเปิดให้บริการปัจจุบัน</x:v>
      </x:c>
      <x:c r="G208" s="26" t="n">
        <x:v>1</x:v>
      </x:c>
      <x:c r="H208" s="23" t="str"/>
      <x:c r="I208" s="23" t="str"/>
      <x:c r="J208" s="23" t="str"/>
      <x:c r="K208" s="23" t="str"/>
      <x:c r="L208" s="23" t="str"/>
      <x:c r="M208" s="23" t="str"/>
      <x:c r="N208" s="20" t="str">
        <x:v>ยังไม่ยืนยัน</x:v>
      </x:c>
      <x:c r="O20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08" s="25" t="n">
        <x:v>46315</x:v>
      </x:c>
      <x:c r="Q208" s="27" t="str">
        <x:v>ยังไม่ตรวจ</x:v>
      </x:c>
      <x:c r="R208" s="27" t="str">
        <x:v>รอติดต่อ</x:v>
      </x:c>
    </x:row>
    <x:row r="209" ht="96" customHeight="1">
      <x:c r="A209" s="24" t="str">
        <x:v>TMF-201</x:v>
      </x:c>
      <x:c r="B209" s="20" t="str">
        <x:v>บังวีไก่ย่าง 5 บาท</x:v>
      </x:c>
      <x:c r="C209" s="20" t="str">
        <x:v>ยะลา</x:v>
      </x:c>
      <x:c r="D209" s="20" t="str">
        <x:v>คงไว้ในชุด 600</x:v>
      </x:c>
      <x:c r="E209" s="20" t="str">
        <x:v>หลักฐานไม่พอ รอยืนยันการเปิด</x:v>
      </x:c>
      <x:c r="F209" s="20" t="str">
        <x:v>ยังไม่ยืนยันการเปิดให้บริการปัจจุบัน</x:v>
      </x:c>
      <x:c r="G209" s="26" t="n">
        <x:v>1</x:v>
      </x:c>
      <x:c r="H209" s="23" t="str"/>
      <x:c r="I209" s="23" t="str"/>
      <x:c r="J209" s="23" t="str"/>
      <x:c r="K209" s="23" t="str"/>
      <x:c r="L209" s="23" t="str"/>
      <x:c r="M209" s="23" t="str"/>
      <x:c r="N209" s="20" t="str">
        <x:v>ยังไม่ยืนยัน</x:v>
      </x:c>
      <x:c r="O20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09" s="25" t="n">
        <x:v>46315</x:v>
      </x:c>
      <x:c r="Q209" s="27" t="str">
        <x:v>ยังไม่ตรวจ</x:v>
      </x:c>
      <x:c r="R209" s="27" t="str">
        <x:v>รอติดต่อ</x:v>
      </x:c>
    </x:row>
    <x:row r="210" ht="96" customHeight="1">
      <x:c r="A210" s="24" t="str">
        <x:v>TMF-202</x:v>
      </x:c>
      <x:c r="B210" s="20" t="str">
        <x:v>ฟารีดาซูซิ</x:v>
      </x:c>
      <x:c r="C210" s="20" t="str">
        <x:v>ยะลา</x:v>
      </x:c>
      <x:c r="D210" s="20" t="str">
        <x:v>คงไว้ในชุด 600</x:v>
      </x:c>
      <x:c r="E210" s="20" t="str">
        <x:v>หลักฐานไม่พอ รอยืนยันการเปิด</x:v>
      </x:c>
      <x:c r="F210" s="20" t="str">
        <x:v>ยังไม่ยืนยันการเปิดให้บริการปัจจุบัน</x:v>
      </x:c>
      <x:c r="G210" s="26" t="n">
        <x:v>1</x:v>
      </x:c>
      <x:c r="H210" s="23" t="str"/>
      <x:c r="I210" s="23" t="str"/>
      <x:c r="J210" s="23" t="str"/>
      <x:c r="K210" s="23" t="str"/>
      <x:c r="L210" s="23" t="str"/>
      <x:c r="M210" s="23" t="str"/>
      <x:c r="N210" s="20" t="str">
        <x:v>ยังไม่ยืนยัน</x:v>
      </x:c>
      <x:c r="O21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10" s="25" t="n">
        <x:v>46315</x:v>
      </x:c>
      <x:c r="Q210" s="27" t="str">
        <x:v>ยังไม่ตรวจ</x:v>
      </x:c>
      <x:c r="R210" s="27" t="str">
        <x:v>รอติดต่อ</x:v>
      </x:c>
    </x:row>
    <x:row r="211" ht="96" customHeight="1">
      <x:c r="A211" s="24" t="str">
        <x:v>TMF-203</x:v>
      </x:c>
      <x:c r="B211" s="20" t="str">
        <x:v>หมึกย่างน้ำจิ้มซีฟู้ด</x:v>
      </x:c>
      <x:c r="C211" s="20" t="str">
        <x:v>ยะลา</x:v>
      </x:c>
      <x:c r="D211" s="20" t="str">
        <x:v>คงไว้ในชุด 600</x:v>
      </x:c>
      <x:c r="E211" s="20" t="str">
        <x:v>หลักฐานไม่พอ รอยืนยันการเปิด</x:v>
      </x:c>
      <x:c r="F211" s="20" t="str">
        <x:v>ยังไม่ยืนยันการเปิดให้บริการปัจจุบัน</x:v>
      </x:c>
      <x:c r="G211" s="26" t="n">
        <x:v>1</x:v>
      </x:c>
      <x:c r="H211" s="23" t="str"/>
      <x:c r="I211" s="23" t="str"/>
      <x:c r="J211" s="23" t="str"/>
      <x:c r="K211" s="23" t="str"/>
      <x:c r="L211" s="23" t="str"/>
      <x:c r="M211" s="23" t="str"/>
      <x:c r="N211" s="20" t="str">
        <x:v>ยังไม่ยืนยัน</x:v>
      </x:c>
      <x:c r="O21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11" s="25" t="n">
        <x:v>46315</x:v>
      </x:c>
      <x:c r="Q211" s="27" t="str">
        <x:v>ยังไม่ตรวจ</x:v>
      </x:c>
      <x:c r="R211" s="27" t="str">
        <x:v>รอติดต่อ</x:v>
      </x:c>
    </x:row>
    <x:row r="212" ht="96" customHeight="1">
      <x:c r="A212" s="24" t="str">
        <x:v>TMF-204</x:v>
      </x:c>
      <x:c r="B212" s="20" t="str">
        <x:v>โรตีนานา</x:v>
      </x:c>
      <x:c r="C212" s="20" t="str">
        <x:v>ยะลา</x:v>
      </x:c>
      <x:c r="D212" s="20" t="str">
        <x:v>คงไว้ในชุด 600</x:v>
      </x:c>
      <x:c r="E212" s="20" t="str">
        <x:v>หลักฐานไม่พอ รอยืนยันการเปิด</x:v>
      </x:c>
      <x:c r="F212" s="20" t="str">
        <x:v>ยังไม่ยืนยันการเปิดให้บริการปัจจุบัน</x:v>
      </x:c>
      <x:c r="G212" s="26" t="n">
        <x:v>1</x:v>
      </x:c>
      <x:c r="H212" s="23" t="str"/>
      <x:c r="I212" s="23" t="str"/>
      <x:c r="J212" s="23" t="str"/>
      <x:c r="K212" s="23" t="str"/>
      <x:c r="L212" s="23" t="str"/>
      <x:c r="M212" s="23" t="str"/>
      <x:c r="N212" s="20" t="str">
        <x:v>ยังไม่ยืนยัน</x:v>
      </x:c>
      <x:c r="O21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12" s="25" t="n">
        <x:v>46315</x:v>
      </x:c>
      <x:c r="Q212" s="27" t="str">
        <x:v>ยังไม่ตรวจ</x:v>
      </x:c>
      <x:c r="R212" s="27" t="str">
        <x:v>รอติดต่อ</x:v>
      </x:c>
    </x:row>
    <x:row r="213" ht="96" customHeight="1">
      <x:c r="A213" s="24" t="str">
        <x:v>TMF-205</x:v>
      </x:c>
      <x:c r="B213" s="20" t="str">
        <x:v>BANG KEE BURGER</x:v>
      </x:c>
      <x:c r="C213" s="20" t="str">
        <x:v>ระยอง</x:v>
      </x:c>
      <x:c r="D213" s="20" t="str">
        <x:v>คงไว้ในชุด 600</x:v>
      </x:c>
      <x:c r="E213" s="20" t="str">
        <x:v>หลักฐานไม่พอ รอยืนยันการเปิด</x:v>
      </x:c>
      <x:c r="F213" s="20" t="str">
        <x:v>ยังไม่ยืนยันการเปิดให้บริการปัจจุบัน</x:v>
      </x:c>
      <x:c r="G213" s="26" t="n">
        <x:v>1</x:v>
      </x:c>
      <x:c r="H213" s="23" t="str"/>
      <x:c r="I213" s="23" t="str"/>
      <x:c r="J213" s="23" t="str"/>
      <x:c r="K213" s="23" t="str"/>
      <x:c r="L213" s="23" t="str"/>
      <x:c r="M213" s="23" t="str"/>
      <x:c r="N213" s="20" t="str">
        <x:v>ยังไม่ยืนยัน</x:v>
      </x:c>
      <x:c r="O21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13" s="25" t="n">
        <x:v>46315</x:v>
      </x:c>
      <x:c r="Q213" s="27" t="str">
        <x:v>ยังไม่ตรวจ</x:v>
      </x:c>
      <x:c r="R213" s="27" t="str">
        <x:v>รอติดต่อ</x:v>
      </x:c>
    </x:row>
    <x:row r="214" ht="96" customHeight="1">
      <x:c r="A214" s="24" t="str">
        <x:v>TMF-206</x:v>
      </x:c>
      <x:c r="B214" s="20" t="str">
        <x:v>Hala Little Home Rayong</x:v>
      </x:c>
      <x:c r="C214" s="20" t="str">
        <x:v>ระยอง</x:v>
      </x:c>
      <x:c r="D214" s="20" t="str">
        <x:v>คงไว้ในชุด 600</x:v>
      </x:c>
      <x:c r="E214" s="20" t="str">
        <x:v>หลักฐานไม่พอ รอยืนยันการเปิด</x:v>
      </x:c>
      <x:c r="F214" s="20" t="str">
        <x:v>ยังไม่ยืนยันการเปิดให้บริการปัจจุบัน</x:v>
      </x:c>
      <x:c r="G214" s="26" t="n">
        <x:v>1</x:v>
      </x:c>
      <x:c r="H214" s="23" t="str"/>
      <x:c r="I214" s="23" t="str"/>
      <x:c r="J214" s="23" t="str"/>
      <x:c r="K214" s="23" t="str"/>
      <x:c r="L214" s="23" t="str"/>
      <x:c r="M214" s="23" t="str"/>
      <x:c r="N214" s="20" t="str">
        <x:v>ยังไม่ยืนยัน</x:v>
      </x:c>
      <x:c r="O21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14" s="25" t="n">
        <x:v>46315</x:v>
      </x:c>
      <x:c r="Q214" s="27" t="str">
        <x:v>ยังไม่ตรวจ</x:v>
      </x:c>
      <x:c r="R214" s="27" t="str">
        <x:v>รอติดต่อ</x:v>
      </x:c>
    </x:row>
    <x:row r="215" ht="76" customHeight="1">
      <x:c r="A215" s="24" t="str">
        <x:v>TMF-207</x:v>
      </x:c>
      <x:c r="B215" s="20" t="str">
        <x:v>Zento Cafe &amp; Pool villa</x:v>
      </x:c>
      <x:c r="C215" s="20" t="str">
        <x:v>ระยอง</x:v>
      </x:c>
      <x:c r="D215" s="20" t="str">
        <x:v>คงไว้ในชุด 600</x:v>
      </x:c>
      <x:c r="E215" s="20" t="str">
        <x:v>พบหลายแหล่งสัมพันธ์กับชื่อ รอยืนยันการเปิด</x:v>
      </x:c>
      <x:c r="F215" s="20" t="str">
        <x:v>ยังไม่ยืนยันการเปิดให้บริการปัจจุบัน</x:v>
      </x:c>
      <x:c r="G215" s="26" t="n">
        <x:v>3</x:v>
      </x:c>
      <x:c r="H215" s="23" t="e">
        <x:f>HYPERLINK("https://www.facebook.com/share/17QN9fPm2m/?mibextid=wwXIfr","เปิดช่องทาง 1")</x:f>
        <x:v>HYPERLINK is not implemented. linkLocation=https://www.facebook.com/share/17QN9fPm2m/?mibextid=wwXIfr, friendlyName=เปิดช่องทาง 1</x:v>
      </x:c>
      <x:c r="I215" s="23" t="str"/>
      <x:c r="J215" s="23" t="e">
        <x:f>HYPERLINK("https://www.lemon8-app.com/%40anpan_mn/7563126694253560337?region=th","เปิดหน้ารีวิว 1")</x:f>
        <x:v>HYPERLINK is not implemented. linkLocation=https://www.lemon8-app.com/%40anpan_mn/7563126694253560337?region=th, friendlyName=เปิดหน้ารีวิว 1</x:v>
      </x:c>
      <x:c r="K215" s="23" t="e">
        <x:f>HYPERLINK("https://www.lemon8-app.com/%40g.gagik/7631984424946500103?region=th","เปิดหน้ารีวิว 2")</x:f>
        <x:v>HYPERLINK is not implemented. linkLocation=https://www.lemon8-app.com/%40g.gagik/7631984424946500103?region=th, friendlyName=เปิดหน้ารีวิว 2</x:v>
      </x:c>
      <x:c r="L215" s="23" t="e">
        <x:f>HYPERLINK("https://xn--12c7bhaw4iemu7j3c5c.com/hotel/289761/zento-cafe-pool-villa/","เปิดเว็บเพิ่ม 1")</x:f>
        <x:v>HYPERLINK is not implemented. linkLocation=https://xn--12c7bhaw4iemu7j3c5c.com/hotel/289761/zento-cafe-pool-villa/, friendlyName=เปิดเว็บเพิ่ม 1</x:v>
      </x:c>
      <x:c r="M215" s="23" t="str"/>
      <x:c r="N215" s="20" t="str">
        <x:v>ยังไม่ยืนยัน</x:v>
      </x:c>
      <x:c r="O215" s="20" t="str">
        <x:v>ยังไม่ยืนยันวันที่โพสต์/รีวิวล่าสุดและการเปิดให้บริการปัจจุบัน</x:v>
      </x:c>
      <x:c r="P215" s="25" t="n">
        <x:v>46315</x:v>
      </x:c>
      <x:c r="Q215" s="27" t="str">
        <x:v>ยังไม่ตรวจ</x:v>
      </x:c>
      <x:c r="R215" s="27" t="str">
        <x:v>รอติดต่อ</x:v>
      </x:c>
    </x:row>
    <x:row r="216" ht="96" customHeight="1">
      <x:c r="A216" s="24" t="str">
        <x:v>TMF-208</x:v>
      </x:c>
      <x:c r="B216" s="20" t="str">
        <x:v>จูนาฮาลาล</x:v>
      </x:c>
      <x:c r="C216" s="20" t="str">
        <x:v>ระยอง</x:v>
      </x:c>
      <x:c r="D216" s="20" t="str">
        <x:v>คงไว้ในชุด 600</x:v>
      </x:c>
      <x:c r="E216" s="20" t="str">
        <x:v>หลักฐานไม่พอ รอยืนยันการเปิด</x:v>
      </x:c>
      <x:c r="F216" s="20" t="str">
        <x:v>ยังไม่ยืนยันการเปิดให้บริการปัจจุบัน</x:v>
      </x:c>
      <x:c r="G216" s="26" t="n">
        <x:v>1</x:v>
      </x:c>
      <x:c r="H216" s="23" t="str"/>
      <x:c r="I216" s="23" t="str"/>
      <x:c r="J216" s="23" t="str"/>
      <x:c r="K216" s="23" t="str"/>
      <x:c r="L216" s="23" t="str"/>
      <x:c r="M216" s="23" t="str"/>
      <x:c r="N216" s="20" t="str">
        <x:v>ยังไม่ยืนยัน</x:v>
      </x:c>
      <x:c r="O21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16" s="25" t="n">
        <x:v>46315</x:v>
      </x:c>
      <x:c r="Q216" s="27" t="str">
        <x:v>ยังไม่ตรวจ</x:v>
      </x:c>
      <x:c r="R216" s="27" t="str">
        <x:v>รอติดต่อ</x:v>
      </x:c>
    </x:row>
    <x:row r="217" ht="76" customHeight="1">
      <x:c r="A217" s="24" t="str">
        <x:v>TMF-209</x:v>
      </x:c>
      <x:c r="B217" s="20" t="str">
        <x:v>ตัสกีนข้าวมันไก่มุสลิม สูตรไหหลำ</x:v>
      </x:c>
      <x:c r="C217" s="20" t="str">
        <x:v>ระยอง</x:v>
      </x:c>
      <x:c r="D217" s="20" t="str">
        <x:v>คงไว้ในชุด 600</x:v>
      </x:c>
      <x:c r="E217" s="20" t="str">
        <x:v>พบหลายแหล่งสัมพันธ์กับชื่อ รอยืนยันการเปิด</x:v>
      </x:c>
      <x:c r="F217" s="20" t="str">
        <x:v>ยังไม่ยืนยันการเปิดให้บริการปัจจุบัน</x:v>
      </x:c>
      <x:c r="G217" s="26" t="n">
        <x:v>2</x:v>
      </x:c>
      <x:c r="H217" s="23" t="str"/>
      <x:c r="I217" s="23" t="str"/>
      <x:c r="J217" s="23" t="e">
        <x:f>HYPERLINK("https://www.lemon8-app.com/%40tumrakhongthankhun/7645099750262145543?region=th","เปิดหน้ารีวิว 1")</x:f>
        <x:v>HYPERLINK is not implemented. linkLocation=https://www.lemon8-app.com/%40tumrakhongthankhun/7645099750262145543?region=th, friendlyName=เปิดหน้ารีวิว 1</x:v>
      </x:c>
      <x:c r="K217" s="23" t="e">
        <x:f>HYPERLINK("https://www.lemon8-app.com/%40tumrakhongthankhun/7665598163885097479?region=th","เปิดหน้ารีวิว 2")</x:f>
        <x:v>HYPERLINK is not implemented. linkLocation=https://www.lemon8-app.com/%40tumrakhongthankhun/7665598163885097479?region=th, friendlyName=เปิดหน้ารีวิว 2</x:v>
      </x:c>
      <x:c r="L217" s="23" t="str"/>
      <x:c r="M217" s="23" t="str"/>
      <x:c r="N217" s="20" t="str">
        <x:v>ยังไม่ยืนยัน</x:v>
      </x:c>
      <x:c r="O21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17" s="25" t="n">
        <x:v>46315</x:v>
      </x:c>
      <x:c r="Q217" s="27" t="str">
        <x:v>ยังไม่ตรวจ</x:v>
      </x:c>
      <x:c r="R217" s="27" t="str">
        <x:v>รอติดต่อ</x:v>
      </x:c>
    </x:row>
    <x:row r="218" ht="96" customHeight="1">
      <x:c r="A218" s="24" t="str">
        <x:v>TMF-210</x:v>
      </x:c>
      <x:c r="B218" s="20" t="str">
        <x:v>บังเล็กสะเต๊ะเนื้อ-สะเต๊ะไก่</x:v>
      </x:c>
      <x:c r="C218" s="20" t="str">
        <x:v>ระยอง</x:v>
      </x:c>
      <x:c r="D218" s="20" t="str">
        <x:v>คงไว้ในชุด 600</x:v>
      </x:c>
      <x:c r="E218" s="20" t="str">
        <x:v>หลักฐานไม่พอ รอยืนยันการเปิด</x:v>
      </x:c>
      <x:c r="F218" s="20" t="str">
        <x:v>ยังไม่ยืนยันการเปิดให้บริการปัจจุบัน</x:v>
      </x:c>
      <x:c r="G218" s="26" t="n">
        <x:v>1</x:v>
      </x:c>
      <x:c r="H218" s="23" t="str"/>
      <x:c r="I218" s="23" t="str"/>
      <x:c r="J218" s="23" t="str"/>
      <x:c r="K218" s="23" t="str"/>
      <x:c r="L218" s="23" t="str"/>
      <x:c r="M218" s="23" t="str"/>
      <x:c r="N218" s="20" t="str">
        <x:v>ยังไม่ยืนยัน</x:v>
      </x:c>
      <x:c r="O21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18" s="25" t="n">
        <x:v>46315</x:v>
      </x:c>
      <x:c r="Q218" s="27" t="str">
        <x:v>ยังไม่ตรวจ</x:v>
      </x:c>
      <x:c r="R218" s="27" t="str">
        <x:v>รอติดต่อ</x:v>
      </x:c>
    </x:row>
    <x:row r="219" ht="96" customHeight="1">
      <x:c r="A219" s="24" t="str">
        <x:v>TMF-211</x:v>
      </x:c>
      <x:c r="B219" s="20" t="str">
        <x:v>ไลลา คอฟฟี่</x:v>
      </x:c>
      <x:c r="C219" s="20" t="str">
        <x:v>ระยอง</x:v>
      </x:c>
      <x:c r="D219" s="20" t="str">
        <x:v>คงไว้ในชุด 600</x:v>
      </x:c>
      <x:c r="E219" s="20" t="str">
        <x:v>หลักฐานไม่พอ รอยืนยันการเปิด</x:v>
      </x:c>
      <x:c r="F219" s="20" t="str">
        <x:v>ยังไม่ยืนยันการเปิดให้บริการปัจจุบัน</x:v>
      </x:c>
      <x:c r="G219" s="26" t="n">
        <x:v>1</x:v>
      </x:c>
      <x:c r="H219" s="23" t="str"/>
      <x:c r="I219" s="23" t="str"/>
      <x:c r="J219" s="23" t="str"/>
      <x:c r="K219" s="23" t="str"/>
      <x:c r="L219" s="23" t="str"/>
      <x:c r="M219" s="23" t="str"/>
      <x:c r="N219" s="20" t="str">
        <x:v>ยังไม่ยืนยัน</x:v>
      </x:c>
      <x:c r="O21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19" s="25" t="n">
        <x:v>46315</x:v>
      </x:c>
      <x:c r="Q219" s="27" t="str">
        <x:v>ยังไม่ตรวจ</x:v>
      </x:c>
      <x:c r="R219" s="27" t="str">
        <x:v>รอติดต่อ</x:v>
      </x:c>
    </x:row>
    <x:row r="220" ht="96" customHeight="1">
      <x:c r="A220" s="24" t="str">
        <x:v>TMF-212</x:v>
      </x:c>
      <x:c r="B220" s="20" t="str">
        <x:v>ไอดม ไอแดด คาเฟ่ X ระยอง</x:v>
      </x:c>
      <x:c r="C220" s="20" t="str">
        <x:v>ระยอง</x:v>
      </x:c>
      <x:c r="D220" s="20" t="str">
        <x:v>คงไว้ในชุด 600</x:v>
      </x:c>
      <x:c r="E220" s="20" t="str">
        <x:v>หลักฐานไม่พอ รอยืนยันการเปิด</x:v>
      </x:c>
      <x:c r="F220" s="20" t="str">
        <x:v>ยังไม่ยืนยันการเปิดให้บริการปัจจุบัน</x:v>
      </x:c>
      <x:c r="G220" s="26" t="n">
        <x:v>1</x:v>
      </x:c>
      <x:c r="H220" s="23" t="str"/>
      <x:c r="I220" s="23" t="str"/>
      <x:c r="J220" s="23" t="str"/>
      <x:c r="K220" s="23" t="str"/>
      <x:c r="L220" s="23" t="str"/>
      <x:c r="M220" s="23" t="str"/>
      <x:c r="N220" s="20" t="str">
        <x:v>ยังไม่ยืนยัน</x:v>
      </x:c>
      <x:c r="O22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20" s="25" t="n">
        <x:v>46315</x:v>
      </x:c>
      <x:c r="Q220" s="27" t="str">
        <x:v>ยังไม่ตรวจ</x:v>
      </x:c>
      <x:c r="R220" s="27" t="str">
        <x:v>รอติดต่อ</x:v>
      </x:c>
    </x:row>
    <x:row r="221" ht="76" customHeight="1">
      <x:c r="A221" s="24" t="str">
        <x:v>TMF-213</x:v>
      </x:c>
      <x:c r="B221" s="20" t="str">
        <x:v>TRAVELLER'S CAFE+BISTRO มุมพักนักเดินทาง</x:v>
      </x:c>
      <x:c r="C221" s="20" t="str">
        <x:v>ลพบุรี</x:v>
      </x:c>
      <x:c r="D221" s="20" t="str">
        <x:v>คงไว้ในชุด 600</x:v>
      </x:c>
      <x:c r="E221" s="20" t="str">
        <x:v>พบหลายแหล่งสัมพันธ์กับชื่อ รอยืนยันการเปิด</x:v>
      </x:c>
      <x:c r="F221" s="20" t="str">
        <x:v>ยังไม่ยืนยันการเปิดให้บริการปัจจุบัน</x:v>
      </x:c>
      <x:c r="G221" s="26" t="n">
        <x:v>4</x:v>
      </x:c>
      <x:c r="H221" s="23" t="str"/>
      <x:c r="I221" s="23" t="str"/>
      <x:c r="J221" s="23" t="e">
        <x:f>HYPERLINK("https://restaurantguru.com/Travellers-CafeBistro-%E0%B8%A1%E0%B8%B8%E0%B8%A1%E0%B8%9E%E0%B8%B1%E0%B8%81%E0%B8%99%E0%B8%B1%E0%B8%81%E0%B9%80%E0%B8%94%E0%B8%B4%E0%B8%99%E0%B8%97%E0%B8%B2%E0%B8%87-Phatthana-Nikhom","เปิดหน้ารีวิว 1")</x:f>
        <x:v>HYPERLINK is not implemented. linkLocation=https://restaurantguru.com/Travellers-CafeBistro-%E0%B8%A1%E0%B8%B8%E0%B8%A1%E0%B8%9E%E0%B8%B1%E0%B8%81%E0%B8%99%E0%B8%B1%E0%B8%81%E0%B9%80%E0%B8%94%E0%B8%B4%E0%B8%99%E0%B8%97%E0%B8%B2%E0%B8%87-Phatthana-Nikhom, friendlyName=เปิดหน้ารีวิว 1</x:v>
      </x:c>
      <x:c r="K221" s="23" t="e">
        <x:f>HYPERLINK("https://www.lemon8-app.com/%40mewnida.88/7671993853049602580?region=th","เปิดหน้ารีวิว 2")</x:f>
        <x:v>HYPERLINK is not implemented. linkLocation=https://www.lemon8-app.com/%40mewnida.88/7671993853049602580?region=th, friendlyName=เปิดหน้ารีวิว 2</x:v>
      </x:c>
      <x:c r="L221" s="23" t="e">
        <x:f>HYPERLINK("https://www.toptotravelvariety.com/2024/08/travellers-cafe-bistro.html","เปิดเว็บเพิ่ม 1")</x:f>
        <x:v>HYPERLINK is not implemented. linkLocation=https://www.toptotravelvariety.com/2024/08/travellers-cafe-bistro.html, friendlyName=เปิดเว็บเพิ่ม 1</x:v>
      </x:c>
      <x:c r="M221" s="23" t="str"/>
      <x:c r="N221" s="20" t="str">
        <x:v>ยังไม่ยืนยัน</x:v>
      </x:c>
      <x:c r="O22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21" s="25" t="n">
        <x:v>46315</x:v>
      </x:c>
      <x:c r="Q221" s="27" t="str">
        <x:v>ยังไม่ตรวจ</x:v>
      </x:c>
      <x:c r="R221" s="27" t="str">
        <x:v>รอติดต่อ</x:v>
      </x:c>
    </x:row>
    <x:row r="222" ht="76" customHeight="1">
      <x:c r="A222" s="24" t="str">
        <x:v>TMF-214</x:v>
      </x:c>
      <x:c r="B222" s="20" t="str">
        <x:v>Alfahad Hotel</x:v>
      </x:c>
      <x:c r="C222" s="20" t="str">
        <x:v>สงขลา</x:v>
      </x:c>
      <x:c r="D222" s="20" t="str">
        <x:v>คงไว้ในชุด 600</x:v>
      </x:c>
      <x:c r="E222" s="20" t="str">
        <x:v>พบหลายแหล่งสัมพันธ์กับชื่อ รอยืนยันการเปิด</x:v>
      </x:c>
      <x:c r="F222" s="20" t="str">
        <x:v>ยังไม่ยืนยันการเปิดให้บริการปัจจุบัน</x:v>
      </x:c>
      <x:c r="G222" s="26" t="n">
        <x:v>7</x:v>
      </x:c>
      <x:c r="H222" s="23" t="e">
        <x:f>HYPERLINK("https://www.facebook.com/pages/category/Hotel/Alfahad-Hotel-144081422927632/","เปิดช่องทาง 1")</x:f>
        <x:v>HYPERLINK is not implemented. linkLocation=https://www.facebook.com/pages/category/Hotel/Alfahad-Hotel-144081422927632/, friendlyName=เปิดช่องทาง 1</x:v>
      </x:c>
      <x:c r="I222" s="23" t="str"/>
      <x:c r="J222" s="23" t="e">
        <x:f>HYPERLINK("https://in.trip.com/hotels/hat-yai-hotel-detail-46125423/alfahad-hotel/review.html","เปิดหน้ารีวิว 1")</x:f>
        <x:v>HYPERLINK is not implemented. linkLocation=https://in.trip.com/hotels/hat-yai-hotel-detail-46125423/alfahad-hotel/review.html, friendlyName=เปิดหน้ารีวิว 1</x:v>
      </x:c>
      <x:c r="K222" s="23" t="e">
        <x:f>HYPERLINK("https://www.trip.com/hotels/khuan-lang-hotel-detail-46125423/alfahad-hotel/review.html","เปิดหน้ารีวิว 2")</x:f>
        <x:v>HYPERLINK is not implemented. linkLocation=https://www.trip.com/hotels/khuan-lang-hotel-detail-46125423/alfahad-hotel/review.html, friendlyName=เปิดหน้ารีวิว 2</x:v>
      </x:c>
      <x:c r="L222" s="23" t="e">
        <x:f>HYPERLINK("https://www.alfahadhotel.com/th/blank-1","เปิดเว็บเพิ่ม 1")</x:f>
        <x:v>HYPERLINK is not implemented. linkLocation=https://www.alfahadhotel.com/th/blank-1, friendlyName=เปิดเว็บเพิ่ม 1</x:v>
      </x:c>
      <x:c r="M222" s="23" t="e">
        <x:f>HYPERLINK("https://www.alfahadhotel.com/th","เปิดเว็บเพิ่ม 2")</x:f>
        <x:v>HYPERLINK is not implemented. linkLocation=https://www.alfahadhotel.com/th, friendlyName=เปิดเว็บเพิ่ม 2</x:v>
      </x:c>
      <x:c r="N222" s="20" t="str">
        <x:v>ยังไม่ยืนยัน</x:v>
      </x:c>
      <x:c r="O222" s="20" t="str">
        <x:v>ยังไม่ยืนยันวันที่โพสต์/รีวิวล่าสุดและการเปิดให้บริการปัจจุบัน</x:v>
      </x:c>
      <x:c r="P222" s="25" t="n">
        <x:v>46315</x:v>
      </x:c>
      <x:c r="Q222" s="27" t="str">
        <x:v>ยังไม่ตรวจ</x:v>
      </x:c>
      <x:c r="R222" s="27" t="str">
        <x:v>รอติดต่อ</x:v>
      </x:c>
    </x:row>
    <x:row r="223" ht="76" customHeight="1">
      <x:c r="A223" s="24" t="str">
        <x:v>TMF-215</x:v>
      </x:c>
      <x:c r="B223" s="20" t="str">
        <x:v>โรงแรมญันนะตีย์</x:v>
      </x:c>
      <x:c r="C223" s="20" t="str">
        <x:v>สงขลา</x:v>
      </x:c>
      <x:c r="D223" s="20" t="str">
        <x:v>คงไว้ในชุด 600</x:v>
      </x:c>
      <x:c r="E223" s="20" t="str">
        <x:v>พบหลายแหล่งสัมพันธ์กับชื่อ รอยืนยันการเปิด</x:v>
      </x:c>
      <x:c r="F223" s="20" t="str">
        <x:v>ยังไม่ยืนยันการเปิดให้บริการปัจจุบัน</x:v>
      </x:c>
      <x:c r="G223" s="26" t="n">
        <x:v>8</x:v>
      </x:c>
      <x:c r="H223" s="23" t="str"/>
      <x:c r="I223" s="23" t="str"/>
      <x:c r="J223" s="23" t="e">
        <x:f>HYPERLINK("https://www.google.co.th/travel/hotels/entity/ChkIxbmqhYqO3usVGg0vZy8xMWgwa3Qya215EAE?rp=OAHCAhwiGg0AAAxCEhMInrfmlbeplgMVrz2tBh0i0xKB&amp;ts=CAEaIAoCGgASGhIUCgcI6g8QCRgHEgcI6g8QCRgIGAEyAhAAKgkKBToDVVNEGgA","เปิดหน้ารีวิว 1")</x:f>
        <x:v>HYPERLINK is not implemented. linkLocation=https://www.google.co.th/travel/hotels/entity/ChkIxbmqhYqO3usVGg0vZy8xMWgwa3Qya215EAE?rp=OAHCAhwiGg0AAAxCEhMInrfmlbeplgMVrz2tBh0i0xKB&amp;ts=CAEaIAoCGgASGhIUCgcI6g8QCRgHEgcI6g8QCRgIGAEyAhAAKgkKBToDVVNEGgA, friendlyName=เปิดหน้ารีวิว 1</x:v>
      </x:c>
      <x:c r="K223" s="23" t="e">
        <x:f>HYPERLINK("https://www.google.co.th/travel/hotels/entity/ChkIxbmqhYqO3usVGg0vZy8xMWgwa3Qya215EAE?rp=OAHCAhciFRITCK6qkqnyk5YDFVX1SwMd2w45Aw&amp;ts=CAESCgoCCAMKAggDEAAaIAoCGgASGhIUCgcI6g8QChgbEgcI6g8QChgeGAMyAhAAKgkKBToDVVNEGgA","เปิดหน้ารีวิว 2")</x:f>
        <x:v>HYPERLINK is not implemented. linkLocation=https://www.google.co.th/travel/hotels/entity/ChkIxbmqhYqO3usVGg0vZy8xMWgwa3Qya215EAE?rp=OAHCAhciFRITCK6qkqnyk5YDFVX1SwMd2w45Aw&amp;ts=CAESCgoCCAMKAggDEAAaIAoCGgASGhIUCgcI6g8QChgbEgcI6g8QChgeGAMyAhAAKgkKBToDVVNEGgA, friendlyName=เปิดหน้ารีวิว 2</x:v>
      </x:c>
      <x:c r="L223" s="23" t="e">
        <x:f>HYPERLINK("https://www.trip.co.th/hotels/th/yannaty-hotel/45743725.html","เปิดเว็บเพิ่ม 1")</x:f>
        <x:v>HYPERLINK is not implemented. linkLocation=https://www.trip.co.th/hotels/th/yannaty-hotel/45743725.html, friendlyName=เปิดเว็บเพิ่ม 1</x:v>
      </x:c>
      <x:c r="M223" s="23" t="e">
        <x:f>HYPERLINK("https://www.hotelscombined.co.th/Hotel/Yannaty_Hotel.htm","เปิดเว็บเพิ่ม 2")</x:f>
        <x:v>HYPERLINK is not implemented. linkLocation=https://www.hotelscombined.co.th/Hotel/Yannaty_Hotel.htm, friendlyName=เปิดเว็บเพิ่ม 2</x:v>
      </x:c>
      <x:c r="N223" s="20" t="str">
        <x:v>ยังไม่ยืนยัน</x:v>
      </x:c>
      <x:c r="O22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23" s="25" t="n">
        <x:v>46315</x:v>
      </x:c>
      <x:c r="Q223" s="27" t="str">
        <x:v>ยังไม่ตรวจ</x:v>
      </x:c>
      <x:c r="R223" s="27" t="str">
        <x:v>รอติดต่อ</x:v>
      </x:c>
    </x:row>
    <x:row r="224" ht="76" customHeight="1">
      <x:c r="A224" s="24" t="str">
        <x:v>TMF-216</x:v>
      </x:c>
      <x:c r="B224" s="20" t="str">
        <x:v>Eat time อีทไทม์ - Halal food</x:v>
      </x:c>
      <x:c r="C224" s="20" t="str">
        <x:v>สงขลา</x:v>
      </x:c>
      <x:c r="D224" s="20" t="str">
        <x:v>คงไว้ในชุด 600</x:v>
      </x:c>
      <x:c r="E224" s="20" t="str">
        <x:v>พบหลายแหล่งสัมพันธ์กับชื่อ รอยืนยันการเปิด</x:v>
      </x:c>
      <x:c r="F224" s="20" t="str">
        <x:v>ยังไม่ยืนยันการเปิดให้บริการปัจจุบัน</x:v>
      </x:c>
      <x:c r="G224" s="26" t="n">
        <x:v>3</x:v>
      </x:c>
      <x:c r="H224" s="23" t="str"/>
      <x:c r="I224" s="23" t="str"/>
      <x:c r="J224" s="23" t="e">
        <x:f>HYPERLINK("https://www.wongnai.com/restaurants/3060019WK-eat-time-halal-food-1","เปิดหน้ารีวิว 1")</x:f>
        <x:v>HYPERLINK is not implemented. linkLocation=https://www.wongnai.com/restaurants/3060019WK-eat-time-halal-food-1, friendlyName=เปิดหน้ารีวิว 1</x:v>
      </x:c>
      <x:c r="K224" s="23" t="str"/>
      <x:c r="L224" s="23" t="e">
        <x:f>HYPERLINK("https://xn--jxanabrb4asmv3b4a.cybo.com/TH/bang-klam/%CE%B5%CF%83%CF%84%CE%B9%CE%B1%CF%84%CF%8C%CF%81%CE%B9%CE%B1-%CE%BA%CE%BF%CF%85%CE%B6%CE%AF%CE%BD%CE%B1%CF%82-halal","เปิดเว็บเพิ่ม 1")</x:f>
        <x:v>HYPERLINK is not implemented. linkLocation=https://xn--jxanabrb4asmv3b4a.cybo.com/TH/bang-klam/%CE%B5%CF%83%CF%84%CE%B9%CE%B1%CF%84%CF%8C%CF%81%CE%B9%CE%B1-%CE%BA%CE%BF%CF%85%CE%B6%CE%AF%CE%BD%CE%B1%CF%82-halal, friendlyName=เปิดเว็บเพิ่ม 1</x:v>
      </x:c>
      <x:c r="M224" s="23" t="str"/>
      <x:c r="N224" s="20" t="str">
        <x:v>ยังไม่ยืนยัน</x:v>
      </x:c>
      <x:c r="O22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24" s="25" t="n">
        <x:v>46315</x:v>
      </x:c>
      <x:c r="Q224" s="27" t="str">
        <x:v>ยังไม่ตรวจ</x:v>
      </x:c>
      <x:c r="R224" s="27" t="str">
        <x:v>รอติดต่อ</x:v>
      </x:c>
    </x:row>
    <x:row r="225" ht="76" customHeight="1">
      <x:c r="A225" s="24" t="str">
        <x:v>TMF-217</x:v>
      </x:c>
      <x:c r="B225" s="20" t="str">
        <x:v>Ozone ลวกเส้นตำแซ่บหาดใหญ่</x:v>
      </x:c>
      <x:c r="C225" s="20" t="str">
        <x:v>สงขลา</x:v>
      </x:c>
      <x:c r="D225" s="20" t="str">
        <x:v>คงไว้ในชุด 600</x:v>
      </x:c>
      <x:c r="E225" s="20" t="str">
        <x:v>พบหลายแหล่งสัมพันธ์กับชื่อ รอยืนยันการเปิด</x:v>
      </x:c>
      <x:c r="F225" s="20" t="str">
        <x:v>ยังไม่ยืนยันการเปิดให้บริการปัจจุบัน</x:v>
      </x:c>
      <x:c r="G225" s="26" t="n">
        <x:v>3</x:v>
      </x:c>
      <x:c r="H225" s="23" t="str"/>
      <x:c r="I225" s="23" t="str"/>
      <x:c r="J225" s="23" t="str"/>
      <x:c r="K225" s="23" t="str"/>
      <x:c r="L225" s="23" t="e">
        <x:f>HYPERLINK("https://www.ryoiireview.com/article/food-hatyai-thailand/","เปิดเว็บเพิ่ม 1")</x:f>
        <x:v>HYPERLINK is not implemented. linkLocation=https://www.ryoiireview.com/article/food-hatyai-thailand/, friendlyName=เปิดเว็บเพิ่ม 1</x:v>
      </x:c>
      <x:c r="M225" s="23" t="e">
        <x:f>HYPERLINK("https://www.paknaidi.com/restaurants-in-hat-yai/amp/","เปิดเว็บเพิ่ม 2")</x:f>
        <x:v>HYPERLINK is not implemented. linkLocation=https://www.paknaidi.com/restaurants-in-hat-yai/amp/, friendlyName=เปิดเว็บเพิ่ม 2</x:v>
      </x:c>
      <x:c r="N225" s="20" t="str">
        <x:v>ยังไม่ยืนยัน</x:v>
      </x:c>
      <x:c r="O225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25" s="25" t="n">
        <x:v>46315</x:v>
      </x:c>
      <x:c r="Q225" s="27" t="str">
        <x:v>ยังไม่ตรวจ</x:v>
      </x:c>
      <x:c r="R225" s="27" t="str">
        <x:v>รอติดต่อ</x:v>
      </x:c>
    </x:row>
    <x:row r="226" ht="76" customHeight="1">
      <x:c r="A226" s="24" t="str">
        <x:v>TMF-218</x:v>
      </x:c>
      <x:c r="B226" s="20" t="str">
        <x:v>เดอบัง สเต็ก - De' Bung สาขา ถนนเพชรเกษม หาดใหญ่ใน</x:v>
      </x:c>
      <x:c r="C226" s="20" t="str">
        <x:v>สงขลา</x:v>
      </x:c>
      <x:c r="D226" s="20" t="str">
        <x:v>คงไว้ในชุด 600</x:v>
      </x:c>
      <x:c r="E226" s="20" t="str">
        <x:v>พบหลายแหล่งสัมพันธ์กับชื่อ รอยืนยันการเปิด</x:v>
      </x:c>
      <x:c r="F226" s="20" t="str">
        <x:v>ยังไม่ยืนยันการเปิดให้บริการปัจจุบัน</x:v>
      </x:c>
      <x:c r="G226" s="26" t="n">
        <x:v>2</x:v>
      </x:c>
      <x:c r="H226" s="23" t="str"/>
      <x:c r="I226" s="23" t="str"/>
      <x:c r="J226" s="23" t="str"/>
      <x:c r="K226" s="23" t="str"/>
      <x:c r="L226" s="23" t="e">
        <x:f>HYPERLINK("https://www.hatyaifocus.com/forums-detail/3463/","เปิดเว็บเพิ่ม 1")</x:f>
        <x:v>HYPERLINK is not implemented. linkLocation=https://www.hatyaifocus.com/forums-detail/3463/, friendlyName=เปิดเว็บเพิ่ม 1</x:v>
      </x:c>
      <x:c r="M226" s="23" t="str"/>
      <x:c r="N226" s="20" t="str">
        <x:v>ยังไม่ยืนยัน</x:v>
      </x:c>
      <x:c r="O226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26" s="25" t="n">
        <x:v>46315</x:v>
      </x:c>
      <x:c r="Q226" s="27" t="str">
        <x:v>ยังไม่ตรวจ</x:v>
      </x:c>
      <x:c r="R226" s="27" t="str">
        <x:v>รอติดต่อ</x:v>
      </x:c>
    </x:row>
    <x:row r="227" ht="76" customHeight="1">
      <x:c r="A227" s="24" t="str">
        <x:v>TMF-219</x:v>
      </x:c>
      <x:c r="B227" s="20" t="str">
        <x:v>วังรายา คาเฟ่</x:v>
      </x:c>
      <x:c r="C227" s="20" t="str">
        <x:v>สตูล</x:v>
      </x:c>
      <x:c r="D227" s="20" t="str">
        <x:v>คงไว้ในชุด 600</x:v>
      </x:c>
      <x:c r="E227" s="20" t="str">
        <x:v>พบหลายแหล่งสัมพันธ์กับชื่อ รอยืนยันการเปิด</x:v>
      </x:c>
      <x:c r="F227" s="20" t="str">
        <x:v>ยังไม่ยืนยันการเปิดให้บริการปัจจุบัน</x:v>
      </x:c>
      <x:c r="G227" s="26" t="n">
        <x:v>2</x:v>
      </x:c>
      <x:c r="H227" s="23" t="str"/>
      <x:c r="I227" s="23" t="str"/>
      <x:c r="J227" s="23" t="e">
        <x:f>HYPERLINK("https://www.wongnai.com/restaurants/2640326eD-%E0%B8%A7%E0%B8%B1%E0%B8%87%E0%B8%A3%E0%B8%B2%E0%B8%A2%E0%B8%B2-%E0%B8%84%E0%B8%B2%E0%B9%80%E0%B8%9F%E0%B9%88","เปิดหน้ารีวิว 1")</x:f>
        <x:v>HYPERLINK is not implemented. linkLocation=https://www.wongnai.com/restaurants/2640326eD-%E0%B8%A7%E0%B8%B1%E0%B8%87%E0%B8%A3%E0%B8%B2%E0%B8%A2%E0%B8%B2-%E0%B8%84%E0%B8%B2%E0%B9%80%E0%B8%9F%E0%B9%88, friendlyName=เปิดหน้ารีวิว 1</x:v>
      </x:c>
      <x:c r="K227" s="23" t="str"/>
      <x:c r="L227" s="23" t="str"/>
      <x:c r="M227" s="23" t="str"/>
      <x:c r="N227" s="20" t="str">
        <x:v>ยังไม่ยืนยัน</x:v>
      </x:c>
      <x:c r="O22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27" s="25" t="n">
        <x:v>46315</x:v>
      </x:c>
      <x:c r="Q227" s="27" t="str">
        <x:v>ยังไม่ตรวจ</x:v>
      </x:c>
      <x:c r="R227" s="27" t="str">
        <x:v>รอติดต่อ</x:v>
      </x:c>
    </x:row>
    <x:row r="228" ht="76" customHeight="1">
      <x:c r="A228" s="24" t="str">
        <x:v>TMF-220</x:v>
      </x:c>
      <x:c r="B228" s="20" t="str">
        <x:v>เริน coffee beef plant</x:v>
      </x:c>
      <x:c r="C228" s="20" t="str">
        <x:v>สตูล</x:v>
      </x:c>
      <x:c r="D228" s="20" t="str">
        <x:v>คงไว้ในชุด 600</x:v>
      </x:c>
      <x:c r="E228" s="20" t="str">
        <x:v>พบหลายแหล่งสัมพันธ์กับชื่อ รอยืนยันการเปิด</x:v>
      </x:c>
      <x:c r="F228" s="20" t="str">
        <x:v>ยังไม่ยืนยันการเปิดให้บริการปัจจุบัน</x:v>
      </x:c>
      <x:c r="G228" s="26" t="n">
        <x:v>3</x:v>
      </x:c>
      <x:c r="H228" s="23" t="str"/>
      <x:c r="I228" s="23" t="str"/>
      <x:c r="J228" s="23" t="e">
        <x:f>HYPERLINK("https://www.wongnai.com/restaurants/429467oj-%E0%B9%80%E0%B8%A3%E0%B8%B4%E0%B8%99-coffee-beef-plant-%E0%B8%8B%E0%B8%AD%E0%B8%A2%E0%B8%97%E0%B9%88%E0%B8%B2%E0%B8%A1%E0%B8%B2%E0%B8%A5%E0%B8%B1%E0%B8%A2","เปิดหน้ารีวิว 1")</x:f>
        <x:v>HYPERLINK is not implemented. linkLocation=https://www.wongnai.com/restaurants/429467oj-%E0%B9%80%E0%B8%A3%E0%B8%B4%E0%B8%99-coffee-beef-plant-%E0%B8%8B%E0%B8%AD%E0%B8%A2%E0%B8%97%E0%B9%88%E0%B8%B2%E0%B8%A1%E0%B8%B2%E0%B8%A5%E0%B8%B1%E0%B8%A2, friendlyName=เปิดหน้ารีวิว 1</x:v>
      </x:c>
      <x:c r="K228" s="23" t="e">
        <x:f>HYPERLINK("https://au.trip.com/moments/detail/la-ngu-1447216-139654370/","เปิดหน้ารีวิว 2")</x:f>
        <x:v>HYPERLINK is not implemented. linkLocation=https://au.trip.com/moments/detail/la-ngu-1447216-139654370/, friendlyName=เปิดหน้ารีวิว 2</x:v>
      </x:c>
      <x:c r="L228" s="23" t="str"/>
      <x:c r="M228" s="23" t="str"/>
      <x:c r="N228" s="20" t="str">
        <x:v>ยังไม่ยืนยัน</x:v>
      </x:c>
      <x:c r="O22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28" s="25" t="n">
        <x:v>46315</x:v>
      </x:c>
      <x:c r="Q228" s="27" t="str">
        <x:v>ยังไม่ตรวจ</x:v>
      </x:c>
      <x:c r="R228" s="27" t="str">
        <x:v>รอติดต่อ</x:v>
      </x:c>
    </x:row>
    <x:row r="229" ht="76" customHeight="1">
      <x:c r="A229" s="24" t="str">
        <x:v>TMF-221</x:v>
      </x:c>
      <x:c r="B229" s="20" t="str">
        <x:v>แอ่นแอ้นคาเฟ่</x:v>
      </x:c>
      <x:c r="C229" s="20" t="str">
        <x:v>สตูล</x:v>
      </x:c>
      <x:c r="D229" s="20" t="str">
        <x:v>คงไว้ในชุด 600</x:v>
      </x:c>
      <x:c r="E229" s="20" t="str">
        <x:v>พบหลายแหล่งสัมพันธ์กับชื่อ รอยืนยันการเปิด</x:v>
      </x:c>
      <x:c r="F229" s="20" t="str">
        <x:v>ยังไม่ยืนยันการเปิดให้บริการปัจจุบัน</x:v>
      </x:c>
      <x:c r="G229" s="26" t="n">
        <x:v>2</x:v>
      </x:c>
      <x:c r="H229" s="23" t="str"/>
      <x:c r="I229" s="23" t="str"/>
      <x:c r="J229" s="23" t="str"/>
      <x:c r="K229" s="23" t="str"/>
      <x:c r="L229" s="23" t="e">
        <x:f>HYPERLINK("https://www.tatstar.org/company/STAR-A00177","เปิดเว็บเพิ่ม 1")</x:f>
        <x:v>HYPERLINK is not implemented. linkLocation=https://www.tatstar.org/company/STAR-A00177, friendlyName=เปิดเว็บเพิ่ม 1</x:v>
      </x:c>
      <x:c r="M229" s="23" t="str"/>
      <x:c r="N229" s="20" t="str">
        <x:v>ยังไม่ยืนยัน</x:v>
      </x:c>
      <x:c r="O22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29" s="25" t="n">
        <x:v>46315</x:v>
      </x:c>
      <x:c r="Q229" s="27" t="str">
        <x:v>ยังไม่ตรวจ</x:v>
      </x:c>
      <x:c r="R229" s="27" t="str">
        <x:v>รอติดต่อ</x:v>
      </x:c>
    </x:row>
    <x:row r="230" ht="76" customHeight="1">
      <x:c r="A230" s="24" t="str">
        <x:v>TMF-222</x:v>
      </x:c>
      <x:c r="B230" s="20" t="str">
        <x:v>ไมอามี่ ซีวิว</x:v>
      </x:c>
      <x:c r="C230" s="20" t="str">
        <x:v>สตูล</x:v>
      </x:c>
      <x:c r="D230" s="20" t="str">
        <x:v>คงไว้ในชุด 600</x:v>
      </x:c>
      <x:c r="E230" s="20" t="str">
        <x:v>พบหลายแหล่งสัมพันธ์กับชื่อ รอยืนยันการเปิด</x:v>
      </x:c>
      <x:c r="F230" s="20" t="str">
        <x:v>ยังไม่ยืนยันการเปิดให้บริการปัจจุบัน</x:v>
      </x:c>
      <x:c r="G230" s="26" t="n">
        <x:v>5</x:v>
      </x:c>
      <x:c r="H230" s="23" t="str"/>
      <x:c r="I230" s="23" t="str"/>
      <x:c r="J230" s="23" t="e">
        <x:f>HYPERLINK("https://www.lemon8-app.com/%40after.wedding.journey/7669034679094100500?region=th","เปิดหน้ารีวิว 1")</x:f>
        <x:v>HYPERLINK is not implemented. linkLocation=https://www.lemon8-app.com/%40after.wedding.journey/7669034679094100500?region=th, friendlyName=เปิดหน้ารีวิว 1</x:v>
      </x:c>
      <x:c r="K230" s="23" t="str"/>
      <x:c r="L230" s="23" t="e">
        <x:f>HYPERLINK("https://www.chiangdao.com/hotels4/th/asiahotels/thailandhotels/satunhotels/miamiseaview.htm","เปิดเว็บเพิ่ม 1")</x:f>
        <x:v>HYPERLINK is not implemented. linkLocation=https://www.chiangdao.com/hotels4/th/asiahotels/thailandhotels/satunhotels/miamiseaview.htm, friendlyName=เปิดเว็บเพิ่ม 1</x:v>
      </x:c>
      <x:c r="M230" s="23" t="e">
        <x:f>HYPERLINK("https://www.traveloka.com/th-th/hotel/thailand/miami-seaview-9000002210343","เปิดเว็บเพิ่ม 2")</x:f>
        <x:v>HYPERLINK is not implemented. linkLocation=https://www.traveloka.com/th-th/hotel/thailand/miami-seaview-9000002210343, friendlyName=เปิดเว็บเพิ่ม 2</x:v>
      </x:c>
      <x:c r="N230" s="20" t="str">
        <x:v>ยังไม่ยืนยัน</x:v>
      </x:c>
      <x:c r="O23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30" s="25" t="n">
        <x:v>46315</x:v>
      </x:c>
      <x:c r="Q230" s="27" t="str">
        <x:v>ยังไม่ตรวจ</x:v>
      </x:c>
      <x:c r="R230" s="27" t="str">
        <x:v>รอติดต่อ</x:v>
      </x:c>
    </x:row>
    <x:row r="231" ht="76" customHeight="1">
      <x:c r="A231" s="24" t="str">
        <x:v>TMF-223</x:v>
      </x:c>
      <x:c r="B231" s="20" t="str">
        <x:v>ส้มตำบางกะสี</x:v>
      </x:c>
      <x:c r="C231" s="20" t="str">
        <x:v>สมุทรปราการ</x:v>
      </x:c>
      <x:c r="D231" s="20" t="str">
        <x:v>คงไว้ในชุด 600</x:v>
      </x:c>
      <x:c r="E231" s="20" t="str">
        <x:v>พบหลายแหล่งสัมพันธ์กับชื่อ รอยืนยันการเปิด</x:v>
      </x:c>
      <x:c r="F231" s="20" t="str">
        <x:v>ยังไม่ยืนยันการเปิดให้บริการปัจจุบัน</x:v>
      </x:c>
      <x:c r="G231" s="26" t="n">
        <x:v>4</x:v>
      </x:c>
      <x:c r="H231" s="23" t="str"/>
      <x:c r="I231" s="23" t="str"/>
      <x:c r="J231" s="23" t="e">
        <x:f>HYPERLINK("https://www.wongnai.com/restaurants/511261IA-%E0%B8%AA%E0%B9%89%E0%B8%A1%E0%B8%95%E0%B8%B3%E0%B8%9A%E0%B8%B2%E0%B8%87%E0%B8%81%E0%B8%B0%E0%B8%AA%E0%B8%B5","เปิดหน้ารีวิว 1")</x:f>
        <x:v>HYPERLINK is not implemented. linkLocation=https://www.wongnai.com/restaurants/511261IA-%E0%B8%AA%E0%B9%89%E0%B8%A1%E0%B8%95%E0%B8%B3%E0%B8%9A%E0%B8%B2%E0%B8%87%E0%B8%81%E0%B8%B0%E0%B8%AA%E0%B8%B5, friendlyName=เปิดหน้ารีวิว 1</x:v>
      </x:c>
      <x:c r="K231" s="23" t="str"/>
      <x:c r="L231" s="23" t="e">
        <x:f>HYPERLINK("https://www.thaithurkic.com/%E0%B8%AA%E0%B9%89%E0%B8%A1%E0%B8%95%E0%B8%B3%E0%B8%9A%E0%B8%B2%E0%B8%87%E0%B8%81%E0%B8%B0%E0%B8%AA%E0%B8%B5-%E0%B8%AE%E0%B8%B2%E0%B8%A5%E0%B8%B2%E0%B8%A5-somtumbangkasee-083-132-4834","เปิดเว็บเพิ่ม 1")</x:f>
        <x:v>HYPERLINK is not implemented. linkLocation=https://www.thaithurkic.com/%E0%B8%AA%E0%B9%89%E0%B8%A1%E0%B8%95%E0%B8%B3%E0%B8%9A%E0%B8%B2%E0%B8%87%E0%B8%81%E0%B8%B0%E0%B8%AA%E0%B8%B5-%E0%B8%AE%E0%B8%B2%E0%B8%A5%E0%B8%B2%E0%B8%A5-somtumbangkasee-083-132-4834, friendlyName=เปิดเว็บเพิ่ม 1</x:v>
      </x:c>
      <x:c r="M231" s="23" t="e">
        <x:f>HYPERLINK("https://xn--l3cga1amo9al2e5c0fqf.cybo.com/TH/%E0%B8%AD%E0%B8%B3%E0%B9%80%E0%B8%A0%E0%B8%AD%E0%B9%80%E0%B8%A1%E0%B8%B7%E0%B8%AD%E0%B8%87%E0%B8%AA%E0%B8%A1%E0%B8%B8%E0%B8%97%E0%B8%A3%E0%B8%9B%E0%B8%A3%E0%B8%B2%E0%B8%81%E0%B8%B2%E0%B8%A3/%E0%B8%A3%E0%B9%89%E0%B8%B2%E0%B8%99%E0%B8%AD%E0%B8%B2%E0%B8%AB%E0%B8%B2%E0%B8%A3%E0%B8%AE%E0%B8%B2%E0%B8%A5%E0%B8%B2%E0%B8%A5?p=3","เปิดเว็บเพิ่ม 2")</x:f>
        <x:v>HYPERLINK is not implemented. linkLocation=https://xn--l3cga1amo9al2e5c0fqf.cybo.com/TH/%E0%B8%AD%E0%B8%B3%E0%B9%80%E0%B8%A0%E0%B8%AD%E0%B9%80%E0%B8%A1%E0%B8%B7%E0%B8%AD%E0%B8%87%E0%B8%AA%E0%B8%A1%E0%B8%B8%E0%B8%97%E0%B8%A3%E0%B8%9B%E0%B8%A3%E0%B8%B2%E0%B8%81%E0%B8%B2%E0%B8%A3/%E0%B8%A3%E0%B9%89%E0%B8%B2%E0%B8%99%E0%B8%AD%E0%B8%B2%E0%B8%AB%E0%B8%B2%E0%B8%A3%E0%B8%AE%E0%B8%B2%E0%B8%A5%E0%B8%B2%E0%B8%A5?p=3, friendlyName=เปิดเว็บเพิ่ม 2</x:v>
      </x:c>
      <x:c r="N231" s="20" t="str">
        <x:v>ยังไม่ยืนยัน</x:v>
      </x:c>
      <x:c r="O23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31" s="25" t="n">
        <x:v>46315</x:v>
      </x:c>
      <x:c r="Q231" s="27" t="str">
        <x:v>ยังไม่ตรวจ</x:v>
      </x:c>
      <x:c r="R231" s="27" t="str">
        <x:v>รอติดต่อ</x:v>
      </x:c>
    </x:row>
    <x:row r="232" ht="96" customHeight="1">
      <x:c r="A232" s="24" t="str">
        <x:v>TMF-224</x:v>
      </x:c>
      <x:c r="B232" s="20" t="str">
        <x:v>แมนดาริน สุกี้&amp;ติ่มซำ สาขา เมกาบางนา</x:v>
      </x:c>
      <x:c r="C232" s="20" t="str">
        <x:v>สมุทรปราการ</x:v>
      </x:c>
      <x:c r="D232" s="20" t="str">
        <x:v>คงไว้ในชุด 600</x:v>
      </x:c>
      <x:c r="E232" s="20" t="str">
        <x:v>หลักฐานไม่พอ รอยืนยันการเปิด</x:v>
      </x:c>
      <x:c r="F232" s="20" t="str">
        <x:v>ยังไม่ยืนยันการเปิดให้บริการปัจจุบัน</x:v>
      </x:c>
      <x:c r="G232" s="26" t="n">
        <x:v>1</x:v>
      </x:c>
      <x:c r="H232" s="23" t="str"/>
      <x:c r="I232" s="23" t="str"/>
      <x:c r="J232" s="23" t="str"/>
      <x:c r="K232" s="23" t="str"/>
      <x:c r="L232" s="23" t="str"/>
      <x:c r="M232" s="23" t="str"/>
      <x:c r="N232" s="20" t="str">
        <x:v>ยังไม่ยืนยัน</x:v>
      </x:c>
      <x:c r="O23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32" s="25" t="n">
        <x:v>46315</x:v>
      </x:c>
      <x:c r="Q232" s="27" t="str">
        <x:v>ยังไม่ตรวจ</x:v>
      </x:c>
      <x:c r="R232" s="27" t="str">
        <x:v>รอติดต่อ</x:v>
      </x:c>
    </x:row>
    <x:row r="233" ht="76" customHeight="1">
      <x:c r="A233" s="24" t="str">
        <x:v>TMF-225</x:v>
      </x:c>
      <x:c r="B233" s="20" t="str">
        <x:v>โรตี ข้าวหมก Salute</x:v>
      </x:c>
      <x:c r="C233" s="20" t="str">
        <x:v>สมุทรปราการ</x:v>
      </x:c>
      <x:c r="D233" s="20" t="str">
        <x:v>คงไว้ในชุด 600</x:v>
      </x:c>
      <x:c r="E233" s="20" t="str">
        <x:v>พบหลายแหล่งสัมพันธ์กับชื่อ รอยืนยันการเปิด</x:v>
      </x:c>
      <x:c r="F233" s="20" t="str">
        <x:v>ยังไม่ยืนยันการเปิดให้บริการปัจจุบัน</x:v>
      </x:c>
      <x:c r="G233" s="26" t="n">
        <x:v>2</x:v>
      </x:c>
      <x:c r="H233" s="23" t="str"/>
      <x:c r="I233" s="23" t="str"/>
      <x:c r="J233" s="23" t="e">
        <x:f>HYPERLINK("https://www.wongnai.com/restaurants/2407421IL-%E0%B9%82%E0%B8%A3%E0%B8%95%E0%B8%B5-%E0%B8%82%E0%B9%89%E0%B8%B2%E0%B8%A7%E0%B8%AB%E0%B8%A1%E0%B8%81-%E0%B8%8B%E0%B8%B2%E0%B8%A5%E0%B8%B9%E0%B8%97-%E0%B8%9B%E0%B8%B1%E0%B9%89%E0%B8%A1%E0%B8%9B%E0%B8%95%E0%B8%97-%E0%B8%81%E0%B8%A1-14-%E0%B8%82%E0%B8%B2%E0%B9%80%E0%B8%82%E0%B9%89%E0%B8%B2%E0%B9%80%E0%B8%A1%E0%B8%B7%E0%B8%AD%E0%B8%87","เปิดหน้ารีวิว 1")</x:f>
        <x:v>HYPERLINK is not implemented. linkLocation=https://www.wongnai.com/restaurants/2407421IL-%E0%B9%82%E0%B8%A3%E0%B8%95%E0%B8%B5-%E0%B8%82%E0%B9%89%E0%B8%B2%E0%B8%A7%E0%B8%AB%E0%B8%A1%E0%B8%81-%E0%B8%8B%E0%B8%B2%E0%B8%A5%E0%B8%B9%E0%B8%97-%E0%B8%9B%E0%B8%B1%E0%B9%89%E0%B8%A1%E0%B8%9B%E0%B8%95%E0%B8%97-%E0%B8%81%E0%B8%A1-14-%E0%B8%82%E0%B8%B2%E0%B9%80%E0%B8%82%E0%B9%89%E0%B8%B2%E0%B9%80%E0%B8%A1%E0%B8%B7%E0%B8%AD%E0%B8%87, friendlyName=เปิดหน้ารีวิว 1</x:v>
      </x:c>
      <x:c r="K233" s="23" t="str"/>
      <x:c r="L233" s="23" t="str"/>
      <x:c r="M233" s="23" t="str"/>
      <x:c r="N233" s="20" t="str">
        <x:v>ยังไม่ยืนยัน</x:v>
      </x:c>
      <x:c r="O23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33" s="25" t="n">
        <x:v>46315</x:v>
      </x:c>
      <x:c r="Q233" s="27" t="str">
        <x:v>ยังไม่ตรวจ</x:v>
      </x:c>
      <x:c r="R233" s="27" t="str">
        <x:v>รอติดต่อ</x:v>
      </x:c>
    </x:row>
    <x:row r="234" ht="96" customHeight="1">
      <x:c r="A234" s="24" t="str">
        <x:v>TMF-226</x:v>
      </x:c>
      <x:c r="B234" s="20" t="str">
        <x:v>มา กิน เนื้อ จันบี Dry aged halal</x:v>
      </x:c>
      <x:c r="C234" s="20" t="str">
        <x:v>สระบุรี</x:v>
      </x:c>
      <x:c r="D234" s="20" t="str">
        <x:v>คงไว้ในชุด 600</x:v>
      </x:c>
      <x:c r="E234" s="20" t="str">
        <x:v>หลักฐานไม่พอ รอยืนยันการเปิด</x:v>
      </x:c>
      <x:c r="F234" s="20" t="str">
        <x:v>ยังไม่ยืนยันการเปิดให้บริการปัจจุบัน</x:v>
      </x:c>
      <x:c r="G234" s="26" t="n">
        <x:v>1</x:v>
      </x:c>
      <x:c r="H234" s="23" t="str"/>
      <x:c r="I234" s="23" t="str"/>
      <x:c r="J234" s="23" t="str"/>
      <x:c r="K234" s="23" t="str"/>
      <x:c r="L234" s="23" t="str"/>
      <x:c r="M234" s="23" t="str"/>
      <x:c r="N234" s="20" t="str">
        <x:v>ยังไม่ยืนยัน</x:v>
      </x:c>
      <x:c r="O23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34" s="25" t="n">
        <x:v>46315</x:v>
      </x:c>
      <x:c r="Q234" s="27" t="str">
        <x:v>ยังไม่ตรวจ</x:v>
      </x:c>
      <x:c r="R234" s="27" t="str">
        <x:v>รอติดต่อ</x:v>
      </x:c>
    </x:row>
    <x:row r="235" ht="76" customHeight="1">
      <x:c r="A235" s="24" t="str">
        <x:v>TMF-227</x:v>
      </x:c>
      <x:c r="B235" s="20" t="str">
        <x:v>ฮาลาลปากช่อง-ดุนยา ออกานิค</x:v>
      </x:c>
      <x:c r="C235" s="20" t="str">
        <x:v>สระบุรี</x:v>
      </x:c>
      <x:c r="D235" s="20" t="str">
        <x:v>คงไว้ในชุด 600</x:v>
      </x:c>
      <x:c r="E235" s="20" t="str">
        <x:v>พบหลายแหล่งสัมพันธ์กับชื่อ รอยืนยันการเปิด</x:v>
      </x:c>
      <x:c r="F235" s="20" t="str">
        <x:v>ยังไม่ยืนยันการเปิดให้บริการปัจจุบัน</x:v>
      </x:c>
      <x:c r="G235" s="26" t="n">
        <x:v>3</x:v>
      </x:c>
      <x:c r="H235" s="23" t="str"/>
      <x:c r="I235" s="23" t="str"/>
      <x:c r="J235" s="23" t="str"/>
      <x:c r="K235" s="23" t="str"/>
      <x:c r="L235" s="23" t="e">
        <x:f>HYPERLINK("https://sootinclaimon.com/2017/01/08/%E0%B8%A2%E0%B8%B2%E0%B8%8B%E0%B8%B5%E0%B8%99-%E0%B8%9A%E0%B8%B8%E0%B8%8D%E0%B8%A1%E0%B8%B2%E0%B9%80%E0%B8%A5%E0%B8%B4%E0%B8%A8-%E0%B8%97%E0%B8%B4%E0%B9%89%E0%B8%87%E0%B9%80%E0%B8%87%E0%B8%B4%E0%B8%99/","เปิดเว็บเพิ่ม 1")</x:f>
        <x:v>HYPERLINK is not implemented. linkLocation=https://sootinclaimon.com/2017/01/08/%E0%B8%A2%E0%B8%B2%E0%B8%8B%E0%B8%B5%E0%B8%99-%E0%B8%9A%E0%B8%B8%E0%B8%8D%E0%B8%A1%E0%B8%B2%E0%B9%80%E0%B8%A5%E0%B8%B4%E0%B8%A8-%E0%B8%97%E0%B8%B4%E0%B9%89%E0%B8%87%E0%B9%80%E0%B8%87%E0%B8%B4%E0%B8%99/, friendlyName=เปิดเว็บเพิ่ม 1</x:v>
      </x:c>
      <x:c r="M235" s="23" t="e">
        <x:f>HYPERLINK("https://www.khaosod.co.th/technologychaoban/techno-news/article_14076","เปิดเว็บเพิ่ม 2")</x:f>
        <x:v>HYPERLINK is not implemented. linkLocation=https://www.khaosod.co.th/technologychaoban/techno-news/article_14076, friendlyName=เปิดเว็บเพิ่ม 2</x:v>
      </x:c>
      <x:c r="N235" s="20" t="str">
        <x:v>ยังไม่ยืนยัน</x:v>
      </x:c>
      <x:c r="O235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35" s="25" t="n">
        <x:v>46315</x:v>
      </x:c>
      <x:c r="Q235" s="27" t="str">
        <x:v>ยังไม่ตรวจ</x:v>
      </x:c>
      <x:c r="R235" s="27" t="str">
        <x:v>รอติดต่อ</x:v>
      </x:c>
    </x:row>
    <x:row r="236" ht="76" customHeight="1">
      <x:c r="A236" s="24" t="str">
        <x:v>TMF-228</x:v>
      </x:c>
      <x:c r="B236" s="20" t="str">
        <x:v>Aasia's kitchen</x:v>
      </x:c>
      <x:c r="C236" s="20" t="str">
        <x:v>สุราษฎร์ธานี</x:v>
      </x:c>
      <x:c r="D236" s="20" t="str">
        <x:v>คงไว้ในชุด 600</x:v>
      </x:c>
      <x:c r="E236" s="20" t="str">
        <x:v>พบหลายแหล่งสัมพันธ์กับชื่อ รอยืนยันการเปิด</x:v>
      </x:c>
      <x:c r="F236" s="20" t="str">
        <x:v>ยังไม่ยืนยันการเปิดให้บริการปัจจุบัน</x:v>
      </x:c>
      <x:c r="G236" s="26" t="n">
        <x:v>7</x:v>
      </x:c>
      <x:c r="H236" s="23" t="str"/>
      <x:c r="I236" s="23" t="str"/>
      <x:c r="J236" s="23" t="e">
        <x:f>HYPERLINK("https://uk.trip.com/restaurant/thailand/koh-samui/detail/aasia-kitchen-140798675/","เปิดหน้ารีวิว 1")</x:f>
        <x:v>HYPERLINK is not implemented. linkLocation=https://uk.trip.com/restaurant/thailand/koh-samui/detail/aasia-kitchen-140798675/, friendlyName=เปิดหน้ารีวิว 1</x:v>
      </x:c>
      <x:c r="K236" s="23" t="e">
        <x:f>HYPERLINK("https://wanderlog.com/place/details/9514311/aasias-kitchen-samui-halal-food-moroccan-foodthai-foodarabic-food","เปิดหน้ารีวิว 2")</x:f>
        <x:v>HYPERLINK is not implemented. linkLocation=https://wanderlog.com/place/details/9514311/aasias-kitchen-samui-halal-food-moroccan-foodthai-foodarabic-food, friendlyName=เปิดหน้ารีวิว 2</x:v>
      </x:c>
      <x:c r="L236" s="23" t="e">
        <x:f>HYPERLINK("https://autoreserve.com/th/restaurants/nosPM6Y4kp2Skvipo4hX","เปิดเว็บเพิ่ม 1")</x:f>
        <x:v>HYPERLINK is not implemented. linkLocation=https://autoreserve.com/th/restaurants/nosPM6Y4kp2Skvipo4hX, friendlyName=เปิดเว็บเพิ่ม 1</x:v>
      </x:c>
      <x:c r="M236" s="23" t="e">
        <x:f>HYPERLINK("https://www.andabout.com/place/aasia-s-kitchen-samui-halal-food-moroccan-food-thai-food-arabic-food-3829","เปิดเว็บเพิ่ม 2")</x:f>
        <x:v>HYPERLINK is not implemented. linkLocation=https://www.andabout.com/place/aasia-s-kitchen-samui-halal-food-moroccan-food-thai-food-arabic-food-3829, friendlyName=เปิดเว็บเพิ่ม 2</x:v>
      </x:c>
      <x:c r="N236" s="20" t="str">
        <x:v>ยังไม่ยืนยัน</x:v>
      </x:c>
      <x:c r="O23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36" s="25" t="n">
        <x:v>46315</x:v>
      </x:c>
      <x:c r="Q236" s="27" t="str">
        <x:v>ยังไม่ตรวจ</x:v>
      </x:c>
      <x:c r="R236" s="27" t="str">
        <x:v>รอติดต่อ</x:v>
      </x:c>
    </x:row>
    <x:row r="237" ht="76" customHeight="1">
      <x:c r="A237" s="24" t="str">
        <x:v>TMF-229</x:v>
      </x:c>
      <x:c r="B237" s="20" t="str">
        <x:v>Love Halal Food at AngThong</x:v>
      </x:c>
      <x:c r="C237" s="20" t="str">
        <x:v>อ่างทอง</x:v>
      </x:c>
      <x:c r="D237" s="20" t="str">
        <x:v>คงไว้ในชุด 600</x:v>
      </x:c>
      <x:c r="E237" s="20" t="str">
        <x:v>พบหลายแหล่งสัมพันธ์กับชื่อ รอยืนยันการเปิด</x:v>
      </x:c>
      <x:c r="F237" s="20" t="str">
        <x:v>ยังไม่ยืนยันการเปิดให้บริการปัจจุบัน</x:v>
      </x:c>
      <x:c r="G237" s="26" t="n">
        <x:v>3</x:v>
      </x:c>
      <x:c r="H237" s="23" t="str"/>
      <x:c r="I237" s="23" t="str"/>
      <x:c r="J237" s="23" t="e">
        <x:f>HYPERLINK("https://restaurantguru.com/Love-Halal-Food-at-Angthong-Ban-It","เปิดหน้ารีวิว 1")</x:f>
        <x:v>HYPERLINK is not implemented. linkLocation=https://restaurantguru.com/Love-Halal-Food-at-Angthong-Ban-It, friendlyName=เปิดหน้ารีวิว 1</x:v>
      </x:c>
      <x:c r="K237" s="23" t="e">
        <x:f>HYPERLINK("https://es.restaurantguru.com/Love-Halal-Food-at-Angthong-Ban-It","เปิดหน้ารีวิว 2")</x:f>
        <x:v>HYPERLINK is not implemented. linkLocation=https://es.restaurantguru.com/Love-Halal-Food-at-Angthong-Ban-It, friendlyName=เปิดหน้ารีวิว 2</x:v>
      </x:c>
      <x:c r="L237" s="23" t="str"/>
      <x:c r="M237" s="23" t="str"/>
      <x:c r="N237" s="20" t="str">
        <x:v>ยังไม่ยืนยัน</x:v>
      </x:c>
      <x:c r="O23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37" s="25" t="n">
        <x:v>46315</x:v>
      </x:c>
      <x:c r="Q237" s="27" t="str">
        <x:v>ยังไม่ตรวจ</x:v>
      </x:c>
      <x:c r="R237" s="27" t="str">
        <x:v>รอติดต่อ</x:v>
      </x:c>
    </x:row>
    <x:row r="238" ht="76" customHeight="1">
      <x:c r="A238" s="24" t="str">
        <x:v>TMF-230</x:v>
      </x:c>
      <x:c r="B238" s="20" t="str">
        <x:v>เตี๋ยวเนื้อตุ๋น บังยุบ อ่างทอง</x:v>
      </x:c>
      <x:c r="C238" s="20" t="str">
        <x:v>อ่างทอง</x:v>
      </x:c>
      <x:c r="D238" s="20" t="str">
        <x:v>คงไว้ในชุด 600</x:v>
      </x:c>
      <x:c r="E238" s="20" t="str">
        <x:v>พบหลายแหล่งสัมพันธ์กับชื่อ รอยืนยันการเปิด</x:v>
      </x:c>
      <x:c r="F238" s="20" t="str">
        <x:v>ยังไม่ยืนยันการเปิดให้บริการปัจจุบัน</x:v>
      </x:c>
      <x:c r="G238" s="26" t="n">
        <x:v>5</x:v>
      </x:c>
      <x:c r="H238" s="23" t="str"/>
      <x:c r="I238" s="23" t="str"/>
      <x:c r="J238" s="23" t="e">
        <x:f>HYPERLINK("https://www.wongnai.com/restaurants/3022870Qk-%E0%B9%80%E0%B8%95%E0%B8%B5%E0%B9%8B%E0%B8%A2%E0%B8%A7%E0%B9%80%E0%B8%99%E0%B8%B7%E0%B9%89%E0%B8%AD-%E0%B8%9A%E0%B8%B1%E0%B8%87%E0%B8%A2%E0%B8%B8%E0%B8%9A-smoke-grill-halal","เปิดหน้ารีวิว 1")</x:f>
        <x:v>HYPERLINK is not implemented. linkLocation=https://www.wongnai.com/restaurants/3022870Qk-%E0%B9%80%E0%B8%95%E0%B8%B5%E0%B9%8B%E0%B8%A2%E0%B8%A7%E0%B9%80%E0%B8%99%E0%B8%B7%E0%B9%89%E0%B8%AD-%E0%B8%9A%E0%B8%B1%E0%B8%87%E0%B8%A2%E0%B8%B8%E0%B8%9A-smoke-grill-halal, friendlyName=เปิดหน้ารีวิว 1</x:v>
      </x:c>
      <x:c r="K238" s="23" t="e">
        <x:f>HYPERLINK("https://www.lemon8-app.com/%40a_chernyim/7568979685059215880?region=th","เปิดหน้ารีวิว 2")</x:f>
        <x:v>HYPERLINK is not implemented. linkLocation=https://www.lemon8-app.com/%40a_chernyim/7568979685059215880?region=th, friendlyName=เปิดหน้ารีวิว 2</x:v>
      </x:c>
      <x:c r="L238" s="23" t="e">
        <x:f>HYPERLINK("https://www.lovethailand.org/travel/37-amnat-charoen.html/15-%E0%B8%AD%E0%B9%88%E0%B8%B2%E0%B8%87%E0%B8%97%E0%B8%AD%E0%B8%87/1266-%E0%B8%A7%E0%B8%B1%E0%B8%94%E0%B8%95%E0%B9%89%E0%B8%99%E0%B8%AA%E0%B8%99.html","เปิดเว็บเพิ่ม 1")</x:f>
        <x:v>HYPERLINK is not implemented. linkLocation=https://www.lovethailand.org/travel/37-amnat-charoen.html/15-%E0%B8%AD%E0%B9%88%E0%B8%B2%E0%B8%87%E0%B8%97%E0%B8%AD%E0%B8%87/1266-%E0%B8%A7%E0%B8%B1%E0%B8%94%E0%B8%95%E0%B9%89%E0%B8%99%E0%B8%AA%E0%B8%99.html, friendlyName=เปิดเว็บเพิ่ม 1</x:v>
      </x:c>
      <x:c r="M238" s="23" t="str"/>
      <x:c r="N238" s="20" t="str">
        <x:v>ยังไม่ยืนยัน</x:v>
      </x:c>
      <x:c r="O23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38" s="25" t="n">
        <x:v>46315</x:v>
      </x:c>
      <x:c r="Q238" s="27" t="str">
        <x:v>ยังไม่ตรวจ</x:v>
      </x:c>
      <x:c r="R238" s="27" t="str">
        <x:v>รอติดต่อ</x:v>
      </x:c>
    </x:row>
    <x:row r="239" ht="76" customHeight="1">
      <x:c r="A239" s="24" t="str">
        <x:v>TMF-231</x:v>
      </x:c>
      <x:c r="B239" s="20" t="str">
        <x:v>Arsh Boutique Hotel</x:v>
      </x:c>
      <x:c r="C239" s="20" t="str">
        <x:v>เชียงใหม่</x:v>
      </x:c>
      <x:c r="D239" s="20" t="str">
        <x:v>คงไว้ในชุด 600</x:v>
      </x:c>
      <x:c r="E239" s="20" t="str">
        <x:v>พบหลายแหล่งสัมพันธ์กับชื่อ รอยืนยันการเปิด</x:v>
      </x:c>
      <x:c r="F239" s="20" t="str">
        <x:v>ยังไม่ยืนยันการเปิดให้บริการปัจจุบัน</x:v>
      </x:c>
      <x:c r="G239" s="26" t="n">
        <x:v>6</x:v>
      </x:c>
      <x:c r="H239" s="23" t="str"/>
      <x:c r="I239" s="23" t="str"/>
      <x:c r="J239" s="23" t="e">
        <x:f>HYPERLINK("https://www.google.com.sa/travel/hotels/entity/ChoIwNjwyoOvmPDBARoNL2cvMTF0Yno0bjFsNRAB?ap=MAA&amp;gl=th&amp;gsas=1&amp;hl=th&amp;rp=OAFIAg&amp;ts=CAESCgoCCAMKAggDEAAabwpREk0yJDB4MzBkYTNhOWUzNWU0OGExNToweDQwMzQ2YzVmYThiODlmMDol4LiV4Liz4Lia4LilIOC4nuC4o-C4sOC4quC4tOC4h-C4q-C5jBoAEhoSFAoHCOkPEAgYBBIHCOkPEAgYBRgBMgIQACoJCgU6A1RIQhoA&amp;un=1","เปิดหน้ารีวิว 1")</x:f>
        <x:v>HYPERLINK is not implemented. linkLocation=https://www.google.com.sa/travel/hotels/entity/ChoIwNjwyoOvmPDBARoNL2cvMTF0Yno0bjFsNRAB?ap=MAA&amp;gl=th&amp;gsas=1&amp;hl=th&amp;rp=OAFIAg&amp;ts=CAESCgoCCAMKAggDEAAabwpREk0yJDB4MzBkYTNhOWUzNWU0OGExNToweDQwMzQ2YzVmYThiODlmMDol4LiV4Liz4Lia4LilIOC4nuC4o-C4sOC4quC4tOC4h-C4q-C5jBoAEhoSFAoHCOkPEAgYBBIHCOkPEAgYBRgBMgIQACoJCgU6A1RIQhoA&amp;un=1, friendlyName=เปิดหน้ารีวิว 1</x:v>
      </x:c>
      <x:c r="K239" s="23" t="e">
        <x:f>HYPERLINK("https://www.google.com/travel/hotels/entity/ChoIwNjwyoOvmPDBARoNL2cvMTF0Yno0bjFsNRAB?gsas=1","เปิดหน้ารีวิว 2")</x:f>
        <x:v>HYPERLINK is not implemented. linkLocation=https://www.google.com/travel/hotels/entity/ChoIwNjwyoOvmPDBARoNL2cvMTF0Yno0bjFsNRAB?gsas=1, friendlyName=เปิดหน้ารีวิว 2</x:v>
      </x:c>
      <x:c r="L239" s="23" t="e">
        <x:f>HYPERLINK("https://www.tiket.com/en-us/hotel/thailand/arsh-boutique-hotel-511001669799609980","เปิดเว็บเพิ่ม 1")</x:f>
        <x:v>HYPERLINK is not implemented. linkLocation=https://www.tiket.com/en-us/hotel/thailand/arsh-boutique-hotel-511001669799609980, friendlyName=เปิดเว็บเพิ่ม 1</x:v>
      </x:c>
      <x:c r="M239" s="23" t="str"/>
      <x:c r="N239" s="20" t="str">
        <x:v>ยังไม่ยืนยัน</x:v>
      </x:c>
      <x:c r="O23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39" s="25" t="n">
        <x:v>46315</x:v>
      </x:c>
      <x:c r="Q239" s="27" t="str">
        <x:v>ยังไม่ตรวจ</x:v>
      </x:c>
      <x:c r="R239" s="27" t="str">
        <x:v>รอติดต่อ</x:v>
      </x:c>
    </x:row>
    <x:row r="240" ht="76" customHeight="1">
      <x:c r="A240" s="24" t="str">
        <x:v>TMF-232</x:v>
      </x:c>
      <x:c r="B240" s="20" t="str">
        <x:v>Lima Lanna Hotel</x:v>
      </x:c>
      <x:c r="C240" s="20" t="str">
        <x:v>เชียงใหม่</x:v>
      </x:c>
      <x:c r="D240" s="20" t="str">
        <x:v>คงไว้ในชุด 600</x:v>
      </x:c>
      <x:c r="E240" s="20" t="str">
        <x:v>พบหลายแหล่งสัมพันธ์กับชื่อ รอยืนยันการเปิด</x:v>
      </x:c>
      <x:c r="F240" s="20" t="str">
        <x:v>ยังไม่ยืนยันการเปิดให้บริการปัจจุบัน</x:v>
      </x:c>
      <x:c r="G240" s="26" t="n">
        <x:v>6</x:v>
      </x:c>
      <x:c r="H240" s="23" t="str"/>
      <x:c r="I240" s="23" t="str"/>
      <x:c r="J240" s="23" t="e">
        <x:f>HYPERLINK("https://www.booking.com/hotel/th/lima-lanna.html","เปิดหน้ารีวิว 1")</x:f>
        <x:v>HYPERLINK is not implemented. linkLocation=https://www.booking.com/hotel/th/lima-lanna.html, friendlyName=เปิดหน้ารีวิว 1</x:v>
      </x:c>
      <x:c r="K240" s="23" t="e">
        <x:f>HYPERLINK("https://www.google.com/travel/hotels/entity/ChkIrLnqi7-16YsbGg0vZy8xMWZmc2IycnF5EAE?ap=MAA&amp;g2lb=2502548%2C2503781%2C4258168%2C4270442%2C4306835%2C4317915%2C4328159%2C4371335%2C4401769%2C4419364%2C4429192%2C4463666%2C4466981%2C4482194%2C4482438%2C4486153%2C4491350%2C4495816%2C4511371%2C4270859%2C4284970%2C4291517&amp;gl=th&amp;hl=th-TH&amp;rp=ENKmlKz-zL_OXRDSppSs_sy_zl04AkAASALAAQI&amp;ts=CAESABpTCjUSMTIlMHgzMGRhM2E5OTY3NzQzZDQzOjB4OWNhNTI0OTIxNWY5ODlhNToIT2xkIENpdHkaABIaEhQKBwjlDxAGGAoSBwjlDxAGGAsYATICEAAqCQoFOgNUSEIaAA","เปิดหน้ารีวิว 2")</x:f>
        <x:v>HYPERLINK is not implemented. linkLocation=https://www.google.com/travel/hotels/entity/ChkIrLnqi7-16YsbGg0vZy8xMWZmc2IycnF5EAE?ap=MAA&amp;g2lb=2502548%2C2503781%2C4258168%2C4270442%2C4306835%2C4317915%2C4328159%2C4371335%2C4401769%2C4419364%2C4429192%2C4463666%2C4466981%2C4482194%2C4482438%2C4486153%2C4491350%2C4495816%2C4511371%2C4270859%2C4284970%2C4291517&amp;gl=th&amp;hl=th-TH&amp;rp=ENKmlKz-zL_OXRDSppSs_sy_zl04AkAASALAAQI&amp;ts=CAESABpTCjUSMTIlMHgzMGRhM2E5OTY3NzQzZDQzOjB4OWNhNTI0OTIxNWY5ODlhNToIT2xkIENpdHkaABIaEhQKBwjlDxAGGAoSBwjlDxAGGAsYATICEAAqCQoFOgNUSEIaAA, friendlyName=เปิดหน้ารีวิว 2</x:v>
      </x:c>
      <x:c r="L240" s="23" t="e">
        <x:f>HYPERLINK("https://www.traveloka.com/th-th/hotel/thailand/lima-lanna-hotel-1000001678070","เปิดเว็บเพิ่ม 1")</x:f>
        <x:v>HYPERLINK is not implemented. linkLocation=https://www.traveloka.com/th-th/hotel/thailand/lima-lanna-hotel-1000001678070, friendlyName=เปิดเว็บเพิ่ม 1</x:v>
      </x:c>
      <x:c r="M240" s="23" t="e">
        <x:f>HYPERLINK("https://www.traveloka.com/en-th/hotel/thailand/lima-lanna-hotel-1000001678070","เปิดเว็บเพิ่ม 2")</x:f>
        <x:v>HYPERLINK is not implemented. linkLocation=https://www.traveloka.com/en-th/hotel/thailand/lima-lanna-hotel-1000001678070, friendlyName=เปิดเว็บเพิ่ม 2</x:v>
      </x:c>
      <x:c r="N240" s="20" t="str">
        <x:v>ยังไม่ยืนยัน</x:v>
      </x:c>
      <x:c r="O24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40" s="25" t="n">
        <x:v>46315</x:v>
      </x:c>
      <x:c r="Q240" s="27" t="str">
        <x:v>ยังไม่ตรวจ</x:v>
      </x:c>
      <x:c r="R240" s="27" t="str">
        <x:v>รอติดต่อ</x:v>
      </x:c>
    </x:row>
    <x:row r="241" ht="76" customHeight="1">
      <x:c r="A241" s="24" t="str">
        <x:v>TMF-233</x:v>
      </x:c>
      <x:c r="B241" s="20" t="str">
        <x:v>มิรา เรสซิเดนซ์ &amp; รีสอร์ท</x:v>
      </x:c>
      <x:c r="C241" s="20" t="str">
        <x:v>เชียงใหม่</x:v>
      </x:c>
      <x:c r="D241" s="20" t="str">
        <x:v>คงไว้ในชุด 600</x:v>
      </x:c>
      <x:c r="E241" s="20" t="str">
        <x:v>พบหลายแหล่งสัมพันธ์กับชื่อ รอยืนยันการเปิด</x:v>
      </x:c>
      <x:c r="F241" s="20" t="str">
        <x:v>ยังไม่ยืนยันการเปิดให้บริการปัจจุบัน</x:v>
      </x:c>
      <x:c r="G241" s="26" t="n">
        <x:v>6</x:v>
      </x:c>
      <x:c r="H241" s="23" t="e">
        <x:f>HYPERLINK("https://www.facebook.com/MiraCuisine.cnx/","เปิดช่องทาง 1")</x:f>
        <x:v>HYPERLINK is not implemented. linkLocation=https://www.facebook.com/MiraCuisine.cnx/, friendlyName=เปิดช่องทาง 1</x:v>
      </x:c>
      <x:c r="I241" s="23" t="str"/>
      <x:c r="J241" s="23" t="e">
        <x:f>HYPERLINK("https://www.wongnai.com/hotels/338511cq-mira-residence-resort","เปิดหน้ารีวิว 1")</x:f>
        <x:v>HYPERLINK is not implemented. linkLocation=https://www.wongnai.com/hotels/338511cq-mira-residence-resort, friendlyName=เปิดหน้ารีวิว 1</x:v>
      </x:c>
      <x:c r="K241" s="23" t="e">
        <x:f>HYPERLINK("https://www.wongnai.com/articles/mira-cuisine-chiangmai","เปิดหน้ารีวิว 2")</x:f>
        <x:v>HYPERLINK is not implemented. linkLocation=https://www.wongnai.com/articles/mira-cuisine-chiangmai, friendlyName=เปิดหน้ารีวิว 2</x:v>
      </x:c>
      <x:c r="L241" s="23" t="e">
        <x:f>HYPERLINK("https://www.monkeytravel.com/th/en/hotel/chiangmai/sankampaeng-thasala/product/product_detail.php?product_id=1076802114","เปิดเว็บเพิ่ม 1")</x:f>
        <x:v>HYPERLINK is not implemented. linkLocation=https://www.monkeytravel.com/th/en/hotel/chiangmai/sankampaeng-thasala/product/product_detail.php?product_id=1076802114, friendlyName=เปิดเว็บเพิ่ม 1</x:v>
      </x:c>
      <x:c r="M241" s="23" t="e">
        <x:f>HYPERLINK("https://www.lovethailand.org/travel/en/1-Chiang-Mai/11020-Wat-Don-Chan.html","เปิดเว็บเพิ่ม 2")</x:f>
        <x:v>HYPERLINK is not implemented. linkLocation=https://www.lovethailand.org/travel/en/1-Chiang-Mai/11020-Wat-Don-Chan.html, friendlyName=เปิดเว็บเพิ่ม 2</x:v>
      </x:c>
      <x:c r="N241" s="20" t="str">
        <x:v>ยังไม่ยืนยัน</x:v>
      </x:c>
      <x:c r="O241" s="20" t="str">
        <x:v>ยังไม่ยืนยันวันที่โพสต์/รีวิวล่าสุดและการเปิดให้บริการปัจจุบัน</x:v>
      </x:c>
      <x:c r="P241" s="25" t="n">
        <x:v>46315</x:v>
      </x:c>
      <x:c r="Q241" s="27" t="str">
        <x:v>ยังไม่ตรวจ</x:v>
      </x:c>
      <x:c r="R241" s="27" t="str">
        <x:v>รอติดต่อ</x:v>
      </x:c>
    </x:row>
    <x:row r="242" ht="76" customHeight="1">
      <x:c r="A242" s="24" t="str">
        <x:v>TMF-234</x:v>
      </x:c>
      <x:c r="B242" s="20" t="str">
        <x:v>โรงแรม คาซ่า มารอค เชียงใหม่ Casa Marocc Chiangmai</x:v>
      </x:c>
      <x:c r="C242" s="20" t="str">
        <x:v>เชียงใหม่</x:v>
      </x:c>
      <x:c r="D242" s="20" t="str">
        <x:v>คงไว้ในชุด 600</x:v>
      </x:c>
      <x:c r="E242" s="20" t="str">
        <x:v>พบหลายแหล่งสัมพันธ์กับชื่อ รอยืนยันการเปิด</x:v>
      </x:c>
      <x:c r="F242" s="20" t="str">
        <x:v>ยังไม่ยืนยันการเปิดให้บริการปัจจุบัน</x:v>
      </x:c>
      <x:c r="G242" s="26" t="n">
        <x:v>4</x:v>
      </x:c>
      <x:c r="H242" s="23" t="e">
        <x:f>HYPERLINK("https://www.facebook.com/CasaM","เปิดช่องทาง 1")</x:f>
        <x:v>HYPERLINK is not implemented. linkLocation=https://www.facebook.com/CasaM, friendlyName=เปิดช่องทาง 1</x:v>
      </x:c>
      <x:c r="I242" s="23" t="str"/>
      <x:c r="J242" s="23" t="str"/>
      <x:c r="K242" s="23" t="str"/>
      <x:c r="L242" s="23" t="e">
        <x:f>HYPERLINK("https://www.thaithurkic.com/u-e-u-e-u-e-u-e-u-e-u-e-u-e-u-e-u-e-b-u_56g-053-272-709","เปิดเว็บเพิ่ม 1")</x:f>
        <x:v>HYPERLINK is not implemented. linkLocation=https://www.thaithurkic.com/u-e-u-e-u-e-u-e-u-e-u-e-u-e-u-e-u-e-b-u_56g-053-272-709, friendlyName=เปิดเว็บเพิ่ม 1</x:v>
      </x:c>
      <x:c r="M242" s="23" t="e">
        <x:f>HYPERLINK("https://th.readme.me/p/35078","เปิดเว็บเพิ่ม 2")</x:f>
        <x:v>HYPERLINK is not implemented. linkLocation=https://th.readme.me/p/35078, friendlyName=เปิดเว็บเพิ่ม 2</x:v>
      </x:c>
      <x:c r="N242" s="20" t="str">
        <x:v>ยังไม่ยืนยัน</x:v>
      </x:c>
      <x:c r="O242" s="20" t="str">
        <x:v>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42" s="25" t="n">
        <x:v>46315</x:v>
      </x:c>
      <x:c r="Q242" s="27" t="str">
        <x:v>ยังไม่ตรวจ</x:v>
      </x:c>
      <x:c r="R242" s="27" t="str">
        <x:v>รอติดต่อ</x:v>
      </x:c>
    </x:row>
    <x:row r="243" ht="76" customHeight="1">
      <x:c r="A243" s="24" t="str">
        <x:v>TMF-235</x:v>
      </x:c>
      <x:c r="B243" s="20" t="str">
        <x:v>Aba Village</x:v>
      </x:c>
      <x:c r="C243" s="20" t="str">
        <x:v>เชียงใหม่</x:v>
      </x:c>
      <x:c r="D243" s="20" t="str">
        <x:v>คงไว้ในชุด 600</x:v>
      </x:c>
      <x:c r="E243" s="20" t="str">
        <x:v>พบหลายแหล่งสัมพันธ์กับชื่อ รอยืนยันการเปิด</x:v>
      </x:c>
      <x:c r="F243" s="20" t="str">
        <x:v>ยังไม่ยืนยันการเปิดให้บริการปัจจุบัน</x:v>
      </x:c>
      <x:c r="G243" s="26" t="n">
        <x:v>3</x:v>
      </x:c>
      <x:c r="H243" s="23" t="str"/>
      <x:c r="I243" s="23" t="str"/>
      <x:c r="J243" s="23" t="e">
        <x:f>HYPERLINK("https://www.google.co.th/travel/hotels/entity/ChoIy7vRv-bR8b7WARoNL2cvMTF2ZjIwOGRxbhAB?ap=ugEGcHJpY2Vz&amp;gl=th&amp;hl=en&amp;ts=CAEaBAoCGgAqBAoAGgA","เปิดหน้ารีวิว 1")</x:f>
        <x:v>HYPERLINK is not implemented. linkLocation=https://www.google.co.th/travel/hotels/entity/ChoIy7vRv-bR8b7WARoNL2cvMTF2ZjIwOGRxbhAB?ap=ugEGcHJpY2Vz&amp;gl=th&amp;hl=en&amp;ts=CAEaBAoCGgAqBAoAGgA, friendlyName=เปิดหน้ารีวิว 1</x:v>
      </x:c>
      <x:c r="K243" s="23" t="e">
        <x:f>HYPERLINK("https://www.booking.com/hotel/th/aba-village.th.html","เปิดหน้ารีวิว 2")</x:f>
        <x:v>HYPERLINK is not implemented. linkLocation=https://www.booking.com/hotel/th/aba-village.th.html, friendlyName=เปิดหน้ารีวิว 2</x:v>
      </x:c>
      <x:c r="L243" s="23" t="str"/>
      <x:c r="M243" s="23" t="str"/>
      <x:c r="N243" s="20" t="str">
        <x:v>ยังไม่ยืนยัน</x:v>
      </x:c>
      <x:c r="O24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43" s="25" t="n">
        <x:v>46315</x:v>
      </x:c>
      <x:c r="Q243" s="27" t="str">
        <x:v>ยังไม่ตรวจ</x:v>
      </x:c>
      <x:c r="R243" s="27" t="str">
        <x:v>รอติดต่อ</x:v>
      </x:c>
    </x:row>
    <x:row r="244" ht="76" customHeight="1">
      <x:c r="A244" s="24" t="str">
        <x:v>TMF-236</x:v>
      </x:c>
      <x:c r="B244" s="20" t="str">
        <x:v>Everything Halal CNX</x:v>
      </x:c>
      <x:c r="C244" s="20" t="str">
        <x:v>เชียงใหม่</x:v>
      </x:c>
      <x:c r="D244" s="20" t="str">
        <x:v>คงไว้ในชุด 600</x:v>
      </x:c>
      <x:c r="E244" s="20" t="str">
        <x:v>พบหลายแหล่งสัมพันธ์กับชื่อ รอยืนยันการเปิด</x:v>
      </x:c>
      <x:c r="F244" s="20" t="str">
        <x:v>ยังไม่ยืนยันการเปิดให้บริการปัจจุบัน</x:v>
      </x:c>
      <x:c r="G244" s="26" t="n">
        <x:v>7</x:v>
      </x:c>
      <x:c r="H244" s="23" t="str"/>
      <x:c r="I244" s="23" t="str"/>
      <x:c r="J244" s="23" t="e">
        <x:f>HYPERLINK("https://www.tripadvisor.com/Restaurant_Review-g293917-d33013107-Reviews-Everything_Halal_Cnx-Chiang_Mai.html","เปิดหน้ารีวิว 1")</x:f>
        <x:v>HYPERLINK is not implemented. linkLocation=https://www.tripadvisor.com/Restaurant_Review-g293917-d33013107-Reviews-Everything_Halal_Cnx-Chiang_Mai.html, friendlyName=เปิดหน้ารีวิว 1</x:v>
      </x:c>
      <x:c r="K244" s="23" t="e">
        <x:f>HYPERLINK("https://wanderlog.com/place/details/14313611/everything-halal-cnx","เปิดหน้ารีวิว 2")</x:f>
        <x:v>HYPERLINK is not implemented. linkLocation=https://wanderlog.com/place/details/14313611/everything-halal-cnx, friendlyName=เปิดหน้ารีวิว 2</x:v>
      </x:c>
      <x:c r="L244" s="23" t="e">
        <x:f>HYPERLINK("https://salaamthailand.com/th/place/iftar-buffet-everything-halal-cnx-uuq75y/","เปิดเว็บเพิ่ม 1")</x:f>
        <x:v>HYPERLINK is not implemented. linkLocation=https://salaamthailand.com/th/place/iftar-buffet-everything-halal-cnx-uuq75y/, friendlyName=เปิดเว็บเพิ่ม 1</x:v>
      </x:c>
      <x:c r="M244" s="23" t="e">
        <x:f>HYPERLINK("https://salaamthailand.com/en/place/iftar-buffet-everything-halal-cnx-uuq75y/","เปิดเว็บเพิ่ม 2")</x:f>
        <x:v>HYPERLINK is not implemented. linkLocation=https://salaamthailand.com/en/place/iftar-buffet-everything-halal-cnx-uuq75y/, friendlyName=เปิดเว็บเพิ่ม 2</x:v>
      </x:c>
      <x:c r="N244" s="20" t="str">
        <x:v>ยังไม่ยืนยัน</x:v>
      </x:c>
      <x:c r="O24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44" s="25" t="n">
        <x:v>46315</x:v>
      </x:c>
      <x:c r="Q244" s="27" t="str">
        <x:v>ยังไม่ตรวจ</x:v>
      </x:c>
      <x:c r="R244" s="27" t="str">
        <x:v>รอติดต่อ</x:v>
      </x:c>
    </x:row>
    <x:row r="245" ht="76" customHeight="1">
      <x:c r="A245" s="24" t="str">
        <x:v>TMF-237</x:v>
      </x:c>
      <x:c r="B245" s="20" t="str">
        <x:v>ก๋วยเตี๋ยวเนื้อตุ๋น ครัวมัยซาเราะห์ ครัวบังมัต</x:v>
      </x:c>
      <x:c r="C245" s="20" t="str">
        <x:v>เชียงใหม่</x:v>
      </x:c>
      <x:c r="D245" s="20" t="str">
        <x:v>คงไว้ในชุด 600</x:v>
      </x:c>
      <x:c r="E245" s="20" t="str">
        <x:v>พบหลายแหล่งสัมพันธ์กับชื่อ รอยืนยันการเปิด</x:v>
      </x:c>
      <x:c r="F245" s="20" t="str">
        <x:v>ยังไม่ยืนยันการเปิดให้บริการปัจจุบัน</x:v>
      </x:c>
      <x:c r="G245" s="26" t="n">
        <x:v>3</x:v>
      </x:c>
      <x:c r="H245" s="23" t="str"/>
      <x:c r="I245" s="23" t="str"/>
      <x:c r="J245" s="23" t="str"/>
      <x:c r="K245" s="23" t="str"/>
      <x:c r="L245" s="23" t="e">
        <x:f>HYPERLINK("https://www.waze.com/live-map/directions/th/%E0%B8%88.%E0%B9%80%E0%B8%8A%E0%B8%B5%E0%B8%A2%E0%B8%87%E0%B9%83%E0%B8%AB%E0%B8%A1%E0%B9%88/stewed-beef-krua-bungmaad-halalfood?to=place.ChIJP_VT4fA72jAR6k8PTTXv3Q0","เปิดเว็บเพิ่ม 1")</x:f>
        <x:v>HYPERLINK is not implemented. linkLocation=https://www.waze.com/live-map/directions/th/%E0%B8%88.%E0%B9%80%E0%B8%8A%E0%B8%B5%E0%B8%A2%E0%B8%87%E0%B9%83%E0%B8%AB%E0%B8%A1%E0%B9%88/stewed-beef-krua-bungmaad-halalfood?to=place.ChIJP_VT4fA72jAR6k8PTTXv3Q0, friendlyName=เปิดเว็บเพิ่ม 1</x:v>
      </x:c>
      <x:c r="M245" s="23" t="e">
        <x:f>HYPERLINK("https://halalfoodnear.me/chiang-mai","เปิดเว็บเพิ่ม 2")</x:f>
        <x:v>HYPERLINK is not implemented. linkLocation=https://halalfoodnear.me/chiang-mai, friendlyName=เปิดเว็บเพิ่ม 2</x:v>
      </x:c>
      <x:c r="N245" s="20" t="str">
        <x:v>ยังไม่ยืนยัน</x:v>
      </x:c>
      <x:c r="O245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45" s="25" t="n">
        <x:v>46315</x:v>
      </x:c>
      <x:c r="Q245" s="27" t="str">
        <x:v>ยังไม่ตรวจ</x:v>
      </x:c>
      <x:c r="R245" s="27" t="str">
        <x:v>รอติดต่อ</x:v>
      </x:c>
    </x:row>
    <x:row r="246" ht="76" customHeight="1">
      <x:c r="A246" s="24" t="str">
        <x:v>TMF-238</x:v>
      </x:c>
      <x:c r="B246" s="20" t="str">
        <x:v>หรอยลำนัว</x:v>
      </x:c>
      <x:c r="C246" s="20" t="str">
        <x:v>เชียงใหม่</x:v>
      </x:c>
      <x:c r="D246" s="20" t="str">
        <x:v>คงไว้ในชุด 600</x:v>
      </x:c>
      <x:c r="E246" s="20" t="str">
        <x:v>พบหลายแหล่งสัมพันธ์กับชื่อ รอยืนยันการเปิด</x:v>
      </x:c>
      <x:c r="F246" s="20" t="str">
        <x:v>ยังไม่ยืนยันการเปิดให้บริการปัจจุบัน</x:v>
      </x:c>
      <x:c r="G246" s="26" t="n">
        <x:v>2</x:v>
      </x:c>
      <x:c r="H246" s="23" t="str"/>
      <x:c r="I246" s="23" t="str"/>
      <x:c r="J246" s="23" t="e">
        <x:f>HYPERLINK("https://www.wongnai.com/restaurants/3756411jJ-%E0%B8%AB%E0%B8%A3%E0%B8%AD%E0%B8%A2-%E0%B8%A5%E0%B8%B3-%E0%B8%99%E0%B8%B1%E0%B8%A7-meta-mall/menu?menuGroupId=items","เปิดหน้ารีวิว 1")</x:f>
        <x:v>HYPERLINK is not implemented. linkLocation=https://www.wongnai.com/restaurants/3756411jJ-%E0%B8%AB%E0%B8%A3%E0%B8%AD%E0%B8%A2-%E0%B8%A5%E0%B8%B3-%E0%B8%99%E0%B8%B1%E0%B8%A7-meta-mall/menu?menuGroupId=items, friendlyName=เปิดหน้ารีวิว 1</x:v>
      </x:c>
      <x:c r="K246" s="23" t="str"/>
      <x:c r="L246" s="23" t="str"/>
      <x:c r="M246" s="23" t="str"/>
      <x:c r="N246" s="20" t="str">
        <x:v>ยังไม่ยืนยัน</x:v>
      </x:c>
      <x:c r="O24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46" s="25" t="n">
        <x:v>46315</x:v>
      </x:c>
      <x:c r="Q246" s="27" t="str">
        <x:v>ยังไม่ตรวจ</x:v>
      </x:c>
      <x:c r="R246" s="27" t="str">
        <x:v>รอติดต่อ</x:v>
      </x:c>
    </x:row>
    <x:row r="247" ht="76" customHeight="1">
      <x:c r="A247" s="24" t="str">
        <x:v>TMF-239</x:v>
      </x:c>
      <x:c r="B247" s="20" t="str">
        <x:v>เลอบิส</x:v>
      </x:c>
      <x:c r="C247" s="20" t="str">
        <x:v>เชียงใหม่</x:v>
      </x:c>
      <x:c r="D247" s="20" t="str">
        <x:v>คงไว้ในชุด 600</x:v>
      </x:c>
      <x:c r="E247" s="20" t="str">
        <x:v>พบหลายแหล่งสัมพันธ์กับชื่อ รอยืนยันการเปิด</x:v>
      </x:c>
      <x:c r="F247" s="20" t="str">
        <x:v>ยังไม่ยืนยันการเปิดให้บริการปัจจุบัน</x:v>
      </x:c>
      <x:c r="G247" s="26" t="n">
        <x:v>2</x:v>
      </x:c>
      <x:c r="H247" s="23" t="e">
        <x:f>HYPERLINK("https://www.facebook.com/lebishotelcnx/?locale=th_TH","เปิดช่องทาง 1")</x:f>
        <x:v>HYPERLINK is not implemented. linkLocation=https://www.facebook.com/lebishotelcnx/?locale=th_TH, friendlyName=เปิดช่องทาง 1</x:v>
      </x:c>
      <x:c r="I247" s="23" t="str"/>
      <x:c r="J247" s="23" t="str"/>
      <x:c r="K247" s="23" t="str"/>
      <x:c r="L247" s="23" t="e">
        <x:f>HYPERLINK("https://www.thaimiceconnect.com/business/detail/20239","เปิดเว็บเพิ่ม 1")</x:f>
        <x:v>HYPERLINK is not implemented. linkLocation=https://www.thaimiceconnect.com/business/detail/20239, friendlyName=เปิดเว็บเพิ่ม 1</x:v>
      </x:c>
      <x:c r="M247" s="23" t="str"/>
      <x:c r="N247" s="20" t="str">
        <x:v>ยังไม่ยืนยัน</x:v>
      </x:c>
      <x:c r="O247" s="20" t="str">
        <x:v>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47" s="25" t="n">
        <x:v>46315</x:v>
      </x:c>
      <x:c r="Q247" s="27" t="str">
        <x:v>ยังไม่ตรวจ</x:v>
      </x:c>
      <x:c r="R247" s="27" t="str">
        <x:v>รอติดต่อ</x:v>
      </x:c>
    </x:row>
    <x:row r="248" ht="76" customHeight="1">
      <x:c r="A248" s="24" t="str">
        <x:v>TMF-240</x:v>
      </x:c>
      <x:c r="B248" s="20" t="str">
        <x:v>ไท่ไท่ทองอินทร์</x:v>
      </x:c>
      <x:c r="C248" s="20" t="str">
        <x:v>เชียงใหม่</x:v>
      </x:c>
      <x:c r="D248" s="20" t="str">
        <x:v>คงไว้ในชุด 600</x:v>
      </x:c>
      <x:c r="E248" s="20" t="str">
        <x:v>พบหลายแหล่งสัมพันธ์กับชื่อ รอยืนยันการเปิด</x:v>
      </x:c>
      <x:c r="F248" s="20" t="str">
        <x:v>ยังไม่ยืนยันการเปิดให้บริการปัจจุบัน</x:v>
      </x:c>
      <x:c r="G248" s="26" t="n">
        <x:v>4</x:v>
      </x:c>
      <x:c r="H248" s="23" t="str"/>
      <x:c r="I248" s="23" t="str"/>
      <x:c r="J248" s="23" t="e">
        <x:f>HYPERLINK("https://www.wongnai.com/restaurants/2926884rC-%E0%B9%84%E0%B8%97%E0%B9%88%E0%B9%84%E0%B8%97%E0%B9%88-%E0%B8%97%E0%B8%AD%E0%B8%87%E0%B8%AD%E0%B8%B4%E0%B8%99%E0%B8%97%E0%B8%A3%E0%B9%8C-taitai-thongin-%E0%B8%82%E0%B9%89%E0%B8%B2%E0%B8%A7%E0%B8%8B%E0%B8%AD%E0%B8%A2-%E0%B8%99%E0%B9%89%E0%B8%B3%E0%B9%80%E0%B8%87%E0%B8%B5%E0%B9%89%E0%B8%A2%E0%B8%A7-%E0%B8%A3%E0%B9%89%E0%B8%B2%E0%B8%99%E0%B8%AE%E0%B8%B2%E0%B8%A5%E0%B8%B2%E0%B8%A5-%E0%B9%82%E0%B8%A3%E0%B8%95%E0%B8%B5?_st=cD0wO2I9MjkyNjg4NDthZD10cnVlO3Q9MTc2MjAxOTAxMTA5OTtyaT0xWDdiT3FVQndVV01OblVPbHlZb21KSGJqcllwT0c7aT0xWDcwc0FGbURwMkdKeENKR29SaTdSQXVuWmZYalk7d3JlZj1zcjs%3D&amp;wref=sr-rec","เปิดหน้ารีวิว 1")</x:f>
        <x:v>HYPERLINK is not implemented. linkLocation=https://www.wongnai.com/restaurants/2926884rC-%E0%B9%84%E0%B8%97%E0%B9%88%E0%B9%84%E0%B8%97%E0%B9%88-%E0%B8%97%E0%B8%AD%E0%B8%87%E0%B8%AD%E0%B8%B4%E0%B8%99%E0%B8%97%E0%B8%A3%E0%B9%8C-taitai-thongin-%E0%B8%82%E0%B9%89%E0%B8%B2%E0%B8%A7%E0%B8%8B%E0%B8%AD%E0%B8%A2-%E0%B8%99%E0%B9%89%E0%B8%B3%E0%B9%80%E0%B8%87%E0%B8%B5%E0%B9%89%E0%B8%A2%E0%B8%A7-%E0%B8%A3%E0%B9%89%E0%B8%B2%E0%B8%99%E0%B8%AE%E0%B8%B2%E0%B8%A5%E0%B8%B2%E0%B8%A5-%E0%B9%82%E0%B8%A3%E0%B8%95%E0%B8%B5?_st=cD0wO2I9MjkyNjg4NDthZD10cnVlO3Q9MTc2MjAxOTAxMTA5OTtyaT0xWDdiT3FVQndVV01OblVPbHlZb21KSGJqcllwT0c7aT0xWDcwc0FGbURwMkdKeENKR29SaTdSQXVuWmZYalk7d3JlZj1zcjs%3D&amp;wref=sr-rec, friendlyName=เปิดหน้ารีวิว 1</x:v>
      </x:c>
      <x:c r="K248" s="23" t="e">
        <x:f>HYPERLINK("https://th.tripadvisor.com/Restaurant_Review-g25330083-d33953074-Reviews-Taitai_Thongin-Chang_Moi_Chiang_Mai.html","เปิดหน้ารีวิว 2")</x:f>
        <x:v>HYPERLINK is not implemented. linkLocation=https://th.tripadvisor.com/Restaurant_Review-g25330083-d33953074-Reviews-Taitai_Thongin-Chang_Moi_Chiang_Mai.html, friendlyName=เปิดหน้ารีวิว 2</x:v>
      </x:c>
      <x:c r="L248" s="23" t="str"/>
      <x:c r="M248" s="23" t="str"/>
      <x:c r="N248" s="20" t="str">
        <x:v>ยังไม่ยืนยัน</x:v>
      </x:c>
      <x:c r="O24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48" s="25" t="n">
        <x:v>46315</x:v>
      </x:c>
      <x:c r="Q248" s="27" t="str">
        <x:v>ยังไม่ตรวจ</x:v>
      </x:c>
      <x:c r="R248" s="27" t="str">
        <x:v>รอติดต่อ</x:v>
      </x:c>
    </x:row>
    <x:row r="249" ht="76" customHeight="1">
      <x:c r="A249" s="24" t="str">
        <x:v>TMF-241</x:v>
      </x:c>
      <x:c r="B249" s="20" t="str">
        <x:v>Hnisme family poolvilla</x:v>
      </x:c>
      <x:c r="C249" s="20" t="str">
        <x:v>เพชรบุรี</x:v>
      </x:c>
      <x:c r="D249" s="20" t="str">
        <x:v>คงไว้ในชุด 600</x:v>
      </x:c>
      <x:c r="E249" s="20" t="str">
        <x:v>พบหลายแหล่งสัมพันธ์กับชื่อ รอยืนยันการเปิด</x:v>
      </x:c>
      <x:c r="F249" s="20" t="str">
        <x:v>ยังไม่ยืนยันการเปิดให้บริการปัจจุบัน</x:v>
      </x:c>
      <x:c r="G249" s="26" t="n">
        <x:v>3</x:v>
      </x:c>
      <x:c r="H249" s="23" t="str"/>
      <x:c r="I249" s="23" t="str"/>
      <x:c r="J249" s="23" t="e">
        <x:f>HYPERLINK("https://www.lemon8-app.com/%40achx44/7517563239945962001?region=us","เปิดหน้ารีวิว 1")</x:f>
        <x:v>HYPERLINK is not implemented. linkLocation=https://www.lemon8-app.com/%40achx44/7517563239945962001?region=us, friendlyName=เปิดหน้ารีวิว 1</x:v>
      </x:c>
      <x:c r="K249" s="23" t="str"/>
      <x:c r="L249" s="23" t="e">
        <x:f>HYPERLINK("https://www.findglocal.com/TH/Phetchaburi/189514417578620/Hnisme-family-poolvilla","เปิดเว็บเพิ่ม 1")</x:f>
        <x:v>HYPERLINK is not implemented. linkLocation=https://www.findglocal.com/TH/Phetchaburi/189514417578620/Hnisme-family-poolvilla, friendlyName=เปิดเว็บเพิ่ม 1</x:v>
      </x:c>
      <x:c r="M249" s="23" t="str"/>
      <x:c r="N249" s="20" t="str">
        <x:v>ยังไม่ยืนยัน</x:v>
      </x:c>
      <x:c r="O24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49" s="25" t="n">
        <x:v>46315</x:v>
      </x:c>
      <x:c r="Q249" s="27" t="str">
        <x:v>ยังไม่ตรวจ</x:v>
      </x:c>
      <x:c r="R249" s="27" t="str">
        <x:v>รอติดต่อ</x:v>
      </x:c>
    </x:row>
    <x:row r="250" ht="96" customHeight="1">
      <x:c r="A250" s="24" t="str">
        <x:v>TMF-242</x:v>
      </x:c>
      <x:c r="B250" s="20" t="str">
        <x:v>โก เบอร์เกอร์ แอนด์ พาสต้า</x:v>
      </x:c>
      <x:c r="C250" s="20" t="str">
        <x:v>กรุงเทพมหานคร</x:v>
      </x:c>
      <x:c r="D250" s="20" t="str">
        <x:v>สำรองเพื่อจัดลำดับให้ทะเบียน GMHI</x:v>
      </x:c>
      <x:c r="E250" s="20" t="str">
        <x:v>หลักฐานไม่พอ รอยืนยันการเปิด</x:v>
      </x:c>
      <x:c r="F250" s="20" t="str">
        <x:v>ยังไม่ยืนยันการเปิดให้บริการปัจจุบัน</x:v>
      </x:c>
      <x:c r="G250" s="26" t="n">
        <x:v>1</x:v>
      </x:c>
      <x:c r="H250" s="23" t="str"/>
      <x:c r="I250" s="23" t="str"/>
      <x:c r="J250" s="23" t="str"/>
      <x:c r="K250" s="23" t="str"/>
      <x:c r="L250" s="23" t="str"/>
      <x:c r="M250" s="23" t="str"/>
      <x:c r="N250" s="20" t="str">
        <x:v>ยังไม่ยืนยัน</x:v>
      </x:c>
      <x:c r="O25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50" s="25" t="n">
        <x:v>46315</x:v>
      </x:c>
      <x:c r="Q250" s="27" t="str">
        <x:v>ยังไม่ตรวจ</x:v>
      </x:c>
      <x:c r="R250" s="27" t="str">
        <x:v>รอติดต่อ</x:v>
      </x:c>
    </x:row>
    <x:row r="251" ht="76" customHeight="1">
      <x:c r="A251" s="24" t="str">
        <x:v>TMF-243</x:v>
      </x:c>
      <x:c r="B251" s="20" t="str">
        <x:v>ไร่ธัญเบอรี่ Tanya Berry Resort</x:v>
      </x:c>
      <x:c r="C251" s="20" t="str">
        <x:v>เพชรบูรณ์</x:v>
      </x:c>
      <x:c r="D251" s="20" t="str">
        <x:v>คงไว้ในชุด 600</x:v>
      </x:c>
      <x:c r="E251" s="20" t="str">
        <x:v>พบหลายแหล่งสัมพันธ์กับชื่อ รอยืนยันการเปิด</x:v>
      </x:c>
      <x:c r="F251" s="20" t="str">
        <x:v>ยังไม่ยืนยันการเปิดให้บริการปัจจุบัน</x:v>
      </x:c>
      <x:c r="G251" s="26" t="n">
        <x:v>3</x:v>
      </x:c>
      <x:c r="H251" s="23" t="str"/>
      <x:c r="I251" s="23" t="str"/>
      <x:c r="J251" s="23" t="str"/>
      <x:c r="K251" s="23" t="str"/>
      <x:c r="L251" s="23" t="e">
        <x:f>HYPERLINK("https://www.thaithurkic.com/tanya-berry-089-697-9158","เปิดเว็บเพิ่ม 1")</x:f>
        <x:v>HYPERLINK is not implemented. linkLocation=https://www.thaithurkic.com/tanya-berry-089-697-9158, friendlyName=เปิดเว็บเพิ่ม 1</x:v>
      </x:c>
      <x:c r="M251" s="23" t="e">
        <x:f>HYPERLINK("https://www.thaithurkic.com/%E0%B8%98%E0%B8%B1%E0%B8%8D%E0%B8%A1%E0%B8%B1%E0%B8%A2-%E0%B8%9E%E0%B8%B4%E0%B8%A1%E0%B8%B2%E0%B8%99%E0%B8%AE%E0%B8%B4%E0%B8%A5%E0%B8%A5%E0%B9%8C-089-697-9158","เปิดเว็บเพิ่ม 2")</x:f>
        <x:v>HYPERLINK is not implemented. linkLocation=https://www.thaithurkic.com/%E0%B8%98%E0%B8%B1%E0%B8%8D%E0%B8%A1%E0%B8%B1%E0%B8%A2-%E0%B8%9E%E0%B8%B4%E0%B8%A1%E0%B8%B2%E0%B8%99%E0%B8%AE%E0%B8%B4%E0%B8%A5%E0%B8%A5%E0%B9%8C-089-697-9158, friendlyName=เปิดเว็บเพิ่ม 2</x:v>
      </x:c>
      <x:c r="N251" s="20" t="str">
        <x:v>ยังไม่ยืนยัน</x:v>
      </x:c>
      <x:c r="O251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51" s="25" t="n">
        <x:v>46315</x:v>
      </x:c>
      <x:c r="Q251" s="27" t="str">
        <x:v>ยังไม่ตรวจ</x:v>
      </x:c>
      <x:c r="R251" s="27" t="str">
        <x:v>รอติดต่อ</x:v>
      </x:c>
    </x:row>
    <x:row r="252" ht="76" customHeight="1">
      <x:c r="A252" s="24" t="str">
        <x:v>TMF-244</x:v>
      </x:c>
      <x:c r="B252" s="20" t="str">
        <x:v>DD O-Zone พูลวิลล่า ฮาลาลฟู้ด ภูทับเบิก</x:v>
      </x:c>
      <x:c r="C252" s="20" t="str">
        <x:v>เพชรบูรณ์</x:v>
      </x:c>
      <x:c r="D252" s="20" t="str">
        <x:v>คงไว้ในชุด 600</x:v>
      </x:c>
      <x:c r="E252" s="20" t="str">
        <x:v>พบหลายแหล่งสัมพันธ์กับชื่อ รอยืนยันการเปิด</x:v>
      </x:c>
      <x:c r="F252" s="20" t="str">
        <x:v>ยังไม่ยืนยันการเปิดให้บริการปัจจุบัน</x:v>
      </x:c>
      <x:c r="G252" s="26" t="n">
        <x:v>3</x:v>
      </x:c>
      <x:c r="H252" s="23" t="str"/>
      <x:c r="I252" s="23" t="str"/>
      <x:c r="J252" s="23" t="e">
        <x:f>HYPERLINK("https://www.youtube.com/watch?v=Gu2mpGqI5bk","เปิดหน้ารีวิว 1")</x:f>
        <x:v>HYPERLINK is not implemented. linkLocation=https://www.youtube.com/watch?v=Gu2mpGqI5bk, friendlyName=เปิดหน้ารีวิว 1</x:v>
      </x:c>
      <x:c r="K252" s="23" t="e">
        <x:f>HYPERLINK("https://www.lemon8-app.com/%40a_chernyim/7579352109667467784?region=th","เปิดหน้ารีวิว 2")</x:f>
        <x:v>HYPERLINK is not implemented. linkLocation=https://www.lemon8-app.com/%40a_chernyim/7579352109667467784?region=th, friendlyName=เปิดหน้ารีวิว 2</x:v>
      </x:c>
      <x:c r="L252" s="23" t="str"/>
      <x:c r="M252" s="23" t="str"/>
      <x:c r="N252" s="20" t="str">
        <x:v>ยังไม่ยืนยัน</x:v>
      </x:c>
      <x:c r="O25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52" s="25" t="n">
        <x:v>46315</x:v>
      </x:c>
      <x:c r="Q252" s="27" t="str">
        <x:v>ยังไม่ตรวจ</x:v>
      </x:c>
      <x:c r="R252" s="27" t="str">
        <x:v>รอติดต่อ</x:v>
      </x:c>
    </x:row>
    <x:row r="253" ht="76" customHeight="1">
      <x:c r="A253" s="24" t="str">
        <x:v>TMF-245</x:v>
      </x:c>
      <x:c r="B253" s="20" t="str">
        <x:v>Hilwah น้ำแซนวิชโบราณฮาลาล</x:v>
      </x:c>
      <x:c r="C253" s="20" t="str">
        <x:v>กรุงเทพมหานคร</x:v>
      </x:c>
      <x:c r="D253" s="20" t="str">
        <x:v>คงไว้ในชุด 600</x:v>
      </x:c>
      <x:c r="E253" s="20" t="str">
        <x:v>พบหลายแหล่งสัมพันธ์กับชื่อ รอยืนยันการเปิด</x:v>
      </x:c>
      <x:c r="F253" s="20" t="str">
        <x:v>ยังไม่ยืนยันการเปิดให้บริการปัจจุบัน</x:v>
      </x:c>
      <x:c r="G253" s="26" t="n">
        <x:v>2</x:v>
      </x:c>
      <x:c r="H253" s="23" t="str"/>
      <x:c r="I253" s="23" t="str"/>
      <x:c r="J253" s="23" t="str"/>
      <x:c r="K253" s="23" t="str"/>
      <x:c r="L253" s="23" t="e">
        <x:f>HYPERLINK("https://market.kapook.com/view-4fa8db18d000002","เปิดเว็บเพิ่ม 1")</x:f>
        <x:v>HYPERLINK is not implemented. linkLocation=https://market.kapook.com/view-4fa8db18d000002, friendlyName=เปิดเว็บเพิ่ม 1</x:v>
      </x:c>
      <x:c r="M253" s="23" t="str"/>
      <x:c r="N253" s="20" t="str">
        <x:v>ยังไม่ยืนยัน</x:v>
      </x:c>
      <x:c r="O253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53" s="25" t="n">
        <x:v>46315</x:v>
      </x:c>
      <x:c r="Q253" s="27" t="str">
        <x:v>ยังไม่ตรวจ</x:v>
      </x:c>
      <x:c r="R253" s="27" t="str">
        <x:v>รอติดต่อ</x:v>
      </x:c>
    </x:row>
    <x:row r="254" ht="96" customHeight="1">
      <x:c r="A254" s="24" t="str">
        <x:v>TMF-246</x:v>
      </x:c>
      <x:c r="B254" s="20" t="str">
        <x:v>ส้มตำ มุสลิม ซูจี</x:v>
      </x:c>
      <x:c r="C254" s="20" t="str">
        <x:v>กรุงเทพมหานคร</x:v>
      </x:c>
      <x:c r="D254" s="20" t="str">
        <x:v>สำรองเพื่อจัดลำดับให้ทะเบียน GMHI</x:v>
      </x:c>
      <x:c r="E254" s="20" t="str">
        <x:v>หลักฐานไม่พอ รอยืนยันการเปิด</x:v>
      </x:c>
      <x:c r="F254" s="20" t="str">
        <x:v>ยังไม่ยืนยันการเปิดให้บริการปัจจุบัน</x:v>
      </x:c>
      <x:c r="G254" s="26" t="n">
        <x:v>1</x:v>
      </x:c>
      <x:c r="H254" s="23" t="str"/>
      <x:c r="I254" s="23" t="str"/>
      <x:c r="J254" s="23" t="str"/>
      <x:c r="K254" s="23" t="str"/>
      <x:c r="L254" s="23" t="str"/>
      <x:c r="M254" s="23" t="str"/>
      <x:c r="N254" s="20" t="str">
        <x:v>ยังไม่ยืนยัน</x:v>
      </x:c>
      <x:c r="O25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54" s="25" t="n">
        <x:v>46315</x:v>
      </x:c>
      <x:c r="Q254" s="27" t="str">
        <x:v>ยังไม่ตรวจ</x:v>
      </x:c>
      <x:c r="R254" s="27" t="str">
        <x:v>รอติดต่อ</x:v>
      </x:c>
    </x:row>
    <x:row r="255" ht="76" customHeight="1">
      <x:c r="A255" s="24" t="str">
        <x:v>TMF-247</x:v>
      </x:c>
      <x:c r="B255" s="20" t="str">
        <x:v>โรงชา@คลองแม่จัน</x:v>
      </x:c>
      <x:c r="C255" s="20" t="str">
        <x:v>กรุงเทพมหานคร</x:v>
      </x:c>
      <x:c r="D255" s="20" t="str">
        <x:v>คงไว้ในชุด 600</x:v>
      </x:c>
      <x:c r="E255" s="20" t="str">
        <x:v>พบหลายแหล่งสัมพันธ์กับชื่อ รอยืนยันการเปิด</x:v>
      </x:c>
      <x:c r="F255" s="20" t="str">
        <x:v>ยังไม่ยืนยันการเปิดให้บริการปัจจุบัน</x:v>
      </x:c>
      <x:c r="G255" s="26" t="n">
        <x:v>3</x:v>
      </x:c>
      <x:c r="H255" s="23" t="str"/>
      <x:c r="I255" s="23" t="str"/>
      <x:c r="J255" s="23" t="e">
        <x:f>HYPERLINK("https://www.wongnai.com/restaurants/2903996gD-%E0%B9%82%E0%B8%A3%E0%B8%87%E0%B8%8A%E0%B8%B2%E0%B8%84%E0%B8%A5%E0%B8%AD%E0%B8%87%E0%B9%81%E0%B8%A1%E0%B9%88%E0%B8%88%E0%B8%B1%E0%B8%99-%E0%B9%82%E0%B8%A3%E0%B8%87%E0%B8%8A%E0%B8%B2%E0%B8%84%E0%B8%A5%E0%B8%AD%E0%B8%87%E0%B9%81%E0%B8%A1%E0%B9%88%E0%B8%88%E0%B8%B1%E0%B8%99","เปิดหน้ารีวิว 1")</x:f>
        <x:v>HYPERLINK is not implemented. linkLocation=https://www.wongnai.com/restaurants/2903996gD-%E0%B9%82%E0%B8%A3%E0%B8%87%E0%B8%8A%E0%B8%B2%E0%B8%84%E0%B8%A5%E0%B8%AD%E0%B8%87%E0%B9%81%E0%B8%A1%E0%B9%88%E0%B8%88%E0%B8%B1%E0%B8%99-%E0%B9%82%E0%B8%A3%E0%B8%87%E0%B8%8A%E0%B8%B2%E0%B8%84%E0%B8%A5%E0%B8%AD%E0%B8%87%E0%B9%81%E0%B8%A1%E0%B9%88%E0%B8%88%E0%B8%B1%E0%B8%99, friendlyName=เปิดหน้ารีวิว 1</x:v>
      </x:c>
      <x:c r="K255" s="23" t="e">
        <x:f>HYPERLINK("https://www.lemon8-app.com/%40fernz_nurra/7387109340450423297?region=th","เปิดหน้ารีวิว 2")</x:f>
        <x:v>HYPERLINK is not implemented. linkLocation=https://www.lemon8-app.com/%40fernz_nurra/7387109340450423297?region=th, friendlyName=เปิดหน้ารีวิว 2</x:v>
      </x:c>
      <x:c r="L255" s="23" t="str"/>
      <x:c r="M255" s="23" t="str"/>
      <x:c r="N255" s="20" t="str">
        <x:v>ยังไม่ยืนยัน</x:v>
      </x:c>
      <x:c r="O25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55" s="25" t="n">
        <x:v>46315</x:v>
      </x:c>
      <x:c r="Q255" s="27" t="str">
        <x:v>ยังไม่ตรวจ</x:v>
      </x:c>
      <x:c r="R255" s="27" t="str">
        <x:v>รอติดต่อ</x:v>
      </x:c>
    </x:row>
    <x:row r="256" ht="76" customHeight="1">
      <x:c r="A256" s="24" t="str">
        <x:v>TMF-248</x:v>
      </x:c>
      <x:c r="B256" s="20" t="str">
        <x:v>Pai In Town Hotel</x:v>
      </x:c>
      <x:c r="C256" s="20" t="str">
        <x:v>แม่ฮ่องสอน</x:v>
      </x:c>
      <x:c r="D256" s="20" t="str">
        <x:v>คงไว้ในชุด 600</x:v>
      </x:c>
      <x:c r="E256" s="20" t="str">
        <x:v>พบหลายแหล่งสัมพันธ์กับชื่อ รอยืนยันการเปิด</x:v>
      </x:c>
      <x:c r="F256" s="20" t="str">
        <x:v>ยังไม่ยืนยันการเปิดให้บริการปัจจุบัน</x:v>
      </x:c>
      <x:c r="G256" s="26" t="n">
        <x:v>4</x:v>
      </x:c>
      <x:c r="H256" s="23" t="str"/>
      <x:c r="I256" s="23" t="str"/>
      <x:c r="J256" s="23" t="e">
        <x:f>HYPERLINK("https://th.tripadvisor.com/Hotel_Review-g303916-d3180778-Reviews-Pai_In_Town_Hotel-Pai_Mae_Hong_Son_Province.html","เปิดหน้ารีวิว 1")</x:f>
        <x:v>HYPERLINK is not implemented. linkLocation=https://th.tripadvisor.com/Hotel_Review-g303916-d3180778-Reviews-Pai_In_Town_Hotel-Pai_Mae_Hong_Son_Province.html, friendlyName=เปิดหน้ารีวิว 1</x:v>
      </x:c>
      <x:c r="K256" s="23" t="e">
        <x:f>HYPERLINK("https://www.agoda.com/en-us/pai-in-town-hotel/hotel/pai-th.html","เปิดหน้ารีวิว 2")</x:f>
        <x:v>HYPERLINK is not implemented. linkLocation=https://www.agoda.com/en-us/pai-in-town-hotel/hotel/pai-th.html, friendlyName=เปิดหน้ารีวิว 2</x:v>
      </x:c>
      <x:c r="L256" s="23" t="str"/>
      <x:c r="M256" s="23" t="str"/>
      <x:c r="N256" s="20" t="str">
        <x:v>ยังไม่ยืนยัน</x:v>
      </x:c>
      <x:c r="O25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56" s="25" t="n">
        <x:v>46315</x:v>
      </x:c>
      <x:c r="Q256" s="27" t="str">
        <x:v>ยังไม่ตรวจ</x:v>
      </x:c>
      <x:c r="R256" s="27" t="str">
        <x:v>รอติดต่อ</x:v>
      </x:c>
    </x:row>
    <x:row r="257" ht="76" customHeight="1">
      <x:c r="A257" s="24" t="str">
        <x:v>TMF-249</x:v>
      </x:c>
      <x:c r="B257" s="20" t="str">
        <x:v>Mp house at pai</x:v>
      </x:c>
      <x:c r="C257" s="20" t="str">
        <x:v>แม่ฮ่องสอน</x:v>
      </x:c>
      <x:c r="D257" s="20" t="str">
        <x:v>คงไว้ในชุด 600</x:v>
      </x:c>
      <x:c r="E257" s="20" t="str">
        <x:v>พบหลายแหล่งสัมพันธ์กับชื่อ รอยืนยันการเปิด</x:v>
      </x:c>
      <x:c r="F257" s="20" t="str">
        <x:v>ยังไม่ยืนยันการเปิดให้บริการปัจจุบัน</x:v>
      </x:c>
      <x:c r="G257" s="26" t="n">
        <x:v>2</x:v>
      </x:c>
      <x:c r="H257" s="23" t="str"/>
      <x:c r="I257" s="23" t="str"/>
      <x:c r="J257" s="23" t="e">
        <x:f>HYPERLINK("https://www.google.com.sa/travel/hotels/entity/ChoI5YzQ5azrnYGMARoNL2cvMTFiNzNuMjM4aBAB","เปิดหน้ารีวิว 1")</x:f>
        <x:v>HYPERLINK is not implemented. linkLocation=https://www.google.com.sa/travel/hotels/entity/ChoI5YzQ5azrnYGMARoNL2cvMTFiNzNuMjM4aBAB, friendlyName=เปิดหน้ารีวิว 1</x:v>
      </x:c>
      <x:c r="K257" s="23" t="e">
        <x:f>HYPERLINK("https://www.google.com.sa/travel/hotels/entity/ChoI5YzQ5azrnYGMARoNL2cvMTFiNzNuMjM4aBAB?ap=MACIAQI&amp;g2lb=2502548%2C2503228%2C4254308%2C4258168%2C4260007%2C4274032%2C4305595%2C4306835%2C4308216%2C4314846%2C4317915%2C4328159%2C4329288%2C4348884%2C4270859%2C4284970%2C4291517%2C4292955%2C4316256&amp;gl=th&amp;gsas=1&amp;hl=th&amp;rp=OAFIAg&amp;ts=CAEaBAoCGgAqBAoAGgA&amp;un=1","เปิดหน้ารีวิว 2")</x:f>
        <x:v>HYPERLINK is not implemented. linkLocation=https://www.google.com.sa/travel/hotels/entity/ChoI5YzQ5azrnYGMARoNL2cvMTFiNzNuMjM4aBAB?ap=MACIAQI&amp;g2lb=2502548%2C2503228%2C4254308%2C4258168%2C4260007%2C4274032%2C4305595%2C4306835%2C4308216%2C4314846%2C4317915%2C4328159%2C4329288%2C4348884%2C4270859%2C4284970%2C4291517%2C4292955%2C4316256&amp;gl=th&amp;gsas=1&amp;hl=th&amp;rp=OAFIAg&amp;ts=CAEaBAoCGgAqBAoAGgA&amp;un=1, friendlyName=เปิดหน้ารีวิว 2</x:v>
      </x:c>
      <x:c r="L257" s="23" t="str"/>
      <x:c r="M257" s="23" t="str"/>
      <x:c r="N257" s="20" t="str">
        <x:v>ยังไม่ยืนยัน</x:v>
      </x:c>
      <x:c r="O25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57" s="25" t="n">
        <x:v>46315</x:v>
      </x:c>
      <x:c r="Q257" s="27" t="str">
        <x:v>ยังไม่ตรวจ</x:v>
      </x:c>
      <x:c r="R257" s="27" t="str">
        <x:v>รอติดต่อ</x:v>
      </x:c>
    </x:row>
    <x:row r="258" ht="96" customHeight="1">
      <x:c r="A258" s="24" t="str">
        <x:v>TMF-250</x:v>
      </x:c>
      <x:c r="B258" s="20" t="str">
        <x:v>zeesma halal food</x:v>
      </x:c>
      <x:c r="C258" s="20" t="str">
        <x:v>แม่ฮ่องสอน</x:v>
      </x:c>
      <x:c r="D258" s="20" t="str">
        <x:v>คงไว้ในชุด 600</x:v>
      </x:c>
      <x:c r="E258" s="20" t="str">
        <x:v>หลักฐานไม่พอ รอยืนยันการเปิด</x:v>
      </x:c>
      <x:c r="F258" s="20" t="str">
        <x:v>ยังไม่ยืนยันการเปิดให้บริการปัจจุบัน</x:v>
      </x:c>
      <x:c r="G258" s="26" t="n">
        <x:v>1</x:v>
      </x:c>
      <x:c r="H258" s="23" t="str"/>
      <x:c r="I258" s="23" t="str"/>
      <x:c r="J258" s="23" t="str"/>
      <x:c r="K258" s="23" t="str"/>
      <x:c r="L258" s="23" t="str"/>
      <x:c r="M258" s="23" t="str"/>
      <x:c r="N258" s="20" t="str">
        <x:v>ยังไม่ยืนยัน</x:v>
      </x:c>
      <x:c r="O25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58" s="25" t="n">
        <x:v>46315</x:v>
      </x:c>
      <x:c r="Q258" s="27" t="str">
        <x:v>ยังไม่ตรวจ</x:v>
      </x:c>
      <x:c r="R258" s="27" t="str">
        <x:v>รอติดต่อ</x:v>
      </x:c>
    </x:row>
    <x:row r="259" ht="96" customHeight="1">
      <x:c r="A259" s="24" t="str">
        <x:v>TMF-251</x:v>
      </x:c>
      <x:c r="B259" s="20" t="str">
        <x:v>Mareeya Resort &amp; Farm.ไร่มารียาฟาร์ม</x:v>
      </x:c>
      <x:c r="C259" s="20" t="str">
        <x:v>เชียงราย</x:v>
      </x:c>
      <x:c r="D259" s="20" t="str">
        <x:v>คงไว้ในชุด 600</x:v>
      </x:c>
      <x:c r="E259" s="20" t="str">
        <x:v>หลักฐานไม่พอ รอยืนยันการเปิด</x:v>
      </x:c>
      <x:c r="F259" s="20" t="str">
        <x:v>ยังไม่ยืนยันการเปิดให้บริการปัจจุบัน</x:v>
      </x:c>
      <x:c r="G259" s="26" t="n">
        <x:v>1</x:v>
      </x:c>
      <x:c r="H259" s="23" t="str"/>
      <x:c r="I259" s="23" t="str"/>
      <x:c r="J259" s="23" t="str"/>
      <x:c r="K259" s="23" t="str"/>
      <x:c r="L259" s="23" t="str"/>
      <x:c r="M259" s="23" t="str"/>
      <x:c r="N259" s="20" t="str">
        <x:v>ยังไม่ยืนยัน</x:v>
      </x:c>
      <x:c r="O25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59" s="25" t="n">
        <x:v>46315</x:v>
      </x:c>
      <x:c r="Q259" s="27" t="str">
        <x:v>ยังไม่ตรวจ</x:v>
      </x:c>
      <x:c r="R259" s="27" t="str">
        <x:v>รอติดต่อ</x:v>
      </x:c>
    </x:row>
    <x:row r="260" ht="96" customHeight="1">
      <x:c r="A260" s="24" t="str">
        <x:v>TMF-252</x:v>
      </x:c>
      <x:c r="B260" s="20" t="str">
        <x:v>กาแฟหัวโค้ง</x:v>
      </x:c>
      <x:c r="C260" s="20" t="str">
        <x:v>พระนครศรีอยุธยา</x:v>
      </x:c>
      <x:c r="D260" s="20" t="str">
        <x:v>คงไว้ในชุด 600</x:v>
      </x:c>
      <x:c r="E260" s="20" t="str">
        <x:v>หลักฐานไม่พอ รอยืนยันการเปิด</x:v>
      </x:c>
      <x:c r="F260" s="20" t="str">
        <x:v>ยังไม่ยืนยันการเปิดให้บริการปัจจุบัน</x:v>
      </x:c>
      <x:c r="G260" s="26" t="n">
        <x:v>1</x:v>
      </x:c>
      <x:c r="H260" s="23" t="str"/>
      <x:c r="I260" s="23" t="str"/>
      <x:c r="J260" s="23" t="str"/>
      <x:c r="K260" s="23" t="str"/>
      <x:c r="L260" s="23" t="str"/>
      <x:c r="M260" s="23" t="str"/>
      <x:c r="N260" s="20" t="str">
        <x:v>ยังไม่ยืนยัน</x:v>
      </x:c>
      <x:c r="O26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60" s="25" t="n">
        <x:v>46315</x:v>
      </x:c>
      <x:c r="Q260" s="27" t="str">
        <x:v>ยังไม่ตรวจ</x:v>
      </x:c>
      <x:c r="R260" s="27" t="str">
        <x:v>รอติดต่อ</x:v>
      </x:c>
    </x:row>
    <x:row r="261" ht="96" customHeight="1">
      <x:c r="A261" s="24" t="str">
        <x:v>TMF-253</x:v>
      </x:c>
      <x:c r="B261" s="20" t="str">
        <x:v>ครัวล้านนา อาหารเหนือมุสลิม (ลุมพลี)</x:v>
      </x:c>
      <x:c r="C261" s="20" t="str">
        <x:v>พระนครศรีอยุธยา</x:v>
      </x:c>
      <x:c r="D261" s="20" t="str">
        <x:v>คงไว้ในชุด 600</x:v>
      </x:c>
      <x:c r="E261" s="20" t="str">
        <x:v>หลักฐานไม่พอ รอยืนยันการเปิด</x:v>
      </x:c>
      <x:c r="F261" s="20" t="str">
        <x:v>ยังไม่ยืนยันการเปิดให้บริการปัจจุบัน</x:v>
      </x:c>
      <x:c r="G261" s="26" t="n">
        <x:v>1</x:v>
      </x:c>
      <x:c r="H261" s="23" t="str"/>
      <x:c r="I261" s="23" t="str"/>
      <x:c r="J261" s="23" t="str"/>
      <x:c r="K261" s="23" t="str"/>
      <x:c r="L261" s="23" t="str"/>
      <x:c r="M261" s="23" t="str"/>
      <x:c r="N261" s="20" t="str">
        <x:v>ยังไม่ยืนยัน</x:v>
      </x:c>
      <x:c r="O26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61" s="25" t="n">
        <x:v>46315</x:v>
      </x:c>
      <x:c r="Q261" s="27" t="str">
        <x:v>ยังไม่ตรวจ</x:v>
      </x:c>
      <x:c r="R261" s="27" t="str">
        <x:v>รอติดต่อ</x:v>
      </x:c>
    </x:row>
    <x:row r="262" ht="96" customHeight="1">
      <x:c r="A262" s="24" t="str">
        <x:v>TMF-254</x:v>
      </x:c>
      <x:c r="B262" s="20" t="str">
        <x:v>ชามิลฮาล้าล ก๋วยเตี๋ยว กาแฟสด คลองตะเคียน</x:v>
      </x:c>
      <x:c r="C262" s="20" t="str">
        <x:v>พระนครศรีอยุธยา</x:v>
      </x:c>
      <x:c r="D262" s="20" t="str">
        <x:v>คงไว้ในชุด 600</x:v>
      </x:c>
      <x:c r="E262" s="20" t="str">
        <x:v>หลักฐานไม่พอ รอยืนยันการเปิด</x:v>
      </x:c>
      <x:c r="F262" s="20" t="str">
        <x:v>ยังไม่ยืนยันการเปิดให้บริการปัจจุบัน</x:v>
      </x:c>
      <x:c r="G262" s="26" t="n">
        <x:v>1</x:v>
      </x:c>
      <x:c r="H262" s="23" t="str"/>
      <x:c r="I262" s="23" t="str"/>
      <x:c r="J262" s="23" t="str"/>
      <x:c r="K262" s="23" t="str"/>
      <x:c r="L262" s="23" t="str"/>
      <x:c r="M262" s="23" t="str"/>
      <x:c r="N262" s="20" t="str">
        <x:v>ยังไม่ยืนยัน</x:v>
      </x:c>
      <x:c r="O26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62" s="25" t="n">
        <x:v>46315</x:v>
      </x:c>
      <x:c r="Q262" s="27" t="str">
        <x:v>ยังไม่ตรวจ</x:v>
      </x:c>
      <x:c r="R262" s="27" t="str">
        <x:v>รอติดต่อ</x:v>
      </x:c>
    </x:row>
    <x:row r="263" ht="76" customHeight="1">
      <x:c r="A263" s="24" t="str">
        <x:v>TMF-255</x:v>
      </x:c>
      <x:c r="B263" s="20" t="str">
        <x:v>อะฟาฟ อาหารมุสลิม</x:v>
      </x:c>
      <x:c r="C263" s="20" t="str">
        <x:v>พระนครศรีอยุธยา</x:v>
      </x:c>
      <x:c r="D263" s="20" t="str">
        <x:v>คงไว้ในชุด 600</x:v>
      </x:c>
      <x:c r="E263" s="20" t="str">
        <x:v>พบหลายแหล่งสัมพันธ์กับชื่อ รอยืนยันการเปิด</x:v>
      </x:c>
      <x:c r="F263" s="20" t="str">
        <x:v>ยังไม่ยืนยันการเปิดให้บริการปัจจุบัน</x:v>
      </x:c>
      <x:c r="G263" s="26" t="n">
        <x:v>2</x:v>
      </x:c>
      <x:c r="H263" s="23" t="str"/>
      <x:c r="I263" s="23" t="str"/>
      <x:c r="J263" s="23" t="e">
        <x:f>HYPERLINK("https://www.wongnai.com/reviews/b306e02e27ca47b1a5c0108bb0bc43ef","เปิดหน้ารีวิว 1")</x:f>
        <x:v>HYPERLINK is not implemented. linkLocation=https://www.wongnai.com/reviews/b306e02e27ca47b1a5c0108bb0bc43ef, friendlyName=เปิดหน้ารีวิว 1</x:v>
      </x:c>
      <x:c r="K263" s="23" t="e">
        <x:f>HYPERLINK("https://www.wongnai.com/restaurants/3367782ZY-%E0%B8%AD%E0%B8%B0%E0%B8%9F%E0%B8%B2%E0%B8%9F-%E0%B8%AD%E0%B8%B2%E0%B8%AB%E0%B8%B2%E0%B8%A3%E0%B8%A1%E0%B8%B8%E0%B8%AA%E0%B8%A5%E0%B8%B4%E0%B8%A1-%E0%B9%80%E0%B8%84%E0%B9%89%E0%B8%81%E0%B8%9A%E0%B9%89%E0%B8%B2%E0%B8%99%E0%B8%AA%E0%B8%A7%E0%B8%99-3","เปิดหน้ารีวิว 2")</x:f>
        <x:v>HYPERLINK is not implemented. linkLocation=https://www.wongnai.com/restaurants/3367782ZY-%E0%B8%AD%E0%B8%B0%E0%B8%9F%E0%B8%B2%E0%B8%9F-%E0%B8%AD%E0%B8%B2%E0%B8%AB%E0%B8%B2%E0%B8%A3%E0%B8%A1%E0%B8%B8%E0%B8%AA%E0%B8%A5%E0%B8%B4%E0%B8%A1-%E0%B9%80%E0%B8%84%E0%B9%89%E0%B8%81%E0%B8%9A%E0%B9%89%E0%B8%B2%E0%B8%99%E0%B8%AA%E0%B8%A7%E0%B8%99-3, friendlyName=เปิดหน้ารีวิว 2</x:v>
      </x:c>
      <x:c r="L263" s="23" t="str"/>
      <x:c r="M263" s="23" t="str"/>
      <x:c r="N263" s="20" t="str">
        <x:v>ยังไม่ยืนยัน</x:v>
      </x:c>
      <x:c r="O26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63" s="25" t="n">
        <x:v>46315</x:v>
      </x:c>
      <x:c r="Q263" s="27" t="str">
        <x:v>ยังไม่ตรวจ</x:v>
      </x:c>
      <x:c r="R263" s="27" t="str">
        <x:v>รอติดต่อ</x:v>
      </x:c>
    </x:row>
    <x:row r="264" ht="76" customHeight="1">
      <x:c r="A264" s="24" t="str">
        <x:v>TMF-256</x:v>
      </x:c>
      <x:c r="B264" s="20" t="str">
        <x:v>อะฟาฟ อาหารมุสลิม สาขาบ้านสวน 3</x:v>
      </x:c>
      <x:c r="C264" s="20" t="str">
        <x:v>พระนครศรีอยุธยา</x:v>
      </x:c>
      <x:c r="D264" s="20" t="str">
        <x:v>คงไว้ในชุด 600</x:v>
      </x:c>
      <x:c r="E264" s="20" t="str">
        <x:v>พบหลายแหล่งสัมพันธ์กับชื่อ รอยืนยันการเปิด</x:v>
      </x:c>
      <x:c r="F264" s="20" t="str">
        <x:v>ยังไม่ยืนยันการเปิดให้บริการปัจจุบัน</x:v>
      </x:c>
      <x:c r="G264" s="26" t="n">
        <x:v>2</x:v>
      </x:c>
      <x:c r="H264" s="23" t="str"/>
      <x:c r="I264" s="23" t="str"/>
      <x:c r="J264" s="23" t="e">
        <x:f>HYPERLINK("https://www.wongnai.com/reviews/b306e02e27ca47b1a5c0108bb0bc43ef","เปิดหน้ารีวิว 1")</x:f>
        <x:v>HYPERLINK is not implemented. linkLocation=https://www.wongnai.com/reviews/b306e02e27ca47b1a5c0108bb0bc43ef, friendlyName=เปิดหน้ารีวิว 1</x:v>
      </x:c>
      <x:c r="K264" s="23" t="e">
        <x:f>HYPERLINK("https://www.wongnai.com/restaurants/3367782ZY-%E0%B8%AD%E0%B8%B0%E0%B8%9F%E0%B8%B2%E0%B8%9F-%E0%B8%AD%E0%B8%B2%E0%B8%AB%E0%B8%B2%E0%B8%A3%E0%B8%A1%E0%B8%B8%E0%B8%AA%E0%B8%A5%E0%B8%B4%E0%B8%A1-%E0%B9%80%E0%B8%84%E0%B9%89%E0%B8%81%E0%B8%9A%E0%B9%89%E0%B8%B2%E0%B8%99%E0%B8%AA%E0%B8%A7%E0%B8%99-3","เปิดหน้ารีวิว 2")</x:f>
        <x:v>HYPERLINK is not implemented. linkLocation=https://www.wongnai.com/restaurants/3367782ZY-%E0%B8%AD%E0%B8%B0%E0%B8%9F%E0%B8%B2%E0%B8%9F-%E0%B8%AD%E0%B8%B2%E0%B8%AB%E0%B8%B2%E0%B8%A3%E0%B8%A1%E0%B8%B8%E0%B8%AA%E0%B8%A5%E0%B8%B4%E0%B8%A1-%E0%B9%80%E0%B8%84%E0%B9%89%E0%B8%81%E0%B8%9A%E0%B9%89%E0%B8%B2%E0%B8%99%E0%B8%AA%E0%B8%A7%E0%B8%99-3, friendlyName=เปิดหน้ารีวิว 2</x:v>
      </x:c>
      <x:c r="L264" s="23" t="str"/>
      <x:c r="M264" s="23" t="str"/>
      <x:c r="N264" s="20" t="str">
        <x:v>ยังไม่ยืนยัน</x:v>
      </x:c>
      <x:c r="O26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64" s="25" t="n">
        <x:v>46315</x:v>
      </x:c>
      <x:c r="Q264" s="27" t="str">
        <x:v>ยังไม่ตรวจ</x:v>
      </x:c>
      <x:c r="R264" s="27" t="str">
        <x:v>รอติดต่อ</x:v>
      </x:c>
    </x:row>
    <x:row r="265" ht="96" customHeight="1">
      <x:c r="A265" s="24" t="str">
        <x:v>TMF-257</x:v>
      </x:c>
      <x:c r="B265" s="20" t="str">
        <x:v>ฮัจยีแดง สาขา 4</x:v>
      </x:c>
      <x:c r="C265" s="20" t="str">
        <x:v>พระนครศรีอยุธยา</x:v>
      </x:c>
      <x:c r="D265" s="20" t="str">
        <x:v>คงไว้ในชุด 600</x:v>
      </x:c>
      <x:c r="E265" s="20" t="str">
        <x:v>หลักฐานไม่พอ รอยืนยันการเปิด</x:v>
      </x:c>
      <x:c r="F265" s="20" t="str">
        <x:v>ยังไม่ยืนยันการเปิดให้บริการปัจจุบัน</x:v>
      </x:c>
      <x:c r="G265" s="26" t="n">
        <x:v>1</x:v>
      </x:c>
      <x:c r="H265" s="23" t="str"/>
      <x:c r="I265" s="23" t="str"/>
      <x:c r="J265" s="23" t="str"/>
      <x:c r="K265" s="23" t="str"/>
      <x:c r="L265" s="23" t="str"/>
      <x:c r="M265" s="23" t="str"/>
      <x:c r="N265" s="20" t="str">
        <x:v>ยังไม่ยืนยัน</x:v>
      </x:c>
      <x:c r="O26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65" s="25" t="n">
        <x:v>46315</x:v>
      </x:c>
      <x:c r="Q265" s="27" t="str">
        <x:v>ยังไม่ตรวจ</x:v>
      </x:c>
      <x:c r="R265" s="27" t="str">
        <x:v>รอติดต่อ</x:v>
      </x:c>
    </x:row>
    <x:row r="266" ht="96" customHeight="1">
      <x:c r="A266" s="24" t="str">
        <x:v>TMF-258</x:v>
      </x:c>
      <x:c r="B266" s="20" t="str">
        <x:v>โจ๊กเสือร้องไห้</x:v>
      </x:c>
      <x:c r="C266" s="20" t="str">
        <x:v>พระนครศรีอยุธยา</x:v>
      </x:c>
      <x:c r="D266" s="20" t="str">
        <x:v>คงไว้ในชุด 600</x:v>
      </x:c>
      <x:c r="E266" s="20" t="str">
        <x:v>หลักฐานไม่พอ รอยืนยันการเปิด</x:v>
      </x:c>
      <x:c r="F266" s="20" t="str">
        <x:v>ยังไม่ยืนยันการเปิดให้บริการปัจจุบัน</x:v>
      </x:c>
      <x:c r="G266" s="26" t="n">
        <x:v>1</x:v>
      </x:c>
      <x:c r="H266" s="23" t="str"/>
      <x:c r="I266" s="23" t="str"/>
      <x:c r="J266" s="23" t="str"/>
      <x:c r="K266" s="23" t="str"/>
      <x:c r="L266" s="23" t="str"/>
      <x:c r="M266" s="23" t="str"/>
      <x:c r="N266" s="20" t="str">
        <x:v>ยังไม่ยืนยัน</x:v>
      </x:c>
      <x:c r="O26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66" s="25" t="n">
        <x:v>46315</x:v>
      </x:c>
      <x:c r="Q266" s="27" t="str">
        <x:v>ยังไม่ตรวจ</x:v>
      </x:c>
      <x:c r="R266" s="27" t="str">
        <x:v>รอติดต่อ</x:v>
      </x:c>
    </x:row>
    <x:row r="267" ht="76" customHeight="1">
      <x:c r="A267" s="24" t="str">
        <x:v>TMF-259</x:v>
      </x:c>
      <x:c r="B267" s="20" t="str">
        <x:v>โรตีสายไหม อาบีดีน-ประนอม แสงอรุณ สาขา 2</x:v>
      </x:c>
      <x:c r="C267" s="20" t="str">
        <x:v>พระนครศรีอยุธยา</x:v>
      </x:c>
      <x:c r="D267" s="20" t="str">
        <x:v>คงไว้ในชุด 600</x:v>
      </x:c>
      <x:c r="E267" s="20" t="str">
        <x:v>พบหลายแหล่งสัมพันธ์กับชื่อ รอยืนยันการเปิด</x:v>
      </x:c>
      <x:c r="F267" s="20" t="str">
        <x:v>ยังไม่ยืนยันการเปิดให้บริการปัจจุบัน</x:v>
      </x:c>
      <x:c r="G267" s="26" t="n">
        <x:v>3</x:v>
      </x:c>
      <x:c r="H267" s="23" t="str"/>
      <x:c r="I267" s="23" t="str"/>
      <x:c r="J267" s="23" t="e">
        <x:f>HYPERLINK("https://www.wongnai.com/reviews/409a0dfdb89549eb9a3c6bac70f0df73","เปิดหน้ารีวิว 1")</x:f>
        <x:v>HYPERLINK is not implemented. linkLocation=https://www.wongnai.com/reviews/409a0dfdb89549eb9a3c6bac70f0df73, friendlyName=เปิดหน้ารีวิว 1</x:v>
      </x:c>
      <x:c r="K267" s="23" t="e">
        <x:f>HYPERLINK("https://www.wongnai.com/restaurants/22214aZ-%E0%B9%82%E0%B8%A3%E0%B8%95%E0%B8%B5%E0%B8%AA%E0%B8%B2%E0%B8%A2%E0%B9%84%E0%B8%AB%E0%B8%A1-%E0%B8%AD%E0%B8%B2%E0%B8%9A%E0%B8%B5%E0%B8%94%E0%B8%B5%E0%B8%99-%E0%B8%9B%E0%B8%A3%E0%B8%B0%E0%B8%99%E0%B8%AD%E0%B8%A1-%E0%B9%81%E0%B8%AA%E0%B8%87%E0%B8%AD%E0%B8%A3%E0%B8%B8%E0%B8%93-%E0%B9%82%E0%B8%A3%E0%B8%95%E0%B8%B5%E0%B8%AA%E0%B8%B2%E0%B8%A2%E0%B9%84%E0%B8%AB%E0%B8%A1-%E0%B8%AD%E0%B8%B2%E0%B8%9A%E0%B8%B5%E0%B8%94%E0%B8%B5%E0%B8%99-%E0%B8%9B%E0%B8%A3%E0%B8%B0%E0%B8%99%E0%B8%AD%E0%B8%A1-%E0%B9%81%E0%B8%AA%E0%B8%87%E0%B8%AD%E0%B8%A3%E0%B8%B8%E0%B8%93-%E0%B8%AA%E0%B8%B2%E0%B8%82%E0%B8%B22/reviews","เปิดหน้ารีวิว 2")</x:f>
        <x:v>HYPERLINK is not implemented. linkLocation=https://www.wongnai.com/restaurants/22214aZ-%E0%B9%82%E0%B8%A3%E0%B8%95%E0%B8%B5%E0%B8%AA%E0%B8%B2%E0%B8%A2%E0%B9%84%E0%B8%AB%E0%B8%A1-%E0%B8%AD%E0%B8%B2%E0%B8%9A%E0%B8%B5%E0%B8%94%E0%B8%B5%E0%B8%99-%E0%B8%9B%E0%B8%A3%E0%B8%B0%E0%B8%99%E0%B8%AD%E0%B8%A1-%E0%B9%81%E0%B8%AA%E0%B8%87%E0%B8%AD%E0%B8%A3%E0%B8%B8%E0%B8%93-%E0%B9%82%E0%B8%A3%E0%B8%95%E0%B8%B5%E0%B8%AA%E0%B8%B2%E0%B8%A2%E0%B9%84%E0%B8%AB%E0%B8%A1-%E0%B8%AD%E0%B8%B2%E0%B8%9A%E0%B8%B5%E0%B8%94%E0%B8%B5%E0%B8%99-%E0%B8%9B%E0%B8%A3%E0%B8%B0%E0%B8%99%E0%B8%AD%E0%B8%A1-%E0%B9%81%E0%B8%AA%E0%B8%87%E0%B8%AD%E0%B8%A3%E0%B8%B8%E0%B8%93-%E0%B8%AA%E0%B8%B2%E0%B8%82%E0%B8%B22/reviews, friendlyName=เปิดหน้ารีวิว 2</x:v>
      </x:c>
      <x:c r="L267" s="23" t="str"/>
      <x:c r="M267" s="23" t="str"/>
      <x:c r="N267" s="20" t="str">
        <x:v>ยังไม่ยืนยัน</x:v>
      </x:c>
      <x:c r="O26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67" s="25" t="n">
        <x:v>46315</x:v>
      </x:c>
      <x:c r="Q267" s="27" t="str">
        <x:v>ยังไม่ตรวจ</x:v>
      </x:c>
      <x:c r="R267" s="27" t="str">
        <x:v>รอติดต่อ</x:v>
      </x:c>
    </x:row>
    <x:row r="268" ht="76" customHeight="1">
      <x:c r="A268" s="24" t="str">
        <x:v>TMF-260</x:v>
      </x:c>
      <x:c r="B268" s="20" t="str">
        <x:v>ไก่ทอดหาดใหญ่ มูฮำหมัด อยุธยา สาขา 2 (ตรงข้ามวัดธรรมิกราช)</x:v>
      </x:c>
      <x:c r="C268" s="20" t="str">
        <x:v>พระนครศรีอยุธยา</x:v>
      </x:c>
      <x:c r="D268" s="20" t="str">
        <x:v>คงไว้ในชุด 600</x:v>
      </x:c>
      <x:c r="E268" s="20" t="str">
        <x:v>พบหลายแหล่งสัมพันธ์กับชื่อ รอยืนยันการเปิด</x:v>
      </x:c>
      <x:c r="F268" s="20" t="str">
        <x:v>ยังไม่ยืนยันการเปิดให้บริการปัจจุบัน</x:v>
      </x:c>
      <x:c r="G268" s="26" t="n">
        <x:v>3</x:v>
      </x:c>
      <x:c r="H268" s="23" t="str"/>
      <x:c r="I268" s="23" t="str"/>
      <x:c r="J268" s="23" t="e">
        <x:f>HYPERLINK("https://www.wongnai.com/restaurants/3354563by-%E0%B9%84%E0%B8%81%E0%B9%88%E0%B8%97%E0%B8%AD%E0%B8%94%E0%B8%AB%E0%B8%B2%E0%B8%94%E0%B9%83%E0%B8%AB%E0%B8%8D%E0%B9%88-%E0%B8%A1%E0%B8%B9%E0%B8%AE%E0%B8%B3%E0%B8%AB%E0%B8%A1%E0%B8%B1%E0%B8%94-%E0%B8%AD%E0%B8%A2%E0%B8%B8%E0%B8%98%E0%B8%A2%E0%B8%B2-%E0%B8%95%E0%B8%A3%E0%B8%87%E0%B8%82%E0%B9%89%E0%B8%B2%E0%B8%A1%E0%B8%A7%E0%B8%B1%E0%B8%94%E0%B8%98%E0%B8%A3%E0%B8%A3%E0%B8%A1%E0%B8%B4%E0%B8%81%E0%B8%B2%E0%B8%A3%E0%B8%B2%E0%B8%8A","เปิดหน้ารีวิว 1")</x:f>
        <x:v>HYPERLINK is not implemented. linkLocation=https://www.wongnai.com/restaurants/3354563by-%E0%B9%84%E0%B8%81%E0%B9%88%E0%B8%97%E0%B8%AD%E0%B8%94%E0%B8%AB%E0%B8%B2%E0%B8%94%E0%B9%83%E0%B8%AB%E0%B8%8D%E0%B9%88-%E0%B8%A1%E0%B8%B9%E0%B8%AE%E0%B8%B3%E0%B8%AB%E0%B8%A1%E0%B8%B1%E0%B8%94-%E0%B8%AD%E0%B8%A2%E0%B8%B8%E0%B8%98%E0%B8%A2%E0%B8%B2-%E0%B8%95%E0%B8%A3%E0%B8%87%E0%B8%82%E0%B9%89%E0%B8%B2%E0%B8%A1%E0%B8%A7%E0%B8%B1%E0%B8%94%E0%B8%98%E0%B8%A3%E0%B8%A3%E0%B8%A1%E0%B8%B4%E0%B8%81%E0%B8%B2%E0%B8%A3%E0%B8%B2%E0%B8%8A, friendlyName=เปิดหน้ารีวิว 1</x:v>
      </x:c>
      <x:c r="K268" s="23" t="e">
        <x:f>HYPERLINK("https://www.lemon8-app.com/%40variety_my_home/7446681422242628114?region=th","เปิดหน้ารีวิว 2")</x:f>
        <x:v>HYPERLINK is not implemented. linkLocation=https://www.lemon8-app.com/%40variety_my_home/7446681422242628114?region=th, friendlyName=เปิดหน้ารีวิว 2</x:v>
      </x:c>
      <x:c r="L268" s="23" t="str"/>
      <x:c r="M268" s="23" t="str"/>
      <x:c r="N268" s="20" t="str">
        <x:v>ยังไม่ยืนยัน</x:v>
      </x:c>
      <x:c r="O26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68" s="25" t="n">
        <x:v>46315</x:v>
      </x:c>
      <x:c r="Q268" s="27" t="str">
        <x:v>ยังไม่ตรวจ</x:v>
      </x:c>
      <x:c r="R268" s="27" t="str">
        <x:v>รอติดต่อ</x:v>
      </x:c>
    </x:row>
    <x:row r="269" ht="76" customHeight="1">
      <x:c r="A269" s="24" t="str">
        <x:v>TMF-261</x:v>
      </x:c>
      <x:c r="B269" s="20" t="str">
        <x:v>ไก่ทอดหาดใหญ่ มูฮำหมัด-อยุธยา สาขา 1</x:v>
      </x:c>
      <x:c r="C269" s="20" t="str">
        <x:v>พระนครศรีอยุธยา</x:v>
      </x:c>
      <x:c r="D269" s="20" t="str">
        <x:v>คงไว้ในชุด 600</x:v>
      </x:c>
      <x:c r="E269" s="20" t="str">
        <x:v>พบหลายแหล่งสัมพันธ์กับชื่อ รอยืนยันการเปิด</x:v>
      </x:c>
      <x:c r="F269" s="20" t="str">
        <x:v>ยังไม่ยืนยันการเปิดให้บริการปัจจุบัน</x:v>
      </x:c>
      <x:c r="G269" s="26" t="n">
        <x:v>3</x:v>
      </x:c>
      <x:c r="H269" s="23" t="str"/>
      <x:c r="I269" s="23" t="str"/>
      <x:c r="J269" s="23" t="e">
        <x:f>HYPERLINK("https://restaurantguru.com/%E0%B8%A1%E0%B8%B9%E0%B8%AE%E0%B8%B3%E0%B8%AB%E0%B8%A1%E0%B8%B1%E0%B8%94-%E0%B9%84%E0%B8%81%E0%B9%88%E0%B8%97%E0%B8%AD%E0%B8%94%E0%B8%AA%E0%B8%B9%E0%B8%95%E0%B8%A3%E0%B8%AB%E0%B8%B2%E0%B8%94%E0%B9%83%E0%B8%AB%E0%B8%8D%E0%B9%88-%E0%B8%88%E0%B8%B2%E0%B8%81%E0%B8%9B%E0%B8%B2%E0%B8%87%E0%B8%8A%E0%B9%89%E0%B8%B2%E0%B8%87%E0%B8%AD%E0%B8%A2%E0%B8%B8%E0%B8%98%E0%B8%A2%E0%B8%B2-Phra-Nakhon-Si-Ayutthaya","เปิดหน้ารีวิว 1")</x:f>
        <x:v>HYPERLINK is not implemented. linkLocation=https://restaurantguru.com/%E0%B8%A1%E0%B8%B9%E0%B8%AE%E0%B8%B3%E0%B8%AB%E0%B8%A1%E0%B8%B1%E0%B8%94-%E0%B9%84%E0%B8%81%E0%B9%88%E0%B8%97%E0%B8%AD%E0%B8%94%E0%B8%AA%E0%B8%B9%E0%B8%95%E0%B8%A3%E0%B8%AB%E0%B8%B2%E0%B8%94%E0%B9%83%E0%B8%AB%E0%B8%8D%E0%B9%88-%E0%B8%88%E0%B8%B2%E0%B8%81%E0%B8%9B%E0%B8%B2%E0%B8%87%E0%B8%8A%E0%B9%89%E0%B8%B2%E0%B8%87%E0%B8%AD%E0%B8%A2%E0%B8%B8%E0%B8%98%E0%B8%A2%E0%B8%B2-Phra-Nakhon-Si-Ayutthaya, friendlyName=เปิดหน้ารีวิว 1</x:v>
      </x:c>
      <x:c r="K269" s="23" t="e">
        <x:f>HYPERLINK("https://www.lemon8-app.com/%40poppytnp/7591095832632427028?region=th","เปิดหน้ารีวิว 2")</x:f>
        <x:v>HYPERLINK is not implemented. linkLocation=https://www.lemon8-app.com/%40poppytnp/7591095832632427028?region=th, friendlyName=เปิดหน้ารีวิว 2</x:v>
      </x:c>
      <x:c r="L269" s="23" t="str"/>
      <x:c r="M269" s="23" t="str"/>
      <x:c r="N269" s="20" t="str">
        <x:v>ยังไม่ยืนยัน</x:v>
      </x:c>
      <x:c r="O26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69" s="25" t="n">
        <x:v>46315</x:v>
      </x:c>
      <x:c r="Q269" s="27" t="str">
        <x:v>ยังไม่ตรวจ</x:v>
      </x:c>
      <x:c r="R269" s="27" t="str">
        <x:v>รอติดต่อ</x:v>
      </x:c>
    </x:row>
    <x:row r="270" ht="96" customHeight="1">
      <x:c r="A270" s="24" t="str">
        <x:v>TMF-262</x:v>
      </x:c>
      <x:c r="B270" s="20" t="str">
        <x:v>โรตีฮาลาลเจ้าเก่าน้ำพรุร้อนหินดาด</x:v>
      </x:c>
      <x:c r="C270" s="20" t="str">
        <x:v>กาญจนบุรี</x:v>
      </x:c>
      <x:c r="D270" s="20" t="str">
        <x:v>คงไว้ในชุด 600</x:v>
      </x:c>
      <x:c r="E270" s="20" t="str">
        <x:v>หลักฐานไม่พอ รอยืนยันการเปิด</x:v>
      </x:c>
      <x:c r="F270" s="20" t="str">
        <x:v>ยังไม่ยืนยันการเปิดให้บริการปัจจุบัน</x:v>
      </x:c>
      <x:c r="G270" s="26" t="n">
        <x:v>1</x:v>
      </x:c>
      <x:c r="H270" s="23" t="str"/>
      <x:c r="I270" s="23" t="str"/>
      <x:c r="J270" s="23" t="str"/>
      <x:c r="K270" s="23" t="str"/>
      <x:c r="L270" s="23" t="str"/>
      <x:c r="M270" s="23" t="str"/>
      <x:c r="N270" s="20" t="str">
        <x:v>ยังไม่ยืนยัน</x:v>
      </x:c>
      <x:c r="O27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70" s="25" t="n">
        <x:v>46315</x:v>
      </x:c>
      <x:c r="Q270" s="27" t="str">
        <x:v>ยังไม่ตรวจ</x:v>
      </x:c>
      <x:c r="R270" s="27" t="str">
        <x:v>รอติดต่อ</x:v>
      </x:c>
    </x:row>
    <x:row r="271" ht="76" customHeight="1">
      <x:c r="A271" s="24" t="str">
        <x:v>TMF-263</x:v>
      </x:c>
      <x:c r="B271" s="20" t="str">
        <x:v>Venice Krabi Villa Resort</x:v>
      </x:c>
      <x:c r="C271" s="20" t="str">
        <x:v>กระบี่</x:v>
      </x:c>
      <x:c r="D271" s="20" t="str">
        <x:v>คงไว้ในชุด 600</x:v>
      </x:c>
      <x:c r="E271" s="20" t="str">
        <x:v>พบหลายแหล่งสัมพันธ์กับชื่อ รอยืนยันการเปิด</x:v>
      </x:c>
      <x:c r="F271" s="20" t="str">
        <x:v>ยังไม่ยืนยันการเปิดให้บริการปัจจุบัน</x:v>
      </x:c>
      <x:c r="G271" s="26" t="n">
        <x:v>7</x:v>
      </x:c>
      <x:c r="H271" s="23" t="str"/>
      <x:c r="I271" s="23" t="str"/>
      <x:c r="J271" s="23" t="e">
        <x:f>HYPERLINK("https://www.google.co.th/travel/hotels/entity/CgsIitz_veKr3o3TARAB","เปิดหน้ารีวิว 1")</x:f>
        <x:v>HYPERLINK is not implemented. linkLocation=https://www.google.co.th/travel/hotels/entity/CgsIitz_veKr3o3TARAB, friendlyName=เปิดหน้ารีวิว 1</x:v>
      </x:c>
      <x:c r="K271" s="23" t="e">
        <x:f>HYPERLINK("https://www.wongnai.com/hotels/641986zx-venice-krabi-villa-resort","เปิดหน้ารีวิว 2")</x:f>
        <x:v>HYPERLINK is not implemented. linkLocation=https://www.wongnai.com/hotels/641986zx-venice-krabi-villa-resort, friendlyName=เปิดหน้ารีวิว 2</x:v>
      </x:c>
      <x:c r="L271" s="23" t="e">
        <x:f>HYPERLINK("https://www.venicekrabi.com/hotel-reviews/","เปิดเว็บเพิ่ม 1")</x:f>
        <x:v>HYPERLINK is not implemented. linkLocation=https://www.venicekrabi.com/hotel-reviews/, friendlyName=เปิดเว็บเพิ่ม 1</x:v>
      </x:c>
      <x:c r="M271" s="23" t="e">
        <x:f>HYPERLINK("https://www.venicekrabi.com/","เปิดเว็บเพิ่ม 2")</x:f>
        <x:v>HYPERLINK is not implemented. linkLocation=https://www.venicekrabi.com/, friendlyName=เปิดเว็บเพิ่ม 2</x:v>
      </x:c>
      <x:c r="N271" s="20" t="str">
        <x:v>ยังไม่ยืนยัน</x:v>
      </x:c>
      <x:c r="O27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71" s="25" t="n">
        <x:v>46315</x:v>
      </x:c>
      <x:c r="Q271" s="27" t="str">
        <x:v>ยังไม่ตรวจ</x:v>
      </x:c>
      <x:c r="R271" s="27" t="str">
        <x:v>รอติดต่อ</x:v>
      </x:c>
    </x:row>
    <x:row r="272" ht="76" customHeight="1">
      <x:c r="A272" s="24" t="str">
        <x:v>TMF-264</x:v>
      </x:c>
      <x:c r="B272" s="20" t="str">
        <x:v>บ้านใสใน รีสอร์ท</x:v>
      </x:c>
      <x:c r="C272" s="20" t="str">
        <x:v>กระบี่</x:v>
      </x:c>
      <x:c r="D272" s="20" t="str">
        <x:v>คงไว้ในชุด 600</x:v>
      </x:c>
      <x:c r="E272" s="20" t="str">
        <x:v>พบหลายแหล่งสัมพันธ์กับชื่อ รอยืนยันการเปิด</x:v>
      </x:c>
      <x:c r="F272" s="20" t="str">
        <x:v>ยังไม่ยืนยันการเปิดให้บริการปัจจุบัน</x:v>
      </x:c>
      <x:c r="G272" s="26" t="n">
        <x:v>9</x:v>
      </x:c>
      <x:c r="H272" s="23" t="str"/>
      <x:c r="I272" s="23" t="str"/>
      <x:c r="J272" s="23" t="e">
        <x:f>HYPERLINK("https://th.hotels.com/ho442182/ban-s-n-risxrth-krabi-thiy/","เปิดหน้ารีวิว 1")</x:f>
        <x:v>HYPERLINK is not implemented. linkLocation=https://th.hotels.com/ho442182/ban-s-n-risxrth-krabi-thiy/, friendlyName=เปิดหน้ารีวิว 1</x:v>
      </x:c>
      <x:c r="K272" s="23" t="e">
        <x:f>HYPERLINK("https://www.expedia.co.th/Krabi-Hotels-Ban-Sainai-Resort.h6598818.Hotel-Information?equalTargetTab=tab-1","เปิดหน้ารีวิว 2")</x:f>
        <x:v>HYPERLINK is not implemented. linkLocation=https://www.expedia.co.th/Krabi-Hotels-Ban-Sainai-Resort.h6598818.Hotel-Information?equalTargetTab=tab-1, friendlyName=เปิดหน้ารีวิว 2</x:v>
      </x:c>
      <x:c r="L272" s="23" t="e">
        <x:f>HYPERLINK("https://www.hotelscombined.co.th/Hotel/Ban_Sainai_Resort.htm","เปิดเว็บเพิ่ม 1")</x:f>
        <x:v>HYPERLINK is not implemented. linkLocation=https://www.hotelscombined.co.th/Hotel/Ban_Sainai_Resort.htm, friendlyName=เปิดเว็บเพิ่ม 1</x:v>
      </x:c>
      <x:c r="M272" s="23" t="e">
        <x:f>HYPERLINK("https://www.kayak.co.th/%E0%B8%81%E0%B8%A3%E0%B8%B0%E0%B8%9A%E0%B8%B5%E0%B9%88-%E0%B9%82%E0%B8%A3%E0%B8%87%E0%B9%81%E0%B8%A3%E0%B8%A1-%E0%B8%9A%E0%B9%89%E0%B8%B2%E0%B8%99%E0%B9%83%E0%B8%AA%E0%B9%83%E0%B8%99-%E0%B8%A3%E0%B8%B5%E0%B8%AA%E0%B8%AD%E0%B8%A3%E0%B9%8C%E0%B8%97.547200.ksp","เปิดเว็บเพิ่ม 2")</x:f>
        <x:v>HYPERLINK is not implemented. linkLocation=https://www.kayak.co.th/%E0%B8%81%E0%B8%A3%E0%B8%B0%E0%B8%9A%E0%B8%B5%E0%B9%88-%E0%B9%82%E0%B8%A3%E0%B8%87%E0%B9%81%E0%B8%A3%E0%B8%A1-%E0%B8%9A%E0%B9%89%E0%B8%B2%E0%B8%99%E0%B9%83%E0%B8%AA%E0%B9%83%E0%B8%99-%E0%B8%A3%E0%B8%B5%E0%B8%AA%E0%B8%AD%E0%B8%A3%E0%B9%8C%E0%B8%97.547200.ksp, friendlyName=เปิดเว็บเพิ่ม 2</x:v>
      </x:c>
      <x:c r="N272" s="20" t="str">
        <x:v>ยังไม่ยืนยัน</x:v>
      </x:c>
      <x:c r="O27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72" s="25" t="n">
        <x:v>46315</x:v>
      </x:c>
      <x:c r="Q272" s="27" t="str">
        <x:v>ยังไม่ตรวจ</x:v>
      </x:c>
      <x:c r="R272" s="27" t="str">
        <x:v>รอติดต่อ</x:v>
      </x:c>
    </x:row>
    <x:row r="273" ht="76" customHeight="1">
      <x:c r="A273" s="24" t="str">
        <x:v>TMF-265</x:v>
      </x:c>
      <x:c r="B273" s="20" t="str">
        <x:v>อ่าวนาง ซิลเวอร์ ออร์คิด รีสอร์ท</x:v>
      </x:c>
      <x:c r="C273" s="20" t="str">
        <x:v>กระบี่</x:v>
      </x:c>
      <x:c r="D273" s="20" t="str">
        <x:v>คงไว้ในชุด 600</x:v>
      </x:c>
      <x:c r="E273" s="20" t="str">
        <x:v>พบหลายแหล่งสัมพันธ์กับชื่อ รอยืนยันการเปิด</x:v>
      </x:c>
      <x:c r="F273" s="20" t="str">
        <x:v>ยังไม่ยืนยันการเปิดให้บริการปัจจุบัน</x:v>
      </x:c>
      <x:c r="G273" s="26" t="n">
        <x:v>8</x:v>
      </x:c>
      <x:c r="H273" s="23" t="str"/>
      <x:c r="I273" s="23" t="str"/>
      <x:c r="J273" s="23" t="e">
        <x:f>HYPERLINK("https://th.hotels.com/ho471122/xaw-nang-silwexr-xxr-khid-risxrth-krabi-thiy/","เปิดหน้ารีวิว 1")</x:f>
        <x:v>HYPERLINK is not implemented. linkLocation=https://th.hotels.com/ho471122/xaw-nang-silwexr-xxr-khid-risxrth-krabi-thiy/, friendlyName=เปิดหน้ารีวิว 1</x:v>
      </x:c>
      <x:c r="K273" s="23" t="e">
        <x:f>HYPERLINK("https://www.youtube.com/watch?v=vffOWYs51qc","เปิดหน้ารีวิว 2")</x:f>
        <x:v>HYPERLINK is not implemented. linkLocation=https://www.youtube.com/watch?v=vffOWYs51qc, friendlyName=เปิดหน้ารีวิว 2</x:v>
      </x:c>
      <x:c r="L273" s="23" t="e">
        <x:f>HYPERLINK("https://www.kayak.co.th/%E0%B8%81%E0%B8%A3%E0%B8%B0%E0%B8%9A%E0%B8%B5%E0%B9%88-%E0%B9%82%E0%B8%A3%E0%B8%87%E0%B9%81%E0%B8%A3%E0%B8%A1-%E0%B8%AD%E0%B9%88%E0%B8%B2%E0%B8%A7%E0%B8%99%E0%B8%B2%E0%B8%87-%E0%B8%8B%E0%B8%B4%E0%B8%A5%E0%B9%80%E0%B8%A7%E0%B8%AD%E0%B8%A3%E0%B9%8C-%E0%B8%AD%E0%B8%AD%E0%B8%A3%E0%B9%8C%E0%B8%84%E0%B8%B4%E0%B8%94-%E0%B8%A3%E0%B8%B5%E0%B8%AA%E0%B8%AD%E0%B8%A3%E0%B9%8C%E0%B8%97.2006974.ksp","เปิดเว็บเพิ่ม 1")</x:f>
        <x:v>HYPERLINK is not implemented. linkLocation=https://www.kayak.co.th/%E0%B8%81%E0%B8%A3%E0%B8%B0%E0%B8%9A%E0%B8%B5%E0%B9%88-%E0%B9%82%E0%B8%A3%E0%B8%87%E0%B9%81%E0%B8%A3%E0%B8%A1-%E0%B8%AD%E0%B9%88%E0%B8%B2%E0%B8%A7%E0%B8%99%E0%B8%B2%E0%B8%87-%E0%B8%8B%E0%B8%B4%E0%B8%A5%E0%B9%80%E0%B8%A7%E0%B8%AD%E0%B8%A3%E0%B9%8C-%E0%B8%AD%E0%B8%AD%E0%B8%A3%E0%B9%8C%E0%B8%84%E0%B8%B4%E0%B8%94-%E0%B8%A3%E0%B8%B5%E0%B8%AA%E0%B8%AD%E0%B8%A3%E0%B9%8C%E0%B8%97.2006974.ksp, friendlyName=เปิดเว็บเพิ่ม 1</x:v>
      </x:c>
      <x:c r="M273" s="23" t="e">
        <x:f>HYPERLINK("https://www.hotelscombined.co.th/Hotel/Aonang_Silver_Orchid_Resort.htm","เปิดเว็บเพิ่ม 2")</x:f>
        <x:v>HYPERLINK is not implemented. linkLocation=https://www.hotelscombined.co.th/Hotel/Aonang_Silver_Orchid_Resort.htm, friendlyName=เปิดเว็บเพิ่ม 2</x:v>
      </x:c>
      <x:c r="N273" s="20" t="str">
        <x:v>ยังไม่ยืนยัน</x:v>
      </x:c>
      <x:c r="O27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73" s="25" t="n">
        <x:v>46315</x:v>
      </x:c>
      <x:c r="Q273" s="27" t="str">
        <x:v>ยังไม่ตรวจ</x:v>
      </x:c>
      <x:c r="R273" s="27" t="str">
        <x:v>รอติดต่อ</x:v>
      </x:c>
    </x:row>
    <x:row r="274" ht="76" customHeight="1">
      <x:c r="A274" s="24" t="str">
        <x:v>TMF-266</x:v>
      </x:c>
      <x:c r="B274" s="20" t="str">
        <x:v>โรงแรมกระบี่เพชรไพลิน</x:v>
      </x:c>
      <x:c r="C274" s="20" t="str">
        <x:v>กระบี่</x:v>
      </x:c>
      <x:c r="D274" s="20" t="str">
        <x:v>คงไว้ในชุด 600</x:v>
      </x:c>
      <x:c r="E274" s="20" t="str">
        <x:v>พบหลายแหล่งสัมพันธ์กับชื่อ รอยืนยันการเปิด</x:v>
      </x:c>
      <x:c r="F274" s="20" t="str">
        <x:v>ยังไม่ยืนยันการเปิดให้บริการปัจจุบัน</x:v>
      </x:c>
      <x:c r="G274" s="26" t="n">
        <x:v>6</x:v>
      </x:c>
      <x:c r="H274" s="23" t="str"/>
      <x:c r="I274" s="23" t="str"/>
      <x:c r="J274" s="23" t="e">
        <x:f>HYPERLINK("https://www.google.co.th/travel/hotels/entity/ChcItZfa5bLpw6MRGgsvZy8xdGhzengxNRAB?ap=MAA&amp;ts=CAEaBAoCGgAqBAoAGgA","เปิดหน้ารีวิว 1")</x:f>
        <x:v>HYPERLINK is not implemented. linkLocation=https://www.google.co.th/travel/hotels/entity/ChcItZfa5bLpw6MRGgsvZy8xdGhzengxNRAB?ap=MAA&amp;ts=CAEaBAoCGgAqBAoAGgA, friendlyName=เปิดหน้ารีวิว 1</x:v>
      </x:c>
      <x:c r="K274" s="23" t="e">
        <x:f>HYPERLINK("https://www.expedia.co.th/Krabi-Hotels-Krabi-Phetpailin-Hotel.h8315486.Hotel-Information","เปิดหน้ารีวิว 2")</x:f>
        <x:v>HYPERLINK is not implemented. linkLocation=https://www.expedia.co.th/Krabi-Hotels-Krabi-Phetpailin-Hotel.h8315486.Hotel-Information, friendlyName=เปิดหน้ารีวิว 2</x:v>
      </x:c>
      <x:c r="L274" s="23" t="e">
        <x:f>HYPERLINK("https://www.trivago.co.th/th/oar/%E0%B9%82%E0%B8%A3%E0%B8%87%E0%B9%81%E0%B8%A3%E0%B8%A1%E0%B8%81%E0%B8%A3%E0%B8%B0%E0%B8%9A-%E0%B9%80%E0%B8%9E%E0%B8%8A%E0%B8%A3%E0%B9%84%E0%B8%9E%E0%B8%A5-%E0%B8%99?search=100-912999","เปิดเว็บเพิ่ม 1")</x:f>
        <x:v>HYPERLINK is not implemented. linkLocation=https://www.trivago.co.th/th/oar/%E0%B9%82%E0%B8%A3%E0%B8%87%E0%B9%81%E0%B8%A3%E0%B8%A1%E0%B8%81%E0%B8%A3%E0%B8%B0%E0%B8%9A-%E0%B9%80%E0%B8%9E%E0%B8%8A%E0%B8%A3%E0%B9%84%E0%B8%9E%E0%B8%A5-%E0%B8%99?search=100-912999, friendlyName=เปิดเว็บเพิ่ม 1</x:v>
      </x:c>
      <x:c r="M274" s="23" t="e">
        <x:f>HYPERLINK("https://www.traveloka.com/th-th/hotel/thailand/krabi-phetpailin-hotel-9000003289587","เปิดเว็บเพิ่ม 2")</x:f>
        <x:v>HYPERLINK is not implemented. linkLocation=https://www.traveloka.com/th-th/hotel/thailand/krabi-phetpailin-hotel-9000003289587, friendlyName=เปิดเว็บเพิ่ม 2</x:v>
      </x:c>
      <x:c r="N274" s="20" t="str">
        <x:v>ยังไม่ยืนยัน</x:v>
      </x:c>
      <x:c r="O27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74" s="25" t="n">
        <x:v>46315</x:v>
      </x:c>
      <x:c r="Q274" s="27" t="str">
        <x:v>ยังไม่ตรวจ</x:v>
      </x:c>
      <x:c r="R274" s="27" t="str">
        <x:v>รอติดต่อ</x:v>
      </x:c>
    </x:row>
    <x:row r="275" ht="76" customHeight="1">
      <x:c r="A275" s="24" t="str">
        <x:v>TMF-267</x:v>
      </x:c>
      <x:c r="B275" s="20" t="str">
        <x:v>โรงแรมอ่าวนางวิลล่า รีสอร์ท</x:v>
      </x:c>
      <x:c r="C275" s="20" t="str">
        <x:v>กระบี่</x:v>
      </x:c>
      <x:c r="D275" s="20" t="str">
        <x:v>คงไว้ในชุด 600</x:v>
      </x:c>
      <x:c r="E275" s="20" t="str">
        <x:v>พบหลายแหล่งสัมพันธ์กับชื่อ รอยืนยันการเปิด</x:v>
      </x:c>
      <x:c r="F275" s="20" t="str">
        <x:v>ยังไม่ยืนยันการเปิดให้บริการปัจจุบัน</x:v>
      </x:c>
      <x:c r="G275" s="26" t="n">
        <x:v>4</x:v>
      </x:c>
      <x:c r="H275" s="23" t="str"/>
      <x:c r="I275" s="23" t="str"/>
      <x:c r="J275" s="23" t="e">
        <x:f>HYPERLINK("https://th.tripadvisor.com/Hotel_Review-g1507054-d308736-Reviews-or30-Aonang_Villa_Resort-Ao_Nang_Krabi_Province.html","เปิดหน้ารีวิว 1")</x:f>
        <x:v>HYPERLINK is not implemented. linkLocation=https://th.tripadvisor.com/Hotel_Review-g1507054-d308736-Reviews-or30-Aonang_Villa_Resort-Ao_Nang_Krabi_Province.html, friendlyName=เปิดหน้ารีวิว 1</x:v>
      </x:c>
      <x:c r="K275" s="23" t="e">
        <x:f>HYPERLINK("https://th.trip.com/hotels/krabi-town-hotel-detail-709768/aonang-villa-resort-i-lifestyle-beachfront-resort/?locale=th-TH&amp;rankingId=100200247049","เปิดหน้ารีวิว 2")</x:f>
        <x:v>HYPERLINK is not implemented. linkLocation=https://th.trip.com/hotels/krabi-town-hotel-detail-709768/aonang-villa-resort-i-lifestyle-beachfront-resort/?locale=th-TH&amp;rankingId=100200247049, friendlyName=เปิดหน้ารีวิว 2</x:v>
      </x:c>
      <x:c r="L275" s="23" t="e">
        <x:f>HYPERLINK("https://pantip.com/topic/40142353","เปิดเว็บเพิ่ม 1")</x:f>
        <x:v>HYPERLINK is not implemented. linkLocation=https://pantip.com/topic/40142353, friendlyName=เปิดเว็บเพิ่ม 1</x:v>
      </x:c>
      <x:c r="M275" s="23" t="str"/>
      <x:c r="N275" s="20" t="str">
        <x:v>ยังไม่ยืนยัน</x:v>
      </x:c>
      <x:c r="O27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75" s="25" t="n">
        <x:v>46315</x:v>
      </x:c>
      <x:c r="Q275" s="27" t="str">
        <x:v>ยังไม่ตรวจ</x:v>
      </x:c>
      <x:c r="R275" s="27" t="str">
        <x:v>รอติดต่อ</x:v>
      </x:c>
    </x:row>
    <x:row r="276" ht="96" customHeight="1">
      <x:c r="A276" s="24" t="str">
        <x:v>TMF-268</x:v>
      </x:c>
      <x:c r="B276" s="20" t="str">
        <x:v>โรงแรมแองโคล่า วายแอนด์ดับบลิว</x:v>
      </x:c>
      <x:c r="C276" s="20" t="str">
        <x:v>กระบี่</x:v>
      </x:c>
      <x:c r="D276" s="20" t="str">
        <x:v>คงไว้ในชุด 600</x:v>
      </x:c>
      <x:c r="E276" s="20" t="str">
        <x:v>หลักฐานไม่พอ รอยืนยันการเปิด</x:v>
      </x:c>
      <x:c r="F276" s="20" t="str">
        <x:v>ยังไม่ยืนยันการเปิดให้บริการปัจจุบัน</x:v>
      </x:c>
      <x:c r="G276" s="26" t="n">
        <x:v>1</x:v>
      </x:c>
      <x:c r="H276" s="23" t="str"/>
      <x:c r="I276" s="23" t="str"/>
      <x:c r="J276" s="23" t="str"/>
      <x:c r="K276" s="23" t="str"/>
      <x:c r="L276" s="23" t="str"/>
      <x:c r="M276" s="23" t="str"/>
      <x:c r="N276" s="20" t="str">
        <x:v>ยังไม่ยืนยัน</x:v>
      </x:c>
      <x:c r="O27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76" s="25" t="n">
        <x:v>46315</x:v>
      </x:c>
      <x:c r="Q276" s="27" t="str">
        <x:v>ยังไม่ตรวจ</x:v>
      </x:c>
      <x:c r="R276" s="27" t="str">
        <x:v>รอติดต่อ</x:v>
      </x:c>
    </x:row>
    <x:row r="277" ht="76" customHeight="1">
      <x:c r="A277" s="24" t="str">
        <x:v>TMF-269</x:v>
      </x:c>
      <x:c r="B277" s="20" t="str">
        <x:v>Amanah Bangkok</x:v>
      </x:c>
      <x:c r="C277" s="20" t="str">
        <x:v>กรุงเทพมหานคร</x:v>
      </x:c>
      <x:c r="D277" s="20" t="str">
        <x:v>คงไว้ในชุด 600</x:v>
      </x:c>
      <x:c r="E277" s="20" t="str">
        <x:v>พบหลายแหล่งสัมพันธ์กับชื่อ รอยืนยันการเปิด</x:v>
      </x:c>
      <x:c r="F277" s="20" t="str">
        <x:v>ยังไม่ยืนยันการเปิดให้บริการปัจจุบัน</x:v>
      </x:c>
      <x:c r="G277" s="26" t="n">
        <x:v>6</x:v>
      </x:c>
      <x:c r="H277" s="23" t="str"/>
      <x:c r="I277" s="23" t="str"/>
      <x:c r="J277" s="23" t="e">
        <x:f>HYPERLINK("https://www.google.co.th/travel/hotels/entity/ChkI44rK8ors98Z2Gg0vZy8xMWoxamIxNHJwEAE","เปิดหน้ารีวิว 1")</x:f>
        <x:v>HYPERLINK is not implemented. linkLocation=https://www.google.co.th/travel/hotels/entity/ChkI44rK8ors98Z2Gg0vZy8xMWoxamIxNHJwEAE, friendlyName=เปิดหน้ารีวิว 1</x:v>
      </x:c>
      <x:c r="K277" s="23" t="e">
        <x:f>HYPERLINK("https://th.tripadvisor.com/Hotel_Review-g293916-d21287292-Reviews-Amanah_Bangkok-Bangkok.html","เปิดหน้ารีวิว 2")</x:f>
        <x:v>HYPERLINK is not implemented. linkLocation=https://th.tripadvisor.com/Hotel_Review-g293916-d21287292-Reviews-Amanah_Bangkok-Bangkok.html, friendlyName=เปิดหน้ารีวิว 2</x:v>
      </x:c>
      <x:c r="L277" s="23" t="e">
        <x:f>HYPERLINK("https://bangkokgotme.com/venues/amanah-bangkok","เปิดเว็บเพิ่ม 1")</x:f>
        <x:v>HYPERLINK is not implemented. linkLocation=https://bangkokgotme.com/venues/amanah-bangkok, friendlyName=เปิดเว็บเพิ่ม 1</x:v>
      </x:c>
      <x:c r="M277" s="23" t="str"/>
      <x:c r="N277" s="20" t="str">
        <x:v>ยังไม่ยืนยัน</x:v>
      </x:c>
      <x:c r="O27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77" s="25" t="n">
        <x:v>46315</x:v>
      </x:c>
      <x:c r="Q277" s="27" t="str">
        <x:v>ยังไม่ตรวจ</x:v>
      </x:c>
      <x:c r="R277" s="27" t="str">
        <x:v>รอติดต่อ</x:v>
      </x:c>
    </x:row>
    <x:row r="278" ht="76" customHeight="1">
      <x:c r="A278" s="24" t="str">
        <x:v>TMF-270</x:v>
      </x:c>
      <x:c r="B278" s="20" t="str">
        <x:v>Noursabah Boutique Bed Bangkok</x:v>
      </x:c>
      <x:c r="C278" s="20" t="str">
        <x:v>กรุงเทพมหานคร</x:v>
      </x:c>
      <x:c r="D278" s="20" t="str">
        <x:v>คงไว้ในชุด 600</x:v>
      </x:c>
      <x:c r="E278" s="20" t="str">
        <x:v>พบหลายแหล่งสัมพันธ์กับชื่อ รอยืนยันการเปิด</x:v>
      </x:c>
      <x:c r="F278" s="20" t="str">
        <x:v>ยังไม่ยืนยันการเปิดให้บริการปัจจุบัน</x:v>
      </x:c>
      <x:c r="G278" s="26" t="n">
        <x:v>7</x:v>
      </x:c>
      <x:c r="H278" s="23" t="str"/>
      <x:c r="I278" s="23" t="str"/>
      <x:c r="J278" s="23" t="e">
        <x:f>HYPERLINK("https://www.booking.com/hotel/th/noursabah-bed-bangkok-nusbaa.th.html","เปิดหน้ารีวิว 1")</x:f>
        <x:v>HYPERLINK is not implemented. linkLocation=https://www.booking.com/hotel/th/noursabah-bed-bangkok-nusbaa.th.html, friendlyName=เปิดหน้ารีวิว 1</x:v>
      </x:c>
      <x:c r="K278" s="23" t="e">
        <x:f>HYPERLINK("https://th.tripadvisor.com/Hotel_Review-g293916-d11824173-Reviews-Noursabah_Boutique_Bed_Bangkok-Bangkok.html","เปิดหน้ารีวิว 2")</x:f>
        <x:v>HYPERLINK is not implemented. linkLocation=https://th.tripadvisor.com/Hotel_Review-g293916-d11824173-Reviews-Noursabah_Boutique_Bed_Bangkok-Bangkok.html, friendlyName=เปิดหน้ารีวิว 2</x:v>
      </x:c>
      <x:c r="L278" s="23" t="str"/>
      <x:c r="M278" s="23" t="str"/>
      <x:c r="N278" s="20" t="str">
        <x:v>ยังไม่ยืนยัน</x:v>
      </x:c>
      <x:c r="O27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78" s="25" t="n">
        <x:v>46315</x:v>
      </x:c>
      <x:c r="Q278" s="27" t="str">
        <x:v>ยังไม่ตรวจ</x:v>
      </x:c>
      <x:c r="R278" s="27" t="str">
        <x:v>รอติดต่อ</x:v>
      </x:c>
    </x:row>
    <x:row r="279" ht="76" customHeight="1">
      <x:c r="A279" s="24" t="str">
        <x:v>TMF-271</x:v>
      </x:c>
      <x:c r="B279" s="20" t="str">
        <x:v>มุสลิมโฮม 2 Muslimhome2</x:v>
      </x:c>
      <x:c r="C279" s="20" t="str">
        <x:v>กรุงเทพมหานคร</x:v>
      </x:c>
      <x:c r="D279" s="20" t="str">
        <x:v>รวมรายการซ้ำกับ TMF-083</x:v>
      </x:c>
      <x:c r="E279" s="20" t="str">
        <x:v>พบหลายแหล่งสัมพันธ์กับชื่อ รอยืนยันการเปิด</x:v>
      </x:c>
      <x:c r="F279" s="20" t="str">
        <x:v>ยังไม่ยืนยันการเปิดให้บริการปัจจุบัน</x:v>
      </x:c>
      <x:c r="G279" s="26" t="n">
        <x:v>2</x:v>
      </x:c>
      <x:c r="H279" s="23" t="str"/>
      <x:c r="I279" s="23" t="str"/>
      <x:c r="J279" s="23" t="str"/>
      <x:c r="K279" s="23" t="str"/>
      <x:c r="L279" s="23" t="e">
        <x:f>HYPERLINK("https://www.thaithurkic.com/%E0%B8%A1%E0%B8%B8%E0%B8%AA%E0%B8%A5%E0%B8%B4%E0%B8%A1%E0%B9%82%E0%B8%AE%E0%B8%A1-muslimhome-02-318-6020","เปิดเว็บเพิ่ม 1")</x:f>
        <x:v>HYPERLINK is not implemented. linkLocation=https://www.thaithurkic.com/%E0%B8%A1%E0%B8%B8%E0%B8%AA%E0%B8%A5%E0%B8%B4%E0%B8%A1%E0%B9%82%E0%B8%AE%E0%B8%A1-muslimhome-02-318-6020, friendlyName=เปิดเว็บเพิ่ม 1</x:v>
      </x:c>
      <x:c r="M279" s="23" t="str"/>
      <x:c r="N279" s="20" t="str">
        <x:v>ยังไม่ยืนยัน</x:v>
      </x:c>
      <x:c r="O27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79" s="25" t="n">
        <x:v>46315</x:v>
      </x:c>
      <x:c r="Q279" s="27" t="str">
        <x:v>ยังไม่ตรวจ</x:v>
      </x:c>
      <x:c r="R279" s="27" t="str">
        <x:v>รอติดต่อ</x:v>
      </x:c>
    </x:row>
    <x:row r="280" ht="76" customHeight="1">
      <x:c r="A280" s="24" t="str">
        <x:v>TMF-272</x:v>
      </x:c>
      <x:c r="B280" s="20" t="str">
        <x:v>โรงแรมอัญชาลีน่าแกรนด์</x:v>
      </x:c>
      <x:c r="C280" s="20" t="str">
        <x:v>กรุงเทพมหานคร</x:v>
      </x:c>
      <x:c r="D280" s="20" t="str">
        <x:v>คงไว้ในชุด 600</x:v>
      </x:c>
      <x:c r="E280" s="20" t="str">
        <x:v>พบหลายแหล่งสัมพันธ์กับชื่อ รอยืนยันการเปิด</x:v>
      </x:c>
      <x:c r="F280" s="20" t="str">
        <x:v>ยังไม่ยืนยันการเปิดให้บริการปัจจุบัน</x:v>
      </x:c>
      <x:c r="G280" s="26" t="n">
        <x:v>5</x:v>
      </x:c>
      <x:c r="H280" s="23" t="str"/>
      <x:c r="I280" s="23" t="str"/>
      <x:c r="J280" s="23" t="e">
        <x:f>HYPERLINK("https://www.google.co.th/travel/hotels/entity/CgsIpo626vWx-sHeARAB?ts=CAEaBAoCGgAqBAoAGgA","เปิดหน้ารีวิว 1")</x:f>
        <x:v>HYPERLINK is not implemented. linkLocation=https://www.google.co.th/travel/hotels/entity/CgsIpo626vWx-sHeARAB?ts=CAEaBAoCGgAqBAoAGgA, friendlyName=เปิดหน้ารีวิว 1</x:v>
      </x:c>
      <x:c r="K280" s="23" t="e">
        <x:f>HYPERLINK("https://www.google.co.th/travel/hotels/entity/CgsIpo626vWx-sHeARAB?rp=OAHCAhwiGg0AAEBBEhMI_czPxZilkAMV9NvCBB0AmQYF&amp;ts=CAEaIgoCGgASHBIUCgcI6g8QBxgaEgcI6g8QBxgbGAEyAhAAOAEqBAoAGgA","เปิดหน้ารีวิว 2")</x:f>
        <x:v>HYPERLINK is not implemented. linkLocation=https://www.google.co.th/travel/hotels/entity/CgsIpo626vWx-sHeARAB?rp=OAHCAhwiGg0AAEBBEhMI_czPxZilkAMV9NvCBB0AmQYF&amp;ts=CAEaIgoCGgASHBIUCgcI6g8QBxgaEgcI6g8QBxgbGAEyAhAAOAEqBAoAGgA, friendlyName=เปิดหน้ารีวิว 2</x:v>
      </x:c>
      <x:c r="L280" s="23" t="e">
        <x:f>HYPERLINK("https://www.aunchaleenagrandhotel.com/","เปิดเว็บเพิ่ม 1")</x:f>
        <x:v>HYPERLINK is not implemented. linkLocation=https://www.aunchaleenagrandhotel.com/, friendlyName=เปิดเว็บเพิ่ม 1</x:v>
      </x:c>
      <x:c r="M280" s="23" t="e">
        <x:f>HYPERLINK("https://www.gother.com/th-th/hotels/thailand/bangkok/wang-thonglang/aunchaleena-grand-hotel","เปิดเว็บเพิ่ม 2")</x:f>
        <x:v>HYPERLINK is not implemented. linkLocation=https://www.gother.com/th-th/hotels/thailand/bangkok/wang-thonglang/aunchaleena-grand-hotel, friendlyName=เปิดเว็บเพิ่ม 2</x:v>
      </x:c>
      <x:c r="N280" s="20" t="str">
        <x:v>ยังไม่ยืนยัน</x:v>
      </x:c>
      <x:c r="O28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80" s="25" t="n">
        <x:v>46315</x:v>
      </x:c>
      <x:c r="Q280" s="27" t="str">
        <x:v>ยังไม่ตรวจ</x:v>
      </x:c>
      <x:c r="R280" s="27" t="str">
        <x:v>รอติดต่อ</x:v>
      </x:c>
    </x:row>
    <x:row r="281" ht="76" customHeight="1">
      <x:c r="A281" s="24" t="str">
        <x:v>TMF-273</x:v>
      </x:c>
      <x:c r="B281" s="20" t="str">
        <x:v>AMI MALAYA INDONESIAN HALAL FOOD (Phenix ประตูน้ำ)</x:v>
      </x:c>
      <x:c r="C281" s="20" t="str">
        <x:v>กรุงเทพมหานคร</x:v>
      </x:c>
      <x:c r="D281" s="20" t="str">
        <x:v>คงไว้ในชุด 600</x:v>
      </x:c>
      <x:c r="E281" s="20" t="str">
        <x:v>พบหลายแหล่งสัมพันธ์กับชื่อ รอยืนยันการเปิด</x:v>
      </x:c>
      <x:c r="F281" s="20" t="str">
        <x:v>ยังไม่ยืนยันการเปิดให้บริการปัจจุบัน</x:v>
      </x:c>
      <x:c r="G281" s="26" t="n">
        <x:v>7</x:v>
      </x:c>
      <x:c r="H281" s="23" t="str"/>
      <x:c r="I281" s="23" t="str"/>
      <x:c r="J281" s="23" t="e">
        <x:f>HYPERLINK("https://wanderlog.com/place/details/11932614/ami-malaya-indonesian-halal-food","เปิดหน้ารีวิว 1")</x:f>
        <x:v>HYPERLINK is not implemented. linkLocation=https://wanderlog.com/place/details/11932614/ami-malaya-indonesian-halal-food, friendlyName=เปิดหน้ารีวิว 1</x:v>
      </x:c>
      <x:c r="K281" s="23" t="e">
        <x:f>HYPERLINK("https://ru.restaurantguru.com/Ami-Malaya-Indonesian-Halal-Food-Bangkok","เปิดหน้ารีวิว 2")</x:f>
        <x:v>HYPERLINK is not implemented. linkLocation=https://ru.restaurantguru.com/Ami-Malaya-Indonesian-Halal-Food-Bangkok, friendlyName=เปิดหน้ารีวิว 2</x:v>
      </x:c>
      <x:c r="L281" s="23" t="e">
        <x:f>HYPERLINK("https://ami-malaya-indonesian-halal-food.menufyy.com/","เปิดเว็บเพิ่ม 1")</x:f>
        <x:v>HYPERLINK is not implemented. linkLocation=https://ami-malaya-indonesian-halal-food.menufyy.com/, friendlyName=เปิดเว็บเพิ่ม 1</x:v>
      </x:c>
      <x:c r="M281" s="23" t="e">
        <x:f>HYPERLINK("https://menufans.com/place/ami-malaya-indonesian-halal-food-019b6906edfe77ecbacdc7f3ca48528e","เปิดเว็บเพิ่ม 2")</x:f>
        <x:v>HYPERLINK is not implemented. linkLocation=https://menufans.com/place/ami-malaya-indonesian-halal-food-019b6906edfe77ecbacdc7f3ca48528e, friendlyName=เปิดเว็บเพิ่ม 2</x:v>
      </x:c>
      <x:c r="N281" s="20" t="str">
        <x:v>ยังไม่ยืนยัน</x:v>
      </x:c>
      <x:c r="O28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81" s="25" t="n">
        <x:v>46315</x:v>
      </x:c>
      <x:c r="Q281" s="27" t="str">
        <x:v>ยังไม่ตรวจ</x:v>
      </x:c>
      <x:c r="R281" s="27" t="str">
        <x:v>รอติดต่อ</x:v>
      </x:c>
    </x:row>
    <x:row r="282" ht="76" customHeight="1">
      <x:c r="A282" s="24" t="str">
        <x:v>TMF-274</x:v>
      </x:c>
      <x:c r="B282" s="20" t="str">
        <x:v>APA SOI- ข้าวซอยยูนนาน ฮาลาล</x:v>
      </x:c>
      <x:c r="C282" s="20" t="str">
        <x:v>กรุงเทพมหานคร</x:v>
      </x:c>
      <x:c r="D282" s="20" t="str">
        <x:v>คงไว้ในชุด 600</x:v>
      </x:c>
      <x:c r="E282" s="20" t="str">
        <x:v>พบหลายแหล่งสัมพันธ์กับชื่อ รอยืนยันการเปิด</x:v>
      </x:c>
      <x:c r="F282" s="20" t="str">
        <x:v>ยังไม่ยืนยันการเปิดให้บริการปัจจุบัน</x:v>
      </x:c>
      <x:c r="G282" s="26" t="n">
        <x:v>3</x:v>
      </x:c>
      <x:c r="H282" s="23" t="str"/>
      <x:c r="I282" s="23" t="str"/>
      <x:c r="J282" s="23" t="e">
        <x:f>HYPERLINK("https://www.wongnai.com/restaurants/418375Ba-apa-soi-%E0%B8%AD%E0%B8%B2%E0%B8%9B%E0%B8%B2%E0%B8%8B%E0%B8%AD%E0%B8%A2-%E0%B8%82%E0%B9%89%E0%B8%B2%E0%B8%A7%E0%B8%8B%E0%B8%AD%E0%B8%A2%E0%B8%A2%E0%B8%B9%E0%B8%99%E0%B8%99%E0%B8%B2%E0%B8%99-%E0%B8%AE%E0%B8%B2%E0%B8%A5%E0%B8%B2%E0%B8%A5","เปิดหน้ารีวิว 1")</x:f>
        <x:v>HYPERLINK is not implemented. linkLocation=https://www.wongnai.com/restaurants/418375Ba-apa-soi-%E0%B8%AD%E0%B8%B2%E0%B8%9B%E0%B8%B2%E0%B8%8B%E0%B8%AD%E0%B8%A2-%E0%B8%82%E0%B9%89%E0%B8%B2%E0%B8%A7%E0%B8%8B%E0%B8%AD%E0%B8%A2%E0%B8%A2%E0%B8%B9%E0%B8%99%E0%B8%99%E0%B8%B2%E0%B8%99-%E0%B8%AE%E0%B8%B2%E0%B8%A5%E0%B8%B2%E0%B8%A5, friendlyName=เปิดหน้ารีวิว 1</x:v>
      </x:c>
      <x:c r="K282" s="23" t="e">
        <x:f>HYPERLINK("https://www.youtube.com/watch?v=PYDhpOzOj8M","เปิดหน้ารีวิว 2")</x:f>
        <x:v>HYPERLINK is not implemented. linkLocation=https://www.youtube.com/watch?v=PYDhpOzOj8M, friendlyName=เปิดหน้ารีวิว 2</x:v>
      </x:c>
      <x:c r="L282" s="23" t="str"/>
      <x:c r="M282" s="23" t="str"/>
      <x:c r="N282" s="20" t="str">
        <x:v>ยังไม่ยืนยัน</x:v>
      </x:c>
      <x:c r="O28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82" s="25" t="n">
        <x:v>46315</x:v>
      </x:c>
      <x:c r="Q282" s="27" t="str">
        <x:v>ยังไม่ตรวจ</x:v>
      </x:c>
      <x:c r="R282" s="27" t="str">
        <x:v>รอติดต่อ</x:v>
      </x:c>
    </x:row>
    <x:row r="283" ht="96" customHeight="1">
      <x:c r="A283" s="24" t="str">
        <x:v>TMF-275</x:v>
      </x:c>
      <x:c r="B283" s="20" t="str">
        <x:v>Afanti XinJiang Halal Food สาขาบรรทัดทอง</x:v>
      </x:c>
      <x:c r="C283" s="20" t="str">
        <x:v>กรุงเทพมหานคร</x:v>
      </x:c>
      <x:c r="D283" s="20" t="str">
        <x:v>คงไว้ในชุด 600</x:v>
      </x:c>
      <x:c r="E283" s="20" t="str">
        <x:v>หลักฐานไม่พอ รอยืนยันการเปิด</x:v>
      </x:c>
      <x:c r="F283" s="20" t="str">
        <x:v>ยังไม่ยืนยันการเปิดให้บริการปัจจุบัน</x:v>
      </x:c>
      <x:c r="G283" s="26" t="n">
        <x:v>1</x:v>
      </x:c>
      <x:c r="H283" s="23" t="str"/>
      <x:c r="I283" s="23" t="str"/>
      <x:c r="J283" s="23" t="str"/>
      <x:c r="K283" s="23" t="str"/>
      <x:c r="L283" s="23" t="str"/>
      <x:c r="M283" s="23" t="str"/>
      <x:c r="N283" s="20" t="str">
        <x:v>ยังไม่ยืนยัน</x:v>
      </x:c>
      <x:c r="O28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83" s="25" t="n">
        <x:v>46315</x:v>
      </x:c>
      <x:c r="Q283" s="27" t="str">
        <x:v>ยังไม่ตรวจ</x:v>
      </x:c>
      <x:c r="R283" s="27" t="str">
        <x:v>รอติดต่อ</x:v>
      </x:c>
    </x:row>
    <x:row r="284" ht="76" customHeight="1">
      <x:c r="A284" s="24" t="str">
        <x:v>TMF-276</x:v>
      </x:c>
      <x:c r="B284" s="20" t="str">
        <x:v>Aladeen Restaurant &amp; Cafe</x:v>
      </x:c>
      <x:c r="C284" s="20" t="str">
        <x:v>กรุงเทพมหานคร</x:v>
      </x:c>
      <x:c r="D284" s="20" t="str">
        <x:v>คงไว้ในชุด 600</x:v>
      </x:c>
      <x:c r="E284" s="20" t="str">
        <x:v>พบหลายแหล่งสัมพันธ์กับชื่อ รอยืนยันการเปิด</x:v>
      </x:c>
      <x:c r="F284" s="20" t="str">
        <x:v>ยังไม่ยืนยันการเปิดให้บริการปัจจุบัน</x:v>
      </x:c>
      <x:c r="G284" s="26" t="n">
        <x:v>2</x:v>
      </x:c>
      <x:c r="H284" s="23" t="str"/>
      <x:c r="I284" s="23" t="str"/>
      <x:c r="J284" s="23" t="e">
        <x:f>HYPERLINK("https://www.wongnai.com/restaurants/1809580iq-aladeen-restaurant-cafe","เปิดหน้ารีวิว 1")</x:f>
        <x:v>HYPERLINK is not implemented. linkLocation=https://www.wongnai.com/restaurants/1809580iq-aladeen-restaurant-cafe, friendlyName=เปิดหน้ารีวิว 1</x:v>
      </x:c>
      <x:c r="K284" s="23" t="e">
        <x:f>HYPERLINK("https://www.wongnai.com/restaurants/1809580iq-aladeen-restaurant-cafe/photos/b7d3a11b0dfb4ef0baa14519c28be2dc","เปิดหน้ารีวิว 2")</x:f>
        <x:v>HYPERLINK is not implemented. linkLocation=https://www.wongnai.com/restaurants/1809580iq-aladeen-restaurant-cafe/photos/b7d3a11b0dfb4ef0baa14519c28be2dc, friendlyName=เปิดหน้ารีวิว 2</x:v>
      </x:c>
      <x:c r="L284" s="23" t="str"/>
      <x:c r="M284" s="23" t="str"/>
      <x:c r="N284" s="20" t="str">
        <x:v>ยังไม่ยืนยัน</x:v>
      </x:c>
      <x:c r="O28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84" s="25" t="n">
        <x:v>46315</x:v>
      </x:c>
      <x:c r="Q284" s="27" t="str">
        <x:v>ยังไม่ตรวจ</x:v>
      </x:c>
      <x:c r="R284" s="27" t="str">
        <x:v>รอติดต่อ</x:v>
      </x:c>
    </x:row>
    <x:row r="285" ht="96" customHeight="1">
      <x:c r="A285" s="24" t="str">
        <x:v>TMF-277</x:v>
      </x:c>
      <x:c r="B285" s="20" t="str">
        <x:v>Aladia Ramen</x:v>
      </x:c>
      <x:c r="C285" s="20" t="str">
        <x:v>กรุงเทพมหานคร</x:v>
      </x:c>
      <x:c r="D285" s="20" t="str">
        <x:v>คงไว้ในชุด 600</x:v>
      </x:c>
      <x:c r="E285" s="20" t="str">
        <x:v>หลักฐานไม่พอ รอยืนยันการเปิด</x:v>
      </x:c>
      <x:c r="F285" s="20" t="str">
        <x:v>ยังไม่ยืนยันการเปิดให้บริการปัจจุบัน</x:v>
      </x:c>
      <x:c r="G285" s="26" t="n">
        <x:v>1</x:v>
      </x:c>
      <x:c r="H285" s="23" t="str"/>
      <x:c r="I285" s="23" t="str"/>
      <x:c r="J285" s="23" t="str"/>
      <x:c r="K285" s="23" t="str"/>
      <x:c r="L285" s="23" t="str"/>
      <x:c r="M285" s="23" t="str"/>
      <x:c r="N285" s="20" t="str">
        <x:v>ยังไม่ยืนยัน</x:v>
      </x:c>
      <x:c r="O28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85" s="25" t="n">
        <x:v>46315</x:v>
      </x:c>
      <x:c r="Q285" s="27" t="str">
        <x:v>ยังไม่ตรวจ</x:v>
      </x:c>
      <x:c r="R285" s="27" t="str">
        <x:v>รอติดต่อ</x:v>
      </x:c>
    </x:row>
    <x:row r="286" ht="76" customHeight="1">
      <x:c r="A286" s="24" t="str">
        <x:v>TMF-278</x:v>
      </x:c>
      <x:c r="B286" s="20" t="str">
        <x:v>สยามพารากอน</x:v>
      </x:c>
      <x:c r="C286" s="20" t="str">
        <x:v>กรุงเทพมหานคร</x:v>
      </x:c>
      <x:c r="D286" s="20" t="str">
        <x:v>คงไว้ในชุด 600</x:v>
      </x:c>
      <x:c r="E286" s="20" t="str">
        <x:v>พบหลายแหล่งสัมพันธ์กับชื่อ รอยืนยันการเปิด</x:v>
      </x:c>
      <x:c r="F286" s="20" t="str">
        <x:v>ยังไม่ยืนยันการเปิดให้บริการปัจจุบัน</x:v>
      </x:c>
      <x:c r="G286" s="26" t="n">
        <x:v>5</x:v>
      </x:c>
      <x:c r="H286" s="23" t="str"/>
      <x:c r="I286" s="23" t="str"/>
      <x:c r="J286" s="23" t="e">
        <x:f>HYPERLINK("https://th.tripadvisor.com/Attraction_Review-g293916-d600199-Reviews-Siam_Paragon-Bangkok.html","เปิดหน้ารีวิว 1")</x:f>
        <x:v>HYPERLINK is not implemented. linkLocation=https://th.tripadvisor.com/Attraction_Review-g293916-d600199-Reviews-Siam_Paragon-Bangkok.html, friendlyName=เปิดหน้ารีวิว 1</x:v>
      </x:c>
      <x:c r="K286" s="23" t="e">
        <x:f>HYPERLINK("https://th.trip.com/travel-guide/attraction/bangkok/siam-paragon-136007534?curr=VND&amp;locale=th-TH","เปิดหน้ารีวิว 2")</x:f>
        <x:v>HYPERLINK is not implemented. linkLocation=https://th.trip.com/travel-guide/attraction/bangkok/siam-paragon-136007534?curr=VND&amp;locale=th-TH, friendlyName=เปิดหน้ารีวิว 2</x:v>
      </x:c>
      <x:c r="L286" s="23" t="e">
        <x:f>HYPERLINK("https://www.gplace.com/3973","เปิดเว็บเพิ่ม 1")</x:f>
        <x:v>HYPERLINK is not implemented. linkLocation=https://www.gplace.com/3973, friendlyName=เปิดเว็บเพิ่ม 1</x:v>
      </x:c>
      <x:c r="M286" s="23" t="str"/>
      <x:c r="N286" s="20" t="str">
        <x:v>ยังไม่ยืนยัน</x:v>
      </x:c>
      <x:c r="O28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86" s="25" t="n">
        <x:v>46315</x:v>
      </x:c>
      <x:c r="Q286" s="27" t="str">
        <x:v>ยังไม่ตรวจ</x:v>
      </x:c>
      <x:c r="R286" s="27" t="str">
        <x:v>รอติดต่อ</x:v>
      </x:c>
    </x:row>
    <x:row r="287" ht="76" customHeight="1">
      <x:c r="A287" s="24" t="str">
        <x:v>TMF-279</x:v>
      </x:c>
      <x:c r="B287" s="20" t="str">
        <x:v>มัรกัส มีนบุรี</x:v>
      </x:c>
      <x:c r="C287" s="20" t="str">
        <x:v>กรุงเทพมหานคร</x:v>
      </x:c>
      <x:c r="D287" s="20" t="str">
        <x:v>คงไว้ในชุด 600</x:v>
      </x:c>
      <x:c r="E287" s="20" t="str">
        <x:v>พบหลายแหล่งสัมพันธ์กับชื่อ รอยืนยันการเปิด</x:v>
      </x:c>
      <x:c r="F287" s="20" t="str">
        <x:v>ยังไม่ยืนยันการเปิดให้บริการปัจจุบัน</x:v>
      </x:c>
      <x:c r="G287" s="26" t="n">
        <x:v>5</x:v>
      </x:c>
      <x:c r="H287" s="23" t="str"/>
      <x:c r="I287" s="23" t="str"/>
      <x:c r="J287" s="23" t="e">
        <x:f>HYPERLINK("https://ae.trip.com/travel-guide/attraction/bangkok/alami-shura-markaz-bangkok-thailand-141703714","เปิดหน้ารีวิว 1")</x:f>
        <x:v>HYPERLINK is not implemented. linkLocation=https://ae.trip.com/travel-guide/attraction/bangkok/alami-shura-markaz-bangkok-thailand-141703714, friendlyName=เปิดหน้ารีวิว 1</x:v>
      </x:c>
      <x:c r="K287" s="23" t="e">
        <x:f>HYPERLINK("https://th.trip.com/travel-guide/attraction/bangkok/alami-shura-markaz-bangkok-thailand-141703714/","เปิดหน้ารีวิว 2")</x:f>
        <x:v>HYPERLINK is not implemented. linkLocation=https://th.trip.com/travel-guide/attraction/bangkok/alami-shura-markaz-bangkok-thailand-141703714/, friendlyName=เปิดหน้ารีวิว 2</x:v>
      </x:c>
      <x:c r="L287" s="23" t="e">
        <x:f>HYPERLINK("https://www.waze.com/th/live-map/directions/th/%E0%B8%81%E0%B8%A3%E0%B8%B8%E0%B8%87%E0%B9%80%E0%B8%97%E0%B8%9E%E0%B8%A1%E0%B8%AB%E0%B8%B2%E0%B8%99%E0%B8%84%E0%B8%A3/%E0%B8%A1%E0%B8%B1%E0%B8%A3%E0%B8%81%E0%B8%B1%E0%B8%AA-%E0%B8%A1%E0%B8%B5%E0%B8%99%E0%B8%9A%E0%B8%B8%E0%B8%A3%E0%B8%B5?to=place.ChIJHZaFOmtlHTER1boihewcAC0","เปิดเว็บเพิ่ม 1")</x:f>
        <x:v>HYPERLINK is not implemented. linkLocation=https://www.waze.com/th/live-map/directions/th/%E0%B8%81%E0%B8%A3%E0%B8%B8%E0%B8%87%E0%B9%80%E0%B8%97%E0%B8%9E%E0%B8%A1%E0%B8%AB%E0%B8%B2%E0%B8%99%E0%B8%84%E0%B8%A3/%E0%B8%A1%E0%B8%B1%E0%B8%A3%E0%B8%81%E0%B8%B1%E0%B8%AA-%E0%B8%A1%E0%B8%B5%E0%B8%99%E0%B8%9A%E0%B8%B8%E0%B8%A3%E0%B8%B5?to=place.ChIJHZaFOmtlHTER1boihewcAC0, friendlyName=เปิดเว็บเพิ่ม 1</x:v>
      </x:c>
      <x:c r="M287" s="23" t="e">
        <x:f>HYPERLINK("https://www.thaithurkic.com/%E0%B8%A1%E0%B8%B1%E0%B8%A3%E0%B8%81%E0%B8%B1%E0%B8%AA-%E0%B8%A1%E0%B8%B5%E0%B8%99%E0%B8%9A%E0%B8%B8%E0%B8%A3%E0%B8%B5-02-543-8586","เปิดเว็บเพิ่ม 2")</x:f>
        <x:v>HYPERLINK is not implemented. linkLocation=https://www.thaithurkic.com/%E0%B8%A1%E0%B8%B1%E0%B8%A3%E0%B8%81%E0%B8%B1%E0%B8%AA-%E0%B8%A1%E0%B8%B5%E0%B8%99%E0%B8%9A%E0%B8%B8%E0%B8%A3%E0%B8%B5-02-543-8586, friendlyName=เปิดเว็บเพิ่ม 2</x:v>
      </x:c>
      <x:c r="N287" s="20" t="str">
        <x:v>ยังไม่ยืนยัน</x:v>
      </x:c>
      <x:c r="O28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87" s="25" t="n">
        <x:v>46315</x:v>
      </x:c>
      <x:c r="Q287" s="27" t="str">
        <x:v>ยังไม่ตรวจ</x:v>
      </x:c>
      <x:c r="R287" s="27" t="str">
        <x:v>รอติดต่อ</x:v>
      </x:c>
    </x:row>
    <x:row r="288" ht="76" customHeight="1">
      <x:c r="A288" s="24" t="str">
        <x:v>TMF-280</x:v>
      </x:c>
      <x:c r="B288" s="20" t="str">
        <x:v>มัสยิดกมาลุ้ลอิสลาม (ทรายกองดิน)</x:v>
      </x:c>
      <x:c r="C288" s="20" t="str">
        <x:v>กรุงเทพมหานคร</x:v>
      </x:c>
      <x:c r="D288" s="20" t="str">
        <x:v>คงไว้ในชุด 600</x:v>
      </x:c>
      <x:c r="E288" s="20" t="str">
        <x:v>พบหลายแหล่งสัมพันธ์กับชื่อ รอยืนยันการเปิด</x:v>
      </x:c>
      <x:c r="F288" s="20" t="str">
        <x:v>ยังไม่ยืนยันการเปิดให้บริการปัจจุบัน</x:v>
      </x:c>
      <x:c r="G288" s="26" t="n">
        <x:v>2</x:v>
      </x:c>
      <x:c r="H288" s="23" t="str"/>
      <x:c r="I288" s="23" t="str"/>
      <x:c r="J288" s="23" t="str"/>
      <x:c r="K288" s="23" t="str"/>
      <x:c r="L288" s="23" t="e">
        <x:f>HYPERLINK("https://wikicommunity.sac.or.th/community/1858","เปิดเว็บเพิ่ม 1")</x:f>
        <x:v>HYPERLINK is not implemented. linkLocation=https://wikicommunity.sac.or.th/community/1858, friendlyName=เปิดเว็บเพิ่ม 1</x:v>
      </x:c>
      <x:c r="M288" s="23" t="str"/>
      <x:c r="N288" s="20" t="str">
        <x:v>ยังไม่ยืนยัน</x:v>
      </x:c>
      <x:c r="O288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88" s="25" t="n">
        <x:v>46315</x:v>
      </x:c>
      <x:c r="Q288" s="27" t="str">
        <x:v>ยังไม่ตรวจ</x:v>
      </x:c>
      <x:c r="R288" s="27" t="str">
        <x:v>รอติดต่อ</x:v>
      </x:c>
    </x:row>
    <x:row r="289" ht="76" customHeight="1">
      <x:c r="A289" s="24" t="str">
        <x:v>TMF-281</x:v>
      </x:c>
      <x:c r="B289" s="20" t="str">
        <x:v>มัสยิดกมาลุ้ลเอี๊ยะห์ซาน (มัสยิดกระจก)</x:v>
      </x:c>
      <x:c r="C289" s="20" t="str">
        <x:v>กรุงเทพมหานคร</x:v>
      </x:c>
      <x:c r="D289" s="20" t="str">
        <x:v>คงไว้ในชุด 600</x:v>
      </x:c>
      <x:c r="E289" s="20" t="str">
        <x:v>พบหลายแหล่งสัมพันธ์กับชื่อ รอยืนยันการเปิด</x:v>
      </x:c>
      <x:c r="F289" s="20" t="str">
        <x:v>ยังไม่ยืนยันการเปิดให้บริการปัจจุบัน</x:v>
      </x:c>
      <x:c r="G289" s="26" t="n">
        <x:v>2</x:v>
      </x:c>
      <x:c r="H289" s="23" t="str"/>
      <x:c r="I289" s="23" t="str"/>
      <x:c r="J289" s="23" t="e">
        <x:f>HYPERLINK("https://th.trip.com/travel-guide/attraction/bangkok/kamalul-yassan-mosque-141566692","เปิดหน้ารีวิว 1")</x:f>
        <x:v>HYPERLINK is not implemented. linkLocation=https://th.trip.com/travel-guide/attraction/bangkok/kamalul-yassan-mosque-141566692, friendlyName=เปิดหน้ารีวิว 1</x:v>
      </x:c>
      <x:c r="K289" s="23" t="str"/>
      <x:c r="L289" s="23" t="str"/>
      <x:c r="M289" s="23" t="str"/>
      <x:c r="N289" s="20" t="str">
        <x:v>ยังไม่ยืนยัน</x:v>
      </x:c>
      <x:c r="O28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89" s="25" t="n">
        <x:v>46315</x:v>
      </x:c>
      <x:c r="Q289" s="27" t="str">
        <x:v>ยังไม่ตรวจ</x:v>
      </x:c>
      <x:c r="R289" s="27" t="str">
        <x:v>รอติดต่อ</x:v>
      </x:c>
    </x:row>
    <x:row r="290" ht="96" customHeight="1">
      <x:c r="A290" s="24" t="str">
        <x:v>TMF-282</x:v>
      </x:c>
      <x:c r="B290" s="20" t="str">
        <x:v>มัสยิดกมาลุ๊ลอิมาน(วังตาหนวด)</x:v>
      </x:c>
      <x:c r="C290" s="20" t="str">
        <x:v>กรุงเทพมหานคร</x:v>
      </x:c>
      <x:c r="D290" s="20" t="str">
        <x:v>สำรองเพื่อจัดลำดับให้ทะเบียน GMHI</x:v>
      </x:c>
      <x:c r="E290" s="20" t="str">
        <x:v>หลักฐานไม่พอ รอยืนยันการเปิด</x:v>
      </x:c>
      <x:c r="F290" s="20" t="str">
        <x:v>ยังไม่ยืนยันการเปิดให้บริการปัจจุบัน</x:v>
      </x:c>
      <x:c r="G290" s="26" t="n">
        <x:v>1</x:v>
      </x:c>
      <x:c r="H290" s="23" t="str"/>
      <x:c r="I290" s="23" t="str"/>
      <x:c r="J290" s="23" t="str"/>
      <x:c r="K290" s="23" t="str"/>
      <x:c r="L290" s="23" t="str"/>
      <x:c r="M290" s="23" t="str"/>
      <x:c r="N290" s="20" t="str">
        <x:v>ยังไม่ยืนยัน</x:v>
      </x:c>
      <x:c r="O29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90" s="25" t="n">
        <x:v>46315</x:v>
      </x:c>
      <x:c r="Q290" s="27" t="str">
        <x:v>ยังไม่ตรวจ</x:v>
      </x:c>
      <x:c r="R290" s="27" t="str">
        <x:v>รอติดต่อ</x:v>
      </x:c>
    </x:row>
    <x:row r="291" ht="76" customHeight="1">
      <x:c r="A291" s="24" t="str">
        <x:v>TMF-283</x:v>
      </x:c>
      <x:c r="B291" s="20" t="str">
        <x:v>มัสยิดซอลาฮุดดีน</x:v>
      </x:c>
      <x:c r="C291" s="20" t="str">
        <x:v>กรุงเทพมหานคร</x:v>
      </x:c>
      <x:c r="D291" s="20" t="str">
        <x:v>คงไว้ในชุด 600</x:v>
      </x:c>
      <x:c r="E291" s="20" t="str">
        <x:v>พบหลายแหล่งสัมพันธ์กับชื่อ รอยืนยันการเปิด</x:v>
      </x:c>
      <x:c r="F291" s="20" t="str">
        <x:v>ยังไม่ยืนยันการเปิดให้บริการปัจจุบัน</x:v>
      </x:c>
      <x:c r="G291" s="26" t="n">
        <x:v>3</x:v>
      </x:c>
      <x:c r="H291" s="23" t="str"/>
      <x:c r="I291" s="23" t="str"/>
      <x:c r="J291" s="23" t="str"/>
      <x:c r="K291" s="23" t="str"/>
      <x:c r="L291" s="23" t="e">
        <x:f>HYPERLINK("https://masjid.islamicbangkok.or.th/masjid/id/18419","เปิดเว็บเพิ่ม 1")</x:f>
        <x:v>HYPERLINK is not implemented. linkLocation=https://masjid.islamicbangkok.or.th/masjid/id/18419, friendlyName=เปิดเว็บเพิ่ม 1</x:v>
      </x:c>
      <x:c r="M291" s="23" t="e">
        <x:f>HYPERLINK("https://www.cicot.or.th/th/mosque/detail/372/","เปิดเว็บเพิ่ม 2")</x:f>
        <x:v>HYPERLINK is not implemented. linkLocation=https://www.cicot.or.th/th/mosque/detail/372/, friendlyName=เปิดเว็บเพิ่ม 2</x:v>
      </x:c>
      <x:c r="N291" s="20" t="str">
        <x:v>ยังไม่ยืนยัน</x:v>
      </x:c>
      <x:c r="O291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91" s="25" t="n">
        <x:v>46315</x:v>
      </x:c>
      <x:c r="Q291" s="27" t="str">
        <x:v>ยังไม่ตรวจ</x:v>
      </x:c>
      <x:c r="R291" s="27" t="str">
        <x:v>รอติดต่อ</x:v>
      </x:c>
    </x:row>
    <x:row r="292" ht="76" customHeight="1">
      <x:c r="A292" s="24" t="str">
        <x:v>TMF-284</x:v>
      </x:c>
      <x:c r="B292" s="20" t="str">
        <x:v>มัสยิดญามีอุ๊ลค็อยร๊อต (บางอุทิศใน)</x:v>
      </x:c>
      <x:c r="C292" s="20" t="str">
        <x:v>กรุงเทพมหานคร</x:v>
      </x:c>
      <x:c r="D292" s="20" t="str">
        <x:v>คงไว้ในชุด 600</x:v>
      </x:c>
      <x:c r="E292" s="20" t="str">
        <x:v>พบหลายแหล่งสัมพันธ์กับชื่อ รอยืนยันการเปิด</x:v>
      </x:c>
      <x:c r="F292" s="20" t="str">
        <x:v>ยังไม่ยืนยันการเปิดให้บริการปัจจุบัน</x:v>
      </x:c>
      <x:c r="G292" s="26" t="n">
        <x:v>3</x:v>
      </x:c>
      <x:c r="H292" s="23" t="str"/>
      <x:c r="I292" s="23" t="str"/>
      <x:c r="J292" s="23" t="str"/>
      <x:c r="K292" s="23" t="str"/>
      <x:c r="L292" s="23" t="e">
        <x:f>HYPERLINK("https://masjid.islamicbangkok.or.th/masjid/id/39639","เปิดเว็บเพิ่ม 1")</x:f>
        <x:v>HYPERLINK is not implemented. linkLocation=https://masjid.islamicbangkok.or.th/masjid/id/39639, friendlyName=เปิดเว็บเพิ่ม 1</x:v>
      </x:c>
      <x:c r="M292" s="23" t="e">
        <x:f>HYPERLINK("https://www.cicot.or.th/th/mosque/lists/217","เปิดเว็บเพิ่ม 2")</x:f>
        <x:v>HYPERLINK is not implemented. linkLocation=https://www.cicot.or.th/th/mosque/lists/217, friendlyName=เปิดเว็บเพิ่ม 2</x:v>
      </x:c>
      <x:c r="N292" s="20" t="str">
        <x:v>ยังไม่ยืนยัน</x:v>
      </x:c>
      <x:c r="O292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92" s="25" t="n">
        <x:v>46315</x:v>
      </x:c>
      <x:c r="Q292" s="27" t="str">
        <x:v>ยังไม่ตรวจ</x:v>
      </x:c>
      <x:c r="R292" s="27" t="str">
        <x:v>รอติดต่อ</x:v>
      </x:c>
    </x:row>
    <x:row r="293" ht="76" customHeight="1">
      <x:c r="A293" s="24" t="str">
        <x:v>TMF-285</x:v>
      </x:c>
      <x:c r="B293" s="20" t="str">
        <x:v>มัสยิดดารุล-อิหซาน</x:v>
      </x:c>
      <x:c r="C293" s="20" t="str">
        <x:v>กรุงเทพมหานคร</x:v>
      </x:c>
      <x:c r="D293" s="20" t="str">
        <x:v>คงไว้ในชุด 600</x:v>
      </x:c>
      <x:c r="E293" s="20" t="str">
        <x:v>พบหลายแหล่งสัมพันธ์กับชื่อ รอยืนยันการเปิด</x:v>
      </x:c>
      <x:c r="F293" s="20" t="str">
        <x:v>ยังไม่ยืนยันการเปิดให้บริการปัจจุบัน</x:v>
      </x:c>
      <x:c r="G293" s="26" t="n">
        <x:v>2</x:v>
      </x:c>
      <x:c r="H293" s="23" t="str"/>
      <x:c r="I293" s="23" t="str"/>
      <x:c r="J293" s="23" t="str"/>
      <x:c r="K293" s="23" t="str"/>
      <x:c r="L293" s="23" t="e">
        <x:f>HYPERLINK("https://www.cicot.or.th/th/mosque/detail/241/2/%E0%B8%A1%E0%B8%B1%E0%B8%AA%E0%B8%A2%E0%B8%B4%E0%B8%94%E0%B8%94%E0%B8%B2%E0%B8%A3%E0%B8%B8%E0%B8%A5-%E0%B8%AD%E0%B8%B4%E0%B8%AB%E0%B8%8B%E0%B8%B2%E0%B8%99","เปิดเว็บเพิ่ม 1")</x:f>
        <x:v>HYPERLINK is not implemented. linkLocation=https://www.cicot.or.th/th/mosque/detail/241/2/%E0%B8%A1%E0%B8%B1%E0%B8%AA%E0%B8%A2%E0%B8%B4%E0%B8%94%E0%B8%94%E0%B8%B2%E0%B8%A3%E0%B8%B8%E0%B8%A5-%E0%B8%AD%E0%B8%B4%E0%B8%AB%E0%B8%8B%E0%B8%B2%E0%B8%99, friendlyName=เปิดเว็บเพิ่ม 1</x:v>
      </x:c>
      <x:c r="M293" s="23" t="e">
        <x:f>HYPERLINK("https://www.cicot.or.th/th/mosque/lists/22/2?games=%E0%B8%81%E0%B8%A5%E0%B8%B8%E0%B9%88%E0%B8%A1-%E0%B8%9A%E0%B8%B2-%E0%B8%84%E0%B8%B2-%E0%B8%A3%E0%B9%88%E0%B8%B2-%E0%B9%80%E0%B8%82%E0%B9%89%E0%B8%B2-%E0%B8%9F%E0%B8%A3%E0%B8%B5-206118","เปิดเว็บเพิ่ม 2")</x:f>
        <x:v>HYPERLINK is not implemented. linkLocation=https://www.cicot.or.th/th/mosque/lists/22/2?games=%E0%B8%81%E0%B8%A5%E0%B8%B8%E0%B9%88%E0%B8%A1-%E0%B8%9A%E0%B8%B2-%E0%B8%84%E0%B8%B2-%E0%B8%A3%E0%B9%88%E0%B8%B2-%E0%B9%80%E0%B8%82%E0%B9%89%E0%B8%B2-%E0%B8%9F%E0%B8%A3%E0%B8%B5-206118, friendlyName=เปิดเว็บเพิ่ม 2</x:v>
      </x:c>
      <x:c r="N293" s="20" t="str">
        <x:v>ยังไม่ยืนยัน</x:v>
      </x:c>
      <x:c r="O293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93" s="25" t="n">
        <x:v>46315</x:v>
      </x:c>
      <x:c r="Q293" s="27" t="str">
        <x:v>ยังไม่ตรวจ</x:v>
      </x:c>
      <x:c r="R293" s="27" t="str">
        <x:v>รอติดต่อ</x:v>
      </x:c>
    </x:row>
    <x:row r="294" ht="96" customHeight="1">
      <x:c r="A294" s="24" t="str">
        <x:v>TMF-286</x:v>
      </x:c>
      <x:c r="B294" s="20" t="str">
        <x:v>มัสยิดดารุลมุมินีน (คู้ฝั่งเหนือ)</x:v>
      </x:c>
      <x:c r="C294" s="20" t="str">
        <x:v>กรุงเทพมหานคร</x:v>
      </x:c>
      <x:c r="D294" s="20" t="str">
        <x:v>สำรองเพื่อจัดลำดับให้ทะเบียน GMHI</x:v>
      </x:c>
      <x:c r="E294" s="20" t="str">
        <x:v>หลักฐานไม่พอ รอยืนยันการเปิด</x:v>
      </x:c>
      <x:c r="F294" s="20" t="str">
        <x:v>ยังไม่ยืนยันการเปิดให้บริการปัจจุบัน</x:v>
      </x:c>
      <x:c r="G294" s="26" t="n">
        <x:v>1</x:v>
      </x:c>
      <x:c r="H294" s="23" t="str"/>
      <x:c r="I294" s="23" t="str"/>
      <x:c r="J294" s="23" t="str"/>
      <x:c r="K294" s="23" t="str"/>
      <x:c r="L294" s="23" t="str"/>
      <x:c r="M294" s="23" t="str"/>
      <x:c r="N294" s="20" t="str">
        <x:v>ยังไม่ยืนยัน</x:v>
      </x:c>
      <x:c r="O29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94" s="25" t="n">
        <x:v>46315</x:v>
      </x:c>
      <x:c r="Q294" s="27" t="str">
        <x:v>ยังไม่ตรวจ</x:v>
      </x:c>
      <x:c r="R294" s="27" t="str">
        <x:v>รอติดต่อ</x:v>
      </x:c>
    </x:row>
    <x:row r="295" ht="76" customHeight="1">
      <x:c r="A295" s="24" t="str">
        <x:v>TMF-287</x:v>
      </x:c>
      <x:c r="B295" s="20" t="str">
        <x:v>มัสยิดดารุสซุนนี</x:v>
      </x:c>
      <x:c r="C295" s="20" t="str">
        <x:v>กรุงเทพมหานคร</x:v>
      </x:c>
      <x:c r="D295" s="20" t="str">
        <x:v>คงไว้ในชุด 600</x:v>
      </x:c>
      <x:c r="E295" s="20" t="str">
        <x:v>พบหลายแหล่งสัมพันธ์กับชื่อ รอยืนยันการเปิด</x:v>
      </x:c>
      <x:c r="F295" s="20" t="str">
        <x:v>ยังไม่ยืนยันการเปิดให้บริการปัจจุบัน</x:v>
      </x:c>
      <x:c r="G295" s="26" t="n">
        <x:v>2</x:v>
      </x:c>
      <x:c r="H295" s="23" t="str"/>
      <x:c r="I295" s="23" t="str"/>
      <x:c r="J295" s="23" t="str"/>
      <x:c r="K295" s="23" t="str"/>
      <x:c r="L295" s="23" t="e">
        <x:f>HYPERLINK("https://bangkok.worldplaces.me/th/review/197547794.html","เปิดเว็บเพิ่ม 1")</x:f>
        <x:v>HYPERLINK is not implemented. linkLocation=https://bangkok.worldplaces.me/th/review/197547794.html, friendlyName=เปิดเว็บเพิ่ม 1</x:v>
      </x:c>
      <x:c r="M295" s="23" t="str"/>
      <x:c r="N295" s="20" t="str">
        <x:v>ยังไม่ยืนยัน</x:v>
      </x:c>
      <x:c r="O295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95" s="25" t="n">
        <x:v>46315</x:v>
      </x:c>
      <x:c r="Q295" s="27" t="str">
        <x:v>ยังไม่ตรวจ</x:v>
      </x:c>
      <x:c r="R295" s="27" t="str">
        <x:v>รอติดต่อ</x:v>
      </x:c>
    </x:row>
    <x:row r="296" ht="76" customHeight="1">
      <x:c r="A296" s="24" t="str">
        <x:v>TMF-288</x:v>
      </x:c>
      <x:c r="B296" s="20" t="str">
        <x:v>มัสยิดดารุสสลาม บาหยัน</x:v>
      </x:c>
      <x:c r="C296" s="20" t="str">
        <x:v>กรุงเทพมหานคร</x:v>
      </x:c>
      <x:c r="D296" s="20" t="str">
        <x:v>คงไว้ในชุด 600</x:v>
      </x:c>
      <x:c r="E296" s="20" t="str">
        <x:v>พบหลายแหล่งสัมพันธ์กับชื่อ รอยืนยันการเปิด</x:v>
      </x:c>
      <x:c r="F296" s="20" t="str">
        <x:v>ยังไม่ยืนยันการเปิดให้บริการปัจจุบัน</x:v>
      </x:c>
      <x:c r="G296" s="26" t="n">
        <x:v>3</x:v>
      </x:c>
      <x:c r="H296" s="23" t="str"/>
      <x:c r="I296" s="23" t="str"/>
      <x:c r="J296" s="23" t="str"/>
      <x:c r="K296" s="23" t="str"/>
      <x:c r="L296" s="23" t="e">
        <x:f>HYPERLINK("https://masjid.islamicbangkok.or.th/masjid/id/12674","เปิดเว็บเพิ่ม 1")</x:f>
        <x:v>HYPERLINK is not implemented. linkLocation=https://masjid.islamicbangkok.or.th/masjid/id/12674, friendlyName=เปิดเว็บเพิ่ม 1</x:v>
      </x:c>
      <x:c r="M296" s="23" t="e">
        <x:f>HYPERLINK("https://webportal.bangkok.go.th/public/nongchok/page/sub/1419/2/7/info/53006","เปิดเว็บเพิ่ม 2")</x:f>
        <x:v>HYPERLINK is not implemented. linkLocation=https://webportal.bangkok.go.th/public/nongchok/page/sub/1419/2/7/info/53006, friendlyName=เปิดเว็บเพิ่ม 2</x:v>
      </x:c>
      <x:c r="N296" s="20" t="str">
        <x:v>ยังไม่ยืนยัน</x:v>
      </x:c>
      <x:c r="O296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96" s="25" t="n">
        <x:v>46315</x:v>
      </x:c>
      <x:c r="Q296" s="27" t="str">
        <x:v>ยังไม่ตรวจ</x:v>
      </x:c>
      <x:c r="R296" s="27" t="str">
        <x:v>รอติดต่อ</x:v>
      </x:c>
    </x:row>
    <x:row r="297" ht="76" customHeight="1">
      <x:c r="A297" s="24" t="str">
        <x:v>TMF-289</x:v>
      </x:c>
      <x:c r="B297" s="20" t="str">
        <x:v>มัสยิดดารุสสะลาม (เจียรดับใหญ่)</x:v>
      </x:c>
      <x:c r="C297" s="20" t="str">
        <x:v>กรุงเทพมหานคร</x:v>
      </x:c>
      <x:c r="D297" s="20" t="str">
        <x:v>คงไว้ในชุด 600</x:v>
      </x:c>
      <x:c r="E297" s="20" t="str">
        <x:v>พบหลายแหล่งสัมพันธ์กับชื่อ รอยืนยันการเปิด</x:v>
      </x:c>
      <x:c r="F297" s="20" t="str">
        <x:v>ยังไม่ยืนยันการเปิดให้บริการปัจจุบัน</x:v>
      </x:c>
      <x:c r="G297" s="26" t="n">
        <x:v>3</x:v>
      </x:c>
      <x:c r="H297" s="23" t="str"/>
      <x:c r="I297" s="23" t="str"/>
      <x:c r="J297" s="23" t="str"/>
      <x:c r="K297" s="23" t="str"/>
      <x:c r="L297" s="23" t="e">
        <x:f>HYPERLINK("https://masjid.islamicbangkok.or.th/masjid/id/12674","เปิดเว็บเพิ่ม 1")</x:f>
        <x:v>HYPERLINK is not implemented. linkLocation=https://masjid.islamicbangkok.or.th/masjid/id/12674, friendlyName=เปิดเว็บเพิ่ม 1</x:v>
      </x:c>
      <x:c r="M297" s="23" t="e">
        <x:f>HYPERLINK("https://www.cicot.or.th/en/mosque/lists/221","เปิดเว็บเพิ่ม 2")</x:f>
        <x:v>HYPERLINK is not implemented. linkLocation=https://www.cicot.or.th/en/mosque/lists/221, friendlyName=เปิดเว็บเพิ่ม 2</x:v>
      </x:c>
      <x:c r="N297" s="20" t="str">
        <x:v>ยังไม่ยืนยัน</x:v>
      </x:c>
      <x:c r="O297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97" s="25" t="n">
        <x:v>46315</x:v>
      </x:c>
      <x:c r="Q297" s="27" t="str">
        <x:v>ยังไม่ตรวจ</x:v>
      </x:c>
      <x:c r="R297" s="27" t="str">
        <x:v>รอติดต่อ</x:v>
      </x:c>
    </x:row>
    <x:row r="298" ht="96" customHeight="1">
      <x:c r="A298" s="24" t="str">
        <x:v>TMF-290</x:v>
      </x:c>
      <x:c r="B298" s="20" t="str">
        <x:v>มัสยิดดารุ้ลคอยรอต(เจียรดับ)</x:v>
      </x:c>
      <x:c r="C298" s="20" t="str">
        <x:v>กรุงเทพมหานคร</x:v>
      </x:c>
      <x:c r="D298" s="20" t="str">
        <x:v>สำรองเพื่อจัดลำดับให้ทะเบียน GMHI</x:v>
      </x:c>
      <x:c r="E298" s="20" t="str">
        <x:v>หลักฐานไม่พอ รอยืนยันการเปิด</x:v>
      </x:c>
      <x:c r="F298" s="20" t="str">
        <x:v>ยังไม่ยืนยันการเปิดให้บริการปัจจุบัน</x:v>
      </x:c>
      <x:c r="G298" s="26" t="n">
        <x:v>1</x:v>
      </x:c>
      <x:c r="H298" s="23" t="str"/>
      <x:c r="I298" s="23" t="str"/>
      <x:c r="J298" s="23" t="str"/>
      <x:c r="K298" s="23" t="str"/>
      <x:c r="L298" s="23" t="str"/>
      <x:c r="M298" s="23" t="str"/>
      <x:c r="N298" s="20" t="str">
        <x:v>ยังไม่ยืนยัน</x:v>
      </x:c>
      <x:c r="O29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298" s="25" t="n">
        <x:v>46315</x:v>
      </x:c>
      <x:c r="Q298" s="27" t="str">
        <x:v>ยังไม่ตรวจ</x:v>
      </x:c>
      <x:c r="R298" s="27" t="str">
        <x:v>รอติดต่อ</x:v>
      </x:c>
    </x:row>
    <x:row r="299" ht="76" customHeight="1">
      <x:c r="A299" s="24" t="str">
        <x:v>TMF-291</x:v>
      </x:c>
      <x:c r="B299" s="20" t="str">
        <x:v>มัสยิดดารุ้ลฆอนี (โต๊ะนิล)</x:v>
      </x:c>
      <x:c r="C299" s="20" t="str">
        <x:v>กรุงเทพมหานคร</x:v>
      </x:c>
      <x:c r="D299" s="20" t="str">
        <x:v>คงไว้ในชุด 600</x:v>
      </x:c>
      <x:c r="E299" s="20" t="str">
        <x:v>พบหลายแหล่งสัมพันธ์กับชื่อ รอยืนยันการเปิด</x:v>
      </x:c>
      <x:c r="F299" s="20" t="str">
        <x:v>ยังไม่ยืนยันการเปิดให้บริการปัจจุบัน</x:v>
      </x:c>
      <x:c r="G299" s="26" t="n">
        <x:v>2</x:v>
      </x:c>
      <x:c r="H299" s="23" t="str"/>
      <x:c r="I299" s="23" t="str"/>
      <x:c r="J299" s="23" t="e">
        <x:f>HYPERLINK("https://th.trip.com/travel-guide/attraction/bangkok/darun-khoni-mosque-144009979/?curr=USD&amp;locale=en-TH","เปิดหน้ารีวิว 1")</x:f>
        <x:v>HYPERLINK is not implemented. linkLocation=https://th.trip.com/travel-guide/attraction/bangkok/darun-khoni-mosque-144009979/?curr=USD&amp;locale=en-TH, friendlyName=เปิดหน้ารีวิว 1</x:v>
      </x:c>
      <x:c r="K299" s="23" t="e">
        <x:f>HYPERLINK("https://uk.trip.com/travel-guide/attraction/bangkok/darun-khoni-mosque-144009979?poiType=3","เปิดหน้ารีวิว 2")</x:f>
        <x:v>HYPERLINK is not implemented. linkLocation=https://uk.trip.com/travel-guide/attraction/bangkok/darun-khoni-mosque-144009979?poiType=3, friendlyName=เปิดหน้ารีวิว 2</x:v>
      </x:c>
      <x:c r="L299" s="23" t="str"/>
      <x:c r="M299" s="23" t="str"/>
      <x:c r="N299" s="20" t="str">
        <x:v>ยังไม่ยืนยัน</x:v>
      </x:c>
      <x:c r="O29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299" s="25" t="n">
        <x:v>46315</x:v>
      </x:c>
      <x:c r="Q299" s="27" t="str">
        <x:v>ยังไม่ตรวจ</x:v>
      </x:c>
      <x:c r="R299" s="27" t="str">
        <x:v>รอติดต่อ</x:v>
      </x:c>
    </x:row>
    <x:row r="300" ht="76" customHeight="1">
      <x:c r="A300" s="24" t="str">
        <x:v>TMF-292</x:v>
      </x:c>
      <x:c r="B300" s="20" t="str">
        <x:v>มัสยิดดารุ้ลนาอีม (แบนชะโด)</x:v>
      </x:c>
      <x:c r="C300" s="20" t="str">
        <x:v>กรุงเทพมหานคร</x:v>
      </x:c>
      <x:c r="D300" s="20" t="str">
        <x:v>คงไว้ในชุด 600</x:v>
      </x:c>
      <x:c r="E300" s="20" t="str">
        <x:v>พบหลายแหล่งสัมพันธ์กับชื่อ รอยืนยันการเปิด</x:v>
      </x:c>
      <x:c r="F300" s="20" t="str">
        <x:v>ยังไม่ยืนยันการเปิดให้บริการปัจจุบัน</x:v>
      </x:c>
      <x:c r="G300" s="26" t="n">
        <x:v>4</x:v>
      </x:c>
      <x:c r="H300" s="23" t="str"/>
      <x:c r="I300" s="23" t="str"/>
      <x:c r="J300" s="23" t="e">
        <x:f>HYPERLINK("https://www.lemon8-app.com/%40bmedyala/7451104083366117896?region=th","เปิดหน้ารีวิว 1")</x:f>
        <x:v>HYPERLINK is not implemented. linkLocation=https://www.lemon8-app.com/%40bmedyala/7451104083366117896?region=th, friendlyName=เปิดหน้ารีวิว 1</x:v>
      </x:c>
      <x:c r="K300" s="23" t="str"/>
      <x:c r="L300" s="23" t="e">
        <x:f>HYPERLINK("https://masjid.islamicbangkok.or.th/masjid/id/10297","เปิดเว็บเพิ่ม 1")</x:f>
        <x:v>HYPERLINK is not implemented. linkLocation=https://masjid.islamicbangkok.or.th/masjid/id/10297, friendlyName=เปิดเว็บเพิ่ม 1</x:v>
      </x:c>
      <x:c r="M300" s="23" t="e">
        <x:f>HYPERLINK("https://www.cicot.or.th/th/mosque/detail/323/2/%E0%B8%A1%E0%B8%B1%E0%B8%AA%E0%B8%A2%E0%B8%B4%E0%B8%94%E0%B8%94%E0%B8%B2%E0%B8%A3%E0%B8%B8%E0%B9%89%E0%B8%A5%E0%B8%99%E0%B9%88%E0%B8%B2%E0%B8%AE%E0%B8%B5%E0%B8%A1-%E0%B9%81%E0%B8%9A%E0%B8%99%E0%B8%8A%E0%B8%B0%E0%B9%82%E0%B8%94","เปิดเว็บเพิ่ม 2")</x:f>
        <x:v>HYPERLINK is not implemented. linkLocation=https://www.cicot.or.th/th/mosque/detail/323/2/%E0%B8%A1%E0%B8%B1%E0%B8%AA%E0%B8%A2%E0%B8%B4%E0%B8%94%E0%B8%94%E0%B8%B2%E0%B8%A3%E0%B8%B8%E0%B9%89%E0%B8%A5%E0%B8%99%E0%B9%88%E0%B8%B2%E0%B8%AE%E0%B8%B5%E0%B8%A1-%E0%B9%81%E0%B8%9A%E0%B8%99%E0%B8%8A%E0%B8%B0%E0%B9%82%E0%B8%94, friendlyName=เปิดเว็บเพิ่ม 2</x:v>
      </x:c>
      <x:c r="N300" s="20" t="str">
        <x:v>ยังไม่ยืนยัน</x:v>
      </x:c>
      <x:c r="O30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00" s="25" t="n">
        <x:v>46315</x:v>
      </x:c>
      <x:c r="Q300" s="27" t="str">
        <x:v>ยังไม่ตรวจ</x:v>
      </x:c>
      <x:c r="R300" s="27" t="str">
        <x:v>รอติดต่อ</x:v>
      </x:c>
    </x:row>
    <x:row r="301" ht="76" customHeight="1">
      <x:c r="A301" s="24" t="str">
        <x:v>TMF-293</x:v>
      </x:c>
      <x:c r="B301" s="20" t="str">
        <x:v>มัสยิดดารุ้ลมุตตะกีน</x:v>
      </x:c>
      <x:c r="C301" s="20" t="str">
        <x:v>กรุงเทพมหานคร</x:v>
      </x:c>
      <x:c r="D301" s="20" t="str">
        <x:v>คงไว้ในชุด 600</x:v>
      </x:c>
      <x:c r="E301" s="20" t="str">
        <x:v>พบหลายแหล่งสัมพันธ์กับชื่อ รอยืนยันการเปิด</x:v>
      </x:c>
      <x:c r="F301" s="20" t="str">
        <x:v>ยังไม่ยืนยันการเปิดให้บริการปัจจุบัน</x:v>
      </x:c>
      <x:c r="G301" s="26" t="n">
        <x:v>3</x:v>
      </x:c>
      <x:c r="H301" s="23" t="str"/>
      <x:c r="I301" s="23" t="str"/>
      <x:c r="J301" s="23" t="e">
        <x:f>HYPERLINK("https://th.trip.com/travel-guide/attraction/bangkok/darul-muttageen-mosque-141901653?poiType=3","เปิดหน้ารีวิว 1")</x:f>
        <x:v>HYPERLINK is not implemented. linkLocation=https://th.trip.com/travel-guide/attraction/bangkok/darul-muttageen-mosque-141901653?poiType=3, friendlyName=เปิดหน้ารีวิว 1</x:v>
      </x:c>
      <x:c r="K301" s="23" t="e">
        <x:f>HYPERLINK("https://th.trip.com/travel-guide/attraction/bangkok/darul-muttageen-mosque-141901653/","เปิดหน้ารีวิว 2")</x:f>
        <x:v>HYPERLINK is not implemented. linkLocation=https://th.trip.com/travel-guide/attraction/bangkok/darul-muttageen-mosque-141901653/, friendlyName=เปิดหน้ารีวิว 2</x:v>
      </x:c>
      <x:c r="L301" s="23" t="e">
        <x:f>HYPERLINK("https://thi.worldorgs.com/%E0%B9%81%E0%B8%84%E0%B8%95%E0%B8%95%E0%B8%B2%E0%B8%A5%E0%B9%87%E0%B8%AD%E0%B8%81/%E0%B9%80%E0%B8%82%E0%B8%95-%E0%B8%AB%E0%B8%99%E0%B8%AD%E0%B8%87%E0%B8%88%E0%B8%AD%E0%B8%81/%E0%B8%AA%E0%B8%B8%E0%B8%AA%E0%B8%B2%E0%B8%99/%E0%B8%A1%E0%B8%B1%E0%B8%AA%E0%B8%A2%E0%B8%B4%E0%B8%94%E0%B8%94%E0%B8%B2%E0%B8%A3%E0%B8%B8%E0%B9%89%E0%B8%A5%E0%B8%A1%E0%B8%B8%E0%B8%95%E0%B8%95%E0%B8%B0%E0%B8%81%E0%B8%B5%E0%B8%99","เปิดเว็บเพิ่ม 1")</x:f>
        <x:v>HYPERLINK is not implemented. linkLocation=https://thi.worldorgs.com/%E0%B9%81%E0%B8%84%E0%B8%95%E0%B8%95%E0%B8%B2%E0%B8%A5%E0%B9%87%E0%B8%AD%E0%B8%81/%E0%B9%80%E0%B8%82%E0%B8%95-%E0%B8%AB%E0%B8%99%E0%B8%AD%E0%B8%87%E0%B8%88%E0%B8%AD%E0%B8%81/%E0%B8%AA%E0%B8%B8%E0%B8%AA%E0%B8%B2%E0%B8%99/%E0%B8%A1%E0%B8%B1%E0%B8%AA%E0%B8%A2%E0%B8%B4%E0%B8%94%E0%B8%94%E0%B8%B2%E0%B8%A3%E0%B8%B8%E0%B9%89%E0%B8%A5%E0%B8%A1%E0%B8%B8%E0%B8%95%E0%B8%95%E0%B8%B0%E0%B8%81%E0%B8%B5%E0%B8%99, friendlyName=เปิดเว็บเพิ่ม 1</x:v>
      </x:c>
      <x:c r="M301" s="23" t="str"/>
      <x:c r="N301" s="20" t="str">
        <x:v>ยังไม่ยืนยัน</x:v>
      </x:c>
      <x:c r="O30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01" s="25" t="n">
        <x:v>46315</x:v>
      </x:c>
      <x:c r="Q301" s="27" t="str">
        <x:v>ยังไม่ตรวจ</x:v>
      </x:c>
      <x:c r="R301" s="27" t="str">
        <x:v>รอติดต่อ</x:v>
      </x:c>
    </x:row>
    <x:row r="302" ht="76" customHeight="1">
      <x:c r="A302" s="24" t="str">
        <x:v>TMF-294</x:v>
      </x:c>
      <x:c r="B302" s="20" t="str">
        <x:v>มัสยิดดารุ้ลมุสลิมีน (กลิ่นชื่นอุปถัมภ์)</x:v>
      </x:c>
      <x:c r="C302" s="20" t="str">
        <x:v>กรุงเทพมหานคร</x:v>
      </x:c>
      <x:c r="D302" s="20" t="str">
        <x:v>คงไว้ในชุด 600</x:v>
      </x:c>
      <x:c r="E302" s="20" t="str">
        <x:v>พบหลายแหล่งสัมพันธ์กับชื่อ รอยืนยันการเปิด</x:v>
      </x:c>
      <x:c r="F302" s="20" t="str">
        <x:v>ยังไม่ยืนยันการเปิดให้บริการปัจจุบัน</x:v>
      </x:c>
      <x:c r="G302" s="26" t="n">
        <x:v>3</x:v>
      </x:c>
      <x:c r="H302" s="23" t="str"/>
      <x:c r="I302" s="23" t="str"/>
      <x:c r="J302" s="23" t="str"/>
      <x:c r="K302" s="23" t="str"/>
      <x:c r="L302" s="23" t="e">
        <x:f>HYPERLINK("https://masjid.islamicbangkok.or.th/masjid/id/21757","เปิดเว็บเพิ่ม 1")</x:f>
        <x:v>HYPERLINK is not implemented. linkLocation=https://masjid.islamicbangkok.or.th/masjid/id/21757, friendlyName=เปิดเว็บเพิ่ม 1</x:v>
      </x:c>
      <x:c r="M302" s="23" t="e">
        <x:f>HYPERLINK("https://www.cicot.or.th/th/mosque/detail/360/2/%E0%B8%A1%E0%B8%B1%E0%B8%AA%E0%B8%A2%E0%B8%B4%E0%B8%94%E0%B8%94%E0%B8%B2%E0%B8%A3%E0%B8%B8%E0%B9%89%E0%B8%A5%E0%B8%A1%E0%B8%B8%E0%B8%AA%E0%B8%A5%E0%B8%B4%E0%B8%A1%E0%B8%B5%E0%B8%99-%E0%B8%81%E0%B8%A5%E0%B8%B4%E0%B9%88%E0%B8%99%E0%B8%8A%E0%B8%B7%E0%B9%88%E0%B8%99%E0%B8%AD%E0%B8%B8%E0%B8%9B%E0%B8%96%E0%B8%B1%E0%B8%A1%E0%B8%A0%E0%B9%8C?blank=%E0%B8%AA%E0%B8%A5%E0%B9%87%E0%B8%AD%E0%B8%95star-plus-737142","เปิดเว็บเพิ่ม 2")</x:f>
        <x:v>HYPERLINK is not implemented. linkLocation=https://www.cicot.or.th/th/mosque/detail/360/2/%E0%B8%A1%E0%B8%B1%E0%B8%AA%E0%B8%A2%E0%B8%B4%E0%B8%94%E0%B8%94%E0%B8%B2%E0%B8%A3%E0%B8%B8%E0%B9%89%E0%B8%A5%E0%B8%A1%E0%B8%B8%E0%B8%AA%E0%B8%A5%E0%B8%B4%E0%B8%A1%E0%B8%B5%E0%B8%99-%E0%B8%81%E0%B8%A5%E0%B8%B4%E0%B9%88%E0%B8%99%E0%B8%8A%E0%B8%B7%E0%B9%88%E0%B8%99%E0%B8%AD%E0%B8%B8%E0%B8%9B%E0%B8%96%E0%B8%B1%E0%B8%A1%E0%B8%A0%E0%B9%8C?blank=%E0%B8%AA%E0%B8%A5%E0%B9%87%E0%B8%AD%E0%B8%95star-plus-737142, friendlyName=เปิดเว็บเพิ่ม 2</x:v>
      </x:c>
      <x:c r="N302" s="20" t="str">
        <x:v>ยังไม่ยืนยัน</x:v>
      </x:c>
      <x:c r="O302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02" s="25" t="n">
        <x:v>46315</x:v>
      </x:c>
      <x:c r="Q302" s="27" t="str">
        <x:v>ยังไม่ตรวจ</x:v>
      </x:c>
      <x:c r="R302" s="27" t="str">
        <x:v>รอติดต่อ</x:v>
      </x:c>
    </x:row>
    <x:row r="303" ht="76" customHeight="1">
      <x:c r="A303" s="24" t="str">
        <x:v>TMF-295</x:v>
      </x:c>
      <x:c r="B303" s="20" t="str">
        <x:v>มัสยิดต้นสน</x:v>
      </x:c>
      <x:c r="C303" s="20" t="str">
        <x:v>กรุงเทพมหานคร</x:v>
      </x:c>
      <x:c r="D303" s="20" t="str">
        <x:v>คงไว้ในชุด 600</x:v>
      </x:c>
      <x:c r="E303" s="20" t="str">
        <x:v>พบหลายแหล่งสัมพันธ์กับชื่อ รอยืนยันการเปิด</x:v>
      </x:c>
      <x:c r="F303" s="20" t="str">
        <x:v>ยังไม่ยืนยันการเปิดให้บริการปัจจุบัน</x:v>
      </x:c>
      <x:c r="G303" s="26" t="n">
        <x:v>7</x:v>
      </x:c>
      <x:c r="H303" s="23" t="str"/>
      <x:c r="I303" s="23" t="str"/>
      <x:c r="J303" s="23" t="e">
        <x:f>HYPERLINK("https://th.trip.com/travel-guide/attraction/bangkok/ton-son-mosque-97364728/","เปิดหน้ารีวิว 1")</x:f>
        <x:v>HYPERLINK is not implemented. linkLocation=https://th.trip.com/travel-guide/attraction/bangkok/ton-son-mosque-97364728/, friendlyName=เปิดหน้ารีวิว 1</x:v>
      </x:c>
      <x:c r="K303" s="23" t="e">
        <x:f>HYPERLINK("https://th.tripadvisor.com/Attraction_Review-g293916-d6609104-Reviews-Ton_Son_Mosque-Bangkok.html","เปิดหน้ารีวิว 2")</x:f>
        <x:v>HYPERLINK is not implemented. linkLocation=https://th.tripadvisor.com/Attraction_Review-g293916-d6609104-Reviews-Ton_Son_Mosque-Bangkok.html, friendlyName=เปิดหน้ารีวิว 2</x:v>
      </x:c>
      <x:c r="L303" s="23" t="e">
        <x:f>HYPERLINK("https://masjid.islamicbangkok.or.th/masjid/id/17170","เปิดเว็บเพิ่ม 1")</x:f>
        <x:v>HYPERLINK is not implemented. linkLocation=https://masjid.islamicbangkok.or.th/masjid/id/17170, friendlyName=เปิดเว็บเพิ่ม 1</x:v>
      </x:c>
      <x:c r="M303" s="23" t="e">
        <x:f>HYPERLINK("https://www.lovethailand.org/travel/66-Narathiwat/17-%E0%B8%81%E0%B8%A3%E0%B8%B8%E0%B8%87%E0%B9%80%E0%B8%97%E0%B8%9E%E0%B8%A1%E0%B8%AB%E0%B8%B2%E0%B8%99%E0%B8%84%E0%B8%A3/4685-%E0%B8%A1%E0%B8%B1%E0%B8%AA%E0%B8%A2%E0%B8%B4%E0%B8%94%E0%B8%95%E0%B9%89%E0%B8%99%E0%B8%AA%E0%B8%99.html","เปิดเว็บเพิ่ม 2")</x:f>
        <x:v>HYPERLINK is not implemented. linkLocation=https://www.lovethailand.org/travel/66-Narathiwat/17-%E0%B8%81%E0%B8%A3%E0%B8%B8%E0%B8%87%E0%B9%80%E0%B8%97%E0%B8%9E%E0%B8%A1%E0%B8%AB%E0%B8%B2%E0%B8%99%E0%B8%84%E0%B8%A3/4685-%E0%B8%A1%E0%B8%B1%E0%B8%AA%E0%B8%A2%E0%B8%B4%E0%B8%94%E0%B8%95%E0%B9%89%E0%B8%99%E0%B8%AA%E0%B8%99.html, friendlyName=เปิดเว็บเพิ่ม 2</x:v>
      </x:c>
      <x:c r="N303" s="20" t="str">
        <x:v>ยังไม่ยืนยัน</x:v>
      </x:c>
      <x:c r="O30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03" s="25" t="n">
        <x:v>46315</x:v>
      </x:c>
      <x:c r="Q303" s="27" t="str">
        <x:v>ยังไม่ตรวจ</x:v>
      </x:c>
      <x:c r="R303" s="27" t="str">
        <x:v>รอติดต่อ</x:v>
      </x:c>
    </x:row>
    <x:row r="304" ht="76" customHeight="1">
      <x:c r="A304" s="24" t="str">
        <x:v>TMF-296</x:v>
      </x:c>
      <x:c r="B304" s="20" t="str">
        <x:v>มัสยิดนูรุดดีน (บ้านเกาะคลอง 13)</x:v>
      </x:c>
      <x:c r="C304" s="20" t="str">
        <x:v>กรุงเทพมหานคร</x:v>
      </x:c>
      <x:c r="D304" s="20" t="str">
        <x:v>คงไว้ในชุด 600</x:v>
      </x:c>
      <x:c r="E304" s="20" t="str">
        <x:v>พบหลายแหล่งสัมพันธ์กับชื่อ รอยืนยันการเปิด</x:v>
      </x:c>
      <x:c r="F304" s="20" t="str">
        <x:v>ยังไม่ยืนยันการเปิดให้บริการปัจจุบัน</x:v>
      </x:c>
      <x:c r="G304" s="26" t="n">
        <x:v>3</x:v>
      </x:c>
      <x:c r="H304" s="23" t="e">
        <x:f>HYPERLINK("https://www.facebook.com/profile.php?id=100065013361474","เปิดช่องทาง 1")</x:f>
        <x:v>HYPERLINK is not implemented. linkLocation=https://www.facebook.com/profile.php?id=100065013361474, friendlyName=เปิดช่องทาง 1</x:v>
      </x:c>
      <x:c r="I304" s="23" t="str"/>
      <x:c r="J304" s="23" t="str"/>
      <x:c r="K304" s="23" t="str"/>
      <x:c r="L304" s="23" t="e">
        <x:f>HYPERLINK("https://masjid.islamicbangkok.or.th/masjid/id/23403","เปิดเว็บเพิ่ม 1")</x:f>
        <x:v>HYPERLINK is not implemented. linkLocation=https://masjid.islamicbangkok.or.th/masjid/id/23403, friendlyName=เปิดเว็บเพิ่ม 1</x:v>
      </x:c>
      <x:c r="M304" s="23" t="e">
        <x:f>HYPERLINK("https://masjid.islamicbangkok.or.th/masjid/committee/229/1140/4","เปิดเว็บเพิ่ม 2")</x:f>
        <x:v>HYPERLINK is not implemented. linkLocation=https://masjid.islamicbangkok.or.th/masjid/committee/229/1140/4, friendlyName=เปิดเว็บเพิ่ม 2</x:v>
      </x:c>
      <x:c r="N304" s="20" t="str">
        <x:v>ยังไม่ยืนยัน</x:v>
      </x:c>
      <x:c r="O304" s="20" t="str">
        <x:v>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04" s="25" t="n">
        <x:v>46315</x:v>
      </x:c>
      <x:c r="Q304" s="27" t="str">
        <x:v>ยังไม่ตรวจ</x:v>
      </x:c>
      <x:c r="R304" s="27" t="str">
        <x:v>รอติดต่อ</x:v>
      </x:c>
    </x:row>
    <x:row r="305" ht="96" customHeight="1">
      <x:c r="A305" s="24" t="str">
        <x:v>TMF-297</x:v>
      </x:c>
      <x:c r="B305" s="20" t="str">
        <x:v>มัสยิดนูรุลฮิดายะห์ (สุวินทวงศ์)</x:v>
      </x:c>
      <x:c r="C305" s="20" t="str">
        <x:v>กรุงเทพมหานคร</x:v>
      </x:c>
      <x:c r="D305" s="20" t="str">
        <x:v>สำรองเพื่อจัดลำดับให้ทะเบียน GMHI</x:v>
      </x:c>
      <x:c r="E305" s="20" t="str">
        <x:v>หลักฐานไม่พอ รอยืนยันการเปิด</x:v>
      </x:c>
      <x:c r="F305" s="20" t="str">
        <x:v>ยังไม่ยืนยันการเปิดให้บริการปัจจุบัน</x:v>
      </x:c>
      <x:c r="G305" s="26" t="n">
        <x:v>1</x:v>
      </x:c>
      <x:c r="H305" s="23" t="str"/>
      <x:c r="I305" s="23" t="str"/>
      <x:c r="J305" s="23" t="str"/>
      <x:c r="K305" s="23" t="str"/>
      <x:c r="L305" s="23" t="str"/>
      <x:c r="M305" s="23" t="str"/>
      <x:c r="N305" s="20" t="str">
        <x:v>ยังไม่ยืนยัน</x:v>
      </x:c>
      <x:c r="O30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05" s="25" t="n">
        <x:v>46315</x:v>
      </x:c>
      <x:c r="Q305" s="27" t="str">
        <x:v>ยังไม่ตรวจ</x:v>
      </x:c>
      <x:c r="R305" s="27" t="str">
        <x:v>รอติดต่อ</x:v>
      </x:c>
    </x:row>
    <x:row r="306" ht="76" customHeight="1">
      <x:c r="A306" s="24" t="str">
        <x:v>TMF-298</x:v>
      </x:c>
      <x:c r="B306" s="20" t="str">
        <x:v>มัสยิดนูรุสสะลาม กุโบร์โต๊ะเยาะห์</x:v>
      </x:c>
      <x:c r="C306" s="20" t="str">
        <x:v>กรุงเทพมหานคร</x:v>
      </x:c>
      <x:c r="D306" s="20" t="str">
        <x:v>คงไว้ในชุด 600</x:v>
      </x:c>
      <x:c r="E306" s="20" t="str">
        <x:v>พบหลายแหล่งสัมพันธ์กับชื่อ รอยืนยันการเปิด</x:v>
      </x:c>
      <x:c r="F306" s="20" t="str">
        <x:v>ยังไม่ยืนยันการเปิดให้บริการปัจจุบัน</x:v>
      </x:c>
      <x:c r="G306" s="26" t="n">
        <x:v>3</x:v>
      </x:c>
      <x:c r="H306" s="23" t="str"/>
      <x:c r="I306" s="23" t="str"/>
      <x:c r="J306" s="23" t="str"/>
      <x:c r="K306" s="23" t="str"/>
      <x:c r="L306" s="23" t="e">
        <x:f>HYPERLINK("https://masjid.islamicbangkok.or.th/masjid/id/78441","เปิดเว็บเพิ่ม 1")</x:f>
        <x:v>HYPERLINK is not implemented. linkLocation=https://masjid.islamicbangkok.or.th/masjid/id/78441, friendlyName=เปิดเว็บเพิ่ม 1</x:v>
      </x:c>
      <x:c r="M306" s="23" t="e">
        <x:f>HYPERLINK("https://www.beautynailhairsalons.com/TH/Bangkok/190618187478638/%E0%B8%9A%E0%B9%89%E0%B8%B2%E0%B8%99%E0%B8%95%E0%B8%B1%E0%B8%94%E0%B8%9C%E0%B8%A1%E0%B8%8A%E0%B8%B2%E0%B8%A2-%E0%B8%AA%E0%B9%89%E0%B8%A1%E0%B8%97%E0%B8%A3%E0%B8%87%E0%B8%8B%E0%B8%B8%E0%B8%9F.---%E0%B8%81%E0%B8%B8%E0%B9%82%E0%B8%9A%E0%B8%A3%E0%B9%8C%E0%B9%82%E0%B8%95%E0%B9%8A%E0%B8%B0%E0%B9%80%E0%B8%A2%E0%B8%B2%E0%B8%B0%E0%B8%AB%E0%B9%8C-%E0%B8%84%E0%B8%B9%E0%B9%89%E0%B8%82%E0%B8%A7%E0%B8%B2","เปิดเว็บเพิ่ม 2")</x:f>
        <x:v>HYPERLINK is not implemented. linkLocation=https://www.beautynailhairsalons.com/TH/Bangkok/190618187478638/%E0%B8%9A%E0%B9%89%E0%B8%B2%E0%B8%99%E0%B8%95%E0%B8%B1%E0%B8%94%E0%B8%9C%E0%B8%A1%E0%B8%8A%E0%B8%B2%E0%B8%A2-%E0%B8%AA%E0%B9%89%E0%B8%A1%E0%B8%97%E0%B8%A3%E0%B8%87%E0%B8%8B%E0%B8%B8%E0%B8%9F.---%E0%B8%81%E0%B8%B8%E0%B9%82%E0%B8%9A%E0%B8%A3%E0%B9%8C%E0%B9%82%E0%B8%95%E0%B9%8A%E0%B8%B0%E0%B9%80%E0%B8%A2%E0%B8%B2%E0%B8%B0%E0%B8%AB%E0%B9%8C-%E0%B8%84%E0%B8%B9%E0%B9%89%E0%B8%82%E0%B8%A7%E0%B8%B2, friendlyName=เปิดเว็บเพิ่ม 2</x:v>
      </x:c>
      <x:c r="N306" s="20" t="str">
        <x:v>ยังไม่ยืนยัน</x:v>
      </x:c>
      <x:c r="O306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06" s="25" t="n">
        <x:v>46315</x:v>
      </x:c>
      <x:c r="Q306" s="27" t="str">
        <x:v>ยังไม่ตรวจ</x:v>
      </x:c>
      <x:c r="R306" s="27" t="str">
        <x:v>รอติดต่อ</x:v>
      </x:c>
    </x:row>
    <x:row r="307" ht="76" customHeight="1">
      <x:c r="A307" s="24" t="str">
        <x:v>TMF-299</x:v>
      </x:c>
      <x:c r="B307" s="20" t="str">
        <x:v>มัสยิดนูรุ้ลอิสลาม (วังใหญ่)</x:v>
      </x:c>
      <x:c r="C307" s="20" t="str">
        <x:v>กรุงเทพมหานคร</x:v>
      </x:c>
      <x:c r="D307" s="20" t="str">
        <x:v>คงไว้ในชุด 600</x:v>
      </x:c>
      <x:c r="E307" s="20" t="str">
        <x:v>พบหลายแหล่งสัมพันธ์กับชื่อ รอยืนยันการเปิด</x:v>
      </x:c>
      <x:c r="F307" s="20" t="str">
        <x:v>ยังไม่ยืนยันการเปิดให้บริการปัจจุบัน</x:v>
      </x:c>
      <x:c r="G307" s="26" t="n">
        <x:v>2</x:v>
      </x:c>
      <x:c r="H307" s="23" t="str"/>
      <x:c r="I307" s="23" t="str"/>
      <x:c r="J307" s="23" t="str"/>
      <x:c r="K307" s="23" t="str"/>
      <x:c r="L307" s="23" t="e">
        <x:f>HYPERLINK("https://masjid.islamicbangkok.or.th/masjid/id/99049","เปิดเว็บเพิ่ม 1")</x:f>
        <x:v>HYPERLINK is not implemented. linkLocation=https://masjid.islamicbangkok.or.th/masjid/id/99049, friendlyName=เปิดเว็บเพิ่ม 1</x:v>
      </x:c>
      <x:c r="M307" s="23" t="str"/>
      <x:c r="N307" s="20" t="str">
        <x:v>ยังไม่ยืนยัน</x:v>
      </x:c>
      <x:c r="O307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07" s="25" t="n">
        <x:v>46315</x:v>
      </x:c>
      <x:c r="Q307" s="27" t="str">
        <x:v>ยังไม่ตรวจ</x:v>
      </x:c>
      <x:c r="R307" s="27" t="str">
        <x:v>รอติดต่อ</x:v>
      </x:c>
    </x:row>
    <x:row r="308" ht="76" customHeight="1">
      <x:c r="A308" s="24" t="str">
        <x:v>TMF-300</x:v>
      </x:c>
      <x:c r="B308" s="20" t="str">
        <x:v>มัสยิดนูรุ้ลฮูดา (คลองสองต้นนุ่น)</x:v>
      </x:c>
      <x:c r="C308" s="20" t="str">
        <x:v>กรุงเทพมหานคร</x:v>
      </x:c>
      <x:c r="D308" s="20" t="str">
        <x:v>คงไว้ในชุด 600</x:v>
      </x:c>
      <x:c r="E308" s="20" t="str">
        <x:v>พบหลายแหล่งสัมพันธ์กับชื่อ รอยืนยันการเปิด</x:v>
      </x:c>
      <x:c r="F308" s="20" t="str">
        <x:v>ยังไม่ยืนยันการเปิดให้บริการปัจจุบัน</x:v>
      </x:c>
      <x:c r="G308" s="26" t="n">
        <x:v>3</x:v>
      </x:c>
      <x:c r="H308" s="23" t="str"/>
      <x:c r="I308" s="23" t="str"/>
      <x:c r="J308" s="23" t="str"/>
      <x:c r="K308" s="23" t="str"/>
      <x:c r="L308" s="23" t="e">
        <x:f>HYPERLINK("https://masjid.islamicbangkok.or.th/masjid/id/20210","เปิดเว็บเพิ่ม 1")</x:f>
        <x:v>HYPERLINK is not implemented. linkLocation=https://masjid.islamicbangkok.or.th/masjid/id/20210, friendlyName=เปิดเว็บเพิ่ม 1</x:v>
      </x:c>
      <x:c r="M308" s="23" t="e">
        <x:f>HYPERLINK("https://www.cicot.or.th/th/mosque/detail/363/2/%E0%B8%A1%E0%B8%B1%E0%B8%AA%E0%B8%A2%E0%B8%B4%E0%B8%94%E0%B8%99%E0%B8%B9%E0%B8%A3%E0%B8%B8%E0%B9%89%E0%B8%A5%E0%B8%AE%E0%B8%B9%E0%B8%94%E0%B8%B2-%E0%B8%84%E0%B8%A5%E0%B8%AD%E0%B8%87%E0%B8%AA%E0%B8%AD%E0%B8%87%E0%B8%95%E0%B9%89%E0%B8%99%E0%B8%99%E0%B8%B8%E0%B9%88%E0%B8%99","เปิดเว็บเพิ่ม 2")</x:f>
        <x:v>HYPERLINK is not implemented. linkLocation=https://www.cicot.or.th/th/mosque/detail/363/2/%E0%B8%A1%E0%B8%B1%E0%B8%AA%E0%B8%A2%E0%B8%B4%E0%B8%94%E0%B8%99%E0%B8%B9%E0%B8%A3%E0%B8%B8%E0%B9%89%E0%B8%A5%E0%B8%AE%E0%B8%B9%E0%B8%94%E0%B8%B2-%E0%B8%84%E0%B8%A5%E0%B8%AD%E0%B8%87%E0%B8%AA%E0%B8%AD%E0%B8%87%E0%B8%95%E0%B9%89%E0%B8%99%E0%B8%99%E0%B8%B8%E0%B9%88%E0%B8%99, friendlyName=เปิดเว็บเพิ่ม 2</x:v>
      </x:c>
      <x:c r="N308" s="20" t="str">
        <x:v>ยังไม่ยืนยัน</x:v>
      </x:c>
      <x:c r="O308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08" s="25" t="n">
        <x:v>46315</x:v>
      </x:c>
      <x:c r="Q308" s="27" t="str">
        <x:v>ยังไม่ตรวจ</x:v>
      </x:c>
      <x:c r="R308" s="27" t="str">
        <x:v>รอติดต่อ</x:v>
      </x:c>
    </x:row>
    <x:row r="309" ht="76" customHeight="1">
      <x:c r="A309" s="24" t="str">
        <x:v>TMF-301</x:v>
      </x:c>
      <x:c r="B309" s="20" t="str">
        <x:v>มัสยิดนูรุ้ลเอี๊ยะห์ซาน (ลำตาจีน)</x:v>
      </x:c>
      <x:c r="C309" s="20" t="str">
        <x:v>กรุงเทพมหานคร</x:v>
      </x:c>
      <x:c r="D309" s="20" t="str">
        <x:v>คงไว้ในชุด 600</x:v>
      </x:c>
      <x:c r="E309" s="20" t="str">
        <x:v>พบหลายแหล่งสัมพันธ์กับชื่อ รอยืนยันการเปิด</x:v>
      </x:c>
      <x:c r="F309" s="20" t="str">
        <x:v>ยังไม่ยืนยันการเปิดให้บริการปัจจุบัน</x:v>
      </x:c>
      <x:c r="G309" s="26" t="n">
        <x:v>2</x:v>
      </x:c>
      <x:c r="H309" s="23" t="str"/>
      <x:c r="I309" s="23" t="str"/>
      <x:c r="J309" s="23" t="str"/>
      <x:c r="K309" s="23" t="str"/>
      <x:c r="L309" s="23" t="e">
        <x:f>HYPERLINK("https://masjid.islamicbangkok.or.th/masjid/id/14152","เปิดเว็บเพิ่ม 1")</x:f>
        <x:v>HYPERLINK is not implemented. linkLocation=https://masjid.islamicbangkok.or.th/masjid/id/14152, friendlyName=เปิดเว็บเพิ่ม 1</x:v>
      </x:c>
      <x:c r="M309" s="23" t="e">
        <x:f>HYPERLINK("https://masjid.islamicbangkok.or.th/masjid/committee/284/1384/4","เปิดเว็บเพิ่ม 2")</x:f>
        <x:v>HYPERLINK is not implemented. linkLocation=https://masjid.islamicbangkok.or.th/masjid/committee/284/1384/4, friendlyName=เปิดเว็บเพิ่ม 2</x:v>
      </x:c>
      <x:c r="N309" s="20" t="str">
        <x:v>ยังไม่ยืนยัน</x:v>
      </x:c>
      <x:c r="O30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09" s="25" t="n">
        <x:v>46315</x:v>
      </x:c>
      <x:c r="Q309" s="27" t="str">
        <x:v>ยังไม่ตรวจ</x:v>
      </x:c>
      <x:c r="R309" s="27" t="str">
        <x:v>รอติดต่อ</x:v>
      </x:c>
    </x:row>
    <x:row r="310" ht="96" customHeight="1">
      <x:c r="A310" s="24" t="str">
        <x:v>TMF-302</x:v>
      </x:c>
      <x:c r="B310" s="20" t="str">
        <x:v>มัสยิดบางอุทิศ (บางอุทิศ)</x:v>
      </x:c>
      <x:c r="C310" s="20" t="str">
        <x:v>กรุงเทพมหานคร</x:v>
      </x:c>
      <x:c r="D310" s="20" t="str">
        <x:v>สำรองเพื่อจัดลำดับให้ทะเบียน GMHI</x:v>
      </x:c>
      <x:c r="E310" s="20" t="str">
        <x:v>หลักฐานไม่พอ รอยืนยันการเปิด</x:v>
      </x:c>
      <x:c r="F310" s="20" t="str">
        <x:v>ยังไม่ยืนยันการเปิดให้บริการปัจจุบัน</x:v>
      </x:c>
      <x:c r="G310" s="26" t="n">
        <x:v>1</x:v>
      </x:c>
      <x:c r="H310" s="23" t="str"/>
      <x:c r="I310" s="23" t="str"/>
      <x:c r="J310" s="23" t="str"/>
      <x:c r="K310" s="23" t="str"/>
      <x:c r="L310" s="23" t="str"/>
      <x:c r="M310" s="23" t="str"/>
      <x:c r="N310" s="20" t="str">
        <x:v>ยังไม่ยืนยัน</x:v>
      </x:c>
      <x:c r="O31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10" s="25" t="n">
        <x:v>46315</x:v>
      </x:c>
      <x:c r="Q310" s="27" t="str">
        <x:v>ยังไม่ตรวจ</x:v>
      </x:c>
      <x:c r="R310" s="27" t="str">
        <x:v>รอติดต่อ</x:v>
      </x:c>
    </x:row>
    <x:row r="311" ht="76" customHeight="1">
      <x:c r="A311" s="24" t="str">
        <x:v>TMF-303</x:v>
      </x:c>
      <x:c r="B311" s="20" t="str">
        <x:v>มัสยิดบางอ้อ</x:v>
      </x:c>
      <x:c r="C311" s="20" t="str">
        <x:v>กรุงเทพมหานคร</x:v>
      </x:c>
      <x:c r="D311" s="20" t="str">
        <x:v>คงไว้ในชุด 600</x:v>
      </x:c>
      <x:c r="E311" s="20" t="str">
        <x:v>พบหลายแหล่งสัมพันธ์กับชื่อ รอยืนยันการเปิด</x:v>
      </x:c>
      <x:c r="F311" s="20" t="str">
        <x:v>ยังไม่ยืนยันการเปิดให้บริการปัจจุบัน</x:v>
      </x:c>
      <x:c r="G311" s="26" t="n">
        <x:v>6</x:v>
      </x:c>
      <x:c r="H311" s="23" t="str"/>
      <x:c r="I311" s="23" t="str"/>
      <x:c r="J311" s="23" t="e">
        <x:f>HYPERLINK("https://www.wongnai.com/attractions/482482lM","เปิดหน้ารีวิว 1")</x:f>
        <x:v>HYPERLINK is not implemented. linkLocation=https://www.wongnai.com/attractions/482482lM, friendlyName=เปิดหน้ารีวิว 1</x:v>
      </x:c>
      <x:c r="K311" s="23" t="e">
        <x:f>HYPERLINK("https://www.wongnai.com/attractions/482482lM-%E0%B8%A1%E0%B8%B1%E0%B8%AA%E0%B8%A2%E0%B8%B4%E0%B8%94%E0%B8%9A%E0%B8%B2%E0%B8%87%E0%B8%AD%E0%B9%89%E0%B8%AD","เปิดหน้ารีวิว 2")</x:f>
        <x:v>HYPERLINK is not implemented. linkLocation=https://www.wongnai.com/attractions/482482lM-%E0%B8%A1%E0%B8%B1%E0%B8%AA%E0%B8%A2%E0%B8%B4%E0%B8%94%E0%B8%9A%E0%B8%B2%E0%B8%87%E0%B8%AD%E0%B9%89%E0%B8%AD, friendlyName=เปิดหน้ารีวิว 2</x:v>
      </x:c>
      <x:c r="L311" s="23" t="e">
        <x:f>HYPERLINK("https://masjid.islamicbangkok.or.th/masjid/id/12580","เปิดเว็บเพิ่ม 1")</x:f>
        <x:v>HYPERLINK is not implemented. linkLocation=https://masjid.islamicbangkok.or.th/masjid/id/12580, friendlyName=เปิดเว็บเพิ่ม 1</x:v>
      </x:c>
      <x:c r="M311" s="23" t="e">
        <x:f>HYPERLINK("https://www.lovethailand.org/travel/11-Phetchaburi/17-%E0%B8%81%E0%B8%A3%E0%B8%B8%E0%B8%87%E0%B9%80%E0%B8%97%E0%B8%9E%E0%B8%A1%E0%B8%AB%E0%B8%B2%E0%B8%99%E0%B8%84%E0%B8%A3/8410-%E0%B8%A1%E0%B8%B1%E0%B8%AA%E0%B8%A2%E0%B8%B4%E0%B8%94%E0%B8%9A%E0%B8%B2%E0%B8%87%E0%B8%AD%E0%B9%89%E0%B8%AD.html","เปิดเว็บเพิ่ม 2")</x:f>
        <x:v>HYPERLINK is not implemented. linkLocation=https://www.lovethailand.org/travel/11-Phetchaburi/17-%E0%B8%81%E0%B8%A3%E0%B8%B8%E0%B8%87%E0%B9%80%E0%B8%97%E0%B8%9E%E0%B8%A1%E0%B8%AB%E0%B8%B2%E0%B8%99%E0%B8%84%E0%B8%A3/8410-%E0%B8%A1%E0%B8%B1%E0%B8%AA%E0%B8%A2%E0%B8%B4%E0%B8%94%E0%B8%9A%E0%B8%B2%E0%B8%87%E0%B8%AD%E0%B9%89%E0%B8%AD.html, friendlyName=เปิดเว็บเพิ่ม 2</x:v>
      </x:c>
      <x:c r="N311" s="20" t="str">
        <x:v>ยังไม่ยืนยัน</x:v>
      </x:c>
      <x:c r="O31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11" s="25" t="n">
        <x:v>46315</x:v>
      </x:c>
      <x:c r="Q311" s="27" t="str">
        <x:v>ยังไม่ตรวจ</x:v>
      </x:c>
      <x:c r="R311" s="27" t="str">
        <x:v>รอติดต่อ</x:v>
      </x:c>
    </x:row>
    <x:row r="312" ht="96" customHeight="1">
      <x:c r="A312" s="24" t="str">
        <x:v>TMF-304</x:v>
      </x:c>
      <x:c r="B312" s="20" t="str">
        <x:v>มัสยิดมิตรภาพไทย-ปากีสตาน (มิตรภาพไทย-ปากีสตาน)</x:v>
      </x:c>
      <x:c r="C312" s="20" t="str">
        <x:v>กรุงเทพมหานคร</x:v>
      </x:c>
      <x:c r="D312" s="20" t="str">
        <x:v>สำรองเพื่อจัดลำดับให้ทะเบียน GMHI</x:v>
      </x:c>
      <x:c r="E312" s="20" t="str">
        <x:v>หลักฐานไม่พอ รอยืนยันการเปิด</x:v>
      </x:c>
      <x:c r="F312" s="20" t="str">
        <x:v>ยังไม่ยืนยันการเปิดให้บริการปัจจุบัน</x:v>
      </x:c>
      <x:c r="G312" s="26" t="n">
        <x:v>1</x:v>
      </x:c>
      <x:c r="H312" s="23" t="str"/>
      <x:c r="I312" s="23" t="str"/>
      <x:c r="J312" s="23" t="str"/>
      <x:c r="K312" s="23" t="str"/>
      <x:c r="L312" s="23" t="str"/>
      <x:c r="M312" s="23" t="str"/>
      <x:c r="N312" s="20" t="str">
        <x:v>ยังไม่ยืนยัน</x:v>
      </x:c>
      <x:c r="O31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12" s="25" t="n">
        <x:v>46315</x:v>
      </x:c>
      <x:c r="Q312" s="27" t="str">
        <x:v>ยังไม่ตรวจ</x:v>
      </x:c>
      <x:c r="R312" s="27" t="str">
        <x:v>รอติดต่อ</x:v>
      </x:c>
    </x:row>
    <x:row r="313" ht="76" customHeight="1">
      <x:c r="A313" s="24" t="str">
        <x:v>TMF-305</x:v>
      </x:c>
      <x:c r="B313" s="20" t="str">
        <x:v>มัสยิดยะมีอุ้ลมุตตะกีน (ลำหินใต้)</x:v>
      </x:c>
      <x:c r="C313" s="20" t="str">
        <x:v>กรุงเทพมหานคร</x:v>
      </x:c>
      <x:c r="D313" s="20" t="str">
        <x:v>คงไว้ในชุด 600</x:v>
      </x:c>
      <x:c r="E313" s="20" t="str">
        <x:v>พบหลายแหล่งสัมพันธ์กับชื่อ รอยืนยันการเปิด</x:v>
      </x:c>
      <x:c r="F313" s="20" t="str">
        <x:v>ยังไม่ยืนยันการเปิดให้บริการปัจจุบัน</x:v>
      </x:c>
      <x:c r="G313" s="26" t="n">
        <x:v>3</x:v>
      </x:c>
      <x:c r="H313" s="23" t="str"/>
      <x:c r="I313" s="23" t="str"/>
      <x:c r="J313" s="23" t="str"/>
      <x:c r="K313" s="23" t="str"/>
      <x:c r="L313" s="23" t="e">
        <x:f>HYPERLINK("https://masjid.islamicbangkok.or.th/masjid/id/95463","เปิดเว็บเพิ่ม 1")</x:f>
        <x:v>HYPERLINK is not implemented. linkLocation=https://masjid.islamicbangkok.or.th/masjid/id/95463, friendlyName=เปิดเว็บเพิ่ม 1</x:v>
      </x:c>
      <x:c r="M313" s="23" t="e">
        <x:f>HYPERLINK("https://www.cicot.or.th/th/mosque/detail/354/2/%E0%B8%A1%E0%B8%B1%E0%B8%AA%E0%B8%A2%E0%B8%B4%E0%B8%94%E0%B8%A2%E0%B8%B0%E0%B8%A1%E0%B8%B5%E0%B8%AD%E0%B8%B8%E0%B9%89%E0%B8%A5%E0%B8%A1%E0%B8%B8%E0%B8%95%E0%B8%95%E0%B8%B0%E0%B8%81%E0%B8%B5%E0%B8%99-%E0%B8%A5%E0%B8%B3%E0%B8%AB%E0%B8%B4%E0%B8%99%E0%B9%83%E0%B8%95%E0%B9%89","เปิดเว็บเพิ่ม 2")</x:f>
        <x:v>HYPERLINK is not implemented. linkLocation=https://www.cicot.or.th/th/mosque/detail/354/2/%E0%B8%A1%E0%B8%B1%E0%B8%AA%E0%B8%A2%E0%B8%B4%E0%B8%94%E0%B8%A2%E0%B8%B0%E0%B8%A1%E0%B8%B5%E0%B8%AD%E0%B8%B8%E0%B9%89%E0%B8%A5%E0%B8%A1%E0%B8%B8%E0%B8%95%E0%B8%95%E0%B8%B0%E0%B8%81%E0%B8%B5%E0%B8%99-%E0%B8%A5%E0%B8%B3%E0%B8%AB%E0%B8%B4%E0%B8%99%E0%B9%83%E0%B8%95%E0%B9%89, friendlyName=เปิดเว็บเพิ่ม 2</x:v>
      </x:c>
      <x:c r="N313" s="20" t="str">
        <x:v>ยังไม่ยืนยัน</x:v>
      </x:c>
      <x:c r="O313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13" s="25" t="n">
        <x:v>46315</x:v>
      </x:c>
      <x:c r="Q313" s="27" t="str">
        <x:v>ยังไม่ตรวจ</x:v>
      </x:c>
      <x:c r="R313" s="27" t="str">
        <x:v>รอติดต่อ</x:v>
      </x:c>
    </x:row>
    <x:row r="314" ht="76" customHeight="1">
      <x:c r="A314" s="24" t="str">
        <x:v>TMF-306</x:v>
      </x:c>
      <x:c r="B314" s="20" t="str">
        <x:v>มัสยิดยำอุลอิควาน (ลำมดตะนอย)</x:v>
      </x:c>
      <x:c r="C314" s="20" t="str">
        <x:v>กรุงเทพมหานคร</x:v>
      </x:c>
      <x:c r="D314" s="20" t="str">
        <x:v>คงไว้ในชุด 600</x:v>
      </x:c>
      <x:c r="E314" s="20" t="str">
        <x:v>พบหลายแหล่งสัมพันธ์กับชื่อ รอยืนยันการเปิด</x:v>
      </x:c>
      <x:c r="F314" s="20" t="str">
        <x:v>ยังไม่ยืนยันการเปิดให้บริการปัจจุบัน</x:v>
      </x:c>
      <x:c r="G314" s="26" t="n">
        <x:v>3</x:v>
      </x:c>
      <x:c r="H314" s="23" t="e">
        <x:f>HYPERLINK("https://www.facebook.com/Masyidyamulikhwan/?ref=bookmarks","เปิดช่องทาง 1")</x:f>
        <x:v>HYPERLINK is not implemented. linkLocation=https://www.facebook.com/Masyidyamulikhwan/?ref=bookmarks, friendlyName=เปิดช่องทาง 1</x:v>
      </x:c>
      <x:c r="I314" s="23" t="str"/>
      <x:c r="J314" s="23" t="str"/>
      <x:c r="K314" s="23" t="str"/>
      <x:c r="L314" s="23" t="e">
        <x:f>HYPERLINK("https://masjid.islamicbangkok.or.th/masjid/id/27615","เปิดเว็บเพิ่ม 1")</x:f>
        <x:v>HYPERLINK is not implemented. linkLocation=https://masjid.islamicbangkok.or.th/masjid/id/27615, friendlyName=เปิดเว็บเพิ่ม 1</x:v>
      </x:c>
      <x:c r="M314" s="23" t="e">
        <x:f>HYPERLINK("https://www.islamicbangkok.or.th/2014/06/12/%E0%B8%81%E0%B8%AD-%E0%B8%81%E0%B8%97%E0%B8%A1-%E0%B8%A3%E0%B9%88%E0%B8%A7%E0%B8%A1%E0%B8%A5%E0%B8%B0%E0%B8%AB%E0%B8%A1%E0%B8%B2%E0%B8%94%E0%B8%8D%E0%B8%B2%E0%B8%99%E0%B8%B2%E0%B8%8B%E0%B8%B0%E0%B8%AB.html","เปิดเว็บเพิ่ม 2")</x:f>
        <x:v>HYPERLINK is not implemented. linkLocation=https://www.islamicbangkok.or.th/2014/06/12/%E0%B8%81%E0%B8%AD-%E0%B8%81%E0%B8%97%E0%B8%A1-%E0%B8%A3%E0%B9%88%E0%B8%A7%E0%B8%A1%E0%B8%A5%E0%B8%B0%E0%B8%AB%E0%B8%A1%E0%B8%B2%E0%B8%94%E0%B8%8D%E0%B8%B2%E0%B8%99%E0%B8%B2%E0%B8%8B%E0%B8%B0%E0%B8%AB.html, friendlyName=เปิดเว็บเพิ่ม 2</x:v>
      </x:c>
      <x:c r="N314" s="20" t="str">
        <x:v>ยังไม่ยืนยัน</x:v>
      </x:c>
      <x:c r="O314" s="20" t="str">
        <x:v>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14" s="25" t="n">
        <x:v>46315</x:v>
      </x:c>
      <x:c r="Q314" s="27" t="str">
        <x:v>ยังไม่ตรวจ</x:v>
      </x:c>
      <x:c r="R314" s="27" t="str">
        <x:v>รอติดต่อ</x:v>
      </x:c>
    </x:row>
    <x:row r="315" ht="76" customHeight="1">
      <x:c r="A315" s="24" t="str">
        <x:v>TMF-307</x:v>
      </x:c>
      <x:c r="B315" s="20" t="str">
        <x:v>มัสยิดสุวรรณภูมิ</x:v>
      </x:c>
      <x:c r="C315" s="20" t="str">
        <x:v>กรุงเทพมหานคร</x:v>
      </x:c>
      <x:c r="D315" s="20" t="str">
        <x:v>คงไว้ในชุด 600</x:v>
      </x:c>
      <x:c r="E315" s="20" t="str">
        <x:v>พบหลายแหล่งสัมพันธ์กับชื่อ รอยืนยันการเปิด</x:v>
      </x:c>
      <x:c r="F315" s="20" t="str">
        <x:v>ยังไม่ยืนยันการเปิดให้บริการปัจจุบัน</x:v>
      </x:c>
      <x:c r="G315" s="26" t="n">
        <x:v>3</x:v>
      </x:c>
      <x:c r="H315" s="23" t="str"/>
      <x:c r="I315" s="23" t="str"/>
      <x:c r="J315" s="23" t="str"/>
      <x:c r="K315" s="23" t="str"/>
      <x:c r="L315" s="23" t="e">
        <x:f>HYPERLINK("https://masjid.islamicbangkok.or.th/masjid/id/23672","เปิดเว็บเพิ่ม 1")</x:f>
        <x:v>HYPERLINK is not implemented. linkLocation=https://masjid.islamicbangkok.or.th/masjid/id/23672, friendlyName=เปิดเว็บเพิ่ม 1</x:v>
      </x:c>
      <x:c r="M315" s="23" t="e">
        <x:f>HYPERLINK("https://www.naewna.com/local/691362","เปิดเว็บเพิ่ม 2")</x:f>
        <x:v>HYPERLINK is not implemented. linkLocation=https://www.naewna.com/local/691362, friendlyName=เปิดเว็บเพิ่ม 2</x:v>
      </x:c>
      <x:c r="N315" s="20" t="str">
        <x:v>ยังไม่ยืนยัน</x:v>
      </x:c>
      <x:c r="O315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15" s="25" t="n">
        <x:v>46315</x:v>
      </x:c>
      <x:c r="Q315" s="27" t="str">
        <x:v>ยังไม่ตรวจ</x:v>
      </x:c>
      <x:c r="R315" s="27" t="str">
        <x:v>รอติดต่อ</x:v>
      </x:c>
    </x:row>
    <x:row r="316" ht="76" customHeight="1">
      <x:c r="A316" s="24" t="str">
        <x:v>TMF-308</x:v>
      </x:c>
      <x:c r="B316" s="20" t="str">
        <x:v>มัสยิดอมันนฤมิต (สาธุประดิษฐ์)</x:v>
      </x:c>
      <x:c r="C316" s="20" t="str">
        <x:v>กรุงเทพมหานคร</x:v>
      </x:c>
      <x:c r="D316" s="20" t="str">
        <x:v>คงไว้ในชุด 600</x:v>
      </x:c>
      <x:c r="E316" s="20" t="str">
        <x:v>พบหลายแหล่งสัมพันธ์กับชื่อ รอยืนยันการเปิด</x:v>
      </x:c>
      <x:c r="F316" s="20" t="str">
        <x:v>ยังไม่ยืนยันการเปิดให้บริการปัจจุบัน</x:v>
      </x:c>
      <x:c r="G316" s="26" t="n">
        <x:v>3</x:v>
      </x:c>
      <x:c r="H316" s="23" t="e">
        <x:f>HYPERLINK("https://www.facebook.com/profile.php?id=100066555247675","เปิดช่องทาง 1")</x:f>
        <x:v>HYPERLINK is not implemented. linkLocation=https://www.facebook.com/profile.php?id=100066555247675, friendlyName=เปิดช่องทาง 1</x:v>
      </x:c>
      <x:c r="I316" s="23" t="str"/>
      <x:c r="J316" s="23" t="str"/>
      <x:c r="K316" s="23" t="str"/>
      <x:c r="L316" s="23" t="e">
        <x:f>HYPERLINK("https://masjid.islamicbangkok.or.th/masjid/id/27374","เปิดเว็บเพิ่ม 1")</x:f>
        <x:v>HYPERLINK is not implemented. linkLocation=https://masjid.islamicbangkok.or.th/masjid/id/27374, friendlyName=เปิดเว็บเพิ่ม 1</x:v>
      </x:c>
      <x:c r="M316" s="23" t="e">
        <x:f>HYPERLINK("https://www.cicot.or.th/th/mosque/detail/352/2","เปิดเว็บเพิ่ม 2")</x:f>
        <x:v>HYPERLINK is not implemented. linkLocation=https://www.cicot.or.th/th/mosque/detail/352/2, friendlyName=เปิดเว็บเพิ่ม 2</x:v>
      </x:c>
      <x:c r="N316" s="20" t="str">
        <x:v>ยังไม่ยืนยัน</x:v>
      </x:c>
      <x:c r="O316" s="20" t="str">
        <x:v>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16" s="25" t="n">
        <x:v>46315</x:v>
      </x:c>
      <x:c r="Q316" s="27" t="str">
        <x:v>ยังไม่ตรวจ</x:v>
      </x:c>
      <x:c r="R316" s="27" t="str">
        <x:v>รอติดต่อ</x:v>
      </x:c>
    </x:row>
    <x:row r="317" ht="96" customHeight="1">
      <x:c r="A317" s="24" t="str">
        <x:v>TMF-309</x:v>
      </x:c>
      <x:c r="B317" s="20" t="str">
        <x:v>มัสยิดอะห์ลิสซุนนะห์วั้ลยะมาอะฮ์</x:v>
      </x:c>
      <x:c r="C317" s="20" t="str">
        <x:v>กรุงเทพมหานคร</x:v>
      </x:c>
      <x:c r="D317" s="20" t="str">
        <x:v>สำรองเพื่อจัดลำดับให้ทะเบียน GMHI</x:v>
      </x:c>
      <x:c r="E317" s="20" t="str">
        <x:v>หลักฐานไม่พอ รอยืนยันการเปิด</x:v>
      </x:c>
      <x:c r="F317" s="20" t="str">
        <x:v>ยังไม่ยืนยันการเปิดให้บริการปัจจุบัน</x:v>
      </x:c>
      <x:c r="G317" s="26" t="n">
        <x:v>1</x:v>
      </x:c>
      <x:c r="H317" s="23" t="str"/>
      <x:c r="I317" s="23" t="str"/>
      <x:c r="J317" s="23" t="str"/>
      <x:c r="K317" s="23" t="str"/>
      <x:c r="L317" s="23" t="str"/>
      <x:c r="M317" s="23" t="str"/>
      <x:c r="N317" s="20" t="str">
        <x:v>ยังไม่ยืนยัน</x:v>
      </x:c>
      <x:c r="O31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17" s="25" t="n">
        <x:v>46315</x:v>
      </x:c>
      <x:c r="Q317" s="27" t="str">
        <x:v>ยังไม่ตรวจ</x:v>
      </x:c>
      <x:c r="R317" s="27" t="str">
        <x:v>รอติดต่อ</x:v>
      </x:c>
    </x:row>
    <x:row r="318" ht="76" customHeight="1">
      <x:c r="A318" s="24" t="str">
        <x:v>TMF-310</x:v>
      </x:c>
      <x:c r="B318" s="20" t="str">
        <x:v>มัสยิดอันนูรอยน์ (บึงขวาง)</x:v>
      </x:c>
      <x:c r="C318" s="20" t="str">
        <x:v>กรุงเทพมหานคร</x:v>
      </x:c>
      <x:c r="D318" s="20" t="str">
        <x:v>คงไว้ในชุด 600</x:v>
      </x:c>
      <x:c r="E318" s="20" t="str">
        <x:v>พบหลายแหล่งสัมพันธ์กับชื่อ รอยืนยันการเปิด</x:v>
      </x:c>
      <x:c r="F318" s="20" t="str">
        <x:v>ยังไม่ยืนยันการเปิดให้บริการปัจจุบัน</x:v>
      </x:c>
      <x:c r="G318" s="26" t="n">
        <x:v>4</x:v>
      </x:c>
      <x:c r="H318" s="23" t="str"/>
      <x:c r="I318" s="23" t="str"/>
      <x:c r="J318" s="23" t="e">
        <x:f>HYPERLINK("https://th.trip.com/travel-guide/attraction/bangkok/an-nurayn-mosque-141399981","เปิดหน้ารีวิว 1")</x:f>
        <x:v>HYPERLINK is not implemented. linkLocation=https://th.trip.com/travel-guide/attraction/bangkok/an-nurayn-mosque-141399981, friendlyName=เปิดหน้ารีวิว 1</x:v>
      </x:c>
      <x:c r="K318" s="23" t="str"/>
      <x:c r="L318" s="23" t="e">
        <x:f>HYPERLINK("https://www.cicot.or.th/th/mosque/detail/384","เปิดเว็บเพิ่ม 1")</x:f>
        <x:v>HYPERLINK is not implemented. linkLocation=https://www.cicot.or.th/th/mosque/detail/384, friendlyName=เปิดเว็บเพิ่ม 1</x:v>
      </x:c>
      <x:c r="M318" s="23" t="e">
        <x:f>HYPERLINK("https://www.yellowpages.co.th/profile/%E0%B8%A1%E0%B8%B1%E0%B8%AA%E0%B8%A2%E0%B8%B4%E0%B8%94%E0%B8%AD%E0%B8%B1%E0%B8%99%E0%B8%99%E0%B8%B9%E0%B8%A3%E0%B8%AD%E0%B8%A2%E0%B8%99%E0%B9%8C-93jzGirxX","เปิดเว็บเพิ่ม 2")</x:f>
        <x:v>HYPERLINK is not implemented. linkLocation=https://www.yellowpages.co.th/profile/%E0%B8%A1%E0%B8%B1%E0%B8%AA%E0%B8%A2%E0%B8%B4%E0%B8%94%E0%B8%AD%E0%B8%B1%E0%B8%99%E0%B8%99%E0%B8%B9%E0%B8%A3%E0%B8%AD%E0%B8%A2%E0%B8%99%E0%B9%8C-93jzGirxX, friendlyName=เปิดเว็บเพิ่ม 2</x:v>
      </x:c>
      <x:c r="N318" s="20" t="str">
        <x:v>ยังไม่ยืนยัน</x:v>
      </x:c>
      <x:c r="O31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18" s="25" t="n">
        <x:v>46315</x:v>
      </x:c>
      <x:c r="Q318" s="27" t="str">
        <x:v>ยังไม่ตรวจ</x:v>
      </x:c>
      <x:c r="R318" s="27" t="str">
        <x:v>รอติดต่อ</x:v>
      </x:c>
    </x:row>
    <x:row r="319" ht="76" customHeight="1">
      <x:c r="A319" s="24" t="str">
        <x:v>TMF-311</x:v>
      </x:c>
      <x:c r="B319" s="20" t="str">
        <x:v>มัสยิดอัลมาดานี (มัซกัร)</x:v>
      </x:c>
      <x:c r="C319" s="20" t="str">
        <x:v>กรุงเทพมหานคร</x:v>
      </x:c>
      <x:c r="D319" s="20" t="str">
        <x:v>คงไว้ในชุด 600</x:v>
      </x:c>
      <x:c r="E319" s="20" t="str">
        <x:v>พบหลายแหล่งสัมพันธ์กับชื่อ รอยืนยันการเปิด</x:v>
      </x:c>
      <x:c r="F319" s="20" t="str">
        <x:v>ยังไม่ยืนยันการเปิดให้บริการปัจจุบัน</x:v>
      </x:c>
      <x:c r="G319" s="26" t="n">
        <x:v>3</x:v>
      </x:c>
      <x:c r="H319" s="23" t="str"/>
      <x:c r="I319" s="23" t="str"/>
      <x:c r="J319" s="23" t="str"/>
      <x:c r="K319" s="23" t="str"/>
      <x:c r="L319" s="23" t="e">
        <x:f>HYPERLINK("https://masjid.islamicbangkok.or.th/masjid/id/28103","เปิดเว็บเพิ่ม 1")</x:f>
        <x:v>HYPERLINK is not implemented. linkLocation=https://masjid.islamicbangkok.or.th/masjid/id/28103, friendlyName=เปิดเว็บเพิ่ม 1</x:v>
      </x:c>
      <x:c r="M319" s="23" t="e">
        <x:f>HYPERLINK("https://www.cicot.or.th/th/mosque/detail/404/2/%E0%B8%A1%E0%B8%B1%E0%B8%AA%E0%B8%A2%E0%B8%B4%E0%B8%94%E0%B8%AD%E0%B8%B1%E0%B8%A5%E0%B8%A1%E0%B8%B2%E0%B8%94%E0%B8%B2%E0%B8%99%E0%B8%B5-%E0%B8%A1%E0%B8%B1%E0%B8%8B%E0%B8%81%E0%B8%B1%E0%B8%A3","เปิดเว็บเพิ่ม 2")</x:f>
        <x:v>HYPERLINK is not implemented. linkLocation=https://www.cicot.or.th/th/mosque/detail/404/2/%E0%B8%A1%E0%B8%B1%E0%B8%AA%E0%B8%A2%E0%B8%B4%E0%B8%94%E0%B8%AD%E0%B8%B1%E0%B8%A5%E0%B8%A1%E0%B8%B2%E0%B8%94%E0%B8%B2%E0%B8%99%E0%B8%B5-%E0%B8%A1%E0%B8%B1%E0%B8%8B%E0%B8%81%E0%B8%B1%E0%B8%A3, friendlyName=เปิดเว็บเพิ่ม 2</x:v>
      </x:c>
      <x:c r="N319" s="20" t="str">
        <x:v>ยังไม่ยืนยัน</x:v>
      </x:c>
      <x:c r="O31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19" s="25" t="n">
        <x:v>46315</x:v>
      </x:c>
      <x:c r="Q319" s="27" t="str">
        <x:v>ยังไม่ตรวจ</x:v>
      </x:c>
      <x:c r="R319" s="27" t="str">
        <x:v>รอติดต่อ</x:v>
      </x:c>
    </x:row>
    <x:row r="320" ht="76" customHeight="1">
      <x:c r="A320" s="24" t="str">
        <x:v>TMF-312</x:v>
      </x:c>
      <x:c r="B320" s="20" t="str">
        <x:v>มัสยิดอัลยามิอะห์ (ลำอีรั้ว)</x:v>
      </x:c>
      <x:c r="C320" s="20" t="str">
        <x:v>กรุงเทพมหานคร</x:v>
      </x:c>
      <x:c r="D320" s="20" t="str">
        <x:v>คงไว้ในชุด 600</x:v>
      </x:c>
      <x:c r="E320" s="20" t="str">
        <x:v>พบหลายแหล่งสัมพันธ์กับชื่อ รอยืนยันการเปิด</x:v>
      </x:c>
      <x:c r="F320" s="20" t="str">
        <x:v>ยังไม่ยืนยันการเปิดให้บริการปัจจุบัน</x:v>
      </x:c>
      <x:c r="G320" s="26" t="n">
        <x:v>3</x:v>
      </x:c>
      <x:c r="H320" s="23" t="str"/>
      <x:c r="I320" s="23" t="str"/>
      <x:c r="J320" s="23" t="str"/>
      <x:c r="K320" s="23" t="str"/>
      <x:c r="L320" s="23" t="e">
        <x:f>HYPERLINK("https://masjid.islamicbangkok.or.th/masjid/id/10162","เปิดเว็บเพิ่ม 1")</x:f>
        <x:v>HYPERLINK is not implemented. linkLocation=https://masjid.islamicbangkok.or.th/masjid/id/10162, friendlyName=เปิดเว็บเพิ่ม 1</x:v>
      </x:c>
      <x:c r="M320" s="23" t="e">
        <x:f>HYPERLINK("https://www.cicot.or.th/th/mosque/detail/274/2/%E0%B8%A1%E0%B8%B1%E0%B8%AA%E0%B8%A2%E0%B8%B4%E0%B8%94%E0%B8%AD%E0%B8%B1%E0%B8%A5%E0%B8%A2%E0%B8%B2%E0%B8%A1%E0%B8%B4%E0%B8%AD%E0%B8%B0%E0%B8%AB%E0%B9%8C-%E0%B8%A5%E0%B8%B3%E0%B8%AD%E0%B8%B5%E0%B8%A3%E0%B8%B1%E0%B9%89%E0%B8%A7","เปิดเว็บเพิ่ม 2")</x:f>
        <x:v>HYPERLINK is not implemented. linkLocation=https://www.cicot.or.th/th/mosque/detail/274/2/%E0%B8%A1%E0%B8%B1%E0%B8%AA%E0%B8%A2%E0%B8%B4%E0%B8%94%E0%B8%AD%E0%B8%B1%E0%B8%A5%E0%B8%A2%E0%B8%B2%E0%B8%A1%E0%B8%B4%E0%B8%AD%E0%B8%B0%E0%B8%AB%E0%B9%8C-%E0%B8%A5%E0%B8%B3%E0%B8%AD%E0%B8%B5%E0%B8%A3%E0%B8%B1%E0%B9%89%E0%B8%A7, friendlyName=เปิดเว็บเพิ่ม 2</x:v>
      </x:c>
      <x:c r="N320" s="20" t="str">
        <x:v>ยังไม่ยืนยัน</x:v>
      </x:c>
      <x:c r="O320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20" s="25" t="n">
        <x:v>46315</x:v>
      </x:c>
      <x:c r="Q320" s="27" t="str">
        <x:v>ยังไม่ตรวจ</x:v>
      </x:c>
      <x:c r="R320" s="27" t="str">
        <x:v>รอติดต่อ</x:v>
      </x:c>
    </x:row>
    <x:row r="321" ht="76" customHeight="1">
      <x:c r="A321" s="24" t="str">
        <x:v>TMF-313</x:v>
      </x:c>
      <x:c r="B321" s="20" t="str">
        <x:v>มัสยิดอัลอะติ๊ก (สุเหร่าเก่า)</x:v>
      </x:c>
      <x:c r="C321" s="20" t="str">
        <x:v>กรุงเทพมหานคร</x:v>
      </x:c>
      <x:c r="D321" s="20" t="str">
        <x:v>คงไว้ในชุด 600</x:v>
      </x:c>
      <x:c r="E321" s="20" t="str">
        <x:v>พบหลายแหล่งสัมพันธ์กับชื่อ รอยืนยันการเปิด</x:v>
      </x:c>
      <x:c r="F321" s="20" t="str">
        <x:v>ยังไม่ยืนยันการเปิดให้บริการปัจจุบัน</x:v>
      </x:c>
      <x:c r="G321" s="26" t="n">
        <x:v>2</x:v>
      </x:c>
      <x:c r="H321" s="23" t="e">
        <x:f>HYPERLINK("https://www.facebook.com/alatiq.masjid","เปิดช่องทาง 1")</x:f>
        <x:v>HYPERLINK is not implemented. linkLocation=https://www.facebook.com/alatiq.masjid, friendlyName=เปิดช่องทาง 1</x:v>
      </x:c>
      <x:c r="I321" s="23" t="str"/>
      <x:c r="J321" s="23" t="str"/>
      <x:c r="K321" s="23" t="str"/>
      <x:c r="L321" s="23" t="e">
        <x:f>HYPERLINK("https://masjid.islamicbangkok.or.th/masjid/id/31008","เปิดเว็บเพิ่ม 1")</x:f>
        <x:v>HYPERLINK is not implemented. linkLocation=https://masjid.islamicbangkok.or.th/masjid/id/31008, friendlyName=เปิดเว็บเพิ่ม 1</x:v>
      </x:c>
      <x:c r="M321" s="23" t="e">
        <x:f>HYPERLINK("https://masjid.islamicbangkok.or.th/masjid/committee/272/1183/2","เปิดเว็บเพิ่ม 2")</x:f>
        <x:v>HYPERLINK is not implemented. linkLocation=https://masjid.islamicbangkok.or.th/masjid/committee/272/1183/2, friendlyName=เปิดเว็บเพิ่ม 2</x:v>
      </x:c>
      <x:c r="N321" s="20" t="str">
        <x:v>ยังไม่ยืนยัน</x:v>
      </x:c>
      <x:c r="O321" s="20" t="str">
        <x:v>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21" s="25" t="n">
        <x:v>46315</x:v>
      </x:c>
      <x:c r="Q321" s="27" t="str">
        <x:v>ยังไม่ตรวจ</x:v>
      </x:c>
      <x:c r="R321" s="27" t="str">
        <x:v>รอติดต่อ</x:v>
      </x:c>
    </x:row>
    <x:row r="322" ht="76" customHeight="1">
      <x:c r="A322" s="24" t="str">
        <x:v>TMF-314</x:v>
      </x:c>
      <x:c r="B322" s="20" t="str">
        <x:v>มัสยิดอัลฮุดา</x:v>
      </x:c>
      <x:c r="C322" s="20" t="str">
        <x:v>กรุงเทพมหานคร</x:v>
      </x:c>
      <x:c r="D322" s="20" t="str">
        <x:v>คงไว้ในชุด 600</x:v>
      </x:c>
      <x:c r="E322" s="20" t="str">
        <x:v>พบหลายแหล่งสัมพันธ์กับชื่อ รอยืนยันการเปิด</x:v>
      </x:c>
      <x:c r="F322" s="20" t="str">
        <x:v>ยังไม่ยืนยันการเปิดให้บริการปัจจุบัน</x:v>
      </x:c>
      <x:c r="G322" s="26" t="n">
        <x:v>3</x:v>
      </x:c>
      <x:c r="H322" s="23" t="str"/>
      <x:c r="I322" s="23" t="str"/>
      <x:c r="J322" s="23" t="e">
        <x:f>HYPERLINK("https://th.trip.com/travel-guide/attraction/bangkok/al-huda-mosque-144755946","เปิดหน้ารีวิว 1")</x:f>
        <x:v>HYPERLINK is not implemented. linkLocation=https://th.trip.com/travel-guide/attraction/bangkok/al-huda-mosque-144755946, friendlyName=เปิดหน้ารีวิว 1</x:v>
      </x:c>
      <x:c r="K322" s="23" t="e">
        <x:f>HYPERLINK("https://th.trip.com/travel-guide/attraction/bangkok/city-141511391/","เปิดหน้ารีวิว 2")</x:f>
        <x:v>HYPERLINK is not implemented. linkLocation=https://th.trip.com/travel-guide/attraction/bangkok/city-141511391/, friendlyName=เปิดหน้ารีวิว 2</x:v>
      </x:c>
      <x:c r="L322" s="23" t="e">
        <x:f>HYPERLINK("https://masjid.islamicbangkok.or.th/masjid/id/16546","เปิดเว็บเพิ่ม 1")</x:f>
        <x:v>HYPERLINK is not implemented. linkLocation=https://masjid.islamicbangkok.or.th/masjid/id/16546, friendlyName=เปิดเว็บเพิ่ม 1</x:v>
      </x:c>
      <x:c r="M322" s="23" t="e">
        <x:f>HYPERLINK("https://masjid.islamicbangkok.or.th/masjid/id/10666","เปิดเว็บเพิ่ม 2")</x:f>
        <x:v>HYPERLINK is not implemented. linkLocation=https://masjid.islamicbangkok.or.th/masjid/id/10666, friendlyName=เปิดเว็บเพิ่ม 2</x:v>
      </x:c>
      <x:c r="N322" s="20" t="str">
        <x:v>ยังไม่ยืนยัน</x:v>
      </x:c>
      <x:c r="O32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22" s="25" t="n">
        <x:v>46315</x:v>
      </x:c>
      <x:c r="Q322" s="27" t="str">
        <x:v>ยังไม่ตรวจ</x:v>
      </x:c>
      <x:c r="R322" s="27" t="str">
        <x:v>รอติดต่อ</x:v>
      </x:c>
    </x:row>
    <x:row r="323" ht="76" customHeight="1">
      <x:c r="A323" s="24" t="str">
        <x:v>TMF-315</x:v>
      </x:c>
      <x:c r="B323" s="20" t="str">
        <x:v>มัสยิดอัลฮุสนา เจียรดับ</x:v>
      </x:c>
      <x:c r="C323" s="20" t="str">
        <x:v>กรุงเทพมหานคร</x:v>
      </x:c>
      <x:c r="D323" s="20" t="str">
        <x:v>คงไว้ในชุด 600</x:v>
      </x:c>
      <x:c r="E323" s="20" t="str">
        <x:v>พบหลายแหล่งสัมพันธ์กับชื่อ รอยืนยันการเปิด</x:v>
      </x:c>
      <x:c r="F323" s="20" t="str">
        <x:v>ยังไม่ยืนยันการเปิดให้บริการปัจจุบัน</x:v>
      </x:c>
      <x:c r="G323" s="26" t="n">
        <x:v>3</x:v>
      </x:c>
      <x:c r="H323" s="23" t="str"/>
      <x:c r="I323" s="23" t="str"/>
      <x:c r="J323" s="23" t="e">
        <x:f>HYPERLINK("https://au.trip.com/travel-guide/attraction/bangkok/masjid-al-husna-141315442?poiType=3","เปิดหน้ารีวิว 1")</x:f>
        <x:v>HYPERLINK is not implemented. linkLocation=https://au.trip.com/travel-guide/attraction/bangkok/masjid-al-husna-141315442?poiType=3, friendlyName=เปิดหน้ารีวิว 1</x:v>
      </x:c>
      <x:c r="K323" s="23" t="str"/>
      <x:c r="L323" s="23" t="e">
        <x:f>HYPERLINK("https://masjid.islamicbangkok.or.th/masjid/id/25327","เปิดเว็บเพิ่ม 1")</x:f>
        <x:v>HYPERLINK is not implemented. linkLocation=https://masjid.islamicbangkok.or.th/masjid/id/25327, friendlyName=เปิดเว็บเพิ่ม 1</x:v>
      </x:c>
      <x:c r="M323" s="23" t="str"/>
      <x:c r="N323" s="20" t="str">
        <x:v>ยังไม่ยืนยัน</x:v>
      </x:c>
      <x:c r="O32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23" s="25" t="n">
        <x:v>46315</x:v>
      </x:c>
      <x:c r="Q323" s="27" t="str">
        <x:v>ยังไม่ตรวจ</x:v>
      </x:c>
      <x:c r="R323" s="27" t="str">
        <x:v>รอติดต่อ</x:v>
      </x:c>
    </x:row>
    <x:row r="324" ht="76" customHeight="1">
      <x:c r="A324" s="24" t="str">
        <x:v>TMF-316</x:v>
      </x:c>
      <x:c r="B324" s="20" t="str">
        <x:v>มัสยิดอัลเอียะซาน (ลำเจดีย์)</x:v>
      </x:c>
      <x:c r="C324" s="20" t="str">
        <x:v>กรุงเทพมหานคร</x:v>
      </x:c>
      <x:c r="D324" s="20" t="str">
        <x:v>คงไว้ในชุด 600</x:v>
      </x:c>
      <x:c r="E324" s="20" t="str">
        <x:v>พบหลายแหล่งสัมพันธ์กับชื่อ รอยืนยันการเปิด</x:v>
      </x:c>
      <x:c r="F324" s="20" t="str">
        <x:v>ยังไม่ยืนยันการเปิดให้บริการปัจจุบัน</x:v>
      </x:c>
      <x:c r="G324" s="26" t="n">
        <x:v>3</x:v>
      </x:c>
      <x:c r="H324" s="23" t="str"/>
      <x:c r="I324" s="23" t="str"/>
      <x:c r="J324" s="23" t="str"/>
      <x:c r="K324" s="23" t="str"/>
      <x:c r="L324" s="23" t="e">
        <x:f>HYPERLINK("https://masjid.islamicbangkok.or.th/masjid/id/75220","เปิดเว็บเพิ่ม 1")</x:f>
        <x:v>HYPERLINK is not implemented. linkLocation=https://masjid.islamicbangkok.or.th/masjid/id/75220, friendlyName=เปิดเว็บเพิ่ม 1</x:v>
      </x:c>
      <x:c r="M324" s="23" t="e">
        <x:f>HYPERLINK("https://www.cicot.or.th/th/mosque/detail/306/2/%E0%B8%A1%E0%B8%B1%E0%B8%AA%E0%B8%A2%E0%B8%B4%E0%B8%94%E0%B8%AD%E0%B8%B1%E0%B8%A5%E0%B9%80%E0%B8%AD%E0%B8%B5%E0%B8%A2%E0%B8%B0%E0%B8%8B%E0%B8%B2%E0%B8%99-%E0%B8%A5%E0%B8%B3%E0%B9%80%E0%B8%88%E0%B8%94%E0%B8%B5%E0%B8%A2%E0%B9%8C","เปิดเว็บเพิ่ม 2")</x:f>
        <x:v>HYPERLINK is not implemented. linkLocation=https://www.cicot.or.th/th/mosque/detail/306/2/%E0%B8%A1%E0%B8%B1%E0%B8%AA%E0%B8%A2%E0%B8%B4%E0%B8%94%E0%B8%AD%E0%B8%B1%E0%B8%A5%E0%B9%80%E0%B8%AD%E0%B8%B5%E0%B8%A2%E0%B8%B0%E0%B8%8B%E0%B8%B2%E0%B8%99-%E0%B8%A5%E0%B8%B3%E0%B9%80%E0%B8%88%E0%B8%94%E0%B8%B5%E0%B8%A2%E0%B9%8C, friendlyName=เปิดเว็บเพิ่ม 2</x:v>
      </x:c>
      <x:c r="N324" s="20" t="str">
        <x:v>ยังไม่ยืนยัน</x:v>
      </x:c>
      <x:c r="O324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24" s="25" t="n">
        <x:v>46315</x:v>
      </x:c>
      <x:c r="Q324" s="27" t="str">
        <x:v>ยังไม่ตรวจ</x:v>
      </x:c>
      <x:c r="R324" s="27" t="str">
        <x:v>รอติดต่อ</x:v>
      </x:c>
    </x:row>
    <x:row r="325" ht="96" customHeight="1">
      <x:c r="A325" s="24" t="str">
        <x:v>TMF-317</x:v>
      </x:c>
      <x:c r="B325" s="20" t="str">
        <x:v>มัสยิดอัลเอี้ยะซาน ศาลาคู้</x:v>
      </x:c>
      <x:c r="C325" s="20" t="str">
        <x:v>กรุงเทพมหานคร</x:v>
      </x:c>
      <x:c r="D325" s="20" t="str">
        <x:v>สำรองเพื่อจัดลำดับให้ทะเบียน GMHI</x:v>
      </x:c>
      <x:c r="E325" s="20" t="str">
        <x:v>หลักฐานไม่พอ รอยืนยันการเปิด</x:v>
      </x:c>
      <x:c r="F325" s="20" t="str">
        <x:v>ยังไม่ยืนยันการเปิดให้บริการปัจจุบัน</x:v>
      </x:c>
      <x:c r="G325" s="26" t="n">
        <x:v>1</x:v>
      </x:c>
      <x:c r="H325" s="23" t="str"/>
      <x:c r="I325" s="23" t="str"/>
      <x:c r="J325" s="23" t="str"/>
      <x:c r="K325" s="23" t="str"/>
      <x:c r="L325" s="23" t="str"/>
      <x:c r="M325" s="23" t="str"/>
      <x:c r="N325" s="20" t="str">
        <x:v>ยังไม่ยืนยัน</x:v>
      </x:c>
      <x:c r="O32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25" s="25" t="n">
        <x:v>46315</x:v>
      </x:c>
      <x:c r="Q325" s="27" t="str">
        <x:v>ยังไม่ตรวจ</x:v>
      </x:c>
      <x:c r="R325" s="27" t="str">
        <x:v>รอติดต่อ</x:v>
      </x:c>
    </x:row>
    <x:row r="326" ht="76" customHeight="1">
      <x:c r="A326" s="24" t="str">
        <x:v>TMF-318</x:v>
      </x:c>
      <x:c r="B326" s="20" t="str">
        <x:v>มัสยิดอัสสลาม (คลองกุ่ม)</x:v>
      </x:c>
      <x:c r="C326" s="20" t="str">
        <x:v>กรุงเทพมหานคร</x:v>
      </x:c>
      <x:c r="D326" s="20" t="str">
        <x:v>คงไว้ในชุด 600</x:v>
      </x:c>
      <x:c r="E326" s="20" t="str">
        <x:v>พบหลายแหล่งสัมพันธ์กับชื่อ รอยืนยันการเปิด</x:v>
      </x:c>
      <x:c r="F326" s="20" t="str">
        <x:v>ยังไม่ยืนยันการเปิดให้บริการปัจจุบัน</x:v>
      </x:c>
      <x:c r="G326" s="26" t="n">
        <x:v>2</x:v>
      </x:c>
      <x:c r="H326" s="23" t="str"/>
      <x:c r="I326" s="23" t="str"/>
      <x:c r="J326" s="23" t="str"/>
      <x:c r="K326" s="23" t="str"/>
      <x:c r="L326" s="23" t="e">
        <x:f>HYPERLINK("https://masjid.islamicbangkok.or.th/masjid/id/18594","เปิดเว็บเพิ่ม 1")</x:f>
        <x:v>HYPERLINK is not implemented. linkLocation=https://masjid.islamicbangkok.or.th/masjid/id/18594, friendlyName=เปิดเว็บเพิ่ม 1</x:v>
      </x:c>
      <x:c r="M326" s="23" t="str"/>
      <x:c r="N326" s="20" t="str">
        <x:v>ยังไม่ยืนยัน</x:v>
      </x:c>
      <x:c r="O326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26" s="25" t="n">
        <x:v>46315</x:v>
      </x:c>
      <x:c r="Q326" s="27" t="str">
        <x:v>ยังไม่ตรวจ</x:v>
      </x:c>
      <x:c r="R326" s="27" t="str">
        <x:v>รอติดต่อ</x:v>
      </x:c>
    </x:row>
    <x:row r="327" ht="76" customHeight="1">
      <x:c r="A327" s="24" t="str">
        <x:v>TMF-319</x:v>
      </x:c>
      <x:c r="B327" s="20" t="str">
        <x:v>มัสยิดอิควานุ้ลมุตตะกีน (เกาะขุนเณร)</x:v>
      </x:c>
      <x:c r="C327" s="20" t="str">
        <x:v>กรุงเทพมหานคร</x:v>
      </x:c>
      <x:c r="D327" s="20" t="str">
        <x:v>คงไว้ในชุด 600</x:v>
      </x:c>
      <x:c r="E327" s="20" t="str">
        <x:v>พบหลายแหล่งสัมพันธ์กับชื่อ รอยืนยันการเปิด</x:v>
      </x:c>
      <x:c r="F327" s="20" t="str">
        <x:v>ยังไม่ยืนยันการเปิดให้บริการปัจจุบัน</x:v>
      </x:c>
      <x:c r="G327" s="26" t="n">
        <x:v>2</x:v>
      </x:c>
      <x:c r="H327" s="23" t="str"/>
      <x:c r="I327" s="23" t="str"/>
      <x:c r="J327" s="23" t="str"/>
      <x:c r="K327" s="23" t="str"/>
      <x:c r="L327" s="23" t="e">
        <x:f>HYPERLINK("https://masjid.islamicbangkok.or.th/masjid/id/29286","เปิดเว็บเพิ่ม 1")</x:f>
        <x:v>HYPERLINK is not implemented. linkLocation=https://masjid.islamicbangkok.or.th/masjid/id/29286, friendlyName=เปิดเว็บเพิ่ม 1</x:v>
      </x:c>
      <x:c r="M327" s="23" t="str"/>
      <x:c r="N327" s="20" t="str">
        <x:v>ยังไม่ยืนยัน</x:v>
      </x:c>
      <x:c r="O327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27" s="25" t="n">
        <x:v>46315</x:v>
      </x:c>
      <x:c r="Q327" s="27" t="str">
        <x:v>ยังไม่ตรวจ</x:v>
      </x:c>
      <x:c r="R327" s="27" t="str">
        <x:v>รอติดต่อ</x:v>
      </x:c>
    </x:row>
    <x:row r="328" ht="76" customHeight="1">
      <x:c r="A328" s="24" t="str">
        <x:v>TMF-320</x:v>
      </x:c>
      <x:c r="B328" s="20" t="str">
        <x:v>มัสยิดอิดด์ฮาดร์อูลูมุดดีน</x:v>
      </x:c>
      <x:c r="C328" s="20" t="str">
        <x:v>กรุงเทพมหานคร</x:v>
      </x:c>
      <x:c r="D328" s="20" t="str">
        <x:v>คงไว้ในชุด 600</x:v>
      </x:c>
      <x:c r="E328" s="20" t="str">
        <x:v>พบหลายแหล่งสัมพันธ์กับชื่อ รอยืนยันการเปิด</x:v>
      </x:c>
      <x:c r="F328" s="20" t="str">
        <x:v>ยังไม่ยืนยันการเปิดให้บริการปัจจุบัน</x:v>
      </x:c>
      <x:c r="G328" s="26" t="n">
        <x:v>4</x:v>
      </x:c>
      <x:c r="H328" s="23" t="str"/>
      <x:c r="I328" s="23" t="str"/>
      <x:c r="J328" s="23" t="e">
        <x:f>HYPERLINK("https://th.trip.com/travel-guide/attraction/bangkok/izhar-ulumuddin-mosque-141676410","เปิดหน้ารีวิว 1")</x:f>
        <x:v>HYPERLINK is not implemented. linkLocation=https://th.trip.com/travel-guide/attraction/bangkok/izhar-ulumuddin-mosque-141676410, friendlyName=เปิดหน้ารีวิว 1</x:v>
      </x:c>
      <x:c r="K328" s="23" t="e">
        <x:f>HYPERLINK("https://au.trip.com/travel-guide/attraction/bangkok/izhar-ulumuddin-mosque-141676410/","เปิดหน้ารีวิว 2")</x:f>
        <x:v>HYPERLINK is not implemented. linkLocation=https://au.trip.com/travel-guide/attraction/bangkok/izhar-ulumuddin-mosque-141676410/, friendlyName=เปิดหน้ารีวิว 2</x:v>
      </x:c>
      <x:c r="L328" s="23" t="e">
        <x:f>HYPERLINK("https://masjid.islamicbangkok.or.th/masjid/id/14804","เปิดเว็บเพิ่ม 1")</x:f>
        <x:v>HYPERLINK is not implemented. linkLocation=https://masjid.islamicbangkok.or.th/masjid/id/14804, friendlyName=เปิดเว็บเพิ่ม 1</x:v>
      </x:c>
      <x:c r="M328" s="23" t="e">
        <x:f>HYPERLINK("https://www.cicot.or.th/th/mosque/detail/249/2/%E0%B8%A1%E0%B8%B1%E0%B8%AA%E0%B8%A2%E0%B8%B4%E0%B8%94%E0%B8%AD%E0%B8%B4%E0%B8%94%E0%B8%AE%E0%B8%B2%E0%B8%94%E0%B8%A3%E0%B9%8C%E0%B8%AD%E0%B8%B9%E0%B8%A5%E0%B8%B9%E0%B8%A1%E0%B8%B8%E0%B8%94%E0%B8%94%E0%B8%B5%E0%B8%99-%E0%B9%81%E0%B8%AA%E0%B8%99%E0%B9%81%E0%B8%AA%E0%B8%9A%E0%B8%9D%E0%B8%B1%E0%B9%88%E0%B8%87%E0%B9%83%E0%B8%95%E0%B9%89","เปิดเว็บเพิ่ม 2")</x:f>
        <x:v>HYPERLINK is not implemented. linkLocation=https://www.cicot.or.th/th/mosque/detail/249/2/%E0%B8%A1%E0%B8%B1%E0%B8%AA%E0%B8%A2%E0%B8%B4%E0%B8%94%E0%B8%AD%E0%B8%B4%E0%B8%94%E0%B8%AE%E0%B8%B2%E0%B8%94%E0%B8%A3%E0%B9%8C%E0%B8%AD%E0%B8%B9%E0%B8%A5%E0%B8%B9%E0%B8%A1%E0%B8%B8%E0%B8%94%E0%B8%94%E0%B8%B5%E0%B8%99-%E0%B9%81%E0%B8%AA%E0%B8%99%E0%B9%81%E0%B8%AA%E0%B8%9A%E0%B8%9D%E0%B8%B1%E0%B9%88%E0%B8%87%E0%B9%83%E0%B8%95%E0%B9%89, friendlyName=เปิดเว็บเพิ่ม 2</x:v>
      </x:c>
      <x:c r="N328" s="20" t="str">
        <x:v>ยังไม่ยืนยัน</x:v>
      </x:c>
      <x:c r="O32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28" s="25" t="n">
        <x:v>46315</x:v>
      </x:c>
      <x:c r="Q328" s="27" t="str">
        <x:v>ยังไม่ตรวจ</x:v>
      </x:c>
      <x:c r="R328" s="27" t="str">
        <x:v>รอติดต่อ</x:v>
      </x:c>
    </x:row>
    <x:row r="329" ht="76" customHeight="1">
      <x:c r="A329" s="24" t="str">
        <x:v>TMF-321</x:v>
      </x:c>
      <x:c r="B329" s="20" t="str">
        <x:v>มัสยิดอิบรอฮีม (บึงเตย)</x:v>
      </x:c>
      <x:c r="C329" s="20" t="str">
        <x:v>กรุงเทพมหานคร</x:v>
      </x:c>
      <x:c r="D329" s="20" t="str">
        <x:v>คงไว้ในชุด 600</x:v>
      </x:c>
      <x:c r="E329" s="20" t="str">
        <x:v>พบหลายแหล่งสัมพันธ์กับชื่อ รอยืนยันการเปิด</x:v>
      </x:c>
      <x:c r="F329" s="20" t="str">
        <x:v>ยังไม่ยืนยันการเปิดให้บริการปัจจุบัน</x:v>
      </x:c>
      <x:c r="G329" s="26" t="n">
        <x:v>2</x:v>
      </x:c>
      <x:c r="H329" s="23" t="str"/>
      <x:c r="I329" s="23" t="str"/>
      <x:c r="J329" s="23" t="str"/>
      <x:c r="K329" s="23" t="str"/>
      <x:c r="L329" s="23" t="e">
        <x:f>HYPERLINK("https://www.cicot.or.th/th/mosque/detail/399/2/%E0%B8%A1%E0%B8%B1%E0%B8%AA%E0%B8%A2%E0%B8%B4%E0%B8%94%E0%B8%AD%E0%B8%B4%E0%B8%9A%E0%B8%A3%E0%B8%AD%E0%B8%AE%E0%B8%B5%E0%B8%A1-%E0%B8%9A%E0%B8%B6%E0%B8%87%E0%B9%80%E0%B8%95%E0%B8%A2","เปิดเว็บเพิ่ม 1")</x:f>
        <x:v>HYPERLINK is not implemented. linkLocation=https://www.cicot.or.th/th/mosque/detail/399/2/%E0%B8%A1%E0%B8%B1%E0%B8%AA%E0%B8%A2%E0%B8%B4%E0%B8%94%E0%B8%AD%E0%B8%B4%E0%B8%9A%E0%B8%A3%E0%B8%AD%E0%B8%AE%E0%B8%B5%E0%B8%A1-%E0%B8%9A%E0%B8%B6%E0%B8%87%E0%B9%80%E0%B8%95%E0%B8%A2, friendlyName=เปิดเว็บเพิ่ม 1</x:v>
      </x:c>
      <x:c r="M329" s="23" t="e">
        <x:f>HYPERLINK("https://www.cicot.or.th/th/mosque/lists/215","เปิดเว็บเพิ่ม 2")</x:f>
        <x:v>HYPERLINK is not implemented. linkLocation=https://www.cicot.or.th/th/mosque/lists/215, friendlyName=เปิดเว็บเพิ่ม 2</x:v>
      </x:c>
      <x:c r="N329" s="20" t="str">
        <x:v>ยังไม่ยืนยัน</x:v>
      </x:c>
      <x:c r="O32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29" s="25" t="n">
        <x:v>46315</x:v>
      </x:c>
      <x:c r="Q329" s="27" t="str">
        <x:v>ยังไม่ตรวจ</x:v>
      </x:c>
      <x:c r="R329" s="27" t="str">
        <x:v>รอติดต่อ</x:v>
      </x:c>
    </x:row>
    <x:row r="330" ht="76" customHeight="1">
      <x:c r="A330" s="24" t="str">
        <x:v>TMF-322</x:v>
      </x:c>
      <x:c r="B330" s="20" t="str">
        <x:v>มัสยิดฮาซานุดดีน (ศาลาแดง)</x:v>
      </x:c>
      <x:c r="C330" s="20" t="str">
        <x:v>กรุงเทพมหานคร</x:v>
      </x:c>
      <x:c r="D330" s="20" t="str">
        <x:v>คงไว้ในชุด 600</x:v>
      </x:c>
      <x:c r="E330" s="20" t="str">
        <x:v>พบหลายแหล่งสัมพันธ์กับชื่อ รอยืนยันการเปิด</x:v>
      </x:c>
      <x:c r="F330" s="20" t="str">
        <x:v>ยังไม่ยืนยันการเปิดให้บริการปัจจุบัน</x:v>
      </x:c>
      <x:c r="G330" s="26" t="n">
        <x:v>2</x:v>
      </x:c>
      <x:c r="H330" s="23" t="str"/>
      <x:c r="I330" s="23" t="str"/>
      <x:c r="J330" s="23" t="str"/>
      <x:c r="K330" s="23" t="str"/>
      <x:c r="L330" s="23" t="e">
        <x:f>HYPERLINK("https://masjid.islamicbangkok.or.th/masjid/id/23076","เปิดเว็บเพิ่ม 1")</x:f>
        <x:v>HYPERLINK is not implemented. linkLocation=https://masjid.islamicbangkok.or.th/masjid/id/23076, friendlyName=เปิดเว็บเพิ่ม 1</x:v>
      </x:c>
      <x:c r="M330" s="23" t="str"/>
      <x:c r="N330" s="20" t="str">
        <x:v>ยังไม่ยืนยัน</x:v>
      </x:c>
      <x:c r="O330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30" s="25" t="n">
        <x:v>46315</x:v>
      </x:c>
      <x:c r="Q330" s="27" t="str">
        <x:v>ยังไม่ตรวจ</x:v>
      </x:c>
      <x:c r="R330" s="27" t="str">
        <x:v>รอติดต่อ</x:v>
      </x:c>
    </x:row>
    <x:row r="331" ht="76" customHeight="1">
      <x:c r="A331" s="24" t="str">
        <x:v>TMF-323</x:v>
      </x:c>
      <x:c r="B331" s="20" t="str">
        <x:v>มัสยิดฮารูณ (เจริญกรุง)</x:v>
      </x:c>
      <x:c r="C331" s="20" t="str">
        <x:v>กรุงเทพมหานคร</x:v>
      </x:c>
      <x:c r="D331" s="20" t="str">
        <x:v>คงไว้ในชุด 600</x:v>
      </x:c>
      <x:c r="E331" s="20" t="str">
        <x:v>พบหลายแหล่งสัมพันธ์กับชื่อ รอยืนยันการเปิด</x:v>
      </x:c>
      <x:c r="F331" s="20" t="str">
        <x:v>ยังไม่ยืนยันการเปิดให้บริการปัจจุบัน</x:v>
      </x:c>
      <x:c r="G331" s="26" t="n">
        <x:v>2</x:v>
      </x:c>
      <x:c r="H331" s="23" t="str"/>
      <x:c r="I331" s="23" t="str"/>
      <x:c r="J331" s="23" t="str"/>
      <x:c r="K331" s="23" t="str"/>
      <x:c r="L331" s="23" t="e">
        <x:f>HYPERLINK("https://masjid.islamicbangkok.or.th/masjid/id/10129","เปิดเว็บเพิ่ม 1")</x:f>
        <x:v>HYPERLINK is not implemented. linkLocation=https://masjid.islamicbangkok.or.th/masjid/id/10129, friendlyName=เปิดเว็บเพิ่ม 1</x:v>
      </x:c>
      <x:c r="M331" s="23" t="str"/>
      <x:c r="N331" s="20" t="str">
        <x:v>ยังไม่ยืนยัน</x:v>
      </x:c>
      <x:c r="O331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31" s="25" t="n">
        <x:v>46315</x:v>
      </x:c>
      <x:c r="Q331" s="27" t="str">
        <x:v>ยังไม่ตรวจ</x:v>
      </x:c>
      <x:c r="R331" s="27" t="str">
        <x:v>รอติดต่อ</x:v>
      </x:c>
    </x:row>
    <x:row r="332" ht="96" customHeight="1">
      <x:c r="A332" s="24" t="str">
        <x:v>TMF-324</x:v>
      </x:c>
      <x:c r="B332" s="20" t="str">
        <x:v>มัสยิดฮีดาย่าตุลอิสลามียะฮ์ (แสนแสบ)</x:v>
      </x:c>
      <x:c r="C332" s="20" t="str">
        <x:v>กรุงเทพมหานคร</x:v>
      </x:c>
      <x:c r="D332" s="20" t="str">
        <x:v>สำรองเพื่อจัดลำดับให้ทะเบียน GMHI</x:v>
      </x:c>
      <x:c r="E332" s="20" t="str">
        <x:v>หลักฐานไม่พอ รอยืนยันการเปิด</x:v>
      </x:c>
      <x:c r="F332" s="20" t="str">
        <x:v>ยังไม่ยืนยันการเปิดให้บริการปัจจุบัน</x:v>
      </x:c>
      <x:c r="G332" s="26" t="n">
        <x:v>1</x:v>
      </x:c>
      <x:c r="H332" s="23" t="str"/>
      <x:c r="I332" s="23" t="str"/>
      <x:c r="J332" s="23" t="str"/>
      <x:c r="K332" s="23" t="str"/>
      <x:c r="L332" s="23" t="str"/>
      <x:c r="M332" s="23" t="str"/>
      <x:c r="N332" s="20" t="str">
        <x:v>ยังไม่ยืนยัน</x:v>
      </x:c>
      <x:c r="O33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32" s="25" t="n">
        <x:v>46315</x:v>
      </x:c>
      <x:c r="Q332" s="27" t="str">
        <x:v>ยังไม่ตรวจ</x:v>
      </x:c>
      <x:c r="R332" s="27" t="str">
        <x:v>รอติดต่อ</x:v>
      </x:c>
    </x:row>
    <x:row r="333" ht="76" customHeight="1">
      <x:c r="A333" s="24" t="str">
        <x:v>TMF-325</x:v>
      </x:c>
      <x:c r="B333" s="20" t="str">
        <x:v>มัสยิดเราะห์มาตุ้ลอิสลามียะห์ (บ้านเกาะ)</x:v>
      </x:c>
      <x:c r="C333" s="20" t="str">
        <x:v>กรุงเทพมหานคร</x:v>
      </x:c>
      <x:c r="D333" s="20" t="str">
        <x:v>คงไว้ในชุด 600</x:v>
      </x:c>
      <x:c r="E333" s="20" t="str">
        <x:v>พบหลายแหล่งสัมพันธ์กับชื่อ รอยืนยันการเปิด</x:v>
      </x:c>
      <x:c r="F333" s="20" t="str">
        <x:v>ยังไม่ยืนยันการเปิดให้บริการปัจจุบัน</x:v>
      </x:c>
      <x:c r="G333" s="26" t="n">
        <x:v>4</x:v>
      </x:c>
      <x:c r="H333" s="23" t="str"/>
      <x:c r="I333" s="23" t="str"/>
      <x:c r="J333" s="23" t="str"/>
      <x:c r="K333" s="23" t="str"/>
      <x:c r="L333" s="23" t="e">
        <x:f>HYPERLINK("https://masjid.islamicbangkok.or.th/masjid/id/40512","เปิดเว็บเพิ่ม 1")</x:f>
        <x:v>HYPERLINK is not implemented. linkLocation=https://masjid.islamicbangkok.or.th/masjid/id/40512, friendlyName=เปิดเว็บเพิ่ม 1</x:v>
      </x:c>
      <x:c r="M333" s="23" t="e">
        <x:f>HYPERLINK("https://www.cicot.or.th/th/mosque/detail/253/2","เปิดเว็บเพิ่ม 2")</x:f>
        <x:v>HYPERLINK is not implemented. linkLocation=https://www.cicot.or.th/th/mosque/detail/253/2, friendlyName=เปิดเว็บเพิ่ม 2</x:v>
      </x:c>
      <x:c r="N333" s="20" t="str">
        <x:v>ยังไม่ยืนยัน</x:v>
      </x:c>
      <x:c r="O333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33" s="25" t="n">
        <x:v>46315</x:v>
      </x:c>
      <x:c r="Q333" s="27" t="str">
        <x:v>ยังไม่ตรวจ</x:v>
      </x:c>
      <x:c r="R333" s="27" t="str">
        <x:v>รอติดต่อ</x:v>
      </x:c>
    </x:row>
    <x:row r="334" ht="96" customHeight="1">
      <x:c r="A334" s="24" t="str">
        <x:v>TMF-326</x:v>
      </x:c>
      <x:c r="B334" s="20" t="str">
        <x:v>มัสยิด สมเด็จ อัลฮายาต จ.กาฬสินธุ์</x:v>
      </x:c>
      <x:c r="C334" s="20" t="str">
        <x:v>กาฬสินธุ์</x:v>
      </x:c>
      <x:c r="D334" s="20" t="str">
        <x:v>คงไว้ในชุด 600</x:v>
      </x:c>
      <x:c r="E334" s="20" t="str">
        <x:v>หลักฐานไม่พอ รอยืนยันการเปิด</x:v>
      </x:c>
      <x:c r="F334" s="20" t="str">
        <x:v>ยังไม่ยืนยันการเปิดให้บริการปัจจุบัน</x:v>
      </x:c>
      <x:c r="G334" s="26" t="n">
        <x:v>1</x:v>
      </x:c>
      <x:c r="H334" s="23" t="str"/>
      <x:c r="I334" s="23" t="str"/>
      <x:c r="J334" s="23" t="str"/>
      <x:c r="K334" s="23" t="str"/>
      <x:c r="L334" s="23" t="str"/>
      <x:c r="M334" s="23" t="str"/>
      <x:c r="N334" s="20" t="str">
        <x:v>ยังไม่ยืนยัน</x:v>
      </x:c>
      <x:c r="O33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34" s="25" t="n">
        <x:v>46315</x:v>
      </x:c>
      <x:c r="Q334" s="27" t="str">
        <x:v>ยังไม่ตรวจ</x:v>
      </x:c>
      <x:c r="R334" s="27" t="str">
        <x:v>รอติดต่อ</x:v>
      </x:c>
    </x:row>
    <x:row r="335" ht="76" customHeight="1">
      <x:c r="A335" s="24" t="str">
        <x:v>TMF-327</x:v>
      </x:c>
      <x:c r="B335" s="20" t="str">
        <x:v>มัสยิดกลางกาฬสินธุ์</x:v>
      </x:c>
      <x:c r="C335" s="20" t="str">
        <x:v>กาฬสินธุ์</x:v>
      </x:c>
      <x:c r="D335" s="20" t="str">
        <x:v>คงไว้ในชุด 600</x:v>
      </x:c>
      <x:c r="E335" s="20" t="str">
        <x:v>พบหลายแหล่งสัมพันธ์กับชื่อ รอยืนยันการเปิด</x:v>
      </x:c>
      <x:c r="F335" s="20" t="str">
        <x:v>ยังไม่ยืนยันการเปิดให้บริการปัจจุบัน</x:v>
      </x:c>
      <x:c r="G335" s="26" t="n">
        <x:v>2</x:v>
      </x:c>
      <x:c r="H335" s="23" t="str"/>
      <x:c r="I335" s="23" t="str"/>
      <x:c r="J335" s="23" t="str"/>
      <x:c r="K335" s="23" t="str"/>
      <x:c r="L335" s="23" t="e">
        <x:f>HYPERLINK("https://www.gplace.com/77539","เปิดเว็บเพิ่ม 1")</x:f>
        <x:v>HYPERLINK is not implemented. linkLocation=https://www.gplace.com/77539, friendlyName=เปิดเว็บเพิ่ม 1</x:v>
      </x:c>
      <x:c r="M335" s="23" t="str"/>
      <x:c r="N335" s="20" t="str">
        <x:v>ยังไม่ยืนยัน</x:v>
      </x:c>
      <x:c r="O335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35" s="25" t="n">
        <x:v>46315</x:v>
      </x:c>
      <x:c r="Q335" s="27" t="str">
        <x:v>ยังไม่ตรวจ</x:v>
      </x:c>
      <x:c r="R335" s="27" t="str">
        <x:v>รอติดต่อ</x:v>
      </x:c>
    </x:row>
    <x:row r="336" ht="96" customHeight="1">
      <x:c r="A336" s="24" t="str">
        <x:v>TMF-328</x:v>
      </x:c>
      <x:c r="B336" s="20" t="str">
        <x:v>มัสยิดดารุลอามาน (บ้านไผ่) จ.ขอนแก่น</x:v>
      </x:c>
      <x:c r="C336" s="20" t="str">
        <x:v>ขอนแก่น</x:v>
      </x:c>
      <x:c r="D336" s="20" t="str">
        <x:v>คงไว้ในชุด 600</x:v>
      </x:c>
      <x:c r="E336" s="20" t="str">
        <x:v>หลักฐานไม่พอ รอยืนยันการเปิด</x:v>
      </x:c>
      <x:c r="F336" s="20" t="str">
        <x:v>ยังไม่ยืนยันการเปิดให้บริการปัจจุบัน</x:v>
      </x:c>
      <x:c r="G336" s="26" t="n">
        <x:v>1</x:v>
      </x:c>
      <x:c r="H336" s="23" t="str"/>
      <x:c r="I336" s="23" t="str"/>
      <x:c r="J336" s="23" t="str"/>
      <x:c r="K336" s="23" t="str"/>
      <x:c r="L336" s="23" t="str"/>
      <x:c r="M336" s="23" t="str"/>
      <x:c r="N336" s="20" t="str">
        <x:v>ยังไม่ยืนยัน</x:v>
      </x:c>
      <x:c r="O33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36" s="25" t="n">
        <x:v>46315</x:v>
      </x:c>
      <x:c r="Q336" s="27" t="str">
        <x:v>ยังไม่ตรวจ</x:v>
      </x:c>
      <x:c r="R336" s="27" t="str">
        <x:v>รอติดต่อ</x:v>
      </x:c>
    </x:row>
    <x:row r="337" ht="76" customHeight="1">
      <x:c r="A337" s="24" t="str">
        <x:v>TMF-329</x:v>
      </x:c>
      <x:c r="B337" s="20" t="str">
        <x:v>เซ็นทารา แกรนด์ มิราจ บีช รีสอร์ท พัทยา</x:v>
      </x:c>
      <x:c r="C337" s="20" t="str">
        <x:v>ชลบุรี</x:v>
      </x:c>
      <x:c r="D337" s="20" t="str">
        <x:v>คงไว้ในชุด 600</x:v>
      </x:c>
      <x:c r="E337" s="20" t="str">
        <x:v>พบหลายแหล่งสัมพันธ์กับชื่อ รอยืนยันการเปิด</x:v>
      </x:c>
      <x:c r="F337" s="20" t="str">
        <x:v>ยังไม่ยืนยันการเปิดให้บริการปัจจุบัน</x:v>
      </x:c>
      <x:c r="G337" s="26" t="n">
        <x:v>6</x:v>
      </x:c>
      <x:c r="H337" s="23" t="str"/>
      <x:c r="I337" s="23" t="str"/>
      <x:c r="J337" s="23" t="e">
        <x:f>HYPERLINK("https://www.google.co.th/travel/hotels/%E0%B8%95%E0%B8%B3%E0%B8%9A%E0%B8%A5%E0%B9%81%E0%B8%AA%E0%B8%99%E0%B8%AA%E0%B8%B8%E0%B8%82/entity/ChgIwfa6sbToga4rGgwvZy8xMWgwYmxudGcQAQ?rp=OAHCAgIiAA&amp;ts=CAEaBAoCGgAqBAoAGgA","เปิดหน้ารีวิว 1")</x:f>
        <x:v>HYPERLINK is not implemented. linkLocation=https://www.google.co.th/travel/hotels/%E0%B8%95%E0%B8%B3%E0%B8%9A%E0%B8%A5%E0%B9%81%E0%B8%AA%E0%B8%99%E0%B8%AA%E0%B8%B8%E0%B8%82/entity/ChgIwfa6sbToga4rGgwvZy8xMWgwYmxudGcQAQ?rp=OAHCAgIiAA&amp;ts=CAEaBAoCGgAqBAoAGgA, friendlyName=เปิดหน้ารีวิว 1</x:v>
      </x:c>
      <x:c r="K337" s="23" t="e">
        <x:f>HYPERLINK("https://th.tripadvisor.com/Hotel_Review-g293919-d1515437-Reviews-Centara_Grand_Mirage_Beach_Resort_Pattaya-Pattaya_Chonburi_Province.html","เปิดหน้ารีวิว 2")</x:f>
        <x:v>HYPERLINK is not implemented. linkLocation=https://th.tripadvisor.com/Hotel_Review-g293919-d1515437-Reviews-Centara_Grand_Mirage_Beach_Resort_Pattaya-Pattaya_Chonburi_Province.html, friendlyName=เปิดหน้ารีวิว 2</x:v>
      </x:c>
      <x:c r="L337" s="23" t="str"/>
      <x:c r="M337" s="23" t="str"/>
      <x:c r="N337" s="20" t="str">
        <x:v>ยังไม่ยืนยัน</x:v>
      </x:c>
      <x:c r="O33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37" s="25" t="n">
        <x:v>46315</x:v>
      </x:c>
      <x:c r="Q337" s="27" t="str">
        <x:v>ยังไม่ตรวจ</x:v>
      </x:c>
      <x:c r="R337" s="27" t="str">
        <x:v>รอติดต่อ</x:v>
      </x:c>
    </x:row>
    <x:row r="338" ht="96" customHeight="1">
      <x:c r="A338" s="24" t="str">
        <x:v>TMF-330</x:v>
      </x:c>
      <x:c r="B338" s="20" t="str">
        <x:v>นิยะห์ฮาลาลฟู้ด</x:v>
      </x:c>
      <x:c r="C338" s="20" t="str">
        <x:v>ชลบุรี</x:v>
      </x:c>
      <x:c r="D338" s="20" t="str">
        <x:v>คงไว้ในชุด 600</x:v>
      </x:c>
      <x:c r="E338" s="20" t="str">
        <x:v>หลักฐานไม่พอ รอยืนยันการเปิด</x:v>
      </x:c>
      <x:c r="F338" s="20" t="str">
        <x:v>ยังไม่ยืนยันการเปิดให้บริการปัจจุบัน</x:v>
      </x:c>
      <x:c r="G338" s="26" t="n">
        <x:v>1</x:v>
      </x:c>
      <x:c r="H338" s="23" t="str"/>
      <x:c r="I338" s="23" t="str"/>
      <x:c r="J338" s="23" t="str"/>
      <x:c r="K338" s="23" t="str"/>
      <x:c r="L338" s="23" t="str"/>
      <x:c r="M338" s="23" t="str"/>
      <x:c r="N338" s="20" t="str">
        <x:v>ยังไม่ยืนยัน</x:v>
      </x:c>
      <x:c r="O33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38" s="25" t="n">
        <x:v>46315</x:v>
      </x:c>
      <x:c r="Q338" s="27" t="str">
        <x:v>ยังไม่ตรวจ</x:v>
      </x:c>
      <x:c r="R338" s="27" t="str">
        <x:v>รอติดต่อ</x:v>
      </x:c>
    </x:row>
    <x:row r="339" ht="76" customHeight="1">
      <x:c r="A339" s="24" t="str">
        <x:v>TMF-331</x:v>
      </x:c>
      <x:c r="B339" s="20" t="str">
        <x:v>มัสยิดญามีอุ้ลอิสลาม</x:v>
      </x:c>
      <x:c r="C339" s="20" t="str">
        <x:v>ชลบุรี</x:v>
      </x:c>
      <x:c r="D339" s="20" t="str">
        <x:v>คงไว้ในชุด 600</x:v>
      </x:c>
      <x:c r="E339" s="20" t="str">
        <x:v>พบหลายแหล่งสัมพันธ์กับชื่อ รอยืนยันการเปิด</x:v>
      </x:c>
      <x:c r="F339" s="20" t="str">
        <x:v>ยังไม่ยืนยันการเปิดให้บริการปัจจุบัน</x:v>
      </x:c>
      <x:c r="G339" s="26" t="n">
        <x:v>2</x:v>
      </x:c>
      <x:c r="H339" s="23" t="str"/>
      <x:c r="I339" s="23" t="str"/>
      <x:c r="J339" s="23" t="str"/>
      <x:c r="K339" s="23" t="str"/>
      <x:c r="L339" s="23" t="e">
        <x:f>HYPERLINK("https://www.cicot.or.th/th/mosque/detail/511/5","เปิดเว็บเพิ่ม 1")</x:f>
        <x:v>HYPERLINK is not implemented. linkLocation=https://www.cicot.or.th/th/mosque/detail/511/5, friendlyName=เปิดเว็บเพิ่ม 1</x:v>
      </x:c>
      <x:c r="M339" s="23" t="str"/>
      <x:c r="N339" s="20" t="str">
        <x:v>ยังไม่ยืนยัน</x:v>
      </x:c>
      <x:c r="O33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39" s="25" t="n">
        <x:v>46315</x:v>
      </x:c>
      <x:c r="Q339" s="27" t="str">
        <x:v>ยังไม่ตรวจ</x:v>
      </x:c>
      <x:c r="R339" s="27" t="str">
        <x:v>รอติดต่อ</x:v>
      </x:c>
    </x:row>
    <x:row r="340" ht="76" customHeight="1">
      <x:c r="A340" s="24" t="str">
        <x:v>TMF-332</x:v>
      </x:c>
      <x:c r="B340" s="20" t="str">
        <x:v>มัสยิดดารุสซิดดีกีน</x:v>
      </x:c>
      <x:c r="C340" s="20" t="str">
        <x:v>ชลบุรี</x:v>
      </x:c>
      <x:c r="D340" s="20" t="str">
        <x:v>คงไว้ในชุด 600</x:v>
      </x:c>
      <x:c r="E340" s="20" t="str">
        <x:v>พบหลายแหล่งสัมพันธ์กับชื่อ รอยืนยันการเปิด</x:v>
      </x:c>
      <x:c r="F340" s="20" t="str">
        <x:v>ยังไม่ยืนยันการเปิดให้บริการปัจจุบัน</x:v>
      </x:c>
      <x:c r="G340" s="26" t="n">
        <x:v>3</x:v>
      </x:c>
      <x:c r="H340" s="23" t="str"/>
      <x:c r="I340" s="23" t="str"/>
      <x:c r="J340" s="23" t="str"/>
      <x:c r="K340" s="23" t="str"/>
      <x:c r="L340" s="23" t="e">
        <x:f>HYPERLINK("https://www.cicot.or.th/th/mosque/lists/3/5","เปิดเว็บเพิ่ม 1")</x:f>
        <x:v>HYPERLINK is not implemented. linkLocation=https://www.cicot.or.th/th/mosque/lists/3/5, friendlyName=เปิดเว็บเพิ่ม 1</x:v>
      </x:c>
      <x:c r="M340" s="23" t="e">
        <x:f>HYPERLINK("https://ummahx.org/p/%E0%B8%A1-%E0%B8%AA%E0%B8%A2-%E0%B8%94%E0%B8%94%E0%B8%B2%E0%B8%A3-%E0%B8%AA%E0%B8%8B-%E0%B8%94%E0%B8%94-%E0%B8%81-%E0%B8%99","เปิดเว็บเพิ่ม 2")</x:f>
        <x:v>HYPERLINK is not implemented. linkLocation=https://ummahx.org/p/%E0%B8%A1-%E0%B8%AA%E0%B8%A2-%E0%B8%94%E0%B8%94%E0%B8%B2%E0%B8%A3-%E0%B8%AA%E0%B8%8B-%E0%B8%94%E0%B8%94-%E0%B8%81-%E0%B8%99, friendlyName=เปิดเว็บเพิ่ม 2</x:v>
      </x:c>
      <x:c r="N340" s="20" t="str">
        <x:v>ยังไม่ยืนยัน</x:v>
      </x:c>
      <x:c r="O340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40" s="25" t="n">
        <x:v>46315</x:v>
      </x:c>
      <x:c r="Q340" s="27" t="str">
        <x:v>ยังไม่ตรวจ</x:v>
      </x:c>
      <x:c r="R340" s="27" t="str">
        <x:v>รอติดต่อ</x:v>
      </x:c>
    </x:row>
    <x:row r="341" ht="76" customHeight="1">
      <x:c r="A341" s="24" t="str">
        <x:v>TMF-333</x:v>
      </x:c>
      <x:c r="B341" s="20" t="str">
        <x:v>มัสยิดดารุ้ลมู่ฮายีรีน</x:v>
      </x:c>
      <x:c r="C341" s="20" t="str">
        <x:v>ชลบุรี</x:v>
      </x:c>
      <x:c r="D341" s="20" t="str">
        <x:v>คงไว้ในชุด 600</x:v>
      </x:c>
      <x:c r="E341" s="20" t="str">
        <x:v>พบหลายแหล่งสัมพันธ์กับชื่อ รอยืนยันการเปิด</x:v>
      </x:c>
      <x:c r="F341" s="20" t="str">
        <x:v>ยังไม่ยืนยันการเปิดให้บริการปัจจุบัน</x:v>
      </x:c>
      <x:c r="G341" s="26" t="n">
        <x:v>2</x:v>
      </x:c>
      <x:c r="H341" s="23" t="str"/>
      <x:c r="I341" s="23" t="str"/>
      <x:c r="J341" s="23" t="str"/>
      <x:c r="K341" s="23" t="str"/>
      <x:c r="L341" s="23" t="e">
        <x:f>HYPERLINK("https://picoc.or.th/mosque/detail/19","เปิดเว็บเพิ่ม 1")</x:f>
        <x:v>HYPERLINK is not implemented. linkLocation=https://picoc.or.th/mosque/detail/19, friendlyName=เปิดเว็บเพิ่ม 1</x:v>
      </x:c>
      <x:c r="M341" s="23" t="str"/>
      <x:c r="N341" s="20" t="str">
        <x:v>ยังไม่ยืนยัน</x:v>
      </x:c>
      <x:c r="O341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41" s="25" t="n">
        <x:v>46315</x:v>
      </x:c>
      <x:c r="Q341" s="27" t="str">
        <x:v>ยังไม่ตรวจ</x:v>
      </x:c>
      <x:c r="R341" s="27" t="str">
        <x:v>รอติดต่อ</x:v>
      </x:c>
    </x:row>
    <x:row r="342" ht="76" customHeight="1">
      <x:c r="A342" s="24" t="str">
        <x:v>TMF-334</x:v>
      </x:c>
      <x:c r="B342" s="20" t="str">
        <x:v>มัสยิดดารุ้ลยันนะห์</x:v>
      </x:c>
      <x:c r="C342" s="20" t="str">
        <x:v>ชลบุรี</x:v>
      </x:c>
      <x:c r="D342" s="20" t="str">
        <x:v>คงไว้ในชุด 600</x:v>
      </x:c>
      <x:c r="E342" s="20" t="str">
        <x:v>พบหลายแหล่งสัมพันธ์กับชื่อ รอยืนยันการเปิด</x:v>
      </x:c>
      <x:c r="F342" s="20" t="str">
        <x:v>ยังไม่ยืนยันการเปิดให้บริการปัจจุบัน</x:v>
      </x:c>
      <x:c r="G342" s="26" t="n">
        <x:v>3</x:v>
      </x:c>
      <x:c r="H342" s="23" t="str"/>
      <x:c r="I342" s="23" t="str"/>
      <x:c r="J342" s="23" t="str"/>
      <x:c r="K342" s="23" t="str"/>
      <x:c r="L342" s="23" t="e">
        <x:f>HYPERLINK("https://www.picoc.or.th/mosque/detail/21","เปิดเว็บเพิ่ม 1")</x:f>
        <x:v>HYPERLINK is not implemented. linkLocation=https://www.picoc.or.th/mosque/detail/21, friendlyName=เปิดเว็บเพิ่ม 1</x:v>
      </x:c>
      <x:c r="M342" s="23" t="e">
        <x:f>HYPERLINK("https://www.cicot.or.th/th/mosque/detail/500/5","เปิดเว็บเพิ่ม 2")</x:f>
        <x:v>HYPERLINK is not implemented. linkLocation=https://www.cicot.or.th/th/mosque/detail/500/5, friendlyName=เปิดเว็บเพิ่ม 2</x:v>
      </x:c>
      <x:c r="N342" s="20" t="str">
        <x:v>ยังไม่ยืนยัน</x:v>
      </x:c>
      <x:c r="O342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42" s="25" t="n">
        <x:v>46315</x:v>
      </x:c>
      <x:c r="Q342" s="27" t="str">
        <x:v>ยังไม่ตรวจ</x:v>
      </x:c>
      <x:c r="R342" s="27" t="str">
        <x:v>รอติดต่อ</x:v>
      </x:c>
    </x:row>
    <x:row r="343" ht="76" customHeight="1">
      <x:c r="A343" s="24" t="str">
        <x:v>TMF-335</x:v>
      </x:c>
      <x:c r="B343" s="20" t="str">
        <x:v>มัสยิดดารุ้ลอิบาดะฮ์ (พัทยากลาง)</x:v>
      </x:c>
      <x:c r="C343" s="20" t="str">
        <x:v>ชลบุรี</x:v>
      </x:c>
      <x:c r="D343" s="20" t="str">
        <x:v>คงไว้ในชุด 600</x:v>
      </x:c>
      <x:c r="E343" s="20" t="str">
        <x:v>พบหลายแหล่งสัมพันธ์กับชื่อ รอยืนยันการเปิด</x:v>
      </x:c>
      <x:c r="F343" s="20" t="str">
        <x:v>ยังไม่ยืนยันการเปิดให้บริการปัจจุบัน</x:v>
      </x:c>
      <x:c r="G343" s="26" t="n">
        <x:v>2</x:v>
      </x:c>
      <x:c r="H343" s="23" t="str"/>
      <x:c r="I343" s="23" t="str"/>
      <x:c r="J343" s="23" t="str"/>
      <x:c r="K343" s="23" t="str"/>
      <x:c r="L343" s="23" t="e">
        <x:f>HYPERLINK("https://www.cicot.or.th/th/mosque/detail/490/5/%E0%B8%A1%E0%B8%B1%E0%B8%AA%E0%B8%A2%E0%B8%B4%E0%B8%94%E0%B8%94%E0%B8%B2%E0%B8%A3%E0%B8%B8%E0%B9%89%E0%B8%A5%E0%B8%AD%E0%B8%B4%E0%B8%9A%E0%B8%B2%E0%B8%94%E0%B8%B0%E0%B8%AE%E0%B9%8C-%E0%B8%9E%E0%B8%B1%E0%B8%97%E0%B8%A2%E0%B8%B2%E0%B8%81%E0%B8%A5%E0%B8%B2%E0%B8%87","เปิดเว็บเพิ่ม 1")</x:f>
        <x:v>HYPERLINK is not implemented. linkLocation=https://www.cicot.or.th/th/mosque/detail/490/5/%E0%B8%A1%E0%B8%B1%E0%B8%AA%E0%B8%A2%E0%B8%B4%E0%B8%94%E0%B8%94%E0%B8%B2%E0%B8%A3%E0%B8%B8%E0%B9%89%E0%B8%A5%E0%B8%AD%E0%B8%B4%E0%B8%9A%E0%B8%B2%E0%B8%94%E0%B8%B0%E0%B8%AE%E0%B9%8C-%E0%B8%9E%E0%B8%B1%E0%B8%97%E0%B8%A2%E0%B8%B2%E0%B8%81%E0%B8%A5%E0%B8%B2%E0%B8%87, friendlyName=เปิดเว็บเพิ่ม 1</x:v>
      </x:c>
      <x:c r="M343" s="23" t="str"/>
      <x:c r="N343" s="20" t="str">
        <x:v>ยังไม่ยืนยัน</x:v>
      </x:c>
      <x:c r="O343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43" s="25" t="n">
        <x:v>46315</x:v>
      </x:c>
      <x:c r="Q343" s="27" t="str">
        <x:v>ยังไม่ตรวจ</x:v>
      </x:c>
      <x:c r="R343" s="27" t="str">
        <x:v>รอติดต่อ</x:v>
      </x:c>
    </x:row>
    <x:row r="344" ht="76" customHeight="1">
      <x:c r="A344" s="24" t="str">
        <x:v>TMF-336</x:v>
      </x:c>
      <x:c r="B344" s="20" t="str">
        <x:v>มัสยิดตออะติ้ลละฮ์ (พัทยาใต้)</x:v>
      </x:c>
      <x:c r="C344" s="20" t="str">
        <x:v>ชลบุรี</x:v>
      </x:c>
      <x:c r="D344" s="20" t="str">
        <x:v>คงไว้ในชุด 600</x:v>
      </x:c>
      <x:c r="E344" s="20" t="str">
        <x:v>พบหลายแหล่งสัมพันธ์กับชื่อ รอยืนยันการเปิด</x:v>
      </x:c>
      <x:c r="F344" s="20" t="str">
        <x:v>ยังไม่ยืนยันการเปิดให้บริการปัจจุบัน</x:v>
      </x:c>
      <x:c r="G344" s="26" t="n">
        <x:v>3</x:v>
      </x:c>
      <x:c r="H344" s="23" t="str"/>
      <x:c r="I344" s="23" t="str"/>
      <x:c r="J344" s="23" t="str"/>
      <x:c r="K344" s="23" t="str"/>
      <x:c r="L344" s="23" t="e">
        <x:f>HYPERLINK("https://www.picoc.or.th/mosque/detail/23","เปิดเว็บเพิ่ม 1")</x:f>
        <x:v>HYPERLINK is not implemented. linkLocation=https://www.picoc.or.th/mosque/detail/23, friendlyName=เปิดเว็บเพิ่ม 1</x:v>
      </x:c>
      <x:c r="M344" s="23" t="e">
        <x:f>HYPERLINK("https://www.cicot.or.th/th/mosque/detail/498/5/%E0%B8%A1%E0%B8%B1%E0%B8%AA%E0%B8%A2%E0%B8%B4%E0%B8%94%E0%B8%95%E0%B8%AD%E0%B8%AD%E0%B8%B0%E0%B8%95%E0%B8%B4%E0%B9%89%E0%B8%A5%E0%B8%A5%E0%B8%B0%E0%B8%AE%E0%B9%8C-%E0%B8%9E%E0%B8%B1%E0%B8%97%E0%B8%A2%E0%B8%B2%E0%B9%83%E0%B8%95%E0%B9%89","เปิดเว็บเพิ่ม 2")</x:f>
        <x:v>HYPERLINK is not implemented. linkLocation=https://www.cicot.or.th/th/mosque/detail/498/5/%E0%B8%A1%E0%B8%B1%E0%B8%AA%E0%B8%A2%E0%B8%B4%E0%B8%94%E0%B8%95%E0%B8%AD%E0%B8%AD%E0%B8%B0%E0%B8%95%E0%B8%B4%E0%B9%89%E0%B8%A5%E0%B8%A5%E0%B8%B0%E0%B8%AE%E0%B9%8C-%E0%B8%9E%E0%B8%B1%E0%B8%97%E0%B8%A2%E0%B8%B2%E0%B9%83%E0%B8%95%E0%B9%89, friendlyName=เปิดเว็บเพิ่ม 2</x:v>
      </x:c>
      <x:c r="N344" s="20" t="str">
        <x:v>ยังไม่ยืนยัน</x:v>
      </x:c>
      <x:c r="O344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44" s="25" t="n">
        <x:v>46315</x:v>
      </x:c>
      <x:c r="Q344" s="27" t="str">
        <x:v>ยังไม่ตรวจ</x:v>
      </x:c>
      <x:c r="R344" s="27" t="str">
        <x:v>รอติดต่อ</x:v>
      </x:c>
    </x:row>
    <x:row r="345" ht="76" customHeight="1">
      <x:c r="A345" s="24" t="str">
        <x:v>TMF-337</x:v>
      </x:c>
      <x:c r="B345" s="20" t="str">
        <x:v>มัสยิดนูรุลยากีน</x:v>
      </x:c>
      <x:c r="C345" s="20" t="str">
        <x:v>ชลบุรี</x:v>
      </x:c>
      <x:c r="D345" s="20" t="str">
        <x:v>คงไว้ในชุด 600</x:v>
      </x:c>
      <x:c r="E345" s="20" t="str">
        <x:v>พบหลายแหล่งสัมพันธ์กับชื่อ รอยืนยันการเปิด</x:v>
      </x:c>
      <x:c r="F345" s="20" t="str">
        <x:v>ยังไม่ยืนยันการเปิดให้บริการปัจจุบัน</x:v>
      </x:c>
      <x:c r="G345" s="26" t="n">
        <x:v>3</x:v>
      </x:c>
      <x:c r="H345" s="23" t="str"/>
      <x:c r="I345" s="23" t="str"/>
      <x:c r="J345" s="23" t="str"/>
      <x:c r="K345" s="23" t="str"/>
      <x:c r="L345" s="23" t="e">
        <x:f>HYPERLINK("https://www.picoc.or.th/mosque/detail/28","เปิดเว็บเพิ่ม 1")</x:f>
        <x:v>HYPERLINK is not implemented. linkLocation=https://www.picoc.or.th/mosque/detail/28, friendlyName=เปิดเว็บเพิ่ม 1</x:v>
      </x:c>
      <x:c r="M345" s="23" t="e">
        <x:f>HYPERLINK("https://www.traveloka.com/th-th/hotel/thailand/landmark/-91750734673101","เปิดเว็บเพิ่ม 2")</x:f>
        <x:v>HYPERLINK is not implemented. linkLocation=https://www.traveloka.com/th-th/hotel/thailand/landmark/-91750734673101, friendlyName=เปิดเว็บเพิ่ม 2</x:v>
      </x:c>
      <x:c r="N345" s="20" t="str">
        <x:v>ยังไม่ยืนยัน</x:v>
      </x:c>
      <x:c r="O345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45" s="25" t="n">
        <x:v>46315</x:v>
      </x:c>
      <x:c r="Q345" s="27" t="str">
        <x:v>ยังไม่ตรวจ</x:v>
      </x:c>
      <x:c r="R345" s="27" t="str">
        <x:v>รอติดต่อ</x:v>
      </x:c>
    </x:row>
    <x:row r="346" ht="76" customHeight="1">
      <x:c r="A346" s="24" t="str">
        <x:v>TMF-338</x:v>
      </x:c>
      <x:c r="B346" s="20" t="str">
        <x:v>มัสยิดนูรุลฮิดายะห์</x:v>
      </x:c>
      <x:c r="C346" s="20" t="str">
        <x:v>ชลบุรี</x:v>
      </x:c>
      <x:c r="D346" s="20" t="str">
        <x:v>คงไว้ในชุด 600</x:v>
      </x:c>
      <x:c r="E346" s="20" t="str">
        <x:v>พบหลายแหล่งสัมพันธ์กับชื่อ รอยืนยันการเปิด</x:v>
      </x:c>
      <x:c r="F346" s="20" t="str">
        <x:v>ยังไม่ยืนยันการเปิดให้บริการปัจจุบัน</x:v>
      </x:c>
      <x:c r="G346" s="26" t="n">
        <x:v>2</x:v>
      </x:c>
      <x:c r="H346" s="23" t="str"/>
      <x:c r="I346" s="23" t="str"/>
      <x:c r="J346" s="23" t="str"/>
      <x:c r="K346" s="23" t="str"/>
      <x:c r="L346" s="23" t="e">
        <x:f>HYPERLINK("https://www.cicot.or.th/th/mosque/detail/497/5/%E0%B8%A1%E0%B8%B1%E0%B8%AA%E0%B8%A2%E0%B8%B4%E0%B8%94%E0%B8%99%E0%B8%B9%E0%B8%A3%E0%B8%B8%E0%B8%A5%E0%B8%AE%E0%B8%B4%E0%B8%94%E0%B8%B2%E0%B8%A2%E0%B8%B0%E0%B8%AB%E0%B9%8C","เปิดเว็บเพิ่ม 1")</x:f>
        <x:v>HYPERLINK is not implemented. linkLocation=https://www.cicot.or.th/th/mosque/detail/497/5/%E0%B8%A1%E0%B8%B1%E0%B8%AA%E0%B8%A2%E0%B8%B4%E0%B8%94%E0%B8%99%E0%B8%B9%E0%B8%A3%E0%B8%B8%E0%B8%A5%E0%B8%AE%E0%B8%B4%E0%B8%94%E0%B8%B2%E0%B8%A2%E0%B8%B0%E0%B8%AB%E0%B9%8C, friendlyName=เปิดเว็บเพิ่ม 1</x:v>
      </x:c>
      <x:c r="M346" s="23" t="str"/>
      <x:c r="N346" s="20" t="str">
        <x:v>ยังไม่ยืนยัน</x:v>
      </x:c>
      <x:c r="O346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46" s="25" t="n">
        <x:v>46315</x:v>
      </x:c>
      <x:c r="Q346" s="27" t="str">
        <x:v>ยังไม่ตรวจ</x:v>
      </x:c>
      <x:c r="R346" s="27" t="str">
        <x:v>รอติดต่อ</x:v>
      </x:c>
    </x:row>
    <x:row r="347" ht="76" customHeight="1">
      <x:c r="A347" s="24" t="str">
        <x:v>TMF-339</x:v>
      </x:c>
      <x:c r="B347" s="20" t="str">
        <x:v>มัสยิดมิฟตาฮุ้นยีนาน</x:v>
      </x:c>
      <x:c r="C347" s="20" t="str">
        <x:v>ชลบุรี</x:v>
      </x:c>
      <x:c r="D347" s="20" t="str">
        <x:v>คงไว้ในชุด 600</x:v>
      </x:c>
      <x:c r="E347" s="20" t="str">
        <x:v>พบหลายแหล่งสัมพันธ์กับชื่อ รอยืนยันการเปิด</x:v>
      </x:c>
      <x:c r="F347" s="20" t="str">
        <x:v>ยังไม่ยืนยันการเปิดให้บริการปัจจุบัน</x:v>
      </x:c>
      <x:c r="G347" s="26" t="n">
        <x:v>2</x:v>
      </x:c>
      <x:c r="H347" s="23" t="str"/>
      <x:c r="I347" s="23" t="str"/>
      <x:c r="J347" s="23" t="str"/>
      <x:c r="K347" s="23" t="str"/>
      <x:c r="L347" s="23" t="e">
        <x:f>HYPERLINK("https://www.cicot.or.th/th/mosque/lists/208","เปิดเว็บเพิ่ม 1")</x:f>
        <x:v>HYPERLINK is not implemented. linkLocation=https://www.cicot.or.th/th/mosque/lists/208, friendlyName=เปิดเว็บเพิ่ม 1</x:v>
      </x:c>
      <x:c r="M347" s="23" t="str"/>
      <x:c r="N347" s="20" t="str">
        <x:v>ยังไม่ยืนยัน</x:v>
      </x:c>
      <x:c r="O347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47" s="25" t="n">
        <x:v>46315</x:v>
      </x:c>
      <x:c r="Q347" s="27" t="str">
        <x:v>ยังไม่ตรวจ</x:v>
      </x:c>
      <x:c r="R347" s="27" t="str">
        <x:v>รอติดต่อ</x:v>
      </x:c>
    </x:row>
    <x:row r="348" ht="76" customHeight="1">
      <x:c r="A348" s="24" t="str">
        <x:v>TMF-340</x:v>
      </x:c>
      <x:c r="B348" s="20" t="str">
        <x:v>มัสยิดสลาม่าตุลเลาะห์</x:v>
      </x:c>
      <x:c r="C348" s="20" t="str">
        <x:v>ชลบุรี</x:v>
      </x:c>
      <x:c r="D348" s="20" t="str">
        <x:v>คงไว้ในชุด 600</x:v>
      </x:c>
      <x:c r="E348" s="20" t="str">
        <x:v>พบหลายแหล่งสัมพันธ์กับชื่อ รอยืนยันการเปิด</x:v>
      </x:c>
      <x:c r="F348" s="20" t="str">
        <x:v>ยังไม่ยืนยันการเปิดให้บริการปัจจุบัน</x:v>
      </x:c>
      <x:c r="G348" s="26" t="n">
        <x:v>2</x:v>
      </x:c>
      <x:c r="H348" s="23" t="str"/>
      <x:c r="I348" s="23" t="str"/>
      <x:c r="J348" s="23" t="str"/>
      <x:c r="K348" s="23" t="str"/>
      <x:c r="L348" s="23" t="e">
        <x:f>HYPERLINK("https://www.cicot.or.th/th/mosque/detail/493/5","เปิดเว็บเพิ่ม 1")</x:f>
        <x:v>HYPERLINK is not implemented. linkLocation=https://www.cicot.or.th/th/mosque/detail/493/5, friendlyName=เปิดเว็บเพิ่ม 1</x:v>
      </x:c>
      <x:c r="M348" s="23" t="e">
        <x:f>HYPERLINK("https://www.cicot.or.th/th/mosque/lists/209","เปิดเว็บเพิ่ม 2")</x:f>
        <x:v>HYPERLINK is not implemented. linkLocation=https://www.cicot.or.th/th/mosque/lists/209, friendlyName=เปิดเว็บเพิ่ม 2</x:v>
      </x:c>
      <x:c r="N348" s="20" t="str">
        <x:v>ยังไม่ยืนยัน</x:v>
      </x:c>
      <x:c r="O348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48" s="25" t="n">
        <x:v>46315</x:v>
      </x:c>
      <x:c r="Q348" s="27" t="str">
        <x:v>ยังไม่ตรวจ</x:v>
      </x:c>
      <x:c r="R348" s="27" t="str">
        <x:v>รอติดต่อ</x:v>
      </x:c>
    </x:row>
    <x:row r="349" ht="96" customHeight="1">
      <x:c r="A349" s="24" t="str">
        <x:v>TMF-341</x:v>
      </x:c>
      <x:c r="B349" s="20" t="str">
        <x:v>มัสยิดอัล-อิตติฮาดียะห์ (บ้านหนองพรหม)</x:v>
      </x:c>
      <x:c r="C349" s="20" t="str">
        <x:v>ชลบุรี</x:v>
      </x:c>
      <x:c r="D349" s="20" t="str">
        <x:v>คงไว้ในชุด 600</x:v>
      </x:c>
      <x:c r="E349" s="20" t="str">
        <x:v>หลักฐานไม่พอ รอยืนยันการเปิด</x:v>
      </x:c>
      <x:c r="F349" s="20" t="str">
        <x:v>ยังไม่ยืนยันการเปิดให้บริการปัจจุบัน</x:v>
      </x:c>
      <x:c r="G349" s="26" t="n">
        <x:v>1</x:v>
      </x:c>
      <x:c r="H349" s="23" t="str"/>
      <x:c r="I349" s="23" t="str"/>
      <x:c r="J349" s="23" t="str"/>
      <x:c r="K349" s="23" t="str"/>
      <x:c r="L349" s="23" t="str"/>
      <x:c r="M349" s="23" t="str"/>
      <x:c r="N349" s="20" t="str">
        <x:v>ยังไม่ยืนยัน</x:v>
      </x:c>
      <x:c r="O34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49" s="25" t="n">
        <x:v>46315</x:v>
      </x:c>
      <x:c r="Q349" s="27" t="str">
        <x:v>ยังไม่ตรวจ</x:v>
      </x:c>
      <x:c r="R349" s="27" t="str">
        <x:v>รอติดต่อ</x:v>
      </x:c>
    </x:row>
    <x:row r="350" ht="76" customHeight="1">
      <x:c r="A350" s="24" t="str">
        <x:v>TMF-342</x:v>
      </x:c>
      <x:c r="B350" s="20" t="str">
        <x:v>มัสยิดอัล-อิตติฮาต</x:v>
      </x:c>
      <x:c r="C350" s="20" t="str">
        <x:v>ชลบุรี</x:v>
      </x:c>
      <x:c r="D350" s="20" t="str">
        <x:v>คงไว้ในชุด 600</x:v>
      </x:c>
      <x:c r="E350" s="20" t="str">
        <x:v>พบหลายแหล่งสัมพันธ์กับชื่อ รอยืนยันการเปิด</x:v>
      </x:c>
      <x:c r="F350" s="20" t="str">
        <x:v>ยังไม่ยืนยันการเปิดให้บริการปัจจุบัน</x:v>
      </x:c>
      <x:c r="G350" s="26" t="n">
        <x:v>3</x:v>
      </x:c>
      <x:c r="H350" s="23" t="str"/>
      <x:c r="I350" s="23" t="str"/>
      <x:c r="J350" s="23" t="str"/>
      <x:c r="K350" s="23" t="str"/>
      <x:c r="L350" s="23" t="e">
        <x:f>HYPERLINK("https://www.picoc.or.th/mosque/detail/11","เปิดเว็บเพิ่ม 1")</x:f>
        <x:v>HYPERLINK is not implemented. linkLocation=https://www.picoc.or.th/mosque/detail/11, friendlyName=เปิดเว็บเพิ่ม 1</x:v>
      </x:c>
      <x:c r="M350" s="23" t="e">
        <x:f>HYPERLINK("https://www.cicot.or.th/th/mosque/detail/509/5/%E0%B8%A1%E0%B8%B1%E0%B8%AA%E0%B8%A2%E0%B8%B4%E0%B8%94%E0%B8%AD%E0%B8%B1%E0%B8%A5-%E0%B8%AD%E0%B8%B4%E0%B8%95%E0%B8%95%E0%B8%B4%E0%B8%AE%E0%B8%B2%E0%B8%95","เปิดเว็บเพิ่ม 2")</x:f>
        <x:v>HYPERLINK is not implemented. linkLocation=https://www.cicot.or.th/th/mosque/detail/509/5/%E0%B8%A1%E0%B8%B1%E0%B8%AA%E0%B8%A2%E0%B8%B4%E0%B8%94%E0%B8%AD%E0%B8%B1%E0%B8%A5-%E0%B8%AD%E0%B8%B4%E0%B8%95%E0%B8%95%E0%B8%B4%E0%B8%AE%E0%B8%B2%E0%B8%95, friendlyName=เปิดเว็บเพิ่ม 2</x:v>
      </x:c>
      <x:c r="N350" s="20" t="str">
        <x:v>ยังไม่ยืนยัน</x:v>
      </x:c>
      <x:c r="O350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50" s="25" t="n">
        <x:v>46315</x:v>
      </x:c>
      <x:c r="Q350" s="27" t="str">
        <x:v>ยังไม่ตรวจ</x:v>
      </x:c>
      <x:c r="R350" s="27" t="str">
        <x:v>รอติดต่อ</x:v>
      </x:c>
    </x:row>
    <x:row r="351" ht="76" customHeight="1">
      <x:c r="A351" s="24" t="str">
        <x:v>TMF-343</x:v>
      </x:c>
      <x:c r="B351" s="20" t="str">
        <x:v>มัสยิดอัล-ฮุสนา</x:v>
      </x:c>
      <x:c r="C351" s="20" t="str">
        <x:v>ชลบุรี</x:v>
      </x:c>
      <x:c r="D351" s="20" t="str">
        <x:v>คงไว้ในชุด 600</x:v>
      </x:c>
      <x:c r="E351" s="20" t="str">
        <x:v>พบหลายแหล่งสัมพันธ์กับชื่อ รอยืนยันการเปิด</x:v>
      </x:c>
      <x:c r="F351" s="20" t="str">
        <x:v>ยังไม่ยืนยันการเปิดให้บริการปัจจุบัน</x:v>
      </x:c>
      <x:c r="G351" s="26" t="n">
        <x:v>3</x:v>
      </x:c>
      <x:c r="H351" s="23" t="str"/>
      <x:c r="I351" s="23" t="str"/>
      <x:c r="J351" s="23" t="str"/>
      <x:c r="K351" s="23" t="str"/>
      <x:c r="L351" s="23" t="e">
        <x:f>HYPERLINK("https://www.picoc.or.th/mosque/detail/15","เปิดเว็บเพิ่ม 1")</x:f>
        <x:v>HYPERLINK is not implemented. linkLocation=https://www.picoc.or.th/mosque/detail/15, friendlyName=เปิดเว็บเพิ่ม 1</x:v>
      </x:c>
      <x:c r="M351" s="23" t="e">
        <x:f>HYPERLINK("https://www.cicot.or.th/th/mosque/detail/506/5/%E0%B8%A1%E0%B8%B1%E0%B8%AA%E0%B8%A2%E0%B8%B4%E0%B8%94%E0%B8%AD%E0%B8%B1%E0%B8%A5-%E0%B8%AE%E0%B8%B8%E0%B8%AA%E0%B8%99%E0%B8%B2","เปิดเว็บเพิ่ม 2")</x:f>
        <x:v>HYPERLINK is not implemented. linkLocation=https://www.cicot.or.th/th/mosque/detail/506/5/%E0%B8%A1%E0%B8%B1%E0%B8%AA%E0%B8%A2%E0%B8%B4%E0%B8%94%E0%B8%AD%E0%B8%B1%E0%B8%A5-%E0%B8%AE%E0%B8%B8%E0%B8%AA%E0%B8%99%E0%B8%B2, friendlyName=เปิดเว็บเพิ่ม 2</x:v>
      </x:c>
      <x:c r="N351" s="20" t="str">
        <x:v>ยังไม่ยืนยัน</x:v>
      </x:c>
      <x:c r="O351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51" s="25" t="n">
        <x:v>46315</x:v>
      </x:c>
      <x:c r="Q351" s="27" t="str">
        <x:v>ยังไม่ตรวจ</x:v>
      </x:c>
      <x:c r="R351" s="27" t="str">
        <x:v>รอติดต่อ</x:v>
      </x:c>
    </x:row>
    <x:row r="352" ht="96" customHeight="1">
      <x:c r="A352" s="24" t="str">
        <x:v>TMF-344</x:v>
      </x:c>
      <x:c r="B352" s="20" t="str">
        <x:v>มัสยิดอัลอิตติฟากียะฮ์</x:v>
      </x:c>
      <x:c r="C352" s="20" t="str">
        <x:v>ชลบุรี</x:v>
      </x:c>
      <x:c r="D352" s="20" t="str">
        <x:v>คงไว้ในชุด 600</x:v>
      </x:c>
      <x:c r="E352" s="20" t="str">
        <x:v>หลักฐานไม่พอ รอยืนยันการเปิด</x:v>
      </x:c>
      <x:c r="F352" s="20" t="str">
        <x:v>ยังไม่ยืนยันการเปิดให้บริการปัจจุบัน</x:v>
      </x:c>
      <x:c r="G352" s="26" t="n">
        <x:v>1</x:v>
      </x:c>
      <x:c r="H352" s="23" t="str"/>
      <x:c r="I352" s="23" t="str"/>
      <x:c r="J352" s="23" t="str"/>
      <x:c r="K352" s="23" t="str"/>
      <x:c r="L352" s="23" t="str"/>
      <x:c r="M352" s="23" t="str"/>
      <x:c r="N352" s="20" t="str">
        <x:v>ยังไม่ยืนยัน</x:v>
      </x:c>
      <x:c r="O35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52" s="25" t="n">
        <x:v>46315</x:v>
      </x:c>
      <x:c r="Q352" s="27" t="str">
        <x:v>ยังไม่ตรวจ</x:v>
      </x:c>
      <x:c r="R352" s="27" t="str">
        <x:v>รอติดต่อ</x:v>
      </x:c>
    </x:row>
    <x:row r="353" ht="76" customHeight="1">
      <x:c r="A353" s="24" t="str">
        <x:v>TMF-345</x:v>
      </x:c>
      <x:c r="B353" s="20" t="str">
        <x:v>มัสยิดอาลียิ้ลกามี่ลัยน์</x:v>
      </x:c>
      <x:c r="C353" s="20" t="str">
        <x:v>ชลบุรี</x:v>
      </x:c>
      <x:c r="D353" s="20" t="str">
        <x:v>คงไว้ในชุด 600</x:v>
      </x:c>
      <x:c r="E353" s="20" t="str">
        <x:v>พบหลายแหล่งสัมพันธ์กับชื่อ รอยืนยันการเปิด</x:v>
      </x:c>
      <x:c r="F353" s="20" t="str">
        <x:v>ยังไม่ยืนยันการเปิดให้บริการปัจจุบัน</x:v>
      </x:c>
      <x:c r="G353" s="26" t="n">
        <x:v>2</x:v>
      </x:c>
      <x:c r="H353" s="23" t="str"/>
      <x:c r="I353" s="23" t="str"/>
      <x:c r="J353" s="23" t="str"/>
      <x:c r="K353" s="23" t="str"/>
      <x:c r="L353" s="23" t="e">
        <x:f>HYPERLINK("https://www.cicot.or.th/th/mosque/lists/209","เปิดเว็บเพิ่ม 1")</x:f>
        <x:v>HYPERLINK is not implemented. linkLocation=https://www.cicot.or.th/th/mosque/lists/209, friendlyName=เปิดเว็บเพิ่ม 1</x:v>
      </x:c>
      <x:c r="M353" s="23" t="str"/>
      <x:c r="N353" s="20" t="str">
        <x:v>ยังไม่ยืนยัน</x:v>
      </x:c>
      <x:c r="O353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53" s="25" t="n">
        <x:v>46315</x:v>
      </x:c>
      <x:c r="Q353" s="27" t="str">
        <x:v>ยังไม่ตรวจ</x:v>
      </x:c>
      <x:c r="R353" s="27" t="str">
        <x:v>รอติดต่อ</x:v>
      </x:c>
    </x:row>
    <x:row r="354" ht="76" customHeight="1">
      <x:c r="A354" s="24" t="str">
        <x:v>TMF-346</x:v>
      </x:c>
      <x:c r="B354" s="20" t="str">
        <x:v>มัสยิดฮารูณมุสตอฟา</x:v>
      </x:c>
      <x:c r="C354" s="20" t="str">
        <x:v>ชลบุรี</x:v>
      </x:c>
      <x:c r="D354" s="20" t="str">
        <x:v>คงไว้ในชุด 600</x:v>
      </x:c>
      <x:c r="E354" s="20" t="str">
        <x:v>พบหลายแหล่งสัมพันธ์กับชื่อ รอยืนยันการเปิด</x:v>
      </x:c>
      <x:c r="F354" s="20" t="str">
        <x:v>ยังไม่ยืนยันการเปิดให้บริการปัจจุบัน</x:v>
      </x:c>
      <x:c r="G354" s="26" t="n">
        <x:v>2</x:v>
      </x:c>
      <x:c r="H354" s="23" t="str"/>
      <x:c r="I354" s="23" t="str"/>
      <x:c r="J354" s="23" t="str"/>
      <x:c r="K354" s="23" t="str"/>
      <x:c r="L354" s="23" t="e">
        <x:f>HYPERLINK("https://www.cicot.or.th/th/mosque/detail/503/5/%E0%B8%A1%E0%B8%B1%E0%B8%AA%E0%B8%A2%E0%B8%B4%E0%B8%94%E0%B8%AE%E0%B8%B2%E0%B8%A3%E0%B8%B9%E0%B8%93%E0%B8%A1%E0%B8%B8%E0%B8%AA%E0%B8%95%E0%B8%AD%E0%B8%9F%E0%B8%B2","เปิดเว็บเพิ่ม 1")</x:f>
        <x:v>HYPERLINK is not implemented. linkLocation=https://www.cicot.or.th/th/mosque/detail/503/5/%E0%B8%A1%E0%B8%B1%E0%B8%AA%E0%B8%A2%E0%B8%B4%E0%B8%94%E0%B8%AE%E0%B8%B2%E0%B8%A3%E0%B8%B9%E0%B8%93%E0%B8%A1%E0%B8%B8%E0%B8%AA%E0%B8%95%E0%B8%AD%E0%B8%9F%E0%B8%B2, friendlyName=เปิดเว็บเพิ่ม 1</x:v>
      </x:c>
      <x:c r="M354" s="23" t="e">
        <x:f>HYPERLINK("https://www.cicot.or.th/th/mosque/lists/3/5","เปิดเว็บเพิ่ม 2")</x:f>
        <x:v>HYPERLINK is not implemented. linkLocation=https://www.cicot.or.th/th/mosque/lists/3/5, friendlyName=เปิดเว็บเพิ่ม 2</x:v>
      </x:c>
      <x:c r="N354" s="20" t="str">
        <x:v>ยังไม่ยืนยัน</x:v>
      </x:c>
      <x:c r="O354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54" s="25" t="n">
        <x:v>46315</x:v>
      </x:c>
      <x:c r="Q354" s="27" t="str">
        <x:v>ยังไม่ตรวจ</x:v>
      </x:c>
      <x:c r="R354" s="27" t="str">
        <x:v>รอติดต่อ</x:v>
      </x:c>
    </x:row>
    <x:row r="355" ht="76" customHeight="1">
      <x:c r="A355" s="24" t="str">
        <x:v>TMF-347</x:v>
      </x:c>
      <x:c r="B355" s="20" t="str">
        <x:v>มัสยิดฮิดาย่าตุสซาลีกีน</x:v>
      </x:c>
      <x:c r="C355" s="20" t="str">
        <x:v>ชลบุรี</x:v>
      </x:c>
      <x:c r="D355" s="20" t="str">
        <x:v>คงไว้ในชุด 600</x:v>
      </x:c>
      <x:c r="E355" s="20" t="str">
        <x:v>พบหลายแหล่งสัมพันธ์กับชื่อ รอยืนยันการเปิด</x:v>
      </x:c>
      <x:c r="F355" s="20" t="str">
        <x:v>ยังไม่ยืนยันการเปิดให้บริการปัจจุบัน</x:v>
      </x:c>
      <x:c r="G355" s="26" t="n">
        <x:v>2</x:v>
      </x:c>
      <x:c r="H355" s="23" t="str"/>
      <x:c r="I355" s="23" t="str"/>
      <x:c r="J355" s="23" t="str"/>
      <x:c r="K355" s="23" t="str"/>
      <x:c r="L355" s="23" t="e">
        <x:f>HYPERLINK("https://www.cicot.or.th/th/mosque/detail/491/5/%E0%B8%A1%E0%B8%B1%E0%B8%AA%E0%B8%A2%E0%B8%B4%E0%B8%94%E0%B8%AE%E0%B8%B4%E0%B8%94%E0%B8%B2%E0%B8%A2%E0%B9%88%E0%B8%B2%E0%B8%95%E0%B8%B8%E0%B8%AA%E0%B8%8B%E0%B8%B2%E0%B8%A5%E0%B8%B5%E0%B8%81%E0%B8%B5%E0%B8%99","เปิดเว็บเพิ่ม 1")</x:f>
        <x:v>HYPERLINK is not implemented. linkLocation=https://www.cicot.or.th/th/mosque/detail/491/5/%E0%B8%A1%E0%B8%B1%E0%B8%AA%E0%B8%A2%E0%B8%B4%E0%B8%94%E0%B8%AE%E0%B8%B4%E0%B8%94%E0%B8%B2%E0%B8%A2%E0%B9%88%E0%B8%B2%E0%B8%95%E0%B8%B8%E0%B8%AA%E0%B8%8B%E0%B8%B2%E0%B8%A5%E0%B8%B5%E0%B8%81%E0%B8%B5%E0%B8%99, friendlyName=เปิดเว็บเพิ่ม 1</x:v>
      </x:c>
      <x:c r="M355" s="23" t="str"/>
      <x:c r="N355" s="20" t="str">
        <x:v>ยังไม่ยืนยัน</x:v>
      </x:c>
      <x:c r="O355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55" s="25" t="n">
        <x:v>46315</x:v>
      </x:c>
      <x:c r="Q355" s="27" t="str">
        <x:v>ยังไม่ตรวจ</x:v>
      </x:c>
      <x:c r="R355" s="27" t="str">
        <x:v>รอติดต่อ</x:v>
      </x:c>
    </x:row>
    <x:row r="356" ht="76" customHeight="1">
      <x:c r="A356" s="24" t="str">
        <x:v>TMF-348</x:v>
      </x:c>
      <x:c r="B356" s="20" t="str">
        <x:v>มัสยิดแซ็คมูฮำหมัดอาลี</x:v>
      </x:c>
      <x:c r="C356" s="20" t="str">
        <x:v>ชลบุรี</x:v>
      </x:c>
      <x:c r="D356" s="20" t="str">
        <x:v>คงไว้ในชุด 600</x:v>
      </x:c>
      <x:c r="E356" s="20" t="str">
        <x:v>พบหลายแหล่งสัมพันธ์กับชื่อ รอยืนยันการเปิด</x:v>
      </x:c>
      <x:c r="F356" s="20" t="str">
        <x:v>ยังไม่ยืนยันการเปิดให้บริการปัจจุบัน</x:v>
      </x:c>
      <x:c r="G356" s="26" t="n">
        <x:v>4</x:v>
      </x:c>
      <x:c r="H356" s="23" t="str"/>
      <x:c r="I356" s="23" t="str"/>
      <x:c r="J356" s="23" t="str"/>
      <x:c r="K356" s="23" t="str"/>
      <x:c r="L356" s="23" t="e">
        <x:f>HYPERLINK("https://www.cicot.or.th/th/mosque/detail/510/5/%E0%B8%A1%E0%B8%B1%E0%B8%AA%E0%B8%A2%E0%B8%B4%E0%B8%94%E0%B9%81%E0%B8%8B%E0%B9%87%E0%B8%84%E0%B8%A1%E0%B8%B9%E0%B8%AE%E0%B8%B3%E0%B8%AB%E0%B8%A1%E0%B8%B1%E0%B8%94%E0%B8%AD%E0%B8%B2%E0%B8%A5%E0%B8%B5","เปิดเว็บเพิ่ม 1")</x:f>
        <x:v>HYPERLINK is not implemented. linkLocation=https://www.cicot.or.th/th/mosque/detail/510/5/%E0%B8%A1%E0%B8%B1%E0%B8%AA%E0%B8%A2%E0%B8%B4%E0%B8%94%E0%B9%81%E0%B8%8B%E0%B9%87%E0%B8%84%E0%B8%A1%E0%B8%B9%E0%B8%AE%E0%B8%B3%E0%B8%AB%E0%B8%A1%E0%B8%B1%E0%B8%94%E0%B8%AD%E0%B8%B2%E0%B8%A5%E0%B8%B5, friendlyName=เปิดเว็บเพิ่ม 1</x:v>
      </x:c>
      <x:c r="M356" s="23" t="e">
        <x:f>HYPERLINK("https://www.cicot.or.th/th/mosque/lists/3/5","เปิดเว็บเพิ่ม 2")</x:f>
        <x:v>HYPERLINK is not implemented. linkLocation=https://www.cicot.or.th/th/mosque/lists/3/5, friendlyName=เปิดเว็บเพิ่ม 2</x:v>
      </x:c>
      <x:c r="N356" s="20" t="str">
        <x:v>ยังไม่ยืนยัน</x:v>
      </x:c>
      <x:c r="O356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56" s="25" t="n">
        <x:v>46315</x:v>
      </x:c>
      <x:c r="Q356" s="27" t="str">
        <x:v>ยังไม่ตรวจ</x:v>
      </x:c>
      <x:c r="R356" s="27" t="str">
        <x:v>รอติดต่อ</x:v>
      </x:c>
    </x:row>
    <x:row r="357" ht="96" customHeight="1">
      <x:c r="A357" s="24" t="str">
        <x:v>TMF-349</x:v>
      </x:c>
      <x:c r="B357" s="20" t="str">
        <x:v>นิซีผลไม้ (ท่าเรืออ่าวธรรมชาติ)</x:v>
      </x:c>
      <x:c r="C357" s="20" t="str">
        <x:v>ตราด</x:v>
      </x:c>
      <x:c r="D357" s="20" t="str">
        <x:v>คงไว้ในชุด 600</x:v>
      </x:c>
      <x:c r="E357" s="20" t="str">
        <x:v>หลักฐานไม่พอ รอยืนยันการเปิด</x:v>
      </x:c>
      <x:c r="F357" s="20" t="str">
        <x:v>ยังไม่ยืนยันการเปิดให้บริการปัจจุบัน</x:v>
      </x:c>
      <x:c r="G357" s="26" t="n">
        <x:v>1</x:v>
      </x:c>
      <x:c r="H357" s="23" t="str"/>
      <x:c r="I357" s="23" t="str"/>
      <x:c r="J357" s="23" t="str"/>
      <x:c r="K357" s="23" t="str"/>
      <x:c r="L357" s="23" t="str"/>
      <x:c r="M357" s="23" t="str"/>
      <x:c r="N357" s="20" t="str">
        <x:v>ยังไม่ยืนยัน</x:v>
      </x:c>
      <x:c r="O35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57" s="25" t="n">
        <x:v>46315</x:v>
      </x:c>
      <x:c r="Q357" s="27" t="str">
        <x:v>ยังไม่ตรวจ</x:v>
      </x:c>
      <x:c r="R357" s="27" t="str">
        <x:v>รอติดต่อ</x:v>
      </x:c>
    </x:row>
    <x:row r="358" ht="96" customHeight="1">
      <x:c r="A358" s="24" t="str">
        <x:v>TMF-350</x:v>
      </x:c>
      <x:c r="B358" s="20" t="str">
        <x:v>น้องอานัส ข้าวแกงปักษ์ใต้</x:v>
      </x:c>
      <x:c r="C358" s="20" t="str">
        <x:v>ตราด</x:v>
      </x:c>
      <x:c r="D358" s="20" t="str">
        <x:v>คงไว้ในชุด 600</x:v>
      </x:c>
      <x:c r="E358" s="20" t="str">
        <x:v>หลักฐานไม่พอ รอยืนยันการเปิด</x:v>
      </x:c>
      <x:c r="F358" s="20" t="str">
        <x:v>ยังไม่ยืนยันการเปิดให้บริการปัจจุบัน</x:v>
      </x:c>
      <x:c r="G358" s="26" t="n">
        <x:v>1</x:v>
      </x:c>
      <x:c r="H358" s="23" t="str"/>
      <x:c r="I358" s="23" t="str"/>
      <x:c r="J358" s="23" t="str"/>
      <x:c r="K358" s="23" t="str"/>
      <x:c r="L358" s="23" t="str"/>
      <x:c r="M358" s="23" t="str"/>
      <x:c r="N358" s="20" t="str">
        <x:v>ยังไม่ยืนยัน</x:v>
      </x:c>
      <x:c r="O35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58" s="25" t="n">
        <x:v>46315</x:v>
      </x:c>
      <x:c r="Q358" s="27" t="str">
        <x:v>ยังไม่ตรวจ</x:v>
      </x:c>
      <x:c r="R358" s="27" t="str">
        <x:v>รอติดต่อ</x:v>
      </x:c>
    </x:row>
    <x:row r="359" ht="96" customHeight="1">
      <x:c r="A359" s="24" t="str">
        <x:v>TMF-351</x:v>
      </x:c>
      <x:c r="B359" s="20" t="str">
        <x:v>ฮัจเญาะห์ซาเราะห์ สมุนไพรไก่ทอด</x:v>
      </x:c>
      <x:c r="C359" s="20" t="str">
        <x:v>ตราด</x:v>
      </x:c>
      <x:c r="D359" s="20" t="str">
        <x:v>คงไว้ในชุด 600</x:v>
      </x:c>
      <x:c r="E359" s="20" t="str">
        <x:v>หลักฐานไม่พอ รอยืนยันการเปิด</x:v>
      </x:c>
      <x:c r="F359" s="20" t="str">
        <x:v>ยังไม่ยืนยันการเปิดให้บริการปัจจุบัน</x:v>
      </x:c>
      <x:c r="G359" s="26" t="n">
        <x:v>1</x:v>
      </x:c>
      <x:c r="H359" s="23" t="str"/>
      <x:c r="I359" s="23" t="str"/>
      <x:c r="J359" s="23" t="str"/>
      <x:c r="K359" s="23" t="str"/>
      <x:c r="L359" s="23" t="str"/>
      <x:c r="M359" s="23" t="str"/>
      <x:c r="N359" s="20" t="str">
        <x:v>ยังไม่ยืนยัน</x:v>
      </x:c>
      <x:c r="O35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59" s="25" t="n">
        <x:v>46315</x:v>
      </x:c>
      <x:c r="Q359" s="27" t="str">
        <x:v>ยังไม่ตรวจ</x:v>
      </x:c>
      <x:c r="R359" s="27" t="str">
        <x:v>รอติดต่อ</x:v>
      </x:c>
    </x:row>
    <x:row r="360" ht="96" customHeight="1">
      <x:c r="A360" s="24" t="str">
        <x:v>TMF-352</x:v>
      </x:c>
      <x:c r="B360" s="20" t="str">
        <x:v>Aria Restaurant</x:v>
      </x:c>
      <x:c r="C360" s="20" t="str">
        <x:v>นครราชสีมา</x:v>
      </x:c>
      <x:c r="D360" s="20" t="str">
        <x:v>คงไว้ในชุด 600</x:v>
      </x:c>
      <x:c r="E360" s="20" t="str">
        <x:v>หลักฐานไม่พอ รอยืนยันการเปิด</x:v>
      </x:c>
      <x:c r="F360" s="20" t="str">
        <x:v>ยังไม่ยืนยันการเปิดให้บริการปัจจุบัน</x:v>
      </x:c>
      <x:c r="G360" s="26" t="n">
        <x:v>1</x:v>
      </x:c>
      <x:c r="H360" s="23" t="str"/>
      <x:c r="I360" s="23" t="str"/>
      <x:c r="J360" s="23" t="str"/>
      <x:c r="K360" s="23" t="str"/>
      <x:c r="L360" s="23" t="str"/>
      <x:c r="M360" s="23" t="str"/>
      <x:c r="N360" s="20" t="str">
        <x:v>ยังไม่ยืนยัน</x:v>
      </x:c>
      <x:c r="O36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60" s="25" t="n">
        <x:v>46315</x:v>
      </x:c>
      <x:c r="Q360" s="27" t="str">
        <x:v>ยังไม่ตรวจ</x:v>
      </x:c>
      <x:c r="R360" s="27" t="str">
        <x:v>รอติดต่อ</x:v>
      </x:c>
    </x:row>
    <x:row r="361" ht="96" customHeight="1">
      <x:c r="A361" s="24" t="str">
        <x:v>TMF-353</x:v>
      </x:c>
      <x:c r="B361" s="20" t="str">
        <x:v>I HA DA ME</x:v>
      </x:c>
      <x:c r="C361" s="20" t="str">
        <x:v>นครราชสีมา</x:v>
      </x:c>
      <x:c r="D361" s="20" t="str">
        <x:v>คงไว้ในชุด 600</x:v>
      </x:c>
      <x:c r="E361" s="20" t="str">
        <x:v>หลักฐานไม่พอ รอยืนยันการเปิด</x:v>
      </x:c>
      <x:c r="F361" s="20" t="str">
        <x:v>ยังไม่ยืนยันการเปิดให้บริการปัจจุบัน</x:v>
      </x:c>
      <x:c r="G361" s="26" t="n">
        <x:v>1</x:v>
      </x:c>
      <x:c r="H361" s="23" t="str"/>
      <x:c r="I361" s="23" t="str"/>
      <x:c r="J361" s="23" t="str"/>
      <x:c r="K361" s="23" t="str"/>
      <x:c r="L361" s="23" t="str"/>
      <x:c r="M361" s="23" t="str"/>
      <x:c r="N361" s="20" t="str">
        <x:v>ยังไม่ยืนยัน</x:v>
      </x:c>
      <x:c r="O36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61" s="25" t="n">
        <x:v>46315</x:v>
      </x:c>
      <x:c r="Q361" s="27" t="str">
        <x:v>ยังไม่ตรวจ</x:v>
      </x:c>
      <x:c r="R361" s="27" t="str">
        <x:v>รอติดต่อ</x:v>
      </x:c>
    </x:row>
    <x:row r="362" ht="96" customHeight="1">
      <x:c r="A362" s="24" t="str">
        <x:v>TMF-354</x:v>
      </x:c>
      <x:c r="B362" s="20" t="str">
        <x:v>JR. โรตี</x:v>
      </x:c>
      <x:c r="C362" s="20" t="str">
        <x:v>นครราชสีมา</x:v>
      </x:c>
      <x:c r="D362" s="20" t="str">
        <x:v>คงไว้ในชุด 600</x:v>
      </x:c>
      <x:c r="E362" s="20" t="str">
        <x:v>หลักฐานไม่พอ รอยืนยันการเปิด</x:v>
      </x:c>
      <x:c r="F362" s="20" t="str">
        <x:v>ยังไม่ยืนยันการเปิดให้บริการปัจจุบัน</x:v>
      </x:c>
      <x:c r="G362" s="26" t="n">
        <x:v>1</x:v>
      </x:c>
      <x:c r="H362" s="23" t="str"/>
      <x:c r="I362" s="23" t="str"/>
      <x:c r="J362" s="23" t="str"/>
      <x:c r="K362" s="23" t="str"/>
      <x:c r="L362" s="23" t="str"/>
      <x:c r="M362" s="23" t="str"/>
      <x:c r="N362" s="20" t="str">
        <x:v>ยังไม่ยืนยัน</x:v>
      </x:c>
      <x:c r="O36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62" s="25" t="n">
        <x:v>46315</x:v>
      </x:c>
      <x:c r="Q362" s="27" t="str">
        <x:v>ยังไม่ตรวจ</x:v>
      </x:c>
      <x:c r="R362" s="27" t="str">
        <x:v>รอติดต่อ</x:v>
      </x:c>
    </x:row>
    <x:row r="363" ht="96" customHeight="1">
      <x:c r="A363" s="24" t="str">
        <x:v>TMF-355</x:v>
      </x:c>
      <x:c r="B363" s="20" t="str">
        <x:v>R.K. BURGER</x:v>
      </x:c>
      <x:c r="C363" s="20" t="str">
        <x:v>นครราชสีมา</x:v>
      </x:c>
      <x:c r="D363" s="20" t="str">
        <x:v>คงไว้ในชุด 600</x:v>
      </x:c>
      <x:c r="E363" s="20" t="str">
        <x:v>หลักฐานไม่พอ รอยืนยันการเปิด</x:v>
      </x:c>
      <x:c r="F363" s="20" t="str">
        <x:v>ยังไม่ยืนยันการเปิดให้บริการปัจจุบัน</x:v>
      </x:c>
      <x:c r="G363" s="26" t="n">
        <x:v>1</x:v>
      </x:c>
      <x:c r="H363" s="23" t="str"/>
      <x:c r="I363" s="23" t="str"/>
      <x:c r="J363" s="23" t="str"/>
      <x:c r="K363" s="23" t="str"/>
      <x:c r="L363" s="23" t="str"/>
      <x:c r="M363" s="23" t="str"/>
      <x:c r="N363" s="20" t="str">
        <x:v>ยังไม่ยืนยัน</x:v>
      </x:c>
      <x:c r="O36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63" s="25" t="n">
        <x:v>46315</x:v>
      </x:c>
      <x:c r="Q363" s="27" t="str">
        <x:v>ยังไม่ตรวจ</x:v>
      </x:c>
      <x:c r="R363" s="27" t="str">
        <x:v>รอติดต่อ</x:v>
      </x:c>
    </x:row>
    <x:row r="364" ht="96" customHeight="1">
      <x:c r="A364" s="24" t="str">
        <x:v>TMF-356</x:v>
      </x:c>
      <x:c r="B364" s="20" t="str">
        <x:v>ก๊ะรุ่ง ข้าวแกงใต้แอบแซ่บ</x:v>
      </x:c>
      <x:c r="C364" s="20" t="str">
        <x:v>นครราชสีมา</x:v>
      </x:c>
      <x:c r="D364" s="20" t="str">
        <x:v>คงไว้ในชุด 600</x:v>
      </x:c>
      <x:c r="E364" s="20" t="str">
        <x:v>หลักฐานไม่พอ รอยืนยันการเปิด</x:v>
      </x:c>
      <x:c r="F364" s="20" t="str">
        <x:v>ยังไม่ยืนยันการเปิดให้บริการปัจจุบัน</x:v>
      </x:c>
      <x:c r="G364" s="26" t="n">
        <x:v>1</x:v>
      </x:c>
      <x:c r="H364" s="23" t="str"/>
      <x:c r="I364" s="23" t="str"/>
      <x:c r="J364" s="23" t="str"/>
      <x:c r="K364" s="23" t="str"/>
      <x:c r="L364" s="23" t="str"/>
      <x:c r="M364" s="23" t="str"/>
      <x:c r="N364" s="20" t="str">
        <x:v>ยังไม่ยืนยัน</x:v>
      </x:c>
      <x:c r="O36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64" s="25" t="n">
        <x:v>46315</x:v>
      </x:c>
      <x:c r="Q364" s="27" t="str">
        <x:v>ยังไม่ตรวจ</x:v>
      </x:c>
      <x:c r="R364" s="27" t="str">
        <x:v>รอติดต่อ</x:v>
      </x:c>
    </x:row>
    <x:row r="365" ht="76" customHeight="1">
      <x:c r="A365" s="24" t="str">
        <x:v>TMF-357</x:v>
      </x:c>
      <x:c r="B365" s="20" t="str">
        <x:v>มัสยิดญันน่าตุ้ลฟิรเดาซ์ (ปากช่อง)</x:v>
      </x:c>
      <x:c r="C365" s="20" t="str">
        <x:v>นครราชสีมา</x:v>
      </x:c>
      <x:c r="D365" s="20" t="str">
        <x:v>คงไว้ในชุด 600</x:v>
      </x:c>
      <x:c r="E365" s="20" t="str">
        <x:v>พบหลายแหล่งสัมพันธ์กับชื่อ รอยืนยันการเปิด</x:v>
      </x:c>
      <x:c r="F365" s="20" t="str">
        <x:v>ยังไม่ยืนยันการเปิดให้บริการปัจจุบัน</x:v>
      </x:c>
      <x:c r="G365" s="26" t="n">
        <x:v>2</x:v>
      </x:c>
      <x:c r="H365" s="23" t="str"/>
      <x:c r="I365" s="23" t="str"/>
      <x:c r="J365" s="23" t="str"/>
      <x:c r="K365" s="23" t="str"/>
      <x:c r="L365" s="23" t="e">
        <x:f>HYPERLINK("https://www.ibank.co.th/th/news/detail/2021-03-16-16-16-58","เปิดเว็บเพิ่ม 1")</x:f>
        <x:v>HYPERLINK is not implemented. linkLocation=https://www.ibank.co.th/th/news/detail/2021-03-16-16-16-58, friendlyName=เปิดเว็บเพิ่ม 1</x:v>
      </x:c>
      <x:c r="M365" s="23" t="str"/>
      <x:c r="N365" s="20" t="str">
        <x:v>ยังไม่ยืนยัน</x:v>
      </x:c>
      <x:c r="O365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65" s="25" t="n">
        <x:v>46315</x:v>
      </x:c>
      <x:c r="Q365" s="27" t="str">
        <x:v>ยังไม่ตรวจ</x:v>
      </x:c>
      <x:c r="R365" s="27" t="str">
        <x:v>รอติดต่อ</x:v>
      </x:c>
    </x:row>
    <x:row r="366" ht="76" customHeight="1">
      <x:c r="A366" s="24" t="str">
        <x:v>TMF-358</x:v>
      </x:c>
      <x:c r="B366" s="20" t="str">
        <x:v>ชุมชนบ้านแหลม</x:v>
      </x:c>
      <x:c r="C366" s="20" t="str">
        <x:v>นครศรีธรรมราช</x:v>
      </x:c>
      <x:c r="D366" s="20" t="str">
        <x:v>คงไว้ในชุด 600</x:v>
      </x:c>
      <x:c r="E366" s="20" t="str">
        <x:v>พบหลายแหล่งสัมพันธ์กับชื่อ รอยืนยันการเปิด</x:v>
      </x:c>
      <x:c r="F366" s="20" t="str">
        <x:v>ยังไม่ยืนยันการเปิดให้บริการปัจจุบัน</x:v>
      </x:c>
      <x:c r="G366" s="26" t="n">
        <x:v>3</x:v>
      </x:c>
      <x:c r="H366" s="23" t="str"/>
      <x:c r="I366" s="23" t="str"/>
      <x:c r="J366" s="23" t="str"/>
      <x:c r="K366" s="23" t="str"/>
      <x:c r="L366" s="23" t="e">
        <x:f>HYPERLINK("https://www.faakraan.com/index.php/tourist/%E0%B8%99%E0%B8%84%E0%B8%A3%E0%B8%A8%E0%B8%A3%E0%B8%B5%E0%B8%98%E0%B8%A3%E0%B8%A3%E0%B8%A1%E0%B8%A3%E0%B8%B2%E0%B8%8A/%E0%B8%8A%E0%B8%B8%E0%B8%A1%E0%B8%8A%E0%B8%99%E0%B8%9A%E0%B9%89%E0%B8%B2%E0%B8%99%E0%B9%81%E0%B8%AB%E0%B8%A5%E0%B8%A1%20%E0%B8%99%E0%B8%84%E0%B8%A3%E0%B8%A8%E0%B8%A3%E0%B8%B5%E0%B8%98%E0%B8%A3%E0%B8%A3%E0%B8%A1%E0%B8%A3%E0%B8%B2%E0%B8%8A.html","เปิดเว็บเพิ่ม 1")</x:f>
        <x:v>HYPERLINK is not implemented. linkLocation=https://www.faakraan.com/index.php/tourist/%E0%B8%99%E0%B8%84%E0%B8%A3%E0%B8%A8%E0%B8%A3%E0%B8%B5%E0%B8%98%E0%B8%A3%E0%B8%A3%E0%B8%A1%E0%B8%A3%E0%B8%B2%E0%B8%8A/%E0%B8%8A%E0%B8%B8%E0%B8%A1%E0%B8%8A%E0%B8%99%E0%B8%9A%E0%B9%89%E0%B8%B2%E0%B8%99%E0%B9%81%E0%B8%AB%E0%B8%A5%E0%B8%A1%20%E0%B8%99%E0%B8%84%E0%B8%A3%E0%B8%A8%E0%B8%A3%E0%B8%B5%E0%B8%98%E0%B8%A3%E0%B8%A3%E0%B8%A1%E0%B8%A3%E0%B8%B2%E0%B8%8A.html, friendlyName=เปิดเว็บเพิ่ม 1</x:v>
      </x:c>
      <x:c r="M366" s="23" t="e">
        <x:f>HYPERLINK("https://wikicommunity.sac.or.th/community/1857","เปิดเว็บเพิ่ม 2")</x:f>
        <x:v>HYPERLINK is not implemented. linkLocation=https://wikicommunity.sac.or.th/community/1857, friendlyName=เปิดเว็บเพิ่ม 2</x:v>
      </x:c>
      <x:c r="N366" s="20" t="str">
        <x:v>ยังไม่ยืนยัน</x:v>
      </x:c>
      <x:c r="O366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66" s="25" t="n">
        <x:v>46315</x:v>
      </x:c>
      <x:c r="Q366" s="27" t="str">
        <x:v>ยังไม่ตรวจ</x:v>
      </x:c>
      <x:c r="R366" s="27" t="str">
        <x:v>รอติดต่อ</x:v>
      </x:c>
    </x:row>
    <x:row r="367" ht="76" customHeight="1">
      <x:c r="A367" s="24" t="str">
        <x:v>TMF-359</x:v>
      </x:c>
      <x:c r="B367" s="20" t="str">
        <x:v>โรงแรมทวินโลตัส จำกัด</x:v>
      </x:c>
      <x:c r="C367" s="20" t="str">
        <x:v>นครศรีธรรมราช</x:v>
      </x:c>
      <x:c r="D367" s="20" t="str">
        <x:v>คงไว้ในชุด 600</x:v>
      </x:c>
      <x:c r="E367" s="20" t="str">
        <x:v>พบหลายแหล่งสัมพันธ์กับชื่อ รอยืนยันการเปิด</x:v>
      </x:c>
      <x:c r="F367" s="20" t="str">
        <x:v>ยังไม่ยืนยันการเปิดให้บริการปัจจุบัน</x:v>
      </x:c>
      <x:c r="G367" s="26" t="n">
        <x:v>2</x:v>
      </x:c>
      <x:c r="H367" s="23" t="str"/>
      <x:c r="I367" s="23" t="str"/>
      <x:c r="J367" s="23" t="str"/>
      <x:c r="K367" s="23" t="str"/>
      <x:c r="L367" s="23" t="e">
        <x:f>HYPERLINK("https://www.thaimiceconnect.com/business/detail/19668","เปิดเว็บเพิ่ม 1")</x:f>
        <x:v>HYPERLINK is not implemented. linkLocation=https://www.thaimiceconnect.com/business/detail/19668, friendlyName=เปิดเว็บเพิ่ม 1</x:v>
      </x:c>
      <x:c r="M367" s="23" t="str"/>
      <x:c r="N367" s="20" t="str">
        <x:v>ยังไม่ยืนยัน</x:v>
      </x:c>
      <x:c r="O367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67" s="25" t="n">
        <x:v>46315</x:v>
      </x:c>
      <x:c r="Q367" s="27" t="str">
        <x:v>ยังไม่ตรวจ</x:v>
      </x:c>
      <x:c r="R367" s="27" t="str">
        <x:v>รอติดต่อ</x:v>
      </x:c>
    </x:row>
    <x:row r="368" ht="76" customHeight="1">
      <x:c r="A368" s="24" t="str">
        <x:v>TMF-360</x:v>
      </x:c>
      <x:c r="B368" s="20" t="str">
        <x:v>Kuncleleaw Korean Halal (สาขานนทบุรี)</x:v>
      </x:c>
      <x:c r="C368" s="20" t="str">
        <x:v>นนทบุรี</x:v>
      </x:c>
      <x:c r="D368" s="20" t="str">
        <x:v>คงไว้ในชุด 600</x:v>
      </x:c>
      <x:c r="E368" s="20" t="str">
        <x:v>พบหลายแหล่งสัมพันธ์กับชื่อ รอยืนยันการเปิด</x:v>
      </x:c>
      <x:c r="F368" s="20" t="str">
        <x:v>ยังไม่ยืนยันการเปิดให้บริการปัจจุบัน</x:v>
      </x:c>
      <x:c r="G368" s="26" t="n">
        <x:v>4</x:v>
      </x:c>
      <x:c r="H368" s="23" t="str"/>
      <x:c r="I368" s="23" t="str"/>
      <x:c r="J368" s="23" t="e">
        <x:f>HYPERLINK("https://www.lemon8-app.com/%40iice.sps/7544955780450042385?region=th","เปิดหน้ารีวิว 1")</x:f>
        <x:v>HYPERLINK is not implemented. linkLocation=https://www.lemon8-app.com/%40iice.sps/7544955780450042385?region=th, friendlyName=เปิดหน้ารีวิว 1</x:v>
      </x:c>
      <x:c r="K368" s="23" t="e">
        <x:f>HYPERLINK("https://restaurantguru.com/Kuncleleaw-Korean-Halal-Bangkok","เปิดหน้ารีวิว 2")</x:f>
        <x:v>HYPERLINK is not implemented. linkLocation=https://restaurantguru.com/Kuncleleaw-Korean-Halal-Bangkok, friendlyName=เปิดหน้ารีวิว 2</x:v>
      </x:c>
      <x:c r="L368" s="23" t="e">
        <x:f>HYPERLINK("https://ehalal.co/restaurant/ChIJ11UFqmib4jARYuD0ImJVxR8","เปิดเว็บเพิ่ม 1")</x:f>
        <x:v>HYPERLINK is not implemented. linkLocation=https://ehalal.co/restaurant/ChIJ11UFqmib4jARYuD0ImJVxR8, friendlyName=เปิดเว็บเพิ่ม 1</x:v>
      </x:c>
      <x:c r="M368" s="23" t="str"/>
      <x:c r="N368" s="20" t="str">
        <x:v>ยังไม่ยืนยัน</x:v>
      </x:c>
      <x:c r="O36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68" s="25" t="n">
        <x:v>46315</x:v>
      </x:c>
      <x:c r="Q368" s="27" t="str">
        <x:v>ยังไม่ตรวจ</x:v>
      </x:c>
      <x:c r="R368" s="27" t="str">
        <x:v>รอติดต่อ</x:v>
      </x:c>
    </x:row>
    <x:row r="369" ht="76" customHeight="1">
      <x:c r="A369" s="24" t="str">
        <x:v>TMF-361</x:v>
      </x:c>
      <x:c r="B369" s="20" t="str">
        <x:v>Mr.bung steak</x:v>
      </x:c>
      <x:c r="C369" s="20" t="str">
        <x:v>นนทบุรี</x:v>
      </x:c>
      <x:c r="D369" s="20" t="str">
        <x:v>คงไว้ในชุด 600</x:v>
      </x:c>
      <x:c r="E369" s="20" t="str">
        <x:v>พบหลายแหล่งสัมพันธ์กับชื่อ รอยืนยันการเปิด</x:v>
      </x:c>
      <x:c r="F369" s="20" t="str">
        <x:v>ยังไม่ยืนยันการเปิดให้บริการปัจจุบัน</x:v>
      </x:c>
      <x:c r="G369" s="26" t="n">
        <x:v>2</x:v>
      </x:c>
      <x:c r="H369" s="23" t="str"/>
      <x:c r="I369" s="23" t="str"/>
      <x:c r="J369" s="23" t="e">
        <x:f>HYPERLINK("https://www.lemon8-app.com/%40kanokwan.ntt/7653770234663158280?region=th","เปิดหน้ารีวิว 1")</x:f>
        <x:v>HYPERLINK is not implemented. linkLocation=https://www.lemon8-app.com/%40kanokwan.ntt/7653770234663158280?region=th, friendlyName=เปิดหน้ารีวิว 1</x:v>
      </x:c>
      <x:c r="K369" s="23" t="e">
        <x:f>HYPERLINK("https://www.lemon8-app.com/%40kanokwan.ntt/7653770234663158280?region=us","เปิดหน้ารีวิว 2")</x:f>
        <x:v>HYPERLINK is not implemented. linkLocation=https://www.lemon8-app.com/%40kanokwan.ntt/7653770234663158280?region=us, friendlyName=เปิดหน้ารีวิว 2</x:v>
      </x:c>
      <x:c r="L369" s="23" t="str"/>
      <x:c r="M369" s="23" t="str"/>
      <x:c r="N369" s="20" t="str">
        <x:v>ยังไม่ยืนยัน</x:v>
      </x:c>
      <x:c r="O36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69" s="25" t="n">
        <x:v>46315</x:v>
      </x:c>
      <x:c r="Q369" s="27" t="str">
        <x:v>ยังไม่ตรวจ</x:v>
      </x:c>
      <x:c r="R369" s="27" t="str">
        <x:v>รอติดต่อ</x:v>
      </x:c>
    </x:row>
    <x:row r="370" ht="76" customHeight="1">
      <x:c r="A370" s="24" t="str">
        <x:v>TMF-362</x:v>
      </x:c>
      <x:c r="B370" s="20" t="str">
        <x:v>Shibuya Japanese curry</x:v>
      </x:c>
      <x:c r="C370" s="20" t="str">
        <x:v>นนทบุรี</x:v>
      </x:c>
      <x:c r="D370" s="20" t="str">
        <x:v>คงไว้ในชุด 600</x:v>
      </x:c>
      <x:c r="E370" s="20" t="str">
        <x:v>พบหลายแหล่งสัมพันธ์กับชื่อ รอยืนยันการเปิด</x:v>
      </x:c>
      <x:c r="F370" s="20" t="str">
        <x:v>ยังไม่ยืนยันการเปิดให้บริการปัจจุบัน</x:v>
      </x:c>
      <x:c r="G370" s="26" t="n">
        <x:v>3</x:v>
      </x:c>
      <x:c r="H370" s="23" t="str"/>
      <x:c r="I370" s="23" t="str"/>
      <x:c r="J370" s="23" t="e">
        <x:f>HYPERLINK("https://www.wongnai.com/restaurants/2088105Ic-shibuya-japanese-curry-%E0%B8%AA%E0%B8%B2%E0%B8%82%E0%B8%B2caltex-%E0%B8%A3%E0%B8%B2%E0%B8%8A%E0%B8%9E%E0%B8%A4%E0%B8%81%E0%B8%A9%E0%B9%8C-%E0%B8%A3%E0%B8%B1%E0%B8%95%E0%B8%99%E0%B8%B2%E0%B8%98%E0%B8%B4%E0%B9%80%E0%B8%9A%E0%B8%A8%E0%B8%A3%E0%B9%8C","เปิดหน้ารีวิว 1")</x:f>
        <x:v>HYPERLINK is not implemented. linkLocation=https://www.wongnai.com/restaurants/2088105Ic-shibuya-japanese-curry-%E0%B8%AA%E0%B8%B2%E0%B8%82%E0%B8%B2caltex-%E0%B8%A3%E0%B8%B2%E0%B8%8A%E0%B8%9E%E0%B8%A4%E0%B8%81%E0%B8%A9%E0%B9%8C-%E0%B8%A3%E0%B8%B1%E0%B8%95%E0%B8%99%E0%B8%B2%E0%B8%98%E0%B8%B4%E0%B9%80%E0%B8%9A%E0%B8%A8%E0%B8%A3%E0%B9%8C, friendlyName=เปิดหน้ารีวิว 1</x:v>
      </x:c>
      <x:c r="K370" s="23" t="e">
        <x:f>HYPERLINK("https://www.wongnai.com/restaurants/2088126Oq-shibuya-japanese-curry-%E0%B8%82%E0%B9%89%E0%B8%B2%E0%B8%A7%E0%B9%81%E0%B8%81%E0%B8%87%E0%B8%81%E0%B8%B0%E0%B8%AB%E0%B8%A3%E0%B8%B5%E0%B9%88-%E0%B8%8D%E0%B8%B5%E0%B9%88%E0%B8%9B%E0%B8%B8%E0%B9%88%E0%B8%99-tonsak-market","เปิดหน้ารีวิว 2")</x:f>
        <x:v>HYPERLINK is not implemented. linkLocation=https://www.wongnai.com/restaurants/2088126Oq-shibuya-japanese-curry-%E0%B8%82%E0%B9%89%E0%B8%B2%E0%B8%A7%E0%B9%81%E0%B8%81%E0%B8%87%E0%B8%81%E0%B8%B0%E0%B8%AB%E0%B8%A3%E0%B8%B5%E0%B9%88-%E0%B8%8D%E0%B8%B5%E0%B9%88%E0%B8%9B%E0%B8%B8%E0%B9%88%E0%B8%99-tonsak-market, friendlyName=เปิดหน้ารีวิว 2</x:v>
      </x:c>
      <x:c r="L370" s="23" t="str"/>
      <x:c r="M370" s="23" t="str"/>
      <x:c r="N370" s="20" t="str">
        <x:v>ยังไม่ยืนยัน</x:v>
      </x:c>
      <x:c r="O37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70" s="25" t="n">
        <x:v>46315</x:v>
      </x:c>
      <x:c r="Q370" s="27" t="str">
        <x:v>ยังไม่ตรวจ</x:v>
      </x:c>
      <x:c r="R370" s="27" t="str">
        <x:v>รอติดต่อ</x:v>
      </x:c>
    </x:row>
    <x:row r="371" ht="96" customHeight="1">
      <x:c r="A371" s="24" t="str">
        <x:v>TMF-363</x:v>
      </x:c>
      <x:c r="B371" s="20" t="str">
        <x:v>ZIN Steak and Dessert</x:v>
      </x:c>
      <x:c r="C371" s="20" t="str">
        <x:v>นนทบุรี</x:v>
      </x:c>
      <x:c r="D371" s="20" t="str">
        <x:v>คงไว้ในชุด 600</x:v>
      </x:c>
      <x:c r="E371" s="20" t="str">
        <x:v>หลักฐานไม่พอ รอยืนยันการเปิด</x:v>
      </x:c>
      <x:c r="F371" s="20" t="str">
        <x:v>ยังไม่ยืนยันการเปิดให้บริการปัจจุบัน</x:v>
      </x:c>
      <x:c r="G371" s="26" t="n">
        <x:v>1</x:v>
      </x:c>
      <x:c r="H371" s="23" t="str"/>
      <x:c r="I371" s="23" t="str"/>
      <x:c r="J371" s="23" t="str"/>
      <x:c r="K371" s="23" t="str"/>
      <x:c r="L371" s="23" t="str"/>
      <x:c r="M371" s="23" t="str"/>
      <x:c r="N371" s="20" t="str">
        <x:v>ยังไม่ยืนยัน</x:v>
      </x:c>
      <x:c r="O37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71" s="25" t="n">
        <x:v>46315</x:v>
      </x:c>
      <x:c r="Q371" s="27" t="str">
        <x:v>ยังไม่ตรวจ</x:v>
      </x:c>
      <x:c r="R371" s="27" t="str">
        <x:v>รอติดต่อ</x:v>
      </x:c>
    </x:row>
    <x:row r="372" ht="96" customHeight="1">
      <x:c r="A372" s="24" t="str">
        <x:v>TMF-364</x:v>
      </x:c>
      <x:c r="B372" s="20" t="str">
        <x:v>ก๋วยเตี๋ยวนูรีน</x:v>
      </x:c>
      <x:c r="C372" s="20" t="str">
        <x:v>นนทบุรี</x:v>
      </x:c>
      <x:c r="D372" s="20" t="str">
        <x:v>คงไว้ในชุด 600</x:v>
      </x:c>
      <x:c r="E372" s="20" t="str">
        <x:v>หลักฐานไม่พอ รอยืนยันการเปิด</x:v>
      </x:c>
      <x:c r="F372" s="20" t="str">
        <x:v>ยังไม่ยืนยันการเปิดให้บริการปัจจุบัน</x:v>
      </x:c>
      <x:c r="G372" s="26" t="n">
        <x:v>1</x:v>
      </x:c>
      <x:c r="H372" s="23" t="str"/>
      <x:c r="I372" s="23" t="str"/>
      <x:c r="J372" s="23" t="str"/>
      <x:c r="K372" s="23" t="str"/>
      <x:c r="L372" s="23" t="str"/>
      <x:c r="M372" s="23" t="str"/>
      <x:c r="N372" s="20" t="str">
        <x:v>ยังไม่ยืนยัน</x:v>
      </x:c>
      <x:c r="O37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72" s="25" t="n">
        <x:v>46315</x:v>
      </x:c>
      <x:c r="Q372" s="27" t="str">
        <x:v>ยังไม่ตรวจ</x:v>
      </x:c>
      <x:c r="R372" s="27" t="str">
        <x:v>รอติดต่อ</x:v>
      </x:c>
    </x:row>
    <x:row r="373" ht="76" customHeight="1">
      <x:c r="A373" s="24" t="str">
        <x:v>TMF-365</x:v>
      </x:c>
      <x:c r="B373" s="20" t="str">
        <x:v>โรงแรมอิมพีเรียล นราธิวาส</x:v>
      </x:c>
      <x:c r="C373" s="20" t="str">
        <x:v>นราธิวาส</x:v>
      </x:c>
      <x:c r="D373" s="20" t="str">
        <x:v>คงไว้ในชุด 600</x:v>
      </x:c>
      <x:c r="E373" s="20" t="str">
        <x:v>พบหลายแหล่งสัมพันธ์กับชื่อ รอยืนยันการเปิด</x:v>
      </x:c>
      <x:c r="F373" s="20" t="str">
        <x:v>ยังไม่ยืนยันการเปิดให้บริการปัจจุบัน</x:v>
      </x:c>
      <x:c r="G373" s="26" t="n">
        <x:v>9</x:v>
      </x:c>
      <x:c r="H373" s="23" t="str"/>
      <x:c r="I373" s="23" t="str"/>
      <x:c r="J373" s="23" t="e">
        <x:f>HYPERLINK("https://www.booking.com/hotel/th/the-imperial-narathiwat.th.html","เปิดหน้ารีวิว 1")</x:f>
        <x:v>HYPERLINK is not implemented. linkLocation=https://www.booking.com/hotel/th/the-imperial-narathiwat.th.html, friendlyName=เปิดหน้ารีวิว 1</x:v>
      </x:c>
      <x:c r="K373" s="23" t="e">
        <x:f>HYPERLINK("https://www.agoda.com/th-th/imperial-narathiwat-hotel/hotel/narathiwat-th.html","เปิดหน้ารีวิว 2")</x:f>
        <x:v>HYPERLINK is not implemented. linkLocation=https://www.agoda.com/th-th/imperial-narathiwat-hotel/hotel/narathiwat-th.html, friendlyName=เปิดหน้ารีวิว 2</x:v>
      </x:c>
      <x:c r="L373" s="23" t="e">
        <x:f>HYPERLINK("https://www.traveloka.com/th-th/hotel/thailand/imperial-narathiwat-hotel-1000000269275","เปิดเว็บเพิ่ม 1")</x:f>
        <x:v>HYPERLINK is not implemented. linkLocation=https://www.traveloka.com/th-th/hotel/thailand/imperial-narathiwat-hotel-1000000269275, friendlyName=เปิดเว็บเพิ่ม 1</x:v>
      </x:c>
      <x:c r="M373" s="23" t="e">
        <x:f>HYPERLINK("https://www.hotelscombined.co.th/Hotel/The_Imperial_Narathiwat_Hotel.htm?skipapp=true","เปิดเว็บเพิ่ม 2")</x:f>
        <x:v>HYPERLINK is not implemented. linkLocation=https://www.hotelscombined.co.th/Hotel/The_Imperial_Narathiwat_Hotel.htm?skipapp=true, friendlyName=เปิดเว็บเพิ่ม 2</x:v>
      </x:c>
      <x:c r="N373" s="20" t="str">
        <x:v>ยังไม่ยืนยัน</x:v>
      </x:c>
      <x:c r="O37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73" s="25" t="n">
        <x:v>46315</x:v>
      </x:c>
      <x:c r="Q373" s="27" t="str">
        <x:v>ยังไม่ตรวจ</x:v>
      </x:c>
      <x:c r="R373" s="27" t="str">
        <x:v>รอติดต่อ</x:v>
      </x:c>
    </x:row>
    <x:row r="374" ht="76" customHeight="1">
      <x:c r="A374" s="24" t="str">
        <x:v>TMF-366</x:v>
      </x:c>
      <x:c r="B374" s="20" t="str">
        <x:v>มัสยิดวาดีลฮูเซ็น</x:v>
      </x:c>
      <x:c r="C374" s="20" t="str">
        <x:v>นราธิวาส</x:v>
      </x:c>
      <x:c r="D374" s="20" t="str">
        <x:v>คงไว้ในชุด 600</x:v>
      </x:c>
      <x:c r="E374" s="20" t="str">
        <x:v>พบหลายแหล่งสัมพันธ์กับชื่อ รอยืนยันการเปิด</x:v>
      </x:c>
      <x:c r="F374" s="20" t="str">
        <x:v>ยังไม่ยืนยันการเปิดให้บริการปัจจุบัน</x:v>
      </x:c>
      <x:c r="G374" s="26" t="n">
        <x:v>4</x:v>
      </x:c>
      <x:c r="H374" s="23" t="str"/>
      <x:c r="I374" s="23" t="str"/>
      <x:c r="J374" s="23" t="e">
        <x:f>HYPERLINK("https://www.wongnai.com/reviews/91ed419dc1c540e7bd34bafafe5042a9","เปิดหน้ารีวิว 1")</x:f>
        <x:v>HYPERLINK is not implemented. linkLocation=https://www.wongnai.com/reviews/91ed419dc1c540e7bd34bafafe5042a9, friendlyName=เปิดหน้ารีวิว 1</x:v>
      </x:c>
      <x:c r="K374" s="23" t="e">
        <x:f>HYPERLINK("https://www.wongnai.com/reviews/cc7ecea00f464f1693bfb7f2504d71de","เปิดหน้ารีวิว 2")</x:f>
        <x:v>HYPERLINK is not implemented. linkLocation=https://www.wongnai.com/reviews/cc7ecea00f464f1693bfb7f2504d71de, friendlyName=เปิดหน้ารีวิว 2</x:v>
      </x:c>
      <x:c r="L374" s="23" t="e">
        <x:f>HYPERLINK("https://www.narathiwatpao.go.th/directory/%E0%B8%A1%E0%B8%B1%E0%B8%AA%E0%B8%A2%E0%B8%B4%E0%B8%94%E0%B8%A7%E0%B8%B2%E0%B8%94%E0%B8%B5%E0%B8%A5%E0%B8%AE%E0%B8%B9%E0%B9%80%E0%B8%8B%E0%B9%87%E0%B8%99/","เปิดเว็บเพิ่ม 1")</x:f>
        <x:v>HYPERLINK is not implemented. linkLocation=https://www.narathiwatpao.go.th/directory/%E0%B8%A1%E0%B8%B1%E0%B8%AA%E0%B8%A2%E0%B8%B4%E0%B8%94%E0%B8%A7%E0%B8%B2%E0%B8%94%E0%B8%B5%E0%B8%A5%E0%B8%AE%E0%B8%B9%E0%B9%80%E0%B8%8B%E0%B9%87%E0%B8%99/, friendlyName=เปิดเว็บเพิ่ม 1</x:v>
      </x:c>
      <x:c r="M374" s="23" t="e">
        <x:f>HYPERLINK("https://travel.trueid.net/detail/3BWMMJwNnY0Z","เปิดเว็บเพิ่ม 2")</x:f>
        <x:v>HYPERLINK is not implemented. linkLocation=https://travel.trueid.net/detail/3BWMMJwNnY0Z, friendlyName=เปิดเว็บเพิ่ม 2</x:v>
      </x:c>
      <x:c r="N374" s="20" t="str">
        <x:v>ยังไม่ยืนยัน</x:v>
      </x:c>
      <x:c r="O37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74" s="25" t="n">
        <x:v>46315</x:v>
      </x:c>
      <x:c r="Q374" s="27" t="str">
        <x:v>ยังไม่ตรวจ</x:v>
      </x:c>
      <x:c r="R374" s="27" t="str">
        <x:v>รอติดต่อ</x:v>
      </x:c>
    </x:row>
    <x:row r="375" ht="96" customHeight="1">
      <x:c r="A375" s="24" t="str">
        <x:v>TMF-367</x:v>
      </x:c>
      <x:c r="B375" s="20" t="str">
        <x:v>ก๋วยเตี๋ยว ข้าวมันไก่ โก๋ฟา</x:v>
      </x:c>
      <x:c r="C375" s="20" t="str">
        <x:v>ปทุมธานี</x:v>
      </x:c>
      <x:c r="D375" s="20" t="str">
        <x:v>คงไว้ในชุด 600</x:v>
      </x:c>
      <x:c r="E375" s="20" t="str">
        <x:v>หลักฐานไม่พอ รอยืนยันการเปิด</x:v>
      </x:c>
      <x:c r="F375" s="20" t="str">
        <x:v>ยังไม่ยืนยันการเปิดให้บริการปัจจุบัน</x:v>
      </x:c>
      <x:c r="G375" s="26" t="n">
        <x:v>1</x:v>
      </x:c>
      <x:c r="H375" s="23" t="str"/>
      <x:c r="I375" s="23" t="str"/>
      <x:c r="J375" s="23" t="str"/>
      <x:c r="K375" s="23" t="str"/>
      <x:c r="L375" s="23" t="str"/>
      <x:c r="M375" s="23" t="str"/>
      <x:c r="N375" s="20" t="str">
        <x:v>ยังไม่ยืนยัน</x:v>
      </x:c>
      <x:c r="O37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75" s="25" t="n">
        <x:v>46315</x:v>
      </x:c>
      <x:c r="Q375" s="27" t="str">
        <x:v>ยังไม่ตรวจ</x:v>
      </x:c>
      <x:c r="R375" s="27" t="str">
        <x:v>รอติดต่อ</x:v>
      </x:c>
    </x:row>
    <x:row r="376" ht="96" customHeight="1">
      <x:c r="A376" s="24" t="str">
        <x:v>TMF-368</x:v>
      </x:c>
      <x:c r="B376" s="20" t="str">
        <x:v>ก๋วยเตี๋ยวเนื้อ &amp; ไก่อาหารอิสลาม</x:v>
      </x:c>
      <x:c r="C376" s="20" t="str">
        <x:v>ปทุมธานี</x:v>
      </x:c>
      <x:c r="D376" s="20" t="str">
        <x:v>คงไว้ในชุด 600</x:v>
      </x:c>
      <x:c r="E376" s="20" t="str">
        <x:v>หลักฐานไม่พอ รอยืนยันการเปิด</x:v>
      </x:c>
      <x:c r="F376" s="20" t="str">
        <x:v>ยังไม่ยืนยันการเปิดให้บริการปัจจุบัน</x:v>
      </x:c>
      <x:c r="G376" s="26" t="n">
        <x:v>1</x:v>
      </x:c>
      <x:c r="H376" s="23" t="str"/>
      <x:c r="I376" s="23" t="str"/>
      <x:c r="J376" s="23" t="str"/>
      <x:c r="K376" s="23" t="str"/>
      <x:c r="L376" s="23" t="str"/>
      <x:c r="M376" s="23" t="str"/>
      <x:c r="N376" s="20" t="str">
        <x:v>ยังไม่ยืนยัน</x:v>
      </x:c>
      <x:c r="O37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76" s="25" t="n">
        <x:v>46315</x:v>
      </x:c>
      <x:c r="Q376" s="27" t="str">
        <x:v>ยังไม่ตรวจ</x:v>
      </x:c>
      <x:c r="R376" s="27" t="str">
        <x:v>รอติดต่อ</x:v>
      </x:c>
    </x:row>
    <x:row r="377" ht="76" customHeight="1">
      <x:c r="A377" s="24" t="str">
        <x:v>TMF-369</x:v>
      </x:c>
      <x:c r="B377" s="20" t="str">
        <x:v>ข้าวมันไก่หวังบู่ สาขาหน้าเซเว่นมัสยิดแก้วนิมิตร</x:v>
      </x:c>
      <x:c r="C377" s="20" t="str">
        <x:v>ปทุมธานี</x:v>
      </x:c>
      <x:c r="D377" s="20" t="str">
        <x:v>คงไว้ในชุด 600</x:v>
      </x:c>
      <x:c r="E377" s="20" t="str">
        <x:v>พบหลายแหล่งสัมพันธ์กับชื่อ รอยืนยันการเปิด</x:v>
      </x:c>
      <x:c r="F377" s="20" t="str">
        <x:v>ยังไม่ยืนยันการเปิดให้บริการปัจจุบัน</x:v>
      </x:c>
      <x:c r="G377" s="26" t="n">
        <x:v>2</x:v>
      </x:c>
      <x:c r="H377" s="23" t="str"/>
      <x:c r="I377" s="23" t="str"/>
      <x:c r="J377" s="23" t="str"/>
      <x:c r="K377" s="23" t="str"/>
      <x:c r="L377" s="23" t="e">
        <x:f>HYPERLINK("https://thi.worldorgs.com/%E0%B9%81%E0%B8%84%E0%B8%95%E0%B8%95%E0%B8%B2%E0%B8%A5%E0%B9%87%E0%B8%AD%E0%B8%81/%E0%B8%AD%E0%B8%B3%E0%B9%80%E0%B8%A0%E0%B8%AD%E0%B9%80%E0%B8%A1%E0%B8%B7%E0%B8%AD%E0%B8%87%E0%B8%9B%E0%B8%97%E0%B8%B8%E0%B8%A1%E0%B8%98%E0%B8%B2%E0%B8%99%E0%B8%B5/%E0%B8%A0%E0%B8%B1%E0%B8%95%E0%B8%95%E0%B8%B2%E0%B8%84%E0%B8%B2%E0%B8%A3%E0%B8%AD%E0%B8%B2%E0%B8%AB%E0%B8%B2%E0%B8%A3%E0%B8%9B%E0%B8%A3%E0%B8%B0%E0%B9%80%E0%B8%A0%E0%B8%97%E0%B9%84%E0%B8%81%E0%B9%88/%E0%B8%A3%E0%B9%89%E0%B8%B2%E0%B8%99%E0%B8%82%E0%B9%89%E0%B8%B2%E0%B8%A7%E0%B8%A1%E0%B8%B1%E0%B8%99%E0%B9%84%E0%B8%81%E0%B9%88%E0%B8%AB%E0%B8%A7%E0%B8%B1%E0%B8%87%E0%B8%9A%E0%B8%B9%E0%B9%88","เปิดเว็บเพิ่ม 1")</x:f>
        <x:v>HYPERLINK is not implemented. linkLocation=https://thi.worldorgs.com/%E0%B9%81%E0%B8%84%E0%B8%95%E0%B8%95%E0%B8%B2%E0%B8%A5%E0%B9%87%E0%B8%AD%E0%B8%81/%E0%B8%AD%E0%B8%B3%E0%B9%80%E0%B8%A0%E0%B8%AD%E0%B9%80%E0%B8%A1%E0%B8%B7%E0%B8%AD%E0%B8%87%E0%B8%9B%E0%B8%97%E0%B8%B8%E0%B8%A1%E0%B8%98%E0%B8%B2%E0%B8%99%E0%B8%B5/%E0%B8%A0%E0%B8%B1%E0%B8%95%E0%B8%95%E0%B8%B2%E0%B8%84%E0%B8%B2%E0%B8%A3%E0%B8%AD%E0%B8%B2%E0%B8%AB%E0%B8%B2%E0%B8%A3%E0%B8%9B%E0%B8%A3%E0%B8%B0%E0%B9%80%E0%B8%A0%E0%B8%97%E0%B9%84%E0%B8%81%E0%B9%88/%E0%B8%A3%E0%B9%89%E0%B8%B2%E0%B8%99%E0%B8%82%E0%B9%89%E0%B8%B2%E0%B8%A7%E0%B8%A1%E0%B8%B1%E0%B8%99%E0%B9%84%E0%B8%81%E0%B9%88%E0%B8%AB%E0%B8%A7%E0%B8%B1%E0%B8%87%E0%B8%9A%E0%B8%B9%E0%B9%88, friendlyName=เปิดเว็บเพิ่ม 1</x:v>
      </x:c>
      <x:c r="M377" s="23" t="str"/>
      <x:c r="N377" s="20" t="str">
        <x:v>ยังไม่ยืนยัน</x:v>
      </x:c>
      <x:c r="O377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77" s="25" t="n">
        <x:v>46315</x:v>
      </x:c>
      <x:c r="Q377" s="27" t="str">
        <x:v>ยังไม่ตรวจ</x:v>
      </x:c>
      <x:c r="R377" s="27" t="str">
        <x:v>รอติดต่อ</x:v>
      </x:c>
    </x:row>
    <x:row r="378" ht="96" customHeight="1">
      <x:c r="A378" s="24" t="str">
        <x:v>TMF-370</x:v>
      </x:c>
      <x:c r="B378" s="20" t="str">
        <x:v>ครัวฟาตีมะห์-หวังรัญ</x:v>
      </x:c>
      <x:c r="C378" s="20" t="str">
        <x:v>ปทุมธานี</x:v>
      </x:c>
      <x:c r="D378" s="20" t="str">
        <x:v>คงไว้ในชุด 600</x:v>
      </x:c>
      <x:c r="E378" s="20" t="str">
        <x:v>หลักฐานไม่พอ รอยืนยันการเปิด</x:v>
      </x:c>
      <x:c r="F378" s="20" t="str">
        <x:v>ยังไม่ยืนยันการเปิดให้บริการปัจจุบัน</x:v>
      </x:c>
      <x:c r="G378" s="26" t="n">
        <x:v>1</x:v>
      </x:c>
      <x:c r="H378" s="23" t="str"/>
      <x:c r="I378" s="23" t="str"/>
      <x:c r="J378" s="23" t="str"/>
      <x:c r="K378" s="23" t="str"/>
      <x:c r="L378" s="23" t="str"/>
      <x:c r="M378" s="23" t="str"/>
      <x:c r="N378" s="20" t="str">
        <x:v>ยังไม่ยืนยัน</x:v>
      </x:c>
      <x:c r="O37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78" s="25" t="n">
        <x:v>46315</x:v>
      </x:c>
      <x:c r="Q378" s="27" t="str">
        <x:v>ยังไม่ตรวจ</x:v>
      </x:c>
      <x:c r="R378" s="27" t="str">
        <x:v>รอติดต่อ</x:v>
      </x:c>
    </x:row>
    <x:row r="379" ht="76" customHeight="1">
      <x:c r="A379" s="24" t="str">
        <x:v>TMF-371</x:v>
      </x:c>
      <x:c r="B379" s="20" t="str">
        <x:v>ครัวเตาถ่าน</x:v>
      </x:c>
      <x:c r="C379" s="20" t="str">
        <x:v>ปทุมธานี</x:v>
      </x:c>
      <x:c r="D379" s="20" t="str">
        <x:v>คงไว้ในชุด 600</x:v>
      </x:c>
      <x:c r="E379" s="20" t="str">
        <x:v>พบหลายแหล่งสัมพันธ์กับชื่อ รอยืนยันการเปิด</x:v>
      </x:c>
      <x:c r="F379" s="20" t="str">
        <x:v>ยังไม่ยืนยันการเปิดให้บริการปัจจุบัน</x:v>
      </x:c>
      <x:c r="G379" s="26" t="n">
        <x:v>2</x:v>
      </x:c>
      <x:c r="H379" s="23" t="str"/>
      <x:c r="I379" s="23" t="str"/>
      <x:c r="J379" s="23" t="e">
        <x:f>HYPERLINK("https://www.wongnai.com/restaurants/1405361WJ-%E0%B8%84%E0%B8%A3%E0%B8%B1%E0%B8%A7%E0%B9%80%E0%B8%95%E0%B8%B2%E0%B8%96%E0%B9%88%E0%B8%B2%E0%B8%99","เปิดหน้ารีวิว 1")</x:f>
        <x:v>HYPERLINK is not implemented. linkLocation=https://www.wongnai.com/restaurants/1405361WJ-%E0%B8%84%E0%B8%A3%E0%B8%B1%E0%B8%A7%E0%B9%80%E0%B8%95%E0%B8%B2%E0%B8%96%E0%B9%88%E0%B8%B2%E0%B8%99, friendlyName=เปิดหน้ารีวิว 1</x:v>
      </x:c>
      <x:c r="K379" s="23" t="str"/>
      <x:c r="L379" s="23" t="str"/>
      <x:c r="M379" s="23" t="str"/>
      <x:c r="N379" s="20" t="str">
        <x:v>ยังไม่ยืนยัน</x:v>
      </x:c>
      <x:c r="O37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79" s="25" t="n">
        <x:v>46315</x:v>
      </x:c>
      <x:c r="Q379" s="27" t="str">
        <x:v>ยังไม่ตรวจ</x:v>
      </x:c>
      <x:c r="R379" s="27" t="str">
        <x:v>รอติดต่อ</x:v>
      </x:c>
    </x:row>
    <x:row r="380" ht="76" customHeight="1">
      <x:c r="A380" s="24" t="str">
        <x:v>TMF-372</x:v>
      </x:c>
      <x:c r="B380" s="20" t="str">
        <x:v>ดรีมเวิลด์</x:v>
      </x:c>
      <x:c r="C380" s="20" t="str">
        <x:v>ปทุมธานี</x:v>
      </x:c>
      <x:c r="D380" s="20" t="str">
        <x:v>คงไว้ในชุด 600</x:v>
      </x:c>
      <x:c r="E380" s="20" t="str">
        <x:v>พบหลายแหล่งสัมพันธ์กับชื่อ รอยืนยันการเปิด</x:v>
      </x:c>
      <x:c r="F380" s="20" t="str">
        <x:v>ยังไม่ยืนยันการเปิดให้บริการปัจจุบัน</x:v>
      </x:c>
      <x:c r="G380" s="26" t="n">
        <x:v>8</x:v>
      </x:c>
      <x:c r="H380" s="23" t="str"/>
      <x:c r="I380" s="23" t="str"/>
      <x:c r="J380" s="23" t="e">
        <x:f>HYPERLINK("https://www.wongnai.com/attractions/324836PL-%E0%B8%94%E0%B8%A3%E0%B8%B5%E0%B8%A1%E0%B9%80%E0%B8%A7%E0%B8%B4%E0%B8%A5%E0%B8%94%E0%B9%8C","เปิดหน้ารีวิว 1")</x:f>
        <x:v>HYPERLINK is not implemented. linkLocation=https://www.wongnai.com/attractions/324836PL-%E0%B8%94%E0%B8%A3%E0%B8%B5%E0%B8%A1%E0%B9%80%E0%B8%A7%E0%B8%B4%E0%B8%A5%E0%B8%94%E0%B9%8C, friendlyName=เปิดหน้ารีวิว 1</x:v>
      </x:c>
      <x:c r="K380" s="23" t="e">
        <x:f>HYPERLINK("https://th.trip.com/travel-guide/attraction/thanyaburi/dream-world-10570792?curr=MYR&amp;locale=th-TH&amp;rankingId=10070024565130","เปิดหน้ารีวิว 2")</x:f>
        <x:v>HYPERLINK is not implemented. linkLocation=https://th.trip.com/travel-guide/attraction/thanyaburi/dream-world-10570792?curr=MYR&amp;locale=th-TH&amp;rankingId=10070024565130, friendlyName=เปิดหน้ารีวิว 2</x:v>
      </x:c>
      <x:c r="L380" s="23" t="e">
        <x:f>HYPERLINK("https://notes.tiktok.com/%40pocketjourneyth/7591661653767373320?region=th","เปิดเว็บเพิ่ม 1")</x:f>
        <x:v>HYPERLINK is not implemented. linkLocation=https://notes.tiktok.com/%40pocketjourneyth/7591661653767373320?region=th, friendlyName=เปิดเว็บเพิ่ม 1</x:v>
      </x:c>
      <x:c r="M380" s="23" t="e">
        <x:f>HYPERLINK("https://salehere.co.th/dream-world/branches","เปิดเว็บเพิ่ม 2")</x:f>
        <x:v>HYPERLINK is not implemented. linkLocation=https://salehere.co.th/dream-world/branches, friendlyName=เปิดเว็บเพิ่ม 2</x:v>
      </x:c>
      <x:c r="N380" s="20" t="str">
        <x:v>ยังไม่ยืนยัน</x:v>
      </x:c>
      <x:c r="O38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80" s="25" t="n">
        <x:v>46315</x:v>
      </x:c>
      <x:c r="Q380" s="27" t="str">
        <x:v>ยังไม่ตรวจ</x:v>
      </x:c>
      <x:c r="R380" s="27" t="str">
        <x:v>รอติดต่อ</x:v>
      </x:c>
    </x:row>
    <x:row r="381" ht="76" customHeight="1">
      <x:c r="A381" s="24" t="str">
        <x:v>TMF-373</x:v>
      </x:c>
      <x:c r="B381" s="20" t="str">
        <x:v>ครัววังแพะ Goat Chef's Kitchen</x:v>
      </x:c>
      <x:c r="C381" s="20" t="str">
        <x:v>ปัตตานี</x:v>
      </x:c>
      <x:c r="D381" s="20" t="str">
        <x:v>คงไว้ในชุด 600</x:v>
      </x:c>
      <x:c r="E381" s="20" t="str">
        <x:v>พบหลายแหล่งสัมพันธ์กับชื่อ รอยืนยันการเปิด</x:v>
      </x:c>
      <x:c r="F381" s="20" t="str">
        <x:v>ยังไม่ยืนยันการเปิดให้บริการปัจจุบัน</x:v>
      </x:c>
      <x:c r="G381" s="26" t="n">
        <x:v>3</x:v>
      </x:c>
      <x:c r="H381" s="23" t="str"/>
      <x:c r="I381" s="23" t="str"/>
      <x:c r="J381" s="23" t="e">
        <x:f>HYPERLINK("https://www.wongnai.com/restaurants/304799iE-%E0%B8%84%E0%B8%A3%E0%B8%B1%E0%B8%A7%E0%B8%A7%E0%B8%B1%E0%B8%87%E0%B9%81%E0%B8%9E%E0%B8%B0-%E0%B8%9B%E0%B8%B2%E0%B8%A5%E0%B8%B1%E0%B8%AA-1","เปิดหน้ารีวิว 1")</x:f>
        <x:v>HYPERLINK is not implemented. linkLocation=https://www.wongnai.com/restaurants/304799iE-%E0%B8%84%E0%B8%A3%E0%B8%B1%E0%B8%A7%E0%B8%A7%E0%B8%B1%E0%B8%87%E0%B9%81%E0%B8%9E%E0%B8%B0-%E0%B8%9B%E0%B8%B2%E0%B8%A5%E0%B8%B1%E0%B8%AA-1, friendlyName=เปิดหน้ารีวิว 1</x:v>
      </x:c>
      <x:c r="K381" s="23" t="str"/>
      <x:c r="L381" s="23" t="e">
        <x:f>HYPERLINK("https://www.lovethailand.org/travel/en/67-Pattani/4026-Palas-Market.html","เปิดเว็บเพิ่ม 1")</x:f>
        <x:v>HYPERLINK is not implemented. linkLocation=https://www.lovethailand.org/travel/en/67-Pattani/4026-Palas-Market.html, friendlyName=เปิดเว็บเพิ่ม 1</x:v>
      </x:c>
      <x:c r="M381" s="23" t="e">
        <x:f>HYPERLINK("https://www.lovethailand.org/travel/th/67-%E0%B8%9B%E0%B8%B1%E0%B8%95%E0%B8%95%E0%B8%B2%E0%B8%99%E0%B8%B5/4026-%E0%B8%95%E0%B8%A5%E0%B8%B2%E0%B8%94%E0%B8%99%E0%B8%B1%E0%B8%94%E0%B8%9B%E0%B8%B2%E0%B8%A5%E0%B8%B1%E0%B8%AA.html","เปิดเว็บเพิ่ม 2")</x:f>
        <x:v>HYPERLINK is not implemented. linkLocation=https://www.lovethailand.org/travel/th/67-%E0%B8%9B%E0%B8%B1%E0%B8%95%E0%B8%95%E0%B8%B2%E0%B8%99%E0%B8%B5/4026-%E0%B8%95%E0%B8%A5%E0%B8%B2%E0%B8%94%E0%B8%99%E0%B8%B1%E0%B8%94%E0%B8%9B%E0%B8%B2%E0%B8%A5%E0%B8%B1%E0%B8%AA.html, friendlyName=เปิดเว็บเพิ่ม 2</x:v>
      </x:c>
      <x:c r="N381" s="20" t="str">
        <x:v>ยังไม่ยืนยัน</x:v>
      </x:c>
      <x:c r="O38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81" s="25" t="n">
        <x:v>46315</x:v>
      </x:c>
      <x:c r="Q381" s="27" t="str">
        <x:v>ยังไม่ตรวจ</x:v>
      </x:c>
      <x:c r="R381" s="27" t="str">
        <x:v>รอติดต่อ</x:v>
      </x:c>
    </x:row>
    <x:row r="382" ht="76" customHeight="1">
      <x:c r="A382" s="24" t="str">
        <x:v>TMF-374</x:v>
      </x:c>
      <x:c r="B382" s="20" t="str">
        <x:v>มัสยิดกรือเซะ</x:v>
      </x:c>
      <x:c r="C382" s="20" t="str">
        <x:v>ปัตตานี</x:v>
      </x:c>
      <x:c r="D382" s="20" t="str">
        <x:v>คงไว้ในชุด 600</x:v>
      </x:c>
      <x:c r="E382" s="20" t="str">
        <x:v>พบหลายแหล่งสัมพันธ์กับชื่อ รอยืนยันการเปิด</x:v>
      </x:c>
      <x:c r="F382" s="20" t="str">
        <x:v>ยังไม่ยืนยันการเปิดให้บริการปัจจุบัน</x:v>
      </x:c>
      <x:c r="G382" s="26" t="n">
        <x:v>5</x:v>
      </x:c>
      <x:c r="H382" s="23" t="str"/>
      <x:c r="I382" s="23" t="str"/>
      <x:c r="J382" s="23" t="e">
        <x:f>HYPERLINK("https://www.wongnai.com/reviews/40d5e90369ca42ec983d4e370fd997b3","เปิดหน้ารีวิว 1")</x:f>
        <x:v>HYPERLINK is not implemented. linkLocation=https://www.wongnai.com/reviews/40d5e90369ca42ec983d4e370fd997b3, friendlyName=เปิดหน้ารีวิว 1</x:v>
      </x:c>
      <x:c r="K382" s="23" t="e">
        <x:f>HYPERLINK("https://th.tripadvisor.com/Attraction_Review-g2238716-d4915910-Reviews-Krue_Sae_Mosque-Pattani_City_Pattani_Province.html","เปิดหน้ารีวิว 2")</x:f>
        <x:v>HYPERLINK is not implemented. linkLocation=https://th.tripadvisor.com/Attraction_Review-g2238716-d4915910-Reviews-Krue_Sae_Mosque-Pattani_City_Pattani_Province.html, friendlyName=เปิดหน้ารีวิว 2</x:v>
      </x:c>
      <x:c r="L382" s="23" t="e">
        <x:f>HYPERLINK("https://www.sanook.com/travel/639871/","เปิดเว็บเพิ่ม 1")</x:f>
        <x:v>HYPERLINK is not implemented. linkLocation=https://www.sanook.com/travel/639871/, friendlyName=เปิดเว็บเพิ่ม 1</x:v>
      </x:c>
      <x:c r="M382" s="23" t="str"/>
      <x:c r="N382" s="20" t="str">
        <x:v>ยังไม่ยืนยัน</x:v>
      </x:c>
      <x:c r="O38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82" s="25" t="n">
        <x:v>46315</x:v>
      </x:c>
      <x:c r="Q382" s="27" t="str">
        <x:v>ยังไม่ตรวจ</x:v>
      </x:c>
      <x:c r="R382" s="27" t="str">
        <x:v>รอติดต่อ</x:v>
      </x:c>
    </x:row>
    <x:row r="383" ht="76" customHeight="1">
      <x:c r="A383" s="24" t="str">
        <x:v>TMF-375</x:v>
      </x:c>
      <x:c r="B383" s="20" t="str">
        <x:v>มัสยิดกลางจังหวัดปัตตานี</x:v>
      </x:c>
      <x:c r="C383" s="20" t="str">
        <x:v>ปัตตานี</x:v>
      </x:c>
      <x:c r="D383" s="20" t="str">
        <x:v>คงไว้ในชุด 600</x:v>
      </x:c>
      <x:c r="E383" s="20" t="str">
        <x:v>พบหลายแหล่งสัมพันธ์กับชื่อ รอยืนยันการเปิด</x:v>
      </x:c>
      <x:c r="F383" s="20" t="str">
        <x:v>ยังไม่ยืนยันการเปิดให้บริการปัจจุบัน</x:v>
      </x:c>
      <x:c r="G383" s="26" t="n">
        <x:v>3</x:v>
      </x:c>
      <x:c r="H383" s="23" t="str"/>
      <x:c r="I383" s="23" t="str"/>
      <x:c r="J383" s="23" t="e">
        <x:f>HYPERLINK("https://th.trip.com/travel-guide/attraction/pattani-city/pattani-central-mosque-56081620/?curr=BRL&amp;locale=th-TH","เปิดหน้ารีวิว 1")</x:f>
        <x:v>HYPERLINK is not implemented. linkLocation=https://th.trip.com/travel-guide/attraction/pattani-city/pattani-central-mosque-56081620/?curr=BRL&amp;locale=th-TH, friendlyName=เปิดหน้ารีวิว 1</x:v>
      </x:c>
      <x:c r="K383" s="23" t="e">
        <x:f>HYPERLINK("https://th.trip.com/moments/detail/pattani-1447200-134150144/","เปิดหน้ารีวิว 2")</x:f>
        <x:v>HYPERLINK is not implemented. linkLocation=https://th.trip.com/moments/detail/pattani-1447200-134150144/, friendlyName=เปิดหน้ารีวิว 2</x:v>
      </x:c>
      <x:c r="L383" s="23" t="e">
        <x:f>HYPERLINK("https://pattani.prd.go.th/th/content/category/detail/id/381/iid/61001","เปิดเว็บเพิ่ม 1")</x:f>
        <x:v>HYPERLINK is not implemented. linkLocation=https://pattani.prd.go.th/th/content/category/detail/id/381/iid/61001, friendlyName=เปิดเว็บเพิ่ม 1</x:v>
      </x:c>
      <x:c r="M383" s="23" t="str"/>
      <x:c r="N383" s="20" t="str">
        <x:v>ยังไม่ยืนยัน</x:v>
      </x:c>
      <x:c r="O38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83" s="25" t="n">
        <x:v>46315</x:v>
      </x:c>
      <x:c r="Q383" s="27" t="str">
        <x:v>ยังไม่ตรวจ</x:v>
      </x:c>
      <x:c r="R383" s="27" t="str">
        <x:v>รอติดต่อ</x:v>
      </x:c>
    </x:row>
    <x:row r="384" ht="76" customHeight="1">
      <x:c r="A384" s="24" t="str">
        <x:v>TMF-376</x:v>
      </x:c>
      <x:c r="B384" s="20" t="str">
        <x:v>โรงแรม เลอ เอราวัณ พังงา</x:v>
      </x:c>
      <x:c r="C384" s="20" t="str">
        <x:v>พังงา</x:v>
      </x:c>
      <x:c r="D384" s="20" t="str">
        <x:v>คงไว้ในชุด 600</x:v>
      </x:c>
      <x:c r="E384" s="20" t="str">
        <x:v>พบหลายแหล่งสัมพันธ์กับชื่อ รอยืนยันการเปิด</x:v>
      </x:c>
      <x:c r="F384" s="20" t="str">
        <x:v>ยังไม่ยืนยันการเปิดให้บริการปัจจุบัน</x:v>
      </x:c>
      <x:c r="G384" s="26" t="n">
        <x:v>5</x:v>
      </x:c>
      <x:c r="H384" s="23" t="str"/>
      <x:c r="I384" s="23" t="str"/>
      <x:c r="J384" s="23" t="e">
        <x:f>HYPERLINK("https://th.trip.com/hotels/v2/phang-nga-hotel-detail-81263191/le-erawan-phang-nga-hotel","เปิดหน้ารีวิว 1")</x:f>
        <x:v>HYPERLINK is not implemented. linkLocation=https://th.trip.com/hotels/v2/phang-nga-hotel-detail-81263191/le-erawan-phang-nga-hotel, friendlyName=เปิดหน้ารีวิว 1</x:v>
      </x:c>
      <x:c r="K384" s="23" t="str"/>
      <x:c r="L384" s="23" t="e">
        <x:f>HYPERLINK("https://www.otep.go.th/benefits/category/4b6ded4f-147a-42b5-91fc-abe2a0cd9989/3709c91b-b2c5-4c1a-8463-74baaa3a579a","เปิดเว็บเพิ่ม 1")</x:f>
        <x:v>HYPERLINK is not implemented. linkLocation=https://www.otep.go.th/benefits/category/4b6ded4f-147a-42b5-91fc-abe2a0cd9989/3709c91b-b2c5-4c1a-8463-74baaa3a579a, friendlyName=เปิดเว็บเพิ่ม 1</x:v>
      </x:c>
      <x:c r="M384" s="23" t="e">
        <x:f>HYPERLINK("https://www.skyscanner.com.hk/hotels/thailand/phangnga-hotels/le-erawan-phang-nga-hotel/ht-205035948","เปิดเว็บเพิ่ม 2")</x:f>
        <x:v>HYPERLINK is not implemented. linkLocation=https://www.skyscanner.com.hk/hotels/thailand/phangnga-hotels/le-erawan-phang-nga-hotel/ht-205035948, friendlyName=เปิดเว็บเพิ่ม 2</x:v>
      </x:c>
      <x:c r="N384" s="20" t="str">
        <x:v>ยังไม่ยืนยัน</x:v>
      </x:c>
      <x:c r="O38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84" s="25" t="n">
        <x:v>46315</x:v>
      </x:c>
      <x:c r="Q384" s="27" t="str">
        <x:v>ยังไม่ตรวจ</x:v>
      </x:c>
      <x:c r="R384" s="27" t="str">
        <x:v>รอติดต่อ</x:v>
      </x:c>
    </x:row>
    <x:row r="385" ht="76" customHeight="1">
      <x:c r="A385" s="24" t="str">
        <x:v>TMF-377</x:v>
      </x:c>
      <x:c r="B385" s="20" t="str">
        <x:v>โรงแรมภูงา</x:v>
      </x:c>
      <x:c r="C385" s="20" t="str">
        <x:v>พังงา</x:v>
      </x:c>
      <x:c r="D385" s="20" t="str">
        <x:v>คงไว้ในชุด 600</x:v>
      </x:c>
      <x:c r="E385" s="20" t="str">
        <x:v>พบหลายแหล่งสัมพันธ์กับชื่อ รอยืนยันการเปิด</x:v>
      </x:c>
      <x:c r="F385" s="20" t="str">
        <x:v>ยังไม่ยืนยันการเปิดให้บริการปัจจุบัน</x:v>
      </x:c>
      <x:c r="G385" s="26" t="n">
        <x:v>7</x:v>
      </x:c>
      <x:c r="H385" s="23" t="str"/>
      <x:c r="I385" s="23" t="str"/>
      <x:c r="J385" s="23" t="e">
        <x:f>HYPERLINK("https://www.agoda.com/th-th/phu-nga/hotel/phang-nga-th.html","เปิดหน้ารีวิว 1")</x:f>
        <x:v>HYPERLINK is not implemented. linkLocation=https://www.agoda.com/th-th/phu-nga/hotel/phang-nga-th.html, friendlyName=เปิดหน้ารีวิว 1</x:v>
      </x:c>
      <x:c r="K385" s="23" t="e">
        <x:f>HYPERLINK("https://th.hotels.com/ho1966332672/rongr-m-phu-nga-phangnga-thiy/","เปิดหน้ารีวิว 2")</x:f>
        <x:v>HYPERLINK is not implemented. linkLocation=https://th.hotels.com/ho1966332672/rongr-m-phu-nga-phangnga-thiy/, friendlyName=เปิดหน้ารีวิว 2</x:v>
      </x:c>
      <x:c r="L385" s="23" t="e">
        <x:f>HYPERLINK("https://thi.worldorgs.com/%E0%B9%81%E0%B8%84%E0%B8%95%E0%B8%95%E0%B8%B2%E0%B8%A5%E0%B9%87%E0%B8%AD%E0%B8%81/%E0%B8%AD.%E0%B9%80%E0%B8%A1%E0%B8%B7%E0%B8%AD%E0%B8%87/%E0%B8%97%E0%B8%B5%E0%B9%88%E0%B8%88%E0%B8%AD%E0%B8%94%E0%B8%A3%E0%B8%96/%E0%B9%82%E0%B8%A3%E0%B8%87%E0%B9%81%E0%B8%A3%E0%B8%A1%E0%B8%A0%E0%B8%B9%E0%B8%87%E0%B8%B2-phu-nga-hotel","เปิดเว็บเพิ่ม 1")</x:f>
        <x:v>HYPERLINK is not implemented. linkLocation=https://thi.worldorgs.com/%E0%B9%81%E0%B8%84%E0%B8%95%E0%B8%95%E0%B8%B2%E0%B8%A5%E0%B9%87%E0%B8%AD%E0%B8%81/%E0%B8%AD.%E0%B9%80%E0%B8%A1%E0%B8%B7%E0%B8%AD%E0%B8%87/%E0%B8%97%E0%B8%B5%E0%B9%88%E0%B8%88%E0%B8%AD%E0%B8%94%E0%B8%A3%E0%B8%96/%E0%B9%82%E0%B8%A3%E0%B8%87%E0%B9%81%E0%B8%A3%E0%B8%A1%E0%B8%A0%E0%B8%B9%E0%B8%87%E0%B8%B2-phu-nga-hotel, friendlyName=เปิดเว็บเพิ่ม 1</x:v>
      </x:c>
      <x:c r="M385" s="23" t="e">
        <x:f>HYPERLINK("https://www.klook.com/th/hotels/detail/1087002-phu-nga-hotel/","เปิดเว็บเพิ่ม 2")</x:f>
        <x:v>HYPERLINK is not implemented. linkLocation=https://www.klook.com/th/hotels/detail/1087002-phu-nga-hotel/, friendlyName=เปิดเว็บเพิ่ม 2</x:v>
      </x:c>
      <x:c r="N385" s="20" t="str">
        <x:v>ยังไม่ยืนยัน</x:v>
      </x:c>
      <x:c r="O38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85" s="25" t="n">
        <x:v>46315</x:v>
      </x:c>
      <x:c r="Q385" s="27" t="str">
        <x:v>ยังไม่ตรวจ</x:v>
      </x:c>
      <x:c r="R385" s="27" t="str">
        <x:v>รอติดต่อ</x:v>
      </x:c>
    </x:row>
    <x:row r="386" ht="76" customHeight="1">
      <x:c r="A386" s="24" t="str">
        <x:v>TMF-378</x:v>
      </x:c>
      <x:c r="B386" s="20" t="str">
        <x:v>โรงแรมภูเก็ตเกรซแลนด์ รีสอร์ท แอนด์ สปา</x:v>
      </x:c>
      <x:c r="C386" s="20" t="str">
        <x:v>ภูเก็ต</x:v>
      </x:c>
      <x:c r="D386" s="20" t="str">
        <x:v>คงไว้ในชุด 600</x:v>
      </x:c>
      <x:c r="E386" s="20" t="str">
        <x:v>พบหลายแหล่งสัมพันธ์กับชื่อ รอยืนยันการเปิด</x:v>
      </x:c>
      <x:c r="F386" s="20" t="str">
        <x:v>ยังไม่ยืนยันการเปิดให้บริการปัจจุบัน</x:v>
      </x:c>
      <x:c r="G386" s="26" t="n">
        <x:v>7</x:v>
      </x:c>
      <x:c r="H386" s="23" t="str"/>
      <x:c r="I386" s="23" t="str"/>
      <x:c r="J386" s="23" t="e">
        <x:f>HYPERLINK("https://th.tripadvisor.com/Hotel_Review-g297930-d576169-Reviews-Phuket_Graceland_Resort_Spa-Patong_Kathu_Phuket.html","เปิดหน้ารีวิว 1")</x:f>
        <x:v>HYPERLINK is not implemented. linkLocation=https://th.tripadvisor.com/Hotel_Review-g297930-d576169-Reviews-Phuket_Graceland_Resort_Spa-Patong_Kathu_Phuket.html, friendlyName=เปิดหน้ารีวิว 1</x:v>
      </x:c>
      <x:c r="K386" s="23" t="e">
        <x:f>HYPERLINK("https://www.google.co.th/travel/hotels/entity/CgoI6_qdtv7BpqQ_EAE?rp=OAHCAhwiGg0AAJBBEhMIzuSE2PGGlgMVrvtLAx2MvAYt&amp;ts=CAEaBAoCGgAqBAoAGgA","เปิดหน้ารีวิว 2")</x:f>
        <x:v>HYPERLINK is not implemented. linkLocation=https://www.google.co.th/travel/hotels/entity/CgoI6_qdtv7BpqQ_EAE?rp=OAHCAhwiGg0AAJBBEhMIzuSE2PGGlgMVrvtLAx2MvAYt&amp;ts=CAEaBAoCGgAqBAoAGgA, friendlyName=เปิดหน้ารีวิว 2</x:v>
      </x:c>
      <x:c r="L386" s="23" t="e">
        <x:f>HYPERLINK("https://www.traveloka.com/th-th/hotel/thailand/phuket-graceland-resort-and-spa-1000000263582","เปิดเว็บเพิ่ม 1")</x:f>
        <x:v>HYPERLINK is not implemented. linkLocation=https://www.traveloka.com/th-th/hotel/thailand/phuket-graceland-resort-and-spa-1000000263582, friendlyName=เปิดเว็บเพิ่ม 1</x:v>
      </x:c>
      <x:c r="M386" s="23" t="str"/>
      <x:c r="N386" s="20" t="str">
        <x:v>ยังไม่ยืนยัน</x:v>
      </x:c>
      <x:c r="O38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86" s="25" t="n">
        <x:v>46315</x:v>
      </x:c>
      <x:c r="Q386" s="27" t="str">
        <x:v>ยังไม่ตรวจ</x:v>
      </x:c>
      <x:c r="R386" s="27" t="str">
        <x:v>รอติดต่อ</x:v>
      </x:c>
    </x:row>
    <x:row r="387" ht="76" customHeight="1">
      <x:c r="A387" s="24" t="str">
        <x:v>TMF-379</x:v>
      </x:c>
      <x:c r="B387" s="20" t="str">
        <x:v>โรงแรมเดอะรอยัลพาราไดซ์ ป่าตอง</x:v>
      </x:c>
      <x:c r="C387" s="20" t="str">
        <x:v>ภูเก็ต</x:v>
      </x:c>
      <x:c r="D387" s="20" t="str">
        <x:v>คงไว้ในชุด 600</x:v>
      </x:c>
      <x:c r="E387" s="20" t="str">
        <x:v>พบหลายแหล่งสัมพันธ์กับชื่อ รอยืนยันการเปิด</x:v>
      </x:c>
      <x:c r="F387" s="20" t="str">
        <x:v>ยังไม่ยืนยันการเปิดให้บริการปัจจุบัน</x:v>
      </x:c>
      <x:c r="G387" s="26" t="n">
        <x:v>2</x:v>
      </x:c>
      <x:c r="H387" s="23" t="str"/>
      <x:c r="I387" s="23" t="str"/>
      <x:c r="J387" s="23" t="e">
        <x:f>HYPERLINK("https://www.google.co.th/travel/hotels/entity/ChcIi-D1qriH0qUfGgsvZy8xdG0ydm42ZBAB?rp=OAHCAhwiGg0AAMBCEhMIw_zhjfjHlQMVofNLAx380BZ2&amp;ts=CAESCgoCCAMKAggDEAAaIgoCGgASHBIUCgcI6g8QChgQEgcI6g8QChgUGAQyAhAAOAEqCQoFOgNVU0QaAA","เปิดหน้ารีวิว 1")</x:f>
        <x:v>HYPERLINK is not implemented. linkLocation=https://www.google.co.th/travel/hotels/entity/ChcIi-D1qriH0qUfGgsvZy8xdG0ydm42ZBAB?rp=OAHCAhwiGg0AAMBCEhMIw_zhjfjHlQMVofNLAx380BZ2&amp;ts=CAESCgoCCAMKAggDEAAaIgoCGgASHBIUCgcI6g8QChgQEgcI6g8QChgUGAQyAhAAOAEqCQoFOgNVU0QaAA, friendlyName=เปิดหน้ารีวิว 1</x:v>
      </x:c>
      <x:c r="K387" s="23" t="str"/>
      <x:c r="L387" s="23" t="str"/>
      <x:c r="M387" s="23" t="str"/>
      <x:c r="N387" s="20" t="str">
        <x:v>ยังไม่ยืนยัน</x:v>
      </x:c>
      <x:c r="O38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87" s="25" t="n">
        <x:v>46315</x:v>
      </x:c>
      <x:c r="Q387" s="27" t="str">
        <x:v>ยังไม่ตรวจ</x:v>
      </x:c>
      <x:c r="R387" s="27" t="str">
        <x:v>รอติดต่อ</x:v>
      </x:c>
    </x:row>
    <x:row r="388" ht="96" customHeight="1">
      <x:c r="A388" s="24" t="str">
        <x:v>TMF-380</x:v>
      </x:c>
      <x:c r="B388" s="20" t="str">
        <x:v>มัสยิดกลาง จ.มุกดาหาร</x:v>
      </x:c>
      <x:c r="C388" s="20" t="str">
        <x:v>มุกดาหาร</x:v>
      </x:c>
      <x:c r="D388" s="20" t="str">
        <x:v>คงไว้ในชุด 600</x:v>
      </x:c>
      <x:c r="E388" s="20" t="str">
        <x:v>หลักฐานไม่พอ รอยืนยันการเปิด</x:v>
      </x:c>
      <x:c r="F388" s="20" t="str">
        <x:v>ยังไม่ยืนยันการเปิดให้บริการปัจจุบัน</x:v>
      </x:c>
      <x:c r="G388" s="26" t="n">
        <x:v>1</x:v>
      </x:c>
      <x:c r="H388" s="23" t="str"/>
      <x:c r="I388" s="23" t="str"/>
      <x:c r="J388" s="23" t="str"/>
      <x:c r="K388" s="23" t="str"/>
      <x:c r="L388" s="23" t="str"/>
      <x:c r="M388" s="23" t="str"/>
      <x:c r="N388" s="20" t="str">
        <x:v>ยังไม่ยืนยัน</x:v>
      </x:c>
      <x:c r="O38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88" s="25" t="n">
        <x:v>46315</x:v>
      </x:c>
      <x:c r="Q388" s="27" t="str">
        <x:v>ยังไม่ตรวจ</x:v>
      </x:c>
      <x:c r="R388" s="27" t="str">
        <x:v>รอติดต่อ</x:v>
      </x:c>
    </x:row>
    <x:row r="389" ht="96" customHeight="1">
      <x:c r="A389" s="24" t="str">
        <x:v>TMF-381</x:v>
      </x:c>
      <x:c r="B389" s="20" t="str">
        <x:v>% persen coffee</x:v>
      </x:c>
      <x:c r="C389" s="20" t="str">
        <x:v>ยะลา</x:v>
      </x:c>
      <x:c r="D389" s="20" t="str">
        <x:v>คงไว้ในชุด 600</x:v>
      </x:c>
      <x:c r="E389" s="20" t="str">
        <x:v>หลักฐานไม่พอ รอยืนยันการเปิด</x:v>
      </x:c>
      <x:c r="F389" s="20" t="str">
        <x:v>ยังไม่ยืนยันการเปิดให้บริการปัจจุบัน</x:v>
      </x:c>
      <x:c r="G389" s="26" t="n">
        <x:v>1</x:v>
      </x:c>
      <x:c r="H389" s="23" t="str"/>
      <x:c r="I389" s="23" t="str"/>
      <x:c r="J389" s="23" t="str"/>
      <x:c r="K389" s="23" t="str"/>
      <x:c r="L389" s="23" t="str"/>
      <x:c r="M389" s="23" t="str"/>
      <x:c r="N389" s="20" t="str">
        <x:v>ยังไม่ยืนยัน</x:v>
      </x:c>
      <x:c r="O38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89" s="25" t="n">
        <x:v>46315</x:v>
      </x:c>
      <x:c r="Q389" s="27" t="str">
        <x:v>ยังไม่ตรวจ</x:v>
      </x:c>
      <x:c r="R389" s="27" t="str">
        <x:v>รอติดต่อ</x:v>
      </x:c>
    </x:row>
    <x:row r="390" ht="96" customHeight="1">
      <x:c r="A390" s="24" t="str">
        <x:v>TMF-382</x:v>
      </x:c>
      <x:c r="B390" s="20" t="str">
        <x:v>24 house กาแฟหน้าบ้าน</x:v>
      </x:c>
      <x:c r="C390" s="20" t="str">
        <x:v>ยะลา</x:v>
      </x:c>
      <x:c r="D390" s="20" t="str">
        <x:v>คงไว้ในชุด 600</x:v>
      </x:c>
      <x:c r="E390" s="20" t="str">
        <x:v>หลักฐานไม่พอ รอยืนยันการเปิด</x:v>
      </x:c>
      <x:c r="F390" s="20" t="str">
        <x:v>ยังไม่ยืนยันการเปิดให้บริการปัจจุบัน</x:v>
      </x:c>
      <x:c r="G390" s="26" t="n">
        <x:v>1</x:v>
      </x:c>
      <x:c r="H390" s="23" t="str"/>
      <x:c r="I390" s="23" t="str"/>
      <x:c r="J390" s="23" t="str"/>
      <x:c r="K390" s="23" t="str"/>
      <x:c r="L390" s="23" t="str"/>
      <x:c r="M390" s="23" t="str"/>
      <x:c r="N390" s="20" t="str">
        <x:v>ยังไม่ยืนยัน</x:v>
      </x:c>
      <x:c r="O39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90" s="25" t="n">
        <x:v>46315</x:v>
      </x:c>
      <x:c r="Q390" s="27" t="str">
        <x:v>ยังไม่ตรวจ</x:v>
      </x:c>
      <x:c r="R390" s="27" t="str">
        <x:v>รอติดต่อ</x:v>
      </x:c>
    </x:row>
    <x:row r="391" ht="76" customHeight="1">
      <x:c r="A391" s="24" t="str">
        <x:v>TMF-383</x:v>
      </x:c>
      <x:c r="B391" s="20" t="str">
        <x:v>Candy rose หมี่ไก่ฉีก</x:v>
      </x:c>
      <x:c r="C391" s="20" t="str">
        <x:v>ยะลา</x:v>
      </x:c>
      <x:c r="D391" s="20" t="str">
        <x:v>คงไว้ในชุด 600</x:v>
      </x:c>
      <x:c r="E391" s="20" t="str">
        <x:v>พบหลายแหล่งสัมพันธ์กับชื่อ รอยืนยันการเปิด</x:v>
      </x:c>
      <x:c r="F391" s="20" t="str">
        <x:v>ยังไม่ยืนยันการเปิดให้บริการปัจจุบัน</x:v>
      </x:c>
      <x:c r="G391" s="26" t="n">
        <x:v>2</x:v>
      </x:c>
      <x:c r="H391" s="23" t="e">
        <x:f>HYPERLINK("https://www.tiktok.com/@guroti.yala?_t=ZS-8uU608SQpcN&amp;_r=1","เปิดช่องทาง 1")</x:f>
        <x:v>HYPERLINK is not implemented. linkLocation=https://www.tiktok.com/@guroti.yala?_t=ZS-8uU608SQpcN&amp;_r=1, friendlyName=เปิดช่องทาง 1</x:v>
      </x:c>
      <x:c r="I391" s="23" t="str"/>
      <x:c r="J391" s="23" t="str"/>
      <x:c r="K391" s="23" t="str"/>
      <x:c r="L391" s="23" t="e">
        <x:f>HYPERLINK("https://www.findglocal.com/TH/Yala/200533-7/7","เปิดเว็บเพิ่ม 1")</x:f>
        <x:v>HYPERLINK is not implemented. linkLocation=https://www.findglocal.com/TH/Yala/200533-7/7, friendlyName=เปิดเว็บเพิ่ม 1</x:v>
      </x:c>
      <x:c r="M391" s="23" t="e">
        <x:f>HYPERLINK("https://www.findglocal.com/TH/Yala/200533-7/genre/273819889375819/%E0%B8%A3%E0%B9%89%E0%B8%B2%E0%B8%99%E0%B8%AD%E0%B8%B2%E0%B8%AB%E0%B8%B2%E0%B8%A3/3","เปิดเว็บเพิ่ม 2")</x:f>
        <x:v>HYPERLINK is not implemented. linkLocation=https://www.findglocal.com/TH/Yala/200533-7/genre/273819889375819/%E0%B8%A3%E0%B9%89%E0%B8%B2%E0%B8%99%E0%B8%AD%E0%B8%B2%E0%B8%AB%E0%B8%B2%E0%B8%A3/3, friendlyName=เปิดเว็บเพิ่ม 2</x:v>
      </x:c>
      <x:c r="N391" s="20" t="str">
        <x:v>ยังไม่ยืนยัน</x:v>
      </x:c>
      <x:c r="O391" s="20" t="str">
        <x:v>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91" s="25" t="n">
        <x:v>46315</x:v>
      </x:c>
      <x:c r="Q391" s="27" t="str">
        <x:v>ยังไม่ตรวจ</x:v>
      </x:c>
      <x:c r="R391" s="27" t="str">
        <x:v>รอติดต่อ</x:v>
      </x:c>
    </x:row>
    <x:row r="392" ht="76" customHeight="1">
      <x:c r="A392" s="24" t="str">
        <x:v>TMF-384</x:v>
      </x:c>
      <x:c r="B392" s="20" t="str">
        <x:v>IN Trend Co-working Cafe</x:v>
      </x:c>
      <x:c r="C392" s="20" t="str">
        <x:v>ยะลา</x:v>
      </x:c>
      <x:c r="D392" s="20" t="str">
        <x:v>คงไว้ในชุด 600</x:v>
      </x:c>
      <x:c r="E392" s="20" t="str">
        <x:v>พบหลายแหล่งสัมพันธ์กับชื่อ รอยืนยันการเปิด</x:v>
      </x:c>
      <x:c r="F392" s="20" t="str">
        <x:v>ยังไม่ยืนยันการเปิดให้บริการปัจจุบัน</x:v>
      </x:c>
      <x:c r="G392" s="26" t="n">
        <x:v>4</x:v>
      </x:c>
      <x:c r="H392" s="23" t="str"/>
      <x:c r="I392" s="23" t="str"/>
      <x:c r="J392" s="23" t="str"/>
      <x:c r="K392" s="23" t="str"/>
      <x:c r="L392" s="23" t="e">
        <x:f>HYPERLINK("https://wel-b.net/en/shop/in-trend-co-working-caf","เปิดเว็บเพิ่ม 1")</x:f>
        <x:v>HYPERLINK is not implemented. linkLocation=https://wel-b.net/en/shop/in-trend-co-working-caf, friendlyName=เปิดเว็บเพิ่ม 1</x:v>
      </x:c>
      <x:c r="M392" s="23" t="e">
        <x:f>HYPERLINK("https://thailand-streets.openalfa.com/mueang-yala-district/eating-drinking","เปิดเว็บเพิ่ม 2")</x:f>
        <x:v>HYPERLINK is not implemented. linkLocation=https://thailand-streets.openalfa.com/mueang-yala-district/eating-drinking, friendlyName=เปิดเว็บเพิ่ม 2</x:v>
      </x:c>
      <x:c r="N392" s="20" t="str">
        <x:v>ยังไม่ยืนยัน</x:v>
      </x:c>
      <x:c r="O392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92" s="25" t="n">
        <x:v>46315</x:v>
      </x:c>
      <x:c r="Q392" s="27" t="str">
        <x:v>ยังไม่ตรวจ</x:v>
      </x:c>
      <x:c r="R392" s="27" t="str">
        <x:v>รอติดต่อ</x:v>
      </x:c>
    </x:row>
    <x:row r="393" ht="76" customHeight="1">
      <x:c r="A393" s="24" t="str">
        <x:v>TMF-385</x:v>
      </x:c>
      <x:c r="B393" s="20" t="str">
        <x:v>Orbit Coffee-ออร์บิท คอฟฟี่ ยะลา</x:v>
      </x:c>
      <x:c r="C393" s="20" t="str">
        <x:v>ยะลา</x:v>
      </x:c>
      <x:c r="D393" s="20" t="str">
        <x:v>คงไว้ในชุด 600</x:v>
      </x:c>
      <x:c r="E393" s="20" t="str">
        <x:v>พบหลายแหล่งสัมพันธ์กับชื่อ รอยืนยันการเปิด</x:v>
      </x:c>
      <x:c r="F393" s="20" t="str">
        <x:v>ยังไม่ยืนยันการเปิดให้บริการปัจจุบัน</x:v>
      </x:c>
      <x:c r="G393" s="26" t="n">
        <x:v>3</x:v>
      </x:c>
      <x:c r="H393" s="23" t="str"/>
      <x:c r="I393" s="23" t="str"/>
      <x:c r="J393" s="23" t="e">
        <x:f>HYPERLINK("https://www.wongnai.com/restaurants/2671226sv-orbit-coffee-yala","เปิดหน้ารีวิว 1")</x:f>
        <x:v>HYPERLINK is not implemented. linkLocation=https://www.wongnai.com/restaurants/2671226sv-orbit-coffee-yala, friendlyName=เปิดหน้ารีวิว 1</x:v>
      </x:c>
      <x:c r="K393" s="23" t="e">
        <x:f>HYPERLINK("https://th.trip.com/moments/detail/yala-1448263-121149099/","เปิดหน้ารีวิว 2")</x:f>
        <x:v>HYPERLINK is not implemented. linkLocation=https://th.trip.com/moments/detail/yala-1448263-121149099/, friendlyName=เปิดหน้ารีวิว 2</x:v>
      </x:c>
      <x:c r="L393" s="23" t="str"/>
      <x:c r="M393" s="23" t="str"/>
      <x:c r="N393" s="20" t="str">
        <x:v>ยังไม่ยืนยัน</x:v>
      </x:c>
      <x:c r="O39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93" s="25" t="n">
        <x:v>46315</x:v>
      </x:c>
      <x:c r="Q393" s="27" t="str">
        <x:v>ยังไม่ตรวจ</x:v>
      </x:c>
      <x:c r="R393" s="27" t="str">
        <x:v>รอติดต่อ</x:v>
      </x:c>
    </x:row>
    <x:row r="394" ht="96" customHeight="1">
      <x:c r="A394" s="24" t="str">
        <x:v>TMF-386</x:v>
      </x:c>
      <x:c r="B394" s="20" t="str">
        <x:v>CTRL (Wh)y? Coffn'mat</x:v>
      </x:c>
      <x:c r="C394" s="20" t="str">
        <x:v>ระยอง</x:v>
      </x:c>
      <x:c r="D394" s="20" t="str">
        <x:v>คงไว้ในชุด 600</x:v>
      </x:c>
      <x:c r="E394" s="20" t="str">
        <x:v>หลักฐานไม่พอ รอยืนยันการเปิด</x:v>
      </x:c>
      <x:c r="F394" s="20" t="str">
        <x:v>ยังไม่ยืนยันการเปิดให้บริการปัจจุบัน</x:v>
      </x:c>
      <x:c r="G394" s="26" t="n">
        <x:v>1</x:v>
      </x:c>
      <x:c r="H394" s="23" t="str"/>
      <x:c r="I394" s="23" t="str"/>
      <x:c r="J394" s="23" t="str"/>
      <x:c r="K394" s="23" t="str"/>
      <x:c r="L394" s="23" t="str"/>
      <x:c r="M394" s="23" t="str"/>
      <x:c r="N394" s="20" t="str">
        <x:v>ยังไม่ยืนยัน</x:v>
      </x:c>
      <x:c r="O39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94" s="25" t="n">
        <x:v>46315</x:v>
      </x:c>
      <x:c r="Q394" s="27" t="str">
        <x:v>ยังไม่ตรวจ</x:v>
      </x:c>
      <x:c r="R394" s="27" t="str">
        <x:v>รอติดต่อ</x:v>
      </x:c>
    </x:row>
    <x:row r="395" ht="96" customHeight="1">
      <x:c r="A395" s="24" t="str">
        <x:v>TMF-387</x:v>
      </x:c>
      <x:c r="B395" s="20" t="str">
        <x:v>Super เนื้อ 98 ก๋วยเตี๋ยวเนื้อตุ๋น</x:v>
      </x:c>
      <x:c r="C395" s="20" t="str">
        <x:v>ระยอง</x:v>
      </x:c>
      <x:c r="D395" s="20" t="str">
        <x:v>คงไว้ในชุด 600</x:v>
      </x:c>
      <x:c r="E395" s="20" t="str">
        <x:v>หลักฐานไม่พอ รอยืนยันการเปิด</x:v>
      </x:c>
      <x:c r="F395" s="20" t="str">
        <x:v>ยังไม่ยืนยันการเปิดให้บริการปัจจุบัน</x:v>
      </x:c>
      <x:c r="G395" s="26" t="n">
        <x:v>1</x:v>
      </x:c>
      <x:c r="H395" s="23" t="str"/>
      <x:c r="I395" s="23" t="str"/>
      <x:c r="J395" s="23" t="str"/>
      <x:c r="K395" s="23" t="str"/>
      <x:c r="L395" s="23" t="str"/>
      <x:c r="M395" s="23" t="str"/>
      <x:c r="N395" s="20" t="str">
        <x:v>ยังไม่ยืนยัน</x:v>
      </x:c>
      <x:c r="O39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95" s="25" t="n">
        <x:v>46315</x:v>
      </x:c>
      <x:c r="Q395" s="27" t="str">
        <x:v>ยังไม่ตรวจ</x:v>
      </x:c>
      <x:c r="R395" s="27" t="str">
        <x:v>รอติดต่อ</x:v>
      </x:c>
    </x:row>
    <x:row r="396" ht="96" customHeight="1">
      <x:c r="A396" s="24" t="str">
        <x:v>TMF-388</x:v>
      </x:c>
      <x:c r="B396" s="20" t="str">
        <x:v>กัยนา (เล็กเมืองตรัง) ไก่ทอดหาดใหญ่</x:v>
      </x:c>
      <x:c r="C396" s="20" t="str">
        <x:v>ระยอง</x:v>
      </x:c>
      <x:c r="D396" s="20" t="str">
        <x:v>คงไว้ในชุด 600</x:v>
      </x:c>
      <x:c r="E396" s="20" t="str">
        <x:v>หลักฐานไม่พอ รอยืนยันการเปิด</x:v>
      </x:c>
      <x:c r="F396" s="20" t="str">
        <x:v>ยังไม่ยืนยันการเปิดให้บริการปัจจุบัน</x:v>
      </x:c>
      <x:c r="G396" s="26" t="n">
        <x:v>1</x:v>
      </x:c>
      <x:c r="H396" s="23" t="str"/>
      <x:c r="I396" s="23" t="str"/>
      <x:c r="J396" s="23" t="str"/>
      <x:c r="K396" s="23" t="str"/>
      <x:c r="L396" s="23" t="str"/>
      <x:c r="M396" s="23" t="str"/>
      <x:c r="N396" s="20" t="str">
        <x:v>ยังไม่ยืนยัน</x:v>
      </x:c>
      <x:c r="O39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96" s="25" t="n">
        <x:v>46315</x:v>
      </x:c>
      <x:c r="Q396" s="27" t="str">
        <x:v>ยังไม่ตรวจ</x:v>
      </x:c>
      <x:c r="R396" s="27" t="str">
        <x:v>รอติดต่อ</x:v>
      </x:c>
    </x:row>
    <x:row r="397" ht="96" customHeight="1">
      <x:c r="A397" s="24" t="str">
        <x:v>TMF-389</x:v>
      </x:c>
      <x:c r="B397" s="20" t="str">
        <x:v>กินเส้น @ บายบัง</x:v>
      </x:c>
      <x:c r="C397" s="20" t="str">
        <x:v>ระยอง</x:v>
      </x:c>
      <x:c r="D397" s="20" t="str">
        <x:v>คงไว้ในชุด 600</x:v>
      </x:c>
      <x:c r="E397" s="20" t="str">
        <x:v>หลักฐานไม่พอ รอยืนยันการเปิด</x:v>
      </x:c>
      <x:c r="F397" s="20" t="str">
        <x:v>ยังไม่ยืนยันการเปิดให้บริการปัจจุบัน</x:v>
      </x:c>
      <x:c r="G397" s="26" t="n">
        <x:v>1</x:v>
      </x:c>
      <x:c r="H397" s="23" t="str"/>
      <x:c r="I397" s="23" t="str"/>
      <x:c r="J397" s="23" t="str"/>
      <x:c r="K397" s="23" t="str"/>
      <x:c r="L397" s="23" t="str"/>
      <x:c r="M397" s="23" t="str"/>
      <x:c r="N397" s="20" t="str">
        <x:v>ยังไม่ยืนยัน</x:v>
      </x:c>
      <x:c r="O39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97" s="25" t="n">
        <x:v>46315</x:v>
      </x:c>
      <x:c r="Q397" s="27" t="str">
        <x:v>ยังไม่ตรวจ</x:v>
      </x:c>
      <x:c r="R397" s="27" t="str">
        <x:v>รอติดต่อ</x:v>
      </x:c>
    </x:row>
    <x:row r="398" ht="76" customHeight="1">
      <x:c r="A398" s="24" t="str">
        <x:v>TMF-390</x:v>
      </x:c>
      <x:c r="B398" s="20" t="str">
        <x:v>ก๋วยเตี๋ยวเนื้อ โต๊ะจููละห์</x:v>
      </x:c>
      <x:c r="C398" s="20" t="str">
        <x:v>ระยอง</x:v>
      </x:c>
      <x:c r="D398" s="20" t="str">
        <x:v>คงไว้ในชุด 600</x:v>
      </x:c>
      <x:c r="E398" s="20" t="str">
        <x:v>พบหลายแหล่งสัมพันธ์กับชื่อ รอยืนยันการเปิด</x:v>
      </x:c>
      <x:c r="F398" s="20" t="str">
        <x:v>ยังไม่ยืนยันการเปิดให้บริการปัจจุบัน</x:v>
      </x:c>
      <x:c r="G398" s="26" t="n">
        <x:v>2</x:v>
      </x:c>
      <x:c r="H398" s="23" t="str"/>
      <x:c r="I398" s="23" t="str"/>
      <x:c r="J398" s="23" t="e">
        <x:f>HYPERLINK("https://restaurantguru.com/%E0%B8%A3%E0%B9%89%E0%B8%B2%E0%B8%99%E0%B8%81%E0%B9%8B%E0%B8%A7%E0%B8%A2%E0%B9%80%E0%B8%95%E0%B8%B5%E0%B9%8B%E0%B8%A2%E0%B8%A7%E0%B9%80%E0%B8%99%E0%B8%B7%E0%B9%89%E0%B8%AD-%E0%B9%82%E0%B8%95%E0%B9%8A%E0%B8%B0%E0%B8%88%E0%B8%B9%E0%B8%B9%E0%B8%A5%E0%B8%B0%E0%B8%AB%E0%B9%8C-Map-Ta-Phut","เปิดหน้ารีวิว 1")</x:f>
        <x:v>HYPERLINK is not implemented. linkLocation=https://restaurantguru.com/%E0%B8%A3%E0%B9%89%E0%B8%B2%E0%B8%99%E0%B8%81%E0%B9%8B%E0%B8%A7%E0%B8%A2%E0%B9%80%E0%B8%95%E0%B8%B5%E0%B9%8B%E0%B8%A2%E0%B8%A7%E0%B9%80%E0%B8%99%E0%B8%B7%E0%B9%89%E0%B8%AD-%E0%B9%82%E0%B8%95%E0%B9%8A%E0%B8%B0%E0%B8%88%E0%B8%B9%E0%B8%B9%E0%B8%A5%E0%B8%B0%E0%B8%AB%E0%B9%8C-Map-Ta-Phut, friendlyName=เปิดหน้ารีวิว 1</x:v>
      </x:c>
      <x:c r="K398" s="23" t="str"/>
      <x:c r="L398" s="23" t="str"/>
      <x:c r="M398" s="23" t="str"/>
      <x:c r="N398" s="20" t="str">
        <x:v>ยังไม่ยืนยัน</x:v>
      </x:c>
      <x:c r="O39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398" s="25" t="n">
        <x:v>46315</x:v>
      </x:c>
      <x:c r="Q398" s="27" t="str">
        <x:v>ยังไม่ตรวจ</x:v>
      </x:c>
      <x:c r="R398" s="27" t="str">
        <x:v>รอติดต่อ</x:v>
      </x:c>
    </x:row>
    <x:row r="399" ht="76" customHeight="1">
      <x:c r="A399" s="24" t="str">
        <x:v>TMF-391</x:v>
      </x:c>
      <x:c r="B399" s="20" t="str">
        <x:v>มัสยิดอัสซุนนะห์ จ.ระยอง</x:v>
      </x:c>
      <x:c r="C399" s="20" t="str">
        <x:v>ระยอง</x:v>
      </x:c>
      <x:c r="D399" s="20" t="str">
        <x:v>คงไว้ในชุด 600</x:v>
      </x:c>
      <x:c r="E399" s="20" t="str">
        <x:v>พบหลายแหล่งสัมพันธ์กับชื่อ รอยืนยันการเปิด</x:v>
      </x:c>
      <x:c r="F399" s="20" t="str">
        <x:v>ยังไม่ยืนยันการเปิดให้บริการปัจจุบัน</x:v>
      </x:c>
      <x:c r="G399" s="26" t="n">
        <x:v>2</x:v>
      </x:c>
      <x:c r="H399" s="23" t="str"/>
      <x:c r="I399" s="23" t="str"/>
      <x:c r="J399" s="23" t="str"/>
      <x:c r="K399" s="23" t="str"/>
      <x:c r="L399" s="23" t="e">
        <x:f>HYPERLINK("https://xn--l3cga1amo9al2e5c0fqf.cybo.com/TH/%E0%B9%80%E0%B8%97%E0%B8%A8%E0%B8%9A%E0%B8%B2%E0%B8%A5%E0%B8%99%E0%B8%84%E0%B8%A3%E0%B8%A3%E0%B8%B0%E0%B8%A2%E0%B8%AD%E0%B8%87/%E0%B8%A1%E0%B8%B1%E0%B8%AA%E0%B8%A2%E0%B8%B4%E0%B8%94","เปิดเว็บเพิ่ม 1")</x:f>
        <x:v>HYPERLINK is not implemented. linkLocation=https://xn--l3cga1amo9al2e5c0fqf.cybo.com/TH/%E0%B9%80%E0%B8%97%E0%B8%A8%E0%B8%9A%E0%B8%B2%E0%B8%A5%E0%B8%99%E0%B8%84%E0%B8%A3%E0%B8%A3%E0%B8%B0%E0%B8%A2%E0%B8%AD%E0%B8%87/%E0%B8%A1%E0%B8%B1%E0%B8%AA%E0%B8%A2%E0%B8%B4%E0%B8%94, friendlyName=เปิดเว็บเพิ่ม 1</x:v>
      </x:c>
      <x:c r="M399" s="23" t="str"/>
      <x:c r="N399" s="20" t="str">
        <x:v>ยังไม่ยืนยัน</x:v>
      </x:c>
      <x:c r="O39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399" s="25" t="n">
        <x:v>46315</x:v>
      </x:c>
      <x:c r="Q399" s="27" t="str">
        <x:v>ยังไม่ตรวจ</x:v>
      </x:c>
      <x:c r="R399" s="27" t="str">
        <x:v>รอติดต่อ</x:v>
      </x:c>
    </x:row>
    <x:row r="400" ht="76" customHeight="1">
      <x:c r="A400" s="24" t="str">
        <x:v>TMF-392</x:v>
      </x:c>
      <x:c r="B400" s="20" t="str">
        <x:v>รีเจนท์ ลอด์จ โฮเตล</x:v>
      </x:c>
      <x:c r="C400" s="20" t="str">
        <x:v>ลำปาง</x:v>
      </x:c>
      <x:c r="D400" s="20" t="str">
        <x:v>คงไว้ในชุด 600</x:v>
      </x:c>
      <x:c r="E400" s="20" t="str">
        <x:v>พบหลายแหล่งสัมพันธ์กับชื่อ รอยืนยันการเปิด</x:v>
      </x:c>
      <x:c r="F400" s="20" t="str">
        <x:v>ยังไม่ยืนยันการเปิดให้บริการปัจจุบัน</x:v>
      </x:c>
      <x:c r="G400" s="26" t="n">
        <x:v>2</x:v>
      </x:c>
      <x:c r="H400" s="23" t="str"/>
      <x:c r="I400" s="23" t="str"/>
      <x:c r="J400" s="23" t="str"/>
      <x:c r="K400" s="23" t="str"/>
      <x:c r="L400" s="23" t="e">
        <x:f>HYPERLINK("https://www.lovethailand.org/travel/en/3-Lampang/6275-Wang-Nuea-Road-Cultural-Street.html","เปิดเว็บเพิ่ม 1")</x:f>
        <x:v>HYPERLINK is not implemented. linkLocation=https://www.lovethailand.org/travel/en/3-Lampang/6275-Wang-Nuea-Road-Cultural-Street.html, friendlyName=เปิดเว็บเพิ่ม 1</x:v>
      </x:c>
      <x:c r="M400" s="23" t="str"/>
      <x:c r="N400" s="20" t="str">
        <x:v>ยังไม่ยืนยัน</x:v>
      </x:c>
      <x:c r="O400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00" s="25" t="n">
        <x:v>46315</x:v>
      </x:c>
      <x:c r="Q400" s="27" t="str">
        <x:v>ยังไม่ตรวจ</x:v>
      </x:c>
      <x:c r="R400" s="27" t="str">
        <x:v>รอติดต่อ</x:v>
      </x:c>
    </x:row>
    <x:row r="401" ht="76" customHeight="1">
      <x:c r="A401" s="24" t="str">
        <x:v>TMF-393</x:v>
      </x:c>
      <x:c r="B401" s="20" t="str">
        <x:v>มัสยิดนูรุลอิสลามสกลนคร</x:v>
      </x:c>
      <x:c r="C401" s="20" t="str">
        <x:v>สกลนคร</x:v>
      </x:c>
      <x:c r="D401" s="20" t="str">
        <x:v>คงไว้ในชุด 600</x:v>
      </x:c>
      <x:c r="E401" s="20" t="str">
        <x:v>พบหลายแหล่งสัมพันธ์กับชื่อ รอยืนยันการเปิด</x:v>
      </x:c>
      <x:c r="F401" s="20" t="str">
        <x:v>ยังไม่ยืนยันการเปิดให้บริการปัจจุบัน</x:v>
      </x:c>
      <x:c r="G401" s="26" t="n">
        <x:v>2</x:v>
      </x:c>
      <x:c r="H401" s="23" t="str"/>
      <x:c r="I401" s="23" t="str"/>
      <x:c r="J401" s="23" t="str"/>
      <x:c r="K401" s="23" t="str"/>
      <x:c r="L401" s="23" t="e">
        <x:f>HYPERLINK("https://www.ibank.co.th/th/news/detail/2021-03-29-16-42-12","เปิดเว็บเพิ่ม 1")</x:f>
        <x:v>HYPERLINK is not implemented. linkLocation=https://www.ibank.co.th/th/news/detail/2021-03-29-16-42-12, friendlyName=เปิดเว็บเพิ่ม 1</x:v>
      </x:c>
      <x:c r="M401" s="23" t="str"/>
      <x:c r="N401" s="20" t="str">
        <x:v>ยังไม่ยืนยัน</x:v>
      </x:c>
      <x:c r="O401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01" s="25" t="n">
        <x:v>46315</x:v>
      </x:c>
      <x:c r="Q401" s="27" t="str">
        <x:v>ยังไม่ตรวจ</x:v>
      </x:c>
      <x:c r="R401" s="27" t="str">
        <x:v>รอติดต่อ</x:v>
      </x:c>
    </x:row>
    <x:row r="402" ht="76" customHeight="1">
      <x:c r="A402" s="24" t="str">
        <x:v>TMF-394</x:v>
      </x:c>
      <x:c r="B402" s="20" t="str">
        <x:v>โรงแรม บี.พี. แกรนด์ทาวเวอร์</x:v>
      </x:c>
      <x:c r="C402" s="20" t="str">
        <x:v>สงขลา</x:v>
      </x:c>
      <x:c r="D402" s="20" t="str">
        <x:v>คงไว้ในชุด 600</x:v>
      </x:c>
      <x:c r="E402" s="20" t="str">
        <x:v>พบหลายแหล่งสัมพันธ์กับชื่อ รอยืนยันการเปิด</x:v>
      </x:c>
      <x:c r="F402" s="20" t="str">
        <x:v>ยังไม่ยืนยันการเปิดให้บริการปัจจุบัน</x:v>
      </x:c>
      <x:c r="G402" s="26" t="n">
        <x:v>8</x:v>
      </x:c>
      <x:c r="H402" s="23" t="str"/>
      <x:c r="I402" s="23" t="str"/>
      <x:c r="J402" s="23" t="e">
        <x:f>HYPERLINK("https://th.tripadvisor.com/Hotel_Review-g297921-d1230765-Reviews-BP_Grand_Tower_Hotel-Hat_Yai_Songkhla_Province.html","เปิดหน้ารีวิว 1")</x:f>
        <x:v>HYPERLINK is not implemented. linkLocation=https://th.tripadvisor.com/Hotel_Review-g297921-d1230765-Reviews-BP_Grand_Tower_Hotel-Hat_Yai_Songkhla_Province.html, friendlyName=เปิดหน้ารีวิว 1</x:v>
      </x:c>
      <x:c r="K402" s="23" t="e">
        <x:f>HYPERLINK("https://www.expedia.co.th/Hat-Yai-Hotels-BP-Grand-Tower-Hotel.h12663465.Hotel-Information","เปิดหน้ารีวิว 2")</x:f>
        <x:v>HYPERLINK is not implemented. linkLocation=https://www.expedia.co.th/Hat-Yai-Hotels-BP-Grand-Tower-Hotel.h12663465.Hotel-Information, friendlyName=เปิดหน้ารีวิว 2</x:v>
      </x:c>
      <x:c r="L402" s="23" t="e">
        <x:f>HYPERLINK("https://www.traveloka.com/th-th/hotel/thailand/bp-grand-tower-hotel-2000000253599","เปิดเว็บเพิ่ม 1")</x:f>
        <x:v>HYPERLINK is not implemented. linkLocation=https://www.traveloka.com/th-th/hotel/thailand/bp-grand-tower-hotel-2000000253599, friendlyName=เปิดเว็บเพิ่ม 1</x:v>
      </x:c>
      <x:c r="M402" s="23" t="e">
        <x:f>HYPERLINK("https://www.klook.com/th/hotels/detail/267542-bp-grand-tower-hotel/","เปิดเว็บเพิ่ม 2")</x:f>
        <x:v>HYPERLINK is not implemented. linkLocation=https://www.klook.com/th/hotels/detail/267542-bp-grand-tower-hotel/, friendlyName=เปิดเว็บเพิ่ม 2</x:v>
      </x:c>
      <x:c r="N402" s="20" t="str">
        <x:v>ยังไม่ยืนยัน</x:v>
      </x:c>
      <x:c r="O40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02" s="25" t="n">
        <x:v>46315</x:v>
      </x:c>
      <x:c r="Q402" s="27" t="str">
        <x:v>ยังไม่ตรวจ</x:v>
      </x:c>
      <x:c r="R402" s="27" t="str">
        <x:v>รอติดต่อ</x:v>
      </x:c>
    </x:row>
    <x:row r="403" ht="76" customHeight="1">
      <x:c r="A403" s="24" t="str">
        <x:v>TMF-395</x:v>
      </x:c>
      <x:c r="B403" s="20" t="str">
        <x:v>โรงแรม หรรษา เจบี</x:v>
      </x:c>
      <x:c r="C403" s="20" t="str">
        <x:v>สงขลา</x:v>
      </x:c>
      <x:c r="D403" s="20" t="str">
        <x:v>คงไว้ในชุด 600</x:v>
      </x:c>
      <x:c r="E403" s="20" t="str">
        <x:v>พบหลายแหล่งสัมพันธ์กับชื่อ รอยืนยันการเปิด</x:v>
      </x:c>
      <x:c r="F403" s="20" t="str">
        <x:v>ยังไม่ยืนยันการเปิดให้บริการปัจจุบัน</x:v>
      </x:c>
      <x:c r="G403" s="26" t="n">
        <x:v>8</x:v>
      </x:c>
      <x:c r="H403" s="23" t="str"/>
      <x:c r="I403" s="23" t="str"/>
      <x:c r="J403" s="23" t="e">
        <x:f>HYPERLINK("https://th.trip.com/hotels/hat-yai-hotel-detail-1512414/hansa-jb-hotel-hatyai/review.html","เปิดหน้ารีวิว 1")</x:f>
        <x:v>HYPERLINK is not implemented. linkLocation=https://th.trip.com/hotels/hat-yai-hotel-detail-1512414/hansa-jb-hotel-hatyai/review.html, friendlyName=เปิดหน้ารีวิว 1</x:v>
      </x:c>
      <x:c r="K403" s="23" t="e">
        <x:f>HYPERLINK("https://www.wongnai.com/hotels/315048xr-%E0%B9%82%E0%B8%A3%E0%B8%87%E0%B9%81%E0%B8%A3%E0%B8%A1%E0%B8%AB%E0%B8%A3%E0%B8%A3%E0%B8%A9%E0%B8%B2%E0%B9%80%E0%B8%88%E0%B8%9A%E0%B8%B5","เปิดหน้ารีวิว 2")</x:f>
        <x:v>HYPERLINK is not implemented. linkLocation=https://www.wongnai.com/hotels/315048xr-%E0%B9%82%E0%B8%A3%E0%B8%87%E0%B9%81%E0%B8%A3%E0%B8%A1%E0%B8%AB%E0%B8%A3%E0%B8%A3%E0%B8%A9%E0%B8%B2%E0%B9%80%E0%B8%88%E0%B8%9A%E0%B8%B5, friendlyName=เปิดหน้ารีวิว 2</x:v>
      </x:c>
      <x:c r="L403" s="23" t="e">
        <x:f>HYPERLINK("https://thi.worldorgs.com/%E0%B9%81%E0%B8%84%E0%B8%95%E0%B8%95%E0%B8%B2%E0%B8%A5%E0%B9%87%E0%B8%AD%E0%B8%81/%E0%B8%AD%E0%B8%B3%E0%B9%80%E0%B8%A0%E0%B8%AD%E0%B8%AB%E0%B8%B2%E0%B8%94%E0%B9%83%E0%B8%AB%E0%B8%8D%E0%B9%88/%E0%B9%84%E0%B8%99%E0%B8%97%E0%B9%8C%E0%B8%84%E0%B8%A5%E0%B8%B1%E0%B8%9A/%E0%B9%82%E0%B8%A3%E0%B8%87%E0%B9%81%E0%B8%A3%E0%B8%A1%E0%B8%AB%E0%B8%A3%E0%B8%A3%E0%B8%A9%E0%B8%B2%E0%B9%80%E0%B8%88%E0%B8%9A%E0%B8%B5","เปิดเว็บเพิ่ม 1")</x:f>
        <x:v>HYPERLINK is not implemented. linkLocation=https://thi.worldorgs.com/%E0%B9%81%E0%B8%84%E0%B8%95%E0%B8%95%E0%B8%B2%E0%B8%A5%E0%B9%87%E0%B8%AD%E0%B8%81/%E0%B8%AD%E0%B8%B3%E0%B9%80%E0%B8%A0%E0%B8%AD%E0%B8%AB%E0%B8%B2%E0%B8%94%E0%B9%83%E0%B8%AB%E0%B8%8D%E0%B9%88/%E0%B9%84%E0%B8%99%E0%B8%97%E0%B9%8C%E0%B8%84%E0%B8%A5%E0%B8%B1%E0%B8%9A/%E0%B9%82%E0%B8%A3%E0%B8%87%E0%B9%81%E0%B8%A3%E0%B8%A1%E0%B8%AB%E0%B8%A3%E0%B8%A3%E0%B8%A9%E0%B8%B2%E0%B9%80%E0%B8%88%E0%B8%9A%E0%B8%B5, friendlyName=เปิดเว็บเพิ่ม 1</x:v>
      </x:c>
      <x:c r="M403" s="23" t="e">
        <x:f>HYPERLINK("https://www.traveloka.com/th-th/hotel/thailand/hansa-jb-1000000424627","เปิดเว็บเพิ่ม 2")</x:f>
        <x:v>HYPERLINK is not implemented. linkLocation=https://www.traveloka.com/th-th/hotel/thailand/hansa-jb-1000000424627, friendlyName=เปิดเว็บเพิ่ม 2</x:v>
      </x:c>
      <x:c r="N403" s="20" t="str">
        <x:v>ยังไม่ยืนยัน</x:v>
      </x:c>
      <x:c r="O40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03" s="25" t="n">
        <x:v>46315</x:v>
      </x:c>
      <x:c r="Q403" s="27" t="str">
        <x:v>ยังไม่ตรวจ</x:v>
      </x:c>
      <x:c r="R403" s="27" t="str">
        <x:v>รอติดต่อ</x:v>
      </x:c>
    </x:row>
    <x:row r="404" ht="76" customHeight="1">
      <x:c r="A404" s="24" t="str">
        <x:v>TMF-396</x:v>
      </x:c>
      <x:c r="B404" s="20" t="str">
        <x:v>โรงแรมหาดแก้ว รีสอร์ท สงขลา</x:v>
      </x:c>
      <x:c r="C404" s="20" t="str">
        <x:v>สงขลา</x:v>
      </x:c>
      <x:c r="D404" s="20" t="str">
        <x:v>คงไว้ในชุด 600</x:v>
      </x:c>
      <x:c r="E404" s="20" t="str">
        <x:v>พบหลายแหล่งสัมพันธ์กับชื่อ รอยืนยันการเปิด</x:v>
      </x:c>
      <x:c r="F404" s="20" t="str">
        <x:v>ยังไม่ยืนยันการเปิดให้บริการปัจจุบัน</x:v>
      </x:c>
      <x:c r="G404" s="26" t="n">
        <x:v>4</x:v>
      </x:c>
      <x:c r="H404" s="23" t="str"/>
      <x:c r="I404" s="23" t="str"/>
      <x:c r="J404" s="23" t="str"/>
      <x:c r="K404" s="23" t="str"/>
      <x:c r="L404" s="23" t="e">
        <x:f>HYPERLINK("https://www.thaithurkic.com/%E0%B9%82%E0%B8%A3%E0%B8%87%E0%B9%81%E0%B8%A3%E0%B8%A1%E0%B8%AB%E0%B8%B2%E0%B8%94%E0%B9%81%E0%B8%81%E0%B9%89%E0%B8%A7%E0%B8%A3%E0%B8%B5%E0%B8%AA%E0%B8%AD%E0%B8%A3%E0%B9%8C%E0%B8%97-%E0%B8%AA%E0%B8%87%E0%B8%82%E0%B8%A5%E0%B8%B2_13-089-738-1079","เปิดเว็บเพิ่ม 1")</x:f>
        <x:v>HYPERLINK is not implemented. linkLocation=https://www.thaithurkic.com/%E0%B9%82%E0%B8%A3%E0%B8%87%E0%B9%81%E0%B8%A3%E0%B8%A1%E0%B8%AB%E0%B8%B2%E0%B8%94%E0%B9%81%E0%B8%81%E0%B9%89%E0%B8%A7%E0%B8%A3%E0%B8%B5%E0%B8%AA%E0%B8%AD%E0%B8%A3%E0%B9%8C%E0%B8%97-%E0%B8%AA%E0%B8%87%E0%B8%82%E0%B8%A5%E0%B8%B2_13-089-738-1079, friendlyName=เปิดเว็บเพิ่ม 1</x:v>
      </x:c>
      <x:c r="M404" s="23" t="e">
        <x:f>HYPERLINK("https://thai.beautihost.com/songkhla/search/?q=haad+kaew+resort+hotel","เปิดเว็บเพิ่ม 2")</x:f>
        <x:v>HYPERLINK is not implemented. linkLocation=https://thai.beautihost.com/songkhla/search/?q=haad+kaew+resort+hotel, friendlyName=เปิดเว็บเพิ่ม 2</x:v>
      </x:c>
      <x:c r="N404" s="20" t="str">
        <x:v>ยังไม่ยืนยัน</x:v>
      </x:c>
      <x:c r="O404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04" s="25" t="n">
        <x:v>46315</x:v>
      </x:c>
      <x:c r="Q404" s="27" t="str">
        <x:v>ยังไม่ตรวจ</x:v>
      </x:c>
      <x:c r="R404" s="27" t="str">
        <x:v>รอติดต่อ</x:v>
      </x:c>
    </x:row>
    <x:row r="405" ht="76" customHeight="1">
      <x:c r="A405" s="24" t="str">
        <x:v>TMF-397</x:v>
      </x:c>
      <x:c r="B405" s="20" t="str">
        <x:v>โรงแรมเซาท์เทอร์น แอร์พอร์ต</x:v>
      </x:c>
      <x:c r="C405" s="20" t="str">
        <x:v>สงขลา</x:v>
      </x:c>
      <x:c r="D405" s="20" t="str">
        <x:v>คงไว้ในชุด 600</x:v>
      </x:c>
      <x:c r="E405" s="20" t="str">
        <x:v>พบหลายแหล่งสัมพันธ์กับชื่อ รอยืนยันการเปิด</x:v>
      </x:c>
      <x:c r="F405" s="20" t="str">
        <x:v>ยังไม่ยืนยันการเปิดให้บริการปัจจุบัน</x:v>
      </x:c>
      <x:c r="G405" s="26" t="n">
        <x:v>4</x:v>
      </x:c>
      <x:c r="H405" s="23" t="str"/>
      <x:c r="I405" s="23" t="str"/>
      <x:c r="J405" s="23" t="e">
        <x:f>HYPERLINK("https://www.lemon8-app.com/%40hellosongkhla/7619262329806111253?region=us","เปิดหน้ารีวิว 1")</x:f>
        <x:v>HYPERLINK is not implemented. linkLocation=https://www.lemon8-app.com/%40hellosongkhla/7619262329806111253?region=us, friendlyName=เปิดหน้ารีวิว 1</x:v>
      </x:c>
      <x:c r="K405" s="23" t="str"/>
      <x:c r="L405" s="23" t="e">
        <x:f>HYPERLINK("https://salaamthailand.com/en/place/prayer-room-%E0%B8%AB%E0%B9%89%E0%B8%AD%E0%B8%87%E0%B8%A5%E0%B8%B0%E0%B8%AB%E0%B8%A1%E0%B8%B2%E0%B8%94-%E0%B9%82%E0%B8%A3%E0%B8%87%E0%B9%81%E0%B8%A3%E0%B8%A1%E0%B9%80%E0%B8%8B%E0%B8%B2%E0%B8%97%E0%B9%8C%E0%B9%80%E0%B8%97%E0%B8%AD%E0%B8%A3%E0%B9%8C%E0%B8%99-%E0%B9%81%E0%B8%AD%E0%B8%A3%E0%B9%8C%E0%B8%9E%E0%B8%AD%E0%B8%A3%E0%B9%8C%E0%B8%95-thiz6i/","เปิดเว็บเพิ่ม 1")</x:f>
        <x:v>HYPERLINK is not implemented. linkLocation=https://salaamthailand.com/en/place/prayer-room-%E0%B8%AB%E0%B9%89%E0%B8%AD%E0%B8%87%E0%B8%A5%E0%B8%B0%E0%B8%AB%E0%B8%A1%E0%B8%B2%E0%B8%94-%E0%B9%82%E0%B8%A3%E0%B8%87%E0%B9%81%E0%B8%A3%E0%B8%A1%E0%B9%80%E0%B8%8B%E0%B8%B2%E0%B8%97%E0%B9%8C%E0%B9%80%E0%B8%97%E0%B8%AD%E0%B8%A3%E0%B9%8C%E0%B8%99-%E0%B9%81%E0%B8%AD%E0%B8%A3%E0%B9%8C%E0%B8%9E%E0%B8%AD%E0%B8%A3%E0%B9%8C%E0%B8%95-thiz6i/, friendlyName=เปิดเว็บเพิ่ม 1</x:v>
      </x:c>
      <x:c r="M405" s="23" t="e">
        <x:f>HYPERLINK("https://www.traveloka.com/th-th/hotel/thailand/southern-airport-hotel-3000020021726","เปิดเว็บเพิ่ม 2")</x:f>
        <x:v>HYPERLINK is not implemented. linkLocation=https://www.traveloka.com/th-th/hotel/thailand/southern-airport-hotel-3000020021726, friendlyName=เปิดเว็บเพิ่ม 2</x:v>
      </x:c>
      <x:c r="N405" s="20" t="str">
        <x:v>ยังไม่ยืนยัน</x:v>
      </x:c>
      <x:c r="O40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05" s="25" t="n">
        <x:v>46315</x:v>
      </x:c>
      <x:c r="Q405" s="27" t="str">
        <x:v>ยังไม่ตรวจ</x:v>
      </x:c>
      <x:c r="R405" s="27" t="str">
        <x:v>รอติดต่อ</x:v>
      </x:c>
    </x:row>
    <x:row r="406" ht="76" customHeight="1">
      <x:c r="A406" s="24" t="str">
        <x:v>TMF-398</x:v>
      </x:c>
      <x:c r="B406" s="20" t="str">
        <x:v>AYAMCHON HATYAI</x:v>
      </x:c>
      <x:c r="C406" s="20" t="str">
        <x:v>สงขลา</x:v>
      </x:c>
      <x:c r="D406" s="20" t="str">
        <x:v>คงไว้ในชุด 600</x:v>
      </x:c>
      <x:c r="E406" s="20" t="str">
        <x:v>พบหลายแหล่งสัมพันธ์กับชื่อ รอยืนยันการเปิด</x:v>
      </x:c>
      <x:c r="F406" s="20" t="str">
        <x:v>ยังไม่ยืนยันการเปิดให้บริการปัจจุบัน</x:v>
      </x:c>
      <x:c r="G406" s="26" t="n">
        <x:v>3</x:v>
      </x:c>
      <x:c r="H406" s="23" t="str"/>
      <x:c r="I406" s="23" t="str"/>
      <x:c r="J406" s="23" t="e">
        <x:f>HYPERLINK("https://www.wongnai.com/restaurants/2984951qD-ayamchon-%E0%B8%8A%E0%B9%88%E0%B8%AD%E0%B8%87%E0%B9%80%E0%B8%82%E0%B8%B2-%E0%B8%AB%E0%B8%B2%E0%B8%94%E0%B9%83%E0%B8%AB%E0%B8%8D%E0%B9%88?_st=cD0xMzY7Yj0yOTg0OTUxO2FkPWZhbHNlO3Q9MTc4MDI5ODEyMzg4OTtyaT0xWDdiWVUzeVN3ZmRuak9GcXJicVBOcFNYMVphbHY7aT0xWDcxMW5wWXhycFNqeVVqd2pBR1E3MlJscHNTbWY7d3JlZj1zcjs%3D","เปิดหน้ารีวิว 1")</x:f>
        <x:v>HYPERLINK is not implemented. linkLocation=https://www.wongnai.com/restaurants/2984951qD-ayamchon-%E0%B8%8A%E0%B9%88%E0%B8%AD%E0%B8%87%E0%B9%80%E0%B8%82%E0%B8%B2-%E0%B8%AB%E0%B8%B2%E0%B8%94%E0%B9%83%E0%B8%AB%E0%B8%8D%E0%B9%88?_st=cD0xMzY7Yj0yOTg0OTUxO2FkPWZhbHNlO3Q9MTc4MDI5ODEyMzg4OTtyaT0xWDdiWVUzeVN3ZmRuak9GcXJicVBOcFNYMVphbHY7aT0xWDcxMW5wWXhycFNqeVVqd2pBR1E3MlJscHNTbWY7d3JlZj1zcjs%3D, friendlyName=เปิดหน้ารีวิว 1</x:v>
      </x:c>
      <x:c r="K406" s="23" t="e">
        <x:f>HYPERLINK("https://www.trip.com/moments/detail/hat-yai-24603-135601160/","เปิดหน้ารีวิว 2")</x:f>
        <x:v>HYPERLINK is not implemented. linkLocation=https://www.trip.com/moments/detail/hat-yai-24603-135601160/, friendlyName=เปิดหน้ารีวิว 2</x:v>
      </x:c>
      <x:c r="L406" s="23" t="str"/>
      <x:c r="M406" s="23" t="str"/>
      <x:c r="N406" s="20" t="str">
        <x:v>ยังไม่ยืนยัน</x:v>
      </x:c>
      <x:c r="O40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06" s="25" t="n">
        <x:v>46315</x:v>
      </x:c>
      <x:c r="Q406" s="27" t="str">
        <x:v>ยังไม่ตรวจ</x:v>
      </x:c>
      <x:c r="R406" s="27" t="str">
        <x:v>รอติดต่อ</x:v>
      </x:c>
    </x:row>
    <x:row r="407" ht="76" customHeight="1">
      <x:c r="A407" s="24" t="str">
        <x:v>TMF-399</x:v>
      </x:c>
      <x:c r="B407" s="20" t="str">
        <x:v>มัสยิดกลางประจำจังหวัดสงขลา</x:v>
      </x:c>
      <x:c r="C407" s="20" t="str">
        <x:v>สงขลา</x:v>
      </x:c>
      <x:c r="D407" s="20" t="str">
        <x:v>คงไว้ในชุด 600</x:v>
      </x:c>
      <x:c r="E407" s="20" t="str">
        <x:v>พบหลายแหล่งสัมพันธ์กับชื่อ รอยืนยันการเปิด</x:v>
      </x:c>
      <x:c r="F407" s="20" t="str">
        <x:v>ยังไม่ยืนยันการเปิดให้บริการปัจจุบัน</x:v>
      </x:c>
      <x:c r="G407" s="26" t="n">
        <x:v>2</x:v>
      </x:c>
      <x:c r="H407" s="23" t="str"/>
      <x:c r="I407" s="23" t="str"/>
      <x:c r="J407" s="23" t="e">
        <x:f>HYPERLINK("https://th.trip.com/travel-guide/attraction/hat-yai/the-central-mosque-of-songkhla-61871424/?curr=THB&amp;locale=th-TH","เปิดหน้ารีวิว 1")</x:f>
        <x:v>HYPERLINK is not implemented. linkLocation=https://th.trip.com/travel-guide/attraction/hat-yai/the-central-mosque-of-songkhla-61871424/?curr=THB&amp;locale=th-TH, friendlyName=เปิดหน้ารีวิว 1</x:v>
      </x:c>
      <x:c r="K407" s="23" t="e">
        <x:f>HYPERLINK("https://th.trip.com/travel-guide/attraction/hat-yai/the-central-mosque-of-songkhla-61871424?curr=&amp;locale=th-TH&amp;poiType=3","เปิดหน้ารีวิว 2")</x:f>
        <x:v>HYPERLINK is not implemented. linkLocation=https://th.trip.com/travel-guide/attraction/hat-yai/the-central-mosque-of-songkhla-61871424?curr=&amp;locale=th-TH&amp;poiType=3, friendlyName=เปิดหน้ารีวิว 2</x:v>
      </x:c>
      <x:c r="L407" s="23" t="str"/>
      <x:c r="M407" s="23" t="str"/>
      <x:c r="N407" s="20" t="str">
        <x:v>ยังไม่ยืนยัน</x:v>
      </x:c>
      <x:c r="O40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07" s="25" t="n">
        <x:v>46315</x:v>
      </x:c>
      <x:c r="Q407" s="27" t="str">
        <x:v>ยังไม่ตรวจ</x:v>
      </x:c>
      <x:c r="R407" s="27" t="str">
        <x:v>รอติดต่อ</x:v>
      </x:c>
    </x:row>
    <x:row r="408" ht="96" customHeight="1">
      <x:c r="A408" s="24" t="str">
        <x:v>TMF-400</x:v>
      </x:c>
      <x:c r="B408" s="20" t="str">
        <x:v>กลิ่นมาลัย</x:v>
      </x:c>
      <x:c r="C408" s="20" t="str">
        <x:v>สมุทรปราการ</x:v>
      </x:c>
      <x:c r="D408" s="20" t="str">
        <x:v>คงไว้ในชุด 600</x:v>
      </x:c>
      <x:c r="E408" s="20" t="str">
        <x:v>หลักฐานไม่พอ รอยืนยันการเปิด</x:v>
      </x:c>
      <x:c r="F408" s="20" t="str">
        <x:v>ยังไม่ยืนยันการเปิดให้บริการปัจจุบัน</x:v>
      </x:c>
      <x:c r="G408" s="26" t="n">
        <x:v>1</x:v>
      </x:c>
      <x:c r="H408" s="23" t="str"/>
      <x:c r="I408" s="23" t="str"/>
      <x:c r="J408" s="23" t="str"/>
      <x:c r="K408" s="23" t="str"/>
      <x:c r="L408" s="23" t="str"/>
      <x:c r="M408" s="23" t="str"/>
      <x:c r="N408" s="20" t="str">
        <x:v>ยังไม่ยืนยัน</x:v>
      </x:c>
      <x:c r="O40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08" s="25" t="n">
        <x:v>46315</x:v>
      </x:c>
      <x:c r="Q408" s="27" t="str">
        <x:v>ยังไม่ตรวจ</x:v>
      </x:c>
      <x:c r="R408" s="27" t="str">
        <x:v>รอติดต่อ</x:v>
      </x:c>
    </x:row>
    <x:row r="409" ht="96" customHeight="1">
      <x:c r="A409" s="24" t="str">
        <x:v>TMF-401</x:v>
      </x:c>
      <x:c r="B409" s="20" t="str">
        <x:v>กาแฟปากลัด</x:v>
      </x:c>
      <x:c r="C409" s="20" t="str">
        <x:v>สมุทรปราการ</x:v>
      </x:c>
      <x:c r="D409" s="20" t="str">
        <x:v>คงไว้ในชุด 600</x:v>
      </x:c>
      <x:c r="E409" s="20" t="str">
        <x:v>หลักฐานไม่พอ รอยืนยันการเปิด</x:v>
      </x:c>
      <x:c r="F409" s="20" t="str">
        <x:v>ยังไม่ยืนยันการเปิดให้บริการปัจจุบัน</x:v>
      </x:c>
      <x:c r="G409" s="26" t="n">
        <x:v>1</x:v>
      </x:c>
      <x:c r="H409" s="23" t="str"/>
      <x:c r="I409" s="23" t="str"/>
      <x:c r="J409" s="23" t="str"/>
      <x:c r="K409" s="23" t="str"/>
      <x:c r="L409" s="23" t="str"/>
      <x:c r="M409" s="23" t="str"/>
      <x:c r="N409" s="20" t="str">
        <x:v>ยังไม่ยืนยัน</x:v>
      </x:c>
      <x:c r="O40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09" s="25" t="n">
        <x:v>46315</x:v>
      </x:c>
      <x:c r="Q409" s="27" t="str">
        <x:v>ยังไม่ตรวจ</x:v>
      </x:c>
      <x:c r="R409" s="27" t="str">
        <x:v>รอติดต่อ</x:v>
      </x:c>
    </x:row>
    <x:row r="410" ht="96" customHeight="1">
      <x:c r="A410" s="24" t="str">
        <x:v>TMF-402</x:v>
      </x:c>
      <x:c r="B410" s="20" t="str">
        <x:v>ก๋วยเตี๋ยว อาหารอิสลาม บังจ๋า มาแว้ว</x:v>
      </x:c>
      <x:c r="C410" s="20" t="str">
        <x:v>สมุทรปราการ</x:v>
      </x:c>
      <x:c r="D410" s="20" t="str">
        <x:v>คงไว้ในชุด 600</x:v>
      </x:c>
      <x:c r="E410" s="20" t="str">
        <x:v>หลักฐานไม่พอ รอยืนยันการเปิด</x:v>
      </x:c>
      <x:c r="F410" s="20" t="str">
        <x:v>ยังไม่ยืนยันการเปิดให้บริการปัจจุบัน</x:v>
      </x:c>
      <x:c r="G410" s="26" t="n">
        <x:v>1</x:v>
      </x:c>
      <x:c r="H410" s="23" t="str"/>
      <x:c r="I410" s="23" t="str"/>
      <x:c r="J410" s="23" t="str"/>
      <x:c r="K410" s="23" t="str"/>
      <x:c r="L410" s="23" t="str"/>
      <x:c r="M410" s="23" t="str"/>
      <x:c r="N410" s="20" t="str">
        <x:v>ยังไม่ยืนยัน</x:v>
      </x:c>
      <x:c r="O41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10" s="25" t="n">
        <x:v>46315</x:v>
      </x:c>
      <x:c r="Q410" s="27" t="str">
        <x:v>ยังไม่ตรวจ</x:v>
      </x:c>
      <x:c r="R410" s="27" t="str">
        <x:v>รอติดต่อ</x:v>
      </x:c>
    </x:row>
    <x:row r="411" ht="96" customHeight="1">
      <x:c r="A411" s="24" t="str">
        <x:v>TMF-403</x:v>
      </x:c>
      <x:c r="B411" s="20" t="str">
        <x:v>ก๋วยเตี๋ยวซากีนะห์</x:v>
      </x:c>
      <x:c r="C411" s="20" t="str">
        <x:v>สมุทรปราการ</x:v>
      </x:c>
      <x:c r="D411" s="20" t="str">
        <x:v>คงไว้ในชุด 600</x:v>
      </x:c>
      <x:c r="E411" s="20" t="str">
        <x:v>หลักฐานไม่พอ รอยืนยันการเปิด</x:v>
      </x:c>
      <x:c r="F411" s="20" t="str">
        <x:v>ยังไม่ยืนยันการเปิดให้บริการปัจจุบัน</x:v>
      </x:c>
      <x:c r="G411" s="26" t="n">
        <x:v>1</x:v>
      </x:c>
      <x:c r="H411" s="23" t="str"/>
      <x:c r="I411" s="23" t="str"/>
      <x:c r="J411" s="23" t="str"/>
      <x:c r="K411" s="23" t="str"/>
      <x:c r="L411" s="23" t="str"/>
      <x:c r="M411" s="23" t="str"/>
      <x:c r="N411" s="20" t="str">
        <x:v>ยังไม่ยืนยัน</x:v>
      </x:c>
      <x:c r="O41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11" s="25" t="n">
        <x:v>46315</x:v>
      </x:c>
      <x:c r="Q411" s="27" t="str">
        <x:v>ยังไม่ตรวจ</x:v>
      </x:c>
      <x:c r="R411" s="27" t="str">
        <x:v>รอติดต่อ</x:v>
      </x:c>
    </x:row>
    <x:row r="412" ht="96" customHeight="1">
      <x:c r="A412" s="24" t="str">
        <x:v>TMF-404</x:v>
      </x:c>
      <x:c r="B412" s="20" t="str">
        <x:v>สถานีโรตี</x:v>
      </x:c>
      <x:c r="C412" s="20" t="str">
        <x:v>สระบุรี</x:v>
      </x:c>
      <x:c r="D412" s="20" t="str">
        <x:v>คงไว้ในชุด 600</x:v>
      </x:c>
      <x:c r="E412" s="20" t="str">
        <x:v>หลักฐานไม่พอ รอยืนยันการเปิด</x:v>
      </x:c>
      <x:c r="F412" s="20" t="str">
        <x:v>ยังไม่ยืนยันการเปิดให้บริการปัจจุบัน</x:v>
      </x:c>
      <x:c r="G412" s="26" t="n">
        <x:v>1</x:v>
      </x:c>
      <x:c r="H412" s="23" t="str"/>
      <x:c r="I412" s="23" t="str"/>
      <x:c r="J412" s="23" t="str"/>
      <x:c r="K412" s="23" t="str"/>
      <x:c r="L412" s="23" t="str"/>
      <x:c r="M412" s="23" t="str"/>
      <x:c r="N412" s="20" t="str">
        <x:v>ยังไม่ยืนยัน</x:v>
      </x:c>
      <x:c r="O41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12" s="25" t="n">
        <x:v>46315</x:v>
      </x:c>
      <x:c r="Q412" s="27" t="str">
        <x:v>ยังไม่ตรวจ</x:v>
      </x:c>
      <x:c r="R412" s="27" t="str">
        <x:v>รอติดต่อ</x:v>
      </x:c>
    </x:row>
    <x:row r="413" ht="96" customHeight="1">
      <x:c r="A413" s="24" t="str">
        <x:v>TMF-405</x:v>
      </x:c>
      <x:c r="B413" s="20" t="str">
        <x:v>โกกี้ นมสด สถานีพัฒน์</x:v>
      </x:c>
      <x:c r="C413" s="20" t="str">
        <x:v>กรุงเทพมหานคร</x:v>
      </x:c>
      <x:c r="D413" s="20" t="str">
        <x:v>สำรองเพื่อจัดลำดับให้ทะเบียน GMHI</x:v>
      </x:c>
      <x:c r="E413" s="20" t="str">
        <x:v>หลักฐานไม่พอ รอยืนยันการเปิด</x:v>
      </x:c>
      <x:c r="F413" s="20" t="str">
        <x:v>ยังไม่ยืนยันการเปิดให้บริการปัจจุบัน</x:v>
      </x:c>
      <x:c r="G413" s="26" t="n">
        <x:v>1</x:v>
      </x:c>
      <x:c r="H413" s="23" t="str"/>
      <x:c r="I413" s="23" t="str"/>
      <x:c r="J413" s="23" t="str"/>
      <x:c r="K413" s="23" t="str"/>
      <x:c r="L413" s="23" t="str"/>
      <x:c r="M413" s="23" t="str"/>
      <x:c r="N413" s="20" t="str">
        <x:v>ยังไม่ยืนยัน</x:v>
      </x:c>
      <x:c r="O41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13" s="25" t="n">
        <x:v>46315</x:v>
      </x:c>
      <x:c r="Q413" s="27" t="str">
        <x:v>ยังไม่ตรวจ</x:v>
      </x:c>
      <x:c r="R413" s="27" t="str">
        <x:v>รอติดต่อ</x:v>
      </x:c>
    </x:row>
    <x:row r="414" ht="76" customHeight="1">
      <x:c r="A414" s="24" t="str">
        <x:v>TMF-406</x:v>
      </x:c>
      <x:c r="B414" s="20" t="str">
        <x:v>เดอะกี โรตี The gee roti</x:v>
      </x:c>
      <x:c r="C414" s="20" t="str">
        <x:v>เชียงใหม่</x:v>
      </x:c>
      <x:c r="D414" s="20" t="str">
        <x:v>คงไว้ในชุด 600</x:v>
      </x:c>
      <x:c r="E414" s="20" t="str">
        <x:v>พบหลายแหล่งสัมพันธ์กับชื่อ รอยืนยันการเปิด</x:v>
      </x:c>
      <x:c r="F414" s="20" t="str">
        <x:v>ยังไม่ยืนยันการเปิดให้บริการปัจจุบัน</x:v>
      </x:c>
      <x:c r="G414" s="26" t="n">
        <x:v>2</x:v>
      </x:c>
      <x:c r="H414" s="23" t="str"/>
      <x:c r="I414" s="23" t="str"/>
      <x:c r="J414" s="23" t="e">
        <x:f>HYPERLINK("https://restaurantguru.com/%E0%B8%A3%E0%B9%89%E0%B8%B2%E0%B8%99%E0%B9%80%E0%B8%94%E0%B8%AD%E0%B8%B0%E0%B8%81%E0%B8%B5-%E0%B9%82%E0%B8%A3%E0%B8%95%E0%B8%B5-%E0%B8%8A%E0%B8%B2%E0%B8%8A%E0%B8%B1%E0%B8%81-Chiang-Dao","เปิดหน้ารีวิว 1")</x:f>
        <x:v>HYPERLINK is not implemented. linkLocation=https://restaurantguru.com/%E0%B8%A3%E0%B9%89%E0%B8%B2%E0%B8%99%E0%B9%80%E0%B8%94%E0%B8%AD%E0%B8%B0%E0%B8%81%E0%B8%B5-%E0%B9%82%E0%B8%A3%E0%B8%95%E0%B8%B5-%E0%B8%8A%E0%B8%B2%E0%B8%8A%E0%B8%B1%E0%B8%81-Chiang-Dao, friendlyName=เปิดหน้ารีวิว 1</x:v>
      </x:c>
      <x:c r="K414" s="23" t="e">
        <x:f>HYPERLINK("https://restaurantguru.com/amp/%E0%B8%A3%E0%B9%89%E0%B8%B2%E0%B8%99%E0%B9%80%E0%B8%94%E0%B8%AD%E0%B8%B0%E0%B8%81%E0%B8%B5-%E0%B9%82%E0%B8%A3%E0%B8%95%E0%B8%B5-%E0%B8%8A%E0%B8%B2%E0%B8%8A%E0%B8%B1%E0%B8%81-Chiang-Dao","เปิดหน้ารีวิว 2")</x:f>
        <x:v>HYPERLINK is not implemented. linkLocation=https://restaurantguru.com/amp/%E0%B8%A3%E0%B9%89%E0%B8%B2%E0%B8%99%E0%B9%80%E0%B8%94%E0%B8%AD%E0%B8%B0%E0%B8%81%E0%B8%B5-%E0%B9%82%E0%B8%A3%E0%B8%95%E0%B8%B5-%E0%B8%8A%E0%B8%B2%E0%B8%8A%E0%B8%B1%E0%B8%81-Chiang-Dao, friendlyName=เปิดหน้ารีวิว 2</x:v>
      </x:c>
      <x:c r="L414" s="23" t="str"/>
      <x:c r="M414" s="23" t="str"/>
      <x:c r="N414" s="20" t="str">
        <x:v>ยังไม่ยืนยัน</x:v>
      </x:c>
      <x:c r="O41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14" s="25" t="n">
        <x:v>46315</x:v>
      </x:c>
      <x:c r="Q414" s="27" t="str">
        <x:v>ยังไม่ตรวจ</x:v>
      </x:c>
      <x:c r="R414" s="27" t="str">
        <x:v>รอติดต่อ</x:v>
      </x:c>
    </x:row>
    <x:row r="415" ht="96" customHeight="1">
      <x:c r="A415" s="24" t="str">
        <x:v>TMF-407</x:v>
      </x:c>
      <x:c r="B415" s="20" t="str">
        <x:v>Gigi chicken &amp; kebab</x:v>
      </x:c>
      <x:c r="C415" s="20" t="str">
        <x:v>กรุงเทพมหานคร</x:v>
      </x:c>
      <x:c r="D415" s="20" t="str">
        <x:v>สำรองเพื่อจัดลำดับให้ทะเบียน GMHI</x:v>
      </x:c>
      <x:c r="E415" s="20" t="str">
        <x:v>พบหลายแหล่งสัมพันธ์กับชื่อ รอยืนยันการเปิด</x:v>
      </x:c>
      <x:c r="F415" s="20" t="str">
        <x:v>พบหน้ารีวิวระบุปิดถาวร ต้องยืนยันกับผู้ประกอบการ</x:v>
      </x:c>
      <x:c r="G415" s="26" t="n">
        <x:v>2</x:v>
      </x:c>
      <x:c r="H415" s="23" t="str"/>
      <x:c r="I415" s="23" t="str"/>
      <x:c r="J415" s="23" t="e">
        <x:f>HYPERLINK("https://restaurantguru.com/GIGI-CHICKEN-and-KEBAB-Halal-Bangkok","เปิดหน้ารีวิว 1")</x:f>
        <x:v>HYPERLINK is not implemented. linkLocation=https://restaurantguru.com/GIGI-CHICKEN-and-KEBAB-Halal-Bangkok, friendlyName=เปิดหน้ารีวิว 1</x:v>
      </x:c>
      <x:c r="K415" s="23" t="str"/>
      <x:c r="L415" s="23" t="str"/>
      <x:c r="M415" s="23" t="str"/>
      <x:c r="N415" s="20" t="str">
        <x:v>หน้ารายการ Restaurant Guru อัปเดต 2024-11-30 ไม่ใช่วันที่ปิด</x:v>
      </x:c>
      <x:c r="O415" s="20" t="str">
        <x:v>Restaurant Guru ระบุปิดถาวรที่ MBK ซึ่งสัมพันธ์กับที่อยู่เดิมใน Makan / ยังไม่ได้ยืนยันจากเจ้าของหรือแหล่งอิสระที่สอง / ผล Gigi Fried Chicken สีลมเป็นคนละสาขา จึงไม่ใช้ยืนยันการเปิดที่ MBK</x:v>
      </x:c>
      <x:c r="P415" s="25" t="n">
        <x:v>46315</x:v>
      </x:c>
      <x:c r="Q415" s="27" t="str">
        <x:v>ยังไม่ตรวจ</x:v>
      </x:c>
      <x:c r="R415" s="27" t="str">
        <x:v>รอติดต่อ</x:v>
      </x:c>
    </x:row>
    <x:row r="416" ht="76" customHeight="1">
      <x:c r="A416" s="24" t="str">
        <x:v>TMF-408</x:v>
      </x:c>
      <x:c r="B416" s="20" t="str">
        <x:v>ก๋วยเตี๋ยวเรือฮาลาลบังหนวด เพชรบุรีซอย7</x:v>
      </x:c>
      <x:c r="C416" s="20" t="str">
        <x:v>กรุงเทพมหานคร</x:v>
      </x:c>
      <x:c r="D416" s="20" t="str">
        <x:v>คงไว้ในชุด 600</x:v>
      </x:c>
      <x:c r="E416" s="20" t="str">
        <x:v>พบหลายแหล่งสัมพันธ์กับชื่อ รอยืนยันการเปิด</x:v>
      </x:c>
      <x:c r="F416" s="20" t="str">
        <x:v>ยังไม่ยืนยันการเปิดให้บริการปัจจุบัน</x:v>
      </x:c>
      <x:c r="G416" s="26" t="n">
        <x:v>2</x:v>
      </x:c>
      <x:c r="H416" s="23" t="str"/>
      <x:c r="I416" s="23" t="str"/>
      <x:c r="J416" s="23" t="str"/>
      <x:c r="K416" s="23" t="str"/>
      <x:c r="L416" s="23" t="e">
        <x:f>HYPERLINK("https://www.halalfoodnear.me/bangkok","เปิดเว็บเพิ่ม 1")</x:f>
        <x:v>HYPERLINK is not implemented. linkLocation=https://www.halalfoodnear.me/bangkok, friendlyName=เปิดเว็บเพิ่ม 1</x:v>
      </x:c>
      <x:c r="M416" s="23" t="str"/>
      <x:c r="N416" s="20" t="str">
        <x:v>ยังไม่ยืนยัน</x:v>
      </x:c>
      <x:c r="O416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16" s="25" t="n">
        <x:v>46315</x:v>
      </x:c>
      <x:c r="Q416" s="27" t="str">
        <x:v>ยังไม่ตรวจ</x:v>
      </x:c>
      <x:c r="R416" s="27" t="str">
        <x:v>รอติดต่อ</x:v>
      </x:c>
    </x:row>
    <x:row r="417" ht="96" customHeight="1">
      <x:c r="A417" s="24" t="str">
        <x:v>TMF-409</x:v>
      </x:c>
      <x:c r="B417" s="20" t="str">
        <x:v>ฟาติมะห์ไก่ย่างนมสด</x:v>
      </x:c>
      <x:c r="C417" s="20" t="str">
        <x:v>กรุงเทพมหานคร</x:v>
      </x:c>
      <x:c r="D417" s="20" t="str">
        <x:v>สำรองเพื่อจัดลำดับให้ทะเบียน GMHI</x:v>
      </x:c>
      <x:c r="E417" s="20" t="str">
        <x:v>หลักฐานไม่พอ รอยืนยันการเปิด</x:v>
      </x:c>
      <x:c r="F417" s="20" t="str">
        <x:v>ยังไม่ยืนยันการเปิดให้บริการปัจจุบัน</x:v>
      </x:c>
      <x:c r="G417" s="26" t="n">
        <x:v>1</x:v>
      </x:c>
      <x:c r="H417" s="23" t="str"/>
      <x:c r="I417" s="23" t="str"/>
      <x:c r="J417" s="23" t="str"/>
      <x:c r="K417" s="23" t="str"/>
      <x:c r="L417" s="23" t="str"/>
      <x:c r="M417" s="23" t="str"/>
      <x:c r="N417" s="20" t="str">
        <x:v>ยังไม่ยืนยัน</x:v>
      </x:c>
      <x:c r="O41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17" s="25" t="n">
        <x:v>46315</x:v>
      </x:c>
      <x:c r="Q417" s="27" t="str">
        <x:v>ยังไม่ตรวจ</x:v>
      </x:c>
      <x:c r="R417" s="27" t="str">
        <x:v>รอติดต่อ</x:v>
      </x:c>
    </x:row>
    <x:row r="418" ht="96" customHeight="1">
      <x:c r="A418" s="24" t="str">
        <x:v>TMF-410</x:v>
      </x:c>
      <x:c r="B418" s="20" t="str">
        <x:v>ละห์ ข้าวราดแกง</x:v>
      </x:c>
      <x:c r="C418" s="20" t="str">
        <x:v>กรุงเทพมหานคร</x:v>
      </x:c>
      <x:c r="D418" s="20" t="str">
        <x:v>สำรองเพื่อจัดลำดับให้ทะเบียน GMHI</x:v>
      </x:c>
      <x:c r="E418" s="20" t="str">
        <x:v>หลักฐานไม่พอ รอยืนยันการเปิด</x:v>
      </x:c>
      <x:c r="F418" s="20" t="str">
        <x:v>ยังไม่ยืนยันการเปิดให้บริการปัจจุบัน</x:v>
      </x:c>
      <x:c r="G418" s="26" t="n">
        <x:v>1</x:v>
      </x:c>
      <x:c r="H418" s="23" t="str"/>
      <x:c r="I418" s="23" t="str"/>
      <x:c r="J418" s="23" t="str"/>
      <x:c r="K418" s="23" t="str"/>
      <x:c r="L418" s="23" t="str"/>
      <x:c r="M418" s="23" t="str"/>
      <x:c r="N418" s="20" t="str">
        <x:v>ยังไม่ยืนยัน</x:v>
      </x:c>
      <x:c r="O41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18" s="25" t="n">
        <x:v>46315</x:v>
      </x:c>
      <x:c r="Q418" s="27" t="str">
        <x:v>ยังไม่ตรวจ</x:v>
      </x:c>
      <x:c r="R418" s="27" t="str">
        <x:v>รอติดต่อ</x:v>
      </x:c>
    </x:row>
    <x:row r="419" ht="96" customHeight="1">
      <x:c r="A419" s="24" t="str">
        <x:v>TMF-411</x:v>
      </x:c>
      <x:c r="B419" s="20" t="str">
        <x:v>ซาฟรอง อาหารตามสั่งริมคลอง</x:v>
      </x:c>
      <x:c r="C419" s="20" t="str">
        <x:v>กรุงเทพมหานคร</x:v>
      </x:c>
      <x:c r="D419" s="20" t="str">
        <x:v>สำรองเพื่อจัดลำดับให้ทะเบียน GMHI</x:v>
      </x:c>
      <x:c r="E419" s="20" t="str">
        <x:v>หลักฐานไม่พอ รอยืนยันการเปิด</x:v>
      </x:c>
      <x:c r="F419" s="20" t="str">
        <x:v>ยังไม่ยืนยันการเปิดให้บริการปัจจุบัน</x:v>
      </x:c>
      <x:c r="G419" s="26" t="n">
        <x:v>1</x:v>
      </x:c>
      <x:c r="H419" s="23" t="str"/>
      <x:c r="I419" s="23" t="str"/>
      <x:c r="J419" s="23" t="str"/>
      <x:c r="K419" s="23" t="str"/>
      <x:c r="L419" s="23" t="str"/>
      <x:c r="M419" s="23" t="str"/>
      <x:c r="N419" s="20" t="str">
        <x:v>ยังไม่ยืนยัน</x:v>
      </x:c>
      <x:c r="O41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19" s="25" t="n">
        <x:v>46315</x:v>
      </x:c>
      <x:c r="Q419" s="27" t="str">
        <x:v>ยังไม่ตรวจ</x:v>
      </x:c>
      <x:c r="R419" s="27" t="str">
        <x:v>รอติดต่อ</x:v>
      </x:c>
    </x:row>
    <x:row r="420" ht="96" customHeight="1">
      <x:c r="A420" s="24" t="str">
        <x:v>TMF-412</x:v>
      </x:c>
      <x:c r="B420" s="20" t="str">
        <x:v>ลิบง</x:v>
      </x:c>
      <x:c r="C420" s="20" t="str">
        <x:v>กรุงเทพมหานคร</x:v>
      </x:c>
      <x:c r="D420" s="20" t="str">
        <x:v>สำรองเพื่อจัดลำดับให้ทะเบียน GMHI</x:v>
      </x:c>
      <x:c r="E420" s="20" t="str">
        <x:v>หลักฐานไม่พอ รอยืนยันการเปิด</x:v>
      </x:c>
      <x:c r="F420" s="20" t="str">
        <x:v>ยังไม่ยืนยันการเปิดให้บริการปัจจุบัน</x:v>
      </x:c>
      <x:c r="G420" s="26" t="n">
        <x:v>1</x:v>
      </x:c>
      <x:c r="H420" s="23" t="str"/>
      <x:c r="I420" s="23" t="str"/>
      <x:c r="J420" s="23" t="str"/>
      <x:c r="K420" s="23" t="str"/>
      <x:c r="L420" s="23" t="str"/>
      <x:c r="M420" s="23" t="str"/>
      <x:c r="N420" s="20" t="str">
        <x:v>ยังไม่ยืนยัน</x:v>
      </x:c>
      <x:c r="O42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20" s="25" t="n">
        <x:v>46315</x:v>
      </x:c>
      <x:c r="Q420" s="27" t="str">
        <x:v>ยังไม่ตรวจ</x:v>
      </x:c>
      <x:c r="R420" s="27" t="str">
        <x:v>รอติดต่อ</x:v>
      </x:c>
    </x:row>
    <x:row r="421" ht="96" customHeight="1">
      <x:c r="A421" s="24" t="str">
        <x:v>TMF-413</x:v>
      </x:c>
      <x:c r="B421" s="20" t="str">
        <x:v>ครัวจัสมิน</x:v>
      </x:c>
      <x:c r="C421" s="20" t="str">
        <x:v>เชียงราย</x:v>
      </x:c>
      <x:c r="D421" s="20" t="str">
        <x:v>คงไว้ในชุด 600</x:v>
      </x:c>
      <x:c r="E421" s="20" t="str">
        <x:v>หลักฐานไม่พอ รอยืนยันการเปิด</x:v>
      </x:c>
      <x:c r="F421" s="20" t="str">
        <x:v>ยังไม่ยืนยันการเปิดให้บริการปัจจุบัน</x:v>
      </x:c>
      <x:c r="G421" s="26" t="n">
        <x:v>1</x:v>
      </x:c>
      <x:c r="H421" s="23" t="str"/>
      <x:c r="I421" s="23" t="str"/>
      <x:c r="J421" s="23" t="str"/>
      <x:c r="K421" s="23" t="str"/>
      <x:c r="L421" s="23" t="str"/>
      <x:c r="M421" s="23" t="str"/>
      <x:c r="N421" s="20" t="str">
        <x:v>ยังไม่ยืนยัน</x:v>
      </x:c>
      <x:c r="O42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21" s="25" t="n">
        <x:v>46315</x:v>
      </x:c>
      <x:c r="Q421" s="27" t="str">
        <x:v>ยังไม่ตรวจ</x:v>
      </x:c>
      <x:c r="R421" s="27" t="str">
        <x:v>รอติดต่อ</x:v>
      </x:c>
    </x:row>
    <x:row r="422" ht="76" customHeight="1">
      <x:c r="A422" s="24" t="str">
        <x:v>TMF-414</x:v>
      </x:c>
      <x:c r="B422" s="20" t="str">
        <x:v>ซัลมานเคบับ</x:v>
      </x:c>
      <x:c r="C422" s="20" t="str">
        <x:v>เชียงราย</x:v>
      </x:c>
      <x:c r="D422" s="20" t="str">
        <x:v>คงไว้ในชุด 600</x:v>
      </x:c>
      <x:c r="E422" s="20" t="str">
        <x:v>พบหลายแหล่งสัมพันธ์กับชื่อ รอยืนยันการเปิด</x:v>
      </x:c>
      <x:c r="F422" s="20" t="str">
        <x:v>ยังไม่ยืนยันการเปิดให้บริการปัจจุบัน</x:v>
      </x:c>
      <x:c r="G422" s="26" t="n">
        <x:v>2</x:v>
      </x:c>
      <x:c r="H422" s="23" t="str"/>
      <x:c r="I422" s="23" t="str"/>
      <x:c r="J422" s="23" t="str"/>
      <x:c r="K422" s="23" t="str"/>
      <x:c r="L422" s="23" t="e">
        <x:f>HYPERLINK("https://shopee.co.th/%E0%B8%8B%E0%B8%B1%E0%B8%A5%E0%B8%A1%E0%B8%B2%E0%B8%99%E0%B9%80%E0%B8%84%E0%B8%9A%E0%B8%B1%E0%B8%9A-%E0%B9%81%E0%B8%9B%E0%B9%89%E0%B8%87%E0%B9%80%E0%B8%84%E0%B8%9A%E0%B8%B1%E0%B8%9A%28%E0%B8%95%E0%B8%AD%E0%B8%95%E0%B8%B4%E0%B8%8D%E0%B9%88%E0%B8%B2%29-i.1623822504.43021547171","เปิดเว็บเพิ่ม 1")</x:f>
        <x:v>HYPERLINK is not implemented. linkLocation=https://shopee.co.th/%E0%B8%8B%E0%B8%B1%E0%B8%A5%E0%B8%A1%E0%B8%B2%E0%B8%99%E0%B9%80%E0%B8%84%E0%B8%9A%E0%B8%B1%E0%B8%9A-%E0%B9%81%E0%B8%9B%E0%B9%89%E0%B8%87%E0%B9%80%E0%B8%84%E0%B8%9A%E0%B8%B1%E0%B8%9A%28%E0%B8%95%E0%B8%AD%E0%B8%95%E0%B8%B4%E0%B8%8D%E0%B9%88%E0%B8%B2%29-i.1623822504.43021547171, friendlyName=เปิดเว็บเพิ่ม 1</x:v>
      </x:c>
      <x:c r="M422" s="23" t="str"/>
      <x:c r="N422" s="20" t="str">
        <x:v>ยังไม่ยืนยัน</x:v>
      </x:c>
      <x:c r="O422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22" s="25" t="n">
        <x:v>46315</x:v>
      </x:c>
      <x:c r="Q422" s="27" t="str">
        <x:v>ยังไม่ตรวจ</x:v>
      </x:c>
      <x:c r="R422" s="27" t="str">
        <x:v>รอติดต่อ</x:v>
      </x:c>
    </x:row>
    <x:row r="423" ht="96" customHeight="1">
      <x:c r="A423" s="24" t="str">
        <x:v>TMF-415</x:v>
      </x:c>
      <x:c r="B423" s="20" t="str">
        <x:v>ฮาลาลเป็ดย่างฮ่องกง แม่สาย</x:v>
      </x:c>
      <x:c r="C423" s="20" t="str">
        <x:v>เชียงราย</x:v>
      </x:c>
      <x:c r="D423" s="20" t="str">
        <x:v>คงไว้ในชุด 600</x:v>
      </x:c>
      <x:c r="E423" s="20" t="str">
        <x:v>หลักฐานไม่พอ รอยืนยันการเปิด</x:v>
      </x:c>
      <x:c r="F423" s="20" t="str">
        <x:v>ยังไม่ยืนยันการเปิดให้บริการปัจจุบัน</x:v>
      </x:c>
      <x:c r="G423" s="26" t="n">
        <x:v>1</x:v>
      </x:c>
      <x:c r="H423" s="23" t="str"/>
      <x:c r="I423" s="23" t="str"/>
      <x:c r="J423" s="23" t="str"/>
      <x:c r="K423" s="23" t="str"/>
      <x:c r="L423" s="23" t="str"/>
      <x:c r="M423" s="23" t="str"/>
      <x:c r="N423" s="20" t="str">
        <x:v>ยังไม่ยืนยัน</x:v>
      </x:c>
      <x:c r="O42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23" s="25" t="n">
        <x:v>46315</x:v>
      </x:c>
      <x:c r="Q423" s="27" t="str">
        <x:v>ยังไม่ตรวจ</x:v>
      </x:c>
      <x:c r="R423" s="27" t="str">
        <x:v>รอติดต่อ</x:v>
      </x:c>
    </x:row>
    <x:row r="424" ht="96" customHeight="1">
      <x:c r="A424" s="24" t="str">
        <x:v>TMF-416</x:v>
      </x:c>
      <x:c r="B424" s="20" t="str">
        <x:v>ฮาเลฟา ฮาลาล เชียงราย</x:v>
      </x:c>
      <x:c r="C424" s="20" t="str">
        <x:v>เชียงราย</x:v>
      </x:c>
      <x:c r="D424" s="20" t="str">
        <x:v>คงไว้ในชุด 600</x:v>
      </x:c>
      <x:c r="E424" s="20" t="str">
        <x:v>หลักฐานไม่พอ รอยืนยันการเปิด</x:v>
      </x:c>
      <x:c r="F424" s="20" t="str">
        <x:v>ยังไม่ยืนยันการเปิดให้บริการปัจจุบัน</x:v>
      </x:c>
      <x:c r="G424" s="26" t="n">
        <x:v>1</x:v>
      </x:c>
      <x:c r="H424" s="23" t="str"/>
      <x:c r="I424" s="23" t="str"/>
      <x:c r="J424" s="23" t="str"/>
      <x:c r="K424" s="23" t="str"/>
      <x:c r="L424" s="23" t="str"/>
      <x:c r="M424" s="23" t="str"/>
      <x:c r="N424" s="20" t="str">
        <x:v>ยังไม่ยืนยัน</x:v>
      </x:c>
      <x:c r="O42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24" s="25" t="n">
        <x:v>46315</x:v>
      </x:c>
      <x:c r="Q424" s="27" t="str">
        <x:v>ยังไม่ตรวจ</x:v>
      </x:c>
      <x:c r="R424" s="27" t="str">
        <x:v>รอติดต่อ</x:v>
      </x:c>
    </x:row>
    <x:row r="425" ht="76" customHeight="1">
      <x:c r="A425" s="24" t="str">
        <x:v>TMF-417</x:v>
      </x:c>
      <x:c r="B425" s="20" t="str">
        <x:v>โรตีซัลมา</x:v>
      </x:c>
      <x:c r="C425" s="20" t="str">
        <x:v>เชียงราย</x:v>
      </x:c>
      <x:c r="D425" s="20" t="str">
        <x:v>คงไว้ในชุด 600</x:v>
      </x:c>
      <x:c r="E425" s="20" t="str">
        <x:v>พบหลายแหล่งสัมพันธ์กับชื่อ รอยืนยันการเปิด</x:v>
      </x:c>
      <x:c r="F425" s="20" t="str">
        <x:v>ยังไม่ยืนยันการเปิดให้บริการปัจจุบัน</x:v>
      </x:c>
      <x:c r="G425" s="26" t="n">
        <x:v>2</x:v>
      </x:c>
      <x:c r="H425" s="23" t="str"/>
      <x:c r="I425" s="23" t="str"/>
      <x:c r="J425" s="23" t="str"/>
      <x:c r="K425" s="23" t="str"/>
      <x:c r="L425" s="23" t="e">
        <x:f>HYPERLINK("https://halaman-kuning.cybo.com/TH/chiang-rai-chiang-rai/restoran-halal","เปิดเว็บเพิ่ม 1")</x:f>
        <x:v>HYPERLINK is not implemented. linkLocation=https://halaman-kuning.cybo.com/TH/chiang-rai-chiang-rai/restoran-halal, friendlyName=เปิดเว็บเพิ่ม 1</x:v>
      </x:c>
      <x:c r="M425" s="23" t="str"/>
      <x:c r="N425" s="20" t="str">
        <x:v>ยังไม่ยืนยัน</x:v>
      </x:c>
      <x:c r="O425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25" s="25" t="n">
        <x:v>46315</x:v>
      </x:c>
      <x:c r="Q425" s="27" t="str">
        <x:v>ยังไม่ตรวจ</x:v>
      </x:c>
      <x:c r="R425" s="27" t="str">
        <x:v>รอติดต่อ</x:v>
      </x:c>
    </x:row>
    <x:row r="426" ht="76" customHeight="1">
      <x:c r="A426" s="24" t="str">
        <x:v>TMF-418</x:v>
      </x:c>
      <x:c r="B426" s="20" t="str">
        <x:v>สิงห์ปาร์ค เชียงราย</x:v>
      </x:c>
      <x:c r="C426" s="20" t="str">
        <x:v>เชียงราย</x:v>
      </x:c>
      <x:c r="D426" s="20" t="str">
        <x:v>คงไว้ในชุด 600</x:v>
      </x:c>
      <x:c r="E426" s="20" t="str">
        <x:v>พบหลายแหล่งสัมพันธ์กับชื่อ รอยืนยันการเปิด</x:v>
      </x:c>
      <x:c r="F426" s="20" t="str">
        <x:v>ยังไม่ยืนยันการเปิดให้บริการปัจจุบัน</x:v>
      </x:c>
      <x:c r="G426" s="26" t="n">
        <x:v>5</x:v>
      </x:c>
      <x:c r="H426" s="23" t="str"/>
      <x:c r="I426" s="23" t="str"/>
      <x:c r="J426" s="23" t="e">
        <x:f>HYPERLINK("https://th.trip.com/travel-guide/attraction/chiang-rai/singha-park-chiang-rai-15056939?curr=JPY&amp;locale=th-TH&amp;rankingId=10070000551130","เปิดหน้ารีวิว 1")</x:f>
        <x:v>HYPERLINK is not implemented. linkLocation=https://th.trip.com/travel-guide/attraction/chiang-rai/singha-park-chiang-rai-15056939?curr=JPY&amp;locale=th-TH&amp;rankingId=10070000551130, friendlyName=เปิดหน้ารีวิว 1</x:v>
      </x:c>
      <x:c r="K426" s="23" t="e">
        <x:f>HYPERLINK("https://www.wongnai.com/reviews/3ceec6bd070840038ccba1e6b91365c8","เปิดหน้ารีวิว 2")</x:f>
        <x:v>HYPERLINK is not implemented. linkLocation=https://www.wongnai.com/reviews/3ceec6bd070840038ccba1e6b91365c8, friendlyName=เปิดหน้ารีวิว 2</x:v>
      </x:c>
      <x:c r="L426" s="23" t="e">
        <x:f>HYPERLINK("https://roijang.com/chiang-rai/%E0%B8%AA%E0%B8%B4%E0%B8%87%E0%B8%AB%E0%B9%8C%E0%B8%9B%E0%B8%B2%E0%B8%A3%E0%B9%8C%E0%B8%84%E0%B9%80%E0%B8%8A%E0%B8%B5%E0%B8%A2%E0%B8%87%E0%B8%A3%E0%B8%B2%E0%B8%A2/","เปิดเว็บเพิ่ม 1")</x:f>
        <x:v>HYPERLINK is not implemented. linkLocation=https://roijang.com/chiang-rai/%E0%B8%AA%E0%B8%B4%E0%B8%87%E0%B8%AB%E0%B9%8C%E0%B8%9B%E0%B8%B2%E0%B8%A3%E0%B9%8C%E0%B8%84%E0%B9%80%E0%B8%8A%E0%B8%B5%E0%B8%A2%E0%B8%87%E0%B8%A3%E0%B8%B2%E0%B8%A2/, friendlyName=เปิดเว็บเพิ่ม 1</x:v>
      </x:c>
      <x:c r="M426" s="23" t="e">
        <x:f>HYPERLINK("https://creator.kapook.com/view263262.html","เปิดเว็บเพิ่ม 2")</x:f>
        <x:v>HYPERLINK is not implemented. linkLocation=https://creator.kapook.com/view263262.html, friendlyName=เปิดเว็บเพิ่ม 2</x:v>
      </x:c>
      <x:c r="N426" s="20" t="str">
        <x:v>ยังไม่ยืนยัน</x:v>
      </x:c>
      <x:c r="O42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26" s="25" t="n">
        <x:v>46315</x:v>
      </x:c>
      <x:c r="Q426" s="27" t="str">
        <x:v>ยังไม่ตรวจ</x:v>
      </x:c>
      <x:c r="R426" s="27" t="str">
        <x:v>รอติดต่อ</x:v>
      </x:c>
    </x:row>
    <x:row r="427" ht="76" customHeight="1">
      <x:c r="A427" s="24" t="str">
        <x:v>TMF-419</x:v>
      </x:c>
      <x:c r="B427" s="20" t="str">
        <x:v>พิพิธภัณฑ์บ้านดำ</x:v>
      </x:c>
      <x:c r="C427" s="20" t="str">
        <x:v>เชียงราย</x:v>
      </x:c>
      <x:c r="D427" s="20" t="str">
        <x:v>คงไว้ในชุด 600</x:v>
      </x:c>
      <x:c r="E427" s="20" t="str">
        <x:v>พบหลายแหล่งสัมพันธ์กับชื่อ รอยืนยันการเปิด</x:v>
      </x:c>
      <x:c r="F427" s="20" t="str">
        <x:v>ยังไม่ยืนยันการเปิดให้บริการปัจจุบัน</x:v>
      </x:c>
      <x:c r="G427" s="26" t="n">
        <x:v>8</x:v>
      </x:c>
      <x:c r="H427" s="23" t="str"/>
      <x:c r="I427" s="23" t="str"/>
      <x:c r="J427" s="23" t="e">
        <x:f>HYPERLINK("https://www.wongnai.com/reviews/e276bb3a9b6c4f8c9d45677e12500826","เปิดหน้ารีวิว 1")</x:f>
        <x:v>HYPERLINK is not implemented. linkLocation=https://www.wongnai.com/reviews/e276bb3a9b6c4f8c9d45677e12500826, friendlyName=เปิดหน้ารีวิว 1</x:v>
      </x:c>
      <x:c r="K427" s="23" t="e">
        <x:f>HYPERLINK("https://www.wongnai.com/attractions/334613mo-%E0%B8%9E%E0%B8%B4%E0%B8%9E%E0%B8%B4%E0%B8%98%E0%B8%A0%E0%B8%B1%E0%B8%93%E0%B8%91%E0%B9%8C%E0%B8%9A%E0%B9%89%E0%B8%B2%E0%B8%99%E0%B8%94%E0%B8%B3/reviews","เปิดหน้ารีวิว 2")</x:f>
        <x:v>HYPERLINK is not implemented. linkLocation=https://www.wongnai.com/attractions/334613mo-%E0%B8%9E%E0%B8%B4%E0%B8%9E%E0%B8%B4%E0%B8%98%E0%B8%A0%E0%B8%B1%E0%B8%93%E0%B8%91%E0%B9%8C%E0%B8%9A%E0%B9%89%E0%B8%B2%E0%B8%99%E0%B8%94%E0%B8%B3/reviews, friendlyName=เปิดหน้ารีวิว 2</x:v>
      </x:c>
      <x:c r="L427" s="23" t="e">
        <x:f>HYPERLINK("https://www.sanook.com/travel/1399005/","เปิดเว็บเพิ่ม 1")</x:f>
        <x:v>HYPERLINK is not implemented. linkLocation=https://www.sanook.com/travel/1399005/, friendlyName=เปิดเว็บเพิ่ม 1</x:v>
      </x:c>
      <x:c r="M427" s="23" t="e">
        <x:f>HYPERLINK("https://thailandaddict.com/baan-dam-museum-guide","เปิดเว็บเพิ่ม 2")</x:f>
        <x:v>HYPERLINK is not implemented. linkLocation=https://thailandaddict.com/baan-dam-museum-guide, friendlyName=เปิดเว็บเพิ่ม 2</x:v>
      </x:c>
      <x:c r="N427" s="20" t="str">
        <x:v>ยังไม่ยืนยัน</x:v>
      </x:c>
      <x:c r="O42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27" s="25" t="n">
        <x:v>46315</x:v>
      </x:c>
      <x:c r="Q427" s="27" t="str">
        <x:v>ยังไม่ตรวจ</x:v>
      </x:c>
      <x:c r="R427" s="27" t="str">
        <x:v>รอติดต่อ</x:v>
      </x:c>
    </x:row>
    <x:row r="428" ht="96" customHeight="1">
      <x:c r="A428" s="24" t="str">
        <x:v>TMF-420</x:v>
      </x:c>
      <x:c r="B428" s="20" t="str">
        <x:v>Halal Street Food จิ้มจุ่ม&amp;ชากา</x:v>
      </x:c>
      <x:c r="C428" s="20" t="str">
        <x:v>พระนครศรีอยุธยา</x:v>
      </x:c>
      <x:c r="D428" s="20" t="str">
        <x:v>คงไว้ในชุด 600</x:v>
      </x:c>
      <x:c r="E428" s="20" t="str">
        <x:v>หลักฐานไม่พอ รอยืนยันการเปิด</x:v>
      </x:c>
      <x:c r="F428" s="20" t="str">
        <x:v>ยังไม่ยืนยันการเปิดให้บริการปัจจุบัน</x:v>
      </x:c>
      <x:c r="G428" s="26" t="n">
        <x:v>1</x:v>
      </x:c>
      <x:c r="H428" s="23" t="str"/>
      <x:c r="I428" s="23" t="str"/>
      <x:c r="J428" s="23" t="str"/>
      <x:c r="K428" s="23" t="str"/>
      <x:c r="L428" s="23" t="str"/>
      <x:c r="M428" s="23" t="str"/>
      <x:c r="N428" s="20" t="str">
        <x:v>ยังไม่ยืนยัน</x:v>
      </x:c>
      <x:c r="O42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28" s="25" t="n">
        <x:v>46315</x:v>
      </x:c>
      <x:c r="Q428" s="27" t="str">
        <x:v>ยังไม่ตรวจ</x:v>
      </x:c>
      <x:c r="R428" s="27" t="str">
        <x:v>รอติดต่อ</x:v>
      </x:c>
    </x:row>
    <x:row r="429" ht="96" customHeight="1">
      <x:c r="A429" s="24" t="str">
        <x:v>TMF-421</x:v>
      </x:c>
      <x:c r="B429" s="20" t="str">
        <x:v>PIZZA HALAL by beedah</x:v>
      </x:c>
      <x:c r="C429" s="20" t="str">
        <x:v>พระนครศรีอยุธยา</x:v>
      </x:c>
      <x:c r="D429" s="20" t="str">
        <x:v>คงไว้ในชุด 600</x:v>
      </x:c>
      <x:c r="E429" s="20" t="str">
        <x:v>หลักฐานไม่พอ รอยืนยันการเปิด</x:v>
      </x:c>
      <x:c r="F429" s="20" t="str">
        <x:v>ยังไม่ยืนยันการเปิดให้บริการปัจจุบัน</x:v>
      </x:c>
      <x:c r="G429" s="26" t="n">
        <x:v>1</x:v>
      </x:c>
      <x:c r="H429" s="23" t="str"/>
      <x:c r="I429" s="23" t="str"/>
      <x:c r="J429" s="23" t="str"/>
      <x:c r="K429" s="23" t="str"/>
      <x:c r="L429" s="23" t="str"/>
      <x:c r="M429" s="23" t="str"/>
      <x:c r="N429" s="20" t="str">
        <x:v>ยังไม่ยืนยัน</x:v>
      </x:c>
      <x:c r="O42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29" s="25" t="n">
        <x:v>46315</x:v>
      </x:c>
      <x:c r="Q429" s="27" t="str">
        <x:v>ยังไม่ตรวจ</x:v>
      </x:c>
      <x:c r="R429" s="27" t="str">
        <x:v>รอติดต่อ</x:v>
      </x:c>
    </x:row>
    <x:row r="430" ht="96" customHeight="1">
      <x:c r="A430" s="24" t="str">
        <x:v>TMF-422</x:v>
      </x:c>
      <x:c r="B430" s="20" t="str">
        <x:v>กะเตี๋ยวยา</x:v>
      </x:c>
      <x:c r="C430" s="20" t="str">
        <x:v>พระนครศรีอยุธยา</x:v>
      </x:c>
      <x:c r="D430" s="20" t="str">
        <x:v>คงไว้ในชุด 600</x:v>
      </x:c>
      <x:c r="E430" s="20" t="str">
        <x:v>หลักฐานไม่พอ รอยืนยันการเปิด</x:v>
      </x:c>
      <x:c r="F430" s="20" t="str">
        <x:v>ยังไม่ยืนยันการเปิดให้บริการปัจจุบัน</x:v>
      </x:c>
      <x:c r="G430" s="26" t="n">
        <x:v>1</x:v>
      </x:c>
      <x:c r="H430" s="23" t="str"/>
      <x:c r="I430" s="23" t="str"/>
      <x:c r="J430" s="23" t="str"/>
      <x:c r="K430" s="23" t="str"/>
      <x:c r="L430" s="23" t="str"/>
      <x:c r="M430" s="23" t="str"/>
      <x:c r="N430" s="20" t="str">
        <x:v>ยังไม่ยืนยัน</x:v>
      </x:c>
      <x:c r="O43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30" s="25" t="n">
        <x:v>46315</x:v>
      </x:c>
      <x:c r="Q430" s="27" t="str">
        <x:v>ยังไม่ตรวจ</x:v>
      </x:c>
      <x:c r="R430" s="27" t="str">
        <x:v>รอติดต่อ</x:v>
      </x:c>
    </x:row>
    <x:row r="431" ht="76" customHeight="1">
      <x:c r="A431" s="24" t="str">
        <x:v>TMF-423</x:v>
      </x:c>
      <x:c r="B431" s="20" t="str">
        <x:v>ก๋วยเตี๋ยวเนื้อเปื่อย ฮาลาล ตลาดรุ่งเจริญ</x:v>
      </x:c>
      <x:c r="C431" s="20" t="str">
        <x:v>พระนครศรีอยุธยา</x:v>
      </x:c>
      <x:c r="D431" s="20" t="str">
        <x:v>คงไว้ในชุด 600</x:v>
      </x:c>
      <x:c r="E431" s="20" t="str">
        <x:v>พบหลายแหล่งสัมพันธ์กับชื่อ รอยืนยันการเปิด</x:v>
      </x:c>
      <x:c r="F431" s="20" t="str">
        <x:v>ยังไม่ยืนยันการเปิดให้บริการปัจจุบัน</x:v>
      </x:c>
      <x:c r="G431" s="26" t="n">
        <x:v>2</x:v>
      </x:c>
      <x:c r="H431" s="23" t="str"/>
      <x:c r="I431" s="23" t="str"/>
      <x:c r="J431" s="23" t="e">
        <x:f>HYPERLINK("https://www.wongnai.com/restaurants/1752722vi-%E0%B9%80%E0%B8%99%E0%B8%B7%E0%B9%89%E0%B8%AD%E0%B9%80%E0%B8%9B%E0%B8%B7%E0%B9%88%E0%B8%B4%E0%B8%AD%E0%B8%A2%E0%B8%AE%E0%B8%B2%E0%B8%A5%E0%B8%B2%E0%B8%A5-%E0%B8%AD%E0%B8%B2%E0%B8%AB%E0%B8%B2%E0%B8%A3%E0%B8%AE%E0%B8%B2%E0%B8%A5%E0%B8%B2%E0%B8%A5","เปิดหน้ารีวิว 1")</x:f>
        <x:v>HYPERLINK is not implemented. linkLocation=https://www.wongnai.com/restaurants/1752722vi-%E0%B9%80%E0%B8%99%E0%B8%B7%E0%B9%89%E0%B8%AD%E0%B9%80%E0%B8%9B%E0%B8%B7%E0%B9%88%E0%B8%B4%E0%B8%AD%E0%B8%A2%E0%B8%AE%E0%B8%B2%E0%B8%A5%E0%B8%B2%E0%B8%A5-%E0%B8%AD%E0%B8%B2%E0%B8%AB%E0%B8%B2%E0%B8%A3%E0%B8%AE%E0%B8%B2%E0%B8%A5%E0%B8%B2%E0%B8%A5, friendlyName=เปิดหน้ารีวิว 1</x:v>
      </x:c>
      <x:c r="K431" s="23" t="str"/>
      <x:c r="L431" s="23" t="str"/>
      <x:c r="M431" s="23" t="str"/>
      <x:c r="N431" s="20" t="str">
        <x:v>ยังไม่ยืนยัน</x:v>
      </x:c>
      <x:c r="O43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31" s="25" t="n">
        <x:v>46315</x:v>
      </x:c>
      <x:c r="Q431" s="27" t="str">
        <x:v>ยังไม่ตรวจ</x:v>
      </x:c>
      <x:c r="R431" s="27" t="str">
        <x:v>รอติดต่อ</x:v>
      </x:c>
    </x:row>
    <x:row r="432" ht="96" customHeight="1">
      <x:c r="A432" s="24" t="str">
        <x:v>TMF-424</x:v>
      </x:c>
      <x:c r="B432" s="20" t="str">
        <x:v>ข้าวต้มหัวโค้ง Ros Malee</x:v>
      </x:c>
      <x:c r="C432" s="20" t="str">
        <x:v>พระนครศรีอยุธยา</x:v>
      </x:c>
      <x:c r="D432" s="20" t="str">
        <x:v>คงไว้ในชุด 600</x:v>
      </x:c>
      <x:c r="E432" s="20" t="str">
        <x:v>หลักฐานไม่พอ รอยืนยันการเปิด</x:v>
      </x:c>
      <x:c r="F432" s="20" t="str">
        <x:v>ยังไม่ยืนยันการเปิดให้บริการปัจจุบัน</x:v>
      </x:c>
      <x:c r="G432" s="26" t="n">
        <x:v>1</x:v>
      </x:c>
      <x:c r="H432" s="23" t="str"/>
      <x:c r="I432" s="23" t="str"/>
      <x:c r="J432" s="23" t="str"/>
      <x:c r="K432" s="23" t="str"/>
      <x:c r="L432" s="23" t="str"/>
      <x:c r="M432" s="23" t="str"/>
      <x:c r="N432" s="20" t="str">
        <x:v>ยังไม่ยืนยัน</x:v>
      </x:c>
      <x:c r="O43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32" s="25" t="n">
        <x:v>46315</x:v>
      </x:c>
      <x:c r="Q432" s="27" t="str">
        <x:v>ยังไม่ตรวจ</x:v>
      </x:c>
      <x:c r="R432" s="27" t="str">
        <x:v>รอติดต่อ</x:v>
      </x:c>
    </x:row>
    <x:row r="433" ht="96" customHeight="1">
      <x:c r="A433" s="24" t="str">
        <x:v>TMF-425</x:v>
      </x:c>
      <x:c r="B433" s="20" t="str">
        <x:v>ข้าวมันไก่  ข้าวยำไก่แซ่บ ข้าวหมกไก่</x:v>
      </x:c>
      <x:c r="C433" s="20" t="str">
        <x:v>พระนครศรีอยุธยา</x:v>
      </x:c>
      <x:c r="D433" s="20" t="str">
        <x:v>คงไว้ในชุด 600</x:v>
      </x:c>
      <x:c r="E433" s="20" t="str">
        <x:v>หลักฐานไม่พอ รอยืนยันการเปิด</x:v>
      </x:c>
      <x:c r="F433" s="20" t="str">
        <x:v>ยังไม่ยืนยันการเปิดให้บริการปัจจุบัน</x:v>
      </x:c>
      <x:c r="G433" s="26" t="n">
        <x:v>1</x:v>
      </x:c>
      <x:c r="H433" s="23" t="str"/>
      <x:c r="I433" s="23" t="str"/>
      <x:c r="J433" s="23" t="str"/>
      <x:c r="K433" s="23" t="str"/>
      <x:c r="L433" s="23" t="str"/>
      <x:c r="M433" s="23" t="str"/>
      <x:c r="N433" s="20" t="str">
        <x:v>ยังไม่ยืนยัน</x:v>
      </x:c>
      <x:c r="O43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33" s="25" t="n">
        <x:v>46315</x:v>
      </x:c>
      <x:c r="Q433" s="27" t="str">
        <x:v>ยังไม่ตรวจ</x:v>
      </x:c>
      <x:c r="R433" s="27" t="str">
        <x:v>รอติดต่อ</x:v>
      </x:c>
    </x:row>
    <x:row r="434" ht="76" customHeight="1">
      <x:c r="A434" s="24" t="str">
        <x:v>TMF-426</x:v>
      </x:c>
      <x:c r="B434" s="20" t="str">
        <x:v>ครัวมุสลิม สาขา2 โรจนะ</x:v>
      </x:c>
      <x:c r="C434" s="20" t="str">
        <x:v>พระนครศรีอยุธยา</x:v>
      </x:c>
      <x:c r="D434" s="20" t="str">
        <x:v>คงไว้ในชุด 600</x:v>
      </x:c>
      <x:c r="E434" s="20" t="str">
        <x:v>พบหลายแหล่งสัมพันธ์กับชื่อ รอยืนยันการเปิด</x:v>
      </x:c>
      <x:c r="F434" s="20" t="str">
        <x:v>ยังไม่ยืนยันการเปิดให้บริการปัจจุบัน</x:v>
      </x:c>
      <x:c r="G434" s="26" t="n">
        <x:v>2</x:v>
      </x:c>
      <x:c r="H434" s="23" t="str"/>
      <x:c r="I434" s="23" t="str"/>
      <x:c r="J434" s="23" t="str"/>
      <x:c r="K434" s="23" t="str"/>
      <x:c r="L434" s="23" t="e">
        <x:f>HYPERLINK("https://go.ayutthaya.go.th/%E0%B9%81%E0%B8%99%E0%B8%B0%E0%B8%99%E0%B8%B3%E0%B8%A3%E0%B9%89%E0%B8%B2%E0%B8%99%E0%B8%AD%E0%B8%B2%E0%B8%AB%E0%B8%B2%E0%B8%A3/%E0%B8%84%E0%B8%A3%E0%B8%B1%E0%B8%A7%E0%B8%A1%E0%B8%B8%E0%B8%AA%E0%B8%A5%E0%B8%B4%E0%B8%A1-%E0%B8%AA%E0%B8%B2%E0%B8%82%E0%B8%B2-2-%E0%B9%82%E0%B8%A3%E0%B8%88%E0%B8%99%E0%B8%B0-%E0%B9%80%E0%B8%99/","เปิดเว็บเพิ่ม 1")</x:f>
        <x:v>HYPERLINK is not implemented. linkLocation=https://go.ayutthaya.go.th/%E0%B9%81%E0%B8%99%E0%B8%B0%E0%B8%99%E0%B8%B3%E0%B8%A3%E0%B9%89%E0%B8%B2%E0%B8%99%E0%B8%AD%E0%B8%B2%E0%B8%AB%E0%B8%B2%E0%B8%A3/%E0%B8%84%E0%B8%A3%E0%B8%B1%E0%B8%A7%E0%B8%A1%E0%B8%B8%E0%B8%AA%E0%B8%A5%E0%B8%B4%E0%B8%A1-%E0%B8%AA%E0%B8%B2%E0%B8%82%E0%B8%B2-2-%E0%B9%82%E0%B8%A3%E0%B8%88%E0%B8%99%E0%B8%B0-%E0%B9%80%E0%B8%99/, friendlyName=เปิดเว็บเพิ่ม 1</x:v>
      </x:c>
      <x:c r="M434" s="23" t="str"/>
      <x:c r="N434" s="20" t="str">
        <x:v>ยังไม่ยืนยัน</x:v>
      </x:c>
      <x:c r="O434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34" s="25" t="n">
        <x:v>46315</x:v>
      </x:c>
      <x:c r="Q434" s="27" t="str">
        <x:v>ยังไม่ตรวจ</x:v>
      </x:c>
      <x:c r="R434" s="27" t="str">
        <x:v>รอติดต่อ</x:v>
      </x:c>
    </x:row>
    <x:row r="435" ht="96" customHeight="1">
      <x:c r="A435" s="24" t="str">
        <x:v>TMF-427</x:v>
      </x:c>
      <x:c r="B435" s="20" t="str">
        <x:v>จูเด๊ะ</x:v>
      </x:c>
      <x:c r="C435" s="20" t="str">
        <x:v>พระนครศรีอยุธยา</x:v>
      </x:c>
      <x:c r="D435" s="20" t="str">
        <x:v>คงไว้ในชุด 600</x:v>
      </x:c>
      <x:c r="E435" s="20" t="str">
        <x:v>หลักฐานไม่พอ รอยืนยันการเปิด</x:v>
      </x:c>
      <x:c r="F435" s="20" t="str">
        <x:v>ยังไม่ยืนยันการเปิดให้บริการปัจจุบัน</x:v>
      </x:c>
      <x:c r="G435" s="26" t="n">
        <x:v>1</x:v>
      </x:c>
      <x:c r="H435" s="23" t="str"/>
      <x:c r="I435" s="23" t="str"/>
      <x:c r="J435" s="23" t="str"/>
      <x:c r="K435" s="23" t="str"/>
      <x:c r="L435" s="23" t="str"/>
      <x:c r="M435" s="23" t="str"/>
      <x:c r="N435" s="20" t="str">
        <x:v>ยังไม่ยืนยัน</x:v>
      </x:c>
      <x:c r="O43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35" s="25" t="n">
        <x:v>46315</x:v>
      </x:c>
      <x:c r="Q435" s="27" t="str">
        <x:v>ยังไม่ตรวจ</x:v>
      </x:c>
      <x:c r="R435" s="27" t="str">
        <x:v>รอติดต่อ</x:v>
      </x:c>
    </x:row>
    <x:row r="436" ht="96" customHeight="1">
      <x:c r="A436" s="24" t="str">
        <x:v>TMF-428</x:v>
      </x:c>
      <x:c r="B436" s="20" t="str">
        <x:v>ซามีมี่ฮาลาล  ซาลาเปา อาหารตามสั่ง</x:v>
      </x:c>
      <x:c r="C436" s="20" t="str">
        <x:v>พระนครศรีอยุธยา</x:v>
      </x:c>
      <x:c r="D436" s="20" t="str">
        <x:v>คงไว้ในชุด 600</x:v>
      </x:c>
      <x:c r="E436" s="20" t="str">
        <x:v>หลักฐานไม่พอ รอยืนยันการเปิด</x:v>
      </x:c>
      <x:c r="F436" s="20" t="str">
        <x:v>ยังไม่ยืนยันการเปิดให้บริการปัจจุบัน</x:v>
      </x:c>
      <x:c r="G436" s="26" t="n">
        <x:v>1</x:v>
      </x:c>
      <x:c r="H436" s="23" t="str"/>
      <x:c r="I436" s="23" t="str"/>
      <x:c r="J436" s="23" t="str"/>
      <x:c r="K436" s="23" t="str"/>
      <x:c r="L436" s="23" t="str"/>
      <x:c r="M436" s="23" t="str"/>
      <x:c r="N436" s="20" t="str">
        <x:v>ยังไม่ยืนยัน</x:v>
      </x:c>
      <x:c r="O43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36" s="25" t="n">
        <x:v>46315</x:v>
      </x:c>
      <x:c r="Q436" s="27" t="str">
        <x:v>ยังไม่ตรวจ</x:v>
      </x:c>
      <x:c r="R436" s="27" t="str">
        <x:v>รอติดต่อ</x:v>
      </x:c>
    </x:row>
    <x:row r="437" ht="96" customHeight="1">
      <x:c r="A437" s="24" t="str">
        <x:v>TMF-429</x:v>
      </x:c>
      <x:c r="B437" s="20" t="str">
        <x:v>ตอฮา 25  อาหารตามสั่ง / หอยกระทะร้อน</x:v>
      </x:c>
      <x:c r="C437" s="20" t="str">
        <x:v>พระนครศรีอยุธยา</x:v>
      </x:c>
      <x:c r="D437" s="20" t="str">
        <x:v>คงไว้ในชุด 600</x:v>
      </x:c>
      <x:c r="E437" s="20" t="str">
        <x:v>หลักฐานไม่พอ รอยืนยันการเปิด</x:v>
      </x:c>
      <x:c r="F437" s="20" t="str">
        <x:v>ยังไม่ยืนยันการเปิดให้บริการปัจจุบัน</x:v>
      </x:c>
      <x:c r="G437" s="26" t="n">
        <x:v>1</x:v>
      </x:c>
      <x:c r="H437" s="23" t="str"/>
      <x:c r="I437" s="23" t="str"/>
      <x:c r="J437" s="23" t="str"/>
      <x:c r="K437" s="23" t="str"/>
      <x:c r="L437" s="23" t="str"/>
      <x:c r="M437" s="23" t="str"/>
      <x:c r="N437" s="20" t="str">
        <x:v>ยังไม่ยืนยัน</x:v>
      </x:c>
      <x:c r="O43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37" s="25" t="n">
        <x:v>46315</x:v>
      </x:c>
      <x:c r="Q437" s="27" t="str">
        <x:v>ยังไม่ตรวจ</x:v>
      </x:c>
      <x:c r="R437" s="27" t="str">
        <x:v>รอติดต่อ</x:v>
      </x:c>
    </x:row>
    <x:row r="438" ht="96" customHeight="1">
      <x:c r="A438" s="24" t="str">
        <x:v>TMF-430</x:v>
      </x:c>
      <x:c r="B438" s="20" t="str">
        <x:v>บังบูบะหมี่เกี๊ยว ฮาลาล</x:v>
      </x:c>
      <x:c r="C438" s="20" t="str">
        <x:v>พระนครศรีอยุธยา</x:v>
      </x:c>
      <x:c r="D438" s="20" t="str">
        <x:v>คงไว้ในชุด 600</x:v>
      </x:c>
      <x:c r="E438" s="20" t="str">
        <x:v>หลักฐานไม่พอ รอยืนยันการเปิด</x:v>
      </x:c>
      <x:c r="F438" s="20" t="str">
        <x:v>ยังไม่ยืนยันการเปิดให้บริการปัจจุบัน</x:v>
      </x:c>
      <x:c r="G438" s="26" t="n">
        <x:v>1</x:v>
      </x:c>
      <x:c r="H438" s="23" t="str"/>
      <x:c r="I438" s="23" t="str"/>
      <x:c r="J438" s="23" t="str"/>
      <x:c r="K438" s="23" t="str"/>
      <x:c r="L438" s="23" t="str"/>
      <x:c r="M438" s="23" t="str"/>
      <x:c r="N438" s="20" t="str">
        <x:v>ยังไม่ยืนยัน</x:v>
      </x:c>
      <x:c r="O43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38" s="25" t="n">
        <x:v>46315</x:v>
      </x:c>
      <x:c r="Q438" s="27" t="str">
        <x:v>ยังไม่ตรวจ</x:v>
      </x:c>
      <x:c r="R438" s="27" t="str">
        <x:v>รอติดต่อ</x:v>
      </x:c>
    </x:row>
    <x:row r="439" ht="76" customHeight="1">
      <x:c r="A439" s="24" t="str">
        <x:v>TMF-431</x:v>
      </x:c>
      <x:c r="B439" s="20" t="str">
        <x:v>บังลิก - ยีเลาะห์ เจ้าเก่า - ร้านอาหารมุสลิม อยุธยา</x:v>
      </x:c>
      <x:c r="C439" s="20" t="str">
        <x:v>พระนครศรีอยุธยา</x:v>
      </x:c>
      <x:c r="D439" s="20" t="str">
        <x:v>คงไว้ในชุด 600</x:v>
      </x:c>
      <x:c r="E439" s="20" t="str">
        <x:v>พบหลายแหล่งสัมพันธ์กับชื่อ รอยืนยันการเปิด</x:v>
      </x:c>
      <x:c r="F439" s="20" t="str">
        <x:v>ยังไม่ยืนยันการเปิดให้บริการปัจจุบัน</x:v>
      </x:c>
      <x:c r="G439" s="26" t="n">
        <x:v>3</x:v>
      </x:c>
      <x:c r="H439" s="23" t="str"/>
      <x:c r="I439" s="23" t="str"/>
      <x:c r="J439" s="23" t="e">
        <x:f>HYPERLINK("https://www.wongnai.com/restaurants/525545YJ-%E0%B8%A3%E0%B9%89%E0%B8%B2%E0%B8%99%E0%B8%9A%E0%B8%B1%E0%B8%87%E0%B8%A5%E0%B8%B4%E0%B8%81-%E0%B8%A2%E0%B8%B5%E0%B9%80%E0%B8%A5%E0%B8%B2%E0%B8%B0%E0%B8%AB%E0%B9%8C-%E0%B9%80%E0%B8%88%E0%B9%89%E0%B8%B2%E0%B9%80%E0%B8%81%E0%B9%88%E0%B8%B2-%E0%B8%AD%E0%B8%B2%E0%B8%AB%E0%B8%B2%E0%B8%A3%E0%B8%A1%E0%B8%B8%E0%B8%AA%E0%B8%A5%E0%B8%B4%E0%B8%A1-%E0%B8%AD%E0%B8%A2%E0%B8%B8%E0%B8%98%E0%B8%A2%E0%B8%B2/photos","เปิดหน้ารีวิว 1")</x:f>
        <x:v>HYPERLINK is not implemented. linkLocation=https://www.wongnai.com/restaurants/525545YJ-%E0%B8%A3%E0%B9%89%E0%B8%B2%E0%B8%99%E0%B8%9A%E0%B8%B1%E0%B8%87%E0%B8%A5%E0%B8%B4%E0%B8%81-%E0%B8%A2%E0%B8%B5%E0%B9%80%E0%B8%A5%E0%B8%B2%E0%B8%B0%E0%B8%AB%E0%B9%8C-%E0%B9%80%E0%B8%88%E0%B9%89%E0%B8%B2%E0%B9%80%E0%B8%81%E0%B9%88%E0%B8%B2-%E0%B8%AD%E0%B8%B2%E0%B8%AB%E0%B8%B2%E0%B8%A3%E0%B8%A1%E0%B8%B8%E0%B8%AA%E0%B8%A5%E0%B8%B4%E0%B8%A1-%E0%B8%AD%E0%B8%A2%E0%B8%B8%E0%B8%98%E0%B8%A2%E0%B8%B2/photos, friendlyName=เปิดหน้ารีวิว 1</x:v>
      </x:c>
      <x:c r="K439" s="23" t="str"/>
      <x:c r="L439" s="23" t="e">
        <x:f>HYPERLINK("https://www.tripgether.com/%E0%B8%AD%E0%B8%B1%E0%B8%9B%E0%B9%80%E0%B8%94%E0%B8%95%E0%B9%80%E0%B8%A3%E0%B8%B7%E0%B9%88%E0%B8%AD%E0%B8%87%E0%B9%80%E0%B8%97%E0%B8%B5%E0%B9%88%E0%B8%A2%E0%B8%A7/5-%E0%B8%A3%E0%B9%89%E0%B8%B2%E0%B8%99%E0%B8%A5%E0%B8%B1%E0%B8%9A%E0%B8%AD%E0%B8%A2%E0%B8%B8%E0%B8%98%E0%B8%A2%E0%B8%B2-%E0%B9%80%E0%B8%A1%E0%B8%99%E0%B8%B9%E0%B9%80%E0%B8%99%E0%B8%B7%E0%B9%89%E0%B8%AD%E0%B9%81%E0%B8%9E%E0%B8%B0%E0%B8%81%E0%B8%A3%E0%B8%B8%E0%B8%87%E0%B8%A8%E0%B8%A3%E0%B8%B5/","เปิดเว็บเพิ่ม 1")</x:f>
        <x:v>HYPERLINK is not implemented. linkLocation=https://www.tripgether.com/%E0%B8%AD%E0%B8%B1%E0%B8%9B%E0%B9%80%E0%B8%94%E0%B8%95%E0%B9%80%E0%B8%A3%E0%B8%B7%E0%B9%88%E0%B8%AD%E0%B8%87%E0%B9%80%E0%B8%97%E0%B8%B5%E0%B9%88%E0%B8%A2%E0%B8%A7/5-%E0%B8%A3%E0%B9%89%E0%B8%B2%E0%B8%99%E0%B8%A5%E0%B8%B1%E0%B8%9A%E0%B8%AD%E0%B8%A2%E0%B8%B8%E0%B8%98%E0%B8%A2%E0%B8%B2-%E0%B9%80%E0%B8%A1%E0%B8%99%E0%B8%B9%E0%B9%80%E0%B8%99%E0%B8%B7%E0%B9%89%E0%B8%AD%E0%B9%81%E0%B8%9E%E0%B8%B0%E0%B8%81%E0%B8%A3%E0%B8%B8%E0%B8%87%E0%B8%A8%E0%B8%A3%E0%B8%B5/, friendlyName=เปิดเว็บเพิ่ม 1</x:v>
      </x:c>
      <x:c r="M439" s="23" t="str"/>
      <x:c r="N439" s="20" t="str">
        <x:v>ยังไม่ยืนยัน</x:v>
      </x:c>
      <x:c r="O43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39" s="25" t="n">
        <x:v>46315</x:v>
      </x:c>
      <x:c r="Q439" s="27" t="str">
        <x:v>ยังไม่ตรวจ</x:v>
      </x:c>
      <x:c r="R439" s="27" t="str">
        <x:v>รอติดต่อ</x:v>
      </x:c>
    </x:row>
    <x:row r="440" ht="76" customHeight="1">
      <x:c r="A440" s="24" t="str">
        <x:v>TMF-432</x:v>
      </x:c>
      <x:c r="B440" s="20" t="str">
        <x:v>บ้านไวยรูป ขนมอบ</x:v>
      </x:c>
      <x:c r="C440" s="20" t="str">
        <x:v>พระนครศรีอยุธยา</x:v>
      </x:c>
      <x:c r="D440" s="20" t="str">
        <x:v>คงไว้ในชุด 600</x:v>
      </x:c>
      <x:c r="E440" s="20" t="str">
        <x:v>พบหลายแหล่งสัมพันธ์กับชื่อ รอยืนยันการเปิด</x:v>
      </x:c>
      <x:c r="F440" s="20" t="str">
        <x:v>ยังไม่ยืนยันการเปิดให้บริการปัจจุบัน</x:v>
      </x:c>
      <x:c r="G440" s="26" t="n">
        <x:v>3</x:v>
      </x:c>
      <x:c r="H440" s="23" t="str"/>
      <x:c r="I440" s="23" t="str"/>
      <x:c r="J440" s="23" t="e">
        <x:f>HYPERLINK("https://www.wongnai.com/restaurants/752009HH-%E0%B8%9A%E0%B9%89%E0%B8%B2%E0%B8%99%E0%B9%84%E0%B8%A7%E0%B8%A2%E0%B8%A3%E0%B8%B9%E0%B8%9B%E0%B8%82%E0%B8%99%E0%B8%A1%E0%B8%AD%E0%B8%9A","เปิดหน้ารีวิว 1")</x:f>
        <x:v>HYPERLINK is not implemented. linkLocation=https://www.wongnai.com/restaurants/752009HH-%E0%B8%9A%E0%B9%89%E0%B8%B2%E0%B8%99%E0%B9%84%E0%B8%A7%E0%B8%A2%E0%B8%A3%E0%B8%B9%E0%B8%9B%E0%B8%82%E0%B8%99%E0%B8%A1%E0%B8%AD%E0%B8%9A, friendlyName=เปิดหน้ารีวิว 1</x:v>
      </x:c>
      <x:c r="K440" s="23" t="str"/>
      <x:c r="L440" s="23" t="e">
        <x:f>HYPERLINK("https://happynew.day/vendor/ban-waiirup-khonmop","เปิดเว็บเพิ่ม 1")</x:f>
        <x:v>HYPERLINK is not implemented. linkLocation=https://happynew.day/vendor/ban-waiirup-khonmop, friendlyName=เปิดเว็บเพิ่ม 1</x:v>
      </x:c>
      <x:c r="M440" s="23" t="str"/>
      <x:c r="N440" s="20" t="str">
        <x:v>ยังไม่ยืนยัน</x:v>
      </x:c>
      <x:c r="O44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40" s="25" t="n">
        <x:v>46315</x:v>
      </x:c>
      <x:c r="Q440" s="27" t="str">
        <x:v>ยังไม่ตรวจ</x:v>
      </x:c>
      <x:c r="R440" s="27" t="str">
        <x:v>รอติดต่อ</x:v>
      </x:c>
    </x:row>
    <x:row r="441" ht="96" customHeight="1">
      <x:c r="A441" s="24" t="str">
        <x:v>TMF-433</x:v>
      </x:c>
      <x:c r="B441" s="20" t="str">
        <x:v>ฟาติเมาะฮ์  ก๋วยเตี๋ยว ลูกชิ้นทอด</x:v>
      </x:c>
      <x:c r="C441" s="20" t="str">
        <x:v>พระนครศรีอยุธยา</x:v>
      </x:c>
      <x:c r="D441" s="20" t="str">
        <x:v>คงไว้ในชุด 600</x:v>
      </x:c>
      <x:c r="E441" s="20" t="str">
        <x:v>หลักฐานไม่พอ รอยืนยันการเปิด</x:v>
      </x:c>
      <x:c r="F441" s="20" t="str">
        <x:v>ยังไม่ยืนยันการเปิดให้บริการปัจจุบัน</x:v>
      </x:c>
      <x:c r="G441" s="26" t="n">
        <x:v>1</x:v>
      </x:c>
      <x:c r="H441" s="23" t="str"/>
      <x:c r="I441" s="23" t="str"/>
      <x:c r="J441" s="23" t="str"/>
      <x:c r="K441" s="23" t="str"/>
      <x:c r="L441" s="23" t="str"/>
      <x:c r="M441" s="23" t="str"/>
      <x:c r="N441" s="20" t="str">
        <x:v>ยังไม่ยืนยัน</x:v>
      </x:c>
      <x:c r="O44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41" s="25" t="n">
        <x:v>46315</x:v>
      </x:c>
      <x:c r="Q441" s="27" t="str">
        <x:v>ยังไม่ตรวจ</x:v>
      </x:c>
      <x:c r="R441" s="27" t="str">
        <x:v>รอติดต่อ</x:v>
      </x:c>
    </x:row>
    <x:row r="442" ht="96" customHeight="1">
      <x:c r="A442" s="24" t="str">
        <x:v>TMF-434</x:v>
      </x:c>
      <x:c r="B442" s="20" t="str">
        <x:v>ส้มตำนิดา (อิสลาม-ฮาลาล)</x:v>
      </x:c>
      <x:c r="C442" s="20" t="str">
        <x:v>พระนครศรีอยุธยา</x:v>
      </x:c>
      <x:c r="D442" s="20" t="str">
        <x:v>คงไว้ในชุด 600</x:v>
      </x:c>
      <x:c r="E442" s="20" t="str">
        <x:v>หลักฐานไม่พอ รอยืนยันการเปิด</x:v>
      </x:c>
      <x:c r="F442" s="20" t="str">
        <x:v>ยังไม่ยืนยันการเปิดให้บริการปัจจุบัน</x:v>
      </x:c>
      <x:c r="G442" s="26" t="n">
        <x:v>1</x:v>
      </x:c>
      <x:c r="H442" s="23" t="str"/>
      <x:c r="I442" s="23" t="str"/>
      <x:c r="J442" s="23" t="str"/>
      <x:c r="K442" s="23" t="str"/>
      <x:c r="L442" s="23" t="str"/>
      <x:c r="M442" s="23" t="str"/>
      <x:c r="N442" s="20" t="str">
        <x:v>ยังไม่ยืนยัน</x:v>
      </x:c>
      <x:c r="O44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42" s="25" t="n">
        <x:v>46315</x:v>
      </x:c>
      <x:c r="Q442" s="27" t="str">
        <x:v>ยังไม่ตรวจ</x:v>
      </x:c>
      <x:c r="R442" s="27" t="str">
        <x:v>รอติดต่อ</x:v>
      </x:c>
    </x:row>
    <x:row r="443" ht="96" customHeight="1">
      <x:c r="A443" s="24" t="str">
        <x:v>TMF-435</x:v>
      </x:c>
      <x:c r="B443" s="20" t="str">
        <x:v>อาบีดีน อาหารตามสั่ง</x:v>
      </x:c>
      <x:c r="C443" s="20" t="str">
        <x:v>พระนครศรีอยุธยา</x:v>
      </x:c>
      <x:c r="D443" s="20" t="str">
        <x:v>คงไว้ในชุด 600</x:v>
      </x:c>
      <x:c r="E443" s="20" t="str">
        <x:v>หลักฐานไม่พอ รอยืนยันการเปิด</x:v>
      </x:c>
      <x:c r="F443" s="20" t="str">
        <x:v>ยังไม่ยืนยันการเปิดให้บริการปัจจุบัน</x:v>
      </x:c>
      <x:c r="G443" s="26" t="n">
        <x:v>1</x:v>
      </x:c>
      <x:c r="H443" s="23" t="str"/>
      <x:c r="I443" s="23" t="str"/>
      <x:c r="J443" s="23" t="str"/>
      <x:c r="K443" s="23" t="str"/>
      <x:c r="L443" s="23" t="str"/>
      <x:c r="M443" s="23" t="str"/>
      <x:c r="N443" s="20" t="str">
        <x:v>ยังไม่ยืนยัน</x:v>
      </x:c>
      <x:c r="O44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43" s="25" t="n">
        <x:v>46315</x:v>
      </x:c>
      <x:c r="Q443" s="27" t="str">
        <x:v>ยังไม่ตรวจ</x:v>
      </x:c>
      <x:c r="R443" s="27" t="str">
        <x:v>รอติดต่อ</x:v>
      </x:c>
    </x:row>
    <x:row r="444" ht="96" customHeight="1">
      <x:c r="A444" s="24" t="str">
        <x:v>TMF-436</x:v>
      </x:c>
      <x:c r="B444" s="20" t="str">
        <x:v>อามีนะ ข้าวเหนียวมะม่วง</x:v>
      </x:c>
      <x:c r="C444" s="20" t="str">
        <x:v>พระนครศรีอยุธยา</x:v>
      </x:c>
      <x:c r="D444" s="20" t="str">
        <x:v>คงไว้ในชุด 600</x:v>
      </x:c>
      <x:c r="E444" s="20" t="str">
        <x:v>หลักฐานไม่พอ รอยืนยันการเปิด</x:v>
      </x:c>
      <x:c r="F444" s="20" t="str">
        <x:v>ยังไม่ยืนยันการเปิดให้บริการปัจจุบัน</x:v>
      </x:c>
      <x:c r="G444" s="26" t="n">
        <x:v>1</x:v>
      </x:c>
      <x:c r="H444" s="23" t="str"/>
      <x:c r="I444" s="23" t="str"/>
      <x:c r="J444" s="23" t="str"/>
      <x:c r="K444" s="23" t="str"/>
      <x:c r="L444" s="23" t="str"/>
      <x:c r="M444" s="23" t="str"/>
      <x:c r="N444" s="20" t="str">
        <x:v>ยังไม่ยืนยัน</x:v>
      </x:c>
      <x:c r="O44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44" s="25" t="n">
        <x:v>46315</x:v>
      </x:c>
      <x:c r="Q444" s="27" t="str">
        <x:v>ยังไม่ตรวจ</x:v>
      </x:c>
      <x:c r="R444" s="27" t="str">
        <x:v>รอติดต่อ</x:v>
      </x:c>
    </x:row>
    <x:row r="445" ht="96" customHeight="1">
      <x:c r="A445" s="24" t="str">
        <x:v>TMF-437</x:v>
      </x:c>
      <x:c r="B445" s="20" t="str">
        <x:v>อามีนะห์ก๋วยเตี๋ยวเนื้อริมน้ำ</x:v>
      </x:c>
      <x:c r="C445" s="20" t="str">
        <x:v>พระนครศรีอยุธยา</x:v>
      </x:c>
      <x:c r="D445" s="20" t="str">
        <x:v>คงไว้ในชุด 600</x:v>
      </x:c>
      <x:c r="E445" s="20" t="str">
        <x:v>หลักฐานไม่พอ รอยืนยันการเปิด</x:v>
      </x:c>
      <x:c r="F445" s="20" t="str">
        <x:v>ยังไม่ยืนยันการเปิดให้บริการปัจจุบัน</x:v>
      </x:c>
      <x:c r="G445" s="26" t="n">
        <x:v>1</x:v>
      </x:c>
      <x:c r="H445" s="23" t="str"/>
      <x:c r="I445" s="23" t="str"/>
      <x:c r="J445" s="23" t="str"/>
      <x:c r="K445" s="23" t="str"/>
      <x:c r="L445" s="23" t="str"/>
      <x:c r="M445" s="23" t="str"/>
      <x:c r="N445" s="20" t="str">
        <x:v>ยังไม่ยืนยัน</x:v>
      </x:c>
      <x:c r="O44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45" s="25" t="n">
        <x:v>46315</x:v>
      </x:c>
      <x:c r="Q445" s="27" t="str">
        <x:v>ยังไม่ตรวจ</x:v>
      </x:c>
      <x:c r="R445" s="27" t="str">
        <x:v>รอติดต่อ</x:v>
      </x:c>
    </x:row>
    <x:row r="446" ht="96" customHeight="1">
      <x:c r="A446" s="24" t="str">
        <x:v>TMF-438</x:v>
      </x:c>
      <x:c r="B446" s="20" t="str">
        <x:v>โจ๊กริมน้ำเจ้าพระยา</x:v>
      </x:c>
      <x:c r="C446" s="20" t="str">
        <x:v>พระนครศรีอยุธยา</x:v>
      </x:c>
      <x:c r="D446" s="20" t="str">
        <x:v>คงไว้ในชุด 600</x:v>
      </x:c>
      <x:c r="E446" s="20" t="str">
        <x:v>หลักฐานไม่พอ รอยืนยันการเปิด</x:v>
      </x:c>
      <x:c r="F446" s="20" t="str">
        <x:v>ยังไม่ยืนยันการเปิดให้บริการปัจจุบัน</x:v>
      </x:c>
      <x:c r="G446" s="26" t="n">
        <x:v>1</x:v>
      </x:c>
      <x:c r="H446" s="23" t="str"/>
      <x:c r="I446" s="23" t="str"/>
      <x:c r="J446" s="23" t="str"/>
      <x:c r="K446" s="23" t="str"/>
      <x:c r="L446" s="23" t="str"/>
      <x:c r="M446" s="23" t="str"/>
      <x:c r="N446" s="20" t="str">
        <x:v>ยังไม่ยืนยัน</x:v>
      </x:c>
      <x:c r="O44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46" s="25" t="n">
        <x:v>46315</x:v>
      </x:c>
      <x:c r="Q446" s="27" t="str">
        <x:v>ยังไม่ตรวจ</x:v>
      </x:c>
      <x:c r="R446" s="27" t="str">
        <x:v>รอติดต่อ</x:v>
      </x:c>
    </x:row>
    <x:row r="447" ht="96" customHeight="1">
      <x:c r="A447" s="24" t="str">
        <x:v>TMF-439</x:v>
      </x:c>
      <x:c r="B447" s="20" t="str">
        <x:v>ไมนูเนาห์ ก๋วยเตี๋ยว อาหารตามสั่ง</x:v>
      </x:c>
      <x:c r="C447" s="20" t="str">
        <x:v>พระนครศรีอยุธยา</x:v>
      </x:c>
      <x:c r="D447" s="20" t="str">
        <x:v>คงไว้ในชุด 600</x:v>
      </x:c>
      <x:c r="E447" s="20" t="str">
        <x:v>หลักฐานไม่พอ รอยืนยันการเปิด</x:v>
      </x:c>
      <x:c r="F447" s="20" t="str">
        <x:v>ยังไม่ยืนยันการเปิดให้บริการปัจจุบัน</x:v>
      </x:c>
      <x:c r="G447" s="26" t="n">
        <x:v>1</x:v>
      </x:c>
      <x:c r="H447" s="23" t="str"/>
      <x:c r="I447" s="23" t="str"/>
      <x:c r="J447" s="23" t="str"/>
      <x:c r="K447" s="23" t="str"/>
      <x:c r="L447" s="23" t="str"/>
      <x:c r="M447" s="23" t="str"/>
      <x:c r="N447" s="20" t="str">
        <x:v>ยังไม่ยืนยัน</x:v>
      </x:c>
      <x:c r="O44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47" s="25" t="n">
        <x:v>46315</x:v>
      </x:c>
      <x:c r="Q447" s="27" t="str">
        <x:v>ยังไม่ตรวจ</x:v>
      </x:c>
      <x:c r="R447" s="27" t="str">
        <x:v>รอติดต่อ</x:v>
      </x:c>
    </x:row>
    <x:row r="448" ht="76" customHeight="1">
      <x:c r="A448" s="24" t="str">
        <x:v>TMF-440</x:v>
      </x:c>
      <x:c r="B448" s="20" t="str">
        <x:v>ศูนย์ศึกษาประวัติศาสตร์อยุธยา</x:v>
      </x:c>
      <x:c r="C448" s="20" t="str">
        <x:v>พระนครศรีอยุธยา</x:v>
      </x:c>
      <x:c r="D448" s="20" t="str">
        <x:v>คงไว้ในชุด 600</x:v>
      </x:c>
      <x:c r="E448" s="20" t="str">
        <x:v>พบหลายแหล่งสัมพันธ์กับชื่อ รอยืนยันการเปิด</x:v>
      </x:c>
      <x:c r="F448" s="20" t="str">
        <x:v>ยังไม่ยืนยันการเปิดให้บริการปัจจุบัน</x:v>
      </x:c>
      <x:c r="G448" s="26" t="n">
        <x:v>9</x:v>
      </x:c>
      <x:c r="H448" s="23" t="str"/>
      <x:c r="I448" s="23" t="str"/>
      <x:c r="J448" s="23" t="e">
        <x:f>HYPERLINK("https://th.tripadvisor.com/Attraction_Review-g303897-d2146207-Reviews-Ayutthaya_Historical_Study_Centre-Ayutthaya_Ayutthaya_Province.html","เปิดหน้ารีวิว 1")</x:f>
        <x:v>HYPERLINK is not implemented. linkLocation=https://th.tripadvisor.com/Attraction_Review-g303897-d2146207-Reviews-Ayutthaya_Historical_Study_Centre-Ayutthaya_Ayutthaya_Province.html, friendlyName=เปิดหน้ารีวิว 1</x:v>
      </x:c>
      <x:c r="K448" s="23" t="e">
        <x:f>HYPERLINK("https://www.wongnai.com/attractions/355860Jr-%E0%B8%A8%E0%B8%B9%E0%B8%99%E0%B8%A2%E0%B9%8C%E0%B8%A8%E0%B8%B6%E0%B8%81%E0%B8%A9%E0%B8%B2%E0%B8%9B%E0%B8%A3%E0%B8%B0%E0%B8%A7%E0%B8%B1%E0%B8%95%E0%B8%B4%E0%B8%A8%E0%B8%B2%E0%B8%AA%E0%B8%95%E0%B8%A3%E0%B9%8C%E0%B8%AD%E0%B8%A2%E0%B8%B8%E0%B8%98%E0%B8%A2%E0%B8%B2","เปิดหน้ารีวิว 2")</x:f>
        <x:v>HYPERLINK is not implemented. linkLocation=https://www.wongnai.com/attractions/355860Jr-%E0%B8%A8%E0%B8%B9%E0%B8%99%E0%B8%A2%E0%B9%8C%E0%B8%A8%E0%B8%B6%E0%B8%81%E0%B8%A9%E0%B8%B2%E0%B8%9B%E0%B8%A3%E0%B8%B0%E0%B8%A7%E0%B8%B1%E0%B8%95%E0%B8%B4%E0%B8%A8%E0%B8%B2%E0%B8%AA%E0%B8%95%E0%B8%A3%E0%B9%8C%E0%B8%AD%E0%B8%A2%E0%B8%B8%E0%B8%98%E0%B8%A2%E0%B8%B2, friendlyName=เปิดหน้ารีวิว 2</x:v>
      </x:c>
      <x:c r="L448" s="23" t="e">
        <x:f>HYPERLINK("https://www.sanook.com/travel/649151/","เปิดเว็บเพิ่ม 1")</x:f>
        <x:v>HYPERLINK is not implemented. linkLocation=https://www.sanook.com/travel/649151/, friendlyName=เปิดเว็บเพิ่ม 1</x:v>
      </x:c>
      <x:c r="M448" s="23" t="e">
        <x:f>HYPERLINK("https://www.touronthai.com/article/2128","เปิดเว็บเพิ่ม 2")</x:f>
        <x:v>HYPERLINK is not implemented. linkLocation=https://www.touronthai.com/article/2128, friendlyName=เปิดเว็บเพิ่ม 2</x:v>
      </x:c>
      <x:c r="N448" s="20" t="str">
        <x:v>ยังไม่ยืนยัน</x:v>
      </x:c>
      <x:c r="O44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48" s="25" t="n">
        <x:v>46315</x:v>
      </x:c>
      <x:c r="Q448" s="27" t="str">
        <x:v>ยังไม่ตรวจ</x:v>
      </x:c>
      <x:c r="R448" s="27" t="str">
        <x:v>รอติดต่อ</x:v>
      </x:c>
    </x:row>
    <x:row r="449" ht="96" customHeight="1">
      <x:c r="A449" s="24" t="str">
        <x:v>TMF-441</x:v>
      </x:c>
      <x:c r="B449" s="20" t="str">
        <x:v>ซาโมซ่าใส้ไก่ ก๊วยเตี๋ยว เย็นตาโฟ โรตี</x:v>
      </x:c>
      <x:c r="C449" s="20" t="str">
        <x:v>กาญจนบุรี</x:v>
      </x:c>
      <x:c r="D449" s="20" t="str">
        <x:v>คงไว้ในชุด 600</x:v>
      </x:c>
      <x:c r="E449" s="20" t="str">
        <x:v>หลักฐานไม่พอ รอยืนยันการเปิด</x:v>
      </x:c>
      <x:c r="F449" s="20" t="str">
        <x:v>ยังไม่ยืนยันการเปิดให้บริการปัจจุบัน</x:v>
      </x:c>
      <x:c r="G449" s="26" t="n">
        <x:v>1</x:v>
      </x:c>
      <x:c r="H449" s="23" t="str"/>
      <x:c r="I449" s="23" t="str"/>
      <x:c r="J449" s="23" t="str"/>
      <x:c r="K449" s="23" t="str"/>
      <x:c r="L449" s="23" t="str"/>
      <x:c r="M449" s="23" t="str"/>
      <x:c r="N449" s="20" t="str">
        <x:v>ยังไม่ยืนยัน</x:v>
      </x:c>
      <x:c r="O44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49" s="25" t="n">
        <x:v>46315</x:v>
      </x:c>
      <x:c r="Q449" s="27" t="str">
        <x:v>ยังไม่ตรวจ</x:v>
      </x:c>
      <x:c r="R449" s="27" t="str">
        <x:v>รอติดต่อ</x:v>
      </x:c>
    </x:row>
    <x:row r="450" ht="76" customHeight="1">
      <x:c r="A450" s="24" t="str">
        <x:v>TMF-442</x:v>
      </x:c>
      <x:c r="B450" s="20" t="str">
        <x:v>รสโบราณบ้านกาญ</x:v>
      </x:c>
      <x:c r="C450" s="20" t="str">
        <x:v>กาญจนบุรี</x:v>
      </x:c>
      <x:c r="D450" s="20" t="str">
        <x:v>คงไว้ในชุด 600</x:v>
      </x:c>
      <x:c r="E450" s="20" t="str">
        <x:v>พบหลายแหล่งสัมพันธ์กับชื่อ รอยืนยันการเปิด</x:v>
      </x:c>
      <x:c r="F450" s="20" t="str">
        <x:v>ยังไม่ยืนยันการเปิดให้บริการปัจจุบัน</x:v>
      </x:c>
      <x:c r="G450" s="26" t="n">
        <x:v>2</x:v>
      </x:c>
      <x:c r="H450" s="23" t="str"/>
      <x:c r="I450" s="23" t="str"/>
      <x:c r="J450" s="23" t="e">
        <x:f>HYPERLINK("https://www.wongnai.com/restaurants/3531683lL-%E0%B8%A3%E0%B8%AA%E0%B9%82%E0%B8%9A%E0%B8%A3%E0%B8%B2%E0%B8%93-%E0%B8%9A%E0%B9%89%E0%B8%B2%E0%B8%99%E0%B8%81%E0%B8%B2%E0%B8%8D-%E0%B8%A5%E0%B8%B2%E0%B8%94%E0%B8%AB%E0%B8%8D%E0%B9%89%E0%B8%B2-%E0%B8%81%E0%B8%B2%E0%B8%8D%E0%B8%88%E0%B8%99%E0%B8%9A%E0%B8%B8%E0%B8%A3%E0%B8%B5","เปิดหน้ารีวิว 1")</x:f>
        <x:v>HYPERLINK is not implemented. linkLocation=https://www.wongnai.com/restaurants/3531683lL-%E0%B8%A3%E0%B8%AA%E0%B9%82%E0%B8%9A%E0%B8%A3%E0%B8%B2%E0%B8%93-%E0%B8%9A%E0%B9%89%E0%B8%B2%E0%B8%99%E0%B8%81%E0%B8%B2%E0%B8%8D-%E0%B8%A5%E0%B8%B2%E0%B8%94%E0%B8%AB%E0%B8%8D%E0%B9%89%E0%B8%B2-%E0%B8%81%E0%B8%B2%E0%B8%8D%E0%B8%88%E0%B8%99%E0%B8%9A%E0%B8%B8%E0%B8%A3%E0%B8%B5, friendlyName=เปิดหน้ารีวิว 1</x:v>
      </x:c>
      <x:c r="K450" s="23" t="str"/>
      <x:c r="L450" s="23" t="str"/>
      <x:c r="M450" s="23" t="str"/>
      <x:c r="N450" s="20" t="str">
        <x:v>ยังไม่ยืนยัน</x:v>
      </x:c>
      <x:c r="O45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50" s="25" t="n">
        <x:v>46315</x:v>
      </x:c>
      <x:c r="Q450" s="27" t="str">
        <x:v>ยังไม่ตรวจ</x:v>
      </x:c>
      <x:c r="R450" s="27" t="str">
        <x:v>รอติดต่อ</x:v>
      </x:c>
    </x:row>
    <x:row r="451" ht="76" customHeight="1">
      <x:c r="A451" s="24" t="str">
        <x:v>TMF-443</x:v>
      </x:c>
      <x:c r="B451" s="20" t="str">
        <x:v>น้ำตกเอราวัณ</x:v>
      </x:c>
      <x:c r="C451" s="20" t="str">
        <x:v>กาญจนบุรี</x:v>
      </x:c>
      <x:c r="D451" s="20" t="str">
        <x:v>คงไว้ในชุด 600</x:v>
      </x:c>
      <x:c r="E451" s="20" t="str">
        <x:v>พบหลายแหล่งสัมพันธ์กับชื่อ รอยืนยันการเปิด</x:v>
      </x:c>
      <x:c r="F451" s="20" t="str">
        <x:v>ยังไม่ยืนยันการเปิดให้บริการปัจจุบัน</x:v>
      </x:c>
      <x:c r="G451" s="26" t="n">
        <x:v>7</x:v>
      </x:c>
      <x:c r="H451" s="23" t="str"/>
      <x:c r="I451" s="23" t="str"/>
      <x:c r="J451" s="23" t="e">
        <x:f>HYPERLINK("https://th.trip.com/travel-guide/attraction/si-sawat/erawan-falls-23914248/?curr=THB&amp;locale=th-TH","เปิดหน้ารีวิว 1")</x:f>
        <x:v>HYPERLINK is not implemented. linkLocation=https://th.trip.com/travel-guide/attraction/si-sawat/erawan-falls-23914248/?curr=THB&amp;locale=th-TH, friendlyName=เปิดหน้ารีวิว 1</x:v>
      </x:c>
      <x:c r="K451" s="23" t="e">
        <x:f>HYPERLINK("https://www.lemon8-app.com/%40sparkle_shadow0/7247481180243886594?region=th","เปิดหน้ารีวิว 2")</x:f>
        <x:v>HYPERLINK is not implemented. linkLocation=https://www.lemon8-app.com/%40sparkle_shadow0/7247481180243886594?region=th, friendlyName=เปิดหน้ารีวิว 2</x:v>
      </x:c>
      <x:c r="L451" s="23" t="e">
        <x:f>HYPERLINK("https://www.thailandaddict.com/erawan-waterfall-guide","เปิดเว็บเพิ่ม 1")</x:f>
        <x:v>HYPERLINK is not implemented. linkLocation=https://www.thailandaddict.com/erawan-waterfall-guide, friendlyName=เปิดเว็บเพิ่ม 1</x:v>
      </x:c>
      <x:c r="M451" s="23" t="e">
        <x:f>HYPERLINK("https://notes.tiktok.com/%40gxfh.46/7592241188619436560?region=th","เปิดเว็บเพิ่ม 2")</x:f>
        <x:v>HYPERLINK is not implemented. linkLocation=https://notes.tiktok.com/%40gxfh.46/7592241188619436560?region=th, friendlyName=เปิดเว็บเพิ่ม 2</x:v>
      </x:c>
      <x:c r="N451" s="20" t="str">
        <x:v>ยังไม่ยืนยัน</x:v>
      </x:c>
      <x:c r="O45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51" s="25" t="n">
        <x:v>46315</x:v>
      </x:c>
      <x:c r="Q451" s="27" t="str">
        <x:v>ยังไม่ตรวจ</x:v>
      </x:c>
      <x:c r="R451" s="27" t="str">
        <x:v>รอติดต่อ</x:v>
      </x:c>
    </x:row>
    <x:row r="452" ht="76" customHeight="1">
      <x:c r="A452" s="24" t="str">
        <x:v>TMF-444</x:v>
      </x:c>
      <x:c r="B452" s="20" t="str">
        <x:v>ตลาดน้ำดำเนินสะดวก</x:v>
      </x:c>
      <x:c r="C452" s="20" t="str">
        <x:v>ราชบุรี</x:v>
      </x:c>
      <x:c r="D452" s="20" t="str">
        <x:v>คงไว้ในชุด 600</x:v>
      </x:c>
      <x:c r="E452" s="20" t="str">
        <x:v>พบหลายแหล่งสัมพันธ์กับชื่อ รอยืนยันการเปิด</x:v>
      </x:c>
      <x:c r="F452" s="20" t="str">
        <x:v>ยังไม่ยืนยันการเปิดให้บริการปัจจุบัน</x:v>
      </x:c>
      <x:c r="G452" s="26" t="n">
        <x:v>9</x:v>
      </x:c>
      <x:c r="H452" s="23" t="e">
        <x:f>HYPERLINK("https://www.facebook.com/damnoensaduak032Line","เปิดช่องทาง 1")</x:f>
        <x:v>HYPERLINK is not implemented. linkLocation=https://www.facebook.com/damnoensaduak032Line, friendlyName=เปิดช่องทาง 1</x:v>
      </x:c>
      <x:c r="I452" s="23" t="str"/>
      <x:c r="J452" s="23" t="e">
        <x:f>HYPERLINK("https://www.wongnai.com/reviews/15b419bbf09b47458ef3b2dc55f377db","เปิดหน้ารีวิว 1")</x:f>
        <x:v>HYPERLINK is not implemented. linkLocation=https://www.wongnai.com/reviews/15b419bbf09b47458ef3b2dc55f377db, friendlyName=เปิดหน้ารีวิว 1</x:v>
      </x:c>
      <x:c r="K452" s="23" t="e">
        <x:f>HYPERLINK("https://www.wongnai.com/attractions/326884rA-%E0%B8%95%E0%B8%A5%E0%B8%B2%E0%B8%94%E0%B8%99%E0%B9%89%E0%B8%B3%E0%B8%94%E0%B8%B3%E0%B9%80%E0%B8%99%E0%B8%B4%E0%B8%99%E0%B8%AA%E0%B8%B0%E0%B8%94%E0%B8%A7%E0%B8%81/reviews","เปิดหน้ารีวิว 2")</x:f>
        <x:v>HYPERLINK is not implemented. linkLocation=https://www.wongnai.com/attractions/326884rA-%E0%B8%95%E0%B8%A5%E0%B8%B2%E0%B8%94%E0%B8%99%E0%B9%89%E0%B8%B3%E0%B8%94%E0%B8%B3%E0%B9%80%E0%B8%99%E0%B8%B4%E0%B8%99%E0%B8%AA%E0%B8%B0%E0%B8%94%E0%B8%A7%E0%B8%81/reviews, friendlyName=เปิดหน้ารีวิว 2</x:v>
      </x:c>
      <x:c r="L452" s="23" t="e">
        <x:f>HYPERLINK("https://ratchaburi.prd.go.th/th/content/category/detail/id/373/iid/322786","เปิดเว็บเพิ่ม 1")</x:f>
        <x:v>HYPERLINK is not implemented. linkLocation=https://ratchaburi.prd.go.th/th/content/category/detail/id/373/iid/322786, friendlyName=เปิดเว็บเพิ่ม 1</x:v>
      </x:c>
      <x:c r="M452" s="23" t="e">
        <x:f>HYPERLINK("https://www.gplace.com/5276","เปิดเว็บเพิ่ม 2")</x:f>
        <x:v>HYPERLINK is not implemented. linkLocation=https://www.gplace.com/5276, friendlyName=เปิดเว็บเพิ่ม 2</x:v>
      </x:c>
      <x:c r="N452" s="20" t="str">
        <x:v>ยังไม่ยืนยัน</x:v>
      </x:c>
      <x:c r="O452" s="20" t="str">
        <x:v>ยังไม่ยืนยันวันที่โพสต์/รีวิวล่าสุดและการเปิดให้บริการปัจจุบัน</x:v>
      </x:c>
      <x:c r="P452" s="25" t="n">
        <x:v>46315</x:v>
      </x:c>
      <x:c r="Q452" s="27" t="str">
        <x:v>ยังไม่ตรวจ</x:v>
      </x:c>
      <x:c r="R452" s="27" t="str">
        <x:v>รอติดต่อ</x:v>
      </x:c>
    </x:row>
    <x:row r="453" ht="76" customHeight="1">
      <x:c r="A453" s="24" t="str">
        <x:v>TMF-445</x:v>
      </x:c>
      <x:c r="B453" s="20" t="str">
        <x:v>ตลาดเก่าโคยกี๊</x:v>
      </x:c>
      <x:c r="C453" s="20" t="str">
        <x:v>ราชบุรี</x:v>
      </x:c>
      <x:c r="D453" s="20" t="str">
        <x:v>คงไว้ในชุด 600</x:v>
      </x:c>
      <x:c r="E453" s="20" t="str">
        <x:v>พบหลายแหล่งสัมพันธ์กับชื่อ รอยืนยันการเปิด</x:v>
      </x:c>
      <x:c r="F453" s="20" t="str">
        <x:v>ยังไม่ยืนยันการเปิดให้บริการปัจจุบัน</x:v>
      </x:c>
      <x:c r="G453" s="26" t="n">
        <x:v>6</x:v>
      </x:c>
      <x:c r="H453" s="23" t="str"/>
      <x:c r="I453" s="23" t="str"/>
      <x:c r="J453" s="23" t="e">
        <x:f>HYPERLINK("https://www.wongnai.com/reviews/bc4e06b366bd4446ba0329e82b2152d2","เปิดหน้ารีวิว 1")</x:f>
        <x:v>HYPERLINK is not implemented. linkLocation=https://www.wongnai.com/reviews/bc4e06b366bd4446ba0329e82b2152d2, friendlyName=เปิดหน้ารีวิว 1</x:v>
      </x:c>
      <x:c r="K453" s="23" t="e">
        <x:f>HYPERLINK("https://www.wongnai.com/reviews/e401c2e6069641949e880270a5913f41","เปิดหน้ารีวิว 2")</x:f>
        <x:v>HYPERLINK is not implemented. linkLocation=https://www.wongnai.com/reviews/e401c2e6069641949e880270a5913f41, friendlyName=เปิดหน้ารีวิว 2</x:v>
      </x:c>
      <x:c r="L453" s="23" t="e">
        <x:f>HYPERLINK("https://www.gplace.com/2948","เปิดเว็บเพิ่ม 1")</x:f>
        <x:v>HYPERLINK is not implemented. linkLocation=https://www.gplace.com/2948, friendlyName=เปิดเว็บเพิ่ม 1</x:v>
      </x:c>
      <x:c r="M453" s="23" t="e">
        <x:f>HYPERLINK("https://thi.worldorgs.com/%E0%B9%81%E0%B8%84%E0%B8%95%E0%B8%95%E0%B8%B2%E0%B8%A5%E0%B9%87%E0%B8%AD%E0%B8%81/%E0%B8%AD%E0%B8%B3%E0%B9%80%E0%B8%A0%E0%B8%AD%E0%B9%80%E0%B8%A1%E0%B8%B7%E0%B8%AD%E0%B8%87%E0%B8%A3%E0%B8%B2%E0%B8%8A%E0%B8%9A%E0%B8%B8%E0%B8%A3%E0%B8%B5/%E0%B8%97%E0%B8%B5%E0%B9%88%E0%B8%88%E0%B8%AD%E0%B8%94%E0%B8%A3%E0%B8%96/%E0%B8%95%E0%B8%A5%E0%B8%B2%E0%B8%94%E0%B9%80%E0%B8%81%E0%B9%88%E0%B8%B2%E0%B9%82%E0%B8%84%E0%B8%A2%E0%B8%81%E0%B8%B5%E0%B9%8A-%E0%B8%A3%E0%B8%B2%E0%B8%8A%E0%B8%9A%E0%B8%B8%E0%B8%A3%E0%B8%B5","เปิดเว็บเพิ่ม 2")</x:f>
        <x:v>HYPERLINK is not implemented. linkLocation=https://thi.worldorgs.com/%E0%B9%81%E0%B8%84%E0%B8%95%E0%B8%95%E0%B8%B2%E0%B8%A5%E0%B9%87%E0%B8%AD%E0%B8%81/%E0%B8%AD%E0%B8%B3%E0%B9%80%E0%B8%A0%E0%B8%AD%E0%B9%80%E0%B8%A1%E0%B8%B7%E0%B8%AD%E0%B8%87%E0%B8%A3%E0%B8%B2%E0%B8%8A%E0%B8%9A%E0%B8%B8%E0%B8%A3%E0%B8%B5/%E0%B8%97%E0%B8%B5%E0%B9%88%E0%B8%88%E0%B8%AD%E0%B8%94%E0%B8%A3%E0%B8%96/%E0%B8%95%E0%B8%A5%E0%B8%B2%E0%B8%94%E0%B9%80%E0%B8%81%E0%B9%88%E0%B8%B2%E0%B9%82%E0%B8%84%E0%B8%A2%E0%B8%81%E0%B8%B5%E0%B9%8A-%E0%B8%A3%E0%B8%B2%E0%B8%8A%E0%B8%9A%E0%B8%B8%E0%B8%A3%E0%B8%B5, friendlyName=เปิดเว็บเพิ่ม 2</x:v>
      </x:c>
      <x:c r="N453" s="20" t="str">
        <x:v>ยังไม่ยืนยัน</x:v>
      </x:c>
      <x:c r="O45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53" s="25" t="n">
        <x:v>46315</x:v>
      </x:c>
      <x:c r="Q453" s="27" t="str">
        <x:v>ยังไม่ตรวจ</x:v>
      </x:c>
      <x:c r="R453" s="27" t="str">
        <x:v>รอติดต่อ</x:v>
      </x:c>
    </x:row>
    <x:row r="454" ht="76" customHeight="1">
      <x:c r="A454" s="24" t="str">
        <x:v>TMF-446</x:v>
      </x:c>
      <x:c r="B454" s="20" t="str">
        <x:v>พิพิธภัณฑสถานแห่งชาติ ราชบุรี</x:v>
      </x:c>
      <x:c r="C454" s="20" t="str">
        <x:v>ราชบุรี</x:v>
      </x:c>
      <x:c r="D454" s="20" t="str">
        <x:v>คงไว้ในชุด 600</x:v>
      </x:c>
      <x:c r="E454" s="20" t="str">
        <x:v>พบหลายแหล่งสัมพันธ์กับชื่อ รอยืนยันการเปิด</x:v>
      </x:c>
      <x:c r="F454" s="20" t="str">
        <x:v>ยังไม่ยืนยันการเปิดให้บริการปัจจุบัน</x:v>
      </x:c>
      <x:c r="G454" s="26" t="n">
        <x:v>6</x:v>
      </x:c>
      <x:c r="H454" s="23" t="e">
        <x:f>HYPERLINK("https://www.facebook.com/ilove.ratchaburi.national.museum/","เปิดช่องทาง 1")</x:f>
        <x:v>HYPERLINK is not implemented. linkLocation=https://www.facebook.com/ilove.ratchaburi.national.museum/, friendlyName=เปิดช่องทาง 1</x:v>
      </x:c>
      <x:c r="I454" s="23" t="str"/>
      <x:c r="J454" s="23" t="e">
        <x:f>HYPERLINK("https://th.tripadvisor.com/Attraction_Review-g1028727-d12285502-Reviews-Ratchaburi_National_Museum-Ratchaburi_Ratchaburi_Province.html","เปิดหน้ารีวิว 1")</x:f>
        <x:v>HYPERLINK is not implemented. linkLocation=https://th.tripadvisor.com/Attraction_Review-g1028727-d12285502-Reviews-Ratchaburi_National_Museum-Ratchaburi_Ratchaburi_Province.html, friendlyName=เปิดหน้ารีวิว 1</x:v>
      </x:c>
      <x:c r="K454" s="23" t="e">
        <x:f>HYPERLINK("https://th.trip.com/travel-guide/attraction/ratchaburi/ratchaburi-national-museum-38911552?curr=QAR&amp;locale=th-TH","เปิดหน้ารีวิว 2")</x:f>
        <x:v>HYPERLINK is not implemented. linkLocation=https://th.trip.com/travel-guide/attraction/ratchaburi/ratchaburi-national-museum-38911552?curr=QAR&amp;locale=th-TH, friendlyName=เปิดหน้ารีวิว 2</x:v>
      </x:c>
      <x:c r="L454" s="23" t="e">
        <x:f>HYPERLINK("https://www.finearts.go.th/ratchaburimuseum/contact","เปิดเว็บเพิ่ม 1")</x:f>
        <x:v>HYPERLINK is not implemented. linkLocation=https://www.finearts.go.th/ratchaburimuseum/contact, friendlyName=เปิดเว็บเพิ่ม 1</x:v>
      </x:c>
      <x:c r="M454" s="23" t="e">
        <x:f>HYPERLINK("https://www.dmr.go.th/wp-content/uploads/2022/10/article_20160923103033-1.pdf","เปิดเว็บเพิ่ม 2")</x:f>
        <x:v>HYPERLINK is not implemented. linkLocation=https://www.dmr.go.th/wp-content/uploads/2022/10/article_20160923103033-1.pdf, friendlyName=เปิดเว็บเพิ่ม 2</x:v>
      </x:c>
      <x:c r="N454" s="20" t="str">
        <x:v>ยังไม่ยืนยัน</x:v>
      </x:c>
      <x:c r="O454" s="20" t="str">
        <x:v>ยังไม่ยืนยันวันที่โพสต์/รีวิวล่าสุดและการเปิดให้บริการปัจจุบัน</x:v>
      </x:c>
      <x:c r="P454" s="25" t="n">
        <x:v>46315</x:v>
      </x:c>
      <x:c r="Q454" s="27" t="str">
        <x:v>ยังไม่ตรวจ</x:v>
      </x:c>
      <x:c r="R454" s="27" t="str">
        <x:v>รอติดต่อ</x:v>
      </x:c>
    </x:row>
    <x:row r="455" ht="76" customHeight="1">
      <x:c r="A455" s="24" t="str">
        <x:v>TMF-447</x:v>
      </x:c>
      <x:c r="B455" s="20" t="str">
        <x:v>พิพิธภัณฑ์หนังใหญ่วัดขนอน</x:v>
      </x:c>
      <x:c r="C455" s="20" t="str">
        <x:v>ราชบุรี</x:v>
      </x:c>
      <x:c r="D455" s="20" t="str">
        <x:v>คงไว้ในชุด 600</x:v>
      </x:c>
      <x:c r="E455" s="20" t="str">
        <x:v>พบหลายแหล่งสัมพันธ์กับชื่อ รอยืนยันการเปิด</x:v>
      </x:c>
      <x:c r="F455" s="20" t="str">
        <x:v>ยังไม่ยืนยันการเปิดให้บริการปัจจุบัน</x:v>
      </x:c>
      <x:c r="G455" s="26" t="n">
        <x:v>4</x:v>
      </x:c>
      <x:c r="H455" s="23" t="str"/>
      <x:c r="I455" s="23" t="str"/>
      <x:c r="J455" s="23" t="e">
        <x:f>HYPERLINK("https://th.trip.com/travel-guide/attraction/photharam/wat-khanon-nang-yai-museum-56038888?poiType=3&amp;scene=gsDestination","เปิดหน้ารีวิว 1")</x:f>
        <x:v>HYPERLINK is not implemented. linkLocation=https://th.trip.com/travel-guide/attraction/photharam/wat-khanon-nang-yai-museum-56038888?poiType=3&amp;scene=gsDestination, friendlyName=เปิดหน้ารีวิว 1</x:v>
      </x:c>
      <x:c r="K455" s="23" t="str"/>
      <x:c r="L455" s="23" t="e">
        <x:f>HYPERLINK("https://www.museumthailand.com/museum/nang-yai-wat-khanon-national-museum","เปิดเว็บเพิ่ม 1")</x:f>
        <x:v>HYPERLINK is not implemented. linkLocation=https://www.museumthailand.com/museum/nang-yai-wat-khanon-national-museum, friendlyName=เปิดเว็บเพิ่ม 1</x:v>
      </x:c>
      <x:c r="M455" s="23" t="e">
        <x:f>HYPERLINK("https://www.touronthai.com/article/697","เปิดเว็บเพิ่ม 2")</x:f>
        <x:v>HYPERLINK is not implemented. linkLocation=https://www.touronthai.com/article/697, friendlyName=เปิดเว็บเพิ่ม 2</x:v>
      </x:c>
      <x:c r="N455" s="20" t="str">
        <x:v>ยังไม่ยืนยัน</x:v>
      </x:c>
      <x:c r="O45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55" s="25" t="n">
        <x:v>46315</x:v>
      </x:c>
      <x:c r="Q455" s="27" t="str">
        <x:v>ยังไม่ตรวจ</x:v>
      </x:c>
      <x:c r="R455" s="27" t="str">
        <x:v>รอติดต่อ</x:v>
      </x:c>
    </x:row>
    <x:row r="456" ht="76" customHeight="1">
      <x:c r="A456" s="24" t="str">
        <x:v>TMF-448</x:v>
      </x:c>
      <x:c r="B456" s="20" t="str">
        <x:v>เขากาโรส</x:v>
      </x:c>
      <x:c r="C456" s="20" t="str">
        <x:v>กระบี่</x:v>
      </x:c>
      <x:c r="D456" s="20" t="str">
        <x:v>คงไว้ในชุด 600</x:v>
      </x:c>
      <x:c r="E456" s="20" t="str">
        <x:v>พบหลายแหล่งสัมพันธ์กับชื่อ รอยืนยันการเปิด</x:v>
      </x:c>
      <x:c r="F456" s="20" t="str">
        <x:v>ยังไม่ยืนยันการเปิดให้บริการปัจจุบัน</x:v>
      </x:c>
      <x:c r="G456" s="26" t="n">
        <x:v>3</x:v>
      </x:c>
      <x:c r="H456" s="23" t="str"/>
      <x:c r="I456" s="23" t="str"/>
      <x:c r="J456" s="23" t="str"/>
      <x:c r="K456" s="23" t="str"/>
      <x:c r="L456" s="23" t="e">
        <x:f>HYPERLINK("https://www.tatnewsthai.org/articles-detail/31","เปิดเว็บเพิ่ม 1")</x:f>
        <x:v>HYPERLINK is not implemented. linkLocation=https://www.tatnewsthai.org/articles-detail/31, friendlyName=เปิดเว็บเพิ่ม 1</x:v>
      </x:c>
      <x:c r="M456" s="23" t="e">
        <x:f>HYPERLINK("https://salehere.co.th/articles/travel-railay-beach","เปิดเว็บเพิ่ม 2")</x:f>
        <x:v>HYPERLINK is not implemented. linkLocation=https://salehere.co.th/articles/travel-railay-beach, friendlyName=เปิดเว็บเพิ่ม 2</x:v>
      </x:c>
      <x:c r="N456" s="20" t="str">
        <x:v>ยังไม่ยืนยัน</x:v>
      </x:c>
      <x:c r="O456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56" s="25" t="n">
        <x:v>46315</x:v>
      </x:c>
      <x:c r="Q456" s="27" t="str">
        <x:v>ยังไม่ตรวจ</x:v>
      </x:c>
      <x:c r="R456" s="27" t="str">
        <x:v>รอติดต่อ</x:v>
      </x:c>
    </x:row>
    <x:row r="457" ht="76" customHeight="1">
      <x:c r="A457" s="24" t="str">
        <x:v>TMF-449</x:v>
      </x:c>
      <x:c r="B457" s="20" t="str">
        <x:v>3Howw Hostel Sukhumvit 21</x:v>
      </x:c>
      <x:c r="C457" s="20" t="str">
        <x:v>กรุงเทพมหานคร</x:v>
      </x:c>
      <x:c r="D457" s="20" t="str">
        <x:v>คงไว้ในชุด 600</x:v>
      </x:c>
      <x:c r="E457" s="20" t="str">
        <x:v>พบหลายแหล่งสัมพันธ์กับชื่อ รอยืนยันการเปิด</x:v>
      </x:c>
      <x:c r="F457" s="20" t="str">
        <x:v>ยังไม่ยืนยันการเปิดให้บริการปัจจุบัน</x:v>
      </x:c>
      <x:c r="G457" s="26" t="n">
        <x:v>5</x:v>
      </x:c>
      <x:c r="H457" s="23" t="str"/>
      <x:c r="I457" s="23" t="str"/>
      <x:c r="J457" s="23" t="e">
        <x:f>HYPERLINK("https://www.google.co.th/travel/hotels/entity/ChoI1_-gztyPq8OEARoNL2cvMTFiYnJuODFqMhAB?g2lb=2502548%2C4258168%2C4260007%2C4274032%2C4305595%2C4306835%2C4317915%2C4328159%2C4330862%2C4364504%2C4366684%2C4371334%2C4381263%2C4386665%2C4395590%2C4397007%2C4398672%2C4401769%2C4403881%2C4270859%2C4284970%2C4316256&amp;gl=th&amp;gsas=1&amp;hl=en&amp;rp=OAHCAhwiGg0A6MVFEhMI0qvsrpHklgMVZdyfCR3qgQLi&amp;ts=CAEaIAoCGgASGhIUCgcI6g8QChgZEgcI6g8QChgeGAUyAhAAKgkKBToDVEhCGgA&amp;un=1","เปิดหน้ารีวิว 1")</x:f>
        <x:v>HYPERLINK is not implemented. linkLocation=https://www.google.co.th/travel/hotels/entity/ChoI1_-gztyPq8OEARoNL2cvMTFiYnJuODFqMhAB?g2lb=2502548%2C4258168%2C4260007%2C4274032%2C4305595%2C4306835%2C4317915%2C4328159%2C4330862%2C4364504%2C4366684%2C4371334%2C4381263%2C4386665%2C4395590%2C4397007%2C4398672%2C4401769%2C4403881%2C4270859%2C4284970%2C4316256&amp;gl=th&amp;gsas=1&amp;hl=en&amp;rp=OAHCAhwiGg0A6MVFEhMI0qvsrpHklgMVZdyfCR3qgQLi&amp;ts=CAEaIAoCGgASGhIUCgcI6g8QChgZEgcI6g8QChgeGAUyAhAAKgkKBToDVEhCGgA&amp;un=1, friendlyName=เปิดหน้ารีวิว 1</x:v>
      </x:c>
      <x:c r="K457" s="23" t="e">
        <x:f>HYPERLINK("https://www.booking.com/hotel/th/3howwhostel-sukhumvit21.html","เปิดหน้ารีวิว 2")</x:f>
        <x:v>HYPERLINK is not implemented. linkLocation=https://www.booking.com/hotel/th/3howwhostel-sukhumvit21.html, friendlyName=เปิดหน้ารีวิว 2</x:v>
      </x:c>
      <x:c r="L457" s="23" t="str"/>
      <x:c r="M457" s="23" t="str"/>
      <x:c r="N457" s="20" t="str">
        <x:v>ยังไม่ยืนยัน</x:v>
      </x:c>
      <x:c r="O45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57" s="25" t="n">
        <x:v>46315</x:v>
      </x:c>
      <x:c r="Q457" s="27" t="str">
        <x:v>ยังไม่ตรวจ</x:v>
      </x:c>
      <x:c r="R457" s="27" t="str">
        <x:v>รอติดต่อ</x:v>
      </x:c>
    </x:row>
    <x:row r="458" ht="96" customHeight="1">
      <x:c r="A458" s="24" t="str">
        <x:v>TMF-450</x:v>
      </x:c>
      <x:c r="B458" s="20" t="str">
        <x:v>63 แบงค็อก โฮสเต็ล</x:v>
      </x:c>
      <x:c r="C458" s="20" t="str">
        <x:v>กรุงเทพมหานคร</x:v>
      </x:c>
      <x:c r="D458" s="20" t="str">
        <x:v>คงไว้ในชุด 600</x:v>
      </x:c>
      <x:c r="E458" s="20" t="str">
        <x:v>หลักฐานไม่พอ รอยืนยันการเปิด</x:v>
      </x:c>
      <x:c r="F458" s="20" t="str">
        <x:v>ยังไม่ยืนยันการเปิดให้บริการปัจจุบัน</x:v>
      </x:c>
      <x:c r="G458" s="26" t="n">
        <x:v>1</x:v>
      </x:c>
      <x:c r="H458" s="23" t="str"/>
      <x:c r="I458" s="23" t="str"/>
      <x:c r="J458" s="23" t="str"/>
      <x:c r="K458" s="23" t="str"/>
      <x:c r="L458" s="23" t="str"/>
      <x:c r="M458" s="23" t="str"/>
      <x:c r="N458" s="20" t="str">
        <x:v>ยังไม่ยืนยัน</x:v>
      </x:c>
      <x:c r="O45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58" s="25" t="n">
        <x:v>46315</x:v>
      </x:c>
      <x:c r="Q458" s="27" t="str">
        <x:v>ยังไม่ตรวจ</x:v>
      </x:c>
      <x:c r="R458" s="27" t="str">
        <x:v>รอติดต่อ</x:v>
      </x:c>
    </x:row>
    <x:row r="459" ht="76" customHeight="1">
      <x:c r="A459" s="24" t="str">
        <x:v>TMF-451</x:v>
      </x:c>
      <x:c r="B459" s="20" t="str">
        <x:v>D&amp;D INN KHAOSAN</x:v>
      </x:c>
      <x:c r="C459" s="20" t="str">
        <x:v>กรุงเทพมหานคร</x:v>
      </x:c>
      <x:c r="D459" s="20" t="str">
        <x:v>คงไว้ในชุด 600</x:v>
      </x:c>
      <x:c r="E459" s="20" t="str">
        <x:v>พบหลายแหล่งสัมพันธ์กับชื่อ รอยืนยันการเปิด</x:v>
      </x:c>
      <x:c r="F459" s="20" t="str">
        <x:v>ยังไม่ยืนยันการเปิดให้บริการปัจจุบัน</x:v>
      </x:c>
      <x:c r="G459" s="26" t="n">
        <x:v>6</x:v>
      </x:c>
      <x:c r="H459" s="23" t="str"/>
      <x:c r="I459" s="23" t="str"/>
      <x:c r="J459" s="23" t="e">
        <x:f>HYPERLINK("https://wanderlog.com/th/place/details/1074862/dd-inn-khaosan","เปิดหน้ารีวิว 1")</x:f>
        <x:v>HYPERLINK is not implemented. linkLocation=https://wanderlog.com/th/place/details/1074862/dd-inn-khaosan, friendlyName=เปิดหน้ารีวิว 1</x:v>
      </x:c>
      <x:c r="K459" s="23" t="e">
        <x:f>HYPERLINK("https://www.trip.com/hotels/bangkok-hotel-detail-701453/dandd-inn-bangkok/review.html","เปิดหน้ารีวิว 2")</x:f>
        <x:v>HYPERLINK is not implemented. linkLocation=https://www.trip.com/hotels/bangkok-hotel-detail-701453/dandd-inn-bangkok/review.html, friendlyName=เปิดหน้ารีวิว 2</x:v>
      </x:c>
      <x:c r="L459" s="23" t="e">
        <x:f>HYPERLINK("https://www.thailandaddict.com/review-d-and-d-inn-khaosan-bangkok","เปิดเว็บเพิ่ม 1")</x:f>
        <x:v>HYPERLINK is not implemented. linkLocation=https://www.thailandaddict.com/review-d-and-d-inn-khaosan-bangkok, friendlyName=เปิดเว็บเพิ่ม 1</x:v>
      </x:c>
      <x:c r="M459" s="23" t="str"/>
      <x:c r="N459" s="20" t="str">
        <x:v>ยังไม่ยืนยัน</x:v>
      </x:c>
      <x:c r="O45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59" s="25" t="n">
        <x:v>46315</x:v>
      </x:c>
      <x:c r="Q459" s="27" t="str">
        <x:v>ยังไม่ตรวจ</x:v>
      </x:c>
      <x:c r="R459" s="27" t="str">
        <x:v>รอติดต่อ</x:v>
      </x:c>
    </x:row>
    <x:row r="460" ht="76" customHeight="1">
      <x:c r="A460" s="24" t="str">
        <x:v>TMF-452</x:v>
      </x:c>
      <x:c r="B460" s="20" t="str">
        <x:v>DT Hotel Pratunam (Dream Town Hotel)</x:v>
      </x:c>
      <x:c r="C460" s="20" t="str">
        <x:v>กรุงเทพมหานคร</x:v>
      </x:c>
      <x:c r="D460" s="20" t="str">
        <x:v>คงไว้ในชุด 600</x:v>
      </x:c>
      <x:c r="E460" s="20" t="str">
        <x:v>พบหลายแหล่งสัมพันธ์กับชื่อ รอยืนยันการเปิด</x:v>
      </x:c>
      <x:c r="F460" s="20" t="str">
        <x:v>ยังไม่ยืนยันการเปิดให้บริการปัจจุบัน</x:v>
      </x:c>
      <x:c r="G460" s="26" t="n">
        <x:v>7</x:v>
      </x:c>
      <x:c r="H460" s="23" t="str"/>
      <x:c r="I460" s="23" t="str"/>
      <x:c r="J460" s="23" t="e">
        <x:f>HYPERLINK("https://th.trip.com/hotels/bangkok-hotel-detail-701485/dt-hotel-pratunam/review.html","เปิดหน้ารีวิว 1")</x:f>
        <x:v>HYPERLINK is not implemented. linkLocation=https://th.trip.com/hotels/bangkok-hotel-detail-701485/dt-hotel-pratunam/review.html, friendlyName=เปิดหน้ารีวิว 1</x:v>
      </x:c>
      <x:c r="K460" s="23" t="e">
        <x:f>HYPERLINK("https://www.expedia.com/Bangkok-Hotels-DT-Hotel.h4393724.Hotel-Information","เปิดหน้ารีวิว 2")</x:f>
        <x:v>HYPERLINK is not implemented. linkLocation=https://www.expedia.com/Bangkok-Hotels-DT-Hotel.h4393724.Hotel-Information, friendlyName=เปิดหน้ารีวิว 2</x:v>
      </x:c>
      <x:c r="L460" s="23" t="e">
        <x:f>HYPERLINK("https://www.traveloka.com/th-th/hotel/thailand/dt-hotel----pratunam-dream-town-hotel-1000000378686","เปิดเว็บเพิ่ม 1")</x:f>
        <x:v>HYPERLINK is not implemented. linkLocation=https://www.traveloka.com/th-th/hotel/thailand/dt-hotel----pratunam-dream-town-hotel-1000000378686, friendlyName=เปิดเว็บเพิ่ม 1</x:v>
      </x:c>
      <x:c r="M460" s="23" t="e">
        <x:f>HYPERLINK("https://www.goibibo.com/hotels-international/dt-pratunam-dream-town-hotel-in-bangkok-7397325604800081134/","เปิดเว็บเพิ่ม 2")</x:f>
        <x:v>HYPERLINK is not implemented. linkLocation=https://www.goibibo.com/hotels-international/dt-pratunam-dream-town-hotel-in-bangkok-7397325604800081134/, friendlyName=เปิดเว็บเพิ่ม 2</x:v>
      </x:c>
      <x:c r="N460" s="20" t="str">
        <x:v>ยังไม่ยืนยัน</x:v>
      </x:c>
      <x:c r="O46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0" s="25" t="n">
        <x:v>46315</x:v>
      </x:c>
      <x:c r="Q460" s="27" t="str">
        <x:v>ยังไม่ตรวจ</x:v>
      </x:c>
      <x:c r="R460" s="27" t="str">
        <x:v>รอติดต่อ</x:v>
      </x:c>
    </x:row>
    <x:row r="461" ht="76" customHeight="1">
      <x:c r="A461" s="24" t="str">
        <x:v>TMF-453</x:v>
      </x:c>
      <x:c r="B461" s="20" t="str">
        <x:v>GATEWAY HOTEL PRATUNAM</x:v>
      </x:c>
      <x:c r="C461" s="20" t="str">
        <x:v>กรุงเทพมหานคร</x:v>
      </x:c>
      <x:c r="D461" s="20" t="str">
        <x:v>คงไว้ในชุด 600</x:v>
      </x:c>
      <x:c r="E461" s="20" t="str">
        <x:v>พบหลายแหล่งสัมพันธ์กับชื่อ รอยืนยันการเปิด</x:v>
      </x:c>
      <x:c r="F461" s="20" t="str">
        <x:v>ยังไม่ยืนยันการเปิดให้บริการปัจจุบัน</x:v>
      </x:c>
      <x:c r="G461" s="26" t="n">
        <x:v>6</x:v>
      </x:c>
      <x:c r="H461" s="23" t="str"/>
      <x:c r="I461" s="23" t="str"/>
      <x:c r="J461" s="23" t="e">
        <x:f>HYPERLINK("https://www.booking.com/hotel/th/gateway.th.html","เปิดหน้ารีวิว 1")</x:f>
        <x:v>HYPERLINK is not implemented. linkLocation=https://www.booking.com/hotel/th/gateway.th.html, friendlyName=เปิดหน้ารีวิว 1</x:v>
      </x:c>
      <x:c r="K461" s="23" t="e">
        <x:f>HYPERLINK("https://th.tripadvisor.com/Hotel_Review-g293916-d5523585-Reviews-Gateway_Hotel_Pratunam-Bangkok.html","เปิดหน้ารีวิว 2")</x:f>
        <x:v>HYPERLINK is not implemented. linkLocation=https://th.tripadvisor.com/Hotel_Review-g293916-d5523585-Reviews-Gateway_Hotel_Pratunam-Bangkok.html, friendlyName=เปิดหน้ารีวิว 2</x:v>
      </x:c>
      <x:c r="L461" s="23" t="e">
        <x:f>HYPERLINK("https://www.travelocity.com/Bangkok-Hotels-Gateway-Hotel.h11301717.Hotel-Information","เปิดเว็บเพิ่ม 1")</x:f>
        <x:v>HYPERLINK is not implemented. linkLocation=https://www.travelocity.com/Bangkok-Hotels-Gateway-Hotel.h11301717.Hotel-Information, friendlyName=เปิดเว็บเพิ่ม 1</x:v>
      </x:c>
      <x:c r="M461" s="23" t="str"/>
      <x:c r="N461" s="20" t="str">
        <x:v>ยังไม่ยืนยัน</x:v>
      </x:c>
      <x:c r="O46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1" s="25" t="n">
        <x:v>46315</x:v>
      </x:c>
      <x:c r="Q461" s="27" t="str">
        <x:v>ยังไม่ตรวจ</x:v>
      </x:c>
      <x:c r="R461" s="27" t="str">
        <x:v>รอติดต่อ</x:v>
      </x:c>
    </x:row>
    <x:row r="462" ht="76" customHeight="1">
      <x:c r="A462" s="24" t="str">
        <x:v>TMF-454</x:v>
      </x:c>
      <x:c r="B462" s="20" t="str">
        <x:v>GO INN Khaosan Road</x:v>
      </x:c>
      <x:c r="C462" s="20" t="str">
        <x:v>กรุงเทพมหานคร</x:v>
      </x:c>
      <x:c r="D462" s="20" t="str">
        <x:v>คงไว้ในชุด 600</x:v>
      </x:c>
      <x:c r="E462" s="20" t="str">
        <x:v>พบหลายแหล่งสัมพันธ์กับชื่อ รอยืนยันการเปิด</x:v>
      </x:c>
      <x:c r="F462" s="20" t="str">
        <x:v>ยังไม่ยืนยันการเปิดให้บริการปัจจุบัน</x:v>
      </x:c>
      <x:c r="G462" s="26" t="n">
        <x:v>5</x:v>
      </x:c>
      <x:c r="H462" s="23" t="str"/>
      <x:c r="I462" s="23" t="str"/>
      <x:c r="J462" s="23" t="e">
        <x:f>HYPERLINK("https://www.booking.com/reviews/th/hotel/go-inn-khaosan-road.th.html","เปิดหน้ารีวิว 1")</x:f>
        <x:v>HYPERLINK is not implemented. linkLocation=https://www.booking.com/reviews/th/hotel/go-inn-khaosan-road.th.html, friendlyName=เปิดหน้ารีวิว 1</x:v>
      </x:c>
      <x:c r="K462" s="23" t="e">
        <x:f>HYPERLINK("https://www.google.co.th/travel/hotels/entity/ChoIwr_vm7_kqvnxARoNL2cvMTF0Zzdjc3YzdhAB?rp=OAHCAhwiGg0AAKhBEhMIjdehu-XNlQMVGuFLAx0K4DhX&amp;ts=CAEaBAoCGgAqBAoAGgA","เปิดหน้ารีวิว 2")</x:f>
        <x:v>HYPERLINK is not implemented. linkLocation=https://www.google.co.th/travel/hotels/entity/ChoIwr_vm7_kqvnxARoNL2cvMTF0Zzdjc3YzdhAB?rp=OAHCAhwiGg0AAKhBEhMIjdehu-XNlQMVGuFLAx0K4DhX&amp;ts=CAEaBAoCGgAqBAoAGgA, friendlyName=เปิดหน้ารีวิว 2</x:v>
      </x:c>
      <x:c r="L462" s="23" t="str"/>
      <x:c r="M462" s="23" t="str"/>
      <x:c r="N462" s="20" t="str">
        <x:v>ยังไม่ยืนยัน</x:v>
      </x:c>
      <x:c r="O46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2" s="25" t="n">
        <x:v>46315</x:v>
      </x:c>
      <x:c r="Q462" s="27" t="str">
        <x:v>ยังไม่ตรวจ</x:v>
      </x:c>
      <x:c r="R462" s="27" t="str">
        <x:v>รอติดต่อ</x:v>
      </x:c>
    </x:row>
    <x:row r="463" ht="76" customHeight="1">
      <x:c r="A463" s="24" t="str">
        <x:v>TMF-455</x:v>
      </x:c>
      <x:c r="B463" s="20" t="str">
        <x:v>Golden Inn Bangkok</x:v>
      </x:c>
      <x:c r="C463" s="20" t="str">
        <x:v>กรุงเทพมหานคร</x:v>
      </x:c>
      <x:c r="D463" s="20" t="str">
        <x:v>คงไว้ในชุด 600</x:v>
      </x:c>
      <x:c r="E463" s="20" t="str">
        <x:v>พบหลายแหล่งสัมพันธ์กับชื่อ รอยืนยันการเปิด</x:v>
      </x:c>
      <x:c r="F463" s="20" t="str">
        <x:v>ยังไม่ยืนยันการเปิดให้บริการปัจจุบัน</x:v>
      </x:c>
      <x:c r="G463" s="26" t="n">
        <x:v>4</x:v>
      </x:c>
      <x:c r="H463" s="23" t="e">
        <x:f>HYPERLINK("https://www.facebook.com/Admin2848/info?tab=overview","เปิดช่องทาง 1")</x:f>
        <x:v>HYPERLINK is not implemented. linkLocation=https://www.facebook.com/Admin2848/info?tab=overview, friendlyName=เปิดช่องทาง 1</x:v>
      </x:c>
      <x:c r="I463" s="23" t="e">
        <x:f>HYPERLINK("https://www.facebook.com/Admin2848/info?","เปิดช่องทาง 2")</x:f>
        <x:v>HYPERLINK is not implemented. linkLocation=https://www.facebook.com/Admin2848/info?, friendlyName=เปิดช่องทาง 2</x:v>
      </x:c>
      <x:c r="J463" s="23" t="e">
        <x:f>HYPERLINK("https://wanderlog.com/id/place/details/3981549/golden-inn","เปิดหน้ารีวิว 1")</x:f>
        <x:v>HYPERLINK is not implemented. linkLocation=https://wanderlog.com/id/place/details/3981549/golden-inn, friendlyName=เปิดหน้ารีวิว 1</x:v>
      </x:c>
      <x:c r="K463" s="23" t="e">
        <x:f>HYPERLINK("https://wanderlog.com/place/details/3981549/golden-inn","เปิดหน้ารีวิว 2")</x:f>
        <x:v>HYPERLINK is not implemented. linkLocation=https://wanderlog.com/place/details/3981549/golden-inn, friendlyName=เปิดหน้ารีวิว 2</x:v>
      </x:c>
      <x:c r="L463" s="23" t="e">
        <x:f>HYPERLINK("https://www.soidb.com/bangkok/apartment/golden-inn.html","เปิดเว็บเพิ่ม 1")</x:f>
        <x:v>HYPERLINK is not implemented. linkLocation=https://www.soidb.com/bangkok/apartment/golden-inn.html, friendlyName=เปิดเว็บเพิ่ม 1</x:v>
      </x:c>
      <x:c r="M463" s="23" t="e">
        <x:f>HYPERLINK("https://www.soidb.com/bangkok/hotel/golden-inn.html","เปิดเว็บเพิ่ม 2")</x:f>
        <x:v>HYPERLINK is not implemented. linkLocation=https://www.soidb.com/bangkok/hotel/golden-inn.html, friendlyName=เปิดเว็บเพิ่ม 2</x:v>
      </x:c>
      <x:c r="N463" s="20" t="str">
        <x:v>ยังไม่ยืนยัน</x:v>
      </x:c>
      <x:c r="O463" s="20" t="str">
        <x:v>ยังไม่ยืนยันวันที่โพสต์/รีวิวล่าสุดและการเปิดให้บริการปัจจุบัน</x:v>
      </x:c>
      <x:c r="P463" s="25" t="n">
        <x:v>46315</x:v>
      </x:c>
      <x:c r="Q463" s="27" t="str">
        <x:v>ยังไม่ตรวจ</x:v>
      </x:c>
      <x:c r="R463" s="27" t="str">
        <x:v>รอติดต่อ</x:v>
      </x:c>
    </x:row>
    <x:row r="464" ht="76" customHeight="1">
      <x:c r="A464" s="24" t="str">
        <x:v>TMF-456</x:v>
      </x:c>
      <x:c r="B464" s="20" t="str">
        <x:v>KC Place Hotel</x:v>
      </x:c>
      <x:c r="C464" s="20" t="str">
        <x:v>กรุงเทพมหานคร</x:v>
      </x:c>
      <x:c r="D464" s="20" t="str">
        <x:v>คงไว้ในชุด 600</x:v>
      </x:c>
      <x:c r="E464" s="20" t="str">
        <x:v>พบหลายแหล่งสัมพันธ์กับชื่อ รอยืนยันการเปิด</x:v>
      </x:c>
      <x:c r="F464" s="20" t="str">
        <x:v>ยังไม่ยืนยันการเปิดให้บริการปัจจุบัน</x:v>
      </x:c>
      <x:c r="G464" s="26" t="n">
        <x:v>5</x:v>
      </x:c>
      <x:c r="H464" s="23" t="str"/>
      <x:c r="I464" s="23" t="str"/>
      <x:c r="J464" s="23" t="e">
        <x:f>HYPERLINK("https://www.booking.com/hotel/th/kc-place.th.html","เปิดหน้ารีวิว 1")</x:f>
        <x:v>HYPERLINK is not implemented. linkLocation=https://www.booking.com/hotel/th/kc-place.th.html, friendlyName=เปิดหน้ารีวิว 1</x:v>
      </x:c>
      <x:c r="K464" s="23" t="e">
        <x:f>HYPERLINK("https://www.google.co.th/travel/hotels/entity/ChgItuOGvM_rxfyGARoLL2cvMXRnNGh2MTIQAQ","เปิดหน้ารีวิว 2")</x:f>
        <x:v>HYPERLINK is not implemented. linkLocation=https://www.google.co.th/travel/hotels/entity/ChgItuOGvM_rxfyGARoLL2cvMXRnNGh2MTIQAQ, friendlyName=เปิดหน้ารีวิว 2</x:v>
      </x:c>
      <x:c r="L464" s="23" t="str"/>
      <x:c r="M464" s="23" t="str"/>
      <x:c r="N464" s="20" t="str">
        <x:v>ยังไม่ยืนยัน</x:v>
      </x:c>
      <x:c r="O46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4" s="25" t="n">
        <x:v>46315</x:v>
      </x:c>
      <x:c r="Q464" s="27" t="str">
        <x:v>ยังไม่ตรวจ</x:v>
      </x:c>
      <x:c r="R464" s="27" t="str">
        <x:v>รอติดต่อ</x:v>
      </x:c>
    </x:row>
    <x:row r="465" ht="76" customHeight="1">
      <x:c r="A465" s="24" t="str">
        <x:v>TMF-457</x:v>
      </x:c>
      <x:c r="B465" s="20" t="str">
        <x:v>Khaosan Palace Hotel</x:v>
      </x:c>
      <x:c r="C465" s="20" t="str">
        <x:v>กรุงเทพมหานคร</x:v>
      </x:c>
      <x:c r="D465" s="20" t="str">
        <x:v>คงไว้ในชุด 600</x:v>
      </x:c>
      <x:c r="E465" s="20" t="str">
        <x:v>พบหลายแหล่งสัมพันธ์กับชื่อ รอยืนยันการเปิด</x:v>
      </x:c>
      <x:c r="F465" s="20" t="str">
        <x:v>ยังไม่ยืนยันการเปิดให้บริการปัจจุบัน</x:v>
      </x:c>
      <x:c r="G465" s="26" t="n">
        <x:v>7</x:v>
      </x:c>
      <x:c r="H465" s="23" t="str"/>
      <x:c r="I465" s="23" t="str"/>
      <x:c r="J465" s="23" t="e">
        <x:f>HYPERLINK("https://www.tripadvisor.com/Hotel_Review-g293916-d2194606-Reviews-Khaosan_Palace_Hotel-Bangkok.html","เปิดหน้ารีวิว 1")</x:f>
        <x:v>HYPERLINK is not implemented. linkLocation=https://www.tripadvisor.com/Hotel_Review-g293916-d2194606-Reviews-Khaosan_Palace_Hotel-Bangkok.html, friendlyName=เปิดหน้ารีวิว 1</x:v>
      </x:c>
      <x:c r="K465" s="23" t="e">
        <x:f>HYPERLINK("https://www.agoda.com/khaosan-palace-hotel/hotel/bangkok-th.html","เปิดหน้ารีวิว 2")</x:f>
        <x:v>HYPERLINK is not implemented. linkLocation=https://www.agoda.com/khaosan-palace-hotel/hotel/bangkok-th.html, friendlyName=เปิดหน้ารีวิว 2</x:v>
      </x:c>
      <x:c r="L465" s="23" t="e">
        <x:f>HYPERLINK("https://www.khaosanpalace.com/","เปิดเว็บเพิ่ม 1")</x:f>
        <x:v>HYPERLINK is not implemented. linkLocation=https://www.khaosanpalace.com/, friendlyName=เปิดเว็บเพิ่ม 1</x:v>
      </x:c>
      <x:c r="M465" s="23" t="str"/>
      <x:c r="N465" s="20" t="str">
        <x:v>ยังไม่ยืนยัน</x:v>
      </x:c>
      <x:c r="O46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5" s="25" t="n">
        <x:v>46315</x:v>
      </x:c>
      <x:c r="Q465" s="27" t="str">
        <x:v>ยังไม่ตรวจ</x:v>
      </x:c>
      <x:c r="R465" s="27" t="str">
        <x:v>รอติดต่อ</x:v>
      </x:c>
    </x:row>
    <x:row r="466" ht="76" customHeight="1">
      <x:c r="A466" s="24" t="str">
        <x:v>TMF-458</x:v>
      </x:c>
      <x:c r="B466" s="20" t="str">
        <x:v>Luck Hotel Huai Khwang MRT Ratchada</x:v>
      </x:c>
      <x:c r="C466" s="20" t="str">
        <x:v>กรุงเทพมหานคร</x:v>
      </x:c>
      <x:c r="D466" s="20" t="str">
        <x:v>คงไว้ในชุด 600</x:v>
      </x:c>
      <x:c r="E466" s="20" t="str">
        <x:v>พบหลายแหล่งสัมพันธ์กับชื่อ รอยืนยันการเปิด</x:v>
      </x:c>
      <x:c r="F466" s="20" t="str">
        <x:v>ยังไม่ยืนยันการเปิดให้บริการปัจจุบัน</x:v>
      </x:c>
      <x:c r="G466" s="26" t="n">
        <x:v>5</x:v>
      </x:c>
      <x:c r="H466" s="23" t="str"/>
      <x:c r="I466" s="23" t="str"/>
      <x:c r="J466" s="23" t="e">
        <x:f>HYPERLINK("https://www.google.co.th/travel/hotels/entity/ChoIlpzGw6n9q8rYARoNL2cvMTF5bHFkMHJ4MxAB","เปิดหน้ารีวิว 1")</x:f>
        <x:v>HYPERLINK is not implemented. linkLocation=https://www.google.co.th/travel/hotels/entity/ChoIlpzGw6n9q8rYARoNL2cvMTF5bHFkMHJ4MxAB, friendlyName=เปิดหน้ารีวิว 1</x:v>
      </x:c>
      <x:c r="K466" s="23" t="e">
        <x:f>HYPERLINK("https://www.agoda.com/luck-hotel-huai-khwang-mrt-ratchada/hotel/bangkok-th.html","เปิดหน้ารีวิว 2")</x:f>
        <x:v>HYPERLINK is not implemented. linkLocation=https://www.agoda.com/luck-hotel-huai-khwang-mrt-ratchada/hotel/bangkok-th.html, friendlyName=เปิดหน้ารีวิว 2</x:v>
      </x:c>
      <x:c r="L466" s="23" t="str"/>
      <x:c r="M466" s="23" t="str"/>
      <x:c r="N466" s="20" t="str">
        <x:v>ยังไม่ยืนยัน</x:v>
      </x:c>
      <x:c r="O46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6" s="25" t="n">
        <x:v>46315</x:v>
      </x:c>
      <x:c r="Q466" s="27" t="str">
        <x:v>ยังไม่ตรวจ</x:v>
      </x:c>
      <x:c r="R466" s="27" t="str">
        <x:v>รอติดต่อ</x:v>
      </x:c>
    </x:row>
    <x:row r="467" ht="76" customHeight="1">
      <x:c r="A467" s="24" t="str">
        <x:v>TMF-459</x:v>
      </x:c>
      <x:c r="B467" s="20" t="str">
        <x:v>Mode Sathorn Hotel Bangkok</x:v>
      </x:c>
      <x:c r="C467" s="20" t="str">
        <x:v>กรุงเทพมหานคร</x:v>
      </x:c>
      <x:c r="D467" s="20" t="str">
        <x:v>คงไว้ในชุด 600</x:v>
      </x:c>
      <x:c r="E467" s="20" t="str">
        <x:v>พบหลายแหล่งสัมพันธ์กับชื่อ รอยืนยันการเปิด</x:v>
      </x:c>
      <x:c r="F467" s="20" t="str">
        <x:v>ยังไม่ยืนยันการเปิดให้บริการปัจจุบัน</x:v>
      </x:c>
      <x:c r="G467" s="26" t="n">
        <x:v>6</x:v>
      </x:c>
      <x:c r="H467" s="23" t="str"/>
      <x:c r="I467" s="23" t="str"/>
      <x:c r="J467" s="23" t="e">
        <x:f>HYPERLINK("https://www.google.co.th/travel/hotels/entity/ChkIprvootb9vrUhGg0vZy8xMWwyM3B4Yms4EAE?gl=th&amp;hl=en&amp;rp=OAHCAhwiGg0AgKhEEhMIhNmggbHklgMVlyI1Bx2aKiVB&amp;ts=CAEaIAoCGgASGhIUCgcI6g8QCRgUEgcI6g8QCRgVGAEyAhAAKgkKBToDVEhCGgA","เปิดหน้ารีวิว 1")</x:f>
        <x:v>HYPERLINK is not implemented. linkLocation=https://www.google.co.th/travel/hotels/entity/ChkIprvootb9vrUhGg0vZy8xMWwyM3B4Yms4EAE?gl=th&amp;hl=en&amp;rp=OAHCAhwiGg0AgKhEEhMIhNmggbHklgMVlyI1Bx2aKiVB&amp;ts=CAEaIAoCGgASGhIUCgcI6g8QCRgUEgcI6g8QCRgVGAEyAhAAKgkKBToDVEhCGgA, friendlyName=เปิดหน้ารีวิว 1</x:v>
      </x:c>
      <x:c r="K467" s="23" t="e">
        <x:f>HYPERLINK("https://www.google.co.th/travel/hotels/entity/ChkIprvootb9vrUhGg0vZy8xMWwyM3B4Yms4EAE?rp=OAHCAhciFRITCKrw8tbe2JUDFZ32SwMdeC0rjA&amp;ts=CAESCgoCCAMKAggDEAAaIAoCGgASGhIUCgcI6g8QChgLEgcI6g8QChgOGAMyAhAAKgkKBToDVVNEGgA","เปิดหน้ารีวิว 2")</x:f>
        <x:v>HYPERLINK is not implemented. linkLocation=https://www.google.co.th/travel/hotels/entity/ChkIprvootb9vrUhGg0vZy8xMWwyM3B4Yms4EAE?rp=OAHCAhciFRITCKrw8tbe2JUDFZ32SwMdeC0rjA&amp;ts=CAESCgoCCAMKAggDEAAaIAoCGgASGhIUCgcI6g8QChgLEgcI6g8QChgOGAMyAhAAKgkKBToDVVNEGgA, friendlyName=เปิดหน้ารีวิว 2</x:v>
      </x:c>
      <x:c r="L467" s="23" t="str"/>
      <x:c r="M467" s="23" t="str"/>
      <x:c r="N467" s="20" t="str">
        <x:v>ยังไม่ยืนยัน</x:v>
      </x:c>
      <x:c r="O46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7" s="25" t="n">
        <x:v>46315</x:v>
      </x:c>
      <x:c r="Q467" s="27" t="str">
        <x:v>ยังไม่ตรวจ</x:v>
      </x:c>
      <x:c r="R467" s="27" t="str">
        <x:v>รอติดต่อ</x:v>
      </x:c>
    </x:row>
    <x:row r="468" ht="76" customHeight="1">
      <x:c r="A468" s="24" t="str">
        <x:v>TMF-460</x:v>
      </x:c>
      <x:c r="B468" s="20" t="str">
        <x:v>My Hotel Ratchada CMYK</x:v>
      </x:c>
      <x:c r="C468" s="20" t="str">
        <x:v>กรุงเทพมหานคร</x:v>
      </x:c>
      <x:c r="D468" s="20" t="str">
        <x:v>คงไว้ในชุด 600</x:v>
      </x:c>
      <x:c r="E468" s="20" t="str">
        <x:v>พบหลายแหล่งสัมพันธ์กับชื่อ รอยืนยันการเปิด</x:v>
      </x:c>
      <x:c r="F468" s="20" t="str">
        <x:v>ยังไม่ยืนยันการเปิดให้บริการปัจจุบัน</x:v>
      </x:c>
      <x:c r="G468" s="26" t="n">
        <x:v>2</x:v>
      </x:c>
      <x:c r="H468" s="23" t="str"/>
      <x:c r="I468" s="23" t="str"/>
      <x:c r="J468" s="23" t="e">
        <x:f>HYPERLINK("https://www.google.co.th/travel/hotels/entity/CgsI27KVhqi8kZX1ARAB","เปิดหน้ารีวิว 1")</x:f>
        <x:v>HYPERLINK is not implemented. linkLocation=https://www.google.co.th/travel/hotels/entity/CgsI27KVhqi8kZX1ARAB, friendlyName=เปิดหน้ารีวิว 1</x:v>
      </x:c>
      <x:c r="K468" s="23" t="e">
        <x:f>HYPERLINK("https://www.google.co.th/travel/hotels/entity/CgsI27KVhqi8kZX1ARAB?ts=CAESABogCgIaABIaEhQKBwjlDxAKGAsSBwjlDxAKGAwYATICEAAqCQoFOgNVU0QaAA","เปิดหน้ารีวิว 2")</x:f>
        <x:v>HYPERLINK is not implemented. linkLocation=https://www.google.co.th/travel/hotels/entity/CgsI27KVhqi8kZX1ARAB?ts=CAESABogCgIaABIaEhQKBwjlDxAKGAsSBwjlDxAKGAwYATICEAAqCQoFOgNVU0QaAA, friendlyName=เปิดหน้ารีวิว 2</x:v>
      </x:c>
      <x:c r="L468" s="23" t="str"/>
      <x:c r="M468" s="23" t="str"/>
      <x:c r="N468" s="20" t="str">
        <x:v>ยังไม่ยืนยัน</x:v>
      </x:c>
      <x:c r="O46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8" s="25" t="n">
        <x:v>46315</x:v>
      </x:c>
      <x:c r="Q468" s="27" t="str">
        <x:v>ยังไม่ตรวจ</x:v>
      </x:c>
      <x:c r="R468" s="27" t="str">
        <x:v>รอติดต่อ</x:v>
      </x:c>
    </x:row>
    <x:row r="469" ht="76" customHeight="1">
      <x:c r="A469" s="24" t="str">
        <x:v>TMF-461</x:v>
      </x:c>
      <x:c r="B469" s="20" t="str">
        <x:v>My Hotel ประตูน้ำ</x:v>
      </x:c>
      <x:c r="C469" s="20" t="str">
        <x:v>กรุงเทพมหานคร</x:v>
      </x:c>
      <x:c r="D469" s="20" t="str">
        <x:v>คงไว้ในชุด 600</x:v>
      </x:c>
      <x:c r="E469" s="20" t="str">
        <x:v>พบหลายแหล่งสัมพันธ์กับชื่อ รอยืนยันการเปิด</x:v>
      </x:c>
      <x:c r="F469" s="20" t="str">
        <x:v>ยังไม่ยืนยันการเปิดให้บริการปัจจุบัน</x:v>
      </x:c>
      <x:c r="G469" s="26" t="n">
        <x:v>3</x:v>
      </x:c>
      <x:c r="H469" s="23" t="str"/>
      <x:c r="I469" s="23" t="str"/>
      <x:c r="J469" s="23" t="e">
        <x:f>HYPERLINK("https://www.google.co.th/travel/hotels/entity/ChkIlZaEsKb8wfCpARoML2cvMTF4Z2t4cWY2EAE?rp=OAHCAhwiGg0AADBCEhMI4rD9q7zHlQMVofNLAx380BZ2&amp;ts=CAEaBAoCGgAqBAoAGgA","เปิดหน้ารีวิว 1")</x:f>
        <x:v>HYPERLINK is not implemented. linkLocation=https://www.google.co.th/travel/hotels/entity/ChkIlZaEsKb8wfCpARoML2cvMTF4Z2t4cWY2EAE?rp=OAHCAhwiGg0AADBCEhMI4rD9q7zHlQMVofNLAx380BZ2&amp;ts=CAEaBAoCGgAqBAoAGgA, friendlyName=เปิดหน้ารีวิว 1</x:v>
      </x:c>
      <x:c r="K469" s="23" t="e">
        <x:f>HYPERLINK("https://www.google.co.th/travel/hotels/entity/ChkIlZaEsKb8wfCpARoML2cvMTF4Z2t4cWY2EAE?ap=ugEGcHJpY2Vz&amp;q=%E0%B8%95%E0%B8%B3%E0%B8%9A%E0%B8%A5+%E0%B8%9A%E0%B8%B2%E0%B8%87%E0%B8%81%E0%B8%AD%E0%B8%9A%E0%B8%B1%E0%B8%A7&amp;qs=OAA&amp;ts=CAEaBAoCGgAqBAoAGgA","เปิดหน้ารีวิว 2")</x:f>
        <x:v>HYPERLINK is not implemented. linkLocation=https://www.google.co.th/travel/hotels/entity/ChkIlZaEsKb8wfCpARoML2cvMTF4Z2t4cWY2EAE?ap=ugEGcHJpY2Vz&amp;q=%E0%B8%95%E0%B8%B3%E0%B8%9A%E0%B8%A5+%E0%B8%9A%E0%B8%B2%E0%B8%87%E0%B8%81%E0%B8%AD%E0%B8%9A%E0%B8%B1%E0%B8%A7&amp;qs=OAA&amp;ts=CAEaBAoCGgAqBAoAGgA, friendlyName=เปิดหน้ารีวิว 2</x:v>
      </x:c>
      <x:c r="L469" s="23" t="e">
        <x:f>HYPERLINK("https://thai.beautihost.com/bangkok/agency/?q=my+hotel+pratunam","เปิดเว็บเพิ่ม 1")</x:f>
        <x:v>HYPERLINK is not implemented. linkLocation=https://thai.beautihost.com/bangkok/agency/?q=my+hotel+pratunam, friendlyName=เปิดเว็บเพิ่ม 1</x:v>
      </x:c>
      <x:c r="M469" s="23" t="str"/>
      <x:c r="N469" s="20" t="str">
        <x:v>ยังไม่ยืนยัน</x:v>
      </x:c>
      <x:c r="O46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69" s="25" t="n">
        <x:v>46315</x:v>
      </x:c>
      <x:c r="Q469" s="27" t="str">
        <x:v>ยังไม่ตรวจ</x:v>
      </x:c>
      <x:c r="R469" s="27" t="str">
        <x:v>รอติดต่อ</x:v>
      </x:c>
    </x:row>
    <x:row r="470" ht="76" customHeight="1">
      <x:c r="A470" s="24" t="str">
        <x:v>TMF-462</x:v>
      </x:c>
      <x:c r="B470" s="20" t="str">
        <x:v>Pratunam City Inn Hotel</x:v>
      </x:c>
      <x:c r="C470" s="20" t="str">
        <x:v>กรุงเทพมหานคร</x:v>
      </x:c>
      <x:c r="D470" s="20" t="str">
        <x:v>คงไว้ในชุด 600</x:v>
      </x:c>
      <x:c r="E470" s="20" t="str">
        <x:v>พบหลายแหล่งสัมพันธ์กับชื่อ รอยืนยันการเปิด</x:v>
      </x:c>
      <x:c r="F470" s="20" t="str">
        <x:v>ยังไม่ยืนยันการเปิดให้บริการปัจจุบัน</x:v>
      </x:c>
      <x:c r="G470" s="26" t="n">
        <x:v>3</x:v>
      </x:c>
      <x:c r="H470" s="23" t="str"/>
      <x:c r="I470" s="23" t="str"/>
      <x:c r="J470" s="23" t="e">
        <x:f>HYPERLINK("https://www.google.com/travel/hotels/entity/ChgIzq-zj66VtdiLARoLL2cvMXR4MTJ0cW0QAQ","เปิดหน้ารีวิว 1")</x:f>
        <x:v>HYPERLINK is not implemented. linkLocation=https://www.google.com/travel/hotels/entity/ChgIzq-zj66VtdiLARoLL2cvMXR4MTJ0cW0QAQ, friendlyName=เปิดหน้ารีวิว 1</x:v>
      </x:c>
      <x:c r="K470" s="23" t="e">
        <x:f>HYPERLINK("https://www.google.co.th/travel/hotels/entity/ChgIzq-zj66VtdiLARoLL2cvMXR4MTJ0cW0QAQ","เปิดหน้ารีวิว 2")</x:f>
        <x:v>HYPERLINK is not implemented. linkLocation=https://www.google.co.th/travel/hotels/entity/ChgIzq-zj66VtdiLARoLL2cvMXR4MTJ0cW0QAQ, friendlyName=เปิดหน้ารีวิว 2</x:v>
      </x:c>
      <x:c r="L470" s="23" t="e">
        <x:f>HYPERLINK("https://www.makemytrip.global/hotels-international/en-us/thailand/bangkok-hotels/review-of-pratunam_city_inn-details.html","เปิดเว็บเพิ่ม 1")</x:f>
        <x:v>HYPERLINK is not implemented. linkLocation=https://www.makemytrip.global/hotels-international/en-us/thailand/bangkok-hotels/review-of-pratunam_city_inn-details.html, friendlyName=เปิดเว็บเพิ่ม 1</x:v>
      </x:c>
      <x:c r="M470" s="23" t="str"/>
      <x:c r="N470" s="20" t="str">
        <x:v>ยังไม่ยืนยัน</x:v>
      </x:c>
      <x:c r="O47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0" s="25" t="n">
        <x:v>46315</x:v>
      </x:c>
      <x:c r="Q470" s="27" t="str">
        <x:v>ยังไม่ตรวจ</x:v>
      </x:c>
      <x:c r="R470" s="27" t="str">
        <x:v>รอติดต่อ</x:v>
      </x:c>
    </x:row>
    <x:row r="471" ht="76" customHeight="1">
      <x:c r="A471" s="24" t="str">
        <x:v>TMF-463</x:v>
      </x:c>
      <x:c r="B471" s="20" t="str">
        <x:v>Public House Sukhumvit 31 Hotel</x:v>
      </x:c>
      <x:c r="C471" s="20" t="str">
        <x:v>กรุงเทพมหานคร</x:v>
      </x:c>
      <x:c r="D471" s="20" t="str">
        <x:v>คงไว้ในชุด 600</x:v>
      </x:c>
      <x:c r="E471" s="20" t="str">
        <x:v>พบหลายแหล่งสัมพันธ์กับชื่อ รอยืนยันการเปิด</x:v>
      </x:c>
      <x:c r="F471" s="20" t="str">
        <x:v>ยังไม่ยืนยันการเปิดให้บริการปัจจุบัน</x:v>
      </x:c>
      <x:c r="G471" s="26" t="n">
        <x:v>6</x:v>
      </x:c>
      <x:c r="H471" s="23" t="str"/>
      <x:c r="I471" s="23" t="str"/>
      <x:c r="J471" s="23" t="e">
        <x:f>HYPERLINK("https://www.google.co.th/travel/hotels/entity/ChoI3bTwoqW6lu3sARoNL2cvMTF0NXN4NGx6MBAB","เปิดหน้ารีวิว 1")</x:f>
        <x:v>HYPERLINK is not implemented. linkLocation=https://www.google.co.th/travel/hotels/entity/ChoI3bTwoqW6lu3sARoNL2cvMTF0NXN4NGx6MBAB, friendlyName=เปิดหน้ารีวิว 1</x:v>
      </x:c>
      <x:c r="K471" s="23" t="str"/>
      <x:c r="L471" s="23" t="e">
        <x:f>HYPERLINK("https://www.trustindex.io/reviews/publichouse-hotels.com","เปิดเว็บเพิ่ม 1")</x:f>
        <x:v>HYPERLINK is not implemented. linkLocation=https://www.trustindex.io/reviews/publichouse-hotels.com, friendlyName=เปิดเว็บเพิ่ม 1</x:v>
      </x:c>
      <x:c r="M471" s="23" t="e">
        <x:f>HYPERLINK("https://web.hungryhub.com/en/restaurants/open-bar-l-public-house-sukhumvit-31-hotel-bangkok/reviews/mkeGj","เปิดเว็บเพิ่ม 2")</x:f>
        <x:v>HYPERLINK is not implemented. linkLocation=https://web.hungryhub.com/en/restaurants/open-bar-l-public-house-sukhumvit-31-hotel-bangkok/reviews/mkeGj, friendlyName=เปิดเว็บเพิ่ม 2</x:v>
      </x:c>
      <x:c r="N471" s="20" t="str">
        <x:v>ยังไม่ยืนยัน</x:v>
      </x:c>
      <x:c r="O47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1" s="25" t="n">
        <x:v>46315</x:v>
      </x:c>
      <x:c r="Q471" s="27" t="str">
        <x:v>ยังไม่ตรวจ</x:v>
      </x:c>
      <x:c r="R471" s="27" t="str">
        <x:v>รอติดต่อ</x:v>
      </x:c>
    </x:row>
    <x:row r="472" ht="76" customHeight="1">
      <x:c r="A472" s="24" t="str">
        <x:v>TMF-464</x:v>
      </x:c>
      <x:c r="B472" s="20" t="str">
        <x:v>RoomQuest Bangkok Sukhumvit 50</x:v>
      </x:c>
      <x:c r="C472" s="20" t="str">
        <x:v>กรุงเทพมหานคร</x:v>
      </x:c>
      <x:c r="D472" s="20" t="str">
        <x:v>คงไว้ในชุด 600</x:v>
      </x:c>
      <x:c r="E472" s="20" t="str">
        <x:v>พบหลายแหล่งสัมพันธ์กับชื่อ รอยืนยันการเปิด</x:v>
      </x:c>
      <x:c r="F472" s="20" t="str">
        <x:v>ยังไม่ยืนยันการเปิดให้บริการปัจจุบัน</x:v>
      </x:c>
      <x:c r="G472" s="26" t="n">
        <x:v>4</x:v>
      </x:c>
      <x:c r="H472" s="23" t="str"/>
      <x:c r="I472" s="23" t="str"/>
      <x:c r="J472" s="23" t="e">
        <x:f>HYPERLINK("https://www.tripadvisor.co.uk/Hotel_Review-g293916-d26873701-Reviews-RoomQuest_Bangkok_Sukhumvit_50-Bangkok.html","เปิดหน้ารีวิว 1")</x:f>
        <x:v>HYPERLINK is not implemented. linkLocation=https://www.tripadvisor.co.uk/Hotel_Review-g293916-d26873701-Reviews-RoomQuest_Bangkok_Sukhumvit_50-Bangkok.html, friendlyName=เปิดหน้ารีวิว 1</x:v>
      </x:c>
      <x:c r="K472" s="23" t="e">
        <x:f>HYPERLINK("https://www.tripadvisor.de/Hotel_Review-g293916-d26873701-Reviews-RoomQuest_Bangkok_Sukhumvit_50-Bangkok.html","เปิดหน้ารีวิว 2")</x:f>
        <x:v>HYPERLINK is not implemented. linkLocation=https://www.tripadvisor.de/Hotel_Review-g293916-d26873701-Reviews-RoomQuest_Bangkok_Sukhumvit_50-Bangkok.html, friendlyName=เปิดหน้ารีวิว 2</x:v>
      </x:c>
      <x:c r="L472" s="23" t="e">
        <x:f>HYPERLINK("https://dinogo.com/hotels/21218-roomquest-bangkok-sukhumvit-50","เปิดเว็บเพิ่ม 1")</x:f>
        <x:v>HYPERLINK is not implemented. linkLocation=https://dinogo.com/hotels/21218-roomquest-bangkok-sukhumvit-50, friendlyName=เปิดเว็บเพิ่ม 1</x:v>
      </x:c>
      <x:c r="M472" s="23" t="e">
        <x:f>HYPERLINK("https://wheretorest.com/thailand/phra-khanong/roomquest-bangkok-sukhumvit-50","เปิดเว็บเพิ่ม 2")</x:f>
        <x:v>HYPERLINK is not implemented. linkLocation=https://wheretorest.com/thailand/phra-khanong/roomquest-bangkok-sukhumvit-50, friendlyName=เปิดเว็บเพิ่ม 2</x:v>
      </x:c>
      <x:c r="N472" s="20" t="str">
        <x:v>ยังไม่ยืนยัน</x:v>
      </x:c>
      <x:c r="O47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2" s="25" t="n">
        <x:v>46315</x:v>
      </x:c>
      <x:c r="Q472" s="27" t="str">
        <x:v>ยังไม่ตรวจ</x:v>
      </x:c>
      <x:c r="R472" s="27" t="str">
        <x:v>รอติดต่อ</x:v>
      </x:c>
    </x:row>
    <x:row r="473" ht="76" customHeight="1">
      <x:c r="A473" s="24" t="str">
        <x:v>TMF-465</x:v>
      </x:c>
      <x:c r="B473" s="20" t="str">
        <x:v>Sleep Withinn Bangkok</x:v>
      </x:c>
      <x:c r="C473" s="20" t="str">
        <x:v>กรุงเทพมหานคร</x:v>
      </x:c>
      <x:c r="D473" s="20" t="str">
        <x:v>คงไว้ในชุด 600</x:v>
      </x:c>
      <x:c r="E473" s="20" t="str">
        <x:v>พบหลายแหล่งสัมพันธ์กับชื่อ รอยืนยันการเปิด</x:v>
      </x:c>
      <x:c r="F473" s="20" t="str">
        <x:v>ยังไม่ยืนยันการเปิดให้บริการปัจจุบัน</x:v>
      </x:c>
      <x:c r="G473" s="26" t="n">
        <x:v>3</x:v>
      </x:c>
      <x:c r="H473" s="23" t="str"/>
      <x:c r="I473" s="23" t="str"/>
      <x:c r="J473" s="23" t="e">
        <x:f>HYPERLINK("https://www.google.co.th/travel/hotels/entity/ChgI2Ke1nvHl7o2HARoLL2cvMXRka3pfbDEQAQ","เปิดหน้ารีวิว 1")</x:f>
        <x:v>HYPERLINK is not implemented. linkLocation=https://www.google.co.th/travel/hotels/entity/ChgI2Ke1nvHl7o2HARoLL2cvMXRka3pfbDEQAQ, friendlyName=เปิดหน้ารีวิว 1</x:v>
      </x:c>
      <x:c r="K473" s="23" t="e">
        <x:f>HYPERLINK("https://www.booking.com/hotel/th/sleep-withinn.html","เปิดหน้ารีวิว 2")</x:f>
        <x:v>HYPERLINK is not implemented. linkLocation=https://www.booking.com/hotel/th/sleep-withinn.html, friendlyName=เปิดหน้ารีวิว 2</x:v>
      </x:c>
      <x:c r="L473" s="23" t="str"/>
      <x:c r="M473" s="23" t="str"/>
      <x:c r="N473" s="20" t="str">
        <x:v>ยังไม่ยืนยัน</x:v>
      </x:c>
      <x:c r="O47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3" s="25" t="n">
        <x:v>46315</x:v>
      </x:c>
      <x:c r="Q473" s="27" t="str">
        <x:v>ยังไม่ตรวจ</x:v>
      </x:c>
      <x:c r="R473" s="27" t="str">
        <x:v>รอติดต่อ</x:v>
      </x:c>
    </x:row>
    <x:row r="474" ht="76" customHeight="1">
      <x:c r="A474" s="24" t="str">
        <x:v>TMF-466</x:v>
      </x:c>
      <x:c r="B474" s="20" t="str">
        <x:v>The Quarter Saladaeng by UHG</x:v>
      </x:c>
      <x:c r="C474" s="20" t="str">
        <x:v>กรุงเทพมหานคร</x:v>
      </x:c>
      <x:c r="D474" s="20" t="str">
        <x:v>คงไว้ในชุด 600</x:v>
      </x:c>
      <x:c r="E474" s="20" t="str">
        <x:v>พบหลายแหล่งสัมพันธ์กับชื่อ รอยืนยันการเปิด</x:v>
      </x:c>
      <x:c r="F474" s="20" t="str">
        <x:v>ยังไม่ยืนยันการเปิดให้บริการปัจจุบัน</x:v>
      </x:c>
      <x:c r="G474" s="26" t="n">
        <x:v>6</x:v>
      </x:c>
      <x:c r="H474" s="23" t="str"/>
      <x:c r="I474" s="23" t="str"/>
      <x:c r="J474" s="23" t="e">
        <x:f>HYPERLINK("https://www.booking.com/hotel/th/siri-sathorn.th.html","เปิดหน้ารีวิว 1")</x:f>
        <x:v>HYPERLINK is not implemented. linkLocation=https://www.booking.com/hotel/th/siri-sathorn.th.html, friendlyName=เปิดหน้ารีวิว 1</x:v>
      </x:c>
      <x:c r="K474" s="23" t="e">
        <x:f>HYPERLINK("https://www.tripadvisor.com/Hotel_Review-g293916-d553900-Reviews-The_Quarter_Saladaeng_By_UHG-Bangkok.html","เปิดหน้ารีวิว 2")</x:f>
        <x:v>HYPERLINK is not implemented. linkLocation=https://www.tripadvisor.com/Hotel_Review-g293916-d553900-Reviews-The_Quarter_Saladaeng_By_UHG-Bangkok.html, friendlyName=เปิดหน้ารีวิว 2</x:v>
      </x:c>
      <x:c r="L474" s="23" t="str"/>
      <x:c r="M474" s="23" t="str"/>
      <x:c r="N474" s="20" t="str">
        <x:v>ยังไม่ยืนยัน</x:v>
      </x:c>
      <x:c r="O47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4" s="25" t="n">
        <x:v>46315</x:v>
      </x:c>
      <x:c r="Q474" s="27" t="str">
        <x:v>ยังไม่ตรวจ</x:v>
      </x:c>
      <x:c r="R474" s="27" t="str">
        <x:v>รอติดต่อ</x:v>
      </x:c>
    </x:row>
    <x:row r="475" ht="76" customHeight="1">
      <x:c r="A475" s="24" t="str">
        <x:v>TMF-467</x:v>
      </x:c>
      <x:c r="B475" s="20" t="str">
        <x:v>Tim Mansion Bangkok Hotel</x:v>
      </x:c>
      <x:c r="C475" s="20" t="str">
        <x:v>กรุงเทพมหานคร</x:v>
      </x:c>
      <x:c r="D475" s="20" t="str">
        <x:v>คงไว้ในชุด 600</x:v>
      </x:c>
      <x:c r="E475" s="20" t="str">
        <x:v>พบหลายแหล่งสัมพันธ์กับชื่อ รอยืนยันการเปิด</x:v>
      </x:c>
      <x:c r="F475" s="20" t="str">
        <x:v>ยังไม่ยืนยันการเปิดให้บริการปัจจุบัน</x:v>
      </x:c>
      <x:c r="G475" s="26" t="n">
        <x:v>5</x:v>
      </x:c>
      <x:c r="H475" s="23" t="str"/>
      <x:c r="I475" s="23" t="str"/>
      <x:c r="J475" s="23" t="e">
        <x:f>HYPERLINK("https://www.google.co.th/travel/hotels/entity/ChkIz7CP0_DF4NWxARoML2cvMTJoa2ZnX3BxEAE?rp=OAHCAhwiGg0AAJhBEhMIlKSZxuHflQMVCv5LAx1l3RQR&amp;ts=CAEaBAoCGgAqBAoAGgA","เปิดหน้ารีวิว 1")</x:f>
        <x:v>HYPERLINK is not implemented. linkLocation=https://www.google.co.th/travel/hotels/entity/ChkIz7CP0_DF4NWxARoML2cvMTJoa2ZnX3BxEAE?rp=OAHCAhwiGg0AAJhBEhMIlKSZxuHflQMVCv5LAx1l3RQR&amp;ts=CAEaBAoCGgAqBAoAGgA, friendlyName=เปิดหน้ารีวิว 1</x:v>
      </x:c>
      <x:c r="K475" s="23" t="e">
        <x:f>HYPERLINK("https://www.google.com/travel/hotels/entity/CgsIz7CP0_DF4NWxARAB?gsas=1","เปิดหน้ารีวิว 2")</x:f>
        <x:v>HYPERLINK is not implemented. linkLocation=https://www.google.com/travel/hotels/entity/CgsIz7CP0_DF4NWxARAB?gsas=1, friendlyName=เปิดหน้ารีวิว 2</x:v>
      </x:c>
      <x:c r="L475" s="23" t="e">
        <x:f>HYPERLINK("https://www.gother.com/en-us/hotels/thailand/bangkok/phra-nakhon/tim-mansion-bangkok-hotel","เปิดเว็บเพิ่ม 1")</x:f>
        <x:v>HYPERLINK is not implemented. linkLocation=https://www.gother.com/en-us/hotels/thailand/bangkok/phra-nakhon/tim-mansion-bangkok-hotel, friendlyName=เปิดเว็บเพิ่ม 1</x:v>
      </x:c>
      <x:c r="M475" s="23" t="str"/>
      <x:c r="N475" s="20" t="str">
        <x:v>ยังไม่ยืนยัน</x:v>
      </x:c>
      <x:c r="O47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5" s="25" t="n">
        <x:v>46315</x:v>
      </x:c>
      <x:c r="Q475" s="27" t="str">
        <x:v>ยังไม่ตรวจ</x:v>
      </x:c>
      <x:c r="R475" s="27" t="str">
        <x:v>รอติดต่อ</x:v>
      </x:c>
    </x:row>
    <x:row r="476" ht="76" customHeight="1">
      <x:c r="A476" s="24" t="str">
        <x:v>TMF-468</x:v>
      </x:c>
      <x:c r="B476" s="20" t="str">
        <x:v>Vignette Collection Sindhorn Midtown Hotel Bangkok</x:v>
      </x:c>
      <x:c r="C476" s="20" t="str">
        <x:v>กรุงเทพมหานคร</x:v>
      </x:c>
      <x:c r="D476" s="20" t="str">
        <x:v>คงไว้ในชุด 600</x:v>
      </x:c>
      <x:c r="E476" s="20" t="str">
        <x:v>พบหลายแหล่งสัมพันธ์กับชื่อ รอยืนยันการเปิด</x:v>
      </x:c>
      <x:c r="F476" s="20" t="str">
        <x:v>ยังไม่ยืนยันการเปิดให้บริการปัจจุบัน</x:v>
      </x:c>
      <x:c r="G476" s="26" t="n">
        <x:v>3</x:v>
      </x:c>
      <x:c r="H476" s="23" t="str"/>
      <x:c r="I476" s="23" t="str"/>
      <x:c r="J476" s="23" t="e">
        <x:f>HYPERLINK("https://www.google.co.th/travel/hotels/entity/CgoIqqn058G0t4QgEAE?ts=CAEaBAoCGgAqBAoAGgA","เปิดหน้ารีวิว 1")</x:f>
        <x:v>HYPERLINK is not implemented. linkLocation=https://www.google.co.th/travel/hotels/entity/CgoIqqn058G0t4QgEAE?ts=CAEaBAoCGgAqBAoAGgA, friendlyName=เปิดหน้ารีวิว 1</x:v>
      </x:c>
      <x:c r="K476" s="23" t="str"/>
      <x:c r="L476" s="23" t="e">
        <x:f>HYPERLINK("https://www.sindhornmidtown.com/vignette-collection","เปิดเว็บเพิ่ม 1")</x:f>
        <x:v>HYPERLINK is not implemented. linkLocation=https://www.sindhornmidtown.com/vignette-collection, friendlyName=เปิดเว็บเพิ่ม 1</x:v>
      </x:c>
      <x:c r="M476" s="23" t="e">
        <x:f>HYPERLINK("https://www.sindhornmidtown.com/dine/sip-and-co/sip-and-co-to-go","เปิดเว็บเพิ่ม 2")</x:f>
        <x:v>HYPERLINK is not implemented. linkLocation=https://www.sindhornmidtown.com/dine/sip-and-co/sip-and-co-to-go, friendlyName=เปิดเว็บเพิ่ม 2</x:v>
      </x:c>
      <x:c r="N476" s="20" t="str">
        <x:v>ยังไม่ยืนยัน</x:v>
      </x:c>
      <x:c r="O47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6" s="25" t="n">
        <x:v>46315</x:v>
      </x:c>
      <x:c r="Q476" s="27" t="str">
        <x:v>ยังไม่ตรวจ</x:v>
      </x:c>
      <x:c r="R476" s="27" t="str">
        <x:v>รอติดต่อ</x:v>
      </x:c>
    </x:row>
    <x:row r="477" ht="76" customHeight="1">
      <x:c r="A477" s="24" t="str">
        <x:v>TMF-469</x:v>
      </x:c>
      <x:c r="B477" s="20" t="str">
        <x:v>ข้าวสารพาร์ครีสอร์ท</x:v>
      </x:c>
      <x:c r="C477" s="20" t="str">
        <x:v>กรุงเทพมหานคร</x:v>
      </x:c>
      <x:c r="D477" s="20" t="str">
        <x:v>คงไว้ในชุด 600</x:v>
      </x:c>
      <x:c r="E477" s="20" t="str">
        <x:v>พบหลายแหล่งสัมพันธ์กับชื่อ รอยืนยันการเปิด</x:v>
      </x:c>
      <x:c r="F477" s="20" t="str">
        <x:v>ยังไม่ยืนยันการเปิดให้บริการปัจจุบัน</x:v>
      </x:c>
      <x:c r="G477" s="26" t="n">
        <x:v>3</x:v>
      </x:c>
      <x:c r="H477" s="23" t="str"/>
      <x:c r="I477" s="23" t="str"/>
      <x:c r="J477" s="23" t="e">
        <x:f>HYPERLINK("https://www.google.co.th/travel/hotels/entity/ChgIrPaT1uqHna2gARoLL2cvMXR4MTJ0bDgQAQ?rp=OAHCAhwiGg0AAARCEhMIgaWPzam_iAMV1EOrAh2D9SPp&amp;ts=CAEaIgoCGgASHBIUCgcI6g8QAxgPEgcI6g8QAxgQGAEyAhAAOAEqBAoAGgA","เปิดหน้ารีวิว 1")</x:f>
        <x:v>HYPERLINK is not implemented. linkLocation=https://www.google.co.th/travel/hotels/entity/ChgIrPaT1uqHna2gARoLL2cvMXR4MTJ0bDgQAQ?rp=OAHCAhwiGg0AAARCEhMIgaWPzam_iAMV1EOrAh2D9SPp&amp;ts=CAEaIgoCGgASHBIUCgcI6g8QAxgPEgcI6g8QAxgQGAEyAhAAOAEqBAoAGgA, friendlyName=เปิดหน้ารีวิว 1</x:v>
      </x:c>
      <x:c r="K477" s="23" t="e">
        <x:f>HYPERLINK("https://www.google.co.th/travel/hotels/entity/ChgIrPaT1uqHna2gARoLL2cvMXR4MTJ0bDgQAQ?rp=OAHCAhwiGg0AAJBBEhMItvi9so7JlQMVtMZDAx2CECnU&amp;ts=CAEaBAoCGgAqBAoAGgA","เปิดหน้ารีวิว 2")</x:f>
        <x:v>HYPERLINK is not implemented. linkLocation=https://www.google.co.th/travel/hotels/entity/ChgIrPaT1uqHna2gARoLL2cvMXR4MTJ0bDgQAQ?rp=OAHCAhwiGg0AAJBBEhMItvi9so7JlQMVtMZDAx2CECnU&amp;ts=CAEaBAoCGgAqBAoAGgA, friendlyName=เปิดหน้ารีวิว 2</x:v>
      </x:c>
      <x:c r="L477" s="23" t="str"/>
      <x:c r="M477" s="23" t="str"/>
      <x:c r="N477" s="20" t="str">
        <x:v>ยังไม่ยืนยัน</x:v>
      </x:c>
      <x:c r="O47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7" s="25" t="n">
        <x:v>46315</x:v>
      </x:c>
      <x:c r="Q477" s="27" t="str">
        <x:v>ยังไม่ตรวจ</x:v>
      </x:c>
      <x:c r="R477" s="27" t="str">
        <x:v>รอติดต่อ</x:v>
      </x:c>
    </x:row>
    <x:row r="478" ht="76" customHeight="1">
      <x:c r="A478" s="24" t="str">
        <x:v>TMF-470</x:v>
      </x:c>
      <x:c r="B478" s="20" t="str">
        <x:v>ควอเทียร์ บาย มอนทราจ สุขุมวิท</x:v>
      </x:c>
      <x:c r="C478" s="20" t="str">
        <x:v>กรุงเทพมหานคร</x:v>
      </x:c>
      <x:c r="D478" s="20" t="str">
        <x:v>คงไว้ในชุด 600</x:v>
      </x:c>
      <x:c r="E478" s="20" t="str">
        <x:v>พบหลายแหล่งสัมพันธ์กับชื่อ รอยืนยันการเปิด</x:v>
      </x:c>
      <x:c r="F478" s="20" t="str">
        <x:v>ยังไม่ยืนยันการเปิดให้บริการปัจจุบัน</x:v>
      </x:c>
      <x:c r="G478" s="26" t="n">
        <x:v>9</x:v>
      </x:c>
      <x:c r="H478" s="23" t="str"/>
      <x:c r="I478" s="23" t="str"/>
      <x:c r="J478" s="23" t="e">
        <x:f>HYPERLINK("https://www.google.co.th/travel/hotels/entity/ChkInoWL4v3rlfIvGg0vZy8xMW1xOXlreGJuEAE","เปิดหน้ารีวิว 1")</x:f>
        <x:v>HYPERLINK is not implemented. linkLocation=https://www.google.co.th/travel/hotels/entity/ChkInoWL4v3rlfIvGg0vZy8xMW1xOXlreGJuEAE, friendlyName=เปิดหน้ารีวิว 1</x:v>
      </x:c>
      <x:c r="K478" s="23" t="e">
        <x:f>HYPERLINK("https://th.trip.com/hotels/bangkok-hotel-detail-81067775/quartier-by-montraj-sukhumvit-bangkok/review.html","เปิดหน้ารีวิว 2")</x:f>
        <x:v>HYPERLINK is not implemented. linkLocation=https://th.trip.com/hotels/bangkok-hotel-detail-81067775/quartier-by-montraj-sukhumvit-bangkok/review.html, friendlyName=เปิดหน้ารีวิว 2</x:v>
      </x:c>
      <x:c r="L478" s="23" t="e">
        <x:f>HYPERLINK("https://www.traveloka.com/th-th/hotel/thailand/the-quartier-hotel-phrom-phong---thonglor-bangkok-9000001036348","เปิดเว็บเพิ่ม 1")</x:f>
        <x:v>HYPERLINK is not implemented. linkLocation=https://www.traveloka.com/th-th/hotel/thailand/the-quartier-hotel-phrom-phong---thonglor-bangkok-9000001036348, friendlyName=เปิดเว็บเพิ่ม 1</x:v>
      </x:c>
      <x:c r="M478" s="23" t="e">
        <x:f>HYPERLINK("https://www.klook.com/th/hotels/detail/678890-quartier-by-montraj-sukhumvit/","เปิดเว็บเพิ่ม 2")</x:f>
        <x:v>HYPERLINK is not implemented. linkLocation=https://www.klook.com/th/hotels/detail/678890-quartier-by-montraj-sukhumvit/, friendlyName=เปิดเว็บเพิ่ม 2</x:v>
      </x:c>
      <x:c r="N478" s="20" t="str">
        <x:v>ยังไม่ยืนยัน</x:v>
      </x:c>
      <x:c r="O47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8" s="25" t="n">
        <x:v>46315</x:v>
      </x:c>
      <x:c r="Q478" s="27" t="str">
        <x:v>ยังไม่ตรวจ</x:v>
      </x:c>
      <x:c r="R478" s="27" t="str">
        <x:v>รอติดต่อ</x:v>
      </x:c>
    </x:row>
    <x:row r="479" ht="76" customHeight="1">
      <x:c r="A479" s="24" t="str">
        <x:v>TMF-471</x:v>
      </x:c>
      <x:c r="B479" s="20" t="str">
        <x:v>ฌานวิลล่า สุขุมวิท</x:v>
      </x:c>
      <x:c r="C479" s="20" t="str">
        <x:v>กรุงเทพมหานคร</x:v>
      </x:c>
      <x:c r="D479" s="20" t="str">
        <x:v>คงไว้ในชุด 600</x:v>
      </x:c>
      <x:c r="E479" s="20" t="str">
        <x:v>พบหลายแหล่งสัมพันธ์กับชื่อ รอยืนยันการเปิด</x:v>
      </x:c>
      <x:c r="F479" s="20" t="str">
        <x:v>ยังไม่ยืนยันการเปิดให้บริการปัจจุบัน</x:v>
      </x:c>
      <x:c r="G479" s="26" t="n">
        <x:v>4</x:v>
      </x:c>
      <x:c r="H479" s="23" t="str"/>
      <x:c r="I479" s="23" t="str"/>
      <x:c r="J479" s="23" t="e">
        <x:f>HYPERLINK("https://www.booking.com/hotel/th/shan-villas-sukhumvit.th.html","เปิดหน้ารีวิว 1")</x:f>
        <x:v>HYPERLINK is not implemented. linkLocation=https://www.booking.com/hotel/th/shan-villas-sukhumvit.th.html, friendlyName=เปิดหน้ารีวิว 1</x:v>
      </x:c>
      <x:c r="K479" s="23" t="e">
        <x:f>HYPERLINK("https://www.booking.com/hotel/th/shan-villas-sukhumvit.html?came_from_hotel_review=1&amp;keep_landing=1","เปิดหน้ารีวิว 2")</x:f>
        <x:v>HYPERLINK is not implemented. linkLocation=https://www.booking.com/hotel/th/shan-villas-sukhumvit.html?came_from_hotel_review=1&amp;keep_landing=1, friendlyName=เปิดหน้ารีวิว 2</x:v>
      </x:c>
      <x:c r="L479" s="23" t="e">
        <x:f>HYPERLINK("https://123reserve.com/thailand/bangkok/shan-villas-sukhumvit","เปิดเว็บเพิ่ม 1")</x:f>
        <x:v>HYPERLINK is not implemented. linkLocation=https://123reserve.com/thailand/bangkok/shan-villas-sukhumvit, friendlyName=เปิดเว็บเพิ่ม 1</x:v>
      </x:c>
      <x:c r="M479" s="23" t="str"/>
      <x:c r="N479" s="20" t="str">
        <x:v>ยังไม่ยืนยัน</x:v>
      </x:c>
      <x:c r="O47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79" s="25" t="n">
        <x:v>46315</x:v>
      </x:c>
      <x:c r="Q479" s="27" t="str">
        <x:v>ยังไม่ตรวจ</x:v>
      </x:c>
      <x:c r="R479" s="27" t="str">
        <x:v>รอติดต่อ</x:v>
      </x:c>
    </x:row>
    <x:row r="480" ht="76" customHeight="1">
      <x:c r="A480" s="24" t="str">
        <x:v>TMF-472</x:v>
      </x:c>
      <x:c r="B480" s="20" t="str">
        <x:v>นอนเยาวราช</x:v>
      </x:c>
      <x:c r="C480" s="20" t="str">
        <x:v>กรุงเทพมหานคร</x:v>
      </x:c>
      <x:c r="D480" s="20" t="str">
        <x:v>คงไว้ในชุด 600</x:v>
      </x:c>
      <x:c r="E480" s="20" t="str">
        <x:v>พบหลายแหล่งสัมพันธ์กับชื่อ รอยืนยันการเปิด</x:v>
      </x:c>
      <x:c r="F480" s="20" t="str">
        <x:v>ยังไม่ยืนยันการเปิดให้บริการปัจจุบัน</x:v>
      </x:c>
      <x:c r="G480" s="26" t="n">
        <x:v>3</x:v>
      </x:c>
      <x:c r="H480" s="23" t="str"/>
      <x:c r="I480" s="23" t="str"/>
      <x:c r="J480" s="23" t="e">
        <x:f>HYPERLINK("https://www.google.co.th/travel/hotels/entity/ChoI_MeMp-m5hvKbARoNL2cvMTFkZHpxYzZxYhAB?rp=OAHCAhwiGg0AAJBBEhMItvi9so7JlQMVtMZDAx2CECnU&amp;ts=CAEaBAoCGgAqBAoAGgA","เปิดหน้ารีวิว 1")</x:f>
        <x:v>HYPERLINK is not implemented. linkLocation=https://www.google.co.th/travel/hotels/entity/ChoI_MeMp-m5hvKbARoNL2cvMTFkZHpxYzZxYhAB?rp=OAHCAhwiGg0AAJBBEhMItvi9so7JlQMVtMZDAx2CECnU&amp;ts=CAEaBAoCGgAqBAoAGgA, friendlyName=เปิดหน้ารีวิว 1</x:v>
      </x:c>
      <x:c r="K480" s="23" t="str"/>
      <x:c r="L480" s="23" t="e">
        <x:f>HYPERLINK("https://www.thaithurkic.com/%E0%B9%82%E0%B8%A3%E0%B8%87%E0%B9%81%E0%B8%A3%E0%B8%A1%E0%B8%99%E0%B8%AD%E0%B8%99%E0%B9%80%E0%B8%A2%E0%B8%B2%E0%B8%A7%E0%B8%A3%E0%B8%B2%E0%B8%8A-097-456-4942","เปิดเว็บเพิ่ม 1")</x:f>
        <x:v>HYPERLINK is not implemented. linkLocation=https://www.thaithurkic.com/%E0%B9%82%E0%B8%A3%E0%B8%87%E0%B9%81%E0%B8%A3%E0%B8%A1%E0%B8%99%E0%B8%AD%E0%B8%99%E0%B9%80%E0%B8%A2%E0%B8%B2%E0%B8%A7%E0%B8%A3%E0%B8%B2%E0%B8%8A-097-456-4942, friendlyName=เปิดเว็บเพิ่ม 1</x:v>
      </x:c>
      <x:c r="M480" s="23" t="str"/>
      <x:c r="N480" s="20" t="str">
        <x:v>ยังไม่ยืนยัน</x:v>
      </x:c>
      <x:c r="O48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80" s="25" t="n">
        <x:v>46315</x:v>
      </x:c>
      <x:c r="Q480" s="27" t="str">
        <x:v>ยังไม่ตรวจ</x:v>
      </x:c>
      <x:c r="R480" s="27" t="str">
        <x:v>รอติดต่อ</x:v>
      </x:c>
    </x:row>
    <x:row r="481" ht="76" customHeight="1">
      <x:c r="A481" s="24" t="str">
        <x:v>TMF-473</x:v>
      </x:c>
      <x:c r="B481" s="20" t="str">
        <x:v>ฟูราม่า สีลม</x:v>
      </x:c>
      <x:c r="C481" s="20" t="str">
        <x:v>กรุงเทพมหานคร</x:v>
      </x:c>
      <x:c r="D481" s="20" t="str">
        <x:v>คงไว้ในชุด 600</x:v>
      </x:c>
      <x:c r="E481" s="20" t="str">
        <x:v>พบหลายแหล่งสัมพันธ์กับชื่อ รอยืนยันการเปิด</x:v>
      </x:c>
      <x:c r="F481" s="20" t="str">
        <x:v>ยังไม่ยืนยันการเปิดให้บริการปัจจุบัน</x:v>
      </x:c>
      <x:c r="G481" s="26" t="n">
        <x:v>4</x:v>
      </x:c>
      <x:c r="H481" s="23" t="str"/>
      <x:c r="I481" s="23" t="str"/>
      <x:c r="J481" s="23" t="e">
        <x:f>HYPERLINK("https://www.wongnai.com/reviews/8dc47028bc0f485eb49b7c4c15e3d9e7","เปิดหน้ารีวิว 1")</x:f>
        <x:v>HYPERLINK is not implemented. linkLocation=https://www.wongnai.com/reviews/8dc47028bc0f485eb49b7c4c15e3d9e7, friendlyName=เปิดหน้ารีวิว 1</x:v>
      </x:c>
      <x:c r="K481" s="23" t="e">
        <x:f>HYPERLINK("https://www.wongnai.com/reviews/5233979fef3f4fda8e9f89dc2a3d582d","เปิดหน้ารีวิว 2")</x:f>
        <x:v>HYPERLINK is not implemented. linkLocation=https://www.wongnai.com/reviews/5233979fef3f4fda8e9f89dc2a3d582d, friendlyName=เปิดหน้ารีวิว 2</x:v>
      </x:c>
      <x:c r="L481" s="23" t="e">
        <x:f>HYPERLINK("https://www.unithaitravel.com/__files/t/as/21813-UNITHASQ.pdf?202204181046=","เปิดเว็บเพิ่ม 1")</x:f>
        <x:v>HYPERLINK is not implemented. linkLocation=https://www.unithaitravel.com/__files/t/as/21813-UNITHASQ.pdf?202204181046=, friendlyName=เปิดเว็บเพิ่ม 1</x:v>
      </x:c>
      <x:c r="M481" s="23" t="str"/>
      <x:c r="N481" s="20" t="str">
        <x:v>ยังไม่ยืนยัน</x:v>
      </x:c>
      <x:c r="O48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81" s="25" t="n">
        <x:v>46315</x:v>
      </x:c>
      <x:c r="Q481" s="27" t="str">
        <x:v>ยังไม่ตรวจ</x:v>
      </x:c>
      <x:c r="R481" s="27" t="str">
        <x:v>รอติดต่อ</x:v>
      </x:c>
    </x:row>
    <x:row r="482" ht="76" customHeight="1">
      <x:c r="A482" s="24" t="str">
        <x:v>TMF-474</x:v>
      </x:c>
      <x:c r="B482" s="20" t="str">
        <x:v>รอยัลวิว รีสอร์ท รางน้ำ</x:v>
      </x:c>
      <x:c r="C482" s="20" t="str">
        <x:v>กรุงเทพมหานคร</x:v>
      </x:c>
      <x:c r="D482" s="20" t="str">
        <x:v>คงไว้ในชุด 600</x:v>
      </x:c>
      <x:c r="E482" s="20" t="str">
        <x:v>พบหลายแหล่งสัมพันธ์กับชื่อ รอยืนยันการเปิด</x:v>
      </x:c>
      <x:c r="F482" s="20" t="str">
        <x:v>ยังไม่ยืนยันการเปิดให้บริการปัจจุบัน</x:v>
      </x:c>
      <x:c r="G482" s="26" t="n">
        <x:v>4</x:v>
      </x:c>
      <x:c r="H482" s="23" t="str"/>
      <x:c r="I482" s="23" t="str"/>
      <x:c r="J482" s="23" t="e">
        <x:f>HYPERLINK("https://www.booking.com/reviews/th/hotel/royal-view-resort-rang-nam.th.html","เปิดหน้ารีวิว 1")</x:f>
        <x:v>HYPERLINK is not implemented. linkLocation=https://www.booking.com/reviews/th/hotel/royal-view-resort-rang-nam.th.html, friendlyName=เปิดหน้ารีวิว 1</x:v>
      </x:c>
      <x:c r="K482" s="23" t="e">
        <x:f>HYPERLINK("https://www.booking.com/hotel/th/royal-view-resort-rang-nam.th.html","เปิดหน้ารีวิว 2")</x:f>
        <x:v>HYPERLINK is not implemented. linkLocation=https://www.booking.com/hotel/th/royal-view-resort-rang-nam.th.html, friendlyName=เปิดหน้ารีวิว 2</x:v>
      </x:c>
      <x:c r="L482" s="23" t="e">
        <x:f>HYPERLINK("https://www.kayak.co.th/%E0%B8%81%E0%B8%A3%E0%B8%B8%E0%B8%87%E0%B9%80%E0%B8%97%E0%B8%9E%E0%B8%A1%E0%B8%AB%E0%B8%B2%E0%B8%99%E0%B8%84%E0%B8%A3-%E0%B9%82%E0%B8%A3%E0%B8%87%E0%B9%81%E0%B8%A3%E0%B8%A1-%E0%B8%A3%E0%B8%AD%E0%B8%A2%E0%B8%B1%E0%B8%A5%E0%B8%A7%E0%B8%B4%E0%B8%A7%E0%B8%A3%E0%B8%B5%E0%B8%AA%E0%B8%AD%E0%B8%A3%E0%B9%8C%E0%B8%97.307951.ksp","เปิดเว็บเพิ่ม 1")</x:f>
        <x:v>HYPERLINK is not implemented. linkLocation=https://www.kayak.co.th/%E0%B8%81%E0%B8%A3%E0%B8%B8%E0%B8%87%E0%B9%80%E0%B8%97%E0%B8%9E%E0%B8%A1%E0%B8%AB%E0%B8%B2%E0%B8%99%E0%B8%84%E0%B8%A3-%E0%B9%82%E0%B8%A3%E0%B8%87%E0%B9%81%E0%B8%A3%E0%B8%A1-%E0%B8%A3%E0%B8%AD%E0%B8%A2%E0%B8%B1%E0%B8%A5%E0%B8%A7%E0%B8%B4%E0%B8%A7%E0%B8%A3%E0%B8%B5%E0%B8%AA%E0%B8%AD%E0%B8%A3%E0%B9%8C%E0%B8%97.307951.ksp, friendlyName=เปิดเว็บเพิ่ม 1</x:v>
      </x:c>
      <x:c r="M482" s="23" t="e">
        <x:f>HYPERLINK("https://www.hotelscombined.co.th/Hotel/Royal_View_Resort.htm","เปิดเว็บเพิ่ม 2")</x:f>
        <x:v>HYPERLINK is not implemented. linkLocation=https://www.hotelscombined.co.th/Hotel/Royal_View_Resort.htm, friendlyName=เปิดเว็บเพิ่ม 2</x:v>
      </x:c>
      <x:c r="N482" s="20" t="str">
        <x:v>ยังไม่ยืนยัน</x:v>
      </x:c>
      <x:c r="O48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82" s="25" t="n">
        <x:v>46315</x:v>
      </x:c>
      <x:c r="Q482" s="27" t="str">
        <x:v>ยังไม่ตรวจ</x:v>
      </x:c>
      <x:c r="R482" s="27" t="str">
        <x:v>รอติดต่อ</x:v>
      </x:c>
    </x:row>
    <x:row r="483" ht="76" customHeight="1">
      <x:c r="A483" s="24" t="str">
        <x:v>TMF-475</x:v>
      </x:c>
      <x:c r="B483" s="20" t="str">
        <x:v>รัชดา บูทีค โฮเทล</x:v>
      </x:c>
      <x:c r="C483" s="20" t="str">
        <x:v>กรุงเทพมหานคร</x:v>
      </x:c>
      <x:c r="D483" s="20" t="str">
        <x:v>คงไว้ในชุด 600</x:v>
      </x:c>
      <x:c r="E483" s="20" t="str">
        <x:v>พบหลายแหล่งสัมพันธ์กับชื่อ รอยืนยันการเปิด</x:v>
      </x:c>
      <x:c r="F483" s="20" t="str">
        <x:v>ยังไม่ยืนยันการเปิดให้บริการปัจจุบัน</x:v>
      </x:c>
      <x:c r="G483" s="26" t="n">
        <x:v>3</x:v>
      </x:c>
      <x:c r="H483" s="23" t="str"/>
      <x:c r="I483" s="23" t="str"/>
      <x:c r="J483" s="23" t="e">
        <x:f>HYPERLINK("https://www.google.co.th/travel/hotels/entity/ChoIsf6R3LXmyLT1ARoNL2cvMTFmZnYyenF2NBAB?rp=OAHCAhwiGg0AANBBEhMI08OWm4nIiAMVakKrAh2Pyihm&amp;ts=CAEaIgoCGgASHBIUCgcI6g8QChgeEgcI6g8QCxgGGAcyAhAAOAEqBAoAGgA","เปิดหน้ารีวิว 1")</x:f>
        <x:v>HYPERLINK is not implemented. linkLocation=https://www.google.co.th/travel/hotels/entity/ChoIsf6R3LXmyLT1ARoNL2cvMTFmZnYyenF2NBAB?rp=OAHCAhwiGg0AANBBEhMI08OWm4nIiAMVakKrAh2Pyihm&amp;ts=CAEaIgoCGgASHBIUCgcI6g8QChgeEgcI6g8QCxgGGAcyAhAAOAEqBAoAGgA, friendlyName=เปิดหน้ารีวิว 1</x:v>
      </x:c>
      <x:c r="K483" s="23" t="e">
        <x:f>HYPERLINK("https://www.google.co.th/travel/hotels/entity/ChoIsf6R3LXmyLT1ARoNL2cvMTFmZnYyenF2NBAB?rp=OAHCAhwiGg0AAJBBEhMIxqXM2b7IiAMV6KurBx28FypN&amp;ts=CAEaIgoCGgASHBIUCgcI6g8QCBgaEgcI6g8QCBgfGAUyAhAAOAEqBAoAGgA","เปิดหน้ารีวิว 2")</x:f>
        <x:v>HYPERLINK is not implemented. linkLocation=https://www.google.co.th/travel/hotels/entity/ChoIsf6R3LXmyLT1ARoNL2cvMTFmZnYyenF2NBAB?rp=OAHCAhwiGg0AAJBBEhMIxqXM2b7IiAMV6KurBx28FypN&amp;ts=CAEaIgoCGgASHBIUCgcI6g8QCBgaEgcI6g8QCBgfGAUyAhAAOAEqBAoAGgA, friendlyName=เปิดหน้ารีวิว 2</x:v>
      </x:c>
      <x:c r="L483" s="23" t="str"/>
      <x:c r="M483" s="23" t="str"/>
      <x:c r="N483" s="20" t="str">
        <x:v>ยังไม่ยืนยัน</x:v>
      </x:c>
      <x:c r="O48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83" s="25" t="n">
        <x:v>46315</x:v>
      </x:c>
      <x:c r="Q483" s="27" t="str">
        <x:v>ยังไม่ตรวจ</x:v>
      </x:c>
      <x:c r="R483" s="27" t="str">
        <x:v>รอติดต่อ</x:v>
      </x:c>
    </x:row>
    <x:row r="484" ht="76" customHeight="1">
      <x:c r="A484" s="24" t="str">
        <x:v>TMF-476</x:v>
      </x:c>
      <x:c r="B484" s="20" t="str">
        <x:v>ลัคกี้เฮ้าส์</x:v>
      </x:c>
      <x:c r="C484" s="20" t="str">
        <x:v>กรุงเทพมหานคร</x:v>
      </x:c>
      <x:c r="D484" s="20" t="str">
        <x:v>คงไว้ในชุด 600</x:v>
      </x:c>
      <x:c r="E484" s="20" t="str">
        <x:v>พบหลายแหล่งสัมพันธ์กับชื่อ รอยืนยันการเปิด</x:v>
      </x:c>
      <x:c r="F484" s="20" t="str">
        <x:v>ยังไม่ยืนยันการเปิดให้บริการปัจจุบัน</x:v>
      </x:c>
      <x:c r="G484" s="26" t="n">
        <x:v>6</x:v>
      </x:c>
      <x:c r="H484" s="23" t="str"/>
      <x:c r="I484" s="23" t="str"/>
      <x:c r="J484" s="23" t="e">
        <x:f>HYPERLINK("https://th.tripadvisor.com/Hotel_Review-g293916-d2502209-Reviews-Lucky_House-Bangkok.html","เปิดหน้ารีวิว 1")</x:f>
        <x:v>HYPERLINK is not implemented. linkLocation=https://th.tripadvisor.com/Hotel_Review-g293916-d2502209-Reviews-Lucky_House-Bangkok.html, friendlyName=เปิดหน้ารีวิว 1</x:v>
      </x:c>
      <x:c r="K484" s="23" t="e">
        <x:f>HYPERLINK("https://www.google.co.th/travel/hotels/entity/CgsIn9TSkfzZ-_ThARAB?ap=MAC6AQZwcmljZXM&amp;g2lb=2502548%2C4258168%2C4260007%2C4274032%2C4276710%2C4305595%2C4306835%2C4308216%2C4308227%2C4314846%2C4317915%2C4328159%2C4329288%2C4330862%2C4341278%2C4346807%2C4356223%2C4358419%2C4270859%2C4284970%2C4316256&amp;gl=th&amp;hl=th&amp;rp=ENOqzJSt_67IdTgCQABIAg&amp;ts=CAEaIAoCGgASGhIUCgcI6g8QCBgREgcI6g8QCBgSGAEyAhAAKgkKBToDVEhCGgA&amp;un=1","เปิดหน้ารีวิว 2")</x:f>
        <x:v>HYPERLINK is not implemented. linkLocation=https://www.google.co.th/travel/hotels/entity/CgsIn9TSkfzZ-_ThARAB?ap=MAC6AQZwcmljZXM&amp;g2lb=2502548%2C4258168%2C4260007%2C4274032%2C4276710%2C4305595%2C4306835%2C4308216%2C4308227%2C4314846%2C4317915%2C4328159%2C4329288%2C4330862%2C4341278%2C4346807%2C4356223%2C4358419%2C4270859%2C4284970%2C4316256&amp;gl=th&amp;hl=th&amp;rp=ENOqzJSt_67IdTgCQABIAg&amp;ts=CAEaIAoCGgASGhIUCgcI6g8QCBgREgcI6g8QCBgSGAEyAhAAKgkKBToDVEhCGgA&amp;un=1, friendlyName=เปิดหน้ารีวิว 2</x:v>
      </x:c>
      <x:c r="L484" s="23" t="e">
        <x:f>HYPERLINK("https://www.skyscanner.co.th/hotels/thailand/bangkok-hotels/lucky-house-khaosan/ht-71830053","เปิดเว็บเพิ่ม 1")</x:f>
        <x:v>HYPERLINK is not implemented. linkLocation=https://www.skyscanner.co.th/hotels/thailand/bangkok-hotels/lucky-house-khaosan/ht-71830053, friendlyName=เปิดเว็บเพิ่ม 1</x:v>
      </x:c>
      <x:c r="M484" s="23" t="e">
        <x:f>HYPERLINK("https://www.trip.co.th/hotels/th/lucky-house-bangkok/702077.html","เปิดเว็บเพิ่ม 2")</x:f>
        <x:v>HYPERLINK is not implemented. linkLocation=https://www.trip.co.th/hotels/th/lucky-house-bangkok/702077.html, friendlyName=เปิดเว็บเพิ่ม 2</x:v>
      </x:c>
      <x:c r="N484" s="20" t="str">
        <x:v>ยังไม่ยืนยัน</x:v>
      </x:c>
      <x:c r="O48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84" s="25" t="n">
        <x:v>46315</x:v>
      </x:c>
      <x:c r="Q484" s="27" t="str">
        <x:v>ยังไม่ตรวจ</x:v>
      </x:c>
      <x:c r="R484" s="27" t="str">
        <x:v>รอติดต่อ</x:v>
      </x:c>
    </x:row>
    <x:row r="485" ht="76" customHeight="1">
      <x:c r="A485" s="24" t="str">
        <x:v>TMF-477</x:v>
      </x:c>
      <x:c r="B485" s="20" t="str">
        <x:v>โซลิแทร์ แบงค็อก สุขุมวิท 11</x:v>
      </x:c>
      <x:c r="C485" s="20" t="str">
        <x:v>กรุงเทพมหานคร</x:v>
      </x:c>
      <x:c r="D485" s="20" t="str">
        <x:v>คงไว้ในชุด 600</x:v>
      </x:c>
      <x:c r="E485" s="20" t="str">
        <x:v>พบหลายแหล่งสัมพันธ์กับชื่อ รอยืนยันการเปิด</x:v>
      </x:c>
      <x:c r="F485" s="20" t="str">
        <x:v>ยังไม่ยืนยันการเปิดให้บริการปัจจุบัน</x:v>
      </x:c>
      <x:c r="G485" s="26" t="n">
        <x:v>2</x:v>
      </x:c>
      <x:c r="H485" s="23" t="str"/>
      <x:c r="I485" s="23" t="str"/>
      <x:c r="J485" s="23" t="str"/>
      <x:c r="K485" s="23" t="str"/>
      <x:c r="L485" s="23" t="e">
        <x:f>HYPERLINK("https://xn--12c7bhaw4iemu7j3c5c.com/hotel/2272/solitaire-bangkok-sukhumvit-11/","เปิดเว็บเพิ่ม 1")</x:f>
        <x:v>HYPERLINK is not implemented. linkLocation=https://xn--12c7bhaw4iemu7j3c5c.com/hotel/2272/solitaire-bangkok-sukhumvit-11/, friendlyName=เปิดเว็บเพิ่ม 1</x:v>
      </x:c>
      <x:c r="M485" s="23" t="str"/>
      <x:c r="N485" s="20" t="str">
        <x:v>ยังไม่ยืนยัน</x:v>
      </x:c>
      <x:c r="O485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485" s="25" t="n">
        <x:v>46315</x:v>
      </x:c>
      <x:c r="Q485" s="27" t="str">
        <x:v>ยังไม่ตรวจ</x:v>
      </x:c>
      <x:c r="R485" s="27" t="str">
        <x:v>รอติดต่อ</x:v>
      </x:c>
    </x:row>
    <x:row r="486" ht="76" customHeight="1">
      <x:c r="A486" s="24" t="str">
        <x:v>TMF-478</x:v>
      </x:c>
      <x:c r="B486" s="20" t="str">
        <x:v>โรงแรม วิลล่า เดอร์ ข้าวสาร</x:v>
      </x:c>
      <x:c r="C486" s="20" t="str">
        <x:v>กรุงเทพมหานคร</x:v>
      </x:c>
      <x:c r="D486" s="20" t="str">
        <x:v>คงไว้ในชุด 600</x:v>
      </x:c>
      <x:c r="E486" s="20" t="str">
        <x:v>พบหลายแหล่งสัมพันธ์กับชื่อ รอยืนยันการเปิด</x:v>
      </x:c>
      <x:c r="F486" s="20" t="str">
        <x:v>ยังไม่ยืนยันการเปิดให้บริการปัจจุบัน</x:v>
      </x:c>
      <x:c r="G486" s="26" t="n">
        <x:v>3</x:v>
      </x:c>
      <x:c r="H486" s="23" t="str"/>
      <x:c r="I486" s="23" t="str"/>
      <x:c r="J486" s="23" t="e">
        <x:f>HYPERLINK("https://www.google.co.th/travel/hotels/entity/ChoImpGG2u33lsOrARoNL2cvMTFmZmxfMzJkbBAB?ap=ugEGcHJpY2Vz&amp;rp=OAHCAhwiGg0AABhCEhMItp2z16CilgMVpN6fCR1_PA2E&amp;ts=CAEaBAoCGgAqBAoAGgA","เปิดหน้ารีวิว 1")</x:f>
        <x:v>HYPERLINK is not implemented. linkLocation=https://www.google.co.th/travel/hotels/entity/ChoImpGG2u33lsOrARoNL2cvMTFmZmxfMzJkbBAB?ap=ugEGcHJpY2Vz&amp;rp=OAHCAhwiGg0AABhCEhMItp2z16CilgMVpN6fCR1_PA2E&amp;ts=CAEaBAoCGgAqBAoAGgA, friendlyName=เปิดหน้ารีวิว 1</x:v>
      </x:c>
      <x:c r="K486" s="23" t="e">
        <x:f>HYPERLINK("https://th.trip.com/hotels/bangkok-hotel-detail-27955655/villa-de-khaosan/review.html","เปิดหน้ารีวิว 2")</x:f>
        <x:v>HYPERLINK is not implemented. linkLocation=https://th.trip.com/hotels/bangkok-hotel-detail-27955655/villa-de-khaosan/review.html, friendlyName=เปิดหน้ารีวิว 2</x:v>
      </x:c>
      <x:c r="L486" s="23" t="str"/>
      <x:c r="M486" s="23" t="str"/>
      <x:c r="N486" s="20" t="str">
        <x:v>ยังไม่ยืนยัน</x:v>
      </x:c>
      <x:c r="O48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86" s="25" t="n">
        <x:v>46315</x:v>
      </x:c>
      <x:c r="Q486" s="27" t="str">
        <x:v>ยังไม่ตรวจ</x:v>
      </x:c>
      <x:c r="R486" s="27" t="str">
        <x:v>รอติดต่อ</x:v>
      </x:c>
    </x:row>
    <x:row r="487" ht="76" customHeight="1">
      <x:c r="A487" s="24" t="str">
        <x:v>TMF-479</x:v>
      </x:c>
      <x:c r="B487" s="20" t="str">
        <x:v>โรงแรม อิมเพรส ห้วยขวาง</x:v>
      </x:c>
      <x:c r="C487" s="20" t="str">
        <x:v>กรุงเทพมหานคร</x:v>
      </x:c>
      <x:c r="D487" s="20" t="str">
        <x:v>คงไว้ในชุด 600</x:v>
      </x:c>
      <x:c r="E487" s="20" t="str">
        <x:v>พบหลายแหล่งสัมพันธ์กับชื่อ รอยืนยันการเปิด</x:v>
      </x:c>
      <x:c r="F487" s="20" t="str">
        <x:v>ยังไม่ยืนยันการเปิดให้บริการปัจจุบัน</x:v>
      </x:c>
      <x:c r="G487" s="26" t="n">
        <x:v>4</x:v>
      </x:c>
      <x:c r="H487" s="23" t="str"/>
      <x:c r="I487" s="23" t="str"/>
      <x:c r="J487" s="23" t="e">
        <x:f>HYPERLINK("https://www.google.com/travel/hotels/entity/ChoI_4rc1MSgz6ilARoNL2cvMTF5djczNWg1dBAB","เปิดหน้ารีวิว 1")</x:f>
        <x:v>HYPERLINK is not implemented. linkLocation=https://www.google.com/travel/hotels/entity/ChoI_4rc1MSgz6ilARoNL2cvMTF5djczNWg1dBAB, friendlyName=เปิดหน้ารีวิว 1</x:v>
      </x:c>
      <x:c r="K487" s="23" t="e">
        <x:f>HYPERLINK("https://www.google.com/travel/hotels/entity/ChoI_4rc1MSgz6ilARoNL2cvMTF5djczNWg1dBAB?gsas=1","เปิดหน้ารีวิว 2")</x:f>
        <x:v>HYPERLINK is not implemented. linkLocation=https://www.google.com/travel/hotels/entity/ChoI_4rc1MSgz6ilARoNL2cvMTF5djczNWg1dBAB?gsas=1, friendlyName=เปิดหน้ารีวิว 2</x:v>
      </x:c>
      <x:c r="L487" s="23" t="e">
        <x:f>HYPERLINK("https://www.trip.co.th/hotels/th/impress-hotel-huai-khwang/133269767.html","เปิดเว็บเพิ่ม 1")</x:f>
        <x:v>HYPERLINK is not implemented. linkLocation=https://www.trip.co.th/hotels/th/impress-hotel-huai-khwang/133269767.html, friendlyName=เปิดเว็บเพิ่ม 1</x:v>
      </x:c>
      <x:c r="M487" s="23" t="str"/>
      <x:c r="N487" s="20" t="str">
        <x:v>ยังไม่ยืนยัน</x:v>
      </x:c>
      <x:c r="O48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87" s="25" t="n">
        <x:v>46315</x:v>
      </x:c>
      <x:c r="Q487" s="27" t="str">
        <x:v>ยังไม่ตรวจ</x:v>
      </x:c>
      <x:c r="R487" s="27" t="str">
        <x:v>รอติดต่อ</x:v>
      </x:c>
    </x:row>
    <x:row r="488" ht="76" customHeight="1">
      <x:c r="A488" s="24" t="str">
        <x:v>TMF-480</x:v>
      </x:c>
      <x:c r="B488" s="20" t="str">
        <x:v>โรงแรม เจทูเอส ประตูน้ำ</x:v>
      </x:c>
      <x:c r="C488" s="20" t="str">
        <x:v>กรุงเทพมหานคร</x:v>
      </x:c>
      <x:c r="D488" s="20" t="str">
        <x:v>คงไว้ในชุด 600</x:v>
      </x:c>
      <x:c r="E488" s="20" t="str">
        <x:v>พบหลายแหล่งสัมพันธ์กับชื่อ รอยืนยันการเปิด</x:v>
      </x:c>
      <x:c r="F488" s="20" t="str">
        <x:v>ยังไม่ยืนยันการเปิดให้บริการปัจจุบัน</x:v>
      </x:c>
      <x:c r="G488" s="26" t="n">
        <x:v>7</x:v>
      </x:c>
      <x:c r="H488" s="23" t="str"/>
      <x:c r="I488" s="23" t="str"/>
      <x:c r="J488" s="23" t="e">
        <x:f>HYPERLINK("https://www.expedia.co.th/Bangkok-Hotels-J-Two-S-Pratunam-Hotel.h8032473.Hotel-Information?rfrr=HOT.HIS.question.link.click","เปิดหน้ารีวิว 1")</x:f>
        <x:v>HYPERLINK is not implemented. linkLocation=https://www.expedia.co.th/Bangkok-Hotels-J-Two-S-Pratunam-Hotel.h8032473.Hotel-Information?rfrr=HOT.HIS.question.link.click, friendlyName=เปิดหน้ารีวิว 1</x:v>
      </x:c>
      <x:c r="K488" s="23" t="e">
        <x:f>HYPERLINK("https://www.google.co.th/travel/hotels/entity/ChgIlenlk-SP6f1hGgwvZy8xMnZyczY3NXoQAQ?rp=OAHCAhwiGg0AAJhBEhMIlKSZxuHflQMVCv5LAx1l3RQR&amp;ts=CAEaBAoCGgAqBAoAGgA","เปิดหน้ารีวิว 2")</x:f>
        <x:v>HYPERLINK is not implemented. linkLocation=https://www.google.co.th/travel/hotels/entity/ChgIlenlk-SP6f1hGgwvZy8xMnZyczY3NXoQAQ?rp=OAHCAhwiGg0AAJhBEhMIlKSZxuHflQMVCv5LAx1l3RQR&amp;ts=CAEaBAoCGgAqBAoAGgA, friendlyName=เปิดหน้ารีวิว 2</x:v>
      </x:c>
      <x:c r="L488" s="23" t="e">
        <x:f>HYPERLINK("https://www.hotelscombined.co.th/Hotel/J_TWO_S_Pratunam_Hotel.htm","เปิดเว็บเพิ่ม 1")</x:f>
        <x:v>HYPERLINK is not implemented. linkLocation=https://www.hotelscombined.co.th/Hotel/J_TWO_S_Pratunam_Hotel.htm, friendlyName=เปิดเว็บเพิ่ม 1</x:v>
      </x:c>
      <x:c r="M488" s="23" t="e">
        <x:f>HYPERLINK("https://www.kayak.co.th/%E0%B8%81%E0%B8%A3%E0%B8%B8%E0%B8%87%E0%B9%80%E0%B8%97%E0%B8%9E%E0%B8%A1%E0%B8%AB%E0%B8%B2%E0%B8%99%E0%B8%84%E0%B8%A3-%E0%B9%82%E0%B8%A3%E0%B8%87%E0%B9%81%E0%B8%A3%E0%B8%A1-%E0%B9%82%E0%B8%A3%E0%B8%87%E0%B9%81%E0%B8%A3%E0%B8%A1%E0%B9%80%E0%B8%88%E0%B8%97%E0%B8%B9%E0%B9%80%E0%B8%AD%E0%B8%AA-%E0%B8%9B%E0%B8%A3%E0%B8%B0%E0%B8%95%E0%B8%B9%E0%B8%99%E0%B9%89%E0%B8%B3.711833.ksp","เปิดเว็บเพิ่ม 2")</x:f>
        <x:v>HYPERLINK is not implemented. linkLocation=https://www.kayak.co.th/%E0%B8%81%E0%B8%A3%E0%B8%B8%E0%B8%87%E0%B9%80%E0%B8%97%E0%B8%9E%E0%B8%A1%E0%B8%AB%E0%B8%B2%E0%B8%99%E0%B8%84%E0%B8%A3-%E0%B9%82%E0%B8%A3%E0%B8%87%E0%B9%81%E0%B8%A3%E0%B8%A1-%E0%B9%82%E0%B8%A3%E0%B8%87%E0%B9%81%E0%B8%A3%E0%B8%A1%E0%B9%80%E0%B8%88%E0%B8%97%E0%B8%B9%E0%B9%80%E0%B8%AD%E0%B8%AA-%E0%B8%9B%E0%B8%A3%E0%B8%B0%E0%B8%95%E0%B8%B9%E0%B8%99%E0%B9%89%E0%B8%B3.711833.ksp, friendlyName=เปิดเว็บเพิ่ม 2</x:v>
      </x:c>
      <x:c r="N488" s="20" t="str">
        <x:v>ยังไม่ยืนยัน</x:v>
      </x:c>
      <x:c r="O48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88" s="25" t="n">
        <x:v>46315</x:v>
      </x:c>
      <x:c r="Q488" s="27" t="str">
        <x:v>ยังไม่ตรวจ</x:v>
      </x:c>
      <x:c r="R488" s="27" t="str">
        <x:v>รอติดต่อ</x:v>
      </x:c>
    </x:row>
    <x:row r="489" ht="76" customHeight="1">
      <x:c r="A489" s="24" t="str">
        <x:v>TMF-481</x:v>
      </x:c>
      <x:c r="B489" s="20" t="str">
        <x:v>โรงแรม เซนเตอร์ พอยต์ พลัส สีลม</x:v>
      </x:c>
      <x:c r="C489" s="20" t="str">
        <x:v>กรุงเทพมหานคร</x:v>
      </x:c>
      <x:c r="D489" s="20" t="str">
        <x:v>คงไว้ในชุด 600</x:v>
      </x:c>
      <x:c r="E489" s="20" t="str">
        <x:v>พบหลายแหล่งสัมพันธ์กับชื่อ รอยืนยันการเปิด</x:v>
      </x:c>
      <x:c r="F489" s="20" t="str">
        <x:v>ยังไม่ยืนยันการเปิดให้บริการปัจจุบัน</x:v>
      </x:c>
      <x:c r="G489" s="26" t="n">
        <x:v>2</x:v>
      </x:c>
      <x:c r="H489" s="23" t="str"/>
      <x:c r="I489" s="23" t="str"/>
      <x:c r="J489" s="23" t="e">
        <x:f>HYPERLINK("https://www.google.co.th/travel/hotels/entity/CgsI-eya1qe646PpARAB?ts=CAEaIgoCGgASHBIUCgcI6g8QChgaEgcI6g8QChgeGAQyAhAAOAEqCQoFOgNVU0QaAA","เปิดหน้ารีวิว 1")</x:f>
        <x:v>HYPERLINK is not implemented. linkLocation=https://www.google.co.th/travel/hotels/entity/CgsI-eya1qe646PpARAB?ts=CAEaIgoCGgASHBIUCgcI6g8QChgaEgcI6g8QChgeGAQyAhAAOAEqCQoFOgNVU0QaAA, friendlyName=เปิดหน้ารีวิว 1</x:v>
      </x:c>
      <x:c r="K489" s="23" t="e">
        <x:f>HYPERLINK("https://www.google.co.th/travel/hotels/entity/CgsI-eya1qe646PpARAB?ap=MAG6AQZwcmljZXM&amp;rp=SAI&amp;ts=CAEaBAoCGgAqBAoAGgA","เปิดหน้ารีวิว 2")</x:f>
        <x:v>HYPERLINK is not implemented. linkLocation=https://www.google.co.th/travel/hotels/entity/CgsI-eya1qe646PpARAB?ap=MAG6AQZwcmljZXM&amp;rp=SAI&amp;ts=CAEaBAoCGgAqBAoAGgA, friendlyName=เปิดหน้ารีวิว 2</x:v>
      </x:c>
      <x:c r="L489" s="23" t="str"/>
      <x:c r="M489" s="23" t="str"/>
      <x:c r="N489" s="20" t="str">
        <x:v>ยังไม่ยืนยัน</x:v>
      </x:c>
      <x:c r="O48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89" s="25" t="n">
        <x:v>46315</x:v>
      </x:c>
      <x:c r="Q489" s="27" t="str">
        <x:v>ยังไม่ตรวจ</x:v>
      </x:c>
      <x:c r="R489" s="27" t="str">
        <x:v>รอติดต่อ</x:v>
      </x:c>
    </x:row>
    <x:row r="490" ht="76" customHeight="1">
      <x:c r="A490" s="24" t="str">
        <x:v>TMF-482</x:v>
      </x:c>
      <x:c r="B490" s="20" t="str">
        <x:v>โรงแรม เดอะ กราวิทิค โฮเทล ข้าวสาร</x:v>
      </x:c>
      <x:c r="C490" s="20" t="str">
        <x:v>กรุงเทพมหานคร</x:v>
      </x:c>
      <x:c r="D490" s="20" t="str">
        <x:v>คงไว้ในชุด 600</x:v>
      </x:c>
      <x:c r="E490" s="20" t="str">
        <x:v>พบหลายแหล่งสัมพันธ์กับชื่อ รอยืนยันการเปิด</x:v>
      </x:c>
      <x:c r="F490" s="20" t="str">
        <x:v>ยังไม่ยืนยันการเปิดให้บริการปัจจุบัน</x:v>
      </x:c>
      <x:c r="G490" s="26" t="n">
        <x:v>5</x:v>
      </x:c>
      <x:c r="H490" s="23" t="str"/>
      <x:c r="I490" s="23" t="str"/>
      <x:c r="J490" s="23" t="e">
        <x:f>HYPERLINK("https://www.google.co.th/travel/hotels/entity/ChoIpr-W-KLc3cy2ARoNL2cvMTFycnBsaHpmNhAB?rp=OAHCAhwiGg0AABxDEhMIhO6-jPzFlQMVNMtDAx3JpQTr&amp;ts=CAEaBAoCGgAqBAoAGgA","เปิดหน้ารีวิว 1")</x:f>
        <x:v>HYPERLINK is not implemented. linkLocation=https://www.google.co.th/travel/hotels/entity/ChoIpr-W-KLc3cy2ARoNL2cvMTFycnBsaHpmNhAB?rp=OAHCAhwiGg0AABxDEhMIhO6-jPzFlQMVNMtDAx3JpQTr&amp;ts=CAEaBAoCGgAqBAoAGgA, friendlyName=เปิดหน้ารีวิว 1</x:v>
      </x:c>
      <x:c r="K490" s="23" t="e">
        <x:f>HYPERLINK("https://www.google.co.th/travel/hotels/entity/ChoIpr-W-KLc3cy2ARoNL2cvMTFycnBsaHpmNhAB?rp=OAHCAhwiGg0AAKhBEhMIm9KKm6fClQMVcfJLAx1J-CPR&amp;ts=CAEaBAoCGgAqBAoAGgA","เปิดหน้ารีวิว 2")</x:f>
        <x:v>HYPERLINK is not implemented. linkLocation=https://www.google.co.th/travel/hotels/entity/ChoIpr-W-KLc3cy2ARoNL2cvMTFycnBsaHpmNhAB?rp=OAHCAhwiGg0AAKhBEhMIm9KKm6fClQMVcfJLAx1J-CPR&amp;ts=CAEaBAoCGgAqBAoAGgA, friendlyName=เปิดหน้ารีวิว 2</x:v>
      </x:c>
      <x:c r="L490" s="23" t="str"/>
      <x:c r="M490" s="23" t="str"/>
      <x:c r="N490" s="20" t="str">
        <x:v>ยังไม่ยืนยัน</x:v>
      </x:c>
      <x:c r="O49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90" s="25" t="n">
        <x:v>46315</x:v>
      </x:c>
      <x:c r="Q490" s="27" t="str">
        <x:v>ยังไม่ตรวจ</x:v>
      </x:c>
      <x:c r="R490" s="27" t="str">
        <x:v>รอติดต่อ</x:v>
      </x:c>
    </x:row>
    <x:row r="491" ht="76" customHeight="1">
      <x:c r="A491" s="24" t="str">
        <x:v>TMF-483</x:v>
      </x:c>
      <x:c r="B491" s="20" t="str">
        <x:v>โรงแรม เดอะ คอตตอน ศาลาแดง</x:v>
      </x:c>
      <x:c r="C491" s="20" t="str">
        <x:v>กรุงเทพมหานคร</x:v>
      </x:c>
      <x:c r="D491" s="20" t="str">
        <x:v>คงไว้ในชุด 600</x:v>
      </x:c>
      <x:c r="E491" s="20" t="str">
        <x:v>พบหลายแหล่งสัมพันธ์กับชื่อ รอยืนยันการเปิด</x:v>
      </x:c>
      <x:c r="F491" s="20" t="str">
        <x:v>ยังไม่ยืนยันการเปิดให้บริการปัจจุบัน</x:v>
      </x:c>
      <x:c r="G491" s="26" t="n">
        <x:v>5</x:v>
      </x:c>
      <x:c r="H491" s="23" t="str"/>
      <x:c r="I491" s="23" t="str"/>
      <x:c r="J491" s="23" t="e">
        <x:f>HYPERLINK("https://www.google.co.th/travel/hotels/entity/ChoIh5ugpOfOruWUARoNL2cvMTFqM2hzMDd6bRAB","เปิดหน้ารีวิว 1")</x:f>
        <x:v>HYPERLINK is not implemented. linkLocation=https://www.google.co.th/travel/hotels/entity/ChoIh5ugpOfOruWUARoNL2cvMTFqM2hzMDd6bRAB, friendlyName=เปิดหน้ารีวิว 1</x:v>
      </x:c>
      <x:c r="K491" s="23" t="e">
        <x:f>HYPERLINK("https://www.google.co.th/travel/hotels/entity/ChoIh5ugpOfOruWUARoNL2cvMTFqM2hzMDd6bRAB?rp=OAHCAhciFRITCKrw8tbe2JUDFZ32SwMdeC0rjA&amp;ts=CAESCgoCCAMKAggDEAAaIAoCGgASGhIUCgcI6g8QChgLEgcI6g8QChgOGAMyAhAAKgkKBToDVVNEGgA","เปิดหน้ารีวิว 2")</x:f>
        <x:v>HYPERLINK is not implemented. linkLocation=https://www.google.co.th/travel/hotels/entity/ChoIh5ugpOfOruWUARoNL2cvMTFqM2hzMDd6bRAB?rp=OAHCAhciFRITCKrw8tbe2JUDFZ32SwMdeC0rjA&amp;ts=CAESCgoCCAMKAggDEAAaIAoCGgASGhIUCgcI6g8QChgLEgcI6g8QChgOGAMyAhAAKgkKBToDVVNEGgA, friendlyName=เปิดหน้ารีวิว 2</x:v>
      </x:c>
      <x:c r="L491" s="23" t="e">
        <x:f>HYPERLINK("https://www.gother.com/th-th/hotels/thailand/bangkok/bang-rak/the-cotton-saladaeng-hotel","เปิดเว็บเพิ่ม 1")</x:f>
        <x:v>HYPERLINK is not implemented. linkLocation=https://www.gother.com/th-th/hotels/thailand/bangkok/bang-rak/the-cotton-saladaeng-hotel, friendlyName=เปิดเว็บเพิ่ม 1</x:v>
      </x:c>
      <x:c r="M491" s="23" t="str"/>
      <x:c r="N491" s="20" t="str">
        <x:v>ยังไม่ยืนยัน</x:v>
      </x:c>
      <x:c r="O49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91" s="25" t="n">
        <x:v>46315</x:v>
      </x:c>
      <x:c r="Q491" s="27" t="str">
        <x:v>ยังไม่ตรวจ</x:v>
      </x:c>
      <x:c r="R491" s="27" t="str">
        <x:v>รอติดต่อ</x:v>
      </x:c>
    </x:row>
    <x:row r="492" ht="76" customHeight="1">
      <x:c r="A492" s="24" t="str">
        <x:v>TMF-484</x:v>
      </x:c>
      <x:c r="B492" s="20" t="str">
        <x:v>โรงแรม เดอะ สยาม</x:v>
      </x:c>
      <x:c r="C492" s="20" t="str">
        <x:v>กรุงเทพมหานคร</x:v>
      </x:c>
      <x:c r="D492" s="20" t="str">
        <x:v>คงไว้ในชุด 600</x:v>
      </x:c>
      <x:c r="E492" s="20" t="str">
        <x:v>พบหลายแหล่งสัมพันธ์กับชื่อ รอยืนยันการเปิด</x:v>
      </x:c>
      <x:c r="F492" s="20" t="str">
        <x:v>ยังไม่ยืนยันการเปิดให้บริการปัจจุบัน</x:v>
      </x:c>
      <x:c r="G492" s="26" t="n">
        <x:v>5</x:v>
      </x:c>
      <x:c r="H492" s="23" t="str"/>
      <x:c r="I492" s="23" t="str"/>
      <x:c r="J492" s="23" t="e">
        <x:f>HYPERLINK("https://th.tripadvisor.com/Hotel_Review-g293916-d2553477-Reviews-The_Siam-Bangkok.html","เปิดหน้ารีวิว 1")</x:f>
        <x:v>HYPERLINK is not implemented. linkLocation=https://th.tripadvisor.com/Hotel_Review-g293916-d2553477-Reviews-The_Siam-Bangkok.html, friendlyName=เปิดหน้ารีวิว 1</x:v>
      </x:c>
      <x:c r="K492" s="23" t="e">
        <x:f>HYPERLINK("https://www.wongnai.com/restaurants/139632CH-chon-thai-restaurant-the-siam-hotel/reviews","เปิดหน้ารีวิว 2")</x:f>
        <x:v>HYPERLINK is not implemented. linkLocation=https://www.wongnai.com/restaurants/139632CH-chon-thai-restaurant-the-siam-hotel/reviews, friendlyName=เปิดหน้ารีวิว 2</x:v>
      </x:c>
      <x:c r="L492" s="23" t="str"/>
      <x:c r="M492" s="23" t="str"/>
      <x:c r="N492" s="20" t="str">
        <x:v>ยังไม่ยืนยัน</x:v>
      </x:c>
      <x:c r="O49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92" s="25" t="n">
        <x:v>46315</x:v>
      </x:c>
      <x:c r="Q492" s="27" t="str">
        <x:v>ยังไม่ตรวจ</x:v>
      </x:c>
      <x:c r="R492" s="27" t="str">
        <x:v>รอติดต่อ</x:v>
      </x:c>
    </x:row>
    <x:row r="493" ht="76" customHeight="1">
      <x:c r="A493" s="24" t="str">
        <x:v>TMF-485</x:v>
      </x:c>
      <x:c r="B493" s="20" t="str">
        <x:v>โรงแรม เดอะ เซนต์ รีจิส กรุงเทพ</x:v>
      </x:c>
      <x:c r="C493" s="20" t="str">
        <x:v>กรุงเทพมหานคร</x:v>
      </x:c>
      <x:c r="D493" s="20" t="str">
        <x:v>คงไว้ในชุด 600</x:v>
      </x:c>
      <x:c r="E493" s="20" t="str">
        <x:v>พบหลายแหล่งสัมพันธ์กับชื่อ รอยืนยันการเปิด</x:v>
      </x:c>
      <x:c r="F493" s="20" t="str">
        <x:v>ยังไม่ยืนยันการเปิดให้บริการปัจจุบัน</x:v>
      </x:c>
      <x:c r="G493" s="26" t="n">
        <x:v>9</x:v>
      </x:c>
      <x:c r="H493" s="23" t="str"/>
      <x:c r="I493" s="23" t="str"/>
      <x:c r="J493" s="23" t="e">
        <x:f>HYPERLINK("https://www.booking.com/hotel/th/the-st-regis-bangkok.th.html","เปิดหน้ารีวิว 1")</x:f>
        <x:v>HYPERLINK is not implemented. linkLocation=https://www.booking.com/hotel/th/the-st-regis-bangkok.th.html, friendlyName=เปิดหน้ารีวิว 1</x:v>
      </x:c>
      <x:c r="K493" s="23" t="e">
        <x:f>HYPERLINK("https://www.google.com/travel/hotels/entity/ChkIy_z3nZ752syVARoML2cvMXlmam10cWJtEAE?g2lb=2502548%2C2503781%2C4258168%2C4270442%2C4306835%2C4317915%2C4371334%2C4401769%2C4419364%2C4482438%2C4486153%2C4509341%2C4533882%2C4536454%2C4541150%2C4270859%2C4284970%2C4291517&amp;hl=th-TH&amp;rp=EIOE8sf028CHrwEQg4Tyx_TbwIevATgCQABIAcABAg&amp;ssta=1&amp;ts=CAESABpJCisSJzIlMHgzMGUyOWIzMDAwNjU2MmM5OjB4YWYwZjAyZGY0OGZjODIwMxoAEhoSFAoHCOUPEAUYHRIHCOUPEAUYHhgBMgIQACoJCgU6A1RIQhoA","เปิดหน้ารีวิว 2")</x:f>
        <x:v>HYPERLINK is not implemented. linkLocation=https://www.google.com/travel/hotels/entity/ChkIy_z3nZ752syVARoML2cvMXlmam10cWJtEAE?g2lb=2502548%2C2503781%2C4258168%2C4270442%2C4306835%2C4317915%2C4371334%2C4401769%2C4419364%2C4482438%2C4486153%2C4509341%2C4533882%2C4536454%2C4541150%2C4270859%2C4284970%2C4291517&amp;hl=th-TH&amp;rp=EIOE8sf028CHrwEQg4Tyx_TbwIevATgCQABIAcABAg&amp;ssta=1&amp;ts=CAESABpJCisSJzIlMHgzMGUyOWIzMDAwNjU2MmM5OjB4YWYwZjAyZGY0OGZjODIwMxoAEhoSFAoHCOUPEAUYHRIHCOUPEAUYHhgBMgIQACoJCgU6A1RIQhoA, friendlyName=เปิดหน้ารีวิว 2</x:v>
      </x:c>
      <x:c r="L493" s="23" t="e">
        <x:f>HYPERLINK("https://www.hotelscombined.co.th/Hotel/The_St_Regis_Bangkok.htm","เปิดเว็บเพิ่ม 1")</x:f>
        <x:v>HYPERLINK is not implemented. linkLocation=https://www.hotelscombined.co.th/Hotel/The_St_Regis_Bangkok.htm, friendlyName=เปิดเว็บเพิ่ม 1</x:v>
      </x:c>
      <x:c r="M493" s="23" t="e">
        <x:f>HYPERLINK("https://www.kayak.co.th/%E0%B8%81%E0%B8%A3%E0%B8%B8%E0%B8%87%E0%B9%80%E0%B8%97%E0%B8%9E%E0%B8%A1%E0%B8%AB%E0%B8%B2%E0%B8%99%E0%B8%84%E0%B8%A3-%E0%B9%82%E0%B8%A3%E0%B8%87%E0%B9%81%E0%B8%A3%E0%B8%A1-%E0%B9%82%E0%B8%A3%E0%B8%87%E0%B9%81%E0%B8%A3%E0%B8%A1%E0%B9%80%E0%B8%94%E0%B8%AD%E0%B8%B0-%E0%B9%80%E0%B8%8B%E0%B8%99%E0%B8%95%E0%B9%8C-%E0%B8%A3%E0%B8%B5%E0%B8%88%E0%B8%B4%E0%B8%AA-%E0%B8%81%E0%B8%A3%E0%B8%B8%E0%B8%87%E0%B9%80%E0%B8%97%E0%B8%9E%E0%B8%AF.372115.ksp","เปิดเว็บเพิ่ม 2")</x:f>
        <x:v>HYPERLINK is not implemented. linkLocation=https://www.kayak.co.th/%E0%B8%81%E0%B8%A3%E0%B8%B8%E0%B8%87%E0%B9%80%E0%B8%97%E0%B8%9E%E0%B8%A1%E0%B8%AB%E0%B8%B2%E0%B8%99%E0%B8%84%E0%B8%A3-%E0%B9%82%E0%B8%A3%E0%B8%87%E0%B9%81%E0%B8%A3%E0%B8%A1-%E0%B9%82%E0%B8%A3%E0%B8%87%E0%B9%81%E0%B8%A3%E0%B8%A1%E0%B9%80%E0%B8%94%E0%B8%AD%E0%B8%B0-%E0%B9%80%E0%B8%8B%E0%B8%99%E0%B8%95%E0%B9%8C-%E0%B8%A3%E0%B8%B5%E0%B8%88%E0%B8%B4%E0%B8%AA-%E0%B8%81%E0%B8%A3%E0%B8%B8%E0%B8%87%E0%B9%80%E0%B8%97%E0%B8%9E%E0%B8%AF.372115.ksp, friendlyName=เปิดเว็บเพิ่ม 2</x:v>
      </x:c>
      <x:c r="N493" s="20" t="str">
        <x:v>ยังไม่ยืนยัน</x:v>
      </x:c>
      <x:c r="O49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93" s="25" t="n">
        <x:v>46315</x:v>
      </x:c>
      <x:c r="Q493" s="27" t="str">
        <x:v>ยังไม่ตรวจ</x:v>
      </x:c>
      <x:c r="R493" s="27" t="str">
        <x:v>รอติดต่อ</x:v>
      </x:c>
    </x:row>
    <x:row r="494" ht="76" customHeight="1">
      <x:c r="A494" s="24" t="str">
        <x:v>TMF-486</x:v>
      </x:c>
      <x:c r="B494" s="20" t="str">
        <x:v>โรงแรม เอส รัชดา เลเชอร์</x:v>
      </x:c>
      <x:c r="C494" s="20" t="str">
        <x:v>กรุงเทพมหานคร</x:v>
      </x:c>
      <x:c r="D494" s="20" t="str">
        <x:v>คงไว้ในชุด 600</x:v>
      </x:c>
      <x:c r="E494" s="20" t="str">
        <x:v>พบหลายแหล่งสัมพันธ์กับชื่อ รอยืนยันการเปิด</x:v>
      </x:c>
      <x:c r="F494" s="20" t="str">
        <x:v>ยังไม่ยืนยันการเปิดให้บริการปัจจุบัน</x:v>
      </x:c>
      <x:c r="G494" s="26" t="n">
        <x:v>5</x:v>
      </x:c>
      <x:c r="H494" s="23" t="e">
        <x:f>HYPERLINK("https://www.facebook.com/SRatchadaLeisureHotel/","เปิดช่องทาง 1")</x:f>
        <x:v>HYPERLINK is not implemented. linkLocation=https://www.facebook.com/SRatchadaLeisureHotel/, friendlyName=เปิดช่องทาง 1</x:v>
      </x:c>
      <x:c r="I494" s="23" t="str"/>
      <x:c r="J494" s="23" t="e">
        <x:f>HYPERLINK("https://www.google.co.th/travel/hotels/entity/CgsI5tK_pZSH8IjsARAB?rp=OAHCAhwiGg0AAEhCEhMI1cakw-_MlgMVNrIDAB2YBhP2&amp;ts=CAESCgoCCAMKAggDEAAaIAoCGgASGhIUCgcI6g8QCxgGEgcI6g8QCxgNGAcyAhAAKgkKBToDVVNEGgA","เปิดหน้ารีวิว 1")</x:f>
        <x:v>HYPERLINK is not implemented. linkLocation=https://www.google.co.th/travel/hotels/entity/CgsI5tK_pZSH8IjsARAB?rp=OAHCAhwiGg0AAEhCEhMI1cakw-_MlgMVNrIDAB2YBhP2&amp;ts=CAESCgoCCAMKAggDEAAaIAoCGgASGhIUCgcI6g8QCxgGEgcI6g8QCxgNGAcyAhAAKgkKBToDVVNEGgA, friendlyName=เปิดหน้ารีวิว 1</x:v>
      </x:c>
      <x:c r="K494" s="23" t="e">
        <x:f>HYPERLINK("https://www.google.co.th/travel/hotels/entity/CgsI5tK_pZSH8IjsARAB?rp=OAHCAhwiGg0AAOBBEhMIyM3s2dP7jAMVdK_CCB1C-jI0&amp;ts=CAEaBAoCGgAqBAoAGgA","เปิดหน้ารีวิว 2")</x:f>
        <x:v>HYPERLINK is not implemented. linkLocation=https://www.google.co.th/travel/hotels/entity/CgsI5tK_pZSH8IjsARAB?rp=OAHCAhwiGg0AAOBBEhMIyM3s2dP7jAMVdK_CCB1C-jI0&amp;ts=CAEaBAoCGgAqBAoAGgA, friendlyName=เปิดหน้ารีวิว 2</x:v>
      </x:c>
      <x:c r="L494" s="23" t="e">
        <x:f>HYPERLINK("https://www.traveloka.com/th-th/hotel/thailand/s-ratchada-leisure-hotel-9000000888042","เปิดเว็บเพิ่ม 1")</x:f>
        <x:v>HYPERLINK is not implemented. linkLocation=https://www.traveloka.com/th-th/hotel/thailand/s-ratchada-leisure-hotel-9000000888042, friendlyName=เปิดเว็บเพิ่ม 1</x:v>
      </x:c>
      <x:c r="M494" s="23" t="e">
        <x:f>HYPERLINK("https://www.thaimiceconnect.com/business/detail/20927","เปิดเว็บเพิ่ม 2")</x:f>
        <x:v>HYPERLINK is not implemented. linkLocation=https://www.thaimiceconnect.com/business/detail/20927, friendlyName=เปิดเว็บเพิ่ม 2</x:v>
      </x:c>
      <x:c r="N494" s="20" t="str">
        <x:v>ยังไม่ยืนยัน</x:v>
      </x:c>
      <x:c r="O494" s="20" t="str">
        <x:v>ยังไม่ยืนยันวันที่โพสต์/รีวิวล่าสุดและการเปิดให้บริการปัจจุบัน</x:v>
      </x:c>
      <x:c r="P494" s="25" t="n">
        <x:v>46315</x:v>
      </x:c>
      <x:c r="Q494" s="27" t="str">
        <x:v>ยังไม่ตรวจ</x:v>
      </x:c>
      <x:c r="R494" s="27" t="str">
        <x:v>รอติดต่อ</x:v>
      </x:c>
    </x:row>
    <x:row r="495" ht="76" customHeight="1">
      <x:c r="A495" s="24" t="str">
        <x:v>TMF-487</x:v>
      </x:c>
      <x:c r="B495" s="20" t="str">
        <x:v>โรงแรมดับเบิ้ลยู กรุงเทพ</x:v>
      </x:c>
      <x:c r="C495" s="20" t="str">
        <x:v>กรุงเทพมหานคร</x:v>
      </x:c>
      <x:c r="D495" s="20" t="str">
        <x:v>คงไว้ในชุด 600</x:v>
      </x:c>
      <x:c r="E495" s="20" t="str">
        <x:v>พบหลายแหล่งสัมพันธ์กับชื่อ รอยืนยันการเปิด</x:v>
      </x:c>
      <x:c r="F495" s="20" t="str">
        <x:v>ยังไม่ยืนยันการเปิดให้บริการปัจจุบัน</x:v>
      </x:c>
      <x:c r="G495" s="26" t="n">
        <x:v>6</x:v>
      </x:c>
      <x:c r="H495" s="23" t="str"/>
      <x:c r="I495" s="23" t="str"/>
      <x:c r="J495" s="23" t="e">
        <x:f>HYPERLINK("https://www.booking.com/hotel/th/w-bangkok.th.html","เปิดหน้ารีวิว 1")</x:f>
        <x:v>HYPERLINK is not implemented. linkLocation=https://www.booking.com/hotel/th/w-bangkok.th.html, friendlyName=เปิดหน้ารีวิว 1</x:v>
      </x:c>
      <x:c r="K495" s="23" t="e">
        <x:f>HYPERLINK("https://www.wongnai.com/restaurants/124811xT-woobar-w-bangkok","เปิดหน้ารีวิว 2")</x:f>
        <x:v>HYPERLINK is not implemented. linkLocation=https://www.wongnai.com/restaurants/124811xT-woobar-w-bangkok, friendlyName=เปิดหน้ารีวิว 2</x:v>
      </x:c>
      <x:c r="L495" s="23" t="e">
        <x:f>HYPERLINK("https://www.kayak.co.th/%E0%B8%81%E0%B8%A3%E0%B8%B8%E0%B8%87%E0%B9%80%E0%B8%97%E0%B8%9E%E0%B8%A1%E0%B8%AB%E0%B8%B2%E0%B8%99%E0%B8%84%E0%B8%A3-%E0%B9%82%E0%B8%A3%E0%B8%87%E0%B9%81%E0%B8%A3%E0%B8%A1-%E0%B8%94%E0%B8%B1%E0%B8%9A%E0%B9%80%E0%B8%9A%E0%B8%B4%E0%B9%89%E0%B8%A5%E0%B8%A2%E0%B8%B9-%E0%B8%81%E0%B8%A3%E0%B8%B8%E0%B8%87%E0%B9%80%E0%B8%97%E0%B8%9E.468812.ksp","เปิดเว็บเพิ่ม 1")</x:f>
        <x:v>HYPERLINK is not implemented. linkLocation=https://www.kayak.co.th/%E0%B8%81%E0%B8%A3%E0%B8%B8%E0%B8%87%E0%B9%80%E0%B8%97%E0%B8%9E%E0%B8%A1%E0%B8%AB%E0%B8%B2%E0%B8%99%E0%B8%84%E0%B8%A3-%E0%B9%82%E0%B8%A3%E0%B8%87%E0%B9%81%E0%B8%A3%E0%B8%A1-%E0%B8%94%E0%B8%B1%E0%B8%9A%E0%B9%80%E0%B8%9A%E0%B8%B4%E0%B9%89%E0%B8%A5%E0%B8%A2%E0%B8%B9-%E0%B8%81%E0%B8%A3%E0%B8%B8%E0%B8%87%E0%B9%80%E0%B8%97%E0%B8%9E.468812.ksp, friendlyName=เปิดเว็บเพิ่ม 1</x:v>
      </x:c>
      <x:c r="M495" s="23" t="e">
        <x:f>HYPERLINK("https://inter.siam.edu/wp-content/uploads/2015/05/Human-Management-Systems-Effectively.pdf","เปิดเว็บเพิ่ม 2")</x:f>
        <x:v>HYPERLINK is not implemented. linkLocation=https://inter.siam.edu/wp-content/uploads/2015/05/Human-Management-Systems-Effectively.pdf, friendlyName=เปิดเว็บเพิ่ม 2</x:v>
      </x:c>
      <x:c r="N495" s="20" t="str">
        <x:v>ยังไม่ยืนยัน</x:v>
      </x:c>
      <x:c r="O49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95" s="25" t="n">
        <x:v>46315</x:v>
      </x:c>
      <x:c r="Q495" s="27" t="str">
        <x:v>ยังไม่ตรวจ</x:v>
      </x:c>
      <x:c r="R495" s="27" t="str">
        <x:v>รอติดต่อ</x:v>
      </x:c>
    </x:row>
    <x:row r="496" ht="76" customHeight="1">
      <x:c r="A496" s="24" t="str">
        <x:v>TMF-488</x:v>
      </x:c>
      <x:c r="B496" s="20" t="str">
        <x:v>โรงแรมรอยัลเอเชียประตูน้ำ</x:v>
      </x:c>
      <x:c r="C496" s="20" t="str">
        <x:v>กรุงเทพมหานคร</x:v>
      </x:c>
      <x:c r="D496" s="20" t="str">
        <x:v>คงไว้ในชุด 600</x:v>
      </x:c>
      <x:c r="E496" s="20" t="str">
        <x:v>พบหลายแหล่งสัมพันธ์กับชื่อ รอยืนยันการเปิด</x:v>
      </x:c>
      <x:c r="F496" s="20" t="str">
        <x:v>ยังไม่ยืนยันการเปิดให้บริการปัจจุบัน</x:v>
      </x:c>
      <x:c r="G496" s="26" t="n">
        <x:v>6</x:v>
      </x:c>
      <x:c r="H496" s="23" t="str"/>
      <x:c r="I496" s="23" t="str"/>
      <x:c r="J496" s="23" t="e">
        <x:f>HYPERLINK("https://www.google.co.th/travel/hotels/entity/ChoI8NCxwYLmk9SyARoNL2cvMTF2Njh3bGtyNBAB","เปิดหน้ารีวิว 1")</x:f>
        <x:v>HYPERLINK is not implemented. linkLocation=https://www.google.co.th/travel/hotels/entity/ChoI8NCxwYLmk9SyARoNL2cvMTF2Njh3bGtyNBAB, friendlyName=เปิดหน้ารีวิว 1</x:v>
      </x:c>
      <x:c r="K496" s="23" t="e">
        <x:f>HYPERLINK("https://th.trip.com/hotels/bangkok-hotel-detail-104424341/royal-asia-hotel-pratunam/review.html","เปิดหน้ารีวิว 2")</x:f>
        <x:v>HYPERLINK is not implemented. linkLocation=https://th.trip.com/hotels/bangkok-hotel-detail-104424341/royal-asia-hotel-pratunam/review.html, friendlyName=เปิดหน้ารีวิว 2</x:v>
      </x:c>
      <x:c r="L496" s="23" t="e">
        <x:f>HYPERLINK("https://www.klook.com/th/hotels/detail/1122893-royal-asia-hotel-pratunam/","เปิดเว็บเพิ่ม 1")</x:f>
        <x:v>HYPERLINK is not implemented. linkLocation=https://www.klook.com/th/hotels/detail/1122893-royal-asia-hotel-pratunam/, friendlyName=เปิดเว็บเพิ่ม 1</x:v>
      </x:c>
      <x:c r="M496" s="23" t="e">
        <x:f>HYPERLINK("https://dinogo.com/hotels/25734-royal-asia-hotel-pratunam","เปิดเว็บเพิ่ม 2")</x:f>
        <x:v>HYPERLINK is not implemented. linkLocation=https://dinogo.com/hotels/25734-royal-asia-hotel-pratunam, friendlyName=เปิดเว็บเพิ่ม 2</x:v>
      </x:c>
      <x:c r="N496" s="20" t="str">
        <x:v>ยังไม่ยืนยัน</x:v>
      </x:c>
      <x:c r="O49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96" s="25" t="n">
        <x:v>46315</x:v>
      </x:c>
      <x:c r="Q496" s="27" t="str">
        <x:v>ยังไม่ตรวจ</x:v>
      </x:c>
      <x:c r="R496" s="27" t="str">
        <x:v>รอติดต่อ</x:v>
      </x:c>
    </x:row>
    <x:row r="497" ht="76" customHeight="1">
      <x:c r="A497" s="24" t="str">
        <x:v>TMF-489</x:v>
      </x:c>
      <x:c r="B497" s="20" t="str">
        <x:v>โรงแรมสีลม ศิรีนทร์</x:v>
      </x:c>
      <x:c r="C497" s="20" t="str">
        <x:v>กรุงเทพมหานคร</x:v>
      </x:c>
      <x:c r="D497" s="20" t="str">
        <x:v>คงไว้ในชุด 600</x:v>
      </x:c>
      <x:c r="E497" s="20" t="str">
        <x:v>พบหลายแหล่งสัมพันธ์กับชื่อ รอยืนยันการเปิด</x:v>
      </x:c>
      <x:c r="F497" s="20" t="str">
        <x:v>ยังไม่ยืนยันการเปิดให้บริการปัจจุบัน</x:v>
      </x:c>
      <x:c r="G497" s="26" t="n">
        <x:v>2</x:v>
      </x:c>
      <x:c r="H497" s="23" t="str"/>
      <x:c r="I497" s="23" t="str"/>
      <x:c r="J497" s="23" t="e">
        <x:f>HYPERLINK("https://www.google.co.th/travel/hotels/entity/ChkI6cz_tbmC_LzYARoML2cvMXloNGc3NjRuEAE?rp=OAHCAhwiGg0AAJhBEhMIlKSZxuHflQMVCv5LAx1l3RQR&amp;ts=CAEaBAoCGgAqBAoAGgA","เปิดหน้ารีวิว 1")</x:f>
        <x:v>HYPERLINK is not implemented. linkLocation=https://www.google.co.th/travel/hotels/entity/ChkI6cz_tbmC_LzYARoML2cvMXloNGc3NjRuEAE?rp=OAHCAhwiGg0AAJhBEhMIlKSZxuHflQMVCv5LAx1l3RQR&amp;ts=CAEaBAoCGgAqBAoAGgA, friendlyName=เปิดหน้ารีวิว 1</x:v>
      </x:c>
      <x:c r="K497" s="23" t="e">
        <x:f>HYPERLINK("https://www.google.co.th/travel/hotels/entity/ChkI6cz_tbmC_LzYARoML2cvMXloNGc3NjRuEAE?rp=OAHCAhwiGg0AAKhBEhMIyOnTl7PTlQMVS_JLAx09ujAL&amp;ts=CAEaIgoCGgASHBIUCgcI6g8QChgcEgcI6g8QCxgBGAQyAhAAOAEqCQoFOgNVU0QaAA","เปิดหน้ารีวิว 2")</x:f>
        <x:v>HYPERLINK is not implemented. linkLocation=https://www.google.co.th/travel/hotels/entity/ChkI6cz_tbmC_LzYARoML2cvMXloNGc3NjRuEAE?rp=OAHCAhwiGg0AAKhBEhMIyOnTl7PTlQMVS_JLAx09ujAL&amp;ts=CAEaIgoCGgASHBIUCgcI6g8QChgcEgcI6g8QCxgBGAQyAhAAOAEqCQoFOgNVU0QaAA, friendlyName=เปิดหน้ารีวิว 2</x:v>
      </x:c>
      <x:c r="L497" s="23" t="str"/>
      <x:c r="M497" s="23" t="str"/>
      <x:c r="N497" s="20" t="str">
        <x:v>ยังไม่ยืนยัน</x:v>
      </x:c>
      <x:c r="O49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97" s="25" t="n">
        <x:v>46315</x:v>
      </x:c>
      <x:c r="Q497" s="27" t="str">
        <x:v>ยังไม่ตรวจ</x:v>
      </x:c>
      <x:c r="R497" s="27" t="str">
        <x:v>รอติดต่อ</x:v>
      </x:c>
    </x:row>
    <x:row r="498" ht="76" customHeight="1">
      <x:c r="A498" s="24" t="str">
        <x:v>TMF-490</x:v>
      </x:c>
      <x:c r="B498" s="20" t="str">
        <x:v>โรงแรมอาศัย กรุงเทพฯ สาทร</x:v>
      </x:c>
      <x:c r="C498" s="20" t="str">
        <x:v>กรุงเทพมหานคร</x:v>
      </x:c>
      <x:c r="D498" s="20" t="str">
        <x:v>คงไว้ในชุด 600</x:v>
      </x:c>
      <x:c r="E498" s="20" t="str">
        <x:v>พบหลายแหล่งสัมพันธ์กับชื่อ รอยืนยันการเปิด</x:v>
      </x:c>
      <x:c r="F498" s="20" t="str">
        <x:v>ยังไม่ยืนยันการเปิดให้บริการปัจจุบัน</x:v>
      </x:c>
      <x:c r="G498" s="26" t="n">
        <x:v>3</x:v>
      </x:c>
      <x:c r="H498" s="23" t="str"/>
      <x:c r="I498" s="23" t="str"/>
      <x:c r="J498" s="23" t="e">
        <x:f>HYPERLINK("https://www.google.co.th/travel/hotels/entity/ChoIu9qEmomUvea4ARoNL2cvMTF0YmZiMGpkMRAB?ap=MAA&amp;g2lb=2502405%2C4208993%2C4223281%2C4242898%2C4253024%2C4253230%2C4254308%2C4258168%2C4260007%2C4262509%2C4264355%2C4265959%2C4274032%2C4274649%2C4250437%2C4251519%2C4265427%2C4270859%2C4271268&amp;gl=th&amp;hl=th&amp;rp=OAFAAEgCwgIcIhoNAADIQxITCM660fe9pZUDFS3ySwMdR0IzAw&amp;tcfs=EgBSAA&amp;ts=CAEaBAoCGgAqBAoAGgA&amp;un=1","เปิดหน้ารีวิว 1")</x:f>
        <x:v>HYPERLINK is not implemented. linkLocation=https://www.google.co.th/travel/hotels/entity/ChoIu9qEmomUvea4ARoNL2cvMTF0YmZiMGpkMRAB?ap=MAA&amp;g2lb=2502405%2C4208993%2C4223281%2C4242898%2C4253024%2C4253230%2C4254308%2C4258168%2C4260007%2C4262509%2C4264355%2C4265959%2C4274032%2C4274649%2C4250437%2C4251519%2C4265427%2C4270859%2C4271268&amp;gl=th&amp;hl=th&amp;rp=OAFAAEgCwgIcIhoNAADIQxITCM660fe9pZUDFS3ySwMdR0IzAw&amp;tcfs=EgBSAA&amp;ts=CAEaBAoCGgAqBAoAGgA&amp;un=1, friendlyName=เปิดหน้ารีวิว 1</x:v>
      </x:c>
      <x:c r="K498" s="23" t="e">
        <x:f>HYPERLINK("https://www.google.co.th/travel/hotels/entity/ChoIu9qEmomUvea4ARoNL2cvMTF0YmZiMGpkMRAB?rp=OAHCAhwiGg0AACRCEhMIoObdifXGiAMVZ0CrAh0gaCog&amp;ts=CAEaBAoCGgAqBAoAGgA","เปิดหน้ารีวิว 2")</x:f>
        <x:v>HYPERLINK is not implemented. linkLocation=https://www.google.co.th/travel/hotels/entity/ChoIu9qEmomUvea4ARoNL2cvMTF0YmZiMGpkMRAB?rp=OAHCAhwiGg0AACRCEhMIoObdifXGiAMVZ0CrAh0gaCog&amp;ts=CAEaBAoCGgAqBAoAGgA, friendlyName=เปิดหน้ารีวิว 2</x:v>
      </x:c>
      <x:c r="L498" s="23" t="str"/>
      <x:c r="M498" s="23" t="str"/>
      <x:c r="N498" s="20" t="str">
        <x:v>ยังไม่ยืนยัน</x:v>
      </x:c>
      <x:c r="O49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98" s="25" t="n">
        <x:v>46315</x:v>
      </x:c>
      <x:c r="Q498" s="27" t="str">
        <x:v>ยังไม่ตรวจ</x:v>
      </x:c>
      <x:c r="R498" s="27" t="str">
        <x:v>รอติดต่อ</x:v>
      </x:c>
    </x:row>
    <x:row r="499" ht="76" customHeight="1">
      <x:c r="A499" s="24" t="str">
        <x:v>TMF-491</x:v>
      </x:c>
      <x:c r="B499" s="20" t="str">
        <x:v>โรงแรมอโนมา แกรนด์ กรุงเทพฯ</x:v>
      </x:c>
      <x:c r="C499" s="20" t="str">
        <x:v>กรุงเทพมหานคร</x:v>
      </x:c>
      <x:c r="D499" s="20" t="str">
        <x:v>คงไว้ในชุด 600</x:v>
      </x:c>
      <x:c r="E499" s="20" t="str">
        <x:v>พบหลายแหล่งสัมพันธ์กับชื่อ รอยืนยันการเปิด</x:v>
      </x:c>
      <x:c r="F499" s="20" t="str">
        <x:v>ยังไม่ยืนยันการเปิดให้บริการปัจจุบัน</x:v>
      </x:c>
      <x:c r="G499" s="26" t="n">
        <x:v>3</x:v>
      </x:c>
      <x:c r="H499" s="23" t="str"/>
      <x:c r="I499" s="23" t="str"/>
      <x:c r="J499" s="23" t="e">
        <x:f>HYPERLINK("https://www.google.co.th/travel/hotels/entity/ChgIo_3Ekp-u9MdmGgwvZy8xcTY3OGtwbmgQAQ","เปิดหน้ารีวิว 1")</x:f>
        <x:v>HYPERLINK is not implemented. linkLocation=https://www.google.co.th/travel/hotels/entity/ChgIo_3Ekp-u9MdmGgwvZy8xcTY3OGtwbmgQAQ, friendlyName=เปิดหน้ารีวิว 1</x:v>
      </x:c>
      <x:c r="K499" s="23" t="e">
        <x:f>HYPERLINK("https://www.google.co.th/travel/hotels/entity/ChgIo_3Ekp-u9MdmGgwvZy8xcTY3OGtwbmgQAQ?rp=OAHCAhwiGg0AAJBBEhMItvi9so7JlQMVtMZDAx2CECnU&amp;ts=CAEaBAoCGgAqBAoAGgA","เปิดหน้ารีวิว 2")</x:f>
        <x:v>HYPERLINK is not implemented. linkLocation=https://www.google.co.th/travel/hotels/entity/ChgIo_3Ekp-u9MdmGgwvZy8xcTY3OGtwbmgQAQ?rp=OAHCAhwiGg0AAJBBEhMItvi9so7JlQMVtMZDAx2CECnU&amp;ts=CAEaBAoCGgAqBAoAGgA, friendlyName=เปิดหน้ารีวิว 2</x:v>
      </x:c>
      <x:c r="L499" s="23" t="str"/>
      <x:c r="M499" s="23" t="str"/>
      <x:c r="N499" s="20" t="str">
        <x:v>ยังไม่ยืนยัน</x:v>
      </x:c>
      <x:c r="O49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499" s="25" t="n">
        <x:v>46315</x:v>
      </x:c>
      <x:c r="Q499" s="27" t="str">
        <x:v>ยังไม่ตรวจ</x:v>
      </x:c>
      <x:c r="R499" s="27" t="str">
        <x:v>รอติดต่อ</x:v>
      </x:c>
    </x:row>
    <x:row r="500" ht="76" customHeight="1">
      <x:c r="A500" s="24" t="str">
        <x:v>TMF-492</x:v>
      </x:c>
      <x:c r="B500" s="20" t="str">
        <x:v>โรงแรมฮอลิเดย์ อินน์ เอ็กซ์เพรส กรุงเทพ สาทร</x:v>
      </x:c>
      <x:c r="C500" s="20" t="str">
        <x:v>กรุงเทพมหานคร</x:v>
      </x:c>
      <x:c r="D500" s="20" t="str">
        <x:v>คงไว้ในชุด 600</x:v>
      </x:c>
      <x:c r="E500" s="20" t="str">
        <x:v>พบหลายแหล่งสัมพันธ์กับชื่อ รอยืนยันการเปิด</x:v>
      </x:c>
      <x:c r="F500" s="20" t="str">
        <x:v>ยังไม่ยืนยันการเปิดให้บริการปัจจุบัน</x:v>
      </x:c>
      <x:c r="G500" s="26" t="n">
        <x:v>6</x:v>
      </x:c>
      <x:c r="H500" s="23" t="str"/>
      <x:c r="I500" s="23" t="str"/>
      <x:c r="J500" s="23" t="e">
        <x:f>HYPERLINK("https://www.booking.com/hotel/th/holiday-inn-express-bangkok-sathorn.th.html","เปิดหน้ารีวิว 1")</x:f>
        <x:v>HYPERLINK is not implemented. linkLocation=https://www.booking.com/hotel/th/holiday-inn-express-bangkok-sathorn.th.html, friendlyName=เปิดหน้ารีวิว 1</x:v>
      </x:c>
      <x:c r="K500" s="23" t="e">
        <x:f>HYPERLINK("https://www.google.co.th/travel/hotels/entity/ChkI0tPo15unjtvfARoML2cvMXB0ejByazJoEAE","เปิดหน้ารีวิว 2")</x:f>
        <x:v>HYPERLINK is not implemented. linkLocation=https://www.google.co.th/travel/hotels/entity/ChkI0tPo15unjtvfARoML2cvMXB0ejByazJoEAE, friendlyName=เปิดหน้ารีวิว 2</x:v>
      </x:c>
      <x:c r="L500" s="23" t="e">
        <x:f>HYPERLINK("https://www.kayak.co.th/%E0%B8%81%E0%B8%A3%E0%B8%B8%E0%B8%87%E0%B9%80%E0%B8%97%E0%B8%9E%E0%B8%A1%E0%B8%AB%E0%B8%B2%E0%B8%99%E0%B8%84%E0%B8%A3-%E0%B9%82%E0%B8%A3%E0%B8%87%E0%B9%81%E0%B8%A3%E0%B8%A1-%E0%B8%AE%E0%B8%AD%E0%B8%A5%E0%B8%B4%E0%B9%80%E0%B8%94%E0%B8%A2%E0%B9%8C-%E0%B8%AD%E0%B8%B4%E0%B8%99%E0%B8%99%E0%B9%8C-%E0%B9%80%E0%B8%AD%E0%B9%87%E0%B8%81%E0%B8%8B%E0%B9%8C%E0%B9%80%E0%B8%9E%E0%B8%A3%E0%B8%AA-%E0%B8%81%E0%B8%A3%E0%B8%B8%E0%B8%87%E0%B9%80%E0%B8%97%E0%B8%9E-%E0%B8%AA%E0%B8%B2%E0%B8%97%E0%B8%A3.2076534.ksp","เปิดเว็บเพิ่ม 1")</x:f>
        <x:v>HYPERLINK is not implemented. linkLocation=https://www.kayak.co.th/%E0%B8%81%E0%B8%A3%E0%B8%B8%E0%B8%87%E0%B9%80%E0%B8%97%E0%B8%9E%E0%B8%A1%E0%B8%AB%E0%B8%B2%E0%B8%99%E0%B8%84%E0%B8%A3-%E0%B9%82%E0%B8%A3%E0%B8%87%E0%B9%81%E0%B8%A3%E0%B8%A1-%E0%B8%AE%E0%B8%AD%E0%B8%A5%E0%B8%B4%E0%B9%80%E0%B8%94%E0%B8%A2%E0%B9%8C-%E0%B8%AD%E0%B8%B4%E0%B8%99%E0%B8%99%E0%B9%8C-%E0%B9%80%E0%B8%AD%E0%B9%87%E0%B8%81%E0%B8%8B%E0%B9%8C%E0%B9%80%E0%B8%9E%E0%B8%A3%E0%B8%AA-%E0%B8%81%E0%B8%A3%E0%B8%B8%E0%B8%87%E0%B9%80%E0%B8%97%E0%B8%9E-%E0%B8%AA%E0%B8%B2%E0%B8%97%E0%B8%A3.2076534.ksp, friendlyName=เปิดเว็บเพิ่ม 1</x:v>
      </x:c>
      <x:c r="M500" s="23" t="str"/>
      <x:c r="N500" s="20" t="str">
        <x:v>ยังไม่ยืนยัน</x:v>
      </x:c>
      <x:c r="O50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00" s="25" t="n">
        <x:v>46315</x:v>
      </x:c>
      <x:c r="Q500" s="27" t="str">
        <x:v>ยังไม่ตรวจ</x:v>
      </x:c>
      <x:c r="R500" s="27" t="str">
        <x:v>รอติดต่อ</x:v>
      </x:c>
    </x:row>
    <x:row r="501" ht="76" customHeight="1">
      <x:c r="A501" s="24" t="str">
        <x:v>TMF-493</x:v>
      </x:c>
      <x:c r="B501" s="20" t="str">
        <x:v>โรงแรมเซ็นเตอร์ พอยต์ พลัส ประตูน้ำ</x:v>
      </x:c>
      <x:c r="C501" s="20" t="str">
        <x:v>กรุงเทพมหานคร</x:v>
      </x:c>
      <x:c r="D501" s="20" t="str">
        <x:v>คงไว้ในชุด 600</x:v>
      </x:c>
      <x:c r="E501" s="20" t="str">
        <x:v>พบหลายแหล่งสัมพันธ์กับชื่อ รอยืนยันการเปิด</x:v>
      </x:c>
      <x:c r="F501" s="20" t="str">
        <x:v>ยังไม่ยืนยันการเปิดให้บริการปัจจุบัน</x:v>
      </x:c>
      <x:c r="G501" s="26" t="n">
        <x:v>2</x:v>
      </x:c>
      <x:c r="H501" s="23" t="str"/>
      <x:c r="I501" s="23" t="str"/>
      <x:c r="J501" s="23" t="e">
        <x:f>HYPERLINK("https://www.google.co.th/travel/hotels/entity/ChgIhY_xu8f18rKVARoLL2cvMXRkd3MzZHAQAQ?rp=OAHCAhwiGg0AADxCEhMIit2Skd7ClQMVhfJLAx2VRSHo&amp;ts=CAEaBAoCGgAqBAoAGgA","เปิดหน้ารีวิว 1")</x:f>
        <x:v>HYPERLINK is not implemented. linkLocation=https://www.google.co.th/travel/hotels/entity/ChgIhY_xu8f18rKVARoLL2cvMXRkd3MzZHAQAQ?rp=OAHCAhwiGg0AADxCEhMIit2Skd7ClQMVhfJLAx2VRSHo&amp;ts=CAEaBAoCGgAqBAoAGgA, friendlyName=เปิดหน้ารีวิว 1</x:v>
      </x:c>
      <x:c r="K501" s="23" t="e">
        <x:f>HYPERLINK("https://www.google.co.th/travel/hotels/entity/ChgIhY_xu8f18rKVARoLL2cvMXRkd3MzZHAQAQ?ap=MAA&amp;g2lb=4159845%2C4207876%2C4208993%2C4220293%2C4223281%2C4242898%2C4253230%2C4254308%2C4256748%2C4258168%2C4250437%2C4253015&amp;gl=th&amp;hl=th&amp;rp=OAFAAEgC&amp;tcfs=EjMKCS9tLzAxazh6ZxIM4LiZ4LmI4Liy4LiZGhgKCjIwMTktMDUtMTgSCjIwMTktMDUtMTlSAA&amp;ts=CAESABpmCkgSRDIlMHgzMDRkOGRmNzQ3NDI0ZGIxOjB4OWVkNzJjODgwNzU3ZTgwMjob4Lib4Lij4Liw4LmA4LiX4Lio4LmE4LiX4LiiGgASGhIUCgcI5Q8QCBgEEgcI5Q8QCBgFGAEyAhAAKgkKBToDVEhCGgA&amp;un=1","เปิดหน้ารีวิว 2")</x:f>
        <x:v>HYPERLINK is not implemented. linkLocation=https://www.google.co.th/travel/hotels/entity/ChgIhY_xu8f18rKVARoLL2cvMXRkd3MzZHAQAQ?ap=MAA&amp;g2lb=4159845%2C4207876%2C4208993%2C4220293%2C4223281%2C4242898%2C4253230%2C4254308%2C4256748%2C4258168%2C4250437%2C4253015&amp;gl=th&amp;hl=th&amp;rp=OAFAAEgC&amp;tcfs=EjMKCS9tLzAxazh6ZxIM4LiZ4LmI4Liy4LiZGhgKCjIwMTktMDUtMTgSCjIwMTktMDUtMTlSAA&amp;ts=CAESABpmCkgSRDIlMHgzMDRkOGRmNzQ3NDI0ZGIxOjB4OWVkNzJjODgwNzU3ZTgwMjob4Lib4Lij4Liw4LmA4LiX4Lio4LmE4LiX4LiiGgASGhIUCgcI5Q8QCBgEEgcI5Q8QCBgFGAEyAhAAKgkKBToDVEhCGgA&amp;un=1, friendlyName=เปิดหน้ารีวิว 2</x:v>
      </x:c>
      <x:c r="L501" s="23" t="str"/>
      <x:c r="M501" s="23" t="str"/>
      <x:c r="N501" s="20" t="str">
        <x:v>ยังไม่ยืนยัน</x:v>
      </x:c>
      <x:c r="O50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01" s="25" t="n">
        <x:v>46315</x:v>
      </x:c>
      <x:c r="Q501" s="27" t="str">
        <x:v>ยังไม่ตรวจ</x:v>
      </x:c>
      <x:c r="R501" s="27" t="str">
        <x:v>รอติดต่อ</x:v>
      </x:c>
    </x:row>
    <x:row r="502" ht="76" customHeight="1">
      <x:c r="A502" s="24" t="str">
        <x:v>TMF-494</x:v>
      </x:c>
      <x:c r="B502" s="20" t="str">
        <x:v>โรงแรมเดอะ ควอเตอร์ สีลม บาย ยูเอชจี</x:v>
      </x:c>
      <x:c r="C502" s="20" t="str">
        <x:v>กรุงเทพมหานคร</x:v>
      </x:c>
      <x:c r="D502" s="20" t="str">
        <x:v>คงไว้ในชุด 600</x:v>
      </x:c>
      <x:c r="E502" s="20" t="str">
        <x:v>พบหลายแหล่งสัมพันธ์กับชื่อ รอยืนยันการเปิด</x:v>
      </x:c>
      <x:c r="F502" s="20" t="str">
        <x:v>ยังไม่ยืนยันการเปิดให้บริการปัจจุบัน</x:v>
      </x:c>
      <x:c r="G502" s="26" t="n">
        <x:v>2</x:v>
      </x:c>
      <x:c r="H502" s="23" t="str"/>
      <x:c r="I502" s="23" t="str"/>
      <x:c r="J502" s="23" t="e">
        <x:f>HYPERLINK("https://www.google.com/travel/hotels/entity/CgsIp5qZ8Kjo3aLFARAB?g2lb=2502548%2C4258168%2C4270442%2C4271060%2C4306835%2C4317915%2C4322823%2C4328159%2C4371334%2C4401769%2C4419364%2C4425458%2C4433754%2C4441771%2C4444000%2C4447566%2C4270859%2C4284970%2C4291517%2C4412693&amp;gl=th&amp;hl=th-TH&amp;hrf=IgNUSEIqFgoHCOQPEAoYFxIHCOQPEAoYGBgBKACCASUweDMwZTI5ZjMwZmYzNjA4NTE6MHgyNzk4YTc2ZDhhNTFhOWJimgEnGiUweDMwZTI5ZjMwZmYzNjA4NTE6MHgyNzk4YTc2ZDhhNTFhOWJi&amp;rp=ELvTxtLY7anMJxC708bS2O2pzCc4AkAASAHAAQI&amp;un=1","เปิดหน้ารีวิว 1")</x:f>
        <x:v>HYPERLINK is not implemented. linkLocation=https://www.google.com/travel/hotels/entity/CgsIp5qZ8Kjo3aLFARAB?g2lb=2502548%2C4258168%2C4270442%2C4271060%2C4306835%2C4317915%2C4322823%2C4328159%2C4371334%2C4401769%2C4419364%2C4425458%2C4433754%2C4441771%2C4444000%2C4447566%2C4270859%2C4284970%2C4291517%2C4412693&amp;gl=th&amp;hl=th-TH&amp;hrf=IgNUSEIqFgoHCOQPEAoYFxIHCOQPEAoYGBgBKACCASUweDMwZTI5ZjMwZmYzNjA4NTE6MHgyNzk4YTc2ZDhhNTFhOWJimgEnGiUweDMwZTI5ZjMwZmYzNjA4NTE6MHgyNzk4YTc2ZDhhNTFhOWJi&amp;rp=ELvTxtLY7anMJxC708bS2O2pzCc4AkAASAHAAQI&amp;un=1, friendlyName=เปิดหน้ารีวิว 1</x:v>
      </x:c>
      <x:c r="K502" s="23" t="e">
        <x:f>HYPERLINK("https://www.google.co.th/travel/hotels/entity/ChoIp5qZ8Kjo3aLFARoNL2cvMTFoNDF6eHd3ORAB?rp=OAHCAhwiGg0AAKdDEhMI0eTct4DrlQMVALfCCB0Rzwsn&amp;ts=CAEaIAoCGgASGhIUCgcI6g8QChgREgcI6g8QChgSGAEyAhAAKgkKBToDVVNEGgA","เปิดหน้ารีวิว 2")</x:f>
        <x:v>HYPERLINK is not implemented. linkLocation=https://www.google.co.th/travel/hotels/entity/ChoIp5qZ8Kjo3aLFARoNL2cvMTFoNDF6eHd3ORAB?rp=OAHCAhwiGg0AAKdDEhMI0eTct4DrlQMVALfCCB0Rzwsn&amp;ts=CAEaIAoCGgASGhIUCgcI6g8QChgREgcI6g8QChgSGAEyAhAAKgkKBToDVVNEGgA, friendlyName=เปิดหน้ารีวิว 2</x:v>
      </x:c>
      <x:c r="L502" s="23" t="str"/>
      <x:c r="M502" s="23" t="str"/>
      <x:c r="N502" s="20" t="str">
        <x:v>ยังไม่ยืนยัน</x:v>
      </x:c>
      <x:c r="O50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02" s="25" t="n">
        <x:v>46315</x:v>
      </x:c>
      <x:c r="Q502" s="27" t="str">
        <x:v>ยังไม่ตรวจ</x:v>
      </x:c>
      <x:c r="R502" s="27" t="str">
        <x:v>รอติดต่อ</x:v>
      </x:c>
    </x:row>
    <x:row r="503" ht="76" customHeight="1">
      <x:c r="A503" s="24" t="str">
        <x:v>TMF-495</x:v>
      </x:c>
      <x:c r="B503" s="20" t="str">
        <x:v>โรงแรมเดอะ เบอร์เคลีย์ ประตูน้ำ</x:v>
      </x:c>
      <x:c r="C503" s="20" t="str">
        <x:v>กรุงเทพมหานคร</x:v>
      </x:c>
      <x:c r="D503" s="20" t="str">
        <x:v>คงไว้ในชุด 600</x:v>
      </x:c>
      <x:c r="E503" s="20" t="str">
        <x:v>พบหลายแหล่งสัมพันธ์กับชื่อ รอยืนยันการเปิด</x:v>
      </x:c>
      <x:c r="F503" s="20" t="str">
        <x:v>ยังไม่ยืนยันการเปิดให้บริการปัจจุบัน</x:v>
      </x:c>
      <x:c r="G503" s="26" t="n">
        <x:v>2</x:v>
      </x:c>
      <x:c r="H503" s="23" t="str"/>
      <x:c r="I503" s="23" t="str"/>
      <x:c r="J503" s="23" t="e">
        <x:f>HYPERLINK("https://www.google.co.th/travel/hotels/entity/CgsIgpT96orRxo3gARAB?g2lb=2502548%2C4258168%2C4260007%2C4274032%2C4276710%2C4305595%2C4306835%2C4308216%2C4308227%2C4314846%2C4317915%2C4328159%2C4329288%2C4330862%2C4341278%2C4346807%2C4356223%2C4358419%2C4270859%2C4284970%2C4316256&amp;gl=th&amp;hl=th&amp;q=nature+boutique+hotel&amp;rp=ENOqzJSt_67IdTgBQABIAYoCFW5hdHVyZSBib3V0aXF1ZSBob3RlbA&amp;ts=CAESABpLCi0SKTon4LiB4Lij4Li44LiH4LmA4LiX4Lie4Lih4Lir4Liy4LiZ4LiE4LijGgASGhIUCgcI5Q8QCRgBEgcI5Q8QCRgCGAEyAhAAKgsKBygBOgNUSEIaAA&amp;un=1","เปิดหน้ารีวิว 1")</x:f>
        <x:v>HYPERLINK is not implemented. linkLocation=https://www.google.co.th/travel/hotels/entity/CgsIgpT96orRxo3gARAB?g2lb=2502548%2C4258168%2C4260007%2C4274032%2C4276710%2C4305595%2C4306835%2C4308216%2C4308227%2C4314846%2C4317915%2C4328159%2C4329288%2C4330862%2C4341278%2C4346807%2C4356223%2C4358419%2C4270859%2C4284970%2C4316256&amp;gl=th&amp;hl=th&amp;q=nature+boutique+hotel&amp;rp=ENOqzJSt_67IdTgBQABIAYoCFW5hdHVyZSBib3V0aXF1ZSBob3RlbA&amp;ts=CAESABpLCi0SKTon4LiB4Lij4Li44LiH4LmA4LiX4Lie4Lih4Lir4Liy4LiZ4LiE4LijGgASGhIUCgcI5Q8QCRgBEgcI5Q8QCRgCGAEyAhAAKgsKBygBOgNUSEIaAA&amp;un=1, friendlyName=เปิดหน้ารีวิว 1</x:v>
      </x:c>
      <x:c r="K503" s="23" t="e">
        <x:f>HYPERLINK("https://www.google.co.th/travel/hotels/entity/CgsIgpT96orRxo3gARAB?ap=MAA&amp;rp=OAFIAsICHCIaDQAAgEESEwj6m9SajOKRAxVVr8IIHejTDk8&amp;ts=CAEaBAoCGgAqBAoAGgA","เปิดหน้ารีวิว 2")</x:f>
        <x:v>HYPERLINK is not implemented. linkLocation=https://www.google.co.th/travel/hotels/entity/CgsIgpT96orRxo3gARAB?ap=MAA&amp;rp=OAFIAsICHCIaDQAAgEESEwj6m9SajOKRAxVVr8IIHejTDk8&amp;ts=CAEaBAoCGgAqBAoAGgA, friendlyName=เปิดหน้ารีวิว 2</x:v>
      </x:c>
      <x:c r="L503" s="23" t="str"/>
      <x:c r="M503" s="23" t="str"/>
      <x:c r="N503" s="20" t="str">
        <x:v>ยังไม่ยืนยัน</x:v>
      </x:c>
      <x:c r="O50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03" s="25" t="n">
        <x:v>46315</x:v>
      </x:c>
      <x:c r="Q503" s="27" t="str">
        <x:v>ยังไม่ตรวจ</x:v>
      </x:c>
      <x:c r="R503" s="27" t="str">
        <x:v>รอติดต่อ</x:v>
      </x:c>
    </x:row>
    <x:row r="504" ht="76" customHeight="1">
      <x:c r="A504" s="24" t="str">
        <x:v>TMF-496</x:v>
      </x:c>
      <x:c r="B504" s="20" t="str">
        <x:v>โรงแรมเลอฟินิกซ์ สุขุมวิท</x:v>
      </x:c>
      <x:c r="C504" s="20" t="str">
        <x:v>กรุงเทพมหานคร</x:v>
      </x:c>
      <x:c r="D504" s="20" t="str">
        <x:v>คงไว้ในชุด 600</x:v>
      </x:c>
      <x:c r="E504" s="20" t="str">
        <x:v>พบหลายแหล่งสัมพันธ์กับชื่อ รอยืนยันการเปิด</x:v>
      </x:c>
      <x:c r="F504" s="20" t="str">
        <x:v>ยังไม่ยืนยันการเปิดให้บริการปัจจุบัน</x:v>
      </x:c>
      <x:c r="G504" s="26" t="n">
        <x:v>3</x:v>
      </x:c>
      <x:c r="H504" s="23" t="str"/>
      <x:c r="I504" s="23" t="str"/>
      <x:c r="J504" s="23" t="e">
        <x:f>HYPERLINK("https://www.google.co.th/travel/hotels/entity/ChgI9478n8ehy_UfGgwvZy8xamt2eXJ2NjAQAQ","เปิดหน้ารีวิว 1")</x:f>
        <x:v>HYPERLINK is not implemented. linkLocation=https://www.google.co.th/travel/hotels/entity/ChgI9478n8ehy_UfGgwvZy8xamt2eXJ2NjAQAQ, friendlyName=เปิดหน้ารีวิว 1</x:v>
      </x:c>
      <x:c r="K504" s="23" t="str"/>
      <x:c r="L504" s="23" t="e">
        <x:f>HYPERLINK("https://www.hotelscombined.co.th/Hotel/Le_Fenix_Sukhumvit.htm","เปิดเว็บเพิ่ม 1")</x:f>
        <x:v>HYPERLINK is not implemented. linkLocation=https://www.hotelscombined.co.th/Hotel/Le_Fenix_Sukhumvit.htm, friendlyName=เปิดเว็บเพิ่ม 1</x:v>
      </x:c>
      <x:c r="M504" s="23" t="str"/>
      <x:c r="N504" s="20" t="str">
        <x:v>ยังไม่ยืนยัน</x:v>
      </x:c>
      <x:c r="O50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04" s="25" t="n">
        <x:v>46315</x:v>
      </x:c>
      <x:c r="Q504" s="27" t="str">
        <x:v>ยังไม่ตรวจ</x:v>
      </x:c>
      <x:c r="R504" s="27" t="str">
        <x:v>รอติดต่อ</x:v>
      </x:c>
    </x:row>
    <x:row r="505" ht="76" customHeight="1">
      <x:c r="A505" s="24" t="str">
        <x:v>TMF-497</x:v>
      </x:c>
      <x:c r="B505" s="20" t="str">
        <x:v>โรงแรมโฟร์ซีซั่นส์ กรุงเทพ ริมแม่น้ำเจ้าพระยา</x:v>
      </x:c>
      <x:c r="C505" s="20" t="str">
        <x:v>กรุงเทพมหานคร</x:v>
      </x:c>
      <x:c r="D505" s="20" t="str">
        <x:v>คงไว้ในชุด 600</x:v>
      </x:c>
      <x:c r="E505" s="20" t="str">
        <x:v>พบหลายแหล่งสัมพันธ์กับชื่อ รอยืนยันการเปิด</x:v>
      </x:c>
      <x:c r="F505" s="20" t="str">
        <x:v>ยังไม่ยืนยันการเปิดให้บริการปัจจุบัน</x:v>
      </x:c>
      <x:c r="G505" s="26" t="n">
        <x:v>2</x:v>
      </x:c>
      <x:c r="H505" s="23" t="str"/>
      <x:c r="I505" s="23" t="str"/>
      <x:c r="J505" s="23" t="e">
        <x:f>HYPERLINK("https://www.google.co.th/travel/hotels/entity/CgsI6aqaz_TVqffFARAB?rp=OAHCAhwiGg0AAEhCEhMI1cakw-_MlgMVNrIDAB2YBhP2&amp;ts=CAESCgoCCAMKAggDEAAaIAoCGgASGhIUCgcI6g8QCxgGEgcI6g8QCxgNGAcyAhAAKgkKBToDVVNEGgA","เปิดหน้ารีวิว 1")</x:f>
        <x:v>HYPERLINK is not implemented. linkLocation=https://www.google.co.th/travel/hotels/entity/CgsI6aqaz_TVqffFARAB?rp=OAHCAhwiGg0AAEhCEhMI1cakw-_MlgMVNrIDAB2YBhP2&amp;ts=CAESCgoCCAMKAggDEAAaIAoCGgASGhIUCgcI6g8QCxgGEgcI6g8QCxgNGAcyAhAAKgkKBToDVVNEGgA, friendlyName=เปิดหน้ารีวิว 1</x:v>
      </x:c>
      <x:c r="K505" s="23" t="e">
        <x:f>HYPERLINK("https://www.google.co.th/travel/hotels/entity/CgsI6aqaz_TVqffFARAB?rp=OAHCAhwiGg0AAKhBEhMIyOnTl7PTlQMVS_JLAx09ujAL&amp;ts=CAEaIgoCGgASHBIUCgcI6g8QChgcEgcI6g8QCxgBGAQyAhAAOAEqCQoFOgNVU0QaAA","เปิดหน้ารีวิว 2")</x:f>
        <x:v>HYPERLINK is not implemented. linkLocation=https://www.google.co.th/travel/hotels/entity/CgsI6aqaz_TVqffFARAB?rp=OAHCAhwiGg0AAKhBEhMIyOnTl7PTlQMVS_JLAx09ujAL&amp;ts=CAEaIgoCGgASHBIUCgcI6g8QChgcEgcI6g8QCxgBGAQyAhAAOAEqCQoFOgNVU0QaAA, friendlyName=เปิดหน้ารีวิว 2</x:v>
      </x:c>
      <x:c r="L505" s="23" t="str"/>
      <x:c r="M505" s="23" t="str"/>
      <x:c r="N505" s="20" t="str">
        <x:v>ยังไม่ยืนยัน</x:v>
      </x:c>
      <x:c r="O50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05" s="25" t="n">
        <x:v>46315</x:v>
      </x:c>
      <x:c r="Q505" s="27" t="str">
        <x:v>ยังไม่ตรวจ</x:v>
      </x:c>
      <x:c r="R505" s="27" t="str">
        <x:v>รอติดต่อ</x:v>
      </x:c>
    </x:row>
    <x:row r="506" ht="76" customHeight="1">
      <x:c r="A506" s="24" t="str">
        <x:v>TMF-498</x:v>
      </x:c>
      <x:c r="B506" s="20" t="str">
        <x:v>โรงแรมไชน่าทาวน์</x:v>
      </x:c>
      <x:c r="C506" s="20" t="str">
        <x:v>กรุงเทพมหานคร</x:v>
      </x:c>
      <x:c r="D506" s="20" t="str">
        <x:v>คงไว้ในชุด 600</x:v>
      </x:c>
      <x:c r="E506" s="20" t="str">
        <x:v>พบหลายแหล่งสัมพันธ์กับชื่อ รอยืนยันการเปิด</x:v>
      </x:c>
      <x:c r="F506" s="20" t="str">
        <x:v>ยังไม่ยืนยันการเปิดให้บริการปัจจุบัน</x:v>
      </x:c>
      <x:c r="G506" s="26" t="n">
        <x:v>9</x:v>
      </x:c>
      <x:c r="H506" s="23" t="str"/>
      <x:c r="I506" s="23" t="str"/>
      <x:c r="J506" s="23" t="e">
        <x:f>HYPERLINK("https://www.agoda.com/th-th/chinatown-hotel/hotel/bangkok-th.html","เปิดหน้ารีวิว 1")</x:f>
        <x:v>HYPERLINK is not implemented. linkLocation=https://www.agoda.com/th-th/chinatown-hotel/hotel/bangkok-th.html, friendlyName=เปิดหน้ารีวิว 1</x:v>
      </x:c>
      <x:c r="K506" s="23" t="e">
        <x:f>HYPERLINK("https://www.google.co.th/travel/hotels/entity/ChgI8fWkwdvFjbLZARoLL2cvMXR0dGo0czUQAQ?rp=OAHCAhwiGg0AADBCEhMIwr6jzKCyiAMVYnirAh3yHgeZ&amp;ts=CAEaBAoCGgAqBAoAGgA","เปิดหน้ารีวิว 2")</x:f>
        <x:v>HYPERLINK is not implemented. linkLocation=https://www.google.co.th/travel/hotels/entity/ChgI8fWkwdvFjbLZARoLL2cvMXR0dGo0czUQAQ?rp=OAHCAhwiGg0AADBCEhMIwr6jzKCyiAMVYnirAh3yHgeZ&amp;ts=CAEaBAoCGgAqBAoAGgA, friendlyName=เปิดหน้ารีวิว 2</x:v>
      </x:c>
      <x:c r="L506" s="23" t="e">
        <x:f>HYPERLINK("https://www.dusit-international.com/storage/document/shareholder-meetings/agm2025-postponed/dusit-agm2025-minutes-th.pdf","เปิดเว็บเพิ่ม 1")</x:f>
        <x:v>HYPERLINK is not implemented. linkLocation=https://www.dusit-international.com/storage/document/shareholder-meetings/agm2025-postponed/dusit-agm2025-minutes-th.pdf, friendlyName=เปิดเว็บเพิ่ม 1</x:v>
      </x:c>
      <x:c r="M506" s="23" t="e">
        <x:f>HYPERLINK("https://market.sec.or.th/public/idisc/Download?FILEID=dat%2Fnews%2F202409%2F0007NWS170920240846460259T.pdf","เปิดเว็บเพิ่ม 2")</x:f>
        <x:v>HYPERLINK is not implemented. linkLocation=https://market.sec.or.th/public/idisc/Download?FILEID=dat%2Fnews%2F202409%2F0007NWS170920240846460259T.pdf, friendlyName=เปิดเว็บเพิ่ม 2</x:v>
      </x:c>
      <x:c r="N506" s="20" t="str">
        <x:v>ยังไม่ยืนยัน</x:v>
      </x:c>
      <x:c r="O50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06" s="25" t="n">
        <x:v>46315</x:v>
      </x:c>
      <x:c r="Q506" s="27" t="str">
        <x:v>ยังไม่ตรวจ</x:v>
      </x:c>
      <x:c r="R506" s="27" t="str">
        <x:v>รอติดต่อ</x:v>
      </x:c>
    </x:row>
    <x:row r="507" ht="76" customHeight="1">
      <x:c r="A507" s="24" t="str">
        <x:v>TMF-499</x:v>
      </x:c>
      <x:c r="B507" s="20" t="str">
        <x:v>เอ็มโพเรียม (Emporium)</x:v>
      </x:c>
      <x:c r="C507" s="20" t="str">
        <x:v>กรุงเทพมหานคร</x:v>
      </x:c>
      <x:c r="D507" s="20" t="str">
        <x:v>คงไว้ในชุด 600</x:v>
      </x:c>
      <x:c r="E507" s="20" t="str">
        <x:v>พบหลายแหล่งสัมพันธ์กับชื่อ รอยืนยันการเปิด</x:v>
      </x:c>
      <x:c r="F507" s="20" t="str">
        <x:v>ยังไม่ยืนยันการเปิดให้บริการปัจจุบัน</x:v>
      </x:c>
      <x:c r="G507" s="26" t="n">
        <x:v>6</x:v>
      </x:c>
      <x:c r="H507" s="23" t="str"/>
      <x:c r="I507" s="23" t="str"/>
      <x:c r="J507" s="23" t="e">
        <x:f>HYPERLINK("https://www.wongnai.com/restaurants/2745163lz-%E0%B9%82%E0%B8%84%E0%B8%95%E0%B8%A3%E0%B8%81%E0%B8%B0%E0%B9%80%E0%B8%9E%E0%B8%A3%E0%B8%B2%E0%B8%88%E0%B8%87%E0%B9%80%E0%B8%88%E0%B8%A3%E0%B8%B4%E0%B8%8D-%E0%B9%80%E0%B8%AD%E0%B9%87%E0%B8%A1%E0%B9%82%E0%B8%9E%E0%B9%80%E0%B8%A3%E0%B8%B5%E0%B8%A2%E0%B8%A1-%E0%B9%80%E0%B8%AD%E0%B9%87%E0%B8%A1%E0%B9%82%E0%B8%9E%E0%B9%80%E0%B8%A3%E0%B8%B5%E0%B8%A2%E0%B8%A1","เปิดหน้ารีวิว 1")</x:f>
        <x:v>HYPERLINK is not implemented. linkLocation=https://www.wongnai.com/restaurants/2745163lz-%E0%B9%82%E0%B8%84%E0%B8%95%E0%B8%A3%E0%B8%81%E0%B8%B0%E0%B9%80%E0%B8%9E%E0%B8%A3%E0%B8%B2%E0%B8%88%E0%B8%87%E0%B9%80%E0%B8%88%E0%B8%A3%E0%B8%B4%E0%B8%8D-%E0%B9%80%E0%B8%AD%E0%B9%87%E0%B8%A1%E0%B9%82%E0%B8%9E%E0%B9%80%E0%B8%A3%E0%B8%B5%E0%B8%A2%E0%B8%A1-%E0%B9%80%E0%B8%AD%E0%B9%87%E0%B8%A1%E0%B9%82%E0%B8%9E%E0%B9%80%E0%B8%A3%E0%B8%B5%E0%B8%A2%E0%B8%A1, friendlyName=เปิดหน้ารีวิว 1</x:v>
      </x:c>
      <x:c r="K507" s="23" t="e">
        <x:f>HYPERLINK("https://restaurantguru.com/KAMU-KAMU-The-Emporium-%E0%B8%84%E0%B8%B2%E0%B8%A1%E0%B8%B8%E0%B8%AA%E0%B8%B2%E0%B8%82%E0%B8%B2%E0%B8%94%E0%B8%B4%E0%B9%80%E0%B8%AD%E0%B9%87%E0%B8%A1%E0%B9%82%E0%B8%9E%E0%B9%80%E0%B8%A3%E0%B8%B5%E0%B8%A2%E0%B8%A1-Bangkok","เปิดหน้ารีวิว 2")</x:f>
        <x:v>HYPERLINK is not implemented. linkLocation=https://restaurantguru.com/KAMU-KAMU-The-Emporium-%E0%B8%84%E0%B8%B2%E0%B8%A1%E0%B8%B8%E0%B8%AA%E0%B8%B2%E0%B8%82%E0%B8%B2%E0%B8%94%E0%B8%B4%E0%B9%80%E0%B8%AD%E0%B9%87%E0%B8%A1%E0%B9%82%E0%B8%9E%E0%B9%80%E0%B8%A3%E0%B8%B5%E0%B8%A2%E0%B8%A1-Bangkok, friendlyName=เปิดหน้ารีวิว 2</x:v>
      </x:c>
      <x:c r="L507" s="23" t="e">
        <x:f>HYPERLINK("https://www.thaimiceconnect.com/business/detail/20992","เปิดเว็บเพิ่ม 1")</x:f>
        <x:v>HYPERLINK is not implemented. linkLocation=https://www.thaimiceconnect.com/business/detail/20992, friendlyName=เปิดเว็บเพิ่ม 1</x:v>
      </x:c>
      <x:c r="M507" s="23" t="e">
        <x:f>HYPERLINK("https://www.gplace.com/968263","เปิดเว็บเพิ่ม 2")</x:f>
        <x:v>HYPERLINK is not implemented. linkLocation=https://www.gplace.com/968263, friendlyName=เปิดเว็บเพิ่ม 2</x:v>
      </x:c>
      <x:c r="N507" s="20" t="str">
        <x:v>ยังไม่ยืนยัน</x:v>
      </x:c>
      <x:c r="O50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07" s="25" t="n">
        <x:v>46315</x:v>
      </x:c>
      <x:c r="Q507" s="27" t="str">
        <x:v>ยังไม่ตรวจ</x:v>
      </x:c>
      <x:c r="R507" s="27" t="str">
        <x:v>รอติดต่อ</x:v>
      </x:c>
    </x:row>
    <x:row r="508" ht="76" customHeight="1">
      <x:c r="A508" s="24" t="str">
        <x:v>TMF-500</x:v>
      </x:c>
      <x:c r="B508" s="20" t="str">
        <x:v>กายา บาย โอเอซิสสปา</x:v>
      </x:c>
      <x:c r="C508" s="20" t="str">
        <x:v>กรุงเทพมหานคร</x:v>
      </x:c>
      <x:c r="D508" s="20" t="str">
        <x:v>คงไว้ในชุด 600</x:v>
      </x:c>
      <x:c r="E508" s="20" t="str">
        <x:v>พบหลายแหล่งสัมพันธ์กับชื่อ รอยืนยันการเปิด</x:v>
      </x:c>
      <x:c r="F508" s="20" t="str">
        <x:v>ยังไม่ยืนยันการเปิดให้บริการปัจจุบัน</x:v>
      </x:c>
      <x:c r="G508" s="26" t="n">
        <x:v>2</x:v>
      </x:c>
      <x:c r="H508" s="23" t="str"/>
      <x:c r="I508" s="23" t="str"/>
      <x:c r="J508" s="23" t="str"/>
      <x:c r="K508" s="23" t="str"/>
      <x:c r="L508" s="23" t="e">
        <x:f>HYPERLINK("https://www.gowabi.com/th/provider/gaaya-by-oasis-spa","เปิดเว็บเพิ่ม 1")</x:f>
        <x:v>HYPERLINK is not implemented. linkLocation=https://www.gowabi.com/th/provider/gaaya-by-oasis-spa, friendlyName=เปิดเว็บเพิ่ม 1</x:v>
      </x:c>
      <x:c r="M508" s="23" t="e">
        <x:f>HYPERLINK("https://www.gowabi.com/th/organization_services/therapeautic-head-massage","เปิดเว็บเพิ่ม 2")</x:f>
        <x:v>HYPERLINK is not implemented. linkLocation=https://www.gowabi.com/th/organization_services/therapeautic-head-massage, friendlyName=เปิดเว็บเพิ่ม 2</x:v>
      </x:c>
      <x:c r="N508" s="20" t="str">
        <x:v>ยังไม่ยืนยัน</x:v>
      </x:c>
      <x:c r="O508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08" s="25" t="n">
        <x:v>46315</x:v>
      </x:c>
      <x:c r="Q508" s="27" t="str">
        <x:v>ยังไม่ตรวจ</x:v>
      </x:c>
      <x:c r="R508" s="27" t="str">
        <x:v>รอติดต่อ</x:v>
      </x:c>
    </x:row>
    <x:row r="509" ht="96" customHeight="1">
      <x:c r="A509" s="24" t="str">
        <x:v>TMF-501</x:v>
      </x:c>
      <x:c r="B509" s="20" t="str">
        <x:v>เออร์เบินโอเอซิสสปา ทองหล่อ</x:v>
      </x:c>
      <x:c r="C509" s="20" t="str">
        <x:v>กรุงเทพมหานคร</x:v>
      </x:c>
      <x:c r="D509" s="20" t="str">
        <x:v>คงไว้ในชุด 600</x:v>
      </x:c>
      <x:c r="E509" s="20" t="str">
        <x:v>หลักฐานไม่พอ รอยืนยันการเปิด</x:v>
      </x:c>
      <x:c r="F509" s="20" t="str">
        <x:v>ยังไม่ยืนยันการเปิดให้บริการปัจจุบัน</x:v>
      </x:c>
      <x:c r="G509" s="26" t="n">
        <x:v>1</x:v>
      </x:c>
      <x:c r="H509" s="23" t="str"/>
      <x:c r="I509" s="23" t="str"/>
      <x:c r="J509" s="23" t="str"/>
      <x:c r="K509" s="23" t="str"/>
      <x:c r="L509" s="23" t="str"/>
      <x:c r="M509" s="23" t="str"/>
      <x:c r="N509" s="20" t="str">
        <x:v>ยังไม่ยืนยัน</x:v>
      </x:c>
      <x:c r="O50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09" s="25" t="n">
        <x:v>46315</x:v>
      </x:c>
      <x:c r="Q509" s="27" t="str">
        <x:v>ยังไม่ตรวจ</x:v>
      </x:c>
      <x:c r="R509" s="27" t="str">
        <x:v>รอติดต่อ</x:v>
      </x:c>
    </x:row>
    <x:row r="510" ht="76" customHeight="1">
      <x:c r="A510" s="24" t="str">
        <x:v>TMF-502</x:v>
      </x:c>
      <x:c r="B510" s="20" t="str">
        <x:v>โอเอซิสสปา สุขุมวิท 31</x:v>
      </x:c>
      <x:c r="C510" s="20" t="str">
        <x:v>กรุงเทพมหานคร</x:v>
      </x:c>
      <x:c r="D510" s="20" t="str">
        <x:v>คงไว้ในชุด 600</x:v>
      </x:c>
      <x:c r="E510" s="20" t="str">
        <x:v>พบหลายแหล่งสัมพันธ์กับชื่อ รอยืนยันการเปิด</x:v>
      </x:c>
      <x:c r="F510" s="20" t="str">
        <x:v>ยังไม่ยืนยันการเปิดให้บริการปัจจุบัน</x:v>
      </x:c>
      <x:c r="G510" s="26" t="n">
        <x:v>3</x:v>
      </x:c>
      <x:c r="H510" s="23" t="str"/>
      <x:c r="I510" s="23" t="str"/>
      <x:c r="J510" s="23" t="str"/>
      <x:c r="K510" s="23" t="str"/>
      <x:c r="L510" s="23" t="e">
        <x:f>HYPERLINK("https://www.gowabi.com/th/provider/oasis-spa-sukhumvit-31","เปิดเว็บเพิ่ม 1")</x:f>
        <x:v>HYPERLINK is not implemented. linkLocation=https://www.gowabi.com/th/provider/oasis-spa-sukhumvit-31, friendlyName=เปิดเว็บเพิ่ม 1</x:v>
      </x:c>
      <x:c r="M510" s="23" t="e">
        <x:f>HYPERLINK("https://www.mediaofthailand.com/2025/08/bangkok-oasis-spa-31.html","เปิดเว็บเพิ่ม 2")</x:f>
        <x:v>HYPERLINK is not implemented. linkLocation=https://www.mediaofthailand.com/2025/08/bangkok-oasis-spa-31.html, friendlyName=เปิดเว็บเพิ่ม 2</x:v>
      </x:c>
      <x:c r="N510" s="20" t="str">
        <x:v>ยังไม่ยืนยัน</x:v>
      </x:c>
      <x:c r="O510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10" s="25" t="n">
        <x:v>46315</x:v>
      </x:c>
      <x:c r="Q510" s="27" t="str">
        <x:v>ยังไม่ตรวจ</x:v>
      </x:c>
      <x:c r="R510" s="27" t="str">
        <x:v>รอติดต่อ</x:v>
      </x:c>
    </x:row>
    <x:row r="511" ht="76" customHeight="1">
      <x:c r="A511" s="24" t="str">
        <x:v>TMF-503</x:v>
      </x:c>
      <x:c r="B511" s="20" t="str">
        <x:v>จุดชมวิวทะเลบางขุนเทียน</x:v>
      </x:c>
      <x:c r="C511" s="20" t="str">
        <x:v>กรุงเทพมหานคร</x:v>
      </x:c>
      <x:c r="D511" s="20" t="str">
        <x:v>คงไว้ในชุด 600</x:v>
      </x:c>
      <x:c r="E511" s="20" t="str">
        <x:v>พบหลายแหล่งสัมพันธ์กับชื่อ รอยืนยันการเปิด</x:v>
      </x:c>
      <x:c r="F511" s="20" t="str">
        <x:v>ยังไม่ยืนยันการเปิดให้บริการปัจจุบัน</x:v>
      </x:c>
      <x:c r="G511" s="26" t="n">
        <x:v>3</x:v>
      </x:c>
      <x:c r="H511" s="23" t="str"/>
      <x:c r="I511" s="23" t="str"/>
      <x:c r="J511" s="23" t="e">
        <x:f>HYPERLINK("https://www.lemon8-app.com/%40raochobpapthai/7171455166506484225?region=th","เปิดหน้ารีวิว 1")</x:f>
        <x:v>HYPERLINK is not implemented. linkLocation=https://www.lemon8-app.com/%40raochobpapthai/7171455166506484225?region=th, friendlyName=เปิดหน้ารีวิว 1</x:v>
      </x:c>
      <x:c r="K511" s="23" t="e">
        <x:f>HYPERLINK("https://www.lemon8-app.com/%40nnewnn38/7594272146503762450?region=th","เปิดหน้ารีวิว 2")</x:f>
        <x:v>HYPERLINK is not implemented. linkLocation=https://www.lemon8-app.com/%40nnewnn38/7594272146503762450?region=th, friendlyName=เปิดหน้ารีวิว 2</x:v>
      </x:c>
      <x:c r="L511" s="23" t="e">
        <x:f>HYPERLINK("https://www.dmcr.go.th/detailAll/69525/nws/260","เปิดเว็บเพิ่ม 1")</x:f>
        <x:v>HYPERLINK is not implemented. linkLocation=https://www.dmcr.go.th/detailAll/69525/nws/260, friendlyName=เปิดเว็บเพิ่ม 1</x:v>
      </x:c>
      <x:c r="M511" s="23" t="str"/>
      <x:c r="N511" s="20" t="str">
        <x:v>ยังไม่ยืนยัน</x:v>
      </x:c>
      <x:c r="O51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11" s="25" t="n">
        <x:v>46315</x:v>
      </x:c>
      <x:c r="Q511" s="27" t="str">
        <x:v>ยังไม่ตรวจ</x:v>
      </x:c>
      <x:c r="R511" s="27" t="str">
        <x:v>รอติดต่อ</x:v>
      </x:c>
    </x:row>
    <x:row r="512" ht="76" customHeight="1">
      <x:c r="A512" s="24" t="str">
        <x:v>TMF-504</x:v>
      </x:c>
      <x:c r="B512" s="20" t="str">
        <x:v>ตลาดแหลมทอง</x:v>
      </x:c>
      <x:c r="C512" s="20" t="str">
        <x:v>กรุงเทพมหานคร</x:v>
      </x:c>
      <x:c r="D512" s="20" t="str">
        <x:v>คงไว้ในชุด 600</x:v>
      </x:c>
      <x:c r="E512" s="20" t="str">
        <x:v>พบหลายแหล่งสัมพันธ์กับชื่อ รอยืนยันการเปิด</x:v>
      </x:c>
      <x:c r="F512" s="20" t="str">
        <x:v>ยังไม่ยืนยันการเปิดให้บริการปัจจุบัน</x:v>
      </x:c>
      <x:c r="G512" s="26" t="n">
        <x:v>2</x:v>
      </x:c>
      <x:c r="H512" s="23" t="str"/>
      <x:c r="I512" s="23" t="str"/>
      <x:c r="J512" s="23" t="str"/>
      <x:c r="K512" s="23" t="str"/>
      <x:c r="L512" s="23" t="e">
        <x:f>HYPERLINK("https://www.xn--l3cb2cwa9ac.com/central/bangkok/laem-thong-market/","เปิดเว็บเพิ่ม 1")</x:f>
        <x:v>HYPERLINK is not implemented. linkLocation=https://www.xn--l3cb2cwa9ac.com/central/bangkok/laem-thong-market/, friendlyName=เปิดเว็บเพิ่ม 1</x:v>
      </x:c>
      <x:c r="M512" s="23" t="str"/>
      <x:c r="N512" s="20" t="str">
        <x:v>ยังไม่ยืนยัน</x:v>
      </x:c>
      <x:c r="O512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12" s="25" t="n">
        <x:v>46315</x:v>
      </x:c>
      <x:c r="Q512" s="27" t="str">
        <x:v>ยังไม่ตรวจ</x:v>
      </x:c>
      <x:c r="R512" s="27" t="str">
        <x:v>รอติดต่อ</x:v>
      </x:c>
    </x:row>
    <x:row r="513" ht="76" customHeight="1">
      <x:c r="A513" s="24" t="str">
        <x:v>TMF-505</x:v>
      </x:c>
      <x:c r="B513" s="20" t="str">
        <x:v>สวนนวมินทร์ภิรมย์</x:v>
      </x:c>
      <x:c r="C513" s="20" t="str">
        <x:v>กรุงเทพมหานคร</x:v>
      </x:c>
      <x:c r="D513" s="20" t="str">
        <x:v>คงไว้ในชุด 600</x:v>
      </x:c>
      <x:c r="E513" s="20" t="str">
        <x:v>พบหลายแหล่งสัมพันธ์กับชื่อ รอยืนยันการเปิด</x:v>
      </x:c>
      <x:c r="F513" s="20" t="str">
        <x:v>ยังไม่ยืนยันการเปิดให้บริการปัจจุบัน</x:v>
      </x:c>
      <x:c r="G513" s="26" t="n">
        <x:v>4</x:v>
      </x:c>
      <x:c r="H513" s="23" t="str"/>
      <x:c r="I513" s="23" t="str"/>
      <x:c r="J513" s="23" t="e">
        <x:f>HYPERLINK("https://www.wongnai.com/attractions/337759Bd-%E0%B8%AA%E0%B8%A7%E0%B8%99%E0%B8%99%E0%B8%A7%E0%B8%A1%E0%B8%B4%E0%B8%99%E0%B8%97%E0%B8%A3%E0%B9%8C%E0%B8%A0%E0%B8%B4%E0%B8%A3%E0%B8%A1%E0%B8%A2%E0%B9%8C","เปิดหน้ารีวิว 1")</x:f>
        <x:v>HYPERLINK is not implemented. linkLocation=https://www.wongnai.com/attractions/337759Bd-%E0%B8%AA%E0%B8%A7%E0%B8%99%E0%B8%99%E0%B8%A7%E0%B8%A1%E0%B8%B4%E0%B8%99%E0%B8%97%E0%B8%A3%E0%B9%8C%E0%B8%A0%E0%B8%B4%E0%B8%A3%E0%B8%A1%E0%B8%A2%E0%B9%8C, friendlyName=เปิดหน้ารีวิว 1</x:v>
      </x:c>
      <x:c r="K513" s="23" t="e">
        <x:f>HYPERLINK("https://www.wongnai.com/reviews/150b1ce7d08f4f51b14977d23ff7783a","เปิดหน้ารีวิว 2")</x:f>
        <x:v>HYPERLINK is not implemented. linkLocation=https://www.wongnai.com/reviews/150b1ce7d08f4f51b14977d23ff7783a, friendlyName=เปิดหน้ารีวิว 2</x:v>
      </x:c>
      <x:c r="L513" s="23" t="e">
        <x:f>HYPERLINK("https://www.mypacer.com/parks/171892/swnnwminthrphirmy-bangkok","เปิดเว็บเพิ่ม 1")</x:f>
        <x:v>HYPERLINK is not implemented. linkLocation=https://www.mypacer.com/parks/171892/swnnwminthrphirmy-bangkok, friendlyName=เปิดเว็บเพิ่ม 1</x:v>
      </x:c>
      <x:c r="M513" s="23" t="e">
        <x:f>HYPERLINK("https://thi.worldorgs.com/%E0%B9%81%E0%B8%84%E0%B8%95%E0%B8%95%E0%B8%B2%E0%B8%A5%E0%B9%87%E0%B8%AD%E0%B8%81/%E0%B9%80%E0%B8%82%E0%B8%95-%E0%B8%9A%E0%B8%B6%E0%B8%87%E0%B8%81%E0%B8%B8%E0%B9%88%E0%B8%A1/%E0%B8%97%E0%B8%B5%E0%B9%88%E0%B8%88%E0%B8%AD%E0%B8%94%E0%B8%A3%E0%B8%96/%E0%B8%AA%E0%B8%A7%E0%B8%99%E0%B8%99%E0%B8%A7%E0%B8%A1%E0%B8%B4%E0%B8%99%E0%B8%97%E0%B8%A3%E0%B9%8C%E0%B8%A0%E0%B8%B4%E0%B8%A3%E0%B8%A1%E0%B8%A2%E0%B9%8C","เปิดเว็บเพิ่ม 2")</x:f>
        <x:v>HYPERLINK is not implemented. linkLocation=https://thi.worldorgs.com/%E0%B9%81%E0%B8%84%E0%B8%95%E0%B8%95%E0%B8%B2%E0%B8%A5%E0%B9%87%E0%B8%AD%E0%B8%81/%E0%B9%80%E0%B8%82%E0%B8%95-%E0%B8%9A%E0%B8%B6%E0%B8%87%E0%B8%81%E0%B8%B8%E0%B9%88%E0%B8%A1/%E0%B8%97%E0%B8%B5%E0%B9%88%E0%B8%88%E0%B8%AD%E0%B8%94%E0%B8%A3%E0%B8%96/%E0%B8%AA%E0%B8%A7%E0%B8%99%E0%B8%99%E0%B8%A7%E0%B8%A1%E0%B8%B4%E0%B8%99%E0%B8%97%E0%B8%A3%E0%B9%8C%E0%B8%A0%E0%B8%B4%E0%B8%A3%E0%B8%A1%E0%B8%A2%E0%B9%8C, friendlyName=เปิดเว็บเพิ่ม 2</x:v>
      </x:c>
      <x:c r="N513" s="20" t="str">
        <x:v>ยังไม่ยืนยัน</x:v>
      </x:c>
      <x:c r="O51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13" s="25" t="n">
        <x:v>46315</x:v>
      </x:c>
      <x:c r="Q513" s="27" t="str">
        <x:v>ยังไม่ตรวจ</x:v>
      </x:c>
      <x:c r="R513" s="27" t="str">
        <x:v>รอติดต่อ</x:v>
      </x:c>
    </x:row>
    <x:row r="514" ht="76" customHeight="1">
      <x:c r="A514" s="24" t="str">
        <x:v>TMF-506</x:v>
      </x:c>
      <x:c r="B514" s="20" t="str">
        <x:v>สวนลอยฟ้าเจ้าพระยา</x:v>
      </x:c>
      <x:c r="C514" s="20" t="str">
        <x:v>กรุงเทพมหานคร</x:v>
      </x:c>
      <x:c r="D514" s="20" t="str">
        <x:v>คงไว้ในชุด 600</x:v>
      </x:c>
      <x:c r="E514" s="20" t="str">
        <x:v>พบหลายแหล่งสัมพันธ์กับชื่อ รอยืนยันการเปิด</x:v>
      </x:c>
      <x:c r="F514" s="20" t="str">
        <x:v>ยังไม่ยืนยันการเปิดให้บริการปัจจุบัน</x:v>
      </x:c>
      <x:c r="G514" s="26" t="n">
        <x:v>4</x:v>
      </x:c>
      <x:c r="H514" s="23" t="str"/>
      <x:c r="I514" s="23" t="str"/>
      <x:c r="J514" s="23" t="e">
        <x:f>HYPERLINK("https://www.wongnai.com/attractions/588174Pz-%E0%B8%AA%E0%B8%A7%E0%B8%99%E0%B8%A5%E0%B8%AD%E0%B8%A2%E0%B8%9F%E0%B9%89%E0%B8%B2%E0%B9%80%E0%B8%88%E0%B9%89%E0%B8%B2%E0%B8%9E%E0%B8%A3%E0%B8%B0%E0%B8%A2%E0%B8%B2","เปิดหน้ารีวิว 1")</x:f>
        <x:v>HYPERLINK is not implemented. linkLocation=https://www.wongnai.com/attractions/588174Pz-%E0%B8%AA%E0%B8%A7%E0%B8%99%E0%B8%A5%E0%B8%AD%E0%B8%A2%E0%B8%9F%E0%B9%89%E0%B8%B2%E0%B9%80%E0%B8%88%E0%B9%89%E0%B8%B2%E0%B8%9E%E0%B8%A3%E0%B8%B0%E0%B8%A2%E0%B8%B2, friendlyName=เปิดหน้ารีวิว 1</x:v>
      </x:c>
      <x:c r="K514" s="23" t="e">
        <x:f>HYPERLINK("https://www.wongnai.com/reviews/c29f16dd35b34d758a764cacf756d22b","เปิดหน้ารีวิว 2")</x:f>
        <x:v>HYPERLINK is not implemented. linkLocation=https://www.wongnai.com/reviews/c29f16dd35b34d758a764cacf756d22b, friendlyName=เปิดหน้ารีวิว 2</x:v>
      </x:c>
      <x:c r="L514" s="23" t="e">
        <x:f>HYPERLINK("https://www.thaipbs.or.th/news/content/293992","เปิดเว็บเพิ่ม 1")</x:f>
        <x:v>HYPERLINK is not implemented. linkLocation=https://www.thaipbs.or.th/news/content/293992, friendlyName=เปิดเว็บเพิ่ม 1</x:v>
      </x:c>
      <x:c r="M514" s="23" t="str"/>
      <x:c r="N514" s="20" t="str">
        <x:v>ยังไม่ยืนยัน</x:v>
      </x:c>
      <x:c r="O51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14" s="25" t="n">
        <x:v>46315</x:v>
      </x:c>
      <x:c r="Q514" s="27" t="str">
        <x:v>ยังไม่ตรวจ</x:v>
      </x:c>
      <x:c r="R514" s="27" t="str">
        <x:v>รอติดต่อ</x:v>
      </x:c>
    </x:row>
    <x:row r="515" ht="76" customHeight="1">
      <x:c r="A515" s="24" t="str">
        <x:v>TMF-507</x:v>
      </x:c>
      <x:c r="B515" s="20" t="str">
        <x:v>สวนลุมพินี</x:v>
      </x:c>
      <x:c r="C515" s="20" t="str">
        <x:v>กรุงเทพมหานคร</x:v>
      </x:c>
      <x:c r="D515" s="20" t="str">
        <x:v>คงไว้ในชุด 600</x:v>
      </x:c>
      <x:c r="E515" s="20" t="str">
        <x:v>พบหลายแหล่งสัมพันธ์กับชื่อ รอยืนยันการเปิด</x:v>
      </x:c>
      <x:c r="F515" s="20" t="str">
        <x:v>ยังไม่ยืนยันการเปิดให้บริการปัจจุบัน</x:v>
      </x:c>
      <x:c r="G515" s="26" t="n">
        <x:v>5</x:v>
      </x:c>
      <x:c r="H515" s="23" t="str"/>
      <x:c r="I515" s="23" t="str"/>
      <x:c r="J515" s="23" t="e">
        <x:f>HYPERLINK("https://th.trip.com/travel-guide/attraction/bangkok/lumphini-park-77030?curr=&amp;locale=th-TH&amp;poiType=3","เปิดหน้ารีวิว 1")</x:f>
        <x:v>HYPERLINK is not implemented. linkLocation=https://th.trip.com/travel-guide/attraction/bangkok/lumphini-park-77030?curr=&amp;locale=th-TH&amp;poiType=3, friendlyName=เปิดหน้ารีวิว 1</x:v>
      </x:c>
      <x:c r="K515" s="23" t="str"/>
      <x:c r="L515" s="23" t="e">
        <x:f>HYPERLINK("https://www.gplace.com/3960","เปิดเว็บเพิ่ม 1")</x:f>
        <x:v>HYPERLINK is not implemented. linkLocation=https://www.gplace.com/3960, friendlyName=เปิดเว็บเพิ่ม 1</x:v>
      </x:c>
      <x:c r="M515" s="23" t="e">
        <x:f>HYPERLINK("https://publicspace.bangkok.go.th/Spaces/Info/B38EC1D0-49FE-4544-A709-AF9ED243ECCD","เปิดเว็บเพิ่ม 2")</x:f>
        <x:v>HYPERLINK is not implemented. linkLocation=https://publicspace.bangkok.go.th/Spaces/Info/B38EC1D0-49FE-4544-A709-AF9ED243ECCD, friendlyName=เปิดเว็บเพิ่ม 2</x:v>
      </x:c>
      <x:c r="N515" s="20" t="str">
        <x:v>ยังไม่ยืนยัน</x:v>
      </x:c>
      <x:c r="O51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15" s="25" t="n">
        <x:v>46315</x:v>
      </x:c>
      <x:c r="Q515" s="27" t="str">
        <x:v>ยังไม่ตรวจ</x:v>
      </x:c>
      <x:c r="R515" s="27" t="str">
        <x:v>รอติดต่อ</x:v>
      </x:c>
    </x:row>
    <x:row r="516" ht="76" customHeight="1">
      <x:c r="A516" s="24" t="str">
        <x:v>TMF-508</x:v>
      </x:c>
      <x:c r="B516" s="20" t="str">
        <x:v>สวนวชิรเบญจทัศ (สวนรถไฟ)</x:v>
      </x:c>
      <x:c r="C516" s="20" t="str">
        <x:v>กรุงเทพมหานคร</x:v>
      </x:c>
      <x:c r="D516" s="20" t="str">
        <x:v>คงไว้ในชุด 600</x:v>
      </x:c>
      <x:c r="E516" s="20" t="str">
        <x:v>พบหลายแหล่งสัมพันธ์กับชื่อ รอยืนยันการเปิด</x:v>
      </x:c>
      <x:c r="F516" s="20" t="str">
        <x:v>ยังไม่ยืนยันการเปิดให้บริการปัจจุบัน</x:v>
      </x:c>
      <x:c r="G516" s="26" t="n">
        <x:v>8</x:v>
      </x:c>
      <x:c r="H516" s="23" t="str"/>
      <x:c r="I516" s="23" t="str"/>
      <x:c r="J516" s="23" t="e">
        <x:f>HYPERLINK("https://www.wongnai.com/reviews/9e8d9f2459624a2ea1c3d8fc0d4a2857","เปิดหน้ารีวิว 1")</x:f>
        <x:v>HYPERLINK is not implemented. linkLocation=https://www.wongnai.com/reviews/9e8d9f2459624a2ea1c3d8fc0d4a2857, friendlyName=เปิดหน้ารีวิว 1</x:v>
      </x:c>
      <x:c r="K516" s="23" t="e">
        <x:f>HYPERLINK("https://th.tripadvisor.com/Attraction_Review-g293916-d8654056-Reviews-Wachira_Benchathat_Park_Rot_Fai_Park-Bangkok.html","เปิดหน้ารีวิว 2")</x:f>
        <x:v>HYPERLINK is not implemented. linkLocation=https://th.tripadvisor.com/Attraction_Review-g293916-d8654056-Reviews-Wachira_Benchathat_Park_Rot_Fai_Park-Bangkok.html, friendlyName=เปิดหน้ารีวิว 2</x:v>
      </x:c>
      <x:c r="L516" s="23" t="e">
        <x:f>HYPERLINK("https://phanganist.com/th/bangkok/wachirabenchathat-park-state-railway-park","เปิดเว็บเพิ่ม 1")</x:f>
        <x:v>HYPERLINK is not implemented. linkLocation=https://phanganist.com/th/bangkok/wachirabenchathat-park-state-railway-park, friendlyName=เปิดเว็บเพิ่ม 1</x:v>
      </x:c>
      <x:c r="M516" s="23" t="e">
        <x:f>HYPERLINK("https://pagoda.or.th/images/%E0%B8%A0%E0%B8%B2%E0%B8%A7%E0%B8%99%E0%B8%B2%E0%B8%94%E0%B9%89%E0%B8%A7%E0%B8%A2%E0%B8%AB%E0%B8%B1%E0%B8%A7%E0%B9%83%E0%B8%88%E0%B8%AD%E0%B8%B1%E0%B8%99%E0%B8%9B%E0%B8%A3%E0%B8%B0%E0%B9%80%E0%B8%AA%E0%B8%A3%E0%B8%B4%E0%B8%90_%E0%B8%A2%E0%B8%B4%E0%B9%89%E0%B8%A1%E0%B8%88%E0%B8%B2%E0%B8%81%E0%B8%AB%E0%B8%B1%E0%B8%A7%E0%B9%83%E0%B8%88.pdf","เปิดเว็บเพิ่ม 2")</x:f>
        <x:v>HYPERLINK is not implemented. linkLocation=https://pagoda.or.th/images/%E0%B8%A0%E0%B8%B2%E0%B8%A7%E0%B8%99%E0%B8%B2%E0%B8%94%E0%B9%89%E0%B8%A7%E0%B8%A2%E0%B8%AB%E0%B8%B1%E0%B8%A7%E0%B9%83%E0%B8%88%E0%B8%AD%E0%B8%B1%E0%B8%99%E0%B8%9B%E0%B8%A3%E0%B8%B0%E0%B9%80%E0%B8%AA%E0%B8%A3%E0%B8%B4%E0%B8%90_%E0%B8%A2%E0%B8%B4%E0%B9%89%E0%B8%A1%E0%B8%88%E0%B8%B2%E0%B8%81%E0%B8%AB%E0%B8%B1%E0%B8%A7%E0%B9%83%E0%B8%88.pdf, friendlyName=เปิดเว็บเพิ่ม 2</x:v>
      </x:c>
      <x:c r="N516" s="20" t="str">
        <x:v>ยังไม่ยืนยัน</x:v>
      </x:c>
      <x:c r="O51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16" s="25" t="n">
        <x:v>46315</x:v>
      </x:c>
      <x:c r="Q516" s="27" t="str">
        <x:v>ยังไม่ตรวจ</x:v>
      </x:c>
      <x:c r="R516" s="27" t="str">
        <x:v>รอติดต่อ</x:v>
      </x:c>
    </x:row>
    <x:row r="517" ht="76" customHeight="1">
      <x:c r="A517" s="24" t="str">
        <x:v>TMF-509</x:v>
      </x:c>
      <x:c r="B517" s="20" t="str">
        <x:v>สวนวารีภิรมย์</x:v>
      </x:c>
      <x:c r="C517" s="20" t="str">
        <x:v>กรุงเทพมหานคร</x:v>
      </x:c>
      <x:c r="D517" s="20" t="str">
        <x:v>คงไว้ในชุด 600</x:v>
      </x:c>
      <x:c r="E517" s="20" t="str">
        <x:v>พบหลายแหล่งสัมพันธ์กับชื่อ รอยืนยันการเปิด</x:v>
      </x:c>
      <x:c r="F517" s="20" t="str">
        <x:v>ยังไม่ยืนยันการเปิดให้บริการปัจจุบัน</x:v>
      </x:c>
      <x:c r="G517" s="26" t="n">
        <x:v>4</x:v>
      </x:c>
      <x:c r="H517" s="23" t="str"/>
      <x:c r="I517" s="23" t="str"/>
      <x:c r="J517" s="23" t="e">
        <x:f>HYPERLINK("https://www.wongnai.com/reviews/490877defbf348d6b0bef91c9093f885","เปิดหน้ารีวิว 1")</x:f>
        <x:v>HYPERLINK is not implemented. linkLocation=https://www.wongnai.com/reviews/490877defbf348d6b0bef91c9093f885, friendlyName=เปิดหน้ารีวิว 1</x:v>
      </x:c>
      <x:c r="K517" s="23" t="e">
        <x:f>HYPERLINK("https://www.wongnai.com/reviews/190a15f8c5eb47a9b4ddc1c76b3cd2b4","เปิดหน้ารีวิว 2")</x:f>
        <x:v>HYPERLINK is not implemented. linkLocation=https://www.wongnai.com/reviews/190a15f8c5eb47a9b4ddc1c76b3cd2b4, friendlyName=เปิดหน้ารีวิว 2</x:v>
      </x:c>
      <x:c r="L517" s="23" t="str"/>
      <x:c r="M517" s="23" t="str"/>
      <x:c r="N517" s="20" t="str">
        <x:v>ยังไม่ยืนยัน</x:v>
      </x:c>
      <x:c r="O51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17" s="25" t="n">
        <x:v>46315</x:v>
      </x:c>
      <x:c r="Q517" s="27" t="str">
        <x:v>ยังไม่ตรวจ</x:v>
      </x:c>
      <x:c r="R517" s="27" t="str">
        <x:v>รอติดต่อ</x:v>
      </x:c>
    </x:row>
    <x:row r="518" ht="76" customHeight="1">
      <x:c r="A518" s="24" t="str">
        <x:v>TMF-510</x:v>
      </x:c>
      <x:c r="B518" s="20" t="str">
        <x:v>สวนสันติภาพ</x:v>
      </x:c>
      <x:c r="C518" s="20" t="str">
        <x:v>กรุงเทพมหานคร</x:v>
      </x:c>
      <x:c r="D518" s="20" t="str">
        <x:v>คงไว้ในชุด 600</x:v>
      </x:c>
      <x:c r="E518" s="20" t="str">
        <x:v>พบหลายแหล่งสัมพันธ์กับชื่อ รอยืนยันการเปิด</x:v>
      </x:c>
      <x:c r="F518" s="20" t="str">
        <x:v>ยังไม่ยืนยันการเปิดให้บริการปัจจุบัน</x:v>
      </x:c>
      <x:c r="G518" s="26" t="n">
        <x:v>4</x:v>
      </x:c>
      <x:c r="H518" s="23" t="str"/>
      <x:c r="I518" s="23" t="str"/>
      <x:c r="J518" s="23" t="e">
        <x:f>HYPERLINK("https://th.tripadvisor.com/Attraction_Review-g293916-d554210-Reviews-Santiphap_Park_Park_of_Peace-Bangkok.html","เปิดหน้ารีวิว 1")</x:f>
        <x:v>HYPERLINK is not implemented. linkLocation=https://th.tripadvisor.com/Attraction_Review-g293916-d554210-Reviews-Santiphap_Park_Park_of_Peace-Bangkok.html, friendlyName=เปิดหน้ารีวิว 1</x:v>
      </x:c>
      <x:c r="K518" s="23" t="e">
        <x:f>HYPERLINK("https://www.wongnai.com/reviews/f46331488d264200a5a3d82b1fcfc5a3","เปิดหน้ารีวิว 2")</x:f>
        <x:v>HYPERLINK is not implemented. linkLocation=https://www.wongnai.com/reviews/f46331488d264200a5a3d82b1fcfc5a3, friendlyName=เปิดหน้ารีวิว 2</x:v>
      </x:c>
      <x:c r="L518" s="23" t="e">
        <x:f>HYPERLINK("https://agr.rmutt.ac.th/wp-content/uploads/2019/05/%E0%B9%82%E0%B8%84%E0%B8%A3%E0%B8%87%E0%B8%81%E0%B8%B2%E0%B8%A3%E0%B8%AD%E0%B8%AD%E0%B8%81%E0%B9%81%E0%B8%9A%E0%B8%9A%E0%B8%A0%E0%B8%B9%E0%B8%A1%E0%B8%B4%E0%B8%97%E0%B8%B1%E0%B8%A8%E0%B8%99%E0%B9%8C%E0%B8%AA%E0%B8%A7%E0%B8%99%E0%B8%AA%E0%B8%B2%E0%B8%98%E0%B8%B2%E0%B8%A3%E0%B8%93%E0%B8%B0%E0%B8%99%E0%B8%B4%E0%B8%84%E0%B8%A1%E0%B8%AD%E0%B8%B8%E0%B8%95.pdf","เปิดเว็บเพิ่ม 1")</x:f>
        <x:v>HYPERLINK is not implemented. linkLocation=https://agr.rmutt.ac.th/wp-content/uploads/2019/05/%E0%B9%82%E0%B8%84%E0%B8%A3%E0%B8%87%E0%B8%81%E0%B8%B2%E0%B8%A3%E0%B8%AD%E0%B8%AD%E0%B8%81%E0%B9%81%E0%B8%9A%E0%B8%9A%E0%B8%A0%E0%B8%B9%E0%B8%A1%E0%B8%B4%E0%B8%97%E0%B8%B1%E0%B8%A8%E0%B8%99%E0%B9%8C%E0%B8%AA%E0%B8%A7%E0%B8%99%E0%B8%AA%E0%B8%B2%E0%B8%98%E0%B8%B2%E0%B8%A3%E0%B8%93%E0%B8%B0%E0%B8%99%E0%B8%B4%E0%B8%84%E0%B8%A1%E0%B8%AD%E0%B8%B8%E0%B8%95.pdf, friendlyName=เปิดเว็บเพิ่ม 1</x:v>
      </x:c>
      <x:c r="M518" s="23" t="str"/>
      <x:c r="N518" s="20" t="str">
        <x:v>ยังไม่ยืนยัน</x:v>
      </x:c>
      <x:c r="O51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18" s="25" t="n">
        <x:v>46315</x:v>
      </x:c>
      <x:c r="Q518" s="27" t="str">
        <x:v>ยังไม่ตรวจ</x:v>
      </x:c>
      <x:c r="R518" s="27" t="str">
        <x:v>รอติดต่อ</x:v>
      </x:c>
    </x:row>
    <x:row r="519" ht="76" customHeight="1">
      <x:c r="A519" s="24" t="str">
        <x:v>TMF-511</x:v>
      </x:c>
      <x:c r="B519" s="20" t="str">
        <x:v>สวนสาธารณะบึงหนองบอน</x:v>
      </x:c>
      <x:c r="C519" s="20" t="str">
        <x:v>กรุงเทพมหานคร</x:v>
      </x:c>
      <x:c r="D519" s="20" t="str">
        <x:v>คงไว้ในชุด 600</x:v>
      </x:c>
      <x:c r="E519" s="20" t="str">
        <x:v>พบหลายแหล่งสัมพันธ์กับชื่อ รอยืนยันการเปิด</x:v>
      </x:c>
      <x:c r="F519" s="20" t="str">
        <x:v>ยังไม่ยืนยันการเปิดให้บริการปัจจุบัน</x:v>
      </x:c>
      <x:c r="G519" s="26" t="n">
        <x:v>4</x:v>
      </x:c>
      <x:c r="H519" s="23" t="str"/>
      <x:c r="I519" s="23" t="str"/>
      <x:c r="J519" s="23" t="e">
        <x:f>HYPERLINK("https://th.trip.com/travel-guide/attraction/bangkok/nong-bon-lake-park-143788017/?curr=DKK&amp;locale=th-TH","เปิดหน้ารีวิว 1")</x:f>
        <x:v>HYPERLINK is not implemented. linkLocation=https://th.trip.com/travel-guide/attraction/bangkok/nong-bon-lake-park-143788017/?curr=DKK&amp;locale=th-TH, friendlyName=เปิดหน้ารีวิว 1</x:v>
      </x:c>
      <x:c r="K519" s="23" t="e">
        <x:f>HYPERLINK("https://www.lemon8-app.com/%40annesupassorn/7554620455840203265?region=th","เปิดหน้ารีวิว 2")</x:f>
        <x:v>HYPERLINK is not implemented. linkLocation=https://www.lemon8-app.com/%40annesupassorn/7554620455840203265?region=th, friendlyName=เปิดหน้ารีวิว 2</x:v>
      </x:c>
      <x:c r="L519" s="23" t="e">
        <x:f>HYPERLINK("https://thi.worldorgs.com/%E0%B9%81%E0%B8%84%E0%B8%95%E0%B8%95%E0%B8%B2%E0%B8%A5%E0%B9%87%E0%B8%AD%E0%B8%81/%E0%B9%80%E0%B8%82%E0%B8%95-%E0%B8%9B%E0%B8%A3%E0%B8%B0%E0%B9%80%E0%B8%A7%E0%B8%A8/%E0%B8%AD%E0%B8%B8%E0%B8%97%E0%B8%A2%E0%B8%B2%E0%B8%99/%E0%B8%AA%E0%B8%A7%E0%B8%99%E0%B8%AA%E0%B8%B2%E0%B8%98%E0%B8%B2%E0%B8%A3%E0%B8%93%E0%B8%B0%E0%B8%9A%E0%B8%B6%E0%B8%87%E0%B8%AB%E0%B8%99%E0%B8%AD%E0%B8%87%E0%B8%9A%E0%B8%AD%E0%B8%99","เปิดเว็บเพิ่ม 1")</x:f>
        <x:v>HYPERLINK is not implemented. linkLocation=https://thi.worldorgs.com/%E0%B9%81%E0%B8%84%E0%B8%95%E0%B8%95%E0%B8%B2%E0%B8%A5%E0%B9%87%E0%B8%AD%E0%B8%81/%E0%B9%80%E0%B8%82%E0%B8%95-%E0%B8%9B%E0%B8%A3%E0%B8%B0%E0%B9%80%E0%B8%A7%E0%B8%A8/%E0%B8%AD%E0%B8%B8%E0%B8%97%E0%B8%A2%E0%B8%B2%E0%B8%99/%E0%B8%AA%E0%B8%A7%E0%B8%99%E0%B8%AA%E0%B8%B2%E0%B8%98%E0%B8%B2%E0%B8%A3%E0%B8%93%E0%B8%B0%E0%B8%9A%E0%B8%B6%E0%B8%87%E0%B8%AB%E0%B8%99%E0%B8%AD%E0%B8%87%E0%B8%9A%E0%B8%AD%E0%B8%99, friendlyName=เปิดเว็บเพิ่ม 1</x:v>
      </x:c>
      <x:c r="M519" s="23" t="str"/>
      <x:c r="N519" s="20" t="str">
        <x:v>ยังไม่ยืนยัน</x:v>
      </x:c>
      <x:c r="O51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19" s="25" t="n">
        <x:v>46315</x:v>
      </x:c>
      <x:c r="Q519" s="27" t="str">
        <x:v>ยังไม่ตรวจ</x:v>
      </x:c>
      <x:c r="R519" s="27" t="str">
        <x:v>รอติดต่อ</x:v>
      </x:c>
    </x:row>
    <x:row r="520" ht="96" customHeight="1">
      <x:c r="A520" s="24" t="str">
        <x:v>TMF-512</x:v>
      </x:c>
      <x:c r="B520" s="20" t="str">
        <x:v>สวนสาธารณะเฉลิมพระเกียรติ 6 รอบฯ</x:v>
      </x:c>
      <x:c r="C520" s="20" t="str">
        <x:v>กรุงเทพมหานคร</x:v>
      </x:c>
      <x:c r="D520" s="20" t="str">
        <x:v>คงไว้ในชุด 600</x:v>
      </x:c>
      <x:c r="E520" s="20" t="str">
        <x:v>หลักฐานไม่พอ รอยืนยันการเปิด</x:v>
      </x:c>
      <x:c r="F520" s="20" t="str">
        <x:v>ยังไม่ยืนยันการเปิดให้บริการปัจจุบัน</x:v>
      </x:c>
      <x:c r="G520" s="26" t="n">
        <x:v>1</x:v>
      </x:c>
      <x:c r="H520" s="23" t="str"/>
      <x:c r="I520" s="23" t="str"/>
      <x:c r="J520" s="23" t="str"/>
      <x:c r="K520" s="23" t="str"/>
      <x:c r="L520" s="23" t="str"/>
      <x:c r="M520" s="23" t="str"/>
      <x:c r="N520" s="20" t="str">
        <x:v>ยังไม่ยืนยัน</x:v>
      </x:c>
      <x:c r="O52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20" s="25" t="n">
        <x:v>46315</x:v>
      </x:c>
      <x:c r="Q520" s="27" t="str">
        <x:v>ยังไม่ตรวจ</x:v>
      </x:c>
      <x:c r="R520" s="27" t="str">
        <x:v>รอติดต่อ</x:v>
      </x:c>
    </x:row>
    <x:row r="521" ht="76" customHeight="1">
      <x:c r="A521" s="24" t="str">
        <x:v>TMF-513</x:v>
      </x:c>
      <x:c r="B521" s="20" t="str">
        <x:v>สวนหลวง ร.9</x:v>
      </x:c>
      <x:c r="C521" s="20" t="str">
        <x:v>กรุงเทพมหานคร</x:v>
      </x:c>
      <x:c r="D521" s="20" t="str">
        <x:v>คงไว้ในชุด 600</x:v>
      </x:c>
      <x:c r="E521" s="20" t="str">
        <x:v>พบหลายแหล่งสัมพันธ์กับชื่อ รอยืนยันการเปิด</x:v>
      </x:c>
      <x:c r="F521" s="20" t="str">
        <x:v>ยังไม่ยืนยันการเปิดให้บริการปัจจุบัน</x:v>
      </x:c>
      <x:c r="G521" s="26" t="n">
        <x:v>5</x:v>
      </x:c>
      <x:c r="H521" s="23" t="str"/>
      <x:c r="I521" s="23" t="str"/>
      <x:c r="J521" s="23" t="e">
        <x:f>HYPERLINK("https://www.wongnai.com/attractions/324235ix","เปิดหน้ารีวิว 1")</x:f>
        <x:v>HYPERLINK is not implemented. linkLocation=https://www.wongnai.com/attractions/324235ix, friendlyName=เปิดหน้ารีวิว 1</x:v>
      </x:c>
      <x:c r="K521" s="23" t="e">
        <x:f>HYPERLINK("https://wanderlog.com/th/place/details/611/%E0%B8%AA%E0%B8%A7%E0%B8%99%E0%B8%AB%E0%B8%A5%E0%B8%A7%E0%B8%87-%E0%B8%A39","เปิดหน้ารีวิว 2")</x:f>
        <x:v>HYPERLINK is not implemented. linkLocation=https://wanderlog.com/th/place/details/611/%E0%B8%AA%E0%B8%A7%E0%B8%99%E0%B8%AB%E0%B8%A5%E0%B8%A7%E0%B8%87-%E0%B8%A39, friendlyName=เปิดหน้ารีวิว 2</x:v>
      </x:c>
      <x:c r="L521" s="23" t="e">
        <x:f>HYPERLINK("https://www.gplace.com/3970","เปิดเว็บเพิ่ม 1")</x:f>
        <x:v>HYPERLINK is not implemented. linkLocation=https://www.gplace.com/3970, friendlyName=เปิดเว็บเพิ่ม 1</x:v>
      </x:c>
      <x:c r="M521" s="23" t="e">
        <x:f>HYPERLINK("https://thi.worldorgs.com/%E0%B9%81%E0%B8%84%E0%B8%95%E0%B8%95%E0%B8%B2%E0%B8%A5%E0%B9%87%E0%B8%AD%E0%B8%81/%E0%B9%80%E0%B8%82%E0%B8%95-%E0%B8%9B%E0%B8%A3%E0%B8%B0%E0%B9%80%E0%B8%A7%E0%B8%A8/%E0%B8%AA%E0%B8%A3%E0%B8%B0%E0%B8%A7%E0%B9%88%E0%B8%B2%E0%B8%A2%E0%B8%99%E0%B9%89%E0%B8%B3%E0%B8%AA%E0%B8%B2%E0%B8%98%E0%B8%B2%E0%B8%A3%E0%B8%93%E0%B8%B0/%E0%B8%A8%E0%B8%B9%E0%B8%99%E0%B8%A2%E0%B9%8C%E0%B8%81%E0%B8%B5%E0%B8%AC%E0%B8%B2-%E0%B8%AA%E0%B8%A7%E0%B8%99%E0%B8%AB%E0%B8%A5%E0%B8%A7%E0%B8%87-%E0%B8%A39","เปิดเว็บเพิ่ม 2")</x:f>
        <x:v>HYPERLINK is not implemented. linkLocation=https://thi.worldorgs.com/%E0%B9%81%E0%B8%84%E0%B8%95%E0%B8%95%E0%B8%B2%E0%B8%A5%E0%B9%87%E0%B8%AD%E0%B8%81/%E0%B9%80%E0%B8%82%E0%B8%95-%E0%B8%9B%E0%B8%A3%E0%B8%B0%E0%B9%80%E0%B8%A7%E0%B8%A8/%E0%B8%AA%E0%B8%A3%E0%B8%B0%E0%B8%A7%E0%B9%88%E0%B8%B2%E0%B8%A2%E0%B8%99%E0%B9%89%E0%B8%B3%E0%B8%AA%E0%B8%B2%E0%B8%98%E0%B8%B2%E0%B8%A3%E0%B8%93%E0%B8%B0/%E0%B8%A8%E0%B8%B9%E0%B8%99%E0%B8%A2%E0%B9%8C%E0%B8%81%E0%B8%B5%E0%B8%AC%E0%B8%B2-%E0%B8%AA%E0%B8%A7%E0%B8%99%E0%B8%AB%E0%B8%A5%E0%B8%A7%E0%B8%87-%E0%B8%A39, friendlyName=เปิดเว็บเพิ่ม 2</x:v>
      </x:c>
      <x:c r="N521" s="20" t="str">
        <x:v>ยังไม่ยืนยัน</x:v>
      </x:c>
      <x:c r="O52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21" s="25" t="n">
        <x:v>46315</x:v>
      </x:c>
      <x:c r="Q521" s="27" t="str">
        <x:v>ยังไม่ตรวจ</x:v>
      </x:c>
      <x:c r="R521" s="27" t="str">
        <x:v>รอติดต่อ</x:v>
      </x:c>
    </x:row>
    <x:row r="522" ht="76" customHeight="1">
      <x:c r="A522" s="24" t="str">
        <x:v>TMF-514</x:v>
      </x:c>
      <x:c r="B522" s="20" t="str">
        <x:v>จ๊อดแฟร์ รัชดา</x:v>
      </x:c>
      <x:c r="C522" s="20" t="str">
        <x:v>กรุงเทพมหานคร</x:v>
      </x:c>
      <x:c r="D522" s="20" t="str">
        <x:v>คงไว้ในชุด 600</x:v>
      </x:c>
      <x:c r="E522" s="20" t="str">
        <x:v>พบหลายแหล่งสัมพันธ์กับชื่อ รอยืนยันการเปิด</x:v>
      </x:c>
      <x:c r="F522" s="20" t="str">
        <x:v>ยังไม่ยืนยันการเปิดให้บริการปัจจุบัน</x:v>
      </x:c>
      <x:c r="G522" s="26" t="n">
        <x:v>3</x:v>
      </x:c>
      <x:c r="H522" s="23" t="str"/>
      <x:c r="I522" s="23" t="str"/>
      <x:c r="J522" s="23" t="e">
        <x:f>HYPERLINK("https://th.trip.com/travel-guide/attraction/bangkok/jodd-fairs-ratchada-134009241/?curr=THB&amp;locale=th-TH","เปิดหน้ารีวิว 1")</x:f>
        <x:v>HYPERLINK is not implemented. linkLocation=https://th.trip.com/travel-guide/attraction/bangkok/jodd-fairs-ratchada-134009241/?curr=THB&amp;locale=th-TH, friendlyName=เปิดหน้ารีวิว 1</x:v>
      </x:c>
      <x:c r="K522" s="23" t="e">
        <x:f>HYPERLINK("https://th.trip.com/travel-guide/attraction/bangkok/jodd-fairs-night-market-134009241/?curr=TWD&amp;locale=th-TH&amp;rankingId=10070000191150&amp;tagId=486029","เปิดหน้ารีวิว 2")</x:f>
        <x:v>HYPERLINK is not implemented. linkLocation=https://th.trip.com/travel-guide/attraction/bangkok/jodd-fairs-night-market-134009241/?curr=TWD&amp;locale=th-TH&amp;rankingId=10070000191150&amp;tagId=486029, friendlyName=เปิดหน้ารีวิว 2</x:v>
      </x:c>
      <x:c r="L522" s="23" t="str"/>
      <x:c r="M522" s="23" t="str"/>
      <x:c r="N522" s="20" t="str">
        <x:v>ยังไม่ยืนยัน</x:v>
      </x:c>
      <x:c r="O52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22" s="25" t="n">
        <x:v>46315</x:v>
      </x:c>
      <x:c r="Q522" s="27" t="str">
        <x:v>ยังไม่ตรวจ</x:v>
      </x:c>
      <x:c r="R522" s="27" t="str">
        <x:v>รอติดต่อ</x:v>
      </x:c>
    </x:row>
    <x:row r="523" ht="76" customHeight="1">
      <x:c r="A523" s="24" t="str">
        <x:v>TMF-515</x:v>
      </x:c>
      <x:c r="B523" s="20" t="str">
        <x:v>ตลาดกรีนวินเทจ รัชโยธิน</x:v>
      </x:c>
      <x:c r="C523" s="20" t="str">
        <x:v>กรุงเทพมหานคร</x:v>
      </x:c>
      <x:c r="D523" s="20" t="str">
        <x:v>คงไว้ในชุด 600</x:v>
      </x:c>
      <x:c r="E523" s="20" t="str">
        <x:v>พบหลายแหล่งสัมพันธ์กับชื่อ รอยืนยันการเปิด</x:v>
      </x:c>
      <x:c r="F523" s="20" t="str">
        <x:v>ยังไม่ยืนยันการเปิดให้บริการปัจจุบัน</x:v>
      </x:c>
      <x:c r="G523" s="26" t="n">
        <x:v>5</x:v>
      </x:c>
      <x:c r="H523" s="23" t="str"/>
      <x:c r="I523" s="23" t="str"/>
      <x:c r="J523" s="23" t="e">
        <x:f>HYPERLINK("https://wanderlog.com/th/place/details/5370970","เปิดหน้ารีวิว 1")</x:f>
        <x:v>HYPERLINK is not implemented. linkLocation=https://wanderlog.com/th/place/details/5370970, friendlyName=เปิดหน้ารีวิว 1</x:v>
      </x:c>
      <x:c r="K523" s="23" t="e">
        <x:f>HYPERLINK("https://th.trip.com/travel-guide/attraction/bangkok/green-vintage-night-market-146848796?curr=THB&amp;locale=th-TH","เปิดหน้ารีวิว 2")</x:f>
        <x:v>HYPERLINK is not implemented. linkLocation=https://th.trip.com/travel-guide/attraction/bangkok/green-vintage-night-market-146848796?curr=THB&amp;locale=th-TH, friendlyName=เปิดหน้ารีวิว 2</x:v>
      </x:c>
      <x:c r="L523" s="23" t="str"/>
      <x:c r="M523" s="23" t="str"/>
      <x:c r="N523" s="20" t="str">
        <x:v>ยังไม่ยืนยัน</x:v>
      </x:c>
      <x:c r="O52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23" s="25" t="n">
        <x:v>46315</x:v>
      </x:c>
      <x:c r="Q523" s="27" t="str">
        <x:v>ยังไม่ตรวจ</x:v>
      </x:c>
      <x:c r="R523" s="27" t="str">
        <x:v>รอติดต่อ</x:v>
      </x:c>
    </x:row>
    <x:row r="524" ht="76" customHeight="1">
      <x:c r="A524" s="24" t="str">
        <x:v>TMF-516</x:v>
      </x:c>
      <x:c r="B524" s="20" t="str">
        <x:v>ตลาดคุ้มเกล้า</x:v>
      </x:c>
      <x:c r="C524" s="20" t="str">
        <x:v>กรุงเทพมหานคร</x:v>
      </x:c>
      <x:c r="D524" s="20" t="str">
        <x:v>คงไว้ในชุด 600</x:v>
      </x:c>
      <x:c r="E524" s="20" t="str">
        <x:v>พบหลายแหล่งสัมพันธ์กับชื่อ รอยืนยันการเปิด</x:v>
      </x:c>
      <x:c r="F524" s="20" t="str">
        <x:v>ยังไม่ยืนยันการเปิดให้บริการปัจจุบัน</x:v>
      </x:c>
      <x:c r="G524" s="26" t="n">
        <x:v>6</x:v>
      </x:c>
      <x:c r="H524" s="23" t="str"/>
      <x:c r="I524" s="23" t="str"/>
      <x:c r="J524" s="23" t="e">
        <x:f>HYPERLINK("https://www.wongnai.com/restaurants/926089zV-%E0%B8%AB%E0%B9%88%E0%B8%AD%E0%B8%AB%E0%B8%A1%E0%B8%81%E0%B8%97%E0%B8%B0%E0%B9%80%E0%B8%A5%E0%B8%A2%E0%B9%88%E0%B8%B2%E0%B8%87-%E0%B8%95%E0%B8%A5%E0%B8%B2%E0%B8%94%E0%B8%84%E0%B8%B8%E0%B9%89%E0%B8%A1%E0%B9%80%E0%B8%81%E0%B8%A5%E0%B9%89%E0%B8%B2-%E0%B8%AA%E0%B8%B2%E0%B8%82%E0%B8%B2-2","เปิดหน้ารีวิว 1")</x:f>
        <x:v>HYPERLINK is not implemented. linkLocation=https://www.wongnai.com/restaurants/926089zV-%E0%B8%AB%E0%B9%88%E0%B8%AD%E0%B8%AB%E0%B8%A1%E0%B8%81%E0%B8%97%E0%B8%B0%E0%B9%80%E0%B8%A5%E0%B8%A2%E0%B9%88%E0%B8%B2%E0%B8%87-%E0%B8%95%E0%B8%A5%E0%B8%B2%E0%B8%94%E0%B8%84%E0%B8%B8%E0%B9%89%E0%B8%A1%E0%B9%80%E0%B8%81%E0%B8%A5%E0%B9%89%E0%B8%B2-%E0%B8%AA%E0%B8%B2%E0%B8%82%E0%B8%B2-2, friendlyName=เปิดหน้ารีวิว 1</x:v>
      </x:c>
      <x:c r="K524" s="23" t="e">
        <x:f>HYPERLINK("https://www.wongnai.com/restaurants/1952690Ib-%E0%B8%81%E0%B9%8B%E0%B8%A7%E0%B8%A2%E0%B9%80%E0%B8%95%E0%B8%B5%E0%B9%8B%E0%B8%A2%E0%B8%A7-%E0%B8%AD%E0%B8%A3%E0%B8%B8%E0%B8%93%E0%B8%B5-%E0%B8%A5%E0%B8%B9%E0%B8%81%E0%B8%8A%E0%B8%B4%E0%B9%89%E0%B8%99%E0%B8%9B%E0%B8%A5%E0%B8%B2-%E0%B8%A8%E0%B8%B9%E0%B8%99%E0%B8%A2%E0%B9%8C%E0%B8%AD%E0%B8%B2%E0%B8%AB%E0%B8%B2%E0%B8%A3%E0%B8%95%E0%B8%A5%E0%B8%B2%E0%B8%94%E0%B8%84%E0%B8%B8%E0%B9%89%E0%B8%A1%E0%B9%80%E0%B8%81%E0%B8%A5%E0%B9%89%E0%B8%B2","เปิดหน้ารีวิว 2")</x:f>
        <x:v>HYPERLINK is not implemented. linkLocation=https://www.wongnai.com/restaurants/1952690Ib-%E0%B8%81%E0%B9%8B%E0%B8%A7%E0%B8%A2%E0%B9%80%E0%B8%95%E0%B8%B5%E0%B9%8B%E0%B8%A2%E0%B8%A7-%E0%B8%AD%E0%B8%A3%E0%B8%B8%E0%B8%93%E0%B8%B5-%E0%B8%A5%E0%B8%B9%E0%B8%81%E0%B8%8A%E0%B8%B4%E0%B9%89%E0%B8%99%E0%B8%9B%E0%B8%A5%E0%B8%B2-%E0%B8%A8%E0%B8%B9%E0%B8%99%E0%B8%A2%E0%B9%8C%E0%B8%AD%E0%B8%B2%E0%B8%AB%E0%B8%B2%E0%B8%A3%E0%B8%95%E0%B8%A5%E0%B8%B2%E0%B8%94%E0%B8%84%E0%B8%B8%E0%B9%89%E0%B8%A1%E0%B9%80%E0%B8%81%E0%B8%A5%E0%B9%89%E0%B8%B2, friendlyName=เปิดหน้ารีวิว 2</x:v>
      </x:c>
      <x:c r="L524" s="23" t="e">
        <x:f>HYPERLINK("https://thi.worldorgs.com/%E0%B9%81%E0%B8%84%E0%B8%95%E0%B8%95%E0%B8%B2%E0%B8%A5%E0%B9%87%E0%B8%AD%E0%B8%81/%E0%B9%80%E0%B8%82%E0%B8%95%E0%B8%A5%E0%B8%B2%E0%B8%94%E0%B8%81%E0%B8%A3%E0%B8%B0%E0%B8%9A%E0%B8%B1%E0%B8%87/%E0%B8%95%E0%B8%B1%E0%B8%A7%E0%B9%81%E0%B8%97%E0%B8%99%E0%B8%81%E0%B8%B2%E0%B8%A3%E0%B8%95%E0%B8%A5%E0%B8%B2%E0%B8%94/%E0%B8%95%E0%B8%A5%E0%B8%B2%E0%B8%94%E0%B8%84%E0%B8%B8%E0%B9%89%E0%B8%A1%E0%B9%80%E0%B8%81%E0%B8%A5%E0%B9%89%E0%B8%B2","เปิดเว็บเพิ่ม 1")</x:f>
        <x:v>HYPERLINK is not implemented. linkLocation=https://thi.worldorgs.com/%E0%B9%81%E0%B8%84%E0%B8%95%E0%B8%95%E0%B8%B2%E0%B8%A5%E0%B9%87%E0%B8%AD%E0%B8%81/%E0%B9%80%E0%B8%82%E0%B8%95%E0%B8%A5%E0%B8%B2%E0%B8%94%E0%B8%81%E0%B8%A3%E0%B8%B0%E0%B8%9A%E0%B8%B1%E0%B8%87/%E0%B8%95%E0%B8%B1%E0%B8%A7%E0%B9%81%E0%B8%97%E0%B8%99%E0%B8%81%E0%B8%B2%E0%B8%A3%E0%B8%95%E0%B8%A5%E0%B8%B2%E0%B8%94/%E0%B8%95%E0%B8%A5%E0%B8%B2%E0%B8%94%E0%B8%84%E0%B8%B8%E0%B9%89%E0%B8%A1%E0%B9%80%E0%B8%81%E0%B8%A5%E0%B9%89%E0%B8%B2, friendlyName=เปิดเว็บเพิ่ม 1</x:v>
      </x:c>
      <x:c r="M524" s="23" t="e">
        <x:f>HYPERLINK("https://www.thaithurkic.com/%E0%B8%95%E0%B8%A5%E0%B8%B2%E0%B8%94%E0%B8%84%E0%B8%B8%E0%B9%89%E0%B8%A1%E0%B9%80%E0%B8%81%E0%B8%A5%E0%B9%89%E0%B8%B2-02-103-1379","เปิดเว็บเพิ่ม 2")</x:f>
        <x:v>HYPERLINK is not implemented. linkLocation=https://www.thaithurkic.com/%E0%B8%95%E0%B8%A5%E0%B8%B2%E0%B8%94%E0%B8%84%E0%B8%B8%E0%B9%89%E0%B8%A1%E0%B9%80%E0%B8%81%E0%B8%A5%E0%B9%89%E0%B8%B2-02-103-1379, friendlyName=เปิดเว็บเพิ่ม 2</x:v>
      </x:c>
      <x:c r="N524" s="20" t="str">
        <x:v>ยังไม่ยืนยัน</x:v>
      </x:c>
      <x:c r="O52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24" s="25" t="n">
        <x:v>46315</x:v>
      </x:c>
      <x:c r="Q524" s="27" t="str">
        <x:v>ยังไม่ตรวจ</x:v>
      </x:c>
      <x:c r="R524" s="27" t="str">
        <x:v>รอติดต่อ</x:v>
      </x:c>
    </x:row>
    <x:row r="525" ht="76" customHeight="1">
      <x:c r="A525" s="24" t="str">
        <x:v>TMF-517</x:v>
      </x:c>
      <x:c r="B525" s="20" t="str">
        <x:v>ตลาดนัดกรีนเดย์ไนท์</x:v>
      </x:c>
      <x:c r="C525" s="20" t="str">
        <x:v>กรุงเทพมหานคร</x:v>
      </x:c>
      <x:c r="D525" s="20" t="str">
        <x:v>คงไว้ในชุด 600</x:v>
      </x:c>
      <x:c r="E525" s="20" t="str">
        <x:v>พบหลายแหล่งสัมพันธ์กับชื่อ รอยืนยันการเปิด</x:v>
      </x:c>
      <x:c r="F525" s="20" t="str">
        <x:v>ยังไม่ยืนยันการเปิดให้บริการปัจจุบัน</x:v>
      </x:c>
      <x:c r="G525" s="26" t="n">
        <x:v>3</x:v>
      </x:c>
      <x:c r="H525" s="23" t="str"/>
      <x:c r="I525" s="23" t="str"/>
      <x:c r="J525" s="23" t="e">
        <x:f>HYPERLINK("https://www.wongnai.com/attractions/348858xK-%E0%B8%95%E0%B8%A5%E0%B8%B2%E0%B8%94%E0%B8%99%E0%B8%B1%E0%B8%94%E0%B8%81%E0%B8%A3%E0%B8%B5%E0%B8%99%E0%B9%80%E0%B8%94%E0%B8%A2%E0%B9%8C%E0%B9%84%E0%B8%99%E0%B8%97%E0%B9%8C","เปิดหน้ารีวิว 1")</x:f>
        <x:v>HYPERLINK is not implemented. linkLocation=https://www.wongnai.com/attractions/348858xK-%E0%B8%95%E0%B8%A5%E0%B8%B2%E0%B8%94%E0%B8%99%E0%B8%B1%E0%B8%94%E0%B8%81%E0%B8%A3%E0%B8%B5%E0%B8%99%E0%B9%80%E0%B8%94%E0%B8%A2%E0%B9%8C%E0%B9%84%E0%B8%99%E0%B8%97%E0%B9%8C, friendlyName=เปิดหน้ารีวิว 1</x:v>
      </x:c>
      <x:c r="K525" s="23" t="e">
        <x:f>HYPERLINK("https://www.wongnai.com/restaurants/2206840iN-bboy-%E0%B8%81%E0%B8%A5%E0%B8%B1%E0%B8%9A%E0%B8%81%E0%B8%B1%E0%B8%9A%E0%B8%9B%E0%B8%A5%E0%B8%B2-%E0%B8%95%E0%B8%A5%E0%B8%B2%E0%B8%94%E0%B8%99%E0%B8%B1%E0%B8%94%E0%B8%81%E0%B8%A3%E0%B8%B5%E0%B8%99%E0%B9%80%E0%B8%94%E0%B8%A2%E0%B9%8C%E0%B9%84%E0%B8%99%E0%B8%97%E0%B9%8C-%E0%B8%9E%E0%B8%A3%E0%B8%B0%E0%B8%A3%E0%B8%B2%E0%B8%A12","เปิดหน้ารีวิว 2")</x:f>
        <x:v>HYPERLINK is not implemented. linkLocation=https://www.wongnai.com/restaurants/2206840iN-bboy-%E0%B8%81%E0%B8%A5%E0%B8%B1%E0%B8%9A%E0%B8%81%E0%B8%B1%E0%B8%9A%E0%B8%9B%E0%B8%A5%E0%B8%B2-%E0%B8%95%E0%B8%A5%E0%B8%B2%E0%B8%94%E0%B8%99%E0%B8%B1%E0%B8%94%E0%B8%81%E0%B8%A3%E0%B8%B5%E0%B8%99%E0%B9%80%E0%B8%94%E0%B8%A2%E0%B9%8C%E0%B9%84%E0%B8%99%E0%B8%97%E0%B9%8C-%E0%B8%9E%E0%B8%A3%E0%B8%B0%E0%B8%A3%E0%B8%B2%E0%B8%A12, friendlyName=เปิดหน้ารีวิว 2</x:v>
      </x:c>
      <x:c r="L525" s="23" t="e">
        <x:f>HYPERLINK("https://thi.worldorgs.com/%E0%B9%81%E0%B8%84%E0%B8%95%E0%B8%95%E0%B8%B2%E0%B8%A5%E0%B9%87%E0%B8%AD%E0%B8%81/%E0%B9%80%E0%B8%82%E0%B8%95%E0%B8%9A%E0%B8%B2%E0%B8%87%E0%B8%82%E0%B8%B8%E0%B8%99%E0%B9%80%E0%B8%97%E0%B8%B5%E0%B8%A2%E0%B8%99/%E0%B8%97%E0%B8%B5%E0%B9%88%E0%B8%88%E0%B8%AD%E0%B8%94%E0%B8%A3%E0%B8%96/%E0%B8%95%E0%B8%A5%E0%B8%B2%E0%B8%94%E0%B8%99%E0%B8%B1%E0%B8%94%E0%B8%81%E0%B8%A3%E0%B8%B5%E0%B8%99%E0%B9%80%E0%B8%94%E0%B8%A2%E0%B9%8C%E0%B9%84%E0%B8%99%E0%B8%97%E0%B9%8C","เปิดเว็บเพิ่ม 1")</x:f>
        <x:v>HYPERLINK is not implemented. linkLocation=https://thi.worldorgs.com/%E0%B9%81%E0%B8%84%E0%B8%95%E0%B8%95%E0%B8%B2%E0%B8%A5%E0%B9%87%E0%B8%AD%E0%B8%81/%E0%B9%80%E0%B8%82%E0%B8%95%E0%B8%9A%E0%B8%B2%E0%B8%87%E0%B8%82%E0%B8%B8%E0%B8%99%E0%B9%80%E0%B8%97%E0%B8%B5%E0%B8%A2%E0%B8%99/%E0%B8%97%E0%B8%B5%E0%B9%88%E0%B8%88%E0%B8%AD%E0%B8%94%E0%B8%A3%E0%B8%96/%E0%B8%95%E0%B8%A5%E0%B8%B2%E0%B8%94%E0%B8%99%E0%B8%B1%E0%B8%94%E0%B8%81%E0%B8%A3%E0%B8%B5%E0%B8%99%E0%B9%80%E0%B8%94%E0%B8%A2%E0%B9%8C%E0%B9%84%E0%B8%99%E0%B8%97%E0%B9%8C, friendlyName=เปิดเว็บเพิ่ม 1</x:v>
      </x:c>
      <x:c r="M525" s="23" t="str"/>
      <x:c r="N525" s="20" t="str">
        <x:v>ยังไม่ยืนยัน</x:v>
      </x:c>
      <x:c r="O52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25" s="25" t="n">
        <x:v>46315</x:v>
      </x:c>
      <x:c r="Q525" s="27" t="str">
        <x:v>ยังไม่ตรวจ</x:v>
      </x:c>
      <x:c r="R525" s="27" t="str">
        <x:v>รอติดต่อ</x:v>
      </x:c>
    </x:row>
    <x:row r="526" ht="76" customHeight="1">
      <x:c r="A526" s="24" t="str">
        <x:v>TMF-518</x:v>
      </x:c>
      <x:c r="B526" s="20" t="str">
        <x:v>ตลาดนัดกลางคืนพัลลาเดียม</x:v>
      </x:c>
      <x:c r="C526" s="20" t="str">
        <x:v>กรุงเทพมหานคร</x:v>
      </x:c>
      <x:c r="D526" s="20" t="str">
        <x:v>คงไว้ในชุด 600</x:v>
      </x:c>
      <x:c r="E526" s="20" t="str">
        <x:v>พบหลายแหล่งสัมพันธ์กับชื่อ รอยืนยันการเปิด</x:v>
      </x:c>
      <x:c r="F526" s="20" t="str">
        <x:v>ยังไม่ยืนยันการเปิดให้บริการปัจจุบัน</x:v>
      </x:c>
      <x:c r="G526" s="26" t="n">
        <x:v>2</x:v>
      </x:c>
      <x:c r="H526" s="23" t="str"/>
      <x:c r="I526" s="23" t="str"/>
      <x:c r="J526" s="23" t="e">
        <x:f>HYPERLINK("https://th.trip.com/hot/%E0%B8%95%E0%B8%A5%E0%B8%B2%E0%B8%94%E0%B8%99%E0%B8%B1%E0%B8%94%E0%B8%81%E0%B8%A5%E0%B8%B2%E0%B8%87%E0%B8%84%E0%B8%B7%E0%B8%99%E0%B8%9E%E0%B8%B1%E0%B8%A5%E0%B8%A5%E0%B8%B2%E0%B9%80%E0%B8%94%E0%B8%B5%E0%B8%A2%E0%B8%A1%2B%E0%B9%82%E0%B8%A3%E0%B8%87%E0%B9%81%E0%B8%A3%E0%B8%A1%E0%B9%83%E0%B8%81%E0%B8%A5%E0%B9%89%E0%B9%80%E0%B8%84%E0%B8%B5%E0%B8%A2%E0%B8%87/","เปิดหน้ารีวิว 1")</x:f>
        <x:v>HYPERLINK is not implemented. linkLocation=https://th.trip.com/hot/%E0%B8%95%E0%B8%A5%E0%B8%B2%E0%B8%94%E0%B8%99%E0%B8%B1%E0%B8%94%E0%B8%81%E0%B8%A5%E0%B8%B2%E0%B8%87%E0%B8%84%E0%B8%B7%E0%B8%99%E0%B8%9E%E0%B8%B1%E0%B8%A5%E0%B8%A5%E0%B8%B2%E0%B9%80%E0%B8%94%E0%B8%B5%E0%B8%A2%E0%B8%A1%2B%E0%B9%82%E0%B8%A3%E0%B8%87%E0%B9%81%E0%B8%A3%E0%B8%A1%E0%B9%83%E0%B8%81%E0%B8%A5%E0%B9%89%E0%B9%80%E0%B8%84%E0%B8%B5%E0%B8%A2%E0%B8%87/, friendlyName=เปิดหน้ารีวิว 1</x:v>
      </x:c>
      <x:c r="K526" s="23" t="str"/>
      <x:c r="L526" s="23" t="str"/>
      <x:c r="M526" s="23" t="str"/>
      <x:c r="N526" s="20" t="str">
        <x:v>ยังไม่ยืนยัน</x:v>
      </x:c>
      <x:c r="O52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26" s="25" t="n">
        <x:v>46315</x:v>
      </x:c>
      <x:c r="Q526" s="27" t="str">
        <x:v>ยังไม่ตรวจ</x:v>
      </x:c>
      <x:c r="R526" s="27" t="str">
        <x:v>รอติดต่อ</x:v>
      </x:c>
    </x:row>
    <x:row r="527" ht="96" customHeight="1">
      <x:c r="A527" s="24" t="str">
        <x:v>TMF-519</x:v>
      </x:c>
      <x:c r="B527" s="20" t="str">
        <x:v>ตลาดนัดลำผักชี</x:v>
      </x:c>
      <x:c r="C527" s="20" t="str">
        <x:v>กรุงเทพมหานคร</x:v>
      </x:c>
      <x:c r="D527" s="20" t="str">
        <x:v>คงไว้ในชุด 600</x:v>
      </x:c>
      <x:c r="E527" s="20" t="str">
        <x:v>หลักฐานไม่พอ รอยืนยันการเปิด</x:v>
      </x:c>
      <x:c r="F527" s="20" t="str">
        <x:v>ยังไม่ยืนยันการเปิดให้บริการปัจจุบัน</x:v>
      </x:c>
      <x:c r="G527" s="26" t="n">
        <x:v>1</x:v>
      </x:c>
      <x:c r="H527" s="23" t="str"/>
      <x:c r="I527" s="23" t="str"/>
      <x:c r="J527" s="23" t="str"/>
      <x:c r="K527" s="23" t="str"/>
      <x:c r="L527" s="23" t="str"/>
      <x:c r="M527" s="23" t="str"/>
      <x:c r="N527" s="20" t="str">
        <x:v>ยังไม่ยืนยัน</x:v>
      </x:c>
      <x:c r="O52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27" s="25" t="n">
        <x:v>46315</x:v>
      </x:c>
      <x:c r="Q527" s="27" t="str">
        <x:v>ยังไม่ตรวจ</x:v>
      </x:c>
      <x:c r="R527" s="27" t="str">
        <x:v>รอติดต่อ</x:v>
      </x:c>
    </x:row>
    <x:row r="528" ht="96" customHeight="1">
      <x:c r="A528" s="24" t="str">
        <x:v>TMF-520</x:v>
      </x:c>
      <x:c r="B528" s="20" t="str">
        <x:v>ตลาดนัดอิสลาม</x:v>
      </x:c>
      <x:c r="C528" s="20" t="str">
        <x:v>กรุงเทพมหานคร</x:v>
      </x:c>
      <x:c r="D528" s="20" t="str">
        <x:v>คงไว้ในชุด 600</x:v>
      </x:c>
      <x:c r="E528" s="20" t="str">
        <x:v>หลักฐานไม่พอ รอยืนยันการเปิด</x:v>
      </x:c>
      <x:c r="F528" s="20" t="str">
        <x:v>ยังไม่ยืนยันการเปิดให้บริการปัจจุบัน</x:v>
      </x:c>
      <x:c r="G528" s="26" t="n">
        <x:v>1</x:v>
      </x:c>
      <x:c r="H528" s="23" t="str"/>
      <x:c r="I528" s="23" t="str"/>
      <x:c r="J528" s="23" t="str"/>
      <x:c r="K528" s="23" t="str"/>
      <x:c r="L528" s="23" t="str"/>
      <x:c r="M528" s="23" t="str"/>
      <x:c r="N528" s="20" t="str">
        <x:v>ยังไม่ยืนยัน</x:v>
      </x:c>
      <x:c r="O52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28" s="25" t="n">
        <x:v>46315</x:v>
      </x:c>
      <x:c r="Q528" s="27" t="str">
        <x:v>ยังไม่ตรวจ</x:v>
      </x:c>
      <x:c r="R528" s="27" t="str">
        <x:v>รอติดต่อ</x:v>
      </x:c>
    </x:row>
    <x:row r="529" ht="76" customHeight="1">
      <x:c r="A529" s="24" t="str">
        <x:v>TMF-521</x:v>
      </x:c>
      <x:c r="B529" s="20" t="str">
        <x:v>ตลาดนานาชาติ</x:v>
      </x:c>
      <x:c r="C529" s="20" t="str">
        <x:v>กรุงเทพมหานคร</x:v>
      </x:c>
      <x:c r="D529" s="20" t="str">
        <x:v>คงไว้ในชุด 600</x:v>
      </x:c>
      <x:c r="E529" s="20" t="str">
        <x:v>พบหลายแหล่งสัมพันธ์กับชื่อ รอยืนยันการเปิด</x:v>
      </x:c>
      <x:c r="F529" s="20" t="str">
        <x:v>ยังไม่ยืนยันการเปิดให้บริการปัจจุบัน</x:v>
      </x:c>
      <x:c r="G529" s="26" t="n">
        <x:v>4</x:v>
      </x:c>
      <x:c r="H529" s="23" t="str"/>
      <x:c r="I529" s="23" t="str"/>
      <x:c r="J529" s="23" t="e">
        <x:f>HYPERLINK("https://www.wongnai.com/restaurants/979804yZ-%E0%B8%AD%E0%B8%B2%E0%B8%A7%E0%B8%99%E0%B9%8C%E0%B8%8A%E0%B8%B2-%E0%B8%AB%E0%B8%99%E0%B9%89%E0%B8%B2%E0%B9%82%E0%B8%A5%E0%B8%95%E0%B8%B1%E0%B8%AA-%E0%B8%AA%E0%B8%B8%E0%B8%82%E0%B8%B2%E0%B8%A0%E0%B8%B4%E0%B8%9A%E0%B8%B2%E0%B8%A5-3","เปิดหน้ารีวิว 1")</x:f>
        <x:v>HYPERLINK is not implemented. linkLocation=https://www.wongnai.com/restaurants/979804yZ-%E0%B8%AD%E0%B8%B2%E0%B8%A7%E0%B8%99%E0%B9%8C%E0%B8%8A%E0%B8%B2-%E0%B8%AB%E0%B8%99%E0%B9%89%E0%B8%B2%E0%B9%82%E0%B8%A5%E0%B8%95%E0%B8%B1%E0%B8%AA-%E0%B8%AA%E0%B8%B8%E0%B8%82%E0%B8%B2%E0%B8%A0%E0%B8%B4%E0%B8%9A%E0%B8%B2%E0%B8%A5-3, friendlyName=เปิดหน้ารีวิว 1</x:v>
      </x:c>
      <x:c r="K529" s="23" t="e">
        <x:f>HYPERLINK("https://www.expedia.co.th/Sinpo-International-Market-Jung-gu.d553248633862356032.Place-To-Visit","เปิดหน้ารีวิว 2")</x:f>
        <x:v>HYPERLINK is not implemented. linkLocation=https://www.expedia.co.th/Sinpo-International-Market-Jung-gu.d553248633862356032.Place-To-Visit, friendlyName=เปิดหน้ารีวิว 2</x:v>
      </x:c>
      <x:c r="L529" s="23" t="e">
        <x:f>HYPERLINK("https://thi.worldorgs.com/%E0%B9%81%E0%B8%84%E0%B8%95%E0%B8%95%E0%B8%B2%E0%B8%A5%E0%B9%87%E0%B8%AD%E0%B8%81/%E0%B9%80%E0%B8%82%E0%B8%95%E0%B8%A5%E0%B8%B2%E0%B8%94%E0%B8%81%E0%B8%A3%E0%B8%B0%E0%B8%9A%E0%B8%B1%E0%B8%87/%E0%B8%95%E0%B8%A5%E0%B8%B2%E0%B8%94/%E0%B8%95%E0%B8%A5%E0%B8%B2%E0%B8%94%E0%B8%99%E0%B8%B2%E0%B8%99%E0%B8%B2%E0%B8%8A%E0%B8%B2%E0%B8%95%E0%B8%B4","เปิดเว็บเพิ่ม 1")</x:f>
        <x:v>HYPERLINK is not implemented. linkLocation=https://thi.worldorgs.com/%E0%B9%81%E0%B8%84%E0%B8%95%E0%B8%95%E0%B8%B2%E0%B8%A5%E0%B9%87%E0%B8%AD%E0%B8%81/%E0%B9%80%E0%B8%82%E0%B8%95%E0%B8%A5%E0%B8%B2%E0%B8%94%E0%B8%81%E0%B8%A3%E0%B8%B0%E0%B8%9A%E0%B8%B1%E0%B8%87/%E0%B8%95%E0%B8%A5%E0%B8%B2%E0%B8%94/%E0%B8%95%E0%B8%A5%E0%B8%B2%E0%B8%94%E0%B8%99%E0%B8%B2%E0%B8%99%E0%B8%B2%E0%B8%8A%E0%B8%B2%E0%B8%95%E0%B8%B4, friendlyName=เปิดเว็บเพิ่ม 1</x:v>
      </x:c>
      <x:c r="M529" s="23" t="str"/>
      <x:c r="N529" s="20" t="str">
        <x:v>ยังไม่ยืนยัน</x:v>
      </x:c>
      <x:c r="O52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29" s="25" t="n">
        <x:v>46315</x:v>
      </x:c>
      <x:c r="Q529" s="27" t="str">
        <x:v>ยังไม่ตรวจ</x:v>
      </x:c>
      <x:c r="R529" s="27" t="str">
        <x:v>รอติดต่อ</x:v>
      </x:c>
    </x:row>
    <x:row r="530" ht="76" customHeight="1">
      <x:c r="A530" s="24" t="str">
        <x:v>TMF-522</x:v>
      </x:c>
      <x:c r="B530" s="20" t="str">
        <x:v>ตลาดน้ำคลองลัดมะยม</x:v>
      </x:c>
      <x:c r="C530" s="20" t="str">
        <x:v>กรุงเทพมหานคร</x:v>
      </x:c>
      <x:c r="D530" s="20" t="str">
        <x:v>คงไว้ในชุด 600</x:v>
      </x:c>
      <x:c r="E530" s="20" t="str">
        <x:v>พบหลายแหล่งสัมพันธ์กับชื่อ รอยืนยันการเปิด</x:v>
      </x:c>
      <x:c r="F530" s="20" t="str">
        <x:v>ยังไม่ยืนยันการเปิดให้บริการปัจจุบัน</x:v>
      </x:c>
      <x:c r="G530" s="26" t="n">
        <x:v>7</x:v>
      </x:c>
      <x:c r="H530" s="23" t="str"/>
      <x:c r="I530" s="23" t="str"/>
      <x:c r="J530" s="23" t="e">
        <x:f>HYPERLINK("https://th.tripadvisor.com/Attraction_Review-g293916-d4322658-Reviews-Khlong_Lat_Mayom_Floating_Market-Bangkok.html","เปิดหน้ารีวิว 1")</x:f>
        <x:v>HYPERLINK is not implemented. linkLocation=https://th.tripadvisor.com/Attraction_Review-g293916-d4322658-Reviews-Khlong_Lat_Mayom_Floating_Market-Bangkok.html, friendlyName=เปิดหน้ารีวิว 1</x:v>
      </x:c>
      <x:c r="K530" s="23" t="e">
        <x:f>HYPERLINK("https://th.trip.com/guide/attraction/khlong-lat-mayom-floating-market.html","เปิดหน้ารีวิว 2")</x:f>
        <x:v>HYPERLINK is not implemented. linkLocation=https://th.trip.com/guide/attraction/khlong-lat-mayom-floating-market.html, friendlyName=เปิดหน้ารีวิว 2</x:v>
      </x:c>
      <x:c r="L530" s="23" t="e">
        <x:f>HYPERLINK("https://pantip.com/topic/42113578","เปิดเว็บเพิ่ม 1")</x:f>
        <x:v>HYPERLINK is not implemented. linkLocation=https://pantip.com/topic/42113578, friendlyName=เปิดเว็บเพิ่ม 1</x:v>
      </x:c>
      <x:c r="M530" s="23" t="e">
        <x:f>HYPERLINK("https://pantip.com/topic/37611723","เปิดเว็บเพิ่ม 2")</x:f>
        <x:v>HYPERLINK is not implemented. linkLocation=https://pantip.com/topic/37611723, friendlyName=เปิดเว็บเพิ่ม 2</x:v>
      </x:c>
      <x:c r="N530" s="20" t="str">
        <x:v>ยังไม่ยืนยัน</x:v>
      </x:c>
      <x:c r="O53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0" s="25" t="n">
        <x:v>46315</x:v>
      </x:c>
      <x:c r="Q530" s="27" t="str">
        <x:v>ยังไม่ตรวจ</x:v>
      </x:c>
      <x:c r="R530" s="27" t="str">
        <x:v>รอติดต่อ</x:v>
      </x:c>
    </x:row>
    <x:row r="531" ht="76" customHeight="1">
      <x:c r="A531" s="24" t="str">
        <x:v>TMF-523</x:v>
      </x:c>
      <x:c r="B531" s="20" t="str">
        <x:v>ตลาดน้ำตลิ่งชัน</x:v>
      </x:c>
      <x:c r="C531" s="20" t="str">
        <x:v>กรุงเทพมหานคร</x:v>
      </x:c>
      <x:c r="D531" s="20" t="str">
        <x:v>คงไว้ในชุด 600</x:v>
      </x:c>
      <x:c r="E531" s="20" t="str">
        <x:v>พบหลายแหล่งสัมพันธ์กับชื่อ รอยืนยันการเปิด</x:v>
      </x:c>
      <x:c r="F531" s="20" t="str">
        <x:v>ยังไม่ยืนยันการเปิดให้บริการปัจจุบัน</x:v>
      </x:c>
      <x:c r="G531" s="26" t="n">
        <x:v>6</x:v>
      </x:c>
      <x:c r="H531" s="23" t="str"/>
      <x:c r="I531" s="23" t="str"/>
      <x:c r="J531" s="23" t="e">
        <x:f>HYPERLINK("https://www.wongnai.com/reviews/3b6e251de56c45c2ba45ce86d90b0036","เปิดหน้ารีวิว 1")</x:f>
        <x:v>HYPERLINK is not implemented. linkLocation=https://www.wongnai.com/reviews/3b6e251de56c45c2ba45ce86d90b0036, friendlyName=เปิดหน้ารีวิว 1</x:v>
      </x:c>
      <x:c r="K531" s="23" t="e">
        <x:f>HYPERLINK("https://th.tripadvisor.com/Attraction_Review-g293916-d1499098-Reviews-Taling_Chan_Floating_Market-Bangkok.html","เปิดหน้ารีวิว 2")</x:f>
        <x:v>HYPERLINK is not implemented. linkLocation=https://th.tripadvisor.com/Attraction_Review-g293916-d1499098-Reviews-Taling_Chan_Floating_Market-Bangkok.html, friendlyName=เปิดหน้ารีวิว 2</x:v>
      </x:c>
      <x:c r="L531" s="23" t="e">
        <x:f>HYPERLINK("https://www.gplace.com/3931","เปิดเว็บเพิ่ม 1")</x:f>
        <x:v>HYPERLINK is not implemented. linkLocation=https://www.gplace.com/3931, friendlyName=เปิดเว็บเพิ่ม 1</x:v>
      </x:c>
      <x:c r="M531" s="23" t="e">
        <x:f>HYPERLINK("https://doi.nrct.go.th/ListDoi/Download/313766?Resolve_DOI=10.14457%2FCU.the.2006.510","เปิดเว็บเพิ่ม 2")</x:f>
        <x:v>HYPERLINK is not implemented. linkLocation=https://doi.nrct.go.th/ListDoi/Download/313766?Resolve_DOI=10.14457%2FCU.the.2006.510, friendlyName=เปิดเว็บเพิ่ม 2</x:v>
      </x:c>
      <x:c r="N531" s="20" t="str">
        <x:v>ยังไม่ยืนยัน</x:v>
      </x:c>
      <x:c r="O53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1" s="25" t="n">
        <x:v>46315</x:v>
      </x:c>
      <x:c r="Q531" s="27" t="str">
        <x:v>ยังไม่ตรวจ</x:v>
      </x:c>
      <x:c r="R531" s="27" t="str">
        <x:v>รอติดต่อ</x:v>
      </x:c>
    </x:row>
    <x:row r="532" ht="76" customHeight="1">
      <x:c r="A532" s="24" t="str">
        <x:v>TMF-524</x:v>
      </x:c>
      <x:c r="B532" s="20" t="str">
        <x:v>ตลาดน้ำบางคูลัด</x:v>
      </x:c>
      <x:c r="C532" s="20" t="str">
        <x:v>กรุงเทพมหานคร</x:v>
      </x:c>
      <x:c r="D532" s="20" t="str">
        <x:v>คงไว้ในชุด 600</x:v>
      </x:c>
      <x:c r="E532" s="20" t="str">
        <x:v>พบหลายแหล่งสัมพันธ์กับชื่อ รอยืนยันการเปิด</x:v>
      </x:c>
      <x:c r="F532" s="20" t="str">
        <x:v>ยังไม่ยืนยันการเปิดให้บริการปัจจุบัน</x:v>
      </x:c>
      <x:c r="G532" s="26" t="n">
        <x:v>2</x:v>
      </x:c>
      <x:c r="H532" s="23" t="str"/>
      <x:c r="I532" s="23" t="str"/>
      <x:c r="J532" s="23" t="e">
        <x:f>HYPERLINK("https://wanderlog.com/th/place/details/6179690/%E0%B8%95%E0%B8%A5%E0%B8%B2%E0%B8%94%E0%B8%99%E0%B8%B3%E0%B8%9A%E0%B8%B2%E0%B8%87%E0%B8%84%E0%B8%A5%E0%B8%94","เปิดหน้ารีวิว 1")</x:f>
        <x:v>HYPERLINK is not implemented. linkLocation=https://wanderlog.com/th/place/details/6179690/%E0%B8%95%E0%B8%A5%E0%B8%B2%E0%B8%94%E0%B8%99%E0%B8%B3%E0%B8%9A%E0%B8%B2%E0%B8%87%E0%B8%84%E0%B8%A5%E0%B8%94, friendlyName=เปิดหน้ารีวิว 1</x:v>
      </x:c>
      <x:c r="K532" s="23" t="str"/>
      <x:c r="L532" s="23" t="str"/>
      <x:c r="M532" s="23" t="str"/>
      <x:c r="N532" s="20" t="str">
        <x:v>ยังไม่ยืนยัน</x:v>
      </x:c>
      <x:c r="O53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2" s="25" t="n">
        <x:v>46315</x:v>
      </x:c>
      <x:c r="Q532" s="27" t="str">
        <x:v>ยังไม่ตรวจ</x:v>
      </x:c>
      <x:c r="R532" s="27" t="str">
        <x:v>รอติดต่อ</x:v>
      </x:c>
    </x:row>
    <x:row r="533" ht="76" customHeight="1">
      <x:c r="A533" s="24" t="str">
        <x:v>TMF-525</x:v>
      </x:c>
      <x:c r="B533" s="20" t="str">
        <x:v>ตลาดน้ำวัดสะพาน ราชพฤกษ์</x:v>
      </x:c>
      <x:c r="C533" s="20" t="str">
        <x:v>กรุงเทพมหานคร</x:v>
      </x:c>
      <x:c r="D533" s="20" t="str">
        <x:v>คงไว้ในชุด 600</x:v>
      </x:c>
      <x:c r="E533" s="20" t="str">
        <x:v>พบหลายแหล่งสัมพันธ์กับชื่อ รอยืนยันการเปิด</x:v>
      </x:c>
      <x:c r="F533" s="20" t="str">
        <x:v>ยังไม่ยืนยันการเปิดให้บริการปัจจุบัน</x:v>
      </x:c>
      <x:c r="G533" s="26" t="n">
        <x:v>6</x:v>
      </x:c>
      <x:c r="H533" s="23" t="str"/>
      <x:c r="I533" s="23" t="str"/>
      <x:c r="J533" s="23" t="e">
        <x:f>HYPERLINK("https://www.lemon8-app.com/%40watsaphanfoatingmarket/7474259177855205905?region=th","เปิดหน้ารีวิว 1")</x:f>
        <x:v>HYPERLINK is not implemented. linkLocation=https://www.lemon8-app.com/%40watsaphanfoatingmarket/7474259177855205905?region=th, friendlyName=เปิดหน้ารีวิว 1</x:v>
      </x:c>
      <x:c r="K533" s="23" t="e">
        <x:f>HYPERLINK("https://www.youtube.com/watch?v=kIAFz6jXvHg","เปิดหน้ารีวิว 2")</x:f>
        <x:v>HYPERLINK is not implemented. linkLocation=https://www.youtube.com/watch?v=kIAFz6jXvHg, friendlyName=เปิดหน้ารีวิว 2</x:v>
      </x:c>
      <x:c r="L533" s="23" t="e">
        <x:f>HYPERLINK("https://salehere.co.th/wat-saphan-floating-market/branches/taling-chan","เปิดเว็บเพิ่ม 1")</x:f>
        <x:v>HYPERLINK is not implemented. linkLocation=https://salehere.co.th/wat-saphan-floating-market/branches/taling-chan, friendlyName=เปิดเว็บเพิ่ม 1</x:v>
      </x:c>
      <x:c r="M533" s="23" t="e">
        <x:f>HYPERLINK("https://notes.tiktok.com/%40peepensaleeverything2026/7549189941271544327?region=th","เปิดเว็บเพิ่ม 2")</x:f>
        <x:v>HYPERLINK is not implemented. linkLocation=https://notes.tiktok.com/%40peepensaleeverything2026/7549189941271544327?region=th, friendlyName=เปิดเว็บเพิ่ม 2</x:v>
      </x:c>
      <x:c r="N533" s="20" t="str">
        <x:v>ยังไม่ยืนยัน</x:v>
      </x:c>
      <x:c r="O53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3" s="25" t="n">
        <x:v>46315</x:v>
      </x:c>
      <x:c r="Q533" s="27" t="str">
        <x:v>ยังไม่ตรวจ</x:v>
      </x:c>
      <x:c r="R533" s="27" t="str">
        <x:v>รอติดต่อ</x:v>
      </x:c>
    </x:row>
    <x:row r="534" ht="76" customHeight="1">
      <x:c r="A534" s="24" t="str">
        <x:v>TMF-526</x:v>
      </x:c>
      <x:c r="B534" s="20" t="str">
        <x:v>ตลาดน้ำสองคลองวัดตลิ่งชัน</x:v>
      </x:c>
      <x:c r="C534" s="20" t="str">
        <x:v>กรุงเทพมหานคร</x:v>
      </x:c>
      <x:c r="D534" s="20" t="str">
        <x:v>คงไว้ในชุด 600</x:v>
      </x:c>
      <x:c r="E534" s="20" t="str">
        <x:v>พบหลายแหล่งสัมพันธ์กับชื่อ รอยืนยันการเปิด</x:v>
      </x:c>
      <x:c r="F534" s="20" t="str">
        <x:v>ยังไม่ยืนยันการเปิดให้บริการปัจจุบัน</x:v>
      </x:c>
      <x:c r="G534" s="26" t="n">
        <x:v>5</x:v>
      </x:c>
      <x:c r="H534" s="23" t="str"/>
      <x:c r="I534" s="23" t="str"/>
      <x:c r="J534" s="23" t="e">
        <x:f>HYPERLINK("https://www.wongnai.com/reviews/8695f13c401340a8abe198ad093fd7b0","เปิดหน้ารีวิว 1")</x:f>
        <x:v>HYPERLINK is not implemented. linkLocation=https://www.wongnai.com/reviews/8695f13c401340a8abe198ad093fd7b0, friendlyName=เปิดหน้ารีวิว 1</x:v>
      </x:c>
      <x:c r="K534" s="23" t="e">
        <x:f>HYPERLINK("https://www.wongnai.com/attractions/1844201vD-%E0%B8%95%E0%B8%A5%E0%B8%B2%E0%B8%94%E0%B8%99%E0%B9%89%E0%B8%B3%E0%B8%AA%E0%B8%AD%E0%B8%87%E0%B8%84%E0%B8%A5%E0%B8%AD%E0%B8%87-%E0%B8%A7%E0%B8%B1%E0%B8%94%E0%B8%95%E0%B8%A5%E0%B8%B4%E0%B9%88%E0%B8%87%E0%B8%8A%E0%B8%B1%E0%B8%99","เปิดหน้ารีวิว 2")</x:f>
        <x:v>HYPERLINK is not implemented. linkLocation=https://www.wongnai.com/attractions/1844201vD-%E0%B8%95%E0%B8%A5%E0%B8%B2%E0%B8%94%E0%B8%99%E0%B9%89%E0%B8%B3%E0%B8%AA%E0%B8%AD%E0%B8%87%E0%B8%84%E0%B8%A5%E0%B8%AD%E0%B8%87-%E0%B8%A7%E0%B8%B1%E0%B8%94%E0%B8%95%E0%B8%A5%E0%B8%B4%E0%B9%88%E0%B8%87%E0%B8%8A%E0%B8%B1%E0%B8%99, friendlyName=เปิดหน้ารีวิว 2</x:v>
      </x:c>
      <x:c r="L534" s="23" t="str"/>
      <x:c r="M534" s="23" t="str"/>
      <x:c r="N534" s="20" t="str">
        <x:v>ยังไม่ยืนยัน</x:v>
      </x:c>
      <x:c r="O53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4" s="25" t="n">
        <x:v>46315</x:v>
      </x:c>
      <x:c r="Q534" s="27" t="str">
        <x:v>ยังไม่ตรวจ</x:v>
      </x:c>
      <x:c r="R534" s="27" t="str">
        <x:v>รอติดต่อ</x:v>
      </x:c>
    </x:row>
    <x:row r="535" ht="76" customHeight="1">
      <x:c r="A535" s="24" t="str">
        <x:v>TMF-527</x:v>
      </x:c>
      <x:c r="B535" s="20" t="str">
        <x:v>ตลาดมีนบุรี</x:v>
      </x:c>
      <x:c r="C535" s="20" t="str">
        <x:v>กรุงเทพมหานคร</x:v>
      </x:c>
      <x:c r="D535" s="20" t="str">
        <x:v>คงไว้ในชุด 600</x:v>
      </x:c>
      <x:c r="E535" s="20" t="str">
        <x:v>พบหลายแหล่งสัมพันธ์กับชื่อ รอยืนยันการเปิด</x:v>
      </x:c>
      <x:c r="F535" s="20" t="str">
        <x:v>ยังไม่ยืนยันการเปิดให้บริการปัจจุบัน</x:v>
      </x:c>
      <x:c r="G535" s="26" t="n">
        <x:v>5</x:v>
      </x:c>
      <x:c r="H535" s="23" t="str"/>
      <x:c r="I535" s="23" t="str"/>
      <x:c r="J535" s="23" t="e">
        <x:f>HYPERLINK("https://www.wongnai.com/attractions/343846oa-%E0%B8%95%E0%B8%A5%E0%B8%B2%E0%B8%94%E0%B8%A1%E0%B8%B5%E0%B8%99%E0%B8%9A%E0%B8%B8%E0%B8%A3%E0%B8%B5","เปิดหน้ารีวิว 1")</x:f>
        <x:v>HYPERLINK is not implemented. linkLocation=https://www.wongnai.com/attractions/343846oa-%E0%B8%95%E0%B8%A5%E0%B8%B2%E0%B8%94%E0%B8%A1%E0%B8%B5%E0%B8%99%E0%B8%9A%E0%B8%B8%E0%B8%A3%E0%B8%B5, friendlyName=เปิดหน้ารีวิว 1</x:v>
      </x:c>
      <x:c r="K535" s="23" t="e">
        <x:f>HYPERLINK("https://th.tripadvisor.com/Attraction_Review-g293916-d17395645-Reviews-Minburi_Market-Bangkok.html","เปิดหน้ารีวิว 2")</x:f>
        <x:v>HYPERLINK is not implemented. linkLocation=https://th.tripadvisor.com/Attraction_Review-g293916-d17395645-Reviews-Minburi_Market-Bangkok.html, friendlyName=เปิดหน้ารีวิว 2</x:v>
      </x:c>
      <x:c r="L535" s="23" t="e">
        <x:f>HYPERLINK("https://thi.worldorgs.com/%E0%B9%81%E0%B8%84%E0%B8%95%E0%B8%95%E0%B8%B2%E0%B8%A5%E0%B9%87%E0%B8%AD%E0%B8%81/%E0%B9%80%E0%B8%82%E0%B8%95%E0%B8%A1%E0%B8%B5%E0%B8%99%E0%B8%9A%E0%B8%B8%E0%B8%A3%E0%B8%B5/%E0%B8%A3%E0%B9%89%E0%B8%B2%E0%B8%99%E0%B8%95%E0%B8%B1%E0%B8%94%E0%B9%80%E0%B8%AA%E0%B8%B7%E0%B9%89%E0%B8%AD/%E0%B8%95%E0%B8%A5%E0%B8%B2%E0%B8%94%E0%B8%A1%E0%B8%B5%E0%B8%99%E0%B8%9A%E0%B8%B8%E0%B8%A3%E0%B8%B5","เปิดเว็บเพิ่ม 1")</x:f>
        <x:v>HYPERLINK is not implemented. linkLocation=https://thi.worldorgs.com/%E0%B9%81%E0%B8%84%E0%B8%95%E0%B8%95%E0%B8%B2%E0%B8%A5%E0%B9%87%E0%B8%AD%E0%B8%81/%E0%B9%80%E0%B8%82%E0%B8%95%E0%B8%A1%E0%B8%B5%E0%B8%99%E0%B8%9A%E0%B8%B8%E0%B8%A3%E0%B8%B5/%E0%B8%A3%E0%B9%89%E0%B8%B2%E0%B8%99%E0%B8%95%E0%B8%B1%E0%B8%94%E0%B9%80%E0%B8%AA%E0%B8%B7%E0%B9%89%E0%B8%AD/%E0%B8%95%E0%B8%A5%E0%B8%B2%E0%B8%94%E0%B8%A1%E0%B8%B5%E0%B8%99%E0%B8%9A%E0%B8%B8%E0%B8%A3%E0%B8%B5, friendlyName=เปิดเว็บเพิ่ม 1</x:v>
      </x:c>
      <x:c r="M535" s="23" t="e">
        <x:f>HYPERLINK("https://webportal.bangkok.go.th/public/user_files_editor/354/%E0%B8%B7study/68/6.%E0%B8%81%E0%B8%B2%E0%B8%A3%E0%B8%A8%E0%B8%B6%E0%B8%81%E0%B8%A9%E0%B8%B2%E0%B8%A2%E0%B9%88%E0%B8%B2%E0%B8%99%E0%B8%AB%E0%B8%A3%E0%B8%B7%E0%B8%AD%E0%B8%8A%E0%B8%B8%E0%B8%A1%E0%B8%8A%E0%B8%99%E0%B9%80%E0%B8%9E%E0%B8%B7%E0%B9%88%E0%B8%AD%E0%B8%81%E0%B8%B2%E0%B8%A3%E0%B8%97%E0%B9%88%E0%B8%AD%E0%B8%87%E0%B9%80%E0%B8%97%E0%B8%B5%E0%B9%88%E0%B8%A2%E0%B8%A7.pdf","เปิดเว็บเพิ่ม 2")</x:f>
        <x:v>HYPERLINK is not implemented. linkLocation=https://webportal.bangkok.go.th/public/user_files_editor/354/%E0%B8%B7study/68/6.%E0%B8%81%E0%B8%B2%E0%B8%A3%E0%B8%A8%E0%B8%B6%E0%B8%81%E0%B8%A9%E0%B8%B2%E0%B8%A2%E0%B9%88%E0%B8%B2%E0%B8%99%E0%B8%AB%E0%B8%A3%E0%B8%B7%E0%B8%AD%E0%B8%8A%E0%B8%B8%E0%B8%A1%E0%B8%8A%E0%B8%99%E0%B9%80%E0%B8%9E%E0%B8%B7%E0%B9%88%E0%B8%AD%E0%B8%81%E0%B8%B2%E0%B8%A3%E0%B8%97%E0%B9%88%E0%B8%AD%E0%B8%87%E0%B9%80%E0%B8%97%E0%B8%B5%E0%B9%88%E0%B8%A2%E0%B8%A7.pdf, friendlyName=เปิดเว็บเพิ่ม 2</x:v>
      </x:c>
      <x:c r="N535" s="20" t="str">
        <x:v>ยังไม่ยืนยัน</x:v>
      </x:c>
      <x:c r="O53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5" s="25" t="n">
        <x:v>46315</x:v>
      </x:c>
      <x:c r="Q535" s="27" t="str">
        <x:v>ยังไม่ตรวจ</x:v>
      </x:c>
      <x:c r="R535" s="27" t="str">
        <x:v>รอติดต่อ</x:v>
      </x:c>
    </x:row>
    <x:row r="536" ht="76" customHeight="1">
      <x:c r="A536" s="24" t="str">
        <x:v>TMF-528</x:v>
      </x:c>
      <x:c r="B536" s="20" t="str">
        <x:v>ตลาดริมคลอง เจริญกรุง 103</x:v>
      </x:c>
      <x:c r="C536" s="20" t="str">
        <x:v>กรุงเทพมหานคร</x:v>
      </x:c>
      <x:c r="D536" s="20" t="str">
        <x:v>คงไว้ในชุด 600</x:v>
      </x:c>
      <x:c r="E536" s="20" t="str">
        <x:v>พบหลายแหล่งสัมพันธ์กับชื่อ รอยืนยันการเปิด</x:v>
      </x:c>
      <x:c r="F536" s="20" t="str">
        <x:v>ยังไม่ยืนยันการเปิดให้บริการปัจจุบัน</x:v>
      </x:c>
      <x:c r="G536" s="26" t="n">
        <x:v>6</x:v>
      </x:c>
      <x:c r="H536" s="23" t="str"/>
      <x:c r="I536" s="23" t="str"/>
      <x:c r="J536" s="23" t="e">
        <x:f>HYPERLINK("https://www.wongnai.com/attractions/2853557Dx-%E0%B8%95%E0%B8%A5%E0%B8%B2%E0%B8%94%E0%B8%A3%E0%B8%B4%E0%B8%A1%E0%B8%84%E0%B8%A5%E0%B8%AD%E0%B8%87%E0%B9%80%E0%B8%88%E0%B8%A3%E0%B8%B4%E0%B8%8D%E0%B8%81%E0%B8%A3%E0%B8%B8%E0%B8%87103","เปิดหน้ารีวิว 1")</x:f>
        <x:v>HYPERLINK is not implemented. linkLocation=https://www.wongnai.com/attractions/2853557Dx-%E0%B8%95%E0%B8%A5%E0%B8%B2%E0%B8%94%E0%B8%A3%E0%B8%B4%E0%B8%A1%E0%B8%84%E0%B8%A5%E0%B8%AD%E0%B8%87%E0%B9%80%E0%B8%88%E0%B8%A3%E0%B8%B4%E0%B8%8D%E0%B8%81%E0%B8%A3%E0%B8%B8%E0%B8%87103, friendlyName=เปิดหน้ารีวิว 1</x:v>
      </x:c>
      <x:c r="K536" s="23" t="e">
        <x:f>HYPERLINK("https://www.youtube.com/watch?v=sHVzB9E0Dn0","เปิดหน้ารีวิว 2")</x:f>
        <x:v>HYPERLINK is not implemented. linkLocation=https://www.youtube.com/watch?v=sHVzB9E0Dn0, friendlyName=เปิดหน้ารีวิว 2</x:v>
      </x:c>
      <x:c r="L536" s="23" t="e">
        <x:f>HYPERLINK("https://webportal.bangkok.go.th/public/bangkholaem/page/sub/21752","เปิดเว็บเพิ่ม 1")</x:f>
        <x:v>HYPERLINK is not implemented. linkLocation=https://webportal.bangkok.go.th/public/bangkholaem/page/sub/21752, friendlyName=เปิดเว็บเพิ่ม 1</x:v>
      </x:c>
      <x:c r="M536" s="23" t="e">
        <x:f>HYPERLINK("https://webportal.bangkok.go.th/bangkholaem/page/sub/21752/%E0%B8%95%E0%B8%A5%E0%B8%B2%E0%B8%94%E0%B8%A3%E0%B8%B4%E0%B8%A1%E0%B8%84%E0%B8%A5%E0%B8%AD%E0%B8%87%E0%B9%80%E0%B8%88%E0%B8%A3%E0%B8%B4%E0%B8%8D%E0%B8%81%E0%B8%A3%E0%B8%B8%E0%B8%87-103-%E0%B8%8A%E0%B8%B8%E0%B8%A1%E0%B8%8A%E0%B8%99%E0%B8%AA%E0%B8%A7%E0%B8%99%E0%B8%AB%E0%B8%A5%E0%B8%A7%E0%B8%871","เปิดเว็บเพิ่ม 2")</x:f>
        <x:v>HYPERLINK is not implemented. linkLocation=https://webportal.bangkok.go.th/bangkholaem/page/sub/21752/%E0%B8%95%E0%B8%A5%E0%B8%B2%E0%B8%94%E0%B8%A3%E0%B8%B4%E0%B8%A1%E0%B8%84%E0%B8%A5%E0%B8%AD%E0%B8%87%E0%B9%80%E0%B8%88%E0%B8%A3%E0%B8%B4%E0%B8%8D%E0%B8%81%E0%B8%A3%E0%B8%B8%E0%B8%87-103-%E0%B8%8A%E0%B8%B8%E0%B8%A1%E0%B8%8A%E0%B8%99%E0%B8%AA%E0%B8%A7%E0%B8%99%E0%B8%AB%E0%B8%A5%E0%B8%A7%E0%B8%871, friendlyName=เปิดเว็บเพิ่ม 2</x:v>
      </x:c>
      <x:c r="N536" s="20" t="str">
        <x:v>ยังไม่ยืนยัน</x:v>
      </x:c>
      <x:c r="O53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6" s="25" t="n">
        <x:v>46315</x:v>
      </x:c>
      <x:c r="Q536" s="27" t="str">
        <x:v>ยังไม่ตรวจ</x:v>
      </x:c>
      <x:c r="R536" s="27" t="str">
        <x:v>รอติดต่อ</x:v>
      </x:c>
    </x:row>
    <x:row r="537" ht="96" customHeight="1">
      <x:c r="A537" s="24" t="str">
        <x:v>TMF-529</x:v>
      </x:c>
      <x:c r="B537" s="20" t="str">
        <x:v>ตลาดริมน้ำ วัดพระยาสุเรนทร์</x:v>
      </x:c>
      <x:c r="C537" s="20" t="str">
        <x:v>กรุงเทพมหานคร</x:v>
      </x:c>
      <x:c r="D537" s="20" t="str">
        <x:v>คงไว้ในชุด 600</x:v>
      </x:c>
      <x:c r="E537" s="20" t="str">
        <x:v>หลักฐานไม่พอ รอยืนยันการเปิด</x:v>
      </x:c>
      <x:c r="F537" s="20" t="str">
        <x:v>ยังไม่ยืนยันการเปิดให้บริการปัจจุบัน</x:v>
      </x:c>
      <x:c r="G537" s="26" t="n">
        <x:v>1</x:v>
      </x:c>
      <x:c r="H537" s="23" t="str"/>
      <x:c r="I537" s="23" t="str"/>
      <x:c r="J537" s="23" t="str"/>
      <x:c r="K537" s="23" t="str"/>
      <x:c r="L537" s="23" t="str"/>
      <x:c r="M537" s="23" t="str"/>
      <x:c r="N537" s="20" t="str">
        <x:v>ยังไม่ยืนยัน</x:v>
      </x:c>
      <x:c r="O53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37" s="25" t="n">
        <x:v>46315</x:v>
      </x:c>
      <x:c r="Q537" s="27" t="str">
        <x:v>ยังไม่ตรวจ</x:v>
      </x:c>
      <x:c r="R537" s="27" t="str">
        <x:v>รอติดต่อ</x:v>
      </x:c>
    </x:row>
    <x:row r="538" ht="76" customHeight="1">
      <x:c r="A538" s="24" t="str">
        <x:v>TMF-530</x:v>
      </x:c>
      <x:c r="B538" s="20" t="str">
        <x:v>ตลาดหนองจอก</x:v>
      </x:c>
      <x:c r="C538" s="20" t="str">
        <x:v>กรุงเทพมหานคร</x:v>
      </x:c>
      <x:c r="D538" s="20" t="str">
        <x:v>คงไว้ในชุด 600</x:v>
      </x:c>
      <x:c r="E538" s="20" t="str">
        <x:v>พบหลายแหล่งสัมพันธ์กับชื่อ รอยืนยันการเปิด</x:v>
      </x:c>
      <x:c r="F538" s="20" t="str">
        <x:v>ยังไม่ยืนยันการเปิดให้บริการปัจจุบัน</x:v>
      </x:c>
      <x:c r="G538" s="26" t="n">
        <x:v>5</x:v>
      </x:c>
      <x:c r="H538" s="23" t="str"/>
      <x:c r="I538" s="23" t="str"/>
      <x:c r="J538" s="23" t="e">
        <x:f>HYPERLINK("https://www.wongnai.com/restaurants/201555xw-%E0%B8%9A%E0%B8%B1%E0%B8%87%E0%B8%8B%E0%B8%9A-%E0%B8%95%E0%B8%A5%E0%B8%B2%E0%B8%94%E0%B8%AB%E0%B8%99%E0%B8%AD%E0%B8%87%E0%B8%88%E0%B8%AD%E0%B8%81","เปิดหน้ารีวิว 1")</x:f>
        <x:v>HYPERLINK is not implemented. linkLocation=https://www.wongnai.com/restaurants/201555xw-%E0%B8%9A%E0%B8%B1%E0%B8%87%E0%B8%8B%E0%B8%9A-%E0%B8%95%E0%B8%A5%E0%B8%B2%E0%B8%94%E0%B8%AB%E0%B8%99%E0%B8%AD%E0%B8%87%E0%B8%88%E0%B8%AD%E0%B8%81, friendlyName=เปิดหน้ารีวิว 1</x:v>
      </x:c>
      <x:c r="K538" s="23" t="e">
        <x:f>HYPERLINK("https://www.wongnai.com/attractions/344640LC-%E0%B8%95%E0%B8%A5%E0%B8%B2%E0%B8%94%E0%B8%AB%E0%B8%99%E0%B8%AD%E0%B8%87%E0%B8%88%E0%B8%AD%E0%B8%81","เปิดหน้ารีวิว 2")</x:f>
        <x:v>HYPERLINK is not implemented. linkLocation=https://www.wongnai.com/attractions/344640LC-%E0%B8%95%E0%B8%A5%E0%B8%B2%E0%B8%94%E0%B8%AB%E0%B8%99%E0%B8%AD%E0%B8%87%E0%B8%88%E0%B8%AD%E0%B8%81, friendlyName=เปิดหน้ารีวิว 2</x:v>
      </x:c>
      <x:c r="L538" s="23" t="e">
        <x:f>HYPERLINK("https://thai.haogiayensao.com/bangkok/search/?q=%E0%B8%95%E0%B8%A5%E0%B8%B2%E0%B8%94%E0%B8%AB%E0%B8%99%E0%B8%AD%E0%B8%87%E0%B8%88%E0%B8%AD%E0%B8%81","เปิดเว็บเพิ่ม 1")</x:f>
        <x:v>HYPERLINK is not implemented. linkLocation=https://thai.haogiayensao.com/bangkok/search/?q=%E0%B8%95%E0%B8%A5%E0%B8%B2%E0%B8%94%E0%B8%AB%E0%B8%99%E0%B8%AD%E0%B8%87%E0%B8%88%E0%B8%AD%E0%B8%81, friendlyName=เปิดเว็บเพิ่ม 1</x:v>
      </x:c>
      <x:c r="M538" s="23" t="e">
        <x:f>HYPERLINK("https://webportal.bangkok.go.th/market/page/sub/13896/%E0%B8%95%E0%B8%A5%E0%B8%B2%E0%B8%94%E0%B8%AB%E0%B8%99%E0%B8%AD%E0%B8%87%E0%B8%88%E0%B8%AD%E0%B8%81","เปิดเว็บเพิ่ม 2")</x:f>
        <x:v>HYPERLINK is not implemented. linkLocation=https://webportal.bangkok.go.th/market/page/sub/13896/%E0%B8%95%E0%B8%A5%E0%B8%B2%E0%B8%94%E0%B8%AB%E0%B8%99%E0%B8%AD%E0%B8%87%E0%B8%88%E0%B8%AD%E0%B8%81, friendlyName=เปิดเว็บเพิ่ม 2</x:v>
      </x:c>
      <x:c r="N538" s="20" t="str">
        <x:v>ยังไม่ยืนยัน</x:v>
      </x:c>
      <x:c r="O53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8" s="25" t="n">
        <x:v>46315</x:v>
      </x:c>
      <x:c r="Q538" s="27" t="str">
        <x:v>ยังไม่ตรวจ</x:v>
      </x:c>
      <x:c r="R538" s="27" t="str">
        <x:v>รอติดต่อ</x:v>
      </x:c>
    </x:row>
    <x:row r="539" ht="76" customHeight="1">
      <x:c r="A539" s="24" t="str">
        <x:v>TMF-531</x:v>
      </x:c>
      <x:c r="B539" s="20" t="str">
        <x:v>พิพิธบางลำพู</x:v>
      </x:c>
      <x:c r="C539" s="20" t="str">
        <x:v>กรุงเทพมหานคร</x:v>
      </x:c>
      <x:c r="D539" s="20" t="str">
        <x:v>คงไว้ในชุด 600</x:v>
      </x:c>
      <x:c r="E539" s="20" t="str">
        <x:v>พบหลายแหล่งสัมพันธ์กับชื่อ รอยืนยันการเปิด</x:v>
      </x:c>
      <x:c r="F539" s="20" t="str">
        <x:v>ยังไม่ยืนยันการเปิดให้บริการปัจจุบัน</x:v>
      </x:c>
      <x:c r="G539" s="26" t="n">
        <x:v>5</x:v>
      </x:c>
      <x:c r="H539" s="23" t="str"/>
      <x:c r="I539" s="23" t="str"/>
      <x:c r="J539" s="23" t="e">
        <x:f>HYPERLINK("https://th.tripadvisor.com/Attraction_Review-g293916-d7084940-Reviews-Pipit_Banglamphu_History_Museum-Bangkok.html","เปิดหน้ารีวิว 1")</x:f>
        <x:v>HYPERLINK is not implemented. linkLocation=https://th.tripadvisor.com/Attraction_Review-g293916-d7084940-Reviews-Pipit_Banglamphu_History_Museum-Bangkok.html, friendlyName=เปิดหน้ารีวิว 1</x:v>
      </x:c>
      <x:c r="K539" s="23" t="e">
        <x:f>HYPERLINK("https://www.wongnai.com/attractions/342067Fh-%E0%B8%9E%E0%B8%B4%E0%B8%9E%E0%B8%B4%E0%B8%98%E0%B8%9A%E0%B8%B2%E0%B8%87%E0%B8%A5%E0%B8%B3%E0%B8%9E%E0%B8%B9/photos/2bd1af20d6ef417eac0ab5ae64ec5bf5","เปิดหน้ารีวิว 2")</x:f>
        <x:v>HYPERLINK is not implemented. linkLocation=https://www.wongnai.com/attractions/342067Fh-%E0%B8%9E%E0%B8%B4%E0%B8%9E%E0%B8%B4%E0%B8%98%E0%B8%9A%E0%B8%B2%E0%B8%87%E0%B8%A5%E0%B8%B3%E0%B8%9E%E0%B8%B9/photos/2bd1af20d6ef417eac0ab5ae64ec5bf5, friendlyName=เปิดหน้ารีวิว 2</x:v>
      </x:c>
      <x:c r="L539" s="23" t="e">
        <x:f>HYPERLINK("https://emuseum-banglamphu.treasury.go.th/event-calendar","เปิดเว็บเพิ่ม 1")</x:f>
        <x:v>HYPERLINK is not implemented. linkLocation=https://emuseum-banglamphu.treasury.go.th/event-calendar, friendlyName=เปิดเว็บเพิ่ม 1</x:v>
      </x:c>
      <x:c r="M539" s="23" t="e">
        <x:f>HYPERLINK("https://emuseum-banglamphu.treasury.go.th/en/news/","เปิดเว็บเพิ่ม 2")</x:f>
        <x:v>HYPERLINK is not implemented. linkLocation=https://emuseum-banglamphu.treasury.go.th/en/news/, friendlyName=เปิดเว็บเพิ่ม 2</x:v>
      </x:c>
      <x:c r="N539" s="20" t="str">
        <x:v>ยังไม่ยืนยัน</x:v>
      </x:c>
      <x:c r="O53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39" s="25" t="n">
        <x:v>46315</x:v>
      </x:c>
      <x:c r="Q539" s="27" t="str">
        <x:v>ยังไม่ตรวจ</x:v>
      </x:c>
      <x:c r="R539" s="27" t="str">
        <x:v>รอติดต่อ</x:v>
      </x:c>
    </x:row>
    <x:row r="540" ht="76" customHeight="1">
      <x:c r="A540" s="24" t="str">
        <x:v>TMF-532</x:v>
      </x:c>
      <x:c r="B540" s="20" t="str">
        <x:v>พิพิธภัณฑสถานแห่งชาติ พระนคร</x:v>
      </x:c>
      <x:c r="C540" s="20" t="str">
        <x:v>กรุงเทพมหานคร</x:v>
      </x:c>
      <x:c r="D540" s="20" t="str">
        <x:v>คงไว้ในชุด 600</x:v>
      </x:c>
      <x:c r="E540" s="20" t="str">
        <x:v>พบหลายแหล่งสัมพันธ์กับชื่อ รอยืนยันการเปิด</x:v>
      </x:c>
      <x:c r="F540" s="20" t="str">
        <x:v>ยังไม่ยืนยันการเปิดให้บริการปัจจุบัน</x:v>
      </x:c>
      <x:c r="G540" s="26" t="n">
        <x:v>7</x:v>
      </x:c>
      <x:c r="H540" s="23" t="e">
        <x:f>HYPERLINK("https://www.facebook.com/eduNMB","เปิดช่องทาง 1")</x:f>
        <x:v>HYPERLINK is not implemented. linkLocation=https://www.facebook.com/eduNMB, friendlyName=เปิดช่องทาง 1</x:v>
      </x:c>
      <x:c r="I540" s="23" t="str"/>
      <x:c r="J540" s="23" t="e">
        <x:f>HYPERLINK("https://www.wongnai.com/reviews/c99d911f206e43e3987b3c36eaa718f2","เปิดหน้ารีวิว 1")</x:f>
        <x:v>HYPERLINK is not implemented. linkLocation=https://www.wongnai.com/reviews/c99d911f206e43e3987b3c36eaa718f2, friendlyName=เปิดหน้ารีวิว 1</x:v>
      </x:c>
      <x:c r="K540" s="23" t="e">
        <x:f>HYPERLINK("https://www.wongnai.com/attractions/324302yK-%E0%B8%9E%E0%B8%B4%E0%B8%9E%E0%B8%B4%E0%B8%98%E0%B8%A0%E0%B8%B1%E0%B8%93%E0%B8%91%E0%B8%AA%E0%B8%96%E0%B8%B2%E0%B8%99%E0%B9%81%E0%B8%AB%E0%B9%88%E0%B8%87%E0%B8%8A%E0%B8%B2%E0%B8%95%E0%B8%B4%E0%B8%9E%E0%B8%A3%E0%B8%B0%E0%B8%99%E0%B8%84%E0%B8%A3?_st=cD04O2I9MzI0MzAyO2FkPWZhbHNlO3Q9MTc5MTAzNDMyMTc0MjtyaT0xWDdiZTkzNVhDVVI4dHlSdURFZkxaQ1gwakxCRFk7aT0xWDcxN1NvZzNGYXpHQnVpcHpVdU43Z2Jjd3NyczI7d3JlZj1zcjs%3D","เปิดหน้ารีวิว 2")</x:f>
        <x:v>HYPERLINK is not implemented. linkLocation=https://www.wongnai.com/attractions/324302yK-%E0%B8%9E%E0%B8%B4%E0%B8%9E%E0%B8%B4%E0%B8%98%E0%B8%A0%E0%B8%B1%E0%B8%93%E0%B8%91%E0%B8%AA%E0%B8%96%E0%B8%B2%E0%B8%99%E0%B9%81%E0%B8%AB%E0%B9%88%E0%B8%87%E0%B8%8A%E0%B8%B2%E0%B8%95%E0%B8%B4%E0%B8%9E%E0%B8%A3%E0%B8%B0%E0%B8%99%E0%B8%84%E0%B8%A3?_st=cD04O2I9MzI0MzAyO2FkPWZhbHNlO3Q9MTc5MTAzNDMyMTc0MjtyaT0xWDdiZTkzNVhDVVI4dHlSdURFZkxaQ1gwakxCRFk7aT0xWDcxN1NvZzNGYXpHQnVpcHpVdU43Z2Jjd3NyczI7d3JlZj1zcjs%3D, friendlyName=เปิดหน้ารีวิว 2</x:v>
      </x:c>
      <x:c r="L540" s="23" t="e">
        <x:f>HYPERLINK("https://www.finearts.go.th/museumbangkok/view/64012","เปิดเว็บเพิ่ม 1")</x:f>
        <x:v>HYPERLINK is not implemented. linkLocation=https://www.finearts.go.th/museumbangkok/view/64012, friendlyName=เปิดเว็บเพิ่ม 1</x:v>
      </x:c>
      <x:c r="M540" s="23" t="e">
        <x:f>HYPERLINK("https://www.finearts.go.th/museumbangkok/contact","เปิดเว็บเพิ่ม 2")</x:f>
        <x:v>HYPERLINK is not implemented. linkLocation=https://www.finearts.go.th/museumbangkok/contact, friendlyName=เปิดเว็บเพิ่ม 2</x:v>
      </x:c>
      <x:c r="N540" s="20" t="str">
        <x:v>ยังไม่ยืนยัน</x:v>
      </x:c>
      <x:c r="O540" s="20" t="str">
        <x:v>ยังไม่ยืนยันวันที่โพสต์/รีวิวล่าสุดและการเปิดให้บริการปัจจุบัน</x:v>
      </x:c>
      <x:c r="P540" s="25" t="n">
        <x:v>46315</x:v>
      </x:c>
      <x:c r="Q540" s="27" t="str">
        <x:v>ยังไม่ตรวจ</x:v>
      </x:c>
      <x:c r="R540" s="27" t="str">
        <x:v>รอติดต่อ</x:v>
      </x:c>
    </x:row>
    <x:row r="541" ht="76" customHeight="1">
      <x:c r="A541" s="24" t="str">
        <x:v>TMF-533</x:v>
      </x:c>
      <x:c r="B541" s="20" t="str">
        <x:v>พิพิธภัณฑ์กองทัพอากาศและการบินแห่งชาติ</x:v>
      </x:c>
      <x:c r="C541" s="20" t="str">
        <x:v>กรุงเทพมหานคร</x:v>
      </x:c>
      <x:c r="D541" s="20" t="str">
        <x:v>คงไว้ในชุด 600</x:v>
      </x:c>
      <x:c r="E541" s="20" t="str">
        <x:v>พบหลายแหล่งสัมพันธ์กับชื่อ รอยืนยันการเปิด</x:v>
      </x:c>
      <x:c r="F541" s="20" t="str">
        <x:v>ยังไม่ยืนยันการเปิดให้บริการปัจจุบัน</x:v>
      </x:c>
      <x:c r="G541" s="26" t="n">
        <x:v>5</x:v>
      </x:c>
      <x:c r="H541" s="23" t="str"/>
      <x:c r="I541" s="23" t="str"/>
      <x:c r="J541" s="23" t="e">
        <x:f>HYPERLINK("https://www.wongnai.com/attractions/3257719Gk-%E0%B8%9E%E0%B8%B4%E0%B8%9E%E0%B8%B4%E0%B8%98%E0%B8%A0%E0%B8%B1%E0%B8%93%E0%B8%91%E0%B9%8C%E0%B8%81%E0%B8%AD%E0%B8%87%E0%B8%97%E0%B8%B1%E0%B8%9E%E0%B8%AD%E0%B8%B2%E0%B8%81%E0%B8%B2%E0%B8%A8%E0%B9%81%E0%B8%A5%E0%B8%B0%E0%B8%81%E0%B8%B2%E0%B8%A3%E0%B8%9A%E0%B8%B4%E0%B8%99%E0%B9%81%E0%B8%AB%E0%B9%88%E0%B8%87%E0%B8%8A%E0%B8%B2%E0%B8%95%E0%B8%B4?_st=cD01O2I9MzI1NzcxOTthZD1mYWxzZTt0PTE3NTMwNjc4MDY1NjQ7cmk9MVg3Yks3cjQ1VnZhZjZoRUtkcE1XWVFVVzBwc3g2O2k9MVg3MG5SY2VlNUtwMnMxSVJlWTZrT0FjZ3ZmYlNqO3dyZWY9c3I7","เปิดหน้ารีวิว 1")</x:f>
        <x:v>HYPERLINK is not implemented. linkLocation=https://www.wongnai.com/attractions/3257719Gk-%E0%B8%9E%E0%B8%B4%E0%B8%9E%E0%B8%B4%E0%B8%98%E0%B8%A0%E0%B8%B1%E0%B8%93%E0%B8%91%E0%B9%8C%E0%B8%81%E0%B8%AD%E0%B8%87%E0%B8%97%E0%B8%B1%E0%B8%9E%E0%B8%AD%E0%B8%B2%E0%B8%81%E0%B8%B2%E0%B8%A8%E0%B9%81%E0%B8%A5%E0%B8%B0%E0%B8%81%E0%B8%B2%E0%B8%A3%E0%B8%9A%E0%B8%B4%E0%B8%99%E0%B9%81%E0%B8%AB%E0%B9%88%E0%B8%87%E0%B8%8A%E0%B8%B2%E0%B8%95%E0%B8%B4?_st=cD01O2I9MzI1NzcxOTthZD1mYWxzZTt0PTE3NTMwNjc4MDY1NjQ7cmk9MVg3Yks3cjQ1VnZhZjZoRUtkcE1XWVFVVzBwc3g2O2k9MVg3MG5SY2VlNUtwMnMxSVJlWTZrT0FjZ3ZmYlNqO3dyZWY9c3I7, friendlyName=เปิดหน้ารีวิว 1</x:v>
      </x:c>
      <x:c r="K541" s="23" t="e">
        <x:f>HYPERLINK("https://th.trip.com/travel-guide/attraction/bangkok/royal-thai-air-force-and-national-aviation-museum-22847074/?curr=THB&amp;locale=th-TH","เปิดหน้ารีวิว 2")</x:f>
        <x:v>HYPERLINK is not implemented. linkLocation=https://th.trip.com/travel-guide/attraction/bangkok/royal-thai-air-force-and-national-aviation-museum-22847074/?curr=THB&amp;locale=th-TH, friendlyName=เปิดหน้ารีวิว 2</x:v>
      </x:c>
      <x:c r="L541" s="23" t="e">
        <x:f>HYPERLINK("https://museum.rtaf.mi.th/?page_id=405","เปิดเว็บเพิ่ม 1")</x:f>
        <x:v>HYPERLINK is not implemented. linkLocation=https://museum.rtaf.mi.th/?page_id=405, friendlyName=เปิดเว็บเพิ่ม 1</x:v>
      </x:c>
      <x:c r="M541" s="23" t="e">
        <x:f>HYPERLINK("https://museum.rtaf.mi.th/?lang=en&amp;page_id=3842","เปิดเว็บเพิ่ม 2")</x:f>
        <x:v>HYPERLINK is not implemented. linkLocation=https://museum.rtaf.mi.th/?lang=en&amp;page_id=3842, friendlyName=เปิดเว็บเพิ่ม 2</x:v>
      </x:c>
      <x:c r="N541" s="20" t="str">
        <x:v>ยังไม่ยืนยัน</x:v>
      </x:c>
      <x:c r="O54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41" s="25" t="n">
        <x:v>46315</x:v>
      </x:c>
      <x:c r="Q541" s="27" t="str">
        <x:v>ยังไม่ตรวจ</x:v>
      </x:c>
      <x:c r="R541" s="27" t="str">
        <x:v>รอติดต่อ</x:v>
      </x:c>
    </x:row>
    <x:row r="542" ht="76" customHeight="1">
      <x:c r="A542" s="24" t="str">
        <x:v>TMF-534</x:v>
      </x:c>
      <x:c r="B542" s="20" t="str">
        <x:v>พิพิธภัณฑ์ชาวบางกอก</x:v>
      </x:c>
      <x:c r="C542" s="20" t="str">
        <x:v>กรุงเทพมหานคร</x:v>
      </x:c>
      <x:c r="D542" s="20" t="str">
        <x:v>คงไว้ในชุด 600</x:v>
      </x:c>
      <x:c r="E542" s="20" t="str">
        <x:v>พบหลายแหล่งสัมพันธ์กับชื่อ รอยืนยันการเปิด</x:v>
      </x:c>
      <x:c r="F542" s="20" t="str">
        <x:v>ยังไม่ยืนยันการเปิดให้บริการปัจจุบัน</x:v>
      </x:c>
      <x:c r="G542" s="26" t="n">
        <x:v>6</x:v>
      </x:c>
      <x:c r="H542" s="23" t="e">
        <x:f>HYPERLINK("https://www.facebook.com/BKK-Museum-354007524610221/ดูเพิ่มเติม","เปิดช่องทาง 1")</x:f>
        <x:v>HYPERLINK is not implemented. linkLocation=https://www.facebook.com/BKK-Museum-354007524610221/ดูเพิ่มเติม, friendlyName=เปิดช่องทาง 1</x:v>
      </x:c>
      <x:c r="I542" s="23" t="str"/>
      <x:c r="J542" s="23" t="e">
        <x:f>HYPERLINK("https://th.tripadvisor.com/Attraction_Review-g293916-d5427551-Reviews-The_Bangkokian_Museum-Bangkok.html","เปิดหน้ารีวิว 1")</x:f>
        <x:v>HYPERLINK is not implemented. linkLocation=https://th.tripadvisor.com/Attraction_Review-g293916-d5427551-Reviews-The_Bangkokian_Museum-Bangkok.html, friendlyName=เปิดหน้ารีวิว 1</x:v>
      </x:c>
      <x:c r="K542" s="23" t="e">
        <x:f>HYPERLINK("https://www.wongnai.com/attractions/326840Qx-%E0%B8%9E%E0%B8%B4%E0%B8%9E%E0%B8%B4%E0%B8%98%E0%B8%A0%E0%B8%B1%E0%B8%93%E0%B8%91%E0%B9%8C%E0%B8%8A%E0%B8%B2%E0%B8%A7%E0%B8%9A%E0%B8%B2%E0%B8%87%E0%B8%81%E0%B8%AD%E0%B8%81","เปิดหน้ารีวิว 2")</x:f>
        <x:v>HYPERLINK is not implemented. linkLocation=https://www.wongnai.com/attractions/326840Qx-%E0%B8%9E%E0%B8%B4%E0%B8%9E%E0%B8%B4%E0%B8%98%E0%B8%A0%E0%B8%B1%E0%B8%93%E0%B8%91%E0%B9%8C%E0%B8%8A%E0%B8%B2%E0%B8%A7%E0%B8%9A%E0%B8%B2%E0%B8%87%E0%B8%81%E0%B8%AD%E0%B8%81, friendlyName=เปิดหน้ารีวิว 2</x:v>
      </x:c>
      <x:c r="L542" s="23" t="e">
        <x:f>HYPERLINK("https://pantip.com/topic/35967896","เปิดเว็บเพิ่ม 1")</x:f>
        <x:v>HYPERLINK is not implemented. linkLocation=https://pantip.com/topic/35967896, friendlyName=เปิดเว็บเพิ่ม 1</x:v>
      </x:c>
      <x:c r="M542" s="23" t="str"/>
      <x:c r="N542" s="20" t="str">
        <x:v>ยังไม่ยืนยัน</x:v>
      </x:c>
      <x:c r="O542" s="20" t="str">
        <x:v>ยังไม่ยืนยันวันที่โพสต์/รีวิวล่าสุดและการเปิดให้บริการปัจจุบัน</x:v>
      </x:c>
      <x:c r="P542" s="25" t="n">
        <x:v>46315</x:v>
      </x:c>
      <x:c r="Q542" s="27" t="str">
        <x:v>ยังไม่ตรวจ</x:v>
      </x:c>
      <x:c r="R542" s="27" t="str">
        <x:v>รอติดต่อ</x:v>
      </x:c>
    </x:row>
    <x:row r="543" ht="76" customHeight="1">
      <x:c r="A543" s="24" t="str">
        <x:v>TMF-535</x:v>
      </x:c>
      <x:c r="B543" s="20" t="str">
        <x:v>พิพิธภัณฑ์ผ้าในสมเด็จพระนางเจ้าสิริกิติ์ฯ</x:v>
      </x:c>
      <x:c r="C543" s="20" t="str">
        <x:v>กรุงเทพมหานคร</x:v>
      </x:c>
      <x:c r="D543" s="20" t="str">
        <x:v>คงไว้ในชุด 600</x:v>
      </x:c>
      <x:c r="E543" s="20" t="str">
        <x:v>พบหลายแหล่งสัมพันธ์กับชื่อ รอยืนยันการเปิด</x:v>
      </x:c>
      <x:c r="F543" s="20" t="str">
        <x:v>ยังไม่ยืนยันการเปิดให้บริการปัจจุบัน</x:v>
      </x:c>
      <x:c r="G543" s="26" t="n">
        <x:v>3</x:v>
      </x:c>
      <x:c r="H543" s="23" t="str"/>
      <x:c r="I543" s="23" t="str"/>
      <x:c r="J543" s="23" t="e">
        <x:f>HYPERLINK("https://www.lemon8-app.com/%40_kittiyanee_4/7549572263360954898?region=th","เปิดหน้ารีวิว 1")</x:f>
        <x:v>HYPERLINK is not implemented. linkLocation=https://www.lemon8-app.com/%40_kittiyanee_4/7549572263360954898?region=th, friendlyName=เปิดหน้ารีวิว 1</x:v>
      </x:c>
      <x:c r="K543" s="23" t="e">
        <x:f>HYPERLINK("https://www.lemon8-app.com/%40euro_87/7569144003715678728?region=th","เปิดหน้ารีวิว 2")</x:f>
        <x:v>HYPERLINK is not implemented. linkLocation=https://www.lemon8-app.com/%40euro_87/7569144003715678728?region=th, friendlyName=เปิดหน้ารีวิว 2</x:v>
      </x:c>
      <x:c r="L543" s="23" t="e">
        <x:f>HYPERLINK("https://notes.tiktok.com/%40thesunskysea/7574805203334087186?region=th","เปิดเว็บเพิ่ม 1")</x:f>
        <x:v>HYPERLINK is not implemented. linkLocation=https://notes.tiktok.com/%40thesunskysea/7574805203334087186?region=th, friendlyName=เปิดเว็บเพิ่ม 1</x:v>
      </x:c>
      <x:c r="M543" s="23" t="str"/>
      <x:c r="N543" s="20" t="str">
        <x:v>ยังไม่ยืนยัน</x:v>
      </x:c>
      <x:c r="O54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43" s="25" t="n">
        <x:v>46315</x:v>
      </x:c>
      <x:c r="Q543" s="27" t="str">
        <x:v>ยังไม่ตรวจ</x:v>
      </x:c>
      <x:c r="R543" s="27" t="str">
        <x:v>รอติดต่อ</x:v>
      </x:c>
    </x:row>
    <x:row r="544" ht="76" customHeight="1">
      <x:c r="A544" s="24" t="str">
        <x:v>TMF-536</x:v>
      </x:c>
      <x:c r="B544" s="20" t="str">
        <x:v>พิพิธภัณฑ์ศิลปะไทยร่วมสมัย (MOCA)</x:v>
      </x:c>
      <x:c r="C544" s="20" t="str">
        <x:v>กรุงเทพมหานคร</x:v>
      </x:c>
      <x:c r="D544" s="20" t="str">
        <x:v>คงไว้ในชุด 600</x:v>
      </x:c>
      <x:c r="E544" s="20" t="str">
        <x:v>พบหลายแหล่งสัมพันธ์กับชื่อ รอยืนยันการเปิด</x:v>
      </x:c>
      <x:c r="F544" s="20" t="str">
        <x:v>ยังไม่ยืนยันการเปิดให้บริการปัจจุบัน</x:v>
      </x:c>
      <x:c r="G544" s="26" t="n">
        <x:v>6</x:v>
      </x:c>
      <x:c r="H544" s="23" t="str"/>
      <x:c r="I544" s="23" t="str"/>
      <x:c r="J544" s="23" t="e">
        <x:f>HYPERLINK("https://www.lemon8-app.com/%40tetechin.p/7343285791353061890?region=us","เปิดหน้ารีวิว 1")</x:f>
        <x:v>HYPERLINK is not implemented. linkLocation=https://www.lemon8-app.com/%40tetechin.p/7343285791353061890?region=us, friendlyName=เปิดหน้ารีวิว 1</x:v>
      </x:c>
      <x:c r="K544" s="23" t="e">
        <x:f>HYPERLINK("https://th.trip.com/moments/detail/bangkok-191-126530889/","เปิดหน้ารีวิว 2")</x:f>
        <x:v>HYPERLINK is not implemented. linkLocation=https://th.trip.com/moments/detail/bangkok-191-126530889/, friendlyName=เปิดหน้ารีวิว 2</x:v>
      </x:c>
      <x:c r="L544" s="23" t="e">
        <x:f>HYPERLINK("https://www.thaithurkic.com/%E0%B8%9E%E0%B8%B4%E0%B8%9E%E0%B8%B4%E0%B8%98%E0%B8%A0%E0%B8%B1%E0%B8%93%E0%B8%91%E0%B9%8C%E0%B8%A8%E0%B8%B4%E0%B8%A5%E0%B8%9B%E0%B8%B0%E0%B9%84%E0%B8%97%E0%B8%A2%E0%B8%A3%E0%B9%88%E0%B8%A7%E0%B8%A1%E0%B8%AA%E0%B8%A1%E0%B8%B1%E0%B8%A2-moca-museum_16-02-953-1005","เปิดเว็บเพิ่ม 1")</x:f>
        <x:v>HYPERLINK is not implemented. linkLocation=https://www.thaithurkic.com/%E0%B8%9E%E0%B8%B4%E0%B8%9E%E0%B8%B4%E0%B8%98%E0%B8%A0%E0%B8%B1%E0%B8%93%E0%B8%91%E0%B9%8C%E0%B8%A8%E0%B8%B4%E0%B8%A5%E0%B8%9B%E0%B8%B0%E0%B9%84%E0%B8%97%E0%B8%A2%E0%B8%A3%E0%B9%88%E0%B8%A7%E0%B8%A1%E0%B8%AA%E0%B8%A1%E0%B8%B1%E0%B8%A2-moca-museum_16-02-953-1005, friendlyName=เปิดเว็บเพิ่ม 1</x:v>
      </x:c>
      <x:c r="M544" s="23" t="e">
        <x:f>HYPERLINK("https://www.thetrippacker.com/th/review/%E0%B8%9E%E0%B8%B4%E0%B8%9E%E0%B8%B4%E0%B8%98%E0%B8%A0%E0%B8%B1%E0%B8%93%E0%B8%91%E0%B9%8C%E0%B8%A8%E0%B8%B4%E0%B8%A5%E0%B8%9B%E0%B8%B0%E0%B9%84%E0%B8%97%E0%B8%A2%E0%B8%A3%E0%B9%88%E0%B8%A7%E0%B8%A1%E0%B8%AA%E0%B8%A1%E0%B8%B1%E0%B8%A2MuseumOfContemporaryArtMOCA/6635","เปิดเว็บเพิ่ม 2")</x:f>
        <x:v>HYPERLINK is not implemented. linkLocation=https://www.thetrippacker.com/th/review/%E0%B8%9E%E0%B8%B4%E0%B8%9E%E0%B8%B4%E0%B8%98%E0%B8%A0%E0%B8%B1%E0%B8%93%E0%B8%91%E0%B9%8C%E0%B8%A8%E0%B8%B4%E0%B8%A5%E0%B8%9B%E0%B8%B0%E0%B9%84%E0%B8%97%E0%B8%A2%E0%B8%A3%E0%B9%88%E0%B8%A7%E0%B8%A1%E0%B8%AA%E0%B8%A1%E0%B8%B1%E0%B8%A2MuseumOfContemporaryArtMOCA/6635, friendlyName=เปิดเว็บเพิ่ม 2</x:v>
      </x:c>
      <x:c r="N544" s="20" t="str">
        <x:v>ยังไม่ยืนยัน</x:v>
      </x:c>
      <x:c r="O54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44" s="25" t="n">
        <x:v>46315</x:v>
      </x:c>
      <x:c r="Q544" s="27" t="str">
        <x:v>ยังไม่ตรวจ</x:v>
      </x:c>
      <x:c r="R544" s="27" t="str">
        <x:v>รอติดต่อ</x:v>
      </x:c>
    </x:row>
    <x:row r="545" ht="76" customHeight="1">
      <x:c r="A545" s="24" t="str">
        <x:v>TMF-537</x:v>
      </x:c>
      <x:c r="B545" s="20" t="str">
        <x:v>พิพิธภัณฑ์เด็กกรุงเทพมหานคร แห่งที่ 1 (จตุจักร)</x:v>
      </x:c>
      <x:c r="C545" s="20" t="str">
        <x:v>กรุงเทพมหานคร</x:v>
      </x:c>
      <x:c r="D545" s="20" t="str">
        <x:v>คงไว้ในชุด 600</x:v>
      </x:c>
      <x:c r="E545" s="20" t="str">
        <x:v>พบหลายแหล่งสัมพันธ์กับชื่อ รอยืนยันการเปิด</x:v>
      </x:c>
      <x:c r="F545" s="20" t="str">
        <x:v>ยังไม่ยืนยันการเปิดให้บริการปัจจุบัน</x:v>
      </x:c>
      <x:c r="G545" s="26" t="n">
        <x:v>5</x:v>
      </x:c>
      <x:c r="H545" s="23" t="str"/>
      <x:c r="I545" s="23" t="str"/>
      <x:c r="J545" s="23" t="e">
        <x:f>HYPERLINK("https://www.wongnai.com/reviews/9948ac9cb7434322b420d17ea23087cf","เปิดหน้ารีวิว 1")</x:f>
        <x:v>HYPERLINK is not implemented. linkLocation=https://www.wongnai.com/reviews/9948ac9cb7434322b420d17ea23087cf, friendlyName=เปิดหน้ารีวิว 1</x:v>
      </x:c>
      <x:c r="K545" s="23" t="e">
        <x:f>HYPERLINK("https://www.wongnai.com/reviews/912a590171c7401eb21b84652b1d8bbd","เปิดหน้ารีวิว 2")</x:f>
        <x:v>HYPERLINK is not implemented. linkLocation=https://www.wongnai.com/reviews/912a590171c7401eb21b84652b1d8bbd, friendlyName=เปิดหน้ารีวิว 2</x:v>
      </x:c>
      <x:c r="L545" s="23" t="e">
        <x:f>HYPERLINK("https://publicspace.bangkok.go.th/Spaces/Info/7CC542F5-1AA9-4325-9F2F-0539A2A53D4A","เปิดเว็บเพิ่ม 1")</x:f>
        <x:v>HYPERLINK is not implemented. linkLocation=https://publicspace.bangkok.go.th/Spaces/Info/7CC542F5-1AA9-4325-9F2F-0539A2A53D4A, friendlyName=เปิดเว็บเพิ่ม 1</x:v>
      </x:c>
      <x:c r="M545" s="23" t="e">
        <x:f>HYPERLINK("https://www.okmd.or.th/upload/pdf/2560/%E0%B8%95%E0%B8%B4%E0%B8%94%E0%B8%9B%E0%B8%B5%E0%B8%81%E0%B8%84%E0%B8%A7%E0%B8%B2%E0%B8%A1%E0%B8%A3%E0%B8%B9%E0%B9%89%20%E0%B8%9B%E0%B8%B5%202/MLIC-manual_2.pdf","เปิดเว็บเพิ่ม 2")</x:f>
        <x:v>HYPERLINK is not implemented. linkLocation=https://www.okmd.or.th/upload/pdf/2560/%E0%B8%95%E0%B8%B4%E0%B8%94%E0%B8%9B%E0%B8%B5%E0%B8%81%E0%B8%84%E0%B8%A7%E0%B8%B2%E0%B8%A1%E0%B8%A3%E0%B8%B9%E0%B9%89%20%E0%B8%9B%E0%B8%B5%202/MLIC-manual_2.pdf, friendlyName=เปิดเว็บเพิ่ม 2</x:v>
      </x:c>
      <x:c r="N545" s="20" t="str">
        <x:v>ยังไม่ยืนยัน</x:v>
      </x:c>
      <x:c r="O54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45" s="25" t="n">
        <x:v>46315</x:v>
      </x:c>
      <x:c r="Q545" s="27" t="str">
        <x:v>ยังไม่ตรวจ</x:v>
      </x:c>
      <x:c r="R545" s="27" t="str">
        <x:v>รอติดต่อ</x:v>
      </x:c>
    </x:row>
    <x:row r="546" ht="76" customHeight="1">
      <x:c r="A546" s="24" t="str">
        <x:v>TMF-538</x:v>
      </x:c>
      <x:c r="B546" s="20" t="str">
        <x:v>พิพิธภัณฑ์เหรียญกษาปณานุรักษ์</x:v>
      </x:c>
      <x:c r="C546" s="20" t="str">
        <x:v>กรุงเทพมหานคร</x:v>
      </x:c>
      <x:c r="D546" s="20" t="str">
        <x:v>คงไว้ในชุด 600</x:v>
      </x:c>
      <x:c r="E546" s="20" t="str">
        <x:v>พบหลายแหล่งสัมพันธ์กับชื่อ รอยืนยันการเปิด</x:v>
      </x:c>
      <x:c r="F546" s="20" t="str">
        <x:v>ยังไม่ยืนยันการเปิดให้บริการปัจจุบัน</x:v>
      </x:c>
      <x:c r="G546" s="26" t="n">
        <x:v>6</x:v>
      </x:c>
      <x:c r="H546" s="23" t="str"/>
      <x:c r="I546" s="23" t="str"/>
      <x:c r="J546" s="23" t="e">
        <x:f>HYPERLINK("https://www.wongnai.com/attractions/478830XS-%E0%B8%9E%E0%B8%B4%E0%B8%9E%E0%B8%B4%E0%B8%98%E0%B8%A0%E0%B8%B1%E0%B8%93%E0%B8%91%E0%B9%8C%E0%B9%80%E0%B8%AB%E0%B8%A3%E0%B8%B5%E0%B8%A2%E0%B8%8D%E0%B8%81%E0%B8%A9%E0%B8%B2%E0%B8%9B%E0%B8%93%E0%B8%B2%E0%B8%99%E0%B8%B8%E0%B8%A3%E0%B8%B1%E0%B8%81%E0%B8%A9%E0%B9%8C","เปิดหน้ารีวิว 1")</x:f>
        <x:v>HYPERLINK is not implemented. linkLocation=https://www.wongnai.com/attractions/478830XS-%E0%B8%9E%E0%B8%B4%E0%B8%9E%E0%B8%B4%E0%B8%98%E0%B8%A0%E0%B8%B1%E0%B8%93%E0%B8%91%E0%B9%8C%E0%B9%80%E0%B8%AB%E0%B8%A3%E0%B8%B5%E0%B8%A2%E0%B8%8D%E0%B8%81%E0%B8%A9%E0%B8%B2%E0%B8%9B%E0%B8%93%E0%B8%B2%E0%B8%99%E0%B8%B8%E0%B8%A3%E0%B8%B1%E0%B8%81%E0%B8%A9%E0%B9%8C, friendlyName=เปิดหน้ารีวิว 1</x:v>
      </x:c>
      <x:c r="K546" s="23" t="e">
        <x:f>HYPERLINK("https://th.trip.com/travel-guide/attraction/bangkok/coin-museum-22847085","เปิดหน้ารีวิว 2")</x:f>
        <x:v>HYPERLINK is not implemented. linkLocation=https://th.trip.com/travel-guide/attraction/bangkok/coin-museum-22847085, friendlyName=เปิดหน้ารีวิว 2</x:v>
      </x:c>
      <x:c r="L546" s="23" t="e">
        <x:f>HYPERLINK("https://pantip.com/topic/39508444","เปิดเว็บเพิ่ม 1")</x:f>
        <x:v>HYPERLINK is not implemented. linkLocation=https://pantip.com/topic/39508444, friendlyName=เปิดเว็บเพิ่ม 1</x:v>
      </x:c>
      <x:c r="M546" s="23" t="e">
        <x:f>HYPERLINK("https://www.museumthailand.com/index.php/museum/coin-museum-thailand","เปิดเว็บเพิ่ม 2")</x:f>
        <x:v>HYPERLINK is not implemented. linkLocation=https://www.museumthailand.com/index.php/museum/coin-museum-thailand, friendlyName=เปิดเว็บเพิ่ม 2</x:v>
      </x:c>
      <x:c r="N546" s="20" t="str">
        <x:v>ยังไม่ยืนยัน</x:v>
      </x:c>
      <x:c r="O54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46" s="25" t="n">
        <x:v>46315</x:v>
      </x:c>
      <x:c r="Q546" s="27" t="str">
        <x:v>ยังไม่ตรวจ</x:v>
      </x:c>
      <x:c r="R546" s="27" t="str">
        <x:v>รอติดต่อ</x:v>
      </x:c>
    </x:row>
    <x:row r="547" ht="76" customHeight="1">
      <x:c r="A547" s="24" t="str">
        <x:v>TMF-539</x:v>
      </x:c>
      <x:c r="B547" s="20" t="str">
        <x:v>ศูนย์การเรียนรู้ ธนาคารแห่งประเทศไทย</x:v>
      </x:c>
      <x:c r="C547" s="20" t="str">
        <x:v>กรุงเทพมหานคร</x:v>
      </x:c>
      <x:c r="D547" s="20" t="str">
        <x:v>คงไว้ในชุด 600</x:v>
      </x:c>
      <x:c r="E547" s="20" t="str">
        <x:v>พบหลายแหล่งสัมพันธ์กับชื่อ รอยืนยันการเปิด</x:v>
      </x:c>
      <x:c r="F547" s="20" t="str">
        <x:v>ยังไม่ยืนยันการเปิดให้บริการปัจจุบัน</x:v>
      </x:c>
      <x:c r="G547" s="26" t="n">
        <x:v>4</x:v>
      </x:c>
      <x:c r="H547" s="23" t="str"/>
      <x:c r="I547" s="23" t="str"/>
      <x:c r="J547" s="23" t="e">
        <x:f>HYPERLINK("https://www.wongnai.com/attractions/368832TU-%E0%B8%A8%E0%B8%B9%E0%B8%99%E0%B8%A2%E0%B9%8C%E0%B8%81%E0%B8%B2%E0%B8%A3%E0%B9%80%E0%B8%A3%E0%B8%B5%E0%B8%A2%E0%B8%99%E0%B8%A3%E0%B8%B9%E0%B9%89%E0%B8%98%E0%B8%99%E0%B8%B2%E0%B8%84%E0%B8%B2%E0%B8%A3%E0%B9%81%E0%B8%AB%E0%B9%88%E0%B8%87%E0%B8%9B%E0%B8%A3%E0%B8%B0%E0%B9%80%E0%B8%97%E0%B8%A8%E0%B9%84%E0%B8%97%E0%B8%A2","เปิดหน้ารีวิว 1")</x:f>
        <x:v>HYPERLINK is not implemented. linkLocation=https://www.wongnai.com/attractions/368832TU-%E0%B8%A8%E0%B8%B9%E0%B8%99%E0%B8%A2%E0%B9%8C%E0%B8%81%E0%B8%B2%E0%B8%A3%E0%B9%80%E0%B8%A3%E0%B8%B5%E0%B8%A2%E0%B8%99%E0%B8%A3%E0%B8%B9%E0%B9%89%E0%B8%98%E0%B8%99%E0%B8%B2%E0%B8%84%E0%B8%B2%E0%B8%A3%E0%B9%81%E0%B8%AB%E0%B9%88%E0%B8%87%E0%B8%9B%E0%B8%A3%E0%B8%B0%E0%B9%80%E0%B8%97%E0%B8%A8%E0%B9%84%E0%B8%97%E0%B8%A2, friendlyName=เปิดหน้ารีวิว 1</x:v>
      </x:c>
      <x:c r="K547" s="23" t="e">
        <x:f>HYPERLINK("https://th.tripadvisor.com/Attraction_Review-g293916-d14187947-Reviews-Bank_of_Thailand_Learning_Center-Bangkok.html","เปิดหน้ารีวิว 2")</x:f>
        <x:v>HYPERLINK is not implemented. linkLocation=https://th.tripadvisor.com/Attraction_Review-g293916-d14187947-Reviews-Bank_of_Thailand_Learning_Center-Bangkok.html, friendlyName=เปิดหน้ารีวิว 2</x:v>
      </x:c>
      <x:c r="L547" s="23" t="e">
        <x:f>HYPERLINK("https://www.bot.or.th/th/our-services/bank-of-thailand-learning-center.html","เปิดเว็บเพิ่ม 1")</x:f>
        <x:v>HYPERLINK is not implemented. linkLocation=https://www.bot.or.th/th/our-services/bank-of-thailand-learning-center.html, friendlyName=เปิดเว็บเพิ่ม 1</x:v>
      </x:c>
      <x:c r="M547" s="23" t="str"/>
      <x:c r="N547" s="20" t="str">
        <x:v>ยังไม่ยืนยัน</x:v>
      </x:c>
      <x:c r="O54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47" s="25" t="n">
        <x:v>46315</x:v>
      </x:c>
      <x:c r="Q547" s="27" t="str">
        <x:v>ยังไม่ตรวจ</x:v>
      </x:c>
      <x:c r="R547" s="27" t="str">
        <x:v>รอติดต่อ</x:v>
      </x:c>
    </x:row>
    <x:row r="548" ht="76" customHeight="1">
      <x:c r="A548" s="24" t="str">
        <x:v>TMF-540</x:v>
      </x:c>
      <x:c r="B548" s="20" t="str">
        <x:v>เสาชิงช้า</x:v>
      </x:c>
      <x:c r="C548" s="20" t="str">
        <x:v>กรุงเทพมหานคร</x:v>
      </x:c>
      <x:c r="D548" s="20" t="str">
        <x:v>คงไว้ในชุด 600</x:v>
      </x:c>
      <x:c r="E548" s="20" t="str">
        <x:v>พบหลายแหล่งสัมพันธ์กับชื่อ รอยืนยันการเปิด</x:v>
      </x:c>
      <x:c r="F548" s="20" t="str">
        <x:v>ยังไม่ยืนยันการเปิดให้บริการปัจจุบัน</x:v>
      </x:c>
      <x:c r="G548" s="26" t="n">
        <x:v>7</x:v>
      </x:c>
      <x:c r="H548" s="23" t="str"/>
      <x:c r="I548" s="23" t="str"/>
      <x:c r="J548" s="23" t="e">
        <x:f>HYPERLINK("https://th.tripadvisor.com/Attraction_Review-g293916-d4114676-Reviews-Sao_Chingcha_the_Giant_Swing-Bangkok.html","เปิดหน้ารีวิว 1")</x:f>
        <x:v>HYPERLINK is not implemented. linkLocation=https://th.tripadvisor.com/Attraction_Review-g293916-d4114676-Reviews-Sao_Chingcha_the_Giant_Swing-Bangkok.html, friendlyName=เปิดหน้ารีวิว 1</x:v>
      </x:c>
      <x:c r="K548" s="23" t="e">
        <x:f>HYPERLINK("https://www.wongnai.com/attractions/324338Uk-%E0%B9%80%E0%B8%AA%E0%B8%B2%E0%B8%8A%E0%B8%B4%E0%B8%87%E0%B8%8A%E0%B9%89%E0%B8%B2?_st=cD0yO2I9MzI0MzM4O2FkPWZhbHNlO3Q9MTc1NjAyMDYzNDIwMDtyaT0xWDdiTGdPODJJQ3E2TnFVcHQ4bzZ1SEZQOHNHc1A7aT0xWDcwcDA5aVhpWVRGYWVWT1dQVlBPbk9rbzREbVI7d3JlZj1zcjs%3D","เปิดหน้ารีวิว 2")</x:f>
        <x:v>HYPERLINK is not implemented. linkLocation=https://www.wongnai.com/attractions/324338Uk-%E0%B9%80%E0%B8%AA%E0%B8%B2%E0%B8%8A%E0%B8%B4%E0%B8%87%E0%B8%8A%E0%B9%89%E0%B8%B2?_st=cD0yO2I9MzI0MzM4O2FkPWZhbHNlO3Q9MTc1NjAyMDYzNDIwMDtyaT0xWDdiTGdPODJJQ3E2TnFVcHQ4bzZ1SEZQOHNHc1A7aT0xWDcwcDA5aVhpWVRGYWVWT1dQVlBPbk9rbzREbVI7d3JlZj1zcjs%3D, friendlyName=เปิดหน้ารีวิว 2</x:v>
      </x:c>
      <x:c r="L548" s="23" t="e">
        <x:f>HYPERLINK("https://patois.com/shop/3925-%E0%B8%9A%E0%B9%89%E0%B8%B2%E0%B8%99%E0%B8%82%E0%B8%99%E0%B8%A1%E0%B8%9B%E0%B8%B1%E0%B8%87%E0%B8%82%E0%B8%B4%E0%B8%87-%E0%B9%80%E0%B8%AA%E0%B8%B2%E0%B8%8A%E0%B8%B4%E0%B8%87%E0%B8%8A%E0%B9%89%E0%B8%B2","เปิดเว็บเพิ่ม 1")</x:f>
        <x:v>HYPERLINK is not implemented. linkLocation=https://patois.com/shop/3925-%E0%B8%9A%E0%B9%89%E0%B8%B2%E0%B8%99%E0%B8%82%E0%B8%99%E0%B8%A1%E0%B8%9B%E0%B8%B1%E0%B8%87%E0%B8%82%E0%B8%B4%E0%B8%87-%E0%B9%80%E0%B8%AA%E0%B8%B2%E0%B8%8A%E0%B8%B4%E0%B8%87%E0%B8%8A%E0%B9%89%E0%B8%B2, friendlyName=เปิดเว็บเพิ่ม 1</x:v>
      </x:c>
      <x:c r="M548" s="23" t="e">
        <x:f>HYPERLINK("https://patois.com/shop/80175-","เปิดเว็บเพิ่ม 2")</x:f>
        <x:v>HYPERLINK is not implemented. linkLocation=https://patois.com/shop/80175-, friendlyName=เปิดเว็บเพิ่ม 2</x:v>
      </x:c>
      <x:c r="N548" s="20" t="str">
        <x:v>ยังไม่ยืนยัน</x:v>
      </x:c>
      <x:c r="O54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48" s="25" t="n">
        <x:v>46315</x:v>
      </x:c>
      <x:c r="Q548" s="27" t="str">
        <x:v>ยังไม่ตรวจ</x:v>
      </x:c>
      <x:c r="R548" s="27" t="str">
        <x:v>รอติดต่อ</x:v>
      </x:c>
    </x:row>
    <x:row r="549" ht="96" customHeight="1">
      <x:c r="A549" s="24" t="str">
        <x:v>TMF-541</x:v>
      </x:c>
      <x:c r="B549" s="20" t="str">
        <x:v>Ccไก่กรอบ สาขา บางน้ำเปรี้ยว ฉะเชิงเทรา</x:v>
      </x:c>
      <x:c r="C549" s="20" t="str">
        <x:v>ฉะเชิงเทรา</x:v>
      </x:c>
      <x:c r="D549" s="20" t="str">
        <x:v>คงไว้ในชุด 600</x:v>
      </x:c>
      <x:c r="E549" s="20" t="str">
        <x:v>หลักฐานไม่พอ รอยืนยันการเปิด</x:v>
      </x:c>
      <x:c r="F549" s="20" t="str">
        <x:v>ยังไม่ยืนยันการเปิดให้บริการปัจจุบัน</x:v>
      </x:c>
      <x:c r="G549" s="26" t="n">
        <x:v>1</x:v>
      </x:c>
      <x:c r="H549" s="23" t="str"/>
      <x:c r="I549" s="23" t="str"/>
      <x:c r="J549" s="23" t="str"/>
      <x:c r="K549" s="23" t="str"/>
      <x:c r="L549" s="23" t="str"/>
      <x:c r="M549" s="23" t="str"/>
      <x:c r="N549" s="20" t="str">
        <x:v>ยังไม่ยืนยัน</x:v>
      </x:c>
      <x:c r="O54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49" s="25" t="n">
        <x:v>46315</x:v>
      </x:c>
      <x:c r="Q549" s="27" t="str">
        <x:v>ยังไม่ตรวจ</x:v>
      </x:c>
      <x:c r="R549" s="27" t="str">
        <x:v>รอติดต่อ</x:v>
      </x:c>
    </x:row>
    <x:row r="550" ht="96" customHeight="1">
      <x:c r="A550" s="24" t="str">
        <x:v>TMF-542</x:v>
      </x:c>
      <x:c r="B550" s="20" t="str">
        <x:v>โต๊ะนวย</x:v>
      </x:c>
      <x:c r="C550" s="20" t="str">
        <x:v>ฉะเชิงเทรา</x:v>
      </x:c>
      <x:c r="D550" s="20" t="str">
        <x:v>คงไว้ในชุด 600</x:v>
      </x:c>
      <x:c r="E550" s="20" t="str">
        <x:v>หลักฐานไม่พอ รอยืนยันการเปิด</x:v>
      </x:c>
      <x:c r="F550" s="20" t="str">
        <x:v>ยังไม่ยืนยันการเปิดให้บริการปัจจุบัน</x:v>
      </x:c>
      <x:c r="G550" s="26" t="n">
        <x:v>1</x:v>
      </x:c>
      <x:c r="H550" s="23" t="str"/>
      <x:c r="I550" s="23" t="str"/>
      <x:c r="J550" s="23" t="str"/>
      <x:c r="K550" s="23" t="str"/>
      <x:c r="L550" s="23" t="str"/>
      <x:c r="M550" s="23" t="str"/>
      <x:c r="N550" s="20" t="str">
        <x:v>ยังไม่ยืนยัน</x:v>
      </x:c>
      <x:c r="O55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50" s="25" t="n">
        <x:v>46315</x:v>
      </x:c>
      <x:c r="Q550" s="27" t="str">
        <x:v>ยังไม่ตรวจ</x:v>
      </x:c>
      <x:c r="R550" s="27" t="str">
        <x:v>รอติดต่อ</x:v>
      </x:c>
    </x:row>
    <x:row r="551" ht="76" customHeight="1">
      <x:c r="A551" s="24" t="str">
        <x:v>TMF-543</x:v>
      </x:c>
      <x:c r="B551" s="20" t="str">
        <x:v>p.p.ครัวอิสลาม</x:v>
      </x:c>
      <x:c r="C551" s="20" t="str">
        <x:v>ชลบุรี</x:v>
      </x:c>
      <x:c r="D551" s="20" t="str">
        <x:v>คงไว้ในชุด 600</x:v>
      </x:c>
      <x:c r="E551" s="20" t="str">
        <x:v>พบหลายแหล่งสัมพันธ์กับชื่อ รอยืนยันการเปิด</x:v>
      </x:c>
      <x:c r="F551" s="20" t="str">
        <x:v>ยังไม่ยืนยันการเปิดให้บริการปัจจุบัน</x:v>
      </x:c>
      <x:c r="G551" s="26" t="n">
        <x:v>2</x:v>
      </x:c>
      <x:c r="H551" s="23" t="str"/>
      <x:c r="I551" s="23" t="str"/>
      <x:c r="J551" s="23" t="str"/>
      <x:c r="K551" s="23" t="str"/>
      <x:c r="L551" s="23" t="e">
        <x:f>HYPERLINK("https://www.cybo.com/TH-postal-code/20150_bang-lamung/halal-restaurants","เปิดเว็บเพิ่ม 1")</x:f>
        <x:v>HYPERLINK is not implemented. linkLocation=https://www.cybo.com/TH-postal-code/20150_bang-lamung/halal-restaurants, friendlyName=เปิดเว็บเพิ่ม 1</x:v>
      </x:c>
      <x:c r="M551" s="23" t="str"/>
      <x:c r="N551" s="20" t="str">
        <x:v>ยังไม่ยืนยัน</x:v>
      </x:c>
      <x:c r="O551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51" s="25" t="n">
        <x:v>46315</x:v>
      </x:c>
      <x:c r="Q551" s="27" t="str">
        <x:v>ยังไม่ตรวจ</x:v>
      </x:c>
      <x:c r="R551" s="27" t="str">
        <x:v>รอติดต่อ</x:v>
      </x:c>
    </x:row>
    <x:row r="552" ht="96" customHeight="1">
      <x:c r="A552" s="24" t="str">
        <x:v>TMF-544</x:v>
      </x:c>
      <x:c r="B552" s="20" t="str">
        <x:v>ครัว อาลี</x:v>
      </x:c>
      <x:c r="C552" s="20" t="str">
        <x:v>ชลบุรี</x:v>
      </x:c>
      <x:c r="D552" s="20" t="str">
        <x:v>คงไว้ในชุด 600</x:v>
      </x:c>
      <x:c r="E552" s="20" t="str">
        <x:v>หลักฐานไม่พอ รอยืนยันการเปิด</x:v>
      </x:c>
      <x:c r="F552" s="20" t="str">
        <x:v>ยังไม่ยืนยันการเปิดให้บริการปัจจุบัน</x:v>
      </x:c>
      <x:c r="G552" s="26" t="n">
        <x:v>1</x:v>
      </x:c>
      <x:c r="H552" s="23" t="str"/>
      <x:c r="I552" s="23" t="str"/>
      <x:c r="J552" s="23" t="str"/>
      <x:c r="K552" s="23" t="str"/>
      <x:c r="L552" s="23" t="str"/>
      <x:c r="M552" s="23" t="str"/>
      <x:c r="N552" s="20" t="str">
        <x:v>ยังไม่ยืนยัน</x:v>
      </x:c>
      <x:c r="O55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52" s="25" t="n">
        <x:v>46315</x:v>
      </x:c>
      <x:c r="Q552" s="27" t="str">
        <x:v>ยังไม่ตรวจ</x:v>
      </x:c>
      <x:c r="R552" s="27" t="str">
        <x:v>รอติดต่อ</x:v>
      </x:c>
    </x:row>
    <x:row r="553" ht="76" customHeight="1">
      <x:c r="A553" s="24" t="str">
        <x:v>TMF-545</x:v>
      </x:c>
      <x:c r="B553" s="20" t="str">
        <x:v>คามิส เซน ฮาลาล เรสเตอรองท์</x:v>
      </x:c>
      <x:c r="C553" s="20" t="str">
        <x:v>ชลบุรี</x:v>
      </x:c>
      <x:c r="D553" s="20" t="str">
        <x:v>คงไว้ในชุด 600</x:v>
      </x:c>
      <x:c r="E553" s="20" t="str">
        <x:v>พบหลายแหล่งสัมพันธ์กับชื่อ รอยืนยันการเปิด</x:v>
      </x:c>
      <x:c r="F553" s="20" t="str">
        <x:v>ยังไม่ยืนยันการเปิดให้บริการปัจจุบัน</x:v>
      </x:c>
      <x:c r="G553" s="26" t="n">
        <x:v>6</x:v>
      </x:c>
      <x:c r="H553" s="23" t="e">
        <x:f>HYPERLINK("https://www.facebook.com/profile.php?id=100054675750567","เปิดช่องทาง 1")</x:f>
        <x:v>HYPERLINK is not implemented. linkLocation=https://www.facebook.com/profile.php?id=100054675750567, friendlyName=เปิดช่องทาง 1</x:v>
      </x:c>
      <x:c r="I553" s="23" t="str"/>
      <x:c r="J553" s="23" t="e">
        <x:f>HYPERLINK("https://restaurantguru.com/Khamis-Zain-halal-restaurant-%E0%B8%84%E0%B8%B2%E0%B8%A1%E0%B8%B4%E0%B8%97%E0%B9%80%E0%B8%8B%E0%B8%99-%E0%B8%AE%E0%B8%B2%E0%B8%A5%E0%B8%B2%E0%B8%A5-%E0%B9%80%E0%B8%A3%E0%B8%AA%E0%B9%80%E0%B8%95%E0%B8%AD%E0%B8%A3%E0%B8%AD%E0%B8%87%E0%B8%97%E0%B9%8C-Pattaya","เปิดหน้ารีวิว 1")</x:f>
        <x:v>HYPERLINK is not implemented. linkLocation=https://restaurantguru.com/Khamis-Zain-halal-restaurant-%E0%B8%84%E0%B8%B2%E0%B8%A1%E0%B8%B4%E0%B8%97%E0%B9%80%E0%B8%8B%E0%B8%99-%E0%B8%AE%E0%B8%B2%E0%B8%A5%E0%B8%B2%E0%B8%A5-%E0%B9%80%E0%B8%A3%E0%B8%AA%E0%B9%80%E0%B8%95%E0%B8%AD%E0%B8%A3%E0%B8%AD%E0%B8%87%E0%B8%97%E0%B9%8C-Pattaya, friendlyName=เปิดหน้ารีวิว 1</x:v>
      </x:c>
      <x:c r="K553" s="23" t="e">
        <x:f>HYPERLINK("https://wanderlog.com/ms/place/details/8798097","เปิดหน้ารีวิว 2")</x:f>
        <x:v>HYPERLINK is not implemented. linkLocation=https://wanderlog.com/ms/place/details/8798097, friendlyName=เปิดหน้ารีวิว 2</x:v>
      </x:c>
      <x:c r="L553" s="23" t="e">
        <x:f>HYPERLINK("https://www.snsstopper.com/restaurant/0x310297e06a804261_0xff068e97d74ca546","เปิดเว็บเพิ่ม 1")</x:f>
        <x:v>HYPERLINK is not implemented. linkLocation=https://www.snsstopper.com/restaurant/0x310297e06a804261_0xff068e97d74ca546, friendlyName=เปิดเว็บเพิ่ม 1</x:v>
      </x:c>
      <x:c r="M553" s="23" t="e">
        <x:f>HYPERLINK("https://lv.cybo.com/TH-biz/khamis-zain-halal-restaurant-%E0%B8%84%E0%B8%B2%E0%B8%A1%E0%B8%B4%E0%B8%AA-%E0%B9%80%E0%B8%8B%E0%B8%99","เปิดเว็บเพิ่ม 2")</x:f>
        <x:v>HYPERLINK is not implemented. linkLocation=https://lv.cybo.com/TH-biz/khamis-zain-halal-restaurant-%E0%B8%84%E0%B8%B2%E0%B8%A1%E0%B8%B4%E0%B8%AA-%E0%B9%80%E0%B8%8B%E0%B8%99, friendlyName=เปิดเว็บเพิ่ม 2</x:v>
      </x:c>
      <x:c r="N553" s="20" t="str">
        <x:v>ยังไม่ยืนยัน</x:v>
      </x:c>
      <x:c r="O553" s="20" t="str">
        <x:v>ยังไม่ยืนยันวันที่โพสต์/รีวิวล่าสุดและการเปิดให้บริการปัจจุบัน</x:v>
      </x:c>
      <x:c r="P553" s="25" t="n">
        <x:v>46315</x:v>
      </x:c>
      <x:c r="Q553" s="27" t="str">
        <x:v>ยังไม่ตรวจ</x:v>
      </x:c>
      <x:c r="R553" s="27" t="str">
        <x:v>รอติดต่อ</x:v>
      </x:c>
    </x:row>
    <x:row r="554" ht="76" customHeight="1">
      <x:c r="A554" s="24" t="str">
        <x:v>TMF-546</x:v>
      </x:c>
      <x:c r="B554" s="20" t="str">
        <x:v>ซีน่าพิซซ่าฮาลาลพัทยา สาขา 1 (สุขุมวิท26/1)</x:v>
      </x:c>
      <x:c r="C554" s="20" t="str">
        <x:v>ชลบุรี</x:v>
      </x:c>
      <x:c r="D554" s="20" t="str">
        <x:v>คงไว้ในชุด 600</x:v>
      </x:c>
      <x:c r="E554" s="20" t="str">
        <x:v>พบหลายแหล่งสัมพันธ์กับชื่อ รอยืนยันการเปิด</x:v>
      </x:c>
      <x:c r="F554" s="20" t="str">
        <x:v>ยังไม่ยืนยันการเปิดให้บริการปัจจุบัน</x:v>
      </x:c>
      <x:c r="G554" s="26" t="n">
        <x:v>9</x:v>
      </x:c>
      <x:c r="H554" s="23" t="str"/>
      <x:c r="I554" s="23" t="str"/>
      <x:c r="J554" s="23" t="e">
        <x:f>HYPERLINK("https://www.wongnai.com/restaurants/623060wV-seena-%E0%B8%9E%E0%B8%B4%E0%B8%8B%E0%B8%8B%E0%B9%88%E0%B8%B2%E0%B8%AE%E0%B8%B2%E0%B8%A5%E0%B8%B2%E0%B8%A5%E0%B8%9E%E0%B8%B1%E0%B8%97%E0%B8%A2%E0%B8%B2","เปิดหน้ารีวิว 1")</x:f>
        <x:v>HYPERLINK is not implemented. linkLocation=https://www.wongnai.com/restaurants/623060wV-seena-%E0%B8%9E%E0%B8%B4%E0%B8%8B%E0%B8%8B%E0%B9%88%E0%B8%B2%E0%B8%AE%E0%B8%B2%E0%B8%A5%E0%B8%B2%E0%B8%A5%E0%B8%9E%E0%B8%B1%E0%B8%97%E0%B8%A2%E0%B8%B2, friendlyName=เปิดหน้ารีวิว 1</x:v>
      </x:c>
      <x:c r="K554" s="23" t="str"/>
      <x:c r="L554" s="23" t="e">
        <x:f>HYPERLINK("https://salaamthailand.com/en/place/halal-pizza-seena-pizza-halal-pattaya-%E0%B8%A3%E0%B9%89%E0%B8%B2%E0%B8%99%E0%B8%AD%E0%B8%B2%E0%B8%AB%E0%B8%B2%E0%B8%A3%E0%B8%AD%E0%B8%B4%E0%B8%AA%E0%B8%A5%E0%B8%B2%E0%B8%A1%E0%B8%9E%E0%B8%B1%E0%B8%97%E0%B8%A2%E0%B8%B2-zh-gpi/","เปิดเว็บเพิ่ม 1")</x:f>
        <x:v>HYPERLINK is not implemented. linkLocation=https://salaamthailand.com/en/place/halal-pizza-seena-pizza-halal-pattaya-%E0%B8%A3%E0%B9%89%E0%B8%B2%E0%B8%99%E0%B8%AD%E0%B8%B2%E0%B8%AB%E0%B8%B2%E0%B8%A3%E0%B8%AD%E0%B8%B4%E0%B8%AA%E0%B8%A5%E0%B8%B2%E0%B8%A1%E0%B8%9E%E0%B8%B1%E0%B8%97%E0%B8%A2%E0%B8%B2-zh-gpi/, friendlyName=เปิดเว็บเพิ่ม 1</x:v>
      </x:c>
      <x:c r="M554" s="23" t="e">
        <x:f>HYPERLINK("https://www.sasana.ac.th/2017/upfile/2564/Company/2563.pdf","เปิดเว็บเพิ่ม 2")</x:f>
        <x:v>HYPERLINK is not implemented. linkLocation=https://www.sasana.ac.th/2017/upfile/2564/Company/2563.pdf, friendlyName=เปิดเว็บเพิ่ม 2</x:v>
      </x:c>
      <x:c r="N554" s="20" t="str">
        <x:v>ยังไม่ยืนยัน</x:v>
      </x:c>
      <x:c r="O55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54" s="25" t="n">
        <x:v>46315</x:v>
      </x:c>
      <x:c r="Q554" s="27" t="str">
        <x:v>ยังไม่ตรวจ</x:v>
      </x:c>
      <x:c r="R554" s="27" t="str">
        <x:v>รอติดต่อ</x:v>
      </x:c>
    </x:row>
    <x:row r="555" ht="96" customHeight="1">
      <x:c r="A555" s="24" t="str">
        <x:v>TMF-547</x:v>
      </x:c>
      <x:c r="B555" s="20" t="str">
        <x:v>โอเอซิสสปา พัทยา จอมเทียน</x:v>
      </x:c>
      <x:c r="C555" s="20" t="str">
        <x:v>ชลบุรี</x:v>
      </x:c>
      <x:c r="D555" s="20" t="str">
        <x:v>คงไว้ในชุด 600</x:v>
      </x:c>
      <x:c r="E555" s="20" t="str">
        <x:v>หลักฐานไม่พอ รอยืนยันการเปิด</x:v>
      </x:c>
      <x:c r="F555" s="20" t="str">
        <x:v>ยังไม่ยืนยันการเปิดให้บริการปัจจุบัน</x:v>
      </x:c>
      <x:c r="G555" s="26" t="n">
        <x:v>1</x:v>
      </x:c>
      <x:c r="H555" s="23" t="str"/>
      <x:c r="I555" s="23" t="str"/>
      <x:c r="J555" s="23" t="str"/>
      <x:c r="K555" s="23" t="str"/>
      <x:c r="L555" s="23" t="str"/>
      <x:c r="M555" s="23" t="str"/>
      <x:c r="N555" s="20" t="str">
        <x:v>ยังไม่ยืนยัน</x:v>
      </x:c>
      <x:c r="O55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55" s="25" t="n">
        <x:v>46315</x:v>
      </x:c>
      <x:c r="Q555" s="27" t="str">
        <x:v>ยังไม่ตรวจ</x:v>
      </x:c>
      <x:c r="R555" s="27" t="str">
        <x:v>รอติดต่อ</x:v>
      </x:c>
    </x:row>
    <x:row r="556" ht="96" customHeight="1">
      <x:c r="A556" s="24" t="str">
        <x:v>TMF-548</x:v>
      </x:c>
      <x:c r="B556" s="20" t="str">
        <x:v>ครัวฟาตีเมาะห์</x:v>
      </x:c>
      <x:c r="C556" s="20" t="str">
        <x:v>ชัยภูมิ</x:v>
      </x:c>
      <x:c r="D556" s="20" t="str">
        <x:v>คงไว้ในชุด 600</x:v>
      </x:c>
      <x:c r="E556" s="20" t="str">
        <x:v>หลักฐานไม่พอ รอยืนยันการเปิด</x:v>
      </x:c>
      <x:c r="F556" s="20" t="str">
        <x:v>ยังไม่ยืนยันการเปิดให้บริการปัจจุบัน</x:v>
      </x:c>
      <x:c r="G556" s="26" t="n">
        <x:v>1</x:v>
      </x:c>
      <x:c r="H556" s="23" t="str"/>
      <x:c r="I556" s="23" t="str"/>
      <x:c r="J556" s="23" t="str"/>
      <x:c r="K556" s="23" t="str"/>
      <x:c r="L556" s="23" t="str"/>
      <x:c r="M556" s="23" t="str"/>
      <x:c r="N556" s="20" t="str">
        <x:v>ยังไม่ยืนยัน</x:v>
      </x:c>
      <x:c r="O55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56" s="25" t="n">
        <x:v>46315</x:v>
      </x:c>
      <x:c r="Q556" s="27" t="str">
        <x:v>ยังไม่ตรวจ</x:v>
      </x:c>
      <x:c r="R556" s="27" t="str">
        <x:v>รอติดต่อ</x:v>
      </x:c>
    </x:row>
    <x:row r="557" ht="96" customHeight="1">
      <x:c r="A557" s="24" t="str">
        <x:v>TMF-549</x:v>
      </x:c>
      <x:c r="B557" s="20" t="str">
        <x:v>อาหารมุสลิมนาป้อ ตรัง</x:v>
      </x:c>
      <x:c r="C557" s="20" t="str">
        <x:v>ตรัง</x:v>
      </x:c>
      <x:c r="D557" s="20" t="str">
        <x:v>คงไว้ในชุด 600</x:v>
      </x:c>
      <x:c r="E557" s="20" t="str">
        <x:v>หลักฐานไม่พอ รอยืนยันการเปิด</x:v>
      </x:c>
      <x:c r="F557" s="20" t="str">
        <x:v>ยังไม่ยืนยันการเปิดให้บริการปัจจุบัน</x:v>
      </x:c>
      <x:c r="G557" s="26" t="n">
        <x:v>1</x:v>
      </x:c>
      <x:c r="H557" s="23" t="str"/>
      <x:c r="I557" s="23" t="str"/>
      <x:c r="J557" s="23" t="str"/>
      <x:c r="K557" s="23" t="str"/>
      <x:c r="L557" s="23" t="str"/>
      <x:c r="M557" s="23" t="str"/>
      <x:c r="N557" s="20" t="str">
        <x:v>ยังไม่ยืนยัน</x:v>
      </x:c>
      <x:c r="O55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57" s="25" t="n">
        <x:v>46315</x:v>
      </x:c>
      <x:c r="Q557" s="27" t="str">
        <x:v>ยังไม่ตรวจ</x:v>
      </x:c>
      <x:c r="R557" s="27" t="str">
        <x:v>รอติดต่อ</x:v>
      </x:c>
    </x:row>
    <x:row r="558" ht="96" customHeight="1">
      <x:c r="A558" s="24" t="str">
        <x:v>TMF-550</x:v>
      </x:c>
      <x:c r="B558" s="20" t="str">
        <x:v>โรตี ยีเลาะฮ์</x:v>
      </x:c>
      <x:c r="C558" s="20" t="str">
        <x:v>ตรัง</x:v>
      </x:c>
      <x:c r="D558" s="20" t="str">
        <x:v>คงไว้ในชุด 600</x:v>
      </x:c>
      <x:c r="E558" s="20" t="str">
        <x:v>หลักฐานไม่พอ รอยืนยันการเปิด</x:v>
      </x:c>
      <x:c r="F558" s="20" t="str">
        <x:v>ยังไม่ยืนยันการเปิดให้บริการปัจจุบัน</x:v>
      </x:c>
      <x:c r="G558" s="26" t="n">
        <x:v>1</x:v>
      </x:c>
      <x:c r="H558" s="23" t="str"/>
      <x:c r="I558" s="23" t="str"/>
      <x:c r="J558" s="23" t="str"/>
      <x:c r="K558" s="23" t="str"/>
      <x:c r="L558" s="23" t="str"/>
      <x:c r="M558" s="23" t="str"/>
      <x:c r="N558" s="20" t="str">
        <x:v>ยังไม่ยืนยัน</x:v>
      </x:c>
      <x:c r="O55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58" s="25" t="n">
        <x:v>46315</x:v>
      </x:c>
      <x:c r="Q558" s="27" t="str">
        <x:v>ยังไม่ตรวจ</x:v>
      </x:c>
      <x:c r="R558" s="27" t="str">
        <x:v>รอติดต่อ</x:v>
      </x:c>
    </x:row>
    <x:row r="559" ht="76" customHeight="1">
      <x:c r="A559" s="24" t="str">
        <x:v>TMF-551</x:v>
      </x:c>
      <x:c r="B559" s="20" t="str">
        <x:v>ชุมชนบ้านธรรมชาติล่าง</x:v>
      </x:c>
      <x:c r="C559" s="20" t="str">
        <x:v>ตราด</x:v>
      </x:c>
      <x:c r="D559" s="20" t="str">
        <x:v>คงไว้ในชุด 600</x:v>
      </x:c>
      <x:c r="E559" s="20" t="str">
        <x:v>พบหลายแหล่งสัมพันธ์กับชื่อ รอยืนยันการเปิด</x:v>
      </x:c>
      <x:c r="F559" s="20" t="str">
        <x:v>ยังไม่ยืนยันการเปิดให้บริการปัจจุบัน</x:v>
      </x:c>
      <x:c r="G559" s="26" t="n">
        <x:v>3</x:v>
      </x:c>
      <x:c r="H559" s="23" t="str"/>
      <x:c r="I559" s="23" t="str"/>
      <x:c r="J559" s="23" t="str"/>
      <x:c r="K559" s="23" t="str"/>
      <x:c r="L559" s="23" t="e">
        <x:f>HYPERLINK("https://tatmediaassets.com/file/287016","เปิดเว็บเพิ่ม 1")</x:f>
        <x:v>HYPERLINK is not implemented. linkLocation=https://tatmediaassets.com/file/287016, friendlyName=เปิดเว็บเพิ่ม 1</x:v>
      </x:c>
      <x:c r="M559" s="23" t="e">
        <x:f>HYPERLINK("https://www.cpgroupglobal.com/th/document/viewer/420","เปิดเว็บเพิ่ม 2")</x:f>
        <x:v>HYPERLINK is not implemented. linkLocation=https://www.cpgroupglobal.com/th/document/viewer/420, friendlyName=เปิดเว็บเพิ่ม 2</x:v>
      </x:c>
      <x:c r="N559" s="20" t="str">
        <x:v>ยังไม่ยืนยัน</x:v>
      </x:c>
      <x:c r="O55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59" s="25" t="n">
        <x:v>46315</x:v>
      </x:c>
      <x:c r="Q559" s="27" t="str">
        <x:v>ยังไม่ตรวจ</x:v>
      </x:c>
      <x:c r="R559" s="27" t="str">
        <x:v>รอติดต่อ</x:v>
      </x:c>
    </x:row>
    <x:row r="560" ht="96" customHeight="1">
      <x:c r="A560" s="24" t="str">
        <x:v>TMF-552</x:v>
      </x:c>
      <x:c r="B560" s="20" t="str">
        <x:v>ครัวมุสลิม ตลาดโต้รุ่ง</x:v>
      </x:c>
      <x:c r="C560" s="20" t="str">
        <x:v>ตราด</x:v>
      </x:c>
      <x:c r="D560" s="20" t="str">
        <x:v>คงไว้ในชุด 600</x:v>
      </x:c>
      <x:c r="E560" s="20" t="str">
        <x:v>หลักฐานไม่พอ รอยืนยันการเปิด</x:v>
      </x:c>
      <x:c r="F560" s="20" t="str">
        <x:v>ยังไม่ยืนยันการเปิดให้บริการปัจจุบัน</x:v>
      </x:c>
      <x:c r="G560" s="26" t="n">
        <x:v>1</x:v>
      </x:c>
      <x:c r="H560" s="23" t="str"/>
      <x:c r="I560" s="23" t="str"/>
      <x:c r="J560" s="23" t="str"/>
      <x:c r="K560" s="23" t="str"/>
      <x:c r="L560" s="23" t="str"/>
      <x:c r="M560" s="23" t="str"/>
      <x:c r="N560" s="20" t="str">
        <x:v>ยังไม่ยืนยัน</x:v>
      </x:c>
      <x:c r="O56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60" s="25" t="n">
        <x:v>46315</x:v>
      </x:c>
      <x:c r="Q560" s="27" t="str">
        <x:v>ยังไม่ตรวจ</x:v>
      </x:c>
      <x:c r="R560" s="27" t="str">
        <x:v>รอติดต่อ</x:v>
      </x:c>
    </x:row>
    <x:row r="561" ht="96" customHeight="1">
      <x:c r="A561" s="24" t="str">
        <x:v>TMF-553</x:v>
      </x:c>
      <x:c r="B561" s="20" t="str">
        <x:v>MAZAH KITCH</x:v>
      </x:c>
      <x:c r="C561" s="20" t="str">
        <x:v>ตาก</x:v>
      </x:c>
      <x:c r="D561" s="20" t="str">
        <x:v>คงไว้ในชุด 600</x:v>
      </x:c>
      <x:c r="E561" s="20" t="str">
        <x:v>หลักฐานไม่พอ รอยืนยันการเปิด</x:v>
      </x:c>
      <x:c r="F561" s="20" t="str">
        <x:v>ยังไม่ยืนยันการเปิดให้บริการปัจจุบัน</x:v>
      </x:c>
      <x:c r="G561" s="26" t="n">
        <x:v>1</x:v>
      </x:c>
      <x:c r="H561" s="23" t="str"/>
      <x:c r="I561" s="23" t="str"/>
      <x:c r="J561" s="23" t="str"/>
      <x:c r="K561" s="23" t="str"/>
      <x:c r="L561" s="23" t="str"/>
      <x:c r="M561" s="23" t="str"/>
      <x:c r="N561" s="20" t="str">
        <x:v>ยังไม่ยืนยัน</x:v>
      </x:c>
      <x:c r="O56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61" s="25" t="n">
        <x:v>46315</x:v>
      </x:c>
      <x:c r="Q561" s="27" t="str">
        <x:v>ยังไม่ตรวจ</x:v>
      </x:c>
      <x:c r="R561" s="27" t="str">
        <x:v>รอติดต่อ</x:v>
      </x:c>
    </x:row>
    <x:row r="562" ht="76" customHeight="1">
      <x:c r="A562" s="24" t="str">
        <x:v>TMF-554</x:v>
      </x:c>
      <x:c r="B562" s="20" t="str">
        <x:v>โรงชานครแม่สอด</x:v>
      </x:c>
      <x:c r="C562" s="20" t="str">
        <x:v>ตาก</x:v>
      </x:c>
      <x:c r="D562" s="20" t="str">
        <x:v>คงไว้ในชุด 600</x:v>
      </x:c>
      <x:c r="E562" s="20" t="str">
        <x:v>พบหลายแหล่งสัมพันธ์กับชื่อ รอยืนยันการเปิด</x:v>
      </x:c>
      <x:c r="F562" s="20" t="str">
        <x:v>ยังไม่ยืนยันการเปิดให้บริการปัจจุบัน</x:v>
      </x:c>
      <x:c r="G562" s="26" t="n">
        <x:v>2</x:v>
      </x:c>
      <x:c r="H562" s="23" t="str"/>
      <x:c r="I562" s="23" t="str"/>
      <x:c r="J562" s="23" t="e">
        <x:f>HYPERLINK("https://www.lemon8-app.com/poi/22535797325032350?region=th","เปิดหน้ารีวิว 1")</x:f>
        <x:v>HYPERLINK is not implemented. linkLocation=https://www.lemon8-app.com/poi/22535797325032350?region=th, friendlyName=เปิดหน้ารีวิว 1</x:v>
      </x:c>
      <x:c r="K562" s="23" t="str"/>
      <x:c r="L562" s="23" t="str"/>
      <x:c r="M562" s="23" t="str"/>
      <x:c r="N562" s="20" t="str">
        <x:v>ยังไม่ยืนยัน</x:v>
      </x:c>
      <x:c r="O56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62" s="25" t="n">
        <x:v>46315</x:v>
      </x:c>
      <x:c r="Q562" s="27" t="str">
        <x:v>ยังไม่ตรวจ</x:v>
      </x:c>
      <x:c r="R562" s="27" t="str">
        <x:v>รอติดต่อ</x:v>
      </x:c>
    </x:row>
    <x:row r="563" ht="96" customHeight="1">
      <x:c r="A563" s="24" t="str">
        <x:v>TMF-555</x:v>
      </x:c>
      <x:c r="B563" s="20" t="str">
        <x:v>ไก่ย่างอัสรี</x:v>
      </x:c>
      <x:c r="C563" s="20" t="str">
        <x:v>กรุงเทพมหานคร</x:v>
      </x:c>
      <x:c r="D563" s="20" t="str">
        <x:v>สำรองเพื่อจัดลำดับให้ทะเบียน GMHI</x:v>
      </x:c>
      <x:c r="E563" s="20" t="str">
        <x:v>หลักฐานไม่พอ รอยืนยันการเปิด</x:v>
      </x:c>
      <x:c r="F563" s="20" t="str">
        <x:v>ยังไม่ยืนยันการเปิดให้บริการปัจจุบัน</x:v>
      </x:c>
      <x:c r="G563" s="26" t="n">
        <x:v>1</x:v>
      </x:c>
      <x:c r="H563" s="23" t="str"/>
      <x:c r="I563" s="23" t="str"/>
      <x:c r="J563" s="23" t="str"/>
      <x:c r="K563" s="23" t="str"/>
      <x:c r="L563" s="23" t="str"/>
      <x:c r="M563" s="23" t="str"/>
      <x:c r="N563" s="20" t="str">
        <x:v>ยังไม่ยืนยัน</x:v>
      </x:c>
      <x:c r="O56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63" s="25" t="n">
        <x:v>46315</x:v>
      </x:c>
      <x:c r="Q563" s="27" t="str">
        <x:v>ยังไม่ตรวจ</x:v>
      </x:c>
      <x:c r="R563" s="27" t="str">
        <x:v>รอติดต่อ</x:v>
      </x:c>
    </x:row>
    <x:row r="564" ht="96" customHeight="1">
      <x:c r="A564" s="24" t="str">
        <x:v>TMF-556</x:v>
      </x:c>
      <x:c r="B564" s="20" t="str">
        <x:v>ร้านฮาลาลตลาดโรงสี หนองเบน</x:v>
      </x:c>
      <x:c r="C564" s="20" t="str">
        <x:v>นครสวรรค์</x:v>
      </x:c>
      <x:c r="D564" s="20" t="str">
        <x:v>คงไว้ในชุด 600</x:v>
      </x:c>
      <x:c r="E564" s="20" t="str">
        <x:v>หลักฐานไม่พอ รอยืนยันการเปิด</x:v>
      </x:c>
      <x:c r="F564" s="20" t="str">
        <x:v>ยังไม่ยืนยันการเปิดให้บริการปัจจุบัน</x:v>
      </x:c>
      <x:c r="G564" s="26" t="n">
        <x:v>1</x:v>
      </x:c>
      <x:c r="H564" s="23" t="str"/>
      <x:c r="I564" s="23" t="str"/>
      <x:c r="J564" s="23" t="str"/>
      <x:c r="K564" s="23" t="str"/>
      <x:c r="L564" s="23" t="str"/>
      <x:c r="M564" s="23" t="str"/>
      <x:c r="N564" s="20" t="str">
        <x:v>ยังไม่ยืนยัน</x:v>
      </x:c>
      <x:c r="O56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64" s="25" t="n">
        <x:v>46315</x:v>
      </x:c>
      <x:c r="Q564" s="27" t="str">
        <x:v>ยังไม่ตรวจ</x:v>
      </x:c>
      <x:c r="R564" s="27" t="str">
        <x:v>รอติดต่อ</x:v>
      </x:c>
    </x:row>
    <x:row r="565" ht="96" customHeight="1">
      <x:c r="A565" s="24" t="str">
        <x:v>TMF-557</x:v>
      </x:c>
      <x:c r="B565" s="20" t="str">
        <x:v>อาหารมุสลิมนครสวรรค์</x:v>
      </x:c>
      <x:c r="C565" s="20" t="str">
        <x:v>นครสวรรค์</x:v>
      </x:c>
      <x:c r="D565" s="20" t="str">
        <x:v>คงไว้ในชุด 600</x:v>
      </x:c>
      <x:c r="E565" s="20" t="str">
        <x:v>หลักฐานไม่พอ รอยืนยันการเปิด</x:v>
      </x:c>
      <x:c r="F565" s="20" t="str">
        <x:v>ยังไม่ยืนยันการเปิดให้บริการปัจจุบัน</x:v>
      </x:c>
      <x:c r="G565" s="26" t="n">
        <x:v>1</x:v>
      </x:c>
      <x:c r="H565" s="23" t="str"/>
      <x:c r="I565" s="23" t="str"/>
      <x:c r="J565" s="23" t="str"/>
      <x:c r="K565" s="23" t="str"/>
      <x:c r="L565" s="23" t="str"/>
      <x:c r="M565" s="23" t="str"/>
      <x:c r="N565" s="20" t="str">
        <x:v>ยังไม่ยืนยัน</x:v>
      </x:c>
      <x:c r="O56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65" s="25" t="n">
        <x:v>46315</x:v>
      </x:c>
      <x:c r="Q565" s="27" t="str">
        <x:v>ยังไม่ตรวจ</x:v>
      </x:c>
      <x:c r="R565" s="27" t="str">
        <x:v>รอติดต่อ</x:v>
      </x:c>
    </x:row>
    <x:row r="566" ht="96" customHeight="1">
      <x:c r="A566" s="24" t="str">
        <x:v>TMF-558</x:v>
      </x:c>
      <x:c r="B566" s="20" t="str">
        <x:v>ก๋วยเตี๋ยวเรืออิสลาม ครัวอารยา ตากใบ</x:v>
      </x:c>
      <x:c r="C566" s="20" t="str">
        <x:v>นราธิวาส</x:v>
      </x:c>
      <x:c r="D566" s="20" t="str">
        <x:v>คงไว้ในชุด 600</x:v>
      </x:c>
      <x:c r="E566" s="20" t="str">
        <x:v>หลักฐานไม่พอ รอยืนยันการเปิด</x:v>
      </x:c>
      <x:c r="F566" s="20" t="str">
        <x:v>ยังไม่ยืนยันการเปิดให้บริการปัจจุบัน</x:v>
      </x:c>
      <x:c r="G566" s="26" t="n">
        <x:v>1</x:v>
      </x:c>
      <x:c r="H566" s="23" t="str"/>
      <x:c r="I566" s="23" t="str"/>
      <x:c r="J566" s="23" t="str"/>
      <x:c r="K566" s="23" t="str"/>
      <x:c r="L566" s="23" t="str"/>
      <x:c r="M566" s="23" t="str"/>
      <x:c r="N566" s="20" t="str">
        <x:v>ยังไม่ยืนยัน</x:v>
      </x:c>
      <x:c r="O56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66" s="25" t="n">
        <x:v>46315</x:v>
      </x:c>
      <x:c r="Q566" s="27" t="str">
        <x:v>ยังไม่ตรวจ</x:v>
      </x:c>
      <x:c r="R566" s="27" t="str">
        <x:v>รอติดต่อ</x:v>
      </x:c>
    </x:row>
    <x:row r="567" ht="76" customHeight="1">
      <x:c r="A567" s="24" t="str">
        <x:v>TMF-559</x:v>
      </x:c>
      <x:c r="B567" s="20" t="str">
        <x:v>ฟาร์ติมะห์คาเฟ่&amp;เนื้อ</x:v>
      </x:c>
      <x:c r="C567" s="20" t="str">
        <x:v>ประจวบคีรีขันธ์</x:v>
      </x:c>
      <x:c r="D567" s="20" t="str">
        <x:v>คงไว้ในชุด 600</x:v>
      </x:c>
      <x:c r="E567" s="20" t="str">
        <x:v>พบหลายแหล่งสัมพันธ์กับชื่อ รอยืนยันการเปิด</x:v>
      </x:c>
      <x:c r="F567" s="20" t="str">
        <x:v>ยังไม่ยืนยันการเปิดให้บริการปัจจุบัน</x:v>
      </x:c>
      <x:c r="G567" s="26" t="n">
        <x:v>3</x:v>
      </x:c>
      <x:c r="H567" s="23" t="str"/>
      <x:c r="I567" s="23" t="str"/>
      <x:c r="J567" s="23" t="e">
        <x:f>HYPERLINK("https://www.wongnai.com/reviews/1be4dd1d145747958b42f928b2f1b675","เปิดหน้ารีวิว 1")</x:f>
        <x:v>HYPERLINK is not implemented. linkLocation=https://www.wongnai.com/reviews/1be4dd1d145747958b42f928b2f1b675, friendlyName=เปิดหน้ารีวิว 1</x:v>
      </x:c>
      <x:c r="K567" s="23" t="e">
        <x:f>HYPERLINK("https://www.lemon8-app.com/%40saowaneepleebee2/7507563740402418184?region=th","เปิดหน้ารีวิว 2")</x:f>
        <x:v>HYPERLINK is not implemented. linkLocation=https://www.lemon8-app.com/%40saowaneepleebee2/7507563740402418184?region=th, friendlyName=เปิดหน้ารีวิว 2</x:v>
      </x:c>
      <x:c r="L567" s="23" t="str"/>
      <x:c r="M567" s="23" t="str"/>
      <x:c r="N567" s="20" t="str">
        <x:v>ยังไม่ยืนยัน</x:v>
      </x:c>
      <x:c r="O56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67" s="25" t="n">
        <x:v>46315</x:v>
      </x:c>
      <x:c r="Q567" s="27" t="str">
        <x:v>ยังไม่ตรวจ</x:v>
      </x:c>
      <x:c r="R567" s="27" t="str">
        <x:v>รอติดต่อ</x:v>
      </x:c>
    </x:row>
    <x:row r="568" ht="76" customHeight="1">
      <x:c r="A568" s="24" t="str">
        <x:v>TMF-560</x:v>
      </x:c>
      <x:c r="B568" s="20" t="str">
        <x:v>พระนครศรีอยุธยาฮาลาล ปราจีนบุรี</x:v>
      </x:c>
      <x:c r="C568" s="20" t="str">
        <x:v>ปราจีนบุรี</x:v>
      </x:c>
      <x:c r="D568" s="20" t="str">
        <x:v>คงไว้ในชุด 600</x:v>
      </x:c>
      <x:c r="E568" s="20" t="str">
        <x:v>พบหลายแหล่งสัมพันธ์กับชื่อ รอยืนยันการเปิด</x:v>
      </x:c>
      <x:c r="F568" s="20" t="str">
        <x:v>ยังไม่ยืนยันการเปิดให้บริการปัจจุบัน</x:v>
      </x:c>
      <x:c r="G568" s="26" t="n">
        <x:v>2</x:v>
      </x:c>
      <x:c r="H568" s="23" t="str"/>
      <x:c r="I568" s="23" t="str"/>
      <x:c r="J568" s="23" t="str"/>
      <x:c r="K568" s="23" t="str"/>
      <x:c r="L568" s="23" t="e">
        <x:f>HYPERLINK("https://www.thaithurkic.com/halal-food-meat-noodle-and-made-to-086-994-6247","เปิดเว็บเพิ่ม 1")</x:f>
        <x:v>HYPERLINK is not implemented. linkLocation=https://www.thaithurkic.com/halal-food-meat-noodle-and-made-to-086-994-6247, friendlyName=เปิดเว็บเพิ่ม 1</x:v>
      </x:c>
      <x:c r="M568" s="23" t="str"/>
      <x:c r="N568" s="20" t="str">
        <x:v>ยังไม่ยืนยัน</x:v>
      </x:c>
      <x:c r="O568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68" s="25" t="n">
        <x:v>46315</x:v>
      </x:c>
      <x:c r="Q568" s="27" t="str">
        <x:v>ยังไม่ตรวจ</x:v>
      </x:c>
      <x:c r="R568" s="27" t="str">
        <x:v>รอติดต่อ</x:v>
      </x:c>
    </x:row>
    <x:row r="569" ht="76" customHeight="1">
      <x:c r="A569" s="24" t="str">
        <x:v>TMF-561</x:v>
      </x:c>
      <x:c r="B569" s="20" t="str">
        <x:v>Bagus Hot Chicken</x:v>
      </x:c>
      <x:c r="C569" s="20" t="str">
        <x:v>ปัตตานี</x:v>
      </x:c>
      <x:c r="D569" s="20" t="str">
        <x:v>คงไว้ในชุด 600</x:v>
      </x:c>
      <x:c r="E569" s="20" t="str">
        <x:v>พบหลายแหล่งสัมพันธ์กับชื่อ รอยืนยันการเปิด</x:v>
      </x:c>
      <x:c r="F569" s="20" t="str">
        <x:v>ยังไม่ยืนยันการเปิดให้บริการปัจจุบัน</x:v>
      </x:c>
      <x:c r="G569" s="26" t="n">
        <x:v>3</x:v>
      </x:c>
      <x:c r="H569" s="23" t="str"/>
      <x:c r="I569" s="23" t="str"/>
      <x:c r="J569" s="23" t="e">
        <x:f>HYPERLINK("https://www.wongnai.com/restaurants/759101oO-bagus-hot-chicken-ptn-14-bagus-pattani","เปิดหน้ารีวิว 1")</x:f>
        <x:v>HYPERLINK is not implemented. linkLocation=https://www.wongnai.com/restaurants/759101oO-bagus-hot-chicken-ptn-14-bagus-pattani, friendlyName=เปิดหน้ารีวิว 1</x:v>
      </x:c>
      <x:c r="K569" s="23" t="str"/>
      <x:c r="L569" s="23" t="e">
        <x:f>HYPERLINK("https://salaamthailand.com/en/place/southern-muslim-bagus-pattani-xb3fso/","เปิดเว็บเพิ่ม 1")</x:f>
        <x:v>HYPERLINK is not implemented. linkLocation=https://salaamthailand.com/en/place/southern-muslim-bagus-pattani-xb3fso/, friendlyName=เปิดเว็บเพิ่ม 1</x:v>
      </x:c>
      <x:c r="M569" s="23" t="str"/>
      <x:c r="N569" s="20" t="str">
        <x:v>ยังไม่ยืนยัน</x:v>
      </x:c>
      <x:c r="O56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69" s="25" t="n">
        <x:v>46315</x:v>
      </x:c>
      <x:c r="Q569" s="27" t="str">
        <x:v>ยังไม่ตรวจ</x:v>
      </x:c>
      <x:c r="R569" s="27" t="str">
        <x:v>รอติดต่อ</x:v>
      </x:c>
    </x:row>
    <x:row r="570" ht="96" customHeight="1">
      <x:c r="A570" s="24" t="str">
        <x:v>TMF-562</x:v>
      </x:c>
      <x:c r="B570" s="20" t="str">
        <x:v>KITA BUAT DIA</x:v>
      </x:c>
      <x:c r="C570" s="20" t="str">
        <x:v>ปัตตานี</x:v>
      </x:c>
      <x:c r="D570" s="20" t="str">
        <x:v>คงไว้ในชุด 600</x:v>
      </x:c>
      <x:c r="E570" s="20" t="str">
        <x:v>หลักฐานไม่พอ รอยืนยันการเปิด</x:v>
      </x:c>
      <x:c r="F570" s="20" t="str">
        <x:v>ยังไม่ยืนยันการเปิดให้บริการปัจจุบัน</x:v>
      </x:c>
      <x:c r="G570" s="26" t="n">
        <x:v>1</x:v>
      </x:c>
      <x:c r="H570" s="23" t="str"/>
      <x:c r="I570" s="23" t="str"/>
      <x:c r="J570" s="23" t="str"/>
      <x:c r="K570" s="23" t="str"/>
      <x:c r="L570" s="23" t="str"/>
      <x:c r="M570" s="23" t="str"/>
      <x:c r="N570" s="20" t="str">
        <x:v>ยังไม่ยืนยัน</x:v>
      </x:c>
      <x:c r="O57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70" s="25" t="n">
        <x:v>46315</x:v>
      </x:c>
      <x:c r="Q570" s="27" t="str">
        <x:v>ยังไม่ตรวจ</x:v>
      </x:c>
      <x:c r="R570" s="27" t="str">
        <x:v>รอติดต่อ</x:v>
      </x:c>
    </x:row>
    <x:row r="571" ht="76" customHeight="1">
      <x:c r="A571" s="24" t="str">
        <x:v>TMF-563</x:v>
      </x:c>
      <x:c r="B571" s="20" t="str">
        <x:v>M.Chakir Coffee</x:v>
      </x:c>
      <x:c r="C571" s="20" t="str">
        <x:v>ปัตตานี</x:v>
      </x:c>
      <x:c r="D571" s="20" t="str">
        <x:v>คงไว้ในชุด 600</x:v>
      </x:c>
      <x:c r="E571" s="20" t="str">
        <x:v>พบหลายแหล่งสัมพันธ์กับชื่อ รอยืนยันการเปิด</x:v>
      </x:c>
      <x:c r="F571" s="20" t="str">
        <x:v>ยังไม่ยืนยันการเปิดให้บริการปัจจุบัน</x:v>
      </x:c>
      <x:c r="G571" s="26" t="n">
        <x:v>2</x:v>
      </x:c>
      <x:c r="H571" s="23" t="str"/>
      <x:c r="I571" s="23" t="str"/>
      <x:c r="J571" s="23" t="e">
        <x:f>HYPERLINK("https://www.wongnai.com/restaurants/495981Kz-m-chakir-coffee-di-taning-%E0%B8%A5%E0%B8%B2%E0%B8%99%E0%B8%88%E0%B8%AD%E0%B8%94%E0%B8%A3%E0%B8%96%E0%B8%A1%E0%B8%B1%E0%B8%AA%E0%B8%A2%E0%B8%B4%E0%B8%94%E0%B8%81%E0%B8%A5%E0%B8%B2%E0%B8%87-%E0%B8%9B%E0%B8%B1%E0%B8%95%E0%B8%95%E0%B8%B2%E0%B8%99%E0%B8%B5","เปิดหน้ารีวิว 1")</x:f>
        <x:v>HYPERLINK is not implemented. linkLocation=https://www.wongnai.com/restaurants/495981Kz-m-chakir-coffee-di-taning-%E0%B8%A5%E0%B8%B2%E0%B8%99%E0%B8%88%E0%B8%AD%E0%B8%94%E0%B8%A3%E0%B8%96%E0%B8%A1%E0%B8%B1%E0%B8%AA%E0%B8%A2%E0%B8%B4%E0%B8%94%E0%B8%81%E0%B8%A5%E0%B8%B2%E0%B8%87-%E0%B8%9B%E0%B8%B1%E0%B8%95%E0%B8%95%E0%B8%B2%E0%B8%99%E0%B8%B5, friendlyName=เปิดหน้ารีวิว 1</x:v>
      </x:c>
      <x:c r="K571" s="23" t="e">
        <x:f>HYPERLINK("https://www.wongnai.com/restaurants/495981Kz-m-chakir-coffee-di-taning-%E0%B8%A5%E0%B8%B2%E0%B8%99%E0%B8%88%E0%B8%AD%E0%B8%94%E0%B8%A3%E0%B8%96%E0%B8%A1%E0%B8%B1%E0%B8%AA%E0%B8%A2%E0%B8%B4%E0%B8%94%E0%B8%81%E0%B8%A5%E0%B8%B2%E0%B8%87-%E0%B8%9B%E0%B8%B1%E0%B8%95%E0%B8%95%E0%B8%B2%E0%B8%99%E0%B8%B5/reviews","เปิดหน้ารีวิว 2")</x:f>
        <x:v>HYPERLINK is not implemented. linkLocation=https://www.wongnai.com/restaurants/495981Kz-m-chakir-coffee-di-taning-%E0%B8%A5%E0%B8%B2%E0%B8%99%E0%B8%88%E0%B8%AD%E0%B8%94%E0%B8%A3%E0%B8%96%E0%B8%A1%E0%B8%B1%E0%B8%AA%E0%B8%A2%E0%B8%B4%E0%B8%94%E0%B8%81%E0%B8%A5%E0%B8%B2%E0%B8%87-%E0%B8%9B%E0%B8%B1%E0%B8%95%E0%B8%95%E0%B8%B2%E0%B8%99%E0%B8%B5/reviews, friendlyName=เปิดหน้ารีวิว 2</x:v>
      </x:c>
      <x:c r="L571" s="23" t="str"/>
      <x:c r="M571" s="23" t="str"/>
      <x:c r="N571" s="20" t="str">
        <x:v>ยังไม่ยืนยัน</x:v>
      </x:c>
      <x:c r="O57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71" s="25" t="n">
        <x:v>46315</x:v>
      </x:c>
      <x:c r="Q571" s="27" t="str">
        <x:v>ยังไม่ตรวจ</x:v>
      </x:c>
      <x:c r="R571" s="27" t="str">
        <x:v>รอติดต่อ</x:v>
      </x:c>
    </x:row>
    <x:row r="572" ht="76" customHeight="1">
      <x:c r="A572" s="24" t="str">
        <x:v>TMF-564</x:v>
      </x:c>
      <x:c r="B572" s="20" t="str">
        <x:v>Mama’s corner</x:v>
      </x:c>
      <x:c r="C572" s="20" t="str">
        <x:v>ปัตตานี</x:v>
      </x:c>
      <x:c r="D572" s="20" t="str">
        <x:v>คงไว้ในชุด 600</x:v>
      </x:c>
      <x:c r="E572" s="20" t="str">
        <x:v>พบหลายแหล่งสัมพันธ์กับชื่อ รอยืนยันการเปิด</x:v>
      </x:c>
      <x:c r="F572" s="20" t="str">
        <x:v>ยังไม่ยืนยันการเปิดให้บริการปัจจุบัน</x:v>
      </x:c>
      <x:c r="G572" s="26" t="n">
        <x:v>2</x:v>
      </x:c>
      <x:c r="H572" s="23" t="str"/>
      <x:c r="I572" s="23" t="str"/>
      <x:c r="J572" s="23" t="e">
        <x:f>HYPERLINK("https://www.wongnai.com/restaurants/2414121od-mama-s-corner-%E0%B8%9B%E0%B8%B1%E0%B8%95%E0%B8%95%E0%B8%B2%E0%B8%99%E0%B8%B5","เปิดหน้ารีวิว 1")</x:f>
        <x:v>HYPERLINK is not implemented. linkLocation=https://www.wongnai.com/restaurants/2414121od-mama-s-corner-%E0%B8%9B%E0%B8%B1%E0%B8%95%E0%B8%95%E0%B8%B2%E0%B8%99%E0%B8%B5, friendlyName=เปิดหน้ารีวิว 1</x:v>
      </x:c>
      <x:c r="K572" s="23" t="str"/>
      <x:c r="L572" s="23" t="str"/>
      <x:c r="M572" s="23" t="str"/>
      <x:c r="N572" s="20" t="str">
        <x:v>ยังไม่ยืนยัน</x:v>
      </x:c>
      <x:c r="O57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72" s="25" t="n">
        <x:v>46315</x:v>
      </x:c>
      <x:c r="Q572" s="27" t="str">
        <x:v>ยังไม่ตรวจ</x:v>
      </x:c>
      <x:c r="R572" s="27" t="str">
        <x:v>รอติดต่อ</x:v>
      </x:c>
    </x:row>
    <x:row r="573" ht="76" customHeight="1">
      <x:c r="A573" s="24" t="str">
        <x:v>TMF-565</x:v>
      </x:c>
      <x:c r="B573" s="20" t="str">
        <x:v>ครัวฮาลาลไทย-มาเลย์ ม่อนเงาะ 2</x:v>
      </x:c>
      <x:c r="C573" s="20" t="str">
        <x:v>พะเยา</x:v>
      </x:c>
      <x:c r="D573" s="20" t="str">
        <x:v>คงไว้ในชุด 600</x:v>
      </x:c>
      <x:c r="E573" s="20" t="str">
        <x:v>พบหลายแหล่งสัมพันธ์กับชื่อ รอยืนยันการเปิด</x:v>
      </x:c>
      <x:c r="F573" s="20" t="str">
        <x:v>ยังไม่ยืนยันการเปิดให้บริการปัจจุบัน</x:v>
      </x:c>
      <x:c r="G573" s="26" t="n">
        <x:v>2</x:v>
      </x:c>
      <x:c r="H573" s="23" t="str"/>
      <x:c r="I573" s="23" t="str"/>
      <x:c r="J573" s="23" t="str"/>
      <x:c r="K573" s="23" t="str"/>
      <x:c r="L573" s="23" t="e">
        <x:f>HYPERLINK("https://www.thaithurkic.com/%E0%B8%84%E0%B8%A3%E0%B8%B1%E0%B8%A7%E0%B8%A1%E0%B8%B8%E0%B8%AA%E0%B8%A5%E0%B8%B4%E0%B8%A1-%E0%B9%84%E0%B8%97%E0%B8%A2-%E0%B8%A1%E0%B8%B2%E0%B9%80%E0%B8%A5%E0%B8%A2%E0%B9%8C","เปิดเว็บเพิ่ม 1")</x:f>
        <x:v>HYPERLINK is not implemented. linkLocation=https://www.thaithurkic.com/%E0%B8%84%E0%B8%A3%E0%B8%B1%E0%B8%A7%E0%B8%A1%E0%B8%B8%E0%B8%AA%E0%B8%A5%E0%B8%B4%E0%B8%A1-%E0%B9%84%E0%B8%97%E0%B8%A2-%E0%B8%A1%E0%B8%B2%E0%B9%80%E0%B8%A5%E0%B8%A2%E0%B9%8C, friendlyName=เปิดเว็บเพิ่ม 1</x:v>
      </x:c>
      <x:c r="M573" s="23" t="str"/>
      <x:c r="N573" s="20" t="str">
        <x:v>ยังไม่ยืนยัน</x:v>
      </x:c>
      <x:c r="O573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73" s="25" t="n">
        <x:v>46315</x:v>
      </x:c>
      <x:c r="Q573" s="27" t="str">
        <x:v>ยังไม่ตรวจ</x:v>
      </x:c>
      <x:c r="R573" s="27" t="str">
        <x:v>รอติดต่อ</x:v>
      </x:c>
    </x:row>
    <x:row r="574" ht="76" customHeight="1">
      <x:c r="A574" s="24" t="str">
        <x:v>TMF-566</x:v>
      </x:c>
      <x:c r="B574" s="20" t="str">
        <x:v>สากีน๊ะ อาหารใต้</x:v>
      </x:c>
      <x:c r="C574" s="20" t="str">
        <x:v>พะเยา</x:v>
      </x:c>
      <x:c r="D574" s="20" t="str">
        <x:v>คงไว้ในชุด 600</x:v>
      </x:c>
      <x:c r="E574" s="20" t="str">
        <x:v>พบหลายแหล่งสัมพันธ์กับชื่อ รอยืนยันการเปิด</x:v>
      </x:c>
      <x:c r="F574" s="20" t="str">
        <x:v>ยังไม่ยืนยันการเปิดให้บริการปัจจุบัน</x:v>
      </x:c>
      <x:c r="G574" s="26" t="n">
        <x:v>2</x:v>
      </x:c>
      <x:c r="H574" s="23" t="str"/>
      <x:c r="I574" s="23" t="str"/>
      <x:c r="J574" s="23" t="e">
        <x:f>HYPERLINK("https://www.wongnai.com/restaurants/1194419ma-%E0%B8%8B%E0%B8%B2%E0%B8%81%E0%B8%B5%E0%B8%99%E0%B9%8A%E0%B8%B0","เปิดหน้ารีวิว 1")</x:f>
        <x:v>HYPERLINK is not implemented. linkLocation=https://www.wongnai.com/restaurants/1194419ma-%E0%B8%8B%E0%B8%B2%E0%B8%81%E0%B8%B5%E0%B8%99%E0%B9%8A%E0%B8%B0, friendlyName=เปิดหน้ารีวิว 1</x:v>
      </x:c>
      <x:c r="K574" s="23" t="str"/>
      <x:c r="L574" s="23" t="str"/>
      <x:c r="M574" s="23" t="str"/>
      <x:c r="N574" s="20" t="str">
        <x:v>ยังไม่ยืนยัน</x:v>
      </x:c>
      <x:c r="O57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74" s="25" t="n">
        <x:v>46315</x:v>
      </x:c>
      <x:c r="Q574" s="27" t="str">
        <x:v>ยังไม่ตรวจ</x:v>
      </x:c>
      <x:c r="R574" s="27" t="str">
        <x:v>รอติดต่อ</x:v>
      </x:c>
    </x:row>
    <x:row r="575" ht="76" customHeight="1">
      <x:c r="A575" s="24" t="str">
        <x:v>TMF-567</x:v>
      </x:c>
      <x:c r="B575" s="20" t="str">
        <x:v>เกาะปันหยี</x:v>
      </x:c>
      <x:c r="C575" s="20" t="str">
        <x:v>พังงา</x:v>
      </x:c>
      <x:c r="D575" s="20" t="str">
        <x:v>คงไว้ในชุด 600</x:v>
      </x:c>
      <x:c r="E575" s="20" t="str">
        <x:v>พบหลายแหล่งสัมพันธ์กับชื่อ รอยืนยันการเปิด</x:v>
      </x:c>
      <x:c r="F575" s="20" t="str">
        <x:v>ยังไม่ยืนยันการเปิดให้บริการปัจจุบัน</x:v>
      </x:c>
      <x:c r="G575" s="26" t="n">
        <x:v>9</x:v>
      </x:c>
      <x:c r="H575" s="23" t="str"/>
      <x:c r="I575" s="23" t="str"/>
      <x:c r="J575" s="23" t="e">
        <x:f>HYPERLINK("https://th.tripadvisor.com/Attraction_Review-g303917-d553529-Reviews-Koh_Panyi-Phang_Nga_Phang_Nga_Province.html","เปิดหน้ารีวิว 1")</x:f>
        <x:v>HYPERLINK is not implemented. linkLocation=https://th.tripadvisor.com/Attraction_Review-g303917-d553529-Reviews-Koh_Panyi-Phang_Nga_Phang_Nga_Province.html, friendlyName=เปิดหน้ารีวิว 1</x:v>
      </x:c>
      <x:c r="K575" s="23" t="e">
        <x:f>HYPERLINK("https://th.tripadvisor.com/Attraction_Review-g1152716-d7614197-Reviews-Ko_Panyi-Ao_Phang_Nga_National_Park_Phang_Nga_Province.html","เปิดหน้ารีวิว 2")</x:f>
        <x:v>HYPERLINK is not implemented. linkLocation=https://th.tripadvisor.com/Attraction_Review-g1152716-d7614197-Reviews-Ko_Panyi-Ao_Phang_Nga_National_Park_Phang_Nga_Province.html, friendlyName=เปิดหน้ารีวิว 2</x:v>
      </x:c>
      <x:c r="L575" s="23" t="e">
        <x:f>HYPERLINK("https://reviewphangnga.com/show/read/2/10","เปิดเว็บเพิ่ม 1")</x:f>
        <x:v>HYPERLINK is not implemented. linkLocation=https://reviewphangnga.com/show/read/2/10, friendlyName=เปิดเว็บเพิ่ม 1</x:v>
      </x:c>
      <x:c r="M575" s="23" t="e">
        <x:f>HYPERLINK("https://pantip.com/topic/33675681","เปิดเว็บเพิ่ม 2")</x:f>
        <x:v>HYPERLINK is not implemented. linkLocation=https://pantip.com/topic/33675681, friendlyName=เปิดเว็บเพิ่ม 2</x:v>
      </x:c>
      <x:c r="N575" s="20" t="str">
        <x:v>ยังไม่ยืนยัน</x:v>
      </x:c>
      <x:c r="O57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75" s="25" t="n">
        <x:v>46315</x:v>
      </x:c>
      <x:c r="Q575" s="27" t="str">
        <x:v>ยังไม่ตรวจ</x:v>
      </x:c>
      <x:c r="R575" s="27" t="str">
        <x:v>รอติดต่อ</x:v>
      </x:c>
    </x:row>
    <x:row r="576" ht="76" customHeight="1">
      <x:c r="A576" s="24" t="str">
        <x:v>TMF-568</x:v>
      </x:c>
      <x:c r="B576" s="20" t="str">
        <x:v>อุทยานแห่งชาติอ่าวพังงา</x:v>
      </x:c>
      <x:c r="C576" s="20" t="str">
        <x:v>พังงา</x:v>
      </x:c>
      <x:c r="D576" s="20" t="str">
        <x:v>คงไว้ในชุด 600</x:v>
      </x:c>
      <x:c r="E576" s="20" t="str">
        <x:v>พบหลายแหล่งสัมพันธ์กับชื่อ รอยืนยันการเปิด</x:v>
      </x:c>
      <x:c r="F576" s="20" t="str">
        <x:v>ยังไม่ยืนยันการเปิดให้บริการปัจจุบัน</x:v>
      </x:c>
      <x:c r="G576" s="26" t="n">
        <x:v>7</x:v>
      </x:c>
      <x:c r="H576" s="23" t="str"/>
      <x:c r="I576" s="23" t="str"/>
      <x:c r="J576" s="23" t="e">
        <x:f>HYPERLINK("https://wanderlog.com/th/place/details/473068/%E0%B8%AD%E0%B8%97%E0%B8%A2%E0%B8%B2%E0%B8%99%E0%B9%81%E0%B8%AB%E0%B8%87%E0%B8%8A%E0%B8%B2%E0%B8%95%E0%B8%AD%E0%B8%B2%E0%B8%A7%E0%B8%9E%E0%B8%87%E0%B8%87%E0%B8%B2","เปิดหน้ารีวิว 1")</x:f>
        <x:v>HYPERLINK is not implemented. linkLocation=https://wanderlog.com/th/place/details/473068/%E0%B8%AD%E0%B8%97%E0%B8%A2%E0%B8%B2%E0%B8%99%E0%B9%81%E0%B8%AB%E0%B8%87%E0%B8%8A%E0%B8%B2%E0%B8%95%E0%B8%AD%E0%B8%B2%E0%B8%A7%E0%B8%9E%E0%B8%87%E0%B8%87%E0%B8%B2, friendlyName=เปิดหน้ารีวิว 1</x:v>
      </x:c>
      <x:c r="K576" s="23" t="e">
        <x:f>HYPERLINK("https://th.tripadvisor.com/Attraction_Review-g1152716-d317707-Reviews-Phang_Nga_Bay-Ao_Phang_Nga_National_Park_Phang_Nga_Province.html","เปิดหน้ารีวิว 2")</x:f>
        <x:v>HYPERLINK is not implemented. linkLocation=https://th.tripadvisor.com/Attraction_Review-g1152716-d317707-Reviews-Phang_Nga_Bay-Ao_Phang_Nga_National_Park_Phang_Nga_Province.html, friendlyName=เปิดหน้ารีวิว 2</x:v>
      </x:c>
      <x:c r="L576" s="23" t="e">
        <x:f>HYPERLINK("https://www.yellowpages.co.th/profile/%E0%B8%AD%E0%B8%B8%E0%B8%97%E0%B8%A2%E0%B8%B2%E0%B8%99%E0%B9%81%E0%B8%AB%E0%B9%88%E0%B8%87%E0%B8%8A%E0%B8%B2%E0%B8%95%E0%B8%B4%E0%B8%AD%E0%B9%88%E0%B8%B2%E0%B8%A7%E0%B8%9E%E0%B8%B1%E0%B8%87%E0%B8%87%E0%B8%B2-8MDHg9KZ4","เปิดเว็บเพิ่ม 1")</x:f>
        <x:v>HYPERLINK is not implemented. linkLocation=https://www.yellowpages.co.th/profile/%E0%B8%AD%E0%B8%B8%E0%B8%97%E0%B8%A2%E0%B8%B2%E0%B8%99%E0%B9%81%E0%B8%AB%E0%B9%88%E0%B8%87%E0%B8%8A%E0%B8%B2%E0%B8%95%E0%B8%B4%E0%B8%AD%E0%B9%88%E0%B8%B2%E0%B8%A7%E0%B8%9E%E0%B8%B1%E0%B8%87%E0%B8%87%E0%B8%B2-8MDHg9KZ4, friendlyName=เปิดเว็บเพิ่ม 1</x:v>
      </x:c>
      <x:c r="M576" s="23" t="e">
        <x:f>HYPERLINK("https://www.gplace.com/2148","เปิดเว็บเพิ่ม 2")</x:f>
        <x:v>HYPERLINK is not implemented. linkLocation=https://www.gplace.com/2148, friendlyName=เปิดเว็บเพิ่ม 2</x:v>
      </x:c>
      <x:c r="N576" s="20" t="str">
        <x:v>ยังไม่ยืนยัน</x:v>
      </x:c>
      <x:c r="O57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76" s="25" t="n">
        <x:v>46315</x:v>
      </x:c>
      <x:c r="Q576" s="27" t="str">
        <x:v>ยังไม่ตรวจ</x:v>
      </x:c>
      <x:c r="R576" s="27" t="str">
        <x:v>รอติดต่อ</x:v>
      </x:c>
    </x:row>
    <x:row r="577" ht="76" customHeight="1">
      <x:c r="A577" s="24" t="str">
        <x:v>TMF-569</x:v>
      </x:c>
      <x:c r="B577" s="20" t="str">
        <x:v>บ้านบางโรง</x:v>
      </x:c>
      <x:c r="C577" s="20" t="str">
        <x:v>ภูเก็ต</x:v>
      </x:c>
      <x:c r="D577" s="20" t="str">
        <x:v>คงไว้ในชุด 600</x:v>
      </x:c>
      <x:c r="E577" s="20" t="str">
        <x:v>พบหลายแหล่งสัมพันธ์กับชื่อ รอยืนยันการเปิด</x:v>
      </x:c>
      <x:c r="F577" s="20" t="str">
        <x:v>ยังไม่ยืนยันการเปิดให้บริการปัจจุบัน</x:v>
      </x:c>
      <x:c r="G577" s="26" t="n">
        <x:v>8</x:v>
      </x:c>
      <x:c r="H577" s="23" t="str"/>
      <x:c r="I577" s="23" t="str"/>
      <x:c r="J577" s="23" t="e">
        <x:f>HYPERLINK("https://www.wongnai.com/restaurants/245848TE-%E0%B8%84%E0%B8%A3%E0%B8%B1%E0%B8%A7%E0%B8%8A%E0%B8%B8%E0%B8%A1%E0%B8%8A%E0%B8%99%E0%B8%9A%E0%B9%89%E0%B8%B2%E0%B8%99%E0%B8%9A%E0%B8%B2%E0%B8%87%E0%B9%82%E0%B8%A3%E0%B8%87","เปิดหน้ารีวิว 1")</x:f>
        <x:v>HYPERLINK is not implemented. linkLocation=https://www.wongnai.com/restaurants/245848TE-%E0%B8%84%E0%B8%A3%E0%B8%B1%E0%B8%A7%E0%B8%8A%E0%B8%B8%E0%B8%A1%E0%B8%8A%E0%B8%99%E0%B8%9A%E0%B9%89%E0%B8%B2%E0%B8%99%E0%B8%9A%E0%B8%B2%E0%B8%87%E0%B9%82%E0%B8%A3%E0%B8%87, friendlyName=เปิดหน้ารีวิว 1</x:v>
      </x:c>
      <x:c r="K577" s="23" t="e">
        <x:f>HYPERLINK("https://www.wongnai.com/restaurants/245848TE-%E0%B8%84%E0%B8%A3%E0%B8%B1%E0%B8%A7%E0%B8%8A%E0%B8%B8%E0%B8%A1%E0%B8%8A%E0%B8%99%E0%B8%9A%E0%B9%89%E0%B8%B2%E0%B8%99%E0%B8%9A%E0%B8%B2%E0%B8%87%E0%B9%82%E0%B8%A3%E0%B8%87/reviews","เปิดหน้ารีวิว 2")</x:f>
        <x:v>HYPERLINK is not implemented. linkLocation=https://www.wongnai.com/restaurants/245848TE-%E0%B8%84%E0%B8%A3%E0%B8%B1%E0%B8%A7%E0%B8%8A%E0%B8%B8%E0%B8%A1%E0%B8%8A%E0%B8%99%E0%B8%9A%E0%B9%89%E0%B8%B2%E0%B8%99%E0%B8%9A%E0%B8%B2%E0%B8%87%E0%B9%82%E0%B8%A3%E0%B8%87/reviews, friendlyName=เปิดหน้ารีวิว 2</x:v>
      </x:c>
      <x:c r="L577" s="23" t="e">
        <x:f>HYPERLINK("https://cbtthailand.dasta.or.th/webapp/relattraction/content/1881/","เปิดเว็บเพิ่ม 1")</x:f>
        <x:v>HYPERLINK is not implemented. linkLocation=https://cbtthailand.dasta.or.th/webapp/relattraction/content/1881/, friendlyName=เปิดเว็บเพิ่ม 1</x:v>
      </x:c>
      <x:c r="M577" s="23" t="e">
        <x:f>HYPERLINK("https://www.thaipbs.or.th/news/content/322418","เปิดเว็บเพิ่ม 2")</x:f>
        <x:v>HYPERLINK is not implemented. linkLocation=https://www.thaipbs.or.th/news/content/322418, friendlyName=เปิดเว็บเพิ่ม 2</x:v>
      </x:c>
      <x:c r="N577" s="20" t="str">
        <x:v>ยังไม่ยืนยัน</x:v>
      </x:c>
      <x:c r="O57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77" s="25" t="n">
        <x:v>46315</x:v>
      </x:c>
      <x:c r="Q577" s="27" t="str">
        <x:v>ยังไม่ตรวจ</x:v>
      </x:c>
      <x:c r="R577" s="27" t="str">
        <x:v>รอติดต่อ</x:v>
      </x:c>
    </x:row>
    <x:row r="578" ht="96" customHeight="1">
      <x:c r="A578" s="24" t="str">
        <x:v>TMF-570</x:v>
      </x:c>
      <x:c r="B578" s="20" t="str">
        <x:v>Billion food Thai-Indian Restaurant  2</x:v>
      </x:c>
      <x:c r="C578" s="20" t="str">
        <x:v>ภูเก็ต</x:v>
      </x:c>
      <x:c r="D578" s="20" t="str">
        <x:v>คงไว้ในชุด 600</x:v>
      </x:c>
      <x:c r="E578" s="20" t="str">
        <x:v>หลักฐานไม่พอ รอยืนยันการเปิด</x:v>
      </x:c>
      <x:c r="F578" s="20" t="str">
        <x:v>ยังไม่ยืนยันการเปิดให้บริการปัจจุบัน</x:v>
      </x:c>
      <x:c r="G578" s="26" t="n">
        <x:v>1</x:v>
      </x:c>
      <x:c r="H578" s="23" t="str"/>
      <x:c r="I578" s="23" t="str"/>
      <x:c r="J578" s="23" t="str"/>
      <x:c r="K578" s="23" t="str"/>
      <x:c r="L578" s="23" t="str"/>
      <x:c r="M578" s="23" t="str"/>
      <x:c r="N578" s="20" t="str">
        <x:v>ยังไม่ยืนยัน</x:v>
      </x:c>
      <x:c r="O57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78" s="25" t="n">
        <x:v>46315</x:v>
      </x:c>
      <x:c r="Q578" s="27" t="str">
        <x:v>ยังไม่ตรวจ</x:v>
      </x:c>
      <x:c r="R578" s="27" t="str">
        <x:v>รอติดต่อ</x:v>
      </x:c>
    </x:row>
    <x:row r="579" ht="76" customHeight="1">
      <x:c r="A579" s="24" t="str">
        <x:v>TMF-571</x:v>
      </x:c>
      <x:c r="B579" s="20" t="str">
        <x:v>SairaBakery ไซร่าเบเกอรี่ฮาลาล เค้กภูเก็ต</x:v>
      </x:c>
      <x:c r="C579" s="20" t="str">
        <x:v>ภูเก็ต</x:v>
      </x:c>
      <x:c r="D579" s="20" t="str">
        <x:v>คงไว้ในชุด 600</x:v>
      </x:c>
      <x:c r="E579" s="20" t="str">
        <x:v>พบหลายแหล่งสัมพันธ์กับชื่อ รอยืนยันการเปิด</x:v>
      </x:c>
      <x:c r="F579" s="20" t="str">
        <x:v>ยังไม่ยืนยันการเปิดให้บริการปัจจุบัน</x:v>
      </x:c>
      <x:c r="G579" s="26" t="n">
        <x:v>2</x:v>
      </x:c>
      <x:c r="H579" s="23" t="str"/>
      <x:c r="I579" s="23" t="str"/>
      <x:c r="J579" s="23" t="str"/>
      <x:c r="K579" s="23" t="str"/>
      <x:c r="L579" s="23" t="e">
        <x:f>HYPERLINK("https://www.thaithurkic.com/saira-bakery-%E0%B9%84%E0%B8%8B%E0%B8%A3%E0%B9%88%E0%B8%B2%E0%B9%80%E0%B8%9A%E0%B9%80%E0%B8%81%E0%B8%AD%E0%B8%A3%E0%B8%B5%E0%B9%88-%E0%B8%AE%E0%B8%B2%E0%B8%A5%E0%B8%B2%E0%B8%A5-%E0%B8%A0%E0%B8%B9%E0%B9%80%E0%B8%81%E0%B9%87%E0%B8%95-095-426-4956","เปิดเว็บเพิ่ม 1")</x:f>
        <x:v>HYPERLINK is not implemented. linkLocation=https://www.thaithurkic.com/saira-bakery-%E0%B9%84%E0%B8%8B%E0%B8%A3%E0%B9%88%E0%B8%B2%E0%B9%80%E0%B8%9A%E0%B9%80%E0%B8%81%E0%B8%AD%E0%B8%A3%E0%B8%B5%E0%B9%88-%E0%B8%AE%E0%B8%B2%E0%B8%A5%E0%B8%B2%E0%B8%A5-%E0%B8%A0%E0%B8%B9%E0%B9%80%E0%B8%81%E0%B9%87%E0%B8%95-095-426-4956, friendlyName=เปิดเว็บเพิ่ม 1</x:v>
      </x:c>
      <x:c r="M579" s="23" t="str"/>
      <x:c r="N579" s="20" t="str">
        <x:v>ยังไม่ยืนยัน</x:v>
      </x:c>
      <x:c r="O579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79" s="25" t="n">
        <x:v>46315</x:v>
      </x:c>
      <x:c r="Q579" s="27" t="str">
        <x:v>ยังไม่ตรวจ</x:v>
      </x:c>
      <x:c r="R579" s="27" t="str">
        <x:v>รอติดต่อ</x:v>
      </x:c>
    </x:row>
    <x:row r="580" ht="76" customHeight="1">
      <x:c r="A580" s="24" t="str">
        <x:v>TMF-572</x:v>
      </x:c>
      <x:c r="B580" s="20" t="str">
        <x:v>ระฟ้าภูเก็ต ติ่มซำฮาลาล สาขา 2</x:v>
      </x:c>
      <x:c r="C580" s="20" t="str">
        <x:v>ภูเก็ต</x:v>
      </x:c>
      <x:c r="D580" s="20" t="str">
        <x:v>คงไว้ในชุด 600</x:v>
      </x:c>
      <x:c r="E580" s="20" t="str">
        <x:v>พบหลายแหล่งสัมพันธ์กับชื่อ รอยืนยันการเปิด</x:v>
      </x:c>
      <x:c r="F580" s="20" t="str">
        <x:v>ยังไม่ยืนยันการเปิดให้บริการปัจจุบัน</x:v>
      </x:c>
      <x:c r="G580" s="26" t="n">
        <x:v>2</x:v>
      </x:c>
      <x:c r="H580" s="23" t="str"/>
      <x:c r="I580" s="23" t="str"/>
      <x:c r="J580" s="23" t="e">
        <x:f>HYPERLINK("https://www.wongnai.com/restaurants/447277fd-%E0%B8%A3%E0%B8%B0%E0%B8%9F%E0%B9%89%E0%B8%B2%E0%B8%A0%E0%B8%B9%E0%B9%80%E0%B8%81%E0%B9%87%E0%B8%95-%E0%B8%A3%E0%B8%B0%E0%B8%9F%E0%B9%89%E0%B8%B2%E0%B8%A0%E0%B8%B9%E0%B9%80%E0%B8%81%E0%B9%87%E0%B8%95-%E0%B8%AA%E0%B8%B2%E0%B8%82%E0%B8%B22","เปิดหน้ารีวิว 1")</x:f>
        <x:v>HYPERLINK is not implemented. linkLocation=https://www.wongnai.com/restaurants/447277fd-%E0%B8%A3%E0%B8%B0%E0%B8%9F%E0%B9%89%E0%B8%B2%E0%B8%A0%E0%B8%B9%E0%B9%80%E0%B8%81%E0%B9%87%E0%B8%95-%E0%B8%A3%E0%B8%B0%E0%B8%9F%E0%B9%89%E0%B8%B2%E0%B8%A0%E0%B8%B9%E0%B9%80%E0%B8%81%E0%B9%87%E0%B8%95-%E0%B8%AA%E0%B8%B2%E0%B8%82%E0%B8%B22, friendlyName=เปิดหน้ารีวิว 1</x:v>
      </x:c>
      <x:c r="K580" s="23" t="e">
        <x:f>HYPERLINK("https://www.wongnai.com/restaurants/219271an-%E0%B8%A3%E0%B8%B0%E0%B8%9F%E0%B9%89%E0%B8%B2%E0%B8%A0%E0%B8%B9%E0%B9%80%E0%B8%81%E0%B9%87%E0%B8%95-%E0%B8%95%E0%B8%B4%E0%B9%88%E0%B8%A1%E0%B8%8B%E0%B8%B3%E0%B8%AE%E0%B8%B2%E0%B8%A5%E0%B8%B2%E0%B8%A5-%E0%B8%A0%E0%B8%B9%E0%B9%80%E0%B8%81%E0%B9%87%E0%B8%95-%E0%B8%81%E0%B8%B9%E0%B9%89%E0%B8%81%E0%B8%B9","เปิดหน้ารีวิว 2")</x:f>
        <x:v>HYPERLINK is not implemented. linkLocation=https://www.wongnai.com/restaurants/219271an-%E0%B8%A3%E0%B8%B0%E0%B8%9F%E0%B9%89%E0%B8%B2%E0%B8%A0%E0%B8%B9%E0%B9%80%E0%B8%81%E0%B9%87%E0%B8%95-%E0%B8%95%E0%B8%B4%E0%B9%88%E0%B8%A1%E0%B8%8B%E0%B8%B3%E0%B8%AE%E0%B8%B2%E0%B8%A5%E0%B8%B2%E0%B8%A5-%E0%B8%A0%E0%B8%B9%E0%B9%80%E0%B8%81%E0%B9%87%E0%B8%95-%E0%B8%81%E0%B8%B9%E0%B9%89%E0%B8%81%E0%B8%B9, friendlyName=เปิดหน้ารีวิว 2</x:v>
      </x:c>
      <x:c r="L580" s="23" t="str"/>
      <x:c r="M580" s="23" t="str"/>
      <x:c r="N580" s="20" t="str">
        <x:v>ยังไม่ยืนยัน</x:v>
      </x:c>
      <x:c r="O58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80" s="25" t="n">
        <x:v>46315</x:v>
      </x:c>
      <x:c r="Q580" s="27" t="str">
        <x:v>ยังไม่ตรวจ</x:v>
      </x:c>
      <x:c r="R580" s="27" t="str">
        <x:v>รอติดต่อ</x:v>
      </x:c>
    </x:row>
    <x:row r="581" ht="96" customHeight="1">
      <x:c r="A581" s="24" t="str">
        <x:v>TMF-573</x:v>
      </x:c>
      <x:c r="B581" s="20" t="str">
        <x:v>ร้านข้าวแกงฮาริษา Harisa's Curries Rice Factory</x:v>
      </x:c>
      <x:c r="C581" s="20" t="str">
        <x:v>ภูเก็ต</x:v>
      </x:c>
      <x:c r="D581" s="20" t="str">
        <x:v>คงไว้ในชุด 600</x:v>
      </x:c>
      <x:c r="E581" s="20" t="str">
        <x:v>หลักฐานไม่พอ รอยืนยันการเปิด</x:v>
      </x:c>
      <x:c r="F581" s="20" t="str">
        <x:v>ยังไม่ยืนยันการเปิดให้บริการปัจจุบัน</x:v>
      </x:c>
      <x:c r="G581" s="26" t="n">
        <x:v>1</x:v>
      </x:c>
      <x:c r="H581" s="23" t="str"/>
      <x:c r="I581" s="23" t="str"/>
      <x:c r="J581" s="23" t="str"/>
      <x:c r="K581" s="23" t="str"/>
      <x:c r="L581" s="23" t="str"/>
      <x:c r="M581" s="23" t="str"/>
      <x:c r="N581" s="20" t="str">
        <x:v>ยังไม่ยืนยัน</x:v>
      </x:c>
      <x:c r="O581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81" s="25" t="n">
        <x:v>46315</x:v>
      </x:c>
      <x:c r="Q581" s="27" t="str">
        <x:v>ยังไม่ตรวจ</x:v>
      </x:c>
      <x:c r="R581" s="27" t="str">
        <x:v>รอติดต่อ</x:v>
      </x:c>
    </x:row>
    <x:row r="582" ht="76" customHeight="1">
      <x:c r="A582" s="24" t="str">
        <x:v>TMF-574</x:v>
      </x:c>
      <x:c r="B582" s="20" t="str">
        <x:v>อรุณโภชนา</x:v>
      </x:c>
      <x:c r="C582" s="20" t="str">
        <x:v>ภูเก็ต</x:v>
      </x:c>
      <x:c r="D582" s="20" t="str">
        <x:v>คงไว้ในชุด 600</x:v>
      </x:c>
      <x:c r="E582" s="20" t="str">
        <x:v>พบหลายแหล่งสัมพันธ์กับชื่อ รอยืนยันการเปิด</x:v>
      </x:c>
      <x:c r="F582" s="20" t="str">
        <x:v>ยังไม่ยืนยันการเปิดให้บริการปัจจุบัน</x:v>
      </x:c>
      <x:c r="G582" s="26" t="n">
        <x:v>4</x:v>
      </x:c>
      <x:c r="H582" s="23" t="str"/>
      <x:c r="I582" s="23" t="str"/>
      <x:c r="J582" s="23" t="e">
        <x:f>HYPERLINK("https://www.wongnai.com/restaurants/12938Dc-%E0%B8%AD%E0%B8%A3%E0%B8%B8%E0%B8%93%E0%B9%82%E0%B8%A0%E0%B8%8A%E0%B8%99%E0%B8%B2-%E0%B8%AE%E0%B8%B2%E0%B8%A5%E0%B8%B2%E0%B8%A5%E0%B8%9F%E0%B8%B9%E0%B9%89%E0%B8%94-%E0%B8%AD%E0%B8%A3%E0%B8%B8%E0%B8%93%E0%B9%82%E0%B8%A0%E0%B8%8A%E0%B8%99%E0%B8%B2-%E0%B8%AE%E0%B8%B2%E0%B8%A5%E0%B8%B2%E0%B8%A5%E0%B8%9F%E0%B8%B9%E0%B9%89%E0%B8%94/reviews","เปิดหน้ารีวิว 1")</x:f>
        <x:v>HYPERLINK is not implemented. linkLocation=https://www.wongnai.com/restaurants/12938Dc-%E0%B8%AD%E0%B8%A3%E0%B8%B8%E0%B8%93%E0%B9%82%E0%B8%A0%E0%B8%8A%E0%B8%99%E0%B8%B2-%E0%B8%AE%E0%B8%B2%E0%B8%A5%E0%B8%B2%E0%B8%A5%E0%B8%9F%E0%B8%B9%E0%B9%89%E0%B8%94-%E0%B8%AD%E0%B8%A3%E0%B8%B8%E0%B8%93%E0%B9%82%E0%B8%A0%E0%B8%8A%E0%B8%99%E0%B8%B2-%E0%B8%AE%E0%B8%B2%E0%B8%A5%E0%B8%B2%E0%B8%A5%E0%B8%9F%E0%B8%B9%E0%B9%89%E0%B8%94/reviews, friendlyName=เปิดหน้ารีวิว 1</x:v>
      </x:c>
      <x:c r="K582" s="23" t="e">
        <x:f>HYPERLINK("https://th.tripadvisor.com/Restaurant_Review-g2315818-d13421777-Reviews-Aroon_Restaurant-Talat_Yai_Phuket_Town_Phuket.html","เปิดหน้ารีวิว 2")</x:f>
        <x:v>HYPERLINK is not implemented. linkLocation=https://th.tripadvisor.com/Restaurant_Review-g2315818-d13421777-Reviews-Aroon_Restaurant-Talat_Yai_Phuket_Town_Phuket.html, friendlyName=เปิดหน้ารีวิว 2</x:v>
      </x:c>
      <x:c r="L582" s="23" t="str"/>
      <x:c r="M582" s="23" t="str"/>
      <x:c r="N582" s="20" t="str">
        <x:v>ยังไม่ยืนยัน</x:v>
      </x:c>
      <x:c r="O58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82" s="25" t="n">
        <x:v>46315</x:v>
      </x:c>
      <x:c r="Q582" s="27" t="str">
        <x:v>ยังไม่ตรวจ</x:v>
      </x:c>
      <x:c r="R582" s="27" t="str">
        <x:v>รอติดต่อ</x:v>
      </x:c>
    </x:row>
    <x:row r="583" ht="96" customHeight="1">
      <x:c r="A583" s="24" t="str">
        <x:v>TMF-575</x:v>
      </x:c>
      <x:c r="B583" s="20" t="str">
        <x:v>โอเอซิสสปา ทรอปิคอลรีทรีต ลากูน่า</x:v>
      </x:c>
      <x:c r="C583" s="20" t="str">
        <x:v>ภูเก็ต</x:v>
      </x:c>
      <x:c r="D583" s="20" t="str">
        <x:v>คงไว้ในชุด 600</x:v>
      </x:c>
      <x:c r="E583" s="20" t="str">
        <x:v>หลักฐานไม่พอ รอยืนยันการเปิด</x:v>
      </x:c>
      <x:c r="F583" s="20" t="str">
        <x:v>ยังไม่ยืนยันการเปิดให้บริการปัจจุบัน</x:v>
      </x:c>
      <x:c r="G583" s="26" t="n">
        <x:v>1</x:v>
      </x:c>
      <x:c r="H583" s="23" t="str"/>
      <x:c r="I583" s="23" t="str"/>
      <x:c r="J583" s="23" t="str"/>
      <x:c r="K583" s="23" t="str"/>
      <x:c r="L583" s="23" t="str"/>
      <x:c r="M583" s="23" t="str"/>
      <x:c r="N583" s="20" t="str">
        <x:v>ยังไม่ยืนยัน</x:v>
      </x:c>
      <x:c r="O583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83" s="25" t="n">
        <x:v>46315</x:v>
      </x:c>
      <x:c r="Q583" s="27" t="str">
        <x:v>ยังไม่ตรวจ</x:v>
      </x:c>
      <x:c r="R583" s="27" t="str">
        <x:v>รอติดต่อ</x:v>
      </x:c>
    </x:row>
    <x:row r="584" ht="96" customHeight="1">
      <x:c r="A584" s="24" t="str">
        <x:v>TMF-576</x:v>
      </x:c>
      <x:c r="B584" s="20" t="str">
        <x:v>โอเอซิสสปา สกายบรีซ กะตะ</x:v>
      </x:c>
      <x:c r="C584" s="20" t="str">
        <x:v>ภูเก็ต</x:v>
      </x:c>
      <x:c r="D584" s="20" t="str">
        <x:v>คงไว้ในชุด 600</x:v>
      </x:c>
      <x:c r="E584" s="20" t="str">
        <x:v>หลักฐานไม่พอ รอยืนยันการเปิด</x:v>
      </x:c>
      <x:c r="F584" s="20" t="str">
        <x:v>ยังไม่ยืนยันการเปิดให้บริการปัจจุบัน</x:v>
      </x:c>
      <x:c r="G584" s="26" t="n">
        <x:v>1</x:v>
      </x:c>
      <x:c r="H584" s="23" t="str"/>
      <x:c r="I584" s="23" t="str"/>
      <x:c r="J584" s="23" t="str"/>
      <x:c r="K584" s="23" t="str"/>
      <x:c r="L584" s="23" t="str"/>
      <x:c r="M584" s="23" t="str"/>
      <x:c r="N584" s="20" t="str">
        <x:v>ยังไม่ยืนยัน</x:v>
      </x:c>
      <x:c r="O584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84" s="25" t="n">
        <x:v>46315</x:v>
      </x:c>
      <x:c r="Q584" s="27" t="str">
        <x:v>ยังไม่ตรวจ</x:v>
      </x:c>
      <x:c r="R584" s="27" t="str">
        <x:v>รอติดต่อ</x:v>
      </x:c>
    </x:row>
    <x:row r="585" ht="96" customHeight="1">
      <x:c r="A585" s="24" t="str">
        <x:v>TMF-577</x:v>
      </x:c>
      <x:c r="B585" s="20" t="str">
        <x:v>โอเอซิสสปา เทอร์ควอยซ์โคฟ กมลา</x:v>
      </x:c>
      <x:c r="C585" s="20" t="str">
        <x:v>ภูเก็ต</x:v>
      </x:c>
      <x:c r="D585" s="20" t="str">
        <x:v>คงไว้ในชุด 600</x:v>
      </x:c>
      <x:c r="E585" s="20" t="str">
        <x:v>หลักฐานไม่พอ รอยืนยันการเปิด</x:v>
      </x:c>
      <x:c r="F585" s="20" t="str">
        <x:v>ยังไม่ยืนยันการเปิดให้บริการปัจจุบัน</x:v>
      </x:c>
      <x:c r="G585" s="26" t="n">
        <x:v>1</x:v>
      </x:c>
      <x:c r="H585" s="23" t="str"/>
      <x:c r="I585" s="23" t="str"/>
      <x:c r="J585" s="23" t="str"/>
      <x:c r="K585" s="23" t="str"/>
      <x:c r="L585" s="23" t="str"/>
      <x:c r="M585" s="23" t="str"/>
      <x:c r="N585" s="20" t="str">
        <x:v>ยังไม่ยืนยัน</x:v>
      </x:c>
      <x:c r="O585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85" s="25" t="n">
        <x:v>46315</x:v>
      </x:c>
      <x:c r="Q585" s="27" t="str">
        <x:v>ยังไม่ตรวจ</x:v>
      </x:c>
      <x:c r="R585" s="27" t="str">
        <x:v>รอติดต่อ</x:v>
      </x:c>
    </x:row>
    <x:row r="586" ht="76" customHeight="1">
      <x:c r="A586" s="24" t="str">
        <x:v>TMF-578</x:v>
      </x:c>
      <x:c r="B586" s="20" t="str">
        <x:v>แหลมพรหมเทพ</x:v>
      </x:c>
      <x:c r="C586" s="20" t="str">
        <x:v>ภูเก็ต</x:v>
      </x:c>
      <x:c r="D586" s="20" t="str">
        <x:v>คงไว้ในชุด 600</x:v>
      </x:c>
      <x:c r="E586" s="20" t="str">
        <x:v>พบหลายแหล่งสัมพันธ์กับชื่อ รอยืนยันการเปิด</x:v>
      </x:c>
      <x:c r="F586" s="20" t="str">
        <x:v>ยังไม่ยืนยันการเปิดให้บริการปัจจุบัน</x:v>
      </x:c>
      <x:c r="G586" s="26" t="n">
        <x:v>12</x:v>
      </x:c>
      <x:c r="H586" s="23" t="str"/>
      <x:c r="I586" s="23" t="str"/>
      <x:c r="J586" s="23" t="e">
        <x:f>HYPERLINK("https://www.wongnai.com/attractions/330013Oa-%E0%B9%81%E0%B8%AB%E0%B8%A5%E0%B8%A1%E0%B8%9E%E0%B8%A3%E0%B8%AB%E0%B8%A1%E0%B9%80%E0%B8%97%E0%B8%9E?_st=cD05O2I9MzMwMDEzO2FkPWZhbHNlO3Q9MTc5MDEyOTU4NTUyMDtyaT0xWDdiZGZUSGtMdkkzcFpQZk9hV3ZKTjVxRlo2OUw7aT0xWDcxNnpFc0VJblRXMkoxZ1oyekRFcDdOandFbjI7d3JlZj1zcjs%3D","เปิดหน้ารีวิว 1")</x:f>
        <x:v>HYPERLINK is not implemented. linkLocation=https://www.wongnai.com/attractions/330013Oa-%E0%B9%81%E0%B8%AB%E0%B8%A5%E0%B8%A1%E0%B8%9E%E0%B8%A3%E0%B8%AB%E0%B8%A1%E0%B9%80%E0%B8%97%E0%B8%9E?_st=cD05O2I9MzMwMDEzO2FkPWZhbHNlO3Q9MTc5MDEyOTU4NTUyMDtyaT0xWDdiZGZUSGtMdkkzcFpQZk9hV3ZKTjVxRlo2OUw7aT0xWDcxNnpFc0VJblRXMkoxZ1oyekRFcDdOandFbjI7d3JlZj1zcjs%3D, friendlyName=เปิดหน้ารีวิว 1</x:v>
      </x:c>
      <x:c r="K586" s="23" t="e">
        <x:f>HYPERLINK("https://th.tripadvisor.com/Attraction_Review-g297934-d553523-Reviews-Promthep_Cape-Rawai_Phuket.html","เปิดหน้ารีวิว 2")</x:f>
        <x:v>HYPERLINK is not implemented. linkLocation=https://th.tripadvisor.com/Attraction_Review-g297934-d553523-Reviews-Promthep_Cape-Rawai_Phuket.html, friendlyName=เปิดหน้ารีวิว 2</x:v>
      </x:c>
      <x:c r="L586" s="23" t="e">
        <x:f>HYPERLINK("https://pantip.com/topic/33779998","เปิดเว็บเพิ่ม 1")</x:f>
        <x:v>HYPERLINK is not implemented. linkLocation=https://pantip.com/topic/33779998, friendlyName=เปิดเว็บเพิ่ม 1</x:v>
      </x:c>
      <x:c r="M586" s="23" t="e">
        <x:f>HYPERLINK("https://reviewphuket.com/content/view/promthep-cape-phuket","เปิดเว็บเพิ่ม 2")</x:f>
        <x:v>HYPERLINK is not implemented. linkLocation=https://reviewphuket.com/content/view/promthep-cape-phuket, friendlyName=เปิดเว็บเพิ่ม 2</x:v>
      </x:c>
      <x:c r="N586" s="20" t="str">
        <x:v>ยังไม่ยืนยัน</x:v>
      </x:c>
      <x:c r="O586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86" s="25" t="n">
        <x:v>46315</x:v>
      </x:c>
      <x:c r="Q586" s="27" t="str">
        <x:v>ยังไม่ตรวจ</x:v>
      </x:c>
      <x:c r="R586" s="27" t="str">
        <x:v>รอติดต่อ</x:v>
      </x:c>
    </x:row>
    <x:row r="587" ht="76" customHeight="1">
      <x:c r="A587" s="24" t="str">
        <x:v>TMF-579</x:v>
      </x:c>
      <x:c r="B587" s="20" t="str">
        <x:v>ย่านเมืองเก่าภูเก็ต</x:v>
      </x:c>
      <x:c r="C587" s="20" t="str">
        <x:v>ภูเก็ต</x:v>
      </x:c>
      <x:c r="D587" s="20" t="str">
        <x:v>คงไว้ในชุด 600</x:v>
      </x:c>
      <x:c r="E587" s="20" t="str">
        <x:v>พบหลายแหล่งสัมพันธ์กับชื่อ รอยืนยันการเปิด</x:v>
      </x:c>
      <x:c r="F587" s="20" t="str">
        <x:v>ยังไม่ยืนยันการเปิดให้บริการปัจจุบัน</x:v>
      </x:c>
      <x:c r="G587" s="26" t="n">
        <x:v>10</x:v>
      </x:c>
      <x:c r="H587" s="23" t="str"/>
      <x:c r="I587" s="23" t="str"/>
      <x:c r="J587" s="23" t="e">
        <x:f>HYPERLINK("https://www.wongnai.com/reviews/e0791313c5ef46cfaf8853c8ac959e14","เปิดหน้ารีวิว 1")</x:f>
        <x:v>HYPERLINK is not implemented. linkLocation=https://www.wongnai.com/reviews/e0791313c5ef46cfaf8853c8ac959e14, friendlyName=เปิดหน้ารีวิว 1</x:v>
      </x:c>
      <x:c r="K587" s="23" t="e">
        <x:f>HYPERLINK("https://th.tripadvisor.com/Attraction_Review-g2315818-d5995325-Reviews-Old_Phuket_Town-Talat_Yai_Phuket_Town_Phuket.html","เปิดหน้ารีวิว 2")</x:f>
        <x:v>HYPERLINK is not implemented. linkLocation=https://th.tripadvisor.com/Attraction_Review-g2315818-d5995325-Reviews-Old_Phuket_Town-Talat_Yai_Phuket_Town_Phuket.html, friendlyName=เปิดหน้ารีวิว 2</x:v>
      </x:c>
      <x:c r="L587" s="23" t="e">
        <x:f>HYPERLINK("https://www.gplace.com/2425","เปิดเว็บเพิ่ม 1")</x:f>
        <x:v>HYPERLINK is not implemented. linkLocation=https://www.gplace.com/2425, friendlyName=เปิดเว็บเพิ่ม 1</x:v>
      </x:c>
      <x:c r="M587" s="23" t="e">
        <x:f>HYPERLINK("https://phanganist.com/th/phuket/phuket-old-town","เปิดเว็บเพิ่ม 2")</x:f>
        <x:v>HYPERLINK is not implemented. linkLocation=https://phanganist.com/th/phuket/phuket-old-town, friendlyName=เปิดเว็บเพิ่ม 2</x:v>
      </x:c>
      <x:c r="N587" s="20" t="str">
        <x:v>ยังไม่ยืนยัน</x:v>
      </x:c>
      <x:c r="O58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87" s="25" t="n">
        <x:v>46315</x:v>
      </x:c>
      <x:c r="Q587" s="27" t="str">
        <x:v>ยังไม่ตรวจ</x:v>
      </x:c>
      <x:c r="R587" s="27" t="str">
        <x:v>รอติดต่อ</x:v>
      </x:c>
    </x:row>
    <x:row r="588" ht="96" customHeight="1">
      <x:c r="A588" s="24" t="str">
        <x:v>TMF-580</x:v>
      </x:c>
      <x:c r="B588" s="20" t="str">
        <x:v>ไก่หมุนหมักน้ำผึ้ง</x:v>
      </x:c>
      <x:c r="C588" s="20" t="str">
        <x:v>ระนอง</x:v>
      </x:c>
      <x:c r="D588" s="20" t="str">
        <x:v>คงไว้ในชุด 600</x:v>
      </x:c>
      <x:c r="E588" s="20" t="str">
        <x:v>หลักฐานไม่พอ รอยืนยันการเปิด</x:v>
      </x:c>
      <x:c r="F588" s="20" t="str">
        <x:v>ยังไม่ยืนยันการเปิดให้บริการปัจจุบัน</x:v>
      </x:c>
      <x:c r="G588" s="26" t="n">
        <x:v>1</x:v>
      </x:c>
      <x:c r="H588" s="23" t="str"/>
      <x:c r="I588" s="23" t="str"/>
      <x:c r="J588" s="23" t="str"/>
      <x:c r="K588" s="23" t="str"/>
      <x:c r="L588" s="23" t="str"/>
      <x:c r="M588" s="23" t="str"/>
      <x:c r="N588" s="20" t="str">
        <x:v>ยังไม่ยืนยัน</x:v>
      </x:c>
      <x:c r="O588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88" s="25" t="n">
        <x:v>46315</x:v>
      </x:c>
      <x:c r="Q588" s="27" t="str">
        <x:v>ยังไม่ตรวจ</x:v>
      </x:c>
      <x:c r="R588" s="27" t="str">
        <x:v>รอติดต่อ</x:v>
      </x:c>
    </x:row>
    <x:row r="589" ht="96" customHeight="1">
      <x:c r="A589" s="24" t="str">
        <x:v>TMF-581</x:v>
      </x:c>
      <x:c r="B589" s="20" t="str">
        <x:v>ไพจิตร์ก๋วยเตี๋ยวเนื้อ</x:v>
      </x:c>
      <x:c r="C589" s="20" t="str">
        <x:v>สงขลา</x:v>
      </x:c>
      <x:c r="D589" s="20" t="str">
        <x:v>คงไว้ในชุด 600</x:v>
      </x:c>
      <x:c r="E589" s="20" t="str">
        <x:v>หลักฐานไม่พอ รอยืนยันการเปิด</x:v>
      </x:c>
      <x:c r="F589" s="20" t="str">
        <x:v>ยังไม่ยืนยันการเปิดให้บริการปัจจุบัน</x:v>
      </x:c>
      <x:c r="G589" s="26" t="n">
        <x:v>1</x:v>
      </x:c>
      <x:c r="H589" s="23" t="str"/>
      <x:c r="I589" s="23" t="str"/>
      <x:c r="J589" s="23" t="str"/>
      <x:c r="K589" s="23" t="str"/>
      <x:c r="L589" s="23" t="str"/>
      <x:c r="M589" s="23" t="str"/>
      <x:c r="N589" s="20" t="str">
        <x:v>ยังไม่ยืนยัน</x:v>
      </x:c>
      <x:c r="O589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89" s="25" t="n">
        <x:v>46315</x:v>
      </x:c>
      <x:c r="Q589" s="27" t="str">
        <x:v>ยังไม่ตรวจ</x:v>
      </x:c>
      <x:c r="R589" s="27" t="str">
        <x:v>รอติดต่อ</x:v>
      </x:c>
    </x:row>
    <x:row r="590" ht="76" customHeight="1">
      <x:c r="A590" s="24" t="str">
        <x:v>TMF-582</x:v>
      </x:c>
      <x:c r="B590" s="20" t="str">
        <x:v>ตลาดน้ำชุมชนวัดศรีวารีน้อย</x:v>
      </x:c>
      <x:c r="C590" s="20" t="str">
        <x:v>สมุทรปราการ</x:v>
      </x:c>
      <x:c r="D590" s="20" t="str">
        <x:v>คงไว้ในชุด 600</x:v>
      </x:c>
      <x:c r="E590" s="20" t="str">
        <x:v>พบหลายแหล่งสัมพันธ์กับชื่อ รอยืนยันการเปิด</x:v>
      </x:c>
      <x:c r="F590" s="20" t="str">
        <x:v>ยังไม่ยืนยันการเปิดให้บริการปัจจุบัน</x:v>
      </x:c>
      <x:c r="G590" s="26" t="n">
        <x:v>5</x:v>
      </x:c>
      <x:c r="H590" s="23" t="str"/>
      <x:c r="I590" s="23" t="str"/>
      <x:c r="J590" s="23" t="e">
        <x:f>HYPERLINK("https://www.wongnai.com/restaurants/1943303NE-%E0%B8%A3%E0%B8%B8%E0%B9%88%E0%B8%87%E0%B9%80%E0%B8%A3%E0%B8%B7%E0%B8%AD%E0%B8%87%E0%B8%9E%E0%B8%B2%E0%B8%93%E0%B8%B4%E0%B8%8A-%E0%B9%82%E0%B8%8A%E0%B8%AB%E0%B9%88%E0%B8%A7%E0%B8%A2-%E0%B8%95%E0%B8%A5%E0%B8%B2%E0%B8%94%E0%B8%99%E0%B9%89%E0%B8%B3%E0%B8%8A%E0%B8%B8%E0%B8%A1%E0%B8%8A%E0%B8%99%E0%B8%A7%E0%B8%B1%E0%B8%94%E0%B8%A8%E0%B8%A3%E0%B8%B5%E0%B8%A7%E0%B8%B2%E0%B8%A3%E0%B8%B5%E0%B8%99%E0%B9%89%E0%B8%AD%E0%B8%A2","เปิดหน้ารีวิว 1")</x:f>
        <x:v>HYPERLINK is not implemented. linkLocation=https://www.wongnai.com/restaurants/1943303NE-%E0%B8%A3%E0%B8%B8%E0%B9%88%E0%B8%87%E0%B9%80%E0%B8%A3%E0%B8%B7%E0%B8%AD%E0%B8%87%E0%B8%9E%E0%B8%B2%E0%B8%93%E0%B8%B4%E0%B8%8A-%E0%B9%82%E0%B8%8A%E0%B8%AB%E0%B9%88%E0%B8%A7%E0%B8%A2-%E0%B8%95%E0%B8%A5%E0%B8%B2%E0%B8%94%E0%B8%99%E0%B9%89%E0%B8%B3%E0%B8%8A%E0%B8%B8%E0%B8%A1%E0%B8%8A%E0%B8%99%E0%B8%A7%E0%B8%B1%E0%B8%94%E0%B8%A8%E0%B8%A3%E0%B8%B5%E0%B8%A7%E0%B8%B2%E0%B8%A3%E0%B8%B5%E0%B8%99%E0%B9%89%E0%B8%AD%E0%B8%A2, friendlyName=เปิดหน้ารีวิว 1</x:v>
      </x:c>
      <x:c r="K590" s="23" t="e">
        <x:f>HYPERLINK("https://www.wongnai.com/restaurants/1943303NE-%E0%B8%A3%E0%B8%B8%E0%B9%88%E0%B8%87%E0%B9%80%E0%B8%A3%E0%B8%B7%E0%B8%AD%E0%B8%87%E0%B8%9E%E0%B8%B2%E0%B8%93%E0%B8%B4%E0%B8%8A-%E0%B9%82%E0%B8%8A%E0%B8%AB%E0%B9%88%E0%B8%A7%E0%B8%A2-%E0%B8%95%E0%B8%A5%E0%B8%B2%E0%B8%94%E0%B8%99%E0%B9%89%E0%B8%B3%E0%B8%8A%E0%B8%B8%E0%B8%A1%E0%B8%8A%E0%B8%99%E0%B8%A7%E0%B8%B1%E0%B8%94%E0%B8%A8%E0%B8%A3%E0%B8%B5%E0%B8%A7%E0%B8%B2%E0%B8%A3%E0%B8%B5%E0%B8%99%E0%B9%89%E0%B8%AD%E0%B8%A2/photos/0c8fc986768247f0b477e830fc5ca3f1","เปิดหน้ารีวิว 2")</x:f>
        <x:v>HYPERLINK is not implemented. linkLocation=https://www.wongnai.com/restaurants/1943303NE-%E0%B8%A3%E0%B8%B8%E0%B9%88%E0%B8%87%E0%B9%80%E0%B8%A3%E0%B8%B7%E0%B8%AD%E0%B8%87%E0%B8%9E%E0%B8%B2%E0%B8%93%E0%B8%B4%E0%B8%8A-%E0%B9%82%E0%B8%8A%E0%B8%AB%E0%B9%88%E0%B8%A7%E0%B8%A2-%E0%B8%95%E0%B8%A5%E0%B8%B2%E0%B8%94%E0%B8%99%E0%B9%89%E0%B8%B3%E0%B8%8A%E0%B8%B8%E0%B8%A1%E0%B8%8A%E0%B8%99%E0%B8%A7%E0%B8%B1%E0%B8%94%E0%B8%A8%E0%B8%A3%E0%B8%B5%E0%B8%A7%E0%B8%B2%E0%B8%A3%E0%B8%B5%E0%B8%99%E0%B9%89%E0%B8%AD%E0%B8%A2/photos/0c8fc986768247f0b477e830fc5ca3f1, friendlyName=เปิดหน้ารีวิว 2</x:v>
      </x:c>
      <x:c r="L590" s="23" t="e">
        <x:f>HYPERLINK("https://xn--o3caafld1cf0cwe8b4hf6czc.com/directory/place/1384352/","เปิดเว็บเพิ่ม 1")</x:f>
        <x:v>HYPERLINK is not implemented. linkLocation=https://xn--o3caafld1cf0cwe8b4hf6czc.com/directory/place/1384352/, friendlyName=เปิดเว็บเพิ่ม 1</x:v>
      </x:c>
      <x:c r="M590" s="23" t="e">
        <x:f>HYPERLINK("https://www.tci-thaijo.org/articles/social04-288617","เปิดเว็บเพิ่ม 2")</x:f>
        <x:v>HYPERLINK is not implemented. linkLocation=https://www.tci-thaijo.org/articles/social04-288617, friendlyName=เปิดเว็บเพิ่ม 2</x:v>
      </x:c>
      <x:c r="N590" s="20" t="str">
        <x:v>ยังไม่ยืนยัน</x:v>
      </x:c>
      <x:c r="O590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90" s="25" t="n">
        <x:v>46315</x:v>
      </x:c>
      <x:c r="Q590" s="27" t="str">
        <x:v>ยังไม่ตรวจ</x:v>
      </x:c>
      <x:c r="R590" s="27" t="str">
        <x:v>รอติดต่อ</x:v>
      </x:c>
    </x:row>
    <x:row r="591" ht="76" customHeight="1">
      <x:c r="A591" s="24" t="str">
        <x:v>TMF-583</x:v>
      </x:c>
      <x:c r="B591" s="20" t="str">
        <x:v>ฮกฮวดอาหารอิสลามแม่กลอง ฮาลาลฟู้ด</x:v>
      </x:c>
      <x:c r="C591" s="20" t="str">
        <x:v>สมุทรสงคราม</x:v>
      </x:c>
      <x:c r="D591" s="20" t="str">
        <x:v>คงไว้ในชุด 600</x:v>
      </x:c>
      <x:c r="E591" s="20" t="str">
        <x:v>พบหลายแหล่งสัมพันธ์กับชื่อ รอยืนยันการเปิด</x:v>
      </x:c>
      <x:c r="F591" s="20" t="str">
        <x:v>ยังไม่ยืนยันการเปิดให้บริการปัจจุบัน</x:v>
      </x:c>
      <x:c r="G591" s="26" t="n">
        <x:v>4</x:v>
      </x:c>
      <x:c r="H591" s="23" t="str"/>
      <x:c r="I591" s="23" t="str"/>
      <x:c r="J591" s="23" t="e">
        <x:f>HYPERLINK("https://www.wongnai.com/restaurants/3148489Ma-%E0%B8%AE%E0%B8%81%E0%B8%AE%E0%B8%A7%E0%B8%94%E0%B8%AD%E0%B8%B2%E0%B8%AB%E0%B8%B2%E0%B8%A3%E0%B8%AD%E0%B8%B4%E0%B8%AA%E0%B8%A5%E0%B8%B2%E0%B8%A1%E0%B9%81%E0%B8%A1%E0%B9%88%E0%B8%81%E0%B8%A5%E0%B8%AD%E0%B8%87-%E0%B8%95%E0%B8%A5%E0%B8%B2%E0%B8%94%E0%B8%A3%E0%B9%88%E0%B8%A1%E0%B8%AB%E0%B8%B8%E0%B8%9A-%E0%B8%95%E0%B8%A5%E0%B8%B2%E0%B8%94%E0%B8%A3%E0%B9%88%E0%B8%A1%E0%B8%AB%E0%B8%B8%E0%B8%9A%E0%B9%81%E0%B8%A1%E0%B9%88%E0%B8%81%E0%B8%A5%E0%B8%AD%E0%B8%87","เปิดหน้ารีวิว 1")</x:f>
        <x:v>HYPERLINK is not implemented. linkLocation=https://www.wongnai.com/restaurants/3148489Ma-%E0%B8%AE%E0%B8%81%E0%B8%AE%E0%B8%A7%E0%B8%94%E0%B8%AD%E0%B8%B2%E0%B8%AB%E0%B8%B2%E0%B8%A3%E0%B8%AD%E0%B8%B4%E0%B8%AA%E0%B8%A5%E0%B8%B2%E0%B8%A1%E0%B9%81%E0%B8%A1%E0%B9%88%E0%B8%81%E0%B8%A5%E0%B8%AD%E0%B8%87-%E0%B8%95%E0%B8%A5%E0%B8%B2%E0%B8%94%E0%B8%A3%E0%B9%88%E0%B8%A1%E0%B8%AB%E0%B8%B8%E0%B8%9A-%E0%B8%95%E0%B8%A5%E0%B8%B2%E0%B8%94%E0%B8%A3%E0%B9%88%E0%B8%A1%E0%B8%AB%E0%B8%B8%E0%B8%9A%E0%B9%81%E0%B8%A1%E0%B9%88%E0%B8%81%E0%B8%A5%E0%B8%AD%E0%B8%87, friendlyName=เปิดหน้ารีวิว 1</x:v>
      </x:c>
      <x:c r="K591" s="23" t="e">
        <x:f>HYPERLINK("https://ru.restaurantguru.com/%E0%B8%AE%E0%B8%81%E0%B8%AE%E0%B8%A7%E0%B8%94%E0%B8%AD%E0%B8%B2%E0%B8%AB%E0%B8%B2%E0%B8%A3%E0%B8%AD%E0%B8%B4%E0%B8%AA%E0%B8%A5%E0%B8%B2%E0%B8%A1%E0%B9%81%E0%B8%A1%E0%B9%88%E0%B8%81%E0%B8%A5%E0%B8%AD%E0%B8%87-%E0%B8%AE%E0%B8%B2%E0%B8%A5%E0%B8%B2%E0%B8%A5%E0%B8%9F%E0%B8%B9%E0%B9%89%E0%B8%94-halal-food-Bang-Khan-Taek","เปิดหน้ารีวิว 2")</x:f>
        <x:v>HYPERLINK is not implemented. linkLocation=https://ru.restaurantguru.com/%E0%B8%AE%E0%B8%81%E0%B8%AE%E0%B8%A7%E0%B8%94%E0%B8%AD%E0%B8%B2%E0%B8%AB%E0%B8%B2%E0%B8%A3%E0%B8%AD%E0%B8%B4%E0%B8%AA%E0%B8%A5%E0%B8%B2%E0%B8%A1%E0%B9%81%E0%B8%A1%E0%B9%88%E0%B8%81%E0%B8%A5%E0%B8%AD%E0%B8%87-%E0%B8%AE%E0%B8%B2%E0%B8%A5%E0%B8%B2%E0%B8%A5%E0%B8%9F%E0%B8%B9%E0%B9%89%E0%B8%94-halal-food-Bang-Khan-Taek, friendlyName=เปิดหน้ารีวิว 2</x:v>
      </x:c>
      <x:c r="L591" s="23" t="e">
        <x:f>HYPERLINK("https://www.thaithurkic.com/%E0%B8%AE%E0%B8%81%E0%B8%AE%E0%B8%A7%E0%B8%94%E0%B8%AD%E0%B8%B2%E0%B8%AB%E0%B8%B2%E0%B8%A3%E0%B8%AD%E0%B8%B4%E0%B8%AA%E0%B8%A5%E0%B8%B2%E0%B8%A1%E0%B9%81%E0%B8%A1%E0%B9%88%E0%B8%81%E0%B8%A5%E0%B8%AD%E0%B8%87-%E0%B8%AE%E0%B8%B2%E0%B8%A5%E0%B8%B2%E0%B8%A5%E0%B8%9F%E0%B8%B9%E0%B9%89%E0%B8%94-halal-034-713-680","เปิดเว็บเพิ่ม 1")</x:f>
        <x:v>HYPERLINK is not implemented. linkLocation=https://www.thaithurkic.com/%E0%B8%AE%E0%B8%81%E0%B8%AE%E0%B8%A7%E0%B8%94%E0%B8%AD%E0%B8%B2%E0%B8%AB%E0%B8%B2%E0%B8%A3%E0%B8%AD%E0%B8%B4%E0%B8%AA%E0%B8%A5%E0%B8%B2%E0%B8%A1%E0%B9%81%E0%B8%A1%E0%B9%88%E0%B8%81%E0%B8%A5%E0%B8%AD%E0%B8%87-%E0%B8%AE%E0%B8%B2%E0%B8%A5%E0%B8%B2%E0%B8%A5%E0%B8%9F%E0%B8%B9%E0%B9%89%E0%B8%94-halal-034-713-680, friendlyName=เปิดเว็บเพิ่ม 1</x:v>
      </x:c>
      <x:c r="M591" s="23" t="str"/>
      <x:c r="N591" s="20" t="str">
        <x:v>ยังไม่ยืนยัน</x:v>
      </x:c>
      <x:c r="O59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91" s="25" t="n">
        <x:v>46315</x:v>
      </x:c>
      <x:c r="Q591" s="27" t="str">
        <x:v>ยังไม่ตรวจ</x:v>
      </x:c>
      <x:c r="R591" s="27" t="str">
        <x:v>รอติดต่อ</x:v>
      </x:c>
    </x:row>
    <x:row r="592" ht="96" customHeight="1">
      <x:c r="A592" s="24" t="str">
        <x:v>TMF-584</x:v>
      </x:c>
      <x:c r="B592" s="20" t="str">
        <x:v>ไก่ทอดอารีฟหาดใหญ่</x:v>
      </x:c>
      <x:c r="C592" s="20" t="str">
        <x:v>สมุทรสาคร</x:v>
      </x:c>
      <x:c r="D592" s="20" t="str">
        <x:v>คงไว้ในชุด 600</x:v>
      </x:c>
      <x:c r="E592" s="20" t="str">
        <x:v>หลักฐานไม่พอ รอยืนยันการเปิด</x:v>
      </x:c>
      <x:c r="F592" s="20" t="str">
        <x:v>ยังไม่ยืนยันการเปิดให้บริการปัจจุบัน</x:v>
      </x:c>
      <x:c r="G592" s="26" t="n">
        <x:v>1</x:v>
      </x:c>
      <x:c r="H592" s="23" t="str"/>
      <x:c r="I592" s="23" t="str"/>
      <x:c r="J592" s="23" t="str"/>
      <x:c r="K592" s="23" t="str"/>
      <x:c r="L592" s="23" t="str"/>
      <x:c r="M592" s="23" t="str"/>
      <x:c r="N592" s="20" t="str">
        <x:v>ยังไม่ยืนยัน</x:v>
      </x:c>
      <x:c r="O59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92" s="25" t="n">
        <x:v>46315</x:v>
      </x:c>
      <x:c r="Q592" s="27" t="str">
        <x:v>ยังไม่ตรวจ</x:v>
      </x:c>
      <x:c r="R592" s="27" t="str">
        <x:v>รอติดต่อ</x:v>
      </x:c>
    </x:row>
    <x:row r="593" ht="76" customHeight="1">
      <x:c r="A593" s="24" t="str">
        <x:v>TMF-585</x:v>
      </x:c>
      <x:c r="B593" s="20" t="str">
        <x:v>ชุมชนบ้านพุแค</x:v>
      </x:c>
      <x:c r="C593" s="20" t="str">
        <x:v>สระบุรี</x:v>
      </x:c>
      <x:c r="D593" s="20" t="str">
        <x:v>คงไว้ในชุด 600</x:v>
      </x:c>
      <x:c r="E593" s="20" t="str">
        <x:v>พบหลายแหล่งสัมพันธ์กับชื่อ รอยืนยันการเปิด</x:v>
      </x:c>
      <x:c r="F593" s="20" t="str">
        <x:v>ยังไม่ยืนยันการเปิดให้บริการปัจจุบัน</x:v>
      </x:c>
      <x:c r="G593" s="26" t="n">
        <x:v>2</x:v>
      </x:c>
      <x:c r="H593" s="23" t="str"/>
      <x:c r="I593" s="23" t="str"/>
      <x:c r="J593" s="23" t="str"/>
      <x:c r="K593" s="23" t="str"/>
      <x:c r="L593" s="23" t="e">
        <x:f>HYPERLINK("https://www.hellolocal.asia/th/tour/phu-khae-huapli-market-2/","เปิดเว็บเพิ่ม 1")</x:f>
        <x:v>HYPERLINK is not implemented. linkLocation=https://www.hellolocal.asia/th/tour/phu-khae-huapli-market-2/, friendlyName=เปิดเว็บเพิ่ม 1</x:v>
      </x:c>
      <x:c r="M593" s="23" t="str"/>
      <x:c r="N593" s="20" t="str">
        <x:v>ยังไม่ยืนยัน</x:v>
      </x:c>
      <x:c r="O593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93" s="25" t="n">
        <x:v>46315</x:v>
      </x:c>
      <x:c r="Q593" s="27" t="str">
        <x:v>ยังไม่ตรวจ</x:v>
      </x:c>
      <x:c r="R593" s="27" t="str">
        <x:v>รอติดต่อ</x:v>
      </x:c>
    </x:row>
    <x:row r="594" ht="76" customHeight="1">
      <x:c r="A594" s="24" t="str">
        <x:v>TMF-586</x:v>
      </x:c>
      <x:c r="B594" s="20" t="str">
        <x:v>ชุมชนท่าชัย</x:v>
      </x:c>
      <x:c r="C594" s="20" t="str">
        <x:v>สุโขทัย</x:v>
      </x:c>
      <x:c r="D594" s="20" t="str">
        <x:v>คงไว้ในชุด 600</x:v>
      </x:c>
      <x:c r="E594" s="20" t="str">
        <x:v>พบหลายแหล่งสัมพันธ์กับชื่อ รอยืนยันการเปิด</x:v>
      </x:c>
      <x:c r="F594" s="20" t="str">
        <x:v>ยังไม่ยืนยันการเปิดให้บริการปัจจุบัน</x:v>
      </x:c>
      <x:c r="G594" s="26" t="n">
        <x:v>3</x:v>
      </x:c>
      <x:c r="H594" s="23" t="str"/>
      <x:c r="I594" s="23" t="str"/>
      <x:c r="J594" s="23" t="str"/>
      <x:c r="K594" s="23" t="str"/>
      <x:c r="L594" s="23" t="e">
        <x:f>HYPERLINK("https://www.dasta.or.th/th/article/1721","เปิดเว็บเพิ่ม 1")</x:f>
        <x:v>HYPERLINK is not implemented. linkLocation=https://www.dasta.or.th/th/article/1721, friendlyName=เปิดเว็บเพิ่ม 1</x:v>
      </x:c>
      <x:c r="M594" s="23" t="e">
        <x:f>HYPERLINK("https://anyflip.com/zuqxe/cflv/basic","เปิดเว็บเพิ่ม 2")</x:f>
        <x:v>HYPERLINK is not implemented. linkLocation=https://anyflip.com/zuqxe/cflv/basic, friendlyName=เปิดเว็บเพิ่ม 2</x:v>
      </x:c>
      <x:c r="N594" s="20" t="str">
        <x:v>ยังไม่ยืนยัน</x:v>
      </x:c>
      <x:c r="O594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94" s="25" t="n">
        <x:v>46315</x:v>
      </x:c>
      <x:c r="Q594" s="27" t="str">
        <x:v>ยังไม่ตรวจ</x:v>
      </x:c>
      <x:c r="R594" s="27" t="str">
        <x:v>รอติดต่อ</x:v>
      </x:c>
    </x:row>
    <x:row r="595" ht="76" customHeight="1">
      <x:c r="A595" s="24" t="str">
        <x:v>TMF-587</x:v>
      </x:c>
      <x:c r="B595" s="20" t="str">
        <x:v>ชุมชนบ้านเดื่อ</x:v>
      </x:c>
      <x:c r="C595" s="20" t="str">
        <x:v>หนองคาย</x:v>
      </x:c>
      <x:c r="D595" s="20" t="str">
        <x:v>คงไว้ในชุด 600</x:v>
      </x:c>
      <x:c r="E595" s="20" t="str">
        <x:v>พบหลายแหล่งสัมพันธ์กับชื่อ รอยืนยันการเปิด</x:v>
      </x:c>
      <x:c r="F595" s="20" t="str">
        <x:v>ยังไม่ยืนยันการเปิดให้บริการปัจจุบัน</x:v>
      </x:c>
      <x:c r="G595" s="26" t="n">
        <x:v>8</x:v>
      </x:c>
      <x:c r="H595" s="23" t="str"/>
      <x:c r="I595" s="23" t="str"/>
      <x:c r="J595" s="23" t="e">
        <x:f>HYPERLINK("https://www.lemon8-app.com/%40poy.normal/7504179978633544199?region=th","เปิดหน้ารีวิว 1")</x:f>
        <x:v>HYPERLINK is not implemented. linkLocation=https://www.lemon8-app.com/%40poy.normal/7504179978633544199?region=th, friendlyName=เปิดหน้ารีวิว 1</x:v>
      </x:c>
      <x:c r="K595" s="23" t="e">
        <x:f>HYPERLINK("https://www.lemon8-app.com/%40user8841761340739/7517586012118303250?region=th","เปิดหน้ารีวิว 2")</x:f>
        <x:v>HYPERLINK is not implemented. linkLocation=https://www.lemon8-app.com/%40user8841761340739/7517586012118303250?region=th, friendlyName=เปิดหน้ารีวิว 2</x:v>
      </x:c>
      <x:c r="L595" s="23" t="e">
        <x:f>HYPERLINK("https://www.tatstar.org/company/STAR-C00164","เปิดเว็บเพิ่ม 1")</x:f>
        <x:v>HYPERLINK is not implemented. linkLocation=https://www.tatstar.org/company/STAR-C00164, friendlyName=เปิดเว็บเพิ่ม 1</x:v>
      </x:c>
      <x:c r="M595" s="23" t="e">
        <x:f>HYPERLINK("https://www.thaithurkic.com/%E0%B9%80%E0%B8%8A%E0%B8%9F%E0%B8%8A%E0%B8%B8%E0%B8%A1%E0%B8%8A%E0%B8%99-by-%E0%B8%97%E0%B9%88%E0%B8%AD%E0%B8%87%E0%B9%80%E0%B8%97%E0%B8%B5%E0%B9%88%E0%B8%A2%E0%B8%A7%E0%B8%8A%E0%B8%B8%E0%B8%A1%E0%B8%8A%E0%B8%99%E0%B8%9A%E0%B9%89%E0%B8%B2%E0%B8%99%E0%B9%80%E0%B8%94%E0%B8%B7%E0%B9%88%E0%B8%AD-086-953-9997","เปิดเว็บเพิ่ม 2")</x:f>
        <x:v>HYPERLINK is not implemented. linkLocation=https://www.thaithurkic.com/%E0%B9%80%E0%B8%8A%E0%B8%9F%E0%B8%8A%E0%B8%B8%E0%B8%A1%E0%B8%8A%E0%B8%99-by-%E0%B8%97%E0%B9%88%E0%B8%AD%E0%B8%87%E0%B9%80%E0%B8%97%E0%B8%B5%E0%B9%88%E0%B8%A2%E0%B8%A7%E0%B8%8A%E0%B8%B8%E0%B8%A1%E0%B8%8A%E0%B8%99%E0%B8%9A%E0%B9%89%E0%B8%B2%E0%B8%99%E0%B9%80%E0%B8%94%E0%B8%B7%E0%B9%88%E0%B8%AD-086-953-9997, friendlyName=เปิดเว็บเพิ่ม 2</x:v>
      </x:c>
      <x:c r="N595" s="20" t="str">
        <x:v>ยังไม่ยืนยัน</x:v>
      </x:c>
      <x:c r="O59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95" s="25" t="n">
        <x:v>46315</x:v>
      </x:c>
      <x:c r="Q595" s="27" t="str">
        <x:v>ยังไม่ตรวจ</x:v>
      </x:c>
      <x:c r="R595" s="27" t="str">
        <x:v>รอติดต่อ</x:v>
      </x:c>
    </x:row>
    <x:row r="596" ht="96" customHeight="1">
      <x:c r="A596" s="24" t="str">
        <x:v>TMF-588</x:v>
      </x:c>
      <x:c r="B596" s="20" t="str">
        <x:v>ไก่ย่างจีระพันธ์ ปตท.โนนสะอาด(ขาเข้า) จ.อุดรธานี</x:v>
      </x:c>
      <x:c r="C596" s="20" t="str">
        <x:v>อุดรธานี</x:v>
      </x:c>
      <x:c r="D596" s="20" t="str">
        <x:v>คงไว้ในชุด 600</x:v>
      </x:c>
      <x:c r="E596" s="20" t="str">
        <x:v>หลักฐานไม่พอ รอยืนยันการเปิด</x:v>
      </x:c>
      <x:c r="F596" s="20" t="str">
        <x:v>ยังไม่ยืนยันการเปิดให้บริการปัจจุบัน</x:v>
      </x:c>
      <x:c r="G596" s="26" t="n">
        <x:v>1</x:v>
      </x:c>
      <x:c r="H596" s="23" t="str"/>
      <x:c r="I596" s="23" t="str"/>
      <x:c r="J596" s="23" t="str"/>
      <x:c r="K596" s="23" t="str"/>
      <x:c r="L596" s="23" t="str"/>
      <x:c r="M596" s="23" t="str"/>
      <x:c r="N596" s="20" t="str">
        <x:v>ยังไม่ยืนยัน</x:v>
      </x:c>
      <x:c r="O59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96" s="25" t="n">
        <x:v>46315</x:v>
      </x:c>
      <x:c r="Q596" s="27" t="str">
        <x:v>ยังไม่ตรวจ</x:v>
      </x:c>
      <x:c r="R596" s="27" t="str">
        <x:v>รอติดต่อ</x:v>
      </x:c>
    </x:row>
    <x:row r="597" ht="96" customHeight="1">
      <x:c r="A597" s="24" t="str">
        <x:v>TMF-589</x:v>
      </x:c>
      <x:c r="B597" s="20" t="str">
        <x:v>ก๋วยเตี๋ยวเรือฮาลาลอาหารตามสั่ง Byม๊ะเกมส์</x:v>
      </x:c>
      <x:c r="C597" s="20" t="str">
        <x:v>อ่างทอง</x:v>
      </x:c>
      <x:c r="D597" s="20" t="str">
        <x:v>คงไว้ในชุด 600</x:v>
      </x:c>
      <x:c r="E597" s="20" t="str">
        <x:v>หลักฐานไม่พอ รอยืนยันการเปิด</x:v>
      </x:c>
      <x:c r="F597" s="20" t="str">
        <x:v>ยังไม่ยืนยันการเปิดให้บริการปัจจุบัน</x:v>
      </x:c>
      <x:c r="G597" s="26" t="n">
        <x:v>1</x:v>
      </x:c>
      <x:c r="H597" s="23" t="str"/>
      <x:c r="I597" s="23" t="str"/>
      <x:c r="J597" s="23" t="str"/>
      <x:c r="K597" s="23" t="str"/>
      <x:c r="L597" s="23" t="str"/>
      <x:c r="M597" s="23" t="str"/>
      <x:c r="N597" s="20" t="str">
        <x:v>ยังไม่ยืนยัน</x:v>
      </x:c>
      <x:c r="O59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597" s="25" t="n">
        <x:v>46315</x:v>
      </x:c>
      <x:c r="Q597" s="27" t="str">
        <x:v>ยังไม่ตรวจ</x:v>
      </x:c>
      <x:c r="R597" s="27" t="str">
        <x:v>รอติดต่อ</x:v>
      </x:c>
    </x:row>
    <x:row r="598" ht="76" customHeight="1">
      <x:c r="A598" s="24" t="str">
        <x:v>TMF-590</x:v>
      </x:c>
      <x:c r="B598" s="20" t="str">
        <x:v>ไก่ทอดใบคานอิสลามหาดใหญ่</x:v>
      </x:c>
      <x:c r="C598" s="20" t="str">
        <x:v>กรุงเทพมหานคร</x:v>
      </x:c>
      <x:c r="D598" s="20" t="str">
        <x:v>คงไว้ในชุด 600</x:v>
      </x:c>
      <x:c r="E598" s="20" t="str">
        <x:v>พบหลายแหล่งสัมพันธ์กับชื่อ รอยืนยันการเปิด</x:v>
      </x:c>
      <x:c r="F598" s="20" t="str">
        <x:v>ยังไม่ยืนยันการเปิดให้บริการปัจจุบัน</x:v>
      </x:c>
      <x:c r="G598" s="26" t="n">
        <x:v>2</x:v>
      </x:c>
      <x:c r="H598" s="23" t="str"/>
      <x:c r="I598" s="23" t="str"/>
      <x:c r="J598" s="23" t="e">
        <x:f>HYPERLINK("https://www.wongnai.com/restaurants/607222lp-%E0%B8%A3%E0%B9%89%E0%B8%B2%E0%B8%99%E0%B9%84%E0%B8%81%E0%B9%88%E0%B8%97%E0%B8%AD%E0%B8%94%E0%B9%83%E0%B8%9A%E0%B8%84%E0%B8%B2%E0%B8%99%E0%B8%AD%E0%B8%B4%E0%B8%AA%E0%B8%A5%E0%B8%B2%E0%B8%A1%E0%B8%AB%E0%B8%B2%E0%B8%94%E0%B9%83%E0%B8%AB%E0%B8%8D%E0%B9%88-%E0%B8%A3%E0%B8%B2%E0%B8%A1%E0%B8%84%E0%B8%B3%E0%B9%80%E0%B9%80%E0%B8%AB%E0%B8%8763","เปิดหน้ารีวิว 1")</x:f>
        <x:v>HYPERLINK is not implemented. linkLocation=https://www.wongnai.com/restaurants/607222lp-%E0%B8%A3%E0%B9%89%E0%B8%B2%E0%B8%99%E0%B9%84%E0%B8%81%E0%B9%88%E0%B8%97%E0%B8%AD%E0%B8%94%E0%B9%83%E0%B8%9A%E0%B8%84%E0%B8%B2%E0%B8%99%E0%B8%AD%E0%B8%B4%E0%B8%AA%E0%B8%A5%E0%B8%B2%E0%B8%A1%E0%B8%AB%E0%B8%B2%E0%B8%94%E0%B9%83%E0%B8%AB%E0%B8%8D%E0%B9%88-%E0%B8%A3%E0%B8%B2%E0%B8%A1%E0%B8%84%E0%B8%B3%E0%B9%80%E0%B9%80%E0%B8%AB%E0%B8%8763, friendlyName=เปิดหน้ารีวิว 1</x:v>
      </x:c>
      <x:c r="K598" s="23" t="str"/>
      <x:c r="L598" s="23" t="str"/>
      <x:c r="M598" s="23" t="str"/>
      <x:c r="N598" s="20" t="str">
        <x:v>ยังไม่ยืนยัน</x:v>
      </x:c>
      <x:c r="O59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598" s="25" t="n">
        <x:v>46315</x:v>
      </x:c>
      <x:c r="Q598" s="27" t="str">
        <x:v>ยังไม่ตรวจ</x:v>
      </x:c>
      <x:c r="R598" s="27" t="str">
        <x:v>รอติดต่อ</x:v>
      </x:c>
    </x:row>
    <x:row r="599" ht="76" customHeight="1">
      <x:c r="A599" s="24" t="str">
        <x:v>TMF-591</x:v>
      </x:c>
      <x:c r="B599" s="20" t="str">
        <x:v>Ancient beef Thai Cuisine – ข้าวขาวัว</x:v>
      </x:c>
      <x:c r="C599" s="20" t="str">
        <x:v>เชียงใหม่</x:v>
      </x:c>
      <x:c r="D599" s="20" t="str">
        <x:v>คงไว้ในชุด 600</x:v>
      </x:c>
      <x:c r="E599" s="20" t="str">
        <x:v>พบหลายแหล่งสัมพันธ์กับชื่อ รอยืนยันการเปิด</x:v>
      </x:c>
      <x:c r="F599" s="20" t="str">
        <x:v>ยังไม่ยืนยันการเปิดให้บริการปัจจุบัน</x:v>
      </x:c>
      <x:c r="G599" s="26" t="n">
        <x:v>4</x:v>
      </x:c>
      <x:c r="H599" s="23" t="e">
        <x:f>HYPERLINK("http://www.facebook.com/profile.php?","เปิดช่องทาง 1")</x:f>
        <x:v>HYPERLINK is not implemented. linkLocation=http://www.facebook.com/profile.php?, friendlyName=เปิดช่องทาง 1</x:v>
      </x:c>
      <x:c r="I599" s="23" t="e">
        <x:f>HYPERLINK("http://www.facebook.com/profile.php?id=100088742154530","เปิดช่องทาง 2")</x:f>
        <x:v>HYPERLINK is not implemented. linkLocation=http://www.facebook.com/profile.php?id=100088742154530, friendlyName=เปิดช่องทาง 2</x:v>
      </x:c>
      <x:c r="J599" s="23" t="e">
        <x:f>HYPERLINK("https://hk.trip.com/restaurant/thailand/chiang-mai/detail/ancient-beef-thai-cuisine-145029096/","เปิดหน้ารีวิว 1")</x:f>
        <x:v>HYPERLINK is not implemented. linkLocation=https://hk.trip.com/restaurant/thailand/chiang-mai/detail/ancient-beef-thai-cuisine-145029096/, friendlyName=เปิดหน้ารีวิว 1</x:v>
      </x:c>
      <x:c r="K599" s="23" t="e">
        <x:f>HYPERLINK("https://th.trip.com/restaurant/thailand/chiang-mai/detail/ancient-beef-thai-cuisine-145029096/","เปิดหน้ารีวิว 2")</x:f>
        <x:v>HYPERLINK is not implemented. linkLocation=https://th.trip.com/restaurant/thailand/chiang-mai/detail/ancient-beef-thai-cuisine-145029096/, friendlyName=เปิดหน้ารีวิว 2</x:v>
      </x:c>
      <x:c r="L599" s="23" t="e">
        <x:f>HYPERLINK("https://sg.openrice.com/en/chiangmai/r-ancient-beef-thai-cuisine-chang-khlan-northern-thai-bbq-grill-r1885672","เปิดเว็บเพิ่ม 1")</x:f>
        <x:v>HYPERLINK is not implemented. linkLocation=https://sg.openrice.com/en/chiangmai/r-ancient-beef-thai-cuisine-chang-khlan-northern-thai-bbq-grill-r1885672, friendlyName=เปิดเว็บเพิ่ม 1</x:v>
      </x:c>
      <x:c r="M599" s="23" t="e">
        <x:f>HYPERLINK("https://www.findglocal.com/TH/Chiang-Mai/101923529458899/Ancient-beef-Thai-Cuisine---%E0%B8%82%E0%B9%89%E0%B8%B2%E0%B8%A7%E0%B8%82%E0%B8%B2%E0%B8%A7%E0%B8%B1%E0%B8%A7","เปิดเว็บเพิ่ม 2")</x:f>
        <x:v>HYPERLINK is not implemented. linkLocation=https://www.findglocal.com/TH/Chiang-Mai/101923529458899/Ancient-beef-Thai-Cuisine---%E0%B8%82%E0%B9%89%E0%B8%B2%E0%B8%A7%E0%B8%82%E0%B8%B2%E0%B8%A7%E0%B8%B1%E0%B8%A7, friendlyName=เปิดเว็บเพิ่ม 2</x:v>
      </x:c>
      <x:c r="N599" s="20" t="str">
        <x:v>ยังไม่ยืนยัน</x:v>
      </x:c>
      <x:c r="O599" s="20" t="str">
        <x:v>ยังไม่ยืนยันวันที่โพสต์/รีวิวล่าสุดและการเปิดให้บริการปัจจุบัน</x:v>
      </x:c>
      <x:c r="P599" s="25" t="n">
        <x:v>46315</x:v>
      </x:c>
      <x:c r="Q599" s="27" t="str">
        <x:v>ยังไม่ตรวจ</x:v>
      </x:c>
      <x:c r="R599" s="27" t="str">
        <x:v>รอติดต่อ</x:v>
      </x:c>
    </x:row>
    <x:row r="600" ht="96" customHeight="1">
      <x:c r="A600" s="24" t="str">
        <x:v>TMF-592</x:v>
      </x:c>
      <x:c r="B600" s="20" t="str">
        <x:v>Aunt Nan Halal Khanom Jeen</x:v>
      </x:c>
      <x:c r="C600" s="20" t="str">
        <x:v>เชียงใหม่</x:v>
      </x:c>
      <x:c r="D600" s="20" t="str">
        <x:v>คงไว้ในชุด 600</x:v>
      </x:c>
      <x:c r="E600" s="20" t="str">
        <x:v>หลักฐานไม่พอ รอยืนยันการเปิด</x:v>
      </x:c>
      <x:c r="F600" s="20" t="str">
        <x:v>ยังไม่ยืนยันการเปิดให้บริการปัจจุบัน</x:v>
      </x:c>
      <x:c r="G600" s="26" t="n">
        <x:v>1</x:v>
      </x:c>
      <x:c r="H600" s="23" t="str"/>
      <x:c r="I600" s="23" t="str"/>
      <x:c r="J600" s="23" t="str"/>
      <x:c r="K600" s="23" t="str"/>
      <x:c r="L600" s="23" t="str"/>
      <x:c r="M600" s="23" t="str"/>
      <x:c r="N600" s="20" t="str">
        <x:v>ยังไม่ยืนยัน</x:v>
      </x:c>
      <x:c r="O60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00" s="25" t="n">
        <x:v>46315</x:v>
      </x:c>
      <x:c r="Q600" s="27" t="str">
        <x:v>ยังไม่ตรวจ</x:v>
      </x:c>
      <x:c r="R600" s="27" t="str">
        <x:v>รอติดต่อ</x:v>
      </x:c>
    </x:row>
    <x:row r="601" ht="76" customHeight="1">
      <x:c r="A601" s="24" t="str">
        <x:v>TMF-593</x:v>
      </x:c>
      <x:c r="B601" s="20" t="str">
        <x:v>Mme caffee</x:v>
      </x:c>
      <x:c r="C601" s="20" t="str">
        <x:v>เชียงใหม่</x:v>
      </x:c>
      <x:c r="D601" s="20" t="str">
        <x:v>คงไว้ในชุด 600</x:v>
      </x:c>
      <x:c r="E601" s="20" t="str">
        <x:v>พบหลายแหล่งสัมพันธ์กับชื่อ รอยืนยันการเปิด</x:v>
      </x:c>
      <x:c r="F601" s="20" t="str">
        <x:v>ยังไม่ยืนยันการเปิดให้บริการปัจจุบัน</x:v>
      </x:c>
      <x:c r="G601" s="26" t="n">
        <x:v>2</x:v>
      </x:c>
      <x:c r="H601" s="23" t="str"/>
      <x:c r="I601" s="23" t="str"/>
      <x:c r="J601" s="23" t="str"/>
      <x:c r="K601" s="23" t="str"/>
      <x:c r="L601" s="23" t="e">
        <x:f>HYPERLINK("https://www.thaithurkic.com/mme-coffee-081-771-0603","เปิดเว็บเพิ่ม 1")</x:f>
        <x:v>HYPERLINK is not implemented. linkLocation=https://www.thaithurkic.com/mme-coffee-081-771-0603, friendlyName=เปิดเว็บเพิ่ม 1</x:v>
      </x:c>
      <x:c r="M601" s="23" t="str"/>
      <x:c r="N601" s="20" t="str">
        <x:v>ยังไม่ยืนยัน</x:v>
      </x:c>
      <x:c r="O601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01" s="25" t="n">
        <x:v>46315</x:v>
      </x:c>
      <x:c r="Q601" s="27" t="str">
        <x:v>ยังไม่ตรวจ</x:v>
      </x:c>
      <x:c r="R601" s="27" t="str">
        <x:v>รอติดต่อ</x:v>
      </x:c>
    </x:row>
    <x:row r="602" ht="96" customHeight="1">
      <x:c r="A602" s="24" t="str">
        <x:v>TMF-594</x:v>
      </x:c>
      <x:c r="B602" s="20" t="str">
        <x:v>โอเอซิสสปา ล้านนา วัดพระสิงห์</x:v>
      </x:c>
      <x:c r="C602" s="20" t="str">
        <x:v>เชียงใหม่</x:v>
      </x:c>
      <x:c r="D602" s="20" t="str">
        <x:v>คงไว้ในชุด 600</x:v>
      </x:c>
      <x:c r="E602" s="20" t="str">
        <x:v>หลักฐานไม่พอ รอยืนยันการเปิด</x:v>
      </x:c>
      <x:c r="F602" s="20" t="str">
        <x:v>ยังไม่ยืนยันการเปิดให้บริการปัจจุบัน</x:v>
      </x:c>
      <x:c r="G602" s="26" t="n">
        <x:v>1</x:v>
      </x:c>
      <x:c r="H602" s="23" t="str"/>
      <x:c r="I602" s="23" t="str"/>
      <x:c r="J602" s="23" t="str"/>
      <x:c r="K602" s="23" t="str"/>
      <x:c r="L602" s="23" t="str"/>
      <x:c r="M602" s="23" t="str"/>
      <x:c r="N602" s="20" t="str">
        <x:v>ยังไม่ยืนยัน</x:v>
      </x:c>
      <x:c r="O602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02" s="25" t="n">
        <x:v>46315</x:v>
      </x:c>
      <x:c r="Q602" s="27" t="str">
        <x:v>ยังไม่ตรวจ</x:v>
      </x:c>
      <x:c r="R602" s="27" t="str">
        <x:v>รอติดต่อ</x:v>
      </x:c>
    </x:row>
    <x:row r="603" ht="76" customHeight="1">
      <x:c r="A603" s="24" t="str">
        <x:v>TMF-595</x:v>
      </x:c>
      <x:c r="B603" s="20" t="str">
        <x:v>โอเอซิสสปา แอทนิมมาน</x:v>
      </x:c>
      <x:c r="C603" s="20" t="str">
        <x:v>เชียงใหม่</x:v>
      </x:c>
      <x:c r="D603" s="20" t="str">
        <x:v>คงไว้ในชุด 600</x:v>
      </x:c>
      <x:c r="E603" s="20" t="str">
        <x:v>พบหลายแหล่งสัมพันธ์กับชื่อ รอยืนยันการเปิด</x:v>
      </x:c>
      <x:c r="F603" s="20" t="str">
        <x:v>ยังไม่ยืนยันการเปิดให้บริการปัจจุบัน</x:v>
      </x:c>
      <x:c r="G603" s="26" t="n">
        <x:v>2</x:v>
      </x:c>
      <x:c r="H603" s="23" t="str"/>
      <x:c r="I603" s="23" t="str"/>
      <x:c r="J603" s="23" t="str"/>
      <x:c r="K603" s="23" t="str"/>
      <x:c r="L603" s="23" t="e">
        <x:f>HYPERLINK("https://www.voy-y.com/2024/05/blog-post_32.html","เปิดเว็บเพิ่ม 1")</x:f>
        <x:v>HYPERLINK is not implemented. linkLocation=https://www.voy-y.com/2024/05/blog-post_32.html, friendlyName=เปิดเว็บเพิ่ม 1</x:v>
      </x:c>
      <x:c r="M603" s="23" t="str"/>
      <x:c r="N603" s="20" t="str">
        <x:v>ยังไม่ยืนยัน</x:v>
      </x:c>
      <x:c r="O603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03" s="25" t="n">
        <x:v>46315</x:v>
      </x:c>
      <x:c r="Q603" s="27" t="str">
        <x:v>ยังไม่ตรวจ</x:v>
      </x:c>
      <x:c r="R603" s="27" t="str">
        <x:v>รอติดต่อ</x:v>
      </x:c>
    </x:row>
    <x:row r="604" ht="76" customHeight="1">
      <x:c r="A604" s="24" t="str">
        <x:v>TMF-596</x:v>
      </x:c>
      <x:c r="B604" s="20" t="str">
        <x:v>ครัวอามีนะห์ (เจ๊มุ้ย) เพชรบูรณ์</x:v>
      </x:c>
      <x:c r="C604" s="20" t="str">
        <x:v>เพชรบูรณ์</x:v>
      </x:c>
      <x:c r="D604" s="20" t="str">
        <x:v>คงไว้ในชุด 600</x:v>
      </x:c>
      <x:c r="E604" s="20" t="str">
        <x:v>พบหลายแหล่งสัมพันธ์กับชื่อ รอยืนยันการเปิด</x:v>
      </x:c>
      <x:c r="F604" s="20" t="str">
        <x:v>ยังไม่ยืนยันการเปิดให้บริการปัจจุบัน</x:v>
      </x:c>
      <x:c r="G604" s="26" t="n">
        <x:v>3</x:v>
      </x:c>
      <x:c r="H604" s="23" t="e">
        <x:f>HYPERLINK("https://m.facebook.com/%25E0%25B8%2584%25E0%25B8%25A3%25E0%25B8%25B1%25E0%25B8%25A7%25E0%25B8%25AD%25E0%25B8%25B2%25E0%25B8%25A1%25E0%25B8%25B5%25E0%25B8%2599%25E0%25B8%25B0%25E0%25B8%25AB%25E0%25B9%258C-%25E0%25B9%2580%25E0%25B8%2588%25E0%25B9%258A%25E0%25B8%25A1%25E0%25B8%25B8%25E0%25B9%2589%25E0%25B8%25A2-356280624722063/","เปิดช่องทาง 1")</x:f>
        <x:v>HYPERLINK is not implemented. linkLocation=https://m.facebook.com/%25E0%25B8%2584%25E0%25B8%25A3%25E0%25B8%25B1%25E0%25B8%25A7%25E0%25B8%25AD%25E0%25B8%25B2%25E0%25B8%25A1%25E0%25B8%25B5%25E0%25B8%2599%25E0%25B8%25B0%25E0%25B8%25AB%25E0%25B9%258C-%25E0%25B9%2580%25E0%25B8%2588%25E0%25B9%258A%25E0%25B8%25A1%25E0%25B8%25B8%25E0%25B9%2589%25E0%25B8%25A2-356280624722063/, friendlyName=เปิดช่องทาง 1</x:v>
      </x:c>
      <x:c r="I604" s="23" t="str"/>
      <x:c r="J604" s="23" t="e">
        <x:f>HYPERLINK("https://www.wongnai.com/reviews/a616113ae4b0443fab32bd5dd70dc508","เปิดหน้ารีวิว 1")</x:f>
        <x:v>HYPERLINK is not implemented. linkLocation=https://www.wongnai.com/reviews/a616113ae4b0443fab32bd5dd70dc508, friendlyName=เปิดหน้ารีวิว 1</x:v>
      </x:c>
      <x:c r="K604" s="23" t="e">
        <x:f>HYPERLINK("https://www.wongnai.com/restaurants/164889Nz-%E0%B8%84%E0%B8%A3%E0%B8%B1%E0%B8%A7%E0%B8%AD%E0%B8%B2%E0%B8%A1%E0%B8%B5%E0%B8%99%E0%B8%B0%E0%B8%AB%E0%B9%8C-%E0%B9%80%E0%B8%88%E0%B9%8A%E0%B8%A1%E0%B8%B8%E0%B9%89%E0%B8%A2/photos/30b1e0ce850f4602895b14f73f2ce92a","เปิดหน้ารีวิว 2")</x:f>
        <x:v>HYPERLINK is not implemented. linkLocation=https://www.wongnai.com/restaurants/164889Nz-%E0%B8%84%E0%B8%A3%E0%B8%B1%E0%B8%A7%E0%B8%AD%E0%B8%B2%E0%B8%A1%E0%B8%B5%E0%B8%99%E0%B8%B0%E0%B8%AB%E0%B9%8C-%E0%B9%80%E0%B8%88%E0%B9%8A%E0%B8%A1%E0%B8%B8%E0%B9%89%E0%B8%A2/photos/30b1e0ce850f4602895b14f73f2ce92a, friendlyName=เปิดหน้ารีวิว 2</x:v>
      </x:c>
      <x:c r="L604" s="23" t="e">
        <x:f>HYPERLINK("https://thi.worldorgs.com/%E0%B9%81%E0%B8%84%E0%B8%95%E0%B8%95%E0%B8%B2%E0%B8%A5%E0%B9%87%E0%B8%AD%E0%B8%81/%E0%B8%AD.%E0%B9%80%E0%B8%A1%E0%B8%B7%E0%B8%AD%E0%B8%87/%E0%B8%A3%E0%B9%89%E0%B8%B2%E0%B8%99%E0%B8%82%E0%B8%AD%E0%B8%87%E0%B8%AB%E0%B8%A7%E0%B8%B2%E0%B8%99/%E0%B8%84%E0%B8%A3%E0%B8%B1%E0%B8%A7%E0%B8%AD%E0%B8%B2%E0%B8%A1%E0%B8%B5%E0%B8%99%E0%B8%B0%E0%B8%AB%E0%B9%8C-%E0%B9%80%E0%B8%88%E0%B9%8A%E0%B8%A1%E0%B8%B8%E0%B9%89%E0%B8%A2","เปิดเว็บเพิ่ม 1")</x:f>
        <x:v>HYPERLINK is not implemented. linkLocation=https://thi.worldorgs.com/%E0%B9%81%E0%B8%84%E0%B8%95%E0%B8%95%E0%B8%B2%E0%B8%A5%E0%B9%87%E0%B8%AD%E0%B8%81/%E0%B8%AD.%E0%B9%80%E0%B8%A1%E0%B8%B7%E0%B8%AD%E0%B8%87/%E0%B8%A3%E0%B9%89%E0%B8%B2%E0%B8%99%E0%B8%82%E0%B8%AD%E0%B8%87%E0%B8%AB%E0%B8%A7%E0%B8%B2%E0%B8%99/%E0%B8%84%E0%B8%A3%E0%B8%B1%E0%B8%A7%E0%B8%AD%E0%B8%B2%E0%B8%A1%E0%B8%B5%E0%B8%99%E0%B8%B0%E0%B8%AB%E0%B9%8C-%E0%B9%80%E0%B8%88%E0%B9%8A%E0%B8%A1%E0%B8%B8%E0%B9%89%E0%B8%A2, friendlyName=เปิดเว็บเพิ่ม 1</x:v>
      </x:c>
      <x:c r="M604" s="23" t="str"/>
      <x:c r="N604" s="20" t="str">
        <x:v>ยังไม่ยืนยัน</x:v>
      </x:c>
      <x:c r="O604" s="20" t="str">
        <x:v>ยังไม่ยืนยันวันที่โพสต์/รีวิวล่าสุดและการเปิดให้บริการปัจจุบัน</x:v>
      </x:c>
      <x:c r="P604" s="25" t="n">
        <x:v>46315</x:v>
      </x:c>
      <x:c r="Q604" s="27" t="str">
        <x:v>ยังไม่ตรวจ</x:v>
      </x:c>
      <x:c r="R604" s="27" t="str">
        <x:v>รอติดต่อ</x:v>
      </x:c>
    </x:row>
    <x:row r="605" ht="76" customHeight="1">
      <x:c r="A605" s="24" t="str">
        <x:v>TMF-597</x:v>
      </x:c>
      <x:c r="B605" s="20" t="str">
        <x:v>AZIZ halal bread สุขุมวิท 49/14</x:v>
      </x:c>
      <x:c r="C605" s="20" t="str">
        <x:v>กรุงเทพมหานคร</x:v>
      </x:c>
      <x:c r="D605" s="20" t="str">
        <x:v>คงไว้ในชุด 600</x:v>
      </x:c>
      <x:c r="E605" s="20" t="str">
        <x:v>พบหลายแหล่งสัมพันธ์กับชื่อ รอยืนยันการเปิด</x:v>
      </x:c>
      <x:c r="F605" s="20" t="str">
        <x:v>ยังไม่ยืนยันการเปิดให้บริการปัจจุบัน</x:v>
      </x:c>
      <x:c r="G605" s="26" t="n">
        <x:v>3</x:v>
      </x:c>
      <x:c r="H605" s="23" t="str"/>
      <x:c r="I605" s="23" t="str"/>
      <x:c r="J605" s="23" t="e">
        <x:f>HYPERLINK("https://www.wongnai.com/restaurants/2877728XR-aziz-halal-bread-%E0%B8%AA%E0%B8%B8%E0%B8%82%E0%B8%B8%E0%B8%A1%E0%B8%A7%E0%B8%B4%E0%B8%97-49-14/photos/b4d75f9e2f8c4004a6e495e19373f3e2","เปิดหน้ารีวิว 1")</x:f>
        <x:v>HYPERLINK is not implemented. linkLocation=https://www.wongnai.com/restaurants/2877728XR-aziz-halal-bread-%E0%B8%AA%E0%B8%B8%E0%B8%82%E0%B8%B8%E0%B8%A1%E0%B8%A7%E0%B8%B4%E0%B8%97-49-14/photos/b4d75f9e2f8c4004a6e495e19373f3e2, friendlyName=เปิดหน้ารีวิว 1</x:v>
      </x:c>
      <x:c r="K605" s="23" t="e">
        <x:f>HYPERLINK("https://www.wongnai.com/restaurants/2877728XR-aziz-halal-bread-sukhumvit-49-14/menu?menuGroupId=favourites","เปิดหน้ารีวิว 2")</x:f>
        <x:v>HYPERLINK is not implemented. linkLocation=https://www.wongnai.com/restaurants/2877728XR-aziz-halal-bread-sukhumvit-49-14/menu?menuGroupId=favourites, friendlyName=เปิดหน้ารีวิว 2</x:v>
      </x:c>
      <x:c r="L605" s="23" t="e">
        <x:f>HYPERLINK("https://salaamthailand.com/ja/place/halal-bakery-aziz-halal-bread-1ujdx0/","เปิดเว็บเพิ่ม 1")</x:f>
        <x:v>HYPERLINK is not implemented. linkLocation=https://salaamthailand.com/ja/place/halal-bakery-aziz-halal-bread-1ujdx0/, friendlyName=เปิดเว็บเพิ่ม 1</x:v>
      </x:c>
      <x:c r="M605" s="23" t="str"/>
      <x:c r="N605" s="20" t="str">
        <x:v>ยังไม่ยืนยัน</x:v>
      </x:c>
      <x:c r="O60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05" s="25" t="n">
        <x:v>46315</x:v>
      </x:c>
      <x:c r="Q605" s="27" t="str">
        <x:v>ยังไม่ตรวจ</x:v>
      </x:c>
      <x:c r="R605" s="27" t="str">
        <x:v>รอติดต่อ</x:v>
      </x:c>
    </x:row>
    <x:row r="606" ht="96" customHeight="1">
      <x:c r="A606" s="24" t="str">
        <x:v>TMF-598</x:v>
      </x:c>
      <x:c r="B606" s="20" t="str">
        <x:v>กะเพรากระทะเดือด ฮาลาล &amp; Greek yogurt</x:v>
      </x:c>
      <x:c r="C606" s="20" t="str">
        <x:v>กรุงเทพมหานคร</x:v>
      </x:c>
      <x:c r="D606" s="20" t="str">
        <x:v>สำรองเพื่อจัดลำดับให้ทะเบียน GMHI</x:v>
      </x:c>
      <x:c r="E606" s="20" t="str">
        <x:v>หลักฐานไม่พอ รอยืนยันการเปิด</x:v>
      </x:c>
      <x:c r="F606" s="20" t="str">
        <x:v>ยังไม่ยืนยันการเปิดให้บริการปัจจุบัน</x:v>
      </x:c>
      <x:c r="G606" s="26" t="n">
        <x:v>1</x:v>
      </x:c>
      <x:c r="H606" s="23" t="str"/>
      <x:c r="I606" s="23" t="str"/>
      <x:c r="J606" s="23" t="str"/>
      <x:c r="K606" s="23" t="str"/>
      <x:c r="L606" s="23" t="str"/>
      <x:c r="M606" s="23" t="str"/>
      <x:c r="N606" s="20" t="str">
        <x:v>ยังไม่ยืนยัน</x:v>
      </x:c>
      <x:c r="O606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06" s="25" t="n">
        <x:v>46315</x:v>
      </x:c>
      <x:c r="Q606" s="27" t="str">
        <x:v>ยังไม่ตรวจ</x:v>
      </x:c>
      <x:c r="R606" s="27" t="str">
        <x:v>รอติดต่อ</x:v>
      </x:c>
    </x:row>
    <x:row r="607" ht="96" customHeight="1">
      <x:c r="A607" s="24" t="str">
        <x:v>TMF-599</x:v>
      </x:c>
      <x:c r="B607" s="20" t="str">
        <x:v>บัง ปัง ปาย</x:v>
      </x:c>
      <x:c r="C607" s="20" t="str">
        <x:v>แม่ฮ่องสอน</x:v>
      </x:c>
      <x:c r="D607" s="20" t="str">
        <x:v>คงไว้ในชุด 600</x:v>
      </x:c>
      <x:c r="E607" s="20" t="str">
        <x:v>หลักฐานไม่พอ รอยืนยันการเปิด</x:v>
      </x:c>
      <x:c r="F607" s="20" t="str">
        <x:v>ยังไม่ยืนยันการเปิดให้บริการปัจจุบัน</x:v>
      </x:c>
      <x:c r="G607" s="26" t="n">
        <x:v>1</x:v>
      </x:c>
      <x:c r="H607" s="23" t="str"/>
      <x:c r="I607" s="23" t="str"/>
      <x:c r="J607" s="23" t="str"/>
      <x:c r="K607" s="23" t="str"/>
      <x:c r="L607" s="23" t="str"/>
      <x:c r="M607" s="23" t="str"/>
      <x:c r="N607" s="20" t="str">
        <x:v>ยังไม่ยืนยัน</x:v>
      </x:c>
      <x:c r="O607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07" s="25" t="n">
        <x:v>46315</x:v>
      </x:c>
      <x:c r="Q607" s="27" t="str">
        <x:v>ยังไม่ตรวจ</x:v>
      </x:c>
      <x:c r="R607" s="27" t="str">
        <x:v>รอติดต่อ</x:v>
      </x:c>
    </x:row>
    <x:row r="608" ht="76" customHeight="1">
      <x:c r="A608" s="24" t="str">
        <x:v>TMF-600</x:v>
      </x:c>
      <x:c r="B608" s="20" t="str">
        <x:v>สบายดีเฮ้าส์ แอทปาย</x:v>
      </x:c>
      <x:c r="C608" s="20" t="str">
        <x:v>แม่ฮ่องสอน</x:v>
      </x:c>
      <x:c r="D608" s="20" t="str">
        <x:v>คงไว้ในชุด 600</x:v>
      </x:c>
      <x:c r="E608" s="20" t="str">
        <x:v>พบหลายแหล่งสัมพันธ์กับชื่อ รอยืนยันการเปิด</x:v>
      </x:c>
      <x:c r="F608" s="20" t="str">
        <x:v>ยังไม่ยืนยันการเปิดให้บริการปัจจุบัน</x:v>
      </x:c>
      <x:c r="G608" s="26" t="n">
        <x:v>3</x:v>
      </x:c>
      <x:c r="H608" s="23" t="str"/>
      <x:c r="I608" s="23" t="str"/>
      <x:c r="J608" s="23" t="e">
        <x:f>HYPERLINK("https://www.google.com.sa/travel/hotels/entity/ChoIvsW9qvC6sfKAARoNL2cvMTFnMG12OTBycxAB?ap=MAC6AQZwcmljZXM&amp;gl=th&amp;gsas=1&amp;hl=th&amp;rp=OAFIAsICHCIaDQAAIkMSEwiu2Jmys5GXAxUUqsIIHctLIWc&amp;ts=CAEaBAoCGgAqBAoAGgA&amp;un=1","เปิดหน้ารีวิว 1")</x:f>
        <x:v>HYPERLINK is not implemented. linkLocation=https://www.google.com.sa/travel/hotels/entity/ChoIvsW9qvC6sfKAARoNL2cvMTFnMG12OTBycxAB?ap=MAC6AQZwcmljZXM&amp;gl=th&amp;gsas=1&amp;hl=th&amp;rp=OAFIAsICHCIaDQAAIkMSEwiu2Jmys5GXAxUUqsIIHctLIWc&amp;ts=CAEaBAoCGgAqBAoAGgA&amp;un=1, friendlyName=เปิดหน้ารีวิว 1</x:v>
      </x:c>
      <x:c r="K608" s="23" t="str"/>
      <x:c r="L608" s="23" t="e">
        <x:f>HYPERLINK("https://www.thaithurkic.com/sabaydee-house-at-pai-097-106-2907","เปิดเว็บเพิ่ม 1")</x:f>
        <x:v>HYPERLINK is not implemented. linkLocation=https://www.thaithurkic.com/sabaydee-house-at-pai-097-106-2907, friendlyName=เปิดเว็บเพิ่ม 1</x:v>
      </x:c>
      <x:c r="M608" s="23" t="str"/>
      <x:c r="N608" s="20" t="str">
        <x:v>ยังไม่ยืนยัน</x:v>
      </x:c>
      <x:c r="O60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08" s="25" t="n">
        <x:v>46315</x:v>
      </x:c>
      <x:c r="Q608" s="27" t="str">
        <x:v>ยังไม่ตรวจ</x:v>
      </x:c>
      <x:c r="R608" s="27" t="str">
        <x:v>รอติดต่อ</x:v>
      </x:c>
    </x:row>
    <x:row r="609" ht="76" customHeight="1">
      <x:c r="A609" s="24" t="str">
        <x:v>GMHI-48</x:v>
      </x:c>
      <x:c r="B609" s="20" t="str">
        <x:v>Nikudake Halal Wagyu Sukiyaki</x:v>
      </x:c>
      <x:c r="C609" s="20" t="str">
        <x:v>สงขลา</x:v>
      </x:c>
      <x:c r="D609" s="20" t="str">
        <x:v>เพิ่มจากทะเบียน GMHI</x:v>
      </x:c>
      <x:c r="E609" s="20" t="str">
        <x:v>พบหลายแหล่งสัมพันธ์กับชื่อ รอยืนยันการเปิด</x:v>
      </x:c>
      <x:c r="F609" s="20" t="str">
        <x:v>ยังไม่ยืนยันการเปิดให้บริการปัจจุบัน</x:v>
      </x:c>
      <x:c r="G609" s="26" t="n">
        <x:v>4</x:v>
      </x:c>
      <x:c r="H609" s="23" t="str"/>
      <x:c r="I609" s="23" t="str"/>
      <x:c r="J609" s="23" t="e">
        <x:f>HYPERLINK("https://www.wongnai.com/restaurants/3188830oR-nikudake-halal-wagyu-sukiyaki-hatyai","เปิดหน้ารีวิว 1")</x:f>
        <x:v>HYPERLINK is not implemented. linkLocation=https://www.wongnai.com/restaurants/3188830oR-nikudake-halal-wagyu-sukiyaki-hatyai, friendlyName=เปิดหน้ารีวิว 1</x:v>
      </x:c>
      <x:c r="K609" s="23" t="e">
        <x:f>HYPERLINK("https://www.wongnai.com/reviews/9a2af6ce24004fbfaac1a87ade350956","เปิดหน้ารีวิว 2")</x:f>
        <x:v>HYPERLINK is not implemented. linkLocation=https://www.wongnai.com/reviews/9a2af6ce24004fbfaac1a87ade350956, friendlyName=เปิดหน้ารีวิว 2</x:v>
      </x:c>
      <x:c r="L609" s="23" t="str"/>
      <x:c r="M609" s="23" t="str"/>
      <x:c r="N609" s="20" t="str">
        <x:v>ยังไม่ยืนยัน</x:v>
      </x:c>
      <x:c r="O60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09" s="25" t="n">
        <x:v>46315</x:v>
      </x:c>
      <x:c r="Q609" s="27" t="str">
        <x:v>ยังไม่ตรวจ</x:v>
      </x:c>
      <x:c r="R609" s="27" t="str">
        <x:v>รอติดต่อ</x:v>
      </x:c>
    </x:row>
    <x:row r="610" ht="96" customHeight="1">
      <x:c r="A610" s="24" t="str">
        <x:v>GMHI-27</x:v>
      </x:c>
      <x:c r="B610" s="20" t="str">
        <x:v>H-Banaat</x:v>
      </x:c>
      <x:c r="C610" s="20" t="str">
        <x:v>กรุงเทพมหานคร</x:v>
      </x:c>
      <x:c r="D610" s="20" t="str">
        <x:v>เพิ่มจากทะเบียน GMHI</x:v>
      </x:c>
      <x:c r="E610" s="20" t="str">
        <x:v>หลักฐานไม่พอ รอยืนยันการเปิด</x:v>
      </x:c>
      <x:c r="F610" s="20" t="str">
        <x:v>ยังไม่ยืนยันการเปิดให้บริการปัจจุบัน</x:v>
      </x:c>
      <x:c r="G610" s="26" t="n">
        <x:v>1</x:v>
      </x:c>
      <x:c r="H610" s="23" t="str"/>
      <x:c r="I610" s="23" t="str"/>
      <x:c r="J610" s="23" t="str"/>
      <x:c r="K610" s="23" t="str"/>
      <x:c r="L610" s="23" t="str"/>
      <x:c r="M610" s="23" t="str"/>
      <x:c r="N610" s="20" t="str">
        <x:v>ยังไม่ยืนยัน</x:v>
      </x:c>
      <x:c r="O610" s="20" t="str">
        <x:v>ยังไม่พบแหล่งข้อมูลอีกแห่งที่จับคู่ชื่อได้ชัดเจน / 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10" s="25" t="n">
        <x:v>46315</x:v>
      </x:c>
      <x:c r="Q610" s="27" t="str">
        <x:v>ยังไม่ตรวจ</x:v>
      </x:c>
      <x:c r="R610" s="27" t="str">
        <x:v>รอติดต่อ</x:v>
      </x:c>
    </x:row>
    <x:row r="611" ht="96" customHeight="1">
      <x:c r="A611" s="24" t="str">
        <x:v>GMHI-28</x:v>
      </x:c>
      <x:c r="B611" s="20" t="str">
        <x:v>The Grill</x:v>
      </x:c>
      <x:c r="C611" s="20" t="str">
        <x:v>กรุงเทพมหานคร</x:v>
      </x:c>
      <x:c r="D611" s="20" t="str">
        <x:v>เพิ่มจากทะเบียน GMHI</x:v>
      </x:c>
      <x:c r="E611" s="20" t="str">
        <x:v>หลักฐานไม่พอ รอยืนยันการเปิด</x:v>
      </x:c>
      <x:c r="F611" s="20" t="str">
        <x:v>ยังไม่ยืนยันการเปิดให้บริการปัจจุบัน</x:v>
      </x:c>
      <x:c r="G611" s="26" t="n">
        <x:v>4</x:v>
      </x:c>
      <x:c r="H611" s="23" t="e">
        <x:f>HYPERLINK("https://www.instagram.com/thegrillbuffetyakiniku/","เปิดช่องทาง 1")</x:f>
        <x:v>HYPERLINK is not implemented. linkLocation=https://www.instagram.com/thegrillbuffetyakiniku/, friendlyName=เปิดช่องทาง 1</x:v>
      </x:c>
      <x:c r="I611" s="23" t="str"/>
      <x:c r="J611" s="23" t="e">
        <x:f>HYPERLINK("https://www.lemon8-app.com/@memeephapaieat/7653293351337067015?region=th","เปิดหน้ารีวิว 1")</x:f>
        <x:v>HYPERLINK is not implemented. linkLocation=https://www.lemon8-app.com/@memeephapaieat/7653293351337067015?region=th, friendlyName=เปิดหน้ารีวิว 1</x:v>
      </x:c>
      <x:c r="K611" s="23" t="str"/>
      <x:c r="L611" s="23" t="e">
        <x:f>HYPERLINK("https://makanhalalguide.com/stories/detail/The-Grill-Halal-Buffet-ramkhumhang53/300","เปิดเว็บเพิ่ม 1")</x:f>
        <x:v>HYPERLINK is not implemented. linkLocation=https://makanhalalguide.com/stories/detail/The-Grill-Halal-Buffet-ramkhumhang53/300, friendlyName=เปิดเว็บเพิ่ม 1</x:v>
      </x:c>
      <x:c r="M611" s="23" t="str"/>
      <x:c r="N611" s="20" t="str">
        <x:v>ยังไม่ยืนยัน</x:v>
      </x:c>
      <x:c r="O611" s="20" t="str">
        <x:v>จำกัดการจับคู่เฉพาะ The Grill รามคำแหง 53 / ตัด The Grill Tokyo สยามพารากอนออกจากหลักฐาน / พบชื่อบัญชี Instagram และรีวิวสาขาที่สัมพันธ์กับชื่อ ยังต้องยืนยันเจ้าของบัญชีและวันที่เปิดปัจจุบัน</x:v>
      </x:c>
      <x:c r="P611" s="25" t="n">
        <x:v>46315</x:v>
      </x:c>
      <x:c r="Q611" s="27" t="str">
        <x:v>ยังไม่ตรวจ</x:v>
      </x:c>
      <x:c r="R611" s="27" t="str">
        <x:v>รอติดต่อ</x:v>
      </x:c>
    </x:row>
    <x:row r="612" ht="96" customHeight="1">
      <x:c r="A612" s="24" t="str">
        <x:v>GMHI-38</x:v>
      </x:c>
      <x:c r="B612" s="20" t="str">
        <x:v>FARAYA Cruise Restaurant</x:v>
      </x:c>
      <x:c r="C612" s="20" t="str">
        <x:v>กรุงเทพมหานคร</x:v>
      </x:c>
      <x:c r="D612" s="20" t="str">
        <x:v>เพิ่มจากทะเบียน GMHI</x:v>
      </x:c>
      <x:c r="E612" s="20" t="str">
        <x:v>หลักฐานไม่พอ รอยืนยันการเปิด</x:v>
      </x:c>
      <x:c r="F612" s="20" t="str">
        <x:v>พบประกาศหยุดซ่อม 01/09–12/10/2026 ต้องยืนยันกลับมาเปิด</x:v>
      </x:c>
      <x:c r="G612" s="26" t="n">
        <x:v>4</x:v>
      </x:c>
      <x:c r="H612" s="23" t="e">
        <x:f>HYPERLINK("https://www.facebook.com/riversidebangkok","เปิดช่องทาง 1")</x:f>
        <x:v>HYPERLINK is not implemented. linkLocation=https://www.facebook.com/riversidebangkok, friendlyName=เปิดช่องทาง 1</x:v>
      </x:c>
      <x:c r="I612" s="23" t="str"/>
      <x:c r="J612" s="23" t="e">
        <x:f>HYPERLINK("https://www.tripadvisor.com/Attraction_Review-g293916-d34222463-Reviews-Riverside_Faraya_Halal_Dinner_Cruise-Bangkok.html","เปิดหน้ารีวิว 1")</x:f>
        <x:v>HYPERLINK is not implemented. linkLocation=https://www.tripadvisor.com/Attraction_Review-g293916-d34222463-Reviews-Riverside_Faraya_Halal_Dinner_Cruise-Bangkok.html, friendlyName=เปิดหน้ารีวิว 1</x:v>
      </x:c>
      <x:c r="K612" s="23" t="str"/>
      <x:c r="L612" s="23" t="e">
        <x:f>HYPERLINK("https://www.riversidebangkok.com/cruises/","เปิดเว็บเพิ่ม 1")</x:f>
        <x:v>HYPERLINK is not implemented. linkLocation=https://www.riversidebangkok.com/cruises/, friendlyName=เปิดเว็บเพิ่ม 1</x:v>
      </x:c>
      <x:c r="M612" s="23" t="e">
        <x:f>HYPERLINK("https://www.allabout-journey.com/tours/riverside-faraya-halal-asiatique/","เปิดเว็บเพิ่ม 2")</x:f>
        <x:v>HYPERLINK is not implemented. linkLocation=https://www.allabout-journey.com/tours/riverside-faraya-halal-asiatique/, friendlyName=เปิดเว็บเพิ่ม 2</x:v>
      </x:c>
      <x:c r="N612" s="20" t="str">
        <x:v>ประกาศช่วงหยุดซ่อม 2026-09-01 ถึง 2026-10-12</x:v>
      </x:c>
      <x:c r="O612" s="20" t="str">
        <x:v>เว็บไซต์ Riverside ระบุชื่อ Faraya และการรับรองอาหารฮาลาล / ผู้ขายตั๋วแจ้งหยุดซ่อม 1 ก.ย.–12 ต.ค. 2026 ยังไม่ยืนยันกลับมาเปิด / KKday ระบุเช็กอินเอเชียทีคตั้งแต่ 16 มิ.ย. 2026 ต้องยืนยันจุดขึ้นเรือปัจจุบัน</x:v>
      </x:c>
      <x:c r="P612" s="25" t="n">
        <x:v>46315</x:v>
      </x:c>
      <x:c r="Q612" s="27" t="str">
        <x:v>ยังไม่ตรวจ</x:v>
      </x:c>
      <x:c r="R612" s="27" t="str">
        <x:v>รอติดต่อ</x:v>
      </x:c>
    </x:row>
    <x:row r="613" ht="76" customHeight="1">
      <x:c r="A613" s="24" t="str">
        <x:v>GMHI-31</x:v>
      </x:c>
      <x:c r="B613" s="20" t="str">
        <x:v>The Suan Dusit Place</x:v>
      </x:c>
      <x:c r="C613" s="20" t="str">
        <x:v>กรุงเทพมหานคร</x:v>
      </x:c>
      <x:c r="D613" s="20" t="str">
        <x:v>เพิ่มจากทะเบียน GMHI</x:v>
      </x:c>
      <x:c r="E613" s="20" t="str">
        <x:v>พบหลายแหล่งสัมพันธ์กับชื่อ รอยืนยันการเปิด</x:v>
      </x:c>
      <x:c r="F613" s="20" t="str">
        <x:v>ยังไม่ยืนยันการเปิดให้บริการปัจจุบัน</x:v>
      </x:c>
      <x:c r="G613" s="26" t="n">
        <x:v>3</x:v>
      </x:c>
      <x:c r="H613" s="23" t="str"/>
      <x:c r="I613" s="23" t="str"/>
      <x:c r="J613" s="23" t="str"/>
      <x:c r="K613" s="23" t="str"/>
      <x:c r="L613" s="23" t="e">
        <x:f>HYPERLINK("https://www.skyscanner.co.th/hotels/thailand/bangkok-hotels/the-suan-dusit-place/ht-178867022","เปิดเว็บเพิ่ม 1")</x:f>
        <x:v>HYPERLINK is not implemented. linkLocation=https://www.skyscanner.co.th/hotels/thailand/bangkok-hotels/the-suan-dusit-place/ht-178867022, friendlyName=เปิดเว็บเพิ่ม 1</x:v>
      </x:c>
      <x:c r="M613" s="23" t="e">
        <x:f>HYPERLINK("https://www.hotelscombined.com/Hotel/Suan_Dusit_Place.htm","เปิดเว็บเพิ่ม 2")</x:f>
        <x:v>HYPERLINK is not implemented. linkLocation=https://www.hotelscombined.com/Hotel/Suan_Dusit_Place.htm, friendlyName=เปิดเว็บเพิ่ม 2</x:v>
      </x:c>
      <x:c r="N613" s="20" t="str">
        <x:v>ยังไม่ยืนยัน</x:v>
      </x:c>
      <x:c r="O613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13" s="25" t="n">
        <x:v>46315</x:v>
      </x:c>
      <x:c r="Q613" s="27" t="str">
        <x:v>ยังไม่ตรวจ</x:v>
      </x:c>
      <x:c r="R613" s="27" t="str">
        <x:v>รอติดต่อ</x:v>
      </x:c>
    </x:row>
    <x:row r="614" ht="76" customHeight="1">
      <x:c r="A614" s="24" t="str">
        <x:v>GMHI-54</x:v>
      </x:c>
      <x:c r="B614" s="20" t="str">
        <x:v>มิตรไมตรี dining café hatyai village</x:v>
      </x:c>
      <x:c r="C614" s="20" t="str">
        <x:v>สงขลา</x:v>
      </x:c>
      <x:c r="D614" s="20" t="str">
        <x:v>เพิ่มจากทะเบียน GMHI</x:v>
      </x:c>
      <x:c r="E614" s="20" t="str">
        <x:v>พบหลายแหล่งสัมพันธ์กับชื่อ รอยืนยันการเปิด</x:v>
      </x:c>
      <x:c r="F614" s="20" t="str">
        <x:v>ยังไม่ยืนยันการเปิดให้บริการปัจจุบัน</x:v>
      </x:c>
      <x:c r="G614" s="26" t="n">
        <x:v>3</x:v>
      </x:c>
      <x:c r="H614" s="23" t="str"/>
      <x:c r="I614" s="23" t="str"/>
      <x:c r="J614" s="23" t="e">
        <x:f>HYPERLINK("https://www.lemon8-app.com/cenazee/7413327899681423889?region=th","เปิดหน้ารีวิว 1")</x:f>
        <x:v>HYPERLINK is not implemented. linkLocation=https://www.lemon8-app.com/cenazee/7413327899681423889?region=th, friendlyName=เปิดหน้ารีวิว 1</x:v>
      </x:c>
      <x:c r="K614" s="23" t="e">
        <x:f>HYPERLINK("https://www.lemon8-app.com/%40eatwihtmeseesawseen/7413327899681423889?region=th","เปิดหน้ารีวิว 2")</x:f>
        <x:v>HYPERLINK is not implemented. linkLocation=https://www.lemon8-app.com/%40eatwihtmeseesawseen/7413327899681423889?region=th, friendlyName=เปิดหน้ารีวิว 2</x:v>
      </x:c>
      <x:c r="L614" s="23" t="e">
        <x:f>HYPERLINK("https://www.havehalalwilltravel.com/halal-restaurants/detail/%E0%B8%A1%E0%B8%95%E0%B8%A3%E0%B9%84%E0%B8%A1%E0%B8%95%E0%B8%A3-dining-caf%C3%A9-hatyai-village","เปิดเว็บเพิ่ม 1")</x:f>
        <x:v>HYPERLINK is not implemented. linkLocation=https://www.havehalalwilltravel.com/halal-restaurants/detail/%E0%B8%A1%E0%B8%95%E0%B8%A3%E0%B9%84%E0%B8%A1%E0%B8%95%E0%B8%A3-dining-caf%C3%A9-hatyai-village, friendlyName=เปิดเว็บเพิ่ม 1</x:v>
      </x:c>
      <x:c r="M614" s="23" t="str"/>
      <x:c r="N614" s="20" t="str">
        <x:v>ยังไม่ยืนยัน</x:v>
      </x:c>
      <x:c r="O61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14" s="25" t="n">
        <x:v>46315</x:v>
      </x:c>
      <x:c r="Q614" s="27" t="str">
        <x:v>ยังไม่ตรวจ</x:v>
      </x:c>
      <x:c r="R614" s="27" t="str">
        <x:v>รอติดต่อ</x:v>
      </x:c>
    </x:row>
    <x:row r="615" ht="76" customHeight="1">
      <x:c r="A615" s="24" t="str">
        <x:v>GMHI-37</x:v>
      </x:c>
      <x:c r="B615" s="20" t="str">
        <x:v>Bi'halalika Roti &amp; Bistro</x:v>
      </x:c>
      <x:c r="C615" s="20" t="str">
        <x:v>กรุงเทพมหานคร</x:v>
      </x:c>
      <x:c r="D615" s="20" t="str">
        <x:v>เพิ่มจากทะเบียน GMHI</x:v>
      </x:c>
      <x:c r="E615" s="20" t="str">
        <x:v>พบหลายแหล่งสัมพันธ์กับชื่อ รอยืนยันการเปิด</x:v>
      </x:c>
      <x:c r="F615" s="20" t="str">
        <x:v>ยังไม่ยืนยันการเปิดให้บริการปัจจุบัน</x:v>
      </x:c>
      <x:c r="G615" s="26" t="n">
        <x:v>4</x:v>
      </x:c>
      <x:c r="H615" s="23" t="e">
        <x:f>HYPERLINK("https://www.facebook.com/people/Bihalalika-Roti-Bistro/61559810138702/","เปิดช่องทาง 1")</x:f>
        <x:v>HYPERLINK is not implemented. linkLocation=https://www.facebook.com/people/Bihalalika-Roti-Bistro/61559810138702/, friendlyName=เปิดช่องทาง 1</x:v>
      </x:c>
      <x:c r="I615" s="23" t="str"/>
      <x:c r="J615" s="23" t="e">
        <x:f>HYPERLINK("https://th.tripadvisor.com/Restaurant_Review-g293916-d32710368-Reviews-Bi_halalika_Roti_Bistro-Bangkok.html","เปิดหน้ารีวิว 1")</x:f>
        <x:v>HYPERLINK is not implemented. linkLocation=https://th.tripadvisor.com/Restaurant_Review-g293916-d32710368-Reviews-Bi_halalika_Roti_Bistro-Bangkok.html, friendlyName=เปิดหน้ารีวิว 1</x:v>
      </x:c>
      <x:c r="K615" s="23" t="e">
        <x:f>HYPERLINK("https://www.tripadvisor.com/Restaurant_Review-g293916-d32710368-Reviews-Bi_halalika_Roti_Bistro-Bangkok.html","เปิดหน้ารีวิว 2")</x:f>
        <x:v>HYPERLINK is not implemented. linkLocation=https://www.tripadvisor.com/Restaurant_Review-g293916-d32710368-Reviews-Bi_halalika_Roti_Bistro-Bangkok.html, friendlyName=เปิดหน้ารีวิว 2</x:v>
      </x:c>
      <x:c r="L615" s="23" t="str"/>
      <x:c r="M615" s="23" t="str"/>
      <x:c r="N615" s="20" t="str">
        <x:v>ยังไม่ยืนยัน</x:v>
      </x:c>
      <x:c r="O615" s="20" t="str">
        <x:v>ยังไม่ยืนยันวันที่โพสต์/รีวิวล่าสุดและการเปิดให้บริการปัจจุบัน</x:v>
      </x:c>
      <x:c r="P615" s="25" t="n">
        <x:v>46315</x:v>
      </x:c>
      <x:c r="Q615" s="27" t="str">
        <x:v>ยังไม่ตรวจ</x:v>
      </x:c>
      <x:c r="R615" s="27" t="str">
        <x:v>รอติดต่อ</x:v>
      </x:c>
    </x:row>
    <x:row r="616" ht="76" customHeight="1">
      <x:c r="A616" s="24" t="str">
        <x:v>GMHI-50</x:v>
      </x:c>
      <x:c r="B616" s="20" t="str">
        <x:v>เนื้อล้วนล้วน Halal Wagyu Yakiniku Hatyai</x:v>
      </x:c>
      <x:c r="C616" s="20" t="str">
        <x:v>สงขลา</x:v>
      </x:c>
      <x:c r="D616" s="20" t="str">
        <x:v>เพิ่มจากทะเบียน GMHI</x:v>
      </x:c>
      <x:c r="E616" s="20" t="str">
        <x:v>พบหลายแหล่งสัมพันธ์กับชื่อ รอยืนยันการเปิด</x:v>
      </x:c>
      <x:c r="F616" s="20" t="str">
        <x:v>ยังไม่ยืนยันการเปิดให้บริการปัจจุบัน</x:v>
      </x:c>
      <x:c r="G616" s="26" t="n">
        <x:v>2</x:v>
      </x:c>
      <x:c r="H616" s="23" t="str"/>
      <x:c r="I616" s="23" t="str"/>
      <x:c r="J616" s="23" t="str"/>
      <x:c r="K616" s="23" t="str"/>
      <x:c r="L616" s="23" t="e">
        <x:f>HYPERLINK("https://friendsbusy.com/judcheckin/%E0%B9%80%E0%B8%99%E0%B8%B7%E0%B9%89%E0%B8%AD%E0%B8%A5%E0%B9%89%E0%B8%A7%E0%B8%99%E0%B8%A5%E0%B9%89%E0%B8%A7%E0%B8%99-halal-wagyu-yakiniku-hatyai/","เปิดเว็บเพิ่ม 1")</x:f>
        <x:v>HYPERLINK is not implemented. linkLocation=https://friendsbusy.com/judcheckin/%E0%B9%80%E0%B8%99%E0%B8%B7%E0%B9%89%E0%B8%AD%E0%B8%A5%E0%B9%89%E0%B8%A7%E0%B8%99%E0%B8%A5%E0%B9%89%E0%B8%A7%E0%B8%99-halal-wagyu-yakiniku-hatyai/, friendlyName=เปิดเว็บเพิ่ม 1</x:v>
      </x:c>
      <x:c r="M616" s="23" t="str"/>
      <x:c r="N616" s="20" t="str">
        <x:v>ยังไม่ยืนยัน</x:v>
      </x:c>
      <x:c r="O616" s="20" t="str">
        <x:v>ยังไม่พบช่องทางสังคมที่จับคู่ได้ชัดเจน / ยังไม่พบหน้ารีวิวที่จับคู่ได้ชัดเจน / ยังไม่ยืนยันวันที่โพสต์/รีวิวล่าสุดและการเปิดให้บริการปัจจุบัน</x:v>
      </x:c>
      <x:c r="P616" s="25" t="n">
        <x:v>46315</x:v>
      </x:c>
      <x:c r="Q616" s="27" t="str">
        <x:v>ยังไม่ตรวจ</x:v>
      </x:c>
      <x:c r="R616" s="27" t="str">
        <x:v>รอติดต่อ</x:v>
      </x:c>
    </x:row>
    <x:row r="617" ht="76" customHeight="1">
      <x:c r="A617" s="24" t="str">
        <x:v>GMHI-33</x:v>
      </x:c>
      <x:c r="B617" s="20" t="str">
        <x:v>Just Salt Steak</x:v>
      </x:c>
      <x:c r="C617" s="20" t="str">
        <x:v>กรุงเทพมหานคร</x:v>
      </x:c>
      <x:c r="D617" s="20" t="str">
        <x:v>เพิ่มจากทะเบียน GMHI</x:v>
      </x:c>
      <x:c r="E617" s="20" t="str">
        <x:v>พบหลายแหล่งสัมพันธ์กับชื่อ รอยืนยันการเปิด</x:v>
      </x:c>
      <x:c r="F617" s="20" t="str">
        <x:v>ยังไม่ยืนยันการเปิดให้บริการปัจจุบัน</x:v>
      </x:c>
      <x:c r="G617" s="26" t="n">
        <x:v>4</x:v>
      </x:c>
      <x:c r="H617" s="23" t="str"/>
      <x:c r="I617" s="23" t="str"/>
      <x:c r="J617" s="23" t="e">
        <x:f>HYPERLINK("https://www.wongnai.com/restaurants/490824MB-the-grill-just-salt-steak","เปิดหน้ารีวิว 1")</x:f>
        <x:v>HYPERLINK is not implemented. linkLocation=https://www.wongnai.com/restaurants/490824MB-the-grill-just-salt-steak, friendlyName=เปิดหน้ารีวิว 1</x:v>
      </x:c>
      <x:c r="K617" s="23" t="e">
        <x:f>HYPERLINK("https://www.wongnai.com/restaurants/490824MB-just-salt-steak-just-salt-steak","เปิดหน้ารีวิว 2")</x:f>
        <x:v>HYPERLINK is not implemented. linkLocation=https://www.wongnai.com/restaurants/490824MB-just-salt-steak-just-salt-steak, friendlyName=เปิดหน้ารีวิว 2</x:v>
      </x:c>
      <x:c r="L617" s="23" t="str"/>
      <x:c r="M617" s="23" t="str"/>
      <x:c r="N617" s="20" t="str">
        <x:v>ยังไม่ยืนยัน</x:v>
      </x:c>
      <x:c r="O61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17" s="25" t="n">
        <x:v>46315</x:v>
      </x:c>
      <x:c r="Q617" s="27" t="str">
        <x:v>ยังไม่ตรวจ</x:v>
      </x:c>
      <x:c r="R617" s="27" t="str">
        <x:v>รอติดต่อ</x:v>
      </x:c>
    </x:row>
    <x:row r="618" ht="76" customHeight="1">
      <x:c r="A618" s="24" t="str">
        <x:v>GMHI-2</x:v>
      </x:c>
      <x:c r="B618" s="20" t="str">
        <x:v>Rembrandt Hotel Bangkok</x:v>
      </x:c>
      <x:c r="C618" s="20" t="str">
        <x:v>กรุงเทพมหานคร</x:v>
      </x:c>
      <x:c r="D618" s="20" t="str">
        <x:v>เพิ่มจากทะเบียน GMHI</x:v>
      </x:c>
      <x:c r="E618" s="20" t="str">
        <x:v>พบหลายแหล่งสัมพันธ์กับชื่อ รอยืนยันการเปิด</x:v>
      </x:c>
      <x:c r="F618" s="20" t="str">
        <x:v>ยังไม่ยืนยันการเปิดให้บริการปัจจุบัน</x:v>
      </x:c>
      <x:c r="G618" s="26" t="n">
        <x:v>8</x:v>
      </x:c>
      <x:c r="H618" s="23" t="e">
        <x:f>HYPERLINK("https://www.facebook.com/rembrandtbkk/","เปิดช่องทาง 1")</x:f>
        <x:v>HYPERLINK is not implemented. linkLocation=https://www.facebook.com/rembrandtbkk/, friendlyName=เปิดช่องทาง 1</x:v>
      </x:c>
      <x:c r="I618" s="23" t="e">
        <x:f>HYPERLINK("https://www.instagram.com/rembrandtbkk/","เปิดช่องทาง 2")</x:f>
        <x:v>HYPERLINK is not implemented. linkLocation=https://www.instagram.com/rembrandtbkk/, friendlyName=เปิดช่องทาง 2</x:v>
      </x:c>
      <x:c r="J618" s="23" t="e">
        <x:f>HYPERLINK("https://www.tripadvisor.com/Hotel_Review-g293916-d305496-Reviews-Rembrandt_Hotel_Bangkok-Bangkok.html","เปิดหน้ารีวิว 1")</x:f>
        <x:v>HYPERLINK is not implemented. linkLocation=https://www.tripadvisor.com/Hotel_Review-g293916-d305496-Reviews-Rembrandt_Hotel_Bangkok-Bangkok.html, friendlyName=เปิดหน้ารีวิว 1</x:v>
      </x:c>
      <x:c r="K618" s="23" t="e">
        <x:f>HYPERLINK("https://www.agoda.com/en-us/rembrandt-hotel-and-towers-bangkok/hotel/bangkok-th.html","เปิดหน้ารีวิว 2")</x:f>
        <x:v>HYPERLINK is not implemented. linkLocation=https://www.agoda.com/en-us/rembrandt-hotel-and-towers-bangkok/hotel/bangkok-th.html, friendlyName=เปิดหน้ารีวิว 2</x:v>
      </x:c>
      <x:c r="L618" s="23" t="e">
        <x:f>HYPERLINK("https://rembrandthotelbangkok.com/rembrandt-hotel-bangkok-faq/","เปิดเว็บเพิ่ม 1")</x:f>
        <x:v>HYPERLINK is not implemented. linkLocation=https://rembrandthotelbangkok.com/rembrandt-hotel-bangkok-faq/, friendlyName=เปิดเว็บเพิ่ม 1</x:v>
      </x:c>
      <x:c r="M618" s="23" t="e">
        <x:f>HYPERLINK("https://www.reddit.com/r/ThailandTourism/comments/1ow8365","เปิดเว็บเพิ่ม 2")</x:f>
        <x:v>HYPERLINK is not implemented. linkLocation=https://www.reddit.com/r/ThailandTourism/comments/1ow8365, friendlyName=เปิดเว็บเพิ่ม 2</x:v>
      </x:c>
      <x:c r="N618" s="20" t="str">
        <x:v>ยังไม่ยืนยัน</x:v>
      </x:c>
      <x:c r="O618" s="20" t="str">
        <x:v>ยังไม่ยืนยันวันที่โพสต์/รีวิวล่าสุดและการเปิดให้บริการปัจจุบัน</x:v>
      </x:c>
      <x:c r="P618" s="25" t="n">
        <x:v>46315</x:v>
      </x:c>
      <x:c r="Q618" s="27" t="str">
        <x:v>ยังไม่ตรวจ</x:v>
      </x:c>
      <x:c r="R618" s="27" t="str">
        <x:v>รอติดต่อ</x:v>
      </x:c>
    </x:row>
    <x:row r="619" ht="76" customHeight="1">
      <x:c r="A619" s="24" t="str">
        <x:v>GMHI-30</x:v>
      </x:c>
      <x:c r="B619" s="20" t="str">
        <x:v>W22 by Burasari</x:v>
      </x:c>
      <x:c r="C619" s="20" t="str">
        <x:v>กรุงเทพมหานคร</x:v>
      </x:c>
      <x:c r="D619" s="20" t="str">
        <x:v>เพิ่มจากทะเบียน GMHI</x:v>
      </x:c>
      <x:c r="E619" s="20" t="str">
        <x:v>พบหลายแหล่งสัมพันธ์กับชื่อ รอยืนยันการเปิด</x:v>
      </x:c>
      <x:c r="F619" s="20" t="str">
        <x:v>ยังไม่ยืนยันการเปิดให้บริการปัจจุบัน</x:v>
      </x:c>
      <x:c r="G619" s="26" t="n">
        <x:v>6</x:v>
      </x:c>
      <x:c r="H619" s="23" t="str"/>
      <x:c r="I619" s="23" t="str"/>
      <x:c r="J619" s="23" t="e">
        <x:f>HYPERLINK("https://www.booking.com/hotel/th/w22.th.html","เปิดหน้ารีวิว 1")</x:f>
        <x:v>HYPERLINK is not implemented. linkLocation=https://www.booking.com/hotel/th/w22.th.html, friendlyName=เปิดหน้ารีวิว 1</x:v>
      </x:c>
      <x:c r="K619" s="23" t="e">
        <x:f>HYPERLINK("https://www.tripadvisor.com/Hotel_Review-g293916-d14931706-Reviews-W22_by_Burasari-Bangkok.html","เปิดหน้ารีวิว 2")</x:f>
        <x:v>HYPERLINK is not implemented. linkLocation=https://www.tripadvisor.com/Hotel_Review-g293916-d14931706-Reviews-W22_by_Burasari-Bangkok.html, friendlyName=เปิดหน้ารีวิว 2</x:v>
      </x:c>
      <x:c r="L619" s="23" t="str"/>
      <x:c r="M619" s="23" t="str"/>
      <x:c r="N619" s="20" t="str">
        <x:v>ยังไม่ยืนยัน</x:v>
      </x:c>
      <x:c r="O619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19" s="25" t="n">
        <x:v>46315</x:v>
      </x:c>
      <x:c r="Q619" s="27" t="str">
        <x:v>ยังไม่ตรวจ</x:v>
      </x:c>
      <x:c r="R619" s="27" t="str">
        <x:v>รอติดต่อ</x:v>
      </x:c>
    </x:row>
    <x:row r="620" ht="96" customHeight="1">
      <x:c r="A620" s="24" t="str">
        <x:v>GMHI-53</x:v>
      </x:c>
      <x:c r="B620" s="20" t="str">
        <x:v>Reborn</x:v>
      </x:c>
      <x:c r="C620" s="20" t="str">
        <x:v>สงขลา</x:v>
      </x:c>
      <x:c r="D620" s="20" t="str">
        <x:v>เพิ่มจากทะเบียน GMHI</x:v>
      </x:c>
      <x:c r="E620" s="20" t="str">
        <x:v>หลักฐานไม่พอ รอยืนยันการเปิด</x:v>
      </x:c>
      <x:c r="F620" s="20" t="str">
        <x:v>ยังไม่ยืนยันการเปิดให้บริการปัจจุบัน</x:v>
      </x:c>
      <x:c r="G620" s="26" t="n">
        <x:v>3</x:v>
      </x:c>
      <x:c r="H620" s="23" t="str"/>
      <x:c r="I620" s="23" t="str"/>
      <x:c r="J620" s="23" t="str"/>
      <x:c r="K620" s="23" t="str"/>
      <x:c r="L620" s="23" t="e">
        <x:f>HYPERLINK("https://www.reborninthailand.com/rrc/","เปิดเว็บเพิ่ม 1")</x:f>
        <x:v>HYPERLINK is not implemented. linkLocation=https://www.reborninthailand.com/rrc/, friendlyName=เปิดเว็บเพิ่ม 1</x:v>
      </x:c>
      <x:c r="M620" s="23" t="e">
        <x:f>HYPERLINK("https://www.ha.pmnidat.go.th/downloads/67/name202-1.pdf","เปิดเว็บเพิ่ม 2")</x:f>
        <x:v>HYPERLINK is not implemented. linkLocation=https://www.ha.pmnidat.go.th/downloads/67/name202-1.pdf, friendlyName=เปิดเว็บเพิ่ม 2</x:v>
      </x:c>
      <x:c r="N620" s="20" t="str">
        <x:v>ยังไม่ยืนยัน</x:v>
      </x:c>
      <x:c r="O620" s="20" t="str">
        <x:v>พบเว็บไซต์ศูนย์และรายชื่อสถานฟื้นฟูของหน่วยงานรัฐในอำเภอสิงหนคร สงขลา / เป็นศูนย์ฟื้นฟูเฉพาะทาง ต้องให้ผู้เชี่ยวชาญตรวจความเหมาะสมกับขอบเขตโครงการท่องเที่ยว / ยังไม่ยืนยันรีวิวหรือกิจกรรมล่าสุด</x:v>
      </x:c>
      <x:c r="P620" s="25" t="n">
        <x:v>46315</x:v>
      </x:c>
      <x:c r="Q620" s="27" t="str">
        <x:v>ยังไม่ตรวจ</x:v>
      </x:c>
      <x:c r="R620" s="27" t="str">
        <x:v>รอติดต่อ</x:v>
      </x:c>
    </x:row>
    <x:row r="621" ht="76" customHeight="1">
      <x:c r="A621" s="24" t="str">
        <x:v>GMHI-3</x:v>
      </x:c>
      <x:c r="B621" s="20" t="str">
        <x:v>Crystal Hotel Hat Yai</x:v>
      </x:c>
      <x:c r="C621" s="20" t="str">
        <x:v>สงขลา</x:v>
      </x:c>
      <x:c r="D621" s="20" t="str">
        <x:v>เพิ่มจากทะเบียน GMHI</x:v>
      </x:c>
      <x:c r="E621" s="20" t="str">
        <x:v>พบหลายแหล่งสัมพันธ์กับชื่อ รอยืนยันการเปิด</x:v>
      </x:c>
      <x:c r="F621" s="20" t="str">
        <x:v>ยังไม่ยืนยันการเปิดให้บริการปัจจุบัน</x:v>
      </x:c>
      <x:c r="G621" s="26" t="n">
        <x:v>5</x:v>
      </x:c>
      <x:c r="H621" s="23" t="str"/>
      <x:c r="I621" s="23" t="str"/>
      <x:c r="J621" s="23" t="e">
        <x:f>HYPERLINK("https://my.trip.com/hotels/hat-yai-hotel-detail-5908499/crystal-hotel-hat-yai/review.html","เปิดหน้ารีวิว 1")</x:f>
        <x:v>HYPERLINK is not implemented. linkLocation=https://my.trip.com/hotels/hat-yai-hotel-detail-5908499/crystal-hotel-hat-yai/review.html, friendlyName=เปิดหน้ารีวิว 1</x:v>
      </x:c>
      <x:c r="K621" s="23" t="e">
        <x:f>HYPERLINK("https://www.trip.com/hotels/hat-yai-hotel-detail-5908499/crystal-hotel-hat-yai/review.html","เปิดหน้ารีวิว 2")</x:f>
        <x:v>HYPERLINK is not implemented. linkLocation=https://www.trip.com/hotels/hat-yai-hotel-detail-5908499/crystal-hotel-hat-yai/review.html, friendlyName=เปิดหน้ารีวิว 2</x:v>
      </x:c>
      <x:c r="L621" s="23" t="e">
        <x:f>HYPERLINK("https://www.crystalhotelhatyai.com/contact-us.html","เปิดเว็บเพิ่ม 1")</x:f>
        <x:v>HYPERLINK is not implemented. linkLocation=https://www.crystalhotelhatyai.com/contact-us.html, friendlyName=เปิดเว็บเพิ่ม 1</x:v>
      </x:c>
      <x:c r="M621" s="23" t="str"/>
      <x:c r="N621" s="20" t="str">
        <x:v>ยังไม่ยืนยัน</x:v>
      </x:c>
      <x:c r="O62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21" s="25" t="n">
        <x:v>46315</x:v>
      </x:c>
      <x:c r="Q621" s="27" t="str">
        <x:v>ยังไม่ตรวจ</x:v>
      </x:c>
      <x:c r="R621" s="27" t="str">
        <x:v>รอติดต่อ</x:v>
      </x:c>
    </x:row>
    <x:row r="622" ht="96" customHeight="1">
      <x:c r="A622" s="24" t="str">
        <x:v>GMHI-6</x:v>
      </x:c>
      <x:c r="B622" s="20" t="str">
        <x:v>The Three Sleep</x:v>
      </x:c>
      <x:c r="C622" s="20" t="str">
        <x:v>ตรัง</x:v>
      </x:c>
      <x:c r="D622" s="20" t="str">
        <x:v>เพิ่มจากทะเบียน GMHI</x:v>
      </x:c>
      <x:c r="E622" s="20" t="str">
        <x:v>หลักฐานไม่พอ รอยืนยันการเปิด</x:v>
      </x:c>
      <x:c r="F622" s="20" t="str">
        <x:v>ยังไม่ยืนยันการเปิดให้บริการปัจจุบัน</x:v>
      </x:c>
      <x:c r="G622" s="26" t="n">
        <x:v>4</x:v>
      </x:c>
      <x:c r="H622" s="23" t="e">
        <x:f>HYPERLINK("https://facebook.com/thetreetrang/","เปิดช่องทาง 1")</x:f>
        <x:v>HYPERLINK is not implemented. linkLocation=https://facebook.com/thetreetrang/, friendlyName=เปิดช่องทาง 1</x:v>
      </x:c>
      <x:c r="I622" s="23" t="str"/>
      <x:c r="J622" s="23" t="e">
        <x:f>HYPERLINK("https://wanderlog.com/place/details/3206295/the-tree-sleep-and-space","เปิดหน้ารีวิว 1")</x:f>
        <x:v>HYPERLINK is not implemented. linkLocation=https://wanderlog.com/place/details/3206295/the-tree-sleep-and-space, friendlyName=เปิดหน้ารีวิว 1</x:v>
      </x:c>
      <x:c r="K622" s="23" t="e">
        <x:f>HYPERLINK("https://www.booking.com/hotel/th/the-tree-sleep-and-space.en-gb.html","เปิดหน้ารีวิว 2")</x:f>
        <x:v>HYPERLINK is not implemented. linkLocation=https://www.booking.com/hotel/th/the-tree-sleep-and-space.en-gb.html, friendlyName=เปิดหน้ารีวิว 2</x:v>
      </x:c>
      <x:c r="L622" s="23" t="str"/>
      <x:c r="M622" s="23" t="str"/>
      <x:c r="N622" s="20" t="str">
        <x:v>2025-09-18 (รีวิว Google ที่แสดงใน Wanderlog)</x:v>
      </x:c>
      <x:c r="O622" s="20" t="str">
        <x:v>ทะเบียน GMHI ใช้ชื่อ The Three Sleep แต่ที่อยู่ 25/1 Choem Panya ตรงกับ The Tree Sleep and Space ใน Booking ต้องยืนยันชื่อกับสถานที่ / พบรีวิวปี 2025 ยังไม่ยืนยันการเปิดปัจจุบัน</x:v>
      </x:c>
      <x:c r="P622" s="25" t="n">
        <x:v>46315</x:v>
      </x:c>
      <x:c r="Q622" s="27" t="str">
        <x:v>ยังไม่ตรวจ</x:v>
      </x:c>
      <x:c r="R622" s="27" t="str">
        <x:v>รอติดต่อ</x:v>
      </x:c>
    </x:row>
    <x:row r="623" ht="76" customHeight="1">
      <x:c r="A623" s="24" t="str">
        <x:v>GMHI-7</x:v>
      </x:c>
      <x:c r="B623" s="20" t="str">
        <x:v>PUN Chocolate</x:v>
      </x:c>
      <x:c r="C623" s="20" t="str">
        <x:v>สงขลา</x:v>
      </x:c>
      <x:c r="D623" s="20" t="str">
        <x:v>เพิ่มจากทะเบียน GMHI</x:v>
      </x:c>
      <x:c r="E623" s="20" t="str">
        <x:v>พบหลายแหล่งสัมพันธ์กับชื่อ รอยืนยันการเปิด</x:v>
      </x:c>
      <x:c r="F623" s="20" t="str">
        <x:v>ยังไม่ยืนยันการเปิดให้บริการปัจจุบัน</x:v>
      </x:c>
      <x:c r="G623" s="26" t="n">
        <x:v>6</x:v>
      </x:c>
      <x:c r="H623" s="23" t="str"/>
      <x:c r="I623" s="23" t="str"/>
      <x:c r="J623" s="23" t="e">
        <x:f>HYPERLINK("https://www.wongnai.com/restaurants/2597556Zc-pun-chocolate","เปิดหน้ารีวิว 1")</x:f>
        <x:v>HYPERLINK is not implemented. linkLocation=https://www.wongnai.com/restaurants/2597556Zc-pun-chocolate, friendlyName=เปิดหน้ารีวิว 1</x:v>
      </x:c>
      <x:c r="K623" s="23" t="e">
        <x:f>HYPERLINK("https://wanderlog.com/place/details/12852567/pun-chocolate","เปิดหน้ารีวิว 2")</x:f>
        <x:v>HYPERLINK is not implemented. linkLocation=https://wanderlog.com/place/details/12852567/pun-chocolate, friendlyName=เปิดหน้ารีวิว 2</x:v>
      </x:c>
      <x:c r="L623" s="23" t="e">
        <x:f>HYPERLINK("https://www.tasteatlas.com/pun-chocolate-dark-chocolate-72-cocoa-songkhla-origin","เปิดเว็บเพิ่ม 1")</x:f>
        <x:v>HYPERLINK is not implemented. linkLocation=https://www.tasteatlas.com/pun-chocolate-dark-chocolate-72-cocoa-songkhla-origin, friendlyName=เปิดเว็บเพิ่ม 1</x:v>
      </x:c>
      <x:c r="M623" s="23" t="str"/>
      <x:c r="N623" s="20" t="str">
        <x:v>ยังไม่ยืนยัน</x:v>
      </x:c>
      <x:c r="O623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23" s="25" t="n">
        <x:v>46315</x:v>
      </x:c>
      <x:c r="Q623" s="27" t="str">
        <x:v>ยังไม่ตรวจ</x:v>
      </x:c>
      <x:c r="R623" s="27" t="str">
        <x:v>รอติดต่อ</x:v>
      </x:c>
    </x:row>
    <x:row r="624" ht="76" customHeight="1">
      <x:c r="A624" s="24" t="str">
        <x:v>GMHI-20</x:v>
      </x:c>
      <x:c r="B624" s="20" t="str">
        <x:v>The signature hotel airport</x:v>
      </x:c>
      <x:c r="C624" s="20" t="str">
        <x:v>สงขลา</x:v>
      </x:c>
      <x:c r="D624" s="20" t="str">
        <x:v>เพิ่มจากทะเบียน GMHI</x:v>
      </x:c>
      <x:c r="E624" s="20" t="str">
        <x:v>พบหลายแหล่งสัมพันธ์กับชื่อ รอยืนยันการเปิด</x:v>
      </x:c>
      <x:c r="F624" s="20" t="str">
        <x:v>ยังไม่ยืนยันการเปิดให้บริการปัจจุบัน</x:v>
      </x:c>
      <x:c r="G624" s="26" t="n">
        <x:v>6</x:v>
      </x:c>
      <x:c r="H624" s="23" t="str"/>
      <x:c r="I624" s="23" t="str"/>
      <x:c r="J624" s="23" t="e">
        <x:f>HYPERLINK("https://www.tripadvisor.com/Hotel_Review-g297921-d23453920-Reviews-The_Signature_Hotel_Airport-Hat_Yai_Hat_Yai_District_Songkhla_Province.html","เปิดหน้ารีวิว 1")</x:f>
        <x:v>HYPERLINK is not implemented. linkLocation=https://www.tripadvisor.com/Hotel_Review-g297921-d23453920-Reviews-The_Signature_Hotel_Airport-Hat_Yai_Hat_Yai_District_Songkhla_Province.html, friendlyName=เปิดหน้ารีวิว 1</x:v>
      </x:c>
      <x:c r="K624" s="23" t="e">
        <x:f>HYPERLINK("https://www.agoda.com/the-signature-hotel-airport/hotel/hat-yai-th.html","เปิดหน้ารีวิว 2")</x:f>
        <x:v>HYPERLINK is not implemented. linkLocation=https://www.agoda.com/the-signature-hotel-airport/hotel/hat-yai-th.html, friendlyName=เปิดหน้ารีวิว 2</x:v>
      </x:c>
      <x:c r="L624" s="23" t="str"/>
      <x:c r="M624" s="23" t="str"/>
      <x:c r="N624" s="20" t="str">
        <x:v>ยังไม่ยืนยัน</x:v>
      </x:c>
      <x:c r="O624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24" s="25" t="n">
        <x:v>46315</x:v>
      </x:c>
      <x:c r="Q624" s="27" t="str">
        <x:v>ยังไม่ตรวจ</x:v>
      </x:c>
      <x:c r="R624" s="27" t="str">
        <x:v>รอติดต่อ</x:v>
      </x:c>
    </x:row>
    <x:row r="625" ht="76" customHeight="1">
      <x:c r="A625" s="24" t="str">
        <x:v>GMHI-56</x:v>
      </x:c>
      <x:c r="B625" s="20" t="str">
        <x:v>The Grand Fourwings Convention Hotel Bangkok</x:v>
      </x:c>
      <x:c r="C625" s="20" t="str">
        <x:v>กรุงเทพมหานคร</x:v>
      </x:c>
      <x:c r="D625" s="20" t="str">
        <x:v>เพิ่มจากทะเบียน GMHI</x:v>
      </x:c>
      <x:c r="E625" s="20" t="str">
        <x:v>พบหลายแหล่งสัมพันธ์กับชื่อ รอยืนยันการเปิด</x:v>
      </x:c>
      <x:c r="F625" s="20" t="str">
        <x:v>ยังไม่ยืนยันการเปิดให้บริการปัจจุบัน</x:v>
      </x:c>
      <x:c r="G625" s="26" t="n">
        <x:v>7</x:v>
      </x:c>
      <x:c r="H625" s="23" t="str"/>
      <x:c r="I625" s="23" t="str"/>
      <x:c r="J625" s="23" t="e">
        <x:f>HYPERLINK("https://www.trip.com/hotels/bangkok-hotel-detail-702928/the-grand-fourwings-convention-hotel-bangkok/review.html","เปิดหน้ารีวิว 1")</x:f>
        <x:v>HYPERLINK is not implemented. linkLocation=https://www.trip.com/hotels/bangkok-hotel-detail-702928/the-grand-fourwings-convention-hotel-bangkok/review.html, friendlyName=เปิดหน้ารีวิว 1</x:v>
      </x:c>
      <x:c r="K625" s="23" t="e">
        <x:f>HYPERLINK("https://us.trip.com/hotels/bangkok-hotel-detail-702928/the-grand-fourwings-convention-hotel-bangkok/review.html","เปิดหน้ารีวิว 2")</x:f>
        <x:v>HYPERLINK is not implemented. linkLocation=https://us.trip.com/hotels/bangkok-hotel-detail-702928/the-grand-fourwings-convention-hotel-bangkok/review.html, friendlyName=เปิดหน้ารีวิว 2</x:v>
      </x:c>
      <x:c r="L625" s="23" t="str"/>
      <x:c r="M625" s="23" t="str"/>
      <x:c r="N625" s="20" t="str">
        <x:v>ยังไม่ยืนยัน</x:v>
      </x:c>
      <x:c r="O625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25" s="25" t="n">
        <x:v>46315</x:v>
      </x:c>
      <x:c r="Q625" s="27" t="str">
        <x:v>ยังไม่ตรวจ</x:v>
      </x:c>
      <x:c r="R625" s="27" t="str">
        <x:v>รอติดต่อ</x:v>
      </x:c>
    </x:row>
    <x:row r="626" ht="96" customHeight="1">
      <x:c r="A626" s="24" t="str">
        <x:v>GMHI-51</x:v>
      </x:c>
      <x:c r="B626" s="20" t="str">
        <x:v>ATG Southsea</x:v>
      </x:c>
      <x:c r="C626" s="20" t="str">
        <x:v>ภูเก็ต</x:v>
      </x:c>
      <x:c r="D626" s="20" t="str">
        <x:v>เพิ่มจากทะเบียน GMHI</x:v>
      </x:c>
      <x:c r="E626" s="20" t="str">
        <x:v>หลักฐานไม่พอ รอยืนยันการเปิด</x:v>
      </x:c>
      <x:c r="F626" s="20" t="str">
        <x:v>ยังไม่ยืนยันการเปิดให้บริการปัจจุบัน</x:v>
      </x:c>
      <x:c r="G626" s="26" t="n">
        <x:v>2</x:v>
      </x:c>
      <x:c r="H626" s="23" t="e">
        <x:f>HYPERLINK("https://lin.ee/A1Ifp7U","เปิดช่องทาง 1")</x:f>
        <x:v>HYPERLINK is not implemented. linkLocation=https://lin.ee/A1Ifp7U, friendlyName=เปิดช่องทาง 1</x:v>
      </x:c>
      <x:c r="I626" s="23" t="str"/>
      <x:c r="J626" s="23" t="str"/>
      <x:c r="K626" s="23" t="str"/>
      <x:c r="L626" s="23" t="e">
        <x:f>HYPERLINK("https://www.atgenes.com/apoe/","เปิดเว็บเพิ่ม 1")</x:f>
        <x:v>HYPERLINK is not implemented. linkLocation=https://www.atgenes.com/apoe/, friendlyName=เปิดเว็บเพิ่ม 1</x:v>
      </x:c>
      <x:c r="M626" s="23" t="str"/>
      <x:c r="N626" s="20" t="str">
        <x:v>ยังไม่ยืนยัน</x:v>
      </x:c>
      <x:c r="O626" s="20" t="str">
        <x:v>เว็บไซต์ ATGenes ระบุช่องทาง LINE @atg-southsea และโทรศัพท์สาขาภูเก็ต 081-132-4961 / ที่อยู่และหมุดในทะเบียน GMHI ซ้ำกับ Icellare ต้องยืนยันว่าใช้สถานที่เดียวกันหรือข้อมูลทะเบียนคลาดเคลื่อน / ยังไม่พบรีวิวที่ยืนยันสาขาได้ชัด</x:v>
      </x:c>
      <x:c r="P626" s="25" t="n">
        <x:v>46315</x:v>
      </x:c>
      <x:c r="Q626" s="27" t="str">
        <x:v>ยังไม่ตรวจ</x:v>
      </x:c>
      <x:c r="R626" s="27" t="str">
        <x:v>รอติดต่อ</x:v>
      </x:c>
    </x:row>
    <x:row r="627" ht="76" customHeight="1">
      <x:c r="A627" s="24" t="str">
        <x:v>GMHI-21</x:v>
      </x:c>
      <x:c r="B627" s="20" t="str">
        <x:v>The Cozy 77</x:v>
      </x:c>
      <x:c r="C627" s="20" t="str">
        <x:v>กรุงเทพมหานคร</x:v>
      </x:c>
      <x:c r="D627" s="20" t="str">
        <x:v>เพิ่มจากทะเบียน GMHI</x:v>
      </x:c>
      <x:c r="E627" s="20" t="str">
        <x:v>พบหลายแหล่งสัมพันธ์กับชื่อ รอยืนยันการเปิด</x:v>
      </x:c>
      <x:c r="F627" s="20" t="str">
        <x:v>ยังไม่ยืนยันการเปิดให้บริการปัจจุบัน</x:v>
      </x:c>
      <x:c r="G627" s="26" t="n">
        <x:v>3</x:v>
      </x:c>
      <x:c r="H627" s="23" t="str"/>
      <x:c r="I627" s="23" t="str"/>
      <x:c r="J627" s="23" t="e">
        <x:f>HYPERLINK("https://www.booking.com/hotel/th/the-cozy-77.th.html","เปิดหน้ารีวิว 1")</x:f>
        <x:v>HYPERLINK is not implemented. linkLocation=https://www.booking.com/hotel/th/the-cozy-77.th.html, friendlyName=เปิดหน้ารีวิว 1</x:v>
      </x:c>
      <x:c r="K627" s="23" t="e">
        <x:f>HYPERLINK("https://www.google.co.th/travel/hotels/entity/CgoIu8uagamU69Q6EAE?ts=CAESABogCgIaABIaEhQKBwjlDxAKGAsSBwjlDxAKGAwYATICEAAqCQoFOgNVU0QaAA","เปิดหน้ารีวิว 2")</x:f>
        <x:v>HYPERLINK is not implemented. linkLocation=https://www.google.co.th/travel/hotels/entity/CgoIu8uagamU69Q6EAE?ts=CAESABogCgIaABIaEhQKBwjlDxAKGAsSBwjlDxAKGAwYATICEAAqCQoFOgNVU0QaAA, friendlyName=เปิดหน้ารีวิว 2</x:v>
      </x:c>
      <x:c r="L627" s="23" t="str"/>
      <x:c r="M627" s="23" t="str"/>
      <x:c r="N627" s="20" t="str">
        <x:v>ยังไม่ยืนยัน</x:v>
      </x:c>
      <x:c r="O627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27" s="25" t="n">
        <x:v>46315</x:v>
      </x:c>
      <x:c r="Q627" s="27" t="str">
        <x:v>ยังไม่ตรวจ</x:v>
      </x:c>
      <x:c r="R627" s="27" t="str">
        <x:v>รอติดต่อ</x:v>
      </x:c>
    </x:row>
    <x:row r="628" ht="76" customHeight="1">
      <x:c r="A628" s="24" t="str">
        <x:v>GMHI-46</x:v>
      </x:c>
      <x:c r="B628" s="20" t="str">
        <x:v>ParimaHotel</x:v>
      </x:c>
      <x:c r="C628" s="20" t="str">
        <x:v>ตรัง</x:v>
      </x:c>
      <x:c r="D628" s="20" t="str">
        <x:v>เพิ่มจากทะเบียน GMHI</x:v>
      </x:c>
      <x:c r="E628" s="20" t="str">
        <x:v>พบหลายแหล่งสัมพันธ์กับชื่อ รอยืนยันการเปิด</x:v>
      </x:c>
      <x:c r="F628" s="20" t="str">
        <x:v>ยังไม่ยืนยันการเปิดให้บริการปัจจุบัน</x:v>
      </x:c>
      <x:c r="G628" s="26" t="n">
        <x:v>4</x:v>
      </x:c>
      <x:c r="H628" s="23" t="str"/>
      <x:c r="I628" s="23" t="str"/>
      <x:c r="J628" s="23" t="e">
        <x:f>HYPERLINK("https://www.wongnai.com/restaurants/1074140aN-%E0%B8%A3%E0%B9%89%E0%B8%B2%E0%B8%99%E0%B8%AD%E0%B8%B2%E0%B8%AB%E0%B8%B2%E0%B8%A3%E0%B8%AA%E0%B8%B2%E0%B8%A3%E0%B8%82%E0%B9%89%E0%B8%B2%E0%B8%A7-parima-hotel","เปิดหน้ารีวิว 1")</x:f>
        <x:v>HYPERLINK is not implemented. linkLocation=https://www.wongnai.com/restaurants/1074140aN-%E0%B8%A3%E0%B9%89%E0%B8%B2%E0%B8%99%E0%B8%AD%E0%B8%B2%E0%B8%AB%E0%B8%B2%E0%B8%A3%E0%B8%AA%E0%B8%B2%E0%B8%A3%E0%B8%82%E0%B9%89%E0%B8%B2%E0%B8%A7-parima-hotel, friendlyName=เปิดหน้ารีวิว 1</x:v>
      </x:c>
      <x:c r="K628" s="23" t="e">
        <x:f>HYPERLINK("https://www.youtube.com/watch?v=3LIiavtCPa8","เปิดหน้ารีวิว 2")</x:f>
        <x:v>HYPERLINK is not implemented. linkLocation=https://www.youtube.com/watch?v=3LIiavtCPa8, friendlyName=เปิดหน้ารีวิว 2</x:v>
      </x:c>
      <x:c r="L628" s="23" t="str"/>
      <x:c r="M628" s="23" t="str"/>
      <x:c r="N628" s="20" t="str">
        <x:v>ยังไม่ยืนยัน</x:v>
      </x:c>
      <x:c r="O628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28" s="25" t="n">
        <x:v>46315</x:v>
      </x:c>
      <x:c r="Q628" s="27" t="str">
        <x:v>ยังไม่ตรวจ</x:v>
      </x:c>
      <x:c r="R628" s="27" t="str">
        <x:v>รอติดต่อ</x:v>
      </x:c>
    </x:row>
    <x:row r="629" ht="76" customHeight="1">
      <x:c r="A629" s="24" t="str">
        <x:v>GMHI-47</x:v>
      </x:c>
      <x:c r="B629" s="20" t="str">
        <x:v>สภากาแฟ’36 สาขาหาดใหญ่</x:v>
      </x:c>
      <x:c r="C629" s="20" t="str">
        <x:v>สงขลา</x:v>
      </x:c>
      <x:c r="D629" s="20" t="str">
        <x:v>เพิ่มจากทะเบียน GMHI</x:v>
      </x:c>
      <x:c r="E629" s="20" t="str">
        <x:v>พบหลายแหล่งสัมพันธ์กับชื่อ รอยืนยันการเปิด</x:v>
      </x:c>
      <x:c r="F629" s="20" t="str">
        <x:v>ยังไม่ยืนยันการเปิดให้บริการปัจจุบัน</x:v>
      </x:c>
      <x:c r="G629" s="26" t="n">
        <x:v>3</x:v>
      </x:c>
      <x:c r="H629" s="23" t="e">
        <x:f>HYPERLINK("https://www.facebook.com/profile.php?id=100090113284403","เปิดช่องทาง 1")</x:f>
        <x:v>HYPERLINK is not implemented. linkLocation=https://www.facebook.com/profile.php?id=100090113284403, friendlyName=เปิดช่องทาง 1</x:v>
      </x:c>
      <x:c r="I629" s="23" t="str"/>
      <x:c r="J629" s="23" t="e">
        <x:f>HYPERLINK("https://www.lemon8-app.com/%40dselatango/7444760123899200018?region=th","เปิดหน้ารีวิว 1")</x:f>
        <x:v>HYPERLINK is not implemented. linkLocation=https://www.lemon8-app.com/%40dselatango/7444760123899200018?region=th, friendlyName=เปิดหน้ารีวิว 1</x:v>
      </x:c>
      <x:c r="K629" s="23" t="e">
        <x:f>HYPERLINK("https://www.lemon8-app.com/%40dino_nisa/7467860980396163601?region=us","เปิดหน้ารีวิว 2")</x:f>
        <x:v>HYPERLINK is not implemented. linkLocation=https://www.lemon8-app.com/%40dino_nisa/7467860980396163601?region=us, friendlyName=เปิดหน้ารีวิว 2</x:v>
      </x:c>
      <x:c r="L629" s="23" t="str"/>
      <x:c r="M629" s="23" t="str"/>
      <x:c r="N629" s="20" t="str">
        <x:v>ยังไม่ยืนยัน</x:v>
      </x:c>
      <x:c r="O629" s="20" t="str">
        <x:v>ยังไม่ยืนยันวันที่โพสต์/รีวิวล่าสุดและการเปิดให้บริการปัจจุบัน</x:v>
      </x:c>
      <x:c r="P629" s="25" t="n">
        <x:v>46315</x:v>
      </x:c>
      <x:c r="Q629" s="27" t="str">
        <x:v>ยังไม่ตรวจ</x:v>
      </x:c>
      <x:c r="R629" s="27" t="str">
        <x:v>รอติดต่อ</x:v>
      </x:c>
    </x:row>
    <x:row r="630" ht="96" customHeight="1">
      <x:c r="A630" s="24" t="str">
        <x:v>GMHI-52</x:v>
      </x:c>
      <x:c r="B630" s="20" t="str">
        <x:v>Icellare</x:v>
      </x:c>
      <x:c r="C630" s="20" t="str">
        <x:v>ภูเก็ต</x:v>
      </x:c>
      <x:c r="D630" s="20" t="str">
        <x:v>เพิ่มจากทะเบียน GMHI</x:v>
      </x:c>
      <x:c r="E630" s="20" t="str">
        <x:v>หลักฐานไม่พอ รอยืนยันการเปิด</x:v>
      </x:c>
      <x:c r="F630" s="20" t="str">
        <x:v>ยังไม่ยืนยันการเปิดให้บริการปัจจุบัน</x:v>
      </x:c>
      <x:c r="G630" s="26" t="n">
        <x:v>3</x:v>
      </x:c>
      <x:c r="H630" s="23" t="e">
        <x:f>HYPERLINK("https://www.instagram.com/icellare_phuket/","เปิดช่องทาง 1")</x:f>
        <x:v>HYPERLINK is not implemented. linkLocation=https://www.instagram.com/icellare_phuket/, friendlyName=เปิดช่องทาง 1</x:v>
      </x:c>
      <x:c r="I630" s="23" t="str"/>
      <x:c r="J630" s="23" t="str"/>
      <x:c r="K630" s="23" t="str"/>
      <x:c r="L630" s="23" t="e">
        <x:f>HYPERLINK("https://www.icellare.com/contact-3","เปิดเว็บเพิ่ม 1")</x:f>
        <x:v>HYPERLINK is not implemented. linkLocation=https://www.icellare.com/contact-3, friendlyName=เปิดเว็บเพิ่ม 1</x:v>
      </x:c>
      <x:c r="M630" s="23" t="e">
        <x:f>HYPERLINK("https://www.icellare.com/facilities","เปิดเว็บเพิ่ม 2")</x:f>
        <x:v>HYPERLINK is not implemented. linkLocation=https://www.icellare.com/facilities, friendlyName=เปิดเว็บเพิ่ม 2</x:v>
      </x:c>
      <x:c r="N630" s="20" t="str">
        <x:v>ยังไม่ยืนยัน</x:v>
      </x:c>
      <x:c r="O630" s="20" t="str">
        <x:v>หน้า Contact Us ของผู้ประกอบการระบุสาขาภูเก็ตที่ 9 Komarapat Road และบัญชี Instagram icellare_phuket / พบข้อมูลสถานที่แต่ยังไม่ยืนยันวันที่กิจกรรมล่าสุดและวันหมดอายุใบรับรอง GMHI</x:v>
      </x:c>
      <x:c r="P630" s="25" t="n">
        <x:v>46315</x:v>
      </x:c>
      <x:c r="Q630" s="27" t="str">
        <x:v>ยังไม่ตรวจ</x:v>
      </x:c>
      <x:c r="R630" s="27" t="str">
        <x:v>รอติดต่อ</x:v>
      </x:c>
    </x:row>
    <x:row r="631" ht="76" customHeight="1">
      <x:c r="A631" s="24" t="str">
        <x:v>GMHI-36</x:v>
      </x:c>
      <x:c r="B631" s="20" t="str">
        <x:v>Amman Unique Hotel</x:v>
      </x:c>
      <x:c r="C631" s="20" t="str">
        <x:v>อุดรธานี</x:v>
      </x:c>
      <x:c r="D631" s="20" t="str">
        <x:v>เพิ่มจากทะเบียน GMHI</x:v>
      </x:c>
      <x:c r="E631" s="20" t="str">
        <x:v>พบหลายแหล่งสัมพันธ์กับชื่อ รอยืนยันการเปิด</x:v>
      </x:c>
      <x:c r="F631" s="20" t="str">
        <x:v>ยังไม่ยืนยันการเปิดให้บริการปัจจุบัน</x:v>
      </x:c>
      <x:c r="G631" s="26" t="n">
        <x:v>7</x:v>
      </x:c>
      <x:c r="H631" s="23" t="str"/>
      <x:c r="I631" s="23" t="str"/>
      <x:c r="J631" s="23" t="e">
        <x:f>HYPERLINK("https://www.agoda.com/en-us/amman-unique-hotel/hotel/udon-thani-th.html","เปิดหน้ารีวิว 1")</x:f>
        <x:v>HYPERLINK is not implemented. linkLocation=https://www.agoda.com/en-us/amman-unique-hotel/hotel/udon-thani-th.html, friendlyName=เปิดหน้ารีวิว 1</x:v>
      </x:c>
      <x:c r="K631" s="23" t="e">
        <x:f>HYPERLINK("https://www.booking.com/hotel/th/amman-unique.th.html","เปิดหน้ารีวิว 2")</x:f>
        <x:v>HYPERLINK is not implemented. linkLocation=https://www.booking.com/hotel/th/amman-unique.th.html, friendlyName=เปิดหน้ารีวิว 2</x:v>
      </x:c>
      <x:c r="L631" s="23" t="str"/>
      <x:c r="M631" s="23" t="str"/>
      <x:c r="N631" s="20" t="str">
        <x:v>ยังไม่ยืนยัน</x:v>
      </x:c>
      <x:c r="O631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31" s="25" t="n">
        <x:v>46315</x:v>
      </x:c>
      <x:c r="Q631" s="27" t="str">
        <x:v>ยังไม่ตรวจ</x:v>
      </x:c>
      <x:c r="R631" s="27" t="str">
        <x:v>รอติดต่อ</x:v>
      </x:c>
    </x:row>
    <x:row r="632" ht="76" customHeight="1">
      <x:c r="A632" s="24" t="str">
        <x:v>GMHI-29</x:v>
      </x:c>
      <x:c r="B632" s="20" t="str">
        <x:v>DEWAN BANGKOK</x:v>
      </x:c>
      <x:c r="C632" s="20" t="str">
        <x:v>กรุงเทพมหานคร</x:v>
      </x:c>
      <x:c r="D632" s="20" t="str">
        <x:v>เพิ่มจากทะเบียน GMHI</x:v>
      </x:c>
      <x:c r="E632" s="20" t="str">
        <x:v>พบหลายแหล่งสัมพันธ์กับชื่อ รอยืนยันการเปิด</x:v>
      </x:c>
      <x:c r="F632" s="20" t="str">
        <x:v>ยังไม่ยืนยันการเปิดให้บริการปัจจุบัน</x:v>
      </x:c>
      <x:c r="G632" s="26" t="n">
        <x:v>7</x:v>
      </x:c>
      <x:c r="H632" s="23" t="str"/>
      <x:c r="I632" s="23" t="str"/>
      <x:c r="J632" s="23" t="e">
        <x:f>HYPERLINK("https://www.booking.com/hotel/th/dewan-bangkok.th.html","เปิดหน้ารีวิว 1")</x:f>
        <x:v>HYPERLINK is not implemented. linkLocation=https://www.booking.com/hotel/th/dewan-bangkok.th.html, friendlyName=เปิดหน้ารีวิว 1</x:v>
      </x:c>
      <x:c r="K632" s="23" t="e">
        <x:f>HYPERLINK("https://www.expedia.co.th/en/Bangkok-Hotels-Dewan-Bangkok.h12449786.Hotel-Information","เปิดหน้ารีวิว 2")</x:f>
        <x:v>HYPERLINK is not implemented. linkLocation=https://www.expedia.co.th/en/Bangkok-Hotels-Dewan-Bangkok.h12449786.Hotel-Information, friendlyName=เปิดหน้ารีวิว 2</x:v>
      </x:c>
      <x:c r="L632" s="23" t="e">
        <x:f>HYPERLINK("https://lodgelens.com/hotels/dewan-bangkok","เปิดเว็บเพิ่ม 1")</x:f>
        <x:v>HYPERLINK is not implemented. linkLocation=https://lodgelens.com/hotels/dewan-bangkok, friendlyName=เปิดเว็บเพิ่ม 1</x:v>
      </x:c>
      <x:c r="M632" s="23" t="str"/>
      <x:c r="N632" s="20" t="str">
        <x:v>ยังไม่ยืนยัน</x:v>
      </x:c>
      <x:c r="O632" s="20" t="str">
        <x:v>ยังไม่พบช่องทางสังคมที่จับคู่ได้ชัดเจน / ยังไม่ยืนยันวันที่โพสต์/รีวิวล่าสุดและการเปิดให้บริการปัจจุบัน</x:v>
      </x:c>
      <x:c r="P632" s="25" t="n">
        <x:v>46315</x:v>
      </x:c>
      <x:c r="Q632" s="27" t="str">
        <x:v>ยังไม่ตรวจ</x:v>
      </x:c>
      <x:c r="R632" s="27" t="str">
        <x:v>รอติดต่อ</x:v>
      </x:c>
    </x:row>
  </x:sheetData>
  <x:dataValidations count="2">
    <x:dataValidation type="list" sqref="Q9:Q632">
      <x:formula1>"ยังไม่ตรวจ,ยืนยันชื่อและสาขาแล้ว,พบข้อมูลคนละสาขา,ช่องทางไม่ใช่ของสถานที่"</x:formula1>
    </x:dataValidation>
    <x:dataValidation type="list" sqref="R9:R632">
      <x:formula1>"รอติดต่อ,เปิดตามปกติ,หยุดชั่วคราว,ปิดถาวร,ย้ายสถานที่,ติดต่อไม่ได้"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306ef21387428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5" hidden="0" customWidth="1"/>
    <x:col min="2" max="2" width="48" hidden="0" customWidth="1"/>
    <x:col min="3" max="3" width="24" hidden="0" customWidth="1"/>
    <x:col min="4" max="4" width="40" hidden="0" customWidth="1"/>
    <x:col min="5" max="5" width="12" hidden="0" customWidth="1"/>
    <x:col min="6" max="6" width="20" hidden="0" customWidth="1"/>
    <x:col min="7" max="7" width="43" hidden="0" customWidth="1"/>
    <x:col min="8" max="8" width="29" hidden="0" customWidth="1"/>
    <x:col min="9" max="9" width="18" hidden="0" customWidth="1"/>
    <x:col min="10" max="10" width="18" hidden="0" customWidth="1"/>
    <x:col min="11" max="11" width="47" hidden="0" customWidth="1"/>
    <x:col min="12" max="12" width="90" hidden="0" customWidth="1"/>
    <x:col min="13" max="13" width="30" hidden="0" customWidth="1"/>
    <x:col min="14" max="14" width="30" hidden="0" customWidth="1"/>
    <x:col min="15" max="15" width="18" hidden="0" customWidth="1"/>
    <x:col min="16" max="16" width="33" hidden="0" customWidth="1"/>
    <x:col min="17" max="17" width="1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>
      <x:c r="A2" s="2"/>
      <x:c r="B2" s="3" t="str">
        <x:v>เทียบทะเบียนสาธารณะ GMHI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>
      <x:c r="A3" s="2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</x:row>
    <x:row r="4">
      <x:c r="A4" s="2"/>
      <x:c r="B4" s="19" t="str">
        <x:v>29 ชื่อในทะเบียน รวมเป็น 27 ธุรกิจ ทุกธุรกิจอยู่ในชุด 600 มีชื่อซ้ำ Regent และ Just Salt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>
      <x:c r="A5" s="2"/>
      <x:c r="B5" s="19" t="str">
        <x:v>ดาว GMHI และใบรับรองอาหารฮาลาลเป็นหลักฐานคนละรายการ วันที่ใบรับรองลงเฉพาะภาพที่จับคู่ชื่อได้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>
      <x:c r="A6" s="2"/>
      <x:c r="B6" s="19" t="str">
        <x:v>ParimaHotel มีภาพชื่อ The Signature Hotel Airport และ Mitmaitree มีระดับดาวต่างกัน ต้องสอบถามผู้ออกใบรับรอง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</x:row>
    <x:row r="8" ht="34" customHeight="1">
      <x:c r="A8" s="16" t="str">
        <x:v>รหัสทะเบียน</x:v>
      </x:c>
      <x:c r="B8" s="17" t="str">
        <x:v>ชื่อในทะเบียน</x:v>
      </x:c>
      <x:c r="C8" s="17" t="str">
        <x:v>จังหวัด</x:v>
      </x:c>
      <x:c r="D8" s="17" t="str">
        <x:v>ประเภท</x:v>
      </x:c>
      <x:c r="E8" s="17" t="str">
        <x:v>ดาวในทะเบียน</x:v>
      </x:c>
      <x:c r="F8" s="17" t="str">
        <x:v>ช่องใบรับรอง</x:v>
      </x:c>
      <x:c r="G8" s="17" t="str">
        <x:v>ชื่อบนภาพใบรับรอง</x:v>
      </x:c>
      <x:c r="H8" s="17" t="str">
        <x:v>เลขใบรับรองในภาพ</x:v>
      </x:c>
      <x:c r="I8" s="17" t="str">
        <x:v>วันออก (จับคู่ชื่อ)</x:v>
      </x:c>
      <x:c r="J8" s="17" t="str">
        <x:v>หมดอายุ (จับคู่ชื่อ)</x:v>
      </x:c>
      <x:c r="K8" s="17" t="str">
        <x:v>ผลจับคู่ภาพ</x:v>
      </x:c>
      <x:c r="L8" s="17" t="str">
        <x:v>ประเด็นต้องยืนยัน</x:v>
      </x:c>
      <x:c r="M8" s="17" t="str">
        <x:v>ทะเบียนสาธารณะ</x:v>
      </x:c>
      <x:c r="N8" s="17" t="str">
        <x:v>ภาพใบรับรอง</x:v>
      </x:c>
      <x:c r="O8" s="17" t="str">
        <x:v>รหัสในชุด 600</x:v>
      </x:c>
      <x:c r="P8" s="17" t="str">
        <x:v>ผลรวมชื่อซ้ำ</x:v>
      </x:c>
      <x:c r="Q8" s="18" t="str">
        <x:v>วันที่ตรวจ</x:v>
      </x:c>
    </x:row>
    <x:row r="9" ht="76" customHeight="1">
      <x:c r="A9" s="24" t="str">
        <x:v>48</x:v>
      </x:c>
      <x:c r="B9" s="20" t="str">
        <x:v>Nikudake Halal Wagyu Sukiyaki</x:v>
      </x:c>
      <x:c r="C9" s="20" t="str">
        <x:v>สงขลา</x:v>
      </x:c>
      <x:c r="D9" s="20" t="str">
        <x:v>ร้านอาหารและคาเฟ่</x:v>
      </x:c>
      <x:c r="E9" s="29" t="n">
        <x:v>6</x:v>
      </x:c>
      <x:c r="F9" s="30" t="str">
        <x:v>GMHI</x:v>
      </x:c>
      <x:c r="G9" s="20" t="str">
        <x:v>NIKUDAKE HALAL WAGYU SUKIYAKI</x:v>
      </x:c>
      <x:c r="H9" s="20" t="str">
        <x:v>GMHI-2026-TH-020703</x:v>
      </x:c>
      <x:c r="I9" s="28" t="n">
        <x:v>46205</x:v>
      </x:c>
      <x:c r="J9" s="28" t="n">
        <x:v>47300</x:v>
      </x:c>
      <x:c r="K9" s="20" t="str">
        <x:v>ชื่อตรงกับรายการ</x:v>
      </x:c>
      <x:c r="L9" s="20" t="str">
        <x:v>อ่านวันออกและวันหมดอายุจากภาพใบรับรองสาธารณะ</x:v>
      </x:c>
      <x:c r="M9" s="23" t="e">
        <x:f>HYPERLINK("https://gmhi.co/th-th/services/Nikudake%20Halal%20Wagyu%20Sukiyaki-48","เปิดทะเบียน")</x:f>
        <x:v>HYPERLINK is not implemented. linkLocation=https://gmhi.co/th-th/services/Nikudake%20Halal%20Wagyu%20Sukiyaki-48, friendlyName=เปิดทะเบียน</x:v>
      </x:c>
      <x:c r="N9" s="23" t="e">
        <x:f>HYPERLINK("https://gmhi.co/images/2026/08/CERTIFICATE22202608051403181.png","เปิดภาพ (ตรวจชื่อ)")</x:f>
        <x:v>HYPERLINK is not implemented. linkLocation=https://gmhi.co/images/2026/08/CERTIFICATE22202608051403181.png, friendlyName=เปิดภาพ (ตรวจชื่อ)</x:v>
      </x:c>
      <x:c r="O9" s="20" t="str">
        <x:v>GMHI-48</x:v>
      </x:c>
      <x:c r="P9" s="20" t="str">
        <x:v>อยู่ในชุด 600</x:v>
      </x:c>
      <x:c r="Q9" s="25" t="n">
        <x:v>46315</x:v>
      </x:c>
    </x:row>
    <x:row r="10" ht="76" customHeight="1">
      <x:c r="A10" s="24" t="str">
        <x:v>27</x:v>
      </x:c>
      <x:c r="B10" s="20" t="str">
        <x:v>H-Banaat</x:v>
      </x:c>
      <x:c r="C10" s="20" t="str">
        <x:v>กรุงเทพมหานคร</x:v>
      </x:c>
      <x:c r="D10" s="20" t="str">
        <x:v>ที่พัก</x:v>
      </x:c>
      <x:c r="E10" s="29" t="n">
        <x:v>4</x:v>
      </x:c>
      <x:c r="F10" s="30" t="str">
        <x:v>GMHI</x:v>
      </x:c>
      <x:c r="G10" s="20" t="str">
        <x:v>ยังไม่พบภาพ</x:v>
      </x:c>
      <x:c r="H10" s="20" t="str"/>
      <x:c r="I10" s="28" t="str"/>
      <x:c r="J10" s="28" t="str"/>
      <x:c r="K10" s="20" t="str">
        <x:v>ยังไม่ยืนยันจากภาพ</x:v>
      </x:c>
      <x:c r="L10" s="20" t="str">
        <x:v>ยังไม่ยืนยันใบฉบับปัจจุบันและวันหมดอายุ</x:v>
      </x:c>
      <x:c r="M10" s="23" t="e">
        <x:f>HYPERLINK("https://gmhi.co/th-th/services/H-Banaat-27","เปิดทะเบียน")</x:f>
        <x:v>HYPERLINK is not implemented. linkLocation=https://gmhi.co/th-th/services/H-Banaat-27, friendlyName=เปิดทะเบียน</x:v>
      </x:c>
      <x:c r="N10" s="23" t="str"/>
      <x:c r="O10" s="20" t="str">
        <x:v>GMHI-27</x:v>
      </x:c>
      <x:c r="P10" s="20" t="str">
        <x:v>อยู่ในชุด 600</x:v>
      </x:c>
      <x:c r="Q10" s="25" t="n">
        <x:v>46315</x:v>
      </x:c>
    </x:row>
    <x:row r="11" ht="76" customHeight="1">
      <x:c r="A11" s="24" t="str">
        <x:v>22</x:v>
      </x:c>
      <x:c r="B11" s="20" t="str">
        <x:v>สไปซี่คัก</x:v>
      </x:c>
      <x:c r="C11" s="20" t="str">
        <x:v>กรุงเทพมหานคร</x:v>
      </x:c>
      <x:c r="D11" s="20" t="str">
        <x:v>ร้านอาหารและคาเฟ่</x:v>
      </x:c>
      <x:c r="E11" s="29" t="n">
        <x:v>6</x:v>
      </x:c>
      <x:c r="F11" s="30" t="str">
        <x:v>GMHI</x:v>
      </x:c>
      <x:c r="G11" s="20" t="str">
        <x:v>ยังไม่พบภาพ</x:v>
      </x:c>
      <x:c r="H11" s="20" t="str"/>
      <x:c r="I11" s="28" t="str"/>
      <x:c r="J11" s="28" t="str"/>
      <x:c r="K11" s="20" t="str">
        <x:v>ยังไม่ยืนยันจากภาพ</x:v>
      </x:c>
      <x:c r="L11" s="20" t="str">
        <x:v>ยังไม่ยืนยันใบฉบับปัจจุบันและวันหมดอายุ</x:v>
      </x:c>
      <x:c r="M11" s="23" t="e">
        <x:f>HYPERLINK("https://gmhi.co/th-th/services/%E0%B8%AA%E0%B9%84%E0%B8%9B%E0%B8%8B%E0%B8%B5%E0%B9%88%E0%B8%84%E0%B8%B1%E0%B8%81-22","เปิดทะเบียน")</x:f>
        <x:v>HYPERLINK is not implemented. linkLocation=https://gmhi.co/th-th/services/%E0%B8%AA%E0%B9%84%E0%B8%9B%E0%B8%8B%E0%B8%B5%E0%B9%88%E0%B8%84%E0%B8%B1%E0%B8%81-22, friendlyName=เปิดทะเบียน</x:v>
      </x:c>
      <x:c r="N11" s="23" t="str"/>
      <x:c r="O11" s="20" t="str">
        <x:v>TMF-087</x:v>
      </x:c>
      <x:c r="P11" s="20" t="str">
        <x:v>อยู่ในชุด 600</x:v>
      </x:c>
      <x:c r="Q11" s="25" t="n">
        <x:v>46315</x:v>
      </x:c>
    </x:row>
    <x:row r="12" ht="76" customHeight="1">
      <x:c r="A12" s="24" t="str">
        <x:v>28</x:v>
      </x:c>
      <x:c r="B12" s="20" t="str">
        <x:v>The Grill</x:v>
      </x:c>
      <x:c r="C12" s="20" t="str">
        <x:v>กรุงเทพมหานคร</x:v>
      </x:c>
      <x:c r="D12" s="20" t="str">
        <x:v>ร้านอาหารและคาเฟ่</x:v>
      </x:c>
      <x:c r="E12" s="29" t="n">
        <x:v>5</x:v>
      </x:c>
      <x:c r="F12" s="30" t="str">
        <x:v>GMHI</x:v>
      </x:c>
      <x:c r="G12" s="20" t="str">
        <x:v>ยังไม่พบภาพ</x:v>
      </x:c>
      <x:c r="H12" s="20" t="str"/>
      <x:c r="I12" s="28" t="str"/>
      <x:c r="J12" s="28" t="str"/>
      <x:c r="K12" s="20" t="str">
        <x:v>ยังไม่ยืนยันจากภาพ</x:v>
      </x:c>
      <x:c r="L12" s="20" t="str">
        <x:v>ยังไม่ยืนยันใบฉบับปัจจุบันและวันหมดอายุ</x:v>
      </x:c>
      <x:c r="M12" s="23" t="e">
        <x:f>HYPERLINK("https://gmhi.co/th-th/services/The%20Grill-28","เปิดทะเบียน")</x:f>
        <x:v>HYPERLINK is not implemented. linkLocation=https://gmhi.co/th-th/services/The%20Grill-28, friendlyName=เปิดทะเบียน</x:v>
      </x:c>
      <x:c r="N12" s="23" t="str"/>
      <x:c r="O12" s="20" t="str">
        <x:v>GMHI-28</x:v>
      </x:c>
      <x:c r="P12" s="20" t="str">
        <x:v>อยู่ในชุด 600</x:v>
      </x:c>
      <x:c r="Q12" s="25" t="n">
        <x:v>46315</x:v>
      </x:c>
    </x:row>
    <x:row r="13" ht="76" customHeight="1">
      <x:c r="A13" s="24" t="str">
        <x:v>38</x:v>
      </x:c>
      <x:c r="B13" s="20" t="str">
        <x:v>FARAYA Cruise Restaurant</x:v>
      </x:c>
      <x:c r="C13" s="20" t="str">
        <x:v>กรุงเทพมหานคร</x:v>
      </x:c>
      <x:c r="D13" s="20" t="str">
        <x:v>ร้านอาหารและคาเฟ่</x:v>
      </x:c>
      <x:c r="E13" s="29" t="n">
        <x:v>7</x:v>
      </x:c>
      <x:c r="F13" s="30" t="str">
        <x:v>ไม่ระบุ</x:v>
      </x:c>
      <x:c r="G13" s="20" t="str">
        <x:v>ยังไม่พบภาพ</x:v>
      </x:c>
      <x:c r="H13" s="20" t="str"/>
      <x:c r="I13" s="28" t="str"/>
      <x:c r="J13" s="28" t="str"/>
      <x:c r="K13" s="20" t="str">
        <x:v>ยังไม่ยืนยันจากภาพ</x:v>
      </x:c>
      <x:c r="L13" s="20" t="str">
        <x:v>ยังไม่ยืนยันใบฉบับปัจจุบันและวันหมดอายุ</x:v>
      </x:c>
      <x:c r="M13" s="23" t="e">
        <x:f>HYPERLINK("https://gmhi.co/th-th/services/FARAYA%20Cruise%20Restaurant-38","เปิดทะเบียน")</x:f>
        <x:v>HYPERLINK is not implemented. linkLocation=https://gmhi.co/th-th/services/FARAYA%20Cruise%20Restaurant-38, friendlyName=เปิดทะเบียน</x:v>
      </x:c>
      <x:c r="N13" s="23" t="str"/>
      <x:c r="O13" s="20" t="str">
        <x:v>GMHI-38</x:v>
      </x:c>
      <x:c r="P13" s="20" t="str">
        <x:v>อยู่ในชุด 600</x:v>
      </x:c>
      <x:c r="Q13" s="25" t="n">
        <x:v>46315</x:v>
      </x:c>
    </x:row>
    <x:row r="14" ht="76" customHeight="1">
      <x:c r="A14" s="24" t="str">
        <x:v>31</x:v>
      </x:c>
      <x:c r="B14" s="20" t="str">
        <x:v>The Suan Dusit Place</x:v>
      </x:c>
      <x:c r="C14" s="20" t="str">
        <x:v>กรุงเทพมหานคร</x:v>
      </x:c>
      <x:c r="D14" s="20" t="str">
        <x:v>ที่พัก</x:v>
      </x:c>
      <x:c r="E14" s="29" t="n">
        <x:v>4</x:v>
      </x:c>
      <x:c r="F14" s="30" t="str">
        <x:v>ไม่ระบุ</x:v>
      </x:c>
      <x:c r="G14" s="20" t="str">
        <x:v>ยังไม่พบภาพ</x:v>
      </x:c>
      <x:c r="H14" s="20" t="str"/>
      <x:c r="I14" s="28" t="str"/>
      <x:c r="J14" s="28" t="str"/>
      <x:c r="K14" s="20" t="str">
        <x:v>ยังไม่ยืนยันจากภาพ</x:v>
      </x:c>
      <x:c r="L14" s="20" t="str">
        <x:v>ยังไม่ยืนยันใบฉบับปัจจุบันและวันหมดอายุ</x:v>
      </x:c>
      <x:c r="M14" s="23" t="e">
        <x:f>HYPERLINK("https://gmhi.co/th-th/services/The%20Suan%20Dusit%20Place-31","เปิดทะเบียน")</x:f>
        <x:v>HYPERLINK is not implemented. linkLocation=https://gmhi.co/th-th/services/The%20Suan%20Dusit%20Place-31, friendlyName=เปิดทะเบียน</x:v>
      </x:c>
      <x:c r="N14" s="23" t="str"/>
      <x:c r="O14" s="20" t="str">
        <x:v>GMHI-31</x:v>
      </x:c>
      <x:c r="P14" s="20" t="str">
        <x:v>อยู่ในชุด 600</x:v>
      </x:c>
      <x:c r="Q14" s="25" t="n">
        <x:v>46315</x:v>
      </x:c>
    </x:row>
    <x:row r="15" ht="76" customHeight="1">
      <x:c r="A15" s="24" t="str">
        <x:v>54</x:v>
      </x:c>
      <x:c r="B15" s="20" t="str">
        <x:v>มิตรไมตรี dining café hatyai village</x:v>
      </x:c>
      <x:c r="C15" s="20" t="str">
        <x:v>สงขลา</x:v>
      </x:c>
      <x:c r="D15" s="20" t="str">
        <x:v>ร้านอาหารและคาเฟ่</x:v>
      </x:c>
      <x:c r="E15" s="29" t="n">
        <x:v>7</x:v>
      </x:c>
      <x:c r="F15" s="30" t="str">
        <x:v>GMHI</x:v>
      </x:c>
      <x:c r="G15" s="20" t="str">
        <x:v>MITMAITREE DINING CAFE HATYAI VILLAGE</x:v>
      </x:c>
      <x:c r="H15" s="20" t="str">
        <x:v>GMHI-2026-TH-020707</x:v>
      </x:c>
      <x:c r="I15" s="28" t="n">
        <x:v>46224</x:v>
      </x:c>
      <x:c r="J15" s="28" t="n">
        <x:v>47319</x:v>
      </x:c>
      <x:c r="K15" s="20" t="str">
        <x:v>ชื่อตรงกับรายการ แต่ระดับดาวต่างกัน</x:v>
      </x:c>
      <x:c r="L15" s="20" t="str">
        <x:v>ทะเบียนแสดง 7 ดาว แต่ภาพใบรับรองแสดง 6 ดาว ต้องสอบถามผู้ออกใบรับรอง</x:v>
      </x:c>
      <x:c r="M15" s="23" t="e">
        <x:f>HYPERLINK("https://gmhi.co/th-th/services/%E0%B8%A1%E0%B8%B4%E0%B8%95%E0%B8%A3%E0%B9%84%E0%B8%A1%E0%B8%95%E0%B8%A3%E0%B8%B5%20dining%20caf%C3%A9%20hatyai%20village-54","เปิดทะเบียน")</x:f>
        <x:v>HYPERLINK is not implemented. linkLocation=https://gmhi.co/th-th/services/%E0%B8%A1%E0%B8%B4%E0%B8%95%E0%B8%A3%E0%B9%84%E0%B8%A1%E0%B8%95%E0%B8%A3%E0%B8%B5%20dining%20caf%C3%A9%20hatyai%20village-54, friendlyName=เปิดทะเบียน</x:v>
      </x:c>
      <x:c r="N15" s="23" t="e">
        <x:f>HYPERLINK("https://gmhi.co/images/2026/08/CERTIFICATE52202608062253121.jpg","เปิดภาพ (ตรวจชื่อ)")</x:f>
        <x:v>HYPERLINK is not implemented. linkLocation=https://gmhi.co/images/2026/08/CERTIFICATE52202608062253121.jpg, friendlyName=เปิดภาพ (ตรวจชื่อ)</x:v>
      </x:c>
      <x:c r="O15" s="20" t="str">
        <x:v>GMHI-54</x:v>
      </x:c>
      <x:c r="P15" s="20" t="str">
        <x:v>อยู่ในชุด 600</x:v>
      </x:c>
      <x:c r="Q15" s="25" t="n">
        <x:v>46315</x:v>
      </x:c>
    </x:row>
    <x:row r="16" ht="76" customHeight="1">
      <x:c r="A16" s="24" t="str">
        <x:v>37</x:v>
      </x:c>
      <x:c r="B16" s="20" t="str">
        <x:v>Bi'halalika Roti &amp; Bistro</x:v>
      </x:c>
      <x:c r="C16" s="20" t="str">
        <x:v>กรุงเทพมหานคร</x:v>
      </x:c>
      <x:c r="D16" s="20" t="str">
        <x:v>ร้านอาหารและคาเฟ่</x:v>
      </x:c>
      <x:c r="E16" s="29" t="n">
        <x:v>7</x:v>
      </x:c>
      <x:c r="F16" s="30" t="str">
        <x:v>ไม่ระบุ</x:v>
      </x:c>
      <x:c r="G16" s="20" t="str">
        <x:v>ยังไม่พบภาพ</x:v>
      </x:c>
      <x:c r="H16" s="20" t="str"/>
      <x:c r="I16" s="28" t="str"/>
      <x:c r="J16" s="28" t="str"/>
      <x:c r="K16" s="20" t="str">
        <x:v>ยังไม่ยืนยันจากภาพ</x:v>
      </x:c>
      <x:c r="L16" s="20" t="str">
        <x:v>ยังไม่ยืนยันใบฉบับปัจจุบันและวันหมดอายุ</x:v>
      </x:c>
      <x:c r="M16" s="23" t="e">
        <x:f>HYPERLINK("https://gmhi.co/th-th/services/Bi%27halalika%20Roti%20%26%20Bistro-37","เปิดทะเบียน")</x:f>
        <x:v>HYPERLINK is not implemented. linkLocation=https://gmhi.co/th-th/services/Bi%27halalika%20Roti%20%26%20Bistro-37, friendlyName=เปิดทะเบียน</x:v>
      </x:c>
      <x:c r="N16" s="23" t="str"/>
      <x:c r="O16" s="20" t="str">
        <x:v>GMHI-37</x:v>
      </x:c>
      <x:c r="P16" s="20" t="str">
        <x:v>อยู่ในชุด 600</x:v>
      </x:c>
      <x:c r="Q16" s="25" t="n">
        <x:v>46315</x:v>
      </x:c>
    </x:row>
    <x:row r="17" ht="76" customHeight="1">
      <x:c r="A17" s="24" t="str">
        <x:v>50</x:v>
      </x:c>
      <x:c r="B17" s="20" t="str">
        <x:v>เนื้อล้วนล้วน Halal Wagyu Yakiniku Hatyai</x:v>
      </x:c>
      <x:c r="C17" s="20" t="str">
        <x:v>สงขลา</x:v>
      </x:c>
      <x:c r="D17" s="20" t="str">
        <x:v>ร้านอาหารและคาเฟ่</x:v>
      </x:c>
      <x:c r="E17" s="29" t="n">
        <x:v>6</x:v>
      </x:c>
      <x:c r="F17" s="30" t="str">
        <x:v>GMHI</x:v>
      </x:c>
      <x:c r="G17" s="20" t="str">
        <x:v>NIKUDAKE GRAND YAKINIKU</x:v>
      </x:c>
      <x:c r="H17" s="20" t="str">
        <x:v>GMHI-2026-TH-020704</x:v>
      </x:c>
      <x:c r="I17" s="28" t="str"/>
      <x:c r="J17" s="28" t="str"/>
      <x:c r="K17" s="20" t="str">
        <x:v>ชื่อในภาพต่างจากชื่อในทะเบียน</x:v>
      </x:c>
      <x:c r="L17" s="20" t="str">
        <x:v>ทะเบียนชื่อ เนื้อล้วนล้วน Halal Wagyu Yakiniku Hatyai ต้องยืนยันว่าเป็นชื่อใหม่หรือเอกสารผิดรายการ</x:v>
      </x:c>
      <x:c r="M17" s="23" t="e">
        <x:f>HYPERLINK("https://gmhi.co/th-th/services/%E0%B9%80%E0%B8%99%E0%B8%B7%E0%B9%89%E0%B8%AD%E0%B8%A5%E0%B9%89%E0%B8%A7%E0%B8%99%E0%B8%A5%E0%B9%89%E0%B8%A7%E0%B8%99%20Halal%20Wagyu%20Yakiniku%20Hatyai-50","เปิดทะเบียน")</x:f>
        <x:v>HYPERLINK is not implemented. linkLocation=https://gmhi.co/th-th/services/%E0%B9%80%E0%B8%99%E0%B8%B7%E0%B9%89%E0%B8%AD%E0%B8%A5%E0%B9%89%E0%B8%A7%E0%B8%99%E0%B8%A5%E0%B9%89%E0%B8%A7%E0%B8%99%20Halal%20Wagyu%20Yakiniku%20Hatyai-50, friendlyName=เปิดทะเบียน</x:v>
      </x:c>
      <x:c r="N17" s="23" t="e">
        <x:f>HYPERLINK("https://gmhi.co/images/2026/08/CERTIFICATE46202608061127321.png","เปิดภาพ (ตรวจชื่อ)")</x:f>
        <x:v>HYPERLINK is not implemented. linkLocation=https://gmhi.co/images/2026/08/CERTIFICATE46202608061127321.png, friendlyName=เปิดภาพ (ตรวจชื่อ)</x:v>
      </x:c>
      <x:c r="O17" s="20" t="str">
        <x:v>GMHI-50</x:v>
      </x:c>
      <x:c r="P17" s="20" t="str">
        <x:v>อยู่ในชุด 600</x:v>
      </x:c>
      <x:c r="Q17" s="25" t="n">
        <x:v>46315</x:v>
      </x:c>
    </x:row>
    <x:row r="18" ht="76" customHeight="1">
      <x:c r="A18" s="24" t="str">
        <x:v>33</x:v>
      </x:c>
      <x:c r="B18" s="20" t="str">
        <x:v>Just Salt Steak</x:v>
      </x:c>
      <x:c r="C18" s="20" t="str">
        <x:v>กรุงเทพมหานคร</x:v>
      </x:c>
      <x:c r="D18" s="20" t="str">
        <x:v>ร้านอาหารและคาเฟ่</x:v>
      </x:c>
      <x:c r="E18" s="29" t="n">
        <x:v>5</x:v>
      </x:c>
      <x:c r="F18" s="30" t="str">
        <x:v>GMHI</x:v>
      </x:c>
      <x:c r="G18" s="20" t="str">
        <x:v>ยังไม่พบภาพ</x:v>
      </x:c>
      <x:c r="H18" s="20" t="str"/>
      <x:c r="I18" s="28" t="str"/>
      <x:c r="J18" s="28" t="str"/>
      <x:c r="K18" s="20" t="str">
        <x:v>ยังไม่ยืนยันจากภาพ</x:v>
      </x:c>
      <x:c r="L18" s="20" t="str">
        <x:v>ยังไม่ยืนยันใบฉบับปัจจุบันและวันหมดอายุ</x:v>
      </x:c>
      <x:c r="M18" s="23" t="e">
        <x:f>HYPERLINK("https://gmhi.co/th-th/services/Just%20Salt%20Steak-33","เปิดทะเบียน")</x:f>
        <x:v>HYPERLINK is not implemented. linkLocation=https://gmhi.co/th-th/services/Just%20Salt%20Steak-33, friendlyName=เปิดทะเบียน</x:v>
      </x:c>
      <x:c r="N18" s="23" t="str"/>
      <x:c r="O18" s="20" t="str">
        <x:v>GMHI-33</x:v>
      </x:c>
      <x:c r="P18" s="20" t="str">
        <x:v>อยู่ในชุด 600</x:v>
      </x:c>
      <x:c r="Q18" s="25" t="n">
        <x:v>46315</x:v>
      </x:c>
    </x:row>
    <x:row r="19" ht="76" customHeight="1">
      <x:c r="A19" s="24" t="str">
        <x:v>2</x:v>
      </x:c>
      <x:c r="B19" s="20" t="str">
        <x:v>Rembrandt Hotel Bangkok</x:v>
      </x:c>
      <x:c r="C19" s="20" t="str">
        <x:v>กรุงเทพมหานคร</x:v>
      </x:c>
      <x:c r="D19" s="20" t="str">
        <x:v>ที่พัก</x:v>
      </x:c>
      <x:c r="E19" s="29" t="n">
        <x:v>4</x:v>
      </x:c>
      <x:c r="F19" s="30" t="str">
        <x:v>GMHI</x:v>
      </x:c>
      <x:c r="G19" s="20" t="str">
        <x:v>ยังไม่พบภาพ</x:v>
      </x:c>
      <x:c r="H19" s="20" t="str"/>
      <x:c r="I19" s="28" t="str"/>
      <x:c r="J19" s="28" t="str"/>
      <x:c r="K19" s="20" t="str">
        <x:v>ยังไม่ยืนยันจากภาพ</x:v>
      </x:c>
      <x:c r="L19" s="20" t="str">
        <x:v>ยังไม่ยืนยันใบฉบับปัจจุบันและวันหมดอายุ</x:v>
      </x:c>
      <x:c r="M19" s="23" t="e">
        <x:f>HYPERLINK("https://gmhi.co/th-th/services/Rembrandt%20Hotel%20Bangkok-2","เปิดทะเบียน")</x:f>
        <x:v>HYPERLINK is not implemented. linkLocation=https://gmhi.co/th-th/services/Rembrandt%20Hotel%20Bangkok-2, friendlyName=เปิดทะเบียน</x:v>
      </x:c>
      <x:c r="N19" s="23" t="str"/>
      <x:c r="O19" s="20" t="str">
        <x:v>GMHI-2</x:v>
      </x:c>
      <x:c r="P19" s="20" t="str">
        <x:v>อยู่ในชุด 600</x:v>
      </x:c>
      <x:c r="Q19" s="25" t="n">
        <x:v>46315</x:v>
      </x:c>
    </x:row>
    <x:row r="20" ht="76" customHeight="1">
      <x:c r="A20" s="24" t="str">
        <x:v>30</x:v>
      </x:c>
      <x:c r="B20" s="20" t="str">
        <x:v>W22 by Burasari</x:v>
      </x:c>
      <x:c r="C20" s="20" t="str">
        <x:v>กรุงเทพมหานคร</x:v>
      </x:c>
      <x:c r="D20" s="20" t="str">
        <x:v>ที่พัก</x:v>
      </x:c>
      <x:c r="E20" s="29" t="n">
        <x:v>4</x:v>
      </x:c>
      <x:c r="F20" s="30" t="str">
        <x:v>ไม่ระบุ</x:v>
      </x:c>
      <x:c r="G20" s="20" t="str">
        <x:v>ยังไม่พบภาพ</x:v>
      </x:c>
      <x:c r="H20" s="20" t="str"/>
      <x:c r="I20" s="28" t="str"/>
      <x:c r="J20" s="28" t="str"/>
      <x:c r="K20" s="20" t="str">
        <x:v>ยังไม่ยืนยันจากภาพ</x:v>
      </x:c>
      <x:c r="L20" s="20" t="str">
        <x:v>ยังไม่ยืนยันใบฉบับปัจจุบันและวันหมดอายุ</x:v>
      </x:c>
      <x:c r="M20" s="23" t="e">
        <x:f>HYPERLINK("https://gmhi.co/th-th/services/W22%20by%20Burasari-30","เปิดทะเบียน")</x:f>
        <x:v>HYPERLINK is not implemented. linkLocation=https://gmhi.co/th-th/services/W22%20by%20Burasari-30, friendlyName=เปิดทะเบียน</x:v>
      </x:c>
      <x:c r="N20" s="23" t="str"/>
      <x:c r="O20" s="20" t="str">
        <x:v>GMHI-30</x:v>
      </x:c>
      <x:c r="P20" s="20" t="str">
        <x:v>อยู่ในชุด 600</x:v>
      </x:c>
      <x:c r="Q20" s="25" t="n">
        <x:v>46315</x:v>
      </x:c>
    </x:row>
    <x:row r="21" ht="76" customHeight="1">
      <x:c r="A21" s="24" t="str">
        <x:v>53</x:v>
      </x:c>
      <x:c r="B21" s="20" t="str">
        <x:v>Reborn</x:v>
      </x:c>
      <x:c r="C21" s="20" t="str">
        <x:v>สงขลา</x:v>
      </x:c>
      <x:c r="D21" s="20" t="str">
        <x:v>สถานประกอบการเพื่อสุขภาพและเวลเนส</x:v>
      </x:c>
      <x:c r="E21" s="29" t="n">
        <x:v>7</x:v>
      </x:c>
      <x:c r="F21" s="30" t="str">
        <x:v>GMHI</x:v>
      </x:c>
      <x:c r="G21" s="20" t="str">
        <x:v>ยังไม่พบภาพ</x:v>
      </x:c>
      <x:c r="H21" s="20" t="str"/>
      <x:c r="I21" s="28" t="str"/>
      <x:c r="J21" s="28" t="str"/>
      <x:c r="K21" s="20" t="str">
        <x:v>ยังไม่ยืนยันจากภาพ</x:v>
      </x:c>
      <x:c r="L21" s="20" t="str">
        <x:v>ยังไม่ยืนยันใบฉบับปัจจุบันและวันหมดอายุ</x:v>
      </x:c>
      <x:c r="M21" s="23" t="e">
        <x:f>HYPERLINK("https://gmhi.co/th-th/services/Reborn-53","เปิดทะเบียน")</x:f>
        <x:v>HYPERLINK is not implemented. linkLocation=https://gmhi.co/th-th/services/Reborn-53, friendlyName=เปิดทะเบียน</x:v>
      </x:c>
      <x:c r="N21" s="23" t="str"/>
      <x:c r="O21" s="20" t="str">
        <x:v>GMHI-53</x:v>
      </x:c>
      <x:c r="P21" s="20" t="str">
        <x:v>อยู่ในชุด 600</x:v>
      </x:c>
      <x:c r="Q21" s="25" t="n">
        <x:v>46315</x:v>
      </x:c>
    </x:row>
    <x:row r="22" ht="76" customHeight="1">
      <x:c r="A22" s="24" t="str">
        <x:v>3</x:v>
      </x:c>
      <x:c r="B22" s="20" t="str">
        <x:v>Crystal Hotel Hat Yai</x:v>
      </x:c>
      <x:c r="C22" s="20" t="str">
        <x:v>สงขลา</x:v>
      </x:c>
      <x:c r="D22" s="20" t="str">
        <x:v>ที่พัก</x:v>
      </x:c>
      <x:c r="E22" s="29" t="n">
        <x:v>4</x:v>
      </x:c>
      <x:c r="F22" s="30" t="str">
        <x:v>GMHI</x:v>
      </x:c>
      <x:c r="G22" s="20" t="str">
        <x:v>ยังไม่พบภาพ</x:v>
      </x:c>
      <x:c r="H22" s="20" t="str"/>
      <x:c r="I22" s="28" t="str"/>
      <x:c r="J22" s="28" t="str"/>
      <x:c r="K22" s="20" t="str">
        <x:v>ยังไม่ยืนยันจากภาพ</x:v>
      </x:c>
      <x:c r="L22" s="20" t="str">
        <x:v>ยังไม่ยืนยันใบฉบับปัจจุบันและวันหมดอายุ</x:v>
      </x:c>
      <x:c r="M22" s="23" t="e">
        <x:f>HYPERLINK("https://gmhi.co/th-th/services/Crystal%20Hotel%20Hat%20Yai-3","เปิดทะเบียน")</x:f>
        <x:v>HYPERLINK is not implemented. linkLocation=https://gmhi.co/th-th/services/Crystal%20Hotel%20Hat%20Yai-3, friendlyName=เปิดทะเบียน</x:v>
      </x:c>
      <x:c r="N22" s="23" t="str"/>
      <x:c r="O22" s="20" t="str">
        <x:v>GMHI-3</x:v>
      </x:c>
      <x:c r="P22" s="20" t="str">
        <x:v>อยู่ในชุด 600</x:v>
      </x:c>
      <x:c r="Q22" s="25" t="n">
        <x:v>46315</x:v>
      </x:c>
    </x:row>
    <x:row r="23" ht="76" customHeight="1">
      <x:c r="A23" s="24" t="str">
        <x:v>24</x:v>
      </x:c>
      <x:c r="B23" s="20" t="str">
        <x:v>Riski Hotel</x:v>
      </x:c>
      <x:c r="C23" s="20" t="str">
        <x:v>กรุงเทพมหานคร</x:v>
      </x:c>
      <x:c r="D23" s="20" t="str">
        <x:v>ที่พัก</x:v>
      </x:c>
      <x:c r="E23" s="29" t="n">
        <x:v>5</x:v>
      </x:c>
      <x:c r="F23" s="30" t="str">
        <x:v>GMHI</x:v>
      </x:c>
      <x:c r="G23" s="20" t="str">
        <x:v>ยังไม่พบภาพ</x:v>
      </x:c>
      <x:c r="H23" s="20" t="str"/>
      <x:c r="I23" s="28" t="str"/>
      <x:c r="J23" s="28" t="str"/>
      <x:c r="K23" s="20" t="str">
        <x:v>ยังไม่ยืนยันจากภาพ</x:v>
      </x:c>
      <x:c r="L23" s="20" t="str">
        <x:v>ยังไม่ยืนยันใบฉบับปัจจุบันและวันหมดอายุ</x:v>
      </x:c>
      <x:c r="M23" s="23" t="e">
        <x:f>HYPERLINK("https://gmhi.co/th-th/services/Riski%20Hotel-24","เปิดทะเบียน")</x:f>
        <x:v>HYPERLINK is not implemented. linkLocation=https://gmhi.co/th-th/services/Riski%20Hotel-24, friendlyName=เปิดทะเบียน</x:v>
      </x:c>
      <x:c r="N23" s="23" t="str"/>
      <x:c r="O23" s="20" t="str">
        <x:v>TMF-041</x:v>
      </x:c>
      <x:c r="P23" s="20" t="str">
        <x:v>อยู่ในชุด 600</x:v>
      </x:c>
      <x:c r="Q23" s="25" t="n">
        <x:v>46315</x:v>
      </x:c>
    </x:row>
    <x:row r="24" ht="76" customHeight="1">
      <x:c r="A24" s="24" t="str">
        <x:v>6</x:v>
      </x:c>
      <x:c r="B24" s="20" t="str">
        <x:v>The Three Sleep</x:v>
      </x:c>
      <x:c r="C24" s="20" t="str">
        <x:v>ตรัง</x:v>
      </x:c>
      <x:c r="D24" s="20" t="str">
        <x:v>ที่พัก</x:v>
      </x:c>
      <x:c r="E24" s="29" t="n">
        <x:v>3</x:v>
      </x:c>
      <x:c r="F24" s="30" t="str">
        <x:v>ไม่ระบุ</x:v>
      </x:c>
      <x:c r="G24" s="20" t="str">
        <x:v>ยังไม่พบภาพ</x:v>
      </x:c>
      <x:c r="H24" s="20" t="str"/>
      <x:c r="I24" s="28" t="str"/>
      <x:c r="J24" s="28" t="str"/>
      <x:c r="K24" s="20" t="str">
        <x:v>ยังไม่ยืนยันจากภาพ</x:v>
      </x:c>
      <x:c r="L24" s="20" t="str">
        <x:v>ยังไม่ยืนยันใบฉบับปัจจุบันและวันหมดอายุ</x:v>
      </x:c>
      <x:c r="M24" s="23" t="e">
        <x:f>HYPERLINK("https://gmhi.co/th-th/services/The%20Three%20Sleep-6","เปิดทะเบียน")</x:f>
        <x:v>HYPERLINK is not implemented. linkLocation=https://gmhi.co/th-th/services/The%20Three%20Sleep-6, friendlyName=เปิดทะเบียน</x:v>
      </x:c>
      <x:c r="N24" s="23" t="str"/>
      <x:c r="O24" s="20" t="str">
        <x:v>GMHI-6</x:v>
      </x:c>
      <x:c r="P24" s="20" t="str">
        <x:v>อยู่ในชุด 600</x:v>
      </x:c>
      <x:c r="Q24" s="25" t="n">
        <x:v>46315</x:v>
      </x:c>
    </x:row>
    <x:row r="25" ht="76" customHeight="1">
      <x:c r="A25" s="24" t="str">
        <x:v>7</x:v>
      </x:c>
      <x:c r="B25" s="20" t="str">
        <x:v>PUN Chocolate</x:v>
      </x:c>
      <x:c r="C25" s="20" t="str">
        <x:v>สงขลา</x:v>
      </x:c>
      <x:c r="D25" s="20" t="str">
        <x:v>ร้านอาหารและคาเฟ่</x:v>
      </x:c>
      <x:c r="E25" s="29" t="n">
        <x:v>3</x:v>
      </x:c>
      <x:c r="F25" s="30" t="str">
        <x:v>GMHI</x:v>
      </x:c>
      <x:c r="G25" s="20" t="str">
        <x:v>ยังไม่พบภาพ</x:v>
      </x:c>
      <x:c r="H25" s="20" t="str"/>
      <x:c r="I25" s="28" t="str"/>
      <x:c r="J25" s="28" t="str"/>
      <x:c r="K25" s="20" t="str">
        <x:v>ยังไม่ยืนยันจากภาพ</x:v>
      </x:c>
      <x:c r="L25" s="20" t="str">
        <x:v>ยังไม่ยืนยันใบฉบับปัจจุบันและวันหมดอายุ</x:v>
      </x:c>
      <x:c r="M25" s="23" t="e">
        <x:f>HYPERLINK("https://gmhi.co/th-th/services/PUN%20Chocolate-7","เปิดทะเบียน")</x:f>
        <x:v>HYPERLINK is not implemented. linkLocation=https://gmhi.co/th-th/services/PUN%20Chocolate-7, friendlyName=เปิดทะเบียน</x:v>
      </x:c>
      <x:c r="N25" s="23" t="str"/>
      <x:c r="O25" s="20" t="str">
        <x:v>GMHI-7</x:v>
      </x:c>
      <x:c r="P25" s="20" t="str">
        <x:v>อยู่ในชุด 600</x:v>
      </x:c>
      <x:c r="Q25" s="25" t="n">
        <x:v>46315</x:v>
      </x:c>
    </x:row>
    <x:row r="26" ht="76" customHeight="1">
      <x:c r="A26" s="24" t="str">
        <x:v>20</x:v>
      </x:c>
      <x:c r="B26" s="20" t="str">
        <x:v>The signature hotel airport</x:v>
      </x:c>
      <x:c r="C26" s="20" t="str">
        <x:v>สงขลา</x:v>
      </x:c>
      <x:c r="D26" s="20" t="str">
        <x:v>ที่พัก</x:v>
      </x:c>
      <x:c r="E26" s="29" t="n">
        <x:v>4</x:v>
      </x:c>
      <x:c r="F26" s="30" t="str">
        <x:v>GMHI</x:v>
      </x:c>
      <x:c r="G26" s="20" t="str">
        <x:v>ยังไม่พบภาพ</x:v>
      </x:c>
      <x:c r="H26" s="20" t="str"/>
      <x:c r="I26" s="28" t="str"/>
      <x:c r="J26" s="28" t="str"/>
      <x:c r="K26" s="20" t="str">
        <x:v>ยังไม่ยืนยันจากภาพ</x:v>
      </x:c>
      <x:c r="L26" s="20" t="str">
        <x:v>ยังไม่ยืนยันใบฉบับปัจจุบันและวันหมดอายุ</x:v>
      </x:c>
      <x:c r="M26" s="23" t="e">
        <x:f>HYPERLINK("https://gmhi.co/th-th/services/The%20signature%20hotel%20airport-20","เปิดทะเบียน")</x:f>
        <x:v>HYPERLINK is not implemented. linkLocation=https://gmhi.co/th-th/services/The%20signature%20hotel%20airport-20, friendlyName=เปิดทะเบียน</x:v>
      </x:c>
      <x:c r="N26" s="23" t="str"/>
      <x:c r="O26" s="20" t="str">
        <x:v>GMHI-20</x:v>
      </x:c>
      <x:c r="P26" s="20" t="str">
        <x:v>อยู่ในชุด 600</x:v>
      </x:c>
      <x:c r="Q26" s="25" t="n">
        <x:v>46315</x:v>
      </x:c>
    </x:row>
    <x:row r="27" ht="76" customHeight="1">
      <x:c r="A27" s="24" t="str">
        <x:v>26</x:v>
      </x:c>
      <x:c r="B27" s="20" t="str">
        <x:v>โรงแรม รีเจนท์ รามคำแหง22</x:v>
      </x:c>
      <x:c r="C27" s="20" t="str">
        <x:v>กรุงเทพมหานคร</x:v>
      </x:c>
      <x:c r="D27" s="20" t="str">
        <x:v>ที่พัก</x:v>
      </x:c>
      <x:c r="E27" s="29" t="n">
        <x:v>5</x:v>
      </x:c>
      <x:c r="F27" s="30" t="str">
        <x:v>GMHI</x:v>
      </x:c>
      <x:c r="G27" s="20" t="str">
        <x:v>ยังไม่พบภาพ</x:v>
      </x:c>
      <x:c r="H27" s="20" t="str"/>
      <x:c r="I27" s="28" t="str"/>
      <x:c r="J27" s="28" t="str"/>
      <x:c r="K27" s="20" t="str">
        <x:v>ยังไม่ยืนยันจากภาพ</x:v>
      </x:c>
      <x:c r="L27" s="20" t="str">
        <x:v>ยังไม่ยืนยันใบฉบับปัจจุบันและวันหมดอายุ</x:v>
      </x:c>
      <x:c r="M27" s="23" t="e">
        <x:f>HYPERLINK("https://gmhi.co/th-th/services/%E0%B9%82%E0%B8%A3%E0%B8%87%E0%B9%81%E0%B8%A3%E0%B8%A1%20%E0%B8%A3%E0%B8%B5%E0%B9%80%E0%B8%88%E0%B8%99%E0%B8%97%E0%B9%8C%20%E0%B8%A3%E0%B8%B2%E0%B8%A1%E0%B8%84%E0%B8%B3%E0%B9%81%E0%B8%AB%E0%B8%8722-26","เปิดทะเบียน")</x:f>
        <x:v>HYPERLINK is not implemented. linkLocation=https://gmhi.co/th-th/services/%E0%B9%82%E0%B8%A3%E0%B8%87%E0%B9%81%E0%B8%A3%E0%B8%A1%20%E0%B8%A3%E0%B8%B5%E0%B9%80%E0%B8%88%E0%B8%99%E0%B8%97%E0%B9%8C%20%E0%B8%A3%E0%B8%B2%E0%B8%A1%E0%B8%84%E0%B8%B3%E0%B9%81%E0%B8%AB%E0%B8%8722-26, friendlyName=เปิดทะเบียน</x:v>
      </x:c>
      <x:c r="N27" s="23" t="str"/>
      <x:c r="O27" s="20" t="str">
        <x:v>TMF-040</x:v>
      </x:c>
      <x:c r="P27" s="20" t="str">
        <x:v>อยู่ในชุด 600</x:v>
      </x:c>
      <x:c r="Q27" s="25" t="n">
        <x:v>46315</x:v>
      </x:c>
    </x:row>
    <x:row r="28" ht="76" customHeight="1">
      <x:c r="A28" s="24" t="str">
        <x:v>56</x:v>
      </x:c>
      <x:c r="B28" s="20" t="str">
        <x:v>The Grand Fourwings Convention Hotel Bangkok</x:v>
      </x:c>
      <x:c r="C28" s="20" t="str">
        <x:v>กรุงเทพมหานคร</x:v>
      </x:c>
      <x:c r="D28" s="20" t="str">
        <x:v>ที่พัก</x:v>
      </x:c>
      <x:c r="E28" s="29" t="str"/>
      <x:c r="F28" s="30" t="str">
        <x:v>GMHI</x:v>
      </x:c>
      <x:c r="G28" s="20" t="str">
        <x:v>ยังไม่พบภาพ</x:v>
      </x:c>
      <x:c r="H28" s="20" t="str"/>
      <x:c r="I28" s="28" t="str"/>
      <x:c r="J28" s="28" t="str"/>
      <x:c r="K28" s="20" t="str">
        <x:v>ยังไม่ยืนยันจากภาพ</x:v>
      </x:c>
      <x:c r="L28" s="20" t="str">
        <x:v>ยังไม่ยืนยันใบฉบับปัจจุบันและวันหมดอายุ</x:v>
      </x:c>
      <x:c r="M28" s="23" t="e">
        <x:f>HYPERLINK("https://gmhi.co/th-th/services/The%20Grand%20Fourwings%20Convention%20Hotel%20Bangkok-56","เปิดทะเบียน")</x:f>
        <x:v>HYPERLINK is not implemented. linkLocation=https://gmhi.co/th-th/services/The%20Grand%20Fourwings%20Convention%20Hotel%20Bangkok-56, friendlyName=เปิดทะเบียน</x:v>
      </x:c>
      <x:c r="N28" s="23" t="str"/>
      <x:c r="O28" s="20" t="str">
        <x:v>GMHI-56</x:v>
      </x:c>
      <x:c r="P28" s="20" t="str">
        <x:v>อยู่ในชุด 600</x:v>
      </x:c>
      <x:c r="Q28" s="25" t="n">
        <x:v>46315</x:v>
      </x:c>
    </x:row>
    <x:row r="29" ht="76" customHeight="1">
      <x:c r="A29" s="24" t="str">
        <x:v>51</x:v>
      </x:c>
      <x:c r="B29" s="20" t="str">
        <x:v>ATG Southsea</x:v>
      </x:c>
      <x:c r="C29" s="20" t="str">
        <x:v>ภูเก็ต</x:v>
      </x:c>
      <x:c r="D29" s="20" t="str">
        <x:v>สถานประกอบการเพื่อสุขภาพและเวลเนส</x:v>
      </x:c>
      <x:c r="E29" s="29" t="n">
        <x:v>3</x:v>
      </x:c>
      <x:c r="F29" s="30" t="str">
        <x:v>GMHI</x:v>
      </x:c>
      <x:c r="G29" s="20" t="str">
        <x:v>ยังไม่พบภาพ</x:v>
      </x:c>
      <x:c r="H29" s="20" t="str"/>
      <x:c r="I29" s="28" t="str"/>
      <x:c r="J29" s="28" t="str"/>
      <x:c r="K29" s="20" t="str">
        <x:v>ยังไม่ยืนยันจากภาพ</x:v>
      </x:c>
      <x:c r="L29" s="20" t="str">
        <x:v>ยังไม่ยืนยันใบฉบับปัจจุบันและวันหมดอายุ</x:v>
      </x:c>
      <x:c r="M29" s="23" t="e">
        <x:f>HYPERLINK("https://gmhi.co/th-th/services/ATG%20Southsea-51","เปิดทะเบียน")</x:f>
        <x:v>HYPERLINK is not implemented. linkLocation=https://gmhi.co/th-th/services/ATG%20Southsea-51, friendlyName=เปิดทะเบียน</x:v>
      </x:c>
      <x:c r="N29" s="23" t="str"/>
      <x:c r="O29" s="20" t="str">
        <x:v>GMHI-51</x:v>
      </x:c>
      <x:c r="P29" s="20" t="str">
        <x:v>อยู่ในชุด 600</x:v>
      </x:c>
      <x:c r="Q29" s="25" t="n">
        <x:v>46315</x:v>
      </x:c>
    </x:row>
    <x:row r="30" ht="76" customHeight="1">
      <x:c r="A30" s="24" t="str">
        <x:v>21</x:v>
      </x:c>
      <x:c r="B30" s="20" t="str">
        <x:v>The Cozy 77</x:v>
      </x:c>
      <x:c r="C30" s="20" t="str">
        <x:v>กรุงเทพมหานคร</x:v>
      </x:c>
      <x:c r="D30" s="20" t="str">
        <x:v>ที่พัก</x:v>
      </x:c>
      <x:c r="E30" s="29" t="n">
        <x:v>4</x:v>
      </x:c>
      <x:c r="F30" s="30" t="str">
        <x:v>GMHI</x:v>
      </x:c>
      <x:c r="G30" s="20" t="str">
        <x:v>ยังไม่พบภาพ</x:v>
      </x:c>
      <x:c r="H30" s="20" t="str"/>
      <x:c r="I30" s="28" t="str"/>
      <x:c r="J30" s="28" t="str"/>
      <x:c r="K30" s="20" t="str">
        <x:v>ยังไม่ยืนยันจากภาพ</x:v>
      </x:c>
      <x:c r="L30" s="20" t="str">
        <x:v>ยังไม่ยืนยันใบฉบับปัจจุบันและวันหมดอายุ</x:v>
      </x:c>
      <x:c r="M30" s="23" t="e">
        <x:f>HYPERLINK("https://gmhi.co/th-th/services/The%20Cozy%2077-21","เปิดทะเบียน")</x:f>
        <x:v>HYPERLINK is not implemented. linkLocation=https://gmhi.co/th-th/services/The%20Cozy%2077-21, friendlyName=เปิดทะเบียน</x:v>
      </x:c>
      <x:c r="N30" s="23" t="str"/>
      <x:c r="O30" s="20" t="str">
        <x:v>GMHI-21</x:v>
      </x:c>
      <x:c r="P30" s="20" t="str">
        <x:v>อยู่ในชุด 600</x:v>
      </x:c>
      <x:c r="Q30" s="25" t="n">
        <x:v>46315</x:v>
      </x:c>
    </x:row>
    <x:row r="31" ht="76" customHeight="1">
      <x:c r="A31" s="24" t="str">
        <x:v>46</x:v>
      </x:c>
      <x:c r="B31" s="20" t="str">
        <x:v>ParimaHotel</x:v>
      </x:c>
      <x:c r="C31" s="20" t="str">
        <x:v>ตรัง</x:v>
      </x:c>
      <x:c r="D31" s="20" t="str">
        <x:v>ที่พัก</x:v>
      </x:c>
      <x:c r="E31" s="29" t="n">
        <x:v>4</x:v>
      </x:c>
      <x:c r="F31" s="30" t="str">
        <x:v>GMHI</x:v>
      </x:c>
      <x:c r="G31" s="20" t="str">
        <x:v>THE SIGNATURE HOTEL AIRPORT</x:v>
      </x:c>
      <x:c r="H31" s="20" t="str">
        <x:v>GMHI-2026-TH-010706</x:v>
      </x:c>
      <x:c r="I31" s="28" t="str"/>
      <x:c r="J31" s="28" t="str"/>
      <x:c r="K31" s="20" t="str">
        <x:v>ภาพใบรับรองระบุคนละธุรกิจ</x:v>
      </x:c>
      <x:c r="L31" s="20" t="str">
        <x:v>รูปที่ผูกกับ ParimaHotel ระบุ The Signature Hotel Airport จึงยังใช้ยืนยันใบรับรองของ ParimaHotel ไม่ได้</x:v>
      </x:c>
      <x:c r="M31" s="23" t="e">
        <x:f>HYPERLINK("https://gmhi.co/th-th/services/ParimaHotel-46","เปิดทะเบียน")</x:f>
        <x:v>HYPERLINK is not implemented. linkLocation=https://gmhi.co/th-th/services/ParimaHotel-46, friendlyName=เปิดทะเบียน</x:v>
      </x:c>
      <x:c r="N31" s="23" t="e">
        <x:f>HYPERLINK("https://gmhi.co/images/2026/08/CERTIFICATE44202608062242491.jpg","เปิดภาพ (ตรวจชื่อ)")</x:f>
        <x:v>HYPERLINK is not implemented. linkLocation=https://gmhi.co/images/2026/08/CERTIFICATE44202608062242491.jpg, friendlyName=เปิดภาพ (ตรวจชื่อ)</x:v>
      </x:c>
      <x:c r="O31" s="20" t="str">
        <x:v>GMHI-46</x:v>
      </x:c>
      <x:c r="P31" s="20" t="str">
        <x:v>อยู่ในชุด 600</x:v>
      </x:c>
      <x:c r="Q31" s="25" t="n">
        <x:v>46315</x:v>
      </x:c>
    </x:row>
    <x:row r="32" ht="76" customHeight="1">
      <x:c r="A32" s="24" t="str">
        <x:v>57</x:v>
      </x:c>
      <x:c r="B32" s="20" t="str">
        <x:v>Regent Ramkhamhaeng 22</x:v>
      </x:c>
      <x:c r="C32" s="20" t="str">
        <x:v>กรุงเทพมหานคร</x:v>
      </x:c>
      <x:c r="D32" s="20" t="str">
        <x:v>ที่พัก</x:v>
      </x:c>
      <x:c r="E32" s="29" t="str"/>
      <x:c r="F32" s="30" t="str">
        <x:v>ไม่ระบุ</x:v>
      </x:c>
      <x:c r="G32" s="20" t="str">
        <x:v>ยังไม่พบภาพ</x:v>
      </x:c>
      <x:c r="H32" s="20" t="str"/>
      <x:c r="I32" s="28" t="str"/>
      <x:c r="J32" s="28" t="str"/>
      <x:c r="K32" s="20" t="str">
        <x:v>ยังไม่ยืนยันจากภาพ</x:v>
      </x:c>
      <x:c r="L32" s="20" t="str">
        <x:v>ยังไม่ยืนยันใบฉบับปัจจุบันและวันหมดอายุ</x:v>
      </x:c>
      <x:c r="M32" s="23" t="e">
        <x:f>HYPERLINK("https://gmhi.co/th-th/services/Regent%20Ramkhamhaeng%2022-57","เปิดทะเบียน")</x:f>
        <x:v>HYPERLINK is not implemented. linkLocation=https://gmhi.co/th-th/services/Regent%20Ramkhamhaeng%2022-57, friendlyName=เปิดทะเบียน</x:v>
      </x:c>
      <x:c r="N32" s="23" t="str"/>
      <x:c r="O32" s="20" t="str">
        <x:v>TMF-040</x:v>
      </x:c>
      <x:c r="P32" s="20" t="str">
        <x:v>รวมกับทะเบียน 26</x:v>
      </x:c>
      <x:c r="Q32" s="25" t="n">
        <x:v>46315</x:v>
      </x:c>
    </x:row>
    <x:row r="33" ht="76" customHeight="1">
      <x:c r="A33" s="24" t="str">
        <x:v>47</x:v>
      </x:c>
      <x:c r="B33" s="20" t="str">
        <x:v>สภากาแฟ’36 สาขาหาดใหญ่</x:v>
      </x:c>
      <x:c r="C33" s="20" t="str">
        <x:v>สงขลา</x:v>
      </x:c>
      <x:c r="D33" s="20" t="str">
        <x:v>ร้านอาหารและคาเฟ่</x:v>
      </x:c>
      <x:c r="E33" s="29" t="n">
        <x:v>6</x:v>
      </x:c>
      <x:c r="F33" s="30" t="str">
        <x:v>GMHI</x:v>
      </x:c>
      <x:c r="G33" s="20" t="str">
        <x:v>SAPAKAFE 36</x:v>
      </x:c>
      <x:c r="H33" s="20" t="str">
        <x:v>GMHI-2026-TH-020702</x:v>
      </x:c>
      <x:c r="I33" s="28" t="n">
        <x:v>46205</x:v>
      </x:c>
      <x:c r="J33" s="28" t="n">
        <x:v>47300</x:v>
      </x:c>
      <x:c r="K33" s="20" t="str">
        <x:v>ชื่อตรงกับรายการ</x:v>
      </x:c>
      <x:c r="L33" s="20" t="str">
        <x:v>อ่านวันออกและวันหมดอายุจากภาพใบรับรองสาธารณะ</x:v>
      </x:c>
      <x:c r="M33" s="23" t="e">
        <x:f>HYPERLINK("https://gmhi.co/th-th/services/%E0%B8%AA%E0%B8%A0%E0%B8%B2%E0%B8%81%E0%B8%B2%E0%B9%81%E0%B8%9F%E2%80%9936%20%E0%B8%AA%E0%B8%B2%E0%B8%82%E0%B8%B2%E0%B8%AB%E0%B8%B2%E0%B8%94%E0%B9%83%E0%B8%AB%E0%B8%8D%E0%B9%88-47","เปิดทะเบียน")</x:f>
        <x:v>HYPERLINK is not implemented. linkLocation=https://gmhi.co/th-th/services/%E0%B8%AA%E0%B8%A0%E0%B8%B2%E0%B8%81%E0%B8%B2%E0%B9%81%E0%B8%9F%E2%80%9936%20%E0%B8%AA%E0%B8%B2%E0%B8%82%E0%B8%B2%E0%B8%AB%E0%B8%B2%E0%B8%94%E0%B9%83%E0%B8%AB%E0%B8%8D%E0%B9%88-47, friendlyName=เปิดทะเบียน</x:v>
      </x:c>
      <x:c r="N33" s="23" t="e">
        <x:f>HYPERLINK("https://gmhi.co/images/2026/08/CERTIFICATE42202608061035381.png","เปิดภาพ (ตรวจชื่อ)")</x:f>
        <x:v>HYPERLINK is not implemented. linkLocation=https://gmhi.co/images/2026/08/CERTIFICATE42202608061035381.png, friendlyName=เปิดภาพ (ตรวจชื่อ)</x:v>
      </x:c>
      <x:c r="O33" s="20" t="str">
        <x:v>GMHI-47</x:v>
      </x:c>
      <x:c r="P33" s="20" t="str">
        <x:v>อยู่ในชุด 600</x:v>
      </x:c>
      <x:c r="Q33" s="25" t="n">
        <x:v>46315</x:v>
      </x:c>
    </x:row>
    <x:row r="34" ht="76" customHeight="1">
      <x:c r="A34" s="24" t="str">
        <x:v>52</x:v>
      </x:c>
      <x:c r="B34" s="20" t="str">
        <x:v>Icellare</x:v>
      </x:c>
      <x:c r="C34" s="20" t="str">
        <x:v>ภูเก็ต</x:v>
      </x:c>
      <x:c r="D34" s="20" t="str">
        <x:v>สถานประกอบการเพื่อสุขภาพและเวลเนส</x:v>
      </x:c>
      <x:c r="E34" s="29" t="n">
        <x:v>4</x:v>
      </x:c>
      <x:c r="F34" s="30" t="str">
        <x:v>ไม่ระบุ</x:v>
      </x:c>
      <x:c r="G34" s="20" t="str">
        <x:v>ยังไม่พบภาพ</x:v>
      </x:c>
      <x:c r="H34" s="20" t="str"/>
      <x:c r="I34" s="28" t="str"/>
      <x:c r="J34" s="28" t="str"/>
      <x:c r="K34" s="20" t="str">
        <x:v>ยังไม่ยืนยันจากภาพ</x:v>
      </x:c>
      <x:c r="L34" s="20" t="str">
        <x:v>ยังไม่ยืนยันใบฉบับปัจจุบันและวันหมดอายุ</x:v>
      </x:c>
      <x:c r="M34" s="23" t="e">
        <x:f>HYPERLINK("https://gmhi.co/th-th/services/Icellare-52","เปิดทะเบียน")</x:f>
        <x:v>HYPERLINK is not implemented. linkLocation=https://gmhi.co/th-th/services/Icellare-52, friendlyName=เปิดทะเบียน</x:v>
      </x:c>
      <x:c r="N34" s="23" t="str"/>
      <x:c r="O34" s="20" t="str">
        <x:v>GMHI-52</x:v>
      </x:c>
      <x:c r="P34" s="20" t="str">
        <x:v>อยู่ในชุด 600</x:v>
      </x:c>
      <x:c r="Q34" s="25" t="n">
        <x:v>46315</x:v>
      </x:c>
    </x:row>
    <x:row r="35" ht="76" customHeight="1">
      <x:c r="A35" s="24" t="str">
        <x:v>58</x:v>
      </x:c>
      <x:c r="B35" s="20" t="str">
        <x:v>JUST SALT STEAK</x:v>
      </x:c>
      <x:c r="C35" s="20" t="str">
        <x:v>กรุงเทพมหานคร</x:v>
      </x:c>
      <x:c r="D35" s="20" t="str">
        <x:v>ร้านอาหารและคาเฟ่</x:v>
      </x:c>
      <x:c r="E35" s="29" t="str"/>
      <x:c r="F35" s="30" t="str">
        <x:v>ไม่ระบุ</x:v>
      </x:c>
      <x:c r="G35" s="20" t="str">
        <x:v>ยังไม่พบภาพ</x:v>
      </x:c>
      <x:c r="H35" s="20" t="str"/>
      <x:c r="I35" s="28" t="str"/>
      <x:c r="J35" s="28" t="str"/>
      <x:c r="K35" s="20" t="str">
        <x:v>ยังไม่ยืนยันจากภาพ</x:v>
      </x:c>
      <x:c r="L35" s="20" t="str">
        <x:v>ยังไม่ยืนยันใบฉบับปัจจุบันและวันหมดอายุ</x:v>
      </x:c>
      <x:c r="M35" s="23" t="e">
        <x:f>HYPERLINK("https://gmhi.co/th-th/services/JUST%20SALT%20STEAK-58","เปิดทะเบียน")</x:f>
        <x:v>HYPERLINK is not implemented. linkLocation=https://gmhi.co/th-th/services/JUST%20SALT%20STEAK-58, friendlyName=เปิดทะเบียน</x:v>
      </x:c>
      <x:c r="N35" s="23" t="str"/>
      <x:c r="O35" s="20" t="str">
        <x:v>GMHI-33</x:v>
      </x:c>
      <x:c r="P35" s="20" t="str">
        <x:v>รวมกับทะเบียน 33</x:v>
      </x:c>
      <x:c r="Q35" s="25" t="n">
        <x:v>46315</x:v>
      </x:c>
    </x:row>
    <x:row r="36" ht="76" customHeight="1">
      <x:c r="A36" s="24" t="str">
        <x:v>36</x:v>
      </x:c>
      <x:c r="B36" s="20" t="str">
        <x:v>Amman Unique Hotel</x:v>
      </x:c>
      <x:c r="C36" s="20" t="str">
        <x:v>อุดรธานี</x:v>
      </x:c>
      <x:c r="D36" s="20" t="str">
        <x:v>ที่พัก</x:v>
      </x:c>
      <x:c r="E36" s="29" t="n">
        <x:v>5</x:v>
      </x:c>
      <x:c r="F36" s="30" t="str">
        <x:v>GMHI</x:v>
      </x:c>
      <x:c r="G36" s="20" t="str">
        <x:v>ยังไม่พบภาพ</x:v>
      </x:c>
      <x:c r="H36" s="20" t="str"/>
      <x:c r="I36" s="28" t="str"/>
      <x:c r="J36" s="28" t="str"/>
      <x:c r="K36" s="20" t="str">
        <x:v>ยังไม่ยืนยันจากภาพ</x:v>
      </x:c>
      <x:c r="L36" s="20" t="str">
        <x:v>ยังไม่ยืนยันใบฉบับปัจจุบันและวันหมดอายุ</x:v>
      </x:c>
      <x:c r="M36" s="23" t="e">
        <x:f>HYPERLINK("https://gmhi.co/th-th/services/Amman%20Unique%20Hotel-36","เปิดทะเบียน")</x:f>
        <x:v>HYPERLINK is not implemented. linkLocation=https://gmhi.co/th-th/services/Amman%20Unique%20Hotel-36, friendlyName=เปิดทะเบียน</x:v>
      </x:c>
      <x:c r="N36" s="23" t="str"/>
      <x:c r="O36" s="20" t="str">
        <x:v>GMHI-36</x:v>
      </x:c>
      <x:c r="P36" s="20" t="str">
        <x:v>อยู่ในชุด 600</x:v>
      </x:c>
      <x:c r="Q36" s="25" t="n">
        <x:v>46315</x:v>
      </x:c>
    </x:row>
    <x:row r="37" ht="76" customHeight="1">
      <x:c r="A37" s="24" t="str">
        <x:v>29</x:v>
      </x:c>
      <x:c r="B37" s="20" t="str">
        <x:v>DEWAN BANGKOK</x:v>
      </x:c>
      <x:c r="C37" s="20" t="str">
        <x:v>กรุงเทพมหานคร</x:v>
      </x:c>
      <x:c r="D37" s="20" t="str">
        <x:v>ที่พัก</x:v>
      </x:c>
      <x:c r="E37" s="29" t="n">
        <x:v>5</x:v>
      </x:c>
      <x:c r="F37" s="30" t="str">
        <x:v>GMHI</x:v>
      </x:c>
      <x:c r="G37" s="20" t="str">
        <x:v>ยังไม่พบภาพ</x:v>
      </x:c>
      <x:c r="H37" s="20" t="str"/>
      <x:c r="I37" s="28" t="str"/>
      <x:c r="J37" s="28" t="str"/>
      <x:c r="K37" s="20" t="str">
        <x:v>ยังไม่ยืนยันจากภาพ</x:v>
      </x:c>
      <x:c r="L37" s="20" t="str">
        <x:v>ยังไม่ยืนยันใบฉบับปัจจุบันและวันหมดอายุ</x:v>
      </x:c>
      <x:c r="M37" s="23" t="e">
        <x:f>HYPERLINK("https://gmhi.co/th-th/services/DEWAN%20BANGKOK-29","เปิดทะเบียน")</x:f>
        <x:v>HYPERLINK is not implemented. linkLocation=https://gmhi.co/th-th/services/DEWAN%20BANGKOK-29, friendlyName=เปิดทะเบียน</x:v>
      </x:c>
      <x:c r="N37" s="23" t="str"/>
      <x:c r="O37" s="20" t="str">
        <x:v>GMHI-29</x:v>
      </x:c>
      <x:c r="P37" s="20" t="str">
        <x:v>อยู่ในชุด 600</x:v>
      </x:c>
      <x:c r="Q37" s="25" t="n">
        <x:v>46315</x:v>
      </x:c>
    </x:row>
  </x:sheetData>
  <x:pageMargins left="0.7" right="0.7" top="0.75" bottom="0.75" header="0.3" footer="0.3"/>
  <x:tableParts count="1">
    <x:tablePart xmlns:r="http://schemas.openxmlformats.org/officeDocument/2006/relationships" r:id="Rf62a0ffa31994eb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6" hidden="0" customWidth="1"/>
    <x:col min="2" max="2" width="49" hidden="0" customWidth="1"/>
    <x:col min="3" max="3" width="24" hidden="0" customWidth="1"/>
    <x:col min="4" max="4" width="42" hidden="0" customWidth="1"/>
    <x:col min="5" max="5" width="24" hidden="0" customWidth="1"/>
    <x:col min="6" max="6" width="21" hidden="0" customWidth="1"/>
    <x:col min="7" max="7" width="95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2"/>
      <x:c r="B2" s="3" t="str">
        <x:v>รายการเปลี่ยนแปลงและประเภทที่แก้ไข</x:v>
      </x:c>
      <x:c r="C2" s="2"/>
      <x:c r="D2" s="2"/>
      <x:c r="E2" s="2"/>
      <x:c r="F2" s="2"/>
      <x:c r="G2" s="2"/>
    </x:row>
    <x:row r="3">
      <x:c r="A3" s="2"/>
      <x:c r="B3" s="4"/>
      <x:c r="C3" s="4"/>
      <x:c r="D3" s="4"/>
      <x:c r="E3" s="4"/>
      <x:c r="F3" s="4"/>
      <x:c r="G3" s="4"/>
    </x:row>
    <x:row r="4">
      <x:c r="A4" s="2"/>
      <x:c r="B4" s="19" t="str">
        <x:v>เก็บรายชื่อเดิมไว้ตรวจย้อนหลัง การย้ายเป็นสำรองไม่ได้หมายความว่าธุรกิจปิดหรือไม่ผ่านมาตรฐาน</x:v>
      </x:c>
      <x:c r="C4" s="2"/>
      <x:c r="D4" s="2"/>
      <x:c r="E4" s="2"/>
      <x:c r="F4" s="2"/>
      <x:c r="G4" s="2"/>
    </x:row>
    <x:row r="5">
      <x:c r="A5" s="2"/>
      <x:c r="B5" s="2"/>
      <x:c r="C5" s="2"/>
      <x:c r="D5" s="2"/>
      <x:c r="E5" s="2"/>
      <x:c r="F5" s="2"/>
      <x:c r="G5" s="2"/>
    </x:row>
    <x:row r="6">
      <x:c r="A6" s="2"/>
      <x:c r="B6" s="2"/>
      <x:c r="C6" s="2"/>
      <x:c r="D6" s="2"/>
      <x:c r="E6" s="2"/>
      <x:c r="F6" s="2"/>
      <x:c r="G6" s="2"/>
    </x:row>
    <x:row r="7">
      <x:c r="A7" s="2"/>
      <x:c r="B7" s="2"/>
      <x:c r="C7" s="2"/>
      <x:c r="D7" s="2"/>
      <x:c r="E7" s="2"/>
      <x:c r="F7" s="2"/>
      <x:c r="G7" s="2"/>
    </x:row>
    <x:row r="8" ht="34" customHeight="1">
      <x:c r="A8" s="16" t="str">
        <x:v>รหัสเดิม</x:v>
      </x:c>
      <x:c r="B8" s="17" t="str">
        <x:v>ชื่อเดิม</x:v>
      </x:c>
      <x:c r="C8" s="17" t="str">
        <x:v>จังหวัด</x:v>
      </x:c>
      <x:c r="D8" s="17" t="str">
        <x:v>กลุ่มเดิม</x:v>
      </x:c>
      <x:c r="E8" s="17" t="str">
        <x:v>การเปลี่ยนแปลง</x:v>
      </x:c>
      <x:c r="F8" s="17" t="str">
        <x:v>รหัสที่คงไว้</x:v>
      </x:c>
      <x:c r="G8" s="18" t="str">
        <x:v>เหตุผล</x:v>
      </x:c>
    </x:row>
    <x:row r="9" ht="64" customHeight="1">
      <x:c r="A9" s="2" t="str">
        <x:v>TMF-050</x:v>
      </x:c>
      <x:c r="B9" s="8" t="str">
        <x:v>Heyyyy Bangkok Cafe</x:v>
      </x:c>
      <x:c r="C9" s="8" t="str">
        <x:v>กรุงเทพมหานคร</x:v>
      </x:c>
      <x:c r="D9" s="8" t="str">
        <x:v>พร้อมขาย</x:v>
      </x:c>
      <x:c r="E9" s="8" t="str">
        <x:v>รวมรายการซ้ำ</x:v>
      </x:c>
      <x:c r="F9" s="8" t="str">
        <x:v>TMF-051</x:v>
      </x:c>
      <x:c r="G9" s="8" t="str">
        <x:v>ชื่อและสถานที่/บริการประกอบซ้ำกัน นับสถานที่เดียว</x:v>
      </x:c>
    </x:row>
    <x:row r="10" ht="64" customHeight="1">
      <x:c r="A10" s="2" t="str">
        <x:v>TMF-097</x:v>
      </x:c>
      <x:c r="B10" s="8" t="str">
        <x:v>๑๐๐นัด ฮาลาล</x:v>
      </x:c>
      <x:c r="C10" s="8" t="str">
        <x:v>กรุงเทพมหานคร</x:v>
      </x:c>
      <x:c r="D10" s="8" t="str">
        <x:v>พร้อมขาย</x:v>
      </x:c>
      <x:c r="E10" s="8" t="str">
        <x:v>ย้ายเป็นสำรอง</x:v>
      </x:c>
      <x:c r="F10" s="8" t="str"/>
      <x:c r="G10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11" ht="64" customHeight="1">
      <x:c r="A11" s="2" t="str">
        <x:v>TMF-134</x:v>
      </x:c>
      <x:c r="B11" s="8" t="str">
        <x:v>ฟอสซิล แคมป์&amp;คาเฟ่</x:v>
      </x:c>
      <x:c r="C11" s="8" t="str">
        <x:v>นครราชสีมา</x:v>
      </x:c>
      <x:c r="D11" s="8" t="str">
        <x:v>พร้อมขาย</x:v>
      </x:c>
      <x:c r="E11" s="8" t="str">
        <x:v>รวมรายการซ้ำ</x:v>
      </x:c>
      <x:c r="F11" s="8" t="str">
        <x:v>TMF-133</x:v>
      </x:c>
      <x:c r="G11" s="8" t="str">
        <x:v>ชื่อและสถานที่/บริการประกอบซ้ำกัน นับสถานที่เดียว</x:v>
      </x:c>
    </x:row>
    <x:row r="12" ht="64" customHeight="1">
      <x:c r="A12" s="2" t="str">
        <x:v>TMF-137</x:v>
      </x:c>
      <x:c r="B12" s="8" t="str">
        <x:v>I Lay Cafe Sichon</x:v>
      </x:c>
      <x:c r="C12" s="8" t="str">
        <x:v>นครศรีธรรมราช</x:v>
      </x:c>
      <x:c r="D12" s="8" t="str">
        <x:v>พร้อมขาย</x:v>
      </x:c>
      <x:c r="E12" s="8" t="str">
        <x:v>รวมรายการซ้ำ</x:v>
      </x:c>
      <x:c r="F12" s="8" t="str">
        <x:v>TMF-136</x:v>
      </x:c>
      <x:c r="G12" s="8" t="str">
        <x:v>ชื่อและสถานที่/บริการประกอบซ้ำกัน นับสถานที่เดียว</x:v>
      </x:c>
    </x:row>
    <x:row r="13" ht="64" customHeight="1">
      <x:c r="A13" s="2" t="str">
        <x:v>TMF-242</x:v>
      </x:c>
      <x:c r="B13" s="8" t="str">
        <x:v>โก เบอร์เกอร์ แอนด์ พาสต้า</x:v>
      </x:c>
      <x:c r="C13" s="8" t="str">
        <x:v>กรุงเทพมหานคร</x:v>
      </x:c>
      <x:c r="D13" s="8" t="str">
        <x:v>พร้อมขาย</x:v>
      </x:c>
      <x:c r="E13" s="8" t="str">
        <x:v>ย้ายเป็นสำรอง</x:v>
      </x:c>
      <x:c r="F13" s="8" t="str"/>
      <x:c r="G13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14" ht="64" customHeight="1">
      <x:c r="A14" s="2" t="str">
        <x:v>TMF-246</x:v>
      </x:c>
      <x:c r="B14" s="8" t="str">
        <x:v>ส้มตำ มุสลิม ซูจี</x:v>
      </x:c>
      <x:c r="C14" s="8" t="str">
        <x:v>กรุงเทพมหานคร</x:v>
      </x:c>
      <x:c r="D14" s="8" t="str">
        <x:v>พร้อมขาย</x:v>
      </x:c>
      <x:c r="E14" s="8" t="str">
        <x:v>ย้ายเป็นสำรอง</x:v>
      </x:c>
      <x:c r="F14" s="8" t="str"/>
      <x:c r="G14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15" ht="64" customHeight="1">
      <x:c r="A15" s="2" t="str">
        <x:v>TMF-271</x:v>
      </x:c>
      <x:c r="B15" s="8" t="str">
        <x:v>มุสลิมโฮม 2 Muslimhome2</x:v>
      </x:c>
      <x:c r="C15" s="8" t="str">
        <x:v>กรุงเทพมหานคร</x:v>
      </x:c>
      <x:c r="D15" s="8" t="str">
        <x:v>พัฒนาเพื่อพร้อมขาย</x:v>
      </x:c>
      <x:c r="E15" s="8" t="str">
        <x:v>รวมรายการซ้ำ</x:v>
      </x:c>
      <x:c r="F15" s="8" t="str">
        <x:v>TMF-083</x:v>
      </x:c>
      <x:c r="G15" s="8" t="str">
        <x:v>ชื่อและสถานที่/บริการประกอบซ้ำกัน นับสถานที่เดียว</x:v>
      </x:c>
    </x:row>
    <x:row r="16" ht="64" customHeight="1">
      <x:c r="A16" s="2" t="str">
        <x:v>TMF-282</x:v>
      </x:c>
      <x:c r="B16" s="8" t="str">
        <x:v>มัสยิดกมาลุ๊ลอิมาน(วังตาหนวด)</x:v>
      </x:c>
      <x:c r="C16" s="8" t="str">
        <x:v>กรุงเทพมหานคร</x:v>
      </x:c>
      <x:c r="D16" s="8" t="str">
        <x:v>พัฒนาเพื่อพร้อมขาย</x:v>
      </x:c>
      <x:c r="E16" s="8" t="str">
        <x:v>ย้ายเป็นสำรอง</x:v>
      </x:c>
      <x:c r="F16" s="8" t="str"/>
      <x:c r="G16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17" ht="64" customHeight="1">
      <x:c r="A17" s="2" t="str">
        <x:v>TMF-286</x:v>
      </x:c>
      <x:c r="B17" s="8" t="str">
        <x:v>มัสยิดดารุลมุมินีน (คู้ฝั่งเหนือ)</x:v>
      </x:c>
      <x:c r="C17" s="8" t="str">
        <x:v>กรุงเทพมหานคร</x:v>
      </x:c>
      <x:c r="D17" s="8" t="str">
        <x:v>พัฒนาเพื่อพร้อมขาย</x:v>
      </x:c>
      <x:c r="E17" s="8" t="str">
        <x:v>ย้ายเป็นสำรอง</x:v>
      </x:c>
      <x:c r="F17" s="8" t="str"/>
      <x:c r="G17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18" ht="64" customHeight="1">
      <x:c r="A18" s="2" t="str">
        <x:v>TMF-290</x:v>
      </x:c>
      <x:c r="B18" s="8" t="str">
        <x:v>มัสยิดดารุ้ลคอยรอต(เจียรดับ)</x:v>
      </x:c>
      <x:c r="C18" s="8" t="str">
        <x:v>กรุงเทพมหานคร</x:v>
      </x:c>
      <x:c r="D18" s="8" t="str">
        <x:v>พัฒนาเพื่อพร้อมขาย</x:v>
      </x:c>
      <x:c r="E18" s="8" t="str">
        <x:v>ย้ายเป็นสำรอง</x:v>
      </x:c>
      <x:c r="F18" s="8" t="str"/>
      <x:c r="G18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19" ht="64" customHeight="1">
      <x:c r="A19" s="2" t="str">
        <x:v>TMF-297</x:v>
      </x:c>
      <x:c r="B19" s="8" t="str">
        <x:v>มัสยิดนูรุลฮิดายะห์ (สุวินทวงศ์)</x:v>
      </x:c>
      <x:c r="C19" s="8" t="str">
        <x:v>กรุงเทพมหานคร</x:v>
      </x:c>
      <x:c r="D19" s="8" t="str">
        <x:v>พัฒนาเพื่อพร้อมขาย</x:v>
      </x:c>
      <x:c r="E19" s="8" t="str">
        <x:v>ย้ายเป็นสำรอง</x:v>
      </x:c>
      <x:c r="F19" s="8" t="str"/>
      <x:c r="G19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0" ht="64" customHeight="1">
      <x:c r="A20" s="2" t="str">
        <x:v>TMF-302</x:v>
      </x:c>
      <x:c r="B20" s="8" t="str">
        <x:v>มัสยิดบางอุทิศ (บางอุทิศ)</x:v>
      </x:c>
      <x:c r="C20" s="8" t="str">
        <x:v>กรุงเทพมหานคร</x:v>
      </x:c>
      <x:c r="D20" s="8" t="str">
        <x:v>พัฒนาเพื่อพร้อมขาย</x:v>
      </x:c>
      <x:c r="E20" s="8" t="str">
        <x:v>ย้ายเป็นสำรอง</x:v>
      </x:c>
      <x:c r="F20" s="8" t="str"/>
      <x:c r="G20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1" ht="64" customHeight="1">
      <x:c r="A21" s="2" t="str">
        <x:v>TMF-304</x:v>
      </x:c>
      <x:c r="B21" s="8" t="str">
        <x:v>มัสยิดมิตรภาพไทย-ปากีสตาน (มิตรภาพไทย-ปากีสตาน)</x:v>
      </x:c>
      <x:c r="C21" s="8" t="str">
        <x:v>กรุงเทพมหานคร</x:v>
      </x:c>
      <x:c r="D21" s="8" t="str">
        <x:v>พัฒนาเพื่อพร้อมขาย</x:v>
      </x:c>
      <x:c r="E21" s="8" t="str">
        <x:v>ย้ายเป็นสำรอง</x:v>
      </x:c>
      <x:c r="F21" s="8" t="str"/>
      <x:c r="G21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2" ht="64" customHeight="1">
      <x:c r="A22" s="2" t="str">
        <x:v>TMF-309</x:v>
      </x:c>
      <x:c r="B22" s="8" t="str">
        <x:v>มัสยิดอะห์ลิสซุนนะห์วั้ลยะมาอะฮ์</x:v>
      </x:c>
      <x:c r="C22" s="8" t="str">
        <x:v>กรุงเทพมหานคร</x:v>
      </x:c>
      <x:c r="D22" s="8" t="str">
        <x:v>พัฒนาเพื่อพร้อมขาย</x:v>
      </x:c>
      <x:c r="E22" s="8" t="str">
        <x:v>ย้ายเป็นสำรอง</x:v>
      </x:c>
      <x:c r="F22" s="8" t="str"/>
      <x:c r="G22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3" ht="64" customHeight="1">
      <x:c r="A23" s="2" t="str">
        <x:v>TMF-317</x:v>
      </x:c>
      <x:c r="B23" s="8" t="str">
        <x:v>มัสยิดอัลเอี้ยะซาน ศาลาคู้</x:v>
      </x:c>
      <x:c r="C23" s="8" t="str">
        <x:v>กรุงเทพมหานคร</x:v>
      </x:c>
      <x:c r="D23" s="8" t="str">
        <x:v>พัฒนาเพื่อพร้อมขาย</x:v>
      </x:c>
      <x:c r="E23" s="8" t="str">
        <x:v>ย้ายเป็นสำรอง</x:v>
      </x:c>
      <x:c r="F23" s="8" t="str"/>
      <x:c r="G23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4" ht="64" customHeight="1">
      <x:c r="A24" s="2" t="str">
        <x:v>TMF-324</x:v>
      </x:c>
      <x:c r="B24" s="8" t="str">
        <x:v>มัสยิดฮีดาย่าตุลอิสลามียะฮ์ (แสนแสบ)</x:v>
      </x:c>
      <x:c r="C24" s="8" t="str">
        <x:v>กรุงเทพมหานคร</x:v>
      </x:c>
      <x:c r="D24" s="8" t="str">
        <x:v>พัฒนาเพื่อพร้อมขาย</x:v>
      </x:c>
      <x:c r="E24" s="8" t="str">
        <x:v>ย้ายเป็นสำรอง</x:v>
      </x:c>
      <x:c r="F24" s="8" t="str"/>
      <x:c r="G24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5" ht="64" customHeight="1">
      <x:c r="A25" s="2" t="str">
        <x:v>TMF-405</x:v>
      </x:c>
      <x:c r="B25" s="8" t="str">
        <x:v>โกกี้ นมสด สถานีพัฒน์</x:v>
      </x:c>
      <x:c r="C25" s="8" t="str">
        <x:v>กรุงเทพมหานคร</x:v>
      </x:c>
      <x:c r="D25" s="8" t="str">
        <x:v>พัฒนาเพื่อพร้อมขาย</x:v>
      </x:c>
      <x:c r="E25" s="8" t="str">
        <x:v>ย้ายเป็นสำรอง</x:v>
      </x:c>
      <x:c r="F25" s="8" t="str"/>
      <x:c r="G25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6" ht="64" customHeight="1">
      <x:c r="A26" s="2" t="str">
        <x:v>TMF-407</x:v>
      </x:c>
      <x:c r="B26" s="8" t="str">
        <x:v>Gigi chicken &amp; kebab</x:v>
      </x:c>
      <x:c r="C26" s="8" t="str">
        <x:v>กรุงเทพมหานคร</x:v>
      </x:c>
      <x:c r="D26" s="8" t="str">
        <x:v>พัฒนาเพื่อพร้อมขาย</x:v>
      </x:c>
      <x:c r="E26" s="8" t="str">
        <x:v>ย้ายเป็นสำรอง</x:v>
      </x:c>
      <x:c r="F26" s="8" t="str"/>
      <x:c r="G26" s="8" t="str">
        <x:v>พบหน้ารีวิวระบุปิดถาวร สาขาตรงกับที่อยู่เดิม ย้ายเป็นสำรองระหว่างรอยืนยันจากเจ้าของและแหล่งที่สอง</x:v>
      </x:c>
    </x:row>
    <x:row r="27" ht="64" customHeight="1">
      <x:c r="A27" s="2" t="str">
        <x:v>TMF-409</x:v>
      </x:c>
      <x:c r="B27" s="8" t="str">
        <x:v>ฟาติมะห์ไก่ย่างนมสด</x:v>
      </x:c>
      <x:c r="C27" s="8" t="str">
        <x:v>กรุงเทพมหานคร</x:v>
      </x:c>
      <x:c r="D27" s="8" t="str">
        <x:v>พัฒนาเพื่อพร้อมขาย</x:v>
      </x:c>
      <x:c r="E27" s="8" t="str">
        <x:v>ย้ายเป็นสำรอง</x:v>
      </x:c>
      <x:c r="F27" s="8" t="str"/>
      <x:c r="G27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8" ht="64" customHeight="1">
      <x:c r="A28" s="2" t="str">
        <x:v>TMF-410</x:v>
      </x:c>
      <x:c r="B28" s="8" t="str">
        <x:v>ละห์ ข้าวราดแกง</x:v>
      </x:c>
      <x:c r="C28" s="8" t="str">
        <x:v>กรุงเทพมหานคร</x:v>
      </x:c>
      <x:c r="D28" s="8" t="str">
        <x:v>พัฒนาเพื่อพร้อมขาย</x:v>
      </x:c>
      <x:c r="E28" s="8" t="str">
        <x:v>ย้ายเป็นสำรอง</x:v>
      </x:c>
      <x:c r="F28" s="8" t="str"/>
      <x:c r="G28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29" ht="64" customHeight="1">
      <x:c r="A29" s="2" t="str">
        <x:v>TMF-411</x:v>
      </x:c>
      <x:c r="B29" s="8" t="str">
        <x:v>ซาฟรอง อาหารตามสั่งริมคลอง</x:v>
      </x:c>
      <x:c r="C29" s="8" t="str">
        <x:v>กรุงเทพมหานคร</x:v>
      </x:c>
      <x:c r="D29" s="8" t="str">
        <x:v>พัฒนาเพื่อพร้อมขาย</x:v>
      </x:c>
      <x:c r="E29" s="8" t="str">
        <x:v>ย้ายเป็นสำรอง</x:v>
      </x:c>
      <x:c r="F29" s="8" t="str"/>
      <x:c r="G29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30" ht="64" customHeight="1">
      <x:c r="A30" s="2" t="str">
        <x:v>TMF-412</x:v>
      </x:c>
      <x:c r="B30" s="8" t="str">
        <x:v>ลิบง</x:v>
      </x:c>
      <x:c r="C30" s="8" t="str">
        <x:v>กรุงเทพมหานคร</x:v>
      </x:c>
      <x:c r="D30" s="8" t="str">
        <x:v>พัฒนาเพื่อพร้อมขาย</x:v>
      </x:c>
      <x:c r="E30" s="8" t="str">
        <x:v>ย้ายเป็นสำรอง</x:v>
      </x:c>
      <x:c r="F30" s="8" t="str"/>
      <x:c r="G30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31" ht="64" customHeight="1">
      <x:c r="A31" s="2" t="str">
        <x:v>TMF-555</x:v>
      </x:c>
      <x:c r="B31" s="8" t="str">
        <x:v>ไก่ย่างอัสรี</x:v>
      </x:c>
      <x:c r="C31" s="8" t="str">
        <x:v>กรุงเทพมหานคร</x:v>
      </x:c>
      <x:c r="D31" s="8" t="str">
        <x:v>มีศักยภาพ แต่ต้องพัฒนามาตรฐาน</x:v>
      </x:c>
      <x:c r="E31" s="8" t="str">
        <x:v>ย้ายเป็นสำรอง</x:v>
      </x:c>
      <x:c r="F31" s="8" t="str"/>
      <x:c r="G31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32" ht="64" customHeight="1">
      <x:c r="A32" s="2" t="str">
        <x:v>TMF-598</x:v>
      </x:c>
      <x:c r="B32" s="8" t="str">
        <x:v>กะเพรากระทะเดือด ฮาลาล &amp; Greek yogurt</x:v>
      </x:c>
      <x:c r="C32" s="8" t="str">
        <x:v>กรุงเทพมหานคร</x:v>
      </x:c>
      <x:c r="D32" s="8" t="str">
        <x:v>มีศักยภาพ แต่ต้องพัฒนามาตรฐาน</x:v>
      </x:c>
      <x:c r="E32" s="8" t="str">
        <x:v>ย้ายเป็นสำรอง</x:v>
      </x:c>
      <x:c r="F32" s="8" t="str"/>
      <x:c r="G32" s="8" t="str">
        <x:v>รอบค้นหาซ้ำยังจับคู่แหล่งที่สองไม่ได้ จัดลำดับให้ธุรกิจในทะเบียน GMHI; ไม่ได้สรุปว่าปิดกิจการ</x:v>
      </x:c>
    </x:row>
    <x:row r="33" ht="64" customHeight="1">
      <x:c r="A33" s="2" t="str">
        <x:v>TMF-003</x:v>
      </x:c>
      <x:c r="B33" s="8" t="str">
        <x:v>นอร์ธผาฮี้</x:v>
      </x:c>
      <x:c r="C33" s="8" t="str">
        <x:v>เชียงราย</x:v>
      </x:c>
      <x:c r="D33" s="8" t="str">
        <x:v>พร้อมขาย</x:v>
      </x:c>
      <x:c r="E33" s="8" t="str">
        <x:v>ปรับประเภทเป็นที่พัก</x:v>
      </x:c>
      <x:c r="F33" s="8" t="str">
        <x:v>TMF-003</x:v>
      </x:c>
      <x:c r="G33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34" ht="64" customHeight="1">
      <x:c r="A34" s="2" t="str">
        <x:v>TMF-031</x:v>
      </x:c>
      <x:c r="B34" s="8" t="str">
        <x:v>Ahad Suite Ao Nang</x:v>
      </x:c>
      <x:c r="C34" s="8" t="str">
        <x:v>กระบี่</x:v>
      </x:c>
      <x:c r="D34" s="8" t="str">
        <x:v>พร้อมขาย</x:v>
      </x:c>
      <x:c r="E34" s="8" t="str">
        <x:v>ปรับประเภทเป็นที่พัก</x:v>
      </x:c>
      <x:c r="F34" s="8" t="str">
        <x:v>TMF-031</x:v>
      </x:c>
      <x:c r="G34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35" ht="64" customHeight="1">
      <x:c r="A35" s="2" t="str">
        <x:v>TMF-032</x:v>
      </x:c>
      <x:c r="B35" s="8" t="str">
        <x:v>White Sand Halal House Krabi</x:v>
      </x:c>
      <x:c r="C35" s="8" t="str">
        <x:v>กระบี่</x:v>
      </x:c>
      <x:c r="D35" s="8" t="str">
        <x:v>พร้อมขาย</x:v>
      </x:c>
      <x:c r="E35" s="8" t="str">
        <x:v>ปรับประเภทเป็นที่พัก</x:v>
      </x:c>
      <x:c r="F35" s="8" t="str">
        <x:v>TMF-032</x:v>
      </x:c>
      <x:c r="G35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36" ht="64" customHeight="1">
      <x:c r="A36" s="2" t="str">
        <x:v>TMF-051</x:v>
      </x:c>
      <x:c r="B36" s="8" t="str">
        <x:v>Heyyyy Bangkok Hostel</x:v>
      </x:c>
      <x:c r="C36" s="8" t="str">
        <x:v>กรุงเทพมหานคร</x:v>
      </x:c>
      <x:c r="D36" s="8" t="str">
        <x:v>พร้อมขาย</x:v>
      </x:c>
      <x:c r="E36" s="8" t="str">
        <x:v>ปรับประเภทเป็นที่พัก</x:v>
      </x:c>
      <x:c r="F36" s="8" t="str">
        <x:v>TMF-051</x:v>
      </x:c>
      <x:c r="G36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37" ht="64" customHeight="1">
      <x:c r="A37" s="2" t="str">
        <x:v>TMF-062</x:v>
      </x:c>
      <x:c r="B37" s="8" t="str">
        <x:v>P-Park Residence</x:v>
      </x:c>
      <x:c r="C37" s="8" t="str">
        <x:v>กรุงเทพมหานคร</x:v>
      </x:c>
      <x:c r="D37" s="8" t="str">
        <x:v>พร้อมขาย</x:v>
      </x:c>
      <x:c r="E37" s="8" t="str">
        <x:v>ปรับประเภทเป็นที่พัก</x:v>
      </x:c>
      <x:c r="F37" s="8" t="str">
        <x:v>TMF-062</x:v>
      </x:c>
      <x:c r="G37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38" ht="64" customHeight="1">
      <x:c r="A38" s="2" t="str">
        <x:v>TMF-065</x:v>
      </x:c>
      <x:c r="B38" s="8" t="str">
        <x:v>Rotinis Hostel</x:v>
      </x:c>
      <x:c r="C38" s="8" t="str">
        <x:v>กรุงเทพมหานคร</x:v>
      </x:c>
      <x:c r="D38" s="8" t="str">
        <x:v>พร้อมขาย</x:v>
      </x:c>
      <x:c r="E38" s="8" t="str">
        <x:v>ปรับประเภทเป็นที่พัก</x:v>
      </x:c>
      <x:c r="F38" s="8" t="str">
        <x:v>TMF-065</x:v>
      </x:c>
      <x:c r="G38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39" ht="64" customHeight="1">
      <x:c r="A39" s="2" t="str">
        <x:v>TMF-083</x:v>
      </x:c>
      <x:c r="B39" s="8" t="str">
        <x:v>มุสลิมโฮม2 ห้องพักรายวัน</x:v>
      </x:c>
      <x:c r="C39" s="8" t="str">
        <x:v>กรุงเทพมหานคร</x:v>
      </x:c>
      <x:c r="D39" s="8" t="str">
        <x:v>พร้อมขาย</x:v>
      </x:c>
      <x:c r="E39" s="8" t="str">
        <x:v>ปรับประเภทเป็นที่พัก</x:v>
      </x:c>
      <x:c r="F39" s="8" t="str">
        <x:v>TMF-083</x:v>
      </x:c>
      <x:c r="G39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0" ht="64" customHeight="1">
      <x:c r="A40" s="2" t="str">
        <x:v>TMF-099</x:v>
      </x:c>
      <x:c r="B40" s="8" t="str">
        <x:v>Nanthawan park 888</x:v>
      </x:c>
      <x:c r="C40" s="8" t="str">
        <x:v>ฉะเชิงเทรา</x:v>
      </x:c>
      <x:c r="D40" s="8" t="str">
        <x:v>พร้อมขาย</x:v>
      </x:c>
      <x:c r="E40" s="8" t="str">
        <x:v>ปรับประเภทเป็นที่พัก</x:v>
      </x:c>
      <x:c r="F40" s="8" t="str">
        <x:v>TMF-099</x:v>
      </x:c>
      <x:c r="G40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1" ht="64" customHeight="1">
      <x:c r="A41" s="2" t="str">
        <x:v>TMF-101</x:v>
      </x:c>
      <x:c r="B41" s="8" t="str">
        <x:v>บ้านผู้การ DZEN Home Station</x:v>
      </x:c>
      <x:c r="C41" s="8" t="str">
        <x:v>ฉะเชิงเทรา</x:v>
      </x:c>
      <x:c r="D41" s="8" t="str">
        <x:v>พร้อมขาย</x:v>
      </x:c>
      <x:c r="E41" s="8" t="str">
        <x:v>ปรับประเภทเป็นที่พัก</x:v>
      </x:c>
      <x:c r="F41" s="8" t="str">
        <x:v>TMF-101</x:v>
      </x:c>
      <x:c r="G41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2" ht="64" customHeight="1">
      <x:c r="A42" s="2" t="str">
        <x:v>TMF-107</x:v>
      </x:c>
      <x:c r="B42" s="8" t="str">
        <x:v>Farida House - ฟาริดาเฮ้าส์</x:v>
      </x:c>
      <x:c r="C42" s="8" t="str">
        <x:v>ชลบุรี</x:v>
      </x:c>
      <x:c r="D42" s="8" t="str">
        <x:v>พร้อมขาย</x:v>
      </x:c>
      <x:c r="E42" s="8" t="str">
        <x:v>ปรับประเภทเป็นที่พัก</x:v>
      </x:c>
      <x:c r="F42" s="8" t="str">
        <x:v>TMF-107</x:v>
      </x:c>
      <x:c r="G42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3" ht="64" customHeight="1">
      <x:c r="A43" s="2" t="str">
        <x:v>TMF-109</x:v>
      </x:c>
      <x:c r="B43" s="8" t="str">
        <x:v>Noursabah Pattaya - ณุศบา พัทยา</x:v>
      </x:c>
      <x:c r="C43" s="8" t="str">
        <x:v>ชลบุรี</x:v>
      </x:c>
      <x:c r="D43" s="8" t="str">
        <x:v>พร้อมขาย</x:v>
      </x:c>
      <x:c r="E43" s="8" t="str">
        <x:v>ปรับประเภทเป็นที่พัก</x:v>
      </x:c>
      <x:c r="F43" s="8" t="str">
        <x:v>TMF-109</x:v>
      </x:c>
      <x:c r="G43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4" ht="64" customHeight="1">
      <x:c r="A44" s="2" t="str">
        <x:v>TMF-110</x:v>
      </x:c>
      <x:c r="B44" s="8" t="str">
        <x:v>Pattaya Bed Boutique</x:v>
      </x:c>
      <x:c r="C44" s="8" t="str">
        <x:v>ชลบุรี</x:v>
      </x:c>
      <x:c r="D44" s="8" t="str">
        <x:v>พร้อมขาย</x:v>
      </x:c>
      <x:c r="E44" s="8" t="str">
        <x:v>ปรับประเภทเป็นที่พัก</x:v>
      </x:c>
      <x:c r="F44" s="8" t="str">
        <x:v>TMF-110</x:v>
      </x:c>
      <x:c r="G44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5" ht="64" customHeight="1">
      <x:c r="A45" s="2" t="str">
        <x:v>TMF-111</x:v>
      </x:c>
      <x:c r="B45" s="8" t="str">
        <x:v>Valida Cottage</x:v>
      </x:c>
      <x:c r="C45" s="8" t="str">
        <x:v>ชลบุรี</x:v>
      </x:c>
      <x:c r="D45" s="8" t="str">
        <x:v>พร้อมขาย</x:v>
      </x:c>
      <x:c r="E45" s="8" t="str">
        <x:v>ปรับประเภทเป็นที่พัก</x:v>
      </x:c>
      <x:c r="F45" s="8" t="str">
        <x:v>TMF-111</x:v>
      </x:c>
      <x:c r="G45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6" ht="64" customHeight="1">
      <x:c r="A46" s="2" t="str">
        <x:v>TMF-127</x:v>
      </x:c>
      <x:c r="B46" s="8" t="str">
        <x:v>PICNIC CAMP เขายายเที่ยง</x:v>
      </x:c>
      <x:c r="C46" s="8" t="str">
        <x:v>นครราชสีมา</x:v>
      </x:c>
      <x:c r="D46" s="8" t="str">
        <x:v>พร้อมขาย</x:v>
      </x:c>
      <x:c r="E46" s="8" t="str">
        <x:v>ปรับประเภทเป็นที่พัก</x:v>
      </x:c>
      <x:c r="F46" s="8" t="str">
        <x:v>TMF-127</x:v>
      </x:c>
      <x:c r="G46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7" ht="64" customHeight="1">
      <x:c r="A47" s="2" t="str">
        <x:v>TMF-135</x:v>
      </x:c>
      <x:c r="B47" s="8" t="str">
        <x:v>ภูล้านดาวแคมป์ ณ เขายายเที่ยง</x:v>
      </x:c>
      <x:c r="C47" s="8" t="str">
        <x:v>นครราชสีมา</x:v>
      </x:c>
      <x:c r="D47" s="8" t="str">
        <x:v>พร้อมขาย</x:v>
      </x:c>
      <x:c r="E47" s="8" t="str">
        <x:v>ปรับประเภทเป็นที่พัก</x:v>
      </x:c>
      <x:c r="F47" s="8" t="str">
        <x:v>TMF-135</x:v>
      </x:c>
      <x:c r="G47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8" ht="64" customHeight="1">
      <x:c r="A48" s="2" t="str">
        <x:v>TMF-158</x:v>
      </x:c>
      <x:c r="B48" s="8" t="str">
        <x:v>Regent Ngamwongwan</x:v>
      </x:c>
      <x:c r="C48" s="8" t="str">
        <x:v>นนทบุรี</x:v>
      </x:c>
      <x:c r="D48" s="8" t="str">
        <x:v>พร้อมขาย</x:v>
      </x:c>
      <x:c r="E48" s="8" t="str">
        <x:v>ปรับประเภทเป็นที่พัก</x:v>
      </x:c>
      <x:c r="F48" s="8" t="str">
        <x:v>TMF-158</x:v>
      </x:c>
      <x:c r="G48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49" ht="64" customHeight="1">
      <x:c r="A49" s="2" t="str">
        <x:v>TMF-178</x:v>
      </x:c>
      <x:c r="B49" s="8" t="str">
        <x:v>Hello Winter บ่อเกลือHalal</x:v>
      </x:c>
      <x:c r="C49" s="8" t="str">
        <x:v>น่าน</x:v>
      </x:c>
      <x:c r="D49" s="8" t="str">
        <x:v>พร้อมขาย</x:v>
      </x:c>
      <x:c r="E49" s="8" t="str">
        <x:v>ปรับประเภทเป็นที่พัก</x:v>
      </x:c>
      <x:c r="F49" s="8" t="str">
        <x:v>TMF-178</x:v>
      </x:c>
      <x:c r="G49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50" ht="64" customHeight="1">
      <x:c r="A50" s="2" t="str">
        <x:v>TMF-184</x:v>
      </x:c>
      <x:c r="B50" s="8" t="str">
        <x:v>Coco Pina Boutique Resort ที่พัก&amp;คาเฟ่ประจวบ</x:v>
      </x:c>
      <x:c r="C50" s="8" t="str">
        <x:v>ประจวบคีรีขันธ์</x:v>
      </x:c>
      <x:c r="D50" s="8" t="str">
        <x:v>พร้อมขาย</x:v>
      </x:c>
      <x:c r="E50" s="8" t="str">
        <x:v>ปรับประเภทเป็นที่พัก</x:v>
      </x:c>
      <x:c r="F50" s="8" t="str">
        <x:v>TMF-184</x:v>
      </x:c>
      <x:c r="G50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51" ht="64" customHeight="1">
      <x:c r="A51" s="2" t="str">
        <x:v>TMF-222</x:v>
      </x:c>
      <x:c r="B51" s="8" t="str">
        <x:v>ไมอามี่ ซีวิว</x:v>
      </x:c>
      <x:c r="C51" s="8" t="str">
        <x:v>สตูล</x:v>
      </x:c>
      <x:c r="D51" s="8" t="str">
        <x:v>พร้อมขาย</x:v>
      </x:c>
      <x:c r="E51" s="8" t="str">
        <x:v>ปรับประเภทเป็นที่พัก</x:v>
      </x:c>
      <x:c r="F51" s="8" t="str">
        <x:v>TMF-222</x:v>
      </x:c>
      <x:c r="G51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52" ht="64" customHeight="1">
      <x:c r="A52" s="2" t="str">
        <x:v>TMF-235</x:v>
      </x:c>
      <x:c r="B52" s="8" t="str">
        <x:v>Aba Village</x:v>
      </x:c>
      <x:c r="C52" s="8" t="str">
        <x:v>เชียงใหม่</x:v>
      </x:c>
      <x:c r="D52" s="8" t="str">
        <x:v>พร้อมขาย</x:v>
      </x:c>
      <x:c r="E52" s="8" t="str">
        <x:v>ปรับประเภทเป็นที่พัก</x:v>
      </x:c>
      <x:c r="F52" s="8" t="str">
        <x:v>TMF-235</x:v>
      </x:c>
      <x:c r="G52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53" ht="64" customHeight="1">
      <x:c r="A53" s="2" t="str">
        <x:v>TMF-244</x:v>
      </x:c>
      <x:c r="B53" s="8" t="str">
        <x:v>DD O-Zone พูลวิลล่า ฮาลาลฟู้ด ภูทับเบิก</x:v>
      </x:c>
      <x:c r="C53" s="8" t="str">
        <x:v>เพชรบูรณ์</x:v>
      </x:c>
      <x:c r="D53" s="8" t="str">
        <x:v>พร้อมขาย</x:v>
      </x:c>
      <x:c r="E53" s="8" t="str">
        <x:v>ปรับประเภทเป็นที่พัก</x:v>
      </x:c>
      <x:c r="F53" s="8" t="str">
        <x:v>TMF-244</x:v>
      </x:c>
      <x:c r="G53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54" ht="64" customHeight="1">
      <x:c r="A54" s="2" t="str">
        <x:v>TMF-249</x:v>
      </x:c>
      <x:c r="B54" s="8" t="str">
        <x:v>Mp house at pai</x:v>
      </x:c>
      <x:c r="C54" s="8" t="str">
        <x:v>แม่ฮ่องสอน</x:v>
      </x:c>
      <x:c r="D54" s="8" t="str">
        <x:v>พร้อมขาย</x:v>
      </x:c>
      <x:c r="E54" s="8" t="str">
        <x:v>ปรับประเภทเป็นที่พัก</x:v>
      </x:c>
      <x:c r="F54" s="8" t="str">
        <x:v>TMF-249</x:v>
      </x:c>
      <x:c r="G54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  <x:row r="55" ht="64" customHeight="1">
      <x:c r="A55" s="2" t="str">
        <x:v>TMF-600</x:v>
      </x:c>
      <x:c r="B55" s="8" t="str">
        <x:v>สบายดีเฮ้าส์ แอทปาย</x:v>
      </x:c>
      <x:c r="C55" s="8" t="str">
        <x:v>แม่ฮ่องสอน</x:v>
      </x:c>
      <x:c r="D55" s="8" t="str">
        <x:v>มีศักยภาพ แต่ต้องพัฒนามาตรฐาน</x:v>
      </x:c>
      <x:c r="E55" s="8" t="str">
        <x:v>ปรับประเภทเป็นที่พัก</x:v>
      </x:c>
      <x:c r="F55" s="8" t="str">
        <x:v>TMF-600</x:v>
      </x:c>
      <x:c r="G55" s="8" t="str">
        <x:v>ประเภทเดิมร้านอาหารและคาเฟ่ แต่ชื่อและข้อมูลที่พัก/รีวิวระบุการให้บริการห้องพัก แคมป์ หรือรีสอร์ท; คงกลุ่มเป็นข้อเสนอรอตรวจมาตรฐาน</x:v>
      </x:c>
    </x:row>
  </x:sheetData>
  <x:pageMargins left="0.7" right="0.7" top="0.75" bottom="0.75" header="0.3" footer="0.3"/>
  <x:tableParts count="1">
    <x:tablePart xmlns:r="http://schemas.openxmlformats.org/officeDocument/2006/relationships" r:id="R97410fd700a14d04"/>
  </x:tableParts>
</x:worksheet>
</file>